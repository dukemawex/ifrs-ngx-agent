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_Me" sheetId="1" state="visible" r:id="rId3"/>
    <sheet name="Panel_Inputs" sheetId="2" state="visible" r:id="rId4"/>
    <sheet name="Calculated_Ratios" sheetId="3" state="visible" r:id="rId5"/>
    <sheet name="Formula_Check" sheetId="4" state="visible" r:id="rId6"/>
    <sheet name="Progress" sheetId="5" state="visible" r:id="rId7"/>
    <sheet name="Field_Coverage" sheetId="6" state="visible" r:id="rId8"/>
    <sheet name="Missingness" sheetId="7" state="visible" r:id="rId9"/>
    <sheet name="Change_Register" sheetId="8" state="visible" r:id="rId10"/>
    <sheet name="Reconciliation" sheetId="9" state="visible" r:id="rId11"/>
    <sheet name="Field_Status" sheetId="10" state="visible" r:id="rId12"/>
    <sheet name="Version_Decisions" sheetId="11" state="visible" r:id="rId13"/>
    <sheet name="Source_Alternatives" sheetId="12" state="visible" r:id="rId14"/>
    <sheet name="Going_Concern" sheetId="13" state="visible" r:id="rId15"/>
    <sheet name="Document_Status" sheetId="14" state="visible" r:id="rId16"/>
    <sheet name="Denominators" sheetId="15" state="visible" r:id="rId17"/>
    <sheet name="Outcome_Eligibility" sheetId="16" state="visible" r:id="rId18"/>
    <sheet name="Outcome_Summary" sheetId="17" state="visible" r:id="rId19"/>
    <sheet name="Row_Versions" sheetId="18" state="visible" r:id="rId20"/>
    <sheet name="Exceptions" sheetId="19" state="visible" r:id="rId21"/>
    <sheet name="Conflicts" sheetId="20" state="visible" r:id="rId22"/>
    <sheet name="Unresolved_Gaps" sheetId="21" state="visible" r:id="rId23"/>
    <sheet name="Source_Register" sheetId="22" state="visible" r:id="rId24"/>
    <sheet name="Evidence_Long" sheetId="23" state="visible" r:id="rId25"/>
    <sheet name="Evidence_Backing" sheetId="24" state="visible" r:id="rId26"/>
    <sheet name="Task_Queue" sheetId="25" state="visible" r:id="rId27"/>
    <sheet name="Candidates"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<sst xmlns="http://schemas.openxmlformats.org/spreadsheetml/2006/main" count="101906" uniqueCount="7289">
  <si>
    <t xml:space="preserve">IFRS 9 VERIFIED MASTER</t>
  </si>
  <si>
    <t xml:space="preserve">Generated (UTC)</t>
  </si>
  <si>
    <t xml:space="preserve">2026-10-11T12:47:05+00:00</t>
  </si>
  <si>
    <t xml:space="preserve">Baseline</t>
  </si>
  <si>
    <t xml:space="preserve">47 selected bank-years (inputs/IFRS9_Selected_Data_Updated_20261010.csv, unchanged; SHA-256 verified).</t>
  </si>
  <si>
    <t xml:space="preserve">This run</t>
  </si>
  <si>
    <t xml:space="preserve">71 new bank-years admitted; 9 blank fields filled; 0 corrections. See Progress.</t>
  </si>
  <si>
    <t xml:space="preserve">Units</t>
  </si>
  <si>
    <t xml:space="preserve">Monetary amounts NGN million; ratios in percentage points. Blank = not admitted or unavailable, never zero.</t>
  </si>
  <si>
    <t xml:space="preserve">Entity rule</t>
  </si>
  <si>
    <t xml:space="preserve">Historical Nigerian operating bank only; never holding company, consolidated group, foreign subsidiary or segment.</t>
  </si>
  <si>
    <t xml:space="preserve">Formulas</t>
  </si>
  <si>
    <t xml:space="preserve">Calculated_Ratios holds live formulas over Panel_Inputs; Formula_Check compares them with the Python recomputation.</t>
  </si>
  <si>
    <t xml:space="preserve">Evidence</t>
  </si>
  <si>
    <t xml:space="preserve">Evidence_Long: inherited records are labelled inherited_not_rechecked_this_run; only reviewed admissions are verified_reported.</t>
  </si>
  <si>
    <t xml:space="preserve">Caution</t>
  </si>
  <si>
    <t xml:space="preserve">A report link is not a verified value; a verified value is not a complete bank-year; no regressions are estimated here.</t>
  </si>
  <si>
    <t xml:space="preserve">allr</t>
  </si>
  <si>
    <t xml:space="preserve">allowance_grossloans_pct = 100 * customer-loan allowance / gross customer loans</t>
  </si>
  <si>
    <t xml:space="preserve">average_assets</t>
  </si>
  <si>
    <t xml:space="preserve">(matched opening assets + closing assets) / 2; both positive</t>
  </si>
  <si>
    <t xml:space="preserve">balance_residual</t>
  </si>
  <si>
    <t xml:space="preserve">assets - liabilities - equity (NGN million)</t>
  </si>
  <si>
    <t xml:space="preserve">broad_coverage</t>
  </si>
  <si>
    <t xml:space="preserve">broad_NPL_coverage_pct = 100 * total customer-loan allowance / NPL amount (not NPL-specific)</t>
  </si>
  <si>
    <t xml:space="preserve">car_computed</t>
  </si>
  <si>
    <t xml:space="preserve">CAR_calc_pct = 100 * regulatory capital / RWA</t>
  </si>
  <si>
    <t xml:space="preserve">eqta</t>
  </si>
  <si>
    <t xml:space="preserve">equity_assets_pct = 100 * equity / closing assets</t>
  </si>
  <si>
    <t xml:space="preserve">impairment_assets</t>
  </si>
  <si>
    <t xml:space="preserve">100 * total income-statement impairment / average_assets (broad measure)</t>
  </si>
  <si>
    <t xml:space="preserve">leverage</t>
  </si>
  <si>
    <t xml:space="preserve">leverage_pct = 100 * liabilities / assets</t>
  </si>
  <si>
    <t xml:space="preserve">ln_assets</t>
  </si>
  <si>
    <t xml:space="preserve">ln(closing assets, NGN million)</t>
  </si>
  <si>
    <t xml:space="preserve">loan_residual</t>
  </si>
  <si>
    <t xml:space="preserve">gross loans - loan allowance - net loans (NGN million)</t>
  </si>
  <si>
    <t xml:space="preserve">npl_calc</t>
  </si>
  <si>
    <t xml:space="preserve">NPL_ratio_pct = 100 * regulatory NPL amount / matched gross loans</t>
  </si>
  <si>
    <t xml:space="preserve">ocf_ratio</t>
  </si>
  <si>
    <t xml:space="preserve">OCF_avgassets_pct = 100 * OCF / average_assets</t>
  </si>
  <si>
    <t xml:space="preserve">roa</t>
  </si>
  <si>
    <t xml:space="preserve">ROA_avg_pct = 100 * PAT / average_assets</t>
  </si>
  <si>
    <t xml:space="preserve">roa_closing</t>
  </si>
  <si>
    <t xml:space="preserve">100 * PAT / closing assets (diagnostic; not a substitute for roa)</t>
  </si>
  <si>
    <t xml:space="preserve">stage3_coverage</t>
  </si>
  <si>
    <t xml:space="preserve">Stage3_coverage_pct = 100 * Stage 3 allowance / Stage 3 gross</t>
  </si>
  <si>
    <t xml:space="preserve">stage3_ratio</t>
  </si>
  <si>
    <t xml:space="preserve">100 * Stage 3 gross / gross loans (not a regulatory NPL ratio)</t>
  </si>
  <si>
    <t xml:space="preserve">Admitted operating-bank inputs. NGN million; percentage points. Blank = not admitted, never zero.</t>
  </si>
  <si>
    <t xml:space="preserve">bank</t>
  </si>
  <si>
    <t xml:space="preserve">year</t>
  </si>
  <si>
    <t xml:space="preserve">tier</t>
  </si>
  <si>
    <t xml:space="preserve">regime</t>
  </si>
  <si>
    <t xml:space="preserve">pat</t>
  </si>
  <si>
    <t xml:space="preserve">assets</t>
  </si>
  <si>
    <t xml:space="preserve">liabilities</t>
  </si>
  <si>
    <t xml:space="preserve">equity</t>
  </si>
  <si>
    <t xml:space="preserve">ocf</t>
  </si>
  <si>
    <t xml:space="preserve">opening_assets</t>
  </si>
  <si>
    <t xml:space="preserve">gross_loans</t>
  </si>
  <si>
    <t xml:space="preserve">loan_allowance</t>
  </si>
  <si>
    <t xml:space="preserve">net_loans</t>
  </si>
  <si>
    <t xml:space="preserve">total_impairment</t>
  </si>
  <si>
    <t xml:space="preserve">npl_amount</t>
  </si>
  <si>
    <t xml:space="preserve">regulatory_capital</t>
  </si>
  <si>
    <t xml:space="preserve">rwa</t>
  </si>
  <si>
    <t xml:space="preserve">stage3_gross</t>
  </si>
  <si>
    <t xml:space="preserve">stage3_allowance</t>
  </si>
  <si>
    <t xml:space="preserve">car</t>
  </si>
  <si>
    <t xml:space="preserve">car_minimum</t>
  </si>
  <si>
    <t xml:space="preserve">liquidity</t>
  </si>
  <si>
    <t xml:space="preserve">liquidity_admissible</t>
  </si>
  <si>
    <t xml:space="preserve">gcu</t>
  </si>
  <si>
    <t xml:space="preserve">source_url</t>
  </si>
  <si>
    <t xml:space="preserve">version_note</t>
  </si>
  <si>
    <t xml:space="preserve">origin</t>
  </si>
  <si>
    <t xml:space="preserve">Access</t>
  </si>
  <si>
    <t xml:space="preserve">Tier 1</t>
  </si>
  <si>
    <t xml:space="preserve">IAS 39</t>
  </si>
  <si>
    <t xml:space="preserve">https://www.accessbankplc.com/access/media/Financial-Report/Quarterly%20Reports/2014-Financial-Statement-Abridged-Report.pdf?ext=.pdf</t>
  </si>
  <si>
    <t xml:space="preserve">Prior source-selection policy retained; original evidence preserved in accompanying pack.</t>
  </si>
  <si>
    <t xml:space="preserve">Prior selected evidence</t>
  </si>
  <si>
    <t xml:space="preserve">https://doclib.ngxgroup.com/Financial_NewsDocs/12658_ACCESS_BANK_-_2015_AUDITED_ACCTS_FINANCIAL_STATEMENTS_MARCH_2016.pdf</t>
  </si>
  <si>
    <t xml:space="preserve">2015 annual report, as originally reported</t>
  </si>
  <si>
    <t xml:space="preserve">Admitted this run</t>
  </si>
  <si>
    <t xml:space="preserve">https://doclib.ngxgroup.com/Financial_NewsDocs/16624_ACCESS_BANK_-_2016_AUDITED_ACCTS_FINANCIAL_STATEMENTS_MARCH_2017.pdf</t>
  </si>
  <si>
    <t xml:space="preserve">2016 annual report, as originally reported</t>
  </si>
  <si>
    <t xml:space="preserve">https://doclib.ngxgroup.com/Financial_NewsDocs/21306_ACCESS_BANK_PLC._FINANCIAL_STATEMENTS_MARCH_2018.pdf</t>
  </si>
  <si>
    <t xml:space="preserve">2017 annual report, as originally reported</t>
  </si>
  <si>
    <t xml:space="preserve">IFRS 9</t>
  </si>
  <si>
    <t xml:space="preserve">https://doclib.ngxgroup.com/Financial_NewsDocs/29309_ACCESS_BANK_PLC._FINANCIAL_STATEMENTS_MARCH_2020.pdf</t>
  </si>
  <si>
    <t xml:space="preserve">2019 report comparative (not labelled restated)</t>
  </si>
  <si>
    <t xml:space="preserve">2019 annual report, as originally reported</t>
  </si>
  <si>
    <t xml:space="preserve">https://doclib.ngxgroup.com/Financial_NewsDocs/32900_ACCESS_BANK_PLC%20_AUDITED_FINANCIAL_STATEMENT_FOR_2020.pdf</t>
  </si>
  <si>
    <t xml:space="preserve">2020 annual report, as originally reported</t>
  </si>
  <si>
    <t xml:space="preserve">https://doclib.ngxgroup.com/Financial_NewsDocs/35310_ACCESS_BANK_PLC%20_AUDITED_FINANCIAL_STATEMENT_FOR_2021.pdf</t>
  </si>
  <si>
    <t xml:space="preserve">2021 annual report, as originally reported</t>
  </si>
  <si>
    <t xml:space="preserve">https://www.accessbankplc.com/access/media/Media-PDF-Attachment/2022-FY-Financial-Statement.pdf?ext=.pdf</t>
  </si>
  <si>
    <t xml:space="preserve">2022 financial statements, as originally reported</t>
  </si>
  <si>
    <t xml:space="preserve">Ecobank Nigeria</t>
  </si>
  <si>
    <t xml:space="preserve">Tier 2</t>
  </si>
  <si>
    <t xml:space="preserve">https://www.ecobank.com/upload/publication/20160603050431876MVJZ65QMD2/20140717070804117617CS9N8RVrc92013.pdf</t>
  </si>
  <si>
    <t xml:space="preserve">2013 annual report, as originally reported</t>
  </si>
  <si>
    <t xml:space="preserve">https://www.ecobank.com/upload/publication/20160603050328266BV9KK3KMGZ/20150424114643650413NqzAyDndnW2014.PDF</t>
  </si>
  <si>
    <t xml:space="preserve">2014 annual report, as originally reported</t>
  </si>
  <si>
    <t xml:space="preserve">https://www.ecobank.com/upload/publication/20160810051714162FAUN9WFV76/20160810051700933X.pdf</t>
  </si>
  <si>
    <t xml:space="preserve">https://www.financialafrik.com/wp-content/uploads/2018/05/FINANCIAL_STATEMENT_EBN_2017-2.pdf</t>
  </si>
  <si>
    <t xml:space="preserve">https://www.ecobank.com/upload/publication/201908161135521993YH9XK3GUU/201908161135142514.pdf</t>
  </si>
  <si>
    <t xml:space="preserve">2018 annual report, as originally reported</t>
  </si>
  <si>
    <t xml:space="preserve">https://www.ecobank.com/upload/publication/20200901042621276B6RH5TBQ22/20200901042502327T.pdf</t>
  </si>
  <si>
    <t xml:space="preserve">https://www.ecobank.com/upload/publication/20210803011222677VJB2VFNZ2Y/20210803011214097V.pdf</t>
  </si>
  <si>
    <t xml:space="preserve">https://www.ecobank.com/upload/publication/20220707035014829GBVPAXGW87/20220707034953065D.pdf</t>
  </si>
  <si>
    <t xml:space="preserve">https://www.ecobank.com/upload/publication/20240318051756025XSA3RCX9NN/20240318051750118B.pdf</t>
  </si>
  <si>
    <t xml:space="preserve">2022 annual report, as originally reported</t>
  </si>
  <si>
    <t xml:space="preserve">Fidelity</t>
  </si>
  <si>
    <t xml:space="preserve">https://www.fidelitybank.ng/documents/FYE%202013%20Audited%20Financial%20Results.pdf</t>
  </si>
  <si>
    <t xml:space="preserve">https://www.annualreports.com/HostedData/AnnualReportArchive/f/fidelity-bank-plc_2014.pdf</t>
  </si>
  <si>
    <t xml:space="preserve">https://www.annualreports.com/HostedData/AnnualReportArchive/f/fidelity-bank-plc_2015.pdf</t>
  </si>
  <si>
    <t xml:space="preserve">https://www.annualreports.com/HostedData/AnnualReportArchive/f/fidelity-bank-plc_2016.pdf</t>
  </si>
  <si>
    <t xml:space="preserve">https://www.annualreports.com/HostedData/AnnualReportArchive/f/fidelity-bank-plc_2017.pdf</t>
  </si>
  <si>
    <t xml:space="preserve">https://www.fidelitybank.ng/documents/2019%20Annual%20report%20Final%20Web%20Version.pdf</t>
  </si>
  <si>
    <t xml:space="preserve">https://www.annualreports.com/HostedData/AnnualReportArchive/f/fidelity-bank-plc_2020.pdf</t>
  </si>
  <si>
    <t xml:space="preserve">https://www.fidelitybank.ng/documents/Fidelity-Bank-Plc-2022-Annual-Report.pdf</t>
  </si>
  <si>
    <t xml:space="preserve">2022 annual report; 2021 restated comparative</t>
  </si>
  <si>
    <t xml:space="preserve">First Bank</t>
  </si>
  <si>
    <t xml:space="preserve">https://first-holdco.com/wp-content/uploads/2021/02/First_Bank_of_Nigeria_Ltd_2014_Annual_Report.pdf</t>
  </si>
  <si>
    <t xml:space="preserve">https://first-holdco.com/wp-content/uploads/2021/02/First_Bank_of_Nigeria_Ltd_2015_Annual_Report.pdf</t>
  </si>
  <si>
    <t xml:space="preserve">https://first-holdco.com/wp-content/uploads/2021/02/First-Bank-of-Nigeria-Ltd-FY-2017-Financial-Statements.pdf</t>
  </si>
  <si>
    <t xml:space="preserve">FY2017 financial statements; 2016 comparative, not labelled restated</t>
  </si>
  <si>
    <t xml:space="preserve">FY2017 financial statements, as originally reported</t>
  </si>
  <si>
    <t xml:space="preserve">https://ise-prodnr-eu-west-1-data-integration.s3-eu-west-1.amazonaws.com/legacy/Prospectus+-+Standalone_bccce739-ac65-4a0d-82bc-7ef4406d2573.PDF</t>
  </si>
  <si>
    <t xml:space="preserve">FY2018 financial statements, as originally reported (reproduced in FBN Finance prospectus)</t>
  </si>
  <si>
    <t xml:space="preserve">FY2019 financial statements, as originally reported (reproduced in FBN Finance prospectus)</t>
  </si>
  <si>
    <t xml:space="preserve">https://cdn.businessday.ng/wp-content/uploads/2024/05/BD_20240529.pdf</t>
  </si>
  <si>
    <t xml:space="preserve">FY2023 audited summary financial statements, 2022 comparative (later-year presentation; not the 2022 annual report)</t>
  </si>
  <si>
    <t xml:space="preserve">GTBank</t>
  </si>
  <si>
    <t xml:space="preserve">https://gtbank-plc.files.svdcdn.com/production/financial-information/2014-Financial-Statement-Summary.pdf?dm=1517101701</t>
  </si>
  <si>
    <t xml:space="preserve">https://gtbank-plc.files.svdcdn.com/production/financial-information/2015-Year-End-Audited-Results.pdf</t>
  </si>
  <si>
    <t xml:space="preserve">https://www.annualreports.com/HostedData/AnnualReportArchive/g/guaranty-trust-bank-ltd_2016.pdf</t>
  </si>
  <si>
    <t xml:space="preserve">2016 annual report, as originally reported (public mirror copy)</t>
  </si>
  <si>
    <t xml:space="preserve">https://gtbank-plc.files.svdcdn.com/production/financial-information/GTBank_AnnualReport_2018.pdf</t>
  </si>
  <si>
    <t xml:space="preserve">2018 annual report; 2017 restated comparative</t>
  </si>
  <si>
    <t xml:space="preserve">https://gtbank-plc.files.svdcdn.com/production/annual-reports/2019-annual-report/2019-Annual-Report.pdf?dm=1584983538</t>
  </si>
  <si>
    <t xml:space="preserve">https://doclib.ngxgroup.com/Financial_NewsDocs/32621_GUARANTY_TRUST_BANK_PLC%20_AUDITED_FINANCIAL_STATEMENT_.pdf</t>
  </si>
  <si>
    <t xml:space="preserve">https://gtco-plc.files.svdcdn.com/production/financial-information/2021-ANNUAL-REPORT.pdf?dm=1648469779</t>
  </si>
  <si>
    <t xml:space="preserve">GTCO 2021 annual report: audited HoldCo package - explicit operating-bank subsidiary disclosure (GT Bank Nigeria condensed results)</t>
  </si>
  <si>
    <t xml:space="preserve">https://gtco-plc.files.svdcdn.com/production/financial-information/2022-Annual-Report.pdf?dm=1687801902</t>
  </si>
  <si>
    <t xml:space="preserve">GTCO 2022 annual report: audited HoldCo package - explicit operating-bank subsidiary disclosure (GT Bank Nigeria condensed results)</t>
  </si>
  <si>
    <t xml:space="preserve">Stanbic</t>
  </si>
  <si>
    <t xml:space="preserve">https://thevault.exchange/?get_group_doc=18%2F1447238936-StanbicIBTCannualreport2013.pdf</t>
  </si>
  <si>
    <t xml:space="preserve">Stanbic IBTC Holdings 2013 annual report: audited HoldCo package - explicit operating-bank subsidiary disclosure (note 13.4, Stanbic IBTC Bank PLC)</t>
  </si>
  <si>
    <t xml:space="preserve">https://thevault.exchange/?get_group_doc=18/1447238694-StanbicIBTCFY14Annualreport.pdf</t>
  </si>
  <si>
    <t xml:space="preserve">Stanbic IBTC Holdings 2014 annual report: audited HoldCo package - explicit operating-bank subsidiary disclosure (note 13.4, Stanbic IBTC Bank PLC)</t>
  </si>
  <si>
    <t xml:space="preserve">https://www.thevault.exchange/?get_group_doc=635%2F1484830056-Annualreport2015final.pdf</t>
  </si>
  <si>
    <t xml:space="preserve">Stanbic IBTC Holdings 2015 annual report: audited HoldCo package - explicit operating-bank subsidiary disclosure (note 13.4, Stanbic IBTC Bank PLC)</t>
  </si>
  <si>
    <t xml:space="preserve">https://thevault.exchange?get_group_doc=635/1502962292-2016AnnualReport.pdf</t>
  </si>
  <si>
    <t xml:space="preserve">Stanbic IBTC Holdings 2016 annual report: audited HoldCo package - explicit operating-bank subsidiary disclosure (note 13.4, Stanbic IBTC Bank PLC)</t>
  </si>
  <si>
    <t xml:space="preserve">https://www.thevault.exchange/?get_group_doc=635%2F1526287152-2017AnnualReport-StanbicIBTCHoldingsPLC.pdf</t>
  </si>
  <si>
    <t xml:space="preserve">Stanbic IBTC Holdings 2017 annual report: audited HoldCo package - explicit operating-bank subsidiary disclosure (note 13.4, Stanbic IBTC Bank PLC)</t>
  </si>
  <si>
    <t xml:space="preserve">https://www.stanbicibtcbank.com/static_file/Nigeria/nigeriabank/Annual%20Reports/2018%20Annual%20Report%20for%20Stanbic%20IBTC%20Bank.pdf</t>
  </si>
  <si>
    <t xml:space="preserve">2018 audited financial statements, as originally reported (issuer-hosted scanned extract)</t>
  </si>
  <si>
    <t xml:space="preserve">https://www.stanbicibtcbank.com/static_file/Nigeria/nigeriabank/Annual%20Reports/2019%20Annual%20Report%20for%20Stanbic%20IBTC%20Bank.pdf</t>
  </si>
  <si>
    <t xml:space="preserve">2019 audited financial statements, as originally reported (issuer-hosted scanned extract)</t>
  </si>
  <si>
    <t xml:space="preserve">https://www.stanbicibtcbank.com/static_file/Nigeria/nigeriabank/Annual%20Reports/Stanbic%20IBTC%20Bank%20PLC%20Audited%20Financial%20Statement-%202021.pdf</t>
  </si>
  <si>
    <t xml:space="preserve">2021 audited financial statements; 2020 comparative, not labelled restated</t>
  </si>
  <si>
    <t xml:space="preserve">2021 audited financial statements, as originally reported</t>
  </si>
  <si>
    <t xml:space="preserve">https://www.stanbicibtcbank.com/static_file/Nigeria/nigeriabank/Annual%20Reports/Stanbic%20IBTC%20Bank%20PLC%20Audited%20Financial%20Statement%20-2022.pdf</t>
  </si>
  <si>
    <t xml:space="preserve">2022 audited financial statements, as originally reported</t>
  </si>
  <si>
    <t xml:space="preserve">Sterling</t>
  </si>
  <si>
    <t xml:space="preserve">https://sterling.ng/wp-content/uploads/2023/09/2014.pdf</t>
  </si>
  <si>
    <t xml:space="preserve">https://doclib.ngxgroup.com/Financial_NewsDocs/12716_STERLING_BANK_PLC_AUDITED_DEC_2015_FINANCIAL_STATEMENTS_MARCH_2016.pdf</t>
  </si>
  <si>
    <t xml:space="preserve">https://doclib.ngxgroup.com/Financial_NewsDocs/17024_STERLING_BANK_-_AUDITED_DEC_2016_FINANCIAL_STATEMENTS_MARCH_2017.pdf</t>
  </si>
  <si>
    <t xml:space="preserve">https://doclib.ngxgroup.com/Financial_NewsDocs/21778_STERLING_BANK_PLC._FINANCIAL_STATEMENTS_APRIL_2018.pdf</t>
  </si>
  <si>
    <t xml:space="preserve">https://sterling.ng/wp-content/uploads/2020/03/FY-%E2%80%93-2019-Audited-Financials.pdf</t>
  </si>
  <si>
    <t xml:space="preserve">https://doclib.ngxgroup.com/Financial_NewsDocs/32843_STERLING_BANK_PLC%20_AUDITED_FINANCIAL_STATEMENT_FOR_20.pdf</t>
  </si>
  <si>
    <t xml:space="preserve">https://doclib.ngxgroup.com/Financial_NewsDocs/35540_STERLING_BANK_PLC%20_AUDITED_FINANCIAL_STATEMENT_FOR_20.pdf</t>
  </si>
  <si>
    <t xml:space="preserve">https://doclib.ngxgroup.com/Financial_NewsDocs/38472_STERLING_BANK_PLC.-_QUARTER_5_-_FINANCIAL_STATEMENT_FOR_2022_FINANCIAL_STATEMENTS_MAY_2023.pdf</t>
  </si>
  <si>
    <t xml:space="preserve">UBA</t>
  </si>
  <si>
    <t xml:space="preserve">https://www.ubagroup.com/wp-content/uploads/2018/08/2014-audited-financial-stateme_YQ8NW_20150414021324a7zd72ag66.pdf</t>
  </si>
  <si>
    <t xml:space="preserve">https://www.ubagroup.com/wp-content/uploads/2018/08/UBA-Plc-2016-Annual-reports-and-Accounts_Low-Resolution.VAR_.pdf</t>
  </si>
  <si>
    <t xml:space="preserve">2016 report 2015 comparative Bank columns; opening assets retained from the prior selected 2014 statement.</t>
  </si>
  <si>
    <t xml:space="preserve">Primary report checked in this update</t>
  </si>
  <si>
    <t xml:space="preserve">2016 report current-year Bank columns.</t>
  </si>
  <si>
    <t xml:space="preserve">https://www.ubagroup.com/wp-content/uploads/2019/09/UBA-Plc-2018-Annual-Report-and-Acocunts.pdf</t>
  </si>
  <si>
    <t xml:space="preserve">https://www.ubagroup.com/wp-content/uploads/2021/03/UBA-Plc-2020-Annual-Report-and-Accounts.pdf</t>
  </si>
  <si>
    <t xml:space="preserve">https://doclib.ngxgroup.com/Financial_NewsDocs/37990_UNITED_BANK_FOR_AFRICA_PLC-_QUARTER_5_-_FINANCIAL_STATEMENT_FOR_2022_FINANCIAL_STATEMENTS_MARCH_2023.pdf</t>
  </si>
  <si>
    <t xml:space="preserve">Union</t>
  </si>
  <si>
    <t xml:space="preserve">https://doclib.ngxgroup.com/Financial_NewsDocs/FinancialStatementFull_UNION%20BANK%20NIG.PLC._2015-04-15.pdf</t>
  </si>
  <si>
    <t xml:space="preserve">https://cdn.nairametrics.com/wp-content/uploads/2017/03/UNION_BANK_PLC_-_AUDITED_DEC_2016_FINANCIAL_STATEMENTS_MARCH_2017.pdf</t>
  </si>
  <si>
    <t xml:space="preserve">2016 annual report; 2015 restated comparative</t>
  </si>
  <si>
    <t xml:space="preserve">https://greenwichregistrars.com/wp-content/uploads/2021/06/2018-Annual-Report_UBN_New.pdf</t>
  </si>
  <si>
    <t xml:space="preserve">2018 report: restated 2017 main statements</t>
  </si>
  <si>
    <t xml:space="preserve">New page-checked Union reports</t>
  </si>
  <si>
    <t xml:space="preserve">Original 2018 presentation; loan reinstatement alternatives held separately</t>
  </si>
  <si>
    <t xml:space="preserve">https://doclib.ngxgroup.com/Financial_NewsDocs/32629_UNION_BANK_OF_NIGERIA_PLC%20_AUDITED_FINANCIAL_STATEMENT.pdf</t>
  </si>
  <si>
    <t xml:space="preserve">2020 audited-report comparative</t>
  </si>
  <si>
    <t xml:space="preserve">2020 audited-report current-year</t>
  </si>
  <si>
    <t xml:space="preserve">https://doclib.ngxgroup.com/Financial_NewsDocs/38269_UNION_BANK_OF_NIGERIA_PLC-_QUARTER_5_-_FINANCIAL_STATEMENT_FOR_2022_FINANCIAL_STATEMENTS_APRIL_2023.pdf</t>
  </si>
  <si>
    <t xml:space="preserve">2022 audited-report comparative</t>
  </si>
  <si>
    <t xml:space="preserve">2022 audited-report current-year</t>
  </si>
  <si>
    <t xml:space="preserve">Unity</t>
  </si>
  <si>
    <t xml:space="preserve">https://doclib.ngxgroup.com/Financial_NewsDocs/8794_UNITY_BANK_2014_AUDITED_ACCOUNTS_FINANCIAL_STATEMENTS_MARCH_2015.pdf</t>
  </si>
  <si>
    <t xml:space="preserve">2014 report comparative (not labelled restated)</t>
  </si>
  <si>
    <t xml:space="preserve">https://doclib.ngxgroup.com/Financial_NewsDocs/13702_UNITY_BANK_-_2015_AUDITED_ACCOUNTS_FINANCIAL_STATEMENTS_MAY_2016.pdf</t>
  </si>
  <si>
    <t xml:space="preserve">https://doclib.ngxgroup.com/Financial_NewsDocs/17362_UNITY_BANK_PLC_-_AUDITED_DEC_2016_FINANCIAL_STATEMENTS_APRIL_2017.pdf</t>
  </si>
  <si>
    <t xml:space="preserve">https://doclib.ngxgroup.com/Financial_NewsDocs/24374_UNITY_BANK_PLC_FINANCIAL_STATEMENTS_NOVEMBER_2018.pdf</t>
  </si>
  <si>
    <t xml:space="preserve">https://doclib.ngxgroup.com/Financial_NewsDocs/30502_UNITY_BANK_PLC_FINANCIAL_STATEMENTS_JUNE_2020.pdf</t>
  </si>
  <si>
    <t xml:space="preserve">https://doclib.ngxgroup.com/Financial_NewsDocs/35987_UNITY_BANK_PLC%20_AUDITED_FINANCIAL_STATEMENT_FOR_2021_F.pdf</t>
  </si>
  <si>
    <t xml:space="preserve">2021 report comparative (not labelled restated)</t>
  </si>
  <si>
    <t xml:space="preserve">https://doclib.ngxgroup.com/Financial_NewsDocs/38722_UNITY_BANK_PLC-_QUARTER_5_-_FINANCIAL_STATEMENT_FOR_2022_FINANCIAL_STATEMENTS_JUNE_2023.pdf</t>
  </si>
  <si>
    <t xml:space="preserve">Wema</t>
  </si>
  <si>
    <t xml:space="preserve">https://doclib.ngxgroup.com/Financial_NewsDocs/5812_WEMA_BANK_PLC_AUDITED_DEC_2013_FINANCIAL_STATEMENTS_APRIL_2014.pdf</t>
  </si>
  <si>
    <t xml:space="preserve">2013 audited financial statements as filed with the NSE (April 2014), as originally reported</t>
  </si>
  <si>
    <t xml:space="preserve">https://greenwichregistrars.com/wp-content/uploads/2021/06/Wema-Bank-2015-Report.pdf</t>
  </si>
  <si>
    <t xml:space="preserve">https://greenwichregistrars.com/wp-content/uploads/2021/06/Wema-Bank-2015-Report.pdf | https://greenwichregistrars.com/wp-content/uploads/2021/06/Wema-Bank-2016-Report.pdf</t>
  </si>
  <si>
    <t xml:space="preserve">https://greenwichregistrars.com/wp-content/uploads/2021/06/Wema-Bank-2016-Report.pdf</t>
  </si>
  <si>
    <t xml:space="preserve">https://arthursteven.com/reports/market/WEMA_BANK_PLC._FINANCIAL_STATEMENTS_MARCH_2019.pdf</t>
  </si>
  <si>
    <t xml:space="preserve">https://doclib.ngxgroup.com/Financial_NewsDocs/33124_WEMA_BANK_PLC%20_AUDITED_FINANCIAL_STATEMENT_FOR_2020_F.pdf</t>
  </si>
  <si>
    <t xml:space="preserve">https://greenwichregistrars.com/wp-content/uploads/2023/09/Wema-Bank-2022-Annual-Report.pdf</t>
  </si>
  <si>
    <t xml:space="preserve">2022 annual report; 2021 comparative, not labelled restated</t>
  </si>
  <si>
    <t xml:space="preserve">https://doclib.ngxgroup.com/Financial_NewsDocs/40841_WEMA_BANK_PLC.-_QUARTER_5_-_FINANCIAL_STATEMENT_FOR_2023_FINANCIAL_STATEMENTS_APRIL_2024.pdf</t>
  </si>
  <si>
    <t xml:space="preserve">Zenith</t>
  </si>
  <si>
    <t xml:space="preserve">https://nigerianelite.blob.core.windows.net/stocks/Zenith%20Bank%20Annual%20Report%202013.pdf</t>
  </si>
  <si>
    <t xml:space="preserve">https://www.annualreports.com/HostedData/AnnualReportArchive/z/LSE_ZENB_2015.pdf</t>
  </si>
  <si>
    <t xml:space="preserve">https://www.annualreports.com/HostedData/AnnualReportArchive/z/LSE_ZENB_2016.pdf</t>
  </si>
  <si>
    <t xml:space="preserve">2016 annual report, as originally reported (annualreports.com archive of LSE-filed report)</t>
  </si>
  <si>
    <t xml:space="preserve">https://www.annualreports.com/HostedData/AnnualReportArchive/z/LSE_ZENB_2017.pdf</t>
  </si>
  <si>
    <t xml:space="preserve">2017 annual report, as originally reported (annualreports.com archive of LSE-filed report)</t>
  </si>
  <si>
    <t xml:space="preserve">https://www.annualreports.com/HostedData/AnnualReportArchive/z/LSE_ZENB_2018.pdf</t>
  </si>
  <si>
    <t xml:space="preserve">2018 annual report, as originally reported (annualreports.com archive of LSE-filed report)</t>
  </si>
  <si>
    <t xml:space="preserve">https://www.annualreports.com/HostedData/AnnualReportArchive/z/LSE_ZENB_2019.pdf</t>
  </si>
  <si>
    <t xml:space="preserve">2019 annual report, as originally reported (annualreports.com archive of LSE-filed report)</t>
  </si>
  <si>
    <t xml:space="preserve">https://www.annualreports.com/HostedData/AnnualReportArchive/z/LSE_ZENB_2020.pdf</t>
  </si>
  <si>
    <t xml:space="preserve">2020 annual report, as originally reported (annualreports.com archive of LSE-filed report)</t>
  </si>
  <si>
    <t xml:space="preserve">https://www.annualreports.com/HostedData/AnnualReportArchive/z/LSE_ZENB_2022.pdf</t>
  </si>
  <si>
    <t xml:space="preserve">Formulas reference Panel_Inputs. Python-recomputed values are compared in Formula_Check.</t>
  </si>
  <si>
    <t xml:space="preserve">liquidity_used</t>
  </si>
  <si>
    <t xml:space="preserve">car_buffer</t>
  </si>
  <si>
    <t xml:space="preserve">Python value (from verified_panel.csv) and difference against the workbook formula.</t>
  </si>
  <si>
    <t xml:space="preserve">average_assets_py</t>
  </si>
  <si>
    <t xml:space="preserve">roa_py</t>
  </si>
  <si>
    <t xml:space="preserve">eqta_py</t>
  </si>
  <si>
    <t xml:space="preserve">ocf_ratio_py</t>
  </si>
  <si>
    <t xml:space="preserve">allr_py</t>
  </si>
  <si>
    <t xml:space="preserve">car_computed_py</t>
  </si>
  <si>
    <t xml:space="preserve">impairment_assets_py</t>
  </si>
  <si>
    <t xml:space="preserve">broad_coverage_py</t>
  </si>
  <si>
    <t xml:space="preserve">npl_calc_py</t>
  </si>
  <si>
    <t xml:space="preserve">stage3_ratio_py</t>
  </si>
  <si>
    <t xml:space="preserve">stage3_coverage_py</t>
  </si>
  <si>
    <t xml:space="preserve">roa_closing_py</t>
  </si>
  <si>
    <t xml:space="preserve">leverage_py</t>
  </si>
  <si>
    <t xml:space="preserve">ln_assets_py</t>
  </si>
  <si>
    <t xml:space="preserve">balance_residual_py</t>
  </si>
  <si>
    <t xml:space="preserve">loan_residual_py</t>
  </si>
  <si>
    <t xml:space="preserve">liquidity_used_py</t>
  </si>
  <si>
    <t xml:space="preserve">average_assets_diff</t>
  </si>
  <si>
    <t xml:space="preserve">roa_diff</t>
  </si>
  <si>
    <t xml:space="preserve">eqta_diff</t>
  </si>
  <si>
    <t xml:space="preserve">ocf_ratio_diff</t>
  </si>
  <si>
    <t xml:space="preserve">allr_diff</t>
  </si>
  <si>
    <t xml:space="preserve">car_computed_diff</t>
  </si>
  <si>
    <t xml:space="preserve">impairment_assets_diff</t>
  </si>
  <si>
    <t xml:space="preserve">broad_coverage_diff</t>
  </si>
  <si>
    <t xml:space="preserve">npl_calc_diff</t>
  </si>
  <si>
    <t xml:space="preserve">stage3_ratio_diff</t>
  </si>
  <si>
    <t xml:space="preserve">stage3_coverage_diff</t>
  </si>
  <si>
    <t xml:space="preserve">roa_closing_diff</t>
  </si>
  <si>
    <t xml:space="preserve">leverage_diff</t>
  </si>
  <si>
    <t xml:space="preserve">ln_assets_diff</t>
  </si>
  <si>
    <t xml:space="preserve">balance_residual_diff</t>
  </si>
  <si>
    <t xml:space="preserve">loan_residual_diff</t>
  </si>
  <si>
    <t xml:space="preserve">liquidity_used_diff</t>
  </si>
  <si>
    <t xml:space="preserve">Measured progress for this run.</t>
  </si>
  <si>
    <t xml:space="preserve">measure</t>
  </si>
  <si>
    <t xml:space="preserve">value</t>
  </si>
  <si>
    <t xml:space="preserve">Selected bank-years</t>
  </si>
  <si>
    <t xml:space="preserve">  baseline retained / additional</t>
  </si>
  <si>
    <t xml:space="preserve">47 / 71</t>
  </si>
  <si>
    <t xml:space="preserve">  pre-adoption / post-adoption</t>
  </si>
  <si>
    <t xml:space="preserve">60 / 58</t>
  </si>
  <si>
    <t xml:space="preserve">Banks represented</t>
  </si>
  <si>
    <t xml:space="preserve">Blank baseline cells filled (logged)</t>
  </si>
  <si>
    <t xml:space="preserve">Corrections to non-blank baseline values</t>
  </si>
  <si>
    <t xml:space="preserve">Admissions accepted / rejected</t>
  </si>
  <si>
    <t xml:space="preserve">1135 / 0</t>
  </si>
  <si>
    <t xml:space="preserve">Reconciliation pass / fail / documented exception</t>
  </si>
  <si>
    <t xml:space="preserve">262 / 0 / 2</t>
  </si>
  <si>
    <t xml:space="preserve">Evidence lineage matched / checked</t>
  </si>
  <si>
    <t xml:space="preserve">1679 / 1679</t>
  </si>
  <si>
    <t xml:space="preserve">Going-concern reviews recorded (coded 1)</t>
  </si>
  <si>
    <t xml:space="preserve">57 (3)</t>
  </si>
  <si>
    <t xml:space="preserve">Panel GCU coded / unknown</t>
  </si>
  <si>
    <t xml:space="preserve">58 / 60</t>
  </si>
  <si>
    <t xml:space="preserve">Remaining bank-year positions</t>
  </si>
  <si>
    <t xml:space="preserve">Remaining field requests in selected rows</t>
  </si>
  <si>
    <t xml:space="preserve">PDFs archived and hashed (not in zip)</t>
  </si>
  <si>
    <t xml:space="preserve">Nimble REST attempts / plugin invocations</t>
  </si>
  <si>
    <t xml:space="preserve">0 / 65</t>
  </si>
  <si>
    <t xml:space="preserve">Non-blank input cells before (baseline CSV) and after.</t>
  </si>
  <si>
    <t xml:space="preserve">field</t>
  </si>
  <si>
    <t xml:space="preserve">nonblank_before</t>
  </si>
  <si>
    <t xml:space="preserve">rows_before</t>
  </si>
  <si>
    <t xml:space="preserve">nonblank_after</t>
  </si>
  <si>
    <t xml:space="preserve">rows_after</t>
  </si>
  <si>
    <t xml:space="preserve">added</t>
  </si>
  <si>
    <t xml:space="preserve">loan_impairment</t>
  </si>
  <si>
    <t xml:space="preserve">Available observations by outcome; n_eligible_inferential from the eligibility ruleset.</t>
  </si>
  <si>
    <t xml:space="preserve">outcome</t>
  </si>
  <si>
    <t xml:space="preserve">label</t>
  </si>
  <si>
    <t xml:space="preserve">definition</t>
  </si>
  <si>
    <t xml:space="preserve">n_available</t>
  </si>
  <si>
    <t xml:space="preserve">n_missing</t>
  </si>
  <si>
    <t xml:space="preserve">n_rows</t>
  </si>
  <si>
    <t xml:space="preserve">pct_available</t>
  </si>
  <si>
    <t xml:space="preserve">pre_2018_available</t>
  </si>
  <si>
    <t xml:space="preserve">post_2018_available</t>
  </si>
  <si>
    <t xml:space="preserve">banks_with_any</t>
  </si>
  <si>
    <t xml:space="preserve">n_eligible_inferential</t>
  </si>
  <si>
    <t xml:space="preserve">ROA on average assets (%)</t>
  </si>
  <si>
    <t xml:space="preserve">Equity / assets (%)</t>
  </si>
  <si>
    <t xml:space="preserve">OCF / average assets (%)</t>
  </si>
  <si>
    <t xml:space="preserve">Loan allowance / gross loans (%)</t>
  </si>
  <si>
    <t xml:space="preserve">Liabilities / assets (%)</t>
  </si>
  <si>
    <t xml:space="preserve">Reported CAR (%)</t>
  </si>
  <si>
    <t xml:space="preserve">Capital / RWA (%)</t>
  </si>
  <si>
    <t xml:space="preserve">npl_reported</t>
  </si>
  <si>
    <t xml:space="preserve">Reported NPL ratio (%)</t>
  </si>
  <si>
    <t xml:space="preserve">not an eligibility outcome</t>
  </si>
  <si>
    <t xml:space="preserve">NPL amount / gross loans (%)</t>
  </si>
  <si>
    <t xml:space="preserve">Broad NPL coverage (%)</t>
  </si>
  <si>
    <t xml:space="preserve">Stage 3 coverage (%)</t>
  </si>
  <si>
    <t xml:space="preserve">Total impairment / average assets (%)</t>
  </si>
  <si>
    <t xml:space="preserve">Admitted domestic liquidity ratio (%)</t>
  </si>
  <si>
    <t xml:space="preserve">Going-concern uncertainty code</t>
  </si>
  <si>
    <t xml:space="preserve">Before/after log.</t>
  </si>
  <si>
    <t xml:space="preserve">old</t>
  </si>
  <si>
    <t xml:space="preserve">new</t>
  </si>
  <si>
    <t xml:space="preserve">kind</t>
  </si>
  <si>
    <t xml:space="preserve">basis</t>
  </si>
  <si>
    <t xml:space="preserve">reason</t>
  </si>
  <si>
    <t xml:space="preserve">*row*</t>
  </si>
  <si>
    <t xml:space="preserve">new_bank_year</t>
  </si>
  <si>
    <t xml:space="preserve">WEMA21-A;WEMA21-L;WEMA21-E;WEMA21-PAT;WEMA21-PBT;WEMA21-IMP;WEMA21-OCF;WEMA21-GL;WEMA21-ALW;WEMA21-NL;WEMA21-S3A;WEMA21-NPL;WEMA21-RC;WEMA21-RWA;WEMA21-CAR;WEMA21-OA</t>
  </si>
  <si>
    <t xml:space="preserve">core set admitted and reconciled</t>
  </si>
  <si>
    <t xml:space="preserve">UNION16-A;UNION16-L;UNION16-E;UNION16-OA;UNION16-PAT;UNION16-PBT;UNION16-LI;UNION16-OI;UNION16-OCF;UNION16-GL;UNION16-ALW;UNION16-NL;UNION16-SA;UNION16-CA;UNION16-RC;UNION16-RWA;UNION16-CAR;UNION16-CARMIN;UNION16-GCU;UNION16-TI</t>
  </si>
  <si>
    <t xml:space="preserve">UNION15-A;UNION15-L;UNION15-E;UNION15-OA;UNION15-PAT;UNION15-PBT;UNION15-LI;UNION15-OI;UNION15-OCF;UNION15-GL;UNION15-ALW;UNION15-NL;UNION15-SA;UNION15-CA;UNION15-RC;UNION15-RWA;UNION15-CAR;UNION15-TI</t>
  </si>
  <si>
    <t xml:space="preserve">STAN22-A;STAN22-L;STAN22-E;STAN22-OA;STAN22-PAT;STAN22-PBT;STAN22-TI;STAN22-OCF;STAN22-GL;STAN22-ALW;STAN22-NL;STAN22-S3A;STAN22-RC;STAN22-RWA;STAN22-CAR;STAN22-CART;STAN22-CARMIN;STAN22-GCU</t>
  </si>
  <si>
    <t xml:space="preserve">STAN21-A;STAN21-L;STAN21-E;STAN21-OA;STAN21-PAT;STAN21-PBT;STAN21-TI;STAN21-OCF;STAN21-GL;STAN21-ALW;STAN21-NL;STAN21-S3A;STAN21-RC;STAN21-RWA;STAN21-CAR;STAN21-CART;STAN21-GCU</t>
  </si>
  <si>
    <t xml:space="preserve">STAN20-A;STAN20-L;STAN20-E;STAN20-PAT;STAN20-PBT;STAN20-TI;STAN20-OCF;STAN20-GL;STAN20-ALW;STAN20-NL;STAN20-S3A;STAN20-T1;STAN20-T2;STAN20-T1T;STAN20-T2T;STAN20-RWA;STAN20-CAR;STAN20-CART;STAN20-RC;STAN20-RCT</t>
  </si>
  <si>
    <t xml:space="preserve">ZEN16-PAT;ZEN16-PBT;ZEN16-TI;ZEN16-A;ZEN16-L;ZEN16-E;ZEN16-OA;ZEN16-OCF;ZEN16-GL;ZEN16-NPL;ZEN16-CA;ZEN16-SA;ZEN16-NL;ZEN16-RC;ZEN16-RWA;ZEN16-CAR;ZEN16-ALW</t>
  </si>
  <si>
    <t xml:space="preserve">ZEN17-PAT;ZEN17-PBT;ZEN17-TI;ZEN17-A;ZEN17-L;ZEN17-E;ZEN17-OA;ZEN17-OCF;ZEN17-GL;ZEN17-NPL;ZEN17-CA;ZEN17-SA;ZEN17-NL;ZEN17-RC;ZEN17-RWA;ZEN17-CAR;ZEN17-ALW</t>
  </si>
  <si>
    <t xml:space="preserve">ZEN18-PAT;ZEN18-PBT;ZEN18-TI;ZEN18-A;ZEN18-L;ZEN18-E;ZEN18-OA;ZEN18-OCF;ZEN18-GL;ZEN18-NPL;ZEN18-ALW;ZEN18-NL;ZEN18-RC;ZEN18-RCT;ZEN18-RWA;ZEN18-CAR;ZEN18-CART</t>
  </si>
  <si>
    <t xml:space="preserve">ZEN19-PAT;ZEN19-PBT;ZEN19-TI;ZEN19-A;ZEN19-L;ZEN19-E;ZEN19-OA;ZEN19-OCF;ZEN19-GL;ZEN19-NPL;ZEN19-ALW;ZEN19-NL;ZEN19-RC;ZEN19-RCT;ZEN19-RWA;ZEN19-CAR;ZEN19-CART;GC-Zenith2019</t>
  </si>
  <si>
    <t xml:space="preserve">ZEN20-PAT;ZEN20-PBT;ZEN20-TI;ZEN20-A;ZEN20-L;ZEN20-E;ZEN20-OA;ZEN20-OCF;ZEN20-GL;ZEN20-ALW;ZEN20-NL;GC-Zenith2020</t>
  </si>
  <si>
    <t xml:space="preserve">GTB19-A;GTB19-L;GTB19-E;GTB19-OA;GTB19-PAT;GTB19-PBT;GTB19-LI;GTB19-OI;GTB19-OCF;GTB19-GLI;GTB19-ALI;GTB19-GLN;GTB19-ALN;GTB19-NL;GTB19-S3I;GTB19-S3N;GC-GTBank2019;GTB19-CRC;GTB19-CRWA;GTB19-CCAR;GTB19-CRCT;GTB19-CCART;GTB19-TI;GTB19-GL;GTB19-ALW;GTB19-S3A</t>
  </si>
  <si>
    <t xml:space="preserve">GTB18-A;GTB18-L;GTB18-E;GTB18-OA;GTB18-PAT;GTB18-PBT;GTB18-LI;GTB18-OI;GTB18-OCF;GTB18-GLI;GTB18-ALI;GTB18-GLN;GTB18-ALN;GTB18-NL;GTB18-S3I;GTB18-S3N;GC-GTBank2018;GTB18-TI;GTB18-GL;GTB18-ALW;GTB18-S3A</t>
  </si>
  <si>
    <t xml:space="preserve">GTB17-A;GTB17-L;GTB17-E;GTB17-OA;GTB17-PAT;GTB17-PBT;GTB17-LI;GTB17-OI;GTB17-OCF;GTB17-GLI;GTB17-ALI;GTB17-GLN;GTB17-ALN;GTB17-NL;GTB17-TI;GTB17-GL;GTB17-ALW</t>
  </si>
  <si>
    <t xml:space="preserve">FBN17-A;FBN17-L;FBN17-E;FBN17-PAT;FBN17-PBT;FBN17-LI;FBN17-OCF;FBN17-GL;FBN17-SA;FBN17-CA;FBN17-ALW;FBN17-NL;FBN17-RC;FBN17-RWA;FBN17-CAR;FBN17-CARMIN;FBN17-OA</t>
  </si>
  <si>
    <t xml:space="preserve">FBN16-A;FBN16-L;FBN16-E;FBN16-PAT;FBN16-PBT;FBN16-LI;FBN16-OCF;FBN16-GL;FBN16-SA;FBN16-CA;FBN16-ALW;FBN16-NL;FBN16-RC;FBN16-RWA;FBN16-CAR;FBN16-CARMIN;GC-FirstBank2016</t>
  </si>
  <si>
    <t xml:space="preserve">FID22-A;FID22-L;FID22-E;FID22-PAT;FID22-PBT;FID22-TI;FID22-OCF;FID22-GL;FID22-ALW;FID22-NL;FID22-RC;FID22-RWA;FID22-CAR;FID22-CARMIN;FID22-OA;GC-Fidelity2022</t>
  </si>
  <si>
    <t xml:space="preserve">FID21-A;FID21-L;FID21-E;FID21-PAT;FID21-PBT;FID21-TI;FID21-OCF;FID21-GL;FID21-ALW;FID21-NL;FID21-RC;FID21-RWA;FID21-CAR;FID21-CARMIN</t>
  </si>
  <si>
    <t xml:space="preserve">fill_blank</t>
  </si>
  <si>
    <t xml:space="preserve">GC-Union2018</t>
  </si>
  <si>
    <t xml:space="preserve">admitted reviewed evidence</t>
  </si>
  <si>
    <t xml:space="preserve">GC-Union2020</t>
  </si>
  <si>
    <t xml:space="preserve">GC-Union2022</t>
  </si>
  <si>
    <t xml:space="preserve">GC-Wema2016</t>
  </si>
  <si>
    <t xml:space="preserve">GC-Wema2020</t>
  </si>
  <si>
    <t xml:space="preserve">GC-Wema2022</t>
  </si>
  <si>
    <t xml:space="preserve">GC-Fidelity2019</t>
  </si>
  <si>
    <t xml:space="preserve">GC-Sterling2014</t>
  </si>
  <si>
    <t xml:space="preserve">GC-Sterling2019</t>
  </si>
  <si>
    <t xml:space="preserve">STAN18-A;STAN18-L;STAN18-E;STAN18-NL;STAN18-OA;STAN18-PAT;STAN18-PBT;STAN18-TI;STAN18-GCU</t>
  </si>
  <si>
    <t xml:space="preserve">STAN19-A;STAN19-L;STAN19-E;STAN19-NL;STAN19-OA;STAN19-PAT;STAN19-PBT;STAN19-TI;STAN19-GCU</t>
  </si>
  <si>
    <t xml:space="preserve">FID14-A;FID14-L;FID14-E;FID14-PAT;FID14-PBT;FID14-OCF;FID14-OA;FID14-TI;FID14-GL;FID14-ALW;FID14-SA;FID14-CA;FID14-NL;FID14-RC;FID14-RWA;FID14-CAR;FID14-CARMIN;GC-Fidelity2014</t>
  </si>
  <si>
    <t xml:space="preserve">FID15-A;FID15-L;FID15-E;FID15-PAT;FID15-PBT;FID15-OCF;FID15-OA;FID15-TI;FID15-GL;FID15-ALW;FID15-SA;FID15-CA;FID15-NL;FID15-RC;FID15-RWA;FID15-CAR;FID15-CARMIN;GC-Fidelity2015</t>
  </si>
  <si>
    <t xml:space="preserve">FID16-A;FID16-L;FID16-E;FID16-OA;FID16-PAT;FID16-PBT;FID16-TI;FID16-OCF;FID16-GL;FID16-ALW;FID16-SA;FID16-CA;FID16-NL;FID16-RC;FID16-RWA;FID16-CAR;FID16-CARMIN;GC-Fidelity2016</t>
  </si>
  <si>
    <t xml:space="preserve">FID17-A;FID17-L;FID17-E;FID17-PAT;FID17-PBT;FID17-OCF;FID17-OA;FID17-TI;FID17-GL;FID17-ALW;FID17-SA;FID17-CA;FID17-NL;FID17-RC;FID17-RWA;FID17-CAR;FID17-CARMIN;GC-Fidelity2017</t>
  </si>
  <si>
    <t xml:space="preserve">FID20-A;FID20-L;FID20-E;FID20-PAT;FID20-PBT;FID20-OCF;FID20-OA;FID20-TI;FID20-GL;FID20-ALW;FID20-NL;FID20-RC;FID20-RWA;FID20-CAR;FID20-CARMIN;GC-Fidelity2020</t>
  </si>
  <si>
    <t xml:space="preserve">WEMA13-A;WEMA13-L;WEMA13-E;WEMA13-NL;WEMA13-OA;WEMA13-PBT;WEMA13-PAT;WEMA13-TI;WEMA13-OCF</t>
  </si>
  <si>
    <t xml:space="preserve">ZEN13-A;ZEN13-L;ZEN13-E;ZEN13-OA;ZEN13-PAT;ZEN13-PBT;ZEN13-TI;ZEN13-OCF;ZEN13-GL;ZEN13-ALW;ZEN13-SA;ZEN13-CA;ZEN13-NL;ZEN13-RC;ZEN13-RWA;ZEN13-CAR;GC-Zenith2013</t>
  </si>
  <si>
    <t xml:space="preserve">ACC15-A;ACC15-L;ACC15-E;ACC15-PAT;ACC15-PBT;ACC15-OCF;ACC15-OA;ACC15-TI;ACC15-GL;ACC15-ALW;ACC15-SA;ACC15-CA;ACC15-NL;ACC15-RC;ACC15-RWA;ACC15-CAR;ACC15-CARMIN;GC-Access2015</t>
  </si>
  <si>
    <t xml:space="preserve">ACC16-A;ACC16-L;ACC16-E;ACC16-PAT;ACC16-PBT;ACC16-OCF;ACC16-OA;ACC16-TI;ACC16-GL;ACC16-ALW;ACC16-SA;ACC16-CA;ACC16-NL;ACC16-RC;ACC16-RWA;ACC16-CAR;ACC16-CARMIN;GC-Access2016</t>
  </si>
  <si>
    <t xml:space="preserve">ACC17-A;ACC17-L;ACC17-E;ACC17-PAT;ACC17-PBT;ACC17-OCF;ACC17-OA;ACC17-TI;ACC17-GL;ACC17-ALW;ACC17-SA;ACC17-CA;ACC17-NL;ACC17-RC;ACC17-RWA;ACC17-CAR;ACC17-CARMIN;GC-Access2017</t>
  </si>
  <si>
    <t xml:space="preserve">ACC20-A;ACC20-L;ACC20-E;ACC20-OA;ACC20-PAT;ACC20-PBT;ACC20-OCF;ACC20-TI;ACC20-GL;ACC20-ALW;ACC20-NL;ACC20-RCT;ACC20-RC;ACC20-CART;ACC20-CAR;ACC20-CARMIN;GC-Access2020;ACC20-RWA</t>
  </si>
  <si>
    <t xml:space="preserve">UNI14-A;UNI14-L;UNI14-E;UNI14-PAT;UNI14-PBT;UNI14-OCF;UNI14-OA;UNI14-TI;UNI14-NL</t>
  </si>
  <si>
    <t xml:space="preserve">ACC19-A;ACC19-L;ACC19-E;ACC19-PAT;ACC19-PBT;ACC19-OCF;ACC19-OA;ACC19-TI;ACC19-GL;ACC19-ALW;ACC19-NL;GC-Access2019</t>
  </si>
  <si>
    <t xml:space="preserve">ACC21-A;ACC21-L;ACC21-E;ACC21-PAT;ACC21-PBT;ACC21-OCF;ACC21-OA;ACC21-TI;ACC21-GL;ACC21-ALW;ACC21-NL;ACC21-RC;ACC21-RWA;ACC21-CAR;GC-Access2021</t>
  </si>
  <si>
    <t xml:space="preserve">UNI15-A;UNI15-L;UNI15-E;UNI15-PAT;UNI15-PBT;UNI15-OCF;UNI15-OA;UNI15-TI;UNI15-GL;UNI15-ALW;UNI15-SA;UNI15-CA;UNI15-NL;GC-Unity2015</t>
  </si>
  <si>
    <t xml:space="preserve">UNI16-A;UNI16-L;UNI16-E;UNI16-PAT;UNI16-PBT;UNI16-OCF;UNI16-OA;UNI16-TI;UNI16-GL;UNI16-ALW;UNI16-SA;UNI16-CA;UNI16-NL;UNI16-RC;UNI16-RWA;UNI16-CAR;GC-Unity2016</t>
  </si>
  <si>
    <t xml:space="preserve">UNI21-A;UNI21-L;UNI21-E;UNI21-PAT;UNI21-PBT;UNI21-OCF;UNI21-OA;UNI21-TI;UNI21-GL;UNI21-ALW;UNI21-NL;UNI21-S3G;UNI21-S3A;UNI21-RC;UNI21-RWA;UNI21-CAR;GC-Unity2021</t>
  </si>
  <si>
    <t xml:space="preserve">STER15-A;STER15-L;STER15-E;STER15-PAT;STER15-PBT;STER15-OCF;STER15-OA;STER15-TI;STER15-GL;STER15-SA;STER15-CA;STER15-NL;STER15-RC;STER15-RWA;STER15-CAR;STER15-CARMIN;GC-Sterling2015;STER15-ALW</t>
  </si>
  <si>
    <t xml:space="preserve">STER20-A;STER20-L;STER20-E;STER20-OA;STER20-NL;STER20-PAT;STER20-PBT;STER20-TI;STER20-OCF;STER20-GL;STER20-ALN;STER20-ALI;STER20-RC;STER20-RWA;STER20-CAR;STER20-CARMIN;GC-Sterling2020;STER20-ALW</t>
  </si>
  <si>
    <t xml:space="preserve">STER21-A;STER21-L;STER21-E;STER21-OA;STER21-PAT;STER21-PBT;STER21-TI;STER21-OCF;STER21-GL;STER21-NL;STER21-ALW;STER21-RC;STER21-RWA;STER21-CAR;STER21-CARMIN;GC-Sterling2021</t>
  </si>
  <si>
    <t xml:space="preserve">ACC18-A;ACC18-L;ACC18-E;ACC18-PAT;ACC18-PBT;ACC18-OCF;ACC18-TI;ACC18-NL</t>
  </si>
  <si>
    <t xml:space="preserve">UNI20-A;UNI20-L;UNI20-E;UNI20-PAT;UNI20-PBT;UNI20-OCF;UNI20-TI;UNI20-NL;UNI20-GL;UNI20-ALW</t>
  </si>
  <si>
    <t xml:space="preserve">UNI13-A;UNI13-L;UNI13-E;UNI13-PAT;UNI13-PBT;UNI13-OCF;UNI13-TI;UNI13-NL</t>
  </si>
  <si>
    <t xml:space="preserve">UNI17-A;UNI17-L;UNI17-E;UNI17-PAT;UNI17-PBT;UNI17-OCF;UNI17-OA;UNI17-TI;UNI17-GL;UNI17-ALW;UNI17-CA;UNI17-NL;UNI17-RC;UNI17-RWA;UNI17-CAR;GC-Unity2017</t>
  </si>
  <si>
    <t xml:space="preserve">UNI22-A;UNI22-L;UNI22-E;UNI22-PAT;UNI22-PBT;UNI22-OCF;UNI22-OA;UNI22-TI;UNI22-GL;UNI22-ALW;UNI22-NL;UNI22-S3G;UNI22-S3A;UNI22-RC;UNI22-RWA;UNI22-CAR;UNI22-RCT;UNI22-CART;GC-Unity2022</t>
  </si>
  <si>
    <t xml:space="preserve">STER16-A;STER16-L;STER16-E;STER16-PAT;STER16-PBT;STER16-OCF;STER16-OA;STER16-TI;STER16-GL;STER16-SA;STER16-CA;STER16-NL;STER16-RC;STER16-RWA;STER16-CAR;STER16-CARMIN;GC-Sterling2016;STER16-ALW</t>
  </si>
  <si>
    <t xml:space="preserve">STER17-A;STER17-L;STER17-E;STER17-OA;STER17-PAT;STER17-PBT;STER17-TI;STER17-OCF;STER17-GL;STER17-SA;STER17-CA;STER17-NL;STER17-ALW;STER17-RC;STER17-RWA;STER17-CAR;STER17-CARMIN;GC-Sterling2017</t>
  </si>
  <si>
    <t xml:space="preserve">FBN15-A;FBN15-L;FBN15-E;FBN15-PAT;FBN15-PBT;FBN15-OCF;FBN15-OA;FBN15-TI;FBN15-GL;FBN15-ALW;FBN15-SA;FBN15-CA;FBN15-NL;FBN15-RC;FBN15-RWA;FBN15-CAR;FBN15-CARMIN</t>
  </si>
  <si>
    <t xml:space="preserve">STER22-A;STER22-L;STER22-E;STER22-OA;STER22-PAT;STER22-PBT;STER22-TI;STER22-OCF;STER22-GL;STER22-NL;STER22-ALW;STER22-RC;STER22-RWA;STER22-CAR;STER22-CARMIN;GC-Sterling2022</t>
  </si>
  <si>
    <t xml:space="preserve">GTB20-A;GTB20-L;GTB20-E;GTB20-OA;GTB20-PAT;GTB20-PBT;GTB20-LI;GTB20-OI;GTB20-OCF;GTB20-GL;GTB20-ALWI;GTB20-ALWN;GTB20-NL;GTB20-RC;GTB20-RWA;GTB20-CAR;GTB20-RCT;GTB20-CART;GTB20-CARMIN;GC-GTBank2020;GTB20-TI;GTB20-ALW</t>
  </si>
  <si>
    <t xml:space="preserve">ACC22-A;ACC22-L;ACC22-E;ACC22-PAT;ACC22-PBT;ACC22-OCF;ACC22-OA;ACC22-TI;ACC22-GL;ACC22-ALW;ACC22-NL;ACC22-RC;ACC22-RWA;ACC22-CAR</t>
  </si>
  <si>
    <t xml:space="preserve">ECO13-A;ECO13-L;ECO13-E;ECO13-PAT;ECO13-PBT;ECO13-OCF;ECO13-OA;ECO13-TI;ECO13-GL;ECO13-ALW;ECO13-NL;ECO13-RC;ECO13-RWA;ECO13-CAR;GC-EcobankNigeria2013</t>
  </si>
  <si>
    <t xml:space="preserve">ECO14-A;ECO14-L;ECO14-E;ECO14-PAT;ECO14-PBT;ECO14-OCF;ECO14-OA;ECO14-TI;ECO14-GL;ECO14-ALW;ECO14-NL;ECO14-RC;ECO14-RWA;ECO14-CAR;GC-EcobankNigeria2014</t>
  </si>
  <si>
    <t xml:space="preserve">ECO15-A;ECO15-L;ECO15-E;ECO15-PAT;ECO15-PBT;ECO15-OCF;ECO15-OA;ECO15-TI;ECO15-GL;ECO15-ALW;ECO15-NL;ECO15-RC;ECO15-RWA;ECO15-CAR;GC-EcobankNigeria2015</t>
  </si>
  <si>
    <t xml:space="preserve">ECO18-A;ECO18-L;ECO18-E;ECO18-PAT;ECO18-PBT;ECO18-OCF;ECO18-OA;ECO18-TI;ECO18-GL;ECO18-ALW;ECO18-NL;ECO18-NPL;ECO18-RC;ECO18-RWA;ECO18-CAR;ECO18-CART;GC-EcobankNigeria2018</t>
  </si>
  <si>
    <t xml:space="preserve">ECO19-A;ECO19-L;ECO19-E;ECO19-PAT;ECO19-PBT;ECO19-OCF;ECO19-OA;ECO19-TI;ECO19-GL;ECO19-ALW;ECO19-NL;ECO19-NPL;ECO19-RC;ECO19-RWA;ECO19-CAR;ECO19-CART;GC-EcobankNigeria2019</t>
  </si>
  <si>
    <t xml:space="preserve">ECO20-A;ECO20-L;ECO20-E;ECO20-PAT;ECO20-PBT;ECO20-OCF;ECO20-OA;ECO20-TI;ECO20-GL;ECO20-ALW;ECO20-NL;ECO20-NPL;ECO20-RC;ECO20-RWA;ECO20-CAR;ECO20-CART;GC-EcobankNigeria2020</t>
  </si>
  <si>
    <t xml:space="preserve">ECO21-A;ECO21-L;ECO21-E;ECO21-PAT;ECO21-PBT;ECO21-OCF;ECO21-OA;ECO21-TI;ECO21-GL;ECO21-ALW;ECO21-NL;ECO21-NPL;ECO21-RC;ECO21-RWA;ECO21-CAR;GC-EcobankNigeria2021</t>
  </si>
  <si>
    <t xml:space="preserve">ECO22-A;ECO22-L;ECO22-E;ECO22-PAT;ECO22-PBT;ECO22-OCF;ECO22-OA;ECO22-TI;ECO22-GL;ECO22-ALW;ECO22-NL;ECO22-NPL;ECO22-RC;ECO22-RWA;ECO22-CAR;GC-EcobankNigeria2022</t>
  </si>
  <si>
    <t xml:space="preserve">GTB15-A;GTB15-L;GTB15-E;GTB15-PAT;GTB15-PBT;GTB15-OCF;GTB15-OA;GTB15-TI;GTB15-GLI;GTB15-ALI;GTB15-GLN;GTB15-ALN;GTB15-NL;GTB15-RC;GTB15-RWA;GTB15-CAR;GC-GTBank2015;GTB15-GL;GTB15-ALW</t>
  </si>
  <si>
    <t xml:space="preserve">GTB16-A;GTB16-L;GTB16-E;GTB16-PAT;GTB16-PBT;GTB16-OCF;GTB16-OA;GTB16-TI;GTB16-GLI;GTB16-ALI;GTB16-GLN;GTB16-ALN;GTB16-NL;GTB16-RC;GTB16-RWA;GTB16-CAR;GC-GTBank2016;GTB16-GL;GTB16-ALW</t>
  </si>
  <si>
    <t xml:space="preserve">GTB21-PAT;GTB21-PBT;GTB21-LI;GTB21-NL;GTB21-A;GTB21-L;GTB21-E;GTB21-OCF;GTB21-OA</t>
  </si>
  <si>
    <t xml:space="preserve">GTB22-PAT;GTB22-PBT;GTB22-LI;GTB22-NL;GTB22-A;GTB22-L;GTB22-E;GTB22-OCF;GTB22-OA</t>
  </si>
  <si>
    <t xml:space="preserve">STANH13-PAT;STANH13-PBT;STANH13-TI;STANH13-NL;STANH13-A;STANH13-OA;STANH13-E;STANH13-L</t>
  </si>
  <si>
    <t xml:space="preserve">STANH14-PAT;STANH14-PBT;STANH14-TI;STANH14-NL;STANH14-A;STANH14-OA;STANH14-E;STANH14-LCDL;STANH14-LCTL;STANH14-LCDB;STANH14-LCDC;STANH14-LCOB;STANH14-LCSD;STANH14-LCCT;STANH14-LCPO;STANH14-L</t>
  </si>
  <si>
    <t xml:space="preserve">STANH15-PAT;STANH15-PBT;STANH15-TI;STANH15-NL;STANH15-A;STANH15-OA;STANH15-E;STANH15-LCDL;STANH15-LCTL;STANH15-LCDB;STANH15-LCDC;STANH15-LCOB;STANH15-LCSD;STANH15-LCCT;STANH15-LCPO;STANH15-L</t>
  </si>
  <si>
    <t xml:space="preserve">STANH16-PAT;STANH16-PBT;STANH16-TI;STANH16-NL;STANH16-A;STANH16-OA;STANH16-E;STANH16-LCDL;STANH16-LCTL;STANH16-LCDB;STANH16-LCDC;STANH16-LCOB;STANH16-LCSD;STANH16-LCCT;STANH16-LCPO;STANH16-L</t>
  </si>
  <si>
    <t xml:space="preserve">STANH17-PAT;STANH17-PBT;STANH17-TI;STANH17-NL;STANH17-A;STANH17-OA;STANH17-E;STANH17-LCDL;STANH17-LCTL;STANH17-LCDB;STANH17-LCDC;STANH17-LCOB;STANH17-LCSD;STANH17-LCCT;STANH17-LCPO;STANH17-L</t>
  </si>
  <si>
    <t xml:space="preserve">FBN19-A;FBN19-L;FBN19-E;FBN19-NL;FBN19-OA;FBN19-PAT;FBN19-PBT;FBN19-TI;FBN19-OCF;FBN19-GLC;FBN19-GLR;FBN19-ALC;FBN19-ALR;FBN19-RC;FBN19-RWA;FBN19-CAR;FBN19-CART;GC-FirstBank2019;FBN19-GL;FBN19-ALW</t>
  </si>
  <si>
    <t xml:space="preserve">FBN18C-GLC;FBN18C-GLR;FBN18-A;FBN18-L;FBN18-E;FBN18-NL;FBN18-OA;FBN18-PAT;FBN18-PBT;FBN18-TI;FBN18-OCF;FBN18-ALW;FBN18-RC;FBN18-RWA;FBN18-CAR;FBN18-CART;GC-FirstBank2018;FBN18-GL</t>
  </si>
  <si>
    <t xml:space="preserve">FBN22-A;FBN22-L;FBN22-E;FBN22-NL;FBN22-PAT;FBN22-PBT;FBN22-TI</t>
  </si>
  <si>
    <t xml:space="preserve">Status: pass / fail / documented_source_exception. Tolerances from printed precision and input rounding.</t>
  </si>
  <si>
    <t xml:space="preserve">check</t>
  </si>
  <si>
    <t xml:space="preserve">residual</t>
  </si>
  <si>
    <t xml:space="preserve">tolerance</t>
  </si>
  <si>
    <t xml:space="preserve">rounding_unit_ngnm</t>
  </si>
  <si>
    <t xml:space="preserve">passed</t>
  </si>
  <si>
    <t xml:space="preserve">status</t>
  </si>
  <si>
    <t xml:space="preserve">exception_detail</t>
  </si>
  <si>
    <t xml:space="preserve">note</t>
  </si>
  <si>
    <t xml:space="preserve">assets = liabilities + equity</t>
  </si>
  <si>
    <t xml:space="preserve">True</t>
  </si>
  <si>
    <t xml:space="preserve">pass</t>
  </si>
  <si>
    <t xml:space="preserve">gross loans - allowance = net loans</t>
  </si>
  <si>
    <t xml:space="preserve">reported CAR vs capital/RWA</t>
  </si>
  <si>
    <t xml:space="preserve">display precision 0 dp (+/-0.5) + input rounding 3.13e-08; printed literal '18' from ACC15-CAR; basis=; transitional=</t>
  </si>
  <si>
    <t xml:space="preserve">display precision 2 dp (+/-0.005) + input rounding 2.78e-08; printed literal '19.55' from ACC16-CAR; basis=; transitional=</t>
  </si>
  <si>
    <t xml:space="preserve">display precision 2 dp (+/-0.005) + input rounding 2.56e-08; printed literal '18.18' from ACC17-CAR; basis=; transitional=</t>
  </si>
  <si>
    <t xml:space="preserve">display precision 2 dp (+/-0.005) + input rounding 1.88e-08; printed literal '15.87' from ACC20-CAR; basis=; transitional=17.22</t>
  </si>
  <si>
    <t xml:space="preserve">display precision 2 dp (+/-0.005) + input rounding 1.51e-08; printed literal '20.93' from ACC21-CAR; basis=; transitional=</t>
  </si>
  <si>
    <t xml:space="preserve">display precision 2 dp (+/-0.005) + input rounding 1.22e-05; printed literal '17.85' from ACC22-CAR; basis=; transitional=</t>
  </si>
  <si>
    <t xml:space="preserve">display precision 0 dp (+/-0.5) + input rounding 6.16e-05; printed literal '17' from ECO13-CAR; basis=; transitional=</t>
  </si>
  <si>
    <t xml:space="preserve">display precision 0 dp (+/-0.5) + input rounding 3.89e-05; printed literal '16' from ECO14-CAR; basis=; transitional=</t>
  </si>
  <si>
    <t xml:space="preserve">display precision 0 dp (+/-0.5) + input rounding 4.37e-05; printed literal '19' from ECO15-CAR; basis=; transitional=</t>
  </si>
  <si>
    <t xml:space="preserve">display precision 1 dp (+/-0.05) + input rounding 3.99e-05; printed literal '14.3' from ECO18-CAR; basis=; transitional=14.3</t>
  </si>
  <si>
    <t xml:space="preserve">display precision 2 dp (+/-0.005) + input rounding 4.02e-05; printed literal '16.31' from ECO19-CAR; basis=; transitional=16.31</t>
  </si>
  <si>
    <t xml:space="preserve">display precision 2 dp (+/-0.005) + input rounding 4.32e-05; printed literal '21.44' from ECO20-CAR; basis=; transitional=21.44</t>
  </si>
  <si>
    <t xml:space="preserve">display precision 2 dp (+/-0.005) + input rounding 3.75e-05; printed literal '11.48' from ECO21-CAR; basis=; transitional=</t>
  </si>
  <si>
    <t xml:space="preserve">display precision 2 dp (+/-0.005) + input rounding 3.24e-05; printed literal '13.27' from ECO22-CAR; basis=; transitional=</t>
  </si>
  <si>
    <t xml:space="preserve">display precision 2 dp (+/-0.005) + input rounding 7.56e-05; printed literal '24.21' from FID14-CAR; basis=; transitional=</t>
  </si>
  <si>
    <t xml:space="preserve">display precision 0 dp (+/-0.5) + input rounding 5.88e-05; printed literal '19' from FID15-CAR; basis=; transitional=</t>
  </si>
  <si>
    <t xml:space="preserve">False</t>
  </si>
  <si>
    <t xml:space="preserve">documented_source_exception</t>
  </si>
  <si>
    <t xml:space="preserve">2016 report PDF p80 (printed 79), note 4: printed CAR 17.22% vs Total Tier 1 &amp; Tier 2 capital 196,913 / total RWA 1,138,258 = 17.30%; Tier 1 (147,096) + Tier 2 (49,817) and RWA components (914,809 + 6</t>
  </si>
  <si>
    <t xml:space="preserve">display precision 2 dp (+/-0.005) + input rounding 5.15e-05; printed literal '17.22' from FID16-CAR; basis=; transitional=</t>
  </si>
  <si>
    <t xml:space="preserve">display precision 2 dp (+/-0.005) + input rounding 5.19e-05; printed literal '16.03' from FID17-CAR; basis=; transitional=</t>
  </si>
  <si>
    <t xml:space="preserve">display precision 2 dp (+/-0.005) + input rounding 4.41e-05; printed literal '18.18' from FID20-CAR; basis=; transitional=</t>
  </si>
  <si>
    <t xml:space="preserve">display precision 2 dp (+/-0.005) + input rounding 3.90e-05; printed literal '19.15' from FID21-CAR; basis=; transitional=</t>
  </si>
  <si>
    <t xml:space="preserve">display precision 2 dp (+/-0.005) + input rounding 3.70e-05; printed literal '18.14' from FID22-CAR; basis=; transitional=</t>
  </si>
  <si>
    <t xml:space="preserve">display precision 2 dp (+/-0.005) + input rounding 2.32e-05; printed literal '17.08' from FBN15-CAR; basis=; transitional=</t>
  </si>
  <si>
    <t xml:space="preserve">display precision 2 dp (+/-0.005) + input rounding 2.09e-05; printed literal '17.79' from FBN16-CAR; basis=; transitional=</t>
  </si>
  <si>
    <t xml:space="preserve">display precision 2 dp (+/-0.005) + input rounding 1.95e-05; printed literal '17.74' from FBN17-CAR; basis=; transitional=</t>
  </si>
  <si>
    <t xml:space="preserve">display precision 2 dp (+/-0.005) + input rounding 2.19e-05; printed literal '10.66' from FBN18-CAR; basis=; transitional=17.26</t>
  </si>
  <si>
    <t xml:space="preserve">display precision 2 dp (+/-0.005) + input rounding 1.87e-05; printed literal '11.16' from FBN19-CAR; basis=; transitional=15.45</t>
  </si>
  <si>
    <t xml:space="preserve">display precision 2 dp (+/-0.005) + input rounding 3.22e-08; printed literal '18.17' from GTB15-CAR; basis=; transitional=</t>
  </si>
  <si>
    <t xml:space="preserve">display precision 2 dp (+/-0.005) + input rounding 2.92e-08; printed literal '19.79' from GTB16-CAR; basis=; transitional=</t>
  </si>
  <si>
    <t xml:space="preserve">display precision 2 dp (+/-0.005) + input rounding 2.98e-08; printed literal '20.66' from GTB19-CCAR; basis=; transitional=24.74</t>
  </si>
  <si>
    <t xml:space="preserve">display precision 2 dp (+/-0.005) + input rounding 2.50e-07; printed literal '19.55' from GTB20-CAR; basis=; transitional=23.05</t>
  </si>
  <si>
    <t xml:space="preserve">display precision 1 dp (+/-0.05) + input rounding 5.24e-05; printed literal '19.4' from STAN20-CAR; basis=; transitional=19.6</t>
  </si>
  <si>
    <t xml:space="preserve">display precision 1 dp (+/-0.05) + input rounding 4.13e-05; printed literal '16.1' from STAN21-CAR; basis=; transitional=16.1</t>
  </si>
  <si>
    <t xml:space="preserve">display precision 1 dp (+/-0.05) + input rounding 3.83e-05; printed literal '18.4' from STAN22-CAR; basis=; transitional=18.4</t>
  </si>
  <si>
    <t xml:space="preserve">display precision 2 dp (+/-0.005) + input rounding 1.21e-07; printed literal '17.49' from STER15-CAR; basis=; transitional=</t>
  </si>
  <si>
    <t xml:space="preserve">display precision 2 dp (+/-0.005) + input rounding 8.19e-08; printed literal '10.66' from STER16-CAR; basis=; transitional=</t>
  </si>
  <si>
    <t xml:space="preserve">display precision 2 dp (+/-0.005) + input rounding 7.89e-05; printed literal '11.73' from STER17-CAR; basis=; transitional=</t>
  </si>
  <si>
    <t xml:space="preserve">display precision 2 dp (+/-0.005) + input rounding 7.65e-05; printed literal '17.98' from STER20-CAR; basis=; transitional=</t>
  </si>
  <si>
    <t xml:space="preserve">display precision 2 dp (+/-0.005) + input rounding 6.03e-05; printed literal '14.82' from STER21-CAR; basis=; transitional=</t>
  </si>
  <si>
    <t xml:space="preserve">display precision 2 dp (+/-0.005) + input rounding 5.66e-05; printed literal '14.67' from STER22-CAR; basis=; transitional=</t>
  </si>
  <si>
    <t xml:space="preserve">display precision 0 dp (+/-0.5) + input rounding 4.96e-05; printed literal '20' from NP0011; basis=Bank Basel II regulatory table; published whole-percent ratio; calculated precision separate.; transitional=</t>
  </si>
  <si>
    <t xml:space="preserve">display precision 0 dp (+/-0.5) + input rounding 4.49e-05; printed literal '20' from NP0031; basis=Bank Basel II regulatory table; published whole-percent ratio; calculated precision separate.; transitional=</t>
  </si>
  <si>
    <t xml:space="preserve">display precision 0 dp (+/-0.5) + input rounding 4.75e-05; printed literal '20' from NI0077; basis=Bank regulatory table; rounded published ratio; vintage retained; transitional=</t>
  </si>
  <si>
    <t xml:space="preserve">display precision 0 dp (+/-0.5) + input rounding 4.79e-05; printed literal '20' from NI0072; basis=2018 full impact / reported-vintage Basel basis; see notes; transitional=22.08</t>
  </si>
  <si>
    <t xml:space="preserve">display precision 0 dp (+/-0.5) + input rounding 4.57e-05; printed literal '22' from NI0084; basis=Bank regulatory table; rounded published ratio; vintage retained; transitional=</t>
  </si>
  <si>
    <t xml:space="preserve">display precision 0 dp (+/-0.5) + input rounding 4.27e-05; printed literal '20' from NI0080; basis=Bank regulatory table; rounded published ratio; vintage retained; transitional=</t>
  </si>
  <si>
    <t xml:space="preserve">display precision 1 dp (+/-0.05) + input rounding 3.95e-05; printed literal '21.8' from NI0090; basis=Bank regulatory table; rounded published ratio; vintage retained; transitional=</t>
  </si>
  <si>
    <t xml:space="preserve">display precision 1 dp (+/-0.05) + input rounding 3.60e-05; printed literal '21.9' from NI0087; basis=Bank regulatory table; rounded published ratio; vintage retained; transitional=</t>
  </si>
  <si>
    <t xml:space="preserve">display precision 1 dp (+/-0.05) + input rounding 9.87e-05; printed literal '15.9' from UNION15-CAR; basis=; transitional=</t>
  </si>
  <si>
    <t xml:space="preserve">display precision 1 dp (+/-0.05) + input rounding 7.82e-05; printed literal '13.3' from UNION16-CAR; basis=; transitional=</t>
  </si>
  <si>
    <t xml:space="preserve">display precision 1 dp (+/-0.05) + input rounding 7.61e-05; printed literal '17.8' from U0015; basis=Reported Basel ratio; transitional=</t>
  </si>
  <si>
    <t xml:space="preserve">display precision 1 dp (+/-0.05) + input rounding 7.26e-05; printed literal '11.5' from U0037; basis=Full IFRS 9 impact; transition-adjusted ratio separate; transitional=16.4</t>
  </si>
  <si>
    <t xml:space="preserve">display precision 2 dp (+/-0.005) + input rounding 6.58e-05; printed literal '15.91' from U0062; basis=Full IFRS 9 impact; transition-adjusted ratio separate; transitional=19.73</t>
  </si>
  <si>
    <t xml:space="preserve">display precision 2 dp (+/-0.005) + input rounding 5.84e-05; printed literal '15.76' from U0087; basis=Full IFRS 9 impact; transition-adjusted ratio separate; transitional=17.46</t>
  </si>
  <si>
    <t xml:space="preserve">display precision 2 dp (+/-0.005) + input rounding 5.36e-05; printed literal '14.61' from U0110; basis=Reported Basel ratio; transitional=</t>
  </si>
  <si>
    <t xml:space="preserve">display precision 2 dp (+/-0.005) + input rounding 4.57e-05; printed literal '14.42' from U0131; basis=Reported Basel ratio; transitional=</t>
  </si>
  <si>
    <t xml:space="preserve">display precision 2 dp (+/-0.005) + input rounding 5.72e-08; printed literal '-46.98' from UNI16-CAR; basis=; transitional=</t>
  </si>
  <si>
    <t xml:space="preserve">display precision 2 dp (+/-0.005) + input rounding -3.69e-07; printed literal '-198.07' from UNI17-CAR; basis=; transitional=</t>
  </si>
  <si>
    <t xml:space="preserve">display precision 2 dp (+/-0.005) + input rounding 2.14e-08; printed literal '-86.18' from UNI21-CAR; basis=; transitional=</t>
  </si>
  <si>
    <t xml:space="preserve">display precision 2 dp (+/-0.005) + input rounding 1.60e-08; printed literal '-89.69' from UNI22-CAR; basis=; transitional=-89.69</t>
  </si>
  <si>
    <t xml:space="preserve">display precision 1 dp (+/-0.05) + input rounding 2.28e-07; printed literal '13.6' from NI0175; basis=; transitional=</t>
  </si>
  <si>
    <t xml:space="preserve">display precision 2 dp (+/-0.005) + input rounding 2.07e-07; printed literal '15.01' from NI0172; basis=; transitional=</t>
  </si>
  <si>
    <t xml:space="preserve">2022 report p215 (printed 210): printed CAR 11.71% vs total regulatory capital 40,009,725 / RWA 346,012,969 = 11.56%; Tier 1 ratio 8.67% reconciles.</t>
  </si>
  <si>
    <t xml:space="preserve">display precision 2 dp (+/-0.005) + input rounding 1.61e-07; printed literal '11.71' from WEMA21-CAR; basis=; transitional=</t>
  </si>
  <si>
    <t xml:space="preserve">display precision 2 dp (+/-0.005) + input rounding 1.21e-07; printed literal '12.74' from NI0178; basis=; transitional=</t>
  </si>
  <si>
    <t xml:space="preserve">display precision 0 dp (+/-0.5) + input rounding 3.51e-05; printed literal '26' from ZEN13-CAR; basis=; transitional=</t>
  </si>
  <si>
    <t xml:space="preserve">display precision 0 dp (+/-0.5) + input rounding 2.32e-05; printed literal '22' from ZEN16-CAR; basis=; transitional=</t>
  </si>
  <si>
    <t xml:space="preserve">display precision 0 dp (+/-0.5) + input rounding 2.33e-05; printed literal '24' from ZEN17-CAR; basis=; transitional=</t>
  </si>
  <si>
    <t xml:space="preserve">display precision 0 dp (+/-0.5) + input rounding 2.30e-05; printed literal '24' from ZEN18-CAR; basis=; transitional=26</t>
  </si>
  <si>
    <t xml:space="preserve">display precision 0 dp (+/-0.5) + input rounding 1.63e-05; printed literal '20' from ZEN19-CAR; basis=; transitional=21</t>
  </si>
  <si>
    <t xml:space="preserve">display precision 0 dp (+/-0.5) + input rounding 1.19e-05; printed literal '20' from NI0160; basis=Bank Basel II table; published whole percent; computed precision separate; transitional=</t>
  </si>
  <si>
    <t xml:space="preserve">display precision 0 dp (+/-0.5) + input rounding 1.08e-05; printed literal '19' from NI0157; basis=Bank Basel II table; published whole percent; computed precision separate; transitional=</t>
  </si>
  <si>
    <t xml:space="preserve">Basis of every non-blank cell: baseline_inherited, reported_text_layer, manual_transcription, derived_from_verified, restated comparative, recomputed_ratio.</t>
  </si>
  <si>
    <t xml:space="preserve">value_basis</t>
  </si>
  <si>
    <t xml:space="preserve">change_kind</t>
  </si>
  <si>
    <t xml:space="preserve">reporting_version</t>
  </si>
  <si>
    <t xml:space="preserve">evidence_id</t>
  </si>
  <si>
    <t xml:space="preserve">exception_flag</t>
  </si>
  <si>
    <t xml:space="preserve">baseline_inherited</t>
  </si>
  <si>
    <t xml:space="preserve">recomputed_ratio</t>
  </si>
  <si>
    <t xml:space="preserve">reported_text_layer</t>
  </si>
  <si>
    <t xml:space="preserve">new_row</t>
  </si>
  <si>
    <t xml:space="preserve">ACC15-PAT</t>
  </si>
  <si>
    <t xml:space="preserve">ACC15-A</t>
  </si>
  <si>
    <t xml:space="preserve">ACC15-L</t>
  </si>
  <si>
    <t xml:space="preserve">ACC15-E</t>
  </si>
  <si>
    <t xml:space="preserve">ACC15-OCF</t>
  </si>
  <si>
    <t xml:space="preserve">ACC15-OA</t>
  </si>
  <si>
    <t xml:space="preserve">ACC15-GL</t>
  </si>
  <si>
    <t xml:space="preserve">ACC15-ALW</t>
  </si>
  <si>
    <t xml:space="preserve">ACC15-NL</t>
  </si>
  <si>
    <t xml:space="preserve">ACC15-TI</t>
  </si>
  <si>
    <t xml:space="preserve">ACC15-CAR</t>
  </si>
  <si>
    <t xml:space="preserve">ACC15-CARMIN</t>
  </si>
  <si>
    <t xml:space="preserve">ACC15-RC</t>
  </si>
  <si>
    <t xml:space="preserve">ACC15-RWA</t>
  </si>
  <si>
    <t xml:space="preserve">manual_transcription</t>
  </si>
  <si>
    <t xml:space="preserve">GC-Access2015</t>
  </si>
  <si>
    <t xml:space="preserve">pbt</t>
  </si>
  <si>
    <t xml:space="preserve">ACC15-PBT</t>
  </si>
  <si>
    <t xml:space="preserve">specific_allowance</t>
  </si>
  <si>
    <t xml:space="preserve">ACC15-SA</t>
  </si>
  <si>
    <t xml:space="preserve">collective_allowance</t>
  </si>
  <si>
    <t xml:space="preserve">ACC15-CA</t>
  </si>
  <si>
    <t xml:space="preserve">ACC16-PAT</t>
  </si>
  <si>
    <t xml:space="preserve">ACC16-A</t>
  </si>
  <si>
    <t xml:space="preserve">ACC16-L</t>
  </si>
  <si>
    <t xml:space="preserve">ACC16-E</t>
  </si>
  <si>
    <t xml:space="preserve">ACC16-OCF</t>
  </si>
  <si>
    <t xml:space="preserve">ACC16-OA</t>
  </si>
  <si>
    <t xml:space="preserve">ACC16-GL</t>
  </si>
  <si>
    <t xml:space="preserve">ACC16-ALW</t>
  </si>
  <si>
    <t xml:space="preserve">ACC16-NL</t>
  </si>
  <si>
    <t xml:space="preserve">ACC16-TI</t>
  </si>
  <si>
    <t xml:space="preserve">ACC16-CAR</t>
  </si>
  <si>
    <t xml:space="preserve">ACC16-CARMIN</t>
  </si>
  <si>
    <t xml:space="preserve">ACC16-RC</t>
  </si>
  <si>
    <t xml:space="preserve">ACC16-RWA</t>
  </si>
  <si>
    <t xml:space="preserve">GC-Access2016</t>
  </si>
  <si>
    <t xml:space="preserve">ACC16-PBT</t>
  </si>
  <si>
    <t xml:space="preserve">ACC16-SA</t>
  </si>
  <si>
    <t xml:space="preserve">ACC16-CA</t>
  </si>
  <si>
    <t xml:space="preserve">ACC17-PAT</t>
  </si>
  <si>
    <t xml:space="preserve">ACC17-A</t>
  </si>
  <si>
    <t xml:space="preserve">ACC17-L</t>
  </si>
  <si>
    <t xml:space="preserve">ACC17-E</t>
  </si>
  <si>
    <t xml:space="preserve">ACC17-OCF</t>
  </si>
  <si>
    <t xml:space="preserve">ACC17-OA</t>
  </si>
  <si>
    <t xml:space="preserve">ACC17-GL</t>
  </si>
  <si>
    <t xml:space="preserve">ACC17-ALW</t>
  </si>
  <si>
    <t xml:space="preserve">ACC17-NL</t>
  </si>
  <si>
    <t xml:space="preserve">ACC17-TI</t>
  </si>
  <si>
    <t xml:space="preserve">ACC17-CAR</t>
  </si>
  <si>
    <t xml:space="preserve">ACC17-CARMIN</t>
  </si>
  <si>
    <t xml:space="preserve">ACC17-RC</t>
  </si>
  <si>
    <t xml:space="preserve">ACC17-RWA</t>
  </si>
  <si>
    <t xml:space="preserve">GC-Access2017</t>
  </si>
  <si>
    <t xml:space="preserve">ACC17-PBT</t>
  </si>
  <si>
    <t xml:space="preserve">ACC17-SA</t>
  </si>
  <si>
    <t xml:space="preserve">ACC17-CA</t>
  </si>
  <si>
    <t xml:space="preserve">ACC18-PAT</t>
  </si>
  <si>
    <t xml:space="preserve">ACC18-A</t>
  </si>
  <si>
    <t xml:space="preserve">ACC18-L</t>
  </si>
  <si>
    <t xml:space="preserve">ACC18-E</t>
  </si>
  <si>
    <t xml:space="preserve">ACC18-OCF</t>
  </si>
  <si>
    <t xml:space="preserve">ACC18-NL</t>
  </si>
  <si>
    <t xml:space="preserve">ACC18-TI</t>
  </si>
  <si>
    <t xml:space="preserve">ACC18-PBT</t>
  </si>
  <si>
    <t xml:space="preserve">ACC19-PAT</t>
  </si>
  <si>
    <t xml:space="preserve">ACC19-A</t>
  </si>
  <si>
    <t xml:space="preserve">ACC19-L</t>
  </si>
  <si>
    <t xml:space="preserve">ACC19-E</t>
  </si>
  <si>
    <t xml:space="preserve">ACC19-OCF</t>
  </si>
  <si>
    <t xml:space="preserve">ACC19-OA</t>
  </si>
  <si>
    <t xml:space="preserve">ACC19-GL</t>
  </si>
  <si>
    <t xml:space="preserve">ACC19-ALW</t>
  </si>
  <si>
    <t xml:space="preserve">ACC19-NL</t>
  </si>
  <si>
    <t xml:space="preserve">ACC19-TI</t>
  </si>
  <si>
    <t xml:space="preserve">GC-Access2019</t>
  </si>
  <si>
    <t xml:space="preserve">ACC19-PBT</t>
  </si>
  <si>
    <t xml:space="preserve">ACC20-PAT</t>
  </si>
  <si>
    <t xml:space="preserve">ACC20-A</t>
  </si>
  <si>
    <t xml:space="preserve">ACC20-L</t>
  </si>
  <si>
    <t xml:space="preserve">ACC20-E</t>
  </si>
  <si>
    <t xml:space="preserve">ACC20-OCF</t>
  </si>
  <si>
    <t xml:space="preserve">ACC20-OA</t>
  </si>
  <si>
    <t xml:space="preserve">ACC20-GL</t>
  </si>
  <si>
    <t xml:space="preserve">ACC20-ALW</t>
  </si>
  <si>
    <t xml:space="preserve">ACC20-NL</t>
  </si>
  <si>
    <t xml:space="preserve">ACC20-TI</t>
  </si>
  <si>
    <t xml:space="preserve">ACC20-CAR</t>
  </si>
  <si>
    <t xml:space="preserve">car_transitional</t>
  </si>
  <si>
    <t xml:space="preserve">ACC20-CART</t>
  </si>
  <si>
    <t xml:space="preserve">ACC20-CARMIN</t>
  </si>
  <si>
    <t xml:space="preserve">ACC20-RC</t>
  </si>
  <si>
    <t xml:space="preserve">ACC20-RWA</t>
  </si>
  <si>
    <t xml:space="preserve">capital_transitional</t>
  </si>
  <si>
    <t xml:space="preserve">ACC20-RCT</t>
  </si>
  <si>
    <t xml:space="preserve">GC-Access2020</t>
  </si>
  <si>
    <t xml:space="preserve">ACC20-PBT</t>
  </si>
  <si>
    <t xml:space="preserve">ACC21-PAT</t>
  </si>
  <si>
    <t xml:space="preserve">ACC21-A</t>
  </si>
  <si>
    <t xml:space="preserve">ACC21-L</t>
  </si>
  <si>
    <t xml:space="preserve">ACC21-E</t>
  </si>
  <si>
    <t xml:space="preserve">ACC21-OCF</t>
  </si>
  <si>
    <t xml:space="preserve">ACC21-OA</t>
  </si>
  <si>
    <t xml:space="preserve">ACC21-GL</t>
  </si>
  <si>
    <t xml:space="preserve">ACC21-ALW</t>
  </si>
  <si>
    <t xml:space="preserve">ACC21-NL</t>
  </si>
  <si>
    <t xml:space="preserve">ACC21-TI</t>
  </si>
  <si>
    <t xml:space="preserve">ACC21-CAR</t>
  </si>
  <si>
    <t xml:space="preserve">ACC21-RC</t>
  </si>
  <si>
    <t xml:space="preserve">ACC21-RWA</t>
  </si>
  <si>
    <t xml:space="preserve">GC-Access2021</t>
  </si>
  <si>
    <t xml:space="preserve">ACC21-PBT</t>
  </si>
  <si>
    <t xml:space="preserve">ACC22-PAT</t>
  </si>
  <si>
    <t xml:space="preserve">ACC22-A</t>
  </si>
  <si>
    <t xml:space="preserve">ACC22-L</t>
  </si>
  <si>
    <t xml:space="preserve">ACC22-E</t>
  </si>
  <si>
    <t xml:space="preserve">ACC22-OCF</t>
  </si>
  <si>
    <t xml:space="preserve">reported_text_layer+restated_comparative</t>
  </si>
  <si>
    <t xml:space="preserve">ACC22-OA</t>
  </si>
  <si>
    <t xml:space="preserve">ACC22-GL</t>
  </si>
  <si>
    <t xml:space="preserve">ACC22-ALW</t>
  </si>
  <si>
    <t xml:space="preserve">ACC22-NL</t>
  </si>
  <si>
    <t xml:space="preserve">ACC22-TI</t>
  </si>
  <si>
    <t xml:space="preserve">ACC22-CAR</t>
  </si>
  <si>
    <t xml:space="preserve">ACC22-RC</t>
  </si>
  <si>
    <t xml:space="preserve">ACC22-RWA</t>
  </si>
  <si>
    <t xml:space="preserve">ACC22-PBT</t>
  </si>
  <si>
    <t xml:space="preserve">ECO13-PAT</t>
  </si>
  <si>
    <t xml:space="preserve">ECO13-A</t>
  </si>
  <si>
    <t xml:space="preserve">ECO13-L</t>
  </si>
  <si>
    <t xml:space="preserve">ECO13-E</t>
  </si>
  <si>
    <t xml:space="preserve">ECO13-OCF</t>
  </si>
  <si>
    <t xml:space="preserve">ECO13-OA</t>
  </si>
  <si>
    <t xml:space="preserve">ECO13-GL</t>
  </si>
  <si>
    <t xml:space="preserve">ECO13-ALW</t>
  </si>
  <si>
    <t xml:space="preserve">ECO13-NL</t>
  </si>
  <si>
    <t xml:space="preserve">ECO13-TI</t>
  </si>
  <si>
    <t xml:space="preserve">ECO13-CAR</t>
  </si>
  <si>
    <t xml:space="preserve">ECO13-RC</t>
  </si>
  <si>
    <t xml:space="preserve">ECO13-RWA</t>
  </si>
  <si>
    <t xml:space="preserve">GC-EcobankNigeria2013</t>
  </si>
  <si>
    <t xml:space="preserve">ECO13-PBT</t>
  </si>
  <si>
    <t xml:space="preserve">ECO14-PAT</t>
  </si>
  <si>
    <t xml:space="preserve">ECO14-A</t>
  </si>
  <si>
    <t xml:space="preserve">ECO14-L</t>
  </si>
  <si>
    <t xml:space="preserve">ECO14-E</t>
  </si>
  <si>
    <t xml:space="preserve">ECO14-OCF</t>
  </si>
  <si>
    <t xml:space="preserve">ECO14-OA</t>
  </si>
  <si>
    <t xml:space="preserve">ECO14-GL</t>
  </si>
  <si>
    <t xml:space="preserve">ECO14-ALW</t>
  </si>
  <si>
    <t xml:space="preserve">ECO14-NL</t>
  </si>
  <si>
    <t xml:space="preserve">ECO14-TI</t>
  </si>
  <si>
    <t xml:space="preserve">ECO14-CAR</t>
  </si>
  <si>
    <t xml:space="preserve">ECO14-RC</t>
  </si>
  <si>
    <t xml:space="preserve">ECO14-RWA</t>
  </si>
  <si>
    <t xml:space="preserve">GC-EcobankNigeria2014</t>
  </si>
  <si>
    <t xml:space="preserve">ECO14-PBT</t>
  </si>
  <si>
    <t xml:space="preserve">ECO15-PAT</t>
  </si>
  <si>
    <t xml:space="preserve">ECO15-A</t>
  </si>
  <si>
    <t xml:space="preserve">ECO15-L</t>
  </si>
  <si>
    <t xml:space="preserve">ECO15-E</t>
  </si>
  <si>
    <t xml:space="preserve">ECO15-OCF</t>
  </si>
  <si>
    <t xml:space="preserve">ECO15-OA</t>
  </si>
  <si>
    <t xml:space="preserve">ECO15-GL</t>
  </si>
  <si>
    <t xml:space="preserve">ECO15-ALW</t>
  </si>
  <si>
    <t xml:space="preserve">ECO15-NL</t>
  </si>
  <si>
    <t xml:space="preserve">ECO15-TI</t>
  </si>
  <si>
    <t xml:space="preserve">ECO15-CAR</t>
  </si>
  <si>
    <t xml:space="preserve">ECO15-RC</t>
  </si>
  <si>
    <t xml:space="preserve">ECO15-RWA</t>
  </si>
  <si>
    <t xml:space="preserve">GC-EcobankNigeria2015</t>
  </si>
  <si>
    <t xml:space="preserve">ECO15-PBT</t>
  </si>
  <si>
    <t xml:space="preserve">ECO18-PAT</t>
  </si>
  <si>
    <t xml:space="preserve">restated_comparative</t>
  </si>
  <si>
    <t xml:space="preserve">ECO18-A</t>
  </si>
  <si>
    <t xml:space="preserve">ECO18-L</t>
  </si>
  <si>
    <t xml:space="preserve">ECO18-E</t>
  </si>
  <si>
    <t xml:space="preserve">ECO18-OCF</t>
  </si>
  <si>
    <t xml:space="preserve">ECO18-OA</t>
  </si>
  <si>
    <t xml:space="preserve">ECO18-GL</t>
  </si>
  <si>
    <t xml:space="preserve">ECO18-ALW</t>
  </si>
  <si>
    <t xml:space="preserve">ECO18-NL</t>
  </si>
  <si>
    <t xml:space="preserve">ECO18-TI</t>
  </si>
  <si>
    <t xml:space="preserve">ECO18-NPL</t>
  </si>
  <si>
    <t xml:space="preserve">ECO18-CAR</t>
  </si>
  <si>
    <t xml:space="preserve">ECO18-CART</t>
  </si>
  <si>
    <t xml:space="preserve">ECO18-RC</t>
  </si>
  <si>
    <t xml:space="preserve">ECO18-RWA</t>
  </si>
  <si>
    <t xml:space="preserve">GC-EcobankNigeria2018</t>
  </si>
  <si>
    <t xml:space="preserve">ECO18-PBT</t>
  </si>
  <si>
    <t xml:space="preserve">ECO19-PAT</t>
  </si>
  <si>
    <t xml:space="preserve">ECO19-A</t>
  </si>
  <si>
    <t xml:space="preserve">ECO19-L</t>
  </si>
  <si>
    <t xml:space="preserve">ECO19-E</t>
  </si>
  <si>
    <t xml:space="preserve">ECO19-OCF</t>
  </si>
  <si>
    <t xml:space="preserve">ECO19-OA</t>
  </si>
  <si>
    <t xml:space="preserve">ECO19-GL</t>
  </si>
  <si>
    <t xml:space="preserve">ECO19-ALW</t>
  </si>
  <si>
    <t xml:space="preserve">ECO19-NL</t>
  </si>
  <si>
    <t xml:space="preserve">ECO19-TI</t>
  </si>
  <si>
    <t xml:space="preserve">ECO19-NPL</t>
  </si>
  <si>
    <t xml:space="preserve">ECO19-CAR</t>
  </si>
  <si>
    <t xml:space="preserve">ECO19-CART</t>
  </si>
  <si>
    <t xml:space="preserve">ECO19-RC</t>
  </si>
  <si>
    <t xml:space="preserve">ECO19-RWA</t>
  </si>
  <si>
    <t xml:space="preserve">GC-EcobankNigeria2019</t>
  </si>
  <si>
    <t xml:space="preserve">ECO19-PBT</t>
  </si>
  <si>
    <t xml:space="preserve">ECO20-PAT</t>
  </si>
  <si>
    <t xml:space="preserve">ECO20-A</t>
  </si>
  <si>
    <t xml:space="preserve">ECO20-L</t>
  </si>
  <si>
    <t xml:space="preserve">ECO20-E</t>
  </si>
  <si>
    <t xml:space="preserve">ECO20-OCF</t>
  </si>
  <si>
    <t xml:space="preserve">ECO20-OA</t>
  </si>
  <si>
    <t xml:space="preserve">ECO20-GL</t>
  </si>
  <si>
    <t xml:space="preserve">ECO20-ALW</t>
  </si>
  <si>
    <t xml:space="preserve">ECO20-NL</t>
  </si>
  <si>
    <t xml:space="preserve">ECO20-TI</t>
  </si>
  <si>
    <t xml:space="preserve">ECO20-NPL</t>
  </si>
  <si>
    <t xml:space="preserve">ECO20-CAR</t>
  </si>
  <si>
    <t xml:space="preserve">later_comparative</t>
  </si>
  <si>
    <t xml:space="preserve">ECO20-CART</t>
  </si>
  <si>
    <t xml:space="preserve">ECO20-RC</t>
  </si>
  <si>
    <t xml:space="preserve">ECO20-RWA</t>
  </si>
  <si>
    <t xml:space="preserve">GC-EcobankNigeria2020</t>
  </si>
  <si>
    <t xml:space="preserve">ECO20-PBT</t>
  </si>
  <si>
    <t xml:space="preserve">ECO21-PAT</t>
  </si>
  <si>
    <t xml:space="preserve">ECO21-A</t>
  </si>
  <si>
    <t xml:space="preserve">ECO21-L</t>
  </si>
  <si>
    <t xml:space="preserve">ECO21-E</t>
  </si>
  <si>
    <t xml:space="preserve">ECO21-OCF</t>
  </si>
  <si>
    <t xml:space="preserve">ECO21-OA</t>
  </si>
  <si>
    <t xml:space="preserve">ECO21-GL</t>
  </si>
  <si>
    <t xml:space="preserve">ECO21-ALW</t>
  </si>
  <si>
    <t xml:space="preserve">ECO21-NL</t>
  </si>
  <si>
    <t xml:space="preserve">ECO21-TI</t>
  </si>
  <si>
    <t xml:space="preserve">ECO21-NPL</t>
  </si>
  <si>
    <t xml:space="preserve">ECO21-CAR</t>
  </si>
  <si>
    <t xml:space="preserve">ECO21-RC</t>
  </si>
  <si>
    <t xml:space="preserve">ECO21-RWA</t>
  </si>
  <si>
    <t xml:space="preserve">GC-EcobankNigeria2021</t>
  </si>
  <si>
    <t xml:space="preserve">ECO21-PBT</t>
  </si>
  <si>
    <t xml:space="preserve">ECO22-PAT</t>
  </si>
  <si>
    <t xml:space="preserve">ECO22-A</t>
  </si>
  <si>
    <t xml:space="preserve">ECO22-L</t>
  </si>
  <si>
    <t xml:space="preserve">ECO22-E</t>
  </si>
  <si>
    <t xml:space="preserve">ECO22-OCF</t>
  </si>
  <si>
    <t xml:space="preserve">ECO22-OA</t>
  </si>
  <si>
    <t xml:space="preserve">ECO22-GL</t>
  </si>
  <si>
    <t xml:space="preserve">ECO22-ALW</t>
  </si>
  <si>
    <t xml:space="preserve">ECO22-NL</t>
  </si>
  <si>
    <t xml:space="preserve">ECO22-TI</t>
  </si>
  <si>
    <t xml:space="preserve">ECO22-NPL</t>
  </si>
  <si>
    <t xml:space="preserve">ECO22-CAR</t>
  </si>
  <si>
    <t xml:space="preserve">ECO22-RC</t>
  </si>
  <si>
    <t xml:space="preserve">ECO22-RWA</t>
  </si>
  <si>
    <t xml:space="preserve">GC-EcobankNigeria2022</t>
  </si>
  <si>
    <t xml:space="preserve">ECO22-PBT</t>
  </si>
  <si>
    <t xml:space="preserve">FID14-PAT</t>
  </si>
  <si>
    <t xml:space="preserve">FID14-A</t>
  </si>
  <si>
    <t xml:space="preserve">FID14-L</t>
  </si>
  <si>
    <t xml:space="preserve">FID14-E</t>
  </si>
  <si>
    <t xml:space="preserve">FID14-OCF</t>
  </si>
  <si>
    <t xml:space="preserve">FID14-OA</t>
  </si>
  <si>
    <t xml:space="preserve">FID14-GL</t>
  </si>
  <si>
    <t xml:space="preserve">FID14-ALW</t>
  </si>
  <si>
    <t xml:space="preserve">FID14-NL</t>
  </si>
  <si>
    <t xml:space="preserve">FID14-TI</t>
  </si>
  <si>
    <t xml:space="preserve">FID14-CAR</t>
  </si>
  <si>
    <t xml:space="preserve">FID14-CARMIN</t>
  </si>
  <si>
    <t xml:space="preserve">FID14-RC</t>
  </si>
  <si>
    <t xml:space="preserve">FID14-RWA</t>
  </si>
  <si>
    <t xml:space="preserve">GC-Fidelity2014</t>
  </si>
  <si>
    <t xml:space="preserve">FID14-PBT</t>
  </si>
  <si>
    <t xml:space="preserve">FID14-SA</t>
  </si>
  <si>
    <t xml:space="preserve">FID14-CA</t>
  </si>
  <si>
    <t xml:space="preserve">FID15-PAT</t>
  </si>
  <si>
    <t xml:space="preserve">FID15-A</t>
  </si>
  <si>
    <t xml:space="preserve">FID15-L</t>
  </si>
  <si>
    <t xml:space="preserve">FID15-E</t>
  </si>
  <si>
    <t xml:space="preserve">FID15-OCF</t>
  </si>
  <si>
    <t xml:space="preserve">FID15-OA</t>
  </si>
  <si>
    <t xml:space="preserve">FID15-GL</t>
  </si>
  <si>
    <t xml:space="preserve">FID15-ALW</t>
  </si>
  <si>
    <t xml:space="preserve">FID15-NL</t>
  </si>
  <si>
    <t xml:space="preserve">FID15-TI</t>
  </si>
  <si>
    <t xml:space="preserve">FID15-CAR</t>
  </si>
  <si>
    <t xml:space="preserve">FID15-CARMIN</t>
  </si>
  <si>
    <t xml:space="preserve">FID15-RC</t>
  </si>
  <si>
    <t xml:space="preserve">FID15-RWA</t>
  </si>
  <si>
    <t xml:space="preserve">GC-Fidelity2015</t>
  </si>
  <si>
    <t xml:space="preserve">FID15-PBT</t>
  </si>
  <si>
    <t xml:space="preserve">FID15-SA</t>
  </si>
  <si>
    <t xml:space="preserve">FID15-CA</t>
  </si>
  <si>
    <t xml:space="preserve">FID16-PAT</t>
  </si>
  <si>
    <t xml:space="preserve">FID16-A</t>
  </si>
  <si>
    <t xml:space="preserve">FID16-L</t>
  </si>
  <si>
    <t xml:space="preserve">FID16-E</t>
  </si>
  <si>
    <t xml:space="preserve">FID16-OCF</t>
  </si>
  <si>
    <t xml:space="preserve">FID16-OA</t>
  </si>
  <si>
    <t xml:space="preserve">FID16-GL</t>
  </si>
  <si>
    <t xml:space="preserve">FID16-ALW</t>
  </si>
  <si>
    <t xml:space="preserve">FID16-NL</t>
  </si>
  <si>
    <t xml:space="preserve">FID16-TI</t>
  </si>
  <si>
    <t xml:space="preserve">FID16-CAR</t>
  </si>
  <si>
    <t xml:space="preserve">source_internal_inconsistency</t>
  </si>
  <si>
    <t xml:space="preserve">FID16-CARMIN</t>
  </si>
  <si>
    <t xml:space="preserve">FID16-RC</t>
  </si>
  <si>
    <t xml:space="preserve">FID16-RWA</t>
  </si>
  <si>
    <t xml:space="preserve">GC-Fidelity2016</t>
  </si>
  <si>
    <t xml:space="preserve">FID16-PBT</t>
  </si>
  <si>
    <t xml:space="preserve">FID16-SA</t>
  </si>
  <si>
    <t xml:space="preserve">FID16-CA</t>
  </si>
  <si>
    <t xml:space="preserve">FID17-PAT</t>
  </si>
  <si>
    <t xml:space="preserve">FID17-A</t>
  </si>
  <si>
    <t xml:space="preserve">FID17-L</t>
  </si>
  <si>
    <t xml:space="preserve">FID17-E</t>
  </si>
  <si>
    <t xml:space="preserve">FID17-OCF</t>
  </si>
  <si>
    <t xml:space="preserve">FID17-OA</t>
  </si>
  <si>
    <t xml:space="preserve">FID17-GL</t>
  </si>
  <si>
    <t xml:space="preserve">FID17-ALW</t>
  </si>
  <si>
    <t xml:space="preserve">FID17-NL</t>
  </si>
  <si>
    <t xml:space="preserve">FID17-TI</t>
  </si>
  <si>
    <t xml:space="preserve">FID17-CAR</t>
  </si>
  <si>
    <t xml:space="preserve">FID17-CARMIN</t>
  </si>
  <si>
    <t xml:space="preserve">FID17-RC</t>
  </si>
  <si>
    <t xml:space="preserve">FID17-RWA</t>
  </si>
  <si>
    <t xml:space="preserve">GC-Fidelity2017</t>
  </si>
  <si>
    <t xml:space="preserve">FID17-PBT</t>
  </si>
  <si>
    <t xml:space="preserve">FID17-SA</t>
  </si>
  <si>
    <t xml:space="preserve">FID17-CA</t>
  </si>
  <si>
    <t xml:space="preserve">2019 audited financial statements</t>
  </si>
  <si>
    <t xml:space="preserve">FID20-PAT</t>
  </si>
  <si>
    <t xml:space="preserve">FID20-A</t>
  </si>
  <si>
    <t xml:space="preserve">FID20-L</t>
  </si>
  <si>
    <t xml:space="preserve">FID20-E</t>
  </si>
  <si>
    <t xml:space="preserve">FID20-OCF</t>
  </si>
  <si>
    <t xml:space="preserve">FID20-OA</t>
  </si>
  <si>
    <t xml:space="preserve">FID20-GL</t>
  </si>
  <si>
    <t xml:space="preserve">FID20-ALW</t>
  </si>
  <si>
    <t xml:space="preserve">FID20-NL</t>
  </si>
  <si>
    <t xml:space="preserve">FID20-TI</t>
  </si>
  <si>
    <t xml:space="preserve">FID20-CAR</t>
  </si>
  <si>
    <t xml:space="preserve">FID20-CARMIN</t>
  </si>
  <si>
    <t xml:space="preserve">FID20-RC</t>
  </si>
  <si>
    <t xml:space="preserve">FID20-RWA</t>
  </si>
  <si>
    <t xml:space="preserve">GC-Fidelity2020</t>
  </si>
  <si>
    <t xml:space="preserve">FID20-PBT</t>
  </si>
  <si>
    <t xml:space="preserve">FID21-PAT</t>
  </si>
  <si>
    <t xml:space="preserve">FID21-A</t>
  </si>
  <si>
    <t xml:space="preserve">FID21-L</t>
  </si>
  <si>
    <t xml:space="preserve">FID21-E</t>
  </si>
  <si>
    <t xml:space="preserve">FID21-OCF</t>
  </si>
  <si>
    <t xml:space="preserve">FID21-GL</t>
  </si>
  <si>
    <t xml:space="preserve">FID21-ALW</t>
  </si>
  <si>
    <t xml:space="preserve">FID21-NL</t>
  </si>
  <si>
    <t xml:space="preserve">FID21-TI</t>
  </si>
  <si>
    <t xml:space="preserve">FID21-CAR</t>
  </si>
  <si>
    <t xml:space="preserve">FID21-CARMIN</t>
  </si>
  <si>
    <t xml:space="preserve">FID21-RC</t>
  </si>
  <si>
    <t xml:space="preserve">FID21-RWA</t>
  </si>
  <si>
    <t xml:space="preserve">FID21-PBT</t>
  </si>
  <si>
    <t xml:space="preserve">FID22-PAT</t>
  </si>
  <si>
    <t xml:space="preserve">FID22-A</t>
  </si>
  <si>
    <t xml:space="preserve">FID22-L</t>
  </si>
  <si>
    <t xml:space="preserve">FID22-E</t>
  </si>
  <si>
    <t xml:space="preserve">FID22-OCF</t>
  </si>
  <si>
    <t xml:space="preserve">FID22-OA</t>
  </si>
  <si>
    <t xml:space="preserve">FID22-GL</t>
  </si>
  <si>
    <t xml:space="preserve">FID22-ALW</t>
  </si>
  <si>
    <t xml:space="preserve">FID22-NL</t>
  </si>
  <si>
    <t xml:space="preserve">FID22-TI</t>
  </si>
  <si>
    <t xml:space="preserve">FID22-CAR</t>
  </si>
  <si>
    <t xml:space="preserve">FID22-CARMIN</t>
  </si>
  <si>
    <t xml:space="preserve">FID22-RC</t>
  </si>
  <si>
    <t xml:space="preserve">FID22-RWA</t>
  </si>
  <si>
    <t xml:space="preserve">2022 audited financial statements</t>
  </si>
  <si>
    <t xml:space="preserve">GC-Fidelity2022</t>
  </si>
  <si>
    <t xml:space="preserve">FID22-PBT</t>
  </si>
  <si>
    <t xml:space="preserve">FBN15-PAT</t>
  </si>
  <si>
    <t xml:space="preserve">FBN15-A</t>
  </si>
  <si>
    <t xml:space="preserve">FBN15-L</t>
  </si>
  <si>
    <t xml:space="preserve">FBN15-E</t>
  </si>
  <si>
    <t xml:space="preserve">FBN15-OCF</t>
  </si>
  <si>
    <t xml:space="preserve">FBN15-OA</t>
  </si>
  <si>
    <t xml:space="preserve">FBN15-GL</t>
  </si>
  <si>
    <t xml:space="preserve">FBN15-ALW</t>
  </si>
  <si>
    <t xml:space="preserve">FBN15-NL</t>
  </si>
  <si>
    <t xml:space="preserve">FBN15-TI</t>
  </si>
  <si>
    <t xml:space="preserve">FBN15-CAR</t>
  </si>
  <si>
    <t xml:space="preserve">FBN15-CARMIN</t>
  </si>
  <si>
    <t xml:space="preserve">FBN15-RC</t>
  </si>
  <si>
    <t xml:space="preserve">FBN15-RWA</t>
  </si>
  <si>
    <t xml:space="preserve">FBN15-PBT</t>
  </si>
  <si>
    <t xml:space="preserve">FBN15-SA</t>
  </si>
  <si>
    <t xml:space="preserve">FBN15-CA</t>
  </si>
  <si>
    <t xml:space="preserve">FBN16-PAT</t>
  </si>
  <si>
    <t xml:space="preserve">FBN16-A</t>
  </si>
  <si>
    <t xml:space="preserve">FBN16-L</t>
  </si>
  <si>
    <t xml:space="preserve">FBN16-E</t>
  </si>
  <si>
    <t xml:space="preserve">FBN16-OCF</t>
  </si>
  <si>
    <t xml:space="preserve">FBN16-GL</t>
  </si>
  <si>
    <t xml:space="preserve">FBN16-ALW</t>
  </si>
  <si>
    <t xml:space="preserve">FBN16-NL</t>
  </si>
  <si>
    <t xml:space="preserve">FBN16-LI</t>
  </si>
  <si>
    <t xml:space="preserve">FBN16-CAR</t>
  </si>
  <si>
    <t xml:space="preserve">FBN16-CARMIN</t>
  </si>
  <si>
    <t xml:space="preserve">FBN16-RC</t>
  </si>
  <si>
    <t xml:space="preserve">FBN16-RWA</t>
  </si>
  <si>
    <t xml:space="preserve">GC-FirstBank2016</t>
  </si>
  <si>
    <t xml:space="preserve">FBN16-PBT</t>
  </si>
  <si>
    <t xml:space="preserve">FBN16-SA</t>
  </si>
  <si>
    <t xml:space="preserve">FBN16-CA</t>
  </si>
  <si>
    <t xml:space="preserve">FBN17-PAT</t>
  </si>
  <si>
    <t xml:space="preserve">FBN17-A</t>
  </si>
  <si>
    <t xml:space="preserve">FBN17-L</t>
  </si>
  <si>
    <t xml:space="preserve">FBN17-E</t>
  </si>
  <si>
    <t xml:space="preserve">FBN17-OCF</t>
  </si>
  <si>
    <t xml:space="preserve">FBN17-OA</t>
  </si>
  <si>
    <t xml:space="preserve">FBN17-GL</t>
  </si>
  <si>
    <t xml:space="preserve">FBN17-ALW</t>
  </si>
  <si>
    <t xml:space="preserve">FBN17-NL</t>
  </si>
  <si>
    <t xml:space="preserve">FBN17-LI</t>
  </si>
  <si>
    <t xml:space="preserve">FBN17-CAR</t>
  </si>
  <si>
    <t xml:space="preserve">FBN17-CARMIN</t>
  </si>
  <si>
    <t xml:space="preserve">FBN17-RC</t>
  </si>
  <si>
    <t xml:space="preserve">FBN17-RWA</t>
  </si>
  <si>
    <t xml:space="preserve">FBN17-PBT</t>
  </si>
  <si>
    <t xml:space="preserve">FBN17-SA</t>
  </si>
  <si>
    <t xml:space="preserve">FBN17-CA</t>
  </si>
  <si>
    <t xml:space="preserve">FBN18-PAT</t>
  </si>
  <si>
    <t xml:space="preserve">FBN18-A</t>
  </si>
  <si>
    <t xml:space="preserve">FBN18-L</t>
  </si>
  <si>
    <t xml:space="preserve">FBN18-E</t>
  </si>
  <si>
    <t xml:space="preserve">FBN18-OCF</t>
  </si>
  <si>
    <t xml:space="preserve">manual_transcription+restated_comparative</t>
  </si>
  <si>
    <t xml:space="preserve">FBN18-OA</t>
  </si>
  <si>
    <t xml:space="preserve">derived_from_verified+restated_comparative</t>
  </si>
  <si>
    <t xml:space="preserve">FBN18-GL</t>
  </si>
  <si>
    <t xml:space="preserve">FBN18-ALW</t>
  </si>
  <si>
    <t xml:space="preserve">FBN18-NL</t>
  </si>
  <si>
    <t xml:space="preserve">FBN18-TI</t>
  </si>
  <si>
    <t xml:space="preserve">FBN18-CAR</t>
  </si>
  <si>
    <t xml:space="preserve">FBN18-CART</t>
  </si>
  <si>
    <t xml:space="preserve">FBN18-RC</t>
  </si>
  <si>
    <t xml:space="preserve">FBN18-RWA</t>
  </si>
  <si>
    <t xml:space="preserve">GC-FirstBank2018</t>
  </si>
  <si>
    <t xml:space="preserve">FBN18-PBT</t>
  </si>
  <si>
    <t xml:space="preserve">FBN19-PAT</t>
  </si>
  <si>
    <t xml:space="preserve">FBN19-A</t>
  </si>
  <si>
    <t xml:space="preserve">FBN19-L</t>
  </si>
  <si>
    <t xml:space="preserve">FBN19-E</t>
  </si>
  <si>
    <t xml:space="preserve">FBN19-OCF</t>
  </si>
  <si>
    <t xml:space="preserve">FBN19-OA</t>
  </si>
  <si>
    <t xml:space="preserve">derived_from_verified</t>
  </si>
  <si>
    <t xml:space="preserve">FBN19-GL</t>
  </si>
  <si>
    <t xml:space="preserve">FBN19-ALW</t>
  </si>
  <si>
    <t xml:space="preserve">FBN19-NL</t>
  </si>
  <si>
    <t xml:space="preserve">FBN19-TI</t>
  </si>
  <si>
    <t xml:space="preserve">FBN19-CAR</t>
  </si>
  <si>
    <t xml:space="preserve">FBN19-CART</t>
  </si>
  <si>
    <t xml:space="preserve">FBN19-RC</t>
  </si>
  <si>
    <t xml:space="preserve">FBN19-RWA</t>
  </si>
  <si>
    <t xml:space="preserve">GC-FirstBank2019</t>
  </si>
  <si>
    <t xml:space="preserve">FBN19-PBT</t>
  </si>
  <si>
    <t xml:space="preserve">FBN22-PAT</t>
  </si>
  <si>
    <t xml:space="preserve">FBN22-A</t>
  </si>
  <si>
    <t xml:space="preserve">FBN22-L</t>
  </si>
  <si>
    <t xml:space="preserve">FBN22-E</t>
  </si>
  <si>
    <t xml:space="preserve">FBN22-NL</t>
  </si>
  <si>
    <t xml:space="preserve">FBN22-TI</t>
  </si>
  <si>
    <t xml:space="preserve">FBN22-PBT</t>
  </si>
  <si>
    <t xml:space="preserve">GTB15-PAT</t>
  </si>
  <si>
    <t xml:space="preserve">GTB15-A</t>
  </si>
  <si>
    <t xml:space="preserve">GTB15-L</t>
  </si>
  <si>
    <t xml:space="preserve">GTB15-E</t>
  </si>
  <si>
    <t xml:space="preserve">GTB15-OCF</t>
  </si>
  <si>
    <t xml:space="preserve">GTB15-OA</t>
  </si>
  <si>
    <t xml:space="preserve">GTB15-GL</t>
  </si>
  <si>
    <t xml:space="preserve">GTB15-ALW</t>
  </si>
  <si>
    <t xml:space="preserve">GTB15-NL</t>
  </si>
  <si>
    <t xml:space="preserve">GTB15-TI</t>
  </si>
  <si>
    <t xml:space="preserve">GTB15-CAR</t>
  </si>
  <si>
    <t xml:space="preserve">GTB15-RC</t>
  </si>
  <si>
    <t xml:space="preserve">GTB15-RWA</t>
  </si>
  <si>
    <t xml:space="preserve">GC-GTBank2015</t>
  </si>
  <si>
    <t xml:space="preserve">GTB15-PBT</t>
  </si>
  <si>
    <t xml:space="preserve">GTB16-PAT</t>
  </si>
  <si>
    <t xml:space="preserve">GTB16-A</t>
  </si>
  <si>
    <t xml:space="preserve">GTB16-L</t>
  </si>
  <si>
    <t xml:space="preserve">GTB16-E</t>
  </si>
  <si>
    <t xml:space="preserve">GTB16-OCF</t>
  </si>
  <si>
    <t xml:space="preserve">GTB16-OA</t>
  </si>
  <si>
    <t xml:space="preserve">GTB16-GL</t>
  </si>
  <si>
    <t xml:space="preserve">GTB16-ALW</t>
  </si>
  <si>
    <t xml:space="preserve">GTB16-NL</t>
  </si>
  <si>
    <t xml:space="preserve">GTB16-TI</t>
  </si>
  <si>
    <t xml:space="preserve">GTB16-CAR</t>
  </si>
  <si>
    <t xml:space="preserve">GTB16-RC</t>
  </si>
  <si>
    <t xml:space="preserve">GTB16-RWA</t>
  </si>
  <si>
    <t xml:space="preserve">GC-GTBank2016</t>
  </si>
  <si>
    <t xml:space="preserve">GTB16-PBT</t>
  </si>
  <si>
    <t xml:space="preserve">GTB17-PAT</t>
  </si>
  <si>
    <t xml:space="preserve">GTB17-A</t>
  </si>
  <si>
    <t xml:space="preserve">GTB17-L</t>
  </si>
  <si>
    <t xml:space="preserve">GTB17-E</t>
  </si>
  <si>
    <t xml:space="preserve">GTB17-OCF</t>
  </si>
  <si>
    <t xml:space="preserve">GTB17-OA</t>
  </si>
  <si>
    <t xml:space="preserve">GTB17-GL</t>
  </si>
  <si>
    <t xml:space="preserve">GTB17-ALW</t>
  </si>
  <si>
    <t xml:space="preserve">GTB17-NL</t>
  </si>
  <si>
    <t xml:space="preserve">GTB17-TI</t>
  </si>
  <si>
    <t xml:space="preserve">GTB17-LI</t>
  </si>
  <si>
    <t xml:space="preserve">other_impairment</t>
  </si>
  <si>
    <t xml:space="preserve">GTB17-OI</t>
  </si>
  <si>
    <t xml:space="preserve">GTB17-PBT</t>
  </si>
  <si>
    <t xml:space="preserve">GTB18-PAT</t>
  </si>
  <si>
    <t xml:space="preserve">GTB18-A</t>
  </si>
  <si>
    <t xml:space="preserve">GTB18-L</t>
  </si>
  <si>
    <t xml:space="preserve">GTB18-E</t>
  </si>
  <si>
    <t xml:space="preserve">GTB18-OCF</t>
  </si>
  <si>
    <t xml:space="preserve">GTB18-OA</t>
  </si>
  <si>
    <t xml:space="preserve">GTB18-GL</t>
  </si>
  <si>
    <t xml:space="preserve">GTB18-ALW</t>
  </si>
  <si>
    <t xml:space="preserve">GTB18-NL</t>
  </si>
  <si>
    <t xml:space="preserve">GTB18-TI</t>
  </si>
  <si>
    <t xml:space="preserve">GTB18-LI</t>
  </si>
  <si>
    <t xml:space="preserve">GTB18-OI</t>
  </si>
  <si>
    <t xml:space="preserve">2018 audited financial statements</t>
  </si>
  <si>
    <t xml:space="preserve">GC-GTBank2018</t>
  </si>
  <si>
    <t xml:space="preserve">GTB18-S3A</t>
  </si>
  <si>
    <t xml:space="preserve">GTB18-PBT</t>
  </si>
  <si>
    <t xml:space="preserve">GTB19-PAT</t>
  </si>
  <si>
    <t xml:space="preserve">GTB19-A</t>
  </si>
  <si>
    <t xml:space="preserve">GTB19-L</t>
  </si>
  <si>
    <t xml:space="preserve">GTB19-E</t>
  </si>
  <si>
    <t xml:space="preserve">GTB19-OCF</t>
  </si>
  <si>
    <t xml:space="preserve">GTB19-OA</t>
  </si>
  <si>
    <t xml:space="preserve">GTB19-GL</t>
  </si>
  <si>
    <t xml:space="preserve">GTB19-ALW</t>
  </si>
  <si>
    <t xml:space="preserve">GTB19-NL</t>
  </si>
  <si>
    <t xml:space="preserve">GTB19-TI</t>
  </si>
  <si>
    <t xml:space="preserve">GTB19-LI</t>
  </si>
  <si>
    <t xml:space="preserve">GTB19-OI</t>
  </si>
  <si>
    <t xml:space="preserve">GTB19-CCAR</t>
  </si>
  <si>
    <t xml:space="preserve">GTB19-CCART</t>
  </si>
  <si>
    <t xml:space="preserve">GTB19-CRC</t>
  </si>
  <si>
    <t xml:space="preserve">GTB19-CRWA</t>
  </si>
  <si>
    <t xml:space="preserve">GTB19-CRCT</t>
  </si>
  <si>
    <t xml:space="preserve">GC-GTBank2019</t>
  </si>
  <si>
    <t xml:space="preserve">GTB19-S3A</t>
  </si>
  <si>
    <t xml:space="preserve">GTB19-PBT</t>
  </si>
  <si>
    <t xml:space="preserve">GTB20-PAT</t>
  </si>
  <si>
    <t xml:space="preserve">GTB20-A</t>
  </si>
  <si>
    <t xml:space="preserve">GTB20-L</t>
  </si>
  <si>
    <t xml:space="preserve">GTB20-E</t>
  </si>
  <si>
    <t xml:space="preserve">GTB20-OCF</t>
  </si>
  <si>
    <t xml:space="preserve">GTB20-OA</t>
  </si>
  <si>
    <t xml:space="preserve">GTB20-GL</t>
  </si>
  <si>
    <t xml:space="preserve">GTB20-ALW</t>
  </si>
  <si>
    <t xml:space="preserve">GTB20-NL</t>
  </si>
  <si>
    <t xml:space="preserve">GTB20-TI</t>
  </si>
  <si>
    <t xml:space="preserve">GTB20-LI</t>
  </si>
  <si>
    <t xml:space="preserve">GTB20-OI</t>
  </si>
  <si>
    <t xml:space="preserve">GTB20-CAR</t>
  </si>
  <si>
    <t xml:space="preserve">GTB20-CART</t>
  </si>
  <si>
    <t xml:space="preserve">GTB20-CARMIN</t>
  </si>
  <si>
    <t xml:space="preserve">GTB20-RC</t>
  </si>
  <si>
    <t xml:space="preserve">GTB20-RWA</t>
  </si>
  <si>
    <t xml:space="preserve">GTB20-RCT</t>
  </si>
  <si>
    <t xml:space="preserve">GC-GTBank2020</t>
  </si>
  <si>
    <t xml:space="preserve">GTB20-PBT</t>
  </si>
  <si>
    <t xml:space="preserve">GTB21-PAT</t>
  </si>
  <si>
    <t xml:space="preserve">GTB21-A</t>
  </si>
  <si>
    <t xml:space="preserve">GTB21-L</t>
  </si>
  <si>
    <t xml:space="preserve">GTB21-E</t>
  </si>
  <si>
    <t xml:space="preserve">GTB21-OCF</t>
  </si>
  <si>
    <t xml:space="preserve">GTB21-OA</t>
  </si>
  <si>
    <t xml:space="preserve">GTB21-NL</t>
  </si>
  <si>
    <t xml:space="preserve">GTB21-LI</t>
  </si>
  <si>
    <t xml:space="preserve">GTB21-PBT</t>
  </si>
  <si>
    <t xml:space="preserve">GTB22-PAT</t>
  </si>
  <si>
    <t xml:space="preserve">GTB22-A</t>
  </si>
  <si>
    <t xml:space="preserve">GTB22-L</t>
  </si>
  <si>
    <t xml:space="preserve">GTB22-E</t>
  </si>
  <si>
    <t xml:space="preserve">GTB22-OCF</t>
  </si>
  <si>
    <t xml:space="preserve">GTB22-OA</t>
  </si>
  <si>
    <t xml:space="preserve">GTB22-NL</t>
  </si>
  <si>
    <t xml:space="preserve">GTB22-LI</t>
  </si>
  <si>
    <t xml:space="preserve">GTB22-PBT</t>
  </si>
  <si>
    <t xml:space="preserve">STANH13-PAT</t>
  </si>
  <si>
    <t xml:space="preserve">STANH13-A</t>
  </si>
  <si>
    <t xml:space="preserve">STANH13-L</t>
  </si>
  <si>
    <t xml:space="preserve">STANH13-E</t>
  </si>
  <si>
    <t xml:space="preserve">STANH13-OA</t>
  </si>
  <si>
    <t xml:space="preserve">STANH13-NL</t>
  </si>
  <si>
    <t xml:space="preserve">STANH13-TI</t>
  </si>
  <si>
    <t xml:space="preserve">STANH13-PBT</t>
  </si>
  <si>
    <t xml:space="preserve">STANH14-PAT</t>
  </si>
  <si>
    <t xml:space="preserve">STANH14-A</t>
  </si>
  <si>
    <t xml:space="preserve">STANH14-L</t>
  </si>
  <si>
    <t xml:space="preserve">STANH14-E</t>
  </si>
  <si>
    <t xml:space="preserve">STANH14-OA</t>
  </si>
  <si>
    <t xml:space="preserve">STANH14-NL</t>
  </si>
  <si>
    <t xml:space="preserve">STANH14-TI</t>
  </si>
  <si>
    <t xml:space="preserve">STANH14-PBT</t>
  </si>
  <si>
    <t xml:space="preserve">STANH15-PAT</t>
  </si>
  <si>
    <t xml:space="preserve">STANH15-A</t>
  </si>
  <si>
    <t xml:space="preserve">STANH15-L</t>
  </si>
  <si>
    <t xml:space="preserve">STANH15-E</t>
  </si>
  <si>
    <t xml:space="preserve">STANH15-OA</t>
  </si>
  <si>
    <t xml:space="preserve">STANH15-NL</t>
  </si>
  <si>
    <t xml:space="preserve">STANH15-TI</t>
  </si>
  <si>
    <t xml:space="preserve">STANH15-PBT</t>
  </si>
  <si>
    <t xml:space="preserve">STANH16-PAT</t>
  </si>
  <si>
    <t xml:space="preserve">STANH16-A</t>
  </si>
  <si>
    <t xml:space="preserve">STANH16-L</t>
  </si>
  <si>
    <t xml:space="preserve">STANH16-E</t>
  </si>
  <si>
    <t xml:space="preserve">STANH16-OA</t>
  </si>
  <si>
    <t xml:space="preserve">STANH16-NL</t>
  </si>
  <si>
    <t xml:space="preserve">STANH16-TI</t>
  </si>
  <si>
    <t xml:space="preserve">STANH16-PBT</t>
  </si>
  <si>
    <t xml:space="preserve">STANH17-PAT</t>
  </si>
  <si>
    <t xml:space="preserve">STANH17-A</t>
  </si>
  <si>
    <t xml:space="preserve">STANH17-L</t>
  </si>
  <si>
    <t xml:space="preserve">STANH17-E</t>
  </si>
  <si>
    <t xml:space="preserve">STANH17-OA</t>
  </si>
  <si>
    <t xml:space="preserve">STANH17-NL</t>
  </si>
  <si>
    <t xml:space="preserve">STANH17-TI</t>
  </si>
  <si>
    <t xml:space="preserve">STANH17-PBT</t>
  </si>
  <si>
    <t xml:space="preserve">STAN18-PAT</t>
  </si>
  <si>
    <t xml:space="preserve">STAN18-A</t>
  </si>
  <si>
    <t xml:space="preserve">STAN18-L</t>
  </si>
  <si>
    <t xml:space="preserve">STAN18-E</t>
  </si>
  <si>
    <t xml:space="preserve">STAN18-OA</t>
  </si>
  <si>
    <t xml:space="preserve">STAN18-NL</t>
  </si>
  <si>
    <t xml:space="preserve">STAN18-TI</t>
  </si>
  <si>
    <t xml:space="preserve">STAN18-GCU</t>
  </si>
  <si>
    <t xml:space="preserve">STAN18-PBT</t>
  </si>
  <si>
    <t xml:space="preserve">STAN19-PAT</t>
  </si>
  <si>
    <t xml:space="preserve">STAN19-A</t>
  </si>
  <si>
    <t xml:space="preserve">STAN19-L</t>
  </si>
  <si>
    <t xml:space="preserve">STAN19-E</t>
  </si>
  <si>
    <t xml:space="preserve">STAN19-OA</t>
  </si>
  <si>
    <t xml:space="preserve">STAN19-NL</t>
  </si>
  <si>
    <t xml:space="preserve">STAN19-TI</t>
  </si>
  <si>
    <t xml:space="preserve">STAN19-GCU</t>
  </si>
  <si>
    <t xml:space="preserve">STAN19-PBT</t>
  </si>
  <si>
    <t xml:space="preserve">STAN20-PAT</t>
  </si>
  <si>
    <t xml:space="preserve">STAN20-A</t>
  </si>
  <si>
    <t xml:space="preserve">STAN20-L</t>
  </si>
  <si>
    <t xml:space="preserve">STAN20-E</t>
  </si>
  <si>
    <t xml:space="preserve">STAN20-OCF</t>
  </si>
  <si>
    <t xml:space="preserve">STAN20-GL</t>
  </si>
  <si>
    <t xml:space="preserve">STAN20-ALW</t>
  </si>
  <si>
    <t xml:space="preserve">STAN20-NL</t>
  </si>
  <si>
    <t xml:space="preserve">STAN20-TI</t>
  </si>
  <si>
    <t xml:space="preserve">STAN20-CAR</t>
  </si>
  <si>
    <t xml:space="preserve">STAN20-CART</t>
  </si>
  <si>
    <t xml:space="preserve">STAN20-RC</t>
  </si>
  <si>
    <t xml:space="preserve">STAN20-RWA</t>
  </si>
  <si>
    <t xml:space="preserve">STAN20-RCT</t>
  </si>
  <si>
    <t xml:space="preserve">STAN20-S3A</t>
  </si>
  <si>
    <t xml:space="preserve">STAN20-PBT</t>
  </si>
  <si>
    <t xml:space="preserve">STAN21-PAT</t>
  </si>
  <si>
    <t xml:space="preserve">STAN21-A</t>
  </si>
  <si>
    <t xml:space="preserve">STAN21-L</t>
  </si>
  <si>
    <t xml:space="preserve">STAN21-E</t>
  </si>
  <si>
    <t xml:space="preserve">STAN21-OCF</t>
  </si>
  <si>
    <t xml:space="preserve">STAN21-OA</t>
  </si>
  <si>
    <t xml:space="preserve">STAN21-GL</t>
  </si>
  <si>
    <t xml:space="preserve">STAN21-ALW</t>
  </si>
  <si>
    <t xml:space="preserve">STAN21-NL</t>
  </si>
  <si>
    <t xml:space="preserve">STAN21-TI</t>
  </si>
  <si>
    <t xml:space="preserve">STAN21-CAR</t>
  </si>
  <si>
    <t xml:space="preserve">STAN21-CART</t>
  </si>
  <si>
    <t xml:space="preserve">STAN21-RC</t>
  </si>
  <si>
    <t xml:space="preserve">STAN21-RWA</t>
  </si>
  <si>
    <t xml:space="preserve">STAN21-GCU</t>
  </si>
  <si>
    <t xml:space="preserve">STAN21-S3A</t>
  </si>
  <si>
    <t xml:space="preserve">STAN21-PBT</t>
  </si>
  <si>
    <t xml:space="preserve">STAN22-PAT</t>
  </si>
  <si>
    <t xml:space="preserve">STAN22-A</t>
  </si>
  <si>
    <t xml:space="preserve">STAN22-L</t>
  </si>
  <si>
    <t xml:space="preserve">STAN22-E</t>
  </si>
  <si>
    <t xml:space="preserve">STAN22-OCF</t>
  </si>
  <si>
    <t xml:space="preserve">STAN22-OA</t>
  </si>
  <si>
    <t xml:space="preserve">STAN22-GL</t>
  </si>
  <si>
    <t xml:space="preserve">STAN22-ALW</t>
  </si>
  <si>
    <t xml:space="preserve">STAN22-NL</t>
  </si>
  <si>
    <t xml:space="preserve">STAN22-TI</t>
  </si>
  <si>
    <t xml:space="preserve">STAN22-CAR</t>
  </si>
  <si>
    <t xml:space="preserve">STAN22-CART</t>
  </si>
  <si>
    <t xml:space="preserve">STAN22-CARMIN</t>
  </si>
  <si>
    <t xml:space="preserve">STAN22-RC</t>
  </si>
  <si>
    <t xml:space="preserve">STAN22-RWA</t>
  </si>
  <si>
    <t xml:space="preserve">STAN22-GCU</t>
  </si>
  <si>
    <t xml:space="preserve">STAN22-S3A</t>
  </si>
  <si>
    <t xml:space="preserve">STAN22-PBT</t>
  </si>
  <si>
    <t xml:space="preserve">2014 audited financial statements</t>
  </si>
  <si>
    <t xml:space="preserve">STER15-PAT</t>
  </si>
  <si>
    <t xml:space="preserve">STER15-A</t>
  </si>
  <si>
    <t xml:space="preserve">STER15-L</t>
  </si>
  <si>
    <t xml:space="preserve">STER15-E</t>
  </si>
  <si>
    <t xml:space="preserve">STER15-OCF</t>
  </si>
  <si>
    <t xml:space="preserve">STER15-OA</t>
  </si>
  <si>
    <t xml:space="preserve">STER15-GL</t>
  </si>
  <si>
    <t xml:space="preserve">STER15-ALW</t>
  </si>
  <si>
    <t xml:space="preserve">STER15-NL</t>
  </si>
  <si>
    <t xml:space="preserve">STER15-TI</t>
  </si>
  <si>
    <t xml:space="preserve">STER15-CAR</t>
  </si>
  <si>
    <t xml:space="preserve">STER15-CARMIN</t>
  </si>
  <si>
    <t xml:space="preserve">STER15-RC</t>
  </si>
  <si>
    <t xml:space="preserve">STER15-RWA</t>
  </si>
  <si>
    <t xml:space="preserve">GC-Sterling2015</t>
  </si>
  <si>
    <t xml:space="preserve">STER15-PBT</t>
  </si>
  <si>
    <t xml:space="preserve">STER15-SA</t>
  </si>
  <si>
    <t xml:space="preserve">STER15-CA</t>
  </si>
  <si>
    <t xml:space="preserve">STER16-PAT</t>
  </si>
  <si>
    <t xml:space="preserve">STER16-A</t>
  </si>
  <si>
    <t xml:space="preserve">STER16-L</t>
  </si>
  <si>
    <t xml:space="preserve">STER16-E</t>
  </si>
  <si>
    <t xml:space="preserve">STER16-OCF</t>
  </si>
  <si>
    <t xml:space="preserve">STER16-OA</t>
  </si>
  <si>
    <t xml:space="preserve">STER16-GL</t>
  </si>
  <si>
    <t xml:space="preserve">STER16-ALW</t>
  </si>
  <si>
    <t xml:space="preserve">STER16-NL</t>
  </si>
  <si>
    <t xml:space="preserve">STER16-TI</t>
  </si>
  <si>
    <t xml:space="preserve">STER16-CAR</t>
  </si>
  <si>
    <t xml:space="preserve">STER16-CARMIN</t>
  </si>
  <si>
    <t xml:space="preserve">STER16-RC</t>
  </si>
  <si>
    <t xml:space="preserve">STER16-RWA</t>
  </si>
  <si>
    <t xml:space="preserve">GC-Sterling2016</t>
  </si>
  <si>
    <t xml:space="preserve">STER16-PBT</t>
  </si>
  <si>
    <t xml:space="preserve">STER16-SA</t>
  </si>
  <si>
    <t xml:space="preserve">STER16-CA</t>
  </si>
  <si>
    <t xml:space="preserve">STER17-PAT</t>
  </si>
  <si>
    <t xml:space="preserve">STER17-A</t>
  </si>
  <si>
    <t xml:space="preserve">STER17-L</t>
  </si>
  <si>
    <t xml:space="preserve">STER17-E</t>
  </si>
  <si>
    <t xml:space="preserve">STER17-OCF</t>
  </si>
  <si>
    <t xml:space="preserve">STER17-OA</t>
  </si>
  <si>
    <t xml:space="preserve">STER17-GL</t>
  </si>
  <si>
    <t xml:space="preserve">STER17-ALW</t>
  </si>
  <si>
    <t xml:space="preserve">STER17-NL</t>
  </si>
  <si>
    <t xml:space="preserve">STER17-TI</t>
  </si>
  <si>
    <t xml:space="preserve">STER17-CAR</t>
  </si>
  <si>
    <t xml:space="preserve">STER17-CARMIN</t>
  </si>
  <si>
    <t xml:space="preserve">STER17-RC</t>
  </si>
  <si>
    <t xml:space="preserve">STER17-RWA</t>
  </si>
  <si>
    <t xml:space="preserve">GC-Sterling2017</t>
  </si>
  <si>
    <t xml:space="preserve">STER17-PBT</t>
  </si>
  <si>
    <t xml:space="preserve">STER17-SA</t>
  </si>
  <si>
    <t xml:space="preserve">STER17-CA</t>
  </si>
  <si>
    <t xml:space="preserve">STER20-PAT</t>
  </si>
  <si>
    <t xml:space="preserve">STER20-A</t>
  </si>
  <si>
    <t xml:space="preserve">STER20-L</t>
  </si>
  <si>
    <t xml:space="preserve">STER20-E</t>
  </si>
  <si>
    <t xml:space="preserve">STER20-OCF</t>
  </si>
  <si>
    <t xml:space="preserve">STER20-OA</t>
  </si>
  <si>
    <t xml:space="preserve">STER20-GL</t>
  </si>
  <si>
    <t xml:space="preserve">STER20-ALW</t>
  </si>
  <si>
    <t xml:space="preserve">STER20-NL</t>
  </si>
  <si>
    <t xml:space="preserve">STER20-TI</t>
  </si>
  <si>
    <t xml:space="preserve">STER20-CAR</t>
  </si>
  <si>
    <t xml:space="preserve">STER20-CARMIN</t>
  </si>
  <si>
    <t xml:space="preserve">STER20-RC</t>
  </si>
  <si>
    <t xml:space="preserve">STER20-RWA</t>
  </si>
  <si>
    <t xml:space="preserve">GC-Sterling2020</t>
  </si>
  <si>
    <t xml:space="preserve">STER20-PBT</t>
  </si>
  <si>
    <t xml:space="preserve">STER21-PAT</t>
  </si>
  <si>
    <t xml:space="preserve">STER21-A</t>
  </si>
  <si>
    <t xml:space="preserve">STER21-L</t>
  </si>
  <si>
    <t xml:space="preserve">STER21-E</t>
  </si>
  <si>
    <t xml:space="preserve">STER21-OCF</t>
  </si>
  <si>
    <t xml:space="preserve">STER21-OA</t>
  </si>
  <si>
    <t xml:space="preserve">STER21-GL</t>
  </si>
  <si>
    <t xml:space="preserve">STER21-ALW</t>
  </si>
  <si>
    <t xml:space="preserve">STER21-NL</t>
  </si>
  <si>
    <t xml:space="preserve">STER21-TI</t>
  </si>
  <si>
    <t xml:space="preserve">STER21-CAR</t>
  </si>
  <si>
    <t xml:space="preserve">STER21-CARMIN</t>
  </si>
  <si>
    <t xml:space="preserve">STER21-RC</t>
  </si>
  <si>
    <t xml:space="preserve">STER21-RWA</t>
  </si>
  <si>
    <t xml:space="preserve">GC-Sterling2021</t>
  </si>
  <si>
    <t xml:space="preserve">STER21-PBT</t>
  </si>
  <si>
    <t xml:space="preserve">STER22-PAT</t>
  </si>
  <si>
    <t xml:space="preserve">STER22-A</t>
  </si>
  <si>
    <t xml:space="preserve">STER22-L</t>
  </si>
  <si>
    <t xml:space="preserve">STER22-E</t>
  </si>
  <si>
    <t xml:space="preserve">STER22-OCF</t>
  </si>
  <si>
    <t xml:space="preserve">STER22-OA</t>
  </si>
  <si>
    <t xml:space="preserve">STER22-GL</t>
  </si>
  <si>
    <t xml:space="preserve">STER22-ALW</t>
  </si>
  <si>
    <t xml:space="preserve">STER22-NL</t>
  </si>
  <si>
    <t xml:space="preserve">STER22-TI</t>
  </si>
  <si>
    <t xml:space="preserve">STER22-CAR</t>
  </si>
  <si>
    <t xml:space="preserve">STER22-CARMIN</t>
  </si>
  <si>
    <t xml:space="preserve">STER22-RC</t>
  </si>
  <si>
    <t xml:space="preserve">STER22-RWA</t>
  </si>
  <si>
    <t xml:space="preserve">GC-Sterling2022</t>
  </si>
  <si>
    <t xml:space="preserve">STER22-PBT</t>
  </si>
  <si>
    <t xml:space="preserve">gross_earnings</t>
  </si>
  <si>
    <t xml:space="preserve">UNION15-PAT</t>
  </si>
  <si>
    <t xml:space="preserve">UNION15-A</t>
  </si>
  <si>
    <t xml:space="preserve">UNION15-L</t>
  </si>
  <si>
    <t xml:space="preserve">UNION15-E</t>
  </si>
  <si>
    <t xml:space="preserve">UNION15-OCF</t>
  </si>
  <si>
    <t xml:space="preserve">UNION15-OA</t>
  </si>
  <si>
    <t xml:space="preserve">UNION15-GL</t>
  </si>
  <si>
    <t xml:space="preserve">UNION15-ALW</t>
  </si>
  <si>
    <t xml:space="preserve">UNION15-NL</t>
  </si>
  <si>
    <t xml:space="preserve">UNION15-TI</t>
  </si>
  <si>
    <t xml:space="preserve">UNION15-LI</t>
  </si>
  <si>
    <t xml:space="preserve">UNION15-OI</t>
  </si>
  <si>
    <t xml:space="preserve">UNION15-CAR</t>
  </si>
  <si>
    <t xml:space="preserve">UNION15-RC</t>
  </si>
  <si>
    <t xml:space="preserve">UNION15-RWA</t>
  </si>
  <si>
    <t xml:space="preserve">UNION15-PBT</t>
  </si>
  <si>
    <t xml:space="preserve">UNION15-SA</t>
  </si>
  <si>
    <t xml:space="preserve">UNION15-CA</t>
  </si>
  <si>
    <t xml:space="preserve">UNION16-PAT</t>
  </si>
  <si>
    <t xml:space="preserve">UNION16-A</t>
  </si>
  <si>
    <t xml:space="preserve">UNION16-L</t>
  </si>
  <si>
    <t xml:space="preserve">UNION16-E</t>
  </si>
  <si>
    <t xml:space="preserve">UNION16-OCF</t>
  </si>
  <si>
    <t xml:space="preserve">UNION16-OA</t>
  </si>
  <si>
    <t xml:space="preserve">UNION16-GL</t>
  </si>
  <si>
    <t xml:space="preserve">UNION16-ALW</t>
  </si>
  <si>
    <t xml:space="preserve">UNION16-NL</t>
  </si>
  <si>
    <t xml:space="preserve">UNION16-TI</t>
  </si>
  <si>
    <t xml:space="preserve">UNION16-LI</t>
  </si>
  <si>
    <t xml:space="preserve">UNION16-OI</t>
  </si>
  <si>
    <t xml:space="preserve">UNION16-CAR</t>
  </si>
  <si>
    <t xml:space="preserve">UNION16-CARMIN</t>
  </si>
  <si>
    <t xml:space="preserve">UNION16-RC</t>
  </si>
  <si>
    <t xml:space="preserve">UNION16-RWA</t>
  </si>
  <si>
    <t xml:space="preserve">UNION16-GCU</t>
  </si>
  <si>
    <t xml:space="preserve">UNION16-PBT</t>
  </si>
  <si>
    <t xml:space="preserve">UNION16-SA</t>
  </si>
  <si>
    <t xml:space="preserve">UNION16-CA</t>
  </si>
  <si>
    <t xml:space="preserve">credit_impairment</t>
  </si>
  <si>
    <t xml:space="preserve">capital_addback</t>
  </si>
  <si>
    <t xml:space="preserve">2020 audited financial statements</t>
  </si>
  <si>
    <t xml:space="preserve">UNI13-PAT</t>
  </si>
  <si>
    <t xml:space="preserve">UNI13-A</t>
  </si>
  <si>
    <t xml:space="preserve">UNI13-L</t>
  </si>
  <si>
    <t xml:space="preserve">UNI13-E</t>
  </si>
  <si>
    <t xml:space="preserve">UNI13-OCF</t>
  </si>
  <si>
    <t xml:space="preserve">UNI13-NL</t>
  </si>
  <si>
    <t xml:space="preserve">UNI13-TI</t>
  </si>
  <si>
    <t xml:space="preserve">UNI13-PBT</t>
  </si>
  <si>
    <t xml:space="preserve">UNI14-PAT</t>
  </si>
  <si>
    <t xml:space="preserve">UNI14-A</t>
  </si>
  <si>
    <t xml:space="preserve">UNI14-L</t>
  </si>
  <si>
    <t xml:space="preserve">UNI14-E</t>
  </si>
  <si>
    <t xml:space="preserve">UNI14-OCF</t>
  </si>
  <si>
    <t xml:space="preserve">UNI14-OA</t>
  </si>
  <si>
    <t xml:space="preserve">UNI14-NL</t>
  </si>
  <si>
    <t xml:space="preserve">UNI14-TI</t>
  </si>
  <si>
    <t xml:space="preserve">UNI14-PBT</t>
  </si>
  <si>
    <t xml:space="preserve">UNI15-PAT</t>
  </si>
  <si>
    <t xml:space="preserve">UNI15-A</t>
  </si>
  <si>
    <t xml:space="preserve">UNI15-L</t>
  </si>
  <si>
    <t xml:space="preserve">UNI15-E</t>
  </si>
  <si>
    <t xml:space="preserve">UNI15-OCF</t>
  </si>
  <si>
    <t xml:space="preserve">UNI15-OA</t>
  </si>
  <si>
    <t xml:space="preserve">UNI15-GL</t>
  </si>
  <si>
    <t xml:space="preserve">UNI15-ALW</t>
  </si>
  <si>
    <t xml:space="preserve">UNI15-NL</t>
  </si>
  <si>
    <t xml:space="preserve">UNI15-TI</t>
  </si>
  <si>
    <t xml:space="preserve">GC-Unity2015</t>
  </si>
  <si>
    <t xml:space="preserve">UNI15-PBT</t>
  </si>
  <si>
    <t xml:space="preserve">UNI15-SA</t>
  </si>
  <si>
    <t xml:space="preserve">UNI15-CA</t>
  </si>
  <si>
    <t xml:space="preserve">UNI16-PAT</t>
  </si>
  <si>
    <t xml:space="preserve">UNI16-A</t>
  </si>
  <si>
    <t xml:space="preserve">UNI16-L</t>
  </si>
  <si>
    <t xml:space="preserve">UNI16-E</t>
  </si>
  <si>
    <t xml:space="preserve">UNI16-OCF</t>
  </si>
  <si>
    <t xml:space="preserve">UNI16-OA</t>
  </si>
  <si>
    <t xml:space="preserve">UNI16-GL</t>
  </si>
  <si>
    <t xml:space="preserve">UNI16-ALW</t>
  </si>
  <si>
    <t xml:space="preserve">UNI16-NL</t>
  </si>
  <si>
    <t xml:space="preserve">UNI16-TI</t>
  </si>
  <si>
    <t xml:space="preserve">UNI16-CAR</t>
  </si>
  <si>
    <t xml:space="preserve">UNI16-RC</t>
  </si>
  <si>
    <t xml:space="preserve">UNI16-RWA</t>
  </si>
  <si>
    <t xml:space="preserve">GC-Unity2016</t>
  </si>
  <si>
    <t xml:space="preserve">UNI16-PBT</t>
  </si>
  <si>
    <t xml:space="preserve">UNI16-SA</t>
  </si>
  <si>
    <t xml:space="preserve">UNI16-CA</t>
  </si>
  <si>
    <t xml:space="preserve">UNI17-PAT</t>
  </si>
  <si>
    <t xml:space="preserve">UNI17-A</t>
  </si>
  <si>
    <t xml:space="preserve">UNI17-L</t>
  </si>
  <si>
    <t xml:space="preserve">UNI17-E</t>
  </si>
  <si>
    <t xml:space="preserve">UNI17-OCF</t>
  </si>
  <si>
    <t xml:space="preserve">UNI17-OA</t>
  </si>
  <si>
    <t xml:space="preserve">UNI17-GL</t>
  </si>
  <si>
    <t xml:space="preserve">UNI17-ALW</t>
  </si>
  <si>
    <t xml:space="preserve">UNI17-NL</t>
  </si>
  <si>
    <t xml:space="preserve">UNI17-TI</t>
  </si>
  <si>
    <t xml:space="preserve">UNI17-CAR</t>
  </si>
  <si>
    <t xml:space="preserve">UNI17-RC</t>
  </si>
  <si>
    <t xml:space="preserve">UNI17-RWA</t>
  </si>
  <si>
    <t xml:space="preserve">GC-Unity2017</t>
  </si>
  <si>
    <t xml:space="preserve">UNI17-PBT</t>
  </si>
  <si>
    <t xml:space="preserve">UNI17-CA</t>
  </si>
  <si>
    <t xml:space="preserve">GC-Unity2019</t>
  </si>
  <si>
    <t xml:space="preserve">UNI20-PAT</t>
  </si>
  <si>
    <t xml:space="preserve">UNI20-A</t>
  </si>
  <si>
    <t xml:space="preserve">UNI20-L</t>
  </si>
  <si>
    <t xml:space="preserve">UNI20-E</t>
  </si>
  <si>
    <t xml:space="preserve">UNI20-OCF</t>
  </si>
  <si>
    <t xml:space="preserve">UNI20-GL</t>
  </si>
  <si>
    <t xml:space="preserve">UNI20-ALW</t>
  </si>
  <si>
    <t xml:space="preserve">UNI20-NL</t>
  </si>
  <si>
    <t xml:space="preserve">UNI20-TI</t>
  </si>
  <si>
    <t xml:space="preserve">UNI20-PBT</t>
  </si>
  <si>
    <t xml:space="preserve">UNI21-PAT</t>
  </si>
  <si>
    <t xml:space="preserve">UNI21-A</t>
  </si>
  <si>
    <t xml:space="preserve">UNI21-L</t>
  </si>
  <si>
    <t xml:space="preserve">UNI21-E</t>
  </si>
  <si>
    <t xml:space="preserve">UNI21-OCF</t>
  </si>
  <si>
    <t xml:space="preserve">UNI21-OA</t>
  </si>
  <si>
    <t xml:space="preserve">UNI21-GL</t>
  </si>
  <si>
    <t xml:space="preserve">UNI21-ALW</t>
  </si>
  <si>
    <t xml:space="preserve">UNI21-NL</t>
  </si>
  <si>
    <t xml:space="preserve">UNI21-TI</t>
  </si>
  <si>
    <t xml:space="preserve">UNI21-CAR</t>
  </si>
  <si>
    <t xml:space="preserve">UNI21-RC</t>
  </si>
  <si>
    <t xml:space="preserve">UNI21-RWA</t>
  </si>
  <si>
    <t xml:space="preserve">GC-Unity2021</t>
  </si>
  <si>
    <t xml:space="preserve">UNI21-S3G</t>
  </si>
  <si>
    <t xml:space="preserve">source_internal_inconsistency_cross_report</t>
  </si>
  <si>
    <t xml:space="preserve">UNI21-S3A</t>
  </si>
  <si>
    <t xml:space="preserve">UNI21-PBT</t>
  </si>
  <si>
    <t xml:space="preserve">UNI22-PAT</t>
  </si>
  <si>
    <t xml:space="preserve">UNI22-A</t>
  </si>
  <si>
    <t xml:space="preserve">UNI22-L</t>
  </si>
  <si>
    <t xml:space="preserve">UNI22-E</t>
  </si>
  <si>
    <t xml:space="preserve">UNI22-OCF</t>
  </si>
  <si>
    <t xml:space="preserve">UNI22-OA</t>
  </si>
  <si>
    <t xml:space="preserve">UNI22-GL</t>
  </si>
  <si>
    <t xml:space="preserve">UNI22-ALW</t>
  </si>
  <si>
    <t xml:space="preserve">UNI22-NL</t>
  </si>
  <si>
    <t xml:space="preserve">UNI22-TI</t>
  </si>
  <si>
    <t xml:space="preserve">UNI22-CAR</t>
  </si>
  <si>
    <t xml:space="preserve">UNI22-CART</t>
  </si>
  <si>
    <t xml:space="preserve">UNI22-RC</t>
  </si>
  <si>
    <t xml:space="preserve">UNI22-RWA</t>
  </si>
  <si>
    <t xml:space="preserve">UNI22-RCT</t>
  </si>
  <si>
    <t xml:space="preserve">GC-Unity2022</t>
  </si>
  <si>
    <t xml:space="preserve">UNI22-S3G</t>
  </si>
  <si>
    <t xml:space="preserve">UNI22-S3A</t>
  </si>
  <si>
    <t xml:space="preserve">UNI22-PBT</t>
  </si>
  <si>
    <t xml:space="preserve">WEMA13-PAT</t>
  </si>
  <si>
    <t xml:space="preserve">WEMA13-A</t>
  </si>
  <si>
    <t xml:space="preserve">WEMA13-L</t>
  </si>
  <si>
    <t xml:space="preserve">WEMA13-E</t>
  </si>
  <si>
    <t xml:space="preserve">WEMA13-OCF</t>
  </si>
  <si>
    <t xml:space="preserve">WEMA13-OA</t>
  </si>
  <si>
    <t xml:space="preserve">WEMA13-NL</t>
  </si>
  <si>
    <t xml:space="preserve">WEMA13-TI</t>
  </si>
  <si>
    <t xml:space="preserve">WEMA13-PBT</t>
  </si>
  <si>
    <t xml:space="preserve">2016 audited financial statements</t>
  </si>
  <si>
    <t xml:space="preserve">WEMA21-PAT</t>
  </si>
  <si>
    <t xml:space="preserve">WEMA21-A</t>
  </si>
  <si>
    <t xml:space="preserve">WEMA21-L</t>
  </si>
  <si>
    <t xml:space="preserve">WEMA21-E</t>
  </si>
  <si>
    <t xml:space="preserve">WEMA21-OCF</t>
  </si>
  <si>
    <t xml:space="preserve">WEMA21-OA</t>
  </si>
  <si>
    <t xml:space="preserve">WEMA21-GL</t>
  </si>
  <si>
    <t xml:space="preserve">WEMA21-ALW</t>
  </si>
  <si>
    <t xml:space="preserve">WEMA21-NL</t>
  </si>
  <si>
    <t xml:space="preserve">WEMA21-IMP</t>
  </si>
  <si>
    <t xml:space="preserve">WEMA21-NPL</t>
  </si>
  <si>
    <t xml:space="preserve">source_unit_label_error</t>
  </si>
  <si>
    <t xml:space="preserve">WEMA21-CAR</t>
  </si>
  <si>
    <t xml:space="preserve">WEMA21-RC</t>
  </si>
  <si>
    <t xml:space="preserve">WEMA21-RWA</t>
  </si>
  <si>
    <t xml:space="preserve">WEMA21-S3A</t>
  </si>
  <si>
    <t xml:space="preserve">WEMA21-PBT</t>
  </si>
  <si>
    <t xml:space="preserve">source_vs_selected</t>
  </si>
  <si>
    <t xml:space="preserve">ZEN13-PAT</t>
  </si>
  <si>
    <t xml:space="preserve">ZEN13-A</t>
  </si>
  <si>
    <t xml:space="preserve">ZEN13-L</t>
  </si>
  <si>
    <t xml:space="preserve">ZEN13-E</t>
  </si>
  <si>
    <t xml:space="preserve">ZEN13-OCF</t>
  </si>
  <si>
    <t xml:space="preserve">ZEN13-OA</t>
  </si>
  <si>
    <t xml:space="preserve">ZEN13-GL</t>
  </si>
  <si>
    <t xml:space="preserve">ZEN13-ALW</t>
  </si>
  <si>
    <t xml:space="preserve">ZEN13-NL</t>
  </si>
  <si>
    <t xml:space="preserve">ZEN13-TI</t>
  </si>
  <si>
    <t xml:space="preserve">ZEN13-CAR</t>
  </si>
  <si>
    <t xml:space="preserve">ZEN13-RC</t>
  </si>
  <si>
    <t xml:space="preserve">ZEN13-RWA</t>
  </si>
  <si>
    <t xml:space="preserve">GC-Zenith2013</t>
  </si>
  <si>
    <t xml:space="preserve">ZEN13-PBT</t>
  </si>
  <si>
    <t xml:space="preserve">ZEN13-SA</t>
  </si>
  <si>
    <t xml:space="preserve">ZEN13-CA</t>
  </si>
  <si>
    <t xml:space="preserve">ZEN16-PAT</t>
  </si>
  <si>
    <t xml:space="preserve">ZEN16-A</t>
  </si>
  <si>
    <t xml:space="preserve">ZEN16-L</t>
  </si>
  <si>
    <t xml:space="preserve">ZEN16-E</t>
  </si>
  <si>
    <t xml:space="preserve">ZEN16-OCF</t>
  </si>
  <si>
    <t xml:space="preserve">ZEN16-OA</t>
  </si>
  <si>
    <t xml:space="preserve">ZEN16-GL</t>
  </si>
  <si>
    <t xml:space="preserve">ZEN16-ALW</t>
  </si>
  <si>
    <t xml:space="preserve">ZEN16-NL</t>
  </si>
  <si>
    <t xml:space="preserve">ZEN16-TI</t>
  </si>
  <si>
    <t xml:space="preserve">ZEN16-NPL</t>
  </si>
  <si>
    <t xml:space="preserve">ZEN16-CAR</t>
  </si>
  <si>
    <t xml:space="preserve">ZEN16-RC</t>
  </si>
  <si>
    <t xml:space="preserve">ZEN16-RWA</t>
  </si>
  <si>
    <t xml:space="preserve">ZEN16-PBT</t>
  </si>
  <si>
    <t xml:space="preserve">ZEN16-SA</t>
  </si>
  <si>
    <t xml:space="preserve">ZEN16-CA</t>
  </si>
  <si>
    <t xml:space="preserve">ZEN17-PAT</t>
  </si>
  <si>
    <t xml:space="preserve">ZEN17-A</t>
  </si>
  <si>
    <t xml:space="preserve">ZEN17-L</t>
  </si>
  <si>
    <t xml:space="preserve">ZEN17-E</t>
  </si>
  <si>
    <t xml:space="preserve">ZEN17-OCF</t>
  </si>
  <si>
    <t xml:space="preserve">ZEN17-OA</t>
  </si>
  <si>
    <t xml:space="preserve">ZEN17-GL</t>
  </si>
  <si>
    <t xml:space="preserve">ZEN17-ALW</t>
  </si>
  <si>
    <t xml:space="preserve">ZEN17-NL</t>
  </si>
  <si>
    <t xml:space="preserve">ZEN17-TI</t>
  </si>
  <si>
    <t xml:space="preserve">ZEN17-NPL</t>
  </si>
  <si>
    <t xml:space="preserve">ZEN17-CAR</t>
  </si>
  <si>
    <t xml:space="preserve">ZEN17-RC</t>
  </si>
  <si>
    <t xml:space="preserve">ZEN17-RWA</t>
  </si>
  <si>
    <t xml:space="preserve">ZEN17-PBT</t>
  </si>
  <si>
    <t xml:space="preserve">ZEN17-SA</t>
  </si>
  <si>
    <t xml:space="preserve">ZEN17-CA</t>
  </si>
  <si>
    <t xml:space="preserve">ZEN18-PAT</t>
  </si>
  <si>
    <t xml:space="preserve">ZEN18-A</t>
  </si>
  <si>
    <t xml:space="preserve">ZEN18-L</t>
  </si>
  <si>
    <t xml:space="preserve">ZEN18-E</t>
  </si>
  <si>
    <t xml:space="preserve">ZEN18-OCF</t>
  </si>
  <si>
    <t xml:space="preserve">ZEN18-OA</t>
  </si>
  <si>
    <t xml:space="preserve">ZEN18-GL</t>
  </si>
  <si>
    <t xml:space="preserve">ZEN18-ALW</t>
  </si>
  <si>
    <t xml:space="preserve">ZEN18-NL</t>
  </si>
  <si>
    <t xml:space="preserve">ZEN18-TI</t>
  </si>
  <si>
    <t xml:space="preserve">ZEN18-NPL</t>
  </si>
  <si>
    <t xml:space="preserve">ZEN18-CAR</t>
  </si>
  <si>
    <t xml:space="preserve">ZEN18-CART</t>
  </si>
  <si>
    <t xml:space="preserve">ZEN18-RC</t>
  </si>
  <si>
    <t xml:space="preserve">ZEN18-RWA</t>
  </si>
  <si>
    <t xml:space="preserve">ZEN18-RCT</t>
  </si>
  <si>
    <t xml:space="preserve">ZEN18-PBT</t>
  </si>
  <si>
    <t xml:space="preserve">ZEN19-PAT</t>
  </si>
  <si>
    <t xml:space="preserve">ZEN19-A</t>
  </si>
  <si>
    <t xml:space="preserve">ZEN19-L</t>
  </si>
  <si>
    <t xml:space="preserve">ZEN19-E</t>
  </si>
  <si>
    <t xml:space="preserve">ZEN19-OCF</t>
  </si>
  <si>
    <t xml:space="preserve">ZEN19-OA</t>
  </si>
  <si>
    <t xml:space="preserve">ZEN19-GL</t>
  </si>
  <si>
    <t xml:space="preserve">ZEN19-ALW</t>
  </si>
  <si>
    <t xml:space="preserve">ZEN19-NL</t>
  </si>
  <si>
    <t xml:space="preserve">ZEN19-TI</t>
  </si>
  <si>
    <t xml:space="preserve">ZEN19-NPL</t>
  </si>
  <si>
    <t xml:space="preserve">ZEN19-CAR</t>
  </si>
  <si>
    <t xml:space="preserve">ZEN19-CART</t>
  </si>
  <si>
    <t xml:space="preserve">ZEN19-RC</t>
  </si>
  <si>
    <t xml:space="preserve">ZEN19-RWA</t>
  </si>
  <si>
    <t xml:space="preserve">ZEN19-RCT</t>
  </si>
  <si>
    <t xml:space="preserve">GC-Zenith2019</t>
  </si>
  <si>
    <t xml:space="preserve">ZEN19-PBT</t>
  </si>
  <si>
    <t xml:space="preserve">ZEN20-PAT</t>
  </si>
  <si>
    <t xml:space="preserve">ZEN20-A</t>
  </si>
  <si>
    <t xml:space="preserve">ZEN20-L</t>
  </si>
  <si>
    <t xml:space="preserve">ZEN20-E</t>
  </si>
  <si>
    <t xml:space="preserve">ZEN20-OCF</t>
  </si>
  <si>
    <t xml:space="preserve">ZEN20-OA</t>
  </si>
  <si>
    <t xml:space="preserve">ZEN20-GL</t>
  </si>
  <si>
    <t xml:space="preserve">ZEN20-ALW</t>
  </si>
  <si>
    <t xml:space="preserve">ZEN20-NL</t>
  </si>
  <si>
    <t xml:space="preserve">ZEN20-TI</t>
  </si>
  <si>
    <t xml:space="preserve">GC-Zenith2020</t>
  </si>
  <si>
    <t xml:space="preserve">ZEN20-PBT</t>
  </si>
  <si>
    <t xml:space="preserve">Primary rule: original-year report; alternatives classified and kept for sensitivity.</t>
  </si>
  <si>
    <t xml:space="preserve">selected_value</t>
  </si>
  <si>
    <t xml:space="preserve">selected_version</t>
  </si>
  <si>
    <t xml:space="preserve">alternative_value</t>
  </si>
  <si>
    <t xml:space="preserve">alternative_version</t>
  </si>
  <si>
    <t xml:space="preserve">classification</t>
  </si>
  <si>
    <t xml:space="preserve">evidence</t>
  </si>
  <si>
    <t xml:space="preserve">decision</t>
  </si>
  <si>
    <t xml:space="preserve">sensitivity_alternative</t>
  </si>
  <si>
    <t xml:space="preserve">2021 report (original)</t>
  </si>
  <si>
    <t xml:space="preserve">2022 report comparative</t>
  </si>
  <si>
    <t xml:space="preserve">unexplained difference</t>
  </si>
  <si>
    <t xml:space="preserve">2021 report PDF p144: Tier I 207,305 + Tier II 19,635 = 226,940, RWA 1,405,941, CAR 16.1%; 2022 report PDF p143 (2021 column): general reserve 115,540 vs 114,178 (+1,362), Tier I 208,665, Tier II 19,635, total 228,300, RWA 1,409,255, CAR 16.2%; 2022 report p38/p120 states comparatives not restated; no reconciling note.</t>
  </si>
  <si>
    <t xml:space="preserve">original 226,940 (and RWA 1,405,941) primary; 2022 comparative sensitivity-only; difference localised to retained-profit reserve and RWA, cause unexplained</t>
  </si>
  <si>
    <t xml:space="preserve">228300 (RWA 1409255; CAR 16.2)</t>
  </si>
  <si>
    <t xml:space="preserve">liabilities/equity</t>
  </si>
  <si>
    <t xml:space="preserve">4126133 / 707525</t>
  </si>
  <si>
    <t xml:space="preserve">2017 report (original)</t>
  </si>
  <si>
    <t xml:space="preserve">4135675 / 697983</t>
  </si>
  <si>
    <t xml:space="preserve">2018 report comparative</t>
  </si>
  <si>
    <t xml:space="preserve">labelled restatement</t>
  </si>
  <si>
    <t xml:space="preserve">2018 report: 'Restated' columns and Prior period restatement note (AMCON sinking-fund shortfall 2016-2017), PDF p213</t>
  </si>
  <si>
    <t xml:space="preserve">primary rule (original-year)</t>
  </si>
  <si>
    <t xml:space="preserve">pat/equity/liabilities</t>
  </si>
  <si>
    <t xml:space="preserve">166919.765 / 511842.259 / 2200679.235</t>
  </si>
  <si>
    <t xml:space="preserve">2018 report (original)</t>
  </si>
  <si>
    <t xml:space="preserve">166753.084 / 510185.839 / 2202335.655</t>
  </si>
  <si>
    <t xml:space="preserve">2019 report comparative</t>
  </si>
  <si>
    <t xml:space="preserve">2019 report Restated columns; note on prior-year expense and revaluation loss on GTB Finance B.V. liability, PDF p317</t>
  </si>
  <si>
    <t xml:space="preserve">2019-report restated values</t>
  </si>
  <si>
    <t xml:space="preserve">all core</t>
  </si>
  <si>
    <t xml:space="preserve">2018 report restated comparative</t>
  </si>
  <si>
    <t xml:space="preserve">2018 report (Restated column)</t>
  </si>
  <si>
    <t xml:space="preserve">not retrieved</t>
  </si>
  <si>
    <t xml:space="preserve">fallback: labelled restatement</t>
  </si>
  <si>
    <t xml:space="preserve">2018 report 'Restated1' Dec-2017 columns</t>
  </si>
  <si>
    <t xml:space="preserve">fallback rule 2 (original 2017 report not retrieved)</t>
  </si>
  <si>
    <t xml:space="preserve">retrieve original 2017 report</t>
  </si>
  <si>
    <t xml:space="preserve">2016 report restated comparative</t>
  </si>
  <si>
    <t xml:space="preserve">2016 report (Restated column)</t>
  </si>
  <si>
    <t xml:space="preserve">17721 (PAT; raw candidate)</t>
  </si>
  <si>
    <t xml:space="preserve">2015 report (original; not retrieved - unionbankng.com 403)</t>
  </si>
  <si>
    <t xml:space="preserve">2016 report Restated Bank Dec.2015 columns</t>
  </si>
  <si>
    <t xml:space="preserve">fallback rule 2</t>
  </si>
  <si>
    <t xml:space="preserve">original 2015 report figures if retrieved</t>
  </si>
  <si>
    <t xml:space="preserve">2022 report *Restated comparative</t>
  </si>
  <si>
    <t xml:space="preserve">2022 report (*Restated column)</t>
  </si>
  <si>
    <t xml:space="preserve">2022 report '*Restated' headings PDF p138-139</t>
  </si>
  <si>
    <t xml:space="preserve">retrieve original 2021 report</t>
  </si>
  <si>
    <t xml:space="preserve">all</t>
  </si>
  <si>
    <t xml:space="preserve">2022 report (comparative; not labelled restated)</t>
  </si>
  <si>
    <t xml:space="preserve">fallback: comparative</t>
  </si>
  <si>
    <t xml:space="preserve">2022 report PDF p114-115</t>
  </si>
  <si>
    <t xml:space="preserve">2023 report comparative (baseline WEMA23)</t>
  </si>
  <si>
    <t xml:space="preserve">2022 report (original)</t>
  </si>
  <si>
    <t xml:space="preserve">labelled reclassification</t>
  </si>
  <si>
    <t xml:space="preserve">2023 report note 11 PDF p113: litigation claim reclassified to general administrative expenses; 2022 report note 11 components sum to 4762.274</t>
  </si>
  <si>
    <t xml:space="preserve">retain selected (credit-impairment scope); not a correction</t>
  </si>
  <si>
    <t xml:space="preserve">4808.387 (original presentation incl. litigation claim)</t>
  </si>
  <si>
    <t xml:space="preserve">not determined</t>
  </si>
  <si>
    <t xml:space="preserve">confirmed scope difference with 2022 selected basis</t>
  </si>
  <si>
    <t xml:space="preserve">2022 report (pdf-2b23016b97) note 11 p145: 2021 total impairment 2,104,393k includes 'Litigation Claims (note 25)' 108,256k; 2023 report note 11 p113 reclassifies the litigation claim out of impairment for 2022 (46,113k).</t>
  </si>
  <si>
    <t xml:space="preserve">selected 2,104.393 retained (old basis); 2021-&gt;2022 change excluded; sensitivity pairs: old basis 2,104.393 vs 4,808.387, new basis 1,996.137 (derived: 2,104.393 - 108.256) vs 4,762.274</t>
  </si>
  <si>
    <t xml:space="preserve">1996.137 (excluding litigation claims)</t>
  </si>
  <si>
    <t xml:space="preserve">221408 (derived Tier I + Tier II)</t>
  </si>
  <si>
    <t xml:space="preserve">2021 report comparative</t>
  </si>
  <si>
    <t xml:space="preserve">176542 (printed subtotal)</t>
  </si>
  <si>
    <t xml:space="preserve">same page</t>
  </si>
  <si>
    <t xml:space="preserve">source internal inconsistency</t>
  </si>
  <si>
    <t xml:space="preserve">2021 report PDF p144 printed 113</t>
  </si>
  <si>
    <t xml:space="preserve">derived component sum retained as derived_from_verified; unresolved</t>
  </si>
  <si>
    <t xml:space="preserve">176542 (printed); seek original 2020 report</t>
  </si>
  <si>
    <t xml:space="preserve">223468 (derived)</t>
  </si>
  <si>
    <t xml:space="preserve">182720 (printed subtotal)</t>
  </si>
  <si>
    <t xml:space="preserve">2021 report PDF p144</t>
  </si>
  <si>
    <t xml:space="preserve">derived retained; unresolved</t>
  </si>
  <si>
    <t xml:space="preserve">182720 (printed)</t>
  </si>
  <si>
    <t xml:space="preserve">11.56 (capital / RWA)</t>
  </si>
  <si>
    <t xml:space="preserve">2022 report PDF p215 printed 210</t>
  </si>
  <si>
    <t xml:space="preserve">reported ratio retained as printed; exclude car-vs-capital/RWA inference for this bank-year</t>
  </si>
  <si>
    <t xml:space="preserve">2016 annual report (original)</t>
  </si>
  <si>
    <t xml:space="preserve">17.30 (capital / RWA)</t>
  </si>
  <si>
    <t xml:space="preserve">2016 report PDF p80 printed 79</t>
  </si>
  <si>
    <t xml:space="preserve">2019 report (comparative; not labelled restated)</t>
  </si>
  <si>
    <t xml:space="preserve">NGX filing xs-6951b12082</t>
  </si>
  <si>
    <t xml:space="preserve">fallback rule 2 (original-year report not located); flag for sensitivity</t>
  </si>
  <si>
    <t xml:space="preserve">retrieve original-year report</t>
  </si>
  <si>
    <t xml:space="preserve">2021 report (comparative; not labelled restated)</t>
  </si>
  <si>
    <t xml:space="preserve">2020 report (original)</t>
  </si>
  <si>
    <t xml:space="preserve">NGX filing xs-848eb8a062</t>
  </si>
  <si>
    <t xml:space="preserve">2014 report comparative</t>
  </si>
  <si>
    <t xml:space="preserve">2014 report (comparative; not labelled restated)</t>
  </si>
  <si>
    <t xml:space="preserve">2013 report (original)</t>
  </si>
  <si>
    <t xml:space="preserve">NGX summary filing xs-901cfd21b1</t>
  </si>
  <si>
    <t xml:space="preserve">assets/liabilities/equity/pat</t>
  </si>
  <si>
    <t xml:space="preserve">1611749 / 1470733 / 141016 / 13403</t>
  </si>
  <si>
    <t xml:space="preserve">1606898 / 1470814 / 136084 / 14910</t>
  </si>
  <si>
    <t xml:space="preserve">2022 report *Restated comparative (Note 49)</t>
  </si>
  <si>
    <t xml:space="preserve">2022 report (xs-4ebcc7e617) Note 49 pp189-190: IFRS 9 derecognition of accrued interest on PPPRA oil-marketer loans; Cambridge Spring receivable time-value adjustment</t>
  </si>
  <si>
    <t xml:space="preserve">original retained as primary; restated comparative sensitivity-only; 2021-&gt;2022 change marked as a break</t>
  </si>
  <si>
    <t xml:space="preserve">restated 2021 values</t>
  </si>
  <si>
    <t xml:space="preserve">assets/equity/pat</t>
  </si>
  <si>
    <t xml:space="preserve">830802.224 / 85678.622 / 5180.964</t>
  </si>
  <si>
    <t xml:space="preserve">2016 report (original)</t>
  </si>
  <si>
    <t xml:space="preserve">830805 / 85682 / 5182</t>
  </si>
  <si>
    <t xml:space="preserve">2017 report comparative (not labelled restated)</t>
  </si>
  <si>
    <t xml:space="preserve">2017 report (xs-2250e1dfcc) Bank 2016 column vs 2016 report (xs-fdcdf7a057)</t>
  </si>
  <si>
    <t xml:space="preserve">original retained; differences &lt;0.01% of assets, no restatement note</t>
  </si>
  <si>
    <t xml:space="preserve">2017 comparative</t>
  </si>
  <si>
    <t xml:space="preserve">FY2017 statements, 2016 comparative (not labelled restated)</t>
  </si>
  <si>
    <t xml:space="preserve">2016 annual report (original), PDF p156</t>
  </si>
  <si>
    <t xml:space="preserve">Original 2016 report (xs-bbae41452e) found after selection; PAT 50,072 identical; tax (3,473) vs implied (4,661): PBT/tax split reclassified</t>
  </si>
  <si>
    <t xml:space="preserve">selected value not overwritten (no-overwrite instruction); original-year value is the hierarchy primary: OWNER DECISION PENDING; pbt feeds no outcome</t>
  </si>
  <si>
    <t xml:space="preserve">all core (corroboration)</t>
  </si>
  <si>
    <t xml:space="preserve">FY2017 comparative values</t>
  </si>
  <si>
    <t xml:space="preserve">FY2017 statements, 2016 comparative</t>
  </si>
  <si>
    <t xml:space="preserve">identical for assets, liabilities, equity, PAT, OCF, loans, allowances, capital, RWA, CAR</t>
  </si>
  <si>
    <t xml:space="preserve">corroborated by original-year report</t>
  </si>
  <si>
    <t xml:space="preserve">fbn16 comparison (14 of 15 values identical; PBT differs)</t>
  </si>
  <si>
    <t xml:space="preserve">row treated as original-year presentation for all fields except pbt</t>
  </si>
  <si>
    <t xml:space="preserve">2020 summary financial information (original-year, derived from audited 2020 FS; KPMG ISA 810 report 12 Feb 2021)</t>
  </si>
  <si>
    <t xml:space="preserve">xs-ba4bfba13c: Bank net impairment loss on financial instruments (9,892); assets, liabilities, equity, PAT, PBT, net loans identical to selected values</t>
  </si>
  <si>
    <t xml:space="preserve">selected value not overwritten; original-year value is the hierarchy primary: OWNER DECISION PENDING; impairment_assets excluded from primary inference meanwhile</t>
  </si>
  <si>
    <t xml:space="preserve">core (corroboration)</t>
  </si>
  <si>
    <t xml:space="preserve">2021 report comparative values</t>
  </si>
  <si>
    <t xml:space="preserve">assets 2,370,347; liabilities 2,128,226; equity 242,121; PAT 59,489; PBT 58,306; net loans 625,139 (identical)</t>
  </si>
  <si>
    <t xml:space="preserve">2020 summary financial information (original-year)</t>
  </si>
  <si>
    <t xml:space="preserve">corroborated by original-year summary</t>
  </si>
  <si>
    <t xml:space="preserve">xs-ba4bfba13c</t>
  </si>
  <si>
    <t xml:space="preserve">core values confirmed; regulatory capital not printed in the summary, so the 176,542 vs 221,408 conflict remains unresolved</t>
  </si>
  <si>
    <t xml:space="preserve">pat / total_impairment / assets / equity</t>
  </si>
  <si>
    <t xml:space="preserve">27155 / 27360 / 1956830 / 247482</t>
  </si>
  <si>
    <t xml:space="preserve">-1786 / 56301 / 1927889 / 218541</t>
  </si>
  <si>
    <t xml:space="preserve">2019 report comparative (labelled Restated)</t>
  </si>
  <si>
    <t xml:space="preserve">2019 report (xs-be6229d851) p70-71 'Restated 31-Dec-18' columns and Note 44 p135: CBN circular BSC/01R/CON/LAB/12/001 (18 Jan 2019) required a 100% haircut on interest accrued 1 Jul 2017-31 Dec 2018 on petroleum-marketer loans; liabilities unchanged 1,709,348; 2019 auditor's emphasis of matter refers to Note 44</t>
  </si>
  <si>
    <t xml:space="preserve">primary rule (original-year); restated 2018 figures recorded for sensitivity</t>
  </si>
  <si>
    <t xml:space="preserve">PAT -1786; impairment 56301; assets 1927889; equity 218541; CAR 11.13 (RC 152504, RWA 1370401)</t>
  </si>
  <si>
    <t xml:space="preserve">regulatory_capital / rwa / car</t>
  </si>
  <si>
    <t xml:space="preserve">205312 / 1433545 / 14.3</t>
  </si>
  <si>
    <t xml:space="preserve">152504 / 1370401 / 11.13</t>
  </si>
  <si>
    <t xml:space="preserve">2019 report p170 'Restated 31 Dec 2018' capital column (consequence of the Note 44 restatement)</t>
  </si>
  <si>
    <t xml:space="preserve">301364 / 1405676 / 21.44</t>
  </si>
  <si>
    <t xml:space="preserve">326251 / 1405674 / 23.21</t>
  </si>
  <si>
    <t xml:space="preserve">2021 report (xs-cce620f771) p198 2020 column: Total eligible capital 326,251, RWA 1,405,674, CAR 23.21%; 2020 report p177: Total regulatory capital 301,364, CAR 21.44% (Tier 1 incl. IFRS 9 transitional 2,836). Not labelled restated; presentation of the capital table changed</t>
  </si>
  <si>
    <t xml:space="preserve">primary rule (original-year); later comparative sensitivity-only</t>
  </si>
  <si>
    <t xml:space="preserve">2021 report p89 2020 column 'Net cash flows used in operating activities' (13,436) vs 2020 report p84 (13,271); not labelled</t>
  </si>
  <si>
    <t xml:space="preserve">2022 report comparative (marked '*')</t>
  </si>
  <si>
    <t xml:space="preserve">2022 report (xs-932212298e) p80 2021 column '31-déc-21*' (98,241); p185: 'comparatives have been restated to align with the current year presentation'; P&amp;L and balance-sheet totals for 2021 unchanged</t>
  </si>
  <si>
    <t xml:space="preserve">pat / assets</t>
  </si>
  <si>
    <t xml:space="preserve">19456 / 911052</t>
  </si>
  <si>
    <t xml:space="preserve">2014 Holdings report note 13.4 (original)</t>
  </si>
  <si>
    <t xml:space="preserve">21851 / 908429</t>
  </si>
  <si>
    <t xml:space="preserve">2015 Holdings report note 13.4 comparative</t>
  </si>
  <si>
    <t xml:space="preserve">2015 report (xs-40d24d09d3) p86 rows 'For the year ended 31 December 2014' and 'At 31 December 2014' for Stanbic IBTC Bank PLC; handoff notes the 2015 report restates 2013/2014 comparatives</t>
  </si>
  <si>
    <t xml:space="preserve">PAT 21851; assets 908429</t>
  </si>
  <si>
    <t xml:space="preserve">2023 summary FS comparative</t>
  </si>
  <si>
    <t xml:space="preserve">FY2023 audited summary financial statements (BusinessDay 29 May 2024 p4), BANK 31 Dec 2022 column</t>
  </si>
  <si>
    <t xml:space="preserve">2022 annual report (original)</t>
  </si>
  <si>
    <t xml:space="preserve">fallback: unlabelled comparative</t>
  </si>
  <si>
    <t xml:space="preserve">BusinessDay 29 May 2024 p4 (sha 0f1dbf51...); summary SOFP/P&amp;L/OCI only; KPMG ISA 810 report dated 22 May 2024</t>
  </si>
  <si>
    <t xml:space="preserve">fallback rule 2 (original 2022 report not located; supplement S2); no opening assets, OCF, gross loans or capital, so ROA/impairment ratios not computable</t>
  </si>
  <si>
    <t xml:space="preserve">retrieve First Bank of Nigeria Ltd 2022 annual report</t>
  </si>
  <si>
    <t xml:space="preserve">2018 report (original, FBN Finance prospectus p520)</t>
  </si>
  <si>
    <t xml:space="preserve">2019 report comparative (p396)</t>
  </si>
  <si>
    <t xml:space="preserve">2018 BANK cash flow 327,497 vs 2019 report 2018 column 327,496; not labelled restated</t>
  </si>
  <si>
    <t xml:space="preserve">original primary; 1 million difference, no reconciling note (likely rounding)</t>
  </si>
  <si>
    <t xml:space="preserve">2019 report comparative (p473 corporate 1,609,031 + p474 retail 119,933)</t>
  </si>
  <si>
    <t xml:space="preserve">not located</t>
  </si>
  <si>
    <t xml:space="preserve">2018 report (original) note 20 BANK gross tables (misassembled/rotated note pages, supplement S1 defects)</t>
  </si>
  <si>
    <t xml:space="preserve">corroborated by original-year net loans + allowance (field-level comparative)</t>
  </si>
  <si>
    <t xml:space="preserve">1,728,964 = 2018 original SOFP net loans 1,451,415 + original note 20 allowance 277,549 exactly</t>
  </si>
  <si>
    <t xml:space="preserve">comparative gross used for this field only; core set is the 2018 original</t>
  </si>
  <si>
    <t xml:space="preserve">none needed (identical by reconciliation)</t>
  </si>
  <si>
    <t xml:space="preserve">Printed values not selected (conflicting subtotals, original presentations, later comparatives).</t>
  </si>
  <si>
    <t xml:space="preserve">bank_key</t>
  </si>
  <si>
    <t xml:space="preserve">financial_year</t>
  </si>
  <si>
    <t xml:space="preserve">variable</t>
  </si>
  <si>
    <t xml:space="preserve">raw_value</t>
  </si>
  <si>
    <t xml:space="preserve">normalised_value_ngnm_or_pct</t>
  </si>
  <si>
    <t xml:space="preserve">pdf_page_1_based</t>
  </si>
  <si>
    <t xml:space="preserve">printed_page</t>
  </si>
  <si>
    <t xml:space="preserve">verification_status</t>
  </si>
  <si>
    <t xml:space="preserve">review_reason</t>
  </si>
  <si>
    <t xml:space="preserve">ALT-STAN20-RC-PRINTED</t>
  </si>
  <si>
    <t xml:space="preserve">source_alternative_not_selected</t>
  </si>
  <si>
    <t xml:space="preserve">Printed 'Total regulatory capital' subtotal. Conflicts with Eligible Tier I 202,809 + Tier II 18,599 = 221,408, which reproduces printed CAR 19.4% on RWA 1,140,396. Unresolved source inconsistency; original 2020 report not yet retrieved for corroboration.</t>
  </si>
  <si>
    <t xml:space="preserve">ALT-STAN20-RCT-PRINTED</t>
  </si>
  <si>
    <t xml:space="preserve">Printed adjusted subtotal. Conflicts with 204,868 + 18,600 = 223,468, which reproduces printed 19.6%. Unresolved.</t>
  </si>
  <si>
    <t xml:space="preserve">ALT-STAN21-RC-2022COMP</t>
  </si>
  <si>
    <t xml:space="preserve">later_comparative_not_selected</t>
  </si>
  <si>
    <t xml:space="preserve">2022 report comparative differs from 2021 original (226,940); RWA 1,409,255 vs 1,405,941; CAR 16.2% vs 16.1%. Unlabelled difference (no restatement note located).</t>
  </si>
  <si>
    <t xml:space="preserve">ALT-WEMA22-TI-ORIG</t>
  </si>
  <si>
    <t xml:space="preserve">original_presentation_not_selected</t>
  </si>
  <si>
    <t xml:space="preserve">Original 2022 presentation includes a litigation claim later reclassified to general administrative expenses (2023 report note 11, PDF p.113). Selected 4,762.274 equals the credit-impairment components listed in the 2022 report note 11 (PDF p.145).</t>
  </si>
  <si>
    <t xml:space="preserve">Reviews of original-year auditor reports; blank code = not reviewed (unknown, not zero).</t>
  </si>
  <si>
    <t xml:space="preserve">report_reviewed</t>
  </si>
  <si>
    <t xml:space="preserve">job_id</t>
  </si>
  <si>
    <t xml:space="preserve">auditor</t>
  </si>
  <si>
    <t xml:space="preserve">engagement_partner</t>
  </si>
  <si>
    <t xml:space="preserve">report_date</t>
  </si>
  <si>
    <t xml:space="preserve">opinion_type</t>
  </si>
  <si>
    <t xml:space="preserve">opinion_covers</t>
  </si>
  <si>
    <t xml:space="preserve">opinion_applicability</t>
  </si>
  <si>
    <t xml:space="preserve">auditor_pages_pdf</t>
  </si>
  <si>
    <t xml:space="preserve">signature_page_pdf</t>
  </si>
  <si>
    <t xml:space="preserve">review_method</t>
  </si>
  <si>
    <t xml:space="preserve">mu_section</t>
  </si>
  <si>
    <t xml:space="preserve">gc_specific_emphasis</t>
  </si>
  <si>
    <t xml:space="preserve">other_emphasis_or_other_matter</t>
  </si>
  <si>
    <t xml:space="preserve">boilerplate_gc_responsibility_text</t>
  </si>
  <si>
    <t xml:space="preserve">key_audit_matters</t>
  </si>
  <si>
    <t xml:space="preserve">management_gc_disclosure</t>
  </si>
  <si>
    <t xml:space="preserve">gcu_code</t>
  </si>
  <si>
    <t xml:space="preserve">coding_basis</t>
  </si>
  <si>
    <t xml:space="preserve">Union Bank of Nigeria Plc Annual Report 2016</t>
  </si>
  <si>
    <t xml:space="preserve">xs-15d472ad0d</t>
  </si>
  <si>
    <t xml:space="preserve">KPMG Professional Services</t>
  </si>
  <si>
    <t xml:space="preserve">Kabir O. Okunlola</t>
  </si>
  <si>
    <t xml:space="preserve">2017-03-23</t>
  </si>
  <si>
    <t xml:space="preserve">Unmodified (true and fair)</t>
  </si>
  <si>
    <t xml:space="preserve">consolidated and separate financial statements</t>
  </si>
  <si>
    <t xml:space="preserve">covers_bank_separate</t>
  </si>
  <si>
    <t xml:space="preserve">34-39</t>
  </si>
  <si>
    <t xml:space="preserve">full read of rendered image pages</t>
  </si>
  <si>
    <t xml:space="preserve">No</t>
  </si>
  <si>
    <t xml:space="preserve">Yes (standard)</t>
  </si>
  <si>
    <t xml:space="preserve">Loan impairment; litigation and claims; deferred tax recoverability</t>
  </si>
  <si>
    <t xml:space="preserve">Directors' statement p31: no reason to believe Bank will not remain a going concern. Capital note p87: CAR 13.3% below 15% CBN minimum; N50bn rights issue planned (management disclosure, not an auditor conclusion).</t>
  </si>
  <si>
    <t xml:space="preserve">Full original-year auditor report reviewed; no material-uncertainty section and no going-concern emphasis</t>
  </si>
  <si>
    <t xml:space="preserve">Stanbic IBTC Bank PLC Audited Financial Statements 2021</t>
  </si>
  <si>
    <t xml:space="preserve">pdf-451d8a33c1</t>
  </si>
  <si>
    <t xml:space="preserve">PricewaterhouseCoopers</t>
  </si>
  <si>
    <t xml:space="preserve">Samuel Abu</t>
  </si>
  <si>
    <t xml:space="preserve">2022-02-21</t>
  </si>
  <si>
    <t xml:space="preserve">26-31</t>
  </si>
  <si>
    <t xml:space="preserve">full text-layer read</t>
  </si>
  <si>
    <t xml:space="preserve">ECL on loans; derivative valuation</t>
  </si>
  <si>
    <t xml:space="preserve">Directors' statement p8</t>
  </si>
  <si>
    <t xml:space="preserve">Stanbic IBTC Bank PLC Audited Financial Statements 2022</t>
  </si>
  <si>
    <t xml:space="preserve">pdf-b401d53ff6</t>
  </si>
  <si>
    <t xml:space="preserve">2023-02-14</t>
  </si>
  <si>
    <t xml:space="preserve">26-30</t>
  </si>
  <si>
    <t xml:space="preserve">ECL on loans</t>
  </si>
  <si>
    <t xml:space="preserve">Union Bank of Nigeria Plc Annual Report 2018</t>
  </si>
  <si>
    <t xml:space="preserve">pdf-ba47d7103a</t>
  </si>
  <si>
    <t xml:space="preserve">2019-03-21</t>
  </si>
  <si>
    <t xml:space="preserve">56-63</t>
  </si>
  <si>
    <t xml:space="preserve">63 (signature block is an image)</t>
  </si>
  <si>
    <t xml:space="preserve">full text-layer read; signature page read from render</t>
  </si>
  <si>
    <t xml:space="preserve">see report</t>
  </si>
  <si>
    <t xml:space="preserve">not separately extracted</t>
  </si>
  <si>
    <t xml:space="preserve">Union Bank of Nigeria Plc Annual Report 2020</t>
  </si>
  <si>
    <t xml:space="preserve">pdf-713d41ccbc</t>
  </si>
  <si>
    <t xml:space="preserve">Ernst &amp; Young</t>
  </si>
  <si>
    <t xml:space="preserve">Anthony Oputa</t>
  </si>
  <si>
    <t xml:space="preserve">2021-03-18</t>
  </si>
  <si>
    <t xml:space="preserve">47-51</t>
  </si>
  <si>
    <t xml:space="preserve">Other matter: 2019 statements audited by another auditor (unmodified, 27 Feb 2020) - not used to code 2019</t>
  </si>
  <si>
    <t xml:space="preserve">Union Bank of Nigeria Plc Annual Report 2022</t>
  </si>
  <si>
    <t xml:space="preserve">pdf-58341f6714</t>
  </si>
  <si>
    <t xml:space="preserve">Babayomi Ajijola</t>
  </si>
  <si>
    <t xml:space="preserve">2023-04-17</t>
  </si>
  <si>
    <t xml:space="preserve">52-57</t>
  </si>
  <si>
    <t xml:space="preserve">Wema Bank Plc 2016 Annual Report</t>
  </si>
  <si>
    <t xml:space="preserve">pdf-e7989b2bda</t>
  </si>
  <si>
    <t xml:space="preserve">Akintola Williams Deloitte</t>
  </si>
  <si>
    <t xml:space="preserve">2017-03-31</t>
  </si>
  <si>
    <t xml:space="preserve">58-62</t>
  </si>
  <si>
    <t xml:space="preserve">Loan loss impairment; deferred taxation</t>
  </si>
  <si>
    <t xml:space="preserve">Wema Bank Plc 2020 Annual Report</t>
  </si>
  <si>
    <t xml:space="preserve">pdf-95f2afb334</t>
  </si>
  <si>
    <t xml:space="preserve">Deloitte &amp; Touche</t>
  </si>
  <si>
    <t xml:space="preserve">Michael Osinloye</t>
  </si>
  <si>
    <t xml:space="preserve">2021-04-26</t>
  </si>
  <si>
    <t xml:space="preserve">28-31</t>
  </si>
  <si>
    <t xml:space="preserve">Segmentation; deferred taxation</t>
  </si>
  <si>
    <t xml:space="preserve">Wema Bank Plc 2022 Annual Report and Accounts</t>
  </si>
  <si>
    <t xml:space="preserve">pdf-2b23016b97</t>
  </si>
  <si>
    <t xml:space="preserve">2023-04-18</t>
  </si>
  <si>
    <t xml:space="preserve">109-112</t>
  </si>
  <si>
    <t xml:space="preserve">Fidelity Bank Plc 2019 Annual Report</t>
  </si>
  <si>
    <t xml:space="preserve">pdf-6a28e37003</t>
  </si>
  <si>
    <t xml:space="preserve">2020-03-06</t>
  </si>
  <si>
    <t xml:space="preserve">Unmodified (present fairly)</t>
  </si>
  <si>
    <t xml:space="preserve">financial statements of Fidelity Bank Plc (single entity)</t>
  </si>
  <si>
    <t xml:space="preserve">bank_single_entity</t>
  </si>
  <si>
    <t xml:space="preserve">57-59</t>
  </si>
  <si>
    <t xml:space="preserve">ECL; investment securities</t>
  </si>
  <si>
    <t xml:space="preserve">Fidelity Bank Plc 2022 Annual Report</t>
  </si>
  <si>
    <t xml:space="preserve">pdf-0960512f5d</t>
  </si>
  <si>
    <t xml:space="preserve">Yetunde Odetayo</t>
  </si>
  <si>
    <t xml:space="preserve">2023-04-25</t>
  </si>
  <si>
    <t xml:space="preserve">130-135</t>
  </si>
  <si>
    <t xml:space="preserve">135 (date read from render)</t>
  </si>
  <si>
    <t xml:space="preserve">full text-layer read; signature page from render</t>
  </si>
  <si>
    <t xml:space="preserve">Sterling Bank Plc Annual Report and Financial Statements 2014</t>
  </si>
  <si>
    <t xml:space="preserve">pdf-97d85c8249</t>
  </si>
  <si>
    <t xml:space="preserve">2015-03-03</t>
  </si>
  <si>
    <t xml:space="preserve">financial statements of Sterling Bank Plc</t>
  </si>
  <si>
    <t xml:space="preserve">53-54</t>
  </si>
  <si>
    <t xml:space="preserve">n/a (pre-ISA 701 format)</t>
  </si>
  <si>
    <t xml:space="preserve">n/a</t>
  </si>
  <si>
    <t xml:space="preserve">Sterling Bank Plc FY 2019 Audited Financials</t>
  </si>
  <si>
    <t xml:space="preserve">pdf-ad59107fe3</t>
  </si>
  <si>
    <t xml:space="preserve">Oluwasayo Elumaro</t>
  </si>
  <si>
    <t xml:space="preserve">2020-03-11</t>
  </si>
  <si>
    <t xml:space="preserve">ECL on financial instruments</t>
  </si>
  <si>
    <t xml:space="preserve">Guaranty Trust Bank Plc 2018 Annual Report</t>
  </si>
  <si>
    <t xml:space="preserve">xs-21e7fbfbf9</t>
  </si>
  <si>
    <t xml:space="preserve">Obioma Ubah</t>
  </si>
  <si>
    <t xml:space="preserve">2019-02-22</t>
  </si>
  <si>
    <t xml:space="preserve">76-80</t>
  </si>
  <si>
    <t xml:space="preserve">Guaranty Trust Bank Plc 2019 Annual Report</t>
  </si>
  <si>
    <t xml:space="preserve">xs-a8f251ab0e</t>
  </si>
  <si>
    <t xml:space="preserve">2020-02-28</t>
  </si>
  <si>
    <t xml:space="preserve">73-77</t>
  </si>
  <si>
    <t xml:space="preserve">Zenith Bank Plc Annual Report 2019</t>
  </si>
  <si>
    <t xml:space="preserve">xs-ed8929a255</t>
  </si>
  <si>
    <t xml:space="preserve">2020-02-10</t>
  </si>
  <si>
    <t xml:space="preserve">73-80</t>
  </si>
  <si>
    <t xml:space="preserve">Zenith Bank Plc Annual Report 2020</t>
  </si>
  <si>
    <t xml:space="preserve">xs-a0a09bb6aa</t>
  </si>
  <si>
    <t xml:space="preserve">2021-02-22</t>
  </si>
  <si>
    <t xml:space="preserve">full read of rendered pages (text layer garbled)</t>
  </si>
  <si>
    <t xml:space="preserve">Unity Bank Plc Financial Statements 31 December 2019 (NGX filing June 2020)</t>
  </si>
  <si>
    <t xml:space="preserve">pdf-ae85bb854d</t>
  </si>
  <si>
    <t xml:space="preserve">2020-05-20</t>
  </si>
  <si>
    <t xml:space="preserve">Unmodified (true and fair) - 'Our opinion is not modified in respect of this matter'</t>
  </si>
  <si>
    <t xml:space="preserve">financial statements of Unity Bank Plc (single entity)</t>
  </si>
  <si>
    <t xml:space="preserve">18-22</t>
  </si>
  <si>
    <t xml:space="preserve">full text-layer read + referred Note 35 (PDF p82)</t>
  </si>
  <si>
    <t xml:space="preserve">Yes</t>
  </si>
  <si>
    <t xml:space="preserve">No (the MU section is the going-concern paragraph)</t>
  </si>
  <si>
    <t xml:space="preserve">Emphasis of matter - comparative information restated (Note 37); unrelated to going concern</t>
  </si>
  <si>
    <t xml:space="preserve">ECL on loans; see report</t>
  </si>
  <si>
    <t xml:space="preserve">Note 35 (PDF p82): liabilities exceed assets by N279bn; CAR -200.8%; directors acknowledge uncertainty over recapitalisation timing; CBN forbearances</t>
  </si>
  <si>
    <t xml:space="preserve">Full original-year auditor report reviewed; explicit material uncertainty related to going concern</t>
  </si>
  <si>
    <t xml:space="preserve">Fidelity Bank Plc 2014 Annual Report (annualreports.com mirror)</t>
  </si>
  <si>
    <t xml:space="preserve">xs-4319eadb2e</t>
  </si>
  <si>
    <t xml:space="preserve">Joint auditors: Ernst &amp; Young and PKF Professional Services</t>
  </si>
  <si>
    <t xml:space="preserve">Kayode A. Famutimi, FCA (FRC/2012/ICAN/00000000155) for Ernst &amp; Young; Najeeb A. Abdus-salaam, FCA (FRC/2013/ICAN/00000000753) for PKF Professional Services</t>
  </si>
  <si>
    <t xml:space="preserve">2015-03-23</t>
  </si>
  <si>
    <t xml:space="preserve">unmodified</t>
  </si>
  <si>
    <t xml:space="preserve">Financial statements of Fidelity Bank Plc (single entity) as at 31 December 2014</t>
  </si>
  <si>
    <t xml:space="preserve">92-93</t>
  </si>
  <si>
    <t xml:space="preserve">full read of every auditor-report page (text layer; image-only pages rendered)</t>
  </si>
  <si>
    <t xml:space="preserve">None. Report on Other Legal and Regulatory Requirements notes related party disclosures (note 35), ATM complaints (note 38.2) and CBN penalties of N6 million (note 38.1)</t>
  </si>
  <si>
    <t xml:space="preserve">Note 2.1.2 'Going Concern' (PDF p.102): management satisfied resources to continue, not aware of material uncertainties; also Directors' responsibilities statement p.91</t>
  </si>
  <si>
    <t xml:space="preserve">Fidelity Bank Plc 2015 Annual Report (annualreports.com mirror)</t>
  </si>
  <si>
    <t xml:space="preserve">xs-b9bdc37238</t>
  </si>
  <si>
    <t xml:space="preserve">Joint auditors: Ernst &amp; Young and PKF Professional Services (Chartered Accountants), Lagos</t>
  </si>
  <si>
    <t xml:space="preserve">Kayode A. Famutimi, FCA, FRC/2012/ICAN/00000000155 (Ernst &amp; Young); Najeeb A. Abdus-salaam, FCA, FRC/2013/ICAN/00000000753 (PKF Professional Services)</t>
  </si>
  <si>
    <t xml:space="preserve">21 March 2016</t>
  </si>
  <si>
    <t xml:space="preserve">unmodified (present fairly, in all material respects)</t>
  </si>
  <si>
    <t xml:space="preserve">Financial statements of Fidelity Bank Plc (single entity) as at and for the year ended 31 December 2015</t>
  </si>
  <si>
    <t xml:space="preserve">48-48</t>
  </si>
  <si>
    <t xml:space="preserve">None. 'Report on Other Legal and Regulatory Requirements' confirms related-party (note 35) and ATM complaints (note 38.2) disclosures and notes that, as stated in Note 38.1, the Bank contravened certain sections of BOFIA and CBN circulars and related penalties have been paid (regulatory confirmation, not an emphasis of matter).</t>
  </si>
  <si>
    <t xml:space="preserve">No going-concern wording at all in the auditor's report (old-format ISA 700 report). Going-concern basis language appears only in the Statement of Directors' Responsibilities (PDF p47, printed 92-93).</t>
  </si>
  <si>
    <t xml:space="preserve">Note 2.1.2 Significant accounting judgements - 'Going Concern' (PDF p52, printed 103): management assessed ability to continue, not aware of material uncertainties; note 2.1.1 basis of preparation states going concern basis (PDF p52, printed 102). Also directors' responsibilities statement PDF p47 (printed 92-93).</t>
  </si>
  <si>
    <t xml:space="preserve">Fidelity Bank Plc 2016 Annual Report (annualreports.com mirror)</t>
  </si>
  <si>
    <t xml:space="preserve">xs-b3fea7725b</t>
  </si>
  <si>
    <t xml:space="preserve">Ernst &amp; Young and PKF Professional Services (joint auditors)</t>
  </si>
  <si>
    <t xml:space="preserve">Kayode A. Famutimi, FCA, FRC/2012/ICAN/00000000155 (Ernst &amp; Young); Najeeb A. Abdussalaam, FCA, FRC/2013/ICAN/00000000753 (PKF Professional Services)</t>
  </si>
  <si>
    <t xml:space="preserve">29 March 2017</t>
  </si>
  <si>
    <t xml:space="preserve">unmodified (unqualified) - presents fairly</t>
  </si>
  <si>
    <t xml:space="preserve">Financial statements of Fidelity Bank PLC ('the Bank'): SoFP at 31 Dec 2016, SoPL&amp;OCI, SoCE, SoCF and notes</t>
  </si>
  <si>
    <t xml:space="preserve">20-24</t>
  </si>
  <si>
    <t xml:space="preserve">None titled as Emphasis of Matter or Other Matter. Report on Other Legal and Regulatory Requirements (p24) notes related-party disclosure (note 35), ATM complaints (note 38.2) and that the Bank was charged penalties for contravention of certain sections of the Banks... (note 38.1; sentence truncated in the scanned page)</t>
  </si>
  <si>
    <t xml:space="preserve">Loans and advances - Impairment; Information Technology (IT) systems and control over financial reporting</t>
  </si>
  <si>
    <t xml:space="preserve">Note 2.1.1 Basis of preparation (PDF p29, printed 28): prepared in accordance with the going concern principle; Statement of Directors' Responsibilities (PDF p18): nothing indicates the Bank will not remain a going concern for at least twelve months</t>
  </si>
  <si>
    <t xml:space="preserve">Fidelity Bank Plc 2017 Annual Report (annualreports.com mirror)</t>
  </si>
  <si>
    <t xml:space="preserve">xs-8a5bcdb2fe</t>
  </si>
  <si>
    <t xml:space="preserve">Ernst &amp; Young and PKF Professional Services (joint auditors), Lagos, Nigeria</t>
  </si>
  <si>
    <t xml:space="preserve">Kayode A. Famutimi, FCA, FRC/2012/ICAN/00000000155 (for Ernst &amp; Young); Najeeb A. Abdus-salaam, FCA, FRC/2013/ICAN/00000000753 (for PKF Professional Services)</t>
  </si>
  <si>
    <t xml:space="preserve">2018-04-19</t>
  </si>
  <si>
    <t xml:space="preserve">unmodified (unqualified)</t>
  </si>
  <si>
    <t xml:space="preserve">Financial statements of Fidelity Bank PLC ('the Bank') - SOFP at 31 December 2017, statement of profit or loss and OCI, changes in equity, cash flows and notes; single entity, no group statements</t>
  </si>
  <si>
    <t xml:space="preserve">48-50</t>
  </si>
  <si>
    <t xml:space="preserve">None. Sections: Opinion; Basis for Opinion; Key Audit Matters; Other Information (nothing to report); Responsibilities of the Directors; Auditor's Responsibilities; Report on Other Legal and Regulatory Requirements (CAMA Schedule 6 confirmations; BOFIA/CBN: related parties note 35, ATM complaints note 38.2, and penalties paid for contraventions of BOFIA and CBN circulars per note 38.1 - a regulatory disclosure, not an emphasis of matter).</t>
  </si>
  <si>
    <t xml:space="preserve">Loans and advances - Impairment</t>
  </si>
  <si>
    <t xml:space="preserve">Note 2.1.1 Statement of Compliance / basis of preparation (PDF p54, printed 106): 'The financial statements have been prepared in accordance with the going concern principle under the historical cost convention...'. Also Statement of Directors' Responsibilities (PDF p48 left, printed 94): 'Nothing has come to the attention of the Directors to indicate that the Bank will not remain a going concern for at least twelve months from the date of this statement' (and p47 printed 93 item (d)). Capital management objective (b) on PDF p81 printed 160.</t>
  </si>
  <si>
    <t xml:space="preserve">Fidelity Bank Plc 2020 Annual Report (annualreports.com mirror)</t>
  </si>
  <si>
    <t xml:space="preserve">xs-2060f5735d</t>
  </si>
  <si>
    <t xml:space="preserve">Ernst &amp; Young (Chartered Accountants), Lagos, Nigeria</t>
  </si>
  <si>
    <t xml:space="preserve">Jamiu Olakisan, FCA, FRC/2013/ICAN/00000003918</t>
  </si>
  <si>
    <t xml:space="preserve">2021-03-26</t>
  </si>
  <si>
    <t xml:space="preserve">unmodified (true and fair view)</t>
  </si>
  <si>
    <t xml:space="preserve">Financial statements of Fidelity Bank Plc (the Bank), pages 136 to 265: SOFP at 31 December 2020, SOPL&amp;OCI, SOCE, SOCF and notes (single entity; no group)</t>
  </si>
  <si>
    <t xml:space="preserve">128-133</t>
  </si>
  <si>
    <t xml:space="preserve">None. No Emphasis of Matter or Other Matter paragraphs. Other Information section (p130) has nothing to report. Report on other legal and regulatory requirements (pp132-133) notes related parties (Note 38), customer complaints (Note 41.2) and that the Bank paid penalties for contraventions of BOFIA 2020 and CBN guidelines (Note 41.1) - regulatory confirmations, not emphasis.</t>
  </si>
  <si>
    <t xml:space="preserve">Yes - only standard going-concern wording in Directors' responsibilities (p131) and Auditor's responsibilities (p132)</t>
  </si>
  <si>
    <t xml:space="preserve">Expected Credit Loss on financial assets and off-balance sheet exposures</t>
  </si>
  <si>
    <t xml:space="preserve">Note 2.1.3 (Significant accounting judgements, estimates and assumptions) 'Going Concern' paragraph on Covid-19, PDF p141: Bank expects to meet its obligations and continues to adopt going concern basis. Also Note 2.1.1 basis of preparation p140 ('prepared in accordance with the assumption of going concern') and directors' statement p127.</t>
  </si>
  <si>
    <t xml:space="preserve">Stanbic IBTC Bank PLC 2018 annual report extract (scanned auditor's report and primary statements)</t>
  </si>
  <si>
    <t xml:space="preserve">pdf-659dfb2f30</t>
  </si>
  <si>
    <t xml:space="preserve">Kabir O. Okunlola, FRC/2012/ICAN/00000000428</t>
  </si>
  <si>
    <t xml:space="preserve">2019-02-07</t>
  </si>
  <si>
    <t xml:space="preserve">consolidated and separate financial statements of Stanbic IBTC Bank PLC</t>
  </si>
  <si>
    <t xml:space="preserve">1-8</t>
  </si>
  <si>
    <t xml:space="preserve">every scanned page read from 110-dpi renders</t>
  </si>
  <si>
    <t xml:space="preserve">No (Other Legal and Regulatory: CBN penalties and related-party disclosure confirmations)</t>
  </si>
  <si>
    <t xml:space="preserve">Impairment allowance for loans and advances to customers (ECL); recoverability of deferred tax assets; valuation of derivative instruments</t>
  </si>
  <si>
    <t xml:space="preserve">Not in this extract (notes not included)</t>
  </si>
  <si>
    <t xml:space="preserve">Stanbic IBTC Bank PLC 2019 annual report extract (scanned auditor's report and primary statements)</t>
  </si>
  <si>
    <t xml:space="preserve">pdf-fb3ab3b63d</t>
  </si>
  <si>
    <t xml:space="preserve">2020-02-11</t>
  </si>
  <si>
    <t xml:space="preserve">1-7</t>
  </si>
  <si>
    <t xml:space="preserve">Zenith 2013 audited financial statements (full consolidated and separate financial statements (third-party mirror))</t>
  </si>
  <si>
    <t xml:space="preserve">xs-44bcf809bd</t>
  </si>
  <si>
    <t xml:space="preserve">KPMG Professional Services, Lagos (KPMG Tower, Bishop Aboyade Cole Street, Victoria Island)</t>
  </si>
  <si>
    <t xml:space="preserve">Ayodele H. Othihiwa, FRC/2012/ICAN/00000000425</t>
  </si>
  <si>
    <t xml:space="preserve">2014-03-07</t>
  </si>
  <si>
    <t xml:space="preserve">unmodified (unqualified), true and fair</t>
  </si>
  <si>
    <t xml:space="preserve">Introductory paragraph: 'We have audited the accompanying financial statements of Zenith Bank Plc ("the Bank") and its subsidiary companies (together "the Group") ... as set out on pages 23 to 102'. Opinion: 'these financial statements give a true and fair view of the financial position of Zenith Bank Plc ("the Bank") and its subsidiaries (together "the Group") as at December 31, 2013, and of the Group and Bank's financial performance and cash flows for the year then ended'. The Bank is explicitly named; the phrase 'separate financial statements' itself is not used.</t>
  </si>
  <si>
    <t xml:space="preserve">21-22</t>
  </si>
  <si>
    <t xml:space="preserve">None. 'Report on Other Legal and Regulatory Requirements' notes the Bank paid penalties for contraventions of BOFIA during 2013 (note 42) and related-party disclosures in note 38 (CBN circular BSD/1/2004); these are statutory compliance statements, not emphasis/other-matter paragraphs.</t>
  </si>
  <si>
    <t xml:space="preserve">Statement of Directors' Responsibilities PDF p.19 (image-only, printed p.19): 'The Directors have made assessment of the Bank's ability to continue as a going concern and have no reason to believe that the Bank will not remain a going concern in the year ahead.' Note 2.1 Basis of preparation PDF p.30: prepared 'in accordance with the going concern principle'.</t>
  </si>
  <si>
    <t xml:space="preserve">Access 2015 audited financial statements (consolidated and separate financial statements (NGX filing))</t>
  </si>
  <si>
    <t xml:space="preserve">xs-f222df8286</t>
  </si>
  <si>
    <t xml:space="preserve">PricewaterhouseCoopers (Chartered Accountants), Lagos</t>
  </si>
  <si>
    <t xml:space="preserve">Anthony Oputa, FRC/2013/ICAN/00000000980</t>
  </si>
  <si>
    <t xml:space="preserve">16 March 2016</t>
  </si>
  <si>
    <t xml:space="preserve">Consolidated and separate financial statements of Access Bank Plc and its subsidiaries at 31 December 2015 ('state of the financial affairs of the bank and group'; performance and cash flows wording refers to 'the group' only)</t>
  </si>
  <si>
    <t xml:space="preserve">102-103</t>
  </si>
  <si>
    <t xml:space="preserve">None. 'Report on other legal requirements' (p103): item v - except for contraventions disclosed in Note 42 the bank complied with CBN circulars; item iv insider-related credits in Note 45 (regulatory confirmations, not emphasis of matter).</t>
  </si>
  <si>
    <t xml:space="preserve">No going-concern wording in the auditor's report (old-format ISA 700 report).</t>
  </si>
  <si>
    <t xml:space="preserve">Corporate Governance Report 'Going Concern' paragraph, PDF p22-23 (printed 20-21): directors have reasonable expectation the Group has adequate resources and adopt going concern basis. Statement of Directors' Responsibilities PDF p27: nothing indicates Company and Group will not remain a going concern for at least twelve months. No dedicated going-concern accounting note found in basis of preparation (note 3.1, PDF p109).</t>
  </si>
  <si>
    <t xml:space="preserve">Access 2016 audited financial statements (consolidated and separate financial statements (NGX filing))</t>
  </si>
  <si>
    <t xml:space="preserve">xs-9dc3fa3443</t>
  </si>
  <si>
    <t xml:space="preserve">PricewaterhouseCoopers (Chartered Accountants, Lagos, Nigeria)</t>
  </si>
  <si>
    <t xml:space="preserve">4 March 2017</t>
  </si>
  <si>
    <t xml:space="preserve">Consolidated and separate financial statements of Access Bank Plc ('the bank') and its subsidiaries ('the group') as at 31 December 2016</t>
  </si>
  <si>
    <t xml:space="preserve">43-50</t>
  </si>
  <si>
    <t xml:space="preserve">None. Report on other legal and regulatory requirements (p50) notes contraventions of CBN circulars disclosed in Note 41 (not an emphasis of matter).</t>
  </si>
  <si>
    <t xml:space="preserve">Impairment assessment of loans and advances to customers (individually and collectively assessed facilities - N35.7 billion, note 23); Valuation of available for sale investment securities (level 3 instruments N50.1 billion, note 4.1.1); Valuation of derivative financial instruments (note 21; N156bn assets, N30bn liabilities) - KAM in the separate financial statements only</t>
  </si>
  <si>
    <t xml:space="preserve">Corporate governance report 'Going Concern' paragraph (PDF/printed p21): directors have reasonable expectation the Group has adequate resources, continue to adopt going concern basis; Statement of directors' responsibilities (PDF/printed p25): nothing indicates the Company and Group will not remain a going concern for at least twelve months. No separate going-concern note in the financial statements.</t>
  </si>
  <si>
    <t xml:space="preserve">Access 2017 audited financial statements (consolidated and separate financial statements (NGX filing))</t>
  </si>
  <si>
    <t xml:space="preserve">xs-8b77dcebfb</t>
  </si>
  <si>
    <t xml:space="preserve">PricewaterhouseCoopers (PwC), Chartered Accountants, Lagos, Nigeria</t>
  </si>
  <si>
    <t xml:space="preserve">2018-03-21</t>
  </si>
  <si>
    <t xml:space="preserve">Consolidated and separate financial statements of Access Bank Plc ('the bank') and its subsidiaries ('the group') as at 31 December 2017; opinion explicitly covers the separate financial position, performance and cash flows</t>
  </si>
  <si>
    <t xml:space="preserve">57-63</t>
  </si>
  <si>
    <t xml:space="preserve">None. Report contains Other information section (standard) and Report on other legal and regulatory requirements noting contraventions of CBN circulars disclosed in Note 41 and insider-related credits in Note 44.</t>
  </si>
  <si>
    <t xml:space="preserve">Impairment on loans and advances to customers - N63.9 billion (notes 3.9, 4.0 and 23); Valuation of available for sale investment securities - N69.6 billion (notes 3.9, 4.1 and 25); Valuation of derivative financial instruments - assets N92.4 billion, liabilities N5.3 billion (notes 3.9, 4.1 and 21) - separate financial statements only; Disclosure of the impact of IFRS 9 transition</t>
  </si>
  <si>
    <t xml:space="preserve">Corporate governance report 'Going Concern' paragraph (PDF p30): directors have reasonable expectation the Group has adequate resources; going concern basis adopted. Statement of directors' responsibilities (PDF p33): nothing indicates Company and Group will not remain a going concern for at least twelve months. No dedicated going-concern accounting note found.</t>
  </si>
  <si>
    <t xml:space="preserve">Access 2020 audited financial statements (consolidated and separate financial statements (NGX filing))</t>
  </si>
  <si>
    <t xml:space="preserve">xs-02a2c771a1</t>
  </si>
  <si>
    <t xml:space="preserve">PricewaterhouseCoopers (Chartered Accountants), Landmark Towers, 5B Water Corporation Road, Victoria Island, Lagos, Nigeria</t>
  </si>
  <si>
    <t xml:space="preserve">Chidi Ojechi, FRC/2017/ICAN/000000015955 (as printed on the render)</t>
  </si>
  <si>
    <t xml:space="preserve">2021-03-31</t>
  </si>
  <si>
    <t xml:space="preserve">Consolidated and separate financial statements of Access Bank Plc ('the bank') and its subsidiaries ('the group') as at 31 December 2020: consolidated and separate statements of comprehensive income, financial position, changes in equity, cash flows and notes</t>
  </si>
  <si>
    <t xml:space="preserve">42-47</t>
  </si>
  <si>
    <t xml:space="preserve">None. No Emphasis of Matter or Other Matter paragraph. Other Information section (p45) has nothing to report; it lists 'Other disclosures: Assessment of Covid-19 impact on going concern' as other information (not audited). Report on other legal and regulatory requirements (p47): insider related credits in Note 45; bank paid penalties for contraventions of BOFIA and CBN circulars (Note 41) - regulatory confirmations, not emphasis.</t>
  </si>
  <si>
    <t xml:space="preserve">Yes - only standard going-concern wording in directors' responsibilities (p45-46) and auditor's responsibilities (p46)</t>
  </si>
  <si>
    <t xml:space="preserve">Purchase Price Allocation and determination of intangible assets arising on business combination (notes 3.3b, 4 and 44); Impairment of goodwill (notes 3.13a, 3.14, 4ii and 29); Impairment on loans and advances to customers - N127.8 billion (notes 3.9, 4.0 and 23)</t>
  </si>
  <si>
    <t xml:space="preserve">Directors' report 'Going Concern' paragraph (PDF p30): reasonable expectation of adequate resources, continue to adopt going concern basis; Statement of directors' responsibilities (PDF p34); basis of preparation note 3.0 (PDF p54: prepared in accordance with the going concern principle); 'Other disclosures 1.0 Assessment of Covid-19 impact on going concern' (PDF pp233-234): going concern status not threatened.</t>
  </si>
  <si>
    <t xml:space="preserve">Access 2019 audited financial statements (consolidated and separate financial statements (NGX filing) (capital management note 6 missing from the filed PDF))</t>
  </si>
  <si>
    <t xml:space="preserve">xs-6951b12082</t>
  </si>
  <si>
    <t xml:space="preserve">PricewaterhouseCoopers (Chartered Accountants, Lagos)</t>
  </si>
  <si>
    <t xml:space="preserve">Tola Ogundipe, FRC/2013/ICAN/00000000639</t>
  </si>
  <si>
    <t xml:space="preserve">6 March 2020</t>
  </si>
  <si>
    <t xml:space="preserve">Consolidated and separate financial statements of Access Bank Plc ('the bank') and its subsidiaries ('the group') as at 31 December 2019</t>
  </si>
  <si>
    <t xml:space="preserve">86-91</t>
  </si>
  <si>
    <t xml:space="preserve">None. Sections: Our opinion, Basis for opinion, Independence, KAMs, Other information, Responsibilities of directors, Auditor's responsibilities, Report on other legal and regulatory requirements (item v notes penalties paid for BOFIA/CBN contraventions, note 41).</t>
  </si>
  <si>
    <t xml:space="preserve">Accounting for business combination (Diamond Bank Plc acquired 19 March 2019; provisional goodwill N50.6bn; PPA provisional) - notes 3.3b, 44; Impairment on loans and advances to customers - N191.4 billion - notes 3.9, 4.0, 23; Valuation of equity securities at fair value through profit or loss - N113.2 billion (level 3 N111.6bn) - notes 3.9, 4.1, 25</t>
  </si>
  <si>
    <t xml:space="preserve">Corporate governance report 'Going Concern' paragraph (PDF p45): directors have reasonable expectation the Group has adequate resources; Statement of Directors' responsibilities (PDF p50): nothing indicates the bank and Group will not remain a going concern for 12 months; note 3.0 Basis of preparation (PDF p97, printed 96): prepared under the going concern principle. No specific going-concern note.</t>
  </si>
  <si>
    <t xml:space="preserve">Access 2021 audited financial statements (consolidated and separate financial statements (NGX filing))</t>
  </si>
  <si>
    <t xml:space="preserve">xs-2336dc520e</t>
  </si>
  <si>
    <t xml:space="preserve">Chidi Ojechi, FRC/2017/ICAN/00000015955</t>
  </si>
  <si>
    <t xml:space="preserve">2022-03-17</t>
  </si>
  <si>
    <t xml:space="preserve">Consolidated and separate financial statements of Access Bank Plc ('the bank') and its subsidiaries ('the group'): consolidated and separate statements of comprehensive income, financial position at 31 December 2021, changes in equity, cash flows, and notes</t>
  </si>
  <si>
    <t xml:space="preserve">45-49</t>
  </si>
  <si>
    <t xml:space="preserve">None. No Emphasis of Matter or Other Matter paragraphs. Other information section (pp47-48): nothing to report. Report on other legal and regulatory requirements (p49): insider-related credits disclosed in Note 45; bank paid penalties for contraventions of BOFIA and CBN circulars (Note 41) - regulatory confirmations, not emphasis.</t>
  </si>
  <si>
    <t xml:space="preserve">Yes - only standard going-concern wording in Responsibilities of the directors (p48) and Auditor's responsibilities (p48)</t>
  </si>
  <si>
    <t xml:space="preserve">Impairment of goodwill (notes 3.13a, 3.14, 4.0(ii) and 29); Impairment on loans and advances to customers - N86.14billion (notes 3.9, 4.0 and 23)</t>
  </si>
  <si>
    <t xml:space="preserve">Corporate governance report 'Going Concern' paragraph pp34-35 (directors have reasonable expectation the Group has adequate resources; continue to adopt going concern basis); Statement of directors' responsibilities p38 (nothing to indicate bank and Group will not remain a going concern for at least twelve months); Note 2.0 Statement of compliance/basis of preparation p55 ('prepared in accordance with the going concern principle'). No dedicated going-concern note with uncertainty.</t>
  </si>
  <si>
    <t xml:space="preserve">Unity 2015 audited financial statements (financial statements and notes (NGX filing; notes after 34 absent))</t>
  </si>
  <si>
    <t xml:space="preserve">xs-059c7135c3</t>
  </si>
  <si>
    <t xml:space="preserve">Ahmed Zakari &amp; Co. (Chartered Accountants)</t>
  </si>
  <si>
    <t xml:space="preserve">Tajudeen Adetokunbo Oni FCA, FRC/2013/ICAN/00000000749</t>
  </si>
  <si>
    <t xml:space="preserve">30 March 2016 (Abuja, Nigeria)</t>
  </si>
  <si>
    <t xml:space="preserve">Financial statements of Unity Bank Plc (single entity) as at and for the year ended 31 December 2015</t>
  </si>
  <si>
    <t xml:space="preserve">2-3</t>
  </si>
  <si>
    <t xml:space="preserve">None. 'Report on Other Legal and Regulatory Requirements' (p3): CAMA Schedule 6 confirmations; BOFIA s27(2): loans examined per CBN Prudential Guidelines, related parties in Note 48, and 'The Bank contravened the requirements of some Central Bank of Nigeria circulars during the financial year. Details of these are stated in Note 52' (regulatory confirmation, not an emphasis of matter; notes 48/52 not in this 46-page filing).</t>
  </si>
  <si>
    <t xml:space="preserve">No going-concern wording at all in the auditor's report (old-format ISA 700 report). Pages 2-3 are image-only, read from renders.</t>
  </si>
  <si>
    <t xml:space="preserve">Note 1.3 Significant accounting judgments - 'Going concern' (PDF p12, printed 8): management satisfied Bank can continue, not aware of material uncertainties; 'The Bank is negotiating with potential investors for investment in its equity to address the Bank's negative capitalisation.' Also directors' responsibility statement PDF p1.</t>
  </si>
  <si>
    <t xml:space="preserve">Full original-year auditor report reviewed; no material-uncertainty section and no going-concern emphasis; FLAG for sensitivity: management note 1.3 'Going concern' refers to negative capitalisation; the auditor's report has no going-concern paragraph</t>
  </si>
  <si>
    <t xml:space="preserve">Unity 2016 audited financial statements (financial statements and notes (NGX filing))</t>
  </si>
  <si>
    <t xml:space="preserve">xs-00da650717</t>
  </si>
  <si>
    <t xml:space="preserve">Tajudeen Adetokunbo Oni, FRC/2013/ICAN/00000000749</t>
  </si>
  <si>
    <t xml:space="preserve">29 March 2017 (handwritten 'March 29 2017'; directors approved the financial statements 20 March 2017)</t>
  </si>
  <si>
    <t xml:space="preserve">unmodified (unqualified) - true and fair view</t>
  </si>
  <si>
    <t xml:space="preserve">Financial statements of Unity Bank Plc (financial position at 31 December 2016, financial performance and cash flows for the year) - single entity</t>
  </si>
  <si>
    <t xml:space="preserve">22-26</t>
  </si>
  <si>
    <t xml:space="preserve">None. Report on Other Legal and Regulatory Matters (p26) states the Bank contravened some CBN circulars during the year (note 52) and related-party disclosures are in note 48. KAM 1 discusses recapitalisation/CBN extension of recapitalisation deadline (28 Feb 2017 to 30 Sep 2017) but it is a KAM, not an emphasis of matter or material-uncertainty paragraph.</t>
  </si>
  <si>
    <t xml:space="preserve">Huge Non performing loans (NPLs) and erosion of tier 1 capital; Impairment of loans and advances</t>
  </si>
  <si>
    <t xml:space="preserve">Note 40 'Going Concern' (PDF p71, printed 70): prepared on going concern assumption; recapitalisation exercise per CBN directive and NPL sale agreement expected to conclude by Q3 2017 to 'completely eradicate any reasonable doubt to the going concern of the Bank'. Also note 3 judgements (PDF p34) and Statement of Directors' Responsibilities (PDF p20, printed 19): nothing indicates the Bank will not remain a going concern for at least twelve months.</t>
  </si>
  <si>
    <t xml:space="preserve">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</si>
  <si>
    <t xml:space="preserve">Unity 2021 audited financial statements (financial statements and notes (NGX filing))</t>
  </si>
  <si>
    <t xml:space="preserve">xs-848eb8a062</t>
  </si>
  <si>
    <t xml:space="preserve">KPMG Professional Services (Chartered Accountants), Lagos</t>
  </si>
  <si>
    <t xml:space="preserve">Akinyemi Ashade, FCA - FRC/2013/ICAN/00000000786</t>
  </si>
  <si>
    <t xml:space="preserve">6 May, 2022</t>
  </si>
  <si>
    <t xml:space="preserve">Unmodified (true and fair view), with a 'Material Uncertainty Related to Going Concern' section; 'Our opinion is not modified in respect of this matter.'</t>
  </si>
  <si>
    <t xml:space="preserve">The financial statements of Unity Bank Plc (the Bank): statement of profit or loss and OCI, statement of financial position as at 31 December 2021, statement of changes in equity, statement of cash flows and notes. Single entity; no Group.</t>
  </si>
  <si>
    <t xml:space="preserve">19-23</t>
  </si>
  <si>
    <t xml:space="preserve">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</si>
  <si>
    <t xml:space="preserve">None. No Emphasis of Matter or Other Matter paragraph. The Report on Other Legal and Regulatory Requirements (pp22-23) notes the Bank paid penalties for contravention of BOFIA 2020 during 2021 (note 38) and related-party disclosures in note 33.</t>
  </si>
  <si>
    <t xml:space="preserve">Present as standard text in addition to the MU section: directors' responsibility to assess going concern (p21) and auditor's responsibility to conclude on going-concern basis (p22).</t>
  </si>
  <si>
    <t xml:space="preserve">Expected Credit Loss on Loans and Advances to Customers</t>
  </si>
  <si>
    <t xml:space="preserve">Note 35 'Going Concern', PDF/printed page 92: liabilities exceeded assets by N276 billion (2020: N275 billion); CAR -86.18% (2020: -101.29%) below the 10% national-bank minimum; 'The directors acknowledge that material uncertainty remains over the timing of the recapitalisation of the Bank'; recapitalisation with local and multinational investors at advanced stage; statements prepared on going-concern basis. Note 36(b)(i) (p92): CBN short-term financial accommodation of N50 billion maturing 19 September 2022.</t>
  </si>
  <si>
    <t xml:space="preserve">Full original-year auditor report reviewed; material-uncertainty section or going-concern emphasis present</t>
  </si>
  <si>
    <t xml:space="preserve">Sterling 2015 audited financial statements (financial statements and notes (NGX filing))</t>
  </si>
  <si>
    <t xml:space="preserve">xs-1e71398d57</t>
  </si>
  <si>
    <t xml:space="preserve">Dayo Babatunde, FCA, FRC/2013/ICAN/00000000702</t>
  </si>
  <si>
    <t xml:space="preserve">2 March 2016</t>
  </si>
  <si>
    <t xml:space="preserve">Financial statements of Sterling Bank Plc (single entity) as at and for the year ended 31 December 2015</t>
  </si>
  <si>
    <t xml:space="preserve">19-20</t>
  </si>
  <si>
    <t xml:space="preserve">None. 'Report on Other Legal and Regulatory Requirements' (p20): CAMA Schedule 6 confirmations; related party transactions disclosed in Note 32; 'As disclosed in Note 38 to the financial statements, the Bank contravened certain circulars of the Central Bank of Nigeria'; customer complaints disclosed in Note 39 (regulatory confirmations, not emphasis of matter).</t>
  </si>
  <si>
    <t xml:space="preserve">No going-concern wording in the auditor's report (old-format ISA 700 report). Going-concern statements appear only in the Statement of Directors' Responsibilities (PDF p17: 'Nothing has come to the attention of the Directors to indicate that the Bank will not remain as a going concern for at least twelve months from the date of this statement.') and the Directors' Report (p6).</t>
  </si>
  <si>
    <t xml:space="preserve">Note 3.1(i) 'Going Concern' (PDF p52, printed 52): management assessed ability to continue, not aware of material uncertainties, statements prepared on going concern basis. Also Directors' Report 'Going concern' (PDF p6) and Statement of Directors' Responsibilities (PDF p17).</t>
  </si>
  <si>
    <t xml:space="preserve">Sterling 2020 audited financial statements (consolidated and separate financial statements (NGX filing))</t>
  </si>
  <si>
    <t xml:space="preserve">xs-432427dd54</t>
  </si>
  <si>
    <t xml:space="preserve">Deloitte &amp; Touche (Chartered Accountants), Lagos, Nigeria</t>
  </si>
  <si>
    <t xml:space="preserve">Michael Daudu, FRC/2013/ICAN/00000000845</t>
  </si>
  <si>
    <t xml:space="preserve">2021-03-17</t>
  </si>
  <si>
    <t xml:space="preserve">Consolidated and separate financial statements of Sterling Bank Plc ('the Bank') and its subsidiary ('the Group'), pages 27 to 194: 'give a true and fair view of the consolidated and separate financial position of the Group and the Bank as at 31 December 2020' and their consolidated and separate financial performance and cash flows</t>
  </si>
  <si>
    <t xml:space="preserve">25-28</t>
  </si>
  <si>
    <t xml:space="preserve">No Emphasis of Matter. Other Matter (p26): 'The consolidated and separate financial statements of the Group and Bank for the year ended 31 December 2019 were audited by another auditor who expressed an unmodified opinion on those statements on 11 March 2020.' Other Information section (p26): nothing to report. Report on other legal and regulatory requirements (p28) notes compliance with BOFIA 2020 and CBN circulars 'except for the contraventions of certain sections of CBN circulars/guidelines as disclosed in Note 40' and insider-related credits in note 34b - regulatory confirmations, not emphasis.</t>
  </si>
  <si>
    <t xml:space="preserve">Yes - only standard going-concern wording in Responsibilities of the Directors (p27 top) and Auditor's Responsibilities bullet 'Conclude on the appropriateness of the directors' use of the going concern basis...' (p27)</t>
  </si>
  <si>
    <t xml:space="preserve">Identification and measurement of impairment of financial assets</t>
  </si>
  <si>
    <t xml:space="preserve">Note 3.2(i) Going Concern (Significant accounting judgements, estimates and assumptions), PDF p65 / printed 63: management satisfied it has resources to continue for 12 months and not aware of material uncertainties; FS prepared on going concern basis. Also Report of the Directors PDF p6 (printed 4) and Statement of Directors' Responsibilities 'Going Concern' paragraph PDF p23 (printed 21, image-only).</t>
  </si>
  <si>
    <t xml:space="preserve">Sterling 2021 audited financial statements (consolidated and separate financial statements (NGX filing))</t>
  </si>
  <si>
    <t xml:space="preserve">xs-15112a49f8</t>
  </si>
  <si>
    <t xml:space="preserve">2022-03-31</t>
  </si>
  <si>
    <t xml:space="preserve">consolidated and separate financial statements of Sterling Bank Plc ('the Bank') and its subsidiary ('the Group')</t>
  </si>
  <si>
    <t xml:space="preserve">26-29</t>
  </si>
  <si>
    <t xml:space="preserve">Other matter (no heading, p27): 'The consolidated and separate financial statements of the Group and Bank for the year ended 31 December 2019 were audited by another auditor who expressed an unmodified opinion on those statements on 11 March 2020.' (year as printed; likely intended prior year)</t>
  </si>
  <si>
    <t xml:space="preserve">Identification and measurement of impairment of Loans and advances</t>
  </si>
  <si>
    <t xml:space="preserve">Report of the Directors 'Going concern' (PDF p6, printed 4): directors have no reason to believe the Group will not be a going concern in the next twelve months; Note 3.2(i) Going Concern (PDF p61, printed 59): management not aware of any material uncertainties; statements prepared on going concern basis.</t>
  </si>
  <si>
    <t xml:space="preserve">Unity 2017 audited financial statements (annual financial statements (NGX filing, Nov 2018))</t>
  </si>
  <si>
    <t xml:space="preserve">xs-b1e6d421fd</t>
  </si>
  <si>
    <t xml:space="preserve">not printed on the auditor's report (financial statements approved by the Board 27 March 2018, pdf p.30/p.21)</t>
  </si>
  <si>
    <t xml:space="preserve">financial statements of Unity Bank Plc (single entity; no group)</t>
  </si>
  <si>
    <t xml:space="preserve">23-27 (23-26 image-only, 27 text)</t>
  </si>
  <si>
    <t xml:space="preserve">None; Report on Other Legal and Regulatory Matters (p27) notes the Bank contravened some CBN circulars (note 52)</t>
  </si>
  <si>
    <t xml:space="preserve">Re-capitalization Activity; Elimination of Non-performing loans (NPLs); Impairment of loans and advances</t>
  </si>
  <si>
    <t xml:space="preserve">Note 40 Going Concern (pdf p.80, printed p.71): prepared on going-concern basis; recapitalisation in progress and NPL sale to AMC expected to eradicate reasonable doubt; also note 3 judgement (pdf p.39) and directors' responsibilities statement (pdf p.21)</t>
  </si>
  <si>
    <t xml:space="preserve">Unity 2022 audited financial statements (annual report and financial statements (NGX filing, June 2023))</t>
  </si>
  <si>
    <t xml:space="preserve">xs-25b05484b6</t>
  </si>
  <si>
    <t xml:space="preserve">KPMG Professional Services (Chartered Accountants), Lagos, Nigeria</t>
  </si>
  <si>
    <t xml:space="preserve">25 May 2023</t>
  </si>
  <si>
    <t xml:space="preserve">Unmodified (true and fair view), with a separate 'Material Uncertainty Related to Going Concern' section; 'Our opinion is not modified in respect of this matter.'</t>
  </si>
  <si>
    <t xml:space="preserve">The financial statements of Unity Bank Plc (the Bank): statement of financial position as at 31 December 2022, statement of profit or loss and OCI, statement of changes in equity, statement of cash flows and notes. Single entity; no Group.</t>
  </si>
  <si>
    <t xml:space="preserve">19, 20, 21, 22, 23</t>
  </si>
  <si>
    <t xml:space="preserve">None. No Emphasis of Matter or Other Matter paragraph. Other Information section notes 'Outstanding reports' to be made available after the report date. Report on Other Legal and Regulatory Requirements (pp22-23): Bank did not pay any BOFIA 2020 penalty in 2022; related-party disclosures in note 33.</t>
  </si>
  <si>
    <t xml:space="preserve">Expected Credit Loss on Loans and Advances to Customers (in addition to the matter in the Material Uncertainty Related to Going Concern section)</t>
  </si>
  <si>
    <t xml:space="preserve">Note 35 'Going Concern', PDF/printed page 93: PAT N0.94bn (2021: N3.1bn); liabilities exceeded assets by N274.9bn (2021: N276.2bn); CAR -89.69% (2021: -86.18%) below 10% national-bank minimum; 'The directors acknowledge that material uncertainty remains over the timing of the recapitalisation of the Bank'; advanced stage with local and multinational investors; prepared on going-concern basis. Note 36(b)(i) p93: CBN short-term financial accommodation of N50bn maturing 19 September 2023. Directors' responsibilities statement (p17) also refers to note 35.</t>
  </si>
  <si>
    <t xml:space="preserve">Sterling 2016 audited financial statements (consolidated and separate financial statements (NGX filing))</t>
  </si>
  <si>
    <t xml:space="preserve">xs-fdcdf7a057</t>
  </si>
  <si>
    <t xml:space="preserve">7 March 2017</t>
  </si>
  <si>
    <t xml:space="preserve">Consolidated and separate financial statements of Sterling Bank Plc ('the Bank') and its subsidiary ('the Group') as at and for the year ended 31 December 2016; opinion explicitly states financial position of 'the Group and the Bank'</t>
  </si>
  <si>
    <t xml:space="preserve">24, 25, 26, 27, 28</t>
  </si>
  <si>
    <t xml:space="preserve">None. 'Other Information' section (p26) - nothing to report. 'Report on Other Legal and Regulatory Requirements' (p28): CAMA Schedule 6 confirmations; related party transactions in Note 34; 'As disclosed in Note 40 to the consolidated and separate financial statements, the Bank contravened certain circulars of the Central Bank of Nigeria'; customer complaints in Note 41 (regulatory confirmations, not emphasis of matter).</t>
  </si>
  <si>
    <t xml:space="preserve">Yes, only boilerplate: p26 Directors' responsibilities ('the Directors are responsible for assessing the Group's ability to continue as a going concern...'); p27 auditor responsibilities ('Conclude on the appropriateness of the Directors' use of the going concern basis of accounting... If we conclude that a material uncertainty exists...').</t>
  </si>
  <si>
    <t xml:space="preserve">Impairment of loans and advances; Change of core banking application</t>
  </si>
  <si>
    <t xml:space="preserve">Note 3.2(i) 'Going Concern' (PDF p58, printed 58): management satisfied it has resources to continue for next 12 months, not aware of material uncertainties, statements prepared on going concern basis. Also Directors' Report 'Going concern' (PDF p6) and Statement of Directors' Responsibilities (PDF p22, image-only): 'Nothing has come to the attention of the Directors to indicate that the Bank and the Group will not remain as a going concern for at least twelve months'.</t>
  </si>
  <si>
    <t xml:space="preserve">Sterling 2017 audited financial statements (consolidated and separate financial statements (NGX filing))</t>
  </si>
  <si>
    <t xml:space="preserve">xs-2250e1dfcc</t>
  </si>
  <si>
    <t xml:space="preserve">Kayode Famutimi, FCA, FRC/2012/ICAN/00000000155</t>
  </si>
  <si>
    <t xml:space="preserve">2018-03-23</t>
  </si>
  <si>
    <t xml:space="preserve">consolidated and separate financial statements of Sterling Bank Plc ('the Bank') and its subsidiary ('the Group'); fair presentation of the financial position of the Group and the Bank</t>
  </si>
  <si>
    <t xml:space="preserve">24-28</t>
  </si>
  <si>
    <t xml:space="preserve">None (no emphasis of matter or other matter paragraph). Report on other legal and regulatory requirements (p28): 'As disclosed in Note 40 ..., the Bank contravened certain circulars of the Central Bank of Nigeria.'</t>
  </si>
  <si>
    <t xml:space="preserve">Impairment of loans and advances</t>
  </si>
  <si>
    <t xml:space="preserve">Report of the Directors 'Going concern' (PDF p6, printed 6): directors have no reason to believe the Group will not be a going concern in the next twelve months; Note 3.2(i) Going Concern (PDF p60, printed 60): management not aware of any material uncertainties; statements prepared on going concern basis. Statement of directors' responsibilities (p22) also states nothing indicates Group and Bank will not remain a going concern.</t>
  </si>
  <si>
    <t xml:space="preserve">First Bank 2016 audited financial statements (First Bank of Nigeria Limited 2016 annual report (full, incl. auditor's report))</t>
  </si>
  <si>
    <t xml:space="preserve">xs-bbae41452e</t>
  </si>
  <si>
    <t xml:space="preserve">Tola Ogundipe, FRC/2013/ICAN/0000000639 (printed 'FRC/2013/ICAN/ 0000000639')</t>
  </si>
  <si>
    <t xml:space="preserve">24 April 2017</t>
  </si>
  <si>
    <t xml:space="preserve">Unmodified (unqualified) - true and fair view of consolidated and separate financial statements</t>
  </si>
  <si>
    <t xml:space="preserve">Consolidated and separate financial statements of First Bank of Nigeria Limited ('the Bank') and its subsidiaries ('the Group') as at 31 December 2016; opinion explicitly states 'the consolidated and separate financial statements give a true and fair view of the consolidated and separate financial position of First Bank of Nigeria Limited ("the Bank")'</t>
  </si>
  <si>
    <t xml:space="preserve">151-154 (printed 151-154); text layer present on all pages; signature page rendered at 110 dpi to confirm</t>
  </si>
  <si>
    <t xml:space="preserve">None. No emphasis of matter or other matter paragraph. 'Other information' section (p153) reports nothing. Legal/regulatory section (p154) notes: 'except for the contraventions disclosed in note 43 to the financial statements, the Bank has complied with the requirements of the relevant circulars issued by the Central Bank of Nigeria' (statutory reporting, not an opinion modification).</t>
  </si>
  <si>
    <t xml:space="preserve">(1) Impairment allowance on loans and advances to customers - N319.4billion (notes 5 and 20), KAM in both consolidated and separate financial statements; (2) Valuation of Goodwill - N4.3billion (notes 5 and 27), KAM in consolidated financial statements only</t>
  </si>
  <si>
    <t xml:space="preserve">Statement of directors' responsibilities (PDF/printed p150): 'Nothing has come to the attention of the directors to indicate that the Bank will not remain a going concern for at least 12months from the date of this statement.' Note 2.1 basis of preparation (PDF/printed p163): prepared 'in accordance with the going concern principle'. No going-concern uncertainty disclosed.</t>
  </si>
  <si>
    <t xml:space="preserve">Sterling 2022 audited financial statements (consolidated and separate financial statements (NGX filing, May 2023))</t>
  </si>
  <si>
    <t xml:space="preserve">xs-4ebcc7e617</t>
  </si>
  <si>
    <t xml:space="preserve">2023-05-03</t>
  </si>
  <si>
    <t xml:space="preserve">consolidated and separate financial statements of Sterling Bank Plc and its subsidiary (the Group and Bank)</t>
  </si>
  <si>
    <t xml:space="preserve">25, 26, 27, 28</t>
  </si>
  <si>
    <t xml:space="preserve">None (no Emphasis of Matter or Other Matter paragraph). Report on Other Legal and Regulatory Requirements (p28) notes the bank contravened certain sections of BOFIA 2020 and CBN circulars/guidelines, penalties disclosed in Note 42.</t>
  </si>
  <si>
    <t xml:space="preserve">Report of the Directors 'Going concern' (PDF p6, printed 4): directors have no reason to believe the Group will not be a going concern in the next twelve months; Note 3.2(i) Going Concern (PDF p60, printed 58): management not aware of any material uncertainties; statements prepared on going concern basis.</t>
  </si>
  <si>
    <t xml:space="preserve">GTBank 2020 audited financial statements (consolidated and separate financial statements (NGX filing))</t>
  </si>
  <si>
    <t xml:space="preserve">xs-3cf85eb3ae</t>
  </si>
  <si>
    <t xml:space="preserve">Obioma Ubah, FRC/2013/ICAN/00000002002</t>
  </si>
  <si>
    <t xml:space="preserve">2021-02-25</t>
  </si>
  <si>
    <t xml:space="preserve">consolidated and separate financial statements of Guaranty Trust Bank Plc ('the bank') and its subsidiaries ('the group')</t>
  </si>
  <si>
    <t xml:space="preserve">63-67 (printed 59-63; all image-only)</t>
  </si>
  <si>
    <t xml:space="preserve">None. Report on other legal and regulatory requirements (p67) item (v): bank paid penalties for contraventions of BOFIA and CBN circulars (note 47) - not an emphasis or other-matter paragraph.</t>
  </si>
  <si>
    <t xml:space="preserve">Impairment of loans and advances to customers (N80.98billion - Group; N62.92billion - Bank)</t>
  </si>
  <si>
    <t xml:space="preserve">Statement of Directors' Responsibilities 'Going Concern' (PDF p60, printed 56): directors have no reason to believe the Bank will not remain a going concern; going concern basis adopted. Also COVID-19 statement (PDF p369, printed 365): Going Concern status of the Group will not be threatened by COVID 19.</t>
  </si>
  <si>
    <t xml:space="preserve">not reviewed</t>
  </si>
  <si>
    <t xml:space="preserve">Original 2015 auditor report not retrieved (unionbankng.com returned 403); 2016 report comparative only</t>
  </si>
  <si>
    <t xml:space="preserve">Original 2021 report not retrieved; 2022 report comparative only</t>
  </si>
  <si>
    <t xml:space="preserve">Original 2020 report not retrieved; 2021 report comparative only</t>
  </si>
  <si>
    <t xml:space="preserve">Issuer-hosted FY2017 statements omit the auditor pages listed in the index (p.9); audit-report coverage unverified</t>
  </si>
  <si>
    <t xml:space="preserve">Original 2021 report not retrieved; 2022 report restated comparative only</t>
  </si>
  <si>
    <t xml:space="preserve">Original 2017 report not retrieved; 2018 report restated comparative only</t>
  </si>
  <si>
    <t xml:space="preserve">Auditor pages image-only; not yet reviewed</t>
  </si>
  <si>
    <t xml:space="preserve">Auditor's report not in the NSE filing; gcu unknown</t>
  </si>
  <si>
    <t xml:space="preserve">Auditor's report not in the source document; gcu unknown</t>
  </si>
  <si>
    <t xml:space="preserve">Original-year auditor's report not located (values from next-year comparative); gcu unknown</t>
  </si>
  <si>
    <t xml:space="preserve">partially reviewed (auditor report incomplete in available PDF)</t>
  </si>
  <si>
    <t xml:space="preserve">xs-9184ed1fc6</t>
  </si>
  <si>
    <t xml:space="preserve">Consolidated and separate financial statements of Access Bank Plc ("the bank") and its subsidiaries</t>
  </si>
  <si>
    <t xml:space="preserve">45-47 (image-only; transcribed from 110-dpi renders)</t>
  </si>
  <si>
    <t xml:space="preserve">visual review of rendered pages</t>
  </si>
  <si>
    <t xml:space="preserve">none between Basis for opinion (p45) and Key audit matters (p46)</t>
  </si>
  <si>
    <t xml:space="preserve">unknown: pages between the first KAM (p46) and the closing auditor-responsibility bullets (p47) are absent from this PDF</t>
  </si>
  <si>
    <t xml:space="preserve">unknown (pages absent)</t>
  </si>
  <si>
    <t xml:space="preserve">not visible (pages absent)</t>
  </si>
  <si>
    <t xml:space="preserve">Impairment of goodwill (p46); remaining KAM pages absent</t>
  </si>
  <si>
    <t xml:space="preserve">Directors' report p35: directors have reasonable expectation the Group has adequate resources to continue in operation</t>
  </si>
  <si>
    <t xml:space="preserve">No MU section in the visible opinion/basis pages, but the full auditor's report is not in the available PDF (study rule: unmodified opinion alone is not coded 0 without the full report); gcu left blank</t>
  </si>
  <si>
    <t xml:space="preserve">Ecobank Nigeria 2013 original-year auditor's report (Ecobank Nigeria Limited Annual Report 2013 (issuer archive))</t>
  </si>
  <si>
    <t xml:space="preserve">xs-4668b73761</t>
  </si>
  <si>
    <t xml:space="preserve">David Achugamonu, FRC/2013/ICAN/00000000840</t>
  </si>
  <si>
    <t xml:space="preserve">2014-04-23</t>
  </si>
  <si>
    <t xml:space="preserve">unmodified (true and fair / present fairly)</t>
  </si>
  <si>
    <t xml:space="preserve">Financial statements of Ecobank Nigeria Limited (single entity)</t>
  </si>
  <si>
    <t xml:space="preserve">full text read; signature/opinion pages rendered at 110 dpi</t>
  </si>
  <si>
    <t xml:space="preserve">none</t>
  </si>
  <si>
    <t xml:space="preserve">responsibilities sections only</t>
  </si>
  <si>
    <t xml:space="preserve">Directors' responsibilities statement: no reason to believe the bank will not remain a going concern</t>
  </si>
  <si>
    <t xml:space="preserve">Complete original-year auditor report reviewed; no material-uncertainty section and no going-concern emphasis</t>
  </si>
  <si>
    <t xml:space="preserve">Ecobank Nigeria 2014 original-year auditor's report (Ecobank Nigeria Limited Annual Report and Financial Statements 2014 (issuer archive))</t>
  </si>
  <si>
    <t xml:space="preserve">xs-5bf40497d1</t>
  </si>
  <si>
    <t xml:space="preserve">Jelili Adebisi, FRC/2013/ICAN/00000004247</t>
  </si>
  <si>
    <t xml:space="preserve">2015-04-14</t>
  </si>
  <si>
    <t xml:space="preserve">Ecobank Nigeria 2015 original-year auditor's report (2015 Ecobank Nigeria Annual Report (issuer archive))</t>
  </si>
  <si>
    <t xml:space="preserve">xs-a62824fb3d</t>
  </si>
  <si>
    <t xml:space="preserve">Joshua Ojo, FRC/2013/ICAN/00000000849</t>
  </si>
  <si>
    <t xml:space="preserve">2016-04-27</t>
  </si>
  <si>
    <t xml:space="preserve">46-47</t>
  </si>
  <si>
    <t xml:space="preserve">Ecobank Nigeria 2018 original-year auditor's report (Ecobank Nigeria Annual Report 2018 (issuer archive))</t>
  </si>
  <si>
    <t xml:space="preserve">xs-29bf069fa6</t>
  </si>
  <si>
    <t xml:space="preserve">2019-03-29</t>
  </si>
  <si>
    <t xml:space="preserve">58-63</t>
  </si>
  <si>
    <t xml:space="preserve">Loan loss impairment incl. off-balance-sheet (IFRS 9 first adoption); valuation of derivatives</t>
  </si>
  <si>
    <t xml:space="preserve">Ecobank Nigeria 2019 original-year auditor's report (Ecobank Nigeria Annual Report 2019 (issuer archive))</t>
  </si>
  <si>
    <t xml:space="preserve">xs-be6229d851</t>
  </si>
  <si>
    <t xml:space="preserve">2020-03-25</t>
  </si>
  <si>
    <t xml:space="preserve">64-69</t>
  </si>
  <si>
    <t xml:space="preserve">Emphasis of matter on Note 44 restatement of 2018 balances (not going-concern related)</t>
  </si>
  <si>
    <t xml:space="preserve">Ecobank Nigeria 2020 original-year auditor's report (Ecobank Nigeria Annual Report 2020 (issuer archive))</t>
  </si>
  <si>
    <t xml:space="preserve">xs-0dd4c49a7f</t>
  </si>
  <si>
    <t xml:space="preserve">Yetunde Odetayo, FRC/2013/ICAN/00000000823</t>
  </si>
  <si>
    <t xml:space="preserve">2021-03-30</t>
  </si>
  <si>
    <t xml:space="preserve">72-79</t>
  </si>
  <si>
    <t xml:space="preserve">ECL on loans; derivatives</t>
  </si>
  <si>
    <t xml:space="preserve">Ecobank Nigeria 2021 original-year auditor's report (Ecobank Nigeria Annual Report 2021 (issuer archive))</t>
  </si>
  <si>
    <t xml:space="preserve">xs-cce620f771</t>
  </si>
  <si>
    <t xml:space="preserve">Oluwasayo Elumaro, FRC/2012/ICAN/000000139</t>
  </si>
  <si>
    <t xml:space="preserve">2022-04-26</t>
  </si>
  <si>
    <t xml:space="preserve">78-83</t>
  </si>
  <si>
    <t xml:space="preserve">ECL on loans; valuation of unquoted equity</t>
  </si>
  <si>
    <t xml:space="preserve">Ecobank Nigeria 2022 original-year auditor's report (Ecobank Nigeria Annual Report 2022 (issuer archive))</t>
  </si>
  <si>
    <t xml:space="preserve">xs-932212298e</t>
  </si>
  <si>
    <t xml:space="preserve">2023-04-11</t>
  </si>
  <si>
    <t xml:space="preserve">68-72</t>
  </si>
  <si>
    <t xml:space="preserve">GTBank 2015 original-year auditor's report (Guaranty Trust Bank Plc 2015 Year End Audited Results (consolidated and separate; issuer site))</t>
  </si>
  <si>
    <t xml:space="preserve">xs-ac933e7f2f</t>
  </si>
  <si>
    <t xml:space="preserve">Daniel Asapokhai, FRC/2013/ICAN/00000000946</t>
  </si>
  <si>
    <t xml:space="preserve">2016-02-25</t>
  </si>
  <si>
    <t xml:space="preserve">Consolidated and separate financial statements of Guaranty Trust Bank Plc and subsidiaries</t>
  </si>
  <si>
    <t xml:space="preserve">51-52</t>
  </si>
  <si>
    <t xml:space="preserve">none (pre-ISA 701 format)</t>
  </si>
  <si>
    <t xml:space="preserve">GTBank 2016 original-year auditor's report (Guaranty Trust Bank Plc 2016 Annual Report (public mirror: AnnualReports.com; issuer URL returns 404))</t>
  </si>
  <si>
    <t xml:space="preserve">xs-b786ea3289</t>
  </si>
  <si>
    <t xml:space="preserve">2017-03-02</t>
  </si>
  <si>
    <t xml:space="preserve">71-76</t>
  </si>
  <si>
    <t xml:space="preserve">not coded</t>
  </si>
  <si>
    <t xml:space="preserve">xs-66a266c90d</t>
  </si>
  <si>
    <t xml:space="preserve">GTCO 2021 HoldCo consolidated and separate (Company) statements</t>
  </si>
  <si>
    <t xml:space="preserve">does not cover the operating bank separately</t>
  </si>
  <si>
    <t xml:space="preserve">Bank-year admitted from an explicit operating-bank subsidiary disclosure in the GTCO 2021 HoldCo report; no auditor's report on the operating bank is available, so gcu stays blank (study rule)</t>
  </si>
  <si>
    <t xml:space="preserve">xs-cf5faa1264</t>
  </si>
  <si>
    <t xml:space="preserve">GTCO 2022 HoldCo consolidated and separate (Company) statements</t>
  </si>
  <si>
    <t xml:space="preserve">Bank-year admitted from an explicit operating-bank subsidiary disclosure in the GTCO 2022 HoldCo report; no auditor's report on the operating bank is available, so gcu stays blank (study rule)</t>
  </si>
  <si>
    <t xml:space="preserve">xs-c712bb5b6c</t>
  </si>
  <si>
    <t xml:space="preserve">Stanbic IBTC Holdings 2013 HoldCo consolidated and separate (Company) statements</t>
  </si>
  <si>
    <t xml:space="preserve">Bank-year admitted from an explicit operating-bank subsidiary disclosure in the Stanbic IBTC Holdings 2013 HoldCo report; no auditor's report on the operating bank is available, so gcu stays blank (study rule)</t>
  </si>
  <si>
    <t xml:space="preserve">xs-40d24d09d3</t>
  </si>
  <si>
    <t xml:space="preserve">Stanbic IBTC Holdings 2015 HoldCo consolidated and separate (Company) statements</t>
  </si>
  <si>
    <t xml:space="preserve">Bank-year admitted from an explicit operating-bank subsidiary disclosure in the Stanbic IBTC Holdings 2015 HoldCo report; no auditor's report on the operating bank is available, so gcu stays blank (study rule)</t>
  </si>
  <si>
    <t xml:space="preserve">xs-328f885a48</t>
  </si>
  <si>
    <t xml:space="preserve">Stanbic IBTC Holdings 2016 HoldCo consolidated and separate (Company) statements</t>
  </si>
  <si>
    <t xml:space="preserve">Bank-year admitted from an explicit operating-bank subsidiary disclosure in the Stanbic IBTC Holdings 2016 HoldCo report; no auditor's report on the operating bank is available, so gcu stays blank (study rule)</t>
  </si>
  <si>
    <t xml:space="preserve">xs-2d674ef14c</t>
  </si>
  <si>
    <t xml:space="preserve">Stanbic IBTC Holdings 2017 HoldCo consolidated and separate (Company) statements</t>
  </si>
  <si>
    <t xml:space="preserve">Bank-year admitted from an explicit operating-bank subsidiary disclosure in the Stanbic IBTC Holdings 2017 HoldCo report; no auditor's report on the operating bank is available, so gcu stays blank (study rule)</t>
  </si>
  <si>
    <t xml:space="preserve">xs-f35c275cf6</t>
  </si>
  <si>
    <t xml:space="preserve">Stanbic IBTC Holdings 2014 HoldCo statements</t>
  </si>
  <si>
    <t xml:space="preserve">Bank-year admitted from an explicit operating-bank subsidiary disclosure in the HoldCo report; no auditor's report on the operating bank, so gcu stays blank (study rule)</t>
  </si>
  <si>
    <t xml:space="preserve">First Bank of Nigeria Limited FY2018 auditor's report as reproduced in FBN Finance Company B.V. prospectus (states it is the original report issued 12 April 2019)</t>
  </si>
  <si>
    <t xml:space="preserve">xs-3fed493f9a</t>
  </si>
  <si>
    <t xml:space="preserve">Samuel Abu, FRC/2013/ICAN/00000001495</t>
  </si>
  <si>
    <t xml:space="preserve">2019-04-12</t>
  </si>
  <si>
    <t xml:space="preserve">unmodified (true and fair)</t>
  </si>
  <si>
    <t xml:space="preserve">Consolidated and separate financial statements of First Bank of Nigeria Limited and subsidiaries</t>
  </si>
  <si>
    <t xml:space="preserve">510-514</t>
  </si>
  <si>
    <t xml:space="preserve">image pages rendered at 110 dpi and read; OCR used only to index</t>
  </si>
  <si>
    <t xml:space="preserve">ECL / IFRS 9 adoption and related matters</t>
  </si>
  <si>
    <t xml:space="preserve">capital management note: objective to safeguard ability to continue as a going concern</t>
  </si>
  <si>
    <t xml:space="preserve">First Bank of Nigeria Limited FY2019 auditor's report as reproduced in FBN Finance Company B.V. prospectus (states it is the original report issued 26 March 2020)</t>
  </si>
  <si>
    <t xml:space="preserve">2020-03-26</t>
  </si>
  <si>
    <t xml:space="preserve">385-390</t>
  </si>
  <si>
    <t xml:space="preserve">ECL on loans and advances</t>
  </si>
  <si>
    <t xml:space="preserve">capital management note only</t>
  </si>
  <si>
    <t xml:space="preserve">xs-8f94f07a8d</t>
  </si>
  <si>
    <t xml:space="preserve">2024-05-22</t>
  </si>
  <si>
    <t xml:space="preserve">ISA 810 report on summary financial statements (2023)</t>
  </si>
  <si>
    <t xml:space="preserve">2023 summary FS; refers to unmodified opinion on 2023 full FS</t>
  </si>
  <si>
    <t xml:space="preserve">does not cover 2022 full statements</t>
  </si>
  <si>
    <t xml:space="preserve">Only a 2023 summary-FS auditor's report is available; no full auditor's report on the 2022 statements, so gcu stays blank (study rule)</t>
  </si>
  <si>
    <t xml:space="preserve">Document type and audit-report coverage per downloaded file.</t>
  </si>
  <si>
    <t xml:space="preserve">host</t>
  </si>
  <si>
    <t xml:space="preserve">sha256</t>
  </si>
  <si>
    <t xml:space="preserve">bytes</t>
  </si>
  <si>
    <t xml:space="preserve">document_type</t>
  </si>
  <si>
    <t xml:space="preserve">audit_report_in_file</t>
  </si>
  <si>
    <t xml:space="preserve">audit_report_reviewed_for_gcu</t>
  </si>
  <si>
    <t xml:space="preserve">used_for_admissions</t>
  </si>
  <si>
    <t xml:space="preserve">downloaded</t>
  </si>
  <si>
    <t xml:space="preserve">www.fidelitybank.ng</t>
  </si>
  <si>
    <t xml:space="preserve">c9e9859cf693ef96a3a4bbfc27796b3b34bdd27f745b26c2e4b6d68f65781fda</t>
  </si>
  <si>
    <t xml:space="preserve">issuer/exchange copy</t>
  </si>
  <si>
    <t xml:space="preserve">yes</t>
  </si>
  <si>
    <t xml:space="preserve">pdf-22363eee3a</t>
  </si>
  <si>
    <t xml:space="preserve">greenwichregistrars.com</t>
  </si>
  <si>
    <t xml:space="preserve">ebf2841f28f9fa85b2af64b6f4a2545db251efda534d3952af2c749110dac92c</t>
  </si>
  <si>
    <t xml:space="preserve">mirror copy</t>
  </si>
  <si>
    <t xml:space="preserve">not checked</t>
  </si>
  <si>
    <t xml:space="preserve">no</t>
  </si>
  <si>
    <t xml:space="preserve">2b1f6641f7117791333b8bf6808e386d4e380bebb573673f425394d754b8eba4</t>
  </si>
  <si>
    <t xml:space="preserve">pdf-2f1102a9ec</t>
  </si>
  <si>
    <t xml:space="preserve">c1b25f6d750419701b8d2dad60957f1adb619c8811e0bd374f49d38cdf669d70</t>
  </si>
  <si>
    <t xml:space="preserve">pdf-436e6b6084</t>
  </si>
  <si>
    <t xml:space="preserve">www.ubagroup.com</t>
  </si>
  <si>
    <t xml:space="preserve">a3f2acbf1b4930db4feef0f8ee6591e109d98795c78fbfba92b66e6159b48e86</t>
  </si>
  <si>
    <t xml:space="preserve">www.stanbicibtcbank.com</t>
  </si>
  <si>
    <t xml:space="preserve">65822d2ab6a3dce152a98674c0ec7c329016f6cb5bdce1ad3bed71c576ad8d57</t>
  </si>
  <si>
    <t xml:space="preserve">pdf-4b54f6c2e2</t>
  </si>
  <si>
    <t xml:space="preserve">gtbank-plc.files.svdcdn.com</t>
  </si>
  <si>
    <t xml:space="preserve">2545e592914ef33d88e178fbd4b354da362603e3819ba7b65bb708d17fc420e7</t>
  </si>
  <si>
    <t xml:space="preserve">one-page financial statement summary</t>
  </si>
  <si>
    <t xml:space="preserve">GTBank 2014 summary</t>
  </si>
  <si>
    <t xml:space="preserve">pdf-4eaed043bc</t>
  </si>
  <si>
    <t xml:space="preserve">arthursteven.com</t>
  </si>
  <si>
    <t xml:space="preserve">fd6a3b8f8f578e7bf08a517cd9ffcdcc3a8c01268ba9ce514b5e8046fe53140a</t>
  </si>
  <si>
    <t xml:space="preserve">doclib.ngxgroup.com</t>
  </si>
  <si>
    <t xml:space="preserve">ba3b2866fb7d419fc117430d7096d9dfce8ea4401d916d8377cf003fb5ca507b</t>
  </si>
  <si>
    <t xml:space="preserve">2b85bab4f18ace1619a893e4bde41b6bd3fe3c05922b0f0c569b324f0f2bf79a</t>
  </si>
  <si>
    <t xml:space="preserve">issuer-hosted scanned extract: auditor's report + statement of financial position + statement of profit or loss (notes and cash flow absent)</t>
  </si>
  <si>
    <t xml:space="preserve">Yes - full KPMG report PDF pp.1-8</t>
  </si>
  <si>
    <t xml:space="preserve">Stanbic 2018 core variables and gcu admitted; OCF, loans gross/allowance and capital not in extract.</t>
  </si>
  <si>
    <t xml:space="preserve">448187770f22a00423f8c83c019bd9e27e97a1116c4089ebe2ab540bec405e93</t>
  </si>
  <si>
    <t xml:space="preserve">pdf-6b681503d3</t>
  </si>
  <si>
    <t xml:space="preserve">http_error</t>
  </si>
  <si>
    <t xml:space="preserve">www.accessbankplc.com</t>
  </si>
  <si>
    <t xml:space="preserve">6bfdfbd2701b05b9c08404eeebb86335f75c929c974be93f7ef29346e70887bb</t>
  </si>
  <si>
    <t xml:space="preserve">pdf-75d2be508b</t>
  </si>
  <si>
    <t xml:space="preserve">ff9f6deb12de3812473aeb70111f3e9f2dafd6feb6f9b73859c066bf8f462cc4</t>
  </si>
  <si>
    <t xml:space="preserve">pdf-7735ca4999</t>
  </si>
  <si>
    <t xml:space="preserve">76fd171a3acd222dbce9a7b9b18362b84c642e607e46ac1ec3d037796b8a7188</t>
  </si>
  <si>
    <t xml:space="preserve">pdf-796a228c2c</t>
  </si>
  <si>
    <t xml:space="preserve">www.annualreports.com</t>
  </si>
  <si>
    <t xml:space="preserve">e5173df78220ac8aa5c2fcfc68d096844bf1f077e49869142eba05bbabf7cb9e</t>
  </si>
  <si>
    <t xml:space="preserve">pdf-7d502060b5</t>
  </si>
  <si>
    <t xml:space="preserve">e52de43a596c62e3495646b95e4d2c8f86e8ce91b359d31b49c68ad95e2326d6</t>
  </si>
  <si>
    <t xml:space="preserve">pdf-814c8760db</t>
  </si>
  <si>
    <t xml:space="preserve">www.financialafrik.com</t>
  </si>
  <si>
    <t xml:space="preserve">c1c873b15d7c08e7dfb9404dcf2f2abd8f1c76b9f73fda6315d754e4ea94703b</t>
  </si>
  <si>
    <t xml:space="preserve">one-page published statement</t>
  </si>
  <si>
    <t xml:space="preserve">Ecobank Nigeria 2017 summary page</t>
  </si>
  <si>
    <t xml:space="preserve">pdf-8c6ba74d82</t>
  </si>
  <si>
    <t xml:space="preserve">first-holdco.com</t>
  </si>
  <si>
    <t xml:space="preserve">e2f5a39555a222f0bc3b3b2f279c55af1249d1cfc9e2c97110b9f7e05e0c17ec</t>
  </si>
  <si>
    <t xml:space="preserve">3c780c6c38ecf2c3564a91a23795d9e128c5d5d543d3ab9f9e3b4a72921d993d</t>
  </si>
  <si>
    <t xml:space="preserve">sterling.ng</t>
  </si>
  <si>
    <t xml:space="preserve">32cbd03e856c0c36d17f3152048d444e02853d0650fe0fa2e6ede7d2a331d153</t>
  </si>
  <si>
    <t xml:space="preserve">pdf-9fd693dc62</t>
  </si>
  <si>
    <t xml:space="preserve">69a658fbe7bef5a4377eee07b4d72008c5c4068213f0b2bb49c1e280ad87c260</t>
  </si>
  <si>
    <t xml:space="preserve">pdf-a4d84d3ca3</t>
  </si>
  <si>
    <t xml:space="preserve">a7470b5b5d3f6b2076e25cc6f8993a3ca22ceaeee65a1da8a31c7308a186f68a</t>
  </si>
  <si>
    <t xml:space="preserve">pdf-a96b72a329</t>
  </si>
  <si>
    <t xml:space="preserve">84f2e8f0ed91d5ca06e2abf63727e10cca4de574aa104418a0a3ca6d3135d732</t>
  </si>
  <si>
    <t xml:space="preserve">9440f1ef2e04573c8af52d546fe039b581b5eb63cb496c8e998224c938857b65</t>
  </si>
  <si>
    <t xml:space="preserve">pdf-ae443af9ba</t>
  </si>
  <si>
    <t xml:space="preserve">0c2b6e411d7b6c8f5ce21dd8116a496d4a9553f61ea19a0306687d8d1edf3853</t>
  </si>
  <si>
    <t xml:space="preserve">ef5ce4fa3fcd649d67adcb04fc4892feb73d0663953235b02c4062f3ed4dd497</t>
  </si>
  <si>
    <t xml:space="preserve">a74d246776f5218fedde8bb5489fd641c4f75b6f7ecb53e04952ef2d1047168f</t>
  </si>
  <si>
    <t xml:space="preserve">34acce333bfe9399d59b17141a99eee02e957547c3510e9294ffbb9357a21871</t>
  </si>
  <si>
    <t xml:space="preserve">c57237be8b72c529df0d96d9b83321f08fed8cd2870b599fb816c2418d4cce20</t>
  </si>
  <si>
    <t xml:space="preserve">76ed890d08e1d6663422665e18c8db3ee0ae3de69a98e01c8bacedbe9b1229ca</t>
  </si>
  <si>
    <t xml:space="preserve">Yes - full KPMG report PDF pp.1-7</t>
  </si>
  <si>
    <t xml:space="preserve">Stanbic 2019 core variables and gcu admitted; OCF, loans gross/allowance and capital not in extract.</t>
  </si>
  <si>
    <t xml:space="preserve">cdn.nairametrics.com</t>
  </si>
  <si>
    <t xml:space="preserve">aeabe6589066df0e5cdbbd2f1d5de4a9c5d845fd814f0a103979183907adebad</t>
  </si>
  <si>
    <t xml:space="preserve">3a2533a7c5ff9ab7f3fe664505720a138049bf53d96fe3d31bf7797620473fc3</t>
  </si>
  <si>
    <t xml:space="preserve">xs-33b2ec1142</t>
  </si>
  <si>
    <t xml:space="preserve">52a80c8a88d464f92b7732d09752a36b83200ad29ea696f60b4a68e81bab4c39</t>
  </si>
  <si>
    <t xml:space="preserve">xs-3812a5648f</t>
  </si>
  <si>
    <t xml:space="preserve">https://www.accessbankplc.com/access/media/Financial-Report/Quarterly%20Reports/2019-Financial-Statement.pdf?ext=.pdf</t>
  </si>
  <si>
    <t xml:space="preserve">xs-49af251957</t>
  </si>
  <si>
    <t xml:space="preserve">291398ba80c16434ef222ede0c5b84f60f56f954153d8d6a41908ff7ef4234d9</t>
  </si>
  <si>
    <t xml:space="preserve">xs-5ddad6b6a9</t>
  </si>
  <si>
    <t xml:space="preserve">https://www.accessbankplc.com/access/media/Financial-Report/Quarterly%20Reports/FY-2018-Financial-Statement.pdf?ext=.pdf</t>
  </si>
  <si>
    <t xml:space="preserve">xs-7bf4c5cf81</t>
  </si>
  <si>
    <t xml:space="preserve">www.zenithbank.com</t>
  </si>
  <si>
    <t xml:space="preserve">https://www.zenithbank.com/media/ddnjj0jv/annual-report-2018-link.pdf</t>
  </si>
  <si>
    <t xml:space="preserve">xs-809800e65f</t>
  </si>
  <si>
    <t xml:space="preserve">9025f76439c47b97979dce207da1a848fb855254f638f44d487244e95ad980dd</t>
  </si>
  <si>
    <t xml:space="preserve">issuer-hosted financial-statement extract</t>
  </si>
  <si>
    <t xml:space="preserve">No - index lists 'Report of the Independent Auditors' p.9 but those pages are absent from this file</t>
  </si>
  <si>
    <t xml:space="preserve">unverified</t>
  </si>
  <si>
    <t xml:space="preserve">Numeric BANK-column values supported (PDF p4/printed 16 income; p6/18 financial position; p9/21 cash flows). Audit-report coverage still to be located; GCU unknown. First Bank 2016 audit coverage now verified from the original 2016 annual report (xs-bbae41452e, PwC 24 Apr 2017); 2017 auditor's report still not located.</t>
  </si>
  <si>
    <t xml:space="preserve">xs-8181c8f3d6</t>
  </si>
  <si>
    <t xml:space="preserve">d364dc5b69827544b2430d21b433cc195e1ede0a55de9af1ea936c1104262b36</t>
  </si>
  <si>
    <t xml:space="preserve">f68fa1bbcc8f3126d98d6735a8bcd470a413c4c80c7fd28efe9861cfa002b587</t>
  </si>
  <si>
    <t xml:space="preserve">f056571f916f46c149302443f67e90af815e936b85c0675143fd56636b46ce72</t>
  </si>
  <si>
    <t xml:space="preserve">xs-aa1c4887d1</t>
  </si>
  <si>
    <t xml:space="preserve">FCMB</t>
  </si>
  <si>
    <t xml:space="preserve">cardinalstoneregistrars.com</t>
  </si>
  <si>
    <t xml:space="preserve">https://cardinalstoneregistrars.com/wp-content/uploads/2023/01/2022%20FCMB%20ANNUAL%20REPORT%20AND%20ACCOUNTS.pdf</t>
  </si>
  <si>
    <t xml:space="preserve">7d861b62c53a942f4f451e4488920c8190b4a3036a1ec23f989c80878a2ae05b</t>
  </si>
  <si>
    <t xml:space="preserve">FCMB Group Plc annual report (holding company)</t>
  </si>
  <si>
    <t xml:space="preserve">Yes (group/company)</t>
  </si>
  <si>
    <t xml:space="preserve">Inadmissible perimeter for the operating bank</t>
  </si>
  <si>
    <t xml:space="preserve">xs-b5dc5895be</t>
  </si>
  <si>
    <t xml:space="preserve">https://www.zenithbank.com/media/pjqeny14/2019-annual-report.pdf</t>
  </si>
  <si>
    <t xml:space="preserve">57188935456c6608c6cedd8f8a80003e1fbf127141da23bce780c809a6b6ce57</t>
  </si>
  <si>
    <t xml:space="preserve">d4a29ef72c54f3d5dafabadf31fda46ccefb99e1a2577efd6adc90e739f60ca3</t>
  </si>
  <si>
    <t xml:space="preserve">full annual report (third-party mirror of issuer document)</t>
  </si>
  <si>
    <t xml:space="preserve">Yes - PDF pp.92-93</t>
  </si>
  <si>
    <t xml:space="preserve">Fidelity 2014: found by Nimble Web Search Agent; annualreports.com mirror; single-entity statements.</t>
  </si>
  <si>
    <t xml:space="preserve">f7ab4f9d176f9416de2fae972353867459ac37341c6450bf4f6b068b340b784f</t>
  </si>
  <si>
    <t xml:space="preserve">Yes - PDF p.48</t>
  </si>
  <si>
    <t xml:space="preserve">Fidelity 2015: found by Nimble Web Search Agent; annualreports.com mirror; single-entity statements.</t>
  </si>
  <si>
    <t xml:space="preserve">3487f356802a566d66873be93befa91451da207c62f2967fcf75f63098f1757e</t>
  </si>
  <si>
    <t xml:space="preserve">Yes - PDF pp.20-24</t>
  </si>
  <si>
    <t xml:space="preserve">Fidelity 2016: found by Nimble Web Search Agent; annualreports.com mirror; single-entity statements.</t>
  </si>
  <si>
    <t xml:space="preserve">a1452a787ce35d8ae4357e5afe1f5e5583292edf03669c22fe0f6e77c0037fc0</t>
  </si>
  <si>
    <t xml:space="preserve">Yes - PDF pp.48-50</t>
  </si>
  <si>
    <t xml:space="preserve">Fidelity 2017: found by Nimble Web Search Agent; annualreports.com mirror; single-entity statements.</t>
  </si>
  <si>
    <t xml:space="preserve">283b370ea4d0f694ca390775dbb2ebfc89e585c05c5e877f2ae4ee7a02798766</t>
  </si>
  <si>
    <t xml:space="preserve">Yes - PDF pp.128-133</t>
  </si>
  <si>
    <t xml:space="preserve">Fidelity 2020: found by Nimble Web Search Agent; annualreports.com mirror; single-entity statements.</t>
  </si>
  <si>
    <t xml:space="preserve">xs-24238b1f7e</t>
  </si>
  <si>
    <t xml:space="preserve">d185cdd34de501aefe2b6c1caa98bdad23ed2657c20c84b91f5f00dcad0498a0</t>
  </si>
  <si>
    <t xml:space="preserve">exchange filing: primary statements only (4 pages)</t>
  </si>
  <si>
    <t xml:space="preserve">Wema 2013 admitted; auditor's report not in file, so audit coverage unverified and gcu unknown; template placeholders ('pages .. to ...', undated approval) also in the 2014 filing.</t>
  </si>
  <si>
    <t xml:space="preserve">xs-e1d6798692</t>
  </si>
  <si>
    <t xml:space="preserve">https://doclib.ngxgroup.com/Financial_NewsDocs/8835_WEMA_BANK_2014_AUDITED_ACCOUNTS_FINANCIAL_STATEMENTS_MARCH_2015.pdf</t>
  </si>
  <si>
    <t xml:space="preserve">d5810cf08597385eee10c9472641215c778a252e5e18bafb0d8996a55843756b</t>
  </si>
  <si>
    <t xml:space="preserve">Used only to corroborate the 2013 comparatives; Wema 2014 is a baseline row.</t>
  </si>
  <si>
    <t xml:space="preserve">xs-86dd272867</t>
  </si>
  <si>
    <t xml:space="preserve">https://doclib.ngxgroup.com/Financial_NewsDocs/5457_ZENITH_BANK_PLC_AUDITED_DEC_2013_FINANCIAL_STATEMENTS_MARCH_2014.pdf</t>
  </si>
  <si>
    <t xml:space="preserve">9bffdf187abeee9d48668a3c6e4fef85d85f0a9b51fe0129f8f2f60d6f0ab68d</t>
  </si>
  <si>
    <t xml:space="preserve">exchange filing: consolidated group statements only (3 pages)</t>
  </si>
  <si>
    <t xml:space="preserve">'Zenith Bank Plc and Subsidiary Companies' single column pair (group); no Bank columns, no statement of financial position page: not admissible for the operating bank.</t>
  </si>
  <si>
    <t xml:space="preserve">xs-3144acef5c</t>
  </si>
  <si>
    <t xml:space="preserve">www.fcmb.com</t>
  </si>
  <si>
    <t xml:space="preserve">https://www.fcmb.com/sustainability/assets/reports/FCMB%20ANNUAL%20REPORT%202023.pdf</t>
  </si>
  <si>
    <t xml:space="preserve">19fea54d97df88d65a22fe53fea7af009b83039116892ce3136458c4d29c5c42</t>
  </si>
  <si>
    <t xml:space="preserve">FCMB Group Plc 2023 annual report (holding company)</t>
  </si>
  <si>
    <t xml:space="preserve">Text search of all 248 pages: only Group and Company (FCMB Group Plc) columns; no First City Monument Bank Limited summary or separate statements. Not admissible for the operating bank.</t>
  </si>
  <si>
    <t xml:space="preserve">nigerianelite.blob.core.windows.net</t>
  </si>
  <si>
    <t xml:space="preserve">19662641dbc2d53ce05853c42f81e9f7101cb160d8031ae48f351392227f64ed</t>
  </si>
  <si>
    <t xml:space="preserve">full consolidated and separate financial statements (third-party mirror)</t>
  </si>
  <si>
    <t xml:space="preserve">Zenith 2013: specs drafted from this document and checked by validate.</t>
  </si>
  <si>
    <t xml:space="preserve">2128db95543dc0ad4ad7d1383b4fe998c63ead6d619a5438e19fa3e7950d0533</t>
  </si>
  <si>
    <t xml:space="preserve">consolidated and separate financial statements (NGX filing)</t>
  </si>
  <si>
    <t xml:space="preserve">Access 2015: specs drafted from this document and checked by validate.</t>
  </si>
  <si>
    <t xml:space="preserve">402e6dd71b1bc94a31229a49c2250bc6b2a5abc26bc5ef148fdef767c0dc91aa</t>
  </si>
  <si>
    <t xml:space="preserve">Access 2016: specs drafted from this document and checked by validate.</t>
  </si>
  <si>
    <t xml:space="preserve">956feed6cc67cb36d73c975b8b4ea3c1cc9a306329052c06e22a3721979a7b51</t>
  </si>
  <si>
    <t xml:space="preserve">Access 2017: specs drafted from this document and checked by validate.</t>
  </si>
  <si>
    <t xml:space="preserve">88286e66060713fc43f5424c9c896b8072b364c2f8c7437509a15f352f5fe214</t>
  </si>
  <si>
    <t xml:space="preserve">Access 2020: specs drafted from this document and checked by validate.</t>
  </si>
  <si>
    <t xml:space="preserve">xs-901cfd21b1</t>
  </si>
  <si>
    <t xml:space="preserve">a24aa59e697c17074450631937e5d6c18e1995c0636c124489a6085f77b179f0</t>
  </si>
  <si>
    <t xml:space="preserve">NGX financial statement summary: primary statements only, no notes or auditor's report</t>
  </si>
  <si>
    <t xml:space="preserve">Unity 2014: specs drafted from this document and checked by validate.</t>
  </si>
  <si>
    <t xml:space="preserve">0d52ef10ac14aff0ccdcba0d86b46e4ee7874f5ae1297ac03dabdc7767af8865</t>
  </si>
  <si>
    <t xml:space="preserve">consolidated and separate financial statements (NGX filing) (capital management note 6 missing from the filed PDF)</t>
  </si>
  <si>
    <t xml:space="preserve">Access 2019: specs drafted from this document and checked by validate.</t>
  </si>
  <si>
    <t xml:space="preserve">60aa1e1962a555a66755ca567e993054f1e14225b746e4c13786c7c5eae6e442</t>
  </si>
  <si>
    <t xml:space="preserve">Access 2021: specs drafted from this document and checked by validate.</t>
  </si>
  <si>
    <t xml:space="preserve">bd367ce8e4f122cde3493699f5f633702736b2beaadff24f5f08143d87b7414d</t>
  </si>
  <si>
    <t xml:space="preserve">financial statements and notes (NGX filing; notes after 34 absent)</t>
  </si>
  <si>
    <t xml:space="preserve">Unity 2015: specs drafted from this document and checked by validate.</t>
  </si>
  <si>
    <t xml:space="preserve">c6cfd30187f390d71db3c72a0508edc6328f0693dd6db5cff0da4953a19b300d</t>
  </si>
  <si>
    <t xml:space="preserve">financial statements and notes (NGX filing)</t>
  </si>
  <si>
    <t xml:space="preserve">Unity 2016: specs drafted from this document and checked by validate.</t>
  </si>
  <si>
    <t xml:space="preserve">022078418339af3de5b3960150e9d7ad211eb6c4eda7f690263426c92196ab64</t>
  </si>
  <si>
    <t xml:space="preserve">Unity 2021: specs drafted from this document and checked by validate.</t>
  </si>
  <si>
    <t xml:space="preserve">76ee528c034163549a0f86ce9b4c8b4d43ae9ef60997451d25c04d42446d2184</t>
  </si>
  <si>
    <t xml:space="preserve">Sterling 2015: specs drafted from this document and checked by validate.</t>
  </si>
  <si>
    <t xml:space="preserve">d6705b9757b389df040afb8570f2e1704032b31df3ed165354f608dcccf3c30a</t>
  </si>
  <si>
    <t xml:space="preserve">Sterling 2020: specs drafted from this document and checked by validate.</t>
  </si>
  <si>
    <t xml:space="preserve">5c7f5c01ff156abe86907cecebc83f3a2532692f007a24808b5758ec37eb6de1</t>
  </si>
  <si>
    <t xml:space="preserve">Sterling 2021: specs drafted from this document and checked by validate.</t>
  </si>
  <si>
    <t xml:space="preserve">0ddab59d480d4b0438fe12ec8e45e4b4ae49f551f60b83c26558c6d9cfea01ca</t>
  </si>
  <si>
    <t xml:space="preserve">annual financial statements (NGX filing, Nov 2018)</t>
  </si>
  <si>
    <t xml:space="preserve">Unity 2017: specs drafted from this document and checked by validate.</t>
  </si>
  <si>
    <t xml:space="preserve">16cfa16c62ac4852a8614dc162957a792d0eb3611a70973385d2a83f75bd6774</t>
  </si>
  <si>
    <t xml:space="preserve">annual report and financial statements (NGX filing, June 2023)</t>
  </si>
  <si>
    <t xml:space="preserve">Unity 2022: specs drafted from this document and checked by validate.</t>
  </si>
  <si>
    <t xml:space="preserve">c3f820d49adf13c206d062350b6c28e561f797ea8974419663ad575d03ede61e</t>
  </si>
  <si>
    <t xml:space="preserve">Sterling 2016: specs drafted from this document and checked by validate.</t>
  </si>
  <si>
    <t xml:space="preserve">85a196ea4c34981d7dcb799ff6034ae1203ebbc719e1db9d6712f710bdab5faa</t>
  </si>
  <si>
    <t xml:space="preserve">Sterling 2017: specs drafted from this document and checked by validate.</t>
  </si>
  <si>
    <t xml:space="preserve">xs-ccc91c29e6</t>
  </si>
  <si>
    <t xml:space="preserve">7812d600255793db476356dae2da9e22753f606fe08e1aa22eef531d4af4c088</t>
  </si>
  <si>
    <t xml:space="preserve">First Bank of Nigeria Limited 2015 annual report (auditor's report absent from file)</t>
  </si>
  <si>
    <t xml:space="preserve">First Bank 2015: specs drafted from this document and checked by validate.</t>
  </si>
  <si>
    <t xml:space="preserve">https://first-holdco.com/wp-content/uploads/2021/02/First-Bank-of-Nigeria-Ltd-2016-Annual-Report.pdf</t>
  </si>
  <si>
    <t xml:space="preserve">92751741ce356cdaf11e32266dd639ff905497334ac2fc96d946325c3c27a948</t>
  </si>
  <si>
    <t xml:space="preserve">First Bank of Nigeria Limited 2016 annual report (full, incl. auditor's report)</t>
  </si>
  <si>
    <t xml:space="preserve">First Bank 2016: specs drafted from this document and checked by validate.</t>
  </si>
  <si>
    <t xml:space="preserve">7730bec3d3c38bb15bc1d10167c04775e6274626afefc6fe63945700c50c942a</t>
  </si>
  <si>
    <t xml:space="preserve">consolidated and separate financial statements (NGX filing, May 2023)</t>
  </si>
  <si>
    <t xml:space="preserve">Sterling 2022: specs drafted from this document and checked by validate.</t>
  </si>
  <si>
    <t xml:space="preserve">aa07e592debcced5db85366318e224f8f6671af9b12f00d251861f1b4b545e1d</t>
  </si>
  <si>
    <t xml:space="preserve">GTBank 2020: specs drafted from this document and checked by validate.</t>
  </si>
  <si>
    <t xml:space="preserve">https://www.stanbicibtcbank.com/static_file/Nigeria/nigeriabank/Downloads/Regulatory%20Documents/Stanbic%20IBTC%20Bank%20Financial%20Publication_with%20Signatures.pdf</t>
  </si>
  <si>
    <t xml:space="preserve">dde93fa97553c5b93295319baa662c04d2a161a6314b67b8a88323f55c1505f2</t>
  </si>
  <si>
    <t xml:space="preserve">summary financial information derived from audited 2020 consolidated and separate statements (single scanned page)</t>
  </si>
  <si>
    <t xml:space="preserve">ISA 810 report on the summary only (KPMG, 12 Feb 2021)</t>
  </si>
  <si>
    <t xml:space="preserve">no (full-statement auditor report not in file)</t>
  </si>
  <si>
    <t xml:space="preserve">Corroborates Stanbic 2020 core values; impairment 9,892 differs from selected 10,170; no capital figures.</t>
  </si>
  <si>
    <t xml:space="preserve">Opening assets vs prior-year closing assets in the panel.</t>
  </si>
  <si>
    <t xml:space="preserve">prior_year_closing_assets</t>
  </si>
  <si>
    <t xml:space="preserve">difference</t>
  </si>
  <si>
    <t xml:space="preserve">compatible</t>
  </si>
  <si>
    <t xml:space="preserve">opening_version</t>
  </si>
  <si>
    <t xml:space="preserve">prior_closing_version</t>
  </si>
  <si>
    <t xml:space="preserve">baseline/inherited</t>
  </si>
  <si>
    <t xml:space="preserve">Single eligibility ruleset (ifrs9_recovery.eligibility): descriptive / longitudinal / inferential use per bank-year and outcome, with rule ids.</t>
  </si>
  <si>
    <t xml:space="preserve">ifrs9_d</t>
  </si>
  <si>
    <t xml:space="preserve">available</t>
  </si>
  <si>
    <t xml:space="preserve">descriptive_use</t>
  </si>
  <si>
    <t xml:space="preserve">longitudinal_use</t>
  </si>
  <si>
    <t xml:space="preserve">change_comparable</t>
  </si>
  <si>
    <t xml:space="preserve">inferential_use</t>
  </si>
  <si>
    <t xml:space="preserve">sensitivity_drop</t>
  </si>
  <si>
    <t xml:space="preserve">excluded_uses</t>
  </si>
  <si>
    <t xml:space="preserve">rule_ids</t>
  </si>
  <si>
    <t xml:space="preserve">reasons</t>
  </si>
  <si>
    <t xml:space="preserve">fallback_class</t>
  </si>
  <si>
    <t xml:space="preserve">primary_version</t>
  </si>
  <si>
    <t xml:space="preserve">AUTO-FALLBACK</t>
  </si>
  <si>
    <t xml:space="preserve">fallback: comparative (original-year report unavailable; source xs-6951b12082)</t>
  </si>
  <si>
    <t xml:space="preserve">inferential</t>
  </si>
  <si>
    <t xml:space="preserve">AUTO-FLAG;EL-FID16-CAR</t>
  </si>
  <si>
    <t xml:space="preserve">Documented source exception: printed CAR 17.22% vs capital/RWA 17.30% (2-dp display); components each sum to printed totals. Descriptive only; sensitivity may use either. | car flagged source_internal_inconsistency</t>
  </si>
  <si>
    <t xml:space="preserve">EL-FID16-CAR</t>
  </si>
  <si>
    <t xml:space="preserve">Documented source exception: printed CAR 17.22% vs capital/RWA 17.30% (2-dp display); components each sum to printed totals. Descriptive only; sensitivity may use either.</t>
  </si>
  <si>
    <t xml:space="preserve">fallback: labelled restatement (original-year report unavailable; source pdf-0960512f5d)</t>
  </si>
  <si>
    <t xml:space="preserve">AUTO-FLAG</t>
  </si>
  <si>
    <t xml:space="preserve">loan_allowance flagged source_internal_inconsistency</t>
  </si>
  <si>
    <t xml:space="preserve">fallback: unlabelled comparative (original-year report unavailable; source xs-8f94f07a8d)</t>
  </si>
  <si>
    <t xml:space="preserve">car flagged source_internal_inconsistency</t>
  </si>
  <si>
    <t xml:space="preserve">fallback: labelled restatement (original-year report unavailable; source xs-21e7fbfbf9)</t>
  </si>
  <si>
    <t xml:space="preserve">AUTO-FLAG;EL-STAN20-CAPITAL</t>
  </si>
  <si>
    <t xml:space="preserve">Regulatory capital is the derived Tier I + Tier II sum (221,408); the printed subtotal 176,542 conflicts on the same page and is held as ALT-STAN20-RC-PRINTED. Computed CAR descriptive only; reported CAR (19.4%) unaffected. | regulatory_capital flagged source_internal_inconsistency</t>
  </si>
  <si>
    <t xml:space="preserve">EL-STAN20-IMP</t>
  </si>
  <si>
    <t xml:space="preserve">Selected impairment 10,170 (2021 report comparative) differs from the original-year 2020 presentation 9,892 (summary financial information); owner decision pending on version.</t>
  </si>
  <si>
    <t xml:space="preserve">EL-STER22-RESTATE-BREAK</t>
  </si>
  <si>
    <t xml:space="preserve">2022 report restates 2021 (Note 49); the selected 2021 row is the original presentation, so the 2021-&gt;2022 change crosses versions. 2022 levels usable.</t>
  </si>
  <si>
    <t xml:space="preserve">AUTO-LIQ</t>
  </si>
  <si>
    <t xml:space="preserve">panel liquidity_admissible = 0</t>
  </si>
  <si>
    <t xml:space="preserve">fallback: labelled restatement (original-year report unavailable; source xs-15d472ad0d)</t>
  </si>
  <si>
    <t xml:space="preserve">inferential;longitudinal</t>
  </si>
  <si>
    <t xml:space="preserve">AUTO-POOL;EL-UNION18-ALLOWANCE</t>
  </si>
  <si>
    <t xml:space="preserve">Allowance pool from the original 2018 presentation; revised comparatives (reinstatement 496,630/68,593 and 496,820/68,783) unreconciled. Qualified descriptive presentation only; excluded from pooled allowance inference. | panel allowance_pool_status: Exclude from pooled allowance inference: unreconciled revised comparatives</t>
  </si>
  <si>
    <t xml:space="preserve">EL-UNION22-S3</t>
  </si>
  <si>
    <t xml:space="preserve">2022 Stage 3 allowance subtotals conflict (22,610 / 22,496 / 16,470); matched Stage 3 coverage excluded.</t>
  </si>
  <si>
    <t xml:space="preserve">fallback: comparative (original-year report unavailable; source xs-901cfd21b1)</t>
  </si>
  <si>
    <t xml:space="preserve">EL-UNITY17-NPLSALE</t>
  </si>
  <si>
    <t xml:space="preserve">NPLs with gross amount ~N436bn derecognised (sold to an asset management company) in 2017; the 2016-&gt;2017 change in allowance ratios reflects the sale, not provisioning behaviour.</t>
  </si>
  <si>
    <t xml:space="preserve">EL-UNITY17-IMP</t>
  </si>
  <si>
    <t xml:space="preserve">2017 income-statement impairment (44,254,863k) includes goodwill impairment of 16,471,335k; not a credit-impairment measure comparable with other bank-years.</t>
  </si>
  <si>
    <t xml:space="preserve">fallback: comparative (original-year report unavailable; source xs-848eb8a062)</t>
  </si>
  <si>
    <t xml:space="preserve">EL-UNITY21-S3</t>
  </si>
  <si>
    <t xml:space="preserve">Unity 2021 Stage 3 gross printed 105,854 in the 2021 report but 966,871 (equal to the 2020 figure) as the 2021 comparative in the 2022 report; cross-report inconsistency unresolved.</t>
  </si>
  <si>
    <t xml:space="preserve">fallback: comparative (original-year report unavailable; source pdf-2b23016b97)</t>
  </si>
  <si>
    <t xml:space="preserve">AUTO-FALLBACK;AUTO-FLAG;EL-WEMA21-CAR</t>
  </si>
  <si>
    <t xml:space="preserve">Documented source exception: printed CAR 11.71% vs capital/RWA 11.56% on the same page; neither is a clean reconciliation. Descriptive only; sensitivity may use either. | car flagged source_internal_inconsistency | fallback: comparative (original-year report unavailable; source pdf-2b23016b97)</t>
  </si>
  <si>
    <t xml:space="preserve">AUTO-FALLBACK;EL-WEMA21-CAR</t>
  </si>
  <si>
    <t xml:space="preserve">Documented source exception: printed CAR 11.71% vs capital/RWA 11.56% on the same page; neither is a clean reconciliation. Descriptive only; sensitivity may use either. | fallback: comparative (original-year report unavailable; source pdf-2b23016b97)</t>
  </si>
  <si>
    <t xml:space="preserve">AUTO-FALLBACK;EL-WEMA21-IMP</t>
  </si>
  <si>
    <t xml:space="preserve">2021 total impairment (2022 report comparative) may include non-credit items reclassified out of impairment in the 2023 report for 2022; scope not reconciled with the selected 2022 amount. | fallback: comparative (original-year report unavailable; source pdf-2b23016b97)</t>
  </si>
  <si>
    <t xml:space="preserve">EL-WEMA22-IMP-BREAK</t>
  </si>
  <si>
    <t xml:space="preserve">2022 selected impairment is on the post-reclassification basis (2023 report comparative); the 2021-&gt;2022 change mixes bases. Level remains usable.</t>
  </si>
  <si>
    <t xml:space="preserve">Eligible N, banks, pre/post, Tier 1/2, exclusions per analysis dataset (outputs/analysis/).</t>
  </si>
  <si>
    <t xml:space="preserve">dataset</t>
  </si>
  <si>
    <t xml:space="preserve">descriptive_n</t>
  </si>
  <si>
    <t xml:space="preserve">eligible_n</t>
  </si>
  <si>
    <t xml:space="preserve">banks</t>
  </si>
  <si>
    <t xml:space="preserve">pre</t>
  </si>
  <si>
    <t xml:space="preserve">post</t>
  </si>
  <si>
    <t xml:space="preserve">tier1</t>
  </si>
  <si>
    <t xml:space="preserve">tier2</t>
  </si>
  <si>
    <t xml:space="preserve">change_pairs</t>
  </si>
  <si>
    <t xml:space="preserve">selected_rows_missing_value</t>
  </si>
  <si>
    <t xml:space="preserve">frame_positions_missing</t>
  </si>
  <si>
    <t xml:space="preserve">excluded_from_inference</t>
  </si>
  <si>
    <t xml:space="preserve">exclusion_reasons</t>
  </si>
  <si>
    <t xml:space="preserve">fallback_rows_in_eligible</t>
  </si>
  <si>
    <t xml:space="preserve">version_restrictions</t>
  </si>
  <si>
    <t xml:space="preserve">going_concern</t>
  </si>
  <si>
    <t xml:space="preserve">Going-concern uncertainty (auditor material-uncertainty section or GC emphasis = 1)</t>
  </si>
  <si>
    <t xml:space="preserve">primary sample includes fallback comparatives; drop rows with sensitivity_drop=True for the original-year-only sensitivity; never pair inputs from different versions (row_versions.csv)</t>
  </si>
  <si>
    <t xml:space="preserve">Reported CAR, full-impact basis where both are printed (%)</t>
  </si>
  <si>
    <t xml:space="preserve">Fidelity 2016: AUTO-FLAG;EL-FID16-CAR | GTBank 2015: AUTO-FLAG | Wema 2021: AUTO-FALLBACK;AUTO-FLAG;EL-WEMA21-CAR</t>
  </si>
  <si>
    <t xml:space="preserve">PAT / average assets (%)</t>
  </si>
  <si>
    <t xml:space="preserve">equity_assets</t>
  </si>
  <si>
    <t xml:space="preserve">Equity / total assets (%)</t>
  </si>
  <si>
    <t xml:space="preserve">ocf_average_assets</t>
  </si>
  <si>
    <t xml:space="preserve">Operating cash flow / average assets (%)</t>
  </si>
  <si>
    <t xml:space="preserve">allowance_gross_loans</t>
  </si>
  <si>
    <t xml:space="preserve">Customer-loan allowance / gross customer loans (%)</t>
  </si>
  <si>
    <t xml:space="preserve">First Bank 2018: AUTO-FLAG | Union 2018: AUTO-POOL;EL-UNION18-ALLOWANCE</t>
  </si>
  <si>
    <t xml:space="preserve">impairment_average_assets</t>
  </si>
  <si>
    <t xml:space="preserve">Unity 2017: EL-UNITY17-IMP | Wema 2021: AUTO-FALLBACK;EL-WEMA21-IMP</t>
  </si>
  <si>
    <t xml:space="preserve">npl_ratio</t>
  </si>
  <si>
    <t xml:space="preserve">broad_npl_coverage</t>
  </si>
  <si>
    <t xml:space="preserve">Total loan allowance / NPL amount (%)</t>
  </si>
  <si>
    <t xml:space="preserve">Union 2018: AUTO-POOL;EL-UNION18-ALLOWANCE</t>
  </si>
  <si>
    <t xml:space="preserve">Stage 3 allowance / Stage 3 gross (%)</t>
  </si>
  <si>
    <t xml:space="preserve">Unity 2021: EL-UNITY21-S3</t>
  </si>
  <si>
    <t xml:space="preserve">Liquidity ratio used (%)</t>
  </si>
  <si>
    <t xml:space="preserve">Primary reporting version per bank-year; fallback rows are primary but dropped in sensitivity.</t>
  </si>
  <si>
    <t xml:space="preserve">row_origin</t>
  </si>
  <si>
    <t xml:space="preserve">primary_source</t>
  </si>
  <si>
    <t xml:space="preserve">primary_report</t>
  </si>
  <si>
    <t xml:space="preserve">comparative_status</t>
  </si>
  <si>
    <t xml:space="preserve">labelled_restated</t>
  </si>
  <si>
    <t xml:space="preserve">original_report_unavailable</t>
  </si>
  <si>
    <t xml:space="preserve">treatment</t>
  </si>
  <si>
    <t xml:space="preserve">alternatives</t>
  </si>
  <si>
    <t xml:space="preserve">alternative_fields</t>
  </si>
  <si>
    <t xml:space="preserve">version_mix</t>
  </si>
  <si>
    <t xml:space="preserve">version_mix_reconciliation</t>
  </si>
  <si>
    <t xml:space="preserve">ACCESS2014A</t>
  </si>
  <si>
    <t xml:space="preserve">original</t>
  </si>
  <si>
    <t xml:space="preserve">primary (baseline selection retained)</t>
  </si>
  <si>
    <t xml:space="preserve">admitted</t>
  </si>
  <si>
    <t xml:space="preserve">Access Bank Plc 2015 Annual Report</t>
  </si>
  <si>
    <t xml:space="preserve">primary (original-year presentation)</t>
  </si>
  <si>
    <t xml:space="preserve">Access Bank Plc 2016 Annual Report</t>
  </si>
  <si>
    <t xml:space="preserve">Access Bank Plc 2017 Annual Report (consolidated and separate financial statements)</t>
  </si>
  <si>
    <t xml:space="preserve">Access Bank Plc 2019 Annual Report</t>
  </si>
  <si>
    <t xml:space="preserve">comparative</t>
  </si>
  <si>
    <t xml:space="preserve">primary; drop in sensitivity (fallback: original-year report unavailable)</t>
  </si>
  <si>
    <t xml:space="preserve">Access Bank Plc 2020 Annual Report (consolidated and separate financial statements)</t>
  </si>
  <si>
    <t xml:space="preserve">Access Bank Plc 2021 Annual Report (consolidated and separate financial statements)</t>
  </si>
  <si>
    <t xml:space="preserve">Access Bank Plc 2022 consolidated and separate financial statements (issuer site)</t>
  </si>
  <si>
    <t xml:space="preserve">Ecobank Nigeria Limited Annual Report 2013 (issuer archive)</t>
  </si>
  <si>
    <t xml:space="preserve">Ecobank Nigeria Limited Annual Report and Financial Statements 2014 (issuer archive)</t>
  </si>
  <si>
    <t xml:space="preserve">2015 Ecobank Nigeria Annual Report (issuer archive)</t>
  </si>
  <si>
    <t xml:space="preserve">DS_ECO17</t>
  </si>
  <si>
    <t xml:space="preserve">Ecobank Nigeria Annual Report 2018 (issuer archive)</t>
  </si>
  <si>
    <t xml:space="preserve">pat / total_impairment / assets / equity;regulatory_capital / rwa / car</t>
  </si>
  <si>
    <t xml:space="preserve">Ecobank Nigeria Annual Report 2019 (issuer archive)</t>
  </si>
  <si>
    <t xml:space="preserve">Ecobank Nigeria Annual Report 2020 (issuer archive)</t>
  </si>
  <si>
    <t xml:space="preserve">ocf;regulatory_capital / rwa / car</t>
  </si>
  <si>
    <t xml:space="preserve">Ecobank Nigeria Annual Report 2021 (issuer archive)</t>
  </si>
  <si>
    <t xml:space="preserve">Ecobank Nigeria Annual Report 2022 (issuer archive)</t>
  </si>
  <si>
    <t xml:space="preserve">FID2013</t>
  </si>
  <si>
    <t xml:space="preserve">Fidelity Bank Plc 2014 Annual Report</t>
  </si>
  <si>
    <t xml:space="preserve">Fidelity Bank Plc 2015 Annual Report</t>
  </si>
  <si>
    <t xml:space="preserve">Fidelity Bank Plc 2016 Annual Report</t>
  </si>
  <si>
    <t xml:space="preserve">Fidelity Bank Plc 2017 Annual Report</t>
  </si>
  <si>
    <t xml:space="preserve">FID2019</t>
  </si>
  <si>
    <t xml:space="preserve">Fidelity Bank Plc 2020 Annual Report</t>
  </si>
  <si>
    <t xml:space="preserve">DS_FBN14</t>
  </si>
  <si>
    <t xml:space="preserve">First Bank of Nigeria Limited Annual Report and Accounts 2015</t>
  </si>
  <si>
    <t xml:space="preserve">First Bank of Nigeria Limited Consolidated and Separate Financial Statements for the year ended 31 December 2017 (FBN Holdings website archive)</t>
  </si>
  <si>
    <t xml:space="preserve">all core (corroboration);pbt</t>
  </si>
  <si>
    <t xml:space="preserve">FBN Finance Company B.V. offering circular (approved 23 Oct 2020): First Bank of Nigeria Limited audited consolidated and separate financial statements for the year ended 31 December 2018 (S1 pp507-622)</t>
  </si>
  <si>
    <t xml:space="preserve">gross_loans;ocf</t>
  </si>
  <si>
    <t xml:space="preserve">FBN Finance Company B.V. offering circular (approved 23 Oct 2020): First Bank of Nigeria Limited audited consolidated and separate financial statements for the year ended 31 December 2019 (S1 pp383-506)</t>
  </si>
  <si>
    <t xml:space="preserve">First Bank of Nigeria Limited audited summary financial statements for the year ended 31 December 2023 (BusinessDay, 29 May 2024, p4)</t>
  </si>
  <si>
    <t xml:space="preserve">GT2014A</t>
  </si>
  <si>
    <t xml:space="preserve">Guaranty Trust Bank Plc 2015 Year End Audited Results (consolidated and separate; issuer site)</t>
  </si>
  <si>
    <t xml:space="preserve">Guaranty Trust Bank Plc 2016 Annual Report (public mirror: AnnualReports.com; issuer URL returns 404)</t>
  </si>
  <si>
    <t xml:space="preserve">Guaranty Trust Bank Plc 2020 Annual Report (consolidated and separate financial statements)</t>
  </si>
  <si>
    <t xml:space="preserve">Guaranty Trust Holding Company Plc 2021 Annual Report (HoldCo; issuer site)</t>
  </si>
  <si>
    <t xml:space="preserve">Guaranty Trust Holding Company Plc 2022 Annual Report (HoldCo; issuer site)</t>
  </si>
  <si>
    <t xml:space="preserve">Stanbic IBTC Holdings PLC Annual Report 2013 (HoldCo; The Vault archive)</t>
  </si>
  <si>
    <t xml:space="preserve">Stanbic IBTC Holdings PLC Annual report 2014 (HoldCo; The Vault archive)</t>
  </si>
  <si>
    <t xml:space="preserve">Stanbic IBTC Holdings PLC Annual report 2015 (HoldCo; The Vault archive)</t>
  </si>
  <si>
    <t xml:space="preserve">Stanbic IBTC Holdings PLC 2016 Annual Report (HoldCo; The Vault archive)</t>
  </si>
  <si>
    <t xml:space="preserve">Stanbic IBTC Holdings PLC 2017 Annual Report (HoldCo; The Vault archive)</t>
  </si>
  <si>
    <t xml:space="preserve">Stanbic IBTC Bank PLC 2018 Annual Report (issuer-hosted extract: auditor's report and primary statements)</t>
  </si>
  <si>
    <t xml:space="preserve">Stanbic IBTC Bank PLC 2019 Annual Report (issuer-hosted extract: auditor's report and primary statements)</t>
  </si>
  <si>
    <t xml:space="preserve">capital_transitional;core (corroboration);regulatory_capital;total_impairment</t>
  </si>
  <si>
    <t xml:space="preserve">STER2014</t>
  </si>
  <si>
    <t xml:space="preserve">Sterling Bank Plc 2015 Annual Report</t>
  </si>
  <si>
    <t xml:space="preserve">Sterling Bank Plc 2016 Annual Report</t>
  </si>
  <si>
    <t xml:space="preserve">Sterling Bank Plc 2017 Annual Report</t>
  </si>
  <si>
    <t xml:space="preserve">STER2019</t>
  </si>
  <si>
    <t xml:space="preserve">Sterling Bank Plc 2020 Annual Report (consolidated and separate financial statements)</t>
  </si>
  <si>
    <t xml:space="preserve">Sterling Bank Plc 2021 Annual Report</t>
  </si>
  <si>
    <t xml:space="preserve">Sterling Bank Plc 2022 Annual Report</t>
  </si>
  <si>
    <t xml:space="preserve">UBA2014</t>
  </si>
  <si>
    <t xml:space="preserve">UBA16_UPDATE</t>
  </si>
  <si>
    <t xml:space="preserve">UBA16_UPDATE; UBA2014</t>
  </si>
  <si>
    <t xml:space="preserve">UBA18</t>
  </si>
  <si>
    <t xml:space="preserve">UBA20</t>
  </si>
  <si>
    <t xml:space="preserve">UBA22</t>
  </si>
  <si>
    <t xml:space="preserve">DS_UNION14</t>
  </si>
  <si>
    <t xml:space="preserve">Union Bank of Nigeria Plc Annual Report 31 December 2016 (NSE filing mirrored by Nairametrics)</t>
  </si>
  <si>
    <t xml:space="preserve">UNION18</t>
  </si>
  <si>
    <t xml:space="preserve">UNION20</t>
  </si>
  <si>
    <t xml:space="preserve">UNION18; UNION19; UNION20</t>
  </si>
  <si>
    <t xml:space="preserve">UNION22</t>
  </si>
  <si>
    <t xml:space="preserve">UNION20; UNION22</t>
  </si>
  <si>
    <t xml:space="preserve">Unity Bank Plc 2014 Annual Report</t>
  </si>
  <si>
    <t xml:space="preserve">Unity Bank Plc 2015 Annual Report</t>
  </si>
  <si>
    <t xml:space="preserve">Unity Bank Plc 2016 Annual Report</t>
  </si>
  <si>
    <t xml:space="preserve">Unity Bank Plc 2017 Annual Report</t>
  </si>
  <si>
    <t xml:space="preserve">UNITY2019</t>
  </si>
  <si>
    <t xml:space="preserve">Unity Bank Plc 2021 Annual Report</t>
  </si>
  <si>
    <t xml:space="preserve">Unity Bank Plc 2022 Annual Report</t>
  </si>
  <si>
    <t xml:space="preserve">Wema Bank Plc audited December 2013 financial statements (NSE filing, April 2014)</t>
  </si>
  <si>
    <t xml:space="preserve">DS_WEMA15</t>
  </si>
  <si>
    <t xml:space="preserve">DS_WEMA15; WEMA2016</t>
  </si>
  <si>
    <t xml:space="preserve">WEMA2016</t>
  </si>
  <si>
    <t xml:space="preserve">WEMA2018</t>
  </si>
  <si>
    <t xml:space="preserve">WEMA20</t>
  </si>
  <si>
    <t xml:space="preserve">car;total_impairment</t>
  </si>
  <si>
    <t xml:space="preserve">pat: 2022 annual report; 2021 comparative, not labelled restated; assets: 2022 annual report; 2021 comparative, not labelled restated; liabilities: 2022 annual report; 2021 comparative, not labelled restated; equity: 2022 annual report; 2021 comparative, not labelled restated; ocf: 2022 annual report; 2021 comparative, not labelled restated; total_impairment: 2022 annual report; 2021 comparative, not labelled restated; opening_assets: 2020 annual report, as originally reported</t>
  </si>
  <si>
    <t xml:space="preserve">Opening assets 968,582.084 (2020 annual report, original) equal the selected Wema 2020 closing assets; the 2022 report prints no 1 January 2021 column. PAT, closing assets, OCF and impairment all come from one presentation (2022 report, 2021 comparative, not labelled restated). No PAT/equity mixing; average-assets denominator pairs two dates' unrestated presentations.</t>
  </si>
  <si>
    <t xml:space="preserve">WEMA23</t>
  </si>
  <si>
    <t xml:space="preserve">Zenith Bank Plc 2013 Annual Report (Consolidated and Separate Financial Statements)</t>
  </si>
  <si>
    <t xml:space="preserve">DS_ZEN15</t>
  </si>
  <si>
    <t xml:space="preserve">Zenith Bank Plc Annual Report 2016</t>
  </si>
  <si>
    <t xml:space="preserve">Zenith Bank Plc Annual Report 2017</t>
  </si>
  <si>
    <t xml:space="preserve">Zenith Bank Plc Annual Report 2018</t>
  </si>
  <si>
    <t xml:space="preserve">ZEN22</t>
  </si>
  <si>
    <t xml:space="preserve">Known exceptions.</t>
  </si>
  <si>
    <t xml:space="preserve">id</t>
  </si>
  <si>
    <t xml:space="preserve">expected</t>
  </si>
  <si>
    <t xml:space="preserve">actual</t>
  </si>
  <si>
    <t xml:space="preserve">rule</t>
  </si>
  <si>
    <t xml:space="preserve">X-UBA-2015-ALW</t>
  </si>
  <si>
    <t xml:space="preserve">retained</t>
  </si>
  <si>
    <t xml:space="preserve">UBA 2015 customer-loan allowance 13,043, not the candidate alternative</t>
  </si>
  <si>
    <t xml:space="preserve">X-UBA-2016-ALW</t>
  </si>
  <si>
    <t xml:space="preserve">UBA 2016 customer-loan allowance 29,741, not the candidate alternative</t>
  </si>
  <si>
    <t xml:space="preserve">X-UBA-2022-LIQ</t>
  </si>
  <si>
    <t xml:space="preserve">UBA 2022 liquidity excluded until year-end/max inconsistency is reconciled</t>
  </si>
  <si>
    <t xml:space="preserve">X-UNION-2017-PAT</t>
  </si>
  <si>
    <t xml:space="preserve">Union 2017 PAT uses the AMCON-restated comparative; not an ECL impact</t>
  </si>
  <si>
    <t xml:space="preserve">X-UNION-2018-ALW</t>
  </si>
  <si>
    <t xml:space="preserve">Union 2018 original presentation retained; 190m reinstatement discrepancy unresolved</t>
  </si>
  <si>
    <t xml:space="preserve">X-UNION-2022-S3</t>
  </si>
  <si>
    <t xml:space="preserve">retained (documented; value not altered)</t>
  </si>
  <si>
    <t xml:space="preserve">Union 2022 Stage 3 allowance subtotals conflict; matched Stage 3 coverage excluded</t>
  </si>
  <si>
    <t xml:space="preserve">X-STERLING-2018-19</t>
  </si>
  <si>
    <t xml:space="preserve">scope</t>
  </si>
  <si>
    <t xml:space="preserve">Sterling 2018/2019 Bank and Group figures differ; Bank perimeter required</t>
  </si>
  <si>
    <t xml:space="preserve">X-WEMA-2015-PAT</t>
  </si>
  <si>
    <t xml:space="preserve">Wema 2015 PAT differs between original and later comparative presentation</t>
  </si>
  <si>
    <t xml:space="preserve">U01</t>
  </si>
  <si>
    <t xml:space="preserve">April 2015 duplicate NGX PDF</t>
  </si>
  <si>
    <t xml:space="preserve">Quarterly report misidentified</t>
  </si>
  <si>
    <t xml:space="preserve">inherited exception (UNION15Q1)</t>
  </si>
  <si>
    <t xml:space="preserve">Three months ended March 2015, not annual 2015. -&gt; Exclude as annual-flow source.</t>
  </si>
  <si>
    <t xml:space="preserve">U02</t>
  </si>
  <si>
    <t xml:space="preserve">All candidate data in shared artifact</t>
  </si>
  <si>
    <t xml:space="preserve">Claude artifact unavailable</t>
  </si>
  <si>
    <t xml:space="preserve">inherited exception (CLAUDE)</t>
  </si>
  <si>
    <t xml:space="preserve">Contents could not be read; none have been imported. -&gt; Comparison requires a readable export.</t>
  </si>
  <si>
    <t xml:space="preserve">U03</t>
  </si>
  <si>
    <t xml:space="preserve">2017 PAT and equity</t>
  </si>
  <si>
    <t xml:space="preserve">Pre-adoption AMCON restatement</t>
  </si>
  <si>
    <t xml:space="preserve">inherited exception (UNION18)</t>
  </si>
  <si>
    <t xml:space="preserve">PAT 12839 to 11239; equity 321388 to 319119. -&gt; Use coherent restated 2017 statements; do not attribute correction to IFRS 9.</t>
  </si>
  <si>
    <t xml:space="preserve">U04</t>
  </si>
  <si>
    <t xml:space="preserve">2018 gross loans and allowance</t>
  </si>
  <si>
    <t xml:space="preserve">2018 loan reinstatement</t>
  </si>
  <si>
    <t xml:space="preserve">inherited exception (UNION18; UNION19)</t>
  </si>
  <si>
    <t xml:space="preserve">Original 473396/45359; reinstatement note 496630/68593; detailed comparative 496820/68783; net 428037 in all cases. -&gt; Original-vintage case graph plus explicit sensitivity; exclude pooled allowance inference until 190m discrepancy reconciled.</t>
  </si>
  <si>
    <t xml:space="preserve">U05</t>
  </si>
  <si>
    <t xml:space="preserve">2021 loans</t>
  </si>
  <si>
    <t xml:space="preserve">Gross/net loan confusion</t>
  </si>
  <si>
    <t xml:space="preserve">inherited exception (UNION22)</t>
  </si>
  <si>
    <t xml:space="preserve">868840 is net; gross 899106 less allowance 30266. -&gt; Use gross loan denominator, not statement carrying value.</t>
  </si>
  <si>
    <t xml:space="preserve">U06</t>
  </si>
  <si>
    <t xml:space="preserve">2022 customer loans</t>
  </si>
  <si>
    <t xml:space="preserve">Closing allowance mismatch</t>
  </si>
  <si>
    <t xml:space="preserve">Source-supported closing total 32015, not supplied 46628. -&gt; Use main loan-note total; do not invent the scope of the original number.</t>
  </si>
  <si>
    <t xml:space="preserve">U07</t>
  </si>
  <si>
    <t xml:space="preserve">2019, 2021 and 2022</t>
  </si>
  <si>
    <t xml:space="preserve">Impairment sign and scope</t>
  </si>
  <si>
    <t xml:space="preserve">inherited exception (UNION20; UNION22)</t>
  </si>
  <si>
    <t xml:space="preserve">2019 total reversal -504; 2021 -34 credit +320 other =286; 2022 3209 credit +1266 other =4475. -&gt; Use signed income-statement components; keep stock and expense distinct.</t>
  </si>
  <si>
    <t xml:space="preserve">U08</t>
  </si>
  <si>
    <t xml:space="preserve">2018–2020</t>
  </si>
  <si>
    <t xml:space="preserve">Capital transition</t>
  </si>
  <si>
    <t xml:space="preserve">inherited exception (UNION18; UNION20)</t>
  </si>
  <si>
    <t xml:space="preserve">Full-impact and transition-adjusted CAR differ. -&gt; Preserve both; graphs do not silently switch measurement basis.</t>
  </si>
  <si>
    <t xml:space="preserve">U09</t>
  </si>
  <si>
    <t xml:space="preserve">2021–2022</t>
  </si>
  <si>
    <t xml:space="preserve">Historical capital minimum</t>
  </si>
  <si>
    <t xml:space="preserve">2022 report states 10% minimum; original table applies blanket 15%. -&gt; Use verified year-specific requirement only; 2021 threshold remains unknown here.</t>
  </si>
  <si>
    <t xml:space="preserve">U10</t>
  </si>
  <si>
    <t xml:space="preserve">2018, 2019, 2021–2022</t>
  </si>
  <si>
    <t xml:space="preserve">Stage 3 versus NPL</t>
  </si>
  <si>
    <t xml:space="preserve">inherited exception (UNION18; UNION19; UNION22)</t>
  </si>
  <si>
    <t xml:space="preserve">Stage 3 includes watchlist exposures; 2018 123328 versus NPL 38496. -&gt; Separate indicators and denominators; total allowance/NPL labelled broad coverage.</t>
  </si>
  <si>
    <t xml:space="preserve">U11</t>
  </si>
  <si>
    <t xml:space="preserve">2022 Stage 3</t>
  </si>
  <si>
    <t xml:space="preserve">2022 stage-specific allowance inconsistency</t>
  </si>
  <si>
    <t xml:space="preserve">22610 main note; 22496 roll-forward; 16470 regulatory overview. -&gt; Exclude 2022 matched Stage 3 coverage; retain main total32015 which reconciles net loans.</t>
  </si>
  <si>
    <t xml:space="preserve">U12</t>
  </si>
  <si>
    <t xml:space="preserve">2019–2022</t>
  </si>
  <si>
    <t xml:space="preserve">Liquidity reporting scope</t>
  </si>
  <si>
    <t xml:space="preserve">Available ratios explicitly refer to Group. -&gt; Do not fill standalone liquidity fields.</t>
  </si>
  <si>
    <t xml:space="preserve">U13</t>
  </si>
  <si>
    <t xml:space="preserve">Loan-only expense non-comparability</t>
  </si>
  <si>
    <t xml:space="preserve">Modification losses and presentation differences across CF and allowance movement. -&gt; Retain total impairment analysis as a separate broad measure; no pure loan-ECL volatility claim.</t>
  </si>
  <si>
    <t xml:space="preserve">U14</t>
  </si>
  <si>
    <t xml:space="preserve">2013–2016</t>
  </si>
  <si>
    <t xml:space="preserve">Prior audited versions</t>
  </si>
  <si>
    <t xml:space="preserve">inherited exception (Prior DS_UNION14; supplied report links)</t>
  </si>
  <si>
    <t xml:space="preserve">Prior Union2013/14 original amounts retained; later summaries restate balances; 2015/16 not reconciled in this update. -&gt; No claim of complete comparable Union 2013–2022 series.</t>
  </si>
  <si>
    <t xml:space="preserve">U15</t>
  </si>
  <si>
    <t xml:space="preserve">2017–2022</t>
  </si>
  <si>
    <t xml:space="preserve">Auditor classification</t>
  </si>
  <si>
    <t xml:space="preserve">inherited exception (UNION18; UNION19; UNION20; UNION22)</t>
  </si>
  <si>
    <t xml:space="preserve">Income/loan source checks do not establish an absence of going concern uncertainty. -&gt; New Union auditor codes left unknown; existing selected GCU observations unchanged.</t>
  </si>
  <si>
    <t xml:space="preserve">Unresolved conflicts.</t>
  </si>
  <si>
    <t xml:space="preserve">type</t>
  </si>
  <si>
    <t xml:space="preserve">value_a</t>
  </si>
  <si>
    <t xml:space="preserve">value_b</t>
  </si>
  <si>
    <t xml:space="preserve">detail</t>
  </si>
  <si>
    <t xml:space="preserve">2021 report (original, admitted) vs 2022 report 2021 comparative (p143 printed 113); RWA 1,405,941 vs 1,409,255; CAR 16.1% vs 16.2%.</t>
  </si>
  <si>
    <t xml:space="preserve">Credit-concentration table (p182, printed 177) heading says 'In millions of Naira' but figures are NGN thousand (gross loans equal note 18).</t>
  </si>
  <si>
    <t xml:space="preserve">Admitted 2015 values are the Restated comparatives in the 2016 report; raw Word-table candidate 17,721 likely the original 2015 presentation (original 2015 report not retrieved: unionbankng.com returned 403).</t>
  </si>
  <si>
    <t xml:space="preserve">Selected Wema 2022 (WEMA23 source) total impairment 4,762.274 differs from 2022 annual report Bank 2022 net impairment loss 4,808,387k (p114 printed 109); selected value retained pending review of WEMA23.</t>
  </si>
  <si>
    <t xml:space="preserve">2021 report p144 (printed 113): printed Total regulatory capital 176,542 (adjusted 182,720) != Eligible Tier I + Tier II 221,408 (223,468); components reproduce printed CAR 19.4%/19.6%. Component sum admitted.</t>
  </si>
  <si>
    <t xml:space="preserve">2017 report original Bank liabilities/equity 4,126,133/707,525 vs 2018 report 2017 comparative 4,135,675/697,983 (total assets unchanged 4,833,658). Original admitted.</t>
  </si>
  <si>
    <t xml:space="preserve">2018 report original Parent Dec-2018 equity/liabilities 511,842,259/2,200,679,235 vs 2019 report comparative 510,185,839/2,202,335,655; PAT 166,919,765 vs 166,753,084. Original admitted.</t>
  </si>
  <si>
    <t xml:space="preserve">2016 report PDF p80 (printed 79), note 4: printed CAR 17.22% vs Total Tier 1 &amp; Tier 2 capital 196,913 / total RWA 1,138,258 = 17.30%; Tier 1 (147,096) + Tier 2 (49,817) and RWA components (914,809 + 62,506 + 160,943) each sum to the printed totals.</t>
  </si>
  <si>
    <t xml:space="preserve">2021 report (xs-848eb8a062) p48 Stage 3 gross 105,854; 2022 report (xs-25b05484b6) prints 966,871 for 2021, which equals the 2020 figure in the 2021 report; likely carry-over error in the 2022 report; selected 2021-report value retained.</t>
  </si>
  <si>
    <t xml:space="preserve">2018 report (original, admitted) vs 2019 report 'Restated 31-Dec-18' (Note 44 CBN haircut on petroleum-marketer interest); impairment 27,360 vs 56,301; assets 1,956,830 vs 1,927,889; equity 247,482 vs 218,541.</t>
  </si>
  <si>
    <t xml:space="preserve">2018 report CAR 14.3% (RC 205,312 / RWA 1,433,545) vs 2019 report restated 2018 column 11.13% (152,504 / 1,370,401).</t>
  </si>
  <si>
    <t xml:space="preserve">2020 report CAR 21.44% (RC 301,364) vs 2021 report 2020 column 23.21% (eligible capital 326,251); not labelled restated.</t>
  </si>
  <si>
    <t xml:space="preserve">2021 report OCF (86,740) vs 2022 report comparative (98,241) marked '*' (comparatives restated to current presentation).</t>
  </si>
  <si>
    <t xml:space="preserve">GTBank 2015 report: capital table (p201) 18.17% recomputes from 333,426,139 / 1,835,072,113; narrative on p200 states 18.11%. Table value admitted.</t>
  </si>
  <si>
    <t xml:space="preserve">2014 note 13.4 (original, admitted) vs 2015 note 13.4 comparative; assets 911,052 vs 908,429.</t>
  </si>
  <si>
    <t xml:space="preserve">2018 report note 20 BANK reconciliation (S1 p581, printed 82): closing row 252,222 + 25,327 = 277,549; stage split 252,205 + 25,343 = 277,548. Closing row used (agrees with 2019 report comparative 252,222 / 25,327).</t>
  </si>
  <si>
    <t xml:space="preserve">candidate_vs_selected</t>
  </si>
  <si>
    <t xml:space="preserve">selected retained; raw CSV extract differs (scope/version/rounding unresolved)</t>
  </si>
  <si>
    <t xml:space="preserve">selected retained; raw Word tables differs (scope/version/rounding unresolved)</t>
  </si>
  <si>
    <t xml:space="preserve">Outstanding bank-years and field requests.</t>
  </si>
  <si>
    <t xml:space="preserve">gap_type</t>
  </si>
  <si>
    <t xml:space="preserve">priority</t>
  </si>
  <si>
    <t xml:space="preserve">status_before</t>
  </si>
  <si>
    <t xml:space="preserve">status_after</t>
  </si>
  <si>
    <t xml:space="preserve">retrieval_attempts</t>
  </si>
  <si>
    <t xml:space="preserve">next_action</t>
  </si>
  <si>
    <t xml:space="preserve">bank_year</t>
  </si>
  <si>
    <t xml:space="preserve">*core row*</t>
  </si>
  <si>
    <t xml:space="preserve">No core data</t>
  </si>
  <si>
    <t xml:space="preserve">not_admitted</t>
  </si>
  <si>
    <t xml:space="preserve">search-fd07b26477:blocked</t>
  </si>
  <si>
    <t xml:space="preserve">Recover source-backed main statements; check prior archives too</t>
  </si>
  <si>
    <t xml:space="preserve">search-13ed75455f:blocked</t>
  </si>
  <si>
    <t xml:space="preserve">Candidate only</t>
  </si>
  <si>
    <t xml:space="preserve">search-1161ae5179:blocked</t>
  </si>
  <si>
    <t xml:space="preserve">Verify source and reporting version</t>
  </si>
  <si>
    <t xml:space="preserve">search-a960ffaf72:blocked</t>
  </si>
  <si>
    <t xml:space="preserve">search-68695c53b4:blocked</t>
  </si>
  <si>
    <t xml:space="preserve">search-2507642abf:blocked</t>
  </si>
  <si>
    <t xml:space="preserve">search-53c2ba9465:blocked</t>
  </si>
  <si>
    <t xml:space="preserve">search-ad31ab8c4d:blocked</t>
  </si>
  <si>
    <t xml:space="preserve">search-da1763c438:blocked</t>
  </si>
  <si>
    <t xml:space="preserve">search-938e3ef962:blocked</t>
  </si>
  <si>
    <t xml:space="preserve">search-a4ce79005e:blocked</t>
  </si>
  <si>
    <t xml:space="preserve">search-aecfca25e7:blocked</t>
  </si>
  <si>
    <t xml:space="preserve">missing_selected_field</t>
  </si>
  <si>
    <t xml:space="preserve">blank in selected row</t>
  </si>
  <si>
    <t xml:space="preserve">unprocessed (source not retrieved)</t>
  </si>
  <si>
    <t xml:space="preserve">pdf-6b681503d3:http_error</t>
  </si>
  <si>
    <t xml:space="preserve">Confirm definition and matched scope; check full audited source; do not infer non-disclosure from blank</t>
  </si>
  <si>
    <t xml:space="preserve">Retrieve prior-year or coherent comparative asset balance; 2012 supports 2013 denominator only</t>
  </si>
  <si>
    <t xml:space="preserve">Retrieve original-year complete auditor report and management going-concern note; unknown is not 0</t>
  </si>
  <si>
    <t xml:space="preserve">source retrieved; awaiting page review</t>
  </si>
  <si>
    <t xml:space="preserve">pdf-814c8760db:downloaded</t>
  </si>
  <si>
    <t xml:space="preserve">pdf-2f1102a9ec:downloaded</t>
  </si>
  <si>
    <t xml:space="preserve">pdf-6a28e37003:downloaded</t>
  </si>
  <si>
    <t xml:space="preserve">Match Stage 3 allowance/exposure scope; do not substitute regulatory NPL.</t>
  </si>
  <si>
    <t xml:space="preserve">pdf-8c6ba74d82:downloaded</t>
  </si>
  <si>
    <t xml:space="preserve">pdf-4b54f6c2e2:downloaded</t>
  </si>
  <si>
    <t xml:space="preserve">pdf-97d85c8249:downloaded</t>
  </si>
  <si>
    <t xml:space="preserve">pdf-ad59107fe3:downloaded</t>
  </si>
  <si>
    <t xml:space="preserve">pdf-ae443af9ba:downloaded</t>
  </si>
  <si>
    <t xml:space="preserve">pdf-9fd693dc62:downloaded</t>
  </si>
  <si>
    <t xml:space="preserve">pdf-7d502060b5:downloaded</t>
  </si>
  <si>
    <t xml:space="preserve">pdf-436e6b6084:downloaded</t>
  </si>
  <si>
    <t xml:space="preserve">pdf-75d2be508b:downloaded</t>
  </si>
  <si>
    <t xml:space="preserve">existing_exception</t>
  </si>
  <si>
    <t xml:space="preserve">Resolve documented inconsistency before admitting ratio; preserve prior exclusion flag</t>
  </si>
  <si>
    <t xml:space="preserve">pdf-7735ca4999:downloaded</t>
  </si>
  <si>
    <t xml:space="preserve">pdf-ba47d7103a:downloaded</t>
  </si>
  <si>
    <t xml:space="preserve">Exclude from pooled allowance inference: unreconciled revised comparatives</t>
  </si>
  <si>
    <t xml:space="preserve">pdf-713d41ccbc:downloaded</t>
  </si>
  <si>
    <t xml:space="preserve">pdf-58341f6714:downloaded</t>
  </si>
  <si>
    <t xml:space="preserve">pdf-ae85bb854d:downloaded</t>
  </si>
  <si>
    <t xml:space="preserve">pdf-22363eee3a:downloaded</t>
  </si>
  <si>
    <t xml:space="preserve">pdf-22363eee3a:downloaded; pdf-e7989b2bda:downloaded</t>
  </si>
  <si>
    <t xml:space="preserve">pdf-e7989b2bda:downloaded</t>
  </si>
  <si>
    <t xml:space="preserve">pdf-4eaed043bc:downloaded</t>
  </si>
  <si>
    <t xml:space="preserve">pdf-95f2afb334:downloaded</t>
  </si>
  <si>
    <t xml:space="preserve">pdf-a4d84d3ca3:downloaded</t>
  </si>
  <si>
    <t xml:space="preserve">pdf-796a228c2c:downloaded</t>
  </si>
  <si>
    <t xml:space="preserve">pdf-a96b72a329:downloaded</t>
  </si>
  <si>
    <t xml:space="preserve">Every known source URL and its retrieval outcome in this run.</t>
  </si>
  <si>
    <t xml:space="preserve">url</t>
  </si>
  <si>
    <t xml:space="preserve">source_ids</t>
  </si>
  <si>
    <t xml:space="preserve">lead_status_in_handoff</t>
  </si>
  <si>
    <t xml:space="preserve">page_hint</t>
  </si>
  <si>
    <t xml:space="preserve">queue_job</t>
  </si>
  <si>
    <t xml:space="preserve">retrieval_status</t>
  </si>
  <si>
    <t xml:space="preserve">retrieval_reason</t>
  </si>
  <si>
    <t xml:space="preserve">final_url</t>
  </si>
  <si>
    <t xml:space="preserve">pdf_sha256</t>
  </si>
  <si>
    <t xml:space="preserve">local_pdf_path</t>
  </si>
  <si>
    <t xml:space="preserve">accessed_utc</t>
  </si>
  <si>
    <t xml:space="preserve">Inherited source link; not rechecked in this handoff</t>
  </si>
  <si>
    <t xml:space="preserve">seed</t>
  </si>
  <si>
    <t xml:space="preserve">HTTP 403</t>
  </si>
  <si>
    <t xml:space="preserve">2026-10-11T12:16:59+00:00</t>
  </si>
  <si>
    <t xml:space="preserve">reports/ecobank_nigeria/ecobank_nigeria_pdf-814c8760db_c1c873b15d7c.pdf</t>
  </si>
  <si>
    <t xml:space="preserve">2026-10-10T16:39:50+00:00</t>
  </si>
  <si>
    <t xml:space="preserve">reports/fidelity/fidelity_pdf-2f1102a9ec_c1b25f6d7504.pdf</t>
  </si>
  <si>
    <t xml:space="preserve">2026-10-10T16:39:51+00:00</t>
  </si>
  <si>
    <t xml:space="preserve">reports/fidelity/fidelity_pdf-6a28e37003_448187770f22.pdf</t>
  </si>
  <si>
    <t xml:space="preserve">reports/first_bank/first_bank_pdf-8c6ba74d82_e2f5a39555a2.pdf</t>
  </si>
  <si>
    <t xml:space="preserve">2026-10-10T16:39:44+00:00</t>
  </si>
  <si>
    <t xml:space="preserve">reports/gtbank/gtbank_pdf-4b54f6c2e2_2545e592914e.pdf</t>
  </si>
  <si>
    <t xml:space="preserve">2026-10-10T16:39:45+00:00</t>
  </si>
  <si>
    <t xml:space="preserve">reports/sterling/sterling_pdf-97d85c8249_32cbd03e856c.pdf</t>
  </si>
  <si>
    <t xml:space="preserve">2026-10-10T16:39:53+00:00</t>
  </si>
  <si>
    <t xml:space="preserve">reports/sterling/sterling_pdf-ad59107fe3_9440f1ef2e04.pdf</t>
  </si>
  <si>
    <t xml:space="preserve">2026-10-10T16:39:54+00:00</t>
  </si>
  <si>
    <t xml:space="preserve">reports/uba/uba_pdf-ae443af9ba_0c2b6e411d7b.pdf</t>
  </si>
  <si>
    <t xml:space="preserve">reports/uba/uba_pdf-9fd693dc62_69a658fbe7be.pdf</t>
  </si>
  <si>
    <t xml:space="preserve">2026-10-10T16:39:55+00:00</t>
  </si>
  <si>
    <t xml:space="preserve">reports/uba/uba_pdf-7d502060b5_e52de43a596c.pdf</t>
  </si>
  <si>
    <t xml:space="preserve">2026-10-10T16:39:56+00:00</t>
  </si>
  <si>
    <t xml:space="preserve">reports/uba/uba_pdf-436e6b6084_a3f2acbf1b49.pdf</t>
  </si>
  <si>
    <t xml:space="preserve">2026-10-10T16:39:57+00:00</t>
  </si>
  <si>
    <t xml:space="preserve">reports/uba/uba_pdf-75d2be508b_ff9f6deb12de.pdf</t>
  </si>
  <si>
    <t xml:space="preserve">2026-10-10T16:39:59+00:00</t>
  </si>
  <si>
    <t xml:space="preserve">reports/union/union_pdf-7735ca4999_76fd171a3acd.pdf</t>
  </si>
  <si>
    <t xml:space="preserve">2026-10-10T16:39:19+00:00</t>
  </si>
  <si>
    <t xml:space="preserve">reports/union/union_pdf-ba47d7103a_34acce333bfe.pdf</t>
  </si>
  <si>
    <t xml:space="preserve">2026-10-10T16:39:23+00:00</t>
  </si>
  <si>
    <t xml:space="preserve">reports/union/union_pdf-713d41ccbc_6bfdfbd2701b.pdf</t>
  </si>
  <si>
    <t xml:space="preserve">reports/union/union_pdf-58341f6714_ba3b2866fb7d.pdf</t>
  </si>
  <si>
    <t xml:space="preserve">2026-10-10T16:39:26+00:00</t>
  </si>
  <si>
    <t xml:space="preserve">reports/unity/unity_pdf-ae85bb854d_ef5ce4fa3fcd.pdf</t>
  </si>
  <si>
    <t xml:space="preserve">2026-10-10T16:40:00+00:00</t>
  </si>
  <si>
    <t xml:space="preserve">reports/wema/wema_pdf-22363eee3a_ebf2841f28f9.pdf</t>
  </si>
  <si>
    <t xml:space="preserve">2026-10-10T16:39:30+00:00</t>
  </si>
  <si>
    <t xml:space="preserve">reports/wema/wema_pdf-e7989b2bda_c57237be8b72.pdf</t>
  </si>
  <si>
    <t xml:space="preserve">reports/wema/wema_pdf-4eaed043bc_fd6a3b8f8f57.pdf</t>
  </si>
  <si>
    <t xml:space="preserve">2026-10-10T16:39:31+00:00</t>
  </si>
  <si>
    <t xml:space="preserve">reports/wema/wema_pdf-95f2afb334_3c780c6c38ec.pdf</t>
  </si>
  <si>
    <t xml:space="preserve">2026-10-10T16:39:32+00:00</t>
  </si>
  <si>
    <t xml:space="preserve">reports/wema/wema_pdf-a4d84d3ca3_a7470b5b5d3f.pdf</t>
  </si>
  <si>
    <t xml:space="preserve">2026-10-10T16:39:35+00:00</t>
  </si>
  <si>
    <t xml:space="preserve">reports/zenith/zenith_pdf-796a228c2c_e5173df78220.pdf</t>
  </si>
  <si>
    <t xml:space="preserve">reports/zenith/zenith_pdf-a96b72a329_84f2e8f0ed91.pdf</t>
  </si>
  <si>
    <t xml:space="preserve">2026-10-10T16:39:46+00:00</t>
  </si>
  <si>
    <t xml:space="preserve">https://www.stanbicibtcbank.com/nigeriabank/personal/about-us/corporate-governance/Corporate-Governance</t>
  </si>
  <si>
    <t xml:space="preserve">STAN_BANK_ARCHIVE</t>
  </si>
  <si>
    <t xml:space="preserve">Official archive opened this turn</t>
  </si>
  <si>
    <t xml:space="preserve">extract-9e8d66b8f1</t>
  </si>
  <si>
    <t xml:space="preserve">not_attempted</t>
  </si>
  <si>
    <t xml:space="preserve">STAN_BANK_2022</t>
  </si>
  <si>
    <t xml:space="preserve">Official PDF opened; separate statement layout visually checked; not yet merged</t>
  </si>
  <si>
    <t xml:space="preserve">PDF page 31 (1-based), printed p. 1</t>
  </si>
  <si>
    <t xml:space="preserve">reports/stanbic/stanbic_pdf-b401d53ff6_a74d246776f5.pdf</t>
  </si>
  <si>
    <t xml:space="preserve">2026-10-10T16:39:41+00:00</t>
  </si>
  <si>
    <t xml:space="preserve">STAN_BANK_2021</t>
  </si>
  <si>
    <t xml:space="preserve">PDF page 32 (1-based), printed p. 1</t>
  </si>
  <si>
    <t xml:space="preserve">reports/stanbic/stanbic_pdf-451d8a33c1_65822d2ab6a3.pdf</t>
  </si>
  <si>
    <t xml:space="preserve">2026-10-10T16:39:40+00:00</t>
  </si>
  <si>
    <t xml:space="preserve">STAN_BANK_2018_LINK</t>
  </si>
  <si>
    <t xml:space="preserve">Official PDF link opened; content not extracted</t>
  </si>
  <si>
    <t xml:space="preserve">reports/stanbic/stanbic_pdf-659dfb2f30_2b85bab4f18a.pdf</t>
  </si>
  <si>
    <t xml:space="preserve">2026-10-10T16:39:47+00:00</t>
  </si>
  <si>
    <t xml:space="preserve">STAN_BANK_2019_LINK</t>
  </si>
  <si>
    <t xml:space="preserve">reports/stanbic/stanbic_pdf-fb3ab3b63d_76ed890d08e1.pdf</t>
  </si>
  <si>
    <t xml:space="preserve">2026-10-10T16:39:48+00:00</t>
  </si>
  <si>
    <t xml:space="preserve">FIDELITY_BANK_2022</t>
  </si>
  <si>
    <t xml:space="preserve">Official audited annual-report PDF opened; fields not extracted</t>
  </si>
  <si>
    <t xml:space="preserve">reports/fidelity/fidelity_pdf-0960512f5d_c9e9859cf693.pdf</t>
  </si>
  <si>
    <t xml:space="preserve">2026-10-10T16:39:52+00:00</t>
  </si>
  <si>
    <t xml:space="preserve">WEMA_2022_MIRROR</t>
  </si>
  <si>
    <t xml:space="preserve">Located; browser rejected 23.9 MB size; not inspected</t>
  </si>
  <si>
    <t xml:space="preserve">reports/wema/wema_pdf-2b23016b97_2b1f6641f711.pdf</t>
  </si>
  <si>
    <t xml:space="preserve">2026-10-10T16:39:38+00:00</t>
  </si>
  <si>
    <t xml:space="preserve">https://doclib.ngxgroup.com/Financial_NewsDocs/29295_UNION_BANK_NIG.PLC._FINANCIAL_STATEMENTS_MARCH_2020.pdf</t>
  </si>
  <si>
    <t xml:space="preserve">UNION19</t>
  </si>
  <si>
    <t xml:space="preserve">Specified loan, capital and restatement notes visually checked</t>
  </si>
  <si>
    <t xml:space="preserve">prior Sources.csv</t>
  </si>
  <si>
    <t xml:space="preserve">https://doclib.ngxgroup.com/Financial_NewsDocs/FinancialStatementFull_UNION%20BANK%20NIG.PLC._2015-04-27.pdf</t>
  </si>
  <si>
    <t xml:space="preserve">UNION15Q1</t>
  </si>
  <si>
    <t xml:space="preserve">Excluded as annual-flow evidence</t>
  </si>
  <si>
    <t xml:space="preserve">https://claude.ai/public/artifacts/e1e2532d-a4c4-4d19-a2ce-cf9f4234cbc7</t>
  </si>
  <si>
    <t xml:space="preserve">CLAUDE</t>
  </si>
  <si>
    <t xml:space="preserve">Inaccessible in this session; contents not compared</t>
  </si>
  <si>
    <t xml:space="preserve">selected-row source</t>
  </si>
  <si>
    <t xml:space="preserve">selected CSV</t>
  </si>
  <si>
    <t xml:space="preserve">Long-form evidence.</t>
  </si>
  <si>
    <t xml:space="preserve">legal_entity</t>
  </si>
  <si>
    <t xml:space="preserve">raw_units</t>
  </si>
  <si>
    <t xml:space="preserve">currency</t>
  </si>
  <si>
    <t xml:space="preserve">report_title</t>
  </si>
  <si>
    <t xml:space="preserve">report_year</t>
  </si>
  <si>
    <t xml:space="preserve">source_id</t>
  </si>
  <si>
    <t xml:space="preserve">note_number</t>
  </si>
  <si>
    <t xml:space="preserve">source_column_heading</t>
  </si>
  <si>
    <t xml:space="preserve">original_or_comparative</t>
  </si>
  <si>
    <t xml:space="preserve">short_source_excerpt</t>
  </si>
  <si>
    <t xml:space="preserve">rendered_page_path</t>
  </si>
  <si>
    <t xml:space="preserve">method</t>
  </si>
  <si>
    <t xml:space="preserve">access_timestamp_utc</t>
  </si>
  <si>
    <t xml:space="preserve">evidence_origin</t>
  </si>
  <si>
    <t xml:space="preserve">document_scope</t>
  </si>
  <si>
    <t xml:space="preserve">column_scope</t>
  </si>
  <si>
    <t xml:space="preserve">column_scope_basis</t>
  </si>
  <si>
    <t xml:space="preserve">sign_transform</t>
  </si>
  <si>
    <t xml:space="preserve">sign_reason</t>
  </si>
  <si>
    <t xml:space="preserve">derive_formula</t>
  </si>
  <si>
    <t xml:space="preserve">component_ids</t>
  </si>
  <si>
    <t xml:space="preserve">EV0001</t>
  </si>
  <si>
    <t xml:space="preserve">Access Bank Plc (as recorded by prior pack)</t>
  </si>
  <si>
    <t xml:space="preserve">Customer_deposits</t>
  </si>
  <si>
    <t xml:space="preserve">NGN thousand</t>
  </si>
  <si>
    <t xml:space="preserve">NGN</t>
  </si>
  <si>
    <t xml:space="preserve">Bank standalone</t>
  </si>
  <si>
    <t xml:space="preserve">2014 report; prior-year comparative</t>
  </si>
  <si>
    <t xml:space="preserve">inherited from starting pack</t>
  </si>
  <si>
    <t xml:space="preserve">inherited_not_rechecked_this_run</t>
  </si>
  <si>
    <t xml:space="preserve">Prior status: Verified in source. Bank columns; abridged audited release. Net impairment 2013 is a writeback. PDF not re-downloaded or hashed in this run.</t>
  </si>
  <si>
    <t xml:space="preserve">prior_selected_evidence.csv</t>
  </si>
  <si>
    <t xml:space="preserve">EV0002</t>
  </si>
  <si>
    <t xml:space="preserve">EV0003</t>
  </si>
  <si>
    <t xml:space="preserve">EV0004</t>
  </si>
  <si>
    <t xml:space="preserve">EV0005</t>
  </si>
  <si>
    <t xml:space="preserve">Percent</t>
  </si>
  <si>
    <t xml:space="preserve">Prior status: Verified in source. Reported impaired loans / gross risk assets; do not assume denominator equals customer gross loans. PDF not re-downloaded or hashed in this run.</t>
  </si>
  <si>
    <t xml:space="preserve">EV0006</t>
  </si>
  <si>
    <t xml:space="preserve">EV0007</t>
  </si>
  <si>
    <t xml:space="preserve">EV0008</t>
  </si>
  <si>
    <t xml:space="preserve">EV0009</t>
  </si>
  <si>
    <t xml:space="preserve">EV0010</t>
  </si>
  <si>
    <t xml:space="preserve">EV0011</t>
  </si>
  <si>
    <t xml:space="preserve">2014 report; current year</t>
  </si>
  <si>
    <t xml:space="preserve">EV0012</t>
  </si>
  <si>
    <t xml:space="preserve">EV0013</t>
  </si>
  <si>
    <t xml:space="preserve">EV0014</t>
  </si>
  <si>
    <t xml:space="preserve">EV0015</t>
  </si>
  <si>
    <t xml:space="preserve">EV0016</t>
  </si>
  <si>
    <t xml:space="preserve">EV0017</t>
  </si>
  <si>
    <t xml:space="preserve">EV0018</t>
  </si>
  <si>
    <t xml:space="preserve">EV0019</t>
  </si>
  <si>
    <t xml:space="preserve">EV0020</t>
  </si>
  <si>
    <t xml:space="preserve">EV0021</t>
  </si>
  <si>
    <t xml:space="preserve">United Bank for Africa Plc (as recorded by prior pack)</t>
  </si>
  <si>
    <t xml:space="preserve">Prior status: Verified in source. Disclosed rounded CAR. 2014 excludes unapproved series3 bond capital. PDF not re-downloaded or hashed in this run.</t>
  </si>
  <si>
    <t xml:space="preserve">EV0022</t>
  </si>
  <si>
    <t xml:space="preserve">NGN million</t>
  </si>
  <si>
    <t xml:space="preserve">Prior status: Verified in source. Bank subsection Note24. PDF not re-downloaded or hashed in this run.</t>
  </si>
  <si>
    <t xml:space="preserve">EV0023</t>
  </si>
  <si>
    <t xml:space="preserve">Prior status: Verified in source. Bank column. Source-statement impairment includes receivables; distinguish loan-only charge. PDF not re-downloaded or hashed in this run.</t>
  </si>
  <si>
    <t xml:space="preserve">EV0024</t>
  </si>
  <si>
    <t xml:space="preserve">EV0025</t>
  </si>
  <si>
    <t xml:space="preserve">EV0026</t>
  </si>
  <si>
    <t xml:space="preserve">EV0027</t>
  </si>
  <si>
    <t xml:space="preserve">EV0028</t>
  </si>
  <si>
    <t xml:space="preserve">EV0029</t>
  </si>
  <si>
    <t xml:space="preserve">EV0030</t>
  </si>
  <si>
    <t xml:space="preserve">EV0031</t>
  </si>
  <si>
    <t xml:space="preserve">EV0032</t>
  </si>
  <si>
    <t xml:space="preserve">Prior status: Verified in source. Basel II section, not preceding unadjusted Tier1/Tier2 totals. PDF not re-downloaded or hashed in this run.</t>
  </si>
  <si>
    <t xml:space="preserve">EV0033</t>
  </si>
  <si>
    <t xml:space="preserve">EV0034</t>
  </si>
  <si>
    <t xml:space="preserve">EV0035</t>
  </si>
  <si>
    <t xml:space="preserve">EV0036</t>
  </si>
  <si>
    <t xml:space="preserve">EV0037</t>
  </si>
  <si>
    <t xml:space="preserve">EV0038</t>
  </si>
  <si>
    <t xml:space="preserve">EV0039</t>
  </si>
  <si>
    <t xml:space="preserve">EV0040</t>
  </si>
  <si>
    <t xml:space="preserve">EV0041</t>
  </si>
  <si>
    <t xml:space="preserve">EV0042</t>
  </si>
  <si>
    <t xml:space="preserve">EV0043</t>
  </si>
  <si>
    <t xml:space="preserve">EV0044</t>
  </si>
  <si>
    <t xml:space="preserve">EV0045</t>
  </si>
  <si>
    <t xml:space="preserve">EV0046</t>
  </si>
  <si>
    <t xml:space="preserve">EV0047</t>
  </si>
  <si>
    <t xml:space="preserve">EV0048</t>
  </si>
  <si>
    <t xml:space="preserve">EV0049</t>
  </si>
  <si>
    <t xml:space="preserve">EV0050</t>
  </si>
  <si>
    <t xml:space="preserve">EV0051</t>
  </si>
  <si>
    <t xml:space="preserve">EV0052</t>
  </si>
  <si>
    <t xml:space="preserve">EV0053</t>
  </si>
  <si>
    <t xml:space="preserve">Guaranty Trust Bank (Nigeria) (as recorded by prior pack)</t>
  </si>
  <si>
    <t xml:space="preserve">Prior status: Verified in source. Parent/bank column; abridged statement. Separate impairment components retained. PDF not re-downloaded or hashed in this run.</t>
  </si>
  <si>
    <t xml:space="preserve">EV0054</t>
  </si>
  <si>
    <t xml:space="preserve">EV0055</t>
  </si>
  <si>
    <t xml:space="preserve">EV0056</t>
  </si>
  <si>
    <t xml:space="preserve">EV0057</t>
  </si>
  <si>
    <t xml:space="preserve">EV0058</t>
  </si>
  <si>
    <t xml:space="preserve">percent</t>
  </si>
  <si>
    <t xml:space="preserve">Prior status: Verified in source. Reported impaired loans and advances / loans and advances; no back-solving of exact gross loans from rounded percentage. PDF not re-downloaded or hashed in this run.</t>
  </si>
  <si>
    <t xml:space="preserve">EV0059</t>
  </si>
  <si>
    <t xml:space="preserve">EV0060</t>
  </si>
  <si>
    <t xml:space="preserve">EV0061</t>
  </si>
  <si>
    <t xml:space="preserve">EV0062</t>
  </si>
  <si>
    <t xml:space="preserve">EV0063</t>
  </si>
  <si>
    <t xml:space="preserve">EV0064</t>
  </si>
  <si>
    <t xml:space="preserve">EV0065</t>
  </si>
  <si>
    <t xml:space="preserve">EV0066</t>
  </si>
  <si>
    <t xml:space="preserve">EV0067</t>
  </si>
  <si>
    <t xml:space="preserve">EV0068</t>
  </si>
  <si>
    <t xml:space="preserve">EV0069</t>
  </si>
  <si>
    <t xml:space="preserve">EV0070</t>
  </si>
  <si>
    <t xml:space="preserve">EV0071</t>
  </si>
  <si>
    <t xml:space="preserve">EV0072</t>
  </si>
  <si>
    <t xml:space="preserve">EV0073</t>
  </si>
  <si>
    <t xml:space="preserve">EV0074</t>
  </si>
  <si>
    <t xml:space="preserve">EV0075</t>
  </si>
  <si>
    <t xml:space="preserve">Fidelity Bank Plc (as recorded by prior pack)</t>
  </si>
  <si>
    <t xml:space="preserve">2013 report; current year</t>
  </si>
  <si>
    <t xml:space="preserve">Prior status: Verified in source. Rounded whole-percent CAR in source; component-derived ratio retained separately. PDF not re-downloaded or hashed in this run.</t>
  </si>
  <si>
    <t xml:space="preserve">EV0076</t>
  </si>
  <si>
    <t xml:space="preserve">Prior status: Verified in source. PDF not re-downloaded or hashed in this run.</t>
  </si>
  <si>
    <t xml:space="preserve">EV0077</t>
  </si>
  <si>
    <t xml:space="preserve">Prior status: Verified in source. Source audited statement; NGN million. PDF not re-downloaded or hashed in this run.</t>
  </si>
  <si>
    <t xml:space="preserve">EV0078</t>
  </si>
  <si>
    <t xml:space="preserve">EV0079</t>
  </si>
  <si>
    <t xml:space="preserve">EV0080</t>
  </si>
  <si>
    <t xml:space="preserve">Prior status: Verified in source. Loan expense differs from total financial-asset impairment. PDF not re-downloaded or hashed in this run.</t>
  </si>
  <si>
    <t xml:space="preserve">EV0081</t>
  </si>
  <si>
    <t xml:space="preserve">EV0082</t>
  </si>
  <si>
    <t xml:space="preserve">EV0083</t>
  </si>
  <si>
    <t xml:space="preserve">EV0084</t>
  </si>
  <si>
    <t xml:space="preserve">EV0085</t>
  </si>
  <si>
    <t xml:space="preserve">EV0086</t>
  </si>
  <si>
    <t xml:space="preserve">EV0087</t>
  </si>
  <si>
    <t xml:space="preserve">EV0088</t>
  </si>
  <si>
    <t xml:space="preserve">EV0089</t>
  </si>
  <si>
    <t xml:space="preserve">EV0090</t>
  </si>
  <si>
    <t xml:space="preserve">EV0091</t>
  </si>
  <si>
    <t xml:space="preserve">EV0092</t>
  </si>
  <si>
    <t xml:space="preserve">EV0093</t>
  </si>
  <si>
    <t xml:space="preserve">2019 report; 2018 comparative (income restated)</t>
  </si>
  <si>
    <t xml:space="preserve">Prior status: Verified in source. Source financial-statement spread PDF page61. 2018 comparative may be restated; preserve vintage. PDF not re-downloaded or hashed in this run.</t>
  </si>
  <si>
    <t xml:space="preserve">EV0094</t>
  </si>
  <si>
    <t xml:space="preserve">EV0095</t>
  </si>
  <si>
    <t xml:space="preserve">EV0096</t>
  </si>
  <si>
    <t xml:space="preserve">EV0097</t>
  </si>
  <si>
    <t xml:space="preserve">EV0098</t>
  </si>
  <si>
    <t xml:space="preserve">EV0099</t>
  </si>
  <si>
    <t xml:space="preserve">EV0100</t>
  </si>
  <si>
    <t xml:space="preserve">EV0101</t>
  </si>
  <si>
    <t xml:space="preserve">2019 report; current year</t>
  </si>
  <si>
    <t xml:space="preserve">EV0102</t>
  </si>
  <si>
    <t xml:space="preserve">EV0103</t>
  </si>
  <si>
    <t xml:space="preserve">EV0104</t>
  </si>
  <si>
    <t xml:space="preserve">EV0105</t>
  </si>
  <si>
    <t xml:space="preserve">EV0106</t>
  </si>
  <si>
    <t xml:space="preserve">EV0107</t>
  </si>
  <si>
    <t xml:space="preserve">EV0108</t>
  </si>
  <si>
    <t xml:space="preserve">EV0109</t>
  </si>
  <si>
    <t xml:space="preserve">Sterling Bank (as recorded by prior pack)</t>
  </si>
  <si>
    <t xml:space="preserve">Prior status: Verified in source. Reported rounded percentage. Basel II 2014; Basel I 2013. PDF not re-downloaded or hashed in this run.</t>
  </si>
  <si>
    <t xml:space="preserve">EV0110</t>
  </si>
  <si>
    <t xml:space="preserve">Prior status: Verified in source. 2014 CAR Basel II; 2013 comparative Basel I. Published total CAR rounded to14%. PDF not re-downloaded or hashed in this run.</t>
  </si>
  <si>
    <t xml:space="preserve">EV0111</t>
  </si>
  <si>
    <t xml:space="preserve">EV0112</t>
  </si>
  <si>
    <t xml:space="preserve">Prior status: Verified in source. Note 19(e); gross outstanding before allowance. PDF not re-downloaded or hashed in this run.</t>
  </si>
  <si>
    <t xml:space="preserve">EV0113</t>
  </si>
  <si>
    <t xml:space="preserve">Prior status: Verified in source. Positive value denotes expense; statement shows expense in parentheses. Not an impairment recovery. PDF not re-downloaded or hashed in this run.</t>
  </si>
  <si>
    <t xml:space="preserve">EV0114</t>
  </si>
  <si>
    <t xml:space="preserve">EV0115</t>
  </si>
  <si>
    <t xml:space="preserve">Individually_impaired_loans</t>
  </si>
  <si>
    <t xml:space="preserve">Prior status: Verified in source. Not automatically the same as regulatory NPL; retain separate variable. PDF not re-downloaded or hashed in this run.</t>
  </si>
  <si>
    <t xml:space="preserve">EV0116</t>
  </si>
  <si>
    <t xml:space="preserve">EV0117</t>
  </si>
  <si>
    <t xml:space="preserve">EV0118</t>
  </si>
  <si>
    <t xml:space="preserve">EV0119</t>
  </si>
  <si>
    <t xml:space="preserve">EV0120</t>
  </si>
  <si>
    <t xml:space="preserve">EV0121</t>
  </si>
  <si>
    <t xml:space="preserve">EV0122</t>
  </si>
  <si>
    <t xml:space="preserve">EV0123</t>
  </si>
  <si>
    <t xml:space="preserve">EV0124</t>
  </si>
  <si>
    <t xml:space="preserve">EV0125</t>
  </si>
  <si>
    <t xml:space="preserve">EV0126</t>
  </si>
  <si>
    <t xml:space="preserve">EV0127</t>
  </si>
  <si>
    <t xml:space="preserve">EV0128</t>
  </si>
  <si>
    <t xml:space="preserve">EV0129</t>
  </si>
  <si>
    <t xml:space="preserve">EV0130</t>
  </si>
  <si>
    <t xml:space="preserve">EV0131</t>
  </si>
  <si>
    <t xml:space="preserve">Prior status: Verified in source. Management performance review: regulatory liquidity ratio; rounded; not Basel LCR. PDF not re-downloaded or hashed in this run.</t>
  </si>
  <si>
    <t xml:space="preserve">EV0132</t>
  </si>
  <si>
    <t xml:space="preserve">EV0133</t>
  </si>
  <si>
    <t xml:space="preserve">EV0134</t>
  </si>
  <si>
    <t xml:space="preserve">EV0135</t>
  </si>
  <si>
    <t xml:space="preserve">EV0136</t>
  </si>
  <si>
    <t xml:space="preserve">EV0137</t>
  </si>
  <si>
    <t xml:space="preserve">EV0138</t>
  </si>
  <si>
    <t xml:space="preserve">EV0139</t>
  </si>
  <si>
    <t xml:space="preserve">EV0140</t>
  </si>
  <si>
    <t xml:space="preserve">2019 report; prior-year comparative</t>
  </si>
  <si>
    <t xml:space="preserve">Prior status: Verified in source. Source states 10% bank-specific minimum. Do not apply the uploaded blanket15% breach marker. PDF not re-downloaded or hashed in this run.</t>
  </si>
  <si>
    <t xml:space="preserve">EV0141</t>
  </si>
  <si>
    <t xml:space="preserve">Prior status: Verified in source. Bank column. Group CAR differs. PDF not re-downloaded or hashed in this run.</t>
  </si>
  <si>
    <t xml:space="preserve">EV0142</t>
  </si>
  <si>
    <t xml:space="preserve">Corporate_loan_allowance</t>
  </si>
  <si>
    <t xml:space="preserve">Prior status: Verified in source. 2018 comparative in 2019 report; Bank columns, not Group. PDF not re-downloaded or hashed in this run.</t>
  </si>
  <si>
    <t xml:space="preserve">EV0143</t>
  </si>
  <si>
    <t xml:space="preserve">EV0144</t>
  </si>
  <si>
    <t xml:space="preserve">EV0145</t>
  </si>
  <si>
    <t xml:space="preserve">EV0146</t>
  </si>
  <si>
    <t xml:space="preserve">EV0147</t>
  </si>
  <si>
    <t xml:space="preserve">EV0148</t>
  </si>
  <si>
    <t xml:space="preserve">EV0149</t>
  </si>
  <si>
    <t xml:space="preserve">EV0150</t>
  </si>
  <si>
    <t xml:space="preserve">EV0151</t>
  </si>
  <si>
    <t xml:space="preserve">Retail_loan_allowance</t>
  </si>
  <si>
    <t xml:space="preserve">EV0152</t>
  </si>
  <si>
    <t xml:space="preserve">EV0153</t>
  </si>
  <si>
    <t xml:space="preserve">EV0154</t>
  </si>
  <si>
    <t xml:space="preserve">EV0155</t>
  </si>
  <si>
    <t xml:space="preserve">EV0156</t>
  </si>
  <si>
    <t xml:space="preserve">EV0157</t>
  </si>
  <si>
    <t xml:space="preserve">EV0158</t>
  </si>
  <si>
    <t xml:space="preserve">EV0159</t>
  </si>
  <si>
    <t xml:space="preserve">EV0160</t>
  </si>
  <si>
    <t xml:space="preserve">EV0161</t>
  </si>
  <si>
    <t xml:space="preserve">EV0162</t>
  </si>
  <si>
    <t xml:space="preserve">EV0163</t>
  </si>
  <si>
    <t xml:space="preserve">EV0164</t>
  </si>
  <si>
    <t xml:space="preserve">EV0165</t>
  </si>
  <si>
    <t xml:space="preserve">EV0166</t>
  </si>
  <si>
    <t xml:space="preserve">EV0167</t>
  </si>
  <si>
    <t xml:space="preserve">EV0168</t>
  </si>
  <si>
    <t xml:space="preserve">EV0169</t>
  </si>
  <si>
    <t xml:space="preserve">EV0170</t>
  </si>
  <si>
    <t xml:space="preserve">EV0171</t>
  </si>
  <si>
    <t xml:space="preserve">EV0172</t>
  </si>
  <si>
    <t xml:space="preserve">Wema Bank Plc (as recorded by prior pack)</t>
  </si>
  <si>
    <t xml:space="preserve">2016 report; prior-year comparative</t>
  </si>
  <si>
    <t xml:space="preserve">Prior status: Verified in source. 2015 comparative in 2016 audited report. PDF not re-downloaded or hashed in this run.</t>
  </si>
  <si>
    <t xml:space="preserve">EV0173</t>
  </si>
  <si>
    <t xml:space="preserve">Prior status: Verified in source. Bank column. Expense-positive convention: 2015 write-back is negative expense. PDF not re-downloaded or hashed in this run.</t>
  </si>
  <si>
    <t xml:space="preserve">EV0174</t>
  </si>
  <si>
    <t xml:space="preserve">EV0175</t>
  </si>
  <si>
    <t xml:space="preserve">EV0176</t>
  </si>
  <si>
    <t xml:space="preserve">EV0177</t>
  </si>
  <si>
    <t xml:space="preserve">EV0178</t>
  </si>
  <si>
    <t xml:space="preserve">EV0179</t>
  </si>
  <si>
    <t xml:space="preserve">EV0180</t>
  </si>
  <si>
    <t xml:space="preserve">2016 report; current year</t>
  </si>
  <si>
    <t xml:space="preserve">EV0181</t>
  </si>
  <si>
    <t xml:space="preserve">EV0182</t>
  </si>
  <si>
    <t xml:space="preserve">EV0183</t>
  </si>
  <si>
    <t xml:space="preserve">EV0184</t>
  </si>
  <si>
    <t xml:space="preserve">EV0185</t>
  </si>
  <si>
    <t xml:space="preserve">EV0186</t>
  </si>
  <si>
    <t xml:space="preserve">EV0187</t>
  </si>
  <si>
    <t xml:space="preserve">EV0188</t>
  </si>
  <si>
    <t xml:space="preserve">2018 report; prior-year comparative</t>
  </si>
  <si>
    <t xml:space="preserve">Prior status: Verified in source. As reported; 2017 capital components divided by RWA do not exactly reproduce reported CAR. Do not silently replace. PDF not re-downloaded or hashed in this run.</t>
  </si>
  <si>
    <t xml:space="preserve">EV0189</t>
  </si>
  <si>
    <t xml:space="preserve">Prior status: Verified in source. Bank columns; 2017 comparative as published in 2018 report. PDF not re-downloaded or hashed in this run.</t>
  </si>
  <si>
    <t xml:space="preserve">EV0190</t>
  </si>
  <si>
    <t xml:space="preserve">EV0191</t>
  </si>
  <si>
    <t xml:space="preserve">Prior status: Verified in source. Directors report, Bank column. PDF not re-downloaded or hashed in this run.</t>
  </si>
  <si>
    <t xml:space="preserve">EV0192</t>
  </si>
  <si>
    <t xml:space="preserve">EV0193</t>
  </si>
  <si>
    <t xml:space="preserve">Prior status: Verified in source. Year-end ratio of net liquid assets to customer deposits; NOT Basel LCR. PDF not re-downloaded or hashed in this run.</t>
  </si>
  <si>
    <t xml:space="preserve">EV0194</t>
  </si>
  <si>
    <t xml:space="preserve">EV0195</t>
  </si>
  <si>
    <t xml:space="preserve">Prior status: Verified in source. Directors report, bank ratio; regulatory NPL is not identical to IFRS9 Stage3. PDF not re-downloaded or hashed in this run.</t>
  </si>
  <si>
    <t xml:space="preserve">EV0196</t>
  </si>
  <si>
    <t xml:space="preserve">EV0197</t>
  </si>
  <si>
    <t xml:space="preserve">EV0198</t>
  </si>
  <si>
    <t xml:space="preserve">EV0199</t>
  </si>
  <si>
    <t xml:space="preserve">EV0200</t>
  </si>
  <si>
    <t xml:space="preserve">EV0201</t>
  </si>
  <si>
    <t xml:space="preserve">EV0202</t>
  </si>
  <si>
    <t xml:space="preserve">EV0203</t>
  </si>
  <si>
    <t xml:space="preserve">EV0204</t>
  </si>
  <si>
    <t xml:space="preserve">Auditor</t>
  </si>
  <si>
    <t xml:space="preserve">text</t>
  </si>
  <si>
    <t xml:space="preserve">2018 report; current year</t>
  </si>
  <si>
    <t xml:space="preserve">Prior status: Verified in source. Signed independent auditor report, 29 March 2019. PDF not re-downloaded or hashed in this run.</t>
  </si>
  <si>
    <t xml:space="preserve">EV0205</t>
  </si>
  <si>
    <t xml:space="preserve">EV0206</t>
  </si>
  <si>
    <t xml:space="preserve">EV0207</t>
  </si>
  <si>
    <t xml:space="preserve">binary</t>
  </si>
  <si>
    <t xml:space="preserve">44–49</t>
  </si>
  <si>
    <t xml:space="preserve">Prior status: Verified in source. Entire independent auditor report reviewed: no explicit material-uncertainty/going-concern emphasis section; ordinary responsibilities wording is not a positive event. Opinion unmodified. PDF not re-downloaded or hashed in this run.</t>
  </si>
  <si>
    <t xml:space="preserve">EV0208</t>
  </si>
  <si>
    <t xml:space="preserve">Prior status: Verified in source. Stage-summary total 261,583,723; maturity split differs by NGN1,000. PDF not re-downloaded or hashed in this run.</t>
  </si>
  <si>
    <t xml:space="preserve">EV0209</t>
  </si>
  <si>
    <t xml:space="preserve">EV0210</t>
  </si>
  <si>
    <t xml:space="preserve">EV0211</t>
  </si>
  <si>
    <t xml:space="preserve">EV0212</t>
  </si>
  <si>
    <t xml:space="preserve">EV0213</t>
  </si>
  <si>
    <t xml:space="preserve">EV0214</t>
  </si>
  <si>
    <t xml:space="preserve">EV0215</t>
  </si>
  <si>
    <t xml:space="preserve">EV0216</t>
  </si>
  <si>
    <t xml:space="preserve">EV0217</t>
  </si>
  <si>
    <t xml:space="preserve">EV0218</t>
  </si>
  <si>
    <t xml:space="preserve">EV0219</t>
  </si>
  <si>
    <t xml:space="preserve">Prior status: Verified in source. Credit-impaired IFRS9 stage3; not equated to regulatory NPL. PDF not re-downloaded or hashed in this run.</t>
  </si>
  <si>
    <t xml:space="preserve">EV0220</t>
  </si>
  <si>
    <t xml:space="preserve">Prior status: Verified in source. Stage3-specific ECL allowance. PDF not re-downloaded or hashed in this run.</t>
  </si>
  <si>
    <t xml:space="preserve">EV0221</t>
  </si>
  <si>
    <t xml:space="preserve">EV0222</t>
  </si>
  <si>
    <t xml:space="preserve">EV0223</t>
  </si>
  <si>
    <t xml:space="preserve">EV0224</t>
  </si>
  <si>
    <t xml:space="preserve">Unity Bank Plc (as recorded by prior pack)</t>
  </si>
  <si>
    <t xml:space="preserve">CAR_full_IFRS9_pct</t>
  </si>
  <si>
    <t xml:space="preserve">2019 report; 2018 restated comparative</t>
  </si>
  <si>
    <t xml:space="preserve">Prior status: Verified in source. Restated comparative2018. Two distinct regulatory treatments disclosed; do not combine as one unlabelled CAR. PDF not re-downloaded or hashed in this run.</t>
  </si>
  <si>
    <t xml:space="preserve">EV0225</t>
  </si>
  <si>
    <t xml:space="preserve">Prior status: Verified in source. National-bank minimum stated in source. PDF not re-downloaded or hashed in this run.</t>
  </si>
  <si>
    <t xml:space="preserve">EV0226</t>
  </si>
  <si>
    <t xml:space="preserve">EV0227</t>
  </si>
  <si>
    <t xml:space="preserve">Prior status: Verified in source. 2018 RESTATED comparative in2019 report; source Note37 provides bridge. PDF not re-downloaded or hashed in this run.</t>
  </si>
  <si>
    <t xml:space="preserve">EV0228</t>
  </si>
  <si>
    <t xml:space="preserve">Prior status: Verified in source. Note 18; 2018 comparative explicitly restated. Gross loans include on-lending. PDF not re-downloaded or hashed in this run.</t>
  </si>
  <si>
    <t xml:space="preserve">EV0229</t>
  </si>
  <si>
    <t xml:space="preserve">EV0230</t>
  </si>
  <si>
    <t xml:space="preserve">Prior status: Verified in source. Source distinguishes full vs transition-adjusted regulatory capital. PDF not re-downloaded or hashed in this run.</t>
  </si>
  <si>
    <t xml:space="preserve">EV0231</t>
  </si>
  <si>
    <t xml:space="preserve">EV0232</t>
  </si>
  <si>
    <t xml:space="preserve">EV0233</t>
  </si>
  <si>
    <t xml:space="preserve">EV0234</t>
  </si>
  <si>
    <t xml:space="preserve">Opening2018_assets_restated</t>
  </si>
  <si>
    <t xml:space="preserve">Prior status: Verified in source. Opening1Jan2018, NOT a new 31Dec2017 observation. PDF not re-downloaded or hashed in this run.</t>
  </si>
  <si>
    <t xml:space="preserve">EV0235</t>
  </si>
  <si>
    <t xml:space="preserve">Opening2018_equity_restated</t>
  </si>
  <si>
    <t xml:space="preserve">EV0236</t>
  </si>
  <si>
    <t xml:space="preserve">EV0237</t>
  </si>
  <si>
    <t xml:space="preserve">EV0238</t>
  </si>
  <si>
    <t xml:space="preserve">PAT_2018_as_previously_reported</t>
  </si>
  <si>
    <t xml:space="preserve">Prior status: Verified in source. Correction-of-errors note37; distinct from IFRS9 adoption adjustment. PDF not re-downloaded or hashed in this run.</t>
  </si>
  <si>
    <t xml:space="preserve">EV0239</t>
  </si>
  <si>
    <t xml:space="preserve">PAT_2018_error_correction</t>
  </si>
  <si>
    <t xml:space="preserve">EV0240</t>
  </si>
  <si>
    <t xml:space="preserve">Regulatory_capital_full_IFRS9</t>
  </si>
  <si>
    <t xml:space="preserve">EV0241</t>
  </si>
  <si>
    <t xml:space="preserve">EV0242</t>
  </si>
  <si>
    <t xml:space="preserve">EV0243</t>
  </si>
  <si>
    <t xml:space="preserve">EV0244</t>
  </si>
  <si>
    <t xml:space="preserve">EV0245</t>
  </si>
  <si>
    <t xml:space="preserve">EV0246</t>
  </si>
  <si>
    <t xml:space="preserve">KPMG</t>
  </si>
  <si>
    <t xml:space="preserve">Text</t>
  </si>
  <si>
    <t xml:space="preserve">Prior status: Verified in source. Auditor identity and signed report pp16–20. PDF not re-downloaded or hashed in this run.</t>
  </si>
  <si>
    <t xml:space="preserve">EV0247</t>
  </si>
  <si>
    <t xml:space="preserve">EV0248</t>
  </si>
  <si>
    <t xml:space="preserve">EV0249</t>
  </si>
  <si>
    <t xml:space="preserve">EV0250</t>
  </si>
  <si>
    <t xml:space="preserve">EV0251</t>
  </si>
  <si>
    <t xml:space="preserve">Indicator</t>
  </si>
  <si>
    <t xml:space="preserve">Prior status: Verified in source. Auditor explicitly reports material uncertainty; opinion remains unmodified. Not inferred from generic boilerplate. PDF not re-downloaded or hashed in this run.</t>
  </si>
  <si>
    <t xml:space="preserve">EV0252</t>
  </si>
  <si>
    <t xml:space="preserve">EV0253</t>
  </si>
  <si>
    <t xml:space="preserve">EV0254</t>
  </si>
  <si>
    <t xml:space="preserve">EV0255</t>
  </si>
  <si>
    <t xml:space="preserve">EV0256</t>
  </si>
  <si>
    <t xml:space="preserve">EV0257</t>
  </si>
  <si>
    <t xml:space="preserve">EV0258</t>
  </si>
  <si>
    <t xml:space="preserve">EV0259</t>
  </si>
  <si>
    <t xml:space="preserve">EV0260</t>
  </si>
  <si>
    <t xml:space="preserve">EV0261</t>
  </si>
  <si>
    <t xml:space="preserve">EV0262</t>
  </si>
  <si>
    <t xml:space="preserve">EV0263</t>
  </si>
  <si>
    <t xml:space="preserve">EV0264</t>
  </si>
  <si>
    <t xml:space="preserve">EV0265</t>
  </si>
  <si>
    <t xml:space="preserve">EV0266</t>
  </si>
  <si>
    <t xml:space="preserve">Prior status: Verified in source. Directors' results table; bank only. PDF not re-downloaded or hashed in this run.</t>
  </si>
  <si>
    <t xml:space="preserve">EV0267</t>
  </si>
  <si>
    <t xml:space="preserve">Prior status: Verified in source. Reported total non-performing loans / gross loans. PDF not re-downloaded or hashed in this run.</t>
  </si>
  <si>
    <t xml:space="preserve">EV0268</t>
  </si>
  <si>
    <t xml:space="preserve">EV0269</t>
  </si>
  <si>
    <t xml:space="preserve">DS0001</t>
  </si>
  <si>
    <t xml:space="preserve">First Bank of Nigeria Limited (as recorded by prior pack)</t>
  </si>
  <si>
    <t xml:space="preserve">Operating bank standalone</t>
  </si>
  <si>
    <t xml:space="preserve">Current year in 2014 annual report</t>
  </si>
  <si>
    <t xml:space="preserve">Prior status: Verified from source table. Includes discontinued operations; continuing-operations PAT separately preserved. PDF not re-downloaded or hashed in this run.</t>
  </si>
  <si>
    <t xml:space="preserve">DS0002</t>
  </si>
  <si>
    <t xml:space="preserve">PAT_continuing</t>
  </si>
  <si>
    <t xml:space="preserve">Prior status: Verified from source table. Continuing operations only. PDF not re-downloaded or hashed in this run.</t>
  </si>
  <si>
    <t xml:space="preserve">DS0003</t>
  </si>
  <si>
    <t xml:space="preserve">Prior status: Verified from source table. Positive = expense; line 'impairment charge for credit losses'. PDF not re-downloaded or hashed in this run.</t>
  </si>
  <si>
    <t xml:space="preserve">DS0004</t>
  </si>
  <si>
    <t xml:space="preserve">Prior status: Verified from source table. PDF not re-downloaded or hashed in this run.</t>
  </si>
  <si>
    <t xml:space="preserve">DS0005</t>
  </si>
  <si>
    <t xml:space="preserve">DS0006</t>
  </si>
  <si>
    <t xml:space="preserve">DS0007</t>
  </si>
  <si>
    <t xml:space="preserve">Prior status: Verified from source table. Net, not gross, customer loans. PDF not re-downloaded or hashed in this run.</t>
  </si>
  <si>
    <t xml:space="preserve">DS0008</t>
  </si>
  <si>
    <t xml:space="preserve">Prior status: Verified from source table. Cash-flow 'Company' is First Bank of Nigeria Ltd, not FBN Holdings; includes tax and interest cash flows. PDF not re-downloaded or hashed in this run.</t>
  </si>
  <si>
    <t xml:space="preserve">DS0009</t>
  </si>
  <si>
    <t xml:space="preserve">2013 comparative in 2014 annual report; Bank not labelled restated</t>
  </si>
  <si>
    <t xml:space="preserve">DS0010</t>
  </si>
  <si>
    <t xml:space="preserve">DS0011</t>
  </si>
  <si>
    <t xml:space="preserve">DS0012</t>
  </si>
  <si>
    <t xml:space="preserve">DS0013</t>
  </si>
  <si>
    <t xml:space="preserve">DS0014</t>
  </si>
  <si>
    <t xml:space="preserve">DS0015</t>
  </si>
  <si>
    <t xml:space="preserve">DS0016</t>
  </si>
  <si>
    <t xml:space="preserve">DS0017</t>
  </si>
  <si>
    <t xml:space="preserve">2015 report; 2014 comparative</t>
  </si>
  <si>
    <t xml:space="preserve">DS0018</t>
  </si>
  <si>
    <t xml:space="preserve">Prior status: Verified from source table. Positive expense; negative reversal. PDF not re-downloaded or hashed in this run.</t>
  </si>
  <si>
    <t xml:space="preserve">DS0019</t>
  </si>
  <si>
    <t xml:space="preserve">DS0020</t>
  </si>
  <si>
    <t xml:space="preserve">DS0021</t>
  </si>
  <si>
    <t xml:space="preserve">DS0022</t>
  </si>
  <si>
    <t xml:space="preserve">Prior status: Verified from source table. Net, not gross. PDF not re-downloaded or hashed in this run.</t>
  </si>
  <si>
    <t xml:space="preserve">DS0023</t>
  </si>
  <si>
    <t xml:space="preserve">Prior status: Verified from source table. As reported, after tax and interest cashflows. PDF not re-downloaded or hashed in this run.</t>
  </si>
  <si>
    <t xml:space="preserve">DS0031</t>
  </si>
  <si>
    <t xml:space="preserve">Regulatory_capital_Basel_II</t>
  </si>
  <si>
    <t xml:space="preserve">As published in source report</t>
  </si>
  <si>
    <t xml:space="preserve">DS0032</t>
  </si>
  <si>
    <t xml:space="preserve">RWA_Basel_II</t>
  </si>
  <si>
    <t xml:space="preserve">DS0033</t>
  </si>
  <si>
    <t xml:space="preserve">CAR_Basel_II</t>
  </si>
  <si>
    <t xml:space="preserve">2014 report; Basel II basis</t>
  </si>
  <si>
    <t xml:space="preserve">Prior status: Verified from source table. 2013 recomputed under Basel II; not original Basel I regulatory ratio. PDF not re-downloaded or hashed in this run.</t>
  </si>
  <si>
    <t xml:space="preserve">DS0034</t>
  </si>
  <si>
    <t xml:space="preserve">DS0035</t>
  </si>
  <si>
    <t xml:space="preserve">DS0036</t>
  </si>
  <si>
    <t xml:space="preserve">DS0037</t>
  </si>
  <si>
    <t xml:space="preserve">CAR_original_Basel_I</t>
  </si>
  <si>
    <t xml:space="preserve">Original 2013 Basel I ratio restated in 2014 narrative</t>
  </si>
  <si>
    <t xml:space="preserve">Prior status: Verified from source table. Narrative explicitly gives Bank 2013 ratio as originally reported under Basel I; keep separate from 13.54% Basel II comparative. PDF not re-downloaded or hashed in this run.</t>
  </si>
  <si>
    <t xml:space="preserve">DS0038</t>
  </si>
  <si>
    <t xml:space="preserve">Zenith Bank Plc (as recorded by prior pack)</t>
  </si>
  <si>
    <t xml:space="preserve">DS0039</t>
  </si>
  <si>
    <t xml:space="preserve">DS0040</t>
  </si>
  <si>
    <t xml:space="preserve">Prior status: Verified from source table. Positive = impairment expense reducing profit. PDF not re-downloaded or hashed in this run.</t>
  </si>
  <si>
    <t xml:space="preserve">DS0041</t>
  </si>
  <si>
    <t xml:space="preserve">DS0042</t>
  </si>
  <si>
    <t xml:space="preserve">DS0043</t>
  </si>
  <si>
    <t xml:space="preserve">DS0044</t>
  </si>
  <si>
    <t xml:space="preserve">DS0045</t>
  </si>
  <si>
    <t xml:space="preserve">DS0046</t>
  </si>
  <si>
    <t xml:space="preserve">DS0047</t>
  </si>
  <si>
    <t xml:space="preserve">Prior status: Verified from source table. Note 20: gross loans and advances to customers, not net carrying value. PDF not re-downloaded or hashed in this run.</t>
  </si>
  <si>
    <t xml:space="preserve">DS0048</t>
  </si>
  <si>
    <t xml:space="preserve">DS0049</t>
  </si>
  <si>
    <t xml:space="preserve">DS0050</t>
  </si>
  <si>
    <t xml:space="preserve">DS0051</t>
  </si>
  <si>
    <t xml:space="preserve">DS0052</t>
  </si>
  <si>
    <t xml:space="preserve">Prior status: Verified from source table. Bank column; rounded percentage as reported. Group is 20% (2014) and 21% (2015). PDF not re-downloaded or hashed in this run.</t>
  </si>
  <si>
    <t xml:space="preserve">DS0053</t>
  </si>
  <si>
    <t xml:space="preserve">DS0054</t>
  </si>
  <si>
    <t xml:space="preserve">DS0055</t>
  </si>
  <si>
    <t xml:space="preserve">DS0056</t>
  </si>
  <si>
    <t xml:space="preserve">DS0057</t>
  </si>
  <si>
    <t xml:space="preserve">DS0058</t>
  </si>
  <si>
    <t xml:space="preserve">DS0059</t>
  </si>
  <si>
    <t xml:space="preserve">DS0060</t>
  </si>
  <si>
    <t xml:space="preserve">DS0061</t>
  </si>
  <si>
    <t xml:space="preserve">DS0062</t>
  </si>
  <si>
    <t xml:space="preserve">DS0063</t>
  </si>
  <si>
    <t xml:space="preserve">DS0064</t>
  </si>
  <si>
    <t xml:space="preserve">DS0065</t>
  </si>
  <si>
    <t xml:space="preserve">DS0066</t>
  </si>
  <si>
    <t xml:space="preserve">DS0067</t>
  </si>
  <si>
    <t xml:space="preserve">DS0068</t>
  </si>
  <si>
    <t xml:space="preserve">DS0069</t>
  </si>
  <si>
    <t xml:space="preserve">DS0070</t>
  </si>
  <si>
    <t xml:space="preserve">DS0071</t>
  </si>
  <si>
    <t xml:space="preserve">DS0080</t>
  </si>
  <si>
    <t xml:space="preserve">Prior status: Verified from source table. Note 20 includes finance leases. 2013 total allowance 41,449 reconciles gross less net; 2013 specific and collective components sum to 41,448, a 1m rounding/presentation difference. PDF not re-downloaded or hashed in this run.</t>
  </si>
  <si>
    <t xml:space="preserve">DS0081</t>
  </si>
  <si>
    <t xml:space="preserve">DS0082</t>
  </si>
  <si>
    <t xml:space="preserve">DS0083</t>
  </si>
  <si>
    <t xml:space="preserve">DS0084</t>
  </si>
  <si>
    <t xml:space="preserve">DS0085</t>
  </si>
  <si>
    <t xml:space="preserve">DS0086</t>
  </si>
  <si>
    <t xml:space="preserve">DS0087</t>
  </si>
  <si>
    <t xml:space="preserve">DS0088</t>
  </si>
  <si>
    <t xml:space="preserve">Union Bank of Nigeria Plc (as recorded by prior pack)</t>
  </si>
  <si>
    <t xml:space="preserve">DS0089</t>
  </si>
  <si>
    <t xml:space="preserve">DS0090</t>
  </si>
  <si>
    <t xml:space="preserve">Prior status: Verified from source table. Net customer-loan impairment and other-financial-asset impairment are separate P&amp;L lines; do not mix scopes. PDF not re-downloaded or hashed in this run.</t>
  </si>
  <si>
    <t xml:space="preserve">DS0091</t>
  </si>
  <si>
    <t xml:space="preserve">DS0092</t>
  </si>
  <si>
    <t xml:space="preserve">DS0093</t>
  </si>
  <si>
    <t xml:space="preserve">DS0094</t>
  </si>
  <si>
    <t xml:space="preserve">DS0095</t>
  </si>
  <si>
    <t xml:space="preserve">DS0096</t>
  </si>
  <si>
    <t xml:space="preserve">DS0097</t>
  </si>
  <si>
    <t xml:space="preserve">DS0098</t>
  </si>
  <si>
    <t xml:space="preserve">DS0099</t>
  </si>
  <si>
    <t xml:space="preserve">DS0100</t>
  </si>
  <si>
    <t xml:space="preserve">DS0101</t>
  </si>
  <si>
    <t xml:space="preserve">DS0102</t>
  </si>
  <si>
    <t xml:space="preserve">DS0103</t>
  </si>
  <si>
    <t xml:space="preserve">DS0104</t>
  </si>
  <si>
    <t xml:space="preserve">Prior status: Verified from source table. 2014 Basel II; 2013 Basel I. Report states prospective change in capital measurement in October 2014. PDF not re-downloaded or hashed in this run.</t>
  </si>
  <si>
    <t xml:space="preserve">DS0105</t>
  </si>
  <si>
    <t xml:space="preserve">DS0106</t>
  </si>
  <si>
    <t xml:space="preserve">DS0107</t>
  </si>
  <si>
    <t xml:space="preserve">DS0108</t>
  </si>
  <si>
    <t xml:space="preserve">DS0109</t>
  </si>
  <si>
    <t xml:space="preserve">DS0110</t>
  </si>
  <si>
    <t xml:space="preserve">DS0111</t>
  </si>
  <si>
    <t xml:space="preserve">DS0112</t>
  </si>
  <si>
    <t xml:space="preserve">DS0113</t>
  </si>
  <si>
    <t xml:space="preserve">DS0114</t>
  </si>
  <si>
    <t xml:space="preserve">DS0115</t>
  </si>
  <si>
    <t xml:space="preserve">DS0116</t>
  </si>
  <si>
    <t xml:space="preserve">DS0117</t>
  </si>
  <si>
    <t xml:space="preserve">DS0118</t>
  </si>
  <si>
    <t xml:space="preserve">DS0119</t>
  </si>
  <si>
    <t xml:space="preserve">DS0120</t>
  </si>
  <si>
    <t xml:space="preserve">DS0121</t>
  </si>
  <si>
    <t xml:space="preserve">DS0122</t>
  </si>
  <si>
    <t xml:space="preserve">DS0123</t>
  </si>
  <si>
    <t xml:space="preserve">DS0124</t>
  </si>
  <si>
    <t xml:space="preserve">DS0125</t>
  </si>
  <si>
    <t xml:space="preserve">DS0141</t>
  </si>
  <si>
    <t xml:space="preserve">Prior status: Verified from source table. Loan note 18. Preserve source amounts; finance-lease presentation requires consistency. PDF not re-downloaded or hashed in this run.</t>
  </si>
  <si>
    <t xml:space="preserve">DS0142</t>
  </si>
  <si>
    <t xml:space="preserve">DS0143</t>
  </si>
  <si>
    <t xml:space="preserve">DS0144</t>
  </si>
  <si>
    <t xml:space="preserve">DS0145</t>
  </si>
  <si>
    <t xml:space="preserve">Credit_impaired_loans</t>
  </si>
  <si>
    <t xml:space="preserve">Prior status: Verified from source table. IFRS credit-impaired loans, not automatically regulatory NPLs. PDF not re-downloaded or hashed in this run.</t>
  </si>
  <si>
    <t xml:space="preserve">DS0146</t>
  </si>
  <si>
    <t xml:space="preserve">DS0147</t>
  </si>
  <si>
    <t xml:space="preserve">DS0148</t>
  </si>
  <si>
    <t xml:space="preserve">DS0149</t>
  </si>
  <si>
    <t xml:space="preserve">DS0150</t>
  </si>
  <si>
    <t xml:space="preserve">DS0151</t>
  </si>
  <si>
    <t xml:space="preserve">Prior status: Verified from source table. 2015 ratio based on Basel II new template. Report states 10% minimum. Do not assume identical measurement basis for 2014. PDF not re-downloaded or hashed in this run.</t>
  </si>
  <si>
    <t xml:space="preserve">DS0152</t>
  </si>
  <si>
    <t xml:space="preserve">Prior status: Verified from source table. Reported capital-note components do not transparently reconcile both reported CARs; no regulatory-capital amount inferred. PDF not re-downloaded or hashed in this run.</t>
  </si>
  <si>
    <t xml:space="preserve">DS0153</t>
  </si>
  <si>
    <t xml:space="preserve">Prior status: Verified from source table. Published financial highlights, not computed from IFRS impaired-loan amount. PDF not re-downloaded or hashed in this run.</t>
  </si>
  <si>
    <t xml:space="preserve">DS0154</t>
  </si>
  <si>
    <t xml:space="preserve">DS0155</t>
  </si>
  <si>
    <t xml:space="preserve">DS0156</t>
  </si>
  <si>
    <t xml:space="preserve">DS0171</t>
  </si>
  <si>
    <t xml:space="preserve">Ecobank Nigeria Limited (as recorded by prior pack)</t>
  </si>
  <si>
    <t xml:space="preserve">Single-page extract</t>
  </si>
  <si>
    <t xml:space="preserve">Prior status: Verified audited summary; full notes outstanding. Statement-of-financial-position loan amount is net carrying value; do not relabel as gross loans. PDF not re-downloaded or hashed in this run.</t>
  </si>
  <si>
    <t xml:space="preserve">DS0172</t>
  </si>
  <si>
    <t xml:space="preserve">DS0173</t>
  </si>
  <si>
    <t xml:space="preserve">DS0174</t>
  </si>
  <si>
    <t xml:space="preserve">DS0175</t>
  </si>
  <si>
    <t xml:space="preserve">DS0176</t>
  </si>
  <si>
    <t xml:space="preserve">DS0177</t>
  </si>
  <si>
    <t xml:space="preserve">DS0178</t>
  </si>
  <si>
    <t xml:space="preserve">DS0179</t>
  </si>
  <si>
    <t xml:space="preserve">DS0180</t>
  </si>
  <si>
    <t xml:space="preserve">DS0181</t>
  </si>
  <si>
    <t xml:space="preserve">DS0182</t>
  </si>
  <si>
    <t xml:space="preserve">DS0183</t>
  </si>
  <si>
    <t xml:space="preserve">DS0184</t>
  </si>
  <si>
    <t xml:space="preserve">DS0185</t>
  </si>
  <si>
    <t xml:space="preserve">DS0186</t>
  </si>
  <si>
    <t xml:space="preserve">DS0187</t>
  </si>
  <si>
    <t xml:space="preserve">DS0188</t>
  </si>
  <si>
    <t xml:space="preserve">C45001</t>
  </si>
  <si>
    <t xml:space="preserve">Opening_ECL_equity_adjustment</t>
  </si>
  <si>
    <t xml:space="preserve">2018 annual report; transition 1 January 2018</t>
  </si>
  <si>
    <t xml:space="preserve">Prior status: New page check for Chapters 4–5. Negative equity adjustment; debited to regulatory risk reserve in separate Bank equity statement, not 2018 impairment expense. PDF not re-downloaded or hashed in this run.</t>
  </si>
  <si>
    <t xml:space="preserve">C45002</t>
  </si>
  <si>
    <t xml:space="preserve">Opening_FVOCI_equity_adjustment</t>
  </si>
  <si>
    <t xml:space="preserve">Prior status: New page check for Chapters 4–5. Separate positive fair-value transition movement, not ECL. PDF not re-downloaded or hashed in this run.</t>
  </si>
  <si>
    <t xml:space="preserve">C45003</t>
  </si>
  <si>
    <t xml:space="preserve">Opening_equity_IFRS9</t>
  </si>
  <si>
    <t xml:space="preserve">Prior status: New page check for Chapters 4–5. Bank equity at 1 January 2018 after the two separately presented transition entries. PDF not re-downloaded or hashed in this run.</t>
  </si>
  <si>
    <t xml:space="preserve">C45004</t>
  </si>
  <si>
    <t xml:space="preserve">Opening_ECL_loan_adjustment</t>
  </si>
  <si>
    <t xml:space="preserve">Prior status: New page check for Chapters 4–5. Positive amount charged to reserve for loan ECL; component of the opening ECL impact, not annual expense. PDF not re-downloaded or hashed in this run.</t>
  </si>
  <si>
    <t xml:space="preserve">C45005</t>
  </si>
  <si>
    <t xml:space="preserve">Opening_ECL_debt_securities_adjustment</t>
  </si>
  <si>
    <t xml:space="preserve">Prior status: New page check for Chapters 4–5. Debt-security component of opening ECL charged to reserve. PDF not re-downloaded or hashed in this run.</t>
  </si>
  <si>
    <t xml:space="preserve">C45006</t>
  </si>
  <si>
    <t xml:space="preserve">Opening_ECL_cash_adjustment</t>
  </si>
  <si>
    <t xml:space="preserve">Prior status: New page check for Chapters 4–5. Cash-and-cash-equivalents component of opening ECL charged to reserve. PDF not re-downloaded or hashed in this run.</t>
  </si>
  <si>
    <t xml:space="preserve">C45007</t>
  </si>
  <si>
    <t xml:space="preserve">RRR_before_transition</t>
  </si>
  <si>
    <t xml:space="preserve">Prior status: New page check for Chapters 4–5. 31 December 2017 regulatory risk reserve in separate Bank equity statement. PDF not re-downloaded or hashed in this run.</t>
  </si>
  <si>
    <t xml:space="preserve">C45008</t>
  </si>
  <si>
    <t xml:space="preserve">RRR_after_transition</t>
  </si>
  <si>
    <t xml:space="preserve">Prior status: New page check for Chapters 4–5. 1 January 2018 reserve after opening ECL debit. PDF not re-downloaded or hashed in this run.</t>
  </si>
  <si>
    <t xml:space="preserve">C45009</t>
  </si>
  <si>
    <t xml:space="preserve">Annual_OCI</t>
  </si>
  <si>
    <t xml:space="preserve">Prior status: New page check for Chapters 4–5. 2018 fair-value reserve movement after opening transition; distinct from initial FVOCI adjustment. PDF not re-downloaded or hashed in this run.</t>
  </si>
  <si>
    <t xml:space="preserve">C45010</t>
  </si>
  <si>
    <t xml:space="preserve">GCU_opinion_unmodified</t>
  </si>
  <si>
    <t xml:space="preserve">2019 signed independent auditor report</t>
  </si>
  <si>
    <t xml:space="preserve">Prior status: New page check for Chapters 4–5. Unity 2019 auditor opinion unmodified despite separately reported material uncertainty. PDF not re-downloaded or hashed in this run.</t>
  </si>
  <si>
    <t xml:space="preserve">NI0001</t>
  </si>
  <si>
    <t xml:space="preserve">Standalone operating bank</t>
  </si>
  <si>
    <t xml:space="preserve">2018 audited report</t>
  </si>
  <si>
    <t xml:space="preserve">Prior status: Page-checked audited statement. Impairment line covers credit loss on financial and non-financial assets; not a loan-only charge. PDF not re-downloaded or hashed in this run.</t>
  </si>
  <si>
    <t xml:space="preserve">new_evidence.csv</t>
  </si>
  <si>
    <t xml:space="preserve">NI0002</t>
  </si>
  <si>
    <t xml:space="preserve">NI0003</t>
  </si>
  <si>
    <t xml:space="preserve">NI0004</t>
  </si>
  <si>
    <t xml:space="preserve">2018 audited report comparative</t>
  </si>
  <si>
    <t xml:space="preserve">Prior status: Page-checked audited statement. 2017 comparative labelled restated. PDF not re-downloaded or hashed in this run.</t>
  </si>
  <si>
    <t xml:space="preserve">NI0005</t>
  </si>
  <si>
    <t xml:space="preserve">NI0006</t>
  </si>
  <si>
    <t xml:space="preserve">NI0007</t>
  </si>
  <si>
    <t xml:space="preserve">Prior status: Page-checked audited statement. PDF not re-downloaded or hashed in this run.</t>
  </si>
  <si>
    <t xml:space="preserve">NI0008</t>
  </si>
  <si>
    <t xml:space="preserve">NI0009</t>
  </si>
  <si>
    <t xml:space="preserve">NI0010</t>
  </si>
  <si>
    <t xml:space="preserve">NI0011</t>
  </si>
  <si>
    <t xml:space="preserve">Prior status: Page-checked audited statement. 2017 and 1 January 2017 comparatives labelled restated; opening_assets is denominator support, not a separate complete 2016 observation. PDF not re-downloaded or hashed in this run.</t>
  </si>
  <si>
    <t xml:space="preserve">NI0012</t>
  </si>
  <si>
    <t xml:space="preserve">NI0013</t>
  </si>
  <si>
    <t xml:space="preserve">NI0014</t>
  </si>
  <si>
    <t xml:space="preserve">NI0015</t>
  </si>
  <si>
    <t xml:space="preserve">NI0016</t>
  </si>
  <si>
    <t xml:space="preserve">NI0017</t>
  </si>
  <si>
    <t xml:space="preserve">NI0018</t>
  </si>
  <si>
    <t xml:space="preserve">2020 audited report</t>
  </si>
  <si>
    <t xml:space="preserve">Prior status: Page-checked audited statement. Separate income-statement loan and other-financial-asset credit-loss lines; total computed from components. PDF not re-downloaded or hashed in this run.</t>
  </si>
  <si>
    <t xml:space="preserve">NI0019</t>
  </si>
  <si>
    <t xml:space="preserve">NI0020</t>
  </si>
  <si>
    <t xml:space="preserve">NI0021</t>
  </si>
  <si>
    <t xml:space="preserve">NI0022</t>
  </si>
  <si>
    <t xml:space="preserve">2020 audited report comparative</t>
  </si>
  <si>
    <t xml:space="preserve">NI0023</t>
  </si>
  <si>
    <t xml:space="preserve">NI0024</t>
  </si>
  <si>
    <t xml:space="preserve">NI0025</t>
  </si>
  <si>
    <t xml:space="preserve">NI0026</t>
  </si>
  <si>
    <t xml:space="preserve">NI0027</t>
  </si>
  <si>
    <t xml:space="preserve">NI0028</t>
  </si>
  <si>
    <t xml:space="preserve">NI0029</t>
  </si>
  <si>
    <t xml:space="preserve">NI0030</t>
  </si>
  <si>
    <t xml:space="preserve">NI0031</t>
  </si>
  <si>
    <t xml:space="preserve">NI0032</t>
  </si>
  <si>
    <t xml:space="preserve">NI0033</t>
  </si>
  <si>
    <t xml:space="preserve">NI0034</t>
  </si>
  <si>
    <t xml:space="preserve">NI0035</t>
  </si>
  <si>
    <t xml:space="preserve">NI0036</t>
  </si>
  <si>
    <t xml:space="preserve">2022 audited report</t>
  </si>
  <si>
    <t xml:space="preserve">NI0037</t>
  </si>
  <si>
    <t xml:space="preserve">NI0038</t>
  </si>
  <si>
    <t xml:space="preserve">NI0039</t>
  </si>
  <si>
    <t xml:space="preserve">NI0040</t>
  </si>
  <si>
    <t xml:space="preserve">2022 audited report comparative</t>
  </si>
  <si>
    <t xml:space="preserve">NI0041</t>
  </si>
  <si>
    <t xml:space="preserve">NI0042</t>
  </si>
  <si>
    <t xml:space="preserve">NI0043</t>
  </si>
  <si>
    <t xml:space="preserve">NI0044</t>
  </si>
  <si>
    <t xml:space="preserve">NI0045</t>
  </si>
  <si>
    <t xml:space="preserve">NI0046</t>
  </si>
  <si>
    <t xml:space="preserve">NI0047</t>
  </si>
  <si>
    <t xml:space="preserve">NI0048</t>
  </si>
  <si>
    <t xml:space="preserve">NI0049</t>
  </si>
  <si>
    <t xml:space="preserve">NI0050</t>
  </si>
  <si>
    <t xml:space="preserve">NI0051</t>
  </si>
  <si>
    <t xml:space="preserve">NI0052</t>
  </si>
  <si>
    <t xml:space="preserve">NI0053</t>
  </si>
  <si>
    <t xml:space="preserve">NI0054</t>
  </si>
  <si>
    <t xml:space="preserve">NI0055</t>
  </si>
  <si>
    <t xml:space="preserve">NI0056</t>
  </si>
  <si>
    <t xml:space="preserve">NI0057</t>
  </si>
  <si>
    <t xml:space="preserve">Prior status: Page-checked audited statement. IAS 39 components; closing loan allowance is their sum, not an IFRS 9 ECL balance. PDF not re-downloaded or hashed in this run.</t>
  </si>
  <si>
    <t xml:space="preserve">NI0058</t>
  </si>
  <si>
    <t xml:space="preserve">NI0059</t>
  </si>
  <si>
    <t xml:space="preserve">NI0060</t>
  </si>
  <si>
    <t xml:space="preserve">NI0061</t>
  </si>
  <si>
    <t xml:space="preserve">NI0062</t>
  </si>
  <si>
    <t xml:space="preserve">NI0063</t>
  </si>
  <si>
    <t xml:space="preserve">NI0064</t>
  </si>
  <si>
    <t xml:space="preserve">NI0065</t>
  </si>
  <si>
    <t xml:space="preserve">NI0066</t>
  </si>
  <si>
    <t xml:space="preserve">NI0067</t>
  </si>
  <si>
    <t xml:space="preserve">NI0068</t>
  </si>
  <si>
    <t xml:space="preserve">NI0069</t>
  </si>
  <si>
    <t xml:space="preserve">NI0070</t>
  </si>
  <si>
    <t xml:space="preserve">Prior status: Page-checked audited statement. Main reported CAR rounded to a whole percent and explicitly full IFRS 9 impact; 22.08% is the separately reported transition-adjusted ratio. PDF not re-downloaded or hashed in this run.</t>
  </si>
  <si>
    <t xml:space="preserve">NI0071</t>
  </si>
  <si>
    <t xml:space="preserve">NI0072</t>
  </si>
  <si>
    <t xml:space="preserve">NI0073</t>
  </si>
  <si>
    <t xml:space="preserve">NI0074</t>
  </si>
  <si>
    <t xml:space="preserve">NI0075</t>
  </si>
  <si>
    <t xml:space="preserve">Prior status: Page-checked audited statement. Reported whole-percent CAR; computed precision retained separately. PDF not re-downloaded or hashed in this run.</t>
  </si>
  <si>
    <t xml:space="preserve">NI0076</t>
  </si>
  <si>
    <t xml:space="preserve">NI0077</t>
  </si>
  <si>
    <t xml:space="preserve">NI0078</t>
  </si>
  <si>
    <t xml:space="preserve">Prior status: Page-checked audited statement. Basel II; threshold as stated by this report, not independent historical circular verification. PDF not re-downloaded or hashed in this run.</t>
  </si>
  <si>
    <t xml:space="preserve">NI0079</t>
  </si>
  <si>
    <t xml:space="preserve">NI0080</t>
  </si>
  <si>
    <t xml:space="preserve">NI0081</t>
  </si>
  <si>
    <t xml:space="preserve">NI0082</t>
  </si>
  <si>
    <t xml:space="preserve">Prior status: Page-checked audited statement. 2019 comparative in 2020 report differs from earlier supplied 20.39%; preserve source vintage. PDF not re-downloaded or hashed in this run.</t>
  </si>
  <si>
    <t xml:space="preserve">NI0083</t>
  </si>
  <si>
    <t xml:space="preserve">NI0084</t>
  </si>
  <si>
    <t xml:space="preserve">NI0085</t>
  </si>
  <si>
    <t xml:space="preserve">NI0086</t>
  </si>
  <si>
    <t xml:space="preserve">NI0087</t>
  </si>
  <si>
    <t xml:space="preserve">NI0088</t>
  </si>
  <si>
    <t xml:space="preserve">NI0089</t>
  </si>
  <si>
    <t xml:space="preserve">NI0090</t>
  </si>
  <si>
    <t xml:space="preserve">NI0091</t>
  </si>
  <si>
    <t xml:space="preserve">Prior status: Page-checked audited statement. 2022 narrative states 15% base plus 1% CCB and 1% HLA. Not imposed retrospectively on earlier years. PDF not re-downloaded or hashed in this run.</t>
  </si>
  <si>
    <t xml:space="preserve">NI0092</t>
  </si>
  <si>
    <t xml:space="preserve">Prior status: Page-checked; internal source inconsistency. Retain labels exactly: stated year-end 59.03% exceeds stated annual maximum 53.98%. Quarantine for primary liquidity tests pending source clarification. PDF not re-downloaded or hashed in this run.</t>
  </si>
  <si>
    <t xml:space="preserve">NI0093</t>
  </si>
  <si>
    <t xml:space="preserve">liquidity_average</t>
  </si>
  <si>
    <t xml:space="preserve">NI0094</t>
  </si>
  <si>
    <t xml:space="preserve">liquidity_max</t>
  </si>
  <si>
    <t xml:space="preserve">NI0095</t>
  </si>
  <si>
    <t xml:space="preserve">liquidity_min</t>
  </si>
  <si>
    <t xml:space="preserve">NI0096</t>
  </si>
  <si>
    <t xml:space="preserve">Prior status: Page-checked audited statement. Domestic bank net-liquid-assets/deposit ratio, not Basel LCR. PDF not re-downloaded or hashed in this run.</t>
  </si>
  <si>
    <t xml:space="preserve">NI0097</t>
  </si>
  <si>
    <t xml:space="preserve">NI0098</t>
  </si>
  <si>
    <t xml:space="preserve">NI0099</t>
  </si>
  <si>
    <t xml:space="preserve">NI0100</t>
  </si>
  <si>
    <t xml:space="preserve">transition_prior_equity</t>
  </si>
  <si>
    <t xml:space="preserve">Prior status: Page-checked audited statement. Use Note 3.28 bank transition reconciliation. Changes-in-equity table p.77 prints 363630 instead of arithmetically reconciled 364630; preserve discrepancy separately. PDF not re-downloaded or hashed in this run.</t>
  </si>
  <si>
    <t xml:space="preserve">NI0101</t>
  </si>
  <si>
    <t xml:space="preserve">transition_ecl</t>
  </si>
  <si>
    <t xml:space="preserve">NI0102</t>
  </si>
  <si>
    <t xml:space="preserve">transition_fvoci</t>
  </si>
  <si>
    <t xml:space="preserve">NI0103</t>
  </si>
  <si>
    <t xml:space="preserve">transition_opening_equity</t>
  </si>
  <si>
    <t xml:space="preserve">NI0104</t>
  </si>
  <si>
    <t xml:space="preserve">transition_asset_ecl</t>
  </si>
  <si>
    <t xml:space="preserve">NI0105</t>
  </si>
  <si>
    <t xml:space="preserve">transition_offbalance_ecl</t>
  </si>
  <si>
    <t xml:space="preserve">NI0106</t>
  </si>
  <si>
    <t xml:space="preserve">transition_opening_equity_alternative</t>
  </si>
  <si>
    <t xml:space="preserve">Prior status: Page-checked; internal source inconsistency. Printed total inconsistent by NGN1000m with components and Note 3.28; do not silently repair source. PDF not re-downloaded or hashed in this run.</t>
  </si>
  <si>
    <t xml:space="preserve">NI0107</t>
  </si>
  <si>
    <t xml:space="preserve">NI0108</t>
  </si>
  <si>
    <t xml:space="preserve">NI0109</t>
  </si>
  <si>
    <t xml:space="preserve">NI0110</t>
  </si>
  <si>
    <t xml:space="preserve">NI0111</t>
  </si>
  <si>
    <t xml:space="preserve">NI0112</t>
  </si>
  <si>
    <t xml:space="preserve">NI0113</t>
  </si>
  <si>
    <t xml:space="preserve">NI0114</t>
  </si>
  <si>
    <t xml:space="preserve">NI0115</t>
  </si>
  <si>
    <t xml:space="preserve">NI0116</t>
  </si>
  <si>
    <t xml:space="preserve">NI0117</t>
  </si>
  <si>
    <t xml:space="preserve">NI0118</t>
  </si>
  <si>
    <t xml:space="preserve">NI0119</t>
  </si>
  <si>
    <t xml:space="preserve">NI0120</t>
  </si>
  <si>
    <t xml:space="preserve">NI0121</t>
  </si>
  <si>
    <t xml:space="preserve">NI0122</t>
  </si>
  <si>
    <t xml:space="preserve">NI0123</t>
  </si>
  <si>
    <t xml:space="preserve">NI0124</t>
  </si>
  <si>
    <t xml:space="preserve">NI0125</t>
  </si>
  <si>
    <t xml:space="preserve">NI0126</t>
  </si>
  <si>
    <t xml:space="preserve">NI0127</t>
  </si>
  <si>
    <t xml:space="preserve">NI0128</t>
  </si>
  <si>
    <t xml:space="preserve">NI0129</t>
  </si>
  <si>
    <t xml:space="preserve">NI0130</t>
  </si>
  <si>
    <t xml:space="preserve">NI0131</t>
  </si>
  <si>
    <t xml:space="preserve">NI0132</t>
  </si>
  <si>
    <t xml:space="preserve">NI0133</t>
  </si>
  <si>
    <t xml:space="preserve">NI0134</t>
  </si>
  <si>
    <t xml:space="preserve">NI0135</t>
  </si>
  <si>
    <t xml:space="preserve">NI0136</t>
  </si>
  <si>
    <t xml:space="preserve">NI0137</t>
  </si>
  <si>
    <t xml:space="preserve">NI0138</t>
  </si>
  <si>
    <t xml:space="preserve">NI0139</t>
  </si>
  <si>
    <t xml:space="preserve">NI0140</t>
  </si>
  <si>
    <t xml:space="preserve">NI0141</t>
  </si>
  <si>
    <t xml:space="preserve">NI0142</t>
  </si>
  <si>
    <t xml:space="preserve">NI0143</t>
  </si>
  <si>
    <t xml:space="preserve">2023 audited report comparative</t>
  </si>
  <si>
    <t xml:space="preserve">Prior status: Page-checked audited statement. 2022 audited comparative in 2023 report. Cash-flow add-back is 4808387; do not substitute that amount for the net income-statement charge. PDF not re-downloaded or hashed in this run.</t>
  </si>
  <si>
    <t xml:space="preserve">NI0144</t>
  </si>
  <si>
    <t xml:space="preserve">NI0145</t>
  </si>
  <si>
    <t xml:space="preserve">NI0146</t>
  </si>
  <si>
    <t xml:space="preserve">NI0147</t>
  </si>
  <si>
    <t xml:space="preserve">NI0148</t>
  </si>
  <si>
    <t xml:space="preserve">NI0149</t>
  </si>
  <si>
    <t xml:space="preserve">NI0150</t>
  </si>
  <si>
    <t xml:space="preserve">NI0151</t>
  </si>
  <si>
    <t xml:space="preserve">Prior status: Page-checked audited statement. Domestic net-liquid-assets/customer-deposits ratio; not Basel LCR. PDF not re-downloaded or hashed in this run.</t>
  </si>
  <si>
    <t xml:space="preserve">NI0152</t>
  </si>
  <si>
    <t xml:space="preserve">NI0153</t>
  </si>
  <si>
    <t xml:space="preserve">NI0154</t>
  </si>
  <si>
    <t xml:space="preserve">NI0155</t>
  </si>
  <si>
    <t xml:space="preserve">Prior status: Page-checked audited statement. Basel II bank capital table; whole-percent published ratio. Precision derived separately from disclosed inputs. PDF not re-downloaded or hashed in this run.</t>
  </si>
  <si>
    <t xml:space="preserve">NI0156</t>
  </si>
  <si>
    <t xml:space="preserve">NI0157</t>
  </si>
  <si>
    <t xml:space="preserve">NI0158</t>
  </si>
  <si>
    <t xml:space="preserve">NI0159</t>
  </si>
  <si>
    <t xml:space="preserve">NI0160</t>
  </si>
  <si>
    <t xml:space="preserve">NI0161</t>
  </si>
  <si>
    <t xml:space="preserve">Prior status: Page-checked audited statement. Gross less allowance differs from displayed net carrying amount by NGN1000; recorded as source rounding difference, not overwritten. PDF not re-downloaded or hashed in this run.</t>
  </si>
  <si>
    <t xml:space="preserve">NI0162</t>
  </si>
  <si>
    <t xml:space="preserve">NI0163</t>
  </si>
  <si>
    <t xml:space="preserve">NI0164</t>
  </si>
  <si>
    <t xml:space="preserve">NI0165</t>
  </si>
  <si>
    <t xml:space="preserve">NI0166</t>
  </si>
  <si>
    <t xml:space="preserve">NI0167</t>
  </si>
  <si>
    <t xml:space="preserve">NI0168</t>
  </si>
  <si>
    <t xml:space="preserve">NI0169</t>
  </si>
  <si>
    <t xml:space="preserve">NI0170</t>
  </si>
  <si>
    <t xml:space="preserve">Prior status: Page-checked audited statement. Bank regulatory capital note; published ratio retained separately from computed precision. PDF not re-downloaded or hashed in this run.</t>
  </si>
  <si>
    <t xml:space="preserve">NI0171</t>
  </si>
  <si>
    <t xml:space="preserve">NI0172</t>
  </si>
  <si>
    <t xml:space="preserve">NI0173</t>
  </si>
  <si>
    <t xml:space="preserve">NI0174</t>
  </si>
  <si>
    <t xml:space="preserve">NI0175</t>
  </si>
  <si>
    <t xml:space="preserve">NI0176</t>
  </si>
  <si>
    <t xml:space="preserve">Prior status: Page-checked audited statement. 2022 comparative in 2023 report, not a 2023 observation. PDF not re-downloaded or hashed in this run.</t>
  </si>
  <si>
    <t xml:space="preserve">NI0177</t>
  </si>
  <si>
    <t xml:space="preserve">NI0178</t>
  </si>
  <si>
    <t xml:space="preserve">U0001</t>
  </si>
  <si>
    <t xml:space="preserve">Bank</t>
  </si>
  <si>
    <t xml:space="preserve">64–65</t>
  </si>
  <si>
    <t xml:space="preserve">62–63</t>
  </si>
  <si>
    <t xml:space="preserve">Prior status: Selected. PDF not re-downloaded or hashed in this run.</t>
  </si>
  <si>
    <t xml:space="preserve">Union_Verified_Evidence.csv</t>
  </si>
  <si>
    <t xml:space="preserve">U0002</t>
  </si>
  <si>
    <t xml:space="preserve">U0003</t>
  </si>
  <si>
    <t xml:space="preserve">U0004</t>
  </si>
  <si>
    <t xml:space="preserve">U0005</t>
  </si>
  <si>
    <t xml:space="preserve">U0006</t>
  </si>
  <si>
    <t xml:space="preserve">Prior status: Selected. Auxiliary denominator from prior-year closing statement; does not create an extra admitted bank-year. PDF not re-downloaded or hashed in this run.</t>
  </si>
  <si>
    <t xml:space="preserve">U0007</t>
  </si>
  <si>
    <t xml:space="preserve">U0008</t>
  </si>
  <si>
    <t xml:space="preserve">U0009</t>
  </si>
  <si>
    <t xml:space="preserve">U0010</t>
  </si>
  <si>
    <t xml:space="preserve">U0011</t>
  </si>
  <si>
    <t xml:space="preserve">U0012</t>
  </si>
  <si>
    <t xml:space="preserve">Prior status: Selected. Calculated as signed credit-loss impairment plus signed other-financial-asset impairment; expense positive, reversal negative. PDF not re-downloaded or hashed in this run.</t>
  </si>
  <si>
    <t xml:space="preserve">U0013</t>
  </si>
  <si>
    <t xml:space="preserve">U0014</t>
  </si>
  <si>
    <t xml:space="preserve">U0015</t>
  </si>
  <si>
    <t xml:space="preserve">U0016</t>
  </si>
  <si>
    <t xml:space="preserve">U0017</t>
  </si>
  <si>
    <t xml:space="preserve">U0018</t>
  </si>
  <si>
    <t xml:space="preserve">U0019</t>
  </si>
  <si>
    <t xml:space="preserve">U0020</t>
  </si>
  <si>
    <t xml:space="preserve">U0021</t>
  </si>
  <si>
    <t xml:space="preserve">U0022</t>
  </si>
  <si>
    <t xml:space="preserve">U0023</t>
  </si>
  <si>
    <t xml:space="preserve">U0024</t>
  </si>
  <si>
    <t xml:space="preserve">U0025</t>
  </si>
  <si>
    <t xml:space="preserve">U0026</t>
  </si>
  <si>
    <t xml:space="preserve">U0027</t>
  </si>
  <si>
    <t xml:space="preserve">U0028</t>
  </si>
  <si>
    <t xml:space="preserve">Prior status: Selected. Original-vintage case value only; revised comparative alternatives conflict. Excluded from pooled allowance inference pending reconciliation. PDF not re-downloaded or hashed in this run.</t>
  </si>
  <si>
    <t xml:space="preserve">U0029</t>
  </si>
  <si>
    <t xml:space="preserve">U0030</t>
  </si>
  <si>
    <t xml:space="preserve">U0031</t>
  </si>
  <si>
    <t xml:space="preserve">U0032</t>
  </si>
  <si>
    <t xml:space="preserve">U0033</t>
  </si>
  <si>
    <t xml:space="preserve">U0034</t>
  </si>
  <si>
    <t xml:space="preserve">U0035</t>
  </si>
  <si>
    <t xml:space="preserve">U0036</t>
  </si>
  <si>
    <t xml:space="preserve">U0037</t>
  </si>
  <si>
    <t xml:space="preserve">Prior status: Selected. Full-impact ratio selected; transition-adjusted ratio retained separately. PDF not re-downloaded or hashed in this run.</t>
  </si>
  <si>
    <t xml:space="preserve">U0038</t>
  </si>
  <si>
    <t xml:space="preserve">U0039</t>
  </si>
  <si>
    <t xml:space="preserve">U0040</t>
  </si>
  <si>
    <t xml:space="preserve">U0041</t>
  </si>
  <si>
    <t xml:space="preserve">U0042</t>
  </si>
  <si>
    <t xml:space="preserve">U0043</t>
  </si>
  <si>
    <t xml:space="preserve">U0044</t>
  </si>
  <si>
    <t xml:space="preserve">U0045</t>
  </si>
  <si>
    <t xml:space="preserve">U0046</t>
  </si>
  <si>
    <t xml:space="preserve">U0047</t>
  </si>
  <si>
    <t xml:space="preserve">stage3_watchlist</t>
  </si>
  <si>
    <t xml:space="preserve">U0048</t>
  </si>
  <si>
    <t xml:space="preserve">U0049</t>
  </si>
  <si>
    <t xml:space="preserve">U0050</t>
  </si>
  <si>
    <t xml:space="preserve">U0051</t>
  </si>
  <si>
    <t xml:space="preserve">U0052</t>
  </si>
  <si>
    <t xml:space="preserve">U0053</t>
  </si>
  <si>
    <t xml:space="preserve">U0054</t>
  </si>
  <si>
    <t xml:space="preserve">142–143</t>
  </si>
  <si>
    <t xml:space="preserve">140–141</t>
  </si>
  <si>
    <t xml:space="preserve">U0055</t>
  </si>
  <si>
    <t xml:space="preserve">U0056</t>
  </si>
  <si>
    <t xml:space="preserve">U0057</t>
  </si>
  <si>
    <t xml:space="preserve">U0058</t>
  </si>
  <si>
    <t xml:space="preserve">U0059</t>
  </si>
  <si>
    <t xml:space="preserve">U0060</t>
  </si>
  <si>
    <t xml:space="preserve">U0061</t>
  </si>
  <si>
    <t xml:space="preserve">U0062</t>
  </si>
  <si>
    <t xml:space="preserve">117–118</t>
  </si>
  <si>
    <t xml:space="preserve">115–116</t>
  </si>
  <si>
    <t xml:space="preserve">U0063</t>
  </si>
  <si>
    <t xml:space="preserve">U0064</t>
  </si>
  <si>
    <t xml:space="preserve">U0065</t>
  </si>
  <si>
    <t xml:space="preserve">U0066</t>
  </si>
  <si>
    <t xml:space="preserve">U0067</t>
  </si>
  <si>
    <t xml:space="preserve">U0068</t>
  </si>
  <si>
    <t xml:space="preserve">U0069</t>
  </si>
  <si>
    <t xml:space="preserve">U0070</t>
  </si>
  <si>
    <t xml:space="preserve">U0071</t>
  </si>
  <si>
    <t xml:space="preserve">U0072</t>
  </si>
  <si>
    <t xml:space="preserve">U0073</t>
  </si>
  <si>
    <t xml:space="preserve">U0074</t>
  </si>
  <si>
    <t xml:space="preserve">U0075</t>
  </si>
  <si>
    <t xml:space="preserve">U0076</t>
  </si>
  <si>
    <t xml:space="preserve">U0077</t>
  </si>
  <si>
    <t xml:space="preserve">U0078</t>
  </si>
  <si>
    <t xml:space="preserve">U0079</t>
  </si>
  <si>
    <t xml:space="preserve">U0080</t>
  </si>
  <si>
    <t xml:space="preserve">U0081</t>
  </si>
  <si>
    <t xml:space="preserve">U0082</t>
  </si>
  <si>
    <t xml:space="preserve">U0083</t>
  </si>
  <si>
    <t xml:space="preserve">U0084</t>
  </si>
  <si>
    <t xml:space="preserve">U0085</t>
  </si>
  <si>
    <t xml:space="preserve">U0086</t>
  </si>
  <si>
    <t xml:space="preserve">U0087</t>
  </si>
  <si>
    <t xml:space="preserve">U0088</t>
  </si>
  <si>
    <t xml:space="preserve">U0089</t>
  </si>
  <si>
    <t xml:space="preserve">U0090</t>
  </si>
  <si>
    <t xml:space="preserve">U0091</t>
  </si>
  <si>
    <t xml:space="preserve">U0092</t>
  </si>
  <si>
    <t xml:space="preserve">U0093</t>
  </si>
  <si>
    <t xml:space="preserve">U0094</t>
  </si>
  <si>
    <t xml:space="preserve">U0095</t>
  </si>
  <si>
    <t xml:space="preserve">U0096</t>
  </si>
  <si>
    <t xml:space="preserve">U0097</t>
  </si>
  <si>
    <t xml:space="preserve">U0098</t>
  </si>
  <si>
    <t xml:space="preserve">U0099</t>
  </si>
  <si>
    <t xml:space="preserve">U0100</t>
  </si>
  <si>
    <t xml:space="preserve">U0101</t>
  </si>
  <si>
    <t xml:space="preserve">U0102</t>
  </si>
  <si>
    <t xml:space="preserve">159–161</t>
  </si>
  <si>
    <t xml:space="preserve">U0103</t>
  </si>
  <si>
    <t xml:space="preserve">U0104</t>
  </si>
  <si>
    <t xml:space="preserve">U0105</t>
  </si>
  <si>
    <t xml:space="preserve">U0106</t>
  </si>
  <si>
    <t xml:space="preserve">U0107</t>
  </si>
  <si>
    <t xml:space="preserve">U0108</t>
  </si>
  <si>
    <t xml:space="preserve">U0109</t>
  </si>
  <si>
    <t xml:space="preserve">U0110</t>
  </si>
  <si>
    <t xml:space="preserve">136–137</t>
  </si>
  <si>
    <t xml:space="preserve">U0111</t>
  </si>
  <si>
    <t xml:space="preserve">U0112</t>
  </si>
  <si>
    <t xml:space="preserve">U0113</t>
  </si>
  <si>
    <t xml:space="preserve">U0114</t>
  </si>
  <si>
    <t xml:space="preserve">U0115</t>
  </si>
  <si>
    <t xml:space="preserve">U0116</t>
  </si>
  <si>
    <t xml:space="preserve">U0117</t>
  </si>
  <si>
    <t xml:space="preserve">U0118</t>
  </si>
  <si>
    <t xml:space="preserve">U0119</t>
  </si>
  <si>
    <t xml:space="preserve">U0120</t>
  </si>
  <si>
    <t xml:space="preserve">U0121</t>
  </si>
  <si>
    <t xml:space="preserve">U0122</t>
  </si>
  <si>
    <t xml:space="preserve">U0123</t>
  </si>
  <si>
    <t xml:space="preserve">U0124</t>
  </si>
  <si>
    <t xml:space="preserve">U0125</t>
  </si>
  <si>
    <t xml:space="preserve">U0126</t>
  </si>
  <si>
    <t xml:space="preserve">U0127</t>
  </si>
  <si>
    <t xml:space="preserve">U0128</t>
  </si>
  <si>
    <t xml:space="preserve">U0129</t>
  </si>
  <si>
    <t xml:space="preserve">U0130</t>
  </si>
  <si>
    <t xml:space="preserve">U0131</t>
  </si>
  <si>
    <t xml:space="preserve">U0132</t>
  </si>
  <si>
    <t xml:space="preserve">U0133</t>
  </si>
  <si>
    <t xml:space="preserve">U0134</t>
  </si>
  <si>
    <t xml:space="preserve">Prior status: Selected. The 2022 report states national-bank minimum 10%; not extrapolated to earlier licence years. PDF not re-downloaded or hashed in this run.</t>
  </si>
  <si>
    <t xml:space="preserve">U0135</t>
  </si>
  <si>
    <t xml:space="preserve">U0136</t>
  </si>
  <si>
    <t xml:space="preserve">U0137</t>
  </si>
  <si>
    <t xml:space="preserve">pat_original</t>
  </si>
  <si>
    <t xml:space="preserve">Prior status: Alternative/component—not additional observation. Original-vintage PAT before AMCON restatement PDF not re-downloaded or hashed in this run.</t>
  </si>
  <si>
    <t xml:space="preserve">U0138</t>
  </si>
  <si>
    <t xml:space="preserve">amcon_correction</t>
  </si>
  <si>
    <t xml:space="preserve">Prior status: Alternative/component—not additional observation. Non-ECL pre-adoption correction; revised PAT 11239 PDF not re-downloaded or hashed in this run.</t>
  </si>
  <si>
    <t xml:space="preserve">U0139</t>
  </si>
  <si>
    <t xml:space="preserve">equity_original</t>
  </si>
  <si>
    <t xml:space="preserve">Prior status: Alternative/component—not additional observation. Original-vintage shareholders funds before restatement PDF not re-downloaded or hashed in this run.</t>
  </si>
  <si>
    <t xml:space="preserve">U0140</t>
  </si>
  <si>
    <t xml:space="preserve">equity_restated</t>
  </si>
  <si>
    <t xml:space="preserve">Prior status: Alternative/component—not additional observation. Coherent restated statement selected PDF not re-downloaded or hashed in this run.</t>
  </si>
  <si>
    <t xml:space="preserve">U0141</t>
  </si>
  <si>
    <t xml:space="preserve">loan_allowance_IAS39_opening</t>
  </si>
  <si>
    <t xml:space="preserve">Prior status: Alternative/component—not additional observation. Opening loan allowance before IFRS 9 PDF not re-downloaded or hashed in this run.</t>
  </si>
  <si>
    <t xml:space="preserve">U0142</t>
  </si>
  <si>
    <t xml:space="preserve">loan_ECL_transition_increment</t>
  </si>
  <si>
    <t xml:space="preserve">Prior status: Alternative/component—not additional observation. Loan-specific transition addition; not total equity reduction PDF not re-downloaded or hashed in this run.</t>
  </si>
  <si>
    <t xml:space="preserve">U0143</t>
  </si>
  <si>
    <t xml:space="preserve">loan_allowance_IFRS9_opening</t>
  </si>
  <si>
    <t xml:space="preserve">Prior status: Alternative/component—not additional observation. Opening IFRS 9 loan allowance PDF not re-downloaded or hashed in this run.</t>
  </si>
  <si>
    <t xml:space="preserve">U0144</t>
  </si>
  <si>
    <t xml:space="preserve">loan_annual_movement</t>
  </si>
  <si>
    <t xml:space="preserve">Prior status: Alternative/component—not additional observation. Net loan impairment reversal PDF not re-downloaded or hashed in this run.</t>
  </si>
  <si>
    <t xml:space="preserve">U0145</t>
  </si>
  <si>
    <t xml:space="preserve">loan_writeoffs</t>
  </si>
  <si>
    <t xml:space="preserve">Prior status: Alternative/component—not additional observation. Original-report write-offs reduce allowance PDF not re-downloaded or hashed in this run.</t>
  </si>
  <si>
    <t xml:space="preserve">U0146</t>
  </si>
  <si>
    <t xml:space="preserve">loan_reinstatement_original</t>
  </si>
  <si>
    <t xml:space="preserve">Prior status: Alternative/component—not additional observation. Reinstated allowances during year PDF not re-downloaded or hashed in this run.</t>
  </si>
  <si>
    <t xml:space="preserve">U0147</t>
  </si>
  <si>
    <t xml:space="preserve">loan_fx_movement</t>
  </si>
  <si>
    <t xml:space="preserve">Prior status: Alternative/component—not additional observation. Foreign-currency movement PDF not re-downloaded or hashed in this run.</t>
  </si>
  <si>
    <t xml:space="preserve">U0148</t>
  </si>
  <si>
    <t xml:space="preserve">gross_loans_restatement_note</t>
  </si>
  <si>
    <t xml:space="preserve">Prior status: Alternative/component—not additional observation. 2018 reinstatement note alternative PDF not re-downloaded or hashed in this run.</t>
  </si>
  <si>
    <t xml:space="preserve">U0149</t>
  </si>
  <si>
    <t xml:space="preserve">allowance_restatement_note</t>
  </si>
  <si>
    <t xml:space="preserve">U0150</t>
  </si>
  <si>
    <t xml:space="preserve">loan_reinstatement_later</t>
  </si>
  <si>
    <t xml:space="preserve">Prior status: Alternative/component—not additional observation. Added to both gross loans and allowance; net loans unchanged PDF not re-downloaded or hashed in this run.</t>
  </si>
  <si>
    <t xml:space="preserve">U0151</t>
  </si>
  <si>
    <t xml:space="preserve">gross_loans_detailed_comparative</t>
  </si>
  <si>
    <t xml:space="preserve">Prior status: Alternative/component—not additional observation. 2019 detailed loan-note alternative differs by 190m from restatement note PDF not re-downloaded or hashed in this run.</t>
  </si>
  <si>
    <t xml:space="preserve">U0152</t>
  </si>
  <si>
    <t xml:space="preserve">allowance_detailed_comparative</t>
  </si>
  <si>
    <t xml:space="preserve">U0153</t>
  </si>
  <si>
    <t xml:space="preserve">stage1_gross</t>
  </si>
  <si>
    <t xml:space="preserve">Prior status: Alternative/component—not additional observation. Original 2018 PDF not re-downloaded or hashed in this run.</t>
  </si>
  <si>
    <t xml:space="preserve">U0154</t>
  </si>
  <si>
    <t xml:space="preserve">stage2_gross</t>
  </si>
  <si>
    <t xml:space="preserve">U0155</t>
  </si>
  <si>
    <t xml:space="preserve">stage1_allowance</t>
  </si>
  <si>
    <t xml:space="preserve">U0156</t>
  </si>
  <si>
    <t xml:space="preserve">stage2_allowance</t>
  </si>
  <si>
    <t xml:space="preserve">U0157</t>
  </si>
  <si>
    <t xml:space="preserve">loan_cashflow_impairment</t>
  </si>
  <si>
    <t xml:space="preserve">Prior status: Alternative/component—not additional observation. Separate from modification loss; not admitted as comparable pure ECL expense PDF not re-downloaded or hashed in this run.</t>
  </si>
  <si>
    <t xml:space="preserve">U0158</t>
  </si>
  <si>
    <t xml:space="preserve">loan_modification_loss</t>
  </si>
  <si>
    <t xml:space="preserve">Prior status: Alternative/component—not additional observation. Modification loss cannot be silently merged into loan-specific ECL slope PDF not re-downloaded or hashed in this run.</t>
  </si>
  <si>
    <t xml:space="preserve">U0159</t>
  </si>
  <si>
    <t xml:space="preserve">Prior status: Alternative/component—not additional observation. Different presentation from loan roll-forward PDF not re-downloaded or hashed in this run.</t>
  </si>
  <si>
    <t xml:space="preserve">U0160</t>
  </si>
  <si>
    <t xml:space="preserve">loan_rollforward_net_reversal</t>
  </si>
  <si>
    <t xml:space="preserve">Prior status: Alternative/component—not additional observation. Recovery presentation difference; loan-only P&amp;L harmonisation unresolved PDF not re-downloaded or hashed in this run.</t>
  </si>
  <si>
    <t xml:space="preserve">U0161</t>
  </si>
  <si>
    <t xml:space="preserve">Prior status: Alternative/component—not additional observation. One-million presentation difference from roll-forward PDF not re-downloaded or hashed in this run.</t>
  </si>
  <si>
    <t xml:space="preserve">U0162</t>
  </si>
  <si>
    <t xml:space="preserve">loan_rollforward_expense</t>
  </si>
  <si>
    <t xml:space="preserve">Prior status: Alternative/component—not additional observation. Not used in a harmonised loan-specific volatility model PDF not re-downloaded or hashed in this run.</t>
  </si>
  <si>
    <t xml:space="preserve">U0163</t>
  </si>
  <si>
    <t xml:space="preserve">Prior status: Alternative/component—not additional observation. Different from loan movement note PDF not re-downloaded or hashed in this run.</t>
  </si>
  <si>
    <t xml:space="preserve">U0164</t>
  </si>
  <si>
    <t xml:space="preserve">Prior status: Alternative/component—not additional observation. Different from cash-flow presentation PDF not re-downloaded or hashed in this run.</t>
  </si>
  <si>
    <t xml:space="preserve">U0165</t>
  </si>
  <si>
    <t xml:space="preserve">stage3_allowance_main_note</t>
  </si>
  <si>
    <t xml:space="preserve">Prior status: Alternative/component—not additional observation. Stage subtotal conflicts with roll-forward; excluded from matched-stage ratio PDF not re-downloaded or hashed in this run.</t>
  </si>
  <si>
    <t xml:space="preserve">U0166</t>
  </si>
  <si>
    <t xml:space="preserve">stage3_allowance_rollforward</t>
  </si>
  <si>
    <t xml:space="preserve">Prior status: Alternative/component—not additional observation. Alternative stage subtotal; excluded PDF not re-downloaded or hashed in this run.</t>
  </si>
  <si>
    <t xml:space="preserve">U0167</t>
  </si>
  <si>
    <t xml:space="preserve">stage3_allowance_regulatory_overview</t>
  </si>
  <si>
    <t xml:space="preserve">Prior status: Alternative/component—not additional observation. Alternative regulatory overview subtotal; excluded PDF not re-downloaded or hashed in this run.</t>
  </si>
  <si>
    <t xml:space="preserve">U0168</t>
  </si>
  <si>
    <t xml:space="preserve">liquidity_group</t>
  </si>
  <si>
    <t xml:space="preserve">Group</t>
  </si>
  <si>
    <t xml:space="preserve">Prior status: Excluded from standalone pool. Explicit Group measure; not standalone Bank and not Basel LCR. PDF not re-downloaded or hashed in this run.</t>
  </si>
  <si>
    <t xml:space="preserve">U0169</t>
  </si>
  <si>
    <t xml:space="preserve">U0170</t>
  </si>
  <si>
    <t xml:space="preserve">U0171</t>
  </si>
  <si>
    <t xml:space="preserve">NP0001</t>
  </si>
  <si>
    <t xml:space="preserve">Standalone Bank</t>
  </si>
  <si>
    <t xml:space="preserve">Audited 2015 comparative in 2016 report</t>
  </si>
  <si>
    <t xml:space="preserve">Prior status: Primary report page image checked. Statement of comprehensive income PDF not re-downloaded or hashed in this run.</t>
  </si>
  <si>
    <t xml:space="preserve">New_Primary_Evidence.csv</t>
  </si>
  <si>
    <t xml:space="preserve">NP0002</t>
  </si>
  <si>
    <t xml:space="preserve">NP0003</t>
  </si>
  <si>
    <t xml:space="preserve">NP0004</t>
  </si>
  <si>
    <t xml:space="preserve">Prior status: Primary report page image checked. Net impairment loss on loans and receivables PDF not re-downloaded or hashed in this run.</t>
  </si>
  <si>
    <t xml:space="preserve">NP0005</t>
  </si>
  <si>
    <t xml:space="preserve">Prior status: Primary report page image checked. Statement of financial position PDF not re-downloaded or hashed in this run.</t>
  </si>
  <si>
    <t xml:space="preserve">NP0006</t>
  </si>
  <si>
    <t xml:space="preserve">NP0007</t>
  </si>
  <si>
    <t xml:space="preserve">NP0008</t>
  </si>
  <si>
    <t xml:space="preserve">Prior status: Primary report page image checked. Statement of cash flows PDF not re-downloaded or hashed in this run.</t>
  </si>
  <si>
    <t xml:space="preserve">NP0009</t>
  </si>
  <si>
    <t xml:space="preserve">Prior status: Primary report page image checked. Note 5.2 PDF not re-downloaded or hashed in this run.</t>
  </si>
  <si>
    <t xml:space="preserve">NP0010</t>
  </si>
  <si>
    <t xml:space="preserve">NP0011</t>
  </si>
  <si>
    <t xml:space="preserve">NP0012</t>
  </si>
  <si>
    <t xml:space="preserve">Prior status: Primary report page image checked. Note 4.3(b) PDF not re-downloaded or hashed in this run.</t>
  </si>
  <si>
    <t xml:space="preserve">NP0013</t>
  </si>
  <si>
    <t xml:space="preserve">NP0014</t>
  </si>
  <si>
    <t xml:space="preserve">NP0015</t>
  </si>
  <si>
    <t xml:space="preserve">NP0016</t>
  </si>
  <si>
    <t xml:space="preserve">Prior status: Primary report page image checked. Note 25(b), Bank PDF not re-downloaded or hashed in this run.</t>
  </si>
  <si>
    <t xml:space="preserve">NP0017</t>
  </si>
  <si>
    <t xml:space="preserve">NP0018</t>
  </si>
  <si>
    <t xml:space="preserve">NP0019</t>
  </si>
  <si>
    <t xml:space="preserve">NP0020</t>
  </si>
  <si>
    <t xml:space="preserve">NP0021</t>
  </si>
  <si>
    <t xml:space="preserve">Current year</t>
  </si>
  <si>
    <t xml:space="preserve">NP0022</t>
  </si>
  <si>
    <t xml:space="preserve">NP0023</t>
  </si>
  <si>
    <t xml:space="preserve">NP0024</t>
  </si>
  <si>
    <t xml:space="preserve">NP0025</t>
  </si>
  <si>
    <t xml:space="preserve">NP0026</t>
  </si>
  <si>
    <t xml:space="preserve">NP0027</t>
  </si>
  <si>
    <t xml:space="preserve">NP0028</t>
  </si>
  <si>
    <t xml:space="preserve">NP0029</t>
  </si>
  <si>
    <t xml:space="preserve">NP0030</t>
  </si>
  <si>
    <t xml:space="preserve">NP0031</t>
  </si>
  <si>
    <t xml:space="preserve">NP0032</t>
  </si>
  <si>
    <t xml:space="preserve">NP0033</t>
  </si>
  <si>
    <t xml:space="preserve">NP0034</t>
  </si>
  <si>
    <t xml:space="preserve">NP0035</t>
  </si>
  <si>
    <t xml:space="preserve">NP0036</t>
  </si>
  <si>
    <t xml:space="preserve">NP0037</t>
  </si>
  <si>
    <t xml:space="preserve">Prior status: Primary report page image checked. Note 25(a), Bank PDF not re-downloaded or hashed in this run.</t>
  </si>
  <si>
    <t xml:space="preserve">NP0038</t>
  </si>
  <si>
    <t xml:space="preserve">NP0039</t>
  </si>
  <si>
    <t xml:space="preserve">NP0040</t>
  </si>
  <si>
    <t xml:space="preserve">NP0041</t>
  </si>
  <si>
    <t xml:space="preserve">Wema Bank Plc</t>
  </si>
  <si>
    <t xml:space="preserve">Bank (separate financial statements)</t>
  </si>
  <si>
    <t xml:space="preserve">Bank 31-Dec-21</t>
  </si>
  <si>
    <t xml:space="preserve">Total Assets 1,441,864,974 1,175,490,124 1,433,703,656 1,164,517,865</t>
  </si>
  <si>
    <t xml:space="preserve">reports/pages/2b1f6641f711/p0115.png</t>
  </si>
  <si>
    <t xml:space="preserve">value read from PDF text layer at reviewer-specified row/column; rendered page inspected</t>
  </si>
  <si>
    <t xml:space="preserve">verified_reported</t>
  </si>
  <si>
    <t xml:space="preserve">Rendered page inspected; Bank columns right-hand pair.</t>
  </si>
  <si>
    <t xml:space="preserve">admissions.csv</t>
  </si>
  <si>
    <t xml:space="preserve">consolidated_and_separate</t>
  </si>
  <si>
    <t xml:space="preserve">bank_separate</t>
  </si>
  <si>
    <t xml:space="preserve">Headings 'Group' | 'Bank' with 31-Dec-22 / 31-Dec-21 under each; Bank pair used</t>
  </si>
  <si>
    <t xml:space="preserve">Total Liabilities 1,359,322,073 1,105,343,507 1,351,080,980 1,094,153,520</t>
  </si>
  <si>
    <t xml:space="preserve">bank 82,542,901 70,146,617 82,622,676 70,364,344</t>
  </si>
  <si>
    <t xml:space="preserve">Row label 'Equity attributable to equity holders of the bank' wraps onto two lines.</t>
  </si>
  <si>
    <t xml:space="preserve">Profit for the year 11,351,980 8,926,555 11,214,027 8,933,202</t>
  </si>
  <si>
    <t xml:space="preserve">reports/pages/2b1f6641f711/p0114.png</t>
  </si>
  <si>
    <t xml:space="preserve">Profit before tax 14,883,961 12,377,495 14,746,008 12,384,142</t>
  </si>
  <si>
    <t xml:space="preserve">Net impairment loss on financial assets 11 (4,808,387) (2,104,393) (4,808,387) (2,104,393)</t>
  </si>
  <si>
    <t xml:space="preserve">Income-statement net impairment on financial assets (all financial assets, not loan-only). Sign converted to expense-positive.</t>
  </si>
  <si>
    <t xml:space="preserve">expense_presented_negative</t>
  </si>
  <si>
    <t xml:space="preserve">Income-statement charge printed in brackets as a deduction (reversal unbracketed); stored as positive expense / negative reversal per panel convention 'positive expense reduces profit'.</t>
  </si>
  <si>
    <t xml:space="preserve">Bank 31-Dec 2021</t>
  </si>
  <si>
    <t xml:space="preserve">Net cash from operating activities 180,538,197 11,358,293 179,324,770 9,851,888</t>
  </si>
  <si>
    <t xml:space="preserve">reports/pages/2b1f6641f711/p0118.png</t>
  </si>
  <si>
    <t xml:space="preserve">Gross loans and receivables 539,372,013 435,551,971 539,372,013 435,551,971</t>
  </si>
  <si>
    <t xml:space="preserve">reports/pages/2b1f6641f711/p0152.png</t>
  </si>
  <si>
    <t xml:space="preserve">Customer loans at amortised cost.</t>
  </si>
  <si>
    <t xml:space="preserve">(17,941,317) (16,687,668) (17,941,317) (16,687,668)</t>
  </si>
  <si>
    <t xml:space="preserve">Unlabelled subtotal of Stage 1-3 ECL allowances on customer loans. Sign converted to expense-positive.</t>
  </si>
  <si>
    <t xml:space="preserve">Allowance printed in brackets as a deduction from gross loans; stored as a positive stock amount.</t>
  </si>
  <si>
    <t xml:space="preserve">to customers 521,430,696 418,864,303 521,430,696 418,864,303</t>
  </si>
  <si>
    <t xml:space="preserve">Stage 3 (12,600,451) (11,225,979) (12,600,451) (11,225,979)</t>
  </si>
  <si>
    <t xml:space="preserve">Stage 3 ECL allowance on customer loans. Sign converted to expense-positive.</t>
  </si>
  <si>
    <t xml:space="preserve">Bank - NPL, 31 Dec 2021</t>
  </si>
  <si>
    <t xml:space="preserve">Grand Total 435,551,971 16,687,668 21,263,336 418,864,303 435,551,971 16,687,668 21,263,336 418,864,303</t>
  </si>
  <si>
    <t xml:space="preserve">reports/pages/2b1f6641f711/p0182.png</t>
  </si>
  <si>
    <t xml:space="preserve">Credit-concentration table. Heading says 'In millions of Naira' but figures are in thousands (gross loans 435,551,971 equal note 18 in thousands). NPL definition not stated on page.</t>
  </si>
  <si>
    <t xml:space="preserve">31-Dec 2021</t>
  </si>
  <si>
    <t xml:space="preserve">Total regulatory capital 59,144,646 40,009,725</t>
  </si>
  <si>
    <t xml:space="preserve">reports/pages/2b1f6641f711/p0215.png</t>
  </si>
  <si>
    <t xml:space="preserve">Capital management note; Bank (no Group/Bank split on page).</t>
  </si>
  <si>
    <t xml:space="preserve">Total risk-weighted assets 464,338,153 346,012,969</t>
  </si>
  <si>
    <t xml:space="preserve">11.71%</t>
  </si>
  <si>
    <t xml:space="preserve">Risk-weighted Capital Adequacy Ratio (CAR) 12.74% 11.71%</t>
  </si>
  <si>
    <t xml:space="preserve">Printed CAR 11.71% kept as reported. Same page: total regulatory capital 40,009,725 / total RWA 346,012,969 = 11.56%; Tier 1 ratio 8.67% does reconcile. Internal inconsistency flagged; not corrected.</t>
  </si>
  <si>
    <t xml:space="preserve">Bank 31-Dec-20</t>
  </si>
  <si>
    <t xml:space="preserve">original (2020 current year)</t>
  </si>
  <si>
    <t xml:space="preserve">979,518,151 715,869,814 968,582,084 704,955,604</t>
  </si>
  <si>
    <t xml:space="preserve">reports/pages/3c780c6c38ec/p0034.png</t>
  </si>
  <si>
    <t xml:space="preserve">Total assets row (label not in text layer); 2020 annual report current-year Bank column, matching selected Wema 2020 assets.</t>
  </si>
  <si>
    <t xml:space="preserve">Headings 'Group' | 'Bank'; Bank 31-Dec-20 column used</t>
  </si>
  <si>
    <t xml:space="preserve">Union Bank of Nigeria Plc</t>
  </si>
  <si>
    <t xml:space="preserve">reports/union/union_xs-15d472ad0d_aeabe6589066.pdf</t>
  </si>
  <si>
    <t xml:space="preserve">Bank Dec.2016</t>
  </si>
  <si>
    <t xml:space="preserve">original (2016 current year)</t>
  </si>
  <si>
    <t xml:space="preserve">Manual transcription of row /TOTAL ASSETS/ from rendered page image.</t>
  </si>
  <si>
    <t xml:space="preserve">reports/pages/aeabe6589066/p0042.png</t>
  </si>
  <si>
    <t xml:space="preserve">manual transcription from rendered page image (page has no text layer); checked by reconciliation</t>
  </si>
  <si>
    <t xml:space="preserve">Balance sheet page has no text layer; values transcribed from 170-dpi render; Bank columns; balance identity checked.</t>
  </si>
  <si>
    <t xml:space="preserve">2026-10-10T16:44:47+00:00</t>
  </si>
  <si>
    <t xml:space="preserve">Headings 'Group' | 'Bank' (and 'Restated Bank'); Bank columns used</t>
  </si>
  <si>
    <t xml:space="preserve">Manual transcription of row /TOTAL LIABILITIES/ from rendered page image.</t>
  </si>
  <si>
    <t xml:space="preserve">Manual transcription of row /TOTAL EQUITY/ from rendered page image.</t>
  </si>
  <si>
    <t xml:space="preserve">Restated Bank Dec.2015</t>
  </si>
  <si>
    <t xml:space="preserve">Opening assets from the same 2016 report's restated prior-period column (matched version). Balance sheet page has no text layer; values transcribed from 170-dpi render; Bank columns; balance identity checked.</t>
  </si>
  <si>
    <t xml:space="preserve">comparative (labelled Restated)</t>
  </si>
  <si>
    <t xml:space="preserve">Restated Bank Jan.2015</t>
  </si>
  <si>
    <t xml:space="preserve">Profit for the year from continuing operations 15,391 14,204 15,885 18,035</t>
  </si>
  <si>
    <t xml:space="preserve">reports/pages/aeabe6589066/p0040.png</t>
  </si>
  <si>
    <t xml:space="preserve">Bank had no discontinued-operation result; equals profit after tax.</t>
  </si>
  <si>
    <t xml:space="preserve">Profit before income tax from continuing operations 15,738 14,756 16,053 18,455</t>
  </si>
  <si>
    <t xml:space="preserve">14(a)</t>
  </si>
  <si>
    <t xml:space="preserve">Net impairment charge for credit losses 14(a) (16,582) (9,948) (16,486) (9,881)</t>
  </si>
  <si>
    <t xml:space="preserve">Credit-loss charge on loans (note 14(a)). Sign converted to expense-positive.</t>
  </si>
  <si>
    <t xml:space="preserve">14(b)</t>
  </si>
  <si>
    <t xml:space="preserve">Net impairment write-back/(loss) on other financial assets 14(b) 693 704 717 704</t>
  </si>
  <si>
    <t xml:space="preserve">Write-back on other financial assets; stored negative under expense-positive convention. Sign converted to expense-positive.</t>
  </si>
  <si>
    <t xml:space="preserve">Net cash provided by/(used in) operating activities 4,965 (20,807) (70,133) 10,975</t>
  </si>
  <si>
    <t xml:space="preserve">reports/pages/aeabe6589066/p0045.png</t>
  </si>
  <si>
    <t xml:space="preserve">Bank Dec.2015</t>
  </si>
  <si>
    <t xml:space="preserve">23(a)</t>
  </si>
  <si>
    <t xml:space="preserve">Gross amount 535,836 388,794 518,349 370,949</t>
  </si>
  <si>
    <t xml:space="preserve">reports/pages/aeabe6589066/p0103.png</t>
  </si>
  <si>
    <t xml:space="preserve">Total impairment (28,646) (22,073) (28,459) (21,965)</t>
  </si>
  <si>
    <t xml:space="preserve">Specific + portfolio allowance on customer loans. Sign converted to expense-positive.</t>
  </si>
  <si>
    <t xml:space="preserve">Carrying amount 507,190 366,721 489,890 348,984</t>
  </si>
  <si>
    <t xml:space="preserve">Specific impairment (14,904) (11,565) (14,887) (11,565)</t>
  </si>
  <si>
    <t xml:space="preserve">Sign converted to expense-positive.</t>
  </si>
  <si>
    <t xml:space="preserve">Portfolio impairment (13,742) (10,508) (13,572) (10,400)</t>
  </si>
  <si>
    <t xml:space="preserve">Bank Dec. 2016</t>
  </si>
  <si>
    <t xml:space="preserve">Total qualifying Capital 96,309 93,697</t>
  </si>
  <si>
    <t xml:space="preserve">reports/pages/aeabe6589066/p0087.png</t>
  </si>
  <si>
    <t xml:space="preserve">Basel II capital adequacy note; regulatory risk reserve excluded.</t>
  </si>
  <si>
    <t xml:space="preserve">Total weighted risk assets 724,660 587,515</t>
  </si>
  <si>
    <t xml:space="preserve">13.3%</t>
  </si>
  <si>
    <t xml:space="preserve">Risk weighted Capital Adequacy Ratio (CAR) 13.3% 15.9%</t>
  </si>
  <si>
    <t xml:space="preserve">Restated Bank Dec. 2015</t>
  </si>
  <si>
    <t xml:space="preserve">15.9%</t>
  </si>
  <si>
    <t xml:space="preserve">15%</t>
  </si>
  <si>
    <t xml:space="preserve">Note text</t>
  </si>
  <si>
    <t xml:space="preserve">Required regulatory capital to achieve 15% CAR 105,579</t>
  </si>
  <si>
    <t xml:space="preserve">Note states 15% CAR stipulated by CBN for the Bank's international licence; Bank reported CAR 13.3% below it (shortfall N9,270m).</t>
  </si>
  <si>
    <t xml:space="preserve">indicator</t>
  </si>
  <si>
    <t xml:space="preserve">Auditor's report on the consolidated and separate financial statements; covers the Bank's separate statements</t>
  </si>
  <si>
    <t xml:space="preserve">KPMG report dated 23 March 2017</t>
  </si>
  <si>
    <t xml:space="preserve">Manual transcription of row /Independent auditor's report (pp. 33-38)/ from rendered page image.</t>
  </si>
  <si>
    <t xml:space="preserve">reports/pages/aeabe6589066/p0034.png</t>
  </si>
  <si>
    <t xml:space="preserve">Full original-year auditor report reviewed (PDF pp.34-39, image pages): unmodified opinion; KAMs loan impairment, litigation, deferred tax; no material-uncertainty-related-to-going-concern section; no emphasis of matter. Directors (p.30): no reason to believe Bank will not remain a going concern. Management capital shortfall disclosure held separately.</t>
  </si>
  <si>
    <t xml:space="preserve">Stanbic IBTC Bank</t>
  </si>
  <si>
    <t xml:space="preserve">Bank 31 Dec. 2022</t>
  </si>
  <si>
    <t xml:space="preserve">original (2022 current year)</t>
  </si>
  <si>
    <t xml:space="preserve">Total assets 2,854,651 2,613,841 2,854,509 2,614,087</t>
  </si>
  <si>
    <t xml:space="preserve">reports/pages/a74d246776f5/p0031.png</t>
  </si>
  <si>
    <t xml:space="preserve">Rendered page inspected.</t>
  </si>
  <si>
    <t xml:space="preserve">Headings 'Group' | 'Bank'; capital note headed 'Stanbic IBTC Bank PLC'</t>
  </si>
  <si>
    <t xml:space="preserve">Liabilities 2,573,702 2,360,226 2,575,402 2,362,312</t>
  </si>
  <si>
    <t xml:space="preserve">Row 'Liabilities' is the total-liabilities subtotal.</t>
  </si>
  <si>
    <t xml:space="preserve">Equity 280,949 253,615 279,107 251,775</t>
  </si>
  <si>
    <t xml:space="preserve">Bank 31 Dec. 2021</t>
  </si>
  <si>
    <t xml:space="preserve">Prior-year column of the same report; equals 2021 original.</t>
  </si>
  <si>
    <t xml:space="preserve">Bank 31-Dec-22</t>
  </si>
  <si>
    <t xml:space="preserve">Profit for the year 55,145 29,658 55,150 29,570</t>
  </si>
  <si>
    <t xml:space="preserve">reports/pages/a74d246776f5/p0032.png</t>
  </si>
  <si>
    <t xml:space="preserve">Profit before tax 59,943 23,752 59,732 23,433</t>
  </si>
  <si>
    <t xml:space="preserve">Net impairment write back/(loss) on financial instruments 31.6 (10,148) 1,274 (10,147) 1,208</t>
  </si>
  <si>
    <t xml:space="preserve">Net impairment on all financial instruments (not loan-only). Sign converted to expense-positive.</t>
  </si>
  <si>
    <t xml:space="preserve">Net cash flows used in operating activities (144,390) 77,823 (144,391) 77,599</t>
  </si>
  <si>
    <t xml:space="preserve">reports/pages/a74d246776f5/p0036.png</t>
  </si>
  <si>
    <t xml:space="preserve">12.1(b)</t>
  </si>
  <si>
    <t xml:space="preserve">Gross loans and advances to customers 1,238,195 946,259 1,238,195 946,259</t>
  </si>
  <si>
    <t xml:space="preserve">reports/pages/a74d246776f5/p0070.png</t>
  </si>
  <si>
    <t xml:space="preserve">Customer loans only; loans to banks excluded (separate 12.1(a)).</t>
  </si>
  <si>
    <t xml:space="preserve">Credit impairments for loans and advances (33,410) (25,215) (33,410) (25,215)</t>
  </si>
  <si>
    <t xml:space="preserve">Customer-loan ECL; ECL on bank placements (4) excluded. Sign converted to expense-positive.</t>
  </si>
  <si>
    <t xml:space="preserve">(b) Loans and advances to customers 1,204,785 921,044 1,204,785 921,044</t>
  </si>
  <si>
    <t xml:space="preserve">Lifetime ECL credit-impaired (20,616) (15,907) (20,616) (15,907)</t>
  </si>
  <si>
    <t xml:space="preserve">Basel II 31 Dec 2022</t>
  </si>
  <si>
    <t xml:space="preserve">Total regulatory capital 284,446 284,446 228,300 228,300</t>
  </si>
  <si>
    <t xml:space="preserve">reports/pages/a74d246776f5/p0143.png</t>
  </si>
  <si>
    <t xml:space="preserve">Basel II; IFRS 9 transitional relief nil so adjusted column identical. Basel III parallel-run 16.1% footnote not used.</t>
  </si>
  <si>
    <t xml:space="preserve">Total risk weight asset 1,545,117 1,545,117 1,409,255 1,409,255</t>
  </si>
  <si>
    <t xml:space="preserve">18.4%</t>
  </si>
  <si>
    <t xml:space="preserve">Total capital adequacy ratio 18.4% 18.4% 16.2% 16.2%</t>
  </si>
  <si>
    <t xml:space="preserve">Basel II adjusted for IFRS 9 transitional adjustment 31 Dec 2022</t>
  </si>
  <si>
    <t xml:space="preserve">10%</t>
  </si>
  <si>
    <t xml:space="preserve">minimum regulatory capital adequacy ratio of 10% as mandated by CBN. The CBN also mandates banks to maintain a capital</t>
  </si>
  <si>
    <t xml:space="preserve">reports/pages/a74d246776f5/p0142.png</t>
  </si>
  <si>
    <t xml:space="preserve">Text: Bank operated above CBN-mandated minimum CAR of 10%.</t>
  </si>
  <si>
    <t xml:space="preserve">original (2021 current year)</t>
  </si>
  <si>
    <t xml:space="preserve">Total assets 2,613,841 2,370,676 2,614,087 2,370,347</t>
  </si>
  <si>
    <t xml:space="preserve">reports/pages/65822d2ab6a3/p0032.png</t>
  </si>
  <si>
    <t xml:space="preserve">Liabilities 2,360,226 2,126,673 2,362,312 2,128,226</t>
  </si>
  <si>
    <t xml:space="preserve">Equity 253,615 244,003 251,775 242,121</t>
  </si>
  <si>
    <t xml:space="preserve">Bank 31 Dec. 2020</t>
  </si>
  <si>
    <t xml:space="preserve">Prior-year column of the same report.</t>
  </si>
  <si>
    <t xml:space="preserve">Profit for the year 29,658 59,474 29,570 59,489</t>
  </si>
  <si>
    <t xml:space="preserve">reports/pages/65822d2ab6a3/p0033.png</t>
  </si>
  <si>
    <t xml:space="preserve">Profit before tax 23,752 58,600 23,433 58,306</t>
  </si>
  <si>
    <t xml:space="preserve">Net impairment write back/(loss) on financial instruments 31.6 1,274 (10,171) 1,208 (10,170)</t>
  </si>
  <si>
    <t xml:space="preserve">Net write-back on all financial instruments; stored negative (expense-positive convention). Sign converted to expense-positive.</t>
  </si>
  <si>
    <t xml:space="preserve">Net cash flows used in operating activities 55,995 465,552 55,771 465,539</t>
  </si>
  <si>
    <t xml:space="preserve">reports/pages/65822d2ab6a3/p0037.png</t>
  </si>
  <si>
    <t xml:space="preserve">Gross loans and advances to customers 946,259 655,292 946,259 655,292</t>
  </si>
  <si>
    <t xml:space="preserve">reports/pages/65822d2ab6a3/p0071.png</t>
  </si>
  <si>
    <t xml:space="preserve">Credit impairments for loans and advances (25,215) (30,153) (25,215) (30,153)</t>
  </si>
  <si>
    <t xml:space="preserve">Loans and advances to customers 921,044 625,139 921,044 625,139</t>
  </si>
  <si>
    <t xml:space="preserve">Lifetime ECL credit-impaired (15,907) (21,963) (15,907) (21,963)</t>
  </si>
  <si>
    <t xml:space="preserve">Basel II 31 Dec 2021</t>
  </si>
  <si>
    <t xml:space="preserve">Total regulatory capital 226,940 226,940 176,542 182,720</t>
  </si>
  <si>
    <t xml:space="preserve">reports/pages/65822d2ab6a3/p0144.png</t>
  </si>
  <si>
    <t xml:space="preserve">2021 original report value; 2022 report restates 2021 comparative to 228,300 / 1,409,255 / 16.2% (logged as conflict).</t>
  </si>
  <si>
    <t xml:space="preserve">Total risk weight asset 1,405,941 1,405,941 1,140,396 1,140,396</t>
  </si>
  <si>
    <t xml:space="preserve">16.1%</t>
  </si>
  <si>
    <t xml:space="preserve">Total capital adequacy ratio 16.1% 16.1% 19.4% 19.6%</t>
  </si>
  <si>
    <t xml:space="preserve">Basel II adjusted for IFRS 9 transitional adjustment 31 Dec 2021</t>
  </si>
  <si>
    <t xml:space="preserve">Net impairment on all financial instruments. Sign converted to expense-positive.</t>
  </si>
  <si>
    <t xml:space="preserve">STAN20-T1</t>
  </si>
  <si>
    <t xml:space="preserve">tier1_capital</t>
  </si>
  <si>
    <t xml:space="preserve">Basel II 31 Dec 2020</t>
  </si>
  <si>
    <t xml:space="preserve">Eligible Tier I capital 207,305 207,305 202,809 204,868</t>
  </si>
  <si>
    <t xml:space="preserve">Eligible Tier I capital.</t>
  </si>
  <si>
    <t xml:space="preserve">STAN20-T2</t>
  </si>
  <si>
    <t xml:space="preserve">tier2_capital</t>
  </si>
  <si>
    <t xml:space="preserve">Eligible Tier II capital 19,635 19,635 18,599 18,600</t>
  </si>
  <si>
    <t xml:space="preserve">Eligible Tier II capital.</t>
  </si>
  <si>
    <t xml:space="preserve">STAN20-T1T</t>
  </si>
  <si>
    <t xml:space="preserve">tier1_capital_transitional</t>
  </si>
  <si>
    <t xml:space="preserve">Basel II adjusted for IFRS 9 transitional adjustment 31 Dec 2020</t>
  </si>
  <si>
    <t xml:space="preserve">STAN20-T2T</t>
  </si>
  <si>
    <t xml:space="preserve">tier2_capital_transitional</t>
  </si>
  <si>
    <t xml:space="preserve">19.4%</t>
  </si>
  <si>
    <t xml:space="preserve">Full-impact CAR.</t>
  </si>
  <si>
    <t xml:space="preserve">19.6%</t>
  </si>
  <si>
    <t xml:space="preserve">Transition-adjusted CAR.</t>
  </si>
  <si>
    <t xml:space="preserve">Independent auditor's report (front section, unnumbered)</t>
  </si>
  <si>
    <t xml:space="preserve">PwC report dated 21 February 2022</t>
  </si>
  <si>
    <t xml:space="preserve">Manual transcription of row /Independent auditor's report/ from rendered page image.</t>
  </si>
  <si>
    <t xml:space="preserve">reports/pages/65822d2ab6a3/p0026.png</t>
  </si>
  <si>
    <t xml:space="preserve">Full original-year PwC report (PDF pp.26-31) reviewed: unmodified; KAMs loan ECL, derivatives; no material-uncertainty section; no EoM. Directors' going-concern statement p.8. See data/review/going_concern_reviews.csv.</t>
  </si>
  <si>
    <t xml:space="preserve">PwC report dated 14 February 2023</t>
  </si>
  <si>
    <t xml:space="preserve">reports/pages/a74d246776f5/p0026.png</t>
  </si>
  <si>
    <t xml:space="preserve">Full original-year PwC report (PDF pp.26-30, image pages) reviewed: unmodified; KAM loan ECL; no material-uncertainty section; no EoM. See data/review/going_concern_reviews.csv.</t>
  </si>
  <si>
    <t xml:space="preserve">Zenith Bank Plc</t>
  </si>
  <si>
    <t xml:space="preserve">reports/zenith/zenith_xs-49af251957_291398ba80c1.pdf</t>
  </si>
  <si>
    <t xml:space="preserve">Bank Dec 2016</t>
  </si>
  <si>
    <t xml:space="preserve">Profit after tax 129,652 105,663 119,285 98,784</t>
  </si>
  <si>
    <t xml:space="preserve">reports/pages/291398ba80c1/p0032.png</t>
  </si>
  <si>
    <t xml:space="preserve">2026-10-10T16:54:01+00:00</t>
  </si>
  <si>
    <t xml:space="preserve">Headings 'Group' | 'Bank'</t>
  </si>
  <si>
    <t xml:space="preserve">Profit before income tax 156,748 125,616 139,927 115,220</t>
  </si>
  <si>
    <t xml:space="preserve">Impairment loss on financial assets 8 (32,350) (15,673) (26,295) (11,091)</t>
  </si>
  <si>
    <t xml:space="preserve">IAS 39 impairment on financial assets. Sign converted to expense-positive.</t>
  </si>
  <si>
    <t xml:space="preserve">Bank 31 Dec 2016</t>
  </si>
  <si>
    <t xml:space="preserve">Total assets 4,739,825 4,006,842 4,283,736 3,750,327</t>
  </si>
  <si>
    <t xml:space="preserve">reports/pages/291398ba80c1/p0033.png</t>
  </si>
  <si>
    <t xml:space="preserve">Total liabilities 4,035,360 3,412,489 3,667,383 3,203,381</t>
  </si>
  <si>
    <t xml:space="preserve">Total shareholders' equity 704,465 594,353 616,353 546,946</t>
  </si>
  <si>
    <t xml:space="preserve">Bank 31 Dec 2015</t>
  </si>
  <si>
    <t xml:space="preserve">Prior-year column of same report.</t>
  </si>
  <si>
    <t xml:space="preserve">Bank 2016</t>
  </si>
  <si>
    <t xml:space="preserve">Net cash flows used in operations (1,660) (450,747) (104,917) (415,649)</t>
  </si>
  <si>
    <t xml:space="preserve">reports/pages/291398ba80c1/p0036.png</t>
  </si>
  <si>
    <t xml:space="preserve">Net cash flows from operating activities after interest and tax paid.</t>
  </si>
  <si>
    <t xml:space="preserve">credit risk</t>
  </si>
  <si>
    <t xml:space="preserve">Bank Gross loans, 31 Dec 2016</t>
  </si>
  <si>
    <t xml:space="preserve">2,360,809 71,374 38,548 32,896 2,289,365 2,193,224 57,577 37,485 17,607 2,138,132</t>
  </si>
  <si>
    <t xml:space="preserve">reports/pages/291398ba80c1/p0065.png</t>
  </si>
  <si>
    <t xml:space="preserve">Unlabelled total row of regional loan table.</t>
  </si>
  <si>
    <t xml:space="preserve">Bank NPL, 31 Dec 2016</t>
  </si>
  <si>
    <t xml:space="preserve">NPL per regional loan table (CBN prudential basis per note heading in later reports; definition not restated on page).</t>
  </si>
  <si>
    <t xml:space="preserve">Bank Collective allowance</t>
  </si>
  <si>
    <t xml:space="preserve">Bank Specific allowance</t>
  </si>
  <si>
    <t xml:space="preserve">Bank Carrying amount</t>
  </si>
  <si>
    <t xml:space="preserve">Bank 31 Dec 2016 Basel II</t>
  </si>
  <si>
    <t xml:space="preserve">Total regulatory capital 681,926 561,448 565,277 484,709</t>
  </si>
  <si>
    <t xml:space="preserve">reports/pages/291398ba80c1/p0096.png</t>
  </si>
  <si>
    <t xml:space="preserve">Total risk-weighted assets 2,979,256 2,636,417 2,624,643 2,392,856</t>
  </si>
  <si>
    <t xml:space="preserve">Risk-weighted Capital Adequacy Ratio (CAR) 23 % 21 % 22 % 20 %</t>
  </si>
  <si>
    <t xml:space="preserve">Published whole-percent ratio.</t>
  </si>
  <si>
    <t xml:space="preserve">reports/zenith/zenith_xs-33b2ec1142_52a80c8a88d4.pdf</t>
  </si>
  <si>
    <t xml:space="preserve">Bank Dec 2017</t>
  </si>
  <si>
    <t xml:space="preserve">original (2017 current year)</t>
  </si>
  <si>
    <t xml:space="preserve">Profit for the year after tax 177,933 129,652 157,145 119,285</t>
  </si>
  <si>
    <t xml:space="preserve">reports/pages/52a80c8a88d4/p0029.png</t>
  </si>
  <si>
    <t xml:space="preserve">2026-10-10T16:54:02+00:00</t>
  </si>
  <si>
    <t xml:space="preserve">Profit before tax 203,461 156,748 173,563 139,927</t>
  </si>
  <si>
    <t xml:space="preserve">Impairment loss on financial assets 8 (98,227) (32,350) (95,244) (26,295)</t>
  </si>
  <si>
    <t xml:space="preserve">Bank 31-Dec-17</t>
  </si>
  <si>
    <t xml:space="preserve">Manual transcription of row /Total assets/ from rendered page image.</t>
  </si>
  <si>
    <t xml:space="preserve">reports/pages/52a80c8a88d4/p0030.png</t>
  </si>
  <si>
    <t xml:space="preserve">Balance sheet page has no text layer; transcribed from 160-dpi render; Bank columns; balance identity checked.</t>
  </si>
  <si>
    <t xml:space="preserve">Manual transcription of row /Total liabilities/ from rendered page image.</t>
  </si>
  <si>
    <t xml:space="preserve">Balance sheet page has no text layer; transcribed from 160-dpi render; Bank columns; balance identity checked. 2018 report re-presents 2017 liabilities as 4,135,675 (logged).</t>
  </si>
  <si>
    <t xml:space="preserve">Manual transcription of row /Total shareholders' equity/ from rendered page image.</t>
  </si>
  <si>
    <t xml:space="preserve">Balance sheet page has no text layer; transcribed from 160-dpi render; Bank columns; balance identity checked. 2018 report re-presents 2017 equity as 697,983 (logged).</t>
  </si>
  <si>
    <t xml:space="preserve">Bank 31-Dec-16</t>
  </si>
  <si>
    <t xml:space="preserve">Bank 2017</t>
  </si>
  <si>
    <t xml:space="preserve">Net cash flows used in operations (443) (1,660) (255,750) (104,917)</t>
  </si>
  <si>
    <t xml:space="preserve">reports/pages/52a80c8a88d4/p0033.png</t>
  </si>
  <si>
    <t xml:space="preserve">Bank Gross loans, 31 Dec 2017</t>
  </si>
  <si>
    <t xml:space="preserve">2,252,172 105,865 68,906 82,904 2,100,362 2,117,069 91,738 68,162 68,443 1,980,464</t>
  </si>
  <si>
    <t xml:space="preserve">reports/pages/52a80c8a88d4/p0067.png</t>
  </si>
  <si>
    <t xml:space="preserve">Bank NPL, 31 Dec 2017</t>
  </si>
  <si>
    <t xml:space="preserve">Bank December 31, 2017 Basel II</t>
  </si>
  <si>
    <t xml:space="preserve">Total regulatory capital 795,449 681,926 652,237 565,277</t>
  </si>
  <si>
    <t xml:space="preserve">reports/pages/52a80c8a88d4/p0098.png</t>
  </si>
  <si>
    <t xml:space="preserve">Total risk-weighted assets 2,987,516 2,979,256 2,670,248 2,624,643</t>
  </si>
  <si>
    <t xml:space="preserve">Risk-weighted Capital Adequacy Ratio (CAR) 27 % 23 % 24 % 22 %</t>
  </si>
  <si>
    <t xml:space="preserve">reports/zenith/zenith_xs-8181c8f3d6_d364dc5b6982.pdf</t>
  </si>
  <si>
    <t xml:space="preserve">Bank 31-Dec-18</t>
  </si>
  <si>
    <t xml:space="preserve">original (2018 current year)</t>
  </si>
  <si>
    <t xml:space="preserve">Profit for the year after tax 193,424 173,791 165,480 153,003</t>
  </si>
  <si>
    <t xml:space="preserve">reports/pages/d364dc5b6982/p0077.png</t>
  </si>
  <si>
    <t xml:space="preserve">2026-10-10T16:54:03+00:00</t>
  </si>
  <si>
    <t xml:space="preserve">Profit before tax 231,685 199,319 192,107 169,421</t>
  </si>
  <si>
    <t xml:space="preserve">Impairment loss on ﬁnancial and non-ﬁnancial instruments 8 (18,372) (98,227) (15,313) (95,244)</t>
  </si>
  <si>
    <t xml:space="preserve">Impairment on financial and non-financial instruments (broad). Sign converted to expense-positive.</t>
  </si>
  <si>
    <t xml:space="preserve">Total assets 5,955,710 5,595,253 4,739,825 4,955,445 4,833,658 4,283,736</t>
  </si>
  <si>
    <t xml:space="preserve">reports/pages/d364dc5b6982/p0078.png</t>
  </si>
  <si>
    <t xml:space="preserve">Total liabilitles 5,139,959 4,783,137 4,040,760 4,280,413 4,135,675 3,672,783</t>
  </si>
  <si>
    <t xml:space="preserve">Text layer spells 'liabilitles'.</t>
  </si>
  <si>
    <t xml:space="preserve">Total shareholders' equity 815,751 812,116 699,065 675,032 697,983 610,953</t>
  </si>
  <si>
    <t xml:space="preserve">Prior-year column of same report (2017 re-presented; total assets unchanged at 4,833,658).</t>
  </si>
  <si>
    <t xml:space="preserve">Bank 2018</t>
  </si>
  <si>
    <t xml:space="preserve">Net cash flows (used in)/generated from operations 94,352 20,722 184,314 (234,586)</t>
  </si>
  <si>
    <t xml:space="preserve">reports/pages/d364dc5b6982/p0082.png</t>
  </si>
  <si>
    <t xml:space="preserve">Bank Gross loans, 31 Dec 2018</t>
  </si>
  <si>
    <t xml:space="preserve">2,016,520 100,503 193,409 1,823,111 1,921,064 92,630 184,998 1,736,066</t>
  </si>
  <si>
    <t xml:space="preserve">reports/pages/d364dc5b6982/p0120.png</t>
  </si>
  <si>
    <t xml:space="preserve">Bank NPL, 31 Dec 2018</t>
  </si>
  <si>
    <t xml:space="preserve">Bank Impairment allowance, 31 Dec 2018</t>
  </si>
  <si>
    <t xml:space="preserve">IFRS 9 ECL on customer loans.</t>
  </si>
  <si>
    <t xml:space="preserve">Bank Carrying amount, 31 Dec 2018</t>
  </si>
  <si>
    <t xml:space="preserve">Bank 31-Dec-18 Basel II (full impact)</t>
  </si>
  <si>
    <t xml:space="preserve">Total regulatory capital 786,172 851,073 77773,827 795,449 641,524 703,653 657,131 677,841</t>
  </si>
  <si>
    <t xml:space="preserve">reports/pages/d364dc5b6982/p0165.png</t>
  </si>
  <si>
    <t xml:space="preserve">Full IFRS 9 impact; transition-adjusted column separate.</t>
  </si>
  <si>
    <t xml:space="preserve">Bank Adjusted impact of IFRS 9 transition 31-Dec-18</t>
  </si>
  <si>
    <t xml:space="preserve">Bank 31-Dec-18 Basel II</t>
  </si>
  <si>
    <t xml:space="preserve">Total risk-weighted assets 3,084,573 3,084,573 2,987,516 2,987,516 2,690,329 2,690,329 2,670,248 2,670,248</t>
  </si>
  <si>
    <t xml:space="preserve">24%</t>
  </si>
  <si>
    <t xml:space="preserve">Risk-weighted Capital 25% 28 % 26 % 27% 24% 26% 25% 25%</t>
  </si>
  <si>
    <t xml:space="preserve">26%</t>
  </si>
  <si>
    <t xml:space="preserve">Bank adjusted for IFRS 9 transition 31-Dec-18</t>
  </si>
  <si>
    <t xml:space="preserve">reports/zenith/zenith_xs-ed8929a255_57188935456c.pdf</t>
  </si>
  <si>
    <t xml:space="preserve">Bank 31-Dec-19</t>
  </si>
  <si>
    <t xml:space="preserve">original (2019 current year)</t>
  </si>
  <si>
    <t xml:space="preserve">Proﬁt for the year after tax 208,843 193,424 178,003 165,480</t>
  </si>
  <si>
    <t xml:space="preserve">reports/pages/57188935456c/p0081.png</t>
  </si>
  <si>
    <t xml:space="preserve">2026-10-10T16:54:04+00:00</t>
  </si>
  <si>
    <t xml:space="preserve">Proﬁt before tax 243,294 231,685 200,020 192,107</t>
  </si>
  <si>
    <t xml:space="preserve">Impairment loss on ﬁnancial and non-ﬁnancial instruments 8 (24,032) (18,372) (23,393) (15,313)</t>
  </si>
  <si>
    <t xml:space="preserve">Total assets 6,346,879 5,955,710 5,435,073 4,955,445</t>
  </si>
  <si>
    <t xml:space="preserve">reports/pages/57188935456c/p0082.png</t>
  </si>
  <si>
    <t xml:space="preserve">Total liabilitles 5,404,993 5,139,959 4,656,078 4,280,413</t>
  </si>
  <si>
    <t xml:space="preserve">Total shareholders' equity 941,886 815,751 778,995 675,032</t>
  </si>
  <si>
    <t xml:space="preserve">Bank 2019</t>
  </si>
  <si>
    <t xml:space="preserve">Net cash ﬂows (used in)/generated from operations 339,168 94,352 390,093 184,314</t>
  </si>
  <si>
    <t xml:space="preserve">reports/pages/57188935456c/p0086.png</t>
  </si>
  <si>
    <t xml:space="preserve">Bank Gross loans, 31 Dec 2019</t>
  </si>
  <si>
    <t xml:space="preserve">2,462,359 105,796 156,794 2,305,565 2,390,651 99,457 151,179 2,239,472</t>
  </si>
  <si>
    <t xml:space="preserve">reports/pages/57188935456c/p0121.png</t>
  </si>
  <si>
    <t xml:space="preserve">Bank NPL, 31 Dec 2019</t>
  </si>
  <si>
    <t xml:space="preserve">NPL presented per CBN prudential guidelines (stated on page).</t>
  </si>
  <si>
    <t xml:space="preserve">Bank Impairment allowance, 31 Dec 2019</t>
  </si>
  <si>
    <t xml:space="preserve">Bank Carrying amount, 31 Dec 2019</t>
  </si>
  <si>
    <t xml:space="preserve">Bank 31-Dec-19 Basel II (full impact)</t>
  </si>
  <si>
    <t xml:space="preserve">Total regulatory capital 910,554 953,822 77786,172 851,073 717,901 759,321 641,524 703,653</t>
  </si>
  <si>
    <t xml:space="preserve">reports/pages/57188935456c/p0169.png</t>
  </si>
  <si>
    <t xml:space="preserve">Bank Adjusted impact of IFRS 9 transition 31-Dec-19</t>
  </si>
  <si>
    <t xml:space="preserve">Bank 31-Dec-19 Basel II</t>
  </si>
  <si>
    <t xml:space="preserve">Total risk-weighted assets 4,196,156 4,196,156 3,084,573 3,084,573 3,669,402 3,669,402 2,690,329 2,690,329</t>
  </si>
  <si>
    <t xml:space="preserve">Risk-weighted Capital Adequacy 22 % 23 % 25 % 28 % 20 % 21 % 24 % 26 %</t>
  </si>
  <si>
    <t xml:space="preserve">Bank adjusted for IFRS 9 transition 31-Dec-19</t>
  </si>
  <si>
    <t xml:space="preserve">reports/zenith/zenith_xs-a0a09bb6aa_f68fa1bbcc8f.pdf</t>
  </si>
  <si>
    <t xml:space="preserve">Proﬁt for the year after tax 230,565 208,843 197,852 178,003</t>
  </si>
  <si>
    <t xml:space="preserve">reports/pages/f68fa1bbcc8f/p0086.png</t>
  </si>
  <si>
    <t xml:space="preserve">2026-10-10T16:54:05+00:00</t>
  </si>
  <si>
    <t xml:space="preserve">Proﬁt before tax 255,861 243,294 210,007 200,020</t>
  </si>
  <si>
    <t xml:space="preserve">Impairment loss on ﬁnancial and non-ﬁnancial instruments 8 (39,534) (24,032) (37,237) (23,393)</t>
  </si>
  <si>
    <t xml:space="preserve">Total assets 8,481,272 6,346,879 7,124,987 5,435,073</t>
  </si>
  <si>
    <t xml:space="preserve">reports/pages/f68fa1bbcc8f/p0087.png</t>
  </si>
  <si>
    <t xml:space="preserve">Total liabilitles 7,363,799 5,404,993 6,219,755 4,656,078</t>
  </si>
  <si>
    <t xml:space="preserve">Total shareholders' equity 1,117,473 941,886 905,232 778,995</t>
  </si>
  <si>
    <t xml:space="preserve">Bank 2020</t>
  </si>
  <si>
    <t xml:space="preserve">Net cash ﬂows (used in)/generated from operations 105,811 337,236 65,920 384,561</t>
  </si>
  <si>
    <t xml:space="preserve">reports/pages/f68fa1bbcc8f/p0091.png</t>
  </si>
  <si>
    <t xml:space="preserve">Gross loans and advances to customers 2,919,342 2,462,359 2,772,663 2,390,651</t>
  </si>
  <si>
    <t xml:space="preserve">reports/pages/f68fa1bbcc8f/p0208.png</t>
  </si>
  <si>
    <t xml:space="preserve">Less: ECL Allowance (see note 3.2.18) (140,315) (156,794) (132,866) (151,179)</t>
  </si>
  <si>
    <t xml:space="preserve">2,779,027 2,305,565 2,639,797 2,239,472</t>
  </si>
  <si>
    <t xml:space="preserve">Unlabelled net row.</t>
  </si>
  <si>
    <t xml:space="preserve">Guaranty Trust Bank (Nigeria)</t>
  </si>
  <si>
    <t xml:space="preserve">Bank (separate financial statements; 'Parent' = Guaranty Trust Bank Plc, the operating bank, pre-GTCO)</t>
  </si>
  <si>
    <t xml:space="preserve">reports/gtbank/gtbank_xs-a8f251ab0e_f056571f916f.pdf</t>
  </si>
  <si>
    <t xml:space="preserve">Parent Dec-2019</t>
  </si>
  <si>
    <t xml:space="preserve">Total assets 3,758,918,770 3,287,342,641 3,351,096,659 3,097,248,495 2,712,521,494 2,824,928,985</t>
  </si>
  <si>
    <t xml:space="preserve">reports/pages/f056571f916f/p0079.png</t>
  </si>
  <si>
    <t xml:space="preserve">2026-10-10T16:53:39+00:00</t>
  </si>
  <si>
    <t xml:space="preserve">Headings 'Group' | 'Parent' (Parent = Guaranty Trust Bank Plc, operating bank, pre-GTCO); capital note headed 'Bank'</t>
  </si>
  <si>
    <t xml:space="preserve">Total liabilities 3,071,581,302 2,711,065,400 2,731,057,990 2,491,358,899 2,202,335,655 2,247,841,948</t>
  </si>
  <si>
    <t xml:space="preserve">Total equity 687,337,468 576,277,241 620,038,669 605,889,596 510,185,839 577,087,037</t>
  </si>
  <si>
    <t xml:space="preserve">reports/pages/f056571f916f/p0080.png</t>
  </si>
  <si>
    <t xml:space="preserve">Parent Dec-2018</t>
  </si>
  <si>
    <t xml:space="preserve">Prior-period column of the same report (matched version).</t>
  </si>
  <si>
    <t xml:space="preserve">Profit for the year 196,849,281 184,711,029 175,125,281 166,753,084</t>
  </si>
  <si>
    <t xml:space="preserve">reports/pages/f056571f916f/p0081.png</t>
  </si>
  <si>
    <t xml:space="preserve">Profit before income tax 231,707,834 215,586,770 200,177,890 189,971,170</t>
  </si>
  <si>
    <t xml:space="preserve">Loan impairment charges 11 (4,911,666) (4,906,485) (2,221,501) (1,504,303)</t>
  </si>
  <si>
    <t xml:space="preserve">Loan impairment charge. Sign converted to expense-positive.</t>
  </si>
  <si>
    <t xml:space="preserve">Net impairment reversal/(charge) on other financial assets 16 100,473 (650,015) 362,254 120,299</t>
  </si>
  <si>
    <t xml:space="preserve">Impairment on other financial assets; reversal stored negative. Sign converted to expense-positive.</t>
  </si>
  <si>
    <t xml:space="preserve">Net cash provided by operating activities 267,127,947 261,061,518 197,853,667 224,625,664</t>
  </si>
  <si>
    <t xml:space="preserve">reports/pages/f056571f916f/p0087.png</t>
  </si>
  <si>
    <t xml:space="preserve">GTB19-GLI</t>
  </si>
  <si>
    <t xml:space="preserve">gross_loans_individuals</t>
  </si>
  <si>
    <t xml:space="preserve">Gross loans 205,366,246 154,984,279 155,378,003 102,815,320</t>
  </si>
  <si>
    <t xml:space="preserve">reports/pages/f056571f916f/p0256.png</t>
  </si>
  <si>
    <t xml:space="preserve">GTB19-ALI</t>
  </si>
  <si>
    <t xml:space="preserve">loan_allowance_individuals</t>
  </si>
  <si>
    <t xml:space="preserve">Total impairment (7,805,829) (7,380,676) (6,380,109) (5,059,241)</t>
  </si>
  <si>
    <t xml:space="preserve">GTB19-GLN</t>
  </si>
  <si>
    <t xml:space="preserve">gross_loans_non-individuals</t>
  </si>
  <si>
    <t xml:space="preserve">Gross loans 1,362,391,285 1,204,091,412 1,201,688,243 1,056,165,483</t>
  </si>
  <si>
    <t xml:space="preserve">GTB19-ALN</t>
  </si>
  <si>
    <t xml:space="preserve">loan_allowance_non-individuals</t>
  </si>
  <si>
    <t xml:space="preserve">Total impairment (59,379,656) (92,684,656) (49,865,490) (85,922,543)</t>
  </si>
  <si>
    <t xml:space="preserve">Total carrying amount (individual and non individual) 1,500,572,046 1,259,010,359 1,300,820,647 1,067,999,019</t>
  </si>
  <si>
    <t xml:space="preserve">GTB19-S3I</t>
  </si>
  <si>
    <t xml:space="preserve">stage3_allowance_individuals</t>
  </si>
  <si>
    <t xml:space="preserve">Impairment on Stage 3 - Non Performing Loans (6,122,826) (5,385,491) (5,690,363) (5,001,254)</t>
  </si>
  <si>
    <t xml:space="preserve">GTB19-S3N</t>
  </si>
  <si>
    <t xml:space="preserve">stage3_allowance_non-individuals</t>
  </si>
  <si>
    <t xml:space="preserve">Impairment on Stage 3 - Non Performing Loans (45,757,949) (75,777,491) (39,813,598) (69,666,741)</t>
  </si>
  <si>
    <t xml:space="preserve">reports/gtbank/gtbank_xs-21e7fbfbf9_3a2533a7c5ff.pdf</t>
  </si>
  <si>
    <t xml:space="preserve">Total assets 3,287,342,641 3,351,096,659 3,116,393,439 2,712,521,494 2,824,928,985 2,613,340,074</t>
  </si>
  <si>
    <t xml:space="preserve">reports/pages/3a2533a7c5ff/p0082.png</t>
  </si>
  <si>
    <t xml:space="preserve">Headings 'Group' | 'Parent'; Parent = Guaranty Trust Bank Plc, the reporting operating bank (GTCO holding company formed 2021)</t>
  </si>
  <si>
    <t xml:space="preserve">Total liabilities 2,711,775,294 2,731,696,449 2,614,701,214 2,200,679,235 2,246,352,209 2,139,632,831</t>
  </si>
  <si>
    <t xml:space="preserve">Total equity 575,567,347 619,400,210 501,692,225 511,842,259 578,576,776 473,707,243</t>
  </si>
  <si>
    <t xml:space="preserve">reports/pages/3a2533a7c5ff/p0083.png</t>
  </si>
  <si>
    <t xml:space="preserve">Parent Dec-2017 (Restated)</t>
  </si>
  <si>
    <t xml:space="preserve">Profit for the year 184,639,594 167,912,658 166,919,765 158,727,705</t>
  </si>
  <si>
    <t xml:space="preserve">reports/pages/3a2533a7c5ff/p0084.png</t>
  </si>
  <si>
    <t xml:space="preserve">Profit before income tax 215,586,770 197,685,045 190,209,286 183,647,629</t>
  </si>
  <si>
    <t xml:space="preserve">Loan impairment charges 11 (4,906,485) (12,169,120) (1,504,303) (10,834,612)</t>
  </si>
  <si>
    <t xml:space="preserve">Net impairment reversal/(loss) on financial assets 16 (650,015) (696,680) 120,299 (696,680)</t>
  </si>
  <si>
    <t xml:space="preserve">Net cash provided by operating activities 261,061,518 357,159,854 224,625,664 353,397,327</t>
  </si>
  <si>
    <t xml:space="preserve">reports/pages/3a2533a7c5ff/p0090.png</t>
  </si>
  <si>
    <t xml:space="preserve">GTB18-GLI</t>
  </si>
  <si>
    <t xml:space="preserve">Gross loans 154,984,279 102,815,320</t>
  </si>
  <si>
    <t xml:space="preserve">reports/pages/3a2533a7c5ff/p0266.png</t>
  </si>
  <si>
    <t xml:space="preserve">GTB18-ALI</t>
  </si>
  <si>
    <t xml:space="preserve">Total impairment (7,380,676) (5,059,241)</t>
  </si>
  <si>
    <t xml:space="preserve">GTB18-GLN</t>
  </si>
  <si>
    <t xml:space="preserve">Gross loans 1,204,091,412 1,056,165,483</t>
  </si>
  <si>
    <t xml:space="preserve">GTB18-ALN</t>
  </si>
  <si>
    <t xml:space="preserve">Total impairment (92,684,656) (85,922,543)</t>
  </si>
  <si>
    <t xml:space="preserve">Total carrying amount (individual and non individual) 1,259,010,359 1,067,999,019</t>
  </si>
  <si>
    <t xml:space="preserve">GTB18-S3I</t>
  </si>
  <si>
    <t xml:space="preserve">Impairment on Stage 3 - Non Performing Loans (5,385,491) (5,001,254)</t>
  </si>
  <si>
    <t xml:space="preserve">GTB18-S3N</t>
  </si>
  <si>
    <t xml:space="preserve">Impairment on Stage 3 - Non Performing Loans (75,777,491) (69,666,741)</t>
  </si>
  <si>
    <t xml:space="preserve">Parent Dec-2017</t>
  </si>
  <si>
    <t xml:space="preserve">Parent Jan-2017 (Restated)</t>
  </si>
  <si>
    <t xml:space="preserve">GTB17-GLI</t>
  </si>
  <si>
    <t xml:space="preserve">Gross loans 166,066,450 105,319,029</t>
  </si>
  <si>
    <t xml:space="preserve">reports/pages/3a2533a7c5ff/p0267.png</t>
  </si>
  <si>
    <t xml:space="preserve">GTB17-ALI</t>
  </si>
  <si>
    <t xml:space="preserve">Total impairment (3,608,137) (2,620,599)</t>
  </si>
  <si>
    <t xml:space="preserve">GTB17-GLN</t>
  </si>
  <si>
    <t xml:space="preserve">Gross loans 1,350,256,690 1,220,931,366</t>
  </si>
  <si>
    <t xml:space="preserve">GTB17-ALN</t>
  </si>
  <si>
    <t xml:space="preserve">Total impairment (64,181,573) (57,658,108)</t>
  </si>
  <si>
    <t xml:space="preserve">Total carrying amount (individual and non individual) 1,448,533,430 1,265,971,688</t>
  </si>
  <si>
    <t xml:space="preserve">First Bank of Nigeria Limited</t>
  </si>
  <si>
    <t xml:space="preserve">reports/first_bank/first_bank_xs-809800e65f_9025f76439c4.pdf</t>
  </si>
  <si>
    <t xml:space="preserve">BANK 2017</t>
  </si>
  <si>
    <t xml:space="preserve">Total assets 5,014,248 4,514,789 3,777,039 3,557,782</t>
  </si>
  <si>
    <t xml:space="preserve">reports/pages/9025f76439c4/p0006.png</t>
  </si>
  <si>
    <t xml:space="preserve">Auditor's report listed in the document index (p.9) is not included in this PDF; audit opinion not inspected here.</t>
  </si>
  <si>
    <t xml:space="preserve">2026-10-10T16:53:35+00:00</t>
  </si>
  <si>
    <t xml:space="preserve">Headings 'GROUP' | 'BANK'; document is First Bank of Nigeria Limited's own consolidated and separate statements</t>
  </si>
  <si>
    <t xml:space="preserve">Total liabilities 4,386,659 3,996,851 3,197,196 3,071,695</t>
  </si>
  <si>
    <t xml:space="preserve">Total equity 627,589 517,938 579,843 486,087</t>
  </si>
  <si>
    <t xml:space="preserve">PROFIT FOR THE YEAR 49,955 10,451 46,918 50,072</t>
  </si>
  <si>
    <t xml:space="preserve">reports/pages/9025f76439c4/p0004.png</t>
  </si>
  <si>
    <t xml:space="preserve">Profit for the year (continuing + discontinued). Auditor's report listed in the document index (p.9) is not included in this PDF; audit opinion not inspected here.</t>
  </si>
  <si>
    <t xml:space="preserve">Profit before tax 57,108 10,675 52,263 54,733</t>
  </si>
  <si>
    <t xml:space="preserve">Impairment charge for credit losses 9 (141,275) (224,948) (126,190) (159,841)</t>
  </si>
  <si>
    <t xml:space="preserve">IAS 39 impairment charge for credit losses (note 9). Auditor's report listed in the document index (p.9) is not included in this PDF; audit opinion not inspected here. Sign converted to expense-positive.</t>
  </si>
  <si>
    <t xml:space="preserve">Net cash flow generated from/ (used in) operating activities 354,842 166,896 113,212 (171,230)</t>
  </si>
  <si>
    <t xml:space="preserve">reports/pages/9025f76439c4/p0009.png</t>
  </si>
  <si>
    <t xml:space="preserve">BANK 31 December 2017 Gross amount</t>
  </si>
  <si>
    <t xml:space="preserve">1,837,515 133,484 45,235 178,719 1,658,796</t>
  </si>
  <si>
    <t xml:space="preserve">reports/pages/9025f76439c4/p0060.png</t>
  </si>
  <si>
    <t xml:space="preserve">Includes advances under finance lease. Auditor's report listed in the document index (p.9) is not included in this PDF; audit opinion not inspected here.</t>
  </si>
  <si>
    <t xml:space="preserve">BANK 31 December 2017 Specific impairment</t>
  </si>
  <si>
    <t xml:space="preserve">BANK 31 December 2017 Collective impairment</t>
  </si>
  <si>
    <t xml:space="preserve">BANK 31 December 2017 Total impairment</t>
  </si>
  <si>
    <t xml:space="preserve">BANK 31 December 2017 Carrying amount</t>
  </si>
  <si>
    <t xml:space="preserve">Bank 31 Dec 2017 Basel II</t>
  </si>
  <si>
    <t xml:space="preserve">Total regulatory capital 589,277 551,027 535,692 501,256</t>
  </si>
  <si>
    <t xml:space="preserve">reports/pages/9025f76439c4/p0051.png</t>
  </si>
  <si>
    <t xml:space="preserve">Total risk-weighted assets 3,534,563 3,416,354 3,019,880 2,818,158</t>
  </si>
  <si>
    <t xml:space="preserve">17.74%</t>
  </si>
  <si>
    <t xml:space="preserve">Risk-weighted Capital Adequacy Ratio (CAR) 16.67% 16.13% 17.74% 17.79%</t>
  </si>
  <si>
    <t xml:space="preserve">The Central Bank of Nigeria prescribed a minimum limit of 15% of total qualifying capital/total risk weighted assets as a measure of capital adequacy of banks with</t>
  </si>
  <si>
    <t xml:space="preserve">15% minimum for banks with international licence. Auditor's report listed in the document index (p.9) is not included in this PDF; audit opinion not inspected here.</t>
  </si>
  <si>
    <t xml:space="preserve">BANK 2016</t>
  </si>
  <si>
    <t xml:space="preserve">BANK 31 December 2016 Gross amount</t>
  </si>
  <si>
    <t xml:space="preserve">1,933,407 210,105 30,590 240,695 1,692,712</t>
  </si>
  <si>
    <t xml:space="preserve">BANK 31 December 2016 Specific impairment</t>
  </si>
  <si>
    <t xml:space="preserve">BANK 31 December 2016 Collective impairment</t>
  </si>
  <si>
    <t xml:space="preserve">BANK 31 December 2016 Total impairment</t>
  </si>
  <si>
    <t xml:space="preserve">BANK 31 December 2016 Carrying amount</t>
  </si>
  <si>
    <t xml:space="preserve">17.79%</t>
  </si>
  <si>
    <t xml:space="preserve">Prior-year column of same report. Auditor's report listed in the document index (p.9) is not included in this PDF; audit opinion not inspected here.</t>
  </si>
  <si>
    <t xml:space="preserve">Fidelity Bank Plc</t>
  </si>
  <si>
    <t xml:space="preserve">Bank (single-entity financial statements; one set of columns, no consolidated subsidiaries presented)</t>
  </si>
  <si>
    <t xml:space="preserve">Total Assets 3,989,009 3,280,454</t>
  </si>
  <si>
    <t xml:space="preserve">reports/pages/c9e9859cf693/p0139.png</t>
  </si>
  <si>
    <t xml:space="preserve">single_entity</t>
  </si>
  <si>
    <t xml:space="preserve">Single set of columns headed '2022' | '2021 *Restated'; no Group columns; entity Fidelity Bank Plc</t>
  </si>
  <si>
    <t xml:space="preserve">TOTAL LIABILITIES 3,674,649 2,995,160</t>
  </si>
  <si>
    <t xml:space="preserve">Total equity 314,360 285,294</t>
  </si>
  <si>
    <t xml:space="preserve">Profit For The Year 46,724 23,104</t>
  </si>
  <si>
    <t xml:space="preserve">reports/pages/c9e9859cf693/p0138.png</t>
  </si>
  <si>
    <t xml:space="preserve">Profit before income tax 53,677 25,215</t>
  </si>
  <si>
    <t xml:space="preserve">Credit loss expense 8 (5,443) (7,034)</t>
  </si>
  <si>
    <t xml:space="preserve">Credit loss expense (note 8), all financial assets. Sign converted to expense-positive.</t>
  </si>
  <si>
    <t xml:space="preserve">Net cash flows from/(used in) operating activities 297,592 (107,190)</t>
  </si>
  <si>
    <t xml:space="preserve">reports/pages/c9e9859cf693/p0141.png</t>
  </si>
  <si>
    <t xml:space="preserve">2,196,760 1,732,543</t>
  </si>
  <si>
    <t xml:space="preserve">reports/pages/c9e9859cf693/p0225.png</t>
  </si>
  <si>
    <t xml:space="preserve">Unlabelled gross subtotal (corporate + individuals).</t>
  </si>
  <si>
    <t xml:space="preserve">Less: Allowance for ECL/impairment losses (80,548) (74,131)</t>
  </si>
  <si>
    <t xml:space="preserve">2,116,212 1,658,412</t>
  </si>
  <si>
    <t xml:space="preserve">Total Tier 1 &amp; Tier 2 Capital 289,500 292,323</t>
  </si>
  <si>
    <t xml:space="preserve">reports/pages/c9e9859cf693/p0209.png</t>
  </si>
  <si>
    <t xml:space="preserve">Total qualifying capital (Basel II).</t>
  </si>
  <si>
    <t xml:space="preserve">Total risk-weighted assets 1,595,729 1,526,722</t>
  </si>
  <si>
    <t xml:space="preserve">18.14%</t>
  </si>
  <si>
    <t xml:space="preserve">Capital Adequacy Ratio (CAR) 18.14% 19.15%</t>
  </si>
  <si>
    <t xml:space="preserve">Minimum Capital Adequacy Ratio 15% 15%</t>
  </si>
  <si>
    <t xml:space="preserve">2021 *Restated</t>
  </si>
  <si>
    <t xml:space="preserve">comparative (labelled *Restated)</t>
  </si>
  <si>
    <t xml:space="preserve">19.15%</t>
  </si>
  <si>
    <t xml:space="preserve">Prior-year (restated) column of same report.</t>
  </si>
  <si>
    <t xml:space="preserve">Independent auditor's report</t>
  </si>
  <si>
    <t xml:space="preserve">KPMG Professional Services (Kabir O. Okunlola) report 21 March 2019</t>
  </si>
  <si>
    <t xml:space="preserve">original (2018 auditor's report)</t>
  </si>
  <si>
    <t xml:space="preserve">reports/pages/34acce333bfe/p0056.png</t>
  </si>
  <si>
    <t xml:space="preserve">Text-layer review of every auditor-report page: section headings, opinion paragraph, and search for material-uncertainty, emphasis-of-matter and modified-opinion wording. Auditor pages (PDF) 56-61; opinion: Unmodified (true and fair); MU section: No; EoM: No.</t>
  </si>
  <si>
    <t xml:space="preserve">Ernst &amp; Young (Anthony Oputa) report 2021-03-18</t>
  </si>
  <si>
    <t xml:space="preserve">original (2020 auditor's report)</t>
  </si>
  <si>
    <t xml:space="preserve">reports/pages/6bfdfbd2701b/p0047.png</t>
  </si>
  <si>
    <t xml:space="preserve">Text-layer review of every auditor-report page: section headings, opinion paragraph, and search for material-uncertainty, emphasis-of-matter and modified-opinion wording. Auditor pages (PDF) 47-51; opinion: Unmodified (true and fair); MU section: No; EoM: No. Other matter: 2019 audited by another auditor (unmodified 27 Feb 2020) - not used to code 2019.</t>
  </si>
  <si>
    <t xml:space="preserve">Ernst &amp; Young (Babayomi Ajijola) report 2023-04-17</t>
  </si>
  <si>
    <t xml:space="preserve">original (2022 auditor's report)</t>
  </si>
  <si>
    <t xml:space="preserve">reports/pages/ba3b2866fb7d/p0052.png</t>
  </si>
  <si>
    <t xml:space="preserve">Text-layer review of every auditor-report page: section headings, opinion paragraph, and search for material-uncertainty, emphasis-of-matter and modified-opinion wording. Auditor pages (PDF) 52-57; opinion: Unmodified (true and fair); MU section: No; EoM: No.</t>
  </si>
  <si>
    <t xml:space="preserve">Akintola Williams Deloitte report 2017-03-31</t>
  </si>
  <si>
    <t xml:space="preserve">original (2016 auditor's report)</t>
  </si>
  <si>
    <t xml:space="preserve">reports/pages/c57237be8b72/p0058.png</t>
  </si>
  <si>
    <t xml:space="preserve">Text-layer review of every auditor-report page: section headings, opinion paragraph, and search for material-uncertainty, emphasis-of-matter and modified-opinion wording. Auditor pages (PDF) 58-62; opinion: Unmodified (true and fair); MU section: No; EoM: No.</t>
  </si>
  <si>
    <t xml:space="preserve">Deloitte &amp; Touche (Michael Osinloye) report 2021-04-26</t>
  </si>
  <si>
    <t xml:space="preserve">reports/pages/3c780c6c38ec/p0028.png</t>
  </si>
  <si>
    <t xml:space="preserve">Text-layer review of every auditor-report page: section headings, opinion paragraph, and search for material-uncertainty, emphasis-of-matter and modified-opinion wording. Auditor pages (PDF) 28-31; opinion: Unmodified (true and fair); MU section: No; EoM: No.</t>
  </si>
  <si>
    <t xml:space="preserve">KPMG Professional Services report 2023-04-18</t>
  </si>
  <si>
    <t xml:space="preserve">reports/pages/2b1f6641f711/p0109.png</t>
  </si>
  <si>
    <t xml:space="preserve">Text-layer review of every auditor-report page: section headings, opinion paragraph, and search for material-uncertainty, emphasis-of-matter and modified-opinion wording. Auditor pages (PDF) 109-112; opinion: Unmodified (true and fair); MU section: No; EoM: No.</t>
  </si>
  <si>
    <t xml:space="preserve">Auditor's report on the Bank's (single-entity) financial statements</t>
  </si>
  <si>
    <t xml:space="preserve">Ernst &amp; Young report 2020-03-06</t>
  </si>
  <si>
    <t xml:space="preserve">original (2019 auditor's report)</t>
  </si>
  <si>
    <t xml:space="preserve">reports/pages/448187770f22/p0057.png</t>
  </si>
  <si>
    <t xml:space="preserve">Text-layer review of every auditor-report page: section headings, opinion paragraph, and search for material-uncertainty, emphasis-of-matter and modified-opinion wording. Auditor pages (PDF) 57-59; opinion: Unmodified (present fairly); MU section: No; EoM: No.</t>
  </si>
  <si>
    <t xml:space="preserve">Deloitte &amp; Touche (Yetunde Odetayo) report 25 April 2023</t>
  </si>
  <si>
    <t xml:space="preserve">reports/pages/c9e9859cf693/p0130.png</t>
  </si>
  <si>
    <t xml:space="preserve">Text-layer review of every auditor-report page: section headings, opinion paragraph, and search for material-uncertainty, emphasis-of-matter and modified-opinion wording. Auditor pages (PDF) 130-135; opinion: Unmodified (true and fair); MU section: No; EoM: No.</t>
  </si>
  <si>
    <t xml:space="preserve">Sterling Bank</t>
  </si>
  <si>
    <t xml:space="preserve">Ernst &amp; Young report 2015-03-03</t>
  </si>
  <si>
    <t xml:space="preserve">original (2014 auditor's report)</t>
  </si>
  <si>
    <t xml:space="preserve">reports/pages/32cbd03e856c/p0053.png</t>
  </si>
  <si>
    <t xml:space="preserve">Text-layer review of every auditor-report page: section headings, opinion paragraph, and search for material-uncertainty, emphasis-of-matter and modified-opinion wording. Auditor pages (PDF) 53-54; opinion: Unmodified (present fairly); MU section: No; EoM: No.</t>
  </si>
  <si>
    <t xml:space="preserve">PricewaterhouseCoopers (Obioma Ubah) report 2019-02-22</t>
  </si>
  <si>
    <t xml:space="preserve">reports/pages/3a2533a7c5ff/p0076.png</t>
  </si>
  <si>
    <t xml:space="preserve">Text-layer review of every auditor-report page: section headings, opinion paragraph, and search for material-uncertainty, emphasis-of-matter and modified-opinion wording. Auditor pages (PDF) 76-80; opinion: Unmodified (true and fair); MU section: No; EoM: No.</t>
  </si>
  <si>
    <t xml:space="preserve">PricewaterhouseCoopers (Obioma Ubah) report 2020-02-28</t>
  </si>
  <si>
    <t xml:space="preserve">reports/pages/f056571f916f/p0073.png</t>
  </si>
  <si>
    <t xml:space="preserve">Text-layer review of every auditor-report page: section headings, opinion paragraph, and search for material-uncertainty, emphasis-of-matter and modified-opinion wording. Auditor pages (PDF) 73-77; opinion: Unmodified (true and fair); MU section: No; EoM: No.</t>
  </si>
  <si>
    <t xml:space="preserve">KPMG Professional Services report 2020-02-10</t>
  </si>
  <si>
    <t xml:space="preserve">reports/pages/57188935456c/p0073.png</t>
  </si>
  <si>
    <t xml:space="preserve">Text-layer review of every auditor-report page: section headings, opinion paragraph, and search for material-uncertainty, emphasis-of-matter and modified-opinion wording. Auditor pages (PDF) 73-80; opinion: Unmodified (true and fair); MU section: No; EoM: No.</t>
  </si>
  <si>
    <t xml:space="preserve">Unity Bank Plc</t>
  </si>
  <si>
    <t xml:space="preserve">KPMG Professional Services report 2020-05-20</t>
  </si>
  <si>
    <t xml:space="preserve">reports/pages/ef5ce4fa3fcd/p0018.png</t>
  </si>
  <si>
    <t xml:space="preserve">Text-layer review of every auditor-report page: section headings, opinion paragraph, and search for material-uncertainty, emphasis-of-matter and modified-opinion wording. Auditor pages (PDF) 18-22; opinion: Unmodified (true and fair) - 'Our opinion is not modified in respect of this matter'; MU section: Yes; EoM: Yes (comparative information restated). MU section: total liabilities exceeded total assets by N279bn; CAR below 10% national minimum (Note 35). Unmodified opinion with explicit material uncertainty.</t>
  </si>
  <si>
    <t xml:space="preserve">Bank (separate financial statements; 'Bank' columns of capital note)</t>
  </si>
  <si>
    <t xml:space="preserve">Capital adequacy ratio (other notes)</t>
  </si>
  <si>
    <t xml:space="preserve">Bank Full Impact Dec-2019</t>
  </si>
  <si>
    <t xml:space="preserve">Manual transcription of row /Total Qualifying Capital (C=A+B)/ from rendered page image.</t>
  </si>
  <si>
    <t xml:space="preserve">reports/pages/f056571f916f/p0209.png</t>
  </si>
  <si>
    <t xml:space="preserve">Capital table printed rotated; text layer rotated, values transcribed from 170-dpi render rotated upright; Bank columns.</t>
  </si>
  <si>
    <t xml:space="preserve">Manual transcription of row /Aggregate/ from rendered page image.</t>
  </si>
  <si>
    <t xml:space="preserve">20.66%</t>
  </si>
  <si>
    <t xml:space="preserve">Manual transcription of row /Total Risk-Weighted Capital Ratio/ from rendered page image.</t>
  </si>
  <si>
    <t xml:space="preserve">Capital table printed rotated; text layer rotated, values transcribed from 170-dpi render rotated upright; Bank columns. Matches narrative 'Bank capital adequacy ratio was 20.66%'.</t>
  </si>
  <si>
    <t xml:space="preserve">Bank Transitional Arrangement Impact Dec-2019</t>
  </si>
  <si>
    <t xml:space="preserve">Capital table printed rotated; text layer rotated, values transcribed from 170-dpi render rotated upright; Bank columns. Transitional RWA 2,091,893,281 differs from full-impact RWA.</t>
  </si>
  <si>
    <t xml:space="preserve">24.74%</t>
  </si>
  <si>
    <t xml:space="preserve">Ernst &amp; Young (Oluwasayo Elumaro) report 11 March 2020</t>
  </si>
  <si>
    <t xml:space="preserve">reports/pages/9440f1ef2e04/p0026.png</t>
  </si>
  <si>
    <t xml:space="preserve">Full auditor report read from rendered image pages (PDF pp.26-31, printed 25-30): unmodified opinion (present fairly); KAM: ECL on financial instruments; no material-uncertainty section; no emphasis of matter.</t>
  </si>
  <si>
    <t xml:space="preserve">PricewaterhouseCoopers (Samuel Abu) report 22 February 2021</t>
  </si>
  <si>
    <t xml:space="preserve">reports/pages/f68fa1bbcc8f/p0073.png</t>
  </si>
  <si>
    <t xml:space="preserve">Full auditor report read from rendered pages (PDF pp.73-77, printed 71-75; text layer garbled): unmodified (true and fair); KAM: ECL on loans; no material-uncertainty section; no emphasis of matter.</t>
  </si>
  <si>
    <t xml:space="preserve">Bank 31 Dec. 2018</t>
  </si>
  <si>
    <t xml:space="preserve">reports/pages/2b85bab4f18a/p0009.png</t>
  </si>
  <si>
    <t xml:space="preserve">Scanned page with no text layer; transcribed from the 110-dpi render (checked at 220 dpi); Bank column; balance identity and line-item sums checked.</t>
  </si>
  <si>
    <t xml:space="preserve">Column groups headed 'Group' | 'Bank'; Bank sub-columns '31 Dec. 2018' | '31 Dec. 2017'; entity Stanbic IBTC Bank PLC</t>
  </si>
  <si>
    <t xml:space="preserve">Manual transcription of row /Liabilities/ from rendered page image.</t>
  </si>
  <si>
    <t xml:space="preserve">Manual transcription of row /Equity/ from rendered page image.</t>
  </si>
  <si>
    <t xml:space="preserve">Manual transcription of row /Loans and advances to customers/ from rendered page image.</t>
  </si>
  <si>
    <t xml:space="preserve">Scanned page with no text layer; transcribed from the 110-dpi render (checked at 220 dpi); Bank column; balance identity and line-item sums checked. Net of impairment; gross not shown in this extract.</t>
  </si>
  <si>
    <t xml:space="preserve">Bank 31 Dec. 2017</t>
  </si>
  <si>
    <t xml:space="preserve">Scanned page with no text layer; transcribed from the 110-dpi render (checked at 220 dpi); Bank column; balance identity and line-item sums checked. Prior-year column of the same statement.</t>
  </si>
  <si>
    <t xml:space="preserve">Profit for the period 50,790 28,842 49,912 28,156</t>
  </si>
  <si>
    <t xml:space="preserve">reports/pages/2b85bab4f18a/p0010.png</t>
  </si>
  <si>
    <t xml:space="preserve">Profit before tax 53,307 30,345 52,058 29,374</t>
  </si>
  <si>
    <t xml:space="preserve">Net impairment write back/(loss) on financial assets 30.6 2,988 (25,577) 2,988 (25,577)</t>
  </si>
  <si>
    <t xml:space="preserve">Row 'Net impairment write back/(loss) on financial assets' prints losses in parentheses; the printed 2,988 is a net write-back, stored as -2,988 under the panel's expense-positive convention.</t>
  </si>
  <si>
    <t xml:space="preserve">KPMG (Kabir O. Okunlola) report dated 7 February 2019</t>
  </si>
  <si>
    <t xml:space="preserve">reports/pages/2b85bab4f18a/p0001.png</t>
  </si>
  <si>
    <t xml:space="preserve">Every page of the scanned KPMG report read from renders (PDF pp.1-8): opinion unmodified on consolidated and separate statements; KAMs: loan impairment allowance (ECL), deferred tax assets, derivative valuation; no material-uncertainty section; no emphasis of matter or other matter; going-concern text only in standard responsibility paragraphs. Signature p.8.</t>
  </si>
  <si>
    <t xml:space="preserve">Bank 31 Dec. 2019</t>
  </si>
  <si>
    <t xml:space="preserve">reports/pages/76ed890d08e1/p0008.png</t>
  </si>
  <si>
    <t xml:space="preserve">Column groups headed 'Group' | 'Bank'; Bank sub-columns '31 Dec. 2019' | '31 Dec. 2018'; entity Stanbic IBTC Bank PLC</t>
  </si>
  <si>
    <t xml:space="preserve">Profit for the year 52,509 50,790 52,287 49,912</t>
  </si>
  <si>
    <t xml:space="preserve">reports/pages/76ed890d08e1/p0009.png</t>
  </si>
  <si>
    <t xml:space="preserve">Profit before tax 57,742 53,307 56,983 52,058</t>
  </si>
  <si>
    <t xml:space="preserve">Net impairment loss/(write back) on financial instruments 31.6 (1,664) 2,988 (1,664) 2,988</t>
  </si>
  <si>
    <t xml:space="preserve">Row 'Net impairment loss/(write back) on financial instruments' prints the net loss in parentheses; stored expense-positive.</t>
  </si>
  <si>
    <t xml:space="preserve">KPMG (Kabir O. Okunlola) report dated 11 February 2020</t>
  </si>
  <si>
    <t xml:space="preserve">reports/pages/76ed890d08e1/p0001.png</t>
  </si>
  <si>
    <t xml:space="preserve">Every page of the scanned KPMG report read from renders (PDF pp.1-7): opinion unmodified on consolidated and separate statements; KAMs: loan impairment allowance (ECL), deferred tax assets, derivative valuation; no material-uncertainty section; no emphasis of matter or other matter; going-concern text only in standard responsibility paragraphs. Signature p.7.</t>
  </si>
  <si>
    <t xml:space="preserve">reports/fidelity/fidelity_xs-4319eadb2e_d4a29ef72c54.pdf</t>
  </si>
  <si>
    <t xml:space="preserve">Statement of financial position (page carries no printed page number)</t>
  </si>
  <si>
    <t xml:space="preserve">original (2014 current year)</t>
  </si>
  <si>
    <t xml:space="preserve">TOTAL ASSETS 1,187,025 1,081,217</t>
  </si>
  <si>
    <t xml:space="preserve">reports/pages/d4a29ef72c54/p0098.png</t>
  </si>
  <si>
    <t xml:space="preserve">SFP; printed page number absent on this page</t>
  </si>
  <si>
    <t xml:space="preserve">2026-10-10T21:15:35+00:00</t>
  </si>
  <si>
    <t xml:space="preserve">Single set of columns headed '2014' | '2013' (N'million); no Group columns; entity Fidelity Bank Plc</t>
  </si>
  <si>
    <t xml:space="preserve">TOTAL LIABILITIES 1,013,914 917,762</t>
  </si>
  <si>
    <t xml:space="preserve">Total equity 173,111 163,455</t>
  </si>
  <si>
    <t xml:space="preserve">PROFIT FOR THE YEAR 13,796 7,721</t>
  </si>
  <si>
    <t xml:space="preserve">reports/pages/d4a29ef72c54/p0096.png</t>
  </si>
  <si>
    <t xml:space="preserve">Profit before income tax 15,515 9,028</t>
  </si>
  <si>
    <t xml:space="preserve">Net cash flows from /(used in) operating activities 53,565 (37,679)</t>
  </si>
  <si>
    <t xml:space="preserve">reports/pages/d4a29ef72c54/p0100.png</t>
  </si>
  <si>
    <t xml:space="preserve">Net cash flows from operating activities 53,565</t>
  </si>
  <si>
    <t xml:space="preserve">original (2013 comparative)</t>
  </si>
  <si>
    <t xml:space="preserve">prior-year column of 2014 SFP</t>
  </si>
  <si>
    <t xml:space="preserve">Impairment charge 8 (4,306) (8,140)</t>
  </si>
  <si>
    <t xml:space="preserve">printed (4,306) Sign converted to expense-positive.</t>
  </si>
  <si>
    <t xml:space="preserve">printed in parentheses; panel stores positive</t>
  </si>
  <si>
    <t xml:space="preserve">Gross amount (31 December 2014 (N'million))</t>
  </si>
  <si>
    <t xml:space="preserve">559,137 (10,848) (6,603) (17,451) 541,686</t>
  </si>
  <si>
    <t xml:space="preserve">reports/pages/d4a29ef72c54/p0162.png</t>
  </si>
  <si>
    <t xml:space="preserve">unlabelled total row of 2014 block of note 21 table</t>
  </si>
  <si>
    <t xml:space="preserve">Total impairment (31 December 2014 (N'million))</t>
  </si>
  <si>
    <t xml:space="preserve">total allowance (17,451) Sign converted to expense-positive.</t>
  </si>
  <si>
    <t xml:space="preserve">Individual impairment (31 December 2014 (N'million))</t>
  </si>
  <si>
    <t xml:space="preserve">individual (specific) allowance (10,848) Sign converted to expense-positive.</t>
  </si>
  <si>
    <t xml:space="preserve">Collective impairment (31 December 2014 (N'million))</t>
  </si>
  <si>
    <t xml:space="preserve">collective allowance (6,603) Sign converted to expense-positive.</t>
  </si>
  <si>
    <t xml:space="preserve">Loans and advances to customers 21 541,686 426,076</t>
  </si>
  <si>
    <t xml:space="preserve">SFP net loans 541,686 = note 21 carrying amount</t>
  </si>
  <si>
    <t xml:space="preserve">Total Tier 1 &amp; Tier 2 Capital 198,886 187,288</t>
  </si>
  <si>
    <t xml:space="preserve">reports/pages/d4a29ef72c54/p0154.png</t>
  </si>
  <si>
    <t xml:space="preserve">Total Tier 1 &amp; Tier 2 Capital (Tier 2 restricted to 33.33% of Tier 1)</t>
  </si>
  <si>
    <t xml:space="preserve">Total risk-weighted assets 821,527 860,352</t>
  </si>
  <si>
    <t xml:space="preserve">24.21%</t>
  </si>
  <si>
    <t xml:space="preserve">Total Capital Adequacy Ratio (CAR) 24.21% 21.77%</t>
  </si>
  <si>
    <t xml:space="preserve">15.00%</t>
  </si>
  <si>
    <t xml:space="preserve">Minimum Regulatory Capital Adequacy Ratio 15.00% 15.00%</t>
  </si>
  <si>
    <t xml:space="preserve">Ernst &amp; Young (Kayode A. Famutimi) and PKF (Najeeb A. Abdus-salaam) joint report dated 23 March 2015</t>
  </si>
  <si>
    <t xml:space="preserve">Manual transcription of row /Independent auditor/ from rendered page image.</t>
  </si>
  <si>
    <t xml:space="preserve">reports/pages/d4a29ef72c54/p0092.png</t>
  </si>
  <si>
    <t xml:space="preserve">Independent Joint Auditors' Report pp.92-93 (printed 92-93), Ernst &amp; Young (Kayode A. Famutimi, FRC/2012/ICAN/00000000155) and PKF Professional Services (Najeeb A. Abdus-salaam, FRC/2013/ICAN/00000000753), dated 23 March 2015, signed p.93. Unmodified opinion on Fidelity Bank Plc financial statements (single entity). MU: No. EoM: No. No KAMs (pre-ISA 701). Management GC: note 2.1.2 p.102.</t>
  </si>
  <si>
    <t xml:space="preserve">reports/fidelity/fidelity_xs-b9bdc37238_f7ab4f9d176f.pdf</t>
  </si>
  <si>
    <t xml:space="preserve">31 Dec 2015</t>
  </si>
  <si>
    <t xml:space="preserve">original (2015 current year)</t>
  </si>
  <si>
    <t xml:space="preserve">Other operating income 10 8,496 14,598 TOTAL ASSETS 1,231,722 1,187,025</t>
  </si>
  <si>
    <t xml:space="preserve">reports/pages/f7ab4f9d176f/p0050.png</t>
  </si>
  <si>
    <t xml:space="preserve">Statement of financial position, TOTAL ASSETS 1,231,722 (row text shares a line with P&amp;L "Other operating income" on the spread).</t>
  </si>
  <si>
    <t xml:space="preserve">2026-10-10T21:15:36+00:00</t>
  </si>
  <si>
    <t xml:space="preserve">Single set of columns headed '31 Dec 2015' | '31 Dec 2014'; no Group columns; entity Fidelity Bank Plc</t>
  </si>
  <si>
    <t xml:space="preserve">Profit For The Year 13,904 13,796 TOTAL LIABILITIES 1,048,206 1,013,914</t>
  </si>
  <si>
    <t xml:space="preserve">TOTAL LIABILITIES 1,048,206 (row shares line with P&amp;L "Profit For The Year").</t>
  </si>
  <si>
    <t xml:space="preserve">obligations Total equity 183,516 173,111</t>
  </si>
  <si>
    <t xml:space="preserve">Total equity 183,516.</t>
  </si>
  <si>
    <t xml:space="preserve">Profit For The Year 13,904.</t>
  </si>
  <si>
    <t xml:space="preserve">Single set of columns headed '2015' | '2014'; no Group columns; entity Fidelity Bank Plc</t>
  </si>
  <si>
    <t xml:space="preserve">Profit before income tax 14,024 15,515 Debts issued and other borrowed funds 29 141,975 117,541</t>
  </si>
  <si>
    <t xml:space="preserve">Profit before income tax 14,024.</t>
  </si>
  <si>
    <t xml:space="preserve">Net cash flows from operating activities 107,132 53,565</t>
  </si>
  <si>
    <t xml:space="preserve">reports/pages/f7ab4f9d176f/p0051.png</t>
  </si>
  <si>
    <t xml:space="preserve">Net cash flows from operating activities 107,132.</t>
  </si>
  <si>
    <t xml:space="preserve">31 Dec 2014</t>
  </si>
  <si>
    <t xml:space="preserve">Prior-year column of the 2015 SOFP: TOTAL ASSETS 1,187,025.</t>
  </si>
  <si>
    <t xml:space="preserve">Impairment charge 8 (5,764) (4,306)</t>
  </si>
  <si>
    <t xml:space="preserve">Impairment charge (5,764); note 8 includes loan charge 6,034 net of 270 reversal of other provisions. Sign converted to expense-positive.</t>
  </si>
  <si>
    <t xml:space="preserve">printed in parentheses (expense); stored positive</t>
  </si>
  <si>
    <t xml:space="preserve">Gross loans and advances to customers 598,978 559,137</t>
  </si>
  <si>
    <t xml:space="preserve">reports/pages/f7ab4f9d176f/p0084.png</t>
  </si>
  <si>
    <t xml:space="preserve">Gross loans and advances to customers 598,978 (note 21.3 security analysis; agrees to note 21 gross amount).</t>
  </si>
  <si>
    <t xml:space="preserve">31 December 2015 (Total impairment)</t>
  </si>
  <si>
    <t xml:space="preserve">598,978 (13,440) (7,336) (20,776) 578,203</t>
  </si>
  <si>
    <t xml:space="preserve">reports/pages/f7ab4f9d176f/p0083.png</t>
  </si>
  <si>
    <t xml:space="preserve">Note 21 table, 31 December 2015 total row: Total impairment (20,776); agrees to reconciliation closing balance 20,776. Sign converted to expense-positive.</t>
  </si>
  <si>
    <t xml:space="preserve">printed in parentheses; stored positive</t>
  </si>
  <si>
    <t xml:space="preserve">31 December 2015 (Individual impairment)</t>
  </si>
  <si>
    <t xml:space="preserve">Note 21 total row: Individual impairment (13,440). Sign converted to expense-positive.</t>
  </si>
  <si>
    <t xml:space="preserve">31 December 2015 (Collective impairment)</t>
  </si>
  <si>
    <t xml:space="preserve">Note 21 total row: Collective impairment (7,336). Sign converted to expense-positive.</t>
  </si>
  <si>
    <t xml:space="preserve">Loans and advances to customers 21 578,203 541,686</t>
  </si>
  <si>
    <t xml:space="preserve">Loans and advances to customers 578,203.</t>
  </si>
  <si>
    <t xml:space="preserve">Total Tier 1 &amp; Tier 2 Capital 191,595 196,102 Other segment information</t>
  </si>
  <si>
    <t xml:space="preserve">reports/pages/f7ab4f9d176f/p0079.png</t>
  </si>
  <si>
    <t xml:space="preserve">Capital Management (note 3): Total Tier 1 &amp; Tier 2 Capital 191,595 (Tier 1 143,696 + qualifying Tier 2 47,899).</t>
  </si>
  <si>
    <t xml:space="preserve">Total risk-weighted assets 1,012,062 821,527 Retail Corporate Investment Public</t>
  </si>
  <si>
    <t xml:space="preserve">Total risk-weighted assets 1,012,062 (credit 772,107 + market 89,766 + operational 150,189).</t>
  </si>
  <si>
    <t xml:space="preserve">19%</t>
  </si>
  <si>
    <t xml:space="preserve">Total Capital Adequacy Ratio (CAR) 19% 24% At 31 December 2014</t>
  </si>
  <si>
    <t xml:space="preserve">Total Capital Adequacy Ratio (CAR) 19% (printed rounded to whole percent).</t>
  </si>
  <si>
    <t xml:space="preserve">Minimum Regulatory Capital Adequacy Ratio 15% 15% banking banking banking sector</t>
  </si>
  <si>
    <t xml:space="preserve">Minimum Regulatory Capital Adequacy Ratio 15% (printed).</t>
  </si>
  <si>
    <t xml:space="preserve">Joint auditors: Ernst &amp; Young and PKF Professional Services (Chartered Accountants), Lagos report dated 21 March 2016</t>
  </si>
  <si>
    <t xml:space="preserve">reports/pages/f7ab4f9d176f/p0048.png</t>
  </si>
  <si>
    <t xml:space="preserve">Independent Auditors' Report (joint: Ernst &amp; Young / PKF Professional Services) on PDF p48 (printed 94-95), signed 21 March 2016; unmodified opinion on Fidelity Bank Plc financial statements; MU: No; EoM: No; no other-matter paragraph; no KAMs (pre-ISA 701). PDF p49 is a section divider. Mgmt GC: note 2.1.2 'Going Concern' p52 (printed 103).</t>
  </si>
  <si>
    <t xml:space="preserve">Single entity Fidelity Bank Plc; one set of columns '2015' | '2014'</t>
  </si>
  <si>
    <t xml:space="preserve">reports/fidelity/fidelity_xs-b3fea7725b_3487f356802a.pdf</t>
  </si>
  <si>
    <t xml:space="preserve">31 December 2016</t>
  </si>
  <si>
    <t xml:space="preserve">reports/pages/3487f356802a/p0026.png</t>
  </si>
  <si>
    <t xml:space="preserve">page has no text layer; transcribed from 110-dpi render (verified on 300-dpi crop); statement of financial position as at 31 December 2016; components sum to total</t>
  </si>
  <si>
    <t xml:space="preserve">Single set of columns headed '2016' | '2015' (SoFP: '31 December 2016' | '31 December 2015'); no Group columns; entity Fidelity Bank Plc</t>
  </si>
  <si>
    <t xml:space="preserve">page has no text layer; transcribed from 110-dpi render (verified on 300-dpi crop); statement of financial position as at 31 December 2016</t>
  </si>
  <si>
    <t xml:space="preserve">Manual transcription of row /Total equity/ from rendered page image.</t>
  </si>
  <si>
    <t xml:space="preserve">page has no text layer; transcribed from 110-dpi render (verified on 300-dpi crop); statement of financial position as at 31 December 2016; A-L-E=0</t>
  </si>
  <si>
    <t xml:space="preserve">31 December 2015</t>
  </si>
  <si>
    <t xml:space="preserve">page has no text layer; transcribed from 110-dpi render (verified on 300-dpi crop); statement of financial position as at 31 December 2016; prior-year (31 December 2015) column of the 2016 report</t>
  </si>
  <si>
    <t xml:space="preserve">PROFIT FOR THE YEAR 9,734 13,904</t>
  </si>
  <si>
    <t xml:space="preserve">reports/pages/3487f356802a/p0025.png</t>
  </si>
  <si>
    <t xml:space="preserve">Statement of profit or loss and OCI; 9,734</t>
  </si>
  <si>
    <t xml:space="preserve">Profit before income tax 11,061 14,024</t>
  </si>
  <si>
    <t xml:space="preserve">Impairment charge 8 (8,671) (5,764)</t>
  </si>
  <si>
    <t xml:space="preserve">(8,671); ties to note 8 not checked; loan-only charge in reconciliation p88 is 7,336 Sign converted to expense-positive.</t>
  </si>
  <si>
    <t xml:space="preserve">printed in parentheses (expense)</t>
  </si>
  <si>
    <t xml:space="preserve">Net cash flow (used in)/ from operating activities (56,907) 107,132</t>
  </si>
  <si>
    <t xml:space="preserve">reports/pages/3487f356802a/p0028.png</t>
  </si>
  <si>
    <t xml:space="preserve">(56,907) net cash used in operating activities</t>
  </si>
  <si>
    <t xml:space="preserve">31 December 2016 / Gross amount</t>
  </si>
  <si>
    <t xml:space="preserve">743,120 -15,027 -9,692 -24,719 718,401</t>
  </si>
  <si>
    <t xml:space="preserve">reports/pages/3487f356802a/p0087.png</t>
  </si>
  <si>
    <t xml:space="preserve">Note 21 unlabelled total row: gross 743,120; also printed as Gross on p57 credit-quality table</t>
  </si>
  <si>
    <t xml:space="preserve">31 December 2016 / Total impairment</t>
  </si>
  <si>
    <t xml:space="preserve">-24,719 = 15,027 individual + 9,692 collective Sign converted to expense-positive.</t>
  </si>
  <si>
    <t xml:space="preserve">printed negative (minus sign)</t>
  </si>
  <si>
    <t xml:space="preserve">31 December 2016 / Individual impairment</t>
  </si>
  <si>
    <t xml:space="preserve">-15,027 Sign converted to expense-positive.</t>
  </si>
  <si>
    <t xml:space="preserve">31 December 2016 / Collective impairment</t>
  </si>
  <si>
    <t xml:space="preserve">-9,692 Sign converted to expense-positive.</t>
  </si>
  <si>
    <t xml:space="preserve">31 December 2016 / Carrying amount</t>
  </si>
  <si>
    <t xml:space="preserve">718,401; equals SoFP p26 Loans and advances to customers 718,401</t>
  </si>
  <si>
    <t xml:space="preserve">Total Tier 1 &amp; Tier 2 Capital 196,913 191,547</t>
  </si>
  <si>
    <t xml:space="preserve">reports/pages/3487f356802a/p0080.png</t>
  </si>
  <si>
    <t xml:space="preserve">196,913 = adjusted Tier1 147,096 + Tier2 49,817</t>
  </si>
  <si>
    <t xml:space="preserve">Total risk-weighted assets 1,138,258 1,012,062</t>
  </si>
  <si>
    <t xml:space="preserve">1,138,258 = credit 914,809 + market 62,506 + operational 160,943</t>
  </si>
  <si>
    <t xml:space="preserve">17.22%</t>
  </si>
  <si>
    <t xml:space="preserve">Capital Adequacy Ratio (CAR) 17.22% 19%</t>
  </si>
  <si>
    <t xml:space="preserve">17.22% printed; 196,913/1,138,258 = 17.30% (0.08pp gap)</t>
  </si>
  <si>
    <t xml:space="preserve">15% printed in table; narrative on p79 cites 10% for a National bank</t>
  </si>
  <si>
    <t xml:space="preserve">Ernst &amp; Young and PKF Professional Services (joint auditors) report dated 29 March 2017</t>
  </si>
  <si>
    <t xml:space="preserve">reports/pages/3487f356802a/p0020.png</t>
  </si>
  <si>
    <t xml:space="preserve">Joint auditors Ernst &amp; Young and PKF Professional Services; report PDF pp20-24 (p24 image-only, signatures, 29 March 2017); unmodified opinion on Bank financial statements; MU: No; EoM: No; GC only in boilerplate directors/auditor responsibility text (p22-23)</t>
  </si>
  <si>
    <t xml:space="preserve">reports/fidelity/fidelity_xs-8a5bcdb2fe_a1452a787ce3.pdf</t>
  </si>
  <si>
    <t xml:space="preserve">31 Dec 2017</t>
  </si>
  <si>
    <t xml:space="preserve">TOTAL ASSETS 1,379,214 1,298,141</t>
  </si>
  <si>
    <t xml:space="preserve">reports/pages/a1452a787ce3/p0052.png</t>
  </si>
  <si>
    <t xml:space="preserve">Statement of financial position, TOTAL ASSETS, 31 Dec 2017 column (N'million).</t>
  </si>
  <si>
    <t xml:space="preserve">2026-10-10T21:15:37+00:00</t>
  </si>
  <si>
    <t xml:space="preserve">Single set of columns headed '2017' | '2016' (SOFP: '31 Dec 2017' | '31 Dec 2016'); no Group columns; entity Fidelity Bank Plc</t>
  </si>
  <si>
    <t xml:space="preserve">TOTAL LIABILITIES 1,175,899 1,112,739</t>
  </si>
  <si>
    <t xml:space="preserve">Statement of financial position, TOTAL LIABILITIES, 31 Dec 2017 column.</t>
  </si>
  <si>
    <t xml:space="preserve">to profit or loss in subsequent period Total equity 203,315 185,402</t>
  </si>
  <si>
    <t xml:space="preserve">SOFP 'Total equity' 203,315 (row merged in text layer with P&amp;L/OCI caption on left half of spread). Statement of changes in equity prints 203,314 (rounding).</t>
  </si>
  <si>
    <t xml:space="preserve">Profit For The Year 18,857 9,734 Share capital 31 14,481 14,481</t>
  </si>
  <si>
    <t xml:space="preserve">Statement of profit or loss, 'Profit For The Year', 2017 column.</t>
  </si>
  <si>
    <t xml:space="preserve">Profit before income tax 20,302 11,061</t>
  </si>
  <si>
    <t xml:space="preserve">Statement of profit or loss, 'Profit before income tax', 2017 column.</t>
  </si>
  <si>
    <t xml:space="preserve">Non- distributable regulatory reserve N’million 33,480 - - - - - (17,209) 16,271 - - - - - 12,566 28,837 Net cash flow (used in)/ from operating activities (38,026) (125,170)</t>
  </si>
  <si>
    <t xml:space="preserve">reports/pages/a1452a787ce3/p0053.png</t>
  </si>
  <si>
    <t xml:space="preserve">Statement of cash flows 'Net cash flow (used in)/from operating activities' (38,026); text-layer row merged with SOCE 'Non-distributable regulatory reserve' row on left half of spread; x-range isolates the cash-flow 2017 column.</t>
  </si>
  <si>
    <t xml:space="preserve">31 Dec 2016</t>
  </si>
  <si>
    <t xml:space="preserve">Prior-year (31 Dec 2016) TOTAL ASSETS column of the 2017 report's statement of financial position.</t>
  </si>
  <si>
    <t xml:space="preserve">Impairment charge 8 (11,315) (8,671) • Held to maturity 22.3 108,784 138,134</t>
  </si>
  <si>
    <t xml:space="preserve">Statement of profit or loss 'Impairment charge' (note 8), printed (11,315). Note 21.1 loan-only charge is 11,179. Sign converted to expense-positive.</t>
  </si>
  <si>
    <t xml:space="preserve">Income-statement impairment charge printed in brackets; stored as positive expense.</t>
  </si>
  <si>
    <t xml:space="preserve">Gross loans and advances to customers 795,315 743,120</t>
  </si>
  <si>
    <t xml:space="preserve">reports/pages/a1452a787ce3/p0087.png</t>
  </si>
  <si>
    <t xml:space="preserve">Note 21.3 'Gross loans and advances to customers' 795,315 (agrees with note 21 table gross amount total).</t>
  </si>
  <si>
    <t xml:space="preserve">Total</t>
  </si>
  <si>
    <t xml:space="preserve">Balance at 31 December 2017 8,511 14,207 3,860 - 26,578</t>
  </si>
  <si>
    <t xml:space="preserve">reports/pages/a1452a787ce3/p0086.png</t>
  </si>
  <si>
    <t xml:space="preserve">Note 21.1 reconciliation of impairment allowance on loans and advances to customers, 'Balance at 31 December 2017', Total column 26,578 (printed positive here; shown as (26,578) in note 21 table). = individual 16,077 + collective 10,501.</t>
  </si>
  <si>
    <t xml:space="preserve">Individual impairment 3,550 8,776 3,751 - 16,077</t>
  </si>
  <si>
    <t xml:space="preserve">Note 21.1 closing-balance block (immediately above 'Balance at 31 December 2017'), 'Individual impairment' Total 16,077. Occurrence 1 among rows starting with the label (earlier label rows begin with other text).</t>
  </si>
  <si>
    <t xml:space="preserve">Collective impairment 4,961 5,431 109 - 10,501</t>
  </si>
  <si>
    <t xml:space="preserve">Note 21.1 closing-balance block, 'Collective impairment' Total 10,501 (occurrence 2: first starting-row is the 2017 charge 5,786).</t>
  </si>
  <si>
    <t xml:space="preserve">Interest and similar income 6 150,742 123,153 Loans and advances to customers 21 768,737 718,401</t>
  </si>
  <si>
    <t xml:space="preserve">SOFP 'Loans and advances to customers' (note 21) 768,737; row merged in text layer with P&amp;L 'Interest and similar income' on left half of spread.</t>
  </si>
  <si>
    <t xml:space="preserve">31 December 2017</t>
  </si>
  <si>
    <t xml:space="preserve">Total Tier 1 &amp; Tier 2 Capital 179,341 196,079 Total 75,320 66,093 38,483 - 179,896</t>
  </si>
  <si>
    <t xml:space="preserve">reports/pages/a1452a787ce3/p0082.png</t>
  </si>
  <si>
    <t xml:space="preserve">Capital management (Risk Management Report section 4): 'Total Tier 1 &amp; Tier 2 Capital' 179,341.</t>
  </si>
  <si>
    <t xml:space="preserve">Total risk-weighted assets 1,118,786 1,138,258</t>
  </si>
  <si>
    <t xml:space="preserve">Capital management: 'Total risk-weighted assets' 1,118,786 (credit 869,324 + market 77,786 + operational 171,676).</t>
  </si>
  <si>
    <t xml:space="preserve">16.03%</t>
  </si>
  <si>
    <t xml:space="preserve">Capital Adequacy Ratio (CAR) 16.03% 17.23% Profit for the year 13,411 2,084 3,362 - 18,858</t>
  </si>
  <si>
    <t xml:space="preserve">Capital management: 'Capital Adequacy Ratio (CAR)' 16.03%.</t>
  </si>
  <si>
    <t xml:space="preserve">Minimum Capital Adequacy Ratio 15.00% 15.00%</t>
  </si>
  <si>
    <t xml:space="preserve">Capital management: 'Minimum Capital Adequacy Ratio' 15.00%.</t>
  </si>
  <si>
    <t xml:space="preserve">Ernst &amp; Young and PKF Professional Services (joint auditors), Lagos, Nigeria report dated 2018-04-19</t>
  </si>
  <si>
    <t xml:space="preserve">reports/pages/a1452a787ce3/p0048.png</t>
  </si>
  <si>
    <t xml:space="preserve">Joint auditors' report (Ernst &amp; Young and PKF Professional Services) on PDF pp48(right half, printed 95)-50 (printed 99); all pages have a text layer and were also rendered. Unmodified opinion on the Bank's financial statements (Fidelity Bank PLC, single entity). MU: No. EoM: No (no emphasis-of-matter or other-matter paragraphs). Only boilerplate going-concern responsibility text (directors' and auditors' responsibilities). One KAM: Loans and advances - Impairment. Signed April 19, 2018 (PDF p50).</t>
  </si>
  <si>
    <t xml:space="preserve">reports/fidelity/fidelity_xs-2060f5735d_283b370ea4d0.pdf</t>
  </si>
  <si>
    <t xml:space="preserve">Total Assets 2,758,148 2,114,037</t>
  </si>
  <si>
    <t xml:space="preserve">reports/pages/283b370ea4d0/p0137.png</t>
  </si>
  <si>
    <t xml:space="preserve">Statement of financial position as at 31 December 2020; 2,758,148</t>
  </si>
  <si>
    <t xml:space="preserve">2026-10-10T21:15:38+00:00</t>
  </si>
  <si>
    <t xml:space="preserve">Single set of columns headed '2020' | '2019' (N'million); no Group columns; entity Fidelity Bank Plc</t>
  </si>
  <si>
    <t xml:space="preserve">TOTAL LIABILITIES 2,484,615 1,880,007</t>
  </si>
  <si>
    <t xml:space="preserve">SOFP TOTAL LIABILITIES 2,484,615</t>
  </si>
  <si>
    <t xml:space="preserve">Total equity 273,533 234,030</t>
  </si>
  <si>
    <t xml:space="preserve">SOFP Total equity 273,533</t>
  </si>
  <si>
    <t xml:space="preserve">Profit For The Year 26,650 28,425</t>
  </si>
  <si>
    <t xml:space="preserve">reports/pages/283b370ea4d0/p0136.png</t>
  </si>
  <si>
    <t xml:space="preserve">Statement of profit or loss; Profit for the year 26,650</t>
  </si>
  <si>
    <t xml:space="preserve">Profit before income tax expense 28,054 30,353</t>
  </si>
  <si>
    <t xml:space="preserve">Profit before income tax expense 28,054</t>
  </si>
  <si>
    <t xml:space="preserve">Net cash flows (used in) operating activities 242,619 (26,051)</t>
  </si>
  <si>
    <t xml:space="preserve">reports/pages/283b370ea4d0/p0139.png</t>
  </si>
  <si>
    <t xml:space="preserve">Statement of cash flows; Net cash flows (used in) operating activities 242,619 (inflow)</t>
  </si>
  <si>
    <t xml:space="preserve">Prior-year column of 2020 SOFP: Total Assets 2,114,037 (SOFP comparative not marked restated; only P&amp;L comparatives carry * restated, see Note 45)</t>
  </si>
  <si>
    <t xml:space="preserve">Credit loss (expense)/reversal 8 (16,858) 5,292</t>
  </si>
  <si>
    <t xml:space="preserve">Credit loss (expense)/reversal (16,858); prior year was a reversal of 5,292 Sign converted to expense-positive.</t>
  </si>
  <si>
    <t xml:space="preserve">printed in parentheses as expense; panel stores positive</t>
  </si>
  <si>
    <t xml:space="preserve">31 Dec, 2020</t>
  </si>
  <si>
    <t xml:space="preserve">1,393,624 1,178,389</t>
  </si>
  <si>
    <t xml:space="preserve">reports/pages/283b370ea4d0/p0216.png</t>
  </si>
  <si>
    <t xml:space="preserve">Note 22 unlabelled gross subtotal (Loans to corporate and other organisations 1,340,202 + Loans to individuals 53,422 = 1,393,624, printed); same figure printed as Gross in Loans and advances to customers column on p181</t>
  </si>
  <si>
    <t xml:space="preserve">Less: Allowance for ECL/impairment losses (67,518) (51,415)</t>
  </si>
  <si>
    <t xml:space="preserve">Note 22 Less: Allowance for ECL/impairment losses (67,518) = corporate (66,943) + individuals (575) Sign converted to expense-positive.</t>
  </si>
  <si>
    <t xml:space="preserve">Loans and advances to customers 22 1,326,106 1,126,974</t>
  </si>
  <si>
    <t xml:space="preserve">SOFP Loans and advances to customers 1,326,106 (agrees to note 22 p216)</t>
  </si>
  <si>
    <t xml:space="preserve">31 December 2020</t>
  </si>
  <si>
    <t xml:space="preserve">Total Tier 1 &amp; Tier 2 Capital 243,690 214,064</t>
  </si>
  <si>
    <t xml:space="preserve">reports/pages/283b370ea4d0/p0203.png</t>
  </si>
  <si>
    <t xml:space="preserve">Capital management note: Total Tier 1 &amp; Tier 2 Capital 243,690</t>
  </si>
  <si>
    <t xml:space="preserve">Total risk-weighted assets 1,340,211 1,170,669</t>
  </si>
  <si>
    <t xml:space="preserve">Total risk-weighted assets 1,340,211</t>
  </si>
  <si>
    <t xml:space="preserve">18.18%</t>
  </si>
  <si>
    <t xml:space="preserve">Capital Adequacy Ratio (CAR) 18.18% 18.29%</t>
  </si>
  <si>
    <t xml:space="preserve">CAR 18.18%</t>
  </si>
  <si>
    <t xml:space="preserve">Minimum CAR 15% (internationally licensed bank)</t>
  </si>
  <si>
    <t xml:space="preserve">Ernst &amp; Young (Chartered Accountants), Lagos, Nigeria report dated 2021-03-26</t>
  </si>
  <si>
    <t xml:space="preserve">reports/pages/283b370ea4d0/p0128.png</t>
  </si>
  <si>
    <t xml:space="preserve">Independent Auditor's Report to the Members of Fidelity Bank Plc, PDF pp128-133 (all have text layer; pp134-135 rendered at 110 dpi: p134 is an advert, p135 the 'Financial Statements' divider, not part of the report). Ernst &amp; Young, signed Jamiu Olakisan FCA FRC/2013/ICAN/00000003918, Lagos, 26 March 2021 (p133). Unmodified (true and fair) opinion on the Bank's financial statements. MU: No. EoM: No (no emphasis or other-matter paragraphs); going concern appears only in boilerplate responsibilities text (pp131-132). KAM: Expected Credit Loss on financial assets and off-balance sheet exposures. Management GC disclosure: Note 2.1.3 'Going Concern' (Covid-19) p141; also basis of preparation p140 and directors' statement p127.</t>
  </si>
  <si>
    <t xml:space="preserve">Bank (single-entity financial statements; one pair of columns, equity attributable to equity holders of the Bank)</t>
  </si>
  <si>
    <t xml:space="preserve">reports/wema/wema_xs-24238b1f7e_d185cdd34de5.pdf</t>
  </si>
  <si>
    <t xml:space="preserve">Statement of financial position</t>
  </si>
  <si>
    <t xml:space="preserve">31 December 2013</t>
  </si>
  <si>
    <t xml:space="preserve">original (2013 current year)</t>
  </si>
  <si>
    <t xml:space="preserve">TOTAL ASSETS 330,872,475 245,704,597</t>
  </si>
  <si>
    <t xml:space="preserve">reports/pages/d185cdd34de5/p0001.png</t>
  </si>
  <si>
    <t xml:space="preserve">Exchange filing of the primary statements only (no auditor's report in file). 2013 comparatives in the 2014 NGX filing (xs-e1d6798692) agree for assets, liabilities, equity, PBT, PAT and impairment.</t>
  </si>
  <si>
    <t xml:space="preserve">2026-10-11T07:39:24+00:00</t>
  </si>
  <si>
    <t xml:space="preserve">Single pair of columns '31 December 2013' | '31 December 2012', 'In thousands of Nigerian Naira'; equity attributable to equity holders of the Bank; entity Wema Bank Plc</t>
  </si>
  <si>
    <t xml:space="preserve">TOTAL LIABILITIES 289,477,324 244,426,282</t>
  </si>
  <si>
    <t xml:space="preserve">TOTAL EQUITY 41,395,151 1,278,315</t>
  </si>
  <si>
    <t xml:space="preserve">Note 18</t>
  </si>
  <si>
    <t xml:space="preserve">Loans and advances to customers 18 98,631,825 73,745,728</t>
  </si>
  <si>
    <t xml:space="preserve">31 December 2012</t>
  </si>
  <si>
    <t xml:space="preserve">Exchange filing of the primary statements only (no auditor's report in file). 2013 comparatives in the 2014 NGX filing (xs-e1d6798692) agree for assets, liabilities, equity, PBT, PAT and impairment. Prior-year column of the same statement.</t>
  </si>
  <si>
    <t xml:space="preserve">Statement of comprehensive income</t>
  </si>
  <si>
    <t xml:space="preserve">Profit before tax 1,947,308 (4,942,211)</t>
  </si>
  <si>
    <t xml:space="preserve">reports/pages/d185cdd34de5/p0002.png</t>
  </si>
  <si>
    <t xml:space="preserve">Profit for the year 1,596,531 (5,040,629)</t>
  </si>
  <si>
    <t xml:space="preserve">Note 11</t>
  </si>
  <si>
    <t xml:space="preserve">Net impairment loss/write back on financial assets 11 1,329,627 (4,952,760)</t>
  </si>
  <si>
    <t xml:space="preserve">Exchange filing of the primary statements only (no auditor's report in file). 2013 comparatives in the 2014 NGX filing (xs-e1d6798692) agree for assets, liabilities, equity, PBT, PAT and impairment. Sign converted to expense-positive.</t>
  </si>
  <si>
    <t xml:space="preserve">Row 'Net impairment loss/write back on financial assets' (losses in parentheses): the printed 1,329,627 is a net write-back, stored as a negative charge under the panel's expense-positive convention.</t>
  </si>
  <si>
    <t xml:space="preserve">Statement of cash flow</t>
  </si>
  <si>
    <t xml:space="preserve">Net cash from operating activities 14,012,504 34,635,261</t>
  </si>
  <si>
    <t xml:space="preserve">reports/pages/d185cdd34de5/p0004.png</t>
  </si>
  <si>
    <t xml:space="preserve">reports/zenith/zenith_xs-44bcf809bd_19662641dbc2.pdf</t>
  </si>
  <si>
    <t xml:space="preserve">Total assets 3,143,133 2,604,504 2,878,693 2,436,886</t>
  </si>
  <si>
    <t xml:space="preserve">reports/pages/19662641dbc2/p0024.png</t>
  </si>
  <si>
    <t xml:space="preserve">SFP; Bank column heading 'Bank 2013'; printed page = PDF page</t>
  </si>
  <si>
    <t xml:space="preserve">2026-10-11T07:39:28+00:00</t>
  </si>
  <si>
    <t xml:space="preserve">Four columns headed 'Group' | 'Group' | 'Bank' | 'Bank' over '2013' | '2012' | '2013' | '2012' ('In millions of Naira'); Bank 2013 column used; entity Zenith Bank Plc</t>
  </si>
  <si>
    <t xml:space="preserve">Total liabilities 2,633,882 2,141,548 2,406,071 1,998,883</t>
  </si>
  <si>
    <t xml:space="preserve">Total shareholders' equity 509,251 462,956 472,622 438,003</t>
  </si>
  <si>
    <t xml:space="preserve">SFP; Bank has no non-controlling interest; Bank column heading 'Bank 2013'; printed page = PDF page</t>
  </si>
  <si>
    <t xml:space="preserve">SFP Bank 2012 comparative column (prior-year column of same report); Bank column heading 'Bank 2013' (opening: 'Bank 2012'); printed page = PDF page</t>
  </si>
  <si>
    <t xml:space="preserve">Profit for the year after tax 95,318 100,681 83,414 95,803</t>
  </si>
  <si>
    <t xml:space="preserve">reports/pages/19662641dbc2/p0023.png</t>
  </si>
  <si>
    <t xml:space="preserve">Statement of comprehensive income; Bank has no discontinued operations so equals continuing PAT; Bank column heading 'Bank 2013'; printed page = PDF page</t>
  </si>
  <si>
    <t xml:space="preserve">Profit for the year before minimum tax and income tax 110,597 102,100 94,108 94,048</t>
  </si>
  <si>
    <t xml:space="preserve">Label: profit before minimum tax and income tax (continued and discontinued); Bank minimum tax (2,663) shown separately; Bank column heading 'Bank 2013'; printed page = PDF page</t>
  </si>
  <si>
    <t xml:space="preserve">Impairment charge for credit losses 8 (11,067) (9,099) (9,907) (7,998)</t>
  </si>
  <si>
    <t xml:space="preserve">Printed (9,907); stored positive; Bank column heading 'Bank 2013'; printed page = PDF page Sign converted to expense-positive.</t>
  </si>
  <si>
    <t xml:space="preserve">printed in parentheses (expense/contra-asset); stored positive</t>
  </si>
  <si>
    <t xml:space="preserve">Net cash flows generated from operations 265,579 103,640 235,619 125,276</t>
  </si>
  <si>
    <t xml:space="preserve">reports/pages/19662641dbc2/p0027.png</t>
  </si>
  <si>
    <t xml:space="preserve">Statement of cash flows; label "Net cash flows generated from operations"; Bank column heading 'Bank 2013'; printed page = PDF page</t>
  </si>
  <si>
    <t xml:space="preserve">Gross loans and advances to customers 1,276,122 1,014,526 1,148,378 916,791</t>
  </si>
  <si>
    <t xml:space="preserve">reports/pages/19662641dbc2/p0082.png</t>
  </si>
  <si>
    <t xml:space="preserve">Bank column heading 'Bank 2013'; printed page = PDF page</t>
  </si>
  <si>
    <t xml:space="preserve">Less: Allowances for impairment (24,767) (24,712) (21,819) (21,437)</t>
  </si>
  <si>
    <t xml:space="preserve">Total allowance on loans to customers, printed (21,819); Bank column heading 'Bank 2013'; printed page = PDF page Sign converted to expense-positive.</t>
  </si>
  <si>
    <t xml:space="preserve">Specific allowances for impairment (7,972) (10,601) (5,600) (8,368)</t>
  </si>
  <si>
    <t xml:space="preserve">Printed (5,600); reconciles to note 20 Bank table p84 (5,600); Bank column heading 'Bank 2013'; printed page = PDF page Sign converted to expense-positive.</t>
  </si>
  <si>
    <t xml:space="preserve">Collective allowance for impairment (16,795) (14,111) (16,219) (13,069)</t>
  </si>
  <si>
    <t xml:space="preserve">Printed (16,219); reconciles to p84 16,219; Bank column heading 'Bank 2013'; printed page = PDF page Sign converted to expense-positive.</t>
  </si>
  <si>
    <t xml:space="preserve">Net loans and advances to customers 1,251,355 989,814 1,126,559 895,354</t>
  </si>
  <si>
    <t xml:space="preserve">Agrees to SFP Loans and advances 1,126,559; Bank column heading 'Bank 2013'; printed page = PDF page</t>
  </si>
  <si>
    <t xml:space="preserve">Total regulatory capital (A) 504,595 461,118 470,919 436,828</t>
  </si>
  <si>
    <t xml:space="preserve">reports/pages/19662641dbc2/p0066.png</t>
  </si>
  <si>
    <t xml:space="preserve">Capital management note 3.5, Basel I-style CBN computation; Bank column heading 'Bank 2013'; printed page = PDF page</t>
  </si>
  <si>
    <t xml:space="preserve">Total risk-weighted assets (B) 1,950,004 1,552,660 1,796,099 1,433,325</t>
  </si>
  <si>
    <t xml:space="preserve">On-balance 1,329,965 + off-balance 466,134; Bank column heading 'Bank 2013'; printed page = PDF page</t>
  </si>
  <si>
    <t xml:space="preserve">Risk-weighted Capital Adequacy Ratio (CAR) (A/B) 26% 30% 26% 30%</t>
  </si>
  <si>
    <t xml:space="preserve">Printed "26%" (470,919/1,796,099 = 26.2%); Bank column heading 'Bank 2013'; printed page = PDF page</t>
  </si>
  <si>
    <t xml:space="preserve">Auditor's report on the consolidated and separate financial statements (Group and Bank)</t>
  </si>
  <si>
    <t xml:space="preserve">KPMG (Ayodele H. Othihiwa) report dated 7 March 2014</t>
  </si>
  <si>
    <t xml:space="preserve">reports/pages/19662641dbc2/p0021.png</t>
  </si>
  <si>
    <t xml:space="preserve">Auditor's report PDF pp.21-22 (no text layer; read from 110-dpi renders); KPMG Professional Services, signed Ayodele H. Othihiwa FRC/2012/ICAN/00000000425, dated 7 March 2014, ICAN seal; unmodified opinion on Zenith Bank Plc ('the Bank') and its subsidiaries incl. 'the Group and Bank's financial performance and cash flows'; MU: No; EoM: No; no other-matter paragraph; pre-ISA 701 format, no KAMs Applicability: opinion names Zenith Bank Plc ('the Bank') and covers the Group and Bank's financial position, performance and cash flows; the words 'separate financial statements' are not used.</t>
  </si>
  <si>
    <t xml:space="preserve">Access Bank Plc</t>
  </si>
  <si>
    <t xml:space="preserve">reports/access/access_xs-f222df8286_2128db95543d.pdf</t>
  </si>
  <si>
    <t xml:space="preserve">December 2015</t>
  </si>
  <si>
    <t xml:space="preserve">Total assets 2,591,330,151 2,104,360,539 2,411,944,061 1,981,955,730</t>
  </si>
  <si>
    <t xml:space="preserve">reports/pages/2128db95543d/p0105.png</t>
  </si>
  <si>
    <t xml:space="preserve">Statement of financial position: Total assets (Bank) 2,411,944,061. Prior-year column not labelled restated.</t>
  </si>
  <si>
    <t xml:space="preserve">2026-10-11T07:39:33+00:00</t>
  </si>
  <si>
    <t xml:space="preserve">'Group' | 'Group' | 'Bank' | 'Bank' over 'December 2015' | 'December 2014' | 'December 2015' | 'December 2014'; 'In thousands of Naira'; used Bank December 2015</t>
  </si>
  <si>
    <t xml:space="preserve">2,223,528,684 1,826,949,811 2,051,515,157 1,707,799,944</t>
  </si>
  <si>
    <t xml:space="preserve">Total liabilities (Bank) 2,051,515,157. The total figures sit on an unlabelled row (y=370) directly above the "Total liabilities" label row (y=378), so row_regex anchors on the Group total that starts that row.</t>
  </si>
  <si>
    <t xml:space="preserve">Total equity 367,801,467 277,410,728 360,428,904 274,155,786</t>
  </si>
  <si>
    <t xml:space="preserve">Total equity (Bank) 360,428,904 (no NCI at Bank level). Regex excludes the "Total equity attributable to owners" row.</t>
  </si>
  <si>
    <t xml:space="preserve">Profit for the year 65,868,773 42,976,212 58,924,745 39,941,126</t>
  </si>
  <si>
    <t xml:space="preserve">reports/pages/2128db95543d/p0104.png</t>
  </si>
  <si>
    <t xml:space="preserve">Statement of comprehensive income: Profit for the year (Bank) 58,924,745; label appears twice on page (also y=568), occurrence 1 = y=387.</t>
  </si>
  <si>
    <t xml:space="preserve">Profit before tax 75,038,117 52,022,290 65,177,914 46,142,422</t>
  </si>
  <si>
    <t xml:space="preserve">Profit before tax (Bank) 65,177,914.</t>
  </si>
  <si>
    <t xml:space="preserve">Net cash used in operating activities (177,659,623) (279,410,643) (181,246,613) (291,257,104)</t>
  </si>
  <si>
    <t xml:space="preserve">reports/pages/2128db95543d/p0108.png</t>
  </si>
  <si>
    <t xml:space="preserve">Statement of cash flows: Net cash used in operating activities (Bank) (181,246,613) - negative, sign kept.</t>
  </si>
  <si>
    <t xml:space="preserve">December 2014</t>
  </si>
  <si>
    <t xml:space="preserve">Prior-year (December 2014) Bank column of the same 2015 SOFP: Total assets 1,981,955,730; not labelled restated.</t>
  </si>
  <si>
    <t xml:space="preserve">Net impairment charge 9 (14,224,715) (11,652,271) (13,287,613) (10,609,300)</t>
  </si>
  <si>
    <t xml:space="preserve">Net impairment charge (Bank) (13,287,613), note 9. Sign converted to expense-positive.</t>
  </si>
  <si>
    <t xml:space="preserve">23b</t>
  </si>
  <si>
    <t xml:space="preserve">December 2015 (Gross amount)</t>
  </si>
  <si>
    <t xml:space="preserve">1,270,121,392 (9,173,223) (17,732,860) (26,906,083) 1,243,215,309</t>
  </si>
  <si>
    <t xml:space="preserve">reports/pages/2128db95543d/p0192.png</t>
  </si>
  <si>
    <t xml:space="preserve">Note 23b Bank December 2015 total row: Gross amount 1,270,121,392 (unlabelled total row y=333; the same figures also appear on the "Retail Exposures" row y=170 as 1,270,121,391 - layout artefact).</t>
  </si>
  <si>
    <t xml:space="preserve">Note 23b headed 'Bank' 'December 2015'; columns 'Gross amount' | 'Specific impairment allowance' | 'Collective impairment allowance' | 'Total impairment allowance' | 'Carrying amount'; 'In thousands of Naira'</t>
  </si>
  <si>
    <t xml:space="preserve">December 2015 (Total impairment allowance)</t>
  </si>
  <si>
    <t xml:space="preserve">Note 23b Bank total: Total impairment allowance (26,906,083) = specific 9,173,223 + collective 17,732,860. Sign converted to expense-positive.</t>
  </si>
  <si>
    <t xml:space="preserve">Note 23b headed 'Bank' 'December 2015'; 'In thousands of Naira'</t>
  </si>
  <si>
    <t xml:space="preserve">December 2015 (Specific impairment allowance)</t>
  </si>
  <si>
    <t xml:space="preserve">Specific impairment allowance (9,173,223); agrees to reconciliation closing balance 9,173,223 (same page). Sign converted to expense-positive.</t>
  </si>
  <si>
    <t xml:space="preserve">December 2015 (Collective impairment allowance)</t>
  </si>
  <si>
    <t xml:space="preserve">Collective impairment allowance (17,732,860); agrees to reconciliation closing balance 17,732,860. Sign converted to expense-positive.</t>
  </si>
  <si>
    <t xml:space="preserve">Loans and advances to customers 23 1,365,830,831 1,110,464,441 1,243,215,309 1,019,908,848</t>
  </si>
  <si>
    <t xml:space="preserve">SOFP Loans and advances to customers (Bank) 1,243,215,309; equals note 23b carrying amount.</t>
  </si>
  <si>
    <t xml:space="preserve">Total regulatory capital 389,406,852 306,584,150 340,521,191 268,474,620</t>
  </si>
  <si>
    <t xml:space="preserve">reports/pages/2128db95543d/p0174.png</t>
  </si>
  <si>
    <t xml:space="preserve">Note 6 Capital management, Bank: Total regulatory capital 340,521,191 (Adjusted Tier 1 270,905,774 + Tier 2 69,615,417).</t>
  </si>
  <si>
    <t xml:space="preserve">Note 6 table 'Group' | 'Group' | 'Bank' | 'Bank' over 'December 2015' | 'December 2014' | 'December 2015' | 'December 2014'; 'In thousands of Naira'</t>
  </si>
  <si>
    <t xml:space="preserve">Risk-weighted assets 1,996,724,469 1,686,979,582 1,887,612,134 1,560,034,376</t>
  </si>
  <si>
    <t xml:space="preserve">Risk-weighted assets (Bank) 1,887,612,134 (standardised approach, credit+operational+market).</t>
  </si>
  <si>
    <t xml:space="preserve">Note 6 table 'Group' | 'Group' | 'Bank' | 'Bank'; 'In thousands of Naira'</t>
  </si>
  <si>
    <t xml:space="preserve">18%</t>
  </si>
  <si>
    <t xml:space="preserve">Total regulatory capital expressed as a percentage 20% 18% 18% 17%</t>
  </si>
  <si>
    <t xml:space="preserve">Bank: Total regulatory capital expressed as a percentage of total risk-weighted assets 18% (printed whole percent; computed 18.04%). Tier 1 ratio 14%.</t>
  </si>
  <si>
    <t xml:space="preserve">Note 6 table 'Group' | 'Group' | 'Bank' | 'Bank'</t>
  </si>
  <si>
    <t xml:space="preserve">16%</t>
  </si>
  <si>
    <t xml:space="preserve">Bank December 2015 (capital management narrative)</t>
  </si>
  <si>
    <t xml:space="preserve">Nigeria regulations, a minimum ratio of 16% (15% + additional 1%) is to be maintained for deposit money banks designated as significant financial</t>
  </si>
  <si>
    <t xml:space="preserve">Narrative in note 6: "a minimum ratio of 16% (15% + additional 1%) is to be maintained for deposit money banks designated as significant financial institutions" (Access is a CBN-designated SIB; the note does not name it explicitly in this sentence). No minimum in the table.</t>
  </si>
  <si>
    <t xml:space="preserve">Note 6 narrative text (no column)</t>
  </si>
  <si>
    <t xml:space="preserve">Independent auditor's report (pages carry no printed number)</t>
  </si>
  <si>
    <t xml:space="preserve">PricewaterhouseCoopers (Chartered Accountants), Lagos report dated 16 March 2016</t>
  </si>
  <si>
    <t xml:space="preserve">reports/pages/2128db95543d/p0102.png</t>
  </si>
  <si>
    <t xml:space="preserve">Report of the Independent Auditor (PricewaterhouseCoopers) PDF pp102-103 (no printed page numbers), signed 16 March 2016 by Anthony Oputa FRC/2013/ICAN/00000000980 on p103; unmodified opinion on consolidated and separate FS; MU: No; EoM: No; no other-matter; no KAMs (pre-ISA 701 format). Other legal requirements item v: except for contraventions disclosed in Note 42 the bank complied with CBN circulars. Mgmt GC: Corporate Governance Report 'Going Concern' p22-23 (printed 20-21); Directors' responsibilities p27.</t>
  </si>
  <si>
    <t xml:space="preserve">Opinion: 'the accompanying consolidated and separate financial statements give a true and fair view of the state of the financial affairs of the bank and group'</t>
  </si>
  <si>
    <t xml:space="preserve">reports/access/access_xs-9dc3fa3443_402e6dd71b1b.pdf</t>
  </si>
  <si>
    <t xml:space="preserve">Bank December 2016</t>
  </si>
  <si>
    <t xml:space="preserve">Total assets 3,483,865,564 2,591,330,151 3,094,960,515 2,411,944,061</t>
  </si>
  <si>
    <t xml:space="preserve">reports/pages/402e6dd71b1b/p0052.png</t>
  </si>
  <si>
    <t xml:space="preserve">Consolidated statement of financial position, 'Total assets', Bank December 2016 column (In thousands of Naira).</t>
  </si>
  <si>
    <t xml:space="preserve">2026-10-11T07:39:34+00:00</t>
  </si>
  <si>
    <t xml:space="preserve">Four columns headed 'Group' | 'Group' | 'Bank' | 'Bank' over 'December 2016' | 'December 2015' | 'December 2016' | 'December 2015' ('In thousands of Naira'); Bank 'December 2016' column used; entity Access Bank Plc</t>
  </si>
  <si>
    <t xml:space="preserve">3,029,370,984 2,223,528,684 2,673,281,895 2,051,515,157</t>
  </si>
  <si>
    <t xml:space="preserve">SOFP total-liabilities row: the numeric total row (y=388) has no label in the text layer; the 'Total liabilities' caption sits on the next line (y=397) with no numbers. Bank Dec 2016 2,673,281,895. Regex anchors on the Group totals at the start of that row.</t>
  </si>
  <si>
    <t xml:space="preserve">Total equity 454,494,580 367,801,467 421,678,620 360,428,904</t>
  </si>
  <si>
    <t xml:space="preserve">SOFP 'Total equity', Bank December 2016 (Bank has no NCI; equals 'Total equity attributable to owners of the Bank').</t>
  </si>
  <si>
    <t xml:space="preserve">Profit for the year 71,439,347 65,868,773 64,026,135 58,924,744</t>
  </si>
  <si>
    <t xml:space="preserve">reports/pages/402e6dd71b1b/p0051.png</t>
  </si>
  <si>
    <t xml:space="preserve">Statement of comprehensive income 'Profit for the year' (first occurrence), Bank December 2016.</t>
  </si>
  <si>
    <t xml:space="preserve">Profit before tax 90,339,456 75,038,117 80,579,576 65,177,913</t>
  </si>
  <si>
    <t xml:space="preserve">Statement of comprehensive income 'Profit before tax', Bank December 2016.</t>
  </si>
  <si>
    <t xml:space="preserve">Net cash generated from operating activities 12,826,157 (177,659,624) (124,135,579) (181,246,613)</t>
  </si>
  <si>
    <t xml:space="preserve">reports/pages/402e6dd71b1b/p0055.png</t>
  </si>
  <si>
    <t xml:space="preserve">Statement of cash flows 'Net cash generated from operating activities', Bank December 2016, printed (124,135,579) i.e. net cash used; sign kept as printed.</t>
  </si>
  <si>
    <t xml:space="preserve">Bank December 2015</t>
  </si>
  <si>
    <t xml:space="preserve">Prior-year (Bank December 2015) 'Total assets' column of the 2016 report's SOFP; heading not labelled restated.</t>
  </si>
  <si>
    <t xml:space="preserve">Net impairment charge 9 (21,952,819) (14,224,715) (17,641,127) (13,287,613)</t>
  </si>
  <si>
    <t xml:space="preserve">Statement of comprehensive income 'Net impairment charge' (note 9), Bank Dec 2016 printed (17,641,127). Note 9 (p168) breakdown: customer-loan collective (2,429,933) + specific (13,846,554), banks collective (42,705), other assets (1,321,935). Sign converted to expense-positive.</t>
  </si>
  <si>
    <t xml:space="preserve">Printed in parentheses (negative); panel stores as positive amount.</t>
  </si>
  <si>
    <t xml:space="preserve">Gross amount (Bank, December 2016)</t>
  </si>
  <si>
    <t xml:space="preserve">1,624,837,859 (10,084,316) (20,191,198) (30,275,514) 1,594,562,345</t>
  </si>
  <si>
    <t xml:space="preserve">reports/pages/402e6dd71b1b/p0176.png</t>
  </si>
  <si>
    <t xml:space="preserve">Note 23b Bank loans and advances to customers table, unlabelled total row, 'Gross amount' column 1,624,837,859 (= note 5.1.3 Bank credit-quality gross: individuals 36,390,205 + corporates 1,588,447,654).</t>
  </si>
  <si>
    <t xml:space="preserve">Total impairment allowance (Bank, December 2016)</t>
  </si>
  <si>
    <t xml:space="preserve">Note 23b total row, 'Total impairment allowance' (30,275,514) = specific 10,084,316 + collective 20,191,198. Sign converted to expense-positive.</t>
  </si>
  <si>
    <t xml:space="preserve">Specific impairment allowance (Bank, December 2016)</t>
  </si>
  <si>
    <t xml:space="preserve">Note 23b total row, 'Specific impairment allowance' (10,084,316); agrees with Bank movement table closing balance p177 (10,084,316). Sign converted to expense-positive.</t>
  </si>
  <si>
    <t xml:space="preserve">Collective impairment allowance (Bank, December 2016)</t>
  </si>
  <si>
    <t xml:space="preserve">Note 23b total row, 'Collective impairment allowance' (20,191,198); agrees with Bank movement table closing balance p177 (20,191,198). Sign converted to expense-positive.</t>
  </si>
  <si>
    <t xml:space="preserve">Loans and advances to customers 23 1,809,459,172 1,365,830,831 1,594,562,345 1,243,215,309</t>
  </si>
  <si>
    <t xml:space="preserve">SOFP 'Loans and advances to customers' (note 23), Bank Dec 2016 1,594,562,345 (= note 23b carrying amount).</t>
  </si>
  <si>
    <t xml:space="preserve">Total regulatory capital 500,957,661 375,537,943 419,807,319 326,652,282</t>
  </si>
  <si>
    <t xml:space="preserve">reports/pages/402e6dd71b1b/p0161.png</t>
  </si>
  <si>
    <t xml:space="preserve">Note 6 Capital management: 'Total regulatory capital' Bank December 2016 (Adjusted Tier 1 327,464,733 + Tier 2 92,342,585).</t>
  </si>
  <si>
    <t xml:space="preserve">Risk-weighted assets 2,363,034,251 1,996,724,469 2,146,850,027 1,887,612,134</t>
  </si>
  <si>
    <t xml:space="preserve">Note 6 Capital management: 'Risk-weighted assets' Bank December 2016.</t>
  </si>
  <si>
    <t xml:space="preserve">19.55%</t>
  </si>
  <si>
    <t xml:space="preserve">Total regulatory capital expressed as a percentage 21.20% 18.81% 19.55% 17.31%</t>
  </si>
  <si>
    <t xml:space="preserve">Note 6: 'Total regulatory capital expressed as a percentage of total risk-weighted assets' Bank December 2016 19.55%. Tier 1 ratio 15.25%.</t>
  </si>
  <si>
    <t xml:space="preserve">(narrative)</t>
  </si>
  <si>
    <t xml:space="preserve">Note 6 narrative: 'a minimum ratio of 16% (15% + additional 1%) is to be maintained for deposit money banks designated as significant financial institutions' (CBN).</t>
  </si>
  <si>
    <t xml:space="preserve">PricewaterhouseCoopers (Chartered Accountants, Lagos, Nigeria) report dated 4 March 2017</t>
  </si>
  <si>
    <t xml:space="preserve">reports/pages/402e6dd71b1b/p0043.png</t>
  </si>
  <si>
    <t xml:space="preserve">PwC independent auditor's report on PDF pp43-50 (all image-only; transcribed from 110-dpi renders; no printed page numbers). Unmodified opinion on the consolidated and separate financial statements of Access Bank Plc ('the bank') and its subsidiaries. MU: No. EoM: No (no emphasis-of-matter or other-matter paragraphs). Only boilerplate going-concern responsibility text (pp48-49). KAMs: impairment of loans and advances to customers; valuation of AFS investment securities (level 3); valuation of derivative financial instruments (separate FS only). Signed Anthony Oputa FRC/2013/ICAN/00000000980, 4 March 2017 (PDF p50).</t>
  </si>
  <si>
    <t xml:space="preserve">reports/access/access_xs-8b77dcebfb_956feed6cc67.pdf</t>
  </si>
  <si>
    <t xml:space="preserve">Bank December 2017</t>
  </si>
  <si>
    <t xml:space="preserve">Total assets 4,102,242,820 3,483,865,564 3,499,683,979 3,094,960,515</t>
  </si>
  <si>
    <t xml:space="preserve">reports/pages/956feed6cc67/p0065.png</t>
  </si>
  <si>
    <t xml:space="preserve">SOFP 'Total assets', Bank December 2017 column.</t>
  </si>
  <si>
    <t xml:space="preserve">2026-10-11T07:39:43+00:00</t>
  </si>
  <si>
    <t xml:space="preserve">Four columns headed 'Group' | 'Group' | 'Bank' | 'Bank' over 'December 2017' | 'December 2016' | 'December 2017' | 'December 2016' ('In thousands of Naira'); Bank December 2017 column (third) used; entity Access Bank Plc</t>
  </si>
  <si>
    <t xml:space="preserve">3,586,795,411 3,029,370,984 3,030,192,882 2,673,281,895</t>
  </si>
  <si>
    <t xml:space="preserve">SOFP total-liabilities figure; the printed total 3,030,192,882 sits on its own text row (y=375) just above the 'Total liabilities' label row (y=383), so the regex anchors on the numbers row; x-range isolates the Bank December 2017 column.</t>
  </si>
  <si>
    <t xml:space="preserve">Total equity 515,447,409 454,494,580 469,491,097 421,678,620</t>
  </si>
  <si>
    <t xml:space="preserve">SOFP 'Total equity', Bank December 2017 (equals 'Total equity attributable to owners of the Bank'; no NCI at Bank level).</t>
  </si>
  <si>
    <t xml:space="preserve">Profit for the year 61,990,852 71,439,347 53,238,822 64,026,135</t>
  </si>
  <si>
    <t xml:space="preserve">reports/pages/956feed6cc67/p0064.png</t>
  </si>
  <si>
    <t xml:space="preserve">Statement of comprehensive income 'Profit for the year', Bank December 2017 (occurrence 1; repeated identically lower on page).</t>
  </si>
  <si>
    <t xml:space="preserve">Profit before tax 80,072,482 90,339,456 67,043,501 80,579,576</t>
  </si>
  <si>
    <t xml:space="preserve">Statement of comprehensive income 'Profit before tax', Bank December 2017.</t>
  </si>
  <si>
    <t xml:space="preserve">Net cash generated from/(used in) operating activities 252,742,450 (15,544,978) 104,360,682 (123,932,465)</t>
  </si>
  <si>
    <t xml:space="preserve">reports/pages/956feed6cc67/p0068.png</t>
  </si>
  <si>
    <t xml:space="preserve">Statement of cash flows 'Net cash generated from/(used in) operating activities', Bank December 2017.</t>
  </si>
  <si>
    <t xml:space="preserve">Prior-year (Bank December 2016) 'Total assets' column of the 2017 report's SOFP; not labelled restated.</t>
  </si>
  <si>
    <t xml:space="preserve">Net impairment charge 9 (34,466,868) (21,952,819) (29,149,849) (17,641,127)</t>
  </si>
  <si>
    <t xml:space="preserve">Statement of comprehensive income 'Net impairment charge' (note 9), printed (29,149,849). Sign converted to expense-positive.</t>
  </si>
  <si>
    <t xml:space="preserve">Printed in parentheses (negative) in the source; stored as positive amount.</t>
  </si>
  <si>
    <t xml:space="preserve">Gross amount (Bank, December 2017)</t>
  </si>
  <si>
    <t xml:space="preserve">1,827,572,140 (36,016,759) (20,272,643) (56,289,402) 1,771,282,738</t>
  </si>
  <si>
    <t xml:space="preserve">reports/pages/956feed6cc67/p0182.png</t>
  </si>
  <si>
    <t xml:space="preserve">Note 23b Bank December 2017 table, unlabelled total row: Gross amount 1,827,572,140 = specific (36,016,759) + collective (20,272,643) allowances + carrying amount 1,771,282,738.</t>
  </si>
  <si>
    <t xml:space="preserve">Total impairment allowance (Bank, December 2017)</t>
  </si>
  <si>
    <t xml:space="preserve">Note 23b Bank December 2017 total row, 'Total impairment allowance' (56,289,402); = closing specific 36,016,759 + collective 20,272,643 in the reconciliation on the same page. Sign converted to expense-positive.</t>
  </si>
  <si>
    <t xml:space="preserve">Specific impairment allowance (Bank, December 2017)</t>
  </si>
  <si>
    <t xml:space="preserve">Note 23b total row 'Specific impairment allowance' (36,016,759); agrees with 'Balance end of year' Specific Impairment December 2017 in reconciliation. Sign converted to expense-positive.</t>
  </si>
  <si>
    <t xml:space="preserve">Collective impairment allowance (Bank, December 2017)</t>
  </si>
  <si>
    <t xml:space="preserve">Note 23b total row 'Collective impairment allowance' (20,272,643); agrees with reconciliation 'Balance end of year' Collective December 2017. Sign converted to expense-positive.</t>
  </si>
  <si>
    <t xml:space="preserve">Loans and advances to customers 23 1,995,987,627 1,809,459,172 1,771,282,739 1,594,562,345</t>
  </si>
  <si>
    <t xml:space="preserve">SOFP 'Loans and advances to customers' 1,771,282,739 (note 23b carrying amount prints 1,771,282,738, rounding).</t>
  </si>
  <si>
    <t xml:space="preserve">Total regulatory capital 530,698,819 489,205,648 420,096,297 419,807,320</t>
  </si>
  <si>
    <t xml:space="preserve">reports/pages/956feed6cc67/p0169.png</t>
  </si>
  <si>
    <t xml:space="preserve">Note 6 Capital management, 'Total regulatory capital' Bank December 2017 (adjusted Tier 1 347,254,162 + adjusted Tier 2 72,842,135).</t>
  </si>
  <si>
    <t xml:space="preserve">Risk-weighted assets 2,358,011,237 2,355,526,638 2,311,370,698 2,148,490,422</t>
  </si>
  <si>
    <t xml:space="preserve">Note 6 Capital management, 'Risk-weighted assets' Bank December 2017 (standardised approach).</t>
  </si>
  <si>
    <t xml:space="preserve">Total regulatory capital expressed as a percentage of total risk- 22.51% 20.77% 18.18% 19.54%</t>
  </si>
  <si>
    <t xml:space="preserve">Note 6 'Total regulatory capital expressed as a percentage of total risk-weighted assets' Bank December 2017 18.18% (Tier 1 ratio 15.02%). IAS 39 year; no transitional/full-impact split.</t>
  </si>
  <si>
    <t xml:space="preserve">minimum ratio of 16% (15% + additional 1%) is to be maintained for deposit money banks designated as significant financial institutions. Following the CBN guideline on</t>
  </si>
  <si>
    <t xml:space="preserve">Note 6 narrative: 'a minimum ratio of 16% (15% + additional 1%) is to be maintained for deposit money banks designated as significant financial institutions'.</t>
  </si>
  <si>
    <t xml:space="preserve">PricewaterhouseCoopers (PwC), Chartered Accountants, Lagos, Nigeria report dated 2018-03-21</t>
  </si>
  <si>
    <t xml:space="preserve">reports/pages/956feed6cc67/p0057.png</t>
  </si>
  <si>
    <t xml:space="preserve">PwC (PricewaterhouseCoopers) independent auditor's report on PDF pp57-63 (all image-only; no text layer; read from 110-dpi renders). Unmodified opinion on the consolidated and separate financial statements of Access Bank Plc, explicitly covering separate financial position/performance/cash flows. MU: No. EoM: No (no emphasis-of-matter or other-matter paragraphs). Only boilerplate going-concern responsibility text (pp62). KAMs: loan impairment; AFS valuation; derivative valuation (separate only); IFRS 9 transition disclosure. Signed by Anthony Oputa (FRC/2013/ICAN/00000000980) for PricewaterhouseCoopers, 21 March 2018, PDF p63.</t>
  </si>
  <si>
    <t xml:space="preserve">reports/access/access_xs-02a2c771a1_88286e660607.pdf</t>
  </si>
  <si>
    <t xml:space="preserve">December 2020</t>
  </si>
  <si>
    <t xml:space="preserve">Total assets 8,679,747,720 7,143,157,081 7,624,979,724 6,307,588,216</t>
  </si>
  <si>
    <t xml:space="preserve">reports/pages/88286e660607/p0049.png</t>
  </si>
  <si>
    <t xml:space="preserve">SOFP Bank Dec 2020 Total assets 7,624,979,724</t>
  </si>
  <si>
    <t xml:space="preserve">2026-10-11T07:39:39+00:00</t>
  </si>
  <si>
    <t xml:space="preserve">SOFP columns headed 'Group' | 'Group' | 'Bank' | 'Bank' over 'December 2020' | 'December 2019' ('*Restated' over both 2019 columns); 'In thousands of Naira'; Bank December 2020 column used</t>
  </si>
  <si>
    <t xml:space="preserve">Total liabilities 7,928,706,480 6,536,417,248 6,971,084,063 5,768,100,179</t>
  </si>
  <si>
    <t xml:space="preserve">SOFP Bank Dec 2020 Total liabilities 6,971,084,063</t>
  </si>
  <si>
    <t xml:space="preserve">Total equity 751,041,242 606,739,833 653,895,661 539,488,039</t>
  </si>
  <si>
    <t xml:space="preserve">SOFP Bank Dec 2020 Total equity 653,895,661 (no NCI at Bank level)</t>
  </si>
  <si>
    <t xml:space="preserve">December 2019</t>
  </si>
  <si>
    <t xml:space="preserve">SOFP Bank December 2019 column (labelled *Restated, see Note 46: Dec 2019 intangibles restated by (3,453,063)) Total assets 6,307,588,216; Total liabilities and equity row prints 6,307,588,217 (rounding)</t>
  </si>
  <si>
    <t xml:space="preserve">Profit for the year 106,009,690 94,056,597 80,039,328 70,115,994</t>
  </si>
  <si>
    <t xml:space="preserve">reports/pages/88286e660607/p0048.png</t>
  </si>
  <si>
    <t xml:space="preserve">SOCI Bank Dec 2020 Profit for the year 80,039,328 (row repeats lower on page; first occurrence used)</t>
  </si>
  <si>
    <t xml:space="preserve">Statement of comprehensive income columns 'Group' | 'Group' | 'Bank' | 'Bank' over 'December 2020' | 'December 2019' ('*Restated' over 2019); 'In thousands of Naira'; Bank December 2020 column used</t>
  </si>
  <si>
    <t xml:space="preserve">Profit before tax 125,922,123 111,925,517 90,195,877 79,213,716</t>
  </si>
  <si>
    <t xml:space="preserve">SOCI Bank Dec 2020 Profit before tax 90,195,877</t>
  </si>
  <si>
    <t xml:space="preserve">Net cash generated from/(used in) operating activities (94,067,884) 779,607,183 (65,407,286) 1,094,573,269</t>
  </si>
  <si>
    <t xml:space="preserve">reports/pages/88286e660607/p0052.png</t>
  </si>
  <si>
    <t xml:space="preserve">SOCF Bank Dec 2020 Net cash generated from/(used in) operating activities (65,407,286)</t>
  </si>
  <si>
    <t xml:space="preserve">Statement of cash flows columns 'Group' | 'Group' | 'Bank' | 'Bank' over 'December 2020' | 'December 2019' ('Restated' over 2019); 'In thousands of Naira'; Bank December 2020 column used</t>
  </si>
  <si>
    <t xml:space="preserve">Net impairment charge 9 (62,893,120) (20,189,393) (39,650,580) (21,055,479)</t>
  </si>
  <si>
    <t xml:space="preserve">SOCI Bank Dec 2020 Net impairment charge (39,650,580) (all financial assets; note 9) Sign converted to expense-positive.</t>
  </si>
  <si>
    <t xml:space="preserve">Loans and advances to customers (Individual and corporate entities and other organizations) 2,937,918,270</t>
  </si>
  <si>
    <t xml:space="preserve">reports/pages/88286e660607/p0185.png</t>
  </si>
  <si>
    <t xml:space="preserve">Note 23(b) Bank: Loans and advances to customers (Individual and corporate entities and other organizations) 2,937,918,270</t>
  </si>
  <si>
    <t xml:space="preserve">Note 23(b) headed 'Bank' 'December 2020'; 'In thousands of Naira'; single Bank column (Group shown in separate note 23(a))</t>
  </si>
  <si>
    <t xml:space="preserve">Less Allowance for Expected credit loss (119,042,539)</t>
  </si>
  <si>
    <t xml:space="preserve">Note 23(b) Bank total ECL on loans to customers (119,042,539) = individuals (2,831,594) + corporates (116,210,945); third occurrence of the row Sign converted to expense-positive.</t>
  </si>
  <si>
    <t xml:space="preserve">Note 23(b) Bank net loans 2,818,875,731 (unlabelled total row under the allowance), agrees to SOFP Bank Loans and advances to customers</t>
  </si>
  <si>
    <t xml:space="preserve">Total regulatory capital 788,908,621 725,083,522 541,590,876 538,718,550</t>
  </si>
  <si>
    <t xml:space="preserve">reports/pages/88286e660607/p0163.png</t>
  </si>
  <si>
    <t xml:space="preserve">Transitional figure from table 'Tier 1 capital with adjusted ECL impact' (CBN IFRS 9 transition arrangement; RWA 3,145,109,947). Full-impact figure held separately from 'Capital adequacy ratio without adjustment' (PDF p164).</t>
  </si>
  <si>
    <t xml:space="preserve">Capital adequacy table columns 'Group' | 'Group' | 'Bank' | 'Bank' over 'December 2020' | 'December 2019'; 'In thousands of Naira'; Bank December 2020 column used</t>
  </si>
  <si>
    <t xml:space="preserve">Bank December 2020 (Capital adequacy ratio without adjustment)</t>
  </si>
  <si>
    <t xml:space="preserve">Total regulatory capital 736,074,020 645,829,639 488,756,274 459,464,665</t>
  </si>
  <si>
    <t xml:space="preserve">reports/pages/88286e660607/p0164.png</t>
  </si>
  <si>
    <t xml:space="preserve">Full-impact (without IFRS 9 regulatory transition arrangement) table 'Capital adequacy ratio without adjustment', note 6; transitional figure held as car_transitional/capital_transitional.</t>
  </si>
  <si>
    <t xml:space="preserve">Total regulatory capital expressed as a percentage of total risk- 20.61% 20.02% 17.22% 17.65%</t>
  </si>
  <si>
    <t xml:space="preserve">15.87%</t>
  </si>
  <si>
    <t xml:space="preserve">Total regulatory capital expressed as a percentage of total 19.57% 18.17% 15.87% 15.39%</t>
  </si>
  <si>
    <t xml:space="preserve">Bank December 2020 (capital management narrative)</t>
  </si>
  <si>
    <t xml:space="preserve">regulations, a minimum ratio of 16% (15% + additional 1%) is to be maintained for deposit money banks designated as significant financial institutions.</t>
  </si>
  <si>
    <t xml:space="preserve">reports/pages/88286e660607/p0162.png</t>
  </si>
  <si>
    <t xml:space="preserve">Capital management text: minimum ratio of 16% (15% + additional 1%) for D-SIBs</t>
  </si>
  <si>
    <t xml:space="preserve">Capital management narrative (Bank); minimum ratio printed in text</t>
  </si>
  <si>
    <t xml:space="preserve">PricewaterhouseCoopers (Chartered Accountants), Landmark Towers, 5B Water Corporation Road, Victoria Island, Lagos, Nigeria report dated 2021-03-31</t>
  </si>
  <si>
    <t xml:space="preserve">reports/pages/88286e660607/p0042.png</t>
  </si>
  <si>
    <t xml:space="preserve">Auditor's report PDF pp42-47 (no text layer; transcribed from 110-dpi renders); PwC, partner Chidi Ojechi, dated 31 March 2021, signed p47. Unmodified opinion on consolidated and separate financial statements of Access Bank Plc. MU: No. EoM: No. No other-matter paragraph. KAMs: PPA/intangibles on Diamond Bank combination; goodwill impairment; impairment on loans to customers N127.8bn.</t>
  </si>
  <si>
    <t xml:space="preserve">Opinion: 'the consolidated and separate financial statements give a true and fair view of the consolidated and separate financial position of Access Bank Plc ("the bank") and its subsidiaries'</t>
  </si>
  <si>
    <t xml:space="preserve">reports/unity/unity_xs-901cfd21b1_a24aa59e697c.pdf</t>
  </si>
  <si>
    <t xml:space="preserve">31 December 2014</t>
  </si>
  <si>
    <t xml:space="preserve">Total assets 413,305,111 403,629,290</t>
  </si>
  <si>
    <t xml:space="preserve">reports/pages/a24aa59e697c/p0003.png</t>
  </si>
  <si>
    <t xml:space="preserve">2026-10-11T07:39:51+00:00</t>
  </si>
  <si>
    <t xml:space="preserve">Single set of columns headed '31 December 2014' | '31 December 2013' (N'000); no Group columns; entity Unity Bank Plc; abridged NGX FinancialStatementSummary filing (primary statements only, pp.58-62)</t>
  </si>
  <si>
    <t xml:space="preserve">Total liabilities 337,041,116 375,416,650</t>
  </si>
  <si>
    <t xml:space="preserve">Total equity 76,263,995 28,212,639</t>
  </si>
  <si>
    <t xml:space="preserve">Profit/(Loss) after tax 10,692,476 (22,582,339)</t>
  </si>
  <si>
    <t xml:space="preserve">reports/pages/a24aa59e697c/p0001.png</t>
  </si>
  <si>
    <t xml:space="preserve">Profit/(Loss) before tax 13,639,390 (33,639,369)</t>
  </si>
  <si>
    <t xml:space="preserve">Net cash flows from/(used in) operating activities (32,248,858) 23,788,331</t>
  </si>
  <si>
    <t xml:space="preserve">reports/pages/a24aa59e697c/p0005.png</t>
  </si>
  <si>
    <t xml:space="preserve">comparative (2013 prior-year column)</t>
  </si>
  <si>
    <t xml:space="preserve">Prior-year column '31 December 2013' of the 2014 SOFP; not labelled restated</t>
  </si>
  <si>
    <t xml:space="preserve">Credit loss expense 9 (15,054,246) (21,592,692)</t>
  </si>
  <si>
    <t xml:space="preserve">Credit loss expense (note 9), printed in parentheses. Other 2014 impairment lines on IS are 0. Cash flow also shows impairment on other assets 2,315,294 not separately on IS. Sign converted to expense-positive.</t>
  </si>
  <si>
    <t xml:space="preserve">Loans and advances to customers 17 219,335,346 195,229,573</t>
  </si>
  <si>
    <t xml:space="preserve">SOFP carrying amount (net of allowance presumed); note 17 not included in this abridged filing, so gross/allowance unavailable</t>
  </si>
  <si>
    <t xml:space="preserve">Risk-weighted assets 3,761,490,271 3,554,890,540 3,078,989,123 2,986,298,189</t>
  </si>
  <si>
    <t xml:space="preserve">Full-impact table 'Capital adequacy ratio without adjustment' (PDF p164).</t>
  </si>
  <si>
    <t xml:space="preserve">reports/access/access_xs-6951b12082_0d52ef10ac14.pdf</t>
  </si>
  <si>
    <t xml:space="preserve">Total assets 7,146,610,145 4,954,156,938 6,311,041,282 3,968,114,609</t>
  </si>
  <si>
    <t xml:space="preserve">reports/pages/0d52ef10ac14/p0093.png</t>
  </si>
  <si>
    <t xml:space="preserve">SOFP 'Total assets', Bank December 2019 column. Bank 2019 figures include the former Diamond Bank Plc (Scheme of Merger, acquisition date March 2019; Bank net assets acquired ~N1,335bn total assets; PPA provisional, note 44); December 2018 comparatives are pre-merger Access Bank only and are not labelled restated.</t>
  </si>
  <si>
    <t xml:space="preserve">2026-10-11T07:39:35+00:00</t>
  </si>
  <si>
    <t xml:space="preserve">Four columns headed 'Group' | 'Group' | 'Bank' | 'Bank' over 'December 2019' | 'December 2018' | 'December 2019' | 'December 2018' ('In thousands of Naira'); Bank December 2019 column used; entity Access Bank Plc</t>
  </si>
  <si>
    <t xml:space="preserve">Total liabilities 6,536,417,252 4,463,645,183 5,768,100,182 3,527,314,852</t>
  </si>
  <si>
    <t xml:space="preserve">SOFP 'Total liabilities', Bank December 2019 column.</t>
  </si>
  <si>
    <t xml:space="preserve">Total equity 610,192,893 490,511,755 542,941,100 440,799,757</t>
  </si>
  <si>
    <t xml:space="preserve">SOFP 'Total equity', Bank December 2019 column (no NCI at Bank level; equals total equity attributable to owners 542,941,100).</t>
  </si>
  <si>
    <t xml:space="preserve">Profit for the year 97,509,659 94,981,086 73,569,054 73,596,295</t>
  </si>
  <si>
    <t xml:space="preserve">reports/pages/0d52ef10ac14/p0092.png</t>
  </si>
  <si>
    <t xml:space="preserve">Statement of comprehensive income 'Profit for the year', Bank December 2019 column (label appears twice on page with identical values; occurrence 1).</t>
  </si>
  <si>
    <t xml:space="preserve">Profit before tax 115,378,579 103,187,703 82,666,776 75,248,146</t>
  </si>
  <si>
    <t xml:space="preserve">Statement of comprehensive income 'Profit before tax', Bank December 2019 column.</t>
  </si>
  <si>
    <t xml:space="preserve">Net cash generated from/(used in) operating activities 782,011,525 552,322,520 1,094,573,265 366,002,390</t>
  </si>
  <si>
    <t xml:space="preserve">reports/pages/0d52ef10ac14/p0096.png</t>
  </si>
  <si>
    <t xml:space="preserve">Statement of cash flows 'Net cash generated from/(used in) operating activities', Bank December 2019 column 1,094,573,265 (inflated by merger-related deposit/pledged-asset movements).</t>
  </si>
  <si>
    <t xml:space="preserve">December 2018</t>
  </si>
  <si>
    <t xml:space="preserve">Prior-year (Bank December 2018) 'Total assets' column of the 2019 report's SOFP, as printed 3,968,114,609; column not labelled restated (pre-merger Access Bank only; matches five-year summary p260, which marks only 2017/2016 as *Restated).</t>
  </si>
  <si>
    <t xml:space="preserve">Net impairment charge 9 (20,189,393) (14,656,723) (21,055,479) (10,702,144)</t>
  </si>
  <si>
    <t xml:space="preserve">Statement of comprehensive income 'Net impairment charge' (note 9), printed (21,055,479). Note 9 (p203) loans-to-customers component (21,412,497). Sign converted to expense-positive.</t>
  </si>
  <si>
    <t xml:space="preserve">Loans and advances to customers (Individual and corporate entities and other organizations) 2,662,623,089</t>
  </si>
  <si>
    <t xml:space="preserve">reports/pages/0d52ef10ac14/p0216.png</t>
  </si>
  <si>
    <t xml:space="preserve">Note 23(b) Bank December 2019: 'Loans and advances to customers (Individual and corporate entities and other organizations)' gross 2,662,623,089 (retail 96,016,233 + corporate 2,566,606,856).</t>
  </si>
  <si>
    <t xml:space="preserve">Less Allowance for Expected credit loss (180,999,419)</t>
  </si>
  <si>
    <t xml:space="preserve">Note 23(b) Bank December 2019 total 'Less Allowance for Expected credit loss' (180,999,419) (IFRS 9 ECL; retail 4,776,944 + corporate 176,222,475); occurrence 3 on page (1=retail, 2=corporate). Sign converted to expense-positive.</t>
  </si>
  <si>
    <t xml:space="preserve">Loans and advances to customers 23 2,911,579,708 1,993,606,233 2,481,623,671 1,681,761,862</t>
  </si>
  <si>
    <t xml:space="preserve">SOFP 'Loans and advances to customers' (note 23), Bank December 2019 2,481,623,671 (note 23b prints the same; gross - ECL = 2,481,623,670, 1k rounding).</t>
  </si>
  <si>
    <t xml:space="preserve">PricewaterhouseCoopers (Chartered Accountants, Lagos) report dated 6 March 2020</t>
  </si>
  <si>
    <t xml:space="preserve">reports/pages/0d52ef10ac14/p0086.png</t>
  </si>
  <si>
    <t xml:space="preserve">PwC independent auditor's report on PDF pp86-91 (all image-only, no text layer; transcribed from 110-dpi renders; no printed page numbers). Unmodified opinion on the consolidated and separate financial statements of Access Bank Plc (explicitly covers the separate statements). MU: No. EoM: No (no emphasis-of-matter or other-matter paragraphs). Only boilerplate going-concern responsibility text (p90). KAMs: accounting for business combination (Diamond Bank); impairment on loans and advances to customers (N191.4bn); valuation of level 3 FVTPL equity securities (N113.2bn). Signed Tola Ogundipe FRC/2013/ICAN/00000000639, 6 March 2020 (PDF p91).</t>
  </si>
  <si>
    <t xml:space="preserve">reports/access/access_xs-2336dc520e_60aa1e1962a5.pdf</t>
  </si>
  <si>
    <t xml:space="preserve">December 2021</t>
  </si>
  <si>
    <t xml:space="preserve">Total assets 11,731,964,926 8,679,747,720 9,660,760,556 7,624,979,724</t>
  </si>
  <si>
    <t xml:space="preserve">reports/pages/60aa1e1962a5/p0051.png</t>
  </si>
  <si>
    <t xml:space="preserve">Consolidated and separate SOFP as at 31 December 2021; Bank Total assets 9,660,760,556</t>
  </si>
  <si>
    <t xml:space="preserve">2026-10-11T07:39:42+00:00</t>
  </si>
  <si>
    <t xml:space="preserve">Four columns headed 'Group' | 'Group' | 'Bank' | 'Bank' over 'December 2021' | 'December 2020' | 'December 2021' | 'December 2020' ('In thousands of Naira'); Bank December 2021 column used; entity Access Bank Plc</t>
  </si>
  <si>
    <t xml:space="preserve">Total liabilities 10,681,936,203 7,928,706,480 8,789,310,442 6,971,084,060</t>
  </si>
  <si>
    <t xml:space="preserve">SOFP Bank Total liabilities 8,789,310,442</t>
  </si>
  <si>
    <t xml:space="preserve">Total equity 1,050,028,723 751,041,240 871,450,114 653,895,664</t>
  </si>
  <si>
    <t xml:space="preserve">SOFP Bank Total equity 871,450,114 (equals total equity attributable to owners; no NCI in Bank; includes Additional Tier 1 capital 206,355,000 classified in equity)</t>
  </si>
  <si>
    <t xml:space="preserve">Profit for the year 160,215,536 106,009,690 111,326,487 80,039,331</t>
  </si>
  <si>
    <t xml:space="preserve">reports/pages/60aa1e1962a5/p0050.png</t>
  </si>
  <si>
    <t xml:space="preserve">Consolidated and separate statement of comprehensive income; Bank Profit for the year 111,326,487 (row printed twice; first occurrence; after income tax credit 4,843,487)</t>
  </si>
  <si>
    <t xml:space="preserve">Profit before tax 176,700,521 125,922,123 106,483,000 90,195,880</t>
  </si>
  <si>
    <t xml:space="preserve">Bank Profit before tax 106,483,000</t>
  </si>
  <si>
    <t xml:space="preserve">Net cash generated from/(used in) operating activities 961,894,993 (95,582,974) 500,834,811 (81,426,718)</t>
  </si>
  <si>
    <t xml:space="preserve">reports/pages/60aa1e1962a5/p0054.png</t>
  </si>
  <si>
    <t xml:space="preserve">Statement of cash flows (titled "Consolidated statement of cash flows" but carries Group | Group | Bank | Bank columns); Bank Net cash generated from operating activities 500,834,811 (inflow)</t>
  </si>
  <si>
    <t xml:space="preserve">Prior-year (December 2020) Bank column of 2021 SOFP: Total assets 7,624,979,724; SOFP column not labelled restated; agrees with Bank total assets in the 2020 Access report (xs-02a2c771a1 p49)</t>
  </si>
  <si>
    <t xml:space="preserve">Net impairment charge on financial assets 9 (83,212,978) (62,893,120) (53,800,935) (39,650,580)</t>
  </si>
  <si>
    <t xml:space="preserve">Bank Net impairment charge on financial assets (53,800,935); covers all financial assets, not only loans Sign converted to expense-positive.</t>
  </si>
  <si>
    <t xml:space="preserve">Loans and advances to customers (Individual and corporate entities and other organizations) 3,343,722,232</t>
  </si>
  <si>
    <t xml:space="preserve">reports/pages/60aa1e1962a5/p0218.png</t>
  </si>
  <si>
    <t xml:space="preserve">Note 23(b) Bank December 2021: Loans and advances to customers (Individual and corporate entities and other organizations) 3,343,722,232 = individuals 134,742,630 + corporate 3,208,979,603; same total printed in sector analysis p129</t>
  </si>
  <si>
    <t xml:space="preserve">Note 23 Loans and advances to customers, sub-note 'b Bank' headed 'December 2021' ('In thousands of Naira'); separate Group sub-note (a) on preceding pages; entity Access Bank Plc</t>
  </si>
  <si>
    <t xml:space="preserve">Less Allowance for Expected credit loss (87,649,564)</t>
  </si>
  <si>
    <t xml:space="preserve">Note 23(b) Bank: Less Allowance for Expected credit loss (87,649,564) = individuals (13,831,485) + corporate (73,818,079); third occurrence of the label on the page. Gross - ECL = 3,256,072,668 vs printed net 3,256,072,669 (1 thousand rounding) Sign converted to expense-positive.</t>
  </si>
  <si>
    <t xml:space="preserve">Loans and advances to customers 23 4,161,363,603 3,218,107,026 3,256,072,669 2,818,875,731</t>
  </si>
  <si>
    <t xml:space="preserve">SOFP Bank Loans and advances to customers 3,256,072,669 (agrees to note 23(b) p218)</t>
  </si>
  <si>
    <t xml:space="preserve">Total regulatory capital 1,199,317,434 736,074,023 835,939,161 488,756,278</t>
  </si>
  <si>
    <t xml:space="preserve">reports/pages/60aa1e1962a5/p0190.png</t>
  </si>
  <si>
    <t xml:space="preserve">Bank Total regulatory capital 835,939,161 (Eligible Tier 1 711,577,906 + Eligible Tier 2 124,361,255, after 50% deduction of investments in subsidiaries). Table stated as CAR without IFRS 9 Regulatory Transition Arrangement, which expired in 2021; no transitional figure printed</t>
  </si>
  <si>
    <t xml:space="preserve">Capital adequacy ratio computation under Basel II guidelines (Note 6 Capital management), columns 'Group' | 'Group' | 'Bank' | 'Bank' over 'December 2021' | 'December 2020' | 'December 2021' | 'December 2020'; Bank December 2021 column used</t>
  </si>
  <si>
    <t xml:space="preserve">Risk-weighted assets 4,891,614,912 3,761,490,271 3,993,848,672 3,007,438,117</t>
  </si>
  <si>
    <t xml:space="preserve">Bank Risk-weighted assets 3,993,848,672</t>
  </si>
  <si>
    <t xml:space="preserve">20.93%</t>
  </si>
  <si>
    <t xml:space="preserve">Total regulatory capital expressed as a percentage 24.52% 19.57% 20.93% 16.25%</t>
  </si>
  <si>
    <t xml:space="preserve">Bank Total regulatory capital expressed as a percentage of total risk-weighted assets 20.93% (Basel II; Tier 1 ratio 17.82%). Basel III parallel run began Nov 2021, no Basel III figures printed</t>
  </si>
  <si>
    <t xml:space="preserve">PricewaterhouseCoopers (Chartered Accountants), Landmark Towers, 5B Water Corporation Road, Victoria Island, Lagos, Nigeria report dated 2022-03-17</t>
  </si>
  <si>
    <t xml:space="preserve">reports/pages/60aa1e1962a5/p0045.png</t>
  </si>
  <si>
    <t xml:space="preserve">Independent auditor's report to the Members of Access Bank Plc, PDF pp45-49 (all five pages have no text layer; transcribed from 110-dpi renders; no printed page numbers visible). PricewaterhouseCoopers, Lagos; Engagement Partner Chidi Ojechi FRC/2017/ICAN/00000015955; dated 17 March 2022 (signature p49). Unmodified (true and fair) opinion on the consolidated and separate financial statements of Access Bank Plc ('the bank') and its subsidiaries. MU: No. EoM: No (no emphasis-of-matter or other-matter paragraphs); going concern appears only in boilerplate directors'/auditor's responsibilities text (p48). KAMs: Impairment of goodwill; Impairment on loans and advances to customers (N86.14bn). Management GC disclosure: Directors' corporate governance report p35, Statement of directors' responsibilities p38, Note 2.0 basis of preparation p55.</t>
  </si>
  <si>
    <t xml:space="preserve">reports/unity/unity_xs-059c7135c3_bd367ce8e4f1.pdf</t>
  </si>
  <si>
    <t xml:space="preserve">Total assets 443,321,012 413,305,111</t>
  </si>
  <si>
    <t xml:space="preserve">reports/pages/bd367ce8e4f1/p0007.png</t>
  </si>
  <si>
    <t xml:space="preserve">Statement of financial position: Total assets 443,321,012.</t>
  </si>
  <si>
    <t xml:space="preserve">Single set of columns headed '2015' | '2014' (N'000); no Group columns; entity Unity Bank Plc</t>
  </si>
  <si>
    <t xml:space="preserve">Total liabilities 360,746,481 337,041,116</t>
  </si>
  <si>
    <t xml:space="preserve">Total liabilities 360,746,481.</t>
  </si>
  <si>
    <t xml:space="preserve">Total equity 82,574,531 76,263,995</t>
  </si>
  <si>
    <t xml:space="preserve">Total equity 82,574,531 (retained earnings (117,270,296); issued share capital 5,844,669 vs 58,446,690 in 2014 after share reconstruction, see note 33).</t>
  </si>
  <si>
    <t xml:space="preserve">Profit after tax 4,689,157 10,692,476</t>
  </si>
  <si>
    <t xml:space="preserve">reports/pages/bd367ce8e4f1/p0005.png</t>
  </si>
  <si>
    <t xml:space="preserve">Statement of profit or loss: Profit after tax 4,689,157 (includes income tax credit 2,346,490).</t>
  </si>
  <si>
    <t xml:space="preserve">Profit before tax 2,342,667 13,639,391</t>
  </si>
  <si>
    <t xml:space="preserve">Profit before tax 2,342,667.</t>
  </si>
  <si>
    <t xml:space="preserve">Net cash flows from/(used in) operating activities (36,691,170) (32,248,858)</t>
  </si>
  <si>
    <t xml:space="preserve">reports/pages/bd367ce8e4f1/p0009.png</t>
  </si>
  <si>
    <t xml:space="preserve">Statement of cash flows: Net cash flows from/(used in) operating activities (36,691,170).</t>
  </si>
  <si>
    <t xml:space="preserve">Prior-year column of the 2015 SOFP: Total assets 413,305,111 (no restated label).</t>
  </si>
  <si>
    <t xml:space="preserve">Impairment of financial assets 12 (27,122,182) (17,369,540)</t>
  </si>
  <si>
    <t xml:space="preserve">Impairment of financial assets (27,122,182); note 12: credit loss expense 22,234,333 + other assets 4,887,849. Sign converted to expense-positive.</t>
  </si>
  <si>
    <t xml:space="preserve">Gross Loans 311,897,547 266,124,203</t>
  </si>
  <si>
    <t xml:space="preserve">reports/pages/bd367ce8e4f1/p0034.png</t>
  </si>
  <si>
    <t xml:space="preserve">Note 19a: Gross Loans 311,897,547 (incl. interest receivable 5,455,809).</t>
  </si>
  <si>
    <t xml:space="preserve">Less: Allowance for impairment losses (65,754,418) (46,788,857)</t>
  </si>
  <si>
    <t xml:space="preserve">Note 19a: Less: Allowance for impairment losses (65,754,418); agrees to 19d closing balance 65,754,418. Sign converted to expense-positive.</t>
  </si>
  <si>
    <t xml:space="preserve">Individual impairment 59,878,629 42,646,667</t>
  </si>
  <si>
    <t xml:space="preserve">Note 19d: Individual impairment 59,878,629 (printed positive).</t>
  </si>
  <si>
    <t xml:space="preserve">Collective impairment 5,875,789 4,142,190</t>
  </si>
  <si>
    <t xml:space="preserve">Note 19d: Collective impairment 5,875,789 (printed positive).</t>
  </si>
  <si>
    <t xml:space="preserve">Loans and advances to customers 19 246,143,129 219,335,346</t>
  </si>
  <si>
    <t xml:space="preserve">SOFP: Loans and advances to customers 246,143,129.</t>
  </si>
  <si>
    <t xml:space="preserve">Ahmed Zakari &amp; Co. (Chartered Accountants) report dated 30 March 2016 (Abuja, Nigeria)</t>
  </si>
  <si>
    <t xml:space="preserve">reports/pages/bd367ce8e4f1/p0002.png</t>
  </si>
  <si>
    <t xml:space="preserve">Report of the Auditors to the Members of Unity Bank Plc (Ahmed Zakari &amp; Co.), PDF p2-3 (printed 29-30), no text layer; transcribed from 110-dpi render. Signed Tajudeen Adetokunbo Oni FCA FRC/2013/ICAN/00000000749, 30 March 2016, Abuja. Unmodified true-and-fair opinion on Unity Bank Plc financial statements; MU: No; EoM: No; no other-matter paragraph; no KAMs (pre-ISA 701). Note: heading is 'Report of the Auditors', not 'Independent auditor'. Mgmt GC: note 1.3 'Going concern' PDF p12 (printed 8) mentions negotiations with investors to address the Bank's negative capitalisation.</t>
  </si>
  <si>
    <t xml:space="preserve">Single entity Unity Bank Plc; one set of columns '2015' | '2014'</t>
  </si>
  <si>
    <t xml:space="preserve">reports/unity/unity_xs-00da650717_c6cfd30187f3.pdf</t>
  </si>
  <si>
    <t xml:space="preserve">31 DECEMBER 2016</t>
  </si>
  <si>
    <t xml:space="preserve">Total assets 492,681,647 443,321,012</t>
  </si>
  <si>
    <t xml:space="preserve">reports/pages/c6cfd30187f3/p0029.png</t>
  </si>
  <si>
    <t xml:space="preserve">Statement of financial position 'Total assets', 31 DECEMBER 2016 column (N'000).</t>
  </si>
  <si>
    <t xml:space="preserve">2026-10-11T07:39:54+00:00</t>
  </si>
  <si>
    <t xml:space="preserve">Single set of columns headed '2016' | '2015' (SoFP and notes: '31 DECEMBER 2016' | '31 DECEMBER 2015'; units N'000); no Group columns; entity Unity Bank Plc</t>
  </si>
  <si>
    <t xml:space="preserve">Total liabilities 409,574,667 360,746,481</t>
  </si>
  <si>
    <t xml:space="preserve">SoFP 'Total liabilities', 31 DECEMBER 2016 column.</t>
  </si>
  <si>
    <t xml:space="preserve">Total equity 83,106,980 82,574,531</t>
  </si>
  <si>
    <t xml:space="preserve">SoFP 'Total equity' 83,106,980 (positive despite retained earnings of (275,980,402), offset by Non Distributable Regulatory Reserve 263,788,438).</t>
  </si>
  <si>
    <t xml:space="preserve">Profit after tax 2,183,798 4,689,157</t>
  </si>
  <si>
    <t xml:space="preserve">reports/pages/c6cfd30187f3/p0027.png</t>
  </si>
  <si>
    <t xml:space="preserve">Statement of profit or loss 'Profit after tax', 2016 column (includes income tax credit 367,367).</t>
  </si>
  <si>
    <t xml:space="preserve">Profit before tax 1,816,431 2,342,667</t>
  </si>
  <si>
    <t xml:space="preserve">Statement of profit or loss 'Profit before tax', 2016 column.</t>
  </si>
  <si>
    <t xml:space="preserve">Net cash flows from/(used in) operating activities (23,320,526) (36,691,171)</t>
  </si>
  <si>
    <t xml:space="preserve">reports/pages/c6cfd30187f3/p0031.png</t>
  </si>
  <si>
    <t xml:space="preserve">Statement of cash flows 'Net cash flows from/(used in) operating activities', 2016 column, printed (23,320,526).</t>
  </si>
  <si>
    <t xml:space="preserve">31 DECEMBER 2015</t>
  </si>
  <si>
    <t xml:space="preserve">Prior-year (31 DECEMBER 2015) 'Total assets' column of the 2016 report's SoFP; comparative not labelled restated.</t>
  </si>
  <si>
    <t xml:space="preserve">Impairment of financial assets 12 (35,948,596) (27,122,182)</t>
  </si>
  <si>
    <t xml:space="preserve">Statement of profit or loss 'Impairment of financial assets' (note 12), printed (35,948,596). Note 12 'Credit loss expense' 35,948,596 = charge 36,127,955 less recoveries 179,359; other assets nil in 2016. Sign converted to expense-positive.</t>
  </si>
  <si>
    <t xml:space="preserve">Printed in parentheses; stored as positive amount.</t>
  </si>
  <si>
    <t xml:space="preserve">19a</t>
  </si>
  <si>
    <t xml:space="preserve">Gross Loans 378,758,599 311,897,547</t>
  </si>
  <si>
    <t xml:space="preserve">reports/pages/c6cfd30187f3/p0053.png</t>
  </si>
  <si>
    <t xml:space="preserve">Note 19a 'Gross Loans' (loans and advances to customers by customer type) 378,758,599.</t>
  </si>
  <si>
    <t xml:space="preserve">Less: Allowance for impairment losses (101,544,079) (65,754,418)</t>
  </si>
  <si>
    <t xml:space="preserve">Note 19a 'Less: Allowance for impairment losses' printed (101,544,079); agrees with note 19d 'At 31 December' 101,544,079 = individual 93,090,028 + collective 8,454,051. Sign converted to expense-positive.</t>
  </si>
  <si>
    <t xml:space="preserve">19d</t>
  </si>
  <si>
    <t xml:space="preserve">Individual impairment 93,090,028 59,878,629</t>
  </si>
  <si>
    <t xml:space="preserve">Note 19d reconciliation, closing split 'Individual impairment' 93,090,028 (printed positive).</t>
  </si>
  <si>
    <t xml:space="preserve">Collective impairment 8,454,051 5,875,789</t>
  </si>
  <si>
    <t xml:space="preserve">Note 19d reconciliation, closing split 'Collective impairment' 8,454,051 (printed positive).</t>
  </si>
  <si>
    <t xml:space="preserve">Loans and advances to customers 19 277,214,521 246,143,129</t>
  </si>
  <si>
    <t xml:space="preserve">SoFP 'Loans and advances to customers' (note 19) 277,214,521 = 378,758,599 - 101,544,079.</t>
  </si>
  <si>
    <t xml:space="preserve">Total Qualifying Capital (217,551,640) (58,380,725)</t>
  </si>
  <si>
    <t xml:space="preserve">reports/pages/c6cfd30187f3/p0073.png</t>
  </si>
  <si>
    <t xml:space="preserve">Note 41 regulatory capital: 'Total Qualifying Capital' printed (217,551,640) - NEGATIVE (Tier 1 (217,551,640); Tier 2 nil).</t>
  </si>
  <si>
    <t xml:space="preserve">Total risk-weighted assets 463,106,398 272,018,565</t>
  </si>
  <si>
    <t xml:space="preserve">Note 41 'Total risk-weighted assets' 463,106,398 (credit 382,372,476 + operational 63,894,443 + market 16,839,479).</t>
  </si>
  <si>
    <t xml:space="preserve">-46.98%</t>
  </si>
  <si>
    <t xml:space="preserve">Ratio -46.98% -21.46%</t>
  </si>
  <si>
    <t xml:space="preserve">Note 41 'Ratio' -46.98% (negative capital adequacy ratio; = -217,551,640/463,106,398). No minimum ratio printed.</t>
  </si>
  <si>
    <t xml:space="preserve">Ahmed Zakari &amp; Co. (Chartered Accountants) report dated 29 March 2017 (handwritten 'March 29 2017'; directors approved the financial statements 20 March 2017)</t>
  </si>
  <si>
    <t xml:space="preserve">reports/pages/c6cfd30187f3/p0022.png</t>
  </si>
  <si>
    <t xml:space="preserve">Report of the Auditors (Ahmed Zakari &amp; Co.) on PDF pp22-26 (no printed page numbers); pages have no text layer; transcribed from 110-dpi renders. Unmodified true-and-fair opinion on the financial statements of Unity Bank Plc (single entity). MU: No (no 'Material uncertainty related to going concern' section). EoM: No (no emphasis-of-matter or other-matter paragraphs). Going-concern wording only in boilerplate directors'/auditor's responsibilities (p25). KAMs: 'Huge Non performing loans (NPLs) and erosion of tier 1 capital' (NPL ratio 48% IFRS / 97% CBN PG; negative CAR 2015 and 2016; recapitalisation and NPL sale) and 'Impairment of loans and advances'. Signed Tajudeen Adetokunbo Oni FRC/2013/ICAN/00000000749, Lagos, March 29 2017 (handwritten) on PDF p26. Management GC note 40 (PDF p71).</t>
  </si>
  <si>
    <t xml:space="preserve">reports/unity/unity_xs-848eb8a062_022078418339.pdf</t>
  </si>
  <si>
    <t xml:space="preserve">Statement of financial position (page carries no printed number)</t>
  </si>
  <si>
    <t xml:space="preserve">31 DECEMBER 2021</t>
  </si>
  <si>
    <t xml:space="preserve">Total assets 538,868,755 492,020,329</t>
  </si>
  <si>
    <t xml:space="preserve">reports/pages/022078418339/p0025.png</t>
  </si>
  <si>
    <t xml:space="preserve">SOFP Total assets 538,868,755 (balances to Total liabilities and equity 538,868,755). Five-year summary p97 prints 538,868,754 (typo).</t>
  </si>
  <si>
    <t xml:space="preserve">2026-10-11T07:39:57+00:00</t>
  </si>
  <si>
    <t xml:space="preserve">Single set of columns headed '31 DECEMBER 2021' | '31 DECEMBER 2020' (N'000); 2020 not labelled restated; no Group columns; entity Unity Bank Plc</t>
  </si>
  <si>
    <t xml:space="preserve">Total liabilities 815,022,210 767,430,125</t>
  </si>
  <si>
    <t xml:space="preserve">SOFP Total liabilities 815,022,210 (exceeds total assets).</t>
  </si>
  <si>
    <t xml:space="preserve">Total equity (276,153,455) (275,409,796)</t>
  </si>
  <si>
    <t xml:space="preserve">SOFP Total equity printed (276,153,455): NEGATIVE equity (accumulated deficit (371,734,695)). Not flipped.</t>
  </si>
  <si>
    <t xml:space="preserve">Statement of profit or loss (page carries no printed number)</t>
  </si>
  <si>
    <t xml:space="preserve">Profit after tax 3,173,254 2,086,393</t>
  </si>
  <si>
    <t xml:space="preserve">reports/pages/022078418339/p0024.png</t>
  </si>
  <si>
    <t xml:space="preserve">SOPL 'Profit after tax' 3,173,254 (same as 'Profit for the year').</t>
  </si>
  <si>
    <t xml:space="preserve">Single set of columns headed '2021' | '2020' (N'000); no Group columns; entity Unity Bank Plc</t>
  </si>
  <si>
    <t xml:space="preserve">Profit before tax 3,332,134 2,223,194</t>
  </si>
  <si>
    <t xml:space="preserve">SOPL 'Profit before tax' 3,332,134.</t>
  </si>
  <si>
    <t xml:space="preserve">Net cash flows (used in)/generated from operating activities (64,852,553) 15,353,812</t>
  </si>
  <si>
    <t xml:space="preserve">reports/pages/022078418339/p0027.png</t>
  </si>
  <si>
    <t xml:space="preserve">Cash flow 'Net cash flows (used in)/generated from operating activities' (64,852,553) = net cash USED. Cash flow header row reads 'FOR THE YEAR ENDED 31 DECEMBER 2021 2021 2020'.</t>
  </si>
  <si>
    <t xml:space="preserve">31 DECEMBER 2020</t>
  </si>
  <si>
    <t xml:space="preserve">Prior-year column of the 2021 SOFP: Total assets 492,020,329 at 31 December 2020; column not labelled restated.</t>
  </si>
  <si>
    <t xml:space="preserve">Net remeasurment of ECL allowance on financial assets 11 2,563,927 4,127,332</t>
  </si>
  <si>
    <t xml:space="preserve">SOPL 'Net remeasurment of ECL allowance on financial assets' (note 11) printed 2,563,927 WITHOUT parentheses and ADDED to total operating income (25,849,665 + 2,563,927 = net operating income 28,413,592): it is a NET WRITEBACK/credit, not an expense. Note 11 (p70) labels it 'Total impairment writeback (2,563,927)': credit loss expense (2,946,837) [= remeasurement (1,570,765) + recoveries (1,376,072)] + other assets 382,911. Loans-and-advances component (925,505) writeback. REVIEWER: if the panel convention is expense-positive, the economically correct stored value is -2,563,927 (sign -1); sign kept at 1 per the brief's parentheses rule pending review. Sign converted to expense-positive.</t>
  </si>
  <si>
    <t xml:space="preserve">Line 'Net remeasurement of ECL allowance on financial assets' is a net write-back (added to operating income; note 11 'Total impairment writeback (2,563,927)'); stored as a negative charge under the panel's expense-positive convention.</t>
  </si>
  <si>
    <t xml:space="preserve">Gross Loans &amp; Advances (including On-lending) 272,468,900 206,205,544</t>
  </si>
  <si>
    <t xml:space="preserve">reports/pages/022078418339/p0074.png</t>
  </si>
  <si>
    <t xml:space="preserve">Note 18 'Gross Loans &amp; Advances (including On-lending)' 272,468,900 = direct loans 21,371,304 + on-lending facilities 251,097,596. Same total in note 5.2 (p48).</t>
  </si>
  <si>
    <t xml:space="preserve">Note 18 columns headed '2021' | '2020' (N'000); no Group columns; entity Unity Bank Plc</t>
  </si>
  <si>
    <t xml:space="preserve">Less: Allowance for impairment losses (3,199,184) (4,124,689)</t>
  </si>
  <si>
    <t xml:space="preserve">Note 18 'Less: Allowance for impairment losses' (3,199,184) = ECL on loans to customers (Stage 1 1,547,941 + Stage 2 1,650,231 + Stage 3 1,012 per p48/p56; note 18(d) reconciliation p75: 4,124,689 - 925,505 writeback). Sign converted to expense-positive.</t>
  </si>
  <si>
    <t xml:space="preserve">Loans and advances to customers 18 269,269,716 202,080,856</t>
  </si>
  <si>
    <t xml:space="preserve">SOFP Loans and advances to customers 269,269,716 (= note 18 net, p74).</t>
  </si>
  <si>
    <t xml:space="preserve">2021 Stage 3</t>
  </si>
  <si>
    <t xml:space="preserve">Gross Carrying Amount - 111,669,660 160,693,386 105,854 - 272,468,900</t>
  </si>
  <si>
    <t xml:space="preserve">reports/pages/022078418339/p0048.png</t>
  </si>
  <si>
    <t xml:space="preserve">Note 5.2 credit analysis 2021, Loans and Advances to Customers block (2nd 'Gross Carrying Amount' row on page), Stage 3 column 105,854 (rating 8-10 Higher risk). Agrees with p57 'Credit-impaired loans and advances to customers at 31 December' 105,854.</t>
  </si>
  <si>
    <t xml:space="preserve">Note 5.2 credit analysis, 2021 table, columns '12-month PD Ranges' | 'Stage 1' | 'Stage 2' | 'Stage 3' | 'Purchased Credit Impaired' | 'Total' (N'000); no Group columns; entity Unity Bank Plc</t>
  </si>
  <si>
    <t xml:space="preserve">Loss Allowance (1,547,941) (1,650,231) (1,012) (3,199,184)</t>
  </si>
  <si>
    <t xml:space="preserve">Note 5.2, customers block (2nd 'Loss Allowance' row), Stage 3 (1,012); p56 reconciliation Stage 3 balance at 31 December 1,012. Sign converted to expense-positive.</t>
  </si>
  <si>
    <t xml:space="preserve">2021 Full impact of IFRS 9 transition</t>
  </si>
  <si>
    <t xml:space="preserve">Total Qualifying Capital (278,060,632) (278,060,632) (283,244,437) (282,748,097)</t>
  </si>
  <si>
    <t xml:space="preserve">reports/pages/022078418339/p0093.png</t>
  </si>
  <si>
    <t xml:space="preserve">Capital adequacy table Total Qualifying Capital (278,060,632) NEGATIVE; full-impact and adjusted-impact 2021 columns identical (transitional add-back nil in 2021).</t>
  </si>
  <si>
    <t xml:space="preserve">Capital adequacy table columns '2021 Full impact of IFRS 9 transition' | '2021 Adjusted impact of IFRS 9 transition' | '2020 Full impact' | '2020 Adjusted impact' (N'000); first (2021 full impact) column used; no Group columns; entity Unity Bank Plc</t>
  </si>
  <si>
    <t xml:space="preserve">Total risk-weighted assets 322,639,564 322,639,564 279,139,432 279,139,432</t>
  </si>
  <si>
    <t xml:space="preserve">Total risk-weighted assets 322,639,564 (credit 243,444,832 + operational 43,412,131 + market 35,782,602).</t>
  </si>
  <si>
    <t xml:space="preserve">-86.18%</t>
  </si>
  <si>
    <t xml:space="preserve">Ratio -86.18% -86.18% -101.47% -101.29%</t>
  </si>
  <si>
    <t xml:space="preserve">Ratio -86.18% (both 2021 columns); note 35/36 text p92 also -86.18%. Comparative 2020: -101.47% full / -101.29% adjusted.</t>
  </si>
  <si>
    <t xml:space="preserve">KPMG Professional Services (Chartered Accountants), Lagos report dated 6 May, 2022</t>
  </si>
  <si>
    <t xml:space="preserve">reports/pages/022078418339/p0019.png</t>
  </si>
  <si>
    <t xml:space="preserve">KPMG Professional Services, Akinyemi Ashade FCA (FRC/2013/ICAN/00000000786), dated 6 May 2022; auditor's report PDF pp19-23 (all with text layer; signature p23). Unmodified (true and fair) opinion on the Bank's financial statements. MU: Yes - separate section 'Material Uncertainty Related to Going Concern' (p19) citing Note 35: liabilities exceed assets by N276 billion, CAR below 10% minimum and below N25billion minimum capital; 'Our opinion is not modified in respect of this matter.' EoM: No (no separate emphasis of matter / other matter paragraph). KAM: ECL on loans and advances to customers.</t>
  </si>
  <si>
    <t xml:space="preserve">Auditor's report on the financial statements of Unity Bank Plc (the Bank); single entity; no Group columns; entity Unity Bank Plc</t>
  </si>
  <si>
    <t xml:space="preserve">reports/sterling/sterling_xs-1e71398d57_76ee528c0341.pdf</t>
  </si>
  <si>
    <t xml:space="preserve">reports/pages/76ee528c0341/p0022.png</t>
  </si>
  <si>
    <t xml:space="preserve">page has no text layer; transcribed from 110-dpi render. Statement of financial position: TOTAL ASSETS 799,451,417 (N'000).</t>
  </si>
  <si>
    <t xml:space="preserve">2026-10-11T07:40:00+00:00</t>
  </si>
  <si>
    <t xml:space="preserve">Single set of columns headed '31 December 2015' | '31 December 2014' (N'000); no Group columns; entity Sterling Bank Plc</t>
  </si>
  <si>
    <t xml:space="preserve">page has no text layer; transcribed from 110-dpi render. TOTAL LIABILITIES 703,885,670.</t>
  </si>
  <si>
    <t xml:space="preserve">page has no text layer; transcribed from 110-dpi render. Total equity 95,565,747 (share capital 14,395,209 + share premium 42,759,214 + retained earnings 10,042,079 + other components 28,369,245).</t>
  </si>
  <si>
    <t xml:space="preserve">Profit after income tax 10,292,577 9,004,973</t>
  </si>
  <si>
    <t xml:space="preserve">reports/pages/76ee528c0341/p0021.png</t>
  </si>
  <si>
    <t xml:space="preserve">Statement of profit or loss: Profit after income tax 10,292,577.</t>
  </si>
  <si>
    <t xml:space="preserve">Single set of columns headed '2015' | '2014' (N'000); no Group columns; entity Sterling Bank Plc</t>
  </si>
  <si>
    <t xml:space="preserve">Profit before income tax 11,016,301 10,747,985</t>
  </si>
  <si>
    <t xml:space="preserve">Profit before income tax 11,016,301.</t>
  </si>
  <si>
    <t xml:space="preserve">Net cash flows from/(used) in operating activities 54,691,995 (755,006)</t>
  </si>
  <si>
    <t xml:space="preserve">reports/pages/76ee528c0341/p0025.png</t>
  </si>
  <si>
    <t xml:space="preserve">Statement of cash flows: Net cash flows from/(used) in operating activities 54,691,995.</t>
  </si>
  <si>
    <t xml:space="preserve">page has no text layer; transcribed from 110-dpi render. Prior-year column of the 2015 SOFP: TOTAL ASSETS 824,539,426 (column not labelled restated).</t>
  </si>
  <si>
    <t xml:space="preserve">Impairment charges 11 (8,151,338) (7,389,159)</t>
  </si>
  <si>
    <t xml:space="preserve">Impairment charges (8,151,338); note 11: loans 8,275,657 (individual 9,972,473 + collective 1,035,229 + written off 52,202 - no longer required 2,784,247) and write-back on other assets (124,319). Sign converted to expense-positive.</t>
  </si>
  <si>
    <t xml:space="preserve">354,474,856 380,924,400</t>
  </si>
  <si>
    <t xml:space="preserve">reports/pages/76ee528c0341/p0064.png</t>
  </si>
  <si>
    <t xml:space="preserve">Note 19 unlabelled subtotal row 354,474,856 = loans to individuals 40,357,710 + corporate entities 314,117,146 (gross, before "Less:" allowances); agrees to 19(e)/(f)/(g) totals.</t>
  </si>
  <si>
    <t xml:space="preserve">Single set of columns headed '31 December 2015' | '31 December 2014' (N'0001 as extracted, i.e. N'000); no Group columns; entity Sterling Bank Plc</t>
  </si>
  <si>
    <t xml:space="preserve">19(b)</t>
  </si>
  <si>
    <t xml:space="preserve">Individual impairment allowance (note 19(b)) (11,566,682) (6,531,453)</t>
  </si>
  <si>
    <t xml:space="preserve">Individual impairment allowance (11,566,682); agrees to 19(b) closing balance 11,566,682. Sign converted to expense-positive.</t>
  </si>
  <si>
    <t xml:space="preserve">19(c)</t>
  </si>
  <si>
    <t xml:space="preserve">Collective impairment allowance (note 19(c)) (4,181,903) (3,146,674)</t>
  </si>
  <si>
    <t xml:space="preserve">Collective impairment allowance (4,181,903); agrees to 19(c) closing balance 4,181,903. Sign converted to expense-positive.</t>
  </si>
  <si>
    <t xml:space="preserve">338,726,271 371,246,273</t>
  </si>
  <si>
    <t xml:space="preserve">Note 19 net row 338,726,271 (unlabelled, after Less: allowances); agrees to SOFP p22 "Loans and advances to customers" 338,726,271 (image page).</t>
  </si>
  <si>
    <t xml:space="preserve">35(h)</t>
  </si>
  <si>
    <t xml:space="preserve">Total regulatory capital 85,262,476 77,295,247</t>
  </si>
  <si>
    <t xml:space="preserve">reports/pages/76ee528c0341/p0117.png</t>
  </si>
  <si>
    <t xml:space="preserve">Note 35(h)(ii) Constituents of Capital: Total regulatory capital 85,262,476 (Tier 1 after deductions 81,370,755 + eligible Tier 2 3,891,721).</t>
  </si>
  <si>
    <t xml:space="preserve">Risk-weighted assets 487,486,579 566,686,606</t>
  </si>
  <si>
    <t xml:space="preserve">Risk-weighted assets 487,486,579.</t>
  </si>
  <si>
    <t xml:space="preserve">17.49%</t>
  </si>
  <si>
    <t xml:space="preserve">risk-weighted assets 17.49% 14%</t>
  </si>
  <si>
    <t xml:space="preserve">Total tier 1 and tier 2 capital expressed as a percentage of risk-weighted assets 17.49%; also p118 4.02 Total Capital Adequacy Ratio 17.49%.</t>
  </si>
  <si>
    <t xml:space="preserve">Bank 2015 (capital management narrative)</t>
  </si>
  <si>
    <t xml:space="preserve">Central Bank of Nigeria regulations, a minimum ratio of 10% is to be maintained.</t>
  </si>
  <si>
    <t xml:space="preserve">Narrative: "In accordance with Central Bank of Nigeria regulations, a minimum ratio of 10% is to be maintained." (no column; value in text).</t>
  </si>
  <si>
    <t xml:space="preserve">Ernst &amp; Young (Chartered Accountants), Lagos, Nigeria report dated 2 March 2016</t>
  </si>
  <si>
    <t xml:space="preserve">reports/pages/76ee528c0341/p0019.png</t>
  </si>
  <si>
    <t xml:space="preserve">Independent Auditors' Report (Ernst &amp; Young, Lagos) PDF p19-20 (printed 19-20), both image-only, read from 110-dpi renders; signed Dayo Babatunde FCA FRC/2013/ICAN/00000000702, 2 March 2016 (p20). Unmodified opinion on Sterling Bank Plc financial statements; MU: No; EoM: No; no other-matter paragraph; no KAMs (pre-ISA 701). Other legal/regulatory section notes contraventions of CBN circulars per Note 38 (not an EoM). Mgmt GC: note 3.1(i) Going Concern p52; directors' report p6.</t>
  </si>
  <si>
    <t xml:space="preserve">Single entity Sterling Bank Plc; one set of columns '31 December 2015' | '31 December 2014'</t>
  </si>
  <si>
    <t xml:space="preserve">Bank (separate financial statements of Sterling Bank Plc within consolidated and separate financial statements; Group = Bank + subsidiary)</t>
  </si>
  <si>
    <t xml:space="preserve">reports/sterling/sterling_xs-432427dd54_d6705b9757b3.pdf</t>
  </si>
  <si>
    <t xml:space="preserve">Bank 31 Dec 2020</t>
  </si>
  <si>
    <t xml:space="preserve">reports/pages/d6705b9757b3/p0030.png</t>
  </si>
  <si>
    <t xml:space="preserve">SOFP as at 31 Dec 2020, Bank 31 Dec 2020 column: TOTAL ASSETS 1,281,830. page has no text layer; transcribed from 110-dpi render (confirmed on 200-dpi crop)</t>
  </si>
  <si>
    <t xml:space="preserve">2026-10-11T07:40:04+00:00</t>
  </si>
  <si>
    <t xml:space="preserve">Four columns headed 'Group 31 Dec 2020' | 'Group 31 Dec 2019' | 'Bank 31 Dec 2020' | 'Bank 31 Dec 2019' (In millions of Naira); only the Bank 31 Dec 2020 column used; entity Sterling Bank Plc</t>
  </si>
  <si>
    <t xml:space="preserve">SOFP Bank 31 Dec 2020: TOTAL LIABILITIES 1,146,440. page has no text layer; transcribed from 110-dpi render (confirmed on 200-dpi crop)</t>
  </si>
  <si>
    <t xml:space="preserve">SOFP Bank 31 Dec 2020: Total equity 135,390; TOTAL LIABILITIES AND EQUITY 1,281,830 (A-L-E=0). page has no text layer; transcribed from 110-dpi render (confirmed on 200-dpi crop)</t>
  </si>
  <si>
    <t xml:space="preserve">Bank 31 Dec 2019</t>
  </si>
  <si>
    <t xml:space="preserve">comparative (2019 prior-year column in 2020 report)</t>
  </si>
  <si>
    <t xml:space="preserve">SOFP Bank 31 Dec 2019 comparative column (not labelled restated): TOTAL ASSETS 1,165,509. page has no text layer; transcribed from 110-dpi render (confirmed on 200-dpi crop)</t>
  </si>
  <si>
    <t xml:space="preserve">SOFP Bank 31 Dec 2020: Loans and advances to customers (note 19) 596,827; agrees to note 19 net total p82. page has no text layer; transcribed from 110-dpi render (confirmed on 200-dpi crop)</t>
  </si>
  <si>
    <t xml:space="preserve">Profit after income tax 11,242 10,602 11,110 10,163</t>
  </si>
  <si>
    <t xml:space="preserve">reports/pages/d6705b9757b3/p0029.png</t>
  </si>
  <si>
    <t xml:space="preserve">Statement of profit or loss and OCI, Bank 31 Dec 2020: Profit after income tax 11,110.</t>
  </si>
  <si>
    <t xml:space="preserve">Profit before income tax expense 12,372 10,672 12,240 10,233</t>
  </si>
  <si>
    <t xml:space="preserve">Bank 31 Dec 2020: Profit before income tax expense 12,240.</t>
  </si>
  <si>
    <t xml:space="preserve">Credit loss expense 11 (7,906) (5,838) (7,913) (5,842)</t>
  </si>
  <si>
    <t xml:space="preserve">Bank 31 Dec 2020: Credit loss expense (note 11) (7,913) - total ECL charge on all financial assets, printed in brackets. Sign converted to expense-positive.</t>
  </si>
  <si>
    <t xml:space="preserve">Net cash flows from operating activities 4,228 130,533 4,406 127,788</t>
  </si>
  <si>
    <t xml:space="preserve">reports/pages/d6705b9757b3/p0035.png</t>
  </si>
  <si>
    <t xml:space="preserve">Statement of cash flows, BANK 2020 column: Net cash flows from operating activities 4,406.</t>
  </si>
  <si>
    <t xml:space="preserve">613,359 631,698 613,359 631,698</t>
  </si>
  <si>
    <t xml:space="preserve">reports/pages/d6705b9757b3/p0082.png</t>
  </si>
  <si>
    <t xml:space="preserve">Note 19 Loans and advances to customers, unlabelled gross subtotal row (corporate 570,881 + individuals 42,478), column 'Bank 31 Dec 2020' 613,359; same row repeated identically on p86/p87.</t>
  </si>
  <si>
    <t xml:space="preserve">STER20-ALN</t>
  </si>
  <si>
    <t xml:space="preserve">Impairment allowance on loans to corporate entities (14,111) (11,119) (14,111) (11,119)</t>
  </si>
  <si>
    <t xml:space="preserve">Note 19: Impairment allowance on loans to corporate entities, Bank 31 Dec 2020 (14,111) (ECL, IFRS 9). Sign converted to expense-positive.</t>
  </si>
  <si>
    <t xml:space="preserve">STER20-ALI</t>
  </si>
  <si>
    <t xml:space="preserve">Impairment allowance on loans to individuals (2,421) (1,847) (2,421) (1,847)</t>
  </si>
  <si>
    <t xml:space="preserve">Note 19: Impairment allowance on loans to individuals, Bank 31 Dec 2020 (2,421) (ECL, IFRS 9). Sign converted to expense-positive.</t>
  </si>
  <si>
    <t xml:space="preserve">37(h)(b)</t>
  </si>
  <si>
    <t xml:space="preserve">Total regulatory capital 139,187 110,299 138,703 109,992</t>
  </si>
  <si>
    <t xml:space="preserve">reports/pages/d6705b9757b3/p0183.png</t>
  </si>
  <si>
    <t xml:space="preserve">Note 37(h)(b) Capital Adequacy Ratio, Bank 2020: Total regulatory capital 138,703 (Tier 1 after deductions 104,027 + eligible Tier 2 34,676).</t>
  </si>
  <si>
    <t xml:space="preserve">Risk-weighted assets 771,981 748,358 771,587 748,119</t>
  </si>
  <si>
    <t xml:space="preserve">Note 37(h)(b), Bank 2020: Risk-weighted assets 771,587.</t>
  </si>
  <si>
    <t xml:space="preserve">17.98%</t>
  </si>
  <si>
    <t xml:space="preserve">risk-weighted assets 18.03% 14.74% 17.98% 14.70%</t>
  </si>
  <si>
    <t xml:space="preserve">Note 37(h)(b), Bank 2020: Total tier 1 and tier 2 capital expressed as a percentage of risk-weighted assets 17.98%.</t>
  </si>
  <si>
    <t xml:space="preserve">37(h)</t>
  </si>
  <si>
    <t xml:space="preserve">requires the Bank to maintain a 10% minimum ratio for total capital to total risk-weighted assets.</t>
  </si>
  <si>
    <t xml:space="preserve">reports/pages/d6705b9757b3/p0181.png</t>
  </si>
  <si>
    <t xml:space="preserve">Note 37(h) capital management narrative: CBN 'requires the Bank to maintain a 10% minimum ratio for total capital to total risk-weighted assets' (also p182 'a minimum threshold of 10%').</t>
  </si>
  <si>
    <t xml:space="preserve">Auditor's report on the consolidated and separate financial statements of Sterling Bank Plc (Group and Bank)</t>
  </si>
  <si>
    <t xml:space="preserve">Deloitte &amp; Touche (Chartered Accountants), Lagos, Nigeria report dated 2021-03-17</t>
  </si>
  <si>
    <t xml:space="preserve">reports/pages/d6705b9757b3/p0025.png</t>
  </si>
  <si>
    <t xml:space="preserve">Deloitte &amp; Touche independent auditor's report, PDF pp25-28 (printed 23-26; no text layer, all rendered at 110 dpi). Unmodified opinion: consolidated and separate FS give a true and fair view of the financial position of the Group and the Bank. MU: No. EoM: No. Other Matter only (2019 FS audited by another auditor, unmodified opinion 11 March 2020). Going concern only in boilerplate directors'/auditor's responsibilities (p27). Signed 17 March 2021, engagement partner Michael Daudu FRC/2013/ICAN/00000000845 (p28).</t>
  </si>
  <si>
    <t xml:space="preserve">reports/sterling/sterling_xs-15112a49f8_5c7f5c01ff15.pdf</t>
  </si>
  <si>
    <t xml:space="preserve">Bank 31 Dec 2021</t>
  </si>
  <si>
    <t xml:space="preserve">reports/pages/5c7f5c01ff15/p0031.png</t>
  </si>
  <si>
    <t xml:space="preserve">page has no text layer; transcribed from 110-dpi render; Consolidated and Separate Statements of Financial Position, In millions of Naira</t>
  </si>
  <si>
    <t xml:space="preserve">2026-10-11T07:40:07+00:00</t>
  </si>
  <si>
    <t xml:space="preserve">Columns headed 'Group 31 Dec 2021' | 'Group 31 Dec 2020' | 'Bank 31 Dec 2021' | 'Bank 31 Dec 2020'; Bank 31 Dec 2021 column used; entity Sterling Bank Plc (subsidiary Sterling Investment Management Plc consolidated in Group)</t>
  </si>
  <si>
    <t xml:space="preserve">page has no text layer; transcribed from 110-dpi render; In millions of Naira</t>
  </si>
  <si>
    <t xml:space="preserve">page has no text layer; transcribed from 110-dpi render; In millions of Naira; also 141,016 on SOCE p34</t>
  </si>
  <si>
    <t xml:space="preserve">page has no text layer; transcribed from 110-dpi render; prior-year Bank column of the 2021 report; not labelled restated</t>
  </si>
  <si>
    <t xml:space="preserve">Columns headed 'Group 31 Dec 2021' | 'Group 31 Dec 2020' | 'Bank 31 Dec 2021' | 'Bank 31 Dec 2020'; Bank 31 Dec 2020 (prior-year) column used for opening_assets; entity Sterling Bank Plc (subsidiary Sterling Investment Management Plc consolidated in Group)</t>
  </si>
  <si>
    <t xml:space="preserve">Profit after income tax 13,515 11,242 13,403 11,110</t>
  </si>
  <si>
    <t xml:space="preserve">reports/pages/5c7f5c01ff15/p0030.png</t>
  </si>
  <si>
    <t xml:space="preserve">Bank 2021 column (Bank headings at x~489/531; 13,403@487)</t>
  </si>
  <si>
    <t xml:space="preserve">Columns headed 'Group 2021' | 'Group 2020' | 'Bank 2021' | 'Bank 2020'; Bank 2021 column used; entity Sterling Bank Plc</t>
  </si>
  <si>
    <t xml:space="preserve">Profit before income tax expense 14,474 12,372 14,343 12,240</t>
  </si>
  <si>
    <t xml:space="preserve">Bank 2021 column (14,343@487)</t>
  </si>
  <si>
    <t xml:space="preserve">Credit loss expense 11 (9,821) (7,906) (9,822) (7,913)</t>
  </si>
  <si>
    <t xml:space="preserve">Credit loss expense (9,822)@489, Bank 2021; Group (9,821) Sign converted to expense-positive.</t>
  </si>
  <si>
    <t xml:space="preserve">Net cash flows from operating activities 147,605 4,228 145,027 4,406</t>
  </si>
  <si>
    <t xml:space="preserve">reports/pages/5c7f5c01ff15/p0036.png</t>
  </si>
  <si>
    <t xml:space="preserve">145,027@435 BANK 2021</t>
  </si>
  <si>
    <t xml:space="preserve">Columns headed 'GROUP 2021' | 'GROUP 2020' | 'BANK 2021' | 'BANK 2020'; BANK 2021 column used; entity Sterling Bank Plc</t>
  </si>
  <si>
    <t xml:space="preserve">31 Dec 2021</t>
  </si>
  <si>
    <t xml:space="preserve">726,080 613,359 726,080 613,359</t>
  </si>
  <si>
    <t xml:space="preserve">reports/pages/5c7f5c01ff15/p0078.png</t>
  </si>
  <si>
    <t xml:space="preserve">Unlabelled subtotal row in note 19 (Loans to corporate entities 626,563 + Loans to individuals 99,517) before Less: impairment allowance; Bank column 726,080@426</t>
  </si>
  <si>
    <t xml:space="preserve">Columns headed 'Group 31 Dec 2021' | 'Group 31 Dec 2020' | 'Bank 31 Dec 2021' | 'Bank 31 Dec 2020'; Bank 31 Dec 2021 column used</t>
  </si>
  <si>
    <t xml:space="preserve">711,900 596,827 711,900 596,827</t>
  </si>
  <si>
    <t xml:space="preserve">Unlabelled net total in note 19, Bank column 711,900@426; agrees with SOFP p31 Bank Loans and advances to customers 711,900</t>
  </si>
  <si>
    <t xml:space="preserve">Allowances/ impairments</t>
  </si>
  <si>
    <t xml:space="preserve">Loans and advances to customers 5,151 720,929 (14,180) 711,900</t>
  </si>
  <si>
    <t xml:space="preserve">reports/pages/5c7f5c01ff15/p0134.png</t>
  </si>
  <si>
    <t xml:space="preserve">Printed total ECL on loans to customers (14,180)@764; equals Bank-column components in note 19 p78: corporate (10,794) + individuals (3,386) = 14,180; table not explicitly Bank-labelled but net value 711,900 matches Bank SOFP Note 37 table has no Group/Bank heading; total equals Bank-column components in note 19 (p78): corporate 10,794 + individuals 3,386 = 14,180. Sign converted to expense-positive.</t>
  </si>
  <si>
    <t xml:space="preserve">Note 37 credit-quality table '31 December 2021' columns 'Defaulted exposures' | 'Non defaulted exposures' | 'Allowances/ impairments' | 'Net values'; no Group/Bank split on this table (text refers to 'the Bank's capital requirement'); Group and Bank loan balances are identical in note 19</t>
  </si>
  <si>
    <t xml:space="preserve">Total regulatory capital 141,427 139,187 140,952 138,703</t>
  </si>
  <si>
    <t xml:space="preserve">reports/pages/5c7f5c01ff15/p0178.png</t>
  </si>
  <si>
    <t xml:space="preserve">Bank 2021 140,952@485</t>
  </si>
  <si>
    <t xml:space="preserve">Columns headed 'Group 2021' | 'Group 2020' | 'Bank 2021' | 'Bank 2020'; Bank 2021 column used</t>
  </si>
  <si>
    <t xml:space="preserve">Risk-weighted assets 951,825 771,981 951,379 771,587</t>
  </si>
  <si>
    <t xml:space="preserve">Bank 2021 951,379@485</t>
  </si>
  <si>
    <t xml:space="preserve">14.82%</t>
  </si>
  <si>
    <t xml:space="preserve">risk-weighted assets 14.86% 18.03% 14.82% 17.98%</t>
  </si>
  <si>
    <t xml:space="preserve">Row 'Total tier 1 and tier 2 capital expressed as a percentage of risk-weighted assets'; Bank 2021 14.82%@490; also 4.02 Total Capital Adequacy Ratio 14.82% on p179</t>
  </si>
  <si>
    <t xml:space="preserve">Bank 2021 (capital management narrative)</t>
  </si>
  <si>
    <t xml:space="preserve">In accordance with Central Bank of Nigeria regulations, a minimum threshold of 10% is to be maintained when computing</t>
  </si>
  <si>
    <t xml:space="preserve">reports/pages/5c7f5c01ff15/p0177.png</t>
  </si>
  <si>
    <t xml:space="preserve">10%@408 in narrative; CBN minimum for the Bank (also p176: requires the Bank to maintain a 10% minimum ratio)</t>
  </si>
  <si>
    <t xml:space="preserve">Narrative text, note 37(h)(b) Capital Adequacy Ratio: 'a minimum threshold of 10% is to be maintained'</t>
  </si>
  <si>
    <t xml:space="preserve">Auditor's report on the Group's consolidated and the Bank's separate financial statements</t>
  </si>
  <si>
    <t xml:space="preserve">Deloitte &amp; Touche report dated 2022-03-31</t>
  </si>
  <si>
    <t xml:space="preserve">reports/pages/5c7f5c01ff15/p0026.png</t>
  </si>
  <si>
    <t xml:space="preserve">Deloitte &amp; Touche (partner Michael Daudu, FRC/2013/ICAN/00000000845), signed 31 March 2022; auditor pages PDF 26-29 (printed 24-27), all image-only, read from 110-dpi renders; signature p29. Unmodified opinion on the consolidated and separate financial statements (Group and Bank). MU: No. EoM: No. One KAM (impairment of loans and advances). Other matter: prior-period statements audited by another auditor (text says year ended 31 December 2019, opinion 11 March 2020). GC text only boilerplate in directors'/auditor's responsibilities.</t>
  </si>
  <si>
    <t xml:space="preserve">Opinion: 'the consolidated and separate financial statements give a true and fair view of the consolidated and separate financial position of the Group and Bank as at 31 December 2021'</t>
  </si>
  <si>
    <t xml:space="preserve">December 2019 -&gt; prior-year column (2018)</t>
  </si>
  <si>
    <t xml:space="preserve">comparative (2018 column of the 2019 report)</t>
  </si>
  <si>
    <t xml:space="preserve">Fallback: 2018 original report not available; 2018 comparative column of the 2019 report, not labelled restated. Read from the column right of the 2019 value on the same row.</t>
  </si>
  <si>
    <t xml:space="preserve">Fallback: 2018 original report not available; 2018 comparative column of the 2019 report, not labelled restated. Read from the column right of the 2019 value on the same row. Sign converted to expense-positive.</t>
  </si>
  <si>
    <t xml:space="preserve">31 DECEMBER 2021 -&gt; prior-year column (2020)</t>
  </si>
  <si>
    <t xml:space="preserve">comparative (2020 column of the 2021 report)</t>
  </si>
  <si>
    <t xml:space="preserve">Fallback: 2020 original report not available; 2020 comparative column of the 2021 report, not labelled restated. Read from the column right of the 2021 value on the same row.</t>
  </si>
  <si>
    <t xml:space="preserve">2021 -&gt; prior-year column (2020)</t>
  </si>
  <si>
    <t xml:space="preserve">Fallback: 2020 original report not available; 2020 comparative column of the 2021 report, not labelled restated. Read from the column right of the 2021 value on the same row. Sign converted to expense-positive.</t>
  </si>
  <si>
    <t xml:space="preserve">2020 line 'Net remeasurement of ECL allowance on financial assets' printed 4,127,332 without parentheses (net write-back); stored as a negative charge.</t>
  </si>
  <si>
    <t xml:space="preserve">31 December 2014 -&gt; prior-year column (2013)</t>
  </si>
  <si>
    <t xml:space="preserve">comparative (2013 column of the 2014 report)</t>
  </si>
  <si>
    <t xml:space="preserve">Fallback: 2013 original report not available; 2013 comparative column of the 2014 report, not labelled restated. Read from the column right of the 2014 value on the same row.</t>
  </si>
  <si>
    <t xml:space="preserve">Fallback: 2013 original report not available; 2013 comparative column of the 2014 report, not labelled restated. Read from the column right of the 2014 value on the same row. Sign converted to expense-positive.</t>
  </si>
  <si>
    <t xml:space="preserve">reports/unity/unity_xs-b1e6d421fd_0ddab59d480d.pdf</t>
  </si>
  <si>
    <t xml:space="preserve">31 DECEMBER 2017</t>
  </si>
  <si>
    <t xml:space="preserve">Total assets 156,506,504 492,681,647</t>
  </si>
  <si>
    <t xml:space="preserve">reports/pages/0ddab59d480d/p0030.png</t>
  </si>
  <si>
    <t xml:space="preserve">SoFP total assets 156,506,504 (N'000); 2016 comparative 492,681,647 not labelled restated</t>
  </si>
  <si>
    <t xml:space="preserve">2026-10-11T07:40:19+00:00</t>
  </si>
  <si>
    <t xml:space="preserve">Single set of columns headed '31 DECEMBER 2017' | '31 DECEMBER 2016' (N'000); no Group columns; entity Unity Bank Plc</t>
  </si>
  <si>
    <t xml:space="preserve">Total liabilities 398,699,659 409,574,667</t>
  </si>
  <si>
    <t xml:space="preserve">398,699,659; regex excludes 'Total liabilities and equity' row</t>
  </si>
  <si>
    <t xml:space="preserve">Total equity (242,193,155) 83,106,980</t>
  </si>
  <si>
    <t xml:space="preserve">Negative equity (242,193,155) printed in parentheses; kept sign 1 (value is negative)</t>
  </si>
  <si>
    <t xml:space="preserve">(Loss) / Profit after tax (14,917,938) 2,183,798</t>
  </si>
  <si>
    <t xml:space="preserve">reports/pages/0ddab59d480d/p0028.png</t>
  </si>
  <si>
    <t xml:space="preserve">Loss after tax (14,917,938)</t>
  </si>
  <si>
    <t xml:space="preserve">Single set of columns headed '2017' | '2016' (N'000); no Group columns; entity Unity Bank Plc</t>
  </si>
  <si>
    <t xml:space="preserve">(Loss) / Profit before tax (14,242,574) 1,816,431</t>
  </si>
  <si>
    <t xml:space="preserve">Loss before tax (14,242,574)</t>
  </si>
  <si>
    <t xml:space="preserve">Net cash flows from/(used in) operating activities (6,744,837) (23,320,526)</t>
  </si>
  <si>
    <t xml:space="preserve">reports/pages/0ddab59d480d/p0032.png</t>
  </si>
  <si>
    <t xml:space="preserve">Prior-year column of 2017 SoFP: 492,681,647; not labelled restated; equals panel 2016 assets</t>
  </si>
  <si>
    <t xml:space="preserve">Impairment Losses 12 (44,254,863) (35,948,596)</t>
  </si>
  <si>
    <t xml:space="preserve">Income-statement line (44,254,863) includes goodwill impairment 16,471,335 (cash flow p32) plus risk-asset impairment 27,783,528; loan charge per note 19d 27,787,027 Sign converted to expense-positive.</t>
  </si>
  <si>
    <t xml:space="preserve">printed in parentheses (44,254,863)</t>
  </si>
  <si>
    <t xml:space="preserve">Gross Loans 9,467,163 378,758,599</t>
  </si>
  <si>
    <t xml:space="preserve">reports/pages/0ddab59d480d/p0062.png</t>
  </si>
  <si>
    <t xml:space="preserve">9,467,163 after derecognition of NPLs with gross amount N436bn sold to AMC (2016: 378,758,599)</t>
  </si>
  <si>
    <t xml:space="preserve">Less: Allowance for impairment losses (509,036) (101,544,079)</t>
  </si>
  <si>
    <t xml:space="preserve">(509,036) Sign converted to expense-positive.</t>
  </si>
  <si>
    <t xml:space="preserve">printed in parentheses (509,036)</t>
  </si>
  <si>
    <t xml:space="preserve">Collective impairment 509,036 8,454,051</t>
  </si>
  <si>
    <t xml:space="preserve">509,036 printed positive; individual impairment printed '-' for 2017 (not recorded as SA)</t>
  </si>
  <si>
    <t xml:space="preserve">Loans and advances to customers 19 8,958,127 277,214,521</t>
  </si>
  <si>
    <t xml:space="preserve">SoFP 8,958,127; equals note 19a gross less allowance (p62)</t>
  </si>
  <si>
    <t xml:space="preserve">Total Qualifying Capital (263,292,548) (217,551,640)</t>
  </si>
  <si>
    <t xml:space="preserve">reports/pages/0ddab59d480d/p0082.png</t>
  </si>
  <si>
    <t xml:space="preserve">Total Qualifying Capital (263,292,548) negative</t>
  </si>
  <si>
    <t xml:space="preserve">Total risk-weighted assets 132,926,380 463,106,398</t>
  </si>
  <si>
    <t xml:space="preserve">-198.07%</t>
  </si>
  <si>
    <t xml:space="preserve">Ratio -198.07% -46.98%</t>
  </si>
  <si>
    <t xml:space="preserve">Printed -198.07% (2016: -46.98%)</t>
  </si>
  <si>
    <t xml:space="preserve">Ahmed Zakari &amp; Co. (Chartered Accountants) report dated not printed on the auditor's report (financial statements approved by the Board 27 March 2018, pdf p.30/p.21)</t>
  </si>
  <si>
    <t xml:space="preserve">reports/pages/0ddab59d480d/p0023.png</t>
  </si>
  <si>
    <t xml:space="preserve">Auditor's report pdf pp.23-27 (pp.23-26 no text layer; transcribed from 110-dpi render; heading 'REPORT OF THE AUDITORS TO THE MEMBERS OF UNITY BANK PLC'); Ahmed Zakari &amp; Co., partner Tajudeen Adetokunbo Oni FRC/2013/ICAN/00000000749, signed p.27, no report date printed; opinion unmodified (true and fair); MU: No; EoM: No; going-concern text only boilerplate in auditor responsibilities; KAMs: Re-capitalization Activity, Elimination of NPLs, Impairment of loans and advances; despite negative equity (242.2bn) and CAR -198.07%</t>
  </si>
  <si>
    <t xml:space="preserve">Single-entity document; opinion refers to 'the financial statements' of Unity Bank Plc</t>
  </si>
  <si>
    <t xml:space="preserve">reports/unity/unity_xs-25b05484b6_16cfa16c62ac.pdf</t>
  </si>
  <si>
    <t xml:space="preserve">31 DECEMBER 2022</t>
  </si>
  <si>
    <t xml:space="preserve">Total assets 510,143,959 538,868,756</t>
  </si>
  <si>
    <t xml:space="preserve">reports/pages/16cfa16c62ac/p0025.png</t>
  </si>
  <si>
    <t xml:space="preserve">SOFP Total assets 510,143,959 (= Total liabilities and equity 510,143,959; five-year summary p100 agrees). Comparative 31 Dec 2021 538,868,756 (not labelled restated).</t>
  </si>
  <si>
    <t xml:space="preserve">2026-10-11T07:40:22+00:00</t>
  </si>
  <si>
    <t xml:space="preserve">Single set of columns headed '31 DECEMBER 2022' | '31 DECEMBER 2021' (N'000); 2021 not labelled restated; no Group columns; entity Unity Bank Plc</t>
  </si>
  <si>
    <t xml:space="preserve">Total liabilities 785,092,126 815,022,211</t>
  </si>
  <si>
    <t xml:space="preserve">SOFP Total liabilities 785,092,126 (exceeds total assets). Comparative 2021 815,022,211.</t>
  </si>
  <si>
    <t xml:space="preserve">Total equity (274,948,167) (276,153,455)</t>
  </si>
  <si>
    <t xml:space="preserve">SOFP Total equity printed (274,948,167): NEGATIVE equity (accumulated deficit (380,834,043)). Not flipped. Comparative 2021 (276,153,455); SOCE p26 agrees.</t>
  </si>
  <si>
    <t xml:space="preserve">Profit after tax 941,375 3,173,252</t>
  </si>
  <si>
    <t xml:space="preserve">reports/pages/16cfa16c62ac/p0024.png</t>
  </si>
  <si>
    <t xml:space="preserve">SOPL 'Profit after tax' 941,375 (= 'Profit for the year'; SOCE p26 and cash flow p27 agree). Comparative 2021 3,173,252 (SOCE p26 prints 3,173,254).</t>
  </si>
  <si>
    <t xml:space="preserve">Single set of columns headed '2022' | '2021' (N'000); no Group columns; entity Unity Bank Plc</t>
  </si>
  <si>
    <t xml:space="preserve">Profit before minimum tax 1,386,125 3,332,132</t>
  </si>
  <si>
    <t xml:space="preserve">SOPL 'Profit before minimum tax' 1,386,125 (cash flow p27 labels this same figure 'Profit before tax'). SOPL then deducts minimum tax (285,280) to a row labelled 'Profit before tax' 1,100,845, then income tax (159,470). Used the before-minimum-tax figure for consistency with UNI21 (2021 panel PBT 3,332,134 = this report's 2021 'Profit before minimum tax' 3,332,132). REVIEWER: alternative is the row literally labelled 'Profit before tax' 1,100,845 (x~388, row_regex '^Profit before tax').</t>
  </si>
  <si>
    <t xml:space="preserve">Net cash flows used in operating activities (26,933,973) (64,868,973)</t>
  </si>
  <si>
    <t xml:space="preserve">reports/pages/16cfa16c62ac/p0027.png</t>
  </si>
  <si>
    <t xml:space="preserve">Cash flow 'Net cash flows used in operating activities' (26,933,973) = net cash USED. Header row 'FOR THE YEAR ENDED 31 DECEMBER 2022 2022 2021'.</t>
  </si>
  <si>
    <t xml:space="preserve">Prior-year column of the 2022 SOFP: Total assets 538,868,756 at 31 December 2021; column not labelled restated (UNI21 original 538,868,755; 1k rounding difference).</t>
  </si>
  <si>
    <t xml:space="preserve">Net remeasurment of ECL allowance on financial assets 11 1,203,857 2,563,926</t>
  </si>
  <si>
    <t xml:space="preserve">SOPL 'Net remeasurment of ECL allowance on financial assets' (note 11) printed 1,203,857 WITHOUT parentheses and ADDED to income (total operating income 27,268,779 + 1,203,857 = net operating income 28,472,636): a NET WRITE-BACK. Note 11 (p71) 'Total impairment writeback (1,203,857)' = credit loss expense (2,039,066) [ECL remeasurement 376,540 incl. loans 413,763 charge, less recoveries (2,415,606)] + other assets 835,209. Stored with sign -1 so the panel value is -1,203,857 (negative expense). Sign converted to expense-positive.</t>
  </si>
  <si>
    <t xml:space="preserve">net impairment write-back: printed without parentheses and added to operating income (credit); sign -1 stores it as a negative impairment expense</t>
  </si>
  <si>
    <t xml:space="preserve">Gross Loans &amp; Advances (including On-lending) 292,968,646 272,468,900</t>
  </si>
  <si>
    <t xml:space="preserve">reports/pages/16cfa16c62ac/p0075.png</t>
  </si>
  <si>
    <t xml:space="preserve">Note 18 'Gross Loans &amp; Advances (including On-lending)' 292,968,646 = direct loans 39,474,648 + on-lending facilities 253,493,998. Same total in note 5.2 (p50).</t>
  </si>
  <si>
    <t xml:space="preserve">Note 18 columns headed '2022' | '2021' (N'000); no Group columns; entity Unity Bank Plc</t>
  </si>
  <si>
    <t xml:space="preserve">Less: Allowance for impairment losses (3,612,947) (3,199,184)</t>
  </si>
  <si>
    <t xml:space="preserve">Note 18 'Less: Allowance for impairment losses' (3,612,947) = ECL on loans to customers (Stage 1 1,394,783 + Stage 2 2,096,494 + Stage 3 121,670; p50 and p58 reconciliation). Sign converted to expense-positive.</t>
  </si>
  <si>
    <t xml:space="preserve">Loans and advances to customers 18 289,355,699 269,269,716</t>
  </si>
  <si>
    <t xml:space="preserve">SOFP Loans and advances to customers 289,355,699 (= note 18 net, p75: 292,968,646 - 3,612,947).</t>
  </si>
  <si>
    <t xml:space="preserve">Gross Carrying Amount - 130,246,722 162,248,971 472,953 - 292,968,646</t>
  </si>
  <si>
    <t xml:space="preserve">reports/pages/16cfa16c62ac/p0050.png</t>
  </si>
  <si>
    <t xml:space="preserve">Note 5.2 credit analysis 2022, Loans and Advances to Customers block (2nd 'Gross Carrying Amount' row on page), Stage 3 column 472,953 (rating 8-10 Higher risk). Note: this report's 2021 comparative Stage 3 is 966,871 vs 105,854 in the 2021 report.</t>
  </si>
  <si>
    <t xml:space="preserve">Note 5.2 credit analysis, 2022 table, columns '12-month PD Ranges' | 'Stage 1' | 'Stage 2' | 'Stage 3' | 'Purchased Credit Impaired' | 'Total' (N'000); no Group columns; entity Unity Bank Plc</t>
  </si>
  <si>
    <t xml:space="preserve">Loss Allowance (1,394,783) (2,096,494) (121,670) (3,612,947)</t>
  </si>
  <si>
    <t xml:space="preserve">Note 5.2, customers block (2nd 'Loss Allowance' row), Stage 3 (121,670); p58 reconciliation Stage 3 balance at 31 December 121,670. Sign converted to expense-positive.</t>
  </si>
  <si>
    <t xml:space="preserve">2022 Full impact of IFRS 9 transition</t>
  </si>
  <si>
    <t xml:space="preserve">Total Qualifying Capital (288,192,175) (288,192,175) (278,060,632) (278,060,632)</t>
  </si>
  <si>
    <t xml:space="preserve">reports/pages/16cfa16c62ac/p0094.png</t>
  </si>
  <si>
    <t xml:space="preserve">Capital adequacy table Total Qualifying Capital (288,192,175) NEGATIVE; full-impact and adjusted 2022 columns identical (transitional add-back nil from Year 4, Dec 2022).</t>
  </si>
  <si>
    <t xml:space="preserve">Capital adequacy table columns '2022 Full impact of IFRS 9 transition' | '2022 Adjusted impact of IFRS 9 transition' | '2021 Full impact' | '2021 Adjusted impact' (N'000); no Group columns; entity Unity Bank Plc; first (2022 full impact) column used</t>
  </si>
  <si>
    <t xml:space="preserve">Total risk-weighted assets 321,334,337 321,334,337 322,639,564 322,639,564</t>
  </si>
  <si>
    <t xml:space="preserve">Total risk-weighted assets 321,334,337 (credit 245,066,233 + operational 45,213,703 + market 31,054,401).</t>
  </si>
  <si>
    <t xml:space="preserve">-89.69%</t>
  </si>
  <si>
    <t xml:space="preserve">Ratio -89.69% -89.69% -86.18% -86.18%</t>
  </si>
  <si>
    <t xml:space="preserve">Ratio -89.69% (full impact; adjusted identical). Going concern note 35 (p93) also -89.69%, but note 36(a) narrative (p93) says '(86.55%)' for 2022 - internal inconsistency; table value used (-288,192,175/321,334,337 = -89.69%).</t>
  </si>
  <si>
    <t xml:space="preserve">2022 Adjusted impact of IFRS 9 transition</t>
  </si>
  <si>
    <t xml:space="preserve">Adjusted-impact Total Qualifying Capital (288,192,175), identical to full impact.</t>
  </si>
  <si>
    <t xml:space="preserve">Capital adequacy table columns '2022 Full impact of IFRS 9 transition' | '2022 Adjusted impact of IFRS 9 transition' | '2021 Full impact' | '2021 Adjusted impact' (N'000); no Group columns; entity Unity Bank Plc; second (2022 adjusted impact) column used</t>
  </si>
  <si>
    <t xml:space="preserve">Adjusted-impact Ratio -89.69%, identical to full impact.</t>
  </si>
  <si>
    <t xml:space="preserve">KPMG Professional Services (Chartered Accountants), Lagos, Nigeria report dated 25 May 2023</t>
  </si>
  <si>
    <t xml:space="preserve">reports/pages/16cfa16c62ac/p0019.png</t>
  </si>
  <si>
    <t xml:space="preserve">KPMG Professional Services, Akinyemi Ashade FCA (FRC/2013/ICAN/00000000786), dated 25 May 2023; auditor's report PDF pp19-23 (all with text layer; signature p23). Unmodified (true and fair) opinion on the Bank's financial statements. MU: Yes - separate section 'Material Uncertainty Related to Going Concern' (p19) citing Note 35: profit NGN941.4m but liabilities exceed assets by NGN274.9bn, CAR below 10% minimum and below NGN25.00bn minimum capital; 'Our opinion is not modified in respect of this matter.' EoM: No (no emphasis of matter / other matter paragraph). KAM: Expected Credit Loss on Loans and Advances to Customers.</t>
  </si>
  <si>
    <t xml:space="preserve">reports/sterling/sterling_xs-fdcdf7a057_c3f820d49adf.pdf</t>
  </si>
  <si>
    <t xml:space="preserve">Bank 31 December 2016</t>
  </si>
  <si>
    <t xml:space="preserve">reports/pages/c3f820d49adf/p0030.png</t>
  </si>
  <si>
    <t xml:space="preserve">page has no text layer; transcribed from 110-dpi render (digits confirmed on 200-dpi crop). Consolidated and separate SOFP: TOTAL ASSETS Bank 830,802,224 (Group 834,189,950).</t>
  </si>
  <si>
    <t xml:space="preserve">2026-10-11T07:40:08+00:00</t>
  </si>
  <si>
    <t xml:space="preserve">Group | Bank | Bank columns headed 'Group 31 December 2016' | 'Bank 31 December 2016' | 'Bank 31 December 2015' (N'000); used Bank 31 December 2016; Bank 2015 not labelled restated</t>
  </si>
  <si>
    <t xml:space="preserve">page has no text layer; transcribed from 110-dpi render (digits confirmed on 200-dpi crop). TOTAL LIABILITIES Bank 745,123,602 (Group 748,529,927).</t>
  </si>
  <si>
    <t xml:space="preserve">page has no text layer; transcribed from 110-dpi render (digits confirmed on 200-dpi crop). Total equity Bank 85,678,622 (share capital 14,395,209 + share premium 42,759,214 + retained earnings 6,241,905 + other components 22,282,294); A-L-E = 0.</t>
  </si>
  <si>
    <t xml:space="preserve">Manual transcription of row /Profit after income tax/ from rendered page image.</t>
  </si>
  <si>
    <t xml:space="preserve">reports/pages/c3f820d49adf/p0029.png</t>
  </si>
  <si>
    <t xml:space="preserve">page has no text layer; transcribed from 110-dpi render (digits confirmed on 200-dpi crop). Consolidated and separate statement of profit or loss and OCI: Profit after income tax Bank 5,180,964 (Group 5,162,365).</t>
  </si>
  <si>
    <t xml:space="preserve">Group | Bank | Bank columns headed 'Group 2016' | 'Bank 2016' | 'Bank 2015' (N'000); used Bank 2016</t>
  </si>
  <si>
    <t xml:space="preserve">Manual transcription of row /Profit before income tax/ from rendered page image.</t>
  </si>
  <si>
    <t xml:space="preserve">page has no text layer; transcribed from 110-dpi render (digits confirmed on 200-dpi crop). Profit before income tax Bank 6,018,479; also text layer on cash-flow p34 (6,018,479@358).</t>
  </si>
  <si>
    <t xml:space="preserve">Net cash flows (used) in/from operating activities (124,911,081) (124,892,482) 54,692,011</t>
  </si>
  <si>
    <t xml:space="preserve">reports/pages/c3f820d49adf/p0034.png</t>
  </si>
  <si>
    <t xml:space="preserve">Statement of cash flows: Net cash flows (used) in/from operating activities Bank (124,892,482) (Group (124,911,081)@277; Bank 2015 54,692,011@413).</t>
  </si>
  <si>
    <t xml:space="preserve">GROUP | BANK | BANK over '2016' | '2016' | '2015' (N'000); used BANK 2016</t>
  </si>
  <si>
    <t xml:space="preserve">Bank 31 December 2015</t>
  </si>
  <si>
    <t xml:space="preserve">page has no text layer; transcribed from 110-dpi render (digits confirmed on 200-dpi crop). Prior-year Bank column of the 2016 SOFP: TOTAL ASSETS 799,451,417 (column not labelled restated; equals 2015 report).</t>
  </si>
  <si>
    <t xml:space="preserve">Manual transcription of row /Impairment charges/ from rendered page image.</t>
  </si>
  <si>
    <t xml:space="preserve">page has no text layer; transcribed from 110-dpi render (digits confirmed on 200-dpi crop). Impairment charges (11,713,968); note 11 p64: loans 11,706,717 (individual 11,328,595 + collective 94,099 + written off 1,003,702 - no longer required 719,679) + other assets 7,251; cash flow p34 11,713,968. Sign converted to expense-positive.</t>
  </si>
  <si>
    <t xml:space="preserve">476,713,163 476,713,163 354,474,856</t>
  </si>
  <si>
    <t xml:space="preserve">reports/pages/c3f820d49adf/p0068.png</t>
  </si>
  <si>
    <t xml:space="preserve">Note 20 unlabelled subtotal row 476,713,163 = loans to individuals 17,249,527 + corporate entities 459,463,636 (gross, before 'Less:' allowances); agrees to 20(e)/(f)/(g) totals p69.</t>
  </si>
  <si>
    <t xml:space="preserve">Group | Bank | Bank columns headed '31 December 2016' | '31 December 2016' | '31 December 2015' under 'Group' | 'Bank' | 'Bank' (N'0001 as extracted, i.e. N'000); used Bank 31 December 2016</t>
  </si>
  <si>
    <t xml:space="preserve">20(b)</t>
  </si>
  <si>
    <t xml:space="preserve">Individual impairment allowance (note 20(b)) (4,187,291) (4,187,291) (11,566,682)</t>
  </si>
  <si>
    <t xml:space="preserve">Individual impairment allowance (4,187,291); agrees to 20(b) closing balance p69 after write-offs of 17,988,307. Sign converted to expense-positive.</t>
  </si>
  <si>
    <t xml:space="preserve">20(c)</t>
  </si>
  <si>
    <t xml:space="preserve">Collective impairment allowance (note 20(c)) (4,276,002) (4,276,002) (4,181,903)</t>
  </si>
  <si>
    <t xml:space="preserve">Collective impairment allowance (4,276,002); agrees to 20(c) closing balance p69. Sign converted to expense-positive.</t>
  </si>
  <si>
    <t xml:space="preserve">468,249,870 468,249,870 338,726,271</t>
  </si>
  <si>
    <t xml:space="preserve">Note 20 net row 468,249,870 (unlabelled, after Less: allowances); agrees to SOFP p30 Bank 'Loans and advances to customers' 468,249,870.</t>
  </si>
  <si>
    <t xml:space="preserve">Total regulatory capital 75,436,655 72,046,139 85,262,476</t>
  </si>
  <si>
    <t xml:space="preserve">reports/pages/c3f820d49adf/p0128.png</t>
  </si>
  <si>
    <t xml:space="preserve">Note 37(h)(ii) Constituents of Capital: Total regulatory capital Bank 72,046,139 (Tier 1 after deductions 77,308,320 + eligible Tier 2 (5,262,182), negative due to OCI (11,323,381)). Group 75,436,655.</t>
  </si>
  <si>
    <t xml:space="preserve">Risk-weighted assets 675,917,677 675,917,677 487,486,579</t>
  </si>
  <si>
    <t xml:space="preserve">Risk-weighted assets Bank 675,917,677 (Group column shows the identical 675,917,677).</t>
  </si>
  <si>
    <t xml:space="preserve">10.66%</t>
  </si>
  <si>
    <t xml:space="preserve">risk-weighted assets 11.16% 10.66% 17.49%</t>
  </si>
  <si>
    <t xml:space="preserve">Total tier 1 and tier 2 capital expressed as a percentage of risk-weighted assets: Bank 10.66% (Group 11.16%). 72,046,139/675,917,677 = 10.66%. Note p129 RWA breakdown shows 4.02 Total CAR 11.16% (Group figure), not used.</t>
  </si>
  <si>
    <t xml:space="preserve">Bank 2016 (capital management narrative)</t>
  </si>
  <si>
    <t xml:space="preserve">In accordance with Central Bank of Nigeria regulations, a minimum threshold of 10% is to be maintained when computing the ratio qualifying</t>
  </si>
  <si>
    <t xml:space="preserve">Narrative: 'In accordance with Central Bank of Nigeria regulations, a minimum threshold of 10% is to be maintained when computing the ratio qualifying capital to risk weighted assets.' (no column; value in text).</t>
  </si>
  <si>
    <t xml:space="preserve">Narrative text, no column</t>
  </si>
  <si>
    <t xml:space="preserve">Auditor's report on the consolidated and separate financial statements (covers the Bank's separate statements)</t>
  </si>
  <si>
    <t xml:space="preserve">Ernst &amp; Young (Chartered Accountants), Lagos, Nigeria report dated 7 March 2017</t>
  </si>
  <si>
    <t xml:space="preserve">reports/pages/c3f820d49adf/p0024.png</t>
  </si>
  <si>
    <t xml:space="preserve">Independent Auditors' Report (Ernst &amp; Young, Lagos) PDF p24-28 (printed 24-28), all image-only, read from 110-dpi renders; signed Dayo Babatunde, FCA, FRC/2013/ICAN/00000000702, 7 March 2017 (p28). Unmodified opinion: consolidated and separate FS present fairly the financial position of the Group and the Bank as at 31 December 2016. MU: No; EoM: No; no other-matter paragraph. KAMs: Impairment of loans and advances; Change of core banking application. Only boilerplate GC text (directors' responsibilities p26; auditor responsibilities p27). Other legal/regulatory: Bank contravened certain CBN circulars per Note 40 (not an EoM). Mgmt GC: note 3.2(i) Going Concern p58; directors' report p6; SoDR p22.</t>
  </si>
  <si>
    <t xml:space="preserve">Opinion paragraph: 'the consolidated and separate financial statements present fairly ... the financial position of the Group and the Bank as at 31 December 2016'</t>
  </si>
  <si>
    <t xml:space="preserve">reports/sterling/sterling_xs-2250e1dfcc_85a196ea4c34.pdf</t>
  </si>
  <si>
    <t xml:space="preserve">Bank 31 Dec 2017</t>
  </si>
  <si>
    <t xml:space="preserve">reports/pages/85a196ea4c34/p0030.png</t>
  </si>
  <si>
    <t xml:space="preserve">page has no text layer; transcribed from 110-dpi render; Consolidated and Separate Statements of Financial Position as at 31 December 2017, In millions of Naira; Group 1,072,201</t>
  </si>
  <si>
    <t xml:space="preserve">2026-10-11T07:40:12+00:00</t>
  </si>
  <si>
    <t xml:space="preserve">Columns headed 'Group 31 Dec 2017' | 'Group 31 Dec 2016' | 'Bank 31 Dec 2017' | 'Bank 31 Dec 2016' (In millions of Naira); Bank 31 Dec 2017 column used; entity Sterling Bank Plc (subsidiary consolidated in Group; Investment in subsidiary 1 in Bank column)</t>
  </si>
  <si>
    <t xml:space="preserve">page has no text layer; transcribed from 110-dpi render; In millions of Naira; Group 969,264</t>
  </si>
  <si>
    <t xml:space="preserve">page has no text layer; transcribed from 110-dpi render; In millions of Naira; Group 102,937; A-L-E = 0</t>
  </si>
  <si>
    <t xml:space="preserve">page has no text layer; transcribed from 110-dpi render; prior-year Bank column of the 2017 report; not labelled restated</t>
  </si>
  <si>
    <t xml:space="preserve">Columns headed 'Group 31 Dec 2017' | 'Group 31 Dec 2016' | 'Bank 31 Dec 2017' | 'Bank 31 Dec 2016' (In millions of Naira); Bank 31 Dec 2016 (prior-year) column used for opening_assets; entity Sterling Bank Plc (subsidiary consolidated in Group; Investment in subsidiary 1 in Bank column)</t>
  </si>
  <si>
    <t xml:space="preserve">Profit after income tax 8,521 5,163 8,455 5,182</t>
  </si>
  <si>
    <t xml:space="preserve">reports/pages/85a196ea4c34/p0029.png</t>
  </si>
  <si>
    <t xml:space="preserve">Bank 2017 8,455@463 (Group 8,521@352)</t>
  </si>
  <si>
    <t xml:space="preserve">Columns headed 'Group 31 Dec 2017' | 'Group 31 Dec 2016' | 'Bank 31 Dec 2017' | 'Bank 31 Dec 2016' (In millions of Naira); Bank 31 Dec 2017 column used; entity Sterling Bank Plc</t>
  </si>
  <si>
    <t xml:space="preserve">Profit before income tax 8,606 6,000 8,540 6,019</t>
  </si>
  <si>
    <t xml:space="preserve">Bank 2017 8,540@463 (Group 8,606)</t>
  </si>
  <si>
    <t xml:space="preserve">Impairment charges 11 (12,267) (11,714) (12,267) (11,714)</t>
  </si>
  <si>
    <t xml:space="preserve">Impairment charges (12,267)@456 Bank 2017 (Group identical) Sign converted to expense-positive.</t>
  </si>
  <si>
    <t xml:space="preserve">Net cash flows used for operating activities (46,476) (129,475) (46,542) (129,457)</t>
  </si>
  <si>
    <t xml:space="preserve">reports/pages/85a196ea4c34/p0035.png</t>
  </si>
  <si>
    <t xml:space="preserve">(46,542)@457 BANK 2017; negative (cash used), sign not flipped</t>
  </si>
  <si>
    <t xml:space="preserve">Columns headed 'GROUP 2017' | 'GROUP 2016' | 'BANK 2017' | 'BANK 2016' (In millions of Naira); BANK 2017 column used; entity Sterling Bank Plc</t>
  </si>
  <si>
    <t xml:space="preserve">617,577 476,714 617,577 476,714</t>
  </si>
  <si>
    <t xml:space="preserve">reports/pages/85a196ea4c34/p0078.png</t>
  </si>
  <si>
    <t xml:space="preserve">Unlabelled subtotal row in note 20 (Loans to corporate entities and other organizations 602,472 + Loans to individuals 15,106) before 'Less:' allowances; first occurrence of this row text on page (same totals repeat at y=699 under 20(e)); Bank column 617,577@428</t>
  </si>
  <si>
    <t xml:space="preserve">Columns headed 'Group 2017' | 'Group 2016' | 'Bank 2017' | 'Bank 2016' (In millions of Naira); Bank 2017 column used</t>
  </si>
  <si>
    <t xml:space="preserve">Individual impairment allowance (note 20(b)) (13,810) (4,188) (13,810) (4,188)</t>
  </si>
  <si>
    <t xml:space="preserve">Individual impairment allowance (13,810)@430 Bank 2017; agrees with 20(b) Balance, end of year 13,810 Sign converted to expense-positive.</t>
  </si>
  <si>
    <t xml:space="preserve">Collective impairment allowance (note 20(c)) (5,694) (4,276) (5,694) (4,276)</t>
  </si>
  <si>
    <t xml:space="preserve">Collective impairment allowance (5,694)@434 Bank 2017; agrees with 20(c) Balance, end of year 5,694 Sign converted to expense-positive.</t>
  </si>
  <si>
    <t xml:space="preserve">598,073 468,250 598,073 468,250</t>
  </si>
  <si>
    <t xml:space="preserve">Unlabelled net total in note 20, Bank column 598,073@428; agrees with SOFP p30 Bank Loans and advances to customers 598,073</t>
  </si>
  <si>
    <t xml:space="preserve">Loans 38,467 579,110 (19,504) 598,073</t>
  </si>
  <si>
    <t xml:space="preserve">reports/pages/85a196ea4c34/p0116.png</t>
  </si>
  <si>
    <t xml:space="preserve">Printed total allowance on loans (19,504)@464; equals Bank-column note 20 individual (13,810) + collective (5,694) = 19,504; net 598,073 matches Bank SOFP Sign converted to expense-positive.</t>
  </si>
  <si>
    <t xml:space="preserve">Note 37 credit-quality table '31 December 2017' columns 'Defaulted exposures' | 'Non defaulted exposures' | 'Allowances/ impairments' | 'Net values'; no Group/Bank split on this table (text refers to 'the Bank's capital requirement'); Group and Bank loan balances identical in note 20</t>
  </si>
  <si>
    <t xml:space="preserve">Total regulatory capital 86,480 75,437 83,076 72,046</t>
  </si>
  <si>
    <t xml:space="preserve">reports/pages/85a196ea4c34/p0148.png</t>
  </si>
  <si>
    <t xml:space="preserve">Bank 2017 83,076@449 (Group 86,480)</t>
  </si>
  <si>
    <t xml:space="preserve">Columns headed 'Group 2017' | 'Group 2016' | 'Bank 2017' | 'Bank 2016' (N'million); Bank 2017 column used</t>
  </si>
  <si>
    <t xml:space="preserve">Risk-weighted assets 708,144 675,918 708,114 675,918</t>
  </si>
  <si>
    <t xml:space="preserve">Bank 2017 708,114@445 (Group 708,144); 83,076/708,114 = 11.73%</t>
  </si>
  <si>
    <t xml:space="preserve">11.73%</t>
  </si>
  <si>
    <t xml:space="preserve">risk-weighted assets 12.21% 11.16% 11.73% 10.66%</t>
  </si>
  <si>
    <t xml:space="preserve">Row 'Total tier 1 and tier 2 capital expressed as a percentage of risk-weighted assets'; Bank 2017 11.73%@449; also 4.02 Total Capital Adequacy Ratio 11.73% on p150</t>
  </si>
  <si>
    <t xml:space="preserve">Bank 2017 (capital management narrative)</t>
  </si>
  <si>
    <t xml:space="preserve">In accordance with Central Bank of Nigeria regulations, a minimum threshold of 10% is to be maintained when computing the ratio qualifying capital to risk weighted assets.</t>
  </si>
  <si>
    <t xml:space="preserve">reports/pages/85a196ea4c34/p0147.png</t>
  </si>
  <si>
    <t xml:space="preserve">10%@281 in narrative; CBN minimum</t>
  </si>
  <si>
    <t xml:space="preserve">Ernst &amp; Young report dated 2018-03-23</t>
  </si>
  <si>
    <t xml:space="preserve">reports/pages/85a196ea4c34/p0024.png</t>
  </si>
  <si>
    <t xml:space="preserve">Ernst &amp; Young (partner Kayode Famutimi FCA, FRC/2012/ICAN/00000000155), signed Lagos 23 March 2018; auditor pages PDF 24-28 (printed 24-28), all image-only, read from 110-dpi renders; signature p28. Unmodified opinion: consolidated and separate financial statements present fairly the financial position of the Group and the Bank. MU: No. EoM: No. One KAM (Impairment of loans and advances). No other-matter paragraph; regulatory report notes Bank contravened certain CBN circulars (Note 40). GC text only boilerplate in directors'/auditor's responsibilities.</t>
  </si>
  <si>
    <t xml:space="preserve">Opinion: 'the consolidated and separate financial statements present fairly, in all material respects, the financial position of the Group and the Bank as at 31 December 2017'</t>
  </si>
  <si>
    <t xml:space="preserve">Bank (separate financial statements of First Bank of Nigeria Limited; Bank columns of a Group/Bank document)</t>
  </si>
  <si>
    <t xml:space="preserve">reports/first_bank/first_bank_xs-ccc91c29e6_7812d6002557.pdf</t>
  </si>
  <si>
    <t xml:space="preserve">Total assets 3,973,098 4,131,635 3,332,375 3,490,871</t>
  </si>
  <si>
    <t xml:space="preserve">reports/pages/7812d6002557/p0124.png</t>
  </si>
  <si>
    <t xml:space="preserve">Statement of financial position, Bank 'Total assets' 3,332,375 (Bank 31 Dec 2014: 3,490,871).</t>
  </si>
  <si>
    <t xml:space="preserve">2026-10-11T07:40:28+00:00</t>
  </si>
  <si>
    <t xml:space="preserve">Columns headed 'Group' (31 Dec 2015 | 31 Dec 2014) and 'Bank' (31 Dec 2015 | 31 Dec 2014), each 'N million'; Bank columns used; entity First Bank of Nigeria Limited (not FBN Holdings Plc)</t>
  </si>
  <si>
    <t xml:space="preserve">Total liabilities 3,468,574 3,668,618 2,872,628 3,067,824</t>
  </si>
  <si>
    <t xml:space="preserve">Bank 'Total liabilities' 2,872,628 (2014: 3,067,824).</t>
  </si>
  <si>
    <t xml:space="preserve">Total equity 504,524 463,017 459,747 423,047</t>
  </si>
  <si>
    <t xml:space="preserve">reports/pages/7812d6002557/p0125.png</t>
  </si>
  <si>
    <t xml:space="preserve">SOFP continued page; Bank 'Total equity' 459,747 (2014: 423,047); Bank has no non-controlling interest. Regex excludes 'Total equity and liabilities'.</t>
  </si>
  <si>
    <t xml:space="preserve">Profit for the year 2,946 84,842 37 79,351</t>
  </si>
  <si>
    <t xml:space="preserve">reports/pages/7812d6002557/p0122.png</t>
  </si>
  <si>
    <t xml:space="preserve">Income statement Bank 'Profit for the year' 37 (continuing 37; discontinued nil). 2014 Bank 79,351 (continuing 75,175 + discontinued 4,176). Very small 2015 profit is genuine (impairment charge 120,046).</t>
  </si>
  <si>
    <t xml:space="preserve">Profit before tax 10,181 94,452 2,816 81,361</t>
  </si>
  <si>
    <t xml:space="preserve">Bank 'Profit before tax' 2,816 (2014: 81,361).</t>
  </si>
  <si>
    <t xml:space="preserve">Net cash flow generated from/(used in) operating activities 457,961 (460,245) 305,952 (506,664)</t>
  </si>
  <si>
    <t xml:space="preserve">reports/pages/7812d6002557/p0128.png</t>
  </si>
  <si>
    <t xml:space="preserve">Bank ('Company') 'Net cash flow generated from/(used in) operating activities' 305,952 (2014: (506,664)). Cash flow statement heads the separate column 'Company' rather than 'Bank'.</t>
  </si>
  <si>
    <t xml:space="preserve">Cash flow statement columns headed 'Group' and 'Company' (31 Dec 2015 | 31 Dec 2014, 'N million'); 'Company' = First Bank of Nigeria Limited separate (equivalent to Bank columns elsewhere); Company column used Cash-flow statement heads the entity column 'Company': the reporting entity of this document is First Bank of Nigeria Limited (the operating bank), not FBN Holdings.</t>
  </si>
  <si>
    <t xml:space="preserve">Bank 'Total assets' in prior-year column (31 Dec 2014) of the 2015 SOFP: 3,490,871; not labelled restated on the SOFP.</t>
  </si>
  <si>
    <t xml:space="preserve">Impairment charge for credit losses 9 (125,943) (25,730) (120,046) (20,924)</t>
  </si>
  <si>
    <t xml:space="preserve">Bank 'Impairment charge for credit losses' (120,046), printed in parentheses (2014: (20,924)). Sign converted to expense-positive.</t>
  </si>
  <si>
    <t xml:space="preserve">Expense printed in parentheses; panel stores impairment as positive</t>
  </si>
  <si>
    <t xml:space="preserve">31 DECEMBER 2015 / Gross amount N million</t>
  </si>
  <si>
    <t xml:space="preserve">1,594,936 111,378 26,273 137,651 1,457,285</t>
  </si>
  <si>
    <t xml:space="preserve">reports/pages/7812d6002557/p0203.png</t>
  </si>
  <si>
    <t xml:space="preserve">Note 20 Bank 31 December 2015 table (Gross amount | Specific impairment | Collective impairment | Total impairment | Carrying amount); unlabelled total row incl. finance leases: gross 1,594,936. Same figure as 'Gross' on p160 (note 3.2.12).</t>
  </si>
  <si>
    <t xml:space="preserve">31 DECEMBER 2015 / Total impairment N million</t>
  </si>
  <si>
    <t xml:space="preserve">Note 20 Bank total impairment 137,651 (printed positive in allowance table; shown as (137,651) on p160). Reconciliation p205 also closes at 137,651.</t>
  </si>
  <si>
    <t xml:space="preserve">31 DECEMBER 2015 / Specific impairment N million</t>
  </si>
  <si>
    <t xml:space="preserve">Note 20 Bank specific impairment 111,378 (reconciliation p205 shows 111,379, p160 shows 111,379: rounding).</t>
  </si>
  <si>
    <t xml:space="preserve">31 DECEMBER 2015 / Collective impairment N million</t>
  </si>
  <si>
    <t xml:space="preserve">Note 20 Bank collective impairment 26,273 (p205 and p160 show 26,272: rounding).</t>
  </si>
  <si>
    <t xml:space="preserve">Loans and advances to customers 20 1,816,045 2,193,563 1,457,285 1,794,037</t>
  </si>
  <si>
    <t xml:space="preserve">SOFP Bank 'Loans and advances to customers' 1,457,285 = note 20 carrying amount.</t>
  </si>
  <si>
    <t xml:space="preserve">Total regulatory capital 544,510 521,821 430,099 407,882</t>
  </si>
  <si>
    <t xml:space="preserve">reports/pages/7812d6002557/p0192.png</t>
  </si>
  <si>
    <t xml:space="preserve">Capital management note 4 (Basel II), Bank 'Total regulatory capital' 430,099 (2014: 407,882).</t>
  </si>
  <si>
    <t xml:space="preserve">Total risk-weighted assets 3,024,349 3,126,350 2,518,285 2,585,214</t>
  </si>
  <si>
    <t xml:space="preserve">Bank 'Total risk-weighted assets' 2,518,285 (credit 1,843,587 + operational 538,277 + market 136,422).</t>
  </si>
  <si>
    <t xml:space="preserve">17.08%</t>
  </si>
  <si>
    <t xml:space="preserve">Risk-weighted capital adequacy ratio (CAR) 18.00% 16.69% 17.08% 15.78%</t>
  </si>
  <si>
    <t xml:space="preserve">Bank 'Risk-weighted capital adequacy ratio (CAR)' 17.08% (2014: 15.78%); Tier I CAR 13.26%.</t>
  </si>
  <si>
    <t xml:space="preserve">The CBN prescribed a minimum limit of 15% of total qualifying capital/total risk-weighted assets as a measure of the capital adequacy of</t>
  </si>
  <si>
    <t xml:space="preserve">reports/pages/7812d6002557/p0191.png</t>
  </si>
  <si>
    <t xml:space="preserve">Narrative: 'The CBN prescribed a minimum limit of 15% of total qualifying capital/total risk-weighted assets ... banks with an international banking licence'. Internal target 16% also stated.</t>
  </si>
  <si>
    <t xml:space="preserve">Auditor's report on the consolidated and separate financial statements of First Bank of Nigeria Limited (opinion covers the Bank's separate statements)</t>
  </si>
  <si>
    <t xml:space="preserve">First Bank of Nigeria Limited Annual Report and Accounts 2016</t>
  </si>
  <si>
    <t xml:space="preserve">reports/first_bank/first_bank_xs-bbae41452e_92751741ce35.pdf</t>
  </si>
  <si>
    <t xml:space="preserve">PricewaterhouseCoopers (Chartered Accountants, Lagos, Nigeria) report dated 24 April 2017</t>
  </si>
  <si>
    <t xml:space="preserve">Manual transcription of row /REPORT OF THE INDEPENDENT AUDITORS/ from rendered page image.</t>
  </si>
  <si>
    <t xml:space="preserve">reports/pages/92751741ce35/p0151.png</t>
  </si>
  <si>
    <t xml:space="preserve">Report of the Independent Auditors to the members of First Bank of Nigeria Limited, PDF pp151-154 (printed 151-154); PricewaterhouseCoopers, partner Tola Ogundipe FRC/2013/ICAN/0000000639, signed 24 April 2017 (p154, render checked). Unmodified opinion on consolidated and separate financial statements. MU: No. EoM: No. Other matter: No. Only boilerplate going-concern responsibility text (pp153-154). KAMs: loan impairment N319.4bn (consolidated and separate); goodwill N4.3bn (consolidated).</t>
  </si>
  <si>
    <t xml:space="preserve">2026-10-11T07:40:29+00:00</t>
  </si>
  <si>
    <t xml:space="preserve">Opinion: 'the consolidated and separate financial statements give a true and fair view of the consolidated and separate financial position of First Bank of Nigeria Limited ("the Bank") and its subsidiaries (together "the Group")'; statements have 'Group' | 'Bank' columns</t>
  </si>
  <si>
    <t xml:space="preserve">reports/sterling/sterling_xs-4ebcc7e617_7730bec3d3c3.pdf</t>
  </si>
  <si>
    <t xml:space="preserve">Bank 31 Dec 2022</t>
  </si>
  <si>
    <t xml:space="preserve">TOTAL ASSETS 1,857,992 1,624,278 1,292,999 1,840,622 1,606,898 1,275,754</t>
  </si>
  <si>
    <t xml:space="preserve">reports/pages/7730bec3d3c3/p0030.png</t>
  </si>
  <si>
    <t xml:space="preserve">Bank 31 Dec 2022 1,840,622@443 ('In millions of Naira'); no printed page number on this page (sequence implies 28)</t>
  </si>
  <si>
    <t xml:space="preserve">2026-10-11T07:40:16+00:00</t>
  </si>
  <si>
    <t xml:space="preserve">Columns headed 'Group 31 Dec 2022' | 'Group *Restated 31 Dec 2021' | 'Group *Restated 1 Jan 2021' | 'Bank 31 Dec 2022' | 'Bank *Restated 31 Dec 2021' | 'Bank *Restated 1 Jan 2021'; Bank 31 Dec 2022 column used; entity Sterling Bank Plc (operating bank; Group = Bank + SPV Sterling Investment Management Plc; not Sterling Financial Holdings Company Plc)</t>
  </si>
  <si>
    <t xml:space="preserve">TOTAL LIABILITIES 1,703,994 1,487,719 1,163,322 1,687,070 1,470,814 1,146,440</t>
  </si>
  <si>
    <t xml:space="preserve">Bank 31 Dec 2022 1,687,070@443 ('In millions of Naira')</t>
  </si>
  <si>
    <t xml:space="preserve">Total equity 153,998 136,559 129,677 153,552 136,084 129,314</t>
  </si>
  <si>
    <t xml:space="preserve">Bank 31 Dec 2022 153,552@448 ('In millions of Naira')</t>
  </si>
  <si>
    <t xml:space="preserve">Bank *Restated 31 Dec 2021</t>
  </si>
  <si>
    <t xml:space="preserve">1,606,898@485; prior-year column LABELLED *Restated (Note 49: as previously reported 1,611,749, impact (4,851) PPPRA receivable)</t>
  </si>
  <si>
    <t xml:space="preserve">Columns headed 'Group 31 Dec 2022' | 'Group *Restated 31 Dec 2021' | 'Group *Restated 1 Jan 2021' | 'Bank 31 Dec 2022' | 'Bank *Restated 31 Dec 2021' | 'Bank *Restated 1 Jan 2021'; Bank *Restated 31 Dec 2021 (prior-year) column used for opening_assets; entity Sterling Bank Plc (operating bank; Group = Bank + SPV Sterling Investment Management Plc; not Sterling Financial Holdings Company Plc)</t>
  </si>
  <si>
    <t xml:space="preserve">Profit after income tax 19,298 15,022 19,327 14,910</t>
  </si>
  <si>
    <t xml:space="preserve">reports/pages/7730bec3d3c3/p0029.png</t>
  </si>
  <si>
    <t xml:space="preserve">Bank 2022 19,327@471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</si>
  <si>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</si>
  <si>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Profit before income tax expense 20,757 16,062 20,769 15,931</t>
  </si>
  <si>
    <t xml:space="preserve">Bank 2022 20,769@471</t>
  </si>
  <si>
    <t xml:space="preserve">Credit loss expense 11 (9,122) (9,821) (9,084) (9,822)</t>
  </si>
  <si>
    <t xml:space="preserve">Credit loss expense (9,084)@473 Bank 2022; Group (9,122) Sign converted to expense-positive.</t>
  </si>
  <si>
    <t xml:space="preserve">Net cash flows from operating activities 76,719 148,092 70,837 145,517</t>
  </si>
  <si>
    <t xml:space="preserve">reports/pages/7730bec3d3c3/p0035.png</t>
  </si>
  <si>
    <t xml:space="preserve">BANK 2022 70,837@459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</si>
  <si>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</si>
  <si>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31 Dec 2022</t>
  </si>
  <si>
    <t xml:space="preserve">758,183 726,080 758,183 726,080</t>
  </si>
  <si>
    <t xml:space="preserve">reports/pages/7730bec3d3c3/p0077.png</t>
  </si>
  <si>
    <t xml:space="preserve">Unlabelled subtotal row in note 20 (Loans to corporate entities and other organizations 652,165 + Loans to individuals 106,018) before Less: impairment allowance; Bank column 758,183@457</t>
  </si>
  <si>
    <t xml:space="preserve">Columns headed 'Group 31 Dec 2022' | 'Group 31 Dec 2021' | 'Bank 31 Dec 2022' | 'Bank 31 Dec 2021'; Bank 31 Dec 2022 column used</t>
  </si>
  <si>
    <t xml:space="preserve">737,735 711,900 737,735 711,900</t>
  </si>
  <si>
    <t xml:space="preserve">Unlabelled net total in note 20, Bank column 737,735@457; agrees with SOFP p30 Bank Loans and advances to customers 737,735</t>
  </si>
  <si>
    <t xml:space="preserve">Loans and advances to customers 29,456 728,727 (20,448) 737,735</t>
  </si>
  <si>
    <t xml:space="preserve">reports/pages/7730bec3d3c3/p0131.png</t>
  </si>
  <si>
    <t xml:space="preserve">Printed total ECL on loans to customers (20,448)@805; equals Bank-column components in note 20 p77: corporate (11,176) + individuals (9,272) = 20,448; net 737,735 matches Bank SOFP Sign converted to expense-positive.</t>
  </si>
  <si>
    <t xml:space="preserve">Note 39 credit-quality table '31 December 2022' columns 'Defaulted exposures' | 'Non defaulted exposures' | 'Allowances/ impairments' | 'Net values'; no Group/Bank split (text refers to 'the Bank's capital requirement'); Group and Bank customer-loan balances identical in note 20 (758,183 gross / 737,735 net both columns)</t>
  </si>
  <si>
    <t xml:space="preserve">39(h)</t>
  </si>
  <si>
    <t xml:space="preserve">Total regulatory capital 149,046 141,427 148,600 140,952</t>
  </si>
  <si>
    <t xml:space="preserve">reports/pages/7730bec3d3c3/p0175.png</t>
  </si>
  <si>
    <t xml:space="preserve">Bank 2022 148,600@464</t>
  </si>
  <si>
    <t xml:space="preserve">Columns headed 'Group 2022' | 'Group 2021' | 'Bank 2022' | 'Bank 2021'; Bank 2022 column used</t>
  </si>
  <si>
    <t xml:space="preserve">Risk-weighted assets 1,013,589 951,825 1,012,661 951,379</t>
  </si>
  <si>
    <t xml:space="preserve">Bank 2022 1,012,661@457</t>
  </si>
  <si>
    <t xml:space="preserve">14.67%</t>
  </si>
  <si>
    <t xml:space="preserve">risk-weighted assets 14.70% 14.86% 14.67% 14.82%</t>
  </si>
  <si>
    <t xml:space="preserve">Row 'Total tier 1 and tier 2 capital expressed as a percentage of risk-weighted assets'; Bank 2022 14.67%@470; also '4.02 Total Capital Adequacy Ratio 14.67%' on p176</t>
  </si>
  <si>
    <t xml:space="preserve">Bank 2022 (capital management narrative)</t>
  </si>
  <si>
    <t xml:space="preserve">In accordance with Central Bank of Nigeria regulations, a minimum threshold of 10% is to be maintained when computing the</t>
  </si>
  <si>
    <t xml:space="preserve">reports/pages/7730bec3d3c3/p0174.png</t>
  </si>
  <si>
    <t xml:space="preserve">10%@388 in narrative</t>
  </si>
  <si>
    <t xml:space="preserve">Narrative text, note 39(h)(b) Capital Adequacy Ratio: 'a minimum threshold of 10% is to be maintained'</t>
  </si>
  <si>
    <t xml:space="preserve">Deloitte &amp; Touche report dated 2023-05-03</t>
  </si>
  <si>
    <t xml:space="preserve">reports/pages/7730bec3d3c3/p0025.png</t>
  </si>
  <si>
    <t xml:space="preserve">Deloitte &amp; Touche (partner Michael Daudu, FRC/2013/ICAN/00000000845), dated 3 May 2023; auditor pages PDF 25-28 (printed -/24/25/26), all image-only, read from 110-dpi renders; signature p28. Unmodified opinion on consolidated and separate financial statements of Sterling Bank Plc and its subsidiary (Group and Bank). MU: No. EoM: No. No Other Matter paragraph (despite 2021 restatement in Note 49). One KAM (impairment of loans and advances). GC text only boilerplate. Regulatory paragraph: contraventions of BOFIA/CBN circulars disclosed in Note 42.</t>
  </si>
  <si>
    <t xml:space="preserve">Opinion: 'the consolidated and separate financial statements give a true and fair view of the consolidated and separate financial position of Sterling Bank Plc as at 31 December 2022'; audited 'consolidated and separate financial statements of Sterling Bank Plc and its subsidiary (the Group and Bank)'</t>
  </si>
  <si>
    <t xml:space="preserve">Bank (separate financial statements of Guaranty Trust Bank Plc, the Parent, within consolidated and separate financial statements)</t>
  </si>
  <si>
    <t xml:space="preserve">reports/gtbank/gtbank_xs-3cf85eb3ae_aa07e592debc.pdf</t>
  </si>
  <si>
    <t xml:space="preserve">Parent Dec-2020</t>
  </si>
  <si>
    <t xml:space="preserve">Total assets 4,944,653,293 3,758,918,770 4,061,543,605 3,097,248,495</t>
  </si>
  <si>
    <t xml:space="preserve">reports/pages/aa07e592debc/p0069.png</t>
  </si>
  <si>
    <t xml:space="preserve">Total assets Parent Dec-2020 4,061,543,605@416</t>
  </si>
  <si>
    <t xml:space="preserve">2026-10-11T07:40:25+00:00</t>
  </si>
  <si>
    <t xml:space="preserve">Columns headed 'Group Dec-2020' | 'Group Dec-2019' | 'Parent Dec-2020' | 'Parent Dec-2019' (In thousands of Nigerian Naira) on Consolidated and separate statements of financial position; only Parent Dec-2020 column used; Parent = Guaranty Trust Bank Plc (operating bank, pre-GTCO)</t>
  </si>
  <si>
    <t xml:space="preserve">Total liabilities 4,130,257,616 3,071,581,302 3,359,144,080 2,491,358,899</t>
  </si>
  <si>
    <t xml:space="preserve">Total liabilities Parent Dec-2020 3,359,144,080@416</t>
  </si>
  <si>
    <t xml:space="preserve">Total equity 814,395,677 687,337,468 702,399,525 605,889,596</t>
  </si>
  <si>
    <t xml:space="preserve">reports/pages/aa07e592debc/p0070.png</t>
  </si>
  <si>
    <t xml:space="preserve">Total equity Parent Dec-2020 702,399,525@424 (SOFP continued); agrees to SOCE Parent balance at 31 December 2020 (p75); regex anchored on Group value to exclude 'Total equity and liabilities'</t>
  </si>
  <si>
    <t xml:space="preserve">Parent Dec-2019 3,097,248,495@489; not labelled restated; equals 2019 panel assets 3,097,248.495m</t>
  </si>
  <si>
    <t xml:space="preserve">Columns headed 'Group Dec-2020' | 'Group Dec-2019' | 'Parent Dec-2020' | 'Parent Dec-2019' (In thousands of Nigerian Naira) on Consolidated and separate statements of financial position; Parent Dec-2019 (prior-year) column used for opening_assets; Parent = Guaranty Trust Bank Plc (operating bank, pre-GTCO)</t>
  </si>
  <si>
    <t xml:space="preserve">Profit for the year 201,439,940 196,849,281 178,188,398 175,125,281</t>
  </si>
  <si>
    <t xml:space="preserve">reports/pages/aa07e592debc/p0071.png</t>
  </si>
  <si>
    <t xml:space="preserve">Profit for the year Parent Dec-2020 178,188,398@448 (no discontinued operations in Parent; continuing = total)</t>
  </si>
  <si>
    <t xml:space="preserve">Columns headed 'Group Dec-2020' | 'Group Dec-2019' | 'Parent Dec-2020' | 'Parent Dec-2019' (In thousands of Nigerian Naira) on Consolidated and separate income statements; only Parent Dec-2020 column used; Parent = Guaranty Trust Bank Plc (operating bank, pre-GTCO)</t>
  </si>
  <si>
    <t xml:space="preserve">Profit before income tax 238,095,070 231,707,834 205,130,559 200,177,890</t>
  </si>
  <si>
    <t xml:space="preserve">Parent Dec-2020 205,130,559@448</t>
  </si>
  <si>
    <t xml:space="preserve">Loan impairment charges 11 (19,572,893) (4,911,666) (13,667,341) (2,221,501)</t>
  </si>
  <si>
    <t xml:space="preserve">Income statement line 'Loan impairment charges' Parent Dec-2020 (13,667,341)@451 Sign converted to expense-positive.</t>
  </si>
  <si>
    <t xml:space="preserve">financNet impairment reversal on other financial assets 16 3,190,517 100,473 3,111,874 362,254</t>
  </si>
  <si>
    <t xml:space="preserve">Income statement line 'Net impairment reversal on other financial assets' Parent Dec-2020 3,111,874@459 (text layer prefixes stray 'financ' to the row label); a reversal (credit) Sign converted to expense-positive.</t>
  </si>
  <si>
    <t xml:space="preserve">printed positive as a reversal/credit; stored negative as in 2019 panel other_impairment (-362.254)</t>
  </si>
  <si>
    <t xml:space="preserve">Net cash provided by operating activities 406,161,646 267,127,947 327,793,446 197,853,667</t>
  </si>
  <si>
    <t xml:space="preserve">reports/pages/aa07e592debc/p0077.png</t>
  </si>
  <si>
    <t xml:space="preserve">Parent Dec-2020 327,793,446@453</t>
  </si>
  <si>
    <t xml:space="preserve">Columns headed 'Group Dec-2020' | 'Group Dec-2019' | 'Parent Dec-2020' | 'Parent Dec-2019' (In thousands of Nigerian Naira) on Consolidated and separate statements of cash flows; only Parent Dec-2020 column used; Parent = Guaranty Trust Bank Plc (operating bank, pre-GTCO)</t>
  </si>
  <si>
    <t xml:space="preserve">3 (credit risk)</t>
  </si>
  <si>
    <t xml:space="preserve">Parent Dec-2020 Gross Loans</t>
  </si>
  <si>
    <t xml:space="preserve">Total 1,473,498,356 19,622,285,287 67,283 67,417</t>
  </si>
  <si>
    <t xml:space="preserve">reports/pages/aa07e592debc/p0167.png</t>
  </si>
  <si>
    <t xml:space="preserve">Printed Parent Dec-2020 total gross loans and advances to customers 1,473,498,356@270 (Stage 1 1,116,671,284 + Stage 2 270,319,004 + Stage 3 86,508,068); equals note 29 p273 Parent gross individual 160,845,204 + non-individual 1,312,653,152; auditor KAM p64 'N1.47 trillion for the bank'</t>
  </si>
  <si>
    <t xml:space="preserve">Collateral table blocks headed 'Group Dec-2020' | 'Group Dec-2019' | 'Parent Dec-2020' | 'Parent Dec-2019', columns 'Gross Loans' | 'Collateral' (In thousands of Nigerian Naira); Parent Dec-2020 block used</t>
  </si>
  <si>
    <t xml:space="preserve">GTB20-ALWI</t>
  </si>
  <si>
    <t xml:space="preserve">Total impairment (11,953,231) (7,805,829) (10,338,167) (6,380,109)</t>
  </si>
  <si>
    <t xml:space="preserve">reports/pages/aa07e592debc/p0273.png</t>
  </si>
  <si>
    <t xml:space="preserve">Note 29 Loans to individuals: Total impairment Parent Dec-2020 (10,338,167)@473 (Stage1 196,659 + Stage2 6,931 + Stage3 10,134,577) Sign converted to expense-positive.</t>
  </si>
  <si>
    <t xml:space="preserve">Columns headed 'Group Dec-2020' | 'Group Dec-2019' | 'Parent Dec-2020' | 'Parent Dec-2019' (In thousands of Nigerian Naira) on note 29 Loans and advances to customers; only Parent Dec-2020 column used; Parent = Guaranty Trust Bank Plc (operating bank, pre-GTCO)</t>
  </si>
  <si>
    <t xml:space="preserve">GTB20-ALWN</t>
  </si>
  <si>
    <t xml:space="preserve">Total impairment (69,023,933) (59,379,656) (52,582,455) (49,865,490)</t>
  </si>
  <si>
    <t xml:space="preserve">Note 29 Loans to Non-individuals: Total impairment Parent Dec-2020 (52,582,455)@473 (Stage1 2,661,895 + Stage2 15,109,122 + Stage3 34,811,438) Sign converted to expense-positive.</t>
  </si>
  <si>
    <t xml:space="preserve">Loans and advances to customers 29 1,662,731,699 1,500,572,046 1,410,577,734 1,300,820,647</t>
  </si>
  <si>
    <t xml:space="preserve">SOFP Parent Dec-2020 1,410,577,734@417; agrees to note 29 Total carrying amount p273</t>
  </si>
  <si>
    <t xml:space="preserve">Bank Full Impact ** Dec-2020</t>
  </si>
  <si>
    <t xml:space="preserve">Total Qualifying Capital (C= A+B) 714,778,155 654,196,253 614,732,170 554,150,268 566,721,721 517,502,852 467,871,040 418,652,170</t>
  </si>
  <si>
    <t xml:space="preserve">reports/pages/aa07e592debc/p0224.png</t>
  </si>
  <si>
    <t xml:space="preserve">Total Qualifying Capital (C= A+B) Bank Full Impact Dec-2020 467,871,040@478</t>
  </si>
  <si>
    <t xml:space="preserve">Capital adequacy ratio table: 'Group' and 'Bank' blocks, each 'Transitional Arrangement Impact **' and 'Full Impact **' with 'Dec-2020' | 'Dec-2019' (In thousands of Nigerian Naira); Bank Full Impact Dec-2020 column used</t>
  </si>
  <si>
    <t xml:space="preserve">Aggregate 2,873,566,556 2,527,563,716 2,808,075,837 2,462,072,997 2,458,692,969 2,091,893,281 2,393,202,250 2,026,402,562</t>
  </si>
  <si>
    <t xml:space="preserve">Aggregate risk-weighted assets Bank Full Impact Dec-2020 2,393,202,250@473</t>
  </si>
  <si>
    <t xml:space="preserve">Total Risk-Weighted Capital Ratio 24.87% 25.88% 21.89% 22.51% 23.05% 24.74% 19.55% 20.66%</t>
  </si>
  <si>
    <t xml:space="preserve">Bank Full Impact Dec-2020 19.55%@495; also p223 'the Bank's capital adequacy ratio was 19.55% (December 31, 2019- 20.66%)'. ** computed using June 2020 capital per CBN directive; after CBN certification of Dec-2020 closing capital, Bank CAR stated to close at 23.73% (full impact) / 26.45% (transitional) - not used.</t>
  </si>
  <si>
    <t xml:space="preserve">Bank Transitional Arrangement Impact ** Dec-2020</t>
  </si>
  <si>
    <t xml:space="preserve">Bank Transitional Dec-2020 566,721,721@374 (includes IFRS 9 transitional adjustment 33,359,963)</t>
  </si>
  <si>
    <t xml:space="preserve">Capital adequacy ratio table: 'Group' and 'Bank' blocks, each 'Transitional Arrangement Impact **' and 'Full Impact **' with 'Dec-2020' | 'Dec-2019' (In thousands of Nigerian Naira); Bank Transitional Arrangement Impact Dec-2020 column used</t>
  </si>
  <si>
    <t xml:space="preserve">23.05%</t>
  </si>
  <si>
    <t xml:space="preserve">Bank Transitional Dec-2020 23.05%@391; RWA for transitional 2,458,692,969@369</t>
  </si>
  <si>
    <t xml:space="preserve">Bank 2020 (capital management narrative)</t>
  </si>
  <si>
    <t xml:space="preserve">mandated regulatory minimum of 16% for Domestic Systemically Important. As at December 31, 2020, the Bank’s capital</t>
  </si>
  <si>
    <t xml:space="preserve">reports/pages/aa07e592debc/p0223.png</t>
  </si>
  <si>
    <t xml:space="preserve">16%@197 (D-SIB minimum: 15% international licence + 1% HLA); also p222</t>
  </si>
  <si>
    <t xml:space="preserve">Narrative, note 5 Capital management: 'well over the CBN-mandated regulatory minimum of 16% for Domestic Systemically Important' (banks)</t>
  </si>
  <si>
    <t xml:space="preserve">Auditor's report on the consolidated and separate financial statements of Guaranty Trust Bank Plc (Group and Bank)</t>
  </si>
  <si>
    <t xml:space="preserve">PricewaterhouseCoopers (Chartered Accountants, Lagos) report dated 2021-02-25</t>
  </si>
  <si>
    <t xml:space="preserve">reports/pages/aa07e592debc/p0063.png</t>
  </si>
  <si>
    <t xml:space="preserve">PricewaterhouseCoopers (engagement partner Obioma Ubah, FRC/2013/ICAN/00000002002), signed 25 February 2021; auditor pages PDF 63-67 (printed 59-63), all image-only, read from 110-dpi renders; signature p67. Unmodified opinion on the consolidated and separate financial statements of Guaranty Trust Bank Plc ('the bank') and its subsidiaries. MU: No. EoM: No. Other matter: none. One KAM (impairment of loans and advances to customers, N80.98bn Group; N62.92bn Bank). GC text only boilerplate in directors'/auditor's responsibilities. Legal/regulatory section notes CBN penalties paid (note 47).</t>
  </si>
  <si>
    <t xml:space="preserve">Opinion: 'the consolidated and separate financial statements give a true and fair view of the consolidated and separate financial position of Guaranty Trust Bank Plc ("the bank") and its subsidiaries (together "the group") as at 31 December 2020'</t>
  </si>
  <si>
    <t xml:space="preserve">831a397f729f75ff08fdda773e4f4ff434d00d59b94eb4505a8496c5e7424f14</t>
  </si>
  <si>
    <t xml:space="preserve">reports/access/access_xs-9184ed1fc6_831a397f729f.pdf</t>
  </si>
  <si>
    <t xml:space="preserve">December 2022</t>
  </si>
  <si>
    <t xml:space="preserve">Total assets 14,972,309 11,731,965 12,535,280 9,660,761</t>
  </si>
  <si>
    <t xml:space="preserve">reports/pages/831a397f729f/p0049.png</t>
  </si>
  <si>
    <t xml:space="preserve">SOFP Bank Total assets 12,535,280 (printed page 50)</t>
  </si>
  <si>
    <t xml:space="preserve">2026-10-11T07:41:23+00:00</t>
  </si>
  <si>
    <t xml:space="preserve">Four columns headed 'Group' | 'Group' | 'Bank' | 'Bank' over 'December 2022' | 'December 2021' | 'December 2022' | 'December 2021' ('In millions of Naira'); Bank December 2022 column used; entity Access Bank Plc</t>
  </si>
  <si>
    <t xml:space="preserve">Total liabilities 13,745,417 10,681,936 11,466,613 8,789,311</t>
  </si>
  <si>
    <t xml:space="preserve">SOFP Bank Total liabilities 11,466,613</t>
  </si>
  <si>
    <t xml:space="preserve">Total equity 1,226,892 1,050,029 1,068,667 871,450</t>
  </si>
  <si>
    <t xml:space="preserve">SOFP Bank Total equity 1,068,667 (no NCI in Bank; includes Additional Tier 1 capital 206,355 classified in equity, as in 2021)</t>
  </si>
  <si>
    <t xml:space="preserve">Profit for the year 155,173 160,215 166,660 111,326</t>
  </si>
  <si>
    <t xml:space="preserve">reports/pages/831a397f729f/p0048.png</t>
  </si>
  <si>
    <t xml:space="preserve">Statement of comprehensive income Bank Profit for the year 166,660 (after income tax credit 3,951; no discontinued operations in Bank); first occurrence</t>
  </si>
  <si>
    <t xml:space="preserve">Profit before tax 170,402 176,579 162,709 106,483</t>
  </si>
  <si>
    <t xml:space="preserve">Bank Profit before tax 162,709</t>
  </si>
  <si>
    <t xml:space="preserve">Net cash generated from operating activities 855,732 961,895 698,528 500,834</t>
  </si>
  <si>
    <t xml:space="preserve">reports/pages/831a397f729f/p0052.png</t>
  </si>
  <si>
    <t xml:space="preserve">Statement of cash flows Bank Net cash generated from operating activities 698,528 (inflow); the statement carries a *Restated marker for the Group 2021 discontinued-operations restatement (note 46a, Group columns only); Bank 2021 comparative 500,834 equals the 2021 original</t>
  </si>
  <si>
    <t xml:space="preserve">prior-year comparative in 2022 report (not restated)</t>
  </si>
  <si>
    <t xml:space="preserve">Prior-year (December 2021) Bank column of the 2022 SOFP: Total assets 9,660,761; not labelled restated; agrees with Bank total assets 9,660,760,556 thousand in the 2021 Access report (xs-2336dc520e p51)</t>
  </si>
  <si>
    <t xml:space="preserve">Four columns headed 'Group' | 'Group' | 'Bank' | 'Bank' over 'December 2022' | 'December 2021' | 'December 2022' | 'December 2021' ('In millions of Naira'); Bank December 2021 (prior-year) column used; entity Access Bank Plc</t>
  </si>
  <si>
    <t xml:space="preserve">Net impairment charge on financial assets 9 (197,790) (83,214) (118,681) (53,801)</t>
  </si>
  <si>
    <t xml:space="preserve">Bank Net impairment charge on financial assets (118,681); covers all financial assets, not only loans (same definition as 2021) Sign converted to expense-positive.</t>
  </si>
  <si>
    <t xml:space="preserve">Loans and advances to customers (Individual and corporate entities and other organizations) 4,149,413</t>
  </si>
  <si>
    <t xml:space="preserve">reports/pages/831a397f729f/p0193.png</t>
  </si>
  <si>
    <t xml:space="preserve">Note 23(b) Bank December 2022: Loans and advances to customers (Individual and corporate entities and other organizations) 4,149,413 = individuals 149,271 + corporate 4,000,142 (printed page 206)</t>
  </si>
  <si>
    <t xml:space="preserve">Note 23 Loans and advances to customers, sub-note 'b Bank' headed 'December 2022' (label printed 'In thousands of Naira' but figures are NGN million: the net 4,084,352 equals the SOFP Bank line 'In millions of Naira'); Group sub-note (a) on preceding pages; entity Access Bank Plc</t>
  </si>
  <si>
    <t xml:space="preserve">Less Allowance for Expected credit loss (65,061)</t>
  </si>
  <si>
    <t xml:space="preserve">Note 23(b) Bank: Less Allowance for Expected credit loss (65,061) = individuals (8,151) + corporate (56,910); third occurrence of the label on the page; ECL stage tables p194 total 8,152 + 56,910. Gross - ECL = 4,084,352 = printed net Sign converted to expense-positive.</t>
  </si>
  <si>
    <t xml:space="preserve">Loans and advances to customers 23 5,100,807 4,161,363 4,084,352 3,256,073</t>
  </si>
  <si>
    <t xml:space="preserve">SOFP Bank Loans and advances to customers 4,084,352 (agrees to note 23(b) p194)</t>
  </si>
  <si>
    <t xml:space="preserve">Total regulatory capital 1,273,571 1,199,317 863,711 835,939</t>
  </si>
  <si>
    <t xml:space="preserve">reports/pages/831a397f729f/p0168.png</t>
  </si>
  <si>
    <t xml:space="preserve">Bank Total regulatory capital 863,711 (Eligible Tier 1 716,046 + Eligible Tier 2 147,664 after 50% deduction of investments in banking subsidiaries) (printed page 181). Basel II; IFRS 9 transitional arrangement expired 2021, no transitional figure printed</t>
  </si>
  <si>
    <t xml:space="preserve">Capital adequacy ratio computation under Basel II guidelines, columns 'Group' | 'Group' | 'Bank' | 'Bank' over 'December 2022' | 'December 2021' | 'December 2022' | 'December 2021' ('In millions of Naira'); Bank December 2022 column used</t>
  </si>
  <si>
    <t xml:space="preserve">Risk-weighted assets 6,291,629 4,891,615 4,839,820 3,993,849</t>
  </si>
  <si>
    <t xml:space="preserve">Bank Risk-weighted assets 4,839,820</t>
  </si>
  <si>
    <t xml:space="preserve">17.85%</t>
  </si>
  <si>
    <t xml:space="preserve">Total regulatory capital expressed as a percentage 20.24% 24.52% 17.85% 20.93%</t>
  </si>
  <si>
    <t xml:space="preserve">Bank Total regulatory capital expressed as a percentage of total risk-weighted assets 17.85% (Basel II; Tier 1 ratio 14.79%); Basel III only described as parallel run, no Basel III ratio printed; no transitional CAR disclosed</t>
  </si>
  <si>
    <t xml:space="preserve">Ecobank Nigeria Limited</t>
  </si>
  <si>
    <t xml:space="preserve">Bank (single-entity financial statements)</t>
  </si>
  <si>
    <t xml:space="preserve">a6c456b6d8b9fad9a0b8af4283c9798262a66565fe02c2afdebecbb88b2c5abd</t>
  </si>
  <si>
    <t xml:space="preserve">reports/ecobank_nigeria/ecobank_nigeria_xs-4668b73761_a6c456b6d8b9.pdf</t>
  </si>
  <si>
    <t xml:space="preserve">Total Assets 1,460,811 1,325,315</t>
  </si>
  <si>
    <t xml:space="preserve">reports/pages/a6c456b6d8b9/p0038.png</t>
  </si>
  <si>
    <t xml:space="preserve">SOFP Total Assets 1,460,811</t>
  </si>
  <si>
    <t xml:space="preserve">2026-10-11T10:31:37+00:00</t>
  </si>
  <si>
    <t xml:space="preserve">Single-entity statements of Ecobank Nigeria Limited (no Group column; the bank had no consolidated subsidiaries); columns headed '31 December 2013' | '31 December 2012' ('All amounts in millions of Nigerian Naira'); 2013 column used</t>
  </si>
  <si>
    <t xml:space="preserve">Total Liabilities 1,304,183 1,171,687</t>
  </si>
  <si>
    <t xml:space="preserve">SOFP Total Liabilities 1,304,183</t>
  </si>
  <si>
    <t xml:space="preserve">Total Equity 156,628 153,628</t>
  </si>
  <si>
    <t xml:space="preserve">SOFP Total Equity 156,628; balance 1,304,183 + 156,628 = 1,460,811</t>
  </si>
  <si>
    <t xml:space="preserve">Profit for the year 11,658 7,805</t>
  </si>
  <si>
    <t xml:space="preserve">reports/pages/a6c456b6d8b9/p0037.png</t>
  </si>
  <si>
    <t xml:space="preserve">Statement of profit or loss: Profit for the year 11,658 (after income tax credit)</t>
  </si>
  <si>
    <t xml:space="preserve">Profit before tax 10,533 5,227</t>
  </si>
  <si>
    <t xml:space="preserve">Profit before tax 10,533</t>
  </si>
  <si>
    <t xml:space="preserve">Net cash from operating activities 4,606 (45,516)</t>
  </si>
  <si>
    <t xml:space="preserve">reports/pages/a6c456b6d8b9/p0041.png</t>
  </si>
  <si>
    <t xml:space="preserve">Statement of cash flows: Net cash from operating activities 4,606</t>
  </si>
  <si>
    <t xml:space="preserve">prior-year comparative in 2013 report (not restated)</t>
  </si>
  <si>
    <t xml:space="preserve">Prior-year (31 December 2012) column of the 2013 SOFP: Total Assets 1,325,315; column not labelled restated</t>
  </si>
  <si>
    <t xml:space="preserve">Single-entity statements of Ecobank Nigeria Limited (no Group column; the bank had no consolidated subsidiaries); columns headed '31 December 2013' | '31 December 2012' ('All amounts in millions of Nigerian Naira'); 2012 (prior-year) column used</t>
  </si>
  <si>
    <t xml:space="preserve">Impairment charge for losses 5 (32,606) (12,342)</t>
  </si>
  <si>
    <t xml:space="preserve">Impairment charge for losses (32,606) (IAS 39; credit losses) Sign converted to expense-positive.</t>
  </si>
  <si>
    <t xml:space="preserve">660,730 (28,226) (6,597) (34,823) 625,907</t>
  </si>
  <si>
    <t xml:space="preserve">reports/pages/a6c456b6d8b9/p0059.png</t>
  </si>
  <si>
    <t xml:space="preserve">Note 18.1 unlabelled 31 Dec 2013 total row: Gross amount 660,730 = specialised 243,454 + overdrafts 133,198 + term 271,298 + CP 100 + finance lease 12,680</t>
  </si>
  <si>
    <t xml:space="preserve">Note 18.1 31 Dec 2013 total impairment (34,823) = specific (28,226) + collective (6,597); agrees with note 18.2 closing balance 34,823 (p60) Sign converted to expense-positive.</t>
  </si>
  <si>
    <t xml:space="preserve">Loans And Advances To Customers 18 625,907 546,873</t>
  </si>
  <si>
    <t xml:space="preserve">SOFP Loans and advances to customers 625,907 = 660,730 - 34,823</t>
  </si>
  <si>
    <t xml:space="preserve">Total regulatory capital 165,746 152,952</t>
  </si>
  <si>
    <t xml:space="preserve">reports/pages/a6c456b6d8b9/p0097.png</t>
  </si>
  <si>
    <t xml:space="preserve">Capital management: Total regulatory capital 165,746 (Tier 1 149,293 + Tier 2 16,453) (printed page 95)</t>
  </si>
  <si>
    <t xml:space="preserve">Total risk-weighted assets 953,338 829,743</t>
  </si>
  <si>
    <t xml:space="preserve">Total risk-weighted assets 953,338</t>
  </si>
  <si>
    <t xml:space="preserve">17%</t>
  </si>
  <si>
    <t xml:space="preserve">Risk weighted Capital Adequacy Ratio (CAR) 17% 18%</t>
  </si>
  <si>
    <t xml:space="preserve">Risk weighted Capital Adequacy Ratio (CAR) printed '17%' (whole-percent display; 165,746 / 953,338 = 17.39%)</t>
  </si>
  <si>
    <t xml:space="preserve">Auditor's report on the financial statements of Ecobank Nigeria Limited</t>
  </si>
  <si>
    <t xml:space="preserve">Manual transcription of row /Independent/ from rendered page image.</t>
  </si>
  <si>
    <t xml:space="preserve">reports/pages/a6c456b6d8b9/p0036.png</t>
  </si>
  <si>
    <t xml:space="preserve">Independent Auditor's Report to the Members of Ecobank Nigeria Limited, PDF p36 (printed p34), single complete page: Akintola Williams Deloitte, David Achugamonu FRC/2013/ICAN/00000000840, dated 23 April 2014. Opinion: present fairly (unmodified). No material-uncertainty section, no emphasis-of-matter or other-matter paragraph; legal/regulatory section reports insider credits and BOFIA contraventions only.</t>
  </si>
  <si>
    <t xml:space="preserve">bf0e3cb6e61dafe38692162c5c9553fbdd79089c287b221bcb13727d6daf580a</t>
  </si>
  <si>
    <t xml:space="preserve">reports/ecobank_nigeria/ecobank_nigeria_xs-5bf40497d1_bf0e3cb6e61d.pdf</t>
  </si>
  <si>
    <t xml:space="preserve">Total assets 1,772,922 1,460,811</t>
  </si>
  <si>
    <t xml:space="preserve">reports/pages/bf0e3cb6e61d/p0033.png</t>
  </si>
  <si>
    <t xml:space="preserve">SOFP Total assets 1,772,922</t>
  </si>
  <si>
    <t xml:space="preserve">2026-10-11T10:31:40+00:00</t>
  </si>
  <si>
    <t xml:space="preserve">Single-entity statements of Ecobank Nigeria Limited (no Group column); columns headed '31 December 2014' | '31 December 2013' ('All amounts in millions of Naira'); 2014 column used</t>
  </si>
  <si>
    <t xml:space="preserve">Total liabilities 1,574,528 1,304,183</t>
  </si>
  <si>
    <t xml:space="preserve">SOFP Total liabilities 1,574,528</t>
  </si>
  <si>
    <t xml:space="preserve">Total equity 198,394 156,628</t>
  </si>
  <si>
    <t xml:space="preserve">SOFP Total equity 198,394; 1,574,528 + 198,394 = 1,772,922</t>
  </si>
  <si>
    <t xml:space="preserve">PROFIT FOR THE YEAR 29,733 11,658</t>
  </si>
  <si>
    <t xml:space="preserve">reports/pages/bf0e3cb6e61d/p0032.png</t>
  </si>
  <si>
    <t xml:space="preserve">PROFIT FOR THE YEAR 29,733</t>
  </si>
  <si>
    <t xml:space="preserve">Profit before tax from continuing operations 28,663 10,533</t>
  </si>
  <si>
    <t xml:space="preserve">Profit before tax from continuing operations 28,663 (no discontinued operations)</t>
  </si>
  <si>
    <t xml:space="preserve">Net cash generated from operating activities (110,701) 4,606</t>
  </si>
  <si>
    <t xml:space="preserve">reports/pages/bf0e3cb6e61d/p0036.png</t>
  </si>
  <si>
    <t xml:space="preserve">Statement of cash flows: Net cash generated from operating activities (110,701) (outflow; sign preserved)</t>
  </si>
  <si>
    <t xml:space="preserve">prior-year comparative in 2014 report (not restated)</t>
  </si>
  <si>
    <t xml:space="preserve">Prior-year (31 December 2013) column: Total assets 1,460,811; not labelled restated; equals the 2013 original (xs-4668b73761 p38)</t>
  </si>
  <si>
    <t xml:space="preserve">Single-entity statements of Ecobank Nigeria Limited (no Group column); columns headed '31 December 2014' | '31 December 2013' ('All amounts in millions of Naira'); 2013 (prior-year) column used</t>
  </si>
  <si>
    <t xml:space="preserve">Impairment charge for losses 8 (32,994) (32,606)</t>
  </si>
  <si>
    <t xml:space="preserve">Impairment charge for losses (32,994) (IAS 39) Sign converted to expense-positive.</t>
  </si>
  <si>
    <t xml:space="preserve">930,956 (28,755) (9,480) (38,235) 892,721</t>
  </si>
  <si>
    <t xml:space="preserve">reports/pages/bf0e3cb6e61d/p0071.png</t>
  </si>
  <si>
    <t xml:space="preserve">Note 18.1 unlabelled 31 Dec 2014 total row: Gross 930,956; carrying 892,721 (printed page 69)</t>
  </si>
  <si>
    <t xml:space="preserve">Note 18.1 31 Dec 2014 total impairment (38,235) = specific (28,755) + collective (9,480); equals note 18.2 closing balance 38,235 (p72) Sign converted to expense-positive.</t>
  </si>
  <si>
    <t xml:space="preserve">Loans and advances to customers 18 892,721 625,907</t>
  </si>
  <si>
    <t xml:space="preserve">SOFP Loans and advances to customers 892,721 = 930,956 - 38,235</t>
  </si>
  <si>
    <t xml:space="preserve">Total regulatory capital 239,281 165,746</t>
  </si>
  <si>
    <t xml:space="preserve">reports/pages/bf0e3cb6e61d/p0128.png</t>
  </si>
  <si>
    <t xml:space="preserve">Capital management: Total regulatory capital 239,281 (Tier 1 183,136 + Tier 2 56,145) (printed page 126)</t>
  </si>
  <si>
    <t xml:space="preserve">Total risk-weighted assets 1,492,373 953,338</t>
  </si>
  <si>
    <t xml:space="preserve">Total risk-weighted assets 1,492,373 (credit 1,241,980 + operational 247,593 + market 2,800; Basel II from 2014, 2013 comparative credit-only)</t>
  </si>
  <si>
    <t xml:space="preserve">Risk weighted Capital Adequacy Ratio (CAR) 16% 17%</t>
  </si>
  <si>
    <t xml:space="preserve">Risk weighted Capital Adequacy Ratio (CAR) printed '16%' (whole-percent display; 239,281 / 1,492,373 = 16.03%)</t>
  </si>
  <si>
    <t xml:space="preserve">Manual transcription of row /ECOBANK/ from rendered page image.</t>
  </si>
  <si>
    <t xml:space="preserve">reports/pages/bf0e3cb6e61d/p0031.png</t>
  </si>
  <si>
    <t xml:space="preserve">Report of the independent auditors to the members of Ecobank Nigeria Limited, PDF p31 (printed p29), single complete page, scanned image under a text header (transcribed from 110-dpi render). Heading misprints 'ECOBANK BANK LIMITED'; opinion names ECOBANK NIGERIA LIMITED. Akintola Williams Deloitte, Jelili Adebisi FRC/2013/ICAN/00000004247, dated 14 April 2015. Opinion: true and fair (unmodified). No material-uncertainty, emphasis-of-matter or other-matter paragraph; other reporting covers insider credits and CBN circular contraventions.</t>
  </si>
  <si>
    <t xml:space="preserve">1df90a51aae181a11303f2401729b08791fe1a4f5ed780f280ebffb0c1390684</t>
  </si>
  <si>
    <t xml:space="preserve">reports/ecobank_nigeria/ecobank_nigeria_xs-a62824fb3d_1df90a51aae1.pdf</t>
  </si>
  <si>
    <t xml:space="preserve">Total assets 1,794,348 1,772,922</t>
  </si>
  <si>
    <t xml:space="preserve">reports/pages/1df90a51aae1/p0049.png</t>
  </si>
  <si>
    <t xml:space="preserve">SOFP Total assets 1,794,348</t>
  </si>
  <si>
    <t xml:space="preserve">2026-10-11T10:31:44+00:00</t>
  </si>
  <si>
    <t xml:space="preserve">Single-entity statements of Ecobank Nigeria Limited (no Group column); columns headed '31 Dec. 2015' | '31 Dec. 2014' ('All amounts in millions of Naira'); 2015 column used</t>
  </si>
  <si>
    <t xml:space="preserve">Total liabilities 1,566,561 1,574,528</t>
  </si>
  <si>
    <t xml:space="preserve">SOFP Total liabilities 1,566,561</t>
  </si>
  <si>
    <t xml:space="preserve">Total equity 227,787 198,394</t>
  </si>
  <si>
    <t xml:space="preserve">SOFP Total equity 227,787; 1,566,561 + 227,787 = 1,794,348</t>
  </si>
  <si>
    <t xml:space="preserve">Profit for the year 11,304 29,733</t>
  </si>
  <si>
    <t xml:space="preserve">reports/pages/1df90a51aae1/p0048.png</t>
  </si>
  <si>
    <t xml:space="preserve">Profit for the year 11,304</t>
  </si>
  <si>
    <t xml:space="preserve">Profit before tax from continuing operations 11,380 28,663</t>
  </si>
  <si>
    <t xml:space="preserve">Profit before tax from continuing operations 11,380</t>
  </si>
  <si>
    <t xml:space="preserve">Net cash from operating activities 24,229 (110,701)</t>
  </si>
  <si>
    <t xml:space="preserve">reports/pages/1df90a51aae1/p0052.png</t>
  </si>
  <si>
    <t xml:space="preserve">Statement of cash flows: Net cash from operating activities 24,229</t>
  </si>
  <si>
    <t xml:space="preserve">31 Dec. 2014</t>
  </si>
  <si>
    <t xml:space="preserve">prior-year comparative in 2015 report (not restated)</t>
  </si>
  <si>
    <t xml:space="preserve">Prior-year (31 Dec. 2014) column: Total assets 1,772,922; not labelled restated; equals the 2014 original (xs-5bf40497d1 p33)</t>
  </si>
  <si>
    <t xml:space="preserve">Single-entity statements of Ecobank Nigeria Limited (no Group column); columns headed '31 Dec. 2015' | '31 Dec. 2014' ('All amounts in millions of Naira'); 2014 (prior-year) column used</t>
  </si>
  <si>
    <t xml:space="preserve">Impairment charge for losses 8 (55,740) (32,994)</t>
  </si>
  <si>
    <t xml:space="preserve">Impairment charge for losses (55,740) (IAS 39) Sign converted to expense-positive.</t>
  </si>
  <si>
    <t xml:space="preserve">885,701 (59,038) (9,315) (68,353) 817,348</t>
  </si>
  <si>
    <t xml:space="preserve">reports/pages/1df90a51aae1/p0076.png</t>
  </si>
  <si>
    <t xml:space="preserve">Note 18 unlabelled 31 December 2015 total row: Gross 885,701; carrying 817,348 (printed page 74)</t>
  </si>
  <si>
    <t xml:space="preserve">Note 18 31 December 2015 total impairment (68,353) = specific (59,038) + collective (9,315); equals closing balance 68,353 (p77) Sign converted to expense-positive.</t>
  </si>
  <si>
    <t xml:space="preserve">Loans and advances to customers 18 817,348 892,721</t>
  </si>
  <si>
    <t xml:space="preserve">SOFP Loans and advances to customers 817,348 = 885,701 - 68,353</t>
  </si>
  <si>
    <t xml:space="preserve">Total regulatory capital 254,109 239,281</t>
  </si>
  <si>
    <t xml:space="preserve">reports/pages/1df90a51aae1/p0120.png</t>
  </si>
  <si>
    <t xml:space="preserve">Capital management: Total regulatory capital 254,109 (Tier 1 202,017 + Tier 2 75,000 less deductions as printed) (printed page 118)</t>
  </si>
  <si>
    <t xml:space="preserve">Total risk-weighted assets 1,357,098 1,492,373</t>
  </si>
  <si>
    <t xml:space="preserve">Total risk-weighted assets 1,357,098 (credit 1,098,488 + operational 250,662 + market)</t>
  </si>
  <si>
    <t xml:space="preserve">Risk weighted Capital Adequacy Ratio (CAR) 19% 16%</t>
  </si>
  <si>
    <t xml:space="preserve">Risk weighted Capital Adequacy Ratio (CAR) printed '19%' (whole-percent display; 254,109 / 1,357,098 = 18.72%)</t>
  </si>
  <si>
    <t xml:space="preserve">reports/pages/1df90a51aae1/p0046.png</t>
  </si>
  <si>
    <t xml:space="preserve">Independent Auditor's Report to the Members of Ecobank Nigeria Limited, PDF pp46-47 (printed 44-45), complete: Akintola Williams Deloitte, Joshua Ojo FRC/2013/ICAN/00000000849, dated 27 April 2016. Opinion: true and fair (unmodified). No material-uncertainty, emphasis-of-matter or other-matter paragraph; other reporting covers insider credits and BOFIA/CBN contraventions.</t>
  </si>
  <si>
    <t xml:space="preserve">a6f8132ac9ecfeee57cc526c6a3a8761d2f0f1c0d35c897e69591657e36ee90e</t>
  </si>
  <si>
    <t xml:space="preserve">reports/ecobank_nigeria/ecobank_nigeria_xs-29bf069fa6_a6f8132ac9ec.pdf</t>
  </si>
  <si>
    <t xml:space="preserve">31 December 2018</t>
  </si>
  <si>
    <t xml:space="preserve">Total assets 1,956,830 1,829,761</t>
  </si>
  <si>
    <t xml:space="preserve">reports/pages/a6f8132ac9ec/p0065.png</t>
  </si>
  <si>
    <t xml:space="preserve">SOFP Total assets 1,956,830</t>
  </si>
  <si>
    <t xml:space="preserve">2026-10-11T10:31:46+00:00</t>
  </si>
  <si>
    <t xml:space="preserve">Single-entity statements of Ecobank Nigeria Limited (no Group column); columns headed '31-Dec 2018' | '31-Dec2017' (N'million); 2018 column used</t>
  </si>
  <si>
    <t xml:space="preserve">Total liabilities 1,709,348 1,562,432</t>
  </si>
  <si>
    <t xml:space="preserve">SOFP Total liabilities 1,709,348</t>
  </si>
  <si>
    <t xml:space="preserve">Total equity 247,482 267,329</t>
  </si>
  <si>
    <t xml:space="preserve">SOFP Total equity 247,482; 1,709,348 + 247,482 = 1,956,830</t>
  </si>
  <si>
    <t xml:space="preserve">Pofit for the year 27,155 20,204</t>
  </si>
  <si>
    <t xml:space="preserve">reports/pages/a6f8132ac9ec/p0064.png</t>
  </si>
  <si>
    <t xml:space="preserve">Statement of profit or loss: 'Pofit for the year' (misprint) 27,155</t>
  </si>
  <si>
    <t xml:space="preserve">Profit before income tax 27,521 20,411</t>
  </si>
  <si>
    <t xml:space="preserve">Profit before income tax 27,521</t>
  </si>
  <si>
    <t xml:space="preserve">Net cash from operating activities 31,236 32,977</t>
  </si>
  <si>
    <t xml:space="preserve">reports/pages/a6f8132ac9ec/p0067.png</t>
  </si>
  <si>
    <t xml:space="preserve">Statement of cash flows: Net cash from operating activities 31,236</t>
  </si>
  <si>
    <t xml:space="preserve">31-Dec 2017</t>
  </si>
  <si>
    <t xml:space="preserve">prior-year comparative in 2018 report (not restated)</t>
  </si>
  <si>
    <t xml:space="preserve">Prior-year (31-Dec 2017) column: Total assets 1,829,761; IAS 39 closing balance, not restated for IFRS 9 (bank applied the IFRS 9 exemption; transition adjustment in opening equity)</t>
  </si>
  <si>
    <t xml:space="preserve">Single-entity statements of Ecobank Nigeria Limited (no Group column); columns headed '31-Dec 2018' | '31-Dec2017' (N'million); 2017 (prior-year) column used</t>
  </si>
  <si>
    <t xml:space="preserve">Impairment charge for losses 9 (27,360) (59,901)</t>
  </si>
  <si>
    <t xml:space="preserve">Impairment charge for losses (27,360) (IFRS 9 ECL) Sign converted to expense-positive.</t>
  </si>
  <si>
    <t xml:space="preserve">Gross loans 480,739 318,962 126,844 926,546</t>
  </si>
  <si>
    <t xml:space="preserve">reports/pages/a6f8132ac9ec/p0110.png</t>
  </si>
  <si>
    <t xml:space="preserve">Note 19.1 31 December 2018: Gross loans 926,546 (Stage 1 480,739 + Stage 2 318,962 + Stage 3 126,844)</t>
  </si>
  <si>
    <t xml:space="preserve">Expected credit loss allowance (4,921) (15,291) (63,859) (84,071)</t>
  </si>
  <si>
    <t xml:space="preserve">Note 19.1 Expected credit loss allowance (84,071) (Stage 1 4,921 + Stage 2 15,291 + Stage 3 63,859); equals closing balance p111 Sign converted to expense-positive.</t>
  </si>
  <si>
    <t xml:space="preserve">.oans and advances to custoOers 19 842,475 831,573</t>
  </si>
  <si>
    <t xml:space="preserve">SOFP Loans and advances to customers 842,475 = 926,546 - 84,071 (label glyph 'L' rendered '.' in text layer)</t>
  </si>
  <si>
    <t xml:space="preserve">Non-Performing 126,844 133,015</t>
  </si>
  <si>
    <t xml:space="preserve">Note 19.1: Non-Performing loans 126,844 (equals Stage 3 gross)</t>
  </si>
  <si>
    <t xml:space="preserve">Total regulatory capital 205,312 247,386</t>
  </si>
  <si>
    <t xml:space="preserve">reports/pages/a6f8132ac9ec/p0170.png</t>
  </si>
  <si>
    <t xml:space="preserve">Capital: Total regulatory capital 205,312; Tier 1 includes 'IFRS 9 transitional adjustment' 8,509</t>
  </si>
  <si>
    <t xml:space="preserve">Total risk-weighted assets 1,433,545 1,546,847</t>
  </si>
  <si>
    <t xml:space="preserve">Total risk-weighted assets 1,433,545</t>
  </si>
  <si>
    <t xml:space="preserve">14.3%</t>
  </si>
  <si>
    <t xml:space="preserve">Risk weighted Capital Adequacy Ratio (CAR) 14.3% 16.0%</t>
  </si>
  <si>
    <t xml:space="preserve">Risk weighted Capital Adequacy Ratio (CAR) 14.3%; only ratio printed; transitional basis (Tier 1 includes IFRS 9 transitional adjustment 8,509); full-impact CAR not printed</t>
  </si>
  <si>
    <t xml:space="preserve">Same printed ratio 14.3% recorded as the transitional-basis CAR (IFRS 9 transitional adjustment 8,509 in Tier 1); see ECO18-CAR</t>
  </si>
  <si>
    <t xml:space="preserve">Manual transcription of row /INDEPENDENT/ from rendered page image.</t>
  </si>
  <si>
    <t xml:space="preserve">reports/pages/a6f8132ac9ec/p0058.png</t>
  </si>
  <si>
    <t xml:space="preserve">Independent auditor's report to the shareholders of Ecobank Nigeria Limited, PDF pp58-63, complete: Deloitte &amp; Touche, Joshua Ojo FRC/2013/ICAN/00000000849, dated 29 March 2019. Opinion: present fairly (unmodified). KAMs: loan loss impairment incl. off-balance-sheet (IFRS 9 first adoption); valuation of derivatives. No material-uncertainty section, no emphasis-of-matter or other-matter paragraph; going concern appears only in responsibilities boilerplate.</t>
  </si>
  <si>
    <t xml:space="preserve">5ae46cb182bafbf34fa94c891cd9db23d63088752ab1c5bdeb189090721eccf9</t>
  </si>
  <si>
    <t xml:space="preserve">reports/ecobank_nigeria/ecobank_nigeria_xs-be6229d851_5ae46cb182ba.pdf</t>
  </si>
  <si>
    <t xml:space="preserve">31 December 2019</t>
  </si>
  <si>
    <t xml:space="preserve">Total assets 1,991,040 1,927,889 1,956,830</t>
  </si>
  <si>
    <t xml:space="preserve">reports/pages/5ae46cb182ba/p0071.png</t>
  </si>
  <si>
    <t xml:space="preserve">SOFP Total assets 1,991,040</t>
  </si>
  <si>
    <t xml:space="preserve">2026-10-11T10:31:49+00:00</t>
  </si>
  <si>
    <t xml:space="preserve">Single-entity statements of Ecobank Nigeria Limited (no Group column); columns headed '31-Dec 2019' | 'Restated 31-Dec 2018' | '31-Dec 2018' (=N= million); 2019 column used</t>
  </si>
  <si>
    <t xml:space="preserve">Total liabilities 1,726,770 1,709,348 1,709,348</t>
  </si>
  <si>
    <t xml:space="preserve">SOFP Total liabilities 1,726,770</t>
  </si>
  <si>
    <t xml:space="preserve">Total equity 264,270 218,541 247,482</t>
  </si>
  <si>
    <t xml:space="preserve">SOFP Total equity 264,270; 1,726,770 + 264,270 = 1,991,040</t>
  </si>
  <si>
    <t xml:space="preserve">PROFIT/(LOSS) FOR THE YEAR 1,256 (1,786) 27,155</t>
  </si>
  <si>
    <t xml:space="preserve">reports/pages/5ae46cb182ba/p0070.png</t>
  </si>
  <si>
    <t xml:space="preserve">PROFIT/(LOSS) FOR THE YEAR 1,256</t>
  </si>
  <si>
    <t xml:space="preserve">Profit/(loss) before income tax 2,238 (1,420) 27,521</t>
  </si>
  <si>
    <t xml:space="preserve">Profit/(loss) before income tax 2,238</t>
  </si>
  <si>
    <t xml:space="preserve">Net cash from operating activities 49,052 31,235</t>
  </si>
  <si>
    <t xml:space="preserve">reports/pages/5ae46cb182ba/p0074.png</t>
  </si>
  <si>
    <t xml:space="preserve">Statement of cash flows: Net cash from operating activities 49,052 (first occurrence)</t>
  </si>
  <si>
    <t xml:space="preserve">Restated 31-Dec 2018</t>
  </si>
  <si>
    <t xml:space="preserve">prior-year comparative in 2019 report (labelled Restated)</t>
  </si>
  <si>
    <t xml:space="preserve">Prior-year column headed 'Restated 31-Dec 2018': Total assets 1,927,889 (restated per Note 44, CBN haircut on petroleum-marketer interest); the panel's own 2018 closing assets are the original 1,956,830</t>
  </si>
  <si>
    <t xml:space="preserve">Single-entity statements of Ecobank Nigeria Limited (no Group column); columns headed '31-Dec 2019' | 'Restated 31-Dec 2018' | '31-Dec 2018' (=N= million); 'Restated 31-Dec 2018' (prior-year) column used</t>
  </si>
  <si>
    <t xml:space="preserve">Impairment charge for losses 9 (2,704) (56,301) (27,360)</t>
  </si>
  <si>
    <t xml:space="preserve">Impairment charge for losses (2,704) (IFRS 9 ECL) Sign converted to expense-positive.</t>
  </si>
  <si>
    <t xml:space="preserve">Gross loans 428,380 266,187 218,515 913,082</t>
  </si>
  <si>
    <t xml:space="preserve">reports/pages/5ae46cb182ba/p0111.png</t>
  </si>
  <si>
    <t xml:space="preserve">Note 19.1 31 Dec 2019: Gross loans 913,082 (Stage 1 428,380 + Stage 2 266,187 + Stage 3 218,515)</t>
  </si>
  <si>
    <t xml:space="preserve">Expected credit loss allowance (4,078) (5,741) (91,657) (101,476)</t>
  </si>
  <si>
    <t xml:space="preserve">Note 19.1 Expected credit loss allowance (101,476); equals closing balance p112 Sign converted to expense-positive.</t>
  </si>
  <si>
    <t xml:space="preserve">Loans and advances to customers 19 811,606 813,534 842,475</t>
  </si>
  <si>
    <t xml:space="preserve">SOFP Loans and advances to customers 811,606 = 913,082 - 101,476</t>
  </si>
  <si>
    <t xml:space="preserve">Non-Performing 218,515 126,844</t>
  </si>
  <si>
    <t xml:space="preserve">Note 19.1: Non-Performing 218,515 (equals Stage 3 gross)</t>
  </si>
  <si>
    <t xml:space="preserve">Total regulatory capital 236,196 152,504 205,312</t>
  </si>
  <si>
    <t xml:space="preserve">reports/pages/5ae46cb182ba/p0170.png</t>
  </si>
  <si>
    <t xml:space="preserve">Capital: Total regulatory capital 236,196; Tier 1 includes IFRS 9 transitional adjustment 5,672</t>
  </si>
  <si>
    <t xml:space="preserve">Total risk-weighted assets 1,447,830 1,370,401 1,433,545</t>
  </si>
  <si>
    <t xml:space="preserve">Total risk-weighted assets 1,447,830</t>
  </si>
  <si>
    <t xml:space="preserve">16.31%</t>
  </si>
  <si>
    <t xml:space="preserve">Risk weighted Capital Adequacy Ratio (CAR) 16.31% 11.13% 14.3%</t>
  </si>
  <si>
    <t xml:space="preserve">CAR 16.31%; only ratio printed; transitional basis (Tier 1 includes IFRS 9 transitional adjustment 5,672)</t>
  </si>
  <si>
    <t xml:space="preserve">Same printed ratio 16.31% recorded as transitional-basis CAR; see ECO19-CAR</t>
  </si>
  <si>
    <t xml:space="preserve">reports/pages/5ae46cb182ba/p0064.png</t>
  </si>
  <si>
    <t xml:space="preserve">Independent auditor's report to the shareholders of Ecobank Nigeria Limited, PDF pp64-69, complete: Deloitte &amp; Touche, Joshua Ojo FRC/2013/ICAN/00000000849, dated 25 March 2020. Opinion: present fairly (unmodified). Emphasis of Matters: Note 44 restatement of certain balances (CBN haircut on petroleum-marketer interest) - not going-concern related. KAMs on ECL. No material-uncertainty section; going concern only in responsibilities boilerplate.</t>
  </si>
  <si>
    <t xml:space="preserve">7ea9eaada796767fbeff20932ef4270548de8f54bb024ea8ec35d7ddae9f46b1</t>
  </si>
  <si>
    <t xml:space="preserve">reports/ecobank_nigeria/ecobank_nigeria_xs-0dd4c49a7f_7ea9eaada796.pdf</t>
  </si>
  <si>
    <t xml:space="preserve">Total assets 2,186,712 1,991,040</t>
  </si>
  <si>
    <t xml:space="preserve">reports/pages/7ea9eaada796/p0081.png</t>
  </si>
  <si>
    <t xml:space="preserve">SOFP Total assets 2,186,712</t>
  </si>
  <si>
    <t xml:space="preserve">2026-10-11T10:31:58+00:00</t>
  </si>
  <si>
    <t xml:space="preserve">Single-entity statements of Ecobank Nigeria Limited (no Group column); columns headed '31 Dec 2020' | '31 Dec 2019' ('All amounts in millions of Naira'); 2020 column used</t>
  </si>
  <si>
    <t xml:space="preserve">Total liabilities 1,887,991 1,726,770</t>
  </si>
  <si>
    <t xml:space="preserve">SOFP Total liabilities 1,887,991</t>
  </si>
  <si>
    <t xml:space="preserve">Total equity 298,721 264,270</t>
  </si>
  <si>
    <t xml:space="preserve">SOFP Total equity 298,721; 1,887,991 + 298,721 = 2,186,712</t>
  </si>
  <si>
    <t xml:space="preserve">PROFIT FOR THE YEAR 8,087 1,256</t>
  </si>
  <si>
    <t xml:space="preserve">reports/pages/7ea9eaada796/p0080.png</t>
  </si>
  <si>
    <t xml:space="preserve">PROFIT FOR THE YEAR 8,087</t>
  </si>
  <si>
    <t xml:space="preserve">Profit before income tax 14 8,639 2,238</t>
  </si>
  <si>
    <t xml:space="preserve">Profit before income tax 8,639</t>
  </si>
  <si>
    <t xml:space="preserve">Net cash from operating activities (13,271) 49,052</t>
  </si>
  <si>
    <t xml:space="preserve">reports/pages/7ea9eaada796/p0084.png</t>
  </si>
  <si>
    <t xml:space="preserve">Statement of cash flows: Net cash from operating activities (13,271) (outflow; first occurrence)</t>
  </si>
  <si>
    <t xml:space="preserve">31 Dec 2019</t>
  </si>
  <si>
    <t xml:space="preserve">prior-year comparative in 2020 report (not restated)</t>
  </si>
  <si>
    <t xml:space="preserve">Prior-year (31 Dec 2019) column: Total assets 1,991,040; not labelled restated; equals the 2019 original (xs-be6229d851 p71)</t>
  </si>
  <si>
    <t xml:space="preserve">Single-entity statements of Ecobank Nigeria Limited (no Group column); columns headed '31 Dec 2020' | '31 Dec 2019' ('All amounts in millions of Naira'); 2019 (prior-year) column used</t>
  </si>
  <si>
    <t xml:space="preserve">Impairment charge for losses 9 (9,164) (2,704)</t>
  </si>
  <si>
    <t xml:space="preserve">Impairment charge for losses (9,164) (IFRS 9 ECL) Sign converted to expense-positive.</t>
  </si>
  <si>
    <t xml:space="preserve">Gross loans 537,673 258,315 197,204 993,191</t>
  </si>
  <si>
    <t xml:space="preserve">reports/pages/7ea9eaada796/p0115.png</t>
  </si>
  <si>
    <t xml:space="preserve">Note 19.1 31 Dec 2020: Gross loans 993,191 (Stage 1 537,673 + Stage 2 258,315 + Stage 3 197,204)</t>
  </si>
  <si>
    <t xml:space="preserve">Expected credit loss allowance (3,757) (24,826) (83,026) (111,609)</t>
  </si>
  <si>
    <t xml:space="preserve">Note 19.1 Expected credit loss allowance (111,609) Sign converted to expense-positive.</t>
  </si>
  <si>
    <t xml:space="preserve">Loans and advances to customers 19 881,582 811,606</t>
  </si>
  <si>
    <t xml:space="preserve">SOFP Loans and advances to customers 881,582 = 993,191 - 111,609</t>
  </si>
  <si>
    <t xml:space="preserve">Non-Performing 197,204 218,515</t>
  </si>
  <si>
    <t xml:space="preserve">Note 19.1: Non-Performing 197,204 (equals Stage 3 gross)</t>
  </si>
  <si>
    <t xml:space="preserve">Total regulatory capital 301,364 236,196</t>
  </si>
  <si>
    <t xml:space="preserve">reports/pages/7ea9eaada796/p0177.png</t>
  </si>
  <si>
    <t xml:space="preserve">Capital: Total regulatory capital 301,364; Tier 1 includes IFRS 9 transitional adjustment 2,836</t>
  </si>
  <si>
    <t xml:space="preserve">Total risk-weighted assets 1,405,676 1,447,830</t>
  </si>
  <si>
    <t xml:space="preserve">Total risk-weighted assets 1,405,676</t>
  </si>
  <si>
    <t xml:space="preserve">21.44%</t>
  </si>
  <si>
    <t xml:space="preserve">Risk weighted Capital Adequacy Ratio (CAR) 21.44% 16.31%</t>
  </si>
  <si>
    <t xml:space="preserve">CAR 21.44%; only ratio printed; transitional basis (IFRS 9 transitional adjustment 2,836 in Tier 1)</t>
  </si>
  <si>
    <t xml:space="preserve">Same printed ratio 21.44% recorded as transitional-basis CAR; see ECO20-CAR</t>
  </si>
  <si>
    <t xml:space="preserve">reports/pages/7ea9eaada796/p0072.png</t>
  </si>
  <si>
    <t xml:space="preserve">Independent auditor's report to the shareholders of Ecobank Nigeria Limited, PDF pp72-79, complete: Deloitte &amp; Touche, Yetunde Odetayo FRC/2013/ICAN/00000000823, dated 30 March 2021. Opinion: true and fair (unmodified). KAMs on ECL and derivatives. No material-uncertainty section, no emphasis-of-matter or other-matter paragraph.</t>
  </si>
  <si>
    <t xml:space="preserve">27093d89d74bfb46bc6052e6e8862e7d91911546b9f42915fbb73aa975d263fd</t>
  </si>
  <si>
    <t xml:space="preserve">reports/ecobank_nigeria/ecobank_nigeria_xs-cce620f771_27093d89d74b.pdf</t>
  </si>
  <si>
    <t xml:space="preserve">31 December 2021</t>
  </si>
  <si>
    <t xml:space="preserve">Total assets 2,475,079 2,186,711</t>
  </si>
  <si>
    <t xml:space="preserve">reports/pages/27093d89d74b/p0086.png</t>
  </si>
  <si>
    <t xml:space="preserve">SOFP Total assets 2,475,079</t>
  </si>
  <si>
    <t xml:space="preserve">2026-10-11T10:32:00+00:00</t>
  </si>
  <si>
    <t xml:space="preserve">Single-entity statements of Ecobank Nigeria Limited (no Group column); columns headed '31 Dec 2021' | '31 Dec 2020' ('In millions of Nigerian Naira'); 2021 column used</t>
  </si>
  <si>
    <t xml:space="preserve">Total liabilities 2,196,302 1,887,989</t>
  </si>
  <si>
    <t xml:space="preserve">SOFP Total liabilities 2,196,302</t>
  </si>
  <si>
    <t xml:space="preserve">Total equity 278,777 298,722</t>
  </si>
  <si>
    <t xml:space="preserve">SOFP Total equity 278,777; 2,196,302 + 278,777 = 2,475,079</t>
  </si>
  <si>
    <t xml:space="preserve">Profit for the year 9,766 8,087</t>
  </si>
  <si>
    <t xml:space="preserve">reports/pages/27093d89d74b/p0084.png</t>
  </si>
  <si>
    <t xml:space="preserve">Profit for the year 9,766</t>
  </si>
  <si>
    <t xml:space="preserve">Profit before income tax 10,676 8,639</t>
  </si>
  <si>
    <t xml:space="preserve">Profit before income tax 10,676</t>
  </si>
  <si>
    <t xml:space="preserve">Net cash flows used in operating activities (86,740) (13,436)</t>
  </si>
  <si>
    <t xml:space="preserve">reports/pages/27093d89d74b/p0089.png</t>
  </si>
  <si>
    <t xml:space="preserve">Statement of cash flows: Net cash flows used in operating activities (86,740) (outflow)</t>
  </si>
  <si>
    <t xml:space="preserve">31 Dec 2020</t>
  </si>
  <si>
    <t xml:space="preserve">prior-year comparative in 2021 report (not restated)</t>
  </si>
  <si>
    <t xml:space="preserve">Prior-year (31 Dec 2020) column: Total assets 2,186,711, not labelled restated; the 2020 original prints 2,186,712 (1 million rounding)</t>
  </si>
  <si>
    <t xml:space="preserve">Single-entity statements of Ecobank Nigeria Limited (no Group column); columns headed '31 Dec 2021' | '31 Dec 2020' ('In millions of Nigerian Naira'); 2020 (prior-year) column used</t>
  </si>
  <si>
    <t xml:space="preserve">Credit loss expense on financial assets 14 (7,041) (9,164)</t>
  </si>
  <si>
    <t xml:space="preserve">Credit loss expense on financial assets (7,041) (IFRS 9 ECL; same line as 'Impairment charge for losses' in earlier years) Sign converted to expense-positive.</t>
  </si>
  <si>
    <t xml:space="preserve">1,113,022 993,191</t>
  </si>
  <si>
    <t xml:space="preserve">reports/pages/27093d89d74b/p0124.png</t>
  </si>
  <si>
    <t xml:space="preserve">Note 24 unlabelled 31 Dec 2021 total of overdrafts 114,990 + term loans 991,688 + other lines: 1,113,022; also equals Performing 931,068 + Non-Performing 181,954 (printed page 124)</t>
  </si>
  <si>
    <t xml:space="preserve">Less: Allowance for ECL (97,419) (111,609)</t>
  </si>
  <si>
    <t xml:space="preserve">Note 24: Less: Allowance for ECL (97,419); 1,113,022 - 97,419 = 1,015,603 Sign converted to expense-positive.</t>
  </si>
  <si>
    <t xml:space="preserve">Loans and advances to customers 24 1,015,603 881,582</t>
  </si>
  <si>
    <t xml:space="preserve">SOFP Loans and advances to customers 1,015,603</t>
  </si>
  <si>
    <t xml:space="preserve">Non-Performing 181,954 197,204</t>
  </si>
  <si>
    <t xml:space="preserve">Note 24 gross analysis: Non-Performing 181,954 (first occurrence; second block is net of ECL)</t>
  </si>
  <si>
    <t xml:space="preserve">Total eligible capital 170,600 326,251</t>
  </si>
  <si>
    <t xml:space="preserve">reports/pages/27093d89d74b/p0198.png</t>
  </si>
  <si>
    <t xml:space="preserve">Capital: Total eligible capital 170,600 (IFRS 9 transitional adjustment nil in 2021)</t>
  </si>
  <si>
    <t xml:space="preserve">Total risk-weighted assets 1,486,056 1,405,674</t>
  </si>
  <si>
    <t xml:space="preserve">Total risk-weighted assets 1,486,056</t>
  </si>
  <si>
    <t xml:space="preserve">11.48%</t>
  </si>
  <si>
    <t xml:space="preserve">Risk weighted Capital Adequacy Ratio (CAR) 11.48% 23.21%</t>
  </si>
  <si>
    <t xml:space="preserve">CAR 11.48% (no transitional add-back in 2021)</t>
  </si>
  <si>
    <t xml:space="preserve">reports/pages/27093d89d74b/p0078.png</t>
  </si>
  <si>
    <t xml:space="preserve">Independent auditor's report to the shareholders of Ecobank Nigeria Limited, PDF pp78-83, complete: Ernst &amp; Young, Oluwasayo Elumaro FRC/2012/ICAN/000000139, dated 26 April 2022. Opinion: true and fair (unmodified). KAMs: ECL on loans; valuation of unquoted equity. No material-uncertainty section, no emphasis-of-matter or other-matter paragraph.</t>
  </si>
  <si>
    <t xml:space="preserve">d17a555d339efa890fd9d1b8dc0b1b07b82fbe3e5a85ff4a47fa41f3495afe01</t>
  </si>
  <si>
    <t xml:space="preserve">reports/ecobank_nigeria/ecobank_nigeria_xs-932212298e_d17a555d339e.pdf</t>
  </si>
  <si>
    <t xml:space="preserve">31 December 2022</t>
  </si>
  <si>
    <t xml:space="preserve">Total assets 2,917,689 2,475,079</t>
  </si>
  <si>
    <t xml:space="preserve">reports/pages/d17a555d339e/p0076.png</t>
  </si>
  <si>
    <t xml:space="preserve">SOFP Total assets 2,917,689</t>
  </si>
  <si>
    <t xml:space="preserve">2026-10-11T10:32:13+00:00</t>
  </si>
  <si>
    <t xml:space="preserve">Single-entity statements of Ecobank Nigeria Limited (no Group column); columns headed '31-Dec 2022' | '31-Dec 2021' ('In millions of Nigerian Naira'); 2022 column used</t>
  </si>
  <si>
    <t xml:space="preserve">Total liabilities 2,623,076 2,196,302</t>
  </si>
  <si>
    <t xml:space="preserve">SOFP Total liabilities 2,623,076</t>
  </si>
  <si>
    <t xml:space="preserve">Total equity 294,613 278,777</t>
  </si>
  <si>
    <t xml:space="preserve">SOFP Total equity 294,613; 2,623,076 + 294,613 = 2,917,689</t>
  </si>
  <si>
    <t xml:space="preserve">Profit for the year 10,396 9,766</t>
  </si>
  <si>
    <t xml:space="preserve">reports/pages/d17a555d339e/p0074.png</t>
  </si>
  <si>
    <t xml:space="preserve">Profit for the year 10,396</t>
  </si>
  <si>
    <t xml:space="preserve">Profit before income tax 12,396 10,676</t>
  </si>
  <si>
    <t xml:space="preserve">Profit before income tax 12,396</t>
  </si>
  <si>
    <t xml:space="preserve">Net cash flows used in operating activities (75,642) (98,241)</t>
  </si>
  <si>
    <t xml:space="preserve">reports/pages/d17a555d339e/p0080.png</t>
  </si>
  <si>
    <t xml:space="preserve">Statement of cash flows: Net cash flows used in operating activities (75,642) (outflow). 2021 comparative (98,241) differs from the 2021 original (86,740): comparatives marked '*' (reclassified); original retained for 2021</t>
  </si>
  <si>
    <t xml:space="preserve">prior-year comparative in 2022 report (balance sheet total not restated)</t>
  </si>
  <si>
    <t xml:space="preserve">Prior-year (31-Dec 2021) column: Total assets 2,475,079; equals the 2021 original (xs-cce620f771 p86)</t>
  </si>
  <si>
    <t xml:space="preserve">Single-entity statements of Ecobank Nigeria Limited (no Group column); columns headed '31-Dec 2022' | '31-Dec 2021' ('In millions of Nigerian Naira'); 2021 (prior-year) column used</t>
  </si>
  <si>
    <t xml:space="preserve">Credit loss expense on financial assets 14 (12,377) (7,041)</t>
  </si>
  <si>
    <t xml:space="preserve">Credit loss expense on financial assets (12,377) (IFRS 9 ECL) Sign converted to expense-positive.</t>
  </si>
  <si>
    <t xml:space="preserve">1,190,306 1,113,022</t>
  </si>
  <si>
    <t xml:space="preserve">reports/pages/d17a555d339e/p0110.png</t>
  </si>
  <si>
    <t xml:space="preserve">Note 24 unlabelled 31 Dec 2022 total: overdrafts 100,037 + term loans 1,087,616 + other = 1,190,306; equals Performing 1,107,957 + Non-Performing 82,348 (printed page 110)</t>
  </si>
  <si>
    <t xml:space="preserve">Less: Allowance for ECL (62,880) (97,419)</t>
  </si>
  <si>
    <t xml:space="preserve">Note 24: Less: Allowance for ECL (62,880); 1,190,306 - 62,880 = 1,127,426 Sign converted to expense-positive.</t>
  </si>
  <si>
    <t xml:space="preserve">Loans and advances to customers 24 1,127,426 1,015,603</t>
  </si>
  <si>
    <t xml:space="preserve">SOFP Loans and advances to customers 1,127,426</t>
  </si>
  <si>
    <t xml:space="preserve">Non-Performing 82,348 181,954</t>
  </si>
  <si>
    <t xml:space="preserve">Note 24 gross analysis: Non-Performing 82,348 (first occurrence)</t>
  </si>
  <si>
    <t xml:space="preserve">Total eligible capital 232,070 170,600</t>
  </si>
  <si>
    <t xml:space="preserve">reports/pages/d17a555d339e/p0184.png</t>
  </si>
  <si>
    <t xml:space="preserve">Capital management note 54: Total eligible capital 232,070 (Tier 1 179,319)</t>
  </si>
  <si>
    <t xml:space="preserve">Total risk-weighted assets 1,748,560 1,486,055</t>
  </si>
  <si>
    <t xml:space="preserve">Total risk-weighted assets 1,748,560</t>
  </si>
  <si>
    <t xml:space="preserve">13.27%</t>
  </si>
  <si>
    <t xml:space="preserve">Risk weighted Capital Adequacy Ratio (CAR) 13.27% 11.48%</t>
  </si>
  <si>
    <t xml:space="preserve">CAR 13.27%</t>
  </si>
  <si>
    <t xml:space="preserve">reports/pages/d17a555d339e/p0068.png</t>
  </si>
  <si>
    <t xml:space="preserve">Independent auditor's report to the shareholders of Ecobank Nigeria Limited, PDF pp68-72, complete: Ernst &amp; Young, Oluwasayo Elumaro FRC/2012/ICAN/000000139, dated 11 April 2023 (printed 'll April 2023'). Opinion: true and fair (unmodified). KAMs on ECL. No material-uncertainty section, no emphasis-of-matter or other-matter paragraph.</t>
  </si>
  <si>
    <t xml:space="preserve">47d10c27b3902a8e2780526e52f67a02aca11a648e1ba827952de3b82ccb5251</t>
  </si>
  <si>
    <t xml:space="preserve">reports/gtbank/gtbank_xs-ac933e7f2f_47d10c27b390.pdf</t>
  </si>
  <si>
    <t xml:space="preserve">Parent Dec-2015</t>
  </si>
  <si>
    <t xml:space="preserve">Total assets 2,524,593,709 2,355,876,526 2,102,846,415 2,277,629,224 2,126,608,312 1,904,365,795</t>
  </si>
  <si>
    <t xml:space="preserve">reports/pages/47d10c27b390/p0054.png</t>
  </si>
  <si>
    <t xml:space="preserve">SOFP Parent Total assets 2,277,629,224</t>
  </si>
  <si>
    <t xml:space="preserve">2026-10-11T10:32:16+00:00</t>
  </si>
  <si>
    <t xml:space="preserve">Columns 'Group' | 'Group1' | 'Group1' | 'Parent' | 'Parent1' | 'Parent1' over 'Dec-2015' | 'Dec-2014' | 'Jan-2014' ('In thousands of Nigerian Naira'; 1 = Restated, note 49); Parent = Guaranty Trust Bank Plc, the operating bank (pre-GTCO); Parent Dec-2015 column used</t>
  </si>
  <si>
    <t xml:space="preserve">Total liabilities 2,111,031,771 1,991,162,228 1,775,850,768 1,872,020,876 1,766,696,236 1,580,076,537</t>
  </si>
  <si>
    <t xml:space="preserve">SOFP Parent Total liabilities 1,872,020,876</t>
  </si>
  <si>
    <t xml:space="preserve">Total equity 413,561,938 364,714,298 326,995,647 405,608,348 359,912,076 324,289,258</t>
  </si>
  <si>
    <t xml:space="preserve">reports/pages/47d10c27b390/p0055.png</t>
  </si>
  <si>
    <t xml:space="preserve">SOFP Parent Total equity 405,608,348; 1,872,020,876 + 405,608,348 = 2,277,629,224</t>
  </si>
  <si>
    <t xml:space="preserve">Profit for the year 99,436,881 94,434,092 94,308,123 89,170,777</t>
  </si>
  <si>
    <t xml:space="preserve">reports/pages/47d10c27b390/p0056.png</t>
  </si>
  <si>
    <t xml:space="preserve">Income statement Parent Profit for the year 94,308,123</t>
  </si>
  <si>
    <t xml:space="preserve">Profit before income tax 120,694,804 116,385,843 113,027,057 110,367,851</t>
  </si>
  <si>
    <t xml:space="preserve">Parent Profit before income tax 113,027,057</t>
  </si>
  <si>
    <t xml:space="preserve">Net cash/(used in) provided by operating activities 28,473,155 (42,388,958) 10,429,148 (87,583,118)</t>
  </si>
  <si>
    <t xml:space="preserve">reports/pages/47d10c27b390/p0062.png</t>
  </si>
  <si>
    <t xml:space="preserve">Statement of cash flows Parent Net cash provided by operating activities 10,429,148</t>
  </si>
  <si>
    <t xml:space="preserve">Parent Dec-2014 (Restated)</t>
  </si>
  <si>
    <t xml:space="preserve">prior-year comparative in 2015 report (labelled Restated)</t>
  </si>
  <si>
    <t xml:space="preserve">Prior-year column 'Parent1 Dec-2014' (1 = Restated, note 49 reporting changes): Total assets 2,126,608,312</t>
  </si>
  <si>
    <t xml:space="preserve">Columns 'Group' | 'Group1' | 'Group1' | 'Parent' | 'Parent1' | 'Parent1' over 'Dec-2015' | 'Dec-2014' | 'Jan-2014' ('In thousands of Nigerian Naira'; 1 = Restated, note 49); Parent = Guaranty Trust Bank Plc, the operating bank (pre-GTCO); Parent Dec-2014 (Restated) column used</t>
  </si>
  <si>
    <t xml:space="preserve">Loan impairment charges 11 (12,408,194) (7,098,448) (11,769,374) (6,184,289)</t>
  </si>
  <si>
    <t xml:space="preserve">Parent Loan impairment charges (11,769,374); Parent 'Net impairment on financial assets' printed '-' for Dec-2015, so total impairment equals the loan charge (same composition as GTB17-TI) Sign converted to expense-positive.</t>
  </si>
  <si>
    <t xml:space="preserve">GTB15-GLI</t>
  </si>
  <si>
    <t xml:space="preserve">Gross loans 107,035,547 87,842,820 78,456,917 71,132,669</t>
  </si>
  <si>
    <t xml:space="preserve">reports/pages/47d10c27b390/p0255.png</t>
  </si>
  <si>
    <t xml:space="preserve">Note 29 Parent Dec-2015 loans to individuals: Gross loans 78,456,917 (printed page 251)</t>
  </si>
  <si>
    <t xml:space="preserve">GTB15-ALI</t>
  </si>
  <si>
    <t xml:space="preserve">Total impairment (1,246,158) (1,035,341) (809,643) (681,423)</t>
  </si>
  <si>
    <t xml:space="preserve">Note 29 Parent individuals Total impairment (809,643) = specific 138,049 + collective 671,594 Sign converted to expense-positive.</t>
  </si>
  <si>
    <t xml:space="preserve">GTB15-GLN</t>
  </si>
  <si>
    <t xml:space="preserve">Gross loans 1,295,239,018 1,218,458,566 1,213,059,311 1,137,319,376</t>
  </si>
  <si>
    <t xml:space="preserve">Note 29 Parent Dec-2015 loans to non-individuals: Gross loans 1,213,059,311 (second occurrence)</t>
  </si>
  <si>
    <t xml:space="preserve">GTB15-ALN</t>
  </si>
  <si>
    <t xml:space="preserve">Total impairment (29,102,860) (29,584,910) (25,499,142) (25,376,748)</t>
  </si>
  <si>
    <t xml:space="preserve">reports/pages/47d10c27b390/p0256.png</t>
  </si>
  <si>
    <t xml:space="preserve">Note 29 Parent non-individuals Total impairment (25,499,142) = specific 18,781,373 + collective 6,717,769 Sign converted to expense-positive.</t>
  </si>
  <si>
    <t xml:space="preserve">Loans and advances to customers 4, 8, 29 1,371,925,547 1,275,681,135 1,002,370,638 1,265,207,443 1,182,393,874 926,967,093</t>
  </si>
  <si>
    <t xml:space="preserve">SOFP Parent Loans and advances to customers 1,265,207,443</t>
  </si>
  <si>
    <t xml:space="preserve">Total Qualifying Capital (C= A+B) 333,426,139 298,633,286</t>
  </si>
  <si>
    <t xml:space="preserve">reports/pages/47d10c27b390/p0201.png</t>
  </si>
  <si>
    <t xml:space="preserve">Capital adequacy ratio table headed 'Bank': Total Qualifying Capital (C=A+B) 333,426,139 (printed page 197)</t>
  </si>
  <si>
    <t xml:space="preserve">Aggregate Risk-Weighted Assets 1,835,072,113 1,395,662,310</t>
  </si>
  <si>
    <t xml:space="preserve">Bank Aggregate Risk-Weighted Assets 1,835,072,113 (credit 1,505,103,910 + operational 325,137,398 + market 4,830,805)</t>
  </si>
  <si>
    <t xml:space="preserve">18.17%</t>
  </si>
  <si>
    <t xml:space="preserve">Total Risk-Weighted Capital Ratio 18.17% 21.40%</t>
  </si>
  <si>
    <t xml:space="preserve">Bank Total Risk-Weighted Capital Ratio 18.17% (first occurrence; recomputes 333,426,139 / 1,835,072,113 = 18.17%). Narrative on p200 says 18.11%: internal inconsistency in the source, table value used</t>
  </si>
  <si>
    <t xml:space="preserve">Auditor's report on the separate and consolidated financial statements of Guaranty Trust Bank Plc</t>
  </si>
  <si>
    <t xml:space="preserve">Manual transcription of row /REPORT/ from rendered page image.</t>
  </si>
  <si>
    <t xml:space="preserve">reports/pages/47d10c27b390/p0051.png</t>
  </si>
  <si>
    <t xml:space="preserve">Report of the independent auditor to the members of Guaranty Trust Bank Plc, PDF pp51-52 (image pages, transcribed from 110-dpi renders), complete: PricewaterhouseCoopers, Daniel Asapokhai FRC/2013/ICAN/00000000946, dated 25 February 2016. Opinion on the separate and consolidated financial statements: true and fair view of the bank and the group (unmodified). No material-uncertainty, emphasis-of-matter or other-matter paragraph; legal section notes CBN contraventions (Note 47).</t>
  </si>
  <si>
    <t xml:space="preserve">cda644088d573fff91941def87cf9f309b9e505f2f721ecce5705b255bb469fb</t>
  </si>
  <si>
    <t xml:space="preserve">reports/gtbank/gtbank_xs-b786ea3289_cda644088d57.pdf</t>
  </si>
  <si>
    <t xml:space="preserve">Parent Dec-2016</t>
  </si>
  <si>
    <t xml:space="preserve">Total assets 3,116,393,439 2,524,593,709 2,613,340,074 2,277,629,224</t>
  </si>
  <si>
    <t xml:space="preserve">reports/pages/cda644088d57/p0078.png</t>
  </si>
  <si>
    <t xml:space="preserve">SOFP Parent Total assets 2,613,340,074 (printed page 77)</t>
  </si>
  <si>
    <t xml:space="preserve">2026-10-11T10:32:17+00:00</t>
  </si>
  <si>
    <t xml:space="preserve">Columns 'Group' | 'Group' | 'Parent' | 'Parent' over 'Dec-2016' | 'Dec-2015' ('In thousands of Nigerian Naira'); Parent = Guaranty Trust Bank Plc, the operating bank (pre-GTCO); Parent Dec-2016 column used</t>
  </si>
  <si>
    <t xml:space="preserve">Total liabilities 2,611,490,604 2,111,031,771 2,136,422,221 1,872,020,876</t>
  </si>
  <si>
    <t xml:space="preserve">SOFP Parent Total liabilities 2,136,422,221</t>
  </si>
  <si>
    <t xml:space="preserve">Total equity 504,902,835 413,561,938 476,917,853 405,608,348</t>
  </si>
  <si>
    <t xml:space="preserve">reports/pages/cda644088d57/p0079.png</t>
  </si>
  <si>
    <t xml:space="preserve">SOFP Parent Total equity 476,917,853; 2,136,422,221 + 476,917,853 = 2,613,340,074</t>
  </si>
  <si>
    <t xml:space="preserve">Profit for the year 132,280,655 99,436,881 126,836,792 94,308,123</t>
  </si>
  <si>
    <t xml:space="preserve">reports/pages/cda644088d57/p0080.png</t>
  </si>
  <si>
    <t xml:space="preserve">Income statement Parent Profit for the year 126,836,792</t>
  </si>
  <si>
    <t xml:space="preserve">Profit before income tax 165,136,461 120,694,804 154,005,487 113,027,057</t>
  </si>
  <si>
    <t xml:space="preserve">Parent Profit before income tax 154,005,487</t>
  </si>
  <si>
    <t xml:space="preserve">Net cash/(used in) provided by operating activities 510,964,782 28,473,155 286,884,139 10,429,148</t>
  </si>
  <si>
    <t xml:space="preserve">reports/pages/cda644088d57/p0086.png</t>
  </si>
  <si>
    <t xml:space="preserve">Statement of cash flows Parent Net cash provided by operating activities 286,884,139</t>
  </si>
  <si>
    <t xml:space="preserve">prior-year comparative in 2016 report (not restated)</t>
  </si>
  <si>
    <t xml:space="preserve">Prior-year (Parent Dec-2015) column: Total assets 2,277,629,224; not labelled restated; equals the 2015 original (xs-ac933e7f2f p54)</t>
  </si>
  <si>
    <t xml:space="preserve">Columns 'Group' | 'Group' | 'Parent' | 'Parent' over 'Dec-2016' | 'Dec-2015' ('In thousands of Nigerian Naira'); Parent = Guaranty Trust Bank Plc, the operating bank (pre-GTCO); Parent Dec-2015 (prior-year) column used</t>
  </si>
  <si>
    <t xml:space="preserve">Loan impairment charges 11 (65,290,310) (12,408,194) (63,542,640) (11,769,374)</t>
  </si>
  <si>
    <t xml:space="preserve">Parent Loan impairment charges (63,542,640); no separate impairment line on other financial assets printed in the 2016 income statement Sign converted to expense-positive.</t>
  </si>
  <si>
    <t xml:space="preserve">GTB16-GLI</t>
  </si>
  <si>
    <t xml:space="preserve">Gross loans 157,928,292 107,035,547 113,567,868 78,456,917</t>
  </si>
  <si>
    <t xml:space="preserve">reports/pages/cda644088d57/p0257.png</t>
  </si>
  <si>
    <t xml:space="preserve">Note 29 Parent Dec-2016 individuals: Gross loans 113,567,868 (printed page 256)</t>
  </si>
  <si>
    <t xml:space="preserve">GTB16-ALI</t>
  </si>
  <si>
    <t xml:space="preserve">Total impairment (3,220,499) (1,246,158) (2,080,890) (809,643)</t>
  </si>
  <si>
    <t xml:space="preserve">Note 29 Parent individuals Total impairment (2,080,890) Sign converted to expense-positive.</t>
  </si>
  <si>
    <t xml:space="preserve">GTB16-GLN</t>
  </si>
  <si>
    <t xml:space="preserve">Gross loans 1,512,149,379 1,295,239,018 1,377,549,848 1,213,059,311</t>
  </si>
  <si>
    <t xml:space="preserve">Note 29 Parent non-individuals: Gross loans 1,377,549,848 (second occurrence)</t>
  </si>
  <si>
    <t xml:space="preserve">GTB16-ALN</t>
  </si>
  <si>
    <t xml:space="preserve">Total impairment (77,427,338) (29,102,860) (71,818,874) (25,499,142)</t>
  </si>
  <si>
    <t xml:space="preserve">Note 29 Parent non-individuals Total impairment (71,818,874) (second occurrence) Sign converted to expense-positive.</t>
  </si>
  <si>
    <t xml:space="preserve">Loans and advances to customers 4, 8, 29 1,589,429,834 1,371,925,547 1,417,217,952 1,265,207,443</t>
  </si>
  <si>
    <t xml:space="preserve">SOFP Parent Loans and advances to customers 1,417,217,952</t>
  </si>
  <si>
    <t xml:space="preserve">Total Qualifying Capital (C= A+B) 405,526,626 333,426,139</t>
  </si>
  <si>
    <t xml:space="preserve">reports/pages/cda644088d57/p0213.png</t>
  </si>
  <si>
    <t xml:space="preserve">Capital adequacy table headed 'Bank': Total Qualifying Capital (C=A+B) 405,526,626 (printed page 212)</t>
  </si>
  <si>
    <t xml:space="preserve">Aggregate Risk-Weighted Assets 2,049,087,592 1,835,072,113</t>
  </si>
  <si>
    <t xml:space="preserve">Bank Aggregate Risk-Weighted Assets 2,049,087,592</t>
  </si>
  <si>
    <t xml:space="preserve">19.79%</t>
  </si>
  <si>
    <t xml:space="preserve">Total Risk-Weighted Capital Ratio 19.79% 18.17%</t>
  </si>
  <si>
    <t xml:space="preserve">Bank Total Risk-Weighted Capital Ratio 19.79% (405,526,626 / 2,049,087,592 = 19.79%)</t>
  </si>
  <si>
    <t xml:space="preserve">Auditor's report on the consolidated and separate financial statements of Guaranty Trust Bank Plc</t>
  </si>
  <si>
    <t xml:space="preserve">Manual transcription of row /Our opinion/ from rendered page image.</t>
  </si>
  <si>
    <t xml:space="preserve">reports/pages/cda644088d57/p0071.png</t>
  </si>
  <si>
    <t xml:space="preserve">Independent auditor's report to the members of Guaranty Trust Bank Plc, PDF pp71-76 (printed 70-75), complete from 'Our opinion' to signature: PricewaterhouseCoopers, Obioma Ubah FRC/2013/ICAN/00000002002, dated 2 March 2017. Opinion on the consolidated and separate financial statements (unmodified). KAMs on loan impairment; no material-uncertainty section, no emphasis-of-matter or other-matter paragraph. Source is the AnnualReports.com mirror (issuer URL returns 404).</t>
  </si>
  <si>
    <t xml:space="preserve">Operating bank (GT Bank Nigeria column of 'Condensed results of consolidated entities' in the audited GTCO HoldCo annual report)</t>
  </si>
  <si>
    <t xml:space="preserve">2a76582069737367dea48e6053a325e346e7ac96eebca8b30090c3aa11bcf8e3</t>
  </si>
  <si>
    <t xml:space="preserve">reports/gtbank/gtbank_xs-66a266c90d_2a7658206973.pdf</t>
  </si>
  <si>
    <t xml:space="preserve">GT Bank Nigeria Dec-2021</t>
  </si>
  <si>
    <t xml:space="preserve">Bank Nigeria 303,977,853 (123,767,504) (4,088,901) 176,121,448 (29,937,381) 146,184,067 Bank Nigeria 588,572,038 115,014 1,475,674,160 42,643,770</t>
  </si>
  <si>
    <t xml:space="preserve">reports/pages/2a7658206973/p0244.png</t>
  </si>
  <si>
    <t xml:space="preserve">Condensed full-year profit and loss, GT Bank Nigeria: Profit after tax 146,184,067</t>
  </si>
  <si>
    <t xml:space="preserve">2026-10-11T07:40:33+00:00</t>
  </si>
  <si>
    <t xml:space="preserve">holding_company_report</t>
  </si>
  <si>
    <t xml:space="preserve">bank_subsidiary_disclosure</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</si>
  <si>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Dec-2021. Entity-only scope: the column carries 'Investment in subsidiaries' 56,903,032 (foreign subsidiaries held at cost, not consolidated); the same report's Dec-2020 column (pp248-250) reproduces Guaranty Trust Bank Plc's own audited 2020 Parent statements exactly (PAT 178,188,398; PBT 205,130,559; total assets 4,061,543,605; net loans 1,410,577,734; OCF 327,793,446). Basis: audited HoldCo package - explicit operating-bank subsidiary disclosure; Guaranty Trust Bank Ltd issued no standalone annual report in this set.</t>
  </si>
  <si>
    <t xml:space="preserve">GT Bank Nigeria Profit before tax 176,121,448</t>
  </si>
  <si>
    <t xml:space="preserve">GT Bank Nigeria Loan impairment charges (4,088,901). Loan charge only: not used as total impairment because the 2020 condensed loan charge (13,667,341) differs from the bank's 2020 audited total impairment (10,555,467) Sign converted to expense-positive.</t>
  </si>
  <si>
    <t xml:space="preserve">Condensed financial position, GT Bank Nigeria: Loans and advances to customers 1,475,674,160</t>
  </si>
  <si>
    <t xml:space="preserve">162,911,719 651,174,123 24,913,435 56,903,032 68,430,170 1,099,888,166 176,560,154 9,247,353 - 4,357,033,134 658,166 3,235,602,200 - 1,580,971 19,553,720 200,258,619 146,965,178 5,578,697 3,610,197,551 746,835,583 4,357,033,134</t>
  </si>
  <si>
    <t xml:space="preserve">reports/pages/2a7658206973/p0245.png</t>
  </si>
  <si>
    <t xml:space="preserve">Condensed financial position (continued), first entity line = GT Bank Nigeria (column order as on p244, confirmed on 130-dpi render): Total assets 4,357,033,134</t>
  </si>
  <si>
    <t xml:space="preserve">GT Bank Nigeria Total liabilities 3,610,197,551</t>
  </si>
  <si>
    <t xml:space="preserve">GT Bank Nigeria Equity and reserve 746,835,583; 3,610,197,551 + 746,835,583 = 4,357,033,134</t>
  </si>
  <si>
    <t xml:space="preserve">Bank Nigeria 364,670,769 (207,262,743) (57,411,809) 99,996,217 465,299,211 2,611,354 567,906,782</t>
  </si>
  <si>
    <t xml:space="preserve">reports/pages/2a7658206973/p0246.png</t>
  </si>
  <si>
    <t xml:space="preserve">Condensed cash flow Dec-2021, GT Bank Nigeria: net cash from operating activities 364,670,769</t>
  </si>
  <si>
    <t xml:space="preserve">GT Bank Nigeria Dec-2020</t>
  </si>
  <si>
    <t xml:space="preserve">prior-year condensed column in the 2021 HoldCo report</t>
  </si>
  <si>
    <t xml:space="preserve">Bank Nigeria 493,209,016 39,749 1,410,577,734 26,448,550 36,226,876 - 600,206,211 77,820,332 56,903,032 61,955,975 1,160,172,271 128,689,540 9,294,319 - 4,061,543,605</t>
  </si>
  <si>
    <t xml:space="preserve">reports/pages/2a7658206973/p0249.png</t>
  </si>
  <si>
    <t xml:space="preserve">Same report, condensed financial position Dec-2020, GT Bank Nigeria Total assets 4,061,543,605 (= GTBank Plc 2020 audited Parent total assets)</t>
  </si>
  <si>
    <t xml:space="preserve">0a8acebfc460dba55902634b2268fa89e534a9cd65eb17c9fcc9df8654c3b490</t>
  </si>
  <si>
    <t xml:space="preserve">reports/gtbank/gtbank_xs-cf5faa1264_0a8acebfc460.pdf</t>
  </si>
  <si>
    <t xml:space="preserve">GT Bank Nigeria Dec-2022</t>
  </si>
  <si>
    <t xml:space="preserve">Bank Nigeria 340,912,155 (151,346,732) (8,937,161) 180,628,262 (35,332,051) 145,296,211 Bank Nigeria 1,158,889,194 54,765 1,577,191,692 121,100,236</t>
  </si>
  <si>
    <t xml:space="preserve">reports/pages/0a8acebfc460/p0255.png</t>
  </si>
  <si>
    <t xml:space="preserve">Condensed full-year profit and loss, GT Bank Nigeria: Profit after tax 145,296,211</t>
  </si>
  <si>
    <t xml:space="preserve">2026-10-11T07:40:34+00:00</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</si>
  <si>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Dec-2022. Entity-only scope: the column carries 'Investment in subsidiaries' 57,595,367 (foreign subsidiaries held at cost, not consolidated); the 2022 report's Dec-2021 column (pp259-261) equals the 2021 report's GT Bank Nigeria figures (PAT 146,184,067; total assets 4,357,033,134). Basis: audited HoldCo package - explicit operating-bank subsidiary disclosure; Guaranty Trust Bank Ltd issued no standalone annual report in this set.</t>
  </si>
  <si>
    <t xml:space="preserve">GT Bank Nigeria Profit before tax 180,628,262</t>
  </si>
  <si>
    <t xml:space="preserve">GT Bank Nigeria Loan impairment charges (8,937,161); loan charge only, not used as total impairment (see GTB21-LI) Sign converted to expense-positive.</t>
  </si>
  <si>
    <t xml:space="preserve">Condensed financial position, GT Bank Nigeria: Loans and advances to customers 1,577,191,692</t>
  </si>
  <si>
    <t xml:space="preserve">242,427,005 564,639,326 33,913,351 57,595,367 71,657,322 1,201,213,842 171,453,365 8,441,368 - 5,208,576,833 480,474 3,550,818,948 1,830,228 4,367,494 33,759,991 685,199,709 126,225,654 9,942,048 4,412,624,546 795,952,287 5,208,576,833</t>
  </si>
  <si>
    <t xml:space="preserve">reports/pages/0a8acebfc460/p0256.png</t>
  </si>
  <si>
    <t xml:space="preserve">Condensed financial position (continued), first entity line = GT Bank Nigeria (confirmed on 130-dpi render): Total assets 5,208,576,833</t>
  </si>
  <si>
    <t xml:space="preserve">GT Bank Nigeria Total liabilities 4,412,624,546</t>
  </si>
  <si>
    <t xml:space="preserve">GT Bank Nigeria Equity and reserve 795,952,287; 4,412,624,546 + 795,952,287 = 5,208,576,833</t>
  </si>
  <si>
    <t xml:space="preserve">Bank Nigeria 671,361,457 (28,608,189) (111,145,046) 531,608,222 567,906,781 40,909,268 1,140,424,271</t>
  </si>
  <si>
    <t xml:space="preserve">reports/pages/0a8acebfc460/p0257.png</t>
  </si>
  <si>
    <t xml:space="preserve">Condensed cash flow Dec-2022, GT Bank Nigeria: net cash from operating activities 671,361,457</t>
  </si>
  <si>
    <t xml:space="preserve">prior-year condensed column in the 2022 HoldCo report</t>
  </si>
  <si>
    <t xml:space="preserve">consolidated Bank Nigeria 588,572,038 115,014 1,475,674,160 24,913,435 42,643,770 162,911,719 651,174,123 56,903,032 68,430,170 1,099,888,166 176,560,154 9,247,353 - 4,357,033,134</t>
  </si>
  <si>
    <t xml:space="preserve">reports/pages/0a8acebfc460/p0260.png</t>
  </si>
  <si>
    <t xml:space="preserve">Same report, condensed financial position Dec-2021, GT Bank Nigeria Total assets 4,357,033,134 (= 2021 report figure)</t>
  </si>
  <si>
    <t xml:space="preserve">Operating bank (Stanbic IBTC Bank PLC column of note 13.4 'Summarised financial statements of the consolidated entities' in the audited Stanbic IBTC Holdings HoldCo report)</t>
  </si>
  <si>
    <t xml:space="preserve">cb8ac3fb4b267f2fb739fbad8c88eb74aa045968b6e5bd53474fba2cd3a90c10</t>
  </si>
  <si>
    <t xml:space="preserve">reports/stanbic/stanbic_xs-c712bb5b6c_cb8ac3fb4b26.pdf</t>
  </si>
  <si>
    <t xml:space="preserve">Stanbic IBTC Bank PLC 2013</t>
  </si>
  <si>
    <t xml:space="preserve">Profit for the year 8,332 10,129 1,207 7,356 1,001 163 28 877 (8,320) 20,773</t>
  </si>
  <si>
    <t xml:space="preserve">reports/pages/cb8ac3fb4b26/p0096.png</t>
  </si>
  <si>
    <t xml:space="preserve">Note 13.4 Stanbic IBTC Bank PLC column: pat 10,129</t>
  </si>
  <si>
    <t xml:space="preserve">2026-10-11T10:32:19+00:00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</si>
  <si>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2013. Column used: 'Stanbic IBTC Bank PLC'. Entity-only scope: 'Equity investment in group companies' is nil in the Bank column (no consolidated subsidiaries); the bank operates only in Nigeria. Total liabilities printed (654,520) + equity 70,580 = total assets 725,100. Basis: audited HoldCo package - explicit operating-bank subsidiary disclosure (summarised, not a standalone bank annual report).</t>
  </si>
  <si>
    <t xml:space="preserve">Profit before tax 8,216 9,474 1,497 10,774 1,414 194 43 1,335 (8,320) 24,614</t>
  </si>
  <si>
    <t xml:space="preserve">Note 13.4 Stanbic IBTC Bank PLC column: pbt 9,474</t>
  </si>
  <si>
    <t xml:space="preserve">Credit impairment charges - (2,667) - - - - - - - (2,667)</t>
  </si>
  <si>
    <t xml:space="preserve">Note 13.4 Stanbic IBTC Bank PLC column: total_impairment (2,667) Sign converted to expense-positive.</t>
  </si>
  <si>
    <t xml:space="preserve">Loans and advances to customers - 289,747 - - - - - - - 289,747</t>
  </si>
  <si>
    <t xml:space="preserve">Note 13.4 Stanbic IBTC Bank PLC column: net_loans 289,747</t>
  </si>
  <si>
    <t xml:space="preserve">Total assets 75,401 725,100 6,603 18,060 4,270 2,351 243 3,913 (72,895) 763,046</t>
  </si>
  <si>
    <t xml:space="preserve">Note 13.4 Stanbic IBTC Bank PLC column: assets 725,100</t>
  </si>
  <si>
    <t xml:space="preserve">Stanbic IBTC Bank PLC 2012 (prior-year row)</t>
  </si>
  <si>
    <t xml:space="preserve">prior-year row of note 13.4 in the 2013 HoldCo report</t>
  </si>
  <si>
    <t xml:space="preserve">At 31 December 2012 72,508 650,470 4,908 13,335 4,066 1,902 203 3,805 (74,378) 676,819</t>
  </si>
  <si>
    <t xml:space="preserve">Note 13.4 Stanbic IBTC Bank PLC column: opening_assets 650,470 (31 Dec 2012)</t>
  </si>
  <si>
    <t xml:space="preserve">Equity and reserves 71,846 70,580 5,638 11,412 3,090 2,058 145 1,536 (68,671) 97,634</t>
  </si>
  <si>
    <t xml:space="preserve">reports/pages/cb8ac3fb4b26/p0097.png</t>
  </si>
  <si>
    <t xml:space="preserve">Note 13.4 Stanbic IBTC Bank PLC column: equity 70,580</t>
  </si>
  <si>
    <t xml:space="preserve">Total liabilities (Nmillion) 3,555 654,520 965 6,648 1,180 293 98 2,377 (4,224) 665,412</t>
  </si>
  <si>
    <t xml:space="preserve">Note 13.4 Stanbic IBTC Bank PLC column: liabilities 654,520</t>
  </si>
  <si>
    <t xml:space="preserve">f801621815942de1880f5cea21e1e3f9c421253b5ca7f5ae3aa8f8bd6a6355a9</t>
  </si>
  <si>
    <t xml:space="preserve">reports/stanbic/stanbic_xs-f35c275cf6_f80162181594.pdf</t>
  </si>
  <si>
    <t xml:space="preserve">Stanbic IBTC Bank PLC 2014</t>
  </si>
  <si>
    <t xml:space="preserve">Profit for the year 13,136 19,456 1,386 9,424 820 154 66 1,058 (13,436) 32,065</t>
  </si>
  <si>
    <t xml:space="preserve">reports/pages/f80162181594/p0104.png</t>
  </si>
  <si>
    <t xml:space="preserve">Note 13.4 Stanbic IBTC Bank PLC column: pat 19,456</t>
  </si>
  <si>
    <t xml:space="preserve">2026-10-11T11:50:40+00:00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</si>
  <si>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2014. Column used: 'Stanbic IBTC Bank PLC'. Entity-only scope: 'Equity investment in group companies' is nil in the Bank column (no consolidated subsidiaries); the bank operates only in Nigeria. Total liabilities not printed: derived as the sum of the Bank's printed liability lines (829,231) = 911,052 - 81,821. Prior-year row (2013: PAT 10,129, total assets 725,100) equals the 2013 note. Basis: audited HoldCo package - explicit operating-bank subsidiary disclosure (summarised, not a standalone bank annual report).</t>
  </si>
  <si>
    <t xml:space="preserve">Profit before tax 12,898 21,610 1,932 13,975 1,268 158 98 1,567 (13,436) 40,070</t>
  </si>
  <si>
    <t xml:space="preserve">Note 13.4 Stanbic IBTC Bank PLC column: pbt 21,610</t>
  </si>
  <si>
    <t xml:space="preserve">Credit impairment charges - (3,217) - - - - - - - (3,217)</t>
  </si>
  <si>
    <t xml:space="preserve">Note 13.4 Stanbic IBTC Bank PLC column: total_impairment (3,217) Sign converted to expense-positive.</t>
  </si>
  <si>
    <t xml:space="preserve">Loans and advances to customers - 398,604 - - - - - - - 398,604</t>
  </si>
  <si>
    <t xml:space="preserve">Note 13.4 Stanbic IBTC Bank PLC column: net_loans 398,604</t>
  </si>
  <si>
    <t xml:space="preserve">Total assets 75,671 911,052 8,224 22,212 4,435 2,382 484 3,857 (83,775) 944,542</t>
  </si>
  <si>
    <t xml:space="preserve">Note 13.4 Stanbic IBTC Bank PLC column: assets 911,052</t>
  </si>
  <si>
    <t xml:space="preserve">Stanbic IBTC Bank PLC 2013 (prior-year row)</t>
  </si>
  <si>
    <t xml:space="preserve">prior-year row of note 13.4 in the 2014 HoldCo report</t>
  </si>
  <si>
    <t xml:space="preserve">At 31 December 2013 75,401 725,100 6,603 18,060 4,270 2,351 243 3,913 (72,895) 763,046</t>
  </si>
  <si>
    <t xml:space="preserve">Note 13.4 Stanbic IBTC Bank PLC column: opening_assets 725,100 (31 Dec 2013)</t>
  </si>
  <si>
    <t xml:space="preserve">Equity and reserves 72,990 81,821 6,224 14,358 3,298 2,175 365 1,790 (68,746) 114,275</t>
  </si>
  <si>
    <t xml:space="preserve">reports/pages/f80162181594/p0105.png</t>
  </si>
  <si>
    <t xml:space="preserve">Note 13.4 Stanbic IBTC Bank PLC column: equity 81,821</t>
  </si>
  <si>
    <t xml:space="preserve">STANH14-LCDL</t>
  </si>
  <si>
    <t xml:space="preserve">liabilities_component_dl</t>
  </si>
  <si>
    <t xml:space="preserve">Derivative liabilities - 2,677 - - - - - - - 2,677</t>
  </si>
  <si>
    <t xml:space="preserve">Note 13.4 Bank liability line Derivative liabilities 2,677</t>
  </si>
  <si>
    <t xml:space="preserve">STANH14-LCTL</t>
  </si>
  <si>
    <t xml:space="preserve">liabilities_component_tl</t>
  </si>
  <si>
    <t xml:space="preserve">Trading liabilities - 85,283 - - - - - - - 85,283</t>
  </si>
  <si>
    <t xml:space="preserve">Note 13.4 Bank liability line Trading liabilities 85,283</t>
  </si>
  <si>
    <t xml:space="preserve">STANH14-LCDB</t>
  </si>
  <si>
    <t xml:space="preserve">liabilities_component_db</t>
  </si>
  <si>
    <t xml:space="preserve">Deposits from banks - 59,121 - - - - - - - 59,121</t>
  </si>
  <si>
    <t xml:space="preserve">Note 13.4 Bank liability line Deposits from banks 59,121</t>
  </si>
  <si>
    <t xml:space="preserve">STANH14-LCDC</t>
  </si>
  <si>
    <t xml:space="preserve">liabilities_component_dc</t>
  </si>
  <si>
    <t xml:space="preserve">Deposits from customers - 507,734 - - - - - - (12,799) 494,935</t>
  </si>
  <si>
    <t xml:space="preserve">Note 13.4 Bank liability line Deposits from customers 507,734</t>
  </si>
  <si>
    <t xml:space="preserve">STANH14-LCOB</t>
  </si>
  <si>
    <t xml:space="preserve">liabilities_component_ob</t>
  </si>
  <si>
    <t xml:space="preserve">Other borrowings - 70,151 - - - - - - - 70,151</t>
  </si>
  <si>
    <t xml:space="preserve">Note 13.4 Bank liability line Other borrowings 70,151</t>
  </si>
  <si>
    <t xml:space="preserve">STANH14-LCSD</t>
  </si>
  <si>
    <t xml:space="preserve">liabilities_component_sd</t>
  </si>
  <si>
    <t xml:space="preserve">Subordinated debt - 22,973 - - - - - - - 22,973</t>
  </si>
  <si>
    <t xml:space="preserve">Note 13.4 Bank liability line Subordinated debt 22,973</t>
  </si>
  <si>
    <t xml:space="preserve">STANH14-LCCT</t>
  </si>
  <si>
    <t xml:space="preserve">liabilities_component_ct</t>
  </si>
  <si>
    <t xml:space="preserve">Current and deferred tax liabilities 129 3,244 540 4,721 384 198 36 522 - 9,774</t>
  </si>
  <si>
    <t xml:space="preserve">Note 13.4 Bank liability line Current and deferred tax liabilities 3,244</t>
  </si>
  <si>
    <t xml:space="preserve">STANH14-LCPO</t>
  </si>
  <si>
    <t xml:space="preserve">liabilities_component_po</t>
  </si>
  <si>
    <t xml:space="preserve">Other liabilities 2,552 78,048 1,460 3,133 753 9 83 1,545 (2,230) 85,353</t>
  </si>
  <si>
    <t xml:space="preserve">Note 13.4 Bank liability line Other liabilities 78,048</t>
  </si>
  <si>
    <t xml:space="preserve">179b8d5c44d0ee44faec71a84b34907e35e2cfc86c0d3bb6e533fac64fe78b46</t>
  </si>
  <si>
    <t xml:space="preserve">reports/stanbic/stanbic_xs-40d24d09d3_179b8d5c44d0.pdf</t>
  </si>
  <si>
    <t xml:space="preserve">Stanbic IBTC Bank PLC 2015</t>
  </si>
  <si>
    <t xml:space="preserve">Profit for the year 9,871 6,232 (226) 11,536 817 76 90 (15) - 656 (10,146) 18,891</t>
  </si>
  <si>
    <t xml:space="preserve">reports/pages/179b8d5c44d0/p0086.png</t>
  </si>
  <si>
    <t xml:space="preserve">Note 13.4 Stanbic IBTC Bank PLC column: pat 6,232</t>
  </si>
  <si>
    <t xml:space="preserve">2026-10-11T10:32:20+00:00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</si>
  <si>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2015. Column used: 'Stanbic IBTC Bank PLC'. Entity-only scope: 'Equity investment in group companies' is nil in the Bank column (no consolidated subsidiaries); the bank operates only in Nigeria. Total liabilities not printed: derived as the sum of the Bank's printed liability lines (795,663), which equals total liabilities and equity 890,580 less equity 94,917. Basis: audited HoldCo package - explicit operating-bank subsidiary disclosure (summarised, not a standalone bank annual report).</t>
  </si>
  <si>
    <t xml:space="preserve">Profit before tax 9,899 4,479 331 16,797 1,222 96 125 (22) - 870 (10,146) 23,651</t>
  </si>
  <si>
    <t xml:space="preserve">Note 13.4 Stanbic IBTC Bank PLC column: pbt 4,479</t>
  </si>
  <si>
    <t xml:space="preserve">Credit impairment charges - (14,931) - - - - - - - - - (14,931)</t>
  </si>
  <si>
    <t xml:space="preserve">Note 13.4 Stanbic IBTC Bank PLC column: total_impairment (14,931) Sign converted to expense-positive.</t>
  </si>
  <si>
    <t xml:space="preserve">Loans and advances to customers - 353,513 - - - - - - - - - 353,513</t>
  </si>
  <si>
    <t xml:space="preserve">Note 13.4 Stanbic IBTC Bank PLC column: net_loans 353,513</t>
  </si>
  <si>
    <t xml:space="preserve">Total assets 75,902 890,580 9,049 25,848 4,548 2,557 591 19 120 2,936 (74,586) 937,564</t>
  </si>
  <si>
    <t xml:space="preserve">Note 13.4 Stanbic IBTC Bank PLC column: assets 890,580</t>
  </si>
  <si>
    <t xml:space="preserve">Stanbic IBTC Bank PLC 2014 (prior-year row)</t>
  </si>
  <si>
    <t xml:space="preserve">prior-year row of note 13.4 in the 2015 HoldCo report</t>
  </si>
  <si>
    <t xml:space="preserve">At 31 December 2014 75,671 908,429 8,224 22,212 4,435 2,382 484 - - 3,857 (83,775) 941,919</t>
  </si>
  <si>
    <t xml:space="preserve">Note 13.4 Stanbic IBTC Bank PLC column: opening_assets 908,429 (31 Dec 2014)</t>
  </si>
  <si>
    <t xml:space="preserve">Equity and reserves 72,360 94,917 4,816 17,819 3,403 2,286 465 4 20 1,629 (68,752) 128,967</t>
  </si>
  <si>
    <t xml:space="preserve">reports/pages/179b8d5c44d0/p0087.png</t>
  </si>
  <si>
    <t xml:space="preserve">Note 13.4 Stanbic IBTC Bank PLC column: equity 94,917</t>
  </si>
  <si>
    <t xml:space="preserve">STANH15-LCDL</t>
  </si>
  <si>
    <t xml:space="preserve">Derivative liabilities - 383 - - - - - - - - - 383</t>
  </si>
  <si>
    <t xml:space="preserve">Note 13.4 Bank liability line Derivative liabilities 383</t>
  </si>
  <si>
    <t xml:space="preserve">STANH15-LCTL</t>
  </si>
  <si>
    <t xml:space="preserve">Trading liabilities - 24,101 - - - - - - - - - 24,101</t>
  </si>
  <si>
    <t xml:space="preserve">Note 13.4 Bank liability line Trading liabilities 24,101</t>
  </si>
  <si>
    <t xml:space="preserve">STANH15-LCDB</t>
  </si>
  <si>
    <t xml:space="preserve">Deposits from banks - 95,446 - - - - - - - - - 95,446</t>
  </si>
  <si>
    <t xml:space="preserve">Note 13.4 Bank liability line Deposits from banks 95,446</t>
  </si>
  <si>
    <t xml:space="preserve">STANH15-LCDC</t>
  </si>
  <si>
    <t xml:space="preserve">Deposits from customers - 497,580 - - - - - - - - (4,067) 493,513</t>
  </si>
  <si>
    <t xml:space="preserve">Note 13.4 Bank liability line Deposits from customers 497,580</t>
  </si>
  <si>
    <t xml:space="preserve">STANH15-LCOB</t>
  </si>
  <si>
    <t xml:space="preserve">Other borrowings - 81,107 - - - - - - - - - 81,107</t>
  </si>
  <si>
    <t xml:space="preserve">Note 13.4 Bank liability line Other borrowings 81,107</t>
  </si>
  <si>
    <t xml:space="preserve">STANH15-LCSD</t>
  </si>
  <si>
    <t xml:space="preserve">Subordinated debt - 23,699 - - - - - - - - - 23,699</t>
  </si>
  <si>
    <t xml:space="preserve">Note 13.4 Bank liability line Subordinated debt 23,699</t>
  </si>
  <si>
    <t xml:space="preserve">STANH15-LCCT</t>
  </si>
  <si>
    <t xml:space="preserve">Current tax liability 60 1,883 670 5,272 412 144 37 - - 249 - 8,727</t>
  </si>
  <si>
    <t xml:space="preserve">Note 13.4 Bank liability line Current tax liability 1,883</t>
  </si>
  <si>
    <t xml:space="preserve">STANH15-LCPO</t>
  </si>
  <si>
    <t xml:space="preserve">Provisions and other liabilities 3,482 71,464 3,563 2,757 733 7 89 15 100 1,058 (1,767) 81,501</t>
  </si>
  <si>
    <t xml:space="preserve">Note 13.4 Bank liability line Provisions and other liabilities 71,464</t>
  </si>
  <si>
    <t xml:space="preserve">b68646af180c12f3e9c054cb3ca5eb987e210210696b725a1372eb12860e26df</t>
  </si>
  <si>
    <t xml:space="preserve">reports/stanbic/stanbic_xs-328f885a48_b68646af180c.pdf</t>
  </si>
  <si>
    <t xml:space="preserve">Stanbic IBTC Bank PLC 2016</t>
  </si>
  <si>
    <t xml:space="preserve">Profit for the year 609 15,030 (935) 13,890 1,096 494 110 110 - 123 (2,007) 28,520</t>
  </si>
  <si>
    <t xml:space="preserve">reports/pages/b68646af180c/p0084.png</t>
  </si>
  <si>
    <t xml:space="preserve">Note 13.4 Stanbic IBTC Bank PLC column: pat 15,030</t>
  </si>
  <si>
    <t xml:space="preserve">2026-10-11T10:32:21+00:00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</si>
  <si>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2016. Column used: 'Stanbic IBTC Bank PLC'. Entity-only scope: 'Equity investment in group companies' is nil in the Bank column (no consolidated subsidiaries); the bank operates only in Nigeria. Total liabilities not printed: derived as the sum of the Bank's printed liability lines (884,443) = 993,759 - 109,316. Basis: audited HoldCo package - explicit operating-bank subsidiary disclosure (summarised, not a standalone bank annual report).</t>
  </si>
  <si>
    <t xml:space="preserve">Profit before tax 1,501 14,908 (564) 20,191 1,611 610 176 191 - 325 (1,740) 37,209</t>
  </si>
  <si>
    <t xml:space="preserve">Note 13.4 Stanbic IBTC Bank PLC column: pbt 14,908</t>
  </si>
  <si>
    <t xml:space="preserve">Credit impairment charges - (19,803) - - - - - - - - - (19,803)</t>
  </si>
  <si>
    <t xml:space="preserve">Note 13.4 Stanbic IBTC Bank PLC column: total_impairment (19,803) Sign converted to expense-positive.</t>
  </si>
  <si>
    <t xml:space="preserve">Loans and advances to customers - 352,965 - - - - - - - - - 352,965</t>
  </si>
  <si>
    <t xml:space="preserve">Note 13.4 Stanbic IBTC Bank PLC column: net_loans 352,965</t>
  </si>
  <si>
    <t xml:space="preserve">Total assets 92,857 993,759 8,483 41,210 5,057 2,872 743 306 132 2,497 (94,393) 1,053,523</t>
  </si>
  <si>
    <t xml:space="preserve">Note 13.4 Stanbic IBTC Bank PLC column: assets 993,759</t>
  </si>
  <si>
    <t xml:space="preserve">Stanbic IBTC Bank PLC 2015 (prior-year row)</t>
  </si>
  <si>
    <t xml:space="preserve">prior-year row of note 13.4 in the 2016 HoldCo report</t>
  </si>
  <si>
    <t xml:space="preserve">At 31 December 2015 75,902 890,580 9,049 25,848 4,548 2,557 591 19 120 2,936 (74,586) 937,564</t>
  </si>
  <si>
    <t xml:space="preserve">Note 13.4 Stanbic IBTC Bank PLC column: opening_assets 890,580 (31 Dec 2015)</t>
  </si>
  <si>
    <t xml:space="preserve">Equity and reserves 72,970 109,316 4,325 31,429 3,632 2,491 489 114 32 1,218 (85,218) 140,798</t>
  </si>
  <si>
    <t xml:space="preserve">reports/pages/b68646af180c/p0085.png</t>
  </si>
  <si>
    <t xml:space="preserve">Note 13.4 Stanbic IBTC Bank PLC column: equity 109,316</t>
  </si>
  <si>
    <t xml:space="preserve">STANH16-LCDL</t>
  </si>
  <si>
    <t xml:space="preserve">Derivative liabilities - 11,788 - - - - - - - - - 11,788</t>
  </si>
  <si>
    <t xml:space="preserve">Note 13.4 Bank liability line Derivative liabilities 11,788</t>
  </si>
  <si>
    <t xml:space="preserve">STANH16-LCTL</t>
  </si>
  <si>
    <t xml:space="preserve">Trading liabilities - 5,325 - - - - - - - - - 5,325</t>
  </si>
  <si>
    <t xml:space="preserve">Note 13.4 Bank liability line Trading liabilities 5,325</t>
  </si>
  <si>
    <t xml:space="preserve">STANH16-LCDB</t>
  </si>
  <si>
    <t xml:space="preserve">Deposits from banks - 53,766 - - - - - - - - - 53,766</t>
  </si>
  <si>
    <t xml:space="preserve">Note 13.4 Bank liability line Deposits from banks 53,766</t>
  </si>
  <si>
    <t xml:space="preserve">STANH16-LCDC</t>
  </si>
  <si>
    <t xml:space="preserve">Deposits from customers - 568,675 - - - - - - - - (7,706) 560,969</t>
  </si>
  <si>
    <t xml:space="preserve">Note 13.4 Bank liability line Deposits from customers 568,675</t>
  </si>
  <si>
    <t xml:space="preserve">STANH16-LCOB</t>
  </si>
  <si>
    <t xml:space="preserve">Other borrowings 16,404 79,633 - - - - - - - - - 96,037</t>
  </si>
  <si>
    <t xml:space="preserve">Note 13.4 Bank liability line Other borrowings 79,633</t>
  </si>
  <si>
    <t xml:space="preserve">STANH16-LCSD</t>
  </si>
  <si>
    <t xml:space="preserve">Subordinated debt - 27,964 - - - - - - - - - 27,964</t>
  </si>
  <si>
    <t xml:space="preserve">Note 13.4 Bank liability line Subordinated debt 27,964</t>
  </si>
  <si>
    <t xml:space="preserve">STANH16-LCCT</t>
  </si>
  <si>
    <t xml:space="preserve">Current tax liabilities 68 1,865 184 6,323 516 239 62 78 - 173 - 9,508</t>
  </si>
  <si>
    <t xml:space="preserve">Note 13.4 Bank liability line Current tax liabilities 1,865</t>
  </si>
  <si>
    <t xml:space="preserve">STANH16-LCPO</t>
  </si>
  <si>
    <t xml:space="preserve">Provisions and other liabilities 3,406 135,427 3,974 3,458 909 104 192 114 100 1,106 (1,469) 147,321</t>
  </si>
  <si>
    <t xml:space="preserve">Note 13.4 Bank liability line Provisions and other liabilities 135,427</t>
  </si>
  <si>
    <t xml:space="preserve">d6450d15fad15bb981155f7d109699318fa2825a5bf5ed1ba14a0e6064bca18c</t>
  </si>
  <si>
    <t xml:space="preserve">reports/stanbic/stanbic_xs-2d674ef14c_d6450d15fad1.pdf</t>
  </si>
  <si>
    <t xml:space="preserve">Stanbic IBTC Bank PLC 2017</t>
  </si>
  <si>
    <t xml:space="preserve">Profit for the year (2017) 25,165 28,842 1,687 18,589 1,447 (2) 118 99 (13) 756 (28,307) 48,381</t>
  </si>
  <si>
    <t xml:space="preserve">reports/pages/d6450d15fad1/p0094.png</t>
  </si>
  <si>
    <t xml:space="preserve">Note 13.4 Stanbic IBTC Bank PLC column: pat 28,842</t>
  </si>
  <si>
    <t xml:space="preserve">2026-10-11T10:32:23+00:00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</si>
  <si>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2017. Column used: 'Stanbic IBTC Bank PLC'. Entity-only scope: 'Equity investment in group companies' is nil in the Bank column (no consolidated subsidiaries); the bank operates only in Nigeria. Total liabilities not printed: derived as the sum of the Bank's printed liability lines (1,193,969) = 1,332,669 - 138,700. Cross-check: Stanbic IBTC Bank's own 2018 audited statements give 2017 total assets 1,332,723 (54 million, 0.004%, higher). Basis: audited HoldCo package - explicit operating-bank subsidiary disclosure (summarised, not a standalone bank annual report).</t>
  </si>
  <si>
    <t xml:space="preserve">Profit before tax 27,545 30,345 2,272 25,954 2,078 192 147 142 (13) 811 (28,307) 61,166</t>
  </si>
  <si>
    <t xml:space="preserve">Note 13.4 Stanbic IBTC Bank PLC column: pbt 30,345</t>
  </si>
  <si>
    <t xml:space="preserve">Credit impairment charges - (25,577) - - - - - - - - - (25,577)</t>
  </si>
  <si>
    <t xml:space="preserve">Note 13.4 Stanbic IBTC Bank PLC column: total_impairment (25,577) Sign converted to expense-positive.</t>
  </si>
  <si>
    <t xml:space="preserve">Loans and advances to customers - 372,088 - - - - - - - - - 372,088</t>
  </si>
  <si>
    <t xml:space="preserve">Note 13.4 Stanbic IBTC Bank PLC column: net_loans 372,088</t>
  </si>
  <si>
    <t xml:space="preserve">Total assets (2017) 97,374 1,332,669 10,167 38,144 4,762 2,046 688 354 133 9,437 (109,358) 1,386,416</t>
  </si>
  <si>
    <t xml:space="preserve">Note 13.4 Stanbic IBTC Bank PLC column: assets 1,332,669</t>
  </si>
  <si>
    <t xml:space="preserve">Stanbic IBTC Bank PLC 2016 (prior-year row)</t>
  </si>
  <si>
    <t xml:space="preserve">prior-year row of note 13.4 in the 2017 HoldCo report</t>
  </si>
  <si>
    <t xml:space="preserve">Total assets at 31 December 2016 92,857 993,759 8,483 41,210 5,057 2,872 743 306 132 2,497 (94,393) 1,053,523</t>
  </si>
  <si>
    <t xml:space="preserve">Note 13.4 Stanbic IBTC Bank PLC column: opening_assets 993,759 (31 Dec 2016)</t>
  </si>
  <si>
    <t xml:space="preserve">Equity and reserves 92,654 138,700 5,154 26,854 3,170 1,775 509 111 20 1,715 (85,444) 185,218</t>
  </si>
  <si>
    <t xml:space="preserve">reports/pages/d6450d15fad1/p0095.png</t>
  </si>
  <si>
    <t xml:space="preserve">Note 13.4 Stanbic IBTC Bank PLC column: equity 138,700</t>
  </si>
  <si>
    <t xml:space="preserve">STANH17-LCDL</t>
  </si>
  <si>
    <t xml:space="preserve">Derivative liabilities - 2,592 - - - - - - - - - 2,592</t>
  </si>
  <si>
    <t xml:space="preserve">Note 13.4 Bank liability line Derivative liabilities 2,592</t>
  </si>
  <si>
    <t xml:space="preserve">STANH17-LCTL</t>
  </si>
  <si>
    <t xml:space="preserve">Trading liabilities - 62,449 - - - - - - - - - 62,449</t>
  </si>
  <si>
    <t xml:space="preserve">Note 13.4 Bank liability line Trading liabilities 62,449</t>
  </si>
  <si>
    <t xml:space="preserve">STANH17-LCDB</t>
  </si>
  <si>
    <t xml:space="preserve">Deposits from banks - 61,721 - - - - - - - - - 61,721</t>
  </si>
  <si>
    <t xml:space="preserve">Note 13.4 Bank liability line Deposits from banks 61,721</t>
  </si>
  <si>
    <t xml:space="preserve">STANH17-LCDC</t>
  </si>
  <si>
    <t xml:space="preserve">Deposits from customers - 775,262 - - - - - - - - (21,620) 753,642</t>
  </si>
  <si>
    <t xml:space="preserve">Note 13.4 Bank liability line Deposits from customers 775,262</t>
  </si>
  <si>
    <t xml:space="preserve">STANH17-LCOB</t>
  </si>
  <si>
    <t xml:space="preserve">Other borrowings - 74,892 - - - - - - - - - 74,892</t>
  </si>
  <si>
    <t xml:space="preserve">Note 13.4 Bank liability line Other borrowings 74,892</t>
  </si>
  <si>
    <t xml:space="preserve">STANH17-LCSD</t>
  </si>
  <si>
    <t xml:space="preserve">Subordinated debt - 29,046 - - - - - - - - - 29,046</t>
  </si>
  <si>
    <t xml:space="preserve">Note 13.4 Bank liability line Subordinated debt 29,046</t>
  </si>
  <si>
    <t xml:space="preserve">STANH17-LCCT</t>
  </si>
  <si>
    <t xml:space="preserve">Current tax liabilities 157 2,412 664 7,817 752 146 43 57 - 192 - 12,240</t>
  </si>
  <si>
    <t xml:space="preserve">Note 13.4 Bank liability line Current tax liabilities 2,412</t>
  </si>
  <si>
    <t xml:space="preserve">STANH17-LCPO</t>
  </si>
  <si>
    <t xml:space="preserve">Provisions and other liabilities 4,563 185,595 4,349 3,473 840 5 136 186 113 7,530 (2,294) 204,496</t>
  </si>
  <si>
    <t xml:space="preserve">Note 13.4 Bank liability line Provisions and other liabilities 185,595</t>
  </si>
  <si>
    <t xml:space="preserve">7803bb873f6af8559096bab5bb69fe7b4b244f86048a5c58f933dae88ae8479d</t>
  </si>
  <si>
    <t xml:space="preserve">reports/first_bank/first_bank_xs-3fed493f9a_7803bb873f6a.pdf</t>
  </si>
  <si>
    <t xml:space="preserve">BANK 31 December 2019</t>
  </si>
  <si>
    <t xml:space="preserve">reports/pages/7803bb873f6a/p0393.png</t>
  </si>
  <si>
    <t xml:space="preserve">SOFP BANK Total assets 4,668,279 (image page, printed p18)</t>
  </si>
  <si>
    <t xml:space="preserve">2026-10-11T12:17:03+00:00</t>
  </si>
  <si>
    <t xml:space="preserve">Columns 'GROUP' | 'GROUP' | 'BANK' | 'BANK' over '31 December 2019' | '31 December 2018' ('N millions'); BANK = First Bank of Nigeria Limited, the operating bank (separate statements); BANK 31 December 2019 column used</t>
  </si>
  <si>
    <t xml:space="preserve">SOFP BANK Total liabilities 4,128,814</t>
  </si>
  <si>
    <t xml:space="preserve">SOFP BANK Total equity 539,465; 4,128,814 + 539,465 = 4,668,279</t>
  </si>
  <si>
    <t xml:space="preserve">SOFP BANK Loans and advances to customers 1,559,504 (note 20 current/non-current table prints 1,559,503)</t>
  </si>
  <si>
    <t xml:space="preserve">BANK 31 December 2018</t>
  </si>
  <si>
    <t xml:space="preserve">prior-year comparative in 2019 report (not restated)</t>
  </si>
  <si>
    <t xml:space="preserve">Prior-year (BANK 31 December 2018) column of the 2019 SOFP: Total assets 3,985,907; not labelled restated; equals the 2018 original</t>
  </si>
  <si>
    <t xml:space="preserve">Columns 'GROUP' | 'GROUP' | 'BANK' | 'BANK' over '31 December 2019' | '31 December 2018' ('N millions'); BANK = First Bank of Nigeria Limited, the operating bank (separate statements); BANK 31 December 2018 (prior-year) column used</t>
  </si>
  <si>
    <t xml:space="preserve">Manual transcription of row /PROFIT FOR THE YEAR/ from rendered page image.</t>
  </si>
  <si>
    <t xml:space="preserve">reports/pages/7803bb873f6a/p0391.png</t>
  </si>
  <si>
    <t xml:space="preserve">Income statement BANK Profit for the year 43,917 (printed p16)</t>
  </si>
  <si>
    <t xml:space="preserve">Manual transcription of row /Profit before tax/ from rendered page image.</t>
  </si>
  <si>
    <t xml:space="preserve">BANK Profit before tax 46,770</t>
  </si>
  <si>
    <t xml:space="preserve">Manual transcription of row /Impairment charge for credit losses/ from rendered page image.</t>
  </si>
  <si>
    <t xml:space="preserve">BANK Impairment charge for credit losses (46,640) (IFRS 9 ECL, note 9) Sign converted to expense-positive.</t>
  </si>
  <si>
    <t xml:space="preserve">Manual transcription of row /Net cash flow generated from/(used in) operating activities/ from rendered page image.</t>
  </si>
  <si>
    <t xml:space="preserve">reports/pages/7803bb873f6a/p0396.png</t>
  </si>
  <si>
    <t xml:space="preserve">Statement of cash flows BANK Net cash flow used in operating activities (218,752) (printed p21)</t>
  </si>
  <si>
    <t xml:space="preserve">FBN19-GLC</t>
  </si>
  <si>
    <t xml:space="preserve">gross_loans_corporate</t>
  </si>
  <si>
    <t xml:space="preserve">Manual transcription of row /Corporate 31 December 2019 Gross Amount/ from rendered page image.</t>
  </si>
  <si>
    <t xml:space="preserve">reports/pages/7803bb873f6a/p0473.png</t>
  </si>
  <si>
    <t xml:space="preserve">Note 20 BANK Corporate 31 Dec 2019 gross amount 1,521,178 (printed p98)</t>
  </si>
  <si>
    <t xml:space="preserve">FBN19-GLR</t>
  </si>
  <si>
    <t xml:space="preserve">gross_loans_retail</t>
  </si>
  <si>
    <t xml:space="preserve">Manual transcription of row /Retail 31 December 2019 Gross Amount/ from rendered page image.</t>
  </si>
  <si>
    <t xml:space="preserve">Note 20 BANK Retail 31 Dec 2019 gross amount 97,639</t>
  </si>
  <si>
    <t xml:space="preserve">FBN19-ALC</t>
  </si>
  <si>
    <t xml:space="preserve">loan_allowance_corporate</t>
  </si>
  <si>
    <t xml:space="preserve">Manual transcription of row /Corporate 31 December 2019 Total Impairment/ from rendered page image.</t>
  </si>
  <si>
    <t xml:space="preserve">Note 20 BANK Corporate total impairment 52,706 = stage 1 1,741 + stage 2 9,295 + stage 3 41,670 (printed unbracketed)</t>
  </si>
  <si>
    <t xml:space="preserve">FBN19-ALR</t>
  </si>
  <si>
    <t xml:space="preserve">loan_allowance_retail</t>
  </si>
  <si>
    <t xml:space="preserve">Manual transcription of row /Retail 31 December 2019 Total Impairment/ from rendered page image.</t>
  </si>
  <si>
    <t xml:space="preserve">Note 20 BANK Retail total impairment 6,608</t>
  </si>
  <si>
    <t xml:space="preserve">Bank 31 Dec 2019 Basel II (Full Impact)</t>
  </si>
  <si>
    <t xml:space="preserve">Manual transcription of row /Total regulatory capital/ from rendered page image.</t>
  </si>
  <si>
    <t xml:space="preserve">reports/pages/7803bb873f6a/p0463.png</t>
  </si>
  <si>
    <t xml:space="preserve">Capital management table, column 'Bank 31 Dec 2019 Full Impact': Total regulatory capital 332,265 (printed p88)</t>
  </si>
  <si>
    <t xml:space="preserve">Manual transcription of row /Total risk-weighted assets/ from rendered page image.</t>
  </si>
  <si>
    <t xml:space="preserve">Bank 31 Dec 2019 Full Impact Total risk-weighted assets 2,978,121 (credit 2,196,691 + operational 620,501 + market 160,929)</t>
  </si>
  <si>
    <t xml:space="preserve">11.16%</t>
  </si>
  <si>
    <t xml:space="preserve">Manual transcription of row /Risk-weighted Capital Adequacy Ratio (CAR)/ from rendered page image.</t>
  </si>
  <si>
    <t xml:space="preserve">Bank Full Impact CAR 11.16% (332,265 / 2,978,121 = 11.16%)</t>
  </si>
  <si>
    <t xml:space="preserve">15.45%</t>
  </si>
  <si>
    <t xml:space="preserve">Bank 31 Dec 2019 Basel II adjusted for IFRS 9 transitional adjustment</t>
  </si>
  <si>
    <t xml:space="preserve">Bank 'Adjusted Impact' (CBN IFRS 9 transitional arrangement) CAR 15.45% (466,348 / 3,018,951)</t>
  </si>
  <si>
    <t xml:space="preserve">Auditor's report on the consolidated and separate financial statements of First Bank of Nigeria Limited</t>
  </si>
  <si>
    <t xml:space="preserve">reports/pages/7803bb873f6a/p0385.png</t>
  </si>
  <si>
    <t xml:space="preserve">Independent auditor's report to the members of First Bank of Nigeria Limited, PDF pp385-390 (image pages), complete, reproduced in the prospectus as the original report: PricewaterhouseCoopers, Samuel Abu FRC/2013/ICAN/00000001495, dated 26 March 2020. Opinion on the consolidated and separate financial statements: true and fair (unmodified). KAMs on ECL; no material-uncertainty section, no emphasis-of-matter or other-matter paragraph.</t>
  </si>
  <si>
    <t xml:space="preserve">FBN18C-GLC</t>
  </si>
  <si>
    <t xml:space="preserve">Manual transcription of row /Corporate 31 December 2018 Gross Amount/ from rendered page image.</t>
  </si>
  <si>
    <t xml:space="preserve">Note 20 BANK Corporate 31 Dec 2018 comparative gross amount 1,609,031 (incl. AFL 737); total impairment 252,222</t>
  </si>
  <si>
    <t xml:space="preserve">FBN18C-GLR</t>
  </si>
  <si>
    <t xml:space="preserve">Manual transcription of row /Retail 31 December 2018 Gross Amount/ from rendered page image.</t>
  </si>
  <si>
    <t xml:space="preserve">reports/pages/7803bb873f6a/p0474.png</t>
  </si>
  <si>
    <t xml:space="preserve">Note 20 BANK Retail 31 Dec 2018 comparative gross amount 119,933; total impairment 25,327 (printed p99)</t>
  </si>
  <si>
    <t xml:space="preserve">reports/pages/7803bb873f6a/p0517.png</t>
  </si>
  <si>
    <t xml:space="preserve">SOFP BANK Total assets 3,985,907 (image page, printed p18)</t>
  </si>
  <si>
    <t xml:space="preserve">Columns 'GROUP' (31 December 2018 | 31 December 2017 Restated | 1 January 2017 Restated) | 'BANK' (same three) ('N millions'); BANK = First Bank of Nigeria Limited, the operating bank (separate statements); BANK 31 December 2018 column used</t>
  </si>
  <si>
    <t xml:space="preserve">SOFP BANK Total liabilities 3,543,223</t>
  </si>
  <si>
    <t xml:space="preserve">SOFP BANK Total equity 442,684; 3,543,223 + 442,684 = 3,985,907</t>
  </si>
  <si>
    <t xml:space="preserve">SOFP BANK Loans and advances to customers 1,451,415</t>
  </si>
  <si>
    <t xml:space="preserve">BANK 31 December 2017 (Restated)</t>
  </si>
  <si>
    <t xml:space="preserve">prior-year comparative in 2018 report (labelled Restated, note 47)</t>
  </si>
  <si>
    <t xml:space="preserve">Prior-year column 'BANK 31 December 2017 Restated' (note 47 restatement): Total assets 3,777,039</t>
  </si>
  <si>
    <t xml:space="preserve">Columns 'GROUP' (31 December 2018 | 31 December 2017 Restated | 1 January 2017 Restated) | 'BANK' (same three) ('N millions'); BANK = First Bank of Nigeria Limited, the operating bank (separate statements); BANK 31 December 2017 (Restated) column used</t>
  </si>
  <si>
    <t xml:space="preserve">reports/pages/7803bb873f6a/p0515.png</t>
  </si>
  <si>
    <t xml:space="preserve">Income statement BANK Profit for the year 56,952 (= profit from continuing operations; printed p16)</t>
  </si>
  <si>
    <t xml:space="preserve">BANK Profit before tax 58,194</t>
  </si>
  <si>
    <t xml:space="preserve">BANK Impairment charge for credit losses (61,865) (IFRS 9 ECL, note 9) Sign converted to expense-positive.</t>
  </si>
  <si>
    <t xml:space="preserve">reports/pages/7803bb873f6a/p0520.png</t>
  </si>
  <si>
    <t xml:space="preserve">Statement of cash flows BANK Net cash flow generated from operating activities 327,497 (printed p21; 2019 report comparative prints 327,496)</t>
  </si>
  <si>
    <t xml:space="preserve">Manual transcription of row /At 31 December 2018 Total/ from rendered page image.</t>
  </si>
  <si>
    <t xml:space="preserve">reports/pages/7803bb873f6a/p0581.png</t>
  </si>
  <si>
    <t xml:space="preserve">Note 20 BANK allowance reconciliation: At 31 December 2018 total 277,549 = corporate 252,222 + retail 25,327 (stage split below sums to 277,548, a 1 rounding difference in the source); 1,728,964 - 277,549 = 1,451,415 = SOFP net loans (printed p82)</t>
  </si>
  <si>
    <t xml:space="preserve">Bank 31 Dec 2018 Basel II (Full Impact)</t>
  </si>
  <si>
    <t xml:space="preserve">reports/pages/7803bb873f6a/p0570.png</t>
  </si>
  <si>
    <t xml:space="preserve">Capital management table, column 'Bank 31 Dec 2018 Full Impact': Total regulatory capital 269,341 (printed p71)</t>
  </si>
  <si>
    <t xml:space="preserve">Bank 31 Dec 2018 Full Impact Total risk-weighted assets 2,527,208 (credit 1,827,500 + operational 655,770 + market 43,938)</t>
  </si>
  <si>
    <t xml:space="preserve">Bank Full Impact CAR 10.66% (269,341 / 2,527,208 = 10.66%)</t>
  </si>
  <si>
    <t xml:space="preserve">17.26%</t>
  </si>
  <si>
    <t xml:space="preserve">Bank 31 Dec 2018 Basel II adjusted for IFRS 9 transitional adjustment</t>
  </si>
  <si>
    <t xml:space="preserve">Bank 'Adjusted Impact' (CBN IFRS 9 transitional arrangement) CAR 17.26% (443,246 / 2,568,038)</t>
  </si>
  <si>
    <t xml:space="preserve">reports/pages/7803bb873f6a/p0510.png</t>
  </si>
  <si>
    <t xml:space="preserve">Independent auditor's report to the members of First Bank of Nigeria Limited, PDF pp510-514 (image pages), complete, reproduced in the prospectus as the original report: PricewaterhouseCoopers, Samuel Abu FRC/2013/ICAN/00000001495, dated 12 April 2019. Opinion on the consolidated and separate financial statements: true and fair (unmodified). KAMs on ECL/IFRS 9 adoption; no material-uncertainty section, no emphasis-of-matter or other-matter paragraph.</t>
  </si>
  <si>
    <t xml:space="preserve">0f1dbf511371f75c36a864fd7073129f50287a68a8d459f9241e32aefa79877c</t>
  </si>
  <si>
    <t xml:space="preserve">reports/first_bank/first_bank_xs-8f94f07a8d_0f1dbf511371.pdf</t>
  </si>
  <si>
    <t xml:space="preserve">BANK 31 Dec 2022</t>
  </si>
  <si>
    <t xml:space="preserve">comparative in 2023 audited summary financial statements (later-year report; fallback, 2022 original not located)</t>
  </si>
  <si>
    <t xml:space="preserve">reports/pages/0f1dbf511371/p0004.png</t>
  </si>
  <si>
    <t xml:space="preserve">Summary SOFP BANK 31 Dec 2022 Total assets 8,125,060 (image page)</t>
  </si>
  <si>
    <t xml:space="preserve">2026-10-11T12:17:05+00:00</t>
  </si>
  <si>
    <t xml:space="preserve">Newspaper reproduction of the 2023 audited summary consolidated and separate financial statements; columns 'GROUP' | 'GROUP' | 'BANK' | 'BANK' over '31 Dec 2023' | '31 Dec 2022' ('N'Million'); BANK = First Bank of Nigeria Limited, the operating bank; BANK 31 Dec 2022 (comparative) column used</t>
  </si>
  <si>
    <t xml:space="preserve">BANK Total liabilities 7,372,174</t>
  </si>
  <si>
    <t xml:space="preserve">BANK Total equity 752,886; 7,372,174 + 752,886 = 8,125,060</t>
  </si>
  <si>
    <t xml:space="preserve">BANK Loans and advances to customers 3,301,779</t>
  </si>
  <si>
    <t xml:space="preserve">Summary statement of profit or loss BANK 2022 Profit for the year 91,415</t>
  </si>
  <si>
    <t xml:space="preserve">BANK 'Profit before tax' 94,592 (= profit before minimum tax 97,715 - minimum tax 3,124 +1 rounding; income tax (3,176))</t>
  </si>
  <si>
    <t xml:space="preserve">BANK 2022 impairment charge for credit losses (49,773) Sign converted to expense-positive.</t>
  </si>
  <si>
    <t xml:space="preserve">derived</t>
  </si>
  <si>
    <t xml:space="preserve">sum of UNION16-LI + UNION16-OI</t>
  </si>
  <si>
    <t xml:space="preserve">sum of verified components</t>
  </si>
  <si>
    <t xml:space="preserve">Credit-loss charge plus other-asset write-back (signed).</t>
  </si>
  <si>
    <t xml:space="preserve">sum</t>
  </si>
  <si>
    <t xml:space="preserve">UNION16-LI;UNION16-OI</t>
  </si>
  <si>
    <t xml:space="preserve">sum of UNION15-LI + UNION15-OI</t>
  </si>
  <si>
    <t xml:space="preserve">UNION15-LI;UNION15-OI</t>
  </si>
  <si>
    <t xml:space="preserve">sum of STAN20-T1 + STAN20-T2</t>
  </si>
  <si>
    <t xml:space="preserve">Printed 'Total regulatory capital' subtotal for 2020 (176,542 Basel II; 182,720 adjusted) does not equal Eligible Tier I + Tier II (202,809+18,599=221,408; 204,868+18,600=223,468); the components reproduce the printed CARs 19.4%/19.6% on RWA 1,140,396. Admitted as sum of verified components; misprinted subtotal logged as conflict.</t>
  </si>
  <si>
    <t xml:space="preserve">STAN20-T1;STAN20-T2</t>
  </si>
  <si>
    <t xml:space="preserve">sum of STAN20-T1T + STAN20-T2T</t>
  </si>
  <si>
    <t xml:space="preserve">STAN20-T1T;STAN20-T2T</t>
  </si>
  <si>
    <t xml:space="preserve">Bank collective + specific</t>
  </si>
  <si>
    <t xml:space="preserve">sum of ZEN16-CA + ZEN16-SA</t>
  </si>
  <si>
    <t xml:space="preserve">IAS 39 total customer-loan allowance.</t>
  </si>
  <si>
    <t xml:space="preserve">ZEN16-CA;ZEN16-SA</t>
  </si>
  <si>
    <t xml:space="preserve">sum of ZEN17-CA + ZEN17-SA</t>
  </si>
  <si>
    <t xml:space="preserve">IAS 39 total customer-loan allowance (closing 2017, pre-IFRS 9).</t>
  </si>
  <si>
    <t xml:space="preserve">ZEN17-CA;ZEN17-SA</t>
  </si>
  <si>
    <t xml:space="preserve">sum of GTB19-LI + GTB19-OI</t>
  </si>
  <si>
    <t xml:space="preserve">Loan charge + other financial-asset impairment (signed).</t>
  </si>
  <si>
    <t xml:space="preserve">GTB19-LI;GTB19-OI</t>
  </si>
  <si>
    <t xml:space="preserve">sum of GTB19-GLI + GTB19-GLN</t>
  </si>
  <si>
    <t xml:space="preserve">Individuals + non-individuals.</t>
  </si>
  <si>
    <t xml:space="preserve">GTB19-GLI;GTB19-GLN</t>
  </si>
  <si>
    <t xml:space="preserve">sum of GTB19-ALI + GTB19-ALN</t>
  </si>
  <si>
    <t xml:space="preserve">Individuals + non-individuals customer-loan allowance.</t>
  </si>
  <si>
    <t xml:space="preserve">GTB19-ALI;GTB19-ALN</t>
  </si>
  <si>
    <t xml:space="preserve">sum of GTB19-S3I + GTB19-S3N</t>
  </si>
  <si>
    <t xml:space="preserve">GTB19-S3I;GTB19-S3N</t>
  </si>
  <si>
    <t xml:space="preserve">sum of GTB18-LI + GTB18-OI</t>
  </si>
  <si>
    <t xml:space="preserve">GTB18-LI;GTB18-OI</t>
  </si>
  <si>
    <t xml:space="preserve">sum of GTB18-GLI + GTB18-GLN</t>
  </si>
  <si>
    <t xml:space="preserve">GTB18-GLI;GTB18-GLN</t>
  </si>
  <si>
    <t xml:space="preserve">sum of GTB18-ALI + GTB18-ALN</t>
  </si>
  <si>
    <t xml:space="preserve">GTB18-ALI;GTB18-ALN</t>
  </si>
  <si>
    <t xml:space="preserve">sum of GTB18-S3I + GTB18-S3N</t>
  </si>
  <si>
    <t xml:space="preserve">GTB18-S3I;GTB18-S3N</t>
  </si>
  <si>
    <t xml:space="preserve">sum of GTB17-LI + GTB17-OI</t>
  </si>
  <si>
    <t xml:space="preserve">GTB17-LI;GTB17-OI</t>
  </si>
  <si>
    <t xml:space="preserve">sum of GTB17-GLI + GTB17-GLN</t>
  </si>
  <si>
    <t xml:space="preserve">GTB17-GLI;GTB17-GLN</t>
  </si>
  <si>
    <t xml:space="preserve">sum of GTB17-ALI + GTB17-ALN</t>
  </si>
  <si>
    <t xml:space="preserve">GTB17-ALI;GTB17-ALN</t>
  </si>
  <si>
    <t xml:space="preserve">sum of STER15-SA + STER15-CA</t>
  </si>
  <si>
    <t xml:space="preserve">No printed total allowance; derived as individual (11,566,682) + collective (4,181,903) = 15,748,585 from note 19 rows of the same column. Sign converted to expense-positive.</t>
  </si>
  <si>
    <t xml:space="preserve">components printed in parentheses; stored positive</t>
  </si>
  <si>
    <t xml:space="preserve">STER15-SA;STER15-CA</t>
  </si>
  <si>
    <t xml:space="preserve">sum of STER20-ALN + STER20-ALI</t>
  </si>
  <si>
    <t xml:space="preserve">IFRS 9 ECL allowance on loans and advances to customers = corporate 14,111 + individuals 2,421 = 16,532; no Bank-column total printed in note 19 (613,359-16,532=596,827 agrees to net). 16,532 is printed as total on p139 (credit-quality table) but that table is not column-labelled Bank.</t>
  </si>
  <si>
    <t xml:space="preserve">STER20-ALN;STER20-ALI</t>
  </si>
  <si>
    <t xml:space="preserve">sum of STER16-SA + STER16-CA</t>
  </si>
  <si>
    <t xml:space="preserve">No printed total allowance; derived as individual (4,187,291) + collective (4,276,002) = 8,463,293 from note 20 rows of the same column. Sign converted to expense-positive.</t>
  </si>
  <si>
    <t xml:space="preserve">STER16-SA;STER16-CA</t>
  </si>
  <si>
    <t xml:space="preserve">sum of GTB20-LI + GTB20-OI</t>
  </si>
  <si>
    <t xml:space="preserve">Net impairment on the income statement = loan impairment charges 13,667,341 less net impairment reversal on other financial assets 3,111,874 = 10,555,467, following the 2019 panel convention (total_impairment 1,859.247 = 2,221.501 - 362.254). If the single loan-impairment line is preferred, use GTB20-LI (13,667,341).</t>
  </si>
  <si>
    <t xml:space="preserve">GTB20-LI;GTB20-OI</t>
  </si>
  <si>
    <t xml:space="preserve">sum of GTB20-ALWI + GTB20-ALWN</t>
  </si>
  <si>
    <t xml:space="preserve">IFRS 9 ECL allowance on loans to customers = 10,338,167 + 52,582,455 = 62,920,622; no Parent customer-only total printed (p153 'Total allowance' 62,948,156 includes loans to banks 27,534). Checks: 1,473,498,356 - 62,920,622 = 1,410,577,734 = net loans; auditor KAM p64 'N62.92billion - Bank'</t>
  </si>
  <si>
    <t xml:space="preserve">GTB20-ALWI;GTB20-ALWN</t>
  </si>
  <si>
    <t xml:space="preserve">sum of GTB15-GLI + GTB15-GLN</t>
  </si>
  <si>
    <t xml:space="preserve">Individuals + non-individuals = 1,291,516,228</t>
  </si>
  <si>
    <t xml:space="preserve">GTB15-GLI;GTB15-GLN</t>
  </si>
  <si>
    <t xml:space="preserve">sum of GTB15-ALI + GTB15-ALN</t>
  </si>
  <si>
    <t xml:space="preserve">Individuals + non-individuals customer-loan allowance = 26,308,785; gross - allowance = 1,265,207,443 = printed total carrying amount</t>
  </si>
  <si>
    <t xml:space="preserve">GTB15-ALI;GTB15-ALN</t>
  </si>
  <si>
    <t xml:space="preserve">sum of GTB16-GLI + GTB16-GLN</t>
  </si>
  <si>
    <t xml:space="preserve">Individuals + non-individuals = 1,491,117,716</t>
  </si>
  <si>
    <t xml:space="preserve">GTB16-GLI;GTB16-GLN</t>
  </si>
  <si>
    <t xml:space="preserve">sum of GTB16-ALI + GTB16-ALN</t>
  </si>
  <si>
    <t xml:space="preserve">Individuals + non-individuals allowance = 73,899,764; gross - allowance = 1,417,217,952 = printed total carrying amount</t>
  </si>
  <si>
    <t xml:space="preserve">GTB16-ALI;GTB16-ALN</t>
  </si>
  <si>
    <t xml:space="preserve">sum of STANH14-LCDL + STANH14-LCTL + STANH14-LCDB + STANH14-LCDC + STANH14-LCOB + STANH14-LCSD + STANH14-LCCT + STANH14-LCPO</t>
  </si>
  <si>
    <t xml:space="preserve">Sum of the Bank's printed liability lines; derived as the sum of the Bank's printed liability lines (829,231) = 911,052 - 81,821. Prior-year row (2013</t>
  </si>
  <si>
    <t xml:space="preserve">STANH14-LCDL;STANH14-LCTL;STANH14-LCDB;STANH14-LCDC;STANH14-LCOB;STANH14-LCSD;STANH14-LCCT;STANH14-LCPO</t>
  </si>
  <si>
    <t xml:space="preserve">sum of STANH15-LCDL + STANH15-LCTL + STANH15-LCDB + STANH15-LCDC + STANH15-LCOB + STANH15-LCSD + STANH15-LCCT + STANH15-LCPO</t>
  </si>
  <si>
    <t xml:space="preserve">Sum of the Bank's printed liability lines; derived as the sum of the Bank's printed liability lines (795,663), which equals total liabilities and equity 890,580 less equity 94,917.</t>
  </si>
  <si>
    <t xml:space="preserve">STANH15-LCDL;STANH15-LCTL;STANH15-LCDB;STANH15-LCDC;STANH15-LCOB;STANH15-LCSD;STANH15-LCCT;STANH15-LCPO</t>
  </si>
  <si>
    <t xml:space="preserve">sum of STANH16-LCDL + STANH16-LCTL + STANH16-LCDB + STANH16-LCDC + STANH16-LCOB + STANH16-LCSD + STANH16-LCCT + STANH16-LCPO</t>
  </si>
  <si>
    <t xml:space="preserve">Sum of the Bank's printed liability lines; derived as the sum of the Bank's printed liability lines (884,443) = 993,759 - 109,316.</t>
  </si>
  <si>
    <t xml:space="preserve">STANH16-LCDL;STANH16-LCTL;STANH16-LCDB;STANH16-LCDC;STANH16-LCOB;STANH16-LCSD;STANH16-LCCT;STANH16-LCPO</t>
  </si>
  <si>
    <t xml:space="preserve">sum of STANH17-LCDL + STANH17-LCTL + STANH17-LCDB + STANH17-LCDC + STANH17-LCOB + STANH17-LCSD + STANH17-LCCT + STANH17-LCPO</t>
  </si>
  <si>
    <t xml:space="preserve">Sum of the Bank's printed liability lines; derived as the sum of the Bank's printed liability lines (1,193,969) = 1,332,669 - 138,700. Cross-check</t>
  </si>
  <si>
    <t xml:space="preserve">STANH17-LCDL;STANH17-LCTL;STANH17-LCDB;STANH17-LCDC;STANH17-LCOB;STANH17-LCSD;STANH17-LCCT;STANH17-LCPO</t>
  </si>
  <si>
    <t xml:space="preserve">sum of FBN19-GLC + FBN19-GLR</t>
  </si>
  <si>
    <t xml:space="preserve">Corporate + retail = 1,618,817</t>
  </si>
  <si>
    <t xml:space="preserve">FBN19-GLC;FBN19-GLR</t>
  </si>
  <si>
    <t xml:space="preserve">sum of FBN19-ALC + FBN19-ALR</t>
  </si>
  <si>
    <t xml:space="preserve">Corporate + retail allowance = 59,314; gross - allowance = 1,559,503 = printed carrying amount (SOFP 1,559,504; rounding 1)</t>
  </si>
  <si>
    <t xml:space="preserve">FBN19-ALC;FBN19-ALR</t>
  </si>
  <si>
    <t xml:space="preserve">sum of FBN18C-GLC + FBN18C-GLR</t>
  </si>
  <si>
    <t xml:space="preserve">Corporate + retail (2019 report, 2018 comparative) = 1,728,964 = 2018 original net loans 1,451,415 + 2018 original allowance 277,549</t>
  </si>
  <si>
    <t xml:space="preserve">FBN18C-GLC;FBN18C-GLR</t>
  </si>
  <si>
    <t xml:space="preserve">2021 audited FS; 2020 comparative</t>
  </si>
  <si>
    <t xml:space="preserve">reviewer reading of rendered page</t>
  </si>
  <si>
    <t xml:space="preserve">review/source_alternatives.csv</t>
  </si>
  <si>
    <t xml:space="preserve">2022 audited FS; 2021 comparative</t>
  </si>
  <si>
    <t xml:space="preserve">Does each selected value match an evidence record?</t>
  </si>
  <si>
    <t xml:space="preserve">evidence_records</t>
  </si>
  <si>
    <t xml:space="preserve">value_matches_evidence</t>
  </si>
  <si>
    <t xml:space="preserve">match_basis</t>
  </si>
  <si>
    <t xml:space="preserve">qualification</t>
  </si>
  <si>
    <t xml:space="preserve">evidence_ids</t>
  </si>
  <si>
    <t xml:space="preserve">direct</t>
  </si>
  <si>
    <t xml:space="preserve">prior-year closing assets</t>
  </si>
  <si>
    <t xml:space="preserve">evidence recorded as CAR_Basel_II</t>
  </si>
  <si>
    <t xml:space="preserve">Basel II comparator reconstructed in the 2014 report (DS0036); the original 2013 report's Basel I CAR was 16.76% (DS0037). Not the originally published 2013 ratio.</t>
  </si>
  <si>
    <t xml:space="preserve">Basel II CAR from the 2014 report regulatory table (DS0033).</t>
  </si>
  <si>
    <t xml:space="preserve">Derived: eligible Tier I + Tier II; printed subtotal 176,542 conflicts (held as a source alternative, unresolved).</t>
  </si>
  <si>
    <t xml:space="preserve">sum of specific_allowance + collective_allowance</t>
  </si>
  <si>
    <t xml:space="preserve">EV0114;EV0110</t>
  </si>
  <si>
    <t xml:space="preserve">EV0129;EV0125</t>
  </si>
  <si>
    <t xml:space="preserve">sum of Corporate_loan_allowance + Retail_loan_allowance</t>
  </si>
  <si>
    <t xml:space="preserve">EV0142;EV0151</t>
  </si>
  <si>
    <t xml:space="preserve">EV0158;EV0167</t>
  </si>
  <si>
    <t xml:space="preserve">NI0058;NI0059</t>
  </si>
  <si>
    <t xml:space="preserve">sum of loan_impairment + other_impairment</t>
  </si>
  <si>
    <t xml:space="preserve">NI0024;NI0025</t>
  </si>
  <si>
    <t xml:space="preserve">NI0020;NI0021</t>
  </si>
  <si>
    <t xml:space="preserve">NI0042;NI0043</t>
  </si>
  <si>
    <t xml:space="preserve">NI0038;NI0039</t>
  </si>
  <si>
    <t xml:space="preserve">evidence recorded as CAR_full_IFRS9_pct</t>
  </si>
  <si>
    <t xml:space="preserve">Full IFRS 9 impact CAR from the 2019 report's restated 2018 comparative (EV0224); transition-adjusted -213.68% held separately (EV0226).</t>
  </si>
  <si>
    <t xml:space="preserve">Full IFRS 9 impact CAR, 2019 report current year (EV0247); transition-adjusted -200.88% (EV0249).</t>
  </si>
  <si>
    <t xml:space="preserve">EV0251;GC-Unity2019</t>
  </si>
  <si>
    <t xml:space="preserve">2023 report comparative: litigation claim reclassified out of impairment (2023 report note 11); original 2022 presentation 4,808.387 held as an alternative.</t>
  </si>
  <si>
    <t xml:space="preserve">Executable queue in priority order.</t>
  </si>
  <si>
    <t xml:space="preserve">order</t>
  </si>
  <si>
    <t xml:space="preserve">target_years</t>
  </si>
  <si>
    <t xml:space="preserve">query</t>
  </si>
  <si>
    <t xml:space="preserve">nimble_calls_estimate</t>
  </si>
  <si>
    <t xml:space="preserve">notes</t>
  </si>
  <si>
    <t xml:space="preserve">report</t>
  </si>
  <si>
    <t xml:space="preserve">2013;2014</t>
  </si>
  <si>
    <t xml:space="preserve">Check report cover, statement scope and comparative version; source year is not the upload-path year.</t>
  </si>
  <si>
    <t xml:space="preserve">2017;2018</t>
  </si>
  <si>
    <t xml:space="preserve">2019;2020</t>
  </si>
  <si>
    <t xml:space="preserve">2021;2022</t>
  </si>
  <si>
    <t xml:space="preserve">2014;2015</t>
  </si>
  <si>
    <t xml:space="preserve">2015;2016</t>
  </si>
  <si>
    <t xml:space="preserve">2022;2021</t>
  </si>
  <si>
    <t xml:space="preserve">Try streamed direct download. Determine whether 2021 comparative can close the missing year.</t>
  </si>
  <si>
    <t xml:space="preserve">search-a83b5d1023</t>
  </si>
  <si>
    <t xml:space="preserve">search</t>
  </si>
  <si>
    <t xml:space="preserve">"Union Bank of Nigeria Plc" "2015" audited annual report financial statements</t>
  </si>
  <si>
    <t xml:space="preserve">bank_year_gap</t>
  </si>
  <si>
    <t xml:space="preserve">Candidate only; Near-complete ten-year bank series; entity=Union Bank of Nigeria Plc</t>
  </si>
  <si>
    <t xml:space="preserve">search-1cc5d69fb7</t>
  </si>
  <si>
    <t xml:space="preserve">"Union Bank of Nigeria Plc" "2016" audited annual report financial statements</t>
  </si>
  <si>
    <t xml:space="preserve">search-f159a68476</t>
  </si>
  <si>
    <t xml:space="preserve">"Wema Bank Plc" "2013" audited annual report financial statements</t>
  </si>
  <si>
    <t xml:space="preserve">No core data; Near-complete ten-year bank series; entity=Wema Bank Plc</t>
  </si>
  <si>
    <t xml:space="preserve">2021;2020</t>
  </si>
  <si>
    <t xml:space="preserve">149 pages; Group and Bank columns. 2020 audited comparative also present.</t>
  </si>
  <si>
    <t xml:space="preserve">147 pages; Group and Bank columns. 2021 audited comparative also present.</t>
  </si>
  <si>
    <t xml:space="preserve">extract</t>
  </si>
  <si>
    <t xml:space="preserve">Lists 2018, 2019, 2021 and 2022 sources; do not assume every linked item is a full report.</t>
  </si>
  <si>
    <t xml:space="preserve">search-d15bd8342e</t>
  </si>
  <si>
    <t xml:space="preserve">"Access Bank Plc" "2017" audited annual report financial statements</t>
  </si>
  <si>
    <t xml:space="preserve">Candidate only; Strengthen pre/post inter-tier comparability; entity=Access Bank Plc</t>
  </si>
  <si>
    <t xml:space="preserve">search-8857da32c4</t>
  </si>
  <si>
    <t xml:space="preserve">"Access Bank Plc" "2018" audited annual report financial statements</t>
  </si>
  <si>
    <t xml:space="preserve">search-ba4ad592aa</t>
  </si>
  <si>
    <t xml:space="preserve">"Access Bank Plc" "2019" audited annual report financial statements</t>
  </si>
  <si>
    <t xml:space="preserve">search-a2d1818ece</t>
  </si>
  <si>
    <t xml:space="preserve">"First Bank of Nigeria Limited" "2017" audited annual report financial statements</t>
  </si>
  <si>
    <t xml:space="preserve">Candidate only; Strengthen pre/post inter-tier comparability; entity=First Bank of Nigeria Limited</t>
  </si>
  <si>
    <t xml:space="preserve">search-7a2b66a2cc</t>
  </si>
  <si>
    <t xml:space="preserve">"First Bank of Nigeria Limited" "2018" audited annual report financial statements</t>
  </si>
  <si>
    <t xml:space="preserve">search-ca5fd0a69b</t>
  </si>
  <si>
    <t xml:space="preserve">"First Bank of Nigeria Limited" "2019" audited annual report financial statements</t>
  </si>
  <si>
    <t xml:space="preserve">search-c1423cbb1b</t>
  </si>
  <si>
    <t xml:space="preserve">"Guaranty Trust Bank Plc" "2017" audited annual report financial statements</t>
  </si>
  <si>
    <t xml:space="preserve">Candidate only; Strengthen pre/post inter-tier comparability; entity=Guaranty Trust Bank Plc / Guaranty Trust Bank Limited</t>
  </si>
  <si>
    <t xml:space="preserve">search-c9a280d3b3</t>
  </si>
  <si>
    <t xml:space="preserve">"Guaranty Trust Bank Plc" "2018" audited annual report financial statements</t>
  </si>
  <si>
    <t xml:space="preserve">search-be48192d07</t>
  </si>
  <si>
    <t xml:space="preserve">"Guaranty Trust Bank Plc" "2019" audited annual report financial statements</t>
  </si>
  <si>
    <t xml:space="preserve">search-a9b6f3d8be</t>
  </si>
  <si>
    <t xml:space="preserve">"Zenith Bank Plc" "2017" audited annual report financial statements</t>
  </si>
  <si>
    <t xml:space="preserve">Candidate only; Strengthen pre/post inter-tier comparability; entity=Zenith Bank Plc</t>
  </si>
  <si>
    <t xml:space="preserve">search-2153eff9fa</t>
  </si>
  <si>
    <t xml:space="preserve">"Zenith Bank Plc" "2018" audited annual report financial statements</t>
  </si>
  <si>
    <t xml:space="preserve">search-aa76a435aa</t>
  </si>
  <si>
    <t xml:space="preserve">"Zenith Bank Plc" "2019" audited annual report financial statements</t>
  </si>
  <si>
    <t xml:space="preserve">10-page scanned/short document. Establish audit status and completeness; do not call it full annual accounts without checking.</t>
  </si>
  <si>
    <t xml:space="preserve">9-page scanned/short document; may not include all risk notes.</t>
  </si>
  <si>
    <t xml:space="preserve">search-fd07b26477</t>
  </si>
  <si>
    <t xml:space="preserve">"First City Monument Bank Limited" "2013" audited annual report financial statements</t>
  </si>
  <si>
    <t xml:space="preserve">No core data; No selected bank-years: establish operating-bank perimeter; entity=First City Monument Bank Limited</t>
  </si>
  <si>
    <t xml:space="preserve">search-13ed75455f</t>
  </si>
  <si>
    <t xml:space="preserve">"First City Monument Bank Limited" "2014" audited annual report financial statements</t>
  </si>
  <si>
    <t xml:space="preserve">search-1161ae5179</t>
  </si>
  <si>
    <t xml:space="preserve">"First City Monument Bank Limited" "2015" audited annual report financial statements</t>
  </si>
  <si>
    <t xml:space="preserve">Candidate only; No selected bank-years: establish operating-bank perimeter; entity=First City Monument Bank Limited</t>
  </si>
  <si>
    <t xml:space="preserve">search-a960ffaf72</t>
  </si>
  <si>
    <t xml:space="preserve">"First City Monument Bank Limited" "2016" audited annual report financial statements</t>
  </si>
  <si>
    <t xml:space="preserve">search-68695c53b4</t>
  </si>
  <si>
    <t xml:space="preserve">"First City Monument Bank Limited" "2017" audited annual report financial statements</t>
  </si>
  <si>
    <t xml:space="preserve">search-2507642abf</t>
  </si>
  <si>
    <t xml:space="preserve">"First City Monument Bank Limited" "2018" audited annual report financial statements</t>
  </si>
  <si>
    <t xml:space="preserve">search-53c2ba9465</t>
  </si>
  <si>
    <t xml:space="preserve">"First City Monument Bank Limited" "2019" audited annual report financial statements</t>
  </si>
  <si>
    <t xml:space="preserve">search-ad31ab8c4d</t>
  </si>
  <si>
    <t xml:space="preserve">"First City Monument Bank Limited" "2020" audited annual report financial statements</t>
  </si>
  <si>
    <t xml:space="preserve">search-da1763c438</t>
  </si>
  <si>
    <t xml:space="preserve">"First City Monument Bank Limited" "2021" audited annual report financial statements</t>
  </si>
  <si>
    <t xml:space="preserve">search-938e3ef962</t>
  </si>
  <si>
    <t xml:space="preserve">"First City Monument Bank Limited" "2022" audited annual report financial statements</t>
  </si>
  <si>
    <t xml:space="preserve">search-4d244b28eb</t>
  </si>
  <si>
    <t xml:space="preserve">"Stanbic IBTC Bank Plc" "2013" audited annual report financial statements</t>
  </si>
  <si>
    <t xml:space="preserve">No core data; No selected bank-years: establish operating-bank perimeter; entity=Stanbic IBTC Bank Plc / Stanbic IBTC Bank Limited</t>
  </si>
  <si>
    <t xml:space="preserve">search-5511c58bce</t>
  </si>
  <si>
    <t xml:space="preserve">"Stanbic IBTC Bank Plc" "2014" audited annual report financial statements</t>
  </si>
  <si>
    <t xml:space="preserve">search-7eb1ffec03</t>
  </si>
  <si>
    <t xml:space="preserve">"Stanbic IBTC Bank Plc" "2015" audited annual report financial statements</t>
  </si>
  <si>
    <t xml:space="preserve">Candidate only; No selected bank-years: establish operating-bank perimeter; entity=Stanbic IBTC Bank Plc / Stanbic IBTC Bank Limited</t>
  </si>
  <si>
    <t xml:space="preserve">search-17e366c309</t>
  </si>
  <si>
    <t xml:space="preserve">"Stanbic IBTC Bank Plc" "2016" audited annual report financial statements</t>
  </si>
  <si>
    <t xml:space="preserve">search-def2492d52</t>
  </si>
  <si>
    <t xml:space="preserve">"Stanbic IBTC Bank Plc" "2017" audited annual report financial statements</t>
  </si>
  <si>
    <t xml:space="preserve">search-be11416116</t>
  </si>
  <si>
    <t xml:space="preserve">"Access Bank Plc" "2015" audited annual report financial statements</t>
  </si>
  <si>
    <t xml:space="preserve">Candidate only; Complete Tier 1 longitudinal evidence; entity=Access Bank Plc</t>
  </si>
  <si>
    <t xml:space="preserve">search-c397d298cd</t>
  </si>
  <si>
    <t xml:space="preserve">"Access Bank Plc" "2016" audited annual report financial statements</t>
  </si>
  <si>
    <t xml:space="preserve">search-9aaaea360b</t>
  </si>
  <si>
    <t xml:space="preserve">"Access Bank Plc" "2020" audited annual report financial statements</t>
  </si>
  <si>
    <t xml:space="preserve">search-19621b121f</t>
  </si>
  <si>
    <t xml:space="preserve">"Access Bank Plc" "2021" audited annual report financial statements</t>
  </si>
  <si>
    <t xml:space="preserve">search-a227cc0523</t>
  </si>
  <si>
    <t xml:space="preserve">"Access Bank Plc" "2022" audited annual report financial statements</t>
  </si>
  <si>
    <t xml:space="preserve">search-4855a6726e</t>
  </si>
  <si>
    <t xml:space="preserve">"First Bank of Nigeria Limited" "2015" audited annual report financial statements</t>
  </si>
  <si>
    <t xml:space="preserve">Candidate only; Complete Tier 1 longitudinal evidence; entity=First Bank of Nigeria Limited</t>
  </si>
  <si>
    <t xml:space="preserve">search-b2b842d600</t>
  </si>
  <si>
    <t xml:space="preserve">"First Bank of Nigeria Limited" "2016" audited annual report financial statements</t>
  </si>
  <si>
    <t xml:space="preserve">search-a4ce79005e</t>
  </si>
  <si>
    <t xml:space="preserve">"First Bank of Nigeria Limited" "2020" audited annual report financial statements</t>
  </si>
  <si>
    <t xml:space="preserve">search-aecfca25e7</t>
  </si>
  <si>
    <t xml:space="preserve">"First Bank of Nigeria Limited" "2021" audited annual report financial statements</t>
  </si>
  <si>
    <t xml:space="preserve">search-6c0fda62eb</t>
  </si>
  <si>
    <t xml:space="preserve">"First Bank of Nigeria Limited" "2022" audited annual report financial statements</t>
  </si>
  <si>
    <t xml:space="preserve">search-690851df63</t>
  </si>
  <si>
    <t xml:space="preserve">"Guaranty Trust Bank Plc" "2015" audited annual report financial statements</t>
  </si>
  <si>
    <t xml:space="preserve">Candidate only; Complete Tier 1 longitudinal evidence; entity=Guaranty Trust Bank Plc / Guaranty Trust Bank Limited</t>
  </si>
  <si>
    <t xml:space="preserve">search-5fd2d9200d</t>
  </si>
  <si>
    <t xml:space="preserve">"Guaranty Trust Bank Plc" "2016" audited annual report financial statements</t>
  </si>
  <si>
    <t xml:space="preserve">search-391f2e777a</t>
  </si>
  <si>
    <t xml:space="preserve">"Guaranty Trust Bank Plc" "2020" audited annual report financial statements</t>
  </si>
  <si>
    <t xml:space="preserve">search-f95bf31cce</t>
  </si>
  <si>
    <t xml:space="preserve">"Guaranty Trust Bank Plc" "2021" audited annual report financial statements</t>
  </si>
  <si>
    <t xml:space="preserve">search-2763fcd30c</t>
  </si>
  <si>
    <t xml:space="preserve">"Guaranty Trust Bank Plc" "2022" audited annual report financial statements</t>
  </si>
  <si>
    <t xml:space="preserve">search-03d711f3b0</t>
  </si>
  <si>
    <t xml:space="preserve">"Zenith Bank Plc" "2013" audited annual report financial statements</t>
  </si>
  <si>
    <t xml:space="preserve">No core data; Complete Tier 1 longitudinal evidence; entity=Zenith Bank Plc</t>
  </si>
  <si>
    <t xml:space="preserve">search-3d4e84f1c2</t>
  </si>
  <si>
    <t xml:space="preserve">"Zenith Bank Plc" "2016" audited annual report financial statements</t>
  </si>
  <si>
    <t xml:space="preserve">Candidate only; Complete Tier 1 longitudinal evidence; entity=Zenith Bank Plc</t>
  </si>
  <si>
    <t xml:space="preserve">search-9b38dba284</t>
  </si>
  <si>
    <t xml:space="preserve">"Zenith Bank Plc" "2020" audited annual report financial statements</t>
  </si>
  <si>
    <t xml:space="preserve">2016;2017</t>
  </si>
  <si>
    <t xml:space="preserve">2018;2019</t>
  </si>
  <si>
    <t xml:space="preserve">312 pages; inspect 2021 comparatives and reporting scope.</t>
  </si>
  <si>
    <t xml:space="preserve">search-ea606f94a7</t>
  </si>
  <si>
    <t xml:space="preserve">"Ecobank Nigeria Limited" "2013" audited annual report financial statements</t>
  </si>
  <si>
    <t xml:space="preserve">No core data; Complete other candidate bank-years; entity=Ecobank Nigeria Limited</t>
  </si>
  <si>
    <t xml:space="preserve">search-215c266061</t>
  </si>
  <si>
    <t xml:space="preserve">"Ecobank Nigeria Limited" "2014" audited annual report financial statements</t>
  </si>
  <si>
    <t xml:space="preserve">search-7fa4c61406</t>
  </si>
  <si>
    <t xml:space="preserve">"Ecobank Nigeria Limited" "2015" audited annual report financial statements</t>
  </si>
  <si>
    <t xml:space="preserve">Candidate only; Complete other candidate bank-years; entity=Ecobank Nigeria Limited</t>
  </si>
  <si>
    <t xml:space="preserve">search-c7fb5f811e</t>
  </si>
  <si>
    <t xml:space="preserve">"Ecobank Nigeria Limited" "2018" audited annual report financial statements</t>
  </si>
  <si>
    <t xml:space="preserve">search-a102ea66e2</t>
  </si>
  <si>
    <t xml:space="preserve">"Ecobank Nigeria Limited" "2019" audited annual report financial statements</t>
  </si>
  <si>
    <t xml:space="preserve">search-de53d28336</t>
  </si>
  <si>
    <t xml:space="preserve">"Ecobank Nigeria Limited" "2020" audited annual report financial statements</t>
  </si>
  <si>
    <t xml:space="preserve">search-77369748a4</t>
  </si>
  <si>
    <t xml:space="preserve">"Ecobank Nigeria Limited" "2021" audited annual report financial statements</t>
  </si>
  <si>
    <t xml:space="preserve">search-b5fcdd4a48</t>
  </si>
  <si>
    <t xml:space="preserve">"Ecobank Nigeria Limited" "2022" audited annual report financial statements</t>
  </si>
  <si>
    <t xml:space="preserve">search-5e73b704e5</t>
  </si>
  <si>
    <t xml:space="preserve">"Fidelity Bank Plc" "2014" audited annual report financial statements</t>
  </si>
  <si>
    <t xml:space="preserve">No core data; Complete other candidate bank-years; entity=Fidelity Bank Plc</t>
  </si>
  <si>
    <t xml:space="preserve">search-2ecf0d365f</t>
  </si>
  <si>
    <t xml:space="preserve">"Fidelity Bank Plc" "2015" audited annual report financial statements</t>
  </si>
  <si>
    <t xml:space="preserve">Candidate only; Complete other candidate bank-years; entity=Fidelity Bank Plc</t>
  </si>
  <si>
    <t xml:space="preserve">search-d85a2ff34f</t>
  </si>
  <si>
    <t xml:space="preserve">"Fidelity Bank Plc" "2016" audited annual report financial statements</t>
  </si>
  <si>
    <t xml:space="preserve">search-b96090e413</t>
  </si>
  <si>
    <t xml:space="preserve">"Fidelity Bank Plc" "2017" audited annual report financial statements</t>
  </si>
  <si>
    <t xml:space="preserve">search-434ce51396</t>
  </si>
  <si>
    <t xml:space="preserve">"Fidelity Bank Plc" "2020" audited annual report financial statements</t>
  </si>
  <si>
    <t xml:space="preserve">search-85d4d11ed5</t>
  </si>
  <si>
    <t xml:space="preserve">"Sterling Bank Plc" "2015" audited annual report financial statements</t>
  </si>
  <si>
    <t xml:space="preserve">Candidate only; Complete other candidate bank-years; entity=Sterling Bank Plc / Sterling Bank Limited</t>
  </si>
  <si>
    <t xml:space="preserve">search-32306379d1</t>
  </si>
  <si>
    <t xml:space="preserve">"Sterling Bank Plc" "2016" audited annual report financial statements</t>
  </si>
  <si>
    <t xml:space="preserve">search-186da57375</t>
  </si>
  <si>
    <t xml:space="preserve">"Sterling Bank Plc" "2017" audited annual report financial statements</t>
  </si>
  <si>
    <t xml:space="preserve">search-bc3f64969b</t>
  </si>
  <si>
    <t xml:space="preserve">"Sterling Bank Plc" "2020" audited annual report financial statements</t>
  </si>
  <si>
    <t xml:space="preserve">search-af73e8ba05</t>
  </si>
  <si>
    <t xml:space="preserve">"Sterling Bank Plc" "2021" audited annual report financial statements</t>
  </si>
  <si>
    <t xml:space="preserve">search-6d5cbdf720</t>
  </si>
  <si>
    <t xml:space="preserve">"Sterling Bank Plc" "2022" audited annual report financial statements</t>
  </si>
  <si>
    <t xml:space="preserve">search-f38d366a13</t>
  </si>
  <si>
    <t xml:space="preserve">"Unity Bank Plc" "2013" audited annual report financial statements</t>
  </si>
  <si>
    <t xml:space="preserve">No core data; Complete other candidate bank-years; entity=Unity Bank Plc</t>
  </si>
  <si>
    <t xml:space="preserve">search-075baa5ce4</t>
  </si>
  <si>
    <t xml:space="preserve">"Unity Bank Plc" "2014" audited annual report financial statements</t>
  </si>
  <si>
    <t xml:space="preserve">search-271313562e</t>
  </si>
  <si>
    <t xml:space="preserve">"Unity Bank Plc" "2015" audited annual report financial statements</t>
  </si>
  <si>
    <t xml:space="preserve">Candidate only; Complete other candidate bank-years; entity=Unity Bank Plc</t>
  </si>
  <si>
    <t xml:space="preserve">search-fdb16ac18f</t>
  </si>
  <si>
    <t xml:space="preserve">"Unity Bank Plc" "2016" audited annual report financial statements</t>
  </si>
  <si>
    <t xml:space="preserve">search-3c2f803f99</t>
  </si>
  <si>
    <t xml:space="preserve">"Unity Bank Plc" "2017" audited annual report financial statements</t>
  </si>
  <si>
    <t xml:space="preserve">search-97f6f80ed2</t>
  </si>
  <si>
    <t xml:space="preserve">"Unity Bank Plc" "2020" audited annual report financial statements</t>
  </si>
  <si>
    <t xml:space="preserve">search-c34d97c75a</t>
  </si>
  <si>
    <t xml:space="preserve">"Unity Bank Plc" "2021" audited annual report financial statements</t>
  </si>
  <si>
    <t xml:space="preserve">search-51507d79ab</t>
  </si>
  <si>
    <t xml:space="preserve">"Unity Bank Plc" "2022" audited annual report financial statements</t>
  </si>
  <si>
    <t xml:space="preserve">Unverified raw candidates. Not used in Panel_Inputs.</t>
  </si>
  <si>
    <t xml:space="preserve">candidate_source</t>
  </si>
  <si>
    <t xml:space="preserve">locator</t>
  </si>
  <si>
    <t xml:space="preserve">raw CSV extract</t>
  </si>
  <si>
    <t xml:space="preserve">candidate_unverified</t>
  </si>
  <si>
    <t xml:space="preserve">PwC</t>
  </si>
  <si>
    <t xml:space="preserve">EY</t>
  </si>
  <si>
    <t xml:space="preserve">Ernst &amp; Young, PKF</t>
  </si>
  <si>
    <t xml:space="preserve">PKF &amp; Ernst &amp; Young</t>
  </si>
  <si>
    <t xml:space="preserve">Missing</t>
  </si>
  <si>
    <t xml:space="preserve">Deloitte</t>
  </si>
  <si>
    <t xml:space="preserve">Ahmed Zakari &amp; Co</t>
  </si>
  <si>
    <t xml:space="preserve">raw Word tables</t>
  </si>
  <si>
    <t xml:space="preserve">p. 2; Tables 1(a)/(b)</t>
  </si>
  <si>
    <t xml:space="preserve">p. 3; Tables 2(a)/(b)</t>
  </si>
  <si>
    <t xml:space="preserve">p. 4; Tables 3(a)/(b)</t>
  </si>
  <si>
    <t xml:space="preserve">p. 5; Tables 4(a)/(b)</t>
  </si>
  <si>
    <t xml:space="preserve">p. 6; Tables 5(a)/(b)</t>
  </si>
  <si>
    <t xml:space="preserve">p. 7; Tables 6(a)/(b)</t>
  </si>
  <si>
    <t xml:space="preserve">p. 8; Tables 7(a)/(b)</t>
  </si>
  <si>
    <t xml:space="preserve">p. 9; Tables 8(a)/(b)</t>
  </si>
  <si>
    <t xml:space="preserve">p. 10; Tables 9(a)/(b)</t>
  </si>
  <si>
    <t xml:space="preserve">p. 11; Tables 10(a)/(b)</t>
  </si>
  <si>
    <t xml:space="preserve">p. 12; Tables 11(a)/(b)</t>
  </si>
  <si>
    <t xml:space="preserve">p. 13; Tables 12(a)/(b)</t>
  </si>
  <si>
    <t xml:space="preserve">p. 14; Tables 13(a)/(b)</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</si>
</sst>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55555"/>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0" t="s">
        <v>1</v>
      </c>
      <c r="B2" s="0" t="s">
        <v>2</v>
      </c>
    </row>
    <row r="3" customFormat="false" ht="15" hidden="false" customHeight="false" outlineLevel="0" collapsed="false">
      <c r="A3" s="0" t="s">
        <v>3</v>
      </c>
      <c r="B3" s="0" t="s">
        <v>4</v>
      </c>
    </row>
    <row r="4" customFormat="false" ht="15" hidden="false" customHeight="false" outlineLevel="0" collapsed="false">
      <c r="A4" s="0" t="s">
        <v>5</v>
      </c>
      <c r="B4" s="0" t="s">
        <v>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15" hidden="false" customHeight="false" outlineLevel="0" collapsed="false">
      <c r="A15" s="0" t="s">
        <v>27</v>
      </c>
      <c r="B15" s="0" t="s">
        <v>28</v>
      </c>
    </row>
    <row r="16" customFormat="false" ht="15" hidden="false" customHeight="false" outlineLevel="0" collapsed="false">
      <c r="A16" s="0" t="s">
        <v>29</v>
      </c>
      <c r="B16" s="0"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row r="20" customFormat="false" ht="15" hidden="false" customHeight="false" outlineLevel="0" collapsed="false">
      <c r="A20" s="0" t="s">
        <v>37</v>
      </c>
      <c r="B20" s="0" t="s">
        <v>38</v>
      </c>
    </row>
    <row r="21" customFormat="false" ht="15" hidden="false" customHeight="false" outlineLevel="0" collapsed="false">
      <c r="A21" s="0" t="s">
        <v>39</v>
      </c>
      <c r="B21" s="0" t="s">
        <v>40</v>
      </c>
    </row>
    <row r="22" customFormat="false" ht="15" hidden="false" customHeight="false" outlineLevel="0" collapsed="false">
      <c r="A22" s="0" t="s">
        <v>41</v>
      </c>
      <c r="B22" s="0" t="s">
        <v>42</v>
      </c>
    </row>
    <row r="23" customFormat="false" ht="15" hidden="false" customHeight="false" outlineLevel="0" collapsed="false">
      <c r="A23" s="0" t="s">
        <v>43</v>
      </c>
      <c r="B23" s="0" t="s">
        <v>44</v>
      </c>
    </row>
    <row r="24" customFormat="false" ht="15" hidden="false" customHeight="false" outlineLevel="0" collapsed="false">
      <c r="A24" s="0" t="s">
        <v>45</v>
      </c>
      <c r="B24" s="0" t="s">
        <v>46</v>
      </c>
    </row>
    <row r="25" customFormat="false" ht="15" hidden="false" customHeight="false" outlineLevel="0" collapsed="false">
      <c r="A25" s="0" t="s">
        <v>47</v>
      </c>
      <c r="B25" s="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0"/>
    <col collapsed="false" customWidth="true" hidden="false" outlineLevel="0" max="7" min="7" style="0" width="13"/>
    <col collapsed="false" customWidth="true" hidden="false" outlineLevel="0" max="9" min="8" style="0" width="10"/>
    <col collapsed="false" customWidth="true" hidden="false" outlineLevel="0" max="10" min="10" style="0" width="16"/>
    <col collapsed="false" customWidth="true" hidden="false" outlineLevel="0" max="11" min="11" style="0" width="13"/>
    <col collapsed="false" customWidth="true" hidden="false" outlineLevel="0" max="12" min="12" style="0" width="16"/>
    <col collapsed="false" customWidth="true" hidden="false" outlineLevel="0" max="13" min="13" style="0" width="11"/>
    <col collapsed="false" customWidth="true" hidden="false" outlineLevel="0" max="14" min="14" style="0" width="18"/>
    <col collapsed="false" customWidth="true" hidden="false" outlineLevel="0" max="15" min="15" style="0" width="12"/>
    <col collapsed="false" customWidth="true" hidden="false" outlineLevel="0" max="16" min="16" style="0" width="20"/>
    <col collapsed="false" customWidth="true" hidden="false" outlineLevel="0" max="17" min="17" style="0" width="10"/>
    <col collapsed="false" customWidth="true" hidden="false" outlineLevel="0" max="18" min="18" style="0" width="14"/>
    <col collapsed="false" customWidth="true" hidden="false" outlineLevel="0" max="19" min="19" style="0" width="18"/>
    <col collapsed="false" customWidth="true" hidden="false" outlineLevel="0" max="20" min="20" style="0" width="10"/>
    <col collapsed="false" customWidth="true" hidden="false" outlineLevel="0" max="21" min="21" style="0" width="13"/>
    <col collapsed="false" customWidth="true" hidden="false" outlineLevel="0" max="22" min="22" style="0" width="11"/>
    <col collapsed="false" customWidth="true" hidden="false" outlineLevel="0" max="23" min="23" style="0" width="22"/>
    <col collapsed="false" customWidth="true" hidden="false" outlineLevel="0" max="24" min="24" style="0" width="10"/>
    <col collapsed="false" customWidth="true" hidden="false" outlineLevel="0" max="25" min="25" style="0" width="12"/>
    <col collapsed="false" customWidth="true" hidden="false" outlineLevel="0" max="26" min="26" style="0" width="14"/>
    <col collapsed="false" customWidth="true" hidden="false" outlineLevel="0" max="27" min="27" style="0" width="10"/>
  </cols>
  <sheetData>
    <row r="1" customFormat="false" ht="15" hidden="false" customHeight="false" outlineLevel="0" collapsed="false">
      <c r="A1" s="2" t="s">
        <v>49</v>
      </c>
    </row>
    <row r="3" customFormat="false" ht="15" hidden="false" customHeight="false" outlineLevel="0" collapsed="false">
      <c r="A3" s="3" t="s">
        <v>50</v>
      </c>
      <c r="B3" s="3" t="s">
        <v>51</v>
      </c>
      <c r="C3" s="3" t="s">
        <v>52</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67</v>
      </c>
      <c r="S3" s="3" t="s">
        <v>68</v>
      </c>
      <c r="T3" s="3" t="s">
        <v>69</v>
      </c>
      <c r="U3" s="3" t="s">
        <v>70</v>
      </c>
      <c r="V3" s="3" t="s">
        <v>71</v>
      </c>
      <c r="W3" s="3" t="s">
        <v>72</v>
      </c>
      <c r="X3" s="3" t="s">
        <v>73</v>
      </c>
      <c r="Y3" s="3" t="s">
        <v>74</v>
      </c>
      <c r="Z3" s="3" t="s">
        <v>75</v>
      </c>
      <c r="AA3" s="3" t="s">
        <v>76</v>
      </c>
    </row>
    <row r="4" customFormat="false" ht="15" hidden="false" customHeight="false" outlineLevel="0" collapsed="false">
      <c r="A4" s="0" t="s">
        <v>77</v>
      </c>
      <c r="B4" s="0" t="n">
        <v>2013</v>
      </c>
      <c r="C4" s="0" t="s">
        <v>78</v>
      </c>
      <c r="D4" s="0" t="s">
        <v>79</v>
      </c>
      <c r="E4" s="0" t="n">
        <v>26211.844</v>
      </c>
      <c r="F4" s="0" t="n">
        <v>1704094.012</v>
      </c>
      <c r="G4" s="0" t="n">
        <v>1458912.014</v>
      </c>
      <c r="H4" s="0" t="n">
        <v>245181.998</v>
      </c>
      <c r="N4" s="0" t="n">
        <v>-7508.216</v>
      </c>
      <c r="O4" s="0" t="n">
        <v>17924.178</v>
      </c>
      <c r="Y4" s="0" t="s">
        <v>80</v>
      </c>
      <c r="Z4" s="0" t="s">
        <v>81</v>
      </c>
      <c r="AA4" s="0" t="s">
        <v>82</v>
      </c>
    </row>
    <row r="5" customFormat="false" ht="15" hidden="false" customHeight="false" outlineLevel="0" collapsed="false">
      <c r="A5" s="0" t="s">
        <v>77</v>
      </c>
      <c r="B5" s="0" t="n">
        <v>2014</v>
      </c>
      <c r="C5" s="0" t="s">
        <v>78</v>
      </c>
      <c r="D5" s="0" t="s">
        <v>79</v>
      </c>
      <c r="E5" s="0" t="n">
        <v>39941.126</v>
      </c>
      <c r="F5" s="0" t="n">
        <v>1981955.73</v>
      </c>
      <c r="G5" s="0" t="n">
        <v>1707799.944</v>
      </c>
      <c r="H5" s="0" t="n">
        <v>274155.785</v>
      </c>
      <c r="J5" s="0" t="n">
        <v>1704094.012</v>
      </c>
      <c r="N5" s="0" t="n">
        <v>10609.3</v>
      </c>
      <c r="O5" s="0" t="n">
        <v>19966.521</v>
      </c>
      <c r="Y5" s="0" t="s">
        <v>80</v>
      </c>
      <c r="Z5" s="0" t="s">
        <v>81</v>
      </c>
      <c r="AA5" s="0" t="s">
        <v>82</v>
      </c>
    </row>
    <row r="6" customFormat="false" ht="15" hidden="false" customHeight="false" outlineLevel="0" collapsed="false">
      <c r="A6" s="0" t="s">
        <v>77</v>
      </c>
      <c r="B6" s="0" t="n">
        <v>2015</v>
      </c>
      <c r="C6" s="0" t="s">
        <v>78</v>
      </c>
      <c r="D6" s="0" t="s">
        <v>79</v>
      </c>
      <c r="E6" s="0" t="n">
        <v>58924.745</v>
      </c>
      <c r="F6" s="0" t="n">
        <v>2411944.061</v>
      </c>
      <c r="G6" s="0" t="n">
        <v>2051515.157</v>
      </c>
      <c r="H6" s="0" t="n">
        <v>360428.904</v>
      </c>
      <c r="I6" s="0" t="n">
        <v>-181246.613</v>
      </c>
      <c r="J6" s="0" t="n">
        <v>1981955.73</v>
      </c>
      <c r="K6" s="0" t="n">
        <v>1270121.392</v>
      </c>
      <c r="L6" s="0" t="n">
        <v>26906.083</v>
      </c>
      <c r="M6" s="0" t="n">
        <v>1243215.309</v>
      </c>
      <c r="N6" s="0" t="n">
        <v>13287.613</v>
      </c>
      <c r="P6" s="0" t="n">
        <v>340521.191</v>
      </c>
      <c r="Q6" s="0" t="n">
        <v>1887612.134</v>
      </c>
      <c r="T6" s="0" t="n">
        <v>18</v>
      </c>
      <c r="U6" s="0" t="n">
        <v>16</v>
      </c>
      <c r="X6" s="0" t="n">
        <v>0</v>
      </c>
      <c r="Y6" s="0" t="s">
        <v>83</v>
      </c>
      <c r="Z6" s="0" t="s">
        <v>84</v>
      </c>
      <c r="AA6" s="0" t="s">
        <v>85</v>
      </c>
    </row>
    <row r="7" customFormat="false" ht="15" hidden="false" customHeight="false" outlineLevel="0" collapsed="false">
      <c r="A7" s="0" t="s">
        <v>77</v>
      </c>
      <c r="B7" s="0" t="n">
        <v>2016</v>
      </c>
      <c r="C7" s="0" t="s">
        <v>78</v>
      </c>
      <c r="D7" s="0" t="s">
        <v>79</v>
      </c>
      <c r="E7" s="0" t="n">
        <v>64026.135</v>
      </c>
      <c r="F7" s="0" t="n">
        <v>3094960.515</v>
      </c>
      <c r="G7" s="0" t="n">
        <v>2673281.895</v>
      </c>
      <c r="H7" s="0" t="n">
        <v>421678.62</v>
      </c>
      <c r="I7" s="0" t="n">
        <v>-124135.579</v>
      </c>
      <c r="J7" s="0" t="n">
        <v>2411944.061</v>
      </c>
      <c r="K7" s="0" t="n">
        <v>1624837.859</v>
      </c>
      <c r="L7" s="0" t="n">
        <v>30275.514</v>
      </c>
      <c r="M7" s="0" t="n">
        <v>1594562.345</v>
      </c>
      <c r="N7" s="0" t="n">
        <v>17641.127</v>
      </c>
      <c r="P7" s="0" t="n">
        <v>419807.319</v>
      </c>
      <c r="Q7" s="0" t="n">
        <v>2146850.027</v>
      </c>
      <c r="T7" s="0" t="n">
        <v>19.55</v>
      </c>
      <c r="U7" s="0" t="n">
        <v>16</v>
      </c>
      <c r="X7" s="0" t="n">
        <v>0</v>
      </c>
      <c r="Y7" s="0" t="s">
        <v>86</v>
      </c>
      <c r="Z7" s="0" t="s">
        <v>87</v>
      </c>
      <c r="AA7" s="0" t="s">
        <v>85</v>
      </c>
    </row>
    <row r="8" customFormat="false" ht="15" hidden="false" customHeight="false" outlineLevel="0" collapsed="false">
      <c r="A8" s="0" t="s">
        <v>77</v>
      </c>
      <c r="B8" s="0" t="n">
        <v>2017</v>
      </c>
      <c r="C8" s="0" t="s">
        <v>78</v>
      </c>
      <c r="D8" s="0" t="s">
        <v>79</v>
      </c>
      <c r="E8" s="0" t="n">
        <v>53238.822</v>
      </c>
      <c r="F8" s="0" t="n">
        <v>3499683.979</v>
      </c>
      <c r="G8" s="0" t="n">
        <v>3030192.882</v>
      </c>
      <c r="H8" s="0" t="n">
        <v>469491.097</v>
      </c>
      <c r="I8" s="0" t="n">
        <v>104360.682</v>
      </c>
      <c r="J8" s="0" t="n">
        <v>3094960.515</v>
      </c>
      <c r="K8" s="0" t="n">
        <v>1827572.14</v>
      </c>
      <c r="L8" s="0" t="n">
        <v>56289.402</v>
      </c>
      <c r="M8" s="0" t="n">
        <v>1771282.739</v>
      </c>
      <c r="N8" s="0" t="n">
        <v>29149.849</v>
      </c>
      <c r="P8" s="0" t="n">
        <v>420096.297</v>
      </c>
      <c r="Q8" s="0" t="n">
        <v>2311370.698</v>
      </c>
      <c r="T8" s="0" t="n">
        <v>18.18</v>
      </c>
      <c r="U8" s="0" t="n">
        <v>16</v>
      </c>
      <c r="X8" s="0" t="n">
        <v>0</v>
      </c>
      <c r="Y8" s="0" t="s">
        <v>88</v>
      </c>
      <c r="Z8" s="0" t="s">
        <v>89</v>
      </c>
      <c r="AA8" s="0" t="s">
        <v>85</v>
      </c>
    </row>
    <row r="9" customFormat="false" ht="15" hidden="false" customHeight="false" outlineLevel="0" collapsed="false">
      <c r="A9" s="0" t="s">
        <v>77</v>
      </c>
      <c r="B9" s="0" t="n">
        <v>2018</v>
      </c>
      <c r="C9" s="0" t="s">
        <v>78</v>
      </c>
      <c r="D9" s="0" t="s">
        <v>90</v>
      </c>
      <c r="E9" s="0" t="n">
        <v>73596.295</v>
      </c>
      <c r="F9" s="0" t="n">
        <v>3968114.609</v>
      </c>
      <c r="G9" s="0" t="n">
        <v>3527314.852</v>
      </c>
      <c r="H9" s="0" t="n">
        <v>440799.757</v>
      </c>
      <c r="I9" s="0" t="n">
        <v>366002.39</v>
      </c>
      <c r="M9" s="0" t="n">
        <v>1681761.862</v>
      </c>
      <c r="N9" s="0" t="n">
        <v>10702.144</v>
      </c>
      <c r="Y9" s="0" t="s">
        <v>91</v>
      </c>
      <c r="Z9" s="0" t="s">
        <v>92</v>
      </c>
      <c r="AA9" s="0" t="s">
        <v>85</v>
      </c>
    </row>
    <row r="10" customFormat="false" ht="15" hidden="false" customHeight="false" outlineLevel="0" collapsed="false">
      <c r="A10" s="0" t="s">
        <v>77</v>
      </c>
      <c r="B10" s="0" t="n">
        <v>2019</v>
      </c>
      <c r="C10" s="0" t="s">
        <v>78</v>
      </c>
      <c r="D10" s="0" t="s">
        <v>90</v>
      </c>
      <c r="E10" s="0" t="n">
        <v>73569.054</v>
      </c>
      <c r="F10" s="0" t="n">
        <v>6311041.282</v>
      </c>
      <c r="G10" s="0" t="n">
        <v>5768100.182</v>
      </c>
      <c r="H10" s="0" t="n">
        <v>542941.1</v>
      </c>
      <c r="I10" s="0" t="n">
        <v>1094573.265</v>
      </c>
      <c r="J10" s="0" t="n">
        <v>3968114.609</v>
      </c>
      <c r="K10" s="0" t="n">
        <v>2662623.089</v>
      </c>
      <c r="L10" s="0" t="n">
        <v>180999.419</v>
      </c>
      <c r="M10" s="0" t="n">
        <v>2481623.671</v>
      </c>
      <c r="N10" s="0" t="n">
        <v>21055.479</v>
      </c>
      <c r="X10" s="0" t="n">
        <v>0</v>
      </c>
      <c r="Y10" s="0" t="s">
        <v>91</v>
      </c>
      <c r="Z10" s="0" t="s">
        <v>93</v>
      </c>
      <c r="AA10" s="0" t="s">
        <v>85</v>
      </c>
    </row>
    <row r="11" customFormat="false" ht="15" hidden="false" customHeight="false" outlineLevel="0" collapsed="false">
      <c r="A11" s="0" t="s">
        <v>77</v>
      </c>
      <c r="B11" s="0" t="n">
        <v>2020</v>
      </c>
      <c r="C11" s="0" t="s">
        <v>78</v>
      </c>
      <c r="D11" s="0" t="s">
        <v>90</v>
      </c>
      <c r="E11" s="0" t="n">
        <v>80039.328</v>
      </c>
      <c r="F11" s="0" t="n">
        <v>7624979.724</v>
      </c>
      <c r="G11" s="0" t="n">
        <v>6971084.063</v>
      </c>
      <c r="H11" s="0" t="n">
        <v>653895.661</v>
      </c>
      <c r="I11" s="0" t="n">
        <v>-65407.286</v>
      </c>
      <c r="J11" s="0" t="n">
        <v>6307588.216</v>
      </c>
      <c r="K11" s="0" t="n">
        <v>2937918.27</v>
      </c>
      <c r="L11" s="0" t="n">
        <v>119042.539</v>
      </c>
      <c r="M11" s="0" t="n">
        <v>2818875.731</v>
      </c>
      <c r="N11" s="0" t="n">
        <v>39650.58</v>
      </c>
      <c r="P11" s="0" t="n">
        <v>488756.274</v>
      </c>
      <c r="Q11" s="0" t="n">
        <v>3078989.123</v>
      </c>
      <c r="T11" s="0" t="n">
        <v>15.87</v>
      </c>
      <c r="U11" s="0" t="n">
        <v>16</v>
      </c>
      <c r="X11" s="0" t="n">
        <v>0</v>
      </c>
      <c r="Y11" s="0" t="s">
        <v>94</v>
      </c>
      <c r="Z11" s="0" t="s">
        <v>95</v>
      </c>
      <c r="AA11" s="0" t="s">
        <v>85</v>
      </c>
    </row>
    <row r="12" customFormat="false" ht="15" hidden="false" customHeight="false" outlineLevel="0" collapsed="false">
      <c r="A12" s="0" t="s">
        <v>77</v>
      </c>
      <c r="B12" s="0" t="n">
        <v>2021</v>
      </c>
      <c r="C12" s="0" t="s">
        <v>78</v>
      </c>
      <c r="D12" s="0" t="s">
        <v>90</v>
      </c>
      <c r="E12" s="0" t="n">
        <v>111326.487</v>
      </c>
      <c r="F12" s="0" t="n">
        <v>9660760.556</v>
      </c>
      <c r="G12" s="0" t="n">
        <v>8789310.442</v>
      </c>
      <c r="H12" s="0" t="n">
        <v>871450.114</v>
      </c>
      <c r="I12" s="0" t="n">
        <v>500834.811</v>
      </c>
      <c r="J12" s="0" t="n">
        <v>7624979.724</v>
      </c>
      <c r="K12" s="0" t="n">
        <v>3343722.232</v>
      </c>
      <c r="L12" s="0" t="n">
        <v>87649.564</v>
      </c>
      <c r="M12" s="0" t="n">
        <v>3256072.669</v>
      </c>
      <c r="N12" s="0" t="n">
        <v>53800.935</v>
      </c>
      <c r="P12" s="0" t="n">
        <v>835939.161</v>
      </c>
      <c r="Q12" s="0" t="n">
        <v>3993848.672</v>
      </c>
      <c r="T12" s="0" t="n">
        <v>20.93</v>
      </c>
      <c r="X12" s="0" t="n">
        <v>0</v>
      </c>
      <c r="Y12" s="0" t="s">
        <v>96</v>
      </c>
      <c r="Z12" s="0" t="s">
        <v>97</v>
      </c>
      <c r="AA12" s="0" t="s">
        <v>85</v>
      </c>
    </row>
    <row r="13" customFormat="false" ht="15" hidden="false" customHeight="false" outlineLevel="0" collapsed="false">
      <c r="A13" s="0" t="s">
        <v>77</v>
      </c>
      <c r="B13" s="0" t="n">
        <v>2022</v>
      </c>
      <c r="C13" s="0" t="s">
        <v>78</v>
      </c>
      <c r="D13" s="0" t="s">
        <v>90</v>
      </c>
      <c r="E13" s="0" t="n">
        <v>166660</v>
      </c>
      <c r="F13" s="0" t="n">
        <v>12535280</v>
      </c>
      <c r="G13" s="0" t="n">
        <v>11466613</v>
      </c>
      <c r="H13" s="0" t="n">
        <v>1068667</v>
      </c>
      <c r="I13" s="0" t="n">
        <v>698528</v>
      </c>
      <c r="J13" s="0" t="n">
        <v>9660761</v>
      </c>
      <c r="K13" s="0" t="n">
        <v>4149413</v>
      </c>
      <c r="L13" s="0" t="n">
        <v>65061</v>
      </c>
      <c r="M13" s="0" t="n">
        <v>4084352</v>
      </c>
      <c r="N13" s="0" t="n">
        <v>118681</v>
      </c>
      <c r="P13" s="0" t="n">
        <v>863711</v>
      </c>
      <c r="Q13" s="0" t="n">
        <v>4839820</v>
      </c>
      <c r="T13" s="0" t="n">
        <v>17.85</v>
      </c>
      <c r="Y13" s="0" t="s">
        <v>98</v>
      </c>
      <c r="Z13" s="0" t="s">
        <v>99</v>
      </c>
      <c r="AA13" s="0" t="s">
        <v>85</v>
      </c>
    </row>
    <row r="14" customFormat="false" ht="15" hidden="false" customHeight="false" outlineLevel="0" collapsed="false">
      <c r="A14" s="0" t="s">
        <v>100</v>
      </c>
      <c r="B14" s="0" t="n">
        <v>2013</v>
      </c>
      <c r="C14" s="0" t="s">
        <v>101</v>
      </c>
      <c r="D14" s="0" t="s">
        <v>79</v>
      </c>
      <c r="E14" s="0" t="n">
        <v>11658</v>
      </c>
      <c r="F14" s="0" t="n">
        <v>1460811</v>
      </c>
      <c r="G14" s="0" t="n">
        <v>1304183</v>
      </c>
      <c r="H14" s="0" t="n">
        <v>156628</v>
      </c>
      <c r="I14" s="0" t="n">
        <v>4606</v>
      </c>
      <c r="J14" s="0" t="n">
        <v>1325315</v>
      </c>
      <c r="K14" s="0" t="n">
        <v>660730</v>
      </c>
      <c r="L14" s="0" t="n">
        <v>34823</v>
      </c>
      <c r="M14" s="0" t="n">
        <v>625907</v>
      </c>
      <c r="N14" s="0" t="n">
        <v>32606</v>
      </c>
      <c r="P14" s="0" t="n">
        <v>165746</v>
      </c>
      <c r="Q14" s="0" t="n">
        <v>953338</v>
      </c>
      <c r="T14" s="0" t="n">
        <v>17</v>
      </c>
      <c r="X14" s="0" t="n">
        <v>0</v>
      </c>
      <c r="Y14" s="0" t="s">
        <v>102</v>
      </c>
      <c r="Z14" s="0" t="s">
        <v>103</v>
      </c>
      <c r="AA14" s="0" t="s">
        <v>85</v>
      </c>
    </row>
    <row r="15" customFormat="false" ht="15" hidden="false" customHeight="false" outlineLevel="0" collapsed="false">
      <c r="A15" s="0" t="s">
        <v>100</v>
      </c>
      <c r="B15" s="0" t="n">
        <v>2014</v>
      </c>
      <c r="C15" s="0" t="s">
        <v>101</v>
      </c>
      <c r="D15" s="0" t="s">
        <v>79</v>
      </c>
      <c r="E15" s="0" t="n">
        <v>29733</v>
      </c>
      <c r="F15" s="0" t="n">
        <v>1772922</v>
      </c>
      <c r="G15" s="0" t="n">
        <v>1574528</v>
      </c>
      <c r="H15" s="0" t="n">
        <v>198394</v>
      </c>
      <c r="I15" s="0" t="n">
        <v>-110701</v>
      </c>
      <c r="J15" s="0" t="n">
        <v>1460811</v>
      </c>
      <c r="K15" s="0" t="n">
        <v>930956</v>
      </c>
      <c r="L15" s="0" t="n">
        <v>38235</v>
      </c>
      <c r="M15" s="0" t="n">
        <v>892721</v>
      </c>
      <c r="N15" s="0" t="n">
        <v>32994</v>
      </c>
      <c r="P15" s="0" t="n">
        <v>239281</v>
      </c>
      <c r="Q15" s="0" t="n">
        <v>1492373</v>
      </c>
      <c r="T15" s="0" t="n">
        <v>16</v>
      </c>
      <c r="X15" s="0" t="n">
        <v>0</v>
      </c>
      <c r="Y15" s="0" t="s">
        <v>104</v>
      </c>
      <c r="Z15" s="0" t="s">
        <v>105</v>
      </c>
      <c r="AA15" s="0" t="s">
        <v>85</v>
      </c>
    </row>
    <row r="16" customFormat="false" ht="15" hidden="false" customHeight="false" outlineLevel="0" collapsed="false">
      <c r="A16" s="0" t="s">
        <v>100</v>
      </c>
      <c r="B16" s="0" t="n">
        <v>2015</v>
      </c>
      <c r="C16" s="0" t="s">
        <v>101</v>
      </c>
      <c r="D16" s="0" t="s">
        <v>79</v>
      </c>
      <c r="E16" s="0" t="n">
        <v>11304</v>
      </c>
      <c r="F16" s="0" t="n">
        <v>1794348</v>
      </c>
      <c r="G16" s="0" t="n">
        <v>1566561</v>
      </c>
      <c r="H16" s="0" t="n">
        <v>227787</v>
      </c>
      <c r="I16" s="0" t="n">
        <v>24229</v>
      </c>
      <c r="J16" s="0" t="n">
        <v>1772922</v>
      </c>
      <c r="K16" s="0" t="n">
        <v>885701</v>
      </c>
      <c r="L16" s="0" t="n">
        <v>68353</v>
      </c>
      <c r="M16" s="0" t="n">
        <v>817348</v>
      </c>
      <c r="N16" s="0" t="n">
        <v>55740</v>
      </c>
      <c r="P16" s="0" t="n">
        <v>254109</v>
      </c>
      <c r="Q16" s="0" t="n">
        <v>1357098</v>
      </c>
      <c r="T16" s="0" t="n">
        <v>19</v>
      </c>
      <c r="X16" s="0" t="n">
        <v>0</v>
      </c>
      <c r="Y16" s="0" t="s">
        <v>106</v>
      </c>
      <c r="Z16" s="0" t="s">
        <v>84</v>
      </c>
      <c r="AA16" s="0" t="s">
        <v>85</v>
      </c>
    </row>
    <row r="17" customFormat="false" ht="15" hidden="false" customHeight="false" outlineLevel="0" collapsed="false">
      <c r="A17" s="0" t="s">
        <v>100</v>
      </c>
      <c r="B17" s="0" t="n">
        <v>2016</v>
      </c>
      <c r="C17" s="0" t="s">
        <v>101</v>
      </c>
      <c r="D17" s="0" t="s">
        <v>79</v>
      </c>
      <c r="E17" s="0" t="n">
        <v>5780</v>
      </c>
      <c r="F17" s="0" t="n">
        <v>1808503</v>
      </c>
      <c r="G17" s="0" t="n">
        <v>1587728</v>
      </c>
      <c r="H17" s="0" t="n">
        <v>220775</v>
      </c>
      <c r="N17" s="0" t="n">
        <v>82783</v>
      </c>
      <c r="Y17" s="0" t="s">
        <v>107</v>
      </c>
      <c r="Z17" s="0" t="s">
        <v>81</v>
      </c>
      <c r="AA17" s="0" t="s">
        <v>82</v>
      </c>
    </row>
    <row r="18" customFormat="false" ht="15" hidden="false" customHeight="false" outlineLevel="0" collapsed="false">
      <c r="A18" s="0" t="s">
        <v>100</v>
      </c>
      <c r="B18" s="0" t="n">
        <v>2017</v>
      </c>
      <c r="C18" s="0" t="s">
        <v>101</v>
      </c>
      <c r="D18" s="0" t="s">
        <v>79</v>
      </c>
      <c r="E18" s="0" t="n">
        <v>20204</v>
      </c>
      <c r="F18" s="0" t="n">
        <v>1829761</v>
      </c>
      <c r="G18" s="0" t="n">
        <v>1562432</v>
      </c>
      <c r="H18" s="0" t="n">
        <v>267329</v>
      </c>
      <c r="J18" s="0" t="n">
        <v>1808503</v>
      </c>
      <c r="N18" s="0" t="n">
        <v>59901</v>
      </c>
      <c r="Y18" s="0" t="s">
        <v>107</v>
      </c>
      <c r="Z18" s="0" t="s">
        <v>81</v>
      </c>
      <c r="AA18" s="0" t="s">
        <v>82</v>
      </c>
    </row>
    <row r="19" customFormat="false" ht="15" hidden="false" customHeight="false" outlineLevel="0" collapsed="false">
      <c r="A19" s="0" t="s">
        <v>100</v>
      </c>
      <c r="B19" s="0" t="n">
        <v>2018</v>
      </c>
      <c r="C19" s="0" t="s">
        <v>101</v>
      </c>
      <c r="D19" s="0" t="s">
        <v>90</v>
      </c>
      <c r="E19" s="0" t="n">
        <v>27155</v>
      </c>
      <c r="F19" s="0" t="n">
        <v>1956830</v>
      </c>
      <c r="G19" s="0" t="n">
        <v>1709348</v>
      </c>
      <c r="H19" s="0" t="n">
        <v>247482</v>
      </c>
      <c r="I19" s="0" t="n">
        <v>31236</v>
      </c>
      <c r="J19" s="0" t="n">
        <v>1829761</v>
      </c>
      <c r="K19" s="0" t="n">
        <v>926546</v>
      </c>
      <c r="L19" s="0" t="n">
        <v>84071</v>
      </c>
      <c r="M19" s="0" t="n">
        <v>842475</v>
      </c>
      <c r="N19" s="0" t="n">
        <v>27360</v>
      </c>
      <c r="O19" s="0" t="n">
        <v>126844</v>
      </c>
      <c r="P19" s="0" t="n">
        <v>205312</v>
      </c>
      <c r="Q19" s="0" t="n">
        <v>1433545</v>
      </c>
      <c r="T19" s="0" t="n">
        <v>14.3</v>
      </c>
      <c r="X19" s="0" t="n">
        <v>0</v>
      </c>
      <c r="Y19" s="0" t="s">
        <v>108</v>
      </c>
      <c r="Z19" s="0" t="s">
        <v>109</v>
      </c>
      <c r="AA19" s="0" t="s">
        <v>85</v>
      </c>
    </row>
    <row r="20" customFormat="false" ht="15" hidden="false" customHeight="false" outlineLevel="0" collapsed="false">
      <c r="A20" s="0" t="s">
        <v>100</v>
      </c>
      <c r="B20" s="0" t="n">
        <v>2019</v>
      </c>
      <c r="C20" s="0" t="s">
        <v>101</v>
      </c>
      <c r="D20" s="0" t="s">
        <v>90</v>
      </c>
      <c r="E20" s="0" t="n">
        <v>1256</v>
      </c>
      <c r="F20" s="0" t="n">
        <v>1991040</v>
      </c>
      <c r="G20" s="0" t="n">
        <v>1726770</v>
      </c>
      <c r="H20" s="0" t="n">
        <v>264270</v>
      </c>
      <c r="I20" s="0" t="n">
        <v>49052</v>
      </c>
      <c r="J20" s="0" t="n">
        <v>1927889</v>
      </c>
      <c r="K20" s="0" t="n">
        <v>913082</v>
      </c>
      <c r="L20" s="0" t="n">
        <v>101476</v>
      </c>
      <c r="M20" s="0" t="n">
        <v>811606</v>
      </c>
      <c r="N20" s="0" t="n">
        <v>2704</v>
      </c>
      <c r="O20" s="0" t="n">
        <v>218515</v>
      </c>
      <c r="P20" s="0" t="n">
        <v>236196</v>
      </c>
      <c r="Q20" s="0" t="n">
        <v>1447830</v>
      </c>
      <c r="T20" s="0" t="n">
        <v>16.31</v>
      </c>
      <c r="X20" s="0" t="n">
        <v>0</v>
      </c>
      <c r="Y20" s="0" t="s">
        <v>110</v>
      </c>
      <c r="Z20" s="0" t="s">
        <v>93</v>
      </c>
      <c r="AA20" s="0" t="s">
        <v>85</v>
      </c>
    </row>
    <row r="21" customFormat="false" ht="15" hidden="false" customHeight="false" outlineLevel="0" collapsed="false">
      <c r="A21" s="0" t="s">
        <v>100</v>
      </c>
      <c r="B21" s="0" t="n">
        <v>2020</v>
      </c>
      <c r="C21" s="0" t="s">
        <v>101</v>
      </c>
      <c r="D21" s="0" t="s">
        <v>90</v>
      </c>
      <c r="E21" s="0" t="n">
        <v>8087</v>
      </c>
      <c r="F21" s="0" t="n">
        <v>2186712</v>
      </c>
      <c r="G21" s="0" t="n">
        <v>1887991</v>
      </c>
      <c r="H21" s="0" t="n">
        <v>298721</v>
      </c>
      <c r="I21" s="0" t="n">
        <v>-13271</v>
      </c>
      <c r="J21" s="0" t="n">
        <v>1991040</v>
      </c>
      <c r="K21" s="0" t="n">
        <v>993191</v>
      </c>
      <c r="L21" s="0" t="n">
        <v>111609</v>
      </c>
      <c r="M21" s="0" t="n">
        <v>881582</v>
      </c>
      <c r="N21" s="0" t="n">
        <v>9164</v>
      </c>
      <c r="O21" s="0" t="n">
        <v>197204</v>
      </c>
      <c r="P21" s="0" t="n">
        <v>301364</v>
      </c>
      <c r="Q21" s="0" t="n">
        <v>1405676</v>
      </c>
      <c r="T21" s="0" t="n">
        <v>21.44</v>
      </c>
      <c r="X21" s="0" t="n">
        <v>0</v>
      </c>
      <c r="Y21" s="0" t="s">
        <v>111</v>
      </c>
      <c r="Z21" s="0" t="s">
        <v>95</v>
      </c>
      <c r="AA21" s="0" t="s">
        <v>85</v>
      </c>
    </row>
    <row r="22" customFormat="false" ht="15" hidden="false" customHeight="false" outlineLevel="0" collapsed="false">
      <c r="A22" s="0" t="s">
        <v>100</v>
      </c>
      <c r="B22" s="0" t="n">
        <v>2021</v>
      </c>
      <c r="C22" s="0" t="s">
        <v>101</v>
      </c>
      <c r="D22" s="0" t="s">
        <v>90</v>
      </c>
      <c r="E22" s="0" t="n">
        <v>9766</v>
      </c>
      <c r="F22" s="0" t="n">
        <v>2475079</v>
      </c>
      <c r="G22" s="0" t="n">
        <v>2196302</v>
      </c>
      <c r="H22" s="0" t="n">
        <v>278777</v>
      </c>
      <c r="I22" s="0" t="n">
        <v>-86740</v>
      </c>
      <c r="J22" s="0" t="n">
        <v>2186711</v>
      </c>
      <c r="K22" s="0" t="n">
        <v>1113022</v>
      </c>
      <c r="L22" s="0" t="n">
        <v>97419</v>
      </c>
      <c r="M22" s="0" t="n">
        <v>1015603</v>
      </c>
      <c r="N22" s="0" t="n">
        <v>7041</v>
      </c>
      <c r="O22" s="0" t="n">
        <v>181954</v>
      </c>
      <c r="P22" s="0" t="n">
        <v>170600</v>
      </c>
      <c r="Q22" s="0" t="n">
        <v>1486056</v>
      </c>
      <c r="T22" s="0" t="n">
        <v>11.48</v>
      </c>
      <c r="X22" s="0" t="n">
        <v>0</v>
      </c>
      <c r="Y22" s="0" t="s">
        <v>112</v>
      </c>
      <c r="Z22" s="0" t="s">
        <v>97</v>
      </c>
      <c r="AA22" s="0" t="s">
        <v>85</v>
      </c>
    </row>
    <row r="23" customFormat="false" ht="15" hidden="false" customHeight="false" outlineLevel="0" collapsed="false">
      <c r="A23" s="0" t="s">
        <v>100</v>
      </c>
      <c r="B23" s="0" t="n">
        <v>2022</v>
      </c>
      <c r="C23" s="0" t="s">
        <v>101</v>
      </c>
      <c r="D23" s="0" t="s">
        <v>90</v>
      </c>
      <c r="E23" s="0" t="n">
        <v>10396</v>
      </c>
      <c r="F23" s="0" t="n">
        <v>2917689</v>
      </c>
      <c r="G23" s="0" t="n">
        <v>2623076</v>
      </c>
      <c r="H23" s="0" t="n">
        <v>294613</v>
      </c>
      <c r="I23" s="0" t="n">
        <v>-75642</v>
      </c>
      <c r="J23" s="0" t="n">
        <v>2475079</v>
      </c>
      <c r="K23" s="0" t="n">
        <v>1190306</v>
      </c>
      <c r="L23" s="0" t="n">
        <v>62880</v>
      </c>
      <c r="M23" s="0" t="n">
        <v>1127426</v>
      </c>
      <c r="N23" s="0" t="n">
        <v>12377</v>
      </c>
      <c r="O23" s="0" t="n">
        <v>82348</v>
      </c>
      <c r="P23" s="0" t="n">
        <v>232070</v>
      </c>
      <c r="Q23" s="0" t="n">
        <v>1748560</v>
      </c>
      <c r="T23" s="0" t="n">
        <v>13.27</v>
      </c>
      <c r="X23" s="0" t="n">
        <v>0</v>
      </c>
      <c r="Y23" s="0" t="s">
        <v>113</v>
      </c>
      <c r="Z23" s="0" t="s">
        <v>114</v>
      </c>
      <c r="AA23" s="0" t="s">
        <v>85</v>
      </c>
    </row>
    <row r="24" customFormat="false" ht="15" hidden="false" customHeight="false" outlineLevel="0" collapsed="false">
      <c r="A24" s="0" t="s">
        <v>115</v>
      </c>
      <c r="B24" s="0" t="n">
        <v>2013</v>
      </c>
      <c r="C24" s="0" t="s">
        <v>101</v>
      </c>
      <c r="D24" s="0" t="s">
        <v>79</v>
      </c>
      <c r="E24" s="0" t="n">
        <v>7721</v>
      </c>
      <c r="F24" s="0" t="n">
        <v>1081217</v>
      </c>
      <c r="G24" s="0" t="n">
        <v>917762</v>
      </c>
      <c r="H24" s="0" t="n">
        <v>163455</v>
      </c>
      <c r="I24" s="0" t="n">
        <v>15048</v>
      </c>
      <c r="J24" s="0" t="n">
        <v>914360</v>
      </c>
      <c r="K24" s="0" t="n">
        <v>442649</v>
      </c>
      <c r="L24" s="0" t="n">
        <v>16573</v>
      </c>
      <c r="N24" s="0" t="n">
        <v>7630</v>
      </c>
      <c r="T24" s="0" t="n">
        <v>26</v>
      </c>
      <c r="Y24" s="0" t="s">
        <v>116</v>
      </c>
      <c r="Z24" s="0" t="s">
        <v>81</v>
      </c>
      <c r="AA24" s="0" t="s">
        <v>82</v>
      </c>
    </row>
    <row r="25" customFormat="false" ht="15" hidden="false" customHeight="false" outlineLevel="0" collapsed="false">
      <c r="A25" s="0" t="s">
        <v>115</v>
      </c>
      <c r="B25" s="0" t="n">
        <v>2014</v>
      </c>
      <c r="C25" s="0" t="s">
        <v>101</v>
      </c>
      <c r="D25" s="0" t="s">
        <v>79</v>
      </c>
      <c r="E25" s="0" t="n">
        <v>13796</v>
      </c>
      <c r="F25" s="0" t="n">
        <v>1187025</v>
      </c>
      <c r="G25" s="0" t="n">
        <v>1013914</v>
      </c>
      <c r="H25" s="0" t="n">
        <v>173111</v>
      </c>
      <c r="I25" s="0" t="n">
        <v>53565</v>
      </c>
      <c r="J25" s="0" t="n">
        <v>1081217</v>
      </c>
      <c r="K25" s="0" t="n">
        <v>559137</v>
      </c>
      <c r="L25" s="0" t="n">
        <v>17451</v>
      </c>
      <c r="M25" s="0" t="n">
        <v>541686</v>
      </c>
      <c r="N25" s="0" t="n">
        <v>4306</v>
      </c>
      <c r="P25" s="0" t="n">
        <v>198886</v>
      </c>
      <c r="Q25" s="0" t="n">
        <v>821527</v>
      </c>
      <c r="T25" s="0" t="n">
        <v>24.21</v>
      </c>
      <c r="U25" s="0" t="n">
        <v>15</v>
      </c>
      <c r="X25" s="0" t="n">
        <v>0</v>
      </c>
      <c r="Y25" s="0" t="s">
        <v>117</v>
      </c>
      <c r="Z25" s="0" t="s">
        <v>105</v>
      </c>
      <c r="AA25" s="0" t="s">
        <v>85</v>
      </c>
    </row>
    <row r="26" customFormat="false" ht="15" hidden="false" customHeight="false" outlineLevel="0" collapsed="false">
      <c r="A26" s="0" t="s">
        <v>115</v>
      </c>
      <c r="B26" s="0" t="n">
        <v>2015</v>
      </c>
      <c r="C26" s="0" t="s">
        <v>101</v>
      </c>
      <c r="D26" s="0" t="s">
        <v>79</v>
      </c>
      <c r="E26" s="0" t="n">
        <v>13904</v>
      </c>
      <c r="F26" s="0" t="n">
        <v>1231722</v>
      </c>
      <c r="G26" s="0" t="n">
        <v>1048206</v>
      </c>
      <c r="H26" s="0" t="n">
        <v>183516</v>
      </c>
      <c r="I26" s="0" t="n">
        <v>107132</v>
      </c>
      <c r="J26" s="0" t="n">
        <v>1187025</v>
      </c>
      <c r="K26" s="0" t="n">
        <v>598978</v>
      </c>
      <c r="L26" s="0" t="n">
        <v>20776</v>
      </c>
      <c r="M26" s="0" t="n">
        <v>578203</v>
      </c>
      <c r="N26" s="0" t="n">
        <v>5764</v>
      </c>
      <c r="P26" s="0" t="n">
        <v>191595</v>
      </c>
      <c r="Q26" s="0" t="n">
        <v>1012062</v>
      </c>
      <c r="T26" s="0" t="n">
        <v>19</v>
      </c>
      <c r="U26" s="0" t="n">
        <v>15</v>
      </c>
      <c r="X26" s="0" t="n">
        <v>0</v>
      </c>
      <c r="Y26" s="0" t="s">
        <v>118</v>
      </c>
      <c r="Z26" s="0" t="s">
        <v>84</v>
      </c>
      <c r="AA26" s="0" t="s">
        <v>85</v>
      </c>
    </row>
    <row r="27" customFormat="false" ht="15" hidden="false" customHeight="false" outlineLevel="0" collapsed="false">
      <c r="A27" s="0" t="s">
        <v>115</v>
      </c>
      <c r="B27" s="0" t="n">
        <v>2016</v>
      </c>
      <c r="C27" s="0" t="s">
        <v>101</v>
      </c>
      <c r="D27" s="0" t="s">
        <v>79</v>
      </c>
      <c r="E27" s="0" t="n">
        <v>9734</v>
      </c>
      <c r="F27" s="0" t="n">
        <v>1298141</v>
      </c>
      <c r="G27" s="0" t="n">
        <v>1112739</v>
      </c>
      <c r="H27" s="0" t="n">
        <v>185402</v>
      </c>
      <c r="I27" s="0" t="n">
        <v>-56907</v>
      </c>
      <c r="J27" s="0" t="n">
        <v>1231722</v>
      </c>
      <c r="K27" s="0" t="n">
        <v>743120</v>
      </c>
      <c r="L27" s="0" t="n">
        <v>24719</v>
      </c>
      <c r="M27" s="0" t="n">
        <v>718401</v>
      </c>
      <c r="N27" s="0" t="n">
        <v>8671</v>
      </c>
      <c r="P27" s="0" t="n">
        <v>196913</v>
      </c>
      <c r="Q27" s="0" t="n">
        <v>1138258</v>
      </c>
      <c r="T27" s="0" t="n">
        <v>17.22</v>
      </c>
      <c r="U27" s="0" t="n">
        <v>15</v>
      </c>
      <c r="X27" s="0" t="n">
        <v>0</v>
      </c>
      <c r="Y27" s="0" t="s">
        <v>119</v>
      </c>
      <c r="Z27" s="0" t="s">
        <v>87</v>
      </c>
      <c r="AA27" s="0" t="s">
        <v>85</v>
      </c>
    </row>
    <row r="28" customFormat="false" ht="15" hidden="false" customHeight="false" outlineLevel="0" collapsed="false">
      <c r="A28" s="0" t="s">
        <v>115</v>
      </c>
      <c r="B28" s="0" t="n">
        <v>2017</v>
      </c>
      <c r="C28" s="0" t="s">
        <v>101</v>
      </c>
      <c r="D28" s="0" t="s">
        <v>79</v>
      </c>
      <c r="E28" s="0" t="n">
        <v>18857</v>
      </c>
      <c r="F28" s="0" t="n">
        <v>1379214</v>
      </c>
      <c r="G28" s="0" t="n">
        <v>1175899</v>
      </c>
      <c r="H28" s="0" t="n">
        <v>203315</v>
      </c>
      <c r="I28" s="0" t="n">
        <v>-38026</v>
      </c>
      <c r="J28" s="0" t="n">
        <v>1298141</v>
      </c>
      <c r="K28" s="0" t="n">
        <v>795315</v>
      </c>
      <c r="L28" s="0" t="n">
        <v>26578</v>
      </c>
      <c r="M28" s="0" t="n">
        <v>768737</v>
      </c>
      <c r="N28" s="0" t="n">
        <v>11315</v>
      </c>
      <c r="P28" s="0" t="n">
        <v>179341</v>
      </c>
      <c r="Q28" s="0" t="n">
        <v>1118786</v>
      </c>
      <c r="T28" s="0" t="n">
        <v>16.03</v>
      </c>
      <c r="U28" s="0" t="n">
        <v>15</v>
      </c>
      <c r="X28" s="0" t="n">
        <v>0</v>
      </c>
      <c r="Y28" s="0" t="s">
        <v>120</v>
      </c>
      <c r="Z28" s="0" t="s">
        <v>89</v>
      </c>
      <c r="AA28" s="0" t="s">
        <v>85</v>
      </c>
    </row>
    <row r="29" customFormat="false" ht="15" hidden="false" customHeight="false" outlineLevel="0" collapsed="false">
      <c r="A29" s="0" t="s">
        <v>115</v>
      </c>
      <c r="B29" s="0" t="n">
        <v>2018</v>
      </c>
      <c r="C29" s="0" t="s">
        <v>101</v>
      </c>
      <c r="D29" s="0" t="s">
        <v>90</v>
      </c>
      <c r="E29" s="0" t="n">
        <v>22926</v>
      </c>
      <c r="F29" s="0" t="n">
        <v>1719883</v>
      </c>
      <c r="G29" s="0" t="n">
        <v>1525467</v>
      </c>
      <c r="H29" s="0" t="n">
        <v>194416</v>
      </c>
      <c r="N29" s="0" t="n">
        <v>4215</v>
      </c>
      <c r="Y29" s="0" t="s">
        <v>121</v>
      </c>
      <c r="Z29" s="0" t="s">
        <v>81</v>
      </c>
      <c r="AA29" s="0" t="s">
        <v>82</v>
      </c>
    </row>
    <row r="30" customFormat="false" ht="15" hidden="false" customHeight="false" outlineLevel="0" collapsed="false">
      <c r="A30" s="0" t="s">
        <v>115</v>
      </c>
      <c r="B30" s="0" t="n">
        <v>2019</v>
      </c>
      <c r="C30" s="0" t="s">
        <v>101</v>
      </c>
      <c r="D30" s="0" t="s">
        <v>90</v>
      </c>
      <c r="E30" s="0" t="n">
        <v>28425</v>
      </c>
      <c r="F30" s="0" t="n">
        <v>2114037</v>
      </c>
      <c r="G30" s="0" t="n">
        <v>1880007</v>
      </c>
      <c r="H30" s="0" t="n">
        <v>234030</v>
      </c>
      <c r="J30" s="0" t="n">
        <v>1719883</v>
      </c>
      <c r="N30" s="0" t="n">
        <v>-5292</v>
      </c>
      <c r="X30" s="0" t="n">
        <v>0</v>
      </c>
      <c r="Y30" s="0" t="s">
        <v>121</v>
      </c>
      <c r="Z30" s="0" t="s">
        <v>81</v>
      </c>
      <c r="AA30" s="0" t="s">
        <v>82</v>
      </c>
    </row>
    <row r="31" customFormat="false" ht="15" hidden="false" customHeight="false" outlineLevel="0" collapsed="false">
      <c r="A31" s="0" t="s">
        <v>115</v>
      </c>
      <c r="B31" s="0" t="n">
        <v>2020</v>
      </c>
      <c r="C31" s="0" t="s">
        <v>101</v>
      </c>
      <c r="D31" s="0" t="s">
        <v>90</v>
      </c>
      <c r="E31" s="0" t="n">
        <v>26650</v>
      </c>
      <c r="F31" s="0" t="n">
        <v>2758148</v>
      </c>
      <c r="G31" s="0" t="n">
        <v>2484615</v>
      </c>
      <c r="H31" s="0" t="n">
        <v>273533</v>
      </c>
      <c r="I31" s="0" t="n">
        <v>242619</v>
      </c>
      <c r="J31" s="0" t="n">
        <v>2114037</v>
      </c>
      <c r="K31" s="0" t="n">
        <v>1393624</v>
      </c>
      <c r="L31" s="0" t="n">
        <v>67518</v>
      </c>
      <c r="M31" s="0" t="n">
        <v>1326106</v>
      </c>
      <c r="N31" s="0" t="n">
        <v>16858</v>
      </c>
      <c r="P31" s="0" t="n">
        <v>243690</v>
      </c>
      <c r="Q31" s="0" t="n">
        <v>1340211</v>
      </c>
      <c r="T31" s="0" t="n">
        <v>18.18</v>
      </c>
      <c r="U31" s="0" t="n">
        <v>15</v>
      </c>
      <c r="X31" s="0" t="n">
        <v>0</v>
      </c>
      <c r="Y31" s="0" t="s">
        <v>122</v>
      </c>
      <c r="Z31" s="0" t="s">
        <v>95</v>
      </c>
      <c r="AA31" s="0" t="s">
        <v>85</v>
      </c>
    </row>
    <row r="32" customFormat="false" ht="15" hidden="false" customHeight="false" outlineLevel="0" collapsed="false">
      <c r="A32" s="0" t="s">
        <v>115</v>
      </c>
      <c r="B32" s="0" t="n">
        <v>2021</v>
      </c>
      <c r="C32" s="0" t="s">
        <v>101</v>
      </c>
      <c r="D32" s="0" t="s">
        <v>90</v>
      </c>
      <c r="E32" s="0" t="n">
        <v>23104</v>
      </c>
      <c r="F32" s="0" t="n">
        <v>3280454</v>
      </c>
      <c r="G32" s="0" t="n">
        <v>2995160</v>
      </c>
      <c r="H32" s="0" t="n">
        <v>285294</v>
      </c>
      <c r="I32" s="0" t="n">
        <v>-107190</v>
      </c>
      <c r="K32" s="0" t="n">
        <v>1732543</v>
      </c>
      <c r="L32" s="0" t="n">
        <v>74131</v>
      </c>
      <c r="M32" s="0" t="n">
        <v>1658412</v>
      </c>
      <c r="N32" s="0" t="n">
        <v>7034</v>
      </c>
      <c r="P32" s="0" t="n">
        <v>292323</v>
      </c>
      <c r="Q32" s="0" t="n">
        <v>1526722</v>
      </c>
      <c r="T32" s="0" t="n">
        <v>19.15</v>
      </c>
      <c r="U32" s="0" t="n">
        <v>15</v>
      </c>
      <c r="Y32" s="0" t="s">
        <v>123</v>
      </c>
      <c r="Z32" s="0" t="s">
        <v>124</v>
      </c>
      <c r="AA32" s="0" t="s">
        <v>85</v>
      </c>
    </row>
    <row r="33" customFormat="false" ht="15" hidden="false" customHeight="false" outlineLevel="0" collapsed="false">
      <c r="A33" s="0" t="s">
        <v>115</v>
      </c>
      <c r="B33" s="0" t="n">
        <v>2022</v>
      </c>
      <c r="C33" s="0" t="s">
        <v>101</v>
      </c>
      <c r="D33" s="0" t="s">
        <v>90</v>
      </c>
      <c r="E33" s="0" t="n">
        <v>46724</v>
      </c>
      <c r="F33" s="0" t="n">
        <v>3989009</v>
      </c>
      <c r="G33" s="0" t="n">
        <v>3674649</v>
      </c>
      <c r="H33" s="0" t="n">
        <v>314360</v>
      </c>
      <c r="I33" s="0" t="n">
        <v>297592</v>
      </c>
      <c r="J33" s="0" t="n">
        <v>3280454</v>
      </c>
      <c r="K33" s="0" t="n">
        <v>2196760</v>
      </c>
      <c r="L33" s="0" t="n">
        <v>80548</v>
      </c>
      <c r="M33" s="0" t="n">
        <v>2116212</v>
      </c>
      <c r="N33" s="0" t="n">
        <v>5443</v>
      </c>
      <c r="P33" s="0" t="n">
        <v>289500</v>
      </c>
      <c r="Q33" s="0" t="n">
        <v>1595729</v>
      </c>
      <c r="T33" s="0" t="n">
        <v>18.14</v>
      </c>
      <c r="U33" s="0" t="n">
        <v>15</v>
      </c>
      <c r="X33" s="0" t="n">
        <v>0</v>
      </c>
      <c r="Y33" s="0" t="s">
        <v>123</v>
      </c>
      <c r="Z33" s="0" t="s">
        <v>114</v>
      </c>
      <c r="AA33" s="0" t="s">
        <v>85</v>
      </c>
    </row>
    <row r="34" customFormat="false" ht="15" hidden="false" customHeight="false" outlineLevel="0" collapsed="false">
      <c r="A34" s="0" t="s">
        <v>125</v>
      </c>
      <c r="B34" s="0" t="n">
        <v>2013</v>
      </c>
      <c r="C34" s="0" t="s">
        <v>78</v>
      </c>
      <c r="D34" s="0" t="s">
        <v>79</v>
      </c>
      <c r="E34" s="0" t="n">
        <v>59365</v>
      </c>
      <c r="F34" s="0" t="n">
        <v>3246579</v>
      </c>
      <c r="G34" s="0" t="n">
        <v>2895870</v>
      </c>
      <c r="H34" s="0" t="n">
        <v>350709</v>
      </c>
      <c r="I34" s="0" t="n">
        <v>179950</v>
      </c>
      <c r="K34" s="0" t="n">
        <v>1515288</v>
      </c>
      <c r="L34" s="0" t="n">
        <v>41449</v>
      </c>
      <c r="N34" s="0" t="n">
        <v>19838</v>
      </c>
      <c r="T34" s="0" t="n">
        <v>13.54</v>
      </c>
      <c r="Y34" s="0" t="s">
        <v>126</v>
      </c>
      <c r="Z34" s="0" t="s">
        <v>81</v>
      </c>
      <c r="AA34" s="0" t="s">
        <v>82</v>
      </c>
    </row>
    <row r="35" customFormat="false" ht="15" hidden="false" customHeight="false" outlineLevel="0" collapsed="false">
      <c r="A35" s="0" t="s">
        <v>125</v>
      </c>
      <c r="B35" s="0" t="n">
        <v>2014</v>
      </c>
      <c r="C35" s="0" t="s">
        <v>78</v>
      </c>
      <c r="D35" s="0" t="s">
        <v>79</v>
      </c>
      <c r="E35" s="0" t="n">
        <v>79351</v>
      </c>
      <c r="F35" s="0" t="n">
        <v>3490871</v>
      </c>
      <c r="G35" s="0" t="n">
        <v>3067824</v>
      </c>
      <c r="H35" s="0" t="n">
        <v>423047</v>
      </c>
      <c r="I35" s="0" t="n">
        <v>-506665</v>
      </c>
      <c r="J35" s="0" t="n">
        <v>3246579</v>
      </c>
      <c r="K35" s="0" t="n">
        <v>1832107</v>
      </c>
      <c r="L35" s="0" t="n">
        <v>38070</v>
      </c>
      <c r="N35" s="0" t="n">
        <v>20924</v>
      </c>
      <c r="T35" s="0" t="n">
        <v>15.78</v>
      </c>
      <c r="Y35" s="0" t="s">
        <v>126</v>
      </c>
      <c r="Z35" s="0" t="s">
        <v>81</v>
      </c>
      <c r="AA35" s="0" t="s">
        <v>82</v>
      </c>
    </row>
    <row r="36" customFormat="false" ht="15" hidden="false" customHeight="false" outlineLevel="0" collapsed="false">
      <c r="A36" s="0" t="s">
        <v>125</v>
      </c>
      <c r="B36" s="0" t="n">
        <v>2015</v>
      </c>
      <c r="C36" s="0" t="s">
        <v>78</v>
      </c>
      <c r="D36" s="0" t="s">
        <v>79</v>
      </c>
      <c r="E36" s="0" t="n">
        <v>37</v>
      </c>
      <c r="F36" s="0" t="n">
        <v>3332375</v>
      </c>
      <c r="G36" s="0" t="n">
        <v>2872628</v>
      </c>
      <c r="H36" s="0" t="n">
        <v>459747</v>
      </c>
      <c r="I36" s="0" t="n">
        <v>305952</v>
      </c>
      <c r="J36" s="0" t="n">
        <v>3490871</v>
      </c>
      <c r="K36" s="0" t="n">
        <v>1594936</v>
      </c>
      <c r="L36" s="0" t="n">
        <v>137651</v>
      </c>
      <c r="M36" s="0" t="n">
        <v>1457285</v>
      </c>
      <c r="N36" s="0" t="n">
        <v>120046</v>
      </c>
      <c r="P36" s="0" t="n">
        <v>430099</v>
      </c>
      <c r="Q36" s="0" t="n">
        <v>2518285</v>
      </c>
      <c r="T36" s="0" t="n">
        <v>17.08</v>
      </c>
      <c r="U36" s="0" t="n">
        <v>15</v>
      </c>
      <c r="Y36" s="0" t="s">
        <v>127</v>
      </c>
      <c r="Z36" s="0" t="s">
        <v>84</v>
      </c>
      <c r="AA36" s="0" t="s">
        <v>85</v>
      </c>
    </row>
    <row r="37" customFormat="false" ht="15" hidden="false" customHeight="false" outlineLevel="0" collapsed="false">
      <c r="A37" s="0" t="s">
        <v>125</v>
      </c>
      <c r="B37" s="0" t="n">
        <v>2016</v>
      </c>
      <c r="C37" s="0" t="s">
        <v>78</v>
      </c>
      <c r="D37" s="0" t="s">
        <v>79</v>
      </c>
      <c r="E37" s="0" t="n">
        <v>50072</v>
      </c>
      <c r="F37" s="0" t="n">
        <v>3557782</v>
      </c>
      <c r="G37" s="0" t="n">
        <v>3071695</v>
      </c>
      <c r="H37" s="0" t="n">
        <v>486087</v>
      </c>
      <c r="I37" s="0" t="n">
        <v>-171230</v>
      </c>
      <c r="K37" s="0" t="n">
        <v>1933407</v>
      </c>
      <c r="L37" s="0" t="n">
        <v>240695</v>
      </c>
      <c r="M37" s="0" t="n">
        <v>1692712</v>
      </c>
      <c r="P37" s="0" t="n">
        <v>501256</v>
      </c>
      <c r="Q37" s="0" t="n">
        <v>2818158</v>
      </c>
      <c r="T37" s="0" t="n">
        <v>17.79</v>
      </c>
      <c r="U37" s="0" t="n">
        <v>15</v>
      </c>
      <c r="X37" s="0" t="n">
        <v>0</v>
      </c>
      <c r="Y37" s="0" t="s">
        <v>128</v>
      </c>
      <c r="Z37" s="0" t="s">
        <v>129</v>
      </c>
      <c r="AA37" s="0" t="s">
        <v>85</v>
      </c>
    </row>
    <row r="38" customFormat="false" ht="15" hidden="false" customHeight="false" outlineLevel="0" collapsed="false">
      <c r="A38" s="0" t="s">
        <v>125</v>
      </c>
      <c r="B38" s="0" t="n">
        <v>2017</v>
      </c>
      <c r="C38" s="0" t="s">
        <v>78</v>
      </c>
      <c r="D38" s="0" t="s">
        <v>79</v>
      </c>
      <c r="E38" s="0" t="n">
        <v>46918</v>
      </c>
      <c r="F38" s="0" t="n">
        <v>3777039</v>
      </c>
      <c r="G38" s="0" t="n">
        <v>3197196</v>
      </c>
      <c r="H38" s="0" t="n">
        <v>579843</v>
      </c>
      <c r="I38" s="0" t="n">
        <v>113212</v>
      </c>
      <c r="J38" s="0" t="n">
        <v>3557782</v>
      </c>
      <c r="K38" s="0" t="n">
        <v>1837515</v>
      </c>
      <c r="L38" s="0" t="n">
        <v>178719</v>
      </c>
      <c r="M38" s="0" t="n">
        <v>1658796</v>
      </c>
      <c r="P38" s="0" t="n">
        <v>535692</v>
      </c>
      <c r="Q38" s="0" t="n">
        <v>3019880</v>
      </c>
      <c r="T38" s="0" t="n">
        <v>17.74</v>
      </c>
      <c r="U38" s="0" t="n">
        <v>15</v>
      </c>
      <c r="Y38" s="0" t="s">
        <v>128</v>
      </c>
      <c r="Z38" s="0" t="s">
        <v>130</v>
      </c>
      <c r="AA38" s="0" t="s">
        <v>85</v>
      </c>
    </row>
    <row r="39" customFormat="false" ht="15" hidden="false" customHeight="false" outlineLevel="0" collapsed="false">
      <c r="A39" s="0" t="s">
        <v>125</v>
      </c>
      <c r="B39" s="0" t="n">
        <v>2018</v>
      </c>
      <c r="C39" s="0" t="s">
        <v>78</v>
      </c>
      <c r="D39" s="0" t="s">
        <v>90</v>
      </c>
      <c r="E39" s="0" t="n">
        <v>56952</v>
      </c>
      <c r="F39" s="0" t="n">
        <v>3985907</v>
      </c>
      <c r="G39" s="0" t="n">
        <v>3543223</v>
      </c>
      <c r="H39" s="0" t="n">
        <v>442684</v>
      </c>
      <c r="I39" s="0" t="n">
        <v>327497</v>
      </c>
      <c r="J39" s="0" t="n">
        <v>3777039</v>
      </c>
      <c r="K39" s="0" t="n">
        <v>1728964</v>
      </c>
      <c r="L39" s="0" t="n">
        <v>277549</v>
      </c>
      <c r="M39" s="0" t="n">
        <v>1451415</v>
      </c>
      <c r="N39" s="0" t="n">
        <v>61865</v>
      </c>
      <c r="P39" s="0" t="n">
        <v>269341</v>
      </c>
      <c r="Q39" s="0" t="n">
        <v>2527208</v>
      </c>
      <c r="T39" s="0" t="n">
        <v>10.66</v>
      </c>
      <c r="X39" s="0" t="n">
        <v>0</v>
      </c>
      <c r="Y39" s="0" t="s">
        <v>131</v>
      </c>
      <c r="Z39" s="0" t="s">
        <v>132</v>
      </c>
      <c r="AA39" s="0" t="s">
        <v>85</v>
      </c>
    </row>
    <row r="40" customFormat="false" ht="15" hidden="false" customHeight="false" outlineLevel="0" collapsed="false">
      <c r="A40" s="0" t="s">
        <v>125</v>
      </c>
      <c r="B40" s="0" t="n">
        <v>2019</v>
      </c>
      <c r="C40" s="0" t="s">
        <v>78</v>
      </c>
      <c r="D40" s="0" t="s">
        <v>90</v>
      </c>
      <c r="E40" s="0" t="n">
        <v>43917</v>
      </c>
      <c r="F40" s="0" t="n">
        <v>4668279</v>
      </c>
      <c r="G40" s="0" t="n">
        <v>4128814</v>
      </c>
      <c r="H40" s="0" t="n">
        <v>539465</v>
      </c>
      <c r="I40" s="0" t="n">
        <v>-218752</v>
      </c>
      <c r="J40" s="0" t="n">
        <v>3985907</v>
      </c>
      <c r="K40" s="0" t="n">
        <v>1618817</v>
      </c>
      <c r="L40" s="0" t="n">
        <v>59314</v>
      </c>
      <c r="M40" s="0" t="n">
        <v>1559504</v>
      </c>
      <c r="N40" s="0" t="n">
        <v>46640</v>
      </c>
      <c r="P40" s="0" t="n">
        <v>332265</v>
      </c>
      <c r="Q40" s="0" t="n">
        <v>2978121</v>
      </c>
      <c r="T40" s="0" t="n">
        <v>11.16</v>
      </c>
      <c r="X40" s="0" t="n">
        <v>0</v>
      </c>
      <c r="Y40" s="0" t="s">
        <v>131</v>
      </c>
      <c r="Z40" s="0" t="s">
        <v>133</v>
      </c>
      <c r="AA40" s="0" t="s">
        <v>85</v>
      </c>
    </row>
    <row r="41" customFormat="false" ht="15" hidden="false" customHeight="false" outlineLevel="0" collapsed="false">
      <c r="A41" s="0" t="s">
        <v>125</v>
      </c>
      <c r="B41" s="0" t="n">
        <v>2022</v>
      </c>
      <c r="C41" s="0" t="s">
        <v>78</v>
      </c>
      <c r="D41" s="0" t="s">
        <v>90</v>
      </c>
      <c r="E41" s="0" t="n">
        <v>91415</v>
      </c>
      <c r="F41" s="0" t="n">
        <v>8125060</v>
      </c>
      <c r="G41" s="0" t="n">
        <v>7372174</v>
      </c>
      <c r="H41" s="0" t="n">
        <v>752886</v>
      </c>
      <c r="M41" s="0" t="n">
        <v>3301779</v>
      </c>
      <c r="N41" s="0" t="n">
        <v>49773</v>
      </c>
      <c r="Y41" s="0" t="s">
        <v>134</v>
      </c>
      <c r="Z41" s="0" t="s">
        <v>135</v>
      </c>
      <c r="AA41" s="0" t="s">
        <v>85</v>
      </c>
    </row>
    <row r="42" customFormat="false" ht="15" hidden="false" customHeight="false" outlineLevel="0" collapsed="false">
      <c r="A42" s="0" t="s">
        <v>136</v>
      </c>
      <c r="B42" s="0" t="n">
        <v>2013</v>
      </c>
      <c r="C42" s="0" t="s">
        <v>78</v>
      </c>
      <c r="D42" s="0" t="s">
        <v>79</v>
      </c>
      <c r="E42" s="0" t="n">
        <v>85546</v>
      </c>
      <c r="F42" s="0" t="n">
        <v>1904366</v>
      </c>
      <c r="G42" s="0" t="n">
        <v>1574719</v>
      </c>
      <c r="H42" s="0" t="n">
        <v>329647</v>
      </c>
      <c r="O42" s="0" t="n">
        <v>27707</v>
      </c>
      <c r="Y42" s="0" t="s">
        <v>137</v>
      </c>
      <c r="Z42" s="0" t="s">
        <v>81</v>
      </c>
      <c r="AA42" s="0" t="s">
        <v>82</v>
      </c>
    </row>
    <row r="43" customFormat="false" ht="15" hidden="false" customHeight="false" outlineLevel="0" collapsed="false">
      <c r="A43" s="0" t="s">
        <v>136</v>
      </c>
      <c r="B43" s="0" t="n">
        <v>2014</v>
      </c>
      <c r="C43" s="0" t="s">
        <v>78</v>
      </c>
      <c r="D43" s="0" t="s">
        <v>79</v>
      </c>
      <c r="E43" s="0" t="n">
        <v>93432</v>
      </c>
      <c r="F43" s="0" t="n">
        <v>2126608</v>
      </c>
      <c r="G43" s="0" t="n">
        <v>1757078</v>
      </c>
      <c r="H43" s="0" t="n">
        <v>369530</v>
      </c>
      <c r="J43" s="0" t="n">
        <v>1904366</v>
      </c>
      <c r="O43" s="0" t="n">
        <v>32616</v>
      </c>
      <c r="Y43" s="0" t="s">
        <v>137</v>
      </c>
      <c r="Z43" s="0" t="s">
        <v>81</v>
      </c>
      <c r="AA43" s="0" t="s">
        <v>82</v>
      </c>
    </row>
    <row r="44" customFormat="false" ht="15" hidden="false" customHeight="false" outlineLevel="0" collapsed="false">
      <c r="A44" s="0" t="s">
        <v>136</v>
      </c>
      <c r="B44" s="0" t="n">
        <v>2015</v>
      </c>
      <c r="C44" s="0" t="s">
        <v>78</v>
      </c>
      <c r="D44" s="0" t="s">
        <v>79</v>
      </c>
      <c r="E44" s="0" t="n">
        <v>94308.123</v>
      </c>
      <c r="F44" s="0" t="n">
        <v>2277629.224</v>
      </c>
      <c r="G44" s="0" t="n">
        <v>1872020.876</v>
      </c>
      <c r="H44" s="0" t="n">
        <v>405608.348</v>
      </c>
      <c r="I44" s="0" t="n">
        <v>10429.148</v>
      </c>
      <c r="J44" s="0" t="n">
        <v>2126608.312</v>
      </c>
      <c r="K44" s="0" t="n">
        <v>1291516.228</v>
      </c>
      <c r="L44" s="0" t="n">
        <v>26308.785</v>
      </c>
      <c r="M44" s="0" t="n">
        <v>1265207.443</v>
      </c>
      <c r="N44" s="0" t="n">
        <v>11769.374</v>
      </c>
      <c r="P44" s="0" t="n">
        <v>333426.139</v>
      </c>
      <c r="Q44" s="0" t="n">
        <v>1835072.113</v>
      </c>
      <c r="T44" s="0" t="n">
        <v>18.17</v>
      </c>
      <c r="X44" s="0" t="n">
        <v>0</v>
      </c>
      <c r="Y44" s="0" t="s">
        <v>138</v>
      </c>
      <c r="Z44" s="0" t="s">
        <v>84</v>
      </c>
      <c r="AA44" s="0" t="s">
        <v>85</v>
      </c>
    </row>
    <row r="45" customFormat="false" ht="15" hidden="false" customHeight="false" outlineLevel="0" collapsed="false">
      <c r="A45" s="0" t="s">
        <v>136</v>
      </c>
      <c r="B45" s="0" t="n">
        <v>2016</v>
      </c>
      <c r="C45" s="0" t="s">
        <v>78</v>
      </c>
      <c r="D45" s="0" t="s">
        <v>79</v>
      </c>
      <c r="E45" s="0" t="n">
        <v>126836.792</v>
      </c>
      <c r="F45" s="0" t="n">
        <v>2613340.074</v>
      </c>
      <c r="G45" s="0" t="n">
        <v>2136422.221</v>
      </c>
      <c r="H45" s="0" t="n">
        <v>476917.853</v>
      </c>
      <c r="I45" s="0" t="n">
        <v>286884.139</v>
      </c>
      <c r="J45" s="0" t="n">
        <v>2277629.224</v>
      </c>
      <c r="K45" s="0" t="n">
        <v>1491117.716</v>
      </c>
      <c r="L45" s="0" t="n">
        <v>73899.764</v>
      </c>
      <c r="M45" s="0" t="n">
        <v>1417217.952</v>
      </c>
      <c r="N45" s="0" t="n">
        <v>63542.64</v>
      </c>
      <c r="P45" s="0" t="n">
        <v>405526.626</v>
      </c>
      <c r="Q45" s="0" t="n">
        <v>2049087.592</v>
      </c>
      <c r="T45" s="0" t="n">
        <v>19.79</v>
      </c>
      <c r="X45" s="0" t="n">
        <v>0</v>
      </c>
      <c r="Y45" s="0" t="s">
        <v>139</v>
      </c>
      <c r="Z45" s="0" t="s">
        <v>140</v>
      </c>
      <c r="AA45" s="0" t="s">
        <v>85</v>
      </c>
    </row>
    <row r="46" customFormat="false" ht="15" hidden="false" customHeight="false" outlineLevel="0" collapsed="false">
      <c r="A46" s="0" t="s">
        <v>136</v>
      </c>
      <c r="B46" s="0" t="n">
        <v>2017</v>
      </c>
      <c r="C46" s="0" t="s">
        <v>78</v>
      </c>
      <c r="D46" s="0" t="s">
        <v>79</v>
      </c>
      <c r="E46" s="0" t="n">
        <v>158727.705</v>
      </c>
      <c r="F46" s="0" t="n">
        <v>2824928.985</v>
      </c>
      <c r="G46" s="0" t="n">
        <v>2246352.209</v>
      </c>
      <c r="H46" s="0" t="n">
        <v>578576.776</v>
      </c>
      <c r="I46" s="0" t="n">
        <v>353397.327</v>
      </c>
      <c r="J46" s="0" t="n">
        <v>2613340.074</v>
      </c>
      <c r="K46" s="0" t="n">
        <v>1326250.395</v>
      </c>
      <c r="L46" s="0" t="n">
        <v>60278.707</v>
      </c>
      <c r="M46" s="0" t="n">
        <v>1265971.688</v>
      </c>
      <c r="N46" s="0" t="n">
        <v>11531.292</v>
      </c>
      <c r="Y46" s="0" t="s">
        <v>141</v>
      </c>
      <c r="Z46" s="0" t="s">
        <v>142</v>
      </c>
      <c r="AA46" s="0" t="s">
        <v>85</v>
      </c>
    </row>
    <row r="47" customFormat="false" ht="15" hidden="false" customHeight="false" outlineLevel="0" collapsed="false">
      <c r="A47" s="0" t="s">
        <v>136</v>
      </c>
      <c r="B47" s="0" t="n">
        <v>2018</v>
      </c>
      <c r="C47" s="0" t="s">
        <v>78</v>
      </c>
      <c r="D47" s="0" t="s">
        <v>90</v>
      </c>
      <c r="E47" s="0" t="n">
        <v>166919.765</v>
      </c>
      <c r="F47" s="0" t="n">
        <v>2712521.494</v>
      </c>
      <c r="G47" s="0" t="n">
        <v>2200679.235</v>
      </c>
      <c r="H47" s="0" t="n">
        <v>511842.259</v>
      </c>
      <c r="I47" s="0" t="n">
        <v>224625.664</v>
      </c>
      <c r="J47" s="0" t="n">
        <v>2824928.985</v>
      </c>
      <c r="K47" s="0" t="n">
        <v>1158980.803</v>
      </c>
      <c r="L47" s="0" t="n">
        <v>90981.784</v>
      </c>
      <c r="M47" s="0" t="n">
        <v>1067999.019</v>
      </c>
      <c r="N47" s="0" t="n">
        <v>1384.004</v>
      </c>
      <c r="S47" s="0" t="n">
        <v>74667.995</v>
      </c>
      <c r="X47" s="0" t="n">
        <v>0</v>
      </c>
      <c r="Y47" s="0" t="s">
        <v>141</v>
      </c>
      <c r="Z47" s="0" t="s">
        <v>109</v>
      </c>
      <c r="AA47" s="0" t="s">
        <v>85</v>
      </c>
    </row>
    <row r="48" customFormat="false" ht="15" hidden="false" customHeight="false" outlineLevel="0" collapsed="false">
      <c r="A48" s="0" t="s">
        <v>136</v>
      </c>
      <c r="B48" s="0" t="n">
        <v>2019</v>
      </c>
      <c r="C48" s="0" t="s">
        <v>78</v>
      </c>
      <c r="D48" s="0" t="s">
        <v>90</v>
      </c>
      <c r="E48" s="0" t="n">
        <v>175125.281</v>
      </c>
      <c r="F48" s="0" t="n">
        <v>3097248.495</v>
      </c>
      <c r="G48" s="0" t="n">
        <v>2491358.899</v>
      </c>
      <c r="H48" s="0" t="n">
        <v>605889.596</v>
      </c>
      <c r="I48" s="0" t="n">
        <v>197853.667</v>
      </c>
      <c r="J48" s="0" t="n">
        <v>2712521.494</v>
      </c>
      <c r="K48" s="0" t="n">
        <v>1357066.246</v>
      </c>
      <c r="L48" s="0" t="n">
        <v>56245.599</v>
      </c>
      <c r="M48" s="0" t="n">
        <v>1300820.647</v>
      </c>
      <c r="N48" s="0" t="n">
        <v>1859.247</v>
      </c>
      <c r="P48" s="0" t="n">
        <v>418652.17</v>
      </c>
      <c r="Q48" s="0" t="n">
        <v>2026402.562</v>
      </c>
      <c r="S48" s="0" t="n">
        <v>45503.961</v>
      </c>
      <c r="T48" s="0" t="n">
        <v>20.66</v>
      </c>
      <c r="X48" s="0" t="n">
        <v>0</v>
      </c>
      <c r="Y48" s="0" t="s">
        <v>143</v>
      </c>
      <c r="Z48" s="0" t="s">
        <v>93</v>
      </c>
      <c r="AA48" s="0" t="s">
        <v>85</v>
      </c>
    </row>
    <row r="49" customFormat="false" ht="15" hidden="false" customHeight="false" outlineLevel="0" collapsed="false">
      <c r="A49" s="0" t="s">
        <v>136</v>
      </c>
      <c r="B49" s="0" t="n">
        <v>2020</v>
      </c>
      <c r="C49" s="0" t="s">
        <v>78</v>
      </c>
      <c r="D49" s="0" t="s">
        <v>90</v>
      </c>
      <c r="E49" s="0" t="n">
        <v>178188.398</v>
      </c>
      <c r="F49" s="0" t="n">
        <v>4061543.605</v>
      </c>
      <c r="G49" s="0" t="n">
        <v>3359144.08</v>
      </c>
      <c r="H49" s="0" t="n">
        <v>702399.525</v>
      </c>
      <c r="I49" s="0" t="n">
        <v>327793.446</v>
      </c>
      <c r="J49" s="0" t="n">
        <v>3097248.495</v>
      </c>
      <c r="K49" s="0" t="n">
        <v>1473498.356</v>
      </c>
      <c r="L49" s="0" t="n">
        <v>62920.622</v>
      </c>
      <c r="M49" s="0" t="n">
        <v>1410577.734</v>
      </c>
      <c r="N49" s="0" t="n">
        <v>10555.467</v>
      </c>
      <c r="P49" s="0" t="n">
        <v>467871.04</v>
      </c>
      <c r="Q49" s="0" t="n">
        <v>2393202.25</v>
      </c>
      <c r="T49" s="0" t="n">
        <v>19.55</v>
      </c>
      <c r="U49" s="0" t="n">
        <v>16</v>
      </c>
      <c r="X49" s="0" t="n">
        <v>0</v>
      </c>
      <c r="Y49" s="0" t="s">
        <v>144</v>
      </c>
      <c r="Z49" s="0" t="s">
        <v>95</v>
      </c>
      <c r="AA49" s="0" t="s">
        <v>85</v>
      </c>
    </row>
    <row r="50" customFormat="false" ht="15" hidden="false" customHeight="false" outlineLevel="0" collapsed="false">
      <c r="A50" s="0" t="s">
        <v>136</v>
      </c>
      <c r="B50" s="0" t="n">
        <v>2021</v>
      </c>
      <c r="C50" s="0" t="s">
        <v>78</v>
      </c>
      <c r="D50" s="0" t="s">
        <v>90</v>
      </c>
      <c r="E50" s="0" t="n">
        <v>146184.067</v>
      </c>
      <c r="F50" s="0" t="n">
        <v>4357033.134</v>
      </c>
      <c r="G50" s="0" t="n">
        <v>3610197.551</v>
      </c>
      <c r="H50" s="0" t="n">
        <v>746835.583</v>
      </c>
      <c r="I50" s="0" t="n">
        <v>364670.769</v>
      </c>
      <c r="J50" s="0" t="n">
        <v>4061543.605</v>
      </c>
      <c r="M50" s="0" t="n">
        <v>1475674.16</v>
      </c>
      <c r="Y50" s="0" t="s">
        <v>145</v>
      </c>
      <c r="Z50" s="0" t="s">
        <v>146</v>
      </c>
      <c r="AA50" s="0" t="s">
        <v>85</v>
      </c>
    </row>
    <row r="51" customFormat="false" ht="15" hidden="false" customHeight="false" outlineLevel="0" collapsed="false">
      <c r="A51" s="0" t="s">
        <v>136</v>
      </c>
      <c r="B51" s="0" t="n">
        <v>2022</v>
      </c>
      <c r="C51" s="0" t="s">
        <v>78</v>
      </c>
      <c r="D51" s="0" t="s">
        <v>90</v>
      </c>
      <c r="E51" s="0" t="n">
        <v>145296.211</v>
      </c>
      <c r="F51" s="0" t="n">
        <v>5208576.833</v>
      </c>
      <c r="G51" s="0" t="n">
        <v>4412624.546</v>
      </c>
      <c r="H51" s="0" t="n">
        <v>795952.287</v>
      </c>
      <c r="I51" s="0" t="n">
        <v>671361.457</v>
      </c>
      <c r="J51" s="0" t="n">
        <v>4357033.134</v>
      </c>
      <c r="M51" s="0" t="n">
        <v>1577191.692</v>
      </c>
      <c r="Y51" s="0" t="s">
        <v>147</v>
      </c>
      <c r="Z51" s="0" t="s">
        <v>148</v>
      </c>
      <c r="AA51" s="0" t="s">
        <v>85</v>
      </c>
    </row>
    <row r="52" customFormat="false" ht="15" hidden="false" customHeight="false" outlineLevel="0" collapsed="false">
      <c r="A52" s="0" t="s">
        <v>149</v>
      </c>
      <c r="B52" s="0" t="n">
        <v>2013</v>
      </c>
      <c r="C52" s="0" t="s">
        <v>101</v>
      </c>
      <c r="D52" s="0" t="s">
        <v>79</v>
      </c>
      <c r="E52" s="0" t="n">
        <v>10129</v>
      </c>
      <c r="F52" s="0" t="n">
        <v>725100</v>
      </c>
      <c r="G52" s="0" t="n">
        <v>654520</v>
      </c>
      <c r="H52" s="0" t="n">
        <v>70580</v>
      </c>
      <c r="J52" s="0" t="n">
        <v>650470</v>
      </c>
      <c r="M52" s="0" t="n">
        <v>289747</v>
      </c>
      <c r="N52" s="0" t="n">
        <v>2667</v>
      </c>
      <c r="Y52" s="0" t="s">
        <v>150</v>
      </c>
      <c r="Z52" s="0" t="s">
        <v>151</v>
      </c>
      <c r="AA52" s="0" t="s">
        <v>85</v>
      </c>
    </row>
    <row r="53" customFormat="false" ht="15" hidden="false" customHeight="false" outlineLevel="0" collapsed="false">
      <c r="A53" s="0" t="s">
        <v>149</v>
      </c>
      <c r="B53" s="0" t="n">
        <v>2014</v>
      </c>
      <c r="C53" s="0" t="s">
        <v>101</v>
      </c>
      <c r="D53" s="0" t="s">
        <v>79</v>
      </c>
      <c r="E53" s="0" t="n">
        <v>19456</v>
      </c>
      <c r="F53" s="0" t="n">
        <v>911052</v>
      </c>
      <c r="G53" s="0" t="n">
        <v>829231</v>
      </c>
      <c r="H53" s="0" t="n">
        <v>81821</v>
      </c>
      <c r="J53" s="0" t="n">
        <v>725100</v>
      </c>
      <c r="M53" s="0" t="n">
        <v>398604</v>
      </c>
      <c r="N53" s="0" t="n">
        <v>3217</v>
      </c>
      <c r="Y53" s="0" t="s">
        <v>152</v>
      </c>
      <c r="Z53" s="0" t="s">
        <v>153</v>
      </c>
      <c r="AA53" s="0" t="s">
        <v>85</v>
      </c>
    </row>
    <row r="54" customFormat="false" ht="15" hidden="false" customHeight="false" outlineLevel="0" collapsed="false">
      <c r="A54" s="0" t="s">
        <v>149</v>
      </c>
      <c r="B54" s="0" t="n">
        <v>2015</v>
      </c>
      <c r="C54" s="0" t="s">
        <v>101</v>
      </c>
      <c r="D54" s="0" t="s">
        <v>79</v>
      </c>
      <c r="E54" s="0" t="n">
        <v>6232</v>
      </c>
      <c r="F54" s="0" t="n">
        <v>890580</v>
      </c>
      <c r="G54" s="0" t="n">
        <v>795663</v>
      </c>
      <c r="H54" s="0" t="n">
        <v>94917</v>
      </c>
      <c r="J54" s="0" t="n">
        <v>908429</v>
      </c>
      <c r="M54" s="0" t="n">
        <v>353513</v>
      </c>
      <c r="N54" s="0" t="n">
        <v>14931</v>
      </c>
      <c r="Y54" s="0" t="s">
        <v>154</v>
      </c>
      <c r="Z54" s="0" t="s">
        <v>155</v>
      </c>
      <c r="AA54" s="0" t="s">
        <v>85</v>
      </c>
    </row>
    <row r="55" customFormat="false" ht="15" hidden="false" customHeight="false" outlineLevel="0" collapsed="false">
      <c r="A55" s="0" t="s">
        <v>149</v>
      </c>
      <c r="B55" s="0" t="n">
        <v>2016</v>
      </c>
      <c r="C55" s="0" t="s">
        <v>101</v>
      </c>
      <c r="D55" s="0" t="s">
        <v>79</v>
      </c>
      <c r="E55" s="0" t="n">
        <v>15030</v>
      </c>
      <c r="F55" s="0" t="n">
        <v>993759</v>
      </c>
      <c r="G55" s="0" t="n">
        <v>884443</v>
      </c>
      <c r="H55" s="0" t="n">
        <v>109316</v>
      </c>
      <c r="J55" s="0" t="n">
        <v>890580</v>
      </c>
      <c r="M55" s="0" t="n">
        <v>352965</v>
      </c>
      <c r="N55" s="0" t="n">
        <v>19803</v>
      </c>
      <c r="Y55" s="0" t="s">
        <v>156</v>
      </c>
      <c r="Z55" s="0" t="s">
        <v>157</v>
      </c>
      <c r="AA55" s="0" t="s">
        <v>85</v>
      </c>
    </row>
    <row r="56" customFormat="false" ht="15" hidden="false" customHeight="false" outlineLevel="0" collapsed="false">
      <c r="A56" s="0" t="s">
        <v>149</v>
      </c>
      <c r="B56" s="0" t="n">
        <v>2017</v>
      </c>
      <c r="C56" s="0" t="s">
        <v>101</v>
      </c>
      <c r="D56" s="0" t="s">
        <v>79</v>
      </c>
      <c r="E56" s="0" t="n">
        <v>28842</v>
      </c>
      <c r="F56" s="0" t="n">
        <v>1332669</v>
      </c>
      <c r="G56" s="0" t="n">
        <v>1193969</v>
      </c>
      <c r="H56" s="0" t="n">
        <v>138700</v>
      </c>
      <c r="J56" s="0" t="n">
        <v>993759</v>
      </c>
      <c r="M56" s="0" t="n">
        <v>372088</v>
      </c>
      <c r="N56" s="0" t="n">
        <v>25577</v>
      </c>
      <c r="Y56" s="0" t="s">
        <v>158</v>
      </c>
      <c r="Z56" s="0" t="s">
        <v>159</v>
      </c>
      <c r="AA56" s="0" t="s">
        <v>85</v>
      </c>
    </row>
    <row r="57" customFormat="false" ht="15" hidden="false" customHeight="false" outlineLevel="0" collapsed="false">
      <c r="A57" s="0" t="s">
        <v>149</v>
      </c>
      <c r="B57" s="0" t="n">
        <v>2018</v>
      </c>
      <c r="C57" s="0" t="s">
        <v>101</v>
      </c>
      <c r="D57" s="0" t="s">
        <v>90</v>
      </c>
      <c r="E57" s="0" t="n">
        <v>49912</v>
      </c>
      <c r="F57" s="0" t="n">
        <v>1599245</v>
      </c>
      <c r="G57" s="0" t="n">
        <v>1428904</v>
      </c>
      <c r="H57" s="0" t="n">
        <v>170341</v>
      </c>
      <c r="J57" s="0" t="n">
        <v>1332723</v>
      </c>
      <c r="M57" s="0" t="n">
        <v>432713</v>
      </c>
      <c r="N57" s="0" t="n">
        <v>-2988</v>
      </c>
      <c r="X57" s="0" t="n">
        <v>0</v>
      </c>
      <c r="Y57" s="0" t="s">
        <v>160</v>
      </c>
      <c r="Z57" s="0" t="s">
        <v>161</v>
      </c>
      <c r="AA57" s="0" t="s">
        <v>85</v>
      </c>
    </row>
    <row r="58" customFormat="false" ht="15" hidden="false" customHeight="false" outlineLevel="0" collapsed="false">
      <c r="A58" s="0" t="s">
        <v>149</v>
      </c>
      <c r="B58" s="0" t="n">
        <v>2019</v>
      </c>
      <c r="C58" s="0" t="s">
        <v>101</v>
      </c>
      <c r="D58" s="0" t="s">
        <v>90</v>
      </c>
      <c r="E58" s="0" t="n">
        <v>52287</v>
      </c>
      <c r="F58" s="0" t="n">
        <v>1792320</v>
      </c>
      <c r="G58" s="0" t="n">
        <v>1590980</v>
      </c>
      <c r="H58" s="0" t="n">
        <v>201340</v>
      </c>
      <c r="J58" s="0" t="n">
        <v>1599245</v>
      </c>
      <c r="M58" s="0" t="n">
        <v>532124</v>
      </c>
      <c r="N58" s="0" t="n">
        <v>1664</v>
      </c>
      <c r="X58" s="0" t="n">
        <v>0</v>
      </c>
      <c r="Y58" s="0" t="s">
        <v>162</v>
      </c>
      <c r="Z58" s="0" t="s">
        <v>163</v>
      </c>
      <c r="AA58" s="0" t="s">
        <v>85</v>
      </c>
    </row>
    <row r="59" customFormat="false" ht="15" hidden="false" customHeight="false" outlineLevel="0" collapsed="false">
      <c r="A59" s="0" t="s">
        <v>149</v>
      </c>
      <c r="B59" s="0" t="n">
        <v>2020</v>
      </c>
      <c r="C59" s="0" t="s">
        <v>101</v>
      </c>
      <c r="D59" s="0" t="s">
        <v>90</v>
      </c>
      <c r="E59" s="0" t="n">
        <v>59489</v>
      </c>
      <c r="F59" s="0" t="n">
        <v>2370347</v>
      </c>
      <c r="G59" s="0" t="n">
        <v>2128226</v>
      </c>
      <c r="H59" s="0" t="n">
        <v>242121</v>
      </c>
      <c r="I59" s="0" t="n">
        <v>465539</v>
      </c>
      <c r="K59" s="0" t="n">
        <v>655292</v>
      </c>
      <c r="L59" s="0" t="n">
        <v>30153</v>
      </c>
      <c r="M59" s="0" t="n">
        <v>625139</v>
      </c>
      <c r="N59" s="0" t="n">
        <v>10170</v>
      </c>
      <c r="P59" s="0" t="n">
        <v>221408</v>
      </c>
      <c r="Q59" s="0" t="n">
        <v>1140396</v>
      </c>
      <c r="S59" s="0" t="n">
        <v>21963</v>
      </c>
      <c r="T59" s="0" t="n">
        <v>19.4</v>
      </c>
      <c r="Y59" s="0" t="s">
        <v>164</v>
      </c>
      <c r="Z59" s="0" t="s">
        <v>165</v>
      </c>
      <c r="AA59" s="0" t="s">
        <v>85</v>
      </c>
    </row>
    <row r="60" customFormat="false" ht="15" hidden="false" customHeight="false" outlineLevel="0" collapsed="false">
      <c r="A60" s="0" t="s">
        <v>149</v>
      </c>
      <c r="B60" s="0" t="n">
        <v>2021</v>
      </c>
      <c r="C60" s="0" t="s">
        <v>101</v>
      </c>
      <c r="D60" s="0" t="s">
        <v>90</v>
      </c>
      <c r="E60" s="0" t="n">
        <v>29570</v>
      </c>
      <c r="F60" s="0" t="n">
        <v>2614087</v>
      </c>
      <c r="G60" s="0" t="n">
        <v>2362312</v>
      </c>
      <c r="H60" s="0" t="n">
        <v>251775</v>
      </c>
      <c r="I60" s="0" t="n">
        <v>55771</v>
      </c>
      <c r="J60" s="0" t="n">
        <v>2370347</v>
      </c>
      <c r="K60" s="0" t="n">
        <v>946259</v>
      </c>
      <c r="L60" s="0" t="n">
        <v>25215</v>
      </c>
      <c r="M60" s="0" t="n">
        <v>921044</v>
      </c>
      <c r="N60" s="0" t="n">
        <v>-1208</v>
      </c>
      <c r="P60" s="0" t="n">
        <v>226940</v>
      </c>
      <c r="Q60" s="0" t="n">
        <v>1405941</v>
      </c>
      <c r="S60" s="0" t="n">
        <v>15907</v>
      </c>
      <c r="T60" s="0" t="n">
        <v>16.1</v>
      </c>
      <c r="X60" s="0" t="n">
        <v>0</v>
      </c>
      <c r="Y60" s="0" t="s">
        <v>164</v>
      </c>
      <c r="Z60" s="0" t="s">
        <v>166</v>
      </c>
      <c r="AA60" s="0" t="s">
        <v>85</v>
      </c>
    </row>
    <row r="61" customFormat="false" ht="15" hidden="false" customHeight="false" outlineLevel="0" collapsed="false">
      <c r="A61" s="0" t="s">
        <v>149</v>
      </c>
      <c r="B61" s="0" t="n">
        <v>2022</v>
      </c>
      <c r="C61" s="0" t="s">
        <v>101</v>
      </c>
      <c r="D61" s="0" t="s">
        <v>90</v>
      </c>
      <c r="E61" s="0" t="n">
        <v>55150</v>
      </c>
      <c r="F61" s="0" t="n">
        <v>2854509</v>
      </c>
      <c r="G61" s="0" t="n">
        <v>2575402</v>
      </c>
      <c r="H61" s="0" t="n">
        <v>279107</v>
      </c>
      <c r="I61" s="0" t="n">
        <v>-144391</v>
      </c>
      <c r="J61" s="0" t="n">
        <v>2614087</v>
      </c>
      <c r="K61" s="0" t="n">
        <v>1238195</v>
      </c>
      <c r="L61" s="0" t="n">
        <v>33410</v>
      </c>
      <c r="M61" s="0" t="n">
        <v>1204785</v>
      </c>
      <c r="N61" s="0" t="n">
        <v>10147</v>
      </c>
      <c r="P61" s="0" t="n">
        <v>284446</v>
      </c>
      <c r="Q61" s="0" t="n">
        <v>1545117</v>
      </c>
      <c r="S61" s="0" t="n">
        <v>20616</v>
      </c>
      <c r="T61" s="0" t="n">
        <v>18.4</v>
      </c>
      <c r="U61" s="0" t="n">
        <v>10</v>
      </c>
      <c r="X61" s="0" t="n">
        <v>0</v>
      </c>
      <c r="Y61" s="0" t="s">
        <v>167</v>
      </c>
      <c r="Z61" s="0" t="s">
        <v>168</v>
      </c>
      <c r="AA61" s="0" t="s">
        <v>85</v>
      </c>
    </row>
    <row r="62" customFormat="false" ht="15" hidden="false" customHeight="false" outlineLevel="0" collapsed="false">
      <c r="A62" s="0" t="s">
        <v>169</v>
      </c>
      <c r="B62" s="0" t="n">
        <v>2013</v>
      </c>
      <c r="C62" s="0" t="s">
        <v>101</v>
      </c>
      <c r="D62" s="0" t="s">
        <v>79</v>
      </c>
      <c r="E62" s="0" t="n">
        <v>8274.864</v>
      </c>
      <c r="F62" s="0" t="n">
        <v>707797.181</v>
      </c>
      <c r="G62" s="0" t="n">
        <v>644339.285</v>
      </c>
      <c r="H62" s="0" t="n">
        <v>63457.896</v>
      </c>
      <c r="I62" s="0" t="n">
        <v>-41953.972</v>
      </c>
      <c r="K62" s="0" t="n">
        <v>328664.904</v>
      </c>
      <c r="L62" s="0" t="n">
        <v>6921.156</v>
      </c>
      <c r="N62" s="0" t="n">
        <v>8259.094</v>
      </c>
      <c r="T62" s="0" t="n">
        <v>14</v>
      </c>
      <c r="Y62" s="0" t="s">
        <v>170</v>
      </c>
      <c r="Z62" s="0" t="s">
        <v>81</v>
      </c>
      <c r="AA62" s="0" t="s">
        <v>82</v>
      </c>
    </row>
    <row r="63" customFormat="false" ht="15" hidden="false" customHeight="false" outlineLevel="0" collapsed="false">
      <c r="A63" s="0" t="s">
        <v>169</v>
      </c>
      <c r="B63" s="0" t="n">
        <v>2014</v>
      </c>
      <c r="C63" s="0" t="s">
        <v>101</v>
      </c>
      <c r="D63" s="0" t="s">
        <v>79</v>
      </c>
      <c r="E63" s="0" t="n">
        <v>9004.973</v>
      </c>
      <c r="F63" s="0" t="n">
        <v>824539.426</v>
      </c>
      <c r="G63" s="0" t="n">
        <v>739824.141</v>
      </c>
      <c r="H63" s="0" t="n">
        <v>84715.285</v>
      </c>
      <c r="I63" s="0" t="n">
        <v>-755.006</v>
      </c>
      <c r="J63" s="0" t="n">
        <v>707797.181</v>
      </c>
      <c r="K63" s="0" t="n">
        <v>380924.4</v>
      </c>
      <c r="L63" s="0" t="n">
        <v>9678.127</v>
      </c>
      <c r="N63" s="0" t="n">
        <v>7389.159</v>
      </c>
      <c r="T63" s="0" t="n">
        <v>14</v>
      </c>
      <c r="V63" s="0" t="n">
        <v>34</v>
      </c>
      <c r="W63" s="0" t="n">
        <v>1</v>
      </c>
      <c r="X63" s="0" t="n">
        <v>0</v>
      </c>
      <c r="Y63" s="0" t="s">
        <v>170</v>
      </c>
      <c r="Z63" s="0" t="s">
        <v>81</v>
      </c>
      <c r="AA63" s="0" t="s">
        <v>82</v>
      </c>
    </row>
    <row r="64" customFormat="false" ht="15" hidden="false" customHeight="false" outlineLevel="0" collapsed="false">
      <c r="A64" s="0" t="s">
        <v>169</v>
      </c>
      <c r="B64" s="0" t="n">
        <v>2015</v>
      </c>
      <c r="C64" s="0" t="s">
        <v>101</v>
      </c>
      <c r="D64" s="0" t="s">
        <v>79</v>
      </c>
      <c r="E64" s="0" t="n">
        <v>10292.577</v>
      </c>
      <c r="F64" s="0" t="n">
        <v>799451.417</v>
      </c>
      <c r="G64" s="0" t="n">
        <v>703885.67</v>
      </c>
      <c r="H64" s="0" t="n">
        <v>95565.747</v>
      </c>
      <c r="I64" s="0" t="n">
        <v>54691.995</v>
      </c>
      <c r="J64" s="0" t="n">
        <v>824539.426</v>
      </c>
      <c r="K64" s="0" t="n">
        <v>354474.856</v>
      </c>
      <c r="L64" s="0" t="n">
        <v>15748.585</v>
      </c>
      <c r="M64" s="0" t="n">
        <v>338726.271</v>
      </c>
      <c r="N64" s="0" t="n">
        <v>8151.338</v>
      </c>
      <c r="P64" s="0" t="n">
        <v>85262.476</v>
      </c>
      <c r="Q64" s="0" t="n">
        <v>487486.579</v>
      </c>
      <c r="T64" s="0" t="n">
        <v>17.49</v>
      </c>
      <c r="U64" s="0" t="n">
        <v>10</v>
      </c>
      <c r="X64" s="0" t="n">
        <v>0</v>
      </c>
      <c r="Y64" s="0" t="s">
        <v>171</v>
      </c>
      <c r="Z64" s="0" t="s">
        <v>84</v>
      </c>
      <c r="AA64" s="0" t="s">
        <v>85</v>
      </c>
    </row>
    <row r="65" customFormat="false" ht="15" hidden="false" customHeight="false" outlineLevel="0" collapsed="false">
      <c r="A65" s="0" t="s">
        <v>169</v>
      </c>
      <c r="B65" s="0" t="n">
        <v>2016</v>
      </c>
      <c r="C65" s="0" t="s">
        <v>101</v>
      </c>
      <c r="D65" s="0" t="s">
        <v>79</v>
      </c>
      <c r="E65" s="0" t="n">
        <v>5180.964</v>
      </c>
      <c r="F65" s="0" t="n">
        <v>830802.224</v>
      </c>
      <c r="G65" s="0" t="n">
        <v>745123.602</v>
      </c>
      <c r="H65" s="0" t="n">
        <v>85678.622</v>
      </c>
      <c r="I65" s="0" t="n">
        <v>-124892.482</v>
      </c>
      <c r="J65" s="0" t="n">
        <v>799451.417</v>
      </c>
      <c r="K65" s="0" t="n">
        <v>476713.163</v>
      </c>
      <c r="L65" s="0" t="n">
        <v>8463.293</v>
      </c>
      <c r="M65" s="0" t="n">
        <v>468249.87</v>
      </c>
      <c r="N65" s="0" t="n">
        <v>11713.968</v>
      </c>
      <c r="P65" s="0" t="n">
        <v>72046.139</v>
      </c>
      <c r="Q65" s="0" t="n">
        <v>675917.677</v>
      </c>
      <c r="T65" s="0" t="n">
        <v>10.66</v>
      </c>
      <c r="U65" s="0" t="n">
        <v>10</v>
      </c>
      <c r="X65" s="0" t="n">
        <v>0</v>
      </c>
      <c r="Y65" s="0" t="s">
        <v>172</v>
      </c>
      <c r="Z65" s="0" t="s">
        <v>87</v>
      </c>
      <c r="AA65" s="0" t="s">
        <v>85</v>
      </c>
    </row>
    <row r="66" customFormat="false" ht="15" hidden="false" customHeight="false" outlineLevel="0" collapsed="false">
      <c r="A66" s="0" t="s">
        <v>169</v>
      </c>
      <c r="B66" s="0" t="n">
        <v>2017</v>
      </c>
      <c r="C66" s="0" t="s">
        <v>101</v>
      </c>
      <c r="D66" s="0" t="s">
        <v>79</v>
      </c>
      <c r="E66" s="0" t="n">
        <v>8455</v>
      </c>
      <c r="F66" s="0" t="n">
        <v>1068798</v>
      </c>
      <c r="G66" s="0" t="n">
        <v>965905</v>
      </c>
      <c r="H66" s="0" t="n">
        <v>102893</v>
      </c>
      <c r="I66" s="0" t="n">
        <v>-46542</v>
      </c>
      <c r="J66" s="0" t="n">
        <v>830805</v>
      </c>
      <c r="K66" s="0" t="n">
        <v>617577</v>
      </c>
      <c r="L66" s="0" t="n">
        <v>19504</v>
      </c>
      <c r="M66" s="0" t="n">
        <v>598073</v>
      </c>
      <c r="N66" s="0" t="n">
        <v>12267</v>
      </c>
      <c r="P66" s="0" t="n">
        <v>83076</v>
      </c>
      <c r="Q66" s="0" t="n">
        <v>708114</v>
      </c>
      <c r="T66" s="0" t="n">
        <v>11.73</v>
      </c>
      <c r="U66" s="0" t="n">
        <v>10</v>
      </c>
      <c r="X66" s="0" t="n">
        <v>0</v>
      </c>
      <c r="Y66" s="0" t="s">
        <v>173</v>
      </c>
      <c r="Z66" s="0" t="s">
        <v>89</v>
      </c>
      <c r="AA66" s="0" t="s">
        <v>85</v>
      </c>
    </row>
    <row r="67" customFormat="false" ht="15" hidden="false" customHeight="false" outlineLevel="0" collapsed="false">
      <c r="A67" s="0" t="s">
        <v>169</v>
      </c>
      <c r="B67" s="0" t="n">
        <v>2018</v>
      </c>
      <c r="C67" s="0" t="s">
        <v>101</v>
      </c>
      <c r="D67" s="0" t="s">
        <v>90</v>
      </c>
      <c r="E67" s="0" t="n">
        <v>9468</v>
      </c>
      <c r="F67" s="0" t="n">
        <v>1085876</v>
      </c>
      <c r="G67" s="0" t="n">
        <v>987867</v>
      </c>
      <c r="H67" s="0" t="n">
        <v>98009</v>
      </c>
      <c r="I67" s="0" t="n">
        <v>35086</v>
      </c>
      <c r="K67" s="0" t="n">
        <v>640678</v>
      </c>
      <c r="L67" s="0" t="n">
        <v>19661</v>
      </c>
      <c r="N67" s="0" t="n">
        <v>5832</v>
      </c>
      <c r="T67" s="0" t="n">
        <v>12.86</v>
      </c>
      <c r="U67" s="0" t="n">
        <v>10</v>
      </c>
      <c r="Y67" s="0" t="s">
        <v>174</v>
      </c>
      <c r="Z67" s="0" t="s">
        <v>81</v>
      </c>
      <c r="AA67" s="0" t="s">
        <v>82</v>
      </c>
    </row>
    <row r="68" customFormat="false" ht="15" hidden="false" customHeight="false" outlineLevel="0" collapsed="false">
      <c r="A68" s="0" t="s">
        <v>169</v>
      </c>
      <c r="B68" s="0" t="n">
        <v>2019</v>
      </c>
      <c r="C68" s="0" t="s">
        <v>101</v>
      </c>
      <c r="D68" s="0" t="s">
        <v>90</v>
      </c>
      <c r="E68" s="0" t="n">
        <v>10163</v>
      </c>
      <c r="F68" s="0" t="n">
        <v>1165509</v>
      </c>
      <c r="G68" s="0" t="n">
        <v>1046181</v>
      </c>
      <c r="H68" s="0" t="n">
        <v>119328</v>
      </c>
      <c r="I68" s="0" t="n">
        <v>114414</v>
      </c>
      <c r="J68" s="0" t="n">
        <v>1085876</v>
      </c>
      <c r="K68" s="0" t="n">
        <v>631698</v>
      </c>
      <c r="L68" s="0" t="n">
        <v>12966</v>
      </c>
      <c r="N68" s="0" t="n">
        <v>5842</v>
      </c>
      <c r="T68" s="0" t="n">
        <v>14.7</v>
      </c>
      <c r="U68" s="0" t="n">
        <v>10</v>
      </c>
      <c r="X68" s="0" t="n">
        <v>0</v>
      </c>
      <c r="Y68" s="0" t="s">
        <v>174</v>
      </c>
      <c r="Z68" s="0" t="s">
        <v>81</v>
      </c>
      <c r="AA68" s="0" t="s">
        <v>82</v>
      </c>
    </row>
    <row r="69" customFormat="false" ht="15" hidden="false" customHeight="false" outlineLevel="0" collapsed="false">
      <c r="A69" s="0" t="s">
        <v>169</v>
      </c>
      <c r="B69" s="0" t="n">
        <v>2020</v>
      </c>
      <c r="C69" s="0" t="s">
        <v>101</v>
      </c>
      <c r="D69" s="0" t="s">
        <v>90</v>
      </c>
      <c r="E69" s="0" t="n">
        <v>11110</v>
      </c>
      <c r="F69" s="0" t="n">
        <v>1281830</v>
      </c>
      <c r="G69" s="0" t="n">
        <v>1146440</v>
      </c>
      <c r="H69" s="0" t="n">
        <v>135390</v>
      </c>
      <c r="I69" s="0" t="n">
        <v>4406</v>
      </c>
      <c r="J69" s="0" t="n">
        <v>1165509</v>
      </c>
      <c r="K69" s="0" t="n">
        <v>613359</v>
      </c>
      <c r="L69" s="0" t="n">
        <v>16532</v>
      </c>
      <c r="M69" s="0" t="n">
        <v>596827</v>
      </c>
      <c r="N69" s="0" t="n">
        <v>7913</v>
      </c>
      <c r="P69" s="0" t="n">
        <v>138703</v>
      </c>
      <c r="Q69" s="0" t="n">
        <v>771587</v>
      </c>
      <c r="T69" s="0" t="n">
        <v>17.98</v>
      </c>
      <c r="U69" s="0" t="n">
        <v>10</v>
      </c>
      <c r="X69" s="0" t="n">
        <v>0</v>
      </c>
      <c r="Y69" s="0" t="s">
        <v>175</v>
      </c>
      <c r="Z69" s="0" t="s">
        <v>95</v>
      </c>
      <c r="AA69" s="0" t="s">
        <v>85</v>
      </c>
    </row>
    <row r="70" customFormat="false" ht="15" hidden="false" customHeight="false" outlineLevel="0" collapsed="false">
      <c r="A70" s="0" t="s">
        <v>169</v>
      </c>
      <c r="B70" s="0" t="n">
        <v>2021</v>
      </c>
      <c r="C70" s="0" t="s">
        <v>101</v>
      </c>
      <c r="D70" s="0" t="s">
        <v>90</v>
      </c>
      <c r="E70" s="0" t="n">
        <v>13403</v>
      </c>
      <c r="F70" s="0" t="n">
        <v>1611749</v>
      </c>
      <c r="G70" s="0" t="n">
        <v>1470733</v>
      </c>
      <c r="H70" s="0" t="n">
        <v>141016</v>
      </c>
      <c r="I70" s="0" t="n">
        <v>145027</v>
      </c>
      <c r="J70" s="0" t="n">
        <v>1281830</v>
      </c>
      <c r="K70" s="0" t="n">
        <v>726080</v>
      </c>
      <c r="L70" s="0" t="n">
        <v>14180</v>
      </c>
      <c r="M70" s="0" t="n">
        <v>711900</v>
      </c>
      <c r="N70" s="0" t="n">
        <v>9822</v>
      </c>
      <c r="P70" s="0" t="n">
        <v>140952</v>
      </c>
      <c r="Q70" s="0" t="n">
        <v>951379</v>
      </c>
      <c r="T70" s="0" t="n">
        <v>14.82</v>
      </c>
      <c r="U70" s="0" t="n">
        <v>10</v>
      </c>
      <c r="X70" s="0" t="n">
        <v>0</v>
      </c>
      <c r="Y70" s="0" t="s">
        <v>176</v>
      </c>
      <c r="Z70" s="0" t="s">
        <v>97</v>
      </c>
      <c r="AA70" s="0" t="s">
        <v>85</v>
      </c>
    </row>
    <row r="71" customFormat="false" ht="15" hidden="false" customHeight="false" outlineLevel="0" collapsed="false">
      <c r="A71" s="0" t="s">
        <v>169</v>
      </c>
      <c r="B71" s="0" t="n">
        <v>2022</v>
      </c>
      <c r="C71" s="0" t="s">
        <v>101</v>
      </c>
      <c r="D71" s="0" t="s">
        <v>90</v>
      </c>
      <c r="E71" s="0" t="n">
        <v>19327</v>
      </c>
      <c r="F71" s="0" t="n">
        <v>1840622</v>
      </c>
      <c r="G71" s="0" t="n">
        <v>1687070</v>
      </c>
      <c r="H71" s="0" t="n">
        <v>153552</v>
      </c>
      <c r="I71" s="0" t="n">
        <v>70837</v>
      </c>
      <c r="J71" s="0" t="n">
        <v>1606898</v>
      </c>
      <c r="K71" s="0" t="n">
        <v>758183</v>
      </c>
      <c r="L71" s="0" t="n">
        <v>20448</v>
      </c>
      <c r="M71" s="0" t="n">
        <v>737735</v>
      </c>
      <c r="N71" s="0" t="n">
        <v>9084</v>
      </c>
      <c r="P71" s="0" t="n">
        <v>148600</v>
      </c>
      <c r="Q71" s="0" t="n">
        <v>1012661</v>
      </c>
      <c r="T71" s="0" t="n">
        <v>14.67</v>
      </c>
      <c r="U71" s="0" t="n">
        <v>10</v>
      </c>
      <c r="X71" s="0" t="n">
        <v>0</v>
      </c>
      <c r="Y71" s="0" t="s">
        <v>177</v>
      </c>
      <c r="Z71" s="0" t="s">
        <v>114</v>
      </c>
      <c r="AA71" s="0" t="s">
        <v>85</v>
      </c>
    </row>
    <row r="72" customFormat="false" ht="15" hidden="false" customHeight="false" outlineLevel="0" collapsed="false">
      <c r="A72" s="0" t="s">
        <v>178</v>
      </c>
      <c r="B72" s="0" t="n">
        <v>2013</v>
      </c>
      <c r="C72" s="0" t="s">
        <v>78</v>
      </c>
      <c r="D72" s="0" t="s">
        <v>79</v>
      </c>
      <c r="E72" s="0" t="n">
        <v>46483</v>
      </c>
      <c r="F72" s="0" t="n">
        <v>2217417</v>
      </c>
      <c r="G72" s="0" t="n">
        <v>1957879</v>
      </c>
      <c r="H72" s="0" t="n">
        <v>259538</v>
      </c>
      <c r="I72" s="0" t="n">
        <v>-136104</v>
      </c>
      <c r="K72" s="0" t="n">
        <v>805259</v>
      </c>
      <c r="L72" s="0" t="n">
        <v>8317</v>
      </c>
      <c r="N72" s="0" t="n">
        <v>181</v>
      </c>
      <c r="T72" s="0" t="n">
        <v>20</v>
      </c>
      <c r="Y72" s="0" t="s">
        <v>179</v>
      </c>
      <c r="Z72" s="0" t="s">
        <v>81</v>
      </c>
      <c r="AA72" s="0" t="s">
        <v>82</v>
      </c>
    </row>
    <row r="73" customFormat="false" ht="15" hidden="false" customHeight="false" outlineLevel="0" collapsed="false">
      <c r="A73" s="0" t="s">
        <v>178</v>
      </c>
      <c r="B73" s="0" t="n">
        <v>2014</v>
      </c>
      <c r="C73" s="0" t="s">
        <v>78</v>
      </c>
      <c r="D73" s="0" t="s">
        <v>79</v>
      </c>
      <c r="E73" s="0" t="n">
        <v>40083</v>
      </c>
      <c r="F73" s="0" t="n">
        <v>2338858</v>
      </c>
      <c r="G73" s="0" t="n">
        <v>2056925</v>
      </c>
      <c r="H73" s="0" t="n">
        <v>281933</v>
      </c>
      <c r="I73" s="0" t="n">
        <v>-92619</v>
      </c>
      <c r="J73" s="0" t="n">
        <v>2217417</v>
      </c>
      <c r="K73" s="0" t="n">
        <v>895109</v>
      </c>
      <c r="L73" s="0" t="n">
        <v>10522</v>
      </c>
      <c r="N73" s="0" t="n">
        <v>3073</v>
      </c>
      <c r="T73" s="0" t="n">
        <v>17</v>
      </c>
      <c r="Y73" s="0" t="s">
        <v>179</v>
      </c>
      <c r="Z73" s="0" t="s">
        <v>81</v>
      </c>
      <c r="AA73" s="0" t="s">
        <v>82</v>
      </c>
    </row>
    <row r="74" customFormat="false" ht="15" hidden="false" customHeight="false" outlineLevel="0" collapsed="false">
      <c r="A74" s="0" t="s">
        <v>178</v>
      </c>
      <c r="B74" s="0" t="n">
        <v>2015</v>
      </c>
      <c r="C74" s="0" t="s">
        <v>78</v>
      </c>
      <c r="D74" s="0" t="s">
        <v>79</v>
      </c>
      <c r="E74" s="0" t="n">
        <v>47642</v>
      </c>
      <c r="F74" s="0" t="n">
        <v>2216337</v>
      </c>
      <c r="G74" s="0" t="n">
        <v>1878106</v>
      </c>
      <c r="H74" s="0" t="n">
        <v>338231</v>
      </c>
      <c r="I74" s="0" t="n">
        <v>58408</v>
      </c>
      <c r="J74" s="0" t="n">
        <v>2338858</v>
      </c>
      <c r="K74" s="0" t="n">
        <v>835737</v>
      </c>
      <c r="L74" s="0" t="n">
        <v>13043</v>
      </c>
      <c r="M74" s="0" t="n">
        <v>822694</v>
      </c>
      <c r="N74" s="0" t="n">
        <v>3491</v>
      </c>
      <c r="P74" s="0" t="n">
        <v>241091</v>
      </c>
      <c r="Q74" s="0" t="n">
        <v>1208372</v>
      </c>
      <c r="T74" s="0" t="n">
        <v>20</v>
      </c>
      <c r="V74" s="0" t="n">
        <v>52.57</v>
      </c>
      <c r="W74" s="0" t="n">
        <v>1</v>
      </c>
      <c r="Y74" s="0" t="s">
        <v>180</v>
      </c>
      <c r="Z74" s="0" t="s">
        <v>181</v>
      </c>
      <c r="AA74" s="0" t="s">
        <v>182</v>
      </c>
    </row>
    <row r="75" customFormat="false" ht="15" hidden="false" customHeight="false" outlineLevel="0" collapsed="false">
      <c r="A75" s="0" t="s">
        <v>178</v>
      </c>
      <c r="B75" s="0" t="n">
        <v>2016</v>
      </c>
      <c r="C75" s="0" t="s">
        <v>78</v>
      </c>
      <c r="D75" s="0" t="s">
        <v>79</v>
      </c>
      <c r="E75" s="0" t="n">
        <v>47541</v>
      </c>
      <c r="F75" s="0" t="n">
        <v>2539585</v>
      </c>
      <c r="G75" s="0" t="n">
        <v>2148685</v>
      </c>
      <c r="H75" s="0" t="n">
        <v>390900</v>
      </c>
      <c r="I75" s="0" t="n">
        <v>-213392</v>
      </c>
      <c r="J75" s="0" t="n">
        <v>2216337</v>
      </c>
      <c r="K75" s="0" t="n">
        <v>1120096</v>
      </c>
      <c r="L75" s="0" t="n">
        <v>29741</v>
      </c>
      <c r="M75" s="0" t="n">
        <v>1090355</v>
      </c>
      <c r="N75" s="0" t="n">
        <v>25521</v>
      </c>
      <c r="P75" s="0" t="n">
        <v>262423</v>
      </c>
      <c r="Q75" s="0" t="n">
        <v>1331901</v>
      </c>
      <c r="T75" s="0" t="n">
        <v>20</v>
      </c>
      <c r="U75" s="0" t="n">
        <v>15</v>
      </c>
      <c r="V75" s="0" t="n">
        <v>38.57</v>
      </c>
      <c r="W75" s="0" t="n">
        <v>1</v>
      </c>
      <c r="Y75" s="0" t="s">
        <v>180</v>
      </c>
      <c r="Z75" s="0" t="s">
        <v>183</v>
      </c>
      <c r="AA75" s="0" t="s">
        <v>182</v>
      </c>
    </row>
    <row r="76" customFormat="false" ht="15" hidden="false" customHeight="false" outlineLevel="0" collapsed="false">
      <c r="A76" s="0" t="s">
        <v>178</v>
      </c>
      <c r="B76" s="0" t="n">
        <v>2017</v>
      </c>
      <c r="C76" s="0" t="s">
        <v>78</v>
      </c>
      <c r="D76" s="0" t="s">
        <v>79</v>
      </c>
      <c r="E76" s="0" t="n">
        <v>41396</v>
      </c>
      <c r="F76" s="0" t="n">
        <v>2931826</v>
      </c>
      <c r="G76" s="0" t="n">
        <v>2530966</v>
      </c>
      <c r="H76" s="0" t="n">
        <v>400860</v>
      </c>
      <c r="I76" s="0" t="n">
        <v>59151</v>
      </c>
      <c r="J76" s="0" t="n">
        <v>2539585</v>
      </c>
      <c r="K76" s="0" t="n">
        <v>1204426</v>
      </c>
      <c r="L76" s="0" t="n">
        <v>31212</v>
      </c>
      <c r="M76" s="0" t="n">
        <v>1173214</v>
      </c>
      <c r="N76" s="0" t="n">
        <v>30433</v>
      </c>
      <c r="P76" s="0" t="n">
        <v>255027</v>
      </c>
      <c r="Q76" s="0" t="n">
        <v>1265087</v>
      </c>
      <c r="T76" s="0" t="n">
        <v>20</v>
      </c>
      <c r="V76" s="0" t="n">
        <v>49.69</v>
      </c>
      <c r="W76" s="0" t="n">
        <v>1</v>
      </c>
      <c r="Y76" s="0" t="s">
        <v>184</v>
      </c>
      <c r="Z76" s="0" t="s">
        <v>81</v>
      </c>
      <c r="AA76" s="0" t="s">
        <v>82</v>
      </c>
    </row>
    <row r="77" customFormat="false" ht="15" hidden="false" customHeight="false" outlineLevel="0" collapsed="false">
      <c r="A77" s="0" t="s">
        <v>178</v>
      </c>
      <c r="B77" s="0" t="n">
        <v>2018</v>
      </c>
      <c r="C77" s="0" t="s">
        <v>78</v>
      </c>
      <c r="D77" s="0" t="s">
        <v>90</v>
      </c>
      <c r="E77" s="0" t="n">
        <v>41047</v>
      </c>
      <c r="F77" s="0" t="n">
        <v>3591305</v>
      </c>
      <c r="G77" s="0" t="n">
        <v>3226707</v>
      </c>
      <c r="H77" s="0" t="n">
        <v>364598</v>
      </c>
      <c r="I77" s="0" t="n">
        <v>488626</v>
      </c>
      <c r="J77" s="0" t="n">
        <v>2931826</v>
      </c>
      <c r="K77" s="0" t="n">
        <v>1274112</v>
      </c>
      <c r="L77" s="0" t="n">
        <v>60311</v>
      </c>
      <c r="M77" s="0" t="n">
        <v>1213801</v>
      </c>
      <c r="N77" s="0" t="n">
        <v>4257</v>
      </c>
      <c r="P77" s="0" t="n">
        <v>245482</v>
      </c>
      <c r="Q77" s="0" t="n">
        <v>1248509</v>
      </c>
      <c r="S77" s="0" t="n">
        <v>36951</v>
      </c>
      <c r="T77" s="0" t="n">
        <v>20</v>
      </c>
      <c r="U77" s="0" t="n">
        <v>16</v>
      </c>
      <c r="V77" s="0" t="n">
        <v>55.84</v>
      </c>
      <c r="W77" s="0" t="n">
        <v>1</v>
      </c>
      <c r="Y77" s="0" t="s">
        <v>184</v>
      </c>
      <c r="Z77" s="0" t="s">
        <v>81</v>
      </c>
      <c r="AA77" s="0" t="s">
        <v>82</v>
      </c>
    </row>
    <row r="78" customFormat="false" ht="15" hidden="false" customHeight="false" outlineLevel="0" collapsed="false">
      <c r="A78" s="0" t="s">
        <v>178</v>
      </c>
      <c r="B78" s="0" t="n">
        <v>2019</v>
      </c>
      <c r="C78" s="0" t="s">
        <v>78</v>
      </c>
      <c r="D78" s="0" t="s">
        <v>90</v>
      </c>
      <c r="E78" s="0" t="n">
        <v>62750</v>
      </c>
      <c r="F78" s="0" t="n">
        <v>4136493</v>
      </c>
      <c r="G78" s="0" t="n">
        <v>3689971</v>
      </c>
      <c r="H78" s="0" t="n">
        <v>446522</v>
      </c>
      <c r="I78" s="0" t="n">
        <v>-317453</v>
      </c>
      <c r="J78" s="0" t="n">
        <v>3591305</v>
      </c>
      <c r="K78" s="0" t="n">
        <v>1557358</v>
      </c>
      <c r="L78" s="0" t="n">
        <v>53978</v>
      </c>
      <c r="M78" s="0" t="n">
        <v>1503380</v>
      </c>
      <c r="N78" s="0" t="n">
        <v>16369</v>
      </c>
      <c r="P78" s="0" t="n">
        <v>285664</v>
      </c>
      <c r="Q78" s="0" t="n">
        <v>1328231</v>
      </c>
      <c r="S78" s="0" t="n">
        <v>21215</v>
      </c>
      <c r="T78" s="0" t="n">
        <v>22</v>
      </c>
      <c r="V78" s="0" t="n">
        <v>43.99</v>
      </c>
      <c r="W78" s="0" t="n">
        <v>1</v>
      </c>
      <c r="Y78" s="0" t="s">
        <v>185</v>
      </c>
      <c r="Z78" s="0" t="s">
        <v>81</v>
      </c>
      <c r="AA78" s="0" t="s">
        <v>82</v>
      </c>
    </row>
    <row r="79" customFormat="false" ht="15" hidden="false" customHeight="false" outlineLevel="0" collapsed="false">
      <c r="A79" s="0" t="s">
        <v>178</v>
      </c>
      <c r="B79" s="0" t="n">
        <v>2020</v>
      </c>
      <c r="C79" s="0" t="s">
        <v>78</v>
      </c>
      <c r="D79" s="0" t="s">
        <v>90</v>
      </c>
      <c r="E79" s="0" t="n">
        <v>56911</v>
      </c>
      <c r="F79" s="0" t="n">
        <v>5207833</v>
      </c>
      <c r="G79" s="0" t="n">
        <v>4729893</v>
      </c>
      <c r="H79" s="0" t="n">
        <v>477940</v>
      </c>
      <c r="I79" s="0" t="n">
        <v>735114</v>
      </c>
      <c r="J79" s="0" t="n">
        <v>4136493</v>
      </c>
      <c r="K79" s="0" t="n">
        <v>1874858</v>
      </c>
      <c r="L79" s="0" t="n">
        <v>62322</v>
      </c>
      <c r="M79" s="0" t="n">
        <v>1812536</v>
      </c>
      <c r="N79" s="0" t="n">
        <v>21864</v>
      </c>
      <c r="P79" s="0" t="n">
        <v>276315</v>
      </c>
      <c r="Q79" s="0" t="n">
        <v>1402955</v>
      </c>
      <c r="S79" s="0" t="n">
        <v>21933</v>
      </c>
      <c r="T79" s="0" t="n">
        <v>20</v>
      </c>
      <c r="U79" s="0" t="n">
        <v>15</v>
      </c>
      <c r="V79" s="0" t="n">
        <v>44.3</v>
      </c>
      <c r="W79" s="0" t="n">
        <v>1</v>
      </c>
      <c r="Y79" s="0" t="s">
        <v>185</v>
      </c>
      <c r="Z79" s="0" t="s">
        <v>81</v>
      </c>
      <c r="AA79" s="0" t="s">
        <v>82</v>
      </c>
    </row>
    <row r="80" customFormat="false" ht="15" hidden="false" customHeight="false" outlineLevel="0" collapsed="false">
      <c r="A80" s="0" t="s">
        <v>178</v>
      </c>
      <c r="B80" s="0" t="n">
        <v>2021</v>
      </c>
      <c r="C80" s="0" t="s">
        <v>78</v>
      </c>
      <c r="D80" s="0" t="s">
        <v>90</v>
      </c>
      <c r="E80" s="0" t="n">
        <v>58669</v>
      </c>
      <c r="F80" s="0" t="n">
        <v>5574976</v>
      </c>
      <c r="G80" s="0" t="n">
        <v>5073375</v>
      </c>
      <c r="H80" s="0" t="n">
        <v>501601</v>
      </c>
      <c r="I80" s="0" t="n">
        <v>671619</v>
      </c>
      <c r="J80" s="0" t="n">
        <v>5207833</v>
      </c>
      <c r="K80" s="0" t="n">
        <v>1913403</v>
      </c>
      <c r="L80" s="0" t="n">
        <v>65301</v>
      </c>
      <c r="M80" s="0" t="n">
        <v>1848102</v>
      </c>
      <c r="N80" s="0" t="n">
        <v>9749</v>
      </c>
      <c r="P80" s="0" t="n">
        <v>336784</v>
      </c>
      <c r="Q80" s="0" t="n">
        <v>1543338</v>
      </c>
      <c r="T80" s="0" t="n">
        <v>21.8</v>
      </c>
      <c r="V80" s="0" t="n">
        <v>47.56</v>
      </c>
      <c r="W80" s="0" t="n">
        <v>1</v>
      </c>
      <c r="Y80" s="0" t="s">
        <v>186</v>
      </c>
      <c r="Z80" s="0" t="s">
        <v>81</v>
      </c>
      <c r="AA80" s="0" t="s">
        <v>82</v>
      </c>
    </row>
    <row r="81" customFormat="false" ht="15" hidden="false" customHeight="false" outlineLevel="0" collapsed="false">
      <c r="A81" s="0" t="s">
        <v>178</v>
      </c>
      <c r="B81" s="0" t="n">
        <v>2022</v>
      </c>
      <c r="C81" s="0" t="s">
        <v>78</v>
      </c>
      <c r="D81" s="0" t="s">
        <v>90</v>
      </c>
      <c r="E81" s="0" t="n">
        <v>133696</v>
      </c>
      <c r="F81" s="0" t="n">
        <v>7361044</v>
      </c>
      <c r="G81" s="0" t="n">
        <v>6775851</v>
      </c>
      <c r="H81" s="0" t="n">
        <v>585193</v>
      </c>
      <c r="I81" s="0" t="n">
        <v>1063228</v>
      </c>
      <c r="J81" s="0" t="n">
        <v>5574976</v>
      </c>
      <c r="K81" s="0" t="n">
        <v>2174779</v>
      </c>
      <c r="L81" s="0" t="n">
        <v>51682</v>
      </c>
      <c r="M81" s="0" t="n">
        <v>2123097</v>
      </c>
      <c r="N81" s="0" t="n">
        <v>10565</v>
      </c>
      <c r="P81" s="0" t="n">
        <v>369520</v>
      </c>
      <c r="Q81" s="0" t="n">
        <v>1690930</v>
      </c>
      <c r="T81" s="0" t="n">
        <v>21.9</v>
      </c>
      <c r="U81" s="0" t="n">
        <v>17</v>
      </c>
      <c r="V81" s="0" t="n">
        <v>59.03</v>
      </c>
      <c r="W81" s="0" t="n">
        <v>0</v>
      </c>
      <c r="Y81" s="0" t="s">
        <v>186</v>
      </c>
      <c r="Z81" s="0" t="s">
        <v>81</v>
      </c>
      <c r="AA81" s="0" t="s">
        <v>82</v>
      </c>
    </row>
    <row r="82" customFormat="false" ht="15" hidden="false" customHeight="false" outlineLevel="0" collapsed="false">
      <c r="A82" s="0" t="s">
        <v>187</v>
      </c>
      <c r="B82" s="0" t="n">
        <v>2013</v>
      </c>
      <c r="C82" s="0" t="s">
        <v>101</v>
      </c>
      <c r="D82" s="0" t="s">
        <v>79</v>
      </c>
      <c r="E82" s="0" t="n">
        <v>5121</v>
      </c>
      <c r="F82" s="0" t="n">
        <v>882097</v>
      </c>
      <c r="G82" s="0" t="n">
        <v>694313</v>
      </c>
      <c r="H82" s="0" t="n">
        <v>187784</v>
      </c>
      <c r="I82" s="0" t="n">
        <v>-93031</v>
      </c>
      <c r="K82" s="0" t="n">
        <v>230720</v>
      </c>
      <c r="L82" s="0" t="n">
        <v>20602</v>
      </c>
      <c r="O82" s="0" t="n">
        <v>13644</v>
      </c>
      <c r="T82" s="0" t="n">
        <v>24.8</v>
      </c>
      <c r="Y82" s="0" t="s">
        <v>188</v>
      </c>
      <c r="Z82" s="0" t="s">
        <v>81</v>
      </c>
      <c r="AA82" s="0" t="s">
        <v>82</v>
      </c>
    </row>
    <row r="83" customFormat="false" ht="15" hidden="false" customHeight="false" outlineLevel="0" collapsed="false">
      <c r="A83" s="0" t="s">
        <v>187</v>
      </c>
      <c r="B83" s="0" t="n">
        <v>2014</v>
      </c>
      <c r="C83" s="0" t="s">
        <v>101</v>
      </c>
      <c r="D83" s="0" t="s">
        <v>79</v>
      </c>
      <c r="E83" s="0" t="n">
        <v>20486</v>
      </c>
      <c r="F83" s="0" t="n">
        <v>920936</v>
      </c>
      <c r="G83" s="0" t="n">
        <v>714962</v>
      </c>
      <c r="H83" s="0" t="n">
        <v>205974</v>
      </c>
      <c r="I83" s="0" t="n">
        <v>-121957</v>
      </c>
      <c r="J83" s="0" t="n">
        <v>882097</v>
      </c>
      <c r="K83" s="0" t="n">
        <v>325748</v>
      </c>
      <c r="L83" s="0" t="n">
        <v>23376</v>
      </c>
      <c r="O83" s="0" t="n">
        <v>16756</v>
      </c>
      <c r="T83" s="0" t="n">
        <v>16.39</v>
      </c>
      <c r="Y83" s="0" t="s">
        <v>188</v>
      </c>
      <c r="Z83" s="0" t="s">
        <v>81</v>
      </c>
      <c r="AA83" s="0" t="s">
        <v>82</v>
      </c>
    </row>
    <row r="84" customFormat="false" ht="15" hidden="false" customHeight="false" outlineLevel="0" collapsed="false">
      <c r="A84" s="0" t="s">
        <v>187</v>
      </c>
      <c r="B84" s="0" t="n">
        <v>2015</v>
      </c>
      <c r="C84" s="0" t="s">
        <v>101</v>
      </c>
      <c r="D84" s="0" t="s">
        <v>79</v>
      </c>
      <c r="E84" s="0" t="n">
        <v>18035</v>
      </c>
      <c r="F84" s="0" t="n">
        <v>1000976</v>
      </c>
      <c r="G84" s="0" t="n">
        <v>767469</v>
      </c>
      <c r="H84" s="0" t="n">
        <v>233507</v>
      </c>
      <c r="I84" s="0" t="n">
        <v>10975</v>
      </c>
      <c r="J84" s="0" t="n">
        <v>922755</v>
      </c>
      <c r="K84" s="0" t="n">
        <v>370949</v>
      </c>
      <c r="L84" s="0" t="n">
        <v>21965</v>
      </c>
      <c r="M84" s="0" t="n">
        <v>348984</v>
      </c>
      <c r="N84" s="0" t="n">
        <v>9177</v>
      </c>
      <c r="P84" s="0" t="n">
        <v>93697</v>
      </c>
      <c r="Q84" s="0" t="n">
        <v>587515</v>
      </c>
      <c r="T84" s="0" t="n">
        <v>15.9</v>
      </c>
      <c r="Y84" s="0" t="s">
        <v>189</v>
      </c>
      <c r="Z84" s="0" t="s">
        <v>190</v>
      </c>
      <c r="AA84" s="0" t="s">
        <v>85</v>
      </c>
    </row>
    <row r="85" customFormat="false" ht="15" hidden="false" customHeight="false" outlineLevel="0" collapsed="false">
      <c r="A85" s="0" t="s">
        <v>187</v>
      </c>
      <c r="B85" s="0" t="n">
        <v>2016</v>
      </c>
      <c r="C85" s="0" t="s">
        <v>101</v>
      </c>
      <c r="D85" s="0" t="s">
        <v>79</v>
      </c>
      <c r="E85" s="0" t="n">
        <v>15885</v>
      </c>
      <c r="F85" s="0" t="n">
        <v>1123483</v>
      </c>
      <c r="G85" s="0" t="n">
        <v>872144</v>
      </c>
      <c r="H85" s="0" t="n">
        <v>251339</v>
      </c>
      <c r="I85" s="0" t="n">
        <v>-70133</v>
      </c>
      <c r="J85" s="0" t="n">
        <v>1000976</v>
      </c>
      <c r="K85" s="0" t="n">
        <v>518349</v>
      </c>
      <c r="L85" s="0" t="n">
        <v>28459</v>
      </c>
      <c r="M85" s="0" t="n">
        <v>489890</v>
      </c>
      <c r="N85" s="0" t="n">
        <v>15769</v>
      </c>
      <c r="P85" s="0" t="n">
        <v>96309</v>
      </c>
      <c r="Q85" s="0" t="n">
        <v>724660</v>
      </c>
      <c r="T85" s="0" t="n">
        <v>13.3</v>
      </c>
      <c r="U85" s="0" t="n">
        <v>15</v>
      </c>
      <c r="X85" s="0" t="n">
        <v>0</v>
      </c>
      <c r="Y85" s="0" t="s">
        <v>189</v>
      </c>
      <c r="Z85" s="0" t="s">
        <v>87</v>
      </c>
      <c r="AA85" s="0" t="s">
        <v>85</v>
      </c>
    </row>
    <row r="86" customFormat="false" ht="15" hidden="false" customHeight="false" outlineLevel="0" collapsed="false">
      <c r="A86" s="0" t="s">
        <v>187</v>
      </c>
      <c r="B86" s="0" t="n">
        <v>2017</v>
      </c>
      <c r="C86" s="0" t="s">
        <v>101</v>
      </c>
      <c r="D86" s="0" t="s">
        <v>79</v>
      </c>
      <c r="E86" s="0" t="n">
        <v>11239</v>
      </c>
      <c r="F86" s="0" t="n">
        <v>1334921</v>
      </c>
      <c r="G86" s="0" t="n">
        <v>1015802</v>
      </c>
      <c r="H86" s="0" t="n">
        <v>319119</v>
      </c>
      <c r="I86" s="0" t="n">
        <v>68160</v>
      </c>
      <c r="J86" s="0" t="n">
        <v>1123483</v>
      </c>
      <c r="K86" s="0" t="n">
        <v>531807</v>
      </c>
      <c r="L86" s="0" t="n">
        <v>43252</v>
      </c>
      <c r="M86" s="0" t="n">
        <v>488555</v>
      </c>
      <c r="N86" s="0" t="n">
        <v>25478</v>
      </c>
      <c r="O86" s="0" t="n">
        <v>110685</v>
      </c>
      <c r="P86" s="0" t="n">
        <v>137875</v>
      </c>
      <c r="Q86" s="0" t="n">
        <v>774497</v>
      </c>
      <c r="T86" s="0" t="n">
        <v>17.8</v>
      </c>
      <c r="U86" s="0" t="n">
        <v>15</v>
      </c>
      <c r="Y86" s="0" t="s">
        <v>191</v>
      </c>
      <c r="Z86" s="0" t="s">
        <v>192</v>
      </c>
      <c r="AA86" s="0" t="s">
        <v>193</v>
      </c>
    </row>
    <row r="87" customFormat="false" ht="15" hidden="false" customHeight="false" outlineLevel="0" collapsed="false">
      <c r="A87" s="0" t="s">
        <v>187</v>
      </c>
      <c r="B87" s="0" t="n">
        <v>2018</v>
      </c>
      <c r="C87" s="0" t="s">
        <v>101</v>
      </c>
      <c r="D87" s="0" t="s">
        <v>90</v>
      </c>
      <c r="E87" s="0" t="n">
        <v>18438</v>
      </c>
      <c r="F87" s="0" t="n">
        <v>1324297</v>
      </c>
      <c r="G87" s="0" t="n">
        <v>1124210</v>
      </c>
      <c r="H87" s="0" t="n">
        <v>200087</v>
      </c>
      <c r="I87" s="0" t="n">
        <v>37394</v>
      </c>
      <c r="J87" s="0" t="n">
        <v>1334921</v>
      </c>
      <c r="K87" s="0" t="n">
        <v>473396</v>
      </c>
      <c r="L87" s="0" t="n">
        <v>45359</v>
      </c>
      <c r="M87" s="0" t="n">
        <v>428037</v>
      </c>
      <c r="N87" s="0" t="n">
        <v>-3515</v>
      </c>
      <c r="O87" s="0" t="n">
        <v>38496</v>
      </c>
      <c r="P87" s="0" t="n">
        <v>88017</v>
      </c>
      <c r="Q87" s="0" t="n">
        <v>767770</v>
      </c>
      <c r="R87" s="0" t="n">
        <v>123328</v>
      </c>
      <c r="S87" s="0" t="n">
        <v>30149</v>
      </c>
      <c r="T87" s="0" t="n">
        <v>11.5</v>
      </c>
      <c r="U87" s="0" t="n">
        <v>15</v>
      </c>
      <c r="X87" s="0" t="n">
        <v>0</v>
      </c>
      <c r="Y87" s="0" t="s">
        <v>191</v>
      </c>
      <c r="Z87" s="0" t="s">
        <v>194</v>
      </c>
      <c r="AA87" s="0" t="s">
        <v>193</v>
      </c>
    </row>
    <row r="88" customFormat="false" ht="15" hidden="false" customHeight="false" outlineLevel="0" collapsed="false">
      <c r="A88" s="0" t="s">
        <v>187</v>
      </c>
      <c r="B88" s="0" t="n">
        <v>2019</v>
      </c>
      <c r="C88" s="0" t="s">
        <v>101</v>
      </c>
      <c r="D88" s="0" t="s">
        <v>90</v>
      </c>
      <c r="E88" s="0" t="n">
        <v>24375</v>
      </c>
      <c r="F88" s="0" t="n">
        <v>1711739</v>
      </c>
      <c r="G88" s="0" t="n">
        <v>1480547</v>
      </c>
      <c r="H88" s="0" t="n">
        <v>231192</v>
      </c>
      <c r="I88" s="0" t="n">
        <v>207318</v>
      </c>
      <c r="J88" s="0" t="n">
        <v>1324297</v>
      </c>
      <c r="K88" s="0" t="n">
        <v>595298</v>
      </c>
      <c r="L88" s="0" t="n">
        <v>44685</v>
      </c>
      <c r="M88" s="0" t="n">
        <v>550613</v>
      </c>
      <c r="N88" s="0" t="n">
        <v>-504</v>
      </c>
      <c r="O88" s="0" t="n">
        <v>34760</v>
      </c>
      <c r="P88" s="0" t="n">
        <v>139997</v>
      </c>
      <c r="Q88" s="0" t="n">
        <v>880146</v>
      </c>
      <c r="R88" s="0" t="n">
        <v>58769</v>
      </c>
      <c r="S88" s="0" t="n">
        <v>16198</v>
      </c>
      <c r="T88" s="0" t="n">
        <v>15.91</v>
      </c>
      <c r="U88" s="0" t="n">
        <v>15</v>
      </c>
      <c r="Y88" s="0" t="s">
        <v>195</v>
      </c>
      <c r="Z88" s="0" t="s">
        <v>196</v>
      </c>
      <c r="AA88" s="0" t="s">
        <v>193</v>
      </c>
    </row>
    <row r="89" customFormat="false" ht="15" hidden="false" customHeight="false" outlineLevel="0" collapsed="false">
      <c r="A89" s="0" t="s">
        <v>187</v>
      </c>
      <c r="B89" s="0" t="n">
        <v>2020</v>
      </c>
      <c r="C89" s="0" t="s">
        <v>101</v>
      </c>
      <c r="D89" s="0" t="s">
        <v>90</v>
      </c>
      <c r="E89" s="0" t="n">
        <v>24653</v>
      </c>
      <c r="F89" s="0" t="n">
        <v>2073758</v>
      </c>
      <c r="G89" s="0" t="n">
        <v>1826237</v>
      </c>
      <c r="H89" s="0" t="n">
        <v>247521</v>
      </c>
      <c r="I89" s="0" t="n">
        <v>-35912</v>
      </c>
      <c r="J89" s="0" t="n">
        <v>1711739</v>
      </c>
      <c r="K89" s="0" t="n">
        <v>736712</v>
      </c>
      <c r="L89" s="0" t="n">
        <v>43909</v>
      </c>
      <c r="M89" s="0" t="n">
        <v>692803</v>
      </c>
      <c r="N89" s="0" t="n">
        <v>-2559</v>
      </c>
      <c r="P89" s="0" t="n">
        <v>156168</v>
      </c>
      <c r="Q89" s="0" t="n">
        <v>990958</v>
      </c>
      <c r="R89" s="0" t="n">
        <v>61895</v>
      </c>
      <c r="S89" s="0" t="n">
        <v>22564</v>
      </c>
      <c r="T89" s="0" t="n">
        <v>15.76</v>
      </c>
      <c r="U89" s="0" t="n">
        <v>15</v>
      </c>
      <c r="X89" s="0" t="n">
        <v>0</v>
      </c>
      <c r="Y89" s="0" t="s">
        <v>195</v>
      </c>
      <c r="Z89" s="0" t="s">
        <v>197</v>
      </c>
      <c r="AA89" s="0" t="s">
        <v>193</v>
      </c>
    </row>
    <row r="90" customFormat="false" ht="15" hidden="false" customHeight="false" outlineLevel="0" collapsed="false">
      <c r="A90" s="0" t="s">
        <v>187</v>
      </c>
      <c r="B90" s="0" t="n">
        <v>2021</v>
      </c>
      <c r="C90" s="0" t="s">
        <v>101</v>
      </c>
      <c r="D90" s="0" t="s">
        <v>90</v>
      </c>
      <c r="E90" s="0" t="n">
        <v>19180</v>
      </c>
      <c r="F90" s="0" t="n">
        <v>2567441</v>
      </c>
      <c r="G90" s="0" t="n">
        <v>2315954</v>
      </c>
      <c r="H90" s="0" t="n">
        <v>251487</v>
      </c>
      <c r="I90" s="0" t="n">
        <v>252140</v>
      </c>
      <c r="J90" s="0" t="n">
        <v>2073758</v>
      </c>
      <c r="K90" s="0" t="n">
        <v>899106</v>
      </c>
      <c r="L90" s="0" t="n">
        <v>30266</v>
      </c>
      <c r="M90" s="0" t="n">
        <v>868840</v>
      </c>
      <c r="N90" s="0" t="n">
        <v>286</v>
      </c>
      <c r="O90" s="0" t="n">
        <v>38660</v>
      </c>
      <c r="P90" s="0" t="n">
        <v>156040</v>
      </c>
      <c r="Q90" s="0" t="n">
        <v>1068135</v>
      </c>
      <c r="R90" s="0" t="n">
        <v>62064</v>
      </c>
      <c r="S90" s="0" t="n">
        <v>13274</v>
      </c>
      <c r="T90" s="0" t="n">
        <v>14.61</v>
      </c>
      <c r="Y90" s="0" t="s">
        <v>198</v>
      </c>
      <c r="Z90" s="0" t="s">
        <v>199</v>
      </c>
      <c r="AA90" s="0" t="s">
        <v>193</v>
      </c>
    </row>
    <row r="91" customFormat="false" ht="15" hidden="false" customHeight="false" outlineLevel="0" collapsed="false">
      <c r="A91" s="0" t="s">
        <v>187</v>
      </c>
      <c r="B91" s="0" t="n">
        <v>2022</v>
      </c>
      <c r="C91" s="0" t="s">
        <v>101</v>
      </c>
      <c r="D91" s="0" t="s">
        <v>90</v>
      </c>
      <c r="E91" s="0" t="n">
        <v>29009</v>
      </c>
      <c r="F91" s="0" t="n">
        <v>2793674</v>
      </c>
      <c r="G91" s="0" t="n">
        <v>2503824</v>
      </c>
      <c r="H91" s="0" t="n">
        <v>289850</v>
      </c>
      <c r="I91" s="0" t="n">
        <v>80277</v>
      </c>
      <c r="J91" s="0" t="n">
        <v>2567441</v>
      </c>
      <c r="K91" s="0" t="n">
        <v>1000903</v>
      </c>
      <c r="L91" s="0" t="n">
        <v>32015</v>
      </c>
      <c r="M91" s="0" t="n">
        <v>968888</v>
      </c>
      <c r="N91" s="0" t="n">
        <v>4475</v>
      </c>
      <c r="O91" s="0" t="n">
        <v>40276</v>
      </c>
      <c r="P91" s="0" t="n">
        <v>180613</v>
      </c>
      <c r="Q91" s="0" t="n">
        <v>1252579</v>
      </c>
      <c r="R91" s="0" t="n">
        <v>74070</v>
      </c>
      <c r="T91" s="0" t="n">
        <v>14.42</v>
      </c>
      <c r="U91" s="0" t="n">
        <v>10</v>
      </c>
      <c r="X91" s="0" t="n">
        <v>0</v>
      </c>
      <c r="Y91" s="0" t="s">
        <v>198</v>
      </c>
      <c r="Z91" s="0" t="s">
        <v>200</v>
      </c>
      <c r="AA91" s="0" t="s">
        <v>193</v>
      </c>
    </row>
    <row r="92" customFormat="false" ht="15" hidden="false" customHeight="false" outlineLevel="0" collapsed="false">
      <c r="A92" s="0" t="s">
        <v>201</v>
      </c>
      <c r="B92" s="0" t="n">
        <v>2013</v>
      </c>
      <c r="C92" s="0" t="s">
        <v>101</v>
      </c>
      <c r="D92" s="0" t="s">
        <v>79</v>
      </c>
      <c r="E92" s="0" t="n">
        <v>-22582.339</v>
      </c>
      <c r="F92" s="0" t="n">
        <v>403629.29</v>
      </c>
      <c r="G92" s="0" t="n">
        <v>375416.65</v>
      </c>
      <c r="H92" s="0" t="n">
        <v>28212.639</v>
      </c>
      <c r="I92" s="0" t="n">
        <v>23788.331</v>
      </c>
      <c r="M92" s="0" t="n">
        <v>195229.573</v>
      </c>
      <c r="N92" s="0" t="n">
        <v>21592.692</v>
      </c>
      <c r="Y92" s="0" t="s">
        <v>202</v>
      </c>
      <c r="Z92" s="0" t="s">
        <v>203</v>
      </c>
      <c r="AA92" s="0" t="s">
        <v>85</v>
      </c>
    </row>
    <row r="93" customFormat="false" ht="15" hidden="false" customHeight="false" outlineLevel="0" collapsed="false">
      <c r="A93" s="0" t="s">
        <v>201</v>
      </c>
      <c r="B93" s="0" t="n">
        <v>2014</v>
      </c>
      <c r="C93" s="0" t="s">
        <v>101</v>
      </c>
      <c r="D93" s="0" t="s">
        <v>79</v>
      </c>
      <c r="E93" s="0" t="n">
        <v>10692.476</v>
      </c>
      <c r="F93" s="0" t="n">
        <v>413305.111</v>
      </c>
      <c r="G93" s="0" t="n">
        <v>337041.116</v>
      </c>
      <c r="H93" s="0" t="n">
        <v>76263.995</v>
      </c>
      <c r="I93" s="0" t="n">
        <v>-32248.858</v>
      </c>
      <c r="J93" s="0" t="n">
        <v>403629.29</v>
      </c>
      <c r="M93" s="0" t="n">
        <v>219335.346</v>
      </c>
      <c r="N93" s="0" t="n">
        <v>15054.246</v>
      </c>
      <c r="Y93" s="0" t="s">
        <v>202</v>
      </c>
      <c r="Z93" s="0" t="s">
        <v>105</v>
      </c>
      <c r="AA93" s="0" t="s">
        <v>85</v>
      </c>
    </row>
    <row r="94" customFormat="false" ht="15" hidden="false" customHeight="false" outlineLevel="0" collapsed="false">
      <c r="A94" s="0" t="s">
        <v>201</v>
      </c>
      <c r="B94" s="0" t="n">
        <v>2015</v>
      </c>
      <c r="C94" s="0" t="s">
        <v>101</v>
      </c>
      <c r="D94" s="0" t="s">
        <v>79</v>
      </c>
      <c r="E94" s="0" t="n">
        <v>4689.157</v>
      </c>
      <c r="F94" s="0" t="n">
        <v>443321.012</v>
      </c>
      <c r="G94" s="0" t="n">
        <v>360746.481</v>
      </c>
      <c r="H94" s="0" t="n">
        <v>82574.531</v>
      </c>
      <c r="I94" s="0" t="n">
        <v>-36691.17</v>
      </c>
      <c r="J94" s="0" t="n">
        <v>413305.111</v>
      </c>
      <c r="K94" s="0" t="n">
        <v>311897.547</v>
      </c>
      <c r="L94" s="0" t="n">
        <v>65754.418</v>
      </c>
      <c r="M94" s="0" t="n">
        <v>246143.129</v>
      </c>
      <c r="N94" s="0" t="n">
        <v>27122.182</v>
      </c>
      <c r="X94" s="0" t="n">
        <v>0</v>
      </c>
      <c r="Y94" s="0" t="s">
        <v>204</v>
      </c>
      <c r="Z94" s="0" t="s">
        <v>84</v>
      </c>
      <c r="AA94" s="0" t="s">
        <v>85</v>
      </c>
    </row>
    <row r="95" customFormat="false" ht="15" hidden="false" customHeight="false" outlineLevel="0" collapsed="false">
      <c r="A95" s="0" t="s">
        <v>201</v>
      </c>
      <c r="B95" s="0" t="n">
        <v>2016</v>
      </c>
      <c r="C95" s="0" t="s">
        <v>101</v>
      </c>
      <c r="D95" s="0" t="s">
        <v>79</v>
      </c>
      <c r="E95" s="0" t="n">
        <v>2183.798</v>
      </c>
      <c r="F95" s="0" t="n">
        <v>492681.647</v>
      </c>
      <c r="G95" s="0" t="n">
        <v>409574.667</v>
      </c>
      <c r="H95" s="0" t="n">
        <v>83106.98</v>
      </c>
      <c r="I95" s="0" t="n">
        <v>-23320.526</v>
      </c>
      <c r="J95" s="0" t="n">
        <v>443321.012</v>
      </c>
      <c r="K95" s="0" t="n">
        <v>378758.599</v>
      </c>
      <c r="L95" s="0" t="n">
        <v>101544.079</v>
      </c>
      <c r="M95" s="0" t="n">
        <v>277214.521</v>
      </c>
      <c r="N95" s="0" t="n">
        <v>35948.596</v>
      </c>
      <c r="P95" s="0" t="n">
        <v>-217551.64</v>
      </c>
      <c r="Q95" s="0" t="n">
        <v>463106.398</v>
      </c>
      <c r="T95" s="0" t="n">
        <v>-46.98</v>
      </c>
      <c r="X95" s="0" t="n">
        <v>0</v>
      </c>
      <c r="Y95" s="0" t="s">
        <v>205</v>
      </c>
      <c r="Z95" s="0" t="s">
        <v>87</v>
      </c>
      <c r="AA95" s="0" t="s">
        <v>85</v>
      </c>
    </row>
    <row r="96" customFormat="false" ht="15" hidden="false" customHeight="false" outlineLevel="0" collapsed="false">
      <c r="A96" s="0" t="s">
        <v>201</v>
      </c>
      <c r="B96" s="0" t="n">
        <v>2017</v>
      </c>
      <c r="C96" s="0" t="s">
        <v>101</v>
      </c>
      <c r="D96" s="0" t="s">
        <v>79</v>
      </c>
      <c r="E96" s="0" t="n">
        <v>-14917.938</v>
      </c>
      <c r="F96" s="0" t="n">
        <v>156506.504</v>
      </c>
      <c r="G96" s="0" t="n">
        <v>398699.659</v>
      </c>
      <c r="H96" s="0" t="n">
        <v>-242193.155</v>
      </c>
      <c r="I96" s="0" t="n">
        <v>-6744.837</v>
      </c>
      <c r="J96" s="0" t="n">
        <v>492681.647</v>
      </c>
      <c r="K96" s="0" t="n">
        <v>9467.163</v>
      </c>
      <c r="L96" s="0" t="n">
        <v>509.036</v>
      </c>
      <c r="M96" s="0" t="n">
        <v>8958.127</v>
      </c>
      <c r="N96" s="0" t="n">
        <v>44254.863</v>
      </c>
      <c r="P96" s="0" t="n">
        <v>-263292.548</v>
      </c>
      <c r="Q96" s="0" t="n">
        <v>132926.38</v>
      </c>
      <c r="T96" s="0" t="n">
        <v>-198.07</v>
      </c>
      <c r="X96" s="0" t="n">
        <v>0</v>
      </c>
      <c r="Y96" s="0" t="s">
        <v>206</v>
      </c>
      <c r="Z96" s="0" t="s">
        <v>89</v>
      </c>
      <c r="AA96" s="0" t="s">
        <v>85</v>
      </c>
    </row>
    <row r="97" customFormat="false" ht="15" hidden="false" customHeight="false" outlineLevel="0" collapsed="false">
      <c r="A97" s="0" t="s">
        <v>201</v>
      </c>
      <c r="B97" s="0" t="n">
        <v>2018</v>
      </c>
      <c r="C97" s="0" t="s">
        <v>101</v>
      </c>
      <c r="D97" s="0" t="s">
        <v>90</v>
      </c>
      <c r="E97" s="0" t="n">
        <v>-7695.32</v>
      </c>
      <c r="F97" s="0" t="n">
        <v>210800.841</v>
      </c>
      <c r="G97" s="0" t="n">
        <v>495175.495</v>
      </c>
      <c r="H97" s="0" t="n">
        <v>-284374.654</v>
      </c>
      <c r="I97" s="0" t="n">
        <v>-442.603</v>
      </c>
      <c r="K97" s="0" t="n">
        <v>44841.156</v>
      </c>
      <c r="L97" s="0" t="n">
        <v>744.197</v>
      </c>
      <c r="N97" s="0" t="n">
        <v>5958.492</v>
      </c>
      <c r="T97" s="0" t="n">
        <v>-214.8</v>
      </c>
      <c r="U97" s="0" t="n">
        <v>10</v>
      </c>
      <c r="Y97" s="0" t="s">
        <v>207</v>
      </c>
      <c r="Z97" s="0" t="s">
        <v>81</v>
      </c>
      <c r="AA97" s="0" t="s">
        <v>82</v>
      </c>
    </row>
    <row r="98" customFormat="false" ht="15" hidden="false" customHeight="false" outlineLevel="0" collapsed="false">
      <c r="A98" s="0" t="s">
        <v>201</v>
      </c>
      <c r="B98" s="0" t="n">
        <v>2019</v>
      </c>
      <c r="C98" s="0" t="s">
        <v>101</v>
      </c>
      <c r="D98" s="0" t="s">
        <v>90</v>
      </c>
      <c r="E98" s="0" t="n">
        <v>3383.189</v>
      </c>
      <c r="F98" s="0" t="n">
        <v>293052.07</v>
      </c>
      <c r="G98" s="0" t="n">
        <v>571907.958</v>
      </c>
      <c r="H98" s="0" t="n">
        <v>-278855.888</v>
      </c>
      <c r="I98" s="0" t="n">
        <v>-39427.662</v>
      </c>
      <c r="J98" s="0" t="n">
        <v>210800.841</v>
      </c>
      <c r="K98" s="0" t="n">
        <v>106913.813</v>
      </c>
      <c r="L98" s="0" t="n">
        <v>2896.088</v>
      </c>
      <c r="N98" s="0" t="n">
        <v>1921.923</v>
      </c>
      <c r="T98" s="0" t="n">
        <v>-201.59</v>
      </c>
      <c r="U98" s="0" t="n">
        <v>10</v>
      </c>
      <c r="X98" s="0" t="n">
        <v>1</v>
      </c>
      <c r="Y98" s="0" t="s">
        <v>207</v>
      </c>
      <c r="Z98" s="0" t="s">
        <v>81</v>
      </c>
      <c r="AA98" s="0" t="s">
        <v>82</v>
      </c>
    </row>
    <row r="99" customFormat="false" ht="15" hidden="false" customHeight="false" outlineLevel="0" collapsed="false">
      <c r="A99" s="0" t="s">
        <v>201</v>
      </c>
      <c r="B99" s="0" t="n">
        <v>2020</v>
      </c>
      <c r="C99" s="0" t="s">
        <v>101</v>
      </c>
      <c r="D99" s="0" t="s">
        <v>90</v>
      </c>
      <c r="E99" s="0" t="n">
        <v>2086.393</v>
      </c>
      <c r="F99" s="0" t="n">
        <v>492020.329</v>
      </c>
      <c r="G99" s="0" t="n">
        <v>767430.125</v>
      </c>
      <c r="H99" s="0" t="n">
        <v>-275409.796</v>
      </c>
      <c r="I99" s="0" t="n">
        <v>15353.812</v>
      </c>
      <c r="K99" s="0" t="n">
        <v>206205.544</v>
      </c>
      <c r="L99" s="0" t="n">
        <v>4124.689</v>
      </c>
      <c r="M99" s="0" t="n">
        <v>202080.856</v>
      </c>
      <c r="N99" s="0" t="n">
        <v>-4127.332</v>
      </c>
      <c r="Y99" s="0" t="s">
        <v>208</v>
      </c>
      <c r="Z99" s="0" t="s">
        <v>209</v>
      </c>
      <c r="AA99" s="0" t="s">
        <v>85</v>
      </c>
    </row>
    <row r="100" customFormat="false" ht="15" hidden="false" customHeight="false" outlineLevel="0" collapsed="false">
      <c r="A100" s="0" t="s">
        <v>201</v>
      </c>
      <c r="B100" s="0" t="n">
        <v>2021</v>
      </c>
      <c r="C100" s="0" t="s">
        <v>101</v>
      </c>
      <c r="D100" s="0" t="s">
        <v>90</v>
      </c>
      <c r="E100" s="0" t="n">
        <v>3173.254</v>
      </c>
      <c r="F100" s="0" t="n">
        <v>538868.755</v>
      </c>
      <c r="G100" s="0" t="n">
        <v>815022.21</v>
      </c>
      <c r="H100" s="0" t="n">
        <v>-276153.455</v>
      </c>
      <c r="I100" s="0" t="n">
        <v>-64852.553</v>
      </c>
      <c r="J100" s="0" t="n">
        <v>492020.329</v>
      </c>
      <c r="K100" s="0" t="n">
        <v>272468.9</v>
      </c>
      <c r="L100" s="0" t="n">
        <v>3199.184</v>
      </c>
      <c r="M100" s="0" t="n">
        <v>269269.716</v>
      </c>
      <c r="N100" s="0" t="n">
        <v>-2563.927</v>
      </c>
      <c r="P100" s="0" t="n">
        <v>-278060.632</v>
      </c>
      <c r="Q100" s="0" t="n">
        <v>322639.564</v>
      </c>
      <c r="R100" s="0" t="n">
        <v>105.854</v>
      </c>
      <c r="S100" s="0" t="n">
        <v>1.012</v>
      </c>
      <c r="T100" s="0" t="n">
        <v>-86.18</v>
      </c>
      <c r="X100" s="0" t="n">
        <v>1</v>
      </c>
      <c r="Y100" s="0" t="s">
        <v>208</v>
      </c>
      <c r="Z100" s="0" t="s">
        <v>97</v>
      </c>
      <c r="AA100" s="0" t="s">
        <v>85</v>
      </c>
    </row>
    <row r="101" customFormat="false" ht="15" hidden="false" customHeight="false" outlineLevel="0" collapsed="false">
      <c r="A101" s="0" t="s">
        <v>201</v>
      </c>
      <c r="B101" s="0" t="n">
        <v>2022</v>
      </c>
      <c r="C101" s="0" t="s">
        <v>101</v>
      </c>
      <c r="D101" s="0" t="s">
        <v>90</v>
      </c>
      <c r="E101" s="0" t="n">
        <v>941.375</v>
      </c>
      <c r="F101" s="0" t="n">
        <v>510143.959</v>
      </c>
      <c r="G101" s="0" t="n">
        <v>785092.126</v>
      </c>
      <c r="H101" s="0" t="n">
        <v>-274948.167</v>
      </c>
      <c r="I101" s="0" t="n">
        <v>-26933.973</v>
      </c>
      <c r="J101" s="0" t="n">
        <v>538868.756</v>
      </c>
      <c r="K101" s="0" t="n">
        <v>292968.646</v>
      </c>
      <c r="L101" s="0" t="n">
        <v>3612.947</v>
      </c>
      <c r="M101" s="0" t="n">
        <v>289355.699</v>
      </c>
      <c r="N101" s="0" t="n">
        <v>-1203.857</v>
      </c>
      <c r="P101" s="0" t="n">
        <v>-288192.175</v>
      </c>
      <c r="Q101" s="0" t="n">
        <v>321334.337</v>
      </c>
      <c r="R101" s="0" t="n">
        <v>472.953</v>
      </c>
      <c r="S101" s="0" t="n">
        <v>121.67</v>
      </c>
      <c r="T101" s="0" t="n">
        <v>-89.69</v>
      </c>
      <c r="X101" s="0" t="n">
        <v>1</v>
      </c>
      <c r="Y101" s="0" t="s">
        <v>210</v>
      </c>
      <c r="Z101" s="0" t="s">
        <v>114</v>
      </c>
      <c r="AA101" s="0" t="s">
        <v>85</v>
      </c>
    </row>
    <row r="102" customFormat="false" ht="15" hidden="false" customHeight="false" outlineLevel="0" collapsed="false">
      <c r="A102" s="0" t="s">
        <v>211</v>
      </c>
      <c r="B102" s="0" t="n">
        <v>2013</v>
      </c>
      <c r="C102" s="0" t="s">
        <v>101</v>
      </c>
      <c r="D102" s="0" t="s">
        <v>79</v>
      </c>
      <c r="E102" s="0" t="n">
        <v>1596.531</v>
      </c>
      <c r="F102" s="0" t="n">
        <v>330872.475</v>
      </c>
      <c r="G102" s="0" t="n">
        <v>289477.324</v>
      </c>
      <c r="H102" s="0" t="n">
        <v>41395.151</v>
      </c>
      <c r="I102" s="0" t="n">
        <v>14012.504</v>
      </c>
      <c r="J102" s="0" t="n">
        <v>245704.597</v>
      </c>
      <c r="M102" s="0" t="n">
        <v>98631.825</v>
      </c>
      <c r="N102" s="0" t="n">
        <v>-1329.627</v>
      </c>
      <c r="Y102" s="0" t="s">
        <v>212</v>
      </c>
      <c r="Z102" s="0" t="s">
        <v>213</v>
      </c>
      <c r="AA102" s="0" t="s">
        <v>85</v>
      </c>
    </row>
    <row r="103" customFormat="false" ht="15" hidden="false" customHeight="false" outlineLevel="0" collapsed="false">
      <c r="A103" s="0" t="s">
        <v>211</v>
      </c>
      <c r="B103" s="0" t="n">
        <v>2014</v>
      </c>
      <c r="C103" s="0" t="s">
        <v>101</v>
      </c>
      <c r="D103" s="0" t="s">
        <v>79</v>
      </c>
      <c r="E103" s="0" t="n">
        <v>2372.445</v>
      </c>
      <c r="F103" s="0" t="n">
        <v>382562.312</v>
      </c>
      <c r="G103" s="0" t="n">
        <v>338793.663</v>
      </c>
      <c r="H103" s="0" t="n">
        <v>43768.649</v>
      </c>
      <c r="I103" s="0" t="n">
        <v>-40148.459</v>
      </c>
      <c r="K103" s="0" t="n">
        <v>152292.015</v>
      </c>
      <c r="L103" s="0" t="n">
        <v>2998.166</v>
      </c>
      <c r="N103" s="0" t="n">
        <v>88.173</v>
      </c>
      <c r="T103" s="0" t="n">
        <v>18.22</v>
      </c>
      <c r="Y103" s="0" t="s">
        <v>214</v>
      </c>
      <c r="Z103" s="0" t="s">
        <v>81</v>
      </c>
      <c r="AA103" s="0" t="s">
        <v>82</v>
      </c>
    </row>
    <row r="104" customFormat="false" ht="15" hidden="false" customHeight="false" outlineLevel="0" collapsed="false">
      <c r="A104" s="0" t="s">
        <v>211</v>
      </c>
      <c r="B104" s="0" t="n">
        <v>2015</v>
      </c>
      <c r="C104" s="0" t="s">
        <v>101</v>
      </c>
      <c r="D104" s="0" t="s">
        <v>79</v>
      </c>
      <c r="E104" s="0" t="n">
        <v>2273.205</v>
      </c>
      <c r="F104" s="0" t="n">
        <v>396743.314</v>
      </c>
      <c r="G104" s="0" t="n">
        <v>350679.204</v>
      </c>
      <c r="H104" s="0" t="n">
        <v>46064.11</v>
      </c>
      <c r="I104" s="0" t="n">
        <v>14676.273</v>
      </c>
      <c r="J104" s="0" t="n">
        <v>382562.312</v>
      </c>
      <c r="K104" s="0" t="n">
        <v>188022.922</v>
      </c>
      <c r="L104" s="0" t="n">
        <v>2426.332</v>
      </c>
      <c r="N104" s="0" t="n">
        <v>-77.64</v>
      </c>
      <c r="T104" s="0" t="n">
        <v>15.09</v>
      </c>
      <c r="Y104" s="0" t="s">
        <v>215</v>
      </c>
      <c r="Z104" s="0" t="s">
        <v>81</v>
      </c>
      <c r="AA104" s="0" t="s">
        <v>82</v>
      </c>
    </row>
    <row r="105" customFormat="false" ht="15" hidden="false" customHeight="false" outlineLevel="0" collapsed="false">
      <c r="A105" s="0" t="s">
        <v>211</v>
      </c>
      <c r="B105" s="0" t="n">
        <v>2016</v>
      </c>
      <c r="C105" s="0" t="s">
        <v>101</v>
      </c>
      <c r="D105" s="0" t="s">
        <v>79</v>
      </c>
      <c r="E105" s="0" t="n">
        <v>2591.8</v>
      </c>
      <c r="F105" s="0" t="n">
        <v>421221.036</v>
      </c>
      <c r="G105" s="0" t="n">
        <v>372719.082</v>
      </c>
      <c r="H105" s="0" t="n">
        <v>48501.954</v>
      </c>
      <c r="I105" s="0" t="n">
        <v>15892.427</v>
      </c>
      <c r="J105" s="0" t="n">
        <v>396743.314</v>
      </c>
      <c r="N105" s="0" t="n">
        <v>412.401</v>
      </c>
      <c r="X105" s="0" t="n">
        <v>0</v>
      </c>
      <c r="Y105" s="0" t="s">
        <v>216</v>
      </c>
      <c r="Z105" s="0" t="s">
        <v>81</v>
      </c>
      <c r="AA105" s="0" t="s">
        <v>82</v>
      </c>
    </row>
    <row r="106" customFormat="false" ht="15" hidden="false" customHeight="false" outlineLevel="0" collapsed="false">
      <c r="A106" s="0" t="s">
        <v>211</v>
      </c>
      <c r="B106" s="0" t="n">
        <v>2017</v>
      </c>
      <c r="C106" s="0" t="s">
        <v>101</v>
      </c>
      <c r="D106" s="0" t="s">
        <v>79</v>
      </c>
      <c r="E106" s="0" t="n">
        <v>2301.158</v>
      </c>
      <c r="F106" s="0" t="n">
        <v>384779.809</v>
      </c>
      <c r="G106" s="0" t="n">
        <v>335087.669</v>
      </c>
      <c r="H106" s="0" t="n">
        <v>49692.14</v>
      </c>
      <c r="I106" s="0" t="n">
        <v>-25950.964</v>
      </c>
      <c r="J106" s="0" t="n">
        <v>421221.036</v>
      </c>
      <c r="K106" s="0" t="n">
        <v>220076.031</v>
      </c>
      <c r="L106" s="0" t="n">
        <v>4236.001</v>
      </c>
      <c r="N106" s="0" t="n">
        <v>2179.798</v>
      </c>
      <c r="T106" s="0" t="n">
        <v>14.32</v>
      </c>
      <c r="V106" s="0" t="n">
        <v>26.25</v>
      </c>
      <c r="W106" s="0" t="n">
        <v>1</v>
      </c>
      <c r="Y106" s="0" t="s">
        <v>217</v>
      </c>
      <c r="Z106" s="0" t="s">
        <v>81</v>
      </c>
      <c r="AA106" s="0" t="s">
        <v>82</v>
      </c>
    </row>
    <row r="107" customFormat="false" ht="15" hidden="false" customHeight="false" outlineLevel="0" collapsed="false">
      <c r="A107" s="0" t="s">
        <v>211</v>
      </c>
      <c r="B107" s="0" t="n">
        <v>2018</v>
      </c>
      <c r="C107" s="0" t="s">
        <v>101</v>
      </c>
      <c r="D107" s="0" t="s">
        <v>90</v>
      </c>
      <c r="E107" s="0" t="n">
        <v>3359.259</v>
      </c>
      <c r="F107" s="0" t="n">
        <v>477915.742</v>
      </c>
      <c r="G107" s="0" t="n">
        <v>426916.863</v>
      </c>
      <c r="H107" s="0" t="n">
        <v>50998.879</v>
      </c>
      <c r="I107" s="0" t="n">
        <v>49309.182</v>
      </c>
      <c r="J107" s="0" t="n">
        <v>384779.809</v>
      </c>
      <c r="K107" s="0" t="n">
        <v>261583.723</v>
      </c>
      <c r="L107" s="0" t="n">
        <v>9394.11</v>
      </c>
      <c r="N107" s="0" t="n">
        <v>3510.537</v>
      </c>
      <c r="T107" s="0" t="n">
        <v>18.01</v>
      </c>
      <c r="V107" s="0" t="n">
        <v>34.64</v>
      </c>
      <c r="W107" s="0" t="n">
        <v>1</v>
      </c>
      <c r="X107" s="0" t="n">
        <v>0</v>
      </c>
      <c r="Y107" s="0" t="s">
        <v>217</v>
      </c>
      <c r="Z107" s="0" t="s">
        <v>81</v>
      </c>
      <c r="AA107" s="0" t="s">
        <v>82</v>
      </c>
    </row>
    <row r="108" customFormat="false" ht="15" hidden="false" customHeight="false" outlineLevel="0" collapsed="false">
      <c r="A108" s="0" t="s">
        <v>211</v>
      </c>
      <c r="B108" s="0" t="n">
        <v>2019</v>
      </c>
      <c r="C108" s="0" t="s">
        <v>101</v>
      </c>
      <c r="D108" s="0" t="s">
        <v>90</v>
      </c>
      <c r="E108" s="0" t="n">
        <v>5210.748</v>
      </c>
      <c r="F108" s="0" t="n">
        <v>704955.604</v>
      </c>
      <c r="G108" s="0" t="n">
        <v>649598.753</v>
      </c>
      <c r="H108" s="0" t="n">
        <v>55356.851</v>
      </c>
      <c r="I108" s="0" t="n">
        <v>107380.822</v>
      </c>
      <c r="J108" s="0" t="n">
        <v>477915.742</v>
      </c>
      <c r="K108" s="0" t="n">
        <v>301368.302</v>
      </c>
      <c r="L108" s="0" t="n">
        <v>12128.432</v>
      </c>
      <c r="M108" s="0" t="n">
        <v>289239.87</v>
      </c>
      <c r="N108" s="0" t="n">
        <v>6130.6</v>
      </c>
      <c r="P108" s="0" t="n">
        <v>33853.301</v>
      </c>
      <c r="Q108" s="0" t="n">
        <v>248951.162</v>
      </c>
      <c r="S108" s="0" t="n">
        <v>4646.11</v>
      </c>
      <c r="T108" s="0" t="n">
        <v>13.6</v>
      </c>
      <c r="Y108" s="0" t="s">
        <v>218</v>
      </c>
      <c r="Z108" s="0" t="s">
        <v>81</v>
      </c>
      <c r="AA108" s="0" t="s">
        <v>82</v>
      </c>
    </row>
    <row r="109" customFormat="false" ht="15" hidden="false" customHeight="false" outlineLevel="0" collapsed="false">
      <c r="A109" s="0" t="s">
        <v>211</v>
      </c>
      <c r="B109" s="0" t="n">
        <v>2020</v>
      </c>
      <c r="C109" s="0" t="s">
        <v>101</v>
      </c>
      <c r="D109" s="0" t="s">
        <v>90</v>
      </c>
      <c r="E109" s="0" t="n">
        <v>4592.217</v>
      </c>
      <c r="F109" s="0" t="n">
        <v>968582.084</v>
      </c>
      <c r="G109" s="0" t="n">
        <v>909229.251</v>
      </c>
      <c r="H109" s="0" t="n">
        <v>59352.833</v>
      </c>
      <c r="I109" s="0" t="n">
        <v>46804.348</v>
      </c>
      <c r="J109" s="0" t="n">
        <v>704955.604</v>
      </c>
      <c r="K109" s="0" t="n">
        <v>375039.658</v>
      </c>
      <c r="L109" s="0" t="n">
        <v>14963.578</v>
      </c>
      <c r="M109" s="0" t="n">
        <v>360076.079</v>
      </c>
      <c r="N109" s="0" t="n">
        <v>5635.165</v>
      </c>
      <c r="P109" s="0" t="n">
        <v>41760.881</v>
      </c>
      <c r="Q109" s="0" t="n">
        <v>278133.743</v>
      </c>
      <c r="S109" s="0" t="n">
        <v>5411.37</v>
      </c>
      <c r="T109" s="0" t="n">
        <v>15.01</v>
      </c>
      <c r="X109" s="0" t="n">
        <v>0</v>
      </c>
      <c r="Y109" s="0" t="s">
        <v>218</v>
      </c>
      <c r="Z109" s="0" t="s">
        <v>81</v>
      </c>
      <c r="AA109" s="0" t="s">
        <v>82</v>
      </c>
    </row>
    <row r="110" customFormat="false" ht="15" hidden="false" customHeight="false" outlineLevel="0" collapsed="false">
      <c r="A110" s="0" t="s">
        <v>211</v>
      </c>
      <c r="B110" s="0" t="n">
        <v>2021</v>
      </c>
      <c r="C110" s="0" t="s">
        <v>101</v>
      </c>
      <c r="D110" s="0" t="s">
        <v>90</v>
      </c>
      <c r="E110" s="0" t="n">
        <v>8933.202</v>
      </c>
      <c r="F110" s="0" t="n">
        <v>1164517.865</v>
      </c>
      <c r="G110" s="0" t="n">
        <v>1094153.52</v>
      </c>
      <c r="H110" s="0" t="n">
        <v>70364.344</v>
      </c>
      <c r="I110" s="0" t="n">
        <v>9851.888</v>
      </c>
      <c r="J110" s="0" t="n">
        <v>968582.084</v>
      </c>
      <c r="K110" s="0" t="n">
        <v>435551.971</v>
      </c>
      <c r="L110" s="0" t="n">
        <v>16687.668</v>
      </c>
      <c r="M110" s="0" t="n">
        <v>418864.303</v>
      </c>
      <c r="N110" s="0" t="n">
        <v>2104.393</v>
      </c>
      <c r="O110" s="0" t="n">
        <v>21263.336</v>
      </c>
      <c r="P110" s="0" t="n">
        <v>40009.725</v>
      </c>
      <c r="Q110" s="0" t="n">
        <v>346012.969</v>
      </c>
      <c r="S110" s="0" t="n">
        <v>11225.979</v>
      </c>
      <c r="T110" s="0" t="n">
        <v>11.71</v>
      </c>
      <c r="Y110" s="0" t="s">
        <v>219</v>
      </c>
      <c r="Z110" s="0" t="s">
        <v>220</v>
      </c>
      <c r="AA110" s="0" t="s">
        <v>85</v>
      </c>
    </row>
    <row r="111" customFormat="false" ht="15" hidden="false" customHeight="false" outlineLevel="0" collapsed="false">
      <c r="A111" s="0" t="s">
        <v>211</v>
      </c>
      <c r="B111" s="0" t="n">
        <v>2022</v>
      </c>
      <c r="C111" s="0" t="s">
        <v>101</v>
      </c>
      <c r="D111" s="0" t="s">
        <v>90</v>
      </c>
      <c r="E111" s="0" t="n">
        <v>11214.027</v>
      </c>
      <c r="F111" s="0" t="n">
        <v>1433703.656</v>
      </c>
      <c r="G111" s="0" t="n">
        <v>1351080.98</v>
      </c>
      <c r="H111" s="0" t="n">
        <v>82622.676</v>
      </c>
      <c r="I111" s="0" t="n">
        <v>179324.77</v>
      </c>
      <c r="K111" s="0" t="n">
        <v>539372.013</v>
      </c>
      <c r="L111" s="0" t="n">
        <v>17941.317</v>
      </c>
      <c r="M111" s="0" t="n">
        <v>521430.696</v>
      </c>
      <c r="N111" s="0" t="n">
        <v>4762.274</v>
      </c>
      <c r="P111" s="0" t="n">
        <v>59144.646</v>
      </c>
      <c r="Q111" s="0" t="n">
        <v>464338.153</v>
      </c>
      <c r="S111" s="0" t="n">
        <v>12600.451</v>
      </c>
      <c r="T111" s="0" t="n">
        <v>12.74</v>
      </c>
      <c r="X111" s="0" t="n">
        <v>0</v>
      </c>
      <c r="Y111" s="0" t="s">
        <v>221</v>
      </c>
      <c r="Z111" s="0" t="s">
        <v>81</v>
      </c>
      <c r="AA111" s="0" t="s">
        <v>82</v>
      </c>
    </row>
    <row r="112" customFormat="false" ht="15" hidden="false" customHeight="false" outlineLevel="0" collapsed="false">
      <c r="A112" s="0" t="s">
        <v>222</v>
      </c>
      <c r="B112" s="0" t="n">
        <v>2013</v>
      </c>
      <c r="C112" s="0" t="s">
        <v>78</v>
      </c>
      <c r="D112" s="0" t="s">
        <v>79</v>
      </c>
      <c r="E112" s="0" t="n">
        <v>83414</v>
      </c>
      <c r="F112" s="0" t="n">
        <v>2878693</v>
      </c>
      <c r="G112" s="0" t="n">
        <v>2406071</v>
      </c>
      <c r="H112" s="0" t="n">
        <v>472622</v>
      </c>
      <c r="I112" s="0" t="n">
        <v>235619</v>
      </c>
      <c r="J112" s="0" t="n">
        <v>2436886</v>
      </c>
      <c r="K112" s="0" t="n">
        <v>1148378</v>
      </c>
      <c r="L112" s="0" t="n">
        <v>21819</v>
      </c>
      <c r="M112" s="0" t="n">
        <v>1126559</v>
      </c>
      <c r="N112" s="0" t="n">
        <v>9907</v>
      </c>
      <c r="P112" s="0" t="n">
        <v>470919</v>
      </c>
      <c r="Q112" s="0" t="n">
        <v>1796099</v>
      </c>
      <c r="T112" s="0" t="n">
        <v>26</v>
      </c>
      <c r="X112" s="0" t="n">
        <v>0</v>
      </c>
      <c r="Y112" s="0" t="s">
        <v>223</v>
      </c>
      <c r="Z112" s="0" t="s">
        <v>103</v>
      </c>
      <c r="AA112" s="0" t="s">
        <v>85</v>
      </c>
    </row>
    <row r="113" customFormat="false" ht="15" hidden="false" customHeight="false" outlineLevel="0" collapsed="false">
      <c r="A113" s="0" t="s">
        <v>222</v>
      </c>
      <c r="B113" s="0" t="n">
        <v>2014</v>
      </c>
      <c r="C113" s="0" t="s">
        <v>78</v>
      </c>
      <c r="D113" s="0" t="s">
        <v>79</v>
      </c>
      <c r="E113" s="0" t="n">
        <v>92479</v>
      </c>
      <c r="F113" s="0" t="n">
        <v>3423819</v>
      </c>
      <c r="G113" s="0" t="n">
        <v>2911112</v>
      </c>
      <c r="H113" s="0" t="n">
        <v>512707</v>
      </c>
      <c r="I113" s="0" t="n">
        <v>-145986</v>
      </c>
      <c r="K113" s="0" t="n">
        <v>1605581</v>
      </c>
      <c r="L113" s="0" t="n">
        <v>25331</v>
      </c>
      <c r="N113" s="0" t="n">
        <v>12392</v>
      </c>
      <c r="O113" s="0" t="n">
        <v>26407</v>
      </c>
      <c r="T113" s="0" t="n">
        <v>19</v>
      </c>
      <c r="Y113" s="0" t="s">
        <v>224</v>
      </c>
      <c r="Z113" s="0" t="s">
        <v>81</v>
      </c>
      <c r="AA113" s="0" t="s">
        <v>82</v>
      </c>
    </row>
    <row r="114" customFormat="false" ht="15" hidden="false" customHeight="false" outlineLevel="0" collapsed="false">
      <c r="A114" s="0" t="s">
        <v>222</v>
      </c>
      <c r="B114" s="0" t="n">
        <v>2015</v>
      </c>
      <c r="C114" s="0" t="s">
        <v>78</v>
      </c>
      <c r="D114" s="0" t="s">
        <v>79</v>
      </c>
      <c r="E114" s="0" t="n">
        <v>98784</v>
      </c>
      <c r="F114" s="0" t="n">
        <v>3750327</v>
      </c>
      <c r="G114" s="0" t="n">
        <v>3203381</v>
      </c>
      <c r="H114" s="0" t="n">
        <v>546946</v>
      </c>
      <c r="I114" s="0" t="n">
        <v>-415396</v>
      </c>
      <c r="J114" s="0" t="n">
        <v>3423819</v>
      </c>
      <c r="K114" s="0" t="n">
        <v>1884941</v>
      </c>
      <c r="L114" s="0" t="n">
        <v>35716</v>
      </c>
      <c r="N114" s="0" t="n">
        <v>11091</v>
      </c>
      <c r="O114" s="0" t="n">
        <v>30871</v>
      </c>
      <c r="T114" s="0" t="n">
        <v>20</v>
      </c>
      <c r="Y114" s="0" t="s">
        <v>224</v>
      </c>
      <c r="Z114" s="0" t="s">
        <v>81</v>
      </c>
      <c r="AA114" s="0" t="s">
        <v>82</v>
      </c>
    </row>
    <row r="115" customFormat="false" ht="15" hidden="false" customHeight="false" outlineLevel="0" collapsed="false">
      <c r="A115" s="0" t="s">
        <v>222</v>
      </c>
      <c r="B115" s="0" t="n">
        <v>2016</v>
      </c>
      <c r="C115" s="0" t="s">
        <v>78</v>
      </c>
      <c r="D115" s="0" t="s">
        <v>79</v>
      </c>
      <c r="E115" s="0" t="n">
        <v>119285</v>
      </c>
      <c r="F115" s="0" t="n">
        <v>4283736</v>
      </c>
      <c r="G115" s="0" t="n">
        <v>3667383</v>
      </c>
      <c r="H115" s="0" t="n">
        <v>616353</v>
      </c>
      <c r="I115" s="0" t="n">
        <v>-104917</v>
      </c>
      <c r="J115" s="0" t="n">
        <v>3750327</v>
      </c>
      <c r="K115" s="0" t="n">
        <v>2193224</v>
      </c>
      <c r="L115" s="0" t="n">
        <v>55092</v>
      </c>
      <c r="M115" s="0" t="n">
        <v>2138132</v>
      </c>
      <c r="N115" s="0" t="n">
        <v>26295</v>
      </c>
      <c r="O115" s="0" t="n">
        <v>57577</v>
      </c>
      <c r="P115" s="0" t="n">
        <v>565277</v>
      </c>
      <c r="Q115" s="0" t="n">
        <v>2624643</v>
      </c>
      <c r="T115" s="0" t="n">
        <v>22</v>
      </c>
      <c r="Y115" s="0" t="s">
        <v>225</v>
      </c>
      <c r="Z115" s="0" t="s">
        <v>226</v>
      </c>
      <c r="AA115" s="0" t="s">
        <v>85</v>
      </c>
    </row>
    <row r="116" customFormat="false" ht="15" hidden="false" customHeight="false" outlineLevel="0" collapsed="false">
      <c r="A116" s="0" t="s">
        <v>222</v>
      </c>
      <c r="B116" s="0" t="n">
        <v>2017</v>
      </c>
      <c r="C116" s="0" t="s">
        <v>78</v>
      </c>
      <c r="D116" s="0" t="s">
        <v>79</v>
      </c>
      <c r="E116" s="0" t="n">
        <v>157145</v>
      </c>
      <c r="F116" s="0" t="n">
        <v>4833658</v>
      </c>
      <c r="G116" s="0" t="n">
        <v>4126133</v>
      </c>
      <c r="H116" s="0" t="n">
        <v>707525</v>
      </c>
      <c r="I116" s="0" t="n">
        <v>-255750</v>
      </c>
      <c r="J116" s="0" t="n">
        <v>4283736</v>
      </c>
      <c r="K116" s="0" t="n">
        <v>2117069</v>
      </c>
      <c r="L116" s="0" t="n">
        <v>136605</v>
      </c>
      <c r="M116" s="0" t="n">
        <v>1980464</v>
      </c>
      <c r="N116" s="0" t="n">
        <v>95244</v>
      </c>
      <c r="O116" s="0" t="n">
        <v>91738</v>
      </c>
      <c r="P116" s="0" t="n">
        <v>652237</v>
      </c>
      <c r="Q116" s="0" t="n">
        <v>2670248</v>
      </c>
      <c r="T116" s="0" t="n">
        <v>24</v>
      </c>
      <c r="Y116" s="0" t="s">
        <v>227</v>
      </c>
      <c r="Z116" s="0" t="s">
        <v>228</v>
      </c>
      <c r="AA116" s="0" t="s">
        <v>85</v>
      </c>
    </row>
    <row r="117" customFormat="false" ht="15" hidden="false" customHeight="false" outlineLevel="0" collapsed="false">
      <c r="A117" s="0" t="s">
        <v>222</v>
      </c>
      <c r="B117" s="0" t="n">
        <v>2018</v>
      </c>
      <c r="C117" s="0" t="s">
        <v>78</v>
      </c>
      <c r="D117" s="0" t="s">
        <v>90</v>
      </c>
      <c r="E117" s="0" t="n">
        <v>165480</v>
      </c>
      <c r="F117" s="0" t="n">
        <v>4955445</v>
      </c>
      <c r="G117" s="0" t="n">
        <v>4280413</v>
      </c>
      <c r="H117" s="0" t="n">
        <v>675032</v>
      </c>
      <c r="I117" s="0" t="n">
        <v>184314</v>
      </c>
      <c r="J117" s="0" t="n">
        <v>4833658</v>
      </c>
      <c r="K117" s="0" t="n">
        <v>1921064</v>
      </c>
      <c r="L117" s="0" t="n">
        <v>184998</v>
      </c>
      <c r="M117" s="0" t="n">
        <v>1736066</v>
      </c>
      <c r="N117" s="0" t="n">
        <v>15313</v>
      </c>
      <c r="O117" s="0" t="n">
        <v>92630</v>
      </c>
      <c r="P117" s="0" t="n">
        <v>641524</v>
      </c>
      <c r="Q117" s="0" t="n">
        <v>2690329</v>
      </c>
      <c r="T117" s="0" t="n">
        <v>24</v>
      </c>
      <c r="Y117" s="0" t="s">
        <v>229</v>
      </c>
      <c r="Z117" s="0" t="s">
        <v>230</v>
      </c>
      <c r="AA117" s="0" t="s">
        <v>85</v>
      </c>
    </row>
    <row r="118" customFormat="false" ht="15" hidden="false" customHeight="false" outlineLevel="0" collapsed="false">
      <c r="A118" s="0" t="s">
        <v>222</v>
      </c>
      <c r="B118" s="0" t="n">
        <v>2019</v>
      </c>
      <c r="C118" s="0" t="s">
        <v>78</v>
      </c>
      <c r="D118" s="0" t="s">
        <v>90</v>
      </c>
      <c r="E118" s="0" t="n">
        <v>178003</v>
      </c>
      <c r="F118" s="0" t="n">
        <v>5435073</v>
      </c>
      <c r="G118" s="0" t="n">
        <v>4656078</v>
      </c>
      <c r="H118" s="0" t="n">
        <v>778995</v>
      </c>
      <c r="I118" s="0" t="n">
        <v>390093</v>
      </c>
      <c r="J118" s="0" t="n">
        <v>4955445</v>
      </c>
      <c r="K118" s="0" t="n">
        <v>2390651</v>
      </c>
      <c r="L118" s="0" t="n">
        <v>151179</v>
      </c>
      <c r="M118" s="0" t="n">
        <v>2239472</v>
      </c>
      <c r="N118" s="0" t="n">
        <v>23393</v>
      </c>
      <c r="O118" s="0" t="n">
        <v>99457</v>
      </c>
      <c r="P118" s="0" t="n">
        <v>717901</v>
      </c>
      <c r="Q118" s="0" t="n">
        <v>3669402</v>
      </c>
      <c r="T118" s="0" t="n">
        <v>20</v>
      </c>
      <c r="X118" s="0" t="n">
        <v>0</v>
      </c>
      <c r="Y118" s="0" t="s">
        <v>231</v>
      </c>
      <c r="Z118" s="0" t="s">
        <v>232</v>
      </c>
      <c r="AA118" s="0" t="s">
        <v>85</v>
      </c>
    </row>
    <row r="119" customFormat="false" ht="15" hidden="false" customHeight="false" outlineLevel="0" collapsed="false">
      <c r="A119" s="0" t="s">
        <v>222</v>
      </c>
      <c r="B119" s="0" t="n">
        <v>2020</v>
      </c>
      <c r="C119" s="0" t="s">
        <v>78</v>
      </c>
      <c r="D119" s="0" t="s">
        <v>90</v>
      </c>
      <c r="E119" s="0" t="n">
        <v>197852</v>
      </c>
      <c r="F119" s="0" t="n">
        <v>7124987</v>
      </c>
      <c r="G119" s="0" t="n">
        <v>6219755</v>
      </c>
      <c r="H119" s="0" t="n">
        <v>905232</v>
      </c>
      <c r="I119" s="0" t="n">
        <v>65920</v>
      </c>
      <c r="J119" s="0" t="n">
        <v>5435073</v>
      </c>
      <c r="K119" s="0" t="n">
        <v>2772663</v>
      </c>
      <c r="L119" s="0" t="n">
        <v>132866</v>
      </c>
      <c r="M119" s="0" t="n">
        <v>2639797</v>
      </c>
      <c r="N119" s="0" t="n">
        <v>37237</v>
      </c>
      <c r="X119" s="0" t="n">
        <v>0</v>
      </c>
      <c r="Y119" s="0" t="s">
        <v>233</v>
      </c>
      <c r="Z119" s="0" t="s">
        <v>234</v>
      </c>
      <c r="AA119" s="0" t="s">
        <v>85</v>
      </c>
    </row>
    <row r="120" customFormat="false" ht="15" hidden="false" customHeight="false" outlineLevel="0" collapsed="false">
      <c r="A120" s="0" t="s">
        <v>222</v>
      </c>
      <c r="B120" s="0" t="n">
        <v>2021</v>
      </c>
      <c r="C120" s="0" t="s">
        <v>78</v>
      </c>
      <c r="D120" s="0" t="s">
        <v>90</v>
      </c>
      <c r="E120" s="0" t="n">
        <v>233133</v>
      </c>
      <c r="F120" s="0" t="n">
        <v>7872292</v>
      </c>
      <c r="G120" s="0" t="n">
        <v>6822517</v>
      </c>
      <c r="H120" s="0" t="n">
        <v>1049775</v>
      </c>
      <c r="I120" s="0" t="n">
        <v>457857</v>
      </c>
      <c r="K120" s="0" t="n">
        <v>3237973</v>
      </c>
      <c r="L120" s="0" t="n">
        <v>138521</v>
      </c>
      <c r="M120" s="0" t="n">
        <v>3099452</v>
      </c>
      <c r="N120" s="0" t="n">
        <v>56175</v>
      </c>
      <c r="P120" s="0" t="n">
        <v>985934</v>
      </c>
      <c r="Q120" s="0" t="n">
        <v>5032121</v>
      </c>
      <c r="T120" s="0" t="n">
        <v>20</v>
      </c>
      <c r="Y120" s="0" t="s">
        <v>235</v>
      </c>
      <c r="Z120" s="0" t="s">
        <v>81</v>
      </c>
      <c r="AA120" s="0" t="s">
        <v>82</v>
      </c>
    </row>
    <row r="121" customFormat="false" ht="15" hidden="false" customHeight="false" outlineLevel="0" collapsed="false">
      <c r="A121" s="0" t="s">
        <v>222</v>
      </c>
      <c r="B121" s="0" t="n">
        <v>2022</v>
      </c>
      <c r="C121" s="0" t="s">
        <v>78</v>
      </c>
      <c r="D121" s="0" t="s">
        <v>90</v>
      </c>
      <c r="E121" s="0" t="n">
        <v>234593</v>
      </c>
      <c r="F121" s="0" t="n">
        <v>10570678</v>
      </c>
      <c r="G121" s="0" t="n">
        <v>9375531</v>
      </c>
      <c r="H121" s="0" t="n">
        <v>1195147</v>
      </c>
      <c r="I121" s="0" t="n">
        <v>1279758</v>
      </c>
      <c r="J121" s="0" t="n">
        <v>7872292</v>
      </c>
      <c r="K121" s="0" t="n">
        <v>3838805</v>
      </c>
      <c r="L121" s="0" t="n">
        <v>103129</v>
      </c>
      <c r="M121" s="0" t="n">
        <v>3735676</v>
      </c>
      <c r="N121" s="0" t="n">
        <v>61896</v>
      </c>
      <c r="P121" s="0" t="n">
        <v>1042652</v>
      </c>
      <c r="Q121" s="0" t="n">
        <v>5488669</v>
      </c>
      <c r="T121" s="0" t="n">
        <v>19</v>
      </c>
      <c r="Y121" s="0" t="s">
        <v>235</v>
      </c>
      <c r="Z121" s="0" t="s">
        <v>81</v>
      </c>
      <c r="AA121"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2" t="s">
        <v>236</v>
      </c>
    </row>
    <row r="3" customFormat="false" ht="15" hidden="false" customHeight="false" outlineLevel="0" collapsed="false">
      <c r="A3" s="3" t="s">
        <v>50</v>
      </c>
      <c r="B3" s="3" t="s">
        <v>51</v>
      </c>
      <c r="C3" s="3" t="s">
        <v>19</v>
      </c>
      <c r="D3" s="3" t="s">
        <v>41</v>
      </c>
      <c r="E3" s="3" t="s">
        <v>27</v>
      </c>
      <c r="F3" s="3" t="s">
        <v>39</v>
      </c>
      <c r="G3" s="3" t="s">
        <v>17</v>
      </c>
      <c r="H3" s="3" t="s">
        <v>25</v>
      </c>
      <c r="I3" s="3" t="s">
        <v>29</v>
      </c>
      <c r="J3" s="3" t="s">
        <v>23</v>
      </c>
      <c r="K3" s="3" t="s">
        <v>37</v>
      </c>
      <c r="L3" s="3" t="s">
        <v>47</v>
      </c>
      <c r="M3" s="3" t="s">
        <v>45</v>
      </c>
      <c r="N3" s="3" t="s">
        <v>43</v>
      </c>
      <c r="O3" s="3" t="s">
        <v>31</v>
      </c>
      <c r="P3" s="3" t="s">
        <v>33</v>
      </c>
      <c r="Q3" s="3" t="s">
        <v>21</v>
      </c>
      <c r="R3" s="3" t="s">
        <v>35</v>
      </c>
      <c r="S3" s="3" t="s">
        <v>237</v>
      </c>
      <c r="T3" s="3" t="s">
        <v>238</v>
      </c>
    </row>
    <row r="4" customFormat="false" ht="15" hidden="false" customHeight="false" outlineLevel="0" collapsed="false">
      <c r="A4" s="0" t="str">
        <f aca="false">Panel_Inputs!A4</f>
        <v>Access</v>
      </c>
      <c r="B4" s="0" t="n">
        <f aca="false">Panel_Inputs!B4</f>
        <v>2013</v>
      </c>
      <c r="C4" s="0" t="str">
        <f aca="false">IF(AND(ISNUMBER(Panel_Inputs!F4),ISNUMBER(Panel_Inputs!J4)),IF(AND(Panel_Inputs!F4&gt;0,Panel_Inputs!J4&gt;0),(Panel_Inputs!F4+Panel_Inputs!J4)/2,""),"")</f>
        <v/>
      </c>
      <c r="D4" s="0" t="str">
        <f aca="false">IF(AND(ISNUMBER(Panel_Inputs!E4),ISNUMBER(C4)),IF(C4&gt;0,100*Panel_Inputs!E4/C4,""),"")</f>
        <v/>
      </c>
      <c r="E4" s="0" t="n">
        <f aca="false">IF(AND(ISNUMBER(Panel_Inputs!H4),ISNUMBER(Panel_Inputs!F4)),IF(Panel_Inputs!F4&gt;0,100*Panel_Inputs!H4/Panel_Inputs!F4,""),"")</f>
        <v>14.3878211104236</v>
      </c>
      <c r="F4" s="0" t="str">
        <f aca="false">IF(AND(ISNUMBER(Panel_Inputs!I4),ISNUMBER(C4)),IF(C4&gt;0,100*Panel_Inputs!I4/C4,""),"")</f>
        <v/>
      </c>
      <c r="G4" s="0" t="str">
        <f aca="false">IF(AND(ISNUMBER(Panel_Inputs!L4),ISNUMBER(Panel_Inputs!K4)),IF(Panel_Inputs!K4&gt;0,100*Panel_Inputs!L4/Panel_Inputs!K4,""),"")</f>
        <v/>
      </c>
      <c r="H4" s="0" t="str">
        <f aca="false">IF(AND(ISNUMBER(Panel_Inputs!P4),ISNUMBER(Panel_Inputs!Q4)),IF(Panel_Inputs!Q4&gt;0,100*Panel_Inputs!P4/Panel_Inputs!Q4,""),"")</f>
        <v/>
      </c>
      <c r="I4" s="0" t="str">
        <f aca="false">IF(AND(ISNUMBER(Panel_Inputs!N4),ISNUMBER(C4)),IF(C4&gt;0,100*Panel_Inputs!N4/C4,""),"")</f>
        <v/>
      </c>
      <c r="J4" s="0" t="str">
        <f aca="false">IF(AND(ISNUMBER(Panel_Inputs!L4),ISNUMBER(Panel_Inputs!O4)),IF(Panel_Inputs!O4&gt;0,100*Panel_Inputs!L4/Panel_Inputs!O4,""),"")</f>
        <v/>
      </c>
      <c r="K4" s="0" t="str">
        <f aca="false">IF(AND(ISNUMBER(Panel_Inputs!O4),ISNUMBER(Panel_Inputs!K4)),IF(Panel_Inputs!K4&gt;0,100*Panel_Inputs!O4/Panel_Inputs!K4,""),"")</f>
        <v/>
      </c>
      <c r="L4" s="0" t="str">
        <f aca="false">IF(AND(ISNUMBER(Panel_Inputs!R4),ISNUMBER(Panel_Inputs!K4)),IF(Panel_Inputs!K4&gt;0,100*Panel_Inputs!R4/Panel_Inputs!K4,""),"")</f>
        <v/>
      </c>
      <c r="M4" s="0" t="str">
        <f aca="false">IF(AND(ISNUMBER(Panel_Inputs!S4),ISNUMBER(Panel_Inputs!R4)),IF(Panel_Inputs!R4&gt;0,100*Panel_Inputs!S4/Panel_Inputs!R4,""),"")</f>
        <v/>
      </c>
      <c r="N4" s="0" t="n">
        <f aca="false">IF(AND(ISNUMBER(Panel_Inputs!E4),ISNUMBER(Panel_Inputs!F4)),IF(Panel_Inputs!F4&gt;0,100*Panel_Inputs!E4/Panel_Inputs!F4,""),"")</f>
        <v>1.5381688929965</v>
      </c>
      <c r="O4" s="0" t="n">
        <f aca="false">IF(AND(ISNUMBER(Panel_Inputs!G4),ISNUMBER(Panel_Inputs!F4)),IF(Panel_Inputs!F4&gt;0,100*Panel_Inputs!G4/Panel_Inputs!F4,""),"")</f>
        <v>85.6121788895764</v>
      </c>
      <c r="P4" s="0" t="n">
        <f aca="false">IF(ISNUMBER(Panel_Inputs!F4),IF(Panel_Inputs!F4&gt;0,LN(Panel_Inputs!F4),""),"")</f>
        <v>14.348544156211</v>
      </c>
      <c r="Q4" s="0" t="n">
        <f aca="false">IF(AND(ISNUMBER(Panel_Inputs!F4),ISNUMBER(Panel_Inputs!G4),ISNUMBER(Panel_Inputs!H4)),Panel_Inputs!F4-Panel_Inputs!G4-Panel_Inputs!H4,"")</f>
        <v>0</v>
      </c>
      <c r="R4" s="0" t="str">
        <f aca="false">IF(AND(ISNUMBER(Panel_Inputs!K4),ISNUMBER(Panel_Inputs!L4),ISNUMBER(Panel_Inputs!M4)),Panel_Inputs!K4-Panel_Inputs!L4-Panel_Inputs!M4,"")</f>
        <v/>
      </c>
      <c r="S4" s="0" t="str">
        <f aca="false">IF(AND(ISNUMBER(Panel_Inputs!V4),Panel_Inputs!W4=1),Panel_Inputs!V4,"")</f>
        <v/>
      </c>
      <c r="T4" s="0" t="str">
        <f aca="false">IF(AND(ISNUMBER(Panel_Inputs!T4),ISNUMBER(Panel_Inputs!U4)),Panel_Inputs!T4-Panel_Inputs!U4,"")</f>
        <v/>
      </c>
    </row>
    <row r="5" customFormat="false" ht="15" hidden="false" customHeight="false" outlineLevel="0" collapsed="false">
      <c r="A5" s="0" t="str">
        <f aca="false">Panel_Inputs!A5</f>
        <v>Access</v>
      </c>
      <c r="B5" s="0" t="n">
        <f aca="false">Panel_Inputs!B5</f>
        <v>2014</v>
      </c>
      <c r="C5" s="0" t="n">
        <f aca="false">IF(AND(ISNUMBER(Panel_Inputs!F5),ISNUMBER(Panel_Inputs!J5)),IF(AND(Panel_Inputs!F5&gt;0,Panel_Inputs!J5&gt;0),(Panel_Inputs!F5+Panel_Inputs!J5)/2,""),"")</f>
        <v>1843024.871</v>
      </c>
      <c r="D5" s="0" t="n">
        <f aca="false">IF(AND(ISNUMBER(Panel_Inputs!E5),ISNUMBER(C5)),IF(C5&gt;0,100*Panel_Inputs!E5/C5,""),"")</f>
        <v>2.16715067867361</v>
      </c>
      <c r="E5" s="0" t="n">
        <f aca="false">IF(AND(ISNUMBER(Panel_Inputs!H5),ISNUMBER(Panel_Inputs!F5)),IF(Panel_Inputs!F5&gt;0,100*Panel_Inputs!H5/Panel_Inputs!F5,""),"")</f>
        <v>13.8325887329481</v>
      </c>
      <c r="F5" s="0" t="str">
        <f aca="false">IF(AND(ISNUMBER(Panel_Inputs!I5),ISNUMBER(C5)),IF(C5&gt;0,100*Panel_Inputs!I5/C5,""),"")</f>
        <v/>
      </c>
      <c r="G5" s="0" t="str">
        <f aca="false">IF(AND(ISNUMBER(Panel_Inputs!L5),ISNUMBER(Panel_Inputs!K5)),IF(Panel_Inputs!K5&gt;0,100*Panel_Inputs!L5/Panel_Inputs!K5,""),"")</f>
        <v/>
      </c>
      <c r="H5" s="0" t="str">
        <f aca="false">IF(AND(ISNUMBER(Panel_Inputs!P5),ISNUMBER(Panel_Inputs!Q5)),IF(Panel_Inputs!Q5&gt;0,100*Panel_Inputs!P5/Panel_Inputs!Q5,""),"")</f>
        <v/>
      </c>
      <c r="I5" s="0" t="n">
        <f aca="false">IF(AND(ISNUMBER(Panel_Inputs!N5),ISNUMBER(C5)),IF(C5&gt;0,100*Panel_Inputs!N5/C5,""),"")</f>
        <v>0.575646057030339</v>
      </c>
      <c r="J5" s="0" t="str">
        <f aca="false">IF(AND(ISNUMBER(Panel_Inputs!L5),ISNUMBER(Panel_Inputs!O5)),IF(Panel_Inputs!O5&gt;0,100*Panel_Inputs!L5/Panel_Inputs!O5,""),"")</f>
        <v/>
      </c>
      <c r="K5" s="0" t="str">
        <f aca="false">IF(AND(ISNUMBER(Panel_Inputs!O5),ISNUMBER(Panel_Inputs!K5)),IF(Panel_Inputs!K5&gt;0,100*Panel_Inputs!O5/Panel_Inputs!K5,""),"")</f>
        <v/>
      </c>
      <c r="L5" s="0" t="str">
        <f aca="false">IF(AND(ISNUMBER(Panel_Inputs!R5),ISNUMBER(Panel_Inputs!K5)),IF(Panel_Inputs!K5&gt;0,100*Panel_Inputs!R5/Panel_Inputs!K5,""),"")</f>
        <v/>
      </c>
      <c r="M5" s="0" t="str">
        <f aca="false">IF(AND(ISNUMBER(Panel_Inputs!S5),ISNUMBER(Panel_Inputs!R5)),IF(Panel_Inputs!R5&gt;0,100*Panel_Inputs!S5/Panel_Inputs!R5,""),"")</f>
        <v/>
      </c>
      <c r="N5" s="0" t="n">
        <f aca="false">IF(AND(ISNUMBER(Panel_Inputs!E5),ISNUMBER(Panel_Inputs!F5)),IF(Panel_Inputs!F5&gt;0,100*Panel_Inputs!E5/Panel_Inputs!F5,""),"")</f>
        <v>2.01523804974191</v>
      </c>
      <c r="O5" s="0" t="n">
        <f aca="false">IF(AND(ISNUMBER(Panel_Inputs!G5),ISNUMBER(Panel_Inputs!F5)),IF(Panel_Inputs!F5&gt;0,100*Panel_Inputs!G5/Panel_Inputs!F5,""),"")</f>
        <v>86.1674112165966</v>
      </c>
      <c r="P5" s="0" t="n">
        <f aca="false">IF(ISNUMBER(Panel_Inputs!F5),IF(Panel_Inputs!F5&gt;0,LN(Panel_Inputs!F5),""),"")</f>
        <v>14.4995946575984</v>
      </c>
      <c r="Q5" s="0" t="n">
        <f aca="false">IF(AND(ISNUMBER(Panel_Inputs!F5),ISNUMBER(Panel_Inputs!G5),ISNUMBER(Panel_Inputs!H5)),Panel_Inputs!F5-Panel_Inputs!G5-Panel_Inputs!H5,"")</f>
        <v>0.00100000010570511</v>
      </c>
      <c r="R5" s="0" t="str">
        <f aca="false">IF(AND(ISNUMBER(Panel_Inputs!K5),ISNUMBER(Panel_Inputs!L5),ISNUMBER(Panel_Inputs!M5)),Panel_Inputs!K5-Panel_Inputs!L5-Panel_Inputs!M5,"")</f>
        <v/>
      </c>
      <c r="S5" s="0" t="str">
        <f aca="false">IF(AND(ISNUMBER(Panel_Inputs!V5),Panel_Inputs!W5=1),Panel_Inputs!V5,"")</f>
        <v/>
      </c>
      <c r="T5" s="0" t="str">
        <f aca="false">IF(AND(ISNUMBER(Panel_Inputs!T5),ISNUMBER(Panel_Inputs!U5)),Panel_Inputs!T5-Panel_Inputs!U5,"")</f>
        <v/>
      </c>
    </row>
    <row r="6" customFormat="false" ht="15" hidden="false" customHeight="false" outlineLevel="0" collapsed="false">
      <c r="A6" s="0" t="str">
        <f aca="false">Panel_Inputs!A6</f>
        <v>Access</v>
      </c>
      <c r="B6" s="0" t="n">
        <f aca="false">Panel_Inputs!B6</f>
        <v>2015</v>
      </c>
      <c r="C6" s="0" t="n">
        <f aca="false">IF(AND(ISNUMBER(Panel_Inputs!F6),ISNUMBER(Panel_Inputs!J6)),IF(AND(Panel_Inputs!F6&gt;0,Panel_Inputs!J6&gt;0),(Panel_Inputs!F6+Panel_Inputs!J6)/2,""),"")</f>
        <v>2196949.8955</v>
      </c>
      <c r="D6" s="0" t="n">
        <f aca="false">IF(AND(ISNUMBER(Panel_Inputs!E6),ISNUMBER(C6)),IF(C6&gt;0,100*Panel_Inputs!E6/C6,""),"")</f>
        <v>2.68211601551293</v>
      </c>
      <c r="E6" s="0" t="n">
        <f aca="false">IF(AND(ISNUMBER(Panel_Inputs!H6),ISNUMBER(Panel_Inputs!F6)),IF(Panel_Inputs!F6&gt;0,100*Panel_Inputs!H6/Panel_Inputs!F6,""),"")</f>
        <v>14.9435017929298</v>
      </c>
      <c r="F6" s="0" t="n">
        <f aca="false">IF(AND(ISNUMBER(Panel_Inputs!I6),ISNUMBER(C6)),IF(C6&gt;0,100*Panel_Inputs!I6/C6,""),"")</f>
        <v>-8.24992019031688</v>
      </c>
      <c r="G6" s="0" t="n">
        <f aca="false">IF(AND(ISNUMBER(Panel_Inputs!L6),ISNUMBER(Panel_Inputs!K6)),IF(Panel_Inputs!K6&gt;0,100*Panel_Inputs!L6/Panel_Inputs!K6,""),"")</f>
        <v>2.11838672818763</v>
      </c>
      <c r="H6" s="0" t="n">
        <f aca="false">IF(AND(ISNUMBER(Panel_Inputs!P6),ISNUMBER(Panel_Inputs!Q6)),IF(Panel_Inputs!Q6&gt;0,100*Panel_Inputs!P6/Panel_Inputs!Q6,""),"")</f>
        <v>18.0397860803325</v>
      </c>
      <c r="I6" s="0" t="n">
        <f aca="false">IF(AND(ISNUMBER(Panel_Inputs!N6),ISNUMBER(C6)),IF(C6&gt;0,100*Panel_Inputs!N6/C6,""),"")</f>
        <v>0.604820939577045</v>
      </c>
      <c r="J6" s="0" t="str">
        <f aca="false">IF(AND(ISNUMBER(Panel_Inputs!L6),ISNUMBER(Panel_Inputs!O6)),IF(Panel_Inputs!O6&gt;0,100*Panel_Inputs!L6/Panel_Inputs!O6,""),"")</f>
        <v/>
      </c>
      <c r="K6" s="0" t="str">
        <f aca="false">IF(AND(ISNUMBER(Panel_Inputs!O6),ISNUMBER(Panel_Inputs!K6)),IF(Panel_Inputs!K6&gt;0,100*Panel_Inputs!O6/Panel_Inputs!K6,""),"")</f>
        <v/>
      </c>
      <c r="L6" s="0" t="str">
        <f aca="false">IF(AND(ISNUMBER(Panel_Inputs!R6),ISNUMBER(Panel_Inputs!K6)),IF(Panel_Inputs!K6&gt;0,100*Panel_Inputs!R6/Panel_Inputs!K6,""),"")</f>
        <v/>
      </c>
      <c r="M6" s="0" t="str">
        <f aca="false">IF(AND(ISNUMBER(Panel_Inputs!S6),ISNUMBER(Panel_Inputs!R6)),IF(Panel_Inputs!R6&gt;0,100*Panel_Inputs!S6/Panel_Inputs!R6,""),"")</f>
        <v/>
      </c>
      <c r="N6" s="0" t="n">
        <f aca="false">IF(AND(ISNUMBER(Panel_Inputs!E6),ISNUMBER(Panel_Inputs!F6)),IF(Panel_Inputs!F6&gt;0,100*Panel_Inputs!E6/Panel_Inputs!F6,""),"")</f>
        <v>2.44303945322719</v>
      </c>
      <c r="O6" s="0" t="n">
        <f aca="false">IF(AND(ISNUMBER(Panel_Inputs!G6),ISNUMBER(Panel_Inputs!F6)),IF(Panel_Inputs!F6&gt;0,100*Panel_Inputs!G6/Panel_Inputs!F6,""),"")</f>
        <v>85.0564982070701</v>
      </c>
      <c r="P6" s="0" t="n">
        <f aca="false">IF(ISNUMBER(Panel_Inputs!F6),IF(Panel_Inputs!F6&gt;0,LN(Panel_Inputs!F6),""),"")</f>
        <v>14.6959436446034</v>
      </c>
      <c r="Q6" s="0" t="n">
        <f aca="false">IF(AND(ISNUMBER(Panel_Inputs!F6),ISNUMBER(Panel_Inputs!G6),ISNUMBER(Panel_Inputs!H6)),Panel_Inputs!F6-Panel_Inputs!G6-Panel_Inputs!H6,"")</f>
        <v>0</v>
      </c>
      <c r="R6" s="0" t="n">
        <f aca="false">IF(AND(ISNUMBER(Panel_Inputs!K6),ISNUMBER(Panel_Inputs!L6),ISNUMBER(Panel_Inputs!M6)),Panel_Inputs!K6-Panel_Inputs!L6-Panel_Inputs!M6,"")</f>
        <v>0</v>
      </c>
      <c r="S6" s="0" t="str">
        <f aca="false">IF(AND(ISNUMBER(Panel_Inputs!V6),Panel_Inputs!W6=1),Panel_Inputs!V6,"")</f>
        <v/>
      </c>
      <c r="T6" s="0" t="n">
        <f aca="false">IF(AND(ISNUMBER(Panel_Inputs!T6),ISNUMBER(Panel_Inputs!U6)),Panel_Inputs!T6-Panel_Inputs!U6,"")</f>
        <v>2</v>
      </c>
    </row>
    <row r="7" customFormat="false" ht="15" hidden="false" customHeight="false" outlineLevel="0" collapsed="false">
      <c r="A7" s="0" t="str">
        <f aca="false">Panel_Inputs!A7</f>
        <v>Access</v>
      </c>
      <c r="B7" s="0" t="n">
        <f aca="false">Panel_Inputs!B7</f>
        <v>2016</v>
      </c>
      <c r="C7" s="0" t="n">
        <f aca="false">IF(AND(ISNUMBER(Panel_Inputs!F7),ISNUMBER(Panel_Inputs!J7)),IF(AND(Panel_Inputs!F7&gt;0,Panel_Inputs!J7&gt;0),(Panel_Inputs!F7+Panel_Inputs!J7)/2,""),"")</f>
        <v>2753452.288</v>
      </c>
      <c r="D7" s="0" t="n">
        <f aca="false">IF(AND(ISNUMBER(Panel_Inputs!E7),ISNUMBER(C7)),IF(C7&gt;0,100*Panel_Inputs!E7/C7,""),"")</f>
        <v>2.32530395674683</v>
      </c>
      <c r="E7" s="0" t="n">
        <f aca="false">IF(AND(ISNUMBER(Panel_Inputs!H7),ISNUMBER(Panel_Inputs!F7)),IF(Panel_Inputs!F7&gt;0,100*Panel_Inputs!H7/Panel_Inputs!F7,""),"")</f>
        <v>13.6246849662959</v>
      </c>
      <c r="F7" s="0" t="n">
        <f aca="false">IF(AND(ISNUMBER(Panel_Inputs!I7),ISNUMBER(C7)),IF(C7&gt;0,100*Panel_Inputs!I7/C7,""),"")</f>
        <v>-4.508361359338</v>
      </c>
      <c r="G7" s="0" t="n">
        <f aca="false">IF(AND(ISNUMBER(Panel_Inputs!L7),ISNUMBER(Panel_Inputs!K7)),IF(Panel_Inputs!K7&gt;0,100*Panel_Inputs!L7/Panel_Inputs!K7,""),"")</f>
        <v>1.86329447164857</v>
      </c>
      <c r="H7" s="0" t="n">
        <f aca="false">IF(AND(ISNUMBER(Panel_Inputs!P7),ISNUMBER(Panel_Inputs!Q7)),IF(Panel_Inputs!Q7&gt;0,100*Panel_Inputs!P7/Panel_Inputs!Q7,""),"")</f>
        <v>19.5545712891104</v>
      </c>
      <c r="I7" s="0" t="n">
        <f aca="false">IF(AND(ISNUMBER(Panel_Inputs!N7),ISNUMBER(C7)),IF(C7&gt;0,100*Panel_Inputs!N7/C7,""),"")</f>
        <v>0.640691217962372</v>
      </c>
      <c r="J7" s="0" t="str">
        <f aca="false">IF(AND(ISNUMBER(Panel_Inputs!L7),ISNUMBER(Panel_Inputs!O7)),IF(Panel_Inputs!O7&gt;0,100*Panel_Inputs!L7/Panel_Inputs!O7,""),"")</f>
        <v/>
      </c>
      <c r="K7" s="0" t="str">
        <f aca="false">IF(AND(ISNUMBER(Panel_Inputs!O7),ISNUMBER(Panel_Inputs!K7)),IF(Panel_Inputs!K7&gt;0,100*Panel_Inputs!O7/Panel_Inputs!K7,""),"")</f>
        <v/>
      </c>
      <c r="L7" s="0" t="str">
        <f aca="false">IF(AND(ISNUMBER(Panel_Inputs!R7),ISNUMBER(Panel_Inputs!K7)),IF(Panel_Inputs!K7&gt;0,100*Panel_Inputs!R7/Panel_Inputs!K7,""),"")</f>
        <v/>
      </c>
      <c r="M7" s="0" t="str">
        <f aca="false">IF(AND(ISNUMBER(Panel_Inputs!S7),ISNUMBER(Panel_Inputs!R7)),IF(Panel_Inputs!R7&gt;0,100*Panel_Inputs!S7/Panel_Inputs!R7,""),"")</f>
        <v/>
      </c>
      <c r="N7" s="0" t="n">
        <f aca="false">IF(AND(ISNUMBER(Panel_Inputs!E7),ISNUMBER(Panel_Inputs!F7)),IF(Panel_Inputs!F7&gt;0,100*Panel_Inputs!E7/Panel_Inputs!F7,""),"")</f>
        <v>2.06872219175953</v>
      </c>
      <c r="O7" s="0" t="n">
        <f aca="false">IF(AND(ISNUMBER(Panel_Inputs!G7),ISNUMBER(Panel_Inputs!F7)),IF(Panel_Inputs!F7&gt;0,100*Panel_Inputs!G7/Panel_Inputs!F7,""),"")</f>
        <v>86.3753150337041</v>
      </c>
      <c r="P7" s="0" t="n">
        <f aca="false">IF(ISNUMBER(Panel_Inputs!F7),IF(Panel_Inputs!F7&gt;0,LN(Panel_Inputs!F7),""),"")</f>
        <v>14.9452857063458</v>
      </c>
      <c r="Q7" s="0" t="n">
        <f aca="false">IF(AND(ISNUMBER(Panel_Inputs!F7),ISNUMBER(Panel_Inputs!G7),ISNUMBER(Panel_Inputs!H7)),Panel_Inputs!F7-Panel_Inputs!G7-Panel_Inputs!H7,"")</f>
        <v>0</v>
      </c>
      <c r="R7" s="0" t="n">
        <f aca="false">IF(AND(ISNUMBER(Panel_Inputs!K7),ISNUMBER(Panel_Inputs!L7),ISNUMBER(Panel_Inputs!M7)),Panel_Inputs!K7-Panel_Inputs!L7-Panel_Inputs!M7,"")</f>
        <v>0</v>
      </c>
      <c r="S7" s="0" t="str">
        <f aca="false">IF(AND(ISNUMBER(Panel_Inputs!V7),Panel_Inputs!W7=1),Panel_Inputs!V7,"")</f>
        <v/>
      </c>
      <c r="T7" s="0" t="n">
        <f aca="false">IF(AND(ISNUMBER(Panel_Inputs!T7),ISNUMBER(Panel_Inputs!U7)),Panel_Inputs!T7-Panel_Inputs!U7,"")</f>
        <v>3.55</v>
      </c>
    </row>
    <row r="8" customFormat="false" ht="15" hidden="false" customHeight="false" outlineLevel="0" collapsed="false">
      <c r="A8" s="0" t="str">
        <f aca="false">Panel_Inputs!A8</f>
        <v>Access</v>
      </c>
      <c r="B8" s="0" t="n">
        <f aca="false">Panel_Inputs!B8</f>
        <v>2017</v>
      </c>
      <c r="C8" s="0" t="n">
        <f aca="false">IF(AND(ISNUMBER(Panel_Inputs!F8),ISNUMBER(Panel_Inputs!J8)),IF(AND(Panel_Inputs!F8&gt;0,Panel_Inputs!J8&gt;0),(Panel_Inputs!F8+Panel_Inputs!J8)/2,""),"")</f>
        <v>3297322.247</v>
      </c>
      <c r="D8" s="0" t="n">
        <f aca="false">IF(AND(ISNUMBER(Panel_Inputs!E8),ISNUMBER(C8)),IF(C8&gt;0,100*Panel_Inputs!E8/C8,""),"")</f>
        <v>1.61460779420144</v>
      </c>
      <c r="E8" s="0" t="n">
        <f aca="false">IF(AND(ISNUMBER(Panel_Inputs!H8),ISNUMBER(Panel_Inputs!F8)),IF(Panel_Inputs!F8&gt;0,100*Panel_Inputs!H8/Panel_Inputs!F8,""),"")</f>
        <v>13.4152426281116</v>
      </c>
      <c r="F8" s="0" t="n">
        <f aca="false">IF(AND(ISNUMBER(Panel_Inputs!I8),ISNUMBER(C8)),IF(C8&gt;0,100*Panel_Inputs!I8/C8,""),"")</f>
        <v>3.16501312830283</v>
      </c>
      <c r="G8" s="0" t="n">
        <f aca="false">IF(AND(ISNUMBER(Panel_Inputs!L8),ISNUMBER(Panel_Inputs!K8)),IF(Panel_Inputs!K8&gt;0,100*Panel_Inputs!L8/Panel_Inputs!K8,""),"")</f>
        <v>3.08000985394754</v>
      </c>
      <c r="H8" s="0" t="n">
        <f aca="false">IF(AND(ISNUMBER(Panel_Inputs!P8),ISNUMBER(Panel_Inputs!Q8)),IF(Panel_Inputs!Q8&gt;0,100*Panel_Inputs!P8/Panel_Inputs!Q8,""),"")</f>
        <v>18.1752021587668</v>
      </c>
      <c r="I8" s="0" t="n">
        <f aca="false">IF(AND(ISNUMBER(Panel_Inputs!N8),ISNUMBER(C8)),IF(C8&gt;0,100*Panel_Inputs!N8/C8,""),"")</f>
        <v>0.884046108217703</v>
      </c>
      <c r="J8" s="0" t="str">
        <f aca="false">IF(AND(ISNUMBER(Panel_Inputs!L8),ISNUMBER(Panel_Inputs!O8)),IF(Panel_Inputs!O8&gt;0,100*Panel_Inputs!L8/Panel_Inputs!O8,""),"")</f>
        <v/>
      </c>
      <c r="K8" s="0" t="str">
        <f aca="false">IF(AND(ISNUMBER(Panel_Inputs!O8),ISNUMBER(Panel_Inputs!K8)),IF(Panel_Inputs!K8&gt;0,100*Panel_Inputs!O8/Panel_Inputs!K8,""),"")</f>
        <v/>
      </c>
      <c r="L8" s="0" t="str">
        <f aca="false">IF(AND(ISNUMBER(Panel_Inputs!R8),ISNUMBER(Panel_Inputs!K8)),IF(Panel_Inputs!K8&gt;0,100*Panel_Inputs!R8/Panel_Inputs!K8,""),"")</f>
        <v/>
      </c>
      <c r="M8" s="0" t="str">
        <f aca="false">IF(AND(ISNUMBER(Panel_Inputs!S8),ISNUMBER(Panel_Inputs!R8)),IF(Panel_Inputs!R8&gt;0,100*Panel_Inputs!S8/Panel_Inputs!R8,""),"")</f>
        <v/>
      </c>
      <c r="N8" s="0" t="n">
        <f aca="false">IF(AND(ISNUMBER(Panel_Inputs!E8),ISNUMBER(Panel_Inputs!F8)),IF(Panel_Inputs!F8&gt;0,100*Panel_Inputs!E8/Panel_Inputs!F8,""),"")</f>
        <v>1.52124655595939</v>
      </c>
      <c r="O8" s="0" t="n">
        <f aca="false">IF(AND(ISNUMBER(Panel_Inputs!G8),ISNUMBER(Panel_Inputs!F8)),IF(Panel_Inputs!F8&gt;0,100*Panel_Inputs!G8/Panel_Inputs!F8,""),"")</f>
        <v>86.5847573718884</v>
      </c>
      <c r="P8" s="0" t="n">
        <f aca="false">IF(ISNUMBER(Panel_Inputs!F8),IF(Panel_Inputs!F8&gt;0,LN(Panel_Inputs!F8),""),"")</f>
        <v>15.0681832306688</v>
      </c>
      <c r="Q8" s="0" t="n">
        <f aca="false">IF(AND(ISNUMBER(Panel_Inputs!F8),ISNUMBER(Panel_Inputs!G8),ISNUMBER(Panel_Inputs!H8)),Panel_Inputs!F8-Panel_Inputs!G8-Panel_Inputs!H8,"")</f>
        <v>0</v>
      </c>
      <c r="R8" s="0" t="n">
        <f aca="false">IF(AND(ISNUMBER(Panel_Inputs!K8),ISNUMBER(Panel_Inputs!L8),ISNUMBER(Panel_Inputs!M8)),Panel_Inputs!K8-Panel_Inputs!L8-Panel_Inputs!M8,"")</f>
        <v>-0.00100000016391277</v>
      </c>
      <c r="S8" s="0" t="str">
        <f aca="false">IF(AND(ISNUMBER(Panel_Inputs!V8),Panel_Inputs!W8=1),Panel_Inputs!V8,"")</f>
        <v/>
      </c>
      <c r="T8" s="0" t="n">
        <f aca="false">IF(AND(ISNUMBER(Panel_Inputs!T8),ISNUMBER(Panel_Inputs!U8)),Panel_Inputs!T8-Panel_Inputs!U8,"")</f>
        <v>2.18</v>
      </c>
    </row>
    <row r="9" customFormat="false" ht="15" hidden="false" customHeight="false" outlineLevel="0" collapsed="false">
      <c r="A9" s="0" t="str">
        <f aca="false">Panel_Inputs!A9</f>
        <v>Access</v>
      </c>
      <c r="B9" s="0" t="n">
        <f aca="false">Panel_Inputs!B9</f>
        <v>2018</v>
      </c>
      <c r="C9" s="0" t="str">
        <f aca="false">IF(AND(ISNUMBER(Panel_Inputs!F9),ISNUMBER(Panel_Inputs!J9)),IF(AND(Panel_Inputs!F9&gt;0,Panel_Inputs!J9&gt;0),(Panel_Inputs!F9+Panel_Inputs!J9)/2,""),"")</f>
        <v/>
      </c>
      <c r="D9" s="0" t="str">
        <f aca="false">IF(AND(ISNUMBER(Panel_Inputs!E9),ISNUMBER(C9)),IF(C9&gt;0,100*Panel_Inputs!E9/C9,""),"")</f>
        <v/>
      </c>
      <c r="E9" s="0" t="n">
        <f aca="false">IF(AND(ISNUMBER(Panel_Inputs!H9),ISNUMBER(Panel_Inputs!F9)),IF(Panel_Inputs!F9&gt;0,100*Panel_Inputs!H9/Panel_Inputs!F9,""),"")</f>
        <v>11.1085439921577</v>
      </c>
      <c r="F9" s="0" t="str">
        <f aca="false">IF(AND(ISNUMBER(Panel_Inputs!I9),ISNUMBER(C9)),IF(C9&gt;0,100*Panel_Inputs!I9/C9,""),"")</f>
        <v/>
      </c>
      <c r="G9" s="0" t="str">
        <f aca="false">IF(AND(ISNUMBER(Panel_Inputs!L9),ISNUMBER(Panel_Inputs!K9)),IF(Panel_Inputs!K9&gt;0,100*Panel_Inputs!L9/Panel_Inputs!K9,""),"")</f>
        <v/>
      </c>
      <c r="H9" s="0" t="str">
        <f aca="false">IF(AND(ISNUMBER(Panel_Inputs!P9),ISNUMBER(Panel_Inputs!Q9)),IF(Panel_Inputs!Q9&gt;0,100*Panel_Inputs!P9/Panel_Inputs!Q9,""),"")</f>
        <v/>
      </c>
      <c r="I9" s="0" t="str">
        <f aca="false">IF(AND(ISNUMBER(Panel_Inputs!N9),ISNUMBER(C9)),IF(C9&gt;0,100*Panel_Inputs!N9/C9,""),"")</f>
        <v/>
      </c>
      <c r="J9" s="0" t="str">
        <f aca="false">IF(AND(ISNUMBER(Panel_Inputs!L9),ISNUMBER(Panel_Inputs!O9)),IF(Panel_Inputs!O9&gt;0,100*Panel_Inputs!L9/Panel_Inputs!O9,""),"")</f>
        <v/>
      </c>
      <c r="K9" s="0" t="str">
        <f aca="false">IF(AND(ISNUMBER(Panel_Inputs!O9),ISNUMBER(Panel_Inputs!K9)),IF(Panel_Inputs!K9&gt;0,100*Panel_Inputs!O9/Panel_Inputs!K9,""),"")</f>
        <v/>
      </c>
      <c r="L9" s="0" t="str">
        <f aca="false">IF(AND(ISNUMBER(Panel_Inputs!R9),ISNUMBER(Panel_Inputs!K9)),IF(Panel_Inputs!K9&gt;0,100*Panel_Inputs!R9/Panel_Inputs!K9,""),"")</f>
        <v/>
      </c>
      <c r="M9" s="0" t="str">
        <f aca="false">IF(AND(ISNUMBER(Panel_Inputs!S9),ISNUMBER(Panel_Inputs!R9)),IF(Panel_Inputs!R9&gt;0,100*Panel_Inputs!S9/Panel_Inputs!R9,""),"")</f>
        <v/>
      </c>
      <c r="N9" s="0" t="n">
        <f aca="false">IF(AND(ISNUMBER(Panel_Inputs!E9),ISNUMBER(Panel_Inputs!F9)),IF(Panel_Inputs!F9&gt;0,100*Panel_Inputs!E9/Panel_Inputs!F9,""),"")</f>
        <v>1.85469176805221</v>
      </c>
      <c r="O9" s="0" t="n">
        <f aca="false">IF(AND(ISNUMBER(Panel_Inputs!G9),ISNUMBER(Panel_Inputs!F9)),IF(Panel_Inputs!F9&gt;0,100*Panel_Inputs!G9/Panel_Inputs!F9,""),"")</f>
        <v>88.8914560078423</v>
      </c>
      <c r="P9" s="0" t="n">
        <f aca="false">IF(ISNUMBER(Panel_Inputs!F9),IF(Panel_Inputs!F9&gt;0,LN(Panel_Inputs!F9),""),"")</f>
        <v>15.1938016302863</v>
      </c>
      <c r="Q9" s="0" t="n">
        <f aca="false">IF(AND(ISNUMBER(Panel_Inputs!F9),ISNUMBER(Panel_Inputs!G9),ISNUMBER(Panel_Inputs!H9)),Panel_Inputs!F9-Panel_Inputs!G9-Panel_Inputs!H9,"")</f>
        <v>0</v>
      </c>
      <c r="R9" s="0" t="str">
        <f aca="false">IF(AND(ISNUMBER(Panel_Inputs!K9),ISNUMBER(Panel_Inputs!L9),ISNUMBER(Panel_Inputs!M9)),Panel_Inputs!K9-Panel_Inputs!L9-Panel_Inputs!M9,"")</f>
        <v/>
      </c>
      <c r="S9" s="0" t="str">
        <f aca="false">IF(AND(ISNUMBER(Panel_Inputs!V9),Panel_Inputs!W9=1),Panel_Inputs!V9,"")</f>
        <v/>
      </c>
      <c r="T9" s="0" t="str">
        <f aca="false">IF(AND(ISNUMBER(Panel_Inputs!T9),ISNUMBER(Panel_Inputs!U9)),Panel_Inputs!T9-Panel_Inputs!U9,"")</f>
        <v/>
      </c>
    </row>
    <row r="10" customFormat="false" ht="15" hidden="false" customHeight="false" outlineLevel="0" collapsed="false">
      <c r="A10" s="0" t="str">
        <f aca="false">Panel_Inputs!A10</f>
        <v>Access</v>
      </c>
      <c r="B10" s="0" t="n">
        <f aca="false">Panel_Inputs!B10</f>
        <v>2019</v>
      </c>
      <c r="C10" s="0" t="n">
        <f aca="false">IF(AND(ISNUMBER(Panel_Inputs!F10),ISNUMBER(Panel_Inputs!J10)),IF(AND(Panel_Inputs!F10&gt;0,Panel_Inputs!J10&gt;0),(Panel_Inputs!F10+Panel_Inputs!J10)/2,""),"")</f>
        <v>5139577.9455</v>
      </c>
      <c r="D10" s="0" t="n">
        <f aca="false">IF(AND(ISNUMBER(Panel_Inputs!E10),ISNUMBER(C10)),IF(C10&gt;0,100*Panel_Inputs!E10/C10,""),"")</f>
        <v>1.43142208913115</v>
      </c>
      <c r="E10" s="0" t="n">
        <f aca="false">IF(AND(ISNUMBER(Panel_Inputs!H10),ISNUMBER(Panel_Inputs!F10)),IF(Panel_Inputs!F10&gt;0,100*Panel_Inputs!H10/Panel_Inputs!F10,""),"")</f>
        <v>8.60303515282884</v>
      </c>
      <c r="F10" s="0" t="n">
        <f aca="false">IF(AND(ISNUMBER(Panel_Inputs!I10),ISNUMBER(C10)),IF(C10&gt;0,100*Panel_Inputs!I10/C10,""),"")</f>
        <v>21.2969484383122</v>
      </c>
      <c r="G10" s="0" t="n">
        <f aca="false">IF(AND(ISNUMBER(Panel_Inputs!L10),ISNUMBER(Panel_Inputs!K10)),IF(Panel_Inputs!K10&gt;0,100*Panel_Inputs!L10/Panel_Inputs!K10,""),"")</f>
        <v>6.79778597833679</v>
      </c>
      <c r="H10" s="0" t="str">
        <f aca="false">IF(AND(ISNUMBER(Panel_Inputs!P10),ISNUMBER(Panel_Inputs!Q10)),IF(Panel_Inputs!Q10&gt;0,100*Panel_Inputs!P10/Panel_Inputs!Q10,""),"")</f>
        <v/>
      </c>
      <c r="I10" s="0" t="n">
        <f aca="false">IF(AND(ISNUMBER(Panel_Inputs!N10),ISNUMBER(C10)),IF(C10&gt;0,100*Panel_Inputs!N10/C10,""),"")</f>
        <v>0.409673308261339</v>
      </c>
      <c r="J10" s="0" t="str">
        <f aca="false">IF(AND(ISNUMBER(Panel_Inputs!L10),ISNUMBER(Panel_Inputs!O10)),IF(Panel_Inputs!O10&gt;0,100*Panel_Inputs!L10/Panel_Inputs!O10,""),"")</f>
        <v/>
      </c>
      <c r="K10" s="0" t="str">
        <f aca="false">IF(AND(ISNUMBER(Panel_Inputs!O10),ISNUMBER(Panel_Inputs!K10)),IF(Panel_Inputs!K10&gt;0,100*Panel_Inputs!O10/Panel_Inputs!K10,""),"")</f>
        <v/>
      </c>
      <c r="L10" s="0" t="str">
        <f aca="false">IF(AND(ISNUMBER(Panel_Inputs!R10),ISNUMBER(Panel_Inputs!K10)),IF(Panel_Inputs!K10&gt;0,100*Panel_Inputs!R10/Panel_Inputs!K10,""),"")</f>
        <v/>
      </c>
      <c r="M10" s="0" t="str">
        <f aca="false">IF(AND(ISNUMBER(Panel_Inputs!S10),ISNUMBER(Panel_Inputs!R10)),IF(Panel_Inputs!R10&gt;0,100*Panel_Inputs!S10/Panel_Inputs!R10,""),"")</f>
        <v/>
      </c>
      <c r="N10" s="0" t="n">
        <f aca="false">IF(AND(ISNUMBER(Panel_Inputs!E10),ISNUMBER(Panel_Inputs!F10)),IF(Panel_Inputs!F10&gt;0,100*Panel_Inputs!E10/Panel_Inputs!F10,""),"")</f>
        <v>1.16571973962252</v>
      </c>
      <c r="O10" s="0" t="n">
        <f aca="false">IF(AND(ISNUMBER(Panel_Inputs!G10),ISNUMBER(Panel_Inputs!F10)),IF(Panel_Inputs!F10&gt;0,100*Panel_Inputs!G10/Panel_Inputs!F10,""),"")</f>
        <v>91.3969648471712</v>
      </c>
      <c r="P10" s="0" t="n">
        <f aca="false">IF(ISNUMBER(Panel_Inputs!F10),IF(Panel_Inputs!F10&gt;0,LN(Panel_Inputs!F10),""),"")</f>
        <v>15.6578112418221</v>
      </c>
      <c r="Q10" s="0" t="n">
        <f aca="false">IF(AND(ISNUMBER(Panel_Inputs!F10),ISNUMBER(Panel_Inputs!G10),ISNUMBER(Panel_Inputs!H10)),Panel_Inputs!F10-Panel_Inputs!G10-Panel_Inputs!H10,"")</f>
        <v>0</v>
      </c>
      <c r="R10" s="0" t="n">
        <f aca="false">IF(AND(ISNUMBER(Panel_Inputs!K10),ISNUMBER(Panel_Inputs!L10),ISNUMBER(Panel_Inputs!M10)),Panel_Inputs!K10-Panel_Inputs!L10-Panel_Inputs!M10,"")</f>
        <v>-0.00100000016391277</v>
      </c>
      <c r="S10" s="0" t="str">
        <f aca="false">IF(AND(ISNUMBER(Panel_Inputs!V10),Panel_Inputs!W10=1),Panel_Inputs!V10,"")</f>
        <v/>
      </c>
      <c r="T10" s="0" t="str">
        <f aca="false">IF(AND(ISNUMBER(Panel_Inputs!T10),ISNUMBER(Panel_Inputs!U10)),Panel_Inputs!T10-Panel_Inputs!U10,"")</f>
        <v/>
      </c>
    </row>
    <row r="11" customFormat="false" ht="15" hidden="false" customHeight="false" outlineLevel="0" collapsed="false">
      <c r="A11" s="0" t="str">
        <f aca="false">Panel_Inputs!A11</f>
        <v>Access</v>
      </c>
      <c r="B11" s="0" t="n">
        <f aca="false">Panel_Inputs!B11</f>
        <v>2020</v>
      </c>
      <c r="C11" s="0" t="n">
        <f aca="false">IF(AND(ISNUMBER(Panel_Inputs!F11),ISNUMBER(Panel_Inputs!J11)),IF(AND(Panel_Inputs!F11&gt;0,Panel_Inputs!J11&gt;0),(Panel_Inputs!F11+Panel_Inputs!J11)/2,""),"")</f>
        <v>6966283.97</v>
      </c>
      <c r="D11" s="0" t="n">
        <f aca="false">IF(AND(ISNUMBER(Panel_Inputs!E11),ISNUMBER(C11)),IF(C11&gt;0,100*Panel_Inputs!E11/C11,""),"")</f>
        <v>1.14895299049947</v>
      </c>
      <c r="E11" s="0" t="n">
        <f aca="false">IF(AND(ISNUMBER(Panel_Inputs!H11),ISNUMBER(Panel_Inputs!F11)),IF(Panel_Inputs!F11&gt;0,100*Panel_Inputs!H11/Panel_Inputs!F11,""),"")</f>
        <v>8.57570360406115</v>
      </c>
      <c r="F11" s="0" t="n">
        <f aca="false">IF(AND(ISNUMBER(Panel_Inputs!I11),ISNUMBER(C11)),IF(C11&gt;0,100*Panel_Inputs!I11/C11,""),"")</f>
        <v>-0.938912141418203</v>
      </c>
      <c r="G11" s="0" t="n">
        <f aca="false">IF(AND(ISNUMBER(Panel_Inputs!L11),ISNUMBER(Panel_Inputs!K11)),IF(Panel_Inputs!K11&gt;0,100*Panel_Inputs!L11/Panel_Inputs!K11,""),"")</f>
        <v>4.05193501179323</v>
      </c>
      <c r="H11" s="0" t="n">
        <f aca="false">IF(AND(ISNUMBER(Panel_Inputs!P11),ISNUMBER(Panel_Inputs!Q11)),IF(Panel_Inputs!Q11&gt;0,100*Panel_Inputs!P11/Panel_Inputs!Q11,""),"")</f>
        <v>15.873920123621</v>
      </c>
      <c r="I11" s="0" t="n">
        <f aca="false">IF(AND(ISNUMBER(Panel_Inputs!N11),ISNUMBER(C11)),IF(C11&gt;0,100*Panel_Inputs!N11/C11,""),"")</f>
        <v>0.569178347749726</v>
      </c>
      <c r="J11" s="0" t="str">
        <f aca="false">IF(AND(ISNUMBER(Panel_Inputs!L11),ISNUMBER(Panel_Inputs!O11)),IF(Panel_Inputs!O11&gt;0,100*Panel_Inputs!L11/Panel_Inputs!O11,""),"")</f>
        <v/>
      </c>
      <c r="K11" s="0" t="str">
        <f aca="false">IF(AND(ISNUMBER(Panel_Inputs!O11),ISNUMBER(Panel_Inputs!K11)),IF(Panel_Inputs!K11&gt;0,100*Panel_Inputs!O11/Panel_Inputs!K11,""),"")</f>
        <v/>
      </c>
      <c r="L11" s="0" t="str">
        <f aca="false">IF(AND(ISNUMBER(Panel_Inputs!R11),ISNUMBER(Panel_Inputs!K11)),IF(Panel_Inputs!K11&gt;0,100*Panel_Inputs!R11/Panel_Inputs!K11,""),"")</f>
        <v/>
      </c>
      <c r="M11" s="0" t="str">
        <f aca="false">IF(AND(ISNUMBER(Panel_Inputs!S11),ISNUMBER(Panel_Inputs!R11)),IF(Panel_Inputs!R11&gt;0,100*Panel_Inputs!S11/Panel_Inputs!R11,""),"")</f>
        <v/>
      </c>
      <c r="N11" s="0" t="n">
        <f aca="false">IF(AND(ISNUMBER(Panel_Inputs!E11),ISNUMBER(Panel_Inputs!F11)),IF(Panel_Inputs!F11&gt;0,100*Panel_Inputs!E11/Panel_Inputs!F11,""),"")</f>
        <v>1.04969889622227</v>
      </c>
      <c r="O11" s="0" t="n">
        <f aca="false">IF(AND(ISNUMBER(Panel_Inputs!G11),ISNUMBER(Panel_Inputs!F11)),IF(Panel_Inputs!F11&gt;0,100*Panel_Inputs!G11/Panel_Inputs!F11,""),"")</f>
        <v>91.4242963959388</v>
      </c>
      <c r="P11" s="0" t="n">
        <f aca="false">IF(ISNUMBER(Panel_Inputs!F11),IF(Panel_Inputs!F11&gt;0,LN(Panel_Inputs!F11),""),"")</f>
        <v>15.8469402213067</v>
      </c>
      <c r="Q11" s="0" t="n">
        <f aca="false">IF(AND(ISNUMBER(Panel_Inputs!F11),ISNUMBER(Panel_Inputs!G11),ISNUMBER(Panel_Inputs!H11)),Panel_Inputs!F11-Panel_Inputs!G11-Panel_Inputs!H11,"")</f>
        <v>0</v>
      </c>
      <c r="R11" s="0" t="n">
        <f aca="false">IF(AND(ISNUMBER(Panel_Inputs!K11),ISNUMBER(Panel_Inputs!L11),ISNUMBER(Panel_Inputs!M11)),Panel_Inputs!K11-Panel_Inputs!L11-Panel_Inputs!M11,"")</f>
        <v>0</v>
      </c>
      <c r="S11" s="0" t="str">
        <f aca="false">IF(AND(ISNUMBER(Panel_Inputs!V11),Panel_Inputs!W11=1),Panel_Inputs!V11,"")</f>
        <v/>
      </c>
      <c r="T11" s="0" t="n">
        <f aca="false">IF(AND(ISNUMBER(Panel_Inputs!T11),ISNUMBER(Panel_Inputs!U11)),Panel_Inputs!T11-Panel_Inputs!U11,"")</f>
        <v>-0.130000000000001</v>
      </c>
    </row>
    <row r="12" customFormat="false" ht="15" hidden="false" customHeight="false" outlineLevel="0" collapsed="false">
      <c r="A12" s="0" t="str">
        <f aca="false">Panel_Inputs!A12</f>
        <v>Access</v>
      </c>
      <c r="B12" s="0" t="n">
        <f aca="false">Panel_Inputs!B12</f>
        <v>2021</v>
      </c>
      <c r="C12" s="0" t="n">
        <f aca="false">IF(AND(ISNUMBER(Panel_Inputs!F12),ISNUMBER(Panel_Inputs!J12)),IF(AND(Panel_Inputs!F12&gt;0,Panel_Inputs!J12&gt;0),(Panel_Inputs!F12+Panel_Inputs!J12)/2,""),"")</f>
        <v>8642870.14</v>
      </c>
      <c r="D12" s="0" t="n">
        <f aca="false">IF(AND(ISNUMBER(Panel_Inputs!E12),ISNUMBER(C12)),IF(C12&gt;0,100*Panel_Inputs!E12/C12,""),"")</f>
        <v>1.28807311919186</v>
      </c>
      <c r="E12" s="0" t="n">
        <f aca="false">IF(AND(ISNUMBER(Panel_Inputs!H12),ISNUMBER(Panel_Inputs!F12)),IF(Panel_Inputs!F12&gt;0,100*Panel_Inputs!H12/Panel_Inputs!F12,""),"")</f>
        <v>9.02051250466786</v>
      </c>
      <c r="F12" s="0" t="n">
        <f aca="false">IF(AND(ISNUMBER(Panel_Inputs!I12),ISNUMBER(C12)),IF(C12&gt;0,100*Panel_Inputs!I12/C12,""),"")</f>
        <v>5.79477422299903</v>
      </c>
      <c r="G12" s="0" t="n">
        <f aca="false">IF(AND(ISNUMBER(Panel_Inputs!L12),ISNUMBER(Panel_Inputs!K12)),IF(Panel_Inputs!K12&gt;0,100*Panel_Inputs!L12/Panel_Inputs!K12,""),"")</f>
        <v>2.62131714055607</v>
      </c>
      <c r="H12" s="0" t="n">
        <f aca="false">IF(AND(ISNUMBER(Panel_Inputs!P12),ISNUMBER(Panel_Inputs!Q12)),IF(Panel_Inputs!Q12&gt;0,100*Panel_Inputs!P12/Panel_Inputs!Q12,""),"")</f>
        <v>20.9306668743006</v>
      </c>
      <c r="I12" s="0" t="n">
        <f aca="false">IF(AND(ISNUMBER(Panel_Inputs!N12),ISNUMBER(C12)),IF(C12&gt;0,100*Panel_Inputs!N12/C12,""),"")</f>
        <v>0.622489220924474</v>
      </c>
      <c r="J12" s="0" t="str">
        <f aca="false">IF(AND(ISNUMBER(Panel_Inputs!L12),ISNUMBER(Panel_Inputs!O12)),IF(Panel_Inputs!O12&gt;0,100*Panel_Inputs!L12/Panel_Inputs!O12,""),"")</f>
        <v/>
      </c>
      <c r="K12" s="0" t="str">
        <f aca="false">IF(AND(ISNUMBER(Panel_Inputs!O12),ISNUMBER(Panel_Inputs!K12)),IF(Panel_Inputs!K12&gt;0,100*Panel_Inputs!O12/Panel_Inputs!K12,""),"")</f>
        <v/>
      </c>
      <c r="L12" s="0" t="str">
        <f aca="false">IF(AND(ISNUMBER(Panel_Inputs!R12),ISNUMBER(Panel_Inputs!K12)),IF(Panel_Inputs!K12&gt;0,100*Panel_Inputs!R12/Panel_Inputs!K12,""),"")</f>
        <v/>
      </c>
      <c r="M12" s="0" t="str">
        <f aca="false">IF(AND(ISNUMBER(Panel_Inputs!S12),ISNUMBER(Panel_Inputs!R12)),IF(Panel_Inputs!R12&gt;0,100*Panel_Inputs!S12/Panel_Inputs!R12,""),"")</f>
        <v/>
      </c>
      <c r="N12" s="0" t="n">
        <f aca="false">IF(AND(ISNUMBER(Panel_Inputs!E12),ISNUMBER(Panel_Inputs!F12)),IF(Panel_Inputs!F12&gt;0,100*Panel_Inputs!E12/Panel_Inputs!F12,""),"")</f>
        <v>1.15235737760687</v>
      </c>
      <c r="O12" s="0" t="n">
        <f aca="false">IF(AND(ISNUMBER(Panel_Inputs!G12),ISNUMBER(Panel_Inputs!F12)),IF(Panel_Inputs!F12&gt;0,100*Panel_Inputs!G12/Panel_Inputs!F12,""),"")</f>
        <v>90.9794874953321</v>
      </c>
      <c r="P12" s="0" t="n">
        <f aca="false">IF(ISNUMBER(Panel_Inputs!F12),IF(Panel_Inputs!F12&gt;0,LN(Panel_Inputs!F12),""),"")</f>
        <v>16.0835829355946</v>
      </c>
      <c r="Q12" s="0" t="n">
        <f aca="false">IF(AND(ISNUMBER(Panel_Inputs!F12),ISNUMBER(Panel_Inputs!G12),ISNUMBER(Panel_Inputs!H12)),Panel_Inputs!F12-Panel_Inputs!G12-Panel_Inputs!H12,"")</f>
        <v>0</v>
      </c>
      <c r="R12" s="0" t="n">
        <f aca="false">IF(AND(ISNUMBER(Panel_Inputs!K12),ISNUMBER(Panel_Inputs!L12),ISNUMBER(Panel_Inputs!M12)),Panel_Inputs!K12-Panel_Inputs!L12-Panel_Inputs!M12,"")</f>
        <v>-0.00100000016391277</v>
      </c>
      <c r="S12" s="0" t="str">
        <f aca="false">IF(AND(ISNUMBER(Panel_Inputs!V12),Panel_Inputs!W12=1),Panel_Inputs!V12,"")</f>
        <v/>
      </c>
      <c r="T12" s="0" t="str">
        <f aca="false">IF(AND(ISNUMBER(Panel_Inputs!T12),ISNUMBER(Panel_Inputs!U12)),Panel_Inputs!T12-Panel_Inputs!U12,"")</f>
        <v/>
      </c>
    </row>
    <row r="13" customFormat="false" ht="15" hidden="false" customHeight="false" outlineLevel="0" collapsed="false">
      <c r="A13" s="0" t="str">
        <f aca="false">Panel_Inputs!A13</f>
        <v>Access</v>
      </c>
      <c r="B13" s="0" t="n">
        <f aca="false">Panel_Inputs!B13</f>
        <v>2022</v>
      </c>
      <c r="C13" s="0" t="n">
        <f aca="false">IF(AND(ISNUMBER(Panel_Inputs!F13),ISNUMBER(Panel_Inputs!J13)),IF(AND(Panel_Inputs!F13&gt;0,Panel_Inputs!J13&gt;0),(Panel_Inputs!F13+Panel_Inputs!J13)/2,""),"")</f>
        <v>11098020.5</v>
      </c>
      <c r="D13" s="0" t="n">
        <f aca="false">IF(AND(ISNUMBER(Panel_Inputs!E13),ISNUMBER(C13)),IF(C13&gt;0,100*Panel_Inputs!E13/C13,""),"")</f>
        <v>1.50170924625702</v>
      </c>
      <c r="E13" s="0" t="n">
        <f aca="false">IF(AND(ISNUMBER(Panel_Inputs!H13),ISNUMBER(Panel_Inputs!F13)),IF(Panel_Inputs!F13&gt;0,100*Panel_Inputs!H13/Panel_Inputs!F13,""),"")</f>
        <v>8.52527426591189</v>
      </c>
      <c r="F13" s="0" t="n">
        <f aca="false">IF(AND(ISNUMBER(Panel_Inputs!I13),ISNUMBER(C13)),IF(C13&gt;0,100*Panel_Inputs!I13/C13,""),"")</f>
        <v>6.29416750491676</v>
      </c>
      <c r="G13" s="0" t="n">
        <f aca="false">IF(AND(ISNUMBER(Panel_Inputs!L13),ISNUMBER(Panel_Inputs!K13)),IF(Panel_Inputs!K13&gt;0,100*Panel_Inputs!L13/Panel_Inputs!K13,""),"")</f>
        <v>1.5679567206253</v>
      </c>
      <c r="H13" s="0" t="n">
        <f aca="false">IF(AND(ISNUMBER(Panel_Inputs!P13),ISNUMBER(Panel_Inputs!Q13)),IF(Panel_Inputs!Q13&gt;0,100*Panel_Inputs!P13/Panel_Inputs!Q13,""),"")</f>
        <v>17.8459322867379</v>
      </c>
      <c r="I13" s="0" t="n">
        <f aca="false">IF(AND(ISNUMBER(Panel_Inputs!N13),ISNUMBER(C13)),IF(C13&gt;0,100*Panel_Inputs!N13/C13,""),"")</f>
        <v>1.06938890588641</v>
      </c>
      <c r="J13" s="0" t="str">
        <f aca="false">IF(AND(ISNUMBER(Panel_Inputs!L13),ISNUMBER(Panel_Inputs!O13)),IF(Panel_Inputs!O13&gt;0,100*Panel_Inputs!L13/Panel_Inputs!O13,""),"")</f>
        <v/>
      </c>
      <c r="K13" s="0" t="str">
        <f aca="false">IF(AND(ISNUMBER(Panel_Inputs!O13),ISNUMBER(Panel_Inputs!K13)),IF(Panel_Inputs!K13&gt;0,100*Panel_Inputs!O13/Panel_Inputs!K13,""),"")</f>
        <v/>
      </c>
      <c r="L13" s="0" t="str">
        <f aca="false">IF(AND(ISNUMBER(Panel_Inputs!R13),ISNUMBER(Panel_Inputs!K13)),IF(Panel_Inputs!K13&gt;0,100*Panel_Inputs!R13/Panel_Inputs!K13,""),"")</f>
        <v/>
      </c>
      <c r="M13" s="0" t="str">
        <f aca="false">IF(AND(ISNUMBER(Panel_Inputs!S13),ISNUMBER(Panel_Inputs!R13)),IF(Panel_Inputs!R13&gt;0,100*Panel_Inputs!S13/Panel_Inputs!R13,""),"")</f>
        <v/>
      </c>
      <c r="N13" s="0" t="n">
        <f aca="false">IF(AND(ISNUMBER(Panel_Inputs!E13),ISNUMBER(Panel_Inputs!F13)),IF(Panel_Inputs!F13&gt;0,100*Panel_Inputs!E13/Panel_Inputs!F13,""),"")</f>
        <v>1.32952754146696</v>
      </c>
      <c r="O13" s="0" t="n">
        <f aca="false">IF(AND(ISNUMBER(Panel_Inputs!G13),ISNUMBER(Panel_Inputs!F13)),IF(Panel_Inputs!F13&gt;0,100*Panel_Inputs!G13/Panel_Inputs!F13,""),"")</f>
        <v>91.4747257340881</v>
      </c>
      <c r="P13" s="0" t="n">
        <f aca="false">IF(ISNUMBER(Panel_Inputs!F13),IF(Panel_Inputs!F13&gt;0,LN(Panel_Inputs!F13),""),"")</f>
        <v>16.3440576267802</v>
      </c>
      <c r="Q13" s="0" t="n">
        <f aca="false">IF(AND(ISNUMBER(Panel_Inputs!F13),ISNUMBER(Panel_Inputs!G13),ISNUMBER(Panel_Inputs!H13)),Panel_Inputs!F13-Panel_Inputs!G13-Panel_Inputs!H13,"")</f>
        <v>0</v>
      </c>
      <c r="R13" s="0" t="n">
        <f aca="false">IF(AND(ISNUMBER(Panel_Inputs!K13),ISNUMBER(Panel_Inputs!L13),ISNUMBER(Panel_Inputs!M13)),Panel_Inputs!K13-Panel_Inputs!L13-Panel_Inputs!M13,"")</f>
        <v>0</v>
      </c>
      <c r="S13" s="0" t="str">
        <f aca="false">IF(AND(ISNUMBER(Panel_Inputs!V13),Panel_Inputs!W13=1),Panel_Inputs!V13,"")</f>
        <v/>
      </c>
      <c r="T13" s="0" t="str">
        <f aca="false">IF(AND(ISNUMBER(Panel_Inputs!T13),ISNUMBER(Panel_Inputs!U13)),Panel_Inputs!T13-Panel_Inputs!U13,"")</f>
        <v/>
      </c>
    </row>
    <row r="14" customFormat="false" ht="15" hidden="false" customHeight="false" outlineLevel="0" collapsed="false">
      <c r="A14" s="0" t="str">
        <f aca="false">Panel_Inputs!A14</f>
        <v>Ecobank Nigeria</v>
      </c>
      <c r="B14" s="0" t="n">
        <f aca="false">Panel_Inputs!B14</f>
        <v>2013</v>
      </c>
      <c r="C14" s="0" t="n">
        <f aca="false">IF(AND(ISNUMBER(Panel_Inputs!F14),ISNUMBER(Panel_Inputs!J14)),IF(AND(Panel_Inputs!F14&gt;0,Panel_Inputs!J14&gt;0),(Panel_Inputs!F14+Panel_Inputs!J14)/2,""),"")</f>
        <v>1393063</v>
      </c>
      <c r="D14" s="0" t="n">
        <f aca="false">IF(AND(ISNUMBER(Panel_Inputs!E14),ISNUMBER(C14)),IF(C14&gt;0,100*Panel_Inputs!E14/C14,""),"")</f>
        <v>0.836860931630515</v>
      </c>
      <c r="E14" s="0" t="n">
        <f aca="false">IF(AND(ISNUMBER(Panel_Inputs!H14),ISNUMBER(Panel_Inputs!F14)),IF(Panel_Inputs!F14&gt;0,100*Panel_Inputs!H14/Panel_Inputs!F14,""),"")</f>
        <v>10.7219893607044</v>
      </c>
      <c r="F14" s="0" t="n">
        <f aca="false">IF(AND(ISNUMBER(Panel_Inputs!I14),ISNUMBER(C14)),IF(C14&gt;0,100*Panel_Inputs!I14/C14,""),"")</f>
        <v>0.330638312840123</v>
      </c>
      <c r="G14" s="0" t="n">
        <f aca="false">IF(AND(ISNUMBER(Panel_Inputs!L14),ISNUMBER(Panel_Inputs!K14)),IF(Panel_Inputs!K14&gt;0,100*Panel_Inputs!L14/Panel_Inputs!K14,""),"")</f>
        <v>5.27038275846412</v>
      </c>
      <c r="H14" s="0" t="n">
        <f aca="false">IF(AND(ISNUMBER(Panel_Inputs!P14),ISNUMBER(Panel_Inputs!Q14)),IF(Panel_Inputs!Q14&gt;0,100*Panel_Inputs!P14/Panel_Inputs!Q14,""),"")</f>
        <v>17.3858589503408</v>
      </c>
      <c r="I14" s="0" t="n">
        <f aca="false">IF(AND(ISNUMBER(Panel_Inputs!N14),ISNUMBER(C14)),IF(C14&gt;0,100*Panel_Inputs!N14/C14,""),"")</f>
        <v>2.3405976614123</v>
      </c>
      <c r="J14" s="0" t="str">
        <f aca="false">IF(AND(ISNUMBER(Panel_Inputs!L14),ISNUMBER(Panel_Inputs!O14)),IF(Panel_Inputs!O14&gt;0,100*Panel_Inputs!L14/Panel_Inputs!O14,""),"")</f>
        <v/>
      </c>
      <c r="K14" s="0" t="str">
        <f aca="false">IF(AND(ISNUMBER(Panel_Inputs!O14),ISNUMBER(Panel_Inputs!K14)),IF(Panel_Inputs!K14&gt;0,100*Panel_Inputs!O14/Panel_Inputs!K14,""),"")</f>
        <v/>
      </c>
      <c r="L14" s="0" t="str">
        <f aca="false">IF(AND(ISNUMBER(Panel_Inputs!R14),ISNUMBER(Panel_Inputs!K14)),IF(Panel_Inputs!K14&gt;0,100*Panel_Inputs!R14/Panel_Inputs!K14,""),"")</f>
        <v/>
      </c>
      <c r="M14" s="0" t="str">
        <f aca="false">IF(AND(ISNUMBER(Panel_Inputs!S14),ISNUMBER(Panel_Inputs!R14)),IF(Panel_Inputs!R14&gt;0,100*Panel_Inputs!S14/Panel_Inputs!R14,""),"")</f>
        <v/>
      </c>
      <c r="N14" s="0" t="n">
        <f aca="false">IF(AND(ISNUMBER(Panel_Inputs!E14),ISNUMBER(Panel_Inputs!F14)),IF(Panel_Inputs!F14&gt;0,100*Panel_Inputs!E14/Panel_Inputs!F14,""),"")</f>
        <v>0.798049850391324</v>
      </c>
      <c r="O14" s="0" t="n">
        <f aca="false">IF(AND(ISNUMBER(Panel_Inputs!G14),ISNUMBER(Panel_Inputs!F14)),IF(Panel_Inputs!F14&gt;0,100*Panel_Inputs!G14/Panel_Inputs!F14,""),"")</f>
        <v>89.2780106392956</v>
      </c>
      <c r="P14" s="0" t="n">
        <f aca="false">IF(ISNUMBER(Panel_Inputs!F14),IF(Panel_Inputs!F14&gt;0,LN(Panel_Inputs!F14),""),"")</f>
        <v>14.194502318915</v>
      </c>
      <c r="Q14" s="0" t="n">
        <f aca="false">IF(AND(ISNUMBER(Panel_Inputs!F14),ISNUMBER(Panel_Inputs!G14),ISNUMBER(Panel_Inputs!H14)),Panel_Inputs!F14-Panel_Inputs!G14-Panel_Inputs!H14,"")</f>
        <v>0</v>
      </c>
      <c r="R14" s="0" t="n">
        <f aca="false">IF(AND(ISNUMBER(Panel_Inputs!K14),ISNUMBER(Panel_Inputs!L14),ISNUMBER(Panel_Inputs!M14)),Panel_Inputs!K14-Panel_Inputs!L14-Panel_Inputs!M14,"")</f>
        <v>0</v>
      </c>
      <c r="S14" s="0" t="str">
        <f aca="false">IF(AND(ISNUMBER(Panel_Inputs!V14),Panel_Inputs!W14=1),Panel_Inputs!V14,"")</f>
        <v/>
      </c>
      <c r="T14" s="0" t="str">
        <f aca="false">IF(AND(ISNUMBER(Panel_Inputs!T14),ISNUMBER(Panel_Inputs!U14)),Panel_Inputs!T14-Panel_Inputs!U14,"")</f>
        <v/>
      </c>
    </row>
    <row r="15" customFormat="false" ht="15" hidden="false" customHeight="false" outlineLevel="0" collapsed="false">
      <c r="A15" s="0" t="str">
        <f aca="false">Panel_Inputs!A15</f>
        <v>Ecobank Nigeria</v>
      </c>
      <c r="B15" s="0" t="n">
        <f aca="false">Panel_Inputs!B15</f>
        <v>2014</v>
      </c>
      <c r="C15" s="0" t="n">
        <f aca="false">IF(AND(ISNUMBER(Panel_Inputs!F15),ISNUMBER(Panel_Inputs!J15)),IF(AND(Panel_Inputs!F15&gt;0,Panel_Inputs!J15&gt;0),(Panel_Inputs!F15+Panel_Inputs!J15)/2,""),"")</f>
        <v>1616866.5</v>
      </c>
      <c r="D15" s="0" t="n">
        <f aca="false">IF(AND(ISNUMBER(Panel_Inputs!E15),ISNUMBER(C15)),IF(C15&gt;0,100*Panel_Inputs!E15/C15,""),"")</f>
        <v>1.83892733259054</v>
      </c>
      <c r="E15" s="0" t="n">
        <f aca="false">IF(AND(ISNUMBER(Panel_Inputs!H15),ISNUMBER(Panel_Inputs!F15)),IF(Panel_Inputs!F15&gt;0,100*Panel_Inputs!H15/Panel_Inputs!F15,""),"")</f>
        <v>11.1902272068371</v>
      </c>
      <c r="F15" s="0" t="n">
        <f aca="false">IF(AND(ISNUMBER(Panel_Inputs!I15),ISNUMBER(C15)),IF(C15&gt;0,100*Panel_Inputs!I15/C15,""),"")</f>
        <v>-6.84663823512949</v>
      </c>
      <c r="G15" s="0" t="n">
        <f aca="false">IF(AND(ISNUMBER(Panel_Inputs!L15),ISNUMBER(Panel_Inputs!K15)),IF(Panel_Inputs!K15&gt;0,100*Panel_Inputs!L15/Panel_Inputs!K15,""),"")</f>
        <v>4.10706843287975</v>
      </c>
      <c r="H15" s="0" t="n">
        <f aca="false">IF(AND(ISNUMBER(Panel_Inputs!P15),ISNUMBER(Panel_Inputs!Q15)),IF(Panel_Inputs!Q15&gt;0,100*Panel_Inputs!P15/Panel_Inputs!Q15,""),"")</f>
        <v>16.0335921381585</v>
      </c>
      <c r="I15" s="0" t="n">
        <f aca="false">IF(AND(ISNUMBER(Panel_Inputs!N15),ISNUMBER(C15)),IF(C15&gt;0,100*Panel_Inputs!N15/C15,""),"")</f>
        <v>2.04061374269304</v>
      </c>
      <c r="J15" s="0" t="str">
        <f aca="false">IF(AND(ISNUMBER(Panel_Inputs!L15),ISNUMBER(Panel_Inputs!O15)),IF(Panel_Inputs!O15&gt;0,100*Panel_Inputs!L15/Panel_Inputs!O15,""),"")</f>
        <v/>
      </c>
      <c r="K15" s="0" t="str">
        <f aca="false">IF(AND(ISNUMBER(Panel_Inputs!O15),ISNUMBER(Panel_Inputs!K15)),IF(Panel_Inputs!K15&gt;0,100*Panel_Inputs!O15/Panel_Inputs!K15,""),"")</f>
        <v/>
      </c>
      <c r="L15" s="0" t="str">
        <f aca="false">IF(AND(ISNUMBER(Panel_Inputs!R15),ISNUMBER(Panel_Inputs!K15)),IF(Panel_Inputs!K15&gt;0,100*Panel_Inputs!R15/Panel_Inputs!K15,""),"")</f>
        <v/>
      </c>
      <c r="M15" s="0" t="str">
        <f aca="false">IF(AND(ISNUMBER(Panel_Inputs!S15),ISNUMBER(Panel_Inputs!R15)),IF(Panel_Inputs!R15&gt;0,100*Panel_Inputs!S15/Panel_Inputs!R15,""),"")</f>
        <v/>
      </c>
      <c r="N15" s="0" t="n">
        <f aca="false">IF(AND(ISNUMBER(Panel_Inputs!E15),ISNUMBER(Panel_Inputs!F15)),IF(Panel_Inputs!F15&gt;0,100*Panel_Inputs!E15/Panel_Inputs!F15,""),"")</f>
        <v>1.67706193504283</v>
      </c>
      <c r="O15" s="0" t="n">
        <f aca="false">IF(AND(ISNUMBER(Panel_Inputs!G15),ISNUMBER(Panel_Inputs!F15)),IF(Panel_Inputs!F15&gt;0,100*Panel_Inputs!G15/Panel_Inputs!F15,""),"")</f>
        <v>88.8097727931629</v>
      </c>
      <c r="P15" s="0" t="n">
        <f aca="false">IF(ISNUMBER(Panel_Inputs!F15),IF(Panel_Inputs!F15&gt;0,LN(Panel_Inputs!F15),""),"")</f>
        <v>14.3881395908568</v>
      </c>
      <c r="Q15" s="0" t="n">
        <f aca="false">IF(AND(ISNUMBER(Panel_Inputs!F15),ISNUMBER(Panel_Inputs!G15),ISNUMBER(Panel_Inputs!H15)),Panel_Inputs!F15-Panel_Inputs!G15-Panel_Inputs!H15,"")</f>
        <v>0</v>
      </c>
      <c r="R15" s="0" t="n">
        <f aca="false">IF(AND(ISNUMBER(Panel_Inputs!K15),ISNUMBER(Panel_Inputs!L15),ISNUMBER(Panel_Inputs!M15)),Panel_Inputs!K15-Panel_Inputs!L15-Panel_Inputs!M15,"")</f>
        <v>0</v>
      </c>
      <c r="S15" s="0" t="str">
        <f aca="false">IF(AND(ISNUMBER(Panel_Inputs!V15),Panel_Inputs!W15=1),Panel_Inputs!V15,"")</f>
        <v/>
      </c>
      <c r="T15" s="0" t="str">
        <f aca="false">IF(AND(ISNUMBER(Panel_Inputs!T15),ISNUMBER(Panel_Inputs!U15)),Panel_Inputs!T15-Panel_Inputs!U15,"")</f>
        <v/>
      </c>
    </row>
    <row r="16" customFormat="false" ht="15" hidden="false" customHeight="false" outlineLevel="0" collapsed="false">
      <c r="A16" s="0" t="str">
        <f aca="false">Panel_Inputs!A16</f>
        <v>Ecobank Nigeria</v>
      </c>
      <c r="B16" s="0" t="n">
        <f aca="false">Panel_Inputs!B16</f>
        <v>2015</v>
      </c>
      <c r="C16" s="0" t="n">
        <f aca="false">IF(AND(ISNUMBER(Panel_Inputs!F16),ISNUMBER(Panel_Inputs!J16)),IF(AND(Panel_Inputs!F16&gt;0,Panel_Inputs!J16&gt;0),(Panel_Inputs!F16+Panel_Inputs!J16)/2,""),"")</f>
        <v>1783635</v>
      </c>
      <c r="D16" s="0" t="n">
        <f aca="false">IF(AND(ISNUMBER(Panel_Inputs!E16),ISNUMBER(C16)),IF(C16&gt;0,100*Panel_Inputs!E16/C16,""),"")</f>
        <v>0.633761952417395</v>
      </c>
      <c r="E16" s="0" t="n">
        <f aca="false">IF(AND(ISNUMBER(Panel_Inputs!H16),ISNUMBER(Panel_Inputs!F16)),IF(Panel_Inputs!F16&gt;0,100*Panel_Inputs!H16/Panel_Inputs!F16,""),"")</f>
        <v>12.6946946746116</v>
      </c>
      <c r="F16" s="0" t="n">
        <f aca="false">IF(AND(ISNUMBER(Panel_Inputs!I16),ISNUMBER(C16)),IF(C16&gt;0,100*Panel_Inputs!I16/C16,""),"")</f>
        <v>1.35840572762925</v>
      </c>
      <c r="G16" s="0" t="n">
        <f aca="false">IF(AND(ISNUMBER(Panel_Inputs!L16),ISNUMBER(Panel_Inputs!K16)),IF(Panel_Inputs!K16&gt;0,100*Panel_Inputs!L16/Panel_Inputs!K16,""),"")</f>
        <v>7.7173899543977</v>
      </c>
      <c r="H16" s="0" t="n">
        <f aca="false">IF(AND(ISNUMBER(Panel_Inputs!P16),ISNUMBER(Panel_Inputs!Q16)),IF(Panel_Inputs!Q16&gt;0,100*Panel_Inputs!P16/Panel_Inputs!Q16,""),"")</f>
        <v>18.7244399446466</v>
      </c>
      <c r="I16" s="0" t="n">
        <f aca="false">IF(AND(ISNUMBER(Panel_Inputs!N16),ISNUMBER(C16)),IF(C16&gt;0,100*Panel_Inputs!N16/C16,""),"")</f>
        <v>3.1250788418034</v>
      </c>
      <c r="J16" s="0" t="str">
        <f aca="false">IF(AND(ISNUMBER(Panel_Inputs!L16),ISNUMBER(Panel_Inputs!O16)),IF(Panel_Inputs!O16&gt;0,100*Panel_Inputs!L16/Panel_Inputs!O16,""),"")</f>
        <v/>
      </c>
      <c r="K16" s="0" t="str">
        <f aca="false">IF(AND(ISNUMBER(Panel_Inputs!O16),ISNUMBER(Panel_Inputs!K16)),IF(Panel_Inputs!K16&gt;0,100*Panel_Inputs!O16/Panel_Inputs!K16,""),"")</f>
        <v/>
      </c>
      <c r="L16" s="0" t="str">
        <f aca="false">IF(AND(ISNUMBER(Panel_Inputs!R16),ISNUMBER(Panel_Inputs!K16)),IF(Panel_Inputs!K16&gt;0,100*Panel_Inputs!R16/Panel_Inputs!K16,""),"")</f>
        <v/>
      </c>
      <c r="M16" s="0" t="str">
        <f aca="false">IF(AND(ISNUMBER(Panel_Inputs!S16),ISNUMBER(Panel_Inputs!R16)),IF(Panel_Inputs!R16&gt;0,100*Panel_Inputs!S16/Panel_Inputs!R16,""),"")</f>
        <v/>
      </c>
      <c r="N16" s="0" t="n">
        <f aca="false">IF(AND(ISNUMBER(Panel_Inputs!E16),ISNUMBER(Panel_Inputs!F16)),IF(Panel_Inputs!F16&gt;0,100*Panel_Inputs!E16/Panel_Inputs!F16,""),"")</f>
        <v>0.629978131332384</v>
      </c>
      <c r="O16" s="0" t="n">
        <f aca="false">IF(AND(ISNUMBER(Panel_Inputs!G16),ISNUMBER(Panel_Inputs!F16)),IF(Panel_Inputs!F16&gt;0,100*Panel_Inputs!G16/Panel_Inputs!F16,""),"")</f>
        <v>87.3053053253884</v>
      </c>
      <c r="P16" s="0" t="n">
        <f aca="false">IF(ISNUMBER(Panel_Inputs!F16),IF(Panel_Inputs!F16&gt;0,LN(Panel_Inputs!F16),""),"")</f>
        <v>14.4001522827223</v>
      </c>
      <c r="Q16" s="0" t="n">
        <f aca="false">IF(AND(ISNUMBER(Panel_Inputs!F16),ISNUMBER(Panel_Inputs!G16),ISNUMBER(Panel_Inputs!H16)),Panel_Inputs!F16-Panel_Inputs!G16-Panel_Inputs!H16,"")</f>
        <v>0</v>
      </c>
      <c r="R16" s="0" t="n">
        <f aca="false">IF(AND(ISNUMBER(Panel_Inputs!K16),ISNUMBER(Panel_Inputs!L16),ISNUMBER(Panel_Inputs!M16)),Panel_Inputs!K16-Panel_Inputs!L16-Panel_Inputs!M16,"")</f>
        <v>0</v>
      </c>
      <c r="S16" s="0" t="str">
        <f aca="false">IF(AND(ISNUMBER(Panel_Inputs!V16),Panel_Inputs!W16=1),Panel_Inputs!V16,"")</f>
        <v/>
      </c>
      <c r="T16" s="0" t="str">
        <f aca="false">IF(AND(ISNUMBER(Panel_Inputs!T16),ISNUMBER(Panel_Inputs!U16)),Panel_Inputs!T16-Panel_Inputs!U16,"")</f>
        <v/>
      </c>
    </row>
    <row r="17" customFormat="false" ht="15" hidden="false" customHeight="false" outlineLevel="0" collapsed="false">
      <c r="A17" s="0" t="str">
        <f aca="false">Panel_Inputs!A17</f>
        <v>Ecobank Nigeria</v>
      </c>
      <c r="B17" s="0" t="n">
        <f aca="false">Panel_Inputs!B17</f>
        <v>2016</v>
      </c>
      <c r="C17" s="0" t="str">
        <f aca="false">IF(AND(ISNUMBER(Panel_Inputs!F17),ISNUMBER(Panel_Inputs!J17)),IF(AND(Panel_Inputs!F17&gt;0,Panel_Inputs!J17&gt;0),(Panel_Inputs!F17+Panel_Inputs!J17)/2,""),"")</f>
        <v/>
      </c>
      <c r="D17" s="0" t="str">
        <f aca="false">IF(AND(ISNUMBER(Panel_Inputs!E17),ISNUMBER(C17)),IF(C17&gt;0,100*Panel_Inputs!E17/C17,""),"")</f>
        <v/>
      </c>
      <c r="E17" s="0" t="n">
        <f aca="false">IF(AND(ISNUMBER(Panel_Inputs!H17),ISNUMBER(Panel_Inputs!F17)),IF(Panel_Inputs!F17&gt;0,100*Panel_Inputs!H17/Panel_Inputs!F17,""),"")</f>
        <v>12.2076103827309</v>
      </c>
      <c r="F17" s="0" t="str">
        <f aca="false">IF(AND(ISNUMBER(Panel_Inputs!I17),ISNUMBER(C17)),IF(C17&gt;0,100*Panel_Inputs!I17/C17,""),"")</f>
        <v/>
      </c>
      <c r="G17" s="0" t="str">
        <f aca="false">IF(AND(ISNUMBER(Panel_Inputs!L17),ISNUMBER(Panel_Inputs!K17)),IF(Panel_Inputs!K17&gt;0,100*Panel_Inputs!L17/Panel_Inputs!K17,""),"")</f>
        <v/>
      </c>
      <c r="H17" s="0" t="str">
        <f aca="false">IF(AND(ISNUMBER(Panel_Inputs!P17),ISNUMBER(Panel_Inputs!Q17)),IF(Panel_Inputs!Q17&gt;0,100*Panel_Inputs!P17/Panel_Inputs!Q17,""),"")</f>
        <v/>
      </c>
      <c r="I17" s="0" t="str">
        <f aca="false">IF(AND(ISNUMBER(Panel_Inputs!N17),ISNUMBER(C17)),IF(C17&gt;0,100*Panel_Inputs!N17/C17,""),"")</f>
        <v/>
      </c>
      <c r="J17" s="0" t="str">
        <f aca="false">IF(AND(ISNUMBER(Panel_Inputs!L17),ISNUMBER(Panel_Inputs!O17)),IF(Panel_Inputs!O17&gt;0,100*Panel_Inputs!L17/Panel_Inputs!O17,""),"")</f>
        <v/>
      </c>
      <c r="K17" s="0" t="str">
        <f aca="false">IF(AND(ISNUMBER(Panel_Inputs!O17),ISNUMBER(Panel_Inputs!K17)),IF(Panel_Inputs!K17&gt;0,100*Panel_Inputs!O17/Panel_Inputs!K17,""),"")</f>
        <v/>
      </c>
      <c r="L17" s="0" t="str">
        <f aca="false">IF(AND(ISNUMBER(Panel_Inputs!R17),ISNUMBER(Panel_Inputs!K17)),IF(Panel_Inputs!K17&gt;0,100*Panel_Inputs!R17/Panel_Inputs!K17,""),"")</f>
        <v/>
      </c>
      <c r="M17" s="0" t="str">
        <f aca="false">IF(AND(ISNUMBER(Panel_Inputs!S17),ISNUMBER(Panel_Inputs!R17)),IF(Panel_Inputs!R17&gt;0,100*Panel_Inputs!S17/Panel_Inputs!R17,""),"")</f>
        <v/>
      </c>
      <c r="N17" s="0" t="n">
        <f aca="false">IF(AND(ISNUMBER(Panel_Inputs!E17),ISNUMBER(Panel_Inputs!F17)),IF(Panel_Inputs!F17&gt;0,100*Panel_Inputs!E17/Panel_Inputs!F17,""),"")</f>
        <v>0.319601349845701</v>
      </c>
      <c r="O17" s="0" t="n">
        <f aca="false">IF(AND(ISNUMBER(Panel_Inputs!G17),ISNUMBER(Panel_Inputs!F17)),IF(Panel_Inputs!F17&gt;0,100*Panel_Inputs!G17/Panel_Inputs!F17,""),"")</f>
        <v>87.7923896172691</v>
      </c>
      <c r="P17" s="0" t="n">
        <f aca="false">IF(ISNUMBER(Panel_Inputs!F17),IF(Panel_Inputs!F17&gt;0,LN(Panel_Inputs!F17),""),"")</f>
        <v>14.4080099892062</v>
      </c>
      <c r="Q17" s="0" t="n">
        <f aca="false">IF(AND(ISNUMBER(Panel_Inputs!F17),ISNUMBER(Panel_Inputs!G17),ISNUMBER(Panel_Inputs!H17)),Panel_Inputs!F17-Panel_Inputs!G17-Panel_Inputs!H17,"")</f>
        <v>0</v>
      </c>
      <c r="R17" s="0" t="str">
        <f aca="false">IF(AND(ISNUMBER(Panel_Inputs!K17),ISNUMBER(Panel_Inputs!L17),ISNUMBER(Panel_Inputs!M17)),Panel_Inputs!K17-Panel_Inputs!L17-Panel_Inputs!M17,"")</f>
        <v/>
      </c>
      <c r="S17" s="0" t="str">
        <f aca="false">IF(AND(ISNUMBER(Panel_Inputs!V17),Panel_Inputs!W17=1),Panel_Inputs!V17,"")</f>
        <v/>
      </c>
      <c r="T17" s="0" t="str">
        <f aca="false">IF(AND(ISNUMBER(Panel_Inputs!T17),ISNUMBER(Panel_Inputs!U17)),Panel_Inputs!T17-Panel_Inputs!U17,"")</f>
        <v/>
      </c>
    </row>
    <row r="18" customFormat="false" ht="15" hidden="false" customHeight="false" outlineLevel="0" collapsed="false">
      <c r="A18" s="0" t="str">
        <f aca="false">Panel_Inputs!A18</f>
        <v>Ecobank Nigeria</v>
      </c>
      <c r="B18" s="0" t="n">
        <f aca="false">Panel_Inputs!B18</f>
        <v>2017</v>
      </c>
      <c r="C18" s="0" t="n">
        <f aca="false">IF(AND(ISNUMBER(Panel_Inputs!F18),ISNUMBER(Panel_Inputs!J18)),IF(AND(Panel_Inputs!F18&gt;0,Panel_Inputs!J18&gt;0),(Panel_Inputs!F18+Panel_Inputs!J18)/2,""),"")</f>
        <v>1819132</v>
      </c>
      <c r="D18" s="0" t="n">
        <f aca="false">IF(AND(ISNUMBER(Panel_Inputs!E18),ISNUMBER(C18)),IF(C18&gt;0,100*Panel_Inputs!E18/C18,""),"")</f>
        <v>1.11063957975562</v>
      </c>
      <c r="E18" s="0" t="n">
        <f aca="false">IF(AND(ISNUMBER(Panel_Inputs!H18),ISNUMBER(Panel_Inputs!F18)),IF(Panel_Inputs!F18&gt;0,100*Panel_Inputs!H18/Panel_Inputs!F18,""),"")</f>
        <v>14.6100501650216</v>
      </c>
      <c r="F18" s="0" t="str">
        <f aca="false">IF(AND(ISNUMBER(Panel_Inputs!I18),ISNUMBER(C18)),IF(C18&gt;0,100*Panel_Inputs!I18/C18,""),"")</f>
        <v/>
      </c>
      <c r="G18" s="0" t="str">
        <f aca="false">IF(AND(ISNUMBER(Panel_Inputs!L18),ISNUMBER(Panel_Inputs!K18)),IF(Panel_Inputs!K18&gt;0,100*Panel_Inputs!L18/Panel_Inputs!K18,""),"")</f>
        <v/>
      </c>
      <c r="H18" s="0" t="str">
        <f aca="false">IF(AND(ISNUMBER(Panel_Inputs!P18),ISNUMBER(Panel_Inputs!Q18)),IF(Panel_Inputs!Q18&gt;0,100*Panel_Inputs!P18/Panel_Inputs!Q18,""),"")</f>
        <v/>
      </c>
      <c r="I18" s="0" t="n">
        <f aca="false">IF(AND(ISNUMBER(Panel_Inputs!N18),ISNUMBER(C18)),IF(C18&gt;0,100*Panel_Inputs!N18/C18,""),"")</f>
        <v>3.29283416486544</v>
      </c>
      <c r="J18" s="0" t="str">
        <f aca="false">IF(AND(ISNUMBER(Panel_Inputs!L18),ISNUMBER(Panel_Inputs!O18)),IF(Panel_Inputs!O18&gt;0,100*Panel_Inputs!L18/Panel_Inputs!O18,""),"")</f>
        <v/>
      </c>
      <c r="K18" s="0" t="str">
        <f aca="false">IF(AND(ISNUMBER(Panel_Inputs!O18),ISNUMBER(Panel_Inputs!K18)),IF(Panel_Inputs!K18&gt;0,100*Panel_Inputs!O18/Panel_Inputs!K18,""),"")</f>
        <v/>
      </c>
      <c r="L18" s="0" t="str">
        <f aca="false">IF(AND(ISNUMBER(Panel_Inputs!R18),ISNUMBER(Panel_Inputs!K18)),IF(Panel_Inputs!K18&gt;0,100*Panel_Inputs!R18/Panel_Inputs!K18,""),"")</f>
        <v/>
      </c>
      <c r="M18" s="0" t="str">
        <f aca="false">IF(AND(ISNUMBER(Panel_Inputs!S18),ISNUMBER(Panel_Inputs!R18)),IF(Panel_Inputs!R18&gt;0,100*Panel_Inputs!S18/Panel_Inputs!R18,""),"")</f>
        <v/>
      </c>
      <c r="N18" s="0" t="n">
        <f aca="false">IF(AND(ISNUMBER(Panel_Inputs!E18),ISNUMBER(Panel_Inputs!F18)),IF(Panel_Inputs!F18&gt;0,100*Panel_Inputs!E18/Panel_Inputs!F18,""),"")</f>
        <v>1.10418792399663</v>
      </c>
      <c r="O18" s="0" t="n">
        <f aca="false">IF(AND(ISNUMBER(Panel_Inputs!G18),ISNUMBER(Panel_Inputs!F18)),IF(Panel_Inputs!F18&gt;0,100*Panel_Inputs!G18/Panel_Inputs!F18,""),"")</f>
        <v>85.3899498349785</v>
      </c>
      <c r="P18" s="0" t="n">
        <f aca="false">IF(ISNUMBER(Panel_Inputs!F18),IF(Panel_Inputs!F18&gt;0,LN(Panel_Inputs!F18),""),"")</f>
        <v>14.4196959151956</v>
      </c>
      <c r="Q18" s="0" t="n">
        <f aca="false">IF(AND(ISNUMBER(Panel_Inputs!F18),ISNUMBER(Panel_Inputs!G18),ISNUMBER(Panel_Inputs!H18)),Panel_Inputs!F18-Panel_Inputs!G18-Panel_Inputs!H18,"")</f>
        <v>0</v>
      </c>
      <c r="R18" s="0" t="str">
        <f aca="false">IF(AND(ISNUMBER(Panel_Inputs!K18),ISNUMBER(Panel_Inputs!L18),ISNUMBER(Panel_Inputs!M18)),Panel_Inputs!K18-Panel_Inputs!L18-Panel_Inputs!M18,"")</f>
        <v/>
      </c>
      <c r="S18" s="0" t="str">
        <f aca="false">IF(AND(ISNUMBER(Panel_Inputs!V18),Panel_Inputs!W18=1),Panel_Inputs!V18,"")</f>
        <v/>
      </c>
      <c r="T18" s="0" t="str">
        <f aca="false">IF(AND(ISNUMBER(Panel_Inputs!T18),ISNUMBER(Panel_Inputs!U18)),Panel_Inputs!T18-Panel_Inputs!U18,"")</f>
        <v/>
      </c>
    </row>
    <row r="19" customFormat="false" ht="15" hidden="false" customHeight="false" outlineLevel="0" collapsed="false">
      <c r="A19" s="0" t="str">
        <f aca="false">Panel_Inputs!A19</f>
        <v>Ecobank Nigeria</v>
      </c>
      <c r="B19" s="0" t="n">
        <f aca="false">Panel_Inputs!B19</f>
        <v>2018</v>
      </c>
      <c r="C19" s="0" t="n">
        <f aca="false">IF(AND(ISNUMBER(Panel_Inputs!F19),ISNUMBER(Panel_Inputs!J19)),IF(AND(Panel_Inputs!F19&gt;0,Panel_Inputs!J19&gt;0),(Panel_Inputs!F19+Panel_Inputs!J19)/2,""),"")</f>
        <v>1893295.5</v>
      </c>
      <c r="D19" s="0" t="n">
        <f aca="false">IF(AND(ISNUMBER(Panel_Inputs!E19),ISNUMBER(C19)),IF(C19&gt;0,100*Panel_Inputs!E19/C19,""),"")</f>
        <v>1.43427161792758</v>
      </c>
      <c r="E19" s="0" t="n">
        <f aca="false">IF(AND(ISNUMBER(Panel_Inputs!H19),ISNUMBER(Panel_Inputs!F19)),IF(Panel_Inputs!F19&gt;0,100*Panel_Inputs!H19/Panel_Inputs!F19,""),"")</f>
        <v>12.6470873811215</v>
      </c>
      <c r="F19" s="0" t="n">
        <f aca="false">IF(AND(ISNUMBER(Panel_Inputs!I19),ISNUMBER(C19)),IF(C19&gt;0,100*Panel_Inputs!I19/C19,""),"")</f>
        <v>1.64982169978221</v>
      </c>
      <c r="G19" s="0" t="n">
        <f aca="false">IF(AND(ISNUMBER(Panel_Inputs!L19),ISNUMBER(Panel_Inputs!K19)),IF(Panel_Inputs!K19&gt;0,100*Panel_Inputs!L19/Panel_Inputs!K19,""),"")</f>
        <v>9.0735915971792</v>
      </c>
      <c r="H19" s="0" t="n">
        <f aca="false">IF(AND(ISNUMBER(Panel_Inputs!P19),ISNUMBER(Panel_Inputs!Q19)),IF(Panel_Inputs!Q19&gt;0,100*Panel_Inputs!P19/Panel_Inputs!Q19,""),"")</f>
        <v>14.3219780334765</v>
      </c>
      <c r="I19" s="0" t="n">
        <f aca="false">IF(AND(ISNUMBER(Panel_Inputs!N19),ISNUMBER(C19)),IF(C19&gt;0,100*Panel_Inputs!N19/C19,""),"")</f>
        <v>1.4450992990793</v>
      </c>
      <c r="J19" s="0" t="n">
        <f aca="false">IF(AND(ISNUMBER(Panel_Inputs!L19),ISNUMBER(Panel_Inputs!O19)),IF(Panel_Inputs!O19&gt;0,100*Panel_Inputs!L19/Panel_Inputs!O19,""),"")</f>
        <v>66.2790514332566</v>
      </c>
      <c r="K19" s="0" t="n">
        <f aca="false">IF(AND(ISNUMBER(Panel_Inputs!O19),ISNUMBER(Panel_Inputs!K19)),IF(Panel_Inputs!K19&gt;0,100*Panel_Inputs!O19/Panel_Inputs!K19,""),"")</f>
        <v>13.6899840914536</v>
      </c>
      <c r="L19" s="0" t="str">
        <f aca="false">IF(AND(ISNUMBER(Panel_Inputs!R19),ISNUMBER(Panel_Inputs!K19)),IF(Panel_Inputs!K19&gt;0,100*Panel_Inputs!R19/Panel_Inputs!K19,""),"")</f>
        <v/>
      </c>
      <c r="M19" s="0" t="str">
        <f aca="false">IF(AND(ISNUMBER(Panel_Inputs!S19),ISNUMBER(Panel_Inputs!R19)),IF(Panel_Inputs!R19&gt;0,100*Panel_Inputs!S19/Panel_Inputs!R19,""),"")</f>
        <v/>
      </c>
      <c r="N19" s="0" t="n">
        <f aca="false">IF(AND(ISNUMBER(Panel_Inputs!E19),ISNUMBER(Panel_Inputs!F19)),IF(Panel_Inputs!F19&gt;0,100*Panel_Inputs!E19/Panel_Inputs!F19,""),"")</f>
        <v>1.38770358181344</v>
      </c>
      <c r="O19" s="0" t="n">
        <f aca="false">IF(AND(ISNUMBER(Panel_Inputs!G19),ISNUMBER(Panel_Inputs!F19)),IF(Panel_Inputs!F19&gt;0,100*Panel_Inputs!G19/Panel_Inputs!F19,""),"")</f>
        <v>87.3529126188785</v>
      </c>
      <c r="P19" s="0" t="n">
        <f aca="false">IF(ISNUMBER(Panel_Inputs!F19),IF(Panel_Inputs!F19&gt;0,LN(Panel_Inputs!F19),""),"")</f>
        <v>14.4868363749504</v>
      </c>
      <c r="Q19" s="0" t="n">
        <f aca="false">IF(AND(ISNUMBER(Panel_Inputs!F19),ISNUMBER(Panel_Inputs!G19),ISNUMBER(Panel_Inputs!H19)),Panel_Inputs!F19-Panel_Inputs!G19-Panel_Inputs!H19,"")</f>
        <v>0</v>
      </c>
      <c r="R19" s="0" t="n">
        <f aca="false">IF(AND(ISNUMBER(Panel_Inputs!K19),ISNUMBER(Panel_Inputs!L19),ISNUMBER(Panel_Inputs!M19)),Panel_Inputs!K19-Panel_Inputs!L19-Panel_Inputs!M19,"")</f>
        <v>0</v>
      </c>
      <c r="S19" s="0" t="str">
        <f aca="false">IF(AND(ISNUMBER(Panel_Inputs!V19),Panel_Inputs!W19=1),Panel_Inputs!V19,"")</f>
        <v/>
      </c>
      <c r="T19" s="0" t="str">
        <f aca="false">IF(AND(ISNUMBER(Panel_Inputs!T19),ISNUMBER(Panel_Inputs!U19)),Panel_Inputs!T19-Panel_Inputs!U19,"")</f>
        <v/>
      </c>
    </row>
    <row r="20" customFormat="false" ht="15" hidden="false" customHeight="false" outlineLevel="0" collapsed="false">
      <c r="A20" s="0" t="str">
        <f aca="false">Panel_Inputs!A20</f>
        <v>Ecobank Nigeria</v>
      </c>
      <c r="B20" s="0" t="n">
        <f aca="false">Panel_Inputs!B20</f>
        <v>2019</v>
      </c>
      <c r="C20" s="0" t="n">
        <f aca="false">IF(AND(ISNUMBER(Panel_Inputs!F20),ISNUMBER(Panel_Inputs!J20)),IF(AND(Panel_Inputs!F20&gt;0,Panel_Inputs!J20&gt;0),(Panel_Inputs!F20+Panel_Inputs!J20)/2,""),"")</f>
        <v>1959464.5</v>
      </c>
      <c r="D20" s="0" t="n">
        <f aca="false">IF(AND(ISNUMBER(Panel_Inputs!E20),ISNUMBER(C20)),IF(C20&gt;0,100*Panel_Inputs!E20/C20,""),"")</f>
        <v>0.0640991454553017</v>
      </c>
      <c r="E20" s="0" t="n">
        <f aca="false">IF(AND(ISNUMBER(Panel_Inputs!H20),ISNUMBER(Panel_Inputs!F20)),IF(Panel_Inputs!F20&gt;0,100*Panel_Inputs!H20/Panel_Inputs!F20,""),"")</f>
        <v>13.2729628736741</v>
      </c>
      <c r="F20" s="0" t="n">
        <f aca="false">IF(AND(ISNUMBER(Panel_Inputs!I20),ISNUMBER(C20)),IF(C20&gt;0,100*Panel_Inputs!I20/C20,""),"")</f>
        <v>2.50333700865721</v>
      </c>
      <c r="G20" s="0" t="n">
        <f aca="false">IF(AND(ISNUMBER(Panel_Inputs!L20),ISNUMBER(Panel_Inputs!K20)),IF(Panel_Inputs!K20&gt;0,100*Panel_Inputs!L20/Panel_Inputs!K20,""),"")</f>
        <v>11.113569208461</v>
      </c>
      <c r="H20" s="0" t="n">
        <f aca="false">IF(AND(ISNUMBER(Panel_Inputs!P20),ISNUMBER(Panel_Inputs!Q20)),IF(Panel_Inputs!Q20&gt;0,100*Panel_Inputs!P20/Panel_Inputs!Q20,""),"")</f>
        <v>16.3137937465034</v>
      </c>
      <c r="I20" s="0" t="n">
        <f aca="false">IF(AND(ISNUMBER(Panel_Inputs!N20),ISNUMBER(C20)),IF(C20&gt;0,100*Panel_Inputs!N20/C20,""),"")</f>
        <v>0.137996886394216</v>
      </c>
      <c r="J20" s="0" t="n">
        <f aca="false">IF(AND(ISNUMBER(Panel_Inputs!L20),ISNUMBER(Panel_Inputs!O20)),IF(Panel_Inputs!O20&gt;0,100*Panel_Inputs!L20/Panel_Inputs!O20,""),"")</f>
        <v>46.438917236803</v>
      </c>
      <c r="K20" s="0" t="n">
        <f aca="false">IF(AND(ISNUMBER(Panel_Inputs!O20),ISNUMBER(Panel_Inputs!K20)),IF(Panel_Inputs!K20&gt;0,100*Panel_Inputs!O20/Panel_Inputs!K20,""),"")</f>
        <v>23.9315855531048</v>
      </c>
      <c r="L20" s="0" t="str">
        <f aca="false">IF(AND(ISNUMBER(Panel_Inputs!R20),ISNUMBER(Panel_Inputs!K20)),IF(Panel_Inputs!K20&gt;0,100*Panel_Inputs!R20/Panel_Inputs!K20,""),"")</f>
        <v/>
      </c>
      <c r="M20" s="0" t="str">
        <f aca="false">IF(AND(ISNUMBER(Panel_Inputs!S20),ISNUMBER(Panel_Inputs!R20)),IF(Panel_Inputs!R20&gt;0,100*Panel_Inputs!S20/Panel_Inputs!R20,""),"")</f>
        <v/>
      </c>
      <c r="N20" s="0" t="n">
        <f aca="false">IF(AND(ISNUMBER(Panel_Inputs!E20),ISNUMBER(Panel_Inputs!F20)),IF(Panel_Inputs!F20&gt;0,100*Panel_Inputs!E20/Panel_Inputs!F20,""),"")</f>
        <v>0.0630826100932176</v>
      </c>
      <c r="O20" s="0" t="n">
        <f aca="false">IF(AND(ISNUMBER(Panel_Inputs!G20),ISNUMBER(Panel_Inputs!F20)),IF(Panel_Inputs!F20&gt;0,100*Panel_Inputs!G20/Panel_Inputs!F20,""),"")</f>
        <v>86.7270371263259</v>
      </c>
      <c r="P20" s="0" t="n">
        <f aca="false">IF(ISNUMBER(Panel_Inputs!F20),IF(Panel_Inputs!F20&gt;0,LN(Panel_Inputs!F20),""),"")</f>
        <v>14.5041676732514</v>
      </c>
      <c r="Q20" s="0" t="n">
        <f aca="false">IF(AND(ISNUMBER(Panel_Inputs!F20),ISNUMBER(Panel_Inputs!G20),ISNUMBER(Panel_Inputs!H20)),Panel_Inputs!F20-Panel_Inputs!G20-Panel_Inputs!H20,"")</f>
        <v>0</v>
      </c>
      <c r="R20" s="0" t="n">
        <f aca="false">IF(AND(ISNUMBER(Panel_Inputs!K20),ISNUMBER(Panel_Inputs!L20),ISNUMBER(Panel_Inputs!M20)),Panel_Inputs!K20-Panel_Inputs!L20-Panel_Inputs!M20,"")</f>
        <v>0</v>
      </c>
      <c r="S20" s="0" t="str">
        <f aca="false">IF(AND(ISNUMBER(Panel_Inputs!V20),Panel_Inputs!W20=1),Panel_Inputs!V20,"")</f>
        <v/>
      </c>
      <c r="T20" s="0" t="str">
        <f aca="false">IF(AND(ISNUMBER(Panel_Inputs!T20),ISNUMBER(Panel_Inputs!U20)),Panel_Inputs!T20-Panel_Inputs!U20,"")</f>
        <v/>
      </c>
    </row>
    <row r="21" customFormat="false" ht="15" hidden="false" customHeight="false" outlineLevel="0" collapsed="false">
      <c r="A21" s="0" t="str">
        <f aca="false">Panel_Inputs!A21</f>
        <v>Ecobank Nigeria</v>
      </c>
      <c r="B21" s="0" t="n">
        <f aca="false">Panel_Inputs!B21</f>
        <v>2020</v>
      </c>
      <c r="C21" s="0" t="n">
        <f aca="false">IF(AND(ISNUMBER(Panel_Inputs!F21),ISNUMBER(Panel_Inputs!J21)),IF(AND(Panel_Inputs!F21&gt;0,Panel_Inputs!J21&gt;0),(Panel_Inputs!F21+Panel_Inputs!J21)/2,""),"")</f>
        <v>2088876</v>
      </c>
      <c r="D21" s="0" t="n">
        <f aca="false">IF(AND(ISNUMBER(Panel_Inputs!E21),ISNUMBER(C21)),IF(C21&gt;0,100*Panel_Inputs!E21/C21,""),"")</f>
        <v>0.387146005794504</v>
      </c>
      <c r="E21" s="0" t="n">
        <f aca="false">IF(AND(ISNUMBER(Panel_Inputs!H21),ISNUMBER(Panel_Inputs!F21)),IF(Panel_Inputs!F21&gt;0,100*Panel_Inputs!H21/Panel_Inputs!F21,""),"")</f>
        <v>13.6607381310387</v>
      </c>
      <c r="F21" s="0" t="n">
        <f aca="false">IF(AND(ISNUMBER(Panel_Inputs!I21),ISNUMBER(C21)),IF(C21&gt;0,100*Panel_Inputs!I21/C21,""),"")</f>
        <v>-0.635317749832925</v>
      </c>
      <c r="G21" s="0" t="n">
        <f aca="false">IF(AND(ISNUMBER(Panel_Inputs!L21),ISNUMBER(Panel_Inputs!K21)),IF(Panel_Inputs!K21&gt;0,100*Panel_Inputs!L21/Panel_Inputs!K21,""),"")</f>
        <v>11.2374155625655</v>
      </c>
      <c r="H21" s="0" t="n">
        <f aca="false">IF(AND(ISNUMBER(Panel_Inputs!P21),ISNUMBER(Panel_Inputs!Q21)),IF(Panel_Inputs!Q21&gt;0,100*Panel_Inputs!P21/Panel_Inputs!Q21,""),"")</f>
        <v>21.4390798448576</v>
      </c>
      <c r="I21" s="0" t="n">
        <f aca="false">IF(AND(ISNUMBER(Panel_Inputs!N21),ISNUMBER(C21)),IF(C21&gt;0,100*Panel_Inputs!N21/C21,""),"")</f>
        <v>0.438704834561745</v>
      </c>
      <c r="J21" s="0" t="n">
        <f aca="false">IF(AND(ISNUMBER(Panel_Inputs!L21),ISNUMBER(Panel_Inputs!O21)),IF(Panel_Inputs!O21&gt;0,100*Panel_Inputs!L21/Panel_Inputs!O21,""),"")</f>
        <v>56.5957079978094</v>
      </c>
      <c r="K21" s="0" t="n">
        <f aca="false">IF(AND(ISNUMBER(Panel_Inputs!O21),ISNUMBER(Panel_Inputs!K21)),IF(Panel_Inputs!K21&gt;0,100*Panel_Inputs!O21/Panel_Inputs!K21,""),"")</f>
        <v>19.8555967583275</v>
      </c>
      <c r="L21" s="0" t="str">
        <f aca="false">IF(AND(ISNUMBER(Panel_Inputs!R21),ISNUMBER(Panel_Inputs!K21)),IF(Panel_Inputs!K21&gt;0,100*Panel_Inputs!R21/Panel_Inputs!K21,""),"")</f>
        <v/>
      </c>
      <c r="M21" s="0" t="str">
        <f aca="false">IF(AND(ISNUMBER(Panel_Inputs!S21),ISNUMBER(Panel_Inputs!R21)),IF(Panel_Inputs!R21&gt;0,100*Panel_Inputs!S21/Panel_Inputs!R21,""),"")</f>
        <v/>
      </c>
      <c r="N21" s="0" t="n">
        <f aca="false">IF(AND(ISNUMBER(Panel_Inputs!E21),ISNUMBER(Panel_Inputs!F21)),IF(Panel_Inputs!F21&gt;0,100*Panel_Inputs!E21/Panel_Inputs!F21,""),"")</f>
        <v>0.369824649976769</v>
      </c>
      <c r="O21" s="0" t="n">
        <f aca="false">IF(AND(ISNUMBER(Panel_Inputs!G21),ISNUMBER(Panel_Inputs!F21)),IF(Panel_Inputs!F21&gt;0,100*Panel_Inputs!G21/Panel_Inputs!F21,""),"")</f>
        <v>86.3392618689613</v>
      </c>
      <c r="P21" s="0" t="n">
        <f aca="false">IF(ISNUMBER(Panel_Inputs!F21),IF(Panel_Inputs!F21&gt;0,LN(Panel_Inputs!F21),""),"")</f>
        <v>14.5979096037446</v>
      </c>
      <c r="Q21" s="0" t="n">
        <f aca="false">IF(AND(ISNUMBER(Panel_Inputs!F21),ISNUMBER(Panel_Inputs!G21),ISNUMBER(Panel_Inputs!H21)),Panel_Inputs!F21-Panel_Inputs!G21-Panel_Inputs!H21,"")</f>
        <v>0</v>
      </c>
      <c r="R21" s="0" t="n">
        <f aca="false">IF(AND(ISNUMBER(Panel_Inputs!K21),ISNUMBER(Panel_Inputs!L21),ISNUMBER(Panel_Inputs!M21)),Panel_Inputs!K21-Panel_Inputs!L21-Panel_Inputs!M21,"")</f>
        <v>0</v>
      </c>
      <c r="S21" s="0" t="str">
        <f aca="false">IF(AND(ISNUMBER(Panel_Inputs!V21),Panel_Inputs!W21=1),Panel_Inputs!V21,"")</f>
        <v/>
      </c>
      <c r="T21" s="0" t="str">
        <f aca="false">IF(AND(ISNUMBER(Panel_Inputs!T21),ISNUMBER(Panel_Inputs!U21)),Panel_Inputs!T21-Panel_Inputs!U21,"")</f>
        <v/>
      </c>
    </row>
    <row r="22" customFormat="false" ht="15" hidden="false" customHeight="false" outlineLevel="0" collapsed="false">
      <c r="A22" s="0" t="str">
        <f aca="false">Panel_Inputs!A22</f>
        <v>Ecobank Nigeria</v>
      </c>
      <c r="B22" s="0" t="n">
        <f aca="false">Panel_Inputs!B22</f>
        <v>2021</v>
      </c>
      <c r="C22" s="0" t="n">
        <f aca="false">IF(AND(ISNUMBER(Panel_Inputs!F22),ISNUMBER(Panel_Inputs!J22)),IF(AND(Panel_Inputs!F22&gt;0,Panel_Inputs!J22&gt;0),(Panel_Inputs!F22+Panel_Inputs!J22)/2,""),"")</f>
        <v>2330895</v>
      </c>
      <c r="D22" s="0" t="n">
        <f aca="false">IF(AND(ISNUMBER(Panel_Inputs!E22),ISNUMBER(C22)),IF(C22&gt;0,100*Panel_Inputs!E22/C22,""),"")</f>
        <v>0.418980691965962</v>
      </c>
      <c r="E22" s="0" t="n">
        <f aca="false">IF(AND(ISNUMBER(Panel_Inputs!H22),ISNUMBER(Panel_Inputs!F22)),IF(Panel_Inputs!F22&gt;0,100*Panel_Inputs!H22/Panel_Inputs!F22,""),"")</f>
        <v>11.2633576544425</v>
      </c>
      <c r="F22" s="0" t="n">
        <f aca="false">IF(AND(ISNUMBER(Panel_Inputs!I22),ISNUMBER(C22)),IF(C22&gt;0,100*Panel_Inputs!I22/C22,""),"")</f>
        <v>-3.72131734805729</v>
      </c>
      <c r="G22" s="0" t="n">
        <f aca="false">IF(AND(ISNUMBER(Panel_Inputs!L22),ISNUMBER(Panel_Inputs!K22)),IF(Panel_Inputs!K22&gt;0,100*Panel_Inputs!L22/Panel_Inputs!K22,""),"")</f>
        <v>8.75265718018152</v>
      </c>
      <c r="H22" s="0" t="n">
        <f aca="false">IF(AND(ISNUMBER(Panel_Inputs!P22),ISNUMBER(Panel_Inputs!Q22)),IF(Panel_Inputs!Q22&gt;0,100*Panel_Inputs!P22/Panel_Inputs!Q22,""),"")</f>
        <v>11.4800518957563</v>
      </c>
      <c r="I22" s="0" t="n">
        <f aca="false">IF(AND(ISNUMBER(Panel_Inputs!N22),ISNUMBER(C22)),IF(C22&gt;0,100*Panel_Inputs!N22/C22,""),"")</f>
        <v>0.302072808942488</v>
      </c>
      <c r="J22" s="0" t="n">
        <f aca="false">IF(AND(ISNUMBER(Panel_Inputs!L22),ISNUMBER(Panel_Inputs!O22)),IF(Panel_Inputs!O22&gt;0,100*Panel_Inputs!L22/Panel_Inputs!O22,""),"")</f>
        <v>53.5404552799059</v>
      </c>
      <c r="K22" s="0" t="n">
        <f aca="false">IF(AND(ISNUMBER(Panel_Inputs!O22),ISNUMBER(Panel_Inputs!K22)),IF(Panel_Inputs!K22&gt;0,100*Panel_Inputs!O22/Panel_Inputs!K22,""),"")</f>
        <v>16.3477451478947</v>
      </c>
      <c r="L22" s="0" t="str">
        <f aca="false">IF(AND(ISNUMBER(Panel_Inputs!R22),ISNUMBER(Panel_Inputs!K22)),IF(Panel_Inputs!K22&gt;0,100*Panel_Inputs!R22/Panel_Inputs!K22,""),"")</f>
        <v/>
      </c>
      <c r="M22" s="0" t="str">
        <f aca="false">IF(AND(ISNUMBER(Panel_Inputs!S22),ISNUMBER(Panel_Inputs!R22)),IF(Panel_Inputs!R22&gt;0,100*Panel_Inputs!S22/Panel_Inputs!R22,""),"")</f>
        <v/>
      </c>
      <c r="N22" s="0" t="n">
        <f aca="false">IF(AND(ISNUMBER(Panel_Inputs!E22),ISNUMBER(Panel_Inputs!F22)),IF(Panel_Inputs!F22&gt;0,100*Panel_Inputs!E22/Panel_Inputs!F22,""),"")</f>
        <v>0.394573264126115</v>
      </c>
      <c r="O22" s="0" t="n">
        <f aca="false">IF(AND(ISNUMBER(Panel_Inputs!G22),ISNUMBER(Panel_Inputs!F22)),IF(Panel_Inputs!F22&gt;0,100*Panel_Inputs!G22/Panel_Inputs!F22,""),"")</f>
        <v>88.7366423455575</v>
      </c>
      <c r="P22" s="0" t="n">
        <f aca="false">IF(ISNUMBER(Panel_Inputs!F22),IF(Panel_Inputs!F22&gt;0,LN(Panel_Inputs!F22),""),"")</f>
        <v>14.7217828726674</v>
      </c>
      <c r="Q22" s="0" t="n">
        <f aca="false">IF(AND(ISNUMBER(Panel_Inputs!F22),ISNUMBER(Panel_Inputs!G22),ISNUMBER(Panel_Inputs!H22)),Panel_Inputs!F22-Panel_Inputs!G22-Panel_Inputs!H22,"")</f>
        <v>0</v>
      </c>
      <c r="R22" s="0" t="n">
        <f aca="false">IF(AND(ISNUMBER(Panel_Inputs!K22),ISNUMBER(Panel_Inputs!L22),ISNUMBER(Panel_Inputs!M22)),Panel_Inputs!K22-Panel_Inputs!L22-Panel_Inputs!M22,"")</f>
        <v>0</v>
      </c>
      <c r="S22" s="0" t="str">
        <f aca="false">IF(AND(ISNUMBER(Panel_Inputs!V22),Panel_Inputs!W22=1),Panel_Inputs!V22,"")</f>
        <v/>
      </c>
      <c r="T22" s="0" t="str">
        <f aca="false">IF(AND(ISNUMBER(Panel_Inputs!T22),ISNUMBER(Panel_Inputs!U22)),Panel_Inputs!T22-Panel_Inputs!U22,"")</f>
        <v/>
      </c>
    </row>
    <row r="23" customFormat="false" ht="15" hidden="false" customHeight="false" outlineLevel="0" collapsed="false">
      <c r="A23" s="0" t="str">
        <f aca="false">Panel_Inputs!A23</f>
        <v>Ecobank Nigeria</v>
      </c>
      <c r="B23" s="0" t="n">
        <f aca="false">Panel_Inputs!B23</f>
        <v>2022</v>
      </c>
      <c r="C23" s="0" t="n">
        <f aca="false">IF(AND(ISNUMBER(Panel_Inputs!F23),ISNUMBER(Panel_Inputs!J23)),IF(AND(Panel_Inputs!F23&gt;0,Panel_Inputs!J23&gt;0),(Panel_Inputs!F23+Panel_Inputs!J23)/2,""),"")</f>
        <v>2696384</v>
      </c>
      <c r="D23" s="0" t="n">
        <f aca="false">IF(AND(ISNUMBER(Panel_Inputs!E23),ISNUMBER(C23)),IF(C23&gt;0,100*Panel_Inputs!E23/C23,""),"")</f>
        <v>0.385553392988536</v>
      </c>
      <c r="E23" s="0" t="n">
        <f aca="false">IF(AND(ISNUMBER(Panel_Inputs!H23),ISNUMBER(Panel_Inputs!F23)),IF(Panel_Inputs!F23&gt;0,100*Panel_Inputs!H23/Panel_Inputs!F23,""),"")</f>
        <v>10.0974778326271</v>
      </c>
      <c r="F23" s="0" t="n">
        <f aca="false">IF(AND(ISNUMBER(Panel_Inputs!I23),ISNUMBER(C23)),IF(C23&gt;0,100*Panel_Inputs!I23/C23,""),"")</f>
        <v>-2.80531259642544</v>
      </c>
      <c r="G23" s="0" t="n">
        <f aca="false">IF(AND(ISNUMBER(Panel_Inputs!L23),ISNUMBER(Panel_Inputs!K23)),IF(Panel_Inputs!K23&gt;0,100*Panel_Inputs!L23/Panel_Inputs!K23,""),"")</f>
        <v>5.2826752112482</v>
      </c>
      <c r="H23" s="0" t="n">
        <f aca="false">IF(AND(ISNUMBER(Panel_Inputs!P23),ISNUMBER(Panel_Inputs!Q23)),IF(Panel_Inputs!Q23&gt;0,100*Panel_Inputs!P23/Panel_Inputs!Q23,""),"")</f>
        <v>13.2720638696985</v>
      </c>
      <c r="I23" s="0" t="n">
        <f aca="false">IF(AND(ISNUMBER(Panel_Inputs!N23),ISNUMBER(C23)),IF(C23&gt;0,100*Panel_Inputs!N23/C23,""),"")</f>
        <v>0.459022157081484</v>
      </c>
      <c r="J23" s="0" t="n">
        <f aca="false">IF(AND(ISNUMBER(Panel_Inputs!L23),ISNUMBER(Panel_Inputs!O23)),IF(Panel_Inputs!O23&gt;0,100*Panel_Inputs!L23/Panel_Inputs!O23,""),"")</f>
        <v>76.3588672463205</v>
      </c>
      <c r="K23" s="0" t="n">
        <f aca="false">IF(AND(ISNUMBER(Panel_Inputs!O23),ISNUMBER(Panel_Inputs!K23)),IF(Panel_Inputs!K23&gt;0,100*Panel_Inputs!O23/Panel_Inputs!K23,""),"")</f>
        <v>6.91822102887829</v>
      </c>
      <c r="L23" s="0" t="str">
        <f aca="false">IF(AND(ISNUMBER(Panel_Inputs!R23),ISNUMBER(Panel_Inputs!K23)),IF(Panel_Inputs!K23&gt;0,100*Panel_Inputs!R23/Panel_Inputs!K23,""),"")</f>
        <v/>
      </c>
      <c r="M23" s="0" t="str">
        <f aca="false">IF(AND(ISNUMBER(Panel_Inputs!S23),ISNUMBER(Panel_Inputs!R23)),IF(Panel_Inputs!R23&gt;0,100*Panel_Inputs!S23/Panel_Inputs!R23,""),"")</f>
        <v/>
      </c>
      <c r="N23" s="0" t="n">
        <f aca="false">IF(AND(ISNUMBER(Panel_Inputs!E23),ISNUMBER(Panel_Inputs!F23)),IF(Panel_Inputs!F23&gt;0,100*Panel_Inputs!E23/Panel_Inputs!F23,""),"")</f>
        <v>0.356309394181491</v>
      </c>
      <c r="O23" s="0" t="n">
        <f aca="false">IF(AND(ISNUMBER(Panel_Inputs!G23),ISNUMBER(Panel_Inputs!F23)),IF(Panel_Inputs!F23&gt;0,100*Panel_Inputs!G23/Panel_Inputs!F23,""),"")</f>
        <v>89.9025221673729</v>
      </c>
      <c r="P23" s="0" t="n">
        <f aca="false">IF(ISNUMBER(Panel_Inputs!F23),IF(Panel_Inputs!F23&gt;0,LN(Panel_Inputs!F23),""),"")</f>
        <v>14.8863024225356</v>
      </c>
      <c r="Q23" s="0" t="n">
        <f aca="false">IF(AND(ISNUMBER(Panel_Inputs!F23),ISNUMBER(Panel_Inputs!G23),ISNUMBER(Panel_Inputs!H23)),Panel_Inputs!F23-Panel_Inputs!G23-Panel_Inputs!H23,"")</f>
        <v>0</v>
      </c>
      <c r="R23" s="0" t="n">
        <f aca="false">IF(AND(ISNUMBER(Panel_Inputs!K23),ISNUMBER(Panel_Inputs!L23),ISNUMBER(Panel_Inputs!M23)),Panel_Inputs!K23-Panel_Inputs!L23-Panel_Inputs!M23,"")</f>
        <v>0</v>
      </c>
      <c r="S23" s="0" t="str">
        <f aca="false">IF(AND(ISNUMBER(Panel_Inputs!V23),Panel_Inputs!W23=1),Panel_Inputs!V23,"")</f>
        <v/>
      </c>
      <c r="T23" s="0" t="str">
        <f aca="false">IF(AND(ISNUMBER(Panel_Inputs!T23),ISNUMBER(Panel_Inputs!U23)),Panel_Inputs!T23-Panel_Inputs!U23,"")</f>
        <v/>
      </c>
    </row>
    <row r="24" customFormat="false" ht="15" hidden="false" customHeight="false" outlineLevel="0" collapsed="false">
      <c r="A24" s="0" t="str">
        <f aca="false">Panel_Inputs!A24</f>
        <v>Fidelity</v>
      </c>
      <c r="B24" s="0" t="n">
        <f aca="false">Panel_Inputs!B24</f>
        <v>2013</v>
      </c>
      <c r="C24" s="0" t="n">
        <f aca="false">IF(AND(ISNUMBER(Panel_Inputs!F24),ISNUMBER(Panel_Inputs!J24)),IF(AND(Panel_Inputs!F24&gt;0,Panel_Inputs!J24&gt;0),(Panel_Inputs!F24+Panel_Inputs!J24)/2,""),"")</f>
        <v>997788.5</v>
      </c>
      <c r="D24" s="0" t="n">
        <f aca="false">IF(AND(ISNUMBER(Panel_Inputs!E24),ISNUMBER(C24)),IF(C24&gt;0,100*Panel_Inputs!E24/C24,""),"")</f>
        <v>0.7738112836538</v>
      </c>
      <c r="E24" s="0" t="n">
        <f aca="false">IF(AND(ISNUMBER(Panel_Inputs!H24),ISNUMBER(Panel_Inputs!F24)),IF(Panel_Inputs!F24&gt;0,100*Panel_Inputs!H24/Panel_Inputs!F24,""),"")</f>
        <v>15.1176868288234</v>
      </c>
      <c r="F24" s="0" t="n">
        <f aca="false">IF(AND(ISNUMBER(Panel_Inputs!I24),ISNUMBER(C24)),IF(C24&gt;0,100*Panel_Inputs!I24/C24,""),"")</f>
        <v>1.50813524108566</v>
      </c>
      <c r="G24" s="0" t="n">
        <f aca="false">IF(AND(ISNUMBER(Panel_Inputs!L24),ISNUMBER(Panel_Inputs!K24)),IF(Panel_Inputs!K24&gt;0,100*Panel_Inputs!L24/Panel_Inputs!K24,""),"")</f>
        <v>3.74405002609291</v>
      </c>
      <c r="H24" s="0" t="str">
        <f aca="false">IF(AND(ISNUMBER(Panel_Inputs!P24),ISNUMBER(Panel_Inputs!Q24)),IF(Panel_Inputs!Q24&gt;0,100*Panel_Inputs!P24/Panel_Inputs!Q24,""),"")</f>
        <v/>
      </c>
      <c r="I24" s="0" t="n">
        <f aca="false">IF(AND(ISNUMBER(Panel_Inputs!N24),ISNUMBER(C24)),IF(C24&gt;0,100*Panel_Inputs!N24/C24,""),"")</f>
        <v>0.764691114399494</v>
      </c>
      <c r="J24" s="0" t="str">
        <f aca="false">IF(AND(ISNUMBER(Panel_Inputs!L24),ISNUMBER(Panel_Inputs!O24)),IF(Panel_Inputs!O24&gt;0,100*Panel_Inputs!L24/Panel_Inputs!O24,""),"")</f>
        <v/>
      </c>
      <c r="K24" s="0" t="str">
        <f aca="false">IF(AND(ISNUMBER(Panel_Inputs!O24),ISNUMBER(Panel_Inputs!K24)),IF(Panel_Inputs!K24&gt;0,100*Panel_Inputs!O24/Panel_Inputs!K24,""),"")</f>
        <v/>
      </c>
      <c r="L24" s="0" t="str">
        <f aca="false">IF(AND(ISNUMBER(Panel_Inputs!R24),ISNUMBER(Panel_Inputs!K24)),IF(Panel_Inputs!K24&gt;0,100*Panel_Inputs!R24/Panel_Inputs!K24,""),"")</f>
        <v/>
      </c>
      <c r="M24" s="0" t="str">
        <f aca="false">IF(AND(ISNUMBER(Panel_Inputs!S24),ISNUMBER(Panel_Inputs!R24)),IF(Panel_Inputs!R24&gt;0,100*Panel_Inputs!S24/Panel_Inputs!R24,""),"")</f>
        <v/>
      </c>
      <c r="N24" s="0" t="n">
        <f aca="false">IF(AND(ISNUMBER(Panel_Inputs!E24),ISNUMBER(Panel_Inputs!F24)),IF(Panel_Inputs!F24&gt;0,100*Panel_Inputs!E24/Panel_Inputs!F24,""),"")</f>
        <v>0.714102719435599</v>
      </c>
      <c r="O24" s="0" t="n">
        <f aca="false">IF(AND(ISNUMBER(Panel_Inputs!G24),ISNUMBER(Panel_Inputs!F24)),IF(Panel_Inputs!F24&gt;0,100*Panel_Inputs!G24/Panel_Inputs!F24,""),"")</f>
        <v>84.8823131711766</v>
      </c>
      <c r="P24" s="0" t="n">
        <f aca="false">IF(ISNUMBER(Panel_Inputs!F24),IF(Panel_Inputs!F24&gt;0,LN(Panel_Inputs!F24),""),"")</f>
        <v>13.8935978165313</v>
      </c>
      <c r="Q24" s="0" t="n">
        <f aca="false">IF(AND(ISNUMBER(Panel_Inputs!F24),ISNUMBER(Panel_Inputs!G24),ISNUMBER(Panel_Inputs!H24)),Panel_Inputs!F24-Panel_Inputs!G24-Panel_Inputs!H24,"")</f>
        <v>0</v>
      </c>
      <c r="R24" s="0" t="str">
        <f aca="false">IF(AND(ISNUMBER(Panel_Inputs!K24),ISNUMBER(Panel_Inputs!L24),ISNUMBER(Panel_Inputs!M24)),Panel_Inputs!K24-Panel_Inputs!L24-Panel_Inputs!M24,"")</f>
        <v/>
      </c>
      <c r="S24" s="0" t="str">
        <f aca="false">IF(AND(ISNUMBER(Panel_Inputs!V24),Panel_Inputs!W24=1),Panel_Inputs!V24,"")</f>
        <v/>
      </c>
      <c r="T24" s="0" t="str">
        <f aca="false">IF(AND(ISNUMBER(Panel_Inputs!T24),ISNUMBER(Panel_Inputs!U24)),Panel_Inputs!T24-Panel_Inputs!U24,"")</f>
        <v/>
      </c>
    </row>
    <row r="25" customFormat="false" ht="15" hidden="false" customHeight="false" outlineLevel="0" collapsed="false">
      <c r="A25" s="0" t="str">
        <f aca="false">Panel_Inputs!A25</f>
        <v>Fidelity</v>
      </c>
      <c r="B25" s="0" t="n">
        <f aca="false">Panel_Inputs!B25</f>
        <v>2014</v>
      </c>
      <c r="C25" s="0" t="n">
        <f aca="false">IF(AND(ISNUMBER(Panel_Inputs!F25),ISNUMBER(Panel_Inputs!J25)),IF(AND(Panel_Inputs!F25&gt;0,Panel_Inputs!J25&gt;0),(Panel_Inputs!F25+Panel_Inputs!J25)/2,""),"")</f>
        <v>1134121</v>
      </c>
      <c r="D25" s="0" t="n">
        <f aca="false">IF(AND(ISNUMBER(Panel_Inputs!E25),ISNUMBER(C25)),IF(C25&gt;0,100*Panel_Inputs!E25/C25,""),"")</f>
        <v>1.21644868581042</v>
      </c>
      <c r="E25" s="0" t="n">
        <f aca="false">IF(AND(ISNUMBER(Panel_Inputs!H25),ISNUMBER(Panel_Inputs!F25)),IF(Panel_Inputs!F25&gt;0,100*Panel_Inputs!H25/Panel_Inputs!F25,""),"")</f>
        <v>14.5836018617974</v>
      </c>
      <c r="F25" s="0" t="n">
        <f aca="false">IF(AND(ISNUMBER(Panel_Inputs!I25),ISNUMBER(C25)),IF(C25&gt;0,100*Panel_Inputs!I25/C25,""),"")</f>
        <v>4.72304101590571</v>
      </c>
      <c r="G25" s="0" t="n">
        <f aca="false">IF(AND(ISNUMBER(Panel_Inputs!L25),ISNUMBER(Panel_Inputs!K25)),IF(Panel_Inputs!K25&gt;0,100*Panel_Inputs!L25/Panel_Inputs!K25,""),"")</f>
        <v>3.12105977604773</v>
      </c>
      <c r="H25" s="0" t="n">
        <f aca="false">IF(AND(ISNUMBER(Panel_Inputs!P25),ISNUMBER(Panel_Inputs!Q25)),IF(Panel_Inputs!Q25&gt;0,100*Panel_Inputs!P25/Panel_Inputs!Q25,""),"")</f>
        <v>24.2093077890319</v>
      </c>
      <c r="I25" s="0" t="n">
        <f aca="false">IF(AND(ISNUMBER(Panel_Inputs!N25),ISNUMBER(C25)),IF(C25&gt;0,100*Panel_Inputs!N25/C25,""),"")</f>
        <v>0.379677300746569</v>
      </c>
      <c r="J25" s="0" t="str">
        <f aca="false">IF(AND(ISNUMBER(Panel_Inputs!L25),ISNUMBER(Panel_Inputs!O25)),IF(Panel_Inputs!O25&gt;0,100*Panel_Inputs!L25/Panel_Inputs!O25,""),"")</f>
        <v/>
      </c>
      <c r="K25" s="0" t="str">
        <f aca="false">IF(AND(ISNUMBER(Panel_Inputs!O25),ISNUMBER(Panel_Inputs!K25)),IF(Panel_Inputs!K25&gt;0,100*Panel_Inputs!O25/Panel_Inputs!K25,""),"")</f>
        <v/>
      </c>
      <c r="L25" s="0" t="str">
        <f aca="false">IF(AND(ISNUMBER(Panel_Inputs!R25),ISNUMBER(Panel_Inputs!K25)),IF(Panel_Inputs!K25&gt;0,100*Panel_Inputs!R25/Panel_Inputs!K25,""),"")</f>
        <v/>
      </c>
      <c r="M25" s="0" t="str">
        <f aca="false">IF(AND(ISNUMBER(Panel_Inputs!S25),ISNUMBER(Panel_Inputs!R25)),IF(Panel_Inputs!R25&gt;0,100*Panel_Inputs!S25/Panel_Inputs!R25,""),"")</f>
        <v/>
      </c>
      <c r="N25" s="0" t="n">
        <f aca="false">IF(AND(ISNUMBER(Panel_Inputs!E25),ISNUMBER(Panel_Inputs!F25)),IF(Panel_Inputs!F25&gt;0,100*Panel_Inputs!E25/Panel_Inputs!F25,""),"")</f>
        <v>1.16223331437838</v>
      </c>
      <c r="O25" s="0" t="n">
        <f aca="false">IF(AND(ISNUMBER(Panel_Inputs!G25),ISNUMBER(Panel_Inputs!F25)),IF(Panel_Inputs!F25&gt;0,100*Panel_Inputs!G25/Panel_Inputs!F25,""),"")</f>
        <v>85.4163981382027</v>
      </c>
      <c r="P25" s="0" t="n">
        <f aca="false">IF(ISNUMBER(Panel_Inputs!F25),IF(Panel_Inputs!F25&gt;0,LN(Panel_Inputs!F25),""),"")</f>
        <v>13.9869607348696</v>
      </c>
      <c r="Q25" s="0" t="n">
        <f aca="false">IF(AND(ISNUMBER(Panel_Inputs!F25),ISNUMBER(Panel_Inputs!G25),ISNUMBER(Panel_Inputs!H25)),Panel_Inputs!F25-Panel_Inputs!G25-Panel_Inputs!H25,"")</f>
        <v>0</v>
      </c>
      <c r="R25" s="0" t="n">
        <f aca="false">IF(AND(ISNUMBER(Panel_Inputs!K25),ISNUMBER(Panel_Inputs!L25),ISNUMBER(Panel_Inputs!M25)),Panel_Inputs!K25-Panel_Inputs!L25-Panel_Inputs!M25,"")</f>
        <v>0</v>
      </c>
      <c r="S25" s="0" t="str">
        <f aca="false">IF(AND(ISNUMBER(Panel_Inputs!V25),Panel_Inputs!W25=1),Panel_Inputs!V25,"")</f>
        <v/>
      </c>
      <c r="T25" s="0" t="n">
        <f aca="false">IF(AND(ISNUMBER(Panel_Inputs!T25),ISNUMBER(Panel_Inputs!U25)),Panel_Inputs!T25-Panel_Inputs!U25,"")</f>
        <v>9.21</v>
      </c>
    </row>
    <row r="26" customFormat="false" ht="15" hidden="false" customHeight="false" outlineLevel="0" collapsed="false">
      <c r="A26" s="0" t="str">
        <f aca="false">Panel_Inputs!A26</f>
        <v>Fidelity</v>
      </c>
      <c r="B26" s="0" t="n">
        <f aca="false">Panel_Inputs!B26</f>
        <v>2015</v>
      </c>
      <c r="C26" s="0" t="n">
        <f aca="false">IF(AND(ISNUMBER(Panel_Inputs!F26),ISNUMBER(Panel_Inputs!J26)),IF(AND(Panel_Inputs!F26&gt;0,Panel_Inputs!J26&gt;0),(Panel_Inputs!F26+Panel_Inputs!J26)/2,""),"")</f>
        <v>1209373.5</v>
      </c>
      <c r="D26" s="0" t="n">
        <f aca="false">IF(AND(ISNUMBER(Panel_Inputs!E26),ISNUMBER(C26)),IF(C26&gt;0,100*Panel_Inputs!E26/C26,""),"")</f>
        <v>1.14968618048932</v>
      </c>
      <c r="E26" s="0" t="n">
        <f aca="false">IF(AND(ISNUMBER(Panel_Inputs!H26),ISNUMBER(Panel_Inputs!F26)),IF(Panel_Inputs!F26&gt;0,100*Panel_Inputs!H26/Panel_Inputs!F26,""),"")</f>
        <v>14.8991412023168</v>
      </c>
      <c r="F26" s="0" t="n">
        <f aca="false">IF(AND(ISNUMBER(Panel_Inputs!I26),ISNUMBER(C26)),IF(C26&gt;0,100*Panel_Inputs!I26/C26,""),"")</f>
        <v>8.85847093557119</v>
      </c>
      <c r="G26" s="0" t="n">
        <f aca="false">IF(AND(ISNUMBER(Panel_Inputs!L26),ISNUMBER(Panel_Inputs!K26)),IF(Panel_Inputs!K26&gt;0,100*Panel_Inputs!L26/Panel_Inputs!K26,""),"")</f>
        <v>3.46857480575247</v>
      </c>
      <c r="H26" s="0" t="n">
        <f aca="false">IF(AND(ISNUMBER(Panel_Inputs!P26),ISNUMBER(Panel_Inputs!Q26)),IF(Panel_Inputs!Q26&gt;0,100*Panel_Inputs!P26/Panel_Inputs!Q26,""),"")</f>
        <v>18.9311524392774</v>
      </c>
      <c r="I26" s="0" t="n">
        <f aca="false">IF(AND(ISNUMBER(Panel_Inputs!N26),ISNUMBER(C26)),IF(C26&gt;0,100*Panel_Inputs!N26/C26,""),"")</f>
        <v>0.476610410266142</v>
      </c>
      <c r="J26" s="0" t="str">
        <f aca="false">IF(AND(ISNUMBER(Panel_Inputs!L26),ISNUMBER(Panel_Inputs!O26)),IF(Panel_Inputs!O26&gt;0,100*Panel_Inputs!L26/Panel_Inputs!O26,""),"")</f>
        <v/>
      </c>
      <c r="K26" s="0" t="str">
        <f aca="false">IF(AND(ISNUMBER(Panel_Inputs!O26),ISNUMBER(Panel_Inputs!K26)),IF(Panel_Inputs!K26&gt;0,100*Panel_Inputs!O26/Panel_Inputs!K26,""),"")</f>
        <v/>
      </c>
      <c r="L26" s="0" t="str">
        <f aca="false">IF(AND(ISNUMBER(Panel_Inputs!R26),ISNUMBER(Panel_Inputs!K26)),IF(Panel_Inputs!K26&gt;0,100*Panel_Inputs!R26/Panel_Inputs!K26,""),"")</f>
        <v/>
      </c>
      <c r="M26" s="0" t="str">
        <f aca="false">IF(AND(ISNUMBER(Panel_Inputs!S26),ISNUMBER(Panel_Inputs!R26)),IF(Panel_Inputs!R26&gt;0,100*Panel_Inputs!S26/Panel_Inputs!R26,""),"")</f>
        <v/>
      </c>
      <c r="N26" s="0" t="n">
        <f aca="false">IF(AND(ISNUMBER(Panel_Inputs!E26),ISNUMBER(Panel_Inputs!F26)),IF(Panel_Inputs!F26&gt;0,100*Panel_Inputs!E26/Panel_Inputs!F26,""),"")</f>
        <v>1.1288261474586</v>
      </c>
      <c r="O26" s="0" t="n">
        <f aca="false">IF(AND(ISNUMBER(Panel_Inputs!G26),ISNUMBER(Panel_Inputs!F26)),IF(Panel_Inputs!F26&gt;0,100*Panel_Inputs!G26/Panel_Inputs!F26,""),"")</f>
        <v>85.1008587976832</v>
      </c>
      <c r="P26" s="0" t="n">
        <f aca="false">IF(ISNUMBER(Panel_Inputs!F26),IF(Panel_Inputs!F26&gt;0,LN(Panel_Inputs!F26),""),"")</f>
        <v>14.0239237482623</v>
      </c>
      <c r="Q26" s="0" t="n">
        <f aca="false">IF(AND(ISNUMBER(Panel_Inputs!F26),ISNUMBER(Panel_Inputs!G26),ISNUMBER(Panel_Inputs!H26)),Panel_Inputs!F26-Panel_Inputs!G26-Panel_Inputs!H26,"")</f>
        <v>0</v>
      </c>
      <c r="R26" s="0" t="n">
        <f aca="false">IF(AND(ISNUMBER(Panel_Inputs!K26),ISNUMBER(Panel_Inputs!L26),ISNUMBER(Panel_Inputs!M26)),Panel_Inputs!K26-Panel_Inputs!L26-Panel_Inputs!M26,"")</f>
        <v>-1</v>
      </c>
      <c r="S26" s="0" t="str">
        <f aca="false">IF(AND(ISNUMBER(Panel_Inputs!V26),Panel_Inputs!W26=1),Panel_Inputs!V26,"")</f>
        <v/>
      </c>
      <c r="T26" s="0" t="n">
        <f aca="false">IF(AND(ISNUMBER(Panel_Inputs!T26),ISNUMBER(Panel_Inputs!U26)),Panel_Inputs!T26-Panel_Inputs!U26,"")</f>
        <v>4</v>
      </c>
    </row>
    <row r="27" customFormat="false" ht="15" hidden="false" customHeight="false" outlineLevel="0" collapsed="false">
      <c r="A27" s="0" t="str">
        <f aca="false">Panel_Inputs!A27</f>
        <v>Fidelity</v>
      </c>
      <c r="B27" s="0" t="n">
        <f aca="false">Panel_Inputs!B27</f>
        <v>2016</v>
      </c>
      <c r="C27" s="0" t="n">
        <f aca="false">IF(AND(ISNUMBER(Panel_Inputs!F27),ISNUMBER(Panel_Inputs!J27)),IF(AND(Panel_Inputs!F27&gt;0,Panel_Inputs!J27&gt;0),(Panel_Inputs!F27+Panel_Inputs!J27)/2,""),"")</f>
        <v>1264931.5</v>
      </c>
      <c r="D27" s="0" t="n">
        <f aca="false">IF(AND(ISNUMBER(Panel_Inputs!E27),ISNUMBER(C27)),IF(C27&gt;0,100*Panel_Inputs!E27/C27,""),"")</f>
        <v>0.76952783609231</v>
      </c>
      <c r="E27" s="0" t="n">
        <f aca="false">IF(AND(ISNUMBER(Panel_Inputs!H27),ISNUMBER(Panel_Inputs!F27)),IF(Panel_Inputs!F27&gt;0,100*Panel_Inputs!H27/Panel_Inputs!F27,""),"")</f>
        <v>14.2821157331908</v>
      </c>
      <c r="F27" s="0" t="n">
        <f aca="false">IF(AND(ISNUMBER(Panel_Inputs!I27),ISNUMBER(C27)),IF(C27&gt;0,100*Panel_Inputs!I27/C27,""),"")</f>
        <v>-4.49882068712812</v>
      </c>
      <c r="G27" s="0" t="n">
        <f aca="false">IF(AND(ISNUMBER(Panel_Inputs!L27),ISNUMBER(Panel_Inputs!K27)),IF(Panel_Inputs!K27&gt;0,100*Panel_Inputs!L27/Panel_Inputs!K27,""),"")</f>
        <v>3.32638066530305</v>
      </c>
      <c r="H27" s="0" t="n">
        <f aca="false">IF(AND(ISNUMBER(Panel_Inputs!P27),ISNUMBER(Panel_Inputs!Q27)),IF(Panel_Inputs!Q27&gt;0,100*Panel_Inputs!P27/Panel_Inputs!Q27,""),"")</f>
        <v>17.2995050331296</v>
      </c>
      <c r="I27" s="0" t="n">
        <f aca="false">IF(AND(ISNUMBER(Panel_Inputs!N27),ISNUMBER(C27)),IF(C27&gt;0,100*Panel_Inputs!N27/C27,""),"")</f>
        <v>0.685491664963676</v>
      </c>
      <c r="J27" s="0" t="str">
        <f aca="false">IF(AND(ISNUMBER(Panel_Inputs!L27),ISNUMBER(Panel_Inputs!O27)),IF(Panel_Inputs!O27&gt;0,100*Panel_Inputs!L27/Panel_Inputs!O27,""),"")</f>
        <v/>
      </c>
      <c r="K27" s="0" t="str">
        <f aca="false">IF(AND(ISNUMBER(Panel_Inputs!O27),ISNUMBER(Panel_Inputs!K27)),IF(Panel_Inputs!K27&gt;0,100*Panel_Inputs!O27/Panel_Inputs!K27,""),"")</f>
        <v/>
      </c>
      <c r="L27" s="0" t="str">
        <f aca="false">IF(AND(ISNUMBER(Panel_Inputs!R27),ISNUMBER(Panel_Inputs!K27)),IF(Panel_Inputs!K27&gt;0,100*Panel_Inputs!R27/Panel_Inputs!K27,""),"")</f>
        <v/>
      </c>
      <c r="M27" s="0" t="str">
        <f aca="false">IF(AND(ISNUMBER(Panel_Inputs!S27),ISNUMBER(Panel_Inputs!R27)),IF(Panel_Inputs!R27&gt;0,100*Panel_Inputs!S27/Panel_Inputs!R27,""),"")</f>
        <v/>
      </c>
      <c r="N27" s="0" t="n">
        <f aca="false">IF(AND(ISNUMBER(Panel_Inputs!E27),ISNUMBER(Panel_Inputs!F27)),IF(Panel_Inputs!F27&gt;0,100*Panel_Inputs!E27/Panel_Inputs!F27,""),"")</f>
        <v>0.749841504120123</v>
      </c>
      <c r="O27" s="0" t="n">
        <f aca="false">IF(AND(ISNUMBER(Panel_Inputs!G27),ISNUMBER(Panel_Inputs!F27)),IF(Panel_Inputs!F27&gt;0,100*Panel_Inputs!G27/Panel_Inputs!F27,""),"")</f>
        <v>85.7178842668092</v>
      </c>
      <c r="P27" s="0" t="n">
        <f aca="false">IF(ISNUMBER(Panel_Inputs!F27),IF(Panel_Inputs!F27&gt;0,LN(Panel_Inputs!F27),""),"")</f>
        <v>14.076443799006</v>
      </c>
      <c r="Q27" s="0" t="n">
        <f aca="false">IF(AND(ISNUMBER(Panel_Inputs!F27),ISNUMBER(Panel_Inputs!G27),ISNUMBER(Panel_Inputs!H27)),Panel_Inputs!F27-Panel_Inputs!G27-Panel_Inputs!H27,"")</f>
        <v>0</v>
      </c>
      <c r="R27" s="0" t="n">
        <f aca="false">IF(AND(ISNUMBER(Panel_Inputs!K27),ISNUMBER(Panel_Inputs!L27),ISNUMBER(Panel_Inputs!M27)),Panel_Inputs!K27-Panel_Inputs!L27-Panel_Inputs!M27,"")</f>
        <v>0</v>
      </c>
      <c r="S27" s="0" t="str">
        <f aca="false">IF(AND(ISNUMBER(Panel_Inputs!V27),Panel_Inputs!W27=1),Panel_Inputs!V27,"")</f>
        <v/>
      </c>
      <c r="T27" s="0" t="n">
        <f aca="false">IF(AND(ISNUMBER(Panel_Inputs!T27),ISNUMBER(Panel_Inputs!U27)),Panel_Inputs!T27-Panel_Inputs!U27,"")</f>
        <v>2.22</v>
      </c>
    </row>
    <row r="28" customFormat="false" ht="15" hidden="false" customHeight="false" outlineLevel="0" collapsed="false">
      <c r="A28" s="0" t="str">
        <f aca="false">Panel_Inputs!A28</f>
        <v>Fidelity</v>
      </c>
      <c r="B28" s="0" t="n">
        <f aca="false">Panel_Inputs!B28</f>
        <v>2017</v>
      </c>
      <c r="C28" s="0" t="n">
        <f aca="false">IF(AND(ISNUMBER(Panel_Inputs!F28),ISNUMBER(Panel_Inputs!J28)),IF(AND(Panel_Inputs!F28&gt;0,Panel_Inputs!J28&gt;0),(Panel_Inputs!F28+Panel_Inputs!J28)/2,""),"")</f>
        <v>1338677.5</v>
      </c>
      <c r="D28" s="0" t="n">
        <f aca="false">IF(AND(ISNUMBER(Panel_Inputs!E28),ISNUMBER(C28)),IF(C28&gt;0,100*Panel_Inputs!E28/C28,""),"")</f>
        <v>1.40862903873412</v>
      </c>
      <c r="E28" s="0" t="n">
        <f aca="false">IF(AND(ISNUMBER(Panel_Inputs!H28),ISNUMBER(Panel_Inputs!F28)),IF(Panel_Inputs!F28&gt;0,100*Panel_Inputs!H28/Panel_Inputs!F28,""),"")</f>
        <v>14.7413671844978</v>
      </c>
      <c r="F28" s="0" t="n">
        <f aca="false">IF(AND(ISNUMBER(Panel_Inputs!I28),ISNUMBER(C28)),IF(C28&gt;0,100*Panel_Inputs!I28/C28,""),"")</f>
        <v>-2.84056466176506</v>
      </c>
      <c r="G28" s="0" t="n">
        <f aca="false">IF(AND(ISNUMBER(Panel_Inputs!L28),ISNUMBER(Panel_Inputs!K28)),IF(Panel_Inputs!K28&gt;0,100*Panel_Inputs!L28/Panel_Inputs!K28,""),"")</f>
        <v>3.34182053651698</v>
      </c>
      <c r="H28" s="0" t="n">
        <f aca="false">IF(AND(ISNUMBER(Panel_Inputs!P28),ISNUMBER(Panel_Inputs!Q28)),IF(Panel_Inputs!Q28&gt;0,100*Panel_Inputs!P28/Panel_Inputs!Q28,""),"")</f>
        <v>16.0299646223675</v>
      </c>
      <c r="I28" s="0" t="n">
        <f aca="false">IF(AND(ISNUMBER(Panel_Inputs!N28),ISNUMBER(C28)),IF(C28&gt;0,100*Panel_Inputs!N28/C28,""),"")</f>
        <v>0.84523718371303</v>
      </c>
      <c r="J28" s="0" t="str">
        <f aca="false">IF(AND(ISNUMBER(Panel_Inputs!L28),ISNUMBER(Panel_Inputs!O28)),IF(Panel_Inputs!O28&gt;0,100*Panel_Inputs!L28/Panel_Inputs!O28,""),"")</f>
        <v/>
      </c>
      <c r="K28" s="0" t="str">
        <f aca="false">IF(AND(ISNUMBER(Panel_Inputs!O28),ISNUMBER(Panel_Inputs!K28)),IF(Panel_Inputs!K28&gt;0,100*Panel_Inputs!O28/Panel_Inputs!K28,""),"")</f>
        <v/>
      </c>
      <c r="L28" s="0" t="str">
        <f aca="false">IF(AND(ISNUMBER(Panel_Inputs!R28),ISNUMBER(Panel_Inputs!K28)),IF(Panel_Inputs!K28&gt;0,100*Panel_Inputs!R28/Panel_Inputs!K28,""),"")</f>
        <v/>
      </c>
      <c r="M28" s="0" t="str">
        <f aca="false">IF(AND(ISNUMBER(Panel_Inputs!S28),ISNUMBER(Panel_Inputs!R28)),IF(Panel_Inputs!R28&gt;0,100*Panel_Inputs!S28/Panel_Inputs!R28,""),"")</f>
        <v/>
      </c>
      <c r="N28" s="0" t="n">
        <f aca="false">IF(AND(ISNUMBER(Panel_Inputs!E28),ISNUMBER(Panel_Inputs!F28)),IF(Panel_Inputs!F28&gt;0,100*Panel_Inputs!E28/Panel_Inputs!F28,""),"")</f>
        <v>1.36722800087586</v>
      </c>
      <c r="O28" s="0" t="n">
        <f aca="false">IF(AND(ISNUMBER(Panel_Inputs!G28),ISNUMBER(Panel_Inputs!F28)),IF(Panel_Inputs!F28&gt;0,100*Panel_Inputs!G28/Panel_Inputs!F28,""),"")</f>
        <v>85.2586328155022</v>
      </c>
      <c r="P28" s="0" t="n">
        <f aca="false">IF(ISNUMBER(Panel_Inputs!F28),IF(Panel_Inputs!F28&gt;0,LN(Panel_Inputs!F28),""),"")</f>
        <v>14.1370243296521</v>
      </c>
      <c r="Q28" s="0" t="n">
        <f aca="false">IF(AND(ISNUMBER(Panel_Inputs!F28),ISNUMBER(Panel_Inputs!G28),ISNUMBER(Panel_Inputs!H28)),Panel_Inputs!F28-Panel_Inputs!G28-Panel_Inputs!H28,"")</f>
        <v>0</v>
      </c>
      <c r="R28" s="0" t="n">
        <f aca="false">IF(AND(ISNUMBER(Panel_Inputs!K28),ISNUMBER(Panel_Inputs!L28),ISNUMBER(Panel_Inputs!M28)),Panel_Inputs!K28-Panel_Inputs!L28-Panel_Inputs!M28,"")</f>
        <v>0</v>
      </c>
      <c r="S28" s="0" t="str">
        <f aca="false">IF(AND(ISNUMBER(Panel_Inputs!V28),Panel_Inputs!W28=1),Panel_Inputs!V28,"")</f>
        <v/>
      </c>
      <c r="T28" s="0" t="n">
        <f aca="false">IF(AND(ISNUMBER(Panel_Inputs!T28),ISNUMBER(Panel_Inputs!U28)),Panel_Inputs!T28-Panel_Inputs!U28,"")</f>
        <v>1.03</v>
      </c>
    </row>
    <row r="29" customFormat="false" ht="15" hidden="false" customHeight="false" outlineLevel="0" collapsed="false">
      <c r="A29" s="0" t="str">
        <f aca="false">Panel_Inputs!A29</f>
        <v>Fidelity</v>
      </c>
      <c r="B29" s="0" t="n">
        <f aca="false">Panel_Inputs!B29</f>
        <v>2018</v>
      </c>
      <c r="C29" s="0" t="str">
        <f aca="false">IF(AND(ISNUMBER(Panel_Inputs!F29),ISNUMBER(Panel_Inputs!J29)),IF(AND(Panel_Inputs!F29&gt;0,Panel_Inputs!J29&gt;0),(Panel_Inputs!F29+Panel_Inputs!J29)/2,""),"")</f>
        <v/>
      </c>
      <c r="D29" s="0" t="str">
        <f aca="false">IF(AND(ISNUMBER(Panel_Inputs!E29),ISNUMBER(C29)),IF(C29&gt;0,100*Panel_Inputs!E29/C29,""),"")</f>
        <v/>
      </c>
      <c r="E29" s="0" t="n">
        <f aca="false">IF(AND(ISNUMBER(Panel_Inputs!H29),ISNUMBER(Panel_Inputs!F29)),IF(Panel_Inputs!F29&gt;0,100*Panel_Inputs!H29/Panel_Inputs!F29,""),"")</f>
        <v>11.3040247505208</v>
      </c>
      <c r="F29" s="0" t="str">
        <f aca="false">IF(AND(ISNUMBER(Panel_Inputs!I29),ISNUMBER(C29)),IF(C29&gt;0,100*Panel_Inputs!I29/C29,""),"")</f>
        <v/>
      </c>
      <c r="G29" s="0" t="str">
        <f aca="false">IF(AND(ISNUMBER(Panel_Inputs!L29),ISNUMBER(Panel_Inputs!K29)),IF(Panel_Inputs!K29&gt;0,100*Panel_Inputs!L29/Panel_Inputs!K29,""),"")</f>
        <v/>
      </c>
      <c r="H29" s="0" t="str">
        <f aca="false">IF(AND(ISNUMBER(Panel_Inputs!P29),ISNUMBER(Panel_Inputs!Q29)),IF(Panel_Inputs!Q29&gt;0,100*Panel_Inputs!P29/Panel_Inputs!Q29,""),"")</f>
        <v/>
      </c>
      <c r="I29" s="0" t="str">
        <f aca="false">IF(AND(ISNUMBER(Panel_Inputs!N29),ISNUMBER(C29)),IF(C29&gt;0,100*Panel_Inputs!N29/C29,""),"")</f>
        <v/>
      </c>
      <c r="J29" s="0" t="str">
        <f aca="false">IF(AND(ISNUMBER(Panel_Inputs!L29),ISNUMBER(Panel_Inputs!O29)),IF(Panel_Inputs!O29&gt;0,100*Panel_Inputs!L29/Panel_Inputs!O29,""),"")</f>
        <v/>
      </c>
      <c r="K29" s="0" t="str">
        <f aca="false">IF(AND(ISNUMBER(Panel_Inputs!O29),ISNUMBER(Panel_Inputs!K29)),IF(Panel_Inputs!K29&gt;0,100*Panel_Inputs!O29/Panel_Inputs!K29,""),"")</f>
        <v/>
      </c>
      <c r="L29" s="0" t="str">
        <f aca="false">IF(AND(ISNUMBER(Panel_Inputs!R29),ISNUMBER(Panel_Inputs!K29)),IF(Panel_Inputs!K29&gt;0,100*Panel_Inputs!R29/Panel_Inputs!K29,""),"")</f>
        <v/>
      </c>
      <c r="M29" s="0" t="str">
        <f aca="false">IF(AND(ISNUMBER(Panel_Inputs!S29),ISNUMBER(Panel_Inputs!R29)),IF(Panel_Inputs!R29&gt;0,100*Panel_Inputs!S29/Panel_Inputs!R29,""),"")</f>
        <v/>
      </c>
      <c r="N29" s="0" t="n">
        <f aca="false">IF(AND(ISNUMBER(Panel_Inputs!E29),ISNUMBER(Panel_Inputs!F29)),IF(Panel_Inputs!F29&gt;0,100*Panel_Inputs!E29/Panel_Inputs!F29,""),"")</f>
        <v>1.33299765158444</v>
      </c>
      <c r="O29" s="0" t="n">
        <f aca="false">IF(AND(ISNUMBER(Panel_Inputs!G29),ISNUMBER(Panel_Inputs!F29)),IF(Panel_Inputs!F29&gt;0,100*Panel_Inputs!G29/Panel_Inputs!F29,""),"")</f>
        <v>88.6959752494792</v>
      </c>
      <c r="P29" s="0" t="n">
        <f aca="false">IF(ISNUMBER(Panel_Inputs!F29),IF(Panel_Inputs!F29&gt;0,LN(Panel_Inputs!F29),""),"")</f>
        <v>14.3577668232201</v>
      </c>
      <c r="Q29" s="0" t="n">
        <f aca="false">IF(AND(ISNUMBER(Panel_Inputs!F29),ISNUMBER(Panel_Inputs!G29),ISNUMBER(Panel_Inputs!H29)),Panel_Inputs!F29-Panel_Inputs!G29-Panel_Inputs!H29,"")</f>
        <v>0</v>
      </c>
      <c r="R29" s="0" t="str">
        <f aca="false">IF(AND(ISNUMBER(Panel_Inputs!K29),ISNUMBER(Panel_Inputs!L29),ISNUMBER(Panel_Inputs!M29)),Panel_Inputs!K29-Panel_Inputs!L29-Panel_Inputs!M29,"")</f>
        <v/>
      </c>
      <c r="S29" s="0" t="str">
        <f aca="false">IF(AND(ISNUMBER(Panel_Inputs!V29),Panel_Inputs!W29=1),Panel_Inputs!V29,"")</f>
        <v/>
      </c>
      <c r="T29" s="0" t="str">
        <f aca="false">IF(AND(ISNUMBER(Panel_Inputs!T29),ISNUMBER(Panel_Inputs!U29)),Panel_Inputs!T29-Panel_Inputs!U29,"")</f>
        <v/>
      </c>
    </row>
    <row r="30" customFormat="false" ht="15" hidden="false" customHeight="false" outlineLevel="0" collapsed="false">
      <c r="A30" s="0" t="str">
        <f aca="false">Panel_Inputs!A30</f>
        <v>Fidelity</v>
      </c>
      <c r="B30" s="0" t="n">
        <f aca="false">Panel_Inputs!B30</f>
        <v>2019</v>
      </c>
      <c r="C30" s="0" t="n">
        <f aca="false">IF(AND(ISNUMBER(Panel_Inputs!F30),ISNUMBER(Panel_Inputs!J30)),IF(AND(Panel_Inputs!F30&gt;0,Panel_Inputs!J30&gt;0),(Panel_Inputs!F30+Panel_Inputs!J30)/2,""),"")</f>
        <v>1916960</v>
      </c>
      <c r="D30" s="0" t="n">
        <f aca="false">IF(AND(ISNUMBER(Panel_Inputs!E30),ISNUMBER(C30)),IF(C30&gt;0,100*Panel_Inputs!E30/C30,""),"")</f>
        <v>1.48281654285953</v>
      </c>
      <c r="E30" s="0" t="n">
        <f aca="false">IF(AND(ISNUMBER(Panel_Inputs!H30),ISNUMBER(Panel_Inputs!F30)),IF(Panel_Inputs!F30&gt;0,100*Panel_Inputs!H30/Panel_Inputs!F30,""),"")</f>
        <v>11.0702887413986</v>
      </c>
      <c r="F30" s="0" t="str">
        <f aca="false">IF(AND(ISNUMBER(Panel_Inputs!I30),ISNUMBER(C30)),IF(C30&gt;0,100*Panel_Inputs!I30/C30,""),"")</f>
        <v/>
      </c>
      <c r="G30" s="0" t="str">
        <f aca="false">IF(AND(ISNUMBER(Panel_Inputs!L30),ISNUMBER(Panel_Inputs!K30)),IF(Panel_Inputs!K30&gt;0,100*Panel_Inputs!L30/Panel_Inputs!K30,""),"")</f>
        <v/>
      </c>
      <c r="H30" s="0" t="str">
        <f aca="false">IF(AND(ISNUMBER(Panel_Inputs!P30),ISNUMBER(Panel_Inputs!Q30)),IF(Panel_Inputs!Q30&gt;0,100*Panel_Inputs!P30/Panel_Inputs!Q30,""),"")</f>
        <v/>
      </c>
      <c r="I30" s="0" t="n">
        <f aca="false">IF(AND(ISNUMBER(Panel_Inputs!N30),ISNUMBER(C30)),IF(C30&gt;0,100*Panel_Inputs!N30/C30,""),"")</f>
        <v>-0.276062098322344</v>
      </c>
      <c r="J30" s="0" t="str">
        <f aca="false">IF(AND(ISNUMBER(Panel_Inputs!L30),ISNUMBER(Panel_Inputs!O30)),IF(Panel_Inputs!O30&gt;0,100*Panel_Inputs!L30/Panel_Inputs!O30,""),"")</f>
        <v/>
      </c>
      <c r="K30" s="0" t="str">
        <f aca="false">IF(AND(ISNUMBER(Panel_Inputs!O30),ISNUMBER(Panel_Inputs!K30)),IF(Panel_Inputs!K30&gt;0,100*Panel_Inputs!O30/Panel_Inputs!K30,""),"")</f>
        <v/>
      </c>
      <c r="L30" s="0" t="str">
        <f aca="false">IF(AND(ISNUMBER(Panel_Inputs!R30),ISNUMBER(Panel_Inputs!K30)),IF(Panel_Inputs!K30&gt;0,100*Panel_Inputs!R30/Panel_Inputs!K30,""),"")</f>
        <v/>
      </c>
      <c r="M30" s="0" t="str">
        <f aca="false">IF(AND(ISNUMBER(Panel_Inputs!S30),ISNUMBER(Panel_Inputs!R30)),IF(Panel_Inputs!R30&gt;0,100*Panel_Inputs!S30/Panel_Inputs!R30,""),"")</f>
        <v/>
      </c>
      <c r="N30" s="0" t="n">
        <f aca="false">IF(AND(ISNUMBER(Panel_Inputs!E30),ISNUMBER(Panel_Inputs!F30)),IF(Panel_Inputs!F30&gt;0,100*Panel_Inputs!E30/Panel_Inputs!F30,""),"")</f>
        <v>1.3445838459781</v>
      </c>
      <c r="O30" s="0" t="n">
        <f aca="false">IF(AND(ISNUMBER(Panel_Inputs!G30),ISNUMBER(Panel_Inputs!F30)),IF(Panel_Inputs!F30&gt;0,100*Panel_Inputs!G30/Panel_Inputs!F30,""),"")</f>
        <v>88.9297112586014</v>
      </c>
      <c r="P30" s="0" t="n">
        <f aca="false">IF(ISNUMBER(Panel_Inputs!F30),IF(Panel_Inputs!F30&gt;0,LN(Panel_Inputs!F30),""),"")</f>
        <v>14.5641099476243</v>
      </c>
      <c r="Q30" s="0" t="n">
        <f aca="false">IF(AND(ISNUMBER(Panel_Inputs!F30),ISNUMBER(Panel_Inputs!G30),ISNUMBER(Panel_Inputs!H30)),Panel_Inputs!F30-Panel_Inputs!G30-Panel_Inputs!H30,"")</f>
        <v>0</v>
      </c>
      <c r="R30" s="0" t="str">
        <f aca="false">IF(AND(ISNUMBER(Panel_Inputs!K30),ISNUMBER(Panel_Inputs!L30),ISNUMBER(Panel_Inputs!M30)),Panel_Inputs!K30-Panel_Inputs!L30-Panel_Inputs!M30,"")</f>
        <v/>
      </c>
      <c r="S30" s="0" t="str">
        <f aca="false">IF(AND(ISNUMBER(Panel_Inputs!V30),Panel_Inputs!W30=1),Panel_Inputs!V30,"")</f>
        <v/>
      </c>
      <c r="T30" s="0" t="str">
        <f aca="false">IF(AND(ISNUMBER(Panel_Inputs!T30),ISNUMBER(Panel_Inputs!U30)),Panel_Inputs!T30-Panel_Inputs!U30,"")</f>
        <v/>
      </c>
    </row>
    <row r="31" customFormat="false" ht="15" hidden="false" customHeight="false" outlineLevel="0" collapsed="false">
      <c r="A31" s="0" t="str">
        <f aca="false">Panel_Inputs!A31</f>
        <v>Fidelity</v>
      </c>
      <c r="B31" s="0" t="n">
        <f aca="false">Panel_Inputs!B31</f>
        <v>2020</v>
      </c>
      <c r="C31" s="0" t="n">
        <f aca="false">IF(AND(ISNUMBER(Panel_Inputs!F31),ISNUMBER(Panel_Inputs!J31)),IF(AND(Panel_Inputs!F31&gt;0,Panel_Inputs!J31&gt;0),(Panel_Inputs!F31+Panel_Inputs!J31)/2,""),"")</f>
        <v>2436092.5</v>
      </c>
      <c r="D31" s="0" t="n">
        <f aca="false">IF(AND(ISNUMBER(Panel_Inputs!E31),ISNUMBER(C31)),IF(C31&gt;0,100*Panel_Inputs!E31/C31,""),"")</f>
        <v>1.09396502801105</v>
      </c>
      <c r="E31" s="0" t="n">
        <f aca="false">IF(AND(ISNUMBER(Panel_Inputs!H31),ISNUMBER(Panel_Inputs!F31)),IF(Panel_Inputs!F31&gt;0,100*Panel_Inputs!H31/Panel_Inputs!F31,""),"")</f>
        <v>9.91727057431291</v>
      </c>
      <c r="F31" s="0" t="n">
        <f aca="false">IF(AND(ISNUMBER(Panel_Inputs!I31),ISNUMBER(C31)),IF(C31&gt;0,100*Panel_Inputs!I31/C31,""),"")</f>
        <v>9.95935088671715</v>
      </c>
      <c r="G31" s="0" t="n">
        <f aca="false">IF(AND(ISNUMBER(Panel_Inputs!L31),ISNUMBER(Panel_Inputs!K31)),IF(Panel_Inputs!K31&gt;0,100*Panel_Inputs!L31/Panel_Inputs!K31,""),"")</f>
        <v>4.84477879255811</v>
      </c>
      <c r="H31" s="0" t="n">
        <f aca="false">IF(AND(ISNUMBER(Panel_Inputs!P31),ISNUMBER(Panel_Inputs!Q31)),IF(Panel_Inputs!Q31&gt;0,100*Panel_Inputs!P31/Panel_Inputs!Q31,""),"")</f>
        <v>18.1829577581441</v>
      </c>
      <c r="I31" s="0" t="n">
        <f aca="false">IF(AND(ISNUMBER(Panel_Inputs!N31),ISNUMBER(C31)),IF(C31&gt;0,100*Panel_Inputs!N31/C31,""),"")</f>
        <v>0.692009847737719</v>
      </c>
      <c r="J31" s="0" t="str">
        <f aca="false">IF(AND(ISNUMBER(Panel_Inputs!L31),ISNUMBER(Panel_Inputs!O31)),IF(Panel_Inputs!O31&gt;0,100*Panel_Inputs!L31/Panel_Inputs!O31,""),"")</f>
        <v/>
      </c>
      <c r="K31" s="0" t="str">
        <f aca="false">IF(AND(ISNUMBER(Panel_Inputs!O31),ISNUMBER(Panel_Inputs!K31)),IF(Panel_Inputs!K31&gt;0,100*Panel_Inputs!O31/Panel_Inputs!K31,""),"")</f>
        <v/>
      </c>
      <c r="L31" s="0" t="str">
        <f aca="false">IF(AND(ISNUMBER(Panel_Inputs!R31),ISNUMBER(Panel_Inputs!K31)),IF(Panel_Inputs!K31&gt;0,100*Panel_Inputs!R31/Panel_Inputs!K31,""),"")</f>
        <v/>
      </c>
      <c r="M31" s="0" t="str">
        <f aca="false">IF(AND(ISNUMBER(Panel_Inputs!S31),ISNUMBER(Panel_Inputs!R31)),IF(Panel_Inputs!R31&gt;0,100*Panel_Inputs!S31/Panel_Inputs!R31,""),"")</f>
        <v/>
      </c>
      <c r="N31" s="0" t="n">
        <f aca="false">IF(AND(ISNUMBER(Panel_Inputs!E31),ISNUMBER(Panel_Inputs!F31)),IF(Panel_Inputs!F31&gt;0,100*Panel_Inputs!E31/Panel_Inputs!F31,""),"")</f>
        <v>0.966228063178626</v>
      </c>
      <c r="O31" s="0" t="n">
        <f aca="false">IF(AND(ISNUMBER(Panel_Inputs!G31),ISNUMBER(Panel_Inputs!F31)),IF(Panel_Inputs!F31&gt;0,100*Panel_Inputs!G31/Panel_Inputs!F31,""),"")</f>
        <v>90.0827294256871</v>
      </c>
      <c r="P31" s="0" t="n">
        <f aca="false">IF(ISNUMBER(Panel_Inputs!F31),IF(Panel_Inputs!F31&gt;0,LN(Panel_Inputs!F31),""),"")</f>
        <v>14.8300699979696</v>
      </c>
      <c r="Q31" s="0" t="n">
        <f aca="false">IF(AND(ISNUMBER(Panel_Inputs!F31),ISNUMBER(Panel_Inputs!G31),ISNUMBER(Panel_Inputs!H31)),Panel_Inputs!F31-Panel_Inputs!G31-Panel_Inputs!H31,"")</f>
        <v>0</v>
      </c>
      <c r="R31" s="0" t="n">
        <f aca="false">IF(AND(ISNUMBER(Panel_Inputs!K31),ISNUMBER(Panel_Inputs!L31),ISNUMBER(Panel_Inputs!M31)),Panel_Inputs!K31-Panel_Inputs!L31-Panel_Inputs!M31,"")</f>
        <v>0</v>
      </c>
      <c r="S31" s="0" t="str">
        <f aca="false">IF(AND(ISNUMBER(Panel_Inputs!V31),Panel_Inputs!W31=1),Panel_Inputs!V31,"")</f>
        <v/>
      </c>
      <c r="T31" s="0" t="n">
        <f aca="false">IF(AND(ISNUMBER(Panel_Inputs!T31),ISNUMBER(Panel_Inputs!U31)),Panel_Inputs!T31-Panel_Inputs!U31,"")</f>
        <v>3.18</v>
      </c>
    </row>
    <row r="32" customFormat="false" ht="15" hidden="false" customHeight="false" outlineLevel="0" collapsed="false">
      <c r="A32" s="0" t="str">
        <f aca="false">Panel_Inputs!A32</f>
        <v>Fidelity</v>
      </c>
      <c r="B32" s="0" t="n">
        <f aca="false">Panel_Inputs!B32</f>
        <v>2021</v>
      </c>
      <c r="C32" s="0" t="str">
        <f aca="false">IF(AND(ISNUMBER(Panel_Inputs!F32),ISNUMBER(Panel_Inputs!J32)),IF(AND(Panel_Inputs!F32&gt;0,Panel_Inputs!J32&gt;0),(Panel_Inputs!F32+Panel_Inputs!J32)/2,""),"")</f>
        <v/>
      </c>
      <c r="D32" s="0" t="str">
        <f aca="false">IF(AND(ISNUMBER(Panel_Inputs!E32),ISNUMBER(C32)),IF(C32&gt;0,100*Panel_Inputs!E32/C32,""),"")</f>
        <v/>
      </c>
      <c r="E32" s="0" t="n">
        <f aca="false">IF(AND(ISNUMBER(Panel_Inputs!H32),ISNUMBER(Panel_Inputs!F32)),IF(Panel_Inputs!F32&gt;0,100*Panel_Inputs!H32/Panel_Inputs!F32,""),"")</f>
        <v>8.69678404269653</v>
      </c>
      <c r="F32" s="0" t="str">
        <f aca="false">IF(AND(ISNUMBER(Panel_Inputs!I32),ISNUMBER(C32)),IF(C32&gt;0,100*Panel_Inputs!I32/C32,""),"")</f>
        <v/>
      </c>
      <c r="G32" s="0" t="n">
        <f aca="false">IF(AND(ISNUMBER(Panel_Inputs!L32),ISNUMBER(Panel_Inputs!K32)),IF(Panel_Inputs!K32&gt;0,100*Panel_Inputs!L32/Panel_Inputs!K32,""),"")</f>
        <v>4.27873940213894</v>
      </c>
      <c r="H32" s="0" t="n">
        <f aca="false">IF(AND(ISNUMBER(Panel_Inputs!P32),ISNUMBER(Panel_Inputs!Q32)),IF(Panel_Inputs!Q32&gt;0,100*Panel_Inputs!P32/Panel_Inputs!Q32,""),"")</f>
        <v>19.1471007819367</v>
      </c>
      <c r="I32" s="0" t="str">
        <f aca="false">IF(AND(ISNUMBER(Panel_Inputs!N32),ISNUMBER(C32)),IF(C32&gt;0,100*Panel_Inputs!N32/C32,""),"")</f>
        <v/>
      </c>
      <c r="J32" s="0" t="str">
        <f aca="false">IF(AND(ISNUMBER(Panel_Inputs!L32),ISNUMBER(Panel_Inputs!O32)),IF(Panel_Inputs!O32&gt;0,100*Panel_Inputs!L32/Panel_Inputs!O32,""),"")</f>
        <v/>
      </c>
      <c r="K32" s="0" t="str">
        <f aca="false">IF(AND(ISNUMBER(Panel_Inputs!O32),ISNUMBER(Panel_Inputs!K32)),IF(Panel_Inputs!K32&gt;0,100*Panel_Inputs!O32/Panel_Inputs!K32,""),"")</f>
        <v/>
      </c>
      <c r="L32" s="0" t="str">
        <f aca="false">IF(AND(ISNUMBER(Panel_Inputs!R32),ISNUMBER(Panel_Inputs!K32)),IF(Panel_Inputs!K32&gt;0,100*Panel_Inputs!R32/Panel_Inputs!K32,""),"")</f>
        <v/>
      </c>
      <c r="M32" s="0" t="str">
        <f aca="false">IF(AND(ISNUMBER(Panel_Inputs!S32),ISNUMBER(Panel_Inputs!R32)),IF(Panel_Inputs!R32&gt;0,100*Panel_Inputs!S32/Panel_Inputs!R32,""),"")</f>
        <v/>
      </c>
      <c r="N32" s="0" t="n">
        <f aca="false">IF(AND(ISNUMBER(Panel_Inputs!E32),ISNUMBER(Panel_Inputs!F32)),IF(Panel_Inputs!F32&gt;0,100*Panel_Inputs!E32/Panel_Inputs!F32,""),"")</f>
        <v>0.704292759477804</v>
      </c>
      <c r="O32" s="0" t="n">
        <f aca="false">IF(AND(ISNUMBER(Panel_Inputs!G32),ISNUMBER(Panel_Inputs!F32)),IF(Panel_Inputs!F32&gt;0,100*Panel_Inputs!G32/Panel_Inputs!F32,""),"")</f>
        <v>91.3032159573035</v>
      </c>
      <c r="P32" s="0" t="n">
        <f aca="false">IF(ISNUMBER(Panel_Inputs!F32),IF(Panel_Inputs!F32&gt;0,LN(Panel_Inputs!F32),""),"")</f>
        <v>15.0034923854161</v>
      </c>
      <c r="Q32" s="0" t="n">
        <f aca="false">IF(AND(ISNUMBER(Panel_Inputs!F32),ISNUMBER(Panel_Inputs!G32),ISNUMBER(Panel_Inputs!H32)),Panel_Inputs!F32-Panel_Inputs!G32-Panel_Inputs!H32,"")</f>
        <v>0</v>
      </c>
      <c r="R32" s="0" t="n">
        <f aca="false">IF(AND(ISNUMBER(Panel_Inputs!K32),ISNUMBER(Panel_Inputs!L32),ISNUMBER(Panel_Inputs!M32)),Panel_Inputs!K32-Panel_Inputs!L32-Panel_Inputs!M32,"")</f>
        <v>0</v>
      </c>
      <c r="S32" s="0" t="str">
        <f aca="false">IF(AND(ISNUMBER(Panel_Inputs!V32),Panel_Inputs!W32=1),Panel_Inputs!V32,"")</f>
        <v/>
      </c>
      <c r="T32" s="0" t="n">
        <f aca="false">IF(AND(ISNUMBER(Panel_Inputs!T32),ISNUMBER(Panel_Inputs!U32)),Panel_Inputs!T32-Panel_Inputs!U32,"")</f>
        <v>4.15</v>
      </c>
    </row>
    <row r="33" customFormat="false" ht="15" hidden="false" customHeight="false" outlineLevel="0" collapsed="false">
      <c r="A33" s="0" t="str">
        <f aca="false">Panel_Inputs!A33</f>
        <v>Fidelity</v>
      </c>
      <c r="B33" s="0" t="n">
        <f aca="false">Panel_Inputs!B33</f>
        <v>2022</v>
      </c>
      <c r="C33" s="0" t="n">
        <f aca="false">IF(AND(ISNUMBER(Panel_Inputs!F33),ISNUMBER(Panel_Inputs!J33)),IF(AND(Panel_Inputs!F33&gt;0,Panel_Inputs!J33&gt;0),(Panel_Inputs!F33+Panel_Inputs!J33)/2,""),"")</f>
        <v>3634731.5</v>
      </c>
      <c r="D33" s="0" t="n">
        <f aca="false">IF(AND(ISNUMBER(Panel_Inputs!E33),ISNUMBER(C33)),IF(C33&gt;0,100*Panel_Inputs!E33/C33,""),"")</f>
        <v>1.28548697476003</v>
      </c>
      <c r="E33" s="0" t="n">
        <f aca="false">IF(AND(ISNUMBER(Panel_Inputs!H33),ISNUMBER(Panel_Inputs!F33)),IF(Panel_Inputs!F33&gt;0,100*Panel_Inputs!H33/Panel_Inputs!F33,""),"")</f>
        <v>7.88065406721319</v>
      </c>
      <c r="F33" s="0" t="n">
        <f aca="false">IF(AND(ISNUMBER(Panel_Inputs!I33),ISNUMBER(C33)),IF(C33&gt;0,100*Panel_Inputs!I33/C33,""),"")</f>
        <v>8.18745483676029</v>
      </c>
      <c r="G33" s="0" t="n">
        <f aca="false">IF(AND(ISNUMBER(Panel_Inputs!L33),ISNUMBER(Panel_Inputs!K33)),IF(Panel_Inputs!K33&gt;0,100*Panel_Inputs!L33/Panel_Inputs!K33,""),"")</f>
        <v>3.66667273621151</v>
      </c>
      <c r="H33" s="0" t="n">
        <f aca="false">IF(AND(ISNUMBER(Panel_Inputs!P33),ISNUMBER(Panel_Inputs!Q33)),IF(Panel_Inputs!Q33&gt;0,100*Panel_Inputs!P33/Panel_Inputs!Q33,""),"")</f>
        <v>18.1421782771385</v>
      </c>
      <c r="I33" s="0" t="n">
        <f aca="false">IF(AND(ISNUMBER(Panel_Inputs!N33),ISNUMBER(C33)),IF(C33&gt;0,100*Panel_Inputs!N33/C33,""),"")</f>
        <v>0.149749713286937</v>
      </c>
      <c r="J33" s="0" t="str">
        <f aca="false">IF(AND(ISNUMBER(Panel_Inputs!L33),ISNUMBER(Panel_Inputs!O33)),IF(Panel_Inputs!O33&gt;0,100*Panel_Inputs!L33/Panel_Inputs!O33,""),"")</f>
        <v/>
      </c>
      <c r="K33" s="0" t="str">
        <f aca="false">IF(AND(ISNUMBER(Panel_Inputs!O33),ISNUMBER(Panel_Inputs!K33)),IF(Panel_Inputs!K33&gt;0,100*Panel_Inputs!O33/Panel_Inputs!K33,""),"")</f>
        <v/>
      </c>
      <c r="L33" s="0" t="str">
        <f aca="false">IF(AND(ISNUMBER(Panel_Inputs!R33),ISNUMBER(Panel_Inputs!K33)),IF(Panel_Inputs!K33&gt;0,100*Panel_Inputs!R33/Panel_Inputs!K33,""),"")</f>
        <v/>
      </c>
      <c r="M33" s="0" t="str">
        <f aca="false">IF(AND(ISNUMBER(Panel_Inputs!S33),ISNUMBER(Panel_Inputs!R33)),IF(Panel_Inputs!R33&gt;0,100*Panel_Inputs!S33/Panel_Inputs!R33,""),"")</f>
        <v/>
      </c>
      <c r="N33" s="0" t="n">
        <f aca="false">IF(AND(ISNUMBER(Panel_Inputs!E33),ISNUMBER(Panel_Inputs!F33)),IF(Panel_Inputs!F33&gt;0,100*Panel_Inputs!E33/Panel_Inputs!F33,""),"")</f>
        <v>1.17131849038195</v>
      </c>
      <c r="O33" s="0" t="n">
        <f aca="false">IF(AND(ISNUMBER(Panel_Inputs!G33),ISNUMBER(Panel_Inputs!F33)),IF(Panel_Inputs!F33&gt;0,100*Panel_Inputs!G33/Panel_Inputs!F33,""),"")</f>
        <v>92.1193459327868</v>
      </c>
      <c r="P33" s="0" t="n">
        <f aca="false">IF(ISNUMBER(Panel_Inputs!F33),IF(Panel_Inputs!F33&gt;0,LN(Panel_Inputs!F33),""),"")</f>
        <v>15.1990533870896</v>
      </c>
      <c r="Q33" s="0" t="n">
        <f aca="false">IF(AND(ISNUMBER(Panel_Inputs!F33),ISNUMBER(Panel_Inputs!G33),ISNUMBER(Panel_Inputs!H33)),Panel_Inputs!F33-Panel_Inputs!G33-Panel_Inputs!H33,"")</f>
        <v>0</v>
      </c>
      <c r="R33" s="0" t="n">
        <f aca="false">IF(AND(ISNUMBER(Panel_Inputs!K33),ISNUMBER(Panel_Inputs!L33),ISNUMBER(Panel_Inputs!M33)),Panel_Inputs!K33-Panel_Inputs!L33-Panel_Inputs!M33,"")</f>
        <v>0</v>
      </c>
      <c r="S33" s="0" t="str">
        <f aca="false">IF(AND(ISNUMBER(Panel_Inputs!V33),Panel_Inputs!W33=1),Panel_Inputs!V33,"")</f>
        <v/>
      </c>
      <c r="T33" s="0" t="n">
        <f aca="false">IF(AND(ISNUMBER(Panel_Inputs!T33),ISNUMBER(Panel_Inputs!U33)),Panel_Inputs!T33-Panel_Inputs!U33,"")</f>
        <v>3.14</v>
      </c>
    </row>
    <row r="34" customFormat="false" ht="15" hidden="false" customHeight="false" outlineLevel="0" collapsed="false">
      <c r="A34" s="0" t="str">
        <f aca="false">Panel_Inputs!A34</f>
        <v>First Bank</v>
      </c>
      <c r="B34" s="0" t="n">
        <f aca="false">Panel_Inputs!B34</f>
        <v>2013</v>
      </c>
      <c r="C34" s="0" t="str">
        <f aca="false">IF(AND(ISNUMBER(Panel_Inputs!F34),ISNUMBER(Panel_Inputs!J34)),IF(AND(Panel_Inputs!F34&gt;0,Panel_Inputs!J34&gt;0),(Panel_Inputs!F34+Panel_Inputs!J34)/2,""),"")</f>
        <v/>
      </c>
      <c r="D34" s="0" t="str">
        <f aca="false">IF(AND(ISNUMBER(Panel_Inputs!E34),ISNUMBER(C34)),IF(C34&gt;0,100*Panel_Inputs!E34/C34,""),"")</f>
        <v/>
      </c>
      <c r="E34" s="0" t="n">
        <f aca="false">IF(AND(ISNUMBER(Panel_Inputs!H34),ISNUMBER(Panel_Inputs!F34)),IF(Panel_Inputs!F34&gt;0,100*Panel_Inputs!H34/Panel_Inputs!F34,""),"")</f>
        <v>10.8024169441126</v>
      </c>
      <c r="F34" s="0" t="str">
        <f aca="false">IF(AND(ISNUMBER(Panel_Inputs!I34),ISNUMBER(C34)),IF(C34&gt;0,100*Panel_Inputs!I34/C34,""),"")</f>
        <v/>
      </c>
      <c r="G34" s="0" t="n">
        <f aca="false">IF(AND(ISNUMBER(Panel_Inputs!L34),ISNUMBER(Panel_Inputs!K34)),IF(Panel_Inputs!K34&gt;0,100*Panel_Inputs!L34/Panel_Inputs!K34,""),"")</f>
        <v>2.73538759628533</v>
      </c>
      <c r="H34" s="0" t="str">
        <f aca="false">IF(AND(ISNUMBER(Panel_Inputs!P34),ISNUMBER(Panel_Inputs!Q34)),IF(Panel_Inputs!Q34&gt;0,100*Panel_Inputs!P34/Panel_Inputs!Q34,""),"")</f>
        <v/>
      </c>
      <c r="I34" s="0" t="str">
        <f aca="false">IF(AND(ISNUMBER(Panel_Inputs!N34),ISNUMBER(C34)),IF(C34&gt;0,100*Panel_Inputs!N34/C34,""),"")</f>
        <v/>
      </c>
      <c r="J34" s="0" t="str">
        <f aca="false">IF(AND(ISNUMBER(Panel_Inputs!L34),ISNUMBER(Panel_Inputs!O34)),IF(Panel_Inputs!O34&gt;0,100*Panel_Inputs!L34/Panel_Inputs!O34,""),"")</f>
        <v/>
      </c>
      <c r="K34" s="0" t="str">
        <f aca="false">IF(AND(ISNUMBER(Panel_Inputs!O34),ISNUMBER(Panel_Inputs!K34)),IF(Panel_Inputs!K34&gt;0,100*Panel_Inputs!O34/Panel_Inputs!K34,""),"")</f>
        <v/>
      </c>
      <c r="L34" s="0" t="str">
        <f aca="false">IF(AND(ISNUMBER(Panel_Inputs!R34),ISNUMBER(Panel_Inputs!K34)),IF(Panel_Inputs!K34&gt;0,100*Panel_Inputs!R34/Panel_Inputs!K34,""),"")</f>
        <v/>
      </c>
      <c r="M34" s="0" t="str">
        <f aca="false">IF(AND(ISNUMBER(Panel_Inputs!S34),ISNUMBER(Panel_Inputs!R34)),IF(Panel_Inputs!R34&gt;0,100*Panel_Inputs!S34/Panel_Inputs!R34,""),"")</f>
        <v/>
      </c>
      <c r="N34" s="0" t="n">
        <f aca="false">IF(AND(ISNUMBER(Panel_Inputs!E34),ISNUMBER(Panel_Inputs!F34)),IF(Panel_Inputs!F34&gt;0,100*Panel_Inputs!E34/Panel_Inputs!F34,""),"")</f>
        <v>1.82854013409192</v>
      </c>
      <c r="O34" s="0" t="n">
        <f aca="false">IF(AND(ISNUMBER(Panel_Inputs!G34),ISNUMBER(Panel_Inputs!F34)),IF(Panel_Inputs!F34&gt;0,100*Panel_Inputs!G34/Panel_Inputs!F34,""),"")</f>
        <v>89.1975830558875</v>
      </c>
      <c r="P34" s="0" t="n">
        <f aca="false">IF(ISNUMBER(Panel_Inputs!F34),IF(Panel_Inputs!F34&gt;0,LN(Panel_Inputs!F34),""),"")</f>
        <v>14.9931123845327</v>
      </c>
      <c r="Q34" s="0" t="n">
        <f aca="false">IF(AND(ISNUMBER(Panel_Inputs!F34),ISNUMBER(Panel_Inputs!G34),ISNUMBER(Panel_Inputs!H34)),Panel_Inputs!F34-Panel_Inputs!G34-Panel_Inputs!H34,"")</f>
        <v>0</v>
      </c>
      <c r="R34" s="0" t="str">
        <f aca="false">IF(AND(ISNUMBER(Panel_Inputs!K34),ISNUMBER(Panel_Inputs!L34),ISNUMBER(Panel_Inputs!M34)),Panel_Inputs!K34-Panel_Inputs!L34-Panel_Inputs!M34,"")</f>
        <v/>
      </c>
      <c r="S34" s="0" t="str">
        <f aca="false">IF(AND(ISNUMBER(Panel_Inputs!V34),Panel_Inputs!W34=1),Panel_Inputs!V34,"")</f>
        <v/>
      </c>
      <c r="T34" s="0" t="str">
        <f aca="false">IF(AND(ISNUMBER(Panel_Inputs!T34),ISNUMBER(Panel_Inputs!U34)),Panel_Inputs!T34-Panel_Inputs!U34,"")</f>
        <v/>
      </c>
    </row>
    <row r="35" customFormat="false" ht="15" hidden="false" customHeight="false" outlineLevel="0" collapsed="false">
      <c r="A35" s="0" t="str">
        <f aca="false">Panel_Inputs!A35</f>
        <v>First Bank</v>
      </c>
      <c r="B35" s="0" t="n">
        <f aca="false">Panel_Inputs!B35</f>
        <v>2014</v>
      </c>
      <c r="C35" s="0" t="n">
        <f aca="false">IF(AND(ISNUMBER(Panel_Inputs!F35),ISNUMBER(Panel_Inputs!J35)),IF(AND(Panel_Inputs!F35&gt;0,Panel_Inputs!J35&gt;0),(Panel_Inputs!F35+Panel_Inputs!J35)/2,""),"")</f>
        <v>3368725</v>
      </c>
      <c r="D35" s="0" t="n">
        <f aca="false">IF(AND(ISNUMBER(Panel_Inputs!E35),ISNUMBER(C35)),IF(C35&gt;0,100*Panel_Inputs!E35/C35,""),"")</f>
        <v>2.35552026360121</v>
      </c>
      <c r="E35" s="0" t="n">
        <f aca="false">IF(AND(ISNUMBER(Panel_Inputs!H35),ISNUMBER(Panel_Inputs!F35)),IF(Panel_Inputs!F35&gt;0,100*Panel_Inputs!H35/Panel_Inputs!F35,""),"")</f>
        <v>12.1186660864867</v>
      </c>
      <c r="F35" s="0" t="n">
        <f aca="false">IF(AND(ISNUMBER(Panel_Inputs!I35),ISNUMBER(C35)),IF(C35&gt;0,100*Panel_Inputs!I35/C35,""),"")</f>
        <v>-15.0402600390355</v>
      </c>
      <c r="G35" s="0" t="n">
        <f aca="false">IF(AND(ISNUMBER(Panel_Inputs!L35),ISNUMBER(Panel_Inputs!K35)),IF(Panel_Inputs!K35&gt;0,100*Panel_Inputs!L35/Panel_Inputs!K35,""),"")</f>
        <v>2.0779354044278</v>
      </c>
      <c r="H35" s="0" t="str">
        <f aca="false">IF(AND(ISNUMBER(Panel_Inputs!P35),ISNUMBER(Panel_Inputs!Q35)),IF(Panel_Inputs!Q35&gt;0,100*Panel_Inputs!P35/Panel_Inputs!Q35,""),"")</f>
        <v/>
      </c>
      <c r="I35" s="0" t="n">
        <f aca="false">IF(AND(ISNUMBER(Panel_Inputs!N35),ISNUMBER(C35)),IF(C35&gt;0,100*Panel_Inputs!N35/C35,""),"")</f>
        <v>0.621125203155497</v>
      </c>
      <c r="J35" s="0" t="str">
        <f aca="false">IF(AND(ISNUMBER(Panel_Inputs!L35),ISNUMBER(Panel_Inputs!O35)),IF(Panel_Inputs!O35&gt;0,100*Panel_Inputs!L35/Panel_Inputs!O35,""),"")</f>
        <v/>
      </c>
      <c r="K35" s="0" t="str">
        <f aca="false">IF(AND(ISNUMBER(Panel_Inputs!O35),ISNUMBER(Panel_Inputs!K35)),IF(Panel_Inputs!K35&gt;0,100*Panel_Inputs!O35/Panel_Inputs!K35,""),"")</f>
        <v/>
      </c>
      <c r="L35" s="0" t="str">
        <f aca="false">IF(AND(ISNUMBER(Panel_Inputs!R35),ISNUMBER(Panel_Inputs!K35)),IF(Panel_Inputs!K35&gt;0,100*Panel_Inputs!R35/Panel_Inputs!K35,""),"")</f>
        <v/>
      </c>
      <c r="M35" s="0" t="str">
        <f aca="false">IF(AND(ISNUMBER(Panel_Inputs!S35),ISNUMBER(Panel_Inputs!R35)),IF(Panel_Inputs!R35&gt;0,100*Panel_Inputs!S35/Panel_Inputs!R35,""),"")</f>
        <v/>
      </c>
      <c r="N35" s="0" t="n">
        <f aca="false">IF(AND(ISNUMBER(Panel_Inputs!E35),ISNUMBER(Panel_Inputs!F35)),IF(Panel_Inputs!F35&gt;0,100*Panel_Inputs!E35/Panel_Inputs!F35,""),"")</f>
        <v>2.2731003236728</v>
      </c>
      <c r="O35" s="0" t="n">
        <f aca="false">IF(AND(ISNUMBER(Panel_Inputs!G35),ISNUMBER(Panel_Inputs!F35)),IF(Panel_Inputs!F35&gt;0,100*Panel_Inputs!G35/Panel_Inputs!F35,""),"")</f>
        <v>87.8813339135133</v>
      </c>
      <c r="P35" s="0" t="n">
        <f aca="false">IF(ISNUMBER(Panel_Inputs!F35),IF(Panel_Inputs!F35&gt;0,LN(Panel_Inputs!F35),""),"")</f>
        <v>15.0656618332417</v>
      </c>
      <c r="Q35" s="0" t="n">
        <f aca="false">IF(AND(ISNUMBER(Panel_Inputs!F35),ISNUMBER(Panel_Inputs!G35),ISNUMBER(Panel_Inputs!H35)),Panel_Inputs!F35-Panel_Inputs!G35-Panel_Inputs!H35,"")</f>
        <v>0</v>
      </c>
      <c r="R35" s="0" t="str">
        <f aca="false">IF(AND(ISNUMBER(Panel_Inputs!K35),ISNUMBER(Panel_Inputs!L35),ISNUMBER(Panel_Inputs!M35)),Panel_Inputs!K35-Panel_Inputs!L35-Panel_Inputs!M35,"")</f>
        <v/>
      </c>
      <c r="S35" s="0" t="str">
        <f aca="false">IF(AND(ISNUMBER(Panel_Inputs!V35),Panel_Inputs!W35=1),Panel_Inputs!V35,"")</f>
        <v/>
      </c>
      <c r="T35" s="0" t="str">
        <f aca="false">IF(AND(ISNUMBER(Panel_Inputs!T35),ISNUMBER(Panel_Inputs!U35)),Panel_Inputs!T35-Panel_Inputs!U35,"")</f>
        <v/>
      </c>
    </row>
    <row r="36" customFormat="false" ht="15" hidden="false" customHeight="false" outlineLevel="0" collapsed="false">
      <c r="A36" s="0" t="str">
        <f aca="false">Panel_Inputs!A36</f>
        <v>First Bank</v>
      </c>
      <c r="B36" s="0" t="n">
        <f aca="false">Panel_Inputs!B36</f>
        <v>2015</v>
      </c>
      <c r="C36" s="0" t="n">
        <f aca="false">IF(AND(ISNUMBER(Panel_Inputs!F36),ISNUMBER(Panel_Inputs!J36)),IF(AND(Panel_Inputs!F36&gt;0,Panel_Inputs!J36&gt;0),(Panel_Inputs!F36+Panel_Inputs!J36)/2,""),"")</f>
        <v>3411623</v>
      </c>
      <c r="D36" s="0" t="n">
        <f aca="false">IF(AND(ISNUMBER(Panel_Inputs!E36),ISNUMBER(C36)),IF(C36&gt;0,100*Panel_Inputs!E36/C36,""),"")</f>
        <v>0.00108452780392206</v>
      </c>
      <c r="E36" s="0" t="n">
        <f aca="false">IF(AND(ISNUMBER(Panel_Inputs!H36),ISNUMBER(Panel_Inputs!F36)),IF(Panel_Inputs!F36&gt;0,100*Panel_Inputs!H36/Panel_Inputs!F36,""),"")</f>
        <v>13.7963764582317</v>
      </c>
      <c r="F36" s="0" t="n">
        <f aca="false">IF(AND(ISNUMBER(Panel_Inputs!I36),ISNUMBER(C36)),IF(C36&gt;0,100*Panel_Inputs!I36/C36,""),"")</f>
        <v>8.96793109906927</v>
      </c>
      <c r="G36" s="0" t="n">
        <f aca="false">IF(AND(ISNUMBER(Panel_Inputs!L36),ISNUMBER(Panel_Inputs!K36)),IF(Panel_Inputs!K36&gt;0,100*Panel_Inputs!L36/Panel_Inputs!K36,""),"")</f>
        <v>8.63050304212834</v>
      </c>
      <c r="H36" s="0" t="n">
        <f aca="false">IF(AND(ISNUMBER(Panel_Inputs!P36),ISNUMBER(Panel_Inputs!Q36)),IF(Panel_Inputs!Q36&gt;0,100*Panel_Inputs!P36/Panel_Inputs!Q36,""),"")</f>
        <v>17.0790438731121</v>
      </c>
      <c r="I36" s="0" t="n">
        <f aca="false">IF(AND(ISNUMBER(Panel_Inputs!N36),ISNUMBER(C36)),IF(C36&gt;0,100*Panel_Inputs!N36/C36,""),"")</f>
        <v>3.518735804044</v>
      </c>
      <c r="J36" s="0" t="str">
        <f aca="false">IF(AND(ISNUMBER(Panel_Inputs!L36),ISNUMBER(Panel_Inputs!O36)),IF(Panel_Inputs!O36&gt;0,100*Panel_Inputs!L36/Panel_Inputs!O36,""),"")</f>
        <v/>
      </c>
      <c r="K36" s="0" t="str">
        <f aca="false">IF(AND(ISNUMBER(Panel_Inputs!O36),ISNUMBER(Panel_Inputs!K36)),IF(Panel_Inputs!K36&gt;0,100*Panel_Inputs!O36/Panel_Inputs!K36,""),"")</f>
        <v/>
      </c>
      <c r="L36" s="0" t="str">
        <f aca="false">IF(AND(ISNUMBER(Panel_Inputs!R36),ISNUMBER(Panel_Inputs!K36)),IF(Panel_Inputs!K36&gt;0,100*Panel_Inputs!R36/Panel_Inputs!K36,""),"")</f>
        <v/>
      </c>
      <c r="M36" s="0" t="str">
        <f aca="false">IF(AND(ISNUMBER(Panel_Inputs!S36),ISNUMBER(Panel_Inputs!R36)),IF(Panel_Inputs!R36&gt;0,100*Panel_Inputs!S36/Panel_Inputs!R36,""),"")</f>
        <v/>
      </c>
      <c r="N36" s="0" t="n">
        <f aca="false">IF(AND(ISNUMBER(Panel_Inputs!E36),ISNUMBER(Panel_Inputs!F36)),IF(Panel_Inputs!F36&gt;0,100*Panel_Inputs!E36/Panel_Inputs!F36,""),"")</f>
        <v>0.00111031921677482</v>
      </c>
      <c r="O36" s="0" t="n">
        <f aca="false">IF(AND(ISNUMBER(Panel_Inputs!G36),ISNUMBER(Panel_Inputs!F36)),IF(Panel_Inputs!F36&gt;0,100*Panel_Inputs!G36/Panel_Inputs!F36,""),"")</f>
        <v>86.2036235417683</v>
      </c>
      <c r="P36" s="0" t="n">
        <f aca="false">IF(ISNUMBER(Panel_Inputs!F36),IF(Panel_Inputs!F36&gt;0,LN(Panel_Inputs!F36),""),"")</f>
        <v>15.0191958209542</v>
      </c>
      <c r="Q36" s="0" t="n">
        <f aca="false">IF(AND(ISNUMBER(Panel_Inputs!F36),ISNUMBER(Panel_Inputs!G36),ISNUMBER(Panel_Inputs!H36)),Panel_Inputs!F36-Panel_Inputs!G36-Panel_Inputs!H36,"")</f>
        <v>0</v>
      </c>
      <c r="R36" s="0" t="n">
        <f aca="false">IF(AND(ISNUMBER(Panel_Inputs!K36),ISNUMBER(Panel_Inputs!L36),ISNUMBER(Panel_Inputs!M36)),Panel_Inputs!K36-Panel_Inputs!L36-Panel_Inputs!M36,"")</f>
        <v>0</v>
      </c>
      <c r="S36" s="0" t="str">
        <f aca="false">IF(AND(ISNUMBER(Panel_Inputs!V36),Panel_Inputs!W36=1),Panel_Inputs!V36,"")</f>
        <v/>
      </c>
      <c r="T36" s="0" t="n">
        <f aca="false">IF(AND(ISNUMBER(Panel_Inputs!T36),ISNUMBER(Panel_Inputs!U36)),Panel_Inputs!T36-Panel_Inputs!U36,"")</f>
        <v>2.08</v>
      </c>
    </row>
    <row r="37" customFormat="false" ht="15" hidden="false" customHeight="false" outlineLevel="0" collapsed="false">
      <c r="A37" s="0" t="str">
        <f aca="false">Panel_Inputs!A37</f>
        <v>First Bank</v>
      </c>
      <c r="B37" s="0" t="n">
        <f aca="false">Panel_Inputs!B37</f>
        <v>2016</v>
      </c>
      <c r="C37" s="0" t="str">
        <f aca="false">IF(AND(ISNUMBER(Panel_Inputs!F37),ISNUMBER(Panel_Inputs!J37)),IF(AND(Panel_Inputs!F37&gt;0,Panel_Inputs!J37&gt;0),(Panel_Inputs!F37+Panel_Inputs!J37)/2,""),"")</f>
        <v/>
      </c>
      <c r="D37" s="0" t="str">
        <f aca="false">IF(AND(ISNUMBER(Panel_Inputs!E37),ISNUMBER(C37)),IF(C37&gt;0,100*Panel_Inputs!E37/C37,""),"")</f>
        <v/>
      </c>
      <c r="E37" s="0" t="n">
        <f aca="false">IF(AND(ISNUMBER(Panel_Inputs!H37),ISNUMBER(Panel_Inputs!F37)),IF(Panel_Inputs!F37&gt;0,100*Panel_Inputs!H37/Panel_Inputs!F37,""),"")</f>
        <v>13.6626414996759</v>
      </c>
      <c r="F37" s="0" t="str">
        <f aca="false">IF(AND(ISNUMBER(Panel_Inputs!I37),ISNUMBER(C37)),IF(C37&gt;0,100*Panel_Inputs!I37/C37,""),"")</f>
        <v/>
      </c>
      <c r="G37" s="0" t="n">
        <f aca="false">IF(AND(ISNUMBER(Panel_Inputs!L37),ISNUMBER(Panel_Inputs!K37)),IF(Panel_Inputs!K37&gt;0,100*Panel_Inputs!L37/Panel_Inputs!K37,""),"")</f>
        <v>12.4492670193084</v>
      </c>
      <c r="H37" s="0" t="n">
        <f aca="false">IF(AND(ISNUMBER(Panel_Inputs!P37),ISNUMBER(Panel_Inputs!Q37)),IF(Panel_Inputs!Q37&gt;0,100*Panel_Inputs!P37/Panel_Inputs!Q37,""),"")</f>
        <v>17.7866535517171</v>
      </c>
      <c r="I37" s="0" t="str">
        <f aca="false">IF(AND(ISNUMBER(Panel_Inputs!N37),ISNUMBER(C37)),IF(C37&gt;0,100*Panel_Inputs!N37/C37,""),"")</f>
        <v/>
      </c>
      <c r="J37" s="0" t="str">
        <f aca="false">IF(AND(ISNUMBER(Panel_Inputs!L37),ISNUMBER(Panel_Inputs!O37)),IF(Panel_Inputs!O37&gt;0,100*Panel_Inputs!L37/Panel_Inputs!O37,""),"")</f>
        <v/>
      </c>
      <c r="K37" s="0" t="str">
        <f aca="false">IF(AND(ISNUMBER(Panel_Inputs!O37),ISNUMBER(Panel_Inputs!K37)),IF(Panel_Inputs!K37&gt;0,100*Panel_Inputs!O37/Panel_Inputs!K37,""),"")</f>
        <v/>
      </c>
      <c r="L37" s="0" t="str">
        <f aca="false">IF(AND(ISNUMBER(Panel_Inputs!R37),ISNUMBER(Panel_Inputs!K37)),IF(Panel_Inputs!K37&gt;0,100*Panel_Inputs!R37/Panel_Inputs!K37,""),"")</f>
        <v/>
      </c>
      <c r="M37" s="0" t="str">
        <f aca="false">IF(AND(ISNUMBER(Panel_Inputs!S37),ISNUMBER(Panel_Inputs!R37)),IF(Panel_Inputs!R37&gt;0,100*Panel_Inputs!S37/Panel_Inputs!R37,""),"")</f>
        <v/>
      </c>
      <c r="N37" s="0" t="n">
        <f aca="false">IF(AND(ISNUMBER(Panel_Inputs!E37),ISNUMBER(Panel_Inputs!F37)),IF(Panel_Inputs!F37&gt;0,100*Panel_Inputs!E37/Panel_Inputs!F37,""),"")</f>
        <v>1.40739370765269</v>
      </c>
      <c r="O37" s="0" t="n">
        <f aca="false">IF(AND(ISNUMBER(Panel_Inputs!G37),ISNUMBER(Panel_Inputs!F37)),IF(Panel_Inputs!F37&gt;0,100*Panel_Inputs!G37/Panel_Inputs!F37,""),"")</f>
        <v>86.3373585003241</v>
      </c>
      <c r="P37" s="0" t="n">
        <f aca="false">IF(ISNUMBER(Panel_Inputs!F37),IF(Panel_Inputs!F37&gt;0,LN(Panel_Inputs!F37),""),"")</f>
        <v>15.0846478749542</v>
      </c>
      <c r="Q37" s="0" t="n">
        <f aca="false">IF(AND(ISNUMBER(Panel_Inputs!F37),ISNUMBER(Panel_Inputs!G37),ISNUMBER(Panel_Inputs!H37)),Panel_Inputs!F37-Panel_Inputs!G37-Panel_Inputs!H37,"")</f>
        <v>0</v>
      </c>
      <c r="R37" s="0" t="n">
        <f aca="false">IF(AND(ISNUMBER(Panel_Inputs!K37),ISNUMBER(Panel_Inputs!L37),ISNUMBER(Panel_Inputs!M37)),Panel_Inputs!K37-Panel_Inputs!L37-Panel_Inputs!M37,"")</f>
        <v>0</v>
      </c>
      <c r="S37" s="0" t="str">
        <f aca="false">IF(AND(ISNUMBER(Panel_Inputs!V37),Panel_Inputs!W37=1),Panel_Inputs!V37,"")</f>
        <v/>
      </c>
      <c r="T37" s="0" t="n">
        <f aca="false">IF(AND(ISNUMBER(Panel_Inputs!T37),ISNUMBER(Panel_Inputs!U37)),Panel_Inputs!T37-Panel_Inputs!U37,"")</f>
        <v>2.79</v>
      </c>
    </row>
    <row r="38" customFormat="false" ht="15" hidden="false" customHeight="false" outlineLevel="0" collapsed="false">
      <c r="A38" s="0" t="str">
        <f aca="false">Panel_Inputs!A38</f>
        <v>First Bank</v>
      </c>
      <c r="B38" s="0" t="n">
        <f aca="false">Panel_Inputs!B38</f>
        <v>2017</v>
      </c>
      <c r="C38" s="0" t="n">
        <f aca="false">IF(AND(ISNUMBER(Panel_Inputs!F38),ISNUMBER(Panel_Inputs!J38)),IF(AND(Panel_Inputs!F38&gt;0,Panel_Inputs!J38&gt;0),(Panel_Inputs!F38+Panel_Inputs!J38)/2,""),"")</f>
        <v>3667410.5</v>
      </c>
      <c r="D38" s="0" t="n">
        <f aca="false">IF(AND(ISNUMBER(Panel_Inputs!E38),ISNUMBER(C38)),IF(C38&gt;0,100*Panel_Inputs!E38/C38,""),"")</f>
        <v>1.27932229020995</v>
      </c>
      <c r="E38" s="0" t="n">
        <f aca="false">IF(AND(ISNUMBER(Panel_Inputs!H38),ISNUMBER(Panel_Inputs!F38)),IF(Panel_Inputs!F38&gt;0,100*Panel_Inputs!H38/Panel_Inputs!F38,""),"")</f>
        <v>15.3517874716147</v>
      </c>
      <c r="F38" s="0" t="n">
        <f aca="false">IF(AND(ISNUMBER(Panel_Inputs!I38),ISNUMBER(C38)),IF(C38&gt;0,100*Panel_Inputs!I38/C38,""),"")</f>
        <v>3.08697376527662</v>
      </c>
      <c r="G38" s="0" t="n">
        <f aca="false">IF(AND(ISNUMBER(Panel_Inputs!L38),ISNUMBER(Panel_Inputs!K38)),IF(Panel_Inputs!K38&gt;0,100*Panel_Inputs!L38/Panel_Inputs!K38,""),"")</f>
        <v>9.72612468469645</v>
      </c>
      <c r="H38" s="0" t="n">
        <f aca="false">IF(AND(ISNUMBER(Panel_Inputs!P38),ISNUMBER(Panel_Inputs!Q38)),IF(Panel_Inputs!Q38&gt;0,100*Panel_Inputs!P38/Panel_Inputs!Q38,""),"")</f>
        <v>17.738850550353</v>
      </c>
      <c r="I38" s="0" t="str">
        <f aca="false">IF(AND(ISNUMBER(Panel_Inputs!N38),ISNUMBER(C38)),IF(C38&gt;0,100*Panel_Inputs!N38/C38,""),"")</f>
        <v/>
      </c>
      <c r="J38" s="0" t="str">
        <f aca="false">IF(AND(ISNUMBER(Panel_Inputs!L38),ISNUMBER(Panel_Inputs!O38)),IF(Panel_Inputs!O38&gt;0,100*Panel_Inputs!L38/Panel_Inputs!O38,""),"")</f>
        <v/>
      </c>
      <c r="K38" s="0" t="str">
        <f aca="false">IF(AND(ISNUMBER(Panel_Inputs!O38),ISNUMBER(Panel_Inputs!K38)),IF(Panel_Inputs!K38&gt;0,100*Panel_Inputs!O38/Panel_Inputs!K38,""),"")</f>
        <v/>
      </c>
      <c r="L38" s="0" t="str">
        <f aca="false">IF(AND(ISNUMBER(Panel_Inputs!R38),ISNUMBER(Panel_Inputs!K38)),IF(Panel_Inputs!K38&gt;0,100*Panel_Inputs!R38/Panel_Inputs!K38,""),"")</f>
        <v/>
      </c>
      <c r="M38" s="0" t="str">
        <f aca="false">IF(AND(ISNUMBER(Panel_Inputs!S38),ISNUMBER(Panel_Inputs!R38)),IF(Panel_Inputs!R38&gt;0,100*Panel_Inputs!S38/Panel_Inputs!R38,""),"")</f>
        <v/>
      </c>
      <c r="N38" s="0" t="n">
        <f aca="false">IF(AND(ISNUMBER(Panel_Inputs!E38),ISNUMBER(Panel_Inputs!F38)),IF(Panel_Inputs!F38&gt;0,100*Panel_Inputs!E38/Panel_Inputs!F38,""),"")</f>
        <v>1.24218998003463</v>
      </c>
      <c r="O38" s="0" t="n">
        <f aca="false">IF(AND(ISNUMBER(Panel_Inputs!G38),ISNUMBER(Panel_Inputs!F38)),IF(Panel_Inputs!F38&gt;0,100*Panel_Inputs!G38/Panel_Inputs!F38,""),"")</f>
        <v>84.6482125283853</v>
      </c>
      <c r="P38" s="0" t="n">
        <f aca="false">IF(ISNUMBER(Panel_Inputs!F38),IF(Panel_Inputs!F38&gt;0,LN(Panel_Inputs!F38),""),"")</f>
        <v>15.1444509272966</v>
      </c>
      <c r="Q38" s="0" t="n">
        <f aca="false">IF(AND(ISNUMBER(Panel_Inputs!F38),ISNUMBER(Panel_Inputs!G38),ISNUMBER(Panel_Inputs!H38)),Panel_Inputs!F38-Panel_Inputs!G38-Panel_Inputs!H38,"")</f>
        <v>0</v>
      </c>
      <c r="R38" s="0" t="n">
        <f aca="false">IF(AND(ISNUMBER(Panel_Inputs!K38),ISNUMBER(Panel_Inputs!L38),ISNUMBER(Panel_Inputs!M38)),Panel_Inputs!K38-Panel_Inputs!L38-Panel_Inputs!M38,"")</f>
        <v>0</v>
      </c>
      <c r="S38" s="0" t="str">
        <f aca="false">IF(AND(ISNUMBER(Panel_Inputs!V38),Panel_Inputs!W38=1),Panel_Inputs!V38,"")</f>
        <v/>
      </c>
      <c r="T38" s="0" t="n">
        <f aca="false">IF(AND(ISNUMBER(Panel_Inputs!T38),ISNUMBER(Panel_Inputs!U38)),Panel_Inputs!T38-Panel_Inputs!U38,"")</f>
        <v>2.74</v>
      </c>
    </row>
    <row r="39" customFormat="false" ht="15" hidden="false" customHeight="false" outlineLevel="0" collapsed="false">
      <c r="A39" s="0" t="str">
        <f aca="false">Panel_Inputs!A39</f>
        <v>First Bank</v>
      </c>
      <c r="B39" s="0" t="n">
        <f aca="false">Panel_Inputs!B39</f>
        <v>2018</v>
      </c>
      <c r="C39" s="0" t="n">
        <f aca="false">IF(AND(ISNUMBER(Panel_Inputs!F39),ISNUMBER(Panel_Inputs!J39)),IF(AND(Panel_Inputs!F39&gt;0,Panel_Inputs!J39&gt;0),(Panel_Inputs!F39+Panel_Inputs!J39)/2,""),"")</f>
        <v>3881473</v>
      </c>
      <c r="D39" s="0" t="n">
        <f aca="false">IF(AND(ISNUMBER(Panel_Inputs!E39),ISNUMBER(C39)),IF(C39&gt;0,100*Panel_Inputs!E39/C39,""),"")</f>
        <v>1.46727801533078</v>
      </c>
      <c r="E39" s="0" t="n">
        <f aca="false">IF(AND(ISNUMBER(Panel_Inputs!H39),ISNUMBER(Panel_Inputs!F39)),IF(Panel_Inputs!F39&gt;0,100*Panel_Inputs!H39/Panel_Inputs!F39,""),"")</f>
        <v>11.1062300249354</v>
      </c>
      <c r="F39" s="0" t="n">
        <f aca="false">IF(AND(ISNUMBER(Panel_Inputs!I39),ISNUMBER(C39)),IF(C39&gt;0,100*Panel_Inputs!I39/C39,""),"")</f>
        <v>8.43744114669869</v>
      </c>
      <c r="G39" s="0" t="n">
        <f aca="false">IF(AND(ISNUMBER(Panel_Inputs!L39),ISNUMBER(Panel_Inputs!K39)),IF(Panel_Inputs!K39&gt;0,100*Panel_Inputs!L39/Panel_Inputs!K39,""),"")</f>
        <v>16.0529079842033</v>
      </c>
      <c r="H39" s="0" t="n">
        <f aca="false">IF(AND(ISNUMBER(Panel_Inputs!P39),ISNUMBER(Panel_Inputs!Q39)),IF(Panel_Inputs!Q39&gt;0,100*Panel_Inputs!P39/Panel_Inputs!Q39,""),"")</f>
        <v>10.6576506563765</v>
      </c>
      <c r="I39" s="0" t="n">
        <f aca="false">IF(AND(ISNUMBER(Panel_Inputs!N39),ISNUMBER(C39)),IF(C39&gt;0,100*Panel_Inputs!N39/C39,""),"")</f>
        <v>1.59385367359247</v>
      </c>
      <c r="J39" s="0" t="str">
        <f aca="false">IF(AND(ISNUMBER(Panel_Inputs!L39),ISNUMBER(Panel_Inputs!O39)),IF(Panel_Inputs!O39&gt;0,100*Panel_Inputs!L39/Panel_Inputs!O39,""),"")</f>
        <v/>
      </c>
      <c r="K39" s="0" t="str">
        <f aca="false">IF(AND(ISNUMBER(Panel_Inputs!O39),ISNUMBER(Panel_Inputs!K39)),IF(Panel_Inputs!K39&gt;0,100*Panel_Inputs!O39/Panel_Inputs!K39,""),"")</f>
        <v/>
      </c>
      <c r="L39" s="0" t="str">
        <f aca="false">IF(AND(ISNUMBER(Panel_Inputs!R39),ISNUMBER(Panel_Inputs!K39)),IF(Panel_Inputs!K39&gt;0,100*Panel_Inputs!R39/Panel_Inputs!K39,""),"")</f>
        <v/>
      </c>
      <c r="M39" s="0" t="str">
        <f aca="false">IF(AND(ISNUMBER(Panel_Inputs!S39),ISNUMBER(Panel_Inputs!R39)),IF(Panel_Inputs!R39&gt;0,100*Panel_Inputs!S39/Panel_Inputs!R39,""),"")</f>
        <v/>
      </c>
      <c r="N39" s="0" t="n">
        <f aca="false">IF(AND(ISNUMBER(Panel_Inputs!E39),ISNUMBER(Panel_Inputs!F39)),IF(Panel_Inputs!F39&gt;0,100*Panel_Inputs!E39/Panel_Inputs!F39,""),"")</f>
        <v>1.42883413988334</v>
      </c>
      <c r="O39" s="0" t="n">
        <f aca="false">IF(AND(ISNUMBER(Panel_Inputs!G39),ISNUMBER(Panel_Inputs!F39)),IF(Panel_Inputs!F39&gt;0,100*Panel_Inputs!G39/Panel_Inputs!F39,""),"")</f>
        <v>88.8937699750646</v>
      </c>
      <c r="P39" s="0" t="n">
        <f aca="false">IF(ISNUMBER(Panel_Inputs!F39),IF(Panel_Inputs!F39&gt;0,LN(Panel_Inputs!F39),""),"")</f>
        <v>15.1982754478219</v>
      </c>
      <c r="Q39" s="0" t="n">
        <f aca="false">IF(AND(ISNUMBER(Panel_Inputs!F39),ISNUMBER(Panel_Inputs!G39),ISNUMBER(Panel_Inputs!H39)),Panel_Inputs!F39-Panel_Inputs!G39-Panel_Inputs!H39,"")</f>
        <v>0</v>
      </c>
      <c r="R39" s="0" t="n">
        <f aca="false">IF(AND(ISNUMBER(Panel_Inputs!K39),ISNUMBER(Panel_Inputs!L39),ISNUMBER(Panel_Inputs!M39)),Panel_Inputs!K39-Panel_Inputs!L39-Panel_Inputs!M39,"")</f>
        <v>0</v>
      </c>
      <c r="S39" s="0" t="str">
        <f aca="false">IF(AND(ISNUMBER(Panel_Inputs!V39),Panel_Inputs!W39=1),Panel_Inputs!V39,"")</f>
        <v/>
      </c>
      <c r="T39" s="0" t="str">
        <f aca="false">IF(AND(ISNUMBER(Panel_Inputs!T39),ISNUMBER(Panel_Inputs!U39)),Panel_Inputs!T39-Panel_Inputs!U39,"")</f>
        <v/>
      </c>
    </row>
    <row r="40" customFormat="false" ht="15" hidden="false" customHeight="false" outlineLevel="0" collapsed="false">
      <c r="A40" s="0" t="str">
        <f aca="false">Panel_Inputs!A40</f>
        <v>First Bank</v>
      </c>
      <c r="B40" s="0" t="n">
        <f aca="false">Panel_Inputs!B40</f>
        <v>2019</v>
      </c>
      <c r="C40" s="0" t="n">
        <f aca="false">IF(AND(ISNUMBER(Panel_Inputs!F40),ISNUMBER(Panel_Inputs!J40)),IF(AND(Panel_Inputs!F40&gt;0,Panel_Inputs!J40&gt;0),(Panel_Inputs!F40+Panel_Inputs!J40)/2,""),"")</f>
        <v>4327093</v>
      </c>
      <c r="D40" s="0" t="n">
        <f aca="false">IF(AND(ISNUMBER(Panel_Inputs!E40),ISNUMBER(C40)),IF(C40&gt;0,100*Panel_Inputs!E40/C40,""),"")</f>
        <v>1.01493080920609</v>
      </c>
      <c r="E40" s="0" t="n">
        <f aca="false">IF(AND(ISNUMBER(Panel_Inputs!H40),ISNUMBER(Panel_Inputs!F40)),IF(Panel_Inputs!F40&gt;0,100*Panel_Inputs!H40/Panel_Inputs!F40,""),"")</f>
        <v>11.5559716974928</v>
      </c>
      <c r="F40" s="0" t="n">
        <f aca="false">IF(AND(ISNUMBER(Panel_Inputs!I40),ISNUMBER(C40)),IF(C40&gt;0,100*Panel_Inputs!I40/C40,""),"")</f>
        <v>-5.05540324647517</v>
      </c>
      <c r="G40" s="0" t="n">
        <f aca="false">IF(AND(ISNUMBER(Panel_Inputs!L40),ISNUMBER(Panel_Inputs!K40)),IF(Panel_Inputs!K40&gt;0,100*Panel_Inputs!L40/Panel_Inputs!K40,""),"")</f>
        <v>3.66403367397303</v>
      </c>
      <c r="H40" s="0" t="n">
        <f aca="false">IF(AND(ISNUMBER(Panel_Inputs!P40),ISNUMBER(Panel_Inputs!Q40)),IF(Panel_Inputs!Q40&gt;0,100*Panel_Inputs!P40/Panel_Inputs!Q40,""),"")</f>
        <v>11.156867031259</v>
      </c>
      <c r="I40" s="0" t="n">
        <f aca="false">IF(AND(ISNUMBER(Panel_Inputs!N40),ISNUMBER(C40)),IF(C40&gt;0,100*Panel_Inputs!N40/C40,""),"")</f>
        <v>1.07785989346658</v>
      </c>
      <c r="J40" s="0" t="str">
        <f aca="false">IF(AND(ISNUMBER(Panel_Inputs!L40),ISNUMBER(Panel_Inputs!O40)),IF(Panel_Inputs!O40&gt;0,100*Panel_Inputs!L40/Panel_Inputs!O40,""),"")</f>
        <v/>
      </c>
      <c r="K40" s="0" t="str">
        <f aca="false">IF(AND(ISNUMBER(Panel_Inputs!O40),ISNUMBER(Panel_Inputs!K40)),IF(Panel_Inputs!K40&gt;0,100*Panel_Inputs!O40/Panel_Inputs!K40,""),"")</f>
        <v/>
      </c>
      <c r="L40" s="0" t="str">
        <f aca="false">IF(AND(ISNUMBER(Panel_Inputs!R40),ISNUMBER(Panel_Inputs!K40)),IF(Panel_Inputs!K40&gt;0,100*Panel_Inputs!R40/Panel_Inputs!K40,""),"")</f>
        <v/>
      </c>
      <c r="M40" s="0" t="str">
        <f aca="false">IF(AND(ISNUMBER(Panel_Inputs!S40),ISNUMBER(Panel_Inputs!R40)),IF(Panel_Inputs!R40&gt;0,100*Panel_Inputs!S40/Panel_Inputs!R40,""),"")</f>
        <v/>
      </c>
      <c r="N40" s="0" t="n">
        <f aca="false">IF(AND(ISNUMBER(Panel_Inputs!E40),ISNUMBER(Panel_Inputs!F40)),IF(Panel_Inputs!F40&gt;0,100*Panel_Inputs!E40/Panel_Inputs!F40,""),"")</f>
        <v>0.940753541080128</v>
      </c>
      <c r="O40" s="0" t="n">
        <f aca="false">IF(AND(ISNUMBER(Panel_Inputs!G40),ISNUMBER(Panel_Inputs!F40)),IF(Panel_Inputs!F40&gt;0,100*Panel_Inputs!G40/Panel_Inputs!F40,""),"")</f>
        <v>88.4440283025072</v>
      </c>
      <c r="P40" s="0" t="n">
        <f aca="false">IF(ISNUMBER(Panel_Inputs!F40),IF(Panel_Inputs!F40&gt;0,LN(Panel_Inputs!F40),""),"")</f>
        <v>15.35630103924</v>
      </c>
      <c r="Q40" s="0" t="n">
        <f aca="false">IF(AND(ISNUMBER(Panel_Inputs!F40),ISNUMBER(Panel_Inputs!G40),ISNUMBER(Panel_Inputs!H40)),Panel_Inputs!F40-Panel_Inputs!G40-Panel_Inputs!H40,"")</f>
        <v>0</v>
      </c>
      <c r="R40" s="0" t="n">
        <f aca="false">IF(AND(ISNUMBER(Panel_Inputs!K40),ISNUMBER(Panel_Inputs!L40),ISNUMBER(Panel_Inputs!M40)),Panel_Inputs!K40-Panel_Inputs!L40-Panel_Inputs!M40,"")</f>
        <v>-1</v>
      </c>
      <c r="S40" s="0" t="str">
        <f aca="false">IF(AND(ISNUMBER(Panel_Inputs!V40),Panel_Inputs!W40=1),Panel_Inputs!V40,"")</f>
        <v/>
      </c>
      <c r="T40" s="0" t="str">
        <f aca="false">IF(AND(ISNUMBER(Panel_Inputs!T40),ISNUMBER(Panel_Inputs!U40)),Panel_Inputs!T40-Panel_Inputs!U40,"")</f>
        <v/>
      </c>
    </row>
    <row r="41" customFormat="false" ht="15" hidden="false" customHeight="false" outlineLevel="0" collapsed="false">
      <c r="A41" s="0" t="str">
        <f aca="false">Panel_Inputs!A41</f>
        <v>First Bank</v>
      </c>
      <c r="B41" s="0" t="n">
        <f aca="false">Panel_Inputs!B41</f>
        <v>2022</v>
      </c>
      <c r="C41" s="0" t="str">
        <f aca="false">IF(AND(ISNUMBER(Panel_Inputs!F41),ISNUMBER(Panel_Inputs!J41)),IF(AND(Panel_Inputs!F41&gt;0,Panel_Inputs!J41&gt;0),(Panel_Inputs!F41+Panel_Inputs!J41)/2,""),"")</f>
        <v/>
      </c>
      <c r="D41" s="0" t="str">
        <f aca="false">IF(AND(ISNUMBER(Panel_Inputs!E41),ISNUMBER(C41)),IF(C41&gt;0,100*Panel_Inputs!E41/C41,""),"")</f>
        <v/>
      </c>
      <c r="E41" s="0" t="n">
        <f aca="false">IF(AND(ISNUMBER(Panel_Inputs!H41),ISNUMBER(Panel_Inputs!F41)),IF(Panel_Inputs!F41&gt;0,100*Panel_Inputs!H41/Panel_Inputs!F41,""),"")</f>
        <v>9.26622080329253</v>
      </c>
      <c r="F41" s="0" t="str">
        <f aca="false">IF(AND(ISNUMBER(Panel_Inputs!I41),ISNUMBER(C41)),IF(C41&gt;0,100*Panel_Inputs!I41/C41,""),"")</f>
        <v/>
      </c>
      <c r="G41" s="0" t="str">
        <f aca="false">IF(AND(ISNUMBER(Panel_Inputs!L41),ISNUMBER(Panel_Inputs!K41)),IF(Panel_Inputs!K41&gt;0,100*Panel_Inputs!L41/Panel_Inputs!K41,""),"")</f>
        <v/>
      </c>
      <c r="H41" s="0" t="str">
        <f aca="false">IF(AND(ISNUMBER(Panel_Inputs!P41),ISNUMBER(Panel_Inputs!Q41)),IF(Panel_Inputs!Q41&gt;0,100*Panel_Inputs!P41/Panel_Inputs!Q41,""),"")</f>
        <v/>
      </c>
      <c r="I41" s="0" t="str">
        <f aca="false">IF(AND(ISNUMBER(Panel_Inputs!N41),ISNUMBER(C41)),IF(C41&gt;0,100*Panel_Inputs!N41/C41,""),"")</f>
        <v/>
      </c>
      <c r="J41" s="0" t="str">
        <f aca="false">IF(AND(ISNUMBER(Panel_Inputs!L41),ISNUMBER(Panel_Inputs!O41)),IF(Panel_Inputs!O41&gt;0,100*Panel_Inputs!L41/Panel_Inputs!O41,""),"")</f>
        <v/>
      </c>
      <c r="K41" s="0" t="str">
        <f aca="false">IF(AND(ISNUMBER(Panel_Inputs!O41),ISNUMBER(Panel_Inputs!K41)),IF(Panel_Inputs!K41&gt;0,100*Panel_Inputs!O41/Panel_Inputs!K41,""),"")</f>
        <v/>
      </c>
      <c r="L41" s="0" t="str">
        <f aca="false">IF(AND(ISNUMBER(Panel_Inputs!R41),ISNUMBER(Panel_Inputs!K41)),IF(Panel_Inputs!K41&gt;0,100*Panel_Inputs!R41/Panel_Inputs!K41,""),"")</f>
        <v/>
      </c>
      <c r="M41" s="0" t="str">
        <f aca="false">IF(AND(ISNUMBER(Panel_Inputs!S41),ISNUMBER(Panel_Inputs!R41)),IF(Panel_Inputs!R41&gt;0,100*Panel_Inputs!S41/Panel_Inputs!R41,""),"")</f>
        <v/>
      </c>
      <c r="N41" s="0" t="n">
        <f aca="false">IF(AND(ISNUMBER(Panel_Inputs!E41),ISNUMBER(Panel_Inputs!F41)),IF(Panel_Inputs!F41&gt;0,100*Panel_Inputs!E41/Panel_Inputs!F41,""),"")</f>
        <v>1.12509938388147</v>
      </c>
      <c r="O41" s="0" t="n">
        <f aca="false">IF(AND(ISNUMBER(Panel_Inputs!G41),ISNUMBER(Panel_Inputs!F41)),IF(Panel_Inputs!F41&gt;0,100*Panel_Inputs!G41/Panel_Inputs!F41,""),"")</f>
        <v>90.7337791967075</v>
      </c>
      <c r="P41" s="0" t="n">
        <f aca="false">IF(ISNUMBER(Panel_Inputs!F41),IF(Panel_Inputs!F41&gt;0,LN(Panel_Inputs!F41),""),"")</f>
        <v>15.9104636707682</v>
      </c>
      <c r="Q41" s="0" t="n">
        <f aca="false">IF(AND(ISNUMBER(Panel_Inputs!F41),ISNUMBER(Panel_Inputs!G41),ISNUMBER(Panel_Inputs!H41)),Panel_Inputs!F41-Panel_Inputs!G41-Panel_Inputs!H41,"")</f>
        <v>0</v>
      </c>
      <c r="R41" s="0" t="str">
        <f aca="false">IF(AND(ISNUMBER(Panel_Inputs!K41),ISNUMBER(Panel_Inputs!L41),ISNUMBER(Panel_Inputs!M41)),Panel_Inputs!K41-Panel_Inputs!L41-Panel_Inputs!M41,"")</f>
        <v/>
      </c>
      <c r="S41" s="0" t="str">
        <f aca="false">IF(AND(ISNUMBER(Panel_Inputs!V41),Panel_Inputs!W41=1),Panel_Inputs!V41,"")</f>
        <v/>
      </c>
      <c r="T41" s="0" t="str">
        <f aca="false">IF(AND(ISNUMBER(Panel_Inputs!T41),ISNUMBER(Panel_Inputs!U41)),Panel_Inputs!T41-Panel_Inputs!U41,"")</f>
        <v/>
      </c>
    </row>
    <row r="42" customFormat="false" ht="15" hidden="false" customHeight="false" outlineLevel="0" collapsed="false">
      <c r="A42" s="0" t="str">
        <f aca="false">Panel_Inputs!A42</f>
        <v>GTBank</v>
      </c>
      <c r="B42" s="0" t="n">
        <f aca="false">Panel_Inputs!B42</f>
        <v>2013</v>
      </c>
      <c r="C42" s="0" t="str">
        <f aca="false">IF(AND(ISNUMBER(Panel_Inputs!F42),ISNUMBER(Panel_Inputs!J42)),IF(AND(Panel_Inputs!F42&gt;0,Panel_Inputs!J42&gt;0),(Panel_Inputs!F42+Panel_Inputs!J42)/2,""),"")</f>
        <v/>
      </c>
      <c r="D42" s="0" t="str">
        <f aca="false">IF(AND(ISNUMBER(Panel_Inputs!E42),ISNUMBER(C42)),IF(C42&gt;0,100*Panel_Inputs!E42/C42,""),"")</f>
        <v/>
      </c>
      <c r="E42" s="0" t="n">
        <f aca="false">IF(AND(ISNUMBER(Panel_Inputs!H42),ISNUMBER(Panel_Inputs!F42)),IF(Panel_Inputs!F42&gt;0,100*Panel_Inputs!H42/Panel_Inputs!F42,""),"")</f>
        <v>17.3100653970928</v>
      </c>
      <c r="F42" s="0" t="str">
        <f aca="false">IF(AND(ISNUMBER(Panel_Inputs!I42),ISNUMBER(C42)),IF(C42&gt;0,100*Panel_Inputs!I42/C42,""),"")</f>
        <v/>
      </c>
      <c r="G42" s="0" t="str">
        <f aca="false">IF(AND(ISNUMBER(Panel_Inputs!L42),ISNUMBER(Panel_Inputs!K42)),IF(Panel_Inputs!K42&gt;0,100*Panel_Inputs!L42/Panel_Inputs!K42,""),"")</f>
        <v/>
      </c>
      <c r="H42" s="0" t="str">
        <f aca="false">IF(AND(ISNUMBER(Panel_Inputs!P42),ISNUMBER(Panel_Inputs!Q42)),IF(Panel_Inputs!Q42&gt;0,100*Panel_Inputs!P42/Panel_Inputs!Q42,""),"")</f>
        <v/>
      </c>
      <c r="I42" s="0" t="str">
        <f aca="false">IF(AND(ISNUMBER(Panel_Inputs!N42),ISNUMBER(C42)),IF(C42&gt;0,100*Panel_Inputs!N42/C42,""),"")</f>
        <v/>
      </c>
      <c r="J42" s="0" t="str">
        <f aca="false">IF(AND(ISNUMBER(Panel_Inputs!L42),ISNUMBER(Panel_Inputs!O42)),IF(Panel_Inputs!O42&gt;0,100*Panel_Inputs!L42/Panel_Inputs!O42,""),"")</f>
        <v/>
      </c>
      <c r="K42" s="0" t="str">
        <f aca="false">IF(AND(ISNUMBER(Panel_Inputs!O42),ISNUMBER(Panel_Inputs!K42)),IF(Panel_Inputs!K42&gt;0,100*Panel_Inputs!O42/Panel_Inputs!K42,""),"")</f>
        <v/>
      </c>
      <c r="L42" s="0" t="str">
        <f aca="false">IF(AND(ISNUMBER(Panel_Inputs!R42),ISNUMBER(Panel_Inputs!K42)),IF(Panel_Inputs!K42&gt;0,100*Panel_Inputs!R42/Panel_Inputs!K42,""),"")</f>
        <v/>
      </c>
      <c r="M42" s="0" t="str">
        <f aca="false">IF(AND(ISNUMBER(Panel_Inputs!S42),ISNUMBER(Panel_Inputs!R42)),IF(Panel_Inputs!R42&gt;0,100*Panel_Inputs!S42/Panel_Inputs!R42,""),"")</f>
        <v/>
      </c>
      <c r="N42" s="0" t="n">
        <f aca="false">IF(AND(ISNUMBER(Panel_Inputs!E42),ISNUMBER(Panel_Inputs!F42)),IF(Panel_Inputs!F42&gt;0,100*Panel_Inputs!E42/Panel_Inputs!F42,""),"")</f>
        <v>4.4920986827112</v>
      </c>
      <c r="O42" s="0" t="n">
        <f aca="false">IF(AND(ISNUMBER(Panel_Inputs!G42),ISNUMBER(Panel_Inputs!F42)),IF(Panel_Inputs!F42&gt;0,100*Panel_Inputs!G42/Panel_Inputs!F42,""),"")</f>
        <v>82.6899346029072</v>
      </c>
      <c r="P42" s="0" t="n">
        <f aca="false">IF(ISNUMBER(Panel_Inputs!F42),IF(Panel_Inputs!F42&gt;0,LN(Panel_Inputs!F42),""),"")</f>
        <v>14.459659702751</v>
      </c>
      <c r="Q42" s="0" t="n">
        <f aca="false">IF(AND(ISNUMBER(Panel_Inputs!F42),ISNUMBER(Panel_Inputs!G42),ISNUMBER(Panel_Inputs!H42)),Panel_Inputs!F42-Panel_Inputs!G42-Panel_Inputs!H42,"")</f>
        <v>0</v>
      </c>
      <c r="R42" s="0" t="str">
        <f aca="false">IF(AND(ISNUMBER(Panel_Inputs!K42),ISNUMBER(Panel_Inputs!L42),ISNUMBER(Panel_Inputs!M42)),Panel_Inputs!K42-Panel_Inputs!L42-Panel_Inputs!M42,"")</f>
        <v/>
      </c>
      <c r="S42" s="0" t="str">
        <f aca="false">IF(AND(ISNUMBER(Panel_Inputs!V42),Panel_Inputs!W42=1),Panel_Inputs!V42,"")</f>
        <v/>
      </c>
      <c r="T42" s="0" t="str">
        <f aca="false">IF(AND(ISNUMBER(Panel_Inputs!T42),ISNUMBER(Panel_Inputs!U42)),Panel_Inputs!T42-Panel_Inputs!U42,"")</f>
        <v/>
      </c>
    </row>
    <row r="43" customFormat="false" ht="15" hidden="false" customHeight="false" outlineLevel="0" collapsed="false">
      <c r="A43" s="0" t="str">
        <f aca="false">Panel_Inputs!A43</f>
        <v>GTBank</v>
      </c>
      <c r="B43" s="0" t="n">
        <f aca="false">Panel_Inputs!B43</f>
        <v>2014</v>
      </c>
      <c r="C43" s="0" t="n">
        <f aca="false">IF(AND(ISNUMBER(Panel_Inputs!F43),ISNUMBER(Panel_Inputs!J43)),IF(AND(Panel_Inputs!F43&gt;0,Panel_Inputs!J43&gt;0),(Panel_Inputs!F43+Panel_Inputs!J43)/2,""),"")</f>
        <v>2015487</v>
      </c>
      <c r="D43" s="0" t="n">
        <f aca="false">IF(AND(ISNUMBER(Panel_Inputs!E43),ISNUMBER(C43)),IF(C43&gt;0,100*Panel_Inputs!E43/C43,""),"")</f>
        <v>4.63570343048603</v>
      </c>
      <c r="E43" s="0" t="n">
        <f aca="false">IF(AND(ISNUMBER(Panel_Inputs!H43),ISNUMBER(Panel_Inputs!F43)),IF(Panel_Inputs!F43&gt;0,100*Panel_Inputs!H43/Panel_Inputs!F43,""),"")</f>
        <v>17.3764981604508</v>
      </c>
      <c r="F43" s="0" t="str">
        <f aca="false">IF(AND(ISNUMBER(Panel_Inputs!I43),ISNUMBER(C43)),IF(C43&gt;0,100*Panel_Inputs!I43/C43,""),"")</f>
        <v/>
      </c>
      <c r="G43" s="0" t="str">
        <f aca="false">IF(AND(ISNUMBER(Panel_Inputs!L43),ISNUMBER(Panel_Inputs!K43)),IF(Panel_Inputs!K43&gt;0,100*Panel_Inputs!L43/Panel_Inputs!K43,""),"")</f>
        <v/>
      </c>
      <c r="H43" s="0" t="str">
        <f aca="false">IF(AND(ISNUMBER(Panel_Inputs!P43),ISNUMBER(Panel_Inputs!Q43)),IF(Panel_Inputs!Q43&gt;0,100*Panel_Inputs!P43/Panel_Inputs!Q43,""),"")</f>
        <v/>
      </c>
      <c r="I43" s="0" t="str">
        <f aca="false">IF(AND(ISNUMBER(Panel_Inputs!N43),ISNUMBER(C43)),IF(C43&gt;0,100*Panel_Inputs!N43/C43,""),"")</f>
        <v/>
      </c>
      <c r="J43" s="0" t="str">
        <f aca="false">IF(AND(ISNUMBER(Panel_Inputs!L43),ISNUMBER(Panel_Inputs!O43)),IF(Panel_Inputs!O43&gt;0,100*Panel_Inputs!L43/Panel_Inputs!O43,""),"")</f>
        <v/>
      </c>
      <c r="K43" s="0" t="str">
        <f aca="false">IF(AND(ISNUMBER(Panel_Inputs!O43),ISNUMBER(Panel_Inputs!K43)),IF(Panel_Inputs!K43&gt;0,100*Panel_Inputs!O43/Panel_Inputs!K43,""),"")</f>
        <v/>
      </c>
      <c r="L43" s="0" t="str">
        <f aca="false">IF(AND(ISNUMBER(Panel_Inputs!R43),ISNUMBER(Panel_Inputs!K43)),IF(Panel_Inputs!K43&gt;0,100*Panel_Inputs!R43/Panel_Inputs!K43,""),"")</f>
        <v/>
      </c>
      <c r="M43" s="0" t="str">
        <f aca="false">IF(AND(ISNUMBER(Panel_Inputs!S43),ISNUMBER(Panel_Inputs!R43)),IF(Panel_Inputs!R43&gt;0,100*Panel_Inputs!S43/Panel_Inputs!R43,""),"")</f>
        <v/>
      </c>
      <c r="N43" s="0" t="n">
        <f aca="false">IF(AND(ISNUMBER(Panel_Inputs!E43),ISNUMBER(Panel_Inputs!F43)),IF(Panel_Inputs!F43&gt;0,100*Panel_Inputs!E43/Panel_Inputs!F43,""),"")</f>
        <v>4.39347543129717</v>
      </c>
      <c r="O43" s="0" t="n">
        <f aca="false">IF(AND(ISNUMBER(Panel_Inputs!G43),ISNUMBER(Panel_Inputs!F43)),IF(Panel_Inputs!F43&gt;0,100*Panel_Inputs!G43/Panel_Inputs!F43,""),"")</f>
        <v>82.6235018395492</v>
      </c>
      <c r="P43" s="0" t="n">
        <f aca="false">IF(ISNUMBER(Panel_Inputs!F43),IF(Panel_Inputs!F43&gt;0,LN(Panel_Inputs!F43),""),"")</f>
        <v>14.5700387800655</v>
      </c>
      <c r="Q43" s="0" t="n">
        <f aca="false">IF(AND(ISNUMBER(Panel_Inputs!F43),ISNUMBER(Panel_Inputs!G43),ISNUMBER(Panel_Inputs!H43)),Panel_Inputs!F43-Panel_Inputs!G43-Panel_Inputs!H43,"")</f>
        <v>0</v>
      </c>
      <c r="R43" s="0" t="str">
        <f aca="false">IF(AND(ISNUMBER(Panel_Inputs!K43),ISNUMBER(Panel_Inputs!L43),ISNUMBER(Panel_Inputs!M43)),Panel_Inputs!K43-Panel_Inputs!L43-Panel_Inputs!M43,"")</f>
        <v/>
      </c>
      <c r="S43" s="0" t="str">
        <f aca="false">IF(AND(ISNUMBER(Panel_Inputs!V43),Panel_Inputs!W43=1),Panel_Inputs!V43,"")</f>
        <v/>
      </c>
      <c r="T43" s="0" t="str">
        <f aca="false">IF(AND(ISNUMBER(Panel_Inputs!T43),ISNUMBER(Panel_Inputs!U43)),Panel_Inputs!T43-Panel_Inputs!U43,"")</f>
        <v/>
      </c>
    </row>
    <row r="44" customFormat="false" ht="15" hidden="false" customHeight="false" outlineLevel="0" collapsed="false">
      <c r="A44" s="0" t="str">
        <f aca="false">Panel_Inputs!A44</f>
        <v>GTBank</v>
      </c>
      <c r="B44" s="0" t="n">
        <f aca="false">Panel_Inputs!B44</f>
        <v>2015</v>
      </c>
      <c r="C44" s="0" t="n">
        <f aca="false">IF(AND(ISNUMBER(Panel_Inputs!F44),ISNUMBER(Panel_Inputs!J44)),IF(AND(Panel_Inputs!F44&gt;0,Panel_Inputs!J44&gt;0),(Panel_Inputs!F44+Panel_Inputs!J44)/2,""),"")</f>
        <v>2202118.768</v>
      </c>
      <c r="D44" s="0" t="n">
        <f aca="false">IF(AND(ISNUMBER(Panel_Inputs!E44),ISNUMBER(C44)),IF(C44&gt;0,100*Panel_Inputs!E44/C44,""),"")</f>
        <v>4.28260838472632</v>
      </c>
      <c r="E44" s="0" t="n">
        <f aca="false">IF(AND(ISNUMBER(Panel_Inputs!H44),ISNUMBER(Panel_Inputs!F44)),IF(Panel_Inputs!F44&gt;0,100*Panel_Inputs!H44/Panel_Inputs!F44,""),"")</f>
        <v>17.8083572043243</v>
      </c>
      <c r="F44" s="0" t="n">
        <f aca="false">IF(AND(ISNUMBER(Panel_Inputs!I44),ISNUMBER(C44)),IF(C44&gt;0,100*Panel_Inputs!I44/C44,""),"")</f>
        <v>0.473596072634716</v>
      </c>
      <c r="G44" s="0" t="n">
        <f aca="false">IF(AND(ISNUMBER(Panel_Inputs!L44),ISNUMBER(Panel_Inputs!K44)),IF(Panel_Inputs!K44&gt;0,100*Panel_Inputs!L44/Panel_Inputs!K44,""),"")</f>
        <v>2.03704641332621</v>
      </c>
      <c r="H44" s="0" t="n">
        <f aca="false">IF(AND(ISNUMBER(Panel_Inputs!P44),ISNUMBER(Panel_Inputs!Q44)),IF(Panel_Inputs!Q44&gt;0,100*Panel_Inputs!P44/Panel_Inputs!Q44,""),"")</f>
        <v>18.1696477559626</v>
      </c>
      <c r="I44" s="0" t="n">
        <f aca="false">IF(AND(ISNUMBER(Panel_Inputs!N44),ISNUMBER(C44)),IF(C44&gt;0,100*Panel_Inputs!N44/C44,""),"")</f>
        <v>0.534456822721198</v>
      </c>
      <c r="J44" s="0" t="str">
        <f aca="false">IF(AND(ISNUMBER(Panel_Inputs!L44),ISNUMBER(Panel_Inputs!O44)),IF(Panel_Inputs!O44&gt;0,100*Panel_Inputs!L44/Panel_Inputs!O44,""),"")</f>
        <v/>
      </c>
      <c r="K44" s="0" t="str">
        <f aca="false">IF(AND(ISNUMBER(Panel_Inputs!O44),ISNUMBER(Panel_Inputs!K44)),IF(Panel_Inputs!K44&gt;0,100*Panel_Inputs!O44/Panel_Inputs!K44,""),"")</f>
        <v/>
      </c>
      <c r="L44" s="0" t="str">
        <f aca="false">IF(AND(ISNUMBER(Panel_Inputs!R44),ISNUMBER(Panel_Inputs!K44)),IF(Panel_Inputs!K44&gt;0,100*Panel_Inputs!R44/Panel_Inputs!K44,""),"")</f>
        <v/>
      </c>
      <c r="M44" s="0" t="str">
        <f aca="false">IF(AND(ISNUMBER(Panel_Inputs!S44),ISNUMBER(Panel_Inputs!R44)),IF(Panel_Inputs!R44&gt;0,100*Panel_Inputs!S44/Panel_Inputs!R44,""),"")</f>
        <v/>
      </c>
      <c r="N44" s="0" t="n">
        <f aca="false">IF(AND(ISNUMBER(Panel_Inputs!E44),ISNUMBER(Panel_Inputs!F44)),IF(Panel_Inputs!F44&gt;0,100*Panel_Inputs!E44/Panel_Inputs!F44,""),"")</f>
        <v>4.14062666593182</v>
      </c>
      <c r="O44" s="0" t="n">
        <f aca="false">IF(AND(ISNUMBER(Panel_Inputs!G44),ISNUMBER(Panel_Inputs!F44)),IF(Panel_Inputs!F44&gt;0,100*Panel_Inputs!G44/Panel_Inputs!F44,""),"")</f>
        <v>82.1916427956757</v>
      </c>
      <c r="P44" s="0" t="n">
        <f aca="false">IF(ISNUMBER(Panel_Inputs!F44),IF(Panel_Inputs!F44&gt;0,LN(Panel_Inputs!F44),""),"")</f>
        <v>14.6386456459139</v>
      </c>
      <c r="Q44" s="0" t="n">
        <f aca="false">IF(AND(ISNUMBER(Panel_Inputs!F44),ISNUMBER(Panel_Inputs!G44),ISNUMBER(Panel_Inputs!H44)),Panel_Inputs!F44-Panel_Inputs!G44-Panel_Inputs!H44,"")</f>
        <v>0</v>
      </c>
      <c r="R44" s="0" t="n">
        <f aca="false">IF(AND(ISNUMBER(Panel_Inputs!K44),ISNUMBER(Panel_Inputs!L44),ISNUMBER(Panel_Inputs!M44)),Panel_Inputs!K44-Panel_Inputs!L44-Panel_Inputs!M44,"")</f>
        <v>0</v>
      </c>
      <c r="S44" s="0" t="str">
        <f aca="false">IF(AND(ISNUMBER(Panel_Inputs!V44),Panel_Inputs!W44=1),Panel_Inputs!V44,"")</f>
        <v/>
      </c>
      <c r="T44" s="0" t="str">
        <f aca="false">IF(AND(ISNUMBER(Panel_Inputs!T44),ISNUMBER(Panel_Inputs!U44)),Panel_Inputs!T44-Panel_Inputs!U44,"")</f>
        <v/>
      </c>
    </row>
    <row r="45" customFormat="false" ht="15" hidden="false" customHeight="false" outlineLevel="0" collapsed="false">
      <c r="A45" s="0" t="str">
        <f aca="false">Panel_Inputs!A45</f>
        <v>GTBank</v>
      </c>
      <c r="B45" s="0" t="n">
        <f aca="false">Panel_Inputs!B45</f>
        <v>2016</v>
      </c>
      <c r="C45" s="0" t="n">
        <f aca="false">IF(AND(ISNUMBER(Panel_Inputs!F45),ISNUMBER(Panel_Inputs!J45)),IF(AND(Panel_Inputs!F45&gt;0,Panel_Inputs!J45&gt;0),(Panel_Inputs!F45+Panel_Inputs!J45)/2,""),"")</f>
        <v>2445484.649</v>
      </c>
      <c r="D45" s="0" t="n">
        <f aca="false">IF(AND(ISNUMBER(Panel_Inputs!E45),ISNUMBER(C45)),IF(C45&gt;0,100*Panel_Inputs!E45/C45,""),"")</f>
        <v>5.18657077041419</v>
      </c>
      <c r="E45" s="0" t="n">
        <f aca="false">IF(AND(ISNUMBER(Panel_Inputs!H45),ISNUMBER(Panel_Inputs!F45)),IF(Panel_Inputs!F45&gt;0,100*Panel_Inputs!H45/Panel_Inputs!F45,""),"")</f>
        <v>18.24936056906</v>
      </c>
      <c r="F45" s="0" t="n">
        <f aca="false">IF(AND(ISNUMBER(Panel_Inputs!I45),ISNUMBER(C45)),IF(C45&gt;0,100*Panel_Inputs!I45/C45,""),"")</f>
        <v>11.7311772583529</v>
      </c>
      <c r="G45" s="0" t="n">
        <f aca="false">IF(AND(ISNUMBER(Panel_Inputs!L45),ISNUMBER(Panel_Inputs!K45)),IF(Panel_Inputs!K45&gt;0,100*Panel_Inputs!L45/Panel_Inputs!K45,""),"")</f>
        <v>4.95599798775377</v>
      </c>
      <c r="H45" s="0" t="n">
        <f aca="false">IF(AND(ISNUMBER(Panel_Inputs!P45),ISNUMBER(Panel_Inputs!Q45)),IF(Panel_Inputs!Q45&gt;0,100*Panel_Inputs!P45/Panel_Inputs!Q45,""),"")</f>
        <v>19.7905949742338</v>
      </c>
      <c r="I45" s="0" t="n">
        <f aca="false">IF(AND(ISNUMBER(Panel_Inputs!N45),ISNUMBER(C45)),IF(C45&gt;0,100*Panel_Inputs!N45/C45,""),"")</f>
        <v>2.59836593233099</v>
      </c>
      <c r="J45" s="0" t="str">
        <f aca="false">IF(AND(ISNUMBER(Panel_Inputs!L45),ISNUMBER(Panel_Inputs!O45)),IF(Panel_Inputs!O45&gt;0,100*Panel_Inputs!L45/Panel_Inputs!O45,""),"")</f>
        <v/>
      </c>
      <c r="K45" s="0" t="str">
        <f aca="false">IF(AND(ISNUMBER(Panel_Inputs!O45),ISNUMBER(Panel_Inputs!K45)),IF(Panel_Inputs!K45&gt;0,100*Panel_Inputs!O45/Panel_Inputs!K45,""),"")</f>
        <v/>
      </c>
      <c r="L45" s="0" t="str">
        <f aca="false">IF(AND(ISNUMBER(Panel_Inputs!R45),ISNUMBER(Panel_Inputs!K45)),IF(Panel_Inputs!K45&gt;0,100*Panel_Inputs!R45/Panel_Inputs!K45,""),"")</f>
        <v/>
      </c>
      <c r="M45" s="0" t="str">
        <f aca="false">IF(AND(ISNUMBER(Panel_Inputs!S45),ISNUMBER(Panel_Inputs!R45)),IF(Panel_Inputs!R45&gt;0,100*Panel_Inputs!S45/Panel_Inputs!R45,""),"")</f>
        <v/>
      </c>
      <c r="N45" s="0" t="n">
        <f aca="false">IF(AND(ISNUMBER(Panel_Inputs!E45),ISNUMBER(Panel_Inputs!F45)),IF(Panel_Inputs!F45&gt;0,100*Panel_Inputs!E45/Panel_Inputs!F45,""),"")</f>
        <v>4.85343615482322</v>
      </c>
      <c r="O45" s="0" t="n">
        <f aca="false">IF(AND(ISNUMBER(Panel_Inputs!G45),ISNUMBER(Panel_Inputs!F45)),IF(Panel_Inputs!F45&gt;0,100*Panel_Inputs!G45/Panel_Inputs!F45,""),"")</f>
        <v>81.75063943094</v>
      </c>
      <c r="P45" s="0" t="n">
        <f aca="false">IF(ISNUMBER(Panel_Inputs!F45),IF(Panel_Inputs!F45&gt;0,LN(Panel_Inputs!F45),""),"")</f>
        <v>14.7761396829919</v>
      </c>
      <c r="Q45" s="0" t="n">
        <f aca="false">IF(AND(ISNUMBER(Panel_Inputs!F45),ISNUMBER(Panel_Inputs!G45),ISNUMBER(Panel_Inputs!H45)),Panel_Inputs!F45-Panel_Inputs!G45-Panel_Inputs!H45,"")</f>
        <v>0</v>
      </c>
      <c r="R45" s="0" t="n">
        <f aca="false">IF(AND(ISNUMBER(Panel_Inputs!K45),ISNUMBER(Panel_Inputs!L45),ISNUMBER(Panel_Inputs!M45)),Panel_Inputs!K45-Panel_Inputs!L45-Panel_Inputs!M45,"")</f>
        <v>0</v>
      </c>
      <c r="S45" s="0" t="str">
        <f aca="false">IF(AND(ISNUMBER(Panel_Inputs!V45),Panel_Inputs!W45=1),Panel_Inputs!V45,"")</f>
        <v/>
      </c>
      <c r="T45" s="0" t="str">
        <f aca="false">IF(AND(ISNUMBER(Panel_Inputs!T45),ISNUMBER(Panel_Inputs!U45)),Panel_Inputs!T45-Panel_Inputs!U45,"")</f>
        <v/>
      </c>
    </row>
    <row r="46" customFormat="false" ht="15" hidden="false" customHeight="false" outlineLevel="0" collapsed="false">
      <c r="A46" s="0" t="str">
        <f aca="false">Panel_Inputs!A46</f>
        <v>GTBank</v>
      </c>
      <c r="B46" s="0" t="n">
        <f aca="false">Panel_Inputs!B46</f>
        <v>2017</v>
      </c>
      <c r="C46" s="0" t="n">
        <f aca="false">IF(AND(ISNUMBER(Panel_Inputs!F46),ISNUMBER(Panel_Inputs!J46)),IF(AND(Panel_Inputs!F46&gt;0,Panel_Inputs!J46&gt;0),(Panel_Inputs!F46+Panel_Inputs!J46)/2,""),"")</f>
        <v>2719134.5295</v>
      </c>
      <c r="D46" s="0" t="n">
        <f aca="false">IF(AND(ISNUMBER(Panel_Inputs!E46),ISNUMBER(C46)),IF(C46&gt;0,100*Panel_Inputs!E46/C46,""),"")</f>
        <v>5.83743478956104</v>
      </c>
      <c r="E46" s="0" t="n">
        <f aca="false">IF(AND(ISNUMBER(Panel_Inputs!H46),ISNUMBER(Panel_Inputs!F46)),IF(Panel_Inputs!F46&gt;0,100*Panel_Inputs!H46/Panel_Inputs!F46,""),"")</f>
        <v>20.4811086959059</v>
      </c>
      <c r="F46" s="0" t="n">
        <f aca="false">IF(AND(ISNUMBER(Panel_Inputs!I46),ISNUMBER(C46)),IF(C46&gt;0,100*Panel_Inputs!I46/C46,""),"")</f>
        <v>12.9966841715987</v>
      </c>
      <c r="G46" s="0" t="n">
        <f aca="false">IF(AND(ISNUMBER(Panel_Inputs!L46),ISNUMBER(Panel_Inputs!K46)),IF(Panel_Inputs!K46&gt;0,100*Panel_Inputs!L46/Panel_Inputs!K46,""),"")</f>
        <v>4.5450472420029</v>
      </c>
      <c r="H46" s="0" t="str">
        <f aca="false">IF(AND(ISNUMBER(Panel_Inputs!P46),ISNUMBER(Panel_Inputs!Q46)),IF(Panel_Inputs!Q46&gt;0,100*Panel_Inputs!P46/Panel_Inputs!Q46,""),"")</f>
        <v/>
      </c>
      <c r="I46" s="0" t="n">
        <f aca="false">IF(AND(ISNUMBER(Panel_Inputs!N46),ISNUMBER(C46)),IF(C46&gt;0,100*Panel_Inputs!N46/C46,""),"")</f>
        <v>0.424079495696022</v>
      </c>
      <c r="J46" s="0" t="str">
        <f aca="false">IF(AND(ISNUMBER(Panel_Inputs!L46),ISNUMBER(Panel_Inputs!O46)),IF(Panel_Inputs!O46&gt;0,100*Panel_Inputs!L46/Panel_Inputs!O46,""),"")</f>
        <v/>
      </c>
      <c r="K46" s="0" t="str">
        <f aca="false">IF(AND(ISNUMBER(Panel_Inputs!O46),ISNUMBER(Panel_Inputs!K46)),IF(Panel_Inputs!K46&gt;0,100*Panel_Inputs!O46/Panel_Inputs!K46,""),"")</f>
        <v/>
      </c>
      <c r="L46" s="0" t="str">
        <f aca="false">IF(AND(ISNUMBER(Panel_Inputs!R46),ISNUMBER(Panel_Inputs!K46)),IF(Panel_Inputs!K46&gt;0,100*Panel_Inputs!R46/Panel_Inputs!K46,""),"")</f>
        <v/>
      </c>
      <c r="M46" s="0" t="str">
        <f aca="false">IF(AND(ISNUMBER(Panel_Inputs!S46),ISNUMBER(Panel_Inputs!R46)),IF(Panel_Inputs!R46&gt;0,100*Panel_Inputs!S46/Panel_Inputs!R46,""),"")</f>
        <v/>
      </c>
      <c r="N46" s="0" t="n">
        <f aca="false">IF(AND(ISNUMBER(Panel_Inputs!E46),ISNUMBER(Panel_Inputs!F46)),IF(Panel_Inputs!F46&gt;0,100*Panel_Inputs!E46/Panel_Inputs!F46,""),"")</f>
        <v>5.61882106923123</v>
      </c>
      <c r="O46" s="0" t="n">
        <f aca="false">IF(AND(ISNUMBER(Panel_Inputs!G46),ISNUMBER(Panel_Inputs!F46)),IF(Panel_Inputs!F46&gt;0,100*Panel_Inputs!G46/Panel_Inputs!F46,""),"")</f>
        <v>79.5188913040941</v>
      </c>
      <c r="P46" s="0" t="n">
        <f aca="false">IF(ISNUMBER(Panel_Inputs!F46),IF(Panel_Inputs!F46&gt;0,LN(Panel_Inputs!F46),""),"")</f>
        <v>14.8539937841936</v>
      </c>
      <c r="Q46" s="0" t="n">
        <f aca="false">IF(AND(ISNUMBER(Panel_Inputs!F46),ISNUMBER(Panel_Inputs!G46),ISNUMBER(Panel_Inputs!H46)),Panel_Inputs!F46-Panel_Inputs!G46-Panel_Inputs!H46,"")</f>
        <v>0</v>
      </c>
      <c r="R46" s="0" t="n">
        <f aca="false">IF(AND(ISNUMBER(Panel_Inputs!K46),ISNUMBER(Panel_Inputs!L46),ISNUMBER(Panel_Inputs!M46)),Panel_Inputs!K46-Panel_Inputs!L46-Panel_Inputs!M46,"")</f>
        <v>0</v>
      </c>
      <c r="S46" s="0" t="str">
        <f aca="false">IF(AND(ISNUMBER(Panel_Inputs!V46),Panel_Inputs!W46=1),Panel_Inputs!V46,"")</f>
        <v/>
      </c>
      <c r="T46" s="0" t="str">
        <f aca="false">IF(AND(ISNUMBER(Panel_Inputs!T46),ISNUMBER(Panel_Inputs!U46)),Panel_Inputs!T46-Panel_Inputs!U46,"")</f>
        <v/>
      </c>
    </row>
    <row r="47" customFormat="false" ht="15" hidden="false" customHeight="false" outlineLevel="0" collapsed="false">
      <c r="A47" s="0" t="str">
        <f aca="false">Panel_Inputs!A47</f>
        <v>GTBank</v>
      </c>
      <c r="B47" s="0" t="n">
        <f aca="false">Panel_Inputs!B47</f>
        <v>2018</v>
      </c>
      <c r="C47" s="0" t="n">
        <f aca="false">IF(AND(ISNUMBER(Panel_Inputs!F47),ISNUMBER(Panel_Inputs!J47)),IF(AND(Panel_Inputs!F47&gt;0,Panel_Inputs!J47&gt;0),(Panel_Inputs!F47+Panel_Inputs!J47)/2,""),"")</f>
        <v>2768725.2395</v>
      </c>
      <c r="D47" s="0" t="n">
        <f aca="false">IF(AND(ISNUMBER(Panel_Inputs!E47),ISNUMBER(C47)),IF(C47&gt;0,100*Panel_Inputs!E47/C47,""),"")</f>
        <v>6.02875874495021</v>
      </c>
      <c r="E47" s="0" t="n">
        <f aca="false">IF(AND(ISNUMBER(Panel_Inputs!H47),ISNUMBER(Panel_Inputs!F47)),IF(Panel_Inputs!F47&gt;0,100*Panel_Inputs!H47/Panel_Inputs!F47,""),"")</f>
        <v>18.8696111766184</v>
      </c>
      <c r="F47" s="0" t="n">
        <f aca="false">IF(AND(ISNUMBER(Panel_Inputs!I47),ISNUMBER(C47)),IF(C47&gt;0,100*Panel_Inputs!I47/C47,""),"")</f>
        <v>8.11296335206468</v>
      </c>
      <c r="G47" s="0" t="n">
        <f aca="false">IF(AND(ISNUMBER(Panel_Inputs!L47),ISNUMBER(Panel_Inputs!K47)),IF(Panel_Inputs!K47&gt;0,100*Panel_Inputs!L47/Panel_Inputs!K47,""),"")</f>
        <v>7.85015452926359</v>
      </c>
      <c r="H47" s="0" t="str">
        <f aca="false">IF(AND(ISNUMBER(Panel_Inputs!P47),ISNUMBER(Panel_Inputs!Q47)),IF(Panel_Inputs!Q47&gt;0,100*Panel_Inputs!P47/Panel_Inputs!Q47,""),"")</f>
        <v/>
      </c>
      <c r="I47" s="0" t="n">
        <f aca="false">IF(AND(ISNUMBER(Panel_Inputs!N47),ISNUMBER(C47)),IF(C47&gt;0,100*Panel_Inputs!N47/C47,""),"")</f>
        <v>0.0499870474778471</v>
      </c>
      <c r="J47" s="0" t="str">
        <f aca="false">IF(AND(ISNUMBER(Panel_Inputs!L47),ISNUMBER(Panel_Inputs!O47)),IF(Panel_Inputs!O47&gt;0,100*Panel_Inputs!L47/Panel_Inputs!O47,""),"")</f>
        <v/>
      </c>
      <c r="K47" s="0" t="str">
        <f aca="false">IF(AND(ISNUMBER(Panel_Inputs!O47),ISNUMBER(Panel_Inputs!K47)),IF(Panel_Inputs!K47&gt;0,100*Panel_Inputs!O47/Panel_Inputs!K47,""),"")</f>
        <v/>
      </c>
      <c r="L47" s="0" t="str">
        <f aca="false">IF(AND(ISNUMBER(Panel_Inputs!R47),ISNUMBER(Panel_Inputs!K47)),IF(Panel_Inputs!K47&gt;0,100*Panel_Inputs!R47/Panel_Inputs!K47,""),"")</f>
        <v/>
      </c>
      <c r="M47" s="0" t="str">
        <f aca="false">IF(AND(ISNUMBER(Panel_Inputs!S47),ISNUMBER(Panel_Inputs!R47)),IF(Panel_Inputs!R47&gt;0,100*Panel_Inputs!S47/Panel_Inputs!R47,""),"")</f>
        <v/>
      </c>
      <c r="N47" s="0" t="n">
        <f aca="false">IF(AND(ISNUMBER(Panel_Inputs!E47),ISNUMBER(Panel_Inputs!F47)),IF(Panel_Inputs!F47&gt;0,100*Panel_Inputs!E47/Panel_Inputs!F47,""),"")</f>
        <v>6.15367529323622</v>
      </c>
      <c r="O47" s="0" t="n">
        <f aca="false">IF(AND(ISNUMBER(Panel_Inputs!G47),ISNUMBER(Panel_Inputs!F47)),IF(Panel_Inputs!F47&gt;0,100*Panel_Inputs!G47/Panel_Inputs!F47,""),"")</f>
        <v>81.1303888233816</v>
      </c>
      <c r="P47" s="0" t="n">
        <f aca="false">IF(ISNUMBER(Panel_Inputs!F47),IF(Panel_Inputs!F47&gt;0,LN(Panel_Inputs!F47),""),"")</f>
        <v>14.8133892008548</v>
      </c>
      <c r="Q47" s="0" t="n">
        <f aca="false">IF(AND(ISNUMBER(Panel_Inputs!F47),ISNUMBER(Panel_Inputs!G47),ISNUMBER(Panel_Inputs!H47)),Panel_Inputs!F47-Panel_Inputs!G47-Panel_Inputs!H47,"")</f>
        <v>0</v>
      </c>
      <c r="R47" s="0" t="n">
        <f aca="false">IF(AND(ISNUMBER(Panel_Inputs!K47),ISNUMBER(Panel_Inputs!L47),ISNUMBER(Panel_Inputs!M47)),Panel_Inputs!K47-Panel_Inputs!L47-Panel_Inputs!M47,"")</f>
        <v>0</v>
      </c>
      <c r="S47" s="0" t="str">
        <f aca="false">IF(AND(ISNUMBER(Panel_Inputs!V47),Panel_Inputs!W47=1),Panel_Inputs!V47,"")</f>
        <v/>
      </c>
      <c r="T47" s="0" t="str">
        <f aca="false">IF(AND(ISNUMBER(Panel_Inputs!T47),ISNUMBER(Panel_Inputs!U47)),Panel_Inputs!T47-Panel_Inputs!U47,"")</f>
        <v/>
      </c>
    </row>
    <row r="48" customFormat="false" ht="15" hidden="false" customHeight="false" outlineLevel="0" collapsed="false">
      <c r="A48" s="0" t="str">
        <f aca="false">Panel_Inputs!A48</f>
        <v>GTBank</v>
      </c>
      <c r="B48" s="0" t="n">
        <f aca="false">Panel_Inputs!B48</f>
        <v>2019</v>
      </c>
      <c r="C48" s="0" t="n">
        <f aca="false">IF(AND(ISNUMBER(Panel_Inputs!F48),ISNUMBER(Panel_Inputs!J48)),IF(AND(Panel_Inputs!F48&gt;0,Panel_Inputs!J48&gt;0),(Panel_Inputs!F48+Panel_Inputs!J48)/2,""),"")</f>
        <v>2904884.9945</v>
      </c>
      <c r="D48" s="0" t="n">
        <f aca="false">IF(AND(ISNUMBER(Panel_Inputs!E48),ISNUMBER(C48)),IF(C48&gt;0,100*Panel_Inputs!E48/C48,""),"")</f>
        <v>6.02864765151032</v>
      </c>
      <c r="E48" s="0" t="n">
        <f aca="false">IF(AND(ISNUMBER(Panel_Inputs!H48),ISNUMBER(Panel_Inputs!F48)),IF(Panel_Inputs!F48&gt;0,100*Panel_Inputs!H48/Panel_Inputs!F48,""),"")</f>
        <v>19.5621887290642</v>
      </c>
      <c r="F48" s="0" t="n">
        <f aca="false">IF(AND(ISNUMBER(Panel_Inputs!I48),ISNUMBER(C48)),IF(C48&gt;0,100*Panel_Inputs!I48/C48,""),"")</f>
        <v>6.81106712914999</v>
      </c>
      <c r="G48" s="0" t="n">
        <f aca="false">IF(AND(ISNUMBER(Panel_Inputs!L48),ISNUMBER(Panel_Inputs!K48)),IF(Panel_Inputs!K48&gt;0,100*Panel_Inputs!L48/Panel_Inputs!K48,""),"")</f>
        <v>4.14464652449988</v>
      </c>
      <c r="H48" s="0" t="n">
        <f aca="false">IF(AND(ISNUMBER(Panel_Inputs!P48),ISNUMBER(Panel_Inputs!Q48)),IF(Panel_Inputs!Q48&gt;0,100*Panel_Inputs!P48/Panel_Inputs!Q48,""),"")</f>
        <v>20.6598717278961</v>
      </c>
      <c r="I48" s="0" t="n">
        <f aca="false">IF(AND(ISNUMBER(Panel_Inputs!N48),ISNUMBER(C48)),IF(C48&gt;0,100*Panel_Inputs!N48/C48,""),"")</f>
        <v>0.064004151748528</v>
      </c>
      <c r="J48" s="0" t="str">
        <f aca="false">IF(AND(ISNUMBER(Panel_Inputs!L48),ISNUMBER(Panel_Inputs!O48)),IF(Panel_Inputs!O48&gt;0,100*Panel_Inputs!L48/Panel_Inputs!O48,""),"")</f>
        <v/>
      </c>
      <c r="K48" s="0" t="str">
        <f aca="false">IF(AND(ISNUMBER(Panel_Inputs!O48),ISNUMBER(Panel_Inputs!K48)),IF(Panel_Inputs!K48&gt;0,100*Panel_Inputs!O48/Panel_Inputs!K48,""),"")</f>
        <v/>
      </c>
      <c r="L48" s="0" t="str">
        <f aca="false">IF(AND(ISNUMBER(Panel_Inputs!R48),ISNUMBER(Panel_Inputs!K48)),IF(Panel_Inputs!K48&gt;0,100*Panel_Inputs!R48/Panel_Inputs!K48,""),"")</f>
        <v/>
      </c>
      <c r="M48" s="0" t="str">
        <f aca="false">IF(AND(ISNUMBER(Panel_Inputs!S48),ISNUMBER(Panel_Inputs!R48)),IF(Panel_Inputs!R48&gt;0,100*Panel_Inputs!S48/Panel_Inputs!R48,""),"")</f>
        <v/>
      </c>
      <c r="N48" s="0" t="n">
        <f aca="false">IF(AND(ISNUMBER(Panel_Inputs!E48),ISNUMBER(Panel_Inputs!F48)),IF(Panel_Inputs!F48&gt;0,100*Panel_Inputs!E48/Panel_Inputs!F48,""),"")</f>
        <v>5.65422119932292</v>
      </c>
      <c r="O48" s="0" t="n">
        <f aca="false">IF(AND(ISNUMBER(Panel_Inputs!G48),ISNUMBER(Panel_Inputs!F48)),IF(Panel_Inputs!F48&gt;0,100*Panel_Inputs!G48/Panel_Inputs!F48,""),"")</f>
        <v>80.4378112709358</v>
      </c>
      <c r="P48" s="0" t="n">
        <f aca="false">IF(ISNUMBER(Panel_Inputs!F48),IF(Panel_Inputs!F48&gt;0,LN(Panel_Inputs!F48),""),"")</f>
        <v>14.9460246930629</v>
      </c>
      <c r="Q48" s="0" t="n">
        <f aca="false">IF(AND(ISNUMBER(Panel_Inputs!F48),ISNUMBER(Panel_Inputs!G48),ISNUMBER(Panel_Inputs!H48)),Panel_Inputs!F48-Panel_Inputs!G48-Panel_Inputs!H48,"")</f>
        <v>0</v>
      </c>
      <c r="R48" s="0" t="n">
        <f aca="false">IF(AND(ISNUMBER(Panel_Inputs!K48),ISNUMBER(Panel_Inputs!L48),ISNUMBER(Panel_Inputs!M48)),Panel_Inputs!K48-Panel_Inputs!L48-Panel_Inputs!M48,"")</f>
        <v>0</v>
      </c>
      <c r="S48" s="0" t="str">
        <f aca="false">IF(AND(ISNUMBER(Panel_Inputs!V48),Panel_Inputs!W48=1),Panel_Inputs!V48,"")</f>
        <v/>
      </c>
      <c r="T48" s="0" t="str">
        <f aca="false">IF(AND(ISNUMBER(Panel_Inputs!T48),ISNUMBER(Panel_Inputs!U48)),Panel_Inputs!T48-Panel_Inputs!U48,"")</f>
        <v/>
      </c>
    </row>
    <row r="49" customFormat="false" ht="15" hidden="false" customHeight="false" outlineLevel="0" collapsed="false">
      <c r="A49" s="0" t="str">
        <f aca="false">Panel_Inputs!A49</f>
        <v>GTBank</v>
      </c>
      <c r="B49" s="0" t="n">
        <f aca="false">Panel_Inputs!B49</f>
        <v>2020</v>
      </c>
      <c r="C49" s="0" t="n">
        <f aca="false">IF(AND(ISNUMBER(Panel_Inputs!F49),ISNUMBER(Panel_Inputs!J49)),IF(AND(Panel_Inputs!F49&gt;0,Panel_Inputs!J49&gt;0),(Panel_Inputs!F49+Panel_Inputs!J49)/2,""),"")</f>
        <v>3579396.05</v>
      </c>
      <c r="D49" s="0" t="n">
        <f aca="false">IF(AND(ISNUMBER(Panel_Inputs!E49),ISNUMBER(C49)),IF(C49&gt;0,100*Panel_Inputs!E49/C49,""),"")</f>
        <v>4.97816937580852</v>
      </c>
      <c r="E49" s="0" t="n">
        <f aca="false">IF(AND(ISNUMBER(Panel_Inputs!H49),ISNUMBER(Panel_Inputs!F49)),IF(Panel_Inputs!F49&gt;0,100*Panel_Inputs!H49/Panel_Inputs!F49,""),"")</f>
        <v>17.2939057981627</v>
      </c>
      <c r="F49" s="0" t="n">
        <f aca="false">IF(AND(ISNUMBER(Panel_Inputs!I49),ISNUMBER(C49)),IF(C49&gt;0,100*Panel_Inputs!I49/C49,""),"")</f>
        <v>9.15778643718401</v>
      </c>
      <c r="G49" s="0" t="n">
        <f aca="false">IF(AND(ISNUMBER(Panel_Inputs!L49),ISNUMBER(Panel_Inputs!K49)),IF(Panel_Inputs!K49&gt;0,100*Panel_Inputs!L49/Panel_Inputs!K49,""),"")</f>
        <v>4.27015216839509</v>
      </c>
      <c r="H49" s="0" t="n">
        <f aca="false">IF(AND(ISNUMBER(Panel_Inputs!P49),ISNUMBER(Panel_Inputs!Q49)),IF(Panel_Inputs!Q49&gt;0,100*Panel_Inputs!P49/Panel_Inputs!Q49,""),"")</f>
        <v>19.5500000052231</v>
      </c>
      <c r="I49" s="0" t="n">
        <f aca="false">IF(AND(ISNUMBER(Panel_Inputs!N49),ISNUMBER(C49)),IF(C49&gt;0,100*Panel_Inputs!N49/C49,""),"")</f>
        <v>0.294895196076444</v>
      </c>
      <c r="J49" s="0" t="str">
        <f aca="false">IF(AND(ISNUMBER(Panel_Inputs!L49),ISNUMBER(Panel_Inputs!O49)),IF(Panel_Inputs!O49&gt;0,100*Panel_Inputs!L49/Panel_Inputs!O49,""),"")</f>
        <v/>
      </c>
      <c r="K49" s="0" t="str">
        <f aca="false">IF(AND(ISNUMBER(Panel_Inputs!O49),ISNUMBER(Panel_Inputs!K49)),IF(Panel_Inputs!K49&gt;0,100*Panel_Inputs!O49/Panel_Inputs!K49,""),"")</f>
        <v/>
      </c>
      <c r="L49" s="0" t="str">
        <f aca="false">IF(AND(ISNUMBER(Panel_Inputs!R49),ISNUMBER(Panel_Inputs!K49)),IF(Panel_Inputs!K49&gt;0,100*Panel_Inputs!R49/Panel_Inputs!K49,""),"")</f>
        <v/>
      </c>
      <c r="M49" s="0" t="str">
        <f aca="false">IF(AND(ISNUMBER(Panel_Inputs!S49),ISNUMBER(Panel_Inputs!R49)),IF(Panel_Inputs!R49&gt;0,100*Panel_Inputs!S49/Panel_Inputs!R49,""),"")</f>
        <v/>
      </c>
      <c r="N49" s="0" t="n">
        <f aca="false">IF(AND(ISNUMBER(Panel_Inputs!E49),ISNUMBER(Panel_Inputs!F49)),IF(Panel_Inputs!F49&gt;0,100*Panel_Inputs!E49/Panel_Inputs!F49,""),"")</f>
        <v>4.3872087888122</v>
      </c>
      <c r="O49" s="0" t="n">
        <f aca="false">IF(AND(ISNUMBER(Panel_Inputs!G49),ISNUMBER(Panel_Inputs!F49)),IF(Panel_Inputs!F49&gt;0,100*Panel_Inputs!G49/Panel_Inputs!F49,""),"")</f>
        <v>82.7060942018373</v>
      </c>
      <c r="P49" s="0" t="n">
        <f aca="false">IF(ISNUMBER(Panel_Inputs!F49),IF(Panel_Inputs!F49&gt;0,LN(Panel_Inputs!F49),""),"")</f>
        <v>15.2170736575967</v>
      </c>
      <c r="Q49" s="0" t="n">
        <f aca="false">IF(AND(ISNUMBER(Panel_Inputs!F49),ISNUMBER(Panel_Inputs!G49),ISNUMBER(Panel_Inputs!H49)),Panel_Inputs!F49-Panel_Inputs!G49-Panel_Inputs!H49,"")</f>
        <v>0</v>
      </c>
      <c r="R49" s="0" t="n">
        <f aca="false">IF(AND(ISNUMBER(Panel_Inputs!K49),ISNUMBER(Panel_Inputs!L49),ISNUMBER(Panel_Inputs!M49)),Panel_Inputs!K49-Panel_Inputs!L49-Panel_Inputs!M49,"")</f>
        <v>0</v>
      </c>
      <c r="S49" s="0" t="str">
        <f aca="false">IF(AND(ISNUMBER(Panel_Inputs!V49),Panel_Inputs!W49=1),Panel_Inputs!V49,"")</f>
        <v/>
      </c>
      <c r="T49" s="0" t="n">
        <f aca="false">IF(AND(ISNUMBER(Panel_Inputs!T49),ISNUMBER(Panel_Inputs!U49)),Panel_Inputs!T49-Panel_Inputs!U49,"")</f>
        <v>3.55</v>
      </c>
    </row>
    <row r="50" customFormat="false" ht="15" hidden="false" customHeight="false" outlineLevel="0" collapsed="false">
      <c r="A50" s="0" t="str">
        <f aca="false">Panel_Inputs!A50</f>
        <v>GTBank</v>
      </c>
      <c r="B50" s="0" t="n">
        <f aca="false">Panel_Inputs!B50</f>
        <v>2021</v>
      </c>
      <c r="C50" s="0" t="n">
        <f aca="false">IF(AND(ISNUMBER(Panel_Inputs!F50),ISNUMBER(Panel_Inputs!J50)),IF(AND(Panel_Inputs!F50&gt;0,Panel_Inputs!J50&gt;0),(Panel_Inputs!F50+Panel_Inputs!J50)/2,""),"")</f>
        <v>4209288.3695</v>
      </c>
      <c r="D50" s="0" t="n">
        <f aca="false">IF(AND(ISNUMBER(Panel_Inputs!E50),ISNUMBER(C50)),IF(C50&gt;0,100*Panel_Inputs!E50/C50,""),"")</f>
        <v>3.47289266421451</v>
      </c>
      <c r="E50" s="0" t="n">
        <f aca="false">IF(AND(ISNUMBER(Panel_Inputs!H50),ISNUMBER(Panel_Inputs!F50)),IF(Panel_Inputs!F50&gt;0,100*Panel_Inputs!H50/Panel_Inputs!F50,""),"")</f>
        <v>17.1409204390044</v>
      </c>
      <c r="F50" s="0" t="n">
        <f aca="false">IF(AND(ISNUMBER(Panel_Inputs!I50),ISNUMBER(C50)),IF(C50&gt;0,100*Panel_Inputs!I50/C50,""),"")</f>
        <v>8.66347793233556</v>
      </c>
      <c r="G50" s="0" t="str">
        <f aca="false">IF(AND(ISNUMBER(Panel_Inputs!L50),ISNUMBER(Panel_Inputs!K50)),IF(Panel_Inputs!K50&gt;0,100*Panel_Inputs!L50/Panel_Inputs!K50,""),"")</f>
        <v/>
      </c>
      <c r="H50" s="0" t="str">
        <f aca="false">IF(AND(ISNUMBER(Panel_Inputs!P50),ISNUMBER(Panel_Inputs!Q50)),IF(Panel_Inputs!Q50&gt;0,100*Panel_Inputs!P50/Panel_Inputs!Q50,""),"")</f>
        <v/>
      </c>
      <c r="I50" s="0" t="str">
        <f aca="false">IF(AND(ISNUMBER(Panel_Inputs!N50),ISNUMBER(C50)),IF(C50&gt;0,100*Panel_Inputs!N50/C50,""),"")</f>
        <v/>
      </c>
      <c r="J50" s="0" t="str">
        <f aca="false">IF(AND(ISNUMBER(Panel_Inputs!L50),ISNUMBER(Panel_Inputs!O50)),IF(Panel_Inputs!O50&gt;0,100*Panel_Inputs!L50/Panel_Inputs!O50,""),"")</f>
        <v/>
      </c>
      <c r="K50" s="0" t="str">
        <f aca="false">IF(AND(ISNUMBER(Panel_Inputs!O50),ISNUMBER(Panel_Inputs!K50)),IF(Panel_Inputs!K50&gt;0,100*Panel_Inputs!O50/Panel_Inputs!K50,""),"")</f>
        <v/>
      </c>
      <c r="L50" s="0" t="str">
        <f aca="false">IF(AND(ISNUMBER(Panel_Inputs!R50),ISNUMBER(Panel_Inputs!K50)),IF(Panel_Inputs!K50&gt;0,100*Panel_Inputs!R50/Panel_Inputs!K50,""),"")</f>
        <v/>
      </c>
      <c r="M50" s="0" t="str">
        <f aca="false">IF(AND(ISNUMBER(Panel_Inputs!S50),ISNUMBER(Panel_Inputs!R50)),IF(Panel_Inputs!R50&gt;0,100*Panel_Inputs!S50/Panel_Inputs!R50,""),"")</f>
        <v/>
      </c>
      <c r="N50" s="0" t="n">
        <f aca="false">IF(AND(ISNUMBER(Panel_Inputs!E50),ISNUMBER(Panel_Inputs!F50)),IF(Panel_Inputs!F50&gt;0,100*Panel_Inputs!E50/Panel_Inputs!F50,""),"")</f>
        <v>3.35512865071547</v>
      </c>
      <c r="O50" s="0" t="n">
        <f aca="false">IF(AND(ISNUMBER(Panel_Inputs!G50),ISNUMBER(Panel_Inputs!F50)),IF(Panel_Inputs!F50&gt;0,100*Panel_Inputs!G50/Panel_Inputs!F50,""),"")</f>
        <v>82.8590795609956</v>
      </c>
      <c r="P50" s="0" t="n">
        <f aca="false">IF(ISNUMBER(Panel_Inputs!F50),IF(Panel_Inputs!F50&gt;0,LN(Panel_Inputs!F50),""),"")</f>
        <v>15.2873019098446</v>
      </c>
      <c r="Q50" s="0" t="n">
        <f aca="false">IF(AND(ISNUMBER(Panel_Inputs!F50),ISNUMBER(Panel_Inputs!G50),ISNUMBER(Panel_Inputs!H50)),Panel_Inputs!F50-Panel_Inputs!G50-Panel_Inputs!H50,"")</f>
        <v>0</v>
      </c>
      <c r="R50" s="0" t="str">
        <f aca="false">IF(AND(ISNUMBER(Panel_Inputs!K50),ISNUMBER(Panel_Inputs!L50),ISNUMBER(Panel_Inputs!M50)),Panel_Inputs!K50-Panel_Inputs!L50-Panel_Inputs!M50,"")</f>
        <v/>
      </c>
      <c r="S50" s="0" t="str">
        <f aca="false">IF(AND(ISNUMBER(Panel_Inputs!V50),Panel_Inputs!W50=1),Panel_Inputs!V50,"")</f>
        <v/>
      </c>
      <c r="T50" s="0" t="str">
        <f aca="false">IF(AND(ISNUMBER(Panel_Inputs!T50),ISNUMBER(Panel_Inputs!U50)),Panel_Inputs!T50-Panel_Inputs!U50,"")</f>
        <v/>
      </c>
    </row>
    <row r="51" customFormat="false" ht="15" hidden="false" customHeight="false" outlineLevel="0" collapsed="false">
      <c r="A51" s="0" t="str">
        <f aca="false">Panel_Inputs!A51</f>
        <v>GTBank</v>
      </c>
      <c r="B51" s="0" t="n">
        <f aca="false">Panel_Inputs!B51</f>
        <v>2022</v>
      </c>
      <c r="C51" s="0" t="n">
        <f aca="false">IF(AND(ISNUMBER(Panel_Inputs!F51),ISNUMBER(Panel_Inputs!J51)),IF(AND(Panel_Inputs!F51&gt;0,Panel_Inputs!J51&gt;0),(Panel_Inputs!F51+Panel_Inputs!J51)/2,""),"")</f>
        <v>4782804.9835</v>
      </c>
      <c r="D51" s="0" t="n">
        <f aca="false">IF(AND(ISNUMBER(Panel_Inputs!E51),ISNUMBER(C51)),IF(C51&gt;0,100*Panel_Inputs!E51/C51,""),"")</f>
        <v>3.03788700357325</v>
      </c>
      <c r="E51" s="0" t="n">
        <f aca="false">IF(AND(ISNUMBER(Panel_Inputs!H51),ISNUMBER(Panel_Inputs!F51)),IF(Panel_Inputs!F51&gt;0,100*Panel_Inputs!H51/Panel_Inputs!F51,""),"")</f>
        <v>15.2815694674423</v>
      </c>
      <c r="F51" s="0" t="n">
        <f aca="false">IF(AND(ISNUMBER(Panel_Inputs!I51),ISNUMBER(C51)),IF(C51&gt;0,100*Panel_Inputs!I51/C51,""),"")</f>
        <v>14.0369816314088</v>
      </c>
      <c r="G51" s="0" t="str">
        <f aca="false">IF(AND(ISNUMBER(Panel_Inputs!L51),ISNUMBER(Panel_Inputs!K51)),IF(Panel_Inputs!K51&gt;0,100*Panel_Inputs!L51/Panel_Inputs!K51,""),"")</f>
        <v/>
      </c>
      <c r="H51" s="0" t="str">
        <f aca="false">IF(AND(ISNUMBER(Panel_Inputs!P51),ISNUMBER(Panel_Inputs!Q51)),IF(Panel_Inputs!Q51&gt;0,100*Panel_Inputs!P51/Panel_Inputs!Q51,""),"")</f>
        <v/>
      </c>
      <c r="I51" s="0" t="str">
        <f aca="false">IF(AND(ISNUMBER(Panel_Inputs!N51),ISNUMBER(C51)),IF(C51&gt;0,100*Panel_Inputs!N51/C51,""),"")</f>
        <v/>
      </c>
      <c r="J51" s="0" t="str">
        <f aca="false">IF(AND(ISNUMBER(Panel_Inputs!L51),ISNUMBER(Panel_Inputs!O51)),IF(Panel_Inputs!O51&gt;0,100*Panel_Inputs!L51/Panel_Inputs!O51,""),"")</f>
        <v/>
      </c>
      <c r="K51" s="0" t="str">
        <f aca="false">IF(AND(ISNUMBER(Panel_Inputs!O51),ISNUMBER(Panel_Inputs!K51)),IF(Panel_Inputs!K51&gt;0,100*Panel_Inputs!O51/Panel_Inputs!K51,""),"")</f>
        <v/>
      </c>
      <c r="L51" s="0" t="str">
        <f aca="false">IF(AND(ISNUMBER(Panel_Inputs!R51),ISNUMBER(Panel_Inputs!K51)),IF(Panel_Inputs!K51&gt;0,100*Panel_Inputs!R51/Panel_Inputs!K51,""),"")</f>
        <v/>
      </c>
      <c r="M51" s="0" t="str">
        <f aca="false">IF(AND(ISNUMBER(Panel_Inputs!S51),ISNUMBER(Panel_Inputs!R51)),IF(Panel_Inputs!R51&gt;0,100*Panel_Inputs!S51/Panel_Inputs!R51,""),"")</f>
        <v/>
      </c>
      <c r="N51" s="0" t="n">
        <f aca="false">IF(AND(ISNUMBER(Panel_Inputs!E51),ISNUMBER(Panel_Inputs!F51)),IF(Panel_Inputs!F51&gt;0,100*Panel_Inputs!E51/Panel_Inputs!F51,""),"")</f>
        <v>2.78955683401743</v>
      </c>
      <c r="O51" s="0" t="n">
        <f aca="false">IF(AND(ISNUMBER(Panel_Inputs!G51),ISNUMBER(Panel_Inputs!F51)),IF(Panel_Inputs!F51&gt;0,100*Panel_Inputs!G51/Panel_Inputs!F51,""),"")</f>
        <v>84.7184305325577</v>
      </c>
      <c r="P51" s="0" t="n">
        <f aca="false">IF(ISNUMBER(Panel_Inputs!F51),IF(Panel_Inputs!F51&gt;0,LN(Panel_Inputs!F51),""),"")</f>
        <v>15.4658172157618</v>
      </c>
      <c r="Q51" s="0" t="n">
        <f aca="false">IF(AND(ISNUMBER(Panel_Inputs!F51),ISNUMBER(Panel_Inputs!G51),ISNUMBER(Panel_Inputs!H51)),Panel_Inputs!F51-Panel_Inputs!G51-Panel_Inputs!H51,"")</f>
        <v>0</v>
      </c>
      <c r="R51" s="0" t="str">
        <f aca="false">IF(AND(ISNUMBER(Panel_Inputs!K51),ISNUMBER(Panel_Inputs!L51),ISNUMBER(Panel_Inputs!M51)),Panel_Inputs!K51-Panel_Inputs!L51-Panel_Inputs!M51,"")</f>
        <v/>
      </c>
      <c r="S51" s="0" t="str">
        <f aca="false">IF(AND(ISNUMBER(Panel_Inputs!V51),Panel_Inputs!W51=1),Panel_Inputs!V51,"")</f>
        <v/>
      </c>
      <c r="T51" s="0" t="str">
        <f aca="false">IF(AND(ISNUMBER(Panel_Inputs!T51),ISNUMBER(Panel_Inputs!U51)),Panel_Inputs!T51-Panel_Inputs!U51,"")</f>
        <v/>
      </c>
    </row>
    <row r="52" customFormat="false" ht="15" hidden="false" customHeight="false" outlineLevel="0" collapsed="false">
      <c r="A52" s="0" t="str">
        <f aca="false">Panel_Inputs!A52</f>
        <v>Stanbic</v>
      </c>
      <c r="B52" s="0" t="n">
        <f aca="false">Panel_Inputs!B52</f>
        <v>2013</v>
      </c>
      <c r="C52" s="0" t="n">
        <f aca="false">IF(AND(ISNUMBER(Panel_Inputs!F52),ISNUMBER(Panel_Inputs!J52)),IF(AND(Panel_Inputs!F52&gt;0,Panel_Inputs!J52&gt;0),(Panel_Inputs!F52+Panel_Inputs!J52)/2,""),"")</f>
        <v>687785</v>
      </c>
      <c r="D52" s="0" t="n">
        <f aca="false">IF(AND(ISNUMBER(Panel_Inputs!E52),ISNUMBER(C52)),IF(C52&gt;0,100*Panel_Inputs!E52/C52,""),"")</f>
        <v>1.47269859040252</v>
      </c>
      <c r="E52" s="0" t="n">
        <f aca="false">IF(AND(ISNUMBER(Panel_Inputs!H52),ISNUMBER(Panel_Inputs!F52)),IF(Panel_Inputs!F52&gt;0,100*Panel_Inputs!H52/Panel_Inputs!F52,""),"")</f>
        <v>9.73382981657703</v>
      </c>
      <c r="F52" s="0" t="str">
        <f aca="false">IF(AND(ISNUMBER(Panel_Inputs!I52),ISNUMBER(C52)),IF(C52&gt;0,100*Panel_Inputs!I52/C52,""),"")</f>
        <v/>
      </c>
      <c r="G52" s="0" t="str">
        <f aca="false">IF(AND(ISNUMBER(Panel_Inputs!L52),ISNUMBER(Panel_Inputs!K52)),IF(Panel_Inputs!K52&gt;0,100*Panel_Inputs!L52/Panel_Inputs!K52,""),"")</f>
        <v/>
      </c>
      <c r="H52" s="0" t="str">
        <f aca="false">IF(AND(ISNUMBER(Panel_Inputs!P52),ISNUMBER(Panel_Inputs!Q52)),IF(Panel_Inputs!Q52&gt;0,100*Panel_Inputs!P52/Panel_Inputs!Q52,""),"")</f>
        <v/>
      </c>
      <c r="I52" s="0" t="n">
        <f aca="false">IF(AND(ISNUMBER(Panel_Inputs!N52),ISNUMBER(C52)),IF(C52&gt;0,100*Panel_Inputs!N52/C52,""),"")</f>
        <v>0.387766525876546</v>
      </c>
      <c r="J52" s="0" t="str">
        <f aca="false">IF(AND(ISNUMBER(Panel_Inputs!L52),ISNUMBER(Panel_Inputs!O52)),IF(Panel_Inputs!O52&gt;0,100*Panel_Inputs!L52/Panel_Inputs!O52,""),"")</f>
        <v/>
      </c>
      <c r="K52" s="0" t="str">
        <f aca="false">IF(AND(ISNUMBER(Panel_Inputs!O52),ISNUMBER(Panel_Inputs!K52)),IF(Panel_Inputs!K52&gt;0,100*Panel_Inputs!O52/Panel_Inputs!K52,""),"")</f>
        <v/>
      </c>
      <c r="L52" s="0" t="str">
        <f aca="false">IF(AND(ISNUMBER(Panel_Inputs!R52),ISNUMBER(Panel_Inputs!K52)),IF(Panel_Inputs!K52&gt;0,100*Panel_Inputs!R52/Panel_Inputs!K52,""),"")</f>
        <v/>
      </c>
      <c r="M52" s="0" t="str">
        <f aca="false">IF(AND(ISNUMBER(Panel_Inputs!S52),ISNUMBER(Panel_Inputs!R52)),IF(Panel_Inputs!R52&gt;0,100*Panel_Inputs!S52/Panel_Inputs!R52,""),"")</f>
        <v/>
      </c>
      <c r="N52" s="0" t="n">
        <f aca="false">IF(AND(ISNUMBER(Panel_Inputs!E52),ISNUMBER(Panel_Inputs!F52)),IF(Panel_Inputs!F52&gt;0,100*Panel_Inputs!E52/Panel_Inputs!F52,""),"")</f>
        <v>1.39691077092815</v>
      </c>
      <c r="O52" s="0" t="n">
        <f aca="false">IF(AND(ISNUMBER(Panel_Inputs!G52),ISNUMBER(Panel_Inputs!F52)),IF(Panel_Inputs!F52&gt;0,100*Panel_Inputs!G52/Panel_Inputs!F52,""),"")</f>
        <v>90.266170183423</v>
      </c>
      <c r="P52" s="0" t="n">
        <f aca="false">IF(ISNUMBER(Panel_Inputs!F52),IF(Panel_Inputs!F52&gt;0,LN(Panel_Inputs!F52),""),"")</f>
        <v>13.4940648553597</v>
      </c>
      <c r="Q52" s="0" t="n">
        <f aca="false">IF(AND(ISNUMBER(Panel_Inputs!F52),ISNUMBER(Panel_Inputs!G52),ISNUMBER(Panel_Inputs!H52)),Panel_Inputs!F52-Panel_Inputs!G52-Panel_Inputs!H52,"")</f>
        <v>0</v>
      </c>
      <c r="R52" s="0" t="str">
        <f aca="false">IF(AND(ISNUMBER(Panel_Inputs!K52),ISNUMBER(Panel_Inputs!L52),ISNUMBER(Panel_Inputs!M52)),Panel_Inputs!K52-Panel_Inputs!L52-Panel_Inputs!M52,"")</f>
        <v/>
      </c>
      <c r="S52" s="0" t="str">
        <f aca="false">IF(AND(ISNUMBER(Panel_Inputs!V52),Panel_Inputs!W52=1),Panel_Inputs!V52,"")</f>
        <v/>
      </c>
      <c r="T52" s="0" t="str">
        <f aca="false">IF(AND(ISNUMBER(Panel_Inputs!T52),ISNUMBER(Panel_Inputs!U52)),Panel_Inputs!T52-Panel_Inputs!U52,"")</f>
        <v/>
      </c>
    </row>
    <row r="53" customFormat="false" ht="15" hidden="false" customHeight="false" outlineLevel="0" collapsed="false">
      <c r="A53" s="0" t="str">
        <f aca="false">Panel_Inputs!A53</f>
        <v>Stanbic</v>
      </c>
      <c r="B53" s="0" t="n">
        <f aca="false">Panel_Inputs!B53</f>
        <v>2014</v>
      </c>
      <c r="C53" s="0" t="n">
        <f aca="false">IF(AND(ISNUMBER(Panel_Inputs!F53),ISNUMBER(Panel_Inputs!J53)),IF(AND(Panel_Inputs!F53&gt;0,Panel_Inputs!J53&gt;0),(Panel_Inputs!F53+Panel_Inputs!J53)/2,""),"")</f>
        <v>818076</v>
      </c>
      <c r="D53" s="0" t="n">
        <f aca="false">IF(AND(ISNUMBER(Panel_Inputs!E53),ISNUMBER(C53)),IF(C53&gt;0,100*Panel_Inputs!E53/C53,""),"")</f>
        <v>2.37826314425555</v>
      </c>
      <c r="E53" s="0" t="n">
        <f aca="false">IF(AND(ISNUMBER(Panel_Inputs!H53),ISNUMBER(Panel_Inputs!F53)),IF(Panel_Inputs!F53&gt;0,100*Panel_Inputs!H53/Panel_Inputs!F53,""),"")</f>
        <v>8.98093632416152</v>
      </c>
      <c r="F53" s="0" t="str">
        <f aca="false">IF(AND(ISNUMBER(Panel_Inputs!I53),ISNUMBER(C53)),IF(C53&gt;0,100*Panel_Inputs!I53/C53,""),"")</f>
        <v/>
      </c>
      <c r="G53" s="0" t="str">
        <f aca="false">IF(AND(ISNUMBER(Panel_Inputs!L53),ISNUMBER(Panel_Inputs!K53)),IF(Panel_Inputs!K53&gt;0,100*Panel_Inputs!L53/Panel_Inputs!K53,""),"")</f>
        <v/>
      </c>
      <c r="H53" s="0" t="str">
        <f aca="false">IF(AND(ISNUMBER(Panel_Inputs!P53),ISNUMBER(Panel_Inputs!Q53)),IF(Panel_Inputs!Q53&gt;0,100*Panel_Inputs!P53/Panel_Inputs!Q53,""),"")</f>
        <v/>
      </c>
      <c r="I53" s="0" t="n">
        <f aca="false">IF(AND(ISNUMBER(Panel_Inputs!N53),ISNUMBER(C53)),IF(C53&gt;0,100*Panel_Inputs!N53/C53,""),"")</f>
        <v>0.393239747896283</v>
      </c>
      <c r="J53" s="0" t="str">
        <f aca="false">IF(AND(ISNUMBER(Panel_Inputs!L53),ISNUMBER(Panel_Inputs!O53)),IF(Panel_Inputs!O53&gt;0,100*Panel_Inputs!L53/Panel_Inputs!O53,""),"")</f>
        <v/>
      </c>
      <c r="K53" s="0" t="str">
        <f aca="false">IF(AND(ISNUMBER(Panel_Inputs!O53),ISNUMBER(Panel_Inputs!K53)),IF(Panel_Inputs!K53&gt;0,100*Panel_Inputs!O53/Panel_Inputs!K53,""),"")</f>
        <v/>
      </c>
      <c r="L53" s="0" t="str">
        <f aca="false">IF(AND(ISNUMBER(Panel_Inputs!R53),ISNUMBER(Panel_Inputs!K53)),IF(Panel_Inputs!K53&gt;0,100*Panel_Inputs!R53/Panel_Inputs!K53,""),"")</f>
        <v/>
      </c>
      <c r="M53" s="0" t="str">
        <f aca="false">IF(AND(ISNUMBER(Panel_Inputs!S53),ISNUMBER(Panel_Inputs!R53)),IF(Panel_Inputs!R53&gt;0,100*Panel_Inputs!S53/Panel_Inputs!R53,""),"")</f>
        <v/>
      </c>
      <c r="N53" s="0" t="n">
        <f aca="false">IF(AND(ISNUMBER(Panel_Inputs!E53),ISNUMBER(Panel_Inputs!F53)),IF(Panel_Inputs!F53&gt;0,100*Panel_Inputs!E53/Panel_Inputs!F53,""),"")</f>
        <v>2.13555318467003</v>
      </c>
      <c r="O53" s="0" t="n">
        <f aca="false">IF(AND(ISNUMBER(Panel_Inputs!G53),ISNUMBER(Panel_Inputs!F53)),IF(Panel_Inputs!F53&gt;0,100*Panel_Inputs!G53/Panel_Inputs!F53,""),"")</f>
        <v>91.0190636758385</v>
      </c>
      <c r="P53" s="0" t="n">
        <f aca="false">IF(ISNUMBER(Panel_Inputs!F53),IF(Panel_Inputs!F53&gt;0,LN(Panel_Inputs!F53),""),"")</f>
        <v>13.7223552547448</v>
      </c>
      <c r="Q53" s="0" t="n">
        <f aca="false">IF(AND(ISNUMBER(Panel_Inputs!F53),ISNUMBER(Panel_Inputs!G53),ISNUMBER(Panel_Inputs!H53)),Panel_Inputs!F53-Panel_Inputs!G53-Panel_Inputs!H53,"")</f>
        <v>0</v>
      </c>
      <c r="R53" s="0" t="str">
        <f aca="false">IF(AND(ISNUMBER(Panel_Inputs!K53),ISNUMBER(Panel_Inputs!L53),ISNUMBER(Panel_Inputs!M53)),Panel_Inputs!K53-Panel_Inputs!L53-Panel_Inputs!M53,"")</f>
        <v/>
      </c>
      <c r="S53" s="0" t="str">
        <f aca="false">IF(AND(ISNUMBER(Panel_Inputs!V53),Panel_Inputs!W53=1),Panel_Inputs!V53,"")</f>
        <v/>
      </c>
      <c r="T53" s="0" t="str">
        <f aca="false">IF(AND(ISNUMBER(Panel_Inputs!T53),ISNUMBER(Panel_Inputs!U53)),Panel_Inputs!T53-Panel_Inputs!U53,"")</f>
        <v/>
      </c>
    </row>
    <row r="54" customFormat="false" ht="15" hidden="false" customHeight="false" outlineLevel="0" collapsed="false">
      <c r="A54" s="0" t="str">
        <f aca="false">Panel_Inputs!A54</f>
        <v>Stanbic</v>
      </c>
      <c r="B54" s="0" t="n">
        <f aca="false">Panel_Inputs!B54</f>
        <v>2015</v>
      </c>
      <c r="C54" s="0" t="n">
        <f aca="false">IF(AND(ISNUMBER(Panel_Inputs!F54),ISNUMBER(Panel_Inputs!J54)),IF(AND(Panel_Inputs!F54&gt;0,Panel_Inputs!J54&gt;0),(Panel_Inputs!F54+Panel_Inputs!J54)/2,""),"")</f>
        <v>899504.5</v>
      </c>
      <c r="D54" s="0" t="n">
        <f aca="false">IF(AND(ISNUMBER(Panel_Inputs!E54),ISNUMBER(C54)),IF(C54&gt;0,100*Panel_Inputs!E54/C54,""),"")</f>
        <v>0.692825883583684</v>
      </c>
      <c r="E54" s="0" t="n">
        <f aca="false">IF(AND(ISNUMBER(Panel_Inputs!H54),ISNUMBER(Panel_Inputs!F54)),IF(Panel_Inputs!F54&gt;0,100*Panel_Inputs!H54/Panel_Inputs!F54,""),"")</f>
        <v>10.6578858721283</v>
      </c>
      <c r="F54" s="0" t="str">
        <f aca="false">IF(AND(ISNUMBER(Panel_Inputs!I54),ISNUMBER(C54)),IF(C54&gt;0,100*Panel_Inputs!I54/C54,""),"")</f>
        <v/>
      </c>
      <c r="G54" s="0" t="str">
        <f aca="false">IF(AND(ISNUMBER(Panel_Inputs!L54),ISNUMBER(Panel_Inputs!K54)),IF(Panel_Inputs!K54&gt;0,100*Panel_Inputs!L54/Panel_Inputs!K54,""),"")</f>
        <v/>
      </c>
      <c r="H54" s="0" t="str">
        <f aca="false">IF(AND(ISNUMBER(Panel_Inputs!P54),ISNUMBER(Panel_Inputs!Q54)),IF(Panel_Inputs!Q54&gt;0,100*Panel_Inputs!P54/Panel_Inputs!Q54,""),"")</f>
        <v/>
      </c>
      <c r="I54" s="0" t="n">
        <f aca="false">IF(AND(ISNUMBER(Panel_Inputs!N54),ISNUMBER(C54)),IF(C54&gt;0,100*Panel_Inputs!N54/C54,""),"")</f>
        <v>1.65991387480552</v>
      </c>
      <c r="J54" s="0" t="str">
        <f aca="false">IF(AND(ISNUMBER(Panel_Inputs!L54),ISNUMBER(Panel_Inputs!O54)),IF(Panel_Inputs!O54&gt;0,100*Panel_Inputs!L54/Panel_Inputs!O54,""),"")</f>
        <v/>
      </c>
      <c r="K54" s="0" t="str">
        <f aca="false">IF(AND(ISNUMBER(Panel_Inputs!O54),ISNUMBER(Panel_Inputs!K54)),IF(Panel_Inputs!K54&gt;0,100*Panel_Inputs!O54/Panel_Inputs!K54,""),"")</f>
        <v/>
      </c>
      <c r="L54" s="0" t="str">
        <f aca="false">IF(AND(ISNUMBER(Panel_Inputs!R54),ISNUMBER(Panel_Inputs!K54)),IF(Panel_Inputs!K54&gt;0,100*Panel_Inputs!R54/Panel_Inputs!K54,""),"")</f>
        <v/>
      </c>
      <c r="M54" s="0" t="str">
        <f aca="false">IF(AND(ISNUMBER(Panel_Inputs!S54),ISNUMBER(Panel_Inputs!R54)),IF(Panel_Inputs!R54&gt;0,100*Panel_Inputs!S54/Panel_Inputs!R54,""),"")</f>
        <v/>
      </c>
      <c r="N54" s="0" t="n">
        <f aca="false">IF(AND(ISNUMBER(Panel_Inputs!E54),ISNUMBER(Panel_Inputs!F54)),IF(Panel_Inputs!F54&gt;0,100*Panel_Inputs!E54/Panel_Inputs!F54,""),"")</f>
        <v>0.699768690067147</v>
      </c>
      <c r="O54" s="0" t="n">
        <f aca="false">IF(AND(ISNUMBER(Panel_Inputs!G54),ISNUMBER(Panel_Inputs!F54)),IF(Panel_Inputs!F54&gt;0,100*Panel_Inputs!G54/Panel_Inputs!F54,""),"")</f>
        <v>89.3421141278717</v>
      </c>
      <c r="P54" s="0" t="n">
        <f aca="false">IF(ISNUMBER(Panel_Inputs!F54),IF(Panel_Inputs!F54&gt;0,LN(Panel_Inputs!F54),""),"")</f>
        <v>13.6996282148469</v>
      </c>
      <c r="Q54" s="0" t="n">
        <f aca="false">IF(AND(ISNUMBER(Panel_Inputs!F54),ISNUMBER(Panel_Inputs!G54),ISNUMBER(Panel_Inputs!H54)),Panel_Inputs!F54-Panel_Inputs!G54-Panel_Inputs!H54,"")</f>
        <v>0</v>
      </c>
      <c r="R54" s="0" t="str">
        <f aca="false">IF(AND(ISNUMBER(Panel_Inputs!K54),ISNUMBER(Panel_Inputs!L54),ISNUMBER(Panel_Inputs!M54)),Panel_Inputs!K54-Panel_Inputs!L54-Panel_Inputs!M54,"")</f>
        <v/>
      </c>
      <c r="S54" s="0" t="str">
        <f aca="false">IF(AND(ISNUMBER(Panel_Inputs!V54),Panel_Inputs!W54=1),Panel_Inputs!V54,"")</f>
        <v/>
      </c>
      <c r="T54" s="0" t="str">
        <f aca="false">IF(AND(ISNUMBER(Panel_Inputs!T54),ISNUMBER(Panel_Inputs!U54)),Panel_Inputs!T54-Panel_Inputs!U54,"")</f>
        <v/>
      </c>
    </row>
    <row r="55" customFormat="false" ht="15" hidden="false" customHeight="false" outlineLevel="0" collapsed="false">
      <c r="A55" s="0" t="str">
        <f aca="false">Panel_Inputs!A55</f>
        <v>Stanbic</v>
      </c>
      <c r="B55" s="0" t="n">
        <f aca="false">Panel_Inputs!B55</f>
        <v>2016</v>
      </c>
      <c r="C55" s="0" t="n">
        <f aca="false">IF(AND(ISNUMBER(Panel_Inputs!F55),ISNUMBER(Panel_Inputs!J55)),IF(AND(Panel_Inputs!F55&gt;0,Panel_Inputs!J55&gt;0),(Panel_Inputs!F55+Panel_Inputs!J55)/2,""),"")</f>
        <v>942169.5</v>
      </c>
      <c r="D55" s="0" t="n">
        <f aca="false">IF(AND(ISNUMBER(Panel_Inputs!E55),ISNUMBER(C55)),IF(C55&gt;0,100*Panel_Inputs!E55/C55,""),"")</f>
        <v>1.59525435709817</v>
      </c>
      <c r="E55" s="0" t="n">
        <f aca="false">IF(AND(ISNUMBER(Panel_Inputs!H55),ISNUMBER(Panel_Inputs!F55)),IF(Panel_Inputs!F55&gt;0,100*Panel_Inputs!H55/Panel_Inputs!F55,""),"")</f>
        <v>11.0002525763289</v>
      </c>
      <c r="F55" s="0" t="str">
        <f aca="false">IF(AND(ISNUMBER(Panel_Inputs!I55),ISNUMBER(C55)),IF(C55&gt;0,100*Panel_Inputs!I55/C55,""),"")</f>
        <v/>
      </c>
      <c r="G55" s="0" t="str">
        <f aca="false">IF(AND(ISNUMBER(Panel_Inputs!L55),ISNUMBER(Panel_Inputs!K55)),IF(Panel_Inputs!K55&gt;0,100*Panel_Inputs!L55/Panel_Inputs!K55,""),"")</f>
        <v/>
      </c>
      <c r="H55" s="0" t="str">
        <f aca="false">IF(AND(ISNUMBER(Panel_Inputs!P55),ISNUMBER(Panel_Inputs!Q55)),IF(Panel_Inputs!Q55&gt;0,100*Panel_Inputs!P55/Panel_Inputs!Q55,""),"")</f>
        <v/>
      </c>
      <c r="I55" s="0" t="n">
        <f aca="false">IF(AND(ISNUMBER(Panel_Inputs!N55),ISNUMBER(C55)),IF(C55&gt;0,100*Panel_Inputs!N55/C55,""),"")</f>
        <v>2.10185110004092</v>
      </c>
      <c r="J55" s="0" t="str">
        <f aca="false">IF(AND(ISNUMBER(Panel_Inputs!L55),ISNUMBER(Panel_Inputs!O55)),IF(Panel_Inputs!O55&gt;0,100*Panel_Inputs!L55/Panel_Inputs!O55,""),"")</f>
        <v/>
      </c>
      <c r="K55" s="0" t="str">
        <f aca="false">IF(AND(ISNUMBER(Panel_Inputs!O55),ISNUMBER(Panel_Inputs!K55)),IF(Panel_Inputs!K55&gt;0,100*Panel_Inputs!O55/Panel_Inputs!K55,""),"")</f>
        <v/>
      </c>
      <c r="L55" s="0" t="str">
        <f aca="false">IF(AND(ISNUMBER(Panel_Inputs!R55),ISNUMBER(Panel_Inputs!K55)),IF(Panel_Inputs!K55&gt;0,100*Panel_Inputs!R55/Panel_Inputs!K55,""),"")</f>
        <v/>
      </c>
      <c r="M55" s="0" t="str">
        <f aca="false">IF(AND(ISNUMBER(Panel_Inputs!S55),ISNUMBER(Panel_Inputs!R55)),IF(Panel_Inputs!R55&gt;0,100*Panel_Inputs!S55/Panel_Inputs!R55,""),"")</f>
        <v/>
      </c>
      <c r="N55" s="0" t="n">
        <f aca="false">IF(AND(ISNUMBER(Panel_Inputs!E55),ISNUMBER(Panel_Inputs!F55)),IF(Panel_Inputs!F55&gt;0,100*Panel_Inputs!E55/Panel_Inputs!F55,""),"")</f>
        <v>1.51243913262672</v>
      </c>
      <c r="O55" s="0" t="n">
        <f aca="false">IF(AND(ISNUMBER(Panel_Inputs!G55),ISNUMBER(Panel_Inputs!F55)),IF(Panel_Inputs!F55&gt;0,100*Panel_Inputs!G55/Panel_Inputs!F55,""),"")</f>
        <v>88.9997474236711</v>
      </c>
      <c r="P55" s="0" t="n">
        <f aca="false">IF(ISNUMBER(Panel_Inputs!F55),IF(Panel_Inputs!F55&gt;0,LN(Panel_Inputs!F55),""),"")</f>
        <v>13.8092500015134</v>
      </c>
      <c r="Q55" s="0" t="n">
        <f aca="false">IF(AND(ISNUMBER(Panel_Inputs!F55),ISNUMBER(Panel_Inputs!G55),ISNUMBER(Panel_Inputs!H55)),Panel_Inputs!F55-Panel_Inputs!G55-Panel_Inputs!H55,"")</f>
        <v>0</v>
      </c>
      <c r="R55" s="0" t="str">
        <f aca="false">IF(AND(ISNUMBER(Panel_Inputs!K55),ISNUMBER(Panel_Inputs!L55),ISNUMBER(Panel_Inputs!M55)),Panel_Inputs!K55-Panel_Inputs!L55-Panel_Inputs!M55,"")</f>
        <v/>
      </c>
      <c r="S55" s="0" t="str">
        <f aca="false">IF(AND(ISNUMBER(Panel_Inputs!V55),Panel_Inputs!W55=1),Panel_Inputs!V55,"")</f>
        <v/>
      </c>
      <c r="T55" s="0" t="str">
        <f aca="false">IF(AND(ISNUMBER(Panel_Inputs!T55),ISNUMBER(Panel_Inputs!U55)),Panel_Inputs!T55-Panel_Inputs!U55,"")</f>
        <v/>
      </c>
    </row>
    <row r="56" customFormat="false" ht="15" hidden="false" customHeight="false" outlineLevel="0" collapsed="false">
      <c r="A56" s="0" t="str">
        <f aca="false">Panel_Inputs!A56</f>
        <v>Stanbic</v>
      </c>
      <c r="B56" s="0" t="n">
        <f aca="false">Panel_Inputs!B56</f>
        <v>2017</v>
      </c>
      <c r="C56" s="0" t="n">
        <f aca="false">IF(AND(ISNUMBER(Panel_Inputs!F56),ISNUMBER(Panel_Inputs!J56)),IF(AND(Panel_Inputs!F56&gt;0,Panel_Inputs!J56&gt;0),(Panel_Inputs!F56+Panel_Inputs!J56)/2,""),"")</f>
        <v>1163214</v>
      </c>
      <c r="D56" s="0" t="n">
        <f aca="false">IF(AND(ISNUMBER(Panel_Inputs!E56),ISNUMBER(C56)),IF(C56&gt;0,100*Panel_Inputs!E56/C56,""),"")</f>
        <v>2.4795093594128</v>
      </c>
      <c r="E56" s="0" t="n">
        <f aca="false">IF(AND(ISNUMBER(Panel_Inputs!H56),ISNUMBER(Panel_Inputs!F56)),IF(Panel_Inputs!F56&gt;0,100*Panel_Inputs!H56/Panel_Inputs!F56,""),"")</f>
        <v>10.4076856293648</v>
      </c>
      <c r="F56" s="0" t="str">
        <f aca="false">IF(AND(ISNUMBER(Panel_Inputs!I56),ISNUMBER(C56)),IF(C56&gt;0,100*Panel_Inputs!I56/C56,""),"")</f>
        <v/>
      </c>
      <c r="G56" s="0" t="str">
        <f aca="false">IF(AND(ISNUMBER(Panel_Inputs!L56),ISNUMBER(Panel_Inputs!K56)),IF(Panel_Inputs!K56&gt;0,100*Panel_Inputs!L56/Panel_Inputs!K56,""),"")</f>
        <v/>
      </c>
      <c r="H56" s="0" t="str">
        <f aca="false">IF(AND(ISNUMBER(Panel_Inputs!P56),ISNUMBER(Panel_Inputs!Q56)),IF(Panel_Inputs!Q56&gt;0,100*Panel_Inputs!P56/Panel_Inputs!Q56,""),"")</f>
        <v/>
      </c>
      <c r="I56" s="0" t="n">
        <f aca="false">IF(AND(ISNUMBER(Panel_Inputs!N56),ISNUMBER(C56)),IF(C56&gt;0,100*Panel_Inputs!N56/C56,""),"")</f>
        <v>2.19882154100621</v>
      </c>
      <c r="J56" s="0" t="str">
        <f aca="false">IF(AND(ISNUMBER(Panel_Inputs!L56),ISNUMBER(Panel_Inputs!O56)),IF(Panel_Inputs!O56&gt;0,100*Panel_Inputs!L56/Panel_Inputs!O56,""),"")</f>
        <v/>
      </c>
      <c r="K56" s="0" t="str">
        <f aca="false">IF(AND(ISNUMBER(Panel_Inputs!O56),ISNUMBER(Panel_Inputs!K56)),IF(Panel_Inputs!K56&gt;0,100*Panel_Inputs!O56/Panel_Inputs!K56,""),"")</f>
        <v/>
      </c>
      <c r="L56" s="0" t="str">
        <f aca="false">IF(AND(ISNUMBER(Panel_Inputs!R56),ISNUMBER(Panel_Inputs!K56)),IF(Panel_Inputs!K56&gt;0,100*Panel_Inputs!R56/Panel_Inputs!K56,""),"")</f>
        <v/>
      </c>
      <c r="M56" s="0" t="str">
        <f aca="false">IF(AND(ISNUMBER(Panel_Inputs!S56),ISNUMBER(Panel_Inputs!R56)),IF(Panel_Inputs!R56&gt;0,100*Panel_Inputs!S56/Panel_Inputs!R56,""),"")</f>
        <v/>
      </c>
      <c r="N56" s="0" t="n">
        <f aca="false">IF(AND(ISNUMBER(Panel_Inputs!E56),ISNUMBER(Panel_Inputs!F56)),IF(Panel_Inputs!F56&gt;0,100*Panel_Inputs!E56/Panel_Inputs!F56,""),"")</f>
        <v>2.16422832676381</v>
      </c>
      <c r="O56" s="0" t="n">
        <f aca="false">IF(AND(ISNUMBER(Panel_Inputs!G56),ISNUMBER(Panel_Inputs!F56)),IF(Panel_Inputs!F56&gt;0,100*Panel_Inputs!G56/Panel_Inputs!F56,""),"")</f>
        <v>89.5923143706352</v>
      </c>
      <c r="P56" s="0" t="n">
        <f aca="false">IF(ISNUMBER(Panel_Inputs!F56),IF(Panel_Inputs!F56&gt;0,LN(Panel_Inputs!F56),""),"")</f>
        <v>14.1026942562483</v>
      </c>
      <c r="Q56" s="0" t="n">
        <f aca="false">IF(AND(ISNUMBER(Panel_Inputs!F56),ISNUMBER(Panel_Inputs!G56),ISNUMBER(Panel_Inputs!H56)),Panel_Inputs!F56-Panel_Inputs!G56-Panel_Inputs!H56,"")</f>
        <v>0</v>
      </c>
      <c r="R56" s="0" t="str">
        <f aca="false">IF(AND(ISNUMBER(Panel_Inputs!K56),ISNUMBER(Panel_Inputs!L56),ISNUMBER(Panel_Inputs!M56)),Panel_Inputs!K56-Panel_Inputs!L56-Panel_Inputs!M56,"")</f>
        <v/>
      </c>
      <c r="S56" s="0" t="str">
        <f aca="false">IF(AND(ISNUMBER(Panel_Inputs!V56),Panel_Inputs!W56=1),Panel_Inputs!V56,"")</f>
        <v/>
      </c>
      <c r="T56" s="0" t="str">
        <f aca="false">IF(AND(ISNUMBER(Panel_Inputs!T56),ISNUMBER(Panel_Inputs!U56)),Panel_Inputs!T56-Panel_Inputs!U56,"")</f>
        <v/>
      </c>
    </row>
    <row r="57" customFormat="false" ht="15" hidden="false" customHeight="false" outlineLevel="0" collapsed="false">
      <c r="A57" s="0" t="str">
        <f aca="false">Panel_Inputs!A57</f>
        <v>Stanbic</v>
      </c>
      <c r="B57" s="0" t="n">
        <f aca="false">Panel_Inputs!B57</f>
        <v>2018</v>
      </c>
      <c r="C57" s="0" t="n">
        <f aca="false">IF(AND(ISNUMBER(Panel_Inputs!F57),ISNUMBER(Panel_Inputs!J57)),IF(AND(Panel_Inputs!F57&gt;0,Panel_Inputs!J57&gt;0),(Panel_Inputs!F57+Panel_Inputs!J57)/2,""),"")</f>
        <v>1465984</v>
      </c>
      <c r="D57" s="0" t="n">
        <f aca="false">IF(AND(ISNUMBER(Panel_Inputs!E57),ISNUMBER(C57)),IF(C57&gt;0,100*Panel_Inputs!E57/C57,""),"")</f>
        <v>3.40467563083908</v>
      </c>
      <c r="E57" s="0" t="n">
        <f aca="false">IF(AND(ISNUMBER(Panel_Inputs!H57),ISNUMBER(Panel_Inputs!F57)),IF(Panel_Inputs!F57&gt;0,100*Panel_Inputs!H57/Panel_Inputs!F57,""),"")</f>
        <v>10.6513386004021</v>
      </c>
      <c r="F57" s="0" t="str">
        <f aca="false">IF(AND(ISNUMBER(Panel_Inputs!I57),ISNUMBER(C57)),IF(C57&gt;0,100*Panel_Inputs!I57/C57,""),"")</f>
        <v/>
      </c>
      <c r="G57" s="0" t="str">
        <f aca="false">IF(AND(ISNUMBER(Panel_Inputs!L57),ISNUMBER(Panel_Inputs!K57)),IF(Panel_Inputs!K57&gt;0,100*Panel_Inputs!L57/Panel_Inputs!K57,""),"")</f>
        <v/>
      </c>
      <c r="H57" s="0" t="str">
        <f aca="false">IF(AND(ISNUMBER(Panel_Inputs!P57),ISNUMBER(Panel_Inputs!Q57)),IF(Panel_Inputs!Q57&gt;0,100*Panel_Inputs!P57/Panel_Inputs!Q57,""),"")</f>
        <v/>
      </c>
      <c r="I57" s="0" t="n">
        <f aca="false">IF(AND(ISNUMBER(Panel_Inputs!N57),ISNUMBER(C57)),IF(C57&gt;0,100*Panel_Inputs!N57/C57,""),"")</f>
        <v>-0.203822142670043</v>
      </c>
      <c r="J57" s="0" t="str">
        <f aca="false">IF(AND(ISNUMBER(Panel_Inputs!L57),ISNUMBER(Panel_Inputs!O57)),IF(Panel_Inputs!O57&gt;0,100*Panel_Inputs!L57/Panel_Inputs!O57,""),"")</f>
        <v/>
      </c>
      <c r="K57" s="0" t="str">
        <f aca="false">IF(AND(ISNUMBER(Panel_Inputs!O57),ISNUMBER(Panel_Inputs!K57)),IF(Panel_Inputs!K57&gt;0,100*Panel_Inputs!O57/Panel_Inputs!K57,""),"")</f>
        <v/>
      </c>
      <c r="L57" s="0" t="str">
        <f aca="false">IF(AND(ISNUMBER(Panel_Inputs!R57),ISNUMBER(Panel_Inputs!K57)),IF(Panel_Inputs!K57&gt;0,100*Panel_Inputs!R57/Panel_Inputs!K57,""),"")</f>
        <v/>
      </c>
      <c r="M57" s="0" t="str">
        <f aca="false">IF(AND(ISNUMBER(Panel_Inputs!S57),ISNUMBER(Panel_Inputs!R57)),IF(Panel_Inputs!R57&gt;0,100*Panel_Inputs!S57/Panel_Inputs!R57,""),"")</f>
        <v/>
      </c>
      <c r="N57" s="0" t="n">
        <f aca="false">IF(AND(ISNUMBER(Panel_Inputs!E57),ISNUMBER(Panel_Inputs!F57)),IF(Panel_Inputs!F57&gt;0,100*Panel_Inputs!E57/Panel_Inputs!F57,""),"")</f>
        <v>3.12097270899706</v>
      </c>
      <c r="O57" s="0" t="n">
        <f aca="false">IF(AND(ISNUMBER(Panel_Inputs!G57),ISNUMBER(Panel_Inputs!F57)),IF(Panel_Inputs!F57&gt;0,100*Panel_Inputs!G57/Panel_Inputs!F57,""),"")</f>
        <v>89.3486613995979</v>
      </c>
      <c r="P57" s="0" t="n">
        <f aca="false">IF(ISNUMBER(Panel_Inputs!F57),IF(Panel_Inputs!F57&gt;0,LN(Panel_Inputs!F57),""),"")</f>
        <v>14.285042200842</v>
      </c>
      <c r="Q57" s="0" t="n">
        <f aca="false">IF(AND(ISNUMBER(Panel_Inputs!F57),ISNUMBER(Panel_Inputs!G57),ISNUMBER(Panel_Inputs!H57)),Panel_Inputs!F57-Panel_Inputs!G57-Panel_Inputs!H57,"")</f>
        <v>0</v>
      </c>
      <c r="R57" s="0" t="str">
        <f aca="false">IF(AND(ISNUMBER(Panel_Inputs!K57),ISNUMBER(Panel_Inputs!L57),ISNUMBER(Panel_Inputs!M57)),Panel_Inputs!K57-Panel_Inputs!L57-Panel_Inputs!M57,"")</f>
        <v/>
      </c>
      <c r="S57" s="0" t="str">
        <f aca="false">IF(AND(ISNUMBER(Panel_Inputs!V57),Panel_Inputs!W57=1),Panel_Inputs!V57,"")</f>
        <v/>
      </c>
      <c r="T57" s="0" t="str">
        <f aca="false">IF(AND(ISNUMBER(Panel_Inputs!T57),ISNUMBER(Panel_Inputs!U57)),Panel_Inputs!T57-Panel_Inputs!U57,"")</f>
        <v/>
      </c>
    </row>
    <row r="58" customFormat="false" ht="15" hidden="false" customHeight="false" outlineLevel="0" collapsed="false">
      <c r="A58" s="0" t="str">
        <f aca="false">Panel_Inputs!A58</f>
        <v>Stanbic</v>
      </c>
      <c r="B58" s="0" t="n">
        <f aca="false">Panel_Inputs!B58</f>
        <v>2019</v>
      </c>
      <c r="C58" s="0" t="n">
        <f aca="false">IF(AND(ISNUMBER(Panel_Inputs!F58),ISNUMBER(Panel_Inputs!J58)),IF(AND(Panel_Inputs!F58&gt;0,Panel_Inputs!J58&gt;0),(Panel_Inputs!F58+Panel_Inputs!J58)/2,""),"")</f>
        <v>1695782.5</v>
      </c>
      <c r="D58" s="0" t="n">
        <f aca="false">IF(AND(ISNUMBER(Panel_Inputs!E58),ISNUMBER(C58)),IF(C58&gt;0,100*Panel_Inputs!E58/C58,""),"")</f>
        <v>3.08335532416451</v>
      </c>
      <c r="E58" s="0" t="n">
        <f aca="false">IF(AND(ISNUMBER(Panel_Inputs!H58),ISNUMBER(Panel_Inputs!F58)),IF(Panel_Inputs!F58&gt;0,100*Panel_Inputs!H58/Panel_Inputs!F58,""),"")</f>
        <v>11.2334850919479</v>
      </c>
      <c r="F58" s="0" t="str">
        <f aca="false">IF(AND(ISNUMBER(Panel_Inputs!I58),ISNUMBER(C58)),IF(C58&gt;0,100*Panel_Inputs!I58/C58,""),"")</f>
        <v/>
      </c>
      <c r="G58" s="0" t="str">
        <f aca="false">IF(AND(ISNUMBER(Panel_Inputs!L58),ISNUMBER(Panel_Inputs!K58)),IF(Panel_Inputs!K58&gt;0,100*Panel_Inputs!L58/Panel_Inputs!K58,""),"")</f>
        <v/>
      </c>
      <c r="H58" s="0" t="str">
        <f aca="false">IF(AND(ISNUMBER(Panel_Inputs!P58),ISNUMBER(Panel_Inputs!Q58)),IF(Panel_Inputs!Q58&gt;0,100*Panel_Inputs!P58/Panel_Inputs!Q58,""),"")</f>
        <v/>
      </c>
      <c r="I58" s="0" t="n">
        <f aca="false">IF(AND(ISNUMBER(Panel_Inputs!N58),ISNUMBER(C58)),IF(C58&gt;0,100*Panel_Inputs!N58/C58,""),"")</f>
        <v>0.0981257914856416</v>
      </c>
      <c r="J58" s="0" t="str">
        <f aca="false">IF(AND(ISNUMBER(Panel_Inputs!L58),ISNUMBER(Panel_Inputs!O58)),IF(Panel_Inputs!O58&gt;0,100*Panel_Inputs!L58/Panel_Inputs!O58,""),"")</f>
        <v/>
      </c>
      <c r="K58" s="0" t="str">
        <f aca="false">IF(AND(ISNUMBER(Panel_Inputs!O58),ISNUMBER(Panel_Inputs!K58)),IF(Panel_Inputs!K58&gt;0,100*Panel_Inputs!O58/Panel_Inputs!K58,""),"")</f>
        <v/>
      </c>
      <c r="L58" s="0" t="str">
        <f aca="false">IF(AND(ISNUMBER(Panel_Inputs!R58),ISNUMBER(Panel_Inputs!K58)),IF(Panel_Inputs!K58&gt;0,100*Panel_Inputs!R58/Panel_Inputs!K58,""),"")</f>
        <v/>
      </c>
      <c r="M58" s="0" t="str">
        <f aca="false">IF(AND(ISNUMBER(Panel_Inputs!S58),ISNUMBER(Panel_Inputs!R58)),IF(Panel_Inputs!R58&gt;0,100*Panel_Inputs!S58/Panel_Inputs!R58,""),"")</f>
        <v/>
      </c>
      <c r="N58" s="0" t="n">
        <f aca="false">IF(AND(ISNUMBER(Panel_Inputs!E58),ISNUMBER(Panel_Inputs!F58)),IF(Panel_Inputs!F58&gt;0,100*Panel_Inputs!E58/Panel_Inputs!F58,""),"")</f>
        <v>2.91728039635779</v>
      </c>
      <c r="O58" s="0" t="n">
        <f aca="false">IF(AND(ISNUMBER(Panel_Inputs!G58),ISNUMBER(Panel_Inputs!F58)),IF(Panel_Inputs!F58&gt;0,100*Panel_Inputs!G58/Panel_Inputs!F58,""),"")</f>
        <v>88.7665149080521</v>
      </c>
      <c r="P58" s="0" t="n">
        <f aca="false">IF(ISNUMBER(Panel_Inputs!F58),IF(Panel_Inputs!F58&gt;0,LN(Panel_Inputs!F58),""),"")</f>
        <v>14.3990214280036</v>
      </c>
      <c r="Q58" s="0" t="n">
        <f aca="false">IF(AND(ISNUMBER(Panel_Inputs!F58),ISNUMBER(Panel_Inputs!G58),ISNUMBER(Panel_Inputs!H58)),Panel_Inputs!F58-Panel_Inputs!G58-Panel_Inputs!H58,"")</f>
        <v>0</v>
      </c>
      <c r="R58" s="0" t="str">
        <f aca="false">IF(AND(ISNUMBER(Panel_Inputs!K58),ISNUMBER(Panel_Inputs!L58),ISNUMBER(Panel_Inputs!M58)),Panel_Inputs!K58-Panel_Inputs!L58-Panel_Inputs!M58,"")</f>
        <v/>
      </c>
      <c r="S58" s="0" t="str">
        <f aca="false">IF(AND(ISNUMBER(Panel_Inputs!V58),Panel_Inputs!W58=1),Panel_Inputs!V58,"")</f>
        <v/>
      </c>
      <c r="T58" s="0" t="str">
        <f aca="false">IF(AND(ISNUMBER(Panel_Inputs!T58),ISNUMBER(Panel_Inputs!U58)),Panel_Inputs!T58-Panel_Inputs!U58,"")</f>
        <v/>
      </c>
    </row>
    <row r="59" customFormat="false" ht="15" hidden="false" customHeight="false" outlineLevel="0" collapsed="false">
      <c r="A59" s="0" t="str">
        <f aca="false">Panel_Inputs!A59</f>
        <v>Stanbic</v>
      </c>
      <c r="B59" s="0" t="n">
        <f aca="false">Panel_Inputs!B59</f>
        <v>2020</v>
      </c>
      <c r="C59" s="0" t="str">
        <f aca="false">IF(AND(ISNUMBER(Panel_Inputs!F59),ISNUMBER(Panel_Inputs!J59)),IF(AND(Panel_Inputs!F59&gt;0,Panel_Inputs!J59&gt;0),(Panel_Inputs!F59+Panel_Inputs!J59)/2,""),"")</f>
        <v/>
      </c>
      <c r="D59" s="0" t="str">
        <f aca="false">IF(AND(ISNUMBER(Panel_Inputs!E59),ISNUMBER(C59)),IF(C59&gt;0,100*Panel_Inputs!E59/C59,""),"")</f>
        <v/>
      </c>
      <c r="E59" s="0" t="n">
        <f aca="false">IF(AND(ISNUMBER(Panel_Inputs!H59),ISNUMBER(Panel_Inputs!F59)),IF(Panel_Inputs!F59&gt;0,100*Panel_Inputs!H59/Panel_Inputs!F59,""),"")</f>
        <v>10.2145803968786</v>
      </c>
      <c r="F59" s="0" t="str">
        <f aca="false">IF(AND(ISNUMBER(Panel_Inputs!I59),ISNUMBER(C59)),IF(C59&gt;0,100*Panel_Inputs!I59/C59,""),"")</f>
        <v/>
      </c>
      <c r="G59" s="0" t="n">
        <f aca="false">IF(AND(ISNUMBER(Panel_Inputs!L59),ISNUMBER(Panel_Inputs!K59)),IF(Panel_Inputs!K59&gt;0,100*Panel_Inputs!L59/Panel_Inputs!K59,""),"")</f>
        <v>4.60146011243842</v>
      </c>
      <c r="H59" s="0" t="n">
        <f aca="false">IF(AND(ISNUMBER(Panel_Inputs!P59),ISNUMBER(Panel_Inputs!Q59)),IF(Panel_Inputs!Q59&gt;0,100*Panel_Inputs!P59/Panel_Inputs!Q59,""),"")</f>
        <v>19.4150102245185</v>
      </c>
      <c r="I59" s="0" t="str">
        <f aca="false">IF(AND(ISNUMBER(Panel_Inputs!N59),ISNUMBER(C59)),IF(C59&gt;0,100*Panel_Inputs!N59/C59,""),"")</f>
        <v/>
      </c>
      <c r="J59" s="0" t="str">
        <f aca="false">IF(AND(ISNUMBER(Panel_Inputs!L59),ISNUMBER(Panel_Inputs!O59)),IF(Panel_Inputs!O59&gt;0,100*Panel_Inputs!L59/Panel_Inputs!O59,""),"")</f>
        <v/>
      </c>
      <c r="K59" s="0" t="str">
        <f aca="false">IF(AND(ISNUMBER(Panel_Inputs!O59),ISNUMBER(Panel_Inputs!K59)),IF(Panel_Inputs!K59&gt;0,100*Panel_Inputs!O59/Panel_Inputs!K59,""),"")</f>
        <v/>
      </c>
      <c r="L59" s="0" t="str">
        <f aca="false">IF(AND(ISNUMBER(Panel_Inputs!R59),ISNUMBER(Panel_Inputs!K59)),IF(Panel_Inputs!K59&gt;0,100*Panel_Inputs!R59/Panel_Inputs!K59,""),"")</f>
        <v/>
      </c>
      <c r="M59" s="0" t="str">
        <f aca="false">IF(AND(ISNUMBER(Panel_Inputs!S59),ISNUMBER(Panel_Inputs!R59)),IF(Panel_Inputs!R59&gt;0,100*Panel_Inputs!S59/Panel_Inputs!R59,""),"")</f>
        <v/>
      </c>
      <c r="N59" s="0" t="n">
        <f aca="false">IF(AND(ISNUMBER(Panel_Inputs!E59),ISNUMBER(Panel_Inputs!F59)),IF(Panel_Inputs!F59&gt;0,100*Panel_Inputs!E59/Panel_Inputs!F59,""),"")</f>
        <v>2.50971693174037</v>
      </c>
      <c r="O59" s="0" t="n">
        <f aca="false">IF(AND(ISNUMBER(Panel_Inputs!G59),ISNUMBER(Panel_Inputs!F59)),IF(Panel_Inputs!F59&gt;0,100*Panel_Inputs!G59/Panel_Inputs!F59,""),"")</f>
        <v>89.7854196031214</v>
      </c>
      <c r="P59" s="0" t="n">
        <f aca="false">IF(ISNUMBER(Panel_Inputs!F59),IF(Panel_Inputs!F59&gt;0,LN(Panel_Inputs!F59),""),"")</f>
        <v>14.678546915896</v>
      </c>
      <c r="Q59" s="0" t="n">
        <f aca="false">IF(AND(ISNUMBER(Panel_Inputs!F59),ISNUMBER(Panel_Inputs!G59),ISNUMBER(Panel_Inputs!H59)),Panel_Inputs!F59-Panel_Inputs!G59-Panel_Inputs!H59,"")</f>
        <v>0</v>
      </c>
      <c r="R59" s="0" t="n">
        <f aca="false">IF(AND(ISNUMBER(Panel_Inputs!K59),ISNUMBER(Panel_Inputs!L59),ISNUMBER(Panel_Inputs!M59)),Panel_Inputs!K59-Panel_Inputs!L59-Panel_Inputs!M59,"")</f>
        <v>0</v>
      </c>
      <c r="S59" s="0" t="str">
        <f aca="false">IF(AND(ISNUMBER(Panel_Inputs!V59),Panel_Inputs!W59=1),Panel_Inputs!V59,"")</f>
        <v/>
      </c>
      <c r="T59" s="0" t="str">
        <f aca="false">IF(AND(ISNUMBER(Panel_Inputs!T59),ISNUMBER(Panel_Inputs!U59)),Panel_Inputs!T59-Panel_Inputs!U59,"")</f>
        <v/>
      </c>
    </row>
    <row r="60" customFormat="false" ht="15" hidden="false" customHeight="false" outlineLevel="0" collapsed="false">
      <c r="A60" s="0" t="str">
        <f aca="false">Panel_Inputs!A60</f>
        <v>Stanbic</v>
      </c>
      <c r="B60" s="0" t="n">
        <f aca="false">Panel_Inputs!B60</f>
        <v>2021</v>
      </c>
      <c r="C60" s="0" t="n">
        <f aca="false">IF(AND(ISNUMBER(Panel_Inputs!F60),ISNUMBER(Panel_Inputs!J60)),IF(AND(Panel_Inputs!F60&gt;0,Panel_Inputs!J60&gt;0),(Panel_Inputs!F60+Panel_Inputs!J60)/2,""),"")</f>
        <v>2492217</v>
      </c>
      <c r="D60" s="0" t="n">
        <f aca="false">IF(AND(ISNUMBER(Panel_Inputs!E60),ISNUMBER(C60)),IF(C60&gt;0,100*Panel_Inputs!E60/C60,""),"")</f>
        <v>1.18649379247473</v>
      </c>
      <c r="E60" s="0" t="n">
        <f aca="false">IF(AND(ISNUMBER(Panel_Inputs!H60),ISNUMBER(Panel_Inputs!F60)),IF(Panel_Inputs!F60&gt;0,100*Panel_Inputs!H60/Panel_Inputs!F60,""),"")</f>
        <v>9.63146980188494</v>
      </c>
      <c r="F60" s="0" t="n">
        <f aca="false">IF(AND(ISNUMBER(Panel_Inputs!I60),ISNUMBER(C60)),IF(C60&gt;0,100*Panel_Inputs!I60/C60,""),"")</f>
        <v>2.23780673994279</v>
      </c>
      <c r="G60" s="0" t="n">
        <f aca="false">IF(AND(ISNUMBER(Panel_Inputs!L60),ISNUMBER(Panel_Inputs!K60)),IF(Panel_Inputs!K60&gt;0,100*Panel_Inputs!L60/Panel_Inputs!K60,""),"")</f>
        <v>2.6647038495803</v>
      </c>
      <c r="H60" s="0" t="n">
        <f aca="false">IF(AND(ISNUMBER(Panel_Inputs!P60),ISNUMBER(Panel_Inputs!Q60)),IF(Panel_Inputs!Q60&gt;0,100*Panel_Inputs!P60/Panel_Inputs!Q60,""),"")</f>
        <v>16.1415023816789</v>
      </c>
      <c r="I60" s="0" t="n">
        <f aca="false">IF(AND(ISNUMBER(Panel_Inputs!N60),ISNUMBER(C60)),IF(C60&gt;0,100*Panel_Inputs!N60/C60,""),"")</f>
        <v>-0.0484708996046492</v>
      </c>
      <c r="J60" s="0" t="str">
        <f aca="false">IF(AND(ISNUMBER(Panel_Inputs!L60),ISNUMBER(Panel_Inputs!O60)),IF(Panel_Inputs!O60&gt;0,100*Panel_Inputs!L60/Panel_Inputs!O60,""),"")</f>
        <v/>
      </c>
      <c r="K60" s="0" t="str">
        <f aca="false">IF(AND(ISNUMBER(Panel_Inputs!O60),ISNUMBER(Panel_Inputs!K60)),IF(Panel_Inputs!K60&gt;0,100*Panel_Inputs!O60/Panel_Inputs!K60,""),"")</f>
        <v/>
      </c>
      <c r="L60" s="0" t="str">
        <f aca="false">IF(AND(ISNUMBER(Panel_Inputs!R60),ISNUMBER(Panel_Inputs!K60)),IF(Panel_Inputs!K60&gt;0,100*Panel_Inputs!R60/Panel_Inputs!K60,""),"")</f>
        <v/>
      </c>
      <c r="M60" s="0" t="str">
        <f aca="false">IF(AND(ISNUMBER(Panel_Inputs!S60),ISNUMBER(Panel_Inputs!R60)),IF(Panel_Inputs!R60&gt;0,100*Panel_Inputs!S60/Panel_Inputs!R60,""),"")</f>
        <v/>
      </c>
      <c r="N60" s="0" t="n">
        <f aca="false">IF(AND(ISNUMBER(Panel_Inputs!E60),ISNUMBER(Panel_Inputs!F60)),IF(Panel_Inputs!F60&gt;0,100*Panel_Inputs!E60/Panel_Inputs!F60,""),"")</f>
        <v>1.13117887813221</v>
      </c>
      <c r="O60" s="0" t="n">
        <f aca="false">IF(AND(ISNUMBER(Panel_Inputs!G60),ISNUMBER(Panel_Inputs!F60)),IF(Panel_Inputs!F60&gt;0,100*Panel_Inputs!G60/Panel_Inputs!F60,""),"")</f>
        <v>90.3685301981151</v>
      </c>
      <c r="P60" s="0" t="n">
        <f aca="false">IF(ISNUMBER(Panel_Inputs!F60),IF(Panel_Inputs!F60&gt;0,LN(Panel_Inputs!F60),""),"")</f>
        <v>14.7764254549384</v>
      </c>
      <c r="Q60" s="0" t="n">
        <f aca="false">IF(AND(ISNUMBER(Panel_Inputs!F60),ISNUMBER(Panel_Inputs!G60),ISNUMBER(Panel_Inputs!H60)),Panel_Inputs!F60-Panel_Inputs!G60-Panel_Inputs!H60,"")</f>
        <v>0</v>
      </c>
      <c r="R60" s="0" t="n">
        <f aca="false">IF(AND(ISNUMBER(Panel_Inputs!K60),ISNUMBER(Panel_Inputs!L60),ISNUMBER(Panel_Inputs!M60)),Panel_Inputs!K60-Panel_Inputs!L60-Panel_Inputs!M60,"")</f>
        <v>0</v>
      </c>
      <c r="S60" s="0" t="str">
        <f aca="false">IF(AND(ISNUMBER(Panel_Inputs!V60),Panel_Inputs!W60=1),Panel_Inputs!V60,"")</f>
        <v/>
      </c>
      <c r="T60" s="0" t="str">
        <f aca="false">IF(AND(ISNUMBER(Panel_Inputs!T60),ISNUMBER(Panel_Inputs!U60)),Panel_Inputs!T60-Panel_Inputs!U60,"")</f>
        <v/>
      </c>
    </row>
    <row r="61" customFormat="false" ht="15" hidden="false" customHeight="false" outlineLevel="0" collapsed="false">
      <c r="A61" s="0" t="str">
        <f aca="false">Panel_Inputs!A61</f>
        <v>Stanbic</v>
      </c>
      <c r="B61" s="0" t="n">
        <f aca="false">Panel_Inputs!B61</f>
        <v>2022</v>
      </c>
      <c r="C61" s="0" t="n">
        <f aca="false">IF(AND(ISNUMBER(Panel_Inputs!F61),ISNUMBER(Panel_Inputs!J61)),IF(AND(Panel_Inputs!F61&gt;0,Panel_Inputs!J61&gt;0),(Panel_Inputs!F61+Panel_Inputs!J61)/2,""),"")</f>
        <v>2734298</v>
      </c>
      <c r="D61" s="0" t="n">
        <f aca="false">IF(AND(ISNUMBER(Panel_Inputs!E61),ISNUMBER(C61)),IF(C61&gt;0,100*Panel_Inputs!E61/C61,""),"")</f>
        <v>2.01697108362</v>
      </c>
      <c r="E61" s="0" t="n">
        <f aca="false">IF(AND(ISNUMBER(Panel_Inputs!H61),ISNUMBER(Panel_Inputs!F61)),IF(Panel_Inputs!F61&gt;0,100*Panel_Inputs!H61/Panel_Inputs!F61,""),"")</f>
        <v>9.77775862679011</v>
      </c>
      <c r="F61" s="0" t="n">
        <f aca="false">IF(AND(ISNUMBER(Panel_Inputs!I61),ISNUMBER(C61)),IF(C61&gt;0,100*Panel_Inputs!I61/C61,""),"")</f>
        <v>-5.28073384832231</v>
      </c>
      <c r="G61" s="0" t="n">
        <f aca="false">IF(AND(ISNUMBER(Panel_Inputs!L61),ISNUMBER(Panel_Inputs!K61)),IF(Panel_Inputs!K61&gt;0,100*Panel_Inputs!L61/Panel_Inputs!K61,""),"")</f>
        <v>2.69828258069206</v>
      </c>
      <c r="H61" s="0" t="n">
        <f aca="false">IF(AND(ISNUMBER(Panel_Inputs!P61),ISNUMBER(Panel_Inputs!Q61)),IF(Panel_Inputs!Q61&gt;0,100*Panel_Inputs!P61/Panel_Inputs!Q61,""),"")</f>
        <v>18.4093502304356</v>
      </c>
      <c r="I61" s="0" t="n">
        <f aca="false">IF(AND(ISNUMBER(Panel_Inputs!N61),ISNUMBER(C61)),IF(C61&gt;0,100*Panel_Inputs!N61/C61,""),"")</f>
        <v>0.371100735911009</v>
      </c>
      <c r="J61" s="0" t="str">
        <f aca="false">IF(AND(ISNUMBER(Panel_Inputs!L61),ISNUMBER(Panel_Inputs!O61)),IF(Panel_Inputs!O61&gt;0,100*Panel_Inputs!L61/Panel_Inputs!O61,""),"")</f>
        <v/>
      </c>
      <c r="K61" s="0" t="str">
        <f aca="false">IF(AND(ISNUMBER(Panel_Inputs!O61),ISNUMBER(Panel_Inputs!K61)),IF(Panel_Inputs!K61&gt;0,100*Panel_Inputs!O61/Panel_Inputs!K61,""),"")</f>
        <v/>
      </c>
      <c r="L61" s="0" t="str">
        <f aca="false">IF(AND(ISNUMBER(Panel_Inputs!R61),ISNUMBER(Panel_Inputs!K61)),IF(Panel_Inputs!K61&gt;0,100*Panel_Inputs!R61/Panel_Inputs!K61,""),"")</f>
        <v/>
      </c>
      <c r="M61" s="0" t="str">
        <f aca="false">IF(AND(ISNUMBER(Panel_Inputs!S61),ISNUMBER(Panel_Inputs!R61)),IF(Panel_Inputs!R61&gt;0,100*Panel_Inputs!S61/Panel_Inputs!R61,""),"")</f>
        <v/>
      </c>
      <c r="N61" s="0" t="n">
        <f aca="false">IF(AND(ISNUMBER(Panel_Inputs!E61),ISNUMBER(Panel_Inputs!F61)),IF(Panel_Inputs!F61&gt;0,100*Panel_Inputs!E61/Panel_Inputs!F61,""),"")</f>
        <v>1.93203104281682</v>
      </c>
      <c r="O61" s="0" t="n">
        <f aca="false">IF(AND(ISNUMBER(Panel_Inputs!G61),ISNUMBER(Panel_Inputs!F61)),IF(Panel_Inputs!F61&gt;0,100*Panel_Inputs!G61/Panel_Inputs!F61,""),"")</f>
        <v>90.2222413732099</v>
      </c>
      <c r="P61" s="0" t="n">
        <f aca="false">IF(ISNUMBER(Panel_Inputs!F61),IF(Panel_Inputs!F61&gt;0,LN(Panel_Inputs!F61),""),"")</f>
        <v>14.8644104072979</v>
      </c>
      <c r="Q61" s="0" t="n">
        <f aca="false">IF(AND(ISNUMBER(Panel_Inputs!F61),ISNUMBER(Panel_Inputs!G61),ISNUMBER(Panel_Inputs!H61)),Panel_Inputs!F61-Panel_Inputs!G61-Panel_Inputs!H61,"")</f>
        <v>0</v>
      </c>
      <c r="R61" s="0" t="n">
        <f aca="false">IF(AND(ISNUMBER(Panel_Inputs!K61),ISNUMBER(Panel_Inputs!L61),ISNUMBER(Panel_Inputs!M61)),Panel_Inputs!K61-Panel_Inputs!L61-Panel_Inputs!M61,"")</f>
        <v>0</v>
      </c>
      <c r="S61" s="0" t="str">
        <f aca="false">IF(AND(ISNUMBER(Panel_Inputs!V61),Panel_Inputs!W61=1),Panel_Inputs!V61,"")</f>
        <v/>
      </c>
      <c r="T61" s="0" t="n">
        <f aca="false">IF(AND(ISNUMBER(Panel_Inputs!T61),ISNUMBER(Panel_Inputs!U61)),Panel_Inputs!T61-Panel_Inputs!U61,"")</f>
        <v>8.4</v>
      </c>
    </row>
    <row r="62" customFormat="false" ht="15" hidden="false" customHeight="false" outlineLevel="0" collapsed="false">
      <c r="A62" s="0" t="str">
        <f aca="false">Panel_Inputs!A62</f>
        <v>Sterling</v>
      </c>
      <c r="B62" s="0" t="n">
        <f aca="false">Panel_Inputs!B62</f>
        <v>2013</v>
      </c>
      <c r="C62" s="0" t="str">
        <f aca="false">IF(AND(ISNUMBER(Panel_Inputs!F62),ISNUMBER(Panel_Inputs!J62)),IF(AND(Panel_Inputs!F62&gt;0,Panel_Inputs!J62&gt;0),(Panel_Inputs!F62+Panel_Inputs!J62)/2,""),"")</f>
        <v/>
      </c>
      <c r="D62" s="0" t="str">
        <f aca="false">IF(AND(ISNUMBER(Panel_Inputs!E62),ISNUMBER(C62)),IF(C62&gt;0,100*Panel_Inputs!E62/C62,""),"")</f>
        <v/>
      </c>
      <c r="E62" s="0" t="n">
        <f aca="false">IF(AND(ISNUMBER(Panel_Inputs!H62),ISNUMBER(Panel_Inputs!F62)),IF(Panel_Inputs!F62&gt;0,100*Panel_Inputs!H62/Panel_Inputs!F62,""),"")</f>
        <v>8.96554799926506</v>
      </c>
      <c r="F62" s="0" t="str">
        <f aca="false">IF(AND(ISNUMBER(Panel_Inputs!I62),ISNUMBER(C62)),IF(C62&gt;0,100*Panel_Inputs!I62/C62,""),"")</f>
        <v/>
      </c>
      <c r="G62" s="0" t="n">
        <f aca="false">IF(AND(ISNUMBER(Panel_Inputs!L62),ISNUMBER(Panel_Inputs!K62)),IF(Panel_Inputs!K62&gt;0,100*Panel_Inputs!L62/Panel_Inputs!K62,""),"")</f>
        <v>2.10583969135932</v>
      </c>
      <c r="H62" s="0" t="str">
        <f aca="false">IF(AND(ISNUMBER(Panel_Inputs!P62),ISNUMBER(Panel_Inputs!Q62)),IF(Panel_Inputs!Q62&gt;0,100*Panel_Inputs!P62/Panel_Inputs!Q62,""),"")</f>
        <v/>
      </c>
      <c r="I62" s="0" t="str">
        <f aca="false">IF(AND(ISNUMBER(Panel_Inputs!N62),ISNUMBER(C62)),IF(C62&gt;0,100*Panel_Inputs!N62/C62,""),"")</f>
        <v/>
      </c>
      <c r="J62" s="0" t="str">
        <f aca="false">IF(AND(ISNUMBER(Panel_Inputs!L62),ISNUMBER(Panel_Inputs!O62)),IF(Panel_Inputs!O62&gt;0,100*Panel_Inputs!L62/Panel_Inputs!O62,""),"")</f>
        <v/>
      </c>
      <c r="K62" s="0" t="str">
        <f aca="false">IF(AND(ISNUMBER(Panel_Inputs!O62),ISNUMBER(Panel_Inputs!K62)),IF(Panel_Inputs!K62&gt;0,100*Panel_Inputs!O62/Panel_Inputs!K62,""),"")</f>
        <v/>
      </c>
      <c r="L62" s="0" t="str">
        <f aca="false">IF(AND(ISNUMBER(Panel_Inputs!R62),ISNUMBER(Panel_Inputs!K62)),IF(Panel_Inputs!K62&gt;0,100*Panel_Inputs!R62/Panel_Inputs!K62,""),"")</f>
        <v/>
      </c>
      <c r="M62" s="0" t="str">
        <f aca="false">IF(AND(ISNUMBER(Panel_Inputs!S62),ISNUMBER(Panel_Inputs!R62)),IF(Panel_Inputs!R62&gt;0,100*Panel_Inputs!S62/Panel_Inputs!R62,""),"")</f>
        <v/>
      </c>
      <c r="N62" s="0" t="n">
        <f aca="false">IF(AND(ISNUMBER(Panel_Inputs!E62),ISNUMBER(Panel_Inputs!F62)),IF(Panel_Inputs!F62&gt;0,100*Panel_Inputs!E62/Panel_Inputs!F62,""),"")</f>
        <v>1.16910101115534</v>
      </c>
      <c r="O62" s="0" t="n">
        <f aca="false">IF(AND(ISNUMBER(Panel_Inputs!G62),ISNUMBER(Panel_Inputs!F62)),IF(Panel_Inputs!F62&gt;0,100*Panel_Inputs!G62/Panel_Inputs!F62,""),"")</f>
        <v>91.0344520007349</v>
      </c>
      <c r="P62" s="0" t="n">
        <f aca="false">IF(ISNUMBER(Panel_Inputs!F62),IF(Panel_Inputs!F62&gt;0,LN(Panel_Inputs!F62),""),"")</f>
        <v>13.4699128641221</v>
      </c>
      <c r="Q62" s="0" t="n">
        <f aca="false">IF(AND(ISNUMBER(Panel_Inputs!F62),ISNUMBER(Panel_Inputs!G62),ISNUMBER(Panel_Inputs!H62)),Panel_Inputs!F62-Panel_Inputs!G62-Panel_Inputs!H62,"")</f>
        <v>0</v>
      </c>
      <c r="R62" s="0" t="str">
        <f aca="false">IF(AND(ISNUMBER(Panel_Inputs!K62),ISNUMBER(Panel_Inputs!L62),ISNUMBER(Panel_Inputs!M62)),Panel_Inputs!K62-Panel_Inputs!L62-Panel_Inputs!M62,"")</f>
        <v/>
      </c>
      <c r="S62" s="0" t="str">
        <f aca="false">IF(AND(ISNUMBER(Panel_Inputs!V62),Panel_Inputs!W62=1),Panel_Inputs!V62,"")</f>
        <v/>
      </c>
      <c r="T62" s="0" t="str">
        <f aca="false">IF(AND(ISNUMBER(Panel_Inputs!T62),ISNUMBER(Panel_Inputs!U62)),Panel_Inputs!T62-Panel_Inputs!U62,"")</f>
        <v/>
      </c>
    </row>
    <row r="63" customFormat="false" ht="15" hidden="false" customHeight="false" outlineLevel="0" collapsed="false">
      <c r="A63" s="0" t="str">
        <f aca="false">Panel_Inputs!A63</f>
        <v>Sterling</v>
      </c>
      <c r="B63" s="0" t="n">
        <f aca="false">Panel_Inputs!B63</f>
        <v>2014</v>
      </c>
      <c r="C63" s="0" t="n">
        <f aca="false">IF(AND(ISNUMBER(Panel_Inputs!F63),ISNUMBER(Panel_Inputs!J63)),IF(AND(Panel_Inputs!F63&gt;0,Panel_Inputs!J63&gt;0),(Panel_Inputs!F63+Panel_Inputs!J63)/2,""),"")</f>
        <v>766168.3035</v>
      </c>
      <c r="D63" s="0" t="n">
        <f aca="false">IF(AND(ISNUMBER(Panel_Inputs!E63),ISNUMBER(C63)),IF(C63&gt;0,100*Panel_Inputs!E63/C63,""),"")</f>
        <v>1.17532570309469</v>
      </c>
      <c r="E63" s="0" t="n">
        <f aca="false">IF(AND(ISNUMBER(Panel_Inputs!H63),ISNUMBER(Panel_Inputs!F63)),IF(Panel_Inputs!F63&gt;0,100*Panel_Inputs!H63/Panel_Inputs!F63,""),"")</f>
        <v>10.274255217967</v>
      </c>
      <c r="F63" s="0" t="n">
        <f aca="false">IF(AND(ISNUMBER(Panel_Inputs!I63),ISNUMBER(C63)),IF(C63&gt;0,100*Panel_Inputs!I63/C63,""),"")</f>
        <v>-0.0985431003280861</v>
      </c>
      <c r="G63" s="0" t="n">
        <f aca="false">IF(AND(ISNUMBER(Panel_Inputs!L63),ISNUMBER(Panel_Inputs!K63)),IF(Panel_Inputs!K63&gt;0,100*Panel_Inputs!L63/Panel_Inputs!K63,""),"")</f>
        <v>2.54069495154419</v>
      </c>
      <c r="H63" s="0" t="str">
        <f aca="false">IF(AND(ISNUMBER(Panel_Inputs!P63),ISNUMBER(Panel_Inputs!Q63)),IF(Panel_Inputs!Q63&gt;0,100*Panel_Inputs!P63/Panel_Inputs!Q63,""),"")</f>
        <v/>
      </c>
      <c r="I63" s="0" t="n">
        <f aca="false">IF(AND(ISNUMBER(Panel_Inputs!N63),ISNUMBER(C63)),IF(C63&gt;0,100*Panel_Inputs!N63/C63,""),"")</f>
        <v>0.964430265027272</v>
      </c>
      <c r="J63" s="0" t="str">
        <f aca="false">IF(AND(ISNUMBER(Panel_Inputs!L63),ISNUMBER(Panel_Inputs!O63)),IF(Panel_Inputs!O63&gt;0,100*Panel_Inputs!L63/Panel_Inputs!O63,""),"")</f>
        <v/>
      </c>
      <c r="K63" s="0" t="str">
        <f aca="false">IF(AND(ISNUMBER(Panel_Inputs!O63),ISNUMBER(Panel_Inputs!K63)),IF(Panel_Inputs!K63&gt;0,100*Panel_Inputs!O63/Panel_Inputs!K63,""),"")</f>
        <v/>
      </c>
      <c r="L63" s="0" t="str">
        <f aca="false">IF(AND(ISNUMBER(Panel_Inputs!R63),ISNUMBER(Panel_Inputs!K63)),IF(Panel_Inputs!K63&gt;0,100*Panel_Inputs!R63/Panel_Inputs!K63,""),"")</f>
        <v/>
      </c>
      <c r="M63" s="0" t="str">
        <f aca="false">IF(AND(ISNUMBER(Panel_Inputs!S63),ISNUMBER(Panel_Inputs!R63)),IF(Panel_Inputs!R63&gt;0,100*Panel_Inputs!S63/Panel_Inputs!R63,""),"")</f>
        <v/>
      </c>
      <c r="N63" s="0" t="n">
        <f aca="false">IF(AND(ISNUMBER(Panel_Inputs!E63),ISNUMBER(Panel_Inputs!F63)),IF(Panel_Inputs!F63&gt;0,100*Panel_Inputs!E63/Panel_Inputs!F63,""),"")</f>
        <v>1.0921215791566</v>
      </c>
      <c r="O63" s="0" t="n">
        <f aca="false">IF(AND(ISNUMBER(Panel_Inputs!G63),ISNUMBER(Panel_Inputs!F63)),IF(Panel_Inputs!F63&gt;0,100*Panel_Inputs!G63/Panel_Inputs!F63,""),"")</f>
        <v>89.725744782033</v>
      </c>
      <c r="P63" s="0" t="n">
        <f aca="false">IF(ISNUMBER(Panel_Inputs!F63),IF(Panel_Inputs!F63&gt;0,LN(Panel_Inputs!F63),""),"")</f>
        <v>13.6225802379101</v>
      </c>
      <c r="Q63" s="0" t="n">
        <f aca="false">IF(AND(ISNUMBER(Panel_Inputs!F63),ISNUMBER(Panel_Inputs!G63),ISNUMBER(Panel_Inputs!H63)),Panel_Inputs!F63-Panel_Inputs!G63-Panel_Inputs!H63,"")</f>
        <v>0</v>
      </c>
      <c r="R63" s="0" t="str">
        <f aca="false">IF(AND(ISNUMBER(Panel_Inputs!K63),ISNUMBER(Panel_Inputs!L63),ISNUMBER(Panel_Inputs!M63)),Panel_Inputs!K63-Panel_Inputs!L63-Panel_Inputs!M63,"")</f>
        <v/>
      </c>
      <c r="S63" s="0" t="n">
        <f aca="false">IF(AND(ISNUMBER(Panel_Inputs!V63),Panel_Inputs!W63=1),Panel_Inputs!V63,"")</f>
        <v>34</v>
      </c>
      <c r="T63" s="0" t="str">
        <f aca="false">IF(AND(ISNUMBER(Panel_Inputs!T63),ISNUMBER(Panel_Inputs!U63)),Panel_Inputs!T63-Panel_Inputs!U63,"")</f>
        <v/>
      </c>
    </row>
    <row r="64" customFormat="false" ht="15" hidden="false" customHeight="false" outlineLevel="0" collapsed="false">
      <c r="A64" s="0" t="str">
        <f aca="false">Panel_Inputs!A64</f>
        <v>Sterling</v>
      </c>
      <c r="B64" s="0" t="n">
        <f aca="false">Panel_Inputs!B64</f>
        <v>2015</v>
      </c>
      <c r="C64" s="0" t="n">
        <f aca="false">IF(AND(ISNUMBER(Panel_Inputs!F64),ISNUMBER(Panel_Inputs!J64)),IF(AND(Panel_Inputs!F64&gt;0,Panel_Inputs!J64&gt;0),(Panel_Inputs!F64+Panel_Inputs!J64)/2,""),"")</f>
        <v>811995.4215</v>
      </c>
      <c r="D64" s="0" t="n">
        <f aca="false">IF(AND(ISNUMBER(Panel_Inputs!E64),ISNUMBER(C64)),IF(C64&gt;0,100*Panel_Inputs!E64/C64,""),"")</f>
        <v>1.26756589107196</v>
      </c>
      <c r="E64" s="0" t="n">
        <f aca="false">IF(AND(ISNUMBER(Panel_Inputs!H64),ISNUMBER(Panel_Inputs!F64)),IF(Panel_Inputs!F64&gt;0,100*Panel_Inputs!H64/Panel_Inputs!F64,""),"")</f>
        <v>11.9539155185461</v>
      </c>
      <c r="F64" s="0" t="n">
        <f aca="false">IF(AND(ISNUMBER(Panel_Inputs!I64),ISNUMBER(C64)),IF(C64&gt;0,100*Panel_Inputs!I64/C64,""),"")</f>
        <v>6.73550534299411</v>
      </c>
      <c r="G64" s="0" t="n">
        <f aca="false">IF(AND(ISNUMBER(Panel_Inputs!L64),ISNUMBER(Panel_Inputs!K64)),IF(Panel_Inputs!K64&gt;0,100*Panel_Inputs!L64/Panel_Inputs!K64,""),"")</f>
        <v>4.44279325696376</v>
      </c>
      <c r="H64" s="0" t="n">
        <f aca="false">IF(AND(ISNUMBER(Panel_Inputs!P64),ISNUMBER(Panel_Inputs!Q64)),IF(Panel_Inputs!Q64&gt;0,100*Panel_Inputs!P64/Panel_Inputs!Q64,""),"")</f>
        <v>17.4902201769128</v>
      </c>
      <c r="I64" s="0" t="n">
        <f aca="false">IF(AND(ISNUMBER(Panel_Inputs!N64),ISNUMBER(C64)),IF(C64&gt;0,100*Panel_Inputs!N64/C64,""),"")</f>
        <v>1.00386501994581</v>
      </c>
      <c r="J64" s="0" t="str">
        <f aca="false">IF(AND(ISNUMBER(Panel_Inputs!L64),ISNUMBER(Panel_Inputs!O64)),IF(Panel_Inputs!O64&gt;0,100*Panel_Inputs!L64/Panel_Inputs!O64,""),"")</f>
        <v/>
      </c>
      <c r="K64" s="0" t="str">
        <f aca="false">IF(AND(ISNUMBER(Panel_Inputs!O64),ISNUMBER(Panel_Inputs!K64)),IF(Panel_Inputs!K64&gt;0,100*Panel_Inputs!O64/Panel_Inputs!K64,""),"")</f>
        <v/>
      </c>
      <c r="L64" s="0" t="str">
        <f aca="false">IF(AND(ISNUMBER(Panel_Inputs!R64),ISNUMBER(Panel_Inputs!K64)),IF(Panel_Inputs!K64&gt;0,100*Panel_Inputs!R64/Panel_Inputs!K64,""),"")</f>
        <v/>
      </c>
      <c r="M64" s="0" t="str">
        <f aca="false">IF(AND(ISNUMBER(Panel_Inputs!S64),ISNUMBER(Panel_Inputs!R64)),IF(Panel_Inputs!R64&gt;0,100*Panel_Inputs!S64/Panel_Inputs!R64,""),"")</f>
        <v/>
      </c>
      <c r="N64" s="0" t="n">
        <f aca="false">IF(AND(ISNUMBER(Panel_Inputs!E64),ISNUMBER(Panel_Inputs!F64)),IF(Panel_Inputs!F64&gt;0,100*Panel_Inputs!E64/Panel_Inputs!F64,""),"")</f>
        <v>1.28745496988718</v>
      </c>
      <c r="O64" s="0" t="n">
        <f aca="false">IF(AND(ISNUMBER(Panel_Inputs!G64),ISNUMBER(Panel_Inputs!F64)),IF(Panel_Inputs!F64&gt;0,100*Panel_Inputs!G64/Panel_Inputs!F64,""),"")</f>
        <v>88.0460844814539</v>
      </c>
      <c r="P64" s="0" t="n">
        <f aca="false">IF(ISNUMBER(Panel_Inputs!F64),IF(Panel_Inputs!F64&gt;0,LN(Panel_Inputs!F64),""),"")</f>
        <v>13.5916810426806</v>
      </c>
      <c r="Q64" s="0" t="n">
        <f aca="false">IF(AND(ISNUMBER(Panel_Inputs!F64),ISNUMBER(Panel_Inputs!G64),ISNUMBER(Panel_Inputs!H64)),Panel_Inputs!F64-Panel_Inputs!G64-Panel_Inputs!H64,"")</f>
        <v>0</v>
      </c>
      <c r="R64" s="0" t="n">
        <f aca="false">IF(AND(ISNUMBER(Panel_Inputs!K64),ISNUMBER(Panel_Inputs!L64),ISNUMBER(Panel_Inputs!M64)),Panel_Inputs!K64-Panel_Inputs!L64-Panel_Inputs!M64,"")</f>
        <v>0</v>
      </c>
      <c r="S64" s="0" t="str">
        <f aca="false">IF(AND(ISNUMBER(Panel_Inputs!V64),Panel_Inputs!W64=1),Panel_Inputs!V64,"")</f>
        <v/>
      </c>
      <c r="T64" s="0" t="n">
        <f aca="false">IF(AND(ISNUMBER(Panel_Inputs!T64),ISNUMBER(Panel_Inputs!U64)),Panel_Inputs!T64-Panel_Inputs!U64,"")</f>
        <v>7.49</v>
      </c>
    </row>
    <row r="65" customFormat="false" ht="15" hidden="false" customHeight="false" outlineLevel="0" collapsed="false">
      <c r="A65" s="0" t="str">
        <f aca="false">Panel_Inputs!A65</f>
        <v>Sterling</v>
      </c>
      <c r="B65" s="0" t="n">
        <f aca="false">Panel_Inputs!B65</f>
        <v>2016</v>
      </c>
      <c r="C65" s="0" t="n">
        <f aca="false">IF(AND(ISNUMBER(Panel_Inputs!F65),ISNUMBER(Panel_Inputs!J65)),IF(AND(Panel_Inputs!F65&gt;0,Panel_Inputs!J65&gt;0),(Panel_Inputs!F65+Panel_Inputs!J65)/2,""),"")</f>
        <v>815126.8205</v>
      </c>
      <c r="D65" s="0" t="n">
        <f aca="false">IF(AND(ISNUMBER(Panel_Inputs!E65),ISNUMBER(C65)),IF(C65&gt;0,100*Panel_Inputs!E65/C65,""),"")</f>
        <v>0.635602199523013</v>
      </c>
      <c r="E65" s="0" t="n">
        <f aca="false">IF(AND(ISNUMBER(Panel_Inputs!H65),ISNUMBER(Panel_Inputs!F65)),IF(Panel_Inputs!F65&gt;0,100*Panel_Inputs!H65/Panel_Inputs!F65,""),"")</f>
        <v>10.3127579013318</v>
      </c>
      <c r="F65" s="0" t="n">
        <f aca="false">IF(AND(ISNUMBER(Panel_Inputs!I65),ISNUMBER(C65)),IF(C65&gt;0,100*Panel_Inputs!I65/C65,""),"")</f>
        <v>-15.3218467186972</v>
      </c>
      <c r="G65" s="0" t="n">
        <f aca="false">IF(AND(ISNUMBER(Panel_Inputs!L65),ISNUMBER(Panel_Inputs!K65)),IF(Panel_Inputs!K65&gt;0,100*Panel_Inputs!L65/Panel_Inputs!K65,""),"")</f>
        <v>1.77534283860335</v>
      </c>
      <c r="H65" s="0" t="n">
        <f aca="false">IF(AND(ISNUMBER(Panel_Inputs!P65),ISNUMBER(Panel_Inputs!Q65)),IF(Panel_Inputs!Q65&gt;0,100*Panel_Inputs!P65/Panel_Inputs!Q65,""),"")</f>
        <v>10.6590109197573</v>
      </c>
      <c r="I65" s="0" t="n">
        <f aca="false">IF(AND(ISNUMBER(Panel_Inputs!N65),ISNUMBER(C65)),IF(C65&gt;0,100*Panel_Inputs!N65/C65,""),"")</f>
        <v>1.43707306708601</v>
      </c>
      <c r="J65" s="0" t="str">
        <f aca="false">IF(AND(ISNUMBER(Panel_Inputs!L65),ISNUMBER(Panel_Inputs!O65)),IF(Panel_Inputs!O65&gt;0,100*Panel_Inputs!L65/Panel_Inputs!O65,""),"")</f>
        <v/>
      </c>
      <c r="K65" s="0" t="str">
        <f aca="false">IF(AND(ISNUMBER(Panel_Inputs!O65),ISNUMBER(Panel_Inputs!K65)),IF(Panel_Inputs!K65&gt;0,100*Panel_Inputs!O65/Panel_Inputs!K65,""),"")</f>
        <v/>
      </c>
      <c r="L65" s="0" t="str">
        <f aca="false">IF(AND(ISNUMBER(Panel_Inputs!R65),ISNUMBER(Panel_Inputs!K65)),IF(Panel_Inputs!K65&gt;0,100*Panel_Inputs!R65/Panel_Inputs!K65,""),"")</f>
        <v/>
      </c>
      <c r="M65" s="0" t="str">
        <f aca="false">IF(AND(ISNUMBER(Panel_Inputs!S65),ISNUMBER(Panel_Inputs!R65)),IF(Panel_Inputs!R65&gt;0,100*Panel_Inputs!S65/Panel_Inputs!R65,""),"")</f>
        <v/>
      </c>
      <c r="N65" s="0" t="n">
        <f aca="false">IF(AND(ISNUMBER(Panel_Inputs!E65),ISNUMBER(Panel_Inputs!F65)),IF(Panel_Inputs!F65&gt;0,100*Panel_Inputs!E65/Panel_Inputs!F65,""),"")</f>
        <v>0.623609789470183</v>
      </c>
      <c r="O65" s="0" t="n">
        <f aca="false">IF(AND(ISNUMBER(Panel_Inputs!G65),ISNUMBER(Panel_Inputs!F65)),IF(Panel_Inputs!F65&gt;0,100*Panel_Inputs!G65/Panel_Inputs!F65,""),"")</f>
        <v>89.6872420986682</v>
      </c>
      <c r="P65" s="0" t="n">
        <f aca="false">IF(ISNUMBER(Panel_Inputs!F65),IF(Panel_Inputs!F65&gt;0,LN(Panel_Inputs!F65),""),"")</f>
        <v>13.6301470479184</v>
      </c>
      <c r="Q65" s="0" t="n">
        <f aca="false">IF(AND(ISNUMBER(Panel_Inputs!F65),ISNUMBER(Panel_Inputs!G65),ISNUMBER(Panel_Inputs!H65)),Panel_Inputs!F65-Panel_Inputs!G65-Panel_Inputs!H65,"")</f>
        <v>0</v>
      </c>
      <c r="R65" s="0" t="n">
        <f aca="false">IF(AND(ISNUMBER(Panel_Inputs!K65),ISNUMBER(Panel_Inputs!L65),ISNUMBER(Panel_Inputs!M65)),Panel_Inputs!K65-Panel_Inputs!L65-Panel_Inputs!M65,"")</f>
        <v>0</v>
      </c>
      <c r="S65" s="0" t="str">
        <f aca="false">IF(AND(ISNUMBER(Panel_Inputs!V65),Panel_Inputs!W65=1),Panel_Inputs!V65,"")</f>
        <v/>
      </c>
      <c r="T65" s="0" t="n">
        <f aca="false">IF(AND(ISNUMBER(Panel_Inputs!T65),ISNUMBER(Panel_Inputs!U65)),Panel_Inputs!T65-Panel_Inputs!U65,"")</f>
        <v>0.66</v>
      </c>
    </row>
    <row r="66" customFormat="false" ht="15" hidden="false" customHeight="false" outlineLevel="0" collapsed="false">
      <c r="A66" s="0" t="str">
        <f aca="false">Panel_Inputs!A66</f>
        <v>Sterling</v>
      </c>
      <c r="B66" s="0" t="n">
        <f aca="false">Panel_Inputs!B66</f>
        <v>2017</v>
      </c>
      <c r="C66" s="0" t="n">
        <f aca="false">IF(AND(ISNUMBER(Panel_Inputs!F66),ISNUMBER(Panel_Inputs!J66)),IF(AND(Panel_Inputs!F66&gt;0,Panel_Inputs!J66&gt;0),(Panel_Inputs!F66+Panel_Inputs!J66)/2,""),"")</f>
        <v>949801.5</v>
      </c>
      <c r="D66" s="0" t="n">
        <f aca="false">IF(AND(ISNUMBER(Panel_Inputs!E66),ISNUMBER(C66)),IF(C66&gt;0,100*Panel_Inputs!E66/C66,""),"")</f>
        <v>0.890186002022528</v>
      </c>
      <c r="E66" s="0" t="n">
        <f aca="false">IF(AND(ISNUMBER(Panel_Inputs!H66),ISNUMBER(Panel_Inputs!F66)),IF(Panel_Inputs!F66&gt;0,100*Panel_Inputs!H66/Panel_Inputs!F66,""),"")</f>
        <v>9.62698283492297</v>
      </c>
      <c r="F66" s="0" t="n">
        <f aca="false">IF(AND(ISNUMBER(Panel_Inputs!I66),ISNUMBER(C66)),IF(C66&gt;0,100*Panel_Inputs!I66/C66,""),"")</f>
        <v>-4.90018177482348</v>
      </c>
      <c r="G66" s="0" t="n">
        <f aca="false">IF(AND(ISNUMBER(Panel_Inputs!L66),ISNUMBER(Panel_Inputs!K66)),IF(Panel_Inputs!K66&gt;0,100*Panel_Inputs!L66/Panel_Inputs!K66,""),"")</f>
        <v>3.15814870048593</v>
      </c>
      <c r="H66" s="0" t="n">
        <f aca="false">IF(AND(ISNUMBER(Panel_Inputs!P66),ISNUMBER(Panel_Inputs!Q66)),IF(Panel_Inputs!Q66&gt;0,100*Panel_Inputs!P66/Panel_Inputs!Q66,""),"")</f>
        <v>11.7320092527474</v>
      </c>
      <c r="I66" s="0" t="n">
        <f aca="false">IF(AND(ISNUMBER(Panel_Inputs!N66),ISNUMBER(C66)),IF(C66&gt;0,100*Panel_Inputs!N66/C66,""),"")</f>
        <v>1.29153302032056</v>
      </c>
      <c r="J66" s="0" t="str">
        <f aca="false">IF(AND(ISNUMBER(Panel_Inputs!L66),ISNUMBER(Panel_Inputs!O66)),IF(Panel_Inputs!O66&gt;0,100*Panel_Inputs!L66/Panel_Inputs!O66,""),"")</f>
        <v/>
      </c>
      <c r="K66" s="0" t="str">
        <f aca="false">IF(AND(ISNUMBER(Panel_Inputs!O66),ISNUMBER(Panel_Inputs!K66)),IF(Panel_Inputs!K66&gt;0,100*Panel_Inputs!O66/Panel_Inputs!K66,""),"")</f>
        <v/>
      </c>
      <c r="L66" s="0" t="str">
        <f aca="false">IF(AND(ISNUMBER(Panel_Inputs!R66),ISNUMBER(Panel_Inputs!K66)),IF(Panel_Inputs!K66&gt;0,100*Panel_Inputs!R66/Panel_Inputs!K66,""),"")</f>
        <v/>
      </c>
      <c r="M66" s="0" t="str">
        <f aca="false">IF(AND(ISNUMBER(Panel_Inputs!S66),ISNUMBER(Panel_Inputs!R66)),IF(Panel_Inputs!R66&gt;0,100*Panel_Inputs!S66/Panel_Inputs!R66,""),"")</f>
        <v/>
      </c>
      <c r="N66" s="0" t="n">
        <f aca="false">IF(AND(ISNUMBER(Panel_Inputs!E66),ISNUMBER(Panel_Inputs!F66)),IF(Panel_Inputs!F66&gt;0,100*Panel_Inputs!E66/Panel_Inputs!F66,""),"")</f>
        <v>0.791075582102511</v>
      </c>
      <c r="O66" s="0" t="n">
        <f aca="false">IF(AND(ISNUMBER(Panel_Inputs!G66),ISNUMBER(Panel_Inputs!F66)),IF(Panel_Inputs!F66&gt;0,100*Panel_Inputs!G66/Panel_Inputs!F66,""),"")</f>
        <v>90.373017165077</v>
      </c>
      <c r="P66" s="0" t="n">
        <f aca="false">IF(ISNUMBER(Panel_Inputs!F66),IF(Panel_Inputs!F66&gt;0,LN(Panel_Inputs!F66),""),"")</f>
        <v>13.8820452105053</v>
      </c>
      <c r="Q66" s="0" t="n">
        <f aca="false">IF(AND(ISNUMBER(Panel_Inputs!F66),ISNUMBER(Panel_Inputs!G66),ISNUMBER(Panel_Inputs!H66)),Panel_Inputs!F66-Panel_Inputs!G66-Panel_Inputs!H66,"")</f>
        <v>0</v>
      </c>
      <c r="R66" s="0" t="n">
        <f aca="false">IF(AND(ISNUMBER(Panel_Inputs!K66),ISNUMBER(Panel_Inputs!L66),ISNUMBER(Panel_Inputs!M66)),Panel_Inputs!K66-Panel_Inputs!L66-Panel_Inputs!M66,"")</f>
        <v>0</v>
      </c>
      <c r="S66" s="0" t="str">
        <f aca="false">IF(AND(ISNUMBER(Panel_Inputs!V66),Panel_Inputs!W66=1),Panel_Inputs!V66,"")</f>
        <v/>
      </c>
      <c r="T66" s="0" t="n">
        <f aca="false">IF(AND(ISNUMBER(Panel_Inputs!T66),ISNUMBER(Panel_Inputs!U66)),Panel_Inputs!T66-Panel_Inputs!U66,"")</f>
        <v>1.73</v>
      </c>
    </row>
    <row r="67" customFormat="false" ht="15" hidden="false" customHeight="false" outlineLevel="0" collapsed="false">
      <c r="A67" s="0" t="str">
        <f aca="false">Panel_Inputs!A67</f>
        <v>Sterling</v>
      </c>
      <c r="B67" s="0" t="n">
        <f aca="false">Panel_Inputs!B67</f>
        <v>2018</v>
      </c>
      <c r="C67" s="0" t="str">
        <f aca="false">IF(AND(ISNUMBER(Panel_Inputs!F67),ISNUMBER(Panel_Inputs!J67)),IF(AND(Panel_Inputs!F67&gt;0,Panel_Inputs!J67&gt;0),(Panel_Inputs!F67+Panel_Inputs!J67)/2,""),"")</f>
        <v/>
      </c>
      <c r="D67" s="0" t="str">
        <f aca="false">IF(AND(ISNUMBER(Panel_Inputs!E67),ISNUMBER(C67)),IF(C67&gt;0,100*Panel_Inputs!E67/C67,""),"")</f>
        <v/>
      </c>
      <c r="E67" s="0" t="n">
        <f aca="false">IF(AND(ISNUMBER(Panel_Inputs!H67),ISNUMBER(Panel_Inputs!F67)),IF(Panel_Inputs!F67&gt;0,100*Panel_Inputs!H67/Panel_Inputs!F67,""),"")</f>
        <v>9.02580036762945</v>
      </c>
      <c r="F67" s="0" t="str">
        <f aca="false">IF(AND(ISNUMBER(Panel_Inputs!I67),ISNUMBER(C67)),IF(C67&gt;0,100*Panel_Inputs!I67/C67,""),"")</f>
        <v/>
      </c>
      <c r="G67" s="0" t="n">
        <f aca="false">IF(AND(ISNUMBER(Panel_Inputs!L67),ISNUMBER(Panel_Inputs!K67)),IF(Panel_Inputs!K67&gt;0,100*Panel_Inputs!L67/Panel_Inputs!K67,""),"")</f>
        <v>3.0687802609111</v>
      </c>
      <c r="H67" s="0" t="str">
        <f aca="false">IF(AND(ISNUMBER(Panel_Inputs!P67),ISNUMBER(Panel_Inputs!Q67)),IF(Panel_Inputs!Q67&gt;0,100*Panel_Inputs!P67/Panel_Inputs!Q67,""),"")</f>
        <v/>
      </c>
      <c r="I67" s="0" t="str">
        <f aca="false">IF(AND(ISNUMBER(Panel_Inputs!N67),ISNUMBER(C67)),IF(C67&gt;0,100*Panel_Inputs!N67/C67,""),"")</f>
        <v/>
      </c>
      <c r="J67" s="0" t="str">
        <f aca="false">IF(AND(ISNUMBER(Panel_Inputs!L67),ISNUMBER(Panel_Inputs!O67)),IF(Panel_Inputs!O67&gt;0,100*Panel_Inputs!L67/Panel_Inputs!O67,""),"")</f>
        <v/>
      </c>
      <c r="K67" s="0" t="str">
        <f aca="false">IF(AND(ISNUMBER(Panel_Inputs!O67),ISNUMBER(Panel_Inputs!K67)),IF(Panel_Inputs!K67&gt;0,100*Panel_Inputs!O67/Panel_Inputs!K67,""),"")</f>
        <v/>
      </c>
      <c r="L67" s="0" t="str">
        <f aca="false">IF(AND(ISNUMBER(Panel_Inputs!R67),ISNUMBER(Panel_Inputs!K67)),IF(Panel_Inputs!K67&gt;0,100*Panel_Inputs!R67/Panel_Inputs!K67,""),"")</f>
        <v/>
      </c>
      <c r="M67" s="0" t="str">
        <f aca="false">IF(AND(ISNUMBER(Panel_Inputs!S67),ISNUMBER(Panel_Inputs!R67)),IF(Panel_Inputs!R67&gt;0,100*Panel_Inputs!S67/Panel_Inputs!R67,""),"")</f>
        <v/>
      </c>
      <c r="N67" s="0" t="n">
        <f aca="false">IF(AND(ISNUMBER(Panel_Inputs!E67),ISNUMBER(Panel_Inputs!F67)),IF(Panel_Inputs!F67&gt;0,100*Panel_Inputs!E67/Panel_Inputs!F67,""),"")</f>
        <v>0.871922760978233</v>
      </c>
      <c r="O67" s="0" t="n">
        <f aca="false">IF(AND(ISNUMBER(Panel_Inputs!G67),ISNUMBER(Panel_Inputs!F67)),IF(Panel_Inputs!F67&gt;0,100*Panel_Inputs!G67/Panel_Inputs!F67,""),"")</f>
        <v>90.9741996323705</v>
      </c>
      <c r="P67" s="0" t="n">
        <f aca="false">IF(ISNUMBER(Panel_Inputs!F67),IF(Panel_Inputs!F67&gt;0,LN(Panel_Inputs!F67),""),"")</f>
        <v>13.8978975924781</v>
      </c>
      <c r="Q67" s="0" t="n">
        <f aca="false">IF(AND(ISNUMBER(Panel_Inputs!F67),ISNUMBER(Panel_Inputs!G67),ISNUMBER(Panel_Inputs!H67)),Panel_Inputs!F67-Panel_Inputs!G67-Panel_Inputs!H67,"")</f>
        <v>0</v>
      </c>
      <c r="R67" s="0" t="str">
        <f aca="false">IF(AND(ISNUMBER(Panel_Inputs!K67),ISNUMBER(Panel_Inputs!L67),ISNUMBER(Panel_Inputs!M67)),Panel_Inputs!K67-Panel_Inputs!L67-Panel_Inputs!M67,"")</f>
        <v/>
      </c>
      <c r="S67" s="0" t="str">
        <f aca="false">IF(AND(ISNUMBER(Panel_Inputs!V67),Panel_Inputs!W67=1),Panel_Inputs!V67,"")</f>
        <v/>
      </c>
      <c r="T67" s="0" t="n">
        <f aca="false">IF(AND(ISNUMBER(Panel_Inputs!T67),ISNUMBER(Panel_Inputs!U67)),Panel_Inputs!T67-Panel_Inputs!U67,"")</f>
        <v>2.86</v>
      </c>
    </row>
    <row r="68" customFormat="false" ht="15" hidden="false" customHeight="false" outlineLevel="0" collapsed="false">
      <c r="A68" s="0" t="str">
        <f aca="false">Panel_Inputs!A68</f>
        <v>Sterling</v>
      </c>
      <c r="B68" s="0" t="n">
        <f aca="false">Panel_Inputs!B68</f>
        <v>2019</v>
      </c>
      <c r="C68" s="0" t="n">
        <f aca="false">IF(AND(ISNUMBER(Panel_Inputs!F68),ISNUMBER(Panel_Inputs!J68)),IF(AND(Panel_Inputs!F68&gt;0,Panel_Inputs!J68&gt;0),(Panel_Inputs!F68+Panel_Inputs!J68)/2,""),"")</f>
        <v>1125692.5</v>
      </c>
      <c r="D68" s="0" t="n">
        <f aca="false">IF(AND(ISNUMBER(Panel_Inputs!E68),ISNUMBER(C68)),IF(C68&gt;0,100*Panel_Inputs!E68/C68,""),"")</f>
        <v>0.902822040654975</v>
      </c>
      <c r="E68" s="0" t="n">
        <f aca="false">IF(AND(ISNUMBER(Panel_Inputs!H68),ISNUMBER(Panel_Inputs!F68)),IF(Panel_Inputs!F68&gt;0,100*Panel_Inputs!H68/Panel_Inputs!F68,""),"")</f>
        <v>10.238273578325</v>
      </c>
      <c r="F68" s="0" t="n">
        <f aca="false">IF(AND(ISNUMBER(Panel_Inputs!I68),ISNUMBER(C68)),IF(C68&gt;0,100*Panel_Inputs!I68/C68,""),"")</f>
        <v>10.1638769024401</v>
      </c>
      <c r="G68" s="0" t="n">
        <f aca="false">IF(AND(ISNUMBER(Panel_Inputs!L68),ISNUMBER(Panel_Inputs!K68)),IF(Panel_Inputs!K68&gt;0,100*Panel_Inputs!L68/Panel_Inputs!K68,""),"")</f>
        <v>2.05256309185719</v>
      </c>
      <c r="H68" s="0" t="str">
        <f aca="false">IF(AND(ISNUMBER(Panel_Inputs!P68),ISNUMBER(Panel_Inputs!Q68)),IF(Panel_Inputs!Q68&gt;0,100*Panel_Inputs!P68/Panel_Inputs!Q68,""),"")</f>
        <v/>
      </c>
      <c r="I68" s="0" t="n">
        <f aca="false">IF(AND(ISNUMBER(Panel_Inputs!N68),ISNUMBER(C68)),IF(C68&gt;0,100*Panel_Inputs!N68/C68,""),"")</f>
        <v>0.518969434370399</v>
      </c>
      <c r="J68" s="0" t="str">
        <f aca="false">IF(AND(ISNUMBER(Panel_Inputs!L68),ISNUMBER(Panel_Inputs!O68)),IF(Panel_Inputs!O68&gt;0,100*Panel_Inputs!L68/Panel_Inputs!O68,""),"")</f>
        <v/>
      </c>
      <c r="K68" s="0" t="str">
        <f aca="false">IF(AND(ISNUMBER(Panel_Inputs!O68),ISNUMBER(Panel_Inputs!K68)),IF(Panel_Inputs!K68&gt;0,100*Panel_Inputs!O68/Panel_Inputs!K68,""),"")</f>
        <v/>
      </c>
      <c r="L68" s="0" t="str">
        <f aca="false">IF(AND(ISNUMBER(Panel_Inputs!R68),ISNUMBER(Panel_Inputs!K68)),IF(Panel_Inputs!K68&gt;0,100*Panel_Inputs!R68/Panel_Inputs!K68,""),"")</f>
        <v/>
      </c>
      <c r="M68" s="0" t="str">
        <f aca="false">IF(AND(ISNUMBER(Panel_Inputs!S68),ISNUMBER(Panel_Inputs!R68)),IF(Panel_Inputs!R68&gt;0,100*Panel_Inputs!S68/Panel_Inputs!R68,""),"")</f>
        <v/>
      </c>
      <c r="N68" s="0" t="n">
        <f aca="false">IF(AND(ISNUMBER(Panel_Inputs!E68),ISNUMBER(Panel_Inputs!F68)),IF(Panel_Inputs!F68&gt;0,100*Panel_Inputs!E68/Panel_Inputs!F68,""),"")</f>
        <v>0.871979538553542</v>
      </c>
      <c r="O68" s="0" t="n">
        <f aca="false">IF(AND(ISNUMBER(Panel_Inputs!G68),ISNUMBER(Panel_Inputs!F68)),IF(Panel_Inputs!F68&gt;0,100*Panel_Inputs!G68/Panel_Inputs!F68,""),"")</f>
        <v>89.761726421675</v>
      </c>
      <c r="P68" s="0" t="n">
        <f aca="false">IF(ISNUMBER(Panel_Inputs!F68),IF(Panel_Inputs!F68&gt;0,LN(Panel_Inputs!F68),""),"")</f>
        <v>13.9686684594359</v>
      </c>
      <c r="Q68" s="0" t="n">
        <f aca="false">IF(AND(ISNUMBER(Panel_Inputs!F68),ISNUMBER(Panel_Inputs!G68),ISNUMBER(Panel_Inputs!H68)),Panel_Inputs!F68-Panel_Inputs!G68-Panel_Inputs!H68,"")</f>
        <v>0</v>
      </c>
      <c r="R68" s="0" t="str">
        <f aca="false">IF(AND(ISNUMBER(Panel_Inputs!K68),ISNUMBER(Panel_Inputs!L68),ISNUMBER(Panel_Inputs!M68)),Panel_Inputs!K68-Panel_Inputs!L68-Panel_Inputs!M68,"")</f>
        <v/>
      </c>
      <c r="S68" s="0" t="str">
        <f aca="false">IF(AND(ISNUMBER(Panel_Inputs!V68),Panel_Inputs!W68=1),Panel_Inputs!V68,"")</f>
        <v/>
      </c>
      <c r="T68" s="0" t="n">
        <f aca="false">IF(AND(ISNUMBER(Panel_Inputs!T68),ISNUMBER(Panel_Inputs!U68)),Panel_Inputs!T68-Panel_Inputs!U68,"")</f>
        <v>4.7</v>
      </c>
    </row>
    <row r="69" customFormat="false" ht="15" hidden="false" customHeight="false" outlineLevel="0" collapsed="false">
      <c r="A69" s="0" t="str">
        <f aca="false">Panel_Inputs!A69</f>
        <v>Sterling</v>
      </c>
      <c r="B69" s="0" t="n">
        <f aca="false">Panel_Inputs!B69</f>
        <v>2020</v>
      </c>
      <c r="C69" s="0" t="n">
        <f aca="false">IF(AND(ISNUMBER(Panel_Inputs!F69),ISNUMBER(Panel_Inputs!J69)),IF(AND(Panel_Inputs!F69&gt;0,Panel_Inputs!J69&gt;0),(Panel_Inputs!F69+Panel_Inputs!J69)/2,""),"")</f>
        <v>1223669.5</v>
      </c>
      <c r="D69" s="0" t="n">
        <f aca="false">IF(AND(ISNUMBER(Panel_Inputs!E69),ISNUMBER(C69)),IF(C69&gt;0,100*Panel_Inputs!E69/C69,""),"")</f>
        <v>0.907924893118608</v>
      </c>
      <c r="E69" s="0" t="n">
        <f aca="false">IF(AND(ISNUMBER(Panel_Inputs!H69),ISNUMBER(Panel_Inputs!F69)),IF(Panel_Inputs!F69&gt;0,100*Panel_Inputs!H69/Panel_Inputs!F69,""),"")</f>
        <v>10.5622430431492</v>
      </c>
      <c r="F69" s="0" t="n">
        <f aca="false">IF(AND(ISNUMBER(Panel_Inputs!I69),ISNUMBER(C69)),IF(C69&gt;0,100*Panel_Inputs!I69/C69,""),"")</f>
        <v>0.36006454357161</v>
      </c>
      <c r="G69" s="0" t="n">
        <f aca="false">IF(AND(ISNUMBER(Panel_Inputs!L69),ISNUMBER(Panel_Inputs!K69)),IF(Panel_Inputs!K69&gt;0,100*Panel_Inputs!L69/Panel_Inputs!K69,""),"")</f>
        <v>2.69532198924284</v>
      </c>
      <c r="H69" s="0" t="n">
        <f aca="false">IF(AND(ISNUMBER(Panel_Inputs!P69),ISNUMBER(Panel_Inputs!Q69)),IF(Panel_Inputs!Q69&gt;0,100*Panel_Inputs!P69/Panel_Inputs!Q69,""),"")</f>
        <v>17.9763267136434</v>
      </c>
      <c r="I69" s="0" t="n">
        <f aca="false">IF(AND(ISNUMBER(Panel_Inputs!N69),ISNUMBER(C69)),IF(C69&gt;0,100*Panel_Inputs!N69/C69,""),"")</f>
        <v>0.646661537286007</v>
      </c>
      <c r="J69" s="0" t="str">
        <f aca="false">IF(AND(ISNUMBER(Panel_Inputs!L69),ISNUMBER(Panel_Inputs!O69)),IF(Panel_Inputs!O69&gt;0,100*Panel_Inputs!L69/Panel_Inputs!O69,""),"")</f>
        <v/>
      </c>
      <c r="K69" s="0" t="str">
        <f aca="false">IF(AND(ISNUMBER(Panel_Inputs!O69),ISNUMBER(Panel_Inputs!K69)),IF(Panel_Inputs!K69&gt;0,100*Panel_Inputs!O69/Panel_Inputs!K69,""),"")</f>
        <v/>
      </c>
      <c r="L69" s="0" t="str">
        <f aca="false">IF(AND(ISNUMBER(Panel_Inputs!R69),ISNUMBER(Panel_Inputs!K69)),IF(Panel_Inputs!K69&gt;0,100*Panel_Inputs!R69/Panel_Inputs!K69,""),"")</f>
        <v/>
      </c>
      <c r="M69" s="0" t="str">
        <f aca="false">IF(AND(ISNUMBER(Panel_Inputs!S69),ISNUMBER(Panel_Inputs!R69)),IF(Panel_Inputs!R69&gt;0,100*Panel_Inputs!S69/Panel_Inputs!R69,""),"")</f>
        <v/>
      </c>
      <c r="N69" s="0" t="n">
        <f aca="false">IF(AND(ISNUMBER(Panel_Inputs!E69),ISNUMBER(Panel_Inputs!F69)),IF(Panel_Inputs!F69&gt;0,100*Panel_Inputs!E69/Panel_Inputs!F69,""),"")</f>
        <v>0.866729597528533</v>
      </c>
      <c r="O69" s="0" t="n">
        <f aca="false">IF(AND(ISNUMBER(Panel_Inputs!G69),ISNUMBER(Panel_Inputs!F69)),IF(Panel_Inputs!F69&gt;0,100*Panel_Inputs!G69/Panel_Inputs!F69,""),"")</f>
        <v>89.4377569568508</v>
      </c>
      <c r="P69" s="0" t="n">
        <f aca="false">IF(ISNUMBER(Panel_Inputs!F69),IF(Panel_Inputs!F69&gt;0,LN(Panel_Inputs!F69),""),"")</f>
        <v>14.0637993023657</v>
      </c>
      <c r="Q69" s="0" t="n">
        <f aca="false">IF(AND(ISNUMBER(Panel_Inputs!F69),ISNUMBER(Panel_Inputs!G69),ISNUMBER(Panel_Inputs!H69)),Panel_Inputs!F69-Panel_Inputs!G69-Panel_Inputs!H69,"")</f>
        <v>0</v>
      </c>
      <c r="R69" s="0" t="n">
        <f aca="false">IF(AND(ISNUMBER(Panel_Inputs!K69),ISNUMBER(Panel_Inputs!L69),ISNUMBER(Panel_Inputs!M69)),Panel_Inputs!K69-Panel_Inputs!L69-Panel_Inputs!M69,"")</f>
        <v>0</v>
      </c>
      <c r="S69" s="0" t="str">
        <f aca="false">IF(AND(ISNUMBER(Panel_Inputs!V69),Panel_Inputs!W69=1),Panel_Inputs!V69,"")</f>
        <v/>
      </c>
      <c r="T69" s="0" t="n">
        <f aca="false">IF(AND(ISNUMBER(Panel_Inputs!T69),ISNUMBER(Panel_Inputs!U69)),Panel_Inputs!T69-Panel_Inputs!U69,"")</f>
        <v>7.98</v>
      </c>
    </row>
    <row r="70" customFormat="false" ht="15" hidden="false" customHeight="false" outlineLevel="0" collapsed="false">
      <c r="A70" s="0" t="str">
        <f aca="false">Panel_Inputs!A70</f>
        <v>Sterling</v>
      </c>
      <c r="B70" s="0" t="n">
        <f aca="false">Panel_Inputs!B70</f>
        <v>2021</v>
      </c>
      <c r="C70" s="0" t="n">
        <f aca="false">IF(AND(ISNUMBER(Panel_Inputs!F70),ISNUMBER(Panel_Inputs!J70)),IF(AND(Panel_Inputs!F70&gt;0,Panel_Inputs!J70&gt;0),(Panel_Inputs!F70+Panel_Inputs!J70)/2,""),"")</f>
        <v>1446789.5</v>
      </c>
      <c r="D70" s="0" t="n">
        <f aca="false">IF(AND(ISNUMBER(Panel_Inputs!E70),ISNUMBER(C70)),IF(C70&gt;0,100*Panel_Inputs!E70/C70,""),"")</f>
        <v>0.926395996100331</v>
      </c>
      <c r="E70" s="0" t="n">
        <f aca="false">IF(AND(ISNUMBER(Panel_Inputs!H70),ISNUMBER(Panel_Inputs!F70)),IF(Panel_Inputs!F70&gt;0,100*Panel_Inputs!H70/Panel_Inputs!F70,""),"")</f>
        <v>8.74925314053243</v>
      </c>
      <c r="F70" s="0" t="n">
        <f aca="false">IF(AND(ISNUMBER(Panel_Inputs!I70),ISNUMBER(C70)),IF(C70&gt;0,100*Panel_Inputs!I70/C70,""),"")</f>
        <v>10.024056713157</v>
      </c>
      <c r="G70" s="0" t="n">
        <f aca="false">IF(AND(ISNUMBER(Panel_Inputs!L70),ISNUMBER(Panel_Inputs!K70)),IF(Panel_Inputs!K70&gt;0,100*Panel_Inputs!L70/Panel_Inputs!K70,""),"")</f>
        <v>1.95295284266197</v>
      </c>
      <c r="H70" s="0" t="n">
        <f aca="false">IF(AND(ISNUMBER(Panel_Inputs!P70),ISNUMBER(Panel_Inputs!Q70)),IF(Panel_Inputs!Q70&gt;0,100*Panel_Inputs!P70/Panel_Inputs!Q70,""),"")</f>
        <v>14.8155466959014</v>
      </c>
      <c r="I70" s="0" t="n">
        <f aca="false">IF(AND(ISNUMBER(Panel_Inputs!N70),ISNUMBER(C70)),IF(C70&gt;0,100*Panel_Inputs!N70/C70,""),"")</f>
        <v>0.678882449727483</v>
      </c>
      <c r="J70" s="0" t="str">
        <f aca="false">IF(AND(ISNUMBER(Panel_Inputs!L70),ISNUMBER(Panel_Inputs!O70)),IF(Panel_Inputs!O70&gt;0,100*Panel_Inputs!L70/Panel_Inputs!O70,""),"")</f>
        <v/>
      </c>
      <c r="K70" s="0" t="str">
        <f aca="false">IF(AND(ISNUMBER(Panel_Inputs!O70),ISNUMBER(Panel_Inputs!K70)),IF(Panel_Inputs!K70&gt;0,100*Panel_Inputs!O70/Panel_Inputs!K70,""),"")</f>
        <v/>
      </c>
      <c r="L70" s="0" t="str">
        <f aca="false">IF(AND(ISNUMBER(Panel_Inputs!R70),ISNUMBER(Panel_Inputs!K70)),IF(Panel_Inputs!K70&gt;0,100*Panel_Inputs!R70/Panel_Inputs!K70,""),"")</f>
        <v/>
      </c>
      <c r="M70" s="0" t="str">
        <f aca="false">IF(AND(ISNUMBER(Panel_Inputs!S70),ISNUMBER(Panel_Inputs!R70)),IF(Panel_Inputs!R70&gt;0,100*Panel_Inputs!S70/Panel_Inputs!R70,""),"")</f>
        <v/>
      </c>
      <c r="N70" s="0" t="n">
        <f aca="false">IF(AND(ISNUMBER(Panel_Inputs!E70),ISNUMBER(Panel_Inputs!F70)),IF(Panel_Inputs!F70&gt;0,100*Panel_Inputs!E70/Panel_Inputs!F70,""),"")</f>
        <v>0.831581096063965</v>
      </c>
      <c r="O70" s="0" t="n">
        <f aca="false">IF(AND(ISNUMBER(Panel_Inputs!G70),ISNUMBER(Panel_Inputs!F70)),IF(Panel_Inputs!F70&gt;0,100*Panel_Inputs!G70/Panel_Inputs!F70,""),"")</f>
        <v>91.2507468594676</v>
      </c>
      <c r="P70" s="0" t="n">
        <f aca="false">IF(ISNUMBER(Panel_Inputs!F70),IF(Panel_Inputs!F70&gt;0,LN(Panel_Inputs!F70),""),"")</f>
        <v>14.2928304827291</v>
      </c>
      <c r="Q70" s="0" t="n">
        <f aca="false">IF(AND(ISNUMBER(Panel_Inputs!F70),ISNUMBER(Panel_Inputs!G70),ISNUMBER(Panel_Inputs!H70)),Panel_Inputs!F70-Panel_Inputs!G70-Panel_Inputs!H70,"")</f>
        <v>0</v>
      </c>
      <c r="R70" s="0" t="n">
        <f aca="false">IF(AND(ISNUMBER(Panel_Inputs!K70),ISNUMBER(Panel_Inputs!L70),ISNUMBER(Panel_Inputs!M70)),Panel_Inputs!K70-Panel_Inputs!L70-Panel_Inputs!M70,"")</f>
        <v>0</v>
      </c>
      <c r="S70" s="0" t="str">
        <f aca="false">IF(AND(ISNUMBER(Panel_Inputs!V70),Panel_Inputs!W70=1),Panel_Inputs!V70,"")</f>
        <v/>
      </c>
      <c r="T70" s="0" t="n">
        <f aca="false">IF(AND(ISNUMBER(Panel_Inputs!T70),ISNUMBER(Panel_Inputs!U70)),Panel_Inputs!T70-Panel_Inputs!U70,"")</f>
        <v>4.82</v>
      </c>
    </row>
    <row r="71" customFormat="false" ht="15" hidden="false" customHeight="false" outlineLevel="0" collapsed="false">
      <c r="A71" s="0" t="str">
        <f aca="false">Panel_Inputs!A71</f>
        <v>Sterling</v>
      </c>
      <c r="B71" s="0" t="n">
        <f aca="false">Panel_Inputs!B71</f>
        <v>2022</v>
      </c>
      <c r="C71" s="0" t="n">
        <f aca="false">IF(AND(ISNUMBER(Panel_Inputs!F71),ISNUMBER(Panel_Inputs!J71)),IF(AND(Panel_Inputs!F71&gt;0,Panel_Inputs!J71&gt;0),(Panel_Inputs!F71+Panel_Inputs!J71)/2,""),"")</f>
        <v>1723760</v>
      </c>
      <c r="D71" s="0" t="n">
        <f aca="false">IF(AND(ISNUMBER(Panel_Inputs!E71),ISNUMBER(C71)),IF(C71&gt;0,100*Panel_Inputs!E71/C71,""),"")</f>
        <v>1.1212117696199</v>
      </c>
      <c r="E71" s="0" t="n">
        <f aca="false">IF(AND(ISNUMBER(Panel_Inputs!H71),ISNUMBER(Panel_Inputs!F71)),IF(Panel_Inputs!F71&gt;0,100*Panel_Inputs!H71/Panel_Inputs!F71,""),"")</f>
        <v>8.3423972983046</v>
      </c>
      <c r="F71" s="0" t="n">
        <f aca="false">IF(AND(ISNUMBER(Panel_Inputs!I71),ISNUMBER(C71)),IF(C71&gt;0,100*Panel_Inputs!I71/C71,""),"")</f>
        <v>4.10944679073653</v>
      </c>
      <c r="G71" s="0" t="n">
        <f aca="false">IF(AND(ISNUMBER(Panel_Inputs!L71),ISNUMBER(Panel_Inputs!K71)),IF(Panel_Inputs!K71&gt;0,100*Panel_Inputs!L71/Panel_Inputs!K71,""),"")</f>
        <v>2.69697421334955</v>
      </c>
      <c r="H71" s="0" t="n">
        <f aca="false">IF(AND(ISNUMBER(Panel_Inputs!P71),ISNUMBER(Panel_Inputs!Q71)),IF(Panel_Inputs!Q71&gt;0,100*Panel_Inputs!P71/Panel_Inputs!Q71,""),"")</f>
        <v>14.6742098293506</v>
      </c>
      <c r="I71" s="0" t="n">
        <f aca="false">IF(AND(ISNUMBER(Panel_Inputs!N71),ISNUMBER(C71)),IF(C71&gt;0,100*Panel_Inputs!N71/C71,""),"")</f>
        <v>0.526987515663433</v>
      </c>
      <c r="J71" s="0" t="str">
        <f aca="false">IF(AND(ISNUMBER(Panel_Inputs!L71),ISNUMBER(Panel_Inputs!O71)),IF(Panel_Inputs!O71&gt;0,100*Panel_Inputs!L71/Panel_Inputs!O71,""),"")</f>
        <v/>
      </c>
      <c r="K71" s="0" t="str">
        <f aca="false">IF(AND(ISNUMBER(Panel_Inputs!O71),ISNUMBER(Panel_Inputs!K71)),IF(Panel_Inputs!K71&gt;0,100*Panel_Inputs!O71/Panel_Inputs!K71,""),"")</f>
        <v/>
      </c>
      <c r="L71" s="0" t="str">
        <f aca="false">IF(AND(ISNUMBER(Panel_Inputs!R71),ISNUMBER(Panel_Inputs!K71)),IF(Panel_Inputs!K71&gt;0,100*Panel_Inputs!R71/Panel_Inputs!K71,""),"")</f>
        <v/>
      </c>
      <c r="M71" s="0" t="str">
        <f aca="false">IF(AND(ISNUMBER(Panel_Inputs!S71),ISNUMBER(Panel_Inputs!R71)),IF(Panel_Inputs!R71&gt;0,100*Panel_Inputs!S71/Panel_Inputs!R71,""),"")</f>
        <v/>
      </c>
      <c r="N71" s="0" t="n">
        <f aca="false">IF(AND(ISNUMBER(Panel_Inputs!E71),ISNUMBER(Panel_Inputs!F71)),IF(Panel_Inputs!F71&gt;0,100*Panel_Inputs!E71/Panel_Inputs!F71,""),"")</f>
        <v>1.05002548051691</v>
      </c>
      <c r="O71" s="0" t="n">
        <f aca="false">IF(AND(ISNUMBER(Panel_Inputs!G71),ISNUMBER(Panel_Inputs!F71)),IF(Panel_Inputs!F71&gt;0,100*Panel_Inputs!G71/Panel_Inputs!F71,""),"")</f>
        <v>91.6576027016954</v>
      </c>
      <c r="P71" s="0" t="n">
        <f aca="false">IF(ISNUMBER(Panel_Inputs!F71),IF(Panel_Inputs!F71&gt;0,LN(Panel_Inputs!F71),""),"")</f>
        <v>14.4256141159396</v>
      </c>
      <c r="Q71" s="0" t="n">
        <f aca="false">IF(AND(ISNUMBER(Panel_Inputs!F71),ISNUMBER(Panel_Inputs!G71),ISNUMBER(Panel_Inputs!H71)),Panel_Inputs!F71-Panel_Inputs!G71-Panel_Inputs!H71,"")</f>
        <v>0</v>
      </c>
      <c r="R71" s="0" t="n">
        <f aca="false">IF(AND(ISNUMBER(Panel_Inputs!K71),ISNUMBER(Panel_Inputs!L71),ISNUMBER(Panel_Inputs!M71)),Panel_Inputs!K71-Panel_Inputs!L71-Panel_Inputs!M71,"")</f>
        <v>0</v>
      </c>
      <c r="S71" s="0" t="str">
        <f aca="false">IF(AND(ISNUMBER(Panel_Inputs!V71),Panel_Inputs!W71=1),Panel_Inputs!V71,"")</f>
        <v/>
      </c>
      <c r="T71" s="0" t="n">
        <f aca="false">IF(AND(ISNUMBER(Panel_Inputs!T71),ISNUMBER(Panel_Inputs!U71)),Panel_Inputs!T71-Panel_Inputs!U71,"")</f>
        <v>4.67</v>
      </c>
    </row>
    <row r="72" customFormat="false" ht="15" hidden="false" customHeight="false" outlineLevel="0" collapsed="false">
      <c r="A72" s="0" t="str">
        <f aca="false">Panel_Inputs!A72</f>
        <v>UBA</v>
      </c>
      <c r="B72" s="0" t="n">
        <f aca="false">Panel_Inputs!B72</f>
        <v>2013</v>
      </c>
      <c r="C72" s="0" t="str">
        <f aca="false">IF(AND(ISNUMBER(Panel_Inputs!F72),ISNUMBER(Panel_Inputs!J72)),IF(AND(Panel_Inputs!F72&gt;0,Panel_Inputs!J72&gt;0),(Panel_Inputs!F72+Panel_Inputs!J72)/2,""),"")</f>
        <v/>
      </c>
      <c r="D72" s="0" t="str">
        <f aca="false">IF(AND(ISNUMBER(Panel_Inputs!E72),ISNUMBER(C72)),IF(C72&gt;0,100*Panel_Inputs!E72/C72,""),"")</f>
        <v/>
      </c>
      <c r="E72" s="0" t="n">
        <f aca="false">IF(AND(ISNUMBER(Panel_Inputs!H72),ISNUMBER(Panel_Inputs!F72)),IF(Panel_Inputs!F72&gt;0,100*Panel_Inputs!H72/Panel_Inputs!F72,""),"")</f>
        <v>11.7045192672375</v>
      </c>
      <c r="F72" s="0" t="str">
        <f aca="false">IF(AND(ISNUMBER(Panel_Inputs!I72),ISNUMBER(C72)),IF(C72&gt;0,100*Panel_Inputs!I72/C72,""),"")</f>
        <v/>
      </c>
      <c r="G72" s="0" t="n">
        <f aca="false">IF(AND(ISNUMBER(Panel_Inputs!L72),ISNUMBER(Panel_Inputs!K72)),IF(Panel_Inputs!K72&gt;0,100*Panel_Inputs!L72/Panel_Inputs!K72,""),"")</f>
        <v>1.03283539830042</v>
      </c>
      <c r="H72" s="0" t="str">
        <f aca="false">IF(AND(ISNUMBER(Panel_Inputs!P72),ISNUMBER(Panel_Inputs!Q72)),IF(Panel_Inputs!Q72&gt;0,100*Panel_Inputs!P72/Panel_Inputs!Q72,""),"")</f>
        <v/>
      </c>
      <c r="I72" s="0" t="str">
        <f aca="false">IF(AND(ISNUMBER(Panel_Inputs!N72),ISNUMBER(C72)),IF(C72&gt;0,100*Panel_Inputs!N72/C72,""),"")</f>
        <v/>
      </c>
      <c r="J72" s="0" t="str">
        <f aca="false">IF(AND(ISNUMBER(Panel_Inputs!L72),ISNUMBER(Panel_Inputs!O72)),IF(Panel_Inputs!O72&gt;0,100*Panel_Inputs!L72/Panel_Inputs!O72,""),"")</f>
        <v/>
      </c>
      <c r="K72" s="0" t="str">
        <f aca="false">IF(AND(ISNUMBER(Panel_Inputs!O72),ISNUMBER(Panel_Inputs!K72)),IF(Panel_Inputs!K72&gt;0,100*Panel_Inputs!O72/Panel_Inputs!K72,""),"")</f>
        <v/>
      </c>
      <c r="L72" s="0" t="str">
        <f aca="false">IF(AND(ISNUMBER(Panel_Inputs!R72),ISNUMBER(Panel_Inputs!K72)),IF(Panel_Inputs!K72&gt;0,100*Panel_Inputs!R72/Panel_Inputs!K72,""),"")</f>
        <v/>
      </c>
      <c r="M72" s="0" t="str">
        <f aca="false">IF(AND(ISNUMBER(Panel_Inputs!S72),ISNUMBER(Panel_Inputs!R72)),IF(Panel_Inputs!R72&gt;0,100*Panel_Inputs!S72/Panel_Inputs!R72,""),"")</f>
        <v/>
      </c>
      <c r="N72" s="0" t="n">
        <f aca="false">IF(AND(ISNUMBER(Panel_Inputs!E72),ISNUMBER(Panel_Inputs!F72)),IF(Panel_Inputs!F72&gt;0,100*Panel_Inputs!E72/Panel_Inputs!F72,""),"")</f>
        <v>2.09626786481749</v>
      </c>
      <c r="O72" s="0" t="n">
        <f aca="false">IF(AND(ISNUMBER(Panel_Inputs!G72),ISNUMBER(Panel_Inputs!F72)),IF(Panel_Inputs!F72&gt;0,100*Panel_Inputs!G72/Panel_Inputs!F72,""),"")</f>
        <v>88.2954807327625</v>
      </c>
      <c r="P72" s="0" t="n">
        <f aca="false">IF(ISNUMBER(Panel_Inputs!F72),IF(Panel_Inputs!F72&gt;0,LN(Panel_Inputs!F72),""),"")</f>
        <v>14.6118535629276</v>
      </c>
      <c r="Q72" s="0" t="n">
        <f aca="false">IF(AND(ISNUMBER(Panel_Inputs!F72),ISNUMBER(Panel_Inputs!G72),ISNUMBER(Panel_Inputs!H72)),Panel_Inputs!F72-Panel_Inputs!G72-Panel_Inputs!H72,"")</f>
        <v>0</v>
      </c>
      <c r="R72" s="0" t="str">
        <f aca="false">IF(AND(ISNUMBER(Panel_Inputs!K72),ISNUMBER(Panel_Inputs!L72),ISNUMBER(Panel_Inputs!M72)),Panel_Inputs!K72-Panel_Inputs!L72-Panel_Inputs!M72,"")</f>
        <v/>
      </c>
      <c r="S72" s="0" t="str">
        <f aca="false">IF(AND(ISNUMBER(Panel_Inputs!V72),Panel_Inputs!W72=1),Panel_Inputs!V72,"")</f>
        <v/>
      </c>
      <c r="T72" s="0" t="str">
        <f aca="false">IF(AND(ISNUMBER(Panel_Inputs!T72),ISNUMBER(Panel_Inputs!U72)),Panel_Inputs!T72-Panel_Inputs!U72,"")</f>
        <v/>
      </c>
    </row>
    <row r="73" customFormat="false" ht="15" hidden="false" customHeight="false" outlineLevel="0" collapsed="false">
      <c r="A73" s="0" t="str">
        <f aca="false">Panel_Inputs!A73</f>
        <v>UBA</v>
      </c>
      <c r="B73" s="0" t="n">
        <f aca="false">Panel_Inputs!B73</f>
        <v>2014</v>
      </c>
      <c r="C73" s="0" t="n">
        <f aca="false">IF(AND(ISNUMBER(Panel_Inputs!F73),ISNUMBER(Panel_Inputs!J73)),IF(AND(Panel_Inputs!F73&gt;0,Panel_Inputs!J73&gt;0),(Panel_Inputs!F73+Panel_Inputs!J73)/2,""),"")</f>
        <v>2278137.5</v>
      </c>
      <c r="D73" s="0" t="n">
        <f aca="false">IF(AND(ISNUMBER(Panel_Inputs!E73),ISNUMBER(C73)),IF(C73&gt;0,100*Panel_Inputs!E73/C73,""),"")</f>
        <v>1.75946359690756</v>
      </c>
      <c r="E73" s="0" t="n">
        <f aca="false">IF(AND(ISNUMBER(Panel_Inputs!H73),ISNUMBER(Panel_Inputs!F73)),IF(Panel_Inputs!F73&gt;0,100*Panel_Inputs!H73/Panel_Inputs!F73,""),"")</f>
        <v>12.0543017147685</v>
      </c>
      <c r="F73" s="0" t="n">
        <f aca="false">IF(AND(ISNUMBER(Panel_Inputs!I73),ISNUMBER(C73)),IF(C73&gt;0,100*Panel_Inputs!I73/C73,""),"")</f>
        <v>-4.06555793932544</v>
      </c>
      <c r="G73" s="0" t="n">
        <f aca="false">IF(AND(ISNUMBER(Panel_Inputs!L73),ISNUMBER(Panel_Inputs!K73)),IF(Panel_Inputs!K73&gt;0,100*Panel_Inputs!L73/Panel_Inputs!K73,""),"")</f>
        <v>1.17549929673369</v>
      </c>
      <c r="H73" s="0" t="str">
        <f aca="false">IF(AND(ISNUMBER(Panel_Inputs!P73),ISNUMBER(Panel_Inputs!Q73)),IF(Panel_Inputs!Q73&gt;0,100*Panel_Inputs!P73/Panel_Inputs!Q73,""),"")</f>
        <v/>
      </c>
      <c r="I73" s="0" t="n">
        <f aca="false">IF(AND(ISNUMBER(Panel_Inputs!N73),ISNUMBER(C73)),IF(C73&gt;0,100*Panel_Inputs!N73/C73,""),"")</f>
        <v>0.134890892231044</v>
      </c>
      <c r="J73" s="0" t="str">
        <f aca="false">IF(AND(ISNUMBER(Panel_Inputs!L73),ISNUMBER(Panel_Inputs!O73)),IF(Panel_Inputs!O73&gt;0,100*Panel_Inputs!L73/Panel_Inputs!O73,""),"")</f>
        <v/>
      </c>
      <c r="K73" s="0" t="str">
        <f aca="false">IF(AND(ISNUMBER(Panel_Inputs!O73),ISNUMBER(Panel_Inputs!K73)),IF(Panel_Inputs!K73&gt;0,100*Panel_Inputs!O73/Panel_Inputs!K73,""),"")</f>
        <v/>
      </c>
      <c r="L73" s="0" t="str">
        <f aca="false">IF(AND(ISNUMBER(Panel_Inputs!R73),ISNUMBER(Panel_Inputs!K73)),IF(Panel_Inputs!K73&gt;0,100*Panel_Inputs!R73/Panel_Inputs!K73,""),"")</f>
        <v/>
      </c>
      <c r="M73" s="0" t="str">
        <f aca="false">IF(AND(ISNUMBER(Panel_Inputs!S73),ISNUMBER(Panel_Inputs!R73)),IF(Panel_Inputs!R73&gt;0,100*Panel_Inputs!S73/Panel_Inputs!R73,""),"")</f>
        <v/>
      </c>
      <c r="N73" s="0" t="n">
        <f aca="false">IF(AND(ISNUMBER(Panel_Inputs!E73),ISNUMBER(Panel_Inputs!F73)),IF(Panel_Inputs!F73&gt;0,100*Panel_Inputs!E73/Panel_Inputs!F73,""),"")</f>
        <v>1.71378510367025</v>
      </c>
      <c r="O73" s="0" t="n">
        <f aca="false">IF(AND(ISNUMBER(Panel_Inputs!G73),ISNUMBER(Panel_Inputs!F73)),IF(Panel_Inputs!F73&gt;0,100*Panel_Inputs!G73/Panel_Inputs!F73,""),"")</f>
        <v>87.9456982852315</v>
      </c>
      <c r="P73" s="0" t="n">
        <f aca="false">IF(ISNUMBER(Panel_Inputs!F73),IF(Panel_Inputs!F73&gt;0,LN(Panel_Inputs!F73),""),"")</f>
        <v>14.6651733340184</v>
      </c>
      <c r="Q73" s="0" t="n">
        <f aca="false">IF(AND(ISNUMBER(Panel_Inputs!F73),ISNUMBER(Panel_Inputs!G73),ISNUMBER(Panel_Inputs!H73)),Panel_Inputs!F73-Panel_Inputs!G73-Panel_Inputs!H73,"")</f>
        <v>0</v>
      </c>
      <c r="R73" s="0" t="str">
        <f aca="false">IF(AND(ISNUMBER(Panel_Inputs!K73),ISNUMBER(Panel_Inputs!L73),ISNUMBER(Panel_Inputs!M73)),Panel_Inputs!K73-Panel_Inputs!L73-Panel_Inputs!M73,"")</f>
        <v/>
      </c>
      <c r="S73" s="0" t="str">
        <f aca="false">IF(AND(ISNUMBER(Panel_Inputs!V73),Panel_Inputs!W73=1),Panel_Inputs!V73,"")</f>
        <v/>
      </c>
      <c r="T73" s="0" t="str">
        <f aca="false">IF(AND(ISNUMBER(Panel_Inputs!T73),ISNUMBER(Panel_Inputs!U73)),Panel_Inputs!T73-Panel_Inputs!U73,"")</f>
        <v/>
      </c>
    </row>
    <row r="74" customFormat="false" ht="15" hidden="false" customHeight="false" outlineLevel="0" collapsed="false">
      <c r="A74" s="0" t="str">
        <f aca="false">Panel_Inputs!A74</f>
        <v>UBA</v>
      </c>
      <c r="B74" s="0" t="n">
        <f aca="false">Panel_Inputs!B74</f>
        <v>2015</v>
      </c>
      <c r="C74" s="0" t="n">
        <f aca="false">IF(AND(ISNUMBER(Panel_Inputs!F74),ISNUMBER(Panel_Inputs!J74)),IF(AND(Panel_Inputs!F74&gt;0,Panel_Inputs!J74&gt;0),(Panel_Inputs!F74+Panel_Inputs!J74)/2,""),"")</f>
        <v>2277597.5</v>
      </c>
      <c r="D74" s="0" t="n">
        <f aca="false">IF(AND(ISNUMBER(Panel_Inputs!E74),ISNUMBER(C74)),IF(C74&gt;0,100*Panel_Inputs!E74/C74,""),"")</f>
        <v>2.09176555559092</v>
      </c>
      <c r="E74" s="0" t="n">
        <f aca="false">IF(AND(ISNUMBER(Panel_Inputs!H74),ISNUMBER(Panel_Inputs!F74)),IF(Panel_Inputs!F74&gt;0,100*Panel_Inputs!H74/Panel_Inputs!F74,""),"")</f>
        <v>15.260810968729</v>
      </c>
      <c r="F74" s="0" t="n">
        <f aca="false">IF(AND(ISNUMBER(Panel_Inputs!I74),ISNUMBER(C74)),IF(C74&gt;0,100*Panel_Inputs!I74/C74,""),"")</f>
        <v>2.56445662589637</v>
      </c>
      <c r="G74" s="0" t="n">
        <f aca="false">IF(AND(ISNUMBER(Panel_Inputs!L74),ISNUMBER(Panel_Inputs!K74)),IF(Panel_Inputs!K74&gt;0,100*Panel_Inputs!L74/Panel_Inputs!K74,""),"")</f>
        <v>1.56065843680488</v>
      </c>
      <c r="H74" s="0" t="n">
        <f aca="false">IF(AND(ISNUMBER(Panel_Inputs!P74),ISNUMBER(Panel_Inputs!Q74)),IF(Panel_Inputs!Q74&gt;0,100*Panel_Inputs!P74/Panel_Inputs!Q74,""),"")</f>
        <v>19.9517201656444</v>
      </c>
      <c r="I74" s="0" t="n">
        <f aca="false">IF(AND(ISNUMBER(Panel_Inputs!N74),ISNUMBER(C74)),IF(C74&gt;0,100*Panel_Inputs!N74/C74,""),"")</f>
        <v>0.153275545832835</v>
      </c>
      <c r="J74" s="0" t="str">
        <f aca="false">IF(AND(ISNUMBER(Panel_Inputs!L74),ISNUMBER(Panel_Inputs!O74)),IF(Panel_Inputs!O74&gt;0,100*Panel_Inputs!L74/Panel_Inputs!O74,""),"")</f>
        <v/>
      </c>
      <c r="K74" s="0" t="str">
        <f aca="false">IF(AND(ISNUMBER(Panel_Inputs!O74),ISNUMBER(Panel_Inputs!K74)),IF(Panel_Inputs!K74&gt;0,100*Panel_Inputs!O74/Panel_Inputs!K74,""),"")</f>
        <v/>
      </c>
      <c r="L74" s="0" t="str">
        <f aca="false">IF(AND(ISNUMBER(Panel_Inputs!R74),ISNUMBER(Panel_Inputs!K74)),IF(Panel_Inputs!K74&gt;0,100*Panel_Inputs!R74/Panel_Inputs!K74,""),"")</f>
        <v/>
      </c>
      <c r="M74" s="0" t="str">
        <f aca="false">IF(AND(ISNUMBER(Panel_Inputs!S74),ISNUMBER(Panel_Inputs!R74)),IF(Panel_Inputs!R74&gt;0,100*Panel_Inputs!S74/Panel_Inputs!R74,""),"")</f>
        <v/>
      </c>
      <c r="N74" s="0" t="n">
        <f aca="false">IF(AND(ISNUMBER(Panel_Inputs!E74),ISNUMBER(Panel_Inputs!F74)),IF(Panel_Inputs!F74&gt;0,100*Panel_Inputs!E74/Panel_Inputs!F74,""),"")</f>
        <v>2.1495828477348</v>
      </c>
      <c r="O74" s="0" t="n">
        <f aca="false">IF(AND(ISNUMBER(Panel_Inputs!G74),ISNUMBER(Panel_Inputs!F74)),IF(Panel_Inputs!F74&gt;0,100*Panel_Inputs!G74/Panel_Inputs!F74,""),"")</f>
        <v>84.739189031271</v>
      </c>
      <c r="P74" s="0" t="n">
        <f aca="false">IF(ISNUMBER(Panel_Inputs!F74),IF(Panel_Inputs!F74&gt;0,LN(Panel_Inputs!F74),""),"")</f>
        <v>14.6113663910992</v>
      </c>
      <c r="Q74" s="0" t="n">
        <f aca="false">IF(AND(ISNUMBER(Panel_Inputs!F74),ISNUMBER(Panel_Inputs!G74),ISNUMBER(Panel_Inputs!H74)),Panel_Inputs!F74-Panel_Inputs!G74-Panel_Inputs!H74,"")</f>
        <v>0</v>
      </c>
      <c r="R74" s="0" t="n">
        <f aca="false">IF(AND(ISNUMBER(Panel_Inputs!K74),ISNUMBER(Panel_Inputs!L74),ISNUMBER(Panel_Inputs!M74)),Panel_Inputs!K74-Panel_Inputs!L74-Panel_Inputs!M74,"")</f>
        <v>0</v>
      </c>
      <c r="S74" s="0" t="n">
        <f aca="false">IF(AND(ISNUMBER(Panel_Inputs!V74),Panel_Inputs!W74=1),Panel_Inputs!V74,"")</f>
        <v>52.57</v>
      </c>
      <c r="T74" s="0" t="str">
        <f aca="false">IF(AND(ISNUMBER(Panel_Inputs!T74),ISNUMBER(Panel_Inputs!U74)),Panel_Inputs!T74-Panel_Inputs!U74,"")</f>
        <v/>
      </c>
    </row>
    <row r="75" customFormat="false" ht="15" hidden="false" customHeight="false" outlineLevel="0" collapsed="false">
      <c r="A75" s="0" t="str">
        <f aca="false">Panel_Inputs!A75</f>
        <v>UBA</v>
      </c>
      <c r="B75" s="0" t="n">
        <f aca="false">Panel_Inputs!B75</f>
        <v>2016</v>
      </c>
      <c r="C75" s="0" t="n">
        <f aca="false">IF(AND(ISNUMBER(Panel_Inputs!F75),ISNUMBER(Panel_Inputs!J75)),IF(AND(Panel_Inputs!F75&gt;0,Panel_Inputs!J75&gt;0),(Panel_Inputs!F75+Panel_Inputs!J75)/2,""),"")</f>
        <v>2377961</v>
      </c>
      <c r="D75" s="0" t="n">
        <f aca="false">IF(AND(ISNUMBER(Panel_Inputs!E75),ISNUMBER(C75)),IF(C75&gt;0,100*Panel_Inputs!E75/C75,""),"")</f>
        <v>1.99923379735833</v>
      </c>
      <c r="E75" s="0" t="n">
        <f aca="false">IF(AND(ISNUMBER(Panel_Inputs!H75),ISNUMBER(Panel_Inputs!F75)),IF(Panel_Inputs!F75&gt;0,100*Panel_Inputs!H75/Panel_Inputs!F75,""),"")</f>
        <v>15.3922786597023</v>
      </c>
      <c r="F75" s="0" t="n">
        <f aca="false">IF(AND(ISNUMBER(Panel_Inputs!I75),ISNUMBER(C75)),IF(C75&gt;0,100*Panel_Inputs!I75/C75,""),"")</f>
        <v>-8.97373842548301</v>
      </c>
      <c r="G75" s="0" t="n">
        <f aca="false">IF(AND(ISNUMBER(Panel_Inputs!L75),ISNUMBER(Panel_Inputs!K75)),IF(Panel_Inputs!K75&gt;0,100*Panel_Inputs!L75/Panel_Inputs!K75,""),"")</f>
        <v>2.65521883838528</v>
      </c>
      <c r="H75" s="0" t="n">
        <f aca="false">IF(AND(ISNUMBER(Panel_Inputs!P75),ISNUMBER(Panel_Inputs!Q75)),IF(Panel_Inputs!Q75&gt;0,100*Panel_Inputs!P75/Panel_Inputs!Q75,""),"")</f>
        <v>19.7028908304746</v>
      </c>
      <c r="I75" s="0" t="n">
        <f aca="false">IF(AND(ISNUMBER(Panel_Inputs!N75),ISNUMBER(C75)),IF(C75&gt;0,100*Panel_Inputs!N75/C75,""),"")</f>
        <v>1.07323038519135</v>
      </c>
      <c r="J75" s="0" t="str">
        <f aca="false">IF(AND(ISNUMBER(Panel_Inputs!L75),ISNUMBER(Panel_Inputs!O75)),IF(Panel_Inputs!O75&gt;0,100*Panel_Inputs!L75/Panel_Inputs!O75,""),"")</f>
        <v/>
      </c>
      <c r="K75" s="0" t="str">
        <f aca="false">IF(AND(ISNUMBER(Panel_Inputs!O75),ISNUMBER(Panel_Inputs!K75)),IF(Panel_Inputs!K75&gt;0,100*Panel_Inputs!O75/Panel_Inputs!K75,""),"")</f>
        <v/>
      </c>
      <c r="L75" s="0" t="str">
        <f aca="false">IF(AND(ISNUMBER(Panel_Inputs!R75),ISNUMBER(Panel_Inputs!K75)),IF(Panel_Inputs!K75&gt;0,100*Panel_Inputs!R75/Panel_Inputs!K75,""),"")</f>
        <v/>
      </c>
      <c r="M75" s="0" t="str">
        <f aca="false">IF(AND(ISNUMBER(Panel_Inputs!S75),ISNUMBER(Panel_Inputs!R75)),IF(Panel_Inputs!R75&gt;0,100*Panel_Inputs!S75/Panel_Inputs!R75,""),"")</f>
        <v/>
      </c>
      <c r="N75" s="0" t="n">
        <f aca="false">IF(AND(ISNUMBER(Panel_Inputs!E75),ISNUMBER(Panel_Inputs!F75)),IF(Panel_Inputs!F75&gt;0,100*Panel_Inputs!E75/Panel_Inputs!F75,""),"")</f>
        <v>1.87199877145282</v>
      </c>
      <c r="O75" s="0" t="n">
        <f aca="false">IF(AND(ISNUMBER(Panel_Inputs!G75),ISNUMBER(Panel_Inputs!F75)),IF(Panel_Inputs!F75&gt;0,100*Panel_Inputs!G75/Panel_Inputs!F75,""),"")</f>
        <v>84.6077213402977</v>
      </c>
      <c r="P75" s="0" t="n">
        <f aca="false">IF(ISNUMBER(Panel_Inputs!F75),IF(Panel_Inputs!F75&gt;0,LN(Panel_Inputs!F75),""),"")</f>
        <v>14.747511239819</v>
      </c>
      <c r="Q75" s="0" t="n">
        <f aca="false">IF(AND(ISNUMBER(Panel_Inputs!F75),ISNUMBER(Panel_Inputs!G75),ISNUMBER(Panel_Inputs!H75)),Panel_Inputs!F75-Panel_Inputs!G75-Panel_Inputs!H75,"")</f>
        <v>0</v>
      </c>
      <c r="R75" s="0" t="n">
        <f aca="false">IF(AND(ISNUMBER(Panel_Inputs!K75),ISNUMBER(Panel_Inputs!L75),ISNUMBER(Panel_Inputs!M75)),Panel_Inputs!K75-Panel_Inputs!L75-Panel_Inputs!M75,"")</f>
        <v>0</v>
      </c>
      <c r="S75" s="0" t="n">
        <f aca="false">IF(AND(ISNUMBER(Panel_Inputs!V75),Panel_Inputs!W75=1),Panel_Inputs!V75,"")</f>
        <v>38.57</v>
      </c>
      <c r="T75" s="0" t="n">
        <f aca="false">IF(AND(ISNUMBER(Panel_Inputs!T75),ISNUMBER(Panel_Inputs!U75)),Panel_Inputs!T75-Panel_Inputs!U75,"")</f>
        <v>5</v>
      </c>
    </row>
    <row r="76" customFormat="false" ht="15" hidden="false" customHeight="false" outlineLevel="0" collapsed="false">
      <c r="A76" s="0" t="str">
        <f aca="false">Panel_Inputs!A76</f>
        <v>UBA</v>
      </c>
      <c r="B76" s="0" t="n">
        <f aca="false">Panel_Inputs!B76</f>
        <v>2017</v>
      </c>
      <c r="C76" s="0" t="n">
        <f aca="false">IF(AND(ISNUMBER(Panel_Inputs!F76),ISNUMBER(Panel_Inputs!J76)),IF(AND(Panel_Inputs!F76&gt;0,Panel_Inputs!J76&gt;0),(Panel_Inputs!F76+Panel_Inputs!J76)/2,""),"")</f>
        <v>2735705.5</v>
      </c>
      <c r="D76" s="0" t="n">
        <f aca="false">IF(AND(ISNUMBER(Panel_Inputs!E76),ISNUMBER(C76)),IF(C76&gt;0,100*Panel_Inputs!E76/C76,""),"")</f>
        <v>1.51317457233609</v>
      </c>
      <c r="E76" s="0" t="n">
        <f aca="false">IF(AND(ISNUMBER(Panel_Inputs!H76),ISNUMBER(Panel_Inputs!F76)),IF(Panel_Inputs!F76&gt;0,100*Panel_Inputs!H76/Panel_Inputs!F76,""),"")</f>
        <v>13.6727077254926</v>
      </c>
      <c r="F76" s="0" t="n">
        <f aca="false">IF(AND(ISNUMBER(Panel_Inputs!I76),ISNUMBER(C76)),IF(C76&gt;0,100*Panel_Inputs!I76/C76,""),"")</f>
        <v>2.16218448952199</v>
      </c>
      <c r="G76" s="0" t="n">
        <f aca="false">IF(AND(ISNUMBER(Panel_Inputs!L76),ISNUMBER(Panel_Inputs!K76)),IF(Panel_Inputs!K76&gt;0,100*Panel_Inputs!L76/Panel_Inputs!K76,""),"")</f>
        <v>2.5914418984645</v>
      </c>
      <c r="H76" s="0" t="n">
        <f aca="false">IF(AND(ISNUMBER(Panel_Inputs!P76),ISNUMBER(Panel_Inputs!Q76)),IF(Panel_Inputs!Q76&gt;0,100*Panel_Inputs!P76/Panel_Inputs!Q76,""),"")</f>
        <v>20.1588507351668</v>
      </c>
      <c r="I76" s="0" t="n">
        <f aca="false">IF(AND(ISNUMBER(Panel_Inputs!N76),ISNUMBER(C76)),IF(C76&gt;0,100*Panel_Inputs!N76/C76,""),"")</f>
        <v>1.11243699294387</v>
      </c>
      <c r="J76" s="0" t="str">
        <f aca="false">IF(AND(ISNUMBER(Panel_Inputs!L76),ISNUMBER(Panel_Inputs!O76)),IF(Panel_Inputs!O76&gt;0,100*Panel_Inputs!L76/Panel_Inputs!O76,""),"")</f>
        <v/>
      </c>
      <c r="K76" s="0" t="str">
        <f aca="false">IF(AND(ISNUMBER(Panel_Inputs!O76),ISNUMBER(Panel_Inputs!K76)),IF(Panel_Inputs!K76&gt;0,100*Panel_Inputs!O76/Panel_Inputs!K76,""),"")</f>
        <v/>
      </c>
      <c r="L76" s="0" t="str">
        <f aca="false">IF(AND(ISNUMBER(Panel_Inputs!R76),ISNUMBER(Panel_Inputs!K76)),IF(Panel_Inputs!K76&gt;0,100*Panel_Inputs!R76/Panel_Inputs!K76,""),"")</f>
        <v/>
      </c>
      <c r="M76" s="0" t="str">
        <f aca="false">IF(AND(ISNUMBER(Panel_Inputs!S76),ISNUMBER(Panel_Inputs!R76)),IF(Panel_Inputs!R76&gt;0,100*Panel_Inputs!S76/Panel_Inputs!R76,""),"")</f>
        <v/>
      </c>
      <c r="N76" s="0" t="n">
        <f aca="false">IF(AND(ISNUMBER(Panel_Inputs!E76),ISNUMBER(Panel_Inputs!F76)),IF(Panel_Inputs!F76&gt;0,100*Panel_Inputs!E76/Panel_Inputs!F76,""),"")</f>
        <v>1.41195282393976</v>
      </c>
      <c r="O76" s="0" t="n">
        <f aca="false">IF(AND(ISNUMBER(Panel_Inputs!G76),ISNUMBER(Panel_Inputs!F76)),IF(Panel_Inputs!F76&gt;0,100*Panel_Inputs!G76/Panel_Inputs!F76,""),"")</f>
        <v>86.3272922745074</v>
      </c>
      <c r="P76" s="0" t="n">
        <f aca="false">IF(ISNUMBER(Panel_Inputs!F76),IF(Panel_Inputs!F76&gt;0,LN(Panel_Inputs!F76),""),"")</f>
        <v>14.8911359950708</v>
      </c>
      <c r="Q76" s="0" t="n">
        <f aca="false">IF(AND(ISNUMBER(Panel_Inputs!F76),ISNUMBER(Panel_Inputs!G76),ISNUMBER(Panel_Inputs!H76)),Panel_Inputs!F76-Panel_Inputs!G76-Panel_Inputs!H76,"")</f>
        <v>0</v>
      </c>
      <c r="R76" s="0" t="n">
        <f aca="false">IF(AND(ISNUMBER(Panel_Inputs!K76),ISNUMBER(Panel_Inputs!L76),ISNUMBER(Panel_Inputs!M76)),Panel_Inputs!K76-Panel_Inputs!L76-Panel_Inputs!M76,"")</f>
        <v>0</v>
      </c>
      <c r="S76" s="0" t="n">
        <f aca="false">IF(AND(ISNUMBER(Panel_Inputs!V76),Panel_Inputs!W76=1),Panel_Inputs!V76,"")</f>
        <v>49.69</v>
      </c>
      <c r="T76" s="0" t="str">
        <f aca="false">IF(AND(ISNUMBER(Panel_Inputs!T76),ISNUMBER(Panel_Inputs!U76)),Panel_Inputs!T76-Panel_Inputs!U76,"")</f>
        <v/>
      </c>
    </row>
    <row r="77" customFormat="false" ht="15" hidden="false" customHeight="false" outlineLevel="0" collapsed="false">
      <c r="A77" s="0" t="str">
        <f aca="false">Panel_Inputs!A77</f>
        <v>UBA</v>
      </c>
      <c r="B77" s="0" t="n">
        <f aca="false">Panel_Inputs!B77</f>
        <v>2018</v>
      </c>
      <c r="C77" s="0" t="n">
        <f aca="false">IF(AND(ISNUMBER(Panel_Inputs!F77),ISNUMBER(Panel_Inputs!J77)),IF(AND(Panel_Inputs!F77&gt;0,Panel_Inputs!J77&gt;0),(Panel_Inputs!F77+Panel_Inputs!J77)/2,""),"")</f>
        <v>3261565.5</v>
      </c>
      <c r="D77" s="0" t="n">
        <f aca="false">IF(AND(ISNUMBER(Panel_Inputs!E77),ISNUMBER(C77)),IF(C77&gt;0,100*Panel_Inputs!E77/C77,""),"")</f>
        <v>1.25850607629986</v>
      </c>
      <c r="E77" s="0" t="n">
        <f aca="false">IF(AND(ISNUMBER(Panel_Inputs!H77),ISNUMBER(Panel_Inputs!F77)),IF(Panel_Inputs!F77&gt;0,100*Panel_Inputs!H77/Panel_Inputs!F77,""),"")</f>
        <v>10.1522427084305</v>
      </c>
      <c r="F77" s="0" t="n">
        <f aca="false">IF(AND(ISNUMBER(Panel_Inputs!I77),ISNUMBER(C77)),IF(C77&gt;0,100*Panel_Inputs!I77/C77,""),"")</f>
        <v>14.981333350503</v>
      </c>
      <c r="G77" s="0" t="n">
        <f aca="false">IF(AND(ISNUMBER(Panel_Inputs!L77),ISNUMBER(Panel_Inputs!K77)),IF(Panel_Inputs!K77&gt;0,100*Panel_Inputs!L77/Panel_Inputs!K77,""),"")</f>
        <v>4.73357130299377</v>
      </c>
      <c r="H77" s="0" t="n">
        <f aca="false">IF(AND(ISNUMBER(Panel_Inputs!P77),ISNUMBER(Panel_Inputs!Q77)),IF(Panel_Inputs!Q77&gt;0,100*Panel_Inputs!P77/Panel_Inputs!Q77,""),"")</f>
        <v>19.6620128489262</v>
      </c>
      <c r="I77" s="0" t="n">
        <f aca="false">IF(AND(ISNUMBER(Panel_Inputs!N77),ISNUMBER(C77)),IF(C77&gt;0,100*Panel_Inputs!N77/C77,""),"")</f>
        <v>0.130520144390784</v>
      </c>
      <c r="J77" s="0" t="str">
        <f aca="false">IF(AND(ISNUMBER(Panel_Inputs!L77),ISNUMBER(Panel_Inputs!O77)),IF(Panel_Inputs!O77&gt;0,100*Panel_Inputs!L77/Panel_Inputs!O77,""),"")</f>
        <v/>
      </c>
      <c r="K77" s="0" t="str">
        <f aca="false">IF(AND(ISNUMBER(Panel_Inputs!O77),ISNUMBER(Panel_Inputs!K77)),IF(Panel_Inputs!K77&gt;0,100*Panel_Inputs!O77/Panel_Inputs!K77,""),"")</f>
        <v/>
      </c>
      <c r="L77" s="0" t="str">
        <f aca="false">IF(AND(ISNUMBER(Panel_Inputs!R77),ISNUMBER(Panel_Inputs!K77)),IF(Panel_Inputs!K77&gt;0,100*Panel_Inputs!R77/Panel_Inputs!K77,""),"")</f>
        <v/>
      </c>
      <c r="M77" s="0" t="str">
        <f aca="false">IF(AND(ISNUMBER(Panel_Inputs!S77),ISNUMBER(Panel_Inputs!R77)),IF(Panel_Inputs!R77&gt;0,100*Panel_Inputs!S77/Panel_Inputs!R77,""),"")</f>
        <v/>
      </c>
      <c r="N77" s="0" t="n">
        <f aca="false">IF(AND(ISNUMBER(Panel_Inputs!E77),ISNUMBER(Panel_Inputs!F77)),IF(Panel_Inputs!F77&gt;0,100*Panel_Inputs!E77/Panel_Inputs!F77,""),"")</f>
        <v>1.14295499825272</v>
      </c>
      <c r="O77" s="0" t="n">
        <f aca="false">IF(AND(ISNUMBER(Panel_Inputs!G77),ISNUMBER(Panel_Inputs!F77)),IF(Panel_Inputs!F77&gt;0,100*Panel_Inputs!G77/Panel_Inputs!F77,""),"")</f>
        <v>89.8477572915695</v>
      </c>
      <c r="P77" s="0" t="n">
        <f aca="false">IF(ISNUMBER(Panel_Inputs!F77),IF(Panel_Inputs!F77&gt;0,LN(Panel_Inputs!F77),""),"")</f>
        <v>15.0940262041601</v>
      </c>
      <c r="Q77" s="0" t="n">
        <f aca="false">IF(AND(ISNUMBER(Panel_Inputs!F77),ISNUMBER(Panel_Inputs!G77),ISNUMBER(Panel_Inputs!H77)),Panel_Inputs!F77-Panel_Inputs!G77-Panel_Inputs!H77,"")</f>
        <v>0</v>
      </c>
      <c r="R77" s="0" t="n">
        <f aca="false">IF(AND(ISNUMBER(Panel_Inputs!K77),ISNUMBER(Panel_Inputs!L77),ISNUMBER(Panel_Inputs!M77)),Panel_Inputs!K77-Panel_Inputs!L77-Panel_Inputs!M77,"")</f>
        <v>0</v>
      </c>
      <c r="S77" s="0" t="n">
        <f aca="false">IF(AND(ISNUMBER(Panel_Inputs!V77),Panel_Inputs!W77=1),Panel_Inputs!V77,"")</f>
        <v>55.84</v>
      </c>
      <c r="T77" s="0" t="n">
        <f aca="false">IF(AND(ISNUMBER(Panel_Inputs!T77),ISNUMBER(Panel_Inputs!U77)),Panel_Inputs!T77-Panel_Inputs!U77,"")</f>
        <v>4</v>
      </c>
    </row>
    <row r="78" customFormat="false" ht="15" hidden="false" customHeight="false" outlineLevel="0" collapsed="false">
      <c r="A78" s="0" t="str">
        <f aca="false">Panel_Inputs!A78</f>
        <v>UBA</v>
      </c>
      <c r="B78" s="0" t="n">
        <f aca="false">Panel_Inputs!B78</f>
        <v>2019</v>
      </c>
      <c r="C78" s="0" t="n">
        <f aca="false">IF(AND(ISNUMBER(Panel_Inputs!F78),ISNUMBER(Panel_Inputs!J78)),IF(AND(Panel_Inputs!F78&gt;0,Panel_Inputs!J78&gt;0),(Panel_Inputs!F78+Panel_Inputs!J78)/2,""),"")</f>
        <v>3863899</v>
      </c>
      <c r="D78" s="0" t="n">
        <f aca="false">IF(AND(ISNUMBER(Panel_Inputs!E78),ISNUMBER(C78)),IF(C78&gt;0,100*Panel_Inputs!E78/C78,""),"")</f>
        <v>1.62400725277757</v>
      </c>
      <c r="E78" s="0" t="n">
        <f aca="false">IF(AND(ISNUMBER(Panel_Inputs!H78),ISNUMBER(Panel_Inputs!F78)),IF(Panel_Inputs!F78&gt;0,100*Panel_Inputs!H78/Panel_Inputs!F78,""),"")</f>
        <v>10.7946997613679</v>
      </c>
      <c r="F78" s="0" t="n">
        <f aca="false">IF(AND(ISNUMBER(Panel_Inputs!I78),ISNUMBER(C78)),IF(C78&gt;0,100*Panel_Inputs!I78/C78,""),"")</f>
        <v>-8.21587210224698</v>
      </c>
      <c r="G78" s="0" t="n">
        <f aca="false">IF(AND(ISNUMBER(Panel_Inputs!L78),ISNUMBER(Panel_Inputs!K78)),IF(Panel_Inputs!K78&gt;0,100*Panel_Inputs!L78/Panel_Inputs!K78,""),"")</f>
        <v>3.4659981841041</v>
      </c>
      <c r="H78" s="0" t="n">
        <f aca="false">IF(AND(ISNUMBER(Panel_Inputs!P78),ISNUMBER(Panel_Inputs!Q78)),IF(Panel_Inputs!Q78&gt;0,100*Panel_Inputs!P78/Panel_Inputs!Q78,""),"")</f>
        <v>21.5071023037408</v>
      </c>
      <c r="I78" s="0" t="n">
        <f aca="false">IF(AND(ISNUMBER(Panel_Inputs!N78),ISNUMBER(C78)),IF(C78&gt;0,100*Panel_Inputs!N78/C78,""),"")</f>
        <v>0.423639437780335</v>
      </c>
      <c r="J78" s="0" t="str">
        <f aca="false">IF(AND(ISNUMBER(Panel_Inputs!L78),ISNUMBER(Panel_Inputs!O78)),IF(Panel_Inputs!O78&gt;0,100*Panel_Inputs!L78/Panel_Inputs!O78,""),"")</f>
        <v/>
      </c>
      <c r="K78" s="0" t="str">
        <f aca="false">IF(AND(ISNUMBER(Panel_Inputs!O78),ISNUMBER(Panel_Inputs!K78)),IF(Panel_Inputs!K78&gt;0,100*Panel_Inputs!O78/Panel_Inputs!K78,""),"")</f>
        <v/>
      </c>
      <c r="L78" s="0" t="str">
        <f aca="false">IF(AND(ISNUMBER(Panel_Inputs!R78),ISNUMBER(Panel_Inputs!K78)),IF(Panel_Inputs!K78&gt;0,100*Panel_Inputs!R78/Panel_Inputs!K78,""),"")</f>
        <v/>
      </c>
      <c r="M78" s="0" t="str">
        <f aca="false">IF(AND(ISNUMBER(Panel_Inputs!S78),ISNUMBER(Panel_Inputs!R78)),IF(Panel_Inputs!R78&gt;0,100*Panel_Inputs!S78/Panel_Inputs!R78,""),"")</f>
        <v/>
      </c>
      <c r="N78" s="0" t="n">
        <f aca="false">IF(AND(ISNUMBER(Panel_Inputs!E78),ISNUMBER(Panel_Inputs!F78)),IF(Panel_Inputs!F78&gt;0,100*Panel_Inputs!E78/Panel_Inputs!F78,""),"")</f>
        <v>1.51698552372747</v>
      </c>
      <c r="O78" s="0" t="n">
        <f aca="false">IF(AND(ISNUMBER(Panel_Inputs!G78),ISNUMBER(Panel_Inputs!F78)),IF(Panel_Inputs!F78&gt;0,100*Panel_Inputs!G78/Panel_Inputs!F78,""),"")</f>
        <v>89.2053002386321</v>
      </c>
      <c r="P78" s="0" t="n">
        <f aca="false">IF(ISNUMBER(Panel_Inputs!F78),IF(Panel_Inputs!F78&gt;0,LN(Panel_Inputs!F78),""),"")</f>
        <v>15.235358885359</v>
      </c>
      <c r="Q78" s="0" t="n">
        <f aca="false">IF(AND(ISNUMBER(Panel_Inputs!F78),ISNUMBER(Panel_Inputs!G78),ISNUMBER(Panel_Inputs!H78)),Panel_Inputs!F78-Panel_Inputs!G78-Panel_Inputs!H78,"")</f>
        <v>0</v>
      </c>
      <c r="R78" s="0" t="n">
        <f aca="false">IF(AND(ISNUMBER(Panel_Inputs!K78),ISNUMBER(Panel_Inputs!L78),ISNUMBER(Panel_Inputs!M78)),Panel_Inputs!K78-Panel_Inputs!L78-Panel_Inputs!M78,"")</f>
        <v>0</v>
      </c>
      <c r="S78" s="0" t="n">
        <f aca="false">IF(AND(ISNUMBER(Panel_Inputs!V78),Panel_Inputs!W78=1),Panel_Inputs!V78,"")</f>
        <v>43.99</v>
      </c>
      <c r="T78" s="0" t="str">
        <f aca="false">IF(AND(ISNUMBER(Panel_Inputs!T78),ISNUMBER(Panel_Inputs!U78)),Panel_Inputs!T78-Panel_Inputs!U78,"")</f>
        <v/>
      </c>
    </row>
    <row r="79" customFormat="false" ht="15" hidden="false" customHeight="false" outlineLevel="0" collapsed="false">
      <c r="A79" s="0" t="str">
        <f aca="false">Panel_Inputs!A79</f>
        <v>UBA</v>
      </c>
      <c r="B79" s="0" t="n">
        <f aca="false">Panel_Inputs!B79</f>
        <v>2020</v>
      </c>
      <c r="C79" s="0" t="n">
        <f aca="false">IF(AND(ISNUMBER(Panel_Inputs!F79),ISNUMBER(Panel_Inputs!J79)),IF(AND(Panel_Inputs!F79&gt;0,Panel_Inputs!J79&gt;0),(Panel_Inputs!F79+Panel_Inputs!J79)/2,""),"")</f>
        <v>4672163</v>
      </c>
      <c r="D79" s="0" t="n">
        <f aca="false">IF(AND(ISNUMBER(Panel_Inputs!E79),ISNUMBER(C79)),IF(C79&gt;0,100*Panel_Inputs!E79/C79,""),"")</f>
        <v>1.21808678335923</v>
      </c>
      <c r="E79" s="0" t="n">
        <f aca="false">IF(AND(ISNUMBER(Panel_Inputs!H79),ISNUMBER(Panel_Inputs!F79)),IF(Panel_Inputs!F79&gt;0,100*Panel_Inputs!H79/Panel_Inputs!F79,""),"")</f>
        <v>9.17732961099175</v>
      </c>
      <c r="F79" s="0" t="n">
        <f aca="false">IF(AND(ISNUMBER(Panel_Inputs!I79),ISNUMBER(C79)),IF(C79&gt;0,100*Panel_Inputs!I79/C79,""),"")</f>
        <v>15.7339116807355</v>
      </c>
      <c r="G79" s="0" t="n">
        <f aca="false">IF(AND(ISNUMBER(Panel_Inputs!L79),ISNUMBER(Panel_Inputs!K79)),IF(Panel_Inputs!K79&gt;0,100*Panel_Inputs!L79/Panel_Inputs!K79,""),"")</f>
        <v>3.32409174454812</v>
      </c>
      <c r="H79" s="0" t="n">
        <f aca="false">IF(AND(ISNUMBER(Panel_Inputs!P79),ISNUMBER(Panel_Inputs!Q79)),IF(Panel_Inputs!Q79&gt;0,100*Panel_Inputs!P79/Panel_Inputs!Q79,""),"")</f>
        <v>19.6952147431671</v>
      </c>
      <c r="I79" s="0" t="n">
        <f aca="false">IF(AND(ISNUMBER(Panel_Inputs!N79),ISNUMBER(C79)),IF(C79&gt;0,100*Panel_Inputs!N79/C79,""),"")</f>
        <v>0.467963125430341</v>
      </c>
      <c r="J79" s="0" t="str">
        <f aca="false">IF(AND(ISNUMBER(Panel_Inputs!L79),ISNUMBER(Panel_Inputs!O79)),IF(Panel_Inputs!O79&gt;0,100*Panel_Inputs!L79/Panel_Inputs!O79,""),"")</f>
        <v/>
      </c>
      <c r="K79" s="0" t="str">
        <f aca="false">IF(AND(ISNUMBER(Panel_Inputs!O79),ISNUMBER(Panel_Inputs!K79)),IF(Panel_Inputs!K79&gt;0,100*Panel_Inputs!O79/Panel_Inputs!K79,""),"")</f>
        <v/>
      </c>
      <c r="L79" s="0" t="str">
        <f aca="false">IF(AND(ISNUMBER(Panel_Inputs!R79),ISNUMBER(Panel_Inputs!K79)),IF(Panel_Inputs!K79&gt;0,100*Panel_Inputs!R79/Panel_Inputs!K79,""),"")</f>
        <v/>
      </c>
      <c r="M79" s="0" t="str">
        <f aca="false">IF(AND(ISNUMBER(Panel_Inputs!S79),ISNUMBER(Panel_Inputs!R79)),IF(Panel_Inputs!R79&gt;0,100*Panel_Inputs!S79/Panel_Inputs!R79,""),"")</f>
        <v/>
      </c>
      <c r="N79" s="0" t="n">
        <f aca="false">IF(AND(ISNUMBER(Panel_Inputs!E79),ISNUMBER(Panel_Inputs!F79)),IF(Panel_Inputs!F79&gt;0,100*Panel_Inputs!E79/Panel_Inputs!F79,""),"")</f>
        <v>1.09279617837208</v>
      </c>
      <c r="O79" s="0" t="n">
        <f aca="false">IF(AND(ISNUMBER(Panel_Inputs!G79),ISNUMBER(Panel_Inputs!F79)),IF(Panel_Inputs!F79&gt;0,100*Panel_Inputs!G79/Panel_Inputs!F79,""),"")</f>
        <v>90.8226703890083</v>
      </c>
      <c r="P79" s="0" t="n">
        <f aca="false">IF(ISNUMBER(Panel_Inputs!F79),IF(Panel_Inputs!F79&gt;0,LN(Panel_Inputs!F79),""),"")</f>
        <v>15.4656743963042</v>
      </c>
      <c r="Q79" s="0" t="n">
        <f aca="false">IF(AND(ISNUMBER(Panel_Inputs!F79),ISNUMBER(Panel_Inputs!G79),ISNUMBER(Panel_Inputs!H79)),Panel_Inputs!F79-Panel_Inputs!G79-Panel_Inputs!H79,"")</f>
        <v>0</v>
      </c>
      <c r="R79" s="0" t="n">
        <f aca="false">IF(AND(ISNUMBER(Panel_Inputs!K79),ISNUMBER(Panel_Inputs!L79),ISNUMBER(Panel_Inputs!M79)),Panel_Inputs!K79-Panel_Inputs!L79-Panel_Inputs!M79,"")</f>
        <v>0</v>
      </c>
      <c r="S79" s="0" t="n">
        <f aca="false">IF(AND(ISNUMBER(Panel_Inputs!V79),Panel_Inputs!W79=1),Panel_Inputs!V79,"")</f>
        <v>44.3</v>
      </c>
      <c r="T79" s="0" t="n">
        <f aca="false">IF(AND(ISNUMBER(Panel_Inputs!T79),ISNUMBER(Panel_Inputs!U79)),Panel_Inputs!T79-Panel_Inputs!U79,"")</f>
        <v>5</v>
      </c>
    </row>
    <row r="80" customFormat="false" ht="15" hidden="false" customHeight="false" outlineLevel="0" collapsed="false">
      <c r="A80" s="0" t="str">
        <f aca="false">Panel_Inputs!A80</f>
        <v>UBA</v>
      </c>
      <c r="B80" s="0" t="n">
        <f aca="false">Panel_Inputs!B80</f>
        <v>2021</v>
      </c>
      <c r="C80" s="0" t="n">
        <f aca="false">IF(AND(ISNUMBER(Panel_Inputs!F80),ISNUMBER(Panel_Inputs!J80)),IF(AND(Panel_Inputs!F80&gt;0,Panel_Inputs!J80&gt;0),(Panel_Inputs!F80+Panel_Inputs!J80)/2,""),"")</f>
        <v>5391404.5</v>
      </c>
      <c r="D80" s="0" t="n">
        <f aca="false">IF(AND(ISNUMBER(Panel_Inputs!E80),ISNUMBER(C80)),IF(C80&gt;0,100*Panel_Inputs!E80/C80,""),"")</f>
        <v>1.08819510760137</v>
      </c>
      <c r="E80" s="0" t="n">
        <f aca="false">IF(AND(ISNUMBER(Panel_Inputs!H80),ISNUMBER(Panel_Inputs!F80)),IF(Panel_Inputs!F80&gt;0,100*Panel_Inputs!H80/Panel_Inputs!F80,""),"")</f>
        <v>8.99736608731589</v>
      </c>
      <c r="F80" s="0" t="n">
        <f aca="false">IF(AND(ISNUMBER(Panel_Inputs!I80),ISNUMBER(C80)),IF(C80&gt;0,100*Panel_Inputs!I80/C80,""),"")</f>
        <v>12.4572177806358</v>
      </c>
      <c r="G80" s="0" t="n">
        <f aca="false">IF(AND(ISNUMBER(Panel_Inputs!L80),ISNUMBER(Panel_Inputs!K80)),IF(Panel_Inputs!K80&gt;0,100*Panel_Inputs!L80/Panel_Inputs!K80,""),"")</f>
        <v>3.41281998617124</v>
      </c>
      <c r="H80" s="0" t="n">
        <f aca="false">IF(AND(ISNUMBER(Panel_Inputs!P80),ISNUMBER(Panel_Inputs!Q80)),IF(Panel_Inputs!Q80&gt;0,100*Panel_Inputs!P80/Panel_Inputs!Q80,""),"")</f>
        <v>21.8217914675852</v>
      </c>
      <c r="I80" s="0" t="n">
        <f aca="false">IF(AND(ISNUMBER(Panel_Inputs!N80),ISNUMBER(C80)),IF(C80&gt;0,100*Panel_Inputs!N80/C80,""),"")</f>
        <v>0.1808248666929</v>
      </c>
      <c r="J80" s="0" t="str">
        <f aca="false">IF(AND(ISNUMBER(Panel_Inputs!L80),ISNUMBER(Panel_Inputs!O80)),IF(Panel_Inputs!O80&gt;0,100*Panel_Inputs!L80/Panel_Inputs!O80,""),"")</f>
        <v/>
      </c>
      <c r="K80" s="0" t="str">
        <f aca="false">IF(AND(ISNUMBER(Panel_Inputs!O80),ISNUMBER(Panel_Inputs!K80)),IF(Panel_Inputs!K80&gt;0,100*Panel_Inputs!O80/Panel_Inputs!K80,""),"")</f>
        <v/>
      </c>
      <c r="L80" s="0" t="str">
        <f aca="false">IF(AND(ISNUMBER(Panel_Inputs!R80),ISNUMBER(Panel_Inputs!K80)),IF(Panel_Inputs!K80&gt;0,100*Panel_Inputs!R80/Panel_Inputs!K80,""),"")</f>
        <v/>
      </c>
      <c r="M80" s="0" t="str">
        <f aca="false">IF(AND(ISNUMBER(Panel_Inputs!S80),ISNUMBER(Panel_Inputs!R80)),IF(Panel_Inputs!R80&gt;0,100*Panel_Inputs!S80/Panel_Inputs!R80,""),"")</f>
        <v/>
      </c>
      <c r="N80" s="0" t="n">
        <f aca="false">IF(AND(ISNUMBER(Panel_Inputs!E80),ISNUMBER(Panel_Inputs!F80)),IF(Panel_Inputs!F80&gt;0,100*Panel_Inputs!E80/Panel_Inputs!F80,""),"")</f>
        <v>1.05236327474773</v>
      </c>
      <c r="O80" s="0" t="n">
        <f aca="false">IF(AND(ISNUMBER(Panel_Inputs!G80),ISNUMBER(Panel_Inputs!F80)),IF(Panel_Inputs!F80&gt;0,100*Panel_Inputs!G80/Panel_Inputs!F80,""),"")</f>
        <v>91.0026339126841</v>
      </c>
      <c r="P80" s="0" t="n">
        <f aca="false">IF(ISNUMBER(Panel_Inputs!F80),IF(Panel_Inputs!F80&gt;0,LN(Panel_Inputs!F80),""),"")</f>
        <v>15.5337985703685</v>
      </c>
      <c r="Q80" s="0" t="n">
        <f aca="false">IF(AND(ISNUMBER(Panel_Inputs!F80),ISNUMBER(Panel_Inputs!G80),ISNUMBER(Panel_Inputs!H80)),Panel_Inputs!F80-Panel_Inputs!G80-Panel_Inputs!H80,"")</f>
        <v>0</v>
      </c>
      <c r="R80" s="0" t="n">
        <f aca="false">IF(AND(ISNUMBER(Panel_Inputs!K80),ISNUMBER(Panel_Inputs!L80),ISNUMBER(Panel_Inputs!M80)),Panel_Inputs!K80-Panel_Inputs!L80-Panel_Inputs!M80,"")</f>
        <v>0</v>
      </c>
      <c r="S80" s="0" t="n">
        <f aca="false">IF(AND(ISNUMBER(Panel_Inputs!V80),Panel_Inputs!W80=1),Panel_Inputs!V80,"")</f>
        <v>47.56</v>
      </c>
      <c r="T80" s="0" t="str">
        <f aca="false">IF(AND(ISNUMBER(Panel_Inputs!T80),ISNUMBER(Panel_Inputs!U80)),Panel_Inputs!T80-Panel_Inputs!U80,"")</f>
        <v/>
      </c>
    </row>
    <row r="81" customFormat="false" ht="15" hidden="false" customHeight="false" outlineLevel="0" collapsed="false">
      <c r="A81" s="0" t="str">
        <f aca="false">Panel_Inputs!A81</f>
        <v>UBA</v>
      </c>
      <c r="B81" s="0" t="n">
        <f aca="false">Panel_Inputs!B81</f>
        <v>2022</v>
      </c>
      <c r="C81" s="0" t="n">
        <f aca="false">IF(AND(ISNUMBER(Panel_Inputs!F81),ISNUMBER(Panel_Inputs!J81)),IF(AND(Panel_Inputs!F81&gt;0,Panel_Inputs!J81&gt;0),(Panel_Inputs!F81+Panel_Inputs!J81)/2,""),"")</f>
        <v>6468010</v>
      </c>
      <c r="D81" s="0" t="n">
        <f aca="false">IF(AND(ISNUMBER(Panel_Inputs!E81),ISNUMBER(C81)),IF(C81&gt;0,100*Panel_Inputs!E81/C81,""),"")</f>
        <v>2.06703452839436</v>
      </c>
      <c r="E81" s="0" t="n">
        <f aca="false">IF(AND(ISNUMBER(Panel_Inputs!H81),ISNUMBER(Panel_Inputs!F81)),IF(Panel_Inputs!F81&gt;0,100*Panel_Inputs!H81/Panel_Inputs!F81,""),"")</f>
        <v>7.94986417687491</v>
      </c>
      <c r="F81" s="0" t="n">
        <f aca="false">IF(AND(ISNUMBER(Panel_Inputs!I81),ISNUMBER(C81)),IF(C81&gt;0,100*Panel_Inputs!I81/C81,""),"")</f>
        <v>16.4382553521098</v>
      </c>
      <c r="G81" s="0" t="n">
        <f aca="false">IF(AND(ISNUMBER(Panel_Inputs!L81),ISNUMBER(Panel_Inputs!K81)),IF(Panel_Inputs!K81&gt;0,100*Panel_Inputs!L81/Panel_Inputs!K81,""),"")</f>
        <v>2.37642537471624</v>
      </c>
      <c r="H81" s="0" t="n">
        <f aca="false">IF(AND(ISNUMBER(Panel_Inputs!P81),ISNUMBER(Panel_Inputs!Q81)),IF(Panel_Inputs!Q81&gt;0,100*Panel_Inputs!P81/Panel_Inputs!Q81,""),"")</f>
        <v>21.8530631072842</v>
      </c>
      <c r="I81" s="0" t="n">
        <f aca="false">IF(AND(ISNUMBER(Panel_Inputs!N81),ISNUMBER(C81)),IF(C81&gt;0,100*Panel_Inputs!N81/C81,""),"")</f>
        <v>0.163342357231977</v>
      </c>
      <c r="J81" s="0" t="str">
        <f aca="false">IF(AND(ISNUMBER(Panel_Inputs!L81),ISNUMBER(Panel_Inputs!O81)),IF(Panel_Inputs!O81&gt;0,100*Panel_Inputs!L81/Panel_Inputs!O81,""),"")</f>
        <v/>
      </c>
      <c r="K81" s="0" t="str">
        <f aca="false">IF(AND(ISNUMBER(Panel_Inputs!O81),ISNUMBER(Panel_Inputs!K81)),IF(Panel_Inputs!K81&gt;0,100*Panel_Inputs!O81/Panel_Inputs!K81,""),"")</f>
        <v/>
      </c>
      <c r="L81" s="0" t="str">
        <f aca="false">IF(AND(ISNUMBER(Panel_Inputs!R81),ISNUMBER(Panel_Inputs!K81)),IF(Panel_Inputs!K81&gt;0,100*Panel_Inputs!R81/Panel_Inputs!K81,""),"")</f>
        <v/>
      </c>
      <c r="M81" s="0" t="str">
        <f aca="false">IF(AND(ISNUMBER(Panel_Inputs!S81),ISNUMBER(Panel_Inputs!R81)),IF(Panel_Inputs!R81&gt;0,100*Panel_Inputs!S81/Panel_Inputs!R81,""),"")</f>
        <v/>
      </c>
      <c r="N81" s="0" t="n">
        <f aca="false">IF(AND(ISNUMBER(Panel_Inputs!E81),ISNUMBER(Panel_Inputs!F81)),IF(Panel_Inputs!F81&gt;0,100*Panel_Inputs!E81/Panel_Inputs!F81,""),"")</f>
        <v>1.8162641060154</v>
      </c>
      <c r="O81" s="0" t="n">
        <f aca="false">IF(AND(ISNUMBER(Panel_Inputs!G81),ISNUMBER(Panel_Inputs!F81)),IF(Panel_Inputs!F81&gt;0,100*Panel_Inputs!G81/Panel_Inputs!F81,""),"")</f>
        <v>92.0501358231251</v>
      </c>
      <c r="P81" s="0" t="n">
        <f aca="false">IF(ISNUMBER(Panel_Inputs!F81),IF(Panel_Inputs!F81&gt;0,LN(Panel_Inputs!F81),""),"")</f>
        <v>15.8117123284717</v>
      </c>
      <c r="Q81" s="0" t="n">
        <f aca="false">IF(AND(ISNUMBER(Panel_Inputs!F81),ISNUMBER(Panel_Inputs!G81),ISNUMBER(Panel_Inputs!H81)),Panel_Inputs!F81-Panel_Inputs!G81-Panel_Inputs!H81,"")</f>
        <v>0</v>
      </c>
      <c r="R81" s="0" t="n">
        <f aca="false">IF(AND(ISNUMBER(Panel_Inputs!K81),ISNUMBER(Panel_Inputs!L81),ISNUMBER(Panel_Inputs!M81)),Panel_Inputs!K81-Panel_Inputs!L81-Panel_Inputs!M81,"")</f>
        <v>0</v>
      </c>
      <c r="S81" s="0" t="str">
        <f aca="false">IF(AND(ISNUMBER(Panel_Inputs!V81),Panel_Inputs!W81=1),Panel_Inputs!V81,"")</f>
        <v/>
      </c>
      <c r="T81" s="0" t="n">
        <f aca="false">IF(AND(ISNUMBER(Panel_Inputs!T81),ISNUMBER(Panel_Inputs!U81)),Panel_Inputs!T81-Panel_Inputs!U81,"")</f>
        <v>4.9</v>
      </c>
    </row>
    <row r="82" customFormat="false" ht="15" hidden="false" customHeight="false" outlineLevel="0" collapsed="false">
      <c r="A82" s="0" t="str">
        <f aca="false">Panel_Inputs!A82</f>
        <v>Union</v>
      </c>
      <c r="B82" s="0" t="n">
        <f aca="false">Panel_Inputs!B82</f>
        <v>2013</v>
      </c>
      <c r="C82" s="0" t="str">
        <f aca="false">IF(AND(ISNUMBER(Panel_Inputs!F82),ISNUMBER(Panel_Inputs!J82)),IF(AND(Panel_Inputs!F82&gt;0,Panel_Inputs!J82&gt;0),(Panel_Inputs!F82+Panel_Inputs!J82)/2,""),"")</f>
        <v/>
      </c>
      <c r="D82" s="0" t="str">
        <f aca="false">IF(AND(ISNUMBER(Panel_Inputs!E82),ISNUMBER(C82)),IF(C82&gt;0,100*Panel_Inputs!E82/C82,""),"")</f>
        <v/>
      </c>
      <c r="E82" s="0" t="n">
        <f aca="false">IF(AND(ISNUMBER(Panel_Inputs!H82),ISNUMBER(Panel_Inputs!F82)),IF(Panel_Inputs!F82&gt;0,100*Panel_Inputs!H82/Panel_Inputs!F82,""),"")</f>
        <v>21.2883617107869</v>
      </c>
      <c r="F82" s="0" t="str">
        <f aca="false">IF(AND(ISNUMBER(Panel_Inputs!I82),ISNUMBER(C82)),IF(C82&gt;0,100*Panel_Inputs!I82/C82,""),"")</f>
        <v/>
      </c>
      <c r="G82" s="0" t="n">
        <f aca="false">IF(AND(ISNUMBER(Panel_Inputs!L82),ISNUMBER(Panel_Inputs!K82)),IF(Panel_Inputs!K82&gt;0,100*Panel_Inputs!L82/Panel_Inputs!K82,""),"")</f>
        <v>8.92943828016644</v>
      </c>
      <c r="H82" s="0" t="str">
        <f aca="false">IF(AND(ISNUMBER(Panel_Inputs!P82),ISNUMBER(Panel_Inputs!Q82)),IF(Panel_Inputs!Q82&gt;0,100*Panel_Inputs!P82/Panel_Inputs!Q82,""),"")</f>
        <v/>
      </c>
      <c r="I82" s="0" t="str">
        <f aca="false">IF(AND(ISNUMBER(Panel_Inputs!N82),ISNUMBER(C82)),IF(C82&gt;0,100*Panel_Inputs!N82/C82,""),"")</f>
        <v/>
      </c>
      <c r="J82" s="0" t="n">
        <f aca="false">IF(AND(ISNUMBER(Panel_Inputs!L82),ISNUMBER(Panel_Inputs!O82)),IF(Panel_Inputs!O82&gt;0,100*Panel_Inputs!L82/Panel_Inputs!O82,""),"")</f>
        <v>150.996775139255</v>
      </c>
      <c r="K82" s="0" t="n">
        <f aca="false">IF(AND(ISNUMBER(Panel_Inputs!O82),ISNUMBER(Panel_Inputs!K82)),IF(Panel_Inputs!K82&gt;0,100*Panel_Inputs!O82/Panel_Inputs!K82,""),"")</f>
        <v>5.91366158113731</v>
      </c>
      <c r="L82" s="0" t="str">
        <f aca="false">IF(AND(ISNUMBER(Panel_Inputs!R82),ISNUMBER(Panel_Inputs!K82)),IF(Panel_Inputs!K82&gt;0,100*Panel_Inputs!R82/Panel_Inputs!K82,""),"")</f>
        <v/>
      </c>
      <c r="M82" s="0" t="str">
        <f aca="false">IF(AND(ISNUMBER(Panel_Inputs!S82),ISNUMBER(Panel_Inputs!R82)),IF(Panel_Inputs!R82&gt;0,100*Panel_Inputs!S82/Panel_Inputs!R82,""),"")</f>
        <v/>
      </c>
      <c r="N82" s="0" t="n">
        <f aca="false">IF(AND(ISNUMBER(Panel_Inputs!E82),ISNUMBER(Panel_Inputs!F82)),IF(Panel_Inputs!F82&gt;0,100*Panel_Inputs!E82/Panel_Inputs!F82,""),"")</f>
        <v>0.580548397738571</v>
      </c>
      <c r="O82" s="0" t="n">
        <f aca="false">IF(AND(ISNUMBER(Panel_Inputs!G82),ISNUMBER(Panel_Inputs!F82)),IF(Panel_Inputs!F82&gt;0,100*Panel_Inputs!G82/Panel_Inputs!F82,""),"")</f>
        <v>78.7116382892131</v>
      </c>
      <c r="P82" s="0" t="n">
        <f aca="false">IF(ISNUMBER(Panel_Inputs!F82),IF(Panel_Inputs!F82&gt;0,LN(Panel_Inputs!F82),""),"")</f>
        <v>13.6900573062661</v>
      </c>
      <c r="Q82" s="0" t="n">
        <f aca="false">IF(AND(ISNUMBER(Panel_Inputs!F82),ISNUMBER(Panel_Inputs!G82),ISNUMBER(Panel_Inputs!H82)),Panel_Inputs!F82-Panel_Inputs!G82-Panel_Inputs!H82,"")</f>
        <v>0</v>
      </c>
      <c r="R82" s="0" t="str">
        <f aca="false">IF(AND(ISNUMBER(Panel_Inputs!K82),ISNUMBER(Panel_Inputs!L82),ISNUMBER(Panel_Inputs!M82)),Panel_Inputs!K82-Panel_Inputs!L82-Panel_Inputs!M82,"")</f>
        <v/>
      </c>
      <c r="S82" s="0" t="str">
        <f aca="false">IF(AND(ISNUMBER(Panel_Inputs!V82),Panel_Inputs!W82=1),Panel_Inputs!V82,"")</f>
        <v/>
      </c>
      <c r="T82" s="0" t="str">
        <f aca="false">IF(AND(ISNUMBER(Panel_Inputs!T82),ISNUMBER(Panel_Inputs!U82)),Panel_Inputs!T82-Panel_Inputs!U82,"")</f>
        <v/>
      </c>
    </row>
    <row r="83" customFormat="false" ht="15" hidden="false" customHeight="false" outlineLevel="0" collapsed="false">
      <c r="A83" s="0" t="str">
        <f aca="false">Panel_Inputs!A83</f>
        <v>Union</v>
      </c>
      <c r="B83" s="0" t="n">
        <f aca="false">Panel_Inputs!B83</f>
        <v>2014</v>
      </c>
      <c r="C83" s="0" t="n">
        <f aca="false">IF(AND(ISNUMBER(Panel_Inputs!F83),ISNUMBER(Panel_Inputs!J83)),IF(AND(Panel_Inputs!F83&gt;0,Panel_Inputs!J83&gt;0),(Panel_Inputs!F83+Panel_Inputs!J83)/2,""),"")</f>
        <v>901516.5</v>
      </c>
      <c r="D83" s="0" t="n">
        <f aca="false">IF(AND(ISNUMBER(Panel_Inputs!E83),ISNUMBER(C83)),IF(C83&gt;0,100*Panel_Inputs!E83/C83,""),"")</f>
        <v>2.27239323961347</v>
      </c>
      <c r="E83" s="0" t="n">
        <f aca="false">IF(AND(ISNUMBER(Panel_Inputs!H83),ISNUMBER(Panel_Inputs!F83)),IF(Panel_Inputs!F83&gt;0,100*Panel_Inputs!H83/Panel_Inputs!F83,""),"")</f>
        <v>22.3657235681958</v>
      </c>
      <c r="F83" s="0" t="n">
        <f aca="false">IF(AND(ISNUMBER(Panel_Inputs!I83),ISNUMBER(C83)),IF(C83&gt;0,100*Panel_Inputs!I83/C83,""),"")</f>
        <v>-13.5279831262101</v>
      </c>
      <c r="G83" s="0" t="n">
        <f aca="false">IF(AND(ISNUMBER(Panel_Inputs!L83),ISNUMBER(Panel_Inputs!K83)),IF(Panel_Inputs!K83&gt;0,100*Panel_Inputs!L83/Panel_Inputs!K83,""),"")</f>
        <v>7.17609931603571</v>
      </c>
      <c r="H83" s="0" t="str">
        <f aca="false">IF(AND(ISNUMBER(Panel_Inputs!P83),ISNUMBER(Panel_Inputs!Q83)),IF(Panel_Inputs!Q83&gt;0,100*Panel_Inputs!P83/Panel_Inputs!Q83,""),"")</f>
        <v/>
      </c>
      <c r="I83" s="0" t="str">
        <f aca="false">IF(AND(ISNUMBER(Panel_Inputs!N83),ISNUMBER(C83)),IF(C83&gt;0,100*Panel_Inputs!N83/C83,""),"")</f>
        <v/>
      </c>
      <c r="J83" s="0" t="n">
        <f aca="false">IF(AND(ISNUMBER(Panel_Inputs!L83),ISNUMBER(Panel_Inputs!O83)),IF(Panel_Inputs!O83&gt;0,100*Panel_Inputs!L83/Panel_Inputs!O83,""),"")</f>
        <v>139.508235855813</v>
      </c>
      <c r="K83" s="0" t="n">
        <f aca="false">IF(AND(ISNUMBER(Panel_Inputs!O83),ISNUMBER(Panel_Inputs!K83)),IF(Panel_Inputs!K83&gt;0,100*Panel_Inputs!O83/Panel_Inputs!K83,""),"")</f>
        <v>5.14385353095031</v>
      </c>
      <c r="L83" s="0" t="str">
        <f aca="false">IF(AND(ISNUMBER(Panel_Inputs!R83),ISNUMBER(Panel_Inputs!K83)),IF(Panel_Inputs!K83&gt;0,100*Panel_Inputs!R83/Panel_Inputs!K83,""),"")</f>
        <v/>
      </c>
      <c r="M83" s="0" t="str">
        <f aca="false">IF(AND(ISNUMBER(Panel_Inputs!S83),ISNUMBER(Panel_Inputs!R83)),IF(Panel_Inputs!R83&gt;0,100*Panel_Inputs!S83/Panel_Inputs!R83,""),"")</f>
        <v/>
      </c>
      <c r="N83" s="0" t="n">
        <f aca="false">IF(AND(ISNUMBER(Panel_Inputs!E83),ISNUMBER(Panel_Inputs!F83)),IF(Panel_Inputs!F83&gt;0,100*Panel_Inputs!E83/Panel_Inputs!F83,""),"")</f>
        <v>2.22447596792828</v>
      </c>
      <c r="O83" s="0" t="n">
        <f aca="false">IF(AND(ISNUMBER(Panel_Inputs!G83),ISNUMBER(Panel_Inputs!F83)),IF(Panel_Inputs!F83&gt;0,100*Panel_Inputs!G83/Panel_Inputs!F83,""),"")</f>
        <v>77.6342764318042</v>
      </c>
      <c r="P83" s="0" t="n">
        <f aca="false">IF(ISNUMBER(Panel_Inputs!F83),IF(Panel_Inputs!F83&gt;0,LN(Panel_Inputs!F83),""),"")</f>
        <v>13.7331458231378</v>
      </c>
      <c r="Q83" s="0" t="n">
        <f aca="false">IF(AND(ISNUMBER(Panel_Inputs!F83),ISNUMBER(Panel_Inputs!G83),ISNUMBER(Panel_Inputs!H83)),Panel_Inputs!F83-Panel_Inputs!G83-Panel_Inputs!H83,"")</f>
        <v>0</v>
      </c>
      <c r="R83" s="0" t="str">
        <f aca="false">IF(AND(ISNUMBER(Panel_Inputs!K83),ISNUMBER(Panel_Inputs!L83),ISNUMBER(Panel_Inputs!M83)),Panel_Inputs!K83-Panel_Inputs!L83-Panel_Inputs!M83,"")</f>
        <v/>
      </c>
      <c r="S83" s="0" t="str">
        <f aca="false">IF(AND(ISNUMBER(Panel_Inputs!V83),Panel_Inputs!W83=1),Panel_Inputs!V83,"")</f>
        <v/>
      </c>
      <c r="T83" s="0" t="str">
        <f aca="false">IF(AND(ISNUMBER(Panel_Inputs!T83),ISNUMBER(Panel_Inputs!U83)),Panel_Inputs!T83-Panel_Inputs!U83,"")</f>
        <v/>
      </c>
    </row>
    <row r="84" customFormat="false" ht="15" hidden="false" customHeight="false" outlineLevel="0" collapsed="false">
      <c r="A84" s="0" t="str">
        <f aca="false">Panel_Inputs!A84</f>
        <v>Union</v>
      </c>
      <c r="B84" s="0" t="n">
        <f aca="false">Panel_Inputs!B84</f>
        <v>2015</v>
      </c>
      <c r="C84" s="0" t="n">
        <f aca="false">IF(AND(ISNUMBER(Panel_Inputs!F84),ISNUMBER(Panel_Inputs!J84)),IF(AND(Panel_Inputs!F84&gt;0,Panel_Inputs!J84&gt;0),(Panel_Inputs!F84+Panel_Inputs!J84)/2,""),"")</f>
        <v>961865.5</v>
      </c>
      <c r="D84" s="0" t="n">
        <f aca="false">IF(AND(ISNUMBER(Panel_Inputs!E84),ISNUMBER(C84)),IF(C84&gt;0,100*Panel_Inputs!E84/C84,""),"")</f>
        <v>1.87500227422649</v>
      </c>
      <c r="E84" s="0" t="n">
        <f aca="false">IF(AND(ISNUMBER(Panel_Inputs!H84),ISNUMBER(Panel_Inputs!F84)),IF(Panel_Inputs!F84&gt;0,100*Panel_Inputs!H84/Panel_Inputs!F84,""),"")</f>
        <v>23.3279319384281</v>
      </c>
      <c r="F84" s="0" t="n">
        <f aca="false">IF(AND(ISNUMBER(Panel_Inputs!I84),ISNUMBER(C84)),IF(C84&gt;0,100*Panel_Inputs!I84/C84,""),"")</f>
        <v>1.1410119190261</v>
      </c>
      <c r="G84" s="0" t="n">
        <f aca="false">IF(AND(ISNUMBER(Panel_Inputs!L84),ISNUMBER(Panel_Inputs!K84)),IF(Panel_Inputs!K84&gt;0,100*Panel_Inputs!L84/Panel_Inputs!K84,""),"")</f>
        <v>5.92129915433119</v>
      </c>
      <c r="H84" s="0" t="n">
        <f aca="false">IF(AND(ISNUMBER(Panel_Inputs!P84),ISNUMBER(Panel_Inputs!Q84)),IF(Panel_Inputs!Q84&gt;0,100*Panel_Inputs!P84/Panel_Inputs!Q84,""),"")</f>
        <v>15.9480183484677</v>
      </c>
      <c r="I84" s="0" t="n">
        <f aca="false">IF(AND(ISNUMBER(Panel_Inputs!N84),ISNUMBER(C84)),IF(C84&gt;0,100*Panel_Inputs!N84/C84,""),"")</f>
        <v>0.954083497120959</v>
      </c>
      <c r="J84" s="0" t="str">
        <f aca="false">IF(AND(ISNUMBER(Panel_Inputs!L84),ISNUMBER(Panel_Inputs!O84)),IF(Panel_Inputs!O84&gt;0,100*Panel_Inputs!L84/Panel_Inputs!O84,""),"")</f>
        <v/>
      </c>
      <c r="K84" s="0" t="str">
        <f aca="false">IF(AND(ISNUMBER(Panel_Inputs!O84),ISNUMBER(Panel_Inputs!K84)),IF(Panel_Inputs!K84&gt;0,100*Panel_Inputs!O84/Panel_Inputs!K84,""),"")</f>
        <v/>
      </c>
      <c r="L84" s="0" t="str">
        <f aca="false">IF(AND(ISNUMBER(Panel_Inputs!R84),ISNUMBER(Panel_Inputs!K84)),IF(Panel_Inputs!K84&gt;0,100*Panel_Inputs!R84/Panel_Inputs!K84,""),"")</f>
        <v/>
      </c>
      <c r="M84" s="0" t="str">
        <f aca="false">IF(AND(ISNUMBER(Panel_Inputs!S84),ISNUMBER(Panel_Inputs!R84)),IF(Panel_Inputs!R84&gt;0,100*Panel_Inputs!S84/Panel_Inputs!R84,""),"")</f>
        <v/>
      </c>
      <c r="N84" s="0" t="n">
        <f aca="false">IF(AND(ISNUMBER(Panel_Inputs!E84),ISNUMBER(Panel_Inputs!F84)),IF(Panel_Inputs!F84&gt;0,100*Panel_Inputs!E84/Panel_Inputs!F84,""),"")</f>
        <v>1.80174150029571</v>
      </c>
      <c r="O84" s="0" t="n">
        <f aca="false">IF(AND(ISNUMBER(Panel_Inputs!G84),ISNUMBER(Panel_Inputs!F84)),IF(Panel_Inputs!F84&gt;0,100*Panel_Inputs!G84/Panel_Inputs!F84,""),"")</f>
        <v>76.6720680615719</v>
      </c>
      <c r="P84" s="0" t="n">
        <f aca="false">IF(ISNUMBER(Panel_Inputs!F84),IF(Panel_Inputs!F84&gt;0,LN(Panel_Inputs!F84),""),"")</f>
        <v>13.816486081986</v>
      </c>
      <c r="Q84" s="0" t="n">
        <f aca="false">IF(AND(ISNUMBER(Panel_Inputs!F84),ISNUMBER(Panel_Inputs!G84),ISNUMBER(Panel_Inputs!H84)),Panel_Inputs!F84-Panel_Inputs!G84-Panel_Inputs!H84,"")</f>
        <v>0</v>
      </c>
      <c r="R84" s="0" t="n">
        <f aca="false">IF(AND(ISNUMBER(Panel_Inputs!K84),ISNUMBER(Panel_Inputs!L84),ISNUMBER(Panel_Inputs!M84)),Panel_Inputs!K84-Panel_Inputs!L84-Panel_Inputs!M84,"")</f>
        <v>0</v>
      </c>
      <c r="S84" s="0" t="str">
        <f aca="false">IF(AND(ISNUMBER(Panel_Inputs!V84),Panel_Inputs!W84=1),Panel_Inputs!V84,"")</f>
        <v/>
      </c>
      <c r="T84" s="0" t="str">
        <f aca="false">IF(AND(ISNUMBER(Panel_Inputs!T84),ISNUMBER(Panel_Inputs!U84)),Panel_Inputs!T84-Panel_Inputs!U84,"")</f>
        <v/>
      </c>
    </row>
    <row r="85" customFormat="false" ht="15" hidden="false" customHeight="false" outlineLevel="0" collapsed="false">
      <c r="A85" s="0" t="str">
        <f aca="false">Panel_Inputs!A85</f>
        <v>Union</v>
      </c>
      <c r="B85" s="0" t="n">
        <f aca="false">Panel_Inputs!B85</f>
        <v>2016</v>
      </c>
      <c r="C85" s="0" t="n">
        <f aca="false">IF(AND(ISNUMBER(Panel_Inputs!F85),ISNUMBER(Panel_Inputs!J85)),IF(AND(Panel_Inputs!F85&gt;0,Panel_Inputs!J85&gt;0),(Panel_Inputs!F85+Panel_Inputs!J85)/2,""),"")</f>
        <v>1062229.5</v>
      </c>
      <c r="D85" s="0" t="n">
        <f aca="false">IF(AND(ISNUMBER(Panel_Inputs!E85),ISNUMBER(C85)),IF(C85&gt;0,100*Panel_Inputs!E85/C85,""),"")</f>
        <v>1.49543954484412</v>
      </c>
      <c r="E85" s="0" t="n">
        <f aca="false">IF(AND(ISNUMBER(Panel_Inputs!H85),ISNUMBER(Panel_Inputs!F85)),IF(Panel_Inputs!F85&gt;0,100*Panel_Inputs!H85/Panel_Inputs!F85,""),"")</f>
        <v>22.3714110493884</v>
      </c>
      <c r="F85" s="0" t="n">
        <f aca="false">IF(AND(ISNUMBER(Panel_Inputs!I85),ISNUMBER(C85)),IF(C85&gt;0,100*Panel_Inputs!I85/C85,""),"")</f>
        <v>-6.60243384315725</v>
      </c>
      <c r="G85" s="0" t="n">
        <f aca="false">IF(AND(ISNUMBER(Panel_Inputs!L85),ISNUMBER(Panel_Inputs!K85)),IF(Panel_Inputs!K85&gt;0,100*Panel_Inputs!L85/Panel_Inputs!K85,""),"")</f>
        <v>5.49031636985892</v>
      </c>
      <c r="H85" s="0" t="n">
        <f aca="false">IF(AND(ISNUMBER(Panel_Inputs!P85),ISNUMBER(Panel_Inputs!Q85)),IF(Panel_Inputs!Q85&gt;0,100*Panel_Inputs!P85/Panel_Inputs!Q85,""),"")</f>
        <v>13.290232660834</v>
      </c>
      <c r="I85" s="0" t="n">
        <f aca="false">IF(AND(ISNUMBER(Panel_Inputs!N85),ISNUMBER(C85)),IF(C85&gt;0,100*Panel_Inputs!N85/C85,""),"")</f>
        <v>1.48451911757299</v>
      </c>
      <c r="J85" s="0" t="str">
        <f aca="false">IF(AND(ISNUMBER(Panel_Inputs!L85),ISNUMBER(Panel_Inputs!O85)),IF(Panel_Inputs!O85&gt;0,100*Panel_Inputs!L85/Panel_Inputs!O85,""),"")</f>
        <v/>
      </c>
      <c r="K85" s="0" t="str">
        <f aca="false">IF(AND(ISNUMBER(Panel_Inputs!O85),ISNUMBER(Panel_Inputs!K85)),IF(Panel_Inputs!K85&gt;0,100*Panel_Inputs!O85/Panel_Inputs!K85,""),"")</f>
        <v/>
      </c>
      <c r="L85" s="0" t="str">
        <f aca="false">IF(AND(ISNUMBER(Panel_Inputs!R85),ISNUMBER(Panel_Inputs!K85)),IF(Panel_Inputs!K85&gt;0,100*Panel_Inputs!R85/Panel_Inputs!K85,""),"")</f>
        <v/>
      </c>
      <c r="M85" s="0" t="str">
        <f aca="false">IF(AND(ISNUMBER(Panel_Inputs!S85),ISNUMBER(Panel_Inputs!R85)),IF(Panel_Inputs!R85&gt;0,100*Panel_Inputs!S85/Panel_Inputs!R85,""),"")</f>
        <v/>
      </c>
      <c r="N85" s="0" t="n">
        <f aca="false">IF(AND(ISNUMBER(Panel_Inputs!E85),ISNUMBER(Panel_Inputs!F85)),IF(Panel_Inputs!F85&gt;0,100*Panel_Inputs!E85/Panel_Inputs!F85,""),"")</f>
        <v>1.4139065744653</v>
      </c>
      <c r="O85" s="0" t="n">
        <f aca="false">IF(AND(ISNUMBER(Panel_Inputs!G85),ISNUMBER(Panel_Inputs!F85)),IF(Panel_Inputs!F85&gt;0,100*Panel_Inputs!G85/Panel_Inputs!F85,""),"")</f>
        <v>77.6285889506116</v>
      </c>
      <c r="P85" s="0" t="n">
        <f aca="false">IF(ISNUMBER(Panel_Inputs!F85),IF(Panel_Inputs!F85&gt;0,LN(Panel_Inputs!F85),""),"")</f>
        <v>13.9319442392069</v>
      </c>
      <c r="Q85" s="0" t="n">
        <f aca="false">IF(AND(ISNUMBER(Panel_Inputs!F85),ISNUMBER(Panel_Inputs!G85),ISNUMBER(Panel_Inputs!H85)),Panel_Inputs!F85-Panel_Inputs!G85-Panel_Inputs!H85,"")</f>
        <v>0</v>
      </c>
      <c r="R85" s="0" t="n">
        <f aca="false">IF(AND(ISNUMBER(Panel_Inputs!K85),ISNUMBER(Panel_Inputs!L85),ISNUMBER(Panel_Inputs!M85)),Panel_Inputs!K85-Panel_Inputs!L85-Panel_Inputs!M85,"")</f>
        <v>0</v>
      </c>
      <c r="S85" s="0" t="str">
        <f aca="false">IF(AND(ISNUMBER(Panel_Inputs!V85),Panel_Inputs!W85=1),Panel_Inputs!V85,"")</f>
        <v/>
      </c>
      <c r="T85" s="0" t="n">
        <f aca="false">IF(AND(ISNUMBER(Panel_Inputs!T85),ISNUMBER(Panel_Inputs!U85)),Panel_Inputs!T85-Panel_Inputs!U85,"")</f>
        <v>-1.7</v>
      </c>
    </row>
    <row r="86" customFormat="false" ht="15" hidden="false" customHeight="false" outlineLevel="0" collapsed="false">
      <c r="A86" s="0" t="str">
        <f aca="false">Panel_Inputs!A86</f>
        <v>Union</v>
      </c>
      <c r="B86" s="0" t="n">
        <f aca="false">Panel_Inputs!B86</f>
        <v>2017</v>
      </c>
      <c r="C86" s="0" t="n">
        <f aca="false">IF(AND(ISNUMBER(Panel_Inputs!F86),ISNUMBER(Panel_Inputs!J86)),IF(AND(Panel_Inputs!F86&gt;0,Panel_Inputs!J86&gt;0),(Panel_Inputs!F86+Panel_Inputs!J86)/2,""),"")</f>
        <v>1229202</v>
      </c>
      <c r="D86" s="0" t="n">
        <f aca="false">IF(AND(ISNUMBER(Panel_Inputs!E86),ISNUMBER(C86)),IF(C86&gt;0,100*Panel_Inputs!E86/C86,""),"")</f>
        <v>0.914333038833324</v>
      </c>
      <c r="E86" s="0" t="n">
        <f aca="false">IF(AND(ISNUMBER(Panel_Inputs!H86),ISNUMBER(Panel_Inputs!F86)),IF(Panel_Inputs!F86&gt;0,100*Panel_Inputs!H86/Panel_Inputs!F86,""),"")</f>
        <v>23.9054595740122</v>
      </c>
      <c r="F86" s="0" t="n">
        <f aca="false">IF(AND(ISNUMBER(Panel_Inputs!I86),ISNUMBER(C86)),IF(C86&gt;0,100*Panel_Inputs!I86/C86,""),"")</f>
        <v>5.54506094197699</v>
      </c>
      <c r="G86" s="0" t="n">
        <f aca="false">IF(AND(ISNUMBER(Panel_Inputs!L86),ISNUMBER(Panel_Inputs!K86)),IF(Panel_Inputs!K86&gt;0,100*Panel_Inputs!L86/Panel_Inputs!K86,""),"")</f>
        <v>8.13302570293358</v>
      </c>
      <c r="H86" s="0" t="n">
        <f aca="false">IF(AND(ISNUMBER(Panel_Inputs!P86),ISNUMBER(Panel_Inputs!Q86)),IF(Panel_Inputs!Q86&gt;0,100*Panel_Inputs!P86/Panel_Inputs!Q86,""),"")</f>
        <v>17.801876572795</v>
      </c>
      <c r="I86" s="0" t="n">
        <f aca="false">IF(AND(ISNUMBER(Panel_Inputs!N86),ISNUMBER(C86)),IF(C86&gt;0,100*Panel_Inputs!N86/C86,""),"")</f>
        <v>2.07272685856352</v>
      </c>
      <c r="J86" s="0" t="n">
        <f aca="false">IF(AND(ISNUMBER(Panel_Inputs!L86),ISNUMBER(Panel_Inputs!O86)),IF(Panel_Inputs!O86&gt;0,100*Panel_Inputs!L86/Panel_Inputs!O86,""),"")</f>
        <v>39.076658987216</v>
      </c>
      <c r="K86" s="0" t="n">
        <f aca="false">IF(AND(ISNUMBER(Panel_Inputs!O86),ISNUMBER(Panel_Inputs!K86)),IF(Panel_Inputs!K86&gt;0,100*Panel_Inputs!O86/Panel_Inputs!K86,""),"")</f>
        <v>20.8130017092667</v>
      </c>
      <c r="L86" s="0" t="str">
        <f aca="false">IF(AND(ISNUMBER(Panel_Inputs!R86),ISNUMBER(Panel_Inputs!K86)),IF(Panel_Inputs!K86&gt;0,100*Panel_Inputs!R86/Panel_Inputs!K86,""),"")</f>
        <v/>
      </c>
      <c r="M86" s="0" t="str">
        <f aca="false">IF(AND(ISNUMBER(Panel_Inputs!S86),ISNUMBER(Panel_Inputs!R86)),IF(Panel_Inputs!R86&gt;0,100*Panel_Inputs!S86/Panel_Inputs!R86,""),"")</f>
        <v/>
      </c>
      <c r="N86" s="0" t="n">
        <f aca="false">IF(AND(ISNUMBER(Panel_Inputs!E86),ISNUMBER(Panel_Inputs!F86)),IF(Panel_Inputs!F86&gt;0,100*Panel_Inputs!E86/Panel_Inputs!F86,""),"")</f>
        <v>0.84192248080598</v>
      </c>
      <c r="O86" s="0" t="n">
        <f aca="false">IF(AND(ISNUMBER(Panel_Inputs!G86),ISNUMBER(Panel_Inputs!F86)),IF(Panel_Inputs!F86&gt;0,100*Panel_Inputs!G86/Panel_Inputs!F86,""),"")</f>
        <v>76.0945404259878</v>
      </c>
      <c r="P86" s="0" t="n">
        <f aca="false">IF(ISNUMBER(Panel_Inputs!F86),IF(Panel_Inputs!F86&gt;0,LN(Panel_Inputs!F86),""),"")</f>
        <v>14.1043826720356</v>
      </c>
      <c r="Q86" s="0" t="n">
        <f aca="false">IF(AND(ISNUMBER(Panel_Inputs!F86),ISNUMBER(Panel_Inputs!G86),ISNUMBER(Panel_Inputs!H86)),Panel_Inputs!F86-Panel_Inputs!G86-Panel_Inputs!H86,"")</f>
        <v>0</v>
      </c>
      <c r="R86" s="0" t="n">
        <f aca="false">IF(AND(ISNUMBER(Panel_Inputs!K86),ISNUMBER(Panel_Inputs!L86),ISNUMBER(Panel_Inputs!M86)),Panel_Inputs!K86-Panel_Inputs!L86-Panel_Inputs!M86,"")</f>
        <v>0</v>
      </c>
      <c r="S86" s="0" t="str">
        <f aca="false">IF(AND(ISNUMBER(Panel_Inputs!V86),Panel_Inputs!W86=1),Panel_Inputs!V86,"")</f>
        <v/>
      </c>
      <c r="T86" s="0" t="n">
        <f aca="false">IF(AND(ISNUMBER(Panel_Inputs!T86),ISNUMBER(Panel_Inputs!U86)),Panel_Inputs!T86-Panel_Inputs!U86,"")</f>
        <v>2.8</v>
      </c>
    </row>
    <row r="87" customFormat="false" ht="15" hidden="false" customHeight="false" outlineLevel="0" collapsed="false">
      <c r="A87" s="0" t="str">
        <f aca="false">Panel_Inputs!A87</f>
        <v>Union</v>
      </c>
      <c r="B87" s="0" t="n">
        <f aca="false">Panel_Inputs!B87</f>
        <v>2018</v>
      </c>
      <c r="C87" s="0" t="n">
        <f aca="false">IF(AND(ISNUMBER(Panel_Inputs!F87),ISNUMBER(Panel_Inputs!J87)),IF(AND(Panel_Inputs!F87&gt;0,Panel_Inputs!J87&gt;0),(Panel_Inputs!F87+Panel_Inputs!J87)/2,""),"")</f>
        <v>1329609</v>
      </c>
      <c r="D87" s="0" t="n">
        <f aca="false">IF(AND(ISNUMBER(Panel_Inputs!E87),ISNUMBER(C87)),IF(C87&gt;0,100*Panel_Inputs!E87/C87,""),"")</f>
        <v>1.3867234653195</v>
      </c>
      <c r="E87" s="0" t="n">
        <f aca="false">IF(AND(ISNUMBER(Panel_Inputs!H87),ISNUMBER(Panel_Inputs!F87)),IF(Panel_Inputs!F87&gt;0,100*Panel_Inputs!H87/Panel_Inputs!F87,""),"")</f>
        <v>15.1089219412262</v>
      </c>
      <c r="F87" s="0" t="n">
        <f aca="false">IF(AND(ISNUMBER(Panel_Inputs!I87),ISNUMBER(C87)),IF(C87&gt;0,100*Panel_Inputs!I87/C87,""),"")</f>
        <v>2.8124057523678</v>
      </c>
      <c r="G87" s="0" t="n">
        <f aca="false">IF(AND(ISNUMBER(Panel_Inputs!L87),ISNUMBER(Panel_Inputs!K87)),IF(Panel_Inputs!K87&gt;0,100*Panel_Inputs!L87/Panel_Inputs!K87,""),"")</f>
        <v>9.58161877159925</v>
      </c>
      <c r="H87" s="0" t="n">
        <f aca="false">IF(AND(ISNUMBER(Panel_Inputs!P87),ISNUMBER(Panel_Inputs!Q87)),IF(Panel_Inputs!Q87&gt;0,100*Panel_Inputs!P87/Panel_Inputs!Q87,""),"")</f>
        <v>11.4639800982065</v>
      </c>
      <c r="I87" s="0" t="n">
        <f aca="false">IF(AND(ISNUMBER(Panel_Inputs!N87),ISNUMBER(C87)),IF(C87&gt;0,100*Panel_Inputs!N87/C87,""),"")</f>
        <v>-0.264363433159673</v>
      </c>
      <c r="J87" s="0" t="n">
        <f aca="false">IF(AND(ISNUMBER(Panel_Inputs!L87),ISNUMBER(Panel_Inputs!O87)),IF(Panel_Inputs!O87&gt;0,100*Panel_Inputs!L87/Panel_Inputs!O87,""),"")</f>
        <v>117.827826267664</v>
      </c>
      <c r="K87" s="0" t="n">
        <f aca="false">IF(AND(ISNUMBER(Panel_Inputs!O87),ISNUMBER(Panel_Inputs!K87)),IF(Panel_Inputs!K87&gt;0,100*Panel_Inputs!O87/Panel_Inputs!K87,""),"")</f>
        <v>8.13188113123051</v>
      </c>
      <c r="L87" s="0" t="n">
        <f aca="false">IF(AND(ISNUMBER(Panel_Inputs!R87),ISNUMBER(Panel_Inputs!K87)),IF(Panel_Inputs!K87&gt;0,100*Panel_Inputs!R87/Panel_Inputs!K87,""),"")</f>
        <v>26.051762161066</v>
      </c>
      <c r="M87" s="0" t="n">
        <f aca="false">IF(AND(ISNUMBER(Panel_Inputs!S87),ISNUMBER(Panel_Inputs!R87)),IF(Panel_Inputs!R87&gt;0,100*Panel_Inputs!S87/Panel_Inputs!R87,""),"")</f>
        <v>24.4461922677737</v>
      </c>
      <c r="N87" s="0" t="n">
        <f aca="false">IF(AND(ISNUMBER(Panel_Inputs!E87),ISNUMBER(Panel_Inputs!F87)),IF(Panel_Inputs!F87&gt;0,100*Panel_Inputs!E87/Panel_Inputs!F87,""),"")</f>
        <v>1.39228586940845</v>
      </c>
      <c r="O87" s="0" t="n">
        <f aca="false">IF(AND(ISNUMBER(Panel_Inputs!G87),ISNUMBER(Panel_Inputs!F87)),IF(Panel_Inputs!F87&gt;0,100*Panel_Inputs!G87/Panel_Inputs!F87,""),"")</f>
        <v>84.8910780587738</v>
      </c>
      <c r="P87" s="0" t="n">
        <f aca="false">IF(ISNUMBER(Panel_Inputs!F87),IF(Panel_Inputs!F87&gt;0,LN(Panel_Inputs!F87),""),"")</f>
        <v>14.0963923105648</v>
      </c>
      <c r="Q87" s="0" t="n">
        <f aca="false">IF(AND(ISNUMBER(Panel_Inputs!F87),ISNUMBER(Panel_Inputs!G87),ISNUMBER(Panel_Inputs!H87)),Panel_Inputs!F87-Panel_Inputs!G87-Panel_Inputs!H87,"")</f>
        <v>0</v>
      </c>
      <c r="R87" s="0" t="n">
        <f aca="false">IF(AND(ISNUMBER(Panel_Inputs!K87),ISNUMBER(Panel_Inputs!L87),ISNUMBER(Panel_Inputs!M87)),Panel_Inputs!K87-Panel_Inputs!L87-Panel_Inputs!M87,"")</f>
        <v>0</v>
      </c>
      <c r="S87" s="0" t="str">
        <f aca="false">IF(AND(ISNUMBER(Panel_Inputs!V87),Panel_Inputs!W87=1),Panel_Inputs!V87,"")</f>
        <v/>
      </c>
      <c r="T87" s="0" t="n">
        <f aca="false">IF(AND(ISNUMBER(Panel_Inputs!T87),ISNUMBER(Panel_Inputs!U87)),Panel_Inputs!T87-Panel_Inputs!U87,"")</f>
        <v>-3.5</v>
      </c>
    </row>
    <row r="88" customFormat="false" ht="15" hidden="false" customHeight="false" outlineLevel="0" collapsed="false">
      <c r="A88" s="0" t="str">
        <f aca="false">Panel_Inputs!A88</f>
        <v>Union</v>
      </c>
      <c r="B88" s="0" t="n">
        <f aca="false">Panel_Inputs!B88</f>
        <v>2019</v>
      </c>
      <c r="C88" s="0" t="n">
        <f aca="false">IF(AND(ISNUMBER(Panel_Inputs!F88),ISNUMBER(Panel_Inputs!J88)),IF(AND(Panel_Inputs!F88&gt;0,Panel_Inputs!J88&gt;0),(Panel_Inputs!F88+Panel_Inputs!J88)/2,""),"")</f>
        <v>1518018</v>
      </c>
      <c r="D88" s="0" t="n">
        <f aca="false">IF(AND(ISNUMBER(Panel_Inputs!E88),ISNUMBER(C88)),IF(C88&gt;0,100*Panel_Inputs!E88/C88,""),"")</f>
        <v>1.60571218523101</v>
      </c>
      <c r="E88" s="0" t="n">
        <f aca="false">IF(AND(ISNUMBER(Panel_Inputs!H88),ISNUMBER(Panel_Inputs!F88)),IF(Panel_Inputs!F88&gt;0,100*Panel_Inputs!H88/Panel_Inputs!F88,""),"")</f>
        <v>13.5062646817067</v>
      </c>
      <c r="F88" s="0" t="n">
        <f aca="false">IF(AND(ISNUMBER(Panel_Inputs!I88),ISNUMBER(C88)),IF(C88&gt;0,100*Panel_Inputs!I88/C88,""),"")</f>
        <v>13.6571503104706</v>
      </c>
      <c r="G88" s="0" t="n">
        <f aca="false">IF(AND(ISNUMBER(Panel_Inputs!L88),ISNUMBER(Panel_Inputs!K88)),IF(Panel_Inputs!K88&gt;0,100*Panel_Inputs!L88/Panel_Inputs!K88,""),"")</f>
        <v>7.50632456349593</v>
      </c>
      <c r="H88" s="0" t="n">
        <f aca="false">IF(AND(ISNUMBER(Panel_Inputs!P88),ISNUMBER(Panel_Inputs!Q88)),IF(Panel_Inputs!Q88&gt;0,100*Panel_Inputs!P88/Panel_Inputs!Q88,""),"")</f>
        <v>15.9061110315789</v>
      </c>
      <c r="I88" s="0" t="n">
        <f aca="false">IF(AND(ISNUMBER(Panel_Inputs!N88),ISNUMBER(C88)),IF(C88&gt;0,100*Panel_Inputs!N88/C88,""),"")</f>
        <v>-0.0332011873376996</v>
      </c>
      <c r="J88" s="0" t="n">
        <f aca="false">IF(AND(ISNUMBER(Panel_Inputs!L88),ISNUMBER(Panel_Inputs!O88)),IF(Panel_Inputs!O88&gt;0,100*Panel_Inputs!L88/Panel_Inputs!O88,""),"")</f>
        <v>128.552934407365</v>
      </c>
      <c r="K88" s="0" t="n">
        <f aca="false">IF(AND(ISNUMBER(Panel_Inputs!O88),ISNUMBER(Panel_Inputs!K88)),IF(Panel_Inputs!K88&gt;0,100*Panel_Inputs!O88/Panel_Inputs!K88,""),"")</f>
        <v>5.83909235374552</v>
      </c>
      <c r="L88" s="0" t="n">
        <f aca="false">IF(AND(ISNUMBER(Panel_Inputs!R88),ISNUMBER(Panel_Inputs!K88)),IF(Panel_Inputs!K88&gt;0,100*Panel_Inputs!R88/Panel_Inputs!K88,""),"")</f>
        <v>9.87219846194679</v>
      </c>
      <c r="M88" s="0" t="n">
        <f aca="false">IF(AND(ISNUMBER(Panel_Inputs!S88),ISNUMBER(Panel_Inputs!R88)),IF(Panel_Inputs!R88&gt;0,100*Panel_Inputs!S88/Panel_Inputs!R88,""),"")</f>
        <v>27.5621501131549</v>
      </c>
      <c r="N88" s="0" t="n">
        <f aca="false">IF(AND(ISNUMBER(Panel_Inputs!E88),ISNUMBER(Panel_Inputs!F88)),IF(Panel_Inputs!F88&gt;0,100*Panel_Inputs!E88/Panel_Inputs!F88,""),"")</f>
        <v>1.42399045648899</v>
      </c>
      <c r="O88" s="0" t="n">
        <f aca="false">IF(AND(ISNUMBER(Panel_Inputs!G88),ISNUMBER(Panel_Inputs!F88)),IF(Panel_Inputs!F88&gt;0,100*Panel_Inputs!G88/Panel_Inputs!F88,""),"")</f>
        <v>86.4937353182933</v>
      </c>
      <c r="P88" s="0" t="n">
        <f aca="false">IF(ISNUMBER(Panel_Inputs!F88),IF(Panel_Inputs!F88&gt;0,LN(Panel_Inputs!F88),""),"")</f>
        <v>14.3530203707906</v>
      </c>
      <c r="Q88" s="0" t="n">
        <f aca="false">IF(AND(ISNUMBER(Panel_Inputs!F88),ISNUMBER(Panel_Inputs!G88),ISNUMBER(Panel_Inputs!H88)),Panel_Inputs!F88-Panel_Inputs!G88-Panel_Inputs!H88,"")</f>
        <v>0</v>
      </c>
      <c r="R88" s="0" t="n">
        <f aca="false">IF(AND(ISNUMBER(Panel_Inputs!K88),ISNUMBER(Panel_Inputs!L88),ISNUMBER(Panel_Inputs!M88)),Panel_Inputs!K88-Panel_Inputs!L88-Panel_Inputs!M88,"")</f>
        <v>0</v>
      </c>
      <c r="S88" s="0" t="str">
        <f aca="false">IF(AND(ISNUMBER(Panel_Inputs!V88),Panel_Inputs!W88=1),Panel_Inputs!V88,"")</f>
        <v/>
      </c>
      <c r="T88" s="0" t="n">
        <f aca="false">IF(AND(ISNUMBER(Panel_Inputs!T88),ISNUMBER(Panel_Inputs!U88)),Panel_Inputs!T88-Panel_Inputs!U88,"")</f>
        <v>0.91</v>
      </c>
    </row>
    <row r="89" customFormat="false" ht="15" hidden="false" customHeight="false" outlineLevel="0" collapsed="false">
      <c r="A89" s="0" t="str">
        <f aca="false">Panel_Inputs!A89</f>
        <v>Union</v>
      </c>
      <c r="B89" s="0" t="n">
        <f aca="false">Panel_Inputs!B89</f>
        <v>2020</v>
      </c>
      <c r="C89" s="0" t="n">
        <f aca="false">IF(AND(ISNUMBER(Panel_Inputs!F89),ISNUMBER(Panel_Inputs!J89)),IF(AND(Panel_Inputs!F89&gt;0,Panel_Inputs!J89&gt;0),(Panel_Inputs!F89+Panel_Inputs!J89)/2,""),"")</f>
        <v>1892748.5</v>
      </c>
      <c r="D89" s="0" t="n">
        <f aca="false">IF(AND(ISNUMBER(Panel_Inputs!E89),ISNUMBER(C89)),IF(C89&gt;0,100*Panel_Inputs!E89/C89,""),"")</f>
        <v>1.30249739994511</v>
      </c>
      <c r="E89" s="0" t="n">
        <f aca="false">IF(AND(ISNUMBER(Panel_Inputs!H89),ISNUMBER(Panel_Inputs!F89)),IF(Panel_Inputs!F89&gt;0,100*Panel_Inputs!H89/Panel_Inputs!F89,""),"")</f>
        <v>11.935867155184</v>
      </c>
      <c r="F89" s="0" t="n">
        <f aca="false">IF(AND(ISNUMBER(Panel_Inputs!I89),ISNUMBER(C89)),IF(C89&gt;0,100*Panel_Inputs!I89/C89,""),"")</f>
        <v>-1.89734663638619</v>
      </c>
      <c r="G89" s="0" t="n">
        <f aca="false">IF(AND(ISNUMBER(Panel_Inputs!L89),ISNUMBER(Panel_Inputs!K89)),IF(Panel_Inputs!K89&gt;0,100*Panel_Inputs!L89/Panel_Inputs!K89,""),"")</f>
        <v>5.9601309602667</v>
      </c>
      <c r="H89" s="0" t="n">
        <f aca="false">IF(AND(ISNUMBER(Panel_Inputs!P89),ISNUMBER(Panel_Inputs!Q89)),IF(Panel_Inputs!Q89&gt;0,100*Panel_Inputs!P89/Panel_Inputs!Q89,""),"")</f>
        <v>15.7592955503664</v>
      </c>
      <c r="I89" s="0" t="n">
        <f aca="false">IF(AND(ISNUMBER(Panel_Inputs!N89),ISNUMBER(C89)),IF(C89&gt;0,100*Panel_Inputs!N89/C89,""),"")</f>
        <v>-0.135200212812215</v>
      </c>
      <c r="J89" s="0" t="str">
        <f aca="false">IF(AND(ISNUMBER(Panel_Inputs!L89),ISNUMBER(Panel_Inputs!O89)),IF(Panel_Inputs!O89&gt;0,100*Panel_Inputs!L89/Panel_Inputs!O89,""),"")</f>
        <v/>
      </c>
      <c r="K89" s="0" t="str">
        <f aca="false">IF(AND(ISNUMBER(Panel_Inputs!O89),ISNUMBER(Panel_Inputs!K89)),IF(Panel_Inputs!K89&gt;0,100*Panel_Inputs!O89/Panel_Inputs!K89,""),"")</f>
        <v/>
      </c>
      <c r="L89" s="0" t="n">
        <f aca="false">IF(AND(ISNUMBER(Panel_Inputs!R89),ISNUMBER(Panel_Inputs!K89)),IF(Panel_Inputs!K89&gt;0,100*Panel_Inputs!R89/Panel_Inputs!K89,""),"")</f>
        <v>8.40151918252994</v>
      </c>
      <c r="M89" s="0" t="n">
        <f aca="false">IF(AND(ISNUMBER(Panel_Inputs!S89),ISNUMBER(Panel_Inputs!R89)),IF(Panel_Inputs!R89&gt;0,100*Panel_Inputs!S89/Panel_Inputs!R89,""),"")</f>
        <v>36.4552871799015</v>
      </c>
      <c r="N89" s="0" t="n">
        <f aca="false">IF(AND(ISNUMBER(Panel_Inputs!E89),ISNUMBER(Panel_Inputs!F89)),IF(Panel_Inputs!F89&gt;0,100*Panel_Inputs!E89/Panel_Inputs!F89,""),"")</f>
        <v>1.18880795155462</v>
      </c>
      <c r="O89" s="0" t="n">
        <f aca="false">IF(AND(ISNUMBER(Panel_Inputs!G89),ISNUMBER(Panel_Inputs!F89)),IF(Panel_Inputs!F89&gt;0,100*Panel_Inputs!G89/Panel_Inputs!F89,""),"")</f>
        <v>88.064132844816</v>
      </c>
      <c r="P89" s="0" t="n">
        <f aca="false">IF(ISNUMBER(Panel_Inputs!F89),IF(Panel_Inputs!F89&gt;0,LN(Panel_Inputs!F89),""),"")</f>
        <v>14.544872978225</v>
      </c>
      <c r="Q89" s="0" t="n">
        <f aca="false">IF(AND(ISNUMBER(Panel_Inputs!F89),ISNUMBER(Panel_Inputs!G89),ISNUMBER(Panel_Inputs!H89)),Panel_Inputs!F89-Panel_Inputs!G89-Panel_Inputs!H89,"")</f>
        <v>0</v>
      </c>
      <c r="R89" s="0" t="n">
        <f aca="false">IF(AND(ISNUMBER(Panel_Inputs!K89),ISNUMBER(Panel_Inputs!L89),ISNUMBER(Panel_Inputs!M89)),Panel_Inputs!K89-Panel_Inputs!L89-Panel_Inputs!M89,"")</f>
        <v>0</v>
      </c>
      <c r="S89" s="0" t="str">
        <f aca="false">IF(AND(ISNUMBER(Panel_Inputs!V89),Panel_Inputs!W89=1),Panel_Inputs!V89,"")</f>
        <v/>
      </c>
      <c r="T89" s="0" t="n">
        <f aca="false">IF(AND(ISNUMBER(Panel_Inputs!T89),ISNUMBER(Panel_Inputs!U89)),Panel_Inputs!T89-Panel_Inputs!U89,"")</f>
        <v>0.76</v>
      </c>
    </row>
    <row r="90" customFormat="false" ht="15" hidden="false" customHeight="false" outlineLevel="0" collapsed="false">
      <c r="A90" s="0" t="str">
        <f aca="false">Panel_Inputs!A90</f>
        <v>Union</v>
      </c>
      <c r="B90" s="0" t="n">
        <f aca="false">Panel_Inputs!B90</f>
        <v>2021</v>
      </c>
      <c r="C90" s="0" t="n">
        <f aca="false">IF(AND(ISNUMBER(Panel_Inputs!F90),ISNUMBER(Panel_Inputs!J90)),IF(AND(Panel_Inputs!F90&gt;0,Panel_Inputs!J90&gt;0),(Panel_Inputs!F90+Panel_Inputs!J90)/2,""),"")</f>
        <v>2320599.5</v>
      </c>
      <c r="D90" s="0" t="n">
        <f aca="false">IF(AND(ISNUMBER(Panel_Inputs!E90),ISNUMBER(C90)),IF(C90&gt;0,100*Panel_Inputs!E90/C90,""),"")</f>
        <v>0.826510563326416</v>
      </c>
      <c r="E90" s="0" t="n">
        <f aca="false">IF(AND(ISNUMBER(Panel_Inputs!H90),ISNUMBER(Panel_Inputs!F90)),IF(Panel_Inputs!F90&gt;0,100*Panel_Inputs!H90/Panel_Inputs!F90,""),"")</f>
        <v>9.79523969586838</v>
      </c>
      <c r="F90" s="0" t="n">
        <f aca="false">IF(AND(ISNUMBER(Panel_Inputs!I90),ISNUMBER(C90)),IF(C90&gt;0,100*Panel_Inputs!I90/C90,""),"")</f>
        <v>10.8652957996414</v>
      </c>
      <c r="G90" s="0" t="n">
        <f aca="false">IF(AND(ISNUMBER(Panel_Inputs!L90),ISNUMBER(Panel_Inputs!K90)),IF(Panel_Inputs!K90&gt;0,100*Panel_Inputs!L90/Panel_Inputs!K90,""),"")</f>
        <v>3.36623268001771</v>
      </c>
      <c r="H90" s="0" t="n">
        <f aca="false">IF(AND(ISNUMBER(Panel_Inputs!P90),ISNUMBER(Panel_Inputs!Q90)),IF(Panel_Inputs!Q90&gt;0,100*Panel_Inputs!P90/Panel_Inputs!Q90,""),"")</f>
        <v>14.6086402935958</v>
      </c>
      <c r="I90" s="0" t="n">
        <f aca="false">IF(AND(ISNUMBER(Panel_Inputs!N90),ISNUMBER(C90)),IF(C90&gt;0,100*Panel_Inputs!N90/C90,""),"")</f>
        <v>0.0123244015177974</v>
      </c>
      <c r="J90" s="0" t="n">
        <f aca="false">IF(AND(ISNUMBER(Panel_Inputs!L90),ISNUMBER(Panel_Inputs!O90)),IF(Panel_Inputs!O90&gt;0,100*Panel_Inputs!L90/Panel_Inputs!O90,""),"")</f>
        <v>78.2876357992757</v>
      </c>
      <c r="K90" s="0" t="n">
        <f aca="false">IF(AND(ISNUMBER(Panel_Inputs!O90),ISNUMBER(Panel_Inputs!K90)),IF(Panel_Inputs!K90&gt;0,100*Panel_Inputs!O90/Panel_Inputs!K90,""),"")</f>
        <v>4.29982671676087</v>
      </c>
      <c r="L90" s="0" t="n">
        <f aca="false">IF(AND(ISNUMBER(Panel_Inputs!R90),ISNUMBER(Panel_Inputs!K90)),IF(Panel_Inputs!K90&gt;0,100*Panel_Inputs!R90/Panel_Inputs!K90,""),"")</f>
        <v>6.90285683779221</v>
      </c>
      <c r="M90" s="0" t="n">
        <f aca="false">IF(AND(ISNUMBER(Panel_Inputs!S90),ISNUMBER(Panel_Inputs!R90)),IF(Panel_Inputs!R90&gt;0,100*Panel_Inputs!S90/Panel_Inputs!R90,""),"")</f>
        <v>21.3875998968806</v>
      </c>
      <c r="N90" s="0" t="n">
        <f aca="false">IF(AND(ISNUMBER(Panel_Inputs!E90),ISNUMBER(Panel_Inputs!F90)),IF(Panel_Inputs!F90&gt;0,100*Panel_Inputs!E90/Panel_Inputs!F90,""),"")</f>
        <v>0.747047351818406</v>
      </c>
      <c r="O90" s="0" t="n">
        <f aca="false">IF(AND(ISNUMBER(Panel_Inputs!G90),ISNUMBER(Panel_Inputs!F90)),IF(Panel_Inputs!F90&gt;0,100*Panel_Inputs!G90/Panel_Inputs!F90,""),"")</f>
        <v>90.2047603041316</v>
      </c>
      <c r="P90" s="0" t="n">
        <f aca="false">IF(ISNUMBER(Panel_Inputs!F90),IF(Panel_Inputs!F90&gt;0,LN(Panel_Inputs!F90),""),"")</f>
        <v>14.7584202409687</v>
      </c>
      <c r="Q90" s="0" t="n">
        <f aca="false">IF(AND(ISNUMBER(Panel_Inputs!F90),ISNUMBER(Panel_Inputs!G90),ISNUMBER(Panel_Inputs!H90)),Panel_Inputs!F90-Panel_Inputs!G90-Panel_Inputs!H90,"")</f>
        <v>0</v>
      </c>
      <c r="R90" s="0" t="n">
        <f aca="false">IF(AND(ISNUMBER(Panel_Inputs!K90),ISNUMBER(Panel_Inputs!L90),ISNUMBER(Panel_Inputs!M90)),Panel_Inputs!K90-Panel_Inputs!L90-Panel_Inputs!M90,"")</f>
        <v>0</v>
      </c>
      <c r="S90" s="0" t="str">
        <f aca="false">IF(AND(ISNUMBER(Panel_Inputs!V90),Panel_Inputs!W90=1),Panel_Inputs!V90,"")</f>
        <v/>
      </c>
      <c r="T90" s="0" t="str">
        <f aca="false">IF(AND(ISNUMBER(Panel_Inputs!T90),ISNUMBER(Panel_Inputs!U90)),Panel_Inputs!T90-Panel_Inputs!U90,"")</f>
        <v/>
      </c>
    </row>
    <row r="91" customFormat="false" ht="15" hidden="false" customHeight="false" outlineLevel="0" collapsed="false">
      <c r="A91" s="0" t="str">
        <f aca="false">Panel_Inputs!A91</f>
        <v>Union</v>
      </c>
      <c r="B91" s="0" t="n">
        <f aca="false">Panel_Inputs!B91</f>
        <v>2022</v>
      </c>
      <c r="C91" s="0" t="n">
        <f aca="false">IF(AND(ISNUMBER(Panel_Inputs!F91),ISNUMBER(Panel_Inputs!J91)),IF(AND(Panel_Inputs!F91&gt;0,Panel_Inputs!J91&gt;0),(Panel_Inputs!F91+Panel_Inputs!J91)/2,""),"")</f>
        <v>2680557.5</v>
      </c>
      <c r="D91" s="0" t="n">
        <f aca="false">IF(AND(ISNUMBER(Panel_Inputs!E91),ISNUMBER(C91)),IF(C91&gt;0,100*Panel_Inputs!E91/C91,""),"")</f>
        <v>1.0822002512537</v>
      </c>
      <c r="E91" s="0" t="n">
        <f aca="false">IF(AND(ISNUMBER(Panel_Inputs!H91),ISNUMBER(Panel_Inputs!F91)),IF(Panel_Inputs!F91&gt;0,100*Panel_Inputs!H91/Panel_Inputs!F91,""),"")</f>
        <v>10.3752263148814</v>
      </c>
      <c r="F91" s="0" t="n">
        <f aca="false">IF(AND(ISNUMBER(Panel_Inputs!I91),ISNUMBER(C91)),IF(C91&gt;0,100*Panel_Inputs!I91/C91,""),"")</f>
        <v>2.99478746492101</v>
      </c>
      <c r="G91" s="0" t="n">
        <f aca="false">IF(AND(ISNUMBER(Panel_Inputs!L91),ISNUMBER(Panel_Inputs!K91)),IF(Panel_Inputs!K91&gt;0,100*Panel_Inputs!L91/Panel_Inputs!K91,""),"")</f>
        <v>3.19861165367673</v>
      </c>
      <c r="H91" s="0" t="n">
        <f aca="false">IF(AND(ISNUMBER(Panel_Inputs!P91),ISNUMBER(Panel_Inputs!Q91)),IF(Panel_Inputs!Q91&gt;0,100*Panel_Inputs!P91/Panel_Inputs!Q91,""),"")</f>
        <v>14.4192901206231</v>
      </c>
      <c r="I91" s="0" t="n">
        <f aca="false">IF(AND(ISNUMBER(Panel_Inputs!N91),ISNUMBER(C91)),IF(C91&gt;0,100*Panel_Inputs!N91/C91,""),"")</f>
        <v>0.166942884082882</v>
      </c>
      <c r="J91" s="0" t="n">
        <f aca="false">IF(AND(ISNUMBER(Panel_Inputs!L91),ISNUMBER(Panel_Inputs!O91)),IF(Panel_Inputs!O91&gt;0,100*Panel_Inputs!L91/Panel_Inputs!O91,""),"")</f>
        <v>79.4890257225147</v>
      </c>
      <c r="K91" s="0" t="n">
        <f aca="false">IF(AND(ISNUMBER(Panel_Inputs!O91),ISNUMBER(Panel_Inputs!K91)),IF(Panel_Inputs!K91&gt;0,100*Panel_Inputs!O91/Panel_Inputs!K91,""),"")</f>
        <v>4.02396635837838</v>
      </c>
      <c r="L91" s="0" t="n">
        <f aca="false">IF(AND(ISNUMBER(Panel_Inputs!R91),ISNUMBER(Panel_Inputs!K91)),IF(Panel_Inputs!K91&gt;0,100*Panel_Inputs!R91/Panel_Inputs!K91,""),"")</f>
        <v>7.4003175132855</v>
      </c>
      <c r="M91" s="0" t="str">
        <f aca="false">IF(AND(ISNUMBER(Panel_Inputs!S91),ISNUMBER(Panel_Inputs!R91)),IF(Panel_Inputs!R91&gt;0,100*Panel_Inputs!S91/Panel_Inputs!R91,""),"")</f>
        <v/>
      </c>
      <c r="N91" s="0" t="n">
        <f aca="false">IF(AND(ISNUMBER(Panel_Inputs!E91),ISNUMBER(Panel_Inputs!F91)),IF(Panel_Inputs!F91&gt;0,100*Panel_Inputs!E91/Panel_Inputs!F91,""),"")</f>
        <v>1.03838171526098</v>
      </c>
      <c r="O91" s="0" t="n">
        <f aca="false">IF(AND(ISNUMBER(Panel_Inputs!G91),ISNUMBER(Panel_Inputs!F91)),IF(Panel_Inputs!F91&gt;0,100*Panel_Inputs!G91/Panel_Inputs!F91,""),"")</f>
        <v>89.6247736851186</v>
      </c>
      <c r="P91" s="0" t="n">
        <f aca="false">IF(ISNUMBER(Panel_Inputs!F91),IF(Panel_Inputs!F91&gt;0,LN(Panel_Inputs!F91),""),"")</f>
        <v>14.8428681333946</v>
      </c>
      <c r="Q91" s="0" t="n">
        <f aca="false">IF(AND(ISNUMBER(Panel_Inputs!F91),ISNUMBER(Panel_Inputs!G91),ISNUMBER(Panel_Inputs!H91)),Panel_Inputs!F91-Panel_Inputs!G91-Panel_Inputs!H91,"")</f>
        <v>0</v>
      </c>
      <c r="R91" s="0" t="n">
        <f aca="false">IF(AND(ISNUMBER(Panel_Inputs!K91),ISNUMBER(Panel_Inputs!L91),ISNUMBER(Panel_Inputs!M91)),Panel_Inputs!K91-Panel_Inputs!L91-Panel_Inputs!M91,"")</f>
        <v>0</v>
      </c>
      <c r="S91" s="0" t="str">
        <f aca="false">IF(AND(ISNUMBER(Panel_Inputs!V91),Panel_Inputs!W91=1),Panel_Inputs!V91,"")</f>
        <v/>
      </c>
      <c r="T91" s="0" t="n">
        <f aca="false">IF(AND(ISNUMBER(Panel_Inputs!T91),ISNUMBER(Panel_Inputs!U91)),Panel_Inputs!T91-Panel_Inputs!U91,"")</f>
        <v>4.42</v>
      </c>
    </row>
    <row r="92" customFormat="false" ht="15" hidden="false" customHeight="false" outlineLevel="0" collapsed="false">
      <c r="A92" s="0" t="str">
        <f aca="false">Panel_Inputs!A92</f>
        <v>Unity</v>
      </c>
      <c r="B92" s="0" t="n">
        <f aca="false">Panel_Inputs!B92</f>
        <v>2013</v>
      </c>
      <c r="C92" s="0" t="str">
        <f aca="false">IF(AND(ISNUMBER(Panel_Inputs!F92),ISNUMBER(Panel_Inputs!J92)),IF(AND(Panel_Inputs!F92&gt;0,Panel_Inputs!J92&gt;0),(Panel_Inputs!F92+Panel_Inputs!J92)/2,""),"")</f>
        <v/>
      </c>
      <c r="D92" s="0" t="str">
        <f aca="false">IF(AND(ISNUMBER(Panel_Inputs!E92),ISNUMBER(C92)),IF(C92&gt;0,100*Panel_Inputs!E92/C92,""),"")</f>
        <v/>
      </c>
      <c r="E92" s="0" t="n">
        <f aca="false">IF(AND(ISNUMBER(Panel_Inputs!H92),ISNUMBER(Panel_Inputs!F92)),IF(Panel_Inputs!F92&gt;0,100*Panel_Inputs!H92/Panel_Inputs!F92,""),"")</f>
        <v>6.98974026389413</v>
      </c>
      <c r="F92" s="0" t="str">
        <f aca="false">IF(AND(ISNUMBER(Panel_Inputs!I92),ISNUMBER(C92)),IF(C92&gt;0,100*Panel_Inputs!I92/C92,""),"")</f>
        <v/>
      </c>
      <c r="G92" s="0" t="str">
        <f aca="false">IF(AND(ISNUMBER(Panel_Inputs!L92),ISNUMBER(Panel_Inputs!K92)),IF(Panel_Inputs!K92&gt;0,100*Panel_Inputs!L92/Panel_Inputs!K92,""),"")</f>
        <v/>
      </c>
      <c r="H92" s="0" t="str">
        <f aca="false">IF(AND(ISNUMBER(Panel_Inputs!P92),ISNUMBER(Panel_Inputs!Q92)),IF(Panel_Inputs!Q92&gt;0,100*Panel_Inputs!P92/Panel_Inputs!Q92,""),"")</f>
        <v/>
      </c>
      <c r="I92" s="0" t="str">
        <f aca="false">IF(AND(ISNUMBER(Panel_Inputs!N92),ISNUMBER(C92)),IF(C92&gt;0,100*Panel_Inputs!N92/C92,""),"")</f>
        <v/>
      </c>
      <c r="J92" s="0" t="str">
        <f aca="false">IF(AND(ISNUMBER(Panel_Inputs!L92),ISNUMBER(Panel_Inputs!O92)),IF(Panel_Inputs!O92&gt;0,100*Panel_Inputs!L92/Panel_Inputs!O92,""),"")</f>
        <v/>
      </c>
      <c r="K92" s="0" t="str">
        <f aca="false">IF(AND(ISNUMBER(Panel_Inputs!O92),ISNUMBER(Panel_Inputs!K92)),IF(Panel_Inputs!K92&gt;0,100*Panel_Inputs!O92/Panel_Inputs!K92,""),"")</f>
        <v/>
      </c>
      <c r="L92" s="0" t="str">
        <f aca="false">IF(AND(ISNUMBER(Panel_Inputs!R92),ISNUMBER(Panel_Inputs!K92)),IF(Panel_Inputs!K92&gt;0,100*Panel_Inputs!R92/Panel_Inputs!K92,""),"")</f>
        <v/>
      </c>
      <c r="M92" s="0" t="str">
        <f aca="false">IF(AND(ISNUMBER(Panel_Inputs!S92),ISNUMBER(Panel_Inputs!R92)),IF(Panel_Inputs!R92&gt;0,100*Panel_Inputs!S92/Panel_Inputs!R92,""),"")</f>
        <v/>
      </c>
      <c r="N92" s="0" t="n">
        <f aca="false">IF(AND(ISNUMBER(Panel_Inputs!E92),ISNUMBER(Panel_Inputs!F92)),IF(Panel_Inputs!F92&gt;0,100*Panel_Inputs!E92/Panel_Inputs!F92,""),"")</f>
        <v>-5.59482167411587</v>
      </c>
      <c r="O92" s="0" t="n">
        <f aca="false">IF(AND(ISNUMBER(Panel_Inputs!G92),ISNUMBER(Panel_Inputs!F92)),IF(Panel_Inputs!F92&gt;0,100*Panel_Inputs!G92/Panel_Inputs!F92,""),"")</f>
        <v>93.0102594883538</v>
      </c>
      <c r="P92" s="0" t="n">
        <f aca="false">IF(ISNUMBER(Panel_Inputs!F92),IF(Panel_Inputs!F92&gt;0,LN(Panel_Inputs!F92),""),"")</f>
        <v>12.9082521366817</v>
      </c>
      <c r="Q92" s="0" t="n">
        <f aca="false">IF(AND(ISNUMBER(Panel_Inputs!F92),ISNUMBER(Panel_Inputs!G92),ISNUMBER(Panel_Inputs!H92)),Panel_Inputs!F92-Panel_Inputs!G92-Panel_Inputs!H92,"")</f>
        <v>0.000999999956547981</v>
      </c>
      <c r="R92" s="0" t="str">
        <f aca="false">IF(AND(ISNUMBER(Panel_Inputs!K92),ISNUMBER(Panel_Inputs!L92),ISNUMBER(Panel_Inputs!M92)),Panel_Inputs!K92-Panel_Inputs!L92-Panel_Inputs!M92,"")</f>
        <v/>
      </c>
      <c r="S92" s="0" t="str">
        <f aca="false">IF(AND(ISNUMBER(Panel_Inputs!V92),Panel_Inputs!W92=1),Panel_Inputs!V92,"")</f>
        <v/>
      </c>
      <c r="T92" s="0" t="str">
        <f aca="false">IF(AND(ISNUMBER(Panel_Inputs!T92),ISNUMBER(Panel_Inputs!U92)),Panel_Inputs!T92-Panel_Inputs!U92,"")</f>
        <v/>
      </c>
    </row>
    <row r="93" customFormat="false" ht="15" hidden="false" customHeight="false" outlineLevel="0" collapsed="false">
      <c r="A93" s="0" t="str">
        <f aca="false">Panel_Inputs!A93</f>
        <v>Unity</v>
      </c>
      <c r="B93" s="0" t="n">
        <f aca="false">Panel_Inputs!B93</f>
        <v>2014</v>
      </c>
      <c r="C93" s="0" t="n">
        <f aca="false">IF(AND(ISNUMBER(Panel_Inputs!F93),ISNUMBER(Panel_Inputs!J93)),IF(AND(Panel_Inputs!F93&gt;0,Panel_Inputs!J93&gt;0),(Panel_Inputs!F93+Panel_Inputs!J93)/2,""),"")</f>
        <v>408467.2005</v>
      </c>
      <c r="D93" s="0" t="n">
        <f aca="false">IF(AND(ISNUMBER(Panel_Inputs!E93),ISNUMBER(C93)),IF(C93&gt;0,100*Panel_Inputs!E93/C93,""),"")</f>
        <v>2.61770736717941</v>
      </c>
      <c r="E93" s="0" t="n">
        <f aca="false">IF(AND(ISNUMBER(Panel_Inputs!H93),ISNUMBER(Panel_Inputs!F93)),IF(Panel_Inputs!F93&gt;0,100*Panel_Inputs!H93/Panel_Inputs!F93,""),"")</f>
        <v>18.4522264473037</v>
      </c>
      <c r="F93" s="0" t="n">
        <f aca="false">IF(AND(ISNUMBER(Panel_Inputs!I93),ISNUMBER(C93)),IF(C93&gt;0,100*Panel_Inputs!I93/C93,""),"")</f>
        <v>-7.89509119961763</v>
      </c>
      <c r="G93" s="0" t="str">
        <f aca="false">IF(AND(ISNUMBER(Panel_Inputs!L93),ISNUMBER(Panel_Inputs!K93)),IF(Panel_Inputs!K93&gt;0,100*Panel_Inputs!L93/Panel_Inputs!K93,""),"")</f>
        <v/>
      </c>
      <c r="H93" s="0" t="str">
        <f aca="false">IF(AND(ISNUMBER(Panel_Inputs!P93),ISNUMBER(Panel_Inputs!Q93)),IF(Panel_Inputs!Q93&gt;0,100*Panel_Inputs!P93/Panel_Inputs!Q93,""),"")</f>
        <v/>
      </c>
      <c r="I93" s="0" t="n">
        <f aca="false">IF(AND(ISNUMBER(Panel_Inputs!N93),ISNUMBER(C93)),IF(C93&gt;0,100*Panel_Inputs!N93/C93,""),"")</f>
        <v>3.68554586061556</v>
      </c>
      <c r="J93" s="0" t="str">
        <f aca="false">IF(AND(ISNUMBER(Panel_Inputs!L93),ISNUMBER(Panel_Inputs!O93)),IF(Panel_Inputs!O93&gt;0,100*Panel_Inputs!L93/Panel_Inputs!O93,""),"")</f>
        <v/>
      </c>
      <c r="K93" s="0" t="str">
        <f aca="false">IF(AND(ISNUMBER(Panel_Inputs!O93),ISNUMBER(Panel_Inputs!K93)),IF(Panel_Inputs!K93&gt;0,100*Panel_Inputs!O93/Panel_Inputs!K93,""),"")</f>
        <v/>
      </c>
      <c r="L93" s="0" t="str">
        <f aca="false">IF(AND(ISNUMBER(Panel_Inputs!R93),ISNUMBER(Panel_Inputs!K93)),IF(Panel_Inputs!K93&gt;0,100*Panel_Inputs!R93/Panel_Inputs!K93,""),"")</f>
        <v/>
      </c>
      <c r="M93" s="0" t="str">
        <f aca="false">IF(AND(ISNUMBER(Panel_Inputs!S93),ISNUMBER(Panel_Inputs!R93)),IF(Panel_Inputs!R93&gt;0,100*Panel_Inputs!S93/Panel_Inputs!R93,""),"")</f>
        <v/>
      </c>
      <c r="N93" s="0" t="n">
        <f aca="false">IF(AND(ISNUMBER(Panel_Inputs!E93),ISNUMBER(Panel_Inputs!F93)),IF(Panel_Inputs!F93&gt;0,100*Panel_Inputs!E93/Panel_Inputs!F93,""),"")</f>
        <v>2.58706599928787</v>
      </c>
      <c r="O93" s="0" t="n">
        <f aca="false">IF(AND(ISNUMBER(Panel_Inputs!G93),ISNUMBER(Panel_Inputs!F93)),IF(Panel_Inputs!F93&gt;0,100*Panel_Inputs!G93/Panel_Inputs!F93,""),"")</f>
        <v>81.5477735526963</v>
      </c>
      <c r="P93" s="0" t="n">
        <f aca="false">IF(ISNUMBER(Panel_Inputs!F93),IF(Panel_Inputs!F93&gt;0,LN(Panel_Inputs!F93),""),"")</f>
        <v>12.9319413667432</v>
      </c>
      <c r="Q93" s="0" t="n">
        <f aca="false">IF(AND(ISNUMBER(Panel_Inputs!F93),ISNUMBER(Panel_Inputs!G93),ISNUMBER(Panel_Inputs!H93)),Panel_Inputs!F93-Panel_Inputs!G93-Panel_Inputs!H93,"")</f>
        <v>0</v>
      </c>
      <c r="R93" s="0" t="str">
        <f aca="false">IF(AND(ISNUMBER(Panel_Inputs!K93),ISNUMBER(Panel_Inputs!L93),ISNUMBER(Panel_Inputs!M93)),Panel_Inputs!K93-Panel_Inputs!L93-Panel_Inputs!M93,"")</f>
        <v/>
      </c>
      <c r="S93" s="0" t="str">
        <f aca="false">IF(AND(ISNUMBER(Panel_Inputs!V93),Panel_Inputs!W93=1),Panel_Inputs!V93,"")</f>
        <v/>
      </c>
      <c r="T93" s="0" t="str">
        <f aca="false">IF(AND(ISNUMBER(Panel_Inputs!T93),ISNUMBER(Panel_Inputs!U93)),Panel_Inputs!T93-Panel_Inputs!U93,"")</f>
        <v/>
      </c>
    </row>
    <row r="94" customFormat="false" ht="15" hidden="false" customHeight="false" outlineLevel="0" collapsed="false">
      <c r="A94" s="0" t="str">
        <f aca="false">Panel_Inputs!A94</f>
        <v>Unity</v>
      </c>
      <c r="B94" s="0" t="n">
        <f aca="false">Panel_Inputs!B94</f>
        <v>2015</v>
      </c>
      <c r="C94" s="0" t="n">
        <f aca="false">IF(AND(ISNUMBER(Panel_Inputs!F94),ISNUMBER(Panel_Inputs!J94)),IF(AND(Panel_Inputs!F94&gt;0,Panel_Inputs!J94&gt;0),(Panel_Inputs!F94+Panel_Inputs!J94)/2,""),"")</f>
        <v>428313.0615</v>
      </c>
      <c r="D94" s="0" t="n">
        <f aca="false">IF(AND(ISNUMBER(Panel_Inputs!E94),ISNUMBER(C94)),IF(C94&gt;0,100*Panel_Inputs!E94/C94,""),"")</f>
        <v>1.09479663860309</v>
      </c>
      <c r="E94" s="0" t="n">
        <f aca="false">IF(AND(ISNUMBER(Panel_Inputs!H94),ISNUMBER(Panel_Inputs!F94)),IF(Panel_Inputs!F94&gt;0,100*Panel_Inputs!H94/Panel_Inputs!F94,""),"")</f>
        <v>18.6263517326808</v>
      </c>
      <c r="F94" s="0" t="n">
        <f aca="false">IF(AND(ISNUMBER(Panel_Inputs!I94),ISNUMBER(C94)),IF(C94&gt;0,100*Panel_Inputs!I94/C94,""),"")</f>
        <v>-8.5664373324277</v>
      </c>
      <c r="G94" s="0" t="n">
        <f aca="false">IF(AND(ISNUMBER(Panel_Inputs!L94),ISNUMBER(Panel_Inputs!K94)),IF(Panel_Inputs!K94&gt;0,100*Panel_Inputs!L94/Panel_Inputs!K94,""),"")</f>
        <v>21.082056794759</v>
      </c>
      <c r="H94" s="0" t="str">
        <f aca="false">IF(AND(ISNUMBER(Panel_Inputs!P94),ISNUMBER(Panel_Inputs!Q94)),IF(Panel_Inputs!Q94&gt;0,100*Panel_Inputs!P94/Panel_Inputs!Q94,""),"")</f>
        <v/>
      </c>
      <c r="I94" s="0" t="n">
        <f aca="false">IF(AND(ISNUMBER(Panel_Inputs!N94),ISNUMBER(C94)),IF(C94&gt;0,100*Panel_Inputs!N94/C94,""),"")</f>
        <v>6.33232661759488</v>
      </c>
      <c r="J94" s="0" t="str">
        <f aca="false">IF(AND(ISNUMBER(Panel_Inputs!L94),ISNUMBER(Panel_Inputs!O94)),IF(Panel_Inputs!O94&gt;0,100*Panel_Inputs!L94/Panel_Inputs!O94,""),"")</f>
        <v/>
      </c>
      <c r="K94" s="0" t="str">
        <f aca="false">IF(AND(ISNUMBER(Panel_Inputs!O94),ISNUMBER(Panel_Inputs!K94)),IF(Panel_Inputs!K94&gt;0,100*Panel_Inputs!O94/Panel_Inputs!K94,""),"")</f>
        <v/>
      </c>
      <c r="L94" s="0" t="str">
        <f aca="false">IF(AND(ISNUMBER(Panel_Inputs!R94),ISNUMBER(Panel_Inputs!K94)),IF(Panel_Inputs!K94&gt;0,100*Panel_Inputs!R94/Panel_Inputs!K94,""),"")</f>
        <v/>
      </c>
      <c r="M94" s="0" t="str">
        <f aca="false">IF(AND(ISNUMBER(Panel_Inputs!S94),ISNUMBER(Panel_Inputs!R94)),IF(Panel_Inputs!R94&gt;0,100*Panel_Inputs!S94/Panel_Inputs!R94,""),"")</f>
        <v/>
      </c>
      <c r="N94" s="0" t="n">
        <f aca="false">IF(AND(ISNUMBER(Panel_Inputs!E94),ISNUMBER(Panel_Inputs!F94)),IF(Panel_Inputs!F94&gt;0,100*Panel_Inputs!E94/Panel_Inputs!F94,""),"")</f>
        <v>1.05773398351802</v>
      </c>
      <c r="O94" s="0" t="n">
        <f aca="false">IF(AND(ISNUMBER(Panel_Inputs!G94),ISNUMBER(Panel_Inputs!F94)),IF(Panel_Inputs!F94&gt;0,100*Panel_Inputs!G94/Panel_Inputs!F94,""),"")</f>
        <v>81.3736482673192</v>
      </c>
      <c r="P94" s="0" t="n">
        <f aca="false">IF(ISNUMBER(Panel_Inputs!F94),IF(Panel_Inputs!F94&gt;0,LN(Panel_Inputs!F94),""),"")</f>
        <v>13.0020494186624</v>
      </c>
      <c r="Q94" s="0" t="n">
        <f aca="false">IF(AND(ISNUMBER(Panel_Inputs!F94),ISNUMBER(Panel_Inputs!G94),ISNUMBER(Panel_Inputs!H94)),Panel_Inputs!F94-Panel_Inputs!G94-Panel_Inputs!H94,"")</f>
        <v>0</v>
      </c>
      <c r="R94" s="0" t="n">
        <f aca="false">IF(AND(ISNUMBER(Panel_Inputs!K94),ISNUMBER(Panel_Inputs!L94),ISNUMBER(Panel_Inputs!M94)),Panel_Inputs!K94-Panel_Inputs!L94-Panel_Inputs!M94,"")</f>
        <v>0</v>
      </c>
      <c r="S94" s="0" t="str">
        <f aca="false">IF(AND(ISNUMBER(Panel_Inputs!V94),Panel_Inputs!W94=1),Panel_Inputs!V94,"")</f>
        <v/>
      </c>
      <c r="T94" s="0" t="str">
        <f aca="false">IF(AND(ISNUMBER(Panel_Inputs!T94),ISNUMBER(Panel_Inputs!U94)),Panel_Inputs!T94-Panel_Inputs!U94,"")</f>
        <v/>
      </c>
    </row>
    <row r="95" customFormat="false" ht="15" hidden="false" customHeight="false" outlineLevel="0" collapsed="false">
      <c r="A95" s="0" t="str">
        <f aca="false">Panel_Inputs!A95</f>
        <v>Unity</v>
      </c>
      <c r="B95" s="0" t="n">
        <f aca="false">Panel_Inputs!B95</f>
        <v>2016</v>
      </c>
      <c r="C95" s="0" t="n">
        <f aca="false">IF(AND(ISNUMBER(Panel_Inputs!F95),ISNUMBER(Panel_Inputs!J95)),IF(AND(Panel_Inputs!F95&gt;0,Panel_Inputs!J95&gt;0),(Panel_Inputs!F95+Panel_Inputs!J95)/2,""),"")</f>
        <v>468001.3295</v>
      </c>
      <c r="D95" s="0" t="n">
        <f aca="false">IF(AND(ISNUMBER(Panel_Inputs!E95),ISNUMBER(C95)),IF(C95&gt;0,100*Panel_Inputs!E95/C95,""),"")</f>
        <v>0.466622178687636</v>
      </c>
      <c r="E95" s="0" t="n">
        <f aca="false">IF(AND(ISNUMBER(Panel_Inputs!H95),ISNUMBER(Panel_Inputs!F95)),IF(Panel_Inputs!F95&gt;0,100*Panel_Inputs!H95/Panel_Inputs!F95,""),"")</f>
        <v>16.8682922341534</v>
      </c>
      <c r="F95" s="0" t="n">
        <f aca="false">IF(AND(ISNUMBER(Panel_Inputs!I95),ISNUMBER(C95)),IF(C95&gt;0,100*Panel_Inputs!I95/C95,""),"")</f>
        <v>-4.98300422029036</v>
      </c>
      <c r="G95" s="0" t="n">
        <f aca="false">IF(AND(ISNUMBER(Panel_Inputs!L95),ISNUMBER(Panel_Inputs!K95)),IF(Panel_Inputs!K95&gt;0,100*Panel_Inputs!L95/Panel_Inputs!K95,""),"")</f>
        <v>26.8097092100607</v>
      </c>
      <c r="H95" s="0" t="n">
        <f aca="false">IF(AND(ISNUMBER(Panel_Inputs!P95),ISNUMBER(Panel_Inputs!Q95)),IF(Panel_Inputs!Q95&gt;0,100*Panel_Inputs!P95/Panel_Inputs!Q95,""),"")</f>
        <v>-46.9765999648314</v>
      </c>
      <c r="I95" s="0" t="n">
        <f aca="false">IF(AND(ISNUMBER(Panel_Inputs!N95),ISNUMBER(C95)),IF(C95&gt;0,100*Panel_Inputs!N95/C95,""),"")</f>
        <v>7.68130211048898</v>
      </c>
      <c r="J95" s="0" t="str">
        <f aca="false">IF(AND(ISNUMBER(Panel_Inputs!L95),ISNUMBER(Panel_Inputs!O95)),IF(Panel_Inputs!O95&gt;0,100*Panel_Inputs!L95/Panel_Inputs!O95,""),"")</f>
        <v/>
      </c>
      <c r="K95" s="0" t="str">
        <f aca="false">IF(AND(ISNUMBER(Panel_Inputs!O95),ISNUMBER(Panel_Inputs!K95)),IF(Panel_Inputs!K95&gt;0,100*Panel_Inputs!O95/Panel_Inputs!K95,""),"")</f>
        <v/>
      </c>
      <c r="L95" s="0" t="str">
        <f aca="false">IF(AND(ISNUMBER(Panel_Inputs!R95),ISNUMBER(Panel_Inputs!K95)),IF(Panel_Inputs!K95&gt;0,100*Panel_Inputs!R95/Panel_Inputs!K95,""),"")</f>
        <v/>
      </c>
      <c r="M95" s="0" t="str">
        <f aca="false">IF(AND(ISNUMBER(Panel_Inputs!S95),ISNUMBER(Panel_Inputs!R95)),IF(Panel_Inputs!R95&gt;0,100*Panel_Inputs!S95/Panel_Inputs!R95,""),"")</f>
        <v/>
      </c>
      <c r="N95" s="0" t="n">
        <f aca="false">IF(AND(ISNUMBER(Panel_Inputs!E95),ISNUMBER(Panel_Inputs!F95)),IF(Panel_Inputs!F95&gt;0,100*Panel_Inputs!E95/Panel_Inputs!F95,""),"")</f>
        <v>0.443247280124482</v>
      </c>
      <c r="O95" s="0" t="n">
        <f aca="false">IF(AND(ISNUMBER(Panel_Inputs!G95),ISNUMBER(Panel_Inputs!F95)),IF(Panel_Inputs!F95&gt;0,100*Panel_Inputs!G95/Panel_Inputs!F95,""),"")</f>
        <v>83.1317077658466</v>
      </c>
      <c r="P95" s="0" t="n">
        <f aca="false">IF(ISNUMBER(Panel_Inputs!F95),IF(Panel_Inputs!F95&gt;0,LN(Panel_Inputs!F95),""),"")</f>
        <v>13.1076184979905</v>
      </c>
      <c r="Q95" s="0" t="n">
        <f aca="false">IF(AND(ISNUMBER(Panel_Inputs!F95),ISNUMBER(Panel_Inputs!G95),ISNUMBER(Panel_Inputs!H95)),Panel_Inputs!F95-Panel_Inputs!G95-Panel_Inputs!H95,"")</f>
        <v>0</v>
      </c>
      <c r="R95" s="0" t="n">
        <f aca="false">IF(AND(ISNUMBER(Panel_Inputs!K95),ISNUMBER(Panel_Inputs!L95),ISNUMBER(Panel_Inputs!M95)),Panel_Inputs!K95-Panel_Inputs!L95-Panel_Inputs!M95,"")</f>
        <v>-0.00099999998928979</v>
      </c>
      <c r="S95" s="0" t="str">
        <f aca="false">IF(AND(ISNUMBER(Panel_Inputs!V95),Panel_Inputs!W95=1),Panel_Inputs!V95,"")</f>
        <v/>
      </c>
      <c r="T95" s="0" t="str">
        <f aca="false">IF(AND(ISNUMBER(Panel_Inputs!T95),ISNUMBER(Panel_Inputs!U95)),Panel_Inputs!T95-Panel_Inputs!U95,"")</f>
        <v/>
      </c>
    </row>
    <row r="96" customFormat="false" ht="15" hidden="false" customHeight="false" outlineLevel="0" collapsed="false">
      <c r="A96" s="0" t="str">
        <f aca="false">Panel_Inputs!A96</f>
        <v>Unity</v>
      </c>
      <c r="B96" s="0" t="n">
        <f aca="false">Panel_Inputs!B96</f>
        <v>2017</v>
      </c>
      <c r="C96" s="0" t="n">
        <f aca="false">IF(AND(ISNUMBER(Panel_Inputs!F96),ISNUMBER(Panel_Inputs!J96)),IF(AND(Panel_Inputs!F96&gt;0,Panel_Inputs!J96&gt;0),(Panel_Inputs!F96+Panel_Inputs!J96)/2,""),"")</f>
        <v>324594.0755</v>
      </c>
      <c r="D96" s="0" t="n">
        <f aca="false">IF(AND(ISNUMBER(Panel_Inputs!E96),ISNUMBER(C96)),IF(C96&gt;0,100*Panel_Inputs!E96/C96,""),"")</f>
        <v>-4.59587501004774</v>
      </c>
      <c r="E96" s="0" t="n">
        <f aca="false">IF(AND(ISNUMBER(Panel_Inputs!H96),ISNUMBER(Panel_Inputs!F96)),IF(Panel_Inputs!F96&gt;0,100*Panel_Inputs!H96/Panel_Inputs!F96,""),"")</f>
        <v>-154.749578330623</v>
      </c>
      <c r="F96" s="0" t="n">
        <f aca="false">IF(AND(ISNUMBER(Panel_Inputs!I96),ISNUMBER(C96)),IF(C96&gt;0,100*Panel_Inputs!I96/C96,""),"")</f>
        <v>-2.07792979265267</v>
      </c>
      <c r="G96" s="0" t="n">
        <f aca="false">IF(AND(ISNUMBER(Panel_Inputs!L96),ISNUMBER(Panel_Inputs!K96)),IF(Panel_Inputs!K96&gt;0,100*Panel_Inputs!L96/Panel_Inputs!K96,""),"")</f>
        <v>5.37685893862818</v>
      </c>
      <c r="H96" s="0" t="n">
        <f aca="false">IF(AND(ISNUMBER(Panel_Inputs!P96),ISNUMBER(Panel_Inputs!Q96)),IF(Panel_Inputs!Q96&gt;0,100*Panel_Inputs!P96/Panel_Inputs!Q96,""),"")</f>
        <v>-198.073962444475</v>
      </c>
      <c r="I96" s="0" t="n">
        <f aca="false">IF(AND(ISNUMBER(Panel_Inputs!N96),ISNUMBER(C96)),IF(C96&gt;0,100*Panel_Inputs!N96/C96,""),"")</f>
        <v>13.6339096552611</v>
      </c>
      <c r="J96" s="0" t="str">
        <f aca="false">IF(AND(ISNUMBER(Panel_Inputs!L96),ISNUMBER(Panel_Inputs!O96)),IF(Panel_Inputs!O96&gt;0,100*Panel_Inputs!L96/Panel_Inputs!O96,""),"")</f>
        <v/>
      </c>
      <c r="K96" s="0" t="str">
        <f aca="false">IF(AND(ISNUMBER(Panel_Inputs!O96),ISNUMBER(Panel_Inputs!K96)),IF(Panel_Inputs!K96&gt;0,100*Panel_Inputs!O96/Panel_Inputs!K96,""),"")</f>
        <v/>
      </c>
      <c r="L96" s="0" t="str">
        <f aca="false">IF(AND(ISNUMBER(Panel_Inputs!R96),ISNUMBER(Panel_Inputs!K96)),IF(Panel_Inputs!K96&gt;0,100*Panel_Inputs!R96/Panel_Inputs!K96,""),"")</f>
        <v/>
      </c>
      <c r="M96" s="0" t="str">
        <f aca="false">IF(AND(ISNUMBER(Panel_Inputs!S96),ISNUMBER(Panel_Inputs!R96)),IF(Panel_Inputs!R96&gt;0,100*Panel_Inputs!S96/Panel_Inputs!R96,""),"")</f>
        <v/>
      </c>
      <c r="N96" s="0" t="n">
        <f aca="false">IF(AND(ISNUMBER(Panel_Inputs!E96),ISNUMBER(Panel_Inputs!F96)),IF(Panel_Inputs!F96&gt;0,100*Panel_Inputs!E96/Panel_Inputs!F96,""),"")</f>
        <v>-9.53183261955682</v>
      </c>
      <c r="O96" s="0" t="n">
        <f aca="false">IF(AND(ISNUMBER(Panel_Inputs!G96),ISNUMBER(Panel_Inputs!F96)),IF(Panel_Inputs!F96&gt;0,100*Panel_Inputs!G96/Panel_Inputs!F96,""),"")</f>
        <v>254.749578330623</v>
      </c>
      <c r="P96" s="0" t="n">
        <f aca="false">IF(ISNUMBER(Panel_Inputs!F96),IF(Panel_Inputs!F96&gt;0,LN(Panel_Inputs!F96),""),"")</f>
        <v>11.9608528472042</v>
      </c>
      <c r="Q96" s="0" t="n">
        <f aca="false">IF(AND(ISNUMBER(Panel_Inputs!F96),ISNUMBER(Panel_Inputs!G96),ISNUMBER(Panel_Inputs!H96)),Panel_Inputs!F96-Panel_Inputs!G96-Panel_Inputs!H96,"")</f>
        <v>0</v>
      </c>
      <c r="R96" s="0" t="n">
        <f aca="false">IF(AND(ISNUMBER(Panel_Inputs!K96),ISNUMBER(Panel_Inputs!L96),ISNUMBER(Panel_Inputs!M96)),Panel_Inputs!K96-Panel_Inputs!L96-Panel_Inputs!M96,"")</f>
        <v>0</v>
      </c>
      <c r="S96" s="0" t="str">
        <f aca="false">IF(AND(ISNUMBER(Panel_Inputs!V96),Panel_Inputs!W96=1),Panel_Inputs!V96,"")</f>
        <v/>
      </c>
      <c r="T96" s="0" t="str">
        <f aca="false">IF(AND(ISNUMBER(Panel_Inputs!T96),ISNUMBER(Panel_Inputs!U96)),Panel_Inputs!T96-Panel_Inputs!U96,"")</f>
        <v/>
      </c>
    </row>
    <row r="97" customFormat="false" ht="15" hidden="false" customHeight="false" outlineLevel="0" collapsed="false">
      <c r="A97" s="0" t="str">
        <f aca="false">Panel_Inputs!A97</f>
        <v>Unity</v>
      </c>
      <c r="B97" s="0" t="n">
        <f aca="false">Panel_Inputs!B97</f>
        <v>2018</v>
      </c>
      <c r="C97" s="0" t="str">
        <f aca="false">IF(AND(ISNUMBER(Panel_Inputs!F97),ISNUMBER(Panel_Inputs!J97)),IF(AND(Panel_Inputs!F97&gt;0,Panel_Inputs!J97&gt;0),(Panel_Inputs!F97+Panel_Inputs!J97)/2,""),"")</f>
        <v/>
      </c>
      <c r="D97" s="0" t="str">
        <f aca="false">IF(AND(ISNUMBER(Panel_Inputs!E97),ISNUMBER(C97)),IF(C97&gt;0,100*Panel_Inputs!E97/C97,""),"")</f>
        <v/>
      </c>
      <c r="E97" s="0" t="n">
        <f aca="false">IF(AND(ISNUMBER(Panel_Inputs!H97),ISNUMBER(Panel_Inputs!F97)),IF(Panel_Inputs!F97&gt;0,100*Panel_Inputs!H97/Panel_Inputs!F97,""),"")</f>
        <v>-134.902049086227</v>
      </c>
      <c r="F97" s="0" t="str">
        <f aca="false">IF(AND(ISNUMBER(Panel_Inputs!I97),ISNUMBER(C97)),IF(C97&gt;0,100*Panel_Inputs!I97/C97,""),"")</f>
        <v/>
      </c>
      <c r="G97" s="0" t="n">
        <f aca="false">IF(AND(ISNUMBER(Panel_Inputs!L97),ISNUMBER(Panel_Inputs!K97)),IF(Panel_Inputs!K97&gt;0,100*Panel_Inputs!L97/Panel_Inputs!K97,""),"")</f>
        <v>1.65962938154404</v>
      </c>
      <c r="H97" s="0" t="str">
        <f aca="false">IF(AND(ISNUMBER(Panel_Inputs!P97),ISNUMBER(Panel_Inputs!Q97)),IF(Panel_Inputs!Q97&gt;0,100*Panel_Inputs!P97/Panel_Inputs!Q97,""),"")</f>
        <v/>
      </c>
      <c r="I97" s="0" t="str">
        <f aca="false">IF(AND(ISNUMBER(Panel_Inputs!N97),ISNUMBER(C97)),IF(C97&gt;0,100*Panel_Inputs!N97/C97,""),"")</f>
        <v/>
      </c>
      <c r="J97" s="0" t="str">
        <f aca="false">IF(AND(ISNUMBER(Panel_Inputs!L97),ISNUMBER(Panel_Inputs!O97)),IF(Panel_Inputs!O97&gt;0,100*Panel_Inputs!L97/Panel_Inputs!O97,""),"")</f>
        <v/>
      </c>
      <c r="K97" s="0" t="str">
        <f aca="false">IF(AND(ISNUMBER(Panel_Inputs!O97),ISNUMBER(Panel_Inputs!K97)),IF(Panel_Inputs!K97&gt;0,100*Panel_Inputs!O97/Panel_Inputs!K97,""),"")</f>
        <v/>
      </c>
      <c r="L97" s="0" t="str">
        <f aca="false">IF(AND(ISNUMBER(Panel_Inputs!R97),ISNUMBER(Panel_Inputs!K97)),IF(Panel_Inputs!K97&gt;0,100*Panel_Inputs!R97/Panel_Inputs!K97,""),"")</f>
        <v/>
      </c>
      <c r="M97" s="0" t="str">
        <f aca="false">IF(AND(ISNUMBER(Panel_Inputs!S97),ISNUMBER(Panel_Inputs!R97)),IF(Panel_Inputs!R97&gt;0,100*Panel_Inputs!S97/Panel_Inputs!R97,""),"")</f>
        <v/>
      </c>
      <c r="N97" s="0" t="n">
        <f aca="false">IF(AND(ISNUMBER(Panel_Inputs!E97),ISNUMBER(Panel_Inputs!F97)),IF(Panel_Inputs!F97&gt;0,100*Panel_Inputs!E97/Panel_Inputs!F97,""),"")</f>
        <v>-3.6505167453293</v>
      </c>
      <c r="O97" s="0" t="n">
        <f aca="false">IF(AND(ISNUMBER(Panel_Inputs!G97),ISNUMBER(Panel_Inputs!F97)),IF(Panel_Inputs!F97&gt;0,100*Panel_Inputs!G97/Panel_Inputs!F97,""),"")</f>
        <v>234.902049086227</v>
      </c>
      <c r="P97" s="0" t="n">
        <f aca="false">IF(ISNUMBER(Panel_Inputs!F97),IF(Panel_Inputs!F97&gt;0,LN(Panel_Inputs!F97),""),"")</f>
        <v>12.258669085205</v>
      </c>
      <c r="Q97" s="0" t="n">
        <f aca="false">IF(AND(ISNUMBER(Panel_Inputs!F97),ISNUMBER(Panel_Inputs!G97),ISNUMBER(Panel_Inputs!H97)),Panel_Inputs!F97-Panel_Inputs!G97-Panel_Inputs!H97,"")</f>
        <v>0</v>
      </c>
      <c r="R97" s="0" t="str">
        <f aca="false">IF(AND(ISNUMBER(Panel_Inputs!K97),ISNUMBER(Panel_Inputs!L97),ISNUMBER(Panel_Inputs!M97)),Panel_Inputs!K97-Panel_Inputs!L97-Panel_Inputs!M97,"")</f>
        <v/>
      </c>
      <c r="S97" s="0" t="str">
        <f aca="false">IF(AND(ISNUMBER(Panel_Inputs!V97),Panel_Inputs!W97=1),Panel_Inputs!V97,"")</f>
        <v/>
      </c>
      <c r="T97" s="0" t="n">
        <f aca="false">IF(AND(ISNUMBER(Panel_Inputs!T97),ISNUMBER(Panel_Inputs!U97)),Panel_Inputs!T97-Panel_Inputs!U97,"")</f>
        <v>-224.8</v>
      </c>
    </row>
    <row r="98" customFormat="false" ht="15" hidden="false" customHeight="false" outlineLevel="0" collapsed="false">
      <c r="A98" s="0" t="str">
        <f aca="false">Panel_Inputs!A98</f>
        <v>Unity</v>
      </c>
      <c r="B98" s="0" t="n">
        <f aca="false">Panel_Inputs!B98</f>
        <v>2019</v>
      </c>
      <c r="C98" s="0" t="n">
        <f aca="false">IF(AND(ISNUMBER(Panel_Inputs!F98),ISNUMBER(Panel_Inputs!J98)),IF(AND(Panel_Inputs!F98&gt;0,Panel_Inputs!J98&gt;0),(Panel_Inputs!F98+Panel_Inputs!J98)/2,""),"")</f>
        <v>251926.4555</v>
      </c>
      <c r="D98" s="0" t="n">
        <f aca="false">IF(AND(ISNUMBER(Panel_Inputs!E98),ISNUMBER(C98)),IF(C98&gt;0,100*Panel_Inputs!E98/C98,""),"")</f>
        <v>1.34292724171638</v>
      </c>
      <c r="E98" s="0" t="n">
        <f aca="false">IF(AND(ISNUMBER(Panel_Inputs!H98),ISNUMBER(Panel_Inputs!F98)),IF(Panel_Inputs!F98&gt;0,100*Panel_Inputs!H98/Panel_Inputs!F98,""),"")</f>
        <v>-95.1557475775551</v>
      </c>
      <c r="F98" s="0" t="n">
        <f aca="false">IF(AND(ISNUMBER(Panel_Inputs!I98),ISNUMBER(C98)),IF(C98&gt;0,100*Panel_Inputs!I98/C98,""),"")</f>
        <v>-15.650465101709</v>
      </c>
      <c r="G98" s="0" t="n">
        <f aca="false">IF(AND(ISNUMBER(Panel_Inputs!L98),ISNUMBER(Panel_Inputs!K98)),IF(Panel_Inputs!K98&gt;0,100*Panel_Inputs!L98/Panel_Inputs!K98,""),"")</f>
        <v>2.70880620448922</v>
      </c>
      <c r="H98" s="0" t="str">
        <f aca="false">IF(AND(ISNUMBER(Panel_Inputs!P98),ISNUMBER(Panel_Inputs!Q98)),IF(Panel_Inputs!Q98&gt;0,100*Panel_Inputs!P98/Panel_Inputs!Q98,""),"")</f>
        <v/>
      </c>
      <c r="I98" s="0" t="n">
        <f aca="false">IF(AND(ISNUMBER(Panel_Inputs!N98),ISNUMBER(C98)),IF(C98&gt;0,100*Panel_Inputs!N98/C98,""),"")</f>
        <v>0.762890501589262</v>
      </c>
      <c r="J98" s="0" t="str">
        <f aca="false">IF(AND(ISNUMBER(Panel_Inputs!L98),ISNUMBER(Panel_Inputs!O98)),IF(Panel_Inputs!O98&gt;0,100*Panel_Inputs!L98/Panel_Inputs!O98,""),"")</f>
        <v/>
      </c>
      <c r="K98" s="0" t="str">
        <f aca="false">IF(AND(ISNUMBER(Panel_Inputs!O98),ISNUMBER(Panel_Inputs!K98)),IF(Panel_Inputs!K98&gt;0,100*Panel_Inputs!O98/Panel_Inputs!K98,""),"")</f>
        <v/>
      </c>
      <c r="L98" s="0" t="str">
        <f aca="false">IF(AND(ISNUMBER(Panel_Inputs!R98),ISNUMBER(Panel_Inputs!K98)),IF(Panel_Inputs!K98&gt;0,100*Panel_Inputs!R98/Panel_Inputs!K98,""),"")</f>
        <v/>
      </c>
      <c r="M98" s="0" t="str">
        <f aca="false">IF(AND(ISNUMBER(Panel_Inputs!S98),ISNUMBER(Panel_Inputs!R98)),IF(Panel_Inputs!R98&gt;0,100*Panel_Inputs!S98/Panel_Inputs!R98,""),"")</f>
        <v/>
      </c>
      <c r="N98" s="0" t="n">
        <f aca="false">IF(AND(ISNUMBER(Panel_Inputs!E98),ISNUMBER(Panel_Inputs!F98)),IF(Panel_Inputs!F98&gt;0,100*Panel_Inputs!E98/Panel_Inputs!F98,""),"")</f>
        <v>1.15446684952609</v>
      </c>
      <c r="O98" s="0" t="n">
        <f aca="false">IF(AND(ISNUMBER(Panel_Inputs!G98),ISNUMBER(Panel_Inputs!F98)),IF(Panel_Inputs!F98&gt;0,100*Panel_Inputs!G98/Panel_Inputs!F98,""),"")</f>
        <v>195.155747577555</v>
      </c>
      <c r="P98" s="0" t="n">
        <f aca="false">IF(ISNUMBER(Panel_Inputs!F98),IF(Panel_Inputs!F98&gt;0,LN(Panel_Inputs!F98),""),"")</f>
        <v>12.5881055855206</v>
      </c>
      <c r="Q98" s="0" t="n">
        <f aca="false">IF(AND(ISNUMBER(Panel_Inputs!F98),ISNUMBER(Panel_Inputs!G98),ISNUMBER(Panel_Inputs!H98)),Panel_Inputs!F98-Panel_Inputs!G98-Panel_Inputs!H98,"")</f>
        <v>0</v>
      </c>
      <c r="R98" s="0" t="str">
        <f aca="false">IF(AND(ISNUMBER(Panel_Inputs!K98),ISNUMBER(Panel_Inputs!L98),ISNUMBER(Panel_Inputs!M98)),Panel_Inputs!K98-Panel_Inputs!L98-Panel_Inputs!M98,"")</f>
        <v/>
      </c>
      <c r="S98" s="0" t="str">
        <f aca="false">IF(AND(ISNUMBER(Panel_Inputs!V98),Panel_Inputs!W98=1),Panel_Inputs!V98,"")</f>
        <v/>
      </c>
      <c r="T98" s="0" t="n">
        <f aca="false">IF(AND(ISNUMBER(Panel_Inputs!T98),ISNUMBER(Panel_Inputs!U98)),Panel_Inputs!T98-Panel_Inputs!U98,"")</f>
        <v>-211.59</v>
      </c>
    </row>
    <row r="99" customFormat="false" ht="15" hidden="false" customHeight="false" outlineLevel="0" collapsed="false">
      <c r="A99" s="0" t="str">
        <f aca="false">Panel_Inputs!A99</f>
        <v>Unity</v>
      </c>
      <c r="B99" s="0" t="n">
        <f aca="false">Panel_Inputs!B99</f>
        <v>2020</v>
      </c>
      <c r="C99" s="0" t="str">
        <f aca="false">IF(AND(ISNUMBER(Panel_Inputs!F99),ISNUMBER(Panel_Inputs!J99)),IF(AND(Panel_Inputs!F99&gt;0,Panel_Inputs!J99&gt;0),(Panel_Inputs!F99+Panel_Inputs!J99)/2,""),"")</f>
        <v/>
      </c>
      <c r="D99" s="0" t="str">
        <f aca="false">IF(AND(ISNUMBER(Panel_Inputs!E99),ISNUMBER(C99)),IF(C99&gt;0,100*Panel_Inputs!E99/C99,""),"")</f>
        <v/>
      </c>
      <c r="E99" s="0" t="n">
        <f aca="false">IF(AND(ISNUMBER(Panel_Inputs!H99),ISNUMBER(Panel_Inputs!F99)),IF(Panel_Inputs!F99&gt;0,100*Panel_Inputs!H99/Panel_Inputs!F99,""),"")</f>
        <v>-55.9752879641686</v>
      </c>
      <c r="F99" s="0" t="str">
        <f aca="false">IF(AND(ISNUMBER(Panel_Inputs!I99),ISNUMBER(C99)),IF(C99&gt;0,100*Panel_Inputs!I99/C99,""),"")</f>
        <v/>
      </c>
      <c r="G99" s="0" t="n">
        <f aca="false">IF(AND(ISNUMBER(Panel_Inputs!L99),ISNUMBER(Panel_Inputs!K99)),IF(Panel_Inputs!K99&gt;0,100*Panel_Inputs!L99/Panel_Inputs!K99,""),"")</f>
        <v>2.00028036103627</v>
      </c>
      <c r="H99" s="0" t="str">
        <f aca="false">IF(AND(ISNUMBER(Panel_Inputs!P99),ISNUMBER(Panel_Inputs!Q99)),IF(Panel_Inputs!Q99&gt;0,100*Panel_Inputs!P99/Panel_Inputs!Q99,""),"")</f>
        <v/>
      </c>
      <c r="I99" s="0" t="str">
        <f aca="false">IF(AND(ISNUMBER(Panel_Inputs!N99),ISNUMBER(C99)),IF(C99&gt;0,100*Panel_Inputs!N99/C99,""),"")</f>
        <v/>
      </c>
      <c r="J99" s="0" t="str">
        <f aca="false">IF(AND(ISNUMBER(Panel_Inputs!L99),ISNUMBER(Panel_Inputs!O99)),IF(Panel_Inputs!O99&gt;0,100*Panel_Inputs!L99/Panel_Inputs!O99,""),"")</f>
        <v/>
      </c>
      <c r="K99" s="0" t="str">
        <f aca="false">IF(AND(ISNUMBER(Panel_Inputs!O99),ISNUMBER(Panel_Inputs!K99)),IF(Panel_Inputs!K99&gt;0,100*Panel_Inputs!O99/Panel_Inputs!K99,""),"")</f>
        <v/>
      </c>
      <c r="L99" s="0" t="str">
        <f aca="false">IF(AND(ISNUMBER(Panel_Inputs!R99),ISNUMBER(Panel_Inputs!K99)),IF(Panel_Inputs!K99&gt;0,100*Panel_Inputs!R99/Panel_Inputs!K99,""),"")</f>
        <v/>
      </c>
      <c r="M99" s="0" t="str">
        <f aca="false">IF(AND(ISNUMBER(Panel_Inputs!S99),ISNUMBER(Panel_Inputs!R99)),IF(Panel_Inputs!R99&gt;0,100*Panel_Inputs!S99/Panel_Inputs!R99,""),"")</f>
        <v/>
      </c>
      <c r="N99" s="0" t="n">
        <f aca="false">IF(AND(ISNUMBER(Panel_Inputs!E99),ISNUMBER(Panel_Inputs!F99)),IF(Panel_Inputs!F99&gt;0,100*Panel_Inputs!E99/Panel_Inputs!F99,""),"")</f>
        <v>0.424046096680692</v>
      </c>
      <c r="O99" s="0" t="n">
        <f aca="false">IF(AND(ISNUMBER(Panel_Inputs!G99),ISNUMBER(Panel_Inputs!F99)),IF(Panel_Inputs!F99&gt;0,100*Panel_Inputs!G99/Panel_Inputs!F99,""),"")</f>
        <v>155.975287964169</v>
      </c>
      <c r="P99" s="0" t="n">
        <f aca="false">IF(ISNUMBER(Panel_Inputs!F99),IF(Panel_Inputs!F99&gt;0,LN(Panel_Inputs!F99),""),"")</f>
        <v>13.1062753137265</v>
      </c>
      <c r="Q99" s="0" t="n">
        <f aca="false">IF(AND(ISNUMBER(Panel_Inputs!F99),ISNUMBER(Panel_Inputs!G99),ISNUMBER(Panel_Inputs!H99)),Panel_Inputs!F99-Panel_Inputs!G99-Panel_Inputs!H99,"")</f>
        <v>0</v>
      </c>
      <c r="R99" s="0" t="n">
        <f aca="false">IF(AND(ISNUMBER(Panel_Inputs!K99),ISNUMBER(Panel_Inputs!L99),ISNUMBER(Panel_Inputs!M99)),Panel_Inputs!K99-Panel_Inputs!L99-Panel_Inputs!M99,"")</f>
        <v>-0.00100000001839362</v>
      </c>
      <c r="S99" s="0" t="str">
        <f aca="false">IF(AND(ISNUMBER(Panel_Inputs!V99),Panel_Inputs!W99=1),Panel_Inputs!V99,"")</f>
        <v/>
      </c>
      <c r="T99" s="0" t="str">
        <f aca="false">IF(AND(ISNUMBER(Panel_Inputs!T99),ISNUMBER(Panel_Inputs!U99)),Panel_Inputs!T99-Panel_Inputs!U99,"")</f>
        <v/>
      </c>
    </row>
    <row r="100" customFormat="false" ht="15" hidden="false" customHeight="false" outlineLevel="0" collapsed="false">
      <c r="A100" s="0" t="str">
        <f aca="false">Panel_Inputs!A100</f>
        <v>Unity</v>
      </c>
      <c r="B100" s="0" t="n">
        <f aca="false">Panel_Inputs!B100</f>
        <v>2021</v>
      </c>
      <c r="C100" s="0" t="n">
        <f aca="false">IF(AND(ISNUMBER(Panel_Inputs!F100),ISNUMBER(Panel_Inputs!J100)),IF(AND(Panel_Inputs!F100&gt;0,Panel_Inputs!J100&gt;0),(Panel_Inputs!F100+Panel_Inputs!J100)/2,""),"")</f>
        <v>515444.542</v>
      </c>
      <c r="D100" s="0" t="n">
        <f aca="false">IF(AND(ISNUMBER(Panel_Inputs!E100),ISNUMBER(C100)),IF(C100&gt;0,100*Panel_Inputs!E100/C100,""),"")</f>
        <v>0.615634416786588</v>
      </c>
      <c r="E100" s="0" t="n">
        <f aca="false">IF(AND(ISNUMBER(Panel_Inputs!H100),ISNUMBER(Panel_Inputs!F100)),IF(Panel_Inputs!F100&gt;0,100*Panel_Inputs!H100/Panel_Inputs!F100,""),"")</f>
        <v>-51.2468857096753</v>
      </c>
      <c r="F100" s="0" t="n">
        <f aca="false">IF(AND(ISNUMBER(Panel_Inputs!I100),ISNUMBER(C100)),IF(C100&gt;0,100*Panel_Inputs!I100/C100,""),"")</f>
        <v>-12.5818682158051</v>
      </c>
      <c r="G100" s="0" t="n">
        <f aca="false">IF(AND(ISNUMBER(Panel_Inputs!L100),ISNUMBER(Panel_Inputs!K100)),IF(Panel_Inputs!K100&gt;0,100*Panel_Inputs!L100/Panel_Inputs!K100,""),"")</f>
        <v>1.17414648057081</v>
      </c>
      <c r="H100" s="0" t="n">
        <f aca="false">IF(AND(ISNUMBER(Panel_Inputs!P100),ISNUMBER(Panel_Inputs!Q100)),IF(Panel_Inputs!Q100&gt;0,100*Panel_Inputs!P100/Panel_Inputs!Q100,""),"")</f>
        <v>-86.1830547229477</v>
      </c>
      <c r="I100" s="0" t="n">
        <f aca="false">IF(AND(ISNUMBER(Panel_Inputs!N100),ISNUMBER(C100)),IF(C100&gt;0,100*Panel_Inputs!N100/C100,""),"")</f>
        <v>-0.49742053530174</v>
      </c>
      <c r="J100" s="0" t="str">
        <f aca="false">IF(AND(ISNUMBER(Panel_Inputs!L100),ISNUMBER(Panel_Inputs!O100)),IF(Panel_Inputs!O100&gt;0,100*Panel_Inputs!L100/Panel_Inputs!O100,""),"")</f>
        <v/>
      </c>
      <c r="K100" s="0" t="str">
        <f aca="false">IF(AND(ISNUMBER(Panel_Inputs!O100),ISNUMBER(Panel_Inputs!K100)),IF(Panel_Inputs!K100&gt;0,100*Panel_Inputs!O100/Panel_Inputs!K100,""),"")</f>
        <v/>
      </c>
      <c r="L100" s="0" t="n">
        <f aca="false">IF(AND(ISNUMBER(Panel_Inputs!R100),ISNUMBER(Panel_Inputs!K100)),IF(Panel_Inputs!K100&gt;0,100*Panel_Inputs!R100/Panel_Inputs!K100,""),"")</f>
        <v>0.0388499384700419</v>
      </c>
      <c r="M100" s="0" t="n">
        <f aca="false">IF(AND(ISNUMBER(Panel_Inputs!S100),ISNUMBER(Panel_Inputs!R100)),IF(Panel_Inputs!R100&gt;0,100*Panel_Inputs!S100/Panel_Inputs!R100,""),"")</f>
        <v>0.956033782379504</v>
      </c>
      <c r="N100" s="0" t="n">
        <f aca="false">IF(AND(ISNUMBER(Panel_Inputs!E100),ISNUMBER(Panel_Inputs!F100)),IF(Panel_Inputs!F100&gt;0,100*Panel_Inputs!E100/Panel_Inputs!F100,""),"")</f>
        <v>0.588873259129674</v>
      </c>
      <c r="O100" s="0" t="n">
        <f aca="false">IF(AND(ISNUMBER(Panel_Inputs!G100),ISNUMBER(Panel_Inputs!F100)),IF(Panel_Inputs!F100&gt;0,100*Panel_Inputs!G100/Panel_Inputs!F100,""),"")</f>
        <v>151.246885709675</v>
      </c>
      <c r="P100" s="0" t="n">
        <f aca="false">IF(ISNUMBER(Panel_Inputs!F100),IF(Panel_Inputs!F100&gt;0,LN(Panel_Inputs!F100),""),"")</f>
        <v>13.1972273230238</v>
      </c>
      <c r="Q100" s="0" t="n">
        <f aca="false">IF(AND(ISNUMBER(Panel_Inputs!F100),ISNUMBER(Panel_Inputs!G100),ISNUMBER(Panel_Inputs!H100)),Panel_Inputs!F100-Panel_Inputs!G100-Panel_Inputs!H100,"")</f>
        <v>0</v>
      </c>
      <c r="R100" s="0" t="n">
        <f aca="false">IF(AND(ISNUMBER(Panel_Inputs!K100),ISNUMBER(Panel_Inputs!L100),ISNUMBER(Panel_Inputs!M100)),Panel_Inputs!K100-Panel_Inputs!L100-Panel_Inputs!M100,"")</f>
        <v>0</v>
      </c>
      <c r="S100" s="0" t="str">
        <f aca="false">IF(AND(ISNUMBER(Panel_Inputs!V100),Panel_Inputs!W100=1),Panel_Inputs!V100,"")</f>
        <v/>
      </c>
      <c r="T100" s="0" t="str">
        <f aca="false">IF(AND(ISNUMBER(Panel_Inputs!T100),ISNUMBER(Panel_Inputs!U100)),Panel_Inputs!T100-Panel_Inputs!U100,"")</f>
        <v/>
      </c>
    </row>
    <row r="101" customFormat="false" ht="15" hidden="false" customHeight="false" outlineLevel="0" collapsed="false">
      <c r="A101" s="0" t="str">
        <f aca="false">Panel_Inputs!A101</f>
        <v>Unity</v>
      </c>
      <c r="B101" s="0" t="n">
        <f aca="false">Panel_Inputs!B101</f>
        <v>2022</v>
      </c>
      <c r="C101" s="0" t="n">
        <f aca="false">IF(AND(ISNUMBER(Panel_Inputs!F101),ISNUMBER(Panel_Inputs!J101)),IF(AND(Panel_Inputs!F101&gt;0,Panel_Inputs!J101&gt;0),(Panel_Inputs!F101+Panel_Inputs!J101)/2,""),"")</f>
        <v>524506.3575</v>
      </c>
      <c r="D101" s="0" t="n">
        <f aca="false">IF(AND(ISNUMBER(Panel_Inputs!E101),ISNUMBER(C101)),IF(C101&gt;0,100*Panel_Inputs!E101/C101,""),"")</f>
        <v>0.179478282110241</v>
      </c>
      <c r="E101" s="0" t="n">
        <f aca="false">IF(AND(ISNUMBER(Panel_Inputs!H101),ISNUMBER(Panel_Inputs!F101)),IF(Panel_Inputs!F101&gt;0,100*Panel_Inputs!H101/Panel_Inputs!F101,""),"")</f>
        <v>-53.8961918786536</v>
      </c>
      <c r="F101" s="0" t="n">
        <f aca="false">IF(AND(ISNUMBER(Panel_Inputs!I101),ISNUMBER(C101)),IF(C101&gt;0,100*Panel_Inputs!I101/C101,""),"")</f>
        <v>-5.13510896767348</v>
      </c>
      <c r="G101" s="0" t="n">
        <f aca="false">IF(AND(ISNUMBER(Panel_Inputs!L101),ISNUMBER(Panel_Inputs!K101)),IF(Panel_Inputs!K101&gt;0,100*Panel_Inputs!L101/Panel_Inputs!K101,""),"")</f>
        <v>1.23321968044321</v>
      </c>
      <c r="H101" s="0" t="n">
        <f aca="false">IF(AND(ISNUMBER(Panel_Inputs!P101),ISNUMBER(Panel_Inputs!Q101)),IF(Panel_Inputs!Q101&gt;0,100*Panel_Inputs!P101/Panel_Inputs!Q101,""),"")</f>
        <v>-89.6860813850715</v>
      </c>
      <c r="I101" s="0" t="n">
        <f aca="false">IF(AND(ISNUMBER(Panel_Inputs!N101),ISNUMBER(C101)),IF(C101&gt;0,100*Panel_Inputs!N101/C101,""),"")</f>
        <v>-0.229521908130542</v>
      </c>
      <c r="J101" s="0" t="str">
        <f aca="false">IF(AND(ISNUMBER(Panel_Inputs!L101),ISNUMBER(Panel_Inputs!O101)),IF(Panel_Inputs!O101&gt;0,100*Panel_Inputs!L101/Panel_Inputs!O101,""),"")</f>
        <v/>
      </c>
      <c r="K101" s="0" t="str">
        <f aca="false">IF(AND(ISNUMBER(Panel_Inputs!O101),ISNUMBER(Panel_Inputs!K101)),IF(Panel_Inputs!K101&gt;0,100*Panel_Inputs!O101/Panel_Inputs!K101,""),"")</f>
        <v/>
      </c>
      <c r="L101" s="0" t="n">
        <f aca="false">IF(AND(ISNUMBER(Panel_Inputs!R101),ISNUMBER(Panel_Inputs!K101)),IF(Panel_Inputs!K101&gt;0,100*Panel_Inputs!R101/Panel_Inputs!K101,""),"")</f>
        <v>0.161434681307159</v>
      </c>
      <c r="M101" s="0" t="n">
        <f aca="false">IF(AND(ISNUMBER(Panel_Inputs!S101),ISNUMBER(Panel_Inputs!R101)),IF(Panel_Inputs!R101&gt;0,100*Panel_Inputs!S101/Panel_Inputs!R101,""),"")</f>
        <v>25.7256006410785</v>
      </c>
      <c r="N101" s="0" t="n">
        <f aca="false">IF(AND(ISNUMBER(Panel_Inputs!E101),ISNUMBER(Panel_Inputs!F101)),IF(Panel_Inputs!F101&gt;0,100*Panel_Inputs!E101/Panel_Inputs!F101,""),"")</f>
        <v>0.184531245228369</v>
      </c>
      <c r="O101" s="0" t="n">
        <f aca="false">IF(AND(ISNUMBER(Panel_Inputs!G101),ISNUMBER(Panel_Inputs!F101)),IF(Panel_Inputs!F101&gt;0,100*Panel_Inputs!G101/Panel_Inputs!F101,""),"")</f>
        <v>153.896191878654</v>
      </c>
      <c r="P101" s="0" t="n">
        <f aca="false">IF(ISNUMBER(Panel_Inputs!F101),IF(Panel_Inputs!F101&gt;0,LN(Panel_Inputs!F101),""),"")</f>
        <v>13.1424482374181</v>
      </c>
      <c r="Q101" s="0" t="n">
        <f aca="false">IF(AND(ISNUMBER(Panel_Inputs!F101),ISNUMBER(Panel_Inputs!G101),ISNUMBER(Panel_Inputs!H101)),Panel_Inputs!F101-Panel_Inputs!G101-Panel_Inputs!H101,"")</f>
        <v>0</v>
      </c>
      <c r="R101" s="0" t="n">
        <f aca="false">IF(AND(ISNUMBER(Panel_Inputs!K101),ISNUMBER(Panel_Inputs!L101),ISNUMBER(Panel_Inputs!M101)),Panel_Inputs!K101-Panel_Inputs!L101-Panel_Inputs!M101,"")</f>
        <v>0</v>
      </c>
      <c r="S101" s="0" t="str">
        <f aca="false">IF(AND(ISNUMBER(Panel_Inputs!V101),Panel_Inputs!W101=1),Panel_Inputs!V101,"")</f>
        <v/>
      </c>
      <c r="T101" s="0" t="str">
        <f aca="false">IF(AND(ISNUMBER(Panel_Inputs!T101),ISNUMBER(Panel_Inputs!U101)),Panel_Inputs!T101-Panel_Inputs!U101,"")</f>
        <v/>
      </c>
    </row>
    <row r="102" customFormat="false" ht="15" hidden="false" customHeight="false" outlineLevel="0" collapsed="false">
      <c r="A102" s="0" t="str">
        <f aca="false">Panel_Inputs!A102</f>
        <v>Wema</v>
      </c>
      <c r="B102" s="0" t="n">
        <f aca="false">Panel_Inputs!B102</f>
        <v>2013</v>
      </c>
      <c r="C102" s="0" t="n">
        <f aca="false">IF(AND(ISNUMBER(Panel_Inputs!F102),ISNUMBER(Panel_Inputs!J102)),IF(AND(Panel_Inputs!F102&gt;0,Panel_Inputs!J102&gt;0),(Panel_Inputs!F102+Panel_Inputs!J102)/2,""),"")</f>
        <v>288288.536</v>
      </c>
      <c r="D102" s="0" t="n">
        <f aca="false">IF(AND(ISNUMBER(Panel_Inputs!E102),ISNUMBER(C102)),IF(C102&gt;0,100*Panel_Inputs!E102/C102,""),"")</f>
        <v>0.553796214775603</v>
      </c>
      <c r="E102" s="0" t="n">
        <f aca="false">IF(AND(ISNUMBER(Panel_Inputs!H102),ISNUMBER(Panel_Inputs!F102)),IF(Panel_Inputs!F102&gt;0,100*Panel_Inputs!H102/Panel_Inputs!F102,""),"")</f>
        <v>12.5109080167518</v>
      </c>
      <c r="F102" s="0" t="n">
        <f aca="false">IF(AND(ISNUMBER(Panel_Inputs!I102),ISNUMBER(C102)),IF(C102&gt;0,100*Panel_Inputs!I102/C102,""),"")</f>
        <v>4.86058314854393</v>
      </c>
      <c r="G102" s="0" t="str">
        <f aca="false">IF(AND(ISNUMBER(Panel_Inputs!L102),ISNUMBER(Panel_Inputs!K102)),IF(Panel_Inputs!K102&gt;0,100*Panel_Inputs!L102/Panel_Inputs!K102,""),"")</f>
        <v/>
      </c>
      <c r="H102" s="0" t="str">
        <f aca="false">IF(AND(ISNUMBER(Panel_Inputs!P102),ISNUMBER(Panel_Inputs!Q102)),IF(Panel_Inputs!Q102&gt;0,100*Panel_Inputs!P102/Panel_Inputs!Q102,""),"")</f>
        <v/>
      </c>
      <c r="I102" s="0" t="n">
        <f aca="false">IF(AND(ISNUMBER(Panel_Inputs!N102),ISNUMBER(C102)),IF(C102&gt;0,100*Panel_Inputs!N102/C102,""),"")</f>
        <v>-0.461213969326897</v>
      </c>
      <c r="J102" s="0" t="str">
        <f aca="false">IF(AND(ISNUMBER(Panel_Inputs!L102),ISNUMBER(Panel_Inputs!O102)),IF(Panel_Inputs!O102&gt;0,100*Panel_Inputs!L102/Panel_Inputs!O102,""),"")</f>
        <v/>
      </c>
      <c r="K102" s="0" t="str">
        <f aca="false">IF(AND(ISNUMBER(Panel_Inputs!O102),ISNUMBER(Panel_Inputs!K102)),IF(Panel_Inputs!K102&gt;0,100*Panel_Inputs!O102/Panel_Inputs!K102,""),"")</f>
        <v/>
      </c>
      <c r="L102" s="0" t="str">
        <f aca="false">IF(AND(ISNUMBER(Panel_Inputs!R102),ISNUMBER(Panel_Inputs!K102)),IF(Panel_Inputs!K102&gt;0,100*Panel_Inputs!R102/Panel_Inputs!K102,""),"")</f>
        <v/>
      </c>
      <c r="M102" s="0" t="str">
        <f aca="false">IF(AND(ISNUMBER(Panel_Inputs!S102),ISNUMBER(Panel_Inputs!R102)),IF(Panel_Inputs!R102&gt;0,100*Panel_Inputs!S102/Panel_Inputs!R102,""),"")</f>
        <v/>
      </c>
      <c r="N102" s="0" t="n">
        <f aca="false">IF(AND(ISNUMBER(Panel_Inputs!E102),ISNUMBER(Panel_Inputs!F102)),IF(Panel_Inputs!F102&gt;0,100*Panel_Inputs!E102/Panel_Inputs!F102,""),"")</f>
        <v>0.482521551543385</v>
      </c>
      <c r="O102" s="0" t="n">
        <f aca="false">IF(AND(ISNUMBER(Panel_Inputs!G102),ISNUMBER(Panel_Inputs!F102)),IF(Panel_Inputs!F102&gt;0,100*Panel_Inputs!G102/Panel_Inputs!F102,""),"")</f>
        <v>87.4890919832482</v>
      </c>
      <c r="P102" s="0" t="n">
        <f aca="false">IF(ISNUMBER(Panel_Inputs!F102),IF(Panel_Inputs!F102&gt;0,LN(Panel_Inputs!F102),""),"")</f>
        <v>12.7094883082196</v>
      </c>
      <c r="Q102" s="0" t="n">
        <f aca="false">IF(AND(ISNUMBER(Panel_Inputs!F102),ISNUMBER(Panel_Inputs!G102),ISNUMBER(Panel_Inputs!H102)),Panel_Inputs!F102-Panel_Inputs!G102-Panel_Inputs!H102,"")</f>
        <v>0</v>
      </c>
      <c r="R102" s="0" t="str">
        <f aca="false">IF(AND(ISNUMBER(Panel_Inputs!K102),ISNUMBER(Panel_Inputs!L102),ISNUMBER(Panel_Inputs!M102)),Panel_Inputs!K102-Panel_Inputs!L102-Panel_Inputs!M102,"")</f>
        <v/>
      </c>
      <c r="S102" s="0" t="str">
        <f aca="false">IF(AND(ISNUMBER(Panel_Inputs!V102),Panel_Inputs!W102=1),Panel_Inputs!V102,"")</f>
        <v/>
      </c>
      <c r="T102" s="0" t="str">
        <f aca="false">IF(AND(ISNUMBER(Panel_Inputs!T102),ISNUMBER(Panel_Inputs!U102)),Panel_Inputs!T102-Panel_Inputs!U102,"")</f>
        <v/>
      </c>
    </row>
    <row r="103" customFormat="false" ht="15" hidden="false" customHeight="false" outlineLevel="0" collapsed="false">
      <c r="A103" s="0" t="str">
        <f aca="false">Panel_Inputs!A103</f>
        <v>Wema</v>
      </c>
      <c r="B103" s="0" t="n">
        <f aca="false">Panel_Inputs!B103</f>
        <v>2014</v>
      </c>
      <c r="C103" s="0" t="str">
        <f aca="false">IF(AND(ISNUMBER(Panel_Inputs!F103),ISNUMBER(Panel_Inputs!J103)),IF(AND(Panel_Inputs!F103&gt;0,Panel_Inputs!J103&gt;0),(Panel_Inputs!F103+Panel_Inputs!J103)/2,""),"")</f>
        <v/>
      </c>
      <c r="D103" s="0" t="str">
        <f aca="false">IF(AND(ISNUMBER(Panel_Inputs!E103),ISNUMBER(C103)),IF(C103&gt;0,100*Panel_Inputs!E103/C103,""),"")</f>
        <v/>
      </c>
      <c r="E103" s="0" t="n">
        <f aca="false">IF(AND(ISNUMBER(Panel_Inputs!H103),ISNUMBER(Panel_Inputs!F103)),IF(Panel_Inputs!F103&gt;0,100*Panel_Inputs!H103/Panel_Inputs!F103,""),"")</f>
        <v>11.4409202441248</v>
      </c>
      <c r="F103" s="0" t="str">
        <f aca="false">IF(AND(ISNUMBER(Panel_Inputs!I103),ISNUMBER(C103)),IF(C103&gt;0,100*Panel_Inputs!I103/C103,""),"")</f>
        <v/>
      </c>
      <c r="G103" s="0" t="n">
        <f aca="false">IF(AND(ISNUMBER(Panel_Inputs!L103),ISNUMBER(Panel_Inputs!K103)),IF(Panel_Inputs!K103&gt;0,100*Panel_Inputs!L103/Panel_Inputs!K103,""),"")</f>
        <v>1.96869546968697</v>
      </c>
      <c r="H103" s="0" t="str">
        <f aca="false">IF(AND(ISNUMBER(Panel_Inputs!P103),ISNUMBER(Panel_Inputs!Q103)),IF(Panel_Inputs!Q103&gt;0,100*Panel_Inputs!P103/Panel_Inputs!Q103,""),"")</f>
        <v/>
      </c>
      <c r="I103" s="0" t="str">
        <f aca="false">IF(AND(ISNUMBER(Panel_Inputs!N103),ISNUMBER(C103)),IF(C103&gt;0,100*Panel_Inputs!N103/C103,""),"")</f>
        <v/>
      </c>
      <c r="J103" s="0" t="str">
        <f aca="false">IF(AND(ISNUMBER(Panel_Inputs!L103),ISNUMBER(Panel_Inputs!O103)),IF(Panel_Inputs!O103&gt;0,100*Panel_Inputs!L103/Panel_Inputs!O103,""),"")</f>
        <v/>
      </c>
      <c r="K103" s="0" t="str">
        <f aca="false">IF(AND(ISNUMBER(Panel_Inputs!O103),ISNUMBER(Panel_Inputs!K103)),IF(Panel_Inputs!K103&gt;0,100*Panel_Inputs!O103/Panel_Inputs!K103,""),"")</f>
        <v/>
      </c>
      <c r="L103" s="0" t="str">
        <f aca="false">IF(AND(ISNUMBER(Panel_Inputs!R103),ISNUMBER(Panel_Inputs!K103)),IF(Panel_Inputs!K103&gt;0,100*Panel_Inputs!R103/Panel_Inputs!K103,""),"")</f>
        <v/>
      </c>
      <c r="M103" s="0" t="str">
        <f aca="false">IF(AND(ISNUMBER(Panel_Inputs!S103),ISNUMBER(Panel_Inputs!R103)),IF(Panel_Inputs!R103&gt;0,100*Panel_Inputs!S103/Panel_Inputs!R103,""),"")</f>
        <v/>
      </c>
      <c r="N103" s="0" t="n">
        <f aca="false">IF(AND(ISNUMBER(Panel_Inputs!E103),ISNUMBER(Panel_Inputs!F103)),IF(Panel_Inputs!F103&gt;0,100*Panel_Inputs!E103/Panel_Inputs!F103,""),"")</f>
        <v>0.620146032576257</v>
      </c>
      <c r="O103" s="0" t="n">
        <f aca="false">IF(AND(ISNUMBER(Panel_Inputs!G103),ISNUMBER(Panel_Inputs!F103)),IF(Panel_Inputs!F103&gt;0,100*Panel_Inputs!G103/Panel_Inputs!F103,""),"")</f>
        <v>88.5590797558752</v>
      </c>
      <c r="P103" s="0" t="n">
        <f aca="false">IF(ISNUMBER(Panel_Inputs!F103),IF(Panel_Inputs!F103&gt;0,LN(Panel_Inputs!F103),""),"")</f>
        <v>12.8546468261703</v>
      </c>
      <c r="Q103" s="0" t="n">
        <f aca="false">IF(AND(ISNUMBER(Panel_Inputs!F103),ISNUMBER(Panel_Inputs!G103),ISNUMBER(Panel_Inputs!H103)),Panel_Inputs!F103-Panel_Inputs!G103-Panel_Inputs!H103,"")</f>
        <v>0</v>
      </c>
      <c r="R103" s="0" t="str">
        <f aca="false">IF(AND(ISNUMBER(Panel_Inputs!K103),ISNUMBER(Panel_Inputs!L103),ISNUMBER(Panel_Inputs!M103)),Panel_Inputs!K103-Panel_Inputs!L103-Panel_Inputs!M103,"")</f>
        <v/>
      </c>
      <c r="S103" s="0" t="str">
        <f aca="false">IF(AND(ISNUMBER(Panel_Inputs!V103),Panel_Inputs!W103=1),Panel_Inputs!V103,"")</f>
        <v/>
      </c>
      <c r="T103" s="0" t="str">
        <f aca="false">IF(AND(ISNUMBER(Panel_Inputs!T103),ISNUMBER(Panel_Inputs!U103)),Panel_Inputs!T103-Panel_Inputs!U103,"")</f>
        <v/>
      </c>
    </row>
    <row r="104" customFormat="false" ht="15" hidden="false" customHeight="false" outlineLevel="0" collapsed="false">
      <c r="A104" s="0" t="str">
        <f aca="false">Panel_Inputs!A104</f>
        <v>Wema</v>
      </c>
      <c r="B104" s="0" t="n">
        <f aca="false">Panel_Inputs!B104</f>
        <v>2015</v>
      </c>
      <c r="C104" s="0" t="n">
        <f aca="false">IF(AND(ISNUMBER(Panel_Inputs!F104),ISNUMBER(Panel_Inputs!J104)),IF(AND(Panel_Inputs!F104&gt;0,Panel_Inputs!J104&gt;0),(Panel_Inputs!F104+Panel_Inputs!J104)/2,""),"")</f>
        <v>389652.813</v>
      </c>
      <c r="D104" s="0" t="n">
        <f aca="false">IF(AND(ISNUMBER(Panel_Inputs!E104),ISNUMBER(C104)),IF(C104&gt;0,100*Panel_Inputs!E104/C104,""),"")</f>
        <v>0.583392426323893</v>
      </c>
      <c r="E104" s="0" t="n">
        <f aca="false">IF(AND(ISNUMBER(Panel_Inputs!H104),ISNUMBER(Panel_Inputs!F104)),IF(Panel_Inputs!F104&gt;0,100*Panel_Inputs!H104/Panel_Inputs!F104,""),"")</f>
        <v>11.6105573489261</v>
      </c>
      <c r="F104" s="0" t="n">
        <f aca="false">IF(AND(ISNUMBER(Panel_Inputs!I104),ISNUMBER(C104)),IF(C104&gt;0,100*Panel_Inputs!I104/C104,""),"")</f>
        <v>3.76649994825008</v>
      </c>
      <c r="G104" s="0" t="n">
        <f aca="false">IF(AND(ISNUMBER(Panel_Inputs!L104),ISNUMBER(Panel_Inputs!K104)),IF(Panel_Inputs!K104&gt;0,100*Panel_Inputs!L104/Panel_Inputs!K104,""),"")</f>
        <v>1.29044478949221</v>
      </c>
      <c r="H104" s="0" t="str">
        <f aca="false">IF(AND(ISNUMBER(Panel_Inputs!P104),ISNUMBER(Panel_Inputs!Q104)),IF(Panel_Inputs!Q104&gt;0,100*Panel_Inputs!P104/Panel_Inputs!Q104,""),"")</f>
        <v/>
      </c>
      <c r="I104" s="0" t="n">
        <f aca="false">IF(AND(ISNUMBER(Panel_Inputs!N104),ISNUMBER(C104)),IF(C104&gt;0,100*Panel_Inputs!N104/C104,""),"")</f>
        <v>-0.0199254303856392</v>
      </c>
      <c r="J104" s="0" t="str">
        <f aca="false">IF(AND(ISNUMBER(Panel_Inputs!L104),ISNUMBER(Panel_Inputs!O104)),IF(Panel_Inputs!O104&gt;0,100*Panel_Inputs!L104/Panel_Inputs!O104,""),"")</f>
        <v/>
      </c>
      <c r="K104" s="0" t="str">
        <f aca="false">IF(AND(ISNUMBER(Panel_Inputs!O104),ISNUMBER(Panel_Inputs!K104)),IF(Panel_Inputs!K104&gt;0,100*Panel_Inputs!O104/Panel_Inputs!K104,""),"")</f>
        <v/>
      </c>
      <c r="L104" s="0" t="str">
        <f aca="false">IF(AND(ISNUMBER(Panel_Inputs!R104),ISNUMBER(Panel_Inputs!K104)),IF(Panel_Inputs!K104&gt;0,100*Panel_Inputs!R104/Panel_Inputs!K104,""),"")</f>
        <v/>
      </c>
      <c r="M104" s="0" t="str">
        <f aca="false">IF(AND(ISNUMBER(Panel_Inputs!S104),ISNUMBER(Panel_Inputs!R104)),IF(Panel_Inputs!R104&gt;0,100*Panel_Inputs!S104/Panel_Inputs!R104,""),"")</f>
        <v/>
      </c>
      <c r="N104" s="0" t="n">
        <f aca="false">IF(AND(ISNUMBER(Panel_Inputs!E104),ISNUMBER(Panel_Inputs!F104)),IF(Panel_Inputs!F104&gt;0,100*Panel_Inputs!E104/Panel_Inputs!F104,""),"")</f>
        <v>0.572966177320382</v>
      </c>
      <c r="O104" s="0" t="n">
        <f aca="false">IF(AND(ISNUMBER(Panel_Inputs!G104),ISNUMBER(Panel_Inputs!F104)),IF(Panel_Inputs!F104&gt;0,100*Panel_Inputs!G104/Panel_Inputs!F104,""),"")</f>
        <v>88.3894426510739</v>
      </c>
      <c r="P104" s="0" t="n">
        <f aca="false">IF(ISNUMBER(Panel_Inputs!F104),IF(Panel_Inputs!F104&gt;0,LN(Panel_Inputs!F104),""),"")</f>
        <v>12.8910447863248</v>
      </c>
      <c r="Q104" s="0" t="n">
        <f aca="false">IF(AND(ISNUMBER(Panel_Inputs!F104),ISNUMBER(Panel_Inputs!G104),ISNUMBER(Panel_Inputs!H104)),Panel_Inputs!F104-Panel_Inputs!G104-Panel_Inputs!H104,"")</f>
        <v>0</v>
      </c>
      <c r="R104" s="0" t="str">
        <f aca="false">IF(AND(ISNUMBER(Panel_Inputs!K104),ISNUMBER(Panel_Inputs!L104),ISNUMBER(Panel_Inputs!M104)),Panel_Inputs!K104-Panel_Inputs!L104-Panel_Inputs!M104,"")</f>
        <v/>
      </c>
      <c r="S104" s="0" t="str">
        <f aca="false">IF(AND(ISNUMBER(Panel_Inputs!V104),Panel_Inputs!W104=1),Panel_Inputs!V104,"")</f>
        <v/>
      </c>
      <c r="T104" s="0" t="str">
        <f aca="false">IF(AND(ISNUMBER(Panel_Inputs!T104),ISNUMBER(Panel_Inputs!U104)),Panel_Inputs!T104-Panel_Inputs!U104,"")</f>
        <v/>
      </c>
    </row>
    <row r="105" customFormat="false" ht="15" hidden="false" customHeight="false" outlineLevel="0" collapsed="false">
      <c r="A105" s="0" t="str">
        <f aca="false">Panel_Inputs!A105</f>
        <v>Wema</v>
      </c>
      <c r="B105" s="0" t="n">
        <f aca="false">Panel_Inputs!B105</f>
        <v>2016</v>
      </c>
      <c r="C105" s="0" t="n">
        <f aca="false">IF(AND(ISNUMBER(Panel_Inputs!F105),ISNUMBER(Panel_Inputs!J105)),IF(AND(Panel_Inputs!F105&gt;0,Panel_Inputs!J105&gt;0),(Panel_Inputs!F105+Panel_Inputs!J105)/2,""),"")</f>
        <v>408982.175</v>
      </c>
      <c r="D105" s="0" t="n">
        <f aca="false">IF(AND(ISNUMBER(Panel_Inputs!E105),ISNUMBER(C105)),IF(C105&gt;0,100*Panel_Inputs!E105/C105,""),"")</f>
        <v>0.633719550246903</v>
      </c>
      <c r="E105" s="0" t="n">
        <f aca="false">IF(AND(ISNUMBER(Panel_Inputs!H105),ISNUMBER(Panel_Inputs!F105)),IF(Panel_Inputs!F105&gt;0,100*Panel_Inputs!H105/Panel_Inputs!F105,""),"")</f>
        <v>11.5146086863525</v>
      </c>
      <c r="F105" s="0" t="n">
        <f aca="false">IF(AND(ISNUMBER(Panel_Inputs!I105),ISNUMBER(C105)),IF(C105&gt;0,100*Panel_Inputs!I105/C105,""),"")</f>
        <v>3.88584832578584</v>
      </c>
      <c r="G105" s="0" t="str">
        <f aca="false">IF(AND(ISNUMBER(Panel_Inputs!L105),ISNUMBER(Panel_Inputs!K105)),IF(Panel_Inputs!K105&gt;0,100*Panel_Inputs!L105/Panel_Inputs!K105,""),"")</f>
        <v/>
      </c>
      <c r="H105" s="0" t="str">
        <f aca="false">IF(AND(ISNUMBER(Panel_Inputs!P105),ISNUMBER(Panel_Inputs!Q105)),IF(Panel_Inputs!Q105&gt;0,100*Panel_Inputs!P105/Panel_Inputs!Q105,""),"")</f>
        <v/>
      </c>
      <c r="I105" s="0" t="n">
        <f aca="false">IF(AND(ISNUMBER(Panel_Inputs!N105),ISNUMBER(C105)),IF(C105&gt;0,100*Panel_Inputs!N105/C105,""),"")</f>
        <v>0.100835934964647</v>
      </c>
      <c r="J105" s="0" t="str">
        <f aca="false">IF(AND(ISNUMBER(Panel_Inputs!L105),ISNUMBER(Panel_Inputs!O105)),IF(Panel_Inputs!O105&gt;0,100*Panel_Inputs!L105/Panel_Inputs!O105,""),"")</f>
        <v/>
      </c>
      <c r="K105" s="0" t="str">
        <f aca="false">IF(AND(ISNUMBER(Panel_Inputs!O105),ISNUMBER(Panel_Inputs!K105)),IF(Panel_Inputs!K105&gt;0,100*Panel_Inputs!O105/Panel_Inputs!K105,""),"")</f>
        <v/>
      </c>
      <c r="L105" s="0" t="str">
        <f aca="false">IF(AND(ISNUMBER(Panel_Inputs!R105),ISNUMBER(Panel_Inputs!K105)),IF(Panel_Inputs!K105&gt;0,100*Panel_Inputs!R105/Panel_Inputs!K105,""),"")</f>
        <v/>
      </c>
      <c r="M105" s="0" t="str">
        <f aca="false">IF(AND(ISNUMBER(Panel_Inputs!S105),ISNUMBER(Panel_Inputs!R105)),IF(Panel_Inputs!R105&gt;0,100*Panel_Inputs!S105/Panel_Inputs!R105,""),"")</f>
        <v/>
      </c>
      <c r="N105" s="0" t="n">
        <f aca="false">IF(AND(ISNUMBER(Panel_Inputs!E105),ISNUMBER(Panel_Inputs!F105)),IF(Panel_Inputs!F105&gt;0,100*Panel_Inputs!E105/Panel_Inputs!F105,""),"")</f>
        <v>0.615306401743905</v>
      </c>
      <c r="O105" s="0" t="n">
        <f aca="false">IF(AND(ISNUMBER(Panel_Inputs!G105),ISNUMBER(Panel_Inputs!F105)),IF(Panel_Inputs!F105&gt;0,100*Panel_Inputs!G105/Panel_Inputs!F105,""),"")</f>
        <v>88.4853913136475</v>
      </c>
      <c r="P105" s="0" t="n">
        <f aca="false">IF(ISNUMBER(Panel_Inputs!F105),IF(Panel_Inputs!F105&gt;0,LN(Panel_Inputs!F105),""),"")</f>
        <v>12.9509130010148</v>
      </c>
      <c r="Q105" s="0" t="n">
        <f aca="false">IF(AND(ISNUMBER(Panel_Inputs!F105),ISNUMBER(Panel_Inputs!G105),ISNUMBER(Panel_Inputs!H105)),Panel_Inputs!F105-Panel_Inputs!G105-Panel_Inputs!H105,"")</f>
        <v>0</v>
      </c>
      <c r="R105" s="0" t="str">
        <f aca="false">IF(AND(ISNUMBER(Panel_Inputs!K105),ISNUMBER(Panel_Inputs!L105),ISNUMBER(Panel_Inputs!M105)),Panel_Inputs!K105-Panel_Inputs!L105-Panel_Inputs!M105,"")</f>
        <v/>
      </c>
      <c r="S105" s="0" t="str">
        <f aca="false">IF(AND(ISNUMBER(Panel_Inputs!V105),Panel_Inputs!W105=1),Panel_Inputs!V105,"")</f>
        <v/>
      </c>
      <c r="T105" s="0" t="str">
        <f aca="false">IF(AND(ISNUMBER(Panel_Inputs!T105),ISNUMBER(Panel_Inputs!U105)),Panel_Inputs!T105-Panel_Inputs!U105,"")</f>
        <v/>
      </c>
    </row>
    <row r="106" customFormat="false" ht="15" hidden="false" customHeight="false" outlineLevel="0" collapsed="false">
      <c r="A106" s="0" t="str">
        <f aca="false">Panel_Inputs!A106</f>
        <v>Wema</v>
      </c>
      <c r="B106" s="0" t="n">
        <f aca="false">Panel_Inputs!B106</f>
        <v>2017</v>
      </c>
      <c r="C106" s="0" t="n">
        <f aca="false">IF(AND(ISNUMBER(Panel_Inputs!F106),ISNUMBER(Panel_Inputs!J106)),IF(AND(Panel_Inputs!F106&gt;0,Panel_Inputs!J106&gt;0),(Panel_Inputs!F106+Panel_Inputs!J106)/2,""),"")</f>
        <v>403000.4225</v>
      </c>
      <c r="D106" s="0" t="n">
        <f aca="false">IF(AND(ISNUMBER(Panel_Inputs!E106),ISNUMBER(C106)),IF(C106&gt;0,100*Panel_Inputs!E106/C106,""),"")</f>
        <v>0.57100634925513</v>
      </c>
      <c r="E106" s="0" t="n">
        <f aca="false">IF(AND(ISNUMBER(Panel_Inputs!H106),ISNUMBER(Panel_Inputs!F106)),IF(Panel_Inputs!F106&gt;0,100*Panel_Inputs!H106/Panel_Inputs!F106,""),"")</f>
        <v>12.9144354349425</v>
      </c>
      <c r="F106" s="0" t="n">
        <f aca="false">IF(AND(ISNUMBER(Panel_Inputs!I106),ISNUMBER(C106)),IF(C106&gt;0,100*Panel_Inputs!I106/C106,""),"")</f>
        <v>-6.43943841026618</v>
      </c>
      <c r="G106" s="0" t="n">
        <f aca="false">IF(AND(ISNUMBER(Panel_Inputs!L106),ISNUMBER(Panel_Inputs!K106)),IF(Panel_Inputs!K106&gt;0,100*Panel_Inputs!L106/Panel_Inputs!K106,""),"")</f>
        <v>1.92478980139368</v>
      </c>
      <c r="H106" s="0" t="str">
        <f aca="false">IF(AND(ISNUMBER(Panel_Inputs!P106),ISNUMBER(Panel_Inputs!Q106)),IF(Panel_Inputs!Q106&gt;0,100*Panel_Inputs!P106/Panel_Inputs!Q106,""),"")</f>
        <v/>
      </c>
      <c r="I106" s="0" t="n">
        <f aca="false">IF(AND(ISNUMBER(Panel_Inputs!N106),ISNUMBER(C106)),IF(C106&gt;0,100*Panel_Inputs!N106/C106,""),"")</f>
        <v>0.540892236905781</v>
      </c>
      <c r="J106" s="0" t="str">
        <f aca="false">IF(AND(ISNUMBER(Panel_Inputs!L106),ISNUMBER(Panel_Inputs!O106)),IF(Panel_Inputs!O106&gt;0,100*Panel_Inputs!L106/Panel_Inputs!O106,""),"")</f>
        <v/>
      </c>
      <c r="K106" s="0" t="str">
        <f aca="false">IF(AND(ISNUMBER(Panel_Inputs!O106),ISNUMBER(Panel_Inputs!K106)),IF(Panel_Inputs!K106&gt;0,100*Panel_Inputs!O106/Panel_Inputs!K106,""),"")</f>
        <v/>
      </c>
      <c r="L106" s="0" t="str">
        <f aca="false">IF(AND(ISNUMBER(Panel_Inputs!R106),ISNUMBER(Panel_Inputs!K106)),IF(Panel_Inputs!K106&gt;0,100*Panel_Inputs!R106/Panel_Inputs!K106,""),"")</f>
        <v/>
      </c>
      <c r="M106" s="0" t="str">
        <f aca="false">IF(AND(ISNUMBER(Panel_Inputs!S106),ISNUMBER(Panel_Inputs!R106)),IF(Panel_Inputs!R106&gt;0,100*Panel_Inputs!S106/Panel_Inputs!R106,""),"")</f>
        <v/>
      </c>
      <c r="N106" s="0" t="n">
        <f aca="false">IF(AND(ISNUMBER(Panel_Inputs!E106),ISNUMBER(Panel_Inputs!F106)),IF(Panel_Inputs!F106&gt;0,100*Panel_Inputs!E106/Panel_Inputs!F106,""),"")</f>
        <v>0.598045413552352</v>
      </c>
      <c r="O106" s="0" t="n">
        <f aca="false">IF(AND(ISNUMBER(Panel_Inputs!G106),ISNUMBER(Panel_Inputs!F106)),IF(Panel_Inputs!F106&gt;0,100*Panel_Inputs!G106/Panel_Inputs!F106,""),"")</f>
        <v>87.0855645650575</v>
      </c>
      <c r="P106" s="0" t="n">
        <f aca="false">IF(ISNUMBER(Panel_Inputs!F106),IF(Panel_Inputs!F106&gt;0,LN(Panel_Inputs!F106),""),"")</f>
        <v>12.8604265249833</v>
      </c>
      <c r="Q106" s="0" t="n">
        <f aca="false">IF(AND(ISNUMBER(Panel_Inputs!F106),ISNUMBER(Panel_Inputs!G106),ISNUMBER(Panel_Inputs!H106)),Panel_Inputs!F106-Panel_Inputs!G106-Panel_Inputs!H106,"")</f>
        <v>0</v>
      </c>
      <c r="R106" s="0" t="str">
        <f aca="false">IF(AND(ISNUMBER(Panel_Inputs!K106),ISNUMBER(Panel_Inputs!L106),ISNUMBER(Panel_Inputs!M106)),Panel_Inputs!K106-Panel_Inputs!L106-Panel_Inputs!M106,"")</f>
        <v/>
      </c>
      <c r="S106" s="0" t="n">
        <f aca="false">IF(AND(ISNUMBER(Panel_Inputs!V106),Panel_Inputs!W106=1),Panel_Inputs!V106,"")</f>
        <v>26.25</v>
      </c>
      <c r="T106" s="0" t="str">
        <f aca="false">IF(AND(ISNUMBER(Panel_Inputs!T106),ISNUMBER(Panel_Inputs!U106)),Panel_Inputs!T106-Panel_Inputs!U106,"")</f>
        <v/>
      </c>
    </row>
    <row r="107" customFormat="false" ht="15" hidden="false" customHeight="false" outlineLevel="0" collapsed="false">
      <c r="A107" s="0" t="str">
        <f aca="false">Panel_Inputs!A107</f>
        <v>Wema</v>
      </c>
      <c r="B107" s="0" t="n">
        <f aca="false">Panel_Inputs!B107</f>
        <v>2018</v>
      </c>
      <c r="C107" s="0" t="n">
        <f aca="false">IF(AND(ISNUMBER(Panel_Inputs!F107),ISNUMBER(Panel_Inputs!J107)),IF(AND(Panel_Inputs!F107&gt;0,Panel_Inputs!J107&gt;0),(Panel_Inputs!F107+Panel_Inputs!J107)/2,""),"")</f>
        <v>431347.7755</v>
      </c>
      <c r="D107" s="0" t="n">
        <f aca="false">IF(AND(ISNUMBER(Panel_Inputs!E107),ISNUMBER(C107)),IF(C107&gt;0,100*Panel_Inputs!E107/C107,""),"")</f>
        <v>0.778782038717156</v>
      </c>
      <c r="E107" s="0" t="n">
        <f aca="false">IF(AND(ISNUMBER(Panel_Inputs!H107),ISNUMBER(Panel_Inputs!F107)),IF(Panel_Inputs!F107&gt;0,100*Panel_Inputs!H107/Panel_Inputs!F107,""),"")</f>
        <v>10.6711025643512</v>
      </c>
      <c r="F107" s="0" t="n">
        <f aca="false">IF(AND(ISNUMBER(Panel_Inputs!I107),ISNUMBER(C107)),IF(C107&gt;0,100*Panel_Inputs!I107/C107,""),"")</f>
        <v>11.431421419258</v>
      </c>
      <c r="G107" s="0" t="n">
        <f aca="false">IF(AND(ISNUMBER(Panel_Inputs!L107),ISNUMBER(Panel_Inputs!K107)),IF(Panel_Inputs!K107&gt;0,100*Panel_Inputs!L107/Panel_Inputs!K107,""),"")</f>
        <v>3.59124409281383</v>
      </c>
      <c r="H107" s="0" t="str">
        <f aca="false">IF(AND(ISNUMBER(Panel_Inputs!P107),ISNUMBER(Panel_Inputs!Q107)),IF(Panel_Inputs!Q107&gt;0,100*Panel_Inputs!P107/Panel_Inputs!Q107,""),"")</f>
        <v/>
      </c>
      <c r="I107" s="0" t="n">
        <f aca="false">IF(AND(ISNUMBER(Panel_Inputs!N107),ISNUMBER(C107)),IF(C107&gt;0,100*Panel_Inputs!N107/C107,""),"")</f>
        <v>0.813853043737327</v>
      </c>
      <c r="J107" s="0" t="str">
        <f aca="false">IF(AND(ISNUMBER(Panel_Inputs!L107),ISNUMBER(Panel_Inputs!O107)),IF(Panel_Inputs!O107&gt;0,100*Panel_Inputs!L107/Panel_Inputs!O107,""),"")</f>
        <v/>
      </c>
      <c r="K107" s="0" t="str">
        <f aca="false">IF(AND(ISNUMBER(Panel_Inputs!O107),ISNUMBER(Panel_Inputs!K107)),IF(Panel_Inputs!K107&gt;0,100*Panel_Inputs!O107/Panel_Inputs!K107,""),"")</f>
        <v/>
      </c>
      <c r="L107" s="0" t="str">
        <f aca="false">IF(AND(ISNUMBER(Panel_Inputs!R107),ISNUMBER(Panel_Inputs!K107)),IF(Panel_Inputs!K107&gt;0,100*Panel_Inputs!R107/Panel_Inputs!K107,""),"")</f>
        <v/>
      </c>
      <c r="M107" s="0" t="str">
        <f aca="false">IF(AND(ISNUMBER(Panel_Inputs!S107),ISNUMBER(Panel_Inputs!R107)),IF(Panel_Inputs!R107&gt;0,100*Panel_Inputs!S107/Panel_Inputs!R107,""),"")</f>
        <v/>
      </c>
      <c r="N107" s="0" t="n">
        <f aca="false">IF(AND(ISNUMBER(Panel_Inputs!E107),ISNUMBER(Panel_Inputs!F107)),IF(Panel_Inputs!F107&gt;0,100*Panel_Inputs!E107/Panel_Inputs!F107,""),"")</f>
        <v>0.70289775054114</v>
      </c>
      <c r="O107" s="0" t="n">
        <f aca="false">IF(AND(ISNUMBER(Panel_Inputs!G107),ISNUMBER(Panel_Inputs!F107)),IF(Panel_Inputs!F107&gt;0,100*Panel_Inputs!G107/Panel_Inputs!F107,""),"")</f>
        <v>89.3288974356488</v>
      </c>
      <c r="P107" s="0" t="n">
        <f aca="false">IF(ISNUMBER(Panel_Inputs!F107),IF(Panel_Inputs!F107&gt;0,LN(Panel_Inputs!F107),""),"")</f>
        <v>13.0771897239693</v>
      </c>
      <c r="Q107" s="0" t="n">
        <f aca="false">IF(AND(ISNUMBER(Panel_Inputs!F107),ISNUMBER(Panel_Inputs!G107),ISNUMBER(Panel_Inputs!H107)),Panel_Inputs!F107-Panel_Inputs!G107-Panel_Inputs!H107,"")</f>
        <v>0</v>
      </c>
      <c r="R107" s="0" t="str">
        <f aca="false">IF(AND(ISNUMBER(Panel_Inputs!K107),ISNUMBER(Panel_Inputs!L107),ISNUMBER(Panel_Inputs!M107)),Panel_Inputs!K107-Panel_Inputs!L107-Panel_Inputs!M107,"")</f>
        <v/>
      </c>
      <c r="S107" s="0" t="n">
        <f aca="false">IF(AND(ISNUMBER(Panel_Inputs!V107),Panel_Inputs!W107=1),Panel_Inputs!V107,"")</f>
        <v>34.64</v>
      </c>
      <c r="T107" s="0" t="str">
        <f aca="false">IF(AND(ISNUMBER(Panel_Inputs!T107),ISNUMBER(Panel_Inputs!U107)),Panel_Inputs!T107-Panel_Inputs!U107,"")</f>
        <v/>
      </c>
    </row>
    <row r="108" customFormat="false" ht="15" hidden="false" customHeight="false" outlineLevel="0" collapsed="false">
      <c r="A108" s="0" t="str">
        <f aca="false">Panel_Inputs!A108</f>
        <v>Wema</v>
      </c>
      <c r="B108" s="0" t="n">
        <f aca="false">Panel_Inputs!B108</f>
        <v>2019</v>
      </c>
      <c r="C108" s="0" t="n">
        <f aca="false">IF(AND(ISNUMBER(Panel_Inputs!F108),ISNUMBER(Panel_Inputs!J108)),IF(AND(Panel_Inputs!F108&gt;0,Panel_Inputs!J108&gt;0),(Panel_Inputs!F108+Panel_Inputs!J108)/2,""),"")</f>
        <v>591435.673</v>
      </c>
      <c r="D108" s="0" t="n">
        <f aca="false">IF(AND(ISNUMBER(Panel_Inputs!E108),ISNUMBER(C108)),IF(C108&gt;0,100*Panel_Inputs!E108/C108,""),"")</f>
        <v>0.881033768823748</v>
      </c>
      <c r="E108" s="0" t="n">
        <f aca="false">IF(AND(ISNUMBER(Panel_Inputs!H108),ISNUMBER(Panel_Inputs!F108)),IF(Panel_Inputs!F108&gt;0,100*Panel_Inputs!H108/Panel_Inputs!F108,""),"")</f>
        <v>7.85253010060475</v>
      </c>
      <c r="F108" s="0" t="n">
        <f aca="false">IF(AND(ISNUMBER(Panel_Inputs!I108),ISNUMBER(C108)),IF(C108&gt;0,100*Panel_Inputs!I108/C108,""),"")</f>
        <v>18.1559596253843</v>
      </c>
      <c r="G108" s="0" t="n">
        <f aca="false">IF(AND(ISNUMBER(Panel_Inputs!L108),ISNUMBER(Panel_Inputs!K108)),IF(Panel_Inputs!K108&gt;0,100*Panel_Inputs!L108/Panel_Inputs!K108,""),"")</f>
        <v>4.02445510012529</v>
      </c>
      <c r="H108" s="0" t="n">
        <f aca="false">IF(AND(ISNUMBER(Panel_Inputs!P108),ISNUMBER(Panel_Inputs!Q108)),IF(Panel_Inputs!Q108&gt;0,100*Panel_Inputs!P108/Panel_Inputs!Q108,""),"")</f>
        <v>13.5983703502456</v>
      </c>
      <c r="I108" s="0" t="n">
        <f aca="false">IF(AND(ISNUMBER(Panel_Inputs!N108),ISNUMBER(C108)),IF(C108&gt;0,100*Panel_Inputs!N108/C108,""),"")</f>
        <v>1.03656243271616</v>
      </c>
      <c r="J108" s="0" t="str">
        <f aca="false">IF(AND(ISNUMBER(Panel_Inputs!L108),ISNUMBER(Panel_Inputs!O108)),IF(Panel_Inputs!O108&gt;0,100*Panel_Inputs!L108/Panel_Inputs!O108,""),"")</f>
        <v/>
      </c>
      <c r="K108" s="0" t="str">
        <f aca="false">IF(AND(ISNUMBER(Panel_Inputs!O108),ISNUMBER(Panel_Inputs!K108)),IF(Panel_Inputs!K108&gt;0,100*Panel_Inputs!O108/Panel_Inputs!K108,""),"")</f>
        <v/>
      </c>
      <c r="L108" s="0" t="str">
        <f aca="false">IF(AND(ISNUMBER(Panel_Inputs!R108),ISNUMBER(Panel_Inputs!K108)),IF(Panel_Inputs!K108&gt;0,100*Panel_Inputs!R108/Panel_Inputs!K108,""),"")</f>
        <v/>
      </c>
      <c r="M108" s="0" t="str">
        <f aca="false">IF(AND(ISNUMBER(Panel_Inputs!S108),ISNUMBER(Panel_Inputs!R108)),IF(Panel_Inputs!R108&gt;0,100*Panel_Inputs!S108/Panel_Inputs!R108,""),"")</f>
        <v/>
      </c>
      <c r="N108" s="0" t="n">
        <f aca="false">IF(AND(ISNUMBER(Panel_Inputs!E108),ISNUMBER(Panel_Inputs!F108)),IF(Panel_Inputs!F108&gt;0,100*Panel_Inputs!E108/Panel_Inputs!F108,""),"")</f>
        <v>0.739159738632278</v>
      </c>
      <c r="O108" s="0" t="n">
        <f aca="false">IF(AND(ISNUMBER(Panel_Inputs!G108),ISNUMBER(Panel_Inputs!F108)),IF(Panel_Inputs!F108&gt;0,100*Panel_Inputs!G108/Panel_Inputs!F108,""),"")</f>
        <v>92.1474698993953</v>
      </c>
      <c r="P108" s="0" t="n">
        <f aca="false">IF(ISNUMBER(Panel_Inputs!F108),IF(Panel_Inputs!F108&gt;0,LN(Panel_Inputs!F108),""),"")</f>
        <v>13.4658901067619</v>
      </c>
      <c r="Q108" s="0" t="n">
        <f aca="false">IF(AND(ISNUMBER(Panel_Inputs!F108),ISNUMBER(Panel_Inputs!G108),ISNUMBER(Panel_Inputs!H108)),Panel_Inputs!F108-Panel_Inputs!G108-Panel_Inputs!H108,"")</f>
        <v>0</v>
      </c>
      <c r="R108" s="0" t="n">
        <f aca="false">IF(AND(ISNUMBER(Panel_Inputs!K108),ISNUMBER(Panel_Inputs!L108),ISNUMBER(Panel_Inputs!M108)),Panel_Inputs!K108-Panel_Inputs!L108-Panel_Inputs!M108,"")</f>
        <v>0</v>
      </c>
      <c r="S108" s="0" t="str">
        <f aca="false">IF(AND(ISNUMBER(Panel_Inputs!V108),Panel_Inputs!W108=1),Panel_Inputs!V108,"")</f>
        <v/>
      </c>
      <c r="T108" s="0" t="str">
        <f aca="false">IF(AND(ISNUMBER(Panel_Inputs!T108),ISNUMBER(Panel_Inputs!U108)),Panel_Inputs!T108-Panel_Inputs!U108,"")</f>
        <v/>
      </c>
    </row>
    <row r="109" customFormat="false" ht="15" hidden="false" customHeight="false" outlineLevel="0" collapsed="false">
      <c r="A109" s="0" t="str">
        <f aca="false">Panel_Inputs!A109</f>
        <v>Wema</v>
      </c>
      <c r="B109" s="0" t="n">
        <f aca="false">Panel_Inputs!B109</f>
        <v>2020</v>
      </c>
      <c r="C109" s="0" t="n">
        <f aca="false">IF(AND(ISNUMBER(Panel_Inputs!F109),ISNUMBER(Panel_Inputs!J109)),IF(AND(Panel_Inputs!F109&gt;0,Panel_Inputs!J109&gt;0),(Panel_Inputs!F109+Panel_Inputs!J109)/2,""),"")</f>
        <v>836768.844</v>
      </c>
      <c r="D109" s="0" t="n">
        <f aca="false">IF(AND(ISNUMBER(Panel_Inputs!E109),ISNUMBER(C109)),IF(C109&gt;0,100*Panel_Inputs!E109/C109,""),"")</f>
        <v>0.548803535519781</v>
      </c>
      <c r="E109" s="0" t="n">
        <f aca="false">IF(AND(ISNUMBER(Panel_Inputs!H109),ISNUMBER(Panel_Inputs!F109)),IF(Panel_Inputs!F109&gt;0,100*Panel_Inputs!H109/Panel_Inputs!F109,""),"")</f>
        <v>6.12780620047067</v>
      </c>
      <c r="F109" s="0" t="n">
        <f aca="false">IF(AND(ISNUMBER(Panel_Inputs!I109),ISNUMBER(C109)),IF(C109&gt;0,100*Panel_Inputs!I109/C109,""),"")</f>
        <v>5.59346208162597</v>
      </c>
      <c r="G109" s="0" t="n">
        <f aca="false">IF(AND(ISNUMBER(Panel_Inputs!L109),ISNUMBER(Panel_Inputs!K109)),IF(Panel_Inputs!K109&gt;0,100*Panel_Inputs!L109/Panel_Inputs!K109,""),"")</f>
        <v>3.98986551976858</v>
      </c>
      <c r="H109" s="0" t="n">
        <f aca="false">IF(AND(ISNUMBER(Panel_Inputs!P109),ISNUMBER(Panel_Inputs!Q109)),IF(Panel_Inputs!Q109&gt;0,100*Panel_Inputs!P109/Panel_Inputs!Q109,""),"")</f>
        <v>15.0146762307801</v>
      </c>
      <c r="I109" s="0" t="n">
        <f aca="false">IF(AND(ISNUMBER(Panel_Inputs!N109),ISNUMBER(C109)),IF(C109&gt;0,100*Panel_Inputs!N109/C109,""),"")</f>
        <v>0.673443453398941</v>
      </c>
      <c r="J109" s="0" t="str">
        <f aca="false">IF(AND(ISNUMBER(Panel_Inputs!L109),ISNUMBER(Panel_Inputs!O109)),IF(Panel_Inputs!O109&gt;0,100*Panel_Inputs!L109/Panel_Inputs!O109,""),"")</f>
        <v/>
      </c>
      <c r="K109" s="0" t="str">
        <f aca="false">IF(AND(ISNUMBER(Panel_Inputs!O109),ISNUMBER(Panel_Inputs!K109)),IF(Panel_Inputs!K109&gt;0,100*Panel_Inputs!O109/Panel_Inputs!K109,""),"")</f>
        <v/>
      </c>
      <c r="L109" s="0" t="str">
        <f aca="false">IF(AND(ISNUMBER(Panel_Inputs!R109),ISNUMBER(Panel_Inputs!K109)),IF(Panel_Inputs!K109&gt;0,100*Panel_Inputs!R109/Panel_Inputs!K109,""),"")</f>
        <v/>
      </c>
      <c r="M109" s="0" t="str">
        <f aca="false">IF(AND(ISNUMBER(Panel_Inputs!S109),ISNUMBER(Panel_Inputs!R109)),IF(Panel_Inputs!R109&gt;0,100*Panel_Inputs!S109/Panel_Inputs!R109,""),"")</f>
        <v/>
      </c>
      <c r="N109" s="0" t="n">
        <f aca="false">IF(AND(ISNUMBER(Panel_Inputs!E109),ISNUMBER(Panel_Inputs!F109)),IF(Panel_Inputs!F109&gt;0,100*Panel_Inputs!E109/Panel_Inputs!F109,""),"")</f>
        <v>0.474117483263298</v>
      </c>
      <c r="O109" s="0" t="n">
        <f aca="false">IF(AND(ISNUMBER(Panel_Inputs!G109),ISNUMBER(Panel_Inputs!F109)),IF(Panel_Inputs!F109&gt;0,100*Panel_Inputs!G109/Panel_Inputs!F109,""),"")</f>
        <v>93.8721937995293</v>
      </c>
      <c r="P109" s="0" t="n">
        <f aca="false">IF(ISNUMBER(Panel_Inputs!F109),IF(Panel_Inputs!F109&gt;0,LN(Panel_Inputs!F109),""),"")</f>
        <v>13.7835885119807</v>
      </c>
      <c r="Q109" s="0" t="n">
        <f aca="false">IF(AND(ISNUMBER(Panel_Inputs!F109),ISNUMBER(Panel_Inputs!G109),ISNUMBER(Panel_Inputs!H109)),Panel_Inputs!F109-Panel_Inputs!G109-Panel_Inputs!H109,"")</f>
        <v>0</v>
      </c>
      <c r="R109" s="0" t="n">
        <f aca="false">IF(AND(ISNUMBER(Panel_Inputs!K109),ISNUMBER(Panel_Inputs!L109),ISNUMBER(Panel_Inputs!M109)),Panel_Inputs!K109-Panel_Inputs!L109-Panel_Inputs!M109,"")</f>
        <v>0.00099999998928979</v>
      </c>
      <c r="S109" s="0" t="str">
        <f aca="false">IF(AND(ISNUMBER(Panel_Inputs!V109),Panel_Inputs!W109=1),Panel_Inputs!V109,"")</f>
        <v/>
      </c>
      <c r="T109" s="0" t="str">
        <f aca="false">IF(AND(ISNUMBER(Panel_Inputs!T109),ISNUMBER(Panel_Inputs!U109)),Panel_Inputs!T109-Panel_Inputs!U109,"")</f>
        <v/>
      </c>
    </row>
    <row r="110" customFormat="false" ht="15" hidden="false" customHeight="false" outlineLevel="0" collapsed="false">
      <c r="A110" s="0" t="str">
        <f aca="false">Panel_Inputs!A110</f>
        <v>Wema</v>
      </c>
      <c r="B110" s="0" t="n">
        <f aca="false">Panel_Inputs!B110</f>
        <v>2021</v>
      </c>
      <c r="C110" s="0" t="n">
        <f aca="false">IF(AND(ISNUMBER(Panel_Inputs!F110),ISNUMBER(Panel_Inputs!J110)),IF(AND(Panel_Inputs!F110&gt;0,Panel_Inputs!J110&gt;0),(Panel_Inputs!F110+Panel_Inputs!J110)/2,""),"")</f>
        <v>1066549.9745</v>
      </c>
      <c r="D110" s="0" t="n">
        <f aca="false">IF(AND(ISNUMBER(Panel_Inputs!E110),ISNUMBER(C110)),IF(C110&gt;0,100*Panel_Inputs!E110/C110,""),"")</f>
        <v>0.837579317761261</v>
      </c>
      <c r="E110" s="0" t="n">
        <f aca="false">IF(AND(ISNUMBER(Panel_Inputs!H110),ISNUMBER(Panel_Inputs!F110)),IF(Panel_Inputs!F110&gt;0,100*Panel_Inputs!H110/Panel_Inputs!F110,""),"")</f>
        <v>6.04235848283873</v>
      </c>
      <c r="F110" s="0" t="n">
        <f aca="false">IF(AND(ISNUMBER(Panel_Inputs!I110),ISNUMBER(C110)),IF(C110&gt;0,100*Panel_Inputs!I110/C110,""),"")</f>
        <v>0.923715553471236</v>
      </c>
      <c r="G110" s="0" t="n">
        <f aca="false">IF(AND(ISNUMBER(Panel_Inputs!L110),ISNUMBER(Panel_Inputs!K110)),IF(Panel_Inputs!K110&gt;0,100*Panel_Inputs!L110/Panel_Inputs!K110,""),"")</f>
        <v>3.83138387864166</v>
      </c>
      <c r="H110" s="0" t="n">
        <f aca="false">IF(AND(ISNUMBER(Panel_Inputs!P110),ISNUMBER(Panel_Inputs!Q110)),IF(Panel_Inputs!Q110&gt;0,100*Panel_Inputs!P110/Panel_Inputs!Q110,""),"")</f>
        <v>11.5630709206163</v>
      </c>
      <c r="I110" s="0" t="n">
        <f aca="false">IF(AND(ISNUMBER(Panel_Inputs!N110),ISNUMBER(C110)),IF(C110&gt;0,100*Panel_Inputs!N110/C110,""),"")</f>
        <v>0.197308429076335</v>
      </c>
      <c r="J110" s="0" t="n">
        <f aca="false">IF(AND(ISNUMBER(Panel_Inputs!L110),ISNUMBER(Panel_Inputs!O110)),IF(Panel_Inputs!O110&gt;0,100*Panel_Inputs!L110/Panel_Inputs!O110,""),"")</f>
        <v>78.4809495556107</v>
      </c>
      <c r="K110" s="0" t="n">
        <f aca="false">IF(AND(ISNUMBER(Panel_Inputs!O110),ISNUMBER(Panel_Inputs!K110)),IF(Panel_Inputs!K110&gt;0,100*Panel_Inputs!O110/Panel_Inputs!K110,""),"")</f>
        <v>4.88192854487163</v>
      </c>
      <c r="L110" s="0" t="str">
        <f aca="false">IF(AND(ISNUMBER(Panel_Inputs!R110),ISNUMBER(Panel_Inputs!K110)),IF(Panel_Inputs!K110&gt;0,100*Panel_Inputs!R110/Panel_Inputs!K110,""),"")</f>
        <v/>
      </c>
      <c r="M110" s="0" t="str">
        <f aca="false">IF(AND(ISNUMBER(Panel_Inputs!S110),ISNUMBER(Panel_Inputs!R110)),IF(Panel_Inputs!R110&gt;0,100*Panel_Inputs!S110/Panel_Inputs!R110,""),"")</f>
        <v/>
      </c>
      <c r="N110" s="0" t="n">
        <f aca="false">IF(AND(ISNUMBER(Panel_Inputs!E110),ISNUMBER(Panel_Inputs!F110)),IF(Panel_Inputs!F110&gt;0,100*Panel_Inputs!E110/Panel_Inputs!F110,""),"")</f>
        <v>0.767115925696855</v>
      </c>
      <c r="O110" s="0" t="n">
        <f aca="false">IF(AND(ISNUMBER(Panel_Inputs!G110),ISNUMBER(Panel_Inputs!F110)),IF(Panel_Inputs!F110&gt;0,100*Panel_Inputs!G110/Panel_Inputs!F110,""),"")</f>
        <v>93.9576414312888</v>
      </c>
      <c r="P110" s="0" t="n">
        <f aca="false">IF(ISNUMBER(Panel_Inputs!F110),IF(Panel_Inputs!F110&gt;0,LN(Panel_Inputs!F110),""),"")</f>
        <v>13.9678177095371</v>
      </c>
      <c r="Q110" s="0" t="n">
        <f aca="false">IF(AND(ISNUMBER(Panel_Inputs!F110),ISNUMBER(Panel_Inputs!G110),ISNUMBER(Panel_Inputs!H110)),Panel_Inputs!F110-Panel_Inputs!G110-Panel_Inputs!H110,"")</f>
        <v>0.000999999974737875</v>
      </c>
      <c r="R110" s="0" t="n">
        <f aca="false">IF(AND(ISNUMBER(Panel_Inputs!K110),ISNUMBER(Panel_Inputs!L110),ISNUMBER(Panel_Inputs!M110)),Panel_Inputs!K110-Panel_Inputs!L110-Panel_Inputs!M110,"")</f>
        <v>0</v>
      </c>
      <c r="S110" s="0" t="str">
        <f aca="false">IF(AND(ISNUMBER(Panel_Inputs!V110),Panel_Inputs!W110=1),Panel_Inputs!V110,"")</f>
        <v/>
      </c>
      <c r="T110" s="0" t="str">
        <f aca="false">IF(AND(ISNUMBER(Panel_Inputs!T110),ISNUMBER(Panel_Inputs!U110)),Panel_Inputs!T110-Panel_Inputs!U110,"")</f>
        <v/>
      </c>
    </row>
    <row r="111" customFormat="false" ht="15" hidden="false" customHeight="false" outlineLevel="0" collapsed="false">
      <c r="A111" s="0" t="str">
        <f aca="false">Panel_Inputs!A111</f>
        <v>Wema</v>
      </c>
      <c r="B111" s="0" t="n">
        <f aca="false">Panel_Inputs!B111</f>
        <v>2022</v>
      </c>
      <c r="C111" s="0" t="str">
        <f aca="false">IF(AND(ISNUMBER(Panel_Inputs!F111),ISNUMBER(Panel_Inputs!J111)),IF(AND(Panel_Inputs!F111&gt;0,Panel_Inputs!J111&gt;0),(Panel_Inputs!F111+Panel_Inputs!J111)/2,""),"")</f>
        <v/>
      </c>
      <c r="D111" s="0" t="str">
        <f aca="false">IF(AND(ISNUMBER(Panel_Inputs!E111),ISNUMBER(C111)),IF(C111&gt;0,100*Panel_Inputs!E111/C111,""),"")</f>
        <v/>
      </c>
      <c r="E111" s="0" t="n">
        <f aca="false">IF(AND(ISNUMBER(Panel_Inputs!H111),ISNUMBER(Panel_Inputs!F111)),IF(Panel_Inputs!F111&gt;0,100*Panel_Inputs!H111/Panel_Inputs!F111,""),"")</f>
        <v>5.76288381871853</v>
      </c>
      <c r="F111" s="0" t="str">
        <f aca="false">IF(AND(ISNUMBER(Panel_Inputs!I111),ISNUMBER(C111)),IF(C111&gt;0,100*Panel_Inputs!I111/C111,""),"")</f>
        <v/>
      </c>
      <c r="G111" s="0" t="n">
        <f aca="false">IF(AND(ISNUMBER(Panel_Inputs!L111),ISNUMBER(Panel_Inputs!K111)),IF(Panel_Inputs!K111&gt;0,100*Panel_Inputs!L111/Panel_Inputs!K111,""),"")</f>
        <v>3.32633443478277</v>
      </c>
      <c r="H111" s="0" t="n">
        <f aca="false">IF(AND(ISNUMBER(Panel_Inputs!P111),ISNUMBER(Panel_Inputs!Q111)),IF(Panel_Inputs!Q111&gt;0,100*Panel_Inputs!P111/Panel_Inputs!Q111,""),"")</f>
        <v>12.7374082051793</v>
      </c>
      <c r="I111" s="0" t="str">
        <f aca="false">IF(AND(ISNUMBER(Panel_Inputs!N111),ISNUMBER(C111)),IF(C111&gt;0,100*Panel_Inputs!N111/C111,""),"")</f>
        <v/>
      </c>
      <c r="J111" s="0" t="str">
        <f aca="false">IF(AND(ISNUMBER(Panel_Inputs!L111),ISNUMBER(Panel_Inputs!O111)),IF(Panel_Inputs!O111&gt;0,100*Panel_Inputs!L111/Panel_Inputs!O111,""),"")</f>
        <v/>
      </c>
      <c r="K111" s="0" t="str">
        <f aca="false">IF(AND(ISNUMBER(Panel_Inputs!O111),ISNUMBER(Panel_Inputs!K111)),IF(Panel_Inputs!K111&gt;0,100*Panel_Inputs!O111/Panel_Inputs!K111,""),"")</f>
        <v/>
      </c>
      <c r="L111" s="0" t="str">
        <f aca="false">IF(AND(ISNUMBER(Panel_Inputs!R111),ISNUMBER(Panel_Inputs!K111)),IF(Panel_Inputs!K111&gt;0,100*Panel_Inputs!R111/Panel_Inputs!K111,""),"")</f>
        <v/>
      </c>
      <c r="M111" s="0" t="str">
        <f aca="false">IF(AND(ISNUMBER(Panel_Inputs!S111),ISNUMBER(Panel_Inputs!R111)),IF(Panel_Inputs!R111&gt;0,100*Panel_Inputs!S111/Panel_Inputs!R111,""),"")</f>
        <v/>
      </c>
      <c r="N111" s="0" t="n">
        <f aca="false">IF(AND(ISNUMBER(Panel_Inputs!E111),ISNUMBER(Panel_Inputs!F111)),IF(Panel_Inputs!F111&gt;0,100*Panel_Inputs!E111/Panel_Inputs!F111,""),"")</f>
        <v>0.782171891176373</v>
      </c>
      <c r="O111" s="0" t="n">
        <f aca="false">IF(AND(ISNUMBER(Panel_Inputs!G111),ISNUMBER(Panel_Inputs!F111)),IF(Panel_Inputs!F111&gt;0,100*Panel_Inputs!G111/Panel_Inputs!F111,""),"")</f>
        <v>94.2371161812815</v>
      </c>
      <c r="P111" s="0" t="n">
        <f aca="false">IF(ISNUMBER(Panel_Inputs!F111),IF(Panel_Inputs!F111&gt;0,LN(Panel_Inputs!F111),""),"")</f>
        <v>14.1757716232764</v>
      </c>
      <c r="Q111" s="0" t="n">
        <f aca="false">IF(AND(ISNUMBER(Panel_Inputs!F111),ISNUMBER(Panel_Inputs!G111),ISNUMBER(Panel_Inputs!H111)),Panel_Inputs!F111-Panel_Inputs!G111-Panel_Inputs!H111,"")</f>
        <v>0</v>
      </c>
      <c r="R111" s="0" t="n">
        <f aca="false">IF(AND(ISNUMBER(Panel_Inputs!K111),ISNUMBER(Panel_Inputs!L111),ISNUMBER(Panel_Inputs!M111)),Panel_Inputs!K111-Panel_Inputs!L111-Panel_Inputs!M111,"")</f>
        <v>0</v>
      </c>
      <c r="S111" s="0" t="str">
        <f aca="false">IF(AND(ISNUMBER(Panel_Inputs!V111),Panel_Inputs!W111=1),Panel_Inputs!V111,"")</f>
        <v/>
      </c>
      <c r="T111" s="0" t="str">
        <f aca="false">IF(AND(ISNUMBER(Panel_Inputs!T111),ISNUMBER(Panel_Inputs!U111)),Panel_Inputs!T111-Panel_Inputs!U111,"")</f>
        <v/>
      </c>
    </row>
    <row r="112" customFormat="false" ht="15" hidden="false" customHeight="false" outlineLevel="0" collapsed="false">
      <c r="A112" s="0" t="str">
        <f aca="false">Panel_Inputs!A112</f>
        <v>Zenith</v>
      </c>
      <c r="B112" s="0" t="n">
        <f aca="false">Panel_Inputs!B112</f>
        <v>2013</v>
      </c>
      <c r="C112" s="0" t="n">
        <f aca="false">IF(AND(ISNUMBER(Panel_Inputs!F112),ISNUMBER(Panel_Inputs!J112)),IF(AND(Panel_Inputs!F112&gt;0,Panel_Inputs!J112&gt;0),(Panel_Inputs!F112+Panel_Inputs!J112)/2,""),"")</f>
        <v>2657789.5</v>
      </c>
      <c r="D112" s="0" t="n">
        <f aca="false">IF(AND(ISNUMBER(Panel_Inputs!E112),ISNUMBER(C112)),IF(C112&gt;0,100*Panel_Inputs!E112/C112,""),"")</f>
        <v>3.13847277972917</v>
      </c>
      <c r="E112" s="0" t="n">
        <f aca="false">IF(AND(ISNUMBER(Panel_Inputs!H112),ISNUMBER(Panel_Inputs!F112)),IF(Panel_Inputs!F112&gt;0,100*Panel_Inputs!H112/Panel_Inputs!F112,""),"")</f>
        <v>16.4179368901095</v>
      </c>
      <c r="F112" s="0" t="n">
        <f aca="false">IF(AND(ISNUMBER(Panel_Inputs!I112),ISNUMBER(C112)),IF(C112&gt;0,100*Panel_Inputs!I112/C112,""),"")</f>
        <v>8.86522427754342</v>
      </c>
      <c r="G112" s="0" t="n">
        <f aca="false">IF(AND(ISNUMBER(Panel_Inputs!L112),ISNUMBER(Panel_Inputs!K112)),IF(Panel_Inputs!K112&gt;0,100*Panel_Inputs!L112/Panel_Inputs!K112,""),"")</f>
        <v>1.89998415155985</v>
      </c>
      <c r="H112" s="0" t="n">
        <f aca="false">IF(AND(ISNUMBER(Panel_Inputs!P112),ISNUMBER(Panel_Inputs!Q112)),IF(Panel_Inputs!Q112&gt;0,100*Panel_Inputs!P112/Panel_Inputs!Q112,""),"")</f>
        <v>26.2189890423635</v>
      </c>
      <c r="I112" s="0" t="n">
        <f aca="false">IF(AND(ISNUMBER(Panel_Inputs!N112),ISNUMBER(C112)),IF(C112&gt;0,100*Panel_Inputs!N112/C112,""),"")</f>
        <v>0.372753372680568</v>
      </c>
      <c r="J112" s="0" t="str">
        <f aca="false">IF(AND(ISNUMBER(Panel_Inputs!L112),ISNUMBER(Panel_Inputs!O112)),IF(Panel_Inputs!O112&gt;0,100*Panel_Inputs!L112/Panel_Inputs!O112,""),"")</f>
        <v/>
      </c>
      <c r="K112" s="0" t="str">
        <f aca="false">IF(AND(ISNUMBER(Panel_Inputs!O112),ISNUMBER(Panel_Inputs!K112)),IF(Panel_Inputs!K112&gt;0,100*Panel_Inputs!O112/Panel_Inputs!K112,""),"")</f>
        <v/>
      </c>
      <c r="L112" s="0" t="str">
        <f aca="false">IF(AND(ISNUMBER(Panel_Inputs!R112),ISNUMBER(Panel_Inputs!K112)),IF(Panel_Inputs!K112&gt;0,100*Panel_Inputs!R112/Panel_Inputs!K112,""),"")</f>
        <v/>
      </c>
      <c r="M112" s="0" t="str">
        <f aca="false">IF(AND(ISNUMBER(Panel_Inputs!S112),ISNUMBER(Panel_Inputs!R112)),IF(Panel_Inputs!R112&gt;0,100*Panel_Inputs!S112/Panel_Inputs!R112,""),"")</f>
        <v/>
      </c>
      <c r="N112" s="0" t="n">
        <f aca="false">IF(AND(ISNUMBER(Panel_Inputs!E112),ISNUMBER(Panel_Inputs!F112)),IF(Panel_Inputs!F112&gt;0,100*Panel_Inputs!E112/Panel_Inputs!F112,""),"")</f>
        <v>2.89763444729952</v>
      </c>
      <c r="O112" s="0" t="n">
        <f aca="false">IF(AND(ISNUMBER(Panel_Inputs!G112),ISNUMBER(Panel_Inputs!F112)),IF(Panel_Inputs!F112&gt;0,100*Panel_Inputs!G112/Panel_Inputs!F112,""),"")</f>
        <v>83.5820631098905</v>
      </c>
      <c r="P112" s="0" t="n">
        <f aca="false">IF(ISNUMBER(Panel_Inputs!F112),IF(Panel_Inputs!F112&gt;0,LN(Panel_Inputs!F112),""),"")</f>
        <v>14.8728469296605</v>
      </c>
      <c r="Q112" s="0" t="n">
        <f aca="false">IF(AND(ISNUMBER(Panel_Inputs!F112),ISNUMBER(Panel_Inputs!G112),ISNUMBER(Panel_Inputs!H112)),Panel_Inputs!F112-Panel_Inputs!G112-Panel_Inputs!H112,"")</f>
        <v>0</v>
      </c>
      <c r="R112" s="0" t="n">
        <f aca="false">IF(AND(ISNUMBER(Panel_Inputs!K112),ISNUMBER(Panel_Inputs!L112),ISNUMBER(Panel_Inputs!M112)),Panel_Inputs!K112-Panel_Inputs!L112-Panel_Inputs!M112,"")</f>
        <v>0</v>
      </c>
      <c r="S112" s="0" t="str">
        <f aca="false">IF(AND(ISNUMBER(Panel_Inputs!V112),Panel_Inputs!W112=1),Panel_Inputs!V112,"")</f>
        <v/>
      </c>
      <c r="T112" s="0" t="str">
        <f aca="false">IF(AND(ISNUMBER(Panel_Inputs!T112),ISNUMBER(Panel_Inputs!U112)),Panel_Inputs!T112-Panel_Inputs!U112,"")</f>
        <v/>
      </c>
    </row>
    <row r="113" customFormat="false" ht="15" hidden="false" customHeight="false" outlineLevel="0" collapsed="false">
      <c r="A113" s="0" t="str">
        <f aca="false">Panel_Inputs!A113</f>
        <v>Zenith</v>
      </c>
      <c r="B113" s="0" t="n">
        <f aca="false">Panel_Inputs!B113</f>
        <v>2014</v>
      </c>
      <c r="C113" s="0" t="str">
        <f aca="false">IF(AND(ISNUMBER(Panel_Inputs!F113),ISNUMBER(Panel_Inputs!J113)),IF(AND(Panel_Inputs!F113&gt;0,Panel_Inputs!J113&gt;0),(Panel_Inputs!F113+Panel_Inputs!J113)/2,""),"")</f>
        <v/>
      </c>
      <c r="D113" s="0" t="str">
        <f aca="false">IF(AND(ISNUMBER(Panel_Inputs!E113),ISNUMBER(C113)),IF(C113&gt;0,100*Panel_Inputs!E113/C113,""),"")</f>
        <v/>
      </c>
      <c r="E113" s="0" t="n">
        <f aca="false">IF(AND(ISNUMBER(Panel_Inputs!H113),ISNUMBER(Panel_Inputs!F113)),IF(Panel_Inputs!F113&gt;0,100*Panel_Inputs!H113/Panel_Inputs!F113,""),"")</f>
        <v>14.9747109879348</v>
      </c>
      <c r="F113" s="0" t="str">
        <f aca="false">IF(AND(ISNUMBER(Panel_Inputs!I113),ISNUMBER(C113)),IF(C113&gt;0,100*Panel_Inputs!I113/C113,""),"")</f>
        <v/>
      </c>
      <c r="G113" s="0" t="n">
        <f aca="false">IF(AND(ISNUMBER(Panel_Inputs!L113),ISNUMBER(Panel_Inputs!K113)),IF(Panel_Inputs!K113&gt;0,100*Panel_Inputs!L113/Panel_Inputs!K113,""),"")</f>
        <v>1.57768433981219</v>
      </c>
      <c r="H113" s="0" t="str">
        <f aca="false">IF(AND(ISNUMBER(Panel_Inputs!P113),ISNUMBER(Panel_Inputs!Q113)),IF(Panel_Inputs!Q113&gt;0,100*Panel_Inputs!P113/Panel_Inputs!Q113,""),"")</f>
        <v/>
      </c>
      <c r="I113" s="0" t="str">
        <f aca="false">IF(AND(ISNUMBER(Panel_Inputs!N113),ISNUMBER(C113)),IF(C113&gt;0,100*Panel_Inputs!N113/C113,""),"")</f>
        <v/>
      </c>
      <c r="J113" s="0" t="n">
        <f aca="false">IF(AND(ISNUMBER(Panel_Inputs!L113),ISNUMBER(Panel_Inputs!O113)),IF(Panel_Inputs!O113&gt;0,100*Panel_Inputs!L113/Panel_Inputs!O113,""),"")</f>
        <v>95.9253228310675</v>
      </c>
      <c r="K113" s="0" t="n">
        <f aca="false">IF(AND(ISNUMBER(Panel_Inputs!O113),ISNUMBER(Panel_Inputs!K113)),IF(Panel_Inputs!K113&gt;0,100*Panel_Inputs!O113/Panel_Inputs!K113,""),"")</f>
        <v>1.6447005787936</v>
      </c>
      <c r="L113" s="0" t="str">
        <f aca="false">IF(AND(ISNUMBER(Panel_Inputs!R113),ISNUMBER(Panel_Inputs!K113)),IF(Panel_Inputs!K113&gt;0,100*Panel_Inputs!R113/Panel_Inputs!K113,""),"")</f>
        <v/>
      </c>
      <c r="M113" s="0" t="str">
        <f aca="false">IF(AND(ISNUMBER(Panel_Inputs!S113),ISNUMBER(Panel_Inputs!R113)),IF(Panel_Inputs!R113&gt;0,100*Panel_Inputs!S113/Panel_Inputs!R113,""),"")</f>
        <v/>
      </c>
      <c r="N113" s="0" t="n">
        <f aca="false">IF(AND(ISNUMBER(Panel_Inputs!E113),ISNUMBER(Panel_Inputs!F113)),IF(Panel_Inputs!F113&gt;0,100*Panel_Inputs!E113/Panel_Inputs!F113,""),"")</f>
        <v>2.70104815704335</v>
      </c>
      <c r="O113" s="0" t="n">
        <f aca="false">IF(AND(ISNUMBER(Panel_Inputs!G113),ISNUMBER(Panel_Inputs!F113)),IF(Panel_Inputs!F113&gt;0,100*Panel_Inputs!G113/Panel_Inputs!F113,""),"")</f>
        <v>85.0252890120652</v>
      </c>
      <c r="P113" s="0" t="n">
        <f aca="false">IF(ISNUMBER(Panel_Inputs!F113),IF(Panel_Inputs!F113&gt;0,LN(Panel_Inputs!F113),""),"")</f>
        <v>15.046267152697</v>
      </c>
      <c r="Q113" s="0" t="n">
        <f aca="false">IF(AND(ISNUMBER(Panel_Inputs!F113),ISNUMBER(Panel_Inputs!G113),ISNUMBER(Panel_Inputs!H113)),Panel_Inputs!F113-Panel_Inputs!G113-Panel_Inputs!H113,"")</f>
        <v>0</v>
      </c>
      <c r="R113" s="0" t="str">
        <f aca="false">IF(AND(ISNUMBER(Panel_Inputs!K113),ISNUMBER(Panel_Inputs!L113),ISNUMBER(Panel_Inputs!M113)),Panel_Inputs!K113-Panel_Inputs!L113-Panel_Inputs!M113,"")</f>
        <v/>
      </c>
      <c r="S113" s="0" t="str">
        <f aca="false">IF(AND(ISNUMBER(Panel_Inputs!V113),Panel_Inputs!W113=1),Panel_Inputs!V113,"")</f>
        <v/>
      </c>
      <c r="T113" s="0" t="str">
        <f aca="false">IF(AND(ISNUMBER(Panel_Inputs!T113),ISNUMBER(Panel_Inputs!U113)),Panel_Inputs!T113-Panel_Inputs!U113,"")</f>
        <v/>
      </c>
    </row>
    <row r="114" customFormat="false" ht="15" hidden="false" customHeight="false" outlineLevel="0" collapsed="false">
      <c r="A114" s="0" t="str">
        <f aca="false">Panel_Inputs!A114</f>
        <v>Zenith</v>
      </c>
      <c r="B114" s="0" t="n">
        <f aca="false">Panel_Inputs!B114</f>
        <v>2015</v>
      </c>
      <c r="C114" s="0" t="n">
        <f aca="false">IF(AND(ISNUMBER(Panel_Inputs!F114),ISNUMBER(Panel_Inputs!J114)),IF(AND(Panel_Inputs!F114&gt;0,Panel_Inputs!J114&gt;0),(Panel_Inputs!F114+Panel_Inputs!J114)/2,""),"")</f>
        <v>3587073</v>
      </c>
      <c r="D114" s="0" t="n">
        <f aca="false">IF(AND(ISNUMBER(Panel_Inputs!E114),ISNUMBER(C114)),IF(C114&gt;0,100*Panel_Inputs!E114/C114,""),"")</f>
        <v>2.75388875553968</v>
      </c>
      <c r="E114" s="0" t="n">
        <f aca="false">IF(AND(ISNUMBER(Panel_Inputs!H114),ISNUMBER(Panel_Inputs!F114)),IF(Panel_Inputs!F114&gt;0,100*Panel_Inputs!H114/Panel_Inputs!F114,""),"")</f>
        <v>14.5839549457954</v>
      </c>
      <c r="F114" s="0" t="n">
        <f aca="false">IF(AND(ISNUMBER(Panel_Inputs!I114),ISNUMBER(C114)),IF(C114&gt;0,100*Panel_Inputs!I114/C114,""),"")</f>
        <v>-11.580360923795</v>
      </c>
      <c r="G114" s="0" t="n">
        <f aca="false">IF(AND(ISNUMBER(Panel_Inputs!L114),ISNUMBER(Panel_Inputs!K114)),IF(Panel_Inputs!K114&gt;0,100*Panel_Inputs!L114/Panel_Inputs!K114,""),"")</f>
        <v>1.89480731757652</v>
      </c>
      <c r="H114" s="0" t="str">
        <f aca="false">IF(AND(ISNUMBER(Panel_Inputs!P114),ISNUMBER(Panel_Inputs!Q114)),IF(Panel_Inputs!Q114&gt;0,100*Panel_Inputs!P114/Panel_Inputs!Q114,""),"")</f>
        <v/>
      </c>
      <c r="I114" s="0" t="n">
        <f aca="false">IF(AND(ISNUMBER(Panel_Inputs!N114),ISNUMBER(C114)),IF(C114&gt;0,100*Panel_Inputs!N114/C114,""),"")</f>
        <v>0.309193596004319</v>
      </c>
      <c r="J114" s="0" t="n">
        <f aca="false">IF(AND(ISNUMBER(Panel_Inputs!L114),ISNUMBER(Panel_Inputs!O114)),IF(Panel_Inputs!O114&gt;0,100*Panel_Inputs!L114/Panel_Inputs!O114,""),"")</f>
        <v>115.694340967251</v>
      </c>
      <c r="K114" s="0" t="n">
        <f aca="false">IF(AND(ISNUMBER(Panel_Inputs!O114),ISNUMBER(Panel_Inputs!K114)),IF(Panel_Inputs!K114&gt;0,100*Panel_Inputs!O114/Panel_Inputs!K114,""),"")</f>
        <v>1.63777009466079</v>
      </c>
      <c r="L114" s="0" t="str">
        <f aca="false">IF(AND(ISNUMBER(Panel_Inputs!R114),ISNUMBER(Panel_Inputs!K114)),IF(Panel_Inputs!K114&gt;0,100*Panel_Inputs!R114/Panel_Inputs!K114,""),"")</f>
        <v/>
      </c>
      <c r="M114" s="0" t="str">
        <f aca="false">IF(AND(ISNUMBER(Panel_Inputs!S114),ISNUMBER(Panel_Inputs!R114)),IF(Panel_Inputs!R114&gt;0,100*Panel_Inputs!S114/Panel_Inputs!R114,""),"")</f>
        <v/>
      </c>
      <c r="N114" s="0" t="n">
        <f aca="false">IF(AND(ISNUMBER(Panel_Inputs!E114),ISNUMBER(Panel_Inputs!F114)),IF(Panel_Inputs!F114&gt;0,100*Panel_Inputs!E114/Panel_Inputs!F114,""),"")</f>
        <v>2.63401031430059</v>
      </c>
      <c r="O114" s="0" t="n">
        <f aca="false">IF(AND(ISNUMBER(Panel_Inputs!G114),ISNUMBER(Panel_Inputs!F114)),IF(Panel_Inputs!F114&gt;0,100*Panel_Inputs!G114/Panel_Inputs!F114,""),"")</f>
        <v>85.4160450542046</v>
      </c>
      <c r="P114" s="0" t="n">
        <f aca="false">IF(ISNUMBER(Panel_Inputs!F114),IF(Panel_Inputs!F114&gt;0,LN(Panel_Inputs!F114),""),"")</f>
        <v>15.1373535941449</v>
      </c>
      <c r="Q114" s="0" t="n">
        <f aca="false">IF(AND(ISNUMBER(Panel_Inputs!F114),ISNUMBER(Panel_Inputs!G114),ISNUMBER(Panel_Inputs!H114)),Panel_Inputs!F114-Panel_Inputs!G114-Panel_Inputs!H114,"")</f>
        <v>0</v>
      </c>
      <c r="R114" s="0" t="str">
        <f aca="false">IF(AND(ISNUMBER(Panel_Inputs!K114),ISNUMBER(Panel_Inputs!L114),ISNUMBER(Panel_Inputs!M114)),Panel_Inputs!K114-Panel_Inputs!L114-Panel_Inputs!M114,"")</f>
        <v/>
      </c>
      <c r="S114" s="0" t="str">
        <f aca="false">IF(AND(ISNUMBER(Panel_Inputs!V114),Panel_Inputs!W114=1),Panel_Inputs!V114,"")</f>
        <v/>
      </c>
      <c r="T114" s="0" t="str">
        <f aca="false">IF(AND(ISNUMBER(Panel_Inputs!T114),ISNUMBER(Panel_Inputs!U114)),Panel_Inputs!T114-Panel_Inputs!U114,"")</f>
        <v/>
      </c>
    </row>
    <row r="115" customFormat="false" ht="15" hidden="false" customHeight="false" outlineLevel="0" collapsed="false">
      <c r="A115" s="0" t="str">
        <f aca="false">Panel_Inputs!A115</f>
        <v>Zenith</v>
      </c>
      <c r="B115" s="0" t="n">
        <f aca="false">Panel_Inputs!B115</f>
        <v>2016</v>
      </c>
      <c r="C115" s="0" t="n">
        <f aca="false">IF(AND(ISNUMBER(Panel_Inputs!F115),ISNUMBER(Panel_Inputs!J115)),IF(AND(Panel_Inputs!F115&gt;0,Panel_Inputs!J115&gt;0),(Panel_Inputs!F115+Panel_Inputs!J115)/2,""),"")</f>
        <v>4017031.5</v>
      </c>
      <c r="D115" s="0" t="n">
        <f aca="false">IF(AND(ISNUMBER(Panel_Inputs!E115),ISNUMBER(C115)),IF(C115&gt;0,100*Panel_Inputs!E115/C115,""),"")</f>
        <v>2.96948131972577</v>
      </c>
      <c r="E115" s="0" t="n">
        <f aca="false">IF(AND(ISNUMBER(Panel_Inputs!H115),ISNUMBER(Panel_Inputs!F115)),IF(Panel_Inputs!F115&gt;0,100*Panel_Inputs!H115/Panel_Inputs!F115,""),"")</f>
        <v>14.3882115984739</v>
      </c>
      <c r="F115" s="0" t="n">
        <f aca="false">IF(AND(ISNUMBER(Panel_Inputs!I115),ISNUMBER(C115)),IF(C115&gt;0,100*Panel_Inputs!I115/C115,""),"")</f>
        <v>-2.61180426391976</v>
      </c>
      <c r="G115" s="0" t="n">
        <f aca="false">IF(AND(ISNUMBER(Panel_Inputs!L115),ISNUMBER(Panel_Inputs!K115)),IF(Panel_Inputs!K115&gt;0,100*Panel_Inputs!L115/Panel_Inputs!K115,""),"")</f>
        <v>2.51191852724574</v>
      </c>
      <c r="H115" s="0" t="n">
        <f aca="false">IF(AND(ISNUMBER(Panel_Inputs!P115),ISNUMBER(Panel_Inputs!Q115)),IF(Panel_Inputs!Q115&gt;0,100*Panel_Inputs!P115/Panel_Inputs!Q115,""),"")</f>
        <v>21.5372909763347</v>
      </c>
      <c r="I115" s="0" t="n">
        <f aca="false">IF(AND(ISNUMBER(Panel_Inputs!N115),ISNUMBER(C115)),IF(C115&gt;0,100*Panel_Inputs!N115/C115,""),"")</f>
        <v>0.654587846771926</v>
      </c>
      <c r="J115" s="0" t="n">
        <f aca="false">IF(AND(ISNUMBER(Panel_Inputs!L115),ISNUMBER(Panel_Inputs!O115)),IF(Panel_Inputs!O115&gt;0,100*Panel_Inputs!L115/Panel_Inputs!O115,""),"")</f>
        <v>95.6840405022839</v>
      </c>
      <c r="K115" s="0" t="n">
        <f aca="false">IF(AND(ISNUMBER(Panel_Inputs!O115),ISNUMBER(Panel_Inputs!K115)),IF(Panel_Inputs!K115&gt;0,100*Panel_Inputs!O115/Panel_Inputs!K115,""),"")</f>
        <v>2.6252220475428</v>
      </c>
      <c r="L115" s="0" t="str">
        <f aca="false">IF(AND(ISNUMBER(Panel_Inputs!R115),ISNUMBER(Panel_Inputs!K115)),IF(Panel_Inputs!K115&gt;0,100*Panel_Inputs!R115/Panel_Inputs!K115,""),"")</f>
        <v/>
      </c>
      <c r="M115" s="0" t="str">
        <f aca="false">IF(AND(ISNUMBER(Panel_Inputs!S115),ISNUMBER(Panel_Inputs!R115)),IF(Panel_Inputs!R115&gt;0,100*Panel_Inputs!S115/Panel_Inputs!R115,""),"")</f>
        <v/>
      </c>
      <c r="N115" s="0" t="n">
        <f aca="false">IF(AND(ISNUMBER(Panel_Inputs!E115),ISNUMBER(Panel_Inputs!F115)),IF(Panel_Inputs!F115&gt;0,100*Panel_Inputs!E115/Panel_Inputs!F115,""),"")</f>
        <v>2.78460203896785</v>
      </c>
      <c r="O115" s="0" t="n">
        <f aca="false">IF(AND(ISNUMBER(Panel_Inputs!G115),ISNUMBER(Panel_Inputs!F115)),IF(Panel_Inputs!F115&gt;0,100*Panel_Inputs!G115/Panel_Inputs!F115,""),"")</f>
        <v>85.6117884015261</v>
      </c>
      <c r="P115" s="0" t="n">
        <f aca="false">IF(ISNUMBER(Panel_Inputs!F115),IF(Panel_Inputs!F115&gt;0,LN(Panel_Inputs!F115),""),"")</f>
        <v>15.270336084001</v>
      </c>
      <c r="Q115" s="0" t="n">
        <f aca="false">IF(AND(ISNUMBER(Panel_Inputs!F115),ISNUMBER(Panel_Inputs!G115),ISNUMBER(Panel_Inputs!H115)),Panel_Inputs!F115-Panel_Inputs!G115-Panel_Inputs!H115,"")</f>
        <v>0</v>
      </c>
      <c r="R115" s="0" t="n">
        <f aca="false">IF(AND(ISNUMBER(Panel_Inputs!K115),ISNUMBER(Panel_Inputs!L115),ISNUMBER(Panel_Inputs!M115)),Panel_Inputs!K115-Panel_Inputs!L115-Panel_Inputs!M115,"")</f>
        <v>0</v>
      </c>
      <c r="S115" s="0" t="str">
        <f aca="false">IF(AND(ISNUMBER(Panel_Inputs!V115),Panel_Inputs!W115=1),Panel_Inputs!V115,"")</f>
        <v/>
      </c>
      <c r="T115" s="0" t="str">
        <f aca="false">IF(AND(ISNUMBER(Panel_Inputs!T115),ISNUMBER(Panel_Inputs!U115)),Panel_Inputs!T115-Panel_Inputs!U115,"")</f>
        <v/>
      </c>
    </row>
    <row r="116" customFormat="false" ht="15" hidden="false" customHeight="false" outlineLevel="0" collapsed="false">
      <c r="A116" s="0" t="str">
        <f aca="false">Panel_Inputs!A116</f>
        <v>Zenith</v>
      </c>
      <c r="B116" s="0" t="n">
        <f aca="false">Panel_Inputs!B116</f>
        <v>2017</v>
      </c>
      <c r="C116" s="0" t="n">
        <f aca="false">IF(AND(ISNUMBER(Panel_Inputs!F116),ISNUMBER(Panel_Inputs!J116)),IF(AND(Panel_Inputs!F116&gt;0,Panel_Inputs!J116&gt;0),(Panel_Inputs!F116+Panel_Inputs!J116)/2,""),"")</f>
        <v>4558697</v>
      </c>
      <c r="D116" s="0" t="n">
        <f aca="false">IF(AND(ISNUMBER(Panel_Inputs!E116),ISNUMBER(C116)),IF(C116&gt;0,100*Panel_Inputs!E116/C116,""),"")</f>
        <v>3.44714728792021</v>
      </c>
      <c r="E116" s="0" t="n">
        <f aca="false">IF(AND(ISNUMBER(Panel_Inputs!H116),ISNUMBER(Panel_Inputs!F116)),IF(Panel_Inputs!F116&gt;0,100*Panel_Inputs!H116/Panel_Inputs!F116,""),"")</f>
        <v>14.6374650420034</v>
      </c>
      <c r="F116" s="0" t="n">
        <f aca="false">IF(AND(ISNUMBER(Panel_Inputs!I116),ISNUMBER(C116)),IF(C116&gt;0,100*Panel_Inputs!I116/C116,""),"")</f>
        <v>-5.61015570896684</v>
      </c>
      <c r="G116" s="0" t="n">
        <f aca="false">IF(AND(ISNUMBER(Panel_Inputs!L116),ISNUMBER(Panel_Inputs!K116)),IF(Panel_Inputs!K116&gt;0,100*Panel_Inputs!L116/Panel_Inputs!K116,""),"")</f>
        <v>6.45255303440748</v>
      </c>
      <c r="H116" s="0" t="n">
        <f aca="false">IF(AND(ISNUMBER(Panel_Inputs!P116),ISNUMBER(Panel_Inputs!Q116)),IF(Panel_Inputs!Q116&gt;0,100*Panel_Inputs!P116/Panel_Inputs!Q116,""),"")</f>
        <v>24.4260832701682</v>
      </c>
      <c r="I116" s="0" t="n">
        <f aca="false">IF(AND(ISNUMBER(Panel_Inputs!N116),ISNUMBER(C116)),IF(C116&gt;0,100*Panel_Inputs!N116/C116,""),"")</f>
        <v>2.08928121346955</v>
      </c>
      <c r="J116" s="0" t="n">
        <f aca="false">IF(AND(ISNUMBER(Panel_Inputs!L116),ISNUMBER(Panel_Inputs!O116)),IF(Panel_Inputs!O116&gt;0,100*Panel_Inputs!L116/Panel_Inputs!O116,""),"")</f>
        <v>148.907759052955</v>
      </c>
      <c r="K116" s="0" t="n">
        <f aca="false">IF(AND(ISNUMBER(Panel_Inputs!O116),ISNUMBER(Panel_Inputs!K116)),IF(Panel_Inputs!K116&gt;0,100*Panel_Inputs!O116/Panel_Inputs!K116,""),"")</f>
        <v>4.333255080491</v>
      </c>
      <c r="L116" s="0" t="str">
        <f aca="false">IF(AND(ISNUMBER(Panel_Inputs!R116),ISNUMBER(Panel_Inputs!K116)),IF(Panel_Inputs!K116&gt;0,100*Panel_Inputs!R116/Panel_Inputs!K116,""),"")</f>
        <v/>
      </c>
      <c r="M116" s="0" t="str">
        <f aca="false">IF(AND(ISNUMBER(Panel_Inputs!S116),ISNUMBER(Panel_Inputs!R116)),IF(Panel_Inputs!R116&gt;0,100*Panel_Inputs!S116/Panel_Inputs!R116,""),"")</f>
        <v/>
      </c>
      <c r="N116" s="0" t="n">
        <f aca="false">IF(AND(ISNUMBER(Panel_Inputs!E116),ISNUMBER(Panel_Inputs!F116)),IF(Panel_Inputs!F116&gt;0,100*Panel_Inputs!E116/Panel_Inputs!F116,""),"")</f>
        <v>3.25105748069061</v>
      </c>
      <c r="O116" s="0" t="n">
        <f aca="false">IF(AND(ISNUMBER(Panel_Inputs!G116),ISNUMBER(Panel_Inputs!F116)),IF(Panel_Inputs!F116&gt;0,100*Panel_Inputs!G116/Panel_Inputs!F116,""),"")</f>
        <v>85.3625349579966</v>
      </c>
      <c r="P116" s="0" t="n">
        <f aca="false">IF(ISNUMBER(Panel_Inputs!F116),IF(Panel_Inputs!F116&gt;0,LN(Panel_Inputs!F116),""),"")</f>
        <v>15.3911140888805</v>
      </c>
      <c r="Q116" s="0" t="n">
        <f aca="false">IF(AND(ISNUMBER(Panel_Inputs!F116),ISNUMBER(Panel_Inputs!G116),ISNUMBER(Panel_Inputs!H116)),Panel_Inputs!F116-Panel_Inputs!G116-Panel_Inputs!H116,"")</f>
        <v>0</v>
      </c>
      <c r="R116" s="0" t="n">
        <f aca="false">IF(AND(ISNUMBER(Panel_Inputs!K116),ISNUMBER(Panel_Inputs!L116),ISNUMBER(Panel_Inputs!M116)),Panel_Inputs!K116-Panel_Inputs!L116-Panel_Inputs!M116,"")</f>
        <v>0</v>
      </c>
      <c r="S116" s="0" t="str">
        <f aca="false">IF(AND(ISNUMBER(Panel_Inputs!V116),Panel_Inputs!W116=1),Panel_Inputs!V116,"")</f>
        <v/>
      </c>
      <c r="T116" s="0" t="str">
        <f aca="false">IF(AND(ISNUMBER(Panel_Inputs!T116),ISNUMBER(Panel_Inputs!U116)),Panel_Inputs!T116-Panel_Inputs!U116,"")</f>
        <v/>
      </c>
    </row>
    <row r="117" customFormat="false" ht="15" hidden="false" customHeight="false" outlineLevel="0" collapsed="false">
      <c r="A117" s="0" t="str">
        <f aca="false">Panel_Inputs!A117</f>
        <v>Zenith</v>
      </c>
      <c r="B117" s="0" t="n">
        <f aca="false">Panel_Inputs!B117</f>
        <v>2018</v>
      </c>
      <c r="C117" s="0" t="n">
        <f aca="false">IF(AND(ISNUMBER(Panel_Inputs!F117),ISNUMBER(Panel_Inputs!J117)),IF(AND(Panel_Inputs!F117&gt;0,Panel_Inputs!J117&gt;0),(Panel_Inputs!F117+Panel_Inputs!J117)/2,""),"")</f>
        <v>4894551.5</v>
      </c>
      <c r="D117" s="0" t="n">
        <f aca="false">IF(AND(ISNUMBER(Panel_Inputs!E117),ISNUMBER(C117)),IF(C117&gt;0,100*Panel_Inputs!E117/C117,""),"")</f>
        <v>3.38090221341016</v>
      </c>
      <c r="E117" s="0" t="n">
        <f aca="false">IF(AND(ISNUMBER(Panel_Inputs!H117),ISNUMBER(Panel_Inputs!F117)),IF(Panel_Inputs!F117&gt;0,100*Panel_Inputs!H117/Panel_Inputs!F117,""),"")</f>
        <v>13.6220258725503</v>
      </c>
      <c r="F117" s="0" t="n">
        <f aca="false">IF(AND(ISNUMBER(Panel_Inputs!I117),ISNUMBER(C117)),IF(C117&gt;0,100*Panel_Inputs!I117/C117,""),"")</f>
        <v>3.76569742906985</v>
      </c>
      <c r="G117" s="0" t="n">
        <f aca="false">IF(AND(ISNUMBER(Panel_Inputs!L117),ISNUMBER(Panel_Inputs!K117)),IF(Panel_Inputs!K117&gt;0,100*Panel_Inputs!L117/Panel_Inputs!K117,""),"")</f>
        <v>9.62997588836187</v>
      </c>
      <c r="H117" s="0" t="n">
        <f aca="false">IF(AND(ISNUMBER(Panel_Inputs!P117),ISNUMBER(Panel_Inputs!Q117)),IF(Panel_Inputs!Q117&gt;0,100*Panel_Inputs!P117/Panel_Inputs!Q117,""),"")</f>
        <v>23.8455594092767</v>
      </c>
      <c r="I117" s="0" t="n">
        <f aca="false">IF(AND(ISNUMBER(Panel_Inputs!N117),ISNUMBER(C117)),IF(C117&gt;0,100*Panel_Inputs!N117/C117,""),"")</f>
        <v>0.312858083115481</v>
      </c>
      <c r="J117" s="0" t="n">
        <f aca="false">IF(AND(ISNUMBER(Panel_Inputs!L117),ISNUMBER(Panel_Inputs!O117)),IF(Panel_Inputs!O117&gt;0,100*Panel_Inputs!L117/Panel_Inputs!O117,""),"")</f>
        <v>199.717154269675</v>
      </c>
      <c r="K117" s="0" t="n">
        <f aca="false">IF(AND(ISNUMBER(Panel_Inputs!O117),ISNUMBER(Panel_Inputs!K117)),IF(Panel_Inputs!K117&gt;0,100*Panel_Inputs!O117/Panel_Inputs!K117,""),"")</f>
        <v>4.82180708190878</v>
      </c>
      <c r="L117" s="0" t="str">
        <f aca="false">IF(AND(ISNUMBER(Panel_Inputs!R117),ISNUMBER(Panel_Inputs!K117)),IF(Panel_Inputs!K117&gt;0,100*Panel_Inputs!R117/Panel_Inputs!K117,""),"")</f>
        <v/>
      </c>
      <c r="M117" s="0" t="str">
        <f aca="false">IF(AND(ISNUMBER(Panel_Inputs!S117),ISNUMBER(Panel_Inputs!R117)),IF(Panel_Inputs!R117&gt;0,100*Panel_Inputs!S117/Panel_Inputs!R117,""),"")</f>
        <v/>
      </c>
      <c r="N117" s="0" t="n">
        <f aca="false">IF(AND(ISNUMBER(Panel_Inputs!E117),ISNUMBER(Panel_Inputs!F117)),IF(Panel_Inputs!F117&gt;0,100*Panel_Inputs!E117/Panel_Inputs!F117,""),"")</f>
        <v>3.33935701031895</v>
      </c>
      <c r="O117" s="0" t="n">
        <f aca="false">IF(AND(ISNUMBER(Panel_Inputs!G117),ISNUMBER(Panel_Inputs!F117)),IF(Panel_Inputs!F117&gt;0,100*Panel_Inputs!G117/Panel_Inputs!F117,""),"")</f>
        <v>86.3779741274497</v>
      </c>
      <c r="P117" s="0" t="n">
        <f aca="false">IF(ISNUMBER(Panel_Inputs!F117),IF(Panel_Inputs!F117&gt;0,LN(Panel_Inputs!F117),""),"")</f>
        <v>15.4159975299882</v>
      </c>
      <c r="Q117" s="0" t="n">
        <f aca="false">IF(AND(ISNUMBER(Panel_Inputs!F117),ISNUMBER(Panel_Inputs!G117),ISNUMBER(Panel_Inputs!H117)),Panel_Inputs!F117-Panel_Inputs!G117-Panel_Inputs!H117,"")</f>
        <v>0</v>
      </c>
      <c r="R117" s="0" t="n">
        <f aca="false">IF(AND(ISNUMBER(Panel_Inputs!K117),ISNUMBER(Panel_Inputs!L117),ISNUMBER(Panel_Inputs!M117)),Panel_Inputs!K117-Panel_Inputs!L117-Panel_Inputs!M117,"")</f>
        <v>0</v>
      </c>
      <c r="S117" s="0" t="str">
        <f aca="false">IF(AND(ISNUMBER(Panel_Inputs!V117),Panel_Inputs!W117=1),Panel_Inputs!V117,"")</f>
        <v/>
      </c>
      <c r="T117" s="0" t="str">
        <f aca="false">IF(AND(ISNUMBER(Panel_Inputs!T117),ISNUMBER(Panel_Inputs!U117)),Panel_Inputs!T117-Panel_Inputs!U117,"")</f>
        <v/>
      </c>
    </row>
    <row r="118" customFormat="false" ht="15" hidden="false" customHeight="false" outlineLevel="0" collapsed="false">
      <c r="A118" s="0" t="str">
        <f aca="false">Panel_Inputs!A118</f>
        <v>Zenith</v>
      </c>
      <c r="B118" s="0" t="n">
        <f aca="false">Panel_Inputs!B118</f>
        <v>2019</v>
      </c>
      <c r="C118" s="0" t="n">
        <f aca="false">IF(AND(ISNUMBER(Panel_Inputs!F118),ISNUMBER(Panel_Inputs!J118)),IF(AND(Panel_Inputs!F118&gt;0,Panel_Inputs!J118&gt;0),(Panel_Inputs!F118+Panel_Inputs!J118)/2,""),"")</f>
        <v>5195259</v>
      </c>
      <c r="D118" s="0" t="n">
        <f aca="false">IF(AND(ISNUMBER(Panel_Inputs!E118),ISNUMBER(C118)),IF(C118&gt;0,100*Panel_Inputs!E118/C118,""),"")</f>
        <v>3.42625844062827</v>
      </c>
      <c r="E118" s="0" t="n">
        <f aca="false">IF(AND(ISNUMBER(Panel_Inputs!H118),ISNUMBER(Panel_Inputs!F118)),IF(Panel_Inputs!F118&gt;0,100*Panel_Inputs!H118/Panel_Inputs!F118,""),"")</f>
        <v>14.3327421729202</v>
      </c>
      <c r="F118" s="0" t="n">
        <f aca="false">IF(AND(ISNUMBER(Panel_Inputs!I118),ISNUMBER(C118)),IF(C118&gt;0,100*Panel_Inputs!I118/C118,""),"")</f>
        <v>7.50863431447787</v>
      </c>
      <c r="G118" s="0" t="n">
        <f aca="false">IF(AND(ISNUMBER(Panel_Inputs!L118),ISNUMBER(Panel_Inputs!K118)),IF(Panel_Inputs!K118&gt;0,100*Panel_Inputs!L118/Panel_Inputs!K118,""),"")</f>
        <v>6.32375867493833</v>
      </c>
      <c r="H118" s="0" t="n">
        <f aca="false">IF(AND(ISNUMBER(Panel_Inputs!P118),ISNUMBER(Panel_Inputs!Q118)),IF(Panel_Inputs!Q118&gt;0,100*Panel_Inputs!P118/Panel_Inputs!Q118,""),"")</f>
        <v>19.5645230476247</v>
      </c>
      <c r="I118" s="0" t="n">
        <f aca="false">IF(AND(ISNUMBER(Panel_Inputs!N118),ISNUMBER(C118)),IF(C118&gt;0,100*Panel_Inputs!N118/C118,""),"")</f>
        <v>0.450275915021754</v>
      </c>
      <c r="J118" s="0" t="n">
        <f aca="false">IF(AND(ISNUMBER(Panel_Inputs!L118),ISNUMBER(Panel_Inputs!O118)),IF(Panel_Inputs!O118&gt;0,100*Panel_Inputs!L118/Panel_Inputs!O118,""),"")</f>
        <v>152.004383804056</v>
      </c>
      <c r="K118" s="0" t="n">
        <f aca="false">IF(AND(ISNUMBER(Panel_Inputs!O118),ISNUMBER(Panel_Inputs!K118)),IF(Panel_Inputs!K118&gt;0,100*Panel_Inputs!O118/Panel_Inputs!K118,""),"")</f>
        <v>4.16024756436636</v>
      </c>
      <c r="L118" s="0" t="str">
        <f aca="false">IF(AND(ISNUMBER(Panel_Inputs!R118),ISNUMBER(Panel_Inputs!K118)),IF(Panel_Inputs!K118&gt;0,100*Panel_Inputs!R118/Panel_Inputs!K118,""),"")</f>
        <v/>
      </c>
      <c r="M118" s="0" t="str">
        <f aca="false">IF(AND(ISNUMBER(Panel_Inputs!S118),ISNUMBER(Panel_Inputs!R118)),IF(Panel_Inputs!R118&gt;0,100*Panel_Inputs!S118/Panel_Inputs!R118,""),"")</f>
        <v/>
      </c>
      <c r="N118" s="0" t="n">
        <f aca="false">IF(AND(ISNUMBER(Panel_Inputs!E118),ISNUMBER(Panel_Inputs!F118)),IF(Panel_Inputs!F118&gt;0,100*Panel_Inputs!E118/Panel_Inputs!F118,""),"")</f>
        <v>3.27508020591444</v>
      </c>
      <c r="O118" s="0" t="n">
        <f aca="false">IF(AND(ISNUMBER(Panel_Inputs!G118),ISNUMBER(Panel_Inputs!F118)),IF(Panel_Inputs!F118&gt;0,100*Panel_Inputs!G118/Panel_Inputs!F118,""),"")</f>
        <v>85.6672578270798</v>
      </c>
      <c r="P118" s="0" t="n">
        <f aca="false">IF(ISNUMBER(Panel_Inputs!F118),IF(Panel_Inputs!F118&gt;0,LN(Panel_Inputs!F118),""),"")</f>
        <v>15.50838350991</v>
      </c>
      <c r="Q118" s="0" t="n">
        <f aca="false">IF(AND(ISNUMBER(Panel_Inputs!F118),ISNUMBER(Panel_Inputs!G118),ISNUMBER(Panel_Inputs!H118)),Panel_Inputs!F118-Panel_Inputs!G118-Panel_Inputs!H118,"")</f>
        <v>0</v>
      </c>
      <c r="R118" s="0" t="n">
        <f aca="false">IF(AND(ISNUMBER(Panel_Inputs!K118),ISNUMBER(Panel_Inputs!L118),ISNUMBER(Panel_Inputs!M118)),Panel_Inputs!K118-Panel_Inputs!L118-Panel_Inputs!M118,"")</f>
        <v>0</v>
      </c>
      <c r="S118" s="0" t="str">
        <f aca="false">IF(AND(ISNUMBER(Panel_Inputs!V118),Panel_Inputs!W118=1),Panel_Inputs!V118,"")</f>
        <v/>
      </c>
      <c r="T118" s="0" t="str">
        <f aca="false">IF(AND(ISNUMBER(Panel_Inputs!T118),ISNUMBER(Panel_Inputs!U118)),Panel_Inputs!T118-Panel_Inputs!U118,"")</f>
        <v/>
      </c>
    </row>
    <row r="119" customFormat="false" ht="15" hidden="false" customHeight="false" outlineLevel="0" collapsed="false">
      <c r="A119" s="0" t="str">
        <f aca="false">Panel_Inputs!A119</f>
        <v>Zenith</v>
      </c>
      <c r="B119" s="0" t="n">
        <f aca="false">Panel_Inputs!B119</f>
        <v>2020</v>
      </c>
      <c r="C119" s="0" t="n">
        <f aca="false">IF(AND(ISNUMBER(Panel_Inputs!F119),ISNUMBER(Panel_Inputs!J119)),IF(AND(Panel_Inputs!F119&gt;0,Panel_Inputs!J119&gt;0),(Panel_Inputs!F119+Panel_Inputs!J119)/2,""),"")</f>
        <v>6280030</v>
      </c>
      <c r="D119" s="0" t="n">
        <f aca="false">IF(AND(ISNUMBER(Panel_Inputs!E119),ISNUMBER(C119)),IF(C119&gt;0,100*Panel_Inputs!E119/C119,""),"")</f>
        <v>3.15049450400715</v>
      </c>
      <c r="E119" s="0" t="n">
        <f aca="false">IF(AND(ISNUMBER(Panel_Inputs!H119),ISNUMBER(Panel_Inputs!F119)),IF(Panel_Inputs!F119&gt;0,100*Panel_Inputs!H119/Panel_Inputs!F119,""),"")</f>
        <v>12.7050337074299</v>
      </c>
      <c r="F119" s="0" t="n">
        <f aca="false">IF(AND(ISNUMBER(Panel_Inputs!I119),ISNUMBER(C119)),IF(C119&gt;0,100*Panel_Inputs!I119/C119,""),"")</f>
        <v>1.04967651428417</v>
      </c>
      <c r="G119" s="0" t="n">
        <f aca="false">IF(AND(ISNUMBER(Panel_Inputs!L119),ISNUMBER(Panel_Inputs!K119)),IF(Panel_Inputs!K119&gt;0,100*Panel_Inputs!L119/Panel_Inputs!K119,""),"")</f>
        <v>4.79199960471215</v>
      </c>
      <c r="H119" s="0" t="str">
        <f aca="false">IF(AND(ISNUMBER(Panel_Inputs!P119),ISNUMBER(Panel_Inputs!Q119)),IF(Panel_Inputs!Q119&gt;0,100*Panel_Inputs!P119/Panel_Inputs!Q119,""),"")</f>
        <v/>
      </c>
      <c r="I119" s="0" t="n">
        <f aca="false">IF(AND(ISNUMBER(Panel_Inputs!N119),ISNUMBER(C119)),IF(C119&gt;0,100*Panel_Inputs!N119/C119,""),"")</f>
        <v>0.592943027342226</v>
      </c>
      <c r="J119" s="0" t="str">
        <f aca="false">IF(AND(ISNUMBER(Panel_Inputs!L119),ISNUMBER(Panel_Inputs!O119)),IF(Panel_Inputs!O119&gt;0,100*Panel_Inputs!L119/Panel_Inputs!O119,""),"")</f>
        <v/>
      </c>
      <c r="K119" s="0" t="str">
        <f aca="false">IF(AND(ISNUMBER(Panel_Inputs!O119),ISNUMBER(Panel_Inputs!K119)),IF(Panel_Inputs!K119&gt;0,100*Panel_Inputs!O119/Panel_Inputs!K119,""),"")</f>
        <v/>
      </c>
      <c r="L119" s="0" t="str">
        <f aca="false">IF(AND(ISNUMBER(Panel_Inputs!R119),ISNUMBER(Panel_Inputs!K119)),IF(Panel_Inputs!K119&gt;0,100*Panel_Inputs!R119/Panel_Inputs!K119,""),"")</f>
        <v/>
      </c>
      <c r="M119" s="0" t="str">
        <f aca="false">IF(AND(ISNUMBER(Panel_Inputs!S119),ISNUMBER(Panel_Inputs!R119)),IF(Panel_Inputs!R119&gt;0,100*Panel_Inputs!S119/Panel_Inputs!R119,""),"")</f>
        <v/>
      </c>
      <c r="N119" s="0" t="n">
        <f aca="false">IF(AND(ISNUMBER(Panel_Inputs!E119),ISNUMBER(Panel_Inputs!F119)),IF(Panel_Inputs!F119&gt;0,100*Panel_Inputs!E119/Panel_Inputs!F119,""),"")</f>
        <v>2.77687524201799</v>
      </c>
      <c r="O119" s="0" t="n">
        <f aca="false">IF(AND(ISNUMBER(Panel_Inputs!G119),ISNUMBER(Panel_Inputs!F119)),IF(Panel_Inputs!F119&gt;0,100*Panel_Inputs!G119/Panel_Inputs!F119,""),"")</f>
        <v>87.2949662925701</v>
      </c>
      <c r="P119" s="0" t="n">
        <f aca="false">IF(ISNUMBER(Panel_Inputs!F119),IF(Panel_Inputs!F119&gt;0,LN(Panel_Inputs!F119),""),"")</f>
        <v>15.7791184595559</v>
      </c>
      <c r="Q119" s="0" t="n">
        <f aca="false">IF(AND(ISNUMBER(Panel_Inputs!F119),ISNUMBER(Panel_Inputs!G119),ISNUMBER(Panel_Inputs!H119)),Panel_Inputs!F119-Panel_Inputs!G119-Panel_Inputs!H119,"")</f>
        <v>0</v>
      </c>
      <c r="R119" s="0" t="n">
        <f aca="false">IF(AND(ISNUMBER(Panel_Inputs!K119),ISNUMBER(Panel_Inputs!L119),ISNUMBER(Panel_Inputs!M119)),Panel_Inputs!K119-Panel_Inputs!L119-Panel_Inputs!M119,"")</f>
        <v>0</v>
      </c>
      <c r="S119" s="0" t="str">
        <f aca="false">IF(AND(ISNUMBER(Panel_Inputs!V119),Panel_Inputs!W119=1),Panel_Inputs!V119,"")</f>
        <v/>
      </c>
      <c r="T119" s="0" t="str">
        <f aca="false">IF(AND(ISNUMBER(Panel_Inputs!T119),ISNUMBER(Panel_Inputs!U119)),Panel_Inputs!T119-Panel_Inputs!U119,"")</f>
        <v/>
      </c>
    </row>
    <row r="120" customFormat="false" ht="15" hidden="false" customHeight="false" outlineLevel="0" collapsed="false">
      <c r="A120" s="0" t="str">
        <f aca="false">Panel_Inputs!A120</f>
        <v>Zenith</v>
      </c>
      <c r="B120" s="0" t="n">
        <f aca="false">Panel_Inputs!B120</f>
        <v>2021</v>
      </c>
      <c r="C120" s="0" t="str">
        <f aca="false">IF(AND(ISNUMBER(Panel_Inputs!F120),ISNUMBER(Panel_Inputs!J120)),IF(AND(Panel_Inputs!F120&gt;0,Panel_Inputs!J120&gt;0),(Panel_Inputs!F120+Panel_Inputs!J120)/2,""),"")</f>
        <v/>
      </c>
      <c r="D120" s="0" t="str">
        <f aca="false">IF(AND(ISNUMBER(Panel_Inputs!E120),ISNUMBER(C120)),IF(C120&gt;0,100*Panel_Inputs!E120/C120,""),"")</f>
        <v/>
      </c>
      <c r="E120" s="0" t="n">
        <f aca="false">IF(AND(ISNUMBER(Panel_Inputs!H120),ISNUMBER(Panel_Inputs!F120)),IF(Panel_Inputs!F120&gt;0,100*Panel_Inputs!H120/Panel_Inputs!F120,""),"")</f>
        <v>13.3350617583799</v>
      </c>
      <c r="F120" s="0" t="str">
        <f aca="false">IF(AND(ISNUMBER(Panel_Inputs!I120),ISNUMBER(C120)),IF(C120&gt;0,100*Panel_Inputs!I120/C120,""),"")</f>
        <v/>
      </c>
      <c r="G120" s="0" t="n">
        <f aca="false">IF(AND(ISNUMBER(Panel_Inputs!L120),ISNUMBER(Panel_Inputs!K120)),IF(Panel_Inputs!K120&gt;0,100*Panel_Inputs!L120/Panel_Inputs!K120,""),"")</f>
        <v>4.27801590686519</v>
      </c>
      <c r="H120" s="0" t="n">
        <f aca="false">IF(AND(ISNUMBER(Panel_Inputs!P120),ISNUMBER(Panel_Inputs!Q120)),IF(Panel_Inputs!Q120&gt;0,100*Panel_Inputs!P120/Panel_Inputs!Q120,""),"")</f>
        <v>19.5928118580614</v>
      </c>
      <c r="I120" s="0" t="str">
        <f aca="false">IF(AND(ISNUMBER(Panel_Inputs!N120),ISNUMBER(C120)),IF(C120&gt;0,100*Panel_Inputs!N120/C120,""),"")</f>
        <v/>
      </c>
      <c r="J120" s="0" t="str">
        <f aca="false">IF(AND(ISNUMBER(Panel_Inputs!L120),ISNUMBER(Panel_Inputs!O120)),IF(Panel_Inputs!O120&gt;0,100*Panel_Inputs!L120/Panel_Inputs!O120,""),"")</f>
        <v/>
      </c>
      <c r="K120" s="0" t="str">
        <f aca="false">IF(AND(ISNUMBER(Panel_Inputs!O120),ISNUMBER(Panel_Inputs!K120)),IF(Panel_Inputs!K120&gt;0,100*Panel_Inputs!O120/Panel_Inputs!K120,""),"")</f>
        <v/>
      </c>
      <c r="L120" s="0" t="str">
        <f aca="false">IF(AND(ISNUMBER(Panel_Inputs!R120),ISNUMBER(Panel_Inputs!K120)),IF(Panel_Inputs!K120&gt;0,100*Panel_Inputs!R120/Panel_Inputs!K120,""),"")</f>
        <v/>
      </c>
      <c r="M120" s="0" t="str">
        <f aca="false">IF(AND(ISNUMBER(Panel_Inputs!S120),ISNUMBER(Panel_Inputs!R120)),IF(Panel_Inputs!R120&gt;0,100*Panel_Inputs!S120/Panel_Inputs!R120,""),"")</f>
        <v/>
      </c>
      <c r="N120" s="0" t="n">
        <f aca="false">IF(AND(ISNUMBER(Panel_Inputs!E120),ISNUMBER(Panel_Inputs!F120)),IF(Panel_Inputs!F120&gt;0,100*Panel_Inputs!E120/Panel_Inputs!F120,""),"")</f>
        <v>2.96143740603118</v>
      </c>
      <c r="O120" s="0" t="n">
        <f aca="false">IF(AND(ISNUMBER(Panel_Inputs!G120),ISNUMBER(Panel_Inputs!F120)),IF(Panel_Inputs!F120&gt;0,100*Panel_Inputs!G120/Panel_Inputs!F120,""),"")</f>
        <v>86.6649382416201</v>
      </c>
      <c r="P120" s="0" t="n">
        <f aca="false">IF(ISNUMBER(Panel_Inputs!F120),IF(Panel_Inputs!F120&gt;0,LN(Panel_Inputs!F120),""),"")</f>
        <v>15.8788598105222</v>
      </c>
      <c r="Q120" s="0" t="n">
        <f aca="false">IF(AND(ISNUMBER(Panel_Inputs!F120),ISNUMBER(Panel_Inputs!G120),ISNUMBER(Panel_Inputs!H120)),Panel_Inputs!F120-Panel_Inputs!G120-Panel_Inputs!H120,"")</f>
        <v>0</v>
      </c>
      <c r="R120" s="0" t="n">
        <f aca="false">IF(AND(ISNUMBER(Panel_Inputs!K120),ISNUMBER(Panel_Inputs!L120),ISNUMBER(Panel_Inputs!M120)),Panel_Inputs!K120-Panel_Inputs!L120-Panel_Inputs!M120,"")</f>
        <v>0</v>
      </c>
      <c r="S120" s="0" t="str">
        <f aca="false">IF(AND(ISNUMBER(Panel_Inputs!V120),Panel_Inputs!W120=1),Panel_Inputs!V120,"")</f>
        <v/>
      </c>
      <c r="T120" s="0" t="str">
        <f aca="false">IF(AND(ISNUMBER(Panel_Inputs!T120),ISNUMBER(Panel_Inputs!U120)),Panel_Inputs!T120-Panel_Inputs!U120,"")</f>
        <v/>
      </c>
    </row>
    <row r="121" customFormat="false" ht="15" hidden="false" customHeight="false" outlineLevel="0" collapsed="false">
      <c r="A121" s="0" t="str">
        <f aca="false">Panel_Inputs!A121</f>
        <v>Zenith</v>
      </c>
      <c r="B121" s="0" t="n">
        <f aca="false">Panel_Inputs!B121</f>
        <v>2022</v>
      </c>
      <c r="C121" s="0" t="n">
        <f aca="false">IF(AND(ISNUMBER(Panel_Inputs!F121),ISNUMBER(Panel_Inputs!J121)),IF(AND(Panel_Inputs!F121&gt;0,Panel_Inputs!J121&gt;0),(Panel_Inputs!F121+Panel_Inputs!J121)/2,""),"")</f>
        <v>9221485</v>
      </c>
      <c r="D121" s="0" t="n">
        <f aca="false">IF(AND(ISNUMBER(Panel_Inputs!E121),ISNUMBER(C121)),IF(C121&gt;0,100*Panel_Inputs!E121/C121,""),"")</f>
        <v>2.54398288345098</v>
      </c>
      <c r="E121" s="0" t="n">
        <f aca="false">IF(AND(ISNUMBER(Panel_Inputs!H121),ISNUMBER(Panel_Inputs!F121)),IF(Panel_Inputs!F121&gt;0,100*Panel_Inputs!H121/Panel_Inputs!F121,""),"")</f>
        <v>11.3062473381556</v>
      </c>
      <c r="F121" s="0" t="n">
        <f aca="false">IF(AND(ISNUMBER(Panel_Inputs!I121),ISNUMBER(C121)),IF(C121&gt;0,100*Panel_Inputs!I121/C121,""),"")</f>
        <v>13.8780033801497</v>
      </c>
      <c r="G121" s="0" t="n">
        <f aca="false">IF(AND(ISNUMBER(Panel_Inputs!L121),ISNUMBER(Panel_Inputs!K121)),IF(Panel_Inputs!K121&gt;0,100*Panel_Inputs!L121/Panel_Inputs!K121,""),"")</f>
        <v>2.68648707084627</v>
      </c>
      <c r="H121" s="0" t="n">
        <f aca="false">IF(AND(ISNUMBER(Panel_Inputs!P121),ISNUMBER(Panel_Inputs!Q121)),IF(Panel_Inputs!Q121&gt;0,100*Panel_Inputs!P121/Panel_Inputs!Q121,""),"")</f>
        <v>18.9964452219655</v>
      </c>
      <c r="I121" s="0" t="n">
        <f aca="false">IF(AND(ISNUMBER(Panel_Inputs!N121),ISNUMBER(C121)),IF(C121&gt;0,100*Panel_Inputs!N121/C121,""),"")</f>
        <v>0.671215102556692</v>
      </c>
      <c r="J121" s="0" t="str">
        <f aca="false">IF(AND(ISNUMBER(Panel_Inputs!L121),ISNUMBER(Panel_Inputs!O121)),IF(Panel_Inputs!O121&gt;0,100*Panel_Inputs!L121/Panel_Inputs!O121,""),"")</f>
        <v/>
      </c>
      <c r="K121" s="0" t="str">
        <f aca="false">IF(AND(ISNUMBER(Panel_Inputs!O121),ISNUMBER(Panel_Inputs!K121)),IF(Panel_Inputs!K121&gt;0,100*Panel_Inputs!O121/Panel_Inputs!K121,""),"")</f>
        <v/>
      </c>
      <c r="L121" s="0" t="str">
        <f aca="false">IF(AND(ISNUMBER(Panel_Inputs!R121),ISNUMBER(Panel_Inputs!K121)),IF(Panel_Inputs!K121&gt;0,100*Panel_Inputs!R121/Panel_Inputs!K121,""),"")</f>
        <v/>
      </c>
      <c r="M121" s="0" t="str">
        <f aca="false">IF(AND(ISNUMBER(Panel_Inputs!S121),ISNUMBER(Panel_Inputs!R121)),IF(Panel_Inputs!R121&gt;0,100*Panel_Inputs!S121/Panel_Inputs!R121,""),"")</f>
        <v/>
      </c>
      <c r="N121" s="0" t="n">
        <f aca="false">IF(AND(ISNUMBER(Panel_Inputs!E121),ISNUMBER(Panel_Inputs!F121)),IF(Panel_Inputs!F121&gt;0,100*Panel_Inputs!E121/Panel_Inputs!F121,""),"")</f>
        <v>2.21928054189145</v>
      </c>
      <c r="O121" s="0" t="n">
        <f aca="false">IF(AND(ISNUMBER(Panel_Inputs!G121),ISNUMBER(Panel_Inputs!F121)),IF(Panel_Inputs!F121&gt;0,100*Panel_Inputs!G121/Panel_Inputs!F121,""),"")</f>
        <v>88.6937526618444</v>
      </c>
      <c r="P121" s="0" t="n">
        <f aca="false">IF(ISNUMBER(Panel_Inputs!F121),IF(Panel_Inputs!F121&gt;0,LN(Panel_Inputs!F121),""),"")</f>
        <v>16.1735944995925</v>
      </c>
      <c r="Q121" s="0" t="n">
        <f aca="false">IF(AND(ISNUMBER(Panel_Inputs!F121),ISNUMBER(Panel_Inputs!G121),ISNUMBER(Panel_Inputs!H121)),Panel_Inputs!F121-Panel_Inputs!G121-Panel_Inputs!H121,"")</f>
        <v>0</v>
      </c>
      <c r="R121" s="0" t="n">
        <f aca="false">IF(AND(ISNUMBER(Panel_Inputs!K121),ISNUMBER(Panel_Inputs!L121),ISNUMBER(Panel_Inputs!M121)),Panel_Inputs!K121-Panel_Inputs!L121-Panel_Inputs!M121,"")</f>
        <v>0</v>
      </c>
      <c r="S121" s="0" t="str">
        <f aca="false">IF(AND(ISNUMBER(Panel_Inputs!V121),Panel_Inputs!W121=1),Panel_Inputs!V121,"")</f>
        <v/>
      </c>
      <c r="T121" s="0" t="str">
        <f aca="false">IF(AND(ISNUMBER(Panel_Inputs!T121),ISNUMBER(Panel_Inputs!U121)),Panel_Inputs!T121-Panel_Inputs!U121,"")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239</v>
      </c>
    </row>
    <row r="3" customFormat="false" ht="15" hidden="false" customHeight="false" outlineLevel="0" collapsed="false">
      <c r="A3" s="3" t="s">
        <v>50</v>
      </c>
      <c r="B3" s="3" t="s">
        <v>51</v>
      </c>
      <c r="C3" s="3" t="s">
        <v>240</v>
      </c>
      <c r="D3" s="3" t="s">
        <v>241</v>
      </c>
      <c r="E3" s="3" t="s">
        <v>242</v>
      </c>
      <c r="F3" s="3" t="s">
        <v>243</v>
      </c>
      <c r="G3" s="3" t="s">
        <v>244</v>
      </c>
      <c r="H3" s="3" t="s">
        <v>245</v>
      </c>
      <c r="I3" s="3" t="s">
        <v>246</v>
      </c>
      <c r="J3" s="3" t="s">
        <v>247</v>
      </c>
      <c r="K3" s="3" t="s">
        <v>248</v>
      </c>
      <c r="L3" s="3" t="s">
        <v>249</v>
      </c>
      <c r="M3" s="3" t="s">
        <v>250</v>
      </c>
      <c r="N3" s="3" t="s">
        <v>251</v>
      </c>
      <c r="O3" s="3" t="s">
        <v>252</v>
      </c>
      <c r="P3" s="3" t="s">
        <v>253</v>
      </c>
      <c r="Q3" s="3" t="s">
        <v>254</v>
      </c>
      <c r="R3" s="3" t="s">
        <v>255</v>
      </c>
      <c r="S3" s="3" t="s">
        <v>256</v>
      </c>
      <c r="T3" s="3" t="s">
        <v>257</v>
      </c>
      <c r="U3" s="3" t="s">
        <v>258</v>
      </c>
      <c r="V3" s="3" t="s">
        <v>259</v>
      </c>
      <c r="W3" s="3" t="s">
        <v>260</v>
      </c>
      <c r="X3" s="3" t="s">
        <v>261</v>
      </c>
      <c r="Y3" s="3" t="s">
        <v>262</v>
      </c>
      <c r="Z3" s="3" t="s">
        <v>263</v>
      </c>
      <c r="AA3" s="3" t="s">
        <v>264</v>
      </c>
      <c r="AB3" s="3" t="s">
        <v>265</v>
      </c>
      <c r="AC3" s="3" t="s">
        <v>266</v>
      </c>
      <c r="AD3" s="3" t="s">
        <v>267</v>
      </c>
      <c r="AE3" s="3" t="s">
        <v>268</v>
      </c>
      <c r="AF3" s="3" t="s">
        <v>269</v>
      </c>
      <c r="AG3" s="3" t="s">
        <v>270</v>
      </c>
      <c r="AH3" s="3" t="s">
        <v>271</v>
      </c>
      <c r="AI3" s="3" t="s">
        <v>272</v>
      </c>
      <c r="AJ3" s="3" t="s">
        <v>273</v>
      </c>
    </row>
    <row r="4" customFormat="false" ht="15" hidden="false" customHeight="false" outlineLevel="0" collapsed="false">
      <c r="A4" s="0" t="s">
        <v>77</v>
      </c>
      <c r="B4" s="0" t="n">
        <v>2013</v>
      </c>
      <c r="E4" s="0" t="n">
        <v>14.3878211104236</v>
      </c>
      <c r="N4" s="0" t="n">
        <v>1.5381688929965</v>
      </c>
      <c r="O4" s="0" t="n">
        <v>85.6121788895764</v>
      </c>
      <c r="P4" s="0" t="n">
        <v>14.348544156211</v>
      </c>
      <c r="Q4" s="0" t="n">
        <v>1.45519152283669E-010</v>
      </c>
      <c r="T4" s="0" t="n">
        <f aca="false">IF(AND(ISNUMBER(Calculated_Ratios!C4),ISNUMBER(C4)),Calculated_Ratios!C4-C4,IF(AND(Calculated_Ratios!C4="",ISBLANK(C4)),0,"MISMATCH"))</f>
        <v>0</v>
      </c>
      <c r="U4" s="0" t="n">
        <f aca="false">IF(AND(ISNUMBER(Calculated_Ratios!D4),ISNUMBER(D4)),Calculated_Ratios!D4-D4,IF(AND(Calculated_Ratios!D4="",ISBLANK(D4)),0,"MISMATCH"))</f>
        <v>0</v>
      </c>
      <c r="V4" s="0" t="n">
        <f aca="false">IF(AND(ISNUMBER(Calculated_Ratios!E4),ISNUMBER(E4)),Calculated_Ratios!E4-E4,IF(AND(Calculated_Ratios!E4="",ISBLANK(E4)),0,"MISMATCH"))</f>
        <v>0</v>
      </c>
      <c r="W4" s="0" t="n">
        <f aca="false">IF(AND(ISNUMBER(Calculated_Ratios!F4),ISNUMBER(F4)),Calculated_Ratios!F4-F4,IF(AND(Calculated_Ratios!F4="",ISBLANK(F4)),0,"MISMATCH"))</f>
        <v>0</v>
      </c>
      <c r="X4" s="0" t="n">
        <f aca="false">IF(AND(ISNUMBER(Calculated_Ratios!G4),ISNUMBER(G4)),Calculated_Ratios!G4-G4,IF(AND(Calculated_Ratios!G4="",ISBLANK(G4)),0,"MISMATCH"))</f>
        <v>0</v>
      </c>
      <c r="Y4" s="0" t="n">
        <f aca="false">IF(AND(ISNUMBER(Calculated_Ratios!H4),ISNUMBER(H4)),Calculated_Ratios!H4-H4,IF(AND(Calculated_Ratios!H4="",ISBLANK(H4)),0,"MISMATCH"))</f>
        <v>0</v>
      </c>
      <c r="Z4" s="0" t="n">
        <f aca="false">IF(AND(ISNUMBER(Calculated_Ratios!I4),ISNUMBER(I4)),Calculated_Ratios!I4-I4,IF(AND(Calculated_Ratios!I4="",ISBLANK(I4)),0,"MISMATCH"))</f>
        <v>0</v>
      </c>
      <c r="AA4" s="0" t="n">
        <f aca="false">IF(AND(ISNUMBER(Calculated_Ratios!J4),ISNUMBER(J4)),Calculated_Ratios!J4-J4,IF(AND(Calculated_Ratios!J4="",ISBLANK(J4)),0,"MISMATCH"))</f>
        <v>0</v>
      </c>
      <c r="AB4" s="0" t="n">
        <f aca="false">IF(AND(ISNUMBER(Calculated_Ratios!K4),ISNUMBER(K4)),Calculated_Ratios!K4-K4,IF(AND(Calculated_Ratios!K4="",ISBLANK(K4)),0,"MISMATCH"))</f>
        <v>0</v>
      </c>
      <c r="AC4" s="0" t="n">
        <f aca="false">IF(AND(ISNUMBER(Calculated_Ratios!L4),ISNUMBER(L4)),Calculated_Ratios!L4-L4,IF(AND(Calculated_Ratios!L4="",ISBLANK(L4)),0,"MISMATCH"))</f>
        <v>0</v>
      </c>
      <c r="AD4" s="0" t="n">
        <f aca="false">IF(AND(ISNUMBER(Calculated_Ratios!M4),ISNUMBER(M4)),Calculated_Ratios!M4-M4,IF(AND(Calculated_Ratios!M4="",ISBLANK(M4)),0,"MISMATCH"))</f>
        <v>0</v>
      </c>
      <c r="AE4" s="0" t="n">
        <f aca="false">IF(AND(ISNUMBER(Calculated_Ratios!N4),ISNUMBER(N4)),Calculated_Ratios!N4-N4,IF(AND(Calculated_Ratios!N4="",ISBLANK(N4)),0,"MISMATCH"))</f>
        <v>0</v>
      </c>
      <c r="AF4" s="0" t="n">
        <f aca="false">IF(AND(ISNUMBER(Calculated_Ratios!O4),ISNUMBER(O4)),Calculated_Ratios!O4-O4,IF(AND(Calculated_Ratios!O4="",ISBLANK(O4)),0,"MISMATCH"))</f>
        <v>0</v>
      </c>
      <c r="AG4" s="0" t="n">
        <f aca="false">IF(AND(ISNUMBER(Calculated_Ratios!P4),ISNUMBER(P4)),Calculated_Ratios!P4-P4,IF(AND(Calculated_Ratios!P4="",ISBLANK(P4)),0,"MISMATCH"))</f>
        <v>0</v>
      </c>
      <c r="AH4" s="0" t="n">
        <f aca="false">IF(AND(ISNUMBER(Calculated_Ratios!Q4),ISNUMBER(Q4)),Calculated_Ratios!Q4-Q4,IF(AND(Calculated_Ratios!Q4="",ISBLANK(Q4)),0,"MISMATCH"))</f>
        <v>-1.45519152283669E-010</v>
      </c>
      <c r="AI4" s="0" t="n">
        <f aca="false">IF(AND(ISNUMBER(Calculated_Ratios!R4),ISNUMBER(R4)),Calculated_Ratios!R4-R4,IF(AND(Calculated_Ratios!R4="",ISBLANK(R4)),0,"MISMATCH"))</f>
        <v>0</v>
      </c>
      <c r="AJ4" s="0" t="n">
        <f aca="false">IF(AND(ISNUMBER(Calculated_Ratios!S4),ISNUMBER(S4)),Calculated_Ratios!S4-S4,IF(AND(Calculated_Ratios!S4="",ISBLANK(S4)),0,"MISMATCH"))</f>
        <v>0</v>
      </c>
    </row>
    <row r="5" customFormat="false" ht="15" hidden="false" customHeight="false" outlineLevel="0" collapsed="false">
      <c r="A5" s="0" t="s">
        <v>77</v>
      </c>
      <c r="B5" s="0" t="n">
        <v>2014</v>
      </c>
      <c r="C5" s="0" t="n">
        <v>1843024.871</v>
      </c>
      <c r="D5" s="0" t="n">
        <v>2.16715067867361</v>
      </c>
      <c r="E5" s="0" t="n">
        <v>13.8325887329481</v>
      </c>
      <c r="I5" s="0" t="n">
        <v>0.575646057030339</v>
      </c>
      <c r="N5" s="0" t="n">
        <v>2.01523804974191</v>
      </c>
      <c r="O5" s="0" t="n">
        <v>86.1674112165966</v>
      </c>
      <c r="P5" s="0" t="n">
        <v>14.4995946575984</v>
      </c>
      <c r="Q5" s="0" t="n">
        <v>0.00100000010570511</v>
      </c>
      <c r="T5" s="0" t="n">
        <f aca="false">IF(AND(ISNUMBER(Calculated_Ratios!C5),ISNUMBER(C5)),Calculated_Ratios!C5-C5,IF(AND(Calculated_Ratios!C5="",ISBLANK(C5)),0,"MISMATCH"))</f>
        <v>0</v>
      </c>
      <c r="U5" s="0" t="n">
        <f aca="false">IF(AND(ISNUMBER(Calculated_Ratios!D5),ISNUMBER(D5)),Calculated_Ratios!D5-D5,IF(AND(Calculated_Ratios!D5="",ISBLANK(D5)),0,"MISMATCH"))</f>
        <v>0</v>
      </c>
      <c r="V5" s="0" t="n">
        <f aca="false">IF(AND(ISNUMBER(Calculated_Ratios!E5),ISNUMBER(E5)),Calculated_Ratios!E5-E5,IF(AND(Calculated_Ratios!E5="",ISBLANK(E5)),0,"MISMATCH"))</f>
        <v>0</v>
      </c>
      <c r="W5" s="0" t="n">
        <f aca="false">IF(AND(ISNUMBER(Calculated_Ratios!F5),ISNUMBER(F5)),Calculated_Ratios!F5-F5,IF(AND(Calculated_Ratios!F5="",ISBLANK(F5)),0,"MISMATCH"))</f>
        <v>0</v>
      </c>
      <c r="X5" s="0" t="n">
        <f aca="false">IF(AND(ISNUMBER(Calculated_Ratios!G5),ISNUMBER(G5)),Calculated_Ratios!G5-G5,IF(AND(Calculated_Ratios!G5="",ISBLANK(G5)),0,"MISMATCH"))</f>
        <v>0</v>
      </c>
      <c r="Y5" s="0" t="n">
        <f aca="false">IF(AND(ISNUMBER(Calculated_Ratios!H5),ISNUMBER(H5)),Calculated_Ratios!H5-H5,IF(AND(Calculated_Ratios!H5="",ISBLANK(H5)),0,"MISMATCH"))</f>
        <v>0</v>
      </c>
      <c r="Z5" s="0" t="n">
        <f aca="false">IF(AND(ISNUMBER(Calculated_Ratios!I5),ISNUMBER(I5)),Calculated_Ratios!I5-I5,IF(AND(Calculated_Ratios!I5="",ISBLANK(I5)),0,"MISMATCH"))</f>
        <v>0</v>
      </c>
      <c r="AA5" s="0" t="n">
        <f aca="false">IF(AND(ISNUMBER(Calculated_Ratios!J5),ISNUMBER(J5)),Calculated_Ratios!J5-J5,IF(AND(Calculated_Ratios!J5="",ISBLANK(J5)),0,"MISMATCH"))</f>
        <v>0</v>
      </c>
      <c r="AB5" s="0" t="n">
        <f aca="false">IF(AND(ISNUMBER(Calculated_Ratios!K5),ISNUMBER(K5)),Calculated_Ratios!K5-K5,IF(AND(Calculated_Ratios!K5="",ISBLANK(K5)),0,"MISMATCH"))</f>
        <v>0</v>
      </c>
      <c r="AC5" s="0" t="n">
        <f aca="false">IF(AND(ISNUMBER(Calculated_Ratios!L5),ISNUMBER(L5)),Calculated_Ratios!L5-L5,IF(AND(Calculated_Ratios!L5="",ISBLANK(L5)),0,"MISMATCH"))</f>
        <v>0</v>
      </c>
      <c r="AD5" s="0" t="n">
        <f aca="false">IF(AND(ISNUMBER(Calculated_Ratios!M5),ISNUMBER(M5)),Calculated_Ratios!M5-M5,IF(AND(Calculated_Ratios!M5="",ISBLANK(M5)),0,"MISMATCH"))</f>
        <v>0</v>
      </c>
      <c r="AE5" s="0" t="n">
        <f aca="false">IF(AND(ISNUMBER(Calculated_Ratios!N5),ISNUMBER(N5)),Calculated_Ratios!N5-N5,IF(AND(Calculated_Ratios!N5="",ISBLANK(N5)),0,"MISMATCH"))</f>
        <v>0</v>
      </c>
      <c r="AF5" s="0" t="n">
        <f aca="false">IF(AND(ISNUMBER(Calculated_Ratios!O5),ISNUMBER(O5)),Calculated_Ratios!O5-O5,IF(AND(Calculated_Ratios!O5="",ISBLANK(O5)),0,"MISMATCH"))</f>
        <v>0</v>
      </c>
      <c r="AG5" s="0" t="n">
        <f aca="false">IF(AND(ISNUMBER(Calculated_Ratios!P5),ISNUMBER(P5)),Calculated_Ratios!P5-P5,IF(AND(Calculated_Ratios!P5="",ISBLANK(P5)),0,"MISMATCH"))</f>
        <v>0</v>
      </c>
      <c r="AH5" s="0" t="n">
        <f aca="false">IF(AND(ISNUMBER(Calculated_Ratios!Q5),ISNUMBER(Q5)),Calculated_Ratios!Q5-Q5,IF(AND(Calculated_Ratios!Q5="",ISBLANK(Q5)),0,"MISMATCH"))</f>
        <v>0</v>
      </c>
      <c r="AI5" s="0" t="n">
        <f aca="false">IF(AND(ISNUMBER(Calculated_Ratios!R5),ISNUMBER(R5)),Calculated_Ratios!R5-R5,IF(AND(Calculated_Ratios!R5="",ISBLANK(R5)),0,"MISMATCH"))</f>
        <v>0</v>
      </c>
      <c r="AJ5" s="0" t="n">
        <f aca="false">IF(AND(ISNUMBER(Calculated_Ratios!S5),ISNUMBER(S5)),Calculated_Ratios!S5-S5,IF(AND(Calculated_Ratios!S5="",ISBLANK(S5)),0,"MISMATCH"))</f>
        <v>0</v>
      </c>
    </row>
    <row r="6" customFormat="false" ht="15" hidden="false" customHeight="false" outlineLevel="0" collapsed="false">
      <c r="A6" s="0" t="s">
        <v>77</v>
      </c>
      <c r="B6" s="0" t="n">
        <v>2015</v>
      </c>
      <c r="C6" s="0" t="n">
        <v>2196949.8955</v>
      </c>
      <c r="D6" s="0" t="n">
        <v>2.68211601551293</v>
      </c>
      <c r="E6" s="0" t="n">
        <v>14.9435017929299</v>
      </c>
      <c r="F6" s="0" t="n">
        <v>-8.24992019031688</v>
      </c>
      <c r="G6" s="0" t="n">
        <v>2.11838672818763</v>
      </c>
      <c r="H6" s="0" t="n">
        <v>18.0397860803325</v>
      </c>
      <c r="I6" s="0" t="n">
        <v>0.604820939577045</v>
      </c>
      <c r="N6" s="0" t="n">
        <v>2.44303945322719</v>
      </c>
      <c r="O6" s="0" t="n">
        <v>85.0564982070701</v>
      </c>
      <c r="P6" s="0" t="n">
        <v>14.6959436446034</v>
      </c>
      <c r="Q6" s="0" t="n">
        <v>3.49245965480804E-010</v>
      </c>
      <c r="R6" s="0" t="n">
        <v>0</v>
      </c>
      <c r="T6" s="0" t="n">
        <f aca="false">IF(AND(ISNUMBER(Calculated_Ratios!C6),ISNUMBER(C6)),Calculated_Ratios!C6-C6,IF(AND(Calculated_Ratios!C6="",ISBLANK(C6)),0,"MISMATCH"))</f>
        <v>0</v>
      </c>
      <c r="U6" s="0" t="n">
        <f aca="false">IF(AND(ISNUMBER(Calculated_Ratios!D6),ISNUMBER(D6)),Calculated_Ratios!D6-D6,IF(AND(Calculated_Ratios!D6="",ISBLANK(D6)),0,"MISMATCH"))</f>
        <v>0</v>
      </c>
      <c r="V6" s="0" t="n">
        <f aca="false">IF(AND(ISNUMBER(Calculated_Ratios!E6),ISNUMBER(E6)),Calculated_Ratios!E6-E6,IF(AND(Calculated_Ratios!E6="",ISBLANK(E6)),0,"MISMATCH"))</f>
        <v>0</v>
      </c>
      <c r="W6" s="0" t="n">
        <f aca="false">IF(AND(ISNUMBER(Calculated_Ratios!F6),ISNUMBER(F6)),Calculated_Ratios!F6-F6,IF(AND(Calculated_Ratios!F6="",ISBLANK(F6)),0,"MISMATCH"))</f>
        <v>0</v>
      </c>
      <c r="X6" s="0" t="n">
        <f aca="false">IF(AND(ISNUMBER(Calculated_Ratios!G6),ISNUMBER(G6)),Calculated_Ratios!G6-G6,IF(AND(Calculated_Ratios!G6="",ISBLANK(G6)),0,"MISMATCH"))</f>
        <v>0</v>
      </c>
      <c r="Y6" s="0" t="n">
        <f aca="false">IF(AND(ISNUMBER(Calculated_Ratios!H6),ISNUMBER(H6)),Calculated_Ratios!H6-H6,IF(AND(Calculated_Ratios!H6="",ISBLANK(H6)),0,"MISMATCH"))</f>
        <v>0</v>
      </c>
      <c r="Z6" s="0" t="n">
        <f aca="false">IF(AND(ISNUMBER(Calculated_Ratios!I6),ISNUMBER(I6)),Calculated_Ratios!I6-I6,IF(AND(Calculated_Ratios!I6="",ISBLANK(I6)),0,"MISMATCH"))</f>
        <v>0</v>
      </c>
      <c r="AA6" s="0" t="n">
        <f aca="false">IF(AND(ISNUMBER(Calculated_Ratios!J6),ISNUMBER(J6)),Calculated_Ratios!J6-J6,IF(AND(Calculated_Ratios!J6="",ISBLANK(J6)),0,"MISMATCH"))</f>
        <v>0</v>
      </c>
      <c r="AB6" s="0" t="n">
        <f aca="false">IF(AND(ISNUMBER(Calculated_Ratios!K6),ISNUMBER(K6)),Calculated_Ratios!K6-K6,IF(AND(Calculated_Ratios!K6="",ISBLANK(K6)),0,"MISMATCH"))</f>
        <v>0</v>
      </c>
      <c r="AC6" s="0" t="n">
        <f aca="false">IF(AND(ISNUMBER(Calculated_Ratios!L6),ISNUMBER(L6)),Calculated_Ratios!L6-L6,IF(AND(Calculated_Ratios!L6="",ISBLANK(L6)),0,"MISMATCH"))</f>
        <v>0</v>
      </c>
      <c r="AD6" s="0" t="n">
        <f aca="false">IF(AND(ISNUMBER(Calculated_Ratios!M6),ISNUMBER(M6)),Calculated_Ratios!M6-M6,IF(AND(Calculated_Ratios!M6="",ISBLANK(M6)),0,"MISMATCH"))</f>
        <v>0</v>
      </c>
      <c r="AE6" s="0" t="n">
        <f aca="false">IF(AND(ISNUMBER(Calculated_Ratios!N6),ISNUMBER(N6)),Calculated_Ratios!N6-N6,IF(AND(Calculated_Ratios!N6="",ISBLANK(N6)),0,"MISMATCH"))</f>
        <v>0</v>
      </c>
      <c r="AF6" s="0" t="n">
        <f aca="false">IF(AND(ISNUMBER(Calculated_Ratios!O6),ISNUMBER(O6)),Calculated_Ratios!O6-O6,IF(AND(Calculated_Ratios!O6="",ISBLANK(O6)),0,"MISMATCH"))</f>
        <v>0</v>
      </c>
      <c r="AG6" s="0" t="n">
        <f aca="false">IF(AND(ISNUMBER(Calculated_Ratios!P6),ISNUMBER(P6)),Calculated_Ratios!P6-P6,IF(AND(Calculated_Ratios!P6="",ISBLANK(P6)),0,"MISMATCH"))</f>
        <v>0</v>
      </c>
      <c r="AH6" s="0" t="n">
        <f aca="false">IF(AND(ISNUMBER(Calculated_Ratios!Q6),ISNUMBER(Q6)),Calculated_Ratios!Q6-Q6,IF(AND(Calculated_Ratios!Q6="",ISBLANK(Q6)),0,"MISMATCH"))</f>
        <v>-3.49245965480804E-010</v>
      </c>
      <c r="AI6" s="0" t="n">
        <f aca="false">IF(AND(ISNUMBER(Calculated_Ratios!R6),ISNUMBER(R6)),Calculated_Ratios!R6-R6,IF(AND(Calculated_Ratios!R6="",ISBLANK(R6)),0,"MISMATCH"))</f>
        <v>0</v>
      </c>
      <c r="AJ6" s="0" t="n">
        <f aca="false">IF(AND(ISNUMBER(Calculated_Ratios!S6),ISNUMBER(S6)),Calculated_Ratios!S6-S6,IF(AND(Calculated_Ratios!S6="",ISBLANK(S6)),0,"MISMATCH"))</f>
        <v>0</v>
      </c>
    </row>
    <row r="7" customFormat="false" ht="15" hidden="false" customHeight="false" outlineLevel="0" collapsed="false">
      <c r="A7" s="0" t="s">
        <v>77</v>
      </c>
      <c r="B7" s="0" t="n">
        <v>2016</v>
      </c>
      <c r="C7" s="0" t="n">
        <v>2753452.288</v>
      </c>
      <c r="D7" s="0" t="n">
        <v>2.32530395674683</v>
      </c>
      <c r="E7" s="0" t="n">
        <v>13.6246849662959</v>
      </c>
      <c r="F7" s="0" t="n">
        <v>-4.508361359338</v>
      </c>
      <c r="G7" s="0" t="n">
        <v>1.86329447164857</v>
      </c>
      <c r="H7" s="0" t="n">
        <v>19.5545712891104</v>
      </c>
      <c r="I7" s="0" t="n">
        <v>0.640691217962372</v>
      </c>
      <c r="N7" s="0" t="n">
        <v>2.06872219175953</v>
      </c>
      <c r="O7" s="0" t="n">
        <v>86.3753150337041</v>
      </c>
      <c r="P7" s="0" t="n">
        <v>14.9452857063458</v>
      </c>
      <c r="Q7" s="0" t="n">
        <v>1.16415321826935E-010</v>
      </c>
      <c r="R7" s="0" t="n">
        <v>0</v>
      </c>
      <c r="T7" s="0" t="n">
        <f aca="false">IF(AND(ISNUMBER(Calculated_Ratios!C7),ISNUMBER(C7)),Calculated_Ratios!C7-C7,IF(AND(Calculated_Ratios!C7="",ISBLANK(C7)),0,"MISMATCH"))</f>
        <v>0</v>
      </c>
      <c r="U7" s="0" t="n">
        <f aca="false">IF(AND(ISNUMBER(Calculated_Ratios!D7),ISNUMBER(D7)),Calculated_Ratios!D7-D7,IF(AND(Calculated_Ratios!D7="",ISBLANK(D7)),0,"MISMATCH"))</f>
        <v>0</v>
      </c>
      <c r="V7" s="0" t="n">
        <f aca="false">IF(AND(ISNUMBER(Calculated_Ratios!E7),ISNUMBER(E7)),Calculated_Ratios!E7-E7,IF(AND(Calculated_Ratios!E7="",ISBLANK(E7)),0,"MISMATCH"))</f>
        <v>0</v>
      </c>
      <c r="W7" s="0" t="n">
        <f aca="false">IF(AND(ISNUMBER(Calculated_Ratios!F7),ISNUMBER(F7)),Calculated_Ratios!F7-F7,IF(AND(Calculated_Ratios!F7="",ISBLANK(F7)),0,"MISMATCH"))</f>
        <v>0</v>
      </c>
      <c r="X7" s="0" t="n">
        <f aca="false">IF(AND(ISNUMBER(Calculated_Ratios!G7),ISNUMBER(G7)),Calculated_Ratios!G7-G7,IF(AND(Calculated_Ratios!G7="",ISBLANK(G7)),0,"MISMATCH"))</f>
        <v>0</v>
      </c>
      <c r="Y7" s="0" t="n">
        <f aca="false">IF(AND(ISNUMBER(Calculated_Ratios!H7),ISNUMBER(H7)),Calculated_Ratios!H7-H7,IF(AND(Calculated_Ratios!H7="",ISBLANK(H7)),0,"MISMATCH"))</f>
        <v>0</v>
      </c>
      <c r="Z7" s="0" t="n">
        <f aca="false">IF(AND(ISNUMBER(Calculated_Ratios!I7),ISNUMBER(I7)),Calculated_Ratios!I7-I7,IF(AND(Calculated_Ratios!I7="",ISBLANK(I7)),0,"MISMATCH"))</f>
        <v>0</v>
      </c>
      <c r="AA7" s="0" t="n">
        <f aca="false">IF(AND(ISNUMBER(Calculated_Ratios!J7),ISNUMBER(J7)),Calculated_Ratios!J7-J7,IF(AND(Calculated_Ratios!J7="",ISBLANK(J7)),0,"MISMATCH"))</f>
        <v>0</v>
      </c>
      <c r="AB7" s="0" t="n">
        <f aca="false">IF(AND(ISNUMBER(Calculated_Ratios!K7),ISNUMBER(K7)),Calculated_Ratios!K7-K7,IF(AND(Calculated_Ratios!K7="",ISBLANK(K7)),0,"MISMATCH"))</f>
        <v>0</v>
      </c>
      <c r="AC7" s="0" t="n">
        <f aca="false">IF(AND(ISNUMBER(Calculated_Ratios!L7),ISNUMBER(L7)),Calculated_Ratios!L7-L7,IF(AND(Calculated_Ratios!L7="",ISBLANK(L7)),0,"MISMATCH"))</f>
        <v>0</v>
      </c>
      <c r="AD7" s="0" t="n">
        <f aca="false">IF(AND(ISNUMBER(Calculated_Ratios!M7),ISNUMBER(M7)),Calculated_Ratios!M7-M7,IF(AND(Calculated_Ratios!M7="",ISBLANK(M7)),0,"MISMATCH"))</f>
        <v>0</v>
      </c>
      <c r="AE7" s="0" t="n">
        <f aca="false">IF(AND(ISNUMBER(Calculated_Ratios!N7),ISNUMBER(N7)),Calculated_Ratios!N7-N7,IF(AND(Calculated_Ratios!N7="",ISBLANK(N7)),0,"MISMATCH"))</f>
        <v>0</v>
      </c>
      <c r="AF7" s="0" t="n">
        <f aca="false">IF(AND(ISNUMBER(Calculated_Ratios!O7),ISNUMBER(O7)),Calculated_Ratios!O7-O7,IF(AND(Calculated_Ratios!O7="",ISBLANK(O7)),0,"MISMATCH"))</f>
        <v>0</v>
      </c>
      <c r="AG7" s="0" t="n">
        <f aca="false">IF(AND(ISNUMBER(Calculated_Ratios!P7),ISNUMBER(P7)),Calculated_Ratios!P7-P7,IF(AND(Calculated_Ratios!P7="",ISBLANK(P7)),0,"MISMATCH"))</f>
        <v>0</v>
      </c>
      <c r="AH7" s="0" t="n">
        <f aca="false">IF(AND(ISNUMBER(Calculated_Ratios!Q7),ISNUMBER(Q7)),Calculated_Ratios!Q7-Q7,IF(AND(Calculated_Ratios!Q7="",ISBLANK(Q7)),0,"MISMATCH"))</f>
        <v>-1.16415321826935E-010</v>
      </c>
      <c r="AI7" s="0" t="n">
        <f aca="false">IF(AND(ISNUMBER(Calculated_Ratios!R7),ISNUMBER(R7)),Calculated_Ratios!R7-R7,IF(AND(Calculated_Ratios!R7="",ISBLANK(R7)),0,"MISMATCH"))</f>
        <v>0</v>
      </c>
      <c r="AJ7" s="0" t="n">
        <f aca="false">IF(AND(ISNUMBER(Calculated_Ratios!S7),ISNUMBER(S7)),Calculated_Ratios!S7-S7,IF(AND(Calculated_Ratios!S7="",ISBLANK(S7)),0,"MISMATCH"))</f>
        <v>0</v>
      </c>
    </row>
    <row r="8" customFormat="false" ht="15" hidden="false" customHeight="false" outlineLevel="0" collapsed="false">
      <c r="A8" s="0" t="s">
        <v>77</v>
      </c>
      <c r="B8" s="0" t="n">
        <v>2017</v>
      </c>
      <c r="C8" s="0" t="n">
        <v>3297322.247</v>
      </c>
      <c r="D8" s="0" t="n">
        <v>1.61460779420144</v>
      </c>
      <c r="E8" s="0" t="n">
        <v>13.4152426281116</v>
      </c>
      <c r="F8" s="0" t="n">
        <v>3.16501312830283</v>
      </c>
      <c r="G8" s="0" t="n">
        <v>3.08000985394754</v>
      </c>
      <c r="H8" s="0" t="n">
        <v>18.1752021587668</v>
      </c>
      <c r="I8" s="0" t="n">
        <v>0.884046108217703</v>
      </c>
      <c r="N8" s="0" t="n">
        <v>1.52124655595939</v>
      </c>
      <c r="O8" s="0" t="n">
        <v>86.5847573718884</v>
      </c>
      <c r="P8" s="0" t="n">
        <v>15.0681832306688</v>
      </c>
      <c r="Q8" s="0" t="n">
        <v>-4.07453626394272E-010</v>
      </c>
      <c r="R8" s="0" t="n">
        <v>-0.00100000016391277</v>
      </c>
      <c r="T8" s="0" t="n">
        <f aca="false">IF(AND(ISNUMBER(Calculated_Ratios!C8),ISNUMBER(C8)),Calculated_Ratios!C8-C8,IF(AND(Calculated_Ratios!C8="",ISBLANK(C8)),0,"MISMATCH"))</f>
        <v>0</v>
      </c>
      <c r="U8" s="0" t="n">
        <f aca="false">IF(AND(ISNUMBER(Calculated_Ratios!D8),ISNUMBER(D8)),Calculated_Ratios!D8-D8,IF(AND(Calculated_Ratios!D8="",ISBLANK(D8)),0,"MISMATCH"))</f>
        <v>0</v>
      </c>
      <c r="V8" s="0" t="n">
        <f aca="false">IF(AND(ISNUMBER(Calculated_Ratios!E8),ISNUMBER(E8)),Calculated_Ratios!E8-E8,IF(AND(Calculated_Ratios!E8="",ISBLANK(E8)),0,"MISMATCH"))</f>
        <v>0</v>
      </c>
      <c r="W8" s="0" t="n">
        <f aca="false">IF(AND(ISNUMBER(Calculated_Ratios!F8),ISNUMBER(F8)),Calculated_Ratios!F8-F8,IF(AND(Calculated_Ratios!F8="",ISBLANK(F8)),0,"MISMATCH"))</f>
        <v>0</v>
      </c>
      <c r="X8" s="0" t="n">
        <f aca="false">IF(AND(ISNUMBER(Calculated_Ratios!G8),ISNUMBER(G8)),Calculated_Ratios!G8-G8,IF(AND(Calculated_Ratios!G8="",ISBLANK(G8)),0,"MISMATCH"))</f>
        <v>0</v>
      </c>
      <c r="Y8" s="0" t="n">
        <f aca="false">IF(AND(ISNUMBER(Calculated_Ratios!H8),ISNUMBER(H8)),Calculated_Ratios!H8-H8,IF(AND(Calculated_Ratios!H8="",ISBLANK(H8)),0,"MISMATCH"))</f>
        <v>0</v>
      </c>
      <c r="Z8" s="0" t="n">
        <f aca="false">IF(AND(ISNUMBER(Calculated_Ratios!I8),ISNUMBER(I8)),Calculated_Ratios!I8-I8,IF(AND(Calculated_Ratios!I8="",ISBLANK(I8)),0,"MISMATCH"))</f>
        <v>0</v>
      </c>
      <c r="AA8" s="0" t="n">
        <f aca="false">IF(AND(ISNUMBER(Calculated_Ratios!J8),ISNUMBER(J8)),Calculated_Ratios!J8-J8,IF(AND(Calculated_Ratios!J8="",ISBLANK(J8)),0,"MISMATCH"))</f>
        <v>0</v>
      </c>
      <c r="AB8" s="0" t="n">
        <f aca="false">IF(AND(ISNUMBER(Calculated_Ratios!K8),ISNUMBER(K8)),Calculated_Ratios!K8-K8,IF(AND(Calculated_Ratios!K8="",ISBLANK(K8)),0,"MISMATCH"))</f>
        <v>0</v>
      </c>
      <c r="AC8" s="0" t="n">
        <f aca="false">IF(AND(ISNUMBER(Calculated_Ratios!L8),ISNUMBER(L8)),Calculated_Ratios!L8-L8,IF(AND(Calculated_Ratios!L8="",ISBLANK(L8)),0,"MISMATCH"))</f>
        <v>0</v>
      </c>
      <c r="AD8" s="0" t="n">
        <f aca="false">IF(AND(ISNUMBER(Calculated_Ratios!M8),ISNUMBER(M8)),Calculated_Ratios!M8-M8,IF(AND(Calculated_Ratios!M8="",ISBLANK(M8)),0,"MISMATCH"))</f>
        <v>0</v>
      </c>
      <c r="AE8" s="0" t="n">
        <f aca="false">IF(AND(ISNUMBER(Calculated_Ratios!N8),ISNUMBER(N8)),Calculated_Ratios!N8-N8,IF(AND(Calculated_Ratios!N8="",ISBLANK(N8)),0,"MISMATCH"))</f>
        <v>0</v>
      </c>
      <c r="AF8" s="0" t="n">
        <f aca="false">IF(AND(ISNUMBER(Calculated_Ratios!O8),ISNUMBER(O8)),Calculated_Ratios!O8-O8,IF(AND(Calculated_Ratios!O8="",ISBLANK(O8)),0,"MISMATCH"))</f>
        <v>0</v>
      </c>
      <c r="AG8" s="0" t="n">
        <f aca="false">IF(AND(ISNUMBER(Calculated_Ratios!P8),ISNUMBER(P8)),Calculated_Ratios!P8-P8,IF(AND(Calculated_Ratios!P8="",ISBLANK(P8)),0,"MISMATCH"))</f>
        <v>0</v>
      </c>
      <c r="AH8" s="0" t="n">
        <f aca="false">IF(AND(ISNUMBER(Calculated_Ratios!Q8),ISNUMBER(Q8)),Calculated_Ratios!Q8-Q8,IF(AND(Calculated_Ratios!Q8="",ISBLANK(Q8)),0,"MISMATCH"))</f>
        <v>4.07453626394272E-010</v>
      </c>
      <c r="AI8" s="0" t="n">
        <f aca="false">IF(AND(ISNUMBER(Calculated_Ratios!R8),ISNUMBER(R8)),Calculated_Ratios!R8-R8,IF(AND(Calculated_Ratios!R8="",ISBLANK(R8)),0,"MISMATCH"))</f>
        <v>0</v>
      </c>
      <c r="AJ8" s="0" t="n">
        <f aca="false">IF(AND(ISNUMBER(Calculated_Ratios!S8),ISNUMBER(S8)),Calculated_Ratios!S8-S8,IF(AND(Calculated_Ratios!S8="",ISBLANK(S8)),0,"MISMATCH"))</f>
        <v>0</v>
      </c>
    </row>
    <row r="9" customFormat="false" ht="15" hidden="false" customHeight="false" outlineLevel="0" collapsed="false">
      <c r="A9" s="0" t="s">
        <v>77</v>
      </c>
      <c r="B9" s="0" t="n">
        <v>2018</v>
      </c>
      <c r="E9" s="0" t="n">
        <v>11.1085439921577</v>
      </c>
      <c r="N9" s="0" t="n">
        <v>1.85469176805221</v>
      </c>
      <c r="O9" s="0" t="n">
        <v>88.8914560078423</v>
      </c>
      <c r="P9" s="0" t="n">
        <v>15.1938016302863</v>
      </c>
      <c r="Q9" s="0" t="n">
        <v>2.3283064365387E-010</v>
      </c>
      <c r="T9" s="0" t="n">
        <f aca="false">IF(AND(ISNUMBER(Calculated_Ratios!C9),ISNUMBER(C9)),Calculated_Ratios!C9-C9,IF(AND(Calculated_Ratios!C9="",ISBLANK(C9)),0,"MISMATCH"))</f>
        <v>0</v>
      </c>
      <c r="U9" s="0" t="n">
        <f aca="false">IF(AND(ISNUMBER(Calculated_Ratios!D9),ISNUMBER(D9)),Calculated_Ratios!D9-D9,IF(AND(Calculated_Ratios!D9="",ISBLANK(D9)),0,"MISMATCH"))</f>
        <v>0</v>
      </c>
      <c r="V9" s="0" t="n">
        <f aca="false">IF(AND(ISNUMBER(Calculated_Ratios!E9),ISNUMBER(E9)),Calculated_Ratios!E9-E9,IF(AND(Calculated_Ratios!E9="",ISBLANK(E9)),0,"MISMATCH"))</f>
        <v>0</v>
      </c>
      <c r="W9" s="0" t="n">
        <f aca="false">IF(AND(ISNUMBER(Calculated_Ratios!F9),ISNUMBER(F9)),Calculated_Ratios!F9-F9,IF(AND(Calculated_Ratios!F9="",ISBLANK(F9)),0,"MISMATCH"))</f>
        <v>0</v>
      </c>
      <c r="X9" s="0" t="n">
        <f aca="false">IF(AND(ISNUMBER(Calculated_Ratios!G9),ISNUMBER(G9)),Calculated_Ratios!G9-G9,IF(AND(Calculated_Ratios!G9="",ISBLANK(G9)),0,"MISMATCH"))</f>
        <v>0</v>
      </c>
      <c r="Y9" s="0" t="n">
        <f aca="false">IF(AND(ISNUMBER(Calculated_Ratios!H9),ISNUMBER(H9)),Calculated_Ratios!H9-H9,IF(AND(Calculated_Ratios!H9="",ISBLANK(H9)),0,"MISMATCH"))</f>
        <v>0</v>
      </c>
      <c r="Z9" s="0" t="n">
        <f aca="false">IF(AND(ISNUMBER(Calculated_Ratios!I9),ISNUMBER(I9)),Calculated_Ratios!I9-I9,IF(AND(Calculated_Ratios!I9="",ISBLANK(I9)),0,"MISMATCH"))</f>
        <v>0</v>
      </c>
      <c r="AA9" s="0" t="n">
        <f aca="false">IF(AND(ISNUMBER(Calculated_Ratios!J9),ISNUMBER(J9)),Calculated_Ratios!J9-J9,IF(AND(Calculated_Ratios!J9="",ISBLANK(J9)),0,"MISMATCH"))</f>
        <v>0</v>
      </c>
      <c r="AB9" s="0" t="n">
        <f aca="false">IF(AND(ISNUMBER(Calculated_Ratios!K9),ISNUMBER(K9)),Calculated_Ratios!K9-K9,IF(AND(Calculated_Ratios!K9="",ISBLANK(K9)),0,"MISMATCH"))</f>
        <v>0</v>
      </c>
      <c r="AC9" s="0" t="n">
        <f aca="false">IF(AND(ISNUMBER(Calculated_Ratios!L9),ISNUMBER(L9)),Calculated_Ratios!L9-L9,IF(AND(Calculated_Ratios!L9="",ISBLANK(L9)),0,"MISMATCH"))</f>
        <v>0</v>
      </c>
      <c r="AD9" s="0" t="n">
        <f aca="false">IF(AND(ISNUMBER(Calculated_Ratios!M9),ISNUMBER(M9)),Calculated_Ratios!M9-M9,IF(AND(Calculated_Ratios!M9="",ISBLANK(M9)),0,"MISMATCH"))</f>
        <v>0</v>
      </c>
      <c r="AE9" s="0" t="n">
        <f aca="false">IF(AND(ISNUMBER(Calculated_Ratios!N9),ISNUMBER(N9)),Calculated_Ratios!N9-N9,IF(AND(Calculated_Ratios!N9="",ISBLANK(N9)),0,"MISMATCH"))</f>
        <v>0</v>
      </c>
      <c r="AF9" s="0" t="n">
        <f aca="false">IF(AND(ISNUMBER(Calculated_Ratios!O9),ISNUMBER(O9)),Calculated_Ratios!O9-O9,IF(AND(Calculated_Ratios!O9="",ISBLANK(O9)),0,"MISMATCH"))</f>
        <v>0</v>
      </c>
      <c r="AG9" s="0" t="n">
        <f aca="false">IF(AND(ISNUMBER(Calculated_Ratios!P9),ISNUMBER(P9)),Calculated_Ratios!P9-P9,IF(AND(Calculated_Ratios!P9="",ISBLANK(P9)),0,"MISMATCH"))</f>
        <v>0</v>
      </c>
      <c r="AH9" s="0" t="n">
        <f aca="false">IF(AND(ISNUMBER(Calculated_Ratios!Q9),ISNUMBER(Q9)),Calculated_Ratios!Q9-Q9,IF(AND(Calculated_Ratios!Q9="",ISBLANK(Q9)),0,"MISMATCH"))</f>
        <v>-2.3283064365387E-010</v>
      </c>
      <c r="AI9" s="0" t="n">
        <f aca="false">IF(AND(ISNUMBER(Calculated_Ratios!R9),ISNUMBER(R9)),Calculated_Ratios!R9-R9,IF(AND(Calculated_Ratios!R9="",ISBLANK(R9)),0,"MISMATCH"))</f>
        <v>0</v>
      </c>
      <c r="AJ9" s="0" t="n">
        <f aca="false">IF(AND(ISNUMBER(Calculated_Ratios!S9),ISNUMBER(S9)),Calculated_Ratios!S9-S9,IF(AND(Calculated_Ratios!S9="",ISBLANK(S9)),0,"MISMATCH"))</f>
        <v>0</v>
      </c>
    </row>
    <row r="10" customFormat="false" ht="15" hidden="false" customHeight="false" outlineLevel="0" collapsed="false">
      <c r="A10" s="0" t="s">
        <v>77</v>
      </c>
      <c r="B10" s="0" t="n">
        <v>2019</v>
      </c>
      <c r="C10" s="0" t="n">
        <v>5139577.9455</v>
      </c>
      <c r="D10" s="0" t="n">
        <v>1.43142208913115</v>
      </c>
      <c r="E10" s="0" t="n">
        <v>8.60303515282884</v>
      </c>
      <c r="F10" s="0" t="n">
        <v>21.2969484383122</v>
      </c>
      <c r="G10" s="0" t="n">
        <v>6.79778597833679</v>
      </c>
      <c r="I10" s="0" t="n">
        <v>0.409673308261339</v>
      </c>
      <c r="N10" s="0" t="n">
        <v>1.16571973962252</v>
      </c>
      <c r="O10" s="0" t="n">
        <v>91.3969648471712</v>
      </c>
      <c r="P10" s="0" t="n">
        <v>15.6578112418221</v>
      </c>
      <c r="Q10" s="0" t="n">
        <v>-3.49245965480804E-010</v>
      </c>
      <c r="R10" s="0" t="n">
        <v>-0.00100000016391277</v>
      </c>
      <c r="T10" s="0" t="n">
        <f aca="false">IF(AND(ISNUMBER(Calculated_Ratios!C10),ISNUMBER(C10)),Calculated_Ratios!C10-C10,IF(AND(Calculated_Ratios!C10="",ISBLANK(C10)),0,"MISMATCH"))</f>
        <v>0</v>
      </c>
      <c r="U10" s="0" t="n">
        <f aca="false">IF(AND(ISNUMBER(Calculated_Ratios!D10),ISNUMBER(D10)),Calculated_Ratios!D10-D10,IF(AND(Calculated_Ratios!D10="",ISBLANK(D10)),0,"MISMATCH"))</f>
        <v>0</v>
      </c>
      <c r="V10" s="0" t="n">
        <f aca="false">IF(AND(ISNUMBER(Calculated_Ratios!E10),ISNUMBER(E10)),Calculated_Ratios!E10-E10,IF(AND(Calculated_Ratios!E10="",ISBLANK(E10)),0,"MISMATCH"))</f>
        <v>0</v>
      </c>
      <c r="W10" s="0" t="n">
        <f aca="false">IF(AND(ISNUMBER(Calculated_Ratios!F10),ISNUMBER(F10)),Calculated_Ratios!F10-F10,IF(AND(Calculated_Ratios!F10="",ISBLANK(F10)),0,"MISMATCH"))</f>
        <v>0</v>
      </c>
      <c r="X10" s="0" t="n">
        <f aca="false">IF(AND(ISNUMBER(Calculated_Ratios!G10),ISNUMBER(G10)),Calculated_Ratios!G10-G10,IF(AND(Calculated_Ratios!G10="",ISBLANK(G10)),0,"MISMATCH"))</f>
        <v>0</v>
      </c>
      <c r="Y10" s="0" t="n">
        <f aca="false">IF(AND(ISNUMBER(Calculated_Ratios!H10),ISNUMBER(H10)),Calculated_Ratios!H10-H10,IF(AND(Calculated_Ratios!H10="",ISBLANK(H10)),0,"MISMATCH"))</f>
        <v>0</v>
      </c>
      <c r="Z10" s="0" t="n">
        <f aca="false">IF(AND(ISNUMBER(Calculated_Ratios!I10),ISNUMBER(I10)),Calculated_Ratios!I10-I10,IF(AND(Calculated_Ratios!I10="",ISBLANK(I10)),0,"MISMATCH"))</f>
        <v>0</v>
      </c>
      <c r="AA10" s="0" t="n">
        <f aca="false">IF(AND(ISNUMBER(Calculated_Ratios!J10),ISNUMBER(J10)),Calculated_Ratios!J10-J10,IF(AND(Calculated_Ratios!J10="",ISBLANK(J10)),0,"MISMATCH"))</f>
        <v>0</v>
      </c>
      <c r="AB10" s="0" t="n">
        <f aca="false">IF(AND(ISNUMBER(Calculated_Ratios!K10),ISNUMBER(K10)),Calculated_Ratios!K10-K10,IF(AND(Calculated_Ratios!K10="",ISBLANK(K10)),0,"MISMATCH"))</f>
        <v>0</v>
      </c>
      <c r="AC10" s="0" t="n">
        <f aca="false">IF(AND(ISNUMBER(Calculated_Ratios!L10),ISNUMBER(L10)),Calculated_Ratios!L10-L10,IF(AND(Calculated_Ratios!L10="",ISBLANK(L10)),0,"MISMATCH"))</f>
        <v>0</v>
      </c>
      <c r="AD10" s="0" t="n">
        <f aca="false">IF(AND(ISNUMBER(Calculated_Ratios!M10),ISNUMBER(M10)),Calculated_Ratios!M10-M10,IF(AND(Calculated_Ratios!M10="",ISBLANK(M10)),0,"MISMATCH"))</f>
        <v>0</v>
      </c>
      <c r="AE10" s="0" t="n">
        <f aca="false">IF(AND(ISNUMBER(Calculated_Ratios!N10),ISNUMBER(N10)),Calculated_Ratios!N10-N10,IF(AND(Calculated_Ratios!N10="",ISBLANK(N10)),0,"MISMATCH"))</f>
        <v>0</v>
      </c>
      <c r="AF10" s="0" t="n">
        <f aca="false">IF(AND(ISNUMBER(Calculated_Ratios!O10),ISNUMBER(O10)),Calculated_Ratios!O10-O10,IF(AND(Calculated_Ratios!O10="",ISBLANK(O10)),0,"MISMATCH"))</f>
        <v>0</v>
      </c>
      <c r="AG10" s="0" t="n">
        <f aca="false">IF(AND(ISNUMBER(Calculated_Ratios!P10),ISNUMBER(P10)),Calculated_Ratios!P10-P10,IF(AND(Calculated_Ratios!P10="",ISBLANK(P10)),0,"MISMATCH"))</f>
        <v>0</v>
      </c>
      <c r="AH10" s="0" t="n">
        <f aca="false">IF(AND(ISNUMBER(Calculated_Ratios!Q10),ISNUMBER(Q10)),Calculated_Ratios!Q10-Q10,IF(AND(Calculated_Ratios!Q10="",ISBLANK(Q10)),0,"MISMATCH"))</f>
        <v>3.49245965480804E-010</v>
      </c>
      <c r="AI10" s="0" t="n">
        <f aca="false">IF(AND(ISNUMBER(Calculated_Ratios!R10),ISNUMBER(R10)),Calculated_Ratios!R10-R10,IF(AND(Calculated_Ratios!R10="",ISBLANK(R10)),0,"MISMATCH"))</f>
        <v>0</v>
      </c>
      <c r="AJ10" s="0" t="n">
        <f aca="false">IF(AND(ISNUMBER(Calculated_Ratios!S10),ISNUMBER(S10)),Calculated_Ratios!S10-S10,IF(AND(Calculated_Ratios!S10="",ISBLANK(S10)),0,"MISMATCH"))</f>
        <v>0</v>
      </c>
    </row>
    <row r="11" customFormat="false" ht="15" hidden="false" customHeight="false" outlineLevel="0" collapsed="false">
      <c r="A11" s="0" t="s">
        <v>77</v>
      </c>
      <c r="B11" s="0" t="n">
        <v>2020</v>
      </c>
      <c r="C11" s="0" t="n">
        <v>6966283.97</v>
      </c>
      <c r="D11" s="0" t="n">
        <v>1.14895299049947</v>
      </c>
      <c r="E11" s="0" t="n">
        <v>8.57570360406115</v>
      </c>
      <c r="F11" s="0" t="n">
        <v>-0.938912141418203</v>
      </c>
      <c r="G11" s="0" t="n">
        <v>4.05193501179323</v>
      </c>
      <c r="H11" s="0" t="n">
        <v>15.873920123621</v>
      </c>
      <c r="I11" s="0" t="n">
        <v>0.569178347749726</v>
      </c>
      <c r="N11" s="0" t="n">
        <v>1.04969889622227</v>
      </c>
      <c r="O11" s="0" t="n">
        <v>91.4242963959388</v>
      </c>
      <c r="P11" s="0" t="n">
        <v>15.8469402213067</v>
      </c>
      <c r="Q11" s="0" t="n">
        <v>3.49245965480804E-010</v>
      </c>
      <c r="R11" s="0" t="n">
        <v>0</v>
      </c>
      <c r="T11" s="0" t="n">
        <f aca="false">IF(AND(ISNUMBER(Calculated_Ratios!C11),ISNUMBER(C11)),Calculated_Ratios!C11-C11,IF(AND(Calculated_Ratios!C11="",ISBLANK(C11)),0,"MISMATCH"))</f>
        <v>0</v>
      </c>
      <c r="U11" s="0" t="n">
        <f aca="false">IF(AND(ISNUMBER(Calculated_Ratios!D11),ISNUMBER(D11)),Calculated_Ratios!D11-D11,IF(AND(Calculated_Ratios!D11="",ISBLANK(D11)),0,"MISMATCH"))</f>
        <v>0</v>
      </c>
      <c r="V11" s="0" t="n">
        <f aca="false">IF(AND(ISNUMBER(Calculated_Ratios!E11),ISNUMBER(E11)),Calculated_Ratios!E11-E11,IF(AND(Calculated_Ratios!E11="",ISBLANK(E11)),0,"MISMATCH"))</f>
        <v>0</v>
      </c>
      <c r="W11" s="0" t="n">
        <f aca="false">IF(AND(ISNUMBER(Calculated_Ratios!F11),ISNUMBER(F11)),Calculated_Ratios!F11-F11,IF(AND(Calculated_Ratios!F11="",ISBLANK(F11)),0,"MISMATCH"))</f>
        <v>0</v>
      </c>
      <c r="X11" s="0" t="n">
        <f aca="false">IF(AND(ISNUMBER(Calculated_Ratios!G11),ISNUMBER(G11)),Calculated_Ratios!G11-G11,IF(AND(Calculated_Ratios!G11="",ISBLANK(G11)),0,"MISMATCH"))</f>
        <v>0</v>
      </c>
      <c r="Y11" s="0" t="n">
        <f aca="false">IF(AND(ISNUMBER(Calculated_Ratios!H11),ISNUMBER(H11)),Calculated_Ratios!H11-H11,IF(AND(Calculated_Ratios!H11="",ISBLANK(H11)),0,"MISMATCH"))</f>
        <v>0</v>
      </c>
      <c r="Z11" s="0" t="n">
        <f aca="false">IF(AND(ISNUMBER(Calculated_Ratios!I11),ISNUMBER(I11)),Calculated_Ratios!I11-I11,IF(AND(Calculated_Ratios!I11="",ISBLANK(I11)),0,"MISMATCH"))</f>
        <v>0</v>
      </c>
      <c r="AA11" s="0" t="n">
        <f aca="false">IF(AND(ISNUMBER(Calculated_Ratios!J11),ISNUMBER(J11)),Calculated_Ratios!J11-J11,IF(AND(Calculated_Ratios!J11="",ISBLANK(J11)),0,"MISMATCH"))</f>
        <v>0</v>
      </c>
      <c r="AB11" s="0" t="n">
        <f aca="false">IF(AND(ISNUMBER(Calculated_Ratios!K11),ISNUMBER(K11)),Calculated_Ratios!K11-K11,IF(AND(Calculated_Ratios!K11="",ISBLANK(K11)),0,"MISMATCH"))</f>
        <v>0</v>
      </c>
      <c r="AC11" s="0" t="n">
        <f aca="false">IF(AND(ISNUMBER(Calculated_Ratios!L11),ISNUMBER(L11)),Calculated_Ratios!L11-L11,IF(AND(Calculated_Ratios!L11="",ISBLANK(L11)),0,"MISMATCH"))</f>
        <v>0</v>
      </c>
      <c r="AD11" s="0" t="n">
        <f aca="false">IF(AND(ISNUMBER(Calculated_Ratios!M11),ISNUMBER(M11)),Calculated_Ratios!M11-M11,IF(AND(Calculated_Ratios!M11="",ISBLANK(M11)),0,"MISMATCH"))</f>
        <v>0</v>
      </c>
      <c r="AE11" s="0" t="n">
        <f aca="false">IF(AND(ISNUMBER(Calculated_Ratios!N11),ISNUMBER(N11)),Calculated_Ratios!N11-N11,IF(AND(Calculated_Ratios!N11="",ISBLANK(N11)),0,"MISMATCH"))</f>
        <v>0</v>
      </c>
      <c r="AF11" s="0" t="n">
        <f aca="false">IF(AND(ISNUMBER(Calculated_Ratios!O11),ISNUMBER(O11)),Calculated_Ratios!O11-O11,IF(AND(Calculated_Ratios!O11="",ISBLANK(O11)),0,"MISMATCH"))</f>
        <v>0</v>
      </c>
      <c r="AG11" s="0" t="n">
        <f aca="false">IF(AND(ISNUMBER(Calculated_Ratios!P11),ISNUMBER(P11)),Calculated_Ratios!P11-P11,IF(AND(Calculated_Ratios!P11="",ISBLANK(P11)),0,"MISMATCH"))</f>
        <v>0</v>
      </c>
      <c r="AH11" s="0" t="n">
        <f aca="false">IF(AND(ISNUMBER(Calculated_Ratios!Q11),ISNUMBER(Q11)),Calculated_Ratios!Q11-Q11,IF(AND(Calculated_Ratios!Q11="",ISBLANK(Q11)),0,"MISMATCH"))</f>
        <v>-3.49245965480804E-010</v>
      </c>
      <c r="AI11" s="0" t="n">
        <f aca="false">IF(AND(ISNUMBER(Calculated_Ratios!R11),ISNUMBER(R11)),Calculated_Ratios!R11-R11,IF(AND(Calculated_Ratios!R11="",ISBLANK(R11)),0,"MISMATCH"))</f>
        <v>0</v>
      </c>
      <c r="AJ11" s="0" t="n">
        <f aca="false">IF(AND(ISNUMBER(Calculated_Ratios!S11),ISNUMBER(S11)),Calculated_Ratios!S11-S11,IF(AND(Calculated_Ratios!S11="",ISBLANK(S11)),0,"MISMATCH"))</f>
        <v>0</v>
      </c>
    </row>
    <row r="12" customFormat="false" ht="15" hidden="false" customHeight="false" outlineLevel="0" collapsed="false">
      <c r="A12" s="0" t="s">
        <v>77</v>
      </c>
      <c r="B12" s="0" t="n">
        <v>2021</v>
      </c>
      <c r="C12" s="0" t="n">
        <v>8642870.14</v>
      </c>
      <c r="D12" s="0" t="n">
        <v>1.28807311919186</v>
      </c>
      <c r="E12" s="0" t="n">
        <v>9.02051250466786</v>
      </c>
      <c r="F12" s="0" t="n">
        <v>5.79477422299903</v>
      </c>
      <c r="G12" s="0" t="n">
        <v>2.62131714055607</v>
      </c>
      <c r="H12" s="0" t="n">
        <v>20.9306668743006</v>
      </c>
      <c r="I12" s="0" t="n">
        <v>0.622489220924474</v>
      </c>
      <c r="N12" s="0" t="n">
        <v>1.15235737760687</v>
      </c>
      <c r="O12" s="0" t="n">
        <v>90.9794874953321</v>
      </c>
      <c r="P12" s="0" t="n">
        <v>16.0835829355946</v>
      </c>
      <c r="Q12" s="0" t="n">
        <v>1.16415321826935E-010</v>
      </c>
      <c r="R12" s="0" t="n">
        <v>-0.00100000016391277</v>
      </c>
      <c r="T12" s="0" t="n">
        <f aca="false">IF(AND(ISNUMBER(Calculated_Ratios!C12),ISNUMBER(C12)),Calculated_Ratios!C12-C12,IF(AND(Calculated_Ratios!C12="",ISBLANK(C12)),0,"MISMATCH"))</f>
        <v>0</v>
      </c>
      <c r="U12" s="0" t="n">
        <f aca="false">IF(AND(ISNUMBER(Calculated_Ratios!D12),ISNUMBER(D12)),Calculated_Ratios!D12-D12,IF(AND(Calculated_Ratios!D12="",ISBLANK(D12)),0,"MISMATCH"))</f>
        <v>0</v>
      </c>
      <c r="V12" s="0" t="n">
        <f aca="false">IF(AND(ISNUMBER(Calculated_Ratios!E12),ISNUMBER(E12)),Calculated_Ratios!E12-E12,IF(AND(Calculated_Ratios!E12="",ISBLANK(E12)),0,"MISMATCH"))</f>
        <v>0</v>
      </c>
      <c r="W12" s="0" t="n">
        <f aca="false">IF(AND(ISNUMBER(Calculated_Ratios!F12),ISNUMBER(F12)),Calculated_Ratios!F12-F12,IF(AND(Calculated_Ratios!F12="",ISBLANK(F12)),0,"MISMATCH"))</f>
        <v>0</v>
      </c>
      <c r="X12" s="0" t="n">
        <f aca="false">IF(AND(ISNUMBER(Calculated_Ratios!G12),ISNUMBER(G12)),Calculated_Ratios!G12-G12,IF(AND(Calculated_Ratios!G12="",ISBLANK(G12)),0,"MISMATCH"))</f>
        <v>0</v>
      </c>
      <c r="Y12" s="0" t="n">
        <f aca="false">IF(AND(ISNUMBER(Calculated_Ratios!H12),ISNUMBER(H12)),Calculated_Ratios!H12-H12,IF(AND(Calculated_Ratios!H12="",ISBLANK(H12)),0,"MISMATCH"))</f>
        <v>0</v>
      </c>
      <c r="Z12" s="0" t="n">
        <f aca="false">IF(AND(ISNUMBER(Calculated_Ratios!I12),ISNUMBER(I12)),Calculated_Ratios!I12-I12,IF(AND(Calculated_Ratios!I12="",ISBLANK(I12)),0,"MISMATCH"))</f>
        <v>0</v>
      </c>
      <c r="AA12" s="0" t="n">
        <f aca="false">IF(AND(ISNUMBER(Calculated_Ratios!J12),ISNUMBER(J12)),Calculated_Ratios!J12-J12,IF(AND(Calculated_Ratios!J12="",ISBLANK(J12)),0,"MISMATCH"))</f>
        <v>0</v>
      </c>
      <c r="AB12" s="0" t="n">
        <f aca="false">IF(AND(ISNUMBER(Calculated_Ratios!K12),ISNUMBER(K12)),Calculated_Ratios!K12-K12,IF(AND(Calculated_Ratios!K12="",ISBLANK(K12)),0,"MISMATCH"))</f>
        <v>0</v>
      </c>
      <c r="AC12" s="0" t="n">
        <f aca="false">IF(AND(ISNUMBER(Calculated_Ratios!L12),ISNUMBER(L12)),Calculated_Ratios!L12-L12,IF(AND(Calculated_Ratios!L12="",ISBLANK(L12)),0,"MISMATCH"))</f>
        <v>0</v>
      </c>
      <c r="AD12" s="0" t="n">
        <f aca="false">IF(AND(ISNUMBER(Calculated_Ratios!M12),ISNUMBER(M12)),Calculated_Ratios!M12-M12,IF(AND(Calculated_Ratios!M12="",ISBLANK(M12)),0,"MISMATCH"))</f>
        <v>0</v>
      </c>
      <c r="AE12" s="0" t="n">
        <f aca="false">IF(AND(ISNUMBER(Calculated_Ratios!N12),ISNUMBER(N12)),Calculated_Ratios!N12-N12,IF(AND(Calculated_Ratios!N12="",ISBLANK(N12)),0,"MISMATCH"))</f>
        <v>0</v>
      </c>
      <c r="AF12" s="0" t="n">
        <f aca="false">IF(AND(ISNUMBER(Calculated_Ratios!O12),ISNUMBER(O12)),Calculated_Ratios!O12-O12,IF(AND(Calculated_Ratios!O12="",ISBLANK(O12)),0,"MISMATCH"))</f>
        <v>0</v>
      </c>
      <c r="AG12" s="0" t="n">
        <f aca="false">IF(AND(ISNUMBER(Calculated_Ratios!P12),ISNUMBER(P12)),Calculated_Ratios!P12-P12,IF(AND(Calculated_Ratios!P12="",ISBLANK(P12)),0,"MISMATCH"))</f>
        <v>0</v>
      </c>
      <c r="AH12" s="0" t="n">
        <f aca="false">IF(AND(ISNUMBER(Calculated_Ratios!Q12),ISNUMBER(Q12)),Calculated_Ratios!Q12-Q12,IF(AND(Calculated_Ratios!Q12="",ISBLANK(Q12)),0,"MISMATCH"))</f>
        <v>-1.16415321826935E-010</v>
      </c>
      <c r="AI12" s="0" t="n">
        <f aca="false">IF(AND(ISNUMBER(Calculated_Ratios!R12),ISNUMBER(R12)),Calculated_Ratios!R12-R12,IF(AND(Calculated_Ratios!R12="",ISBLANK(R12)),0,"MISMATCH"))</f>
        <v>0</v>
      </c>
      <c r="AJ12" s="0" t="n">
        <f aca="false">IF(AND(ISNUMBER(Calculated_Ratios!S12),ISNUMBER(S12)),Calculated_Ratios!S12-S12,IF(AND(Calculated_Ratios!S12="",ISBLANK(S12)),0,"MISMATCH"))</f>
        <v>0</v>
      </c>
    </row>
    <row r="13" customFormat="false" ht="15" hidden="false" customHeight="false" outlineLevel="0" collapsed="false">
      <c r="A13" s="0" t="s">
        <v>77</v>
      </c>
      <c r="B13" s="0" t="n">
        <v>2022</v>
      </c>
      <c r="C13" s="0" t="n">
        <v>11098020.5</v>
      </c>
      <c r="D13" s="0" t="n">
        <v>1.50170924625702</v>
      </c>
      <c r="E13" s="0" t="n">
        <v>8.52527426591189</v>
      </c>
      <c r="F13" s="0" t="n">
        <v>6.29416750491676</v>
      </c>
      <c r="G13" s="0" t="n">
        <v>1.5679567206253</v>
      </c>
      <c r="H13" s="0" t="n">
        <v>17.8459322867379</v>
      </c>
      <c r="I13" s="0" t="n">
        <v>1.06938890588642</v>
      </c>
      <c r="N13" s="0" t="n">
        <v>1.32952754146696</v>
      </c>
      <c r="O13" s="0" t="n">
        <v>91.4747257340881</v>
      </c>
      <c r="P13" s="0" t="n">
        <v>16.3440576267802</v>
      </c>
      <c r="Q13" s="0" t="n">
        <v>0</v>
      </c>
      <c r="R13" s="0" t="n">
        <v>0</v>
      </c>
      <c r="T13" s="0" t="n">
        <f aca="false">IF(AND(ISNUMBER(Calculated_Ratios!C13),ISNUMBER(C13)),Calculated_Ratios!C13-C13,IF(AND(Calculated_Ratios!C13="",ISBLANK(C13)),0,"MISMATCH"))</f>
        <v>0</v>
      </c>
      <c r="U13" s="0" t="n">
        <f aca="false">IF(AND(ISNUMBER(Calculated_Ratios!D13),ISNUMBER(D13)),Calculated_Ratios!D13-D13,IF(AND(Calculated_Ratios!D13="",ISBLANK(D13)),0,"MISMATCH"))</f>
        <v>0</v>
      </c>
      <c r="V13" s="0" t="n">
        <f aca="false">IF(AND(ISNUMBER(Calculated_Ratios!E13),ISNUMBER(E13)),Calculated_Ratios!E13-E13,IF(AND(Calculated_Ratios!E13="",ISBLANK(E13)),0,"MISMATCH"))</f>
        <v>0</v>
      </c>
      <c r="W13" s="0" t="n">
        <f aca="false">IF(AND(ISNUMBER(Calculated_Ratios!F13),ISNUMBER(F13)),Calculated_Ratios!F13-F13,IF(AND(Calculated_Ratios!F13="",ISBLANK(F13)),0,"MISMATCH"))</f>
        <v>0</v>
      </c>
      <c r="X13" s="0" t="n">
        <f aca="false">IF(AND(ISNUMBER(Calculated_Ratios!G13),ISNUMBER(G13)),Calculated_Ratios!G13-G13,IF(AND(Calculated_Ratios!G13="",ISBLANK(G13)),0,"MISMATCH"))</f>
        <v>0</v>
      </c>
      <c r="Y13" s="0" t="n">
        <f aca="false">IF(AND(ISNUMBER(Calculated_Ratios!H13),ISNUMBER(H13)),Calculated_Ratios!H13-H13,IF(AND(Calculated_Ratios!H13="",ISBLANK(H13)),0,"MISMATCH"))</f>
        <v>0</v>
      </c>
      <c r="Z13" s="0" t="n">
        <f aca="false">IF(AND(ISNUMBER(Calculated_Ratios!I13),ISNUMBER(I13)),Calculated_Ratios!I13-I13,IF(AND(Calculated_Ratios!I13="",ISBLANK(I13)),0,"MISMATCH"))</f>
        <v>0</v>
      </c>
      <c r="AA13" s="0" t="n">
        <f aca="false">IF(AND(ISNUMBER(Calculated_Ratios!J13),ISNUMBER(J13)),Calculated_Ratios!J13-J13,IF(AND(Calculated_Ratios!J13="",ISBLANK(J13)),0,"MISMATCH"))</f>
        <v>0</v>
      </c>
      <c r="AB13" s="0" t="n">
        <f aca="false">IF(AND(ISNUMBER(Calculated_Ratios!K13),ISNUMBER(K13)),Calculated_Ratios!K13-K13,IF(AND(Calculated_Ratios!K13="",ISBLANK(K13)),0,"MISMATCH"))</f>
        <v>0</v>
      </c>
      <c r="AC13" s="0" t="n">
        <f aca="false">IF(AND(ISNUMBER(Calculated_Ratios!L13),ISNUMBER(L13)),Calculated_Ratios!L13-L13,IF(AND(Calculated_Ratios!L13="",ISBLANK(L13)),0,"MISMATCH"))</f>
        <v>0</v>
      </c>
      <c r="AD13" s="0" t="n">
        <f aca="false">IF(AND(ISNUMBER(Calculated_Ratios!M13),ISNUMBER(M13)),Calculated_Ratios!M13-M13,IF(AND(Calculated_Ratios!M13="",ISBLANK(M13)),0,"MISMATCH"))</f>
        <v>0</v>
      </c>
      <c r="AE13" s="0" t="n">
        <f aca="false">IF(AND(ISNUMBER(Calculated_Ratios!N13),ISNUMBER(N13)),Calculated_Ratios!N13-N13,IF(AND(Calculated_Ratios!N13="",ISBLANK(N13)),0,"MISMATCH"))</f>
        <v>0</v>
      </c>
      <c r="AF13" s="0" t="n">
        <f aca="false">IF(AND(ISNUMBER(Calculated_Ratios!O13),ISNUMBER(O13)),Calculated_Ratios!O13-O13,IF(AND(Calculated_Ratios!O13="",ISBLANK(O13)),0,"MISMATCH"))</f>
        <v>0</v>
      </c>
      <c r="AG13" s="0" t="n">
        <f aca="false">IF(AND(ISNUMBER(Calculated_Ratios!P13),ISNUMBER(P13)),Calculated_Ratios!P13-P13,IF(AND(Calculated_Ratios!P13="",ISBLANK(P13)),0,"MISMATCH"))</f>
        <v>0</v>
      </c>
      <c r="AH13" s="0" t="n">
        <f aca="false">IF(AND(ISNUMBER(Calculated_Ratios!Q13),ISNUMBER(Q13)),Calculated_Ratios!Q13-Q13,IF(AND(Calculated_Ratios!Q13="",ISBLANK(Q13)),0,"MISMATCH"))</f>
        <v>0</v>
      </c>
      <c r="AI13" s="0" t="n">
        <f aca="false">IF(AND(ISNUMBER(Calculated_Ratios!R13),ISNUMBER(R13)),Calculated_Ratios!R13-R13,IF(AND(Calculated_Ratios!R13="",ISBLANK(R13)),0,"MISMATCH"))</f>
        <v>0</v>
      </c>
      <c r="AJ13" s="0" t="n">
        <f aca="false">IF(AND(ISNUMBER(Calculated_Ratios!S13),ISNUMBER(S13)),Calculated_Ratios!S13-S13,IF(AND(Calculated_Ratios!S13="",ISBLANK(S13)),0,"MISMATCH"))</f>
        <v>0</v>
      </c>
    </row>
    <row r="14" customFormat="false" ht="15" hidden="false" customHeight="false" outlineLevel="0" collapsed="false">
      <c r="A14" s="0" t="s">
        <v>100</v>
      </c>
      <c r="B14" s="0" t="n">
        <v>2013</v>
      </c>
      <c r="C14" s="0" t="n">
        <v>1393063</v>
      </c>
      <c r="D14" s="0" t="n">
        <v>0.836860931630515</v>
      </c>
      <c r="E14" s="0" t="n">
        <v>10.7219893607044</v>
      </c>
      <c r="F14" s="0" t="n">
        <v>0.330638312840123</v>
      </c>
      <c r="G14" s="0" t="n">
        <v>5.27038275846412</v>
      </c>
      <c r="H14" s="0" t="n">
        <v>17.3858589503408</v>
      </c>
      <c r="I14" s="0" t="n">
        <v>2.3405976614123</v>
      </c>
      <c r="N14" s="0" t="n">
        <v>0.798049850391324</v>
      </c>
      <c r="O14" s="0" t="n">
        <v>89.2780106392956</v>
      </c>
      <c r="P14" s="0" t="n">
        <v>14.194502318915</v>
      </c>
      <c r="Q14" s="0" t="n">
        <v>0</v>
      </c>
      <c r="R14" s="0" t="n">
        <v>0</v>
      </c>
      <c r="T14" s="0" t="n">
        <f aca="false">IF(AND(ISNUMBER(Calculated_Ratios!C14),ISNUMBER(C14)),Calculated_Ratios!C14-C14,IF(AND(Calculated_Ratios!C14="",ISBLANK(C14)),0,"MISMATCH"))</f>
        <v>0</v>
      </c>
      <c r="U14" s="0" t="n">
        <f aca="false">IF(AND(ISNUMBER(Calculated_Ratios!D14),ISNUMBER(D14)),Calculated_Ratios!D14-D14,IF(AND(Calculated_Ratios!D14="",ISBLANK(D14)),0,"MISMATCH"))</f>
        <v>0</v>
      </c>
      <c r="V14" s="0" t="n">
        <f aca="false">IF(AND(ISNUMBER(Calculated_Ratios!E14),ISNUMBER(E14)),Calculated_Ratios!E14-E14,IF(AND(Calculated_Ratios!E14="",ISBLANK(E14)),0,"MISMATCH"))</f>
        <v>0</v>
      </c>
      <c r="W14" s="0" t="n">
        <f aca="false">IF(AND(ISNUMBER(Calculated_Ratios!F14),ISNUMBER(F14)),Calculated_Ratios!F14-F14,IF(AND(Calculated_Ratios!F14="",ISBLANK(F14)),0,"MISMATCH"))</f>
        <v>0</v>
      </c>
      <c r="X14" s="0" t="n">
        <f aca="false">IF(AND(ISNUMBER(Calculated_Ratios!G14),ISNUMBER(G14)),Calculated_Ratios!G14-G14,IF(AND(Calculated_Ratios!G14="",ISBLANK(G14)),0,"MISMATCH"))</f>
        <v>0</v>
      </c>
      <c r="Y14" s="0" t="n">
        <f aca="false">IF(AND(ISNUMBER(Calculated_Ratios!H14),ISNUMBER(H14)),Calculated_Ratios!H14-H14,IF(AND(Calculated_Ratios!H14="",ISBLANK(H14)),0,"MISMATCH"))</f>
        <v>0</v>
      </c>
      <c r="Z14" s="0" t="n">
        <f aca="false">IF(AND(ISNUMBER(Calculated_Ratios!I14),ISNUMBER(I14)),Calculated_Ratios!I14-I14,IF(AND(Calculated_Ratios!I14="",ISBLANK(I14)),0,"MISMATCH"))</f>
        <v>0</v>
      </c>
      <c r="AA14" s="0" t="n">
        <f aca="false">IF(AND(ISNUMBER(Calculated_Ratios!J14),ISNUMBER(J14)),Calculated_Ratios!J14-J14,IF(AND(Calculated_Ratios!J14="",ISBLANK(J14)),0,"MISMATCH"))</f>
        <v>0</v>
      </c>
      <c r="AB14" s="0" t="n">
        <f aca="false">IF(AND(ISNUMBER(Calculated_Ratios!K14),ISNUMBER(K14)),Calculated_Ratios!K14-K14,IF(AND(Calculated_Ratios!K14="",ISBLANK(K14)),0,"MISMATCH"))</f>
        <v>0</v>
      </c>
      <c r="AC14" s="0" t="n">
        <f aca="false">IF(AND(ISNUMBER(Calculated_Ratios!L14),ISNUMBER(L14)),Calculated_Ratios!L14-L14,IF(AND(Calculated_Ratios!L14="",ISBLANK(L14)),0,"MISMATCH"))</f>
        <v>0</v>
      </c>
      <c r="AD14" s="0" t="n">
        <f aca="false">IF(AND(ISNUMBER(Calculated_Ratios!M14),ISNUMBER(M14)),Calculated_Ratios!M14-M14,IF(AND(Calculated_Ratios!M14="",ISBLANK(M14)),0,"MISMATCH"))</f>
        <v>0</v>
      </c>
      <c r="AE14" s="0" t="n">
        <f aca="false">IF(AND(ISNUMBER(Calculated_Ratios!N14),ISNUMBER(N14)),Calculated_Ratios!N14-N14,IF(AND(Calculated_Ratios!N14="",ISBLANK(N14)),0,"MISMATCH"))</f>
        <v>0</v>
      </c>
      <c r="AF14" s="0" t="n">
        <f aca="false">IF(AND(ISNUMBER(Calculated_Ratios!O14),ISNUMBER(O14)),Calculated_Ratios!O14-O14,IF(AND(Calculated_Ratios!O14="",ISBLANK(O14)),0,"MISMATCH"))</f>
        <v>0</v>
      </c>
      <c r="AG14" s="0" t="n">
        <f aca="false">IF(AND(ISNUMBER(Calculated_Ratios!P14),ISNUMBER(P14)),Calculated_Ratios!P14-P14,IF(AND(Calculated_Ratios!P14="",ISBLANK(P14)),0,"MISMATCH"))</f>
        <v>0</v>
      </c>
      <c r="AH14" s="0" t="n">
        <f aca="false">IF(AND(ISNUMBER(Calculated_Ratios!Q14),ISNUMBER(Q14)),Calculated_Ratios!Q14-Q14,IF(AND(Calculated_Ratios!Q14="",ISBLANK(Q14)),0,"MISMATCH"))</f>
        <v>0</v>
      </c>
      <c r="AI14" s="0" t="n">
        <f aca="false">IF(AND(ISNUMBER(Calculated_Ratios!R14),ISNUMBER(R14)),Calculated_Ratios!R14-R14,IF(AND(Calculated_Ratios!R14="",ISBLANK(R14)),0,"MISMATCH"))</f>
        <v>0</v>
      </c>
      <c r="AJ14" s="0" t="n">
        <f aca="false">IF(AND(ISNUMBER(Calculated_Ratios!S14),ISNUMBER(S14)),Calculated_Ratios!S14-S14,IF(AND(Calculated_Ratios!S14="",ISBLANK(S14)),0,"MISMATCH"))</f>
        <v>0</v>
      </c>
    </row>
    <row r="15" customFormat="false" ht="15" hidden="false" customHeight="false" outlineLevel="0" collapsed="false">
      <c r="A15" s="0" t="s">
        <v>100</v>
      </c>
      <c r="B15" s="0" t="n">
        <v>2014</v>
      </c>
      <c r="C15" s="0" t="n">
        <v>1616866.5</v>
      </c>
      <c r="D15" s="0" t="n">
        <v>1.83892733259054</v>
      </c>
      <c r="E15" s="0" t="n">
        <v>11.1902272068371</v>
      </c>
      <c r="F15" s="0" t="n">
        <v>-6.84663823512949</v>
      </c>
      <c r="G15" s="0" t="n">
        <v>4.10706843287975</v>
      </c>
      <c r="H15" s="0" t="n">
        <v>16.0335921381585</v>
      </c>
      <c r="I15" s="0" t="n">
        <v>2.04061374269304</v>
      </c>
      <c r="N15" s="0" t="n">
        <v>1.67706193504283</v>
      </c>
      <c r="O15" s="0" t="n">
        <v>88.8097727931629</v>
      </c>
      <c r="P15" s="0" t="n">
        <v>14.3881395908568</v>
      </c>
      <c r="Q15" s="0" t="n">
        <v>0</v>
      </c>
      <c r="R15" s="0" t="n">
        <v>0</v>
      </c>
      <c r="T15" s="0" t="n">
        <f aca="false">IF(AND(ISNUMBER(Calculated_Ratios!C15),ISNUMBER(C15)),Calculated_Ratios!C15-C15,IF(AND(Calculated_Ratios!C15="",ISBLANK(C15)),0,"MISMATCH"))</f>
        <v>0</v>
      </c>
      <c r="U15" s="0" t="n">
        <f aca="false">IF(AND(ISNUMBER(Calculated_Ratios!D15),ISNUMBER(D15)),Calculated_Ratios!D15-D15,IF(AND(Calculated_Ratios!D15="",ISBLANK(D15)),0,"MISMATCH"))</f>
        <v>0</v>
      </c>
      <c r="V15" s="0" t="n">
        <f aca="false">IF(AND(ISNUMBER(Calculated_Ratios!E15),ISNUMBER(E15)),Calculated_Ratios!E15-E15,IF(AND(Calculated_Ratios!E15="",ISBLANK(E15)),0,"MISMATCH"))</f>
        <v>0</v>
      </c>
      <c r="W15" s="0" t="n">
        <f aca="false">IF(AND(ISNUMBER(Calculated_Ratios!F15),ISNUMBER(F15)),Calculated_Ratios!F15-F15,IF(AND(Calculated_Ratios!F15="",ISBLANK(F15)),0,"MISMATCH"))</f>
        <v>0</v>
      </c>
      <c r="X15" s="0" t="n">
        <f aca="false">IF(AND(ISNUMBER(Calculated_Ratios!G15),ISNUMBER(G15)),Calculated_Ratios!G15-G15,IF(AND(Calculated_Ratios!G15="",ISBLANK(G15)),0,"MISMATCH"))</f>
        <v>0</v>
      </c>
      <c r="Y15" s="0" t="n">
        <f aca="false">IF(AND(ISNUMBER(Calculated_Ratios!H15),ISNUMBER(H15)),Calculated_Ratios!H15-H15,IF(AND(Calculated_Ratios!H15="",ISBLANK(H15)),0,"MISMATCH"))</f>
        <v>0</v>
      </c>
      <c r="Z15" s="0" t="n">
        <f aca="false">IF(AND(ISNUMBER(Calculated_Ratios!I15),ISNUMBER(I15)),Calculated_Ratios!I15-I15,IF(AND(Calculated_Ratios!I15="",ISBLANK(I15)),0,"MISMATCH"))</f>
        <v>0</v>
      </c>
      <c r="AA15" s="0" t="n">
        <f aca="false">IF(AND(ISNUMBER(Calculated_Ratios!J15),ISNUMBER(J15)),Calculated_Ratios!J15-J15,IF(AND(Calculated_Ratios!J15="",ISBLANK(J15)),0,"MISMATCH"))</f>
        <v>0</v>
      </c>
      <c r="AB15" s="0" t="n">
        <f aca="false">IF(AND(ISNUMBER(Calculated_Ratios!K15),ISNUMBER(K15)),Calculated_Ratios!K15-K15,IF(AND(Calculated_Ratios!K15="",ISBLANK(K15)),0,"MISMATCH"))</f>
        <v>0</v>
      </c>
      <c r="AC15" s="0" t="n">
        <f aca="false">IF(AND(ISNUMBER(Calculated_Ratios!L15),ISNUMBER(L15)),Calculated_Ratios!L15-L15,IF(AND(Calculated_Ratios!L15="",ISBLANK(L15)),0,"MISMATCH"))</f>
        <v>0</v>
      </c>
      <c r="AD15" s="0" t="n">
        <f aca="false">IF(AND(ISNUMBER(Calculated_Ratios!M15),ISNUMBER(M15)),Calculated_Ratios!M15-M15,IF(AND(Calculated_Ratios!M15="",ISBLANK(M15)),0,"MISMATCH"))</f>
        <v>0</v>
      </c>
      <c r="AE15" s="0" t="n">
        <f aca="false">IF(AND(ISNUMBER(Calculated_Ratios!N15),ISNUMBER(N15)),Calculated_Ratios!N15-N15,IF(AND(Calculated_Ratios!N15="",ISBLANK(N15)),0,"MISMATCH"))</f>
        <v>0</v>
      </c>
      <c r="AF15" s="0" t="n">
        <f aca="false">IF(AND(ISNUMBER(Calculated_Ratios!O15),ISNUMBER(O15)),Calculated_Ratios!O15-O15,IF(AND(Calculated_Ratios!O15="",ISBLANK(O15)),0,"MISMATCH"))</f>
        <v>0</v>
      </c>
      <c r="AG15" s="0" t="n">
        <f aca="false">IF(AND(ISNUMBER(Calculated_Ratios!P15),ISNUMBER(P15)),Calculated_Ratios!P15-P15,IF(AND(Calculated_Ratios!P15="",ISBLANK(P15)),0,"MISMATCH"))</f>
        <v>0</v>
      </c>
      <c r="AH15" s="0" t="n">
        <f aca="false">IF(AND(ISNUMBER(Calculated_Ratios!Q15),ISNUMBER(Q15)),Calculated_Ratios!Q15-Q15,IF(AND(Calculated_Ratios!Q15="",ISBLANK(Q15)),0,"MISMATCH"))</f>
        <v>0</v>
      </c>
      <c r="AI15" s="0" t="n">
        <f aca="false">IF(AND(ISNUMBER(Calculated_Ratios!R15),ISNUMBER(R15)),Calculated_Ratios!R15-R15,IF(AND(Calculated_Ratios!R15="",ISBLANK(R15)),0,"MISMATCH"))</f>
        <v>0</v>
      </c>
      <c r="AJ15" s="0" t="n">
        <f aca="false">IF(AND(ISNUMBER(Calculated_Ratios!S15),ISNUMBER(S15)),Calculated_Ratios!S15-S15,IF(AND(Calculated_Ratios!S15="",ISBLANK(S15)),0,"MISMATCH"))</f>
        <v>0</v>
      </c>
    </row>
    <row r="16" customFormat="false" ht="15" hidden="false" customHeight="false" outlineLevel="0" collapsed="false">
      <c r="A16" s="0" t="s">
        <v>100</v>
      </c>
      <c r="B16" s="0" t="n">
        <v>2015</v>
      </c>
      <c r="C16" s="0" t="n">
        <v>1783635</v>
      </c>
      <c r="D16" s="0" t="n">
        <v>0.633761952417395</v>
      </c>
      <c r="E16" s="0" t="n">
        <v>12.6946946746116</v>
      </c>
      <c r="F16" s="0" t="n">
        <v>1.35840572762925</v>
      </c>
      <c r="G16" s="0" t="n">
        <v>7.7173899543977</v>
      </c>
      <c r="H16" s="0" t="n">
        <v>18.7244399446466</v>
      </c>
      <c r="I16" s="0" t="n">
        <v>3.1250788418034</v>
      </c>
      <c r="N16" s="0" t="n">
        <v>0.629978131332384</v>
      </c>
      <c r="O16" s="0" t="n">
        <v>87.3053053253884</v>
      </c>
      <c r="P16" s="0" t="n">
        <v>14.4001522827223</v>
      </c>
      <c r="Q16" s="0" t="n">
        <v>0</v>
      </c>
      <c r="R16" s="0" t="n">
        <v>0</v>
      </c>
      <c r="T16" s="0" t="n">
        <f aca="false">IF(AND(ISNUMBER(Calculated_Ratios!C16),ISNUMBER(C16)),Calculated_Ratios!C16-C16,IF(AND(Calculated_Ratios!C16="",ISBLANK(C16)),0,"MISMATCH"))</f>
        <v>0</v>
      </c>
      <c r="U16" s="0" t="n">
        <f aca="false">IF(AND(ISNUMBER(Calculated_Ratios!D16),ISNUMBER(D16)),Calculated_Ratios!D16-D16,IF(AND(Calculated_Ratios!D16="",ISBLANK(D16)),0,"MISMATCH"))</f>
        <v>0</v>
      </c>
      <c r="V16" s="0" t="n">
        <f aca="false">IF(AND(ISNUMBER(Calculated_Ratios!E16),ISNUMBER(E16)),Calculated_Ratios!E16-E16,IF(AND(Calculated_Ratios!E16="",ISBLANK(E16)),0,"MISMATCH"))</f>
        <v>0</v>
      </c>
      <c r="W16" s="0" t="n">
        <f aca="false">IF(AND(ISNUMBER(Calculated_Ratios!F16),ISNUMBER(F16)),Calculated_Ratios!F16-F16,IF(AND(Calculated_Ratios!F16="",ISBLANK(F16)),0,"MISMATCH"))</f>
        <v>0</v>
      </c>
      <c r="X16" s="0" t="n">
        <f aca="false">IF(AND(ISNUMBER(Calculated_Ratios!G16),ISNUMBER(G16)),Calculated_Ratios!G16-G16,IF(AND(Calculated_Ratios!G16="",ISBLANK(G16)),0,"MISMATCH"))</f>
        <v>0</v>
      </c>
      <c r="Y16" s="0" t="n">
        <f aca="false">IF(AND(ISNUMBER(Calculated_Ratios!H16),ISNUMBER(H16)),Calculated_Ratios!H16-H16,IF(AND(Calculated_Ratios!H16="",ISBLANK(H16)),0,"MISMATCH"))</f>
        <v>0</v>
      </c>
      <c r="Z16" s="0" t="n">
        <f aca="false">IF(AND(ISNUMBER(Calculated_Ratios!I16),ISNUMBER(I16)),Calculated_Ratios!I16-I16,IF(AND(Calculated_Ratios!I16="",ISBLANK(I16)),0,"MISMATCH"))</f>
        <v>0</v>
      </c>
      <c r="AA16" s="0" t="n">
        <f aca="false">IF(AND(ISNUMBER(Calculated_Ratios!J16),ISNUMBER(J16)),Calculated_Ratios!J16-J16,IF(AND(Calculated_Ratios!J16="",ISBLANK(J16)),0,"MISMATCH"))</f>
        <v>0</v>
      </c>
      <c r="AB16" s="0" t="n">
        <f aca="false">IF(AND(ISNUMBER(Calculated_Ratios!K16),ISNUMBER(K16)),Calculated_Ratios!K16-K16,IF(AND(Calculated_Ratios!K16="",ISBLANK(K16)),0,"MISMATCH"))</f>
        <v>0</v>
      </c>
      <c r="AC16" s="0" t="n">
        <f aca="false">IF(AND(ISNUMBER(Calculated_Ratios!L16),ISNUMBER(L16)),Calculated_Ratios!L16-L16,IF(AND(Calculated_Ratios!L16="",ISBLANK(L16)),0,"MISMATCH"))</f>
        <v>0</v>
      </c>
      <c r="AD16" s="0" t="n">
        <f aca="false">IF(AND(ISNUMBER(Calculated_Ratios!M16),ISNUMBER(M16)),Calculated_Ratios!M16-M16,IF(AND(Calculated_Ratios!M16="",ISBLANK(M16)),0,"MISMATCH"))</f>
        <v>0</v>
      </c>
      <c r="AE16" s="0" t="n">
        <f aca="false">IF(AND(ISNUMBER(Calculated_Ratios!N16),ISNUMBER(N16)),Calculated_Ratios!N16-N16,IF(AND(Calculated_Ratios!N16="",ISBLANK(N16)),0,"MISMATCH"))</f>
        <v>0</v>
      </c>
      <c r="AF16" s="0" t="n">
        <f aca="false">IF(AND(ISNUMBER(Calculated_Ratios!O16),ISNUMBER(O16)),Calculated_Ratios!O16-O16,IF(AND(Calculated_Ratios!O16="",ISBLANK(O16)),0,"MISMATCH"))</f>
        <v>0</v>
      </c>
      <c r="AG16" s="0" t="n">
        <f aca="false">IF(AND(ISNUMBER(Calculated_Ratios!P16),ISNUMBER(P16)),Calculated_Ratios!P16-P16,IF(AND(Calculated_Ratios!P16="",ISBLANK(P16)),0,"MISMATCH"))</f>
        <v>0</v>
      </c>
      <c r="AH16" s="0" t="n">
        <f aca="false">IF(AND(ISNUMBER(Calculated_Ratios!Q16),ISNUMBER(Q16)),Calculated_Ratios!Q16-Q16,IF(AND(Calculated_Ratios!Q16="",ISBLANK(Q16)),0,"MISMATCH"))</f>
        <v>0</v>
      </c>
      <c r="AI16" s="0" t="n">
        <f aca="false">IF(AND(ISNUMBER(Calculated_Ratios!R16),ISNUMBER(R16)),Calculated_Ratios!R16-R16,IF(AND(Calculated_Ratios!R16="",ISBLANK(R16)),0,"MISMATCH"))</f>
        <v>0</v>
      </c>
      <c r="AJ16" s="0" t="n">
        <f aca="false">IF(AND(ISNUMBER(Calculated_Ratios!S16),ISNUMBER(S16)),Calculated_Ratios!S16-S16,IF(AND(Calculated_Ratios!S16="",ISBLANK(S16)),0,"MISMATCH"))</f>
        <v>0</v>
      </c>
    </row>
    <row r="17" customFormat="false" ht="15" hidden="false" customHeight="false" outlineLevel="0" collapsed="false">
      <c r="A17" s="0" t="s">
        <v>100</v>
      </c>
      <c r="B17" s="0" t="n">
        <v>2016</v>
      </c>
      <c r="E17" s="0" t="n">
        <v>12.2076103827309</v>
      </c>
      <c r="N17" s="0" t="n">
        <v>0.319601349845701</v>
      </c>
      <c r="O17" s="0" t="n">
        <v>87.7923896172691</v>
      </c>
      <c r="P17" s="0" t="n">
        <v>14.4080099892062</v>
      </c>
      <c r="Q17" s="0" t="n">
        <v>0</v>
      </c>
      <c r="T17" s="0" t="n">
        <f aca="false">IF(AND(ISNUMBER(Calculated_Ratios!C17),ISNUMBER(C17)),Calculated_Ratios!C17-C17,IF(AND(Calculated_Ratios!C17="",ISBLANK(C17)),0,"MISMATCH"))</f>
        <v>0</v>
      </c>
      <c r="U17" s="0" t="n">
        <f aca="false">IF(AND(ISNUMBER(Calculated_Ratios!D17),ISNUMBER(D17)),Calculated_Ratios!D17-D17,IF(AND(Calculated_Ratios!D17="",ISBLANK(D17)),0,"MISMATCH"))</f>
        <v>0</v>
      </c>
      <c r="V17" s="0" t="n">
        <f aca="false">IF(AND(ISNUMBER(Calculated_Ratios!E17),ISNUMBER(E17)),Calculated_Ratios!E17-E17,IF(AND(Calculated_Ratios!E17="",ISBLANK(E17)),0,"MISMATCH"))</f>
        <v>0</v>
      </c>
      <c r="W17" s="0" t="n">
        <f aca="false">IF(AND(ISNUMBER(Calculated_Ratios!F17),ISNUMBER(F17)),Calculated_Ratios!F17-F17,IF(AND(Calculated_Ratios!F17="",ISBLANK(F17)),0,"MISMATCH"))</f>
        <v>0</v>
      </c>
      <c r="X17" s="0" t="n">
        <f aca="false">IF(AND(ISNUMBER(Calculated_Ratios!G17),ISNUMBER(G17)),Calculated_Ratios!G17-G17,IF(AND(Calculated_Ratios!G17="",ISBLANK(G17)),0,"MISMATCH"))</f>
        <v>0</v>
      </c>
      <c r="Y17" s="0" t="n">
        <f aca="false">IF(AND(ISNUMBER(Calculated_Ratios!H17),ISNUMBER(H17)),Calculated_Ratios!H17-H17,IF(AND(Calculated_Ratios!H17="",ISBLANK(H17)),0,"MISMATCH"))</f>
        <v>0</v>
      </c>
      <c r="Z17" s="0" t="n">
        <f aca="false">IF(AND(ISNUMBER(Calculated_Ratios!I17),ISNUMBER(I17)),Calculated_Ratios!I17-I17,IF(AND(Calculated_Ratios!I17="",ISBLANK(I17)),0,"MISMATCH"))</f>
        <v>0</v>
      </c>
      <c r="AA17" s="0" t="n">
        <f aca="false">IF(AND(ISNUMBER(Calculated_Ratios!J17),ISNUMBER(J17)),Calculated_Ratios!J17-J17,IF(AND(Calculated_Ratios!J17="",ISBLANK(J17)),0,"MISMATCH"))</f>
        <v>0</v>
      </c>
      <c r="AB17" s="0" t="n">
        <f aca="false">IF(AND(ISNUMBER(Calculated_Ratios!K17),ISNUMBER(K17)),Calculated_Ratios!K17-K17,IF(AND(Calculated_Ratios!K17="",ISBLANK(K17)),0,"MISMATCH"))</f>
        <v>0</v>
      </c>
      <c r="AC17" s="0" t="n">
        <f aca="false">IF(AND(ISNUMBER(Calculated_Ratios!L17),ISNUMBER(L17)),Calculated_Ratios!L17-L17,IF(AND(Calculated_Ratios!L17="",ISBLANK(L17)),0,"MISMATCH"))</f>
        <v>0</v>
      </c>
      <c r="AD17" s="0" t="n">
        <f aca="false">IF(AND(ISNUMBER(Calculated_Ratios!M17),ISNUMBER(M17)),Calculated_Ratios!M17-M17,IF(AND(Calculated_Ratios!M17="",ISBLANK(M17)),0,"MISMATCH"))</f>
        <v>0</v>
      </c>
      <c r="AE17" s="0" t="n">
        <f aca="false">IF(AND(ISNUMBER(Calculated_Ratios!N17),ISNUMBER(N17)),Calculated_Ratios!N17-N17,IF(AND(Calculated_Ratios!N17="",ISBLANK(N17)),0,"MISMATCH"))</f>
        <v>0</v>
      </c>
      <c r="AF17" s="0" t="n">
        <f aca="false">IF(AND(ISNUMBER(Calculated_Ratios!O17),ISNUMBER(O17)),Calculated_Ratios!O17-O17,IF(AND(Calculated_Ratios!O17="",ISBLANK(O17)),0,"MISMATCH"))</f>
        <v>0</v>
      </c>
      <c r="AG17" s="0" t="n">
        <f aca="false">IF(AND(ISNUMBER(Calculated_Ratios!P17),ISNUMBER(P17)),Calculated_Ratios!P17-P17,IF(AND(Calculated_Ratios!P17="",ISBLANK(P17)),0,"MISMATCH"))</f>
        <v>0</v>
      </c>
      <c r="AH17" s="0" t="n">
        <f aca="false">IF(AND(ISNUMBER(Calculated_Ratios!Q17),ISNUMBER(Q17)),Calculated_Ratios!Q17-Q17,IF(AND(Calculated_Ratios!Q17="",ISBLANK(Q17)),0,"MISMATCH"))</f>
        <v>0</v>
      </c>
      <c r="AI17" s="0" t="n">
        <f aca="false">IF(AND(ISNUMBER(Calculated_Ratios!R17),ISNUMBER(R17)),Calculated_Ratios!R17-R17,IF(AND(Calculated_Ratios!R17="",ISBLANK(R17)),0,"MISMATCH"))</f>
        <v>0</v>
      </c>
      <c r="AJ17" s="0" t="n">
        <f aca="false">IF(AND(ISNUMBER(Calculated_Ratios!S17),ISNUMBER(S17)),Calculated_Ratios!S17-S17,IF(AND(Calculated_Ratios!S17="",ISBLANK(S17)),0,"MISMATCH"))</f>
        <v>0</v>
      </c>
    </row>
    <row r="18" customFormat="false" ht="15" hidden="false" customHeight="false" outlineLevel="0" collapsed="false">
      <c r="A18" s="0" t="s">
        <v>100</v>
      </c>
      <c r="B18" s="0" t="n">
        <v>2017</v>
      </c>
      <c r="C18" s="0" t="n">
        <v>1819132</v>
      </c>
      <c r="D18" s="0" t="n">
        <v>1.11063957975562</v>
      </c>
      <c r="E18" s="0" t="n">
        <v>14.6100501650216</v>
      </c>
      <c r="I18" s="0" t="n">
        <v>3.29283416486544</v>
      </c>
      <c r="N18" s="0" t="n">
        <v>1.10418792399663</v>
      </c>
      <c r="O18" s="0" t="n">
        <v>85.3899498349785</v>
      </c>
      <c r="P18" s="0" t="n">
        <v>14.4196959151956</v>
      </c>
      <c r="Q18" s="0" t="n">
        <v>0</v>
      </c>
      <c r="T18" s="0" t="n">
        <f aca="false">IF(AND(ISNUMBER(Calculated_Ratios!C18),ISNUMBER(C18)),Calculated_Ratios!C18-C18,IF(AND(Calculated_Ratios!C18="",ISBLANK(C18)),0,"MISMATCH"))</f>
        <v>0</v>
      </c>
      <c r="U18" s="0" t="n">
        <f aca="false">IF(AND(ISNUMBER(Calculated_Ratios!D18),ISNUMBER(D18)),Calculated_Ratios!D18-D18,IF(AND(Calculated_Ratios!D18="",ISBLANK(D18)),0,"MISMATCH"))</f>
        <v>0</v>
      </c>
      <c r="V18" s="0" t="n">
        <f aca="false">IF(AND(ISNUMBER(Calculated_Ratios!E18),ISNUMBER(E18)),Calculated_Ratios!E18-E18,IF(AND(Calculated_Ratios!E18="",ISBLANK(E18)),0,"MISMATCH"))</f>
        <v>0</v>
      </c>
      <c r="W18" s="0" t="n">
        <f aca="false">IF(AND(ISNUMBER(Calculated_Ratios!F18),ISNUMBER(F18)),Calculated_Ratios!F18-F18,IF(AND(Calculated_Ratios!F18="",ISBLANK(F18)),0,"MISMATCH"))</f>
        <v>0</v>
      </c>
      <c r="X18" s="0" t="n">
        <f aca="false">IF(AND(ISNUMBER(Calculated_Ratios!G18),ISNUMBER(G18)),Calculated_Ratios!G18-G18,IF(AND(Calculated_Ratios!G18="",ISBLANK(G18)),0,"MISMATCH"))</f>
        <v>0</v>
      </c>
      <c r="Y18" s="0" t="n">
        <f aca="false">IF(AND(ISNUMBER(Calculated_Ratios!H18),ISNUMBER(H18)),Calculated_Ratios!H18-H18,IF(AND(Calculated_Ratios!H18="",ISBLANK(H18)),0,"MISMATCH"))</f>
        <v>0</v>
      </c>
      <c r="Z18" s="0" t="n">
        <f aca="false">IF(AND(ISNUMBER(Calculated_Ratios!I18),ISNUMBER(I18)),Calculated_Ratios!I18-I18,IF(AND(Calculated_Ratios!I18="",ISBLANK(I18)),0,"MISMATCH"))</f>
        <v>0</v>
      </c>
      <c r="AA18" s="0" t="n">
        <f aca="false">IF(AND(ISNUMBER(Calculated_Ratios!J18),ISNUMBER(J18)),Calculated_Ratios!J18-J18,IF(AND(Calculated_Ratios!J18="",ISBLANK(J18)),0,"MISMATCH"))</f>
        <v>0</v>
      </c>
      <c r="AB18" s="0" t="n">
        <f aca="false">IF(AND(ISNUMBER(Calculated_Ratios!K18),ISNUMBER(K18)),Calculated_Ratios!K18-K18,IF(AND(Calculated_Ratios!K18="",ISBLANK(K18)),0,"MISMATCH"))</f>
        <v>0</v>
      </c>
      <c r="AC18" s="0" t="n">
        <f aca="false">IF(AND(ISNUMBER(Calculated_Ratios!L18),ISNUMBER(L18)),Calculated_Ratios!L18-L18,IF(AND(Calculated_Ratios!L18="",ISBLANK(L18)),0,"MISMATCH"))</f>
        <v>0</v>
      </c>
      <c r="AD18" s="0" t="n">
        <f aca="false">IF(AND(ISNUMBER(Calculated_Ratios!M18),ISNUMBER(M18)),Calculated_Ratios!M18-M18,IF(AND(Calculated_Ratios!M18="",ISBLANK(M18)),0,"MISMATCH"))</f>
        <v>0</v>
      </c>
      <c r="AE18" s="0" t="n">
        <f aca="false">IF(AND(ISNUMBER(Calculated_Ratios!N18),ISNUMBER(N18)),Calculated_Ratios!N18-N18,IF(AND(Calculated_Ratios!N18="",ISBLANK(N18)),0,"MISMATCH"))</f>
        <v>0</v>
      </c>
      <c r="AF18" s="0" t="n">
        <f aca="false">IF(AND(ISNUMBER(Calculated_Ratios!O18),ISNUMBER(O18)),Calculated_Ratios!O18-O18,IF(AND(Calculated_Ratios!O18="",ISBLANK(O18)),0,"MISMATCH"))</f>
        <v>0</v>
      </c>
      <c r="AG18" s="0" t="n">
        <f aca="false">IF(AND(ISNUMBER(Calculated_Ratios!P18),ISNUMBER(P18)),Calculated_Ratios!P18-P18,IF(AND(Calculated_Ratios!P18="",ISBLANK(P18)),0,"MISMATCH"))</f>
        <v>0</v>
      </c>
      <c r="AH18" s="0" t="n">
        <f aca="false">IF(AND(ISNUMBER(Calculated_Ratios!Q18),ISNUMBER(Q18)),Calculated_Ratios!Q18-Q18,IF(AND(Calculated_Ratios!Q18="",ISBLANK(Q18)),0,"MISMATCH"))</f>
        <v>0</v>
      </c>
      <c r="AI18" s="0" t="n">
        <f aca="false">IF(AND(ISNUMBER(Calculated_Ratios!R18),ISNUMBER(R18)),Calculated_Ratios!R18-R18,IF(AND(Calculated_Ratios!R18="",ISBLANK(R18)),0,"MISMATCH"))</f>
        <v>0</v>
      </c>
      <c r="AJ18" s="0" t="n">
        <f aca="false">IF(AND(ISNUMBER(Calculated_Ratios!S18),ISNUMBER(S18)),Calculated_Ratios!S18-S18,IF(AND(Calculated_Ratios!S18="",ISBLANK(S18)),0,"MISMATCH"))</f>
        <v>0</v>
      </c>
    </row>
    <row r="19" customFormat="false" ht="15" hidden="false" customHeight="false" outlineLevel="0" collapsed="false">
      <c r="A19" s="0" t="s">
        <v>100</v>
      </c>
      <c r="B19" s="0" t="n">
        <v>2018</v>
      </c>
      <c r="C19" s="0" t="n">
        <v>1893295.5</v>
      </c>
      <c r="D19" s="0" t="n">
        <v>1.43427161792758</v>
      </c>
      <c r="E19" s="0" t="n">
        <v>12.6470873811215</v>
      </c>
      <c r="F19" s="0" t="n">
        <v>1.64982169978221</v>
      </c>
      <c r="G19" s="0" t="n">
        <v>9.0735915971792</v>
      </c>
      <c r="H19" s="0" t="n">
        <v>14.3219780334765</v>
      </c>
      <c r="I19" s="0" t="n">
        <v>1.4450992990793</v>
      </c>
      <c r="J19" s="0" t="n">
        <v>66.2790514332566</v>
      </c>
      <c r="K19" s="0" t="n">
        <v>13.6899840914536</v>
      </c>
      <c r="N19" s="0" t="n">
        <v>1.38770358181344</v>
      </c>
      <c r="O19" s="0" t="n">
        <v>87.3529126188785</v>
      </c>
      <c r="P19" s="0" t="n">
        <v>14.4868363749504</v>
      </c>
      <c r="Q19" s="0" t="n">
        <v>0</v>
      </c>
      <c r="R19" s="0" t="n">
        <v>0</v>
      </c>
      <c r="T19" s="0" t="n">
        <f aca="false">IF(AND(ISNUMBER(Calculated_Ratios!C19),ISNUMBER(C19)),Calculated_Ratios!C19-C19,IF(AND(Calculated_Ratios!C19="",ISBLANK(C19)),0,"MISMATCH"))</f>
        <v>0</v>
      </c>
      <c r="U19" s="0" t="n">
        <f aca="false">IF(AND(ISNUMBER(Calculated_Ratios!D19),ISNUMBER(D19)),Calculated_Ratios!D19-D19,IF(AND(Calculated_Ratios!D19="",ISBLANK(D19)),0,"MISMATCH"))</f>
        <v>0</v>
      </c>
      <c r="V19" s="0" t="n">
        <f aca="false">IF(AND(ISNUMBER(Calculated_Ratios!E19),ISNUMBER(E19)),Calculated_Ratios!E19-E19,IF(AND(Calculated_Ratios!E19="",ISBLANK(E19)),0,"MISMATCH"))</f>
        <v>0</v>
      </c>
      <c r="W19" s="0" t="n">
        <f aca="false">IF(AND(ISNUMBER(Calculated_Ratios!F19),ISNUMBER(F19)),Calculated_Ratios!F19-F19,IF(AND(Calculated_Ratios!F19="",ISBLANK(F19)),0,"MISMATCH"))</f>
        <v>0</v>
      </c>
      <c r="X19" s="0" t="n">
        <f aca="false">IF(AND(ISNUMBER(Calculated_Ratios!G19),ISNUMBER(G19)),Calculated_Ratios!G19-G19,IF(AND(Calculated_Ratios!G19="",ISBLANK(G19)),0,"MISMATCH"))</f>
        <v>0</v>
      </c>
      <c r="Y19" s="0" t="n">
        <f aca="false">IF(AND(ISNUMBER(Calculated_Ratios!H19),ISNUMBER(H19)),Calculated_Ratios!H19-H19,IF(AND(Calculated_Ratios!H19="",ISBLANK(H19)),0,"MISMATCH"))</f>
        <v>0</v>
      </c>
      <c r="Z19" s="0" t="n">
        <f aca="false">IF(AND(ISNUMBER(Calculated_Ratios!I19),ISNUMBER(I19)),Calculated_Ratios!I19-I19,IF(AND(Calculated_Ratios!I19="",ISBLANK(I19)),0,"MISMATCH"))</f>
        <v>0</v>
      </c>
      <c r="AA19" s="0" t="n">
        <f aca="false">IF(AND(ISNUMBER(Calculated_Ratios!J19),ISNUMBER(J19)),Calculated_Ratios!J19-J19,IF(AND(Calculated_Ratios!J19="",ISBLANK(J19)),0,"MISMATCH"))</f>
        <v>0</v>
      </c>
      <c r="AB19" s="0" t="n">
        <f aca="false">IF(AND(ISNUMBER(Calculated_Ratios!K19),ISNUMBER(K19)),Calculated_Ratios!K19-K19,IF(AND(Calculated_Ratios!K19="",ISBLANK(K19)),0,"MISMATCH"))</f>
        <v>0</v>
      </c>
      <c r="AC19" s="0" t="n">
        <f aca="false">IF(AND(ISNUMBER(Calculated_Ratios!L19),ISNUMBER(L19)),Calculated_Ratios!L19-L19,IF(AND(Calculated_Ratios!L19="",ISBLANK(L19)),0,"MISMATCH"))</f>
        <v>0</v>
      </c>
      <c r="AD19" s="0" t="n">
        <f aca="false">IF(AND(ISNUMBER(Calculated_Ratios!M19),ISNUMBER(M19)),Calculated_Ratios!M19-M19,IF(AND(Calculated_Ratios!M19="",ISBLANK(M19)),0,"MISMATCH"))</f>
        <v>0</v>
      </c>
      <c r="AE19" s="0" t="n">
        <f aca="false">IF(AND(ISNUMBER(Calculated_Ratios!N19),ISNUMBER(N19)),Calculated_Ratios!N19-N19,IF(AND(Calculated_Ratios!N19="",ISBLANK(N19)),0,"MISMATCH"))</f>
        <v>0</v>
      </c>
      <c r="AF19" s="0" t="n">
        <f aca="false">IF(AND(ISNUMBER(Calculated_Ratios!O19),ISNUMBER(O19)),Calculated_Ratios!O19-O19,IF(AND(Calculated_Ratios!O19="",ISBLANK(O19)),0,"MISMATCH"))</f>
        <v>0</v>
      </c>
      <c r="AG19" s="0" t="n">
        <f aca="false">IF(AND(ISNUMBER(Calculated_Ratios!P19),ISNUMBER(P19)),Calculated_Ratios!P19-P19,IF(AND(Calculated_Ratios!P19="",ISBLANK(P19)),0,"MISMATCH"))</f>
        <v>0</v>
      </c>
      <c r="AH19" s="0" t="n">
        <f aca="false">IF(AND(ISNUMBER(Calculated_Ratios!Q19),ISNUMBER(Q19)),Calculated_Ratios!Q19-Q19,IF(AND(Calculated_Ratios!Q19="",ISBLANK(Q19)),0,"MISMATCH"))</f>
        <v>0</v>
      </c>
      <c r="AI19" s="0" t="n">
        <f aca="false">IF(AND(ISNUMBER(Calculated_Ratios!R19),ISNUMBER(R19)),Calculated_Ratios!R19-R19,IF(AND(Calculated_Ratios!R19="",ISBLANK(R19)),0,"MISMATCH"))</f>
        <v>0</v>
      </c>
      <c r="AJ19" s="0" t="n">
        <f aca="false">IF(AND(ISNUMBER(Calculated_Ratios!S19),ISNUMBER(S19)),Calculated_Ratios!S19-S19,IF(AND(Calculated_Ratios!S19="",ISBLANK(S19)),0,"MISMATCH"))</f>
        <v>0</v>
      </c>
    </row>
    <row r="20" customFormat="false" ht="15" hidden="false" customHeight="false" outlineLevel="0" collapsed="false">
      <c r="A20" s="0" t="s">
        <v>100</v>
      </c>
      <c r="B20" s="0" t="n">
        <v>2019</v>
      </c>
      <c r="C20" s="0" t="n">
        <v>1959464.5</v>
      </c>
      <c r="D20" s="0" t="n">
        <v>0.0640991454553017</v>
      </c>
      <c r="E20" s="0" t="n">
        <v>13.2729628736741</v>
      </c>
      <c r="F20" s="0" t="n">
        <v>2.50333700865721</v>
      </c>
      <c r="G20" s="0" t="n">
        <v>11.113569208461</v>
      </c>
      <c r="H20" s="0" t="n">
        <v>16.3137937465034</v>
      </c>
      <c r="I20" s="0" t="n">
        <v>0.137996886394216</v>
      </c>
      <c r="J20" s="0" t="n">
        <v>46.438917236803</v>
      </c>
      <c r="K20" s="0" t="n">
        <v>23.9315855531048</v>
      </c>
      <c r="N20" s="0" t="n">
        <v>0.0630826100932176</v>
      </c>
      <c r="O20" s="0" t="n">
        <v>86.7270371263259</v>
      </c>
      <c r="P20" s="0" t="n">
        <v>14.5041676732514</v>
      </c>
      <c r="Q20" s="0" t="n">
        <v>0</v>
      </c>
      <c r="R20" s="0" t="n">
        <v>0</v>
      </c>
      <c r="T20" s="0" t="n">
        <f aca="false">IF(AND(ISNUMBER(Calculated_Ratios!C20),ISNUMBER(C20)),Calculated_Ratios!C20-C20,IF(AND(Calculated_Ratios!C20="",ISBLANK(C20)),0,"MISMATCH"))</f>
        <v>0</v>
      </c>
      <c r="U20" s="0" t="n">
        <f aca="false">IF(AND(ISNUMBER(Calculated_Ratios!D20),ISNUMBER(D20)),Calculated_Ratios!D20-D20,IF(AND(Calculated_Ratios!D20="",ISBLANK(D20)),0,"MISMATCH"))</f>
        <v>0</v>
      </c>
      <c r="V20" s="0" t="n">
        <f aca="false">IF(AND(ISNUMBER(Calculated_Ratios!E20),ISNUMBER(E20)),Calculated_Ratios!E20-E20,IF(AND(Calculated_Ratios!E20="",ISBLANK(E20)),0,"MISMATCH"))</f>
        <v>0</v>
      </c>
      <c r="W20" s="0" t="n">
        <f aca="false">IF(AND(ISNUMBER(Calculated_Ratios!F20),ISNUMBER(F20)),Calculated_Ratios!F20-F20,IF(AND(Calculated_Ratios!F20="",ISBLANK(F20)),0,"MISMATCH"))</f>
        <v>0</v>
      </c>
      <c r="X20" s="0" t="n">
        <f aca="false">IF(AND(ISNUMBER(Calculated_Ratios!G20),ISNUMBER(G20)),Calculated_Ratios!G20-G20,IF(AND(Calculated_Ratios!G20="",ISBLANK(G20)),0,"MISMATCH"))</f>
        <v>0</v>
      </c>
      <c r="Y20" s="0" t="n">
        <f aca="false">IF(AND(ISNUMBER(Calculated_Ratios!H20),ISNUMBER(H20)),Calculated_Ratios!H20-H20,IF(AND(Calculated_Ratios!H20="",ISBLANK(H20)),0,"MISMATCH"))</f>
        <v>0</v>
      </c>
      <c r="Z20" s="0" t="n">
        <f aca="false">IF(AND(ISNUMBER(Calculated_Ratios!I20),ISNUMBER(I20)),Calculated_Ratios!I20-I20,IF(AND(Calculated_Ratios!I20="",ISBLANK(I20)),0,"MISMATCH"))</f>
        <v>0</v>
      </c>
      <c r="AA20" s="0" t="n">
        <f aca="false">IF(AND(ISNUMBER(Calculated_Ratios!J20),ISNUMBER(J20)),Calculated_Ratios!J20-J20,IF(AND(Calculated_Ratios!J20="",ISBLANK(J20)),0,"MISMATCH"))</f>
        <v>0</v>
      </c>
      <c r="AB20" s="0" t="n">
        <f aca="false">IF(AND(ISNUMBER(Calculated_Ratios!K20),ISNUMBER(K20)),Calculated_Ratios!K20-K20,IF(AND(Calculated_Ratios!K20="",ISBLANK(K20)),0,"MISMATCH"))</f>
        <v>0</v>
      </c>
      <c r="AC20" s="0" t="n">
        <f aca="false">IF(AND(ISNUMBER(Calculated_Ratios!L20),ISNUMBER(L20)),Calculated_Ratios!L20-L20,IF(AND(Calculated_Ratios!L20="",ISBLANK(L20)),0,"MISMATCH"))</f>
        <v>0</v>
      </c>
      <c r="AD20" s="0" t="n">
        <f aca="false">IF(AND(ISNUMBER(Calculated_Ratios!M20),ISNUMBER(M20)),Calculated_Ratios!M20-M20,IF(AND(Calculated_Ratios!M20="",ISBLANK(M20)),0,"MISMATCH"))</f>
        <v>0</v>
      </c>
      <c r="AE20" s="0" t="n">
        <f aca="false">IF(AND(ISNUMBER(Calculated_Ratios!N20),ISNUMBER(N20)),Calculated_Ratios!N20-N20,IF(AND(Calculated_Ratios!N20="",ISBLANK(N20)),0,"MISMATCH"))</f>
        <v>0</v>
      </c>
      <c r="AF20" s="0" t="n">
        <f aca="false">IF(AND(ISNUMBER(Calculated_Ratios!O20),ISNUMBER(O20)),Calculated_Ratios!O20-O20,IF(AND(Calculated_Ratios!O20="",ISBLANK(O20)),0,"MISMATCH"))</f>
        <v>0</v>
      </c>
      <c r="AG20" s="0" t="n">
        <f aca="false">IF(AND(ISNUMBER(Calculated_Ratios!P20),ISNUMBER(P20)),Calculated_Ratios!P20-P20,IF(AND(Calculated_Ratios!P20="",ISBLANK(P20)),0,"MISMATCH"))</f>
        <v>0</v>
      </c>
      <c r="AH20" s="0" t="n">
        <f aca="false">IF(AND(ISNUMBER(Calculated_Ratios!Q20),ISNUMBER(Q20)),Calculated_Ratios!Q20-Q20,IF(AND(Calculated_Ratios!Q20="",ISBLANK(Q20)),0,"MISMATCH"))</f>
        <v>0</v>
      </c>
      <c r="AI20" s="0" t="n">
        <f aca="false">IF(AND(ISNUMBER(Calculated_Ratios!R20),ISNUMBER(R20)),Calculated_Ratios!R20-R20,IF(AND(Calculated_Ratios!R20="",ISBLANK(R20)),0,"MISMATCH"))</f>
        <v>0</v>
      </c>
      <c r="AJ20" s="0" t="n">
        <f aca="false">IF(AND(ISNUMBER(Calculated_Ratios!S20),ISNUMBER(S20)),Calculated_Ratios!S20-S20,IF(AND(Calculated_Ratios!S20="",ISBLANK(S20)),0,"MISMATCH"))</f>
        <v>0</v>
      </c>
    </row>
    <row r="21" customFormat="false" ht="15" hidden="false" customHeight="false" outlineLevel="0" collapsed="false">
      <c r="A21" s="0" t="s">
        <v>100</v>
      </c>
      <c r="B21" s="0" t="n">
        <v>2020</v>
      </c>
      <c r="C21" s="0" t="n">
        <v>2088876</v>
      </c>
      <c r="D21" s="0" t="n">
        <v>0.387146005794504</v>
      </c>
      <c r="E21" s="0" t="n">
        <v>13.6607381310388</v>
      </c>
      <c r="F21" s="0" t="n">
        <v>-0.635317749832925</v>
      </c>
      <c r="G21" s="0" t="n">
        <v>11.2374155625655</v>
      </c>
      <c r="H21" s="0" t="n">
        <v>21.4390798448576</v>
      </c>
      <c r="I21" s="0" t="n">
        <v>0.438704834561745</v>
      </c>
      <c r="J21" s="0" t="n">
        <v>56.5957079978094</v>
      </c>
      <c r="K21" s="0" t="n">
        <v>19.8555967583275</v>
      </c>
      <c r="N21" s="0" t="n">
        <v>0.369824649976769</v>
      </c>
      <c r="O21" s="0" t="n">
        <v>86.3392618689613</v>
      </c>
      <c r="P21" s="0" t="n">
        <v>14.5979096037446</v>
      </c>
      <c r="Q21" s="0" t="n">
        <v>0</v>
      </c>
      <c r="R21" s="0" t="n">
        <v>0</v>
      </c>
      <c r="T21" s="0" t="n">
        <f aca="false">IF(AND(ISNUMBER(Calculated_Ratios!C21),ISNUMBER(C21)),Calculated_Ratios!C21-C21,IF(AND(Calculated_Ratios!C21="",ISBLANK(C21)),0,"MISMATCH"))</f>
        <v>0</v>
      </c>
      <c r="U21" s="0" t="n">
        <f aca="false">IF(AND(ISNUMBER(Calculated_Ratios!D21),ISNUMBER(D21)),Calculated_Ratios!D21-D21,IF(AND(Calculated_Ratios!D21="",ISBLANK(D21)),0,"MISMATCH"))</f>
        <v>0</v>
      </c>
      <c r="V21" s="0" t="n">
        <f aca="false">IF(AND(ISNUMBER(Calculated_Ratios!E21),ISNUMBER(E21)),Calculated_Ratios!E21-E21,IF(AND(Calculated_Ratios!E21="",ISBLANK(E21)),0,"MISMATCH"))</f>
        <v>0</v>
      </c>
      <c r="W21" s="0" t="n">
        <f aca="false">IF(AND(ISNUMBER(Calculated_Ratios!F21),ISNUMBER(F21)),Calculated_Ratios!F21-F21,IF(AND(Calculated_Ratios!F21="",ISBLANK(F21)),0,"MISMATCH"))</f>
        <v>0</v>
      </c>
      <c r="X21" s="0" t="n">
        <f aca="false">IF(AND(ISNUMBER(Calculated_Ratios!G21),ISNUMBER(G21)),Calculated_Ratios!G21-G21,IF(AND(Calculated_Ratios!G21="",ISBLANK(G21)),0,"MISMATCH"))</f>
        <v>0</v>
      </c>
      <c r="Y21" s="0" t="n">
        <f aca="false">IF(AND(ISNUMBER(Calculated_Ratios!H21),ISNUMBER(H21)),Calculated_Ratios!H21-H21,IF(AND(Calculated_Ratios!H21="",ISBLANK(H21)),0,"MISMATCH"))</f>
        <v>0</v>
      </c>
      <c r="Z21" s="0" t="n">
        <f aca="false">IF(AND(ISNUMBER(Calculated_Ratios!I21),ISNUMBER(I21)),Calculated_Ratios!I21-I21,IF(AND(Calculated_Ratios!I21="",ISBLANK(I21)),0,"MISMATCH"))</f>
        <v>0</v>
      </c>
      <c r="AA21" s="0" t="n">
        <f aca="false">IF(AND(ISNUMBER(Calculated_Ratios!J21),ISNUMBER(J21)),Calculated_Ratios!J21-J21,IF(AND(Calculated_Ratios!J21="",ISBLANK(J21)),0,"MISMATCH"))</f>
        <v>0</v>
      </c>
      <c r="AB21" s="0" t="n">
        <f aca="false">IF(AND(ISNUMBER(Calculated_Ratios!K21),ISNUMBER(K21)),Calculated_Ratios!K21-K21,IF(AND(Calculated_Ratios!K21="",ISBLANK(K21)),0,"MISMATCH"))</f>
        <v>0</v>
      </c>
      <c r="AC21" s="0" t="n">
        <f aca="false">IF(AND(ISNUMBER(Calculated_Ratios!L21),ISNUMBER(L21)),Calculated_Ratios!L21-L21,IF(AND(Calculated_Ratios!L21="",ISBLANK(L21)),0,"MISMATCH"))</f>
        <v>0</v>
      </c>
      <c r="AD21" s="0" t="n">
        <f aca="false">IF(AND(ISNUMBER(Calculated_Ratios!M21),ISNUMBER(M21)),Calculated_Ratios!M21-M21,IF(AND(Calculated_Ratios!M21="",ISBLANK(M21)),0,"MISMATCH"))</f>
        <v>0</v>
      </c>
      <c r="AE21" s="0" t="n">
        <f aca="false">IF(AND(ISNUMBER(Calculated_Ratios!N21),ISNUMBER(N21)),Calculated_Ratios!N21-N21,IF(AND(Calculated_Ratios!N21="",ISBLANK(N21)),0,"MISMATCH"))</f>
        <v>0</v>
      </c>
      <c r="AF21" s="0" t="n">
        <f aca="false">IF(AND(ISNUMBER(Calculated_Ratios!O21),ISNUMBER(O21)),Calculated_Ratios!O21-O21,IF(AND(Calculated_Ratios!O21="",ISBLANK(O21)),0,"MISMATCH"))</f>
        <v>0</v>
      </c>
      <c r="AG21" s="0" t="n">
        <f aca="false">IF(AND(ISNUMBER(Calculated_Ratios!P21),ISNUMBER(P21)),Calculated_Ratios!P21-P21,IF(AND(Calculated_Ratios!P21="",ISBLANK(P21)),0,"MISMATCH"))</f>
        <v>0</v>
      </c>
      <c r="AH21" s="0" t="n">
        <f aca="false">IF(AND(ISNUMBER(Calculated_Ratios!Q21),ISNUMBER(Q21)),Calculated_Ratios!Q21-Q21,IF(AND(Calculated_Ratios!Q21="",ISBLANK(Q21)),0,"MISMATCH"))</f>
        <v>0</v>
      </c>
      <c r="AI21" s="0" t="n">
        <f aca="false">IF(AND(ISNUMBER(Calculated_Ratios!R21),ISNUMBER(R21)),Calculated_Ratios!R21-R21,IF(AND(Calculated_Ratios!R21="",ISBLANK(R21)),0,"MISMATCH"))</f>
        <v>0</v>
      </c>
      <c r="AJ21" s="0" t="n">
        <f aca="false">IF(AND(ISNUMBER(Calculated_Ratios!S21),ISNUMBER(S21)),Calculated_Ratios!S21-S21,IF(AND(Calculated_Ratios!S21="",ISBLANK(S21)),0,"MISMATCH"))</f>
        <v>0</v>
      </c>
    </row>
    <row r="22" customFormat="false" ht="15" hidden="false" customHeight="false" outlineLevel="0" collapsed="false">
      <c r="A22" s="0" t="s">
        <v>100</v>
      </c>
      <c r="B22" s="0" t="n">
        <v>2021</v>
      </c>
      <c r="C22" s="0" t="n">
        <v>2330895</v>
      </c>
      <c r="D22" s="0" t="n">
        <v>0.418980691965962</v>
      </c>
      <c r="E22" s="0" t="n">
        <v>11.2633576544426</v>
      </c>
      <c r="F22" s="0" t="n">
        <v>-3.72131734805729</v>
      </c>
      <c r="G22" s="0" t="n">
        <v>8.75265718018152</v>
      </c>
      <c r="H22" s="0" t="n">
        <v>11.4800518957563</v>
      </c>
      <c r="I22" s="0" t="n">
        <v>0.302072808942488</v>
      </c>
      <c r="J22" s="0" t="n">
        <v>53.5404552799059</v>
      </c>
      <c r="K22" s="0" t="n">
        <v>16.3477451478947</v>
      </c>
      <c r="N22" s="0" t="n">
        <v>0.394573264126115</v>
      </c>
      <c r="O22" s="0" t="n">
        <v>88.7366423455575</v>
      </c>
      <c r="P22" s="0" t="n">
        <v>14.7217828726674</v>
      </c>
      <c r="Q22" s="0" t="n">
        <v>0</v>
      </c>
      <c r="R22" s="0" t="n">
        <v>0</v>
      </c>
      <c r="T22" s="0" t="n">
        <f aca="false">IF(AND(ISNUMBER(Calculated_Ratios!C22),ISNUMBER(C22)),Calculated_Ratios!C22-C22,IF(AND(Calculated_Ratios!C22="",ISBLANK(C22)),0,"MISMATCH"))</f>
        <v>0</v>
      </c>
      <c r="U22" s="0" t="n">
        <f aca="false">IF(AND(ISNUMBER(Calculated_Ratios!D22),ISNUMBER(D22)),Calculated_Ratios!D22-D22,IF(AND(Calculated_Ratios!D22="",ISBLANK(D22)),0,"MISMATCH"))</f>
        <v>0</v>
      </c>
      <c r="V22" s="0" t="n">
        <f aca="false">IF(AND(ISNUMBER(Calculated_Ratios!E22),ISNUMBER(E22)),Calculated_Ratios!E22-E22,IF(AND(Calculated_Ratios!E22="",ISBLANK(E22)),0,"MISMATCH"))</f>
        <v>0</v>
      </c>
      <c r="W22" s="0" t="n">
        <f aca="false">IF(AND(ISNUMBER(Calculated_Ratios!F22),ISNUMBER(F22)),Calculated_Ratios!F22-F22,IF(AND(Calculated_Ratios!F22="",ISBLANK(F22)),0,"MISMATCH"))</f>
        <v>0</v>
      </c>
      <c r="X22" s="0" t="n">
        <f aca="false">IF(AND(ISNUMBER(Calculated_Ratios!G22),ISNUMBER(G22)),Calculated_Ratios!G22-G22,IF(AND(Calculated_Ratios!G22="",ISBLANK(G22)),0,"MISMATCH"))</f>
        <v>0</v>
      </c>
      <c r="Y22" s="0" t="n">
        <f aca="false">IF(AND(ISNUMBER(Calculated_Ratios!H22),ISNUMBER(H22)),Calculated_Ratios!H22-H22,IF(AND(Calculated_Ratios!H22="",ISBLANK(H22)),0,"MISMATCH"))</f>
        <v>0</v>
      </c>
      <c r="Z22" s="0" t="n">
        <f aca="false">IF(AND(ISNUMBER(Calculated_Ratios!I22),ISNUMBER(I22)),Calculated_Ratios!I22-I22,IF(AND(Calculated_Ratios!I22="",ISBLANK(I22)),0,"MISMATCH"))</f>
        <v>0</v>
      </c>
      <c r="AA22" s="0" t="n">
        <f aca="false">IF(AND(ISNUMBER(Calculated_Ratios!J22),ISNUMBER(J22)),Calculated_Ratios!J22-J22,IF(AND(Calculated_Ratios!J22="",ISBLANK(J22)),0,"MISMATCH"))</f>
        <v>0</v>
      </c>
      <c r="AB22" s="0" t="n">
        <f aca="false">IF(AND(ISNUMBER(Calculated_Ratios!K22),ISNUMBER(K22)),Calculated_Ratios!K22-K22,IF(AND(Calculated_Ratios!K22="",ISBLANK(K22)),0,"MISMATCH"))</f>
        <v>0</v>
      </c>
      <c r="AC22" s="0" t="n">
        <f aca="false">IF(AND(ISNUMBER(Calculated_Ratios!L22),ISNUMBER(L22)),Calculated_Ratios!L22-L22,IF(AND(Calculated_Ratios!L22="",ISBLANK(L22)),0,"MISMATCH"))</f>
        <v>0</v>
      </c>
      <c r="AD22" s="0" t="n">
        <f aca="false">IF(AND(ISNUMBER(Calculated_Ratios!M22),ISNUMBER(M22)),Calculated_Ratios!M22-M22,IF(AND(Calculated_Ratios!M22="",ISBLANK(M22)),0,"MISMATCH"))</f>
        <v>0</v>
      </c>
      <c r="AE22" s="0" t="n">
        <f aca="false">IF(AND(ISNUMBER(Calculated_Ratios!N22),ISNUMBER(N22)),Calculated_Ratios!N22-N22,IF(AND(Calculated_Ratios!N22="",ISBLANK(N22)),0,"MISMATCH"))</f>
        <v>0</v>
      </c>
      <c r="AF22" s="0" t="n">
        <f aca="false">IF(AND(ISNUMBER(Calculated_Ratios!O22),ISNUMBER(O22)),Calculated_Ratios!O22-O22,IF(AND(Calculated_Ratios!O22="",ISBLANK(O22)),0,"MISMATCH"))</f>
        <v>0</v>
      </c>
      <c r="AG22" s="0" t="n">
        <f aca="false">IF(AND(ISNUMBER(Calculated_Ratios!P22),ISNUMBER(P22)),Calculated_Ratios!P22-P22,IF(AND(Calculated_Ratios!P22="",ISBLANK(P22)),0,"MISMATCH"))</f>
        <v>0</v>
      </c>
      <c r="AH22" s="0" t="n">
        <f aca="false">IF(AND(ISNUMBER(Calculated_Ratios!Q22),ISNUMBER(Q22)),Calculated_Ratios!Q22-Q22,IF(AND(Calculated_Ratios!Q22="",ISBLANK(Q22)),0,"MISMATCH"))</f>
        <v>0</v>
      </c>
      <c r="AI22" s="0" t="n">
        <f aca="false">IF(AND(ISNUMBER(Calculated_Ratios!R22),ISNUMBER(R22)),Calculated_Ratios!R22-R22,IF(AND(Calculated_Ratios!R22="",ISBLANK(R22)),0,"MISMATCH"))</f>
        <v>0</v>
      </c>
      <c r="AJ22" s="0" t="n">
        <f aca="false">IF(AND(ISNUMBER(Calculated_Ratios!S22),ISNUMBER(S22)),Calculated_Ratios!S22-S22,IF(AND(Calculated_Ratios!S22="",ISBLANK(S22)),0,"MISMATCH"))</f>
        <v>0</v>
      </c>
    </row>
    <row r="23" customFormat="false" ht="15" hidden="false" customHeight="false" outlineLevel="0" collapsed="false">
      <c r="A23" s="0" t="s">
        <v>100</v>
      </c>
      <c r="B23" s="0" t="n">
        <v>2022</v>
      </c>
      <c r="C23" s="0" t="n">
        <v>2696384</v>
      </c>
      <c r="D23" s="0" t="n">
        <v>0.385553392988536</v>
      </c>
      <c r="E23" s="0" t="n">
        <v>10.0974778326271</v>
      </c>
      <c r="F23" s="0" t="n">
        <v>-2.80531259642544</v>
      </c>
      <c r="G23" s="0" t="n">
        <v>5.2826752112482</v>
      </c>
      <c r="H23" s="0" t="n">
        <v>13.2720638696985</v>
      </c>
      <c r="I23" s="0" t="n">
        <v>0.459022157081484</v>
      </c>
      <c r="J23" s="0" t="n">
        <v>76.3588672463205</v>
      </c>
      <c r="K23" s="0" t="n">
        <v>6.91822102887829</v>
      </c>
      <c r="N23" s="0" t="n">
        <v>0.356309394181491</v>
      </c>
      <c r="O23" s="0" t="n">
        <v>89.9025221673729</v>
      </c>
      <c r="P23" s="0" t="n">
        <v>14.8863024225356</v>
      </c>
      <c r="Q23" s="0" t="n">
        <v>0</v>
      </c>
      <c r="R23" s="0" t="n">
        <v>0</v>
      </c>
      <c r="T23" s="0" t="n">
        <f aca="false">IF(AND(ISNUMBER(Calculated_Ratios!C23),ISNUMBER(C23)),Calculated_Ratios!C23-C23,IF(AND(Calculated_Ratios!C23="",ISBLANK(C23)),0,"MISMATCH"))</f>
        <v>0</v>
      </c>
      <c r="U23" s="0" t="n">
        <f aca="false">IF(AND(ISNUMBER(Calculated_Ratios!D23),ISNUMBER(D23)),Calculated_Ratios!D23-D23,IF(AND(Calculated_Ratios!D23="",ISBLANK(D23)),0,"MISMATCH"))</f>
        <v>0</v>
      </c>
      <c r="V23" s="0" t="n">
        <f aca="false">IF(AND(ISNUMBER(Calculated_Ratios!E23),ISNUMBER(E23)),Calculated_Ratios!E23-E23,IF(AND(Calculated_Ratios!E23="",ISBLANK(E23)),0,"MISMATCH"))</f>
        <v>0</v>
      </c>
      <c r="W23" s="0" t="n">
        <f aca="false">IF(AND(ISNUMBER(Calculated_Ratios!F23),ISNUMBER(F23)),Calculated_Ratios!F23-F23,IF(AND(Calculated_Ratios!F23="",ISBLANK(F23)),0,"MISMATCH"))</f>
        <v>0</v>
      </c>
      <c r="X23" s="0" t="n">
        <f aca="false">IF(AND(ISNUMBER(Calculated_Ratios!G23),ISNUMBER(G23)),Calculated_Ratios!G23-G23,IF(AND(Calculated_Ratios!G23="",ISBLANK(G23)),0,"MISMATCH"))</f>
        <v>0</v>
      </c>
      <c r="Y23" s="0" t="n">
        <f aca="false">IF(AND(ISNUMBER(Calculated_Ratios!H23),ISNUMBER(H23)),Calculated_Ratios!H23-H23,IF(AND(Calculated_Ratios!H23="",ISBLANK(H23)),0,"MISMATCH"))</f>
        <v>0</v>
      </c>
      <c r="Z23" s="0" t="n">
        <f aca="false">IF(AND(ISNUMBER(Calculated_Ratios!I23),ISNUMBER(I23)),Calculated_Ratios!I23-I23,IF(AND(Calculated_Ratios!I23="",ISBLANK(I23)),0,"MISMATCH"))</f>
        <v>0</v>
      </c>
      <c r="AA23" s="0" t="n">
        <f aca="false">IF(AND(ISNUMBER(Calculated_Ratios!J23),ISNUMBER(J23)),Calculated_Ratios!J23-J23,IF(AND(Calculated_Ratios!J23="",ISBLANK(J23)),0,"MISMATCH"))</f>
        <v>0</v>
      </c>
      <c r="AB23" s="0" t="n">
        <f aca="false">IF(AND(ISNUMBER(Calculated_Ratios!K23),ISNUMBER(K23)),Calculated_Ratios!K23-K23,IF(AND(Calculated_Ratios!K23="",ISBLANK(K23)),0,"MISMATCH"))</f>
        <v>0</v>
      </c>
      <c r="AC23" s="0" t="n">
        <f aca="false">IF(AND(ISNUMBER(Calculated_Ratios!L23),ISNUMBER(L23)),Calculated_Ratios!L23-L23,IF(AND(Calculated_Ratios!L23="",ISBLANK(L23)),0,"MISMATCH"))</f>
        <v>0</v>
      </c>
      <c r="AD23" s="0" t="n">
        <f aca="false">IF(AND(ISNUMBER(Calculated_Ratios!M23),ISNUMBER(M23)),Calculated_Ratios!M23-M23,IF(AND(Calculated_Ratios!M23="",ISBLANK(M23)),0,"MISMATCH"))</f>
        <v>0</v>
      </c>
      <c r="AE23" s="0" t="n">
        <f aca="false">IF(AND(ISNUMBER(Calculated_Ratios!N23),ISNUMBER(N23)),Calculated_Ratios!N23-N23,IF(AND(Calculated_Ratios!N23="",ISBLANK(N23)),0,"MISMATCH"))</f>
        <v>0</v>
      </c>
      <c r="AF23" s="0" t="n">
        <f aca="false">IF(AND(ISNUMBER(Calculated_Ratios!O23),ISNUMBER(O23)),Calculated_Ratios!O23-O23,IF(AND(Calculated_Ratios!O23="",ISBLANK(O23)),0,"MISMATCH"))</f>
        <v>0</v>
      </c>
      <c r="AG23" s="0" t="n">
        <f aca="false">IF(AND(ISNUMBER(Calculated_Ratios!P23),ISNUMBER(P23)),Calculated_Ratios!P23-P23,IF(AND(Calculated_Ratios!P23="",ISBLANK(P23)),0,"MISMATCH"))</f>
        <v>0</v>
      </c>
      <c r="AH23" s="0" t="n">
        <f aca="false">IF(AND(ISNUMBER(Calculated_Ratios!Q23),ISNUMBER(Q23)),Calculated_Ratios!Q23-Q23,IF(AND(Calculated_Ratios!Q23="",ISBLANK(Q23)),0,"MISMATCH"))</f>
        <v>0</v>
      </c>
      <c r="AI23" s="0" t="n">
        <f aca="false">IF(AND(ISNUMBER(Calculated_Ratios!R23),ISNUMBER(R23)),Calculated_Ratios!R23-R23,IF(AND(Calculated_Ratios!R23="",ISBLANK(R23)),0,"MISMATCH"))</f>
        <v>0</v>
      </c>
      <c r="AJ23" s="0" t="n">
        <f aca="false">IF(AND(ISNUMBER(Calculated_Ratios!S23),ISNUMBER(S23)),Calculated_Ratios!S23-S23,IF(AND(Calculated_Ratios!S23="",ISBLANK(S23)),0,"MISMATCH"))</f>
        <v>0</v>
      </c>
    </row>
    <row r="24" customFormat="false" ht="15" hidden="false" customHeight="false" outlineLevel="0" collapsed="false">
      <c r="A24" s="0" t="s">
        <v>115</v>
      </c>
      <c r="B24" s="0" t="n">
        <v>2013</v>
      </c>
      <c r="C24" s="0" t="n">
        <v>997788.5</v>
      </c>
      <c r="D24" s="0" t="n">
        <v>0.7738112836538</v>
      </c>
      <c r="E24" s="0" t="n">
        <v>15.1176868288235</v>
      </c>
      <c r="F24" s="0" t="n">
        <v>1.50813524108566</v>
      </c>
      <c r="G24" s="0" t="n">
        <v>3.74405002609291</v>
      </c>
      <c r="I24" s="0" t="n">
        <v>0.764691114399494</v>
      </c>
      <c r="N24" s="0" t="n">
        <v>0.714102719435599</v>
      </c>
      <c r="O24" s="0" t="n">
        <v>84.8823131711766</v>
      </c>
      <c r="P24" s="0" t="n">
        <v>13.8935978165313</v>
      </c>
      <c r="Q24" s="0" t="n">
        <v>0</v>
      </c>
      <c r="T24" s="0" t="n">
        <f aca="false">IF(AND(ISNUMBER(Calculated_Ratios!C24),ISNUMBER(C24)),Calculated_Ratios!C24-C24,IF(AND(Calculated_Ratios!C24="",ISBLANK(C24)),0,"MISMATCH"))</f>
        <v>0</v>
      </c>
      <c r="U24" s="0" t="n">
        <f aca="false">IF(AND(ISNUMBER(Calculated_Ratios!D24),ISNUMBER(D24)),Calculated_Ratios!D24-D24,IF(AND(Calculated_Ratios!D24="",ISBLANK(D24)),0,"MISMATCH"))</f>
        <v>0</v>
      </c>
      <c r="V24" s="0" t="n">
        <f aca="false">IF(AND(ISNUMBER(Calculated_Ratios!E24),ISNUMBER(E24)),Calculated_Ratios!E24-E24,IF(AND(Calculated_Ratios!E24="",ISBLANK(E24)),0,"MISMATCH"))</f>
        <v>0</v>
      </c>
      <c r="W24" s="0" t="n">
        <f aca="false">IF(AND(ISNUMBER(Calculated_Ratios!F24),ISNUMBER(F24)),Calculated_Ratios!F24-F24,IF(AND(Calculated_Ratios!F24="",ISBLANK(F24)),0,"MISMATCH"))</f>
        <v>0</v>
      </c>
      <c r="X24" s="0" t="n">
        <f aca="false">IF(AND(ISNUMBER(Calculated_Ratios!G24),ISNUMBER(G24)),Calculated_Ratios!G24-G24,IF(AND(Calculated_Ratios!G24="",ISBLANK(G24)),0,"MISMATCH"))</f>
        <v>0</v>
      </c>
      <c r="Y24" s="0" t="n">
        <f aca="false">IF(AND(ISNUMBER(Calculated_Ratios!H24),ISNUMBER(H24)),Calculated_Ratios!H24-H24,IF(AND(Calculated_Ratios!H24="",ISBLANK(H24)),0,"MISMATCH"))</f>
        <v>0</v>
      </c>
      <c r="Z24" s="0" t="n">
        <f aca="false">IF(AND(ISNUMBER(Calculated_Ratios!I24),ISNUMBER(I24)),Calculated_Ratios!I24-I24,IF(AND(Calculated_Ratios!I24="",ISBLANK(I24)),0,"MISMATCH"))</f>
        <v>0</v>
      </c>
      <c r="AA24" s="0" t="n">
        <f aca="false">IF(AND(ISNUMBER(Calculated_Ratios!J24),ISNUMBER(J24)),Calculated_Ratios!J24-J24,IF(AND(Calculated_Ratios!J24="",ISBLANK(J24)),0,"MISMATCH"))</f>
        <v>0</v>
      </c>
      <c r="AB24" s="0" t="n">
        <f aca="false">IF(AND(ISNUMBER(Calculated_Ratios!K24),ISNUMBER(K24)),Calculated_Ratios!K24-K24,IF(AND(Calculated_Ratios!K24="",ISBLANK(K24)),0,"MISMATCH"))</f>
        <v>0</v>
      </c>
      <c r="AC24" s="0" t="n">
        <f aca="false">IF(AND(ISNUMBER(Calculated_Ratios!L24),ISNUMBER(L24)),Calculated_Ratios!L24-L24,IF(AND(Calculated_Ratios!L24="",ISBLANK(L24)),0,"MISMATCH"))</f>
        <v>0</v>
      </c>
      <c r="AD24" s="0" t="n">
        <f aca="false">IF(AND(ISNUMBER(Calculated_Ratios!M24),ISNUMBER(M24)),Calculated_Ratios!M24-M24,IF(AND(Calculated_Ratios!M24="",ISBLANK(M24)),0,"MISMATCH"))</f>
        <v>0</v>
      </c>
      <c r="AE24" s="0" t="n">
        <f aca="false">IF(AND(ISNUMBER(Calculated_Ratios!N24),ISNUMBER(N24)),Calculated_Ratios!N24-N24,IF(AND(Calculated_Ratios!N24="",ISBLANK(N24)),0,"MISMATCH"))</f>
        <v>0</v>
      </c>
      <c r="AF24" s="0" t="n">
        <f aca="false">IF(AND(ISNUMBER(Calculated_Ratios!O24),ISNUMBER(O24)),Calculated_Ratios!O24-O24,IF(AND(Calculated_Ratios!O24="",ISBLANK(O24)),0,"MISMATCH"))</f>
        <v>0</v>
      </c>
      <c r="AG24" s="0" t="n">
        <f aca="false">IF(AND(ISNUMBER(Calculated_Ratios!P24),ISNUMBER(P24)),Calculated_Ratios!P24-P24,IF(AND(Calculated_Ratios!P24="",ISBLANK(P24)),0,"MISMATCH"))</f>
        <v>0</v>
      </c>
      <c r="AH24" s="0" t="n">
        <f aca="false">IF(AND(ISNUMBER(Calculated_Ratios!Q24),ISNUMBER(Q24)),Calculated_Ratios!Q24-Q24,IF(AND(Calculated_Ratios!Q24="",ISBLANK(Q24)),0,"MISMATCH"))</f>
        <v>0</v>
      </c>
      <c r="AI24" s="0" t="n">
        <f aca="false">IF(AND(ISNUMBER(Calculated_Ratios!R24),ISNUMBER(R24)),Calculated_Ratios!R24-R24,IF(AND(Calculated_Ratios!R24="",ISBLANK(R24)),0,"MISMATCH"))</f>
        <v>0</v>
      </c>
      <c r="AJ24" s="0" t="n">
        <f aca="false">IF(AND(ISNUMBER(Calculated_Ratios!S24),ISNUMBER(S24)),Calculated_Ratios!S24-S24,IF(AND(Calculated_Ratios!S24="",ISBLANK(S24)),0,"MISMATCH"))</f>
        <v>0</v>
      </c>
    </row>
    <row r="25" customFormat="false" ht="15" hidden="false" customHeight="false" outlineLevel="0" collapsed="false">
      <c r="A25" s="0" t="s">
        <v>115</v>
      </c>
      <c r="B25" s="0" t="n">
        <v>2014</v>
      </c>
      <c r="C25" s="0" t="n">
        <v>1134121</v>
      </c>
      <c r="D25" s="0" t="n">
        <v>1.21644868581042</v>
      </c>
      <c r="E25" s="0" t="n">
        <v>14.5836018617974</v>
      </c>
      <c r="F25" s="0" t="n">
        <v>4.72304101590571</v>
      </c>
      <c r="G25" s="0" t="n">
        <v>3.12105977604773</v>
      </c>
      <c r="H25" s="0" t="n">
        <v>24.2093077890319</v>
      </c>
      <c r="I25" s="0" t="n">
        <v>0.379677300746569</v>
      </c>
      <c r="N25" s="0" t="n">
        <v>1.16223331437838</v>
      </c>
      <c r="O25" s="0" t="n">
        <v>85.4163981382027</v>
      </c>
      <c r="P25" s="0" t="n">
        <v>13.9869607348696</v>
      </c>
      <c r="Q25" s="0" t="n">
        <v>0</v>
      </c>
      <c r="R25" s="0" t="n">
        <v>0</v>
      </c>
      <c r="T25" s="0" t="n">
        <f aca="false">IF(AND(ISNUMBER(Calculated_Ratios!C25),ISNUMBER(C25)),Calculated_Ratios!C25-C25,IF(AND(Calculated_Ratios!C25="",ISBLANK(C25)),0,"MISMATCH"))</f>
        <v>0</v>
      </c>
      <c r="U25" s="0" t="n">
        <f aca="false">IF(AND(ISNUMBER(Calculated_Ratios!D25),ISNUMBER(D25)),Calculated_Ratios!D25-D25,IF(AND(Calculated_Ratios!D25="",ISBLANK(D25)),0,"MISMATCH"))</f>
        <v>0</v>
      </c>
      <c r="V25" s="0" t="n">
        <f aca="false">IF(AND(ISNUMBER(Calculated_Ratios!E25),ISNUMBER(E25)),Calculated_Ratios!E25-E25,IF(AND(Calculated_Ratios!E25="",ISBLANK(E25)),0,"MISMATCH"))</f>
        <v>0</v>
      </c>
      <c r="W25" s="0" t="n">
        <f aca="false">IF(AND(ISNUMBER(Calculated_Ratios!F25),ISNUMBER(F25)),Calculated_Ratios!F25-F25,IF(AND(Calculated_Ratios!F25="",ISBLANK(F25)),0,"MISMATCH"))</f>
        <v>0</v>
      </c>
      <c r="X25" s="0" t="n">
        <f aca="false">IF(AND(ISNUMBER(Calculated_Ratios!G25),ISNUMBER(G25)),Calculated_Ratios!G25-G25,IF(AND(Calculated_Ratios!G25="",ISBLANK(G25)),0,"MISMATCH"))</f>
        <v>0</v>
      </c>
      <c r="Y25" s="0" t="n">
        <f aca="false">IF(AND(ISNUMBER(Calculated_Ratios!H25),ISNUMBER(H25)),Calculated_Ratios!H25-H25,IF(AND(Calculated_Ratios!H25="",ISBLANK(H25)),0,"MISMATCH"))</f>
        <v>0</v>
      </c>
      <c r="Z25" s="0" t="n">
        <f aca="false">IF(AND(ISNUMBER(Calculated_Ratios!I25),ISNUMBER(I25)),Calculated_Ratios!I25-I25,IF(AND(Calculated_Ratios!I25="",ISBLANK(I25)),0,"MISMATCH"))</f>
        <v>0</v>
      </c>
      <c r="AA25" s="0" t="n">
        <f aca="false">IF(AND(ISNUMBER(Calculated_Ratios!J25),ISNUMBER(J25)),Calculated_Ratios!J25-J25,IF(AND(Calculated_Ratios!J25="",ISBLANK(J25)),0,"MISMATCH"))</f>
        <v>0</v>
      </c>
      <c r="AB25" s="0" t="n">
        <f aca="false">IF(AND(ISNUMBER(Calculated_Ratios!K25),ISNUMBER(K25)),Calculated_Ratios!K25-K25,IF(AND(Calculated_Ratios!K25="",ISBLANK(K25)),0,"MISMATCH"))</f>
        <v>0</v>
      </c>
      <c r="AC25" s="0" t="n">
        <f aca="false">IF(AND(ISNUMBER(Calculated_Ratios!L25),ISNUMBER(L25)),Calculated_Ratios!L25-L25,IF(AND(Calculated_Ratios!L25="",ISBLANK(L25)),0,"MISMATCH"))</f>
        <v>0</v>
      </c>
      <c r="AD25" s="0" t="n">
        <f aca="false">IF(AND(ISNUMBER(Calculated_Ratios!M25),ISNUMBER(M25)),Calculated_Ratios!M25-M25,IF(AND(Calculated_Ratios!M25="",ISBLANK(M25)),0,"MISMATCH"))</f>
        <v>0</v>
      </c>
      <c r="AE25" s="0" t="n">
        <f aca="false">IF(AND(ISNUMBER(Calculated_Ratios!N25),ISNUMBER(N25)),Calculated_Ratios!N25-N25,IF(AND(Calculated_Ratios!N25="",ISBLANK(N25)),0,"MISMATCH"))</f>
        <v>0</v>
      </c>
      <c r="AF25" s="0" t="n">
        <f aca="false">IF(AND(ISNUMBER(Calculated_Ratios!O25),ISNUMBER(O25)),Calculated_Ratios!O25-O25,IF(AND(Calculated_Ratios!O25="",ISBLANK(O25)),0,"MISMATCH"))</f>
        <v>0</v>
      </c>
      <c r="AG25" s="0" t="n">
        <f aca="false">IF(AND(ISNUMBER(Calculated_Ratios!P25),ISNUMBER(P25)),Calculated_Ratios!P25-P25,IF(AND(Calculated_Ratios!P25="",ISBLANK(P25)),0,"MISMATCH"))</f>
        <v>0</v>
      </c>
      <c r="AH25" s="0" t="n">
        <f aca="false">IF(AND(ISNUMBER(Calculated_Ratios!Q25),ISNUMBER(Q25)),Calculated_Ratios!Q25-Q25,IF(AND(Calculated_Ratios!Q25="",ISBLANK(Q25)),0,"MISMATCH"))</f>
        <v>0</v>
      </c>
      <c r="AI25" s="0" t="n">
        <f aca="false">IF(AND(ISNUMBER(Calculated_Ratios!R25),ISNUMBER(R25)),Calculated_Ratios!R25-R25,IF(AND(Calculated_Ratios!R25="",ISBLANK(R25)),0,"MISMATCH"))</f>
        <v>0</v>
      </c>
      <c r="AJ25" s="0" t="n">
        <f aca="false">IF(AND(ISNUMBER(Calculated_Ratios!S25),ISNUMBER(S25)),Calculated_Ratios!S25-S25,IF(AND(Calculated_Ratios!S25="",ISBLANK(S25)),0,"MISMATCH"))</f>
        <v>0</v>
      </c>
    </row>
    <row r="26" customFormat="false" ht="15" hidden="false" customHeight="false" outlineLevel="0" collapsed="false">
      <c r="A26" s="0" t="s">
        <v>115</v>
      </c>
      <c r="B26" s="0" t="n">
        <v>2015</v>
      </c>
      <c r="C26" s="0" t="n">
        <v>1209373.5</v>
      </c>
      <c r="D26" s="0" t="n">
        <v>1.14968618048932</v>
      </c>
      <c r="E26" s="0" t="n">
        <v>14.8991412023168</v>
      </c>
      <c r="F26" s="0" t="n">
        <v>8.85847093557119</v>
      </c>
      <c r="G26" s="0" t="n">
        <v>3.46857480575247</v>
      </c>
      <c r="H26" s="0" t="n">
        <v>18.9311524392774</v>
      </c>
      <c r="I26" s="0" t="n">
        <v>0.476610410266142</v>
      </c>
      <c r="N26" s="0" t="n">
        <v>1.1288261474586</v>
      </c>
      <c r="O26" s="0" t="n">
        <v>85.1008587976832</v>
      </c>
      <c r="P26" s="0" t="n">
        <v>14.0239237482623</v>
      </c>
      <c r="Q26" s="0" t="n">
        <v>0</v>
      </c>
      <c r="R26" s="0" t="n">
        <v>-1</v>
      </c>
      <c r="T26" s="0" t="n">
        <f aca="false">IF(AND(ISNUMBER(Calculated_Ratios!C26),ISNUMBER(C26)),Calculated_Ratios!C26-C26,IF(AND(Calculated_Ratios!C26="",ISBLANK(C26)),0,"MISMATCH"))</f>
        <v>0</v>
      </c>
      <c r="U26" s="0" t="n">
        <f aca="false">IF(AND(ISNUMBER(Calculated_Ratios!D26),ISNUMBER(D26)),Calculated_Ratios!D26-D26,IF(AND(Calculated_Ratios!D26="",ISBLANK(D26)),0,"MISMATCH"))</f>
        <v>0</v>
      </c>
      <c r="V26" s="0" t="n">
        <f aca="false">IF(AND(ISNUMBER(Calculated_Ratios!E26),ISNUMBER(E26)),Calculated_Ratios!E26-E26,IF(AND(Calculated_Ratios!E26="",ISBLANK(E26)),0,"MISMATCH"))</f>
        <v>0</v>
      </c>
      <c r="W26" s="0" t="n">
        <f aca="false">IF(AND(ISNUMBER(Calculated_Ratios!F26),ISNUMBER(F26)),Calculated_Ratios!F26-F26,IF(AND(Calculated_Ratios!F26="",ISBLANK(F26)),0,"MISMATCH"))</f>
        <v>0</v>
      </c>
      <c r="X26" s="0" t="n">
        <f aca="false">IF(AND(ISNUMBER(Calculated_Ratios!G26),ISNUMBER(G26)),Calculated_Ratios!G26-G26,IF(AND(Calculated_Ratios!G26="",ISBLANK(G26)),0,"MISMATCH"))</f>
        <v>0</v>
      </c>
      <c r="Y26" s="0" t="n">
        <f aca="false">IF(AND(ISNUMBER(Calculated_Ratios!H26),ISNUMBER(H26)),Calculated_Ratios!H26-H26,IF(AND(Calculated_Ratios!H26="",ISBLANK(H26)),0,"MISMATCH"))</f>
        <v>0</v>
      </c>
      <c r="Z26" s="0" t="n">
        <f aca="false">IF(AND(ISNUMBER(Calculated_Ratios!I26),ISNUMBER(I26)),Calculated_Ratios!I26-I26,IF(AND(Calculated_Ratios!I26="",ISBLANK(I26)),0,"MISMATCH"))</f>
        <v>0</v>
      </c>
      <c r="AA26" s="0" t="n">
        <f aca="false">IF(AND(ISNUMBER(Calculated_Ratios!J26),ISNUMBER(J26)),Calculated_Ratios!J26-J26,IF(AND(Calculated_Ratios!J26="",ISBLANK(J26)),0,"MISMATCH"))</f>
        <v>0</v>
      </c>
      <c r="AB26" s="0" t="n">
        <f aca="false">IF(AND(ISNUMBER(Calculated_Ratios!K26),ISNUMBER(K26)),Calculated_Ratios!K26-K26,IF(AND(Calculated_Ratios!K26="",ISBLANK(K26)),0,"MISMATCH"))</f>
        <v>0</v>
      </c>
      <c r="AC26" s="0" t="n">
        <f aca="false">IF(AND(ISNUMBER(Calculated_Ratios!L26),ISNUMBER(L26)),Calculated_Ratios!L26-L26,IF(AND(Calculated_Ratios!L26="",ISBLANK(L26)),0,"MISMATCH"))</f>
        <v>0</v>
      </c>
      <c r="AD26" s="0" t="n">
        <f aca="false">IF(AND(ISNUMBER(Calculated_Ratios!M26),ISNUMBER(M26)),Calculated_Ratios!M26-M26,IF(AND(Calculated_Ratios!M26="",ISBLANK(M26)),0,"MISMATCH"))</f>
        <v>0</v>
      </c>
      <c r="AE26" s="0" t="n">
        <f aca="false">IF(AND(ISNUMBER(Calculated_Ratios!N26),ISNUMBER(N26)),Calculated_Ratios!N26-N26,IF(AND(Calculated_Ratios!N26="",ISBLANK(N26)),0,"MISMATCH"))</f>
        <v>0</v>
      </c>
      <c r="AF26" s="0" t="n">
        <f aca="false">IF(AND(ISNUMBER(Calculated_Ratios!O26),ISNUMBER(O26)),Calculated_Ratios!O26-O26,IF(AND(Calculated_Ratios!O26="",ISBLANK(O26)),0,"MISMATCH"))</f>
        <v>0</v>
      </c>
      <c r="AG26" s="0" t="n">
        <f aca="false">IF(AND(ISNUMBER(Calculated_Ratios!P26),ISNUMBER(P26)),Calculated_Ratios!P26-P26,IF(AND(Calculated_Ratios!P26="",ISBLANK(P26)),0,"MISMATCH"))</f>
        <v>0</v>
      </c>
      <c r="AH26" s="0" t="n">
        <f aca="false">IF(AND(ISNUMBER(Calculated_Ratios!Q26),ISNUMBER(Q26)),Calculated_Ratios!Q26-Q26,IF(AND(Calculated_Ratios!Q26="",ISBLANK(Q26)),0,"MISMATCH"))</f>
        <v>0</v>
      </c>
      <c r="AI26" s="0" t="n">
        <f aca="false">IF(AND(ISNUMBER(Calculated_Ratios!R26),ISNUMBER(R26)),Calculated_Ratios!R26-R26,IF(AND(Calculated_Ratios!R26="",ISBLANK(R26)),0,"MISMATCH"))</f>
        <v>0</v>
      </c>
      <c r="AJ26" s="0" t="n">
        <f aca="false">IF(AND(ISNUMBER(Calculated_Ratios!S26),ISNUMBER(S26)),Calculated_Ratios!S26-S26,IF(AND(Calculated_Ratios!S26="",ISBLANK(S26)),0,"MISMATCH"))</f>
        <v>0</v>
      </c>
    </row>
    <row r="27" customFormat="false" ht="15" hidden="false" customHeight="false" outlineLevel="0" collapsed="false">
      <c r="A27" s="0" t="s">
        <v>115</v>
      </c>
      <c r="B27" s="0" t="n">
        <v>2016</v>
      </c>
      <c r="C27" s="0" t="n">
        <v>1264931.5</v>
      </c>
      <c r="D27" s="0" t="n">
        <v>0.76952783609231</v>
      </c>
      <c r="E27" s="0" t="n">
        <v>14.2821157331908</v>
      </c>
      <c r="F27" s="0" t="n">
        <v>-4.49882068712812</v>
      </c>
      <c r="G27" s="0" t="n">
        <v>3.32638066530305</v>
      </c>
      <c r="H27" s="0" t="n">
        <v>17.2995050331296</v>
      </c>
      <c r="I27" s="0" t="n">
        <v>0.685491664963676</v>
      </c>
      <c r="N27" s="0" t="n">
        <v>0.749841504120123</v>
      </c>
      <c r="O27" s="0" t="n">
        <v>85.7178842668092</v>
      </c>
      <c r="P27" s="0" t="n">
        <v>14.076443799006</v>
      </c>
      <c r="Q27" s="0" t="n">
        <v>0</v>
      </c>
      <c r="R27" s="0" t="n">
        <v>0</v>
      </c>
      <c r="T27" s="0" t="n">
        <f aca="false">IF(AND(ISNUMBER(Calculated_Ratios!C27),ISNUMBER(C27)),Calculated_Ratios!C27-C27,IF(AND(Calculated_Ratios!C27="",ISBLANK(C27)),0,"MISMATCH"))</f>
        <v>0</v>
      </c>
      <c r="U27" s="0" t="n">
        <f aca="false">IF(AND(ISNUMBER(Calculated_Ratios!D27),ISNUMBER(D27)),Calculated_Ratios!D27-D27,IF(AND(Calculated_Ratios!D27="",ISBLANK(D27)),0,"MISMATCH"))</f>
        <v>0</v>
      </c>
      <c r="V27" s="0" t="n">
        <f aca="false">IF(AND(ISNUMBER(Calculated_Ratios!E27),ISNUMBER(E27)),Calculated_Ratios!E27-E27,IF(AND(Calculated_Ratios!E27="",ISBLANK(E27)),0,"MISMATCH"))</f>
        <v>0</v>
      </c>
      <c r="W27" s="0" t="n">
        <f aca="false">IF(AND(ISNUMBER(Calculated_Ratios!F27),ISNUMBER(F27)),Calculated_Ratios!F27-F27,IF(AND(Calculated_Ratios!F27="",ISBLANK(F27)),0,"MISMATCH"))</f>
        <v>0</v>
      </c>
      <c r="X27" s="0" t="n">
        <f aca="false">IF(AND(ISNUMBER(Calculated_Ratios!G27),ISNUMBER(G27)),Calculated_Ratios!G27-G27,IF(AND(Calculated_Ratios!G27="",ISBLANK(G27)),0,"MISMATCH"))</f>
        <v>0</v>
      </c>
      <c r="Y27" s="0" t="n">
        <f aca="false">IF(AND(ISNUMBER(Calculated_Ratios!H27),ISNUMBER(H27)),Calculated_Ratios!H27-H27,IF(AND(Calculated_Ratios!H27="",ISBLANK(H27)),0,"MISMATCH"))</f>
        <v>0</v>
      </c>
      <c r="Z27" s="0" t="n">
        <f aca="false">IF(AND(ISNUMBER(Calculated_Ratios!I27),ISNUMBER(I27)),Calculated_Ratios!I27-I27,IF(AND(Calculated_Ratios!I27="",ISBLANK(I27)),0,"MISMATCH"))</f>
        <v>0</v>
      </c>
      <c r="AA27" s="0" t="n">
        <f aca="false">IF(AND(ISNUMBER(Calculated_Ratios!J27),ISNUMBER(J27)),Calculated_Ratios!J27-J27,IF(AND(Calculated_Ratios!J27="",ISBLANK(J27)),0,"MISMATCH"))</f>
        <v>0</v>
      </c>
      <c r="AB27" s="0" t="n">
        <f aca="false">IF(AND(ISNUMBER(Calculated_Ratios!K27),ISNUMBER(K27)),Calculated_Ratios!K27-K27,IF(AND(Calculated_Ratios!K27="",ISBLANK(K27)),0,"MISMATCH"))</f>
        <v>0</v>
      </c>
      <c r="AC27" s="0" t="n">
        <f aca="false">IF(AND(ISNUMBER(Calculated_Ratios!L27),ISNUMBER(L27)),Calculated_Ratios!L27-L27,IF(AND(Calculated_Ratios!L27="",ISBLANK(L27)),0,"MISMATCH"))</f>
        <v>0</v>
      </c>
      <c r="AD27" s="0" t="n">
        <f aca="false">IF(AND(ISNUMBER(Calculated_Ratios!M27),ISNUMBER(M27)),Calculated_Ratios!M27-M27,IF(AND(Calculated_Ratios!M27="",ISBLANK(M27)),0,"MISMATCH"))</f>
        <v>0</v>
      </c>
      <c r="AE27" s="0" t="n">
        <f aca="false">IF(AND(ISNUMBER(Calculated_Ratios!N27),ISNUMBER(N27)),Calculated_Ratios!N27-N27,IF(AND(Calculated_Ratios!N27="",ISBLANK(N27)),0,"MISMATCH"))</f>
        <v>0</v>
      </c>
      <c r="AF27" s="0" t="n">
        <f aca="false">IF(AND(ISNUMBER(Calculated_Ratios!O27),ISNUMBER(O27)),Calculated_Ratios!O27-O27,IF(AND(Calculated_Ratios!O27="",ISBLANK(O27)),0,"MISMATCH"))</f>
        <v>0</v>
      </c>
      <c r="AG27" s="0" t="n">
        <f aca="false">IF(AND(ISNUMBER(Calculated_Ratios!P27),ISNUMBER(P27)),Calculated_Ratios!P27-P27,IF(AND(Calculated_Ratios!P27="",ISBLANK(P27)),0,"MISMATCH"))</f>
        <v>0</v>
      </c>
      <c r="AH27" s="0" t="n">
        <f aca="false">IF(AND(ISNUMBER(Calculated_Ratios!Q27),ISNUMBER(Q27)),Calculated_Ratios!Q27-Q27,IF(AND(Calculated_Ratios!Q27="",ISBLANK(Q27)),0,"MISMATCH"))</f>
        <v>0</v>
      </c>
      <c r="AI27" s="0" t="n">
        <f aca="false">IF(AND(ISNUMBER(Calculated_Ratios!R27),ISNUMBER(R27)),Calculated_Ratios!R27-R27,IF(AND(Calculated_Ratios!R27="",ISBLANK(R27)),0,"MISMATCH"))</f>
        <v>0</v>
      </c>
      <c r="AJ27" s="0" t="n">
        <f aca="false">IF(AND(ISNUMBER(Calculated_Ratios!S27),ISNUMBER(S27)),Calculated_Ratios!S27-S27,IF(AND(Calculated_Ratios!S27="",ISBLANK(S27)),0,"MISMATCH"))</f>
        <v>0</v>
      </c>
    </row>
    <row r="28" customFormat="false" ht="15" hidden="false" customHeight="false" outlineLevel="0" collapsed="false">
      <c r="A28" s="0" t="s">
        <v>115</v>
      </c>
      <c r="B28" s="0" t="n">
        <v>2017</v>
      </c>
      <c r="C28" s="0" t="n">
        <v>1338677.5</v>
      </c>
      <c r="D28" s="0" t="n">
        <v>1.40862903873412</v>
      </c>
      <c r="E28" s="0" t="n">
        <v>14.7413671844978</v>
      </c>
      <c r="F28" s="0" t="n">
        <v>-2.84056466176506</v>
      </c>
      <c r="G28" s="0" t="n">
        <v>3.34182053651698</v>
      </c>
      <c r="H28" s="0" t="n">
        <v>16.0299646223675</v>
      </c>
      <c r="I28" s="0" t="n">
        <v>0.84523718371303</v>
      </c>
      <c r="N28" s="0" t="n">
        <v>1.36722800087586</v>
      </c>
      <c r="O28" s="0" t="n">
        <v>85.2586328155022</v>
      </c>
      <c r="P28" s="0" t="n">
        <v>14.1370243296521</v>
      </c>
      <c r="Q28" s="0" t="n">
        <v>0</v>
      </c>
      <c r="R28" s="0" t="n">
        <v>0</v>
      </c>
      <c r="T28" s="0" t="n">
        <f aca="false">IF(AND(ISNUMBER(Calculated_Ratios!C28),ISNUMBER(C28)),Calculated_Ratios!C28-C28,IF(AND(Calculated_Ratios!C28="",ISBLANK(C28)),0,"MISMATCH"))</f>
        <v>0</v>
      </c>
      <c r="U28" s="0" t="n">
        <f aca="false">IF(AND(ISNUMBER(Calculated_Ratios!D28),ISNUMBER(D28)),Calculated_Ratios!D28-D28,IF(AND(Calculated_Ratios!D28="",ISBLANK(D28)),0,"MISMATCH"))</f>
        <v>0</v>
      </c>
      <c r="V28" s="0" t="n">
        <f aca="false">IF(AND(ISNUMBER(Calculated_Ratios!E28),ISNUMBER(E28)),Calculated_Ratios!E28-E28,IF(AND(Calculated_Ratios!E28="",ISBLANK(E28)),0,"MISMATCH"))</f>
        <v>0</v>
      </c>
      <c r="W28" s="0" t="n">
        <f aca="false">IF(AND(ISNUMBER(Calculated_Ratios!F28),ISNUMBER(F28)),Calculated_Ratios!F28-F28,IF(AND(Calculated_Ratios!F28="",ISBLANK(F28)),0,"MISMATCH"))</f>
        <v>0</v>
      </c>
      <c r="X28" s="0" t="n">
        <f aca="false">IF(AND(ISNUMBER(Calculated_Ratios!G28),ISNUMBER(G28)),Calculated_Ratios!G28-G28,IF(AND(Calculated_Ratios!G28="",ISBLANK(G28)),0,"MISMATCH"))</f>
        <v>0</v>
      </c>
      <c r="Y28" s="0" t="n">
        <f aca="false">IF(AND(ISNUMBER(Calculated_Ratios!H28),ISNUMBER(H28)),Calculated_Ratios!H28-H28,IF(AND(Calculated_Ratios!H28="",ISBLANK(H28)),0,"MISMATCH"))</f>
        <v>0</v>
      </c>
      <c r="Z28" s="0" t="n">
        <f aca="false">IF(AND(ISNUMBER(Calculated_Ratios!I28),ISNUMBER(I28)),Calculated_Ratios!I28-I28,IF(AND(Calculated_Ratios!I28="",ISBLANK(I28)),0,"MISMATCH"))</f>
        <v>0</v>
      </c>
      <c r="AA28" s="0" t="n">
        <f aca="false">IF(AND(ISNUMBER(Calculated_Ratios!J28),ISNUMBER(J28)),Calculated_Ratios!J28-J28,IF(AND(Calculated_Ratios!J28="",ISBLANK(J28)),0,"MISMATCH"))</f>
        <v>0</v>
      </c>
      <c r="AB28" s="0" t="n">
        <f aca="false">IF(AND(ISNUMBER(Calculated_Ratios!K28),ISNUMBER(K28)),Calculated_Ratios!K28-K28,IF(AND(Calculated_Ratios!K28="",ISBLANK(K28)),0,"MISMATCH"))</f>
        <v>0</v>
      </c>
      <c r="AC28" s="0" t="n">
        <f aca="false">IF(AND(ISNUMBER(Calculated_Ratios!L28),ISNUMBER(L28)),Calculated_Ratios!L28-L28,IF(AND(Calculated_Ratios!L28="",ISBLANK(L28)),0,"MISMATCH"))</f>
        <v>0</v>
      </c>
      <c r="AD28" s="0" t="n">
        <f aca="false">IF(AND(ISNUMBER(Calculated_Ratios!M28),ISNUMBER(M28)),Calculated_Ratios!M28-M28,IF(AND(Calculated_Ratios!M28="",ISBLANK(M28)),0,"MISMATCH"))</f>
        <v>0</v>
      </c>
      <c r="AE28" s="0" t="n">
        <f aca="false">IF(AND(ISNUMBER(Calculated_Ratios!N28),ISNUMBER(N28)),Calculated_Ratios!N28-N28,IF(AND(Calculated_Ratios!N28="",ISBLANK(N28)),0,"MISMATCH"))</f>
        <v>0</v>
      </c>
      <c r="AF28" s="0" t="n">
        <f aca="false">IF(AND(ISNUMBER(Calculated_Ratios!O28),ISNUMBER(O28)),Calculated_Ratios!O28-O28,IF(AND(Calculated_Ratios!O28="",ISBLANK(O28)),0,"MISMATCH"))</f>
        <v>0</v>
      </c>
      <c r="AG28" s="0" t="n">
        <f aca="false">IF(AND(ISNUMBER(Calculated_Ratios!P28),ISNUMBER(P28)),Calculated_Ratios!P28-P28,IF(AND(Calculated_Ratios!P28="",ISBLANK(P28)),0,"MISMATCH"))</f>
        <v>0</v>
      </c>
      <c r="AH28" s="0" t="n">
        <f aca="false">IF(AND(ISNUMBER(Calculated_Ratios!Q28),ISNUMBER(Q28)),Calculated_Ratios!Q28-Q28,IF(AND(Calculated_Ratios!Q28="",ISBLANK(Q28)),0,"MISMATCH"))</f>
        <v>0</v>
      </c>
      <c r="AI28" s="0" t="n">
        <f aca="false">IF(AND(ISNUMBER(Calculated_Ratios!R28),ISNUMBER(R28)),Calculated_Ratios!R28-R28,IF(AND(Calculated_Ratios!R28="",ISBLANK(R28)),0,"MISMATCH"))</f>
        <v>0</v>
      </c>
      <c r="AJ28" s="0" t="n">
        <f aca="false">IF(AND(ISNUMBER(Calculated_Ratios!S28),ISNUMBER(S28)),Calculated_Ratios!S28-S28,IF(AND(Calculated_Ratios!S28="",ISBLANK(S28)),0,"MISMATCH"))</f>
        <v>0</v>
      </c>
    </row>
    <row r="29" customFormat="false" ht="15" hidden="false" customHeight="false" outlineLevel="0" collapsed="false">
      <c r="A29" s="0" t="s">
        <v>115</v>
      </c>
      <c r="B29" s="0" t="n">
        <v>2018</v>
      </c>
      <c r="E29" s="0" t="n">
        <v>11.3040247505208</v>
      </c>
      <c r="N29" s="0" t="n">
        <v>1.33299765158444</v>
      </c>
      <c r="O29" s="0" t="n">
        <v>88.6959752494792</v>
      </c>
      <c r="P29" s="0" t="n">
        <v>14.3577668232201</v>
      </c>
      <c r="Q29" s="0" t="n">
        <v>0</v>
      </c>
      <c r="T29" s="0" t="n">
        <f aca="false">IF(AND(ISNUMBER(Calculated_Ratios!C29),ISNUMBER(C29)),Calculated_Ratios!C29-C29,IF(AND(Calculated_Ratios!C29="",ISBLANK(C29)),0,"MISMATCH"))</f>
        <v>0</v>
      </c>
      <c r="U29" s="0" t="n">
        <f aca="false">IF(AND(ISNUMBER(Calculated_Ratios!D29),ISNUMBER(D29)),Calculated_Ratios!D29-D29,IF(AND(Calculated_Ratios!D29="",ISBLANK(D29)),0,"MISMATCH"))</f>
        <v>0</v>
      </c>
      <c r="V29" s="0" t="n">
        <f aca="false">IF(AND(ISNUMBER(Calculated_Ratios!E29),ISNUMBER(E29)),Calculated_Ratios!E29-E29,IF(AND(Calculated_Ratios!E29="",ISBLANK(E29)),0,"MISMATCH"))</f>
        <v>0</v>
      </c>
      <c r="W29" s="0" t="n">
        <f aca="false">IF(AND(ISNUMBER(Calculated_Ratios!F29),ISNUMBER(F29)),Calculated_Ratios!F29-F29,IF(AND(Calculated_Ratios!F29="",ISBLANK(F29)),0,"MISMATCH"))</f>
        <v>0</v>
      </c>
      <c r="X29" s="0" t="n">
        <f aca="false">IF(AND(ISNUMBER(Calculated_Ratios!G29),ISNUMBER(G29)),Calculated_Ratios!G29-G29,IF(AND(Calculated_Ratios!G29="",ISBLANK(G29)),0,"MISMATCH"))</f>
        <v>0</v>
      </c>
      <c r="Y29" s="0" t="n">
        <f aca="false">IF(AND(ISNUMBER(Calculated_Ratios!H29),ISNUMBER(H29)),Calculated_Ratios!H29-H29,IF(AND(Calculated_Ratios!H29="",ISBLANK(H29)),0,"MISMATCH"))</f>
        <v>0</v>
      </c>
      <c r="Z29" s="0" t="n">
        <f aca="false">IF(AND(ISNUMBER(Calculated_Ratios!I29),ISNUMBER(I29)),Calculated_Ratios!I29-I29,IF(AND(Calculated_Ratios!I29="",ISBLANK(I29)),0,"MISMATCH"))</f>
        <v>0</v>
      </c>
      <c r="AA29" s="0" t="n">
        <f aca="false">IF(AND(ISNUMBER(Calculated_Ratios!J29),ISNUMBER(J29)),Calculated_Ratios!J29-J29,IF(AND(Calculated_Ratios!J29="",ISBLANK(J29)),0,"MISMATCH"))</f>
        <v>0</v>
      </c>
      <c r="AB29" s="0" t="n">
        <f aca="false">IF(AND(ISNUMBER(Calculated_Ratios!K29),ISNUMBER(K29)),Calculated_Ratios!K29-K29,IF(AND(Calculated_Ratios!K29="",ISBLANK(K29)),0,"MISMATCH"))</f>
        <v>0</v>
      </c>
      <c r="AC29" s="0" t="n">
        <f aca="false">IF(AND(ISNUMBER(Calculated_Ratios!L29),ISNUMBER(L29)),Calculated_Ratios!L29-L29,IF(AND(Calculated_Ratios!L29="",ISBLANK(L29)),0,"MISMATCH"))</f>
        <v>0</v>
      </c>
      <c r="AD29" s="0" t="n">
        <f aca="false">IF(AND(ISNUMBER(Calculated_Ratios!M29),ISNUMBER(M29)),Calculated_Ratios!M29-M29,IF(AND(Calculated_Ratios!M29="",ISBLANK(M29)),0,"MISMATCH"))</f>
        <v>0</v>
      </c>
      <c r="AE29" s="0" t="n">
        <f aca="false">IF(AND(ISNUMBER(Calculated_Ratios!N29),ISNUMBER(N29)),Calculated_Ratios!N29-N29,IF(AND(Calculated_Ratios!N29="",ISBLANK(N29)),0,"MISMATCH"))</f>
        <v>0</v>
      </c>
      <c r="AF29" s="0" t="n">
        <f aca="false">IF(AND(ISNUMBER(Calculated_Ratios!O29),ISNUMBER(O29)),Calculated_Ratios!O29-O29,IF(AND(Calculated_Ratios!O29="",ISBLANK(O29)),0,"MISMATCH"))</f>
        <v>0</v>
      </c>
      <c r="AG29" s="0" t="n">
        <f aca="false">IF(AND(ISNUMBER(Calculated_Ratios!P29),ISNUMBER(P29)),Calculated_Ratios!P29-P29,IF(AND(Calculated_Ratios!P29="",ISBLANK(P29)),0,"MISMATCH"))</f>
        <v>0</v>
      </c>
      <c r="AH29" s="0" t="n">
        <f aca="false">IF(AND(ISNUMBER(Calculated_Ratios!Q29),ISNUMBER(Q29)),Calculated_Ratios!Q29-Q29,IF(AND(Calculated_Ratios!Q29="",ISBLANK(Q29)),0,"MISMATCH"))</f>
        <v>0</v>
      </c>
      <c r="AI29" s="0" t="n">
        <f aca="false">IF(AND(ISNUMBER(Calculated_Ratios!R29),ISNUMBER(R29)),Calculated_Ratios!R29-R29,IF(AND(Calculated_Ratios!R29="",ISBLANK(R29)),0,"MISMATCH"))</f>
        <v>0</v>
      </c>
      <c r="AJ29" s="0" t="n">
        <f aca="false">IF(AND(ISNUMBER(Calculated_Ratios!S29),ISNUMBER(S29)),Calculated_Ratios!S29-S29,IF(AND(Calculated_Ratios!S29="",ISBLANK(S29)),0,"MISMATCH"))</f>
        <v>0</v>
      </c>
    </row>
    <row r="30" customFormat="false" ht="15" hidden="false" customHeight="false" outlineLevel="0" collapsed="false">
      <c r="A30" s="0" t="s">
        <v>115</v>
      </c>
      <c r="B30" s="0" t="n">
        <v>2019</v>
      </c>
      <c r="C30" s="0" t="n">
        <v>1916960</v>
      </c>
      <c r="D30" s="0" t="n">
        <v>1.48281654285953</v>
      </c>
      <c r="E30" s="0" t="n">
        <v>11.0702887413986</v>
      </c>
      <c r="I30" s="0" t="n">
        <v>-0.276062098322344</v>
      </c>
      <c r="N30" s="0" t="n">
        <v>1.3445838459781</v>
      </c>
      <c r="O30" s="0" t="n">
        <v>88.9297112586014</v>
      </c>
      <c r="P30" s="0" t="n">
        <v>14.5641099476243</v>
      </c>
      <c r="Q30" s="0" t="n">
        <v>0</v>
      </c>
      <c r="T30" s="0" t="n">
        <f aca="false">IF(AND(ISNUMBER(Calculated_Ratios!C30),ISNUMBER(C30)),Calculated_Ratios!C30-C30,IF(AND(Calculated_Ratios!C30="",ISBLANK(C30)),0,"MISMATCH"))</f>
        <v>0</v>
      </c>
      <c r="U30" s="0" t="n">
        <f aca="false">IF(AND(ISNUMBER(Calculated_Ratios!D30),ISNUMBER(D30)),Calculated_Ratios!D30-D30,IF(AND(Calculated_Ratios!D30="",ISBLANK(D30)),0,"MISMATCH"))</f>
        <v>0</v>
      </c>
      <c r="V30" s="0" t="n">
        <f aca="false">IF(AND(ISNUMBER(Calculated_Ratios!E30),ISNUMBER(E30)),Calculated_Ratios!E30-E30,IF(AND(Calculated_Ratios!E30="",ISBLANK(E30)),0,"MISMATCH"))</f>
        <v>0</v>
      </c>
      <c r="W30" s="0" t="n">
        <f aca="false">IF(AND(ISNUMBER(Calculated_Ratios!F30),ISNUMBER(F30)),Calculated_Ratios!F30-F30,IF(AND(Calculated_Ratios!F30="",ISBLANK(F30)),0,"MISMATCH"))</f>
        <v>0</v>
      </c>
      <c r="X30" s="0" t="n">
        <f aca="false">IF(AND(ISNUMBER(Calculated_Ratios!G30),ISNUMBER(G30)),Calculated_Ratios!G30-G30,IF(AND(Calculated_Ratios!G30="",ISBLANK(G30)),0,"MISMATCH"))</f>
        <v>0</v>
      </c>
      <c r="Y30" s="0" t="n">
        <f aca="false">IF(AND(ISNUMBER(Calculated_Ratios!H30),ISNUMBER(H30)),Calculated_Ratios!H30-H30,IF(AND(Calculated_Ratios!H30="",ISBLANK(H30)),0,"MISMATCH"))</f>
        <v>0</v>
      </c>
      <c r="Z30" s="0" t="n">
        <f aca="false">IF(AND(ISNUMBER(Calculated_Ratios!I30),ISNUMBER(I30)),Calculated_Ratios!I30-I30,IF(AND(Calculated_Ratios!I30="",ISBLANK(I30)),0,"MISMATCH"))</f>
        <v>0</v>
      </c>
      <c r="AA30" s="0" t="n">
        <f aca="false">IF(AND(ISNUMBER(Calculated_Ratios!J30),ISNUMBER(J30)),Calculated_Ratios!J30-J30,IF(AND(Calculated_Ratios!J30="",ISBLANK(J30)),0,"MISMATCH"))</f>
        <v>0</v>
      </c>
      <c r="AB30" s="0" t="n">
        <f aca="false">IF(AND(ISNUMBER(Calculated_Ratios!K30),ISNUMBER(K30)),Calculated_Ratios!K30-K30,IF(AND(Calculated_Ratios!K30="",ISBLANK(K30)),0,"MISMATCH"))</f>
        <v>0</v>
      </c>
      <c r="AC30" s="0" t="n">
        <f aca="false">IF(AND(ISNUMBER(Calculated_Ratios!L30),ISNUMBER(L30)),Calculated_Ratios!L30-L30,IF(AND(Calculated_Ratios!L30="",ISBLANK(L30)),0,"MISMATCH"))</f>
        <v>0</v>
      </c>
      <c r="AD30" s="0" t="n">
        <f aca="false">IF(AND(ISNUMBER(Calculated_Ratios!M30),ISNUMBER(M30)),Calculated_Ratios!M30-M30,IF(AND(Calculated_Ratios!M30="",ISBLANK(M30)),0,"MISMATCH"))</f>
        <v>0</v>
      </c>
      <c r="AE30" s="0" t="n">
        <f aca="false">IF(AND(ISNUMBER(Calculated_Ratios!N30),ISNUMBER(N30)),Calculated_Ratios!N30-N30,IF(AND(Calculated_Ratios!N30="",ISBLANK(N30)),0,"MISMATCH"))</f>
        <v>0</v>
      </c>
      <c r="AF30" s="0" t="n">
        <f aca="false">IF(AND(ISNUMBER(Calculated_Ratios!O30),ISNUMBER(O30)),Calculated_Ratios!O30-O30,IF(AND(Calculated_Ratios!O30="",ISBLANK(O30)),0,"MISMATCH"))</f>
        <v>0</v>
      </c>
      <c r="AG30" s="0" t="n">
        <f aca="false">IF(AND(ISNUMBER(Calculated_Ratios!P30),ISNUMBER(P30)),Calculated_Ratios!P30-P30,IF(AND(Calculated_Ratios!P30="",ISBLANK(P30)),0,"MISMATCH"))</f>
        <v>0</v>
      </c>
      <c r="AH30" s="0" t="n">
        <f aca="false">IF(AND(ISNUMBER(Calculated_Ratios!Q30),ISNUMBER(Q30)),Calculated_Ratios!Q30-Q30,IF(AND(Calculated_Ratios!Q30="",ISBLANK(Q30)),0,"MISMATCH"))</f>
        <v>0</v>
      </c>
      <c r="AI30" s="0" t="n">
        <f aca="false">IF(AND(ISNUMBER(Calculated_Ratios!R30),ISNUMBER(R30)),Calculated_Ratios!R30-R30,IF(AND(Calculated_Ratios!R30="",ISBLANK(R30)),0,"MISMATCH"))</f>
        <v>0</v>
      </c>
      <c r="AJ30" s="0" t="n">
        <f aca="false">IF(AND(ISNUMBER(Calculated_Ratios!S30),ISNUMBER(S30)),Calculated_Ratios!S30-S30,IF(AND(Calculated_Ratios!S30="",ISBLANK(S30)),0,"MISMATCH"))</f>
        <v>0</v>
      </c>
    </row>
    <row r="31" customFormat="false" ht="15" hidden="false" customHeight="false" outlineLevel="0" collapsed="false">
      <c r="A31" s="0" t="s">
        <v>115</v>
      </c>
      <c r="B31" s="0" t="n">
        <v>2020</v>
      </c>
      <c r="C31" s="0" t="n">
        <v>2436092.5</v>
      </c>
      <c r="D31" s="0" t="n">
        <v>1.09396502801105</v>
      </c>
      <c r="E31" s="0" t="n">
        <v>9.91727057431291</v>
      </c>
      <c r="F31" s="0" t="n">
        <v>9.95935088671715</v>
      </c>
      <c r="G31" s="0" t="n">
        <v>4.84477879255811</v>
      </c>
      <c r="H31" s="0" t="n">
        <v>18.1829577581441</v>
      </c>
      <c r="I31" s="0" t="n">
        <v>0.692009847737719</v>
      </c>
      <c r="N31" s="0" t="n">
        <v>0.966228063178626</v>
      </c>
      <c r="O31" s="0" t="n">
        <v>90.0827294256871</v>
      </c>
      <c r="P31" s="0" t="n">
        <v>14.8300699979696</v>
      </c>
      <c r="Q31" s="0" t="n">
        <v>0</v>
      </c>
      <c r="R31" s="0" t="n">
        <v>0</v>
      </c>
      <c r="T31" s="0" t="n">
        <f aca="false">IF(AND(ISNUMBER(Calculated_Ratios!C31),ISNUMBER(C31)),Calculated_Ratios!C31-C31,IF(AND(Calculated_Ratios!C31="",ISBLANK(C31)),0,"MISMATCH"))</f>
        <v>0</v>
      </c>
      <c r="U31" s="0" t="n">
        <f aca="false">IF(AND(ISNUMBER(Calculated_Ratios!D31),ISNUMBER(D31)),Calculated_Ratios!D31-D31,IF(AND(Calculated_Ratios!D31="",ISBLANK(D31)),0,"MISMATCH"))</f>
        <v>0</v>
      </c>
      <c r="V31" s="0" t="n">
        <f aca="false">IF(AND(ISNUMBER(Calculated_Ratios!E31),ISNUMBER(E31)),Calculated_Ratios!E31-E31,IF(AND(Calculated_Ratios!E31="",ISBLANK(E31)),0,"MISMATCH"))</f>
        <v>0</v>
      </c>
      <c r="W31" s="0" t="n">
        <f aca="false">IF(AND(ISNUMBER(Calculated_Ratios!F31),ISNUMBER(F31)),Calculated_Ratios!F31-F31,IF(AND(Calculated_Ratios!F31="",ISBLANK(F31)),0,"MISMATCH"))</f>
        <v>0</v>
      </c>
      <c r="X31" s="0" t="n">
        <f aca="false">IF(AND(ISNUMBER(Calculated_Ratios!G31),ISNUMBER(G31)),Calculated_Ratios!G31-G31,IF(AND(Calculated_Ratios!G31="",ISBLANK(G31)),0,"MISMATCH"))</f>
        <v>0</v>
      </c>
      <c r="Y31" s="0" t="n">
        <f aca="false">IF(AND(ISNUMBER(Calculated_Ratios!H31),ISNUMBER(H31)),Calculated_Ratios!H31-H31,IF(AND(Calculated_Ratios!H31="",ISBLANK(H31)),0,"MISMATCH"))</f>
        <v>0</v>
      </c>
      <c r="Z31" s="0" t="n">
        <f aca="false">IF(AND(ISNUMBER(Calculated_Ratios!I31),ISNUMBER(I31)),Calculated_Ratios!I31-I31,IF(AND(Calculated_Ratios!I31="",ISBLANK(I31)),0,"MISMATCH"))</f>
        <v>0</v>
      </c>
      <c r="AA31" s="0" t="n">
        <f aca="false">IF(AND(ISNUMBER(Calculated_Ratios!J31),ISNUMBER(J31)),Calculated_Ratios!J31-J31,IF(AND(Calculated_Ratios!J31="",ISBLANK(J31)),0,"MISMATCH"))</f>
        <v>0</v>
      </c>
      <c r="AB31" s="0" t="n">
        <f aca="false">IF(AND(ISNUMBER(Calculated_Ratios!K31),ISNUMBER(K31)),Calculated_Ratios!K31-K31,IF(AND(Calculated_Ratios!K31="",ISBLANK(K31)),0,"MISMATCH"))</f>
        <v>0</v>
      </c>
      <c r="AC31" s="0" t="n">
        <f aca="false">IF(AND(ISNUMBER(Calculated_Ratios!L31),ISNUMBER(L31)),Calculated_Ratios!L31-L31,IF(AND(Calculated_Ratios!L31="",ISBLANK(L31)),0,"MISMATCH"))</f>
        <v>0</v>
      </c>
      <c r="AD31" s="0" t="n">
        <f aca="false">IF(AND(ISNUMBER(Calculated_Ratios!M31),ISNUMBER(M31)),Calculated_Ratios!M31-M31,IF(AND(Calculated_Ratios!M31="",ISBLANK(M31)),0,"MISMATCH"))</f>
        <v>0</v>
      </c>
      <c r="AE31" s="0" t="n">
        <f aca="false">IF(AND(ISNUMBER(Calculated_Ratios!N31),ISNUMBER(N31)),Calculated_Ratios!N31-N31,IF(AND(Calculated_Ratios!N31="",ISBLANK(N31)),0,"MISMATCH"))</f>
        <v>0</v>
      </c>
      <c r="AF31" s="0" t="n">
        <f aca="false">IF(AND(ISNUMBER(Calculated_Ratios!O31),ISNUMBER(O31)),Calculated_Ratios!O31-O31,IF(AND(Calculated_Ratios!O31="",ISBLANK(O31)),0,"MISMATCH"))</f>
        <v>0</v>
      </c>
      <c r="AG31" s="0" t="n">
        <f aca="false">IF(AND(ISNUMBER(Calculated_Ratios!P31),ISNUMBER(P31)),Calculated_Ratios!P31-P31,IF(AND(Calculated_Ratios!P31="",ISBLANK(P31)),0,"MISMATCH"))</f>
        <v>0</v>
      </c>
      <c r="AH31" s="0" t="n">
        <f aca="false">IF(AND(ISNUMBER(Calculated_Ratios!Q31),ISNUMBER(Q31)),Calculated_Ratios!Q31-Q31,IF(AND(Calculated_Ratios!Q31="",ISBLANK(Q31)),0,"MISMATCH"))</f>
        <v>0</v>
      </c>
      <c r="AI31" s="0" t="n">
        <f aca="false">IF(AND(ISNUMBER(Calculated_Ratios!R31),ISNUMBER(R31)),Calculated_Ratios!R31-R31,IF(AND(Calculated_Ratios!R31="",ISBLANK(R31)),0,"MISMATCH"))</f>
        <v>0</v>
      </c>
      <c r="AJ31" s="0" t="n">
        <f aca="false">IF(AND(ISNUMBER(Calculated_Ratios!S31),ISNUMBER(S31)),Calculated_Ratios!S31-S31,IF(AND(Calculated_Ratios!S31="",ISBLANK(S31)),0,"MISMATCH"))</f>
        <v>0</v>
      </c>
    </row>
    <row r="32" customFormat="false" ht="15" hidden="false" customHeight="false" outlineLevel="0" collapsed="false">
      <c r="A32" s="0" t="s">
        <v>115</v>
      </c>
      <c r="B32" s="0" t="n">
        <v>2021</v>
      </c>
      <c r="E32" s="0" t="n">
        <v>8.69678404269653</v>
      </c>
      <c r="G32" s="0" t="n">
        <v>4.27873940213894</v>
      </c>
      <c r="H32" s="0" t="n">
        <v>19.1471007819367</v>
      </c>
      <c r="N32" s="0" t="n">
        <v>0.704292759477804</v>
      </c>
      <c r="O32" s="0" t="n">
        <v>91.3032159573035</v>
      </c>
      <c r="P32" s="0" t="n">
        <v>15.0034923854161</v>
      </c>
      <c r="Q32" s="0" t="n">
        <v>0</v>
      </c>
      <c r="R32" s="0" t="n">
        <v>0</v>
      </c>
      <c r="T32" s="0" t="n">
        <f aca="false">IF(AND(ISNUMBER(Calculated_Ratios!C32),ISNUMBER(C32)),Calculated_Ratios!C32-C32,IF(AND(Calculated_Ratios!C32="",ISBLANK(C32)),0,"MISMATCH"))</f>
        <v>0</v>
      </c>
      <c r="U32" s="0" t="n">
        <f aca="false">IF(AND(ISNUMBER(Calculated_Ratios!D32),ISNUMBER(D32)),Calculated_Ratios!D32-D32,IF(AND(Calculated_Ratios!D32="",ISBLANK(D32)),0,"MISMATCH"))</f>
        <v>0</v>
      </c>
      <c r="V32" s="0" t="n">
        <f aca="false">IF(AND(ISNUMBER(Calculated_Ratios!E32),ISNUMBER(E32)),Calculated_Ratios!E32-E32,IF(AND(Calculated_Ratios!E32="",ISBLANK(E32)),0,"MISMATCH"))</f>
        <v>0</v>
      </c>
      <c r="W32" s="0" t="n">
        <f aca="false">IF(AND(ISNUMBER(Calculated_Ratios!F32),ISNUMBER(F32)),Calculated_Ratios!F32-F32,IF(AND(Calculated_Ratios!F32="",ISBLANK(F32)),0,"MISMATCH"))</f>
        <v>0</v>
      </c>
      <c r="X32" s="0" t="n">
        <f aca="false">IF(AND(ISNUMBER(Calculated_Ratios!G32),ISNUMBER(G32)),Calculated_Ratios!G32-G32,IF(AND(Calculated_Ratios!G32="",ISBLANK(G32)),0,"MISMATCH"))</f>
        <v>0</v>
      </c>
      <c r="Y32" s="0" t="n">
        <f aca="false">IF(AND(ISNUMBER(Calculated_Ratios!H32),ISNUMBER(H32)),Calculated_Ratios!H32-H32,IF(AND(Calculated_Ratios!H32="",ISBLANK(H32)),0,"MISMATCH"))</f>
        <v>0</v>
      </c>
      <c r="Z32" s="0" t="n">
        <f aca="false">IF(AND(ISNUMBER(Calculated_Ratios!I32),ISNUMBER(I32)),Calculated_Ratios!I32-I32,IF(AND(Calculated_Ratios!I32="",ISBLANK(I32)),0,"MISMATCH"))</f>
        <v>0</v>
      </c>
      <c r="AA32" s="0" t="n">
        <f aca="false">IF(AND(ISNUMBER(Calculated_Ratios!J32),ISNUMBER(J32)),Calculated_Ratios!J32-J32,IF(AND(Calculated_Ratios!J32="",ISBLANK(J32)),0,"MISMATCH"))</f>
        <v>0</v>
      </c>
      <c r="AB32" s="0" t="n">
        <f aca="false">IF(AND(ISNUMBER(Calculated_Ratios!K32),ISNUMBER(K32)),Calculated_Ratios!K32-K32,IF(AND(Calculated_Ratios!K32="",ISBLANK(K32)),0,"MISMATCH"))</f>
        <v>0</v>
      </c>
      <c r="AC32" s="0" t="n">
        <f aca="false">IF(AND(ISNUMBER(Calculated_Ratios!L32),ISNUMBER(L32)),Calculated_Ratios!L32-L32,IF(AND(Calculated_Ratios!L32="",ISBLANK(L32)),0,"MISMATCH"))</f>
        <v>0</v>
      </c>
      <c r="AD32" s="0" t="n">
        <f aca="false">IF(AND(ISNUMBER(Calculated_Ratios!M32),ISNUMBER(M32)),Calculated_Ratios!M32-M32,IF(AND(Calculated_Ratios!M32="",ISBLANK(M32)),0,"MISMATCH"))</f>
        <v>0</v>
      </c>
      <c r="AE32" s="0" t="n">
        <f aca="false">IF(AND(ISNUMBER(Calculated_Ratios!N32),ISNUMBER(N32)),Calculated_Ratios!N32-N32,IF(AND(Calculated_Ratios!N32="",ISBLANK(N32)),0,"MISMATCH"))</f>
        <v>0</v>
      </c>
      <c r="AF32" s="0" t="n">
        <f aca="false">IF(AND(ISNUMBER(Calculated_Ratios!O32),ISNUMBER(O32)),Calculated_Ratios!O32-O32,IF(AND(Calculated_Ratios!O32="",ISBLANK(O32)),0,"MISMATCH"))</f>
        <v>0</v>
      </c>
      <c r="AG32" s="0" t="n">
        <f aca="false">IF(AND(ISNUMBER(Calculated_Ratios!P32),ISNUMBER(P32)),Calculated_Ratios!P32-P32,IF(AND(Calculated_Ratios!P32="",ISBLANK(P32)),0,"MISMATCH"))</f>
        <v>0</v>
      </c>
      <c r="AH32" s="0" t="n">
        <f aca="false">IF(AND(ISNUMBER(Calculated_Ratios!Q32),ISNUMBER(Q32)),Calculated_Ratios!Q32-Q32,IF(AND(Calculated_Ratios!Q32="",ISBLANK(Q32)),0,"MISMATCH"))</f>
        <v>0</v>
      </c>
      <c r="AI32" s="0" t="n">
        <f aca="false">IF(AND(ISNUMBER(Calculated_Ratios!R32),ISNUMBER(R32)),Calculated_Ratios!R32-R32,IF(AND(Calculated_Ratios!R32="",ISBLANK(R32)),0,"MISMATCH"))</f>
        <v>0</v>
      </c>
      <c r="AJ32" s="0" t="n">
        <f aca="false">IF(AND(ISNUMBER(Calculated_Ratios!S32),ISNUMBER(S32)),Calculated_Ratios!S32-S32,IF(AND(Calculated_Ratios!S32="",ISBLANK(S32)),0,"MISMATCH"))</f>
        <v>0</v>
      </c>
    </row>
    <row r="33" customFormat="false" ht="15" hidden="false" customHeight="false" outlineLevel="0" collapsed="false">
      <c r="A33" s="0" t="s">
        <v>115</v>
      </c>
      <c r="B33" s="0" t="n">
        <v>2022</v>
      </c>
      <c r="C33" s="0" t="n">
        <v>3634731.5</v>
      </c>
      <c r="D33" s="0" t="n">
        <v>1.28548697476003</v>
      </c>
      <c r="E33" s="0" t="n">
        <v>7.88065406721319</v>
      </c>
      <c r="F33" s="0" t="n">
        <v>8.18745483676029</v>
      </c>
      <c r="G33" s="0" t="n">
        <v>3.66667273621151</v>
      </c>
      <c r="H33" s="0" t="n">
        <v>18.1421782771385</v>
      </c>
      <c r="I33" s="0" t="n">
        <v>0.149749713286937</v>
      </c>
      <c r="N33" s="0" t="n">
        <v>1.17131849038195</v>
      </c>
      <c r="O33" s="0" t="n">
        <v>92.1193459327868</v>
      </c>
      <c r="P33" s="0" t="n">
        <v>15.1990533870896</v>
      </c>
      <c r="Q33" s="0" t="n">
        <v>0</v>
      </c>
      <c r="R33" s="0" t="n">
        <v>0</v>
      </c>
      <c r="T33" s="0" t="n">
        <f aca="false">IF(AND(ISNUMBER(Calculated_Ratios!C33),ISNUMBER(C33)),Calculated_Ratios!C33-C33,IF(AND(Calculated_Ratios!C33="",ISBLANK(C33)),0,"MISMATCH"))</f>
        <v>0</v>
      </c>
      <c r="U33" s="0" t="n">
        <f aca="false">IF(AND(ISNUMBER(Calculated_Ratios!D33),ISNUMBER(D33)),Calculated_Ratios!D33-D33,IF(AND(Calculated_Ratios!D33="",ISBLANK(D33)),0,"MISMATCH"))</f>
        <v>0</v>
      </c>
      <c r="V33" s="0" t="n">
        <f aca="false">IF(AND(ISNUMBER(Calculated_Ratios!E33),ISNUMBER(E33)),Calculated_Ratios!E33-E33,IF(AND(Calculated_Ratios!E33="",ISBLANK(E33)),0,"MISMATCH"))</f>
        <v>0</v>
      </c>
      <c r="W33" s="0" t="n">
        <f aca="false">IF(AND(ISNUMBER(Calculated_Ratios!F33),ISNUMBER(F33)),Calculated_Ratios!F33-F33,IF(AND(Calculated_Ratios!F33="",ISBLANK(F33)),0,"MISMATCH"))</f>
        <v>0</v>
      </c>
      <c r="X33" s="0" t="n">
        <f aca="false">IF(AND(ISNUMBER(Calculated_Ratios!G33),ISNUMBER(G33)),Calculated_Ratios!G33-G33,IF(AND(Calculated_Ratios!G33="",ISBLANK(G33)),0,"MISMATCH"))</f>
        <v>0</v>
      </c>
      <c r="Y33" s="0" t="n">
        <f aca="false">IF(AND(ISNUMBER(Calculated_Ratios!H33),ISNUMBER(H33)),Calculated_Ratios!H33-H33,IF(AND(Calculated_Ratios!H33="",ISBLANK(H33)),0,"MISMATCH"))</f>
        <v>0</v>
      </c>
      <c r="Z33" s="0" t="n">
        <f aca="false">IF(AND(ISNUMBER(Calculated_Ratios!I33),ISNUMBER(I33)),Calculated_Ratios!I33-I33,IF(AND(Calculated_Ratios!I33="",ISBLANK(I33)),0,"MISMATCH"))</f>
        <v>0</v>
      </c>
      <c r="AA33" s="0" t="n">
        <f aca="false">IF(AND(ISNUMBER(Calculated_Ratios!J33),ISNUMBER(J33)),Calculated_Ratios!J33-J33,IF(AND(Calculated_Ratios!J33="",ISBLANK(J33)),0,"MISMATCH"))</f>
        <v>0</v>
      </c>
      <c r="AB33" s="0" t="n">
        <f aca="false">IF(AND(ISNUMBER(Calculated_Ratios!K33),ISNUMBER(K33)),Calculated_Ratios!K33-K33,IF(AND(Calculated_Ratios!K33="",ISBLANK(K33)),0,"MISMATCH"))</f>
        <v>0</v>
      </c>
      <c r="AC33" s="0" t="n">
        <f aca="false">IF(AND(ISNUMBER(Calculated_Ratios!L33),ISNUMBER(L33)),Calculated_Ratios!L33-L33,IF(AND(Calculated_Ratios!L33="",ISBLANK(L33)),0,"MISMATCH"))</f>
        <v>0</v>
      </c>
      <c r="AD33" s="0" t="n">
        <f aca="false">IF(AND(ISNUMBER(Calculated_Ratios!M33),ISNUMBER(M33)),Calculated_Ratios!M33-M33,IF(AND(Calculated_Ratios!M33="",ISBLANK(M33)),0,"MISMATCH"))</f>
        <v>0</v>
      </c>
      <c r="AE33" s="0" t="n">
        <f aca="false">IF(AND(ISNUMBER(Calculated_Ratios!N33),ISNUMBER(N33)),Calculated_Ratios!N33-N33,IF(AND(Calculated_Ratios!N33="",ISBLANK(N33)),0,"MISMATCH"))</f>
        <v>0</v>
      </c>
      <c r="AF33" s="0" t="n">
        <f aca="false">IF(AND(ISNUMBER(Calculated_Ratios!O33),ISNUMBER(O33)),Calculated_Ratios!O33-O33,IF(AND(Calculated_Ratios!O33="",ISBLANK(O33)),0,"MISMATCH"))</f>
        <v>0</v>
      </c>
      <c r="AG33" s="0" t="n">
        <f aca="false">IF(AND(ISNUMBER(Calculated_Ratios!P33),ISNUMBER(P33)),Calculated_Ratios!P33-P33,IF(AND(Calculated_Ratios!P33="",ISBLANK(P33)),0,"MISMATCH"))</f>
        <v>0</v>
      </c>
      <c r="AH33" s="0" t="n">
        <f aca="false">IF(AND(ISNUMBER(Calculated_Ratios!Q33),ISNUMBER(Q33)),Calculated_Ratios!Q33-Q33,IF(AND(Calculated_Ratios!Q33="",ISBLANK(Q33)),0,"MISMATCH"))</f>
        <v>0</v>
      </c>
      <c r="AI33" s="0" t="n">
        <f aca="false">IF(AND(ISNUMBER(Calculated_Ratios!R33),ISNUMBER(R33)),Calculated_Ratios!R33-R33,IF(AND(Calculated_Ratios!R33="",ISBLANK(R33)),0,"MISMATCH"))</f>
        <v>0</v>
      </c>
      <c r="AJ33" s="0" t="n">
        <f aca="false">IF(AND(ISNUMBER(Calculated_Ratios!S33),ISNUMBER(S33)),Calculated_Ratios!S33-S33,IF(AND(Calculated_Ratios!S33="",ISBLANK(S33)),0,"MISMATCH"))</f>
        <v>0</v>
      </c>
    </row>
    <row r="34" customFormat="false" ht="15" hidden="false" customHeight="false" outlineLevel="0" collapsed="false">
      <c r="A34" s="0" t="s">
        <v>125</v>
      </c>
      <c r="B34" s="0" t="n">
        <v>2013</v>
      </c>
      <c r="E34" s="0" t="n">
        <v>10.8024169441126</v>
      </c>
      <c r="G34" s="0" t="n">
        <v>2.73538759628533</v>
      </c>
      <c r="N34" s="0" t="n">
        <v>1.82854013409192</v>
      </c>
      <c r="O34" s="0" t="n">
        <v>89.1975830558875</v>
      </c>
      <c r="P34" s="0" t="n">
        <v>14.9931123845327</v>
      </c>
      <c r="Q34" s="0" t="n">
        <v>0</v>
      </c>
      <c r="T34" s="0" t="n">
        <f aca="false">IF(AND(ISNUMBER(Calculated_Ratios!C34),ISNUMBER(C34)),Calculated_Ratios!C34-C34,IF(AND(Calculated_Ratios!C34="",ISBLANK(C34)),0,"MISMATCH"))</f>
        <v>0</v>
      </c>
      <c r="U34" s="0" t="n">
        <f aca="false">IF(AND(ISNUMBER(Calculated_Ratios!D34),ISNUMBER(D34)),Calculated_Ratios!D34-D34,IF(AND(Calculated_Ratios!D34="",ISBLANK(D34)),0,"MISMATCH"))</f>
        <v>0</v>
      </c>
      <c r="V34" s="0" t="n">
        <f aca="false">IF(AND(ISNUMBER(Calculated_Ratios!E34),ISNUMBER(E34)),Calculated_Ratios!E34-E34,IF(AND(Calculated_Ratios!E34="",ISBLANK(E34)),0,"MISMATCH"))</f>
        <v>0</v>
      </c>
      <c r="W34" s="0" t="n">
        <f aca="false">IF(AND(ISNUMBER(Calculated_Ratios!F34),ISNUMBER(F34)),Calculated_Ratios!F34-F34,IF(AND(Calculated_Ratios!F34="",ISBLANK(F34)),0,"MISMATCH"))</f>
        <v>0</v>
      </c>
      <c r="X34" s="0" t="n">
        <f aca="false">IF(AND(ISNUMBER(Calculated_Ratios!G34),ISNUMBER(G34)),Calculated_Ratios!G34-G34,IF(AND(Calculated_Ratios!G34="",ISBLANK(G34)),0,"MISMATCH"))</f>
        <v>0</v>
      </c>
      <c r="Y34" s="0" t="n">
        <f aca="false">IF(AND(ISNUMBER(Calculated_Ratios!H34),ISNUMBER(H34)),Calculated_Ratios!H34-H34,IF(AND(Calculated_Ratios!H34="",ISBLANK(H34)),0,"MISMATCH"))</f>
        <v>0</v>
      </c>
      <c r="Z34" s="0" t="n">
        <f aca="false">IF(AND(ISNUMBER(Calculated_Ratios!I34),ISNUMBER(I34)),Calculated_Ratios!I34-I34,IF(AND(Calculated_Ratios!I34="",ISBLANK(I34)),0,"MISMATCH"))</f>
        <v>0</v>
      </c>
      <c r="AA34" s="0" t="n">
        <f aca="false">IF(AND(ISNUMBER(Calculated_Ratios!J34),ISNUMBER(J34)),Calculated_Ratios!J34-J34,IF(AND(Calculated_Ratios!J34="",ISBLANK(J34)),0,"MISMATCH"))</f>
        <v>0</v>
      </c>
      <c r="AB34" s="0" t="n">
        <f aca="false">IF(AND(ISNUMBER(Calculated_Ratios!K34),ISNUMBER(K34)),Calculated_Ratios!K34-K34,IF(AND(Calculated_Ratios!K34="",ISBLANK(K34)),0,"MISMATCH"))</f>
        <v>0</v>
      </c>
      <c r="AC34" s="0" t="n">
        <f aca="false">IF(AND(ISNUMBER(Calculated_Ratios!L34),ISNUMBER(L34)),Calculated_Ratios!L34-L34,IF(AND(Calculated_Ratios!L34="",ISBLANK(L34)),0,"MISMATCH"))</f>
        <v>0</v>
      </c>
      <c r="AD34" s="0" t="n">
        <f aca="false">IF(AND(ISNUMBER(Calculated_Ratios!M34),ISNUMBER(M34)),Calculated_Ratios!M34-M34,IF(AND(Calculated_Ratios!M34="",ISBLANK(M34)),0,"MISMATCH"))</f>
        <v>0</v>
      </c>
      <c r="AE34" s="0" t="n">
        <f aca="false">IF(AND(ISNUMBER(Calculated_Ratios!N34),ISNUMBER(N34)),Calculated_Ratios!N34-N34,IF(AND(Calculated_Ratios!N34="",ISBLANK(N34)),0,"MISMATCH"))</f>
        <v>0</v>
      </c>
      <c r="AF34" s="0" t="n">
        <f aca="false">IF(AND(ISNUMBER(Calculated_Ratios!O34),ISNUMBER(O34)),Calculated_Ratios!O34-O34,IF(AND(Calculated_Ratios!O34="",ISBLANK(O34)),0,"MISMATCH"))</f>
        <v>0</v>
      </c>
      <c r="AG34" s="0" t="n">
        <f aca="false">IF(AND(ISNUMBER(Calculated_Ratios!P34),ISNUMBER(P34)),Calculated_Ratios!P34-P34,IF(AND(Calculated_Ratios!P34="",ISBLANK(P34)),0,"MISMATCH"))</f>
        <v>0</v>
      </c>
      <c r="AH34" s="0" t="n">
        <f aca="false">IF(AND(ISNUMBER(Calculated_Ratios!Q34),ISNUMBER(Q34)),Calculated_Ratios!Q34-Q34,IF(AND(Calculated_Ratios!Q34="",ISBLANK(Q34)),0,"MISMATCH"))</f>
        <v>0</v>
      </c>
      <c r="AI34" s="0" t="n">
        <f aca="false">IF(AND(ISNUMBER(Calculated_Ratios!R34),ISNUMBER(R34)),Calculated_Ratios!R34-R34,IF(AND(Calculated_Ratios!R34="",ISBLANK(R34)),0,"MISMATCH"))</f>
        <v>0</v>
      </c>
      <c r="AJ34" s="0" t="n">
        <f aca="false">IF(AND(ISNUMBER(Calculated_Ratios!S34),ISNUMBER(S34)),Calculated_Ratios!S34-S34,IF(AND(Calculated_Ratios!S34="",ISBLANK(S34)),0,"MISMATCH"))</f>
        <v>0</v>
      </c>
    </row>
    <row r="35" customFormat="false" ht="15" hidden="false" customHeight="false" outlineLevel="0" collapsed="false">
      <c r="A35" s="0" t="s">
        <v>125</v>
      </c>
      <c r="B35" s="0" t="n">
        <v>2014</v>
      </c>
      <c r="C35" s="0" t="n">
        <v>3368725</v>
      </c>
      <c r="D35" s="0" t="n">
        <v>2.35552026360121</v>
      </c>
      <c r="E35" s="0" t="n">
        <v>12.1186660864867</v>
      </c>
      <c r="F35" s="0" t="n">
        <v>-15.0402600390355</v>
      </c>
      <c r="G35" s="0" t="n">
        <v>2.0779354044278</v>
      </c>
      <c r="I35" s="0" t="n">
        <v>0.621125203155497</v>
      </c>
      <c r="N35" s="0" t="n">
        <v>2.2731003236728</v>
      </c>
      <c r="O35" s="0" t="n">
        <v>87.8813339135133</v>
      </c>
      <c r="P35" s="0" t="n">
        <v>15.0656618332417</v>
      </c>
      <c r="Q35" s="0" t="n">
        <v>0</v>
      </c>
      <c r="T35" s="0" t="n">
        <f aca="false">IF(AND(ISNUMBER(Calculated_Ratios!C35),ISNUMBER(C35)),Calculated_Ratios!C35-C35,IF(AND(Calculated_Ratios!C35="",ISBLANK(C35)),0,"MISMATCH"))</f>
        <v>0</v>
      </c>
      <c r="U35" s="0" t="n">
        <f aca="false">IF(AND(ISNUMBER(Calculated_Ratios!D35),ISNUMBER(D35)),Calculated_Ratios!D35-D35,IF(AND(Calculated_Ratios!D35="",ISBLANK(D35)),0,"MISMATCH"))</f>
        <v>0</v>
      </c>
      <c r="V35" s="0" t="n">
        <f aca="false">IF(AND(ISNUMBER(Calculated_Ratios!E35),ISNUMBER(E35)),Calculated_Ratios!E35-E35,IF(AND(Calculated_Ratios!E35="",ISBLANK(E35)),0,"MISMATCH"))</f>
        <v>0</v>
      </c>
      <c r="W35" s="0" t="n">
        <f aca="false">IF(AND(ISNUMBER(Calculated_Ratios!F35),ISNUMBER(F35)),Calculated_Ratios!F35-F35,IF(AND(Calculated_Ratios!F35="",ISBLANK(F35)),0,"MISMATCH"))</f>
        <v>0</v>
      </c>
      <c r="X35" s="0" t="n">
        <f aca="false">IF(AND(ISNUMBER(Calculated_Ratios!G35),ISNUMBER(G35)),Calculated_Ratios!G35-G35,IF(AND(Calculated_Ratios!G35="",ISBLANK(G35)),0,"MISMATCH"))</f>
        <v>0</v>
      </c>
      <c r="Y35" s="0" t="n">
        <f aca="false">IF(AND(ISNUMBER(Calculated_Ratios!H35),ISNUMBER(H35)),Calculated_Ratios!H35-H35,IF(AND(Calculated_Ratios!H35="",ISBLANK(H35)),0,"MISMATCH"))</f>
        <v>0</v>
      </c>
      <c r="Z35" s="0" t="n">
        <f aca="false">IF(AND(ISNUMBER(Calculated_Ratios!I35),ISNUMBER(I35)),Calculated_Ratios!I35-I35,IF(AND(Calculated_Ratios!I35="",ISBLANK(I35)),0,"MISMATCH"))</f>
        <v>0</v>
      </c>
      <c r="AA35" s="0" t="n">
        <f aca="false">IF(AND(ISNUMBER(Calculated_Ratios!J35),ISNUMBER(J35)),Calculated_Ratios!J35-J35,IF(AND(Calculated_Ratios!J35="",ISBLANK(J35)),0,"MISMATCH"))</f>
        <v>0</v>
      </c>
      <c r="AB35" s="0" t="n">
        <f aca="false">IF(AND(ISNUMBER(Calculated_Ratios!K35),ISNUMBER(K35)),Calculated_Ratios!K35-K35,IF(AND(Calculated_Ratios!K35="",ISBLANK(K35)),0,"MISMATCH"))</f>
        <v>0</v>
      </c>
      <c r="AC35" s="0" t="n">
        <f aca="false">IF(AND(ISNUMBER(Calculated_Ratios!L35),ISNUMBER(L35)),Calculated_Ratios!L35-L35,IF(AND(Calculated_Ratios!L35="",ISBLANK(L35)),0,"MISMATCH"))</f>
        <v>0</v>
      </c>
      <c r="AD35" s="0" t="n">
        <f aca="false">IF(AND(ISNUMBER(Calculated_Ratios!M35),ISNUMBER(M35)),Calculated_Ratios!M35-M35,IF(AND(Calculated_Ratios!M35="",ISBLANK(M35)),0,"MISMATCH"))</f>
        <v>0</v>
      </c>
      <c r="AE35" s="0" t="n">
        <f aca="false">IF(AND(ISNUMBER(Calculated_Ratios!N35),ISNUMBER(N35)),Calculated_Ratios!N35-N35,IF(AND(Calculated_Ratios!N35="",ISBLANK(N35)),0,"MISMATCH"))</f>
        <v>0</v>
      </c>
      <c r="AF35" s="0" t="n">
        <f aca="false">IF(AND(ISNUMBER(Calculated_Ratios!O35),ISNUMBER(O35)),Calculated_Ratios!O35-O35,IF(AND(Calculated_Ratios!O35="",ISBLANK(O35)),0,"MISMATCH"))</f>
        <v>0</v>
      </c>
      <c r="AG35" s="0" t="n">
        <f aca="false">IF(AND(ISNUMBER(Calculated_Ratios!P35),ISNUMBER(P35)),Calculated_Ratios!P35-P35,IF(AND(Calculated_Ratios!P35="",ISBLANK(P35)),0,"MISMATCH"))</f>
        <v>0</v>
      </c>
      <c r="AH35" s="0" t="n">
        <f aca="false">IF(AND(ISNUMBER(Calculated_Ratios!Q35),ISNUMBER(Q35)),Calculated_Ratios!Q35-Q35,IF(AND(Calculated_Ratios!Q35="",ISBLANK(Q35)),0,"MISMATCH"))</f>
        <v>0</v>
      </c>
      <c r="AI35" s="0" t="n">
        <f aca="false">IF(AND(ISNUMBER(Calculated_Ratios!R35),ISNUMBER(R35)),Calculated_Ratios!R35-R35,IF(AND(Calculated_Ratios!R35="",ISBLANK(R35)),0,"MISMATCH"))</f>
        <v>0</v>
      </c>
      <c r="AJ35" s="0" t="n">
        <f aca="false">IF(AND(ISNUMBER(Calculated_Ratios!S35),ISNUMBER(S35)),Calculated_Ratios!S35-S35,IF(AND(Calculated_Ratios!S35="",ISBLANK(S35)),0,"MISMATCH"))</f>
        <v>0</v>
      </c>
    </row>
    <row r="36" customFormat="false" ht="15" hidden="false" customHeight="false" outlineLevel="0" collapsed="false">
      <c r="A36" s="0" t="s">
        <v>125</v>
      </c>
      <c r="B36" s="0" t="n">
        <v>2015</v>
      </c>
      <c r="C36" s="0" t="n">
        <v>3411623</v>
      </c>
      <c r="D36" s="0" t="n">
        <v>0.00108452780392206</v>
      </c>
      <c r="E36" s="0" t="n">
        <v>13.7963764582317</v>
      </c>
      <c r="F36" s="0" t="n">
        <v>8.96793109906927</v>
      </c>
      <c r="G36" s="0" t="n">
        <v>8.63050304212834</v>
      </c>
      <c r="H36" s="0" t="n">
        <v>17.0790438731121</v>
      </c>
      <c r="I36" s="0" t="n">
        <v>3.518735804044</v>
      </c>
      <c r="N36" s="0" t="n">
        <v>0.00111031921677482</v>
      </c>
      <c r="O36" s="0" t="n">
        <v>86.2036235417683</v>
      </c>
      <c r="P36" s="0" t="n">
        <v>15.0191958209542</v>
      </c>
      <c r="Q36" s="0" t="n">
        <v>0</v>
      </c>
      <c r="R36" s="0" t="n">
        <v>0</v>
      </c>
      <c r="T36" s="0" t="n">
        <f aca="false">IF(AND(ISNUMBER(Calculated_Ratios!C36),ISNUMBER(C36)),Calculated_Ratios!C36-C36,IF(AND(Calculated_Ratios!C36="",ISBLANK(C36)),0,"MISMATCH"))</f>
        <v>0</v>
      </c>
      <c r="U36" s="0" t="n">
        <f aca="false">IF(AND(ISNUMBER(Calculated_Ratios!D36),ISNUMBER(D36)),Calculated_Ratios!D36-D36,IF(AND(Calculated_Ratios!D36="",ISBLANK(D36)),0,"MISMATCH"))</f>
        <v>0</v>
      </c>
      <c r="V36" s="0" t="n">
        <f aca="false">IF(AND(ISNUMBER(Calculated_Ratios!E36),ISNUMBER(E36)),Calculated_Ratios!E36-E36,IF(AND(Calculated_Ratios!E36="",ISBLANK(E36)),0,"MISMATCH"))</f>
        <v>0</v>
      </c>
      <c r="W36" s="0" t="n">
        <f aca="false">IF(AND(ISNUMBER(Calculated_Ratios!F36),ISNUMBER(F36)),Calculated_Ratios!F36-F36,IF(AND(Calculated_Ratios!F36="",ISBLANK(F36)),0,"MISMATCH"))</f>
        <v>0</v>
      </c>
      <c r="X36" s="0" t="n">
        <f aca="false">IF(AND(ISNUMBER(Calculated_Ratios!G36),ISNUMBER(G36)),Calculated_Ratios!G36-G36,IF(AND(Calculated_Ratios!G36="",ISBLANK(G36)),0,"MISMATCH"))</f>
        <v>0</v>
      </c>
      <c r="Y36" s="0" t="n">
        <f aca="false">IF(AND(ISNUMBER(Calculated_Ratios!H36),ISNUMBER(H36)),Calculated_Ratios!H36-H36,IF(AND(Calculated_Ratios!H36="",ISBLANK(H36)),0,"MISMATCH"))</f>
        <v>0</v>
      </c>
      <c r="Z36" s="0" t="n">
        <f aca="false">IF(AND(ISNUMBER(Calculated_Ratios!I36),ISNUMBER(I36)),Calculated_Ratios!I36-I36,IF(AND(Calculated_Ratios!I36="",ISBLANK(I36)),0,"MISMATCH"))</f>
        <v>0</v>
      </c>
      <c r="AA36" s="0" t="n">
        <f aca="false">IF(AND(ISNUMBER(Calculated_Ratios!J36),ISNUMBER(J36)),Calculated_Ratios!J36-J36,IF(AND(Calculated_Ratios!J36="",ISBLANK(J36)),0,"MISMATCH"))</f>
        <v>0</v>
      </c>
      <c r="AB36" s="0" t="n">
        <f aca="false">IF(AND(ISNUMBER(Calculated_Ratios!K36),ISNUMBER(K36)),Calculated_Ratios!K36-K36,IF(AND(Calculated_Ratios!K36="",ISBLANK(K36)),0,"MISMATCH"))</f>
        <v>0</v>
      </c>
      <c r="AC36" s="0" t="n">
        <f aca="false">IF(AND(ISNUMBER(Calculated_Ratios!L36),ISNUMBER(L36)),Calculated_Ratios!L36-L36,IF(AND(Calculated_Ratios!L36="",ISBLANK(L36)),0,"MISMATCH"))</f>
        <v>0</v>
      </c>
      <c r="AD36" s="0" t="n">
        <f aca="false">IF(AND(ISNUMBER(Calculated_Ratios!M36),ISNUMBER(M36)),Calculated_Ratios!M36-M36,IF(AND(Calculated_Ratios!M36="",ISBLANK(M36)),0,"MISMATCH"))</f>
        <v>0</v>
      </c>
      <c r="AE36" s="0" t="n">
        <f aca="false">IF(AND(ISNUMBER(Calculated_Ratios!N36),ISNUMBER(N36)),Calculated_Ratios!N36-N36,IF(AND(Calculated_Ratios!N36="",ISBLANK(N36)),0,"MISMATCH"))</f>
        <v>0</v>
      </c>
      <c r="AF36" s="0" t="n">
        <f aca="false">IF(AND(ISNUMBER(Calculated_Ratios!O36),ISNUMBER(O36)),Calculated_Ratios!O36-O36,IF(AND(Calculated_Ratios!O36="",ISBLANK(O36)),0,"MISMATCH"))</f>
        <v>0</v>
      </c>
      <c r="AG36" s="0" t="n">
        <f aca="false">IF(AND(ISNUMBER(Calculated_Ratios!P36),ISNUMBER(P36)),Calculated_Ratios!P36-P36,IF(AND(Calculated_Ratios!P36="",ISBLANK(P36)),0,"MISMATCH"))</f>
        <v>0</v>
      </c>
      <c r="AH36" s="0" t="n">
        <f aca="false">IF(AND(ISNUMBER(Calculated_Ratios!Q36),ISNUMBER(Q36)),Calculated_Ratios!Q36-Q36,IF(AND(Calculated_Ratios!Q36="",ISBLANK(Q36)),0,"MISMATCH"))</f>
        <v>0</v>
      </c>
      <c r="AI36" s="0" t="n">
        <f aca="false">IF(AND(ISNUMBER(Calculated_Ratios!R36),ISNUMBER(R36)),Calculated_Ratios!R36-R36,IF(AND(Calculated_Ratios!R36="",ISBLANK(R36)),0,"MISMATCH"))</f>
        <v>0</v>
      </c>
      <c r="AJ36" s="0" t="n">
        <f aca="false">IF(AND(ISNUMBER(Calculated_Ratios!S36),ISNUMBER(S36)),Calculated_Ratios!S36-S36,IF(AND(Calculated_Ratios!S36="",ISBLANK(S36)),0,"MISMATCH"))</f>
        <v>0</v>
      </c>
    </row>
    <row r="37" customFormat="false" ht="15" hidden="false" customHeight="false" outlineLevel="0" collapsed="false">
      <c r="A37" s="0" t="s">
        <v>125</v>
      </c>
      <c r="B37" s="0" t="n">
        <v>2016</v>
      </c>
      <c r="E37" s="0" t="n">
        <v>13.6626414996759</v>
      </c>
      <c r="G37" s="0" t="n">
        <v>12.4492670193084</v>
      </c>
      <c r="H37" s="0" t="n">
        <v>17.7866535517171</v>
      </c>
      <c r="N37" s="0" t="n">
        <v>1.40739370765269</v>
      </c>
      <c r="O37" s="0" t="n">
        <v>86.3373585003241</v>
      </c>
      <c r="P37" s="0" t="n">
        <v>15.0846478749542</v>
      </c>
      <c r="Q37" s="0" t="n">
        <v>0</v>
      </c>
      <c r="R37" s="0" t="n">
        <v>0</v>
      </c>
      <c r="T37" s="0" t="n">
        <f aca="false">IF(AND(ISNUMBER(Calculated_Ratios!C37),ISNUMBER(C37)),Calculated_Ratios!C37-C37,IF(AND(Calculated_Ratios!C37="",ISBLANK(C37)),0,"MISMATCH"))</f>
        <v>0</v>
      </c>
      <c r="U37" s="0" t="n">
        <f aca="false">IF(AND(ISNUMBER(Calculated_Ratios!D37),ISNUMBER(D37)),Calculated_Ratios!D37-D37,IF(AND(Calculated_Ratios!D37="",ISBLANK(D37)),0,"MISMATCH"))</f>
        <v>0</v>
      </c>
      <c r="V37" s="0" t="n">
        <f aca="false">IF(AND(ISNUMBER(Calculated_Ratios!E37),ISNUMBER(E37)),Calculated_Ratios!E37-E37,IF(AND(Calculated_Ratios!E37="",ISBLANK(E37)),0,"MISMATCH"))</f>
        <v>0</v>
      </c>
      <c r="W37" s="0" t="n">
        <f aca="false">IF(AND(ISNUMBER(Calculated_Ratios!F37),ISNUMBER(F37)),Calculated_Ratios!F37-F37,IF(AND(Calculated_Ratios!F37="",ISBLANK(F37)),0,"MISMATCH"))</f>
        <v>0</v>
      </c>
      <c r="X37" s="0" t="n">
        <f aca="false">IF(AND(ISNUMBER(Calculated_Ratios!G37),ISNUMBER(G37)),Calculated_Ratios!G37-G37,IF(AND(Calculated_Ratios!G37="",ISBLANK(G37)),0,"MISMATCH"))</f>
        <v>0</v>
      </c>
      <c r="Y37" s="0" t="n">
        <f aca="false">IF(AND(ISNUMBER(Calculated_Ratios!H37),ISNUMBER(H37)),Calculated_Ratios!H37-H37,IF(AND(Calculated_Ratios!H37="",ISBLANK(H37)),0,"MISMATCH"))</f>
        <v>0</v>
      </c>
      <c r="Z37" s="0" t="n">
        <f aca="false">IF(AND(ISNUMBER(Calculated_Ratios!I37),ISNUMBER(I37)),Calculated_Ratios!I37-I37,IF(AND(Calculated_Ratios!I37="",ISBLANK(I37)),0,"MISMATCH"))</f>
        <v>0</v>
      </c>
      <c r="AA37" s="0" t="n">
        <f aca="false">IF(AND(ISNUMBER(Calculated_Ratios!J37),ISNUMBER(J37)),Calculated_Ratios!J37-J37,IF(AND(Calculated_Ratios!J37="",ISBLANK(J37)),0,"MISMATCH"))</f>
        <v>0</v>
      </c>
      <c r="AB37" s="0" t="n">
        <f aca="false">IF(AND(ISNUMBER(Calculated_Ratios!K37),ISNUMBER(K37)),Calculated_Ratios!K37-K37,IF(AND(Calculated_Ratios!K37="",ISBLANK(K37)),0,"MISMATCH"))</f>
        <v>0</v>
      </c>
      <c r="AC37" s="0" t="n">
        <f aca="false">IF(AND(ISNUMBER(Calculated_Ratios!L37),ISNUMBER(L37)),Calculated_Ratios!L37-L37,IF(AND(Calculated_Ratios!L37="",ISBLANK(L37)),0,"MISMATCH"))</f>
        <v>0</v>
      </c>
      <c r="AD37" s="0" t="n">
        <f aca="false">IF(AND(ISNUMBER(Calculated_Ratios!M37),ISNUMBER(M37)),Calculated_Ratios!M37-M37,IF(AND(Calculated_Ratios!M37="",ISBLANK(M37)),0,"MISMATCH"))</f>
        <v>0</v>
      </c>
      <c r="AE37" s="0" t="n">
        <f aca="false">IF(AND(ISNUMBER(Calculated_Ratios!N37),ISNUMBER(N37)),Calculated_Ratios!N37-N37,IF(AND(Calculated_Ratios!N37="",ISBLANK(N37)),0,"MISMATCH"))</f>
        <v>0</v>
      </c>
      <c r="AF37" s="0" t="n">
        <f aca="false">IF(AND(ISNUMBER(Calculated_Ratios!O37),ISNUMBER(O37)),Calculated_Ratios!O37-O37,IF(AND(Calculated_Ratios!O37="",ISBLANK(O37)),0,"MISMATCH"))</f>
        <v>0</v>
      </c>
      <c r="AG37" s="0" t="n">
        <f aca="false">IF(AND(ISNUMBER(Calculated_Ratios!P37),ISNUMBER(P37)),Calculated_Ratios!P37-P37,IF(AND(Calculated_Ratios!P37="",ISBLANK(P37)),0,"MISMATCH"))</f>
        <v>0</v>
      </c>
      <c r="AH37" s="0" t="n">
        <f aca="false">IF(AND(ISNUMBER(Calculated_Ratios!Q37),ISNUMBER(Q37)),Calculated_Ratios!Q37-Q37,IF(AND(Calculated_Ratios!Q37="",ISBLANK(Q37)),0,"MISMATCH"))</f>
        <v>0</v>
      </c>
      <c r="AI37" s="0" t="n">
        <f aca="false">IF(AND(ISNUMBER(Calculated_Ratios!R37),ISNUMBER(R37)),Calculated_Ratios!R37-R37,IF(AND(Calculated_Ratios!R37="",ISBLANK(R37)),0,"MISMATCH"))</f>
        <v>0</v>
      </c>
      <c r="AJ37" s="0" t="n">
        <f aca="false">IF(AND(ISNUMBER(Calculated_Ratios!S37),ISNUMBER(S37)),Calculated_Ratios!S37-S37,IF(AND(Calculated_Ratios!S37="",ISBLANK(S37)),0,"MISMATCH"))</f>
        <v>0</v>
      </c>
    </row>
    <row r="38" customFormat="false" ht="15" hidden="false" customHeight="false" outlineLevel="0" collapsed="false">
      <c r="A38" s="0" t="s">
        <v>125</v>
      </c>
      <c r="B38" s="0" t="n">
        <v>2017</v>
      </c>
      <c r="C38" s="0" t="n">
        <v>3667410.5</v>
      </c>
      <c r="D38" s="0" t="n">
        <v>1.27932229020995</v>
      </c>
      <c r="E38" s="0" t="n">
        <v>15.3517874716147</v>
      </c>
      <c r="F38" s="0" t="n">
        <v>3.08697376527662</v>
      </c>
      <c r="G38" s="0" t="n">
        <v>9.72612468469645</v>
      </c>
      <c r="H38" s="0" t="n">
        <v>17.738850550353</v>
      </c>
      <c r="N38" s="0" t="n">
        <v>1.24218998003463</v>
      </c>
      <c r="O38" s="0" t="n">
        <v>84.6482125283853</v>
      </c>
      <c r="P38" s="0" t="n">
        <v>15.1444509272966</v>
      </c>
      <c r="Q38" s="0" t="n">
        <v>0</v>
      </c>
      <c r="R38" s="0" t="n">
        <v>0</v>
      </c>
      <c r="T38" s="0" t="n">
        <f aca="false">IF(AND(ISNUMBER(Calculated_Ratios!C38),ISNUMBER(C38)),Calculated_Ratios!C38-C38,IF(AND(Calculated_Ratios!C38="",ISBLANK(C38)),0,"MISMATCH"))</f>
        <v>0</v>
      </c>
      <c r="U38" s="0" t="n">
        <f aca="false">IF(AND(ISNUMBER(Calculated_Ratios!D38),ISNUMBER(D38)),Calculated_Ratios!D38-D38,IF(AND(Calculated_Ratios!D38="",ISBLANK(D38)),0,"MISMATCH"))</f>
        <v>0</v>
      </c>
      <c r="V38" s="0" t="n">
        <f aca="false">IF(AND(ISNUMBER(Calculated_Ratios!E38),ISNUMBER(E38)),Calculated_Ratios!E38-E38,IF(AND(Calculated_Ratios!E38="",ISBLANK(E38)),0,"MISMATCH"))</f>
        <v>0</v>
      </c>
      <c r="W38" s="0" t="n">
        <f aca="false">IF(AND(ISNUMBER(Calculated_Ratios!F38),ISNUMBER(F38)),Calculated_Ratios!F38-F38,IF(AND(Calculated_Ratios!F38="",ISBLANK(F38)),0,"MISMATCH"))</f>
        <v>0</v>
      </c>
      <c r="X38" s="0" t="n">
        <f aca="false">IF(AND(ISNUMBER(Calculated_Ratios!G38),ISNUMBER(G38)),Calculated_Ratios!G38-G38,IF(AND(Calculated_Ratios!G38="",ISBLANK(G38)),0,"MISMATCH"))</f>
        <v>0</v>
      </c>
      <c r="Y38" s="0" t="n">
        <f aca="false">IF(AND(ISNUMBER(Calculated_Ratios!H38),ISNUMBER(H38)),Calculated_Ratios!H38-H38,IF(AND(Calculated_Ratios!H38="",ISBLANK(H38)),0,"MISMATCH"))</f>
        <v>0</v>
      </c>
      <c r="Z38" s="0" t="n">
        <f aca="false">IF(AND(ISNUMBER(Calculated_Ratios!I38),ISNUMBER(I38)),Calculated_Ratios!I38-I38,IF(AND(Calculated_Ratios!I38="",ISBLANK(I38)),0,"MISMATCH"))</f>
        <v>0</v>
      </c>
      <c r="AA38" s="0" t="n">
        <f aca="false">IF(AND(ISNUMBER(Calculated_Ratios!J38),ISNUMBER(J38)),Calculated_Ratios!J38-J38,IF(AND(Calculated_Ratios!J38="",ISBLANK(J38)),0,"MISMATCH"))</f>
        <v>0</v>
      </c>
      <c r="AB38" s="0" t="n">
        <f aca="false">IF(AND(ISNUMBER(Calculated_Ratios!K38),ISNUMBER(K38)),Calculated_Ratios!K38-K38,IF(AND(Calculated_Ratios!K38="",ISBLANK(K38)),0,"MISMATCH"))</f>
        <v>0</v>
      </c>
      <c r="AC38" s="0" t="n">
        <f aca="false">IF(AND(ISNUMBER(Calculated_Ratios!L38),ISNUMBER(L38)),Calculated_Ratios!L38-L38,IF(AND(Calculated_Ratios!L38="",ISBLANK(L38)),0,"MISMATCH"))</f>
        <v>0</v>
      </c>
      <c r="AD38" s="0" t="n">
        <f aca="false">IF(AND(ISNUMBER(Calculated_Ratios!M38),ISNUMBER(M38)),Calculated_Ratios!M38-M38,IF(AND(Calculated_Ratios!M38="",ISBLANK(M38)),0,"MISMATCH"))</f>
        <v>0</v>
      </c>
      <c r="AE38" s="0" t="n">
        <f aca="false">IF(AND(ISNUMBER(Calculated_Ratios!N38),ISNUMBER(N38)),Calculated_Ratios!N38-N38,IF(AND(Calculated_Ratios!N38="",ISBLANK(N38)),0,"MISMATCH"))</f>
        <v>0</v>
      </c>
      <c r="AF38" s="0" t="n">
        <f aca="false">IF(AND(ISNUMBER(Calculated_Ratios!O38),ISNUMBER(O38)),Calculated_Ratios!O38-O38,IF(AND(Calculated_Ratios!O38="",ISBLANK(O38)),0,"MISMATCH"))</f>
        <v>0</v>
      </c>
      <c r="AG38" s="0" t="n">
        <f aca="false">IF(AND(ISNUMBER(Calculated_Ratios!P38),ISNUMBER(P38)),Calculated_Ratios!P38-P38,IF(AND(Calculated_Ratios!P38="",ISBLANK(P38)),0,"MISMATCH"))</f>
        <v>0</v>
      </c>
      <c r="AH38" s="0" t="n">
        <f aca="false">IF(AND(ISNUMBER(Calculated_Ratios!Q38),ISNUMBER(Q38)),Calculated_Ratios!Q38-Q38,IF(AND(Calculated_Ratios!Q38="",ISBLANK(Q38)),0,"MISMATCH"))</f>
        <v>0</v>
      </c>
      <c r="AI38" s="0" t="n">
        <f aca="false">IF(AND(ISNUMBER(Calculated_Ratios!R38),ISNUMBER(R38)),Calculated_Ratios!R38-R38,IF(AND(Calculated_Ratios!R38="",ISBLANK(R38)),0,"MISMATCH"))</f>
        <v>0</v>
      </c>
      <c r="AJ38" s="0" t="n">
        <f aca="false">IF(AND(ISNUMBER(Calculated_Ratios!S38),ISNUMBER(S38)),Calculated_Ratios!S38-S38,IF(AND(Calculated_Ratios!S38="",ISBLANK(S38)),0,"MISMATCH"))</f>
        <v>0</v>
      </c>
    </row>
    <row r="39" customFormat="false" ht="15" hidden="false" customHeight="false" outlineLevel="0" collapsed="false">
      <c r="A39" s="0" t="s">
        <v>125</v>
      </c>
      <c r="B39" s="0" t="n">
        <v>2018</v>
      </c>
      <c r="C39" s="0" t="n">
        <v>3881473</v>
      </c>
      <c r="D39" s="0" t="n">
        <v>1.46727801533078</v>
      </c>
      <c r="E39" s="0" t="n">
        <v>11.1062300249354</v>
      </c>
      <c r="F39" s="0" t="n">
        <v>8.43744114669869</v>
      </c>
      <c r="G39" s="0" t="n">
        <v>16.0529079842033</v>
      </c>
      <c r="H39" s="0" t="n">
        <v>10.6576506563765</v>
      </c>
      <c r="I39" s="0" t="n">
        <v>1.59385367359247</v>
      </c>
      <c r="N39" s="0" t="n">
        <v>1.42883413988334</v>
      </c>
      <c r="O39" s="0" t="n">
        <v>88.8937699750646</v>
      </c>
      <c r="P39" s="0" t="n">
        <v>15.1982754478219</v>
      </c>
      <c r="Q39" s="0" t="n">
        <v>0</v>
      </c>
      <c r="R39" s="0" t="n">
        <v>0</v>
      </c>
      <c r="T39" s="0" t="n">
        <f aca="false">IF(AND(ISNUMBER(Calculated_Ratios!C39),ISNUMBER(C39)),Calculated_Ratios!C39-C39,IF(AND(Calculated_Ratios!C39="",ISBLANK(C39)),0,"MISMATCH"))</f>
        <v>0</v>
      </c>
      <c r="U39" s="0" t="n">
        <f aca="false">IF(AND(ISNUMBER(Calculated_Ratios!D39),ISNUMBER(D39)),Calculated_Ratios!D39-D39,IF(AND(Calculated_Ratios!D39="",ISBLANK(D39)),0,"MISMATCH"))</f>
        <v>0</v>
      </c>
      <c r="V39" s="0" t="n">
        <f aca="false">IF(AND(ISNUMBER(Calculated_Ratios!E39),ISNUMBER(E39)),Calculated_Ratios!E39-E39,IF(AND(Calculated_Ratios!E39="",ISBLANK(E39)),0,"MISMATCH"))</f>
        <v>0</v>
      </c>
      <c r="W39" s="0" t="n">
        <f aca="false">IF(AND(ISNUMBER(Calculated_Ratios!F39),ISNUMBER(F39)),Calculated_Ratios!F39-F39,IF(AND(Calculated_Ratios!F39="",ISBLANK(F39)),0,"MISMATCH"))</f>
        <v>0</v>
      </c>
      <c r="X39" s="0" t="n">
        <f aca="false">IF(AND(ISNUMBER(Calculated_Ratios!G39),ISNUMBER(G39)),Calculated_Ratios!G39-G39,IF(AND(Calculated_Ratios!G39="",ISBLANK(G39)),0,"MISMATCH"))</f>
        <v>0</v>
      </c>
      <c r="Y39" s="0" t="n">
        <f aca="false">IF(AND(ISNUMBER(Calculated_Ratios!H39),ISNUMBER(H39)),Calculated_Ratios!H39-H39,IF(AND(Calculated_Ratios!H39="",ISBLANK(H39)),0,"MISMATCH"))</f>
        <v>0</v>
      </c>
      <c r="Z39" s="0" t="n">
        <f aca="false">IF(AND(ISNUMBER(Calculated_Ratios!I39),ISNUMBER(I39)),Calculated_Ratios!I39-I39,IF(AND(Calculated_Ratios!I39="",ISBLANK(I39)),0,"MISMATCH"))</f>
        <v>0</v>
      </c>
      <c r="AA39" s="0" t="n">
        <f aca="false">IF(AND(ISNUMBER(Calculated_Ratios!J39),ISNUMBER(J39)),Calculated_Ratios!J39-J39,IF(AND(Calculated_Ratios!J39="",ISBLANK(J39)),0,"MISMATCH"))</f>
        <v>0</v>
      </c>
      <c r="AB39" s="0" t="n">
        <f aca="false">IF(AND(ISNUMBER(Calculated_Ratios!K39),ISNUMBER(K39)),Calculated_Ratios!K39-K39,IF(AND(Calculated_Ratios!K39="",ISBLANK(K39)),0,"MISMATCH"))</f>
        <v>0</v>
      </c>
      <c r="AC39" s="0" t="n">
        <f aca="false">IF(AND(ISNUMBER(Calculated_Ratios!L39),ISNUMBER(L39)),Calculated_Ratios!L39-L39,IF(AND(Calculated_Ratios!L39="",ISBLANK(L39)),0,"MISMATCH"))</f>
        <v>0</v>
      </c>
      <c r="AD39" s="0" t="n">
        <f aca="false">IF(AND(ISNUMBER(Calculated_Ratios!M39),ISNUMBER(M39)),Calculated_Ratios!M39-M39,IF(AND(Calculated_Ratios!M39="",ISBLANK(M39)),0,"MISMATCH"))</f>
        <v>0</v>
      </c>
      <c r="AE39" s="0" t="n">
        <f aca="false">IF(AND(ISNUMBER(Calculated_Ratios!N39),ISNUMBER(N39)),Calculated_Ratios!N39-N39,IF(AND(Calculated_Ratios!N39="",ISBLANK(N39)),0,"MISMATCH"))</f>
        <v>0</v>
      </c>
      <c r="AF39" s="0" t="n">
        <f aca="false">IF(AND(ISNUMBER(Calculated_Ratios!O39),ISNUMBER(O39)),Calculated_Ratios!O39-O39,IF(AND(Calculated_Ratios!O39="",ISBLANK(O39)),0,"MISMATCH"))</f>
        <v>0</v>
      </c>
      <c r="AG39" s="0" t="n">
        <f aca="false">IF(AND(ISNUMBER(Calculated_Ratios!P39),ISNUMBER(P39)),Calculated_Ratios!P39-P39,IF(AND(Calculated_Ratios!P39="",ISBLANK(P39)),0,"MISMATCH"))</f>
        <v>0</v>
      </c>
      <c r="AH39" s="0" t="n">
        <f aca="false">IF(AND(ISNUMBER(Calculated_Ratios!Q39),ISNUMBER(Q39)),Calculated_Ratios!Q39-Q39,IF(AND(Calculated_Ratios!Q39="",ISBLANK(Q39)),0,"MISMATCH"))</f>
        <v>0</v>
      </c>
      <c r="AI39" s="0" t="n">
        <f aca="false">IF(AND(ISNUMBER(Calculated_Ratios!R39),ISNUMBER(R39)),Calculated_Ratios!R39-R39,IF(AND(Calculated_Ratios!R39="",ISBLANK(R39)),0,"MISMATCH"))</f>
        <v>0</v>
      </c>
      <c r="AJ39" s="0" t="n">
        <f aca="false">IF(AND(ISNUMBER(Calculated_Ratios!S39),ISNUMBER(S39)),Calculated_Ratios!S39-S39,IF(AND(Calculated_Ratios!S39="",ISBLANK(S39)),0,"MISMATCH"))</f>
        <v>0</v>
      </c>
    </row>
    <row r="40" customFormat="false" ht="15" hidden="false" customHeight="false" outlineLevel="0" collapsed="false">
      <c r="A40" s="0" t="s">
        <v>125</v>
      </c>
      <c r="B40" s="0" t="n">
        <v>2019</v>
      </c>
      <c r="C40" s="0" t="n">
        <v>4327093</v>
      </c>
      <c r="D40" s="0" t="n">
        <v>1.01493080920609</v>
      </c>
      <c r="E40" s="0" t="n">
        <v>11.5559716974928</v>
      </c>
      <c r="F40" s="0" t="n">
        <v>-5.05540324647517</v>
      </c>
      <c r="G40" s="0" t="n">
        <v>3.66403367397303</v>
      </c>
      <c r="H40" s="0" t="n">
        <v>11.156867031259</v>
      </c>
      <c r="I40" s="0" t="n">
        <v>1.07785989346658</v>
      </c>
      <c r="N40" s="0" t="n">
        <v>0.940753541080128</v>
      </c>
      <c r="O40" s="0" t="n">
        <v>88.4440283025072</v>
      </c>
      <c r="P40" s="0" t="n">
        <v>15.35630103924</v>
      </c>
      <c r="Q40" s="0" t="n">
        <v>0</v>
      </c>
      <c r="R40" s="0" t="n">
        <v>-1</v>
      </c>
      <c r="T40" s="0" t="n">
        <f aca="false">IF(AND(ISNUMBER(Calculated_Ratios!C40),ISNUMBER(C40)),Calculated_Ratios!C40-C40,IF(AND(Calculated_Ratios!C40="",ISBLANK(C40)),0,"MISMATCH"))</f>
        <v>0</v>
      </c>
      <c r="U40" s="0" t="n">
        <f aca="false">IF(AND(ISNUMBER(Calculated_Ratios!D40),ISNUMBER(D40)),Calculated_Ratios!D40-D40,IF(AND(Calculated_Ratios!D40="",ISBLANK(D40)),0,"MISMATCH"))</f>
        <v>0</v>
      </c>
      <c r="V40" s="0" t="n">
        <f aca="false">IF(AND(ISNUMBER(Calculated_Ratios!E40),ISNUMBER(E40)),Calculated_Ratios!E40-E40,IF(AND(Calculated_Ratios!E40="",ISBLANK(E40)),0,"MISMATCH"))</f>
        <v>0</v>
      </c>
      <c r="W40" s="0" t="n">
        <f aca="false">IF(AND(ISNUMBER(Calculated_Ratios!F40),ISNUMBER(F40)),Calculated_Ratios!F40-F40,IF(AND(Calculated_Ratios!F40="",ISBLANK(F40)),0,"MISMATCH"))</f>
        <v>0</v>
      </c>
      <c r="X40" s="0" t="n">
        <f aca="false">IF(AND(ISNUMBER(Calculated_Ratios!G40),ISNUMBER(G40)),Calculated_Ratios!G40-G40,IF(AND(Calculated_Ratios!G40="",ISBLANK(G40)),0,"MISMATCH"))</f>
        <v>0</v>
      </c>
      <c r="Y40" s="0" t="n">
        <f aca="false">IF(AND(ISNUMBER(Calculated_Ratios!H40),ISNUMBER(H40)),Calculated_Ratios!H40-H40,IF(AND(Calculated_Ratios!H40="",ISBLANK(H40)),0,"MISMATCH"))</f>
        <v>0</v>
      </c>
      <c r="Z40" s="0" t="n">
        <f aca="false">IF(AND(ISNUMBER(Calculated_Ratios!I40),ISNUMBER(I40)),Calculated_Ratios!I40-I40,IF(AND(Calculated_Ratios!I40="",ISBLANK(I40)),0,"MISMATCH"))</f>
        <v>0</v>
      </c>
      <c r="AA40" s="0" t="n">
        <f aca="false">IF(AND(ISNUMBER(Calculated_Ratios!J40),ISNUMBER(J40)),Calculated_Ratios!J40-J40,IF(AND(Calculated_Ratios!J40="",ISBLANK(J40)),0,"MISMATCH"))</f>
        <v>0</v>
      </c>
      <c r="AB40" s="0" t="n">
        <f aca="false">IF(AND(ISNUMBER(Calculated_Ratios!K40),ISNUMBER(K40)),Calculated_Ratios!K40-K40,IF(AND(Calculated_Ratios!K40="",ISBLANK(K40)),0,"MISMATCH"))</f>
        <v>0</v>
      </c>
      <c r="AC40" s="0" t="n">
        <f aca="false">IF(AND(ISNUMBER(Calculated_Ratios!L40),ISNUMBER(L40)),Calculated_Ratios!L40-L40,IF(AND(Calculated_Ratios!L40="",ISBLANK(L40)),0,"MISMATCH"))</f>
        <v>0</v>
      </c>
      <c r="AD40" s="0" t="n">
        <f aca="false">IF(AND(ISNUMBER(Calculated_Ratios!M40),ISNUMBER(M40)),Calculated_Ratios!M40-M40,IF(AND(Calculated_Ratios!M40="",ISBLANK(M40)),0,"MISMATCH"))</f>
        <v>0</v>
      </c>
      <c r="AE40" s="0" t="n">
        <f aca="false">IF(AND(ISNUMBER(Calculated_Ratios!N40),ISNUMBER(N40)),Calculated_Ratios!N40-N40,IF(AND(Calculated_Ratios!N40="",ISBLANK(N40)),0,"MISMATCH"))</f>
        <v>0</v>
      </c>
      <c r="AF40" s="0" t="n">
        <f aca="false">IF(AND(ISNUMBER(Calculated_Ratios!O40),ISNUMBER(O40)),Calculated_Ratios!O40-O40,IF(AND(Calculated_Ratios!O40="",ISBLANK(O40)),0,"MISMATCH"))</f>
        <v>0</v>
      </c>
      <c r="AG40" s="0" t="n">
        <f aca="false">IF(AND(ISNUMBER(Calculated_Ratios!P40),ISNUMBER(P40)),Calculated_Ratios!P40-P40,IF(AND(Calculated_Ratios!P40="",ISBLANK(P40)),0,"MISMATCH"))</f>
        <v>0</v>
      </c>
      <c r="AH40" s="0" t="n">
        <f aca="false">IF(AND(ISNUMBER(Calculated_Ratios!Q40),ISNUMBER(Q40)),Calculated_Ratios!Q40-Q40,IF(AND(Calculated_Ratios!Q40="",ISBLANK(Q40)),0,"MISMATCH"))</f>
        <v>0</v>
      </c>
      <c r="AI40" s="0" t="n">
        <f aca="false">IF(AND(ISNUMBER(Calculated_Ratios!R40),ISNUMBER(R40)),Calculated_Ratios!R40-R40,IF(AND(Calculated_Ratios!R40="",ISBLANK(R40)),0,"MISMATCH"))</f>
        <v>0</v>
      </c>
      <c r="AJ40" s="0" t="n">
        <f aca="false">IF(AND(ISNUMBER(Calculated_Ratios!S40),ISNUMBER(S40)),Calculated_Ratios!S40-S40,IF(AND(Calculated_Ratios!S40="",ISBLANK(S40)),0,"MISMATCH"))</f>
        <v>0</v>
      </c>
    </row>
    <row r="41" customFormat="false" ht="15" hidden="false" customHeight="false" outlineLevel="0" collapsed="false">
      <c r="A41" s="0" t="s">
        <v>125</v>
      </c>
      <c r="B41" s="0" t="n">
        <v>2022</v>
      </c>
      <c r="E41" s="0" t="n">
        <v>9.26622080329253</v>
      </c>
      <c r="N41" s="0" t="n">
        <v>1.12509938388147</v>
      </c>
      <c r="O41" s="0" t="n">
        <v>90.7337791967075</v>
      </c>
      <c r="P41" s="0" t="n">
        <v>15.9104636707682</v>
      </c>
      <c r="Q41" s="0" t="n">
        <v>0</v>
      </c>
      <c r="T41" s="0" t="n">
        <f aca="false">IF(AND(ISNUMBER(Calculated_Ratios!C41),ISNUMBER(C41)),Calculated_Ratios!C41-C41,IF(AND(Calculated_Ratios!C41="",ISBLANK(C41)),0,"MISMATCH"))</f>
        <v>0</v>
      </c>
      <c r="U41" s="0" t="n">
        <f aca="false">IF(AND(ISNUMBER(Calculated_Ratios!D41),ISNUMBER(D41)),Calculated_Ratios!D41-D41,IF(AND(Calculated_Ratios!D41="",ISBLANK(D41)),0,"MISMATCH"))</f>
        <v>0</v>
      </c>
      <c r="V41" s="0" t="n">
        <f aca="false">IF(AND(ISNUMBER(Calculated_Ratios!E41),ISNUMBER(E41)),Calculated_Ratios!E41-E41,IF(AND(Calculated_Ratios!E41="",ISBLANK(E41)),0,"MISMATCH"))</f>
        <v>0</v>
      </c>
      <c r="W41" s="0" t="n">
        <f aca="false">IF(AND(ISNUMBER(Calculated_Ratios!F41),ISNUMBER(F41)),Calculated_Ratios!F41-F41,IF(AND(Calculated_Ratios!F41="",ISBLANK(F41)),0,"MISMATCH"))</f>
        <v>0</v>
      </c>
      <c r="X41" s="0" t="n">
        <f aca="false">IF(AND(ISNUMBER(Calculated_Ratios!G41),ISNUMBER(G41)),Calculated_Ratios!G41-G41,IF(AND(Calculated_Ratios!G41="",ISBLANK(G41)),0,"MISMATCH"))</f>
        <v>0</v>
      </c>
      <c r="Y41" s="0" t="n">
        <f aca="false">IF(AND(ISNUMBER(Calculated_Ratios!H41),ISNUMBER(H41)),Calculated_Ratios!H41-H41,IF(AND(Calculated_Ratios!H41="",ISBLANK(H41)),0,"MISMATCH"))</f>
        <v>0</v>
      </c>
      <c r="Z41" s="0" t="n">
        <f aca="false">IF(AND(ISNUMBER(Calculated_Ratios!I41),ISNUMBER(I41)),Calculated_Ratios!I41-I41,IF(AND(Calculated_Ratios!I41="",ISBLANK(I41)),0,"MISMATCH"))</f>
        <v>0</v>
      </c>
      <c r="AA41" s="0" t="n">
        <f aca="false">IF(AND(ISNUMBER(Calculated_Ratios!J41),ISNUMBER(J41)),Calculated_Ratios!J41-J41,IF(AND(Calculated_Ratios!J41="",ISBLANK(J41)),0,"MISMATCH"))</f>
        <v>0</v>
      </c>
      <c r="AB41" s="0" t="n">
        <f aca="false">IF(AND(ISNUMBER(Calculated_Ratios!K41),ISNUMBER(K41)),Calculated_Ratios!K41-K41,IF(AND(Calculated_Ratios!K41="",ISBLANK(K41)),0,"MISMATCH"))</f>
        <v>0</v>
      </c>
      <c r="AC41" s="0" t="n">
        <f aca="false">IF(AND(ISNUMBER(Calculated_Ratios!L41),ISNUMBER(L41)),Calculated_Ratios!L41-L41,IF(AND(Calculated_Ratios!L41="",ISBLANK(L41)),0,"MISMATCH"))</f>
        <v>0</v>
      </c>
      <c r="AD41" s="0" t="n">
        <f aca="false">IF(AND(ISNUMBER(Calculated_Ratios!M41),ISNUMBER(M41)),Calculated_Ratios!M41-M41,IF(AND(Calculated_Ratios!M41="",ISBLANK(M41)),0,"MISMATCH"))</f>
        <v>0</v>
      </c>
      <c r="AE41" s="0" t="n">
        <f aca="false">IF(AND(ISNUMBER(Calculated_Ratios!N41),ISNUMBER(N41)),Calculated_Ratios!N41-N41,IF(AND(Calculated_Ratios!N41="",ISBLANK(N41)),0,"MISMATCH"))</f>
        <v>0</v>
      </c>
      <c r="AF41" s="0" t="n">
        <f aca="false">IF(AND(ISNUMBER(Calculated_Ratios!O41),ISNUMBER(O41)),Calculated_Ratios!O41-O41,IF(AND(Calculated_Ratios!O41="",ISBLANK(O41)),0,"MISMATCH"))</f>
        <v>0</v>
      </c>
      <c r="AG41" s="0" t="n">
        <f aca="false">IF(AND(ISNUMBER(Calculated_Ratios!P41),ISNUMBER(P41)),Calculated_Ratios!P41-P41,IF(AND(Calculated_Ratios!P41="",ISBLANK(P41)),0,"MISMATCH"))</f>
        <v>0</v>
      </c>
      <c r="AH41" s="0" t="n">
        <f aca="false">IF(AND(ISNUMBER(Calculated_Ratios!Q41),ISNUMBER(Q41)),Calculated_Ratios!Q41-Q41,IF(AND(Calculated_Ratios!Q41="",ISBLANK(Q41)),0,"MISMATCH"))</f>
        <v>0</v>
      </c>
      <c r="AI41" s="0" t="n">
        <f aca="false">IF(AND(ISNUMBER(Calculated_Ratios!R41),ISNUMBER(R41)),Calculated_Ratios!R41-R41,IF(AND(Calculated_Ratios!R41="",ISBLANK(R41)),0,"MISMATCH"))</f>
        <v>0</v>
      </c>
      <c r="AJ41" s="0" t="n">
        <f aca="false">IF(AND(ISNUMBER(Calculated_Ratios!S41),ISNUMBER(S41)),Calculated_Ratios!S41-S41,IF(AND(Calculated_Ratios!S41="",ISBLANK(S41)),0,"MISMATCH"))</f>
        <v>0</v>
      </c>
    </row>
    <row r="42" customFormat="false" ht="15" hidden="false" customHeight="false" outlineLevel="0" collapsed="false">
      <c r="A42" s="0" t="s">
        <v>136</v>
      </c>
      <c r="B42" s="0" t="n">
        <v>2013</v>
      </c>
      <c r="E42" s="0" t="n">
        <v>17.3100653970928</v>
      </c>
      <c r="N42" s="0" t="n">
        <v>4.4920986827112</v>
      </c>
      <c r="O42" s="0" t="n">
        <v>82.6899346029072</v>
      </c>
      <c r="P42" s="0" t="n">
        <v>14.459659702751</v>
      </c>
      <c r="Q42" s="0" t="n">
        <v>0</v>
      </c>
      <c r="T42" s="0" t="n">
        <f aca="false">IF(AND(ISNUMBER(Calculated_Ratios!C42),ISNUMBER(C42)),Calculated_Ratios!C42-C42,IF(AND(Calculated_Ratios!C42="",ISBLANK(C42)),0,"MISMATCH"))</f>
        <v>0</v>
      </c>
      <c r="U42" s="0" t="n">
        <f aca="false">IF(AND(ISNUMBER(Calculated_Ratios!D42),ISNUMBER(D42)),Calculated_Ratios!D42-D42,IF(AND(Calculated_Ratios!D42="",ISBLANK(D42)),0,"MISMATCH"))</f>
        <v>0</v>
      </c>
      <c r="V42" s="0" t="n">
        <f aca="false">IF(AND(ISNUMBER(Calculated_Ratios!E42),ISNUMBER(E42)),Calculated_Ratios!E42-E42,IF(AND(Calculated_Ratios!E42="",ISBLANK(E42)),0,"MISMATCH"))</f>
        <v>0</v>
      </c>
      <c r="W42" s="0" t="n">
        <f aca="false">IF(AND(ISNUMBER(Calculated_Ratios!F42),ISNUMBER(F42)),Calculated_Ratios!F42-F42,IF(AND(Calculated_Ratios!F42="",ISBLANK(F42)),0,"MISMATCH"))</f>
        <v>0</v>
      </c>
      <c r="X42" s="0" t="n">
        <f aca="false">IF(AND(ISNUMBER(Calculated_Ratios!G42),ISNUMBER(G42)),Calculated_Ratios!G42-G42,IF(AND(Calculated_Ratios!G42="",ISBLANK(G42)),0,"MISMATCH"))</f>
        <v>0</v>
      </c>
      <c r="Y42" s="0" t="n">
        <f aca="false">IF(AND(ISNUMBER(Calculated_Ratios!H42),ISNUMBER(H42)),Calculated_Ratios!H42-H42,IF(AND(Calculated_Ratios!H42="",ISBLANK(H42)),0,"MISMATCH"))</f>
        <v>0</v>
      </c>
      <c r="Z42" s="0" t="n">
        <f aca="false">IF(AND(ISNUMBER(Calculated_Ratios!I42),ISNUMBER(I42)),Calculated_Ratios!I42-I42,IF(AND(Calculated_Ratios!I42="",ISBLANK(I42)),0,"MISMATCH"))</f>
        <v>0</v>
      </c>
      <c r="AA42" s="0" t="n">
        <f aca="false">IF(AND(ISNUMBER(Calculated_Ratios!J42),ISNUMBER(J42)),Calculated_Ratios!J42-J42,IF(AND(Calculated_Ratios!J42="",ISBLANK(J42)),0,"MISMATCH"))</f>
        <v>0</v>
      </c>
      <c r="AB42" s="0" t="n">
        <f aca="false">IF(AND(ISNUMBER(Calculated_Ratios!K42),ISNUMBER(K42)),Calculated_Ratios!K42-K42,IF(AND(Calculated_Ratios!K42="",ISBLANK(K42)),0,"MISMATCH"))</f>
        <v>0</v>
      </c>
      <c r="AC42" s="0" t="n">
        <f aca="false">IF(AND(ISNUMBER(Calculated_Ratios!L42),ISNUMBER(L42)),Calculated_Ratios!L42-L42,IF(AND(Calculated_Ratios!L42="",ISBLANK(L42)),0,"MISMATCH"))</f>
        <v>0</v>
      </c>
      <c r="AD42" s="0" t="n">
        <f aca="false">IF(AND(ISNUMBER(Calculated_Ratios!M42),ISNUMBER(M42)),Calculated_Ratios!M42-M42,IF(AND(Calculated_Ratios!M42="",ISBLANK(M42)),0,"MISMATCH"))</f>
        <v>0</v>
      </c>
      <c r="AE42" s="0" t="n">
        <f aca="false">IF(AND(ISNUMBER(Calculated_Ratios!N42),ISNUMBER(N42)),Calculated_Ratios!N42-N42,IF(AND(Calculated_Ratios!N42="",ISBLANK(N42)),0,"MISMATCH"))</f>
        <v>0</v>
      </c>
      <c r="AF42" s="0" t="n">
        <f aca="false">IF(AND(ISNUMBER(Calculated_Ratios!O42),ISNUMBER(O42)),Calculated_Ratios!O42-O42,IF(AND(Calculated_Ratios!O42="",ISBLANK(O42)),0,"MISMATCH"))</f>
        <v>0</v>
      </c>
      <c r="AG42" s="0" t="n">
        <f aca="false">IF(AND(ISNUMBER(Calculated_Ratios!P42),ISNUMBER(P42)),Calculated_Ratios!P42-P42,IF(AND(Calculated_Ratios!P42="",ISBLANK(P42)),0,"MISMATCH"))</f>
        <v>0</v>
      </c>
      <c r="AH42" s="0" t="n">
        <f aca="false">IF(AND(ISNUMBER(Calculated_Ratios!Q42),ISNUMBER(Q42)),Calculated_Ratios!Q42-Q42,IF(AND(Calculated_Ratios!Q42="",ISBLANK(Q42)),0,"MISMATCH"))</f>
        <v>0</v>
      </c>
      <c r="AI42" s="0" t="n">
        <f aca="false">IF(AND(ISNUMBER(Calculated_Ratios!R42),ISNUMBER(R42)),Calculated_Ratios!R42-R42,IF(AND(Calculated_Ratios!R42="",ISBLANK(R42)),0,"MISMATCH"))</f>
        <v>0</v>
      </c>
      <c r="AJ42" s="0" t="n">
        <f aca="false">IF(AND(ISNUMBER(Calculated_Ratios!S42),ISNUMBER(S42)),Calculated_Ratios!S42-S42,IF(AND(Calculated_Ratios!S42="",ISBLANK(S42)),0,"MISMATCH"))</f>
        <v>0</v>
      </c>
    </row>
    <row r="43" customFormat="false" ht="15" hidden="false" customHeight="false" outlineLevel="0" collapsed="false">
      <c r="A43" s="0" t="s">
        <v>136</v>
      </c>
      <c r="B43" s="0" t="n">
        <v>2014</v>
      </c>
      <c r="C43" s="0" t="n">
        <v>2015487</v>
      </c>
      <c r="D43" s="0" t="n">
        <v>4.63570343048603</v>
      </c>
      <c r="E43" s="0" t="n">
        <v>17.3764981604508</v>
      </c>
      <c r="N43" s="0" t="n">
        <v>4.39347543129717</v>
      </c>
      <c r="O43" s="0" t="n">
        <v>82.6235018395492</v>
      </c>
      <c r="P43" s="0" t="n">
        <v>14.5700387800655</v>
      </c>
      <c r="Q43" s="0" t="n">
        <v>0</v>
      </c>
      <c r="T43" s="0" t="n">
        <f aca="false">IF(AND(ISNUMBER(Calculated_Ratios!C43),ISNUMBER(C43)),Calculated_Ratios!C43-C43,IF(AND(Calculated_Ratios!C43="",ISBLANK(C43)),0,"MISMATCH"))</f>
        <v>0</v>
      </c>
      <c r="U43" s="0" t="n">
        <f aca="false">IF(AND(ISNUMBER(Calculated_Ratios!D43),ISNUMBER(D43)),Calculated_Ratios!D43-D43,IF(AND(Calculated_Ratios!D43="",ISBLANK(D43)),0,"MISMATCH"))</f>
        <v>0</v>
      </c>
      <c r="V43" s="0" t="n">
        <f aca="false">IF(AND(ISNUMBER(Calculated_Ratios!E43),ISNUMBER(E43)),Calculated_Ratios!E43-E43,IF(AND(Calculated_Ratios!E43="",ISBLANK(E43)),0,"MISMATCH"))</f>
        <v>0</v>
      </c>
      <c r="W43" s="0" t="n">
        <f aca="false">IF(AND(ISNUMBER(Calculated_Ratios!F43),ISNUMBER(F43)),Calculated_Ratios!F43-F43,IF(AND(Calculated_Ratios!F43="",ISBLANK(F43)),0,"MISMATCH"))</f>
        <v>0</v>
      </c>
      <c r="X43" s="0" t="n">
        <f aca="false">IF(AND(ISNUMBER(Calculated_Ratios!G43),ISNUMBER(G43)),Calculated_Ratios!G43-G43,IF(AND(Calculated_Ratios!G43="",ISBLANK(G43)),0,"MISMATCH"))</f>
        <v>0</v>
      </c>
      <c r="Y43" s="0" t="n">
        <f aca="false">IF(AND(ISNUMBER(Calculated_Ratios!H43),ISNUMBER(H43)),Calculated_Ratios!H43-H43,IF(AND(Calculated_Ratios!H43="",ISBLANK(H43)),0,"MISMATCH"))</f>
        <v>0</v>
      </c>
      <c r="Z43" s="0" t="n">
        <f aca="false">IF(AND(ISNUMBER(Calculated_Ratios!I43),ISNUMBER(I43)),Calculated_Ratios!I43-I43,IF(AND(Calculated_Ratios!I43="",ISBLANK(I43)),0,"MISMATCH"))</f>
        <v>0</v>
      </c>
      <c r="AA43" s="0" t="n">
        <f aca="false">IF(AND(ISNUMBER(Calculated_Ratios!J43),ISNUMBER(J43)),Calculated_Ratios!J43-J43,IF(AND(Calculated_Ratios!J43="",ISBLANK(J43)),0,"MISMATCH"))</f>
        <v>0</v>
      </c>
      <c r="AB43" s="0" t="n">
        <f aca="false">IF(AND(ISNUMBER(Calculated_Ratios!K43),ISNUMBER(K43)),Calculated_Ratios!K43-K43,IF(AND(Calculated_Ratios!K43="",ISBLANK(K43)),0,"MISMATCH"))</f>
        <v>0</v>
      </c>
      <c r="AC43" s="0" t="n">
        <f aca="false">IF(AND(ISNUMBER(Calculated_Ratios!L43),ISNUMBER(L43)),Calculated_Ratios!L43-L43,IF(AND(Calculated_Ratios!L43="",ISBLANK(L43)),0,"MISMATCH"))</f>
        <v>0</v>
      </c>
      <c r="AD43" s="0" t="n">
        <f aca="false">IF(AND(ISNUMBER(Calculated_Ratios!M43),ISNUMBER(M43)),Calculated_Ratios!M43-M43,IF(AND(Calculated_Ratios!M43="",ISBLANK(M43)),0,"MISMATCH"))</f>
        <v>0</v>
      </c>
      <c r="AE43" s="0" t="n">
        <f aca="false">IF(AND(ISNUMBER(Calculated_Ratios!N43),ISNUMBER(N43)),Calculated_Ratios!N43-N43,IF(AND(Calculated_Ratios!N43="",ISBLANK(N43)),0,"MISMATCH"))</f>
        <v>0</v>
      </c>
      <c r="AF43" s="0" t="n">
        <f aca="false">IF(AND(ISNUMBER(Calculated_Ratios!O43),ISNUMBER(O43)),Calculated_Ratios!O43-O43,IF(AND(Calculated_Ratios!O43="",ISBLANK(O43)),0,"MISMATCH"))</f>
        <v>0</v>
      </c>
      <c r="AG43" s="0" t="n">
        <f aca="false">IF(AND(ISNUMBER(Calculated_Ratios!P43),ISNUMBER(P43)),Calculated_Ratios!P43-P43,IF(AND(Calculated_Ratios!P43="",ISBLANK(P43)),0,"MISMATCH"))</f>
        <v>0</v>
      </c>
      <c r="AH43" s="0" t="n">
        <f aca="false">IF(AND(ISNUMBER(Calculated_Ratios!Q43),ISNUMBER(Q43)),Calculated_Ratios!Q43-Q43,IF(AND(Calculated_Ratios!Q43="",ISBLANK(Q43)),0,"MISMATCH"))</f>
        <v>0</v>
      </c>
      <c r="AI43" s="0" t="n">
        <f aca="false">IF(AND(ISNUMBER(Calculated_Ratios!R43),ISNUMBER(R43)),Calculated_Ratios!R43-R43,IF(AND(Calculated_Ratios!R43="",ISBLANK(R43)),0,"MISMATCH"))</f>
        <v>0</v>
      </c>
      <c r="AJ43" s="0" t="n">
        <f aca="false">IF(AND(ISNUMBER(Calculated_Ratios!S43),ISNUMBER(S43)),Calculated_Ratios!S43-S43,IF(AND(Calculated_Ratios!S43="",ISBLANK(S43)),0,"MISMATCH"))</f>
        <v>0</v>
      </c>
    </row>
    <row r="44" customFormat="false" ht="15" hidden="false" customHeight="false" outlineLevel="0" collapsed="false">
      <c r="A44" s="0" t="s">
        <v>136</v>
      </c>
      <c r="B44" s="0" t="n">
        <v>2015</v>
      </c>
      <c r="C44" s="0" t="n">
        <v>2202118.768</v>
      </c>
      <c r="D44" s="0" t="n">
        <v>4.28260838472632</v>
      </c>
      <c r="E44" s="0" t="n">
        <v>17.8083572043243</v>
      </c>
      <c r="F44" s="0" t="n">
        <v>0.473596072634716</v>
      </c>
      <c r="G44" s="0" t="n">
        <v>2.03704641332621</v>
      </c>
      <c r="H44" s="0" t="n">
        <v>18.1696477559626</v>
      </c>
      <c r="I44" s="0" t="n">
        <v>0.534456822721198</v>
      </c>
      <c r="N44" s="0" t="n">
        <v>4.14062666593182</v>
      </c>
      <c r="O44" s="0" t="n">
        <v>82.1916427956757</v>
      </c>
      <c r="P44" s="0" t="n">
        <v>14.6386456459139</v>
      </c>
      <c r="Q44" s="0" t="n">
        <v>0</v>
      </c>
      <c r="R44" s="0" t="n">
        <v>0</v>
      </c>
      <c r="T44" s="0" t="n">
        <f aca="false">IF(AND(ISNUMBER(Calculated_Ratios!C44),ISNUMBER(C44)),Calculated_Ratios!C44-C44,IF(AND(Calculated_Ratios!C44="",ISBLANK(C44)),0,"MISMATCH"))</f>
        <v>0</v>
      </c>
      <c r="U44" s="0" t="n">
        <f aca="false">IF(AND(ISNUMBER(Calculated_Ratios!D44),ISNUMBER(D44)),Calculated_Ratios!D44-D44,IF(AND(Calculated_Ratios!D44="",ISBLANK(D44)),0,"MISMATCH"))</f>
        <v>0</v>
      </c>
      <c r="V44" s="0" t="n">
        <f aca="false">IF(AND(ISNUMBER(Calculated_Ratios!E44),ISNUMBER(E44)),Calculated_Ratios!E44-E44,IF(AND(Calculated_Ratios!E44="",ISBLANK(E44)),0,"MISMATCH"))</f>
        <v>0</v>
      </c>
      <c r="W44" s="0" t="n">
        <f aca="false">IF(AND(ISNUMBER(Calculated_Ratios!F44),ISNUMBER(F44)),Calculated_Ratios!F44-F44,IF(AND(Calculated_Ratios!F44="",ISBLANK(F44)),0,"MISMATCH"))</f>
        <v>0</v>
      </c>
      <c r="X44" s="0" t="n">
        <f aca="false">IF(AND(ISNUMBER(Calculated_Ratios!G44),ISNUMBER(G44)),Calculated_Ratios!G44-G44,IF(AND(Calculated_Ratios!G44="",ISBLANK(G44)),0,"MISMATCH"))</f>
        <v>0</v>
      </c>
      <c r="Y44" s="0" t="n">
        <f aca="false">IF(AND(ISNUMBER(Calculated_Ratios!H44),ISNUMBER(H44)),Calculated_Ratios!H44-H44,IF(AND(Calculated_Ratios!H44="",ISBLANK(H44)),0,"MISMATCH"))</f>
        <v>0</v>
      </c>
      <c r="Z44" s="0" t="n">
        <f aca="false">IF(AND(ISNUMBER(Calculated_Ratios!I44),ISNUMBER(I44)),Calculated_Ratios!I44-I44,IF(AND(Calculated_Ratios!I44="",ISBLANK(I44)),0,"MISMATCH"))</f>
        <v>0</v>
      </c>
      <c r="AA44" s="0" t="n">
        <f aca="false">IF(AND(ISNUMBER(Calculated_Ratios!J44),ISNUMBER(J44)),Calculated_Ratios!J44-J44,IF(AND(Calculated_Ratios!J44="",ISBLANK(J44)),0,"MISMATCH"))</f>
        <v>0</v>
      </c>
      <c r="AB44" s="0" t="n">
        <f aca="false">IF(AND(ISNUMBER(Calculated_Ratios!K44),ISNUMBER(K44)),Calculated_Ratios!K44-K44,IF(AND(Calculated_Ratios!K44="",ISBLANK(K44)),0,"MISMATCH"))</f>
        <v>0</v>
      </c>
      <c r="AC44" s="0" t="n">
        <f aca="false">IF(AND(ISNUMBER(Calculated_Ratios!L44),ISNUMBER(L44)),Calculated_Ratios!L44-L44,IF(AND(Calculated_Ratios!L44="",ISBLANK(L44)),0,"MISMATCH"))</f>
        <v>0</v>
      </c>
      <c r="AD44" s="0" t="n">
        <f aca="false">IF(AND(ISNUMBER(Calculated_Ratios!M44),ISNUMBER(M44)),Calculated_Ratios!M44-M44,IF(AND(Calculated_Ratios!M44="",ISBLANK(M44)),0,"MISMATCH"))</f>
        <v>0</v>
      </c>
      <c r="AE44" s="0" t="n">
        <f aca="false">IF(AND(ISNUMBER(Calculated_Ratios!N44),ISNUMBER(N44)),Calculated_Ratios!N44-N44,IF(AND(Calculated_Ratios!N44="",ISBLANK(N44)),0,"MISMATCH"))</f>
        <v>0</v>
      </c>
      <c r="AF44" s="0" t="n">
        <f aca="false">IF(AND(ISNUMBER(Calculated_Ratios!O44),ISNUMBER(O44)),Calculated_Ratios!O44-O44,IF(AND(Calculated_Ratios!O44="",ISBLANK(O44)),0,"MISMATCH"))</f>
        <v>0</v>
      </c>
      <c r="AG44" s="0" t="n">
        <f aca="false">IF(AND(ISNUMBER(Calculated_Ratios!P44),ISNUMBER(P44)),Calculated_Ratios!P44-P44,IF(AND(Calculated_Ratios!P44="",ISBLANK(P44)),0,"MISMATCH"))</f>
        <v>0</v>
      </c>
      <c r="AH44" s="0" t="n">
        <f aca="false">IF(AND(ISNUMBER(Calculated_Ratios!Q44),ISNUMBER(Q44)),Calculated_Ratios!Q44-Q44,IF(AND(Calculated_Ratios!Q44="",ISBLANK(Q44)),0,"MISMATCH"))</f>
        <v>0</v>
      </c>
      <c r="AI44" s="0" t="n">
        <f aca="false">IF(AND(ISNUMBER(Calculated_Ratios!R44),ISNUMBER(R44)),Calculated_Ratios!R44-R44,IF(AND(Calculated_Ratios!R44="",ISBLANK(R44)),0,"MISMATCH"))</f>
        <v>0</v>
      </c>
      <c r="AJ44" s="0" t="n">
        <f aca="false">IF(AND(ISNUMBER(Calculated_Ratios!S44),ISNUMBER(S44)),Calculated_Ratios!S44-S44,IF(AND(Calculated_Ratios!S44="",ISBLANK(S44)),0,"MISMATCH"))</f>
        <v>0</v>
      </c>
    </row>
    <row r="45" customFormat="false" ht="15" hidden="false" customHeight="false" outlineLevel="0" collapsed="false">
      <c r="A45" s="0" t="s">
        <v>136</v>
      </c>
      <c r="B45" s="0" t="n">
        <v>2016</v>
      </c>
      <c r="C45" s="0" t="n">
        <v>2445484.649</v>
      </c>
      <c r="D45" s="0" t="n">
        <v>5.18657077041419</v>
      </c>
      <c r="E45" s="0" t="n">
        <v>18.24936056906</v>
      </c>
      <c r="F45" s="0" t="n">
        <v>11.7311772583529</v>
      </c>
      <c r="G45" s="0" t="n">
        <v>4.95599798775377</v>
      </c>
      <c r="H45" s="0" t="n">
        <v>19.7905949742338</v>
      </c>
      <c r="I45" s="0" t="n">
        <v>2.59836593233099</v>
      </c>
      <c r="N45" s="0" t="n">
        <v>4.85343615482322</v>
      </c>
      <c r="O45" s="0" t="n">
        <v>81.75063943094</v>
      </c>
      <c r="P45" s="0" t="n">
        <v>14.7761396829919</v>
      </c>
      <c r="Q45" s="0" t="n">
        <v>1.16415321826935E-010</v>
      </c>
      <c r="R45" s="0" t="n">
        <v>0</v>
      </c>
      <c r="T45" s="0" t="n">
        <f aca="false">IF(AND(ISNUMBER(Calculated_Ratios!C45),ISNUMBER(C45)),Calculated_Ratios!C45-C45,IF(AND(Calculated_Ratios!C45="",ISBLANK(C45)),0,"MISMATCH"))</f>
        <v>0</v>
      </c>
      <c r="U45" s="0" t="n">
        <f aca="false">IF(AND(ISNUMBER(Calculated_Ratios!D45),ISNUMBER(D45)),Calculated_Ratios!D45-D45,IF(AND(Calculated_Ratios!D45="",ISBLANK(D45)),0,"MISMATCH"))</f>
        <v>0</v>
      </c>
      <c r="V45" s="0" t="n">
        <f aca="false">IF(AND(ISNUMBER(Calculated_Ratios!E45),ISNUMBER(E45)),Calculated_Ratios!E45-E45,IF(AND(Calculated_Ratios!E45="",ISBLANK(E45)),0,"MISMATCH"))</f>
        <v>0</v>
      </c>
      <c r="W45" s="0" t="n">
        <f aca="false">IF(AND(ISNUMBER(Calculated_Ratios!F45),ISNUMBER(F45)),Calculated_Ratios!F45-F45,IF(AND(Calculated_Ratios!F45="",ISBLANK(F45)),0,"MISMATCH"))</f>
        <v>0</v>
      </c>
      <c r="X45" s="0" t="n">
        <f aca="false">IF(AND(ISNUMBER(Calculated_Ratios!G45),ISNUMBER(G45)),Calculated_Ratios!G45-G45,IF(AND(Calculated_Ratios!G45="",ISBLANK(G45)),0,"MISMATCH"))</f>
        <v>0</v>
      </c>
      <c r="Y45" s="0" t="n">
        <f aca="false">IF(AND(ISNUMBER(Calculated_Ratios!H45),ISNUMBER(H45)),Calculated_Ratios!H45-H45,IF(AND(Calculated_Ratios!H45="",ISBLANK(H45)),0,"MISMATCH"))</f>
        <v>0</v>
      </c>
      <c r="Z45" s="0" t="n">
        <f aca="false">IF(AND(ISNUMBER(Calculated_Ratios!I45),ISNUMBER(I45)),Calculated_Ratios!I45-I45,IF(AND(Calculated_Ratios!I45="",ISBLANK(I45)),0,"MISMATCH"))</f>
        <v>0</v>
      </c>
      <c r="AA45" s="0" t="n">
        <f aca="false">IF(AND(ISNUMBER(Calculated_Ratios!J45),ISNUMBER(J45)),Calculated_Ratios!J45-J45,IF(AND(Calculated_Ratios!J45="",ISBLANK(J45)),0,"MISMATCH"))</f>
        <v>0</v>
      </c>
      <c r="AB45" s="0" t="n">
        <f aca="false">IF(AND(ISNUMBER(Calculated_Ratios!K45),ISNUMBER(K45)),Calculated_Ratios!K45-K45,IF(AND(Calculated_Ratios!K45="",ISBLANK(K45)),0,"MISMATCH"))</f>
        <v>0</v>
      </c>
      <c r="AC45" s="0" t="n">
        <f aca="false">IF(AND(ISNUMBER(Calculated_Ratios!L45),ISNUMBER(L45)),Calculated_Ratios!L45-L45,IF(AND(Calculated_Ratios!L45="",ISBLANK(L45)),0,"MISMATCH"))</f>
        <v>0</v>
      </c>
      <c r="AD45" s="0" t="n">
        <f aca="false">IF(AND(ISNUMBER(Calculated_Ratios!M45),ISNUMBER(M45)),Calculated_Ratios!M45-M45,IF(AND(Calculated_Ratios!M45="",ISBLANK(M45)),0,"MISMATCH"))</f>
        <v>0</v>
      </c>
      <c r="AE45" s="0" t="n">
        <f aca="false">IF(AND(ISNUMBER(Calculated_Ratios!N45),ISNUMBER(N45)),Calculated_Ratios!N45-N45,IF(AND(Calculated_Ratios!N45="",ISBLANK(N45)),0,"MISMATCH"))</f>
        <v>0</v>
      </c>
      <c r="AF45" s="0" t="n">
        <f aca="false">IF(AND(ISNUMBER(Calculated_Ratios!O45),ISNUMBER(O45)),Calculated_Ratios!O45-O45,IF(AND(Calculated_Ratios!O45="",ISBLANK(O45)),0,"MISMATCH"))</f>
        <v>0</v>
      </c>
      <c r="AG45" s="0" t="n">
        <f aca="false">IF(AND(ISNUMBER(Calculated_Ratios!P45),ISNUMBER(P45)),Calculated_Ratios!P45-P45,IF(AND(Calculated_Ratios!P45="",ISBLANK(P45)),0,"MISMATCH"))</f>
        <v>0</v>
      </c>
      <c r="AH45" s="0" t="n">
        <f aca="false">IF(AND(ISNUMBER(Calculated_Ratios!Q45),ISNUMBER(Q45)),Calculated_Ratios!Q45-Q45,IF(AND(Calculated_Ratios!Q45="",ISBLANK(Q45)),0,"MISMATCH"))</f>
        <v>-1.16415321826935E-010</v>
      </c>
      <c r="AI45" s="0" t="n">
        <f aca="false">IF(AND(ISNUMBER(Calculated_Ratios!R45),ISNUMBER(R45)),Calculated_Ratios!R45-R45,IF(AND(Calculated_Ratios!R45="",ISBLANK(R45)),0,"MISMATCH"))</f>
        <v>0</v>
      </c>
      <c r="AJ45" s="0" t="n">
        <f aca="false">IF(AND(ISNUMBER(Calculated_Ratios!S45),ISNUMBER(S45)),Calculated_Ratios!S45-S45,IF(AND(Calculated_Ratios!S45="",ISBLANK(S45)),0,"MISMATCH"))</f>
        <v>0</v>
      </c>
    </row>
    <row r="46" customFormat="false" ht="15" hidden="false" customHeight="false" outlineLevel="0" collapsed="false">
      <c r="A46" s="0" t="s">
        <v>136</v>
      </c>
      <c r="B46" s="0" t="n">
        <v>2017</v>
      </c>
      <c r="C46" s="0" t="n">
        <v>2719134.5295</v>
      </c>
      <c r="D46" s="0" t="n">
        <v>5.83743478956104</v>
      </c>
      <c r="E46" s="0" t="n">
        <v>20.4811086959059</v>
      </c>
      <c r="F46" s="0" t="n">
        <v>12.9966841715987</v>
      </c>
      <c r="G46" s="0" t="n">
        <v>4.5450472420029</v>
      </c>
      <c r="I46" s="0" t="n">
        <v>0.424079495696022</v>
      </c>
      <c r="N46" s="0" t="n">
        <v>5.61882106923123</v>
      </c>
      <c r="O46" s="0" t="n">
        <v>79.5188913040941</v>
      </c>
      <c r="P46" s="0" t="n">
        <v>14.8539937841936</v>
      </c>
      <c r="Q46" s="0" t="n">
        <v>1.16415321826935E-010</v>
      </c>
      <c r="R46" s="0" t="n">
        <v>0</v>
      </c>
      <c r="T46" s="0" t="n">
        <f aca="false">IF(AND(ISNUMBER(Calculated_Ratios!C46),ISNUMBER(C46)),Calculated_Ratios!C46-C46,IF(AND(Calculated_Ratios!C46="",ISBLANK(C46)),0,"MISMATCH"))</f>
        <v>0</v>
      </c>
      <c r="U46" s="0" t="n">
        <f aca="false">IF(AND(ISNUMBER(Calculated_Ratios!D46),ISNUMBER(D46)),Calculated_Ratios!D46-D46,IF(AND(Calculated_Ratios!D46="",ISBLANK(D46)),0,"MISMATCH"))</f>
        <v>0</v>
      </c>
      <c r="V46" s="0" t="n">
        <f aca="false">IF(AND(ISNUMBER(Calculated_Ratios!E46),ISNUMBER(E46)),Calculated_Ratios!E46-E46,IF(AND(Calculated_Ratios!E46="",ISBLANK(E46)),0,"MISMATCH"))</f>
        <v>0</v>
      </c>
      <c r="W46" s="0" t="n">
        <f aca="false">IF(AND(ISNUMBER(Calculated_Ratios!F46),ISNUMBER(F46)),Calculated_Ratios!F46-F46,IF(AND(Calculated_Ratios!F46="",ISBLANK(F46)),0,"MISMATCH"))</f>
        <v>0</v>
      </c>
      <c r="X46" s="0" t="n">
        <f aca="false">IF(AND(ISNUMBER(Calculated_Ratios!G46),ISNUMBER(G46)),Calculated_Ratios!G46-G46,IF(AND(Calculated_Ratios!G46="",ISBLANK(G46)),0,"MISMATCH"))</f>
        <v>0</v>
      </c>
      <c r="Y46" s="0" t="n">
        <f aca="false">IF(AND(ISNUMBER(Calculated_Ratios!H46),ISNUMBER(H46)),Calculated_Ratios!H46-H46,IF(AND(Calculated_Ratios!H46="",ISBLANK(H46)),0,"MISMATCH"))</f>
        <v>0</v>
      </c>
      <c r="Z46" s="0" t="n">
        <f aca="false">IF(AND(ISNUMBER(Calculated_Ratios!I46),ISNUMBER(I46)),Calculated_Ratios!I46-I46,IF(AND(Calculated_Ratios!I46="",ISBLANK(I46)),0,"MISMATCH"))</f>
        <v>0</v>
      </c>
      <c r="AA46" s="0" t="n">
        <f aca="false">IF(AND(ISNUMBER(Calculated_Ratios!J46),ISNUMBER(J46)),Calculated_Ratios!J46-J46,IF(AND(Calculated_Ratios!J46="",ISBLANK(J46)),0,"MISMATCH"))</f>
        <v>0</v>
      </c>
      <c r="AB46" s="0" t="n">
        <f aca="false">IF(AND(ISNUMBER(Calculated_Ratios!K46),ISNUMBER(K46)),Calculated_Ratios!K46-K46,IF(AND(Calculated_Ratios!K46="",ISBLANK(K46)),0,"MISMATCH"))</f>
        <v>0</v>
      </c>
      <c r="AC46" s="0" t="n">
        <f aca="false">IF(AND(ISNUMBER(Calculated_Ratios!L46),ISNUMBER(L46)),Calculated_Ratios!L46-L46,IF(AND(Calculated_Ratios!L46="",ISBLANK(L46)),0,"MISMATCH"))</f>
        <v>0</v>
      </c>
      <c r="AD46" s="0" t="n">
        <f aca="false">IF(AND(ISNUMBER(Calculated_Ratios!M46),ISNUMBER(M46)),Calculated_Ratios!M46-M46,IF(AND(Calculated_Ratios!M46="",ISBLANK(M46)),0,"MISMATCH"))</f>
        <v>0</v>
      </c>
      <c r="AE46" s="0" t="n">
        <f aca="false">IF(AND(ISNUMBER(Calculated_Ratios!N46),ISNUMBER(N46)),Calculated_Ratios!N46-N46,IF(AND(Calculated_Ratios!N46="",ISBLANK(N46)),0,"MISMATCH"))</f>
        <v>0</v>
      </c>
      <c r="AF46" s="0" t="n">
        <f aca="false">IF(AND(ISNUMBER(Calculated_Ratios!O46),ISNUMBER(O46)),Calculated_Ratios!O46-O46,IF(AND(Calculated_Ratios!O46="",ISBLANK(O46)),0,"MISMATCH"))</f>
        <v>0</v>
      </c>
      <c r="AG46" s="0" t="n">
        <f aca="false">IF(AND(ISNUMBER(Calculated_Ratios!P46),ISNUMBER(P46)),Calculated_Ratios!P46-P46,IF(AND(Calculated_Ratios!P46="",ISBLANK(P46)),0,"MISMATCH"))</f>
        <v>0</v>
      </c>
      <c r="AH46" s="0" t="n">
        <f aca="false">IF(AND(ISNUMBER(Calculated_Ratios!Q46),ISNUMBER(Q46)),Calculated_Ratios!Q46-Q46,IF(AND(Calculated_Ratios!Q46="",ISBLANK(Q46)),0,"MISMATCH"))</f>
        <v>-1.16415321826935E-010</v>
      </c>
      <c r="AI46" s="0" t="n">
        <f aca="false">IF(AND(ISNUMBER(Calculated_Ratios!R46),ISNUMBER(R46)),Calculated_Ratios!R46-R46,IF(AND(Calculated_Ratios!R46="",ISBLANK(R46)),0,"MISMATCH"))</f>
        <v>0</v>
      </c>
      <c r="AJ46" s="0" t="n">
        <f aca="false">IF(AND(ISNUMBER(Calculated_Ratios!S46),ISNUMBER(S46)),Calculated_Ratios!S46-S46,IF(AND(Calculated_Ratios!S46="",ISBLANK(S46)),0,"MISMATCH"))</f>
        <v>0</v>
      </c>
    </row>
    <row r="47" customFormat="false" ht="15" hidden="false" customHeight="false" outlineLevel="0" collapsed="false">
      <c r="A47" s="0" t="s">
        <v>136</v>
      </c>
      <c r="B47" s="0" t="n">
        <v>2018</v>
      </c>
      <c r="C47" s="0" t="n">
        <v>2768725.2395</v>
      </c>
      <c r="D47" s="0" t="n">
        <v>6.02875874495021</v>
      </c>
      <c r="E47" s="0" t="n">
        <v>18.8696111766184</v>
      </c>
      <c r="F47" s="0" t="n">
        <v>8.11296335206468</v>
      </c>
      <c r="G47" s="0" t="n">
        <v>7.85015452926359</v>
      </c>
      <c r="I47" s="0" t="n">
        <v>0.0499870474778471</v>
      </c>
      <c r="N47" s="0" t="n">
        <v>6.15367529323622</v>
      </c>
      <c r="O47" s="0" t="n">
        <v>81.1303888233816</v>
      </c>
      <c r="P47" s="0" t="n">
        <v>14.8133892008548</v>
      </c>
      <c r="Q47" s="0" t="n">
        <v>5.82076609134674E-011</v>
      </c>
      <c r="R47" s="0" t="n">
        <v>0</v>
      </c>
      <c r="T47" s="0" t="n">
        <f aca="false">IF(AND(ISNUMBER(Calculated_Ratios!C47),ISNUMBER(C47)),Calculated_Ratios!C47-C47,IF(AND(Calculated_Ratios!C47="",ISBLANK(C47)),0,"MISMATCH"))</f>
        <v>0</v>
      </c>
      <c r="U47" s="0" t="n">
        <f aca="false">IF(AND(ISNUMBER(Calculated_Ratios!D47),ISNUMBER(D47)),Calculated_Ratios!D47-D47,IF(AND(Calculated_Ratios!D47="",ISBLANK(D47)),0,"MISMATCH"))</f>
        <v>0</v>
      </c>
      <c r="V47" s="0" t="n">
        <f aca="false">IF(AND(ISNUMBER(Calculated_Ratios!E47),ISNUMBER(E47)),Calculated_Ratios!E47-E47,IF(AND(Calculated_Ratios!E47="",ISBLANK(E47)),0,"MISMATCH"))</f>
        <v>0</v>
      </c>
      <c r="W47" s="0" t="n">
        <f aca="false">IF(AND(ISNUMBER(Calculated_Ratios!F47),ISNUMBER(F47)),Calculated_Ratios!F47-F47,IF(AND(Calculated_Ratios!F47="",ISBLANK(F47)),0,"MISMATCH"))</f>
        <v>0</v>
      </c>
      <c r="X47" s="0" t="n">
        <f aca="false">IF(AND(ISNUMBER(Calculated_Ratios!G47),ISNUMBER(G47)),Calculated_Ratios!G47-G47,IF(AND(Calculated_Ratios!G47="",ISBLANK(G47)),0,"MISMATCH"))</f>
        <v>0</v>
      </c>
      <c r="Y47" s="0" t="n">
        <f aca="false">IF(AND(ISNUMBER(Calculated_Ratios!H47),ISNUMBER(H47)),Calculated_Ratios!H47-H47,IF(AND(Calculated_Ratios!H47="",ISBLANK(H47)),0,"MISMATCH"))</f>
        <v>0</v>
      </c>
      <c r="Z47" s="0" t="n">
        <f aca="false">IF(AND(ISNUMBER(Calculated_Ratios!I47),ISNUMBER(I47)),Calculated_Ratios!I47-I47,IF(AND(Calculated_Ratios!I47="",ISBLANK(I47)),0,"MISMATCH"))</f>
        <v>0</v>
      </c>
      <c r="AA47" s="0" t="n">
        <f aca="false">IF(AND(ISNUMBER(Calculated_Ratios!J47),ISNUMBER(J47)),Calculated_Ratios!J47-J47,IF(AND(Calculated_Ratios!J47="",ISBLANK(J47)),0,"MISMATCH"))</f>
        <v>0</v>
      </c>
      <c r="AB47" s="0" t="n">
        <f aca="false">IF(AND(ISNUMBER(Calculated_Ratios!K47),ISNUMBER(K47)),Calculated_Ratios!K47-K47,IF(AND(Calculated_Ratios!K47="",ISBLANK(K47)),0,"MISMATCH"))</f>
        <v>0</v>
      </c>
      <c r="AC47" s="0" t="n">
        <f aca="false">IF(AND(ISNUMBER(Calculated_Ratios!L47),ISNUMBER(L47)),Calculated_Ratios!L47-L47,IF(AND(Calculated_Ratios!L47="",ISBLANK(L47)),0,"MISMATCH"))</f>
        <v>0</v>
      </c>
      <c r="AD47" s="0" t="n">
        <f aca="false">IF(AND(ISNUMBER(Calculated_Ratios!M47),ISNUMBER(M47)),Calculated_Ratios!M47-M47,IF(AND(Calculated_Ratios!M47="",ISBLANK(M47)),0,"MISMATCH"))</f>
        <v>0</v>
      </c>
      <c r="AE47" s="0" t="n">
        <f aca="false">IF(AND(ISNUMBER(Calculated_Ratios!N47),ISNUMBER(N47)),Calculated_Ratios!N47-N47,IF(AND(Calculated_Ratios!N47="",ISBLANK(N47)),0,"MISMATCH"))</f>
        <v>0</v>
      </c>
      <c r="AF47" s="0" t="n">
        <f aca="false">IF(AND(ISNUMBER(Calculated_Ratios!O47),ISNUMBER(O47)),Calculated_Ratios!O47-O47,IF(AND(Calculated_Ratios!O47="",ISBLANK(O47)),0,"MISMATCH"))</f>
        <v>0</v>
      </c>
      <c r="AG47" s="0" t="n">
        <f aca="false">IF(AND(ISNUMBER(Calculated_Ratios!P47),ISNUMBER(P47)),Calculated_Ratios!P47-P47,IF(AND(Calculated_Ratios!P47="",ISBLANK(P47)),0,"MISMATCH"))</f>
        <v>0</v>
      </c>
      <c r="AH47" s="0" t="n">
        <f aca="false">IF(AND(ISNUMBER(Calculated_Ratios!Q47),ISNUMBER(Q47)),Calculated_Ratios!Q47-Q47,IF(AND(Calculated_Ratios!Q47="",ISBLANK(Q47)),0,"MISMATCH"))</f>
        <v>-5.82076609134674E-011</v>
      </c>
      <c r="AI47" s="0" t="n">
        <f aca="false">IF(AND(ISNUMBER(Calculated_Ratios!R47),ISNUMBER(R47)),Calculated_Ratios!R47-R47,IF(AND(Calculated_Ratios!R47="",ISBLANK(R47)),0,"MISMATCH"))</f>
        <v>0</v>
      </c>
      <c r="AJ47" s="0" t="n">
        <f aca="false">IF(AND(ISNUMBER(Calculated_Ratios!S47),ISNUMBER(S47)),Calculated_Ratios!S47-S47,IF(AND(Calculated_Ratios!S47="",ISBLANK(S47)),0,"MISMATCH"))</f>
        <v>0</v>
      </c>
    </row>
    <row r="48" customFormat="false" ht="15" hidden="false" customHeight="false" outlineLevel="0" collapsed="false">
      <c r="A48" s="0" t="s">
        <v>136</v>
      </c>
      <c r="B48" s="0" t="n">
        <v>2019</v>
      </c>
      <c r="C48" s="0" t="n">
        <v>2904884.9945</v>
      </c>
      <c r="D48" s="0" t="n">
        <v>6.02864765151032</v>
      </c>
      <c r="E48" s="0" t="n">
        <v>19.5621887290642</v>
      </c>
      <c r="F48" s="0" t="n">
        <v>6.81106712914999</v>
      </c>
      <c r="G48" s="0" t="n">
        <v>4.14464652449988</v>
      </c>
      <c r="H48" s="0" t="n">
        <v>20.6598717278961</v>
      </c>
      <c r="I48" s="0" t="n">
        <v>0.064004151748528</v>
      </c>
      <c r="N48" s="0" t="n">
        <v>5.65422119932292</v>
      </c>
      <c r="O48" s="0" t="n">
        <v>80.4378112709358</v>
      </c>
      <c r="P48" s="0" t="n">
        <v>14.9460246930629</v>
      </c>
      <c r="Q48" s="0" t="n">
        <v>-1.16415321826935E-010</v>
      </c>
      <c r="R48" s="0" t="n">
        <v>0</v>
      </c>
      <c r="T48" s="0" t="n">
        <f aca="false">IF(AND(ISNUMBER(Calculated_Ratios!C48),ISNUMBER(C48)),Calculated_Ratios!C48-C48,IF(AND(Calculated_Ratios!C48="",ISBLANK(C48)),0,"MISMATCH"))</f>
        <v>0</v>
      </c>
      <c r="U48" s="0" t="n">
        <f aca="false">IF(AND(ISNUMBER(Calculated_Ratios!D48),ISNUMBER(D48)),Calculated_Ratios!D48-D48,IF(AND(Calculated_Ratios!D48="",ISBLANK(D48)),0,"MISMATCH"))</f>
        <v>0</v>
      </c>
      <c r="V48" s="0" t="n">
        <f aca="false">IF(AND(ISNUMBER(Calculated_Ratios!E48),ISNUMBER(E48)),Calculated_Ratios!E48-E48,IF(AND(Calculated_Ratios!E48="",ISBLANK(E48)),0,"MISMATCH"))</f>
        <v>0</v>
      </c>
      <c r="W48" s="0" t="n">
        <f aca="false">IF(AND(ISNUMBER(Calculated_Ratios!F48),ISNUMBER(F48)),Calculated_Ratios!F48-F48,IF(AND(Calculated_Ratios!F48="",ISBLANK(F48)),0,"MISMATCH"))</f>
        <v>0</v>
      </c>
      <c r="X48" s="0" t="n">
        <f aca="false">IF(AND(ISNUMBER(Calculated_Ratios!G48),ISNUMBER(G48)),Calculated_Ratios!G48-G48,IF(AND(Calculated_Ratios!G48="",ISBLANK(G48)),0,"MISMATCH"))</f>
        <v>0</v>
      </c>
      <c r="Y48" s="0" t="n">
        <f aca="false">IF(AND(ISNUMBER(Calculated_Ratios!H48),ISNUMBER(H48)),Calculated_Ratios!H48-H48,IF(AND(Calculated_Ratios!H48="",ISBLANK(H48)),0,"MISMATCH"))</f>
        <v>0</v>
      </c>
      <c r="Z48" s="0" t="n">
        <f aca="false">IF(AND(ISNUMBER(Calculated_Ratios!I48),ISNUMBER(I48)),Calculated_Ratios!I48-I48,IF(AND(Calculated_Ratios!I48="",ISBLANK(I48)),0,"MISMATCH"))</f>
        <v>0</v>
      </c>
      <c r="AA48" s="0" t="n">
        <f aca="false">IF(AND(ISNUMBER(Calculated_Ratios!J48),ISNUMBER(J48)),Calculated_Ratios!J48-J48,IF(AND(Calculated_Ratios!J48="",ISBLANK(J48)),0,"MISMATCH"))</f>
        <v>0</v>
      </c>
      <c r="AB48" s="0" t="n">
        <f aca="false">IF(AND(ISNUMBER(Calculated_Ratios!K48),ISNUMBER(K48)),Calculated_Ratios!K48-K48,IF(AND(Calculated_Ratios!K48="",ISBLANK(K48)),0,"MISMATCH"))</f>
        <v>0</v>
      </c>
      <c r="AC48" s="0" t="n">
        <f aca="false">IF(AND(ISNUMBER(Calculated_Ratios!L48),ISNUMBER(L48)),Calculated_Ratios!L48-L48,IF(AND(Calculated_Ratios!L48="",ISBLANK(L48)),0,"MISMATCH"))</f>
        <v>0</v>
      </c>
      <c r="AD48" s="0" t="n">
        <f aca="false">IF(AND(ISNUMBER(Calculated_Ratios!M48),ISNUMBER(M48)),Calculated_Ratios!M48-M48,IF(AND(Calculated_Ratios!M48="",ISBLANK(M48)),0,"MISMATCH"))</f>
        <v>0</v>
      </c>
      <c r="AE48" s="0" t="n">
        <f aca="false">IF(AND(ISNUMBER(Calculated_Ratios!N48),ISNUMBER(N48)),Calculated_Ratios!N48-N48,IF(AND(Calculated_Ratios!N48="",ISBLANK(N48)),0,"MISMATCH"))</f>
        <v>0</v>
      </c>
      <c r="AF48" s="0" t="n">
        <f aca="false">IF(AND(ISNUMBER(Calculated_Ratios!O48),ISNUMBER(O48)),Calculated_Ratios!O48-O48,IF(AND(Calculated_Ratios!O48="",ISBLANK(O48)),0,"MISMATCH"))</f>
        <v>0</v>
      </c>
      <c r="AG48" s="0" t="n">
        <f aca="false">IF(AND(ISNUMBER(Calculated_Ratios!P48),ISNUMBER(P48)),Calculated_Ratios!P48-P48,IF(AND(Calculated_Ratios!P48="",ISBLANK(P48)),0,"MISMATCH"))</f>
        <v>0</v>
      </c>
      <c r="AH48" s="0" t="n">
        <f aca="false">IF(AND(ISNUMBER(Calculated_Ratios!Q48),ISNUMBER(Q48)),Calculated_Ratios!Q48-Q48,IF(AND(Calculated_Ratios!Q48="",ISBLANK(Q48)),0,"MISMATCH"))</f>
        <v>1.16415321826935E-010</v>
      </c>
      <c r="AI48" s="0" t="n">
        <f aca="false">IF(AND(ISNUMBER(Calculated_Ratios!R48),ISNUMBER(R48)),Calculated_Ratios!R48-R48,IF(AND(Calculated_Ratios!R48="",ISBLANK(R48)),0,"MISMATCH"))</f>
        <v>0</v>
      </c>
      <c r="AJ48" s="0" t="n">
        <f aca="false">IF(AND(ISNUMBER(Calculated_Ratios!S48),ISNUMBER(S48)),Calculated_Ratios!S48-S48,IF(AND(Calculated_Ratios!S48="",ISBLANK(S48)),0,"MISMATCH"))</f>
        <v>0</v>
      </c>
    </row>
    <row r="49" customFormat="false" ht="15" hidden="false" customHeight="false" outlineLevel="0" collapsed="false">
      <c r="A49" s="0" t="s">
        <v>136</v>
      </c>
      <c r="B49" s="0" t="n">
        <v>2020</v>
      </c>
      <c r="C49" s="0" t="n">
        <v>3579396.05</v>
      </c>
      <c r="D49" s="0" t="n">
        <v>4.97816937580852</v>
      </c>
      <c r="E49" s="0" t="n">
        <v>17.2939057981627</v>
      </c>
      <c r="F49" s="0" t="n">
        <v>9.15778643718401</v>
      </c>
      <c r="G49" s="0" t="n">
        <v>4.27015216839509</v>
      </c>
      <c r="H49" s="0" t="n">
        <v>19.5500000052231</v>
      </c>
      <c r="I49" s="0" t="n">
        <v>0.294895196076444</v>
      </c>
      <c r="N49" s="0" t="n">
        <v>4.3872087888122</v>
      </c>
      <c r="O49" s="0" t="n">
        <v>82.7060942018373</v>
      </c>
      <c r="P49" s="0" t="n">
        <v>15.2170736575967</v>
      </c>
      <c r="Q49" s="0" t="n">
        <v>-1.16415321826935E-010</v>
      </c>
      <c r="R49" s="0" t="n">
        <v>0</v>
      </c>
      <c r="T49" s="0" t="n">
        <f aca="false">IF(AND(ISNUMBER(Calculated_Ratios!C49),ISNUMBER(C49)),Calculated_Ratios!C49-C49,IF(AND(Calculated_Ratios!C49="",ISBLANK(C49)),0,"MISMATCH"))</f>
        <v>0</v>
      </c>
      <c r="U49" s="0" t="n">
        <f aca="false">IF(AND(ISNUMBER(Calculated_Ratios!D49),ISNUMBER(D49)),Calculated_Ratios!D49-D49,IF(AND(Calculated_Ratios!D49="",ISBLANK(D49)),0,"MISMATCH"))</f>
        <v>0</v>
      </c>
      <c r="V49" s="0" t="n">
        <f aca="false">IF(AND(ISNUMBER(Calculated_Ratios!E49),ISNUMBER(E49)),Calculated_Ratios!E49-E49,IF(AND(Calculated_Ratios!E49="",ISBLANK(E49)),0,"MISMATCH"))</f>
        <v>0</v>
      </c>
      <c r="W49" s="0" t="n">
        <f aca="false">IF(AND(ISNUMBER(Calculated_Ratios!F49),ISNUMBER(F49)),Calculated_Ratios!F49-F49,IF(AND(Calculated_Ratios!F49="",ISBLANK(F49)),0,"MISMATCH"))</f>
        <v>0</v>
      </c>
      <c r="X49" s="0" t="n">
        <f aca="false">IF(AND(ISNUMBER(Calculated_Ratios!G49),ISNUMBER(G49)),Calculated_Ratios!G49-G49,IF(AND(Calculated_Ratios!G49="",ISBLANK(G49)),0,"MISMATCH"))</f>
        <v>0</v>
      </c>
      <c r="Y49" s="0" t="n">
        <f aca="false">IF(AND(ISNUMBER(Calculated_Ratios!H49),ISNUMBER(H49)),Calculated_Ratios!H49-H49,IF(AND(Calculated_Ratios!H49="",ISBLANK(H49)),0,"MISMATCH"))</f>
        <v>0</v>
      </c>
      <c r="Z49" s="0" t="n">
        <f aca="false">IF(AND(ISNUMBER(Calculated_Ratios!I49),ISNUMBER(I49)),Calculated_Ratios!I49-I49,IF(AND(Calculated_Ratios!I49="",ISBLANK(I49)),0,"MISMATCH"))</f>
        <v>0</v>
      </c>
      <c r="AA49" s="0" t="n">
        <f aca="false">IF(AND(ISNUMBER(Calculated_Ratios!J49),ISNUMBER(J49)),Calculated_Ratios!J49-J49,IF(AND(Calculated_Ratios!J49="",ISBLANK(J49)),0,"MISMATCH"))</f>
        <v>0</v>
      </c>
      <c r="AB49" s="0" t="n">
        <f aca="false">IF(AND(ISNUMBER(Calculated_Ratios!K49),ISNUMBER(K49)),Calculated_Ratios!K49-K49,IF(AND(Calculated_Ratios!K49="",ISBLANK(K49)),0,"MISMATCH"))</f>
        <v>0</v>
      </c>
      <c r="AC49" s="0" t="n">
        <f aca="false">IF(AND(ISNUMBER(Calculated_Ratios!L49),ISNUMBER(L49)),Calculated_Ratios!L49-L49,IF(AND(Calculated_Ratios!L49="",ISBLANK(L49)),0,"MISMATCH"))</f>
        <v>0</v>
      </c>
      <c r="AD49" s="0" t="n">
        <f aca="false">IF(AND(ISNUMBER(Calculated_Ratios!M49),ISNUMBER(M49)),Calculated_Ratios!M49-M49,IF(AND(Calculated_Ratios!M49="",ISBLANK(M49)),0,"MISMATCH"))</f>
        <v>0</v>
      </c>
      <c r="AE49" s="0" t="n">
        <f aca="false">IF(AND(ISNUMBER(Calculated_Ratios!N49),ISNUMBER(N49)),Calculated_Ratios!N49-N49,IF(AND(Calculated_Ratios!N49="",ISBLANK(N49)),0,"MISMATCH"))</f>
        <v>0</v>
      </c>
      <c r="AF49" s="0" t="n">
        <f aca="false">IF(AND(ISNUMBER(Calculated_Ratios!O49),ISNUMBER(O49)),Calculated_Ratios!O49-O49,IF(AND(Calculated_Ratios!O49="",ISBLANK(O49)),0,"MISMATCH"))</f>
        <v>0</v>
      </c>
      <c r="AG49" s="0" t="n">
        <f aca="false">IF(AND(ISNUMBER(Calculated_Ratios!P49),ISNUMBER(P49)),Calculated_Ratios!P49-P49,IF(AND(Calculated_Ratios!P49="",ISBLANK(P49)),0,"MISMATCH"))</f>
        <v>0</v>
      </c>
      <c r="AH49" s="0" t="n">
        <f aca="false">IF(AND(ISNUMBER(Calculated_Ratios!Q49),ISNUMBER(Q49)),Calculated_Ratios!Q49-Q49,IF(AND(Calculated_Ratios!Q49="",ISBLANK(Q49)),0,"MISMATCH"))</f>
        <v>1.16415321826935E-010</v>
      </c>
      <c r="AI49" s="0" t="n">
        <f aca="false">IF(AND(ISNUMBER(Calculated_Ratios!R49),ISNUMBER(R49)),Calculated_Ratios!R49-R49,IF(AND(Calculated_Ratios!R49="",ISBLANK(R49)),0,"MISMATCH"))</f>
        <v>0</v>
      </c>
      <c r="AJ49" s="0" t="n">
        <f aca="false">IF(AND(ISNUMBER(Calculated_Ratios!S49),ISNUMBER(S49)),Calculated_Ratios!S49-S49,IF(AND(Calculated_Ratios!S49="",ISBLANK(S49)),0,"MISMATCH"))</f>
        <v>0</v>
      </c>
    </row>
    <row r="50" customFormat="false" ht="15" hidden="false" customHeight="false" outlineLevel="0" collapsed="false">
      <c r="A50" s="0" t="s">
        <v>136</v>
      </c>
      <c r="B50" s="0" t="n">
        <v>2021</v>
      </c>
      <c r="C50" s="0" t="n">
        <v>4209288.3695</v>
      </c>
      <c r="D50" s="0" t="n">
        <v>3.47289266421451</v>
      </c>
      <c r="E50" s="0" t="n">
        <v>17.1409204390044</v>
      </c>
      <c r="F50" s="0" t="n">
        <v>8.66347793233556</v>
      </c>
      <c r="N50" s="0" t="n">
        <v>3.35512865071547</v>
      </c>
      <c r="O50" s="0" t="n">
        <v>82.8590795609956</v>
      </c>
      <c r="P50" s="0" t="n">
        <v>15.2873019098446</v>
      </c>
      <c r="Q50" s="0" t="n">
        <v>-3.49245965480804E-010</v>
      </c>
      <c r="T50" s="0" t="n">
        <f aca="false">IF(AND(ISNUMBER(Calculated_Ratios!C50),ISNUMBER(C50)),Calculated_Ratios!C50-C50,IF(AND(Calculated_Ratios!C50="",ISBLANK(C50)),0,"MISMATCH"))</f>
        <v>0</v>
      </c>
      <c r="U50" s="0" t="n">
        <f aca="false">IF(AND(ISNUMBER(Calculated_Ratios!D50),ISNUMBER(D50)),Calculated_Ratios!D50-D50,IF(AND(Calculated_Ratios!D50="",ISBLANK(D50)),0,"MISMATCH"))</f>
        <v>0</v>
      </c>
      <c r="V50" s="0" t="n">
        <f aca="false">IF(AND(ISNUMBER(Calculated_Ratios!E50),ISNUMBER(E50)),Calculated_Ratios!E50-E50,IF(AND(Calculated_Ratios!E50="",ISBLANK(E50)),0,"MISMATCH"))</f>
        <v>0</v>
      </c>
      <c r="W50" s="0" t="n">
        <f aca="false">IF(AND(ISNUMBER(Calculated_Ratios!F50),ISNUMBER(F50)),Calculated_Ratios!F50-F50,IF(AND(Calculated_Ratios!F50="",ISBLANK(F50)),0,"MISMATCH"))</f>
        <v>0</v>
      </c>
      <c r="X50" s="0" t="n">
        <f aca="false">IF(AND(ISNUMBER(Calculated_Ratios!G50),ISNUMBER(G50)),Calculated_Ratios!G50-G50,IF(AND(Calculated_Ratios!G50="",ISBLANK(G50)),0,"MISMATCH"))</f>
        <v>0</v>
      </c>
      <c r="Y50" s="0" t="n">
        <f aca="false">IF(AND(ISNUMBER(Calculated_Ratios!H50),ISNUMBER(H50)),Calculated_Ratios!H50-H50,IF(AND(Calculated_Ratios!H50="",ISBLANK(H50)),0,"MISMATCH"))</f>
        <v>0</v>
      </c>
      <c r="Z50" s="0" t="n">
        <f aca="false">IF(AND(ISNUMBER(Calculated_Ratios!I50),ISNUMBER(I50)),Calculated_Ratios!I50-I50,IF(AND(Calculated_Ratios!I50="",ISBLANK(I50)),0,"MISMATCH"))</f>
        <v>0</v>
      </c>
      <c r="AA50" s="0" t="n">
        <f aca="false">IF(AND(ISNUMBER(Calculated_Ratios!J50),ISNUMBER(J50)),Calculated_Ratios!J50-J50,IF(AND(Calculated_Ratios!J50="",ISBLANK(J50)),0,"MISMATCH"))</f>
        <v>0</v>
      </c>
      <c r="AB50" s="0" t="n">
        <f aca="false">IF(AND(ISNUMBER(Calculated_Ratios!K50),ISNUMBER(K50)),Calculated_Ratios!K50-K50,IF(AND(Calculated_Ratios!K50="",ISBLANK(K50)),0,"MISMATCH"))</f>
        <v>0</v>
      </c>
      <c r="AC50" s="0" t="n">
        <f aca="false">IF(AND(ISNUMBER(Calculated_Ratios!L50),ISNUMBER(L50)),Calculated_Ratios!L50-L50,IF(AND(Calculated_Ratios!L50="",ISBLANK(L50)),0,"MISMATCH"))</f>
        <v>0</v>
      </c>
      <c r="AD50" s="0" t="n">
        <f aca="false">IF(AND(ISNUMBER(Calculated_Ratios!M50),ISNUMBER(M50)),Calculated_Ratios!M50-M50,IF(AND(Calculated_Ratios!M50="",ISBLANK(M50)),0,"MISMATCH"))</f>
        <v>0</v>
      </c>
      <c r="AE50" s="0" t="n">
        <f aca="false">IF(AND(ISNUMBER(Calculated_Ratios!N50),ISNUMBER(N50)),Calculated_Ratios!N50-N50,IF(AND(Calculated_Ratios!N50="",ISBLANK(N50)),0,"MISMATCH"))</f>
        <v>0</v>
      </c>
      <c r="AF50" s="0" t="n">
        <f aca="false">IF(AND(ISNUMBER(Calculated_Ratios!O50),ISNUMBER(O50)),Calculated_Ratios!O50-O50,IF(AND(Calculated_Ratios!O50="",ISBLANK(O50)),0,"MISMATCH"))</f>
        <v>0</v>
      </c>
      <c r="AG50" s="0" t="n">
        <f aca="false">IF(AND(ISNUMBER(Calculated_Ratios!P50),ISNUMBER(P50)),Calculated_Ratios!P50-P50,IF(AND(Calculated_Ratios!P50="",ISBLANK(P50)),0,"MISMATCH"))</f>
        <v>0</v>
      </c>
      <c r="AH50" s="0" t="n">
        <f aca="false">IF(AND(ISNUMBER(Calculated_Ratios!Q50),ISNUMBER(Q50)),Calculated_Ratios!Q50-Q50,IF(AND(Calculated_Ratios!Q50="",ISBLANK(Q50)),0,"MISMATCH"))</f>
        <v>3.49245965480804E-010</v>
      </c>
      <c r="AI50" s="0" t="n">
        <f aca="false">IF(AND(ISNUMBER(Calculated_Ratios!R50),ISNUMBER(R50)),Calculated_Ratios!R50-R50,IF(AND(Calculated_Ratios!R50="",ISBLANK(R50)),0,"MISMATCH"))</f>
        <v>0</v>
      </c>
      <c r="AJ50" s="0" t="n">
        <f aca="false">IF(AND(ISNUMBER(Calculated_Ratios!S50),ISNUMBER(S50)),Calculated_Ratios!S50-S50,IF(AND(Calculated_Ratios!S50="",ISBLANK(S50)),0,"MISMATCH"))</f>
        <v>0</v>
      </c>
    </row>
    <row r="51" customFormat="false" ht="15" hidden="false" customHeight="false" outlineLevel="0" collapsed="false">
      <c r="A51" s="0" t="s">
        <v>136</v>
      </c>
      <c r="B51" s="0" t="n">
        <v>2022</v>
      </c>
      <c r="C51" s="0" t="n">
        <v>4782804.9835</v>
      </c>
      <c r="D51" s="0" t="n">
        <v>3.03788700357325</v>
      </c>
      <c r="E51" s="0" t="n">
        <v>15.2815694674423</v>
      </c>
      <c r="F51" s="0" t="n">
        <v>14.0369816314088</v>
      </c>
      <c r="N51" s="0" t="n">
        <v>2.78955683401743</v>
      </c>
      <c r="O51" s="0" t="n">
        <v>84.7184305325577</v>
      </c>
      <c r="P51" s="0" t="n">
        <v>15.4658172157618</v>
      </c>
      <c r="Q51" s="0" t="n">
        <v>-4.65661287307739E-010</v>
      </c>
      <c r="T51" s="0" t="n">
        <f aca="false">IF(AND(ISNUMBER(Calculated_Ratios!C51),ISNUMBER(C51)),Calculated_Ratios!C51-C51,IF(AND(Calculated_Ratios!C51="",ISBLANK(C51)),0,"MISMATCH"))</f>
        <v>0</v>
      </c>
      <c r="U51" s="0" t="n">
        <f aca="false">IF(AND(ISNUMBER(Calculated_Ratios!D51),ISNUMBER(D51)),Calculated_Ratios!D51-D51,IF(AND(Calculated_Ratios!D51="",ISBLANK(D51)),0,"MISMATCH"))</f>
        <v>0</v>
      </c>
      <c r="V51" s="0" t="n">
        <f aca="false">IF(AND(ISNUMBER(Calculated_Ratios!E51),ISNUMBER(E51)),Calculated_Ratios!E51-E51,IF(AND(Calculated_Ratios!E51="",ISBLANK(E51)),0,"MISMATCH"))</f>
        <v>0</v>
      </c>
      <c r="W51" s="0" t="n">
        <f aca="false">IF(AND(ISNUMBER(Calculated_Ratios!F51),ISNUMBER(F51)),Calculated_Ratios!F51-F51,IF(AND(Calculated_Ratios!F51="",ISBLANK(F51)),0,"MISMATCH"))</f>
        <v>0</v>
      </c>
      <c r="X51" s="0" t="n">
        <f aca="false">IF(AND(ISNUMBER(Calculated_Ratios!G51),ISNUMBER(G51)),Calculated_Ratios!G51-G51,IF(AND(Calculated_Ratios!G51="",ISBLANK(G51)),0,"MISMATCH"))</f>
        <v>0</v>
      </c>
      <c r="Y51" s="0" t="n">
        <f aca="false">IF(AND(ISNUMBER(Calculated_Ratios!H51),ISNUMBER(H51)),Calculated_Ratios!H51-H51,IF(AND(Calculated_Ratios!H51="",ISBLANK(H51)),0,"MISMATCH"))</f>
        <v>0</v>
      </c>
      <c r="Z51" s="0" t="n">
        <f aca="false">IF(AND(ISNUMBER(Calculated_Ratios!I51),ISNUMBER(I51)),Calculated_Ratios!I51-I51,IF(AND(Calculated_Ratios!I51="",ISBLANK(I51)),0,"MISMATCH"))</f>
        <v>0</v>
      </c>
      <c r="AA51" s="0" t="n">
        <f aca="false">IF(AND(ISNUMBER(Calculated_Ratios!J51),ISNUMBER(J51)),Calculated_Ratios!J51-J51,IF(AND(Calculated_Ratios!J51="",ISBLANK(J51)),0,"MISMATCH"))</f>
        <v>0</v>
      </c>
      <c r="AB51" s="0" t="n">
        <f aca="false">IF(AND(ISNUMBER(Calculated_Ratios!K51),ISNUMBER(K51)),Calculated_Ratios!K51-K51,IF(AND(Calculated_Ratios!K51="",ISBLANK(K51)),0,"MISMATCH"))</f>
        <v>0</v>
      </c>
      <c r="AC51" s="0" t="n">
        <f aca="false">IF(AND(ISNUMBER(Calculated_Ratios!L51),ISNUMBER(L51)),Calculated_Ratios!L51-L51,IF(AND(Calculated_Ratios!L51="",ISBLANK(L51)),0,"MISMATCH"))</f>
        <v>0</v>
      </c>
      <c r="AD51" s="0" t="n">
        <f aca="false">IF(AND(ISNUMBER(Calculated_Ratios!M51),ISNUMBER(M51)),Calculated_Ratios!M51-M51,IF(AND(Calculated_Ratios!M51="",ISBLANK(M51)),0,"MISMATCH"))</f>
        <v>0</v>
      </c>
      <c r="AE51" s="0" t="n">
        <f aca="false">IF(AND(ISNUMBER(Calculated_Ratios!N51),ISNUMBER(N51)),Calculated_Ratios!N51-N51,IF(AND(Calculated_Ratios!N51="",ISBLANK(N51)),0,"MISMATCH"))</f>
        <v>0</v>
      </c>
      <c r="AF51" s="0" t="n">
        <f aca="false">IF(AND(ISNUMBER(Calculated_Ratios!O51),ISNUMBER(O51)),Calculated_Ratios!O51-O51,IF(AND(Calculated_Ratios!O51="",ISBLANK(O51)),0,"MISMATCH"))</f>
        <v>0</v>
      </c>
      <c r="AG51" s="0" t="n">
        <f aca="false">IF(AND(ISNUMBER(Calculated_Ratios!P51),ISNUMBER(P51)),Calculated_Ratios!P51-P51,IF(AND(Calculated_Ratios!P51="",ISBLANK(P51)),0,"MISMATCH"))</f>
        <v>0</v>
      </c>
      <c r="AH51" s="0" t="n">
        <f aca="false">IF(AND(ISNUMBER(Calculated_Ratios!Q51),ISNUMBER(Q51)),Calculated_Ratios!Q51-Q51,IF(AND(Calculated_Ratios!Q51="",ISBLANK(Q51)),0,"MISMATCH"))</f>
        <v>4.65661287307739E-010</v>
      </c>
      <c r="AI51" s="0" t="n">
        <f aca="false">IF(AND(ISNUMBER(Calculated_Ratios!R51),ISNUMBER(R51)),Calculated_Ratios!R51-R51,IF(AND(Calculated_Ratios!R51="",ISBLANK(R51)),0,"MISMATCH"))</f>
        <v>0</v>
      </c>
      <c r="AJ51" s="0" t="n">
        <f aca="false">IF(AND(ISNUMBER(Calculated_Ratios!S51),ISNUMBER(S51)),Calculated_Ratios!S51-S51,IF(AND(Calculated_Ratios!S51="",ISBLANK(S51)),0,"MISMATCH"))</f>
        <v>0</v>
      </c>
    </row>
    <row r="52" customFormat="false" ht="15" hidden="false" customHeight="false" outlineLevel="0" collapsed="false">
      <c r="A52" s="0" t="s">
        <v>149</v>
      </c>
      <c r="B52" s="0" t="n">
        <v>2013</v>
      </c>
      <c r="C52" s="0" t="n">
        <v>687785</v>
      </c>
      <c r="D52" s="0" t="n">
        <v>1.47269859040252</v>
      </c>
      <c r="E52" s="0" t="n">
        <v>9.73382981657703</v>
      </c>
      <c r="I52" s="0" t="n">
        <v>0.387766525876546</v>
      </c>
      <c r="N52" s="0" t="n">
        <v>1.39691077092815</v>
      </c>
      <c r="O52" s="0" t="n">
        <v>90.266170183423</v>
      </c>
      <c r="P52" s="0" t="n">
        <v>13.4940648553597</v>
      </c>
      <c r="Q52" s="0" t="n">
        <v>0</v>
      </c>
      <c r="T52" s="0" t="n">
        <f aca="false">IF(AND(ISNUMBER(Calculated_Ratios!C52),ISNUMBER(C52)),Calculated_Ratios!C52-C52,IF(AND(Calculated_Ratios!C52="",ISBLANK(C52)),0,"MISMATCH"))</f>
        <v>0</v>
      </c>
      <c r="U52" s="0" t="n">
        <f aca="false">IF(AND(ISNUMBER(Calculated_Ratios!D52),ISNUMBER(D52)),Calculated_Ratios!D52-D52,IF(AND(Calculated_Ratios!D52="",ISBLANK(D52)),0,"MISMATCH"))</f>
        <v>0</v>
      </c>
      <c r="V52" s="0" t="n">
        <f aca="false">IF(AND(ISNUMBER(Calculated_Ratios!E52),ISNUMBER(E52)),Calculated_Ratios!E52-E52,IF(AND(Calculated_Ratios!E52="",ISBLANK(E52)),0,"MISMATCH"))</f>
        <v>0</v>
      </c>
      <c r="W52" s="0" t="n">
        <f aca="false">IF(AND(ISNUMBER(Calculated_Ratios!F52),ISNUMBER(F52)),Calculated_Ratios!F52-F52,IF(AND(Calculated_Ratios!F52="",ISBLANK(F52)),0,"MISMATCH"))</f>
        <v>0</v>
      </c>
      <c r="X52" s="0" t="n">
        <f aca="false">IF(AND(ISNUMBER(Calculated_Ratios!G52),ISNUMBER(G52)),Calculated_Ratios!G52-G52,IF(AND(Calculated_Ratios!G52="",ISBLANK(G52)),0,"MISMATCH"))</f>
        <v>0</v>
      </c>
      <c r="Y52" s="0" t="n">
        <f aca="false">IF(AND(ISNUMBER(Calculated_Ratios!H52),ISNUMBER(H52)),Calculated_Ratios!H52-H52,IF(AND(Calculated_Ratios!H52="",ISBLANK(H52)),0,"MISMATCH"))</f>
        <v>0</v>
      </c>
      <c r="Z52" s="0" t="n">
        <f aca="false">IF(AND(ISNUMBER(Calculated_Ratios!I52),ISNUMBER(I52)),Calculated_Ratios!I52-I52,IF(AND(Calculated_Ratios!I52="",ISBLANK(I52)),0,"MISMATCH"))</f>
        <v>0</v>
      </c>
      <c r="AA52" s="0" t="n">
        <f aca="false">IF(AND(ISNUMBER(Calculated_Ratios!J52),ISNUMBER(J52)),Calculated_Ratios!J52-J52,IF(AND(Calculated_Ratios!J52="",ISBLANK(J52)),0,"MISMATCH"))</f>
        <v>0</v>
      </c>
      <c r="AB52" s="0" t="n">
        <f aca="false">IF(AND(ISNUMBER(Calculated_Ratios!K52),ISNUMBER(K52)),Calculated_Ratios!K52-K52,IF(AND(Calculated_Ratios!K52="",ISBLANK(K52)),0,"MISMATCH"))</f>
        <v>0</v>
      </c>
      <c r="AC52" s="0" t="n">
        <f aca="false">IF(AND(ISNUMBER(Calculated_Ratios!L52),ISNUMBER(L52)),Calculated_Ratios!L52-L52,IF(AND(Calculated_Ratios!L52="",ISBLANK(L52)),0,"MISMATCH"))</f>
        <v>0</v>
      </c>
      <c r="AD52" s="0" t="n">
        <f aca="false">IF(AND(ISNUMBER(Calculated_Ratios!M52),ISNUMBER(M52)),Calculated_Ratios!M52-M52,IF(AND(Calculated_Ratios!M52="",ISBLANK(M52)),0,"MISMATCH"))</f>
        <v>0</v>
      </c>
      <c r="AE52" s="0" t="n">
        <f aca="false">IF(AND(ISNUMBER(Calculated_Ratios!N52),ISNUMBER(N52)),Calculated_Ratios!N52-N52,IF(AND(Calculated_Ratios!N52="",ISBLANK(N52)),0,"MISMATCH"))</f>
        <v>0</v>
      </c>
      <c r="AF52" s="0" t="n">
        <f aca="false">IF(AND(ISNUMBER(Calculated_Ratios!O52),ISNUMBER(O52)),Calculated_Ratios!O52-O52,IF(AND(Calculated_Ratios!O52="",ISBLANK(O52)),0,"MISMATCH"))</f>
        <v>0</v>
      </c>
      <c r="AG52" s="0" t="n">
        <f aca="false">IF(AND(ISNUMBER(Calculated_Ratios!P52),ISNUMBER(P52)),Calculated_Ratios!P52-P52,IF(AND(Calculated_Ratios!P52="",ISBLANK(P52)),0,"MISMATCH"))</f>
        <v>0</v>
      </c>
      <c r="AH52" s="0" t="n">
        <f aca="false">IF(AND(ISNUMBER(Calculated_Ratios!Q52),ISNUMBER(Q52)),Calculated_Ratios!Q52-Q52,IF(AND(Calculated_Ratios!Q52="",ISBLANK(Q52)),0,"MISMATCH"))</f>
        <v>0</v>
      </c>
      <c r="AI52" s="0" t="n">
        <f aca="false">IF(AND(ISNUMBER(Calculated_Ratios!R52),ISNUMBER(R52)),Calculated_Ratios!R52-R52,IF(AND(Calculated_Ratios!R52="",ISBLANK(R52)),0,"MISMATCH"))</f>
        <v>0</v>
      </c>
      <c r="AJ52" s="0" t="n">
        <f aca="false">IF(AND(ISNUMBER(Calculated_Ratios!S52),ISNUMBER(S52)),Calculated_Ratios!S52-S52,IF(AND(Calculated_Ratios!S52="",ISBLANK(S52)),0,"MISMATCH"))</f>
        <v>0</v>
      </c>
    </row>
    <row r="53" customFormat="false" ht="15" hidden="false" customHeight="false" outlineLevel="0" collapsed="false">
      <c r="A53" s="0" t="s">
        <v>149</v>
      </c>
      <c r="B53" s="0" t="n">
        <v>2014</v>
      </c>
      <c r="C53" s="0" t="n">
        <v>818076</v>
      </c>
      <c r="D53" s="0" t="n">
        <v>2.37826314425555</v>
      </c>
      <c r="E53" s="0" t="n">
        <v>8.98093632416152</v>
      </c>
      <c r="I53" s="0" t="n">
        <v>0.393239747896284</v>
      </c>
      <c r="N53" s="0" t="n">
        <v>2.13555318467003</v>
      </c>
      <c r="O53" s="0" t="n">
        <v>91.0190636758385</v>
      </c>
      <c r="P53" s="0" t="n">
        <v>13.7223552547448</v>
      </c>
      <c r="Q53" s="0" t="n">
        <v>0</v>
      </c>
      <c r="T53" s="0" t="n">
        <f aca="false">IF(AND(ISNUMBER(Calculated_Ratios!C53),ISNUMBER(C53)),Calculated_Ratios!C53-C53,IF(AND(Calculated_Ratios!C53="",ISBLANK(C53)),0,"MISMATCH"))</f>
        <v>0</v>
      </c>
      <c r="U53" s="0" t="n">
        <f aca="false">IF(AND(ISNUMBER(Calculated_Ratios!D53),ISNUMBER(D53)),Calculated_Ratios!D53-D53,IF(AND(Calculated_Ratios!D53="",ISBLANK(D53)),0,"MISMATCH"))</f>
        <v>0</v>
      </c>
      <c r="V53" s="0" t="n">
        <f aca="false">IF(AND(ISNUMBER(Calculated_Ratios!E53),ISNUMBER(E53)),Calculated_Ratios!E53-E53,IF(AND(Calculated_Ratios!E53="",ISBLANK(E53)),0,"MISMATCH"))</f>
        <v>0</v>
      </c>
      <c r="W53" s="0" t="n">
        <f aca="false">IF(AND(ISNUMBER(Calculated_Ratios!F53),ISNUMBER(F53)),Calculated_Ratios!F53-F53,IF(AND(Calculated_Ratios!F53="",ISBLANK(F53)),0,"MISMATCH"))</f>
        <v>0</v>
      </c>
      <c r="X53" s="0" t="n">
        <f aca="false">IF(AND(ISNUMBER(Calculated_Ratios!G53),ISNUMBER(G53)),Calculated_Ratios!G53-G53,IF(AND(Calculated_Ratios!G53="",ISBLANK(G53)),0,"MISMATCH"))</f>
        <v>0</v>
      </c>
      <c r="Y53" s="0" t="n">
        <f aca="false">IF(AND(ISNUMBER(Calculated_Ratios!H53),ISNUMBER(H53)),Calculated_Ratios!H53-H53,IF(AND(Calculated_Ratios!H53="",ISBLANK(H53)),0,"MISMATCH"))</f>
        <v>0</v>
      </c>
      <c r="Z53" s="0" t="n">
        <f aca="false">IF(AND(ISNUMBER(Calculated_Ratios!I53),ISNUMBER(I53)),Calculated_Ratios!I53-I53,IF(AND(Calculated_Ratios!I53="",ISBLANK(I53)),0,"MISMATCH"))</f>
        <v>0</v>
      </c>
      <c r="AA53" s="0" t="n">
        <f aca="false">IF(AND(ISNUMBER(Calculated_Ratios!J53),ISNUMBER(J53)),Calculated_Ratios!J53-J53,IF(AND(Calculated_Ratios!J53="",ISBLANK(J53)),0,"MISMATCH"))</f>
        <v>0</v>
      </c>
      <c r="AB53" s="0" t="n">
        <f aca="false">IF(AND(ISNUMBER(Calculated_Ratios!K53),ISNUMBER(K53)),Calculated_Ratios!K53-K53,IF(AND(Calculated_Ratios!K53="",ISBLANK(K53)),0,"MISMATCH"))</f>
        <v>0</v>
      </c>
      <c r="AC53" s="0" t="n">
        <f aca="false">IF(AND(ISNUMBER(Calculated_Ratios!L53),ISNUMBER(L53)),Calculated_Ratios!L53-L53,IF(AND(Calculated_Ratios!L53="",ISBLANK(L53)),0,"MISMATCH"))</f>
        <v>0</v>
      </c>
      <c r="AD53" s="0" t="n">
        <f aca="false">IF(AND(ISNUMBER(Calculated_Ratios!M53),ISNUMBER(M53)),Calculated_Ratios!M53-M53,IF(AND(Calculated_Ratios!M53="",ISBLANK(M53)),0,"MISMATCH"))</f>
        <v>0</v>
      </c>
      <c r="AE53" s="0" t="n">
        <f aca="false">IF(AND(ISNUMBER(Calculated_Ratios!N53),ISNUMBER(N53)),Calculated_Ratios!N53-N53,IF(AND(Calculated_Ratios!N53="",ISBLANK(N53)),0,"MISMATCH"))</f>
        <v>0</v>
      </c>
      <c r="AF53" s="0" t="n">
        <f aca="false">IF(AND(ISNUMBER(Calculated_Ratios!O53),ISNUMBER(O53)),Calculated_Ratios!O53-O53,IF(AND(Calculated_Ratios!O53="",ISBLANK(O53)),0,"MISMATCH"))</f>
        <v>0</v>
      </c>
      <c r="AG53" s="0" t="n">
        <f aca="false">IF(AND(ISNUMBER(Calculated_Ratios!P53),ISNUMBER(P53)),Calculated_Ratios!P53-P53,IF(AND(Calculated_Ratios!P53="",ISBLANK(P53)),0,"MISMATCH"))</f>
        <v>0</v>
      </c>
      <c r="AH53" s="0" t="n">
        <f aca="false">IF(AND(ISNUMBER(Calculated_Ratios!Q53),ISNUMBER(Q53)),Calculated_Ratios!Q53-Q53,IF(AND(Calculated_Ratios!Q53="",ISBLANK(Q53)),0,"MISMATCH"))</f>
        <v>0</v>
      </c>
      <c r="AI53" s="0" t="n">
        <f aca="false">IF(AND(ISNUMBER(Calculated_Ratios!R53),ISNUMBER(R53)),Calculated_Ratios!R53-R53,IF(AND(Calculated_Ratios!R53="",ISBLANK(R53)),0,"MISMATCH"))</f>
        <v>0</v>
      </c>
      <c r="AJ53" s="0" t="n">
        <f aca="false">IF(AND(ISNUMBER(Calculated_Ratios!S53),ISNUMBER(S53)),Calculated_Ratios!S53-S53,IF(AND(Calculated_Ratios!S53="",ISBLANK(S53)),0,"MISMATCH"))</f>
        <v>0</v>
      </c>
    </row>
    <row r="54" customFormat="false" ht="15" hidden="false" customHeight="false" outlineLevel="0" collapsed="false">
      <c r="A54" s="0" t="s">
        <v>149</v>
      </c>
      <c r="B54" s="0" t="n">
        <v>2015</v>
      </c>
      <c r="C54" s="0" t="n">
        <v>899504.5</v>
      </c>
      <c r="D54" s="0" t="n">
        <v>0.692825883583684</v>
      </c>
      <c r="E54" s="0" t="n">
        <v>10.6578858721283</v>
      </c>
      <c r="I54" s="0" t="n">
        <v>1.65991387480552</v>
      </c>
      <c r="N54" s="0" t="n">
        <v>0.699768690067147</v>
      </c>
      <c r="O54" s="0" t="n">
        <v>89.3421141278717</v>
      </c>
      <c r="P54" s="0" t="n">
        <v>13.6996282148469</v>
      </c>
      <c r="Q54" s="0" t="n">
        <v>0</v>
      </c>
      <c r="T54" s="0" t="n">
        <f aca="false">IF(AND(ISNUMBER(Calculated_Ratios!C54),ISNUMBER(C54)),Calculated_Ratios!C54-C54,IF(AND(Calculated_Ratios!C54="",ISBLANK(C54)),0,"MISMATCH"))</f>
        <v>0</v>
      </c>
      <c r="U54" s="0" t="n">
        <f aca="false">IF(AND(ISNUMBER(Calculated_Ratios!D54),ISNUMBER(D54)),Calculated_Ratios!D54-D54,IF(AND(Calculated_Ratios!D54="",ISBLANK(D54)),0,"MISMATCH"))</f>
        <v>0</v>
      </c>
      <c r="V54" s="0" t="n">
        <f aca="false">IF(AND(ISNUMBER(Calculated_Ratios!E54),ISNUMBER(E54)),Calculated_Ratios!E54-E54,IF(AND(Calculated_Ratios!E54="",ISBLANK(E54)),0,"MISMATCH"))</f>
        <v>0</v>
      </c>
      <c r="W54" s="0" t="n">
        <f aca="false">IF(AND(ISNUMBER(Calculated_Ratios!F54),ISNUMBER(F54)),Calculated_Ratios!F54-F54,IF(AND(Calculated_Ratios!F54="",ISBLANK(F54)),0,"MISMATCH"))</f>
        <v>0</v>
      </c>
      <c r="X54" s="0" t="n">
        <f aca="false">IF(AND(ISNUMBER(Calculated_Ratios!G54),ISNUMBER(G54)),Calculated_Ratios!G54-G54,IF(AND(Calculated_Ratios!G54="",ISBLANK(G54)),0,"MISMATCH"))</f>
        <v>0</v>
      </c>
      <c r="Y54" s="0" t="n">
        <f aca="false">IF(AND(ISNUMBER(Calculated_Ratios!H54),ISNUMBER(H54)),Calculated_Ratios!H54-H54,IF(AND(Calculated_Ratios!H54="",ISBLANK(H54)),0,"MISMATCH"))</f>
        <v>0</v>
      </c>
      <c r="Z54" s="0" t="n">
        <f aca="false">IF(AND(ISNUMBER(Calculated_Ratios!I54),ISNUMBER(I54)),Calculated_Ratios!I54-I54,IF(AND(Calculated_Ratios!I54="",ISBLANK(I54)),0,"MISMATCH"))</f>
        <v>0</v>
      </c>
      <c r="AA54" s="0" t="n">
        <f aca="false">IF(AND(ISNUMBER(Calculated_Ratios!J54),ISNUMBER(J54)),Calculated_Ratios!J54-J54,IF(AND(Calculated_Ratios!J54="",ISBLANK(J54)),0,"MISMATCH"))</f>
        <v>0</v>
      </c>
      <c r="AB54" s="0" t="n">
        <f aca="false">IF(AND(ISNUMBER(Calculated_Ratios!K54),ISNUMBER(K54)),Calculated_Ratios!K54-K54,IF(AND(Calculated_Ratios!K54="",ISBLANK(K54)),0,"MISMATCH"))</f>
        <v>0</v>
      </c>
      <c r="AC54" s="0" t="n">
        <f aca="false">IF(AND(ISNUMBER(Calculated_Ratios!L54),ISNUMBER(L54)),Calculated_Ratios!L54-L54,IF(AND(Calculated_Ratios!L54="",ISBLANK(L54)),0,"MISMATCH"))</f>
        <v>0</v>
      </c>
      <c r="AD54" s="0" t="n">
        <f aca="false">IF(AND(ISNUMBER(Calculated_Ratios!M54),ISNUMBER(M54)),Calculated_Ratios!M54-M54,IF(AND(Calculated_Ratios!M54="",ISBLANK(M54)),0,"MISMATCH"))</f>
        <v>0</v>
      </c>
      <c r="AE54" s="0" t="n">
        <f aca="false">IF(AND(ISNUMBER(Calculated_Ratios!N54),ISNUMBER(N54)),Calculated_Ratios!N54-N54,IF(AND(Calculated_Ratios!N54="",ISBLANK(N54)),0,"MISMATCH"))</f>
        <v>0</v>
      </c>
      <c r="AF54" s="0" t="n">
        <f aca="false">IF(AND(ISNUMBER(Calculated_Ratios!O54),ISNUMBER(O54)),Calculated_Ratios!O54-O54,IF(AND(Calculated_Ratios!O54="",ISBLANK(O54)),0,"MISMATCH"))</f>
        <v>0</v>
      </c>
      <c r="AG54" s="0" t="n">
        <f aca="false">IF(AND(ISNUMBER(Calculated_Ratios!P54),ISNUMBER(P54)),Calculated_Ratios!P54-P54,IF(AND(Calculated_Ratios!P54="",ISBLANK(P54)),0,"MISMATCH"))</f>
        <v>0</v>
      </c>
      <c r="AH54" s="0" t="n">
        <f aca="false">IF(AND(ISNUMBER(Calculated_Ratios!Q54),ISNUMBER(Q54)),Calculated_Ratios!Q54-Q54,IF(AND(Calculated_Ratios!Q54="",ISBLANK(Q54)),0,"MISMATCH"))</f>
        <v>0</v>
      </c>
      <c r="AI54" s="0" t="n">
        <f aca="false">IF(AND(ISNUMBER(Calculated_Ratios!R54),ISNUMBER(R54)),Calculated_Ratios!R54-R54,IF(AND(Calculated_Ratios!R54="",ISBLANK(R54)),0,"MISMATCH"))</f>
        <v>0</v>
      </c>
      <c r="AJ54" s="0" t="n">
        <f aca="false">IF(AND(ISNUMBER(Calculated_Ratios!S54),ISNUMBER(S54)),Calculated_Ratios!S54-S54,IF(AND(Calculated_Ratios!S54="",ISBLANK(S54)),0,"MISMATCH"))</f>
        <v>0</v>
      </c>
    </row>
    <row r="55" customFormat="false" ht="15" hidden="false" customHeight="false" outlineLevel="0" collapsed="false">
      <c r="A55" s="0" t="s">
        <v>149</v>
      </c>
      <c r="B55" s="0" t="n">
        <v>2016</v>
      </c>
      <c r="C55" s="0" t="n">
        <v>942169.5</v>
      </c>
      <c r="D55" s="0" t="n">
        <v>1.59525435709817</v>
      </c>
      <c r="E55" s="0" t="n">
        <v>11.0002525763289</v>
      </c>
      <c r="I55" s="0" t="n">
        <v>2.10185110004092</v>
      </c>
      <c r="N55" s="0" t="n">
        <v>1.51243913262672</v>
      </c>
      <c r="O55" s="0" t="n">
        <v>88.9997474236711</v>
      </c>
      <c r="P55" s="0" t="n">
        <v>13.8092500015134</v>
      </c>
      <c r="Q55" s="0" t="n">
        <v>0</v>
      </c>
      <c r="T55" s="0" t="n">
        <f aca="false">IF(AND(ISNUMBER(Calculated_Ratios!C55),ISNUMBER(C55)),Calculated_Ratios!C55-C55,IF(AND(Calculated_Ratios!C55="",ISBLANK(C55)),0,"MISMATCH"))</f>
        <v>0</v>
      </c>
      <c r="U55" s="0" t="n">
        <f aca="false">IF(AND(ISNUMBER(Calculated_Ratios!D55),ISNUMBER(D55)),Calculated_Ratios!D55-D55,IF(AND(Calculated_Ratios!D55="",ISBLANK(D55)),0,"MISMATCH"))</f>
        <v>0</v>
      </c>
      <c r="V55" s="0" t="n">
        <f aca="false">IF(AND(ISNUMBER(Calculated_Ratios!E55),ISNUMBER(E55)),Calculated_Ratios!E55-E55,IF(AND(Calculated_Ratios!E55="",ISBLANK(E55)),0,"MISMATCH"))</f>
        <v>0</v>
      </c>
      <c r="W55" s="0" t="n">
        <f aca="false">IF(AND(ISNUMBER(Calculated_Ratios!F55),ISNUMBER(F55)),Calculated_Ratios!F55-F55,IF(AND(Calculated_Ratios!F55="",ISBLANK(F55)),0,"MISMATCH"))</f>
        <v>0</v>
      </c>
      <c r="X55" s="0" t="n">
        <f aca="false">IF(AND(ISNUMBER(Calculated_Ratios!G55),ISNUMBER(G55)),Calculated_Ratios!G55-G55,IF(AND(Calculated_Ratios!G55="",ISBLANK(G55)),0,"MISMATCH"))</f>
        <v>0</v>
      </c>
      <c r="Y55" s="0" t="n">
        <f aca="false">IF(AND(ISNUMBER(Calculated_Ratios!H55),ISNUMBER(H55)),Calculated_Ratios!H55-H55,IF(AND(Calculated_Ratios!H55="",ISBLANK(H55)),0,"MISMATCH"))</f>
        <v>0</v>
      </c>
      <c r="Z55" s="0" t="n">
        <f aca="false">IF(AND(ISNUMBER(Calculated_Ratios!I55),ISNUMBER(I55)),Calculated_Ratios!I55-I55,IF(AND(Calculated_Ratios!I55="",ISBLANK(I55)),0,"MISMATCH"))</f>
        <v>0</v>
      </c>
      <c r="AA55" s="0" t="n">
        <f aca="false">IF(AND(ISNUMBER(Calculated_Ratios!J55),ISNUMBER(J55)),Calculated_Ratios!J55-J55,IF(AND(Calculated_Ratios!J55="",ISBLANK(J55)),0,"MISMATCH"))</f>
        <v>0</v>
      </c>
      <c r="AB55" s="0" t="n">
        <f aca="false">IF(AND(ISNUMBER(Calculated_Ratios!K55),ISNUMBER(K55)),Calculated_Ratios!K55-K55,IF(AND(Calculated_Ratios!K55="",ISBLANK(K55)),0,"MISMATCH"))</f>
        <v>0</v>
      </c>
      <c r="AC55" s="0" t="n">
        <f aca="false">IF(AND(ISNUMBER(Calculated_Ratios!L55),ISNUMBER(L55)),Calculated_Ratios!L55-L55,IF(AND(Calculated_Ratios!L55="",ISBLANK(L55)),0,"MISMATCH"))</f>
        <v>0</v>
      </c>
      <c r="AD55" s="0" t="n">
        <f aca="false">IF(AND(ISNUMBER(Calculated_Ratios!M55),ISNUMBER(M55)),Calculated_Ratios!M55-M55,IF(AND(Calculated_Ratios!M55="",ISBLANK(M55)),0,"MISMATCH"))</f>
        <v>0</v>
      </c>
      <c r="AE55" s="0" t="n">
        <f aca="false">IF(AND(ISNUMBER(Calculated_Ratios!N55),ISNUMBER(N55)),Calculated_Ratios!N55-N55,IF(AND(Calculated_Ratios!N55="",ISBLANK(N55)),0,"MISMATCH"))</f>
        <v>0</v>
      </c>
      <c r="AF55" s="0" t="n">
        <f aca="false">IF(AND(ISNUMBER(Calculated_Ratios!O55),ISNUMBER(O55)),Calculated_Ratios!O55-O55,IF(AND(Calculated_Ratios!O55="",ISBLANK(O55)),0,"MISMATCH"))</f>
        <v>0</v>
      </c>
      <c r="AG55" s="0" t="n">
        <f aca="false">IF(AND(ISNUMBER(Calculated_Ratios!P55),ISNUMBER(P55)),Calculated_Ratios!P55-P55,IF(AND(Calculated_Ratios!P55="",ISBLANK(P55)),0,"MISMATCH"))</f>
        <v>0</v>
      </c>
      <c r="AH55" s="0" t="n">
        <f aca="false">IF(AND(ISNUMBER(Calculated_Ratios!Q55),ISNUMBER(Q55)),Calculated_Ratios!Q55-Q55,IF(AND(Calculated_Ratios!Q55="",ISBLANK(Q55)),0,"MISMATCH"))</f>
        <v>0</v>
      </c>
      <c r="AI55" s="0" t="n">
        <f aca="false">IF(AND(ISNUMBER(Calculated_Ratios!R55),ISNUMBER(R55)),Calculated_Ratios!R55-R55,IF(AND(Calculated_Ratios!R55="",ISBLANK(R55)),0,"MISMATCH"))</f>
        <v>0</v>
      </c>
      <c r="AJ55" s="0" t="n">
        <f aca="false">IF(AND(ISNUMBER(Calculated_Ratios!S55),ISNUMBER(S55)),Calculated_Ratios!S55-S55,IF(AND(Calculated_Ratios!S55="",ISBLANK(S55)),0,"MISMATCH"))</f>
        <v>0</v>
      </c>
    </row>
    <row r="56" customFormat="false" ht="15" hidden="false" customHeight="false" outlineLevel="0" collapsed="false">
      <c r="A56" s="0" t="s">
        <v>149</v>
      </c>
      <c r="B56" s="0" t="n">
        <v>2017</v>
      </c>
      <c r="C56" s="0" t="n">
        <v>1163214</v>
      </c>
      <c r="D56" s="0" t="n">
        <v>2.4795093594128</v>
      </c>
      <c r="E56" s="0" t="n">
        <v>10.4076856293648</v>
      </c>
      <c r="I56" s="0" t="n">
        <v>2.19882154100621</v>
      </c>
      <c r="N56" s="0" t="n">
        <v>2.16422832676381</v>
      </c>
      <c r="O56" s="0" t="n">
        <v>89.5923143706352</v>
      </c>
      <c r="P56" s="0" t="n">
        <v>14.1026942562483</v>
      </c>
      <c r="Q56" s="0" t="n">
        <v>0</v>
      </c>
      <c r="T56" s="0" t="n">
        <f aca="false">IF(AND(ISNUMBER(Calculated_Ratios!C56),ISNUMBER(C56)),Calculated_Ratios!C56-C56,IF(AND(Calculated_Ratios!C56="",ISBLANK(C56)),0,"MISMATCH"))</f>
        <v>0</v>
      </c>
      <c r="U56" s="0" t="n">
        <f aca="false">IF(AND(ISNUMBER(Calculated_Ratios!D56),ISNUMBER(D56)),Calculated_Ratios!D56-D56,IF(AND(Calculated_Ratios!D56="",ISBLANK(D56)),0,"MISMATCH"))</f>
        <v>0</v>
      </c>
      <c r="V56" s="0" t="n">
        <f aca="false">IF(AND(ISNUMBER(Calculated_Ratios!E56),ISNUMBER(E56)),Calculated_Ratios!E56-E56,IF(AND(Calculated_Ratios!E56="",ISBLANK(E56)),0,"MISMATCH"))</f>
        <v>0</v>
      </c>
      <c r="W56" s="0" t="n">
        <f aca="false">IF(AND(ISNUMBER(Calculated_Ratios!F56),ISNUMBER(F56)),Calculated_Ratios!F56-F56,IF(AND(Calculated_Ratios!F56="",ISBLANK(F56)),0,"MISMATCH"))</f>
        <v>0</v>
      </c>
      <c r="X56" s="0" t="n">
        <f aca="false">IF(AND(ISNUMBER(Calculated_Ratios!G56),ISNUMBER(G56)),Calculated_Ratios!G56-G56,IF(AND(Calculated_Ratios!G56="",ISBLANK(G56)),0,"MISMATCH"))</f>
        <v>0</v>
      </c>
      <c r="Y56" s="0" t="n">
        <f aca="false">IF(AND(ISNUMBER(Calculated_Ratios!H56),ISNUMBER(H56)),Calculated_Ratios!H56-H56,IF(AND(Calculated_Ratios!H56="",ISBLANK(H56)),0,"MISMATCH"))</f>
        <v>0</v>
      </c>
      <c r="Z56" s="0" t="n">
        <f aca="false">IF(AND(ISNUMBER(Calculated_Ratios!I56),ISNUMBER(I56)),Calculated_Ratios!I56-I56,IF(AND(Calculated_Ratios!I56="",ISBLANK(I56)),0,"MISMATCH"))</f>
        <v>0</v>
      </c>
      <c r="AA56" s="0" t="n">
        <f aca="false">IF(AND(ISNUMBER(Calculated_Ratios!J56),ISNUMBER(J56)),Calculated_Ratios!J56-J56,IF(AND(Calculated_Ratios!J56="",ISBLANK(J56)),0,"MISMATCH"))</f>
        <v>0</v>
      </c>
      <c r="AB56" s="0" t="n">
        <f aca="false">IF(AND(ISNUMBER(Calculated_Ratios!K56),ISNUMBER(K56)),Calculated_Ratios!K56-K56,IF(AND(Calculated_Ratios!K56="",ISBLANK(K56)),0,"MISMATCH"))</f>
        <v>0</v>
      </c>
      <c r="AC56" s="0" t="n">
        <f aca="false">IF(AND(ISNUMBER(Calculated_Ratios!L56),ISNUMBER(L56)),Calculated_Ratios!L56-L56,IF(AND(Calculated_Ratios!L56="",ISBLANK(L56)),0,"MISMATCH"))</f>
        <v>0</v>
      </c>
      <c r="AD56" s="0" t="n">
        <f aca="false">IF(AND(ISNUMBER(Calculated_Ratios!M56),ISNUMBER(M56)),Calculated_Ratios!M56-M56,IF(AND(Calculated_Ratios!M56="",ISBLANK(M56)),0,"MISMATCH"))</f>
        <v>0</v>
      </c>
      <c r="AE56" s="0" t="n">
        <f aca="false">IF(AND(ISNUMBER(Calculated_Ratios!N56),ISNUMBER(N56)),Calculated_Ratios!N56-N56,IF(AND(Calculated_Ratios!N56="",ISBLANK(N56)),0,"MISMATCH"))</f>
        <v>0</v>
      </c>
      <c r="AF56" s="0" t="n">
        <f aca="false">IF(AND(ISNUMBER(Calculated_Ratios!O56),ISNUMBER(O56)),Calculated_Ratios!O56-O56,IF(AND(Calculated_Ratios!O56="",ISBLANK(O56)),0,"MISMATCH"))</f>
        <v>0</v>
      </c>
      <c r="AG56" s="0" t="n">
        <f aca="false">IF(AND(ISNUMBER(Calculated_Ratios!P56),ISNUMBER(P56)),Calculated_Ratios!P56-P56,IF(AND(Calculated_Ratios!P56="",ISBLANK(P56)),0,"MISMATCH"))</f>
        <v>0</v>
      </c>
      <c r="AH56" s="0" t="n">
        <f aca="false">IF(AND(ISNUMBER(Calculated_Ratios!Q56),ISNUMBER(Q56)),Calculated_Ratios!Q56-Q56,IF(AND(Calculated_Ratios!Q56="",ISBLANK(Q56)),0,"MISMATCH"))</f>
        <v>0</v>
      </c>
      <c r="AI56" s="0" t="n">
        <f aca="false">IF(AND(ISNUMBER(Calculated_Ratios!R56),ISNUMBER(R56)),Calculated_Ratios!R56-R56,IF(AND(Calculated_Ratios!R56="",ISBLANK(R56)),0,"MISMATCH"))</f>
        <v>0</v>
      </c>
      <c r="AJ56" s="0" t="n">
        <f aca="false">IF(AND(ISNUMBER(Calculated_Ratios!S56),ISNUMBER(S56)),Calculated_Ratios!S56-S56,IF(AND(Calculated_Ratios!S56="",ISBLANK(S56)),0,"MISMATCH"))</f>
        <v>0</v>
      </c>
    </row>
    <row r="57" customFormat="false" ht="15" hidden="false" customHeight="false" outlineLevel="0" collapsed="false">
      <c r="A57" s="0" t="s">
        <v>149</v>
      </c>
      <c r="B57" s="0" t="n">
        <v>2018</v>
      </c>
      <c r="C57" s="0" t="n">
        <v>1465984</v>
      </c>
      <c r="D57" s="0" t="n">
        <v>3.40467563083908</v>
      </c>
      <c r="E57" s="0" t="n">
        <v>10.6513386004021</v>
      </c>
      <c r="I57" s="0" t="n">
        <v>-0.203822142670043</v>
      </c>
      <c r="N57" s="0" t="n">
        <v>3.12097270899706</v>
      </c>
      <c r="O57" s="0" t="n">
        <v>89.3486613995979</v>
      </c>
      <c r="P57" s="0" t="n">
        <v>14.285042200842</v>
      </c>
      <c r="Q57" s="0" t="n">
        <v>0</v>
      </c>
      <c r="T57" s="0" t="n">
        <f aca="false">IF(AND(ISNUMBER(Calculated_Ratios!C57),ISNUMBER(C57)),Calculated_Ratios!C57-C57,IF(AND(Calculated_Ratios!C57="",ISBLANK(C57)),0,"MISMATCH"))</f>
        <v>0</v>
      </c>
      <c r="U57" s="0" t="n">
        <f aca="false">IF(AND(ISNUMBER(Calculated_Ratios!D57),ISNUMBER(D57)),Calculated_Ratios!D57-D57,IF(AND(Calculated_Ratios!D57="",ISBLANK(D57)),0,"MISMATCH"))</f>
        <v>0</v>
      </c>
      <c r="V57" s="0" t="n">
        <f aca="false">IF(AND(ISNUMBER(Calculated_Ratios!E57),ISNUMBER(E57)),Calculated_Ratios!E57-E57,IF(AND(Calculated_Ratios!E57="",ISBLANK(E57)),0,"MISMATCH"))</f>
        <v>0</v>
      </c>
      <c r="W57" s="0" t="n">
        <f aca="false">IF(AND(ISNUMBER(Calculated_Ratios!F57),ISNUMBER(F57)),Calculated_Ratios!F57-F57,IF(AND(Calculated_Ratios!F57="",ISBLANK(F57)),0,"MISMATCH"))</f>
        <v>0</v>
      </c>
      <c r="X57" s="0" t="n">
        <f aca="false">IF(AND(ISNUMBER(Calculated_Ratios!G57),ISNUMBER(G57)),Calculated_Ratios!G57-G57,IF(AND(Calculated_Ratios!G57="",ISBLANK(G57)),0,"MISMATCH"))</f>
        <v>0</v>
      </c>
      <c r="Y57" s="0" t="n">
        <f aca="false">IF(AND(ISNUMBER(Calculated_Ratios!H57),ISNUMBER(H57)),Calculated_Ratios!H57-H57,IF(AND(Calculated_Ratios!H57="",ISBLANK(H57)),0,"MISMATCH"))</f>
        <v>0</v>
      </c>
      <c r="Z57" s="0" t="n">
        <f aca="false">IF(AND(ISNUMBER(Calculated_Ratios!I57),ISNUMBER(I57)),Calculated_Ratios!I57-I57,IF(AND(Calculated_Ratios!I57="",ISBLANK(I57)),0,"MISMATCH"))</f>
        <v>0</v>
      </c>
      <c r="AA57" s="0" t="n">
        <f aca="false">IF(AND(ISNUMBER(Calculated_Ratios!J57),ISNUMBER(J57)),Calculated_Ratios!J57-J57,IF(AND(Calculated_Ratios!J57="",ISBLANK(J57)),0,"MISMATCH"))</f>
        <v>0</v>
      </c>
      <c r="AB57" s="0" t="n">
        <f aca="false">IF(AND(ISNUMBER(Calculated_Ratios!K57),ISNUMBER(K57)),Calculated_Ratios!K57-K57,IF(AND(Calculated_Ratios!K57="",ISBLANK(K57)),0,"MISMATCH"))</f>
        <v>0</v>
      </c>
      <c r="AC57" s="0" t="n">
        <f aca="false">IF(AND(ISNUMBER(Calculated_Ratios!L57),ISNUMBER(L57)),Calculated_Ratios!L57-L57,IF(AND(Calculated_Ratios!L57="",ISBLANK(L57)),0,"MISMATCH"))</f>
        <v>0</v>
      </c>
      <c r="AD57" s="0" t="n">
        <f aca="false">IF(AND(ISNUMBER(Calculated_Ratios!M57),ISNUMBER(M57)),Calculated_Ratios!M57-M57,IF(AND(Calculated_Ratios!M57="",ISBLANK(M57)),0,"MISMATCH"))</f>
        <v>0</v>
      </c>
      <c r="AE57" s="0" t="n">
        <f aca="false">IF(AND(ISNUMBER(Calculated_Ratios!N57),ISNUMBER(N57)),Calculated_Ratios!N57-N57,IF(AND(Calculated_Ratios!N57="",ISBLANK(N57)),0,"MISMATCH"))</f>
        <v>0</v>
      </c>
      <c r="AF57" s="0" t="n">
        <f aca="false">IF(AND(ISNUMBER(Calculated_Ratios!O57),ISNUMBER(O57)),Calculated_Ratios!O57-O57,IF(AND(Calculated_Ratios!O57="",ISBLANK(O57)),0,"MISMATCH"))</f>
        <v>0</v>
      </c>
      <c r="AG57" s="0" t="n">
        <f aca="false">IF(AND(ISNUMBER(Calculated_Ratios!P57),ISNUMBER(P57)),Calculated_Ratios!P57-P57,IF(AND(Calculated_Ratios!P57="",ISBLANK(P57)),0,"MISMATCH"))</f>
        <v>0</v>
      </c>
      <c r="AH57" s="0" t="n">
        <f aca="false">IF(AND(ISNUMBER(Calculated_Ratios!Q57),ISNUMBER(Q57)),Calculated_Ratios!Q57-Q57,IF(AND(Calculated_Ratios!Q57="",ISBLANK(Q57)),0,"MISMATCH"))</f>
        <v>0</v>
      </c>
      <c r="AI57" s="0" t="n">
        <f aca="false">IF(AND(ISNUMBER(Calculated_Ratios!R57),ISNUMBER(R57)),Calculated_Ratios!R57-R57,IF(AND(Calculated_Ratios!R57="",ISBLANK(R57)),0,"MISMATCH"))</f>
        <v>0</v>
      </c>
      <c r="AJ57" s="0" t="n">
        <f aca="false">IF(AND(ISNUMBER(Calculated_Ratios!S57),ISNUMBER(S57)),Calculated_Ratios!S57-S57,IF(AND(Calculated_Ratios!S57="",ISBLANK(S57)),0,"MISMATCH"))</f>
        <v>0</v>
      </c>
    </row>
    <row r="58" customFormat="false" ht="15" hidden="false" customHeight="false" outlineLevel="0" collapsed="false">
      <c r="A58" s="0" t="s">
        <v>149</v>
      </c>
      <c r="B58" s="0" t="n">
        <v>2019</v>
      </c>
      <c r="C58" s="0" t="n">
        <v>1695782.5</v>
      </c>
      <c r="D58" s="0" t="n">
        <v>3.08335532416451</v>
      </c>
      <c r="E58" s="0" t="n">
        <v>11.2334850919479</v>
      </c>
      <c r="I58" s="0" t="n">
        <v>0.0981257914856416</v>
      </c>
      <c r="N58" s="0" t="n">
        <v>2.91728039635779</v>
      </c>
      <c r="O58" s="0" t="n">
        <v>88.7665149080521</v>
      </c>
      <c r="P58" s="0" t="n">
        <v>14.3990214280036</v>
      </c>
      <c r="Q58" s="0" t="n">
        <v>0</v>
      </c>
      <c r="T58" s="0" t="n">
        <f aca="false">IF(AND(ISNUMBER(Calculated_Ratios!C58),ISNUMBER(C58)),Calculated_Ratios!C58-C58,IF(AND(Calculated_Ratios!C58="",ISBLANK(C58)),0,"MISMATCH"))</f>
        <v>0</v>
      </c>
      <c r="U58" s="0" t="n">
        <f aca="false">IF(AND(ISNUMBER(Calculated_Ratios!D58),ISNUMBER(D58)),Calculated_Ratios!D58-D58,IF(AND(Calculated_Ratios!D58="",ISBLANK(D58)),0,"MISMATCH"))</f>
        <v>0</v>
      </c>
      <c r="V58" s="0" t="n">
        <f aca="false">IF(AND(ISNUMBER(Calculated_Ratios!E58),ISNUMBER(E58)),Calculated_Ratios!E58-E58,IF(AND(Calculated_Ratios!E58="",ISBLANK(E58)),0,"MISMATCH"))</f>
        <v>0</v>
      </c>
      <c r="W58" s="0" t="n">
        <f aca="false">IF(AND(ISNUMBER(Calculated_Ratios!F58),ISNUMBER(F58)),Calculated_Ratios!F58-F58,IF(AND(Calculated_Ratios!F58="",ISBLANK(F58)),0,"MISMATCH"))</f>
        <v>0</v>
      </c>
      <c r="X58" s="0" t="n">
        <f aca="false">IF(AND(ISNUMBER(Calculated_Ratios!G58),ISNUMBER(G58)),Calculated_Ratios!G58-G58,IF(AND(Calculated_Ratios!G58="",ISBLANK(G58)),0,"MISMATCH"))</f>
        <v>0</v>
      </c>
      <c r="Y58" s="0" t="n">
        <f aca="false">IF(AND(ISNUMBER(Calculated_Ratios!H58),ISNUMBER(H58)),Calculated_Ratios!H58-H58,IF(AND(Calculated_Ratios!H58="",ISBLANK(H58)),0,"MISMATCH"))</f>
        <v>0</v>
      </c>
      <c r="Z58" s="0" t="n">
        <f aca="false">IF(AND(ISNUMBER(Calculated_Ratios!I58),ISNUMBER(I58)),Calculated_Ratios!I58-I58,IF(AND(Calculated_Ratios!I58="",ISBLANK(I58)),0,"MISMATCH"))</f>
        <v>0</v>
      </c>
      <c r="AA58" s="0" t="n">
        <f aca="false">IF(AND(ISNUMBER(Calculated_Ratios!J58),ISNUMBER(J58)),Calculated_Ratios!J58-J58,IF(AND(Calculated_Ratios!J58="",ISBLANK(J58)),0,"MISMATCH"))</f>
        <v>0</v>
      </c>
      <c r="AB58" s="0" t="n">
        <f aca="false">IF(AND(ISNUMBER(Calculated_Ratios!K58),ISNUMBER(K58)),Calculated_Ratios!K58-K58,IF(AND(Calculated_Ratios!K58="",ISBLANK(K58)),0,"MISMATCH"))</f>
        <v>0</v>
      </c>
      <c r="AC58" s="0" t="n">
        <f aca="false">IF(AND(ISNUMBER(Calculated_Ratios!L58),ISNUMBER(L58)),Calculated_Ratios!L58-L58,IF(AND(Calculated_Ratios!L58="",ISBLANK(L58)),0,"MISMATCH"))</f>
        <v>0</v>
      </c>
      <c r="AD58" s="0" t="n">
        <f aca="false">IF(AND(ISNUMBER(Calculated_Ratios!M58),ISNUMBER(M58)),Calculated_Ratios!M58-M58,IF(AND(Calculated_Ratios!M58="",ISBLANK(M58)),0,"MISMATCH"))</f>
        <v>0</v>
      </c>
      <c r="AE58" s="0" t="n">
        <f aca="false">IF(AND(ISNUMBER(Calculated_Ratios!N58),ISNUMBER(N58)),Calculated_Ratios!N58-N58,IF(AND(Calculated_Ratios!N58="",ISBLANK(N58)),0,"MISMATCH"))</f>
        <v>0</v>
      </c>
      <c r="AF58" s="0" t="n">
        <f aca="false">IF(AND(ISNUMBER(Calculated_Ratios!O58),ISNUMBER(O58)),Calculated_Ratios!O58-O58,IF(AND(Calculated_Ratios!O58="",ISBLANK(O58)),0,"MISMATCH"))</f>
        <v>0</v>
      </c>
      <c r="AG58" s="0" t="n">
        <f aca="false">IF(AND(ISNUMBER(Calculated_Ratios!P58),ISNUMBER(P58)),Calculated_Ratios!P58-P58,IF(AND(Calculated_Ratios!P58="",ISBLANK(P58)),0,"MISMATCH"))</f>
        <v>0</v>
      </c>
      <c r="AH58" s="0" t="n">
        <f aca="false">IF(AND(ISNUMBER(Calculated_Ratios!Q58),ISNUMBER(Q58)),Calculated_Ratios!Q58-Q58,IF(AND(Calculated_Ratios!Q58="",ISBLANK(Q58)),0,"MISMATCH"))</f>
        <v>0</v>
      </c>
      <c r="AI58" s="0" t="n">
        <f aca="false">IF(AND(ISNUMBER(Calculated_Ratios!R58),ISNUMBER(R58)),Calculated_Ratios!R58-R58,IF(AND(Calculated_Ratios!R58="",ISBLANK(R58)),0,"MISMATCH"))</f>
        <v>0</v>
      </c>
      <c r="AJ58" s="0" t="n">
        <f aca="false">IF(AND(ISNUMBER(Calculated_Ratios!S58),ISNUMBER(S58)),Calculated_Ratios!S58-S58,IF(AND(Calculated_Ratios!S58="",ISBLANK(S58)),0,"MISMATCH"))</f>
        <v>0</v>
      </c>
    </row>
    <row r="59" customFormat="false" ht="15" hidden="false" customHeight="false" outlineLevel="0" collapsed="false">
      <c r="A59" s="0" t="s">
        <v>149</v>
      </c>
      <c r="B59" s="0" t="n">
        <v>2020</v>
      </c>
      <c r="E59" s="0" t="n">
        <v>10.2145803968786</v>
      </c>
      <c r="G59" s="0" t="n">
        <v>4.60146011243842</v>
      </c>
      <c r="H59" s="0" t="n">
        <v>19.4150102245185</v>
      </c>
      <c r="N59" s="0" t="n">
        <v>2.50971693174037</v>
      </c>
      <c r="O59" s="0" t="n">
        <v>89.7854196031214</v>
      </c>
      <c r="P59" s="0" t="n">
        <v>14.678546915896</v>
      </c>
      <c r="Q59" s="0" t="n">
        <v>0</v>
      </c>
      <c r="R59" s="0" t="n">
        <v>0</v>
      </c>
      <c r="T59" s="0" t="n">
        <f aca="false">IF(AND(ISNUMBER(Calculated_Ratios!C59),ISNUMBER(C59)),Calculated_Ratios!C59-C59,IF(AND(Calculated_Ratios!C59="",ISBLANK(C59)),0,"MISMATCH"))</f>
        <v>0</v>
      </c>
      <c r="U59" s="0" t="n">
        <f aca="false">IF(AND(ISNUMBER(Calculated_Ratios!D59),ISNUMBER(D59)),Calculated_Ratios!D59-D59,IF(AND(Calculated_Ratios!D59="",ISBLANK(D59)),0,"MISMATCH"))</f>
        <v>0</v>
      </c>
      <c r="V59" s="0" t="n">
        <f aca="false">IF(AND(ISNUMBER(Calculated_Ratios!E59),ISNUMBER(E59)),Calculated_Ratios!E59-E59,IF(AND(Calculated_Ratios!E59="",ISBLANK(E59)),0,"MISMATCH"))</f>
        <v>0</v>
      </c>
      <c r="W59" s="0" t="n">
        <f aca="false">IF(AND(ISNUMBER(Calculated_Ratios!F59),ISNUMBER(F59)),Calculated_Ratios!F59-F59,IF(AND(Calculated_Ratios!F59="",ISBLANK(F59)),0,"MISMATCH"))</f>
        <v>0</v>
      </c>
      <c r="X59" s="0" t="n">
        <f aca="false">IF(AND(ISNUMBER(Calculated_Ratios!G59),ISNUMBER(G59)),Calculated_Ratios!G59-G59,IF(AND(Calculated_Ratios!G59="",ISBLANK(G59)),0,"MISMATCH"))</f>
        <v>0</v>
      </c>
      <c r="Y59" s="0" t="n">
        <f aca="false">IF(AND(ISNUMBER(Calculated_Ratios!H59),ISNUMBER(H59)),Calculated_Ratios!H59-H59,IF(AND(Calculated_Ratios!H59="",ISBLANK(H59)),0,"MISMATCH"))</f>
        <v>0</v>
      </c>
      <c r="Z59" s="0" t="n">
        <f aca="false">IF(AND(ISNUMBER(Calculated_Ratios!I59),ISNUMBER(I59)),Calculated_Ratios!I59-I59,IF(AND(Calculated_Ratios!I59="",ISBLANK(I59)),0,"MISMATCH"))</f>
        <v>0</v>
      </c>
      <c r="AA59" s="0" t="n">
        <f aca="false">IF(AND(ISNUMBER(Calculated_Ratios!J59),ISNUMBER(J59)),Calculated_Ratios!J59-J59,IF(AND(Calculated_Ratios!J59="",ISBLANK(J59)),0,"MISMATCH"))</f>
        <v>0</v>
      </c>
      <c r="AB59" s="0" t="n">
        <f aca="false">IF(AND(ISNUMBER(Calculated_Ratios!K59),ISNUMBER(K59)),Calculated_Ratios!K59-K59,IF(AND(Calculated_Ratios!K59="",ISBLANK(K59)),0,"MISMATCH"))</f>
        <v>0</v>
      </c>
      <c r="AC59" s="0" t="n">
        <f aca="false">IF(AND(ISNUMBER(Calculated_Ratios!L59),ISNUMBER(L59)),Calculated_Ratios!L59-L59,IF(AND(Calculated_Ratios!L59="",ISBLANK(L59)),0,"MISMATCH"))</f>
        <v>0</v>
      </c>
      <c r="AD59" s="0" t="n">
        <f aca="false">IF(AND(ISNUMBER(Calculated_Ratios!M59),ISNUMBER(M59)),Calculated_Ratios!M59-M59,IF(AND(Calculated_Ratios!M59="",ISBLANK(M59)),0,"MISMATCH"))</f>
        <v>0</v>
      </c>
      <c r="AE59" s="0" t="n">
        <f aca="false">IF(AND(ISNUMBER(Calculated_Ratios!N59),ISNUMBER(N59)),Calculated_Ratios!N59-N59,IF(AND(Calculated_Ratios!N59="",ISBLANK(N59)),0,"MISMATCH"))</f>
        <v>0</v>
      </c>
      <c r="AF59" s="0" t="n">
        <f aca="false">IF(AND(ISNUMBER(Calculated_Ratios!O59),ISNUMBER(O59)),Calculated_Ratios!O59-O59,IF(AND(Calculated_Ratios!O59="",ISBLANK(O59)),0,"MISMATCH"))</f>
        <v>0</v>
      </c>
      <c r="AG59" s="0" t="n">
        <f aca="false">IF(AND(ISNUMBER(Calculated_Ratios!P59),ISNUMBER(P59)),Calculated_Ratios!P59-P59,IF(AND(Calculated_Ratios!P59="",ISBLANK(P59)),0,"MISMATCH"))</f>
        <v>0</v>
      </c>
      <c r="AH59" s="0" t="n">
        <f aca="false">IF(AND(ISNUMBER(Calculated_Ratios!Q59),ISNUMBER(Q59)),Calculated_Ratios!Q59-Q59,IF(AND(Calculated_Ratios!Q59="",ISBLANK(Q59)),0,"MISMATCH"))</f>
        <v>0</v>
      </c>
      <c r="AI59" s="0" t="n">
        <f aca="false">IF(AND(ISNUMBER(Calculated_Ratios!R59),ISNUMBER(R59)),Calculated_Ratios!R59-R59,IF(AND(Calculated_Ratios!R59="",ISBLANK(R59)),0,"MISMATCH"))</f>
        <v>0</v>
      </c>
      <c r="AJ59" s="0" t="n">
        <f aca="false">IF(AND(ISNUMBER(Calculated_Ratios!S59),ISNUMBER(S59)),Calculated_Ratios!S59-S59,IF(AND(Calculated_Ratios!S59="",ISBLANK(S59)),0,"MISMATCH"))</f>
        <v>0</v>
      </c>
    </row>
    <row r="60" customFormat="false" ht="15" hidden="false" customHeight="false" outlineLevel="0" collapsed="false">
      <c r="A60" s="0" t="s">
        <v>149</v>
      </c>
      <c r="B60" s="0" t="n">
        <v>2021</v>
      </c>
      <c r="C60" s="0" t="n">
        <v>2492217</v>
      </c>
      <c r="D60" s="0" t="n">
        <v>1.18649379247473</v>
      </c>
      <c r="E60" s="0" t="n">
        <v>9.63146980188494</v>
      </c>
      <c r="F60" s="0" t="n">
        <v>2.23780673994279</v>
      </c>
      <c r="G60" s="0" t="n">
        <v>2.6647038495803</v>
      </c>
      <c r="H60" s="0" t="n">
        <v>16.1415023816789</v>
      </c>
      <c r="I60" s="0" t="n">
        <v>-0.0484708996046492</v>
      </c>
      <c r="N60" s="0" t="n">
        <v>1.13117887813221</v>
      </c>
      <c r="O60" s="0" t="n">
        <v>90.3685301981151</v>
      </c>
      <c r="P60" s="0" t="n">
        <v>14.7764254549384</v>
      </c>
      <c r="Q60" s="0" t="n">
        <v>0</v>
      </c>
      <c r="R60" s="0" t="n">
        <v>0</v>
      </c>
      <c r="T60" s="0" t="n">
        <f aca="false">IF(AND(ISNUMBER(Calculated_Ratios!C60),ISNUMBER(C60)),Calculated_Ratios!C60-C60,IF(AND(Calculated_Ratios!C60="",ISBLANK(C60)),0,"MISMATCH"))</f>
        <v>0</v>
      </c>
      <c r="U60" s="0" t="n">
        <f aca="false">IF(AND(ISNUMBER(Calculated_Ratios!D60),ISNUMBER(D60)),Calculated_Ratios!D60-D60,IF(AND(Calculated_Ratios!D60="",ISBLANK(D60)),0,"MISMATCH"))</f>
        <v>0</v>
      </c>
      <c r="V60" s="0" t="n">
        <f aca="false">IF(AND(ISNUMBER(Calculated_Ratios!E60),ISNUMBER(E60)),Calculated_Ratios!E60-E60,IF(AND(Calculated_Ratios!E60="",ISBLANK(E60)),0,"MISMATCH"))</f>
        <v>0</v>
      </c>
      <c r="W60" s="0" t="n">
        <f aca="false">IF(AND(ISNUMBER(Calculated_Ratios!F60),ISNUMBER(F60)),Calculated_Ratios!F60-F60,IF(AND(Calculated_Ratios!F60="",ISBLANK(F60)),0,"MISMATCH"))</f>
        <v>0</v>
      </c>
      <c r="X60" s="0" t="n">
        <f aca="false">IF(AND(ISNUMBER(Calculated_Ratios!G60),ISNUMBER(G60)),Calculated_Ratios!G60-G60,IF(AND(Calculated_Ratios!G60="",ISBLANK(G60)),0,"MISMATCH"))</f>
        <v>0</v>
      </c>
      <c r="Y60" s="0" t="n">
        <f aca="false">IF(AND(ISNUMBER(Calculated_Ratios!H60),ISNUMBER(H60)),Calculated_Ratios!H60-H60,IF(AND(Calculated_Ratios!H60="",ISBLANK(H60)),0,"MISMATCH"))</f>
        <v>0</v>
      </c>
      <c r="Z60" s="0" t="n">
        <f aca="false">IF(AND(ISNUMBER(Calculated_Ratios!I60),ISNUMBER(I60)),Calculated_Ratios!I60-I60,IF(AND(Calculated_Ratios!I60="",ISBLANK(I60)),0,"MISMATCH"))</f>
        <v>0</v>
      </c>
      <c r="AA60" s="0" t="n">
        <f aca="false">IF(AND(ISNUMBER(Calculated_Ratios!J60),ISNUMBER(J60)),Calculated_Ratios!J60-J60,IF(AND(Calculated_Ratios!J60="",ISBLANK(J60)),0,"MISMATCH"))</f>
        <v>0</v>
      </c>
      <c r="AB60" s="0" t="n">
        <f aca="false">IF(AND(ISNUMBER(Calculated_Ratios!K60),ISNUMBER(K60)),Calculated_Ratios!K60-K60,IF(AND(Calculated_Ratios!K60="",ISBLANK(K60)),0,"MISMATCH"))</f>
        <v>0</v>
      </c>
      <c r="AC60" s="0" t="n">
        <f aca="false">IF(AND(ISNUMBER(Calculated_Ratios!L60),ISNUMBER(L60)),Calculated_Ratios!L60-L60,IF(AND(Calculated_Ratios!L60="",ISBLANK(L60)),0,"MISMATCH"))</f>
        <v>0</v>
      </c>
      <c r="AD60" s="0" t="n">
        <f aca="false">IF(AND(ISNUMBER(Calculated_Ratios!M60),ISNUMBER(M60)),Calculated_Ratios!M60-M60,IF(AND(Calculated_Ratios!M60="",ISBLANK(M60)),0,"MISMATCH"))</f>
        <v>0</v>
      </c>
      <c r="AE60" s="0" t="n">
        <f aca="false">IF(AND(ISNUMBER(Calculated_Ratios!N60),ISNUMBER(N60)),Calculated_Ratios!N60-N60,IF(AND(Calculated_Ratios!N60="",ISBLANK(N60)),0,"MISMATCH"))</f>
        <v>0</v>
      </c>
      <c r="AF60" s="0" t="n">
        <f aca="false">IF(AND(ISNUMBER(Calculated_Ratios!O60),ISNUMBER(O60)),Calculated_Ratios!O60-O60,IF(AND(Calculated_Ratios!O60="",ISBLANK(O60)),0,"MISMATCH"))</f>
        <v>0</v>
      </c>
      <c r="AG60" s="0" t="n">
        <f aca="false">IF(AND(ISNUMBER(Calculated_Ratios!P60),ISNUMBER(P60)),Calculated_Ratios!P60-P60,IF(AND(Calculated_Ratios!P60="",ISBLANK(P60)),0,"MISMATCH"))</f>
        <v>0</v>
      </c>
      <c r="AH60" s="0" t="n">
        <f aca="false">IF(AND(ISNUMBER(Calculated_Ratios!Q60),ISNUMBER(Q60)),Calculated_Ratios!Q60-Q60,IF(AND(Calculated_Ratios!Q60="",ISBLANK(Q60)),0,"MISMATCH"))</f>
        <v>0</v>
      </c>
      <c r="AI60" s="0" t="n">
        <f aca="false">IF(AND(ISNUMBER(Calculated_Ratios!R60),ISNUMBER(R60)),Calculated_Ratios!R60-R60,IF(AND(Calculated_Ratios!R60="",ISBLANK(R60)),0,"MISMATCH"))</f>
        <v>0</v>
      </c>
      <c r="AJ60" s="0" t="n">
        <f aca="false">IF(AND(ISNUMBER(Calculated_Ratios!S60),ISNUMBER(S60)),Calculated_Ratios!S60-S60,IF(AND(Calculated_Ratios!S60="",ISBLANK(S60)),0,"MISMATCH"))</f>
        <v>0</v>
      </c>
    </row>
    <row r="61" customFormat="false" ht="15" hidden="false" customHeight="false" outlineLevel="0" collapsed="false">
      <c r="A61" s="0" t="s">
        <v>149</v>
      </c>
      <c r="B61" s="0" t="n">
        <v>2022</v>
      </c>
      <c r="C61" s="0" t="n">
        <v>2734298</v>
      </c>
      <c r="D61" s="0" t="n">
        <v>2.01697108362</v>
      </c>
      <c r="E61" s="0" t="n">
        <v>9.77775862679011</v>
      </c>
      <c r="F61" s="0" t="n">
        <v>-5.28073384832231</v>
      </c>
      <c r="G61" s="0" t="n">
        <v>2.69828258069206</v>
      </c>
      <c r="H61" s="0" t="n">
        <v>18.4093502304356</v>
      </c>
      <c r="I61" s="0" t="n">
        <v>0.371100735911009</v>
      </c>
      <c r="N61" s="0" t="n">
        <v>1.93203104281682</v>
      </c>
      <c r="O61" s="0" t="n">
        <v>90.2222413732099</v>
      </c>
      <c r="P61" s="0" t="n">
        <v>14.8644104072979</v>
      </c>
      <c r="Q61" s="0" t="n">
        <v>0</v>
      </c>
      <c r="R61" s="0" t="n">
        <v>0</v>
      </c>
      <c r="T61" s="0" t="n">
        <f aca="false">IF(AND(ISNUMBER(Calculated_Ratios!C61),ISNUMBER(C61)),Calculated_Ratios!C61-C61,IF(AND(Calculated_Ratios!C61="",ISBLANK(C61)),0,"MISMATCH"))</f>
        <v>0</v>
      </c>
      <c r="U61" s="0" t="n">
        <f aca="false">IF(AND(ISNUMBER(Calculated_Ratios!D61),ISNUMBER(D61)),Calculated_Ratios!D61-D61,IF(AND(Calculated_Ratios!D61="",ISBLANK(D61)),0,"MISMATCH"))</f>
        <v>0</v>
      </c>
      <c r="V61" s="0" t="n">
        <f aca="false">IF(AND(ISNUMBER(Calculated_Ratios!E61),ISNUMBER(E61)),Calculated_Ratios!E61-E61,IF(AND(Calculated_Ratios!E61="",ISBLANK(E61)),0,"MISMATCH"))</f>
        <v>0</v>
      </c>
      <c r="W61" s="0" t="n">
        <f aca="false">IF(AND(ISNUMBER(Calculated_Ratios!F61),ISNUMBER(F61)),Calculated_Ratios!F61-F61,IF(AND(Calculated_Ratios!F61="",ISBLANK(F61)),0,"MISMATCH"))</f>
        <v>0</v>
      </c>
      <c r="X61" s="0" t="n">
        <f aca="false">IF(AND(ISNUMBER(Calculated_Ratios!G61),ISNUMBER(G61)),Calculated_Ratios!G61-G61,IF(AND(Calculated_Ratios!G61="",ISBLANK(G61)),0,"MISMATCH"))</f>
        <v>0</v>
      </c>
      <c r="Y61" s="0" t="n">
        <f aca="false">IF(AND(ISNUMBER(Calculated_Ratios!H61),ISNUMBER(H61)),Calculated_Ratios!H61-H61,IF(AND(Calculated_Ratios!H61="",ISBLANK(H61)),0,"MISMATCH"))</f>
        <v>0</v>
      </c>
      <c r="Z61" s="0" t="n">
        <f aca="false">IF(AND(ISNUMBER(Calculated_Ratios!I61),ISNUMBER(I61)),Calculated_Ratios!I61-I61,IF(AND(Calculated_Ratios!I61="",ISBLANK(I61)),0,"MISMATCH"))</f>
        <v>0</v>
      </c>
      <c r="AA61" s="0" t="n">
        <f aca="false">IF(AND(ISNUMBER(Calculated_Ratios!J61),ISNUMBER(J61)),Calculated_Ratios!J61-J61,IF(AND(Calculated_Ratios!J61="",ISBLANK(J61)),0,"MISMATCH"))</f>
        <v>0</v>
      </c>
      <c r="AB61" s="0" t="n">
        <f aca="false">IF(AND(ISNUMBER(Calculated_Ratios!K61),ISNUMBER(K61)),Calculated_Ratios!K61-K61,IF(AND(Calculated_Ratios!K61="",ISBLANK(K61)),0,"MISMATCH"))</f>
        <v>0</v>
      </c>
      <c r="AC61" s="0" t="n">
        <f aca="false">IF(AND(ISNUMBER(Calculated_Ratios!L61),ISNUMBER(L61)),Calculated_Ratios!L61-L61,IF(AND(Calculated_Ratios!L61="",ISBLANK(L61)),0,"MISMATCH"))</f>
        <v>0</v>
      </c>
      <c r="AD61" s="0" t="n">
        <f aca="false">IF(AND(ISNUMBER(Calculated_Ratios!M61),ISNUMBER(M61)),Calculated_Ratios!M61-M61,IF(AND(Calculated_Ratios!M61="",ISBLANK(M61)),0,"MISMATCH"))</f>
        <v>0</v>
      </c>
      <c r="AE61" s="0" t="n">
        <f aca="false">IF(AND(ISNUMBER(Calculated_Ratios!N61),ISNUMBER(N61)),Calculated_Ratios!N61-N61,IF(AND(Calculated_Ratios!N61="",ISBLANK(N61)),0,"MISMATCH"))</f>
        <v>0</v>
      </c>
      <c r="AF61" s="0" t="n">
        <f aca="false">IF(AND(ISNUMBER(Calculated_Ratios!O61),ISNUMBER(O61)),Calculated_Ratios!O61-O61,IF(AND(Calculated_Ratios!O61="",ISBLANK(O61)),0,"MISMATCH"))</f>
        <v>0</v>
      </c>
      <c r="AG61" s="0" t="n">
        <f aca="false">IF(AND(ISNUMBER(Calculated_Ratios!P61),ISNUMBER(P61)),Calculated_Ratios!P61-P61,IF(AND(Calculated_Ratios!P61="",ISBLANK(P61)),0,"MISMATCH"))</f>
        <v>0</v>
      </c>
      <c r="AH61" s="0" t="n">
        <f aca="false">IF(AND(ISNUMBER(Calculated_Ratios!Q61),ISNUMBER(Q61)),Calculated_Ratios!Q61-Q61,IF(AND(Calculated_Ratios!Q61="",ISBLANK(Q61)),0,"MISMATCH"))</f>
        <v>0</v>
      </c>
      <c r="AI61" s="0" t="n">
        <f aca="false">IF(AND(ISNUMBER(Calculated_Ratios!R61),ISNUMBER(R61)),Calculated_Ratios!R61-R61,IF(AND(Calculated_Ratios!R61="",ISBLANK(R61)),0,"MISMATCH"))</f>
        <v>0</v>
      </c>
      <c r="AJ61" s="0" t="n">
        <f aca="false">IF(AND(ISNUMBER(Calculated_Ratios!S61),ISNUMBER(S61)),Calculated_Ratios!S61-S61,IF(AND(Calculated_Ratios!S61="",ISBLANK(S61)),0,"MISMATCH"))</f>
        <v>0</v>
      </c>
    </row>
    <row r="62" customFormat="false" ht="15" hidden="false" customHeight="false" outlineLevel="0" collapsed="false">
      <c r="A62" s="0" t="s">
        <v>169</v>
      </c>
      <c r="B62" s="0" t="n">
        <v>2013</v>
      </c>
      <c r="E62" s="0" t="n">
        <v>8.96554799926506</v>
      </c>
      <c r="G62" s="0" t="n">
        <v>2.10583969135932</v>
      </c>
      <c r="N62" s="0" t="n">
        <v>1.16910101115534</v>
      </c>
      <c r="O62" s="0" t="n">
        <v>91.0344520007349</v>
      </c>
      <c r="P62" s="0" t="n">
        <v>13.4699128641221</v>
      </c>
      <c r="Q62" s="0" t="n">
        <v>-5.0931703299284E-011</v>
      </c>
      <c r="T62" s="0" t="n">
        <f aca="false">IF(AND(ISNUMBER(Calculated_Ratios!C62),ISNUMBER(C62)),Calculated_Ratios!C62-C62,IF(AND(Calculated_Ratios!C62="",ISBLANK(C62)),0,"MISMATCH"))</f>
        <v>0</v>
      </c>
      <c r="U62" s="0" t="n">
        <f aca="false">IF(AND(ISNUMBER(Calculated_Ratios!D62),ISNUMBER(D62)),Calculated_Ratios!D62-D62,IF(AND(Calculated_Ratios!D62="",ISBLANK(D62)),0,"MISMATCH"))</f>
        <v>0</v>
      </c>
      <c r="V62" s="0" t="n">
        <f aca="false">IF(AND(ISNUMBER(Calculated_Ratios!E62),ISNUMBER(E62)),Calculated_Ratios!E62-E62,IF(AND(Calculated_Ratios!E62="",ISBLANK(E62)),0,"MISMATCH"))</f>
        <v>0</v>
      </c>
      <c r="W62" s="0" t="n">
        <f aca="false">IF(AND(ISNUMBER(Calculated_Ratios!F62),ISNUMBER(F62)),Calculated_Ratios!F62-F62,IF(AND(Calculated_Ratios!F62="",ISBLANK(F62)),0,"MISMATCH"))</f>
        <v>0</v>
      </c>
      <c r="X62" s="0" t="n">
        <f aca="false">IF(AND(ISNUMBER(Calculated_Ratios!G62),ISNUMBER(G62)),Calculated_Ratios!G62-G62,IF(AND(Calculated_Ratios!G62="",ISBLANK(G62)),0,"MISMATCH"))</f>
        <v>0</v>
      </c>
      <c r="Y62" s="0" t="n">
        <f aca="false">IF(AND(ISNUMBER(Calculated_Ratios!H62),ISNUMBER(H62)),Calculated_Ratios!H62-H62,IF(AND(Calculated_Ratios!H62="",ISBLANK(H62)),0,"MISMATCH"))</f>
        <v>0</v>
      </c>
      <c r="Z62" s="0" t="n">
        <f aca="false">IF(AND(ISNUMBER(Calculated_Ratios!I62),ISNUMBER(I62)),Calculated_Ratios!I62-I62,IF(AND(Calculated_Ratios!I62="",ISBLANK(I62)),0,"MISMATCH"))</f>
        <v>0</v>
      </c>
      <c r="AA62" s="0" t="n">
        <f aca="false">IF(AND(ISNUMBER(Calculated_Ratios!J62),ISNUMBER(J62)),Calculated_Ratios!J62-J62,IF(AND(Calculated_Ratios!J62="",ISBLANK(J62)),0,"MISMATCH"))</f>
        <v>0</v>
      </c>
      <c r="AB62" s="0" t="n">
        <f aca="false">IF(AND(ISNUMBER(Calculated_Ratios!K62),ISNUMBER(K62)),Calculated_Ratios!K62-K62,IF(AND(Calculated_Ratios!K62="",ISBLANK(K62)),0,"MISMATCH"))</f>
        <v>0</v>
      </c>
      <c r="AC62" s="0" t="n">
        <f aca="false">IF(AND(ISNUMBER(Calculated_Ratios!L62),ISNUMBER(L62)),Calculated_Ratios!L62-L62,IF(AND(Calculated_Ratios!L62="",ISBLANK(L62)),0,"MISMATCH"))</f>
        <v>0</v>
      </c>
      <c r="AD62" s="0" t="n">
        <f aca="false">IF(AND(ISNUMBER(Calculated_Ratios!M62),ISNUMBER(M62)),Calculated_Ratios!M62-M62,IF(AND(Calculated_Ratios!M62="",ISBLANK(M62)),0,"MISMATCH"))</f>
        <v>0</v>
      </c>
      <c r="AE62" s="0" t="n">
        <f aca="false">IF(AND(ISNUMBER(Calculated_Ratios!N62),ISNUMBER(N62)),Calculated_Ratios!N62-N62,IF(AND(Calculated_Ratios!N62="",ISBLANK(N62)),0,"MISMATCH"))</f>
        <v>0</v>
      </c>
      <c r="AF62" s="0" t="n">
        <f aca="false">IF(AND(ISNUMBER(Calculated_Ratios!O62),ISNUMBER(O62)),Calculated_Ratios!O62-O62,IF(AND(Calculated_Ratios!O62="",ISBLANK(O62)),0,"MISMATCH"))</f>
        <v>0</v>
      </c>
      <c r="AG62" s="0" t="n">
        <f aca="false">IF(AND(ISNUMBER(Calculated_Ratios!P62),ISNUMBER(P62)),Calculated_Ratios!P62-P62,IF(AND(Calculated_Ratios!P62="",ISBLANK(P62)),0,"MISMATCH"))</f>
        <v>0</v>
      </c>
      <c r="AH62" s="0" t="n">
        <f aca="false">IF(AND(ISNUMBER(Calculated_Ratios!Q62),ISNUMBER(Q62)),Calculated_Ratios!Q62-Q62,IF(AND(Calculated_Ratios!Q62="",ISBLANK(Q62)),0,"MISMATCH"))</f>
        <v>5.0931703299284E-011</v>
      </c>
      <c r="AI62" s="0" t="n">
        <f aca="false">IF(AND(ISNUMBER(Calculated_Ratios!R62),ISNUMBER(R62)),Calculated_Ratios!R62-R62,IF(AND(Calculated_Ratios!R62="",ISBLANK(R62)),0,"MISMATCH"))</f>
        <v>0</v>
      </c>
      <c r="AJ62" s="0" t="n">
        <f aca="false">IF(AND(ISNUMBER(Calculated_Ratios!S62),ISNUMBER(S62)),Calculated_Ratios!S62-S62,IF(AND(Calculated_Ratios!S62="",ISBLANK(S62)),0,"MISMATCH"))</f>
        <v>0</v>
      </c>
    </row>
    <row r="63" customFormat="false" ht="15" hidden="false" customHeight="false" outlineLevel="0" collapsed="false">
      <c r="A63" s="0" t="s">
        <v>169</v>
      </c>
      <c r="B63" s="0" t="n">
        <v>2014</v>
      </c>
      <c r="C63" s="0" t="n">
        <v>766168.3035</v>
      </c>
      <c r="D63" s="0" t="n">
        <v>1.17532570309469</v>
      </c>
      <c r="E63" s="0" t="n">
        <v>10.274255217967</v>
      </c>
      <c r="F63" s="0" t="n">
        <v>-0.0985431003280861</v>
      </c>
      <c r="G63" s="0" t="n">
        <v>2.54069495154419</v>
      </c>
      <c r="I63" s="0" t="n">
        <v>0.964430265027272</v>
      </c>
      <c r="N63" s="0" t="n">
        <v>1.0921215791566</v>
      </c>
      <c r="O63" s="0" t="n">
        <v>89.725744782033</v>
      </c>
      <c r="P63" s="0" t="n">
        <v>13.6225802379101</v>
      </c>
      <c r="Q63" s="0" t="n">
        <v>2.91038304567337E-011</v>
      </c>
      <c r="S63" s="0" t="n">
        <v>34</v>
      </c>
      <c r="T63" s="0" t="n">
        <f aca="false">IF(AND(ISNUMBER(Calculated_Ratios!C63),ISNUMBER(C63)),Calculated_Ratios!C63-C63,IF(AND(Calculated_Ratios!C63="",ISBLANK(C63)),0,"MISMATCH"))</f>
        <v>0</v>
      </c>
      <c r="U63" s="0" t="n">
        <f aca="false">IF(AND(ISNUMBER(Calculated_Ratios!D63),ISNUMBER(D63)),Calculated_Ratios!D63-D63,IF(AND(Calculated_Ratios!D63="",ISBLANK(D63)),0,"MISMATCH"))</f>
        <v>0</v>
      </c>
      <c r="V63" s="0" t="n">
        <f aca="false">IF(AND(ISNUMBER(Calculated_Ratios!E63),ISNUMBER(E63)),Calculated_Ratios!E63-E63,IF(AND(Calculated_Ratios!E63="",ISBLANK(E63)),0,"MISMATCH"))</f>
        <v>0</v>
      </c>
      <c r="W63" s="0" t="n">
        <f aca="false">IF(AND(ISNUMBER(Calculated_Ratios!F63),ISNUMBER(F63)),Calculated_Ratios!F63-F63,IF(AND(Calculated_Ratios!F63="",ISBLANK(F63)),0,"MISMATCH"))</f>
        <v>0</v>
      </c>
      <c r="X63" s="0" t="n">
        <f aca="false">IF(AND(ISNUMBER(Calculated_Ratios!G63),ISNUMBER(G63)),Calculated_Ratios!G63-G63,IF(AND(Calculated_Ratios!G63="",ISBLANK(G63)),0,"MISMATCH"))</f>
        <v>0</v>
      </c>
      <c r="Y63" s="0" t="n">
        <f aca="false">IF(AND(ISNUMBER(Calculated_Ratios!H63),ISNUMBER(H63)),Calculated_Ratios!H63-H63,IF(AND(Calculated_Ratios!H63="",ISBLANK(H63)),0,"MISMATCH"))</f>
        <v>0</v>
      </c>
      <c r="Z63" s="0" t="n">
        <f aca="false">IF(AND(ISNUMBER(Calculated_Ratios!I63),ISNUMBER(I63)),Calculated_Ratios!I63-I63,IF(AND(Calculated_Ratios!I63="",ISBLANK(I63)),0,"MISMATCH"))</f>
        <v>0</v>
      </c>
      <c r="AA63" s="0" t="n">
        <f aca="false">IF(AND(ISNUMBER(Calculated_Ratios!J63),ISNUMBER(J63)),Calculated_Ratios!J63-J63,IF(AND(Calculated_Ratios!J63="",ISBLANK(J63)),0,"MISMATCH"))</f>
        <v>0</v>
      </c>
      <c r="AB63" s="0" t="n">
        <f aca="false">IF(AND(ISNUMBER(Calculated_Ratios!K63),ISNUMBER(K63)),Calculated_Ratios!K63-K63,IF(AND(Calculated_Ratios!K63="",ISBLANK(K63)),0,"MISMATCH"))</f>
        <v>0</v>
      </c>
      <c r="AC63" s="0" t="n">
        <f aca="false">IF(AND(ISNUMBER(Calculated_Ratios!L63),ISNUMBER(L63)),Calculated_Ratios!L63-L63,IF(AND(Calculated_Ratios!L63="",ISBLANK(L63)),0,"MISMATCH"))</f>
        <v>0</v>
      </c>
      <c r="AD63" s="0" t="n">
        <f aca="false">IF(AND(ISNUMBER(Calculated_Ratios!M63),ISNUMBER(M63)),Calculated_Ratios!M63-M63,IF(AND(Calculated_Ratios!M63="",ISBLANK(M63)),0,"MISMATCH"))</f>
        <v>0</v>
      </c>
      <c r="AE63" s="0" t="n">
        <f aca="false">IF(AND(ISNUMBER(Calculated_Ratios!N63),ISNUMBER(N63)),Calculated_Ratios!N63-N63,IF(AND(Calculated_Ratios!N63="",ISBLANK(N63)),0,"MISMATCH"))</f>
        <v>0</v>
      </c>
      <c r="AF63" s="0" t="n">
        <f aca="false">IF(AND(ISNUMBER(Calculated_Ratios!O63),ISNUMBER(O63)),Calculated_Ratios!O63-O63,IF(AND(Calculated_Ratios!O63="",ISBLANK(O63)),0,"MISMATCH"))</f>
        <v>0</v>
      </c>
      <c r="AG63" s="0" t="n">
        <f aca="false">IF(AND(ISNUMBER(Calculated_Ratios!P63),ISNUMBER(P63)),Calculated_Ratios!P63-P63,IF(AND(Calculated_Ratios!P63="",ISBLANK(P63)),0,"MISMATCH"))</f>
        <v>0</v>
      </c>
      <c r="AH63" s="0" t="n">
        <f aca="false">IF(AND(ISNUMBER(Calculated_Ratios!Q63),ISNUMBER(Q63)),Calculated_Ratios!Q63-Q63,IF(AND(Calculated_Ratios!Q63="",ISBLANK(Q63)),0,"MISMATCH"))</f>
        <v>-2.91038304567337E-011</v>
      </c>
      <c r="AI63" s="0" t="n">
        <f aca="false">IF(AND(ISNUMBER(Calculated_Ratios!R63),ISNUMBER(R63)),Calculated_Ratios!R63-R63,IF(AND(Calculated_Ratios!R63="",ISBLANK(R63)),0,"MISMATCH"))</f>
        <v>0</v>
      </c>
      <c r="AJ63" s="0" t="n">
        <f aca="false">IF(AND(ISNUMBER(Calculated_Ratios!S63),ISNUMBER(S63)),Calculated_Ratios!S63-S63,IF(AND(Calculated_Ratios!S63="",ISBLANK(S63)),0,"MISMATCH"))</f>
        <v>0</v>
      </c>
    </row>
    <row r="64" customFormat="false" ht="15" hidden="false" customHeight="false" outlineLevel="0" collapsed="false">
      <c r="A64" s="0" t="s">
        <v>169</v>
      </c>
      <c r="B64" s="0" t="n">
        <v>2015</v>
      </c>
      <c r="C64" s="0" t="n">
        <v>811995.4215</v>
      </c>
      <c r="D64" s="0" t="n">
        <v>1.26756589107196</v>
      </c>
      <c r="E64" s="0" t="n">
        <v>11.9539155185461</v>
      </c>
      <c r="F64" s="0" t="n">
        <v>6.73550534299411</v>
      </c>
      <c r="G64" s="0" t="n">
        <v>4.44279325696376</v>
      </c>
      <c r="H64" s="0" t="n">
        <v>17.4902201769128</v>
      </c>
      <c r="I64" s="0" t="n">
        <v>1.00386501994581</v>
      </c>
      <c r="N64" s="0" t="n">
        <v>1.28745496988718</v>
      </c>
      <c r="O64" s="0" t="n">
        <v>88.0460844814539</v>
      </c>
      <c r="P64" s="0" t="n">
        <v>13.5916810426806</v>
      </c>
      <c r="Q64" s="0" t="n">
        <v>-2.91038304567337E-011</v>
      </c>
      <c r="R64" s="0" t="n">
        <v>0</v>
      </c>
      <c r="T64" s="0" t="n">
        <f aca="false">IF(AND(ISNUMBER(Calculated_Ratios!C64),ISNUMBER(C64)),Calculated_Ratios!C64-C64,IF(AND(Calculated_Ratios!C64="",ISBLANK(C64)),0,"MISMATCH"))</f>
        <v>0</v>
      </c>
      <c r="U64" s="0" t="n">
        <f aca="false">IF(AND(ISNUMBER(Calculated_Ratios!D64),ISNUMBER(D64)),Calculated_Ratios!D64-D64,IF(AND(Calculated_Ratios!D64="",ISBLANK(D64)),0,"MISMATCH"))</f>
        <v>0</v>
      </c>
      <c r="V64" s="0" t="n">
        <f aca="false">IF(AND(ISNUMBER(Calculated_Ratios!E64),ISNUMBER(E64)),Calculated_Ratios!E64-E64,IF(AND(Calculated_Ratios!E64="",ISBLANK(E64)),0,"MISMATCH"))</f>
        <v>0</v>
      </c>
      <c r="W64" s="0" t="n">
        <f aca="false">IF(AND(ISNUMBER(Calculated_Ratios!F64),ISNUMBER(F64)),Calculated_Ratios!F64-F64,IF(AND(Calculated_Ratios!F64="",ISBLANK(F64)),0,"MISMATCH"))</f>
        <v>0</v>
      </c>
      <c r="X64" s="0" t="n">
        <f aca="false">IF(AND(ISNUMBER(Calculated_Ratios!G64),ISNUMBER(G64)),Calculated_Ratios!G64-G64,IF(AND(Calculated_Ratios!G64="",ISBLANK(G64)),0,"MISMATCH"))</f>
        <v>0</v>
      </c>
      <c r="Y64" s="0" t="n">
        <f aca="false">IF(AND(ISNUMBER(Calculated_Ratios!H64),ISNUMBER(H64)),Calculated_Ratios!H64-H64,IF(AND(Calculated_Ratios!H64="",ISBLANK(H64)),0,"MISMATCH"))</f>
        <v>0</v>
      </c>
      <c r="Z64" s="0" t="n">
        <f aca="false">IF(AND(ISNUMBER(Calculated_Ratios!I64),ISNUMBER(I64)),Calculated_Ratios!I64-I64,IF(AND(Calculated_Ratios!I64="",ISBLANK(I64)),0,"MISMATCH"))</f>
        <v>0</v>
      </c>
      <c r="AA64" s="0" t="n">
        <f aca="false">IF(AND(ISNUMBER(Calculated_Ratios!J64),ISNUMBER(J64)),Calculated_Ratios!J64-J64,IF(AND(Calculated_Ratios!J64="",ISBLANK(J64)),0,"MISMATCH"))</f>
        <v>0</v>
      </c>
      <c r="AB64" s="0" t="n">
        <f aca="false">IF(AND(ISNUMBER(Calculated_Ratios!K64),ISNUMBER(K64)),Calculated_Ratios!K64-K64,IF(AND(Calculated_Ratios!K64="",ISBLANK(K64)),0,"MISMATCH"))</f>
        <v>0</v>
      </c>
      <c r="AC64" s="0" t="n">
        <f aca="false">IF(AND(ISNUMBER(Calculated_Ratios!L64),ISNUMBER(L64)),Calculated_Ratios!L64-L64,IF(AND(Calculated_Ratios!L64="",ISBLANK(L64)),0,"MISMATCH"))</f>
        <v>0</v>
      </c>
      <c r="AD64" s="0" t="n">
        <f aca="false">IF(AND(ISNUMBER(Calculated_Ratios!M64),ISNUMBER(M64)),Calculated_Ratios!M64-M64,IF(AND(Calculated_Ratios!M64="",ISBLANK(M64)),0,"MISMATCH"))</f>
        <v>0</v>
      </c>
      <c r="AE64" s="0" t="n">
        <f aca="false">IF(AND(ISNUMBER(Calculated_Ratios!N64),ISNUMBER(N64)),Calculated_Ratios!N64-N64,IF(AND(Calculated_Ratios!N64="",ISBLANK(N64)),0,"MISMATCH"))</f>
        <v>0</v>
      </c>
      <c r="AF64" s="0" t="n">
        <f aca="false">IF(AND(ISNUMBER(Calculated_Ratios!O64),ISNUMBER(O64)),Calculated_Ratios!O64-O64,IF(AND(Calculated_Ratios!O64="",ISBLANK(O64)),0,"MISMATCH"))</f>
        <v>0</v>
      </c>
      <c r="AG64" s="0" t="n">
        <f aca="false">IF(AND(ISNUMBER(Calculated_Ratios!P64),ISNUMBER(P64)),Calculated_Ratios!P64-P64,IF(AND(Calculated_Ratios!P64="",ISBLANK(P64)),0,"MISMATCH"))</f>
        <v>0</v>
      </c>
      <c r="AH64" s="0" t="n">
        <f aca="false">IF(AND(ISNUMBER(Calculated_Ratios!Q64),ISNUMBER(Q64)),Calculated_Ratios!Q64-Q64,IF(AND(Calculated_Ratios!Q64="",ISBLANK(Q64)),0,"MISMATCH"))</f>
        <v>2.91038304567337E-011</v>
      </c>
      <c r="AI64" s="0" t="n">
        <f aca="false">IF(AND(ISNUMBER(Calculated_Ratios!R64),ISNUMBER(R64)),Calculated_Ratios!R64-R64,IF(AND(Calculated_Ratios!R64="",ISBLANK(R64)),0,"MISMATCH"))</f>
        <v>0</v>
      </c>
      <c r="AJ64" s="0" t="n">
        <f aca="false">IF(AND(ISNUMBER(Calculated_Ratios!S64),ISNUMBER(S64)),Calculated_Ratios!S64-S64,IF(AND(Calculated_Ratios!S64="",ISBLANK(S64)),0,"MISMATCH"))</f>
        <v>0</v>
      </c>
    </row>
    <row r="65" customFormat="false" ht="15" hidden="false" customHeight="false" outlineLevel="0" collapsed="false">
      <c r="A65" s="0" t="s">
        <v>169</v>
      </c>
      <c r="B65" s="0" t="n">
        <v>2016</v>
      </c>
      <c r="C65" s="0" t="n">
        <v>815126.8205</v>
      </c>
      <c r="D65" s="0" t="n">
        <v>0.635602199523013</v>
      </c>
      <c r="E65" s="0" t="n">
        <v>10.3127579013318</v>
      </c>
      <c r="F65" s="0" t="n">
        <v>-15.3218467186972</v>
      </c>
      <c r="G65" s="0" t="n">
        <v>1.77534283860335</v>
      </c>
      <c r="H65" s="0" t="n">
        <v>10.6590109197573</v>
      </c>
      <c r="I65" s="0" t="n">
        <v>1.43707306708601</v>
      </c>
      <c r="N65" s="0" t="n">
        <v>0.623609789470183</v>
      </c>
      <c r="O65" s="0" t="n">
        <v>89.6872420986682</v>
      </c>
      <c r="P65" s="0" t="n">
        <v>13.6301470479184</v>
      </c>
      <c r="Q65" s="0" t="n">
        <v>8.73114913702011E-011</v>
      </c>
      <c r="R65" s="0" t="n">
        <v>0</v>
      </c>
      <c r="T65" s="0" t="n">
        <f aca="false">IF(AND(ISNUMBER(Calculated_Ratios!C65),ISNUMBER(C65)),Calculated_Ratios!C65-C65,IF(AND(Calculated_Ratios!C65="",ISBLANK(C65)),0,"MISMATCH"))</f>
        <v>0</v>
      </c>
      <c r="U65" s="0" t="n">
        <f aca="false">IF(AND(ISNUMBER(Calculated_Ratios!D65),ISNUMBER(D65)),Calculated_Ratios!D65-D65,IF(AND(Calculated_Ratios!D65="",ISBLANK(D65)),0,"MISMATCH"))</f>
        <v>0</v>
      </c>
      <c r="V65" s="0" t="n">
        <f aca="false">IF(AND(ISNUMBER(Calculated_Ratios!E65),ISNUMBER(E65)),Calculated_Ratios!E65-E65,IF(AND(Calculated_Ratios!E65="",ISBLANK(E65)),0,"MISMATCH"))</f>
        <v>0</v>
      </c>
      <c r="W65" s="0" t="n">
        <f aca="false">IF(AND(ISNUMBER(Calculated_Ratios!F65),ISNUMBER(F65)),Calculated_Ratios!F65-F65,IF(AND(Calculated_Ratios!F65="",ISBLANK(F65)),0,"MISMATCH"))</f>
        <v>0</v>
      </c>
      <c r="X65" s="0" t="n">
        <f aca="false">IF(AND(ISNUMBER(Calculated_Ratios!G65),ISNUMBER(G65)),Calculated_Ratios!G65-G65,IF(AND(Calculated_Ratios!G65="",ISBLANK(G65)),0,"MISMATCH"))</f>
        <v>0</v>
      </c>
      <c r="Y65" s="0" t="n">
        <f aca="false">IF(AND(ISNUMBER(Calculated_Ratios!H65),ISNUMBER(H65)),Calculated_Ratios!H65-H65,IF(AND(Calculated_Ratios!H65="",ISBLANK(H65)),0,"MISMATCH"))</f>
        <v>0</v>
      </c>
      <c r="Z65" s="0" t="n">
        <f aca="false">IF(AND(ISNUMBER(Calculated_Ratios!I65),ISNUMBER(I65)),Calculated_Ratios!I65-I65,IF(AND(Calculated_Ratios!I65="",ISBLANK(I65)),0,"MISMATCH"))</f>
        <v>0</v>
      </c>
      <c r="AA65" s="0" t="n">
        <f aca="false">IF(AND(ISNUMBER(Calculated_Ratios!J65),ISNUMBER(J65)),Calculated_Ratios!J65-J65,IF(AND(Calculated_Ratios!J65="",ISBLANK(J65)),0,"MISMATCH"))</f>
        <v>0</v>
      </c>
      <c r="AB65" s="0" t="n">
        <f aca="false">IF(AND(ISNUMBER(Calculated_Ratios!K65),ISNUMBER(K65)),Calculated_Ratios!K65-K65,IF(AND(Calculated_Ratios!K65="",ISBLANK(K65)),0,"MISMATCH"))</f>
        <v>0</v>
      </c>
      <c r="AC65" s="0" t="n">
        <f aca="false">IF(AND(ISNUMBER(Calculated_Ratios!L65),ISNUMBER(L65)),Calculated_Ratios!L65-L65,IF(AND(Calculated_Ratios!L65="",ISBLANK(L65)),0,"MISMATCH"))</f>
        <v>0</v>
      </c>
      <c r="AD65" s="0" t="n">
        <f aca="false">IF(AND(ISNUMBER(Calculated_Ratios!M65),ISNUMBER(M65)),Calculated_Ratios!M65-M65,IF(AND(Calculated_Ratios!M65="",ISBLANK(M65)),0,"MISMATCH"))</f>
        <v>0</v>
      </c>
      <c r="AE65" s="0" t="n">
        <f aca="false">IF(AND(ISNUMBER(Calculated_Ratios!N65),ISNUMBER(N65)),Calculated_Ratios!N65-N65,IF(AND(Calculated_Ratios!N65="",ISBLANK(N65)),0,"MISMATCH"))</f>
        <v>0</v>
      </c>
      <c r="AF65" s="0" t="n">
        <f aca="false">IF(AND(ISNUMBER(Calculated_Ratios!O65),ISNUMBER(O65)),Calculated_Ratios!O65-O65,IF(AND(Calculated_Ratios!O65="",ISBLANK(O65)),0,"MISMATCH"))</f>
        <v>0</v>
      </c>
      <c r="AG65" s="0" t="n">
        <f aca="false">IF(AND(ISNUMBER(Calculated_Ratios!P65),ISNUMBER(P65)),Calculated_Ratios!P65-P65,IF(AND(Calculated_Ratios!P65="",ISBLANK(P65)),0,"MISMATCH"))</f>
        <v>0</v>
      </c>
      <c r="AH65" s="0" t="n">
        <f aca="false">IF(AND(ISNUMBER(Calculated_Ratios!Q65),ISNUMBER(Q65)),Calculated_Ratios!Q65-Q65,IF(AND(Calculated_Ratios!Q65="",ISBLANK(Q65)),0,"MISMATCH"))</f>
        <v>-8.73114913702011E-011</v>
      </c>
      <c r="AI65" s="0" t="n">
        <f aca="false">IF(AND(ISNUMBER(Calculated_Ratios!R65),ISNUMBER(R65)),Calculated_Ratios!R65-R65,IF(AND(Calculated_Ratios!R65="",ISBLANK(R65)),0,"MISMATCH"))</f>
        <v>0</v>
      </c>
      <c r="AJ65" s="0" t="n">
        <f aca="false">IF(AND(ISNUMBER(Calculated_Ratios!S65),ISNUMBER(S65)),Calculated_Ratios!S65-S65,IF(AND(Calculated_Ratios!S65="",ISBLANK(S65)),0,"MISMATCH"))</f>
        <v>0</v>
      </c>
    </row>
    <row r="66" customFormat="false" ht="15" hidden="false" customHeight="false" outlineLevel="0" collapsed="false">
      <c r="A66" s="0" t="s">
        <v>169</v>
      </c>
      <c r="B66" s="0" t="n">
        <v>2017</v>
      </c>
      <c r="C66" s="0" t="n">
        <v>949801.5</v>
      </c>
      <c r="D66" s="0" t="n">
        <v>0.890186002022528</v>
      </c>
      <c r="E66" s="0" t="n">
        <v>9.62698283492297</v>
      </c>
      <c r="F66" s="0" t="n">
        <v>-4.90018177482348</v>
      </c>
      <c r="G66" s="0" t="n">
        <v>3.15814870048593</v>
      </c>
      <c r="H66" s="0" t="n">
        <v>11.7320092527474</v>
      </c>
      <c r="I66" s="0" t="n">
        <v>1.29153302032056</v>
      </c>
      <c r="N66" s="0" t="n">
        <v>0.791075582102511</v>
      </c>
      <c r="O66" s="0" t="n">
        <v>90.373017165077</v>
      </c>
      <c r="P66" s="0" t="n">
        <v>13.8820452105053</v>
      </c>
      <c r="Q66" s="0" t="n">
        <v>0</v>
      </c>
      <c r="R66" s="0" t="n">
        <v>0</v>
      </c>
      <c r="T66" s="0" t="n">
        <f aca="false">IF(AND(ISNUMBER(Calculated_Ratios!C66),ISNUMBER(C66)),Calculated_Ratios!C66-C66,IF(AND(Calculated_Ratios!C66="",ISBLANK(C66)),0,"MISMATCH"))</f>
        <v>0</v>
      </c>
      <c r="U66" s="0" t="n">
        <f aca="false">IF(AND(ISNUMBER(Calculated_Ratios!D66),ISNUMBER(D66)),Calculated_Ratios!D66-D66,IF(AND(Calculated_Ratios!D66="",ISBLANK(D66)),0,"MISMATCH"))</f>
        <v>0</v>
      </c>
      <c r="V66" s="0" t="n">
        <f aca="false">IF(AND(ISNUMBER(Calculated_Ratios!E66),ISNUMBER(E66)),Calculated_Ratios!E66-E66,IF(AND(Calculated_Ratios!E66="",ISBLANK(E66)),0,"MISMATCH"))</f>
        <v>0</v>
      </c>
      <c r="W66" s="0" t="n">
        <f aca="false">IF(AND(ISNUMBER(Calculated_Ratios!F66),ISNUMBER(F66)),Calculated_Ratios!F66-F66,IF(AND(Calculated_Ratios!F66="",ISBLANK(F66)),0,"MISMATCH"))</f>
        <v>0</v>
      </c>
      <c r="X66" s="0" t="n">
        <f aca="false">IF(AND(ISNUMBER(Calculated_Ratios!G66),ISNUMBER(G66)),Calculated_Ratios!G66-G66,IF(AND(Calculated_Ratios!G66="",ISBLANK(G66)),0,"MISMATCH"))</f>
        <v>0</v>
      </c>
      <c r="Y66" s="0" t="n">
        <f aca="false">IF(AND(ISNUMBER(Calculated_Ratios!H66),ISNUMBER(H66)),Calculated_Ratios!H66-H66,IF(AND(Calculated_Ratios!H66="",ISBLANK(H66)),0,"MISMATCH"))</f>
        <v>0</v>
      </c>
      <c r="Z66" s="0" t="n">
        <f aca="false">IF(AND(ISNUMBER(Calculated_Ratios!I66),ISNUMBER(I66)),Calculated_Ratios!I66-I66,IF(AND(Calculated_Ratios!I66="",ISBLANK(I66)),0,"MISMATCH"))</f>
        <v>0</v>
      </c>
      <c r="AA66" s="0" t="n">
        <f aca="false">IF(AND(ISNUMBER(Calculated_Ratios!J66),ISNUMBER(J66)),Calculated_Ratios!J66-J66,IF(AND(Calculated_Ratios!J66="",ISBLANK(J66)),0,"MISMATCH"))</f>
        <v>0</v>
      </c>
      <c r="AB66" s="0" t="n">
        <f aca="false">IF(AND(ISNUMBER(Calculated_Ratios!K66),ISNUMBER(K66)),Calculated_Ratios!K66-K66,IF(AND(Calculated_Ratios!K66="",ISBLANK(K66)),0,"MISMATCH"))</f>
        <v>0</v>
      </c>
      <c r="AC66" s="0" t="n">
        <f aca="false">IF(AND(ISNUMBER(Calculated_Ratios!L66),ISNUMBER(L66)),Calculated_Ratios!L66-L66,IF(AND(Calculated_Ratios!L66="",ISBLANK(L66)),0,"MISMATCH"))</f>
        <v>0</v>
      </c>
      <c r="AD66" s="0" t="n">
        <f aca="false">IF(AND(ISNUMBER(Calculated_Ratios!M66),ISNUMBER(M66)),Calculated_Ratios!M66-M66,IF(AND(Calculated_Ratios!M66="",ISBLANK(M66)),0,"MISMATCH"))</f>
        <v>0</v>
      </c>
      <c r="AE66" s="0" t="n">
        <f aca="false">IF(AND(ISNUMBER(Calculated_Ratios!N66),ISNUMBER(N66)),Calculated_Ratios!N66-N66,IF(AND(Calculated_Ratios!N66="",ISBLANK(N66)),0,"MISMATCH"))</f>
        <v>0</v>
      </c>
      <c r="AF66" s="0" t="n">
        <f aca="false">IF(AND(ISNUMBER(Calculated_Ratios!O66),ISNUMBER(O66)),Calculated_Ratios!O66-O66,IF(AND(Calculated_Ratios!O66="",ISBLANK(O66)),0,"MISMATCH"))</f>
        <v>0</v>
      </c>
      <c r="AG66" s="0" t="n">
        <f aca="false">IF(AND(ISNUMBER(Calculated_Ratios!P66),ISNUMBER(P66)),Calculated_Ratios!P66-P66,IF(AND(Calculated_Ratios!P66="",ISBLANK(P66)),0,"MISMATCH"))</f>
        <v>0</v>
      </c>
      <c r="AH66" s="0" t="n">
        <f aca="false">IF(AND(ISNUMBER(Calculated_Ratios!Q66),ISNUMBER(Q66)),Calculated_Ratios!Q66-Q66,IF(AND(Calculated_Ratios!Q66="",ISBLANK(Q66)),0,"MISMATCH"))</f>
        <v>0</v>
      </c>
      <c r="AI66" s="0" t="n">
        <f aca="false">IF(AND(ISNUMBER(Calculated_Ratios!R66),ISNUMBER(R66)),Calculated_Ratios!R66-R66,IF(AND(Calculated_Ratios!R66="",ISBLANK(R66)),0,"MISMATCH"))</f>
        <v>0</v>
      </c>
      <c r="AJ66" s="0" t="n">
        <f aca="false">IF(AND(ISNUMBER(Calculated_Ratios!S66),ISNUMBER(S66)),Calculated_Ratios!S66-S66,IF(AND(Calculated_Ratios!S66="",ISBLANK(S66)),0,"MISMATCH"))</f>
        <v>0</v>
      </c>
    </row>
    <row r="67" customFormat="false" ht="15" hidden="false" customHeight="false" outlineLevel="0" collapsed="false">
      <c r="A67" s="0" t="s">
        <v>169</v>
      </c>
      <c r="B67" s="0" t="n">
        <v>2018</v>
      </c>
      <c r="E67" s="0" t="n">
        <v>9.02580036762945</v>
      </c>
      <c r="G67" s="0" t="n">
        <v>3.0687802609111</v>
      </c>
      <c r="N67" s="0" t="n">
        <v>0.871922760978233</v>
      </c>
      <c r="O67" s="0" t="n">
        <v>90.9741996323705</v>
      </c>
      <c r="P67" s="0" t="n">
        <v>13.8978975924781</v>
      </c>
      <c r="Q67" s="0" t="n">
        <v>0</v>
      </c>
      <c r="T67" s="0" t="n">
        <f aca="false">IF(AND(ISNUMBER(Calculated_Ratios!C67),ISNUMBER(C67)),Calculated_Ratios!C67-C67,IF(AND(Calculated_Ratios!C67="",ISBLANK(C67)),0,"MISMATCH"))</f>
        <v>0</v>
      </c>
      <c r="U67" s="0" t="n">
        <f aca="false">IF(AND(ISNUMBER(Calculated_Ratios!D67),ISNUMBER(D67)),Calculated_Ratios!D67-D67,IF(AND(Calculated_Ratios!D67="",ISBLANK(D67)),0,"MISMATCH"))</f>
        <v>0</v>
      </c>
      <c r="V67" s="0" t="n">
        <f aca="false">IF(AND(ISNUMBER(Calculated_Ratios!E67),ISNUMBER(E67)),Calculated_Ratios!E67-E67,IF(AND(Calculated_Ratios!E67="",ISBLANK(E67)),0,"MISMATCH"))</f>
        <v>0</v>
      </c>
      <c r="W67" s="0" t="n">
        <f aca="false">IF(AND(ISNUMBER(Calculated_Ratios!F67),ISNUMBER(F67)),Calculated_Ratios!F67-F67,IF(AND(Calculated_Ratios!F67="",ISBLANK(F67)),0,"MISMATCH"))</f>
        <v>0</v>
      </c>
      <c r="X67" s="0" t="n">
        <f aca="false">IF(AND(ISNUMBER(Calculated_Ratios!G67),ISNUMBER(G67)),Calculated_Ratios!G67-G67,IF(AND(Calculated_Ratios!G67="",ISBLANK(G67)),0,"MISMATCH"))</f>
        <v>0</v>
      </c>
      <c r="Y67" s="0" t="n">
        <f aca="false">IF(AND(ISNUMBER(Calculated_Ratios!H67),ISNUMBER(H67)),Calculated_Ratios!H67-H67,IF(AND(Calculated_Ratios!H67="",ISBLANK(H67)),0,"MISMATCH"))</f>
        <v>0</v>
      </c>
      <c r="Z67" s="0" t="n">
        <f aca="false">IF(AND(ISNUMBER(Calculated_Ratios!I67),ISNUMBER(I67)),Calculated_Ratios!I67-I67,IF(AND(Calculated_Ratios!I67="",ISBLANK(I67)),0,"MISMATCH"))</f>
        <v>0</v>
      </c>
      <c r="AA67" s="0" t="n">
        <f aca="false">IF(AND(ISNUMBER(Calculated_Ratios!J67),ISNUMBER(J67)),Calculated_Ratios!J67-J67,IF(AND(Calculated_Ratios!J67="",ISBLANK(J67)),0,"MISMATCH"))</f>
        <v>0</v>
      </c>
      <c r="AB67" s="0" t="n">
        <f aca="false">IF(AND(ISNUMBER(Calculated_Ratios!K67),ISNUMBER(K67)),Calculated_Ratios!K67-K67,IF(AND(Calculated_Ratios!K67="",ISBLANK(K67)),0,"MISMATCH"))</f>
        <v>0</v>
      </c>
      <c r="AC67" s="0" t="n">
        <f aca="false">IF(AND(ISNUMBER(Calculated_Ratios!L67),ISNUMBER(L67)),Calculated_Ratios!L67-L67,IF(AND(Calculated_Ratios!L67="",ISBLANK(L67)),0,"MISMATCH"))</f>
        <v>0</v>
      </c>
      <c r="AD67" s="0" t="n">
        <f aca="false">IF(AND(ISNUMBER(Calculated_Ratios!M67),ISNUMBER(M67)),Calculated_Ratios!M67-M67,IF(AND(Calculated_Ratios!M67="",ISBLANK(M67)),0,"MISMATCH"))</f>
        <v>0</v>
      </c>
      <c r="AE67" s="0" t="n">
        <f aca="false">IF(AND(ISNUMBER(Calculated_Ratios!N67),ISNUMBER(N67)),Calculated_Ratios!N67-N67,IF(AND(Calculated_Ratios!N67="",ISBLANK(N67)),0,"MISMATCH"))</f>
        <v>0</v>
      </c>
      <c r="AF67" s="0" t="n">
        <f aca="false">IF(AND(ISNUMBER(Calculated_Ratios!O67),ISNUMBER(O67)),Calculated_Ratios!O67-O67,IF(AND(Calculated_Ratios!O67="",ISBLANK(O67)),0,"MISMATCH"))</f>
        <v>0</v>
      </c>
      <c r="AG67" s="0" t="n">
        <f aca="false">IF(AND(ISNUMBER(Calculated_Ratios!P67),ISNUMBER(P67)),Calculated_Ratios!P67-P67,IF(AND(Calculated_Ratios!P67="",ISBLANK(P67)),0,"MISMATCH"))</f>
        <v>0</v>
      </c>
      <c r="AH67" s="0" t="n">
        <f aca="false">IF(AND(ISNUMBER(Calculated_Ratios!Q67),ISNUMBER(Q67)),Calculated_Ratios!Q67-Q67,IF(AND(Calculated_Ratios!Q67="",ISBLANK(Q67)),0,"MISMATCH"))</f>
        <v>0</v>
      </c>
      <c r="AI67" s="0" t="n">
        <f aca="false">IF(AND(ISNUMBER(Calculated_Ratios!R67),ISNUMBER(R67)),Calculated_Ratios!R67-R67,IF(AND(Calculated_Ratios!R67="",ISBLANK(R67)),0,"MISMATCH"))</f>
        <v>0</v>
      </c>
      <c r="AJ67" s="0" t="n">
        <f aca="false">IF(AND(ISNUMBER(Calculated_Ratios!S67),ISNUMBER(S67)),Calculated_Ratios!S67-S67,IF(AND(Calculated_Ratios!S67="",ISBLANK(S67)),0,"MISMATCH"))</f>
        <v>0</v>
      </c>
    </row>
    <row r="68" customFormat="false" ht="15" hidden="false" customHeight="false" outlineLevel="0" collapsed="false">
      <c r="A68" s="0" t="s">
        <v>169</v>
      </c>
      <c r="B68" s="0" t="n">
        <v>2019</v>
      </c>
      <c r="C68" s="0" t="n">
        <v>1125692.5</v>
      </c>
      <c r="D68" s="0" t="n">
        <v>0.902822040654975</v>
      </c>
      <c r="E68" s="0" t="n">
        <v>10.238273578325</v>
      </c>
      <c r="F68" s="0" t="n">
        <v>10.1638769024401</v>
      </c>
      <c r="G68" s="0" t="n">
        <v>2.05256309185719</v>
      </c>
      <c r="I68" s="0" t="n">
        <v>0.518969434370399</v>
      </c>
      <c r="N68" s="0" t="n">
        <v>0.871979538553542</v>
      </c>
      <c r="O68" s="0" t="n">
        <v>89.761726421675</v>
      </c>
      <c r="P68" s="0" t="n">
        <v>13.9686684594359</v>
      </c>
      <c r="Q68" s="0" t="n">
        <v>0</v>
      </c>
      <c r="T68" s="0" t="n">
        <f aca="false">IF(AND(ISNUMBER(Calculated_Ratios!C68),ISNUMBER(C68)),Calculated_Ratios!C68-C68,IF(AND(Calculated_Ratios!C68="",ISBLANK(C68)),0,"MISMATCH"))</f>
        <v>0</v>
      </c>
      <c r="U68" s="0" t="n">
        <f aca="false">IF(AND(ISNUMBER(Calculated_Ratios!D68),ISNUMBER(D68)),Calculated_Ratios!D68-D68,IF(AND(Calculated_Ratios!D68="",ISBLANK(D68)),0,"MISMATCH"))</f>
        <v>0</v>
      </c>
      <c r="V68" s="0" t="n">
        <f aca="false">IF(AND(ISNUMBER(Calculated_Ratios!E68),ISNUMBER(E68)),Calculated_Ratios!E68-E68,IF(AND(Calculated_Ratios!E68="",ISBLANK(E68)),0,"MISMATCH"))</f>
        <v>0</v>
      </c>
      <c r="W68" s="0" t="n">
        <f aca="false">IF(AND(ISNUMBER(Calculated_Ratios!F68),ISNUMBER(F68)),Calculated_Ratios!F68-F68,IF(AND(Calculated_Ratios!F68="",ISBLANK(F68)),0,"MISMATCH"))</f>
        <v>0</v>
      </c>
      <c r="X68" s="0" t="n">
        <f aca="false">IF(AND(ISNUMBER(Calculated_Ratios!G68),ISNUMBER(G68)),Calculated_Ratios!G68-G68,IF(AND(Calculated_Ratios!G68="",ISBLANK(G68)),0,"MISMATCH"))</f>
        <v>0</v>
      </c>
      <c r="Y68" s="0" t="n">
        <f aca="false">IF(AND(ISNUMBER(Calculated_Ratios!H68),ISNUMBER(H68)),Calculated_Ratios!H68-H68,IF(AND(Calculated_Ratios!H68="",ISBLANK(H68)),0,"MISMATCH"))</f>
        <v>0</v>
      </c>
      <c r="Z68" s="0" t="n">
        <f aca="false">IF(AND(ISNUMBER(Calculated_Ratios!I68),ISNUMBER(I68)),Calculated_Ratios!I68-I68,IF(AND(Calculated_Ratios!I68="",ISBLANK(I68)),0,"MISMATCH"))</f>
        <v>0</v>
      </c>
      <c r="AA68" s="0" t="n">
        <f aca="false">IF(AND(ISNUMBER(Calculated_Ratios!J68),ISNUMBER(J68)),Calculated_Ratios!J68-J68,IF(AND(Calculated_Ratios!J68="",ISBLANK(J68)),0,"MISMATCH"))</f>
        <v>0</v>
      </c>
      <c r="AB68" s="0" t="n">
        <f aca="false">IF(AND(ISNUMBER(Calculated_Ratios!K68),ISNUMBER(K68)),Calculated_Ratios!K68-K68,IF(AND(Calculated_Ratios!K68="",ISBLANK(K68)),0,"MISMATCH"))</f>
        <v>0</v>
      </c>
      <c r="AC68" s="0" t="n">
        <f aca="false">IF(AND(ISNUMBER(Calculated_Ratios!L68),ISNUMBER(L68)),Calculated_Ratios!L68-L68,IF(AND(Calculated_Ratios!L68="",ISBLANK(L68)),0,"MISMATCH"))</f>
        <v>0</v>
      </c>
      <c r="AD68" s="0" t="n">
        <f aca="false">IF(AND(ISNUMBER(Calculated_Ratios!M68),ISNUMBER(M68)),Calculated_Ratios!M68-M68,IF(AND(Calculated_Ratios!M68="",ISBLANK(M68)),0,"MISMATCH"))</f>
        <v>0</v>
      </c>
      <c r="AE68" s="0" t="n">
        <f aca="false">IF(AND(ISNUMBER(Calculated_Ratios!N68),ISNUMBER(N68)),Calculated_Ratios!N68-N68,IF(AND(Calculated_Ratios!N68="",ISBLANK(N68)),0,"MISMATCH"))</f>
        <v>0</v>
      </c>
      <c r="AF68" s="0" t="n">
        <f aca="false">IF(AND(ISNUMBER(Calculated_Ratios!O68),ISNUMBER(O68)),Calculated_Ratios!O68-O68,IF(AND(Calculated_Ratios!O68="",ISBLANK(O68)),0,"MISMATCH"))</f>
        <v>0</v>
      </c>
      <c r="AG68" s="0" t="n">
        <f aca="false">IF(AND(ISNUMBER(Calculated_Ratios!P68),ISNUMBER(P68)),Calculated_Ratios!P68-P68,IF(AND(Calculated_Ratios!P68="",ISBLANK(P68)),0,"MISMATCH"))</f>
        <v>0</v>
      </c>
      <c r="AH68" s="0" t="n">
        <f aca="false">IF(AND(ISNUMBER(Calculated_Ratios!Q68),ISNUMBER(Q68)),Calculated_Ratios!Q68-Q68,IF(AND(Calculated_Ratios!Q68="",ISBLANK(Q68)),0,"MISMATCH"))</f>
        <v>0</v>
      </c>
      <c r="AI68" s="0" t="n">
        <f aca="false">IF(AND(ISNUMBER(Calculated_Ratios!R68),ISNUMBER(R68)),Calculated_Ratios!R68-R68,IF(AND(Calculated_Ratios!R68="",ISBLANK(R68)),0,"MISMATCH"))</f>
        <v>0</v>
      </c>
      <c r="AJ68" s="0" t="n">
        <f aca="false">IF(AND(ISNUMBER(Calculated_Ratios!S68),ISNUMBER(S68)),Calculated_Ratios!S68-S68,IF(AND(Calculated_Ratios!S68="",ISBLANK(S68)),0,"MISMATCH"))</f>
        <v>0</v>
      </c>
    </row>
    <row r="69" customFormat="false" ht="15" hidden="false" customHeight="false" outlineLevel="0" collapsed="false">
      <c r="A69" s="0" t="s">
        <v>169</v>
      </c>
      <c r="B69" s="0" t="n">
        <v>2020</v>
      </c>
      <c r="C69" s="0" t="n">
        <v>1223669.5</v>
      </c>
      <c r="D69" s="0" t="n">
        <v>0.907924893118608</v>
      </c>
      <c r="E69" s="0" t="n">
        <v>10.5622430431493</v>
      </c>
      <c r="F69" s="0" t="n">
        <v>0.36006454357161</v>
      </c>
      <c r="G69" s="0" t="n">
        <v>2.69532198924284</v>
      </c>
      <c r="H69" s="0" t="n">
        <v>17.9763267136434</v>
      </c>
      <c r="I69" s="0" t="n">
        <v>0.646661537286007</v>
      </c>
      <c r="N69" s="0" t="n">
        <v>0.866729597528533</v>
      </c>
      <c r="O69" s="0" t="n">
        <v>89.4377569568508</v>
      </c>
      <c r="P69" s="0" t="n">
        <v>14.0637993023657</v>
      </c>
      <c r="Q69" s="0" t="n">
        <v>0</v>
      </c>
      <c r="R69" s="0" t="n">
        <v>0</v>
      </c>
      <c r="T69" s="0" t="n">
        <f aca="false">IF(AND(ISNUMBER(Calculated_Ratios!C69),ISNUMBER(C69)),Calculated_Ratios!C69-C69,IF(AND(Calculated_Ratios!C69="",ISBLANK(C69)),0,"MISMATCH"))</f>
        <v>0</v>
      </c>
      <c r="U69" s="0" t="n">
        <f aca="false">IF(AND(ISNUMBER(Calculated_Ratios!D69),ISNUMBER(D69)),Calculated_Ratios!D69-D69,IF(AND(Calculated_Ratios!D69="",ISBLANK(D69)),0,"MISMATCH"))</f>
        <v>0</v>
      </c>
      <c r="V69" s="0" t="n">
        <f aca="false">IF(AND(ISNUMBER(Calculated_Ratios!E69),ISNUMBER(E69)),Calculated_Ratios!E69-E69,IF(AND(Calculated_Ratios!E69="",ISBLANK(E69)),0,"MISMATCH"))</f>
        <v>0</v>
      </c>
      <c r="W69" s="0" t="n">
        <f aca="false">IF(AND(ISNUMBER(Calculated_Ratios!F69),ISNUMBER(F69)),Calculated_Ratios!F69-F69,IF(AND(Calculated_Ratios!F69="",ISBLANK(F69)),0,"MISMATCH"))</f>
        <v>0</v>
      </c>
      <c r="X69" s="0" t="n">
        <f aca="false">IF(AND(ISNUMBER(Calculated_Ratios!G69),ISNUMBER(G69)),Calculated_Ratios!G69-G69,IF(AND(Calculated_Ratios!G69="",ISBLANK(G69)),0,"MISMATCH"))</f>
        <v>0</v>
      </c>
      <c r="Y69" s="0" t="n">
        <f aca="false">IF(AND(ISNUMBER(Calculated_Ratios!H69),ISNUMBER(H69)),Calculated_Ratios!H69-H69,IF(AND(Calculated_Ratios!H69="",ISBLANK(H69)),0,"MISMATCH"))</f>
        <v>0</v>
      </c>
      <c r="Z69" s="0" t="n">
        <f aca="false">IF(AND(ISNUMBER(Calculated_Ratios!I69),ISNUMBER(I69)),Calculated_Ratios!I69-I69,IF(AND(Calculated_Ratios!I69="",ISBLANK(I69)),0,"MISMATCH"))</f>
        <v>0</v>
      </c>
      <c r="AA69" s="0" t="n">
        <f aca="false">IF(AND(ISNUMBER(Calculated_Ratios!J69),ISNUMBER(J69)),Calculated_Ratios!J69-J69,IF(AND(Calculated_Ratios!J69="",ISBLANK(J69)),0,"MISMATCH"))</f>
        <v>0</v>
      </c>
      <c r="AB69" s="0" t="n">
        <f aca="false">IF(AND(ISNUMBER(Calculated_Ratios!K69),ISNUMBER(K69)),Calculated_Ratios!K69-K69,IF(AND(Calculated_Ratios!K69="",ISBLANK(K69)),0,"MISMATCH"))</f>
        <v>0</v>
      </c>
      <c r="AC69" s="0" t="n">
        <f aca="false">IF(AND(ISNUMBER(Calculated_Ratios!L69),ISNUMBER(L69)),Calculated_Ratios!L69-L69,IF(AND(Calculated_Ratios!L69="",ISBLANK(L69)),0,"MISMATCH"))</f>
        <v>0</v>
      </c>
      <c r="AD69" s="0" t="n">
        <f aca="false">IF(AND(ISNUMBER(Calculated_Ratios!M69),ISNUMBER(M69)),Calculated_Ratios!M69-M69,IF(AND(Calculated_Ratios!M69="",ISBLANK(M69)),0,"MISMATCH"))</f>
        <v>0</v>
      </c>
      <c r="AE69" s="0" t="n">
        <f aca="false">IF(AND(ISNUMBER(Calculated_Ratios!N69),ISNUMBER(N69)),Calculated_Ratios!N69-N69,IF(AND(Calculated_Ratios!N69="",ISBLANK(N69)),0,"MISMATCH"))</f>
        <v>0</v>
      </c>
      <c r="AF69" s="0" t="n">
        <f aca="false">IF(AND(ISNUMBER(Calculated_Ratios!O69),ISNUMBER(O69)),Calculated_Ratios!O69-O69,IF(AND(Calculated_Ratios!O69="",ISBLANK(O69)),0,"MISMATCH"))</f>
        <v>0</v>
      </c>
      <c r="AG69" s="0" t="n">
        <f aca="false">IF(AND(ISNUMBER(Calculated_Ratios!P69),ISNUMBER(P69)),Calculated_Ratios!P69-P69,IF(AND(Calculated_Ratios!P69="",ISBLANK(P69)),0,"MISMATCH"))</f>
        <v>0</v>
      </c>
      <c r="AH69" s="0" t="n">
        <f aca="false">IF(AND(ISNUMBER(Calculated_Ratios!Q69),ISNUMBER(Q69)),Calculated_Ratios!Q69-Q69,IF(AND(Calculated_Ratios!Q69="",ISBLANK(Q69)),0,"MISMATCH"))</f>
        <v>0</v>
      </c>
      <c r="AI69" s="0" t="n">
        <f aca="false">IF(AND(ISNUMBER(Calculated_Ratios!R69),ISNUMBER(R69)),Calculated_Ratios!R69-R69,IF(AND(Calculated_Ratios!R69="",ISBLANK(R69)),0,"MISMATCH"))</f>
        <v>0</v>
      </c>
      <c r="AJ69" s="0" t="n">
        <f aca="false">IF(AND(ISNUMBER(Calculated_Ratios!S69),ISNUMBER(S69)),Calculated_Ratios!S69-S69,IF(AND(Calculated_Ratios!S69="",ISBLANK(S69)),0,"MISMATCH"))</f>
        <v>0</v>
      </c>
    </row>
    <row r="70" customFormat="false" ht="15" hidden="false" customHeight="false" outlineLevel="0" collapsed="false">
      <c r="A70" s="0" t="s">
        <v>169</v>
      </c>
      <c r="B70" s="0" t="n">
        <v>2021</v>
      </c>
      <c r="C70" s="0" t="n">
        <v>1446789.5</v>
      </c>
      <c r="D70" s="0" t="n">
        <v>0.926395996100331</v>
      </c>
      <c r="E70" s="0" t="n">
        <v>8.74925314053243</v>
      </c>
      <c r="F70" s="0" t="n">
        <v>10.024056713157</v>
      </c>
      <c r="G70" s="0" t="n">
        <v>1.95295284266197</v>
      </c>
      <c r="H70" s="0" t="n">
        <v>14.8155466959014</v>
      </c>
      <c r="I70" s="0" t="n">
        <v>0.678882449727483</v>
      </c>
      <c r="N70" s="0" t="n">
        <v>0.831581096063965</v>
      </c>
      <c r="O70" s="0" t="n">
        <v>91.2507468594676</v>
      </c>
      <c r="P70" s="0" t="n">
        <v>14.2928304827291</v>
      </c>
      <c r="Q70" s="0" t="n">
        <v>0</v>
      </c>
      <c r="R70" s="0" t="n">
        <v>0</v>
      </c>
      <c r="T70" s="0" t="n">
        <f aca="false">IF(AND(ISNUMBER(Calculated_Ratios!C70),ISNUMBER(C70)),Calculated_Ratios!C70-C70,IF(AND(Calculated_Ratios!C70="",ISBLANK(C70)),0,"MISMATCH"))</f>
        <v>0</v>
      </c>
      <c r="U70" s="0" t="n">
        <f aca="false">IF(AND(ISNUMBER(Calculated_Ratios!D70),ISNUMBER(D70)),Calculated_Ratios!D70-D70,IF(AND(Calculated_Ratios!D70="",ISBLANK(D70)),0,"MISMATCH"))</f>
        <v>0</v>
      </c>
      <c r="V70" s="0" t="n">
        <f aca="false">IF(AND(ISNUMBER(Calculated_Ratios!E70),ISNUMBER(E70)),Calculated_Ratios!E70-E70,IF(AND(Calculated_Ratios!E70="",ISBLANK(E70)),0,"MISMATCH"))</f>
        <v>0</v>
      </c>
      <c r="W70" s="0" t="n">
        <f aca="false">IF(AND(ISNUMBER(Calculated_Ratios!F70),ISNUMBER(F70)),Calculated_Ratios!F70-F70,IF(AND(Calculated_Ratios!F70="",ISBLANK(F70)),0,"MISMATCH"))</f>
        <v>0</v>
      </c>
      <c r="X70" s="0" t="n">
        <f aca="false">IF(AND(ISNUMBER(Calculated_Ratios!G70),ISNUMBER(G70)),Calculated_Ratios!G70-G70,IF(AND(Calculated_Ratios!G70="",ISBLANK(G70)),0,"MISMATCH"))</f>
        <v>0</v>
      </c>
      <c r="Y70" s="0" t="n">
        <f aca="false">IF(AND(ISNUMBER(Calculated_Ratios!H70),ISNUMBER(H70)),Calculated_Ratios!H70-H70,IF(AND(Calculated_Ratios!H70="",ISBLANK(H70)),0,"MISMATCH"))</f>
        <v>0</v>
      </c>
      <c r="Z70" s="0" t="n">
        <f aca="false">IF(AND(ISNUMBER(Calculated_Ratios!I70),ISNUMBER(I70)),Calculated_Ratios!I70-I70,IF(AND(Calculated_Ratios!I70="",ISBLANK(I70)),0,"MISMATCH"))</f>
        <v>0</v>
      </c>
      <c r="AA70" s="0" t="n">
        <f aca="false">IF(AND(ISNUMBER(Calculated_Ratios!J70),ISNUMBER(J70)),Calculated_Ratios!J70-J70,IF(AND(Calculated_Ratios!J70="",ISBLANK(J70)),0,"MISMATCH"))</f>
        <v>0</v>
      </c>
      <c r="AB70" s="0" t="n">
        <f aca="false">IF(AND(ISNUMBER(Calculated_Ratios!K70),ISNUMBER(K70)),Calculated_Ratios!K70-K70,IF(AND(Calculated_Ratios!K70="",ISBLANK(K70)),0,"MISMATCH"))</f>
        <v>0</v>
      </c>
      <c r="AC70" s="0" t="n">
        <f aca="false">IF(AND(ISNUMBER(Calculated_Ratios!L70),ISNUMBER(L70)),Calculated_Ratios!L70-L70,IF(AND(Calculated_Ratios!L70="",ISBLANK(L70)),0,"MISMATCH"))</f>
        <v>0</v>
      </c>
      <c r="AD70" s="0" t="n">
        <f aca="false">IF(AND(ISNUMBER(Calculated_Ratios!M70),ISNUMBER(M70)),Calculated_Ratios!M70-M70,IF(AND(Calculated_Ratios!M70="",ISBLANK(M70)),0,"MISMATCH"))</f>
        <v>0</v>
      </c>
      <c r="AE70" s="0" t="n">
        <f aca="false">IF(AND(ISNUMBER(Calculated_Ratios!N70),ISNUMBER(N70)),Calculated_Ratios!N70-N70,IF(AND(Calculated_Ratios!N70="",ISBLANK(N70)),0,"MISMATCH"))</f>
        <v>0</v>
      </c>
      <c r="AF70" s="0" t="n">
        <f aca="false">IF(AND(ISNUMBER(Calculated_Ratios!O70),ISNUMBER(O70)),Calculated_Ratios!O70-O70,IF(AND(Calculated_Ratios!O70="",ISBLANK(O70)),0,"MISMATCH"))</f>
        <v>0</v>
      </c>
      <c r="AG70" s="0" t="n">
        <f aca="false">IF(AND(ISNUMBER(Calculated_Ratios!P70),ISNUMBER(P70)),Calculated_Ratios!P70-P70,IF(AND(Calculated_Ratios!P70="",ISBLANK(P70)),0,"MISMATCH"))</f>
        <v>0</v>
      </c>
      <c r="AH70" s="0" t="n">
        <f aca="false">IF(AND(ISNUMBER(Calculated_Ratios!Q70),ISNUMBER(Q70)),Calculated_Ratios!Q70-Q70,IF(AND(Calculated_Ratios!Q70="",ISBLANK(Q70)),0,"MISMATCH"))</f>
        <v>0</v>
      </c>
      <c r="AI70" s="0" t="n">
        <f aca="false">IF(AND(ISNUMBER(Calculated_Ratios!R70),ISNUMBER(R70)),Calculated_Ratios!R70-R70,IF(AND(Calculated_Ratios!R70="",ISBLANK(R70)),0,"MISMATCH"))</f>
        <v>0</v>
      </c>
      <c r="AJ70" s="0" t="n">
        <f aca="false">IF(AND(ISNUMBER(Calculated_Ratios!S70),ISNUMBER(S70)),Calculated_Ratios!S70-S70,IF(AND(Calculated_Ratios!S70="",ISBLANK(S70)),0,"MISMATCH"))</f>
        <v>0</v>
      </c>
    </row>
    <row r="71" customFormat="false" ht="15" hidden="false" customHeight="false" outlineLevel="0" collapsed="false">
      <c r="A71" s="0" t="s">
        <v>169</v>
      </c>
      <c r="B71" s="0" t="n">
        <v>2022</v>
      </c>
      <c r="C71" s="0" t="n">
        <v>1723760</v>
      </c>
      <c r="D71" s="0" t="n">
        <v>1.1212117696199</v>
      </c>
      <c r="E71" s="0" t="n">
        <v>8.3423972983046</v>
      </c>
      <c r="F71" s="0" t="n">
        <v>4.10944679073653</v>
      </c>
      <c r="G71" s="0" t="n">
        <v>2.69697421334955</v>
      </c>
      <c r="H71" s="0" t="n">
        <v>14.6742098293506</v>
      </c>
      <c r="I71" s="0" t="n">
        <v>0.526987515663433</v>
      </c>
      <c r="N71" s="0" t="n">
        <v>1.05002548051691</v>
      </c>
      <c r="O71" s="0" t="n">
        <v>91.6576027016954</v>
      </c>
      <c r="P71" s="0" t="n">
        <v>14.4256141159396</v>
      </c>
      <c r="Q71" s="0" t="n">
        <v>0</v>
      </c>
      <c r="R71" s="0" t="n">
        <v>0</v>
      </c>
      <c r="T71" s="0" t="n">
        <f aca="false">IF(AND(ISNUMBER(Calculated_Ratios!C71),ISNUMBER(C71)),Calculated_Ratios!C71-C71,IF(AND(Calculated_Ratios!C71="",ISBLANK(C71)),0,"MISMATCH"))</f>
        <v>0</v>
      </c>
      <c r="U71" s="0" t="n">
        <f aca="false">IF(AND(ISNUMBER(Calculated_Ratios!D71),ISNUMBER(D71)),Calculated_Ratios!D71-D71,IF(AND(Calculated_Ratios!D71="",ISBLANK(D71)),0,"MISMATCH"))</f>
        <v>0</v>
      </c>
      <c r="V71" s="0" t="n">
        <f aca="false">IF(AND(ISNUMBER(Calculated_Ratios!E71),ISNUMBER(E71)),Calculated_Ratios!E71-E71,IF(AND(Calculated_Ratios!E71="",ISBLANK(E71)),0,"MISMATCH"))</f>
        <v>0</v>
      </c>
      <c r="W71" s="0" t="n">
        <f aca="false">IF(AND(ISNUMBER(Calculated_Ratios!F71),ISNUMBER(F71)),Calculated_Ratios!F71-F71,IF(AND(Calculated_Ratios!F71="",ISBLANK(F71)),0,"MISMATCH"))</f>
        <v>0</v>
      </c>
      <c r="X71" s="0" t="n">
        <f aca="false">IF(AND(ISNUMBER(Calculated_Ratios!G71),ISNUMBER(G71)),Calculated_Ratios!G71-G71,IF(AND(Calculated_Ratios!G71="",ISBLANK(G71)),0,"MISMATCH"))</f>
        <v>0</v>
      </c>
      <c r="Y71" s="0" t="n">
        <f aca="false">IF(AND(ISNUMBER(Calculated_Ratios!H71),ISNUMBER(H71)),Calculated_Ratios!H71-H71,IF(AND(Calculated_Ratios!H71="",ISBLANK(H71)),0,"MISMATCH"))</f>
        <v>0</v>
      </c>
      <c r="Z71" s="0" t="n">
        <f aca="false">IF(AND(ISNUMBER(Calculated_Ratios!I71),ISNUMBER(I71)),Calculated_Ratios!I71-I71,IF(AND(Calculated_Ratios!I71="",ISBLANK(I71)),0,"MISMATCH"))</f>
        <v>0</v>
      </c>
      <c r="AA71" s="0" t="n">
        <f aca="false">IF(AND(ISNUMBER(Calculated_Ratios!J71),ISNUMBER(J71)),Calculated_Ratios!J71-J71,IF(AND(Calculated_Ratios!J71="",ISBLANK(J71)),0,"MISMATCH"))</f>
        <v>0</v>
      </c>
      <c r="AB71" s="0" t="n">
        <f aca="false">IF(AND(ISNUMBER(Calculated_Ratios!K71),ISNUMBER(K71)),Calculated_Ratios!K71-K71,IF(AND(Calculated_Ratios!K71="",ISBLANK(K71)),0,"MISMATCH"))</f>
        <v>0</v>
      </c>
      <c r="AC71" s="0" t="n">
        <f aca="false">IF(AND(ISNUMBER(Calculated_Ratios!L71),ISNUMBER(L71)),Calculated_Ratios!L71-L71,IF(AND(Calculated_Ratios!L71="",ISBLANK(L71)),0,"MISMATCH"))</f>
        <v>0</v>
      </c>
      <c r="AD71" s="0" t="n">
        <f aca="false">IF(AND(ISNUMBER(Calculated_Ratios!M71),ISNUMBER(M71)),Calculated_Ratios!M71-M71,IF(AND(Calculated_Ratios!M71="",ISBLANK(M71)),0,"MISMATCH"))</f>
        <v>0</v>
      </c>
      <c r="AE71" s="0" t="n">
        <f aca="false">IF(AND(ISNUMBER(Calculated_Ratios!N71),ISNUMBER(N71)),Calculated_Ratios!N71-N71,IF(AND(Calculated_Ratios!N71="",ISBLANK(N71)),0,"MISMATCH"))</f>
        <v>0</v>
      </c>
      <c r="AF71" s="0" t="n">
        <f aca="false">IF(AND(ISNUMBER(Calculated_Ratios!O71),ISNUMBER(O71)),Calculated_Ratios!O71-O71,IF(AND(Calculated_Ratios!O71="",ISBLANK(O71)),0,"MISMATCH"))</f>
        <v>0</v>
      </c>
      <c r="AG71" s="0" t="n">
        <f aca="false">IF(AND(ISNUMBER(Calculated_Ratios!P71),ISNUMBER(P71)),Calculated_Ratios!P71-P71,IF(AND(Calculated_Ratios!P71="",ISBLANK(P71)),0,"MISMATCH"))</f>
        <v>0</v>
      </c>
      <c r="AH71" s="0" t="n">
        <f aca="false">IF(AND(ISNUMBER(Calculated_Ratios!Q71),ISNUMBER(Q71)),Calculated_Ratios!Q71-Q71,IF(AND(Calculated_Ratios!Q71="",ISBLANK(Q71)),0,"MISMATCH"))</f>
        <v>0</v>
      </c>
      <c r="AI71" s="0" t="n">
        <f aca="false">IF(AND(ISNUMBER(Calculated_Ratios!R71),ISNUMBER(R71)),Calculated_Ratios!R71-R71,IF(AND(Calculated_Ratios!R71="",ISBLANK(R71)),0,"MISMATCH"))</f>
        <v>0</v>
      </c>
      <c r="AJ71" s="0" t="n">
        <f aca="false">IF(AND(ISNUMBER(Calculated_Ratios!S71),ISNUMBER(S71)),Calculated_Ratios!S71-S71,IF(AND(Calculated_Ratios!S71="",ISBLANK(S71)),0,"MISMATCH"))</f>
        <v>0</v>
      </c>
    </row>
    <row r="72" customFormat="false" ht="15" hidden="false" customHeight="false" outlineLevel="0" collapsed="false">
      <c r="A72" s="0" t="s">
        <v>178</v>
      </c>
      <c r="B72" s="0" t="n">
        <v>2013</v>
      </c>
      <c r="E72" s="0" t="n">
        <v>11.7045192672375</v>
      </c>
      <c r="G72" s="0" t="n">
        <v>1.03283539830042</v>
      </c>
      <c r="N72" s="0" t="n">
        <v>2.09626786481749</v>
      </c>
      <c r="O72" s="0" t="n">
        <v>88.2954807327625</v>
      </c>
      <c r="P72" s="0" t="n">
        <v>14.6118535629276</v>
      </c>
      <c r="Q72" s="0" t="n">
        <v>0</v>
      </c>
      <c r="T72" s="0" t="n">
        <f aca="false">IF(AND(ISNUMBER(Calculated_Ratios!C72),ISNUMBER(C72)),Calculated_Ratios!C72-C72,IF(AND(Calculated_Ratios!C72="",ISBLANK(C72)),0,"MISMATCH"))</f>
        <v>0</v>
      </c>
      <c r="U72" s="0" t="n">
        <f aca="false">IF(AND(ISNUMBER(Calculated_Ratios!D72),ISNUMBER(D72)),Calculated_Ratios!D72-D72,IF(AND(Calculated_Ratios!D72="",ISBLANK(D72)),0,"MISMATCH"))</f>
        <v>0</v>
      </c>
      <c r="V72" s="0" t="n">
        <f aca="false">IF(AND(ISNUMBER(Calculated_Ratios!E72),ISNUMBER(E72)),Calculated_Ratios!E72-E72,IF(AND(Calculated_Ratios!E72="",ISBLANK(E72)),0,"MISMATCH"))</f>
        <v>0</v>
      </c>
      <c r="W72" s="0" t="n">
        <f aca="false">IF(AND(ISNUMBER(Calculated_Ratios!F72),ISNUMBER(F72)),Calculated_Ratios!F72-F72,IF(AND(Calculated_Ratios!F72="",ISBLANK(F72)),0,"MISMATCH"))</f>
        <v>0</v>
      </c>
      <c r="X72" s="0" t="n">
        <f aca="false">IF(AND(ISNUMBER(Calculated_Ratios!G72),ISNUMBER(G72)),Calculated_Ratios!G72-G72,IF(AND(Calculated_Ratios!G72="",ISBLANK(G72)),0,"MISMATCH"))</f>
        <v>0</v>
      </c>
      <c r="Y72" s="0" t="n">
        <f aca="false">IF(AND(ISNUMBER(Calculated_Ratios!H72),ISNUMBER(H72)),Calculated_Ratios!H72-H72,IF(AND(Calculated_Ratios!H72="",ISBLANK(H72)),0,"MISMATCH"))</f>
        <v>0</v>
      </c>
      <c r="Z72" s="0" t="n">
        <f aca="false">IF(AND(ISNUMBER(Calculated_Ratios!I72),ISNUMBER(I72)),Calculated_Ratios!I72-I72,IF(AND(Calculated_Ratios!I72="",ISBLANK(I72)),0,"MISMATCH"))</f>
        <v>0</v>
      </c>
      <c r="AA72" s="0" t="n">
        <f aca="false">IF(AND(ISNUMBER(Calculated_Ratios!J72),ISNUMBER(J72)),Calculated_Ratios!J72-J72,IF(AND(Calculated_Ratios!J72="",ISBLANK(J72)),0,"MISMATCH"))</f>
        <v>0</v>
      </c>
      <c r="AB72" s="0" t="n">
        <f aca="false">IF(AND(ISNUMBER(Calculated_Ratios!K72),ISNUMBER(K72)),Calculated_Ratios!K72-K72,IF(AND(Calculated_Ratios!K72="",ISBLANK(K72)),0,"MISMATCH"))</f>
        <v>0</v>
      </c>
      <c r="AC72" s="0" t="n">
        <f aca="false">IF(AND(ISNUMBER(Calculated_Ratios!L72),ISNUMBER(L72)),Calculated_Ratios!L72-L72,IF(AND(Calculated_Ratios!L72="",ISBLANK(L72)),0,"MISMATCH"))</f>
        <v>0</v>
      </c>
      <c r="AD72" s="0" t="n">
        <f aca="false">IF(AND(ISNUMBER(Calculated_Ratios!M72),ISNUMBER(M72)),Calculated_Ratios!M72-M72,IF(AND(Calculated_Ratios!M72="",ISBLANK(M72)),0,"MISMATCH"))</f>
        <v>0</v>
      </c>
      <c r="AE72" s="0" t="n">
        <f aca="false">IF(AND(ISNUMBER(Calculated_Ratios!N72),ISNUMBER(N72)),Calculated_Ratios!N72-N72,IF(AND(Calculated_Ratios!N72="",ISBLANK(N72)),0,"MISMATCH"))</f>
        <v>0</v>
      </c>
      <c r="AF72" s="0" t="n">
        <f aca="false">IF(AND(ISNUMBER(Calculated_Ratios!O72),ISNUMBER(O72)),Calculated_Ratios!O72-O72,IF(AND(Calculated_Ratios!O72="",ISBLANK(O72)),0,"MISMATCH"))</f>
        <v>0</v>
      </c>
      <c r="AG72" s="0" t="n">
        <f aca="false">IF(AND(ISNUMBER(Calculated_Ratios!P72),ISNUMBER(P72)),Calculated_Ratios!P72-P72,IF(AND(Calculated_Ratios!P72="",ISBLANK(P72)),0,"MISMATCH"))</f>
        <v>0</v>
      </c>
      <c r="AH72" s="0" t="n">
        <f aca="false">IF(AND(ISNUMBER(Calculated_Ratios!Q72),ISNUMBER(Q72)),Calculated_Ratios!Q72-Q72,IF(AND(Calculated_Ratios!Q72="",ISBLANK(Q72)),0,"MISMATCH"))</f>
        <v>0</v>
      </c>
      <c r="AI72" s="0" t="n">
        <f aca="false">IF(AND(ISNUMBER(Calculated_Ratios!R72),ISNUMBER(R72)),Calculated_Ratios!R72-R72,IF(AND(Calculated_Ratios!R72="",ISBLANK(R72)),0,"MISMATCH"))</f>
        <v>0</v>
      </c>
      <c r="AJ72" s="0" t="n">
        <f aca="false">IF(AND(ISNUMBER(Calculated_Ratios!S72),ISNUMBER(S72)),Calculated_Ratios!S72-S72,IF(AND(Calculated_Ratios!S72="",ISBLANK(S72)),0,"MISMATCH"))</f>
        <v>0</v>
      </c>
    </row>
    <row r="73" customFormat="false" ht="15" hidden="false" customHeight="false" outlineLevel="0" collapsed="false">
      <c r="A73" s="0" t="s">
        <v>178</v>
      </c>
      <c r="B73" s="0" t="n">
        <v>2014</v>
      </c>
      <c r="C73" s="0" t="n">
        <v>2278137.5</v>
      </c>
      <c r="D73" s="0" t="n">
        <v>1.75946359690756</v>
      </c>
      <c r="E73" s="0" t="n">
        <v>12.0543017147685</v>
      </c>
      <c r="F73" s="0" t="n">
        <v>-4.06555793932544</v>
      </c>
      <c r="G73" s="0" t="n">
        <v>1.17549929673369</v>
      </c>
      <c r="I73" s="0" t="n">
        <v>0.134890892231044</v>
      </c>
      <c r="N73" s="0" t="n">
        <v>1.71378510367025</v>
      </c>
      <c r="O73" s="0" t="n">
        <v>87.9456982852315</v>
      </c>
      <c r="P73" s="0" t="n">
        <v>14.6651733340184</v>
      </c>
      <c r="Q73" s="0" t="n">
        <v>0</v>
      </c>
      <c r="T73" s="0" t="n">
        <f aca="false">IF(AND(ISNUMBER(Calculated_Ratios!C73),ISNUMBER(C73)),Calculated_Ratios!C73-C73,IF(AND(Calculated_Ratios!C73="",ISBLANK(C73)),0,"MISMATCH"))</f>
        <v>0</v>
      </c>
      <c r="U73" s="0" t="n">
        <f aca="false">IF(AND(ISNUMBER(Calculated_Ratios!D73),ISNUMBER(D73)),Calculated_Ratios!D73-D73,IF(AND(Calculated_Ratios!D73="",ISBLANK(D73)),0,"MISMATCH"))</f>
        <v>0</v>
      </c>
      <c r="V73" s="0" t="n">
        <f aca="false">IF(AND(ISNUMBER(Calculated_Ratios!E73),ISNUMBER(E73)),Calculated_Ratios!E73-E73,IF(AND(Calculated_Ratios!E73="",ISBLANK(E73)),0,"MISMATCH"))</f>
        <v>0</v>
      </c>
      <c r="W73" s="0" t="n">
        <f aca="false">IF(AND(ISNUMBER(Calculated_Ratios!F73),ISNUMBER(F73)),Calculated_Ratios!F73-F73,IF(AND(Calculated_Ratios!F73="",ISBLANK(F73)),0,"MISMATCH"))</f>
        <v>0</v>
      </c>
      <c r="X73" s="0" t="n">
        <f aca="false">IF(AND(ISNUMBER(Calculated_Ratios!G73),ISNUMBER(G73)),Calculated_Ratios!G73-G73,IF(AND(Calculated_Ratios!G73="",ISBLANK(G73)),0,"MISMATCH"))</f>
        <v>0</v>
      </c>
      <c r="Y73" s="0" t="n">
        <f aca="false">IF(AND(ISNUMBER(Calculated_Ratios!H73),ISNUMBER(H73)),Calculated_Ratios!H73-H73,IF(AND(Calculated_Ratios!H73="",ISBLANK(H73)),0,"MISMATCH"))</f>
        <v>0</v>
      </c>
      <c r="Z73" s="0" t="n">
        <f aca="false">IF(AND(ISNUMBER(Calculated_Ratios!I73),ISNUMBER(I73)),Calculated_Ratios!I73-I73,IF(AND(Calculated_Ratios!I73="",ISBLANK(I73)),0,"MISMATCH"))</f>
        <v>0</v>
      </c>
      <c r="AA73" s="0" t="n">
        <f aca="false">IF(AND(ISNUMBER(Calculated_Ratios!J73),ISNUMBER(J73)),Calculated_Ratios!J73-J73,IF(AND(Calculated_Ratios!J73="",ISBLANK(J73)),0,"MISMATCH"))</f>
        <v>0</v>
      </c>
      <c r="AB73" s="0" t="n">
        <f aca="false">IF(AND(ISNUMBER(Calculated_Ratios!K73),ISNUMBER(K73)),Calculated_Ratios!K73-K73,IF(AND(Calculated_Ratios!K73="",ISBLANK(K73)),0,"MISMATCH"))</f>
        <v>0</v>
      </c>
      <c r="AC73" s="0" t="n">
        <f aca="false">IF(AND(ISNUMBER(Calculated_Ratios!L73),ISNUMBER(L73)),Calculated_Ratios!L73-L73,IF(AND(Calculated_Ratios!L73="",ISBLANK(L73)),0,"MISMATCH"))</f>
        <v>0</v>
      </c>
      <c r="AD73" s="0" t="n">
        <f aca="false">IF(AND(ISNUMBER(Calculated_Ratios!M73),ISNUMBER(M73)),Calculated_Ratios!M73-M73,IF(AND(Calculated_Ratios!M73="",ISBLANK(M73)),0,"MISMATCH"))</f>
        <v>0</v>
      </c>
      <c r="AE73" s="0" t="n">
        <f aca="false">IF(AND(ISNUMBER(Calculated_Ratios!N73),ISNUMBER(N73)),Calculated_Ratios!N73-N73,IF(AND(Calculated_Ratios!N73="",ISBLANK(N73)),0,"MISMATCH"))</f>
        <v>0</v>
      </c>
      <c r="AF73" s="0" t="n">
        <f aca="false">IF(AND(ISNUMBER(Calculated_Ratios!O73),ISNUMBER(O73)),Calculated_Ratios!O73-O73,IF(AND(Calculated_Ratios!O73="",ISBLANK(O73)),0,"MISMATCH"))</f>
        <v>0</v>
      </c>
      <c r="AG73" s="0" t="n">
        <f aca="false">IF(AND(ISNUMBER(Calculated_Ratios!P73),ISNUMBER(P73)),Calculated_Ratios!P73-P73,IF(AND(Calculated_Ratios!P73="",ISBLANK(P73)),0,"MISMATCH"))</f>
        <v>0</v>
      </c>
      <c r="AH73" s="0" t="n">
        <f aca="false">IF(AND(ISNUMBER(Calculated_Ratios!Q73),ISNUMBER(Q73)),Calculated_Ratios!Q73-Q73,IF(AND(Calculated_Ratios!Q73="",ISBLANK(Q73)),0,"MISMATCH"))</f>
        <v>0</v>
      </c>
      <c r="AI73" s="0" t="n">
        <f aca="false">IF(AND(ISNUMBER(Calculated_Ratios!R73),ISNUMBER(R73)),Calculated_Ratios!R73-R73,IF(AND(Calculated_Ratios!R73="",ISBLANK(R73)),0,"MISMATCH"))</f>
        <v>0</v>
      </c>
      <c r="AJ73" s="0" t="n">
        <f aca="false">IF(AND(ISNUMBER(Calculated_Ratios!S73),ISNUMBER(S73)),Calculated_Ratios!S73-S73,IF(AND(Calculated_Ratios!S73="",ISBLANK(S73)),0,"MISMATCH"))</f>
        <v>0</v>
      </c>
    </row>
    <row r="74" customFormat="false" ht="15" hidden="false" customHeight="false" outlineLevel="0" collapsed="false">
      <c r="A74" s="0" t="s">
        <v>178</v>
      </c>
      <c r="B74" s="0" t="n">
        <v>2015</v>
      </c>
      <c r="C74" s="0" t="n">
        <v>2277597.5</v>
      </c>
      <c r="D74" s="0" t="n">
        <v>2.09176555559092</v>
      </c>
      <c r="E74" s="0" t="n">
        <v>15.260810968729</v>
      </c>
      <c r="F74" s="0" t="n">
        <v>2.56445662589637</v>
      </c>
      <c r="G74" s="0" t="n">
        <v>1.56065843680488</v>
      </c>
      <c r="H74" s="0" t="n">
        <v>19.9517201656444</v>
      </c>
      <c r="I74" s="0" t="n">
        <v>0.153275545832835</v>
      </c>
      <c r="N74" s="0" t="n">
        <v>2.1495828477348</v>
      </c>
      <c r="O74" s="0" t="n">
        <v>84.739189031271</v>
      </c>
      <c r="P74" s="0" t="n">
        <v>14.6113663910992</v>
      </c>
      <c r="Q74" s="0" t="n">
        <v>0</v>
      </c>
      <c r="R74" s="0" t="n">
        <v>0</v>
      </c>
      <c r="S74" s="0" t="n">
        <v>52.57</v>
      </c>
      <c r="T74" s="0" t="n">
        <f aca="false">IF(AND(ISNUMBER(Calculated_Ratios!C74),ISNUMBER(C74)),Calculated_Ratios!C74-C74,IF(AND(Calculated_Ratios!C74="",ISBLANK(C74)),0,"MISMATCH"))</f>
        <v>0</v>
      </c>
      <c r="U74" s="0" t="n">
        <f aca="false">IF(AND(ISNUMBER(Calculated_Ratios!D74),ISNUMBER(D74)),Calculated_Ratios!D74-D74,IF(AND(Calculated_Ratios!D74="",ISBLANK(D74)),0,"MISMATCH"))</f>
        <v>0</v>
      </c>
      <c r="V74" s="0" t="n">
        <f aca="false">IF(AND(ISNUMBER(Calculated_Ratios!E74),ISNUMBER(E74)),Calculated_Ratios!E74-E74,IF(AND(Calculated_Ratios!E74="",ISBLANK(E74)),0,"MISMATCH"))</f>
        <v>0</v>
      </c>
      <c r="W74" s="0" t="n">
        <f aca="false">IF(AND(ISNUMBER(Calculated_Ratios!F74),ISNUMBER(F74)),Calculated_Ratios!F74-F74,IF(AND(Calculated_Ratios!F74="",ISBLANK(F74)),0,"MISMATCH"))</f>
        <v>0</v>
      </c>
      <c r="X74" s="0" t="n">
        <f aca="false">IF(AND(ISNUMBER(Calculated_Ratios!G74),ISNUMBER(G74)),Calculated_Ratios!G74-G74,IF(AND(Calculated_Ratios!G74="",ISBLANK(G74)),0,"MISMATCH"))</f>
        <v>0</v>
      </c>
      <c r="Y74" s="0" t="n">
        <f aca="false">IF(AND(ISNUMBER(Calculated_Ratios!H74),ISNUMBER(H74)),Calculated_Ratios!H74-H74,IF(AND(Calculated_Ratios!H74="",ISBLANK(H74)),0,"MISMATCH"))</f>
        <v>0</v>
      </c>
      <c r="Z74" s="0" t="n">
        <f aca="false">IF(AND(ISNUMBER(Calculated_Ratios!I74),ISNUMBER(I74)),Calculated_Ratios!I74-I74,IF(AND(Calculated_Ratios!I74="",ISBLANK(I74)),0,"MISMATCH"))</f>
        <v>0</v>
      </c>
      <c r="AA74" s="0" t="n">
        <f aca="false">IF(AND(ISNUMBER(Calculated_Ratios!J74),ISNUMBER(J74)),Calculated_Ratios!J74-J74,IF(AND(Calculated_Ratios!J74="",ISBLANK(J74)),0,"MISMATCH"))</f>
        <v>0</v>
      </c>
      <c r="AB74" s="0" t="n">
        <f aca="false">IF(AND(ISNUMBER(Calculated_Ratios!K74),ISNUMBER(K74)),Calculated_Ratios!K74-K74,IF(AND(Calculated_Ratios!K74="",ISBLANK(K74)),0,"MISMATCH"))</f>
        <v>0</v>
      </c>
      <c r="AC74" s="0" t="n">
        <f aca="false">IF(AND(ISNUMBER(Calculated_Ratios!L74),ISNUMBER(L74)),Calculated_Ratios!L74-L74,IF(AND(Calculated_Ratios!L74="",ISBLANK(L74)),0,"MISMATCH"))</f>
        <v>0</v>
      </c>
      <c r="AD74" s="0" t="n">
        <f aca="false">IF(AND(ISNUMBER(Calculated_Ratios!M74),ISNUMBER(M74)),Calculated_Ratios!M74-M74,IF(AND(Calculated_Ratios!M74="",ISBLANK(M74)),0,"MISMATCH"))</f>
        <v>0</v>
      </c>
      <c r="AE74" s="0" t="n">
        <f aca="false">IF(AND(ISNUMBER(Calculated_Ratios!N74),ISNUMBER(N74)),Calculated_Ratios!N74-N74,IF(AND(Calculated_Ratios!N74="",ISBLANK(N74)),0,"MISMATCH"))</f>
        <v>0</v>
      </c>
      <c r="AF74" s="0" t="n">
        <f aca="false">IF(AND(ISNUMBER(Calculated_Ratios!O74),ISNUMBER(O74)),Calculated_Ratios!O74-O74,IF(AND(Calculated_Ratios!O74="",ISBLANK(O74)),0,"MISMATCH"))</f>
        <v>0</v>
      </c>
      <c r="AG74" s="0" t="n">
        <f aca="false">IF(AND(ISNUMBER(Calculated_Ratios!P74),ISNUMBER(P74)),Calculated_Ratios!P74-P74,IF(AND(Calculated_Ratios!P74="",ISBLANK(P74)),0,"MISMATCH"))</f>
        <v>0</v>
      </c>
      <c r="AH74" s="0" t="n">
        <f aca="false">IF(AND(ISNUMBER(Calculated_Ratios!Q74),ISNUMBER(Q74)),Calculated_Ratios!Q74-Q74,IF(AND(Calculated_Ratios!Q74="",ISBLANK(Q74)),0,"MISMATCH"))</f>
        <v>0</v>
      </c>
      <c r="AI74" s="0" t="n">
        <f aca="false">IF(AND(ISNUMBER(Calculated_Ratios!R74),ISNUMBER(R74)),Calculated_Ratios!R74-R74,IF(AND(Calculated_Ratios!R74="",ISBLANK(R74)),0,"MISMATCH"))</f>
        <v>0</v>
      </c>
      <c r="AJ74" s="0" t="n">
        <f aca="false">IF(AND(ISNUMBER(Calculated_Ratios!S74),ISNUMBER(S74)),Calculated_Ratios!S74-S74,IF(AND(Calculated_Ratios!S74="",ISBLANK(S74)),0,"MISMATCH"))</f>
        <v>0</v>
      </c>
    </row>
    <row r="75" customFormat="false" ht="15" hidden="false" customHeight="false" outlineLevel="0" collapsed="false">
      <c r="A75" s="0" t="s">
        <v>178</v>
      </c>
      <c r="B75" s="0" t="n">
        <v>2016</v>
      </c>
      <c r="C75" s="0" t="n">
        <v>2377961</v>
      </c>
      <c r="D75" s="0" t="n">
        <v>1.99923379735833</v>
      </c>
      <c r="E75" s="0" t="n">
        <v>15.3922786597023</v>
      </c>
      <c r="F75" s="0" t="n">
        <v>-8.97373842548301</v>
      </c>
      <c r="G75" s="0" t="n">
        <v>2.65521883838528</v>
      </c>
      <c r="H75" s="0" t="n">
        <v>19.7028908304746</v>
      </c>
      <c r="I75" s="0" t="n">
        <v>1.07323038519135</v>
      </c>
      <c r="N75" s="0" t="n">
        <v>1.87199877145282</v>
      </c>
      <c r="O75" s="0" t="n">
        <v>84.6077213402977</v>
      </c>
      <c r="P75" s="0" t="n">
        <v>14.747511239819</v>
      </c>
      <c r="Q75" s="0" t="n">
        <v>0</v>
      </c>
      <c r="R75" s="0" t="n">
        <v>0</v>
      </c>
      <c r="S75" s="0" t="n">
        <v>38.57</v>
      </c>
      <c r="T75" s="0" t="n">
        <f aca="false">IF(AND(ISNUMBER(Calculated_Ratios!C75),ISNUMBER(C75)),Calculated_Ratios!C75-C75,IF(AND(Calculated_Ratios!C75="",ISBLANK(C75)),0,"MISMATCH"))</f>
        <v>0</v>
      </c>
      <c r="U75" s="0" t="n">
        <f aca="false">IF(AND(ISNUMBER(Calculated_Ratios!D75),ISNUMBER(D75)),Calculated_Ratios!D75-D75,IF(AND(Calculated_Ratios!D75="",ISBLANK(D75)),0,"MISMATCH"))</f>
        <v>0</v>
      </c>
      <c r="V75" s="0" t="n">
        <f aca="false">IF(AND(ISNUMBER(Calculated_Ratios!E75),ISNUMBER(E75)),Calculated_Ratios!E75-E75,IF(AND(Calculated_Ratios!E75="",ISBLANK(E75)),0,"MISMATCH"))</f>
        <v>0</v>
      </c>
      <c r="W75" s="0" t="n">
        <f aca="false">IF(AND(ISNUMBER(Calculated_Ratios!F75),ISNUMBER(F75)),Calculated_Ratios!F75-F75,IF(AND(Calculated_Ratios!F75="",ISBLANK(F75)),0,"MISMATCH"))</f>
        <v>0</v>
      </c>
      <c r="X75" s="0" t="n">
        <f aca="false">IF(AND(ISNUMBER(Calculated_Ratios!G75),ISNUMBER(G75)),Calculated_Ratios!G75-G75,IF(AND(Calculated_Ratios!G75="",ISBLANK(G75)),0,"MISMATCH"))</f>
        <v>0</v>
      </c>
      <c r="Y75" s="0" t="n">
        <f aca="false">IF(AND(ISNUMBER(Calculated_Ratios!H75),ISNUMBER(H75)),Calculated_Ratios!H75-H75,IF(AND(Calculated_Ratios!H75="",ISBLANK(H75)),0,"MISMATCH"))</f>
        <v>0</v>
      </c>
      <c r="Z75" s="0" t="n">
        <f aca="false">IF(AND(ISNUMBER(Calculated_Ratios!I75),ISNUMBER(I75)),Calculated_Ratios!I75-I75,IF(AND(Calculated_Ratios!I75="",ISBLANK(I75)),0,"MISMATCH"))</f>
        <v>0</v>
      </c>
      <c r="AA75" s="0" t="n">
        <f aca="false">IF(AND(ISNUMBER(Calculated_Ratios!J75),ISNUMBER(J75)),Calculated_Ratios!J75-J75,IF(AND(Calculated_Ratios!J75="",ISBLANK(J75)),0,"MISMATCH"))</f>
        <v>0</v>
      </c>
      <c r="AB75" s="0" t="n">
        <f aca="false">IF(AND(ISNUMBER(Calculated_Ratios!K75),ISNUMBER(K75)),Calculated_Ratios!K75-K75,IF(AND(Calculated_Ratios!K75="",ISBLANK(K75)),0,"MISMATCH"))</f>
        <v>0</v>
      </c>
      <c r="AC75" s="0" t="n">
        <f aca="false">IF(AND(ISNUMBER(Calculated_Ratios!L75),ISNUMBER(L75)),Calculated_Ratios!L75-L75,IF(AND(Calculated_Ratios!L75="",ISBLANK(L75)),0,"MISMATCH"))</f>
        <v>0</v>
      </c>
      <c r="AD75" s="0" t="n">
        <f aca="false">IF(AND(ISNUMBER(Calculated_Ratios!M75),ISNUMBER(M75)),Calculated_Ratios!M75-M75,IF(AND(Calculated_Ratios!M75="",ISBLANK(M75)),0,"MISMATCH"))</f>
        <v>0</v>
      </c>
      <c r="AE75" s="0" t="n">
        <f aca="false">IF(AND(ISNUMBER(Calculated_Ratios!N75),ISNUMBER(N75)),Calculated_Ratios!N75-N75,IF(AND(Calculated_Ratios!N75="",ISBLANK(N75)),0,"MISMATCH"))</f>
        <v>0</v>
      </c>
      <c r="AF75" s="0" t="n">
        <f aca="false">IF(AND(ISNUMBER(Calculated_Ratios!O75),ISNUMBER(O75)),Calculated_Ratios!O75-O75,IF(AND(Calculated_Ratios!O75="",ISBLANK(O75)),0,"MISMATCH"))</f>
        <v>0</v>
      </c>
      <c r="AG75" s="0" t="n">
        <f aca="false">IF(AND(ISNUMBER(Calculated_Ratios!P75),ISNUMBER(P75)),Calculated_Ratios!P75-P75,IF(AND(Calculated_Ratios!P75="",ISBLANK(P75)),0,"MISMATCH"))</f>
        <v>0</v>
      </c>
      <c r="AH75" s="0" t="n">
        <f aca="false">IF(AND(ISNUMBER(Calculated_Ratios!Q75),ISNUMBER(Q75)),Calculated_Ratios!Q75-Q75,IF(AND(Calculated_Ratios!Q75="",ISBLANK(Q75)),0,"MISMATCH"))</f>
        <v>0</v>
      </c>
      <c r="AI75" s="0" t="n">
        <f aca="false">IF(AND(ISNUMBER(Calculated_Ratios!R75),ISNUMBER(R75)),Calculated_Ratios!R75-R75,IF(AND(Calculated_Ratios!R75="",ISBLANK(R75)),0,"MISMATCH"))</f>
        <v>0</v>
      </c>
      <c r="AJ75" s="0" t="n">
        <f aca="false">IF(AND(ISNUMBER(Calculated_Ratios!S75),ISNUMBER(S75)),Calculated_Ratios!S75-S75,IF(AND(Calculated_Ratios!S75="",ISBLANK(S75)),0,"MISMATCH"))</f>
        <v>0</v>
      </c>
    </row>
    <row r="76" customFormat="false" ht="15" hidden="false" customHeight="false" outlineLevel="0" collapsed="false">
      <c r="A76" s="0" t="s">
        <v>178</v>
      </c>
      <c r="B76" s="0" t="n">
        <v>2017</v>
      </c>
      <c r="C76" s="0" t="n">
        <v>2735705.5</v>
      </c>
      <c r="D76" s="0" t="n">
        <v>1.51317457233609</v>
      </c>
      <c r="E76" s="0" t="n">
        <v>13.6727077254926</v>
      </c>
      <c r="F76" s="0" t="n">
        <v>2.16218448952199</v>
      </c>
      <c r="G76" s="0" t="n">
        <v>2.5914418984645</v>
      </c>
      <c r="H76" s="0" t="n">
        <v>20.1588507351668</v>
      </c>
      <c r="I76" s="0" t="n">
        <v>1.11243699294387</v>
      </c>
      <c r="N76" s="0" t="n">
        <v>1.41195282393976</v>
      </c>
      <c r="O76" s="0" t="n">
        <v>86.3272922745074</v>
      </c>
      <c r="P76" s="0" t="n">
        <v>14.8911359950708</v>
      </c>
      <c r="Q76" s="0" t="n">
        <v>0</v>
      </c>
      <c r="R76" s="0" t="n">
        <v>0</v>
      </c>
      <c r="S76" s="0" t="n">
        <v>49.69</v>
      </c>
      <c r="T76" s="0" t="n">
        <f aca="false">IF(AND(ISNUMBER(Calculated_Ratios!C76),ISNUMBER(C76)),Calculated_Ratios!C76-C76,IF(AND(Calculated_Ratios!C76="",ISBLANK(C76)),0,"MISMATCH"))</f>
        <v>0</v>
      </c>
      <c r="U76" s="0" t="n">
        <f aca="false">IF(AND(ISNUMBER(Calculated_Ratios!D76),ISNUMBER(D76)),Calculated_Ratios!D76-D76,IF(AND(Calculated_Ratios!D76="",ISBLANK(D76)),0,"MISMATCH"))</f>
        <v>0</v>
      </c>
      <c r="V76" s="0" t="n">
        <f aca="false">IF(AND(ISNUMBER(Calculated_Ratios!E76),ISNUMBER(E76)),Calculated_Ratios!E76-E76,IF(AND(Calculated_Ratios!E76="",ISBLANK(E76)),0,"MISMATCH"))</f>
        <v>0</v>
      </c>
      <c r="W76" s="0" t="n">
        <f aca="false">IF(AND(ISNUMBER(Calculated_Ratios!F76),ISNUMBER(F76)),Calculated_Ratios!F76-F76,IF(AND(Calculated_Ratios!F76="",ISBLANK(F76)),0,"MISMATCH"))</f>
        <v>0</v>
      </c>
      <c r="X76" s="0" t="n">
        <f aca="false">IF(AND(ISNUMBER(Calculated_Ratios!G76),ISNUMBER(G76)),Calculated_Ratios!G76-G76,IF(AND(Calculated_Ratios!G76="",ISBLANK(G76)),0,"MISMATCH"))</f>
        <v>0</v>
      </c>
      <c r="Y76" s="0" t="n">
        <f aca="false">IF(AND(ISNUMBER(Calculated_Ratios!H76),ISNUMBER(H76)),Calculated_Ratios!H76-H76,IF(AND(Calculated_Ratios!H76="",ISBLANK(H76)),0,"MISMATCH"))</f>
        <v>0</v>
      </c>
      <c r="Z76" s="0" t="n">
        <f aca="false">IF(AND(ISNUMBER(Calculated_Ratios!I76),ISNUMBER(I76)),Calculated_Ratios!I76-I76,IF(AND(Calculated_Ratios!I76="",ISBLANK(I76)),0,"MISMATCH"))</f>
        <v>0</v>
      </c>
      <c r="AA76" s="0" t="n">
        <f aca="false">IF(AND(ISNUMBER(Calculated_Ratios!J76),ISNUMBER(J76)),Calculated_Ratios!J76-J76,IF(AND(Calculated_Ratios!J76="",ISBLANK(J76)),0,"MISMATCH"))</f>
        <v>0</v>
      </c>
      <c r="AB76" s="0" t="n">
        <f aca="false">IF(AND(ISNUMBER(Calculated_Ratios!K76),ISNUMBER(K76)),Calculated_Ratios!K76-K76,IF(AND(Calculated_Ratios!K76="",ISBLANK(K76)),0,"MISMATCH"))</f>
        <v>0</v>
      </c>
      <c r="AC76" s="0" t="n">
        <f aca="false">IF(AND(ISNUMBER(Calculated_Ratios!L76),ISNUMBER(L76)),Calculated_Ratios!L76-L76,IF(AND(Calculated_Ratios!L76="",ISBLANK(L76)),0,"MISMATCH"))</f>
        <v>0</v>
      </c>
      <c r="AD76" s="0" t="n">
        <f aca="false">IF(AND(ISNUMBER(Calculated_Ratios!M76),ISNUMBER(M76)),Calculated_Ratios!M76-M76,IF(AND(Calculated_Ratios!M76="",ISBLANK(M76)),0,"MISMATCH"))</f>
        <v>0</v>
      </c>
      <c r="AE76" s="0" t="n">
        <f aca="false">IF(AND(ISNUMBER(Calculated_Ratios!N76),ISNUMBER(N76)),Calculated_Ratios!N76-N76,IF(AND(Calculated_Ratios!N76="",ISBLANK(N76)),0,"MISMATCH"))</f>
        <v>0</v>
      </c>
      <c r="AF76" s="0" t="n">
        <f aca="false">IF(AND(ISNUMBER(Calculated_Ratios!O76),ISNUMBER(O76)),Calculated_Ratios!O76-O76,IF(AND(Calculated_Ratios!O76="",ISBLANK(O76)),0,"MISMATCH"))</f>
        <v>0</v>
      </c>
      <c r="AG76" s="0" t="n">
        <f aca="false">IF(AND(ISNUMBER(Calculated_Ratios!P76),ISNUMBER(P76)),Calculated_Ratios!P76-P76,IF(AND(Calculated_Ratios!P76="",ISBLANK(P76)),0,"MISMATCH"))</f>
        <v>0</v>
      </c>
      <c r="AH76" s="0" t="n">
        <f aca="false">IF(AND(ISNUMBER(Calculated_Ratios!Q76),ISNUMBER(Q76)),Calculated_Ratios!Q76-Q76,IF(AND(Calculated_Ratios!Q76="",ISBLANK(Q76)),0,"MISMATCH"))</f>
        <v>0</v>
      </c>
      <c r="AI76" s="0" t="n">
        <f aca="false">IF(AND(ISNUMBER(Calculated_Ratios!R76),ISNUMBER(R76)),Calculated_Ratios!R76-R76,IF(AND(Calculated_Ratios!R76="",ISBLANK(R76)),0,"MISMATCH"))</f>
        <v>0</v>
      </c>
      <c r="AJ76" s="0" t="n">
        <f aca="false">IF(AND(ISNUMBER(Calculated_Ratios!S76),ISNUMBER(S76)),Calculated_Ratios!S76-S76,IF(AND(Calculated_Ratios!S76="",ISBLANK(S76)),0,"MISMATCH"))</f>
        <v>0</v>
      </c>
    </row>
    <row r="77" customFormat="false" ht="15" hidden="false" customHeight="false" outlineLevel="0" collapsed="false">
      <c r="A77" s="0" t="s">
        <v>178</v>
      </c>
      <c r="B77" s="0" t="n">
        <v>2018</v>
      </c>
      <c r="C77" s="0" t="n">
        <v>3261565.5</v>
      </c>
      <c r="D77" s="0" t="n">
        <v>1.25850607629986</v>
      </c>
      <c r="E77" s="0" t="n">
        <v>10.1522427084305</v>
      </c>
      <c r="F77" s="0" t="n">
        <v>14.981333350503</v>
      </c>
      <c r="G77" s="0" t="n">
        <v>4.73357130299377</v>
      </c>
      <c r="H77" s="0" t="n">
        <v>19.6620128489262</v>
      </c>
      <c r="I77" s="0" t="n">
        <v>0.130520144390784</v>
      </c>
      <c r="N77" s="0" t="n">
        <v>1.14295499825272</v>
      </c>
      <c r="O77" s="0" t="n">
        <v>89.8477572915695</v>
      </c>
      <c r="P77" s="0" t="n">
        <v>15.0940262041601</v>
      </c>
      <c r="Q77" s="0" t="n">
        <v>0</v>
      </c>
      <c r="R77" s="0" t="n">
        <v>0</v>
      </c>
      <c r="S77" s="0" t="n">
        <v>55.84</v>
      </c>
      <c r="T77" s="0" t="n">
        <f aca="false">IF(AND(ISNUMBER(Calculated_Ratios!C77),ISNUMBER(C77)),Calculated_Ratios!C77-C77,IF(AND(Calculated_Ratios!C77="",ISBLANK(C77)),0,"MISMATCH"))</f>
        <v>0</v>
      </c>
      <c r="U77" s="0" t="n">
        <f aca="false">IF(AND(ISNUMBER(Calculated_Ratios!D77),ISNUMBER(D77)),Calculated_Ratios!D77-D77,IF(AND(Calculated_Ratios!D77="",ISBLANK(D77)),0,"MISMATCH"))</f>
        <v>0</v>
      </c>
      <c r="V77" s="0" t="n">
        <f aca="false">IF(AND(ISNUMBER(Calculated_Ratios!E77),ISNUMBER(E77)),Calculated_Ratios!E77-E77,IF(AND(Calculated_Ratios!E77="",ISBLANK(E77)),0,"MISMATCH"))</f>
        <v>0</v>
      </c>
      <c r="W77" s="0" t="n">
        <f aca="false">IF(AND(ISNUMBER(Calculated_Ratios!F77),ISNUMBER(F77)),Calculated_Ratios!F77-F77,IF(AND(Calculated_Ratios!F77="",ISBLANK(F77)),0,"MISMATCH"))</f>
        <v>0</v>
      </c>
      <c r="X77" s="0" t="n">
        <f aca="false">IF(AND(ISNUMBER(Calculated_Ratios!G77),ISNUMBER(G77)),Calculated_Ratios!G77-G77,IF(AND(Calculated_Ratios!G77="",ISBLANK(G77)),0,"MISMATCH"))</f>
        <v>0</v>
      </c>
      <c r="Y77" s="0" t="n">
        <f aca="false">IF(AND(ISNUMBER(Calculated_Ratios!H77),ISNUMBER(H77)),Calculated_Ratios!H77-H77,IF(AND(Calculated_Ratios!H77="",ISBLANK(H77)),0,"MISMATCH"))</f>
        <v>0</v>
      </c>
      <c r="Z77" s="0" t="n">
        <f aca="false">IF(AND(ISNUMBER(Calculated_Ratios!I77),ISNUMBER(I77)),Calculated_Ratios!I77-I77,IF(AND(Calculated_Ratios!I77="",ISBLANK(I77)),0,"MISMATCH"))</f>
        <v>0</v>
      </c>
      <c r="AA77" s="0" t="n">
        <f aca="false">IF(AND(ISNUMBER(Calculated_Ratios!J77),ISNUMBER(J77)),Calculated_Ratios!J77-J77,IF(AND(Calculated_Ratios!J77="",ISBLANK(J77)),0,"MISMATCH"))</f>
        <v>0</v>
      </c>
      <c r="AB77" s="0" t="n">
        <f aca="false">IF(AND(ISNUMBER(Calculated_Ratios!K77),ISNUMBER(K77)),Calculated_Ratios!K77-K77,IF(AND(Calculated_Ratios!K77="",ISBLANK(K77)),0,"MISMATCH"))</f>
        <v>0</v>
      </c>
      <c r="AC77" s="0" t="n">
        <f aca="false">IF(AND(ISNUMBER(Calculated_Ratios!L77),ISNUMBER(L77)),Calculated_Ratios!L77-L77,IF(AND(Calculated_Ratios!L77="",ISBLANK(L77)),0,"MISMATCH"))</f>
        <v>0</v>
      </c>
      <c r="AD77" s="0" t="n">
        <f aca="false">IF(AND(ISNUMBER(Calculated_Ratios!M77),ISNUMBER(M77)),Calculated_Ratios!M77-M77,IF(AND(Calculated_Ratios!M77="",ISBLANK(M77)),0,"MISMATCH"))</f>
        <v>0</v>
      </c>
      <c r="AE77" s="0" t="n">
        <f aca="false">IF(AND(ISNUMBER(Calculated_Ratios!N77),ISNUMBER(N77)),Calculated_Ratios!N77-N77,IF(AND(Calculated_Ratios!N77="",ISBLANK(N77)),0,"MISMATCH"))</f>
        <v>0</v>
      </c>
      <c r="AF77" s="0" t="n">
        <f aca="false">IF(AND(ISNUMBER(Calculated_Ratios!O77),ISNUMBER(O77)),Calculated_Ratios!O77-O77,IF(AND(Calculated_Ratios!O77="",ISBLANK(O77)),0,"MISMATCH"))</f>
        <v>0</v>
      </c>
      <c r="AG77" s="0" t="n">
        <f aca="false">IF(AND(ISNUMBER(Calculated_Ratios!P77),ISNUMBER(P77)),Calculated_Ratios!P77-P77,IF(AND(Calculated_Ratios!P77="",ISBLANK(P77)),0,"MISMATCH"))</f>
        <v>0</v>
      </c>
      <c r="AH77" s="0" t="n">
        <f aca="false">IF(AND(ISNUMBER(Calculated_Ratios!Q77),ISNUMBER(Q77)),Calculated_Ratios!Q77-Q77,IF(AND(Calculated_Ratios!Q77="",ISBLANK(Q77)),0,"MISMATCH"))</f>
        <v>0</v>
      </c>
      <c r="AI77" s="0" t="n">
        <f aca="false">IF(AND(ISNUMBER(Calculated_Ratios!R77),ISNUMBER(R77)),Calculated_Ratios!R77-R77,IF(AND(Calculated_Ratios!R77="",ISBLANK(R77)),0,"MISMATCH"))</f>
        <v>0</v>
      </c>
      <c r="AJ77" s="0" t="n">
        <f aca="false">IF(AND(ISNUMBER(Calculated_Ratios!S77),ISNUMBER(S77)),Calculated_Ratios!S77-S77,IF(AND(Calculated_Ratios!S77="",ISBLANK(S77)),0,"MISMATCH"))</f>
        <v>0</v>
      </c>
    </row>
    <row r="78" customFormat="false" ht="15" hidden="false" customHeight="false" outlineLevel="0" collapsed="false">
      <c r="A78" s="0" t="s">
        <v>178</v>
      </c>
      <c r="B78" s="0" t="n">
        <v>2019</v>
      </c>
      <c r="C78" s="0" t="n">
        <v>3863899</v>
      </c>
      <c r="D78" s="0" t="n">
        <v>1.62400725277757</v>
      </c>
      <c r="E78" s="0" t="n">
        <v>10.7946997613679</v>
      </c>
      <c r="F78" s="0" t="n">
        <v>-8.21587210224698</v>
      </c>
      <c r="G78" s="0" t="n">
        <v>3.4659981841041</v>
      </c>
      <c r="H78" s="0" t="n">
        <v>21.5071023037408</v>
      </c>
      <c r="I78" s="0" t="n">
        <v>0.423639437780335</v>
      </c>
      <c r="N78" s="0" t="n">
        <v>1.51698552372747</v>
      </c>
      <c r="O78" s="0" t="n">
        <v>89.2053002386321</v>
      </c>
      <c r="P78" s="0" t="n">
        <v>15.235358885359</v>
      </c>
      <c r="Q78" s="0" t="n">
        <v>0</v>
      </c>
      <c r="R78" s="0" t="n">
        <v>0</v>
      </c>
      <c r="S78" s="0" t="n">
        <v>43.99</v>
      </c>
      <c r="T78" s="0" t="n">
        <f aca="false">IF(AND(ISNUMBER(Calculated_Ratios!C78),ISNUMBER(C78)),Calculated_Ratios!C78-C78,IF(AND(Calculated_Ratios!C78="",ISBLANK(C78)),0,"MISMATCH"))</f>
        <v>0</v>
      </c>
      <c r="U78" s="0" t="n">
        <f aca="false">IF(AND(ISNUMBER(Calculated_Ratios!D78),ISNUMBER(D78)),Calculated_Ratios!D78-D78,IF(AND(Calculated_Ratios!D78="",ISBLANK(D78)),0,"MISMATCH"))</f>
        <v>0</v>
      </c>
      <c r="V78" s="0" t="n">
        <f aca="false">IF(AND(ISNUMBER(Calculated_Ratios!E78),ISNUMBER(E78)),Calculated_Ratios!E78-E78,IF(AND(Calculated_Ratios!E78="",ISBLANK(E78)),0,"MISMATCH"))</f>
        <v>0</v>
      </c>
      <c r="W78" s="0" t="n">
        <f aca="false">IF(AND(ISNUMBER(Calculated_Ratios!F78),ISNUMBER(F78)),Calculated_Ratios!F78-F78,IF(AND(Calculated_Ratios!F78="",ISBLANK(F78)),0,"MISMATCH"))</f>
        <v>0</v>
      </c>
      <c r="X78" s="0" t="n">
        <f aca="false">IF(AND(ISNUMBER(Calculated_Ratios!G78),ISNUMBER(G78)),Calculated_Ratios!G78-G78,IF(AND(Calculated_Ratios!G78="",ISBLANK(G78)),0,"MISMATCH"))</f>
        <v>0</v>
      </c>
      <c r="Y78" s="0" t="n">
        <f aca="false">IF(AND(ISNUMBER(Calculated_Ratios!H78),ISNUMBER(H78)),Calculated_Ratios!H78-H78,IF(AND(Calculated_Ratios!H78="",ISBLANK(H78)),0,"MISMATCH"))</f>
        <v>0</v>
      </c>
      <c r="Z78" s="0" t="n">
        <f aca="false">IF(AND(ISNUMBER(Calculated_Ratios!I78),ISNUMBER(I78)),Calculated_Ratios!I78-I78,IF(AND(Calculated_Ratios!I78="",ISBLANK(I78)),0,"MISMATCH"))</f>
        <v>0</v>
      </c>
      <c r="AA78" s="0" t="n">
        <f aca="false">IF(AND(ISNUMBER(Calculated_Ratios!J78),ISNUMBER(J78)),Calculated_Ratios!J78-J78,IF(AND(Calculated_Ratios!J78="",ISBLANK(J78)),0,"MISMATCH"))</f>
        <v>0</v>
      </c>
      <c r="AB78" s="0" t="n">
        <f aca="false">IF(AND(ISNUMBER(Calculated_Ratios!K78),ISNUMBER(K78)),Calculated_Ratios!K78-K78,IF(AND(Calculated_Ratios!K78="",ISBLANK(K78)),0,"MISMATCH"))</f>
        <v>0</v>
      </c>
      <c r="AC78" s="0" t="n">
        <f aca="false">IF(AND(ISNUMBER(Calculated_Ratios!L78),ISNUMBER(L78)),Calculated_Ratios!L78-L78,IF(AND(Calculated_Ratios!L78="",ISBLANK(L78)),0,"MISMATCH"))</f>
        <v>0</v>
      </c>
      <c r="AD78" s="0" t="n">
        <f aca="false">IF(AND(ISNUMBER(Calculated_Ratios!M78),ISNUMBER(M78)),Calculated_Ratios!M78-M78,IF(AND(Calculated_Ratios!M78="",ISBLANK(M78)),0,"MISMATCH"))</f>
        <v>0</v>
      </c>
      <c r="AE78" s="0" t="n">
        <f aca="false">IF(AND(ISNUMBER(Calculated_Ratios!N78),ISNUMBER(N78)),Calculated_Ratios!N78-N78,IF(AND(Calculated_Ratios!N78="",ISBLANK(N78)),0,"MISMATCH"))</f>
        <v>0</v>
      </c>
      <c r="AF78" s="0" t="n">
        <f aca="false">IF(AND(ISNUMBER(Calculated_Ratios!O78),ISNUMBER(O78)),Calculated_Ratios!O78-O78,IF(AND(Calculated_Ratios!O78="",ISBLANK(O78)),0,"MISMATCH"))</f>
        <v>0</v>
      </c>
      <c r="AG78" s="0" t="n">
        <f aca="false">IF(AND(ISNUMBER(Calculated_Ratios!P78),ISNUMBER(P78)),Calculated_Ratios!P78-P78,IF(AND(Calculated_Ratios!P78="",ISBLANK(P78)),0,"MISMATCH"))</f>
        <v>0</v>
      </c>
      <c r="AH78" s="0" t="n">
        <f aca="false">IF(AND(ISNUMBER(Calculated_Ratios!Q78),ISNUMBER(Q78)),Calculated_Ratios!Q78-Q78,IF(AND(Calculated_Ratios!Q78="",ISBLANK(Q78)),0,"MISMATCH"))</f>
        <v>0</v>
      </c>
      <c r="AI78" s="0" t="n">
        <f aca="false">IF(AND(ISNUMBER(Calculated_Ratios!R78),ISNUMBER(R78)),Calculated_Ratios!R78-R78,IF(AND(Calculated_Ratios!R78="",ISBLANK(R78)),0,"MISMATCH"))</f>
        <v>0</v>
      </c>
      <c r="AJ78" s="0" t="n">
        <f aca="false">IF(AND(ISNUMBER(Calculated_Ratios!S78),ISNUMBER(S78)),Calculated_Ratios!S78-S78,IF(AND(Calculated_Ratios!S78="",ISBLANK(S78)),0,"MISMATCH"))</f>
        <v>0</v>
      </c>
    </row>
    <row r="79" customFormat="false" ht="15" hidden="false" customHeight="false" outlineLevel="0" collapsed="false">
      <c r="A79" s="0" t="s">
        <v>178</v>
      </c>
      <c r="B79" s="0" t="n">
        <v>2020</v>
      </c>
      <c r="C79" s="0" t="n">
        <v>4672163</v>
      </c>
      <c r="D79" s="0" t="n">
        <v>1.21808678335923</v>
      </c>
      <c r="E79" s="0" t="n">
        <v>9.17732961099175</v>
      </c>
      <c r="F79" s="0" t="n">
        <v>15.7339116807355</v>
      </c>
      <c r="G79" s="0" t="n">
        <v>3.32409174454812</v>
      </c>
      <c r="H79" s="0" t="n">
        <v>19.6952147431671</v>
      </c>
      <c r="I79" s="0" t="n">
        <v>0.467963125430341</v>
      </c>
      <c r="N79" s="0" t="n">
        <v>1.09279617837208</v>
      </c>
      <c r="O79" s="0" t="n">
        <v>90.8226703890083</v>
      </c>
      <c r="P79" s="0" t="n">
        <v>15.4656743963042</v>
      </c>
      <c r="Q79" s="0" t="n">
        <v>0</v>
      </c>
      <c r="R79" s="0" t="n">
        <v>0</v>
      </c>
      <c r="S79" s="0" t="n">
        <v>44.3</v>
      </c>
      <c r="T79" s="0" t="n">
        <f aca="false">IF(AND(ISNUMBER(Calculated_Ratios!C79),ISNUMBER(C79)),Calculated_Ratios!C79-C79,IF(AND(Calculated_Ratios!C79="",ISBLANK(C79)),0,"MISMATCH"))</f>
        <v>0</v>
      </c>
      <c r="U79" s="0" t="n">
        <f aca="false">IF(AND(ISNUMBER(Calculated_Ratios!D79),ISNUMBER(D79)),Calculated_Ratios!D79-D79,IF(AND(Calculated_Ratios!D79="",ISBLANK(D79)),0,"MISMATCH"))</f>
        <v>0</v>
      </c>
      <c r="V79" s="0" t="n">
        <f aca="false">IF(AND(ISNUMBER(Calculated_Ratios!E79),ISNUMBER(E79)),Calculated_Ratios!E79-E79,IF(AND(Calculated_Ratios!E79="",ISBLANK(E79)),0,"MISMATCH"))</f>
        <v>0</v>
      </c>
      <c r="W79" s="0" t="n">
        <f aca="false">IF(AND(ISNUMBER(Calculated_Ratios!F79),ISNUMBER(F79)),Calculated_Ratios!F79-F79,IF(AND(Calculated_Ratios!F79="",ISBLANK(F79)),0,"MISMATCH"))</f>
        <v>0</v>
      </c>
      <c r="X79" s="0" t="n">
        <f aca="false">IF(AND(ISNUMBER(Calculated_Ratios!G79),ISNUMBER(G79)),Calculated_Ratios!G79-G79,IF(AND(Calculated_Ratios!G79="",ISBLANK(G79)),0,"MISMATCH"))</f>
        <v>0</v>
      </c>
      <c r="Y79" s="0" t="n">
        <f aca="false">IF(AND(ISNUMBER(Calculated_Ratios!H79),ISNUMBER(H79)),Calculated_Ratios!H79-H79,IF(AND(Calculated_Ratios!H79="",ISBLANK(H79)),0,"MISMATCH"))</f>
        <v>0</v>
      </c>
      <c r="Z79" s="0" t="n">
        <f aca="false">IF(AND(ISNUMBER(Calculated_Ratios!I79),ISNUMBER(I79)),Calculated_Ratios!I79-I79,IF(AND(Calculated_Ratios!I79="",ISBLANK(I79)),0,"MISMATCH"))</f>
        <v>0</v>
      </c>
      <c r="AA79" s="0" t="n">
        <f aca="false">IF(AND(ISNUMBER(Calculated_Ratios!J79),ISNUMBER(J79)),Calculated_Ratios!J79-J79,IF(AND(Calculated_Ratios!J79="",ISBLANK(J79)),0,"MISMATCH"))</f>
        <v>0</v>
      </c>
      <c r="AB79" s="0" t="n">
        <f aca="false">IF(AND(ISNUMBER(Calculated_Ratios!K79),ISNUMBER(K79)),Calculated_Ratios!K79-K79,IF(AND(Calculated_Ratios!K79="",ISBLANK(K79)),0,"MISMATCH"))</f>
        <v>0</v>
      </c>
      <c r="AC79" s="0" t="n">
        <f aca="false">IF(AND(ISNUMBER(Calculated_Ratios!L79),ISNUMBER(L79)),Calculated_Ratios!L79-L79,IF(AND(Calculated_Ratios!L79="",ISBLANK(L79)),0,"MISMATCH"))</f>
        <v>0</v>
      </c>
      <c r="AD79" s="0" t="n">
        <f aca="false">IF(AND(ISNUMBER(Calculated_Ratios!M79),ISNUMBER(M79)),Calculated_Ratios!M79-M79,IF(AND(Calculated_Ratios!M79="",ISBLANK(M79)),0,"MISMATCH"))</f>
        <v>0</v>
      </c>
      <c r="AE79" s="0" t="n">
        <f aca="false">IF(AND(ISNUMBER(Calculated_Ratios!N79),ISNUMBER(N79)),Calculated_Ratios!N79-N79,IF(AND(Calculated_Ratios!N79="",ISBLANK(N79)),0,"MISMATCH"))</f>
        <v>0</v>
      </c>
      <c r="AF79" s="0" t="n">
        <f aca="false">IF(AND(ISNUMBER(Calculated_Ratios!O79),ISNUMBER(O79)),Calculated_Ratios!O79-O79,IF(AND(Calculated_Ratios!O79="",ISBLANK(O79)),0,"MISMATCH"))</f>
        <v>0</v>
      </c>
      <c r="AG79" s="0" t="n">
        <f aca="false">IF(AND(ISNUMBER(Calculated_Ratios!P79),ISNUMBER(P79)),Calculated_Ratios!P79-P79,IF(AND(Calculated_Ratios!P79="",ISBLANK(P79)),0,"MISMATCH"))</f>
        <v>0</v>
      </c>
      <c r="AH79" s="0" t="n">
        <f aca="false">IF(AND(ISNUMBER(Calculated_Ratios!Q79),ISNUMBER(Q79)),Calculated_Ratios!Q79-Q79,IF(AND(Calculated_Ratios!Q79="",ISBLANK(Q79)),0,"MISMATCH"))</f>
        <v>0</v>
      </c>
      <c r="AI79" s="0" t="n">
        <f aca="false">IF(AND(ISNUMBER(Calculated_Ratios!R79),ISNUMBER(R79)),Calculated_Ratios!R79-R79,IF(AND(Calculated_Ratios!R79="",ISBLANK(R79)),0,"MISMATCH"))</f>
        <v>0</v>
      </c>
      <c r="AJ79" s="0" t="n">
        <f aca="false">IF(AND(ISNUMBER(Calculated_Ratios!S79),ISNUMBER(S79)),Calculated_Ratios!S79-S79,IF(AND(Calculated_Ratios!S79="",ISBLANK(S79)),0,"MISMATCH"))</f>
        <v>0</v>
      </c>
    </row>
    <row r="80" customFormat="false" ht="15" hidden="false" customHeight="false" outlineLevel="0" collapsed="false">
      <c r="A80" s="0" t="s">
        <v>178</v>
      </c>
      <c r="B80" s="0" t="n">
        <v>2021</v>
      </c>
      <c r="C80" s="0" t="n">
        <v>5391404.5</v>
      </c>
      <c r="D80" s="0" t="n">
        <v>1.08819510760137</v>
      </c>
      <c r="E80" s="0" t="n">
        <v>8.99736608731589</v>
      </c>
      <c r="F80" s="0" t="n">
        <v>12.4572177806358</v>
      </c>
      <c r="G80" s="0" t="n">
        <v>3.41281998617124</v>
      </c>
      <c r="H80" s="0" t="n">
        <v>21.8217914675852</v>
      </c>
      <c r="I80" s="0" t="n">
        <v>0.1808248666929</v>
      </c>
      <c r="N80" s="0" t="n">
        <v>1.05236327474773</v>
      </c>
      <c r="O80" s="0" t="n">
        <v>91.0026339126841</v>
      </c>
      <c r="P80" s="0" t="n">
        <v>15.5337985703685</v>
      </c>
      <c r="Q80" s="0" t="n">
        <v>0</v>
      </c>
      <c r="R80" s="0" t="n">
        <v>0</v>
      </c>
      <c r="S80" s="0" t="n">
        <v>47.56</v>
      </c>
      <c r="T80" s="0" t="n">
        <f aca="false">IF(AND(ISNUMBER(Calculated_Ratios!C80),ISNUMBER(C80)),Calculated_Ratios!C80-C80,IF(AND(Calculated_Ratios!C80="",ISBLANK(C80)),0,"MISMATCH"))</f>
        <v>0</v>
      </c>
      <c r="U80" s="0" t="n">
        <f aca="false">IF(AND(ISNUMBER(Calculated_Ratios!D80),ISNUMBER(D80)),Calculated_Ratios!D80-D80,IF(AND(Calculated_Ratios!D80="",ISBLANK(D80)),0,"MISMATCH"))</f>
        <v>0</v>
      </c>
      <c r="V80" s="0" t="n">
        <f aca="false">IF(AND(ISNUMBER(Calculated_Ratios!E80),ISNUMBER(E80)),Calculated_Ratios!E80-E80,IF(AND(Calculated_Ratios!E80="",ISBLANK(E80)),0,"MISMATCH"))</f>
        <v>0</v>
      </c>
      <c r="W80" s="0" t="n">
        <f aca="false">IF(AND(ISNUMBER(Calculated_Ratios!F80),ISNUMBER(F80)),Calculated_Ratios!F80-F80,IF(AND(Calculated_Ratios!F80="",ISBLANK(F80)),0,"MISMATCH"))</f>
        <v>0</v>
      </c>
      <c r="X80" s="0" t="n">
        <f aca="false">IF(AND(ISNUMBER(Calculated_Ratios!G80),ISNUMBER(G80)),Calculated_Ratios!G80-G80,IF(AND(Calculated_Ratios!G80="",ISBLANK(G80)),0,"MISMATCH"))</f>
        <v>0</v>
      </c>
      <c r="Y80" s="0" t="n">
        <f aca="false">IF(AND(ISNUMBER(Calculated_Ratios!H80),ISNUMBER(H80)),Calculated_Ratios!H80-H80,IF(AND(Calculated_Ratios!H80="",ISBLANK(H80)),0,"MISMATCH"))</f>
        <v>0</v>
      </c>
      <c r="Z80" s="0" t="n">
        <f aca="false">IF(AND(ISNUMBER(Calculated_Ratios!I80),ISNUMBER(I80)),Calculated_Ratios!I80-I80,IF(AND(Calculated_Ratios!I80="",ISBLANK(I80)),0,"MISMATCH"))</f>
        <v>0</v>
      </c>
      <c r="AA80" s="0" t="n">
        <f aca="false">IF(AND(ISNUMBER(Calculated_Ratios!J80),ISNUMBER(J80)),Calculated_Ratios!J80-J80,IF(AND(Calculated_Ratios!J80="",ISBLANK(J80)),0,"MISMATCH"))</f>
        <v>0</v>
      </c>
      <c r="AB80" s="0" t="n">
        <f aca="false">IF(AND(ISNUMBER(Calculated_Ratios!K80),ISNUMBER(K80)),Calculated_Ratios!K80-K80,IF(AND(Calculated_Ratios!K80="",ISBLANK(K80)),0,"MISMATCH"))</f>
        <v>0</v>
      </c>
      <c r="AC80" s="0" t="n">
        <f aca="false">IF(AND(ISNUMBER(Calculated_Ratios!L80),ISNUMBER(L80)),Calculated_Ratios!L80-L80,IF(AND(Calculated_Ratios!L80="",ISBLANK(L80)),0,"MISMATCH"))</f>
        <v>0</v>
      </c>
      <c r="AD80" s="0" t="n">
        <f aca="false">IF(AND(ISNUMBER(Calculated_Ratios!M80),ISNUMBER(M80)),Calculated_Ratios!M80-M80,IF(AND(Calculated_Ratios!M80="",ISBLANK(M80)),0,"MISMATCH"))</f>
        <v>0</v>
      </c>
      <c r="AE80" s="0" t="n">
        <f aca="false">IF(AND(ISNUMBER(Calculated_Ratios!N80),ISNUMBER(N80)),Calculated_Ratios!N80-N80,IF(AND(Calculated_Ratios!N80="",ISBLANK(N80)),0,"MISMATCH"))</f>
        <v>0</v>
      </c>
      <c r="AF80" s="0" t="n">
        <f aca="false">IF(AND(ISNUMBER(Calculated_Ratios!O80),ISNUMBER(O80)),Calculated_Ratios!O80-O80,IF(AND(Calculated_Ratios!O80="",ISBLANK(O80)),0,"MISMATCH"))</f>
        <v>0</v>
      </c>
      <c r="AG80" s="0" t="n">
        <f aca="false">IF(AND(ISNUMBER(Calculated_Ratios!P80),ISNUMBER(P80)),Calculated_Ratios!P80-P80,IF(AND(Calculated_Ratios!P80="",ISBLANK(P80)),0,"MISMATCH"))</f>
        <v>0</v>
      </c>
      <c r="AH80" s="0" t="n">
        <f aca="false">IF(AND(ISNUMBER(Calculated_Ratios!Q80),ISNUMBER(Q80)),Calculated_Ratios!Q80-Q80,IF(AND(Calculated_Ratios!Q80="",ISBLANK(Q80)),0,"MISMATCH"))</f>
        <v>0</v>
      </c>
      <c r="AI80" s="0" t="n">
        <f aca="false">IF(AND(ISNUMBER(Calculated_Ratios!R80),ISNUMBER(R80)),Calculated_Ratios!R80-R80,IF(AND(Calculated_Ratios!R80="",ISBLANK(R80)),0,"MISMATCH"))</f>
        <v>0</v>
      </c>
      <c r="AJ80" s="0" t="n">
        <f aca="false">IF(AND(ISNUMBER(Calculated_Ratios!S80),ISNUMBER(S80)),Calculated_Ratios!S80-S80,IF(AND(Calculated_Ratios!S80="",ISBLANK(S80)),0,"MISMATCH"))</f>
        <v>0</v>
      </c>
    </row>
    <row r="81" customFormat="false" ht="15" hidden="false" customHeight="false" outlineLevel="0" collapsed="false">
      <c r="A81" s="0" t="s">
        <v>178</v>
      </c>
      <c r="B81" s="0" t="n">
        <v>2022</v>
      </c>
      <c r="C81" s="0" t="n">
        <v>6468010</v>
      </c>
      <c r="D81" s="0" t="n">
        <v>2.06703452839436</v>
      </c>
      <c r="E81" s="0" t="n">
        <v>7.94986417687491</v>
      </c>
      <c r="F81" s="0" t="n">
        <v>16.4382553521099</v>
      </c>
      <c r="G81" s="0" t="n">
        <v>2.37642537471624</v>
      </c>
      <c r="H81" s="0" t="n">
        <v>21.8530631072842</v>
      </c>
      <c r="I81" s="0" t="n">
        <v>0.163342357231977</v>
      </c>
      <c r="N81" s="0" t="n">
        <v>1.8162641060154</v>
      </c>
      <c r="O81" s="0" t="n">
        <v>92.0501358231251</v>
      </c>
      <c r="P81" s="0" t="n">
        <v>15.8117123284717</v>
      </c>
      <c r="Q81" s="0" t="n">
        <v>0</v>
      </c>
      <c r="R81" s="0" t="n">
        <v>0</v>
      </c>
      <c r="T81" s="0" t="n">
        <f aca="false">IF(AND(ISNUMBER(Calculated_Ratios!C81),ISNUMBER(C81)),Calculated_Ratios!C81-C81,IF(AND(Calculated_Ratios!C81="",ISBLANK(C81)),0,"MISMATCH"))</f>
        <v>0</v>
      </c>
      <c r="U81" s="0" t="n">
        <f aca="false">IF(AND(ISNUMBER(Calculated_Ratios!D81),ISNUMBER(D81)),Calculated_Ratios!D81-D81,IF(AND(Calculated_Ratios!D81="",ISBLANK(D81)),0,"MISMATCH"))</f>
        <v>0</v>
      </c>
      <c r="V81" s="0" t="n">
        <f aca="false">IF(AND(ISNUMBER(Calculated_Ratios!E81),ISNUMBER(E81)),Calculated_Ratios!E81-E81,IF(AND(Calculated_Ratios!E81="",ISBLANK(E81)),0,"MISMATCH"))</f>
        <v>0</v>
      </c>
      <c r="W81" s="0" t="n">
        <f aca="false">IF(AND(ISNUMBER(Calculated_Ratios!F81),ISNUMBER(F81)),Calculated_Ratios!F81-F81,IF(AND(Calculated_Ratios!F81="",ISBLANK(F81)),0,"MISMATCH"))</f>
        <v>0</v>
      </c>
      <c r="X81" s="0" t="n">
        <f aca="false">IF(AND(ISNUMBER(Calculated_Ratios!G81),ISNUMBER(G81)),Calculated_Ratios!G81-G81,IF(AND(Calculated_Ratios!G81="",ISBLANK(G81)),0,"MISMATCH"))</f>
        <v>0</v>
      </c>
      <c r="Y81" s="0" t="n">
        <f aca="false">IF(AND(ISNUMBER(Calculated_Ratios!H81),ISNUMBER(H81)),Calculated_Ratios!H81-H81,IF(AND(Calculated_Ratios!H81="",ISBLANK(H81)),0,"MISMATCH"))</f>
        <v>0</v>
      </c>
      <c r="Z81" s="0" t="n">
        <f aca="false">IF(AND(ISNUMBER(Calculated_Ratios!I81),ISNUMBER(I81)),Calculated_Ratios!I81-I81,IF(AND(Calculated_Ratios!I81="",ISBLANK(I81)),0,"MISMATCH"))</f>
        <v>0</v>
      </c>
      <c r="AA81" s="0" t="n">
        <f aca="false">IF(AND(ISNUMBER(Calculated_Ratios!J81),ISNUMBER(J81)),Calculated_Ratios!J81-J81,IF(AND(Calculated_Ratios!J81="",ISBLANK(J81)),0,"MISMATCH"))</f>
        <v>0</v>
      </c>
      <c r="AB81" s="0" t="n">
        <f aca="false">IF(AND(ISNUMBER(Calculated_Ratios!K81),ISNUMBER(K81)),Calculated_Ratios!K81-K81,IF(AND(Calculated_Ratios!K81="",ISBLANK(K81)),0,"MISMATCH"))</f>
        <v>0</v>
      </c>
      <c r="AC81" s="0" t="n">
        <f aca="false">IF(AND(ISNUMBER(Calculated_Ratios!L81),ISNUMBER(L81)),Calculated_Ratios!L81-L81,IF(AND(Calculated_Ratios!L81="",ISBLANK(L81)),0,"MISMATCH"))</f>
        <v>0</v>
      </c>
      <c r="AD81" s="0" t="n">
        <f aca="false">IF(AND(ISNUMBER(Calculated_Ratios!M81),ISNUMBER(M81)),Calculated_Ratios!M81-M81,IF(AND(Calculated_Ratios!M81="",ISBLANK(M81)),0,"MISMATCH"))</f>
        <v>0</v>
      </c>
      <c r="AE81" s="0" t="n">
        <f aca="false">IF(AND(ISNUMBER(Calculated_Ratios!N81),ISNUMBER(N81)),Calculated_Ratios!N81-N81,IF(AND(Calculated_Ratios!N81="",ISBLANK(N81)),0,"MISMATCH"))</f>
        <v>0</v>
      </c>
      <c r="AF81" s="0" t="n">
        <f aca="false">IF(AND(ISNUMBER(Calculated_Ratios!O81),ISNUMBER(O81)),Calculated_Ratios!O81-O81,IF(AND(Calculated_Ratios!O81="",ISBLANK(O81)),0,"MISMATCH"))</f>
        <v>0</v>
      </c>
      <c r="AG81" s="0" t="n">
        <f aca="false">IF(AND(ISNUMBER(Calculated_Ratios!P81),ISNUMBER(P81)),Calculated_Ratios!P81-P81,IF(AND(Calculated_Ratios!P81="",ISBLANK(P81)),0,"MISMATCH"))</f>
        <v>0</v>
      </c>
      <c r="AH81" s="0" t="n">
        <f aca="false">IF(AND(ISNUMBER(Calculated_Ratios!Q81),ISNUMBER(Q81)),Calculated_Ratios!Q81-Q81,IF(AND(Calculated_Ratios!Q81="",ISBLANK(Q81)),0,"MISMATCH"))</f>
        <v>0</v>
      </c>
      <c r="AI81" s="0" t="n">
        <f aca="false">IF(AND(ISNUMBER(Calculated_Ratios!R81),ISNUMBER(R81)),Calculated_Ratios!R81-R81,IF(AND(Calculated_Ratios!R81="",ISBLANK(R81)),0,"MISMATCH"))</f>
        <v>0</v>
      </c>
      <c r="AJ81" s="0" t="n">
        <f aca="false">IF(AND(ISNUMBER(Calculated_Ratios!S81),ISNUMBER(S81)),Calculated_Ratios!S81-S81,IF(AND(Calculated_Ratios!S81="",ISBLANK(S81)),0,"MISMATCH"))</f>
        <v>0</v>
      </c>
    </row>
    <row r="82" customFormat="false" ht="15" hidden="false" customHeight="false" outlineLevel="0" collapsed="false">
      <c r="A82" s="0" t="s">
        <v>187</v>
      </c>
      <c r="B82" s="0" t="n">
        <v>2013</v>
      </c>
      <c r="E82" s="0" t="n">
        <v>21.2883617107869</v>
      </c>
      <c r="G82" s="0" t="n">
        <v>8.92943828016644</v>
      </c>
      <c r="J82" s="0" t="n">
        <v>150.996775139255</v>
      </c>
      <c r="K82" s="0" t="n">
        <v>5.91366158113731</v>
      </c>
      <c r="N82" s="0" t="n">
        <v>0.580548397738571</v>
      </c>
      <c r="O82" s="0" t="n">
        <v>78.7116382892131</v>
      </c>
      <c r="P82" s="0" t="n">
        <v>13.6900573062661</v>
      </c>
      <c r="Q82" s="0" t="n">
        <v>0</v>
      </c>
      <c r="T82" s="0" t="n">
        <f aca="false">IF(AND(ISNUMBER(Calculated_Ratios!C82),ISNUMBER(C82)),Calculated_Ratios!C82-C82,IF(AND(Calculated_Ratios!C82="",ISBLANK(C82)),0,"MISMATCH"))</f>
        <v>0</v>
      </c>
      <c r="U82" s="0" t="n">
        <f aca="false">IF(AND(ISNUMBER(Calculated_Ratios!D82),ISNUMBER(D82)),Calculated_Ratios!D82-D82,IF(AND(Calculated_Ratios!D82="",ISBLANK(D82)),0,"MISMATCH"))</f>
        <v>0</v>
      </c>
      <c r="V82" s="0" t="n">
        <f aca="false">IF(AND(ISNUMBER(Calculated_Ratios!E82),ISNUMBER(E82)),Calculated_Ratios!E82-E82,IF(AND(Calculated_Ratios!E82="",ISBLANK(E82)),0,"MISMATCH"))</f>
        <v>0</v>
      </c>
      <c r="W82" s="0" t="n">
        <f aca="false">IF(AND(ISNUMBER(Calculated_Ratios!F82),ISNUMBER(F82)),Calculated_Ratios!F82-F82,IF(AND(Calculated_Ratios!F82="",ISBLANK(F82)),0,"MISMATCH"))</f>
        <v>0</v>
      </c>
      <c r="X82" s="0" t="n">
        <f aca="false">IF(AND(ISNUMBER(Calculated_Ratios!G82),ISNUMBER(G82)),Calculated_Ratios!G82-G82,IF(AND(Calculated_Ratios!G82="",ISBLANK(G82)),0,"MISMATCH"))</f>
        <v>0</v>
      </c>
      <c r="Y82" s="0" t="n">
        <f aca="false">IF(AND(ISNUMBER(Calculated_Ratios!H82),ISNUMBER(H82)),Calculated_Ratios!H82-H82,IF(AND(Calculated_Ratios!H82="",ISBLANK(H82)),0,"MISMATCH"))</f>
        <v>0</v>
      </c>
      <c r="Z82" s="0" t="n">
        <f aca="false">IF(AND(ISNUMBER(Calculated_Ratios!I82),ISNUMBER(I82)),Calculated_Ratios!I82-I82,IF(AND(Calculated_Ratios!I82="",ISBLANK(I82)),0,"MISMATCH"))</f>
        <v>0</v>
      </c>
      <c r="AA82" s="0" t="n">
        <f aca="false">IF(AND(ISNUMBER(Calculated_Ratios!J82),ISNUMBER(J82)),Calculated_Ratios!J82-J82,IF(AND(Calculated_Ratios!J82="",ISBLANK(J82)),0,"MISMATCH"))</f>
        <v>0</v>
      </c>
      <c r="AB82" s="0" t="n">
        <f aca="false">IF(AND(ISNUMBER(Calculated_Ratios!K82),ISNUMBER(K82)),Calculated_Ratios!K82-K82,IF(AND(Calculated_Ratios!K82="",ISBLANK(K82)),0,"MISMATCH"))</f>
        <v>0</v>
      </c>
      <c r="AC82" s="0" t="n">
        <f aca="false">IF(AND(ISNUMBER(Calculated_Ratios!L82),ISNUMBER(L82)),Calculated_Ratios!L82-L82,IF(AND(Calculated_Ratios!L82="",ISBLANK(L82)),0,"MISMATCH"))</f>
        <v>0</v>
      </c>
      <c r="AD82" s="0" t="n">
        <f aca="false">IF(AND(ISNUMBER(Calculated_Ratios!M82),ISNUMBER(M82)),Calculated_Ratios!M82-M82,IF(AND(Calculated_Ratios!M82="",ISBLANK(M82)),0,"MISMATCH"))</f>
        <v>0</v>
      </c>
      <c r="AE82" s="0" t="n">
        <f aca="false">IF(AND(ISNUMBER(Calculated_Ratios!N82),ISNUMBER(N82)),Calculated_Ratios!N82-N82,IF(AND(Calculated_Ratios!N82="",ISBLANK(N82)),0,"MISMATCH"))</f>
        <v>0</v>
      </c>
      <c r="AF82" s="0" t="n">
        <f aca="false">IF(AND(ISNUMBER(Calculated_Ratios!O82),ISNUMBER(O82)),Calculated_Ratios!O82-O82,IF(AND(Calculated_Ratios!O82="",ISBLANK(O82)),0,"MISMATCH"))</f>
        <v>0</v>
      </c>
      <c r="AG82" s="0" t="n">
        <f aca="false">IF(AND(ISNUMBER(Calculated_Ratios!P82),ISNUMBER(P82)),Calculated_Ratios!P82-P82,IF(AND(Calculated_Ratios!P82="",ISBLANK(P82)),0,"MISMATCH"))</f>
        <v>0</v>
      </c>
      <c r="AH82" s="0" t="n">
        <f aca="false">IF(AND(ISNUMBER(Calculated_Ratios!Q82),ISNUMBER(Q82)),Calculated_Ratios!Q82-Q82,IF(AND(Calculated_Ratios!Q82="",ISBLANK(Q82)),0,"MISMATCH"))</f>
        <v>0</v>
      </c>
      <c r="AI82" s="0" t="n">
        <f aca="false">IF(AND(ISNUMBER(Calculated_Ratios!R82),ISNUMBER(R82)),Calculated_Ratios!R82-R82,IF(AND(Calculated_Ratios!R82="",ISBLANK(R82)),0,"MISMATCH"))</f>
        <v>0</v>
      </c>
      <c r="AJ82" s="0" t="n">
        <f aca="false">IF(AND(ISNUMBER(Calculated_Ratios!S82),ISNUMBER(S82)),Calculated_Ratios!S82-S82,IF(AND(Calculated_Ratios!S82="",ISBLANK(S82)),0,"MISMATCH"))</f>
        <v>0</v>
      </c>
    </row>
    <row r="83" customFormat="false" ht="15" hidden="false" customHeight="false" outlineLevel="0" collapsed="false">
      <c r="A83" s="0" t="s">
        <v>187</v>
      </c>
      <c r="B83" s="0" t="n">
        <v>2014</v>
      </c>
      <c r="C83" s="0" t="n">
        <v>901516.5</v>
      </c>
      <c r="D83" s="0" t="n">
        <v>2.27239323961347</v>
      </c>
      <c r="E83" s="0" t="n">
        <v>22.3657235681958</v>
      </c>
      <c r="F83" s="0" t="n">
        <v>-13.5279831262101</v>
      </c>
      <c r="G83" s="0" t="n">
        <v>7.17609931603571</v>
      </c>
      <c r="J83" s="0" t="n">
        <v>139.508235855813</v>
      </c>
      <c r="K83" s="0" t="n">
        <v>5.14385353095031</v>
      </c>
      <c r="N83" s="0" t="n">
        <v>2.22447596792828</v>
      </c>
      <c r="O83" s="0" t="n">
        <v>77.6342764318042</v>
      </c>
      <c r="P83" s="0" t="n">
        <v>13.7331458231378</v>
      </c>
      <c r="Q83" s="0" t="n">
        <v>0</v>
      </c>
      <c r="T83" s="0" t="n">
        <f aca="false">IF(AND(ISNUMBER(Calculated_Ratios!C83),ISNUMBER(C83)),Calculated_Ratios!C83-C83,IF(AND(Calculated_Ratios!C83="",ISBLANK(C83)),0,"MISMATCH"))</f>
        <v>0</v>
      </c>
      <c r="U83" s="0" t="n">
        <f aca="false">IF(AND(ISNUMBER(Calculated_Ratios!D83),ISNUMBER(D83)),Calculated_Ratios!D83-D83,IF(AND(Calculated_Ratios!D83="",ISBLANK(D83)),0,"MISMATCH"))</f>
        <v>0</v>
      </c>
      <c r="V83" s="0" t="n">
        <f aca="false">IF(AND(ISNUMBER(Calculated_Ratios!E83),ISNUMBER(E83)),Calculated_Ratios!E83-E83,IF(AND(Calculated_Ratios!E83="",ISBLANK(E83)),0,"MISMATCH"))</f>
        <v>0</v>
      </c>
      <c r="W83" s="0" t="n">
        <f aca="false">IF(AND(ISNUMBER(Calculated_Ratios!F83),ISNUMBER(F83)),Calculated_Ratios!F83-F83,IF(AND(Calculated_Ratios!F83="",ISBLANK(F83)),0,"MISMATCH"))</f>
        <v>0</v>
      </c>
      <c r="X83" s="0" t="n">
        <f aca="false">IF(AND(ISNUMBER(Calculated_Ratios!G83),ISNUMBER(G83)),Calculated_Ratios!G83-G83,IF(AND(Calculated_Ratios!G83="",ISBLANK(G83)),0,"MISMATCH"))</f>
        <v>0</v>
      </c>
      <c r="Y83" s="0" t="n">
        <f aca="false">IF(AND(ISNUMBER(Calculated_Ratios!H83),ISNUMBER(H83)),Calculated_Ratios!H83-H83,IF(AND(Calculated_Ratios!H83="",ISBLANK(H83)),0,"MISMATCH"))</f>
        <v>0</v>
      </c>
      <c r="Z83" s="0" t="n">
        <f aca="false">IF(AND(ISNUMBER(Calculated_Ratios!I83),ISNUMBER(I83)),Calculated_Ratios!I83-I83,IF(AND(Calculated_Ratios!I83="",ISBLANK(I83)),0,"MISMATCH"))</f>
        <v>0</v>
      </c>
      <c r="AA83" s="0" t="n">
        <f aca="false">IF(AND(ISNUMBER(Calculated_Ratios!J83),ISNUMBER(J83)),Calculated_Ratios!J83-J83,IF(AND(Calculated_Ratios!J83="",ISBLANK(J83)),0,"MISMATCH"))</f>
        <v>0</v>
      </c>
      <c r="AB83" s="0" t="n">
        <f aca="false">IF(AND(ISNUMBER(Calculated_Ratios!K83),ISNUMBER(K83)),Calculated_Ratios!K83-K83,IF(AND(Calculated_Ratios!K83="",ISBLANK(K83)),0,"MISMATCH"))</f>
        <v>0</v>
      </c>
      <c r="AC83" s="0" t="n">
        <f aca="false">IF(AND(ISNUMBER(Calculated_Ratios!L83),ISNUMBER(L83)),Calculated_Ratios!L83-L83,IF(AND(Calculated_Ratios!L83="",ISBLANK(L83)),0,"MISMATCH"))</f>
        <v>0</v>
      </c>
      <c r="AD83" s="0" t="n">
        <f aca="false">IF(AND(ISNUMBER(Calculated_Ratios!M83),ISNUMBER(M83)),Calculated_Ratios!M83-M83,IF(AND(Calculated_Ratios!M83="",ISBLANK(M83)),0,"MISMATCH"))</f>
        <v>0</v>
      </c>
      <c r="AE83" s="0" t="n">
        <f aca="false">IF(AND(ISNUMBER(Calculated_Ratios!N83),ISNUMBER(N83)),Calculated_Ratios!N83-N83,IF(AND(Calculated_Ratios!N83="",ISBLANK(N83)),0,"MISMATCH"))</f>
        <v>0</v>
      </c>
      <c r="AF83" s="0" t="n">
        <f aca="false">IF(AND(ISNUMBER(Calculated_Ratios!O83),ISNUMBER(O83)),Calculated_Ratios!O83-O83,IF(AND(Calculated_Ratios!O83="",ISBLANK(O83)),0,"MISMATCH"))</f>
        <v>0</v>
      </c>
      <c r="AG83" s="0" t="n">
        <f aca="false">IF(AND(ISNUMBER(Calculated_Ratios!P83),ISNUMBER(P83)),Calculated_Ratios!P83-P83,IF(AND(Calculated_Ratios!P83="",ISBLANK(P83)),0,"MISMATCH"))</f>
        <v>0</v>
      </c>
      <c r="AH83" s="0" t="n">
        <f aca="false">IF(AND(ISNUMBER(Calculated_Ratios!Q83),ISNUMBER(Q83)),Calculated_Ratios!Q83-Q83,IF(AND(Calculated_Ratios!Q83="",ISBLANK(Q83)),0,"MISMATCH"))</f>
        <v>0</v>
      </c>
      <c r="AI83" s="0" t="n">
        <f aca="false">IF(AND(ISNUMBER(Calculated_Ratios!R83),ISNUMBER(R83)),Calculated_Ratios!R83-R83,IF(AND(Calculated_Ratios!R83="",ISBLANK(R83)),0,"MISMATCH"))</f>
        <v>0</v>
      </c>
      <c r="AJ83" s="0" t="n">
        <f aca="false">IF(AND(ISNUMBER(Calculated_Ratios!S83),ISNUMBER(S83)),Calculated_Ratios!S83-S83,IF(AND(Calculated_Ratios!S83="",ISBLANK(S83)),0,"MISMATCH"))</f>
        <v>0</v>
      </c>
    </row>
    <row r="84" customFormat="false" ht="15" hidden="false" customHeight="false" outlineLevel="0" collapsed="false">
      <c r="A84" s="0" t="s">
        <v>187</v>
      </c>
      <c r="B84" s="0" t="n">
        <v>2015</v>
      </c>
      <c r="C84" s="0" t="n">
        <v>961865.5</v>
      </c>
      <c r="D84" s="0" t="n">
        <v>1.87500227422649</v>
      </c>
      <c r="E84" s="0" t="n">
        <v>23.3279319384281</v>
      </c>
      <c r="F84" s="0" t="n">
        <v>1.1410119190261</v>
      </c>
      <c r="G84" s="0" t="n">
        <v>5.92129915433119</v>
      </c>
      <c r="H84" s="0" t="n">
        <v>15.9480183484677</v>
      </c>
      <c r="I84" s="0" t="n">
        <v>0.954083497120959</v>
      </c>
      <c r="N84" s="0" t="n">
        <v>1.80174150029571</v>
      </c>
      <c r="O84" s="0" t="n">
        <v>76.6720680615719</v>
      </c>
      <c r="P84" s="0" t="n">
        <v>13.816486081986</v>
      </c>
      <c r="Q84" s="0" t="n">
        <v>0</v>
      </c>
      <c r="R84" s="0" t="n">
        <v>0</v>
      </c>
      <c r="T84" s="0" t="n">
        <f aca="false">IF(AND(ISNUMBER(Calculated_Ratios!C84),ISNUMBER(C84)),Calculated_Ratios!C84-C84,IF(AND(Calculated_Ratios!C84="",ISBLANK(C84)),0,"MISMATCH"))</f>
        <v>0</v>
      </c>
      <c r="U84" s="0" t="n">
        <f aca="false">IF(AND(ISNUMBER(Calculated_Ratios!D84),ISNUMBER(D84)),Calculated_Ratios!D84-D84,IF(AND(Calculated_Ratios!D84="",ISBLANK(D84)),0,"MISMATCH"))</f>
        <v>0</v>
      </c>
      <c r="V84" s="0" t="n">
        <f aca="false">IF(AND(ISNUMBER(Calculated_Ratios!E84),ISNUMBER(E84)),Calculated_Ratios!E84-E84,IF(AND(Calculated_Ratios!E84="",ISBLANK(E84)),0,"MISMATCH"))</f>
        <v>0</v>
      </c>
      <c r="W84" s="0" t="n">
        <f aca="false">IF(AND(ISNUMBER(Calculated_Ratios!F84),ISNUMBER(F84)),Calculated_Ratios!F84-F84,IF(AND(Calculated_Ratios!F84="",ISBLANK(F84)),0,"MISMATCH"))</f>
        <v>0</v>
      </c>
      <c r="X84" s="0" t="n">
        <f aca="false">IF(AND(ISNUMBER(Calculated_Ratios!G84),ISNUMBER(G84)),Calculated_Ratios!G84-G84,IF(AND(Calculated_Ratios!G84="",ISBLANK(G84)),0,"MISMATCH"))</f>
        <v>0</v>
      </c>
      <c r="Y84" s="0" t="n">
        <f aca="false">IF(AND(ISNUMBER(Calculated_Ratios!H84),ISNUMBER(H84)),Calculated_Ratios!H84-H84,IF(AND(Calculated_Ratios!H84="",ISBLANK(H84)),0,"MISMATCH"))</f>
        <v>0</v>
      </c>
      <c r="Z84" s="0" t="n">
        <f aca="false">IF(AND(ISNUMBER(Calculated_Ratios!I84),ISNUMBER(I84)),Calculated_Ratios!I84-I84,IF(AND(Calculated_Ratios!I84="",ISBLANK(I84)),0,"MISMATCH"))</f>
        <v>0</v>
      </c>
      <c r="AA84" s="0" t="n">
        <f aca="false">IF(AND(ISNUMBER(Calculated_Ratios!J84),ISNUMBER(J84)),Calculated_Ratios!J84-J84,IF(AND(Calculated_Ratios!J84="",ISBLANK(J84)),0,"MISMATCH"))</f>
        <v>0</v>
      </c>
      <c r="AB84" s="0" t="n">
        <f aca="false">IF(AND(ISNUMBER(Calculated_Ratios!K84),ISNUMBER(K84)),Calculated_Ratios!K84-K84,IF(AND(Calculated_Ratios!K84="",ISBLANK(K84)),0,"MISMATCH"))</f>
        <v>0</v>
      </c>
      <c r="AC84" s="0" t="n">
        <f aca="false">IF(AND(ISNUMBER(Calculated_Ratios!L84),ISNUMBER(L84)),Calculated_Ratios!L84-L84,IF(AND(Calculated_Ratios!L84="",ISBLANK(L84)),0,"MISMATCH"))</f>
        <v>0</v>
      </c>
      <c r="AD84" s="0" t="n">
        <f aca="false">IF(AND(ISNUMBER(Calculated_Ratios!M84),ISNUMBER(M84)),Calculated_Ratios!M84-M84,IF(AND(Calculated_Ratios!M84="",ISBLANK(M84)),0,"MISMATCH"))</f>
        <v>0</v>
      </c>
      <c r="AE84" s="0" t="n">
        <f aca="false">IF(AND(ISNUMBER(Calculated_Ratios!N84),ISNUMBER(N84)),Calculated_Ratios!N84-N84,IF(AND(Calculated_Ratios!N84="",ISBLANK(N84)),0,"MISMATCH"))</f>
        <v>0</v>
      </c>
      <c r="AF84" s="0" t="n">
        <f aca="false">IF(AND(ISNUMBER(Calculated_Ratios!O84),ISNUMBER(O84)),Calculated_Ratios!O84-O84,IF(AND(Calculated_Ratios!O84="",ISBLANK(O84)),0,"MISMATCH"))</f>
        <v>0</v>
      </c>
      <c r="AG84" s="0" t="n">
        <f aca="false">IF(AND(ISNUMBER(Calculated_Ratios!P84),ISNUMBER(P84)),Calculated_Ratios!P84-P84,IF(AND(Calculated_Ratios!P84="",ISBLANK(P84)),0,"MISMATCH"))</f>
        <v>0</v>
      </c>
      <c r="AH84" s="0" t="n">
        <f aca="false">IF(AND(ISNUMBER(Calculated_Ratios!Q84),ISNUMBER(Q84)),Calculated_Ratios!Q84-Q84,IF(AND(Calculated_Ratios!Q84="",ISBLANK(Q84)),0,"MISMATCH"))</f>
        <v>0</v>
      </c>
      <c r="AI84" s="0" t="n">
        <f aca="false">IF(AND(ISNUMBER(Calculated_Ratios!R84),ISNUMBER(R84)),Calculated_Ratios!R84-R84,IF(AND(Calculated_Ratios!R84="",ISBLANK(R84)),0,"MISMATCH"))</f>
        <v>0</v>
      </c>
      <c r="AJ84" s="0" t="n">
        <f aca="false">IF(AND(ISNUMBER(Calculated_Ratios!S84),ISNUMBER(S84)),Calculated_Ratios!S84-S84,IF(AND(Calculated_Ratios!S84="",ISBLANK(S84)),0,"MISMATCH"))</f>
        <v>0</v>
      </c>
    </row>
    <row r="85" customFormat="false" ht="15" hidden="false" customHeight="false" outlineLevel="0" collapsed="false">
      <c r="A85" s="0" t="s">
        <v>187</v>
      </c>
      <c r="B85" s="0" t="n">
        <v>2016</v>
      </c>
      <c r="C85" s="0" t="n">
        <v>1062229.5</v>
      </c>
      <c r="D85" s="0" t="n">
        <v>1.49543954484412</v>
      </c>
      <c r="E85" s="0" t="n">
        <v>22.3714110493884</v>
      </c>
      <c r="F85" s="0" t="n">
        <v>-6.60243384315725</v>
      </c>
      <c r="G85" s="0" t="n">
        <v>5.49031636985892</v>
      </c>
      <c r="H85" s="0" t="n">
        <v>13.2902326608341</v>
      </c>
      <c r="I85" s="0" t="n">
        <v>1.48451911757299</v>
      </c>
      <c r="N85" s="0" t="n">
        <v>1.4139065744653</v>
      </c>
      <c r="O85" s="0" t="n">
        <v>77.6285889506116</v>
      </c>
      <c r="P85" s="0" t="n">
        <v>13.9319442392069</v>
      </c>
      <c r="Q85" s="0" t="n">
        <v>0</v>
      </c>
      <c r="R85" s="0" t="n">
        <v>0</v>
      </c>
      <c r="T85" s="0" t="n">
        <f aca="false">IF(AND(ISNUMBER(Calculated_Ratios!C85),ISNUMBER(C85)),Calculated_Ratios!C85-C85,IF(AND(Calculated_Ratios!C85="",ISBLANK(C85)),0,"MISMATCH"))</f>
        <v>0</v>
      </c>
      <c r="U85" s="0" t="n">
        <f aca="false">IF(AND(ISNUMBER(Calculated_Ratios!D85),ISNUMBER(D85)),Calculated_Ratios!D85-D85,IF(AND(Calculated_Ratios!D85="",ISBLANK(D85)),0,"MISMATCH"))</f>
        <v>0</v>
      </c>
      <c r="V85" s="0" t="n">
        <f aca="false">IF(AND(ISNUMBER(Calculated_Ratios!E85),ISNUMBER(E85)),Calculated_Ratios!E85-E85,IF(AND(Calculated_Ratios!E85="",ISBLANK(E85)),0,"MISMATCH"))</f>
        <v>0</v>
      </c>
      <c r="W85" s="0" t="n">
        <f aca="false">IF(AND(ISNUMBER(Calculated_Ratios!F85),ISNUMBER(F85)),Calculated_Ratios!F85-F85,IF(AND(Calculated_Ratios!F85="",ISBLANK(F85)),0,"MISMATCH"))</f>
        <v>0</v>
      </c>
      <c r="X85" s="0" t="n">
        <f aca="false">IF(AND(ISNUMBER(Calculated_Ratios!G85),ISNUMBER(G85)),Calculated_Ratios!G85-G85,IF(AND(Calculated_Ratios!G85="",ISBLANK(G85)),0,"MISMATCH"))</f>
        <v>0</v>
      </c>
      <c r="Y85" s="0" t="n">
        <f aca="false">IF(AND(ISNUMBER(Calculated_Ratios!H85),ISNUMBER(H85)),Calculated_Ratios!H85-H85,IF(AND(Calculated_Ratios!H85="",ISBLANK(H85)),0,"MISMATCH"))</f>
        <v>0</v>
      </c>
      <c r="Z85" s="0" t="n">
        <f aca="false">IF(AND(ISNUMBER(Calculated_Ratios!I85),ISNUMBER(I85)),Calculated_Ratios!I85-I85,IF(AND(Calculated_Ratios!I85="",ISBLANK(I85)),0,"MISMATCH"))</f>
        <v>0</v>
      </c>
      <c r="AA85" s="0" t="n">
        <f aca="false">IF(AND(ISNUMBER(Calculated_Ratios!J85),ISNUMBER(J85)),Calculated_Ratios!J85-J85,IF(AND(Calculated_Ratios!J85="",ISBLANK(J85)),0,"MISMATCH"))</f>
        <v>0</v>
      </c>
      <c r="AB85" s="0" t="n">
        <f aca="false">IF(AND(ISNUMBER(Calculated_Ratios!K85),ISNUMBER(K85)),Calculated_Ratios!K85-K85,IF(AND(Calculated_Ratios!K85="",ISBLANK(K85)),0,"MISMATCH"))</f>
        <v>0</v>
      </c>
      <c r="AC85" s="0" t="n">
        <f aca="false">IF(AND(ISNUMBER(Calculated_Ratios!L85),ISNUMBER(L85)),Calculated_Ratios!L85-L85,IF(AND(Calculated_Ratios!L85="",ISBLANK(L85)),0,"MISMATCH"))</f>
        <v>0</v>
      </c>
      <c r="AD85" s="0" t="n">
        <f aca="false">IF(AND(ISNUMBER(Calculated_Ratios!M85),ISNUMBER(M85)),Calculated_Ratios!M85-M85,IF(AND(Calculated_Ratios!M85="",ISBLANK(M85)),0,"MISMATCH"))</f>
        <v>0</v>
      </c>
      <c r="AE85" s="0" t="n">
        <f aca="false">IF(AND(ISNUMBER(Calculated_Ratios!N85),ISNUMBER(N85)),Calculated_Ratios!N85-N85,IF(AND(Calculated_Ratios!N85="",ISBLANK(N85)),0,"MISMATCH"))</f>
        <v>0</v>
      </c>
      <c r="AF85" s="0" t="n">
        <f aca="false">IF(AND(ISNUMBER(Calculated_Ratios!O85),ISNUMBER(O85)),Calculated_Ratios!O85-O85,IF(AND(Calculated_Ratios!O85="",ISBLANK(O85)),0,"MISMATCH"))</f>
        <v>0</v>
      </c>
      <c r="AG85" s="0" t="n">
        <f aca="false">IF(AND(ISNUMBER(Calculated_Ratios!P85),ISNUMBER(P85)),Calculated_Ratios!P85-P85,IF(AND(Calculated_Ratios!P85="",ISBLANK(P85)),0,"MISMATCH"))</f>
        <v>0</v>
      </c>
      <c r="AH85" s="0" t="n">
        <f aca="false">IF(AND(ISNUMBER(Calculated_Ratios!Q85),ISNUMBER(Q85)),Calculated_Ratios!Q85-Q85,IF(AND(Calculated_Ratios!Q85="",ISBLANK(Q85)),0,"MISMATCH"))</f>
        <v>0</v>
      </c>
      <c r="AI85" s="0" t="n">
        <f aca="false">IF(AND(ISNUMBER(Calculated_Ratios!R85),ISNUMBER(R85)),Calculated_Ratios!R85-R85,IF(AND(Calculated_Ratios!R85="",ISBLANK(R85)),0,"MISMATCH"))</f>
        <v>0</v>
      </c>
      <c r="AJ85" s="0" t="n">
        <f aca="false">IF(AND(ISNUMBER(Calculated_Ratios!S85),ISNUMBER(S85)),Calculated_Ratios!S85-S85,IF(AND(Calculated_Ratios!S85="",ISBLANK(S85)),0,"MISMATCH"))</f>
        <v>0</v>
      </c>
    </row>
    <row r="86" customFormat="false" ht="15" hidden="false" customHeight="false" outlineLevel="0" collapsed="false">
      <c r="A86" s="0" t="s">
        <v>187</v>
      </c>
      <c r="B86" s="0" t="n">
        <v>2017</v>
      </c>
      <c r="C86" s="0" t="n">
        <v>1229202</v>
      </c>
      <c r="D86" s="0" t="n">
        <v>0.914333038833324</v>
      </c>
      <c r="E86" s="0" t="n">
        <v>23.9054595740122</v>
      </c>
      <c r="F86" s="0" t="n">
        <v>5.54506094197699</v>
      </c>
      <c r="G86" s="0" t="n">
        <v>8.13302570293358</v>
      </c>
      <c r="H86" s="0" t="n">
        <v>17.801876572795</v>
      </c>
      <c r="I86" s="0" t="n">
        <v>2.07272685856352</v>
      </c>
      <c r="J86" s="0" t="n">
        <v>39.076658987216</v>
      </c>
      <c r="K86" s="0" t="n">
        <v>20.8130017092667</v>
      </c>
      <c r="N86" s="0" t="n">
        <v>0.84192248080598</v>
      </c>
      <c r="O86" s="0" t="n">
        <v>76.0945404259878</v>
      </c>
      <c r="P86" s="0" t="n">
        <v>14.1043826720356</v>
      </c>
      <c r="Q86" s="0" t="n">
        <v>0</v>
      </c>
      <c r="R86" s="0" t="n">
        <v>0</v>
      </c>
      <c r="T86" s="0" t="n">
        <f aca="false">IF(AND(ISNUMBER(Calculated_Ratios!C86),ISNUMBER(C86)),Calculated_Ratios!C86-C86,IF(AND(Calculated_Ratios!C86="",ISBLANK(C86)),0,"MISMATCH"))</f>
        <v>0</v>
      </c>
      <c r="U86" s="0" t="n">
        <f aca="false">IF(AND(ISNUMBER(Calculated_Ratios!D86),ISNUMBER(D86)),Calculated_Ratios!D86-D86,IF(AND(Calculated_Ratios!D86="",ISBLANK(D86)),0,"MISMATCH"))</f>
        <v>0</v>
      </c>
      <c r="V86" s="0" t="n">
        <f aca="false">IF(AND(ISNUMBER(Calculated_Ratios!E86),ISNUMBER(E86)),Calculated_Ratios!E86-E86,IF(AND(Calculated_Ratios!E86="",ISBLANK(E86)),0,"MISMATCH"))</f>
        <v>0</v>
      </c>
      <c r="W86" s="0" t="n">
        <f aca="false">IF(AND(ISNUMBER(Calculated_Ratios!F86),ISNUMBER(F86)),Calculated_Ratios!F86-F86,IF(AND(Calculated_Ratios!F86="",ISBLANK(F86)),0,"MISMATCH"))</f>
        <v>0</v>
      </c>
      <c r="X86" s="0" t="n">
        <f aca="false">IF(AND(ISNUMBER(Calculated_Ratios!G86),ISNUMBER(G86)),Calculated_Ratios!G86-G86,IF(AND(Calculated_Ratios!G86="",ISBLANK(G86)),0,"MISMATCH"))</f>
        <v>0</v>
      </c>
      <c r="Y86" s="0" t="n">
        <f aca="false">IF(AND(ISNUMBER(Calculated_Ratios!H86),ISNUMBER(H86)),Calculated_Ratios!H86-H86,IF(AND(Calculated_Ratios!H86="",ISBLANK(H86)),0,"MISMATCH"))</f>
        <v>0</v>
      </c>
      <c r="Z86" s="0" t="n">
        <f aca="false">IF(AND(ISNUMBER(Calculated_Ratios!I86),ISNUMBER(I86)),Calculated_Ratios!I86-I86,IF(AND(Calculated_Ratios!I86="",ISBLANK(I86)),0,"MISMATCH"))</f>
        <v>0</v>
      </c>
      <c r="AA86" s="0" t="n">
        <f aca="false">IF(AND(ISNUMBER(Calculated_Ratios!J86),ISNUMBER(J86)),Calculated_Ratios!J86-J86,IF(AND(Calculated_Ratios!J86="",ISBLANK(J86)),0,"MISMATCH"))</f>
        <v>0</v>
      </c>
      <c r="AB86" s="0" t="n">
        <f aca="false">IF(AND(ISNUMBER(Calculated_Ratios!K86),ISNUMBER(K86)),Calculated_Ratios!K86-K86,IF(AND(Calculated_Ratios!K86="",ISBLANK(K86)),0,"MISMATCH"))</f>
        <v>0</v>
      </c>
      <c r="AC86" s="0" t="n">
        <f aca="false">IF(AND(ISNUMBER(Calculated_Ratios!L86),ISNUMBER(L86)),Calculated_Ratios!L86-L86,IF(AND(Calculated_Ratios!L86="",ISBLANK(L86)),0,"MISMATCH"))</f>
        <v>0</v>
      </c>
      <c r="AD86" s="0" t="n">
        <f aca="false">IF(AND(ISNUMBER(Calculated_Ratios!M86),ISNUMBER(M86)),Calculated_Ratios!M86-M86,IF(AND(Calculated_Ratios!M86="",ISBLANK(M86)),0,"MISMATCH"))</f>
        <v>0</v>
      </c>
      <c r="AE86" s="0" t="n">
        <f aca="false">IF(AND(ISNUMBER(Calculated_Ratios!N86),ISNUMBER(N86)),Calculated_Ratios!N86-N86,IF(AND(Calculated_Ratios!N86="",ISBLANK(N86)),0,"MISMATCH"))</f>
        <v>0</v>
      </c>
      <c r="AF86" s="0" t="n">
        <f aca="false">IF(AND(ISNUMBER(Calculated_Ratios!O86),ISNUMBER(O86)),Calculated_Ratios!O86-O86,IF(AND(Calculated_Ratios!O86="",ISBLANK(O86)),0,"MISMATCH"))</f>
        <v>0</v>
      </c>
      <c r="AG86" s="0" t="n">
        <f aca="false">IF(AND(ISNUMBER(Calculated_Ratios!P86),ISNUMBER(P86)),Calculated_Ratios!P86-P86,IF(AND(Calculated_Ratios!P86="",ISBLANK(P86)),0,"MISMATCH"))</f>
        <v>0</v>
      </c>
      <c r="AH86" s="0" t="n">
        <f aca="false">IF(AND(ISNUMBER(Calculated_Ratios!Q86),ISNUMBER(Q86)),Calculated_Ratios!Q86-Q86,IF(AND(Calculated_Ratios!Q86="",ISBLANK(Q86)),0,"MISMATCH"))</f>
        <v>0</v>
      </c>
      <c r="AI86" s="0" t="n">
        <f aca="false">IF(AND(ISNUMBER(Calculated_Ratios!R86),ISNUMBER(R86)),Calculated_Ratios!R86-R86,IF(AND(Calculated_Ratios!R86="",ISBLANK(R86)),0,"MISMATCH"))</f>
        <v>0</v>
      </c>
      <c r="AJ86" s="0" t="n">
        <f aca="false">IF(AND(ISNUMBER(Calculated_Ratios!S86),ISNUMBER(S86)),Calculated_Ratios!S86-S86,IF(AND(Calculated_Ratios!S86="",ISBLANK(S86)),0,"MISMATCH"))</f>
        <v>0</v>
      </c>
    </row>
    <row r="87" customFormat="false" ht="15" hidden="false" customHeight="false" outlineLevel="0" collapsed="false">
      <c r="A87" s="0" t="s">
        <v>187</v>
      </c>
      <c r="B87" s="0" t="n">
        <v>2018</v>
      </c>
      <c r="C87" s="0" t="n">
        <v>1329609</v>
      </c>
      <c r="D87" s="0" t="n">
        <v>1.3867234653195</v>
      </c>
      <c r="E87" s="0" t="n">
        <v>15.1089219412262</v>
      </c>
      <c r="F87" s="0" t="n">
        <v>2.8124057523678</v>
      </c>
      <c r="G87" s="0" t="n">
        <v>9.58161877159925</v>
      </c>
      <c r="H87" s="0" t="n">
        <v>11.4639800982065</v>
      </c>
      <c r="I87" s="0" t="n">
        <v>-0.264363433159673</v>
      </c>
      <c r="J87" s="0" t="n">
        <v>117.827826267664</v>
      </c>
      <c r="K87" s="0" t="n">
        <v>8.13188113123051</v>
      </c>
      <c r="L87" s="0" t="n">
        <v>26.051762161066</v>
      </c>
      <c r="M87" s="0" t="n">
        <v>24.4461922677737</v>
      </c>
      <c r="N87" s="0" t="n">
        <v>1.39228586940845</v>
      </c>
      <c r="O87" s="0" t="n">
        <v>84.8910780587738</v>
      </c>
      <c r="P87" s="0" t="n">
        <v>14.0963923105648</v>
      </c>
      <c r="Q87" s="0" t="n">
        <v>0</v>
      </c>
      <c r="R87" s="0" t="n">
        <v>0</v>
      </c>
      <c r="T87" s="0" t="n">
        <f aca="false">IF(AND(ISNUMBER(Calculated_Ratios!C87),ISNUMBER(C87)),Calculated_Ratios!C87-C87,IF(AND(Calculated_Ratios!C87="",ISBLANK(C87)),0,"MISMATCH"))</f>
        <v>0</v>
      </c>
      <c r="U87" s="0" t="n">
        <f aca="false">IF(AND(ISNUMBER(Calculated_Ratios!D87),ISNUMBER(D87)),Calculated_Ratios!D87-D87,IF(AND(Calculated_Ratios!D87="",ISBLANK(D87)),0,"MISMATCH"))</f>
        <v>0</v>
      </c>
      <c r="V87" s="0" t="n">
        <f aca="false">IF(AND(ISNUMBER(Calculated_Ratios!E87),ISNUMBER(E87)),Calculated_Ratios!E87-E87,IF(AND(Calculated_Ratios!E87="",ISBLANK(E87)),0,"MISMATCH"))</f>
        <v>0</v>
      </c>
      <c r="W87" s="0" t="n">
        <f aca="false">IF(AND(ISNUMBER(Calculated_Ratios!F87),ISNUMBER(F87)),Calculated_Ratios!F87-F87,IF(AND(Calculated_Ratios!F87="",ISBLANK(F87)),0,"MISMATCH"))</f>
        <v>0</v>
      </c>
      <c r="X87" s="0" t="n">
        <f aca="false">IF(AND(ISNUMBER(Calculated_Ratios!G87),ISNUMBER(G87)),Calculated_Ratios!G87-G87,IF(AND(Calculated_Ratios!G87="",ISBLANK(G87)),0,"MISMATCH"))</f>
        <v>0</v>
      </c>
      <c r="Y87" s="0" t="n">
        <f aca="false">IF(AND(ISNUMBER(Calculated_Ratios!H87),ISNUMBER(H87)),Calculated_Ratios!H87-H87,IF(AND(Calculated_Ratios!H87="",ISBLANK(H87)),0,"MISMATCH"))</f>
        <v>0</v>
      </c>
      <c r="Z87" s="0" t="n">
        <f aca="false">IF(AND(ISNUMBER(Calculated_Ratios!I87),ISNUMBER(I87)),Calculated_Ratios!I87-I87,IF(AND(Calculated_Ratios!I87="",ISBLANK(I87)),0,"MISMATCH"))</f>
        <v>0</v>
      </c>
      <c r="AA87" s="0" t="n">
        <f aca="false">IF(AND(ISNUMBER(Calculated_Ratios!J87),ISNUMBER(J87)),Calculated_Ratios!J87-J87,IF(AND(Calculated_Ratios!J87="",ISBLANK(J87)),0,"MISMATCH"))</f>
        <v>0</v>
      </c>
      <c r="AB87" s="0" t="n">
        <f aca="false">IF(AND(ISNUMBER(Calculated_Ratios!K87),ISNUMBER(K87)),Calculated_Ratios!K87-K87,IF(AND(Calculated_Ratios!K87="",ISBLANK(K87)),0,"MISMATCH"))</f>
        <v>0</v>
      </c>
      <c r="AC87" s="0" t="n">
        <f aca="false">IF(AND(ISNUMBER(Calculated_Ratios!L87),ISNUMBER(L87)),Calculated_Ratios!L87-L87,IF(AND(Calculated_Ratios!L87="",ISBLANK(L87)),0,"MISMATCH"))</f>
        <v>0</v>
      </c>
      <c r="AD87" s="0" t="n">
        <f aca="false">IF(AND(ISNUMBER(Calculated_Ratios!M87),ISNUMBER(M87)),Calculated_Ratios!M87-M87,IF(AND(Calculated_Ratios!M87="",ISBLANK(M87)),0,"MISMATCH"))</f>
        <v>0</v>
      </c>
      <c r="AE87" s="0" t="n">
        <f aca="false">IF(AND(ISNUMBER(Calculated_Ratios!N87),ISNUMBER(N87)),Calculated_Ratios!N87-N87,IF(AND(Calculated_Ratios!N87="",ISBLANK(N87)),0,"MISMATCH"))</f>
        <v>0</v>
      </c>
      <c r="AF87" s="0" t="n">
        <f aca="false">IF(AND(ISNUMBER(Calculated_Ratios!O87),ISNUMBER(O87)),Calculated_Ratios!O87-O87,IF(AND(Calculated_Ratios!O87="",ISBLANK(O87)),0,"MISMATCH"))</f>
        <v>0</v>
      </c>
      <c r="AG87" s="0" t="n">
        <f aca="false">IF(AND(ISNUMBER(Calculated_Ratios!P87),ISNUMBER(P87)),Calculated_Ratios!P87-P87,IF(AND(Calculated_Ratios!P87="",ISBLANK(P87)),0,"MISMATCH"))</f>
        <v>0</v>
      </c>
      <c r="AH87" s="0" t="n">
        <f aca="false">IF(AND(ISNUMBER(Calculated_Ratios!Q87),ISNUMBER(Q87)),Calculated_Ratios!Q87-Q87,IF(AND(Calculated_Ratios!Q87="",ISBLANK(Q87)),0,"MISMATCH"))</f>
        <v>0</v>
      </c>
      <c r="AI87" s="0" t="n">
        <f aca="false">IF(AND(ISNUMBER(Calculated_Ratios!R87),ISNUMBER(R87)),Calculated_Ratios!R87-R87,IF(AND(Calculated_Ratios!R87="",ISBLANK(R87)),0,"MISMATCH"))</f>
        <v>0</v>
      </c>
      <c r="AJ87" s="0" t="n">
        <f aca="false">IF(AND(ISNUMBER(Calculated_Ratios!S87),ISNUMBER(S87)),Calculated_Ratios!S87-S87,IF(AND(Calculated_Ratios!S87="",ISBLANK(S87)),0,"MISMATCH"))</f>
        <v>0</v>
      </c>
    </row>
    <row r="88" customFormat="false" ht="15" hidden="false" customHeight="false" outlineLevel="0" collapsed="false">
      <c r="A88" s="0" t="s">
        <v>187</v>
      </c>
      <c r="B88" s="0" t="n">
        <v>2019</v>
      </c>
      <c r="C88" s="0" t="n">
        <v>1518018</v>
      </c>
      <c r="D88" s="0" t="n">
        <v>1.60571218523101</v>
      </c>
      <c r="E88" s="0" t="n">
        <v>13.5062646817067</v>
      </c>
      <c r="F88" s="0" t="n">
        <v>13.6571503104706</v>
      </c>
      <c r="G88" s="0" t="n">
        <v>7.50632456349593</v>
      </c>
      <c r="H88" s="0" t="n">
        <v>15.9061110315789</v>
      </c>
      <c r="I88" s="0" t="n">
        <v>-0.0332011873376996</v>
      </c>
      <c r="J88" s="0" t="n">
        <v>128.552934407365</v>
      </c>
      <c r="K88" s="0" t="n">
        <v>5.83909235374552</v>
      </c>
      <c r="L88" s="0" t="n">
        <v>9.87219846194679</v>
      </c>
      <c r="M88" s="0" t="n">
        <v>27.5621501131549</v>
      </c>
      <c r="N88" s="0" t="n">
        <v>1.42399045648899</v>
      </c>
      <c r="O88" s="0" t="n">
        <v>86.4937353182933</v>
      </c>
      <c r="P88" s="0" t="n">
        <v>14.3530203707906</v>
      </c>
      <c r="Q88" s="0" t="n">
        <v>0</v>
      </c>
      <c r="R88" s="0" t="n">
        <v>0</v>
      </c>
      <c r="T88" s="0" t="n">
        <f aca="false">IF(AND(ISNUMBER(Calculated_Ratios!C88),ISNUMBER(C88)),Calculated_Ratios!C88-C88,IF(AND(Calculated_Ratios!C88="",ISBLANK(C88)),0,"MISMATCH"))</f>
        <v>0</v>
      </c>
      <c r="U88" s="0" t="n">
        <f aca="false">IF(AND(ISNUMBER(Calculated_Ratios!D88),ISNUMBER(D88)),Calculated_Ratios!D88-D88,IF(AND(Calculated_Ratios!D88="",ISBLANK(D88)),0,"MISMATCH"))</f>
        <v>0</v>
      </c>
      <c r="V88" s="0" t="n">
        <f aca="false">IF(AND(ISNUMBER(Calculated_Ratios!E88),ISNUMBER(E88)),Calculated_Ratios!E88-E88,IF(AND(Calculated_Ratios!E88="",ISBLANK(E88)),0,"MISMATCH"))</f>
        <v>0</v>
      </c>
      <c r="W88" s="0" t="n">
        <f aca="false">IF(AND(ISNUMBER(Calculated_Ratios!F88),ISNUMBER(F88)),Calculated_Ratios!F88-F88,IF(AND(Calculated_Ratios!F88="",ISBLANK(F88)),0,"MISMATCH"))</f>
        <v>0</v>
      </c>
      <c r="X88" s="0" t="n">
        <f aca="false">IF(AND(ISNUMBER(Calculated_Ratios!G88),ISNUMBER(G88)),Calculated_Ratios!G88-G88,IF(AND(Calculated_Ratios!G88="",ISBLANK(G88)),0,"MISMATCH"))</f>
        <v>0</v>
      </c>
      <c r="Y88" s="0" t="n">
        <f aca="false">IF(AND(ISNUMBER(Calculated_Ratios!H88),ISNUMBER(H88)),Calculated_Ratios!H88-H88,IF(AND(Calculated_Ratios!H88="",ISBLANK(H88)),0,"MISMATCH"))</f>
        <v>0</v>
      </c>
      <c r="Z88" s="0" t="n">
        <f aca="false">IF(AND(ISNUMBER(Calculated_Ratios!I88),ISNUMBER(I88)),Calculated_Ratios!I88-I88,IF(AND(Calculated_Ratios!I88="",ISBLANK(I88)),0,"MISMATCH"))</f>
        <v>0</v>
      </c>
      <c r="AA88" s="0" t="n">
        <f aca="false">IF(AND(ISNUMBER(Calculated_Ratios!J88),ISNUMBER(J88)),Calculated_Ratios!J88-J88,IF(AND(Calculated_Ratios!J88="",ISBLANK(J88)),0,"MISMATCH"))</f>
        <v>0</v>
      </c>
      <c r="AB88" s="0" t="n">
        <f aca="false">IF(AND(ISNUMBER(Calculated_Ratios!K88),ISNUMBER(K88)),Calculated_Ratios!K88-K88,IF(AND(Calculated_Ratios!K88="",ISBLANK(K88)),0,"MISMATCH"))</f>
        <v>0</v>
      </c>
      <c r="AC88" s="0" t="n">
        <f aca="false">IF(AND(ISNUMBER(Calculated_Ratios!L88),ISNUMBER(L88)),Calculated_Ratios!L88-L88,IF(AND(Calculated_Ratios!L88="",ISBLANK(L88)),0,"MISMATCH"))</f>
        <v>0</v>
      </c>
      <c r="AD88" s="0" t="n">
        <f aca="false">IF(AND(ISNUMBER(Calculated_Ratios!M88),ISNUMBER(M88)),Calculated_Ratios!M88-M88,IF(AND(Calculated_Ratios!M88="",ISBLANK(M88)),0,"MISMATCH"))</f>
        <v>0</v>
      </c>
      <c r="AE88" s="0" t="n">
        <f aca="false">IF(AND(ISNUMBER(Calculated_Ratios!N88),ISNUMBER(N88)),Calculated_Ratios!N88-N88,IF(AND(Calculated_Ratios!N88="",ISBLANK(N88)),0,"MISMATCH"))</f>
        <v>0</v>
      </c>
      <c r="AF88" s="0" t="n">
        <f aca="false">IF(AND(ISNUMBER(Calculated_Ratios!O88),ISNUMBER(O88)),Calculated_Ratios!O88-O88,IF(AND(Calculated_Ratios!O88="",ISBLANK(O88)),0,"MISMATCH"))</f>
        <v>0</v>
      </c>
      <c r="AG88" s="0" t="n">
        <f aca="false">IF(AND(ISNUMBER(Calculated_Ratios!P88),ISNUMBER(P88)),Calculated_Ratios!P88-P88,IF(AND(Calculated_Ratios!P88="",ISBLANK(P88)),0,"MISMATCH"))</f>
        <v>0</v>
      </c>
      <c r="AH88" s="0" t="n">
        <f aca="false">IF(AND(ISNUMBER(Calculated_Ratios!Q88),ISNUMBER(Q88)),Calculated_Ratios!Q88-Q88,IF(AND(Calculated_Ratios!Q88="",ISBLANK(Q88)),0,"MISMATCH"))</f>
        <v>0</v>
      </c>
      <c r="AI88" s="0" t="n">
        <f aca="false">IF(AND(ISNUMBER(Calculated_Ratios!R88),ISNUMBER(R88)),Calculated_Ratios!R88-R88,IF(AND(Calculated_Ratios!R88="",ISBLANK(R88)),0,"MISMATCH"))</f>
        <v>0</v>
      </c>
      <c r="AJ88" s="0" t="n">
        <f aca="false">IF(AND(ISNUMBER(Calculated_Ratios!S88),ISNUMBER(S88)),Calculated_Ratios!S88-S88,IF(AND(Calculated_Ratios!S88="",ISBLANK(S88)),0,"MISMATCH"))</f>
        <v>0</v>
      </c>
    </row>
    <row r="89" customFormat="false" ht="15" hidden="false" customHeight="false" outlineLevel="0" collapsed="false">
      <c r="A89" s="0" t="s">
        <v>187</v>
      </c>
      <c r="B89" s="0" t="n">
        <v>2020</v>
      </c>
      <c r="C89" s="0" t="n">
        <v>1892748.5</v>
      </c>
      <c r="D89" s="0" t="n">
        <v>1.30249739994511</v>
      </c>
      <c r="E89" s="0" t="n">
        <v>11.935867155184</v>
      </c>
      <c r="F89" s="0" t="n">
        <v>-1.89734663638619</v>
      </c>
      <c r="G89" s="0" t="n">
        <v>5.9601309602667</v>
      </c>
      <c r="H89" s="0" t="n">
        <v>15.7592955503664</v>
      </c>
      <c r="I89" s="0" t="n">
        <v>-0.135200212812215</v>
      </c>
      <c r="L89" s="0" t="n">
        <v>8.40151918252994</v>
      </c>
      <c r="M89" s="0" t="n">
        <v>36.4552871799015</v>
      </c>
      <c r="N89" s="0" t="n">
        <v>1.18880795155462</v>
      </c>
      <c r="O89" s="0" t="n">
        <v>88.064132844816</v>
      </c>
      <c r="P89" s="0" t="n">
        <v>14.544872978225</v>
      </c>
      <c r="Q89" s="0" t="n">
        <v>0</v>
      </c>
      <c r="R89" s="0" t="n">
        <v>0</v>
      </c>
      <c r="T89" s="0" t="n">
        <f aca="false">IF(AND(ISNUMBER(Calculated_Ratios!C89),ISNUMBER(C89)),Calculated_Ratios!C89-C89,IF(AND(Calculated_Ratios!C89="",ISBLANK(C89)),0,"MISMATCH"))</f>
        <v>0</v>
      </c>
      <c r="U89" s="0" t="n">
        <f aca="false">IF(AND(ISNUMBER(Calculated_Ratios!D89),ISNUMBER(D89)),Calculated_Ratios!D89-D89,IF(AND(Calculated_Ratios!D89="",ISBLANK(D89)),0,"MISMATCH"))</f>
        <v>0</v>
      </c>
      <c r="V89" s="0" t="n">
        <f aca="false">IF(AND(ISNUMBER(Calculated_Ratios!E89),ISNUMBER(E89)),Calculated_Ratios!E89-E89,IF(AND(Calculated_Ratios!E89="",ISBLANK(E89)),0,"MISMATCH"))</f>
        <v>0</v>
      </c>
      <c r="W89" s="0" t="n">
        <f aca="false">IF(AND(ISNUMBER(Calculated_Ratios!F89),ISNUMBER(F89)),Calculated_Ratios!F89-F89,IF(AND(Calculated_Ratios!F89="",ISBLANK(F89)),0,"MISMATCH"))</f>
        <v>0</v>
      </c>
      <c r="X89" s="0" t="n">
        <f aca="false">IF(AND(ISNUMBER(Calculated_Ratios!G89),ISNUMBER(G89)),Calculated_Ratios!G89-G89,IF(AND(Calculated_Ratios!G89="",ISBLANK(G89)),0,"MISMATCH"))</f>
        <v>0</v>
      </c>
      <c r="Y89" s="0" t="n">
        <f aca="false">IF(AND(ISNUMBER(Calculated_Ratios!H89),ISNUMBER(H89)),Calculated_Ratios!H89-H89,IF(AND(Calculated_Ratios!H89="",ISBLANK(H89)),0,"MISMATCH"))</f>
        <v>0</v>
      </c>
      <c r="Z89" s="0" t="n">
        <f aca="false">IF(AND(ISNUMBER(Calculated_Ratios!I89),ISNUMBER(I89)),Calculated_Ratios!I89-I89,IF(AND(Calculated_Ratios!I89="",ISBLANK(I89)),0,"MISMATCH"))</f>
        <v>0</v>
      </c>
      <c r="AA89" s="0" t="n">
        <f aca="false">IF(AND(ISNUMBER(Calculated_Ratios!J89),ISNUMBER(J89)),Calculated_Ratios!J89-J89,IF(AND(Calculated_Ratios!J89="",ISBLANK(J89)),0,"MISMATCH"))</f>
        <v>0</v>
      </c>
      <c r="AB89" s="0" t="n">
        <f aca="false">IF(AND(ISNUMBER(Calculated_Ratios!K89),ISNUMBER(K89)),Calculated_Ratios!K89-K89,IF(AND(Calculated_Ratios!K89="",ISBLANK(K89)),0,"MISMATCH"))</f>
        <v>0</v>
      </c>
      <c r="AC89" s="0" t="n">
        <f aca="false">IF(AND(ISNUMBER(Calculated_Ratios!L89),ISNUMBER(L89)),Calculated_Ratios!L89-L89,IF(AND(Calculated_Ratios!L89="",ISBLANK(L89)),0,"MISMATCH"))</f>
        <v>0</v>
      </c>
      <c r="AD89" s="0" t="n">
        <f aca="false">IF(AND(ISNUMBER(Calculated_Ratios!M89),ISNUMBER(M89)),Calculated_Ratios!M89-M89,IF(AND(Calculated_Ratios!M89="",ISBLANK(M89)),0,"MISMATCH"))</f>
        <v>0</v>
      </c>
      <c r="AE89" s="0" t="n">
        <f aca="false">IF(AND(ISNUMBER(Calculated_Ratios!N89),ISNUMBER(N89)),Calculated_Ratios!N89-N89,IF(AND(Calculated_Ratios!N89="",ISBLANK(N89)),0,"MISMATCH"))</f>
        <v>0</v>
      </c>
      <c r="AF89" s="0" t="n">
        <f aca="false">IF(AND(ISNUMBER(Calculated_Ratios!O89),ISNUMBER(O89)),Calculated_Ratios!O89-O89,IF(AND(Calculated_Ratios!O89="",ISBLANK(O89)),0,"MISMATCH"))</f>
        <v>0</v>
      </c>
      <c r="AG89" s="0" t="n">
        <f aca="false">IF(AND(ISNUMBER(Calculated_Ratios!P89),ISNUMBER(P89)),Calculated_Ratios!P89-P89,IF(AND(Calculated_Ratios!P89="",ISBLANK(P89)),0,"MISMATCH"))</f>
        <v>0</v>
      </c>
      <c r="AH89" s="0" t="n">
        <f aca="false">IF(AND(ISNUMBER(Calculated_Ratios!Q89),ISNUMBER(Q89)),Calculated_Ratios!Q89-Q89,IF(AND(Calculated_Ratios!Q89="",ISBLANK(Q89)),0,"MISMATCH"))</f>
        <v>0</v>
      </c>
      <c r="AI89" s="0" t="n">
        <f aca="false">IF(AND(ISNUMBER(Calculated_Ratios!R89),ISNUMBER(R89)),Calculated_Ratios!R89-R89,IF(AND(Calculated_Ratios!R89="",ISBLANK(R89)),0,"MISMATCH"))</f>
        <v>0</v>
      </c>
      <c r="AJ89" s="0" t="n">
        <f aca="false">IF(AND(ISNUMBER(Calculated_Ratios!S89),ISNUMBER(S89)),Calculated_Ratios!S89-S89,IF(AND(Calculated_Ratios!S89="",ISBLANK(S89)),0,"MISMATCH"))</f>
        <v>0</v>
      </c>
    </row>
    <row r="90" customFormat="false" ht="15" hidden="false" customHeight="false" outlineLevel="0" collapsed="false">
      <c r="A90" s="0" t="s">
        <v>187</v>
      </c>
      <c r="B90" s="0" t="n">
        <v>2021</v>
      </c>
      <c r="C90" s="0" t="n">
        <v>2320599.5</v>
      </c>
      <c r="D90" s="0" t="n">
        <v>0.826510563326416</v>
      </c>
      <c r="E90" s="0" t="n">
        <v>9.79523969586838</v>
      </c>
      <c r="F90" s="0" t="n">
        <v>10.8652957996414</v>
      </c>
      <c r="G90" s="0" t="n">
        <v>3.36623268001771</v>
      </c>
      <c r="H90" s="0" t="n">
        <v>14.6086402935959</v>
      </c>
      <c r="I90" s="0" t="n">
        <v>0.0123244015177975</v>
      </c>
      <c r="J90" s="0" t="n">
        <v>78.2876357992757</v>
      </c>
      <c r="K90" s="0" t="n">
        <v>4.29982671676087</v>
      </c>
      <c r="L90" s="0" t="n">
        <v>6.90285683779221</v>
      </c>
      <c r="M90" s="0" t="n">
        <v>21.3875998968806</v>
      </c>
      <c r="N90" s="0" t="n">
        <v>0.747047351818406</v>
      </c>
      <c r="O90" s="0" t="n">
        <v>90.2047603041316</v>
      </c>
      <c r="P90" s="0" t="n">
        <v>14.7584202409687</v>
      </c>
      <c r="Q90" s="0" t="n">
        <v>0</v>
      </c>
      <c r="R90" s="0" t="n">
        <v>0</v>
      </c>
      <c r="T90" s="0" t="n">
        <f aca="false">IF(AND(ISNUMBER(Calculated_Ratios!C90),ISNUMBER(C90)),Calculated_Ratios!C90-C90,IF(AND(Calculated_Ratios!C90="",ISBLANK(C90)),0,"MISMATCH"))</f>
        <v>0</v>
      </c>
      <c r="U90" s="0" t="n">
        <f aca="false">IF(AND(ISNUMBER(Calculated_Ratios!D90),ISNUMBER(D90)),Calculated_Ratios!D90-D90,IF(AND(Calculated_Ratios!D90="",ISBLANK(D90)),0,"MISMATCH"))</f>
        <v>0</v>
      </c>
      <c r="V90" s="0" t="n">
        <f aca="false">IF(AND(ISNUMBER(Calculated_Ratios!E90),ISNUMBER(E90)),Calculated_Ratios!E90-E90,IF(AND(Calculated_Ratios!E90="",ISBLANK(E90)),0,"MISMATCH"))</f>
        <v>0</v>
      </c>
      <c r="W90" s="0" t="n">
        <f aca="false">IF(AND(ISNUMBER(Calculated_Ratios!F90),ISNUMBER(F90)),Calculated_Ratios!F90-F90,IF(AND(Calculated_Ratios!F90="",ISBLANK(F90)),0,"MISMATCH"))</f>
        <v>0</v>
      </c>
      <c r="X90" s="0" t="n">
        <f aca="false">IF(AND(ISNUMBER(Calculated_Ratios!G90),ISNUMBER(G90)),Calculated_Ratios!G90-G90,IF(AND(Calculated_Ratios!G90="",ISBLANK(G90)),0,"MISMATCH"))</f>
        <v>0</v>
      </c>
      <c r="Y90" s="0" t="n">
        <f aca="false">IF(AND(ISNUMBER(Calculated_Ratios!H90),ISNUMBER(H90)),Calculated_Ratios!H90-H90,IF(AND(Calculated_Ratios!H90="",ISBLANK(H90)),0,"MISMATCH"))</f>
        <v>0</v>
      </c>
      <c r="Z90" s="0" t="n">
        <f aca="false">IF(AND(ISNUMBER(Calculated_Ratios!I90),ISNUMBER(I90)),Calculated_Ratios!I90-I90,IF(AND(Calculated_Ratios!I90="",ISBLANK(I90)),0,"MISMATCH"))</f>
        <v>0</v>
      </c>
      <c r="AA90" s="0" t="n">
        <f aca="false">IF(AND(ISNUMBER(Calculated_Ratios!J90),ISNUMBER(J90)),Calculated_Ratios!J90-J90,IF(AND(Calculated_Ratios!J90="",ISBLANK(J90)),0,"MISMATCH"))</f>
        <v>0</v>
      </c>
      <c r="AB90" s="0" t="n">
        <f aca="false">IF(AND(ISNUMBER(Calculated_Ratios!K90),ISNUMBER(K90)),Calculated_Ratios!K90-K90,IF(AND(Calculated_Ratios!K90="",ISBLANK(K90)),0,"MISMATCH"))</f>
        <v>0</v>
      </c>
      <c r="AC90" s="0" t="n">
        <f aca="false">IF(AND(ISNUMBER(Calculated_Ratios!L90),ISNUMBER(L90)),Calculated_Ratios!L90-L90,IF(AND(Calculated_Ratios!L90="",ISBLANK(L90)),0,"MISMATCH"))</f>
        <v>0</v>
      </c>
      <c r="AD90" s="0" t="n">
        <f aca="false">IF(AND(ISNUMBER(Calculated_Ratios!M90),ISNUMBER(M90)),Calculated_Ratios!M90-M90,IF(AND(Calculated_Ratios!M90="",ISBLANK(M90)),0,"MISMATCH"))</f>
        <v>0</v>
      </c>
      <c r="AE90" s="0" t="n">
        <f aca="false">IF(AND(ISNUMBER(Calculated_Ratios!N90),ISNUMBER(N90)),Calculated_Ratios!N90-N90,IF(AND(Calculated_Ratios!N90="",ISBLANK(N90)),0,"MISMATCH"))</f>
        <v>0</v>
      </c>
      <c r="AF90" s="0" t="n">
        <f aca="false">IF(AND(ISNUMBER(Calculated_Ratios!O90),ISNUMBER(O90)),Calculated_Ratios!O90-O90,IF(AND(Calculated_Ratios!O90="",ISBLANK(O90)),0,"MISMATCH"))</f>
        <v>0</v>
      </c>
      <c r="AG90" s="0" t="n">
        <f aca="false">IF(AND(ISNUMBER(Calculated_Ratios!P90),ISNUMBER(P90)),Calculated_Ratios!P90-P90,IF(AND(Calculated_Ratios!P90="",ISBLANK(P90)),0,"MISMATCH"))</f>
        <v>0</v>
      </c>
      <c r="AH90" s="0" t="n">
        <f aca="false">IF(AND(ISNUMBER(Calculated_Ratios!Q90),ISNUMBER(Q90)),Calculated_Ratios!Q90-Q90,IF(AND(Calculated_Ratios!Q90="",ISBLANK(Q90)),0,"MISMATCH"))</f>
        <v>0</v>
      </c>
      <c r="AI90" s="0" t="n">
        <f aca="false">IF(AND(ISNUMBER(Calculated_Ratios!R90),ISNUMBER(R90)),Calculated_Ratios!R90-R90,IF(AND(Calculated_Ratios!R90="",ISBLANK(R90)),0,"MISMATCH"))</f>
        <v>0</v>
      </c>
      <c r="AJ90" s="0" t="n">
        <f aca="false">IF(AND(ISNUMBER(Calculated_Ratios!S90),ISNUMBER(S90)),Calculated_Ratios!S90-S90,IF(AND(Calculated_Ratios!S90="",ISBLANK(S90)),0,"MISMATCH"))</f>
        <v>0</v>
      </c>
    </row>
    <row r="91" customFormat="false" ht="15" hidden="false" customHeight="false" outlineLevel="0" collapsed="false">
      <c r="A91" s="0" t="s">
        <v>187</v>
      </c>
      <c r="B91" s="0" t="n">
        <v>2022</v>
      </c>
      <c r="C91" s="0" t="n">
        <v>2680557.5</v>
      </c>
      <c r="D91" s="0" t="n">
        <v>1.0822002512537</v>
      </c>
      <c r="E91" s="0" t="n">
        <v>10.3752263148814</v>
      </c>
      <c r="F91" s="0" t="n">
        <v>2.99478746492101</v>
      </c>
      <c r="G91" s="0" t="n">
        <v>3.19861165367673</v>
      </c>
      <c r="H91" s="0" t="n">
        <v>14.4192901206231</v>
      </c>
      <c r="I91" s="0" t="n">
        <v>0.166942884082882</v>
      </c>
      <c r="J91" s="0" t="n">
        <v>79.4890257225147</v>
      </c>
      <c r="K91" s="0" t="n">
        <v>4.02396635837838</v>
      </c>
      <c r="L91" s="0" t="n">
        <v>7.4003175132855</v>
      </c>
      <c r="N91" s="0" t="n">
        <v>1.03838171526098</v>
      </c>
      <c r="O91" s="0" t="n">
        <v>89.6247736851186</v>
      </c>
      <c r="P91" s="0" t="n">
        <v>14.8428681333946</v>
      </c>
      <c r="Q91" s="0" t="n">
        <v>0</v>
      </c>
      <c r="R91" s="0" t="n">
        <v>0</v>
      </c>
      <c r="T91" s="0" t="n">
        <f aca="false">IF(AND(ISNUMBER(Calculated_Ratios!C91),ISNUMBER(C91)),Calculated_Ratios!C91-C91,IF(AND(Calculated_Ratios!C91="",ISBLANK(C91)),0,"MISMATCH"))</f>
        <v>0</v>
      </c>
      <c r="U91" s="0" t="n">
        <f aca="false">IF(AND(ISNUMBER(Calculated_Ratios!D91),ISNUMBER(D91)),Calculated_Ratios!D91-D91,IF(AND(Calculated_Ratios!D91="",ISBLANK(D91)),0,"MISMATCH"))</f>
        <v>0</v>
      </c>
      <c r="V91" s="0" t="n">
        <f aca="false">IF(AND(ISNUMBER(Calculated_Ratios!E91),ISNUMBER(E91)),Calculated_Ratios!E91-E91,IF(AND(Calculated_Ratios!E91="",ISBLANK(E91)),0,"MISMATCH"))</f>
        <v>0</v>
      </c>
      <c r="W91" s="0" t="n">
        <f aca="false">IF(AND(ISNUMBER(Calculated_Ratios!F91),ISNUMBER(F91)),Calculated_Ratios!F91-F91,IF(AND(Calculated_Ratios!F91="",ISBLANK(F91)),0,"MISMATCH"))</f>
        <v>0</v>
      </c>
      <c r="X91" s="0" t="n">
        <f aca="false">IF(AND(ISNUMBER(Calculated_Ratios!G91),ISNUMBER(G91)),Calculated_Ratios!G91-G91,IF(AND(Calculated_Ratios!G91="",ISBLANK(G91)),0,"MISMATCH"))</f>
        <v>0</v>
      </c>
      <c r="Y91" s="0" t="n">
        <f aca="false">IF(AND(ISNUMBER(Calculated_Ratios!H91),ISNUMBER(H91)),Calculated_Ratios!H91-H91,IF(AND(Calculated_Ratios!H91="",ISBLANK(H91)),0,"MISMATCH"))</f>
        <v>0</v>
      </c>
      <c r="Z91" s="0" t="n">
        <f aca="false">IF(AND(ISNUMBER(Calculated_Ratios!I91),ISNUMBER(I91)),Calculated_Ratios!I91-I91,IF(AND(Calculated_Ratios!I91="",ISBLANK(I91)),0,"MISMATCH"))</f>
        <v>0</v>
      </c>
      <c r="AA91" s="0" t="n">
        <f aca="false">IF(AND(ISNUMBER(Calculated_Ratios!J91),ISNUMBER(J91)),Calculated_Ratios!J91-J91,IF(AND(Calculated_Ratios!J91="",ISBLANK(J91)),0,"MISMATCH"))</f>
        <v>0</v>
      </c>
      <c r="AB91" s="0" t="n">
        <f aca="false">IF(AND(ISNUMBER(Calculated_Ratios!K91),ISNUMBER(K91)),Calculated_Ratios!K91-K91,IF(AND(Calculated_Ratios!K91="",ISBLANK(K91)),0,"MISMATCH"))</f>
        <v>0</v>
      </c>
      <c r="AC91" s="0" t="n">
        <f aca="false">IF(AND(ISNUMBER(Calculated_Ratios!L91),ISNUMBER(L91)),Calculated_Ratios!L91-L91,IF(AND(Calculated_Ratios!L91="",ISBLANK(L91)),0,"MISMATCH"))</f>
        <v>0</v>
      </c>
      <c r="AD91" s="0" t="n">
        <f aca="false">IF(AND(ISNUMBER(Calculated_Ratios!M91),ISNUMBER(M91)),Calculated_Ratios!M91-M91,IF(AND(Calculated_Ratios!M91="",ISBLANK(M91)),0,"MISMATCH"))</f>
        <v>0</v>
      </c>
      <c r="AE91" s="0" t="n">
        <f aca="false">IF(AND(ISNUMBER(Calculated_Ratios!N91),ISNUMBER(N91)),Calculated_Ratios!N91-N91,IF(AND(Calculated_Ratios!N91="",ISBLANK(N91)),0,"MISMATCH"))</f>
        <v>0</v>
      </c>
      <c r="AF91" s="0" t="n">
        <f aca="false">IF(AND(ISNUMBER(Calculated_Ratios!O91),ISNUMBER(O91)),Calculated_Ratios!O91-O91,IF(AND(Calculated_Ratios!O91="",ISBLANK(O91)),0,"MISMATCH"))</f>
        <v>0</v>
      </c>
      <c r="AG91" s="0" t="n">
        <f aca="false">IF(AND(ISNUMBER(Calculated_Ratios!P91),ISNUMBER(P91)),Calculated_Ratios!P91-P91,IF(AND(Calculated_Ratios!P91="",ISBLANK(P91)),0,"MISMATCH"))</f>
        <v>0</v>
      </c>
      <c r="AH91" s="0" t="n">
        <f aca="false">IF(AND(ISNUMBER(Calculated_Ratios!Q91),ISNUMBER(Q91)),Calculated_Ratios!Q91-Q91,IF(AND(Calculated_Ratios!Q91="",ISBLANK(Q91)),0,"MISMATCH"))</f>
        <v>0</v>
      </c>
      <c r="AI91" s="0" t="n">
        <f aca="false">IF(AND(ISNUMBER(Calculated_Ratios!R91),ISNUMBER(R91)),Calculated_Ratios!R91-R91,IF(AND(Calculated_Ratios!R91="",ISBLANK(R91)),0,"MISMATCH"))</f>
        <v>0</v>
      </c>
      <c r="AJ91" s="0" t="n">
        <f aca="false">IF(AND(ISNUMBER(Calculated_Ratios!S91),ISNUMBER(S91)),Calculated_Ratios!S91-S91,IF(AND(Calculated_Ratios!S91="",ISBLANK(S91)),0,"MISMATCH"))</f>
        <v>0</v>
      </c>
    </row>
    <row r="92" customFormat="false" ht="15" hidden="false" customHeight="false" outlineLevel="0" collapsed="false">
      <c r="A92" s="0" t="s">
        <v>201</v>
      </c>
      <c r="B92" s="0" t="n">
        <v>2013</v>
      </c>
      <c r="E92" s="0" t="n">
        <v>6.98974026389413</v>
      </c>
      <c r="N92" s="0" t="n">
        <v>-5.59482167411587</v>
      </c>
      <c r="O92" s="0" t="n">
        <v>93.0102594883538</v>
      </c>
      <c r="P92" s="0" t="n">
        <v>12.9082521366817</v>
      </c>
      <c r="Q92" s="0" t="n">
        <v>0.000999999956547981</v>
      </c>
      <c r="T92" s="0" t="n">
        <f aca="false">IF(AND(ISNUMBER(Calculated_Ratios!C92),ISNUMBER(C92)),Calculated_Ratios!C92-C92,IF(AND(Calculated_Ratios!C92="",ISBLANK(C92)),0,"MISMATCH"))</f>
        <v>0</v>
      </c>
      <c r="U92" s="0" t="n">
        <f aca="false">IF(AND(ISNUMBER(Calculated_Ratios!D92),ISNUMBER(D92)),Calculated_Ratios!D92-D92,IF(AND(Calculated_Ratios!D92="",ISBLANK(D92)),0,"MISMATCH"))</f>
        <v>0</v>
      </c>
      <c r="V92" s="0" t="n">
        <f aca="false">IF(AND(ISNUMBER(Calculated_Ratios!E92),ISNUMBER(E92)),Calculated_Ratios!E92-E92,IF(AND(Calculated_Ratios!E92="",ISBLANK(E92)),0,"MISMATCH"))</f>
        <v>0</v>
      </c>
      <c r="W92" s="0" t="n">
        <f aca="false">IF(AND(ISNUMBER(Calculated_Ratios!F92),ISNUMBER(F92)),Calculated_Ratios!F92-F92,IF(AND(Calculated_Ratios!F92="",ISBLANK(F92)),0,"MISMATCH"))</f>
        <v>0</v>
      </c>
      <c r="X92" s="0" t="n">
        <f aca="false">IF(AND(ISNUMBER(Calculated_Ratios!G92),ISNUMBER(G92)),Calculated_Ratios!G92-G92,IF(AND(Calculated_Ratios!G92="",ISBLANK(G92)),0,"MISMATCH"))</f>
        <v>0</v>
      </c>
      <c r="Y92" s="0" t="n">
        <f aca="false">IF(AND(ISNUMBER(Calculated_Ratios!H92),ISNUMBER(H92)),Calculated_Ratios!H92-H92,IF(AND(Calculated_Ratios!H92="",ISBLANK(H92)),0,"MISMATCH"))</f>
        <v>0</v>
      </c>
      <c r="Z92" s="0" t="n">
        <f aca="false">IF(AND(ISNUMBER(Calculated_Ratios!I92),ISNUMBER(I92)),Calculated_Ratios!I92-I92,IF(AND(Calculated_Ratios!I92="",ISBLANK(I92)),0,"MISMATCH"))</f>
        <v>0</v>
      </c>
      <c r="AA92" s="0" t="n">
        <f aca="false">IF(AND(ISNUMBER(Calculated_Ratios!J92),ISNUMBER(J92)),Calculated_Ratios!J92-J92,IF(AND(Calculated_Ratios!J92="",ISBLANK(J92)),0,"MISMATCH"))</f>
        <v>0</v>
      </c>
      <c r="AB92" s="0" t="n">
        <f aca="false">IF(AND(ISNUMBER(Calculated_Ratios!K92),ISNUMBER(K92)),Calculated_Ratios!K92-K92,IF(AND(Calculated_Ratios!K92="",ISBLANK(K92)),0,"MISMATCH"))</f>
        <v>0</v>
      </c>
      <c r="AC92" s="0" t="n">
        <f aca="false">IF(AND(ISNUMBER(Calculated_Ratios!L92),ISNUMBER(L92)),Calculated_Ratios!L92-L92,IF(AND(Calculated_Ratios!L92="",ISBLANK(L92)),0,"MISMATCH"))</f>
        <v>0</v>
      </c>
      <c r="AD92" s="0" t="n">
        <f aca="false">IF(AND(ISNUMBER(Calculated_Ratios!M92),ISNUMBER(M92)),Calculated_Ratios!M92-M92,IF(AND(Calculated_Ratios!M92="",ISBLANK(M92)),0,"MISMATCH"))</f>
        <v>0</v>
      </c>
      <c r="AE92" s="0" t="n">
        <f aca="false">IF(AND(ISNUMBER(Calculated_Ratios!N92),ISNUMBER(N92)),Calculated_Ratios!N92-N92,IF(AND(Calculated_Ratios!N92="",ISBLANK(N92)),0,"MISMATCH"))</f>
        <v>0</v>
      </c>
      <c r="AF92" s="0" t="n">
        <f aca="false">IF(AND(ISNUMBER(Calculated_Ratios!O92),ISNUMBER(O92)),Calculated_Ratios!O92-O92,IF(AND(Calculated_Ratios!O92="",ISBLANK(O92)),0,"MISMATCH"))</f>
        <v>0</v>
      </c>
      <c r="AG92" s="0" t="n">
        <f aca="false">IF(AND(ISNUMBER(Calculated_Ratios!P92),ISNUMBER(P92)),Calculated_Ratios!P92-P92,IF(AND(Calculated_Ratios!P92="",ISBLANK(P92)),0,"MISMATCH"))</f>
        <v>0</v>
      </c>
      <c r="AH92" s="0" t="n">
        <f aca="false">IF(AND(ISNUMBER(Calculated_Ratios!Q92),ISNUMBER(Q92)),Calculated_Ratios!Q92-Q92,IF(AND(Calculated_Ratios!Q92="",ISBLANK(Q92)),0,"MISMATCH"))</f>
        <v>0</v>
      </c>
      <c r="AI92" s="0" t="n">
        <f aca="false">IF(AND(ISNUMBER(Calculated_Ratios!R92),ISNUMBER(R92)),Calculated_Ratios!R92-R92,IF(AND(Calculated_Ratios!R92="",ISBLANK(R92)),0,"MISMATCH"))</f>
        <v>0</v>
      </c>
      <c r="AJ92" s="0" t="n">
        <f aca="false">IF(AND(ISNUMBER(Calculated_Ratios!S92),ISNUMBER(S92)),Calculated_Ratios!S92-S92,IF(AND(Calculated_Ratios!S92="",ISBLANK(S92)),0,"MISMATCH"))</f>
        <v>0</v>
      </c>
    </row>
    <row r="93" customFormat="false" ht="15" hidden="false" customHeight="false" outlineLevel="0" collapsed="false">
      <c r="A93" s="0" t="s">
        <v>201</v>
      </c>
      <c r="B93" s="0" t="n">
        <v>2014</v>
      </c>
      <c r="C93" s="0" t="n">
        <v>408467.2005</v>
      </c>
      <c r="D93" s="0" t="n">
        <v>2.61770736717941</v>
      </c>
      <c r="E93" s="0" t="n">
        <v>18.4522264473037</v>
      </c>
      <c r="F93" s="0" t="n">
        <v>-7.89509119961763</v>
      </c>
      <c r="I93" s="0" t="n">
        <v>3.68554586061556</v>
      </c>
      <c r="N93" s="0" t="n">
        <v>2.58706599928787</v>
      </c>
      <c r="O93" s="0" t="n">
        <v>81.5477735526963</v>
      </c>
      <c r="P93" s="0" t="n">
        <v>12.9319413667432</v>
      </c>
      <c r="Q93" s="0" t="n">
        <v>0</v>
      </c>
      <c r="T93" s="0" t="n">
        <f aca="false">IF(AND(ISNUMBER(Calculated_Ratios!C93),ISNUMBER(C93)),Calculated_Ratios!C93-C93,IF(AND(Calculated_Ratios!C93="",ISBLANK(C93)),0,"MISMATCH"))</f>
        <v>0</v>
      </c>
      <c r="U93" s="0" t="n">
        <f aca="false">IF(AND(ISNUMBER(Calculated_Ratios!D93),ISNUMBER(D93)),Calculated_Ratios!D93-D93,IF(AND(Calculated_Ratios!D93="",ISBLANK(D93)),0,"MISMATCH"))</f>
        <v>0</v>
      </c>
      <c r="V93" s="0" t="n">
        <f aca="false">IF(AND(ISNUMBER(Calculated_Ratios!E93),ISNUMBER(E93)),Calculated_Ratios!E93-E93,IF(AND(Calculated_Ratios!E93="",ISBLANK(E93)),0,"MISMATCH"))</f>
        <v>0</v>
      </c>
      <c r="W93" s="0" t="n">
        <f aca="false">IF(AND(ISNUMBER(Calculated_Ratios!F93),ISNUMBER(F93)),Calculated_Ratios!F93-F93,IF(AND(Calculated_Ratios!F93="",ISBLANK(F93)),0,"MISMATCH"))</f>
        <v>0</v>
      </c>
      <c r="X93" s="0" t="n">
        <f aca="false">IF(AND(ISNUMBER(Calculated_Ratios!G93),ISNUMBER(G93)),Calculated_Ratios!G93-G93,IF(AND(Calculated_Ratios!G93="",ISBLANK(G93)),0,"MISMATCH"))</f>
        <v>0</v>
      </c>
      <c r="Y93" s="0" t="n">
        <f aca="false">IF(AND(ISNUMBER(Calculated_Ratios!H93),ISNUMBER(H93)),Calculated_Ratios!H93-H93,IF(AND(Calculated_Ratios!H93="",ISBLANK(H93)),0,"MISMATCH"))</f>
        <v>0</v>
      </c>
      <c r="Z93" s="0" t="n">
        <f aca="false">IF(AND(ISNUMBER(Calculated_Ratios!I93),ISNUMBER(I93)),Calculated_Ratios!I93-I93,IF(AND(Calculated_Ratios!I93="",ISBLANK(I93)),0,"MISMATCH"))</f>
        <v>0</v>
      </c>
      <c r="AA93" s="0" t="n">
        <f aca="false">IF(AND(ISNUMBER(Calculated_Ratios!J93),ISNUMBER(J93)),Calculated_Ratios!J93-J93,IF(AND(Calculated_Ratios!J93="",ISBLANK(J93)),0,"MISMATCH"))</f>
        <v>0</v>
      </c>
      <c r="AB93" s="0" t="n">
        <f aca="false">IF(AND(ISNUMBER(Calculated_Ratios!K93),ISNUMBER(K93)),Calculated_Ratios!K93-K93,IF(AND(Calculated_Ratios!K93="",ISBLANK(K93)),0,"MISMATCH"))</f>
        <v>0</v>
      </c>
      <c r="AC93" s="0" t="n">
        <f aca="false">IF(AND(ISNUMBER(Calculated_Ratios!L93),ISNUMBER(L93)),Calculated_Ratios!L93-L93,IF(AND(Calculated_Ratios!L93="",ISBLANK(L93)),0,"MISMATCH"))</f>
        <v>0</v>
      </c>
      <c r="AD93" s="0" t="n">
        <f aca="false">IF(AND(ISNUMBER(Calculated_Ratios!M93),ISNUMBER(M93)),Calculated_Ratios!M93-M93,IF(AND(Calculated_Ratios!M93="",ISBLANK(M93)),0,"MISMATCH"))</f>
        <v>0</v>
      </c>
      <c r="AE93" s="0" t="n">
        <f aca="false">IF(AND(ISNUMBER(Calculated_Ratios!N93),ISNUMBER(N93)),Calculated_Ratios!N93-N93,IF(AND(Calculated_Ratios!N93="",ISBLANK(N93)),0,"MISMATCH"))</f>
        <v>0</v>
      </c>
      <c r="AF93" s="0" t="n">
        <f aca="false">IF(AND(ISNUMBER(Calculated_Ratios!O93),ISNUMBER(O93)),Calculated_Ratios!O93-O93,IF(AND(Calculated_Ratios!O93="",ISBLANK(O93)),0,"MISMATCH"))</f>
        <v>0</v>
      </c>
      <c r="AG93" s="0" t="n">
        <f aca="false">IF(AND(ISNUMBER(Calculated_Ratios!P93),ISNUMBER(P93)),Calculated_Ratios!P93-P93,IF(AND(Calculated_Ratios!P93="",ISBLANK(P93)),0,"MISMATCH"))</f>
        <v>0</v>
      </c>
      <c r="AH93" s="0" t="n">
        <f aca="false">IF(AND(ISNUMBER(Calculated_Ratios!Q93),ISNUMBER(Q93)),Calculated_Ratios!Q93-Q93,IF(AND(Calculated_Ratios!Q93="",ISBLANK(Q93)),0,"MISMATCH"))</f>
        <v>0</v>
      </c>
      <c r="AI93" s="0" t="n">
        <f aca="false">IF(AND(ISNUMBER(Calculated_Ratios!R93),ISNUMBER(R93)),Calculated_Ratios!R93-R93,IF(AND(Calculated_Ratios!R93="",ISBLANK(R93)),0,"MISMATCH"))</f>
        <v>0</v>
      </c>
      <c r="AJ93" s="0" t="n">
        <f aca="false">IF(AND(ISNUMBER(Calculated_Ratios!S93),ISNUMBER(S93)),Calculated_Ratios!S93-S93,IF(AND(Calculated_Ratios!S93="",ISBLANK(S93)),0,"MISMATCH"))</f>
        <v>0</v>
      </c>
    </row>
    <row r="94" customFormat="false" ht="15" hidden="false" customHeight="false" outlineLevel="0" collapsed="false">
      <c r="A94" s="0" t="s">
        <v>201</v>
      </c>
      <c r="B94" s="0" t="n">
        <v>2015</v>
      </c>
      <c r="C94" s="0" t="n">
        <v>428313.0615</v>
      </c>
      <c r="D94" s="0" t="n">
        <v>1.09479663860309</v>
      </c>
      <c r="E94" s="0" t="n">
        <v>18.6263517326808</v>
      </c>
      <c r="F94" s="0" t="n">
        <v>-8.5664373324277</v>
      </c>
      <c r="G94" s="0" t="n">
        <v>21.082056794759</v>
      </c>
      <c r="I94" s="0" t="n">
        <v>6.33232661759488</v>
      </c>
      <c r="N94" s="0" t="n">
        <v>1.05773398351802</v>
      </c>
      <c r="O94" s="0" t="n">
        <v>81.3736482673192</v>
      </c>
      <c r="P94" s="0" t="n">
        <v>13.0020494186624</v>
      </c>
      <c r="Q94" s="0" t="n">
        <v>-4.36557456851006E-011</v>
      </c>
      <c r="R94" s="0" t="n">
        <v>2.91038304567337E-011</v>
      </c>
      <c r="T94" s="0" t="n">
        <f aca="false">IF(AND(ISNUMBER(Calculated_Ratios!C94),ISNUMBER(C94)),Calculated_Ratios!C94-C94,IF(AND(Calculated_Ratios!C94="",ISBLANK(C94)),0,"MISMATCH"))</f>
        <v>0</v>
      </c>
      <c r="U94" s="0" t="n">
        <f aca="false">IF(AND(ISNUMBER(Calculated_Ratios!D94),ISNUMBER(D94)),Calculated_Ratios!D94-D94,IF(AND(Calculated_Ratios!D94="",ISBLANK(D94)),0,"MISMATCH"))</f>
        <v>0</v>
      </c>
      <c r="V94" s="0" t="n">
        <f aca="false">IF(AND(ISNUMBER(Calculated_Ratios!E94),ISNUMBER(E94)),Calculated_Ratios!E94-E94,IF(AND(Calculated_Ratios!E94="",ISBLANK(E94)),0,"MISMATCH"))</f>
        <v>0</v>
      </c>
      <c r="W94" s="0" t="n">
        <f aca="false">IF(AND(ISNUMBER(Calculated_Ratios!F94),ISNUMBER(F94)),Calculated_Ratios!F94-F94,IF(AND(Calculated_Ratios!F94="",ISBLANK(F94)),0,"MISMATCH"))</f>
        <v>0</v>
      </c>
      <c r="X94" s="0" t="n">
        <f aca="false">IF(AND(ISNUMBER(Calculated_Ratios!G94),ISNUMBER(G94)),Calculated_Ratios!G94-G94,IF(AND(Calculated_Ratios!G94="",ISBLANK(G94)),0,"MISMATCH"))</f>
        <v>0</v>
      </c>
      <c r="Y94" s="0" t="n">
        <f aca="false">IF(AND(ISNUMBER(Calculated_Ratios!H94),ISNUMBER(H94)),Calculated_Ratios!H94-H94,IF(AND(Calculated_Ratios!H94="",ISBLANK(H94)),0,"MISMATCH"))</f>
        <v>0</v>
      </c>
      <c r="Z94" s="0" t="n">
        <f aca="false">IF(AND(ISNUMBER(Calculated_Ratios!I94),ISNUMBER(I94)),Calculated_Ratios!I94-I94,IF(AND(Calculated_Ratios!I94="",ISBLANK(I94)),0,"MISMATCH"))</f>
        <v>0</v>
      </c>
      <c r="AA94" s="0" t="n">
        <f aca="false">IF(AND(ISNUMBER(Calculated_Ratios!J94),ISNUMBER(J94)),Calculated_Ratios!J94-J94,IF(AND(Calculated_Ratios!J94="",ISBLANK(J94)),0,"MISMATCH"))</f>
        <v>0</v>
      </c>
      <c r="AB94" s="0" t="n">
        <f aca="false">IF(AND(ISNUMBER(Calculated_Ratios!K94),ISNUMBER(K94)),Calculated_Ratios!K94-K94,IF(AND(Calculated_Ratios!K94="",ISBLANK(K94)),0,"MISMATCH"))</f>
        <v>0</v>
      </c>
      <c r="AC94" s="0" t="n">
        <f aca="false">IF(AND(ISNUMBER(Calculated_Ratios!L94),ISNUMBER(L94)),Calculated_Ratios!L94-L94,IF(AND(Calculated_Ratios!L94="",ISBLANK(L94)),0,"MISMATCH"))</f>
        <v>0</v>
      </c>
      <c r="AD94" s="0" t="n">
        <f aca="false">IF(AND(ISNUMBER(Calculated_Ratios!M94),ISNUMBER(M94)),Calculated_Ratios!M94-M94,IF(AND(Calculated_Ratios!M94="",ISBLANK(M94)),0,"MISMATCH"))</f>
        <v>0</v>
      </c>
      <c r="AE94" s="0" t="n">
        <f aca="false">IF(AND(ISNUMBER(Calculated_Ratios!N94),ISNUMBER(N94)),Calculated_Ratios!N94-N94,IF(AND(Calculated_Ratios!N94="",ISBLANK(N94)),0,"MISMATCH"))</f>
        <v>0</v>
      </c>
      <c r="AF94" s="0" t="n">
        <f aca="false">IF(AND(ISNUMBER(Calculated_Ratios!O94),ISNUMBER(O94)),Calculated_Ratios!O94-O94,IF(AND(Calculated_Ratios!O94="",ISBLANK(O94)),0,"MISMATCH"))</f>
        <v>0</v>
      </c>
      <c r="AG94" s="0" t="n">
        <f aca="false">IF(AND(ISNUMBER(Calculated_Ratios!P94),ISNUMBER(P94)),Calculated_Ratios!P94-P94,IF(AND(Calculated_Ratios!P94="",ISBLANK(P94)),0,"MISMATCH"))</f>
        <v>0</v>
      </c>
      <c r="AH94" s="0" t="n">
        <f aca="false">IF(AND(ISNUMBER(Calculated_Ratios!Q94),ISNUMBER(Q94)),Calculated_Ratios!Q94-Q94,IF(AND(Calculated_Ratios!Q94="",ISBLANK(Q94)),0,"MISMATCH"))</f>
        <v>4.36557456851006E-011</v>
      </c>
      <c r="AI94" s="0" t="n">
        <f aca="false">IF(AND(ISNUMBER(Calculated_Ratios!R94),ISNUMBER(R94)),Calculated_Ratios!R94-R94,IF(AND(Calculated_Ratios!R94="",ISBLANK(R94)),0,"MISMATCH"))</f>
        <v>-2.91038304567337E-011</v>
      </c>
      <c r="AJ94" s="0" t="n">
        <f aca="false">IF(AND(ISNUMBER(Calculated_Ratios!S94),ISNUMBER(S94)),Calculated_Ratios!S94-S94,IF(AND(Calculated_Ratios!S94="",ISBLANK(S94)),0,"MISMATCH"))</f>
        <v>0</v>
      </c>
    </row>
    <row r="95" customFormat="false" ht="15" hidden="false" customHeight="false" outlineLevel="0" collapsed="false">
      <c r="A95" s="0" t="s">
        <v>201</v>
      </c>
      <c r="B95" s="0" t="n">
        <v>2016</v>
      </c>
      <c r="C95" s="0" t="n">
        <v>468001.3295</v>
      </c>
      <c r="D95" s="0" t="n">
        <v>0.466622178687636</v>
      </c>
      <c r="E95" s="0" t="n">
        <v>16.8682922341534</v>
      </c>
      <c r="F95" s="0" t="n">
        <v>-4.98300422029036</v>
      </c>
      <c r="G95" s="0" t="n">
        <v>26.8097092100607</v>
      </c>
      <c r="H95" s="0" t="n">
        <v>-46.9765999648314</v>
      </c>
      <c r="I95" s="0" t="n">
        <v>7.68130211048898</v>
      </c>
      <c r="N95" s="0" t="n">
        <v>0.443247280124482</v>
      </c>
      <c r="O95" s="0" t="n">
        <v>83.1317077658466</v>
      </c>
      <c r="P95" s="0" t="n">
        <v>13.1076184979905</v>
      </c>
      <c r="Q95" s="0" t="n">
        <v>-1.45519152283669E-011</v>
      </c>
      <c r="R95" s="0" t="n">
        <v>-0.00099999998928979</v>
      </c>
      <c r="T95" s="0" t="n">
        <f aca="false">IF(AND(ISNUMBER(Calculated_Ratios!C95),ISNUMBER(C95)),Calculated_Ratios!C95-C95,IF(AND(Calculated_Ratios!C95="",ISBLANK(C95)),0,"MISMATCH"))</f>
        <v>0</v>
      </c>
      <c r="U95" s="0" t="n">
        <f aca="false">IF(AND(ISNUMBER(Calculated_Ratios!D95),ISNUMBER(D95)),Calculated_Ratios!D95-D95,IF(AND(Calculated_Ratios!D95="",ISBLANK(D95)),0,"MISMATCH"))</f>
        <v>0</v>
      </c>
      <c r="V95" s="0" t="n">
        <f aca="false">IF(AND(ISNUMBER(Calculated_Ratios!E95),ISNUMBER(E95)),Calculated_Ratios!E95-E95,IF(AND(Calculated_Ratios!E95="",ISBLANK(E95)),0,"MISMATCH"))</f>
        <v>0</v>
      </c>
      <c r="W95" s="0" t="n">
        <f aca="false">IF(AND(ISNUMBER(Calculated_Ratios!F95),ISNUMBER(F95)),Calculated_Ratios!F95-F95,IF(AND(Calculated_Ratios!F95="",ISBLANK(F95)),0,"MISMATCH"))</f>
        <v>0</v>
      </c>
      <c r="X95" s="0" t="n">
        <f aca="false">IF(AND(ISNUMBER(Calculated_Ratios!G95),ISNUMBER(G95)),Calculated_Ratios!G95-G95,IF(AND(Calculated_Ratios!G95="",ISBLANK(G95)),0,"MISMATCH"))</f>
        <v>0</v>
      </c>
      <c r="Y95" s="0" t="n">
        <f aca="false">IF(AND(ISNUMBER(Calculated_Ratios!H95),ISNUMBER(H95)),Calculated_Ratios!H95-H95,IF(AND(Calculated_Ratios!H95="",ISBLANK(H95)),0,"MISMATCH"))</f>
        <v>0</v>
      </c>
      <c r="Z95" s="0" t="n">
        <f aca="false">IF(AND(ISNUMBER(Calculated_Ratios!I95),ISNUMBER(I95)),Calculated_Ratios!I95-I95,IF(AND(Calculated_Ratios!I95="",ISBLANK(I95)),0,"MISMATCH"))</f>
        <v>0</v>
      </c>
      <c r="AA95" s="0" t="n">
        <f aca="false">IF(AND(ISNUMBER(Calculated_Ratios!J95),ISNUMBER(J95)),Calculated_Ratios!J95-J95,IF(AND(Calculated_Ratios!J95="",ISBLANK(J95)),0,"MISMATCH"))</f>
        <v>0</v>
      </c>
      <c r="AB95" s="0" t="n">
        <f aca="false">IF(AND(ISNUMBER(Calculated_Ratios!K95),ISNUMBER(K95)),Calculated_Ratios!K95-K95,IF(AND(Calculated_Ratios!K95="",ISBLANK(K95)),0,"MISMATCH"))</f>
        <v>0</v>
      </c>
      <c r="AC95" s="0" t="n">
        <f aca="false">IF(AND(ISNUMBER(Calculated_Ratios!L95),ISNUMBER(L95)),Calculated_Ratios!L95-L95,IF(AND(Calculated_Ratios!L95="",ISBLANK(L95)),0,"MISMATCH"))</f>
        <v>0</v>
      </c>
      <c r="AD95" s="0" t="n">
        <f aca="false">IF(AND(ISNUMBER(Calculated_Ratios!M95),ISNUMBER(M95)),Calculated_Ratios!M95-M95,IF(AND(Calculated_Ratios!M95="",ISBLANK(M95)),0,"MISMATCH"))</f>
        <v>0</v>
      </c>
      <c r="AE95" s="0" t="n">
        <f aca="false">IF(AND(ISNUMBER(Calculated_Ratios!N95),ISNUMBER(N95)),Calculated_Ratios!N95-N95,IF(AND(Calculated_Ratios!N95="",ISBLANK(N95)),0,"MISMATCH"))</f>
        <v>0</v>
      </c>
      <c r="AF95" s="0" t="n">
        <f aca="false">IF(AND(ISNUMBER(Calculated_Ratios!O95),ISNUMBER(O95)),Calculated_Ratios!O95-O95,IF(AND(Calculated_Ratios!O95="",ISBLANK(O95)),0,"MISMATCH"))</f>
        <v>0</v>
      </c>
      <c r="AG95" s="0" t="n">
        <f aca="false">IF(AND(ISNUMBER(Calculated_Ratios!P95),ISNUMBER(P95)),Calculated_Ratios!P95-P95,IF(AND(Calculated_Ratios!P95="",ISBLANK(P95)),0,"MISMATCH"))</f>
        <v>0</v>
      </c>
      <c r="AH95" s="0" t="n">
        <f aca="false">IF(AND(ISNUMBER(Calculated_Ratios!Q95),ISNUMBER(Q95)),Calculated_Ratios!Q95-Q95,IF(AND(Calculated_Ratios!Q95="",ISBLANK(Q95)),0,"MISMATCH"))</f>
        <v>1.45519152283669E-011</v>
      </c>
      <c r="AI95" s="0" t="n">
        <f aca="false">IF(AND(ISNUMBER(Calculated_Ratios!R95),ISNUMBER(R95)),Calculated_Ratios!R95-R95,IF(AND(Calculated_Ratios!R95="",ISBLANK(R95)),0,"MISMATCH"))</f>
        <v>0</v>
      </c>
      <c r="AJ95" s="0" t="n">
        <f aca="false">IF(AND(ISNUMBER(Calculated_Ratios!S95),ISNUMBER(S95)),Calculated_Ratios!S95-S95,IF(AND(Calculated_Ratios!S95="",ISBLANK(S95)),0,"MISMATCH"))</f>
        <v>0</v>
      </c>
    </row>
    <row r="96" customFormat="false" ht="15" hidden="false" customHeight="false" outlineLevel="0" collapsed="false">
      <c r="A96" s="0" t="s">
        <v>201</v>
      </c>
      <c r="B96" s="0" t="n">
        <v>2017</v>
      </c>
      <c r="C96" s="0" t="n">
        <v>324594.0755</v>
      </c>
      <c r="D96" s="0" t="n">
        <v>-4.59587501004774</v>
      </c>
      <c r="E96" s="0" t="n">
        <v>-154.749578330623</v>
      </c>
      <c r="F96" s="0" t="n">
        <v>-2.07792979265267</v>
      </c>
      <c r="G96" s="0" t="n">
        <v>5.37685893862818</v>
      </c>
      <c r="H96" s="0" t="n">
        <v>-198.073962444475</v>
      </c>
      <c r="I96" s="0" t="n">
        <v>13.6339096552611</v>
      </c>
      <c r="N96" s="0" t="n">
        <v>-9.53183261955682</v>
      </c>
      <c r="O96" s="0" t="n">
        <v>254.749578330623</v>
      </c>
      <c r="P96" s="0" t="n">
        <v>11.9608528472042</v>
      </c>
      <c r="Q96" s="0" t="n">
        <v>0</v>
      </c>
      <c r="R96" s="0" t="n">
        <v>0</v>
      </c>
      <c r="T96" s="0" t="n">
        <f aca="false">IF(AND(ISNUMBER(Calculated_Ratios!C96),ISNUMBER(C96)),Calculated_Ratios!C96-C96,IF(AND(Calculated_Ratios!C96="",ISBLANK(C96)),0,"MISMATCH"))</f>
        <v>0</v>
      </c>
      <c r="U96" s="0" t="n">
        <f aca="false">IF(AND(ISNUMBER(Calculated_Ratios!D96),ISNUMBER(D96)),Calculated_Ratios!D96-D96,IF(AND(Calculated_Ratios!D96="",ISBLANK(D96)),0,"MISMATCH"))</f>
        <v>0</v>
      </c>
      <c r="V96" s="0" t="n">
        <f aca="false">IF(AND(ISNUMBER(Calculated_Ratios!E96),ISNUMBER(E96)),Calculated_Ratios!E96-E96,IF(AND(Calculated_Ratios!E96="",ISBLANK(E96)),0,"MISMATCH"))</f>
        <v>0</v>
      </c>
      <c r="W96" s="0" t="n">
        <f aca="false">IF(AND(ISNUMBER(Calculated_Ratios!F96),ISNUMBER(F96)),Calculated_Ratios!F96-F96,IF(AND(Calculated_Ratios!F96="",ISBLANK(F96)),0,"MISMATCH"))</f>
        <v>0</v>
      </c>
      <c r="X96" s="0" t="n">
        <f aca="false">IF(AND(ISNUMBER(Calculated_Ratios!G96),ISNUMBER(G96)),Calculated_Ratios!G96-G96,IF(AND(Calculated_Ratios!G96="",ISBLANK(G96)),0,"MISMATCH"))</f>
        <v>0</v>
      </c>
      <c r="Y96" s="0" t="n">
        <f aca="false">IF(AND(ISNUMBER(Calculated_Ratios!H96),ISNUMBER(H96)),Calculated_Ratios!H96-H96,IF(AND(Calculated_Ratios!H96="",ISBLANK(H96)),0,"MISMATCH"))</f>
        <v>0</v>
      </c>
      <c r="Z96" s="0" t="n">
        <f aca="false">IF(AND(ISNUMBER(Calculated_Ratios!I96),ISNUMBER(I96)),Calculated_Ratios!I96-I96,IF(AND(Calculated_Ratios!I96="",ISBLANK(I96)),0,"MISMATCH"))</f>
        <v>0</v>
      </c>
      <c r="AA96" s="0" t="n">
        <f aca="false">IF(AND(ISNUMBER(Calculated_Ratios!J96),ISNUMBER(J96)),Calculated_Ratios!J96-J96,IF(AND(Calculated_Ratios!J96="",ISBLANK(J96)),0,"MISMATCH"))</f>
        <v>0</v>
      </c>
      <c r="AB96" s="0" t="n">
        <f aca="false">IF(AND(ISNUMBER(Calculated_Ratios!K96),ISNUMBER(K96)),Calculated_Ratios!K96-K96,IF(AND(Calculated_Ratios!K96="",ISBLANK(K96)),0,"MISMATCH"))</f>
        <v>0</v>
      </c>
      <c r="AC96" s="0" t="n">
        <f aca="false">IF(AND(ISNUMBER(Calculated_Ratios!L96),ISNUMBER(L96)),Calculated_Ratios!L96-L96,IF(AND(Calculated_Ratios!L96="",ISBLANK(L96)),0,"MISMATCH"))</f>
        <v>0</v>
      </c>
      <c r="AD96" s="0" t="n">
        <f aca="false">IF(AND(ISNUMBER(Calculated_Ratios!M96),ISNUMBER(M96)),Calculated_Ratios!M96-M96,IF(AND(Calculated_Ratios!M96="",ISBLANK(M96)),0,"MISMATCH"))</f>
        <v>0</v>
      </c>
      <c r="AE96" s="0" t="n">
        <f aca="false">IF(AND(ISNUMBER(Calculated_Ratios!N96),ISNUMBER(N96)),Calculated_Ratios!N96-N96,IF(AND(Calculated_Ratios!N96="",ISBLANK(N96)),0,"MISMATCH"))</f>
        <v>0</v>
      </c>
      <c r="AF96" s="0" t="n">
        <f aca="false">IF(AND(ISNUMBER(Calculated_Ratios!O96),ISNUMBER(O96)),Calculated_Ratios!O96-O96,IF(AND(Calculated_Ratios!O96="",ISBLANK(O96)),0,"MISMATCH"))</f>
        <v>0</v>
      </c>
      <c r="AG96" s="0" t="n">
        <f aca="false">IF(AND(ISNUMBER(Calculated_Ratios!P96),ISNUMBER(P96)),Calculated_Ratios!P96-P96,IF(AND(Calculated_Ratios!P96="",ISBLANK(P96)),0,"MISMATCH"))</f>
        <v>0</v>
      </c>
      <c r="AH96" s="0" t="n">
        <f aca="false">IF(AND(ISNUMBER(Calculated_Ratios!Q96),ISNUMBER(Q96)),Calculated_Ratios!Q96-Q96,IF(AND(Calculated_Ratios!Q96="",ISBLANK(Q96)),0,"MISMATCH"))</f>
        <v>0</v>
      </c>
      <c r="AI96" s="0" t="n">
        <f aca="false">IF(AND(ISNUMBER(Calculated_Ratios!R96),ISNUMBER(R96)),Calculated_Ratios!R96-R96,IF(AND(Calculated_Ratios!R96="",ISBLANK(R96)),0,"MISMATCH"))</f>
        <v>0</v>
      </c>
      <c r="AJ96" s="0" t="n">
        <f aca="false">IF(AND(ISNUMBER(Calculated_Ratios!S96),ISNUMBER(S96)),Calculated_Ratios!S96-S96,IF(AND(Calculated_Ratios!S96="",ISBLANK(S96)),0,"MISMATCH"))</f>
        <v>0</v>
      </c>
    </row>
    <row r="97" customFormat="false" ht="15" hidden="false" customHeight="false" outlineLevel="0" collapsed="false">
      <c r="A97" s="0" t="s">
        <v>201</v>
      </c>
      <c r="B97" s="0" t="n">
        <v>2018</v>
      </c>
      <c r="E97" s="0" t="n">
        <v>-134.902049086227</v>
      </c>
      <c r="G97" s="0" t="n">
        <v>1.65962938154404</v>
      </c>
      <c r="N97" s="0" t="n">
        <v>-3.6505167453293</v>
      </c>
      <c r="O97" s="0" t="n">
        <v>234.902049086227</v>
      </c>
      <c r="P97" s="0" t="n">
        <v>12.258669085205</v>
      </c>
      <c r="Q97" s="0" t="n">
        <v>0</v>
      </c>
      <c r="T97" s="0" t="n">
        <f aca="false">IF(AND(ISNUMBER(Calculated_Ratios!C97),ISNUMBER(C97)),Calculated_Ratios!C97-C97,IF(AND(Calculated_Ratios!C97="",ISBLANK(C97)),0,"MISMATCH"))</f>
        <v>0</v>
      </c>
      <c r="U97" s="0" t="n">
        <f aca="false">IF(AND(ISNUMBER(Calculated_Ratios!D97),ISNUMBER(D97)),Calculated_Ratios!D97-D97,IF(AND(Calculated_Ratios!D97="",ISBLANK(D97)),0,"MISMATCH"))</f>
        <v>0</v>
      </c>
      <c r="V97" s="0" t="n">
        <f aca="false">IF(AND(ISNUMBER(Calculated_Ratios!E97),ISNUMBER(E97)),Calculated_Ratios!E97-E97,IF(AND(Calculated_Ratios!E97="",ISBLANK(E97)),0,"MISMATCH"))</f>
        <v>0</v>
      </c>
      <c r="W97" s="0" t="n">
        <f aca="false">IF(AND(ISNUMBER(Calculated_Ratios!F97),ISNUMBER(F97)),Calculated_Ratios!F97-F97,IF(AND(Calculated_Ratios!F97="",ISBLANK(F97)),0,"MISMATCH"))</f>
        <v>0</v>
      </c>
      <c r="X97" s="0" t="n">
        <f aca="false">IF(AND(ISNUMBER(Calculated_Ratios!G97),ISNUMBER(G97)),Calculated_Ratios!G97-G97,IF(AND(Calculated_Ratios!G97="",ISBLANK(G97)),0,"MISMATCH"))</f>
        <v>0</v>
      </c>
      <c r="Y97" s="0" t="n">
        <f aca="false">IF(AND(ISNUMBER(Calculated_Ratios!H97),ISNUMBER(H97)),Calculated_Ratios!H97-H97,IF(AND(Calculated_Ratios!H97="",ISBLANK(H97)),0,"MISMATCH"))</f>
        <v>0</v>
      </c>
      <c r="Z97" s="0" t="n">
        <f aca="false">IF(AND(ISNUMBER(Calculated_Ratios!I97),ISNUMBER(I97)),Calculated_Ratios!I97-I97,IF(AND(Calculated_Ratios!I97="",ISBLANK(I97)),0,"MISMATCH"))</f>
        <v>0</v>
      </c>
      <c r="AA97" s="0" t="n">
        <f aca="false">IF(AND(ISNUMBER(Calculated_Ratios!J97),ISNUMBER(J97)),Calculated_Ratios!J97-J97,IF(AND(Calculated_Ratios!J97="",ISBLANK(J97)),0,"MISMATCH"))</f>
        <v>0</v>
      </c>
      <c r="AB97" s="0" t="n">
        <f aca="false">IF(AND(ISNUMBER(Calculated_Ratios!K97),ISNUMBER(K97)),Calculated_Ratios!K97-K97,IF(AND(Calculated_Ratios!K97="",ISBLANK(K97)),0,"MISMATCH"))</f>
        <v>0</v>
      </c>
      <c r="AC97" s="0" t="n">
        <f aca="false">IF(AND(ISNUMBER(Calculated_Ratios!L97),ISNUMBER(L97)),Calculated_Ratios!L97-L97,IF(AND(Calculated_Ratios!L97="",ISBLANK(L97)),0,"MISMATCH"))</f>
        <v>0</v>
      </c>
      <c r="AD97" s="0" t="n">
        <f aca="false">IF(AND(ISNUMBER(Calculated_Ratios!M97),ISNUMBER(M97)),Calculated_Ratios!M97-M97,IF(AND(Calculated_Ratios!M97="",ISBLANK(M97)),0,"MISMATCH"))</f>
        <v>0</v>
      </c>
      <c r="AE97" s="0" t="n">
        <f aca="false">IF(AND(ISNUMBER(Calculated_Ratios!N97),ISNUMBER(N97)),Calculated_Ratios!N97-N97,IF(AND(Calculated_Ratios!N97="",ISBLANK(N97)),0,"MISMATCH"))</f>
        <v>0</v>
      </c>
      <c r="AF97" s="0" t="n">
        <f aca="false">IF(AND(ISNUMBER(Calculated_Ratios!O97),ISNUMBER(O97)),Calculated_Ratios!O97-O97,IF(AND(Calculated_Ratios!O97="",ISBLANK(O97)),0,"MISMATCH"))</f>
        <v>0</v>
      </c>
      <c r="AG97" s="0" t="n">
        <f aca="false">IF(AND(ISNUMBER(Calculated_Ratios!P97),ISNUMBER(P97)),Calculated_Ratios!P97-P97,IF(AND(Calculated_Ratios!P97="",ISBLANK(P97)),0,"MISMATCH"))</f>
        <v>0</v>
      </c>
      <c r="AH97" s="0" t="n">
        <f aca="false">IF(AND(ISNUMBER(Calculated_Ratios!Q97),ISNUMBER(Q97)),Calculated_Ratios!Q97-Q97,IF(AND(Calculated_Ratios!Q97="",ISBLANK(Q97)),0,"MISMATCH"))</f>
        <v>0</v>
      </c>
      <c r="AI97" s="0" t="n">
        <f aca="false">IF(AND(ISNUMBER(Calculated_Ratios!R97),ISNUMBER(R97)),Calculated_Ratios!R97-R97,IF(AND(Calculated_Ratios!R97="",ISBLANK(R97)),0,"MISMATCH"))</f>
        <v>0</v>
      </c>
      <c r="AJ97" s="0" t="n">
        <f aca="false">IF(AND(ISNUMBER(Calculated_Ratios!S97),ISNUMBER(S97)),Calculated_Ratios!S97-S97,IF(AND(Calculated_Ratios!S97="",ISBLANK(S97)),0,"MISMATCH"))</f>
        <v>0</v>
      </c>
    </row>
    <row r="98" customFormat="false" ht="15" hidden="false" customHeight="false" outlineLevel="0" collapsed="false">
      <c r="A98" s="0" t="s">
        <v>201</v>
      </c>
      <c r="B98" s="0" t="n">
        <v>2019</v>
      </c>
      <c r="C98" s="0" t="n">
        <v>251926.4555</v>
      </c>
      <c r="D98" s="0" t="n">
        <v>1.34292724171638</v>
      </c>
      <c r="E98" s="0" t="n">
        <v>-95.1557475775551</v>
      </c>
      <c r="F98" s="0" t="n">
        <v>-15.650465101709</v>
      </c>
      <c r="G98" s="0" t="n">
        <v>2.70880620448922</v>
      </c>
      <c r="I98" s="0" t="n">
        <v>0.762890501589262</v>
      </c>
      <c r="N98" s="0" t="n">
        <v>1.15446684952609</v>
      </c>
      <c r="O98" s="0" t="n">
        <v>195.155747577555</v>
      </c>
      <c r="P98" s="0" t="n">
        <v>12.5881055855206</v>
      </c>
      <c r="Q98" s="0" t="n">
        <v>0</v>
      </c>
      <c r="T98" s="0" t="n">
        <f aca="false">IF(AND(ISNUMBER(Calculated_Ratios!C98),ISNUMBER(C98)),Calculated_Ratios!C98-C98,IF(AND(Calculated_Ratios!C98="",ISBLANK(C98)),0,"MISMATCH"))</f>
        <v>0</v>
      </c>
      <c r="U98" s="0" t="n">
        <f aca="false">IF(AND(ISNUMBER(Calculated_Ratios!D98),ISNUMBER(D98)),Calculated_Ratios!D98-D98,IF(AND(Calculated_Ratios!D98="",ISBLANK(D98)),0,"MISMATCH"))</f>
        <v>0</v>
      </c>
      <c r="V98" s="0" t="n">
        <f aca="false">IF(AND(ISNUMBER(Calculated_Ratios!E98),ISNUMBER(E98)),Calculated_Ratios!E98-E98,IF(AND(Calculated_Ratios!E98="",ISBLANK(E98)),0,"MISMATCH"))</f>
        <v>0</v>
      </c>
      <c r="W98" s="0" t="n">
        <f aca="false">IF(AND(ISNUMBER(Calculated_Ratios!F98),ISNUMBER(F98)),Calculated_Ratios!F98-F98,IF(AND(Calculated_Ratios!F98="",ISBLANK(F98)),0,"MISMATCH"))</f>
        <v>0</v>
      </c>
      <c r="X98" s="0" t="n">
        <f aca="false">IF(AND(ISNUMBER(Calculated_Ratios!G98),ISNUMBER(G98)),Calculated_Ratios!G98-G98,IF(AND(Calculated_Ratios!G98="",ISBLANK(G98)),0,"MISMATCH"))</f>
        <v>0</v>
      </c>
      <c r="Y98" s="0" t="n">
        <f aca="false">IF(AND(ISNUMBER(Calculated_Ratios!H98),ISNUMBER(H98)),Calculated_Ratios!H98-H98,IF(AND(Calculated_Ratios!H98="",ISBLANK(H98)),0,"MISMATCH"))</f>
        <v>0</v>
      </c>
      <c r="Z98" s="0" t="n">
        <f aca="false">IF(AND(ISNUMBER(Calculated_Ratios!I98),ISNUMBER(I98)),Calculated_Ratios!I98-I98,IF(AND(Calculated_Ratios!I98="",ISBLANK(I98)),0,"MISMATCH"))</f>
        <v>0</v>
      </c>
      <c r="AA98" s="0" t="n">
        <f aca="false">IF(AND(ISNUMBER(Calculated_Ratios!J98),ISNUMBER(J98)),Calculated_Ratios!J98-J98,IF(AND(Calculated_Ratios!J98="",ISBLANK(J98)),0,"MISMATCH"))</f>
        <v>0</v>
      </c>
      <c r="AB98" s="0" t="n">
        <f aca="false">IF(AND(ISNUMBER(Calculated_Ratios!K98),ISNUMBER(K98)),Calculated_Ratios!K98-K98,IF(AND(Calculated_Ratios!K98="",ISBLANK(K98)),0,"MISMATCH"))</f>
        <v>0</v>
      </c>
      <c r="AC98" s="0" t="n">
        <f aca="false">IF(AND(ISNUMBER(Calculated_Ratios!L98),ISNUMBER(L98)),Calculated_Ratios!L98-L98,IF(AND(Calculated_Ratios!L98="",ISBLANK(L98)),0,"MISMATCH"))</f>
        <v>0</v>
      </c>
      <c r="AD98" s="0" t="n">
        <f aca="false">IF(AND(ISNUMBER(Calculated_Ratios!M98),ISNUMBER(M98)),Calculated_Ratios!M98-M98,IF(AND(Calculated_Ratios!M98="",ISBLANK(M98)),0,"MISMATCH"))</f>
        <v>0</v>
      </c>
      <c r="AE98" s="0" t="n">
        <f aca="false">IF(AND(ISNUMBER(Calculated_Ratios!N98),ISNUMBER(N98)),Calculated_Ratios!N98-N98,IF(AND(Calculated_Ratios!N98="",ISBLANK(N98)),0,"MISMATCH"))</f>
        <v>0</v>
      </c>
      <c r="AF98" s="0" t="n">
        <f aca="false">IF(AND(ISNUMBER(Calculated_Ratios!O98),ISNUMBER(O98)),Calculated_Ratios!O98-O98,IF(AND(Calculated_Ratios!O98="",ISBLANK(O98)),0,"MISMATCH"))</f>
        <v>0</v>
      </c>
      <c r="AG98" s="0" t="n">
        <f aca="false">IF(AND(ISNUMBER(Calculated_Ratios!P98),ISNUMBER(P98)),Calculated_Ratios!P98-P98,IF(AND(Calculated_Ratios!P98="",ISBLANK(P98)),0,"MISMATCH"))</f>
        <v>0</v>
      </c>
      <c r="AH98" s="0" t="n">
        <f aca="false">IF(AND(ISNUMBER(Calculated_Ratios!Q98),ISNUMBER(Q98)),Calculated_Ratios!Q98-Q98,IF(AND(Calculated_Ratios!Q98="",ISBLANK(Q98)),0,"MISMATCH"))</f>
        <v>0</v>
      </c>
      <c r="AI98" s="0" t="n">
        <f aca="false">IF(AND(ISNUMBER(Calculated_Ratios!R98),ISNUMBER(R98)),Calculated_Ratios!R98-R98,IF(AND(Calculated_Ratios!R98="",ISBLANK(R98)),0,"MISMATCH"))</f>
        <v>0</v>
      </c>
      <c r="AJ98" s="0" t="n">
        <f aca="false">IF(AND(ISNUMBER(Calculated_Ratios!S98),ISNUMBER(S98)),Calculated_Ratios!S98-S98,IF(AND(Calculated_Ratios!S98="",ISBLANK(S98)),0,"MISMATCH"))</f>
        <v>0</v>
      </c>
    </row>
    <row r="99" customFormat="false" ht="15" hidden="false" customHeight="false" outlineLevel="0" collapsed="false">
      <c r="A99" s="0" t="s">
        <v>201</v>
      </c>
      <c r="B99" s="0" t="n">
        <v>2020</v>
      </c>
      <c r="E99" s="0" t="n">
        <v>-55.9752879641686</v>
      </c>
      <c r="G99" s="0" t="n">
        <v>2.00028036103627</v>
      </c>
      <c r="N99" s="0" t="n">
        <v>0.424046096680692</v>
      </c>
      <c r="O99" s="0" t="n">
        <v>155.975287964169</v>
      </c>
      <c r="P99" s="0" t="n">
        <v>13.1062753137265</v>
      </c>
      <c r="Q99" s="0" t="n">
        <v>0</v>
      </c>
      <c r="R99" s="0" t="n">
        <v>-0.00100000001839362</v>
      </c>
      <c r="T99" s="0" t="n">
        <f aca="false">IF(AND(ISNUMBER(Calculated_Ratios!C99),ISNUMBER(C99)),Calculated_Ratios!C99-C99,IF(AND(Calculated_Ratios!C99="",ISBLANK(C99)),0,"MISMATCH"))</f>
        <v>0</v>
      </c>
      <c r="U99" s="0" t="n">
        <f aca="false">IF(AND(ISNUMBER(Calculated_Ratios!D99),ISNUMBER(D99)),Calculated_Ratios!D99-D99,IF(AND(Calculated_Ratios!D99="",ISBLANK(D99)),0,"MISMATCH"))</f>
        <v>0</v>
      </c>
      <c r="V99" s="0" t="n">
        <f aca="false">IF(AND(ISNUMBER(Calculated_Ratios!E99),ISNUMBER(E99)),Calculated_Ratios!E99-E99,IF(AND(Calculated_Ratios!E99="",ISBLANK(E99)),0,"MISMATCH"))</f>
        <v>0</v>
      </c>
      <c r="W99" s="0" t="n">
        <f aca="false">IF(AND(ISNUMBER(Calculated_Ratios!F99),ISNUMBER(F99)),Calculated_Ratios!F99-F99,IF(AND(Calculated_Ratios!F99="",ISBLANK(F99)),0,"MISMATCH"))</f>
        <v>0</v>
      </c>
      <c r="X99" s="0" t="n">
        <f aca="false">IF(AND(ISNUMBER(Calculated_Ratios!G99),ISNUMBER(G99)),Calculated_Ratios!G99-G99,IF(AND(Calculated_Ratios!G99="",ISBLANK(G99)),0,"MISMATCH"))</f>
        <v>0</v>
      </c>
      <c r="Y99" s="0" t="n">
        <f aca="false">IF(AND(ISNUMBER(Calculated_Ratios!H99),ISNUMBER(H99)),Calculated_Ratios!H99-H99,IF(AND(Calculated_Ratios!H99="",ISBLANK(H99)),0,"MISMATCH"))</f>
        <v>0</v>
      </c>
      <c r="Z99" s="0" t="n">
        <f aca="false">IF(AND(ISNUMBER(Calculated_Ratios!I99),ISNUMBER(I99)),Calculated_Ratios!I99-I99,IF(AND(Calculated_Ratios!I99="",ISBLANK(I99)),0,"MISMATCH"))</f>
        <v>0</v>
      </c>
      <c r="AA99" s="0" t="n">
        <f aca="false">IF(AND(ISNUMBER(Calculated_Ratios!J99),ISNUMBER(J99)),Calculated_Ratios!J99-J99,IF(AND(Calculated_Ratios!J99="",ISBLANK(J99)),0,"MISMATCH"))</f>
        <v>0</v>
      </c>
      <c r="AB99" s="0" t="n">
        <f aca="false">IF(AND(ISNUMBER(Calculated_Ratios!K99),ISNUMBER(K99)),Calculated_Ratios!K99-K99,IF(AND(Calculated_Ratios!K99="",ISBLANK(K99)),0,"MISMATCH"))</f>
        <v>0</v>
      </c>
      <c r="AC99" s="0" t="n">
        <f aca="false">IF(AND(ISNUMBER(Calculated_Ratios!L99),ISNUMBER(L99)),Calculated_Ratios!L99-L99,IF(AND(Calculated_Ratios!L99="",ISBLANK(L99)),0,"MISMATCH"))</f>
        <v>0</v>
      </c>
      <c r="AD99" s="0" t="n">
        <f aca="false">IF(AND(ISNUMBER(Calculated_Ratios!M99),ISNUMBER(M99)),Calculated_Ratios!M99-M99,IF(AND(Calculated_Ratios!M99="",ISBLANK(M99)),0,"MISMATCH"))</f>
        <v>0</v>
      </c>
      <c r="AE99" s="0" t="n">
        <f aca="false">IF(AND(ISNUMBER(Calculated_Ratios!N99),ISNUMBER(N99)),Calculated_Ratios!N99-N99,IF(AND(Calculated_Ratios!N99="",ISBLANK(N99)),0,"MISMATCH"))</f>
        <v>0</v>
      </c>
      <c r="AF99" s="0" t="n">
        <f aca="false">IF(AND(ISNUMBER(Calculated_Ratios!O99),ISNUMBER(O99)),Calculated_Ratios!O99-O99,IF(AND(Calculated_Ratios!O99="",ISBLANK(O99)),0,"MISMATCH"))</f>
        <v>0</v>
      </c>
      <c r="AG99" s="0" t="n">
        <f aca="false">IF(AND(ISNUMBER(Calculated_Ratios!P99),ISNUMBER(P99)),Calculated_Ratios!P99-P99,IF(AND(Calculated_Ratios!P99="",ISBLANK(P99)),0,"MISMATCH"))</f>
        <v>0</v>
      </c>
      <c r="AH99" s="0" t="n">
        <f aca="false">IF(AND(ISNUMBER(Calculated_Ratios!Q99),ISNUMBER(Q99)),Calculated_Ratios!Q99-Q99,IF(AND(Calculated_Ratios!Q99="",ISBLANK(Q99)),0,"MISMATCH"))</f>
        <v>0</v>
      </c>
      <c r="AI99" s="0" t="n">
        <f aca="false">IF(AND(ISNUMBER(Calculated_Ratios!R99),ISNUMBER(R99)),Calculated_Ratios!R99-R99,IF(AND(Calculated_Ratios!R99="",ISBLANK(R99)),0,"MISMATCH"))</f>
        <v>0</v>
      </c>
      <c r="AJ99" s="0" t="n">
        <f aca="false">IF(AND(ISNUMBER(Calculated_Ratios!S99),ISNUMBER(S99)),Calculated_Ratios!S99-S99,IF(AND(Calculated_Ratios!S99="",ISBLANK(S99)),0,"MISMATCH"))</f>
        <v>0</v>
      </c>
    </row>
    <row r="100" customFormat="false" ht="15" hidden="false" customHeight="false" outlineLevel="0" collapsed="false">
      <c r="A100" s="0" t="s">
        <v>201</v>
      </c>
      <c r="B100" s="0" t="n">
        <v>2021</v>
      </c>
      <c r="C100" s="0" t="n">
        <v>515444.542</v>
      </c>
      <c r="D100" s="0" t="n">
        <v>0.615634416786588</v>
      </c>
      <c r="E100" s="0" t="n">
        <v>-51.2468857096753</v>
      </c>
      <c r="F100" s="0" t="n">
        <v>-12.5818682158051</v>
      </c>
      <c r="G100" s="0" t="n">
        <v>1.17414648057081</v>
      </c>
      <c r="H100" s="0" t="n">
        <v>-86.1830547229477</v>
      </c>
      <c r="I100" s="0" t="n">
        <v>-0.49742053530174</v>
      </c>
      <c r="L100" s="0" t="n">
        <v>0.0388499384700419</v>
      </c>
      <c r="M100" s="0" t="n">
        <v>0.956033782379504</v>
      </c>
      <c r="N100" s="0" t="n">
        <v>0.588873259129674</v>
      </c>
      <c r="O100" s="0" t="n">
        <v>151.246885709675</v>
      </c>
      <c r="P100" s="0" t="n">
        <v>13.1972273230238</v>
      </c>
      <c r="Q100" s="0" t="n">
        <v>5.82076609134674E-011</v>
      </c>
      <c r="R100" s="0" t="n">
        <v>0</v>
      </c>
      <c r="T100" s="0" t="n">
        <f aca="false">IF(AND(ISNUMBER(Calculated_Ratios!C100),ISNUMBER(C100)),Calculated_Ratios!C100-C100,IF(AND(Calculated_Ratios!C100="",ISBLANK(C100)),0,"MISMATCH"))</f>
        <v>0</v>
      </c>
      <c r="U100" s="0" t="n">
        <f aca="false">IF(AND(ISNUMBER(Calculated_Ratios!D100),ISNUMBER(D100)),Calculated_Ratios!D100-D100,IF(AND(Calculated_Ratios!D100="",ISBLANK(D100)),0,"MISMATCH"))</f>
        <v>0</v>
      </c>
      <c r="V100" s="0" t="n">
        <f aca="false">IF(AND(ISNUMBER(Calculated_Ratios!E100),ISNUMBER(E100)),Calculated_Ratios!E100-E100,IF(AND(Calculated_Ratios!E100="",ISBLANK(E100)),0,"MISMATCH"))</f>
        <v>0</v>
      </c>
      <c r="W100" s="0" t="n">
        <f aca="false">IF(AND(ISNUMBER(Calculated_Ratios!F100),ISNUMBER(F100)),Calculated_Ratios!F100-F100,IF(AND(Calculated_Ratios!F100="",ISBLANK(F100)),0,"MISMATCH"))</f>
        <v>0</v>
      </c>
      <c r="X100" s="0" t="n">
        <f aca="false">IF(AND(ISNUMBER(Calculated_Ratios!G100),ISNUMBER(G100)),Calculated_Ratios!G100-G100,IF(AND(Calculated_Ratios!G100="",ISBLANK(G100)),0,"MISMATCH"))</f>
        <v>0</v>
      </c>
      <c r="Y100" s="0" t="n">
        <f aca="false">IF(AND(ISNUMBER(Calculated_Ratios!H100),ISNUMBER(H100)),Calculated_Ratios!H100-H100,IF(AND(Calculated_Ratios!H100="",ISBLANK(H100)),0,"MISMATCH"))</f>
        <v>0</v>
      </c>
      <c r="Z100" s="0" t="n">
        <f aca="false">IF(AND(ISNUMBER(Calculated_Ratios!I100),ISNUMBER(I100)),Calculated_Ratios!I100-I100,IF(AND(Calculated_Ratios!I100="",ISBLANK(I100)),0,"MISMATCH"))</f>
        <v>0</v>
      </c>
      <c r="AA100" s="0" t="n">
        <f aca="false">IF(AND(ISNUMBER(Calculated_Ratios!J100),ISNUMBER(J100)),Calculated_Ratios!J100-J100,IF(AND(Calculated_Ratios!J100="",ISBLANK(J100)),0,"MISMATCH"))</f>
        <v>0</v>
      </c>
      <c r="AB100" s="0" t="n">
        <f aca="false">IF(AND(ISNUMBER(Calculated_Ratios!K100),ISNUMBER(K100)),Calculated_Ratios!K100-K100,IF(AND(Calculated_Ratios!K100="",ISBLANK(K100)),0,"MISMATCH"))</f>
        <v>0</v>
      </c>
      <c r="AC100" s="0" t="n">
        <f aca="false">IF(AND(ISNUMBER(Calculated_Ratios!L100),ISNUMBER(L100)),Calculated_Ratios!L100-L100,IF(AND(Calculated_Ratios!L100="",ISBLANK(L100)),0,"MISMATCH"))</f>
        <v>0</v>
      </c>
      <c r="AD100" s="0" t="n">
        <f aca="false">IF(AND(ISNUMBER(Calculated_Ratios!M100),ISNUMBER(M100)),Calculated_Ratios!M100-M100,IF(AND(Calculated_Ratios!M100="",ISBLANK(M100)),0,"MISMATCH"))</f>
        <v>0</v>
      </c>
      <c r="AE100" s="0" t="n">
        <f aca="false">IF(AND(ISNUMBER(Calculated_Ratios!N100),ISNUMBER(N100)),Calculated_Ratios!N100-N100,IF(AND(Calculated_Ratios!N100="",ISBLANK(N100)),0,"MISMATCH"))</f>
        <v>0</v>
      </c>
      <c r="AF100" s="0" t="n">
        <f aca="false">IF(AND(ISNUMBER(Calculated_Ratios!O100),ISNUMBER(O100)),Calculated_Ratios!O100-O100,IF(AND(Calculated_Ratios!O100="",ISBLANK(O100)),0,"MISMATCH"))</f>
        <v>0</v>
      </c>
      <c r="AG100" s="0" t="n">
        <f aca="false">IF(AND(ISNUMBER(Calculated_Ratios!P100),ISNUMBER(P100)),Calculated_Ratios!P100-P100,IF(AND(Calculated_Ratios!P100="",ISBLANK(P100)),0,"MISMATCH"))</f>
        <v>0</v>
      </c>
      <c r="AH100" s="0" t="n">
        <f aca="false">IF(AND(ISNUMBER(Calculated_Ratios!Q100),ISNUMBER(Q100)),Calculated_Ratios!Q100-Q100,IF(AND(Calculated_Ratios!Q100="",ISBLANK(Q100)),0,"MISMATCH"))</f>
        <v>-5.82076609134674E-011</v>
      </c>
      <c r="AI100" s="0" t="n">
        <f aca="false">IF(AND(ISNUMBER(Calculated_Ratios!R100),ISNUMBER(R100)),Calculated_Ratios!R100-R100,IF(AND(Calculated_Ratios!R100="",ISBLANK(R100)),0,"MISMATCH"))</f>
        <v>0</v>
      </c>
      <c r="AJ100" s="0" t="n">
        <f aca="false">IF(AND(ISNUMBER(Calculated_Ratios!S100),ISNUMBER(S100)),Calculated_Ratios!S100-S100,IF(AND(Calculated_Ratios!S100="",ISBLANK(S100)),0,"MISMATCH"))</f>
        <v>0</v>
      </c>
    </row>
    <row r="101" customFormat="false" ht="15" hidden="false" customHeight="false" outlineLevel="0" collapsed="false">
      <c r="A101" s="0" t="s">
        <v>201</v>
      </c>
      <c r="B101" s="0" t="n">
        <v>2022</v>
      </c>
      <c r="C101" s="0" t="n">
        <v>524506.3575</v>
      </c>
      <c r="D101" s="0" t="n">
        <v>0.179478282110241</v>
      </c>
      <c r="E101" s="0" t="n">
        <v>-53.8961918786536</v>
      </c>
      <c r="F101" s="0" t="n">
        <v>-5.13510896767348</v>
      </c>
      <c r="G101" s="0" t="n">
        <v>1.23321968044321</v>
      </c>
      <c r="H101" s="0" t="n">
        <v>-89.6860813850715</v>
      </c>
      <c r="I101" s="0" t="n">
        <v>-0.229521908130542</v>
      </c>
      <c r="L101" s="0" t="n">
        <v>0.161434681307159</v>
      </c>
      <c r="M101" s="0" t="n">
        <v>25.7256006410785</v>
      </c>
      <c r="N101" s="0" t="n">
        <v>0.184531245228369</v>
      </c>
      <c r="O101" s="0" t="n">
        <v>153.896191878654</v>
      </c>
      <c r="P101" s="0" t="n">
        <v>13.1424482374181</v>
      </c>
      <c r="Q101" s="0" t="n">
        <v>-5.82076609134674E-011</v>
      </c>
      <c r="R101" s="0" t="n">
        <v>0</v>
      </c>
      <c r="T101" s="0" t="n">
        <f aca="false">IF(AND(ISNUMBER(Calculated_Ratios!C101),ISNUMBER(C101)),Calculated_Ratios!C101-C101,IF(AND(Calculated_Ratios!C101="",ISBLANK(C101)),0,"MISMATCH"))</f>
        <v>0</v>
      </c>
      <c r="U101" s="0" t="n">
        <f aca="false">IF(AND(ISNUMBER(Calculated_Ratios!D101),ISNUMBER(D101)),Calculated_Ratios!D101-D101,IF(AND(Calculated_Ratios!D101="",ISBLANK(D101)),0,"MISMATCH"))</f>
        <v>0</v>
      </c>
      <c r="V101" s="0" t="n">
        <f aca="false">IF(AND(ISNUMBER(Calculated_Ratios!E101),ISNUMBER(E101)),Calculated_Ratios!E101-E101,IF(AND(Calculated_Ratios!E101="",ISBLANK(E101)),0,"MISMATCH"))</f>
        <v>0</v>
      </c>
      <c r="W101" s="0" t="n">
        <f aca="false">IF(AND(ISNUMBER(Calculated_Ratios!F101),ISNUMBER(F101)),Calculated_Ratios!F101-F101,IF(AND(Calculated_Ratios!F101="",ISBLANK(F101)),0,"MISMATCH"))</f>
        <v>0</v>
      </c>
      <c r="X101" s="0" t="n">
        <f aca="false">IF(AND(ISNUMBER(Calculated_Ratios!G101),ISNUMBER(G101)),Calculated_Ratios!G101-G101,IF(AND(Calculated_Ratios!G101="",ISBLANK(G101)),0,"MISMATCH"))</f>
        <v>0</v>
      </c>
      <c r="Y101" s="0" t="n">
        <f aca="false">IF(AND(ISNUMBER(Calculated_Ratios!H101),ISNUMBER(H101)),Calculated_Ratios!H101-H101,IF(AND(Calculated_Ratios!H101="",ISBLANK(H101)),0,"MISMATCH"))</f>
        <v>0</v>
      </c>
      <c r="Z101" s="0" t="n">
        <f aca="false">IF(AND(ISNUMBER(Calculated_Ratios!I101),ISNUMBER(I101)),Calculated_Ratios!I101-I101,IF(AND(Calculated_Ratios!I101="",ISBLANK(I101)),0,"MISMATCH"))</f>
        <v>0</v>
      </c>
      <c r="AA101" s="0" t="n">
        <f aca="false">IF(AND(ISNUMBER(Calculated_Ratios!J101),ISNUMBER(J101)),Calculated_Ratios!J101-J101,IF(AND(Calculated_Ratios!J101="",ISBLANK(J101)),0,"MISMATCH"))</f>
        <v>0</v>
      </c>
      <c r="AB101" s="0" t="n">
        <f aca="false">IF(AND(ISNUMBER(Calculated_Ratios!K101),ISNUMBER(K101)),Calculated_Ratios!K101-K101,IF(AND(Calculated_Ratios!K101="",ISBLANK(K101)),0,"MISMATCH"))</f>
        <v>0</v>
      </c>
      <c r="AC101" s="0" t="n">
        <f aca="false">IF(AND(ISNUMBER(Calculated_Ratios!L101),ISNUMBER(L101)),Calculated_Ratios!L101-L101,IF(AND(Calculated_Ratios!L101="",ISBLANK(L101)),0,"MISMATCH"))</f>
        <v>0</v>
      </c>
      <c r="AD101" s="0" t="n">
        <f aca="false">IF(AND(ISNUMBER(Calculated_Ratios!M101),ISNUMBER(M101)),Calculated_Ratios!M101-M101,IF(AND(Calculated_Ratios!M101="",ISBLANK(M101)),0,"MISMATCH"))</f>
        <v>0</v>
      </c>
      <c r="AE101" s="0" t="n">
        <f aca="false">IF(AND(ISNUMBER(Calculated_Ratios!N101),ISNUMBER(N101)),Calculated_Ratios!N101-N101,IF(AND(Calculated_Ratios!N101="",ISBLANK(N101)),0,"MISMATCH"))</f>
        <v>0</v>
      </c>
      <c r="AF101" s="0" t="n">
        <f aca="false">IF(AND(ISNUMBER(Calculated_Ratios!O101),ISNUMBER(O101)),Calculated_Ratios!O101-O101,IF(AND(Calculated_Ratios!O101="",ISBLANK(O101)),0,"MISMATCH"))</f>
        <v>0</v>
      </c>
      <c r="AG101" s="0" t="n">
        <f aca="false">IF(AND(ISNUMBER(Calculated_Ratios!P101),ISNUMBER(P101)),Calculated_Ratios!P101-P101,IF(AND(Calculated_Ratios!P101="",ISBLANK(P101)),0,"MISMATCH"))</f>
        <v>0</v>
      </c>
      <c r="AH101" s="0" t="n">
        <f aca="false">IF(AND(ISNUMBER(Calculated_Ratios!Q101),ISNUMBER(Q101)),Calculated_Ratios!Q101-Q101,IF(AND(Calculated_Ratios!Q101="",ISBLANK(Q101)),0,"MISMATCH"))</f>
        <v>5.82076609134674E-011</v>
      </c>
      <c r="AI101" s="0" t="n">
        <f aca="false">IF(AND(ISNUMBER(Calculated_Ratios!R101),ISNUMBER(R101)),Calculated_Ratios!R101-R101,IF(AND(Calculated_Ratios!R101="",ISBLANK(R101)),0,"MISMATCH"))</f>
        <v>0</v>
      </c>
      <c r="AJ101" s="0" t="n">
        <f aca="false">IF(AND(ISNUMBER(Calculated_Ratios!S101),ISNUMBER(S101)),Calculated_Ratios!S101-S101,IF(AND(Calculated_Ratios!S101="",ISBLANK(S101)),0,"MISMATCH"))</f>
        <v>0</v>
      </c>
    </row>
    <row r="102" customFormat="false" ht="15" hidden="false" customHeight="false" outlineLevel="0" collapsed="false">
      <c r="A102" s="0" t="s">
        <v>211</v>
      </c>
      <c r="B102" s="0" t="n">
        <v>2013</v>
      </c>
      <c r="C102" s="0" t="n">
        <v>288288.536</v>
      </c>
      <c r="D102" s="0" t="n">
        <v>0.553796214775603</v>
      </c>
      <c r="E102" s="0" t="n">
        <v>12.5109080167518</v>
      </c>
      <c r="F102" s="0" t="n">
        <v>4.86058314854393</v>
      </c>
      <c r="I102" s="0" t="n">
        <v>-0.461213969326897</v>
      </c>
      <c r="N102" s="0" t="n">
        <v>0.482521551543385</v>
      </c>
      <c r="O102" s="0" t="n">
        <v>87.4890919832482</v>
      </c>
      <c r="P102" s="0" t="n">
        <v>12.7094883082196</v>
      </c>
      <c r="Q102" s="0" t="n">
        <v>-4.36557456851006E-011</v>
      </c>
      <c r="T102" s="0" t="n">
        <f aca="false">IF(AND(ISNUMBER(Calculated_Ratios!C102),ISNUMBER(C102)),Calculated_Ratios!C102-C102,IF(AND(Calculated_Ratios!C102="",ISBLANK(C102)),0,"MISMATCH"))</f>
        <v>0</v>
      </c>
      <c r="U102" s="0" t="n">
        <f aca="false">IF(AND(ISNUMBER(Calculated_Ratios!D102),ISNUMBER(D102)),Calculated_Ratios!D102-D102,IF(AND(Calculated_Ratios!D102="",ISBLANK(D102)),0,"MISMATCH"))</f>
        <v>0</v>
      </c>
      <c r="V102" s="0" t="n">
        <f aca="false">IF(AND(ISNUMBER(Calculated_Ratios!E102),ISNUMBER(E102)),Calculated_Ratios!E102-E102,IF(AND(Calculated_Ratios!E102="",ISBLANK(E102)),0,"MISMATCH"))</f>
        <v>0</v>
      </c>
      <c r="W102" s="0" t="n">
        <f aca="false">IF(AND(ISNUMBER(Calculated_Ratios!F102),ISNUMBER(F102)),Calculated_Ratios!F102-F102,IF(AND(Calculated_Ratios!F102="",ISBLANK(F102)),0,"MISMATCH"))</f>
        <v>0</v>
      </c>
      <c r="X102" s="0" t="n">
        <f aca="false">IF(AND(ISNUMBER(Calculated_Ratios!G102),ISNUMBER(G102)),Calculated_Ratios!G102-G102,IF(AND(Calculated_Ratios!G102="",ISBLANK(G102)),0,"MISMATCH"))</f>
        <v>0</v>
      </c>
      <c r="Y102" s="0" t="n">
        <f aca="false">IF(AND(ISNUMBER(Calculated_Ratios!H102),ISNUMBER(H102)),Calculated_Ratios!H102-H102,IF(AND(Calculated_Ratios!H102="",ISBLANK(H102)),0,"MISMATCH"))</f>
        <v>0</v>
      </c>
      <c r="Z102" s="0" t="n">
        <f aca="false">IF(AND(ISNUMBER(Calculated_Ratios!I102),ISNUMBER(I102)),Calculated_Ratios!I102-I102,IF(AND(Calculated_Ratios!I102="",ISBLANK(I102)),0,"MISMATCH"))</f>
        <v>0</v>
      </c>
      <c r="AA102" s="0" t="n">
        <f aca="false">IF(AND(ISNUMBER(Calculated_Ratios!J102),ISNUMBER(J102)),Calculated_Ratios!J102-J102,IF(AND(Calculated_Ratios!J102="",ISBLANK(J102)),0,"MISMATCH"))</f>
        <v>0</v>
      </c>
      <c r="AB102" s="0" t="n">
        <f aca="false">IF(AND(ISNUMBER(Calculated_Ratios!K102),ISNUMBER(K102)),Calculated_Ratios!K102-K102,IF(AND(Calculated_Ratios!K102="",ISBLANK(K102)),0,"MISMATCH"))</f>
        <v>0</v>
      </c>
      <c r="AC102" s="0" t="n">
        <f aca="false">IF(AND(ISNUMBER(Calculated_Ratios!L102),ISNUMBER(L102)),Calculated_Ratios!L102-L102,IF(AND(Calculated_Ratios!L102="",ISBLANK(L102)),0,"MISMATCH"))</f>
        <v>0</v>
      </c>
      <c r="AD102" s="0" t="n">
        <f aca="false">IF(AND(ISNUMBER(Calculated_Ratios!M102),ISNUMBER(M102)),Calculated_Ratios!M102-M102,IF(AND(Calculated_Ratios!M102="",ISBLANK(M102)),0,"MISMATCH"))</f>
        <v>0</v>
      </c>
      <c r="AE102" s="0" t="n">
        <f aca="false">IF(AND(ISNUMBER(Calculated_Ratios!N102),ISNUMBER(N102)),Calculated_Ratios!N102-N102,IF(AND(Calculated_Ratios!N102="",ISBLANK(N102)),0,"MISMATCH"))</f>
        <v>0</v>
      </c>
      <c r="AF102" s="0" t="n">
        <f aca="false">IF(AND(ISNUMBER(Calculated_Ratios!O102),ISNUMBER(O102)),Calculated_Ratios!O102-O102,IF(AND(Calculated_Ratios!O102="",ISBLANK(O102)),0,"MISMATCH"))</f>
        <v>0</v>
      </c>
      <c r="AG102" s="0" t="n">
        <f aca="false">IF(AND(ISNUMBER(Calculated_Ratios!P102),ISNUMBER(P102)),Calculated_Ratios!P102-P102,IF(AND(Calculated_Ratios!P102="",ISBLANK(P102)),0,"MISMATCH"))</f>
        <v>0</v>
      </c>
      <c r="AH102" s="0" t="n">
        <f aca="false">IF(AND(ISNUMBER(Calculated_Ratios!Q102),ISNUMBER(Q102)),Calculated_Ratios!Q102-Q102,IF(AND(Calculated_Ratios!Q102="",ISBLANK(Q102)),0,"MISMATCH"))</f>
        <v>4.36557456851006E-011</v>
      </c>
      <c r="AI102" s="0" t="n">
        <f aca="false">IF(AND(ISNUMBER(Calculated_Ratios!R102),ISNUMBER(R102)),Calculated_Ratios!R102-R102,IF(AND(Calculated_Ratios!R102="",ISBLANK(R102)),0,"MISMATCH"))</f>
        <v>0</v>
      </c>
      <c r="AJ102" s="0" t="n">
        <f aca="false">IF(AND(ISNUMBER(Calculated_Ratios!S102),ISNUMBER(S102)),Calculated_Ratios!S102-S102,IF(AND(Calculated_Ratios!S102="",ISBLANK(S102)),0,"MISMATCH"))</f>
        <v>0</v>
      </c>
    </row>
    <row r="103" customFormat="false" ht="15" hidden="false" customHeight="false" outlineLevel="0" collapsed="false">
      <c r="A103" s="0" t="s">
        <v>211</v>
      </c>
      <c r="B103" s="0" t="n">
        <v>2014</v>
      </c>
      <c r="E103" s="0" t="n">
        <v>11.4409202441248</v>
      </c>
      <c r="G103" s="0" t="n">
        <v>1.96869546968697</v>
      </c>
      <c r="N103" s="0" t="n">
        <v>0.620146032576257</v>
      </c>
      <c r="O103" s="0" t="n">
        <v>88.5590797558752</v>
      </c>
      <c r="P103" s="0" t="n">
        <v>12.8546468261703</v>
      </c>
      <c r="Q103" s="0" t="n">
        <v>-2.18278728425503E-011</v>
      </c>
      <c r="T103" s="0" t="n">
        <f aca="false">IF(AND(ISNUMBER(Calculated_Ratios!C103),ISNUMBER(C103)),Calculated_Ratios!C103-C103,IF(AND(Calculated_Ratios!C103="",ISBLANK(C103)),0,"MISMATCH"))</f>
        <v>0</v>
      </c>
      <c r="U103" s="0" t="n">
        <f aca="false">IF(AND(ISNUMBER(Calculated_Ratios!D103),ISNUMBER(D103)),Calculated_Ratios!D103-D103,IF(AND(Calculated_Ratios!D103="",ISBLANK(D103)),0,"MISMATCH"))</f>
        <v>0</v>
      </c>
      <c r="V103" s="0" t="n">
        <f aca="false">IF(AND(ISNUMBER(Calculated_Ratios!E103),ISNUMBER(E103)),Calculated_Ratios!E103-E103,IF(AND(Calculated_Ratios!E103="",ISBLANK(E103)),0,"MISMATCH"))</f>
        <v>0</v>
      </c>
      <c r="W103" s="0" t="n">
        <f aca="false">IF(AND(ISNUMBER(Calculated_Ratios!F103),ISNUMBER(F103)),Calculated_Ratios!F103-F103,IF(AND(Calculated_Ratios!F103="",ISBLANK(F103)),0,"MISMATCH"))</f>
        <v>0</v>
      </c>
      <c r="X103" s="0" t="n">
        <f aca="false">IF(AND(ISNUMBER(Calculated_Ratios!G103),ISNUMBER(G103)),Calculated_Ratios!G103-G103,IF(AND(Calculated_Ratios!G103="",ISBLANK(G103)),0,"MISMATCH"))</f>
        <v>0</v>
      </c>
      <c r="Y103" s="0" t="n">
        <f aca="false">IF(AND(ISNUMBER(Calculated_Ratios!H103),ISNUMBER(H103)),Calculated_Ratios!H103-H103,IF(AND(Calculated_Ratios!H103="",ISBLANK(H103)),0,"MISMATCH"))</f>
        <v>0</v>
      </c>
      <c r="Z103" s="0" t="n">
        <f aca="false">IF(AND(ISNUMBER(Calculated_Ratios!I103),ISNUMBER(I103)),Calculated_Ratios!I103-I103,IF(AND(Calculated_Ratios!I103="",ISBLANK(I103)),0,"MISMATCH"))</f>
        <v>0</v>
      </c>
      <c r="AA103" s="0" t="n">
        <f aca="false">IF(AND(ISNUMBER(Calculated_Ratios!J103),ISNUMBER(J103)),Calculated_Ratios!J103-J103,IF(AND(Calculated_Ratios!J103="",ISBLANK(J103)),0,"MISMATCH"))</f>
        <v>0</v>
      </c>
      <c r="AB103" s="0" t="n">
        <f aca="false">IF(AND(ISNUMBER(Calculated_Ratios!K103),ISNUMBER(K103)),Calculated_Ratios!K103-K103,IF(AND(Calculated_Ratios!K103="",ISBLANK(K103)),0,"MISMATCH"))</f>
        <v>0</v>
      </c>
      <c r="AC103" s="0" t="n">
        <f aca="false">IF(AND(ISNUMBER(Calculated_Ratios!L103),ISNUMBER(L103)),Calculated_Ratios!L103-L103,IF(AND(Calculated_Ratios!L103="",ISBLANK(L103)),0,"MISMATCH"))</f>
        <v>0</v>
      </c>
      <c r="AD103" s="0" t="n">
        <f aca="false">IF(AND(ISNUMBER(Calculated_Ratios!M103),ISNUMBER(M103)),Calculated_Ratios!M103-M103,IF(AND(Calculated_Ratios!M103="",ISBLANK(M103)),0,"MISMATCH"))</f>
        <v>0</v>
      </c>
      <c r="AE103" s="0" t="n">
        <f aca="false">IF(AND(ISNUMBER(Calculated_Ratios!N103),ISNUMBER(N103)),Calculated_Ratios!N103-N103,IF(AND(Calculated_Ratios!N103="",ISBLANK(N103)),0,"MISMATCH"))</f>
        <v>0</v>
      </c>
      <c r="AF103" s="0" t="n">
        <f aca="false">IF(AND(ISNUMBER(Calculated_Ratios!O103),ISNUMBER(O103)),Calculated_Ratios!O103-O103,IF(AND(Calculated_Ratios!O103="",ISBLANK(O103)),0,"MISMATCH"))</f>
        <v>0</v>
      </c>
      <c r="AG103" s="0" t="n">
        <f aca="false">IF(AND(ISNUMBER(Calculated_Ratios!P103),ISNUMBER(P103)),Calculated_Ratios!P103-P103,IF(AND(Calculated_Ratios!P103="",ISBLANK(P103)),0,"MISMATCH"))</f>
        <v>0</v>
      </c>
      <c r="AH103" s="0" t="n">
        <f aca="false">IF(AND(ISNUMBER(Calculated_Ratios!Q103),ISNUMBER(Q103)),Calculated_Ratios!Q103-Q103,IF(AND(Calculated_Ratios!Q103="",ISBLANK(Q103)),0,"MISMATCH"))</f>
        <v>2.18278728425503E-011</v>
      </c>
      <c r="AI103" s="0" t="n">
        <f aca="false">IF(AND(ISNUMBER(Calculated_Ratios!R103),ISNUMBER(R103)),Calculated_Ratios!R103-R103,IF(AND(Calculated_Ratios!R103="",ISBLANK(R103)),0,"MISMATCH"))</f>
        <v>0</v>
      </c>
      <c r="AJ103" s="0" t="n">
        <f aca="false">IF(AND(ISNUMBER(Calculated_Ratios!S103),ISNUMBER(S103)),Calculated_Ratios!S103-S103,IF(AND(Calculated_Ratios!S103="",ISBLANK(S103)),0,"MISMATCH"))</f>
        <v>0</v>
      </c>
    </row>
    <row r="104" customFormat="false" ht="15" hidden="false" customHeight="false" outlineLevel="0" collapsed="false">
      <c r="A104" s="0" t="s">
        <v>211</v>
      </c>
      <c r="B104" s="0" t="n">
        <v>2015</v>
      </c>
      <c r="C104" s="0" t="n">
        <v>389652.813</v>
      </c>
      <c r="D104" s="0" t="n">
        <v>0.583392426323893</v>
      </c>
      <c r="E104" s="0" t="n">
        <v>11.6105573489261</v>
      </c>
      <c r="F104" s="0" t="n">
        <v>3.76649994825009</v>
      </c>
      <c r="G104" s="0" t="n">
        <v>1.29044478949221</v>
      </c>
      <c r="I104" s="0" t="n">
        <v>-0.0199254303856392</v>
      </c>
      <c r="N104" s="0" t="n">
        <v>0.572966177320382</v>
      </c>
      <c r="O104" s="0" t="n">
        <v>88.3894426510739</v>
      </c>
      <c r="P104" s="0" t="n">
        <v>12.8910447863248</v>
      </c>
      <c r="Q104" s="0" t="n">
        <v>-1.45519152283669E-011</v>
      </c>
      <c r="T104" s="0" t="n">
        <f aca="false">IF(AND(ISNUMBER(Calculated_Ratios!C104),ISNUMBER(C104)),Calculated_Ratios!C104-C104,IF(AND(Calculated_Ratios!C104="",ISBLANK(C104)),0,"MISMATCH"))</f>
        <v>0</v>
      </c>
      <c r="U104" s="0" t="n">
        <f aca="false">IF(AND(ISNUMBER(Calculated_Ratios!D104),ISNUMBER(D104)),Calculated_Ratios!D104-D104,IF(AND(Calculated_Ratios!D104="",ISBLANK(D104)),0,"MISMATCH"))</f>
        <v>0</v>
      </c>
      <c r="V104" s="0" t="n">
        <f aca="false">IF(AND(ISNUMBER(Calculated_Ratios!E104),ISNUMBER(E104)),Calculated_Ratios!E104-E104,IF(AND(Calculated_Ratios!E104="",ISBLANK(E104)),0,"MISMATCH"))</f>
        <v>0</v>
      </c>
      <c r="W104" s="0" t="n">
        <f aca="false">IF(AND(ISNUMBER(Calculated_Ratios!F104),ISNUMBER(F104)),Calculated_Ratios!F104-F104,IF(AND(Calculated_Ratios!F104="",ISBLANK(F104)),0,"MISMATCH"))</f>
        <v>0</v>
      </c>
      <c r="X104" s="0" t="n">
        <f aca="false">IF(AND(ISNUMBER(Calculated_Ratios!G104),ISNUMBER(G104)),Calculated_Ratios!G104-G104,IF(AND(Calculated_Ratios!G104="",ISBLANK(G104)),0,"MISMATCH"))</f>
        <v>0</v>
      </c>
      <c r="Y104" s="0" t="n">
        <f aca="false">IF(AND(ISNUMBER(Calculated_Ratios!H104),ISNUMBER(H104)),Calculated_Ratios!H104-H104,IF(AND(Calculated_Ratios!H104="",ISBLANK(H104)),0,"MISMATCH"))</f>
        <v>0</v>
      </c>
      <c r="Z104" s="0" t="n">
        <f aca="false">IF(AND(ISNUMBER(Calculated_Ratios!I104),ISNUMBER(I104)),Calculated_Ratios!I104-I104,IF(AND(Calculated_Ratios!I104="",ISBLANK(I104)),0,"MISMATCH"))</f>
        <v>0</v>
      </c>
      <c r="AA104" s="0" t="n">
        <f aca="false">IF(AND(ISNUMBER(Calculated_Ratios!J104),ISNUMBER(J104)),Calculated_Ratios!J104-J104,IF(AND(Calculated_Ratios!J104="",ISBLANK(J104)),0,"MISMATCH"))</f>
        <v>0</v>
      </c>
      <c r="AB104" s="0" t="n">
        <f aca="false">IF(AND(ISNUMBER(Calculated_Ratios!K104),ISNUMBER(K104)),Calculated_Ratios!K104-K104,IF(AND(Calculated_Ratios!K104="",ISBLANK(K104)),0,"MISMATCH"))</f>
        <v>0</v>
      </c>
      <c r="AC104" s="0" t="n">
        <f aca="false">IF(AND(ISNUMBER(Calculated_Ratios!L104),ISNUMBER(L104)),Calculated_Ratios!L104-L104,IF(AND(Calculated_Ratios!L104="",ISBLANK(L104)),0,"MISMATCH"))</f>
        <v>0</v>
      </c>
      <c r="AD104" s="0" t="n">
        <f aca="false">IF(AND(ISNUMBER(Calculated_Ratios!M104),ISNUMBER(M104)),Calculated_Ratios!M104-M104,IF(AND(Calculated_Ratios!M104="",ISBLANK(M104)),0,"MISMATCH"))</f>
        <v>0</v>
      </c>
      <c r="AE104" s="0" t="n">
        <f aca="false">IF(AND(ISNUMBER(Calculated_Ratios!N104),ISNUMBER(N104)),Calculated_Ratios!N104-N104,IF(AND(Calculated_Ratios!N104="",ISBLANK(N104)),0,"MISMATCH"))</f>
        <v>0</v>
      </c>
      <c r="AF104" s="0" t="n">
        <f aca="false">IF(AND(ISNUMBER(Calculated_Ratios!O104),ISNUMBER(O104)),Calculated_Ratios!O104-O104,IF(AND(Calculated_Ratios!O104="",ISBLANK(O104)),0,"MISMATCH"))</f>
        <v>0</v>
      </c>
      <c r="AG104" s="0" t="n">
        <f aca="false">IF(AND(ISNUMBER(Calculated_Ratios!P104),ISNUMBER(P104)),Calculated_Ratios!P104-P104,IF(AND(Calculated_Ratios!P104="",ISBLANK(P104)),0,"MISMATCH"))</f>
        <v>0</v>
      </c>
      <c r="AH104" s="0" t="n">
        <f aca="false">IF(AND(ISNUMBER(Calculated_Ratios!Q104),ISNUMBER(Q104)),Calculated_Ratios!Q104-Q104,IF(AND(Calculated_Ratios!Q104="",ISBLANK(Q104)),0,"MISMATCH"))</f>
        <v>1.45519152283669E-011</v>
      </c>
      <c r="AI104" s="0" t="n">
        <f aca="false">IF(AND(ISNUMBER(Calculated_Ratios!R104),ISNUMBER(R104)),Calculated_Ratios!R104-R104,IF(AND(Calculated_Ratios!R104="",ISBLANK(R104)),0,"MISMATCH"))</f>
        <v>0</v>
      </c>
      <c r="AJ104" s="0" t="n">
        <f aca="false">IF(AND(ISNUMBER(Calculated_Ratios!S104),ISNUMBER(S104)),Calculated_Ratios!S104-S104,IF(AND(Calculated_Ratios!S104="",ISBLANK(S104)),0,"MISMATCH"))</f>
        <v>0</v>
      </c>
    </row>
    <row r="105" customFormat="false" ht="15" hidden="false" customHeight="false" outlineLevel="0" collapsed="false">
      <c r="A105" s="0" t="s">
        <v>211</v>
      </c>
      <c r="B105" s="0" t="n">
        <v>2016</v>
      </c>
      <c r="C105" s="0" t="n">
        <v>408982.175</v>
      </c>
      <c r="D105" s="0" t="n">
        <v>0.633719550246903</v>
      </c>
      <c r="E105" s="0" t="n">
        <v>11.5146086863525</v>
      </c>
      <c r="F105" s="0" t="n">
        <v>3.88584832578584</v>
      </c>
      <c r="I105" s="0" t="n">
        <v>0.100835934964647</v>
      </c>
      <c r="N105" s="0" t="n">
        <v>0.615306401743905</v>
      </c>
      <c r="O105" s="0" t="n">
        <v>88.4853913136475</v>
      </c>
      <c r="P105" s="0" t="n">
        <v>12.9509130010148</v>
      </c>
      <c r="Q105" s="0" t="n">
        <v>2.91038304567337E-011</v>
      </c>
      <c r="T105" s="0" t="n">
        <f aca="false">IF(AND(ISNUMBER(Calculated_Ratios!C105),ISNUMBER(C105)),Calculated_Ratios!C105-C105,IF(AND(Calculated_Ratios!C105="",ISBLANK(C105)),0,"MISMATCH"))</f>
        <v>0</v>
      </c>
      <c r="U105" s="0" t="n">
        <f aca="false">IF(AND(ISNUMBER(Calculated_Ratios!D105),ISNUMBER(D105)),Calculated_Ratios!D105-D105,IF(AND(Calculated_Ratios!D105="",ISBLANK(D105)),0,"MISMATCH"))</f>
        <v>0</v>
      </c>
      <c r="V105" s="0" t="n">
        <f aca="false">IF(AND(ISNUMBER(Calculated_Ratios!E105),ISNUMBER(E105)),Calculated_Ratios!E105-E105,IF(AND(Calculated_Ratios!E105="",ISBLANK(E105)),0,"MISMATCH"))</f>
        <v>0</v>
      </c>
      <c r="W105" s="0" t="n">
        <f aca="false">IF(AND(ISNUMBER(Calculated_Ratios!F105),ISNUMBER(F105)),Calculated_Ratios!F105-F105,IF(AND(Calculated_Ratios!F105="",ISBLANK(F105)),0,"MISMATCH"))</f>
        <v>0</v>
      </c>
      <c r="X105" s="0" t="n">
        <f aca="false">IF(AND(ISNUMBER(Calculated_Ratios!G105),ISNUMBER(G105)),Calculated_Ratios!G105-G105,IF(AND(Calculated_Ratios!G105="",ISBLANK(G105)),0,"MISMATCH"))</f>
        <v>0</v>
      </c>
      <c r="Y105" s="0" t="n">
        <f aca="false">IF(AND(ISNUMBER(Calculated_Ratios!H105),ISNUMBER(H105)),Calculated_Ratios!H105-H105,IF(AND(Calculated_Ratios!H105="",ISBLANK(H105)),0,"MISMATCH"))</f>
        <v>0</v>
      </c>
      <c r="Z105" s="0" t="n">
        <f aca="false">IF(AND(ISNUMBER(Calculated_Ratios!I105),ISNUMBER(I105)),Calculated_Ratios!I105-I105,IF(AND(Calculated_Ratios!I105="",ISBLANK(I105)),0,"MISMATCH"))</f>
        <v>0</v>
      </c>
      <c r="AA105" s="0" t="n">
        <f aca="false">IF(AND(ISNUMBER(Calculated_Ratios!J105),ISNUMBER(J105)),Calculated_Ratios!J105-J105,IF(AND(Calculated_Ratios!J105="",ISBLANK(J105)),0,"MISMATCH"))</f>
        <v>0</v>
      </c>
      <c r="AB105" s="0" t="n">
        <f aca="false">IF(AND(ISNUMBER(Calculated_Ratios!K105),ISNUMBER(K105)),Calculated_Ratios!K105-K105,IF(AND(Calculated_Ratios!K105="",ISBLANK(K105)),0,"MISMATCH"))</f>
        <v>0</v>
      </c>
      <c r="AC105" s="0" t="n">
        <f aca="false">IF(AND(ISNUMBER(Calculated_Ratios!L105),ISNUMBER(L105)),Calculated_Ratios!L105-L105,IF(AND(Calculated_Ratios!L105="",ISBLANK(L105)),0,"MISMATCH"))</f>
        <v>0</v>
      </c>
      <c r="AD105" s="0" t="n">
        <f aca="false">IF(AND(ISNUMBER(Calculated_Ratios!M105),ISNUMBER(M105)),Calculated_Ratios!M105-M105,IF(AND(Calculated_Ratios!M105="",ISBLANK(M105)),0,"MISMATCH"))</f>
        <v>0</v>
      </c>
      <c r="AE105" s="0" t="n">
        <f aca="false">IF(AND(ISNUMBER(Calculated_Ratios!N105),ISNUMBER(N105)),Calculated_Ratios!N105-N105,IF(AND(Calculated_Ratios!N105="",ISBLANK(N105)),0,"MISMATCH"))</f>
        <v>0</v>
      </c>
      <c r="AF105" s="0" t="n">
        <f aca="false">IF(AND(ISNUMBER(Calculated_Ratios!O105),ISNUMBER(O105)),Calculated_Ratios!O105-O105,IF(AND(Calculated_Ratios!O105="",ISBLANK(O105)),0,"MISMATCH"))</f>
        <v>0</v>
      </c>
      <c r="AG105" s="0" t="n">
        <f aca="false">IF(AND(ISNUMBER(Calculated_Ratios!P105),ISNUMBER(P105)),Calculated_Ratios!P105-P105,IF(AND(Calculated_Ratios!P105="",ISBLANK(P105)),0,"MISMATCH"))</f>
        <v>0</v>
      </c>
      <c r="AH105" s="0" t="n">
        <f aca="false">IF(AND(ISNUMBER(Calculated_Ratios!Q105),ISNUMBER(Q105)),Calculated_Ratios!Q105-Q105,IF(AND(Calculated_Ratios!Q105="",ISBLANK(Q105)),0,"MISMATCH"))</f>
        <v>-2.91038304567337E-011</v>
      </c>
      <c r="AI105" s="0" t="n">
        <f aca="false">IF(AND(ISNUMBER(Calculated_Ratios!R105),ISNUMBER(R105)),Calculated_Ratios!R105-R105,IF(AND(Calculated_Ratios!R105="",ISBLANK(R105)),0,"MISMATCH"))</f>
        <v>0</v>
      </c>
      <c r="AJ105" s="0" t="n">
        <f aca="false">IF(AND(ISNUMBER(Calculated_Ratios!S105),ISNUMBER(S105)),Calculated_Ratios!S105-S105,IF(AND(Calculated_Ratios!S105="",ISBLANK(S105)),0,"MISMATCH"))</f>
        <v>0</v>
      </c>
    </row>
    <row r="106" customFormat="false" ht="15" hidden="false" customHeight="false" outlineLevel="0" collapsed="false">
      <c r="A106" s="0" t="s">
        <v>211</v>
      </c>
      <c r="B106" s="0" t="n">
        <v>2017</v>
      </c>
      <c r="C106" s="0" t="n">
        <v>403000.4225</v>
      </c>
      <c r="D106" s="0" t="n">
        <v>0.57100634925513</v>
      </c>
      <c r="E106" s="0" t="n">
        <v>12.9144354349425</v>
      </c>
      <c r="F106" s="0" t="n">
        <v>-6.43943841026618</v>
      </c>
      <c r="G106" s="0" t="n">
        <v>1.92478980139368</v>
      </c>
      <c r="I106" s="0" t="n">
        <v>0.540892236905781</v>
      </c>
      <c r="N106" s="0" t="n">
        <v>0.598045413552352</v>
      </c>
      <c r="O106" s="0" t="n">
        <v>87.0855645650575</v>
      </c>
      <c r="P106" s="0" t="n">
        <v>12.8604265249833</v>
      </c>
      <c r="Q106" s="0" t="n">
        <v>1.45519152283669E-011</v>
      </c>
      <c r="S106" s="0" t="n">
        <v>26.25</v>
      </c>
      <c r="T106" s="0" t="n">
        <f aca="false">IF(AND(ISNUMBER(Calculated_Ratios!C106),ISNUMBER(C106)),Calculated_Ratios!C106-C106,IF(AND(Calculated_Ratios!C106="",ISBLANK(C106)),0,"MISMATCH"))</f>
        <v>0</v>
      </c>
      <c r="U106" s="0" t="n">
        <f aca="false">IF(AND(ISNUMBER(Calculated_Ratios!D106),ISNUMBER(D106)),Calculated_Ratios!D106-D106,IF(AND(Calculated_Ratios!D106="",ISBLANK(D106)),0,"MISMATCH"))</f>
        <v>0</v>
      </c>
      <c r="V106" s="0" t="n">
        <f aca="false">IF(AND(ISNUMBER(Calculated_Ratios!E106),ISNUMBER(E106)),Calculated_Ratios!E106-E106,IF(AND(Calculated_Ratios!E106="",ISBLANK(E106)),0,"MISMATCH"))</f>
        <v>0</v>
      </c>
      <c r="W106" s="0" t="n">
        <f aca="false">IF(AND(ISNUMBER(Calculated_Ratios!F106),ISNUMBER(F106)),Calculated_Ratios!F106-F106,IF(AND(Calculated_Ratios!F106="",ISBLANK(F106)),0,"MISMATCH"))</f>
        <v>0</v>
      </c>
      <c r="X106" s="0" t="n">
        <f aca="false">IF(AND(ISNUMBER(Calculated_Ratios!G106),ISNUMBER(G106)),Calculated_Ratios!G106-G106,IF(AND(Calculated_Ratios!G106="",ISBLANK(G106)),0,"MISMATCH"))</f>
        <v>0</v>
      </c>
      <c r="Y106" s="0" t="n">
        <f aca="false">IF(AND(ISNUMBER(Calculated_Ratios!H106),ISNUMBER(H106)),Calculated_Ratios!H106-H106,IF(AND(Calculated_Ratios!H106="",ISBLANK(H106)),0,"MISMATCH"))</f>
        <v>0</v>
      </c>
      <c r="Z106" s="0" t="n">
        <f aca="false">IF(AND(ISNUMBER(Calculated_Ratios!I106),ISNUMBER(I106)),Calculated_Ratios!I106-I106,IF(AND(Calculated_Ratios!I106="",ISBLANK(I106)),0,"MISMATCH"))</f>
        <v>0</v>
      </c>
      <c r="AA106" s="0" t="n">
        <f aca="false">IF(AND(ISNUMBER(Calculated_Ratios!J106),ISNUMBER(J106)),Calculated_Ratios!J106-J106,IF(AND(Calculated_Ratios!J106="",ISBLANK(J106)),0,"MISMATCH"))</f>
        <v>0</v>
      </c>
      <c r="AB106" s="0" t="n">
        <f aca="false">IF(AND(ISNUMBER(Calculated_Ratios!K106),ISNUMBER(K106)),Calculated_Ratios!K106-K106,IF(AND(Calculated_Ratios!K106="",ISBLANK(K106)),0,"MISMATCH"))</f>
        <v>0</v>
      </c>
      <c r="AC106" s="0" t="n">
        <f aca="false">IF(AND(ISNUMBER(Calculated_Ratios!L106),ISNUMBER(L106)),Calculated_Ratios!L106-L106,IF(AND(Calculated_Ratios!L106="",ISBLANK(L106)),0,"MISMATCH"))</f>
        <v>0</v>
      </c>
      <c r="AD106" s="0" t="n">
        <f aca="false">IF(AND(ISNUMBER(Calculated_Ratios!M106),ISNUMBER(M106)),Calculated_Ratios!M106-M106,IF(AND(Calculated_Ratios!M106="",ISBLANK(M106)),0,"MISMATCH"))</f>
        <v>0</v>
      </c>
      <c r="AE106" s="0" t="n">
        <f aca="false">IF(AND(ISNUMBER(Calculated_Ratios!N106),ISNUMBER(N106)),Calculated_Ratios!N106-N106,IF(AND(Calculated_Ratios!N106="",ISBLANK(N106)),0,"MISMATCH"))</f>
        <v>0</v>
      </c>
      <c r="AF106" s="0" t="n">
        <f aca="false">IF(AND(ISNUMBER(Calculated_Ratios!O106),ISNUMBER(O106)),Calculated_Ratios!O106-O106,IF(AND(Calculated_Ratios!O106="",ISBLANK(O106)),0,"MISMATCH"))</f>
        <v>0</v>
      </c>
      <c r="AG106" s="0" t="n">
        <f aca="false">IF(AND(ISNUMBER(Calculated_Ratios!P106),ISNUMBER(P106)),Calculated_Ratios!P106-P106,IF(AND(Calculated_Ratios!P106="",ISBLANK(P106)),0,"MISMATCH"))</f>
        <v>0</v>
      </c>
      <c r="AH106" s="0" t="n">
        <f aca="false">IF(AND(ISNUMBER(Calculated_Ratios!Q106),ISNUMBER(Q106)),Calculated_Ratios!Q106-Q106,IF(AND(Calculated_Ratios!Q106="",ISBLANK(Q106)),0,"MISMATCH"))</f>
        <v>-1.45519152283669E-011</v>
      </c>
      <c r="AI106" s="0" t="n">
        <f aca="false">IF(AND(ISNUMBER(Calculated_Ratios!R106),ISNUMBER(R106)),Calculated_Ratios!R106-R106,IF(AND(Calculated_Ratios!R106="",ISBLANK(R106)),0,"MISMATCH"))</f>
        <v>0</v>
      </c>
      <c r="AJ106" s="0" t="n">
        <f aca="false">IF(AND(ISNUMBER(Calculated_Ratios!S106),ISNUMBER(S106)),Calculated_Ratios!S106-S106,IF(AND(Calculated_Ratios!S106="",ISBLANK(S106)),0,"MISMATCH"))</f>
        <v>0</v>
      </c>
    </row>
    <row r="107" customFormat="false" ht="15" hidden="false" customHeight="false" outlineLevel="0" collapsed="false">
      <c r="A107" s="0" t="s">
        <v>211</v>
      </c>
      <c r="B107" s="0" t="n">
        <v>2018</v>
      </c>
      <c r="C107" s="0" t="n">
        <v>431347.7755</v>
      </c>
      <c r="D107" s="0" t="n">
        <v>0.778782038717156</v>
      </c>
      <c r="E107" s="0" t="n">
        <v>10.6711025643512</v>
      </c>
      <c r="F107" s="0" t="n">
        <v>11.431421419258</v>
      </c>
      <c r="G107" s="0" t="n">
        <v>3.59124409281383</v>
      </c>
      <c r="I107" s="0" t="n">
        <v>0.813853043737327</v>
      </c>
      <c r="N107" s="0" t="n">
        <v>0.70289775054114</v>
      </c>
      <c r="O107" s="0" t="n">
        <v>89.3288974356488</v>
      </c>
      <c r="P107" s="0" t="n">
        <v>13.0771897239693</v>
      </c>
      <c r="Q107" s="0" t="n">
        <v>1.45519152283669E-011</v>
      </c>
      <c r="S107" s="0" t="n">
        <v>34.64</v>
      </c>
      <c r="T107" s="0" t="n">
        <f aca="false">IF(AND(ISNUMBER(Calculated_Ratios!C107),ISNUMBER(C107)),Calculated_Ratios!C107-C107,IF(AND(Calculated_Ratios!C107="",ISBLANK(C107)),0,"MISMATCH"))</f>
        <v>0</v>
      </c>
      <c r="U107" s="0" t="n">
        <f aca="false">IF(AND(ISNUMBER(Calculated_Ratios!D107),ISNUMBER(D107)),Calculated_Ratios!D107-D107,IF(AND(Calculated_Ratios!D107="",ISBLANK(D107)),0,"MISMATCH"))</f>
        <v>0</v>
      </c>
      <c r="V107" s="0" t="n">
        <f aca="false">IF(AND(ISNUMBER(Calculated_Ratios!E107),ISNUMBER(E107)),Calculated_Ratios!E107-E107,IF(AND(Calculated_Ratios!E107="",ISBLANK(E107)),0,"MISMATCH"))</f>
        <v>0</v>
      </c>
      <c r="W107" s="0" t="n">
        <f aca="false">IF(AND(ISNUMBER(Calculated_Ratios!F107),ISNUMBER(F107)),Calculated_Ratios!F107-F107,IF(AND(Calculated_Ratios!F107="",ISBLANK(F107)),0,"MISMATCH"))</f>
        <v>0</v>
      </c>
      <c r="X107" s="0" t="n">
        <f aca="false">IF(AND(ISNUMBER(Calculated_Ratios!G107),ISNUMBER(G107)),Calculated_Ratios!G107-G107,IF(AND(Calculated_Ratios!G107="",ISBLANK(G107)),0,"MISMATCH"))</f>
        <v>0</v>
      </c>
      <c r="Y107" s="0" t="n">
        <f aca="false">IF(AND(ISNUMBER(Calculated_Ratios!H107),ISNUMBER(H107)),Calculated_Ratios!H107-H107,IF(AND(Calculated_Ratios!H107="",ISBLANK(H107)),0,"MISMATCH"))</f>
        <v>0</v>
      </c>
      <c r="Z107" s="0" t="n">
        <f aca="false">IF(AND(ISNUMBER(Calculated_Ratios!I107),ISNUMBER(I107)),Calculated_Ratios!I107-I107,IF(AND(Calculated_Ratios!I107="",ISBLANK(I107)),0,"MISMATCH"))</f>
        <v>0</v>
      </c>
      <c r="AA107" s="0" t="n">
        <f aca="false">IF(AND(ISNUMBER(Calculated_Ratios!J107),ISNUMBER(J107)),Calculated_Ratios!J107-J107,IF(AND(Calculated_Ratios!J107="",ISBLANK(J107)),0,"MISMATCH"))</f>
        <v>0</v>
      </c>
      <c r="AB107" s="0" t="n">
        <f aca="false">IF(AND(ISNUMBER(Calculated_Ratios!K107),ISNUMBER(K107)),Calculated_Ratios!K107-K107,IF(AND(Calculated_Ratios!K107="",ISBLANK(K107)),0,"MISMATCH"))</f>
        <v>0</v>
      </c>
      <c r="AC107" s="0" t="n">
        <f aca="false">IF(AND(ISNUMBER(Calculated_Ratios!L107),ISNUMBER(L107)),Calculated_Ratios!L107-L107,IF(AND(Calculated_Ratios!L107="",ISBLANK(L107)),0,"MISMATCH"))</f>
        <v>0</v>
      </c>
      <c r="AD107" s="0" t="n">
        <f aca="false">IF(AND(ISNUMBER(Calculated_Ratios!M107),ISNUMBER(M107)),Calculated_Ratios!M107-M107,IF(AND(Calculated_Ratios!M107="",ISBLANK(M107)),0,"MISMATCH"))</f>
        <v>0</v>
      </c>
      <c r="AE107" s="0" t="n">
        <f aca="false">IF(AND(ISNUMBER(Calculated_Ratios!N107),ISNUMBER(N107)),Calculated_Ratios!N107-N107,IF(AND(Calculated_Ratios!N107="",ISBLANK(N107)),0,"MISMATCH"))</f>
        <v>0</v>
      </c>
      <c r="AF107" s="0" t="n">
        <f aca="false">IF(AND(ISNUMBER(Calculated_Ratios!O107),ISNUMBER(O107)),Calculated_Ratios!O107-O107,IF(AND(Calculated_Ratios!O107="",ISBLANK(O107)),0,"MISMATCH"))</f>
        <v>0</v>
      </c>
      <c r="AG107" s="0" t="n">
        <f aca="false">IF(AND(ISNUMBER(Calculated_Ratios!P107),ISNUMBER(P107)),Calculated_Ratios!P107-P107,IF(AND(Calculated_Ratios!P107="",ISBLANK(P107)),0,"MISMATCH"))</f>
        <v>0</v>
      </c>
      <c r="AH107" s="0" t="n">
        <f aca="false">IF(AND(ISNUMBER(Calculated_Ratios!Q107),ISNUMBER(Q107)),Calculated_Ratios!Q107-Q107,IF(AND(Calculated_Ratios!Q107="",ISBLANK(Q107)),0,"MISMATCH"))</f>
        <v>-1.45519152283669E-011</v>
      </c>
      <c r="AI107" s="0" t="n">
        <f aca="false">IF(AND(ISNUMBER(Calculated_Ratios!R107),ISNUMBER(R107)),Calculated_Ratios!R107-R107,IF(AND(Calculated_Ratios!R107="",ISBLANK(R107)),0,"MISMATCH"))</f>
        <v>0</v>
      </c>
      <c r="AJ107" s="0" t="n">
        <f aca="false">IF(AND(ISNUMBER(Calculated_Ratios!S107),ISNUMBER(S107)),Calculated_Ratios!S107-S107,IF(AND(Calculated_Ratios!S107="",ISBLANK(S107)),0,"MISMATCH"))</f>
        <v>0</v>
      </c>
    </row>
    <row r="108" customFormat="false" ht="15" hidden="false" customHeight="false" outlineLevel="0" collapsed="false">
      <c r="A108" s="0" t="s">
        <v>211</v>
      </c>
      <c r="B108" s="0" t="n">
        <v>2019</v>
      </c>
      <c r="C108" s="0" t="n">
        <v>591435.673</v>
      </c>
      <c r="D108" s="0" t="n">
        <v>0.881033768823748</v>
      </c>
      <c r="E108" s="0" t="n">
        <v>7.85253010060475</v>
      </c>
      <c r="F108" s="0" t="n">
        <v>18.1559596253843</v>
      </c>
      <c r="G108" s="0" t="n">
        <v>4.02445510012529</v>
      </c>
      <c r="H108" s="0" t="n">
        <v>13.5983703502456</v>
      </c>
      <c r="I108" s="0" t="n">
        <v>1.03656243271616</v>
      </c>
      <c r="N108" s="0" t="n">
        <v>0.739159738632278</v>
      </c>
      <c r="O108" s="0" t="n">
        <v>92.1474698993953</v>
      </c>
      <c r="P108" s="0" t="n">
        <v>13.4658901067619</v>
      </c>
      <c r="Q108" s="0" t="n">
        <v>2.18278728425503E-011</v>
      </c>
      <c r="R108" s="0" t="n">
        <v>0</v>
      </c>
      <c r="T108" s="0" t="n">
        <f aca="false">IF(AND(ISNUMBER(Calculated_Ratios!C108),ISNUMBER(C108)),Calculated_Ratios!C108-C108,IF(AND(Calculated_Ratios!C108="",ISBLANK(C108)),0,"MISMATCH"))</f>
        <v>0</v>
      </c>
      <c r="U108" s="0" t="n">
        <f aca="false">IF(AND(ISNUMBER(Calculated_Ratios!D108),ISNUMBER(D108)),Calculated_Ratios!D108-D108,IF(AND(Calculated_Ratios!D108="",ISBLANK(D108)),0,"MISMATCH"))</f>
        <v>0</v>
      </c>
      <c r="V108" s="0" t="n">
        <f aca="false">IF(AND(ISNUMBER(Calculated_Ratios!E108),ISNUMBER(E108)),Calculated_Ratios!E108-E108,IF(AND(Calculated_Ratios!E108="",ISBLANK(E108)),0,"MISMATCH"))</f>
        <v>0</v>
      </c>
      <c r="W108" s="0" t="n">
        <f aca="false">IF(AND(ISNUMBER(Calculated_Ratios!F108),ISNUMBER(F108)),Calculated_Ratios!F108-F108,IF(AND(Calculated_Ratios!F108="",ISBLANK(F108)),0,"MISMATCH"))</f>
        <v>0</v>
      </c>
      <c r="X108" s="0" t="n">
        <f aca="false">IF(AND(ISNUMBER(Calculated_Ratios!G108),ISNUMBER(G108)),Calculated_Ratios!G108-G108,IF(AND(Calculated_Ratios!G108="",ISBLANK(G108)),0,"MISMATCH"))</f>
        <v>0</v>
      </c>
      <c r="Y108" s="0" t="n">
        <f aca="false">IF(AND(ISNUMBER(Calculated_Ratios!H108),ISNUMBER(H108)),Calculated_Ratios!H108-H108,IF(AND(Calculated_Ratios!H108="",ISBLANK(H108)),0,"MISMATCH"))</f>
        <v>0</v>
      </c>
      <c r="Z108" s="0" t="n">
        <f aca="false">IF(AND(ISNUMBER(Calculated_Ratios!I108),ISNUMBER(I108)),Calculated_Ratios!I108-I108,IF(AND(Calculated_Ratios!I108="",ISBLANK(I108)),0,"MISMATCH"))</f>
        <v>0</v>
      </c>
      <c r="AA108" s="0" t="n">
        <f aca="false">IF(AND(ISNUMBER(Calculated_Ratios!J108),ISNUMBER(J108)),Calculated_Ratios!J108-J108,IF(AND(Calculated_Ratios!J108="",ISBLANK(J108)),0,"MISMATCH"))</f>
        <v>0</v>
      </c>
      <c r="AB108" s="0" t="n">
        <f aca="false">IF(AND(ISNUMBER(Calculated_Ratios!K108),ISNUMBER(K108)),Calculated_Ratios!K108-K108,IF(AND(Calculated_Ratios!K108="",ISBLANK(K108)),0,"MISMATCH"))</f>
        <v>0</v>
      </c>
      <c r="AC108" s="0" t="n">
        <f aca="false">IF(AND(ISNUMBER(Calculated_Ratios!L108),ISNUMBER(L108)),Calculated_Ratios!L108-L108,IF(AND(Calculated_Ratios!L108="",ISBLANK(L108)),0,"MISMATCH"))</f>
        <v>0</v>
      </c>
      <c r="AD108" s="0" t="n">
        <f aca="false">IF(AND(ISNUMBER(Calculated_Ratios!M108),ISNUMBER(M108)),Calculated_Ratios!M108-M108,IF(AND(Calculated_Ratios!M108="",ISBLANK(M108)),0,"MISMATCH"))</f>
        <v>0</v>
      </c>
      <c r="AE108" s="0" t="n">
        <f aca="false">IF(AND(ISNUMBER(Calculated_Ratios!N108),ISNUMBER(N108)),Calculated_Ratios!N108-N108,IF(AND(Calculated_Ratios!N108="",ISBLANK(N108)),0,"MISMATCH"))</f>
        <v>0</v>
      </c>
      <c r="AF108" s="0" t="n">
        <f aca="false">IF(AND(ISNUMBER(Calculated_Ratios!O108),ISNUMBER(O108)),Calculated_Ratios!O108-O108,IF(AND(Calculated_Ratios!O108="",ISBLANK(O108)),0,"MISMATCH"))</f>
        <v>0</v>
      </c>
      <c r="AG108" s="0" t="n">
        <f aca="false">IF(AND(ISNUMBER(Calculated_Ratios!P108),ISNUMBER(P108)),Calculated_Ratios!P108-P108,IF(AND(Calculated_Ratios!P108="",ISBLANK(P108)),0,"MISMATCH"))</f>
        <v>0</v>
      </c>
      <c r="AH108" s="0" t="n">
        <f aca="false">IF(AND(ISNUMBER(Calculated_Ratios!Q108),ISNUMBER(Q108)),Calculated_Ratios!Q108-Q108,IF(AND(Calculated_Ratios!Q108="",ISBLANK(Q108)),0,"MISMATCH"))</f>
        <v>-2.18278728425503E-011</v>
      </c>
      <c r="AI108" s="0" t="n">
        <f aca="false">IF(AND(ISNUMBER(Calculated_Ratios!R108),ISNUMBER(R108)),Calculated_Ratios!R108-R108,IF(AND(Calculated_Ratios!R108="",ISBLANK(R108)),0,"MISMATCH"))</f>
        <v>0</v>
      </c>
      <c r="AJ108" s="0" t="n">
        <f aca="false">IF(AND(ISNUMBER(Calculated_Ratios!S108),ISNUMBER(S108)),Calculated_Ratios!S108-S108,IF(AND(Calculated_Ratios!S108="",ISBLANK(S108)),0,"MISMATCH"))</f>
        <v>0</v>
      </c>
    </row>
    <row r="109" customFormat="false" ht="15" hidden="false" customHeight="false" outlineLevel="0" collapsed="false">
      <c r="A109" s="0" t="s">
        <v>211</v>
      </c>
      <c r="B109" s="0" t="n">
        <v>2020</v>
      </c>
      <c r="C109" s="0" t="n">
        <v>836768.844</v>
      </c>
      <c r="D109" s="0" t="n">
        <v>0.548803535519781</v>
      </c>
      <c r="E109" s="0" t="n">
        <v>6.12780620047067</v>
      </c>
      <c r="F109" s="0" t="n">
        <v>5.59346208162597</v>
      </c>
      <c r="G109" s="0" t="n">
        <v>3.98986551976858</v>
      </c>
      <c r="H109" s="0" t="n">
        <v>15.0146762307801</v>
      </c>
      <c r="I109" s="0" t="n">
        <v>0.673443453398941</v>
      </c>
      <c r="N109" s="0" t="n">
        <v>0.474117483263298</v>
      </c>
      <c r="O109" s="0" t="n">
        <v>93.8721937995293</v>
      </c>
      <c r="P109" s="0" t="n">
        <v>13.7835885119807</v>
      </c>
      <c r="Q109" s="0" t="n">
        <v>-1.45519152283669E-011</v>
      </c>
      <c r="R109" s="0" t="n">
        <v>0.00099999998928979</v>
      </c>
      <c r="T109" s="0" t="n">
        <f aca="false">IF(AND(ISNUMBER(Calculated_Ratios!C109),ISNUMBER(C109)),Calculated_Ratios!C109-C109,IF(AND(Calculated_Ratios!C109="",ISBLANK(C109)),0,"MISMATCH"))</f>
        <v>0</v>
      </c>
      <c r="U109" s="0" t="n">
        <f aca="false">IF(AND(ISNUMBER(Calculated_Ratios!D109),ISNUMBER(D109)),Calculated_Ratios!D109-D109,IF(AND(Calculated_Ratios!D109="",ISBLANK(D109)),0,"MISMATCH"))</f>
        <v>0</v>
      </c>
      <c r="V109" s="0" t="n">
        <f aca="false">IF(AND(ISNUMBER(Calculated_Ratios!E109),ISNUMBER(E109)),Calculated_Ratios!E109-E109,IF(AND(Calculated_Ratios!E109="",ISBLANK(E109)),0,"MISMATCH"))</f>
        <v>0</v>
      </c>
      <c r="W109" s="0" t="n">
        <f aca="false">IF(AND(ISNUMBER(Calculated_Ratios!F109),ISNUMBER(F109)),Calculated_Ratios!F109-F109,IF(AND(Calculated_Ratios!F109="",ISBLANK(F109)),0,"MISMATCH"))</f>
        <v>0</v>
      </c>
      <c r="X109" s="0" t="n">
        <f aca="false">IF(AND(ISNUMBER(Calculated_Ratios!G109),ISNUMBER(G109)),Calculated_Ratios!G109-G109,IF(AND(Calculated_Ratios!G109="",ISBLANK(G109)),0,"MISMATCH"))</f>
        <v>0</v>
      </c>
      <c r="Y109" s="0" t="n">
        <f aca="false">IF(AND(ISNUMBER(Calculated_Ratios!H109),ISNUMBER(H109)),Calculated_Ratios!H109-H109,IF(AND(Calculated_Ratios!H109="",ISBLANK(H109)),0,"MISMATCH"))</f>
        <v>0</v>
      </c>
      <c r="Z109" s="0" t="n">
        <f aca="false">IF(AND(ISNUMBER(Calculated_Ratios!I109),ISNUMBER(I109)),Calculated_Ratios!I109-I109,IF(AND(Calculated_Ratios!I109="",ISBLANK(I109)),0,"MISMATCH"))</f>
        <v>0</v>
      </c>
      <c r="AA109" s="0" t="n">
        <f aca="false">IF(AND(ISNUMBER(Calculated_Ratios!J109),ISNUMBER(J109)),Calculated_Ratios!J109-J109,IF(AND(Calculated_Ratios!J109="",ISBLANK(J109)),0,"MISMATCH"))</f>
        <v>0</v>
      </c>
      <c r="AB109" s="0" t="n">
        <f aca="false">IF(AND(ISNUMBER(Calculated_Ratios!K109),ISNUMBER(K109)),Calculated_Ratios!K109-K109,IF(AND(Calculated_Ratios!K109="",ISBLANK(K109)),0,"MISMATCH"))</f>
        <v>0</v>
      </c>
      <c r="AC109" s="0" t="n">
        <f aca="false">IF(AND(ISNUMBER(Calculated_Ratios!L109),ISNUMBER(L109)),Calculated_Ratios!L109-L109,IF(AND(Calculated_Ratios!L109="",ISBLANK(L109)),0,"MISMATCH"))</f>
        <v>0</v>
      </c>
      <c r="AD109" s="0" t="n">
        <f aca="false">IF(AND(ISNUMBER(Calculated_Ratios!M109),ISNUMBER(M109)),Calculated_Ratios!M109-M109,IF(AND(Calculated_Ratios!M109="",ISBLANK(M109)),0,"MISMATCH"))</f>
        <v>0</v>
      </c>
      <c r="AE109" s="0" t="n">
        <f aca="false">IF(AND(ISNUMBER(Calculated_Ratios!N109),ISNUMBER(N109)),Calculated_Ratios!N109-N109,IF(AND(Calculated_Ratios!N109="",ISBLANK(N109)),0,"MISMATCH"))</f>
        <v>0</v>
      </c>
      <c r="AF109" s="0" t="n">
        <f aca="false">IF(AND(ISNUMBER(Calculated_Ratios!O109),ISNUMBER(O109)),Calculated_Ratios!O109-O109,IF(AND(Calculated_Ratios!O109="",ISBLANK(O109)),0,"MISMATCH"))</f>
        <v>0</v>
      </c>
      <c r="AG109" s="0" t="n">
        <f aca="false">IF(AND(ISNUMBER(Calculated_Ratios!P109),ISNUMBER(P109)),Calculated_Ratios!P109-P109,IF(AND(Calculated_Ratios!P109="",ISBLANK(P109)),0,"MISMATCH"))</f>
        <v>0</v>
      </c>
      <c r="AH109" s="0" t="n">
        <f aca="false">IF(AND(ISNUMBER(Calculated_Ratios!Q109),ISNUMBER(Q109)),Calculated_Ratios!Q109-Q109,IF(AND(Calculated_Ratios!Q109="",ISBLANK(Q109)),0,"MISMATCH"))</f>
        <v>1.45519152283669E-011</v>
      </c>
      <c r="AI109" s="0" t="n">
        <f aca="false">IF(AND(ISNUMBER(Calculated_Ratios!R109),ISNUMBER(R109)),Calculated_Ratios!R109-R109,IF(AND(Calculated_Ratios!R109="",ISBLANK(R109)),0,"MISMATCH"))</f>
        <v>0</v>
      </c>
      <c r="AJ109" s="0" t="n">
        <f aca="false">IF(AND(ISNUMBER(Calculated_Ratios!S109),ISNUMBER(S109)),Calculated_Ratios!S109-S109,IF(AND(Calculated_Ratios!S109="",ISBLANK(S109)),0,"MISMATCH"))</f>
        <v>0</v>
      </c>
    </row>
    <row r="110" customFormat="false" ht="15" hidden="false" customHeight="false" outlineLevel="0" collapsed="false">
      <c r="A110" s="0" t="s">
        <v>211</v>
      </c>
      <c r="B110" s="0" t="n">
        <v>2021</v>
      </c>
      <c r="C110" s="0" t="n">
        <v>1066549.9745</v>
      </c>
      <c r="D110" s="0" t="n">
        <v>0.837579317761261</v>
      </c>
      <c r="E110" s="0" t="n">
        <v>6.04235848283873</v>
      </c>
      <c r="F110" s="0" t="n">
        <v>0.923715553471236</v>
      </c>
      <c r="G110" s="0" t="n">
        <v>3.83138387864166</v>
      </c>
      <c r="H110" s="0" t="n">
        <v>11.5630709206163</v>
      </c>
      <c r="I110" s="0" t="n">
        <v>0.197308429076335</v>
      </c>
      <c r="J110" s="0" t="n">
        <v>78.4809495556107</v>
      </c>
      <c r="K110" s="0" t="n">
        <v>4.88192854487163</v>
      </c>
      <c r="N110" s="0" t="n">
        <v>0.767115925696855</v>
      </c>
      <c r="O110" s="0" t="n">
        <v>93.9576414312888</v>
      </c>
      <c r="P110" s="0" t="n">
        <v>13.9678177095371</v>
      </c>
      <c r="Q110" s="0" t="n">
        <v>0.000999999974737875</v>
      </c>
      <c r="R110" s="0" t="n">
        <v>0</v>
      </c>
      <c r="T110" s="0" t="n">
        <f aca="false">IF(AND(ISNUMBER(Calculated_Ratios!C110),ISNUMBER(C110)),Calculated_Ratios!C110-C110,IF(AND(Calculated_Ratios!C110="",ISBLANK(C110)),0,"MISMATCH"))</f>
        <v>0</v>
      </c>
      <c r="U110" s="0" t="n">
        <f aca="false">IF(AND(ISNUMBER(Calculated_Ratios!D110),ISNUMBER(D110)),Calculated_Ratios!D110-D110,IF(AND(Calculated_Ratios!D110="",ISBLANK(D110)),0,"MISMATCH"))</f>
        <v>0</v>
      </c>
      <c r="V110" s="0" t="n">
        <f aca="false">IF(AND(ISNUMBER(Calculated_Ratios!E110),ISNUMBER(E110)),Calculated_Ratios!E110-E110,IF(AND(Calculated_Ratios!E110="",ISBLANK(E110)),0,"MISMATCH"))</f>
        <v>0</v>
      </c>
      <c r="W110" s="0" t="n">
        <f aca="false">IF(AND(ISNUMBER(Calculated_Ratios!F110),ISNUMBER(F110)),Calculated_Ratios!F110-F110,IF(AND(Calculated_Ratios!F110="",ISBLANK(F110)),0,"MISMATCH"))</f>
        <v>0</v>
      </c>
      <c r="X110" s="0" t="n">
        <f aca="false">IF(AND(ISNUMBER(Calculated_Ratios!G110),ISNUMBER(G110)),Calculated_Ratios!G110-G110,IF(AND(Calculated_Ratios!G110="",ISBLANK(G110)),0,"MISMATCH"))</f>
        <v>0</v>
      </c>
      <c r="Y110" s="0" t="n">
        <f aca="false">IF(AND(ISNUMBER(Calculated_Ratios!H110),ISNUMBER(H110)),Calculated_Ratios!H110-H110,IF(AND(Calculated_Ratios!H110="",ISBLANK(H110)),0,"MISMATCH"))</f>
        <v>0</v>
      </c>
      <c r="Z110" s="0" t="n">
        <f aca="false">IF(AND(ISNUMBER(Calculated_Ratios!I110),ISNUMBER(I110)),Calculated_Ratios!I110-I110,IF(AND(Calculated_Ratios!I110="",ISBLANK(I110)),0,"MISMATCH"))</f>
        <v>0</v>
      </c>
      <c r="AA110" s="0" t="n">
        <f aca="false">IF(AND(ISNUMBER(Calculated_Ratios!J110),ISNUMBER(J110)),Calculated_Ratios!J110-J110,IF(AND(Calculated_Ratios!J110="",ISBLANK(J110)),0,"MISMATCH"))</f>
        <v>0</v>
      </c>
      <c r="AB110" s="0" t="n">
        <f aca="false">IF(AND(ISNUMBER(Calculated_Ratios!K110),ISNUMBER(K110)),Calculated_Ratios!K110-K110,IF(AND(Calculated_Ratios!K110="",ISBLANK(K110)),0,"MISMATCH"))</f>
        <v>0</v>
      </c>
      <c r="AC110" s="0" t="n">
        <f aca="false">IF(AND(ISNUMBER(Calculated_Ratios!L110),ISNUMBER(L110)),Calculated_Ratios!L110-L110,IF(AND(Calculated_Ratios!L110="",ISBLANK(L110)),0,"MISMATCH"))</f>
        <v>0</v>
      </c>
      <c r="AD110" s="0" t="n">
        <f aca="false">IF(AND(ISNUMBER(Calculated_Ratios!M110),ISNUMBER(M110)),Calculated_Ratios!M110-M110,IF(AND(Calculated_Ratios!M110="",ISBLANK(M110)),0,"MISMATCH"))</f>
        <v>0</v>
      </c>
      <c r="AE110" s="0" t="n">
        <f aca="false">IF(AND(ISNUMBER(Calculated_Ratios!N110),ISNUMBER(N110)),Calculated_Ratios!N110-N110,IF(AND(Calculated_Ratios!N110="",ISBLANK(N110)),0,"MISMATCH"))</f>
        <v>0</v>
      </c>
      <c r="AF110" s="0" t="n">
        <f aca="false">IF(AND(ISNUMBER(Calculated_Ratios!O110),ISNUMBER(O110)),Calculated_Ratios!O110-O110,IF(AND(Calculated_Ratios!O110="",ISBLANK(O110)),0,"MISMATCH"))</f>
        <v>0</v>
      </c>
      <c r="AG110" s="0" t="n">
        <f aca="false">IF(AND(ISNUMBER(Calculated_Ratios!P110),ISNUMBER(P110)),Calculated_Ratios!P110-P110,IF(AND(Calculated_Ratios!P110="",ISBLANK(P110)),0,"MISMATCH"))</f>
        <v>0</v>
      </c>
      <c r="AH110" s="0" t="n">
        <f aca="false">IF(AND(ISNUMBER(Calculated_Ratios!Q110),ISNUMBER(Q110)),Calculated_Ratios!Q110-Q110,IF(AND(Calculated_Ratios!Q110="",ISBLANK(Q110)),0,"MISMATCH"))</f>
        <v>0</v>
      </c>
      <c r="AI110" s="0" t="n">
        <f aca="false">IF(AND(ISNUMBER(Calculated_Ratios!R110),ISNUMBER(R110)),Calculated_Ratios!R110-R110,IF(AND(Calculated_Ratios!R110="",ISBLANK(R110)),0,"MISMATCH"))</f>
        <v>0</v>
      </c>
      <c r="AJ110" s="0" t="n">
        <f aca="false">IF(AND(ISNUMBER(Calculated_Ratios!S110),ISNUMBER(S110)),Calculated_Ratios!S110-S110,IF(AND(Calculated_Ratios!S110="",ISBLANK(S110)),0,"MISMATCH"))</f>
        <v>0</v>
      </c>
    </row>
    <row r="111" customFormat="false" ht="15" hidden="false" customHeight="false" outlineLevel="0" collapsed="false">
      <c r="A111" s="0" t="s">
        <v>211</v>
      </c>
      <c r="B111" s="0" t="n">
        <v>2022</v>
      </c>
      <c r="E111" s="0" t="n">
        <v>5.76288381871853</v>
      </c>
      <c r="G111" s="0" t="n">
        <v>3.32633443478277</v>
      </c>
      <c r="H111" s="0" t="n">
        <v>12.7374082051793</v>
      </c>
      <c r="N111" s="0" t="n">
        <v>0.782171891176373</v>
      </c>
      <c r="O111" s="0" t="n">
        <v>94.2371161812815</v>
      </c>
      <c r="P111" s="0" t="n">
        <v>14.1757716232764</v>
      </c>
      <c r="Q111" s="0" t="n">
        <v>-2.91038304567337E-011</v>
      </c>
      <c r="R111" s="0" t="n">
        <v>5.82076609134674E-011</v>
      </c>
      <c r="T111" s="0" t="n">
        <f aca="false">IF(AND(ISNUMBER(Calculated_Ratios!C111),ISNUMBER(C111)),Calculated_Ratios!C111-C111,IF(AND(Calculated_Ratios!C111="",ISBLANK(C111)),0,"MISMATCH"))</f>
        <v>0</v>
      </c>
      <c r="U111" s="0" t="n">
        <f aca="false">IF(AND(ISNUMBER(Calculated_Ratios!D111),ISNUMBER(D111)),Calculated_Ratios!D111-D111,IF(AND(Calculated_Ratios!D111="",ISBLANK(D111)),0,"MISMATCH"))</f>
        <v>0</v>
      </c>
      <c r="V111" s="0" t="n">
        <f aca="false">IF(AND(ISNUMBER(Calculated_Ratios!E111),ISNUMBER(E111)),Calculated_Ratios!E111-E111,IF(AND(Calculated_Ratios!E111="",ISBLANK(E111)),0,"MISMATCH"))</f>
        <v>0</v>
      </c>
      <c r="W111" s="0" t="n">
        <f aca="false">IF(AND(ISNUMBER(Calculated_Ratios!F111),ISNUMBER(F111)),Calculated_Ratios!F111-F111,IF(AND(Calculated_Ratios!F111="",ISBLANK(F111)),0,"MISMATCH"))</f>
        <v>0</v>
      </c>
      <c r="X111" s="0" t="n">
        <f aca="false">IF(AND(ISNUMBER(Calculated_Ratios!G111),ISNUMBER(G111)),Calculated_Ratios!G111-G111,IF(AND(Calculated_Ratios!G111="",ISBLANK(G111)),0,"MISMATCH"))</f>
        <v>0</v>
      </c>
      <c r="Y111" s="0" t="n">
        <f aca="false">IF(AND(ISNUMBER(Calculated_Ratios!H111),ISNUMBER(H111)),Calculated_Ratios!H111-H111,IF(AND(Calculated_Ratios!H111="",ISBLANK(H111)),0,"MISMATCH"))</f>
        <v>0</v>
      </c>
      <c r="Z111" s="0" t="n">
        <f aca="false">IF(AND(ISNUMBER(Calculated_Ratios!I111),ISNUMBER(I111)),Calculated_Ratios!I111-I111,IF(AND(Calculated_Ratios!I111="",ISBLANK(I111)),0,"MISMATCH"))</f>
        <v>0</v>
      </c>
      <c r="AA111" s="0" t="n">
        <f aca="false">IF(AND(ISNUMBER(Calculated_Ratios!J111),ISNUMBER(J111)),Calculated_Ratios!J111-J111,IF(AND(Calculated_Ratios!J111="",ISBLANK(J111)),0,"MISMATCH"))</f>
        <v>0</v>
      </c>
      <c r="AB111" s="0" t="n">
        <f aca="false">IF(AND(ISNUMBER(Calculated_Ratios!K111),ISNUMBER(K111)),Calculated_Ratios!K111-K111,IF(AND(Calculated_Ratios!K111="",ISBLANK(K111)),0,"MISMATCH"))</f>
        <v>0</v>
      </c>
      <c r="AC111" s="0" t="n">
        <f aca="false">IF(AND(ISNUMBER(Calculated_Ratios!L111),ISNUMBER(L111)),Calculated_Ratios!L111-L111,IF(AND(Calculated_Ratios!L111="",ISBLANK(L111)),0,"MISMATCH"))</f>
        <v>0</v>
      </c>
      <c r="AD111" s="0" t="n">
        <f aca="false">IF(AND(ISNUMBER(Calculated_Ratios!M111),ISNUMBER(M111)),Calculated_Ratios!M111-M111,IF(AND(Calculated_Ratios!M111="",ISBLANK(M111)),0,"MISMATCH"))</f>
        <v>0</v>
      </c>
      <c r="AE111" s="0" t="n">
        <f aca="false">IF(AND(ISNUMBER(Calculated_Ratios!N111),ISNUMBER(N111)),Calculated_Ratios!N111-N111,IF(AND(Calculated_Ratios!N111="",ISBLANK(N111)),0,"MISMATCH"))</f>
        <v>0</v>
      </c>
      <c r="AF111" s="0" t="n">
        <f aca="false">IF(AND(ISNUMBER(Calculated_Ratios!O111),ISNUMBER(O111)),Calculated_Ratios!O111-O111,IF(AND(Calculated_Ratios!O111="",ISBLANK(O111)),0,"MISMATCH"))</f>
        <v>0</v>
      </c>
      <c r="AG111" s="0" t="n">
        <f aca="false">IF(AND(ISNUMBER(Calculated_Ratios!P111),ISNUMBER(P111)),Calculated_Ratios!P111-P111,IF(AND(Calculated_Ratios!P111="",ISBLANK(P111)),0,"MISMATCH"))</f>
        <v>0</v>
      </c>
      <c r="AH111" s="0" t="n">
        <f aca="false">IF(AND(ISNUMBER(Calculated_Ratios!Q111),ISNUMBER(Q111)),Calculated_Ratios!Q111-Q111,IF(AND(Calculated_Ratios!Q111="",ISBLANK(Q111)),0,"MISMATCH"))</f>
        <v>2.91038304567337E-011</v>
      </c>
      <c r="AI111" s="0" t="n">
        <f aca="false">IF(AND(ISNUMBER(Calculated_Ratios!R111),ISNUMBER(R111)),Calculated_Ratios!R111-R111,IF(AND(Calculated_Ratios!R111="",ISBLANK(R111)),0,"MISMATCH"))</f>
        <v>-5.82076609134674E-011</v>
      </c>
      <c r="AJ111" s="0" t="n">
        <f aca="false">IF(AND(ISNUMBER(Calculated_Ratios!S111),ISNUMBER(S111)),Calculated_Ratios!S111-S111,IF(AND(Calculated_Ratios!S111="",ISBLANK(S111)),0,"MISMATCH"))</f>
        <v>0</v>
      </c>
    </row>
    <row r="112" customFormat="false" ht="15" hidden="false" customHeight="false" outlineLevel="0" collapsed="false">
      <c r="A112" s="0" t="s">
        <v>222</v>
      </c>
      <c r="B112" s="0" t="n">
        <v>2013</v>
      </c>
      <c r="C112" s="0" t="n">
        <v>2657789.5</v>
      </c>
      <c r="D112" s="0" t="n">
        <v>3.13847277972917</v>
      </c>
      <c r="E112" s="0" t="n">
        <v>16.4179368901095</v>
      </c>
      <c r="F112" s="0" t="n">
        <v>8.86522427754342</v>
      </c>
      <c r="G112" s="0" t="n">
        <v>1.89998415155985</v>
      </c>
      <c r="H112" s="0" t="n">
        <v>26.2189890423635</v>
      </c>
      <c r="I112" s="0" t="n">
        <v>0.372753372680568</v>
      </c>
      <c r="N112" s="0" t="n">
        <v>2.89763444729952</v>
      </c>
      <c r="O112" s="0" t="n">
        <v>83.5820631098905</v>
      </c>
      <c r="P112" s="0" t="n">
        <v>14.8728469296605</v>
      </c>
      <c r="Q112" s="0" t="n">
        <v>0</v>
      </c>
      <c r="R112" s="0" t="n">
        <v>0</v>
      </c>
      <c r="T112" s="0" t="n">
        <f aca="false">IF(AND(ISNUMBER(Calculated_Ratios!C112),ISNUMBER(C112)),Calculated_Ratios!C112-C112,IF(AND(Calculated_Ratios!C112="",ISBLANK(C112)),0,"MISMATCH"))</f>
        <v>0</v>
      </c>
      <c r="U112" s="0" t="n">
        <f aca="false">IF(AND(ISNUMBER(Calculated_Ratios!D112),ISNUMBER(D112)),Calculated_Ratios!D112-D112,IF(AND(Calculated_Ratios!D112="",ISBLANK(D112)),0,"MISMATCH"))</f>
        <v>0</v>
      </c>
      <c r="V112" s="0" t="n">
        <f aca="false">IF(AND(ISNUMBER(Calculated_Ratios!E112),ISNUMBER(E112)),Calculated_Ratios!E112-E112,IF(AND(Calculated_Ratios!E112="",ISBLANK(E112)),0,"MISMATCH"))</f>
        <v>0</v>
      </c>
      <c r="W112" s="0" t="n">
        <f aca="false">IF(AND(ISNUMBER(Calculated_Ratios!F112),ISNUMBER(F112)),Calculated_Ratios!F112-F112,IF(AND(Calculated_Ratios!F112="",ISBLANK(F112)),0,"MISMATCH"))</f>
        <v>0</v>
      </c>
      <c r="X112" s="0" t="n">
        <f aca="false">IF(AND(ISNUMBER(Calculated_Ratios!G112),ISNUMBER(G112)),Calculated_Ratios!G112-G112,IF(AND(Calculated_Ratios!G112="",ISBLANK(G112)),0,"MISMATCH"))</f>
        <v>0</v>
      </c>
      <c r="Y112" s="0" t="n">
        <f aca="false">IF(AND(ISNUMBER(Calculated_Ratios!H112),ISNUMBER(H112)),Calculated_Ratios!H112-H112,IF(AND(Calculated_Ratios!H112="",ISBLANK(H112)),0,"MISMATCH"))</f>
        <v>0</v>
      </c>
      <c r="Z112" s="0" t="n">
        <f aca="false">IF(AND(ISNUMBER(Calculated_Ratios!I112),ISNUMBER(I112)),Calculated_Ratios!I112-I112,IF(AND(Calculated_Ratios!I112="",ISBLANK(I112)),0,"MISMATCH"))</f>
        <v>0</v>
      </c>
      <c r="AA112" s="0" t="n">
        <f aca="false">IF(AND(ISNUMBER(Calculated_Ratios!J112),ISNUMBER(J112)),Calculated_Ratios!J112-J112,IF(AND(Calculated_Ratios!J112="",ISBLANK(J112)),0,"MISMATCH"))</f>
        <v>0</v>
      </c>
      <c r="AB112" s="0" t="n">
        <f aca="false">IF(AND(ISNUMBER(Calculated_Ratios!K112),ISNUMBER(K112)),Calculated_Ratios!K112-K112,IF(AND(Calculated_Ratios!K112="",ISBLANK(K112)),0,"MISMATCH"))</f>
        <v>0</v>
      </c>
      <c r="AC112" s="0" t="n">
        <f aca="false">IF(AND(ISNUMBER(Calculated_Ratios!L112),ISNUMBER(L112)),Calculated_Ratios!L112-L112,IF(AND(Calculated_Ratios!L112="",ISBLANK(L112)),0,"MISMATCH"))</f>
        <v>0</v>
      </c>
      <c r="AD112" s="0" t="n">
        <f aca="false">IF(AND(ISNUMBER(Calculated_Ratios!M112),ISNUMBER(M112)),Calculated_Ratios!M112-M112,IF(AND(Calculated_Ratios!M112="",ISBLANK(M112)),0,"MISMATCH"))</f>
        <v>0</v>
      </c>
      <c r="AE112" s="0" t="n">
        <f aca="false">IF(AND(ISNUMBER(Calculated_Ratios!N112),ISNUMBER(N112)),Calculated_Ratios!N112-N112,IF(AND(Calculated_Ratios!N112="",ISBLANK(N112)),0,"MISMATCH"))</f>
        <v>0</v>
      </c>
      <c r="AF112" s="0" t="n">
        <f aca="false">IF(AND(ISNUMBER(Calculated_Ratios!O112),ISNUMBER(O112)),Calculated_Ratios!O112-O112,IF(AND(Calculated_Ratios!O112="",ISBLANK(O112)),0,"MISMATCH"))</f>
        <v>0</v>
      </c>
      <c r="AG112" s="0" t="n">
        <f aca="false">IF(AND(ISNUMBER(Calculated_Ratios!P112),ISNUMBER(P112)),Calculated_Ratios!P112-P112,IF(AND(Calculated_Ratios!P112="",ISBLANK(P112)),0,"MISMATCH"))</f>
        <v>0</v>
      </c>
      <c r="AH112" s="0" t="n">
        <f aca="false">IF(AND(ISNUMBER(Calculated_Ratios!Q112),ISNUMBER(Q112)),Calculated_Ratios!Q112-Q112,IF(AND(Calculated_Ratios!Q112="",ISBLANK(Q112)),0,"MISMATCH"))</f>
        <v>0</v>
      </c>
      <c r="AI112" s="0" t="n">
        <f aca="false">IF(AND(ISNUMBER(Calculated_Ratios!R112),ISNUMBER(R112)),Calculated_Ratios!R112-R112,IF(AND(Calculated_Ratios!R112="",ISBLANK(R112)),0,"MISMATCH"))</f>
        <v>0</v>
      </c>
      <c r="AJ112" s="0" t="n">
        <f aca="false">IF(AND(ISNUMBER(Calculated_Ratios!S112),ISNUMBER(S112)),Calculated_Ratios!S112-S112,IF(AND(Calculated_Ratios!S112="",ISBLANK(S112)),0,"MISMATCH"))</f>
        <v>0</v>
      </c>
    </row>
    <row r="113" customFormat="false" ht="15" hidden="false" customHeight="false" outlineLevel="0" collapsed="false">
      <c r="A113" s="0" t="s">
        <v>222</v>
      </c>
      <c r="B113" s="0" t="n">
        <v>2014</v>
      </c>
      <c r="E113" s="0" t="n">
        <v>14.9747109879348</v>
      </c>
      <c r="G113" s="0" t="n">
        <v>1.57768433981219</v>
      </c>
      <c r="J113" s="0" t="n">
        <v>95.9253228310675</v>
      </c>
      <c r="K113" s="0" t="n">
        <v>1.6447005787936</v>
      </c>
      <c r="N113" s="0" t="n">
        <v>2.70104815704335</v>
      </c>
      <c r="O113" s="0" t="n">
        <v>85.0252890120652</v>
      </c>
      <c r="P113" s="0" t="n">
        <v>15.046267152697</v>
      </c>
      <c r="Q113" s="0" t="n">
        <v>0</v>
      </c>
      <c r="T113" s="0" t="n">
        <f aca="false">IF(AND(ISNUMBER(Calculated_Ratios!C113),ISNUMBER(C113)),Calculated_Ratios!C113-C113,IF(AND(Calculated_Ratios!C113="",ISBLANK(C113)),0,"MISMATCH"))</f>
        <v>0</v>
      </c>
      <c r="U113" s="0" t="n">
        <f aca="false">IF(AND(ISNUMBER(Calculated_Ratios!D113),ISNUMBER(D113)),Calculated_Ratios!D113-D113,IF(AND(Calculated_Ratios!D113="",ISBLANK(D113)),0,"MISMATCH"))</f>
        <v>0</v>
      </c>
      <c r="V113" s="0" t="n">
        <f aca="false">IF(AND(ISNUMBER(Calculated_Ratios!E113),ISNUMBER(E113)),Calculated_Ratios!E113-E113,IF(AND(Calculated_Ratios!E113="",ISBLANK(E113)),0,"MISMATCH"))</f>
        <v>0</v>
      </c>
      <c r="W113" s="0" t="n">
        <f aca="false">IF(AND(ISNUMBER(Calculated_Ratios!F113),ISNUMBER(F113)),Calculated_Ratios!F113-F113,IF(AND(Calculated_Ratios!F113="",ISBLANK(F113)),0,"MISMATCH"))</f>
        <v>0</v>
      </c>
      <c r="X113" s="0" t="n">
        <f aca="false">IF(AND(ISNUMBER(Calculated_Ratios!G113),ISNUMBER(G113)),Calculated_Ratios!G113-G113,IF(AND(Calculated_Ratios!G113="",ISBLANK(G113)),0,"MISMATCH"))</f>
        <v>0</v>
      </c>
      <c r="Y113" s="0" t="n">
        <f aca="false">IF(AND(ISNUMBER(Calculated_Ratios!H113),ISNUMBER(H113)),Calculated_Ratios!H113-H113,IF(AND(Calculated_Ratios!H113="",ISBLANK(H113)),0,"MISMATCH"))</f>
        <v>0</v>
      </c>
      <c r="Z113" s="0" t="n">
        <f aca="false">IF(AND(ISNUMBER(Calculated_Ratios!I113),ISNUMBER(I113)),Calculated_Ratios!I113-I113,IF(AND(Calculated_Ratios!I113="",ISBLANK(I113)),0,"MISMATCH"))</f>
        <v>0</v>
      </c>
      <c r="AA113" s="0" t="n">
        <f aca="false">IF(AND(ISNUMBER(Calculated_Ratios!J113),ISNUMBER(J113)),Calculated_Ratios!J113-J113,IF(AND(Calculated_Ratios!J113="",ISBLANK(J113)),0,"MISMATCH"))</f>
        <v>0</v>
      </c>
      <c r="AB113" s="0" t="n">
        <f aca="false">IF(AND(ISNUMBER(Calculated_Ratios!K113),ISNUMBER(K113)),Calculated_Ratios!K113-K113,IF(AND(Calculated_Ratios!K113="",ISBLANK(K113)),0,"MISMATCH"))</f>
        <v>0</v>
      </c>
      <c r="AC113" s="0" t="n">
        <f aca="false">IF(AND(ISNUMBER(Calculated_Ratios!L113),ISNUMBER(L113)),Calculated_Ratios!L113-L113,IF(AND(Calculated_Ratios!L113="",ISBLANK(L113)),0,"MISMATCH"))</f>
        <v>0</v>
      </c>
      <c r="AD113" s="0" t="n">
        <f aca="false">IF(AND(ISNUMBER(Calculated_Ratios!M113),ISNUMBER(M113)),Calculated_Ratios!M113-M113,IF(AND(Calculated_Ratios!M113="",ISBLANK(M113)),0,"MISMATCH"))</f>
        <v>0</v>
      </c>
      <c r="AE113" s="0" t="n">
        <f aca="false">IF(AND(ISNUMBER(Calculated_Ratios!N113),ISNUMBER(N113)),Calculated_Ratios!N113-N113,IF(AND(Calculated_Ratios!N113="",ISBLANK(N113)),0,"MISMATCH"))</f>
        <v>0</v>
      </c>
      <c r="AF113" s="0" t="n">
        <f aca="false">IF(AND(ISNUMBER(Calculated_Ratios!O113),ISNUMBER(O113)),Calculated_Ratios!O113-O113,IF(AND(Calculated_Ratios!O113="",ISBLANK(O113)),0,"MISMATCH"))</f>
        <v>0</v>
      </c>
      <c r="AG113" s="0" t="n">
        <f aca="false">IF(AND(ISNUMBER(Calculated_Ratios!P113),ISNUMBER(P113)),Calculated_Ratios!P113-P113,IF(AND(Calculated_Ratios!P113="",ISBLANK(P113)),0,"MISMATCH"))</f>
        <v>0</v>
      </c>
      <c r="AH113" s="0" t="n">
        <f aca="false">IF(AND(ISNUMBER(Calculated_Ratios!Q113),ISNUMBER(Q113)),Calculated_Ratios!Q113-Q113,IF(AND(Calculated_Ratios!Q113="",ISBLANK(Q113)),0,"MISMATCH"))</f>
        <v>0</v>
      </c>
      <c r="AI113" s="0" t="n">
        <f aca="false">IF(AND(ISNUMBER(Calculated_Ratios!R113),ISNUMBER(R113)),Calculated_Ratios!R113-R113,IF(AND(Calculated_Ratios!R113="",ISBLANK(R113)),0,"MISMATCH"))</f>
        <v>0</v>
      </c>
      <c r="AJ113" s="0" t="n">
        <f aca="false">IF(AND(ISNUMBER(Calculated_Ratios!S113),ISNUMBER(S113)),Calculated_Ratios!S113-S113,IF(AND(Calculated_Ratios!S113="",ISBLANK(S113)),0,"MISMATCH"))</f>
        <v>0</v>
      </c>
    </row>
    <row r="114" customFormat="false" ht="15" hidden="false" customHeight="false" outlineLevel="0" collapsed="false">
      <c r="A114" s="0" t="s">
        <v>222</v>
      </c>
      <c r="B114" s="0" t="n">
        <v>2015</v>
      </c>
      <c r="C114" s="0" t="n">
        <v>3587073</v>
      </c>
      <c r="D114" s="0" t="n">
        <v>2.75388875553968</v>
      </c>
      <c r="E114" s="0" t="n">
        <v>14.5839549457954</v>
      </c>
      <c r="F114" s="0" t="n">
        <v>-11.580360923795</v>
      </c>
      <c r="G114" s="0" t="n">
        <v>1.89480731757652</v>
      </c>
      <c r="I114" s="0" t="n">
        <v>0.309193596004319</v>
      </c>
      <c r="J114" s="0" t="n">
        <v>115.694340967251</v>
      </c>
      <c r="K114" s="0" t="n">
        <v>1.63777009466079</v>
      </c>
      <c r="N114" s="0" t="n">
        <v>2.63401031430059</v>
      </c>
      <c r="O114" s="0" t="n">
        <v>85.4160450542046</v>
      </c>
      <c r="P114" s="0" t="n">
        <v>15.1373535941449</v>
      </c>
      <c r="Q114" s="0" t="n">
        <v>0</v>
      </c>
      <c r="T114" s="0" t="n">
        <f aca="false">IF(AND(ISNUMBER(Calculated_Ratios!C114),ISNUMBER(C114)),Calculated_Ratios!C114-C114,IF(AND(Calculated_Ratios!C114="",ISBLANK(C114)),0,"MISMATCH"))</f>
        <v>0</v>
      </c>
      <c r="U114" s="0" t="n">
        <f aca="false">IF(AND(ISNUMBER(Calculated_Ratios!D114),ISNUMBER(D114)),Calculated_Ratios!D114-D114,IF(AND(Calculated_Ratios!D114="",ISBLANK(D114)),0,"MISMATCH"))</f>
        <v>0</v>
      </c>
      <c r="V114" s="0" t="n">
        <f aca="false">IF(AND(ISNUMBER(Calculated_Ratios!E114),ISNUMBER(E114)),Calculated_Ratios!E114-E114,IF(AND(Calculated_Ratios!E114="",ISBLANK(E114)),0,"MISMATCH"))</f>
        <v>0</v>
      </c>
      <c r="W114" s="0" t="n">
        <f aca="false">IF(AND(ISNUMBER(Calculated_Ratios!F114),ISNUMBER(F114)),Calculated_Ratios!F114-F114,IF(AND(Calculated_Ratios!F114="",ISBLANK(F114)),0,"MISMATCH"))</f>
        <v>0</v>
      </c>
      <c r="X114" s="0" t="n">
        <f aca="false">IF(AND(ISNUMBER(Calculated_Ratios!G114),ISNUMBER(G114)),Calculated_Ratios!G114-G114,IF(AND(Calculated_Ratios!G114="",ISBLANK(G114)),0,"MISMATCH"))</f>
        <v>0</v>
      </c>
      <c r="Y114" s="0" t="n">
        <f aca="false">IF(AND(ISNUMBER(Calculated_Ratios!H114),ISNUMBER(H114)),Calculated_Ratios!H114-H114,IF(AND(Calculated_Ratios!H114="",ISBLANK(H114)),0,"MISMATCH"))</f>
        <v>0</v>
      </c>
      <c r="Z114" s="0" t="n">
        <f aca="false">IF(AND(ISNUMBER(Calculated_Ratios!I114),ISNUMBER(I114)),Calculated_Ratios!I114-I114,IF(AND(Calculated_Ratios!I114="",ISBLANK(I114)),0,"MISMATCH"))</f>
        <v>0</v>
      </c>
      <c r="AA114" s="0" t="n">
        <f aca="false">IF(AND(ISNUMBER(Calculated_Ratios!J114),ISNUMBER(J114)),Calculated_Ratios!J114-J114,IF(AND(Calculated_Ratios!J114="",ISBLANK(J114)),0,"MISMATCH"))</f>
        <v>0</v>
      </c>
      <c r="AB114" s="0" t="n">
        <f aca="false">IF(AND(ISNUMBER(Calculated_Ratios!K114),ISNUMBER(K114)),Calculated_Ratios!K114-K114,IF(AND(Calculated_Ratios!K114="",ISBLANK(K114)),0,"MISMATCH"))</f>
        <v>0</v>
      </c>
      <c r="AC114" s="0" t="n">
        <f aca="false">IF(AND(ISNUMBER(Calculated_Ratios!L114),ISNUMBER(L114)),Calculated_Ratios!L114-L114,IF(AND(Calculated_Ratios!L114="",ISBLANK(L114)),0,"MISMATCH"))</f>
        <v>0</v>
      </c>
      <c r="AD114" s="0" t="n">
        <f aca="false">IF(AND(ISNUMBER(Calculated_Ratios!M114),ISNUMBER(M114)),Calculated_Ratios!M114-M114,IF(AND(Calculated_Ratios!M114="",ISBLANK(M114)),0,"MISMATCH"))</f>
        <v>0</v>
      </c>
      <c r="AE114" s="0" t="n">
        <f aca="false">IF(AND(ISNUMBER(Calculated_Ratios!N114),ISNUMBER(N114)),Calculated_Ratios!N114-N114,IF(AND(Calculated_Ratios!N114="",ISBLANK(N114)),0,"MISMATCH"))</f>
        <v>0</v>
      </c>
      <c r="AF114" s="0" t="n">
        <f aca="false">IF(AND(ISNUMBER(Calculated_Ratios!O114),ISNUMBER(O114)),Calculated_Ratios!O114-O114,IF(AND(Calculated_Ratios!O114="",ISBLANK(O114)),0,"MISMATCH"))</f>
        <v>0</v>
      </c>
      <c r="AG114" s="0" t="n">
        <f aca="false">IF(AND(ISNUMBER(Calculated_Ratios!P114),ISNUMBER(P114)),Calculated_Ratios!P114-P114,IF(AND(Calculated_Ratios!P114="",ISBLANK(P114)),0,"MISMATCH"))</f>
        <v>0</v>
      </c>
      <c r="AH114" s="0" t="n">
        <f aca="false">IF(AND(ISNUMBER(Calculated_Ratios!Q114),ISNUMBER(Q114)),Calculated_Ratios!Q114-Q114,IF(AND(Calculated_Ratios!Q114="",ISBLANK(Q114)),0,"MISMATCH"))</f>
        <v>0</v>
      </c>
      <c r="AI114" s="0" t="n">
        <f aca="false">IF(AND(ISNUMBER(Calculated_Ratios!R114),ISNUMBER(R114)),Calculated_Ratios!R114-R114,IF(AND(Calculated_Ratios!R114="",ISBLANK(R114)),0,"MISMATCH"))</f>
        <v>0</v>
      </c>
      <c r="AJ114" s="0" t="n">
        <f aca="false">IF(AND(ISNUMBER(Calculated_Ratios!S114),ISNUMBER(S114)),Calculated_Ratios!S114-S114,IF(AND(Calculated_Ratios!S114="",ISBLANK(S114)),0,"MISMATCH"))</f>
        <v>0</v>
      </c>
    </row>
    <row r="115" customFormat="false" ht="15" hidden="false" customHeight="false" outlineLevel="0" collapsed="false">
      <c r="A115" s="0" t="s">
        <v>222</v>
      </c>
      <c r="B115" s="0" t="n">
        <v>2016</v>
      </c>
      <c r="C115" s="0" t="n">
        <v>4017031.5</v>
      </c>
      <c r="D115" s="0" t="n">
        <v>2.96948131972577</v>
      </c>
      <c r="E115" s="0" t="n">
        <v>14.3882115984739</v>
      </c>
      <c r="F115" s="0" t="n">
        <v>-2.61180426391976</v>
      </c>
      <c r="G115" s="0" t="n">
        <v>2.51191852724574</v>
      </c>
      <c r="H115" s="0" t="n">
        <v>21.5372909763347</v>
      </c>
      <c r="I115" s="0" t="n">
        <v>0.654587846771926</v>
      </c>
      <c r="J115" s="0" t="n">
        <v>95.6840405022839</v>
      </c>
      <c r="K115" s="0" t="n">
        <v>2.6252220475428</v>
      </c>
      <c r="N115" s="0" t="n">
        <v>2.78460203896785</v>
      </c>
      <c r="O115" s="0" t="n">
        <v>85.6117884015261</v>
      </c>
      <c r="P115" s="0" t="n">
        <v>15.270336084001</v>
      </c>
      <c r="Q115" s="0" t="n">
        <v>0</v>
      </c>
      <c r="R115" s="0" t="n">
        <v>0</v>
      </c>
      <c r="T115" s="0" t="n">
        <f aca="false">IF(AND(ISNUMBER(Calculated_Ratios!C115),ISNUMBER(C115)),Calculated_Ratios!C115-C115,IF(AND(Calculated_Ratios!C115="",ISBLANK(C115)),0,"MISMATCH"))</f>
        <v>0</v>
      </c>
      <c r="U115" s="0" t="n">
        <f aca="false">IF(AND(ISNUMBER(Calculated_Ratios!D115),ISNUMBER(D115)),Calculated_Ratios!D115-D115,IF(AND(Calculated_Ratios!D115="",ISBLANK(D115)),0,"MISMATCH"))</f>
        <v>0</v>
      </c>
      <c r="V115" s="0" t="n">
        <f aca="false">IF(AND(ISNUMBER(Calculated_Ratios!E115),ISNUMBER(E115)),Calculated_Ratios!E115-E115,IF(AND(Calculated_Ratios!E115="",ISBLANK(E115)),0,"MISMATCH"))</f>
        <v>0</v>
      </c>
      <c r="W115" s="0" t="n">
        <f aca="false">IF(AND(ISNUMBER(Calculated_Ratios!F115),ISNUMBER(F115)),Calculated_Ratios!F115-F115,IF(AND(Calculated_Ratios!F115="",ISBLANK(F115)),0,"MISMATCH"))</f>
        <v>0</v>
      </c>
      <c r="X115" s="0" t="n">
        <f aca="false">IF(AND(ISNUMBER(Calculated_Ratios!G115),ISNUMBER(G115)),Calculated_Ratios!G115-G115,IF(AND(Calculated_Ratios!G115="",ISBLANK(G115)),0,"MISMATCH"))</f>
        <v>0</v>
      </c>
      <c r="Y115" s="0" t="n">
        <f aca="false">IF(AND(ISNUMBER(Calculated_Ratios!H115),ISNUMBER(H115)),Calculated_Ratios!H115-H115,IF(AND(Calculated_Ratios!H115="",ISBLANK(H115)),0,"MISMATCH"))</f>
        <v>0</v>
      </c>
      <c r="Z115" s="0" t="n">
        <f aca="false">IF(AND(ISNUMBER(Calculated_Ratios!I115),ISNUMBER(I115)),Calculated_Ratios!I115-I115,IF(AND(Calculated_Ratios!I115="",ISBLANK(I115)),0,"MISMATCH"))</f>
        <v>0</v>
      </c>
      <c r="AA115" s="0" t="n">
        <f aca="false">IF(AND(ISNUMBER(Calculated_Ratios!J115),ISNUMBER(J115)),Calculated_Ratios!J115-J115,IF(AND(Calculated_Ratios!J115="",ISBLANK(J115)),0,"MISMATCH"))</f>
        <v>0</v>
      </c>
      <c r="AB115" s="0" t="n">
        <f aca="false">IF(AND(ISNUMBER(Calculated_Ratios!K115),ISNUMBER(K115)),Calculated_Ratios!K115-K115,IF(AND(Calculated_Ratios!K115="",ISBLANK(K115)),0,"MISMATCH"))</f>
        <v>0</v>
      </c>
      <c r="AC115" s="0" t="n">
        <f aca="false">IF(AND(ISNUMBER(Calculated_Ratios!L115),ISNUMBER(L115)),Calculated_Ratios!L115-L115,IF(AND(Calculated_Ratios!L115="",ISBLANK(L115)),0,"MISMATCH"))</f>
        <v>0</v>
      </c>
      <c r="AD115" s="0" t="n">
        <f aca="false">IF(AND(ISNUMBER(Calculated_Ratios!M115),ISNUMBER(M115)),Calculated_Ratios!M115-M115,IF(AND(Calculated_Ratios!M115="",ISBLANK(M115)),0,"MISMATCH"))</f>
        <v>0</v>
      </c>
      <c r="AE115" s="0" t="n">
        <f aca="false">IF(AND(ISNUMBER(Calculated_Ratios!N115),ISNUMBER(N115)),Calculated_Ratios!N115-N115,IF(AND(Calculated_Ratios!N115="",ISBLANK(N115)),0,"MISMATCH"))</f>
        <v>0</v>
      </c>
      <c r="AF115" s="0" t="n">
        <f aca="false">IF(AND(ISNUMBER(Calculated_Ratios!O115),ISNUMBER(O115)),Calculated_Ratios!O115-O115,IF(AND(Calculated_Ratios!O115="",ISBLANK(O115)),0,"MISMATCH"))</f>
        <v>0</v>
      </c>
      <c r="AG115" s="0" t="n">
        <f aca="false">IF(AND(ISNUMBER(Calculated_Ratios!P115),ISNUMBER(P115)),Calculated_Ratios!P115-P115,IF(AND(Calculated_Ratios!P115="",ISBLANK(P115)),0,"MISMATCH"))</f>
        <v>0</v>
      </c>
      <c r="AH115" s="0" t="n">
        <f aca="false">IF(AND(ISNUMBER(Calculated_Ratios!Q115),ISNUMBER(Q115)),Calculated_Ratios!Q115-Q115,IF(AND(Calculated_Ratios!Q115="",ISBLANK(Q115)),0,"MISMATCH"))</f>
        <v>0</v>
      </c>
      <c r="AI115" s="0" t="n">
        <f aca="false">IF(AND(ISNUMBER(Calculated_Ratios!R115),ISNUMBER(R115)),Calculated_Ratios!R115-R115,IF(AND(Calculated_Ratios!R115="",ISBLANK(R115)),0,"MISMATCH"))</f>
        <v>0</v>
      </c>
      <c r="AJ115" s="0" t="n">
        <f aca="false">IF(AND(ISNUMBER(Calculated_Ratios!S115),ISNUMBER(S115)),Calculated_Ratios!S115-S115,IF(AND(Calculated_Ratios!S115="",ISBLANK(S115)),0,"MISMATCH"))</f>
        <v>0</v>
      </c>
    </row>
    <row r="116" customFormat="false" ht="15" hidden="false" customHeight="false" outlineLevel="0" collapsed="false">
      <c r="A116" s="0" t="s">
        <v>222</v>
      </c>
      <c r="B116" s="0" t="n">
        <v>2017</v>
      </c>
      <c r="C116" s="0" t="n">
        <v>4558697</v>
      </c>
      <c r="D116" s="0" t="n">
        <v>3.44714728792021</v>
      </c>
      <c r="E116" s="0" t="n">
        <v>14.6374650420034</v>
      </c>
      <c r="F116" s="0" t="n">
        <v>-5.61015570896684</v>
      </c>
      <c r="G116" s="0" t="n">
        <v>6.45255303440748</v>
      </c>
      <c r="H116" s="0" t="n">
        <v>24.4260832701682</v>
      </c>
      <c r="I116" s="0" t="n">
        <v>2.08928121346955</v>
      </c>
      <c r="J116" s="0" t="n">
        <v>148.907759052955</v>
      </c>
      <c r="K116" s="0" t="n">
        <v>4.333255080491</v>
      </c>
      <c r="N116" s="0" t="n">
        <v>3.25105748069061</v>
      </c>
      <c r="O116" s="0" t="n">
        <v>85.3625349579966</v>
      </c>
      <c r="P116" s="0" t="n">
        <v>15.3911140888805</v>
      </c>
      <c r="Q116" s="0" t="n">
        <v>0</v>
      </c>
      <c r="R116" s="0" t="n">
        <v>0</v>
      </c>
      <c r="T116" s="0" t="n">
        <f aca="false">IF(AND(ISNUMBER(Calculated_Ratios!C116),ISNUMBER(C116)),Calculated_Ratios!C116-C116,IF(AND(Calculated_Ratios!C116="",ISBLANK(C116)),0,"MISMATCH"))</f>
        <v>0</v>
      </c>
      <c r="U116" s="0" t="n">
        <f aca="false">IF(AND(ISNUMBER(Calculated_Ratios!D116),ISNUMBER(D116)),Calculated_Ratios!D116-D116,IF(AND(Calculated_Ratios!D116="",ISBLANK(D116)),0,"MISMATCH"))</f>
        <v>0</v>
      </c>
      <c r="V116" s="0" t="n">
        <f aca="false">IF(AND(ISNUMBER(Calculated_Ratios!E116),ISNUMBER(E116)),Calculated_Ratios!E116-E116,IF(AND(Calculated_Ratios!E116="",ISBLANK(E116)),0,"MISMATCH"))</f>
        <v>0</v>
      </c>
      <c r="W116" s="0" t="n">
        <f aca="false">IF(AND(ISNUMBER(Calculated_Ratios!F116),ISNUMBER(F116)),Calculated_Ratios!F116-F116,IF(AND(Calculated_Ratios!F116="",ISBLANK(F116)),0,"MISMATCH"))</f>
        <v>0</v>
      </c>
      <c r="X116" s="0" t="n">
        <f aca="false">IF(AND(ISNUMBER(Calculated_Ratios!G116),ISNUMBER(G116)),Calculated_Ratios!G116-G116,IF(AND(Calculated_Ratios!G116="",ISBLANK(G116)),0,"MISMATCH"))</f>
        <v>0</v>
      </c>
      <c r="Y116" s="0" t="n">
        <f aca="false">IF(AND(ISNUMBER(Calculated_Ratios!H116),ISNUMBER(H116)),Calculated_Ratios!H116-H116,IF(AND(Calculated_Ratios!H116="",ISBLANK(H116)),0,"MISMATCH"))</f>
        <v>0</v>
      </c>
      <c r="Z116" s="0" t="n">
        <f aca="false">IF(AND(ISNUMBER(Calculated_Ratios!I116),ISNUMBER(I116)),Calculated_Ratios!I116-I116,IF(AND(Calculated_Ratios!I116="",ISBLANK(I116)),0,"MISMATCH"))</f>
        <v>0</v>
      </c>
      <c r="AA116" s="0" t="n">
        <f aca="false">IF(AND(ISNUMBER(Calculated_Ratios!J116),ISNUMBER(J116)),Calculated_Ratios!J116-J116,IF(AND(Calculated_Ratios!J116="",ISBLANK(J116)),0,"MISMATCH"))</f>
        <v>0</v>
      </c>
      <c r="AB116" s="0" t="n">
        <f aca="false">IF(AND(ISNUMBER(Calculated_Ratios!K116),ISNUMBER(K116)),Calculated_Ratios!K116-K116,IF(AND(Calculated_Ratios!K116="",ISBLANK(K116)),0,"MISMATCH"))</f>
        <v>0</v>
      </c>
      <c r="AC116" s="0" t="n">
        <f aca="false">IF(AND(ISNUMBER(Calculated_Ratios!L116),ISNUMBER(L116)),Calculated_Ratios!L116-L116,IF(AND(Calculated_Ratios!L116="",ISBLANK(L116)),0,"MISMATCH"))</f>
        <v>0</v>
      </c>
      <c r="AD116" s="0" t="n">
        <f aca="false">IF(AND(ISNUMBER(Calculated_Ratios!M116),ISNUMBER(M116)),Calculated_Ratios!M116-M116,IF(AND(Calculated_Ratios!M116="",ISBLANK(M116)),0,"MISMATCH"))</f>
        <v>0</v>
      </c>
      <c r="AE116" s="0" t="n">
        <f aca="false">IF(AND(ISNUMBER(Calculated_Ratios!N116),ISNUMBER(N116)),Calculated_Ratios!N116-N116,IF(AND(Calculated_Ratios!N116="",ISBLANK(N116)),0,"MISMATCH"))</f>
        <v>0</v>
      </c>
      <c r="AF116" s="0" t="n">
        <f aca="false">IF(AND(ISNUMBER(Calculated_Ratios!O116),ISNUMBER(O116)),Calculated_Ratios!O116-O116,IF(AND(Calculated_Ratios!O116="",ISBLANK(O116)),0,"MISMATCH"))</f>
        <v>0</v>
      </c>
      <c r="AG116" s="0" t="n">
        <f aca="false">IF(AND(ISNUMBER(Calculated_Ratios!P116),ISNUMBER(P116)),Calculated_Ratios!P116-P116,IF(AND(Calculated_Ratios!P116="",ISBLANK(P116)),0,"MISMATCH"))</f>
        <v>0</v>
      </c>
      <c r="AH116" s="0" t="n">
        <f aca="false">IF(AND(ISNUMBER(Calculated_Ratios!Q116),ISNUMBER(Q116)),Calculated_Ratios!Q116-Q116,IF(AND(Calculated_Ratios!Q116="",ISBLANK(Q116)),0,"MISMATCH"))</f>
        <v>0</v>
      </c>
      <c r="AI116" s="0" t="n">
        <f aca="false">IF(AND(ISNUMBER(Calculated_Ratios!R116),ISNUMBER(R116)),Calculated_Ratios!R116-R116,IF(AND(Calculated_Ratios!R116="",ISBLANK(R116)),0,"MISMATCH"))</f>
        <v>0</v>
      </c>
      <c r="AJ116" s="0" t="n">
        <f aca="false">IF(AND(ISNUMBER(Calculated_Ratios!S116),ISNUMBER(S116)),Calculated_Ratios!S116-S116,IF(AND(Calculated_Ratios!S116="",ISBLANK(S116)),0,"MISMATCH"))</f>
        <v>0</v>
      </c>
    </row>
    <row r="117" customFormat="false" ht="15" hidden="false" customHeight="false" outlineLevel="0" collapsed="false">
      <c r="A117" s="0" t="s">
        <v>222</v>
      </c>
      <c r="B117" s="0" t="n">
        <v>2018</v>
      </c>
      <c r="C117" s="0" t="n">
        <v>4894551.5</v>
      </c>
      <c r="D117" s="0" t="n">
        <v>3.38090221341016</v>
      </c>
      <c r="E117" s="0" t="n">
        <v>13.6220258725503</v>
      </c>
      <c r="F117" s="0" t="n">
        <v>3.76569742906986</v>
      </c>
      <c r="G117" s="0" t="n">
        <v>9.62997588836187</v>
      </c>
      <c r="H117" s="0" t="n">
        <v>23.8455594092767</v>
      </c>
      <c r="I117" s="0" t="n">
        <v>0.312858083115481</v>
      </c>
      <c r="J117" s="0" t="n">
        <v>199.717154269675</v>
      </c>
      <c r="K117" s="0" t="n">
        <v>4.82180708190878</v>
      </c>
      <c r="N117" s="0" t="n">
        <v>3.33935701031895</v>
      </c>
      <c r="O117" s="0" t="n">
        <v>86.3779741274497</v>
      </c>
      <c r="P117" s="0" t="n">
        <v>15.4159975299882</v>
      </c>
      <c r="Q117" s="0" t="n">
        <v>0</v>
      </c>
      <c r="R117" s="0" t="n">
        <v>0</v>
      </c>
      <c r="T117" s="0" t="n">
        <f aca="false">IF(AND(ISNUMBER(Calculated_Ratios!C117),ISNUMBER(C117)),Calculated_Ratios!C117-C117,IF(AND(Calculated_Ratios!C117="",ISBLANK(C117)),0,"MISMATCH"))</f>
        <v>0</v>
      </c>
      <c r="U117" s="0" t="n">
        <f aca="false">IF(AND(ISNUMBER(Calculated_Ratios!D117),ISNUMBER(D117)),Calculated_Ratios!D117-D117,IF(AND(Calculated_Ratios!D117="",ISBLANK(D117)),0,"MISMATCH"))</f>
        <v>0</v>
      </c>
      <c r="V117" s="0" t="n">
        <f aca="false">IF(AND(ISNUMBER(Calculated_Ratios!E117),ISNUMBER(E117)),Calculated_Ratios!E117-E117,IF(AND(Calculated_Ratios!E117="",ISBLANK(E117)),0,"MISMATCH"))</f>
        <v>0</v>
      </c>
      <c r="W117" s="0" t="n">
        <f aca="false">IF(AND(ISNUMBER(Calculated_Ratios!F117),ISNUMBER(F117)),Calculated_Ratios!F117-F117,IF(AND(Calculated_Ratios!F117="",ISBLANK(F117)),0,"MISMATCH"))</f>
        <v>0</v>
      </c>
      <c r="X117" s="0" t="n">
        <f aca="false">IF(AND(ISNUMBER(Calculated_Ratios!G117),ISNUMBER(G117)),Calculated_Ratios!G117-G117,IF(AND(Calculated_Ratios!G117="",ISBLANK(G117)),0,"MISMATCH"))</f>
        <v>0</v>
      </c>
      <c r="Y117" s="0" t="n">
        <f aca="false">IF(AND(ISNUMBER(Calculated_Ratios!H117),ISNUMBER(H117)),Calculated_Ratios!H117-H117,IF(AND(Calculated_Ratios!H117="",ISBLANK(H117)),0,"MISMATCH"))</f>
        <v>0</v>
      </c>
      <c r="Z117" s="0" t="n">
        <f aca="false">IF(AND(ISNUMBER(Calculated_Ratios!I117),ISNUMBER(I117)),Calculated_Ratios!I117-I117,IF(AND(Calculated_Ratios!I117="",ISBLANK(I117)),0,"MISMATCH"))</f>
        <v>0</v>
      </c>
      <c r="AA117" s="0" t="n">
        <f aca="false">IF(AND(ISNUMBER(Calculated_Ratios!J117),ISNUMBER(J117)),Calculated_Ratios!J117-J117,IF(AND(Calculated_Ratios!J117="",ISBLANK(J117)),0,"MISMATCH"))</f>
        <v>0</v>
      </c>
      <c r="AB117" s="0" t="n">
        <f aca="false">IF(AND(ISNUMBER(Calculated_Ratios!K117),ISNUMBER(K117)),Calculated_Ratios!K117-K117,IF(AND(Calculated_Ratios!K117="",ISBLANK(K117)),0,"MISMATCH"))</f>
        <v>0</v>
      </c>
      <c r="AC117" s="0" t="n">
        <f aca="false">IF(AND(ISNUMBER(Calculated_Ratios!L117),ISNUMBER(L117)),Calculated_Ratios!L117-L117,IF(AND(Calculated_Ratios!L117="",ISBLANK(L117)),0,"MISMATCH"))</f>
        <v>0</v>
      </c>
      <c r="AD117" s="0" t="n">
        <f aca="false">IF(AND(ISNUMBER(Calculated_Ratios!M117),ISNUMBER(M117)),Calculated_Ratios!M117-M117,IF(AND(Calculated_Ratios!M117="",ISBLANK(M117)),0,"MISMATCH"))</f>
        <v>0</v>
      </c>
      <c r="AE117" s="0" t="n">
        <f aca="false">IF(AND(ISNUMBER(Calculated_Ratios!N117),ISNUMBER(N117)),Calculated_Ratios!N117-N117,IF(AND(Calculated_Ratios!N117="",ISBLANK(N117)),0,"MISMATCH"))</f>
        <v>0</v>
      </c>
      <c r="AF117" s="0" t="n">
        <f aca="false">IF(AND(ISNUMBER(Calculated_Ratios!O117),ISNUMBER(O117)),Calculated_Ratios!O117-O117,IF(AND(Calculated_Ratios!O117="",ISBLANK(O117)),0,"MISMATCH"))</f>
        <v>0</v>
      </c>
      <c r="AG117" s="0" t="n">
        <f aca="false">IF(AND(ISNUMBER(Calculated_Ratios!P117),ISNUMBER(P117)),Calculated_Ratios!P117-P117,IF(AND(Calculated_Ratios!P117="",ISBLANK(P117)),0,"MISMATCH"))</f>
        <v>0</v>
      </c>
      <c r="AH117" s="0" t="n">
        <f aca="false">IF(AND(ISNUMBER(Calculated_Ratios!Q117),ISNUMBER(Q117)),Calculated_Ratios!Q117-Q117,IF(AND(Calculated_Ratios!Q117="",ISBLANK(Q117)),0,"MISMATCH"))</f>
        <v>0</v>
      </c>
      <c r="AI117" s="0" t="n">
        <f aca="false">IF(AND(ISNUMBER(Calculated_Ratios!R117),ISNUMBER(R117)),Calculated_Ratios!R117-R117,IF(AND(Calculated_Ratios!R117="",ISBLANK(R117)),0,"MISMATCH"))</f>
        <v>0</v>
      </c>
      <c r="AJ117" s="0" t="n">
        <f aca="false">IF(AND(ISNUMBER(Calculated_Ratios!S117),ISNUMBER(S117)),Calculated_Ratios!S117-S117,IF(AND(Calculated_Ratios!S117="",ISBLANK(S117)),0,"MISMATCH"))</f>
        <v>0</v>
      </c>
    </row>
    <row r="118" customFormat="false" ht="15" hidden="false" customHeight="false" outlineLevel="0" collapsed="false">
      <c r="A118" s="0" t="s">
        <v>222</v>
      </c>
      <c r="B118" s="0" t="n">
        <v>2019</v>
      </c>
      <c r="C118" s="0" t="n">
        <v>5195259</v>
      </c>
      <c r="D118" s="0" t="n">
        <v>3.42625844062827</v>
      </c>
      <c r="E118" s="0" t="n">
        <v>14.3327421729202</v>
      </c>
      <c r="F118" s="0" t="n">
        <v>7.50863431447787</v>
      </c>
      <c r="G118" s="0" t="n">
        <v>6.32375867493833</v>
      </c>
      <c r="H118" s="0" t="n">
        <v>19.5645230476247</v>
      </c>
      <c r="I118" s="0" t="n">
        <v>0.450275915021754</v>
      </c>
      <c r="J118" s="0" t="n">
        <v>152.004383804056</v>
      </c>
      <c r="K118" s="0" t="n">
        <v>4.16024756436636</v>
      </c>
      <c r="N118" s="0" t="n">
        <v>3.27508020591444</v>
      </c>
      <c r="O118" s="0" t="n">
        <v>85.6672578270798</v>
      </c>
      <c r="P118" s="0" t="n">
        <v>15.50838350991</v>
      </c>
      <c r="Q118" s="0" t="n">
        <v>0</v>
      </c>
      <c r="R118" s="0" t="n">
        <v>0</v>
      </c>
      <c r="T118" s="0" t="n">
        <f aca="false">IF(AND(ISNUMBER(Calculated_Ratios!C118),ISNUMBER(C118)),Calculated_Ratios!C118-C118,IF(AND(Calculated_Ratios!C118="",ISBLANK(C118)),0,"MISMATCH"))</f>
        <v>0</v>
      </c>
      <c r="U118" s="0" t="n">
        <f aca="false">IF(AND(ISNUMBER(Calculated_Ratios!D118),ISNUMBER(D118)),Calculated_Ratios!D118-D118,IF(AND(Calculated_Ratios!D118="",ISBLANK(D118)),0,"MISMATCH"))</f>
        <v>0</v>
      </c>
      <c r="V118" s="0" t="n">
        <f aca="false">IF(AND(ISNUMBER(Calculated_Ratios!E118),ISNUMBER(E118)),Calculated_Ratios!E118-E118,IF(AND(Calculated_Ratios!E118="",ISBLANK(E118)),0,"MISMATCH"))</f>
        <v>0</v>
      </c>
      <c r="W118" s="0" t="n">
        <f aca="false">IF(AND(ISNUMBER(Calculated_Ratios!F118),ISNUMBER(F118)),Calculated_Ratios!F118-F118,IF(AND(Calculated_Ratios!F118="",ISBLANK(F118)),0,"MISMATCH"))</f>
        <v>0</v>
      </c>
      <c r="X118" s="0" t="n">
        <f aca="false">IF(AND(ISNUMBER(Calculated_Ratios!G118),ISNUMBER(G118)),Calculated_Ratios!G118-G118,IF(AND(Calculated_Ratios!G118="",ISBLANK(G118)),0,"MISMATCH"))</f>
        <v>0</v>
      </c>
      <c r="Y118" s="0" t="n">
        <f aca="false">IF(AND(ISNUMBER(Calculated_Ratios!H118),ISNUMBER(H118)),Calculated_Ratios!H118-H118,IF(AND(Calculated_Ratios!H118="",ISBLANK(H118)),0,"MISMATCH"))</f>
        <v>0</v>
      </c>
      <c r="Z118" s="0" t="n">
        <f aca="false">IF(AND(ISNUMBER(Calculated_Ratios!I118),ISNUMBER(I118)),Calculated_Ratios!I118-I118,IF(AND(Calculated_Ratios!I118="",ISBLANK(I118)),0,"MISMATCH"))</f>
        <v>0</v>
      </c>
      <c r="AA118" s="0" t="n">
        <f aca="false">IF(AND(ISNUMBER(Calculated_Ratios!J118),ISNUMBER(J118)),Calculated_Ratios!J118-J118,IF(AND(Calculated_Ratios!J118="",ISBLANK(J118)),0,"MISMATCH"))</f>
        <v>0</v>
      </c>
      <c r="AB118" s="0" t="n">
        <f aca="false">IF(AND(ISNUMBER(Calculated_Ratios!K118),ISNUMBER(K118)),Calculated_Ratios!K118-K118,IF(AND(Calculated_Ratios!K118="",ISBLANK(K118)),0,"MISMATCH"))</f>
        <v>0</v>
      </c>
      <c r="AC118" s="0" t="n">
        <f aca="false">IF(AND(ISNUMBER(Calculated_Ratios!L118),ISNUMBER(L118)),Calculated_Ratios!L118-L118,IF(AND(Calculated_Ratios!L118="",ISBLANK(L118)),0,"MISMATCH"))</f>
        <v>0</v>
      </c>
      <c r="AD118" s="0" t="n">
        <f aca="false">IF(AND(ISNUMBER(Calculated_Ratios!M118),ISNUMBER(M118)),Calculated_Ratios!M118-M118,IF(AND(Calculated_Ratios!M118="",ISBLANK(M118)),0,"MISMATCH"))</f>
        <v>0</v>
      </c>
      <c r="AE118" s="0" t="n">
        <f aca="false">IF(AND(ISNUMBER(Calculated_Ratios!N118),ISNUMBER(N118)),Calculated_Ratios!N118-N118,IF(AND(Calculated_Ratios!N118="",ISBLANK(N118)),0,"MISMATCH"))</f>
        <v>0</v>
      </c>
      <c r="AF118" s="0" t="n">
        <f aca="false">IF(AND(ISNUMBER(Calculated_Ratios!O118),ISNUMBER(O118)),Calculated_Ratios!O118-O118,IF(AND(Calculated_Ratios!O118="",ISBLANK(O118)),0,"MISMATCH"))</f>
        <v>0</v>
      </c>
      <c r="AG118" s="0" t="n">
        <f aca="false">IF(AND(ISNUMBER(Calculated_Ratios!P118),ISNUMBER(P118)),Calculated_Ratios!P118-P118,IF(AND(Calculated_Ratios!P118="",ISBLANK(P118)),0,"MISMATCH"))</f>
        <v>0</v>
      </c>
      <c r="AH118" s="0" t="n">
        <f aca="false">IF(AND(ISNUMBER(Calculated_Ratios!Q118),ISNUMBER(Q118)),Calculated_Ratios!Q118-Q118,IF(AND(Calculated_Ratios!Q118="",ISBLANK(Q118)),0,"MISMATCH"))</f>
        <v>0</v>
      </c>
      <c r="AI118" s="0" t="n">
        <f aca="false">IF(AND(ISNUMBER(Calculated_Ratios!R118),ISNUMBER(R118)),Calculated_Ratios!R118-R118,IF(AND(Calculated_Ratios!R118="",ISBLANK(R118)),0,"MISMATCH"))</f>
        <v>0</v>
      </c>
      <c r="AJ118" s="0" t="n">
        <f aca="false">IF(AND(ISNUMBER(Calculated_Ratios!S118),ISNUMBER(S118)),Calculated_Ratios!S118-S118,IF(AND(Calculated_Ratios!S118="",ISBLANK(S118)),0,"MISMATCH"))</f>
        <v>0</v>
      </c>
    </row>
    <row r="119" customFormat="false" ht="15" hidden="false" customHeight="false" outlineLevel="0" collapsed="false">
      <c r="A119" s="0" t="s">
        <v>222</v>
      </c>
      <c r="B119" s="0" t="n">
        <v>2020</v>
      </c>
      <c r="C119" s="0" t="n">
        <v>6280030</v>
      </c>
      <c r="D119" s="0" t="n">
        <v>3.15049450400715</v>
      </c>
      <c r="E119" s="0" t="n">
        <v>12.7050337074299</v>
      </c>
      <c r="F119" s="0" t="n">
        <v>1.04967651428417</v>
      </c>
      <c r="G119" s="0" t="n">
        <v>4.79199960471215</v>
      </c>
      <c r="I119" s="0" t="n">
        <v>0.592943027342226</v>
      </c>
      <c r="N119" s="0" t="n">
        <v>2.77687524201799</v>
      </c>
      <c r="O119" s="0" t="n">
        <v>87.2949662925701</v>
      </c>
      <c r="P119" s="0" t="n">
        <v>15.7791184595559</v>
      </c>
      <c r="Q119" s="0" t="n">
        <v>0</v>
      </c>
      <c r="R119" s="0" t="n">
        <v>0</v>
      </c>
      <c r="T119" s="0" t="n">
        <f aca="false">IF(AND(ISNUMBER(Calculated_Ratios!C119),ISNUMBER(C119)),Calculated_Ratios!C119-C119,IF(AND(Calculated_Ratios!C119="",ISBLANK(C119)),0,"MISMATCH"))</f>
        <v>0</v>
      </c>
      <c r="U119" s="0" t="n">
        <f aca="false">IF(AND(ISNUMBER(Calculated_Ratios!D119),ISNUMBER(D119)),Calculated_Ratios!D119-D119,IF(AND(Calculated_Ratios!D119="",ISBLANK(D119)),0,"MISMATCH"))</f>
        <v>0</v>
      </c>
      <c r="V119" s="0" t="n">
        <f aca="false">IF(AND(ISNUMBER(Calculated_Ratios!E119),ISNUMBER(E119)),Calculated_Ratios!E119-E119,IF(AND(Calculated_Ratios!E119="",ISBLANK(E119)),0,"MISMATCH"))</f>
        <v>0</v>
      </c>
      <c r="W119" s="0" t="n">
        <f aca="false">IF(AND(ISNUMBER(Calculated_Ratios!F119),ISNUMBER(F119)),Calculated_Ratios!F119-F119,IF(AND(Calculated_Ratios!F119="",ISBLANK(F119)),0,"MISMATCH"))</f>
        <v>0</v>
      </c>
      <c r="X119" s="0" t="n">
        <f aca="false">IF(AND(ISNUMBER(Calculated_Ratios!G119),ISNUMBER(G119)),Calculated_Ratios!G119-G119,IF(AND(Calculated_Ratios!G119="",ISBLANK(G119)),0,"MISMATCH"))</f>
        <v>0</v>
      </c>
      <c r="Y119" s="0" t="n">
        <f aca="false">IF(AND(ISNUMBER(Calculated_Ratios!H119),ISNUMBER(H119)),Calculated_Ratios!H119-H119,IF(AND(Calculated_Ratios!H119="",ISBLANK(H119)),0,"MISMATCH"))</f>
        <v>0</v>
      </c>
      <c r="Z119" s="0" t="n">
        <f aca="false">IF(AND(ISNUMBER(Calculated_Ratios!I119),ISNUMBER(I119)),Calculated_Ratios!I119-I119,IF(AND(Calculated_Ratios!I119="",ISBLANK(I119)),0,"MISMATCH"))</f>
        <v>0</v>
      </c>
      <c r="AA119" s="0" t="n">
        <f aca="false">IF(AND(ISNUMBER(Calculated_Ratios!J119),ISNUMBER(J119)),Calculated_Ratios!J119-J119,IF(AND(Calculated_Ratios!J119="",ISBLANK(J119)),0,"MISMATCH"))</f>
        <v>0</v>
      </c>
      <c r="AB119" s="0" t="n">
        <f aca="false">IF(AND(ISNUMBER(Calculated_Ratios!K119),ISNUMBER(K119)),Calculated_Ratios!K119-K119,IF(AND(Calculated_Ratios!K119="",ISBLANK(K119)),0,"MISMATCH"))</f>
        <v>0</v>
      </c>
      <c r="AC119" s="0" t="n">
        <f aca="false">IF(AND(ISNUMBER(Calculated_Ratios!L119),ISNUMBER(L119)),Calculated_Ratios!L119-L119,IF(AND(Calculated_Ratios!L119="",ISBLANK(L119)),0,"MISMATCH"))</f>
        <v>0</v>
      </c>
      <c r="AD119" s="0" t="n">
        <f aca="false">IF(AND(ISNUMBER(Calculated_Ratios!M119),ISNUMBER(M119)),Calculated_Ratios!M119-M119,IF(AND(Calculated_Ratios!M119="",ISBLANK(M119)),0,"MISMATCH"))</f>
        <v>0</v>
      </c>
      <c r="AE119" s="0" t="n">
        <f aca="false">IF(AND(ISNUMBER(Calculated_Ratios!N119),ISNUMBER(N119)),Calculated_Ratios!N119-N119,IF(AND(Calculated_Ratios!N119="",ISBLANK(N119)),0,"MISMATCH"))</f>
        <v>0</v>
      </c>
      <c r="AF119" s="0" t="n">
        <f aca="false">IF(AND(ISNUMBER(Calculated_Ratios!O119),ISNUMBER(O119)),Calculated_Ratios!O119-O119,IF(AND(Calculated_Ratios!O119="",ISBLANK(O119)),0,"MISMATCH"))</f>
        <v>0</v>
      </c>
      <c r="AG119" s="0" t="n">
        <f aca="false">IF(AND(ISNUMBER(Calculated_Ratios!P119),ISNUMBER(P119)),Calculated_Ratios!P119-P119,IF(AND(Calculated_Ratios!P119="",ISBLANK(P119)),0,"MISMATCH"))</f>
        <v>0</v>
      </c>
      <c r="AH119" s="0" t="n">
        <f aca="false">IF(AND(ISNUMBER(Calculated_Ratios!Q119),ISNUMBER(Q119)),Calculated_Ratios!Q119-Q119,IF(AND(Calculated_Ratios!Q119="",ISBLANK(Q119)),0,"MISMATCH"))</f>
        <v>0</v>
      </c>
      <c r="AI119" s="0" t="n">
        <f aca="false">IF(AND(ISNUMBER(Calculated_Ratios!R119),ISNUMBER(R119)),Calculated_Ratios!R119-R119,IF(AND(Calculated_Ratios!R119="",ISBLANK(R119)),0,"MISMATCH"))</f>
        <v>0</v>
      </c>
      <c r="AJ119" s="0" t="n">
        <f aca="false">IF(AND(ISNUMBER(Calculated_Ratios!S119),ISNUMBER(S119)),Calculated_Ratios!S119-S119,IF(AND(Calculated_Ratios!S119="",ISBLANK(S119)),0,"MISMATCH"))</f>
        <v>0</v>
      </c>
    </row>
    <row r="120" customFormat="false" ht="15" hidden="false" customHeight="false" outlineLevel="0" collapsed="false">
      <c r="A120" s="0" t="s">
        <v>222</v>
      </c>
      <c r="B120" s="0" t="n">
        <v>2021</v>
      </c>
      <c r="E120" s="0" t="n">
        <v>13.3350617583799</v>
      </c>
      <c r="G120" s="0" t="n">
        <v>4.27801590686519</v>
      </c>
      <c r="H120" s="0" t="n">
        <v>19.5928118580614</v>
      </c>
      <c r="N120" s="0" t="n">
        <v>2.96143740603118</v>
      </c>
      <c r="O120" s="0" t="n">
        <v>86.6649382416201</v>
      </c>
      <c r="P120" s="0" t="n">
        <v>15.8788598105222</v>
      </c>
      <c r="Q120" s="0" t="n">
        <v>0</v>
      </c>
      <c r="R120" s="0" t="n">
        <v>0</v>
      </c>
      <c r="T120" s="0" t="n">
        <f aca="false">IF(AND(ISNUMBER(Calculated_Ratios!C120),ISNUMBER(C120)),Calculated_Ratios!C120-C120,IF(AND(Calculated_Ratios!C120="",ISBLANK(C120)),0,"MISMATCH"))</f>
        <v>0</v>
      </c>
      <c r="U120" s="0" t="n">
        <f aca="false">IF(AND(ISNUMBER(Calculated_Ratios!D120),ISNUMBER(D120)),Calculated_Ratios!D120-D120,IF(AND(Calculated_Ratios!D120="",ISBLANK(D120)),0,"MISMATCH"))</f>
        <v>0</v>
      </c>
      <c r="V120" s="0" t="n">
        <f aca="false">IF(AND(ISNUMBER(Calculated_Ratios!E120),ISNUMBER(E120)),Calculated_Ratios!E120-E120,IF(AND(Calculated_Ratios!E120="",ISBLANK(E120)),0,"MISMATCH"))</f>
        <v>0</v>
      </c>
      <c r="W120" s="0" t="n">
        <f aca="false">IF(AND(ISNUMBER(Calculated_Ratios!F120),ISNUMBER(F120)),Calculated_Ratios!F120-F120,IF(AND(Calculated_Ratios!F120="",ISBLANK(F120)),0,"MISMATCH"))</f>
        <v>0</v>
      </c>
      <c r="X120" s="0" t="n">
        <f aca="false">IF(AND(ISNUMBER(Calculated_Ratios!G120),ISNUMBER(G120)),Calculated_Ratios!G120-G120,IF(AND(Calculated_Ratios!G120="",ISBLANK(G120)),0,"MISMATCH"))</f>
        <v>0</v>
      </c>
      <c r="Y120" s="0" t="n">
        <f aca="false">IF(AND(ISNUMBER(Calculated_Ratios!H120),ISNUMBER(H120)),Calculated_Ratios!H120-H120,IF(AND(Calculated_Ratios!H120="",ISBLANK(H120)),0,"MISMATCH"))</f>
        <v>0</v>
      </c>
      <c r="Z120" s="0" t="n">
        <f aca="false">IF(AND(ISNUMBER(Calculated_Ratios!I120),ISNUMBER(I120)),Calculated_Ratios!I120-I120,IF(AND(Calculated_Ratios!I120="",ISBLANK(I120)),0,"MISMATCH"))</f>
        <v>0</v>
      </c>
      <c r="AA120" s="0" t="n">
        <f aca="false">IF(AND(ISNUMBER(Calculated_Ratios!J120),ISNUMBER(J120)),Calculated_Ratios!J120-J120,IF(AND(Calculated_Ratios!J120="",ISBLANK(J120)),0,"MISMATCH"))</f>
        <v>0</v>
      </c>
      <c r="AB120" s="0" t="n">
        <f aca="false">IF(AND(ISNUMBER(Calculated_Ratios!K120),ISNUMBER(K120)),Calculated_Ratios!K120-K120,IF(AND(Calculated_Ratios!K120="",ISBLANK(K120)),0,"MISMATCH"))</f>
        <v>0</v>
      </c>
      <c r="AC120" s="0" t="n">
        <f aca="false">IF(AND(ISNUMBER(Calculated_Ratios!L120),ISNUMBER(L120)),Calculated_Ratios!L120-L120,IF(AND(Calculated_Ratios!L120="",ISBLANK(L120)),0,"MISMATCH"))</f>
        <v>0</v>
      </c>
      <c r="AD120" s="0" t="n">
        <f aca="false">IF(AND(ISNUMBER(Calculated_Ratios!M120),ISNUMBER(M120)),Calculated_Ratios!M120-M120,IF(AND(Calculated_Ratios!M120="",ISBLANK(M120)),0,"MISMATCH"))</f>
        <v>0</v>
      </c>
      <c r="AE120" s="0" t="n">
        <f aca="false">IF(AND(ISNUMBER(Calculated_Ratios!N120),ISNUMBER(N120)),Calculated_Ratios!N120-N120,IF(AND(Calculated_Ratios!N120="",ISBLANK(N120)),0,"MISMATCH"))</f>
        <v>0</v>
      </c>
      <c r="AF120" s="0" t="n">
        <f aca="false">IF(AND(ISNUMBER(Calculated_Ratios!O120),ISNUMBER(O120)),Calculated_Ratios!O120-O120,IF(AND(Calculated_Ratios!O120="",ISBLANK(O120)),0,"MISMATCH"))</f>
        <v>0</v>
      </c>
      <c r="AG120" s="0" t="n">
        <f aca="false">IF(AND(ISNUMBER(Calculated_Ratios!P120),ISNUMBER(P120)),Calculated_Ratios!P120-P120,IF(AND(Calculated_Ratios!P120="",ISBLANK(P120)),0,"MISMATCH"))</f>
        <v>0</v>
      </c>
      <c r="AH120" s="0" t="n">
        <f aca="false">IF(AND(ISNUMBER(Calculated_Ratios!Q120),ISNUMBER(Q120)),Calculated_Ratios!Q120-Q120,IF(AND(Calculated_Ratios!Q120="",ISBLANK(Q120)),0,"MISMATCH"))</f>
        <v>0</v>
      </c>
      <c r="AI120" s="0" t="n">
        <f aca="false">IF(AND(ISNUMBER(Calculated_Ratios!R120),ISNUMBER(R120)),Calculated_Ratios!R120-R120,IF(AND(Calculated_Ratios!R120="",ISBLANK(R120)),0,"MISMATCH"))</f>
        <v>0</v>
      </c>
      <c r="AJ120" s="0" t="n">
        <f aca="false">IF(AND(ISNUMBER(Calculated_Ratios!S120),ISNUMBER(S120)),Calculated_Ratios!S120-S120,IF(AND(Calculated_Ratios!S120="",ISBLANK(S120)),0,"MISMATCH"))</f>
        <v>0</v>
      </c>
    </row>
    <row r="121" customFormat="false" ht="15" hidden="false" customHeight="false" outlineLevel="0" collapsed="false">
      <c r="A121" s="0" t="s">
        <v>222</v>
      </c>
      <c r="B121" s="0" t="n">
        <v>2022</v>
      </c>
      <c r="C121" s="0" t="n">
        <v>9221485</v>
      </c>
      <c r="D121" s="0" t="n">
        <v>2.54398288345098</v>
      </c>
      <c r="E121" s="0" t="n">
        <v>11.3062473381556</v>
      </c>
      <c r="F121" s="0" t="n">
        <v>13.8780033801497</v>
      </c>
      <c r="G121" s="0" t="n">
        <v>2.68648707084627</v>
      </c>
      <c r="H121" s="0" t="n">
        <v>18.9964452219655</v>
      </c>
      <c r="I121" s="0" t="n">
        <v>0.671215102556692</v>
      </c>
      <c r="N121" s="0" t="n">
        <v>2.21928054189145</v>
      </c>
      <c r="O121" s="0" t="n">
        <v>88.6937526618444</v>
      </c>
      <c r="P121" s="0" t="n">
        <v>16.1735944995925</v>
      </c>
      <c r="Q121" s="0" t="n">
        <v>0</v>
      </c>
      <c r="R121" s="0" t="n">
        <v>0</v>
      </c>
      <c r="T121" s="0" t="n">
        <f aca="false">IF(AND(ISNUMBER(Calculated_Ratios!C121),ISNUMBER(C121)),Calculated_Ratios!C121-C121,IF(AND(Calculated_Ratios!C121="",ISBLANK(C121)),0,"MISMATCH"))</f>
        <v>0</v>
      </c>
      <c r="U121" s="0" t="n">
        <f aca="false">IF(AND(ISNUMBER(Calculated_Ratios!D121),ISNUMBER(D121)),Calculated_Ratios!D121-D121,IF(AND(Calculated_Ratios!D121="",ISBLANK(D121)),0,"MISMATCH"))</f>
        <v>0</v>
      </c>
      <c r="V121" s="0" t="n">
        <f aca="false">IF(AND(ISNUMBER(Calculated_Ratios!E121),ISNUMBER(E121)),Calculated_Ratios!E121-E121,IF(AND(Calculated_Ratios!E121="",ISBLANK(E121)),0,"MISMATCH"))</f>
        <v>0</v>
      </c>
      <c r="W121" s="0" t="n">
        <f aca="false">IF(AND(ISNUMBER(Calculated_Ratios!F121),ISNUMBER(F121)),Calculated_Ratios!F121-F121,IF(AND(Calculated_Ratios!F121="",ISBLANK(F121)),0,"MISMATCH"))</f>
        <v>0</v>
      </c>
      <c r="X121" s="0" t="n">
        <f aca="false">IF(AND(ISNUMBER(Calculated_Ratios!G121),ISNUMBER(G121)),Calculated_Ratios!G121-G121,IF(AND(Calculated_Ratios!G121="",ISBLANK(G121)),0,"MISMATCH"))</f>
        <v>0</v>
      </c>
      <c r="Y121" s="0" t="n">
        <f aca="false">IF(AND(ISNUMBER(Calculated_Ratios!H121),ISNUMBER(H121)),Calculated_Ratios!H121-H121,IF(AND(Calculated_Ratios!H121="",ISBLANK(H121)),0,"MISMATCH"))</f>
        <v>0</v>
      </c>
      <c r="Z121" s="0" t="n">
        <f aca="false">IF(AND(ISNUMBER(Calculated_Ratios!I121),ISNUMBER(I121)),Calculated_Ratios!I121-I121,IF(AND(Calculated_Ratios!I121="",ISBLANK(I121)),0,"MISMATCH"))</f>
        <v>0</v>
      </c>
      <c r="AA121" s="0" t="n">
        <f aca="false">IF(AND(ISNUMBER(Calculated_Ratios!J121),ISNUMBER(J121)),Calculated_Ratios!J121-J121,IF(AND(Calculated_Ratios!J121="",ISBLANK(J121)),0,"MISMATCH"))</f>
        <v>0</v>
      </c>
      <c r="AB121" s="0" t="n">
        <f aca="false">IF(AND(ISNUMBER(Calculated_Ratios!K121),ISNUMBER(K121)),Calculated_Ratios!K121-K121,IF(AND(Calculated_Ratios!K121="",ISBLANK(K121)),0,"MISMATCH"))</f>
        <v>0</v>
      </c>
      <c r="AC121" s="0" t="n">
        <f aca="false">IF(AND(ISNUMBER(Calculated_Ratios!L121),ISNUMBER(L121)),Calculated_Ratios!L121-L121,IF(AND(Calculated_Ratios!L121="",ISBLANK(L121)),0,"MISMATCH"))</f>
        <v>0</v>
      </c>
      <c r="AD121" s="0" t="n">
        <f aca="false">IF(AND(ISNUMBER(Calculated_Ratios!M121),ISNUMBER(M121)),Calculated_Ratios!M121-M121,IF(AND(Calculated_Ratios!M121="",ISBLANK(M121)),0,"MISMATCH"))</f>
        <v>0</v>
      </c>
      <c r="AE121" s="0" t="n">
        <f aca="false">IF(AND(ISNUMBER(Calculated_Ratios!N121),ISNUMBER(N121)),Calculated_Ratios!N121-N121,IF(AND(Calculated_Ratios!N121="",ISBLANK(N121)),0,"MISMATCH"))</f>
        <v>0</v>
      </c>
      <c r="AF121" s="0" t="n">
        <f aca="false">IF(AND(ISNUMBER(Calculated_Ratios!O121),ISNUMBER(O121)),Calculated_Ratios!O121-O121,IF(AND(Calculated_Ratios!O121="",ISBLANK(O121)),0,"MISMATCH"))</f>
        <v>0</v>
      </c>
      <c r="AG121" s="0" t="n">
        <f aca="false">IF(AND(ISNUMBER(Calculated_Ratios!P121),ISNUMBER(P121)),Calculated_Ratios!P121-P121,IF(AND(Calculated_Ratios!P121="",ISBLANK(P121)),0,"MISMATCH"))</f>
        <v>0</v>
      </c>
      <c r="AH121" s="0" t="n">
        <f aca="false">IF(AND(ISNUMBER(Calculated_Ratios!Q121),ISNUMBER(Q121)),Calculated_Ratios!Q121-Q121,IF(AND(Calculated_Ratios!Q121="",ISBLANK(Q121)),0,"MISMATCH"))</f>
        <v>0</v>
      </c>
      <c r="AI121" s="0" t="n">
        <f aca="false">IF(AND(ISNUMBER(Calculated_Ratios!R121),ISNUMBER(R121)),Calculated_Ratios!R121-R121,IF(AND(Calculated_Ratios!R121="",ISBLANK(R121)),0,"MISMATCH"))</f>
        <v>0</v>
      </c>
      <c r="AJ121" s="0" t="n">
        <f aca="false">IF(AND(ISNUMBER(Calculated_Ratios!S121),ISNUMBER(S121)),Calculated_Ratios!S121-S121,IF(AND(Calculated_Ratios!S121="",ISBLANK(S121)),0,"MISMATCH"))</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s>
  <sheetData>
    <row r="1" customFormat="false" ht="15" hidden="false" customHeight="false" outlineLevel="0" collapsed="false">
      <c r="A1" s="2" t="s">
        <v>274</v>
      </c>
    </row>
    <row r="3" customFormat="false" ht="15" hidden="false" customHeight="false" outlineLevel="0" collapsed="false">
      <c r="A3" s="3" t="s">
        <v>275</v>
      </c>
      <c r="B3" s="3" t="s">
        <v>276</v>
      </c>
    </row>
    <row r="4" customFormat="false" ht="15" hidden="false" customHeight="false" outlineLevel="0" collapsed="false">
      <c r="A4" s="0" t="s">
        <v>277</v>
      </c>
      <c r="B4" s="0" t="n">
        <v>118</v>
      </c>
    </row>
    <row r="5" customFormat="false" ht="15" hidden="false" customHeight="false" outlineLevel="0" collapsed="false">
      <c r="A5" s="0" t="s">
        <v>278</v>
      </c>
      <c r="B5" s="0" t="s">
        <v>279</v>
      </c>
    </row>
    <row r="6" customFormat="false" ht="15" hidden="false" customHeight="false" outlineLevel="0" collapsed="false">
      <c r="A6" s="0" t="s">
        <v>280</v>
      </c>
      <c r="B6" s="0" t="s">
        <v>281</v>
      </c>
    </row>
    <row r="7" customFormat="false" ht="15" hidden="false" customHeight="false" outlineLevel="0" collapsed="false">
      <c r="A7" s="0" t="s">
        <v>282</v>
      </c>
      <c r="B7" s="0" t="n">
        <v>12</v>
      </c>
    </row>
    <row r="8" customFormat="false" ht="15" hidden="false" customHeight="false" outlineLevel="0" collapsed="false">
      <c r="A8" s="0" t="s">
        <v>283</v>
      </c>
      <c r="B8" s="0" t="n">
        <v>9</v>
      </c>
    </row>
    <row r="9" customFormat="false" ht="15" hidden="false" customHeight="false" outlineLevel="0" collapsed="false">
      <c r="A9" s="0" t="s">
        <v>284</v>
      </c>
      <c r="B9" s="0" t="n">
        <v>0</v>
      </c>
    </row>
    <row r="10" customFormat="false" ht="15" hidden="false" customHeight="false" outlineLevel="0" collapsed="false">
      <c r="A10" s="0" t="s">
        <v>285</v>
      </c>
      <c r="B10" s="0" t="s">
        <v>286</v>
      </c>
    </row>
    <row r="11" customFormat="false" ht="15" hidden="false" customHeight="false" outlineLevel="0" collapsed="false">
      <c r="A11" s="0" t="s">
        <v>287</v>
      </c>
      <c r="B11" s="0" t="s">
        <v>288</v>
      </c>
    </row>
    <row r="12" customFormat="false" ht="15" hidden="false" customHeight="false" outlineLevel="0" collapsed="false">
      <c r="A12" s="0" t="s">
        <v>289</v>
      </c>
      <c r="B12" s="0" t="s">
        <v>290</v>
      </c>
    </row>
    <row r="13" customFormat="false" ht="15" hidden="false" customHeight="false" outlineLevel="0" collapsed="false">
      <c r="A13" s="0" t="s">
        <v>291</v>
      </c>
      <c r="B13" s="0" t="s">
        <v>292</v>
      </c>
    </row>
    <row r="14" customFormat="false" ht="15" hidden="false" customHeight="false" outlineLevel="0" collapsed="false">
      <c r="A14" s="0" t="s">
        <v>293</v>
      </c>
      <c r="B14" s="0" t="s">
        <v>294</v>
      </c>
    </row>
    <row r="15" customFormat="false" ht="15" hidden="false" customHeight="false" outlineLevel="0" collapsed="false">
      <c r="A15" s="0" t="s">
        <v>295</v>
      </c>
      <c r="B15" s="0" t="n">
        <v>12</v>
      </c>
    </row>
    <row r="16" customFormat="false" ht="15" hidden="false" customHeight="false" outlineLevel="0" collapsed="false">
      <c r="A16" s="0" t="s">
        <v>296</v>
      </c>
      <c r="B16" s="0" t="n">
        <v>345</v>
      </c>
    </row>
    <row r="17" customFormat="false" ht="15" hidden="false" customHeight="false" outlineLevel="0" collapsed="false">
      <c r="A17" s="0" t="s">
        <v>297</v>
      </c>
      <c r="B17" s="0" t="n">
        <v>103</v>
      </c>
    </row>
    <row r="18" customFormat="false" ht="15" hidden="false" customHeight="false" outlineLevel="0" collapsed="false">
      <c r="A18" s="0" t="s">
        <v>298</v>
      </c>
      <c r="B18" s="0" t="s">
        <v>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3"/>
    <col collapsed="false" customWidth="true" hidden="false" outlineLevel="0" max="4" min="4" style="0" width="16"/>
    <col collapsed="false" customWidth="true" hidden="false" outlineLevel="0" max="5" min="5" style="0" width="12"/>
    <col collapsed="false" customWidth="true" hidden="false" outlineLevel="0" max="6" min="6" style="0" width="10"/>
  </cols>
  <sheetData>
    <row r="1" customFormat="false" ht="15" hidden="false" customHeight="false" outlineLevel="0" collapsed="false">
      <c r="A1" s="2" t="s">
        <v>300</v>
      </c>
    </row>
    <row r="3" customFormat="false" ht="15" hidden="false" customHeight="false" outlineLevel="0" collapsed="false">
      <c r="A3" s="3" t="s">
        <v>301</v>
      </c>
      <c r="B3" s="3" t="s">
        <v>302</v>
      </c>
      <c r="C3" s="3" t="s">
        <v>303</v>
      </c>
      <c r="D3" s="3" t="s">
        <v>304</v>
      </c>
      <c r="E3" s="3" t="s">
        <v>305</v>
      </c>
      <c r="F3" s="3" t="s">
        <v>306</v>
      </c>
    </row>
    <row r="4" customFormat="false" ht="15" hidden="false" customHeight="false" outlineLevel="0" collapsed="false">
      <c r="A4" s="0" t="s">
        <v>54</v>
      </c>
      <c r="B4" s="0" t="n">
        <v>47</v>
      </c>
      <c r="C4" s="0" t="n">
        <v>47</v>
      </c>
      <c r="D4" s="0" t="n">
        <v>118</v>
      </c>
      <c r="E4" s="0" t="n">
        <v>118</v>
      </c>
      <c r="F4" s="0" t="n">
        <v>71</v>
      </c>
    </row>
    <row r="5" customFormat="false" ht="15" hidden="false" customHeight="false" outlineLevel="0" collapsed="false">
      <c r="A5" s="0" t="s">
        <v>55</v>
      </c>
      <c r="B5" s="0" t="n">
        <v>47</v>
      </c>
      <c r="C5" s="0" t="n">
        <v>47</v>
      </c>
      <c r="D5" s="0" t="n">
        <v>118</v>
      </c>
      <c r="E5" s="0" t="n">
        <v>118</v>
      </c>
      <c r="F5" s="0" t="n">
        <v>71</v>
      </c>
    </row>
    <row r="6" customFormat="false" ht="15" hidden="false" customHeight="false" outlineLevel="0" collapsed="false">
      <c r="A6" s="0" t="s">
        <v>56</v>
      </c>
      <c r="B6" s="0" t="n">
        <v>47</v>
      </c>
      <c r="C6" s="0" t="n">
        <v>47</v>
      </c>
      <c r="D6" s="0" t="n">
        <v>118</v>
      </c>
      <c r="E6" s="0" t="n">
        <v>118</v>
      </c>
      <c r="F6" s="0" t="n">
        <v>71</v>
      </c>
    </row>
    <row r="7" customFormat="false" ht="15" hidden="false" customHeight="false" outlineLevel="0" collapsed="false">
      <c r="A7" s="0" t="s">
        <v>57</v>
      </c>
      <c r="B7" s="0" t="n">
        <v>47</v>
      </c>
      <c r="C7" s="0" t="n">
        <v>47</v>
      </c>
      <c r="D7" s="0" t="n">
        <v>118</v>
      </c>
      <c r="E7" s="0" t="n">
        <v>118</v>
      </c>
      <c r="F7" s="0" t="n">
        <v>71</v>
      </c>
    </row>
    <row r="8" customFormat="false" ht="15" hidden="false" customHeight="false" outlineLevel="0" collapsed="false">
      <c r="A8" s="0" t="s">
        <v>58</v>
      </c>
      <c r="B8" s="0" t="n">
        <v>39</v>
      </c>
      <c r="C8" s="0" t="n">
        <v>47</v>
      </c>
      <c r="D8" s="0" t="n">
        <v>102</v>
      </c>
      <c r="E8" s="0" t="n">
        <v>118</v>
      </c>
      <c r="F8" s="0" t="n">
        <v>63</v>
      </c>
    </row>
    <row r="9" customFormat="false" ht="15" hidden="false" customHeight="false" outlineLevel="0" collapsed="false">
      <c r="A9" s="0" t="s">
        <v>59</v>
      </c>
      <c r="B9" s="0" t="n">
        <v>33</v>
      </c>
      <c r="C9" s="0" t="n">
        <v>47</v>
      </c>
      <c r="D9" s="0" t="n">
        <v>97</v>
      </c>
      <c r="E9" s="0" t="n">
        <v>118</v>
      </c>
      <c r="F9" s="0" t="n">
        <v>64</v>
      </c>
    </row>
    <row r="10" customFormat="false" ht="15" hidden="false" customHeight="false" outlineLevel="0" collapsed="false">
      <c r="A10" s="0" t="s">
        <v>60</v>
      </c>
      <c r="B10" s="0" t="n">
        <v>38</v>
      </c>
      <c r="C10" s="0" t="n">
        <v>47</v>
      </c>
      <c r="D10" s="0" t="n">
        <v>95</v>
      </c>
      <c r="E10" s="0" t="n">
        <v>118</v>
      </c>
      <c r="F10" s="0" t="n">
        <v>57</v>
      </c>
    </row>
    <row r="11" customFormat="false" ht="15" hidden="false" customHeight="false" outlineLevel="0" collapsed="false">
      <c r="A11" s="0" t="s">
        <v>61</v>
      </c>
      <c r="B11" s="0" t="n">
        <v>38</v>
      </c>
      <c r="C11" s="0" t="n">
        <v>47</v>
      </c>
      <c r="D11" s="0" t="n">
        <v>95</v>
      </c>
      <c r="E11" s="0" t="n">
        <v>118</v>
      </c>
      <c r="F11" s="0" t="n">
        <v>57</v>
      </c>
    </row>
    <row r="12" customFormat="false" ht="15" hidden="false" customHeight="false" outlineLevel="0" collapsed="false">
      <c r="A12" s="0" t="s">
        <v>62</v>
      </c>
      <c r="B12" s="0" t="n">
        <v>19</v>
      </c>
      <c r="C12" s="0" t="n">
        <v>47</v>
      </c>
      <c r="D12" s="0" t="n">
        <v>90</v>
      </c>
      <c r="E12" s="0" t="n">
        <v>118</v>
      </c>
      <c r="F12" s="0" t="n">
        <v>71</v>
      </c>
    </row>
    <row r="13" customFormat="false" ht="15" hidden="false" customHeight="false" outlineLevel="0" collapsed="false">
      <c r="A13" s="0" t="s">
        <v>63</v>
      </c>
      <c r="B13" s="0" t="n">
        <v>43</v>
      </c>
      <c r="C13" s="0" t="n">
        <v>47</v>
      </c>
      <c r="D13" s="0" t="n">
        <v>110</v>
      </c>
      <c r="E13" s="0" t="n">
        <v>118</v>
      </c>
      <c r="F13" s="0" t="n">
        <v>67</v>
      </c>
    </row>
    <row r="14" customFormat="false" ht="15" hidden="false" customHeight="false" outlineLevel="0" collapsed="false">
      <c r="A14" s="0" t="s">
        <v>307</v>
      </c>
      <c r="B14" s="0" t="n">
        <v>10</v>
      </c>
      <c r="C14" s="0" t="n">
        <v>47</v>
      </c>
      <c r="D14" s="0" t="n">
        <v>20</v>
      </c>
      <c r="E14" s="0" t="n">
        <v>118</v>
      </c>
      <c r="F14" s="0" t="n">
        <v>10</v>
      </c>
    </row>
    <row r="15" customFormat="false" ht="15" hidden="false" customHeight="false" outlineLevel="0" collapsed="false">
      <c r="A15" s="0" t="s">
        <v>64</v>
      </c>
      <c r="B15" s="0" t="n">
        <v>13</v>
      </c>
      <c r="C15" s="0" t="n">
        <v>47</v>
      </c>
      <c r="D15" s="0" t="n">
        <v>23</v>
      </c>
      <c r="E15" s="0" t="n">
        <v>118</v>
      </c>
      <c r="F15" s="0" t="n">
        <v>10</v>
      </c>
    </row>
    <row r="16" customFormat="false" ht="15" hidden="false" customHeight="false" outlineLevel="0" collapsed="false">
      <c r="A16" s="0" t="s">
        <v>69</v>
      </c>
      <c r="B16" s="0" t="n">
        <v>38</v>
      </c>
      <c r="C16" s="0" t="n">
        <v>47</v>
      </c>
      <c r="D16" s="0" t="n">
        <v>89</v>
      </c>
      <c r="E16" s="0" t="n">
        <v>118</v>
      </c>
      <c r="F16" s="0" t="n">
        <v>51</v>
      </c>
    </row>
    <row r="17" customFormat="false" ht="15" hidden="false" customHeight="false" outlineLevel="0" collapsed="false">
      <c r="A17" s="0" t="s">
        <v>65</v>
      </c>
      <c r="B17" s="0" t="n">
        <v>19</v>
      </c>
      <c r="C17" s="0" t="n">
        <v>47</v>
      </c>
      <c r="D17" s="0" t="n">
        <v>70</v>
      </c>
      <c r="E17" s="0" t="n">
        <v>118</v>
      </c>
      <c r="F17" s="0" t="n">
        <v>51</v>
      </c>
    </row>
    <row r="18" customFormat="false" ht="15" hidden="false" customHeight="false" outlineLevel="0" collapsed="false">
      <c r="A18" s="0" t="s">
        <v>66</v>
      </c>
      <c r="B18" s="0" t="n">
        <v>19</v>
      </c>
      <c r="C18" s="0" t="n">
        <v>47</v>
      </c>
      <c r="D18" s="0" t="n">
        <v>70</v>
      </c>
      <c r="E18" s="0" t="n">
        <v>118</v>
      </c>
      <c r="F18" s="0" t="n">
        <v>51</v>
      </c>
    </row>
    <row r="19" customFormat="false" ht="15" hidden="false" customHeight="false" outlineLevel="0" collapsed="false">
      <c r="A19" s="0" t="s">
        <v>70</v>
      </c>
      <c r="B19" s="0" t="n">
        <v>13</v>
      </c>
      <c r="C19" s="0" t="n">
        <v>47</v>
      </c>
      <c r="D19" s="0" t="n">
        <v>36</v>
      </c>
      <c r="E19" s="0" t="n">
        <v>118</v>
      </c>
      <c r="F19" s="0" t="n">
        <v>23</v>
      </c>
    </row>
    <row r="20" customFormat="false" ht="15" hidden="false" customHeight="false" outlineLevel="0" collapsed="false">
      <c r="A20" s="0" t="s">
        <v>71</v>
      </c>
      <c r="B20" s="0" t="n">
        <v>11</v>
      </c>
      <c r="C20" s="0" t="n">
        <v>47</v>
      </c>
      <c r="D20" s="0" t="n">
        <v>11</v>
      </c>
      <c r="E20" s="0" t="n">
        <v>118</v>
      </c>
      <c r="F20" s="0" t="n">
        <v>0</v>
      </c>
    </row>
    <row r="21" customFormat="false" ht="15" hidden="false" customHeight="false" outlineLevel="0" collapsed="false">
      <c r="A21" s="0" t="s">
        <v>73</v>
      </c>
      <c r="B21" s="0" t="n">
        <v>2</v>
      </c>
      <c r="C21" s="0" t="n">
        <v>47</v>
      </c>
      <c r="D21" s="0" t="n">
        <v>58</v>
      </c>
      <c r="E21" s="0" t="n">
        <v>118</v>
      </c>
      <c r="F21" s="0" t="n">
        <v>56</v>
      </c>
    </row>
    <row r="22" customFormat="false" ht="15" hidden="false" customHeight="false" outlineLevel="0" collapsed="false">
      <c r="A22" s="0" t="s">
        <v>67</v>
      </c>
      <c r="B22" s="0" t="n">
        <v>5</v>
      </c>
      <c r="C22" s="0" t="n">
        <v>47</v>
      </c>
      <c r="D22" s="0" t="n">
        <v>7</v>
      </c>
      <c r="E22" s="0" t="n">
        <v>118</v>
      </c>
      <c r="F22" s="0" t="n">
        <v>2</v>
      </c>
    </row>
    <row r="23" customFormat="false" ht="15" hidden="false" customHeight="false" outlineLevel="0" collapsed="false">
      <c r="A23" s="0" t="s">
        <v>68</v>
      </c>
      <c r="B23" s="0" t="n">
        <v>10</v>
      </c>
      <c r="C23" s="0" t="n">
        <v>47</v>
      </c>
      <c r="D23" s="0" t="n">
        <v>18</v>
      </c>
      <c r="E23" s="0" t="n">
        <v>118</v>
      </c>
      <c r="F23" s="0"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15"/>
    <col collapsed="false" customWidth="true" hidden="false" outlineLevel="0" max="8" min="8" style="0" width="20"/>
    <col collapsed="false" customWidth="true" hidden="false" outlineLevel="0" max="9" min="9" style="0" width="21"/>
    <col collapsed="false" customWidth="true" hidden="false" outlineLevel="0" max="10" min="10" style="0" width="16"/>
    <col collapsed="false" customWidth="true" hidden="false" outlineLevel="0" max="11" min="11" style="0" width="24"/>
  </cols>
  <sheetData>
    <row r="1" customFormat="false" ht="15" hidden="false" customHeight="false" outlineLevel="0" collapsed="false">
      <c r="A1" s="2" t="s">
        <v>308</v>
      </c>
    </row>
    <row r="3" customFormat="false" ht="15" hidden="false" customHeight="false" outlineLevel="0" collapsed="false">
      <c r="A3" s="3" t="s">
        <v>309</v>
      </c>
      <c r="B3" s="3" t="s">
        <v>310</v>
      </c>
      <c r="C3" s="3" t="s">
        <v>311</v>
      </c>
      <c r="D3" s="3" t="s">
        <v>312</v>
      </c>
      <c r="E3" s="3" t="s">
        <v>313</v>
      </c>
      <c r="F3" s="3" t="s">
        <v>314</v>
      </c>
      <c r="G3" s="3" t="s">
        <v>315</v>
      </c>
      <c r="H3" s="3" t="s">
        <v>316</v>
      </c>
      <c r="I3" s="3" t="s">
        <v>317</v>
      </c>
      <c r="J3" s="3" t="s">
        <v>318</v>
      </c>
      <c r="K3" s="3" t="s">
        <v>319</v>
      </c>
    </row>
    <row r="4" customFormat="false" ht="15" hidden="false" customHeight="false" outlineLevel="0" collapsed="false">
      <c r="A4" s="0" t="s">
        <v>41</v>
      </c>
      <c r="B4" s="0" t="s">
        <v>320</v>
      </c>
      <c r="C4" s="0" t="s">
        <v>42</v>
      </c>
      <c r="D4" s="0" t="n">
        <v>97</v>
      </c>
      <c r="E4" s="0" t="n">
        <v>21</v>
      </c>
      <c r="F4" s="0" t="n">
        <v>118</v>
      </c>
      <c r="G4" s="0" t="n">
        <v>82.2</v>
      </c>
      <c r="H4" s="0" t="n">
        <v>49</v>
      </c>
      <c r="I4" s="0" t="n">
        <v>48</v>
      </c>
      <c r="J4" s="0" t="n">
        <v>12</v>
      </c>
      <c r="K4" s="0" t="n">
        <v>97</v>
      </c>
    </row>
    <row r="5" customFormat="false" ht="15" hidden="false" customHeight="false" outlineLevel="0" collapsed="false">
      <c r="A5" s="0" t="s">
        <v>27</v>
      </c>
      <c r="B5" s="0" t="s">
        <v>321</v>
      </c>
      <c r="C5" s="0" t="s">
        <v>28</v>
      </c>
      <c r="D5" s="0" t="n">
        <v>118</v>
      </c>
      <c r="E5" s="0" t="n">
        <v>0</v>
      </c>
      <c r="F5" s="0" t="n">
        <v>118</v>
      </c>
      <c r="G5" s="0" t="n">
        <v>100</v>
      </c>
      <c r="H5" s="0" t="n">
        <v>60</v>
      </c>
      <c r="I5" s="0" t="n">
        <v>58</v>
      </c>
      <c r="J5" s="0" t="n">
        <v>12</v>
      </c>
      <c r="K5" s="0" t="n">
        <v>118</v>
      </c>
    </row>
    <row r="6" customFormat="false" ht="15" hidden="false" customHeight="false" outlineLevel="0" collapsed="false">
      <c r="A6" s="0" t="s">
        <v>39</v>
      </c>
      <c r="B6" s="0" t="s">
        <v>322</v>
      </c>
      <c r="C6" s="0" t="s">
        <v>40</v>
      </c>
      <c r="D6" s="0" t="n">
        <v>86</v>
      </c>
      <c r="E6" s="0" t="n">
        <v>32</v>
      </c>
      <c r="F6" s="0" t="n">
        <v>118</v>
      </c>
      <c r="G6" s="0" t="n">
        <v>72.9</v>
      </c>
      <c r="H6" s="0" t="n">
        <v>41</v>
      </c>
      <c r="I6" s="0" t="n">
        <v>45</v>
      </c>
      <c r="J6" s="0" t="n">
        <v>12</v>
      </c>
      <c r="K6" s="0" t="n">
        <v>86</v>
      </c>
    </row>
    <row r="7" customFormat="false" ht="15" hidden="false" customHeight="false" outlineLevel="0" collapsed="false">
      <c r="A7" s="0" t="s">
        <v>17</v>
      </c>
      <c r="B7" s="0" t="s">
        <v>323</v>
      </c>
      <c r="C7" s="0" t="s">
        <v>18</v>
      </c>
      <c r="D7" s="0" t="n">
        <v>95</v>
      </c>
      <c r="E7" s="0" t="n">
        <v>23</v>
      </c>
      <c r="F7" s="0" t="n">
        <v>118</v>
      </c>
      <c r="G7" s="0" t="n">
        <v>80.5</v>
      </c>
      <c r="H7" s="0" t="n">
        <v>45</v>
      </c>
      <c r="I7" s="0" t="n">
        <v>50</v>
      </c>
      <c r="J7" s="0" t="n">
        <v>12</v>
      </c>
      <c r="K7" s="0" t="n">
        <v>93</v>
      </c>
    </row>
    <row r="8" customFormat="false" ht="15" hidden="false" customHeight="false" outlineLevel="0" collapsed="false">
      <c r="A8" s="0" t="s">
        <v>31</v>
      </c>
      <c r="B8" s="0" t="s">
        <v>324</v>
      </c>
      <c r="C8" s="0" t="s">
        <v>32</v>
      </c>
      <c r="D8" s="0" t="n">
        <v>118</v>
      </c>
      <c r="E8" s="0" t="n">
        <v>0</v>
      </c>
      <c r="F8" s="0" t="n">
        <v>118</v>
      </c>
      <c r="G8" s="0" t="n">
        <v>100</v>
      </c>
      <c r="H8" s="0" t="n">
        <v>60</v>
      </c>
      <c r="I8" s="0" t="n">
        <v>58</v>
      </c>
      <c r="J8" s="0" t="n">
        <v>12</v>
      </c>
      <c r="K8" s="0" t="n">
        <v>118</v>
      </c>
    </row>
    <row r="9" customFormat="false" ht="15" hidden="false" customHeight="false" outlineLevel="0" collapsed="false">
      <c r="A9" s="0" t="s">
        <v>69</v>
      </c>
      <c r="B9" s="0" t="s">
        <v>325</v>
      </c>
      <c r="D9" s="0" t="n">
        <v>89</v>
      </c>
      <c r="E9" s="0" t="n">
        <v>29</v>
      </c>
      <c r="F9" s="0" t="n">
        <v>118</v>
      </c>
      <c r="G9" s="0" t="n">
        <v>75.4</v>
      </c>
      <c r="H9" s="0" t="n">
        <v>43</v>
      </c>
      <c r="I9" s="0" t="n">
        <v>46</v>
      </c>
      <c r="J9" s="0" t="n">
        <v>12</v>
      </c>
      <c r="K9" s="0" t="n">
        <v>86</v>
      </c>
    </row>
    <row r="10" customFormat="false" ht="15" hidden="false" customHeight="false" outlineLevel="0" collapsed="false">
      <c r="A10" s="0" t="s">
        <v>25</v>
      </c>
      <c r="B10" s="0" t="s">
        <v>326</v>
      </c>
      <c r="C10" s="0" t="s">
        <v>26</v>
      </c>
      <c r="D10" s="0" t="n">
        <v>70</v>
      </c>
      <c r="E10" s="0" t="n">
        <v>48</v>
      </c>
      <c r="F10" s="0" t="n">
        <v>118</v>
      </c>
      <c r="G10" s="0" t="n">
        <v>59.3</v>
      </c>
      <c r="H10" s="0" t="n">
        <v>29</v>
      </c>
      <c r="I10" s="0" t="n">
        <v>41</v>
      </c>
      <c r="J10" s="0" t="n">
        <v>12</v>
      </c>
      <c r="K10" s="0" t="n">
        <v>67</v>
      </c>
    </row>
    <row r="11" customFormat="false" ht="15" hidden="false" customHeight="false" outlineLevel="0" collapsed="false">
      <c r="A11" s="0" t="s">
        <v>327</v>
      </c>
      <c r="B11" s="0" t="s">
        <v>328</v>
      </c>
      <c r="D11" s="0" t="n">
        <v>14</v>
      </c>
      <c r="E11" s="0" t="n">
        <v>104</v>
      </c>
      <c r="F11" s="0" t="n">
        <v>118</v>
      </c>
      <c r="G11" s="0" t="n">
        <v>11.9</v>
      </c>
      <c r="H11" s="0" t="n">
        <v>13</v>
      </c>
      <c r="I11" s="0" t="n">
        <v>1</v>
      </c>
      <c r="J11" s="0" t="n">
        <v>6</v>
      </c>
      <c r="K11" s="0" t="s">
        <v>329</v>
      </c>
    </row>
    <row r="12" customFormat="false" ht="15" hidden="false" customHeight="false" outlineLevel="0" collapsed="false">
      <c r="A12" s="0" t="s">
        <v>37</v>
      </c>
      <c r="B12" s="0" t="s">
        <v>330</v>
      </c>
      <c r="C12" s="0" t="s">
        <v>38</v>
      </c>
      <c r="D12" s="0" t="n">
        <v>19</v>
      </c>
      <c r="E12" s="0" t="n">
        <v>99</v>
      </c>
      <c r="F12" s="0" t="n">
        <v>118</v>
      </c>
      <c r="G12" s="0" t="n">
        <v>16.1</v>
      </c>
      <c r="H12" s="0" t="n">
        <v>7</v>
      </c>
      <c r="I12" s="0" t="n">
        <v>12</v>
      </c>
      <c r="J12" s="0" t="n">
        <v>4</v>
      </c>
      <c r="K12" s="0" t="n">
        <v>19</v>
      </c>
    </row>
    <row r="13" customFormat="false" ht="15" hidden="false" customHeight="false" outlineLevel="0" collapsed="false">
      <c r="A13" s="0" t="s">
        <v>23</v>
      </c>
      <c r="B13" s="0" t="s">
        <v>331</v>
      </c>
      <c r="C13" s="0" t="s">
        <v>24</v>
      </c>
      <c r="D13" s="0" t="n">
        <v>19</v>
      </c>
      <c r="E13" s="0" t="n">
        <v>99</v>
      </c>
      <c r="F13" s="0" t="n">
        <v>118</v>
      </c>
      <c r="G13" s="0" t="n">
        <v>16.1</v>
      </c>
      <c r="H13" s="0" t="n">
        <v>7</v>
      </c>
      <c r="I13" s="0" t="n">
        <v>12</v>
      </c>
      <c r="J13" s="0" t="n">
        <v>4</v>
      </c>
      <c r="K13" s="0" t="n">
        <v>18</v>
      </c>
    </row>
    <row r="14" customFormat="false" ht="15" hidden="false" customHeight="false" outlineLevel="0" collapsed="false">
      <c r="A14" s="0" t="s">
        <v>45</v>
      </c>
      <c r="B14" s="0" t="s">
        <v>332</v>
      </c>
      <c r="C14" s="0" t="s">
        <v>46</v>
      </c>
      <c r="D14" s="0" t="n">
        <v>6</v>
      </c>
      <c r="E14" s="0" t="n">
        <v>112</v>
      </c>
      <c r="F14" s="0" t="n">
        <v>118</v>
      </c>
      <c r="G14" s="0" t="n">
        <v>5.1</v>
      </c>
      <c r="H14" s="0" t="n">
        <v>0</v>
      </c>
      <c r="I14" s="0" t="n">
        <v>6</v>
      </c>
      <c r="J14" s="0" t="n">
        <v>2</v>
      </c>
      <c r="K14" s="0" t="n">
        <v>5</v>
      </c>
    </row>
    <row r="15" customFormat="false" ht="15" hidden="false" customHeight="false" outlineLevel="0" collapsed="false">
      <c r="A15" s="0" t="s">
        <v>29</v>
      </c>
      <c r="B15" s="0" t="s">
        <v>333</v>
      </c>
      <c r="C15" s="0" t="s">
        <v>30</v>
      </c>
      <c r="D15" s="0" t="n">
        <v>92</v>
      </c>
      <c r="E15" s="0" t="n">
        <v>26</v>
      </c>
      <c r="F15" s="0" t="n">
        <v>118</v>
      </c>
      <c r="G15" s="0" t="n">
        <v>78</v>
      </c>
      <c r="H15" s="0" t="n">
        <v>46</v>
      </c>
      <c r="I15" s="0" t="n">
        <v>46</v>
      </c>
      <c r="J15" s="0" t="n">
        <v>12</v>
      </c>
      <c r="K15" s="0" t="n">
        <v>90</v>
      </c>
    </row>
    <row r="16" customFormat="false" ht="15" hidden="false" customHeight="false" outlineLevel="0" collapsed="false">
      <c r="A16" s="0" t="s">
        <v>237</v>
      </c>
      <c r="B16" s="0" t="s">
        <v>334</v>
      </c>
      <c r="D16" s="0" t="n">
        <v>10</v>
      </c>
      <c r="E16" s="0" t="n">
        <v>108</v>
      </c>
      <c r="F16" s="0" t="n">
        <v>118</v>
      </c>
      <c r="G16" s="0" t="n">
        <v>8.5</v>
      </c>
      <c r="H16" s="0" t="n">
        <v>5</v>
      </c>
      <c r="I16" s="0" t="n">
        <v>5</v>
      </c>
      <c r="J16" s="0" t="n">
        <v>3</v>
      </c>
      <c r="K16" s="0" t="n">
        <v>10</v>
      </c>
    </row>
    <row r="17" customFormat="false" ht="15" hidden="false" customHeight="false" outlineLevel="0" collapsed="false">
      <c r="A17" s="0" t="s">
        <v>73</v>
      </c>
      <c r="B17" s="0" t="s">
        <v>335</v>
      </c>
      <c r="D17" s="0" t="n">
        <v>58</v>
      </c>
      <c r="E17" s="0" t="n">
        <v>60</v>
      </c>
      <c r="F17" s="0" t="n">
        <v>118</v>
      </c>
      <c r="G17" s="0" t="n">
        <v>49.2</v>
      </c>
      <c r="H17" s="0" t="n">
        <v>23</v>
      </c>
      <c r="I17" s="0" t="n">
        <v>35</v>
      </c>
      <c r="J17" s="0" t="n">
        <v>11</v>
      </c>
      <c r="K17" s="0" t="n">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336</v>
      </c>
    </row>
    <row r="3" customFormat="false" ht="15" hidden="false" customHeight="false" outlineLevel="0" collapsed="false">
      <c r="A3" s="3" t="s">
        <v>50</v>
      </c>
      <c r="B3" s="3" t="s">
        <v>51</v>
      </c>
      <c r="C3" s="3" t="s">
        <v>301</v>
      </c>
      <c r="D3" s="3" t="s">
        <v>337</v>
      </c>
      <c r="E3" s="3" t="s">
        <v>338</v>
      </c>
      <c r="F3" s="3" t="s">
        <v>339</v>
      </c>
      <c r="G3" s="3" t="s">
        <v>340</v>
      </c>
      <c r="H3" s="3" t="s">
        <v>341</v>
      </c>
    </row>
    <row r="4" customFormat="false" ht="15" hidden="false" customHeight="false" outlineLevel="0" collapsed="false">
      <c r="A4" s="0" t="s">
        <v>211</v>
      </c>
      <c r="B4" s="0" t="n">
        <v>2021</v>
      </c>
      <c r="C4" s="0" t="s">
        <v>342</v>
      </c>
      <c r="E4" s="0" t="s">
        <v>306</v>
      </c>
      <c r="F4" s="0" t="s">
        <v>343</v>
      </c>
      <c r="G4" s="0" t="s">
        <v>344</v>
      </c>
      <c r="H4" s="0" t="s">
        <v>345</v>
      </c>
    </row>
    <row r="5" customFormat="false" ht="15" hidden="false" customHeight="false" outlineLevel="0" collapsed="false">
      <c r="A5" s="0" t="s">
        <v>187</v>
      </c>
      <c r="B5" s="0" t="n">
        <v>2016</v>
      </c>
      <c r="C5" s="0" t="s">
        <v>342</v>
      </c>
      <c r="E5" s="0" t="s">
        <v>306</v>
      </c>
      <c r="F5" s="0" t="s">
        <v>343</v>
      </c>
      <c r="G5" s="0" t="s">
        <v>346</v>
      </c>
      <c r="H5" s="0" t="s">
        <v>345</v>
      </c>
    </row>
    <row r="6" customFormat="false" ht="15" hidden="false" customHeight="false" outlineLevel="0" collapsed="false">
      <c r="A6" s="0" t="s">
        <v>187</v>
      </c>
      <c r="B6" s="0" t="n">
        <v>2015</v>
      </c>
      <c r="C6" s="0" t="s">
        <v>342</v>
      </c>
      <c r="E6" s="0" t="s">
        <v>306</v>
      </c>
      <c r="F6" s="0" t="s">
        <v>343</v>
      </c>
      <c r="G6" s="0" t="s">
        <v>347</v>
      </c>
      <c r="H6" s="0" t="s">
        <v>345</v>
      </c>
    </row>
    <row r="7" customFormat="false" ht="15" hidden="false" customHeight="false" outlineLevel="0" collapsed="false">
      <c r="A7" s="0" t="s">
        <v>149</v>
      </c>
      <c r="B7" s="0" t="n">
        <v>2022</v>
      </c>
      <c r="C7" s="0" t="s">
        <v>342</v>
      </c>
      <c r="E7" s="0" t="s">
        <v>306</v>
      </c>
      <c r="F7" s="0" t="s">
        <v>343</v>
      </c>
      <c r="G7" s="0" t="s">
        <v>348</v>
      </c>
      <c r="H7" s="0" t="s">
        <v>345</v>
      </c>
    </row>
    <row r="8" customFormat="false" ht="15" hidden="false" customHeight="false" outlineLevel="0" collapsed="false">
      <c r="A8" s="0" t="s">
        <v>149</v>
      </c>
      <c r="B8" s="0" t="n">
        <v>2021</v>
      </c>
      <c r="C8" s="0" t="s">
        <v>342</v>
      </c>
      <c r="E8" s="0" t="s">
        <v>306</v>
      </c>
      <c r="F8" s="0" t="s">
        <v>343</v>
      </c>
      <c r="G8" s="0" t="s">
        <v>349</v>
      </c>
      <c r="H8" s="0" t="s">
        <v>345</v>
      </c>
    </row>
    <row r="9" customFormat="false" ht="15" hidden="false" customHeight="false" outlineLevel="0" collapsed="false">
      <c r="A9" s="0" t="s">
        <v>149</v>
      </c>
      <c r="B9" s="0" t="n">
        <v>2020</v>
      </c>
      <c r="C9" s="0" t="s">
        <v>342</v>
      </c>
      <c r="E9" s="0" t="s">
        <v>306</v>
      </c>
      <c r="F9" s="0" t="s">
        <v>343</v>
      </c>
      <c r="G9" s="0" t="s">
        <v>350</v>
      </c>
      <c r="H9" s="0" t="s">
        <v>345</v>
      </c>
    </row>
    <row r="10" customFormat="false" ht="15" hidden="false" customHeight="false" outlineLevel="0" collapsed="false">
      <c r="A10" s="0" t="s">
        <v>222</v>
      </c>
      <c r="B10" s="0" t="n">
        <v>2016</v>
      </c>
      <c r="C10" s="0" t="s">
        <v>342</v>
      </c>
      <c r="E10" s="0" t="s">
        <v>306</v>
      </c>
      <c r="F10" s="0" t="s">
        <v>343</v>
      </c>
      <c r="G10" s="0" t="s">
        <v>351</v>
      </c>
      <c r="H10" s="0" t="s">
        <v>345</v>
      </c>
    </row>
    <row r="11" customFormat="false" ht="15" hidden="false" customHeight="false" outlineLevel="0" collapsed="false">
      <c r="A11" s="0" t="s">
        <v>222</v>
      </c>
      <c r="B11" s="0" t="n">
        <v>2017</v>
      </c>
      <c r="C11" s="0" t="s">
        <v>342</v>
      </c>
      <c r="E11" s="0" t="s">
        <v>306</v>
      </c>
      <c r="F11" s="0" t="s">
        <v>343</v>
      </c>
      <c r="G11" s="0" t="s">
        <v>352</v>
      </c>
      <c r="H11" s="0" t="s">
        <v>345</v>
      </c>
    </row>
    <row r="12" customFormat="false" ht="15" hidden="false" customHeight="false" outlineLevel="0" collapsed="false">
      <c r="A12" s="0" t="s">
        <v>222</v>
      </c>
      <c r="B12" s="0" t="n">
        <v>2018</v>
      </c>
      <c r="C12" s="0" t="s">
        <v>342</v>
      </c>
      <c r="E12" s="0" t="s">
        <v>306</v>
      </c>
      <c r="F12" s="0" t="s">
        <v>343</v>
      </c>
      <c r="G12" s="0" t="s">
        <v>353</v>
      </c>
      <c r="H12" s="0" t="s">
        <v>345</v>
      </c>
    </row>
    <row r="13" customFormat="false" ht="15" hidden="false" customHeight="false" outlineLevel="0" collapsed="false">
      <c r="A13" s="0" t="s">
        <v>222</v>
      </c>
      <c r="B13" s="0" t="n">
        <v>2019</v>
      </c>
      <c r="C13" s="0" t="s">
        <v>342</v>
      </c>
      <c r="E13" s="0" t="s">
        <v>306</v>
      </c>
      <c r="F13" s="0" t="s">
        <v>343</v>
      </c>
      <c r="G13" s="0" t="s">
        <v>354</v>
      </c>
      <c r="H13" s="0" t="s">
        <v>345</v>
      </c>
    </row>
    <row r="14" customFormat="false" ht="15" hidden="false" customHeight="false" outlineLevel="0" collapsed="false">
      <c r="A14" s="0" t="s">
        <v>222</v>
      </c>
      <c r="B14" s="0" t="n">
        <v>2020</v>
      </c>
      <c r="C14" s="0" t="s">
        <v>342</v>
      </c>
      <c r="E14" s="0" t="s">
        <v>306</v>
      </c>
      <c r="F14" s="0" t="s">
        <v>343</v>
      </c>
      <c r="G14" s="0" t="s">
        <v>355</v>
      </c>
      <c r="H14" s="0" t="s">
        <v>345</v>
      </c>
    </row>
    <row r="15" customFormat="false" ht="15" hidden="false" customHeight="false" outlineLevel="0" collapsed="false">
      <c r="A15" s="0" t="s">
        <v>136</v>
      </c>
      <c r="B15" s="0" t="n">
        <v>2019</v>
      </c>
      <c r="C15" s="0" t="s">
        <v>342</v>
      </c>
      <c r="E15" s="0" t="s">
        <v>306</v>
      </c>
      <c r="F15" s="0" t="s">
        <v>343</v>
      </c>
      <c r="G15" s="0" t="s">
        <v>356</v>
      </c>
      <c r="H15" s="0" t="s">
        <v>345</v>
      </c>
    </row>
    <row r="16" customFormat="false" ht="15" hidden="false" customHeight="false" outlineLevel="0" collapsed="false">
      <c r="A16" s="0" t="s">
        <v>136</v>
      </c>
      <c r="B16" s="0" t="n">
        <v>2018</v>
      </c>
      <c r="C16" s="0" t="s">
        <v>342</v>
      </c>
      <c r="E16" s="0" t="s">
        <v>306</v>
      </c>
      <c r="F16" s="0" t="s">
        <v>343</v>
      </c>
      <c r="G16" s="0" t="s">
        <v>357</v>
      </c>
      <c r="H16" s="0" t="s">
        <v>345</v>
      </c>
    </row>
    <row r="17" customFormat="false" ht="15" hidden="false" customHeight="false" outlineLevel="0" collapsed="false">
      <c r="A17" s="0" t="s">
        <v>136</v>
      </c>
      <c r="B17" s="0" t="n">
        <v>2017</v>
      </c>
      <c r="C17" s="0" t="s">
        <v>342</v>
      </c>
      <c r="E17" s="0" t="s">
        <v>306</v>
      </c>
      <c r="F17" s="0" t="s">
        <v>343</v>
      </c>
      <c r="G17" s="0" t="s">
        <v>358</v>
      </c>
      <c r="H17" s="0" t="s">
        <v>345</v>
      </c>
    </row>
    <row r="18" customFormat="false" ht="15" hidden="false" customHeight="false" outlineLevel="0" collapsed="false">
      <c r="A18" s="0" t="s">
        <v>125</v>
      </c>
      <c r="B18" s="0" t="n">
        <v>2017</v>
      </c>
      <c r="C18" s="0" t="s">
        <v>342</v>
      </c>
      <c r="E18" s="0" t="s">
        <v>306</v>
      </c>
      <c r="F18" s="0" t="s">
        <v>343</v>
      </c>
      <c r="G18" s="0" t="s">
        <v>359</v>
      </c>
      <c r="H18" s="0" t="s">
        <v>345</v>
      </c>
    </row>
    <row r="19" customFormat="false" ht="15" hidden="false" customHeight="false" outlineLevel="0" collapsed="false">
      <c r="A19" s="0" t="s">
        <v>125</v>
      </c>
      <c r="B19" s="0" t="n">
        <v>2016</v>
      </c>
      <c r="C19" s="0" t="s">
        <v>342</v>
      </c>
      <c r="E19" s="0" t="s">
        <v>306</v>
      </c>
      <c r="F19" s="0" t="s">
        <v>343</v>
      </c>
      <c r="G19" s="0" t="s">
        <v>360</v>
      </c>
      <c r="H19" s="0" t="s">
        <v>345</v>
      </c>
    </row>
    <row r="20" customFormat="false" ht="15" hidden="false" customHeight="false" outlineLevel="0" collapsed="false">
      <c r="A20" s="0" t="s">
        <v>115</v>
      </c>
      <c r="B20" s="0" t="n">
        <v>2022</v>
      </c>
      <c r="C20" s="0" t="s">
        <v>342</v>
      </c>
      <c r="E20" s="0" t="s">
        <v>306</v>
      </c>
      <c r="F20" s="0" t="s">
        <v>343</v>
      </c>
      <c r="G20" s="0" t="s">
        <v>361</v>
      </c>
      <c r="H20" s="0" t="s">
        <v>345</v>
      </c>
    </row>
    <row r="21" customFormat="false" ht="15" hidden="false" customHeight="false" outlineLevel="0" collapsed="false">
      <c r="A21" s="0" t="s">
        <v>115</v>
      </c>
      <c r="B21" s="0" t="n">
        <v>2021</v>
      </c>
      <c r="C21" s="0" t="s">
        <v>342</v>
      </c>
      <c r="E21" s="0" t="s">
        <v>306</v>
      </c>
      <c r="F21" s="0" t="s">
        <v>343</v>
      </c>
      <c r="G21" s="0" t="s">
        <v>362</v>
      </c>
      <c r="H21" s="0" t="s">
        <v>345</v>
      </c>
    </row>
    <row r="22" customFormat="false" ht="15" hidden="false" customHeight="false" outlineLevel="0" collapsed="false">
      <c r="A22" s="0" t="s">
        <v>187</v>
      </c>
      <c r="B22" s="0" t="n">
        <v>2018</v>
      </c>
      <c r="C22" s="0" t="s">
        <v>73</v>
      </c>
      <c r="E22" s="0" t="n">
        <v>0</v>
      </c>
      <c r="F22" s="0" t="s">
        <v>363</v>
      </c>
      <c r="G22" s="0" t="s">
        <v>364</v>
      </c>
      <c r="H22" s="0" t="s">
        <v>365</v>
      </c>
    </row>
    <row r="23" customFormat="false" ht="15" hidden="false" customHeight="false" outlineLevel="0" collapsed="false">
      <c r="A23" s="0" t="s">
        <v>187</v>
      </c>
      <c r="B23" s="0" t="n">
        <v>2020</v>
      </c>
      <c r="C23" s="0" t="s">
        <v>73</v>
      </c>
      <c r="E23" s="0" t="n">
        <v>0</v>
      </c>
      <c r="F23" s="0" t="s">
        <v>363</v>
      </c>
      <c r="G23" s="0" t="s">
        <v>366</v>
      </c>
      <c r="H23" s="0" t="s">
        <v>365</v>
      </c>
    </row>
    <row r="24" customFormat="false" ht="15" hidden="false" customHeight="false" outlineLevel="0" collapsed="false">
      <c r="A24" s="0" t="s">
        <v>187</v>
      </c>
      <c r="B24" s="0" t="n">
        <v>2022</v>
      </c>
      <c r="C24" s="0" t="s">
        <v>73</v>
      </c>
      <c r="E24" s="0" t="n">
        <v>0</v>
      </c>
      <c r="F24" s="0" t="s">
        <v>363</v>
      </c>
      <c r="G24" s="0" t="s">
        <v>367</v>
      </c>
      <c r="H24" s="0" t="s">
        <v>365</v>
      </c>
    </row>
    <row r="25" customFormat="false" ht="15" hidden="false" customHeight="false" outlineLevel="0" collapsed="false">
      <c r="A25" s="0" t="s">
        <v>211</v>
      </c>
      <c r="B25" s="0" t="n">
        <v>2016</v>
      </c>
      <c r="C25" s="0" t="s">
        <v>73</v>
      </c>
      <c r="E25" s="0" t="n">
        <v>0</v>
      </c>
      <c r="F25" s="0" t="s">
        <v>363</v>
      </c>
      <c r="G25" s="0" t="s">
        <v>368</v>
      </c>
      <c r="H25" s="0" t="s">
        <v>365</v>
      </c>
    </row>
    <row r="26" customFormat="false" ht="15" hidden="false" customHeight="false" outlineLevel="0" collapsed="false">
      <c r="A26" s="0" t="s">
        <v>211</v>
      </c>
      <c r="B26" s="0" t="n">
        <v>2020</v>
      </c>
      <c r="C26" s="0" t="s">
        <v>73</v>
      </c>
      <c r="E26" s="0" t="n">
        <v>0</v>
      </c>
      <c r="F26" s="0" t="s">
        <v>363</v>
      </c>
      <c r="G26" s="0" t="s">
        <v>369</v>
      </c>
      <c r="H26" s="0" t="s">
        <v>365</v>
      </c>
    </row>
    <row r="27" customFormat="false" ht="15" hidden="false" customHeight="false" outlineLevel="0" collapsed="false">
      <c r="A27" s="0" t="s">
        <v>211</v>
      </c>
      <c r="B27" s="0" t="n">
        <v>2022</v>
      </c>
      <c r="C27" s="0" t="s">
        <v>73</v>
      </c>
      <c r="E27" s="0" t="n">
        <v>0</v>
      </c>
      <c r="F27" s="0" t="s">
        <v>363</v>
      </c>
      <c r="G27" s="0" t="s">
        <v>370</v>
      </c>
      <c r="H27" s="0" t="s">
        <v>365</v>
      </c>
    </row>
    <row r="28" customFormat="false" ht="15" hidden="false" customHeight="false" outlineLevel="0" collapsed="false">
      <c r="A28" s="0" t="s">
        <v>115</v>
      </c>
      <c r="B28" s="0" t="n">
        <v>2019</v>
      </c>
      <c r="C28" s="0" t="s">
        <v>73</v>
      </c>
      <c r="E28" s="0" t="n">
        <v>0</v>
      </c>
      <c r="F28" s="0" t="s">
        <v>363</v>
      </c>
      <c r="G28" s="0" t="s">
        <v>371</v>
      </c>
      <c r="H28" s="0" t="s">
        <v>365</v>
      </c>
    </row>
    <row r="29" customFormat="false" ht="15" hidden="false" customHeight="false" outlineLevel="0" collapsed="false">
      <c r="A29" s="0" t="s">
        <v>169</v>
      </c>
      <c r="B29" s="0" t="n">
        <v>2014</v>
      </c>
      <c r="C29" s="0" t="s">
        <v>73</v>
      </c>
      <c r="E29" s="0" t="n">
        <v>0</v>
      </c>
      <c r="F29" s="0" t="s">
        <v>363</v>
      </c>
      <c r="G29" s="0" t="s">
        <v>372</v>
      </c>
      <c r="H29" s="0" t="s">
        <v>365</v>
      </c>
    </row>
    <row r="30" customFormat="false" ht="15" hidden="false" customHeight="false" outlineLevel="0" collapsed="false">
      <c r="A30" s="0" t="s">
        <v>169</v>
      </c>
      <c r="B30" s="0" t="n">
        <v>2019</v>
      </c>
      <c r="C30" s="0" t="s">
        <v>73</v>
      </c>
      <c r="E30" s="0" t="n">
        <v>0</v>
      </c>
      <c r="F30" s="0" t="s">
        <v>363</v>
      </c>
      <c r="G30" s="0" t="s">
        <v>373</v>
      </c>
      <c r="H30" s="0" t="s">
        <v>365</v>
      </c>
    </row>
    <row r="31" customFormat="false" ht="15" hidden="false" customHeight="false" outlineLevel="0" collapsed="false">
      <c r="A31" s="0" t="s">
        <v>149</v>
      </c>
      <c r="B31" s="0" t="n">
        <v>2018</v>
      </c>
      <c r="C31" s="0" t="s">
        <v>342</v>
      </c>
      <c r="E31" s="0" t="s">
        <v>306</v>
      </c>
      <c r="F31" s="0" t="s">
        <v>343</v>
      </c>
      <c r="G31" s="0" t="s">
        <v>374</v>
      </c>
      <c r="H31" s="0" t="s">
        <v>345</v>
      </c>
    </row>
    <row r="32" customFormat="false" ht="15" hidden="false" customHeight="false" outlineLevel="0" collapsed="false">
      <c r="A32" s="0" t="s">
        <v>149</v>
      </c>
      <c r="B32" s="0" t="n">
        <v>2019</v>
      </c>
      <c r="C32" s="0" t="s">
        <v>342</v>
      </c>
      <c r="E32" s="0" t="s">
        <v>306</v>
      </c>
      <c r="F32" s="0" t="s">
        <v>343</v>
      </c>
      <c r="G32" s="0" t="s">
        <v>375</v>
      </c>
      <c r="H32" s="0" t="s">
        <v>345</v>
      </c>
    </row>
    <row r="33" customFormat="false" ht="15" hidden="false" customHeight="false" outlineLevel="0" collapsed="false">
      <c r="A33" s="0" t="s">
        <v>115</v>
      </c>
      <c r="B33" s="0" t="n">
        <v>2014</v>
      </c>
      <c r="C33" s="0" t="s">
        <v>342</v>
      </c>
      <c r="E33" s="0" t="s">
        <v>306</v>
      </c>
      <c r="F33" s="0" t="s">
        <v>343</v>
      </c>
      <c r="G33" s="0" t="s">
        <v>376</v>
      </c>
      <c r="H33" s="0" t="s">
        <v>345</v>
      </c>
    </row>
    <row r="34" customFormat="false" ht="15" hidden="false" customHeight="false" outlineLevel="0" collapsed="false">
      <c r="A34" s="0" t="s">
        <v>115</v>
      </c>
      <c r="B34" s="0" t="n">
        <v>2015</v>
      </c>
      <c r="C34" s="0" t="s">
        <v>342</v>
      </c>
      <c r="E34" s="0" t="s">
        <v>306</v>
      </c>
      <c r="F34" s="0" t="s">
        <v>343</v>
      </c>
      <c r="G34" s="0" t="s">
        <v>377</v>
      </c>
      <c r="H34" s="0" t="s">
        <v>345</v>
      </c>
    </row>
    <row r="35" customFormat="false" ht="15" hidden="false" customHeight="false" outlineLevel="0" collapsed="false">
      <c r="A35" s="0" t="s">
        <v>115</v>
      </c>
      <c r="B35" s="0" t="n">
        <v>2016</v>
      </c>
      <c r="C35" s="0" t="s">
        <v>342</v>
      </c>
      <c r="E35" s="0" t="s">
        <v>306</v>
      </c>
      <c r="F35" s="0" t="s">
        <v>343</v>
      </c>
      <c r="G35" s="0" t="s">
        <v>378</v>
      </c>
      <c r="H35" s="0" t="s">
        <v>345</v>
      </c>
    </row>
    <row r="36" customFormat="false" ht="15" hidden="false" customHeight="false" outlineLevel="0" collapsed="false">
      <c r="A36" s="0" t="s">
        <v>115</v>
      </c>
      <c r="B36" s="0" t="n">
        <v>2017</v>
      </c>
      <c r="C36" s="0" t="s">
        <v>342</v>
      </c>
      <c r="E36" s="0" t="s">
        <v>306</v>
      </c>
      <c r="F36" s="0" t="s">
        <v>343</v>
      </c>
      <c r="G36" s="0" t="s">
        <v>379</v>
      </c>
      <c r="H36" s="0" t="s">
        <v>345</v>
      </c>
    </row>
    <row r="37" customFormat="false" ht="15" hidden="false" customHeight="false" outlineLevel="0" collapsed="false">
      <c r="A37" s="0" t="s">
        <v>115</v>
      </c>
      <c r="B37" s="0" t="n">
        <v>2020</v>
      </c>
      <c r="C37" s="0" t="s">
        <v>342</v>
      </c>
      <c r="E37" s="0" t="s">
        <v>306</v>
      </c>
      <c r="F37" s="0" t="s">
        <v>343</v>
      </c>
      <c r="G37" s="0" t="s">
        <v>380</v>
      </c>
      <c r="H37" s="0" t="s">
        <v>345</v>
      </c>
    </row>
    <row r="38" customFormat="false" ht="15" hidden="false" customHeight="false" outlineLevel="0" collapsed="false">
      <c r="A38" s="0" t="s">
        <v>211</v>
      </c>
      <c r="B38" s="0" t="n">
        <v>2013</v>
      </c>
      <c r="C38" s="0" t="s">
        <v>342</v>
      </c>
      <c r="E38" s="0" t="s">
        <v>306</v>
      </c>
      <c r="F38" s="0" t="s">
        <v>343</v>
      </c>
      <c r="G38" s="0" t="s">
        <v>381</v>
      </c>
      <c r="H38" s="0" t="s">
        <v>345</v>
      </c>
    </row>
    <row r="39" customFormat="false" ht="15" hidden="false" customHeight="false" outlineLevel="0" collapsed="false">
      <c r="A39" s="0" t="s">
        <v>222</v>
      </c>
      <c r="B39" s="0" t="n">
        <v>2013</v>
      </c>
      <c r="C39" s="0" t="s">
        <v>342</v>
      </c>
      <c r="E39" s="0" t="s">
        <v>306</v>
      </c>
      <c r="F39" s="0" t="s">
        <v>343</v>
      </c>
      <c r="G39" s="0" t="s">
        <v>382</v>
      </c>
      <c r="H39" s="0" t="s">
        <v>345</v>
      </c>
    </row>
    <row r="40" customFormat="false" ht="15" hidden="false" customHeight="false" outlineLevel="0" collapsed="false">
      <c r="A40" s="0" t="s">
        <v>77</v>
      </c>
      <c r="B40" s="0" t="n">
        <v>2015</v>
      </c>
      <c r="C40" s="0" t="s">
        <v>342</v>
      </c>
      <c r="E40" s="0" t="s">
        <v>306</v>
      </c>
      <c r="F40" s="0" t="s">
        <v>343</v>
      </c>
      <c r="G40" s="0" t="s">
        <v>383</v>
      </c>
      <c r="H40" s="0" t="s">
        <v>345</v>
      </c>
    </row>
    <row r="41" customFormat="false" ht="15" hidden="false" customHeight="false" outlineLevel="0" collapsed="false">
      <c r="A41" s="0" t="s">
        <v>77</v>
      </c>
      <c r="B41" s="0" t="n">
        <v>2016</v>
      </c>
      <c r="C41" s="0" t="s">
        <v>342</v>
      </c>
      <c r="E41" s="0" t="s">
        <v>306</v>
      </c>
      <c r="F41" s="0" t="s">
        <v>343</v>
      </c>
      <c r="G41" s="0" t="s">
        <v>384</v>
      </c>
      <c r="H41" s="0" t="s">
        <v>345</v>
      </c>
    </row>
    <row r="42" customFormat="false" ht="15" hidden="false" customHeight="false" outlineLevel="0" collapsed="false">
      <c r="A42" s="0" t="s">
        <v>77</v>
      </c>
      <c r="B42" s="0" t="n">
        <v>2017</v>
      </c>
      <c r="C42" s="0" t="s">
        <v>342</v>
      </c>
      <c r="E42" s="0" t="s">
        <v>306</v>
      </c>
      <c r="F42" s="0" t="s">
        <v>343</v>
      </c>
      <c r="G42" s="0" t="s">
        <v>385</v>
      </c>
      <c r="H42" s="0" t="s">
        <v>345</v>
      </c>
    </row>
    <row r="43" customFormat="false" ht="15" hidden="false" customHeight="false" outlineLevel="0" collapsed="false">
      <c r="A43" s="0" t="s">
        <v>77</v>
      </c>
      <c r="B43" s="0" t="n">
        <v>2020</v>
      </c>
      <c r="C43" s="0" t="s">
        <v>342</v>
      </c>
      <c r="E43" s="0" t="s">
        <v>306</v>
      </c>
      <c r="F43" s="0" t="s">
        <v>343</v>
      </c>
      <c r="G43" s="0" t="s">
        <v>386</v>
      </c>
      <c r="H43" s="0" t="s">
        <v>345</v>
      </c>
    </row>
    <row r="44" customFormat="false" ht="15" hidden="false" customHeight="false" outlineLevel="0" collapsed="false">
      <c r="A44" s="0" t="s">
        <v>201</v>
      </c>
      <c r="B44" s="0" t="n">
        <v>2014</v>
      </c>
      <c r="C44" s="0" t="s">
        <v>342</v>
      </c>
      <c r="E44" s="0" t="s">
        <v>306</v>
      </c>
      <c r="F44" s="0" t="s">
        <v>343</v>
      </c>
      <c r="G44" s="0" t="s">
        <v>387</v>
      </c>
      <c r="H44" s="0" t="s">
        <v>345</v>
      </c>
    </row>
    <row r="45" customFormat="false" ht="15" hidden="false" customHeight="false" outlineLevel="0" collapsed="false">
      <c r="A45" s="0" t="s">
        <v>77</v>
      </c>
      <c r="B45" s="0" t="n">
        <v>2019</v>
      </c>
      <c r="C45" s="0" t="s">
        <v>342</v>
      </c>
      <c r="E45" s="0" t="s">
        <v>306</v>
      </c>
      <c r="F45" s="0" t="s">
        <v>343</v>
      </c>
      <c r="G45" s="0" t="s">
        <v>388</v>
      </c>
      <c r="H45" s="0" t="s">
        <v>345</v>
      </c>
    </row>
    <row r="46" customFormat="false" ht="15" hidden="false" customHeight="false" outlineLevel="0" collapsed="false">
      <c r="A46" s="0" t="s">
        <v>77</v>
      </c>
      <c r="B46" s="0" t="n">
        <v>2021</v>
      </c>
      <c r="C46" s="0" t="s">
        <v>342</v>
      </c>
      <c r="E46" s="0" t="s">
        <v>306</v>
      </c>
      <c r="F46" s="0" t="s">
        <v>343</v>
      </c>
      <c r="G46" s="0" t="s">
        <v>389</v>
      </c>
      <c r="H46" s="0" t="s">
        <v>345</v>
      </c>
    </row>
    <row r="47" customFormat="false" ht="15" hidden="false" customHeight="false" outlineLevel="0" collapsed="false">
      <c r="A47" s="0" t="s">
        <v>201</v>
      </c>
      <c r="B47" s="0" t="n">
        <v>2015</v>
      </c>
      <c r="C47" s="0" t="s">
        <v>342</v>
      </c>
      <c r="E47" s="0" t="s">
        <v>306</v>
      </c>
      <c r="F47" s="0" t="s">
        <v>343</v>
      </c>
      <c r="G47" s="0" t="s">
        <v>390</v>
      </c>
      <c r="H47" s="0" t="s">
        <v>345</v>
      </c>
    </row>
    <row r="48" customFormat="false" ht="15" hidden="false" customHeight="false" outlineLevel="0" collapsed="false">
      <c r="A48" s="0" t="s">
        <v>201</v>
      </c>
      <c r="B48" s="0" t="n">
        <v>2016</v>
      </c>
      <c r="C48" s="0" t="s">
        <v>342</v>
      </c>
      <c r="E48" s="0" t="s">
        <v>306</v>
      </c>
      <c r="F48" s="0" t="s">
        <v>343</v>
      </c>
      <c r="G48" s="0" t="s">
        <v>391</v>
      </c>
      <c r="H48" s="0" t="s">
        <v>345</v>
      </c>
    </row>
    <row r="49" customFormat="false" ht="15" hidden="false" customHeight="false" outlineLevel="0" collapsed="false">
      <c r="A49" s="0" t="s">
        <v>201</v>
      </c>
      <c r="B49" s="0" t="n">
        <v>2021</v>
      </c>
      <c r="C49" s="0" t="s">
        <v>342</v>
      </c>
      <c r="E49" s="0" t="s">
        <v>306</v>
      </c>
      <c r="F49" s="0" t="s">
        <v>343</v>
      </c>
      <c r="G49" s="0" t="s">
        <v>392</v>
      </c>
      <c r="H49" s="0" t="s">
        <v>345</v>
      </c>
    </row>
    <row r="50" customFormat="false" ht="15" hidden="false" customHeight="false" outlineLevel="0" collapsed="false">
      <c r="A50" s="0" t="s">
        <v>169</v>
      </c>
      <c r="B50" s="0" t="n">
        <v>2015</v>
      </c>
      <c r="C50" s="0" t="s">
        <v>342</v>
      </c>
      <c r="E50" s="0" t="s">
        <v>306</v>
      </c>
      <c r="F50" s="0" t="s">
        <v>343</v>
      </c>
      <c r="G50" s="0" t="s">
        <v>393</v>
      </c>
      <c r="H50" s="0" t="s">
        <v>345</v>
      </c>
    </row>
    <row r="51" customFormat="false" ht="15" hidden="false" customHeight="false" outlineLevel="0" collapsed="false">
      <c r="A51" s="0" t="s">
        <v>169</v>
      </c>
      <c r="B51" s="0" t="n">
        <v>2020</v>
      </c>
      <c r="C51" s="0" t="s">
        <v>342</v>
      </c>
      <c r="E51" s="0" t="s">
        <v>306</v>
      </c>
      <c r="F51" s="0" t="s">
        <v>343</v>
      </c>
      <c r="G51" s="0" t="s">
        <v>394</v>
      </c>
      <c r="H51" s="0" t="s">
        <v>345</v>
      </c>
    </row>
    <row r="52" customFormat="false" ht="15" hidden="false" customHeight="false" outlineLevel="0" collapsed="false">
      <c r="A52" s="0" t="s">
        <v>169</v>
      </c>
      <c r="B52" s="0" t="n">
        <v>2021</v>
      </c>
      <c r="C52" s="0" t="s">
        <v>342</v>
      </c>
      <c r="E52" s="0" t="s">
        <v>306</v>
      </c>
      <c r="F52" s="0" t="s">
        <v>343</v>
      </c>
      <c r="G52" s="0" t="s">
        <v>395</v>
      </c>
      <c r="H52" s="0" t="s">
        <v>345</v>
      </c>
    </row>
    <row r="53" customFormat="false" ht="15" hidden="false" customHeight="false" outlineLevel="0" collapsed="false">
      <c r="A53" s="0" t="s">
        <v>77</v>
      </c>
      <c r="B53" s="0" t="n">
        <v>2018</v>
      </c>
      <c r="C53" s="0" t="s">
        <v>342</v>
      </c>
      <c r="E53" s="0" t="s">
        <v>306</v>
      </c>
      <c r="F53" s="0" t="s">
        <v>343</v>
      </c>
      <c r="G53" s="0" t="s">
        <v>396</v>
      </c>
      <c r="H53" s="0" t="s">
        <v>345</v>
      </c>
    </row>
    <row r="54" customFormat="false" ht="15" hidden="false" customHeight="false" outlineLevel="0" collapsed="false">
      <c r="A54" s="0" t="s">
        <v>201</v>
      </c>
      <c r="B54" s="0" t="n">
        <v>2020</v>
      </c>
      <c r="C54" s="0" t="s">
        <v>342</v>
      </c>
      <c r="E54" s="0" t="s">
        <v>306</v>
      </c>
      <c r="F54" s="0" t="s">
        <v>343</v>
      </c>
      <c r="G54" s="0" t="s">
        <v>397</v>
      </c>
      <c r="H54" s="0" t="s">
        <v>345</v>
      </c>
    </row>
    <row r="55" customFormat="false" ht="15" hidden="false" customHeight="false" outlineLevel="0" collapsed="false">
      <c r="A55" s="0" t="s">
        <v>201</v>
      </c>
      <c r="B55" s="0" t="n">
        <v>2013</v>
      </c>
      <c r="C55" s="0" t="s">
        <v>342</v>
      </c>
      <c r="E55" s="0" t="s">
        <v>306</v>
      </c>
      <c r="F55" s="0" t="s">
        <v>343</v>
      </c>
      <c r="G55" s="0" t="s">
        <v>398</v>
      </c>
      <c r="H55" s="0" t="s">
        <v>345</v>
      </c>
    </row>
    <row r="56" customFormat="false" ht="15" hidden="false" customHeight="false" outlineLevel="0" collapsed="false">
      <c r="A56" s="0" t="s">
        <v>201</v>
      </c>
      <c r="B56" s="0" t="n">
        <v>2017</v>
      </c>
      <c r="C56" s="0" t="s">
        <v>342</v>
      </c>
      <c r="E56" s="0" t="s">
        <v>306</v>
      </c>
      <c r="F56" s="0" t="s">
        <v>343</v>
      </c>
      <c r="G56" s="0" t="s">
        <v>399</v>
      </c>
      <c r="H56" s="0" t="s">
        <v>345</v>
      </c>
    </row>
    <row r="57" customFormat="false" ht="15" hidden="false" customHeight="false" outlineLevel="0" collapsed="false">
      <c r="A57" s="0" t="s">
        <v>201</v>
      </c>
      <c r="B57" s="0" t="n">
        <v>2022</v>
      </c>
      <c r="C57" s="0" t="s">
        <v>342</v>
      </c>
      <c r="E57" s="0" t="s">
        <v>306</v>
      </c>
      <c r="F57" s="0" t="s">
        <v>343</v>
      </c>
      <c r="G57" s="0" t="s">
        <v>400</v>
      </c>
      <c r="H57" s="0" t="s">
        <v>345</v>
      </c>
    </row>
    <row r="58" customFormat="false" ht="15" hidden="false" customHeight="false" outlineLevel="0" collapsed="false">
      <c r="A58" s="0" t="s">
        <v>169</v>
      </c>
      <c r="B58" s="0" t="n">
        <v>2016</v>
      </c>
      <c r="C58" s="0" t="s">
        <v>342</v>
      </c>
      <c r="E58" s="0" t="s">
        <v>306</v>
      </c>
      <c r="F58" s="0" t="s">
        <v>343</v>
      </c>
      <c r="G58" s="0" t="s">
        <v>401</v>
      </c>
      <c r="H58" s="0" t="s">
        <v>345</v>
      </c>
    </row>
    <row r="59" customFormat="false" ht="15" hidden="false" customHeight="false" outlineLevel="0" collapsed="false">
      <c r="A59" s="0" t="s">
        <v>169</v>
      </c>
      <c r="B59" s="0" t="n">
        <v>2017</v>
      </c>
      <c r="C59" s="0" t="s">
        <v>342</v>
      </c>
      <c r="E59" s="0" t="s">
        <v>306</v>
      </c>
      <c r="F59" s="0" t="s">
        <v>343</v>
      </c>
      <c r="G59" s="0" t="s">
        <v>402</v>
      </c>
      <c r="H59" s="0" t="s">
        <v>345</v>
      </c>
    </row>
    <row r="60" customFormat="false" ht="15" hidden="false" customHeight="false" outlineLevel="0" collapsed="false">
      <c r="A60" s="0" t="s">
        <v>125</v>
      </c>
      <c r="B60" s="0" t="n">
        <v>2015</v>
      </c>
      <c r="C60" s="0" t="s">
        <v>342</v>
      </c>
      <c r="E60" s="0" t="s">
        <v>306</v>
      </c>
      <c r="F60" s="0" t="s">
        <v>343</v>
      </c>
      <c r="G60" s="0" t="s">
        <v>403</v>
      </c>
      <c r="H60" s="0" t="s">
        <v>345</v>
      </c>
    </row>
    <row r="61" customFormat="false" ht="15" hidden="false" customHeight="false" outlineLevel="0" collapsed="false">
      <c r="A61" s="0" t="s">
        <v>169</v>
      </c>
      <c r="B61" s="0" t="n">
        <v>2022</v>
      </c>
      <c r="C61" s="0" t="s">
        <v>342</v>
      </c>
      <c r="E61" s="0" t="s">
        <v>306</v>
      </c>
      <c r="F61" s="0" t="s">
        <v>343</v>
      </c>
      <c r="G61" s="0" t="s">
        <v>404</v>
      </c>
      <c r="H61" s="0" t="s">
        <v>345</v>
      </c>
    </row>
    <row r="62" customFormat="false" ht="15" hidden="false" customHeight="false" outlineLevel="0" collapsed="false">
      <c r="A62" s="0" t="s">
        <v>136</v>
      </c>
      <c r="B62" s="0" t="n">
        <v>2020</v>
      </c>
      <c r="C62" s="0" t="s">
        <v>342</v>
      </c>
      <c r="E62" s="0" t="s">
        <v>306</v>
      </c>
      <c r="F62" s="0" t="s">
        <v>343</v>
      </c>
      <c r="G62" s="0" t="s">
        <v>405</v>
      </c>
      <c r="H62" s="0" t="s">
        <v>345</v>
      </c>
    </row>
    <row r="63" customFormat="false" ht="15" hidden="false" customHeight="false" outlineLevel="0" collapsed="false">
      <c r="A63" s="0" t="s">
        <v>77</v>
      </c>
      <c r="B63" s="0" t="n">
        <v>2022</v>
      </c>
      <c r="C63" s="0" t="s">
        <v>342</v>
      </c>
      <c r="E63" s="0" t="s">
        <v>306</v>
      </c>
      <c r="F63" s="0" t="s">
        <v>343</v>
      </c>
      <c r="G63" s="0" t="s">
        <v>406</v>
      </c>
      <c r="H63" s="0" t="s">
        <v>345</v>
      </c>
    </row>
    <row r="64" customFormat="false" ht="15" hidden="false" customHeight="false" outlineLevel="0" collapsed="false">
      <c r="A64" s="0" t="s">
        <v>100</v>
      </c>
      <c r="B64" s="0" t="n">
        <v>2013</v>
      </c>
      <c r="C64" s="0" t="s">
        <v>342</v>
      </c>
      <c r="E64" s="0" t="s">
        <v>306</v>
      </c>
      <c r="F64" s="0" t="s">
        <v>343</v>
      </c>
      <c r="G64" s="0" t="s">
        <v>407</v>
      </c>
      <c r="H64" s="0" t="s">
        <v>345</v>
      </c>
    </row>
    <row r="65" customFormat="false" ht="15" hidden="false" customHeight="false" outlineLevel="0" collapsed="false">
      <c r="A65" s="0" t="s">
        <v>100</v>
      </c>
      <c r="B65" s="0" t="n">
        <v>2014</v>
      </c>
      <c r="C65" s="0" t="s">
        <v>342</v>
      </c>
      <c r="E65" s="0" t="s">
        <v>306</v>
      </c>
      <c r="F65" s="0" t="s">
        <v>343</v>
      </c>
      <c r="G65" s="0" t="s">
        <v>408</v>
      </c>
      <c r="H65" s="0" t="s">
        <v>345</v>
      </c>
    </row>
    <row r="66" customFormat="false" ht="15" hidden="false" customHeight="false" outlineLevel="0" collapsed="false">
      <c r="A66" s="0" t="s">
        <v>100</v>
      </c>
      <c r="B66" s="0" t="n">
        <v>2015</v>
      </c>
      <c r="C66" s="0" t="s">
        <v>342</v>
      </c>
      <c r="E66" s="0" t="s">
        <v>306</v>
      </c>
      <c r="F66" s="0" t="s">
        <v>343</v>
      </c>
      <c r="G66" s="0" t="s">
        <v>409</v>
      </c>
      <c r="H66" s="0" t="s">
        <v>345</v>
      </c>
    </row>
    <row r="67" customFormat="false" ht="15" hidden="false" customHeight="false" outlineLevel="0" collapsed="false">
      <c r="A67" s="0" t="s">
        <v>100</v>
      </c>
      <c r="B67" s="0" t="n">
        <v>2018</v>
      </c>
      <c r="C67" s="0" t="s">
        <v>342</v>
      </c>
      <c r="E67" s="0" t="s">
        <v>306</v>
      </c>
      <c r="F67" s="0" t="s">
        <v>343</v>
      </c>
      <c r="G67" s="0" t="s">
        <v>410</v>
      </c>
      <c r="H67" s="0" t="s">
        <v>345</v>
      </c>
    </row>
    <row r="68" customFormat="false" ht="15" hidden="false" customHeight="false" outlineLevel="0" collapsed="false">
      <c r="A68" s="0" t="s">
        <v>100</v>
      </c>
      <c r="B68" s="0" t="n">
        <v>2019</v>
      </c>
      <c r="C68" s="0" t="s">
        <v>342</v>
      </c>
      <c r="E68" s="0" t="s">
        <v>306</v>
      </c>
      <c r="F68" s="0" t="s">
        <v>343</v>
      </c>
      <c r="G68" s="0" t="s">
        <v>411</v>
      </c>
      <c r="H68" s="0" t="s">
        <v>345</v>
      </c>
    </row>
    <row r="69" customFormat="false" ht="15" hidden="false" customHeight="false" outlineLevel="0" collapsed="false">
      <c r="A69" s="0" t="s">
        <v>100</v>
      </c>
      <c r="B69" s="0" t="n">
        <v>2020</v>
      </c>
      <c r="C69" s="0" t="s">
        <v>342</v>
      </c>
      <c r="E69" s="0" t="s">
        <v>306</v>
      </c>
      <c r="F69" s="0" t="s">
        <v>343</v>
      </c>
      <c r="G69" s="0" t="s">
        <v>412</v>
      </c>
      <c r="H69" s="0" t="s">
        <v>345</v>
      </c>
    </row>
    <row r="70" customFormat="false" ht="15" hidden="false" customHeight="false" outlineLevel="0" collapsed="false">
      <c r="A70" s="0" t="s">
        <v>100</v>
      </c>
      <c r="B70" s="0" t="n">
        <v>2021</v>
      </c>
      <c r="C70" s="0" t="s">
        <v>342</v>
      </c>
      <c r="E70" s="0" t="s">
        <v>306</v>
      </c>
      <c r="F70" s="0" t="s">
        <v>343</v>
      </c>
      <c r="G70" s="0" t="s">
        <v>413</v>
      </c>
      <c r="H70" s="0" t="s">
        <v>345</v>
      </c>
    </row>
    <row r="71" customFormat="false" ht="15" hidden="false" customHeight="false" outlineLevel="0" collapsed="false">
      <c r="A71" s="0" t="s">
        <v>100</v>
      </c>
      <c r="B71" s="0" t="n">
        <v>2022</v>
      </c>
      <c r="C71" s="0" t="s">
        <v>342</v>
      </c>
      <c r="E71" s="0" t="s">
        <v>306</v>
      </c>
      <c r="F71" s="0" t="s">
        <v>343</v>
      </c>
      <c r="G71" s="0" t="s">
        <v>414</v>
      </c>
      <c r="H71" s="0" t="s">
        <v>345</v>
      </c>
    </row>
    <row r="72" customFormat="false" ht="15" hidden="false" customHeight="false" outlineLevel="0" collapsed="false">
      <c r="A72" s="0" t="s">
        <v>136</v>
      </c>
      <c r="B72" s="0" t="n">
        <v>2015</v>
      </c>
      <c r="C72" s="0" t="s">
        <v>342</v>
      </c>
      <c r="E72" s="0" t="s">
        <v>306</v>
      </c>
      <c r="F72" s="0" t="s">
        <v>343</v>
      </c>
      <c r="G72" s="0" t="s">
        <v>415</v>
      </c>
      <c r="H72" s="0" t="s">
        <v>345</v>
      </c>
    </row>
    <row r="73" customFormat="false" ht="15" hidden="false" customHeight="false" outlineLevel="0" collapsed="false">
      <c r="A73" s="0" t="s">
        <v>136</v>
      </c>
      <c r="B73" s="0" t="n">
        <v>2016</v>
      </c>
      <c r="C73" s="0" t="s">
        <v>342</v>
      </c>
      <c r="E73" s="0" t="s">
        <v>306</v>
      </c>
      <c r="F73" s="0" t="s">
        <v>343</v>
      </c>
      <c r="G73" s="0" t="s">
        <v>416</v>
      </c>
      <c r="H73" s="0" t="s">
        <v>345</v>
      </c>
    </row>
    <row r="74" customFormat="false" ht="15" hidden="false" customHeight="false" outlineLevel="0" collapsed="false">
      <c r="A74" s="0" t="s">
        <v>136</v>
      </c>
      <c r="B74" s="0" t="n">
        <v>2021</v>
      </c>
      <c r="C74" s="0" t="s">
        <v>342</v>
      </c>
      <c r="E74" s="0" t="s">
        <v>306</v>
      </c>
      <c r="F74" s="0" t="s">
        <v>343</v>
      </c>
      <c r="G74" s="0" t="s">
        <v>417</v>
      </c>
      <c r="H74" s="0" t="s">
        <v>345</v>
      </c>
    </row>
    <row r="75" customFormat="false" ht="15" hidden="false" customHeight="false" outlineLevel="0" collapsed="false">
      <c r="A75" s="0" t="s">
        <v>136</v>
      </c>
      <c r="B75" s="0" t="n">
        <v>2022</v>
      </c>
      <c r="C75" s="0" t="s">
        <v>342</v>
      </c>
      <c r="E75" s="0" t="s">
        <v>306</v>
      </c>
      <c r="F75" s="0" t="s">
        <v>343</v>
      </c>
      <c r="G75" s="0" t="s">
        <v>418</v>
      </c>
      <c r="H75" s="0" t="s">
        <v>345</v>
      </c>
    </row>
    <row r="76" customFormat="false" ht="15" hidden="false" customHeight="false" outlineLevel="0" collapsed="false">
      <c r="A76" s="0" t="s">
        <v>149</v>
      </c>
      <c r="B76" s="0" t="n">
        <v>2013</v>
      </c>
      <c r="C76" s="0" t="s">
        <v>342</v>
      </c>
      <c r="E76" s="0" t="s">
        <v>306</v>
      </c>
      <c r="F76" s="0" t="s">
        <v>343</v>
      </c>
      <c r="G76" s="0" t="s">
        <v>419</v>
      </c>
      <c r="H76" s="0" t="s">
        <v>345</v>
      </c>
    </row>
    <row r="77" customFormat="false" ht="15" hidden="false" customHeight="false" outlineLevel="0" collapsed="false">
      <c r="A77" s="0" t="s">
        <v>149</v>
      </c>
      <c r="B77" s="0" t="n">
        <v>2014</v>
      </c>
      <c r="C77" s="0" t="s">
        <v>342</v>
      </c>
      <c r="E77" s="0" t="s">
        <v>306</v>
      </c>
      <c r="F77" s="0" t="s">
        <v>343</v>
      </c>
      <c r="G77" s="0" t="s">
        <v>420</v>
      </c>
      <c r="H77" s="0" t="s">
        <v>345</v>
      </c>
    </row>
    <row r="78" customFormat="false" ht="15" hidden="false" customHeight="false" outlineLevel="0" collapsed="false">
      <c r="A78" s="0" t="s">
        <v>149</v>
      </c>
      <c r="B78" s="0" t="n">
        <v>2015</v>
      </c>
      <c r="C78" s="0" t="s">
        <v>342</v>
      </c>
      <c r="E78" s="0" t="s">
        <v>306</v>
      </c>
      <c r="F78" s="0" t="s">
        <v>343</v>
      </c>
      <c r="G78" s="0" t="s">
        <v>421</v>
      </c>
      <c r="H78" s="0" t="s">
        <v>345</v>
      </c>
    </row>
    <row r="79" customFormat="false" ht="15" hidden="false" customHeight="false" outlineLevel="0" collapsed="false">
      <c r="A79" s="0" t="s">
        <v>149</v>
      </c>
      <c r="B79" s="0" t="n">
        <v>2016</v>
      </c>
      <c r="C79" s="0" t="s">
        <v>342</v>
      </c>
      <c r="E79" s="0" t="s">
        <v>306</v>
      </c>
      <c r="F79" s="0" t="s">
        <v>343</v>
      </c>
      <c r="G79" s="0" t="s">
        <v>422</v>
      </c>
      <c r="H79" s="0" t="s">
        <v>345</v>
      </c>
    </row>
    <row r="80" customFormat="false" ht="15" hidden="false" customHeight="false" outlineLevel="0" collapsed="false">
      <c r="A80" s="0" t="s">
        <v>149</v>
      </c>
      <c r="B80" s="0" t="n">
        <v>2017</v>
      </c>
      <c r="C80" s="0" t="s">
        <v>342</v>
      </c>
      <c r="E80" s="0" t="s">
        <v>306</v>
      </c>
      <c r="F80" s="0" t="s">
        <v>343</v>
      </c>
      <c r="G80" s="0" t="s">
        <v>423</v>
      </c>
      <c r="H80" s="0" t="s">
        <v>345</v>
      </c>
    </row>
    <row r="81" customFormat="false" ht="15" hidden="false" customHeight="false" outlineLevel="0" collapsed="false">
      <c r="A81" s="0" t="s">
        <v>125</v>
      </c>
      <c r="B81" s="0" t="n">
        <v>2019</v>
      </c>
      <c r="C81" s="0" t="s">
        <v>342</v>
      </c>
      <c r="E81" s="0" t="s">
        <v>306</v>
      </c>
      <c r="F81" s="0" t="s">
        <v>343</v>
      </c>
      <c r="G81" s="0" t="s">
        <v>424</v>
      </c>
      <c r="H81" s="0" t="s">
        <v>345</v>
      </c>
    </row>
    <row r="82" customFormat="false" ht="15" hidden="false" customHeight="false" outlineLevel="0" collapsed="false">
      <c r="A82" s="0" t="s">
        <v>125</v>
      </c>
      <c r="B82" s="0" t="n">
        <v>2018</v>
      </c>
      <c r="C82" s="0" t="s">
        <v>342</v>
      </c>
      <c r="E82" s="0" t="s">
        <v>306</v>
      </c>
      <c r="F82" s="0" t="s">
        <v>343</v>
      </c>
      <c r="G82" s="0" t="s">
        <v>425</v>
      </c>
      <c r="H82" s="0" t="s">
        <v>345</v>
      </c>
    </row>
    <row r="83" customFormat="false" ht="15" hidden="false" customHeight="false" outlineLevel="0" collapsed="false">
      <c r="A83" s="0" t="s">
        <v>125</v>
      </c>
      <c r="B83" s="0" t="n">
        <v>2022</v>
      </c>
      <c r="C83" s="0" t="s">
        <v>342</v>
      </c>
      <c r="E83" s="0" t="s">
        <v>306</v>
      </c>
      <c r="F83" s="0" t="s">
        <v>343</v>
      </c>
      <c r="G83" s="0" t="s">
        <v>426</v>
      </c>
      <c r="H83" s="0"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1"/>
    <col collapsed="false" customWidth="true" hidden="false" outlineLevel="0" max="6" min="6" style="0" width="20"/>
    <col collapsed="false" customWidth="true" hidden="false" outlineLevel="0" max="8" min="7" style="0" width="10"/>
    <col collapsed="false" customWidth="true" hidden="false" outlineLevel="0" max="9" min="9" style="0" width="18"/>
    <col collapsed="false" customWidth="true" hidden="false" outlineLevel="0" max="10" min="10" style="0" width="10"/>
  </cols>
  <sheetData>
    <row r="1" customFormat="false" ht="15" hidden="false" customHeight="false" outlineLevel="0" collapsed="false">
      <c r="A1" s="2" t="s">
        <v>427</v>
      </c>
    </row>
    <row r="3" customFormat="false" ht="15" hidden="false" customHeight="false" outlineLevel="0" collapsed="false">
      <c r="A3" s="3" t="s">
        <v>50</v>
      </c>
      <c r="B3" s="3" t="s">
        <v>51</v>
      </c>
      <c r="C3" s="3" t="s">
        <v>428</v>
      </c>
      <c r="D3" s="3" t="s">
        <v>429</v>
      </c>
      <c r="E3" s="3" t="s">
        <v>430</v>
      </c>
      <c r="F3" s="3" t="s">
        <v>431</v>
      </c>
      <c r="G3" s="3" t="s">
        <v>432</v>
      </c>
      <c r="H3" s="3" t="s">
        <v>433</v>
      </c>
      <c r="I3" s="3" t="s">
        <v>434</v>
      </c>
      <c r="J3" s="3" t="s">
        <v>435</v>
      </c>
    </row>
    <row r="4" customFormat="false" ht="15" hidden="false" customHeight="false" outlineLevel="0" collapsed="false">
      <c r="A4" s="0" t="s">
        <v>77</v>
      </c>
      <c r="B4" s="0" t="n">
        <v>2013</v>
      </c>
      <c r="C4" s="0" t="s">
        <v>436</v>
      </c>
      <c r="D4" s="0" t="n">
        <v>0</v>
      </c>
      <c r="E4" s="0" t="n">
        <v>0.001500001</v>
      </c>
      <c r="F4" s="0" t="n">
        <v>0.001</v>
      </c>
      <c r="G4" s="0" t="s">
        <v>437</v>
      </c>
      <c r="H4" s="0" t="s">
        <v>438</v>
      </c>
    </row>
    <row r="5" customFormat="false" ht="15" hidden="false" customHeight="false" outlineLevel="0" collapsed="false">
      <c r="A5" s="0" t="s">
        <v>77</v>
      </c>
      <c r="B5" s="0" t="n">
        <v>2014</v>
      </c>
      <c r="C5" s="0" t="s">
        <v>436</v>
      </c>
      <c r="D5" s="0" t="n">
        <v>0.001</v>
      </c>
      <c r="E5" s="0" t="n">
        <v>0.001500001</v>
      </c>
      <c r="F5" s="0" t="n">
        <v>0.001</v>
      </c>
      <c r="G5" s="0" t="s">
        <v>437</v>
      </c>
      <c r="H5" s="0" t="s">
        <v>438</v>
      </c>
    </row>
    <row r="6" customFormat="false" ht="15" hidden="false" customHeight="false" outlineLevel="0" collapsed="false">
      <c r="A6" s="0" t="s">
        <v>77</v>
      </c>
      <c r="B6" s="0" t="n">
        <v>2015</v>
      </c>
      <c r="C6" s="0" t="s">
        <v>436</v>
      </c>
      <c r="D6" s="0" t="n">
        <v>0</v>
      </c>
      <c r="E6" s="0" t="n">
        <v>0.001500001</v>
      </c>
      <c r="F6" s="0" t="n">
        <v>0.001</v>
      </c>
      <c r="G6" s="0" t="s">
        <v>437</v>
      </c>
      <c r="H6" s="0" t="s">
        <v>438</v>
      </c>
    </row>
    <row r="7" customFormat="false" ht="15" hidden="false" customHeight="false" outlineLevel="0" collapsed="false">
      <c r="A7" s="0" t="s">
        <v>77</v>
      </c>
      <c r="B7" s="0" t="n">
        <v>2015</v>
      </c>
      <c r="C7" s="0" t="s">
        <v>439</v>
      </c>
      <c r="D7" s="0" t="n">
        <v>0</v>
      </c>
      <c r="E7" s="0" t="n">
        <v>0.001500001</v>
      </c>
      <c r="F7" s="0" t="n">
        <v>0.001</v>
      </c>
      <c r="G7" s="0" t="s">
        <v>437</v>
      </c>
      <c r="H7" s="0" t="s">
        <v>438</v>
      </c>
    </row>
    <row r="8" customFormat="false" ht="15" hidden="false" customHeight="false" outlineLevel="0" collapsed="false">
      <c r="A8" s="0" t="s">
        <v>77</v>
      </c>
      <c r="B8" s="0" t="n">
        <v>2015</v>
      </c>
      <c r="C8" s="0" t="s">
        <v>440</v>
      </c>
      <c r="D8" s="0" t="n">
        <v>-0.0398</v>
      </c>
      <c r="E8" s="0" t="n">
        <v>0.5</v>
      </c>
      <c r="G8" s="0" t="s">
        <v>437</v>
      </c>
      <c r="H8" s="0" t="s">
        <v>438</v>
      </c>
      <c r="J8" s="0" t="s">
        <v>441</v>
      </c>
    </row>
    <row r="9" customFormat="false" ht="15" hidden="false" customHeight="false" outlineLevel="0" collapsed="false">
      <c r="A9" s="0" t="s">
        <v>77</v>
      </c>
      <c r="B9" s="0" t="n">
        <v>2016</v>
      </c>
      <c r="C9" s="0" t="s">
        <v>436</v>
      </c>
      <c r="D9" s="0" t="n">
        <v>0</v>
      </c>
      <c r="E9" s="0" t="n">
        <v>0.001500001</v>
      </c>
      <c r="F9" s="0" t="n">
        <v>0.001</v>
      </c>
      <c r="G9" s="0" t="s">
        <v>437</v>
      </c>
      <c r="H9" s="0" t="s">
        <v>438</v>
      </c>
    </row>
    <row r="10" customFormat="false" ht="15" hidden="false" customHeight="false" outlineLevel="0" collapsed="false">
      <c r="A10" s="0" t="s">
        <v>77</v>
      </c>
      <c r="B10" s="0" t="n">
        <v>2016</v>
      </c>
      <c r="C10" s="0" t="s">
        <v>439</v>
      </c>
      <c r="D10" s="0" t="n">
        <v>0</v>
      </c>
      <c r="E10" s="0" t="n">
        <v>0.001500001</v>
      </c>
      <c r="F10" s="0" t="n">
        <v>0.001</v>
      </c>
      <c r="G10" s="0" t="s">
        <v>437</v>
      </c>
      <c r="H10" s="0" t="s">
        <v>438</v>
      </c>
    </row>
    <row r="11" customFormat="false" ht="15" hidden="false" customHeight="false" outlineLevel="0" collapsed="false">
      <c r="A11" s="0" t="s">
        <v>77</v>
      </c>
      <c r="B11" s="0" t="n">
        <v>2016</v>
      </c>
      <c r="C11" s="0" t="s">
        <v>440</v>
      </c>
      <c r="D11" s="0" t="n">
        <v>-0.0046</v>
      </c>
      <c r="E11" s="0" t="n">
        <v>0.005</v>
      </c>
      <c r="G11" s="0" t="s">
        <v>437</v>
      </c>
      <c r="H11" s="0" t="s">
        <v>438</v>
      </c>
      <c r="J11" s="0" t="s">
        <v>442</v>
      </c>
    </row>
    <row r="12" customFormat="false" ht="15" hidden="false" customHeight="false" outlineLevel="0" collapsed="false">
      <c r="A12" s="0" t="s">
        <v>77</v>
      </c>
      <c r="B12" s="0" t="n">
        <v>2017</v>
      </c>
      <c r="C12" s="0" t="s">
        <v>436</v>
      </c>
      <c r="D12" s="0" t="n">
        <v>0</v>
      </c>
      <c r="E12" s="0" t="n">
        <v>0.001500001</v>
      </c>
      <c r="F12" s="0" t="n">
        <v>0.001</v>
      </c>
      <c r="G12" s="0" t="s">
        <v>437</v>
      </c>
      <c r="H12" s="0" t="s">
        <v>438</v>
      </c>
    </row>
    <row r="13" customFormat="false" ht="15" hidden="false" customHeight="false" outlineLevel="0" collapsed="false">
      <c r="A13" s="0" t="s">
        <v>77</v>
      </c>
      <c r="B13" s="0" t="n">
        <v>2017</v>
      </c>
      <c r="C13" s="0" t="s">
        <v>439</v>
      </c>
      <c r="D13" s="0" t="n">
        <v>-0.001</v>
      </c>
      <c r="E13" s="0" t="n">
        <v>0.001500001</v>
      </c>
      <c r="F13" s="0" t="n">
        <v>0.001</v>
      </c>
      <c r="G13" s="0" t="s">
        <v>437</v>
      </c>
      <c r="H13" s="0" t="s">
        <v>438</v>
      </c>
    </row>
    <row r="14" customFormat="false" ht="15" hidden="false" customHeight="false" outlineLevel="0" collapsed="false">
      <c r="A14" s="0" t="s">
        <v>77</v>
      </c>
      <c r="B14" s="0" t="n">
        <v>2017</v>
      </c>
      <c r="C14" s="0" t="s">
        <v>440</v>
      </c>
      <c r="D14" s="0" t="n">
        <v>0.0048</v>
      </c>
      <c r="E14" s="0" t="n">
        <v>0.005</v>
      </c>
      <c r="G14" s="0" t="s">
        <v>437</v>
      </c>
      <c r="H14" s="0" t="s">
        <v>438</v>
      </c>
      <c r="J14" s="0" t="s">
        <v>443</v>
      </c>
    </row>
    <row r="15" customFormat="false" ht="15" hidden="false" customHeight="false" outlineLevel="0" collapsed="false">
      <c r="A15" s="0" t="s">
        <v>77</v>
      </c>
      <c r="B15" s="0" t="n">
        <v>2018</v>
      </c>
      <c r="C15" s="0" t="s">
        <v>436</v>
      </c>
      <c r="D15" s="0" t="n">
        <v>0</v>
      </c>
      <c r="E15" s="0" t="n">
        <v>0.001500001</v>
      </c>
      <c r="F15" s="0" t="n">
        <v>0.001</v>
      </c>
      <c r="G15" s="0" t="s">
        <v>437</v>
      </c>
      <c r="H15" s="0" t="s">
        <v>438</v>
      </c>
    </row>
    <row r="16" customFormat="false" ht="15" hidden="false" customHeight="false" outlineLevel="0" collapsed="false">
      <c r="A16" s="0" t="s">
        <v>77</v>
      </c>
      <c r="B16" s="0" t="n">
        <v>2019</v>
      </c>
      <c r="C16" s="0" t="s">
        <v>436</v>
      </c>
      <c r="D16" s="0" t="n">
        <v>0</v>
      </c>
      <c r="E16" s="0" t="n">
        <v>0.001500001</v>
      </c>
      <c r="F16" s="0" t="n">
        <v>0.001</v>
      </c>
      <c r="G16" s="0" t="s">
        <v>437</v>
      </c>
      <c r="H16" s="0" t="s">
        <v>438</v>
      </c>
    </row>
    <row r="17" customFormat="false" ht="15" hidden="false" customHeight="false" outlineLevel="0" collapsed="false">
      <c r="A17" s="0" t="s">
        <v>77</v>
      </c>
      <c r="B17" s="0" t="n">
        <v>2019</v>
      </c>
      <c r="C17" s="0" t="s">
        <v>439</v>
      </c>
      <c r="D17" s="0" t="n">
        <v>-0.001</v>
      </c>
      <c r="E17" s="0" t="n">
        <v>0.001500001</v>
      </c>
      <c r="F17" s="0" t="n">
        <v>0.001</v>
      </c>
      <c r="G17" s="0" t="s">
        <v>437</v>
      </c>
      <c r="H17" s="0" t="s">
        <v>438</v>
      </c>
    </row>
    <row r="18" customFormat="false" ht="15" hidden="false" customHeight="false" outlineLevel="0" collapsed="false">
      <c r="A18" s="0" t="s">
        <v>77</v>
      </c>
      <c r="B18" s="0" t="n">
        <v>2020</v>
      </c>
      <c r="C18" s="0" t="s">
        <v>436</v>
      </c>
      <c r="D18" s="0" t="n">
        <v>0</v>
      </c>
      <c r="E18" s="0" t="n">
        <v>0.001500001</v>
      </c>
      <c r="F18" s="0" t="n">
        <v>0.001</v>
      </c>
      <c r="G18" s="0" t="s">
        <v>437</v>
      </c>
      <c r="H18" s="0" t="s">
        <v>438</v>
      </c>
    </row>
    <row r="19" customFormat="false" ht="15" hidden="false" customHeight="false" outlineLevel="0" collapsed="false">
      <c r="A19" s="0" t="s">
        <v>77</v>
      </c>
      <c r="B19" s="0" t="n">
        <v>2020</v>
      </c>
      <c r="C19" s="0" t="s">
        <v>439</v>
      </c>
      <c r="D19" s="0" t="n">
        <v>0</v>
      </c>
      <c r="E19" s="0" t="n">
        <v>0.001500001</v>
      </c>
      <c r="F19" s="0" t="n">
        <v>0.001</v>
      </c>
      <c r="G19" s="0" t="s">
        <v>437</v>
      </c>
      <c r="H19" s="0" t="s">
        <v>438</v>
      </c>
    </row>
    <row r="20" customFormat="false" ht="15" hidden="false" customHeight="false" outlineLevel="0" collapsed="false">
      <c r="A20" s="0" t="s">
        <v>77</v>
      </c>
      <c r="B20" s="0" t="n">
        <v>2020</v>
      </c>
      <c r="C20" s="0" t="s">
        <v>440</v>
      </c>
      <c r="D20" s="0" t="n">
        <v>-0.0039</v>
      </c>
      <c r="E20" s="0" t="n">
        <v>0.005</v>
      </c>
      <c r="G20" s="0" t="s">
        <v>437</v>
      </c>
      <c r="H20" s="0" t="s">
        <v>438</v>
      </c>
      <c r="J20" s="0" t="s">
        <v>444</v>
      </c>
    </row>
    <row r="21" customFormat="false" ht="15" hidden="false" customHeight="false" outlineLevel="0" collapsed="false">
      <c r="A21" s="0" t="s">
        <v>77</v>
      </c>
      <c r="B21" s="0" t="n">
        <v>2021</v>
      </c>
      <c r="C21" s="0" t="s">
        <v>436</v>
      </c>
      <c r="D21" s="0" t="n">
        <v>0</v>
      </c>
      <c r="E21" s="0" t="n">
        <v>0.001500001</v>
      </c>
      <c r="F21" s="0" t="n">
        <v>0.001</v>
      </c>
      <c r="G21" s="0" t="s">
        <v>437</v>
      </c>
      <c r="H21" s="0" t="s">
        <v>438</v>
      </c>
    </row>
    <row r="22" customFormat="false" ht="15" hidden="false" customHeight="false" outlineLevel="0" collapsed="false">
      <c r="A22" s="0" t="s">
        <v>77</v>
      </c>
      <c r="B22" s="0" t="n">
        <v>2021</v>
      </c>
      <c r="C22" s="0" t="s">
        <v>439</v>
      </c>
      <c r="D22" s="0" t="n">
        <v>-0.001</v>
      </c>
      <c r="E22" s="0" t="n">
        <v>0.001500001</v>
      </c>
      <c r="F22" s="0" t="n">
        <v>0.001</v>
      </c>
      <c r="G22" s="0" t="s">
        <v>437</v>
      </c>
      <c r="H22" s="0" t="s">
        <v>438</v>
      </c>
    </row>
    <row r="23" customFormat="false" ht="15" hidden="false" customHeight="false" outlineLevel="0" collapsed="false">
      <c r="A23" s="0" t="s">
        <v>77</v>
      </c>
      <c r="B23" s="0" t="n">
        <v>2021</v>
      </c>
      <c r="C23" s="0" t="s">
        <v>440</v>
      </c>
      <c r="D23" s="0" t="n">
        <v>-0.0007</v>
      </c>
      <c r="E23" s="0" t="n">
        <v>0.005</v>
      </c>
      <c r="G23" s="0" t="s">
        <v>437</v>
      </c>
      <c r="H23" s="0" t="s">
        <v>438</v>
      </c>
      <c r="J23" s="0" t="s">
        <v>445</v>
      </c>
    </row>
    <row r="24" customFormat="false" ht="15" hidden="false" customHeight="false" outlineLevel="0" collapsed="false">
      <c r="A24" s="0" t="s">
        <v>77</v>
      </c>
      <c r="B24" s="0" t="n">
        <v>2022</v>
      </c>
      <c r="C24" s="0" t="s">
        <v>436</v>
      </c>
      <c r="D24" s="0" t="n">
        <v>0</v>
      </c>
      <c r="E24" s="0" t="n">
        <v>1.500000001</v>
      </c>
      <c r="F24" s="0" t="n">
        <v>1</v>
      </c>
      <c r="G24" s="0" t="s">
        <v>437</v>
      </c>
      <c r="H24" s="0" t="s">
        <v>438</v>
      </c>
    </row>
    <row r="25" customFormat="false" ht="15" hidden="false" customHeight="false" outlineLevel="0" collapsed="false">
      <c r="A25" s="0" t="s">
        <v>77</v>
      </c>
      <c r="B25" s="0" t="n">
        <v>2022</v>
      </c>
      <c r="C25" s="0" t="s">
        <v>439</v>
      </c>
      <c r="D25" s="0" t="n">
        <v>0</v>
      </c>
      <c r="E25" s="0" t="n">
        <v>1.500000001</v>
      </c>
      <c r="F25" s="0" t="n">
        <v>1</v>
      </c>
      <c r="G25" s="0" t="s">
        <v>437</v>
      </c>
      <c r="H25" s="0" t="s">
        <v>438</v>
      </c>
    </row>
    <row r="26" customFormat="false" ht="15" hidden="false" customHeight="false" outlineLevel="0" collapsed="false">
      <c r="A26" s="0" t="s">
        <v>77</v>
      </c>
      <c r="B26" s="0" t="n">
        <v>2022</v>
      </c>
      <c r="C26" s="0" t="s">
        <v>440</v>
      </c>
      <c r="D26" s="0" t="n">
        <v>0.0041</v>
      </c>
      <c r="E26" s="0" t="n">
        <v>0.005012</v>
      </c>
      <c r="G26" s="0" t="s">
        <v>437</v>
      </c>
      <c r="H26" s="0" t="s">
        <v>438</v>
      </c>
      <c r="J26" s="0" t="s">
        <v>446</v>
      </c>
    </row>
    <row r="27" customFormat="false" ht="15" hidden="false" customHeight="false" outlineLevel="0" collapsed="false">
      <c r="A27" s="0" t="s">
        <v>100</v>
      </c>
      <c r="B27" s="0" t="n">
        <v>2013</v>
      </c>
      <c r="C27" s="0" t="s">
        <v>436</v>
      </c>
      <c r="D27" s="0" t="n">
        <v>0</v>
      </c>
      <c r="E27" s="0" t="n">
        <v>1.500000001</v>
      </c>
      <c r="F27" s="0" t="n">
        <v>1</v>
      </c>
      <c r="G27" s="0" t="s">
        <v>437</v>
      </c>
      <c r="H27" s="0" t="s">
        <v>438</v>
      </c>
    </row>
    <row r="28" customFormat="false" ht="15" hidden="false" customHeight="false" outlineLevel="0" collapsed="false">
      <c r="A28" s="0" t="s">
        <v>100</v>
      </c>
      <c r="B28" s="0" t="n">
        <v>2013</v>
      </c>
      <c r="C28" s="0" t="s">
        <v>439</v>
      </c>
      <c r="D28" s="0" t="n">
        <v>0</v>
      </c>
      <c r="E28" s="0" t="n">
        <v>1.500000001</v>
      </c>
      <c r="F28" s="0" t="n">
        <v>1</v>
      </c>
      <c r="G28" s="0" t="s">
        <v>437</v>
      </c>
      <c r="H28" s="0" t="s">
        <v>438</v>
      </c>
    </row>
    <row r="29" customFormat="false" ht="15" hidden="false" customHeight="false" outlineLevel="0" collapsed="false">
      <c r="A29" s="0" t="s">
        <v>100</v>
      </c>
      <c r="B29" s="0" t="n">
        <v>2013</v>
      </c>
      <c r="C29" s="0" t="s">
        <v>440</v>
      </c>
      <c r="D29" s="0" t="n">
        <v>-0.3859</v>
      </c>
      <c r="E29" s="0" t="n">
        <v>0.500062</v>
      </c>
      <c r="G29" s="0" t="s">
        <v>437</v>
      </c>
      <c r="H29" s="0" t="s">
        <v>438</v>
      </c>
      <c r="J29" s="0" t="s">
        <v>447</v>
      </c>
    </row>
    <row r="30" customFormat="false" ht="15" hidden="false" customHeight="false" outlineLevel="0" collapsed="false">
      <c r="A30" s="0" t="s">
        <v>100</v>
      </c>
      <c r="B30" s="0" t="n">
        <v>2014</v>
      </c>
      <c r="C30" s="0" t="s">
        <v>436</v>
      </c>
      <c r="D30" s="0" t="n">
        <v>0</v>
      </c>
      <c r="E30" s="0" t="n">
        <v>1.500000001</v>
      </c>
      <c r="F30" s="0" t="n">
        <v>1</v>
      </c>
      <c r="G30" s="0" t="s">
        <v>437</v>
      </c>
      <c r="H30" s="0" t="s">
        <v>438</v>
      </c>
    </row>
    <row r="31" customFormat="false" ht="15" hidden="false" customHeight="false" outlineLevel="0" collapsed="false">
      <c r="A31" s="0" t="s">
        <v>100</v>
      </c>
      <c r="B31" s="0" t="n">
        <v>2014</v>
      </c>
      <c r="C31" s="0" t="s">
        <v>439</v>
      </c>
      <c r="D31" s="0" t="n">
        <v>0</v>
      </c>
      <c r="E31" s="0" t="n">
        <v>1.500000001</v>
      </c>
      <c r="F31" s="0" t="n">
        <v>1</v>
      </c>
      <c r="G31" s="0" t="s">
        <v>437</v>
      </c>
      <c r="H31" s="0" t="s">
        <v>438</v>
      </c>
    </row>
    <row r="32" customFormat="false" ht="15" hidden="false" customHeight="false" outlineLevel="0" collapsed="false">
      <c r="A32" s="0" t="s">
        <v>100</v>
      </c>
      <c r="B32" s="0" t="n">
        <v>2014</v>
      </c>
      <c r="C32" s="0" t="s">
        <v>440</v>
      </c>
      <c r="D32" s="0" t="n">
        <v>-0.0336</v>
      </c>
      <c r="E32" s="0" t="n">
        <v>0.500039</v>
      </c>
      <c r="G32" s="0" t="s">
        <v>437</v>
      </c>
      <c r="H32" s="0" t="s">
        <v>438</v>
      </c>
      <c r="J32" s="0" t="s">
        <v>448</v>
      </c>
    </row>
    <row r="33" customFormat="false" ht="15" hidden="false" customHeight="false" outlineLevel="0" collapsed="false">
      <c r="A33" s="0" t="s">
        <v>100</v>
      </c>
      <c r="B33" s="0" t="n">
        <v>2015</v>
      </c>
      <c r="C33" s="0" t="s">
        <v>436</v>
      </c>
      <c r="D33" s="0" t="n">
        <v>0</v>
      </c>
      <c r="E33" s="0" t="n">
        <v>1.500000001</v>
      </c>
      <c r="F33" s="0" t="n">
        <v>1</v>
      </c>
      <c r="G33" s="0" t="s">
        <v>437</v>
      </c>
      <c r="H33" s="0" t="s">
        <v>438</v>
      </c>
    </row>
    <row r="34" customFormat="false" ht="15" hidden="false" customHeight="false" outlineLevel="0" collapsed="false">
      <c r="A34" s="0" t="s">
        <v>100</v>
      </c>
      <c r="B34" s="0" t="n">
        <v>2015</v>
      </c>
      <c r="C34" s="0" t="s">
        <v>439</v>
      </c>
      <c r="D34" s="0" t="n">
        <v>0</v>
      </c>
      <c r="E34" s="0" t="n">
        <v>1.500000001</v>
      </c>
      <c r="F34" s="0" t="n">
        <v>1</v>
      </c>
      <c r="G34" s="0" t="s">
        <v>437</v>
      </c>
      <c r="H34" s="0" t="s">
        <v>438</v>
      </c>
    </row>
    <row r="35" customFormat="false" ht="15" hidden="false" customHeight="false" outlineLevel="0" collapsed="false">
      <c r="A35" s="0" t="s">
        <v>100</v>
      </c>
      <c r="B35" s="0" t="n">
        <v>2015</v>
      </c>
      <c r="C35" s="0" t="s">
        <v>440</v>
      </c>
      <c r="D35" s="0" t="n">
        <v>0.2756</v>
      </c>
      <c r="E35" s="0" t="n">
        <v>0.500044</v>
      </c>
      <c r="G35" s="0" t="s">
        <v>437</v>
      </c>
      <c r="H35" s="0" t="s">
        <v>438</v>
      </c>
      <c r="J35" s="0" t="s">
        <v>449</v>
      </c>
    </row>
    <row r="36" customFormat="false" ht="15" hidden="false" customHeight="false" outlineLevel="0" collapsed="false">
      <c r="A36" s="0" t="s">
        <v>100</v>
      </c>
      <c r="B36" s="0" t="n">
        <v>2016</v>
      </c>
      <c r="C36" s="0" t="s">
        <v>436</v>
      </c>
      <c r="D36" s="0" t="n">
        <v>0</v>
      </c>
      <c r="E36" s="0" t="n">
        <v>1.500000001</v>
      </c>
      <c r="F36" s="0" t="n">
        <v>1</v>
      </c>
      <c r="G36" s="0" t="s">
        <v>437</v>
      </c>
      <c r="H36" s="0" t="s">
        <v>438</v>
      </c>
    </row>
    <row r="37" customFormat="false" ht="15" hidden="false" customHeight="false" outlineLevel="0" collapsed="false">
      <c r="A37" s="0" t="s">
        <v>100</v>
      </c>
      <c r="B37" s="0" t="n">
        <v>2017</v>
      </c>
      <c r="C37" s="0" t="s">
        <v>436</v>
      </c>
      <c r="D37" s="0" t="n">
        <v>0</v>
      </c>
      <c r="E37" s="0" t="n">
        <v>1.500000001</v>
      </c>
      <c r="F37" s="0" t="n">
        <v>1</v>
      </c>
      <c r="G37" s="0" t="s">
        <v>437</v>
      </c>
      <c r="H37" s="0" t="s">
        <v>438</v>
      </c>
    </row>
    <row r="38" customFormat="false" ht="15" hidden="false" customHeight="false" outlineLevel="0" collapsed="false">
      <c r="A38" s="0" t="s">
        <v>100</v>
      </c>
      <c r="B38" s="0" t="n">
        <v>2018</v>
      </c>
      <c r="C38" s="0" t="s">
        <v>436</v>
      </c>
      <c r="D38" s="0" t="n">
        <v>0</v>
      </c>
      <c r="E38" s="0" t="n">
        <v>1.500000001</v>
      </c>
      <c r="F38" s="0" t="n">
        <v>1</v>
      </c>
      <c r="G38" s="0" t="s">
        <v>437</v>
      </c>
      <c r="H38" s="0" t="s">
        <v>438</v>
      </c>
    </row>
    <row r="39" customFormat="false" ht="15" hidden="false" customHeight="false" outlineLevel="0" collapsed="false">
      <c r="A39" s="0" t="s">
        <v>100</v>
      </c>
      <c r="B39" s="0" t="n">
        <v>2018</v>
      </c>
      <c r="C39" s="0" t="s">
        <v>439</v>
      </c>
      <c r="D39" s="0" t="n">
        <v>0</v>
      </c>
      <c r="E39" s="0" t="n">
        <v>1.500000001</v>
      </c>
      <c r="F39" s="0" t="n">
        <v>1</v>
      </c>
      <c r="G39" s="0" t="s">
        <v>437</v>
      </c>
      <c r="H39" s="0" t="s">
        <v>438</v>
      </c>
    </row>
    <row r="40" customFormat="false" ht="15" hidden="false" customHeight="false" outlineLevel="0" collapsed="false">
      <c r="A40" s="0" t="s">
        <v>100</v>
      </c>
      <c r="B40" s="0" t="n">
        <v>2018</v>
      </c>
      <c r="C40" s="0" t="s">
        <v>440</v>
      </c>
      <c r="D40" s="0" t="n">
        <v>-0.022</v>
      </c>
      <c r="E40" s="0" t="n">
        <v>0.05004</v>
      </c>
      <c r="G40" s="0" t="s">
        <v>437</v>
      </c>
      <c r="H40" s="0" t="s">
        <v>438</v>
      </c>
      <c r="J40" s="0" t="s">
        <v>450</v>
      </c>
    </row>
    <row r="41" customFormat="false" ht="15" hidden="false" customHeight="false" outlineLevel="0" collapsed="false">
      <c r="A41" s="0" t="s">
        <v>100</v>
      </c>
      <c r="B41" s="0" t="n">
        <v>2019</v>
      </c>
      <c r="C41" s="0" t="s">
        <v>436</v>
      </c>
      <c r="D41" s="0" t="n">
        <v>0</v>
      </c>
      <c r="E41" s="0" t="n">
        <v>1.500000001</v>
      </c>
      <c r="F41" s="0" t="n">
        <v>1</v>
      </c>
      <c r="G41" s="0" t="s">
        <v>437</v>
      </c>
      <c r="H41" s="0" t="s">
        <v>438</v>
      </c>
    </row>
    <row r="42" customFormat="false" ht="15" hidden="false" customHeight="false" outlineLevel="0" collapsed="false">
      <c r="A42" s="0" t="s">
        <v>100</v>
      </c>
      <c r="B42" s="0" t="n">
        <v>2019</v>
      </c>
      <c r="C42" s="0" t="s">
        <v>439</v>
      </c>
      <c r="D42" s="0" t="n">
        <v>0</v>
      </c>
      <c r="E42" s="0" t="n">
        <v>1.500000001</v>
      </c>
      <c r="F42" s="0" t="n">
        <v>1</v>
      </c>
      <c r="G42" s="0" t="s">
        <v>437</v>
      </c>
      <c r="H42" s="0" t="s">
        <v>438</v>
      </c>
    </row>
    <row r="43" customFormat="false" ht="15" hidden="false" customHeight="false" outlineLevel="0" collapsed="false">
      <c r="A43" s="0" t="s">
        <v>100</v>
      </c>
      <c r="B43" s="0" t="n">
        <v>2019</v>
      </c>
      <c r="C43" s="0" t="s">
        <v>440</v>
      </c>
      <c r="D43" s="0" t="n">
        <v>-0.0038</v>
      </c>
      <c r="E43" s="0" t="n">
        <v>0.00504</v>
      </c>
      <c r="G43" s="0" t="s">
        <v>437</v>
      </c>
      <c r="H43" s="0" t="s">
        <v>438</v>
      </c>
      <c r="J43" s="0" t="s">
        <v>451</v>
      </c>
    </row>
    <row r="44" customFormat="false" ht="15" hidden="false" customHeight="false" outlineLevel="0" collapsed="false">
      <c r="A44" s="0" t="s">
        <v>100</v>
      </c>
      <c r="B44" s="0" t="n">
        <v>2020</v>
      </c>
      <c r="C44" s="0" t="s">
        <v>436</v>
      </c>
      <c r="D44" s="0" t="n">
        <v>0</v>
      </c>
      <c r="E44" s="0" t="n">
        <v>1.500000001</v>
      </c>
      <c r="F44" s="0" t="n">
        <v>1</v>
      </c>
      <c r="G44" s="0" t="s">
        <v>437</v>
      </c>
      <c r="H44" s="0" t="s">
        <v>438</v>
      </c>
    </row>
    <row r="45" customFormat="false" ht="15" hidden="false" customHeight="false" outlineLevel="0" collapsed="false">
      <c r="A45" s="0" t="s">
        <v>100</v>
      </c>
      <c r="B45" s="0" t="n">
        <v>2020</v>
      </c>
      <c r="C45" s="0" t="s">
        <v>439</v>
      </c>
      <c r="D45" s="0" t="n">
        <v>0</v>
      </c>
      <c r="E45" s="0" t="n">
        <v>1.500000001</v>
      </c>
      <c r="F45" s="0" t="n">
        <v>1</v>
      </c>
      <c r="G45" s="0" t="s">
        <v>437</v>
      </c>
      <c r="H45" s="0" t="s">
        <v>438</v>
      </c>
    </row>
    <row r="46" customFormat="false" ht="15" hidden="false" customHeight="false" outlineLevel="0" collapsed="false">
      <c r="A46" s="0" t="s">
        <v>100</v>
      </c>
      <c r="B46" s="0" t="n">
        <v>2020</v>
      </c>
      <c r="C46" s="0" t="s">
        <v>440</v>
      </c>
      <c r="D46" s="0" t="n">
        <v>0.0009</v>
      </c>
      <c r="E46" s="0" t="n">
        <v>0.005043</v>
      </c>
      <c r="G46" s="0" t="s">
        <v>437</v>
      </c>
      <c r="H46" s="0" t="s">
        <v>438</v>
      </c>
      <c r="J46" s="0" t="s">
        <v>452</v>
      </c>
    </row>
    <row r="47" customFormat="false" ht="15" hidden="false" customHeight="false" outlineLevel="0" collapsed="false">
      <c r="A47" s="0" t="s">
        <v>100</v>
      </c>
      <c r="B47" s="0" t="n">
        <v>2021</v>
      </c>
      <c r="C47" s="0" t="s">
        <v>436</v>
      </c>
      <c r="D47" s="0" t="n">
        <v>0</v>
      </c>
      <c r="E47" s="0" t="n">
        <v>1.500000001</v>
      </c>
      <c r="F47" s="0" t="n">
        <v>1</v>
      </c>
      <c r="G47" s="0" t="s">
        <v>437</v>
      </c>
      <c r="H47" s="0" t="s">
        <v>438</v>
      </c>
    </row>
    <row r="48" customFormat="false" ht="15" hidden="false" customHeight="false" outlineLevel="0" collapsed="false">
      <c r="A48" s="0" t="s">
        <v>100</v>
      </c>
      <c r="B48" s="0" t="n">
        <v>2021</v>
      </c>
      <c r="C48" s="0" t="s">
        <v>439</v>
      </c>
      <c r="D48" s="0" t="n">
        <v>0</v>
      </c>
      <c r="E48" s="0" t="n">
        <v>1.500000001</v>
      </c>
      <c r="F48" s="0" t="n">
        <v>1</v>
      </c>
      <c r="G48" s="0" t="s">
        <v>437</v>
      </c>
      <c r="H48" s="0" t="s">
        <v>438</v>
      </c>
    </row>
    <row r="49" customFormat="false" ht="15" hidden="false" customHeight="false" outlineLevel="0" collapsed="false">
      <c r="A49" s="0" t="s">
        <v>100</v>
      </c>
      <c r="B49" s="0" t="n">
        <v>2021</v>
      </c>
      <c r="C49" s="0" t="s">
        <v>440</v>
      </c>
      <c r="D49" s="0" t="n">
        <v>-0.0001</v>
      </c>
      <c r="E49" s="0" t="n">
        <v>0.005038</v>
      </c>
      <c r="G49" s="0" t="s">
        <v>437</v>
      </c>
      <c r="H49" s="0" t="s">
        <v>438</v>
      </c>
      <c r="J49" s="0" t="s">
        <v>453</v>
      </c>
    </row>
    <row r="50" customFormat="false" ht="15" hidden="false" customHeight="false" outlineLevel="0" collapsed="false">
      <c r="A50" s="0" t="s">
        <v>100</v>
      </c>
      <c r="B50" s="0" t="n">
        <v>2022</v>
      </c>
      <c r="C50" s="0" t="s">
        <v>436</v>
      </c>
      <c r="D50" s="0" t="n">
        <v>0</v>
      </c>
      <c r="E50" s="0" t="n">
        <v>1.500000001</v>
      </c>
      <c r="F50" s="0" t="n">
        <v>1</v>
      </c>
      <c r="G50" s="0" t="s">
        <v>437</v>
      </c>
      <c r="H50" s="0" t="s">
        <v>438</v>
      </c>
    </row>
    <row r="51" customFormat="false" ht="15" hidden="false" customHeight="false" outlineLevel="0" collapsed="false">
      <c r="A51" s="0" t="s">
        <v>100</v>
      </c>
      <c r="B51" s="0" t="n">
        <v>2022</v>
      </c>
      <c r="C51" s="0" t="s">
        <v>439</v>
      </c>
      <c r="D51" s="0" t="n">
        <v>0</v>
      </c>
      <c r="E51" s="0" t="n">
        <v>1.500000001</v>
      </c>
      <c r="F51" s="0" t="n">
        <v>1</v>
      </c>
      <c r="G51" s="0" t="s">
        <v>437</v>
      </c>
      <c r="H51" s="0" t="s">
        <v>438</v>
      </c>
    </row>
    <row r="52" customFormat="false" ht="15" hidden="false" customHeight="false" outlineLevel="0" collapsed="false">
      <c r="A52" s="0" t="s">
        <v>100</v>
      </c>
      <c r="B52" s="0" t="n">
        <v>2022</v>
      </c>
      <c r="C52" s="0" t="s">
        <v>440</v>
      </c>
      <c r="D52" s="0" t="n">
        <v>-0.0021</v>
      </c>
      <c r="E52" s="0" t="n">
        <v>0.005032</v>
      </c>
      <c r="G52" s="0" t="s">
        <v>437</v>
      </c>
      <c r="H52" s="0" t="s">
        <v>438</v>
      </c>
      <c r="J52" s="0" t="s">
        <v>454</v>
      </c>
    </row>
    <row r="53" customFormat="false" ht="15" hidden="false" customHeight="false" outlineLevel="0" collapsed="false">
      <c r="A53" s="0" t="s">
        <v>115</v>
      </c>
      <c r="B53" s="0" t="n">
        <v>2013</v>
      </c>
      <c r="C53" s="0" t="s">
        <v>436</v>
      </c>
      <c r="D53" s="0" t="n">
        <v>0</v>
      </c>
      <c r="E53" s="0" t="n">
        <v>1.500000001</v>
      </c>
      <c r="F53" s="0" t="n">
        <v>1</v>
      </c>
      <c r="G53" s="0" t="s">
        <v>437</v>
      </c>
      <c r="H53" s="0" t="s">
        <v>438</v>
      </c>
    </row>
    <row r="54" customFormat="false" ht="15" hidden="false" customHeight="false" outlineLevel="0" collapsed="false">
      <c r="A54" s="0" t="s">
        <v>115</v>
      </c>
      <c r="B54" s="0" t="n">
        <v>2014</v>
      </c>
      <c r="C54" s="0" t="s">
        <v>436</v>
      </c>
      <c r="D54" s="0" t="n">
        <v>0</v>
      </c>
      <c r="E54" s="0" t="n">
        <v>1.500000001</v>
      </c>
      <c r="F54" s="0" t="n">
        <v>1</v>
      </c>
      <c r="G54" s="0" t="s">
        <v>437</v>
      </c>
      <c r="H54" s="0" t="s">
        <v>438</v>
      </c>
    </row>
    <row r="55" customFormat="false" ht="15" hidden="false" customHeight="false" outlineLevel="0" collapsed="false">
      <c r="A55" s="0" t="s">
        <v>115</v>
      </c>
      <c r="B55" s="0" t="n">
        <v>2014</v>
      </c>
      <c r="C55" s="0" t="s">
        <v>439</v>
      </c>
      <c r="D55" s="0" t="n">
        <v>0</v>
      </c>
      <c r="E55" s="0" t="n">
        <v>1.500000001</v>
      </c>
      <c r="F55" s="0" t="n">
        <v>1</v>
      </c>
      <c r="G55" s="0" t="s">
        <v>437</v>
      </c>
      <c r="H55" s="0" t="s">
        <v>438</v>
      </c>
    </row>
    <row r="56" customFormat="false" ht="15" hidden="false" customHeight="false" outlineLevel="0" collapsed="false">
      <c r="A56" s="0" t="s">
        <v>115</v>
      </c>
      <c r="B56" s="0" t="n">
        <v>2014</v>
      </c>
      <c r="C56" s="0" t="s">
        <v>440</v>
      </c>
      <c r="D56" s="0" t="n">
        <v>0.0007</v>
      </c>
      <c r="E56" s="0" t="n">
        <v>0.005076</v>
      </c>
      <c r="G56" s="0" t="s">
        <v>437</v>
      </c>
      <c r="H56" s="0" t="s">
        <v>438</v>
      </c>
      <c r="J56" s="0" t="s">
        <v>455</v>
      </c>
    </row>
    <row r="57" customFormat="false" ht="15" hidden="false" customHeight="false" outlineLevel="0" collapsed="false">
      <c r="A57" s="0" t="s">
        <v>115</v>
      </c>
      <c r="B57" s="0" t="n">
        <v>2015</v>
      </c>
      <c r="C57" s="0" t="s">
        <v>436</v>
      </c>
      <c r="D57" s="0" t="n">
        <v>0</v>
      </c>
      <c r="E57" s="0" t="n">
        <v>1.500000001</v>
      </c>
      <c r="F57" s="0" t="n">
        <v>1</v>
      </c>
      <c r="G57" s="0" t="s">
        <v>437</v>
      </c>
      <c r="H57" s="0" t="s">
        <v>438</v>
      </c>
    </row>
    <row r="58" customFormat="false" ht="15" hidden="false" customHeight="false" outlineLevel="0" collapsed="false">
      <c r="A58" s="0" t="s">
        <v>115</v>
      </c>
      <c r="B58" s="0" t="n">
        <v>2015</v>
      </c>
      <c r="C58" s="0" t="s">
        <v>439</v>
      </c>
      <c r="D58" s="0" t="n">
        <v>-1</v>
      </c>
      <c r="E58" s="0" t="n">
        <v>1.500000001</v>
      </c>
      <c r="F58" s="0" t="n">
        <v>1</v>
      </c>
      <c r="G58" s="0" t="s">
        <v>437</v>
      </c>
      <c r="H58" s="0" t="s">
        <v>438</v>
      </c>
    </row>
    <row r="59" customFormat="false" ht="15" hidden="false" customHeight="false" outlineLevel="0" collapsed="false">
      <c r="A59" s="0" t="s">
        <v>115</v>
      </c>
      <c r="B59" s="0" t="n">
        <v>2015</v>
      </c>
      <c r="C59" s="0" t="s">
        <v>440</v>
      </c>
      <c r="D59" s="0" t="n">
        <v>0.0688</v>
      </c>
      <c r="E59" s="0" t="n">
        <v>0.500059</v>
      </c>
      <c r="G59" s="0" t="s">
        <v>437</v>
      </c>
      <c r="H59" s="0" t="s">
        <v>438</v>
      </c>
      <c r="J59" s="0" t="s">
        <v>456</v>
      </c>
    </row>
    <row r="60" customFormat="false" ht="15" hidden="false" customHeight="false" outlineLevel="0" collapsed="false">
      <c r="A60" s="0" t="s">
        <v>115</v>
      </c>
      <c r="B60" s="0" t="n">
        <v>2016</v>
      </c>
      <c r="C60" s="0" t="s">
        <v>436</v>
      </c>
      <c r="D60" s="0" t="n">
        <v>0</v>
      </c>
      <c r="E60" s="0" t="n">
        <v>1.500000001</v>
      </c>
      <c r="F60" s="0" t="n">
        <v>1</v>
      </c>
      <c r="G60" s="0" t="s">
        <v>437</v>
      </c>
      <c r="H60" s="0" t="s">
        <v>438</v>
      </c>
    </row>
    <row r="61" customFormat="false" ht="15" hidden="false" customHeight="false" outlineLevel="0" collapsed="false">
      <c r="A61" s="0" t="s">
        <v>115</v>
      </c>
      <c r="B61" s="0" t="n">
        <v>2016</v>
      </c>
      <c r="C61" s="0" t="s">
        <v>439</v>
      </c>
      <c r="D61" s="0" t="n">
        <v>0</v>
      </c>
      <c r="E61" s="0" t="n">
        <v>1.500000001</v>
      </c>
      <c r="F61" s="0" t="n">
        <v>1</v>
      </c>
      <c r="G61" s="0" t="s">
        <v>437</v>
      </c>
      <c r="H61" s="0" t="s">
        <v>438</v>
      </c>
    </row>
    <row r="62" customFormat="false" ht="15" hidden="false" customHeight="false" outlineLevel="0" collapsed="false">
      <c r="A62" s="0" t="s">
        <v>115</v>
      </c>
      <c r="B62" s="0" t="n">
        <v>2016</v>
      </c>
      <c r="C62" s="0" t="s">
        <v>440</v>
      </c>
      <c r="D62" s="0" t="n">
        <v>-0.0795</v>
      </c>
      <c r="E62" s="0" t="n">
        <v>0.005052</v>
      </c>
      <c r="G62" s="0" t="s">
        <v>457</v>
      </c>
      <c r="H62" s="0" t="s">
        <v>458</v>
      </c>
      <c r="I62" s="0" t="s">
        <v>459</v>
      </c>
      <c r="J62" s="0" t="s">
        <v>460</v>
      </c>
    </row>
    <row r="63" customFormat="false" ht="15" hidden="false" customHeight="false" outlineLevel="0" collapsed="false">
      <c r="A63" s="0" t="s">
        <v>115</v>
      </c>
      <c r="B63" s="0" t="n">
        <v>2017</v>
      </c>
      <c r="C63" s="0" t="s">
        <v>436</v>
      </c>
      <c r="D63" s="0" t="n">
        <v>0</v>
      </c>
      <c r="E63" s="0" t="n">
        <v>1.500000001</v>
      </c>
      <c r="F63" s="0" t="n">
        <v>1</v>
      </c>
      <c r="G63" s="0" t="s">
        <v>437</v>
      </c>
      <c r="H63" s="0" t="s">
        <v>438</v>
      </c>
    </row>
    <row r="64" customFormat="false" ht="15" hidden="false" customHeight="false" outlineLevel="0" collapsed="false">
      <c r="A64" s="0" t="s">
        <v>115</v>
      </c>
      <c r="B64" s="0" t="n">
        <v>2017</v>
      </c>
      <c r="C64" s="0" t="s">
        <v>439</v>
      </c>
      <c r="D64" s="0" t="n">
        <v>0</v>
      </c>
      <c r="E64" s="0" t="n">
        <v>1.500000001</v>
      </c>
      <c r="F64" s="0" t="n">
        <v>1</v>
      </c>
      <c r="G64" s="0" t="s">
        <v>437</v>
      </c>
      <c r="H64" s="0" t="s">
        <v>438</v>
      </c>
    </row>
    <row r="65" customFormat="false" ht="15" hidden="false" customHeight="false" outlineLevel="0" collapsed="false">
      <c r="A65" s="0" t="s">
        <v>115</v>
      </c>
      <c r="B65" s="0" t="n">
        <v>2017</v>
      </c>
      <c r="C65" s="0" t="s">
        <v>440</v>
      </c>
      <c r="D65" s="0" t="n">
        <v>0</v>
      </c>
      <c r="E65" s="0" t="n">
        <v>0.005052</v>
      </c>
      <c r="G65" s="0" t="s">
        <v>437</v>
      </c>
      <c r="H65" s="0" t="s">
        <v>438</v>
      </c>
      <c r="J65" s="0" t="s">
        <v>461</v>
      </c>
    </row>
    <row r="66" customFormat="false" ht="15" hidden="false" customHeight="false" outlineLevel="0" collapsed="false">
      <c r="A66" s="0" t="s">
        <v>115</v>
      </c>
      <c r="B66" s="0" t="n">
        <v>2018</v>
      </c>
      <c r="C66" s="0" t="s">
        <v>436</v>
      </c>
      <c r="D66" s="0" t="n">
        <v>0</v>
      </c>
      <c r="E66" s="0" t="n">
        <v>1.500000001</v>
      </c>
      <c r="F66" s="0" t="n">
        <v>1</v>
      </c>
      <c r="G66" s="0" t="s">
        <v>437</v>
      </c>
      <c r="H66" s="0" t="s">
        <v>438</v>
      </c>
    </row>
    <row r="67" customFormat="false" ht="15" hidden="false" customHeight="false" outlineLevel="0" collapsed="false">
      <c r="A67" s="0" t="s">
        <v>115</v>
      </c>
      <c r="B67" s="0" t="n">
        <v>2019</v>
      </c>
      <c r="C67" s="0" t="s">
        <v>436</v>
      </c>
      <c r="D67" s="0" t="n">
        <v>0</v>
      </c>
      <c r="E67" s="0" t="n">
        <v>1.500000001</v>
      </c>
      <c r="F67" s="0" t="n">
        <v>1</v>
      </c>
      <c r="G67" s="0" t="s">
        <v>437</v>
      </c>
      <c r="H67" s="0" t="s">
        <v>438</v>
      </c>
    </row>
    <row r="68" customFormat="false" ht="15" hidden="false" customHeight="false" outlineLevel="0" collapsed="false">
      <c r="A68" s="0" t="s">
        <v>115</v>
      </c>
      <c r="B68" s="0" t="n">
        <v>2020</v>
      </c>
      <c r="C68" s="0" t="s">
        <v>436</v>
      </c>
      <c r="D68" s="0" t="n">
        <v>0</v>
      </c>
      <c r="E68" s="0" t="n">
        <v>1.500000001</v>
      </c>
      <c r="F68" s="0" t="n">
        <v>1</v>
      </c>
      <c r="G68" s="0" t="s">
        <v>437</v>
      </c>
      <c r="H68" s="0" t="s">
        <v>438</v>
      </c>
    </row>
    <row r="69" customFormat="false" ht="15" hidden="false" customHeight="false" outlineLevel="0" collapsed="false">
      <c r="A69" s="0" t="s">
        <v>115</v>
      </c>
      <c r="B69" s="0" t="n">
        <v>2020</v>
      </c>
      <c r="C69" s="0" t="s">
        <v>439</v>
      </c>
      <c r="D69" s="0" t="n">
        <v>0</v>
      </c>
      <c r="E69" s="0" t="n">
        <v>1.500000001</v>
      </c>
      <c r="F69" s="0" t="n">
        <v>1</v>
      </c>
      <c r="G69" s="0" t="s">
        <v>437</v>
      </c>
      <c r="H69" s="0" t="s">
        <v>438</v>
      </c>
    </row>
    <row r="70" customFormat="false" ht="15" hidden="false" customHeight="false" outlineLevel="0" collapsed="false">
      <c r="A70" s="0" t="s">
        <v>115</v>
      </c>
      <c r="B70" s="0" t="n">
        <v>2020</v>
      </c>
      <c r="C70" s="0" t="s">
        <v>440</v>
      </c>
      <c r="D70" s="0" t="n">
        <v>-0.003</v>
      </c>
      <c r="E70" s="0" t="n">
        <v>0.005044</v>
      </c>
      <c r="G70" s="0" t="s">
        <v>437</v>
      </c>
      <c r="H70" s="0" t="s">
        <v>438</v>
      </c>
      <c r="J70" s="0" t="s">
        <v>462</v>
      </c>
    </row>
    <row r="71" customFormat="false" ht="15" hidden="false" customHeight="false" outlineLevel="0" collapsed="false">
      <c r="A71" s="0" t="s">
        <v>115</v>
      </c>
      <c r="B71" s="0" t="n">
        <v>2021</v>
      </c>
      <c r="C71" s="0" t="s">
        <v>436</v>
      </c>
      <c r="D71" s="0" t="n">
        <v>0</v>
      </c>
      <c r="E71" s="0" t="n">
        <v>1.500000001</v>
      </c>
      <c r="F71" s="0" t="n">
        <v>1</v>
      </c>
      <c r="G71" s="0" t="s">
        <v>437</v>
      </c>
      <c r="H71" s="0" t="s">
        <v>438</v>
      </c>
    </row>
    <row r="72" customFormat="false" ht="15" hidden="false" customHeight="false" outlineLevel="0" collapsed="false">
      <c r="A72" s="0" t="s">
        <v>115</v>
      </c>
      <c r="B72" s="0" t="n">
        <v>2021</v>
      </c>
      <c r="C72" s="0" t="s">
        <v>439</v>
      </c>
      <c r="D72" s="0" t="n">
        <v>0</v>
      </c>
      <c r="E72" s="0" t="n">
        <v>1.500000001</v>
      </c>
      <c r="F72" s="0" t="n">
        <v>1</v>
      </c>
      <c r="G72" s="0" t="s">
        <v>437</v>
      </c>
      <c r="H72" s="0" t="s">
        <v>438</v>
      </c>
    </row>
    <row r="73" customFormat="false" ht="15" hidden="false" customHeight="false" outlineLevel="0" collapsed="false">
      <c r="A73" s="0" t="s">
        <v>115</v>
      </c>
      <c r="B73" s="0" t="n">
        <v>2021</v>
      </c>
      <c r="C73" s="0" t="s">
        <v>440</v>
      </c>
      <c r="D73" s="0" t="n">
        <v>0.0029</v>
      </c>
      <c r="E73" s="0" t="n">
        <v>0.005039</v>
      </c>
      <c r="G73" s="0" t="s">
        <v>437</v>
      </c>
      <c r="H73" s="0" t="s">
        <v>438</v>
      </c>
      <c r="J73" s="0" t="s">
        <v>463</v>
      </c>
    </row>
    <row r="74" customFormat="false" ht="15" hidden="false" customHeight="false" outlineLevel="0" collapsed="false">
      <c r="A74" s="0" t="s">
        <v>115</v>
      </c>
      <c r="B74" s="0" t="n">
        <v>2022</v>
      </c>
      <c r="C74" s="0" t="s">
        <v>436</v>
      </c>
      <c r="D74" s="0" t="n">
        <v>0</v>
      </c>
      <c r="E74" s="0" t="n">
        <v>1.500000001</v>
      </c>
      <c r="F74" s="0" t="n">
        <v>1</v>
      </c>
      <c r="G74" s="0" t="s">
        <v>437</v>
      </c>
      <c r="H74" s="0" t="s">
        <v>438</v>
      </c>
    </row>
    <row r="75" customFormat="false" ht="15" hidden="false" customHeight="false" outlineLevel="0" collapsed="false">
      <c r="A75" s="0" t="s">
        <v>115</v>
      </c>
      <c r="B75" s="0" t="n">
        <v>2022</v>
      </c>
      <c r="C75" s="0" t="s">
        <v>439</v>
      </c>
      <c r="D75" s="0" t="n">
        <v>0</v>
      </c>
      <c r="E75" s="0" t="n">
        <v>1.500000001</v>
      </c>
      <c r="F75" s="0" t="n">
        <v>1</v>
      </c>
      <c r="G75" s="0" t="s">
        <v>437</v>
      </c>
      <c r="H75" s="0" t="s">
        <v>438</v>
      </c>
    </row>
    <row r="76" customFormat="false" ht="15" hidden="false" customHeight="false" outlineLevel="0" collapsed="false">
      <c r="A76" s="0" t="s">
        <v>115</v>
      </c>
      <c r="B76" s="0" t="n">
        <v>2022</v>
      </c>
      <c r="C76" s="0" t="s">
        <v>440</v>
      </c>
      <c r="D76" s="0" t="n">
        <v>-0.0022</v>
      </c>
      <c r="E76" s="0" t="n">
        <v>0.005037</v>
      </c>
      <c r="G76" s="0" t="s">
        <v>437</v>
      </c>
      <c r="H76" s="0" t="s">
        <v>438</v>
      </c>
      <c r="J76" s="0" t="s">
        <v>464</v>
      </c>
    </row>
    <row r="77" customFormat="false" ht="15" hidden="false" customHeight="false" outlineLevel="0" collapsed="false">
      <c r="A77" s="0" t="s">
        <v>125</v>
      </c>
      <c r="B77" s="0" t="n">
        <v>2013</v>
      </c>
      <c r="C77" s="0" t="s">
        <v>436</v>
      </c>
      <c r="D77" s="0" t="n">
        <v>0</v>
      </c>
      <c r="E77" s="0" t="n">
        <v>1.500000001</v>
      </c>
      <c r="F77" s="0" t="n">
        <v>1</v>
      </c>
      <c r="G77" s="0" t="s">
        <v>437</v>
      </c>
      <c r="H77" s="0" t="s">
        <v>438</v>
      </c>
    </row>
    <row r="78" customFormat="false" ht="15" hidden="false" customHeight="false" outlineLevel="0" collapsed="false">
      <c r="A78" s="0" t="s">
        <v>125</v>
      </c>
      <c r="B78" s="0" t="n">
        <v>2014</v>
      </c>
      <c r="C78" s="0" t="s">
        <v>436</v>
      </c>
      <c r="D78" s="0" t="n">
        <v>0</v>
      </c>
      <c r="E78" s="0" t="n">
        <v>1.500000001</v>
      </c>
      <c r="F78" s="0" t="n">
        <v>1</v>
      </c>
      <c r="G78" s="0" t="s">
        <v>437</v>
      </c>
      <c r="H78" s="0" t="s">
        <v>438</v>
      </c>
    </row>
    <row r="79" customFormat="false" ht="15" hidden="false" customHeight="false" outlineLevel="0" collapsed="false">
      <c r="A79" s="0" t="s">
        <v>125</v>
      </c>
      <c r="B79" s="0" t="n">
        <v>2015</v>
      </c>
      <c r="C79" s="0" t="s">
        <v>436</v>
      </c>
      <c r="D79" s="0" t="n">
        <v>0</v>
      </c>
      <c r="E79" s="0" t="n">
        <v>1.500000001</v>
      </c>
      <c r="F79" s="0" t="n">
        <v>1</v>
      </c>
      <c r="G79" s="0" t="s">
        <v>437</v>
      </c>
      <c r="H79" s="0" t="s">
        <v>438</v>
      </c>
    </row>
    <row r="80" customFormat="false" ht="15" hidden="false" customHeight="false" outlineLevel="0" collapsed="false">
      <c r="A80" s="0" t="s">
        <v>125</v>
      </c>
      <c r="B80" s="0" t="n">
        <v>2015</v>
      </c>
      <c r="C80" s="0" t="s">
        <v>439</v>
      </c>
      <c r="D80" s="0" t="n">
        <v>0</v>
      </c>
      <c r="E80" s="0" t="n">
        <v>1.500000001</v>
      </c>
      <c r="F80" s="0" t="n">
        <v>1</v>
      </c>
      <c r="G80" s="0" t="s">
        <v>437</v>
      </c>
      <c r="H80" s="0" t="s">
        <v>438</v>
      </c>
    </row>
    <row r="81" customFormat="false" ht="15" hidden="false" customHeight="false" outlineLevel="0" collapsed="false">
      <c r="A81" s="0" t="s">
        <v>125</v>
      </c>
      <c r="B81" s="0" t="n">
        <v>2015</v>
      </c>
      <c r="C81" s="0" t="s">
        <v>440</v>
      </c>
      <c r="D81" s="0" t="n">
        <v>0.001</v>
      </c>
      <c r="E81" s="0" t="n">
        <v>0.005023</v>
      </c>
      <c r="G81" s="0" t="s">
        <v>437</v>
      </c>
      <c r="H81" s="0" t="s">
        <v>438</v>
      </c>
      <c r="J81" s="0" t="s">
        <v>465</v>
      </c>
    </row>
    <row r="82" customFormat="false" ht="15" hidden="false" customHeight="false" outlineLevel="0" collapsed="false">
      <c r="A82" s="0" t="s">
        <v>125</v>
      </c>
      <c r="B82" s="0" t="n">
        <v>2016</v>
      </c>
      <c r="C82" s="0" t="s">
        <v>436</v>
      </c>
      <c r="D82" s="0" t="n">
        <v>0</v>
      </c>
      <c r="E82" s="0" t="n">
        <v>1.500000001</v>
      </c>
      <c r="F82" s="0" t="n">
        <v>1</v>
      </c>
      <c r="G82" s="0" t="s">
        <v>437</v>
      </c>
      <c r="H82" s="0" t="s">
        <v>438</v>
      </c>
    </row>
    <row r="83" customFormat="false" ht="15" hidden="false" customHeight="false" outlineLevel="0" collapsed="false">
      <c r="A83" s="0" t="s">
        <v>125</v>
      </c>
      <c r="B83" s="0" t="n">
        <v>2016</v>
      </c>
      <c r="C83" s="0" t="s">
        <v>439</v>
      </c>
      <c r="D83" s="0" t="n">
        <v>0</v>
      </c>
      <c r="E83" s="0" t="n">
        <v>1.500000001</v>
      </c>
      <c r="F83" s="0" t="n">
        <v>1</v>
      </c>
      <c r="G83" s="0" t="s">
        <v>437</v>
      </c>
      <c r="H83" s="0" t="s">
        <v>438</v>
      </c>
    </row>
    <row r="84" customFormat="false" ht="15" hidden="false" customHeight="false" outlineLevel="0" collapsed="false">
      <c r="A84" s="0" t="s">
        <v>125</v>
      </c>
      <c r="B84" s="0" t="n">
        <v>2016</v>
      </c>
      <c r="C84" s="0" t="s">
        <v>440</v>
      </c>
      <c r="D84" s="0" t="n">
        <v>0.0033</v>
      </c>
      <c r="E84" s="0" t="n">
        <v>0.005021</v>
      </c>
      <c r="G84" s="0" t="s">
        <v>437</v>
      </c>
      <c r="H84" s="0" t="s">
        <v>438</v>
      </c>
      <c r="J84" s="0" t="s">
        <v>466</v>
      </c>
    </row>
    <row r="85" customFormat="false" ht="15" hidden="false" customHeight="false" outlineLevel="0" collapsed="false">
      <c r="A85" s="0" t="s">
        <v>125</v>
      </c>
      <c r="B85" s="0" t="n">
        <v>2017</v>
      </c>
      <c r="C85" s="0" t="s">
        <v>436</v>
      </c>
      <c r="D85" s="0" t="n">
        <v>0</v>
      </c>
      <c r="E85" s="0" t="n">
        <v>1.500000001</v>
      </c>
      <c r="F85" s="0" t="n">
        <v>1</v>
      </c>
      <c r="G85" s="0" t="s">
        <v>437</v>
      </c>
      <c r="H85" s="0" t="s">
        <v>438</v>
      </c>
    </row>
    <row r="86" customFormat="false" ht="15" hidden="false" customHeight="false" outlineLevel="0" collapsed="false">
      <c r="A86" s="0" t="s">
        <v>125</v>
      </c>
      <c r="B86" s="0" t="n">
        <v>2017</v>
      </c>
      <c r="C86" s="0" t="s">
        <v>439</v>
      </c>
      <c r="D86" s="0" t="n">
        <v>0</v>
      </c>
      <c r="E86" s="0" t="n">
        <v>1.500000001</v>
      </c>
      <c r="F86" s="0" t="n">
        <v>1</v>
      </c>
      <c r="G86" s="0" t="s">
        <v>437</v>
      </c>
      <c r="H86" s="0" t="s">
        <v>438</v>
      </c>
    </row>
    <row r="87" customFormat="false" ht="15" hidden="false" customHeight="false" outlineLevel="0" collapsed="false">
      <c r="A87" s="0" t="s">
        <v>125</v>
      </c>
      <c r="B87" s="0" t="n">
        <v>2017</v>
      </c>
      <c r="C87" s="0" t="s">
        <v>440</v>
      </c>
      <c r="D87" s="0" t="n">
        <v>0.0011</v>
      </c>
      <c r="E87" s="0" t="n">
        <v>0.005019</v>
      </c>
      <c r="G87" s="0" t="s">
        <v>437</v>
      </c>
      <c r="H87" s="0" t="s">
        <v>438</v>
      </c>
      <c r="J87" s="0" t="s">
        <v>467</v>
      </c>
    </row>
    <row r="88" customFormat="false" ht="15" hidden="false" customHeight="false" outlineLevel="0" collapsed="false">
      <c r="A88" s="0" t="s">
        <v>125</v>
      </c>
      <c r="B88" s="0" t="n">
        <v>2018</v>
      </c>
      <c r="C88" s="0" t="s">
        <v>436</v>
      </c>
      <c r="D88" s="0" t="n">
        <v>0</v>
      </c>
      <c r="E88" s="0" t="n">
        <v>1.500000001</v>
      </c>
      <c r="F88" s="0" t="n">
        <v>1</v>
      </c>
      <c r="G88" s="0" t="s">
        <v>437</v>
      </c>
      <c r="H88" s="0" t="s">
        <v>438</v>
      </c>
    </row>
    <row r="89" customFormat="false" ht="15" hidden="false" customHeight="false" outlineLevel="0" collapsed="false">
      <c r="A89" s="0" t="s">
        <v>125</v>
      </c>
      <c r="B89" s="0" t="n">
        <v>2018</v>
      </c>
      <c r="C89" s="0" t="s">
        <v>439</v>
      </c>
      <c r="D89" s="0" t="n">
        <v>0</v>
      </c>
      <c r="E89" s="0" t="n">
        <v>1.500000001</v>
      </c>
      <c r="F89" s="0" t="n">
        <v>1</v>
      </c>
      <c r="G89" s="0" t="s">
        <v>437</v>
      </c>
      <c r="H89" s="0" t="s">
        <v>438</v>
      </c>
    </row>
    <row r="90" customFormat="false" ht="15" hidden="false" customHeight="false" outlineLevel="0" collapsed="false">
      <c r="A90" s="0" t="s">
        <v>125</v>
      </c>
      <c r="B90" s="0" t="n">
        <v>2018</v>
      </c>
      <c r="C90" s="0" t="s">
        <v>440</v>
      </c>
      <c r="D90" s="0" t="n">
        <v>0.0023</v>
      </c>
      <c r="E90" s="0" t="n">
        <v>0.005022</v>
      </c>
      <c r="G90" s="0" t="s">
        <v>437</v>
      </c>
      <c r="H90" s="0" t="s">
        <v>438</v>
      </c>
      <c r="J90" s="0" t="s">
        <v>468</v>
      </c>
    </row>
    <row r="91" customFormat="false" ht="15" hidden="false" customHeight="false" outlineLevel="0" collapsed="false">
      <c r="A91" s="0" t="s">
        <v>125</v>
      </c>
      <c r="B91" s="0" t="n">
        <v>2019</v>
      </c>
      <c r="C91" s="0" t="s">
        <v>436</v>
      </c>
      <c r="D91" s="0" t="n">
        <v>0</v>
      </c>
      <c r="E91" s="0" t="n">
        <v>1.500000001</v>
      </c>
      <c r="F91" s="0" t="n">
        <v>1</v>
      </c>
      <c r="G91" s="0" t="s">
        <v>437</v>
      </c>
      <c r="H91" s="0" t="s">
        <v>438</v>
      </c>
    </row>
    <row r="92" customFormat="false" ht="15" hidden="false" customHeight="false" outlineLevel="0" collapsed="false">
      <c r="A92" s="0" t="s">
        <v>125</v>
      </c>
      <c r="B92" s="0" t="n">
        <v>2019</v>
      </c>
      <c r="C92" s="0" t="s">
        <v>439</v>
      </c>
      <c r="D92" s="0" t="n">
        <v>-1</v>
      </c>
      <c r="E92" s="0" t="n">
        <v>1.500000001</v>
      </c>
      <c r="F92" s="0" t="n">
        <v>1</v>
      </c>
      <c r="G92" s="0" t="s">
        <v>437</v>
      </c>
      <c r="H92" s="0" t="s">
        <v>438</v>
      </c>
    </row>
    <row r="93" customFormat="false" ht="15" hidden="false" customHeight="false" outlineLevel="0" collapsed="false">
      <c r="A93" s="0" t="s">
        <v>125</v>
      </c>
      <c r="B93" s="0" t="n">
        <v>2019</v>
      </c>
      <c r="C93" s="0" t="s">
        <v>440</v>
      </c>
      <c r="D93" s="0" t="n">
        <v>0.0031</v>
      </c>
      <c r="E93" s="0" t="n">
        <v>0.005019</v>
      </c>
      <c r="G93" s="0" t="s">
        <v>437</v>
      </c>
      <c r="H93" s="0" t="s">
        <v>438</v>
      </c>
      <c r="J93" s="0" t="s">
        <v>469</v>
      </c>
    </row>
    <row r="94" customFormat="false" ht="15" hidden="false" customHeight="false" outlineLevel="0" collapsed="false">
      <c r="A94" s="0" t="s">
        <v>125</v>
      </c>
      <c r="B94" s="0" t="n">
        <v>2022</v>
      </c>
      <c r="C94" s="0" t="s">
        <v>436</v>
      </c>
      <c r="D94" s="0" t="n">
        <v>0</v>
      </c>
      <c r="E94" s="0" t="n">
        <v>1.500000001</v>
      </c>
      <c r="F94" s="0" t="n">
        <v>1</v>
      </c>
      <c r="G94" s="0" t="s">
        <v>437</v>
      </c>
      <c r="H94" s="0" t="s">
        <v>438</v>
      </c>
    </row>
    <row r="95" customFormat="false" ht="15" hidden="false" customHeight="false" outlineLevel="0" collapsed="false">
      <c r="A95" s="0" t="s">
        <v>136</v>
      </c>
      <c r="B95" s="0" t="n">
        <v>2013</v>
      </c>
      <c r="C95" s="0" t="s">
        <v>436</v>
      </c>
      <c r="D95" s="0" t="n">
        <v>0</v>
      </c>
      <c r="E95" s="0" t="n">
        <v>1.500000001</v>
      </c>
      <c r="F95" s="0" t="n">
        <v>1</v>
      </c>
      <c r="G95" s="0" t="s">
        <v>437</v>
      </c>
      <c r="H95" s="0" t="s">
        <v>438</v>
      </c>
    </row>
    <row r="96" customFormat="false" ht="15" hidden="false" customHeight="false" outlineLevel="0" collapsed="false">
      <c r="A96" s="0" t="s">
        <v>136</v>
      </c>
      <c r="B96" s="0" t="n">
        <v>2014</v>
      </c>
      <c r="C96" s="0" t="s">
        <v>436</v>
      </c>
      <c r="D96" s="0" t="n">
        <v>0</v>
      </c>
      <c r="E96" s="0" t="n">
        <v>1.500000001</v>
      </c>
      <c r="F96" s="0" t="n">
        <v>1</v>
      </c>
      <c r="G96" s="0" t="s">
        <v>437</v>
      </c>
      <c r="H96" s="0" t="s">
        <v>438</v>
      </c>
    </row>
    <row r="97" customFormat="false" ht="15" hidden="false" customHeight="false" outlineLevel="0" collapsed="false">
      <c r="A97" s="0" t="s">
        <v>136</v>
      </c>
      <c r="B97" s="0" t="n">
        <v>2015</v>
      </c>
      <c r="C97" s="0" t="s">
        <v>436</v>
      </c>
      <c r="D97" s="0" t="n">
        <v>0</v>
      </c>
      <c r="E97" s="0" t="n">
        <v>0.001500001</v>
      </c>
      <c r="F97" s="0" t="n">
        <v>0.001</v>
      </c>
      <c r="G97" s="0" t="s">
        <v>437</v>
      </c>
      <c r="H97" s="0" t="s">
        <v>438</v>
      </c>
    </row>
    <row r="98" customFormat="false" ht="15" hidden="false" customHeight="false" outlineLevel="0" collapsed="false">
      <c r="A98" s="0" t="s">
        <v>136</v>
      </c>
      <c r="B98" s="0" t="n">
        <v>2015</v>
      </c>
      <c r="C98" s="0" t="s">
        <v>439</v>
      </c>
      <c r="D98" s="0" t="n">
        <v>0</v>
      </c>
      <c r="E98" s="0" t="n">
        <v>0.001500001</v>
      </c>
      <c r="F98" s="0" t="n">
        <v>0.001</v>
      </c>
      <c r="G98" s="0" t="s">
        <v>437</v>
      </c>
      <c r="H98" s="0" t="s">
        <v>438</v>
      </c>
    </row>
    <row r="99" customFormat="false" ht="15" hidden="false" customHeight="false" outlineLevel="0" collapsed="false">
      <c r="A99" s="0" t="s">
        <v>136</v>
      </c>
      <c r="B99" s="0" t="n">
        <v>2015</v>
      </c>
      <c r="C99" s="0" t="s">
        <v>440</v>
      </c>
      <c r="D99" s="0" t="n">
        <v>0.0004</v>
      </c>
      <c r="E99" s="0" t="n">
        <v>0.005</v>
      </c>
      <c r="G99" s="0" t="s">
        <v>437</v>
      </c>
      <c r="H99" s="0" t="s">
        <v>438</v>
      </c>
      <c r="J99" s="0" t="s">
        <v>470</v>
      </c>
    </row>
    <row r="100" customFormat="false" ht="15" hidden="false" customHeight="false" outlineLevel="0" collapsed="false">
      <c r="A100" s="0" t="s">
        <v>136</v>
      </c>
      <c r="B100" s="0" t="n">
        <v>2016</v>
      </c>
      <c r="C100" s="0" t="s">
        <v>436</v>
      </c>
      <c r="D100" s="0" t="n">
        <v>0</v>
      </c>
      <c r="E100" s="0" t="n">
        <v>0.001500001</v>
      </c>
      <c r="F100" s="0" t="n">
        <v>0.001</v>
      </c>
      <c r="G100" s="0" t="s">
        <v>437</v>
      </c>
      <c r="H100" s="0" t="s">
        <v>438</v>
      </c>
    </row>
    <row r="101" customFormat="false" ht="15" hidden="false" customHeight="false" outlineLevel="0" collapsed="false">
      <c r="A101" s="0" t="s">
        <v>136</v>
      </c>
      <c r="B101" s="0" t="n">
        <v>2016</v>
      </c>
      <c r="C101" s="0" t="s">
        <v>439</v>
      </c>
      <c r="D101" s="0" t="n">
        <v>0</v>
      </c>
      <c r="E101" s="0" t="n">
        <v>0.001500001</v>
      </c>
      <c r="F101" s="0" t="n">
        <v>0.001</v>
      </c>
      <c r="G101" s="0" t="s">
        <v>437</v>
      </c>
      <c r="H101" s="0" t="s">
        <v>438</v>
      </c>
    </row>
    <row r="102" customFormat="false" ht="15" hidden="false" customHeight="false" outlineLevel="0" collapsed="false">
      <c r="A102" s="0" t="s">
        <v>136</v>
      </c>
      <c r="B102" s="0" t="n">
        <v>2016</v>
      </c>
      <c r="C102" s="0" t="s">
        <v>440</v>
      </c>
      <c r="D102" s="0" t="n">
        <v>-0.0006</v>
      </c>
      <c r="E102" s="0" t="n">
        <v>0.005</v>
      </c>
      <c r="G102" s="0" t="s">
        <v>437</v>
      </c>
      <c r="H102" s="0" t="s">
        <v>438</v>
      </c>
      <c r="J102" s="0" t="s">
        <v>471</v>
      </c>
    </row>
    <row r="103" customFormat="false" ht="15" hidden="false" customHeight="false" outlineLevel="0" collapsed="false">
      <c r="A103" s="0" t="s">
        <v>136</v>
      </c>
      <c r="B103" s="0" t="n">
        <v>2017</v>
      </c>
      <c r="C103" s="0" t="s">
        <v>436</v>
      </c>
      <c r="D103" s="0" t="n">
        <v>0</v>
      </c>
      <c r="E103" s="0" t="n">
        <v>0.001500001</v>
      </c>
      <c r="F103" s="0" t="n">
        <v>0.001</v>
      </c>
      <c r="G103" s="0" t="s">
        <v>437</v>
      </c>
      <c r="H103" s="0" t="s">
        <v>438</v>
      </c>
    </row>
    <row r="104" customFormat="false" ht="15" hidden="false" customHeight="false" outlineLevel="0" collapsed="false">
      <c r="A104" s="0" t="s">
        <v>136</v>
      </c>
      <c r="B104" s="0" t="n">
        <v>2017</v>
      </c>
      <c r="C104" s="0" t="s">
        <v>439</v>
      </c>
      <c r="D104" s="0" t="n">
        <v>0</v>
      </c>
      <c r="E104" s="0" t="n">
        <v>0.001500001</v>
      </c>
      <c r="F104" s="0" t="n">
        <v>0.001</v>
      </c>
      <c r="G104" s="0" t="s">
        <v>437</v>
      </c>
      <c r="H104" s="0" t="s">
        <v>438</v>
      </c>
    </row>
    <row r="105" customFormat="false" ht="15" hidden="false" customHeight="false" outlineLevel="0" collapsed="false">
      <c r="A105" s="0" t="s">
        <v>136</v>
      </c>
      <c r="B105" s="0" t="n">
        <v>2018</v>
      </c>
      <c r="C105" s="0" t="s">
        <v>436</v>
      </c>
      <c r="D105" s="0" t="n">
        <v>0</v>
      </c>
      <c r="E105" s="0" t="n">
        <v>0.001500001</v>
      </c>
      <c r="F105" s="0" t="n">
        <v>0.001</v>
      </c>
      <c r="G105" s="0" t="s">
        <v>437</v>
      </c>
      <c r="H105" s="0" t="s">
        <v>438</v>
      </c>
    </row>
    <row r="106" customFormat="false" ht="15" hidden="false" customHeight="false" outlineLevel="0" collapsed="false">
      <c r="A106" s="0" t="s">
        <v>136</v>
      </c>
      <c r="B106" s="0" t="n">
        <v>2018</v>
      </c>
      <c r="C106" s="0" t="s">
        <v>439</v>
      </c>
      <c r="D106" s="0" t="n">
        <v>0</v>
      </c>
      <c r="E106" s="0" t="n">
        <v>0.001500001</v>
      </c>
      <c r="F106" s="0" t="n">
        <v>0.001</v>
      </c>
      <c r="G106" s="0" t="s">
        <v>437</v>
      </c>
      <c r="H106" s="0" t="s">
        <v>438</v>
      </c>
    </row>
    <row r="107" customFormat="false" ht="15" hidden="false" customHeight="false" outlineLevel="0" collapsed="false">
      <c r="A107" s="0" t="s">
        <v>136</v>
      </c>
      <c r="B107" s="0" t="n">
        <v>2019</v>
      </c>
      <c r="C107" s="0" t="s">
        <v>436</v>
      </c>
      <c r="D107" s="0" t="n">
        <v>0</v>
      </c>
      <c r="E107" s="0" t="n">
        <v>0.001500001</v>
      </c>
      <c r="F107" s="0" t="n">
        <v>0.001</v>
      </c>
      <c r="G107" s="0" t="s">
        <v>437</v>
      </c>
      <c r="H107" s="0" t="s">
        <v>438</v>
      </c>
    </row>
    <row r="108" customFormat="false" ht="15" hidden="false" customHeight="false" outlineLevel="0" collapsed="false">
      <c r="A108" s="0" t="s">
        <v>136</v>
      </c>
      <c r="B108" s="0" t="n">
        <v>2019</v>
      </c>
      <c r="C108" s="0" t="s">
        <v>439</v>
      </c>
      <c r="D108" s="0" t="n">
        <v>0</v>
      </c>
      <c r="E108" s="0" t="n">
        <v>0.001500001</v>
      </c>
      <c r="F108" s="0" t="n">
        <v>0.001</v>
      </c>
      <c r="G108" s="0" t="s">
        <v>437</v>
      </c>
      <c r="H108" s="0" t="s">
        <v>438</v>
      </c>
    </row>
    <row r="109" customFormat="false" ht="15" hidden="false" customHeight="false" outlineLevel="0" collapsed="false">
      <c r="A109" s="0" t="s">
        <v>136</v>
      </c>
      <c r="B109" s="0" t="n">
        <v>2019</v>
      </c>
      <c r="C109" s="0" t="s">
        <v>440</v>
      </c>
      <c r="D109" s="0" t="n">
        <v>0.0001</v>
      </c>
      <c r="E109" s="0" t="n">
        <v>0.005</v>
      </c>
      <c r="G109" s="0" t="s">
        <v>437</v>
      </c>
      <c r="H109" s="0" t="s">
        <v>438</v>
      </c>
      <c r="J109" s="0" t="s">
        <v>472</v>
      </c>
    </row>
    <row r="110" customFormat="false" ht="15" hidden="false" customHeight="false" outlineLevel="0" collapsed="false">
      <c r="A110" s="0" t="s">
        <v>136</v>
      </c>
      <c r="B110" s="0" t="n">
        <v>2020</v>
      </c>
      <c r="C110" s="0" t="s">
        <v>436</v>
      </c>
      <c r="D110" s="0" t="n">
        <v>0</v>
      </c>
      <c r="E110" s="0" t="n">
        <v>0.001500001</v>
      </c>
      <c r="F110" s="0" t="n">
        <v>0.001</v>
      </c>
      <c r="G110" s="0" t="s">
        <v>437</v>
      </c>
      <c r="H110" s="0" t="s">
        <v>438</v>
      </c>
    </row>
    <row r="111" customFormat="false" ht="15" hidden="false" customHeight="false" outlineLevel="0" collapsed="false">
      <c r="A111" s="0" t="s">
        <v>136</v>
      </c>
      <c r="B111" s="0" t="n">
        <v>2020</v>
      </c>
      <c r="C111" s="0" t="s">
        <v>439</v>
      </c>
      <c r="D111" s="0" t="n">
        <v>0</v>
      </c>
      <c r="E111" s="0" t="n">
        <v>0.001500001</v>
      </c>
      <c r="F111" s="0" t="n">
        <v>0.001</v>
      </c>
      <c r="G111" s="0" t="s">
        <v>437</v>
      </c>
      <c r="H111" s="0" t="s">
        <v>438</v>
      </c>
    </row>
    <row r="112" customFormat="false" ht="15" hidden="false" customHeight="false" outlineLevel="0" collapsed="false">
      <c r="A112" s="0" t="s">
        <v>136</v>
      </c>
      <c r="B112" s="0" t="n">
        <v>2020</v>
      </c>
      <c r="C112" s="0" t="s">
        <v>440</v>
      </c>
      <c r="D112" s="0" t="n">
        <v>0</v>
      </c>
      <c r="E112" s="0" t="n">
        <v>0.005</v>
      </c>
      <c r="G112" s="0" t="s">
        <v>437</v>
      </c>
      <c r="H112" s="0" t="s">
        <v>438</v>
      </c>
      <c r="J112" s="0" t="s">
        <v>473</v>
      </c>
    </row>
    <row r="113" customFormat="false" ht="15" hidden="false" customHeight="false" outlineLevel="0" collapsed="false">
      <c r="A113" s="0" t="s">
        <v>136</v>
      </c>
      <c r="B113" s="0" t="n">
        <v>2021</v>
      </c>
      <c r="C113" s="0" t="s">
        <v>436</v>
      </c>
      <c r="D113" s="0" t="n">
        <v>0</v>
      </c>
      <c r="E113" s="0" t="n">
        <v>0.001500001</v>
      </c>
      <c r="F113" s="0" t="n">
        <v>0.001</v>
      </c>
      <c r="G113" s="0" t="s">
        <v>437</v>
      </c>
      <c r="H113" s="0" t="s">
        <v>438</v>
      </c>
    </row>
    <row r="114" customFormat="false" ht="15" hidden="false" customHeight="false" outlineLevel="0" collapsed="false">
      <c r="A114" s="0" t="s">
        <v>136</v>
      </c>
      <c r="B114" s="0" t="n">
        <v>2022</v>
      </c>
      <c r="C114" s="0" t="s">
        <v>436</v>
      </c>
      <c r="D114" s="0" t="n">
        <v>0</v>
      </c>
      <c r="E114" s="0" t="n">
        <v>0.001500001</v>
      </c>
      <c r="F114" s="0" t="n">
        <v>0.001</v>
      </c>
      <c r="G114" s="0" t="s">
        <v>437</v>
      </c>
      <c r="H114" s="0" t="s">
        <v>438</v>
      </c>
    </row>
    <row r="115" customFormat="false" ht="15" hidden="false" customHeight="false" outlineLevel="0" collapsed="false">
      <c r="A115" s="0" t="s">
        <v>149</v>
      </c>
      <c r="B115" s="0" t="n">
        <v>2013</v>
      </c>
      <c r="C115" s="0" t="s">
        <v>436</v>
      </c>
      <c r="D115" s="0" t="n">
        <v>0</v>
      </c>
      <c r="E115" s="0" t="n">
        <v>1.500000001</v>
      </c>
      <c r="F115" s="0" t="n">
        <v>1</v>
      </c>
      <c r="G115" s="0" t="s">
        <v>437</v>
      </c>
      <c r="H115" s="0" t="s">
        <v>438</v>
      </c>
    </row>
    <row r="116" customFormat="false" ht="15" hidden="false" customHeight="false" outlineLevel="0" collapsed="false">
      <c r="A116" s="0" t="s">
        <v>149</v>
      </c>
      <c r="B116" s="0" t="n">
        <v>2014</v>
      </c>
      <c r="C116" s="0" t="s">
        <v>436</v>
      </c>
      <c r="D116" s="0" t="n">
        <v>0</v>
      </c>
      <c r="E116" s="0" t="n">
        <v>1.500000001</v>
      </c>
      <c r="F116" s="0" t="n">
        <v>1</v>
      </c>
      <c r="G116" s="0" t="s">
        <v>437</v>
      </c>
      <c r="H116" s="0" t="s">
        <v>438</v>
      </c>
    </row>
    <row r="117" customFormat="false" ht="15" hidden="false" customHeight="false" outlineLevel="0" collapsed="false">
      <c r="A117" s="0" t="s">
        <v>149</v>
      </c>
      <c r="B117" s="0" t="n">
        <v>2015</v>
      </c>
      <c r="C117" s="0" t="s">
        <v>436</v>
      </c>
      <c r="D117" s="0" t="n">
        <v>0</v>
      </c>
      <c r="E117" s="0" t="n">
        <v>1.500000001</v>
      </c>
      <c r="F117" s="0" t="n">
        <v>1</v>
      </c>
      <c r="G117" s="0" t="s">
        <v>437</v>
      </c>
      <c r="H117" s="0" t="s">
        <v>438</v>
      </c>
    </row>
    <row r="118" customFormat="false" ht="15" hidden="false" customHeight="false" outlineLevel="0" collapsed="false">
      <c r="A118" s="0" t="s">
        <v>149</v>
      </c>
      <c r="B118" s="0" t="n">
        <v>2016</v>
      </c>
      <c r="C118" s="0" t="s">
        <v>436</v>
      </c>
      <c r="D118" s="0" t="n">
        <v>0</v>
      </c>
      <c r="E118" s="0" t="n">
        <v>1.500000001</v>
      </c>
      <c r="F118" s="0" t="n">
        <v>1</v>
      </c>
      <c r="G118" s="0" t="s">
        <v>437</v>
      </c>
      <c r="H118" s="0" t="s">
        <v>438</v>
      </c>
    </row>
    <row r="119" customFormat="false" ht="15" hidden="false" customHeight="false" outlineLevel="0" collapsed="false">
      <c r="A119" s="0" t="s">
        <v>149</v>
      </c>
      <c r="B119" s="0" t="n">
        <v>2017</v>
      </c>
      <c r="C119" s="0" t="s">
        <v>436</v>
      </c>
      <c r="D119" s="0" t="n">
        <v>0</v>
      </c>
      <c r="E119" s="0" t="n">
        <v>1.500000001</v>
      </c>
      <c r="F119" s="0" t="n">
        <v>1</v>
      </c>
      <c r="G119" s="0" t="s">
        <v>437</v>
      </c>
      <c r="H119" s="0" t="s">
        <v>438</v>
      </c>
    </row>
    <row r="120" customFormat="false" ht="15" hidden="false" customHeight="false" outlineLevel="0" collapsed="false">
      <c r="A120" s="0" t="s">
        <v>149</v>
      </c>
      <c r="B120" s="0" t="n">
        <v>2018</v>
      </c>
      <c r="C120" s="0" t="s">
        <v>436</v>
      </c>
      <c r="D120" s="0" t="n">
        <v>0</v>
      </c>
      <c r="E120" s="0" t="n">
        <v>1.500000001</v>
      </c>
      <c r="F120" s="0" t="n">
        <v>1</v>
      </c>
      <c r="G120" s="0" t="s">
        <v>437</v>
      </c>
      <c r="H120" s="0" t="s">
        <v>438</v>
      </c>
    </row>
    <row r="121" customFormat="false" ht="15" hidden="false" customHeight="false" outlineLevel="0" collapsed="false">
      <c r="A121" s="0" t="s">
        <v>149</v>
      </c>
      <c r="B121" s="0" t="n">
        <v>2019</v>
      </c>
      <c r="C121" s="0" t="s">
        <v>436</v>
      </c>
      <c r="D121" s="0" t="n">
        <v>0</v>
      </c>
      <c r="E121" s="0" t="n">
        <v>1.500000001</v>
      </c>
      <c r="F121" s="0" t="n">
        <v>1</v>
      </c>
      <c r="G121" s="0" t="s">
        <v>437</v>
      </c>
      <c r="H121" s="0" t="s">
        <v>438</v>
      </c>
    </row>
    <row r="122" customFormat="false" ht="15" hidden="false" customHeight="false" outlineLevel="0" collapsed="false">
      <c r="A122" s="0" t="s">
        <v>149</v>
      </c>
      <c r="B122" s="0" t="n">
        <v>2020</v>
      </c>
      <c r="C122" s="0" t="s">
        <v>436</v>
      </c>
      <c r="D122" s="0" t="n">
        <v>0</v>
      </c>
      <c r="E122" s="0" t="n">
        <v>1.500000001</v>
      </c>
      <c r="F122" s="0" t="n">
        <v>1</v>
      </c>
      <c r="G122" s="0" t="s">
        <v>437</v>
      </c>
      <c r="H122" s="0" t="s">
        <v>438</v>
      </c>
    </row>
    <row r="123" customFormat="false" ht="15" hidden="false" customHeight="false" outlineLevel="0" collapsed="false">
      <c r="A123" s="0" t="s">
        <v>149</v>
      </c>
      <c r="B123" s="0" t="n">
        <v>2020</v>
      </c>
      <c r="C123" s="0" t="s">
        <v>439</v>
      </c>
      <c r="D123" s="0" t="n">
        <v>0</v>
      </c>
      <c r="E123" s="0" t="n">
        <v>1.500000001</v>
      </c>
      <c r="F123" s="0" t="n">
        <v>1</v>
      </c>
      <c r="G123" s="0" t="s">
        <v>437</v>
      </c>
      <c r="H123" s="0" t="s">
        <v>438</v>
      </c>
    </row>
    <row r="124" customFormat="false" ht="15" hidden="false" customHeight="false" outlineLevel="0" collapsed="false">
      <c r="A124" s="0" t="s">
        <v>149</v>
      </c>
      <c r="B124" s="0" t="n">
        <v>2020</v>
      </c>
      <c r="C124" s="0" t="s">
        <v>440</v>
      </c>
      <c r="D124" s="0" t="n">
        <v>-0.015</v>
      </c>
      <c r="E124" s="0" t="n">
        <v>0.050052</v>
      </c>
      <c r="G124" s="0" t="s">
        <v>437</v>
      </c>
      <c r="H124" s="0" t="s">
        <v>438</v>
      </c>
      <c r="J124" s="0" t="s">
        <v>474</v>
      </c>
    </row>
    <row r="125" customFormat="false" ht="15" hidden="false" customHeight="false" outlineLevel="0" collapsed="false">
      <c r="A125" s="0" t="s">
        <v>149</v>
      </c>
      <c r="B125" s="0" t="n">
        <v>2021</v>
      </c>
      <c r="C125" s="0" t="s">
        <v>436</v>
      </c>
      <c r="D125" s="0" t="n">
        <v>0</v>
      </c>
      <c r="E125" s="0" t="n">
        <v>1.500000001</v>
      </c>
      <c r="F125" s="0" t="n">
        <v>1</v>
      </c>
      <c r="G125" s="0" t="s">
        <v>437</v>
      </c>
      <c r="H125" s="0" t="s">
        <v>438</v>
      </c>
    </row>
    <row r="126" customFormat="false" ht="15" hidden="false" customHeight="false" outlineLevel="0" collapsed="false">
      <c r="A126" s="0" t="s">
        <v>149</v>
      </c>
      <c r="B126" s="0" t="n">
        <v>2021</v>
      </c>
      <c r="C126" s="0" t="s">
        <v>439</v>
      </c>
      <c r="D126" s="0" t="n">
        <v>0</v>
      </c>
      <c r="E126" s="0" t="n">
        <v>1.500000001</v>
      </c>
      <c r="F126" s="0" t="n">
        <v>1</v>
      </c>
      <c r="G126" s="0" t="s">
        <v>437</v>
      </c>
      <c r="H126" s="0" t="s">
        <v>438</v>
      </c>
    </row>
    <row r="127" customFormat="false" ht="15" hidden="false" customHeight="false" outlineLevel="0" collapsed="false">
      <c r="A127" s="0" t="s">
        <v>149</v>
      </c>
      <c r="B127" s="0" t="n">
        <v>2021</v>
      </c>
      <c r="C127" s="0" t="s">
        <v>440</v>
      </c>
      <c r="D127" s="0" t="n">
        <v>-0.0415</v>
      </c>
      <c r="E127" s="0" t="n">
        <v>0.050041</v>
      </c>
      <c r="G127" s="0" t="s">
        <v>437</v>
      </c>
      <c r="H127" s="0" t="s">
        <v>438</v>
      </c>
      <c r="J127" s="0" t="s">
        <v>475</v>
      </c>
    </row>
    <row r="128" customFormat="false" ht="15" hidden="false" customHeight="false" outlineLevel="0" collapsed="false">
      <c r="A128" s="0" t="s">
        <v>149</v>
      </c>
      <c r="B128" s="0" t="n">
        <v>2022</v>
      </c>
      <c r="C128" s="0" t="s">
        <v>436</v>
      </c>
      <c r="D128" s="0" t="n">
        <v>0</v>
      </c>
      <c r="E128" s="0" t="n">
        <v>1.500000001</v>
      </c>
      <c r="F128" s="0" t="n">
        <v>1</v>
      </c>
      <c r="G128" s="0" t="s">
        <v>437</v>
      </c>
      <c r="H128" s="0" t="s">
        <v>438</v>
      </c>
    </row>
    <row r="129" customFormat="false" ht="15" hidden="false" customHeight="false" outlineLevel="0" collapsed="false">
      <c r="A129" s="0" t="s">
        <v>149</v>
      </c>
      <c r="B129" s="0" t="n">
        <v>2022</v>
      </c>
      <c r="C129" s="0" t="s">
        <v>439</v>
      </c>
      <c r="D129" s="0" t="n">
        <v>0</v>
      </c>
      <c r="E129" s="0" t="n">
        <v>1.500000001</v>
      </c>
      <c r="F129" s="0" t="n">
        <v>1</v>
      </c>
      <c r="G129" s="0" t="s">
        <v>437</v>
      </c>
      <c r="H129" s="0" t="s">
        <v>438</v>
      </c>
    </row>
    <row r="130" customFormat="false" ht="15" hidden="false" customHeight="false" outlineLevel="0" collapsed="false">
      <c r="A130" s="0" t="s">
        <v>149</v>
      </c>
      <c r="B130" s="0" t="n">
        <v>2022</v>
      </c>
      <c r="C130" s="0" t="s">
        <v>440</v>
      </c>
      <c r="D130" s="0" t="n">
        <v>-0.0094</v>
      </c>
      <c r="E130" s="0" t="n">
        <v>0.050038</v>
      </c>
      <c r="G130" s="0" t="s">
        <v>437</v>
      </c>
      <c r="H130" s="0" t="s">
        <v>438</v>
      </c>
      <c r="J130" s="0" t="s">
        <v>476</v>
      </c>
    </row>
    <row r="131" customFormat="false" ht="15" hidden="false" customHeight="false" outlineLevel="0" collapsed="false">
      <c r="A131" s="0" t="s">
        <v>169</v>
      </c>
      <c r="B131" s="0" t="n">
        <v>2013</v>
      </c>
      <c r="C131" s="0" t="s">
        <v>436</v>
      </c>
      <c r="D131" s="0" t="n">
        <v>0</v>
      </c>
      <c r="E131" s="0" t="n">
        <v>0.001500001</v>
      </c>
      <c r="F131" s="0" t="n">
        <v>0.001</v>
      </c>
      <c r="G131" s="0" t="s">
        <v>437</v>
      </c>
      <c r="H131" s="0" t="s">
        <v>438</v>
      </c>
    </row>
    <row r="132" customFormat="false" ht="15" hidden="false" customHeight="false" outlineLevel="0" collapsed="false">
      <c r="A132" s="0" t="s">
        <v>169</v>
      </c>
      <c r="B132" s="0" t="n">
        <v>2014</v>
      </c>
      <c r="C132" s="0" t="s">
        <v>436</v>
      </c>
      <c r="D132" s="0" t="n">
        <v>0</v>
      </c>
      <c r="E132" s="0" t="n">
        <v>0.001500001</v>
      </c>
      <c r="F132" s="0" t="n">
        <v>0.001</v>
      </c>
      <c r="G132" s="0" t="s">
        <v>437</v>
      </c>
      <c r="H132" s="0" t="s">
        <v>438</v>
      </c>
    </row>
    <row r="133" customFormat="false" ht="15" hidden="false" customHeight="false" outlineLevel="0" collapsed="false">
      <c r="A133" s="0" t="s">
        <v>169</v>
      </c>
      <c r="B133" s="0" t="n">
        <v>2015</v>
      </c>
      <c r="C133" s="0" t="s">
        <v>436</v>
      </c>
      <c r="D133" s="0" t="n">
        <v>0</v>
      </c>
      <c r="E133" s="0" t="n">
        <v>0.001500001</v>
      </c>
      <c r="F133" s="0" t="n">
        <v>0.001</v>
      </c>
      <c r="G133" s="0" t="s">
        <v>437</v>
      </c>
      <c r="H133" s="0" t="s">
        <v>438</v>
      </c>
    </row>
    <row r="134" customFormat="false" ht="15" hidden="false" customHeight="false" outlineLevel="0" collapsed="false">
      <c r="A134" s="0" t="s">
        <v>169</v>
      </c>
      <c r="B134" s="0" t="n">
        <v>2015</v>
      </c>
      <c r="C134" s="0" t="s">
        <v>439</v>
      </c>
      <c r="D134" s="0" t="n">
        <v>0</v>
      </c>
      <c r="E134" s="0" t="n">
        <v>0.001500001</v>
      </c>
      <c r="F134" s="0" t="n">
        <v>0.001</v>
      </c>
      <c r="G134" s="0" t="s">
        <v>437</v>
      </c>
      <c r="H134" s="0" t="s">
        <v>438</v>
      </c>
    </row>
    <row r="135" customFormat="false" ht="15" hidden="false" customHeight="false" outlineLevel="0" collapsed="false">
      <c r="A135" s="0" t="s">
        <v>169</v>
      </c>
      <c r="B135" s="0" t="n">
        <v>2015</v>
      </c>
      <c r="C135" s="0" t="s">
        <v>440</v>
      </c>
      <c r="D135" s="0" t="n">
        <v>-0.0002</v>
      </c>
      <c r="E135" s="0" t="n">
        <v>0.005</v>
      </c>
      <c r="G135" s="0" t="s">
        <v>437</v>
      </c>
      <c r="H135" s="0" t="s">
        <v>438</v>
      </c>
      <c r="J135" s="0" t="s">
        <v>477</v>
      </c>
    </row>
    <row r="136" customFormat="false" ht="15" hidden="false" customHeight="false" outlineLevel="0" collapsed="false">
      <c r="A136" s="0" t="s">
        <v>169</v>
      </c>
      <c r="B136" s="0" t="n">
        <v>2016</v>
      </c>
      <c r="C136" s="0" t="s">
        <v>436</v>
      </c>
      <c r="D136" s="0" t="n">
        <v>0</v>
      </c>
      <c r="E136" s="0" t="n">
        <v>0.001500001</v>
      </c>
      <c r="F136" s="0" t="n">
        <v>0.001</v>
      </c>
      <c r="G136" s="0" t="s">
        <v>437</v>
      </c>
      <c r="H136" s="0" t="s">
        <v>438</v>
      </c>
    </row>
    <row r="137" customFormat="false" ht="15" hidden="false" customHeight="false" outlineLevel="0" collapsed="false">
      <c r="A137" s="0" t="s">
        <v>169</v>
      </c>
      <c r="B137" s="0" t="n">
        <v>2016</v>
      </c>
      <c r="C137" s="0" t="s">
        <v>439</v>
      </c>
      <c r="D137" s="0" t="n">
        <v>0</v>
      </c>
      <c r="E137" s="0" t="n">
        <v>0.001500001</v>
      </c>
      <c r="F137" s="0" t="n">
        <v>0.001</v>
      </c>
      <c r="G137" s="0" t="s">
        <v>437</v>
      </c>
      <c r="H137" s="0" t="s">
        <v>438</v>
      </c>
    </row>
    <row r="138" customFormat="false" ht="15" hidden="false" customHeight="false" outlineLevel="0" collapsed="false">
      <c r="A138" s="0" t="s">
        <v>169</v>
      </c>
      <c r="B138" s="0" t="n">
        <v>2016</v>
      </c>
      <c r="C138" s="0" t="s">
        <v>440</v>
      </c>
      <c r="D138" s="0" t="n">
        <v>0.001</v>
      </c>
      <c r="E138" s="0" t="n">
        <v>0.005</v>
      </c>
      <c r="G138" s="0" t="s">
        <v>437</v>
      </c>
      <c r="H138" s="0" t="s">
        <v>438</v>
      </c>
      <c r="J138" s="0" t="s">
        <v>478</v>
      </c>
    </row>
    <row r="139" customFormat="false" ht="15" hidden="false" customHeight="false" outlineLevel="0" collapsed="false">
      <c r="A139" s="0" t="s">
        <v>169</v>
      </c>
      <c r="B139" s="0" t="n">
        <v>2017</v>
      </c>
      <c r="C139" s="0" t="s">
        <v>436</v>
      </c>
      <c r="D139" s="0" t="n">
        <v>0</v>
      </c>
      <c r="E139" s="0" t="n">
        <v>1.500000001</v>
      </c>
      <c r="F139" s="0" t="n">
        <v>1</v>
      </c>
      <c r="G139" s="0" t="s">
        <v>437</v>
      </c>
      <c r="H139" s="0" t="s">
        <v>438</v>
      </c>
    </row>
    <row r="140" customFormat="false" ht="15" hidden="false" customHeight="false" outlineLevel="0" collapsed="false">
      <c r="A140" s="0" t="s">
        <v>169</v>
      </c>
      <c r="B140" s="0" t="n">
        <v>2017</v>
      </c>
      <c r="C140" s="0" t="s">
        <v>439</v>
      </c>
      <c r="D140" s="0" t="n">
        <v>0</v>
      </c>
      <c r="E140" s="0" t="n">
        <v>1.500000001</v>
      </c>
      <c r="F140" s="0" t="n">
        <v>1</v>
      </c>
      <c r="G140" s="0" t="s">
        <v>437</v>
      </c>
      <c r="H140" s="0" t="s">
        <v>438</v>
      </c>
    </row>
    <row r="141" customFormat="false" ht="15" hidden="false" customHeight="false" outlineLevel="0" collapsed="false">
      <c r="A141" s="0" t="s">
        <v>169</v>
      </c>
      <c r="B141" s="0" t="n">
        <v>2017</v>
      </c>
      <c r="C141" s="0" t="s">
        <v>440</v>
      </c>
      <c r="D141" s="0" t="n">
        <v>-0.002</v>
      </c>
      <c r="E141" s="0" t="n">
        <v>0.005079</v>
      </c>
      <c r="G141" s="0" t="s">
        <v>437</v>
      </c>
      <c r="H141" s="0" t="s">
        <v>438</v>
      </c>
      <c r="J141" s="0" t="s">
        <v>479</v>
      </c>
    </row>
    <row r="142" customFormat="false" ht="15" hidden="false" customHeight="false" outlineLevel="0" collapsed="false">
      <c r="A142" s="0" t="s">
        <v>169</v>
      </c>
      <c r="B142" s="0" t="n">
        <v>2018</v>
      </c>
      <c r="C142" s="0" t="s">
        <v>436</v>
      </c>
      <c r="D142" s="0" t="n">
        <v>0</v>
      </c>
      <c r="E142" s="0" t="n">
        <v>1.500000001</v>
      </c>
      <c r="F142" s="0" t="n">
        <v>1</v>
      </c>
      <c r="G142" s="0" t="s">
        <v>437</v>
      </c>
      <c r="H142" s="0" t="s">
        <v>438</v>
      </c>
    </row>
    <row r="143" customFormat="false" ht="15" hidden="false" customHeight="false" outlineLevel="0" collapsed="false">
      <c r="A143" s="0" t="s">
        <v>169</v>
      </c>
      <c r="B143" s="0" t="n">
        <v>2019</v>
      </c>
      <c r="C143" s="0" t="s">
        <v>436</v>
      </c>
      <c r="D143" s="0" t="n">
        <v>0</v>
      </c>
      <c r="E143" s="0" t="n">
        <v>1.500000001</v>
      </c>
      <c r="F143" s="0" t="n">
        <v>1</v>
      </c>
      <c r="G143" s="0" t="s">
        <v>437</v>
      </c>
      <c r="H143" s="0" t="s">
        <v>438</v>
      </c>
    </row>
    <row r="144" customFormat="false" ht="15" hidden="false" customHeight="false" outlineLevel="0" collapsed="false">
      <c r="A144" s="0" t="s">
        <v>169</v>
      </c>
      <c r="B144" s="0" t="n">
        <v>2020</v>
      </c>
      <c r="C144" s="0" t="s">
        <v>436</v>
      </c>
      <c r="D144" s="0" t="n">
        <v>0</v>
      </c>
      <c r="E144" s="0" t="n">
        <v>1.500000001</v>
      </c>
      <c r="F144" s="0" t="n">
        <v>1</v>
      </c>
      <c r="G144" s="0" t="s">
        <v>437</v>
      </c>
      <c r="H144" s="0" t="s">
        <v>438</v>
      </c>
    </row>
    <row r="145" customFormat="false" ht="15" hidden="false" customHeight="false" outlineLevel="0" collapsed="false">
      <c r="A145" s="0" t="s">
        <v>169</v>
      </c>
      <c r="B145" s="0" t="n">
        <v>2020</v>
      </c>
      <c r="C145" s="0" t="s">
        <v>439</v>
      </c>
      <c r="D145" s="0" t="n">
        <v>0</v>
      </c>
      <c r="E145" s="0" t="n">
        <v>1.500000001</v>
      </c>
      <c r="F145" s="0" t="n">
        <v>1</v>
      </c>
      <c r="G145" s="0" t="s">
        <v>437</v>
      </c>
      <c r="H145" s="0" t="s">
        <v>438</v>
      </c>
    </row>
    <row r="146" customFormat="false" ht="15" hidden="false" customHeight="false" outlineLevel="0" collapsed="false">
      <c r="A146" s="0" t="s">
        <v>169</v>
      </c>
      <c r="B146" s="0" t="n">
        <v>2020</v>
      </c>
      <c r="C146" s="0" t="s">
        <v>440</v>
      </c>
      <c r="D146" s="0" t="n">
        <v>0.0037</v>
      </c>
      <c r="E146" s="0" t="n">
        <v>0.005076</v>
      </c>
      <c r="G146" s="0" t="s">
        <v>437</v>
      </c>
      <c r="H146" s="0" t="s">
        <v>438</v>
      </c>
      <c r="J146" s="0" t="s">
        <v>480</v>
      </c>
    </row>
    <row r="147" customFormat="false" ht="15" hidden="false" customHeight="false" outlineLevel="0" collapsed="false">
      <c r="A147" s="0" t="s">
        <v>169</v>
      </c>
      <c r="B147" s="0" t="n">
        <v>2021</v>
      </c>
      <c r="C147" s="0" t="s">
        <v>436</v>
      </c>
      <c r="D147" s="0" t="n">
        <v>0</v>
      </c>
      <c r="E147" s="0" t="n">
        <v>1.500000001</v>
      </c>
      <c r="F147" s="0" t="n">
        <v>1</v>
      </c>
      <c r="G147" s="0" t="s">
        <v>437</v>
      </c>
      <c r="H147" s="0" t="s">
        <v>438</v>
      </c>
    </row>
    <row r="148" customFormat="false" ht="15" hidden="false" customHeight="false" outlineLevel="0" collapsed="false">
      <c r="A148" s="0" t="s">
        <v>169</v>
      </c>
      <c r="B148" s="0" t="n">
        <v>2021</v>
      </c>
      <c r="C148" s="0" t="s">
        <v>439</v>
      </c>
      <c r="D148" s="0" t="n">
        <v>0</v>
      </c>
      <c r="E148" s="0" t="n">
        <v>1.500000001</v>
      </c>
      <c r="F148" s="0" t="n">
        <v>1</v>
      </c>
      <c r="G148" s="0" t="s">
        <v>437</v>
      </c>
      <c r="H148" s="0" t="s">
        <v>438</v>
      </c>
    </row>
    <row r="149" customFormat="false" ht="15" hidden="false" customHeight="false" outlineLevel="0" collapsed="false">
      <c r="A149" s="0" t="s">
        <v>169</v>
      </c>
      <c r="B149" s="0" t="n">
        <v>2021</v>
      </c>
      <c r="C149" s="0" t="s">
        <v>440</v>
      </c>
      <c r="D149" s="0" t="n">
        <v>0.0045</v>
      </c>
      <c r="E149" s="0" t="n">
        <v>0.00506</v>
      </c>
      <c r="G149" s="0" t="s">
        <v>437</v>
      </c>
      <c r="H149" s="0" t="s">
        <v>438</v>
      </c>
      <c r="J149" s="0" t="s">
        <v>481</v>
      </c>
    </row>
    <row r="150" customFormat="false" ht="15" hidden="false" customHeight="false" outlineLevel="0" collapsed="false">
      <c r="A150" s="0" t="s">
        <v>169</v>
      </c>
      <c r="B150" s="0" t="n">
        <v>2022</v>
      </c>
      <c r="C150" s="0" t="s">
        <v>436</v>
      </c>
      <c r="D150" s="0" t="n">
        <v>0</v>
      </c>
      <c r="E150" s="0" t="n">
        <v>1.500000001</v>
      </c>
      <c r="F150" s="0" t="n">
        <v>1</v>
      </c>
      <c r="G150" s="0" t="s">
        <v>437</v>
      </c>
      <c r="H150" s="0" t="s">
        <v>438</v>
      </c>
    </row>
    <row r="151" customFormat="false" ht="15" hidden="false" customHeight="false" outlineLevel="0" collapsed="false">
      <c r="A151" s="0" t="s">
        <v>169</v>
      </c>
      <c r="B151" s="0" t="n">
        <v>2022</v>
      </c>
      <c r="C151" s="0" t="s">
        <v>439</v>
      </c>
      <c r="D151" s="0" t="n">
        <v>0</v>
      </c>
      <c r="E151" s="0" t="n">
        <v>1.500000001</v>
      </c>
      <c r="F151" s="0" t="n">
        <v>1</v>
      </c>
      <c r="G151" s="0" t="s">
        <v>437</v>
      </c>
      <c r="H151" s="0" t="s">
        <v>438</v>
      </c>
    </row>
    <row r="152" customFormat="false" ht="15" hidden="false" customHeight="false" outlineLevel="0" collapsed="false">
      <c r="A152" s="0" t="s">
        <v>169</v>
      </c>
      <c r="B152" s="0" t="n">
        <v>2022</v>
      </c>
      <c r="C152" s="0" t="s">
        <v>440</v>
      </c>
      <c r="D152" s="0" t="n">
        <v>-0.0042</v>
      </c>
      <c r="E152" s="0" t="n">
        <v>0.005057</v>
      </c>
      <c r="G152" s="0" t="s">
        <v>437</v>
      </c>
      <c r="H152" s="0" t="s">
        <v>438</v>
      </c>
      <c r="J152" s="0" t="s">
        <v>482</v>
      </c>
    </row>
    <row r="153" customFormat="false" ht="15" hidden="false" customHeight="false" outlineLevel="0" collapsed="false">
      <c r="A153" s="0" t="s">
        <v>178</v>
      </c>
      <c r="B153" s="0" t="n">
        <v>2013</v>
      </c>
      <c r="C153" s="0" t="s">
        <v>436</v>
      </c>
      <c r="D153" s="0" t="n">
        <v>0</v>
      </c>
      <c r="E153" s="0" t="n">
        <v>1.500000001</v>
      </c>
      <c r="F153" s="0" t="n">
        <v>1</v>
      </c>
      <c r="G153" s="0" t="s">
        <v>437</v>
      </c>
      <c r="H153" s="0" t="s">
        <v>438</v>
      </c>
    </row>
    <row r="154" customFormat="false" ht="15" hidden="false" customHeight="false" outlineLevel="0" collapsed="false">
      <c r="A154" s="0" t="s">
        <v>178</v>
      </c>
      <c r="B154" s="0" t="n">
        <v>2014</v>
      </c>
      <c r="C154" s="0" t="s">
        <v>436</v>
      </c>
      <c r="D154" s="0" t="n">
        <v>0</v>
      </c>
      <c r="E154" s="0" t="n">
        <v>1.500000001</v>
      </c>
      <c r="F154" s="0" t="n">
        <v>1</v>
      </c>
      <c r="G154" s="0" t="s">
        <v>437</v>
      </c>
      <c r="H154" s="0" t="s">
        <v>438</v>
      </c>
    </row>
    <row r="155" customFormat="false" ht="15" hidden="false" customHeight="false" outlineLevel="0" collapsed="false">
      <c r="A155" s="0" t="s">
        <v>178</v>
      </c>
      <c r="B155" s="0" t="n">
        <v>2015</v>
      </c>
      <c r="C155" s="0" t="s">
        <v>436</v>
      </c>
      <c r="D155" s="0" t="n">
        <v>0</v>
      </c>
      <c r="E155" s="0" t="n">
        <v>1.500000001</v>
      </c>
      <c r="F155" s="0" t="n">
        <v>1</v>
      </c>
      <c r="G155" s="0" t="s">
        <v>437</v>
      </c>
      <c r="H155" s="0" t="s">
        <v>438</v>
      </c>
    </row>
    <row r="156" customFormat="false" ht="15" hidden="false" customHeight="false" outlineLevel="0" collapsed="false">
      <c r="A156" s="0" t="s">
        <v>178</v>
      </c>
      <c r="B156" s="0" t="n">
        <v>2015</v>
      </c>
      <c r="C156" s="0" t="s">
        <v>439</v>
      </c>
      <c r="D156" s="0" t="n">
        <v>0</v>
      </c>
      <c r="E156" s="0" t="n">
        <v>1.500000001</v>
      </c>
      <c r="F156" s="0" t="n">
        <v>1</v>
      </c>
      <c r="G156" s="0" t="s">
        <v>437</v>
      </c>
      <c r="H156" s="0" t="s">
        <v>438</v>
      </c>
    </row>
    <row r="157" customFormat="false" ht="15" hidden="false" customHeight="false" outlineLevel="0" collapsed="false">
      <c r="A157" s="0" t="s">
        <v>178</v>
      </c>
      <c r="B157" s="0" t="n">
        <v>2015</v>
      </c>
      <c r="C157" s="0" t="s">
        <v>440</v>
      </c>
      <c r="D157" s="0" t="n">
        <v>0.0483</v>
      </c>
      <c r="E157" s="0" t="n">
        <v>0.50005</v>
      </c>
      <c r="G157" s="0" t="s">
        <v>437</v>
      </c>
      <c r="H157" s="0" t="s">
        <v>438</v>
      </c>
      <c r="J157" s="0" t="s">
        <v>483</v>
      </c>
    </row>
    <row r="158" customFormat="false" ht="15" hidden="false" customHeight="false" outlineLevel="0" collapsed="false">
      <c r="A158" s="0" t="s">
        <v>178</v>
      </c>
      <c r="B158" s="0" t="n">
        <v>2016</v>
      </c>
      <c r="C158" s="0" t="s">
        <v>436</v>
      </c>
      <c r="D158" s="0" t="n">
        <v>0</v>
      </c>
      <c r="E158" s="0" t="n">
        <v>1.500000001</v>
      </c>
      <c r="F158" s="0" t="n">
        <v>1</v>
      </c>
      <c r="G158" s="0" t="s">
        <v>437</v>
      </c>
      <c r="H158" s="0" t="s">
        <v>438</v>
      </c>
    </row>
    <row r="159" customFormat="false" ht="15" hidden="false" customHeight="false" outlineLevel="0" collapsed="false">
      <c r="A159" s="0" t="s">
        <v>178</v>
      </c>
      <c r="B159" s="0" t="n">
        <v>2016</v>
      </c>
      <c r="C159" s="0" t="s">
        <v>439</v>
      </c>
      <c r="D159" s="0" t="n">
        <v>0</v>
      </c>
      <c r="E159" s="0" t="n">
        <v>1.500000001</v>
      </c>
      <c r="F159" s="0" t="n">
        <v>1</v>
      </c>
      <c r="G159" s="0" t="s">
        <v>437</v>
      </c>
      <c r="H159" s="0" t="s">
        <v>438</v>
      </c>
    </row>
    <row r="160" customFormat="false" ht="15" hidden="false" customHeight="false" outlineLevel="0" collapsed="false">
      <c r="A160" s="0" t="s">
        <v>178</v>
      </c>
      <c r="B160" s="0" t="n">
        <v>2016</v>
      </c>
      <c r="C160" s="0" t="s">
        <v>440</v>
      </c>
      <c r="D160" s="0" t="n">
        <v>0.2971</v>
      </c>
      <c r="E160" s="0" t="n">
        <v>0.500045</v>
      </c>
      <c r="G160" s="0" t="s">
        <v>437</v>
      </c>
      <c r="H160" s="0" t="s">
        <v>438</v>
      </c>
      <c r="J160" s="0" t="s">
        <v>484</v>
      </c>
    </row>
    <row r="161" customFormat="false" ht="15" hidden="false" customHeight="false" outlineLevel="0" collapsed="false">
      <c r="A161" s="0" t="s">
        <v>178</v>
      </c>
      <c r="B161" s="0" t="n">
        <v>2017</v>
      </c>
      <c r="C161" s="0" t="s">
        <v>436</v>
      </c>
      <c r="D161" s="0" t="n">
        <v>0</v>
      </c>
      <c r="E161" s="0" t="n">
        <v>1.500000001</v>
      </c>
      <c r="F161" s="0" t="n">
        <v>1</v>
      </c>
      <c r="G161" s="0" t="s">
        <v>437</v>
      </c>
      <c r="H161" s="0" t="s">
        <v>438</v>
      </c>
    </row>
    <row r="162" customFormat="false" ht="15" hidden="false" customHeight="false" outlineLevel="0" collapsed="false">
      <c r="A162" s="0" t="s">
        <v>178</v>
      </c>
      <c r="B162" s="0" t="n">
        <v>2017</v>
      </c>
      <c r="C162" s="0" t="s">
        <v>439</v>
      </c>
      <c r="D162" s="0" t="n">
        <v>0</v>
      </c>
      <c r="E162" s="0" t="n">
        <v>1.500000001</v>
      </c>
      <c r="F162" s="0" t="n">
        <v>1</v>
      </c>
      <c r="G162" s="0" t="s">
        <v>437</v>
      </c>
      <c r="H162" s="0" t="s">
        <v>438</v>
      </c>
    </row>
    <row r="163" customFormat="false" ht="15" hidden="false" customHeight="false" outlineLevel="0" collapsed="false">
      <c r="A163" s="0" t="s">
        <v>178</v>
      </c>
      <c r="B163" s="0" t="n">
        <v>2017</v>
      </c>
      <c r="C163" s="0" t="s">
        <v>440</v>
      </c>
      <c r="D163" s="0" t="n">
        <v>-0.1589</v>
      </c>
      <c r="E163" s="0" t="n">
        <v>0.500047</v>
      </c>
      <c r="G163" s="0" t="s">
        <v>437</v>
      </c>
      <c r="H163" s="0" t="s">
        <v>438</v>
      </c>
      <c r="J163" s="0" t="s">
        <v>485</v>
      </c>
    </row>
    <row r="164" customFormat="false" ht="15" hidden="false" customHeight="false" outlineLevel="0" collapsed="false">
      <c r="A164" s="0" t="s">
        <v>178</v>
      </c>
      <c r="B164" s="0" t="n">
        <v>2018</v>
      </c>
      <c r="C164" s="0" t="s">
        <v>436</v>
      </c>
      <c r="D164" s="0" t="n">
        <v>0</v>
      </c>
      <c r="E164" s="0" t="n">
        <v>1.500000001</v>
      </c>
      <c r="F164" s="0" t="n">
        <v>1</v>
      </c>
      <c r="G164" s="0" t="s">
        <v>437</v>
      </c>
      <c r="H164" s="0" t="s">
        <v>438</v>
      </c>
    </row>
    <row r="165" customFormat="false" ht="15" hidden="false" customHeight="false" outlineLevel="0" collapsed="false">
      <c r="A165" s="0" t="s">
        <v>178</v>
      </c>
      <c r="B165" s="0" t="n">
        <v>2018</v>
      </c>
      <c r="C165" s="0" t="s">
        <v>439</v>
      </c>
      <c r="D165" s="0" t="n">
        <v>0</v>
      </c>
      <c r="E165" s="0" t="n">
        <v>1.500000001</v>
      </c>
      <c r="F165" s="0" t="n">
        <v>1</v>
      </c>
      <c r="G165" s="0" t="s">
        <v>437</v>
      </c>
      <c r="H165" s="0" t="s">
        <v>438</v>
      </c>
    </row>
    <row r="166" customFormat="false" ht="15" hidden="false" customHeight="false" outlineLevel="0" collapsed="false">
      <c r="A166" s="0" t="s">
        <v>178</v>
      </c>
      <c r="B166" s="0" t="n">
        <v>2018</v>
      </c>
      <c r="C166" s="0" t="s">
        <v>440</v>
      </c>
      <c r="D166" s="0" t="n">
        <v>0.338</v>
      </c>
      <c r="E166" s="0" t="n">
        <v>0.500048</v>
      </c>
      <c r="G166" s="0" t="s">
        <v>437</v>
      </c>
      <c r="H166" s="0" t="s">
        <v>438</v>
      </c>
      <c r="J166" s="0" t="s">
        <v>486</v>
      </c>
    </row>
    <row r="167" customFormat="false" ht="15" hidden="false" customHeight="false" outlineLevel="0" collapsed="false">
      <c r="A167" s="0" t="s">
        <v>178</v>
      </c>
      <c r="B167" s="0" t="n">
        <v>2019</v>
      </c>
      <c r="C167" s="0" t="s">
        <v>436</v>
      </c>
      <c r="D167" s="0" t="n">
        <v>0</v>
      </c>
      <c r="E167" s="0" t="n">
        <v>1.500000001</v>
      </c>
      <c r="F167" s="0" t="n">
        <v>1</v>
      </c>
      <c r="G167" s="0" t="s">
        <v>437</v>
      </c>
      <c r="H167" s="0" t="s">
        <v>438</v>
      </c>
    </row>
    <row r="168" customFormat="false" ht="15" hidden="false" customHeight="false" outlineLevel="0" collapsed="false">
      <c r="A168" s="0" t="s">
        <v>178</v>
      </c>
      <c r="B168" s="0" t="n">
        <v>2019</v>
      </c>
      <c r="C168" s="0" t="s">
        <v>439</v>
      </c>
      <c r="D168" s="0" t="n">
        <v>0</v>
      </c>
      <c r="E168" s="0" t="n">
        <v>1.500000001</v>
      </c>
      <c r="F168" s="0" t="n">
        <v>1</v>
      </c>
      <c r="G168" s="0" t="s">
        <v>437</v>
      </c>
      <c r="H168" s="0" t="s">
        <v>438</v>
      </c>
    </row>
    <row r="169" customFormat="false" ht="15" hidden="false" customHeight="false" outlineLevel="0" collapsed="false">
      <c r="A169" s="0" t="s">
        <v>178</v>
      </c>
      <c r="B169" s="0" t="n">
        <v>2019</v>
      </c>
      <c r="C169" s="0" t="s">
        <v>440</v>
      </c>
      <c r="D169" s="0" t="n">
        <v>0.4929</v>
      </c>
      <c r="E169" s="0" t="n">
        <v>0.500046</v>
      </c>
      <c r="G169" s="0" t="s">
        <v>437</v>
      </c>
      <c r="H169" s="0" t="s">
        <v>438</v>
      </c>
      <c r="J169" s="0" t="s">
        <v>487</v>
      </c>
    </row>
    <row r="170" customFormat="false" ht="15" hidden="false" customHeight="false" outlineLevel="0" collapsed="false">
      <c r="A170" s="0" t="s">
        <v>178</v>
      </c>
      <c r="B170" s="0" t="n">
        <v>2020</v>
      </c>
      <c r="C170" s="0" t="s">
        <v>436</v>
      </c>
      <c r="D170" s="0" t="n">
        <v>0</v>
      </c>
      <c r="E170" s="0" t="n">
        <v>1.500000001</v>
      </c>
      <c r="F170" s="0" t="n">
        <v>1</v>
      </c>
      <c r="G170" s="0" t="s">
        <v>437</v>
      </c>
      <c r="H170" s="0" t="s">
        <v>438</v>
      </c>
    </row>
    <row r="171" customFormat="false" ht="15" hidden="false" customHeight="false" outlineLevel="0" collapsed="false">
      <c r="A171" s="0" t="s">
        <v>178</v>
      </c>
      <c r="B171" s="0" t="n">
        <v>2020</v>
      </c>
      <c r="C171" s="0" t="s">
        <v>439</v>
      </c>
      <c r="D171" s="0" t="n">
        <v>0</v>
      </c>
      <c r="E171" s="0" t="n">
        <v>1.500000001</v>
      </c>
      <c r="F171" s="0" t="n">
        <v>1</v>
      </c>
      <c r="G171" s="0" t="s">
        <v>437</v>
      </c>
      <c r="H171" s="0" t="s">
        <v>438</v>
      </c>
    </row>
    <row r="172" customFormat="false" ht="15" hidden="false" customHeight="false" outlineLevel="0" collapsed="false">
      <c r="A172" s="0" t="s">
        <v>178</v>
      </c>
      <c r="B172" s="0" t="n">
        <v>2020</v>
      </c>
      <c r="C172" s="0" t="s">
        <v>440</v>
      </c>
      <c r="D172" s="0" t="n">
        <v>0.3048</v>
      </c>
      <c r="E172" s="0" t="n">
        <v>0.500043</v>
      </c>
      <c r="G172" s="0" t="s">
        <v>437</v>
      </c>
      <c r="H172" s="0" t="s">
        <v>438</v>
      </c>
      <c r="J172" s="0" t="s">
        <v>488</v>
      </c>
    </row>
    <row r="173" customFormat="false" ht="15" hidden="false" customHeight="false" outlineLevel="0" collapsed="false">
      <c r="A173" s="0" t="s">
        <v>178</v>
      </c>
      <c r="B173" s="0" t="n">
        <v>2021</v>
      </c>
      <c r="C173" s="0" t="s">
        <v>436</v>
      </c>
      <c r="D173" s="0" t="n">
        <v>0</v>
      </c>
      <c r="E173" s="0" t="n">
        <v>1.500000001</v>
      </c>
      <c r="F173" s="0" t="n">
        <v>1</v>
      </c>
      <c r="G173" s="0" t="s">
        <v>437</v>
      </c>
      <c r="H173" s="0" t="s">
        <v>438</v>
      </c>
    </row>
    <row r="174" customFormat="false" ht="15" hidden="false" customHeight="false" outlineLevel="0" collapsed="false">
      <c r="A174" s="0" t="s">
        <v>178</v>
      </c>
      <c r="B174" s="0" t="n">
        <v>2021</v>
      </c>
      <c r="C174" s="0" t="s">
        <v>439</v>
      </c>
      <c r="D174" s="0" t="n">
        <v>0</v>
      </c>
      <c r="E174" s="0" t="n">
        <v>1.500000001</v>
      </c>
      <c r="F174" s="0" t="n">
        <v>1</v>
      </c>
      <c r="G174" s="0" t="s">
        <v>437</v>
      </c>
      <c r="H174" s="0" t="s">
        <v>438</v>
      </c>
    </row>
    <row r="175" customFormat="false" ht="15" hidden="false" customHeight="false" outlineLevel="0" collapsed="false">
      <c r="A175" s="0" t="s">
        <v>178</v>
      </c>
      <c r="B175" s="0" t="n">
        <v>2021</v>
      </c>
      <c r="C175" s="0" t="s">
        <v>440</v>
      </c>
      <c r="D175" s="0" t="n">
        <v>-0.0218</v>
      </c>
      <c r="E175" s="0" t="n">
        <v>0.050039</v>
      </c>
      <c r="G175" s="0" t="s">
        <v>437</v>
      </c>
      <c r="H175" s="0" t="s">
        <v>438</v>
      </c>
      <c r="J175" s="0" t="s">
        <v>489</v>
      </c>
    </row>
    <row r="176" customFormat="false" ht="15" hidden="false" customHeight="false" outlineLevel="0" collapsed="false">
      <c r="A176" s="0" t="s">
        <v>178</v>
      </c>
      <c r="B176" s="0" t="n">
        <v>2022</v>
      </c>
      <c r="C176" s="0" t="s">
        <v>436</v>
      </c>
      <c r="D176" s="0" t="n">
        <v>0</v>
      </c>
      <c r="E176" s="0" t="n">
        <v>1.500000001</v>
      </c>
      <c r="F176" s="0" t="n">
        <v>1</v>
      </c>
      <c r="G176" s="0" t="s">
        <v>437</v>
      </c>
      <c r="H176" s="0" t="s">
        <v>438</v>
      </c>
    </row>
    <row r="177" customFormat="false" ht="15" hidden="false" customHeight="false" outlineLevel="0" collapsed="false">
      <c r="A177" s="0" t="s">
        <v>178</v>
      </c>
      <c r="B177" s="0" t="n">
        <v>2022</v>
      </c>
      <c r="C177" s="0" t="s">
        <v>439</v>
      </c>
      <c r="D177" s="0" t="n">
        <v>0</v>
      </c>
      <c r="E177" s="0" t="n">
        <v>1.500000001</v>
      </c>
      <c r="F177" s="0" t="n">
        <v>1</v>
      </c>
      <c r="G177" s="0" t="s">
        <v>437</v>
      </c>
      <c r="H177" s="0" t="s">
        <v>438</v>
      </c>
    </row>
    <row r="178" customFormat="false" ht="15" hidden="false" customHeight="false" outlineLevel="0" collapsed="false">
      <c r="A178" s="0" t="s">
        <v>178</v>
      </c>
      <c r="B178" s="0" t="n">
        <v>2022</v>
      </c>
      <c r="C178" s="0" t="s">
        <v>440</v>
      </c>
      <c r="D178" s="0" t="n">
        <v>0.0469</v>
      </c>
      <c r="E178" s="0" t="n">
        <v>0.050036</v>
      </c>
      <c r="G178" s="0" t="s">
        <v>437</v>
      </c>
      <c r="H178" s="0" t="s">
        <v>438</v>
      </c>
      <c r="J178" s="0" t="s">
        <v>490</v>
      </c>
    </row>
    <row r="179" customFormat="false" ht="15" hidden="false" customHeight="false" outlineLevel="0" collapsed="false">
      <c r="A179" s="0" t="s">
        <v>187</v>
      </c>
      <c r="B179" s="0" t="n">
        <v>2013</v>
      </c>
      <c r="C179" s="0" t="s">
        <v>436</v>
      </c>
      <c r="D179" s="0" t="n">
        <v>0</v>
      </c>
      <c r="E179" s="0" t="n">
        <v>1.500000001</v>
      </c>
      <c r="F179" s="0" t="n">
        <v>1</v>
      </c>
      <c r="G179" s="0" t="s">
        <v>437</v>
      </c>
      <c r="H179" s="0" t="s">
        <v>438</v>
      </c>
    </row>
    <row r="180" customFormat="false" ht="15" hidden="false" customHeight="false" outlineLevel="0" collapsed="false">
      <c r="A180" s="0" t="s">
        <v>187</v>
      </c>
      <c r="B180" s="0" t="n">
        <v>2014</v>
      </c>
      <c r="C180" s="0" t="s">
        <v>436</v>
      </c>
      <c r="D180" s="0" t="n">
        <v>0</v>
      </c>
      <c r="E180" s="0" t="n">
        <v>1.500000001</v>
      </c>
      <c r="F180" s="0" t="n">
        <v>1</v>
      </c>
      <c r="G180" s="0" t="s">
        <v>437</v>
      </c>
      <c r="H180" s="0" t="s">
        <v>438</v>
      </c>
    </row>
    <row r="181" customFormat="false" ht="15" hidden="false" customHeight="false" outlineLevel="0" collapsed="false">
      <c r="A181" s="0" t="s">
        <v>187</v>
      </c>
      <c r="B181" s="0" t="n">
        <v>2015</v>
      </c>
      <c r="C181" s="0" t="s">
        <v>436</v>
      </c>
      <c r="D181" s="0" t="n">
        <v>0</v>
      </c>
      <c r="E181" s="0" t="n">
        <v>1.500000001</v>
      </c>
      <c r="F181" s="0" t="n">
        <v>1</v>
      </c>
      <c r="G181" s="0" t="s">
        <v>437</v>
      </c>
      <c r="H181" s="0" t="s">
        <v>438</v>
      </c>
    </row>
    <row r="182" customFormat="false" ht="15" hidden="false" customHeight="false" outlineLevel="0" collapsed="false">
      <c r="A182" s="0" t="s">
        <v>187</v>
      </c>
      <c r="B182" s="0" t="n">
        <v>2015</v>
      </c>
      <c r="C182" s="0" t="s">
        <v>439</v>
      </c>
      <c r="D182" s="0" t="n">
        <v>0</v>
      </c>
      <c r="E182" s="0" t="n">
        <v>1.500000001</v>
      </c>
      <c r="F182" s="0" t="n">
        <v>1</v>
      </c>
      <c r="G182" s="0" t="s">
        <v>437</v>
      </c>
      <c r="H182" s="0" t="s">
        <v>438</v>
      </c>
    </row>
    <row r="183" customFormat="false" ht="15" hidden="false" customHeight="false" outlineLevel="0" collapsed="false">
      <c r="A183" s="0" t="s">
        <v>187</v>
      </c>
      <c r="B183" s="0" t="n">
        <v>2015</v>
      </c>
      <c r="C183" s="0" t="s">
        <v>440</v>
      </c>
      <c r="D183" s="0" t="n">
        <v>-0.048</v>
      </c>
      <c r="E183" s="0" t="n">
        <v>0.050099</v>
      </c>
      <c r="G183" s="0" t="s">
        <v>437</v>
      </c>
      <c r="H183" s="0" t="s">
        <v>438</v>
      </c>
      <c r="J183" s="0" t="s">
        <v>491</v>
      </c>
    </row>
    <row r="184" customFormat="false" ht="15" hidden="false" customHeight="false" outlineLevel="0" collapsed="false">
      <c r="A184" s="0" t="s">
        <v>187</v>
      </c>
      <c r="B184" s="0" t="n">
        <v>2016</v>
      </c>
      <c r="C184" s="0" t="s">
        <v>436</v>
      </c>
      <c r="D184" s="0" t="n">
        <v>0</v>
      </c>
      <c r="E184" s="0" t="n">
        <v>1.500000001</v>
      </c>
      <c r="F184" s="0" t="n">
        <v>1</v>
      </c>
      <c r="G184" s="0" t="s">
        <v>437</v>
      </c>
      <c r="H184" s="0" t="s">
        <v>438</v>
      </c>
    </row>
    <row r="185" customFormat="false" ht="15" hidden="false" customHeight="false" outlineLevel="0" collapsed="false">
      <c r="A185" s="0" t="s">
        <v>187</v>
      </c>
      <c r="B185" s="0" t="n">
        <v>2016</v>
      </c>
      <c r="C185" s="0" t="s">
        <v>439</v>
      </c>
      <c r="D185" s="0" t="n">
        <v>0</v>
      </c>
      <c r="E185" s="0" t="n">
        <v>1.500000001</v>
      </c>
      <c r="F185" s="0" t="n">
        <v>1</v>
      </c>
      <c r="G185" s="0" t="s">
        <v>437</v>
      </c>
      <c r="H185" s="0" t="s">
        <v>438</v>
      </c>
    </row>
    <row r="186" customFormat="false" ht="15" hidden="false" customHeight="false" outlineLevel="0" collapsed="false">
      <c r="A186" s="0" t="s">
        <v>187</v>
      </c>
      <c r="B186" s="0" t="n">
        <v>2016</v>
      </c>
      <c r="C186" s="0" t="s">
        <v>440</v>
      </c>
      <c r="D186" s="0" t="n">
        <v>0.0098</v>
      </c>
      <c r="E186" s="0" t="n">
        <v>0.050078</v>
      </c>
      <c r="G186" s="0" t="s">
        <v>437</v>
      </c>
      <c r="H186" s="0" t="s">
        <v>438</v>
      </c>
      <c r="J186" s="0" t="s">
        <v>492</v>
      </c>
    </row>
    <row r="187" customFormat="false" ht="15" hidden="false" customHeight="false" outlineLevel="0" collapsed="false">
      <c r="A187" s="0" t="s">
        <v>187</v>
      </c>
      <c r="B187" s="0" t="n">
        <v>2017</v>
      </c>
      <c r="C187" s="0" t="s">
        <v>436</v>
      </c>
      <c r="D187" s="0" t="n">
        <v>0</v>
      </c>
      <c r="E187" s="0" t="n">
        <v>1.500000001</v>
      </c>
      <c r="F187" s="0" t="n">
        <v>1</v>
      </c>
      <c r="G187" s="0" t="s">
        <v>437</v>
      </c>
      <c r="H187" s="0" t="s">
        <v>438</v>
      </c>
    </row>
    <row r="188" customFormat="false" ht="15" hidden="false" customHeight="false" outlineLevel="0" collapsed="false">
      <c r="A188" s="0" t="s">
        <v>187</v>
      </c>
      <c r="B188" s="0" t="n">
        <v>2017</v>
      </c>
      <c r="C188" s="0" t="s">
        <v>439</v>
      </c>
      <c r="D188" s="0" t="n">
        <v>0</v>
      </c>
      <c r="E188" s="0" t="n">
        <v>1.500000001</v>
      </c>
      <c r="F188" s="0" t="n">
        <v>1</v>
      </c>
      <c r="G188" s="0" t="s">
        <v>437</v>
      </c>
      <c r="H188" s="0" t="s">
        <v>438</v>
      </c>
    </row>
    <row r="189" customFormat="false" ht="15" hidden="false" customHeight="false" outlineLevel="0" collapsed="false">
      <c r="A189" s="0" t="s">
        <v>187</v>
      </c>
      <c r="B189" s="0" t="n">
        <v>2017</v>
      </c>
      <c r="C189" s="0" t="s">
        <v>440</v>
      </c>
      <c r="D189" s="0" t="n">
        <v>-0.0019</v>
      </c>
      <c r="E189" s="0" t="n">
        <v>0.050076</v>
      </c>
      <c r="G189" s="0" t="s">
        <v>437</v>
      </c>
      <c r="H189" s="0" t="s">
        <v>438</v>
      </c>
      <c r="J189" s="0" t="s">
        <v>493</v>
      </c>
    </row>
    <row r="190" customFormat="false" ht="15" hidden="false" customHeight="false" outlineLevel="0" collapsed="false">
      <c r="A190" s="0" t="s">
        <v>187</v>
      </c>
      <c r="B190" s="0" t="n">
        <v>2018</v>
      </c>
      <c r="C190" s="0" t="s">
        <v>436</v>
      </c>
      <c r="D190" s="0" t="n">
        <v>0</v>
      </c>
      <c r="E190" s="0" t="n">
        <v>1.500000001</v>
      </c>
      <c r="F190" s="0" t="n">
        <v>1</v>
      </c>
      <c r="G190" s="0" t="s">
        <v>437</v>
      </c>
      <c r="H190" s="0" t="s">
        <v>438</v>
      </c>
    </row>
    <row r="191" customFormat="false" ht="15" hidden="false" customHeight="false" outlineLevel="0" collapsed="false">
      <c r="A191" s="0" t="s">
        <v>187</v>
      </c>
      <c r="B191" s="0" t="n">
        <v>2018</v>
      </c>
      <c r="C191" s="0" t="s">
        <v>439</v>
      </c>
      <c r="D191" s="0" t="n">
        <v>0</v>
      </c>
      <c r="E191" s="0" t="n">
        <v>1.500000001</v>
      </c>
      <c r="F191" s="0" t="n">
        <v>1</v>
      </c>
      <c r="G191" s="0" t="s">
        <v>437</v>
      </c>
      <c r="H191" s="0" t="s">
        <v>438</v>
      </c>
    </row>
    <row r="192" customFormat="false" ht="15" hidden="false" customHeight="false" outlineLevel="0" collapsed="false">
      <c r="A192" s="0" t="s">
        <v>187</v>
      </c>
      <c r="B192" s="0" t="n">
        <v>2018</v>
      </c>
      <c r="C192" s="0" t="s">
        <v>440</v>
      </c>
      <c r="D192" s="0" t="n">
        <v>0.036</v>
      </c>
      <c r="E192" s="0" t="n">
        <v>0.050073</v>
      </c>
      <c r="G192" s="0" t="s">
        <v>437</v>
      </c>
      <c r="H192" s="0" t="s">
        <v>438</v>
      </c>
      <c r="J192" s="0" t="s">
        <v>494</v>
      </c>
    </row>
    <row r="193" customFormat="false" ht="15" hidden="false" customHeight="false" outlineLevel="0" collapsed="false">
      <c r="A193" s="0" t="s">
        <v>187</v>
      </c>
      <c r="B193" s="0" t="n">
        <v>2019</v>
      </c>
      <c r="C193" s="0" t="s">
        <v>436</v>
      </c>
      <c r="D193" s="0" t="n">
        <v>0</v>
      </c>
      <c r="E193" s="0" t="n">
        <v>1.500000001</v>
      </c>
      <c r="F193" s="0" t="n">
        <v>1</v>
      </c>
      <c r="G193" s="0" t="s">
        <v>437</v>
      </c>
      <c r="H193" s="0" t="s">
        <v>438</v>
      </c>
    </row>
    <row r="194" customFormat="false" ht="15" hidden="false" customHeight="false" outlineLevel="0" collapsed="false">
      <c r="A194" s="0" t="s">
        <v>187</v>
      </c>
      <c r="B194" s="0" t="n">
        <v>2019</v>
      </c>
      <c r="C194" s="0" t="s">
        <v>439</v>
      </c>
      <c r="D194" s="0" t="n">
        <v>0</v>
      </c>
      <c r="E194" s="0" t="n">
        <v>1.500000001</v>
      </c>
      <c r="F194" s="0" t="n">
        <v>1</v>
      </c>
      <c r="G194" s="0" t="s">
        <v>437</v>
      </c>
      <c r="H194" s="0" t="s">
        <v>438</v>
      </c>
    </row>
    <row r="195" customFormat="false" ht="15" hidden="false" customHeight="false" outlineLevel="0" collapsed="false">
      <c r="A195" s="0" t="s">
        <v>187</v>
      </c>
      <c r="B195" s="0" t="n">
        <v>2019</v>
      </c>
      <c r="C195" s="0" t="s">
        <v>440</v>
      </c>
      <c r="D195" s="0" t="n">
        <v>0.0039</v>
      </c>
      <c r="E195" s="0" t="n">
        <v>0.005066</v>
      </c>
      <c r="G195" s="0" t="s">
        <v>437</v>
      </c>
      <c r="H195" s="0" t="s">
        <v>438</v>
      </c>
      <c r="J195" s="0" t="s">
        <v>495</v>
      </c>
    </row>
    <row r="196" customFormat="false" ht="15" hidden="false" customHeight="false" outlineLevel="0" collapsed="false">
      <c r="A196" s="0" t="s">
        <v>187</v>
      </c>
      <c r="B196" s="0" t="n">
        <v>2020</v>
      </c>
      <c r="C196" s="0" t="s">
        <v>436</v>
      </c>
      <c r="D196" s="0" t="n">
        <v>0</v>
      </c>
      <c r="E196" s="0" t="n">
        <v>1.500000001</v>
      </c>
      <c r="F196" s="0" t="n">
        <v>1</v>
      </c>
      <c r="G196" s="0" t="s">
        <v>437</v>
      </c>
      <c r="H196" s="0" t="s">
        <v>438</v>
      </c>
    </row>
    <row r="197" customFormat="false" ht="15" hidden="false" customHeight="false" outlineLevel="0" collapsed="false">
      <c r="A197" s="0" t="s">
        <v>187</v>
      </c>
      <c r="B197" s="0" t="n">
        <v>2020</v>
      </c>
      <c r="C197" s="0" t="s">
        <v>439</v>
      </c>
      <c r="D197" s="0" t="n">
        <v>0</v>
      </c>
      <c r="E197" s="0" t="n">
        <v>1.500000001</v>
      </c>
      <c r="F197" s="0" t="n">
        <v>1</v>
      </c>
      <c r="G197" s="0" t="s">
        <v>437</v>
      </c>
      <c r="H197" s="0" t="s">
        <v>438</v>
      </c>
    </row>
    <row r="198" customFormat="false" ht="15" hidden="false" customHeight="false" outlineLevel="0" collapsed="false">
      <c r="A198" s="0" t="s">
        <v>187</v>
      </c>
      <c r="B198" s="0" t="n">
        <v>2020</v>
      </c>
      <c r="C198" s="0" t="s">
        <v>440</v>
      </c>
      <c r="D198" s="0" t="n">
        <v>0.0007</v>
      </c>
      <c r="E198" s="0" t="n">
        <v>0.005058</v>
      </c>
      <c r="G198" s="0" t="s">
        <v>437</v>
      </c>
      <c r="H198" s="0" t="s">
        <v>438</v>
      </c>
      <c r="J198" s="0" t="s">
        <v>496</v>
      </c>
    </row>
    <row r="199" customFormat="false" ht="15" hidden="false" customHeight="false" outlineLevel="0" collapsed="false">
      <c r="A199" s="0" t="s">
        <v>187</v>
      </c>
      <c r="B199" s="0" t="n">
        <v>2021</v>
      </c>
      <c r="C199" s="0" t="s">
        <v>436</v>
      </c>
      <c r="D199" s="0" t="n">
        <v>0</v>
      </c>
      <c r="E199" s="0" t="n">
        <v>1.500000001</v>
      </c>
      <c r="F199" s="0" t="n">
        <v>1</v>
      </c>
      <c r="G199" s="0" t="s">
        <v>437</v>
      </c>
      <c r="H199" s="0" t="s">
        <v>438</v>
      </c>
    </row>
    <row r="200" customFormat="false" ht="15" hidden="false" customHeight="false" outlineLevel="0" collapsed="false">
      <c r="A200" s="0" t="s">
        <v>187</v>
      </c>
      <c r="B200" s="0" t="n">
        <v>2021</v>
      </c>
      <c r="C200" s="0" t="s">
        <v>439</v>
      </c>
      <c r="D200" s="0" t="n">
        <v>0</v>
      </c>
      <c r="E200" s="0" t="n">
        <v>1.500000001</v>
      </c>
      <c r="F200" s="0" t="n">
        <v>1</v>
      </c>
      <c r="G200" s="0" t="s">
        <v>437</v>
      </c>
      <c r="H200" s="0" t="s">
        <v>438</v>
      </c>
    </row>
    <row r="201" customFormat="false" ht="15" hidden="false" customHeight="false" outlineLevel="0" collapsed="false">
      <c r="A201" s="0" t="s">
        <v>187</v>
      </c>
      <c r="B201" s="0" t="n">
        <v>2021</v>
      </c>
      <c r="C201" s="0" t="s">
        <v>440</v>
      </c>
      <c r="D201" s="0" t="n">
        <v>0.0014</v>
      </c>
      <c r="E201" s="0" t="n">
        <v>0.005054</v>
      </c>
      <c r="G201" s="0" t="s">
        <v>437</v>
      </c>
      <c r="H201" s="0" t="s">
        <v>438</v>
      </c>
      <c r="J201" s="0" t="s">
        <v>497</v>
      </c>
    </row>
    <row r="202" customFormat="false" ht="15" hidden="false" customHeight="false" outlineLevel="0" collapsed="false">
      <c r="A202" s="0" t="s">
        <v>187</v>
      </c>
      <c r="B202" s="0" t="n">
        <v>2022</v>
      </c>
      <c r="C202" s="0" t="s">
        <v>436</v>
      </c>
      <c r="D202" s="0" t="n">
        <v>0</v>
      </c>
      <c r="E202" s="0" t="n">
        <v>1.500000001</v>
      </c>
      <c r="F202" s="0" t="n">
        <v>1</v>
      </c>
      <c r="G202" s="0" t="s">
        <v>437</v>
      </c>
      <c r="H202" s="0" t="s">
        <v>438</v>
      </c>
    </row>
    <row r="203" customFormat="false" ht="15" hidden="false" customHeight="false" outlineLevel="0" collapsed="false">
      <c r="A203" s="0" t="s">
        <v>187</v>
      </c>
      <c r="B203" s="0" t="n">
        <v>2022</v>
      </c>
      <c r="C203" s="0" t="s">
        <v>439</v>
      </c>
      <c r="D203" s="0" t="n">
        <v>0</v>
      </c>
      <c r="E203" s="0" t="n">
        <v>1.500000001</v>
      </c>
      <c r="F203" s="0" t="n">
        <v>1</v>
      </c>
      <c r="G203" s="0" t="s">
        <v>437</v>
      </c>
      <c r="H203" s="0" t="s">
        <v>438</v>
      </c>
    </row>
    <row r="204" customFormat="false" ht="15" hidden="false" customHeight="false" outlineLevel="0" collapsed="false">
      <c r="A204" s="0" t="s">
        <v>187</v>
      </c>
      <c r="B204" s="0" t="n">
        <v>2022</v>
      </c>
      <c r="C204" s="0" t="s">
        <v>440</v>
      </c>
      <c r="D204" s="0" t="n">
        <v>0.0007</v>
      </c>
      <c r="E204" s="0" t="n">
        <v>0.005046</v>
      </c>
      <c r="G204" s="0" t="s">
        <v>437</v>
      </c>
      <c r="H204" s="0" t="s">
        <v>438</v>
      </c>
      <c r="J204" s="0" t="s">
        <v>498</v>
      </c>
    </row>
    <row r="205" customFormat="false" ht="15" hidden="false" customHeight="false" outlineLevel="0" collapsed="false">
      <c r="A205" s="0" t="s">
        <v>201</v>
      </c>
      <c r="B205" s="0" t="n">
        <v>2013</v>
      </c>
      <c r="C205" s="0" t="s">
        <v>436</v>
      </c>
      <c r="D205" s="0" t="n">
        <v>0.001</v>
      </c>
      <c r="E205" s="0" t="n">
        <v>0.001500001</v>
      </c>
      <c r="F205" s="0" t="n">
        <v>0.001</v>
      </c>
      <c r="G205" s="0" t="s">
        <v>437</v>
      </c>
      <c r="H205" s="0" t="s">
        <v>438</v>
      </c>
    </row>
    <row r="206" customFormat="false" ht="15" hidden="false" customHeight="false" outlineLevel="0" collapsed="false">
      <c r="A206" s="0" t="s">
        <v>201</v>
      </c>
      <c r="B206" s="0" t="n">
        <v>2014</v>
      </c>
      <c r="C206" s="0" t="s">
        <v>436</v>
      </c>
      <c r="D206" s="0" t="n">
        <v>0</v>
      </c>
      <c r="E206" s="0" t="n">
        <v>0.001500001</v>
      </c>
      <c r="F206" s="0" t="n">
        <v>0.001</v>
      </c>
      <c r="G206" s="0" t="s">
        <v>437</v>
      </c>
      <c r="H206" s="0" t="s">
        <v>438</v>
      </c>
    </row>
    <row r="207" customFormat="false" ht="15" hidden="false" customHeight="false" outlineLevel="0" collapsed="false">
      <c r="A207" s="0" t="s">
        <v>201</v>
      </c>
      <c r="B207" s="0" t="n">
        <v>2015</v>
      </c>
      <c r="C207" s="0" t="s">
        <v>436</v>
      </c>
      <c r="D207" s="0" t="n">
        <v>0</v>
      </c>
      <c r="E207" s="0" t="n">
        <v>0.001500001</v>
      </c>
      <c r="F207" s="0" t="n">
        <v>0.001</v>
      </c>
      <c r="G207" s="0" t="s">
        <v>437</v>
      </c>
      <c r="H207" s="0" t="s">
        <v>438</v>
      </c>
    </row>
    <row r="208" customFormat="false" ht="15" hidden="false" customHeight="false" outlineLevel="0" collapsed="false">
      <c r="A208" s="0" t="s">
        <v>201</v>
      </c>
      <c r="B208" s="0" t="n">
        <v>2015</v>
      </c>
      <c r="C208" s="0" t="s">
        <v>439</v>
      </c>
      <c r="D208" s="0" t="n">
        <v>0</v>
      </c>
      <c r="E208" s="0" t="n">
        <v>0.001500001</v>
      </c>
      <c r="F208" s="0" t="n">
        <v>0.001</v>
      </c>
      <c r="G208" s="0" t="s">
        <v>437</v>
      </c>
      <c r="H208" s="0" t="s">
        <v>438</v>
      </c>
    </row>
    <row r="209" customFormat="false" ht="15" hidden="false" customHeight="false" outlineLevel="0" collapsed="false">
      <c r="A209" s="0" t="s">
        <v>201</v>
      </c>
      <c r="B209" s="0" t="n">
        <v>2016</v>
      </c>
      <c r="C209" s="0" t="s">
        <v>436</v>
      </c>
      <c r="D209" s="0" t="n">
        <v>0</v>
      </c>
      <c r="E209" s="0" t="n">
        <v>0.001500001</v>
      </c>
      <c r="F209" s="0" t="n">
        <v>0.001</v>
      </c>
      <c r="G209" s="0" t="s">
        <v>437</v>
      </c>
      <c r="H209" s="0" t="s">
        <v>438</v>
      </c>
    </row>
    <row r="210" customFormat="false" ht="15" hidden="false" customHeight="false" outlineLevel="0" collapsed="false">
      <c r="A210" s="0" t="s">
        <v>201</v>
      </c>
      <c r="B210" s="0" t="n">
        <v>2016</v>
      </c>
      <c r="C210" s="0" t="s">
        <v>439</v>
      </c>
      <c r="D210" s="0" t="n">
        <v>-0.001</v>
      </c>
      <c r="E210" s="0" t="n">
        <v>0.001500001</v>
      </c>
      <c r="F210" s="0" t="n">
        <v>0.001</v>
      </c>
      <c r="G210" s="0" t="s">
        <v>437</v>
      </c>
      <c r="H210" s="0" t="s">
        <v>438</v>
      </c>
    </row>
    <row r="211" customFormat="false" ht="15" hidden="false" customHeight="false" outlineLevel="0" collapsed="false">
      <c r="A211" s="0" t="s">
        <v>201</v>
      </c>
      <c r="B211" s="0" t="n">
        <v>2016</v>
      </c>
      <c r="C211" s="0" t="s">
        <v>440</v>
      </c>
      <c r="D211" s="0" t="n">
        <v>-0.0034</v>
      </c>
      <c r="E211" s="0" t="n">
        <v>0.005</v>
      </c>
      <c r="G211" s="0" t="s">
        <v>437</v>
      </c>
      <c r="H211" s="0" t="s">
        <v>438</v>
      </c>
      <c r="J211" s="0" t="s">
        <v>499</v>
      </c>
    </row>
    <row r="212" customFormat="false" ht="15" hidden="false" customHeight="false" outlineLevel="0" collapsed="false">
      <c r="A212" s="0" t="s">
        <v>201</v>
      </c>
      <c r="B212" s="0" t="n">
        <v>2017</v>
      </c>
      <c r="C212" s="0" t="s">
        <v>436</v>
      </c>
      <c r="D212" s="0" t="n">
        <v>0</v>
      </c>
      <c r="E212" s="0" t="n">
        <v>0.001500001</v>
      </c>
      <c r="F212" s="0" t="n">
        <v>0.001</v>
      </c>
      <c r="G212" s="0" t="s">
        <v>437</v>
      </c>
      <c r="H212" s="0" t="s">
        <v>438</v>
      </c>
    </row>
    <row r="213" customFormat="false" ht="15" hidden="false" customHeight="false" outlineLevel="0" collapsed="false">
      <c r="A213" s="0" t="s">
        <v>201</v>
      </c>
      <c r="B213" s="0" t="n">
        <v>2017</v>
      </c>
      <c r="C213" s="0" t="s">
        <v>439</v>
      </c>
      <c r="D213" s="0" t="n">
        <v>0</v>
      </c>
      <c r="E213" s="0" t="n">
        <v>0.001500001</v>
      </c>
      <c r="F213" s="0" t="n">
        <v>0.001</v>
      </c>
      <c r="G213" s="0" t="s">
        <v>437</v>
      </c>
      <c r="H213" s="0" t="s">
        <v>438</v>
      </c>
    </row>
    <row r="214" customFormat="false" ht="15" hidden="false" customHeight="false" outlineLevel="0" collapsed="false">
      <c r="A214" s="0" t="s">
        <v>201</v>
      </c>
      <c r="B214" s="0" t="n">
        <v>2017</v>
      </c>
      <c r="C214" s="0" t="s">
        <v>440</v>
      </c>
      <c r="D214" s="0" t="n">
        <v>0.004</v>
      </c>
      <c r="E214" s="0" t="n">
        <v>0.005</v>
      </c>
      <c r="G214" s="0" t="s">
        <v>437</v>
      </c>
      <c r="H214" s="0" t="s">
        <v>438</v>
      </c>
      <c r="J214" s="0" t="s">
        <v>500</v>
      </c>
    </row>
    <row r="215" customFormat="false" ht="15" hidden="false" customHeight="false" outlineLevel="0" collapsed="false">
      <c r="A215" s="0" t="s">
        <v>201</v>
      </c>
      <c r="B215" s="0" t="n">
        <v>2018</v>
      </c>
      <c r="C215" s="0" t="s">
        <v>436</v>
      </c>
      <c r="D215" s="0" t="n">
        <v>0</v>
      </c>
      <c r="E215" s="0" t="n">
        <v>0.001500001</v>
      </c>
      <c r="F215" s="0" t="n">
        <v>0.001</v>
      </c>
      <c r="G215" s="0" t="s">
        <v>437</v>
      </c>
      <c r="H215" s="0" t="s">
        <v>438</v>
      </c>
    </row>
    <row r="216" customFormat="false" ht="15" hidden="false" customHeight="false" outlineLevel="0" collapsed="false">
      <c r="A216" s="0" t="s">
        <v>201</v>
      </c>
      <c r="B216" s="0" t="n">
        <v>2019</v>
      </c>
      <c r="C216" s="0" t="s">
        <v>436</v>
      </c>
      <c r="D216" s="0" t="n">
        <v>0</v>
      </c>
      <c r="E216" s="0" t="n">
        <v>0.001500001</v>
      </c>
      <c r="F216" s="0" t="n">
        <v>0.001</v>
      </c>
      <c r="G216" s="0" t="s">
        <v>437</v>
      </c>
      <c r="H216" s="0" t="s">
        <v>438</v>
      </c>
    </row>
    <row r="217" customFormat="false" ht="15" hidden="false" customHeight="false" outlineLevel="0" collapsed="false">
      <c r="A217" s="0" t="s">
        <v>201</v>
      </c>
      <c r="B217" s="0" t="n">
        <v>2020</v>
      </c>
      <c r="C217" s="0" t="s">
        <v>436</v>
      </c>
      <c r="D217" s="0" t="n">
        <v>0</v>
      </c>
      <c r="E217" s="0" t="n">
        <v>0.001500001</v>
      </c>
      <c r="F217" s="0" t="n">
        <v>0.001</v>
      </c>
      <c r="G217" s="0" t="s">
        <v>437</v>
      </c>
      <c r="H217" s="0" t="s">
        <v>438</v>
      </c>
    </row>
    <row r="218" customFormat="false" ht="15" hidden="false" customHeight="false" outlineLevel="0" collapsed="false">
      <c r="A218" s="0" t="s">
        <v>201</v>
      </c>
      <c r="B218" s="0" t="n">
        <v>2020</v>
      </c>
      <c r="C218" s="0" t="s">
        <v>439</v>
      </c>
      <c r="D218" s="0" t="n">
        <v>-0.001</v>
      </c>
      <c r="E218" s="0" t="n">
        <v>0.001500001</v>
      </c>
      <c r="F218" s="0" t="n">
        <v>0.001</v>
      </c>
      <c r="G218" s="0" t="s">
        <v>437</v>
      </c>
      <c r="H218" s="0" t="s">
        <v>438</v>
      </c>
    </row>
    <row r="219" customFormat="false" ht="15" hidden="false" customHeight="false" outlineLevel="0" collapsed="false">
      <c r="A219" s="0" t="s">
        <v>201</v>
      </c>
      <c r="B219" s="0" t="n">
        <v>2021</v>
      </c>
      <c r="C219" s="0" t="s">
        <v>436</v>
      </c>
      <c r="D219" s="0" t="n">
        <v>0</v>
      </c>
      <c r="E219" s="0" t="n">
        <v>0.001500001</v>
      </c>
      <c r="F219" s="0" t="n">
        <v>0.001</v>
      </c>
      <c r="G219" s="0" t="s">
        <v>437</v>
      </c>
      <c r="H219" s="0" t="s">
        <v>438</v>
      </c>
    </row>
    <row r="220" customFormat="false" ht="15" hidden="false" customHeight="false" outlineLevel="0" collapsed="false">
      <c r="A220" s="0" t="s">
        <v>201</v>
      </c>
      <c r="B220" s="0" t="n">
        <v>2021</v>
      </c>
      <c r="C220" s="0" t="s">
        <v>439</v>
      </c>
      <c r="D220" s="0" t="n">
        <v>0</v>
      </c>
      <c r="E220" s="0" t="n">
        <v>0.001500001</v>
      </c>
      <c r="F220" s="0" t="n">
        <v>0.001</v>
      </c>
      <c r="G220" s="0" t="s">
        <v>437</v>
      </c>
      <c r="H220" s="0" t="s">
        <v>438</v>
      </c>
    </row>
    <row r="221" customFormat="false" ht="15" hidden="false" customHeight="false" outlineLevel="0" collapsed="false">
      <c r="A221" s="0" t="s">
        <v>201</v>
      </c>
      <c r="B221" s="0" t="n">
        <v>2021</v>
      </c>
      <c r="C221" s="0" t="s">
        <v>440</v>
      </c>
      <c r="D221" s="0" t="n">
        <v>0.0031</v>
      </c>
      <c r="E221" s="0" t="n">
        <v>0.005</v>
      </c>
      <c r="G221" s="0" t="s">
        <v>437</v>
      </c>
      <c r="H221" s="0" t="s">
        <v>438</v>
      </c>
      <c r="J221" s="0" t="s">
        <v>501</v>
      </c>
    </row>
    <row r="222" customFormat="false" ht="15" hidden="false" customHeight="false" outlineLevel="0" collapsed="false">
      <c r="A222" s="0" t="s">
        <v>201</v>
      </c>
      <c r="B222" s="0" t="n">
        <v>2022</v>
      </c>
      <c r="C222" s="0" t="s">
        <v>436</v>
      </c>
      <c r="D222" s="0" t="n">
        <v>0</v>
      </c>
      <c r="E222" s="0" t="n">
        <v>0.001500001</v>
      </c>
      <c r="F222" s="0" t="n">
        <v>0.001</v>
      </c>
      <c r="G222" s="0" t="s">
        <v>437</v>
      </c>
      <c r="H222" s="0" t="s">
        <v>438</v>
      </c>
    </row>
    <row r="223" customFormat="false" ht="15" hidden="false" customHeight="false" outlineLevel="0" collapsed="false">
      <c r="A223" s="0" t="s">
        <v>201</v>
      </c>
      <c r="B223" s="0" t="n">
        <v>2022</v>
      </c>
      <c r="C223" s="0" t="s">
        <v>439</v>
      </c>
      <c r="D223" s="0" t="n">
        <v>0</v>
      </c>
      <c r="E223" s="0" t="n">
        <v>0.001500001</v>
      </c>
      <c r="F223" s="0" t="n">
        <v>0.001</v>
      </c>
      <c r="G223" s="0" t="s">
        <v>437</v>
      </c>
      <c r="H223" s="0" t="s">
        <v>438</v>
      </c>
    </row>
    <row r="224" customFormat="false" ht="15" hidden="false" customHeight="false" outlineLevel="0" collapsed="false">
      <c r="A224" s="0" t="s">
        <v>201</v>
      </c>
      <c r="B224" s="0" t="n">
        <v>2022</v>
      </c>
      <c r="C224" s="0" t="s">
        <v>440</v>
      </c>
      <c r="D224" s="0" t="n">
        <v>-0.0039</v>
      </c>
      <c r="E224" s="0" t="n">
        <v>0.005</v>
      </c>
      <c r="G224" s="0" t="s">
        <v>437</v>
      </c>
      <c r="H224" s="0" t="s">
        <v>438</v>
      </c>
      <c r="J224" s="0" t="s">
        <v>502</v>
      </c>
    </row>
    <row r="225" customFormat="false" ht="15" hidden="false" customHeight="false" outlineLevel="0" collapsed="false">
      <c r="A225" s="0" t="s">
        <v>211</v>
      </c>
      <c r="B225" s="0" t="n">
        <v>2013</v>
      </c>
      <c r="C225" s="0" t="s">
        <v>436</v>
      </c>
      <c r="D225" s="0" t="n">
        <v>0</v>
      </c>
      <c r="E225" s="0" t="n">
        <v>0.001500001</v>
      </c>
      <c r="F225" s="0" t="n">
        <v>0.001</v>
      </c>
      <c r="G225" s="0" t="s">
        <v>437</v>
      </c>
      <c r="H225" s="0" t="s">
        <v>438</v>
      </c>
    </row>
    <row r="226" customFormat="false" ht="15" hidden="false" customHeight="false" outlineLevel="0" collapsed="false">
      <c r="A226" s="0" t="s">
        <v>211</v>
      </c>
      <c r="B226" s="0" t="n">
        <v>2014</v>
      </c>
      <c r="C226" s="0" t="s">
        <v>436</v>
      </c>
      <c r="D226" s="0" t="n">
        <v>0</v>
      </c>
      <c r="E226" s="0" t="n">
        <v>0.001500001</v>
      </c>
      <c r="F226" s="0" t="n">
        <v>0.001</v>
      </c>
      <c r="G226" s="0" t="s">
        <v>437</v>
      </c>
      <c r="H226" s="0" t="s">
        <v>438</v>
      </c>
    </row>
    <row r="227" customFormat="false" ht="15" hidden="false" customHeight="false" outlineLevel="0" collapsed="false">
      <c r="A227" s="0" t="s">
        <v>211</v>
      </c>
      <c r="B227" s="0" t="n">
        <v>2015</v>
      </c>
      <c r="C227" s="0" t="s">
        <v>436</v>
      </c>
      <c r="D227" s="0" t="n">
        <v>0</v>
      </c>
      <c r="E227" s="0" t="n">
        <v>0.001500001</v>
      </c>
      <c r="F227" s="0" t="n">
        <v>0.001</v>
      </c>
      <c r="G227" s="0" t="s">
        <v>437</v>
      </c>
      <c r="H227" s="0" t="s">
        <v>438</v>
      </c>
    </row>
    <row r="228" customFormat="false" ht="15" hidden="false" customHeight="false" outlineLevel="0" collapsed="false">
      <c r="A228" s="0" t="s">
        <v>211</v>
      </c>
      <c r="B228" s="0" t="n">
        <v>2016</v>
      </c>
      <c r="C228" s="0" t="s">
        <v>436</v>
      </c>
      <c r="D228" s="0" t="n">
        <v>0</v>
      </c>
      <c r="E228" s="0" t="n">
        <v>0.001500001</v>
      </c>
      <c r="F228" s="0" t="n">
        <v>0.001</v>
      </c>
      <c r="G228" s="0" t="s">
        <v>437</v>
      </c>
      <c r="H228" s="0" t="s">
        <v>438</v>
      </c>
    </row>
    <row r="229" customFormat="false" ht="15" hidden="false" customHeight="false" outlineLevel="0" collapsed="false">
      <c r="A229" s="0" t="s">
        <v>211</v>
      </c>
      <c r="B229" s="0" t="n">
        <v>2017</v>
      </c>
      <c r="C229" s="0" t="s">
        <v>436</v>
      </c>
      <c r="D229" s="0" t="n">
        <v>0</v>
      </c>
      <c r="E229" s="0" t="n">
        <v>0.001500001</v>
      </c>
      <c r="F229" s="0" t="n">
        <v>0.001</v>
      </c>
      <c r="G229" s="0" t="s">
        <v>437</v>
      </c>
      <c r="H229" s="0" t="s">
        <v>438</v>
      </c>
    </row>
    <row r="230" customFormat="false" ht="15" hidden="false" customHeight="false" outlineLevel="0" collapsed="false">
      <c r="A230" s="0" t="s">
        <v>211</v>
      </c>
      <c r="B230" s="0" t="n">
        <v>2018</v>
      </c>
      <c r="C230" s="0" t="s">
        <v>436</v>
      </c>
      <c r="D230" s="0" t="n">
        <v>0</v>
      </c>
      <c r="E230" s="0" t="n">
        <v>0.001500001</v>
      </c>
      <c r="F230" s="0" t="n">
        <v>0.001</v>
      </c>
      <c r="G230" s="0" t="s">
        <v>437</v>
      </c>
      <c r="H230" s="0" t="s">
        <v>438</v>
      </c>
    </row>
    <row r="231" customFormat="false" ht="15" hidden="false" customHeight="false" outlineLevel="0" collapsed="false">
      <c r="A231" s="0" t="s">
        <v>211</v>
      </c>
      <c r="B231" s="0" t="n">
        <v>2019</v>
      </c>
      <c r="C231" s="0" t="s">
        <v>436</v>
      </c>
      <c r="D231" s="0" t="n">
        <v>0</v>
      </c>
      <c r="E231" s="0" t="n">
        <v>0.001500001</v>
      </c>
      <c r="F231" s="0" t="n">
        <v>0.001</v>
      </c>
      <c r="G231" s="0" t="s">
        <v>437</v>
      </c>
      <c r="H231" s="0" t="s">
        <v>438</v>
      </c>
    </row>
    <row r="232" customFormat="false" ht="15" hidden="false" customHeight="false" outlineLevel="0" collapsed="false">
      <c r="A232" s="0" t="s">
        <v>211</v>
      </c>
      <c r="B232" s="0" t="n">
        <v>2019</v>
      </c>
      <c r="C232" s="0" t="s">
        <v>439</v>
      </c>
      <c r="D232" s="0" t="n">
        <v>0</v>
      </c>
      <c r="E232" s="0" t="n">
        <v>0.001500001</v>
      </c>
      <c r="F232" s="0" t="n">
        <v>0.001</v>
      </c>
      <c r="G232" s="0" t="s">
        <v>437</v>
      </c>
      <c r="H232" s="0" t="s">
        <v>438</v>
      </c>
    </row>
    <row r="233" customFormat="false" ht="15" hidden="false" customHeight="false" outlineLevel="0" collapsed="false">
      <c r="A233" s="0" t="s">
        <v>211</v>
      </c>
      <c r="B233" s="0" t="n">
        <v>2019</v>
      </c>
      <c r="C233" s="0" t="s">
        <v>440</v>
      </c>
      <c r="D233" s="0" t="n">
        <v>0.0016</v>
      </c>
      <c r="E233" s="0" t="n">
        <v>0.05</v>
      </c>
      <c r="G233" s="0" t="s">
        <v>437</v>
      </c>
      <c r="H233" s="0" t="s">
        <v>438</v>
      </c>
      <c r="J233" s="0" t="s">
        <v>503</v>
      </c>
    </row>
    <row r="234" customFormat="false" ht="15" hidden="false" customHeight="false" outlineLevel="0" collapsed="false">
      <c r="A234" s="0" t="s">
        <v>211</v>
      </c>
      <c r="B234" s="0" t="n">
        <v>2020</v>
      </c>
      <c r="C234" s="0" t="s">
        <v>436</v>
      </c>
      <c r="D234" s="0" t="n">
        <v>0</v>
      </c>
      <c r="E234" s="0" t="n">
        <v>0.001500001</v>
      </c>
      <c r="F234" s="0" t="n">
        <v>0.001</v>
      </c>
      <c r="G234" s="0" t="s">
        <v>437</v>
      </c>
      <c r="H234" s="0" t="s">
        <v>438</v>
      </c>
    </row>
    <row r="235" customFormat="false" ht="15" hidden="false" customHeight="false" outlineLevel="0" collapsed="false">
      <c r="A235" s="0" t="s">
        <v>211</v>
      </c>
      <c r="B235" s="0" t="n">
        <v>2020</v>
      </c>
      <c r="C235" s="0" t="s">
        <v>439</v>
      </c>
      <c r="D235" s="0" t="n">
        <v>0.001</v>
      </c>
      <c r="E235" s="0" t="n">
        <v>0.001500001</v>
      </c>
      <c r="F235" s="0" t="n">
        <v>0.001</v>
      </c>
      <c r="G235" s="0" t="s">
        <v>437</v>
      </c>
      <c r="H235" s="0" t="s">
        <v>438</v>
      </c>
    </row>
    <row r="236" customFormat="false" ht="15" hidden="false" customHeight="false" outlineLevel="0" collapsed="false">
      <c r="A236" s="0" t="s">
        <v>211</v>
      </c>
      <c r="B236" s="0" t="n">
        <v>2020</v>
      </c>
      <c r="C236" s="0" t="s">
        <v>440</v>
      </c>
      <c r="D236" s="0" t="n">
        <v>-0.0047</v>
      </c>
      <c r="E236" s="0" t="n">
        <v>0.005</v>
      </c>
      <c r="G236" s="0" t="s">
        <v>437</v>
      </c>
      <c r="H236" s="0" t="s">
        <v>438</v>
      </c>
      <c r="J236" s="0" t="s">
        <v>504</v>
      </c>
    </row>
    <row r="237" customFormat="false" ht="15" hidden="false" customHeight="false" outlineLevel="0" collapsed="false">
      <c r="A237" s="0" t="s">
        <v>211</v>
      </c>
      <c r="B237" s="0" t="n">
        <v>2021</v>
      </c>
      <c r="C237" s="0" t="s">
        <v>436</v>
      </c>
      <c r="D237" s="0" t="n">
        <v>0.001</v>
      </c>
      <c r="E237" s="0" t="n">
        <v>0.001500001</v>
      </c>
      <c r="F237" s="0" t="n">
        <v>0.001</v>
      </c>
      <c r="G237" s="0" t="s">
        <v>437</v>
      </c>
      <c r="H237" s="0" t="s">
        <v>438</v>
      </c>
    </row>
    <row r="238" customFormat="false" ht="15" hidden="false" customHeight="false" outlineLevel="0" collapsed="false">
      <c r="A238" s="0" t="s">
        <v>211</v>
      </c>
      <c r="B238" s="0" t="n">
        <v>2021</v>
      </c>
      <c r="C238" s="0" t="s">
        <v>439</v>
      </c>
      <c r="D238" s="0" t="n">
        <v>0</v>
      </c>
      <c r="E238" s="0" t="n">
        <v>0.001500001</v>
      </c>
      <c r="F238" s="0" t="n">
        <v>0.001</v>
      </c>
      <c r="G238" s="0" t="s">
        <v>437</v>
      </c>
      <c r="H238" s="0" t="s">
        <v>438</v>
      </c>
    </row>
    <row r="239" customFormat="false" ht="15" hidden="false" customHeight="false" outlineLevel="0" collapsed="false">
      <c r="A239" s="0" t="s">
        <v>211</v>
      </c>
      <c r="B239" s="0" t="n">
        <v>2021</v>
      </c>
      <c r="C239" s="0" t="s">
        <v>440</v>
      </c>
      <c r="D239" s="0" t="n">
        <v>0.1469</v>
      </c>
      <c r="E239" s="0" t="n">
        <v>0.005</v>
      </c>
      <c r="G239" s="0" t="s">
        <v>457</v>
      </c>
      <c r="H239" s="0" t="s">
        <v>458</v>
      </c>
      <c r="I239" s="0" t="s">
        <v>505</v>
      </c>
      <c r="J239" s="0" t="s">
        <v>506</v>
      </c>
    </row>
    <row r="240" customFormat="false" ht="15" hidden="false" customHeight="false" outlineLevel="0" collapsed="false">
      <c r="A240" s="0" t="s">
        <v>211</v>
      </c>
      <c r="B240" s="0" t="n">
        <v>2022</v>
      </c>
      <c r="C240" s="0" t="s">
        <v>436</v>
      </c>
      <c r="D240" s="0" t="n">
        <v>0</v>
      </c>
      <c r="E240" s="0" t="n">
        <v>0.001500001</v>
      </c>
      <c r="F240" s="0" t="n">
        <v>0.001</v>
      </c>
      <c r="G240" s="0" t="s">
        <v>437</v>
      </c>
      <c r="H240" s="0" t="s">
        <v>438</v>
      </c>
    </row>
    <row r="241" customFormat="false" ht="15" hidden="false" customHeight="false" outlineLevel="0" collapsed="false">
      <c r="A241" s="0" t="s">
        <v>211</v>
      </c>
      <c r="B241" s="0" t="n">
        <v>2022</v>
      </c>
      <c r="C241" s="0" t="s">
        <v>439</v>
      </c>
      <c r="D241" s="0" t="n">
        <v>0</v>
      </c>
      <c r="E241" s="0" t="n">
        <v>0.001500001</v>
      </c>
      <c r="F241" s="0" t="n">
        <v>0.001</v>
      </c>
      <c r="G241" s="0" t="s">
        <v>437</v>
      </c>
      <c r="H241" s="0" t="s">
        <v>438</v>
      </c>
    </row>
    <row r="242" customFormat="false" ht="15" hidden="false" customHeight="false" outlineLevel="0" collapsed="false">
      <c r="A242" s="0" t="s">
        <v>211</v>
      </c>
      <c r="B242" s="0" t="n">
        <v>2022</v>
      </c>
      <c r="C242" s="0" t="s">
        <v>440</v>
      </c>
      <c r="D242" s="0" t="n">
        <v>0.0026</v>
      </c>
      <c r="E242" s="0" t="n">
        <v>0.005</v>
      </c>
      <c r="G242" s="0" t="s">
        <v>437</v>
      </c>
      <c r="H242" s="0" t="s">
        <v>438</v>
      </c>
      <c r="J242" s="0" t="s">
        <v>507</v>
      </c>
    </row>
    <row r="243" customFormat="false" ht="15" hidden="false" customHeight="false" outlineLevel="0" collapsed="false">
      <c r="A243" s="0" t="s">
        <v>222</v>
      </c>
      <c r="B243" s="0" t="n">
        <v>2013</v>
      </c>
      <c r="C243" s="0" t="s">
        <v>436</v>
      </c>
      <c r="D243" s="0" t="n">
        <v>0</v>
      </c>
      <c r="E243" s="0" t="n">
        <v>1.500000001</v>
      </c>
      <c r="F243" s="0" t="n">
        <v>1</v>
      </c>
      <c r="G243" s="0" t="s">
        <v>437</v>
      </c>
      <c r="H243" s="0" t="s">
        <v>438</v>
      </c>
    </row>
    <row r="244" customFormat="false" ht="15" hidden="false" customHeight="false" outlineLevel="0" collapsed="false">
      <c r="A244" s="0" t="s">
        <v>222</v>
      </c>
      <c r="B244" s="0" t="n">
        <v>2013</v>
      </c>
      <c r="C244" s="0" t="s">
        <v>439</v>
      </c>
      <c r="D244" s="0" t="n">
        <v>0</v>
      </c>
      <c r="E244" s="0" t="n">
        <v>1.500000001</v>
      </c>
      <c r="F244" s="0" t="n">
        <v>1</v>
      </c>
      <c r="G244" s="0" t="s">
        <v>437</v>
      </c>
      <c r="H244" s="0" t="s">
        <v>438</v>
      </c>
    </row>
    <row r="245" customFormat="false" ht="15" hidden="false" customHeight="false" outlineLevel="0" collapsed="false">
      <c r="A245" s="0" t="s">
        <v>222</v>
      </c>
      <c r="B245" s="0" t="n">
        <v>2013</v>
      </c>
      <c r="C245" s="0" t="s">
        <v>440</v>
      </c>
      <c r="D245" s="0" t="n">
        <v>-0.219</v>
      </c>
      <c r="E245" s="0" t="n">
        <v>0.500035</v>
      </c>
      <c r="G245" s="0" t="s">
        <v>437</v>
      </c>
      <c r="H245" s="0" t="s">
        <v>438</v>
      </c>
      <c r="J245" s="0" t="s">
        <v>508</v>
      </c>
    </row>
    <row r="246" customFormat="false" ht="15" hidden="false" customHeight="false" outlineLevel="0" collapsed="false">
      <c r="A246" s="0" t="s">
        <v>222</v>
      </c>
      <c r="B246" s="0" t="n">
        <v>2014</v>
      </c>
      <c r="C246" s="0" t="s">
        <v>436</v>
      </c>
      <c r="D246" s="0" t="n">
        <v>0</v>
      </c>
      <c r="E246" s="0" t="n">
        <v>1.500000001</v>
      </c>
      <c r="F246" s="0" t="n">
        <v>1</v>
      </c>
      <c r="G246" s="0" t="s">
        <v>437</v>
      </c>
      <c r="H246" s="0" t="s">
        <v>438</v>
      </c>
    </row>
    <row r="247" customFormat="false" ht="15" hidden="false" customHeight="false" outlineLevel="0" collapsed="false">
      <c r="A247" s="0" t="s">
        <v>222</v>
      </c>
      <c r="B247" s="0" t="n">
        <v>2015</v>
      </c>
      <c r="C247" s="0" t="s">
        <v>436</v>
      </c>
      <c r="D247" s="0" t="n">
        <v>0</v>
      </c>
      <c r="E247" s="0" t="n">
        <v>1.500000001</v>
      </c>
      <c r="F247" s="0" t="n">
        <v>1</v>
      </c>
      <c r="G247" s="0" t="s">
        <v>437</v>
      </c>
      <c r="H247" s="0" t="s">
        <v>438</v>
      </c>
    </row>
    <row r="248" customFormat="false" ht="15" hidden="false" customHeight="false" outlineLevel="0" collapsed="false">
      <c r="A248" s="0" t="s">
        <v>222</v>
      </c>
      <c r="B248" s="0" t="n">
        <v>2016</v>
      </c>
      <c r="C248" s="0" t="s">
        <v>436</v>
      </c>
      <c r="D248" s="0" t="n">
        <v>0</v>
      </c>
      <c r="E248" s="0" t="n">
        <v>1.500000001</v>
      </c>
      <c r="F248" s="0" t="n">
        <v>1</v>
      </c>
      <c r="G248" s="0" t="s">
        <v>437</v>
      </c>
      <c r="H248" s="0" t="s">
        <v>438</v>
      </c>
    </row>
    <row r="249" customFormat="false" ht="15" hidden="false" customHeight="false" outlineLevel="0" collapsed="false">
      <c r="A249" s="0" t="s">
        <v>222</v>
      </c>
      <c r="B249" s="0" t="n">
        <v>2016</v>
      </c>
      <c r="C249" s="0" t="s">
        <v>439</v>
      </c>
      <c r="D249" s="0" t="n">
        <v>0</v>
      </c>
      <c r="E249" s="0" t="n">
        <v>1.500000001</v>
      </c>
      <c r="F249" s="0" t="n">
        <v>1</v>
      </c>
      <c r="G249" s="0" t="s">
        <v>437</v>
      </c>
      <c r="H249" s="0" t="s">
        <v>438</v>
      </c>
    </row>
    <row r="250" customFormat="false" ht="15" hidden="false" customHeight="false" outlineLevel="0" collapsed="false">
      <c r="A250" s="0" t="s">
        <v>222</v>
      </c>
      <c r="B250" s="0" t="n">
        <v>2016</v>
      </c>
      <c r="C250" s="0" t="s">
        <v>440</v>
      </c>
      <c r="D250" s="0" t="n">
        <v>0.4627</v>
      </c>
      <c r="E250" s="0" t="n">
        <v>0.500023</v>
      </c>
      <c r="G250" s="0" t="s">
        <v>437</v>
      </c>
      <c r="H250" s="0" t="s">
        <v>438</v>
      </c>
      <c r="J250" s="0" t="s">
        <v>509</v>
      </c>
    </row>
    <row r="251" customFormat="false" ht="15" hidden="false" customHeight="false" outlineLevel="0" collapsed="false">
      <c r="A251" s="0" t="s">
        <v>222</v>
      </c>
      <c r="B251" s="0" t="n">
        <v>2017</v>
      </c>
      <c r="C251" s="0" t="s">
        <v>436</v>
      </c>
      <c r="D251" s="0" t="n">
        <v>0</v>
      </c>
      <c r="E251" s="0" t="n">
        <v>1.500000001</v>
      </c>
      <c r="F251" s="0" t="n">
        <v>1</v>
      </c>
      <c r="G251" s="0" t="s">
        <v>437</v>
      </c>
      <c r="H251" s="0" t="s">
        <v>438</v>
      </c>
    </row>
    <row r="252" customFormat="false" ht="15" hidden="false" customHeight="false" outlineLevel="0" collapsed="false">
      <c r="A252" s="0" t="s">
        <v>222</v>
      </c>
      <c r="B252" s="0" t="n">
        <v>2017</v>
      </c>
      <c r="C252" s="0" t="s">
        <v>439</v>
      </c>
      <c r="D252" s="0" t="n">
        <v>0</v>
      </c>
      <c r="E252" s="0" t="n">
        <v>1.500000001</v>
      </c>
      <c r="F252" s="0" t="n">
        <v>1</v>
      </c>
      <c r="G252" s="0" t="s">
        <v>437</v>
      </c>
      <c r="H252" s="0" t="s">
        <v>438</v>
      </c>
    </row>
    <row r="253" customFormat="false" ht="15" hidden="false" customHeight="false" outlineLevel="0" collapsed="false">
      <c r="A253" s="0" t="s">
        <v>222</v>
      </c>
      <c r="B253" s="0" t="n">
        <v>2017</v>
      </c>
      <c r="C253" s="0" t="s">
        <v>440</v>
      </c>
      <c r="D253" s="0" t="n">
        <v>-0.4261</v>
      </c>
      <c r="E253" s="0" t="n">
        <v>0.500023</v>
      </c>
      <c r="G253" s="0" t="s">
        <v>437</v>
      </c>
      <c r="H253" s="0" t="s">
        <v>438</v>
      </c>
      <c r="J253" s="0" t="s">
        <v>510</v>
      </c>
    </row>
    <row r="254" customFormat="false" ht="15" hidden="false" customHeight="false" outlineLevel="0" collapsed="false">
      <c r="A254" s="0" t="s">
        <v>222</v>
      </c>
      <c r="B254" s="0" t="n">
        <v>2018</v>
      </c>
      <c r="C254" s="0" t="s">
        <v>436</v>
      </c>
      <c r="D254" s="0" t="n">
        <v>0</v>
      </c>
      <c r="E254" s="0" t="n">
        <v>1.500000001</v>
      </c>
      <c r="F254" s="0" t="n">
        <v>1</v>
      </c>
      <c r="G254" s="0" t="s">
        <v>437</v>
      </c>
      <c r="H254" s="0" t="s">
        <v>438</v>
      </c>
    </row>
    <row r="255" customFormat="false" ht="15" hidden="false" customHeight="false" outlineLevel="0" collapsed="false">
      <c r="A255" s="0" t="s">
        <v>222</v>
      </c>
      <c r="B255" s="0" t="n">
        <v>2018</v>
      </c>
      <c r="C255" s="0" t="s">
        <v>439</v>
      </c>
      <c r="D255" s="0" t="n">
        <v>0</v>
      </c>
      <c r="E255" s="0" t="n">
        <v>1.500000001</v>
      </c>
      <c r="F255" s="0" t="n">
        <v>1</v>
      </c>
      <c r="G255" s="0" t="s">
        <v>437</v>
      </c>
      <c r="H255" s="0" t="s">
        <v>438</v>
      </c>
    </row>
    <row r="256" customFormat="false" ht="15" hidden="false" customHeight="false" outlineLevel="0" collapsed="false">
      <c r="A256" s="0" t="s">
        <v>222</v>
      </c>
      <c r="B256" s="0" t="n">
        <v>2018</v>
      </c>
      <c r="C256" s="0" t="s">
        <v>440</v>
      </c>
      <c r="D256" s="0" t="n">
        <v>0.1544</v>
      </c>
      <c r="E256" s="0" t="n">
        <v>0.500023</v>
      </c>
      <c r="G256" s="0" t="s">
        <v>437</v>
      </c>
      <c r="H256" s="0" t="s">
        <v>438</v>
      </c>
      <c r="J256" s="0" t="s">
        <v>511</v>
      </c>
    </row>
    <row r="257" customFormat="false" ht="15" hidden="false" customHeight="false" outlineLevel="0" collapsed="false">
      <c r="A257" s="0" t="s">
        <v>222</v>
      </c>
      <c r="B257" s="0" t="n">
        <v>2019</v>
      </c>
      <c r="C257" s="0" t="s">
        <v>436</v>
      </c>
      <c r="D257" s="0" t="n">
        <v>0</v>
      </c>
      <c r="E257" s="0" t="n">
        <v>1.500000001</v>
      </c>
      <c r="F257" s="0" t="n">
        <v>1</v>
      </c>
      <c r="G257" s="0" t="s">
        <v>437</v>
      </c>
      <c r="H257" s="0" t="s">
        <v>438</v>
      </c>
    </row>
    <row r="258" customFormat="false" ht="15" hidden="false" customHeight="false" outlineLevel="0" collapsed="false">
      <c r="A258" s="0" t="s">
        <v>222</v>
      </c>
      <c r="B258" s="0" t="n">
        <v>2019</v>
      </c>
      <c r="C258" s="0" t="s">
        <v>439</v>
      </c>
      <c r="D258" s="0" t="n">
        <v>0</v>
      </c>
      <c r="E258" s="0" t="n">
        <v>1.500000001</v>
      </c>
      <c r="F258" s="0" t="n">
        <v>1</v>
      </c>
      <c r="G258" s="0" t="s">
        <v>437</v>
      </c>
      <c r="H258" s="0" t="s">
        <v>438</v>
      </c>
    </row>
    <row r="259" customFormat="false" ht="15" hidden="false" customHeight="false" outlineLevel="0" collapsed="false">
      <c r="A259" s="0" t="s">
        <v>222</v>
      </c>
      <c r="B259" s="0" t="n">
        <v>2019</v>
      </c>
      <c r="C259" s="0" t="s">
        <v>440</v>
      </c>
      <c r="D259" s="0" t="n">
        <v>0.4355</v>
      </c>
      <c r="E259" s="0" t="n">
        <v>0.500016</v>
      </c>
      <c r="G259" s="0" t="s">
        <v>437</v>
      </c>
      <c r="H259" s="0" t="s">
        <v>438</v>
      </c>
      <c r="J259" s="0" t="s">
        <v>512</v>
      </c>
    </row>
    <row r="260" customFormat="false" ht="15" hidden="false" customHeight="false" outlineLevel="0" collapsed="false">
      <c r="A260" s="0" t="s">
        <v>222</v>
      </c>
      <c r="B260" s="0" t="n">
        <v>2020</v>
      </c>
      <c r="C260" s="0" t="s">
        <v>436</v>
      </c>
      <c r="D260" s="0" t="n">
        <v>0</v>
      </c>
      <c r="E260" s="0" t="n">
        <v>1.500000001</v>
      </c>
      <c r="F260" s="0" t="n">
        <v>1</v>
      </c>
      <c r="G260" s="0" t="s">
        <v>437</v>
      </c>
      <c r="H260" s="0" t="s">
        <v>438</v>
      </c>
    </row>
    <row r="261" customFormat="false" ht="15" hidden="false" customHeight="false" outlineLevel="0" collapsed="false">
      <c r="A261" s="0" t="s">
        <v>222</v>
      </c>
      <c r="B261" s="0" t="n">
        <v>2020</v>
      </c>
      <c r="C261" s="0" t="s">
        <v>439</v>
      </c>
      <c r="D261" s="0" t="n">
        <v>0</v>
      </c>
      <c r="E261" s="0" t="n">
        <v>1.500000001</v>
      </c>
      <c r="F261" s="0" t="n">
        <v>1</v>
      </c>
      <c r="G261" s="0" t="s">
        <v>437</v>
      </c>
      <c r="H261" s="0" t="s">
        <v>438</v>
      </c>
    </row>
    <row r="262" customFormat="false" ht="15" hidden="false" customHeight="false" outlineLevel="0" collapsed="false">
      <c r="A262" s="0" t="s">
        <v>222</v>
      </c>
      <c r="B262" s="0" t="n">
        <v>2021</v>
      </c>
      <c r="C262" s="0" t="s">
        <v>436</v>
      </c>
      <c r="D262" s="0" t="n">
        <v>0</v>
      </c>
      <c r="E262" s="0" t="n">
        <v>1.500000001</v>
      </c>
      <c r="F262" s="0" t="n">
        <v>1</v>
      </c>
      <c r="G262" s="0" t="s">
        <v>437</v>
      </c>
      <c r="H262" s="0" t="s">
        <v>438</v>
      </c>
    </row>
    <row r="263" customFormat="false" ht="15" hidden="false" customHeight="false" outlineLevel="0" collapsed="false">
      <c r="A263" s="0" t="s">
        <v>222</v>
      </c>
      <c r="B263" s="0" t="n">
        <v>2021</v>
      </c>
      <c r="C263" s="0" t="s">
        <v>439</v>
      </c>
      <c r="D263" s="0" t="n">
        <v>0</v>
      </c>
      <c r="E263" s="0" t="n">
        <v>1.500000001</v>
      </c>
      <c r="F263" s="0" t="n">
        <v>1</v>
      </c>
      <c r="G263" s="0" t="s">
        <v>437</v>
      </c>
      <c r="H263" s="0" t="s">
        <v>438</v>
      </c>
    </row>
    <row r="264" customFormat="false" ht="15" hidden="false" customHeight="false" outlineLevel="0" collapsed="false">
      <c r="A264" s="0" t="s">
        <v>222</v>
      </c>
      <c r="B264" s="0" t="n">
        <v>2021</v>
      </c>
      <c r="C264" s="0" t="s">
        <v>440</v>
      </c>
      <c r="D264" s="0" t="n">
        <v>0.4072</v>
      </c>
      <c r="E264" s="0" t="n">
        <v>0.500012</v>
      </c>
      <c r="G264" s="0" t="s">
        <v>437</v>
      </c>
      <c r="H264" s="0" t="s">
        <v>438</v>
      </c>
      <c r="J264" s="0" t="s">
        <v>513</v>
      </c>
    </row>
    <row r="265" customFormat="false" ht="15" hidden="false" customHeight="false" outlineLevel="0" collapsed="false">
      <c r="A265" s="0" t="s">
        <v>222</v>
      </c>
      <c r="B265" s="0" t="n">
        <v>2022</v>
      </c>
      <c r="C265" s="0" t="s">
        <v>436</v>
      </c>
      <c r="D265" s="0" t="n">
        <v>0</v>
      </c>
      <c r="E265" s="0" t="n">
        <v>1.500000001</v>
      </c>
      <c r="F265" s="0" t="n">
        <v>1</v>
      </c>
      <c r="G265" s="0" t="s">
        <v>437</v>
      </c>
      <c r="H265" s="0" t="s">
        <v>438</v>
      </c>
    </row>
    <row r="266" customFormat="false" ht="15" hidden="false" customHeight="false" outlineLevel="0" collapsed="false">
      <c r="A266" s="0" t="s">
        <v>222</v>
      </c>
      <c r="B266" s="0" t="n">
        <v>2022</v>
      </c>
      <c r="C266" s="0" t="s">
        <v>439</v>
      </c>
      <c r="D266" s="0" t="n">
        <v>0</v>
      </c>
      <c r="E266" s="0" t="n">
        <v>1.500000001</v>
      </c>
      <c r="F266" s="0" t="n">
        <v>1</v>
      </c>
      <c r="G266" s="0" t="s">
        <v>437</v>
      </c>
      <c r="H266" s="0" t="s">
        <v>438</v>
      </c>
    </row>
    <row r="267" customFormat="false" ht="15" hidden="false" customHeight="false" outlineLevel="0" collapsed="false">
      <c r="A267" s="0" t="s">
        <v>222</v>
      </c>
      <c r="B267" s="0" t="n">
        <v>2022</v>
      </c>
      <c r="C267" s="0" t="s">
        <v>440</v>
      </c>
      <c r="D267" s="0" t="n">
        <v>0.0036</v>
      </c>
      <c r="E267" s="0" t="n">
        <v>0.500011</v>
      </c>
      <c r="G267" s="0" t="s">
        <v>437</v>
      </c>
      <c r="H267" s="0" t="s">
        <v>438</v>
      </c>
      <c r="J267" s="0" t="s">
        <v>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6" min="5" style="0" width="13"/>
    <col collapsed="false" customWidth="true" hidden="false" outlineLevel="0" max="7" min="7" style="0" width="19"/>
    <col collapsed="false" customWidth="true" hidden="false" outlineLevel="0" max="8" min="8" style="0" width="13"/>
    <col collapsed="false" customWidth="true" hidden="false" outlineLevel="0" max="9" min="9" style="0" width="16"/>
  </cols>
  <sheetData>
    <row r="1" customFormat="false" ht="15" hidden="false" customHeight="false" outlineLevel="0" collapsed="false">
      <c r="A1" s="2" t="s">
        <v>515</v>
      </c>
    </row>
    <row r="3" customFormat="false" ht="15" hidden="false" customHeight="false" outlineLevel="0" collapsed="false">
      <c r="A3" s="3" t="s">
        <v>50</v>
      </c>
      <c r="B3" s="3" t="s">
        <v>51</v>
      </c>
      <c r="C3" s="3" t="s">
        <v>301</v>
      </c>
      <c r="D3" s="3" t="s">
        <v>276</v>
      </c>
      <c r="E3" s="3" t="s">
        <v>516</v>
      </c>
      <c r="F3" s="3" t="s">
        <v>517</v>
      </c>
      <c r="G3" s="3" t="s">
        <v>518</v>
      </c>
      <c r="H3" s="3" t="s">
        <v>519</v>
      </c>
      <c r="I3" s="3" t="s">
        <v>520</v>
      </c>
    </row>
    <row r="4" customFormat="false" ht="15" hidden="false" customHeight="false" outlineLevel="0" collapsed="false">
      <c r="A4" s="0" t="s">
        <v>77</v>
      </c>
      <c r="B4" s="0" t="n">
        <v>2013</v>
      </c>
      <c r="C4" s="0" t="s">
        <v>54</v>
      </c>
      <c r="D4" s="0" t="n">
        <v>26211.844</v>
      </c>
      <c r="E4" s="0" t="s">
        <v>521</v>
      </c>
      <c r="G4" s="0" t="s">
        <v>81</v>
      </c>
    </row>
    <row r="5" customFormat="false" ht="15" hidden="false" customHeight="false" outlineLevel="0" collapsed="false">
      <c r="A5" s="0" t="s">
        <v>77</v>
      </c>
      <c r="B5" s="0" t="n">
        <v>2013</v>
      </c>
      <c r="C5" s="0" t="s">
        <v>55</v>
      </c>
      <c r="D5" s="0" t="n">
        <v>1704094.012</v>
      </c>
      <c r="E5" s="0" t="s">
        <v>521</v>
      </c>
      <c r="G5" s="0" t="s">
        <v>81</v>
      </c>
    </row>
    <row r="6" customFormat="false" ht="15" hidden="false" customHeight="false" outlineLevel="0" collapsed="false">
      <c r="A6" s="0" t="s">
        <v>77</v>
      </c>
      <c r="B6" s="0" t="n">
        <v>2013</v>
      </c>
      <c r="C6" s="0" t="s">
        <v>56</v>
      </c>
      <c r="D6" s="0" t="n">
        <v>1458912.014</v>
      </c>
      <c r="E6" s="0" t="s">
        <v>521</v>
      </c>
      <c r="G6" s="0" t="s">
        <v>81</v>
      </c>
    </row>
    <row r="7" customFormat="false" ht="15" hidden="false" customHeight="false" outlineLevel="0" collapsed="false">
      <c r="A7" s="0" t="s">
        <v>77</v>
      </c>
      <c r="B7" s="0" t="n">
        <v>2013</v>
      </c>
      <c r="C7" s="0" t="s">
        <v>57</v>
      </c>
      <c r="D7" s="0" t="n">
        <v>245181.998</v>
      </c>
      <c r="E7" s="0" t="s">
        <v>521</v>
      </c>
      <c r="G7" s="0" t="s">
        <v>81</v>
      </c>
    </row>
    <row r="8" customFormat="false" ht="15" hidden="false" customHeight="false" outlineLevel="0" collapsed="false">
      <c r="A8" s="0" t="s">
        <v>77</v>
      </c>
      <c r="B8" s="0" t="n">
        <v>2013</v>
      </c>
      <c r="C8" s="0" t="s">
        <v>63</v>
      </c>
      <c r="D8" s="0" t="n">
        <v>-7508.216</v>
      </c>
      <c r="E8" s="0" t="s">
        <v>521</v>
      </c>
      <c r="G8" s="0" t="s">
        <v>81</v>
      </c>
    </row>
    <row r="9" customFormat="false" ht="15" hidden="false" customHeight="false" outlineLevel="0" collapsed="false">
      <c r="A9" s="0" t="s">
        <v>77</v>
      </c>
      <c r="B9" s="0" t="n">
        <v>2013</v>
      </c>
      <c r="C9" s="0" t="s">
        <v>64</v>
      </c>
      <c r="D9" s="0" t="n">
        <v>17924.178</v>
      </c>
      <c r="E9" s="0" t="s">
        <v>521</v>
      </c>
      <c r="G9" s="0" t="s">
        <v>81</v>
      </c>
    </row>
    <row r="10" customFormat="false" ht="15" hidden="false" customHeight="false" outlineLevel="0" collapsed="false">
      <c r="A10" s="0" t="s">
        <v>77</v>
      </c>
      <c r="B10" s="0" t="n">
        <v>2013</v>
      </c>
      <c r="C10" s="0" t="s">
        <v>327</v>
      </c>
      <c r="D10" s="0" t="n">
        <v>2.35</v>
      </c>
      <c r="E10" s="0" t="s">
        <v>521</v>
      </c>
      <c r="G10" s="0" t="s">
        <v>81</v>
      </c>
    </row>
    <row r="11" customFormat="false" ht="15" hidden="false" customHeight="false" outlineLevel="0" collapsed="false">
      <c r="A11" s="0" t="s">
        <v>77</v>
      </c>
      <c r="B11" s="0" t="n">
        <v>2013</v>
      </c>
      <c r="C11" s="0" t="s">
        <v>27</v>
      </c>
      <c r="D11" s="0" t="n">
        <v>14.3878211104236</v>
      </c>
      <c r="E11" s="0" t="s">
        <v>522</v>
      </c>
    </row>
    <row r="12" customFormat="false" ht="15" hidden="false" customHeight="false" outlineLevel="0" collapsed="false">
      <c r="A12" s="0" t="s">
        <v>77</v>
      </c>
      <c r="B12" s="0" t="n">
        <v>2013</v>
      </c>
      <c r="C12" s="0" t="s">
        <v>43</v>
      </c>
      <c r="D12" s="0" t="n">
        <v>1.5381688929965</v>
      </c>
      <c r="E12" s="0" t="s">
        <v>522</v>
      </c>
    </row>
    <row r="13" customFormat="false" ht="15" hidden="false" customHeight="false" outlineLevel="0" collapsed="false">
      <c r="A13" s="0" t="s">
        <v>77</v>
      </c>
      <c r="B13" s="0" t="n">
        <v>2013</v>
      </c>
      <c r="C13" s="0" t="s">
        <v>31</v>
      </c>
      <c r="D13" s="0" t="n">
        <v>85.6121788895764</v>
      </c>
      <c r="E13" s="0" t="s">
        <v>522</v>
      </c>
    </row>
    <row r="14" customFormat="false" ht="15" hidden="false" customHeight="false" outlineLevel="0" collapsed="false">
      <c r="A14" s="0" t="s">
        <v>77</v>
      </c>
      <c r="B14" s="0" t="n">
        <v>2013</v>
      </c>
      <c r="C14" s="0" t="s">
        <v>33</v>
      </c>
      <c r="D14" s="0" t="n">
        <v>14.348544156211</v>
      </c>
      <c r="E14" s="0" t="s">
        <v>522</v>
      </c>
    </row>
    <row r="15" customFormat="false" ht="15" hidden="false" customHeight="false" outlineLevel="0" collapsed="false">
      <c r="A15" s="0" t="s">
        <v>77</v>
      </c>
      <c r="B15" s="0" t="n">
        <v>2013</v>
      </c>
      <c r="C15" s="0" t="s">
        <v>21</v>
      </c>
      <c r="D15" s="0" t="n">
        <v>1.45519152283669E-010</v>
      </c>
      <c r="E15" s="0" t="s">
        <v>522</v>
      </c>
    </row>
    <row r="16" customFormat="false" ht="15" hidden="false" customHeight="false" outlineLevel="0" collapsed="false">
      <c r="A16" s="0" t="s">
        <v>77</v>
      </c>
      <c r="B16" s="0" t="n">
        <v>2014</v>
      </c>
      <c r="C16" s="0" t="s">
        <v>54</v>
      </c>
      <c r="D16" s="0" t="n">
        <v>39941.126</v>
      </c>
      <c r="E16" s="0" t="s">
        <v>521</v>
      </c>
      <c r="G16" s="0" t="s">
        <v>81</v>
      </c>
    </row>
    <row r="17" customFormat="false" ht="15" hidden="false" customHeight="false" outlineLevel="0" collapsed="false">
      <c r="A17" s="0" t="s">
        <v>77</v>
      </c>
      <c r="B17" s="0" t="n">
        <v>2014</v>
      </c>
      <c r="C17" s="0" t="s">
        <v>55</v>
      </c>
      <c r="D17" s="0" t="n">
        <v>1981955.73</v>
      </c>
      <c r="E17" s="0" t="s">
        <v>521</v>
      </c>
      <c r="G17" s="0" t="s">
        <v>81</v>
      </c>
    </row>
    <row r="18" customFormat="false" ht="15" hidden="false" customHeight="false" outlineLevel="0" collapsed="false">
      <c r="A18" s="0" t="s">
        <v>77</v>
      </c>
      <c r="B18" s="0" t="n">
        <v>2014</v>
      </c>
      <c r="C18" s="0" t="s">
        <v>56</v>
      </c>
      <c r="D18" s="0" t="n">
        <v>1707799.944</v>
      </c>
      <c r="E18" s="0" t="s">
        <v>521</v>
      </c>
      <c r="G18" s="0" t="s">
        <v>81</v>
      </c>
    </row>
    <row r="19" customFormat="false" ht="15" hidden="false" customHeight="false" outlineLevel="0" collapsed="false">
      <c r="A19" s="0" t="s">
        <v>77</v>
      </c>
      <c r="B19" s="0" t="n">
        <v>2014</v>
      </c>
      <c r="C19" s="0" t="s">
        <v>57</v>
      </c>
      <c r="D19" s="0" t="n">
        <v>274155.785</v>
      </c>
      <c r="E19" s="0" t="s">
        <v>521</v>
      </c>
      <c r="G19" s="0" t="s">
        <v>81</v>
      </c>
    </row>
    <row r="20" customFormat="false" ht="15" hidden="false" customHeight="false" outlineLevel="0" collapsed="false">
      <c r="A20" s="0" t="s">
        <v>77</v>
      </c>
      <c r="B20" s="0" t="n">
        <v>2014</v>
      </c>
      <c r="C20" s="0" t="s">
        <v>59</v>
      </c>
      <c r="D20" s="0" t="n">
        <v>1704094.012</v>
      </c>
      <c r="E20" s="0" t="s">
        <v>521</v>
      </c>
      <c r="G20" s="0" t="s">
        <v>81</v>
      </c>
    </row>
    <row r="21" customFormat="false" ht="15" hidden="false" customHeight="false" outlineLevel="0" collapsed="false">
      <c r="A21" s="0" t="s">
        <v>77</v>
      </c>
      <c r="B21" s="0" t="n">
        <v>2014</v>
      </c>
      <c r="C21" s="0" t="s">
        <v>63</v>
      </c>
      <c r="D21" s="0" t="n">
        <v>10609.3</v>
      </c>
      <c r="E21" s="0" t="s">
        <v>521</v>
      </c>
      <c r="G21" s="0" t="s">
        <v>81</v>
      </c>
    </row>
    <row r="22" customFormat="false" ht="15" hidden="false" customHeight="false" outlineLevel="0" collapsed="false">
      <c r="A22" s="0" t="s">
        <v>77</v>
      </c>
      <c r="B22" s="0" t="n">
        <v>2014</v>
      </c>
      <c r="C22" s="0" t="s">
        <v>64</v>
      </c>
      <c r="D22" s="0" t="n">
        <v>19966.521</v>
      </c>
      <c r="E22" s="0" t="s">
        <v>521</v>
      </c>
      <c r="G22" s="0" t="s">
        <v>81</v>
      </c>
    </row>
    <row r="23" customFormat="false" ht="15" hidden="false" customHeight="false" outlineLevel="0" collapsed="false">
      <c r="A23" s="0" t="s">
        <v>77</v>
      </c>
      <c r="B23" s="0" t="n">
        <v>2014</v>
      </c>
      <c r="C23" s="0" t="s">
        <v>327</v>
      </c>
      <c r="D23" s="0" t="n">
        <v>1.83</v>
      </c>
      <c r="E23" s="0" t="s">
        <v>521</v>
      </c>
      <c r="G23" s="0" t="s">
        <v>81</v>
      </c>
    </row>
    <row r="24" customFormat="false" ht="15" hidden="false" customHeight="false" outlineLevel="0" collapsed="false">
      <c r="A24" s="0" t="s">
        <v>77</v>
      </c>
      <c r="B24" s="0" t="n">
        <v>2014</v>
      </c>
      <c r="C24" s="0" t="s">
        <v>19</v>
      </c>
      <c r="D24" s="0" t="n">
        <v>1843024.871</v>
      </c>
      <c r="E24" s="0" t="s">
        <v>522</v>
      </c>
    </row>
    <row r="25" customFormat="false" ht="15" hidden="false" customHeight="false" outlineLevel="0" collapsed="false">
      <c r="A25" s="0" t="s">
        <v>77</v>
      </c>
      <c r="B25" s="0" t="n">
        <v>2014</v>
      </c>
      <c r="C25" s="0" t="s">
        <v>41</v>
      </c>
      <c r="D25" s="0" t="n">
        <v>2.16715067867361</v>
      </c>
      <c r="E25" s="0" t="s">
        <v>522</v>
      </c>
    </row>
    <row r="26" customFormat="false" ht="15" hidden="false" customHeight="false" outlineLevel="0" collapsed="false">
      <c r="A26" s="0" t="s">
        <v>77</v>
      </c>
      <c r="B26" s="0" t="n">
        <v>2014</v>
      </c>
      <c r="C26" s="0" t="s">
        <v>27</v>
      </c>
      <c r="D26" s="0" t="n">
        <v>13.8325887329481</v>
      </c>
      <c r="E26" s="0" t="s">
        <v>522</v>
      </c>
    </row>
    <row r="27" customFormat="false" ht="15" hidden="false" customHeight="false" outlineLevel="0" collapsed="false">
      <c r="A27" s="0" t="s">
        <v>77</v>
      </c>
      <c r="B27" s="0" t="n">
        <v>2014</v>
      </c>
      <c r="C27" s="0" t="s">
        <v>29</v>
      </c>
      <c r="D27" s="0" t="n">
        <v>0.575646057030339</v>
      </c>
      <c r="E27" s="0" t="s">
        <v>522</v>
      </c>
    </row>
    <row r="28" customFormat="false" ht="15" hidden="false" customHeight="false" outlineLevel="0" collapsed="false">
      <c r="A28" s="0" t="s">
        <v>77</v>
      </c>
      <c r="B28" s="0" t="n">
        <v>2014</v>
      </c>
      <c r="C28" s="0" t="s">
        <v>43</v>
      </c>
      <c r="D28" s="0" t="n">
        <v>2.01523804974191</v>
      </c>
      <c r="E28" s="0" t="s">
        <v>522</v>
      </c>
    </row>
    <row r="29" customFormat="false" ht="15" hidden="false" customHeight="false" outlineLevel="0" collapsed="false">
      <c r="A29" s="0" t="s">
        <v>77</v>
      </c>
      <c r="B29" s="0" t="n">
        <v>2014</v>
      </c>
      <c r="C29" s="0" t="s">
        <v>31</v>
      </c>
      <c r="D29" s="0" t="n">
        <v>86.1674112165966</v>
      </c>
      <c r="E29" s="0" t="s">
        <v>522</v>
      </c>
    </row>
    <row r="30" customFormat="false" ht="15" hidden="false" customHeight="false" outlineLevel="0" collapsed="false">
      <c r="A30" s="0" t="s">
        <v>77</v>
      </c>
      <c r="B30" s="0" t="n">
        <v>2014</v>
      </c>
      <c r="C30" s="0" t="s">
        <v>33</v>
      </c>
      <c r="D30" s="0" t="n">
        <v>14.4995946575984</v>
      </c>
      <c r="E30" s="0" t="s">
        <v>522</v>
      </c>
    </row>
    <row r="31" customFormat="false" ht="15" hidden="false" customHeight="false" outlineLevel="0" collapsed="false">
      <c r="A31" s="0" t="s">
        <v>77</v>
      </c>
      <c r="B31" s="0" t="n">
        <v>2014</v>
      </c>
      <c r="C31" s="0" t="s">
        <v>21</v>
      </c>
      <c r="D31" s="0" t="n">
        <v>0.00100000010570511</v>
      </c>
      <c r="E31" s="0" t="s">
        <v>522</v>
      </c>
    </row>
    <row r="32" customFormat="false" ht="15" hidden="false" customHeight="false" outlineLevel="0" collapsed="false">
      <c r="A32" s="0" t="s">
        <v>77</v>
      </c>
      <c r="B32" s="0" t="n">
        <v>2015</v>
      </c>
      <c r="C32" s="0" t="s">
        <v>54</v>
      </c>
      <c r="D32" s="0" t="n">
        <v>58924.745</v>
      </c>
      <c r="E32" s="0" t="s">
        <v>523</v>
      </c>
      <c r="F32" s="0" t="s">
        <v>524</v>
      </c>
      <c r="G32" s="0" t="s">
        <v>84</v>
      </c>
      <c r="H32" s="0" t="s">
        <v>525</v>
      </c>
    </row>
    <row r="33" customFormat="false" ht="15" hidden="false" customHeight="false" outlineLevel="0" collapsed="false">
      <c r="A33" s="0" t="s">
        <v>77</v>
      </c>
      <c r="B33" s="0" t="n">
        <v>2015</v>
      </c>
      <c r="C33" s="0" t="s">
        <v>55</v>
      </c>
      <c r="D33" s="0" t="n">
        <v>2411944.061</v>
      </c>
      <c r="E33" s="0" t="s">
        <v>523</v>
      </c>
      <c r="F33" s="0" t="s">
        <v>524</v>
      </c>
      <c r="G33" s="0" t="s">
        <v>84</v>
      </c>
      <c r="H33" s="0" t="s">
        <v>526</v>
      </c>
    </row>
    <row r="34" customFormat="false" ht="15" hidden="false" customHeight="false" outlineLevel="0" collapsed="false">
      <c r="A34" s="0" t="s">
        <v>77</v>
      </c>
      <c r="B34" s="0" t="n">
        <v>2015</v>
      </c>
      <c r="C34" s="0" t="s">
        <v>56</v>
      </c>
      <c r="D34" s="0" t="n">
        <v>2051515.157</v>
      </c>
      <c r="E34" s="0" t="s">
        <v>523</v>
      </c>
      <c r="F34" s="0" t="s">
        <v>524</v>
      </c>
      <c r="G34" s="0" t="s">
        <v>84</v>
      </c>
      <c r="H34" s="0" t="s">
        <v>527</v>
      </c>
    </row>
    <row r="35" customFormat="false" ht="15" hidden="false" customHeight="false" outlineLevel="0" collapsed="false">
      <c r="A35" s="0" t="s">
        <v>77</v>
      </c>
      <c r="B35" s="0" t="n">
        <v>2015</v>
      </c>
      <c r="C35" s="0" t="s">
        <v>57</v>
      </c>
      <c r="D35" s="0" t="n">
        <v>360428.904</v>
      </c>
      <c r="E35" s="0" t="s">
        <v>523</v>
      </c>
      <c r="F35" s="0" t="s">
        <v>524</v>
      </c>
      <c r="G35" s="0" t="s">
        <v>84</v>
      </c>
      <c r="H35" s="0" t="s">
        <v>528</v>
      </c>
    </row>
    <row r="36" customFormat="false" ht="15" hidden="false" customHeight="false" outlineLevel="0" collapsed="false">
      <c r="A36" s="0" t="s">
        <v>77</v>
      </c>
      <c r="B36" s="0" t="n">
        <v>2015</v>
      </c>
      <c r="C36" s="0" t="s">
        <v>58</v>
      </c>
      <c r="D36" s="0" t="n">
        <v>-181246.613</v>
      </c>
      <c r="E36" s="0" t="s">
        <v>523</v>
      </c>
      <c r="F36" s="0" t="s">
        <v>524</v>
      </c>
      <c r="G36" s="0" t="s">
        <v>84</v>
      </c>
      <c r="H36" s="0" t="s">
        <v>529</v>
      </c>
    </row>
    <row r="37" customFormat="false" ht="15" hidden="false" customHeight="false" outlineLevel="0" collapsed="false">
      <c r="A37" s="0" t="s">
        <v>77</v>
      </c>
      <c r="B37" s="0" t="n">
        <v>2015</v>
      </c>
      <c r="C37" s="0" t="s">
        <v>59</v>
      </c>
      <c r="D37" s="0" t="n">
        <v>1981955.73</v>
      </c>
      <c r="E37" s="0" t="s">
        <v>523</v>
      </c>
      <c r="F37" s="0" t="s">
        <v>524</v>
      </c>
      <c r="G37" s="0" t="s">
        <v>84</v>
      </c>
      <c r="H37" s="0" t="s">
        <v>530</v>
      </c>
    </row>
    <row r="38" customFormat="false" ht="15" hidden="false" customHeight="false" outlineLevel="0" collapsed="false">
      <c r="A38" s="0" t="s">
        <v>77</v>
      </c>
      <c r="B38" s="0" t="n">
        <v>2015</v>
      </c>
      <c r="C38" s="0" t="s">
        <v>60</v>
      </c>
      <c r="D38" s="0" t="n">
        <v>1270121.392</v>
      </c>
      <c r="E38" s="0" t="s">
        <v>523</v>
      </c>
      <c r="F38" s="0" t="s">
        <v>524</v>
      </c>
      <c r="G38" s="0" t="s">
        <v>84</v>
      </c>
      <c r="H38" s="0" t="s">
        <v>531</v>
      </c>
    </row>
    <row r="39" customFormat="false" ht="15" hidden="false" customHeight="false" outlineLevel="0" collapsed="false">
      <c r="A39" s="0" t="s">
        <v>77</v>
      </c>
      <c r="B39" s="0" t="n">
        <v>2015</v>
      </c>
      <c r="C39" s="0" t="s">
        <v>61</v>
      </c>
      <c r="D39" s="0" t="n">
        <v>26906.083</v>
      </c>
      <c r="E39" s="0" t="s">
        <v>523</v>
      </c>
      <c r="F39" s="0" t="s">
        <v>524</v>
      </c>
      <c r="G39" s="0" t="s">
        <v>84</v>
      </c>
      <c r="H39" s="0" t="s">
        <v>532</v>
      </c>
    </row>
    <row r="40" customFormat="false" ht="15" hidden="false" customHeight="false" outlineLevel="0" collapsed="false">
      <c r="A40" s="0" t="s">
        <v>77</v>
      </c>
      <c r="B40" s="0" t="n">
        <v>2015</v>
      </c>
      <c r="C40" s="0" t="s">
        <v>62</v>
      </c>
      <c r="D40" s="0" t="n">
        <v>1243215.309</v>
      </c>
      <c r="E40" s="0" t="s">
        <v>523</v>
      </c>
      <c r="F40" s="0" t="s">
        <v>524</v>
      </c>
      <c r="G40" s="0" t="s">
        <v>84</v>
      </c>
      <c r="H40" s="0" t="s">
        <v>533</v>
      </c>
    </row>
    <row r="41" customFormat="false" ht="15" hidden="false" customHeight="false" outlineLevel="0" collapsed="false">
      <c r="A41" s="0" t="s">
        <v>77</v>
      </c>
      <c r="B41" s="0" t="n">
        <v>2015</v>
      </c>
      <c r="C41" s="0" t="s">
        <v>63</v>
      </c>
      <c r="D41" s="0" t="n">
        <v>13287.613</v>
      </c>
      <c r="E41" s="0" t="s">
        <v>523</v>
      </c>
      <c r="F41" s="0" t="s">
        <v>524</v>
      </c>
      <c r="G41" s="0" t="s">
        <v>84</v>
      </c>
      <c r="H41" s="0" t="s">
        <v>534</v>
      </c>
    </row>
    <row r="42" customFormat="false" ht="15" hidden="false" customHeight="false" outlineLevel="0" collapsed="false">
      <c r="A42" s="0" t="s">
        <v>77</v>
      </c>
      <c r="B42" s="0" t="n">
        <v>2015</v>
      </c>
      <c r="C42" s="0" t="s">
        <v>69</v>
      </c>
      <c r="D42" s="0" t="n">
        <v>18</v>
      </c>
      <c r="E42" s="0" t="s">
        <v>523</v>
      </c>
      <c r="F42" s="0" t="s">
        <v>524</v>
      </c>
      <c r="G42" s="0" t="s">
        <v>84</v>
      </c>
      <c r="H42" s="0" t="s">
        <v>535</v>
      </c>
    </row>
    <row r="43" customFormat="false" ht="15" hidden="false" customHeight="false" outlineLevel="0" collapsed="false">
      <c r="A43" s="0" t="s">
        <v>77</v>
      </c>
      <c r="B43" s="0" t="n">
        <v>2015</v>
      </c>
      <c r="C43" s="0" t="s">
        <v>70</v>
      </c>
      <c r="D43" s="0" t="n">
        <v>16</v>
      </c>
      <c r="E43" s="0" t="s">
        <v>523</v>
      </c>
      <c r="F43" s="0" t="s">
        <v>524</v>
      </c>
      <c r="G43" s="0" t="s">
        <v>84</v>
      </c>
      <c r="H43" s="0" t="s">
        <v>536</v>
      </c>
    </row>
    <row r="44" customFormat="false" ht="15" hidden="false" customHeight="false" outlineLevel="0" collapsed="false">
      <c r="A44" s="0" t="s">
        <v>77</v>
      </c>
      <c r="B44" s="0" t="n">
        <v>2015</v>
      </c>
      <c r="C44" s="0" t="s">
        <v>65</v>
      </c>
      <c r="D44" s="0" t="n">
        <v>340521.191</v>
      </c>
      <c r="E44" s="0" t="s">
        <v>523</v>
      </c>
      <c r="F44" s="0" t="s">
        <v>524</v>
      </c>
      <c r="G44" s="0" t="s">
        <v>84</v>
      </c>
      <c r="H44" s="0" t="s">
        <v>537</v>
      </c>
    </row>
    <row r="45" customFormat="false" ht="15" hidden="false" customHeight="false" outlineLevel="0" collapsed="false">
      <c r="A45" s="0" t="s">
        <v>77</v>
      </c>
      <c r="B45" s="0" t="n">
        <v>2015</v>
      </c>
      <c r="C45" s="0" t="s">
        <v>66</v>
      </c>
      <c r="D45" s="0" t="n">
        <v>1887612.134</v>
      </c>
      <c r="E45" s="0" t="s">
        <v>523</v>
      </c>
      <c r="F45" s="0" t="s">
        <v>524</v>
      </c>
      <c r="G45" s="0" t="s">
        <v>84</v>
      </c>
      <c r="H45" s="0" t="s">
        <v>538</v>
      </c>
    </row>
    <row r="46" customFormat="false" ht="15" hidden="false" customHeight="false" outlineLevel="0" collapsed="false">
      <c r="A46" s="0" t="s">
        <v>77</v>
      </c>
      <c r="B46" s="0" t="n">
        <v>2015</v>
      </c>
      <c r="C46" s="0" t="s">
        <v>73</v>
      </c>
      <c r="D46" s="0" t="n">
        <v>0</v>
      </c>
      <c r="E46" s="0" t="s">
        <v>539</v>
      </c>
      <c r="F46" s="0" t="s">
        <v>524</v>
      </c>
      <c r="G46" s="0" t="s">
        <v>84</v>
      </c>
      <c r="H46" s="0" t="s">
        <v>540</v>
      </c>
    </row>
    <row r="47" customFormat="false" ht="15" hidden="false" customHeight="false" outlineLevel="0" collapsed="false">
      <c r="A47" s="0" t="s">
        <v>77</v>
      </c>
      <c r="B47" s="0" t="n">
        <v>2015</v>
      </c>
      <c r="C47" s="0" t="s">
        <v>541</v>
      </c>
      <c r="D47" s="0" t="n">
        <v>65177.914</v>
      </c>
      <c r="E47" s="0" t="s">
        <v>523</v>
      </c>
      <c r="F47" s="0" t="s">
        <v>524</v>
      </c>
      <c r="G47" s="0" t="s">
        <v>84</v>
      </c>
      <c r="H47" s="0" t="s">
        <v>542</v>
      </c>
    </row>
    <row r="48" customFormat="false" ht="15" hidden="false" customHeight="false" outlineLevel="0" collapsed="false">
      <c r="A48" s="0" t="s">
        <v>77</v>
      </c>
      <c r="B48" s="0" t="n">
        <v>2015</v>
      </c>
      <c r="C48" s="0" t="s">
        <v>543</v>
      </c>
      <c r="D48" s="0" t="n">
        <v>9173.223</v>
      </c>
      <c r="E48" s="0" t="s">
        <v>523</v>
      </c>
      <c r="F48" s="0" t="s">
        <v>524</v>
      </c>
      <c r="G48" s="0" t="s">
        <v>84</v>
      </c>
      <c r="H48" s="0" t="s">
        <v>544</v>
      </c>
    </row>
    <row r="49" customFormat="false" ht="15" hidden="false" customHeight="false" outlineLevel="0" collapsed="false">
      <c r="A49" s="0" t="s">
        <v>77</v>
      </c>
      <c r="B49" s="0" t="n">
        <v>2015</v>
      </c>
      <c r="C49" s="0" t="s">
        <v>545</v>
      </c>
      <c r="D49" s="0" t="n">
        <v>17732.86</v>
      </c>
      <c r="E49" s="0" t="s">
        <v>523</v>
      </c>
      <c r="F49" s="0" t="s">
        <v>524</v>
      </c>
      <c r="G49" s="0" t="s">
        <v>84</v>
      </c>
      <c r="H49" s="0" t="s">
        <v>546</v>
      </c>
    </row>
    <row r="50" customFormat="false" ht="15" hidden="false" customHeight="false" outlineLevel="0" collapsed="false">
      <c r="A50" s="0" t="s">
        <v>77</v>
      </c>
      <c r="B50" s="0" t="n">
        <v>2015</v>
      </c>
      <c r="C50" s="0" t="s">
        <v>19</v>
      </c>
      <c r="D50" s="0" t="n">
        <v>2196949.8955</v>
      </c>
      <c r="E50" s="0" t="s">
        <v>522</v>
      </c>
    </row>
    <row r="51" customFormat="false" ht="15" hidden="false" customHeight="false" outlineLevel="0" collapsed="false">
      <c r="A51" s="0" t="s">
        <v>77</v>
      </c>
      <c r="B51" s="0" t="n">
        <v>2015</v>
      </c>
      <c r="C51" s="0" t="s">
        <v>41</v>
      </c>
      <c r="D51" s="0" t="n">
        <v>2.68211601551293</v>
      </c>
      <c r="E51" s="0" t="s">
        <v>522</v>
      </c>
    </row>
    <row r="52" customFormat="false" ht="15" hidden="false" customHeight="false" outlineLevel="0" collapsed="false">
      <c r="A52" s="0" t="s">
        <v>77</v>
      </c>
      <c r="B52" s="0" t="n">
        <v>2015</v>
      </c>
      <c r="C52" s="0" t="s">
        <v>27</v>
      </c>
      <c r="D52" s="0" t="n">
        <v>14.9435017929299</v>
      </c>
      <c r="E52" s="0" t="s">
        <v>522</v>
      </c>
    </row>
    <row r="53" customFormat="false" ht="15" hidden="false" customHeight="false" outlineLevel="0" collapsed="false">
      <c r="A53" s="0" t="s">
        <v>77</v>
      </c>
      <c r="B53" s="0" t="n">
        <v>2015</v>
      </c>
      <c r="C53" s="0" t="s">
        <v>39</v>
      </c>
      <c r="D53" s="0" t="n">
        <v>-8.24992019031688</v>
      </c>
      <c r="E53" s="0" t="s">
        <v>522</v>
      </c>
    </row>
    <row r="54" customFormat="false" ht="15" hidden="false" customHeight="false" outlineLevel="0" collapsed="false">
      <c r="A54" s="0" t="s">
        <v>77</v>
      </c>
      <c r="B54" s="0" t="n">
        <v>2015</v>
      </c>
      <c r="C54" s="0" t="s">
        <v>17</v>
      </c>
      <c r="D54" s="0" t="n">
        <v>2.11838672818763</v>
      </c>
      <c r="E54" s="0" t="s">
        <v>522</v>
      </c>
    </row>
    <row r="55" customFormat="false" ht="15" hidden="false" customHeight="false" outlineLevel="0" collapsed="false">
      <c r="A55" s="0" t="s">
        <v>77</v>
      </c>
      <c r="B55" s="0" t="n">
        <v>2015</v>
      </c>
      <c r="C55" s="0" t="s">
        <v>25</v>
      </c>
      <c r="D55" s="0" t="n">
        <v>18.0397860803325</v>
      </c>
      <c r="E55" s="0" t="s">
        <v>522</v>
      </c>
    </row>
    <row r="56" customFormat="false" ht="15" hidden="false" customHeight="false" outlineLevel="0" collapsed="false">
      <c r="A56" s="0" t="s">
        <v>77</v>
      </c>
      <c r="B56" s="0" t="n">
        <v>2015</v>
      </c>
      <c r="C56" s="0" t="s">
        <v>29</v>
      </c>
      <c r="D56" s="0" t="n">
        <v>0.604820939577045</v>
      </c>
      <c r="E56" s="0" t="s">
        <v>522</v>
      </c>
    </row>
    <row r="57" customFormat="false" ht="15" hidden="false" customHeight="false" outlineLevel="0" collapsed="false">
      <c r="A57" s="0" t="s">
        <v>77</v>
      </c>
      <c r="B57" s="0" t="n">
        <v>2015</v>
      </c>
      <c r="C57" s="0" t="s">
        <v>43</v>
      </c>
      <c r="D57" s="0" t="n">
        <v>2.44303945322719</v>
      </c>
      <c r="E57" s="0" t="s">
        <v>522</v>
      </c>
    </row>
    <row r="58" customFormat="false" ht="15" hidden="false" customHeight="false" outlineLevel="0" collapsed="false">
      <c r="A58" s="0" t="s">
        <v>77</v>
      </c>
      <c r="B58" s="0" t="n">
        <v>2015</v>
      </c>
      <c r="C58" s="0" t="s">
        <v>31</v>
      </c>
      <c r="D58" s="0" t="n">
        <v>85.0564982070701</v>
      </c>
      <c r="E58" s="0" t="s">
        <v>522</v>
      </c>
    </row>
    <row r="59" customFormat="false" ht="15" hidden="false" customHeight="false" outlineLevel="0" collapsed="false">
      <c r="A59" s="0" t="s">
        <v>77</v>
      </c>
      <c r="B59" s="0" t="n">
        <v>2015</v>
      </c>
      <c r="C59" s="0" t="s">
        <v>33</v>
      </c>
      <c r="D59" s="0" t="n">
        <v>14.6959436446034</v>
      </c>
      <c r="E59" s="0" t="s">
        <v>522</v>
      </c>
    </row>
    <row r="60" customFormat="false" ht="15" hidden="false" customHeight="false" outlineLevel="0" collapsed="false">
      <c r="A60" s="0" t="s">
        <v>77</v>
      </c>
      <c r="B60" s="0" t="n">
        <v>2015</v>
      </c>
      <c r="C60" s="0" t="s">
        <v>21</v>
      </c>
      <c r="D60" s="0" t="n">
        <v>3.49245965480804E-010</v>
      </c>
      <c r="E60" s="0" t="s">
        <v>522</v>
      </c>
    </row>
    <row r="61" customFormat="false" ht="15" hidden="false" customHeight="false" outlineLevel="0" collapsed="false">
      <c r="A61" s="0" t="s">
        <v>77</v>
      </c>
      <c r="B61" s="0" t="n">
        <v>2015</v>
      </c>
      <c r="C61" s="0" t="s">
        <v>35</v>
      </c>
      <c r="D61" s="0" t="n">
        <v>0</v>
      </c>
      <c r="E61" s="0" t="s">
        <v>522</v>
      </c>
    </row>
    <row r="62" customFormat="false" ht="15" hidden="false" customHeight="false" outlineLevel="0" collapsed="false">
      <c r="A62" s="0" t="s">
        <v>77</v>
      </c>
      <c r="B62" s="0" t="n">
        <v>2016</v>
      </c>
      <c r="C62" s="0" t="s">
        <v>54</v>
      </c>
      <c r="D62" s="0" t="n">
        <v>64026.135</v>
      </c>
      <c r="E62" s="0" t="s">
        <v>523</v>
      </c>
      <c r="F62" s="0" t="s">
        <v>524</v>
      </c>
      <c r="G62" s="0" t="s">
        <v>87</v>
      </c>
      <c r="H62" s="0" t="s">
        <v>547</v>
      </c>
    </row>
    <row r="63" customFormat="false" ht="15" hidden="false" customHeight="false" outlineLevel="0" collapsed="false">
      <c r="A63" s="0" t="s">
        <v>77</v>
      </c>
      <c r="B63" s="0" t="n">
        <v>2016</v>
      </c>
      <c r="C63" s="0" t="s">
        <v>55</v>
      </c>
      <c r="D63" s="0" t="n">
        <v>3094960.515</v>
      </c>
      <c r="E63" s="0" t="s">
        <v>523</v>
      </c>
      <c r="F63" s="0" t="s">
        <v>524</v>
      </c>
      <c r="G63" s="0" t="s">
        <v>87</v>
      </c>
      <c r="H63" s="0" t="s">
        <v>548</v>
      </c>
    </row>
    <row r="64" customFormat="false" ht="15" hidden="false" customHeight="false" outlineLevel="0" collapsed="false">
      <c r="A64" s="0" t="s">
        <v>77</v>
      </c>
      <c r="B64" s="0" t="n">
        <v>2016</v>
      </c>
      <c r="C64" s="0" t="s">
        <v>56</v>
      </c>
      <c r="D64" s="0" t="n">
        <v>2673281.895</v>
      </c>
      <c r="E64" s="0" t="s">
        <v>523</v>
      </c>
      <c r="F64" s="0" t="s">
        <v>524</v>
      </c>
      <c r="G64" s="0" t="s">
        <v>87</v>
      </c>
      <c r="H64" s="0" t="s">
        <v>549</v>
      </c>
    </row>
    <row r="65" customFormat="false" ht="15" hidden="false" customHeight="false" outlineLevel="0" collapsed="false">
      <c r="A65" s="0" t="s">
        <v>77</v>
      </c>
      <c r="B65" s="0" t="n">
        <v>2016</v>
      </c>
      <c r="C65" s="0" t="s">
        <v>57</v>
      </c>
      <c r="D65" s="0" t="n">
        <v>421678.62</v>
      </c>
      <c r="E65" s="0" t="s">
        <v>523</v>
      </c>
      <c r="F65" s="0" t="s">
        <v>524</v>
      </c>
      <c r="G65" s="0" t="s">
        <v>87</v>
      </c>
      <c r="H65" s="0" t="s">
        <v>550</v>
      </c>
    </row>
    <row r="66" customFormat="false" ht="15" hidden="false" customHeight="false" outlineLevel="0" collapsed="false">
      <c r="A66" s="0" t="s">
        <v>77</v>
      </c>
      <c r="B66" s="0" t="n">
        <v>2016</v>
      </c>
      <c r="C66" s="0" t="s">
        <v>58</v>
      </c>
      <c r="D66" s="0" t="n">
        <v>-124135.579</v>
      </c>
      <c r="E66" s="0" t="s">
        <v>523</v>
      </c>
      <c r="F66" s="0" t="s">
        <v>524</v>
      </c>
      <c r="G66" s="0" t="s">
        <v>87</v>
      </c>
      <c r="H66" s="0" t="s">
        <v>551</v>
      </c>
    </row>
    <row r="67" customFormat="false" ht="15" hidden="false" customHeight="false" outlineLevel="0" collapsed="false">
      <c r="A67" s="0" t="s">
        <v>77</v>
      </c>
      <c r="B67" s="0" t="n">
        <v>2016</v>
      </c>
      <c r="C67" s="0" t="s">
        <v>59</v>
      </c>
      <c r="D67" s="0" t="n">
        <v>2411944.061</v>
      </c>
      <c r="E67" s="0" t="s">
        <v>523</v>
      </c>
      <c r="F67" s="0" t="s">
        <v>524</v>
      </c>
      <c r="G67" s="0" t="s">
        <v>87</v>
      </c>
      <c r="H67" s="0" t="s">
        <v>552</v>
      </c>
    </row>
    <row r="68" customFormat="false" ht="15" hidden="false" customHeight="false" outlineLevel="0" collapsed="false">
      <c r="A68" s="0" t="s">
        <v>77</v>
      </c>
      <c r="B68" s="0" t="n">
        <v>2016</v>
      </c>
      <c r="C68" s="0" t="s">
        <v>60</v>
      </c>
      <c r="D68" s="0" t="n">
        <v>1624837.859</v>
      </c>
      <c r="E68" s="0" t="s">
        <v>523</v>
      </c>
      <c r="F68" s="0" t="s">
        <v>524</v>
      </c>
      <c r="G68" s="0" t="s">
        <v>87</v>
      </c>
      <c r="H68" s="0" t="s">
        <v>553</v>
      </c>
    </row>
    <row r="69" customFormat="false" ht="15" hidden="false" customHeight="false" outlineLevel="0" collapsed="false">
      <c r="A69" s="0" t="s">
        <v>77</v>
      </c>
      <c r="B69" s="0" t="n">
        <v>2016</v>
      </c>
      <c r="C69" s="0" t="s">
        <v>61</v>
      </c>
      <c r="D69" s="0" t="n">
        <v>30275.514</v>
      </c>
      <c r="E69" s="0" t="s">
        <v>523</v>
      </c>
      <c r="F69" s="0" t="s">
        <v>524</v>
      </c>
      <c r="G69" s="0" t="s">
        <v>87</v>
      </c>
      <c r="H69" s="0" t="s">
        <v>554</v>
      </c>
    </row>
    <row r="70" customFormat="false" ht="15" hidden="false" customHeight="false" outlineLevel="0" collapsed="false">
      <c r="A70" s="0" t="s">
        <v>77</v>
      </c>
      <c r="B70" s="0" t="n">
        <v>2016</v>
      </c>
      <c r="C70" s="0" t="s">
        <v>62</v>
      </c>
      <c r="D70" s="0" t="n">
        <v>1594562.345</v>
      </c>
      <c r="E70" s="0" t="s">
        <v>523</v>
      </c>
      <c r="F70" s="0" t="s">
        <v>524</v>
      </c>
      <c r="G70" s="0" t="s">
        <v>87</v>
      </c>
      <c r="H70" s="0" t="s">
        <v>555</v>
      </c>
    </row>
    <row r="71" customFormat="false" ht="15" hidden="false" customHeight="false" outlineLevel="0" collapsed="false">
      <c r="A71" s="0" t="s">
        <v>77</v>
      </c>
      <c r="B71" s="0" t="n">
        <v>2016</v>
      </c>
      <c r="C71" s="0" t="s">
        <v>63</v>
      </c>
      <c r="D71" s="0" t="n">
        <v>17641.127</v>
      </c>
      <c r="E71" s="0" t="s">
        <v>523</v>
      </c>
      <c r="F71" s="0" t="s">
        <v>524</v>
      </c>
      <c r="G71" s="0" t="s">
        <v>87</v>
      </c>
      <c r="H71" s="0" t="s">
        <v>556</v>
      </c>
    </row>
    <row r="72" customFormat="false" ht="15" hidden="false" customHeight="false" outlineLevel="0" collapsed="false">
      <c r="A72" s="0" t="s">
        <v>77</v>
      </c>
      <c r="B72" s="0" t="n">
        <v>2016</v>
      </c>
      <c r="C72" s="0" t="s">
        <v>69</v>
      </c>
      <c r="D72" s="0" t="n">
        <v>19.55</v>
      </c>
      <c r="E72" s="0" t="s">
        <v>523</v>
      </c>
      <c r="F72" s="0" t="s">
        <v>524</v>
      </c>
      <c r="G72" s="0" t="s">
        <v>87</v>
      </c>
      <c r="H72" s="0" t="s">
        <v>557</v>
      </c>
    </row>
    <row r="73" customFormat="false" ht="15" hidden="false" customHeight="false" outlineLevel="0" collapsed="false">
      <c r="A73" s="0" t="s">
        <v>77</v>
      </c>
      <c r="B73" s="0" t="n">
        <v>2016</v>
      </c>
      <c r="C73" s="0" t="s">
        <v>70</v>
      </c>
      <c r="D73" s="0" t="n">
        <v>16</v>
      </c>
      <c r="E73" s="0" t="s">
        <v>523</v>
      </c>
      <c r="F73" s="0" t="s">
        <v>524</v>
      </c>
      <c r="G73" s="0" t="s">
        <v>87</v>
      </c>
      <c r="H73" s="0" t="s">
        <v>558</v>
      </c>
    </row>
    <row r="74" customFormat="false" ht="15" hidden="false" customHeight="false" outlineLevel="0" collapsed="false">
      <c r="A74" s="0" t="s">
        <v>77</v>
      </c>
      <c r="B74" s="0" t="n">
        <v>2016</v>
      </c>
      <c r="C74" s="0" t="s">
        <v>65</v>
      </c>
      <c r="D74" s="0" t="n">
        <v>419807.319</v>
      </c>
      <c r="E74" s="0" t="s">
        <v>523</v>
      </c>
      <c r="F74" s="0" t="s">
        <v>524</v>
      </c>
      <c r="G74" s="0" t="s">
        <v>87</v>
      </c>
      <c r="H74" s="0" t="s">
        <v>559</v>
      </c>
    </row>
    <row r="75" customFormat="false" ht="15" hidden="false" customHeight="false" outlineLevel="0" collapsed="false">
      <c r="A75" s="0" t="s">
        <v>77</v>
      </c>
      <c r="B75" s="0" t="n">
        <v>2016</v>
      </c>
      <c r="C75" s="0" t="s">
        <v>66</v>
      </c>
      <c r="D75" s="0" t="n">
        <v>2146850.027</v>
      </c>
      <c r="E75" s="0" t="s">
        <v>523</v>
      </c>
      <c r="F75" s="0" t="s">
        <v>524</v>
      </c>
      <c r="G75" s="0" t="s">
        <v>87</v>
      </c>
      <c r="H75" s="0" t="s">
        <v>560</v>
      </c>
    </row>
    <row r="76" customFormat="false" ht="15" hidden="false" customHeight="false" outlineLevel="0" collapsed="false">
      <c r="A76" s="0" t="s">
        <v>77</v>
      </c>
      <c r="B76" s="0" t="n">
        <v>2016</v>
      </c>
      <c r="C76" s="0" t="s">
        <v>73</v>
      </c>
      <c r="D76" s="0" t="n">
        <v>0</v>
      </c>
      <c r="E76" s="0" t="s">
        <v>539</v>
      </c>
      <c r="F76" s="0" t="s">
        <v>524</v>
      </c>
      <c r="G76" s="0" t="s">
        <v>87</v>
      </c>
      <c r="H76" s="0" t="s">
        <v>561</v>
      </c>
    </row>
    <row r="77" customFormat="false" ht="15" hidden="false" customHeight="false" outlineLevel="0" collapsed="false">
      <c r="A77" s="0" t="s">
        <v>77</v>
      </c>
      <c r="B77" s="0" t="n">
        <v>2016</v>
      </c>
      <c r="C77" s="0" t="s">
        <v>541</v>
      </c>
      <c r="D77" s="0" t="n">
        <v>80579.576</v>
      </c>
      <c r="E77" s="0" t="s">
        <v>523</v>
      </c>
      <c r="F77" s="0" t="s">
        <v>524</v>
      </c>
      <c r="G77" s="0" t="s">
        <v>87</v>
      </c>
      <c r="H77" s="0" t="s">
        <v>562</v>
      </c>
    </row>
    <row r="78" customFormat="false" ht="15" hidden="false" customHeight="false" outlineLevel="0" collapsed="false">
      <c r="A78" s="0" t="s">
        <v>77</v>
      </c>
      <c r="B78" s="0" t="n">
        <v>2016</v>
      </c>
      <c r="C78" s="0" t="s">
        <v>543</v>
      </c>
      <c r="D78" s="0" t="n">
        <v>10084.316</v>
      </c>
      <c r="E78" s="0" t="s">
        <v>523</v>
      </c>
      <c r="F78" s="0" t="s">
        <v>524</v>
      </c>
      <c r="G78" s="0" t="s">
        <v>87</v>
      </c>
      <c r="H78" s="0" t="s">
        <v>563</v>
      </c>
    </row>
    <row r="79" customFormat="false" ht="15" hidden="false" customHeight="false" outlineLevel="0" collapsed="false">
      <c r="A79" s="0" t="s">
        <v>77</v>
      </c>
      <c r="B79" s="0" t="n">
        <v>2016</v>
      </c>
      <c r="C79" s="0" t="s">
        <v>545</v>
      </c>
      <c r="D79" s="0" t="n">
        <v>20191.198</v>
      </c>
      <c r="E79" s="0" t="s">
        <v>523</v>
      </c>
      <c r="F79" s="0" t="s">
        <v>524</v>
      </c>
      <c r="G79" s="0" t="s">
        <v>87</v>
      </c>
      <c r="H79" s="0" t="s">
        <v>564</v>
      </c>
    </row>
    <row r="80" customFormat="false" ht="15" hidden="false" customHeight="false" outlineLevel="0" collapsed="false">
      <c r="A80" s="0" t="s">
        <v>77</v>
      </c>
      <c r="B80" s="0" t="n">
        <v>2016</v>
      </c>
      <c r="C80" s="0" t="s">
        <v>19</v>
      </c>
      <c r="D80" s="0" t="n">
        <v>2753452.288</v>
      </c>
      <c r="E80" s="0" t="s">
        <v>522</v>
      </c>
    </row>
    <row r="81" customFormat="false" ht="15" hidden="false" customHeight="false" outlineLevel="0" collapsed="false">
      <c r="A81" s="0" t="s">
        <v>77</v>
      </c>
      <c r="B81" s="0" t="n">
        <v>2016</v>
      </c>
      <c r="C81" s="0" t="s">
        <v>41</v>
      </c>
      <c r="D81" s="0" t="n">
        <v>2.32530395674683</v>
      </c>
      <c r="E81" s="0" t="s">
        <v>522</v>
      </c>
    </row>
    <row r="82" customFormat="false" ht="15" hidden="false" customHeight="false" outlineLevel="0" collapsed="false">
      <c r="A82" s="0" t="s">
        <v>77</v>
      </c>
      <c r="B82" s="0" t="n">
        <v>2016</v>
      </c>
      <c r="C82" s="0" t="s">
        <v>27</v>
      </c>
      <c r="D82" s="0" t="n">
        <v>13.6246849662959</v>
      </c>
      <c r="E82" s="0" t="s">
        <v>522</v>
      </c>
    </row>
    <row r="83" customFormat="false" ht="15" hidden="false" customHeight="false" outlineLevel="0" collapsed="false">
      <c r="A83" s="0" t="s">
        <v>77</v>
      </c>
      <c r="B83" s="0" t="n">
        <v>2016</v>
      </c>
      <c r="C83" s="0" t="s">
        <v>39</v>
      </c>
      <c r="D83" s="0" t="n">
        <v>-4.508361359338</v>
      </c>
      <c r="E83" s="0" t="s">
        <v>522</v>
      </c>
    </row>
    <row r="84" customFormat="false" ht="15" hidden="false" customHeight="false" outlineLevel="0" collapsed="false">
      <c r="A84" s="0" t="s">
        <v>77</v>
      </c>
      <c r="B84" s="0" t="n">
        <v>2016</v>
      </c>
      <c r="C84" s="0" t="s">
        <v>17</v>
      </c>
      <c r="D84" s="0" t="n">
        <v>1.86329447164857</v>
      </c>
      <c r="E84" s="0" t="s">
        <v>522</v>
      </c>
    </row>
    <row r="85" customFormat="false" ht="15" hidden="false" customHeight="false" outlineLevel="0" collapsed="false">
      <c r="A85" s="0" t="s">
        <v>77</v>
      </c>
      <c r="B85" s="0" t="n">
        <v>2016</v>
      </c>
      <c r="C85" s="0" t="s">
        <v>25</v>
      </c>
      <c r="D85" s="0" t="n">
        <v>19.5545712891104</v>
      </c>
      <c r="E85" s="0" t="s">
        <v>522</v>
      </c>
    </row>
    <row r="86" customFormat="false" ht="15" hidden="false" customHeight="false" outlineLevel="0" collapsed="false">
      <c r="A86" s="0" t="s">
        <v>77</v>
      </c>
      <c r="B86" s="0" t="n">
        <v>2016</v>
      </c>
      <c r="C86" s="0" t="s">
        <v>29</v>
      </c>
      <c r="D86" s="0" t="n">
        <v>0.640691217962372</v>
      </c>
      <c r="E86" s="0" t="s">
        <v>522</v>
      </c>
    </row>
    <row r="87" customFormat="false" ht="15" hidden="false" customHeight="false" outlineLevel="0" collapsed="false">
      <c r="A87" s="0" t="s">
        <v>77</v>
      </c>
      <c r="B87" s="0" t="n">
        <v>2016</v>
      </c>
      <c r="C87" s="0" t="s">
        <v>43</v>
      </c>
      <c r="D87" s="0" t="n">
        <v>2.06872219175953</v>
      </c>
      <c r="E87" s="0" t="s">
        <v>522</v>
      </c>
    </row>
    <row r="88" customFormat="false" ht="15" hidden="false" customHeight="false" outlineLevel="0" collapsed="false">
      <c r="A88" s="0" t="s">
        <v>77</v>
      </c>
      <c r="B88" s="0" t="n">
        <v>2016</v>
      </c>
      <c r="C88" s="0" t="s">
        <v>31</v>
      </c>
      <c r="D88" s="0" t="n">
        <v>86.3753150337041</v>
      </c>
      <c r="E88" s="0" t="s">
        <v>522</v>
      </c>
    </row>
    <row r="89" customFormat="false" ht="15" hidden="false" customHeight="false" outlineLevel="0" collapsed="false">
      <c r="A89" s="0" t="s">
        <v>77</v>
      </c>
      <c r="B89" s="0" t="n">
        <v>2016</v>
      </c>
      <c r="C89" s="0" t="s">
        <v>33</v>
      </c>
      <c r="D89" s="0" t="n">
        <v>14.9452857063458</v>
      </c>
      <c r="E89" s="0" t="s">
        <v>522</v>
      </c>
    </row>
    <row r="90" customFormat="false" ht="15" hidden="false" customHeight="false" outlineLevel="0" collapsed="false">
      <c r="A90" s="0" t="s">
        <v>77</v>
      </c>
      <c r="B90" s="0" t="n">
        <v>2016</v>
      </c>
      <c r="C90" s="0" t="s">
        <v>21</v>
      </c>
      <c r="D90" s="0" t="n">
        <v>1.16415321826935E-010</v>
      </c>
      <c r="E90" s="0" t="s">
        <v>522</v>
      </c>
    </row>
    <row r="91" customFormat="false" ht="15" hidden="false" customHeight="false" outlineLevel="0" collapsed="false">
      <c r="A91" s="0" t="s">
        <v>77</v>
      </c>
      <c r="B91" s="0" t="n">
        <v>2016</v>
      </c>
      <c r="C91" s="0" t="s">
        <v>35</v>
      </c>
      <c r="D91" s="0" t="n">
        <v>0</v>
      </c>
      <c r="E91" s="0" t="s">
        <v>522</v>
      </c>
    </row>
    <row r="92" customFormat="false" ht="15" hidden="false" customHeight="false" outlineLevel="0" collapsed="false">
      <c r="A92" s="0" t="s">
        <v>77</v>
      </c>
      <c r="B92" s="0" t="n">
        <v>2017</v>
      </c>
      <c r="C92" s="0" t="s">
        <v>54</v>
      </c>
      <c r="D92" s="0" t="n">
        <v>53238.822</v>
      </c>
      <c r="E92" s="0" t="s">
        <v>523</v>
      </c>
      <c r="F92" s="0" t="s">
        <v>524</v>
      </c>
      <c r="G92" s="0" t="s">
        <v>89</v>
      </c>
      <c r="H92" s="0" t="s">
        <v>565</v>
      </c>
    </row>
    <row r="93" customFormat="false" ht="15" hidden="false" customHeight="false" outlineLevel="0" collapsed="false">
      <c r="A93" s="0" t="s">
        <v>77</v>
      </c>
      <c r="B93" s="0" t="n">
        <v>2017</v>
      </c>
      <c r="C93" s="0" t="s">
        <v>55</v>
      </c>
      <c r="D93" s="0" t="n">
        <v>3499683.979</v>
      </c>
      <c r="E93" s="0" t="s">
        <v>523</v>
      </c>
      <c r="F93" s="0" t="s">
        <v>524</v>
      </c>
      <c r="G93" s="0" t="s">
        <v>89</v>
      </c>
      <c r="H93" s="0" t="s">
        <v>566</v>
      </c>
    </row>
    <row r="94" customFormat="false" ht="15" hidden="false" customHeight="false" outlineLevel="0" collapsed="false">
      <c r="A94" s="0" t="s">
        <v>77</v>
      </c>
      <c r="B94" s="0" t="n">
        <v>2017</v>
      </c>
      <c r="C94" s="0" t="s">
        <v>56</v>
      </c>
      <c r="D94" s="0" t="n">
        <v>3030192.882</v>
      </c>
      <c r="E94" s="0" t="s">
        <v>523</v>
      </c>
      <c r="F94" s="0" t="s">
        <v>524</v>
      </c>
      <c r="G94" s="0" t="s">
        <v>89</v>
      </c>
      <c r="H94" s="0" t="s">
        <v>567</v>
      </c>
    </row>
    <row r="95" customFormat="false" ht="15" hidden="false" customHeight="false" outlineLevel="0" collapsed="false">
      <c r="A95" s="0" t="s">
        <v>77</v>
      </c>
      <c r="B95" s="0" t="n">
        <v>2017</v>
      </c>
      <c r="C95" s="0" t="s">
        <v>57</v>
      </c>
      <c r="D95" s="0" t="n">
        <v>469491.097</v>
      </c>
      <c r="E95" s="0" t="s">
        <v>523</v>
      </c>
      <c r="F95" s="0" t="s">
        <v>524</v>
      </c>
      <c r="G95" s="0" t="s">
        <v>89</v>
      </c>
      <c r="H95" s="0" t="s">
        <v>568</v>
      </c>
    </row>
    <row r="96" customFormat="false" ht="15" hidden="false" customHeight="false" outlineLevel="0" collapsed="false">
      <c r="A96" s="0" t="s">
        <v>77</v>
      </c>
      <c r="B96" s="0" t="n">
        <v>2017</v>
      </c>
      <c r="C96" s="0" t="s">
        <v>58</v>
      </c>
      <c r="D96" s="0" t="n">
        <v>104360.682</v>
      </c>
      <c r="E96" s="0" t="s">
        <v>523</v>
      </c>
      <c r="F96" s="0" t="s">
        <v>524</v>
      </c>
      <c r="G96" s="0" t="s">
        <v>89</v>
      </c>
      <c r="H96" s="0" t="s">
        <v>569</v>
      </c>
    </row>
    <row r="97" customFormat="false" ht="15" hidden="false" customHeight="false" outlineLevel="0" collapsed="false">
      <c r="A97" s="0" t="s">
        <v>77</v>
      </c>
      <c r="B97" s="0" t="n">
        <v>2017</v>
      </c>
      <c r="C97" s="0" t="s">
        <v>59</v>
      </c>
      <c r="D97" s="0" t="n">
        <v>3094960.515</v>
      </c>
      <c r="E97" s="0" t="s">
        <v>523</v>
      </c>
      <c r="F97" s="0" t="s">
        <v>524</v>
      </c>
      <c r="G97" s="0" t="s">
        <v>89</v>
      </c>
      <c r="H97" s="0" t="s">
        <v>570</v>
      </c>
    </row>
    <row r="98" customFormat="false" ht="15" hidden="false" customHeight="false" outlineLevel="0" collapsed="false">
      <c r="A98" s="0" t="s">
        <v>77</v>
      </c>
      <c r="B98" s="0" t="n">
        <v>2017</v>
      </c>
      <c r="C98" s="0" t="s">
        <v>60</v>
      </c>
      <c r="D98" s="0" t="n">
        <v>1827572.14</v>
      </c>
      <c r="E98" s="0" t="s">
        <v>523</v>
      </c>
      <c r="F98" s="0" t="s">
        <v>524</v>
      </c>
      <c r="G98" s="0" t="s">
        <v>89</v>
      </c>
      <c r="H98" s="0" t="s">
        <v>571</v>
      </c>
    </row>
    <row r="99" customFormat="false" ht="15" hidden="false" customHeight="false" outlineLevel="0" collapsed="false">
      <c r="A99" s="0" t="s">
        <v>77</v>
      </c>
      <c r="B99" s="0" t="n">
        <v>2017</v>
      </c>
      <c r="C99" s="0" t="s">
        <v>61</v>
      </c>
      <c r="D99" s="0" t="n">
        <v>56289.402</v>
      </c>
      <c r="E99" s="0" t="s">
        <v>523</v>
      </c>
      <c r="F99" s="0" t="s">
        <v>524</v>
      </c>
      <c r="G99" s="0" t="s">
        <v>89</v>
      </c>
      <c r="H99" s="0" t="s">
        <v>572</v>
      </c>
    </row>
    <row r="100" customFormat="false" ht="15" hidden="false" customHeight="false" outlineLevel="0" collapsed="false">
      <c r="A100" s="0" t="s">
        <v>77</v>
      </c>
      <c r="B100" s="0" t="n">
        <v>2017</v>
      </c>
      <c r="C100" s="0" t="s">
        <v>62</v>
      </c>
      <c r="D100" s="0" t="n">
        <v>1771282.739</v>
      </c>
      <c r="E100" s="0" t="s">
        <v>523</v>
      </c>
      <c r="F100" s="0" t="s">
        <v>524</v>
      </c>
      <c r="G100" s="0" t="s">
        <v>89</v>
      </c>
      <c r="H100" s="0" t="s">
        <v>573</v>
      </c>
    </row>
    <row r="101" customFormat="false" ht="15" hidden="false" customHeight="false" outlineLevel="0" collapsed="false">
      <c r="A101" s="0" t="s">
        <v>77</v>
      </c>
      <c r="B101" s="0" t="n">
        <v>2017</v>
      </c>
      <c r="C101" s="0" t="s">
        <v>63</v>
      </c>
      <c r="D101" s="0" t="n">
        <v>29149.849</v>
      </c>
      <c r="E101" s="0" t="s">
        <v>523</v>
      </c>
      <c r="F101" s="0" t="s">
        <v>524</v>
      </c>
      <c r="G101" s="0" t="s">
        <v>89</v>
      </c>
      <c r="H101" s="0" t="s">
        <v>574</v>
      </c>
    </row>
    <row r="102" customFormat="false" ht="15" hidden="false" customHeight="false" outlineLevel="0" collapsed="false">
      <c r="A102" s="0" t="s">
        <v>77</v>
      </c>
      <c r="B102" s="0" t="n">
        <v>2017</v>
      </c>
      <c r="C102" s="0" t="s">
        <v>69</v>
      </c>
      <c r="D102" s="0" t="n">
        <v>18.18</v>
      </c>
      <c r="E102" s="0" t="s">
        <v>523</v>
      </c>
      <c r="F102" s="0" t="s">
        <v>524</v>
      </c>
      <c r="G102" s="0" t="s">
        <v>89</v>
      </c>
      <c r="H102" s="0" t="s">
        <v>575</v>
      </c>
    </row>
    <row r="103" customFormat="false" ht="15" hidden="false" customHeight="false" outlineLevel="0" collapsed="false">
      <c r="A103" s="0" t="s">
        <v>77</v>
      </c>
      <c r="B103" s="0" t="n">
        <v>2017</v>
      </c>
      <c r="C103" s="0" t="s">
        <v>70</v>
      </c>
      <c r="D103" s="0" t="n">
        <v>16</v>
      </c>
      <c r="E103" s="0" t="s">
        <v>523</v>
      </c>
      <c r="F103" s="0" t="s">
        <v>524</v>
      </c>
      <c r="G103" s="0" t="s">
        <v>89</v>
      </c>
      <c r="H103" s="0" t="s">
        <v>576</v>
      </c>
    </row>
    <row r="104" customFormat="false" ht="15" hidden="false" customHeight="false" outlineLevel="0" collapsed="false">
      <c r="A104" s="0" t="s">
        <v>77</v>
      </c>
      <c r="B104" s="0" t="n">
        <v>2017</v>
      </c>
      <c r="C104" s="0" t="s">
        <v>65</v>
      </c>
      <c r="D104" s="0" t="n">
        <v>420096.297</v>
      </c>
      <c r="E104" s="0" t="s">
        <v>523</v>
      </c>
      <c r="F104" s="0" t="s">
        <v>524</v>
      </c>
      <c r="G104" s="0" t="s">
        <v>89</v>
      </c>
      <c r="H104" s="0" t="s">
        <v>577</v>
      </c>
    </row>
    <row r="105" customFormat="false" ht="15" hidden="false" customHeight="false" outlineLevel="0" collapsed="false">
      <c r="A105" s="0" t="s">
        <v>77</v>
      </c>
      <c r="B105" s="0" t="n">
        <v>2017</v>
      </c>
      <c r="C105" s="0" t="s">
        <v>66</v>
      </c>
      <c r="D105" s="0" t="n">
        <v>2311370.698</v>
      </c>
      <c r="E105" s="0" t="s">
        <v>523</v>
      </c>
      <c r="F105" s="0" t="s">
        <v>524</v>
      </c>
      <c r="G105" s="0" t="s">
        <v>89</v>
      </c>
      <c r="H105" s="0" t="s">
        <v>578</v>
      </c>
    </row>
    <row r="106" customFormat="false" ht="15" hidden="false" customHeight="false" outlineLevel="0" collapsed="false">
      <c r="A106" s="0" t="s">
        <v>77</v>
      </c>
      <c r="B106" s="0" t="n">
        <v>2017</v>
      </c>
      <c r="C106" s="0" t="s">
        <v>73</v>
      </c>
      <c r="D106" s="0" t="n">
        <v>0</v>
      </c>
      <c r="E106" s="0" t="s">
        <v>539</v>
      </c>
      <c r="F106" s="0" t="s">
        <v>524</v>
      </c>
      <c r="G106" s="0" t="s">
        <v>89</v>
      </c>
      <c r="H106" s="0" t="s">
        <v>579</v>
      </c>
    </row>
    <row r="107" customFormat="false" ht="15" hidden="false" customHeight="false" outlineLevel="0" collapsed="false">
      <c r="A107" s="0" t="s">
        <v>77</v>
      </c>
      <c r="B107" s="0" t="n">
        <v>2017</v>
      </c>
      <c r="C107" s="0" t="s">
        <v>541</v>
      </c>
      <c r="D107" s="0" t="n">
        <v>67043.501</v>
      </c>
      <c r="E107" s="0" t="s">
        <v>523</v>
      </c>
      <c r="F107" s="0" t="s">
        <v>524</v>
      </c>
      <c r="G107" s="0" t="s">
        <v>89</v>
      </c>
      <c r="H107" s="0" t="s">
        <v>580</v>
      </c>
    </row>
    <row r="108" customFormat="false" ht="15" hidden="false" customHeight="false" outlineLevel="0" collapsed="false">
      <c r="A108" s="0" t="s">
        <v>77</v>
      </c>
      <c r="B108" s="0" t="n">
        <v>2017</v>
      </c>
      <c r="C108" s="0" t="s">
        <v>543</v>
      </c>
      <c r="D108" s="0" t="n">
        <v>36016.759</v>
      </c>
      <c r="E108" s="0" t="s">
        <v>523</v>
      </c>
      <c r="F108" s="0" t="s">
        <v>524</v>
      </c>
      <c r="G108" s="0" t="s">
        <v>89</v>
      </c>
      <c r="H108" s="0" t="s">
        <v>581</v>
      </c>
    </row>
    <row r="109" customFormat="false" ht="15" hidden="false" customHeight="false" outlineLevel="0" collapsed="false">
      <c r="A109" s="0" t="s">
        <v>77</v>
      </c>
      <c r="B109" s="0" t="n">
        <v>2017</v>
      </c>
      <c r="C109" s="0" t="s">
        <v>545</v>
      </c>
      <c r="D109" s="0" t="n">
        <v>20272.643</v>
      </c>
      <c r="E109" s="0" t="s">
        <v>523</v>
      </c>
      <c r="F109" s="0" t="s">
        <v>524</v>
      </c>
      <c r="G109" s="0" t="s">
        <v>89</v>
      </c>
      <c r="H109" s="0" t="s">
        <v>582</v>
      </c>
    </row>
    <row r="110" customFormat="false" ht="15" hidden="false" customHeight="false" outlineLevel="0" collapsed="false">
      <c r="A110" s="0" t="s">
        <v>77</v>
      </c>
      <c r="B110" s="0" t="n">
        <v>2017</v>
      </c>
      <c r="C110" s="0" t="s">
        <v>19</v>
      </c>
      <c r="D110" s="0" t="n">
        <v>3297322.247</v>
      </c>
      <c r="E110" s="0" t="s">
        <v>522</v>
      </c>
    </row>
    <row r="111" customFormat="false" ht="15" hidden="false" customHeight="false" outlineLevel="0" collapsed="false">
      <c r="A111" s="0" t="s">
        <v>77</v>
      </c>
      <c r="B111" s="0" t="n">
        <v>2017</v>
      </c>
      <c r="C111" s="0" t="s">
        <v>41</v>
      </c>
      <c r="D111" s="0" t="n">
        <v>1.61460779420144</v>
      </c>
      <c r="E111" s="0" t="s">
        <v>522</v>
      </c>
    </row>
    <row r="112" customFormat="false" ht="15" hidden="false" customHeight="false" outlineLevel="0" collapsed="false">
      <c r="A112" s="0" t="s">
        <v>77</v>
      </c>
      <c r="B112" s="0" t="n">
        <v>2017</v>
      </c>
      <c r="C112" s="0" t="s">
        <v>27</v>
      </c>
      <c r="D112" s="0" t="n">
        <v>13.4152426281116</v>
      </c>
      <c r="E112" s="0" t="s">
        <v>522</v>
      </c>
    </row>
    <row r="113" customFormat="false" ht="15" hidden="false" customHeight="false" outlineLevel="0" collapsed="false">
      <c r="A113" s="0" t="s">
        <v>77</v>
      </c>
      <c r="B113" s="0" t="n">
        <v>2017</v>
      </c>
      <c r="C113" s="0" t="s">
        <v>39</v>
      </c>
      <c r="D113" s="0" t="n">
        <v>3.16501312830283</v>
      </c>
      <c r="E113" s="0" t="s">
        <v>522</v>
      </c>
    </row>
    <row r="114" customFormat="false" ht="15" hidden="false" customHeight="false" outlineLevel="0" collapsed="false">
      <c r="A114" s="0" t="s">
        <v>77</v>
      </c>
      <c r="B114" s="0" t="n">
        <v>2017</v>
      </c>
      <c r="C114" s="0" t="s">
        <v>17</v>
      </c>
      <c r="D114" s="0" t="n">
        <v>3.08000985394754</v>
      </c>
      <c r="E114" s="0" t="s">
        <v>522</v>
      </c>
    </row>
    <row r="115" customFormat="false" ht="15" hidden="false" customHeight="false" outlineLevel="0" collapsed="false">
      <c r="A115" s="0" t="s">
        <v>77</v>
      </c>
      <c r="B115" s="0" t="n">
        <v>2017</v>
      </c>
      <c r="C115" s="0" t="s">
        <v>25</v>
      </c>
      <c r="D115" s="0" t="n">
        <v>18.1752021587668</v>
      </c>
      <c r="E115" s="0" t="s">
        <v>522</v>
      </c>
    </row>
    <row r="116" customFormat="false" ht="15" hidden="false" customHeight="false" outlineLevel="0" collapsed="false">
      <c r="A116" s="0" t="s">
        <v>77</v>
      </c>
      <c r="B116" s="0" t="n">
        <v>2017</v>
      </c>
      <c r="C116" s="0" t="s">
        <v>29</v>
      </c>
      <c r="D116" s="0" t="n">
        <v>0.884046108217703</v>
      </c>
      <c r="E116" s="0" t="s">
        <v>522</v>
      </c>
    </row>
    <row r="117" customFormat="false" ht="15" hidden="false" customHeight="false" outlineLevel="0" collapsed="false">
      <c r="A117" s="0" t="s">
        <v>77</v>
      </c>
      <c r="B117" s="0" t="n">
        <v>2017</v>
      </c>
      <c r="C117" s="0" t="s">
        <v>43</v>
      </c>
      <c r="D117" s="0" t="n">
        <v>1.52124655595939</v>
      </c>
      <c r="E117" s="0" t="s">
        <v>522</v>
      </c>
    </row>
    <row r="118" customFormat="false" ht="15" hidden="false" customHeight="false" outlineLevel="0" collapsed="false">
      <c r="A118" s="0" t="s">
        <v>77</v>
      </c>
      <c r="B118" s="0" t="n">
        <v>2017</v>
      </c>
      <c r="C118" s="0" t="s">
        <v>31</v>
      </c>
      <c r="D118" s="0" t="n">
        <v>86.5847573718884</v>
      </c>
      <c r="E118" s="0" t="s">
        <v>522</v>
      </c>
    </row>
    <row r="119" customFormat="false" ht="15" hidden="false" customHeight="false" outlineLevel="0" collapsed="false">
      <c r="A119" s="0" t="s">
        <v>77</v>
      </c>
      <c r="B119" s="0" t="n">
        <v>2017</v>
      </c>
      <c r="C119" s="0" t="s">
        <v>33</v>
      </c>
      <c r="D119" s="0" t="n">
        <v>15.0681832306688</v>
      </c>
      <c r="E119" s="0" t="s">
        <v>522</v>
      </c>
    </row>
    <row r="120" customFormat="false" ht="15" hidden="false" customHeight="false" outlineLevel="0" collapsed="false">
      <c r="A120" s="0" t="s">
        <v>77</v>
      </c>
      <c r="B120" s="0" t="n">
        <v>2017</v>
      </c>
      <c r="C120" s="0" t="s">
        <v>21</v>
      </c>
      <c r="D120" s="0" t="n">
        <v>-4.07453626394272E-010</v>
      </c>
      <c r="E120" s="0" t="s">
        <v>522</v>
      </c>
    </row>
    <row r="121" customFormat="false" ht="15" hidden="false" customHeight="false" outlineLevel="0" collapsed="false">
      <c r="A121" s="0" t="s">
        <v>77</v>
      </c>
      <c r="B121" s="0" t="n">
        <v>2017</v>
      </c>
      <c r="C121" s="0" t="s">
        <v>35</v>
      </c>
      <c r="D121" s="0" t="n">
        <v>-0.00100000016391277</v>
      </c>
      <c r="E121" s="0" t="s">
        <v>522</v>
      </c>
    </row>
    <row r="122" customFormat="false" ht="15" hidden="false" customHeight="false" outlineLevel="0" collapsed="false">
      <c r="A122" s="0" t="s">
        <v>77</v>
      </c>
      <c r="B122" s="0" t="n">
        <v>2018</v>
      </c>
      <c r="C122" s="0" t="s">
        <v>54</v>
      </c>
      <c r="D122" s="0" t="n">
        <v>73596.295</v>
      </c>
      <c r="E122" s="0" t="s">
        <v>523</v>
      </c>
      <c r="F122" s="0" t="s">
        <v>524</v>
      </c>
      <c r="G122" s="0" t="s">
        <v>92</v>
      </c>
      <c r="H122" s="0" t="s">
        <v>583</v>
      </c>
    </row>
    <row r="123" customFormat="false" ht="15" hidden="false" customHeight="false" outlineLevel="0" collapsed="false">
      <c r="A123" s="0" t="s">
        <v>77</v>
      </c>
      <c r="B123" s="0" t="n">
        <v>2018</v>
      </c>
      <c r="C123" s="0" t="s">
        <v>55</v>
      </c>
      <c r="D123" s="0" t="n">
        <v>3968114.609</v>
      </c>
      <c r="E123" s="0" t="s">
        <v>523</v>
      </c>
      <c r="F123" s="0" t="s">
        <v>524</v>
      </c>
      <c r="G123" s="0" t="s">
        <v>92</v>
      </c>
      <c r="H123" s="0" t="s">
        <v>584</v>
      </c>
    </row>
    <row r="124" customFormat="false" ht="15" hidden="false" customHeight="false" outlineLevel="0" collapsed="false">
      <c r="A124" s="0" t="s">
        <v>77</v>
      </c>
      <c r="B124" s="0" t="n">
        <v>2018</v>
      </c>
      <c r="C124" s="0" t="s">
        <v>56</v>
      </c>
      <c r="D124" s="0" t="n">
        <v>3527314.852</v>
      </c>
      <c r="E124" s="0" t="s">
        <v>523</v>
      </c>
      <c r="F124" s="0" t="s">
        <v>524</v>
      </c>
      <c r="G124" s="0" t="s">
        <v>92</v>
      </c>
      <c r="H124" s="0" t="s">
        <v>585</v>
      </c>
    </row>
    <row r="125" customFormat="false" ht="15" hidden="false" customHeight="false" outlineLevel="0" collapsed="false">
      <c r="A125" s="0" t="s">
        <v>77</v>
      </c>
      <c r="B125" s="0" t="n">
        <v>2018</v>
      </c>
      <c r="C125" s="0" t="s">
        <v>57</v>
      </c>
      <c r="D125" s="0" t="n">
        <v>440799.757</v>
      </c>
      <c r="E125" s="0" t="s">
        <v>523</v>
      </c>
      <c r="F125" s="0" t="s">
        <v>524</v>
      </c>
      <c r="G125" s="0" t="s">
        <v>92</v>
      </c>
      <c r="H125" s="0" t="s">
        <v>586</v>
      </c>
    </row>
    <row r="126" customFormat="false" ht="15" hidden="false" customHeight="false" outlineLevel="0" collapsed="false">
      <c r="A126" s="0" t="s">
        <v>77</v>
      </c>
      <c r="B126" s="0" t="n">
        <v>2018</v>
      </c>
      <c r="C126" s="0" t="s">
        <v>58</v>
      </c>
      <c r="D126" s="0" t="n">
        <v>366002.39</v>
      </c>
      <c r="E126" s="0" t="s">
        <v>523</v>
      </c>
      <c r="F126" s="0" t="s">
        <v>524</v>
      </c>
      <c r="G126" s="0" t="s">
        <v>92</v>
      </c>
      <c r="H126" s="0" t="s">
        <v>587</v>
      </c>
    </row>
    <row r="127" customFormat="false" ht="15" hidden="false" customHeight="false" outlineLevel="0" collapsed="false">
      <c r="A127" s="0" t="s">
        <v>77</v>
      </c>
      <c r="B127" s="0" t="n">
        <v>2018</v>
      </c>
      <c r="C127" s="0" t="s">
        <v>62</v>
      </c>
      <c r="D127" s="0" t="n">
        <v>1681761.862</v>
      </c>
      <c r="E127" s="0" t="s">
        <v>523</v>
      </c>
      <c r="F127" s="0" t="s">
        <v>524</v>
      </c>
      <c r="G127" s="0" t="s">
        <v>92</v>
      </c>
      <c r="H127" s="0" t="s">
        <v>588</v>
      </c>
    </row>
    <row r="128" customFormat="false" ht="15" hidden="false" customHeight="false" outlineLevel="0" collapsed="false">
      <c r="A128" s="0" t="s">
        <v>77</v>
      </c>
      <c r="B128" s="0" t="n">
        <v>2018</v>
      </c>
      <c r="C128" s="0" t="s">
        <v>63</v>
      </c>
      <c r="D128" s="0" t="n">
        <v>10702.144</v>
      </c>
      <c r="E128" s="0" t="s">
        <v>523</v>
      </c>
      <c r="F128" s="0" t="s">
        <v>524</v>
      </c>
      <c r="G128" s="0" t="s">
        <v>92</v>
      </c>
      <c r="H128" s="0" t="s">
        <v>589</v>
      </c>
    </row>
    <row r="129" customFormat="false" ht="15" hidden="false" customHeight="false" outlineLevel="0" collapsed="false">
      <c r="A129" s="0" t="s">
        <v>77</v>
      </c>
      <c r="B129" s="0" t="n">
        <v>2018</v>
      </c>
      <c r="C129" s="0" t="s">
        <v>541</v>
      </c>
      <c r="D129" s="0" t="n">
        <v>75248.146</v>
      </c>
      <c r="E129" s="0" t="s">
        <v>523</v>
      </c>
      <c r="F129" s="0" t="s">
        <v>524</v>
      </c>
      <c r="G129" s="0" t="s">
        <v>92</v>
      </c>
      <c r="H129" s="0" t="s">
        <v>590</v>
      </c>
    </row>
    <row r="130" customFormat="false" ht="15" hidden="false" customHeight="false" outlineLevel="0" collapsed="false">
      <c r="A130" s="0" t="s">
        <v>77</v>
      </c>
      <c r="B130" s="0" t="n">
        <v>2018</v>
      </c>
      <c r="C130" s="0" t="s">
        <v>27</v>
      </c>
      <c r="D130" s="0" t="n">
        <v>11.1085439921577</v>
      </c>
      <c r="E130" s="0" t="s">
        <v>522</v>
      </c>
    </row>
    <row r="131" customFormat="false" ht="15" hidden="false" customHeight="false" outlineLevel="0" collapsed="false">
      <c r="A131" s="0" t="s">
        <v>77</v>
      </c>
      <c r="B131" s="0" t="n">
        <v>2018</v>
      </c>
      <c r="C131" s="0" t="s">
        <v>43</v>
      </c>
      <c r="D131" s="0" t="n">
        <v>1.85469176805221</v>
      </c>
      <c r="E131" s="0" t="s">
        <v>522</v>
      </c>
    </row>
    <row r="132" customFormat="false" ht="15" hidden="false" customHeight="false" outlineLevel="0" collapsed="false">
      <c r="A132" s="0" t="s">
        <v>77</v>
      </c>
      <c r="B132" s="0" t="n">
        <v>2018</v>
      </c>
      <c r="C132" s="0" t="s">
        <v>31</v>
      </c>
      <c r="D132" s="0" t="n">
        <v>88.8914560078423</v>
      </c>
      <c r="E132" s="0" t="s">
        <v>522</v>
      </c>
    </row>
    <row r="133" customFormat="false" ht="15" hidden="false" customHeight="false" outlineLevel="0" collapsed="false">
      <c r="A133" s="0" t="s">
        <v>77</v>
      </c>
      <c r="B133" s="0" t="n">
        <v>2018</v>
      </c>
      <c r="C133" s="0" t="s">
        <v>33</v>
      </c>
      <c r="D133" s="0" t="n">
        <v>15.1938016302863</v>
      </c>
      <c r="E133" s="0" t="s">
        <v>522</v>
      </c>
    </row>
    <row r="134" customFormat="false" ht="15" hidden="false" customHeight="false" outlineLevel="0" collapsed="false">
      <c r="A134" s="0" t="s">
        <v>77</v>
      </c>
      <c r="B134" s="0" t="n">
        <v>2018</v>
      </c>
      <c r="C134" s="0" t="s">
        <v>21</v>
      </c>
      <c r="D134" s="0" t="n">
        <v>2.3283064365387E-010</v>
      </c>
      <c r="E134" s="0" t="s">
        <v>522</v>
      </c>
    </row>
    <row r="135" customFormat="false" ht="15" hidden="false" customHeight="false" outlineLevel="0" collapsed="false">
      <c r="A135" s="0" t="s">
        <v>77</v>
      </c>
      <c r="B135" s="0" t="n">
        <v>2019</v>
      </c>
      <c r="C135" s="0" t="s">
        <v>54</v>
      </c>
      <c r="D135" s="0" t="n">
        <v>73569.054</v>
      </c>
      <c r="E135" s="0" t="s">
        <v>523</v>
      </c>
      <c r="F135" s="0" t="s">
        <v>524</v>
      </c>
      <c r="G135" s="0" t="s">
        <v>93</v>
      </c>
      <c r="H135" s="0" t="s">
        <v>591</v>
      </c>
    </row>
    <row r="136" customFormat="false" ht="15" hidden="false" customHeight="false" outlineLevel="0" collapsed="false">
      <c r="A136" s="0" t="s">
        <v>77</v>
      </c>
      <c r="B136" s="0" t="n">
        <v>2019</v>
      </c>
      <c r="C136" s="0" t="s">
        <v>55</v>
      </c>
      <c r="D136" s="0" t="n">
        <v>6311041.282</v>
      </c>
      <c r="E136" s="0" t="s">
        <v>523</v>
      </c>
      <c r="F136" s="0" t="s">
        <v>524</v>
      </c>
      <c r="G136" s="0" t="s">
        <v>93</v>
      </c>
      <c r="H136" s="0" t="s">
        <v>592</v>
      </c>
    </row>
    <row r="137" customFormat="false" ht="15" hidden="false" customHeight="false" outlineLevel="0" collapsed="false">
      <c r="A137" s="0" t="s">
        <v>77</v>
      </c>
      <c r="B137" s="0" t="n">
        <v>2019</v>
      </c>
      <c r="C137" s="0" t="s">
        <v>56</v>
      </c>
      <c r="D137" s="0" t="n">
        <v>5768100.182</v>
      </c>
      <c r="E137" s="0" t="s">
        <v>523</v>
      </c>
      <c r="F137" s="0" t="s">
        <v>524</v>
      </c>
      <c r="G137" s="0" t="s">
        <v>93</v>
      </c>
      <c r="H137" s="0" t="s">
        <v>593</v>
      </c>
    </row>
    <row r="138" customFormat="false" ht="15" hidden="false" customHeight="false" outlineLevel="0" collapsed="false">
      <c r="A138" s="0" t="s">
        <v>77</v>
      </c>
      <c r="B138" s="0" t="n">
        <v>2019</v>
      </c>
      <c r="C138" s="0" t="s">
        <v>57</v>
      </c>
      <c r="D138" s="0" t="n">
        <v>542941.1</v>
      </c>
      <c r="E138" s="0" t="s">
        <v>523</v>
      </c>
      <c r="F138" s="0" t="s">
        <v>524</v>
      </c>
      <c r="G138" s="0" t="s">
        <v>93</v>
      </c>
      <c r="H138" s="0" t="s">
        <v>594</v>
      </c>
    </row>
    <row r="139" customFormat="false" ht="15" hidden="false" customHeight="false" outlineLevel="0" collapsed="false">
      <c r="A139" s="0" t="s">
        <v>77</v>
      </c>
      <c r="B139" s="0" t="n">
        <v>2019</v>
      </c>
      <c r="C139" s="0" t="s">
        <v>58</v>
      </c>
      <c r="D139" s="0" t="n">
        <v>1094573.265</v>
      </c>
      <c r="E139" s="0" t="s">
        <v>523</v>
      </c>
      <c r="F139" s="0" t="s">
        <v>524</v>
      </c>
      <c r="G139" s="0" t="s">
        <v>93</v>
      </c>
      <c r="H139" s="0" t="s">
        <v>595</v>
      </c>
    </row>
    <row r="140" customFormat="false" ht="15" hidden="false" customHeight="false" outlineLevel="0" collapsed="false">
      <c r="A140" s="0" t="s">
        <v>77</v>
      </c>
      <c r="B140" s="0" t="n">
        <v>2019</v>
      </c>
      <c r="C140" s="0" t="s">
        <v>59</v>
      </c>
      <c r="D140" s="0" t="n">
        <v>3968114.609</v>
      </c>
      <c r="E140" s="0" t="s">
        <v>523</v>
      </c>
      <c r="F140" s="0" t="s">
        <v>524</v>
      </c>
      <c r="G140" s="0" t="s">
        <v>93</v>
      </c>
      <c r="H140" s="0" t="s">
        <v>596</v>
      </c>
    </row>
    <row r="141" customFormat="false" ht="15" hidden="false" customHeight="false" outlineLevel="0" collapsed="false">
      <c r="A141" s="0" t="s">
        <v>77</v>
      </c>
      <c r="B141" s="0" t="n">
        <v>2019</v>
      </c>
      <c r="C141" s="0" t="s">
        <v>60</v>
      </c>
      <c r="D141" s="0" t="n">
        <v>2662623.089</v>
      </c>
      <c r="E141" s="0" t="s">
        <v>523</v>
      </c>
      <c r="F141" s="0" t="s">
        <v>524</v>
      </c>
      <c r="G141" s="0" t="s">
        <v>93</v>
      </c>
      <c r="H141" s="0" t="s">
        <v>597</v>
      </c>
    </row>
    <row r="142" customFormat="false" ht="15" hidden="false" customHeight="false" outlineLevel="0" collapsed="false">
      <c r="A142" s="0" t="s">
        <v>77</v>
      </c>
      <c r="B142" s="0" t="n">
        <v>2019</v>
      </c>
      <c r="C142" s="0" t="s">
        <v>61</v>
      </c>
      <c r="D142" s="0" t="n">
        <v>180999.419</v>
      </c>
      <c r="E142" s="0" t="s">
        <v>523</v>
      </c>
      <c r="F142" s="0" t="s">
        <v>524</v>
      </c>
      <c r="G142" s="0" t="s">
        <v>93</v>
      </c>
      <c r="H142" s="0" t="s">
        <v>598</v>
      </c>
    </row>
    <row r="143" customFormat="false" ht="15" hidden="false" customHeight="false" outlineLevel="0" collapsed="false">
      <c r="A143" s="0" t="s">
        <v>77</v>
      </c>
      <c r="B143" s="0" t="n">
        <v>2019</v>
      </c>
      <c r="C143" s="0" t="s">
        <v>62</v>
      </c>
      <c r="D143" s="0" t="n">
        <v>2481623.671</v>
      </c>
      <c r="E143" s="0" t="s">
        <v>523</v>
      </c>
      <c r="F143" s="0" t="s">
        <v>524</v>
      </c>
      <c r="G143" s="0" t="s">
        <v>93</v>
      </c>
      <c r="H143" s="0" t="s">
        <v>599</v>
      </c>
    </row>
    <row r="144" customFormat="false" ht="15" hidden="false" customHeight="false" outlineLevel="0" collapsed="false">
      <c r="A144" s="0" t="s">
        <v>77</v>
      </c>
      <c r="B144" s="0" t="n">
        <v>2019</v>
      </c>
      <c r="C144" s="0" t="s">
        <v>63</v>
      </c>
      <c r="D144" s="0" t="n">
        <v>21055.479</v>
      </c>
      <c r="E144" s="0" t="s">
        <v>523</v>
      </c>
      <c r="F144" s="0" t="s">
        <v>524</v>
      </c>
      <c r="G144" s="0" t="s">
        <v>93</v>
      </c>
      <c r="H144" s="0" t="s">
        <v>600</v>
      </c>
    </row>
    <row r="145" customFormat="false" ht="15" hidden="false" customHeight="false" outlineLevel="0" collapsed="false">
      <c r="A145" s="0" t="s">
        <v>77</v>
      </c>
      <c r="B145" s="0" t="n">
        <v>2019</v>
      </c>
      <c r="C145" s="0" t="s">
        <v>73</v>
      </c>
      <c r="D145" s="0" t="n">
        <v>0</v>
      </c>
      <c r="E145" s="0" t="s">
        <v>539</v>
      </c>
      <c r="F145" s="0" t="s">
        <v>524</v>
      </c>
      <c r="G145" s="0" t="s">
        <v>93</v>
      </c>
      <c r="H145" s="0" t="s">
        <v>601</v>
      </c>
    </row>
    <row r="146" customFormat="false" ht="15" hidden="false" customHeight="false" outlineLevel="0" collapsed="false">
      <c r="A146" s="0" t="s">
        <v>77</v>
      </c>
      <c r="B146" s="0" t="n">
        <v>2019</v>
      </c>
      <c r="C146" s="0" t="s">
        <v>541</v>
      </c>
      <c r="D146" s="0" t="n">
        <v>82666.776</v>
      </c>
      <c r="E146" s="0" t="s">
        <v>523</v>
      </c>
      <c r="F146" s="0" t="s">
        <v>524</v>
      </c>
      <c r="G146" s="0" t="s">
        <v>93</v>
      </c>
      <c r="H146" s="0" t="s">
        <v>602</v>
      </c>
    </row>
    <row r="147" customFormat="false" ht="15" hidden="false" customHeight="false" outlineLevel="0" collapsed="false">
      <c r="A147" s="0" t="s">
        <v>77</v>
      </c>
      <c r="B147" s="0" t="n">
        <v>2019</v>
      </c>
      <c r="C147" s="0" t="s">
        <v>19</v>
      </c>
      <c r="D147" s="0" t="n">
        <v>5139577.9455</v>
      </c>
      <c r="E147" s="0" t="s">
        <v>522</v>
      </c>
    </row>
    <row r="148" customFormat="false" ht="15" hidden="false" customHeight="false" outlineLevel="0" collapsed="false">
      <c r="A148" s="0" t="s">
        <v>77</v>
      </c>
      <c r="B148" s="0" t="n">
        <v>2019</v>
      </c>
      <c r="C148" s="0" t="s">
        <v>41</v>
      </c>
      <c r="D148" s="0" t="n">
        <v>1.43142208913115</v>
      </c>
      <c r="E148" s="0" t="s">
        <v>522</v>
      </c>
    </row>
    <row r="149" customFormat="false" ht="15" hidden="false" customHeight="false" outlineLevel="0" collapsed="false">
      <c r="A149" s="0" t="s">
        <v>77</v>
      </c>
      <c r="B149" s="0" t="n">
        <v>2019</v>
      </c>
      <c r="C149" s="0" t="s">
        <v>27</v>
      </c>
      <c r="D149" s="0" t="n">
        <v>8.60303515282884</v>
      </c>
      <c r="E149" s="0" t="s">
        <v>522</v>
      </c>
    </row>
    <row r="150" customFormat="false" ht="15" hidden="false" customHeight="false" outlineLevel="0" collapsed="false">
      <c r="A150" s="0" t="s">
        <v>77</v>
      </c>
      <c r="B150" s="0" t="n">
        <v>2019</v>
      </c>
      <c r="C150" s="0" t="s">
        <v>39</v>
      </c>
      <c r="D150" s="0" t="n">
        <v>21.2969484383122</v>
      </c>
      <c r="E150" s="0" t="s">
        <v>522</v>
      </c>
    </row>
    <row r="151" customFormat="false" ht="15" hidden="false" customHeight="false" outlineLevel="0" collapsed="false">
      <c r="A151" s="0" t="s">
        <v>77</v>
      </c>
      <c r="B151" s="0" t="n">
        <v>2019</v>
      </c>
      <c r="C151" s="0" t="s">
        <v>17</v>
      </c>
      <c r="D151" s="0" t="n">
        <v>6.79778597833679</v>
      </c>
      <c r="E151" s="0" t="s">
        <v>522</v>
      </c>
    </row>
    <row r="152" customFormat="false" ht="15" hidden="false" customHeight="false" outlineLevel="0" collapsed="false">
      <c r="A152" s="0" t="s">
        <v>77</v>
      </c>
      <c r="B152" s="0" t="n">
        <v>2019</v>
      </c>
      <c r="C152" s="0" t="s">
        <v>29</v>
      </c>
      <c r="D152" s="0" t="n">
        <v>0.409673308261339</v>
      </c>
      <c r="E152" s="0" t="s">
        <v>522</v>
      </c>
    </row>
    <row r="153" customFormat="false" ht="15" hidden="false" customHeight="false" outlineLevel="0" collapsed="false">
      <c r="A153" s="0" t="s">
        <v>77</v>
      </c>
      <c r="B153" s="0" t="n">
        <v>2019</v>
      </c>
      <c r="C153" s="0" t="s">
        <v>43</v>
      </c>
      <c r="D153" s="0" t="n">
        <v>1.16571973962252</v>
      </c>
      <c r="E153" s="0" t="s">
        <v>522</v>
      </c>
    </row>
    <row r="154" customFormat="false" ht="15" hidden="false" customHeight="false" outlineLevel="0" collapsed="false">
      <c r="A154" s="0" t="s">
        <v>77</v>
      </c>
      <c r="B154" s="0" t="n">
        <v>2019</v>
      </c>
      <c r="C154" s="0" t="s">
        <v>31</v>
      </c>
      <c r="D154" s="0" t="n">
        <v>91.3969648471712</v>
      </c>
      <c r="E154" s="0" t="s">
        <v>522</v>
      </c>
    </row>
    <row r="155" customFormat="false" ht="15" hidden="false" customHeight="false" outlineLevel="0" collapsed="false">
      <c r="A155" s="0" t="s">
        <v>77</v>
      </c>
      <c r="B155" s="0" t="n">
        <v>2019</v>
      </c>
      <c r="C155" s="0" t="s">
        <v>33</v>
      </c>
      <c r="D155" s="0" t="n">
        <v>15.6578112418221</v>
      </c>
      <c r="E155" s="0" t="s">
        <v>522</v>
      </c>
    </row>
    <row r="156" customFormat="false" ht="15" hidden="false" customHeight="false" outlineLevel="0" collapsed="false">
      <c r="A156" s="0" t="s">
        <v>77</v>
      </c>
      <c r="B156" s="0" t="n">
        <v>2019</v>
      </c>
      <c r="C156" s="0" t="s">
        <v>21</v>
      </c>
      <c r="D156" s="0" t="n">
        <v>-3.49245965480804E-010</v>
      </c>
      <c r="E156" s="0" t="s">
        <v>522</v>
      </c>
    </row>
    <row r="157" customFormat="false" ht="15" hidden="false" customHeight="false" outlineLevel="0" collapsed="false">
      <c r="A157" s="0" t="s">
        <v>77</v>
      </c>
      <c r="B157" s="0" t="n">
        <v>2019</v>
      </c>
      <c r="C157" s="0" t="s">
        <v>35</v>
      </c>
      <c r="D157" s="0" t="n">
        <v>-0.00100000016391277</v>
      </c>
      <c r="E157" s="0" t="s">
        <v>522</v>
      </c>
    </row>
    <row r="158" customFormat="false" ht="15" hidden="false" customHeight="false" outlineLevel="0" collapsed="false">
      <c r="A158" s="0" t="s">
        <v>77</v>
      </c>
      <c r="B158" s="0" t="n">
        <v>2020</v>
      </c>
      <c r="C158" s="0" t="s">
        <v>54</v>
      </c>
      <c r="D158" s="0" t="n">
        <v>80039.328</v>
      </c>
      <c r="E158" s="0" t="s">
        <v>523</v>
      </c>
      <c r="F158" s="0" t="s">
        <v>524</v>
      </c>
      <c r="G158" s="0" t="s">
        <v>95</v>
      </c>
      <c r="H158" s="0" t="s">
        <v>603</v>
      </c>
    </row>
    <row r="159" customFormat="false" ht="15" hidden="false" customHeight="false" outlineLevel="0" collapsed="false">
      <c r="A159" s="0" t="s">
        <v>77</v>
      </c>
      <c r="B159" s="0" t="n">
        <v>2020</v>
      </c>
      <c r="C159" s="0" t="s">
        <v>55</v>
      </c>
      <c r="D159" s="0" t="n">
        <v>7624979.724</v>
      </c>
      <c r="E159" s="0" t="s">
        <v>523</v>
      </c>
      <c r="F159" s="0" t="s">
        <v>524</v>
      </c>
      <c r="G159" s="0" t="s">
        <v>95</v>
      </c>
      <c r="H159" s="0" t="s">
        <v>604</v>
      </c>
    </row>
    <row r="160" customFormat="false" ht="15" hidden="false" customHeight="false" outlineLevel="0" collapsed="false">
      <c r="A160" s="0" t="s">
        <v>77</v>
      </c>
      <c r="B160" s="0" t="n">
        <v>2020</v>
      </c>
      <c r="C160" s="0" t="s">
        <v>56</v>
      </c>
      <c r="D160" s="0" t="n">
        <v>6971084.063</v>
      </c>
      <c r="E160" s="0" t="s">
        <v>523</v>
      </c>
      <c r="F160" s="0" t="s">
        <v>524</v>
      </c>
      <c r="G160" s="0" t="s">
        <v>95</v>
      </c>
      <c r="H160" s="0" t="s">
        <v>605</v>
      </c>
    </row>
    <row r="161" customFormat="false" ht="15" hidden="false" customHeight="false" outlineLevel="0" collapsed="false">
      <c r="A161" s="0" t="s">
        <v>77</v>
      </c>
      <c r="B161" s="0" t="n">
        <v>2020</v>
      </c>
      <c r="C161" s="0" t="s">
        <v>57</v>
      </c>
      <c r="D161" s="0" t="n">
        <v>653895.661</v>
      </c>
      <c r="E161" s="0" t="s">
        <v>523</v>
      </c>
      <c r="F161" s="0" t="s">
        <v>524</v>
      </c>
      <c r="G161" s="0" t="s">
        <v>95</v>
      </c>
      <c r="H161" s="0" t="s">
        <v>606</v>
      </c>
    </row>
    <row r="162" customFormat="false" ht="15" hidden="false" customHeight="false" outlineLevel="0" collapsed="false">
      <c r="A162" s="0" t="s">
        <v>77</v>
      </c>
      <c r="B162" s="0" t="n">
        <v>2020</v>
      </c>
      <c r="C162" s="0" t="s">
        <v>58</v>
      </c>
      <c r="D162" s="0" t="n">
        <v>-65407.286</v>
      </c>
      <c r="E162" s="0" t="s">
        <v>523</v>
      </c>
      <c r="F162" s="0" t="s">
        <v>524</v>
      </c>
      <c r="G162" s="0" t="s">
        <v>95</v>
      </c>
      <c r="H162" s="0" t="s">
        <v>607</v>
      </c>
    </row>
    <row r="163" customFormat="false" ht="15" hidden="false" customHeight="false" outlineLevel="0" collapsed="false">
      <c r="A163" s="0" t="s">
        <v>77</v>
      </c>
      <c r="B163" s="0" t="n">
        <v>2020</v>
      </c>
      <c r="C163" s="0" t="s">
        <v>59</v>
      </c>
      <c r="D163" s="0" t="n">
        <v>6307588.216</v>
      </c>
      <c r="E163" s="0" t="s">
        <v>523</v>
      </c>
      <c r="F163" s="0" t="s">
        <v>524</v>
      </c>
      <c r="G163" s="0" t="s">
        <v>95</v>
      </c>
      <c r="H163" s="0" t="s">
        <v>608</v>
      </c>
    </row>
    <row r="164" customFormat="false" ht="15" hidden="false" customHeight="false" outlineLevel="0" collapsed="false">
      <c r="A164" s="0" t="s">
        <v>77</v>
      </c>
      <c r="B164" s="0" t="n">
        <v>2020</v>
      </c>
      <c r="C164" s="0" t="s">
        <v>60</v>
      </c>
      <c r="D164" s="0" t="n">
        <v>2937918.27</v>
      </c>
      <c r="E164" s="0" t="s">
        <v>523</v>
      </c>
      <c r="F164" s="0" t="s">
        <v>524</v>
      </c>
      <c r="G164" s="0" t="s">
        <v>95</v>
      </c>
      <c r="H164" s="0" t="s">
        <v>609</v>
      </c>
    </row>
    <row r="165" customFormat="false" ht="15" hidden="false" customHeight="false" outlineLevel="0" collapsed="false">
      <c r="A165" s="0" t="s">
        <v>77</v>
      </c>
      <c r="B165" s="0" t="n">
        <v>2020</v>
      </c>
      <c r="C165" s="0" t="s">
        <v>61</v>
      </c>
      <c r="D165" s="0" t="n">
        <v>119042.539</v>
      </c>
      <c r="E165" s="0" t="s">
        <v>523</v>
      </c>
      <c r="F165" s="0" t="s">
        <v>524</v>
      </c>
      <c r="G165" s="0" t="s">
        <v>95</v>
      </c>
      <c r="H165" s="0" t="s">
        <v>610</v>
      </c>
    </row>
    <row r="166" customFormat="false" ht="15" hidden="false" customHeight="false" outlineLevel="0" collapsed="false">
      <c r="A166" s="0" t="s">
        <v>77</v>
      </c>
      <c r="B166" s="0" t="n">
        <v>2020</v>
      </c>
      <c r="C166" s="0" t="s">
        <v>62</v>
      </c>
      <c r="D166" s="0" t="n">
        <v>2818875.731</v>
      </c>
      <c r="E166" s="0" t="s">
        <v>523</v>
      </c>
      <c r="F166" s="0" t="s">
        <v>524</v>
      </c>
      <c r="G166" s="0" t="s">
        <v>95</v>
      </c>
      <c r="H166" s="0" t="s">
        <v>611</v>
      </c>
    </row>
    <row r="167" customFormat="false" ht="15" hidden="false" customHeight="false" outlineLevel="0" collapsed="false">
      <c r="A167" s="0" t="s">
        <v>77</v>
      </c>
      <c r="B167" s="0" t="n">
        <v>2020</v>
      </c>
      <c r="C167" s="0" t="s">
        <v>63</v>
      </c>
      <c r="D167" s="0" t="n">
        <v>39650.58</v>
      </c>
      <c r="E167" s="0" t="s">
        <v>523</v>
      </c>
      <c r="F167" s="0" t="s">
        <v>524</v>
      </c>
      <c r="G167" s="0" t="s">
        <v>95</v>
      </c>
      <c r="H167" s="0" t="s">
        <v>612</v>
      </c>
    </row>
    <row r="168" customFormat="false" ht="15" hidden="false" customHeight="false" outlineLevel="0" collapsed="false">
      <c r="A168" s="0" t="s">
        <v>77</v>
      </c>
      <c r="B168" s="0" t="n">
        <v>2020</v>
      </c>
      <c r="C168" s="0" t="s">
        <v>69</v>
      </c>
      <c r="D168" s="0" t="n">
        <v>15.87</v>
      </c>
      <c r="E168" s="0" t="s">
        <v>523</v>
      </c>
      <c r="F168" s="0" t="s">
        <v>524</v>
      </c>
      <c r="G168" s="0" t="s">
        <v>95</v>
      </c>
      <c r="H168" s="0" t="s">
        <v>613</v>
      </c>
    </row>
    <row r="169" customFormat="false" ht="15" hidden="false" customHeight="false" outlineLevel="0" collapsed="false">
      <c r="A169" s="0" t="s">
        <v>77</v>
      </c>
      <c r="B169" s="0" t="n">
        <v>2020</v>
      </c>
      <c r="C169" s="0" t="s">
        <v>614</v>
      </c>
      <c r="D169" s="0" t="n">
        <v>17.22</v>
      </c>
      <c r="E169" s="0" t="s">
        <v>523</v>
      </c>
      <c r="F169" s="0" t="s">
        <v>524</v>
      </c>
      <c r="G169" s="0" t="s">
        <v>95</v>
      </c>
      <c r="H169" s="0" t="s">
        <v>615</v>
      </c>
    </row>
    <row r="170" customFormat="false" ht="15" hidden="false" customHeight="false" outlineLevel="0" collapsed="false">
      <c r="A170" s="0" t="s">
        <v>77</v>
      </c>
      <c r="B170" s="0" t="n">
        <v>2020</v>
      </c>
      <c r="C170" s="0" t="s">
        <v>70</v>
      </c>
      <c r="D170" s="0" t="n">
        <v>16</v>
      </c>
      <c r="E170" s="0" t="s">
        <v>523</v>
      </c>
      <c r="F170" s="0" t="s">
        <v>524</v>
      </c>
      <c r="G170" s="0" t="s">
        <v>95</v>
      </c>
      <c r="H170" s="0" t="s">
        <v>616</v>
      </c>
    </row>
    <row r="171" customFormat="false" ht="15" hidden="false" customHeight="false" outlineLevel="0" collapsed="false">
      <c r="A171" s="0" t="s">
        <v>77</v>
      </c>
      <c r="B171" s="0" t="n">
        <v>2020</v>
      </c>
      <c r="C171" s="0" t="s">
        <v>65</v>
      </c>
      <c r="D171" s="0" t="n">
        <v>488756.274</v>
      </c>
      <c r="E171" s="0" t="s">
        <v>523</v>
      </c>
      <c r="F171" s="0" t="s">
        <v>524</v>
      </c>
      <c r="G171" s="0" t="s">
        <v>95</v>
      </c>
      <c r="H171" s="0" t="s">
        <v>617</v>
      </c>
    </row>
    <row r="172" customFormat="false" ht="15" hidden="false" customHeight="false" outlineLevel="0" collapsed="false">
      <c r="A172" s="0" t="s">
        <v>77</v>
      </c>
      <c r="B172" s="0" t="n">
        <v>2020</v>
      </c>
      <c r="C172" s="0" t="s">
        <v>66</v>
      </c>
      <c r="D172" s="0" t="n">
        <v>3078989.123</v>
      </c>
      <c r="E172" s="0" t="s">
        <v>523</v>
      </c>
      <c r="F172" s="0" t="s">
        <v>524</v>
      </c>
      <c r="G172" s="0" t="s">
        <v>95</v>
      </c>
      <c r="H172" s="0" t="s">
        <v>618</v>
      </c>
    </row>
    <row r="173" customFormat="false" ht="15" hidden="false" customHeight="false" outlineLevel="0" collapsed="false">
      <c r="A173" s="0" t="s">
        <v>77</v>
      </c>
      <c r="B173" s="0" t="n">
        <v>2020</v>
      </c>
      <c r="C173" s="0" t="s">
        <v>619</v>
      </c>
      <c r="D173" s="0" t="n">
        <v>541590.876</v>
      </c>
      <c r="E173" s="0" t="s">
        <v>523</v>
      </c>
      <c r="F173" s="0" t="s">
        <v>524</v>
      </c>
      <c r="G173" s="0" t="s">
        <v>95</v>
      </c>
      <c r="H173" s="0" t="s">
        <v>620</v>
      </c>
    </row>
    <row r="174" customFormat="false" ht="15" hidden="false" customHeight="false" outlineLevel="0" collapsed="false">
      <c r="A174" s="0" t="s">
        <v>77</v>
      </c>
      <c r="B174" s="0" t="n">
        <v>2020</v>
      </c>
      <c r="C174" s="0" t="s">
        <v>73</v>
      </c>
      <c r="D174" s="0" t="n">
        <v>0</v>
      </c>
      <c r="E174" s="0" t="s">
        <v>539</v>
      </c>
      <c r="F174" s="0" t="s">
        <v>524</v>
      </c>
      <c r="G174" s="0" t="s">
        <v>95</v>
      </c>
      <c r="H174" s="0" t="s">
        <v>621</v>
      </c>
    </row>
    <row r="175" customFormat="false" ht="15" hidden="false" customHeight="false" outlineLevel="0" collapsed="false">
      <c r="A175" s="0" t="s">
        <v>77</v>
      </c>
      <c r="B175" s="0" t="n">
        <v>2020</v>
      </c>
      <c r="C175" s="0" t="s">
        <v>541</v>
      </c>
      <c r="D175" s="0" t="n">
        <v>90195.877</v>
      </c>
      <c r="E175" s="0" t="s">
        <v>523</v>
      </c>
      <c r="F175" s="0" t="s">
        <v>524</v>
      </c>
      <c r="G175" s="0" t="s">
        <v>95</v>
      </c>
      <c r="H175" s="0" t="s">
        <v>622</v>
      </c>
    </row>
    <row r="176" customFormat="false" ht="15" hidden="false" customHeight="false" outlineLevel="0" collapsed="false">
      <c r="A176" s="0" t="s">
        <v>77</v>
      </c>
      <c r="B176" s="0" t="n">
        <v>2020</v>
      </c>
      <c r="C176" s="0" t="s">
        <v>19</v>
      </c>
      <c r="D176" s="0" t="n">
        <v>6966283.97</v>
      </c>
      <c r="E176" s="0" t="s">
        <v>522</v>
      </c>
    </row>
    <row r="177" customFormat="false" ht="15" hidden="false" customHeight="false" outlineLevel="0" collapsed="false">
      <c r="A177" s="0" t="s">
        <v>77</v>
      </c>
      <c r="B177" s="0" t="n">
        <v>2020</v>
      </c>
      <c r="C177" s="0" t="s">
        <v>41</v>
      </c>
      <c r="D177" s="0" t="n">
        <v>1.14895299049947</v>
      </c>
      <c r="E177" s="0" t="s">
        <v>522</v>
      </c>
    </row>
    <row r="178" customFormat="false" ht="15" hidden="false" customHeight="false" outlineLevel="0" collapsed="false">
      <c r="A178" s="0" t="s">
        <v>77</v>
      </c>
      <c r="B178" s="0" t="n">
        <v>2020</v>
      </c>
      <c r="C178" s="0" t="s">
        <v>27</v>
      </c>
      <c r="D178" s="0" t="n">
        <v>8.57570360406115</v>
      </c>
      <c r="E178" s="0" t="s">
        <v>522</v>
      </c>
    </row>
    <row r="179" customFormat="false" ht="15" hidden="false" customHeight="false" outlineLevel="0" collapsed="false">
      <c r="A179" s="0" t="s">
        <v>77</v>
      </c>
      <c r="B179" s="0" t="n">
        <v>2020</v>
      </c>
      <c r="C179" s="0" t="s">
        <v>39</v>
      </c>
      <c r="D179" s="0" t="n">
        <v>-0.938912141418203</v>
      </c>
      <c r="E179" s="0" t="s">
        <v>522</v>
      </c>
    </row>
    <row r="180" customFormat="false" ht="15" hidden="false" customHeight="false" outlineLevel="0" collapsed="false">
      <c r="A180" s="0" t="s">
        <v>77</v>
      </c>
      <c r="B180" s="0" t="n">
        <v>2020</v>
      </c>
      <c r="C180" s="0" t="s">
        <v>17</v>
      </c>
      <c r="D180" s="0" t="n">
        <v>4.05193501179323</v>
      </c>
      <c r="E180" s="0" t="s">
        <v>522</v>
      </c>
    </row>
    <row r="181" customFormat="false" ht="15" hidden="false" customHeight="false" outlineLevel="0" collapsed="false">
      <c r="A181" s="0" t="s">
        <v>77</v>
      </c>
      <c r="B181" s="0" t="n">
        <v>2020</v>
      </c>
      <c r="C181" s="0" t="s">
        <v>25</v>
      </c>
      <c r="D181" s="0" t="n">
        <v>15.873920123621</v>
      </c>
      <c r="E181" s="0" t="s">
        <v>522</v>
      </c>
    </row>
    <row r="182" customFormat="false" ht="15" hidden="false" customHeight="false" outlineLevel="0" collapsed="false">
      <c r="A182" s="0" t="s">
        <v>77</v>
      </c>
      <c r="B182" s="0" t="n">
        <v>2020</v>
      </c>
      <c r="C182" s="0" t="s">
        <v>29</v>
      </c>
      <c r="D182" s="0" t="n">
        <v>0.569178347749726</v>
      </c>
      <c r="E182" s="0" t="s">
        <v>522</v>
      </c>
    </row>
    <row r="183" customFormat="false" ht="15" hidden="false" customHeight="false" outlineLevel="0" collapsed="false">
      <c r="A183" s="0" t="s">
        <v>77</v>
      </c>
      <c r="B183" s="0" t="n">
        <v>2020</v>
      </c>
      <c r="C183" s="0" t="s">
        <v>43</v>
      </c>
      <c r="D183" s="0" t="n">
        <v>1.04969889622227</v>
      </c>
      <c r="E183" s="0" t="s">
        <v>522</v>
      </c>
    </row>
    <row r="184" customFormat="false" ht="15" hidden="false" customHeight="false" outlineLevel="0" collapsed="false">
      <c r="A184" s="0" t="s">
        <v>77</v>
      </c>
      <c r="B184" s="0" t="n">
        <v>2020</v>
      </c>
      <c r="C184" s="0" t="s">
        <v>31</v>
      </c>
      <c r="D184" s="0" t="n">
        <v>91.4242963959388</v>
      </c>
      <c r="E184" s="0" t="s">
        <v>522</v>
      </c>
    </row>
    <row r="185" customFormat="false" ht="15" hidden="false" customHeight="false" outlineLevel="0" collapsed="false">
      <c r="A185" s="0" t="s">
        <v>77</v>
      </c>
      <c r="B185" s="0" t="n">
        <v>2020</v>
      </c>
      <c r="C185" s="0" t="s">
        <v>33</v>
      </c>
      <c r="D185" s="0" t="n">
        <v>15.8469402213067</v>
      </c>
      <c r="E185" s="0" t="s">
        <v>522</v>
      </c>
    </row>
    <row r="186" customFormat="false" ht="15" hidden="false" customHeight="false" outlineLevel="0" collapsed="false">
      <c r="A186" s="0" t="s">
        <v>77</v>
      </c>
      <c r="B186" s="0" t="n">
        <v>2020</v>
      </c>
      <c r="C186" s="0" t="s">
        <v>21</v>
      </c>
      <c r="D186" s="0" t="n">
        <v>3.49245965480804E-010</v>
      </c>
      <c r="E186" s="0" t="s">
        <v>522</v>
      </c>
    </row>
    <row r="187" customFormat="false" ht="15" hidden="false" customHeight="false" outlineLevel="0" collapsed="false">
      <c r="A187" s="0" t="s">
        <v>77</v>
      </c>
      <c r="B187" s="0" t="n">
        <v>2020</v>
      </c>
      <c r="C187" s="0" t="s">
        <v>35</v>
      </c>
      <c r="D187" s="0" t="n">
        <v>0</v>
      </c>
      <c r="E187" s="0" t="s">
        <v>522</v>
      </c>
    </row>
    <row r="188" customFormat="false" ht="15" hidden="false" customHeight="false" outlineLevel="0" collapsed="false">
      <c r="A188" s="0" t="s">
        <v>77</v>
      </c>
      <c r="B188" s="0" t="n">
        <v>2021</v>
      </c>
      <c r="C188" s="0" t="s">
        <v>54</v>
      </c>
      <c r="D188" s="0" t="n">
        <v>111326.487</v>
      </c>
      <c r="E188" s="0" t="s">
        <v>523</v>
      </c>
      <c r="F188" s="0" t="s">
        <v>524</v>
      </c>
      <c r="G188" s="0" t="s">
        <v>97</v>
      </c>
      <c r="H188" s="0" t="s">
        <v>623</v>
      </c>
    </row>
    <row r="189" customFormat="false" ht="15" hidden="false" customHeight="false" outlineLevel="0" collapsed="false">
      <c r="A189" s="0" t="s">
        <v>77</v>
      </c>
      <c r="B189" s="0" t="n">
        <v>2021</v>
      </c>
      <c r="C189" s="0" t="s">
        <v>55</v>
      </c>
      <c r="D189" s="0" t="n">
        <v>9660760.556</v>
      </c>
      <c r="E189" s="0" t="s">
        <v>523</v>
      </c>
      <c r="F189" s="0" t="s">
        <v>524</v>
      </c>
      <c r="G189" s="0" t="s">
        <v>97</v>
      </c>
      <c r="H189" s="0" t="s">
        <v>624</v>
      </c>
    </row>
    <row r="190" customFormat="false" ht="15" hidden="false" customHeight="false" outlineLevel="0" collapsed="false">
      <c r="A190" s="0" t="s">
        <v>77</v>
      </c>
      <c r="B190" s="0" t="n">
        <v>2021</v>
      </c>
      <c r="C190" s="0" t="s">
        <v>56</v>
      </c>
      <c r="D190" s="0" t="n">
        <v>8789310.442</v>
      </c>
      <c r="E190" s="0" t="s">
        <v>523</v>
      </c>
      <c r="F190" s="0" t="s">
        <v>524</v>
      </c>
      <c r="G190" s="0" t="s">
        <v>97</v>
      </c>
      <c r="H190" s="0" t="s">
        <v>625</v>
      </c>
    </row>
    <row r="191" customFormat="false" ht="15" hidden="false" customHeight="false" outlineLevel="0" collapsed="false">
      <c r="A191" s="0" t="s">
        <v>77</v>
      </c>
      <c r="B191" s="0" t="n">
        <v>2021</v>
      </c>
      <c r="C191" s="0" t="s">
        <v>57</v>
      </c>
      <c r="D191" s="0" t="n">
        <v>871450.114</v>
      </c>
      <c r="E191" s="0" t="s">
        <v>523</v>
      </c>
      <c r="F191" s="0" t="s">
        <v>524</v>
      </c>
      <c r="G191" s="0" t="s">
        <v>97</v>
      </c>
      <c r="H191" s="0" t="s">
        <v>626</v>
      </c>
    </row>
    <row r="192" customFormat="false" ht="15" hidden="false" customHeight="false" outlineLevel="0" collapsed="false">
      <c r="A192" s="0" t="s">
        <v>77</v>
      </c>
      <c r="B192" s="0" t="n">
        <v>2021</v>
      </c>
      <c r="C192" s="0" t="s">
        <v>58</v>
      </c>
      <c r="D192" s="0" t="n">
        <v>500834.811</v>
      </c>
      <c r="E192" s="0" t="s">
        <v>523</v>
      </c>
      <c r="F192" s="0" t="s">
        <v>524</v>
      </c>
      <c r="G192" s="0" t="s">
        <v>97</v>
      </c>
      <c r="H192" s="0" t="s">
        <v>627</v>
      </c>
    </row>
    <row r="193" customFormat="false" ht="15" hidden="false" customHeight="false" outlineLevel="0" collapsed="false">
      <c r="A193" s="0" t="s">
        <v>77</v>
      </c>
      <c r="B193" s="0" t="n">
        <v>2021</v>
      </c>
      <c r="C193" s="0" t="s">
        <v>59</v>
      </c>
      <c r="D193" s="0" t="n">
        <v>7624979.724</v>
      </c>
      <c r="E193" s="0" t="s">
        <v>523</v>
      </c>
      <c r="F193" s="0" t="s">
        <v>524</v>
      </c>
      <c r="G193" s="0" t="s">
        <v>97</v>
      </c>
      <c r="H193" s="0" t="s">
        <v>628</v>
      </c>
    </row>
    <row r="194" customFormat="false" ht="15" hidden="false" customHeight="false" outlineLevel="0" collapsed="false">
      <c r="A194" s="0" t="s">
        <v>77</v>
      </c>
      <c r="B194" s="0" t="n">
        <v>2021</v>
      </c>
      <c r="C194" s="0" t="s">
        <v>60</v>
      </c>
      <c r="D194" s="0" t="n">
        <v>3343722.232</v>
      </c>
      <c r="E194" s="0" t="s">
        <v>523</v>
      </c>
      <c r="F194" s="0" t="s">
        <v>524</v>
      </c>
      <c r="G194" s="0" t="s">
        <v>97</v>
      </c>
      <c r="H194" s="0" t="s">
        <v>629</v>
      </c>
    </row>
    <row r="195" customFormat="false" ht="15" hidden="false" customHeight="false" outlineLevel="0" collapsed="false">
      <c r="A195" s="0" t="s">
        <v>77</v>
      </c>
      <c r="B195" s="0" t="n">
        <v>2021</v>
      </c>
      <c r="C195" s="0" t="s">
        <v>61</v>
      </c>
      <c r="D195" s="0" t="n">
        <v>87649.564</v>
      </c>
      <c r="E195" s="0" t="s">
        <v>523</v>
      </c>
      <c r="F195" s="0" t="s">
        <v>524</v>
      </c>
      <c r="G195" s="0" t="s">
        <v>97</v>
      </c>
      <c r="H195" s="0" t="s">
        <v>630</v>
      </c>
    </row>
    <row r="196" customFormat="false" ht="15" hidden="false" customHeight="false" outlineLevel="0" collapsed="false">
      <c r="A196" s="0" t="s">
        <v>77</v>
      </c>
      <c r="B196" s="0" t="n">
        <v>2021</v>
      </c>
      <c r="C196" s="0" t="s">
        <v>62</v>
      </c>
      <c r="D196" s="0" t="n">
        <v>3256072.669</v>
      </c>
      <c r="E196" s="0" t="s">
        <v>523</v>
      </c>
      <c r="F196" s="0" t="s">
        <v>524</v>
      </c>
      <c r="G196" s="0" t="s">
        <v>97</v>
      </c>
      <c r="H196" s="0" t="s">
        <v>631</v>
      </c>
    </row>
    <row r="197" customFormat="false" ht="15" hidden="false" customHeight="false" outlineLevel="0" collapsed="false">
      <c r="A197" s="0" t="s">
        <v>77</v>
      </c>
      <c r="B197" s="0" t="n">
        <v>2021</v>
      </c>
      <c r="C197" s="0" t="s">
        <v>63</v>
      </c>
      <c r="D197" s="0" t="n">
        <v>53800.935</v>
      </c>
      <c r="E197" s="0" t="s">
        <v>523</v>
      </c>
      <c r="F197" s="0" t="s">
        <v>524</v>
      </c>
      <c r="G197" s="0" t="s">
        <v>97</v>
      </c>
      <c r="H197" s="0" t="s">
        <v>632</v>
      </c>
    </row>
    <row r="198" customFormat="false" ht="15" hidden="false" customHeight="false" outlineLevel="0" collapsed="false">
      <c r="A198" s="0" t="s">
        <v>77</v>
      </c>
      <c r="B198" s="0" t="n">
        <v>2021</v>
      </c>
      <c r="C198" s="0" t="s">
        <v>69</v>
      </c>
      <c r="D198" s="0" t="n">
        <v>20.93</v>
      </c>
      <c r="E198" s="0" t="s">
        <v>523</v>
      </c>
      <c r="F198" s="0" t="s">
        <v>524</v>
      </c>
      <c r="G198" s="0" t="s">
        <v>97</v>
      </c>
      <c r="H198" s="0" t="s">
        <v>633</v>
      </c>
    </row>
    <row r="199" customFormat="false" ht="15" hidden="false" customHeight="false" outlineLevel="0" collapsed="false">
      <c r="A199" s="0" t="s">
        <v>77</v>
      </c>
      <c r="B199" s="0" t="n">
        <v>2021</v>
      </c>
      <c r="C199" s="0" t="s">
        <v>65</v>
      </c>
      <c r="D199" s="0" t="n">
        <v>835939.161</v>
      </c>
      <c r="E199" s="0" t="s">
        <v>523</v>
      </c>
      <c r="F199" s="0" t="s">
        <v>524</v>
      </c>
      <c r="G199" s="0" t="s">
        <v>97</v>
      </c>
      <c r="H199" s="0" t="s">
        <v>634</v>
      </c>
    </row>
    <row r="200" customFormat="false" ht="15" hidden="false" customHeight="false" outlineLevel="0" collapsed="false">
      <c r="A200" s="0" t="s">
        <v>77</v>
      </c>
      <c r="B200" s="0" t="n">
        <v>2021</v>
      </c>
      <c r="C200" s="0" t="s">
        <v>66</v>
      </c>
      <c r="D200" s="0" t="n">
        <v>3993848.672</v>
      </c>
      <c r="E200" s="0" t="s">
        <v>523</v>
      </c>
      <c r="F200" s="0" t="s">
        <v>524</v>
      </c>
      <c r="G200" s="0" t="s">
        <v>97</v>
      </c>
      <c r="H200" s="0" t="s">
        <v>635</v>
      </c>
    </row>
    <row r="201" customFormat="false" ht="15" hidden="false" customHeight="false" outlineLevel="0" collapsed="false">
      <c r="A201" s="0" t="s">
        <v>77</v>
      </c>
      <c r="B201" s="0" t="n">
        <v>2021</v>
      </c>
      <c r="C201" s="0" t="s">
        <v>73</v>
      </c>
      <c r="D201" s="0" t="n">
        <v>0</v>
      </c>
      <c r="E201" s="0" t="s">
        <v>539</v>
      </c>
      <c r="F201" s="0" t="s">
        <v>524</v>
      </c>
      <c r="G201" s="0" t="s">
        <v>97</v>
      </c>
      <c r="H201" s="0" t="s">
        <v>636</v>
      </c>
    </row>
    <row r="202" customFormat="false" ht="15" hidden="false" customHeight="false" outlineLevel="0" collapsed="false">
      <c r="A202" s="0" t="s">
        <v>77</v>
      </c>
      <c r="B202" s="0" t="n">
        <v>2021</v>
      </c>
      <c r="C202" s="0" t="s">
        <v>541</v>
      </c>
      <c r="D202" s="0" t="n">
        <v>106483</v>
      </c>
      <c r="E202" s="0" t="s">
        <v>523</v>
      </c>
      <c r="F202" s="0" t="s">
        <v>524</v>
      </c>
      <c r="G202" s="0" t="s">
        <v>97</v>
      </c>
      <c r="H202" s="0" t="s">
        <v>637</v>
      </c>
    </row>
    <row r="203" customFormat="false" ht="15" hidden="false" customHeight="false" outlineLevel="0" collapsed="false">
      <c r="A203" s="0" t="s">
        <v>77</v>
      </c>
      <c r="B203" s="0" t="n">
        <v>2021</v>
      </c>
      <c r="C203" s="0" t="s">
        <v>19</v>
      </c>
      <c r="D203" s="0" t="n">
        <v>8642870.14</v>
      </c>
      <c r="E203" s="0" t="s">
        <v>522</v>
      </c>
    </row>
    <row r="204" customFormat="false" ht="15" hidden="false" customHeight="false" outlineLevel="0" collapsed="false">
      <c r="A204" s="0" t="s">
        <v>77</v>
      </c>
      <c r="B204" s="0" t="n">
        <v>2021</v>
      </c>
      <c r="C204" s="0" t="s">
        <v>41</v>
      </c>
      <c r="D204" s="0" t="n">
        <v>1.28807311919186</v>
      </c>
      <c r="E204" s="0" t="s">
        <v>522</v>
      </c>
    </row>
    <row r="205" customFormat="false" ht="15" hidden="false" customHeight="false" outlineLevel="0" collapsed="false">
      <c r="A205" s="0" t="s">
        <v>77</v>
      </c>
      <c r="B205" s="0" t="n">
        <v>2021</v>
      </c>
      <c r="C205" s="0" t="s">
        <v>27</v>
      </c>
      <c r="D205" s="0" t="n">
        <v>9.02051250466786</v>
      </c>
      <c r="E205" s="0" t="s">
        <v>522</v>
      </c>
    </row>
    <row r="206" customFormat="false" ht="15" hidden="false" customHeight="false" outlineLevel="0" collapsed="false">
      <c r="A206" s="0" t="s">
        <v>77</v>
      </c>
      <c r="B206" s="0" t="n">
        <v>2021</v>
      </c>
      <c r="C206" s="0" t="s">
        <v>39</v>
      </c>
      <c r="D206" s="0" t="n">
        <v>5.79477422299903</v>
      </c>
      <c r="E206" s="0" t="s">
        <v>522</v>
      </c>
    </row>
    <row r="207" customFormat="false" ht="15" hidden="false" customHeight="false" outlineLevel="0" collapsed="false">
      <c r="A207" s="0" t="s">
        <v>77</v>
      </c>
      <c r="B207" s="0" t="n">
        <v>2021</v>
      </c>
      <c r="C207" s="0" t="s">
        <v>17</v>
      </c>
      <c r="D207" s="0" t="n">
        <v>2.62131714055607</v>
      </c>
      <c r="E207" s="0" t="s">
        <v>522</v>
      </c>
    </row>
    <row r="208" customFormat="false" ht="15" hidden="false" customHeight="false" outlineLevel="0" collapsed="false">
      <c r="A208" s="0" t="s">
        <v>77</v>
      </c>
      <c r="B208" s="0" t="n">
        <v>2021</v>
      </c>
      <c r="C208" s="0" t="s">
        <v>25</v>
      </c>
      <c r="D208" s="0" t="n">
        <v>20.9306668743006</v>
      </c>
      <c r="E208" s="0" t="s">
        <v>522</v>
      </c>
    </row>
    <row r="209" customFormat="false" ht="15" hidden="false" customHeight="false" outlineLevel="0" collapsed="false">
      <c r="A209" s="0" t="s">
        <v>77</v>
      </c>
      <c r="B209" s="0" t="n">
        <v>2021</v>
      </c>
      <c r="C209" s="0" t="s">
        <v>29</v>
      </c>
      <c r="D209" s="0" t="n">
        <v>0.622489220924474</v>
      </c>
      <c r="E209" s="0" t="s">
        <v>522</v>
      </c>
    </row>
    <row r="210" customFormat="false" ht="15" hidden="false" customHeight="false" outlineLevel="0" collapsed="false">
      <c r="A210" s="0" t="s">
        <v>77</v>
      </c>
      <c r="B210" s="0" t="n">
        <v>2021</v>
      </c>
      <c r="C210" s="0" t="s">
        <v>43</v>
      </c>
      <c r="D210" s="0" t="n">
        <v>1.15235737760687</v>
      </c>
      <c r="E210" s="0" t="s">
        <v>522</v>
      </c>
    </row>
    <row r="211" customFormat="false" ht="15" hidden="false" customHeight="false" outlineLevel="0" collapsed="false">
      <c r="A211" s="0" t="s">
        <v>77</v>
      </c>
      <c r="B211" s="0" t="n">
        <v>2021</v>
      </c>
      <c r="C211" s="0" t="s">
        <v>31</v>
      </c>
      <c r="D211" s="0" t="n">
        <v>90.9794874953321</v>
      </c>
      <c r="E211" s="0" t="s">
        <v>522</v>
      </c>
    </row>
    <row r="212" customFormat="false" ht="15" hidden="false" customHeight="false" outlineLevel="0" collapsed="false">
      <c r="A212" s="0" t="s">
        <v>77</v>
      </c>
      <c r="B212" s="0" t="n">
        <v>2021</v>
      </c>
      <c r="C212" s="0" t="s">
        <v>33</v>
      </c>
      <c r="D212" s="0" t="n">
        <v>16.0835829355946</v>
      </c>
      <c r="E212" s="0" t="s">
        <v>522</v>
      </c>
    </row>
    <row r="213" customFormat="false" ht="15" hidden="false" customHeight="false" outlineLevel="0" collapsed="false">
      <c r="A213" s="0" t="s">
        <v>77</v>
      </c>
      <c r="B213" s="0" t="n">
        <v>2021</v>
      </c>
      <c r="C213" s="0" t="s">
        <v>21</v>
      </c>
      <c r="D213" s="0" t="n">
        <v>1.16415321826935E-010</v>
      </c>
      <c r="E213" s="0" t="s">
        <v>522</v>
      </c>
    </row>
    <row r="214" customFormat="false" ht="15" hidden="false" customHeight="false" outlineLevel="0" collapsed="false">
      <c r="A214" s="0" t="s">
        <v>77</v>
      </c>
      <c r="B214" s="0" t="n">
        <v>2021</v>
      </c>
      <c r="C214" s="0" t="s">
        <v>35</v>
      </c>
      <c r="D214" s="0" t="n">
        <v>-0.00100000016391277</v>
      </c>
      <c r="E214" s="0" t="s">
        <v>522</v>
      </c>
    </row>
    <row r="215" customFormat="false" ht="15" hidden="false" customHeight="false" outlineLevel="0" collapsed="false">
      <c r="A215" s="0" t="s">
        <v>77</v>
      </c>
      <c r="B215" s="0" t="n">
        <v>2022</v>
      </c>
      <c r="C215" s="0" t="s">
        <v>54</v>
      </c>
      <c r="D215" s="0" t="n">
        <v>166660</v>
      </c>
      <c r="E215" s="0" t="s">
        <v>523</v>
      </c>
      <c r="F215" s="0" t="s">
        <v>524</v>
      </c>
      <c r="G215" s="0" t="s">
        <v>99</v>
      </c>
      <c r="H215" s="0" t="s">
        <v>638</v>
      </c>
    </row>
    <row r="216" customFormat="false" ht="15" hidden="false" customHeight="false" outlineLevel="0" collapsed="false">
      <c r="A216" s="0" t="s">
        <v>77</v>
      </c>
      <c r="B216" s="0" t="n">
        <v>2022</v>
      </c>
      <c r="C216" s="0" t="s">
        <v>55</v>
      </c>
      <c r="D216" s="0" t="n">
        <v>12535280</v>
      </c>
      <c r="E216" s="0" t="s">
        <v>523</v>
      </c>
      <c r="F216" s="0" t="s">
        <v>524</v>
      </c>
      <c r="G216" s="0" t="s">
        <v>99</v>
      </c>
      <c r="H216" s="0" t="s">
        <v>639</v>
      </c>
    </row>
    <row r="217" customFormat="false" ht="15" hidden="false" customHeight="false" outlineLevel="0" collapsed="false">
      <c r="A217" s="0" t="s">
        <v>77</v>
      </c>
      <c r="B217" s="0" t="n">
        <v>2022</v>
      </c>
      <c r="C217" s="0" t="s">
        <v>56</v>
      </c>
      <c r="D217" s="0" t="n">
        <v>11466613</v>
      </c>
      <c r="E217" s="0" t="s">
        <v>523</v>
      </c>
      <c r="F217" s="0" t="s">
        <v>524</v>
      </c>
      <c r="G217" s="0" t="s">
        <v>99</v>
      </c>
      <c r="H217" s="0" t="s">
        <v>640</v>
      </c>
    </row>
    <row r="218" customFormat="false" ht="15" hidden="false" customHeight="false" outlineLevel="0" collapsed="false">
      <c r="A218" s="0" t="s">
        <v>77</v>
      </c>
      <c r="B218" s="0" t="n">
        <v>2022</v>
      </c>
      <c r="C218" s="0" t="s">
        <v>57</v>
      </c>
      <c r="D218" s="0" t="n">
        <v>1068667</v>
      </c>
      <c r="E218" s="0" t="s">
        <v>523</v>
      </c>
      <c r="F218" s="0" t="s">
        <v>524</v>
      </c>
      <c r="G218" s="0" t="s">
        <v>99</v>
      </c>
      <c r="H218" s="0" t="s">
        <v>641</v>
      </c>
    </row>
    <row r="219" customFormat="false" ht="15" hidden="false" customHeight="false" outlineLevel="0" collapsed="false">
      <c r="A219" s="0" t="s">
        <v>77</v>
      </c>
      <c r="B219" s="0" t="n">
        <v>2022</v>
      </c>
      <c r="C219" s="0" t="s">
        <v>58</v>
      </c>
      <c r="D219" s="0" t="n">
        <v>698528</v>
      </c>
      <c r="E219" s="0" t="s">
        <v>523</v>
      </c>
      <c r="F219" s="0" t="s">
        <v>524</v>
      </c>
      <c r="G219" s="0" t="s">
        <v>99</v>
      </c>
      <c r="H219" s="0" t="s">
        <v>642</v>
      </c>
    </row>
    <row r="220" customFormat="false" ht="15" hidden="false" customHeight="false" outlineLevel="0" collapsed="false">
      <c r="A220" s="0" t="s">
        <v>77</v>
      </c>
      <c r="B220" s="0" t="n">
        <v>2022</v>
      </c>
      <c r="C220" s="0" t="s">
        <v>59</v>
      </c>
      <c r="D220" s="0" t="n">
        <v>9660761</v>
      </c>
      <c r="E220" s="0" t="s">
        <v>643</v>
      </c>
      <c r="F220" s="0" t="s">
        <v>524</v>
      </c>
      <c r="G220" s="0" t="s">
        <v>99</v>
      </c>
      <c r="H220" s="0" t="s">
        <v>644</v>
      </c>
    </row>
    <row r="221" customFormat="false" ht="15" hidden="false" customHeight="false" outlineLevel="0" collapsed="false">
      <c r="A221" s="0" t="s">
        <v>77</v>
      </c>
      <c r="B221" s="0" t="n">
        <v>2022</v>
      </c>
      <c r="C221" s="0" t="s">
        <v>60</v>
      </c>
      <c r="D221" s="0" t="n">
        <v>4149413</v>
      </c>
      <c r="E221" s="0" t="s">
        <v>523</v>
      </c>
      <c r="F221" s="0" t="s">
        <v>524</v>
      </c>
      <c r="G221" s="0" t="s">
        <v>99</v>
      </c>
      <c r="H221" s="0" t="s">
        <v>645</v>
      </c>
    </row>
    <row r="222" customFormat="false" ht="15" hidden="false" customHeight="false" outlineLevel="0" collapsed="false">
      <c r="A222" s="0" t="s">
        <v>77</v>
      </c>
      <c r="B222" s="0" t="n">
        <v>2022</v>
      </c>
      <c r="C222" s="0" t="s">
        <v>61</v>
      </c>
      <c r="D222" s="0" t="n">
        <v>65061</v>
      </c>
      <c r="E222" s="0" t="s">
        <v>523</v>
      </c>
      <c r="F222" s="0" t="s">
        <v>524</v>
      </c>
      <c r="G222" s="0" t="s">
        <v>99</v>
      </c>
      <c r="H222" s="0" t="s">
        <v>646</v>
      </c>
    </row>
    <row r="223" customFormat="false" ht="15" hidden="false" customHeight="false" outlineLevel="0" collapsed="false">
      <c r="A223" s="0" t="s">
        <v>77</v>
      </c>
      <c r="B223" s="0" t="n">
        <v>2022</v>
      </c>
      <c r="C223" s="0" t="s">
        <v>62</v>
      </c>
      <c r="D223" s="0" t="n">
        <v>4084352</v>
      </c>
      <c r="E223" s="0" t="s">
        <v>523</v>
      </c>
      <c r="F223" s="0" t="s">
        <v>524</v>
      </c>
      <c r="G223" s="0" t="s">
        <v>99</v>
      </c>
      <c r="H223" s="0" t="s">
        <v>647</v>
      </c>
    </row>
    <row r="224" customFormat="false" ht="15" hidden="false" customHeight="false" outlineLevel="0" collapsed="false">
      <c r="A224" s="0" t="s">
        <v>77</v>
      </c>
      <c r="B224" s="0" t="n">
        <v>2022</v>
      </c>
      <c r="C224" s="0" t="s">
        <v>63</v>
      </c>
      <c r="D224" s="0" t="n">
        <v>118681</v>
      </c>
      <c r="E224" s="0" t="s">
        <v>523</v>
      </c>
      <c r="F224" s="0" t="s">
        <v>524</v>
      </c>
      <c r="G224" s="0" t="s">
        <v>99</v>
      </c>
      <c r="H224" s="0" t="s">
        <v>648</v>
      </c>
    </row>
    <row r="225" customFormat="false" ht="15" hidden="false" customHeight="false" outlineLevel="0" collapsed="false">
      <c r="A225" s="0" t="s">
        <v>77</v>
      </c>
      <c r="B225" s="0" t="n">
        <v>2022</v>
      </c>
      <c r="C225" s="0" t="s">
        <v>69</v>
      </c>
      <c r="D225" s="0" t="n">
        <v>17.85</v>
      </c>
      <c r="E225" s="0" t="s">
        <v>523</v>
      </c>
      <c r="F225" s="0" t="s">
        <v>524</v>
      </c>
      <c r="G225" s="0" t="s">
        <v>99</v>
      </c>
      <c r="H225" s="0" t="s">
        <v>649</v>
      </c>
    </row>
    <row r="226" customFormat="false" ht="15" hidden="false" customHeight="false" outlineLevel="0" collapsed="false">
      <c r="A226" s="0" t="s">
        <v>77</v>
      </c>
      <c r="B226" s="0" t="n">
        <v>2022</v>
      </c>
      <c r="C226" s="0" t="s">
        <v>65</v>
      </c>
      <c r="D226" s="0" t="n">
        <v>863711</v>
      </c>
      <c r="E226" s="0" t="s">
        <v>523</v>
      </c>
      <c r="F226" s="0" t="s">
        <v>524</v>
      </c>
      <c r="G226" s="0" t="s">
        <v>99</v>
      </c>
      <c r="H226" s="0" t="s">
        <v>650</v>
      </c>
    </row>
    <row r="227" customFormat="false" ht="15" hidden="false" customHeight="false" outlineLevel="0" collapsed="false">
      <c r="A227" s="0" t="s">
        <v>77</v>
      </c>
      <c r="B227" s="0" t="n">
        <v>2022</v>
      </c>
      <c r="C227" s="0" t="s">
        <v>66</v>
      </c>
      <c r="D227" s="0" t="n">
        <v>4839820</v>
      </c>
      <c r="E227" s="0" t="s">
        <v>523</v>
      </c>
      <c r="F227" s="0" t="s">
        <v>524</v>
      </c>
      <c r="G227" s="0" t="s">
        <v>99</v>
      </c>
      <c r="H227" s="0" t="s">
        <v>651</v>
      </c>
    </row>
    <row r="228" customFormat="false" ht="15" hidden="false" customHeight="false" outlineLevel="0" collapsed="false">
      <c r="A228" s="0" t="s">
        <v>77</v>
      </c>
      <c r="B228" s="0" t="n">
        <v>2022</v>
      </c>
      <c r="C228" s="0" t="s">
        <v>541</v>
      </c>
      <c r="D228" s="0" t="n">
        <v>162709</v>
      </c>
      <c r="E228" s="0" t="s">
        <v>523</v>
      </c>
      <c r="F228" s="0" t="s">
        <v>524</v>
      </c>
      <c r="G228" s="0" t="s">
        <v>99</v>
      </c>
      <c r="H228" s="0" t="s">
        <v>652</v>
      </c>
    </row>
    <row r="229" customFormat="false" ht="15" hidden="false" customHeight="false" outlineLevel="0" collapsed="false">
      <c r="A229" s="0" t="s">
        <v>77</v>
      </c>
      <c r="B229" s="0" t="n">
        <v>2022</v>
      </c>
      <c r="C229" s="0" t="s">
        <v>19</v>
      </c>
      <c r="D229" s="0" t="n">
        <v>11098020.5</v>
      </c>
      <c r="E229" s="0" t="s">
        <v>522</v>
      </c>
    </row>
    <row r="230" customFormat="false" ht="15" hidden="false" customHeight="false" outlineLevel="0" collapsed="false">
      <c r="A230" s="0" t="s">
        <v>77</v>
      </c>
      <c r="B230" s="0" t="n">
        <v>2022</v>
      </c>
      <c r="C230" s="0" t="s">
        <v>41</v>
      </c>
      <c r="D230" s="0" t="n">
        <v>1.50170924625702</v>
      </c>
      <c r="E230" s="0" t="s">
        <v>522</v>
      </c>
    </row>
    <row r="231" customFormat="false" ht="15" hidden="false" customHeight="false" outlineLevel="0" collapsed="false">
      <c r="A231" s="0" t="s">
        <v>77</v>
      </c>
      <c r="B231" s="0" t="n">
        <v>2022</v>
      </c>
      <c r="C231" s="0" t="s">
        <v>27</v>
      </c>
      <c r="D231" s="0" t="n">
        <v>8.52527426591189</v>
      </c>
      <c r="E231" s="0" t="s">
        <v>522</v>
      </c>
    </row>
    <row r="232" customFormat="false" ht="15" hidden="false" customHeight="false" outlineLevel="0" collapsed="false">
      <c r="A232" s="0" t="s">
        <v>77</v>
      </c>
      <c r="B232" s="0" t="n">
        <v>2022</v>
      </c>
      <c r="C232" s="0" t="s">
        <v>39</v>
      </c>
      <c r="D232" s="0" t="n">
        <v>6.29416750491676</v>
      </c>
      <c r="E232" s="0" t="s">
        <v>522</v>
      </c>
    </row>
    <row r="233" customFormat="false" ht="15" hidden="false" customHeight="false" outlineLevel="0" collapsed="false">
      <c r="A233" s="0" t="s">
        <v>77</v>
      </c>
      <c r="B233" s="0" t="n">
        <v>2022</v>
      </c>
      <c r="C233" s="0" t="s">
        <v>17</v>
      </c>
      <c r="D233" s="0" t="n">
        <v>1.5679567206253</v>
      </c>
      <c r="E233" s="0" t="s">
        <v>522</v>
      </c>
    </row>
    <row r="234" customFormat="false" ht="15" hidden="false" customHeight="false" outlineLevel="0" collapsed="false">
      <c r="A234" s="0" t="s">
        <v>77</v>
      </c>
      <c r="B234" s="0" t="n">
        <v>2022</v>
      </c>
      <c r="C234" s="0" t="s">
        <v>25</v>
      </c>
      <c r="D234" s="0" t="n">
        <v>17.8459322867379</v>
      </c>
      <c r="E234" s="0" t="s">
        <v>522</v>
      </c>
    </row>
    <row r="235" customFormat="false" ht="15" hidden="false" customHeight="false" outlineLevel="0" collapsed="false">
      <c r="A235" s="0" t="s">
        <v>77</v>
      </c>
      <c r="B235" s="0" t="n">
        <v>2022</v>
      </c>
      <c r="C235" s="0" t="s">
        <v>29</v>
      </c>
      <c r="D235" s="0" t="n">
        <v>1.06938890588642</v>
      </c>
      <c r="E235" s="0" t="s">
        <v>522</v>
      </c>
    </row>
    <row r="236" customFormat="false" ht="15" hidden="false" customHeight="false" outlineLevel="0" collapsed="false">
      <c r="A236" s="0" t="s">
        <v>77</v>
      </c>
      <c r="B236" s="0" t="n">
        <v>2022</v>
      </c>
      <c r="C236" s="0" t="s">
        <v>43</v>
      </c>
      <c r="D236" s="0" t="n">
        <v>1.32952754146696</v>
      </c>
      <c r="E236" s="0" t="s">
        <v>522</v>
      </c>
    </row>
    <row r="237" customFormat="false" ht="15" hidden="false" customHeight="false" outlineLevel="0" collapsed="false">
      <c r="A237" s="0" t="s">
        <v>77</v>
      </c>
      <c r="B237" s="0" t="n">
        <v>2022</v>
      </c>
      <c r="C237" s="0" t="s">
        <v>31</v>
      </c>
      <c r="D237" s="0" t="n">
        <v>91.4747257340881</v>
      </c>
      <c r="E237" s="0" t="s">
        <v>522</v>
      </c>
    </row>
    <row r="238" customFormat="false" ht="15" hidden="false" customHeight="false" outlineLevel="0" collapsed="false">
      <c r="A238" s="0" t="s">
        <v>77</v>
      </c>
      <c r="B238" s="0" t="n">
        <v>2022</v>
      </c>
      <c r="C238" s="0" t="s">
        <v>33</v>
      </c>
      <c r="D238" s="0" t="n">
        <v>16.3440576267802</v>
      </c>
      <c r="E238" s="0" t="s">
        <v>522</v>
      </c>
    </row>
    <row r="239" customFormat="false" ht="15" hidden="false" customHeight="false" outlineLevel="0" collapsed="false">
      <c r="A239" s="0" t="s">
        <v>77</v>
      </c>
      <c r="B239" s="0" t="n">
        <v>2022</v>
      </c>
      <c r="C239" s="0" t="s">
        <v>21</v>
      </c>
      <c r="D239" s="0" t="n">
        <v>0</v>
      </c>
      <c r="E239" s="0" t="s">
        <v>522</v>
      </c>
    </row>
    <row r="240" customFormat="false" ht="15" hidden="false" customHeight="false" outlineLevel="0" collapsed="false">
      <c r="A240" s="0" t="s">
        <v>77</v>
      </c>
      <c r="B240" s="0" t="n">
        <v>2022</v>
      </c>
      <c r="C240" s="0" t="s">
        <v>35</v>
      </c>
      <c r="D240" s="0" t="n">
        <v>0</v>
      </c>
      <c r="E240" s="0" t="s">
        <v>522</v>
      </c>
    </row>
    <row r="241" customFormat="false" ht="15" hidden="false" customHeight="false" outlineLevel="0" collapsed="false">
      <c r="A241" s="0" t="s">
        <v>100</v>
      </c>
      <c r="B241" s="0" t="n">
        <v>2013</v>
      </c>
      <c r="C241" s="0" t="s">
        <v>54</v>
      </c>
      <c r="D241" s="0" t="n">
        <v>11658</v>
      </c>
      <c r="E241" s="0" t="s">
        <v>523</v>
      </c>
      <c r="F241" s="0" t="s">
        <v>524</v>
      </c>
      <c r="G241" s="0" t="s">
        <v>103</v>
      </c>
      <c r="H241" s="0" t="s">
        <v>653</v>
      </c>
    </row>
    <row r="242" customFormat="false" ht="15" hidden="false" customHeight="false" outlineLevel="0" collapsed="false">
      <c r="A242" s="0" t="s">
        <v>100</v>
      </c>
      <c r="B242" s="0" t="n">
        <v>2013</v>
      </c>
      <c r="C242" s="0" t="s">
        <v>55</v>
      </c>
      <c r="D242" s="0" t="n">
        <v>1460811</v>
      </c>
      <c r="E242" s="0" t="s">
        <v>523</v>
      </c>
      <c r="F242" s="0" t="s">
        <v>524</v>
      </c>
      <c r="G242" s="0" t="s">
        <v>103</v>
      </c>
      <c r="H242" s="0" t="s">
        <v>654</v>
      </c>
    </row>
    <row r="243" customFormat="false" ht="15" hidden="false" customHeight="false" outlineLevel="0" collapsed="false">
      <c r="A243" s="0" t="s">
        <v>100</v>
      </c>
      <c r="B243" s="0" t="n">
        <v>2013</v>
      </c>
      <c r="C243" s="0" t="s">
        <v>56</v>
      </c>
      <c r="D243" s="0" t="n">
        <v>1304183</v>
      </c>
      <c r="E243" s="0" t="s">
        <v>523</v>
      </c>
      <c r="F243" s="0" t="s">
        <v>524</v>
      </c>
      <c r="G243" s="0" t="s">
        <v>103</v>
      </c>
      <c r="H243" s="0" t="s">
        <v>655</v>
      </c>
    </row>
    <row r="244" customFormat="false" ht="15" hidden="false" customHeight="false" outlineLevel="0" collapsed="false">
      <c r="A244" s="0" t="s">
        <v>100</v>
      </c>
      <c r="B244" s="0" t="n">
        <v>2013</v>
      </c>
      <c r="C244" s="0" t="s">
        <v>57</v>
      </c>
      <c r="D244" s="0" t="n">
        <v>156628</v>
      </c>
      <c r="E244" s="0" t="s">
        <v>523</v>
      </c>
      <c r="F244" s="0" t="s">
        <v>524</v>
      </c>
      <c r="G244" s="0" t="s">
        <v>103</v>
      </c>
      <c r="H244" s="0" t="s">
        <v>656</v>
      </c>
    </row>
    <row r="245" customFormat="false" ht="15" hidden="false" customHeight="false" outlineLevel="0" collapsed="false">
      <c r="A245" s="0" t="s">
        <v>100</v>
      </c>
      <c r="B245" s="0" t="n">
        <v>2013</v>
      </c>
      <c r="C245" s="0" t="s">
        <v>58</v>
      </c>
      <c r="D245" s="0" t="n">
        <v>4606</v>
      </c>
      <c r="E245" s="0" t="s">
        <v>523</v>
      </c>
      <c r="F245" s="0" t="s">
        <v>524</v>
      </c>
      <c r="G245" s="0" t="s">
        <v>103</v>
      </c>
      <c r="H245" s="0" t="s">
        <v>657</v>
      </c>
    </row>
    <row r="246" customFormat="false" ht="15" hidden="false" customHeight="false" outlineLevel="0" collapsed="false">
      <c r="A246" s="0" t="s">
        <v>100</v>
      </c>
      <c r="B246" s="0" t="n">
        <v>2013</v>
      </c>
      <c r="C246" s="0" t="s">
        <v>59</v>
      </c>
      <c r="D246" s="0" t="n">
        <v>1325315</v>
      </c>
      <c r="E246" s="0" t="s">
        <v>643</v>
      </c>
      <c r="F246" s="0" t="s">
        <v>524</v>
      </c>
      <c r="G246" s="0" t="s">
        <v>103</v>
      </c>
      <c r="H246" s="0" t="s">
        <v>658</v>
      </c>
    </row>
    <row r="247" customFormat="false" ht="15" hidden="false" customHeight="false" outlineLevel="0" collapsed="false">
      <c r="A247" s="0" t="s">
        <v>100</v>
      </c>
      <c r="B247" s="0" t="n">
        <v>2013</v>
      </c>
      <c r="C247" s="0" t="s">
        <v>60</v>
      </c>
      <c r="D247" s="0" t="n">
        <v>660730</v>
      </c>
      <c r="E247" s="0" t="s">
        <v>523</v>
      </c>
      <c r="F247" s="0" t="s">
        <v>524</v>
      </c>
      <c r="G247" s="0" t="s">
        <v>103</v>
      </c>
      <c r="H247" s="0" t="s">
        <v>659</v>
      </c>
    </row>
    <row r="248" customFormat="false" ht="15" hidden="false" customHeight="false" outlineLevel="0" collapsed="false">
      <c r="A248" s="0" t="s">
        <v>100</v>
      </c>
      <c r="B248" s="0" t="n">
        <v>2013</v>
      </c>
      <c r="C248" s="0" t="s">
        <v>61</v>
      </c>
      <c r="D248" s="0" t="n">
        <v>34823</v>
      </c>
      <c r="E248" s="0" t="s">
        <v>523</v>
      </c>
      <c r="F248" s="0" t="s">
        <v>524</v>
      </c>
      <c r="G248" s="0" t="s">
        <v>103</v>
      </c>
      <c r="H248" s="0" t="s">
        <v>660</v>
      </c>
    </row>
    <row r="249" customFormat="false" ht="15" hidden="false" customHeight="false" outlineLevel="0" collapsed="false">
      <c r="A249" s="0" t="s">
        <v>100</v>
      </c>
      <c r="B249" s="0" t="n">
        <v>2013</v>
      </c>
      <c r="C249" s="0" t="s">
        <v>62</v>
      </c>
      <c r="D249" s="0" t="n">
        <v>625907</v>
      </c>
      <c r="E249" s="0" t="s">
        <v>523</v>
      </c>
      <c r="F249" s="0" t="s">
        <v>524</v>
      </c>
      <c r="G249" s="0" t="s">
        <v>103</v>
      </c>
      <c r="H249" s="0" t="s">
        <v>661</v>
      </c>
    </row>
    <row r="250" customFormat="false" ht="15" hidden="false" customHeight="false" outlineLevel="0" collapsed="false">
      <c r="A250" s="0" t="s">
        <v>100</v>
      </c>
      <c r="B250" s="0" t="n">
        <v>2013</v>
      </c>
      <c r="C250" s="0" t="s">
        <v>63</v>
      </c>
      <c r="D250" s="0" t="n">
        <v>32606</v>
      </c>
      <c r="E250" s="0" t="s">
        <v>523</v>
      </c>
      <c r="F250" s="0" t="s">
        <v>524</v>
      </c>
      <c r="G250" s="0" t="s">
        <v>103</v>
      </c>
      <c r="H250" s="0" t="s">
        <v>662</v>
      </c>
    </row>
    <row r="251" customFormat="false" ht="15" hidden="false" customHeight="false" outlineLevel="0" collapsed="false">
      <c r="A251" s="0" t="s">
        <v>100</v>
      </c>
      <c r="B251" s="0" t="n">
        <v>2013</v>
      </c>
      <c r="C251" s="0" t="s">
        <v>69</v>
      </c>
      <c r="D251" s="0" t="n">
        <v>17</v>
      </c>
      <c r="E251" s="0" t="s">
        <v>523</v>
      </c>
      <c r="F251" s="0" t="s">
        <v>524</v>
      </c>
      <c r="G251" s="0" t="s">
        <v>103</v>
      </c>
      <c r="H251" s="0" t="s">
        <v>663</v>
      </c>
    </row>
    <row r="252" customFormat="false" ht="15" hidden="false" customHeight="false" outlineLevel="0" collapsed="false">
      <c r="A252" s="0" t="s">
        <v>100</v>
      </c>
      <c r="B252" s="0" t="n">
        <v>2013</v>
      </c>
      <c r="C252" s="0" t="s">
        <v>65</v>
      </c>
      <c r="D252" s="0" t="n">
        <v>165746</v>
      </c>
      <c r="E252" s="0" t="s">
        <v>523</v>
      </c>
      <c r="F252" s="0" t="s">
        <v>524</v>
      </c>
      <c r="G252" s="0" t="s">
        <v>103</v>
      </c>
      <c r="H252" s="0" t="s">
        <v>664</v>
      </c>
    </row>
    <row r="253" customFormat="false" ht="15" hidden="false" customHeight="false" outlineLevel="0" collapsed="false">
      <c r="A253" s="0" t="s">
        <v>100</v>
      </c>
      <c r="B253" s="0" t="n">
        <v>2013</v>
      </c>
      <c r="C253" s="0" t="s">
        <v>66</v>
      </c>
      <c r="D253" s="0" t="n">
        <v>953338</v>
      </c>
      <c r="E253" s="0" t="s">
        <v>523</v>
      </c>
      <c r="F253" s="0" t="s">
        <v>524</v>
      </c>
      <c r="G253" s="0" t="s">
        <v>103</v>
      </c>
      <c r="H253" s="0" t="s">
        <v>665</v>
      </c>
    </row>
    <row r="254" customFormat="false" ht="15" hidden="false" customHeight="false" outlineLevel="0" collapsed="false">
      <c r="A254" s="0" t="s">
        <v>100</v>
      </c>
      <c r="B254" s="0" t="n">
        <v>2013</v>
      </c>
      <c r="C254" s="0" t="s">
        <v>73</v>
      </c>
      <c r="D254" s="0" t="n">
        <v>0</v>
      </c>
      <c r="E254" s="0" t="s">
        <v>539</v>
      </c>
      <c r="F254" s="0" t="s">
        <v>524</v>
      </c>
      <c r="G254" s="0" t="s">
        <v>103</v>
      </c>
      <c r="H254" s="0" t="s">
        <v>666</v>
      </c>
    </row>
    <row r="255" customFormat="false" ht="15" hidden="false" customHeight="false" outlineLevel="0" collapsed="false">
      <c r="A255" s="0" t="s">
        <v>100</v>
      </c>
      <c r="B255" s="0" t="n">
        <v>2013</v>
      </c>
      <c r="C255" s="0" t="s">
        <v>541</v>
      </c>
      <c r="D255" s="0" t="n">
        <v>10533</v>
      </c>
      <c r="E255" s="0" t="s">
        <v>523</v>
      </c>
      <c r="F255" s="0" t="s">
        <v>524</v>
      </c>
      <c r="G255" s="0" t="s">
        <v>103</v>
      </c>
      <c r="H255" s="0" t="s">
        <v>667</v>
      </c>
    </row>
    <row r="256" customFormat="false" ht="15" hidden="false" customHeight="false" outlineLevel="0" collapsed="false">
      <c r="A256" s="0" t="s">
        <v>100</v>
      </c>
      <c r="B256" s="0" t="n">
        <v>2013</v>
      </c>
      <c r="C256" s="0" t="s">
        <v>19</v>
      </c>
      <c r="D256" s="0" t="n">
        <v>1393063</v>
      </c>
      <c r="E256" s="0" t="s">
        <v>522</v>
      </c>
    </row>
    <row r="257" customFormat="false" ht="15" hidden="false" customHeight="false" outlineLevel="0" collapsed="false">
      <c r="A257" s="0" t="s">
        <v>100</v>
      </c>
      <c r="B257" s="0" t="n">
        <v>2013</v>
      </c>
      <c r="C257" s="0" t="s">
        <v>41</v>
      </c>
      <c r="D257" s="0" t="n">
        <v>0.836860931630515</v>
      </c>
      <c r="E257" s="0" t="s">
        <v>522</v>
      </c>
    </row>
    <row r="258" customFormat="false" ht="15" hidden="false" customHeight="false" outlineLevel="0" collapsed="false">
      <c r="A258" s="0" t="s">
        <v>100</v>
      </c>
      <c r="B258" s="0" t="n">
        <v>2013</v>
      </c>
      <c r="C258" s="0" t="s">
        <v>27</v>
      </c>
      <c r="D258" s="0" t="n">
        <v>10.7219893607044</v>
      </c>
      <c r="E258" s="0" t="s">
        <v>522</v>
      </c>
    </row>
    <row r="259" customFormat="false" ht="15" hidden="false" customHeight="false" outlineLevel="0" collapsed="false">
      <c r="A259" s="0" t="s">
        <v>100</v>
      </c>
      <c r="B259" s="0" t="n">
        <v>2013</v>
      </c>
      <c r="C259" s="0" t="s">
        <v>39</v>
      </c>
      <c r="D259" s="0" t="n">
        <v>0.330638312840123</v>
      </c>
      <c r="E259" s="0" t="s">
        <v>522</v>
      </c>
    </row>
    <row r="260" customFormat="false" ht="15" hidden="false" customHeight="false" outlineLevel="0" collapsed="false">
      <c r="A260" s="0" t="s">
        <v>100</v>
      </c>
      <c r="B260" s="0" t="n">
        <v>2013</v>
      </c>
      <c r="C260" s="0" t="s">
        <v>17</v>
      </c>
      <c r="D260" s="0" t="n">
        <v>5.27038275846412</v>
      </c>
      <c r="E260" s="0" t="s">
        <v>522</v>
      </c>
    </row>
    <row r="261" customFormat="false" ht="15" hidden="false" customHeight="false" outlineLevel="0" collapsed="false">
      <c r="A261" s="0" t="s">
        <v>100</v>
      </c>
      <c r="B261" s="0" t="n">
        <v>2013</v>
      </c>
      <c r="C261" s="0" t="s">
        <v>25</v>
      </c>
      <c r="D261" s="0" t="n">
        <v>17.3858589503408</v>
      </c>
      <c r="E261" s="0" t="s">
        <v>522</v>
      </c>
    </row>
    <row r="262" customFormat="false" ht="15" hidden="false" customHeight="false" outlineLevel="0" collapsed="false">
      <c r="A262" s="0" t="s">
        <v>100</v>
      </c>
      <c r="B262" s="0" t="n">
        <v>2013</v>
      </c>
      <c r="C262" s="0" t="s">
        <v>29</v>
      </c>
      <c r="D262" s="0" t="n">
        <v>2.3405976614123</v>
      </c>
      <c r="E262" s="0" t="s">
        <v>522</v>
      </c>
    </row>
    <row r="263" customFormat="false" ht="15" hidden="false" customHeight="false" outlineLevel="0" collapsed="false">
      <c r="A263" s="0" t="s">
        <v>100</v>
      </c>
      <c r="B263" s="0" t="n">
        <v>2013</v>
      </c>
      <c r="C263" s="0" t="s">
        <v>43</v>
      </c>
      <c r="D263" s="0" t="n">
        <v>0.798049850391324</v>
      </c>
      <c r="E263" s="0" t="s">
        <v>522</v>
      </c>
    </row>
    <row r="264" customFormat="false" ht="15" hidden="false" customHeight="false" outlineLevel="0" collapsed="false">
      <c r="A264" s="0" t="s">
        <v>100</v>
      </c>
      <c r="B264" s="0" t="n">
        <v>2013</v>
      </c>
      <c r="C264" s="0" t="s">
        <v>31</v>
      </c>
      <c r="D264" s="0" t="n">
        <v>89.2780106392956</v>
      </c>
      <c r="E264" s="0" t="s">
        <v>522</v>
      </c>
    </row>
    <row r="265" customFormat="false" ht="15" hidden="false" customHeight="false" outlineLevel="0" collapsed="false">
      <c r="A265" s="0" t="s">
        <v>100</v>
      </c>
      <c r="B265" s="0" t="n">
        <v>2013</v>
      </c>
      <c r="C265" s="0" t="s">
        <v>33</v>
      </c>
      <c r="D265" s="0" t="n">
        <v>14.194502318915</v>
      </c>
      <c r="E265" s="0" t="s">
        <v>522</v>
      </c>
    </row>
    <row r="266" customFormat="false" ht="15" hidden="false" customHeight="false" outlineLevel="0" collapsed="false">
      <c r="A266" s="0" t="s">
        <v>100</v>
      </c>
      <c r="B266" s="0" t="n">
        <v>2013</v>
      </c>
      <c r="C266" s="0" t="s">
        <v>21</v>
      </c>
      <c r="D266" s="0" t="n">
        <v>0</v>
      </c>
      <c r="E266" s="0" t="s">
        <v>522</v>
      </c>
    </row>
    <row r="267" customFormat="false" ht="15" hidden="false" customHeight="false" outlineLevel="0" collapsed="false">
      <c r="A267" s="0" t="s">
        <v>100</v>
      </c>
      <c r="B267" s="0" t="n">
        <v>2013</v>
      </c>
      <c r="C267" s="0" t="s">
        <v>35</v>
      </c>
      <c r="D267" s="0" t="n">
        <v>0</v>
      </c>
      <c r="E267" s="0" t="s">
        <v>522</v>
      </c>
    </row>
    <row r="268" customFormat="false" ht="15" hidden="false" customHeight="false" outlineLevel="0" collapsed="false">
      <c r="A268" s="0" t="s">
        <v>100</v>
      </c>
      <c r="B268" s="0" t="n">
        <v>2014</v>
      </c>
      <c r="C268" s="0" t="s">
        <v>54</v>
      </c>
      <c r="D268" s="0" t="n">
        <v>29733</v>
      </c>
      <c r="E268" s="0" t="s">
        <v>523</v>
      </c>
      <c r="F268" s="0" t="s">
        <v>524</v>
      </c>
      <c r="G268" s="0" t="s">
        <v>105</v>
      </c>
      <c r="H268" s="0" t="s">
        <v>668</v>
      </c>
    </row>
    <row r="269" customFormat="false" ht="15" hidden="false" customHeight="false" outlineLevel="0" collapsed="false">
      <c r="A269" s="0" t="s">
        <v>100</v>
      </c>
      <c r="B269" s="0" t="n">
        <v>2014</v>
      </c>
      <c r="C269" s="0" t="s">
        <v>55</v>
      </c>
      <c r="D269" s="0" t="n">
        <v>1772922</v>
      </c>
      <c r="E269" s="0" t="s">
        <v>523</v>
      </c>
      <c r="F269" s="0" t="s">
        <v>524</v>
      </c>
      <c r="G269" s="0" t="s">
        <v>105</v>
      </c>
      <c r="H269" s="0" t="s">
        <v>669</v>
      </c>
    </row>
    <row r="270" customFormat="false" ht="15" hidden="false" customHeight="false" outlineLevel="0" collapsed="false">
      <c r="A270" s="0" t="s">
        <v>100</v>
      </c>
      <c r="B270" s="0" t="n">
        <v>2014</v>
      </c>
      <c r="C270" s="0" t="s">
        <v>56</v>
      </c>
      <c r="D270" s="0" t="n">
        <v>1574528</v>
      </c>
      <c r="E270" s="0" t="s">
        <v>523</v>
      </c>
      <c r="F270" s="0" t="s">
        <v>524</v>
      </c>
      <c r="G270" s="0" t="s">
        <v>105</v>
      </c>
      <c r="H270" s="0" t="s">
        <v>670</v>
      </c>
    </row>
    <row r="271" customFormat="false" ht="15" hidden="false" customHeight="false" outlineLevel="0" collapsed="false">
      <c r="A271" s="0" t="s">
        <v>100</v>
      </c>
      <c r="B271" s="0" t="n">
        <v>2014</v>
      </c>
      <c r="C271" s="0" t="s">
        <v>57</v>
      </c>
      <c r="D271" s="0" t="n">
        <v>198394</v>
      </c>
      <c r="E271" s="0" t="s">
        <v>523</v>
      </c>
      <c r="F271" s="0" t="s">
        <v>524</v>
      </c>
      <c r="G271" s="0" t="s">
        <v>105</v>
      </c>
      <c r="H271" s="0" t="s">
        <v>671</v>
      </c>
    </row>
    <row r="272" customFormat="false" ht="15" hidden="false" customHeight="false" outlineLevel="0" collapsed="false">
      <c r="A272" s="0" t="s">
        <v>100</v>
      </c>
      <c r="B272" s="0" t="n">
        <v>2014</v>
      </c>
      <c r="C272" s="0" t="s">
        <v>58</v>
      </c>
      <c r="D272" s="0" t="n">
        <v>-110701</v>
      </c>
      <c r="E272" s="0" t="s">
        <v>523</v>
      </c>
      <c r="F272" s="0" t="s">
        <v>524</v>
      </c>
      <c r="G272" s="0" t="s">
        <v>105</v>
      </c>
      <c r="H272" s="0" t="s">
        <v>672</v>
      </c>
    </row>
    <row r="273" customFormat="false" ht="15" hidden="false" customHeight="false" outlineLevel="0" collapsed="false">
      <c r="A273" s="0" t="s">
        <v>100</v>
      </c>
      <c r="B273" s="0" t="n">
        <v>2014</v>
      </c>
      <c r="C273" s="0" t="s">
        <v>59</v>
      </c>
      <c r="D273" s="0" t="n">
        <v>1460811</v>
      </c>
      <c r="E273" s="0" t="s">
        <v>643</v>
      </c>
      <c r="F273" s="0" t="s">
        <v>524</v>
      </c>
      <c r="G273" s="0" t="s">
        <v>105</v>
      </c>
      <c r="H273" s="0" t="s">
        <v>673</v>
      </c>
    </row>
    <row r="274" customFormat="false" ht="15" hidden="false" customHeight="false" outlineLevel="0" collapsed="false">
      <c r="A274" s="0" t="s">
        <v>100</v>
      </c>
      <c r="B274" s="0" t="n">
        <v>2014</v>
      </c>
      <c r="C274" s="0" t="s">
        <v>60</v>
      </c>
      <c r="D274" s="0" t="n">
        <v>930956</v>
      </c>
      <c r="E274" s="0" t="s">
        <v>523</v>
      </c>
      <c r="F274" s="0" t="s">
        <v>524</v>
      </c>
      <c r="G274" s="0" t="s">
        <v>105</v>
      </c>
      <c r="H274" s="0" t="s">
        <v>674</v>
      </c>
    </row>
    <row r="275" customFormat="false" ht="15" hidden="false" customHeight="false" outlineLevel="0" collapsed="false">
      <c r="A275" s="0" t="s">
        <v>100</v>
      </c>
      <c r="B275" s="0" t="n">
        <v>2014</v>
      </c>
      <c r="C275" s="0" t="s">
        <v>61</v>
      </c>
      <c r="D275" s="0" t="n">
        <v>38235</v>
      </c>
      <c r="E275" s="0" t="s">
        <v>523</v>
      </c>
      <c r="F275" s="0" t="s">
        <v>524</v>
      </c>
      <c r="G275" s="0" t="s">
        <v>105</v>
      </c>
      <c r="H275" s="0" t="s">
        <v>675</v>
      </c>
    </row>
    <row r="276" customFormat="false" ht="15" hidden="false" customHeight="false" outlineLevel="0" collapsed="false">
      <c r="A276" s="0" t="s">
        <v>100</v>
      </c>
      <c r="B276" s="0" t="n">
        <v>2014</v>
      </c>
      <c r="C276" s="0" t="s">
        <v>62</v>
      </c>
      <c r="D276" s="0" t="n">
        <v>892721</v>
      </c>
      <c r="E276" s="0" t="s">
        <v>523</v>
      </c>
      <c r="F276" s="0" t="s">
        <v>524</v>
      </c>
      <c r="G276" s="0" t="s">
        <v>105</v>
      </c>
      <c r="H276" s="0" t="s">
        <v>676</v>
      </c>
    </row>
    <row r="277" customFormat="false" ht="15" hidden="false" customHeight="false" outlineLevel="0" collapsed="false">
      <c r="A277" s="0" t="s">
        <v>100</v>
      </c>
      <c r="B277" s="0" t="n">
        <v>2014</v>
      </c>
      <c r="C277" s="0" t="s">
        <v>63</v>
      </c>
      <c r="D277" s="0" t="n">
        <v>32994</v>
      </c>
      <c r="E277" s="0" t="s">
        <v>523</v>
      </c>
      <c r="F277" s="0" t="s">
        <v>524</v>
      </c>
      <c r="G277" s="0" t="s">
        <v>105</v>
      </c>
      <c r="H277" s="0" t="s">
        <v>677</v>
      </c>
    </row>
    <row r="278" customFormat="false" ht="15" hidden="false" customHeight="false" outlineLevel="0" collapsed="false">
      <c r="A278" s="0" t="s">
        <v>100</v>
      </c>
      <c r="B278" s="0" t="n">
        <v>2014</v>
      </c>
      <c r="C278" s="0" t="s">
        <v>69</v>
      </c>
      <c r="D278" s="0" t="n">
        <v>16</v>
      </c>
      <c r="E278" s="0" t="s">
        <v>523</v>
      </c>
      <c r="F278" s="0" t="s">
        <v>524</v>
      </c>
      <c r="G278" s="0" t="s">
        <v>105</v>
      </c>
      <c r="H278" s="0" t="s">
        <v>678</v>
      </c>
    </row>
    <row r="279" customFormat="false" ht="15" hidden="false" customHeight="false" outlineLevel="0" collapsed="false">
      <c r="A279" s="0" t="s">
        <v>100</v>
      </c>
      <c r="B279" s="0" t="n">
        <v>2014</v>
      </c>
      <c r="C279" s="0" t="s">
        <v>65</v>
      </c>
      <c r="D279" s="0" t="n">
        <v>239281</v>
      </c>
      <c r="E279" s="0" t="s">
        <v>523</v>
      </c>
      <c r="F279" s="0" t="s">
        <v>524</v>
      </c>
      <c r="G279" s="0" t="s">
        <v>105</v>
      </c>
      <c r="H279" s="0" t="s">
        <v>679</v>
      </c>
    </row>
    <row r="280" customFormat="false" ht="15" hidden="false" customHeight="false" outlineLevel="0" collapsed="false">
      <c r="A280" s="0" t="s">
        <v>100</v>
      </c>
      <c r="B280" s="0" t="n">
        <v>2014</v>
      </c>
      <c r="C280" s="0" t="s">
        <v>66</v>
      </c>
      <c r="D280" s="0" t="n">
        <v>1492373</v>
      </c>
      <c r="E280" s="0" t="s">
        <v>523</v>
      </c>
      <c r="F280" s="0" t="s">
        <v>524</v>
      </c>
      <c r="G280" s="0" t="s">
        <v>105</v>
      </c>
      <c r="H280" s="0" t="s">
        <v>680</v>
      </c>
    </row>
    <row r="281" customFormat="false" ht="15" hidden="false" customHeight="false" outlineLevel="0" collapsed="false">
      <c r="A281" s="0" t="s">
        <v>100</v>
      </c>
      <c r="B281" s="0" t="n">
        <v>2014</v>
      </c>
      <c r="C281" s="0" t="s">
        <v>73</v>
      </c>
      <c r="D281" s="0" t="n">
        <v>0</v>
      </c>
      <c r="E281" s="0" t="s">
        <v>539</v>
      </c>
      <c r="F281" s="0" t="s">
        <v>524</v>
      </c>
      <c r="G281" s="0" t="s">
        <v>105</v>
      </c>
      <c r="H281" s="0" t="s">
        <v>681</v>
      </c>
    </row>
    <row r="282" customFormat="false" ht="15" hidden="false" customHeight="false" outlineLevel="0" collapsed="false">
      <c r="A282" s="0" t="s">
        <v>100</v>
      </c>
      <c r="B282" s="0" t="n">
        <v>2014</v>
      </c>
      <c r="C282" s="0" t="s">
        <v>541</v>
      </c>
      <c r="D282" s="0" t="n">
        <v>28663</v>
      </c>
      <c r="E282" s="0" t="s">
        <v>523</v>
      </c>
      <c r="F282" s="0" t="s">
        <v>524</v>
      </c>
      <c r="G282" s="0" t="s">
        <v>105</v>
      </c>
      <c r="H282" s="0" t="s">
        <v>682</v>
      </c>
    </row>
    <row r="283" customFormat="false" ht="15" hidden="false" customHeight="false" outlineLevel="0" collapsed="false">
      <c r="A283" s="0" t="s">
        <v>100</v>
      </c>
      <c r="B283" s="0" t="n">
        <v>2014</v>
      </c>
      <c r="C283" s="0" t="s">
        <v>19</v>
      </c>
      <c r="D283" s="0" t="n">
        <v>1616866.5</v>
      </c>
      <c r="E283" s="0" t="s">
        <v>522</v>
      </c>
    </row>
    <row r="284" customFormat="false" ht="15" hidden="false" customHeight="false" outlineLevel="0" collapsed="false">
      <c r="A284" s="0" t="s">
        <v>100</v>
      </c>
      <c r="B284" s="0" t="n">
        <v>2014</v>
      </c>
      <c r="C284" s="0" t="s">
        <v>41</v>
      </c>
      <c r="D284" s="0" t="n">
        <v>1.83892733259054</v>
      </c>
      <c r="E284" s="0" t="s">
        <v>522</v>
      </c>
    </row>
    <row r="285" customFormat="false" ht="15" hidden="false" customHeight="false" outlineLevel="0" collapsed="false">
      <c r="A285" s="0" t="s">
        <v>100</v>
      </c>
      <c r="B285" s="0" t="n">
        <v>2014</v>
      </c>
      <c r="C285" s="0" t="s">
        <v>27</v>
      </c>
      <c r="D285" s="0" t="n">
        <v>11.1902272068371</v>
      </c>
      <c r="E285" s="0" t="s">
        <v>522</v>
      </c>
    </row>
    <row r="286" customFormat="false" ht="15" hidden="false" customHeight="false" outlineLevel="0" collapsed="false">
      <c r="A286" s="0" t="s">
        <v>100</v>
      </c>
      <c r="B286" s="0" t="n">
        <v>2014</v>
      </c>
      <c r="C286" s="0" t="s">
        <v>39</v>
      </c>
      <c r="D286" s="0" t="n">
        <v>-6.84663823512949</v>
      </c>
      <c r="E286" s="0" t="s">
        <v>522</v>
      </c>
    </row>
    <row r="287" customFormat="false" ht="15" hidden="false" customHeight="false" outlineLevel="0" collapsed="false">
      <c r="A287" s="0" t="s">
        <v>100</v>
      </c>
      <c r="B287" s="0" t="n">
        <v>2014</v>
      </c>
      <c r="C287" s="0" t="s">
        <v>17</v>
      </c>
      <c r="D287" s="0" t="n">
        <v>4.10706843287975</v>
      </c>
      <c r="E287" s="0" t="s">
        <v>522</v>
      </c>
    </row>
    <row r="288" customFormat="false" ht="15" hidden="false" customHeight="false" outlineLevel="0" collapsed="false">
      <c r="A288" s="0" t="s">
        <v>100</v>
      </c>
      <c r="B288" s="0" t="n">
        <v>2014</v>
      </c>
      <c r="C288" s="0" t="s">
        <v>25</v>
      </c>
      <c r="D288" s="0" t="n">
        <v>16.0335921381585</v>
      </c>
      <c r="E288" s="0" t="s">
        <v>522</v>
      </c>
    </row>
    <row r="289" customFormat="false" ht="15" hidden="false" customHeight="false" outlineLevel="0" collapsed="false">
      <c r="A289" s="0" t="s">
        <v>100</v>
      </c>
      <c r="B289" s="0" t="n">
        <v>2014</v>
      </c>
      <c r="C289" s="0" t="s">
        <v>29</v>
      </c>
      <c r="D289" s="0" t="n">
        <v>2.04061374269304</v>
      </c>
      <c r="E289" s="0" t="s">
        <v>522</v>
      </c>
    </row>
    <row r="290" customFormat="false" ht="15" hidden="false" customHeight="false" outlineLevel="0" collapsed="false">
      <c r="A290" s="0" t="s">
        <v>100</v>
      </c>
      <c r="B290" s="0" t="n">
        <v>2014</v>
      </c>
      <c r="C290" s="0" t="s">
        <v>43</v>
      </c>
      <c r="D290" s="0" t="n">
        <v>1.67706193504283</v>
      </c>
      <c r="E290" s="0" t="s">
        <v>522</v>
      </c>
    </row>
    <row r="291" customFormat="false" ht="15" hidden="false" customHeight="false" outlineLevel="0" collapsed="false">
      <c r="A291" s="0" t="s">
        <v>100</v>
      </c>
      <c r="B291" s="0" t="n">
        <v>2014</v>
      </c>
      <c r="C291" s="0" t="s">
        <v>31</v>
      </c>
      <c r="D291" s="0" t="n">
        <v>88.8097727931629</v>
      </c>
      <c r="E291" s="0" t="s">
        <v>522</v>
      </c>
    </row>
    <row r="292" customFormat="false" ht="15" hidden="false" customHeight="false" outlineLevel="0" collapsed="false">
      <c r="A292" s="0" t="s">
        <v>100</v>
      </c>
      <c r="B292" s="0" t="n">
        <v>2014</v>
      </c>
      <c r="C292" s="0" t="s">
        <v>33</v>
      </c>
      <c r="D292" s="0" t="n">
        <v>14.3881395908568</v>
      </c>
      <c r="E292" s="0" t="s">
        <v>522</v>
      </c>
    </row>
    <row r="293" customFormat="false" ht="15" hidden="false" customHeight="false" outlineLevel="0" collapsed="false">
      <c r="A293" s="0" t="s">
        <v>100</v>
      </c>
      <c r="B293" s="0" t="n">
        <v>2014</v>
      </c>
      <c r="C293" s="0" t="s">
        <v>21</v>
      </c>
      <c r="D293" s="0" t="n">
        <v>0</v>
      </c>
      <c r="E293" s="0" t="s">
        <v>522</v>
      </c>
    </row>
    <row r="294" customFormat="false" ht="15" hidden="false" customHeight="false" outlineLevel="0" collapsed="false">
      <c r="A294" s="0" t="s">
        <v>100</v>
      </c>
      <c r="B294" s="0" t="n">
        <v>2014</v>
      </c>
      <c r="C294" s="0" t="s">
        <v>35</v>
      </c>
      <c r="D294" s="0" t="n">
        <v>0</v>
      </c>
      <c r="E294" s="0" t="s">
        <v>522</v>
      </c>
    </row>
    <row r="295" customFormat="false" ht="15" hidden="false" customHeight="false" outlineLevel="0" collapsed="false">
      <c r="A295" s="0" t="s">
        <v>100</v>
      </c>
      <c r="B295" s="0" t="n">
        <v>2015</v>
      </c>
      <c r="C295" s="0" t="s">
        <v>54</v>
      </c>
      <c r="D295" s="0" t="n">
        <v>11304</v>
      </c>
      <c r="E295" s="0" t="s">
        <v>523</v>
      </c>
      <c r="F295" s="0" t="s">
        <v>524</v>
      </c>
      <c r="G295" s="0" t="s">
        <v>84</v>
      </c>
      <c r="H295" s="0" t="s">
        <v>683</v>
      </c>
    </row>
    <row r="296" customFormat="false" ht="15" hidden="false" customHeight="false" outlineLevel="0" collapsed="false">
      <c r="A296" s="0" t="s">
        <v>100</v>
      </c>
      <c r="B296" s="0" t="n">
        <v>2015</v>
      </c>
      <c r="C296" s="0" t="s">
        <v>55</v>
      </c>
      <c r="D296" s="0" t="n">
        <v>1794348</v>
      </c>
      <c r="E296" s="0" t="s">
        <v>523</v>
      </c>
      <c r="F296" s="0" t="s">
        <v>524</v>
      </c>
      <c r="G296" s="0" t="s">
        <v>84</v>
      </c>
      <c r="H296" s="0" t="s">
        <v>684</v>
      </c>
    </row>
    <row r="297" customFormat="false" ht="15" hidden="false" customHeight="false" outlineLevel="0" collapsed="false">
      <c r="A297" s="0" t="s">
        <v>100</v>
      </c>
      <c r="B297" s="0" t="n">
        <v>2015</v>
      </c>
      <c r="C297" s="0" t="s">
        <v>56</v>
      </c>
      <c r="D297" s="0" t="n">
        <v>1566561</v>
      </c>
      <c r="E297" s="0" t="s">
        <v>523</v>
      </c>
      <c r="F297" s="0" t="s">
        <v>524</v>
      </c>
      <c r="G297" s="0" t="s">
        <v>84</v>
      </c>
      <c r="H297" s="0" t="s">
        <v>685</v>
      </c>
    </row>
    <row r="298" customFormat="false" ht="15" hidden="false" customHeight="false" outlineLevel="0" collapsed="false">
      <c r="A298" s="0" t="s">
        <v>100</v>
      </c>
      <c r="B298" s="0" t="n">
        <v>2015</v>
      </c>
      <c r="C298" s="0" t="s">
        <v>57</v>
      </c>
      <c r="D298" s="0" t="n">
        <v>227787</v>
      </c>
      <c r="E298" s="0" t="s">
        <v>523</v>
      </c>
      <c r="F298" s="0" t="s">
        <v>524</v>
      </c>
      <c r="G298" s="0" t="s">
        <v>84</v>
      </c>
      <c r="H298" s="0" t="s">
        <v>686</v>
      </c>
    </row>
    <row r="299" customFormat="false" ht="15" hidden="false" customHeight="false" outlineLevel="0" collapsed="false">
      <c r="A299" s="0" t="s">
        <v>100</v>
      </c>
      <c r="B299" s="0" t="n">
        <v>2015</v>
      </c>
      <c r="C299" s="0" t="s">
        <v>58</v>
      </c>
      <c r="D299" s="0" t="n">
        <v>24229</v>
      </c>
      <c r="E299" s="0" t="s">
        <v>523</v>
      </c>
      <c r="F299" s="0" t="s">
        <v>524</v>
      </c>
      <c r="G299" s="0" t="s">
        <v>84</v>
      </c>
      <c r="H299" s="0" t="s">
        <v>687</v>
      </c>
    </row>
    <row r="300" customFormat="false" ht="15" hidden="false" customHeight="false" outlineLevel="0" collapsed="false">
      <c r="A300" s="0" t="s">
        <v>100</v>
      </c>
      <c r="B300" s="0" t="n">
        <v>2015</v>
      </c>
      <c r="C300" s="0" t="s">
        <v>59</v>
      </c>
      <c r="D300" s="0" t="n">
        <v>1772922</v>
      </c>
      <c r="E300" s="0" t="s">
        <v>643</v>
      </c>
      <c r="F300" s="0" t="s">
        <v>524</v>
      </c>
      <c r="G300" s="0" t="s">
        <v>84</v>
      </c>
      <c r="H300" s="0" t="s">
        <v>688</v>
      </c>
    </row>
    <row r="301" customFormat="false" ht="15" hidden="false" customHeight="false" outlineLevel="0" collapsed="false">
      <c r="A301" s="0" t="s">
        <v>100</v>
      </c>
      <c r="B301" s="0" t="n">
        <v>2015</v>
      </c>
      <c r="C301" s="0" t="s">
        <v>60</v>
      </c>
      <c r="D301" s="0" t="n">
        <v>885701</v>
      </c>
      <c r="E301" s="0" t="s">
        <v>523</v>
      </c>
      <c r="F301" s="0" t="s">
        <v>524</v>
      </c>
      <c r="G301" s="0" t="s">
        <v>84</v>
      </c>
      <c r="H301" s="0" t="s">
        <v>689</v>
      </c>
    </row>
    <row r="302" customFormat="false" ht="15" hidden="false" customHeight="false" outlineLevel="0" collapsed="false">
      <c r="A302" s="0" t="s">
        <v>100</v>
      </c>
      <c r="B302" s="0" t="n">
        <v>2015</v>
      </c>
      <c r="C302" s="0" t="s">
        <v>61</v>
      </c>
      <c r="D302" s="0" t="n">
        <v>68353</v>
      </c>
      <c r="E302" s="0" t="s">
        <v>523</v>
      </c>
      <c r="F302" s="0" t="s">
        <v>524</v>
      </c>
      <c r="G302" s="0" t="s">
        <v>84</v>
      </c>
      <c r="H302" s="0" t="s">
        <v>690</v>
      </c>
    </row>
    <row r="303" customFormat="false" ht="15" hidden="false" customHeight="false" outlineLevel="0" collapsed="false">
      <c r="A303" s="0" t="s">
        <v>100</v>
      </c>
      <c r="B303" s="0" t="n">
        <v>2015</v>
      </c>
      <c r="C303" s="0" t="s">
        <v>62</v>
      </c>
      <c r="D303" s="0" t="n">
        <v>817348</v>
      </c>
      <c r="E303" s="0" t="s">
        <v>523</v>
      </c>
      <c r="F303" s="0" t="s">
        <v>524</v>
      </c>
      <c r="G303" s="0" t="s">
        <v>84</v>
      </c>
      <c r="H303" s="0" t="s">
        <v>691</v>
      </c>
    </row>
    <row r="304" customFormat="false" ht="15" hidden="false" customHeight="false" outlineLevel="0" collapsed="false">
      <c r="A304" s="0" t="s">
        <v>100</v>
      </c>
      <c r="B304" s="0" t="n">
        <v>2015</v>
      </c>
      <c r="C304" s="0" t="s">
        <v>63</v>
      </c>
      <c r="D304" s="0" t="n">
        <v>55740</v>
      </c>
      <c r="E304" s="0" t="s">
        <v>523</v>
      </c>
      <c r="F304" s="0" t="s">
        <v>524</v>
      </c>
      <c r="G304" s="0" t="s">
        <v>84</v>
      </c>
      <c r="H304" s="0" t="s">
        <v>692</v>
      </c>
    </row>
    <row r="305" customFormat="false" ht="15" hidden="false" customHeight="false" outlineLevel="0" collapsed="false">
      <c r="A305" s="0" t="s">
        <v>100</v>
      </c>
      <c r="B305" s="0" t="n">
        <v>2015</v>
      </c>
      <c r="C305" s="0" t="s">
        <v>69</v>
      </c>
      <c r="D305" s="0" t="n">
        <v>19</v>
      </c>
      <c r="E305" s="0" t="s">
        <v>523</v>
      </c>
      <c r="F305" s="0" t="s">
        <v>524</v>
      </c>
      <c r="G305" s="0" t="s">
        <v>84</v>
      </c>
      <c r="H305" s="0" t="s">
        <v>693</v>
      </c>
    </row>
    <row r="306" customFormat="false" ht="15" hidden="false" customHeight="false" outlineLevel="0" collapsed="false">
      <c r="A306" s="0" t="s">
        <v>100</v>
      </c>
      <c r="B306" s="0" t="n">
        <v>2015</v>
      </c>
      <c r="C306" s="0" t="s">
        <v>65</v>
      </c>
      <c r="D306" s="0" t="n">
        <v>254109</v>
      </c>
      <c r="E306" s="0" t="s">
        <v>523</v>
      </c>
      <c r="F306" s="0" t="s">
        <v>524</v>
      </c>
      <c r="G306" s="0" t="s">
        <v>84</v>
      </c>
      <c r="H306" s="0" t="s">
        <v>694</v>
      </c>
    </row>
    <row r="307" customFormat="false" ht="15" hidden="false" customHeight="false" outlineLevel="0" collapsed="false">
      <c r="A307" s="0" t="s">
        <v>100</v>
      </c>
      <c r="B307" s="0" t="n">
        <v>2015</v>
      </c>
      <c r="C307" s="0" t="s">
        <v>66</v>
      </c>
      <c r="D307" s="0" t="n">
        <v>1357098</v>
      </c>
      <c r="E307" s="0" t="s">
        <v>523</v>
      </c>
      <c r="F307" s="0" t="s">
        <v>524</v>
      </c>
      <c r="G307" s="0" t="s">
        <v>84</v>
      </c>
      <c r="H307" s="0" t="s">
        <v>695</v>
      </c>
    </row>
    <row r="308" customFormat="false" ht="15" hidden="false" customHeight="false" outlineLevel="0" collapsed="false">
      <c r="A308" s="0" t="s">
        <v>100</v>
      </c>
      <c r="B308" s="0" t="n">
        <v>2015</v>
      </c>
      <c r="C308" s="0" t="s">
        <v>73</v>
      </c>
      <c r="D308" s="0" t="n">
        <v>0</v>
      </c>
      <c r="E308" s="0" t="s">
        <v>539</v>
      </c>
      <c r="F308" s="0" t="s">
        <v>524</v>
      </c>
      <c r="G308" s="0" t="s">
        <v>84</v>
      </c>
      <c r="H308" s="0" t="s">
        <v>696</v>
      </c>
    </row>
    <row r="309" customFormat="false" ht="15" hidden="false" customHeight="false" outlineLevel="0" collapsed="false">
      <c r="A309" s="0" t="s">
        <v>100</v>
      </c>
      <c r="B309" s="0" t="n">
        <v>2015</v>
      </c>
      <c r="C309" s="0" t="s">
        <v>541</v>
      </c>
      <c r="D309" s="0" t="n">
        <v>11380</v>
      </c>
      <c r="E309" s="0" t="s">
        <v>523</v>
      </c>
      <c r="F309" s="0" t="s">
        <v>524</v>
      </c>
      <c r="G309" s="0" t="s">
        <v>84</v>
      </c>
      <c r="H309" s="0" t="s">
        <v>697</v>
      </c>
    </row>
    <row r="310" customFormat="false" ht="15" hidden="false" customHeight="false" outlineLevel="0" collapsed="false">
      <c r="A310" s="0" t="s">
        <v>100</v>
      </c>
      <c r="B310" s="0" t="n">
        <v>2015</v>
      </c>
      <c r="C310" s="0" t="s">
        <v>19</v>
      </c>
      <c r="D310" s="0" t="n">
        <v>1783635</v>
      </c>
      <c r="E310" s="0" t="s">
        <v>522</v>
      </c>
    </row>
    <row r="311" customFormat="false" ht="15" hidden="false" customHeight="false" outlineLevel="0" collapsed="false">
      <c r="A311" s="0" t="s">
        <v>100</v>
      </c>
      <c r="B311" s="0" t="n">
        <v>2015</v>
      </c>
      <c r="C311" s="0" t="s">
        <v>41</v>
      </c>
      <c r="D311" s="0" t="n">
        <v>0.633761952417395</v>
      </c>
      <c r="E311" s="0" t="s">
        <v>522</v>
      </c>
    </row>
    <row r="312" customFormat="false" ht="15" hidden="false" customHeight="false" outlineLevel="0" collapsed="false">
      <c r="A312" s="0" t="s">
        <v>100</v>
      </c>
      <c r="B312" s="0" t="n">
        <v>2015</v>
      </c>
      <c r="C312" s="0" t="s">
        <v>27</v>
      </c>
      <c r="D312" s="0" t="n">
        <v>12.6946946746116</v>
      </c>
      <c r="E312" s="0" t="s">
        <v>522</v>
      </c>
    </row>
    <row r="313" customFormat="false" ht="15" hidden="false" customHeight="false" outlineLevel="0" collapsed="false">
      <c r="A313" s="0" t="s">
        <v>100</v>
      </c>
      <c r="B313" s="0" t="n">
        <v>2015</v>
      </c>
      <c r="C313" s="0" t="s">
        <v>39</v>
      </c>
      <c r="D313" s="0" t="n">
        <v>1.35840572762925</v>
      </c>
      <c r="E313" s="0" t="s">
        <v>522</v>
      </c>
    </row>
    <row r="314" customFormat="false" ht="15" hidden="false" customHeight="false" outlineLevel="0" collapsed="false">
      <c r="A314" s="0" t="s">
        <v>100</v>
      </c>
      <c r="B314" s="0" t="n">
        <v>2015</v>
      </c>
      <c r="C314" s="0" t="s">
        <v>17</v>
      </c>
      <c r="D314" s="0" t="n">
        <v>7.7173899543977</v>
      </c>
      <c r="E314" s="0" t="s">
        <v>522</v>
      </c>
    </row>
    <row r="315" customFormat="false" ht="15" hidden="false" customHeight="false" outlineLevel="0" collapsed="false">
      <c r="A315" s="0" t="s">
        <v>100</v>
      </c>
      <c r="B315" s="0" t="n">
        <v>2015</v>
      </c>
      <c r="C315" s="0" t="s">
        <v>25</v>
      </c>
      <c r="D315" s="0" t="n">
        <v>18.7244399446466</v>
      </c>
      <c r="E315" s="0" t="s">
        <v>522</v>
      </c>
    </row>
    <row r="316" customFormat="false" ht="15" hidden="false" customHeight="false" outlineLevel="0" collapsed="false">
      <c r="A316" s="0" t="s">
        <v>100</v>
      </c>
      <c r="B316" s="0" t="n">
        <v>2015</v>
      </c>
      <c r="C316" s="0" t="s">
        <v>29</v>
      </c>
      <c r="D316" s="0" t="n">
        <v>3.1250788418034</v>
      </c>
      <c r="E316" s="0" t="s">
        <v>522</v>
      </c>
    </row>
    <row r="317" customFormat="false" ht="15" hidden="false" customHeight="false" outlineLevel="0" collapsed="false">
      <c r="A317" s="0" t="s">
        <v>100</v>
      </c>
      <c r="B317" s="0" t="n">
        <v>2015</v>
      </c>
      <c r="C317" s="0" t="s">
        <v>43</v>
      </c>
      <c r="D317" s="0" t="n">
        <v>0.629978131332384</v>
      </c>
      <c r="E317" s="0" t="s">
        <v>522</v>
      </c>
    </row>
    <row r="318" customFormat="false" ht="15" hidden="false" customHeight="false" outlineLevel="0" collapsed="false">
      <c r="A318" s="0" t="s">
        <v>100</v>
      </c>
      <c r="B318" s="0" t="n">
        <v>2015</v>
      </c>
      <c r="C318" s="0" t="s">
        <v>31</v>
      </c>
      <c r="D318" s="0" t="n">
        <v>87.3053053253884</v>
      </c>
      <c r="E318" s="0" t="s">
        <v>522</v>
      </c>
    </row>
    <row r="319" customFormat="false" ht="15" hidden="false" customHeight="false" outlineLevel="0" collapsed="false">
      <c r="A319" s="0" t="s">
        <v>100</v>
      </c>
      <c r="B319" s="0" t="n">
        <v>2015</v>
      </c>
      <c r="C319" s="0" t="s">
        <v>33</v>
      </c>
      <c r="D319" s="0" t="n">
        <v>14.4001522827223</v>
      </c>
      <c r="E319" s="0" t="s">
        <v>522</v>
      </c>
    </row>
    <row r="320" customFormat="false" ht="15" hidden="false" customHeight="false" outlineLevel="0" collapsed="false">
      <c r="A320" s="0" t="s">
        <v>100</v>
      </c>
      <c r="B320" s="0" t="n">
        <v>2015</v>
      </c>
      <c r="C320" s="0" t="s">
        <v>21</v>
      </c>
      <c r="D320" s="0" t="n">
        <v>0</v>
      </c>
      <c r="E320" s="0" t="s">
        <v>522</v>
      </c>
    </row>
    <row r="321" customFormat="false" ht="15" hidden="false" customHeight="false" outlineLevel="0" collapsed="false">
      <c r="A321" s="0" t="s">
        <v>100</v>
      </c>
      <c r="B321" s="0" t="n">
        <v>2015</v>
      </c>
      <c r="C321" s="0" t="s">
        <v>35</v>
      </c>
      <c r="D321" s="0" t="n">
        <v>0</v>
      </c>
      <c r="E321" s="0" t="s">
        <v>522</v>
      </c>
    </row>
    <row r="322" customFormat="false" ht="15" hidden="false" customHeight="false" outlineLevel="0" collapsed="false">
      <c r="A322" s="0" t="s">
        <v>100</v>
      </c>
      <c r="B322" s="0" t="n">
        <v>2016</v>
      </c>
      <c r="C322" s="0" t="s">
        <v>54</v>
      </c>
      <c r="D322" s="0" t="n">
        <v>5780</v>
      </c>
      <c r="E322" s="0" t="s">
        <v>521</v>
      </c>
      <c r="G322" s="0" t="s">
        <v>81</v>
      </c>
    </row>
    <row r="323" customFormat="false" ht="15" hidden="false" customHeight="false" outlineLevel="0" collapsed="false">
      <c r="A323" s="0" t="s">
        <v>100</v>
      </c>
      <c r="B323" s="0" t="n">
        <v>2016</v>
      </c>
      <c r="C323" s="0" t="s">
        <v>55</v>
      </c>
      <c r="D323" s="0" t="n">
        <v>1808503</v>
      </c>
      <c r="E323" s="0" t="s">
        <v>521</v>
      </c>
      <c r="G323" s="0" t="s">
        <v>81</v>
      </c>
    </row>
    <row r="324" customFormat="false" ht="15" hidden="false" customHeight="false" outlineLevel="0" collapsed="false">
      <c r="A324" s="0" t="s">
        <v>100</v>
      </c>
      <c r="B324" s="0" t="n">
        <v>2016</v>
      </c>
      <c r="C324" s="0" t="s">
        <v>56</v>
      </c>
      <c r="D324" s="0" t="n">
        <v>1587728</v>
      </c>
      <c r="E324" s="0" t="s">
        <v>521</v>
      </c>
      <c r="G324" s="0" t="s">
        <v>81</v>
      </c>
    </row>
    <row r="325" customFormat="false" ht="15" hidden="false" customHeight="false" outlineLevel="0" collapsed="false">
      <c r="A325" s="0" t="s">
        <v>100</v>
      </c>
      <c r="B325" s="0" t="n">
        <v>2016</v>
      </c>
      <c r="C325" s="0" t="s">
        <v>57</v>
      </c>
      <c r="D325" s="0" t="n">
        <v>220775</v>
      </c>
      <c r="E325" s="0" t="s">
        <v>521</v>
      </c>
      <c r="G325" s="0" t="s">
        <v>81</v>
      </c>
    </row>
    <row r="326" customFormat="false" ht="15" hidden="false" customHeight="false" outlineLevel="0" collapsed="false">
      <c r="A326" s="0" t="s">
        <v>100</v>
      </c>
      <c r="B326" s="0" t="n">
        <v>2016</v>
      </c>
      <c r="C326" s="0" t="s">
        <v>63</v>
      </c>
      <c r="D326" s="0" t="n">
        <v>82783</v>
      </c>
      <c r="E326" s="0" t="s">
        <v>521</v>
      </c>
      <c r="G326" s="0" t="s">
        <v>81</v>
      </c>
    </row>
    <row r="327" customFormat="false" ht="15" hidden="false" customHeight="false" outlineLevel="0" collapsed="false">
      <c r="A327" s="0" t="s">
        <v>100</v>
      </c>
      <c r="B327" s="0" t="n">
        <v>2016</v>
      </c>
      <c r="C327" s="0" t="s">
        <v>327</v>
      </c>
      <c r="D327" s="0" t="n">
        <v>9.1</v>
      </c>
      <c r="E327" s="0" t="s">
        <v>521</v>
      </c>
      <c r="G327" s="0" t="s">
        <v>81</v>
      </c>
    </row>
    <row r="328" customFormat="false" ht="15" hidden="false" customHeight="false" outlineLevel="0" collapsed="false">
      <c r="A328" s="0" t="s">
        <v>100</v>
      </c>
      <c r="B328" s="0" t="n">
        <v>2016</v>
      </c>
      <c r="C328" s="0" t="s">
        <v>27</v>
      </c>
      <c r="D328" s="0" t="n">
        <v>12.2076103827309</v>
      </c>
      <c r="E328" s="0" t="s">
        <v>522</v>
      </c>
    </row>
    <row r="329" customFormat="false" ht="15" hidden="false" customHeight="false" outlineLevel="0" collapsed="false">
      <c r="A329" s="0" t="s">
        <v>100</v>
      </c>
      <c r="B329" s="0" t="n">
        <v>2016</v>
      </c>
      <c r="C329" s="0" t="s">
        <v>43</v>
      </c>
      <c r="D329" s="0" t="n">
        <v>0.319601349845701</v>
      </c>
      <c r="E329" s="0" t="s">
        <v>522</v>
      </c>
    </row>
    <row r="330" customFormat="false" ht="15" hidden="false" customHeight="false" outlineLevel="0" collapsed="false">
      <c r="A330" s="0" t="s">
        <v>100</v>
      </c>
      <c r="B330" s="0" t="n">
        <v>2016</v>
      </c>
      <c r="C330" s="0" t="s">
        <v>31</v>
      </c>
      <c r="D330" s="0" t="n">
        <v>87.7923896172691</v>
      </c>
      <c r="E330" s="0" t="s">
        <v>522</v>
      </c>
    </row>
    <row r="331" customFormat="false" ht="15" hidden="false" customHeight="false" outlineLevel="0" collapsed="false">
      <c r="A331" s="0" t="s">
        <v>100</v>
      </c>
      <c r="B331" s="0" t="n">
        <v>2016</v>
      </c>
      <c r="C331" s="0" t="s">
        <v>33</v>
      </c>
      <c r="D331" s="0" t="n">
        <v>14.4080099892062</v>
      </c>
      <c r="E331" s="0" t="s">
        <v>522</v>
      </c>
    </row>
    <row r="332" customFormat="false" ht="15" hidden="false" customHeight="false" outlineLevel="0" collapsed="false">
      <c r="A332" s="0" t="s">
        <v>100</v>
      </c>
      <c r="B332" s="0" t="n">
        <v>2016</v>
      </c>
      <c r="C332" s="0" t="s">
        <v>21</v>
      </c>
      <c r="D332" s="0" t="n">
        <v>0</v>
      </c>
      <c r="E332" s="0" t="s">
        <v>522</v>
      </c>
    </row>
    <row r="333" customFormat="false" ht="15" hidden="false" customHeight="false" outlineLevel="0" collapsed="false">
      <c r="A333" s="0" t="s">
        <v>100</v>
      </c>
      <c r="B333" s="0" t="n">
        <v>2017</v>
      </c>
      <c r="C333" s="0" t="s">
        <v>54</v>
      </c>
      <c r="D333" s="0" t="n">
        <v>20204</v>
      </c>
      <c r="E333" s="0" t="s">
        <v>521</v>
      </c>
      <c r="G333" s="0" t="s">
        <v>81</v>
      </c>
    </row>
    <row r="334" customFormat="false" ht="15" hidden="false" customHeight="false" outlineLevel="0" collapsed="false">
      <c r="A334" s="0" t="s">
        <v>100</v>
      </c>
      <c r="B334" s="0" t="n">
        <v>2017</v>
      </c>
      <c r="C334" s="0" t="s">
        <v>55</v>
      </c>
      <c r="D334" s="0" t="n">
        <v>1829761</v>
      </c>
      <c r="E334" s="0" t="s">
        <v>521</v>
      </c>
      <c r="G334" s="0" t="s">
        <v>81</v>
      </c>
    </row>
    <row r="335" customFormat="false" ht="15" hidden="false" customHeight="false" outlineLevel="0" collapsed="false">
      <c r="A335" s="0" t="s">
        <v>100</v>
      </c>
      <c r="B335" s="0" t="n">
        <v>2017</v>
      </c>
      <c r="C335" s="0" t="s">
        <v>56</v>
      </c>
      <c r="D335" s="0" t="n">
        <v>1562432</v>
      </c>
      <c r="E335" s="0" t="s">
        <v>521</v>
      </c>
      <c r="G335" s="0" t="s">
        <v>81</v>
      </c>
    </row>
    <row r="336" customFormat="false" ht="15" hidden="false" customHeight="false" outlineLevel="0" collapsed="false">
      <c r="A336" s="0" t="s">
        <v>100</v>
      </c>
      <c r="B336" s="0" t="n">
        <v>2017</v>
      </c>
      <c r="C336" s="0" t="s">
        <v>57</v>
      </c>
      <c r="D336" s="0" t="n">
        <v>267329</v>
      </c>
      <c r="E336" s="0" t="s">
        <v>521</v>
      </c>
      <c r="G336" s="0" t="s">
        <v>81</v>
      </c>
    </row>
    <row r="337" customFormat="false" ht="15" hidden="false" customHeight="false" outlineLevel="0" collapsed="false">
      <c r="A337" s="0" t="s">
        <v>100</v>
      </c>
      <c r="B337" s="0" t="n">
        <v>2017</v>
      </c>
      <c r="C337" s="0" t="s">
        <v>59</v>
      </c>
      <c r="D337" s="0" t="n">
        <v>1808503</v>
      </c>
      <c r="E337" s="0" t="s">
        <v>521</v>
      </c>
      <c r="G337" s="0" t="s">
        <v>81</v>
      </c>
    </row>
    <row r="338" customFormat="false" ht="15" hidden="false" customHeight="false" outlineLevel="0" collapsed="false">
      <c r="A338" s="0" t="s">
        <v>100</v>
      </c>
      <c r="B338" s="0" t="n">
        <v>2017</v>
      </c>
      <c r="C338" s="0" t="s">
        <v>63</v>
      </c>
      <c r="D338" s="0" t="n">
        <v>59901</v>
      </c>
      <c r="E338" s="0" t="s">
        <v>521</v>
      </c>
      <c r="G338" s="0" t="s">
        <v>81</v>
      </c>
    </row>
    <row r="339" customFormat="false" ht="15" hidden="false" customHeight="false" outlineLevel="0" collapsed="false">
      <c r="A339" s="0" t="s">
        <v>100</v>
      </c>
      <c r="B339" s="0" t="n">
        <v>2017</v>
      </c>
      <c r="C339" s="0" t="s">
        <v>327</v>
      </c>
      <c r="D339" s="0" t="n">
        <v>14.5</v>
      </c>
      <c r="E339" s="0" t="s">
        <v>521</v>
      </c>
      <c r="G339" s="0" t="s">
        <v>81</v>
      </c>
    </row>
    <row r="340" customFormat="false" ht="15" hidden="false" customHeight="false" outlineLevel="0" collapsed="false">
      <c r="A340" s="0" t="s">
        <v>100</v>
      </c>
      <c r="B340" s="0" t="n">
        <v>2017</v>
      </c>
      <c r="C340" s="0" t="s">
        <v>19</v>
      </c>
      <c r="D340" s="0" t="n">
        <v>1819132</v>
      </c>
      <c r="E340" s="0" t="s">
        <v>522</v>
      </c>
    </row>
    <row r="341" customFormat="false" ht="15" hidden="false" customHeight="false" outlineLevel="0" collapsed="false">
      <c r="A341" s="0" t="s">
        <v>100</v>
      </c>
      <c r="B341" s="0" t="n">
        <v>2017</v>
      </c>
      <c r="C341" s="0" t="s">
        <v>41</v>
      </c>
      <c r="D341" s="0" t="n">
        <v>1.11063957975562</v>
      </c>
      <c r="E341" s="0" t="s">
        <v>522</v>
      </c>
    </row>
    <row r="342" customFormat="false" ht="15" hidden="false" customHeight="false" outlineLevel="0" collapsed="false">
      <c r="A342" s="0" t="s">
        <v>100</v>
      </c>
      <c r="B342" s="0" t="n">
        <v>2017</v>
      </c>
      <c r="C342" s="0" t="s">
        <v>27</v>
      </c>
      <c r="D342" s="0" t="n">
        <v>14.6100501650216</v>
      </c>
      <c r="E342" s="0" t="s">
        <v>522</v>
      </c>
    </row>
    <row r="343" customFormat="false" ht="15" hidden="false" customHeight="false" outlineLevel="0" collapsed="false">
      <c r="A343" s="0" t="s">
        <v>100</v>
      </c>
      <c r="B343" s="0" t="n">
        <v>2017</v>
      </c>
      <c r="C343" s="0" t="s">
        <v>29</v>
      </c>
      <c r="D343" s="0" t="n">
        <v>3.29283416486544</v>
      </c>
      <c r="E343" s="0" t="s">
        <v>522</v>
      </c>
    </row>
    <row r="344" customFormat="false" ht="15" hidden="false" customHeight="false" outlineLevel="0" collapsed="false">
      <c r="A344" s="0" t="s">
        <v>100</v>
      </c>
      <c r="B344" s="0" t="n">
        <v>2017</v>
      </c>
      <c r="C344" s="0" t="s">
        <v>43</v>
      </c>
      <c r="D344" s="0" t="n">
        <v>1.10418792399663</v>
      </c>
      <c r="E344" s="0" t="s">
        <v>522</v>
      </c>
    </row>
    <row r="345" customFormat="false" ht="15" hidden="false" customHeight="false" outlineLevel="0" collapsed="false">
      <c r="A345" s="0" t="s">
        <v>100</v>
      </c>
      <c r="B345" s="0" t="n">
        <v>2017</v>
      </c>
      <c r="C345" s="0" t="s">
        <v>31</v>
      </c>
      <c r="D345" s="0" t="n">
        <v>85.3899498349785</v>
      </c>
      <c r="E345" s="0" t="s">
        <v>522</v>
      </c>
    </row>
    <row r="346" customFormat="false" ht="15" hidden="false" customHeight="false" outlineLevel="0" collapsed="false">
      <c r="A346" s="0" t="s">
        <v>100</v>
      </c>
      <c r="B346" s="0" t="n">
        <v>2017</v>
      </c>
      <c r="C346" s="0" t="s">
        <v>33</v>
      </c>
      <c r="D346" s="0" t="n">
        <v>14.4196959151956</v>
      </c>
      <c r="E346" s="0" t="s">
        <v>522</v>
      </c>
    </row>
    <row r="347" customFormat="false" ht="15" hidden="false" customHeight="false" outlineLevel="0" collapsed="false">
      <c r="A347" s="0" t="s">
        <v>100</v>
      </c>
      <c r="B347" s="0" t="n">
        <v>2017</v>
      </c>
      <c r="C347" s="0" t="s">
        <v>21</v>
      </c>
      <c r="D347" s="0" t="n">
        <v>0</v>
      </c>
      <c r="E347" s="0" t="s">
        <v>522</v>
      </c>
    </row>
    <row r="348" customFormat="false" ht="15" hidden="false" customHeight="false" outlineLevel="0" collapsed="false">
      <c r="A348" s="0" t="s">
        <v>100</v>
      </c>
      <c r="B348" s="0" t="n">
        <v>2018</v>
      </c>
      <c r="C348" s="0" t="s">
        <v>54</v>
      </c>
      <c r="D348" s="0" t="n">
        <v>27155</v>
      </c>
      <c r="E348" s="0" t="s">
        <v>523</v>
      </c>
      <c r="F348" s="0" t="s">
        <v>524</v>
      </c>
      <c r="G348" s="0" t="s">
        <v>109</v>
      </c>
      <c r="H348" s="0" t="s">
        <v>698</v>
      </c>
      <c r="I348" s="0" t="s">
        <v>699</v>
      </c>
    </row>
    <row r="349" customFormat="false" ht="15" hidden="false" customHeight="false" outlineLevel="0" collapsed="false">
      <c r="A349" s="0" t="s">
        <v>100</v>
      </c>
      <c r="B349" s="0" t="n">
        <v>2018</v>
      </c>
      <c r="C349" s="0" t="s">
        <v>55</v>
      </c>
      <c r="D349" s="0" t="n">
        <v>1956830</v>
      </c>
      <c r="E349" s="0" t="s">
        <v>523</v>
      </c>
      <c r="F349" s="0" t="s">
        <v>524</v>
      </c>
      <c r="G349" s="0" t="s">
        <v>109</v>
      </c>
      <c r="H349" s="0" t="s">
        <v>700</v>
      </c>
    </row>
    <row r="350" customFormat="false" ht="15" hidden="false" customHeight="false" outlineLevel="0" collapsed="false">
      <c r="A350" s="0" t="s">
        <v>100</v>
      </c>
      <c r="B350" s="0" t="n">
        <v>2018</v>
      </c>
      <c r="C350" s="0" t="s">
        <v>56</v>
      </c>
      <c r="D350" s="0" t="n">
        <v>1709348</v>
      </c>
      <c r="E350" s="0" t="s">
        <v>523</v>
      </c>
      <c r="F350" s="0" t="s">
        <v>524</v>
      </c>
      <c r="G350" s="0" t="s">
        <v>109</v>
      </c>
      <c r="H350" s="0" t="s">
        <v>701</v>
      </c>
    </row>
    <row r="351" customFormat="false" ht="15" hidden="false" customHeight="false" outlineLevel="0" collapsed="false">
      <c r="A351" s="0" t="s">
        <v>100</v>
      </c>
      <c r="B351" s="0" t="n">
        <v>2018</v>
      </c>
      <c r="C351" s="0" t="s">
        <v>57</v>
      </c>
      <c r="D351" s="0" t="n">
        <v>247482</v>
      </c>
      <c r="E351" s="0" t="s">
        <v>523</v>
      </c>
      <c r="F351" s="0" t="s">
        <v>524</v>
      </c>
      <c r="G351" s="0" t="s">
        <v>109</v>
      </c>
      <c r="H351" s="0" t="s">
        <v>702</v>
      </c>
    </row>
    <row r="352" customFormat="false" ht="15" hidden="false" customHeight="false" outlineLevel="0" collapsed="false">
      <c r="A352" s="0" t="s">
        <v>100</v>
      </c>
      <c r="B352" s="0" t="n">
        <v>2018</v>
      </c>
      <c r="C352" s="0" t="s">
        <v>58</v>
      </c>
      <c r="D352" s="0" t="n">
        <v>31236</v>
      </c>
      <c r="E352" s="0" t="s">
        <v>523</v>
      </c>
      <c r="F352" s="0" t="s">
        <v>524</v>
      </c>
      <c r="G352" s="0" t="s">
        <v>109</v>
      </c>
      <c r="H352" s="0" t="s">
        <v>703</v>
      </c>
    </row>
    <row r="353" customFormat="false" ht="15" hidden="false" customHeight="false" outlineLevel="0" collapsed="false">
      <c r="A353" s="0" t="s">
        <v>100</v>
      </c>
      <c r="B353" s="0" t="n">
        <v>2018</v>
      </c>
      <c r="C353" s="0" t="s">
        <v>59</v>
      </c>
      <c r="D353" s="0" t="n">
        <v>1829761</v>
      </c>
      <c r="E353" s="0" t="s">
        <v>643</v>
      </c>
      <c r="F353" s="0" t="s">
        <v>524</v>
      </c>
      <c r="G353" s="0" t="s">
        <v>109</v>
      </c>
      <c r="H353" s="0" t="s">
        <v>704</v>
      </c>
    </row>
    <row r="354" customFormat="false" ht="15" hidden="false" customHeight="false" outlineLevel="0" collapsed="false">
      <c r="A354" s="0" t="s">
        <v>100</v>
      </c>
      <c r="B354" s="0" t="n">
        <v>2018</v>
      </c>
      <c r="C354" s="0" t="s">
        <v>60</v>
      </c>
      <c r="D354" s="0" t="n">
        <v>926546</v>
      </c>
      <c r="E354" s="0" t="s">
        <v>523</v>
      </c>
      <c r="F354" s="0" t="s">
        <v>524</v>
      </c>
      <c r="G354" s="0" t="s">
        <v>109</v>
      </c>
      <c r="H354" s="0" t="s">
        <v>705</v>
      </c>
    </row>
    <row r="355" customFormat="false" ht="15" hidden="false" customHeight="false" outlineLevel="0" collapsed="false">
      <c r="A355" s="0" t="s">
        <v>100</v>
      </c>
      <c r="B355" s="0" t="n">
        <v>2018</v>
      </c>
      <c r="C355" s="0" t="s">
        <v>61</v>
      </c>
      <c r="D355" s="0" t="n">
        <v>84071</v>
      </c>
      <c r="E355" s="0" t="s">
        <v>523</v>
      </c>
      <c r="F355" s="0" t="s">
        <v>524</v>
      </c>
      <c r="G355" s="0" t="s">
        <v>109</v>
      </c>
      <c r="H355" s="0" t="s">
        <v>706</v>
      </c>
    </row>
    <row r="356" customFormat="false" ht="15" hidden="false" customHeight="false" outlineLevel="0" collapsed="false">
      <c r="A356" s="0" t="s">
        <v>100</v>
      </c>
      <c r="B356" s="0" t="n">
        <v>2018</v>
      </c>
      <c r="C356" s="0" t="s">
        <v>62</v>
      </c>
      <c r="D356" s="0" t="n">
        <v>842475</v>
      </c>
      <c r="E356" s="0" t="s">
        <v>523</v>
      </c>
      <c r="F356" s="0" t="s">
        <v>524</v>
      </c>
      <c r="G356" s="0" t="s">
        <v>109</v>
      </c>
      <c r="H356" s="0" t="s">
        <v>707</v>
      </c>
    </row>
    <row r="357" customFormat="false" ht="15" hidden="false" customHeight="false" outlineLevel="0" collapsed="false">
      <c r="A357" s="0" t="s">
        <v>100</v>
      </c>
      <c r="B357" s="0" t="n">
        <v>2018</v>
      </c>
      <c r="C357" s="0" t="s">
        <v>63</v>
      </c>
      <c r="D357" s="0" t="n">
        <v>27360</v>
      </c>
      <c r="E357" s="0" t="s">
        <v>523</v>
      </c>
      <c r="F357" s="0" t="s">
        <v>524</v>
      </c>
      <c r="G357" s="0" t="s">
        <v>109</v>
      </c>
      <c r="H357" s="0" t="s">
        <v>708</v>
      </c>
    </row>
    <row r="358" customFormat="false" ht="15" hidden="false" customHeight="false" outlineLevel="0" collapsed="false">
      <c r="A358" s="0" t="s">
        <v>100</v>
      </c>
      <c r="B358" s="0" t="n">
        <v>2018</v>
      </c>
      <c r="C358" s="0" t="s">
        <v>64</v>
      </c>
      <c r="D358" s="0" t="n">
        <v>126844</v>
      </c>
      <c r="E358" s="0" t="s">
        <v>523</v>
      </c>
      <c r="F358" s="0" t="s">
        <v>524</v>
      </c>
      <c r="G358" s="0" t="s">
        <v>109</v>
      </c>
      <c r="H358" s="0" t="s">
        <v>709</v>
      </c>
    </row>
    <row r="359" customFormat="false" ht="15" hidden="false" customHeight="false" outlineLevel="0" collapsed="false">
      <c r="A359" s="0" t="s">
        <v>100</v>
      </c>
      <c r="B359" s="0" t="n">
        <v>2018</v>
      </c>
      <c r="C359" s="0" t="s">
        <v>69</v>
      </c>
      <c r="D359" s="0" t="n">
        <v>14.3</v>
      </c>
      <c r="E359" s="0" t="s">
        <v>523</v>
      </c>
      <c r="F359" s="0" t="s">
        <v>524</v>
      </c>
      <c r="G359" s="0" t="s">
        <v>109</v>
      </c>
      <c r="H359" s="0" t="s">
        <v>710</v>
      </c>
      <c r="I359" s="0" t="s">
        <v>699</v>
      </c>
    </row>
    <row r="360" customFormat="false" ht="15" hidden="false" customHeight="false" outlineLevel="0" collapsed="false">
      <c r="A360" s="0" t="s">
        <v>100</v>
      </c>
      <c r="B360" s="0" t="n">
        <v>2018</v>
      </c>
      <c r="C360" s="0" t="s">
        <v>614</v>
      </c>
      <c r="D360" s="0" t="n">
        <v>14.3</v>
      </c>
      <c r="E360" s="0" t="s">
        <v>523</v>
      </c>
      <c r="F360" s="0" t="s">
        <v>524</v>
      </c>
      <c r="G360" s="0" t="s">
        <v>109</v>
      </c>
      <c r="H360" s="0" t="s">
        <v>711</v>
      </c>
    </row>
    <row r="361" customFormat="false" ht="15" hidden="false" customHeight="false" outlineLevel="0" collapsed="false">
      <c r="A361" s="0" t="s">
        <v>100</v>
      </c>
      <c r="B361" s="0" t="n">
        <v>2018</v>
      </c>
      <c r="C361" s="0" t="s">
        <v>65</v>
      </c>
      <c r="D361" s="0" t="n">
        <v>205312</v>
      </c>
      <c r="E361" s="0" t="s">
        <v>523</v>
      </c>
      <c r="F361" s="0" t="s">
        <v>524</v>
      </c>
      <c r="G361" s="0" t="s">
        <v>109</v>
      </c>
      <c r="H361" s="0" t="s">
        <v>712</v>
      </c>
    </row>
    <row r="362" customFormat="false" ht="15" hidden="false" customHeight="false" outlineLevel="0" collapsed="false">
      <c r="A362" s="0" t="s">
        <v>100</v>
      </c>
      <c r="B362" s="0" t="n">
        <v>2018</v>
      </c>
      <c r="C362" s="0" t="s">
        <v>66</v>
      </c>
      <c r="D362" s="0" t="n">
        <v>1433545</v>
      </c>
      <c r="E362" s="0" t="s">
        <v>523</v>
      </c>
      <c r="F362" s="0" t="s">
        <v>524</v>
      </c>
      <c r="G362" s="0" t="s">
        <v>109</v>
      </c>
      <c r="H362" s="0" t="s">
        <v>713</v>
      </c>
    </row>
    <row r="363" customFormat="false" ht="15" hidden="false" customHeight="false" outlineLevel="0" collapsed="false">
      <c r="A363" s="0" t="s">
        <v>100</v>
      </c>
      <c r="B363" s="0" t="n">
        <v>2018</v>
      </c>
      <c r="C363" s="0" t="s">
        <v>73</v>
      </c>
      <c r="D363" s="0" t="n">
        <v>0</v>
      </c>
      <c r="E363" s="0" t="s">
        <v>539</v>
      </c>
      <c r="F363" s="0" t="s">
        <v>524</v>
      </c>
      <c r="G363" s="0" t="s">
        <v>109</v>
      </c>
      <c r="H363" s="0" t="s">
        <v>714</v>
      </c>
    </row>
    <row r="364" customFormat="false" ht="15" hidden="false" customHeight="false" outlineLevel="0" collapsed="false">
      <c r="A364" s="0" t="s">
        <v>100</v>
      </c>
      <c r="B364" s="0" t="n">
        <v>2018</v>
      </c>
      <c r="C364" s="0" t="s">
        <v>541</v>
      </c>
      <c r="D364" s="0" t="n">
        <v>27521</v>
      </c>
      <c r="E364" s="0" t="s">
        <v>523</v>
      </c>
      <c r="F364" s="0" t="s">
        <v>524</v>
      </c>
      <c r="G364" s="0" t="s">
        <v>109</v>
      </c>
      <c r="H364" s="0" t="s">
        <v>715</v>
      </c>
    </row>
    <row r="365" customFormat="false" ht="15" hidden="false" customHeight="false" outlineLevel="0" collapsed="false">
      <c r="A365" s="0" t="s">
        <v>100</v>
      </c>
      <c r="B365" s="0" t="n">
        <v>2018</v>
      </c>
      <c r="C365" s="0" t="s">
        <v>19</v>
      </c>
      <c r="D365" s="0" t="n">
        <v>1893295.5</v>
      </c>
      <c r="E365" s="0" t="s">
        <v>522</v>
      </c>
    </row>
    <row r="366" customFormat="false" ht="15" hidden="false" customHeight="false" outlineLevel="0" collapsed="false">
      <c r="A366" s="0" t="s">
        <v>100</v>
      </c>
      <c r="B366" s="0" t="n">
        <v>2018</v>
      </c>
      <c r="C366" s="0" t="s">
        <v>41</v>
      </c>
      <c r="D366" s="0" t="n">
        <v>1.43427161792758</v>
      </c>
      <c r="E366" s="0" t="s">
        <v>522</v>
      </c>
    </row>
    <row r="367" customFormat="false" ht="15" hidden="false" customHeight="false" outlineLevel="0" collapsed="false">
      <c r="A367" s="0" t="s">
        <v>100</v>
      </c>
      <c r="B367" s="0" t="n">
        <v>2018</v>
      </c>
      <c r="C367" s="0" t="s">
        <v>27</v>
      </c>
      <c r="D367" s="0" t="n">
        <v>12.6470873811215</v>
      </c>
      <c r="E367" s="0" t="s">
        <v>522</v>
      </c>
    </row>
    <row r="368" customFormat="false" ht="15" hidden="false" customHeight="false" outlineLevel="0" collapsed="false">
      <c r="A368" s="0" t="s">
        <v>100</v>
      </c>
      <c r="B368" s="0" t="n">
        <v>2018</v>
      </c>
      <c r="C368" s="0" t="s">
        <v>39</v>
      </c>
      <c r="D368" s="0" t="n">
        <v>1.64982169978221</v>
      </c>
      <c r="E368" s="0" t="s">
        <v>522</v>
      </c>
    </row>
    <row r="369" customFormat="false" ht="15" hidden="false" customHeight="false" outlineLevel="0" collapsed="false">
      <c r="A369" s="0" t="s">
        <v>100</v>
      </c>
      <c r="B369" s="0" t="n">
        <v>2018</v>
      </c>
      <c r="C369" s="0" t="s">
        <v>17</v>
      </c>
      <c r="D369" s="0" t="n">
        <v>9.0735915971792</v>
      </c>
      <c r="E369" s="0" t="s">
        <v>522</v>
      </c>
    </row>
    <row r="370" customFormat="false" ht="15" hidden="false" customHeight="false" outlineLevel="0" collapsed="false">
      <c r="A370" s="0" t="s">
        <v>100</v>
      </c>
      <c r="B370" s="0" t="n">
        <v>2018</v>
      </c>
      <c r="C370" s="0" t="s">
        <v>25</v>
      </c>
      <c r="D370" s="0" t="n">
        <v>14.3219780334765</v>
      </c>
      <c r="E370" s="0" t="s">
        <v>522</v>
      </c>
    </row>
    <row r="371" customFormat="false" ht="15" hidden="false" customHeight="false" outlineLevel="0" collapsed="false">
      <c r="A371" s="0" t="s">
        <v>100</v>
      </c>
      <c r="B371" s="0" t="n">
        <v>2018</v>
      </c>
      <c r="C371" s="0" t="s">
        <v>29</v>
      </c>
      <c r="D371" s="0" t="n">
        <v>1.4450992990793</v>
      </c>
      <c r="E371" s="0" t="s">
        <v>522</v>
      </c>
    </row>
    <row r="372" customFormat="false" ht="15" hidden="false" customHeight="false" outlineLevel="0" collapsed="false">
      <c r="A372" s="0" t="s">
        <v>100</v>
      </c>
      <c r="B372" s="0" t="n">
        <v>2018</v>
      </c>
      <c r="C372" s="0" t="s">
        <v>23</v>
      </c>
      <c r="D372" s="0" t="n">
        <v>66.2790514332566</v>
      </c>
      <c r="E372" s="0" t="s">
        <v>522</v>
      </c>
    </row>
    <row r="373" customFormat="false" ht="15" hidden="false" customHeight="false" outlineLevel="0" collapsed="false">
      <c r="A373" s="0" t="s">
        <v>100</v>
      </c>
      <c r="B373" s="0" t="n">
        <v>2018</v>
      </c>
      <c r="C373" s="0" t="s">
        <v>37</v>
      </c>
      <c r="D373" s="0" t="n">
        <v>13.6899840914536</v>
      </c>
      <c r="E373" s="0" t="s">
        <v>522</v>
      </c>
    </row>
    <row r="374" customFormat="false" ht="15" hidden="false" customHeight="false" outlineLevel="0" collapsed="false">
      <c r="A374" s="0" t="s">
        <v>100</v>
      </c>
      <c r="B374" s="0" t="n">
        <v>2018</v>
      </c>
      <c r="C374" s="0" t="s">
        <v>43</v>
      </c>
      <c r="D374" s="0" t="n">
        <v>1.38770358181344</v>
      </c>
      <c r="E374" s="0" t="s">
        <v>522</v>
      </c>
    </row>
    <row r="375" customFormat="false" ht="15" hidden="false" customHeight="false" outlineLevel="0" collapsed="false">
      <c r="A375" s="0" t="s">
        <v>100</v>
      </c>
      <c r="B375" s="0" t="n">
        <v>2018</v>
      </c>
      <c r="C375" s="0" t="s">
        <v>31</v>
      </c>
      <c r="D375" s="0" t="n">
        <v>87.3529126188785</v>
      </c>
      <c r="E375" s="0" t="s">
        <v>522</v>
      </c>
    </row>
    <row r="376" customFormat="false" ht="15" hidden="false" customHeight="false" outlineLevel="0" collapsed="false">
      <c r="A376" s="0" t="s">
        <v>100</v>
      </c>
      <c r="B376" s="0" t="n">
        <v>2018</v>
      </c>
      <c r="C376" s="0" t="s">
        <v>33</v>
      </c>
      <c r="D376" s="0" t="n">
        <v>14.4868363749504</v>
      </c>
      <c r="E376" s="0" t="s">
        <v>522</v>
      </c>
    </row>
    <row r="377" customFormat="false" ht="15" hidden="false" customHeight="false" outlineLevel="0" collapsed="false">
      <c r="A377" s="0" t="s">
        <v>100</v>
      </c>
      <c r="B377" s="0" t="n">
        <v>2018</v>
      </c>
      <c r="C377" s="0" t="s">
        <v>21</v>
      </c>
      <c r="D377" s="0" t="n">
        <v>0</v>
      </c>
      <c r="E377" s="0" t="s">
        <v>522</v>
      </c>
    </row>
    <row r="378" customFormat="false" ht="15" hidden="false" customHeight="false" outlineLevel="0" collapsed="false">
      <c r="A378" s="0" t="s">
        <v>100</v>
      </c>
      <c r="B378" s="0" t="n">
        <v>2018</v>
      </c>
      <c r="C378" s="0" t="s">
        <v>35</v>
      </c>
      <c r="D378" s="0" t="n">
        <v>0</v>
      </c>
      <c r="E378" s="0" t="s">
        <v>522</v>
      </c>
    </row>
    <row r="379" customFormat="false" ht="15" hidden="false" customHeight="false" outlineLevel="0" collapsed="false">
      <c r="A379" s="0" t="s">
        <v>100</v>
      </c>
      <c r="B379" s="0" t="n">
        <v>2019</v>
      </c>
      <c r="C379" s="0" t="s">
        <v>54</v>
      </c>
      <c r="D379" s="0" t="n">
        <v>1256</v>
      </c>
      <c r="E379" s="0" t="s">
        <v>523</v>
      </c>
      <c r="F379" s="0" t="s">
        <v>524</v>
      </c>
      <c r="G379" s="0" t="s">
        <v>93</v>
      </c>
      <c r="H379" s="0" t="s">
        <v>716</v>
      </c>
    </row>
    <row r="380" customFormat="false" ht="15" hidden="false" customHeight="false" outlineLevel="0" collapsed="false">
      <c r="A380" s="0" t="s">
        <v>100</v>
      </c>
      <c r="B380" s="0" t="n">
        <v>2019</v>
      </c>
      <c r="C380" s="0" t="s">
        <v>55</v>
      </c>
      <c r="D380" s="0" t="n">
        <v>1991040</v>
      </c>
      <c r="E380" s="0" t="s">
        <v>523</v>
      </c>
      <c r="F380" s="0" t="s">
        <v>524</v>
      </c>
      <c r="G380" s="0" t="s">
        <v>93</v>
      </c>
      <c r="H380" s="0" t="s">
        <v>717</v>
      </c>
    </row>
    <row r="381" customFormat="false" ht="15" hidden="false" customHeight="false" outlineLevel="0" collapsed="false">
      <c r="A381" s="0" t="s">
        <v>100</v>
      </c>
      <c r="B381" s="0" t="n">
        <v>2019</v>
      </c>
      <c r="C381" s="0" t="s">
        <v>56</v>
      </c>
      <c r="D381" s="0" t="n">
        <v>1726770</v>
      </c>
      <c r="E381" s="0" t="s">
        <v>523</v>
      </c>
      <c r="F381" s="0" t="s">
        <v>524</v>
      </c>
      <c r="G381" s="0" t="s">
        <v>93</v>
      </c>
      <c r="H381" s="0" t="s">
        <v>718</v>
      </c>
    </row>
    <row r="382" customFormat="false" ht="15" hidden="false" customHeight="false" outlineLevel="0" collapsed="false">
      <c r="A382" s="0" t="s">
        <v>100</v>
      </c>
      <c r="B382" s="0" t="n">
        <v>2019</v>
      </c>
      <c r="C382" s="0" t="s">
        <v>57</v>
      </c>
      <c r="D382" s="0" t="n">
        <v>264270</v>
      </c>
      <c r="E382" s="0" t="s">
        <v>523</v>
      </c>
      <c r="F382" s="0" t="s">
        <v>524</v>
      </c>
      <c r="G382" s="0" t="s">
        <v>93</v>
      </c>
      <c r="H382" s="0" t="s">
        <v>719</v>
      </c>
    </row>
    <row r="383" customFormat="false" ht="15" hidden="false" customHeight="false" outlineLevel="0" collapsed="false">
      <c r="A383" s="0" t="s">
        <v>100</v>
      </c>
      <c r="B383" s="0" t="n">
        <v>2019</v>
      </c>
      <c r="C383" s="0" t="s">
        <v>58</v>
      </c>
      <c r="D383" s="0" t="n">
        <v>49052</v>
      </c>
      <c r="E383" s="0" t="s">
        <v>523</v>
      </c>
      <c r="F383" s="0" t="s">
        <v>524</v>
      </c>
      <c r="G383" s="0" t="s">
        <v>93</v>
      </c>
      <c r="H383" s="0" t="s">
        <v>720</v>
      </c>
    </row>
    <row r="384" customFormat="false" ht="15" hidden="false" customHeight="false" outlineLevel="0" collapsed="false">
      <c r="A384" s="0" t="s">
        <v>100</v>
      </c>
      <c r="B384" s="0" t="n">
        <v>2019</v>
      </c>
      <c r="C384" s="0" t="s">
        <v>59</v>
      </c>
      <c r="D384" s="0" t="n">
        <v>1927889</v>
      </c>
      <c r="E384" s="0" t="s">
        <v>643</v>
      </c>
      <c r="F384" s="0" t="s">
        <v>524</v>
      </c>
      <c r="G384" s="0" t="s">
        <v>93</v>
      </c>
      <c r="H384" s="0" t="s">
        <v>721</v>
      </c>
    </row>
    <row r="385" customFormat="false" ht="15" hidden="false" customHeight="false" outlineLevel="0" collapsed="false">
      <c r="A385" s="0" t="s">
        <v>100</v>
      </c>
      <c r="B385" s="0" t="n">
        <v>2019</v>
      </c>
      <c r="C385" s="0" t="s">
        <v>60</v>
      </c>
      <c r="D385" s="0" t="n">
        <v>913082</v>
      </c>
      <c r="E385" s="0" t="s">
        <v>523</v>
      </c>
      <c r="F385" s="0" t="s">
        <v>524</v>
      </c>
      <c r="G385" s="0" t="s">
        <v>93</v>
      </c>
      <c r="H385" s="0" t="s">
        <v>722</v>
      </c>
    </row>
    <row r="386" customFormat="false" ht="15" hidden="false" customHeight="false" outlineLevel="0" collapsed="false">
      <c r="A386" s="0" t="s">
        <v>100</v>
      </c>
      <c r="B386" s="0" t="n">
        <v>2019</v>
      </c>
      <c r="C386" s="0" t="s">
        <v>61</v>
      </c>
      <c r="D386" s="0" t="n">
        <v>101476</v>
      </c>
      <c r="E386" s="0" t="s">
        <v>523</v>
      </c>
      <c r="F386" s="0" t="s">
        <v>524</v>
      </c>
      <c r="G386" s="0" t="s">
        <v>93</v>
      </c>
      <c r="H386" s="0" t="s">
        <v>723</v>
      </c>
    </row>
    <row r="387" customFormat="false" ht="15" hidden="false" customHeight="false" outlineLevel="0" collapsed="false">
      <c r="A387" s="0" t="s">
        <v>100</v>
      </c>
      <c r="B387" s="0" t="n">
        <v>2019</v>
      </c>
      <c r="C387" s="0" t="s">
        <v>62</v>
      </c>
      <c r="D387" s="0" t="n">
        <v>811606</v>
      </c>
      <c r="E387" s="0" t="s">
        <v>523</v>
      </c>
      <c r="F387" s="0" t="s">
        <v>524</v>
      </c>
      <c r="G387" s="0" t="s">
        <v>93</v>
      </c>
      <c r="H387" s="0" t="s">
        <v>724</v>
      </c>
    </row>
    <row r="388" customFormat="false" ht="15" hidden="false" customHeight="false" outlineLevel="0" collapsed="false">
      <c r="A388" s="0" t="s">
        <v>100</v>
      </c>
      <c r="B388" s="0" t="n">
        <v>2019</v>
      </c>
      <c r="C388" s="0" t="s">
        <v>63</v>
      </c>
      <c r="D388" s="0" t="n">
        <v>2704</v>
      </c>
      <c r="E388" s="0" t="s">
        <v>523</v>
      </c>
      <c r="F388" s="0" t="s">
        <v>524</v>
      </c>
      <c r="G388" s="0" t="s">
        <v>93</v>
      </c>
      <c r="H388" s="0" t="s">
        <v>725</v>
      </c>
    </row>
    <row r="389" customFormat="false" ht="15" hidden="false" customHeight="false" outlineLevel="0" collapsed="false">
      <c r="A389" s="0" t="s">
        <v>100</v>
      </c>
      <c r="B389" s="0" t="n">
        <v>2019</v>
      </c>
      <c r="C389" s="0" t="s">
        <v>64</v>
      </c>
      <c r="D389" s="0" t="n">
        <v>218515</v>
      </c>
      <c r="E389" s="0" t="s">
        <v>523</v>
      </c>
      <c r="F389" s="0" t="s">
        <v>524</v>
      </c>
      <c r="G389" s="0" t="s">
        <v>93</v>
      </c>
      <c r="H389" s="0" t="s">
        <v>726</v>
      </c>
    </row>
    <row r="390" customFormat="false" ht="15" hidden="false" customHeight="false" outlineLevel="0" collapsed="false">
      <c r="A390" s="0" t="s">
        <v>100</v>
      </c>
      <c r="B390" s="0" t="n">
        <v>2019</v>
      </c>
      <c r="C390" s="0" t="s">
        <v>69</v>
      </c>
      <c r="D390" s="0" t="n">
        <v>16.31</v>
      </c>
      <c r="E390" s="0" t="s">
        <v>523</v>
      </c>
      <c r="F390" s="0" t="s">
        <v>524</v>
      </c>
      <c r="G390" s="0" t="s">
        <v>93</v>
      </c>
      <c r="H390" s="0" t="s">
        <v>727</v>
      </c>
    </row>
    <row r="391" customFormat="false" ht="15" hidden="false" customHeight="false" outlineLevel="0" collapsed="false">
      <c r="A391" s="0" t="s">
        <v>100</v>
      </c>
      <c r="B391" s="0" t="n">
        <v>2019</v>
      </c>
      <c r="C391" s="0" t="s">
        <v>614</v>
      </c>
      <c r="D391" s="0" t="n">
        <v>16.31</v>
      </c>
      <c r="E391" s="0" t="s">
        <v>523</v>
      </c>
      <c r="F391" s="0" t="s">
        <v>524</v>
      </c>
      <c r="G391" s="0" t="s">
        <v>93</v>
      </c>
      <c r="H391" s="0" t="s">
        <v>728</v>
      </c>
    </row>
    <row r="392" customFormat="false" ht="15" hidden="false" customHeight="false" outlineLevel="0" collapsed="false">
      <c r="A392" s="0" t="s">
        <v>100</v>
      </c>
      <c r="B392" s="0" t="n">
        <v>2019</v>
      </c>
      <c r="C392" s="0" t="s">
        <v>65</v>
      </c>
      <c r="D392" s="0" t="n">
        <v>236196</v>
      </c>
      <c r="E392" s="0" t="s">
        <v>523</v>
      </c>
      <c r="F392" s="0" t="s">
        <v>524</v>
      </c>
      <c r="G392" s="0" t="s">
        <v>93</v>
      </c>
      <c r="H392" s="0" t="s">
        <v>729</v>
      </c>
    </row>
    <row r="393" customFormat="false" ht="15" hidden="false" customHeight="false" outlineLevel="0" collapsed="false">
      <c r="A393" s="0" t="s">
        <v>100</v>
      </c>
      <c r="B393" s="0" t="n">
        <v>2019</v>
      </c>
      <c r="C393" s="0" t="s">
        <v>66</v>
      </c>
      <c r="D393" s="0" t="n">
        <v>1447830</v>
      </c>
      <c r="E393" s="0" t="s">
        <v>523</v>
      </c>
      <c r="F393" s="0" t="s">
        <v>524</v>
      </c>
      <c r="G393" s="0" t="s">
        <v>93</v>
      </c>
      <c r="H393" s="0" t="s">
        <v>730</v>
      </c>
    </row>
    <row r="394" customFormat="false" ht="15" hidden="false" customHeight="false" outlineLevel="0" collapsed="false">
      <c r="A394" s="0" t="s">
        <v>100</v>
      </c>
      <c r="B394" s="0" t="n">
        <v>2019</v>
      </c>
      <c r="C394" s="0" t="s">
        <v>73</v>
      </c>
      <c r="D394" s="0" t="n">
        <v>0</v>
      </c>
      <c r="E394" s="0" t="s">
        <v>539</v>
      </c>
      <c r="F394" s="0" t="s">
        <v>524</v>
      </c>
      <c r="G394" s="0" t="s">
        <v>93</v>
      </c>
      <c r="H394" s="0" t="s">
        <v>731</v>
      </c>
    </row>
    <row r="395" customFormat="false" ht="15" hidden="false" customHeight="false" outlineLevel="0" collapsed="false">
      <c r="A395" s="0" t="s">
        <v>100</v>
      </c>
      <c r="B395" s="0" t="n">
        <v>2019</v>
      </c>
      <c r="C395" s="0" t="s">
        <v>541</v>
      </c>
      <c r="D395" s="0" t="n">
        <v>2238</v>
      </c>
      <c r="E395" s="0" t="s">
        <v>523</v>
      </c>
      <c r="F395" s="0" t="s">
        <v>524</v>
      </c>
      <c r="G395" s="0" t="s">
        <v>93</v>
      </c>
      <c r="H395" s="0" t="s">
        <v>732</v>
      </c>
    </row>
    <row r="396" customFormat="false" ht="15" hidden="false" customHeight="false" outlineLevel="0" collapsed="false">
      <c r="A396" s="0" t="s">
        <v>100</v>
      </c>
      <c r="B396" s="0" t="n">
        <v>2019</v>
      </c>
      <c r="C396" s="0" t="s">
        <v>19</v>
      </c>
      <c r="D396" s="0" t="n">
        <v>1959464.5</v>
      </c>
      <c r="E396" s="0" t="s">
        <v>522</v>
      </c>
    </row>
    <row r="397" customFormat="false" ht="15" hidden="false" customHeight="false" outlineLevel="0" collapsed="false">
      <c r="A397" s="0" t="s">
        <v>100</v>
      </c>
      <c r="B397" s="0" t="n">
        <v>2019</v>
      </c>
      <c r="C397" s="0" t="s">
        <v>41</v>
      </c>
      <c r="D397" s="0" t="n">
        <v>0.0640991454553017</v>
      </c>
      <c r="E397" s="0" t="s">
        <v>522</v>
      </c>
    </row>
    <row r="398" customFormat="false" ht="15" hidden="false" customHeight="false" outlineLevel="0" collapsed="false">
      <c r="A398" s="0" t="s">
        <v>100</v>
      </c>
      <c r="B398" s="0" t="n">
        <v>2019</v>
      </c>
      <c r="C398" s="0" t="s">
        <v>27</v>
      </c>
      <c r="D398" s="0" t="n">
        <v>13.2729628736741</v>
      </c>
      <c r="E398" s="0" t="s">
        <v>522</v>
      </c>
    </row>
    <row r="399" customFormat="false" ht="15" hidden="false" customHeight="false" outlineLevel="0" collapsed="false">
      <c r="A399" s="0" t="s">
        <v>100</v>
      </c>
      <c r="B399" s="0" t="n">
        <v>2019</v>
      </c>
      <c r="C399" s="0" t="s">
        <v>39</v>
      </c>
      <c r="D399" s="0" t="n">
        <v>2.50333700865721</v>
      </c>
      <c r="E399" s="0" t="s">
        <v>522</v>
      </c>
    </row>
    <row r="400" customFormat="false" ht="15" hidden="false" customHeight="false" outlineLevel="0" collapsed="false">
      <c r="A400" s="0" t="s">
        <v>100</v>
      </c>
      <c r="B400" s="0" t="n">
        <v>2019</v>
      </c>
      <c r="C400" s="0" t="s">
        <v>17</v>
      </c>
      <c r="D400" s="0" t="n">
        <v>11.113569208461</v>
      </c>
      <c r="E400" s="0" t="s">
        <v>522</v>
      </c>
    </row>
    <row r="401" customFormat="false" ht="15" hidden="false" customHeight="false" outlineLevel="0" collapsed="false">
      <c r="A401" s="0" t="s">
        <v>100</v>
      </c>
      <c r="B401" s="0" t="n">
        <v>2019</v>
      </c>
      <c r="C401" s="0" t="s">
        <v>25</v>
      </c>
      <c r="D401" s="0" t="n">
        <v>16.3137937465034</v>
      </c>
      <c r="E401" s="0" t="s">
        <v>522</v>
      </c>
    </row>
    <row r="402" customFormat="false" ht="15" hidden="false" customHeight="false" outlineLevel="0" collapsed="false">
      <c r="A402" s="0" t="s">
        <v>100</v>
      </c>
      <c r="B402" s="0" t="n">
        <v>2019</v>
      </c>
      <c r="C402" s="0" t="s">
        <v>29</v>
      </c>
      <c r="D402" s="0" t="n">
        <v>0.137996886394216</v>
      </c>
      <c r="E402" s="0" t="s">
        <v>522</v>
      </c>
    </row>
    <row r="403" customFormat="false" ht="15" hidden="false" customHeight="false" outlineLevel="0" collapsed="false">
      <c r="A403" s="0" t="s">
        <v>100</v>
      </c>
      <c r="B403" s="0" t="n">
        <v>2019</v>
      </c>
      <c r="C403" s="0" t="s">
        <v>23</v>
      </c>
      <c r="D403" s="0" t="n">
        <v>46.438917236803</v>
      </c>
      <c r="E403" s="0" t="s">
        <v>522</v>
      </c>
    </row>
    <row r="404" customFormat="false" ht="15" hidden="false" customHeight="false" outlineLevel="0" collapsed="false">
      <c r="A404" s="0" t="s">
        <v>100</v>
      </c>
      <c r="B404" s="0" t="n">
        <v>2019</v>
      </c>
      <c r="C404" s="0" t="s">
        <v>37</v>
      </c>
      <c r="D404" s="0" t="n">
        <v>23.9315855531048</v>
      </c>
      <c r="E404" s="0" t="s">
        <v>522</v>
      </c>
    </row>
    <row r="405" customFormat="false" ht="15" hidden="false" customHeight="false" outlineLevel="0" collapsed="false">
      <c r="A405" s="0" t="s">
        <v>100</v>
      </c>
      <c r="B405" s="0" t="n">
        <v>2019</v>
      </c>
      <c r="C405" s="0" t="s">
        <v>43</v>
      </c>
      <c r="D405" s="0" t="n">
        <v>0.0630826100932176</v>
      </c>
      <c r="E405" s="0" t="s">
        <v>522</v>
      </c>
    </row>
    <row r="406" customFormat="false" ht="15" hidden="false" customHeight="false" outlineLevel="0" collapsed="false">
      <c r="A406" s="0" t="s">
        <v>100</v>
      </c>
      <c r="B406" s="0" t="n">
        <v>2019</v>
      </c>
      <c r="C406" s="0" t="s">
        <v>31</v>
      </c>
      <c r="D406" s="0" t="n">
        <v>86.7270371263259</v>
      </c>
      <c r="E406" s="0" t="s">
        <v>522</v>
      </c>
    </row>
    <row r="407" customFormat="false" ht="15" hidden="false" customHeight="false" outlineLevel="0" collapsed="false">
      <c r="A407" s="0" t="s">
        <v>100</v>
      </c>
      <c r="B407" s="0" t="n">
        <v>2019</v>
      </c>
      <c r="C407" s="0" t="s">
        <v>33</v>
      </c>
      <c r="D407" s="0" t="n">
        <v>14.5041676732514</v>
      </c>
      <c r="E407" s="0" t="s">
        <v>522</v>
      </c>
    </row>
    <row r="408" customFormat="false" ht="15" hidden="false" customHeight="false" outlineLevel="0" collapsed="false">
      <c r="A408" s="0" t="s">
        <v>100</v>
      </c>
      <c r="B408" s="0" t="n">
        <v>2019</v>
      </c>
      <c r="C408" s="0" t="s">
        <v>21</v>
      </c>
      <c r="D408" s="0" t="n">
        <v>0</v>
      </c>
      <c r="E408" s="0" t="s">
        <v>522</v>
      </c>
    </row>
    <row r="409" customFormat="false" ht="15" hidden="false" customHeight="false" outlineLevel="0" collapsed="false">
      <c r="A409" s="0" t="s">
        <v>100</v>
      </c>
      <c r="B409" s="0" t="n">
        <v>2019</v>
      </c>
      <c r="C409" s="0" t="s">
        <v>35</v>
      </c>
      <c r="D409" s="0" t="n">
        <v>0</v>
      </c>
      <c r="E409" s="0" t="s">
        <v>522</v>
      </c>
    </row>
    <row r="410" customFormat="false" ht="15" hidden="false" customHeight="false" outlineLevel="0" collapsed="false">
      <c r="A410" s="0" t="s">
        <v>100</v>
      </c>
      <c r="B410" s="0" t="n">
        <v>2020</v>
      </c>
      <c r="C410" s="0" t="s">
        <v>54</v>
      </c>
      <c r="D410" s="0" t="n">
        <v>8087</v>
      </c>
      <c r="E410" s="0" t="s">
        <v>523</v>
      </c>
      <c r="F410" s="0" t="s">
        <v>524</v>
      </c>
      <c r="G410" s="0" t="s">
        <v>95</v>
      </c>
      <c r="H410" s="0" t="s">
        <v>733</v>
      </c>
    </row>
    <row r="411" customFormat="false" ht="15" hidden="false" customHeight="false" outlineLevel="0" collapsed="false">
      <c r="A411" s="0" t="s">
        <v>100</v>
      </c>
      <c r="B411" s="0" t="n">
        <v>2020</v>
      </c>
      <c r="C411" s="0" t="s">
        <v>55</v>
      </c>
      <c r="D411" s="0" t="n">
        <v>2186712</v>
      </c>
      <c r="E411" s="0" t="s">
        <v>523</v>
      </c>
      <c r="F411" s="0" t="s">
        <v>524</v>
      </c>
      <c r="G411" s="0" t="s">
        <v>95</v>
      </c>
      <c r="H411" s="0" t="s">
        <v>734</v>
      </c>
    </row>
    <row r="412" customFormat="false" ht="15" hidden="false" customHeight="false" outlineLevel="0" collapsed="false">
      <c r="A412" s="0" t="s">
        <v>100</v>
      </c>
      <c r="B412" s="0" t="n">
        <v>2020</v>
      </c>
      <c r="C412" s="0" t="s">
        <v>56</v>
      </c>
      <c r="D412" s="0" t="n">
        <v>1887991</v>
      </c>
      <c r="E412" s="0" t="s">
        <v>523</v>
      </c>
      <c r="F412" s="0" t="s">
        <v>524</v>
      </c>
      <c r="G412" s="0" t="s">
        <v>95</v>
      </c>
      <c r="H412" s="0" t="s">
        <v>735</v>
      </c>
    </row>
    <row r="413" customFormat="false" ht="15" hidden="false" customHeight="false" outlineLevel="0" collapsed="false">
      <c r="A413" s="0" t="s">
        <v>100</v>
      </c>
      <c r="B413" s="0" t="n">
        <v>2020</v>
      </c>
      <c r="C413" s="0" t="s">
        <v>57</v>
      </c>
      <c r="D413" s="0" t="n">
        <v>298721</v>
      </c>
      <c r="E413" s="0" t="s">
        <v>523</v>
      </c>
      <c r="F413" s="0" t="s">
        <v>524</v>
      </c>
      <c r="G413" s="0" t="s">
        <v>95</v>
      </c>
      <c r="H413" s="0" t="s">
        <v>736</v>
      </c>
    </row>
    <row r="414" customFormat="false" ht="15" hidden="false" customHeight="false" outlineLevel="0" collapsed="false">
      <c r="A414" s="0" t="s">
        <v>100</v>
      </c>
      <c r="B414" s="0" t="n">
        <v>2020</v>
      </c>
      <c r="C414" s="0" t="s">
        <v>58</v>
      </c>
      <c r="D414" s="0" t="n">
        <v>-13271</v>
      </c>
      <c r="E414" s="0" t="s">
        <v>523</v>
      </c>
      <c r="F414" s="0" t="s">
        <v>524</v>
      </c>
      <c r="G414" s="0" t="s">
        <v>95</v>
      </c>
      <c r="H414" s="0" t="s">
        <v>737</v>
      </c>
    </row>
    <row r="415" customFormat="false" ht="15" hidden="false" customHeight="false" outlineLevel="0" collapsed="false">
      <c r="A415" s="0" t="s">
        <v>100</v>
      </c>
      <c r="B415" s="0" t="n">
        <v>2020</v>
      </c>
      <c r="C415" s="0" t="s">
        <v>59</v>
      </c>
      <c r="D415" s="0" t="n">
        <v>1991040</v>
      </c>
      <c r="E415" s="0" t="s">
        <v>643</v>
      </c>
      <c r="F415" s="0" t="s">
        <v>524</v>
      </c>
      <c r="G415" s="0" t="s">
        <v>95</v>
      </c>
      <c r="H415" s="0" t="s">
        <v>738</v>
      </c>
    </row>
    <row r="416" customFormat="false" ht="15" hidden="false" customHeight="false" outlineLevel="0" collapsed="false">
      <c r="A416" s="0" t="s">
        <v>100</v>
      </c>
      <c r="B416" s="0" t="n">
        <v>2020</v>
      </c>
      <c r="C416" s="0" t="s">
        <v>60</v>
      </c>
      <c r="D416" s="0" t="n">
        <v>993191</v>
      </c>
      <c r="E416" s="0" t="s">
        <v>523</v>
      </c>
      <c r="F416" s="0" t="s">
        <v>524</v>
      </c>
      <c r="G416" s="0" t="s">
        <v>95</v>
      </c>
      <c r="H416" s="0" t="s">
        <v>739</v>
      </c>
    </row>
    <row r="417" customFormat="false" ht="15" hidden="false" customHeight="false" outlineLevel="0" collapsed="false">
      <c r="A417" s="0" t="s">
        <v>100</v>
      </c>
      <c r="B417" s="0" t="n">
        <v>2020</v>
      </c>
      <c r="C417" s="0" t="s">
        <v>61</v>
      </c>
      <c r="D417" s="0" t="n">
        <v>111609</v>
      </c>
      <c r="E417" s="0" t="s">
        <v>523</v>
      </c>
      <c r="F417" s="0" t="s">
        <v>524</v>
      </c>
      <c r="G417" s="0" t="s">
        <v>95</v>
      </c>
      <c r="H417" s="0" t="s">
        <v>740</v>
      </c>
    </row>
    <row r="418" customFormat="false" ht="15" hidden="false" customHeight="false" outlineLevel="0" collapsed="false">
      <c r="A418" s="0" t="s">
        <v>100</v>
      </c>
      <c r="B418" s="0" t="n">
        <v>2020</v>
      </c>
      <c r="C418" s="0" t="s">
        <v>62</v>
      </c>
      <c r="D418" s="0" t="n">
        <v>881582</v>
      </c>
      <c r="E418" s="0" t="s">
        <v>523</v>
      </c>
      <c r="F418" s="0" t="s">
        <v>524</v>
      </c>
      <c r="G418" s="0" t="s">
        <v>95</v>
      </c>
      <c r="H418" s="0" t="s">
        <v>741</v>
      </c>
    </row>
    <row r="419" customFormat="false" ht="15" hidden="false" customHeight="false" outlineLevel="0" collapsed="false">
      <c r="A419" s="0" t="s">
        <v>100</v>
      </c>
      <c r="B419" s="0" t="n">
        <v>2020</v>
      </c>
      <c r="C419" s="0" t="s">
        <v>63</v>
      </c>
      <c r="D419" s="0" t="n">
        <v>9164</v>
      </c>
      <c r="E419" s="0" t="s">
        <v>523</v>
      </c>
      <c r="F419" s="0" t="s">
        <v>524</v>
      </c>
      <c r="G419" s="0" t="s">
        <v>95</v>
      </c>
      <c r="H419" s="0" t="s">
        <v>742</v>
      </c>
    </row>
    <row r="420" customFormat="false" ht="15" hidden="false" customHeight="false" outlineLevel="0" collapsed="false">
      <c r="A420" s="0" t="s">
        <v>100</v>
      </c>
      <c r="B420" s="0" t="n">
        <v>2020</v>
      </c>
      <c r="C420" s="0" t="s">
        <v>64</v>
      </c>
      <c r="D420" s="0" t="n">
        <v>197204</v>
      </c>
      <c r="E420" s="0" t="s">
        <v>523</v>
      </c>
      <c r="F420" s="0" t="s">
        <v>524</v>
      </c>
      <c r="G420" s="0" t="s">
        <v>95</v>
      </c>
      <c r="H420" s="0" t="s">
        <v>743</v>
      </c>
    </row>
    <row r="421" customFormat="false" ht="15" hidden="false" customHeight="false" outlineLevel="0" collapsed="false">
      <c r="A421" s="0" t="s">
        <v>100</v>
      </c>
      <c r="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s">
        <v>100</v>
      </c>
      <c r="B422" s="0" t="n">
        <v>2020</v>
      </c>
      <c r="C422" s="0" t="s">
        <v>614</v>
      </c>
      <c r="D422" s="0" t="n">
        <v>21.44</v>
      </c>
      <c r="E422" s="0" t="s">
        <v>523</v>
      </c>
      <c r="F422" s="0" t="s">
        <v>524</v>
      </c>
      <c r="G422" s="0" t="s">
        <v>95</v>
      </c>
      <c r="H422" s="0" t="s">
        <v>746</v>
      </c>
    </row>
    <row r="423" customFormat="false" ht="15" hidden="false" customHeight="false" outlineLevel="0" collapsed="false">
      <c r="A423" s="0" t="s">
        <v>100</v>
      </c>
      <c r="B423" s="0" t="n">
        <v>2020</v>
      </c>
      <c r="C423" s="0" t="s">
        <v>65</v>
      </c>
      <c r="D423" s="0" t="n">
        <v>301364</v>
      </c>
      <c r="E423" s="0" t="s">
        <v>523</v>
      </c>
      <c r="F423" s="0" t="s">
        <v>524</v>
      </c>
      <c r="G423" s="0" t="s">
        <v>95</v>
      </c>
      <c r="H423" s="0" t="s">
        <v>747</v>
      </c>
    </row>
    <row r="424" customFormat="false" ht="15" hidden="false" customHeight="false" outlineLevel="0" collapsed="false">
      <c r="A424" s="0" t="s">
        <v>100</v>
      </c>
      <c r="B424" s="0" t="n">
        <v>2020</v>
      </c>
      <c r="C424" s="0" t="s">
        <v>66</v>
      </c>
      <c r="D424" s="0" t="n">
        <v>1405676</v>
      </c>
      <c r="E424" s="0" t="s">
        <v>523</v>
      </c>
      <c r="F424" s="0" t="s">
        <v>524</v>
      </c>
      <c r="G424" s="0" t="s">
        <v>95</v>
      </c>
      <c r="H424" s="0" t="s">
        <v>748</v>
      </c>
    </row>
    <row r="425" customFormat="false" ht="15" hidden="false" customHeight="false" outlineLevel="0" collapsed="false">
      <c r="A425" s="0" t="s">
        <v>100</v>
      </c>
      <c r="B425" s="0" t="n">
        <v>2020</v>
      </c>
      <c r="C425" s="0" t="s">
        <v>73</v>
      </c>
      <c r="D425" s="0" t="n">
        <v>0</v>
      </c>
      <c r="E425" s="0" t="s">
        <v>539</v>
      </c>
      <c r="F425" s="0" t="s">
        <v>524</v>
      </c>
      <c r="G425" s="0" t="s">
        <v>95</v>
      </c>
      <c r="H425" s="0" t="s">
        <v>749</v>
      </c>
    </row>
    <row r="426" customFormat="false" ht="15" hidden="false" customHeight="false" outlineLevel="0" collapsed="false">
      <c r="A426" s="0" t="s">
        <v>100</v>
      </c>
      <c r="B426" s="0" t="n">
        <v>2020</v>
      </c>
      <c r="C426" s="0" t="s">
        <v>541</v>
      </c>
      <c r="D426" s="0" t="n">
        <v>8639</v>
      </c>
      <c r="E426" s="0" t="s">
        <v>523</v>
      </c>
      <c r="F426" s="0" t="s">
        <v>524</v>
      </c>
      <c r="G426" s="0" t="s">
        <v>95</v>
      </c>
      <c r="H426" s="0" t="s">
        <v>750</v>
      </c>
    </row>
    <row r="427" customFormat="false" ht="15" hidden="false" customHeight="false" outlineLevel="0" collapsed="false">
      <c r="A427" s="0" t="s">
        <v>100</v>
      </c>
      <c r="B427" s="0" t="n">
        <v>2020</v>
      </c>
      <c r="C427" s="0" t="s">
        <v>19</v>
      </c>
      <c r="D427" s="0" t="n">
        <v>2088876</v>
      </c>
      <c r="E427" s="0" t="s">
        <v>522</v>
      </c>
    </row>
    <row r="428" customFormat="false" ht="15" hidden="false" customHeight="false" outlineLevel="0" collapsed="false">
      <c r="A428" s="0" t="s">
        <v>100</v>
      </c>
      <c r="B428" s="0" t="n">
        <v>2020</v>
      </c>
      <c r="C428" s="0" t="s">
        <v>41</v>
      </c>
      <c r="D428" s="0" t="n">
        <v>0.387146005794504</v>
      </c>
      <c r="E428" s="0" t="s">
        <v>522</v>
      </c>
    </row>
    <row r="429" customFormat="false" ht="15" hidden="false" customHeight="false" outlineLevel="0" collapsed="false">
      <c r="A429" s="0" t="s">
        <v>100</v>
      </c>
      <c r="B429" s="0" t="n">
        <v>2020</v>
      </c>
      <c r="C429" s="0" t="s">
        <v>27</v>
      </c>
      <c r="D429" s="0" t="n">
        <v>13.6607381310388</v>
      </c>
      <c r="E429" s="0" t="s">
        <v>522</v>
      </c>
    </row>
    <row r="430" customFormat="false" ht="15" hidden="false" customHeight="false" outlineLevel="0" collapsed="false">
      <c r="A430" s="0" t="s">
        <v>100</v>
      </c>
      <c r="B430" s="0" t="n">
        <v>2020</v>
      </c>
      <c r="C430" s="0" t="s">
        <v>39</v>
      </c>
      <c r="D430" s="0" t="n">
        <v>-0.635317749832925</v>
      </c>
      <c r="E430" s="0" t="s">
        <v>522</v>
      </c>
    </row>
    <row r="431" customFormat="false" ht="15" hidden="false" customHeight="false" outlineLevel="0" collapsed="false">
      <c r="A431" s="0" t="s">
        <v>100</v>
      </c>
      <c r="B431" s="0" t="n">
        <v>2020</v>
      </c>
      <c r="C431" s="0" t="s">
        <v>17</v>
      </c>
      <c r="D431" s="0" t="n">
        <v>11.2374155625655</v>
      </c>
      <c r="E431" s="0" t="s">
        <v>522</v>
      </c>
    </row>
    <row r="432" customFormat="false" ht="15" hidden="false" customHeight="false" outlineLevel="0" collapsed="false">
      <c r="A432" s="0" t="s">
        <v>100</v>
      </c>
      <c r="B432" s="0" t="n">
        <v>2020</v>
      </c>
      <c r="C432" s="0" t="s">
        <v>25</v>
      </c>
      <c r="D432" s="0" t="n">
        <v>21.4390798448576</v>
      </c>
      <c r="E432" s="0" t="s">
        <v>522</v>
      </c>
    </row>
    <row r="433" customFormat="false" ht="15" hidden="false" customHeight="false" outlineLevel="0" collapsed="false">
      <c r="A433" s="0" t="s">
        <v>100</v>
      </c>
      <c r="B433" s="0" t="n">
        <v>2020</v>
      </c>
      <c r="C433" s="0" t="s">
        <v>29</v>
      </c>
      <c r="D433" s="0" t="n">
        <v>0.438704834561745</v>
      </c>
      <c r="E433" s="0" t="s">
        <v>522</v>
      </c>
    </row>
    <row r="434" customFormat="false" ht="15" hidden="false" customHeight="false" outlineLevel="0" collapsed="false">
      <c r="A434" s="0" t="s">
        <v>100</v>
      </c>
      <c r="B434" s="0" t="n">
        <v>2020</v>
      </c>
      <c r="C434" s="0" t="s">
        <v>23</v>
      </c>
      <c r="D434" s="0" t="n">
        <v>56.5957079978094</v>
      </c>
      <c r="E434" s="0" t="s">
        <v>522</v>
      </c>
    </row>
    <row r="435" customFormat="false" ht="15" hidden="false" customHeight="false" outlineLevel="0" collapsed="false">
      <c r="A435" s="0" t="s">
        <v>100</v>
      </c>
      <c r="B435" s="0" t="n">
        <v>2020</v>
      </c>
      <c r="C435" s="0" t="s">
        <v>37</v>
      </c>
      <c r="D435" s="0" t="n">
        <v>19.8555967583275</v>
      </c>
      <c r="E435" s="0" t="s">
        <v>522</v>
      </c>
    </row>
    <row r="436" customFormat="false" ht="15" hidden="false" customHeight="false" outlineLevel="0" collapsed="false">
      <c r="A436" s="0" t="s">
        <v>100</v>
      </c>
      <c r="B436" s="0" t="n">
        <v>2020</v>
      </c>
      <c r="C436" s="0" t="s">
        <v>43</v>
      </c>
      <c r="D436" s="0" t="n">
        <v>0.369824649976769</v>
      </c>
      <c r="E436" s="0" t="s">
        <v>522</v>
      </c>
    </row>
    <row r="437" customFormat="false" ht="15" hidden="false" customHeight="false" outlineLevel="0" collapsed="false">
      <c r="A437" s="0" t="s">
        <v>100</v>
      </c>
      <c r="B437" s="0" t="n">
        <v>2020</v>
      </c>
      <c r="C437" s="0" t="s">
        <v>31</v>
      </c>
      <c r="D437" s="0" t="n">
        <v>86.3392618689613</v>
      </c>
      <c r="E437" s="0" t="s">
        <v>522</v>
      </c>
    </row>
    <row r="438" customFormat="false" ht="15" hidden="false" customHeight="false" outlineLevel="0" collapsed="false">
      <c r="A438" s="0" t="s">
        <v>100</v>
      </c>
      <c r="B438" s="0" t="n">
        <v>2020</v>
      </c>
      <c r="C438" s="0" t="s">
        <v>33</v>
      </c>
      <c r="D438" s="0" t="n">
        <v>14.5979096037446</v>
      </c>
      <c r="E438" s="0" t="s">
        <v>522</v>
      </c>
    </row>
    <row r="439" customFormat="false" ht="15" hidden="false" customHeight="false" outlineLevel="0" collapsed="false">
      <c r="A439" s="0" t="s">
        <v>100</v>
      </c>
      <c r="B439" s="0" t="n">
        <v>2020</v>
      </c>
      <c r="C439" s="0" t="s">
        <v>21</v>
      </c>
      <c r="D439" s="0" t="n">
        <v>0</v>
      </c>
      <c r="E439" s="0" t="s">
        <v>522</v>
      </c>
    </row>
    <row r="440" customFormat="false" ht="15" hidden="false" customHeight="false" outlineLevel="0" collapsed="false">
      <c r="A440" s="0" t="s">
        <v>100</v>
      </c>
      <c r="B440" s="0" t="n">
        <v>2020</v>
      </c>
      <c r="C440" s="0" t="s">
        <v>35</v>
      </c>
      <c r="D440" s="0" t="n">
        <v>0</v>
      </c>
      <c r="E440" s="0" t="s">
        <v>522</v>
      </c>
    </row>
    <row r="441" customFormat="false" ht="15" hidden="false" customHeight="false" outlineLevel="0" collapsed="false">
      <c r="A441" s="0" t="s">
        <v>100</v>
      </c>
      <c r="B441" s="0" t="n">
        <v>2021</v>
      </c>
      <c r="C441" s="0" t="s">
        <v>54</v>
      </c>
      <c r="D441" s="0" t="n">
        <v>9766</v>
      </c>
      <c r="E441" s="0" t="s">
        <v>523</v>
      </c>
      <c r="F441" s="0" t="s">
        <v>524</v>
      </c>
      <c r="G441" s="0" t="s">
        <v>97</v>
      </c>
      <c r="H441" s="0" t="s">
        <v>751</v>
      </c>
    </row>
    <row r="442" customFormat="false" ht="15" hidden="false" customHeight="false" outlineLevel="0" collapsed="false">
      <c r="A442" s="0" t="s">
        <v>100</v>
      </c>
      <c r="B442" s="0" t="n">
        <v>2021</v>
      </c>
      <c r="C442" s="0" t="s">
        <v>55</v>
      </c>
      <c r="D442" s="0" t="n">
        <v>2475079</v>
      </c>
      <c r="E442" s="0" t="s">
        <v>523</v>
      </c>
      <c r="F442" s="0" t="s">
        <v>524</v>
      </c>
      <c r="G442" s="0" t="s">
        <v>97</v>
      </c>
      <c r="H442" s="0" t="s">
        <v>752</v>
      </c>
    </row>
    <row r="443" customFormat="false" ht="15" hidden="false" customHeight="false" outlineLevel="0" collapsed="false">
      <c r="A443" s="0" t="s">
        <v>100</v>
      </c>
      <c r="B443" s="0" t="n">
        <v>2021</v>
      </c>
      <c r="C443" s="0" t="s">
        <v>56</v>
      </c>
      <c r="D443" s="0" t="n">
        <v>2196302</v>
      </c>
      <c r="E443" s="0" t="s">
        <v>523</v>
      </c>
      <c r="F443" s="0" t="s">
        <v>524</v>
      </c>
      <c r="G443" s="0" t="s">
        <v>97</v>
      </c>
      <c r="H443" s="0" t="s">
        <v>753</v>
      </c>
    </row>
    <row r="444" customFormat="false" ht="15" hidden="false" customHeight="false" outlineLevel="0" collapsed="false">
      <c r="A444" s="0" t="s">
        <v>100</v>
      </c>
      <c r="B444" s="0" t="n">
        <v>2021</v>
      </c>
      <c r="C444" s="0" t="s">
        <v>57</v>
      </c>
      <c r="D444" s="0" t="n">
        <v>278777</v>
      </c>
      <c r="E444" s="0" t="s">
        <v>523</v>
      </c>
      <c r="F444" s="0" t="s">
        <v>524</v>
      </c>
      <c r="G444" s="0" t="s">
        <v>97</v>
      </c>
      <c r="H444" s="0" t="s">
        <v>754</v>
      </c>
    </row>
    <row r="445" customFormat="false" ht="15" hidden="false" customHeight="false" outlineLevel="0" collapsed="false">
      <c r="A445" s="0" t="s">
        <v>100</v>
      </c>
      <c r="B445" s="0" t="n">
        <v>2021</v>
      </c>
      <c r="C445" s="0" t="s">
        <v>58</v>
      </c>
      <c r="D445" s="0" t="n">
        <v>-86740</v>
      </c>
      <c r="E445" s="0" t="s">
        <v>523</v>
      </c>
      <c r="F445" s="0" t="s">
        <v>524</v>
      </c>
      <c r="G445" s="0" t="s">
        <v>97</v>
      </c>
      <c r="H445" s="0" t="s">
        <v>755</v>
      </c>
      <c r="I445" s="0" t="s">
        <v>745</v>
      </c>
    </row>
    <row r="446" customFormat="false" ht="15" hidden="false" customHeight="false" outlineLevel="0" collapsed="false">
      <c r="A446" s="0" t="s">
        <v>100</v>
      </c>
      <c r="B446" s="0" t="n">
        <v>2021</v>
      </c>
      <c r="C446" s="0" t="s">
        <v>59</v>
      </c>
      <c r="D446" s="0" t="n">
        <v>2186711</v>
      </c>
      <c r="E446" s="0" t="s">
        <v>643</v>
      </c>
      <c r="F446" s="0" t="s">
        <v>524</v>
      </c>
      <c r="G446" s="0" t="s">
        <v>97</v>
      </c>
      <c r="H446" s="0" t="s">
        <v>756</v>
      </c>
    </row>
    <row r="447" customFormat="false" ht="15" hidden="false" customHeight="false" outlineLevel="0" collapsed="false">
      <c r="A447" s="0" t="s">
        <v>100</v>
      </c>
      <c r="B447" s="0" t="n">
        <v>2021</v>
      </c>
      <c r="C447" s="0" t="s">
        <v>60</v>
      </c>
      <c r="D447" s="0" t="n">
        <v>1113022</v>
      </c>
      <c r="E447" s="0" t="s">
        <v>523</v>
      </c>
      <c r="F447" s="0" t="s">
        <v>524</v>
      </c>
      <c r="G447" s="0" t="s">
        <v>97</v>
      </c>
      <c r="H447" s="0" t="s">
        <v>757</v>
      </c>
    </row>
    <row r="448" customFormat="false" ht="15" hidden="false" customHeight="false" outlineLevel="0" collapsed="false">
      <c r="A448" s="0" t="s">
        <v>100</v>
      </c>
      <c r="B448" s="0" t="n">
        <v>2021</v>
      </c>
      <c r="C448" s="0" t="s">
        <v>61</v>
      </c>
      <c r="D448" s="0" t="n">
        <v>97419</v>
      </c>
      <c r="E448" s="0" t="s">
        <v>523</v>
      </c>
      <c r="F448" s="0" t="s">
        <v>524</v>
      </c>
      <c r="G448" s="0" t="s">
        <v>97</v>
      </c>
      <c r="H448" s="0" t="s">
        <v>758</v>
      </c>
    </row>
    <row r="449" customFormat="false" ht="15" hidden="false" customHeight="false" outlineLevel="0" collapsed="false">
      <c r="A449" s="0" t="s">
        <v>100</v>
      </c>
      <c r="B449" s="0" t="n">
        <v>2021</v>
      </c>
      <c r="C449" s="0" t="s">
        <v>62</v>
      </c>
      <c r="D449" s="0" t="n">
        <v>1015603</v>
      </c>
      <c r="E449" s="0" t="s">
        <v>523</v>
      </c>
      <c r="F449" s="0" t="s">
        <v>524</v>
      </c>
      <c r="G449" s="0" t="s">
        <v>97</v>
      </c>
      <c r="H449" s="0" t="s">
        <v>759</v>
      </c>
    </row>
    <row r="450" customFormat="false" ht="15" hidden="false" customHeight="false" outlineLevel="0" collapsed="false">
      <c r="A450" s="0" t="s">
        <v>100</v>
      </c>
      <c r="B450" s="0" t="n">
        <v>2021</v>
      </c>
      <c r="C450" s="0" t="s">
        <v>63</v>
      </c>
      <c r="D450" s="0" t="n">
        <v>7041</v>
      </c>
      <c r="E450" s="0" t="s">
        <v>523</v>
      </c>
      <c r="F450" s="0" t="s">
        <v>524</v>
      </c>
      <c r="G450" s="0" t="s">
        <v>97</v>
      </c>
      <c r="H450" s="0" t="s">
        <v>760</v>
      </c>
    </row>
    <row r="451" customFormat="false" ht="15" hidden="false" customHeight="false" outlineLevel="0" collapsed="false">
      <c r="A451" s="0" t="s">
        <v>100</v>
      </c>
      <c r="B451" s="0" t="n">
        <v>2021</v>
      </c>
      <c r="C451" s="0" t="s">
        <v>64</v>
      </c>
      <c r="D451" s="0" t="n">
        <v>181954</v>
      </c>
      <c r="E451" s="0" t="s">
        <v>523</v>
      </c>
      <c r="F451" s="0" t="s">
        <v>524</v>
      </c>
      <c r="G451" s="0" t="s">
        <v>97</v>
      </c>
      <c r="H451" s="0" t="s">
        <v>761</v>
      </c>
    </row>
    <row r="452" customFormat="false" ht="15" hidden="false" customHeight="false" outlineLevel="0" collapsed="false">
      <c r="A452" s="0" t="s">
        <v>100</v>
      </c>
      <c r="B452" s="0" t="n">
        <v>2021</v>
      </c>
      <c r="C452" s="0" t="s">
        <v>69</v>
      </c>
      <c r="D452" s="0" t="n">
        <v>11.48</v>
      </c>
      <c r="E452" s="0" t="s">
        <v>523</v>
      </c>
      <c r="F452" s="0" t="s">
        <v>524</v>
      </c>
      <c r="G452" s="0" t="s">
        <v>97</v>
      </c>
      <c r="H452" s="0" t="s">
        <v>762</v>
      </c>
    </row>
    <row r="453" customFormat="false" ht="15" hidden="false" customHeight="false" outlineLevel="0" collapsed="false">
      <c r="A453" s="0" t="s">
        <v>100</v>
      </c>
      <c r="B453" s="0" t="n">
        <v>2021</v>
      </c>
      <c r="C453" s="0" t="s">
        <v>65</v>
      </c>
      <c r="D453" s="0" t="n">
        <v>170600</v>
      </c>
      <c r="E453" s="0" t="s">
        <v>523</v>
      </c>
      <c r="F453" s="0" t="s">
        <v>524</v>
      </c>
      <c r="G453" s="0" t="s">
        <v>97</v>
      </c>
      <c r="H453" s="0" t="s">
        <v>763</v>
      </c>
    </row>
    <row r="454" customFormat="false" ht="15" hidden="false" customHeight="false" outlineLevel="0" collapsed="false">
      <c r="A454" s="0" t="s">
        <v>100</v>
      </c>
      <c r="B454" s="0" t="n">
        <v>2021</v>
      </c>
      <c r="C454" s="0" t="s">
        <v>66</v>
      </c>
      <c r="D454" s="0" t="n">
        <v>1486056</v>
      </c>
      <c r="E454" s="0" t="s">
        <v>523</v>
      </c>
      <c r="F454" s="0" t="s">
        <v>524</v>
      </c>
      <c r="G454" s="0" t="s">
        <v>97</v>
      </c>
      <c r="H454" s="0" t="s">
        <v>764</v>
      </c>
    </row>
    <row r="455" customFormat="false" ht="15" hidden="false" customHeight="false" outlineLevel="0" collapsed="false">
      <c r="A455" s="0" t="s">
        <v>100</v>
      </c>
      <c r="B455" s="0" t="n">
        <v>2021</v>
      </c>
      <c r="C455" s="0" t="s">
        <v>73</v>
      </c>
      <c r="D455" s="0" t="n">
        <v>0</v>
      </c>
      <c r="E455" s="0" t="s">
        <v>539</v>
      </c>
      <c r="F455" s="0" t="s">
        <v>524</v>
      </c>
      <c r="G455" s="0" t="s">
        <v>97</v>
      </c>
      <c r="H455" s="0" t="s">
        <v>765</v>
      </c>
    </row>
    <row r="456" customFormat="false" ht="15" hidden="false" customHeight="false" outlineLevel="0" collapsed="false">
      <c r="A456" s="0" t="s">
        <v>100</v>
      </c>
      <c r="B456" s="0" t="n">
        <v>2021</v>
      </c>
      <c r="C456" s="0" t="s">
        <v>541</v>
      </c>
      <c r="D456" s="0" t="n">
        <v>10676</v>
      </c>
      <c r="E456" s="0" t="s">
        <v>523</v>
      </c>
      <c r="F456" s="0" t="s">
        <v>524</v>
      </c>
      <c r="G456" s="0" t="s">
        <v>97</v>
      </c>
      <c r="H456" s="0" t="s">
        <v>766</v>
      </c>
    </row>
    <row r="457" customFormat="false" ht="15" hidden="false" customHeight="false" outlineLevel="0" collapsed="false">
      <c r="A457" s="0" t="s">
        <v>100</v>
      </c>
      <c r="B457" s="0" t="n">
        <v>2021</v>
      </c>
      <c r="C457" s="0" t="s">
        <v>19</v>
      </c>
      <c r="D457" s="0" t="n">
        <v>2330895</v>
      </c>
      <c r="E457" s="0" t="s">
        <v>522</v>
      </c>
    </row>
    <row r="458" customFormat="false" ht="15" hidden="false" customHeight="false" outlineLevel="0" collapsed="false">
      <c r="A458" s="0" t="s">
        <v>100</v>
      </c>
      <c r="B458" s="0" t="n">
        <v>2021</v>
      </c>
      <c r="C458" s="0" t="s">
        <v>41</v>
      </c>
      <c r="D458" s="0" t="n">
        <v>0.418980691965962</v>
      </c>
      <c r="E458" s="0" t="s">
        <v>522</v>
      </c>
    </row>
    <row r="459" customFormat="false" ht="15" hidden="false" customHeight="false" outlineLevel="0" collapsed="false">
      <c r="A459" s="0" t="s">
        <v>100</v>
      </c>
      <c r="B459" s="0" t="n">
        <v>2021</v>
      </c>
      <c r="C459" s="0" t="s">
        <v>27</v>
      </c>
      <c r="D459" s="0" t="n">
        <v>11.2633576544426</v>
      </c>
      <c r="E459" s="0" t="s">
        <v>522</v>
      </c>
    </row>
    <row r="460" customFormat="false" ht="15" hidden="false" customHeight="false" outlineLevel="0" collapsed="false">
      <c r="A460" s="0" t="s">
        <v>100</v>
      </c>
      <c r="B460" s="0" t="n">
        <v>2021</v>
      </c>
      <c r="C460" s="0" t="s">
        <v>39</v>
      </c>
      <c r="D460" s="0" t="n">
        <v>-3.72131734805729</v>
      </c>
      <c r="E460" s="0" t="s">
        <v>522</v>
      </c>
    </row>
    <row r="461" customFormat="false" ht="15" hidden="false" customHeight="false" outlineLevel="0" collapsed="false">
      <c r="A461" s="0" t="s">
        <v>100</v>
      </c>
      <c r="B461" s="0" t="n">
        <v>2021</v>
      </c>
      <c r="C461" s="0" t="s">
        <v>17</v>
      </c>
      <c r="D461" s="0" t="n">
        <v>8.75265718018152</v>
      </c>
      <c r="E461" s="0" t="s">
        <v>522</v>
      </c>
    </row>
    <row r="462" customFormat="false" ht="15" hidden="false" customHeight="false" outlineLevel="0" collapsed="false">
      <c r="A462" s="0" t="s">
        <v>100</v>
      </c>
      <c r="B462" s="0" t="n">
        <v>2021</v>
      </c>
      <c r="C462" s="0" t="s">
        <v>25</v>
      </c>
      <c r="D462" s="0" t="n">
        <v>11.4800518957563</v>
      </c>
      <c r="E462" s="0" t="s">
        <v>522</v>
      </c>
    </row>
    <row r="463" customFormat="false" ht="15" hidden="false" customHeight="false" outlineLevel="0" collapsed="false">
      <c r="A463" s="0" t="s">
        <v>100</v>
      </c>
      <c r="B463" s="0" t="n">
        <v>2021</v>
      </c>
      <c r="C463" s="0" t="s">
        <v>29</v>
      </c>
      <c r="D463" s="0" t="n">
        <v>0.302072808942488</v>
      </c>
      <c r="E463" s="0" t="s">
        <v>522</v>
      </c>
    </row>
    <row r="464" customFormat="false" ht="15" hidden="false" customHeight="false" outlineLevel="0" collapsed="false">
      <c r="A464" s="0" t="s">
        <v>100</v>
      </c>
      <c r="B464" s="0" t="n">
        <v>2021</v>
      </c>
      <c r="C464" s="0" t="s">
        <v>23</v>
      </c>
      <c r="D464" s="0" t="n">
        <v>53.5404552799059</v>
      </c>
      <c r="E464" s="0" t="s">
        <v>522</v>
      </c>
    </row>
    <row r="465" customFormat="false" ht="15" hidden="false" customHeight="false" outlineLevel="0" collapsed="false">
      <c r="A465" s="0" t="s">
        <v>100</v>
      </c>
      <c r="B465" s="0" t="n">
        <v>2021</v>
      </c>
      <c r="C465" s="0" t="s">
        <v>37</v>
      </c>
      <c r="D465" s="0" t="n">
        <v>16.3477451478947</v>
      </c>
      <c r="E465" s="0" t="s">
        <v>522</v>
      </c>
    </row>
    <row r="466" customFormat="false" ht="15" hidden="false" customHeight="false" outlineLevel="0" collapsed="false">
      <c r="A466" s="0" t="s">
        <v>100</v>
      </c>
      <c r="B466" s="0" t="n">
        <v>2021</v>
      </c>
      <c r="C466" s="0" t="s">
        <v>43</v>
      </c>
      <c r="D466" s="0" t="n">
        <v>0.394573264126115</v>
      </c>
      <c r="E466" s="0" t="s">
        <v>522</v>
      </c>
    </row>
    <row r="467" customFormat="false" ht="15" hidden="false" customHeight="false" outlineLevel="0" collapsed="false">
      <c r="A467" s="0" t="s">
        <v>100</v>
      </c>
      <c r="B467" s="0" t="n">
        <v>2021</v>
      </c>
      <c r="C467" s="0" t="s">
        <v>31</v>
      </c>
      <c r="D467" s="0" t="n">
        <v>88.7366423455575</v>
      </c>
      <c r="E467" s="0" t="s">
        <v>522</v>
      </c>
    </row>
    <row r="468" customFormat="false" ht="15" hidden="false" customHeight="false" outlineLevel="0" collapsed="false">
      <c r="A468" s="0" t="s">
        <v>100</v>
      </c>
      <c r="B468" s="0" t="n">
        <v>2021</v>
      </c>
      <c r="C468" s="0" t="s">
        <v>33</v>
      </c>
      <c r="D468" s="0" t="n">
        <v>14.7217828726674</v>
      </c>
      <c r="E468" s="0" t="s">
        <v>522</v>
      </c>
    </row>
    <row r="469" customFormat="false" ht="15" hidden="false" customHeight="false" outlineLevel="0" collapsed="false">
      <c r="A469" s="0" t="s">
        <v>100</v>
      </c>
      <c r="B469" s="0" t="n">
        <v>2021</v>
      </c>
      <c r="C469" s="0" t="s">
        <v>21</v>
      </c>
      <c r="D469" s="0" t="n">
        <v>0</v>
      </c>
      <c r="E469" s="0" t="s">
        <v>522</v>
      </c>
    </row>
    <row r="470" customFormat="false" ht="15" hidden="false" customHeight="false" outlineLevel="0" collapsed="false">
      <c r="A470" s="0" t="s">
        <v>100</v>
      </c>
      <c r="B470" s="0" t="n">
        <v>2021</v>
      </c>
      <c r="C470" s="0" t="s">
        <v>35</v>
      </c>
      <c r="D470" s="0" t="n">
        <v>0</v>
      </c>
      <c r="E470" s="0" t="s">
        <v>522</v>
      </c>
    </row>
    <row r="471" customFormat="false" ht="15" hidden="false" customHeight="false" outlineLevel="0" collapsed="false">
      <c r="A471" s="0" t="s">
        <v>100</v>
      </c>
      <c r="B471" s="0" t="n">
        <v>2022</v>
      </c>
      <c r="C471" s="0" t="s">
        <v>54</v>
      </c>
      <c r="D471" s="0" t="n">
        <v>10396</v>
      </c>
      <c r="E471" s="0" t="s">
        <v>523</v>
      </c>
      <c r="F471" s="0" t="s">
        <v>524</v>
      </c>
      <c r="G471" s="0" t="s">
        <v>114</v>
      </c>
      <c r="H471" s="0" t="s">
        <v>767</v>
      </c>
    </row>
    <row r="472" customFormat="false" ht="15" hidden="false" customHeight="false" outlineLevel="0" collapsed="false">
      <c r="A472" s="0" t="s">
        <v>100</v>
      </c>
      <c r="B472" s="0" t="n">
        <v>2022</v>
      </c>
      <c r="C472" s="0" t="s">
        <v>55</v>
      </c>
      <c r="D472" s="0" t="n">
        <v>2917689</v>
      </c>
      <c r="E472" s="0" t="s">
        <v>523</v>
      </c>
      <c r="F472" s="0" t="s">
        <v>524</v>
      </c>
      <c r="G472" s="0" t="s">
        <v>114</v>
      </c>
      <c r="H472" s="0" t="s">
        <v>768</v>
      </c>
    </row>
    <row r="473" customFormat="false" ht="15" hidden="false" customHeight="false" outlineLevel="0" collapsed="false">
      <c r="A473" s="0" t="s">
        <v>100</v>
      </c>
      <c r="B473" s="0" t="n">
        <v>2022</v>
      </c>
      <c r="C473" s="0" t="s">
        <v>56</v>
      </c>
      <c r="D473" s="0" t="n">
        <v>2623076</v>
      </c>
      <c r="E473" s="0" t="s">
        <v>523</v>
      </c>
      <c r="F473" s="0" t="s">
        <v>524</v>
      </c>
      <c r="G473" s="0" t="s">
        <v>114</v>
      </c>
      <c r="H473" s="0" t="s">
        <v>769</v>
      </c>
    </row>
    <row r="474" customFormat="false" ht="15" hidden="false" customHeight="false" outlineLevel="0" collapsed="false">
      <c r="A474" s="0" t="s">
        <v>100</v>
      </c>
      <c r="B474" s="0" t="n">
        <v>2022</v>
      </c>
      <c r="C474" s="0" t="s">
        <v>57</v>
      </c>
      <c r="D474" s="0" t="n">
        <v>294613</v>
      </c>
      <c r="E474" s="0" t="s">
        <v>523</v>
      </c>
      <c r="F474" s="0" t="s">
        <v>524</v>
      </c>
      <c r="G474" s="0" t="s">
        <v>114</v>
      </c>
      <c r="H474" s="0" t="s">
        <v>770</v>
      </c>
    </row>
    <row r="475" customFormat="false" ht="15" hidden="false" customHeight="false" outlineLevel="0" collapsed="false">
      <c r="A475" s="0" t="s">
        <v>100</v>
      </c>
      <c r="B475" s="0" t="n">
        <v>2022</v>
      </c>
      <c r="C475" s="0" t="s">
        <v>58</v>
      </c>
      <c r="D475" s="0" t="n">
        <v>-75642</v>
      </c>
      <c r="E475" s="0" t="s">
        <v>523</v>
      </c>
      <c r="F475" s="0" t="s">
        <v>524</v>
      </c>
      <c r="G475" s="0" t="s">
        <v>114</v>
      </c>
      <c r="H475" s="0" t="s">
        <v>771</v>
      </c>
    </row>
    <row r="476" customFormat="false" ht="15" hidden="false" customHeight="false" outlineLevel="0" collapsed="false">
      <c r="A476" s="0" t="s">
        <v>100</v>
      </c>
      <c r="B476" s="0" t="n">
        <v>2022</v>
      </c>
      <c r="C476" s="0" t="s">
        <v>59</v>
      </c>
      <c r="D476" s="0" t="n">
        <v>2475079</v>
      </c>
      <c r="E476" s="0" t="s">
        <v>643</v>
      </c>
      <c r="F476" s="0" t="s">
        <v>524</v>
      </c>
      <c r="G476" s="0" t="s">
        <v>114</v>
      </c>
      <c r="H476" s="0" t="s">
        <v>772</v>
      </c>
    </row>
    <row r="477" customFormat="false" ht="15" hidden="false" customHeight="false" outlineLevel="0" collapsed="false">
      <c r="A477" s="0" t="s">
        <v>100</v>
      </c>
      <c r="B477" s="0" t="n">
        <v>2022</v>
      </c>
      <c r="C477" s="0" t="s">
        <v>60</v>
      </c>
      <c r="D477" s="0" t="n">
        <v>1190306</v>
      </c>
      <c r="E477" s="0" t="s">
        <v>523</v>
      </c>
      <c r="F477" s="0" t="s">
        <v>524</v>
      </c>
      <c r="G477" s="0" t="s">
        <v>114</v>
      </c>
      <c r="H477" s="0" t="s">
        <v>773</v>
      </c>
    </row>
    <row r="478" customFormat="false" ht="15" hidden="false" customHeight="false" outlineLevel="0" collapsed="false">
      <c r="A478" s="0" t="s">
        <v>100</v>
      </c>
      <c r="B478" s="0" t="n">
        <v>2022</v>
      </c>
      <c r="C478" s="0" t="s">
        <v>61</v>
      </c>
      <c r="D478" s="0" t="n">
        <v>62880</v>
      </c>
      <c r="E478" s="0" t="s">
        <v>523</v>
      </c>
      <c r="F478" s="0" t="s">
        <v>524</v>
      </c>
      <c r="G478" s="0" t="s">
        <v>114</v>
      </c>
      <c r="H478" s="0" t="s">
        <v>774</v>
      </c>
    </row>
    <row r="479" customFormat="false" ht="15" hidden="false" customHeight="false" outlineLevel="0" collapsed="false">
      <c r="A479" s="0" t="s">
        <v>100</v>
      </c>
      <c r="B479" s="0" t="n">
        <v>2022</v>
      </c>
      <c r="C479" s="0" t="s">
        <v>62</v>
      </c>
      <c r="D479" s="0" t="n">
        <v>1127426</v>
      </c>
      <c r="E479" s="0" t="s">
        <v>523</v>
      </c>
      <c r="F479" s="0" t="s">
        <v>524</v>
      </c>
      <c r="G479" s="0" t="s">
        <v>114</v>
      </c>
      <c r="H479" s="0" t="s">
        <v>775</v>
      </c>
    </row>
    <row r="480" customFormat="false" ht="15" hidden="false" customHeight="false" outlineLevel="0" collapsed="false">
      <c r="A480" s="0" t="s">
        <v>100</v>
      </c>
      <c r="B480" s="0" t="n">
        <v>2022</v>
      </c>
      <c r="C480" s="0" t="s">
        <v>63</v>
      </c>
      <c r="D480" s="0" t="n">
        <v>12377</v>
      </c>
      <c r="E480" s="0" t="s">
        <v>523</v>
      </c>
      <c r="F480" s="0" t="s">
        <v>524</v>
      </c>
      <c r="G480" s="0" t="s">
        <v>114</v>
      </c>
      <c r="H480" s="0" t="s">
        <v>776</v>
      </c>
    </row>
    <row r="481" customFormat="false" ht="15" hidden="false" customHeight="false" outlineLevel="0" collapsed="false">
      <c r="A481" s="0" t="s">
        <v>100</v>
      </c>
      <c r="B481" s="0" t="n">
        <v>2022</v>
      </c>
      <c r="C481" s="0" t="s">
        <v>64</v>
      </c>
      <c r="D481" s="0" t="n">
        <v>82348</v>
      </c>
      <c r="E481" s="0" t="s">
        <v>523</v>
      </c>
      <c r="F481" s="0" t="s">
        <v>524</v>
      </c>
      <c r="G481" s="0" t="s">
        <v>114</v>
      </c>
      <c r="H481" s="0" t="s">
        <v>777</v>
      </c>
    </row>
    <row r="482" customFormat="false" ht="15" hidden="false" customHeight="false" outlineLevel="0" collapsed="false">
      <c r="A482" s="0" t="s">
        <v>100</v>
      </c>
      <c r="B482" s="0" t="n">
        <v>2022</v>
      </c>
      <c r="C482" s="0" t="s">
        <v>69</v>
      </c>
      <c r="D482" s="0" t="n">
        <v>13.27</v>
      </c>
      <c r="E482" s="0" t="s">
        <v>523</v>
      </c>
      <c r="F482" s="0" t="s">
        <v>524</v>
      </c>
      <c r="G482" s="0" t="s">
        <v>114</v>
      </c>
      <c r="H482" s="0" t="s">
        <v>778</v>
      </c>
    </row>
    <row r="483" customFormat="false" ht="15" hidden="false" customHeight="false" outlineLevel="0" collapsed="false">
      <c r="A483" s="0" t="s">
        <v>100</v>
      </c>
      <c r="B483" s="0" t="n">
        <v>2022</v>
      </c>
      <c r="C483" s="0" t="s">
        <v>65</v>
      </c>
      <c r="D483" s="0" t="n">
        <v>232070</v>
      </c>
      <c r="E483" s="0" t="s">
        <v>523</v>
      </c>
      <c r="F483" s="0" t="s">
        <v>524</v>
      </c>
      <c r="G483" s="0" t="s">
        <v>114</v>
      </c>
      <c r="H483" s="0" t="s">
        <v>779</v>
      </c>
    </row>
    <row r="484" customFormat="false" ht="15" hidden="false" customHeight="false" outlineLevel="0" collapsed="false">
      <c r="A484" s="0" t="s">
        <v>100</v>
      </c>
      <c r="B484" s="0" t="n">
        <v>2022</v>
      </c>
      <c r="C484" s="0" t="s">
        <v>66</v>
      </c>
      <c r="D484" s="0" t="n">
        <v>1748560</v>
      </c>
      <c r="E484" s="0" t="s">
        <v>523</v>
      </c>
      <c r="F484" s="0" t="s">
        <v>524</v>
      </c>
      <c r="G484" s="0" t="s">
        <v>114</v>
      </c>
      <c r="H484" s="0" t="s">
        <v>780</v>
      </c>
    </row>
    <row r="485" customFormat="false" ht="15" hidden="false" customHeight="false" outlineLevel="0" collapsed="false">
      <c r="A485" s="0" t="s">
        <v>100</v>
      </c>
      <c r="B485" s="0" t="n">
        <v>2022</v>
      </c>
      <c r="C485" s="0" t="s">
        <v>73</v>
      </c>
      <c r="D485" s="0" t="n">
        <v>0</v>
      </c>
      <c r="E485" s="0" t="s">
        <v>539</v>
      </c>
      <c r="F485" s="0" t="s">
        <v>524</v>
      </c>
      <c r="G485" s="0" t="s">
        <v>114</v>
      </c>
      <c r="H485" s="0" t="s">
        <v>781</v>
      </c>
    </row>
    <row r="486" customFormat="false" ht="15" hidden="false" customHeight="false" outlineLevel="0" collapsed="false">
      <c r="A486" s="0" t="s">
        <v>100</v>
      </c>
      <c r="B486" s="0" t="n">
        <v>2022</v>
      </c>
      <c r="C486" s="0" t="s">
        <v>541</v>
      </c>
      <c r="D486" s="0" t="n">
        <v>12396</v>
      </c>
      <c r="E486" s="0" t="s">
        <v>523</v>
      </c>
      <c r="F486" s="0" t="s">
        <v>524</v>
      </c>
      <c r="G486" s="0" t="s">
        <v>114</v>
      </c>
      <c r="H486" s="0" t="s">
        <v>782</v>
      </c>
    </row>
    <row r="487" customFormat="false" ht="15" hidden="false" customHeight="false" outlineLevel="0" collapsed="false">
      <c r="A487" s="0" t="s">
        <v>100</v>
      </c>
      <c r="B487" s="0" t="n">
        <v>2022</v>
      </c>
      <c r="C487" s="0" t="s">
        <v>19</v>
      </c>
      <c r="D487" s="0" t="n">
        <v>2696384</v>
      </c>
      <c r="E487" s="0" t="s">
        <v>522</v>
      </c>
    </row>
    <row r="488" customFormat="false" ht="15" hidden="false" customHeight="false" outlineLevel="0" collapsed="false">
      <c r="A488" s="0" t="s">
        <v>100</v>
      </c>
      <c r="B488" s="0" t="n">
        <v>2022</v>
      </c>
      <c r="C488" s="0" t="s">
        <v>41</v>
      </c>
      <c r="D488" s="0" t="n">
        <v>0.385553392988536</v>
      </c>
      <c r="E488" s="0" t="s">
        <v>522</v>
      </c>
    </row>
    <row r="489" customFormat="false" ht="15" hidden="false" customHeight="false" outlineLevel="0" collapsed="false">
      <c r="A489" s="0" t="s">
        <v>100</v>
      </c>
      <c r="B489" s="0" t="n">
        <v>2022</v>
      </c>
      <c r="C489" s="0" t="s">
        <v>27</v>
      </c>
      <c r="D489" s="0" t="n">
        <v>10.0974778326271</v>
      </c>
      <c r="E489" s="0" t="s">
        <v>522</v>
      </c>
    </row>
    <row r="490" customFormat="false" ht="15" hidden="false" customHeight="false" outlineLevel="0" collapsed="false">
      <c r="A490" s="0" t="s">
        <v>100</v>
      </c>
      <c r="B490" s="0" t="n">
        <v>2022</v>
      </c>
      <c r="C490" s="0" t="s">
        <v>39</v>
      </c>
      <c r="D490" s="0" t="n">
        <v>-2.80531259642544</v>
      </c>
      <c r="E490" s="0" t="s">
        <v>522</v>
      </c>
    </row>
    <row r="491" customFormat="false" ht="15" hidden="false" customHeight="false" outlineLevel="0" collapsed="false">
      <c r="A491" s="0" t="s">
        <v>100</v>
      </c>
      <c r="B491" s="0" t="n">
        <v>2022</v>
      </c>
      <c r="C491" s="0" t="s">
        <v>17</v>
      </c>
      <c r="D491" s="0" t="n">
        <v>5.2826752112482</v>
      </c>
      <c r="E491" s="0" t="s">
        <v>522</v>
      </c>
    </row>
    <row r="492" customFormat="false" ht="15" hidden="false" customHeight="false" outlineLevel="0" collapsed="false">
      <c r="A492" s="0" t="s">
        <v>100</v>
      </c>
      <c r="B492" s="0" t="n">
        <v>2022</v>
      </c>
      <c r="C492" s="0" t="s">
        <v>25</v>
      </c>
      <c r="D492" s="0" t="n">
        <v>13.2720638696985</v>
      </c>
      <c r="E492" s="0" t="s">
        <v>522</v>
      </c>
    </row>
    <row r="493" customFormat="false" ht="15" hidden="false" customHeight="false" outlineLevel="0" collapsed="false">
      <c r="A493" s="0" t="s">
        <v>100</v>
      </c>
      <c r="B493" s="0" t="n">
        <v>2022</v>
      </c>
      <c r="C493" s="0" t="s">
        <v>29</v>
      </c>
      <c r="D493" s="0" t="n">
        <v>0.459022157081484</v>
      </c>
      <c r="E493" s="0" t="s">
        <v>522</v>
      </c>
    </row>
    <row r="494" customFormat="false" ht="15" hidden="false" customHeight="false" outlineLevel="0" collapsed="false">
      <c r="A494" s="0" t="s">
        <v>100</v>
      </c>
      <c r="B494" s="0" t="n">
        <v>2022</v>
      </c>
      <c r="C494" s="0" t="s">
        <v>23</v>
      </c>
      <c r="D494" s="0" t="n">
        <v>76.3588672463205</v>
      </c>
      <c r="E494" s="0" t="s">
        <v>522</v>
      </c>
    </row>
    <row r="495" customFormat="false" ht="15" hidden="false" customHeight="false" outlineLevel="0" collapsed="false">
      <c r="A495" s="0" t="s">
        <v>100</v>
      </c>
      <c r="B495" s="0" t="n">
        <v>2022</v>
      </c>
      <c r="C495" s="0" t="s">
        <v>37</v>
      </c>
      <c r="D495" s="0" t="n">
        <v>6.91822102887829</v>
      </c>
      <c r="E495" s="0" t="s">
        <v>522</v>
      </c>
    </row>
    <row r="496" customFormat="false" ht="15" hidden="false" customHeight="false" outlineLevel="0" collapsed="false">
      <c r="A496" s="0" t="s">
        <v>100</v>
      </c>
      <c r="B496" s="0" t="n">
        <v>2022</v>
      </c>
      <c r="C496" s="0" t="s">
        <v>43</v>
      </c>
      <c r="D496" s="0" t="n">
        <v>0.356309394181491</v>
      </c>
      <c r="E496" s="0" t="s">
        <v>522</v>
      </c>
    </row>
    <row r="497" customFormat="false" ht="15" hidden="false" customHeight="false" outlineLevel="0" collapsed="false">
      <c r="A497" s="0" t="s">
        <v>100</v>
      </c>
      <c r="B497" s="0" t="n">
        <v>2022</v>
      </c>
      <c r="C497" s="0" t="s">
        <v>31</v>
      </c>
      <c r="D497" s="0" t="n">
        <v>89.9025221673729</v>
      </c>
      <c r="E497" s="0" t="s">
        <v>522</v>
      </c>
    </row>
    <row r="498" customFormat="false" ht="15" hidden="false" customHeight="false" outlineLevel="0" collapsed="false">
      <c r="A498" s="0" t="s">
        <v>100</v>
      </c>
      <c r="B498" s="0" t="n">
        <v>2022</v>
      </c>
      <c r="C498" s="0" t="s">
        <v>33</v>
      </c>
      <c r="D498" s="0" t="n">
        <v>14.8863024225356</v>
      </c>
      <c r="E498" s="0" t="s">
        <v>522</v>
      </c>
    </row>
    <row r="499" customFormat="false" ht="15" hidden="false" customHeight="false" outlineLevel="0" collapsed="false">
      <c r="A499" s="0" t="s">
        <v>100</v>
      </c>
      <c r="B499" s="0" t="n">
        <v>2022</v>
      </c>
      <c r="C499" s="0" t="s">
        <v>21</v>
      </c>
      <c r="D499" s="0" t="n">
        <v>0</v>
      </c>
      <c r="E499" s="0" t="s">
        <v>522</v>
      </c>
    </row>
    <row r="500" customFormat="false" ht="15" hidden="false" customHeight="false" outlineLevel="0" collapsed="false">
      <c r="A500" s="0" t="s">
        <v>100</v>
      </c>
      <c r="B500" s="0" t="n">
        <v>2022</v>
      </c>
      <c r="C500" s="0" t="s">
        <v>35</v>
      </c>
      <c r="D500" s="0" t="n">
        <v>0</v>
      </c>
      <c r="E500" s="0" t="s">
        <v>522</v>
      </c>
    </row>
    <row r="501" customFormat="false" ht="15" hidden="false" customHeight="false" outlineLevel="0" collapsed="false">
      <c r="A501" s="0" t="s">
        <v>115</v>
      </c>
      <c r="B501" s="0" t="n">
        <v>2013</v>
      </c>
      <c r="C501" s="0" t="s">
        <v>54</v>
      </c>
      <c r="D501" s="0" t="n">
        <v>7721</v>
      </c>
      <c r="E501" s="0" t="s">
        <v>521</v>
      </c>
      <c r="G501" s="0" t="s">
        <v>81</v>
      </c>
    </row>
    <row r="502" customFormat="false" ht="15" hidden="false" customHeight="false" outlineLevel="0" collapsed="false">
      <c r="A502" s="0" t="s">
        <v>115</v>
      </c>
      <c r="B502" s="0" t="n">
        <v>2013</v>
      </c>
      <c r="C502" s="0" t="s">
        <v>55</v>
      </c>
      <c r="D502" s="0" t="n">
        <v>1081217</v>
      </c>
      <c r="E502" s="0" t="s">
        <v>521</v>
      </c>
      <c r="G502" s="0" t="s">
        <v>81</v>
      </c>
    </row>
    <row r="503" customFormat="false" ht="15" hidden="false" customHeight="false" outlineLevel="0" collapsed="false">
      <c r="A503" s="0" t="s">
        <v>115</v>
      </c>
      <c r="B503" s="0" t="n">
        <v>2013</v>
      </c>
      <c r="C503" s="0" t="s">
        <v>56</v>
      </c>
      <c r="D503" s="0" t="n">
        <v>917762</v>
      </c>
      <c r="E503" s="0" t="s">
        <v>521</v>
      </c>
      <c r="G503" s="0" t="s">
        <v>81</v>
      </c>
    </row>
    <row r="504" customFormat="false" ht="15" hidden="false" customHeight="false" outlineLevel="0" collapsed="false">
      <c r="A504" s="0" t="s">
        <v>115</v>
      </c>
      <c r="B504" s="0" t="n">
        <v>2013</v>
      </c>
      <c r="C504" s="0" t="s">
        <v>57</v>
      </c>
      <c r="D504" s="0" t="n">
        <v>163455</v>
      </c>
      <c r="E504" s="0" t="s">
        <v>521</v>
      </c>
      <c r="G504" s="0" t="s">
        <v>81</v>
      </c>
    </row>
    <row r="505" customFormat="false" ht="15" hidden="false" customHeight="false" outlineLevel="0" collapsed="false">
      <c r="A505" s="0" t="s">
        <v>115</v>
      </c>
      <c r="B505" s="0" t="n">
        <v>2013</v>
      </c>
      <c r="C505" s="0" t="s">
        <v>58</v>
      </c>
      <c r="D505" s="0" t="n">
        <v>15048</v>
      </c>
      <c r="E505" s="0" t="s">
        <v>521</v>
      </c>
      <c r="G505" s="0" t="s">
        <v>81</v>
      </c>
    </row>
    <row r="506" customFormat="false" ht="15" hidden="false" customHeight="false" outlineLevel="0" collapsed="false">
      <c r="A506" s="0" t="s">
        <v>115</v>
      </c>
      <c r="B506" s="0" t="n">
        <v>2013</v>
      </c>
      <c r="C506" s="0" t="s">
        <v>59</v>
      </c>
      <c r="D506" s="0" t="n">
        <v>914360</v>
      </c>
      <c r="E506" s="0" t="s">
        <v>521</v>
      </c>
      <c r="G506" s="0" t="s">
        <v>81</v>
      </c>
    </row>
    <row r="507" customFormat="false" ht="15" hidden="false" customHeight="false" outlineLevel="0" collapsed="false">
      <c r="A507" s="0" t="s">
        <v>115</v>
      </c>
      <c r="B507" s="0" t="n">
        <v>2013</v>
      </c>
      <c r="C507" s="0" t="s">
        <v>60</v>
      </c>
      <c r="D507" s="0" t="n">
        <v>442649</v>
      </c>
      <c r="E507" s="0" t="s">
        <v>521</v>
      </c>
      <c r="G507" s="0" t="s">
        <v>81</v>
      </c>
    </row>
    <row r="508" customFormat="false" ht="15" hidden="false" customHeight="false" outlineLevel="0" collapsed="false">
      <c r="A508" s="0" t="s">
        <v>115</v>
      </c>
      <c r="B508" s="0" t="n">
        <v>2013</v>
      </c>
      <c r="C508" s="0" t="s">
        <v>61</v>
      </c>
      <c r="D508" s="0" t="n">
        <v>16573</v>
      </c>
      <c r="E508" s="0" t="s">
        <v>521</v>
      </c>
      <c r="G508" s="0" t="s">
        <v>81</v>
      </c>
    </row>
    <row r="509" customFormat="false" ht="15" hidden="false" customHeight="false" outlineLevel="0" collapsed="false">
      <c r="A509" s="0" t="s">
        <v>115</v>
      </c>
      <c r="B509" s="0" t="n">
        <v>2013</v>
      </c>
      <c r="C509" s="0" t="s">
        <v>63</v>
      </c>
      <c r="D509" s="0" t="n">
        <v>7630</v>
      </c>
      <c r="E509" s="0" t="s">
        <v>521</v>
      </c>
      <c r="G509" s="0" t="s">
        <v>81</v>
      </c>
    </row>
    <row r="510" customFormat="false" ht="15" hidden="false" customHeight="false" outlineLevel="0" collapsed="false">
      <c r="A510" s="0" t="s">
        <v>115</v>
      </c>
      <c r="B510" s="0" t="n">
        <v>2013</v>
      </c>
      <c r="C510" s="0" t="s">
        <v>307</v>
      </c>
      <c r="D510" s="0" t="n">
        <v>3190</v>
      </c>
      <c r="E510" s="0" t="s">
        <v>521</v>
      </c>
      <c r="G510" s="0" t="s">
        <v>81</v>
      </c>
    </row>
    <row r="511" customFormat="false" ht="15" hidden="false" customHeight="false" outlineLevel="0" collapsed="false">
      <c r="A511" s="0" t="s">
        <v>115</v>
      </c>
      <c r="B511" s="0" t="n">
        <v>2013</v>
      </c>
      <c r="C511" s="0" t="s">
        <v>69</v>
      </c>
      <c r="D511" s="0" t="n">
        <v>26</v>
      </c>
      <c r="E511" s="0" t="s">
        <v>521</v>
      </c>
      <c r="G511" s="0" t="s">
        <v>81</v>
      </c>
    </row>
    <row r="512" customFormat="false" ht="15" hidden="false" customHeight="false" outlineLevel="0" collapsed="false">
      <c r="A512" s="0" t="s">
        <v>115</v>
      </c>
      <c r="B512" s="0" t="n">
        <v>2013</v>
      </c>
      <c r="C512" s="0" t="s">
        <v>19</v>
      </c>
      <c r="D512" s="0" t="n">
        <v>997788.5</v>
      </c>
      <c r="E512" s="0" t="s">
        <v>522</v>
      </c>
    </row>
    <row r="513" customFormat="false" ht="15" hidden="false" customHeight="false" outlineLevel="0" collapsed="false">
      <c r="A513" s="0" t="s">
        <v>115</v>
      </c>
      <c r="B513" s="0" t="n">
        <v>2013</v>
      </c>
      <c r="C513" s="0" t="s">
        <v>41</v>
      </c>
      <c r="D513" s="0" t="n">
        <v>0.7738112836538</v>
      </c>
      <c r="E513" s="0" t="s">
        <v>522</v>
      </c>
    </row>
    <row r="514" customFormat="false" ht="15" hidden="false" customHeight="false" outlineLevel="0" collapsed="false">
      <c r="A514" s="0" t="s">
        <v>115</v>
      </c>
      <c r="B514" s="0" t="n">
        <v>2013</v>
      </c>
      <c r="C514" s="0" t="s">
        <v>27</v>
      </c>
      <c r="D514" s="0" t="n">
        <v>15.1176868288235</v>
      </c>
      <c r="E514" s="0" t="s">
        <v>522</v>
      </c>
    </row>
    <row r="515" customFormat="false" ht="15" hidden="false" customHeight="false" outlineLevel="0" collapsed="false">
      <c r="A515" s="0" t="s">
        <v>115</v>
      </c>
      <c r="B515" s="0" t="n">
        <v>2013</v>
      </c>
      <c r="C515" s="0" t="s">
        <v>39</v>
      </c>
      <c r="D515" s="0" t="n">
        <v>1.50813524108566</v>
      </c>
      <c r="E515" s="0" t="s">
        <v>522</v>
      </c>
    </row>
    <row r="516" customFormat="false" ht="15" hidden="false" customHeight="false" outlineLevel="0" collapsed="false">
      <c r="A516" s="0" t="s">
        <v>115</v>
      </c>
      <c r="B516" s="0" t="n">
        <v>2013</v>
      </c>
      <c r="C516" s="0" t="s">
        <v>17</v>
      </c>
      <c r="D516" s="0" t="n">
        <v>3.74405002609291</v>
      </c>
      <c r="E516" s="0" t="s">
        <v>522</v>
      </c>
    </row>
    <row r="517" customFormat="false" ht="15" hidden="false" customHeight="false" outlineLevel="0" collapsed="false">
      <c r="A517" s="0" t="s">
        <v>115</v>
      </c>
      <c r="B517" s="0" t="n">
        <v>2013</v>
      </c>
      <c r="C517" s="0" t="s">
        <v>29</v>
      </c>
      <c r="D517" s="0" t="n">
        <v>0.764691114399494</v>
      </c>
      <c r="E517" s="0" t="s">
        <v>522</v>
      </c>
    </row>
    <row r="518" customFormat="false" ht="15" hidden="false" customHeight="false" outlineLevel="0" collapsed="false">
      <c r="A518" s="0" t="s">
        <v>115</v>
      </c>
      <c r="B518" s="0" t="n">
        <v>2013</v>
      </c>
      <c r="C518" s="0" t="s">
        <v>43</v>
      </c>
      <c r="D518" s="0" t="n">
        <v>0.714102719435599</v>
      </c>
      <c r="E518" s="0" t="s">
        <v>522</v>
      </c>
    </row>
    <row r="519" customFormat="false" ht="15" hidden="false" customHeight="false" outlineLevel="0" collapsed="false">
      <c r="A519" s="0" t="s">
        <v>115</v>
      </c>
      <c r="B519" s="0" t="n">
        <v>2013</v>
      </c>
      <c r="C519" s="0" t="s">
        <v>31</v>
      </c>
      <c r="D519" s="0" t="n">
        <v>84.8823131711766</v>
      </c>
      <c r="E519" s="0" t="s">
        <v>522</v>
      </c>
    </row>
    <row r="520" customFormat="false" ht="15" hidden="false" customHeight="false" outlineLevel="0" collapsed="false">
      <c r="A520" s="0" t="s">
        <v>115</v>
      </c>
      <c r="B520" s="0" t="n">
        <v>2013</v>
      </c>
      <c r="C520" s="0" t="s">
        <v>33</v>
      </c>
      <c r="D520" s="0" t="n">
        <v>13.8935978165313</v>
      </c>
      <c r="E520" s="0" t="s">
        <v>522</v>
      </c>
    </row>
    <row r="521" customFormat="false" ht="15" hidden="false" customHeight="false" outlineLevel="0" collapsed="false">
      <c r="A521" s="0" t="s">
        <v>115</v>
      </c>
      <c r="B521" s="0" t="n">
        <v>2013</v>
      </c>
      <c r="C521" s="0" t="s">
        <v>21</v>
      </c>
      <c r="D521" s="0" t="n">
        <v>0</v>
      </c>
      <c r="E521" s="0" t="s">
        <v>522</v>
      </c>
    </row>
    <row r="522" customFormat="false" ht="15" hidden="false" customHeight="false" outlineLevel="0" collapsed="false">
      <c r="A522" s="0" t="s">
        <v>115</v>
      </c>
      <c r="B522" s="0" t="n">
        <v>2014</v>
      </c>
      <c r="C522" s="0" t="s">
        <v>54</v>
      </c>
      <c r="D522" s="0" t="n">
        <v>13796</v>
      </c>
      <c r="E522" s="0" t="s">
        <v>523</v>
      </c>
      <c r="F522" s="0" t="s">
        <v>524</v>
      </c>
      <c r="G522" s="0" t="s">
        <v>105</v>
      </c>
      <c r="H522" s="0" t="s">
        <v>783</v>
      </c>
    </row>
    <row r="523" customFormat="false" ht="15" hidden="false" customHeight="false" outlineLevel="0" collapsed="false">
      <c r="A523" s="0" t="s">
        <v>115</v>
      </c>
      <c r="B523" s="0" t="n">
        <v>2014</v>
      </c>
      <c r="C523" s="0" t="s">
        <v>55</v>
      </c>
      <c r="D523" s="0" t="n">
        <v>1187025</v>
      </c>
      <c r="E523" s="0" t="s">
        <v>523</v>
      </c>
      <c r="F523" s="0" t="s">
        <v>524</v>
      </c>
      <c r="G523" s="0" t="s">
        <v>105</v>
      </c>
      <c r="H523" s="0" t="s">
        <v>784</v>
      </c>
    </row>
    <row r="524" customFormat="false" ht="15" hidden="false" customHeight="false" outlineLevel="0" collapsed="false">
      <c r="A524" s="0" t="s">
        <v>115</v>
      </c>
      <c r="B524" s="0" t="n">
        <v>2014</v>
      </c>
      <c r="C524" s="0" t="s">
        <v>56</v>
      </c>
      <c r="D524" s="0" t="n">
        <v>1013914</v>
      </c>
      <c r="E524" s="0" t="s">
        <v>523</v>
      </c>
      <c r="F524" s="0" t="s">
        <v>524</v>
      </c>
      <c r="G524" s="0" t="s">
        <v>105</v>
      </c>
      <c r="H524" s="0" t="s">
        <v>785</v>
      </c>
    </row>
    <row r="525" customFormat="false" ht="15" hidden="false" customHeight="false" outlineLevel="0" collapsed="false">
      <c r="A525" s="0" t="s">
        <v>115</v>
      </c>
      <c r="B525" s="0" t="n">
        <v>2014</v>
      </c>
      <c r="C525" s="0" t="s">
        <v>57</v>
      </c>
      <c r="D525" s="0" t="n">
        <v>173111</v>
      </c>
      <c r="E525" s="0" t="s">
        <v>523</v>
      </c>
      <c r="F525" s="0" t="s">
        <v>524</v>
      </c>
      <c r="G525" s="0" t="s">
        <v>105</v>
      </c>
      <c r="H525" s="0" t="s">
        <v>786</v>
      </c>
    </row>
    <row r="526" customFormat="false" ht="15" hidden="false" customHeight="false" outlineLevel="0" collapsed="false">
      <c r="A526" s="0" t="s">
        <v>115</v>
      </c>
      <c r="B526" s="0" t="n">
        <v>2014</v>
      </c>
      <c r="C526" s="0" t="s">
        <v>58</v>
      </c>
      <c r="D526" s="0" t="n">
        <v>53565</v>
      </c>
      <c r="E526" s="0" t="s">
        <v>523</v>
      </c>
      <c r="F526" s="0" t="s">
        <v>524</v>
      </c>
      <c r="G526" s="0" t="s">
        <v>105</v>
      </c>
      <c r="H526" s="0" t="s">
        <v>787</v>
      </c>
    </row>
    <row r="527" customFormat="false" ht="15" hidden="false" customHeight="false" outlineLevel="0" collapsed="false">
      <c r="A527" s="0" t="s">
        <v>115</v>
      </c>
      <c r="B527" s="0" t="n">
        <v>2014</v>
      </c>
      <c r="C527" s="0" t="s">
        <v>59</v>
      </c>
      <c r="D527" s="0" t="n">
        <v>1081217</v>
      </c>
      <c r="E527" s="0" t="s">
        <v>523</v>
      </c>
      <c r="F527" s="0" t="s">
        <v>524</v>
      </c>
      <c r="G527" s="0" t="s">
        <v>105</v>
      </c>
      <c r="H527" s="0" t="s">
        <v>788</v>
      </c>
    </row>
    <row r="528" customFormat="false" ht="15" hidden="false" customHeight="false" outlineLevel="0" collapsed="false">
      <c r="A528" s="0" t="s">
        <v>115</v>
      </c>
      <c r="B528" s="0" t="n">
        <v>2014</v>
      </c>
      <c r="C528" s="0" t="s">
        <v>60</v>
      </c>
      <c r="D528" s="0" t="n">
        <v>559137</v>
      </c>
      <c r="E528" s="0" t="s">
        <v>523</v>
      </c>
      <c r="F528" s="0" t="s">
        <v>524</v>
      </c>
      <c r="G528" s="0" t="s">
        <v>105</v>
      </c>
      <c r="H528" s="0" t="s">
        <v>789</v>
      </c>
    </row>
    <row r="529" customFormat="false" ht="15" hidden="false" customHeight="false" outlineLevel="0" collapsed="false">
      <c r="A529" s="0" t="s">
        <v>115</v>
      </c>
      <c r="B529" s="0" t="n">
        <v>2014</v>
      </c>
      <c r="C529" s="0" t="s">
        <v>61</v>
      </c>
      <c r="D529" s="0" t="n">
        <v>17451</v>
      </c>
      <c r="E529" s="0" t="s">
        <v>523</v>
      </c>
      <c r="F529" s="0" t="s">
        <v>524</v>
      </c>
      <c r="G529" s="0" t="s">
        <v>105</v>
      </c>
      <c r="H529" s="0" t="s">
        <v>790</v>
      </c>
    </row>
    <row r="530" customFormat="false" ht="15" hidden="false" customHeight="false" outlineLevel="0" collapsed="false">
      <c r="A530" s="0" t="s">
        <v>115</v>
      </c>
      <c r="B530" s="0" t="n">
        <v>2014</v>
      </c>
      <c r="C530" s="0" t="s">
        <v>62</v>
      </c>
      <c r="D530" s="0" t="n">
        <v>541686</v>
      </c>
      <c r="E530" s="0" t="s">
        <v>523</v>
      </c>
      <c r="F530" s="0" t="s">
        <v>524</v>
      </c>
      <c r="G530" s="0" t="s">
        <v>105</v>
      </c>
      <c r="H530" s="0" t="s">
        <v>791</v>
      </c>
    </row>
    <row r="531" customFormat="false" ht="15" hidden="false" customHeight="false" outlineLevel="0" collapsed="false">
      <c r="A531" s="0" t="s">
        <v>115</v>
      </c>
      <c r="B531" s="0" t="n">
        <v>2014</v>
      </c>
      <c r="C531" s="0" t="s">
        <v>63</v>
      </c>
      <c r="D531" s="0" t="n">
        <v>4306</v>
      </c>
      <c r="E531" s="0" t="s">
        <v>523</v>
      </c>
      <c r="F531" s="0" t="s">
        <v>524</v>
      </c>
      <c r="G531" s="0" t="s">
        <v>105</v>
      </c>
      <c r="H531" s="0" t="s">
        <v>792</v>
      </c>
    </row>
    <row r="532" customFormat="false" ht="15" hidden="false" customHeight="false" outlineLevel="0" collapsed="false">
      <c r="A532" s="0" t="s">
        <v>115</v>
      </c>
      <c r="B532" s="0" t="n">
        <v>2014</v>
      </c>
      <c r="C532" s="0" t="s">
        <v>69</v>
      </c>
      <c r="D532" s="0" t="n">
        <v>24.21</v>
      </c>
      <c r="E532" s="0" t="s">
        <v>523</v>
      </c>
      <c r="F532" s="0" t="s">
        <v>524</v>
      </c>
      <c r="G532" s="0" t="s">
        <v>105</v>
      </c>
      <c r="H532" s="0" t="s">
        <v>793</v>
      </c>
    </row>
    <row r="533" customFormat="false" ht="15" hidden="false" customHeight="false" outlineLevel="0" collapsed="false">
      <c r="A533" s="0" t="s">
        <v>115</v>
      </c>
      <c r="B533" s="0" t="n">
        <v>2014</v>
      </c>
      <c r="C533" s="0" t="s">
        <v>70</v>
      </c>
      <c r="D533" s="0" t="n">
        <v>15</v>
      </c>
      <c r="E533" s="0" t="s">
        <v>523</v>
      </c>
      <c r="F533" s="0" t="s">
        <v>524</v>
      </c>
      <c r="G533" s="0" t="s">
        <v>105</v>
      </c>
      <c r="H533" s="0" t="s">
        <v>794</v>
      </c>
    </row>
    <row r="534" customFormat="false" ht="15" hidden="false" customHeight="false" outlineLevel="0" collapsed="false">
      <c r="A534" s="0" t="s">
        <v>115</v>
      </c>
      <c r="B534" s="0" t="n">
        <v>2014</v>
      </c>
      <c r="C534" s="0" t="s">
        <v>65</v>
      </c>
      <c r="D534" s="0" t="n">
        <v>198886</v>
      </c>
      <c r="E534" s="0" t="s">
        <v>523</v>
      </c>
      <c r="F534" s="0" t="s">
        <v>524</v>
      </c>
      <c r="G534" s="0" t="s">
        <v>105</v>
      </c>
      <c r="H534" s="0" t="s">
        <v>795</v>
      </c>
    </row>
    <row r="535" customFormat="false" ht="15" hidden="false" customHeight="false" outlineLevel="0" collapsed="false">
      <c r="A535" s="0" t="s">
        <v>115</v>
      </c>
      <c r="B535" s="0" t="n">
        <v>2014</v>
      </c>
      <c r="C535" s="0" t="s">
        <v>66</v>
      </c>
      <c r="D535" s="0" t="n">
        <v>821527</v>
      </c>
      <c r="E535" s="0" t="s">
        <v>523</v>
      </c>
      <c r="F535" s="0" t="s">
        <v>524</v>
      </c>
      <c r="G535" s="0" t="s">
        <v>105</v>
      </c>
      <c r="H535" s="0" t="s">
        <v>796</v>
      </c>
    </row>
    <row r="536" customFormat="false" ht="15" hidden="false" customHeight="false" outlineLevel="0" collapsed="false">
      <c r="A536" s="0" t="s">
        <v>115</v>
      </c>
      <c r="B536" s="0" t="n">
        <v>2014</v>
      </c>
      <c r="C536" s="0" t="s">
        <v>73</v>
      </c>
      <c r="D536" s="0" t="n">
        <v>0</v>
      </c>
      <c r="E536" s="0" t="s">
        <v>539</v>
      </c>
      <c r="F536" s="0" t="s">
        <v>524</v>
      </c>
      <c r="G536" s="0" t="s">
        <v>105</v>
      </c>
      <c r="H536" s="0" t="s">
        <v>797</v>
      </c>
    </row>
    <row r="537" customFormat="false" ht="15" hidden="false" customHeight="false" outlineLevel="0" collapsed="false">
      <c r="A537" s="0" t="s">
        <v>115</v>
      </c>
      <c r="B537" s="0" t="n">
        <v>2014</v>
      </c>
      <c r="C537" s="0" t="s">
        <v>541</v>
      </c>
      <c r="D537" s="0" t="n">
        <v>15515</v>
      </c>
      <c r="E537" s="0" t="s">
        <v>523</v>
      </c>
      <c r="F537" s="0" t="s">
        <v>524</v>
      </c>
      <c r="G537" s="0" t="s">
        <v>105</v>
      </c>
      <c r="H537" s="0" t="s">
        <v>798</v>
      </c>
    </row>
    <row r="538" customFormat="false" ht="15" hidden="false" customHeight="false" outlineLevel="0" collapsed="false">
      <c r="A538" s="0" t="s">
        <v>115</v>
      </c>
      <c r="B538" s="0" t="n">
        <v>2014</v>
      </c>
      <c r="C538" s="0" t="s">
        <v>543</v>
      </c>
      <c r="D538" s="0" t="n">
        <v>10848</v>
      </c>
      <c r="E538" s="0" t="s">
        <v>523</v>
      </c>
      <c r="F538" s="0" t="s">
        <v>524</v>
      </c>
      <c r="G538" s="0" t="s">
        <v>105</v>
      </c>
      <c r="H538" s="0" t="s">
        <v>799</v>
      </c>
    </row>
    <row r="539" customFormat="false" ht="15" hidden="false" customHeight="false" outlineLevel="0" collapsed="false">
      <c r="A539" s="0" t="s">
        <v>115</v>
      </c>
      <c r="B539" s="0" t="n">
        <v>2014</v>
      </c>
      <c r="C539" s="0" t="s">
        <v>545</v>
      </c>
      <c r="D539" s="0" t="n">
        <v>6603</v>
      </c>
      <c r="E539" s="0" t="s">
        <v>523</v>
      </c>
      <c r="F539" s="0" t="s">
        <v>524</v>
      </c>
      <c r="G539" s="0" t="s">
        <v>105</v>
      </c>
      <c r="H539" s="0" t="s">
        <v>800</v>
      </c>
    </row>
    <row r="540" customFormat="false" ht="15" hidden="false" customHeight="false" outlineLevel="0" collapsed="false">
      <c r="A540" s="0" t="s">
        <v>115</v>
      </c>
      <c r="B540" s="0" t="n">
        <v>2014</v>
      </c>
      <c r="C540" s="0" t="s">
        <v>19</v>
      </c>
      <c r="D540" s="0" t="n">
        <v>1134121</v>
      </c>
      <c r="E540" s="0" t="s">
        <v>522</v>
      </c>
    </row>
    <row r="541" customFormat="false" ht="15" hidden="false" customHeight="false" outlineLevel="0" collapsed="false">
      <c r="A541" s="0" t="s">
        <v>115</v>
      </c>
      <c r="B541" s="0" t="n">
        <v>2014</v>
      </c>
      <c r="C541" s="0" t="s">
        <v>41</v>
      </c>
      <c r="D541" s="0" t="n">
        <v>1.21644868581042</v>
      </c>
      <c r="E541" s="0" t="s">
        <v>522</v>
      </c>
    </row>
    <row r="542" customFormat="false" ht="15" hidden="false" customHeight="false" outlineLevel="0" collapsed="false">
      <c r="A542" s="0" t="s">
        <v>115</v>
      </c>
      <c r="B542" s="0" t="n">
        <v>2014</v>
      </c>
      <c r="C542" s="0" t="s">
        <v>27</v>
      </c>
      <c r="D542" s="0" t="n">
        <v>14.5836018617974</v>
      </c>
      <c r="E542" s="0" t="s">
        <v>522</v>
      </c>
    </row>
    <row r="543" customFormat="false" ht="15" hidden="false" customHeight="false" outlineLevel="0" collapsed="false">
      <c r="A543" s="0" t="s">
        <v>115</v>
      </c>
      <c r="B543" s="0" t="n">
        <v>2014</v>
      </c>
      <c r="C543" s="0" t="s">
        <v>39</v>
      </c>
      <c r="D543" s="0" t="n">
        <v>4.72304101590571</v>
      </c>
      <c r="E543" s="0" t="s">
        <v>522</v>
      </c>
    </row>
    <row r="544" customFormat="false" ht="15" hidden="false" customHeight="false" outlineLevel="0" collapsed="false">
      <c r="A544" s="0" t="s">
        <v>115</v>
      </c>
      <c r="B544" s="0" t="n">
        <v>2014</v>
      </c>
      <c r="C544" s="0" t="s">
        <v>17</v>
      </c>
      <c r="D544" s="0" t="n">
        <v>3.12105977604773</v>
      </c>
      <c r="E544" s="0" t="s">
        <v>522</v>
      </c>
    </row>
    <row r="545" customFormat="false" ht="15" hidden="false" customHeight="false" outlineLevel="0" collapsed="false">
      <c r="A545" s="0" t="s">
        <v>115</v>
      </c>
      <c r="B545" s="0" t="n">
        <v>2014</v>
      </c>
      <c r="C545" s="0" t="s">
        <v>25</v>
      </c>
      <c r="D545" s="0" t="n">
        <v>24.2093077890319</v>
      </c>
      <c r="E545" s="0" t="s">
        <v>522</v>
      </c>
    </row>
    <row r="546" customFormat="false" ht="15" hidden="false" customHeight="false" outlineLevel="0" collapsed="false">
      <c r="A546" s="0" t="s">
        <v>115</v>
      </c>
      <c r="B546" s="0" t="n">
        <v>2014</v>
      </c>
      <c r="C546" s="0" t="s">
        <v>29</v>
      </c>
      <c r="D546" s="0" t="n">
        <v>0.379677300746569</v>
      </c>
      <c r="E546" s="0" t="s">
        <v>522</v>
      </c>
    </row>
    <row r="547" customFormat="false" ht="15" hidden="false" customHeight="false" outlineLevel="0" collapsed="false">
      <c r="A547" s="0" t="s">
        <v>115</v>
      </c>
      <c r="B547" s="0" t="n">
        <v>2014</v>
      </c>
      <c r="C547" s="0" t="s">
        <v>43</v>
      </c>
      <c r="D547" s="0" t="n">
        <v>1.16223331437838</v>
      </c>
      <c r="E547" s="0" t="s">
        <v>522</v>
      </c>
    </row>
    <row r="548" customFormat="false" ht="15" hidden="false" customHeight="false" outlineLevel="0" collapsed="false">
      <c r="A548" s="0" t="s">
        <v>115</v>
      </c>
      <c r="B548" s="0" t="n">
        <v>2014</v>
      </c>
      <c r="C548" s="0" t="s">
        <v>31</v>
      </c>
      <c r="D548" s="0" t="n">
        <v>85.4163981382027</v>
      </c>
      <c r="E548" s="0" t="s">
        <v>522</v>
      </c>
    </row>
    <row r="549" customFormat="false" ht="15" hidden="false" customHeight="false" outlineLevel="0" collapsed="false">
      <c r="A549" s="0" t="s">
        <v>115</v>
      </c>
      <c r="B549" s="0" t="n">
        <v>2014</v>
      </c>
      <c r="C549" s="0" t="s">
        <v>33</v>
      </c>
      <c r="D549" s="0" t="n">
        <v>13.9869607348696</v>
      </c>
      <c r="E549" s="0" t="s">
        <v>522</v>
      </c>
    </row>
    <row r="550" customFormat="false" ht="15" hidden="false" customHeight="false" outlineLevel="0" collapsed="false">
      <c r="A550" s="0" t="s">
        <v>115</v>
      </c>
      <c r="B550" s="0" t="n">
        <v>2014</v>
      </c>
      <c r="C550" s="0" t="s">
        <v>21</v>
      </c>
      <c r="D550" s="0" t="n">
        <v>0</v>
      </c>
      <c r="E550" s="0" t="s">
        <v>522</v>
      </c>
    </row>
    <row r="551" customFormat="false" ht="15" hidden="false" customHeight="false" outlineLevel="0" collapsed="false">
      <c r="A551" s="0" t="s">
        <v>115</v>
      </c>
      <c r="B551" s="0" t="n">
        <v>2014</v>
      </c>
      <c r="C551" s="0" t="s">
        <v>35</v>
      </c>
      <c r="D551" s="0" t="n">
        <v>0</v>
      </c>
      <c r="E551" s="0" t="s">
        <v>522</v>
      </c>
    </row>
    <row r="552" customFormat="false" ht="15" hidden="false" customHeight="false" outlineLevel="0" collapsed="false">
      <c r="A552" s="0" t="s">
        <v>115</v>
      </c>
      <c r="B552" s="0" t="n">
        <v>2015</v>
      </c>
      <c r="C552" s="0" t="s">
        <v>54</v>
      </c>
      <c r="D552" s="0" t="n">
        <v>13904</v>
      </c>
      <c r="E552" s="0" t="s">
        <v>523</v>
      </c>
      <c r="F552" s="0" t="s">
        <v>524</v>
      </c>
      <c r="G552" s="0" t="s">
        <v>84</v>
      </c>
      <c r="H552" s="0" t="s">
        <v>801</v>
      </c>
    </row>
    <row r="553" customFormat="false" ht="15" hidden="false" customHeight="false" outlineLevel="0" collapsed="false">
      <c r="A553" s="0" t="s">
        <v>115</v>
      </c>
      <c r="B553" s="0" t="n">
        <v>2015</v>
      </c>
      <c r="C553" s="0" t="s">
        <v>55</v>
      </c>
      <c r="D553" s="0" t="n">
        <v>1231722</v>
      </c>
      <c r="E553" s="0" t="s">
        <v>523</v>
      </c>
      <c r="F553" s="0" t="s">
        <v>524</v>
      </c>
      <c r="G553" s="0" t="s">
        <v>84</v>
      </c>
      <c r="H553" s="0" t="s">
        <v>802</v>
      </c>
    </row>
    <row r="554" customFormat="false" ht="15" hidden="false" customHeight="false" outlineLevel="0" collapsed="false">
      <c r="A554" s="0" t="s">
        <v>115</v>
      </c>
      <c r="B554" s="0" t="n">
        <v>2015</v>
      </c>
      <c r="C554" s="0" t="s">
        <v>56</v>
      </c>
      <c r="D554" s="0" t="n">
        <v>1048206</v>
      </c>
      <c r="E554" s="0" t="s">
        <v>523</v>
      </c>
      <c r="F554" s="0" t="s">
        <v>524</v>
      </c>
      <c r="G554" s="0" t="s">
        <v>84</v>
      </c>
      <c r="H554" s="0" t="s">
        <v>803</v>
      </c>
    </row>
    <row r="555" customFormat="false" ht="15" hidden="false" customHeight="false" outlineLevel="0" collapsed="false">
      <c r="A555" s="0" t="s">
        <v>115</v>
      </c>
      <c r="B555" s="0" t="n">
        <v>2015</v>
      </c>
      <c r="C555" s="0" t="s">
        <v>57</v>
      </c>
      <c r="D555" s="0" t="n">
        <v>183516</v>
      </c>
      <c r="E555" s="0" t="s">
        <v>523</v>
      </c>
      <c r="F555" s="0" t="s">
        <v>524</v>
      </c>
      <c r="G555" s="0" t="s">
        <v>84</v>
      </c>
      <c r="H555" s="0" t="s">
        <v>804</v>
      </c>
    </row>
    <row r="556" customFormat="false" ht="15" hidden="false" customHeight="false" outlineLevel="0" collapsed="false">
      <c r="A556" s="0" t="s">
        <v>115</v>
      </c>
      <c r="B556" s="0" t="n">
        <v>2015</v>
      </c>
      <c r="C556" s="0" t="s">
        <v>58</v>
      </c>
      <c r="D556" s="0" t="n">
        <v>107132</v>
      </c>
      <c r="E556" s="0" t="s">
        <v>523</v>
      </c>
      <c r="F556" s="0" t="s">
        <v>524</v>
      </c>
      <c r="G556" s="0" t="s">
        <v>84</v>
      </c>
      <c r="H556" s="0" t="s">
        <v>805</v>
      </c>
    </row>
    <row r="557" customFormat="false" ht="15" hidden="false" customHeight="false" outlineLevel="0" collapsed="false">
      <c r="A557" s="0" t="s">
        <v>115</v>
      </c>
      <c r="B557" s="0" t="n">
        <v>2015</v>
      </c>
      <c r="C557" s="0" t="s">
        <v>59</v>
      </c>
      <c r="D557" s="0" t="n">
        <v>1187025</v>
      </c>
      <c r="E557" s="0" t="s">
        <v>523</v>
      </c>
      <c r="F557" s="0" t="s">
        <v>524</v>
      </c>
      <c r="G557" s="0" t="s">
        <v>84</v>
      </c>
      <c r="H557" s="0" t="s">
        <v>806</v>
      </c>
    </row>
    <row r="558" customFormat="false" ht="15" hidden="false" customHeight="false" outlineLevel="0" collapsed="false">
      <c r="A558" s="0" t="s">
        <v>115</v>
      </c>
      <c r="B558" s="0" t="n">
        <v>2015</v>
      </c>
      <c r="C558" s="0" t="s">
        <v>60</v>
      </c>
      <c r="D558" s="0" t="n">
        <v>598978</v>
      </c>
      <c r="E558" s="0" t="s">
        <v>523</v>
      </c>
      <c r="F558" s="0" t="s">
        <v>524</v>
      </c>
      <c r="G558" s="0" t="s">
        <v>84</v>
      </c>
      <c r="H558" s="0" t="s">
        <v>807</v>
      </c>
    </row>
    <row r="559" customFormat="false" ht="15" hidden="false" customHeight="false" outlineLevel="0" collapsed="false">
      <c r="A559" s="0" t="s">
        <v>115</v>
      </c>
      <c r="B559" s="0" t="n">
        <v>2015</v>
      </c>
      <c r="C559" s="0" t="s">
        <v>61</v>
      </c>
      <c r="D559" s="0" t="n">
        <v>20776</v>
      </c>
      <c r="E559" s="0" t="s">
        <v>523</v>
      </c>
      <c r="F559" s="0" t="s">
        <v>524</v>
      </c>
      <c r="G559" s="0" t="s">
        <v>84</v>
      </c>
      <c r="H559" s="0" t="s">
        <v>808</v>
      </c>
    </row>
    <row r="560" customFormat="false" ht="15" hidden="false" customHeight="false" outlineLevel="0" collapsed="false">
      <c r="A560" s="0" t="s">
        <v>115</v>
      </c>
      <c r="B560" s="0" t="n">
        <v>2015</v>
      </c>
      <c r="C560" s="0" t="s">
        <v>62</v>
      </c>
      <c r="D560" s="0" t="n">
        <v>578203</v>
      </c>
      <c r="E560" s="0" t="s">
        <v>523</v>
      </c>
      <c r="F560" s="0" t="s">
        <v>524</v>
      </c>
      <c r="G560" s="0" t="s">
        <v>84</v>
      </c>
      <c r="H560" s="0" t="s">
        <v>809</v>
      </c>
    </row>
    <row r="561" customFormat="false" ht="15" hidden="false" customHeight="false" outlineLevel="0" collapsed="false">
      <c r="A561" s="0" t="s">
        <v>115</v>
      </c>
      <c r="B561" s="0" t="n">
        <v>2015</v>
      </c>
      <c r="C561" s="0" t="s">
        <v>63</v>
      </c>
      <c r="D561" s="0" t="n">
        <v>5764</v>
      </c>
      <c r="E561" s="0" t="s">
        <v>523</v>
      </c>
      <c r="F561" s="0" t="s">
        <v>524</v>
      </c>
      <c r="G561" s="0" t="s">
        <v>84</v>
      </c>
      <c r="H561" s="0" t="s">
        <v>810</v>
      </c>
    </row>
    <row r="562" customFormat="false" ht="15" hidden="false" customHeight="false" outlineLevel="0" collapsed="false">
      <c r="A562" s="0" t="s">
        <v>115</v>
      </c>
      <c r="B562" s="0" t="n">
        <v>2015</v>
      </c>
      <c r="C562" s="0" t="s">
        <v>69</v>
      </c>
      <c r="D562" s="0" t="n">
        <v>19</v>
      </c>
      <c r="E562" s="0" t="s">
        <v>523</v>
      </c>
      <c r="F562" s="0" t="s">
        <v>524</v>
      </c>
      <c r="G562" s="0" t="s">
        <v>84</v>
      </c>
      <c r="H562" s="0" t="s">
        <v>811</v>
      </c>
    </row>
    <row r="563" customFormat="false" ht="15" hidden="false" customHeight="false" outlineLevel="0" collapsed="false">
      <c r="A563" s="0" t="s">
        <v>115</v>
      </c>
      <c r="B563" s="0" t="n">
        <v>2015</v>
      </c>
      <c r="C563" s="0" t="s">
        <v>70</v>
      </c>
      <c r="D563" s="0" t="n">
        <v>15</v>
      </c>
      <c r="E563" s="0" t="s">
        <v>523</v>
      </c>
      <c r="F563" s="0" t="s">
        <v>524</v>
      </c>
      <c r="G563" s="0" t="s">
        <v>84</v>
      </c>
      <c r="H563" s="0" t="s">
        <v>812</v>
      </c>
    </row>
    <row r="564" customFormat="false" ht="15" hidden="false" customHeight="false" outlineLevel="0" collapsed="false">
      <c r="A564" s="0" t="s">
        <v>115</v>
      </c>
      <c r="B564" s="0" t="n">
        <v>2015</v>
      </c>
      <c r="C564" s="0" t="s">
        <v>65</v>
      </c>
      <c r="D564" s="0" t="n">
        <v>191595</v>
      </c>
      <c r="E564" s="0" t="s">
        <v>523</v>
      </c>
      <c r="F564" s="0" t="s">
        <v>524</v>
      </c>
      <c r="G564" s="0" t="s">
        <v>84</v>
      </c>
      <c r="H564" s="0" t="s">
        <v>813</v>
      </c>
    </row>
    <row r="565" customFormat="false" ht="15" hidden="false" customHeight="false" outlineLevel="0" collapsed="false">
      <c r="A565" s="0" t="s">
        <v>115</v>
      </c>
      <c r="B565" s="0" t="n">
        <v>2015</v>
      </c>
      <c r="C565" s="0" t="s">
        <v>66</v>
      </c>
      <c r="D565" s="0" t="n">
        <v>1012062</v>
      </c>
      <c r="E565" s="0" t="s">
        <v>523</v>
      </c>
      <c r="F565" s="0" t="s">
        <v>524</v>
      </c>
      <c r="G565" s="0" t="s">
        <v>84</v>
      </c>
      <c r="H565" s="0" t="s">
        <v>814</v>
      </c>
    </row>
    <row r="566" customFormat="false" ht="15" hidden="false" customHeight="false" outlineLevel="0" collapsed="false">
      <c r="A566" s="0" t="s">
        <v>115</v>
      </c>
      <c r="B566" s="0" t="n">
        <v>2015</v>
      </c>
      <c r="C566" s="0" t="s">
        <v>73</v>
      </c>
      <c r="D566" s="0" t="n">
        <v>0</v>
      </c>
      <c r="E566" s="0" t="s">
        <v>539</v>
      </c>
      <c r="F566" s="0" t="s">
        <v>524</v>
      </c>
      <c r="G566" s="0" t="s">
        <v>84</v>
      </c>
      <c r="H566" s="0" t="s">
        <v>815</v>
      </c>
    </row>
    <row r="567" customFormat="false" ht="15" hidden="false" customHeight="false" outlineLevel="0" collapsed="false">
      <c r="A567" s="0" t="s">
        <v>115</v>
      </c>
      <c r="B567" s="0" t="n">
        <v>2015</v>
      </c>
      <c r="C567" s="0" t="s">
        <v>541</v>
      </c>
      <c r="D567" s="0" t="n">
        <v>14024</v>
      </c>
      <c r="E567" s="0" t="s">
        <v>523</v>
      </c>
      <c r="F567" s="0" t="s">
        <v>524</v>
      </c>
      <c r="G567" s="0" t="s">
        <v>84</v>
      </c>
      <c r="H567" s="0" t="s">
        <v>816</v>
      </c>
    </row>
    <row r="568" customFormat="false" ht="15" hidden="false" customHeight="false" outlineLevel="0" collapsed="false">
      <c r="A568" s="0" t="s">
        <v>115</v>
      </c>
      <c r="B568" s="0" t="n">
        <v>2015</v>
      </c>
      <c r="C568" s="0" t="s">
        <v>543</v>
      </c>
      <c r="D568" s="0" t="n">
        <v>13440</v>
      </c>
      <c r="E568" s="0" t="s">
        <v>523</v>
      </c>
      <c r="F568" s="0" t="s">
        <v>524</v>
      </c>
      <c r="G568" s="0" t="s">
        <v>84</v>
      </c>
      <c r="H568" s="0" t="s">
        <v>817</v>
      </c>
    </row>
    <row r="569" customFormat="false" ht="15" hidden="false" customHeight="false" outlineLevel="0" collapsed="false">
      <c r="A569" s="0" t="s">
        <v>115</v>
      </c>
      <c r="B569" s="0" t="n">
        <v>2015</v>
      </c>
      <c r="C569" s="0" t="s">
        <v>545</v>
      </c>
      <c r="D569" s="0" t="n">
        <v>7336</v>
      </c>
      <c r="E569" s="0" t="s">
        <v>523</v>
      </c>
      <c r="F569" s="0" t="s">
        <v>524</v>
      </c>
      <c r="G569" s="0" t="s">
        <v>84</v>
      </c>
      <c r="H569" s="0" t="s">
        <v>818</v>
      </c>
    </row>
    <row r="570" customFormat="false" ht="15" hidden="false" customHeight="false" outlineLevel="0" collapsed="false">
      <c r="A570" s="0" t="s">
        <v>115</v>
      </c>
      <c r="B570" s="0" t="n">
        <v>2015</v>
      </c>
      <c r="C570" s="0" t="s">
        <v>19</v>
      </c>
      <c r="D570" s="0" t="n">
        <v>1209373.5</v>
      </c>
      <c r="E570" s="0" t="s">
        <v>522</v>
      </c>
    </row>
    <row r="571" customFormat="false" ht="15" hidden="false" customHeight="false" outlineLevel="0" collapsed="false">
      <c r="A571" s="0" t="s">
        <v>115</v>
      </c>
      <c r="B571" s="0" t="n">
        <v>2015</v>
      </c>
      <c r="C571" s="0" t="s">
        <v>41</v>
      </c>
      <c r="D571" s="0" t="n">
        <v>1.14968618048932</v>
      </c>
      <c r="E571" s="0" t="s">
        <v>522</v>
      </c>
    </row>
    <row r="572" customFormat="false" ht="15" hidden="false" customHeight="false" outlineLevel="0" collapsed="false">
      <c r="A572" s="0" t="s">
        <v>115</v>
      </c>
      <c r="B572" s="0" t="n">
        <v>2015</v>
      </c>
      <c r="C572" s="0" t="s">
        <v>27</v>
      </c>
      <c r="D572" s="0" t="n">
        <v>14.8991412023168</v>
      </c>
      <c r="E572" s="0" t="s">
        <v>522</v>
      </c>
    </row>
    <row r="573" customFormat="false" ht="15" hidden="false" customHeight="false" outlineLevel="0" collapsed="false">
      <c r="A573" s="0" t="s">
        <v>115</v>
      </c>
      <c r="B573" s="0" t="n">
        <v>2015</v>
      </c>
      <c r="C573" s="0" t="s">
        <v>39</v>
      </c>
      <c r="D573" s="0" t="n">
        <v>8.85847093557119</v>
      </c>
      <c r="E573" s="0" t="s">
        <v>522</v>
      </c>
    </row>
    <row r="574" customFormat="false" ht="15" hidden="false" customHeight="false" outlineLevel="0" collapsed="false">
      <c r="A574" s="0" t="s">
        <v>115</v>
      </c>
      <c r="B574" s="0" t="n">
        <v>2015</v>
      </c>
      <c r="C574" s="0" t="s">
        <v>17</v>
      </c>
      <c r="D574" s="0" t="n">
        <v>3.46857480575247</v>
      </c>
      <c r="E574" s="0" t="s">
        <v>522</v>
      </c>
    </row>
    <row r="575" customFormat="false" ht="15" hidden="false" customHeight="false" outlineLevel="0" collapsed="false">
      <c r="A575" s="0" t="s">
        <v>115</v>
      </c>
      <c r="B575" s="0" t="n">
        <v>2015</v>
      </c>
      <c r="C575" s="0" t="s">
        <v>25</v>
      </c>
      <c r="D575" s="0" t="n">
        <v>18.9311524392774</v>
      </c>
      <c r="E575" s="0" t="s">
        <v>522</v>
      </c>
    </row>
    <row r="576" customFormat="false" ht="15" hidden="false" customHeight="false" outlineLevel="0" collapsed="false">
      <c r="A576" s="0" t="s">
        <v>115</v>
      </c>
      <c r="B576" s="0" t="n">
        <v>2015</v>
      </c>
      <c r="C576" s="0" t="s">
        <v>29</v>
      </c>
      <c r="D576" s="0" t="n">
        <v>0.476610410266142</v>
      </c>
      <c r="E576" s="0" t="s">
        <v>522</v>
      </c>
    </row>
    <row r="577" customFormat="false" ht="15" hidden="false" customHeight="false" outlineLevel="0" collapsed="false">
      <c r="A577" s="0" t="s">
        <v>115</v>
      </c>
      <c r="B577" s="0" t="n">
        <v>2015</v>
      </c>
      <c r="C577" s="0" t="s">
        <v>43</v>
      </c>
      <c r="D577" s="0" t="n">
        <v>1.1288261474586</v>
      </c>
      <c r="E577" s="0" t="s">
        <v>522</v>
      </c>
    </row>
    <row r="578" customFormat="false" ht="15" hidden="false" customHeight="false" outlineLevel="0" collapsed="false">
      <c r="A578" s="0" t="s">
        <v>115</v>
      </c>
      <c r="B578" s="0" t="n">
        <v>2015</v>
      </c>
      <c r="C578" s="0" t="s">
        <v>31</v>
      </c>
      <c r="D578" s="0" t="n">
        <v>85.1008587976832</v>
      </c>
      <c r="E578" s="0" t="s">
        <v>522</v>
      </c>
    </row>
    <row r="579" customFormat="false" ht="15" hidden="false" customHeight="false" outlineLevel="0" collapsed="false">
      <c r="A579" s="0" t="s">
        <v>115</v>
      </c>
      <c r="B579" s="0" t="n">
        <v>2015</v>
      </c>
      <c r="C579" s="0" t="s">
        <v>33</v>
      </c>
      <c r="D579" s="0" t="n">
        <v>14.0239237482623</v>
      </c>
      <c r="E579" s="0" t="s">
        <v>522</v>
      </c>
    </row>
    <row r="580" customFormat="false" ht="15" hidden="false" customHeight="false" outlineLevel="0" collapsed="false">
      <c r="A580" s="0" t="s">
        <v>115</v>
      </c>
      <c r="B580" s="0" t="n">
        <v>2015</v>
      </c>
      <c r="C580" s="0" t="s">
        <v>21</v>
      </c>
      <c r="D580" s="0" t="n">
        <v>0</v>
      </c>
      <c r="E580" s="0" t="s">
        <v>522</v>
      </c>
    </row>
    <row r="581" customFormat="false" ht="15" hidden="false" customHeight="false" outlineLevel="0" collapsed="false">
      <c r="A581" s="0" t="s">
        <v>115</v>
      </c>
      <c r="B581" s="0" t="n">
        <v>2015</v>
      </c>
      <c r="C581" s="0" t="s">
        <v>35</v>
      </c>
      <c r="D581" s="0" t="n">
        <v>-1</v>
      </c>
      <c r="E581" s="0" t="s">
        <v>522</v>
      </c>
    </row>
    <row r="582" customFormat="false" ht="15" hidden="false" customHeight="false" outlineLevel="0" collapsed="false">
      <c r="A582" s="0" t="s">
        <v>115</v>
      </c>
      <c r="B582" s="0" t="n">
        <v>2016</v>
      </c>
      <c r="C582" s="0" t="s">
        <v>54</v>
      </c>
      <c r="D582" s="0" t="n">
        <v>9734</v>
      </c>
      <c r="E582" s="0" t="s">
        <v>523</v>
      </c>
      <c r="F582" s="0" t="s">
        <v>524</v>
      </c>
      <c r="G582" s="0" t="s">
        <v>87</v>
      </c>
      <c r="H582" s="0" t="s">
        <v>819</v>
      </c>
    </row>
    <row r="583" customFormat="false" ht="15" hidden="false" customHeight="false" outlineLevel="0" collapsed="false">
      <c r="A583" s="0" t="s">
        <v>115</v>
      </c>
      <c r="B583" s="0" t="n">
        <v>2016</v>
      </c>
      <c r="C583" s="0" t="s">
        <v>55</v>
      </c>
      <c r="D583" s="0" t="n">
        <v>1298141</v>
      </c>
      <c r="E583" s="0" t="s">
        <v>539</v>
      </c>
      <c r="F583" s="0" t="s">
        <v>524</v>
      </c>
      <c r="G583" s="0" t="s">
        <v>87</v>
      </c>
      <c r="H583" s="0" t="s">
        <v>820</v>
      </c>
    </row>
    <row r="584" customFormat="false" ht="15" hidden="false" customHeight="false" outlineLevel="0" collapsed="false">
      <c r="A584" s="0" t="s">
        <v>115</v>
      </c>
      <c r="B584" s="0" t="n">
        <v>2016</v>
      </c>
      <c r="C584" s="0" t="s">
        <v>56</v>
      </c>
      <c r="D584" s="0" t="n">
        <v>1112739</v>
      </c>
      <c r="E584" s="0" t="s">
        <v>539</v>
      </c>
      <c r="F584" s="0" t="s">
        <v>524</v>
      </c>
      <c r="G584" s="0" t="s">
        <v>87</v>
      </c>
      <c r="H584" s="0" t="s">
        <v>821</v>
      </c>
    </row>
    <row r="585" customFormat="false" ht="15" hidden="false" customHeight="false" outlineLevel="0" collapsed="false">
      <c r="A585" s="0" t="s">
        <v>115</v>
      </c>
      <c r="B585" s="0" t="n">
        <v>2016</v>
      </c>
      <c r="C585" s="0" t="s">
        <v>57</v>
      </c>
      <c r="D585" s="0" t="n">
        <v>185402</v>
      </c>
      <c r="E585" s="0" t="s">
        <v>539</v>
      </c>
      <c r="F585" s="0" t="s">
        <v>524</v>
      </c>
      <c r="G585" s="0" t="s">
        <v>87</v>
      </c>
      <c r="H585" s="0" t="s">
        <v>822</v>
      </c>
    </row>
    <row r="586" customFormat="false" ht="15" hidden="false" customHeight="false" outlineLevel="0" collapsed="false">
      <c r="A586" s="0" t="s">
        <v>115</v>
      </c>
      <c r="B586" s="0" t="n">
        <v>2016</v>
      </c>
      <c r="C586" s="0" t="s">
        <v>58</v>
      </c>
      <c r="D586" s="0" t="n">
        <v>-56907</v>
      </c>
      <c r="E586" s="0" t="s">
        <v>523</v>
      </c>
      <c r="F586" s="0" t="s">
        <v>524</v>
      </c>
      <c r="G586" s="0" t="s">
        <v>87</v>
      </c>
      <c r="H586" s="0" t="s">
        <v>823</v>
      </c>
    </row>
    <row r="587" customFormat="false" ht="15" hidden="false" customHeight="false" outlineLevel="0" collapsed="false">
      <c r="A587" s="0" t="s">
        <v>115</v>
      </c>
      <c r="B587" s="0" t="n">
        <v>2016</v>
      </c>
      <c r="C587" s="0" t="s">
        <v>59</v>
      </c>
      <c r="D587" s="0" t="n">
        <v>1231722</v>
      </c>
      <c r="E587" s="0" t="s">
        <v>539</v>
      </c>
      <c r="F587" s="0" t="s">
        <v>524</v>
      </c>
      <c r="G587" s="0" t="s">
        <v>87</v>
      </c>
      <c r="H587" s="0" t="s">
        <v>824</v>
      </c>
    </row>
    <row r="588" customFormat="false" ht="15" hidden="false" customHeight="false" outlineLevel="0" collapsed="false">
      <c r="A588" s="0" t="s">
        <v>115</v>
      </c>
      <c r="B588" s="0" t="n">
        <v>2016</v>
      </c>
      <c r="C588" s="0" t="s">
        <v>60</v>
      </c>
      <c r="D588" s="0" t="n">
        <v>743120</v>
      </c>
      <c r="E588" s="0" t="s">
        <v>523</v>
      </c>
      <c r="F588" s="0" t="s">
        <v>524</v>
      </c>
      <c r="G588" s="0" t="s">
        <v>87</v>
      </c>
      <c r="H588" s="0" t="s">
        <v>825</v>
      </c>
    </row>
    <row r="589" customFormat="false" ht="15" hidden="false" customHeight="false" outlineLevel="0" collapsed="false">
      <c r="A589" s="0" t="s">
        <v>115</v>
      </c>
      <c r="B589" s="0" t="n">
        <v>2016</v>
      </c>
      <c r="C589" s="0" t="s">
        <v>61</v>
      </c>
      <c r="D589" s="0" t="n">
        <v>24719</v>
      </c>
      <c r="E589" s="0" t="s">
        <v>523</v>
      </c>
      <c r="F589" s="0" t="s">
        <v>524</v>
      </c>
      <c r="G589" s="0" t="s">
        <v>87</v>
      </c>
      <c r="H589" s="0" t="s">
        <v>826</v>
      </c>
    </row>
    <row r="590" customFormat="false" ht="15" hidden="false" customHeight="false" outlineLevel="0" collapsed="false">
      <c r="A590" s="0" t="s">
        <v>115</v>
      </c>
      <c r="B590" s="0" t="n">
        <v>2016</v>
      </c>
      <c r="C590" s="0" t="s">
        <v>62</v>
      </c>
      <c r="D590" s="0" t="n">
        <v>718401</v>
      </c>
      <c r="E590" s="0" t="s">
        <v>523</v>
      </c>
      <c r="F590" s="0" t="s">
        <v>524</v>
      </c>
      <c r="G590" s="0" t="s">
        <v>87</v>
      </c>
      <c r="H590" s="0" t="s">
        <v>827</v>
      </c>
    </row>
    <row r="591" customFormat="false" ht="15" hidden="false" customHeight="false" outlineLevel="0" collapsed="false">
      <c r="A591" s="0" t="s">
        <v>115</v>
      </c>
      <c r="B591" s="0" t="n">
        <v>2016</v>
      </c>
      <c r="C591" s="0" t="s">
        <v>63</v>
      </c>
      <c r="D591" s="0" t="n">
        <v>8671</v>
      </c>
      <c r="E591" s="0" t="s">
        <v>523</v>
      </c>
      <c r="F591" s="0" t="s">
        <v>524</v>
      </c>
      <c r="G591" s="0" t="s">
        <v>87</v>
      </c>
      <c r="H591" s="0" t="s">
        <v>828</v>
      </c>
    </row>
    <row r="592" customFormat="false" ht="15" hidden="false" customHeight="false" outlineLevel="0" collapsed="false">
      <c r="A592" s="0" t="s">
        <v>115</v>
      </c>
      <c r="B592" s="0" t="n">
        <v>2016</v>
      </c>
      <c r="C592" s="0" t="s">
        <v>69</v>
      </c>
      <c r="D592" s="0" t="n">
        <v>17.22</v>
      </c>
      <c r="E592" s="0" t="s">
        <v>523</v>
      </c>
      <c r="F592" s="0" t="s">
        <v>524</v>
      </c>
      <c r="G592" s="0" t="s">
        <v>87</v>
      </c>
      <c r="H592" s="0" t="s">
        <v>829</v>
      </c>
      <c r="I592" s="0" t="s">
        <v>830</v>
      </c>
    </row>
    <row r="593" customFormat="false" ht="15" hidden="false" customHeight="false" outlineLevel="0" collapsed="false">
      <c r="A593" s="0" t="s">
        <v>115</v>
      </c>
      <c r="B593" s="0" t="n">
        <v>2016</v>
      </c>
      <c r="C593" s="0" t="s">
        <v>70</v>
      </c>
      <c r="D593" s="0" t="n">
        <v>15</v>
      </c>
      <c r="E593" s="0" t="s">
        <v>523</v>
      </c>
      <c r="F593" s="0" t="s">
        <v>524</v>
      </c>
      <c r="G593" s="0" t="s">
        <v>87</v>
      </c>
      <c r="H593" s="0" t="s">
        <v>831</v>
      </c>
    </row>
    <row r="594" customFormat="false" ht="15" hidden="false" customHeight="false" outlineLevel="0" collapsed="false">
      <c r="A594" s="0" t="s">
        <v>115</v>
      </c>
      <c r="B594" s="0" t="n">
        <v>2016</v>
      </c>
      <c r="C594" s="0" t="s">
        <v>65</v>
      </c>
      <c r="D594" s="0" t="n">
        <v>196913</v>
      </c>
      <c r="E594" s="0" t="s">
        <v>523</v>
      </c>
      <c r="F594" s="0" t="s">
        <v>524</v>
      </c>
      <c r="G594" s="0" t="s">
        <v>87</v>
      </c>
      <c r="H594" s="0" t="s">
        <v>832</v>
      </c>
    </row>
    <row r="595" customFormat="false" ht="15" hidden="false" customHeight="false" outlineLevel="0" collapsed="false">
      <c r="A595" s="0" t="s">
        <v>115</v>
      </c>
      <c r="B595" s="0" t="n">
        <v>2016</v>
      </c>
      <c r="C595" s="0" t="s">
        <v>66</v>
      </c>
      <c r="D595" s="0" t="n">
        <v>1138258</v>
      </c>
      <c r="E595" s="0" t="s">
        <v>523</v>
      </c>
      <c r="F595" s="0" t="s">
        <v>524</v>
      </c>
      <c r="G595" s="0" t="s">
        <v>87</v>
      </c>
      <c r="H595" s="0" t="s">
        <v>833</v>
      </c>
    </row>
    <row r="596" customFormat="false" ht="15" hidden="false" customHeight="false" outlineLevel="0" collapsed="false">
      <c r="A596" s="0" t="s">
        <v>115</v>
      </c>
      <c r="B596" s="0" t="n">
        <v>2016</v>
      </c>
      <c r="C596" s="0" t="s">
        <v>73</v>
      </c>
      <c r="D596" s="0" t="n">
        <v>0</v>
      </c>
      <c r="E596" s="0" t="s">
        <v>539</v>
      </c>
      <c r="F596" s="0" t="s">
        <v>524</v>
      </c>
      <c r="G596" s="0" t="s">
        <v>87</v>
      </c>
      <c r="H596" s="0" t="s">
        <v>834</v>
      </c>
    </row>
    <row r="597" customFormat="false" ht="15" hidden="false" customHeight="false" outlineLevel="0" collapsed="false">
      <c r="A597" s="0" t="s">
        <v>115</v>
      </c>
      <c r="B597" s="0" t="n">
        <v>2016</v>
      </c>
      <c r="C597" s="0" t="s">
        <v>541</v>
      </c>
      <c r="D597" s="0" t="n">
        <v>11061</v>
      </c>
      <c r="E597" s="0" t="s">
        <v>523</v>
      </c>
      <c r="F597" s="0" t="s">
        <v>524</v>
      </c>
      <c r="G597" s="0" t="s">
        <v>87</v>
      </c>
      <c r="H597" s="0" t="s">
        <v>835</v>
      </c>
    </row>
    <row r="598" customFormat="false" ht="15" hidden="false" customHeight="false" outlineLevel="0" collapsed="false">
      <c r="A598" s="0" t="s">
        <v>115</v>
      </c>
      <c r="B598" s="0" t="n">
        <v>2016</v>
      </c>
      <c r="C598" s="0" t="s">
        <v>543</v>
      </c>
      <c r="D598" s="0" t="n">
        <v>15027</v>
      </c>
      <c r="E598" s="0" t="s">
        <v>523</v>
      </c>
      <c r="F598" s="0" t="s">
        <v>524</v>
      </c>
      <c r="G598" s="0" t="s">
        <v>87</v>
      </c>
      <c r="H598" s="0" t="s">
        <v>836</v>
      </c>
    </row>
    <row r="599" customFormat="false" ht="15" hidden="false" customHeight="false" outlineLevel="0" collapsed="false">
      <c r="A599" s="0" t="s">
        <v>115</v>
      </c>
      <c r="B599" s="0" t="n">
        <v>2016</v>
      </c>
      <c r="C599" s="0" t="s">
        <v>545</v>
      </c>
      <c r="D599" s="0" t="n">
        <v>9692</v>
      </c>
      <c r="E599" s="0" t="s">
        <v>523</v>
      </c>
      <c r="F599" s="0" t="s">
        <v>524</v>
      </c>
      <c r="G599" s="0" t="s">
        <v>87</v>
      </c>
      <c r="H599" s="0" t="s">
        <v>837</v>
      </c>
    </row>
    <row r="600" customFormat="false" ht="15" hidden="false" customHeight="false" outlineLevel="0" collapsed="false">
      <c r="A600" s="0" t="s">
        <v>115</v>
      </c>
      <c r="B600" s="0" t="n">
        <v>2016</v>
      </c>
      <c r="C600" s="0" t="s">
        <v>19</v>
      </c>
      <c r="D600" s="0" t="n">
        <v>1264931.5</v>
      </c>
      <c r="E600" s="0" t="s">
        <v>522</v>
      </c>
    </row>
    <row r="601" customFormat="false" ht="15" hidden="false" customHeight="false" outlineLevel="0" collapsed="false">
      <c r="A601" s="0" t="s">
        <v>115</v>
      </c>
      <c r="B601" s="0" t="n">
        <v>2016</v>
      </c>
      <c r="C601" s="0" t="s">
        <v>41</v>
      </c>
      <c r="D601" s="0" t="n">
        <v>0.76952783609231</v>
      </c>
      <c r="E601" s="0" t="s">
        <v>522</v>
      </c>
    </row>
    <row r="602" customFormat="false" ht="15" hidden="false" customHeight="false" outlineLevel="0" collapsed="false">
      <c r="A602" s="0" t="s">
        <v>115</v>
      </c>
      <c r="B602" s="0" t="n">
        <v>2016</v>
      </c>
      <c r="C602" s="0" t="s">
        <v>27</v>
      </c>
      <c r="D602" s="0" t="n">
        <v>14.2821157331908</v>
      </c>
      <c r="E602" s="0" t="s">
        <v>522</v>
      </c>
    </row>
    <row r="603" customFormat="false" ht="15" hidden="false" customHeight="false" outlineLevel="0" collapsed="false">
      <c r="A603" s="0" t="s">
        <v>115</v>
      </c>
      <c r="B603" s="0" t="n">
        <v>2016</v>
      </c>
      <c r="C603" s="0" t="s">
        <v>39</v>
      </c>
      <c r="D603" s="0" t="n">
        <v>-4.49882068712812</v>
      </c>
      <c r="E603" s="0" t="s">
        <v>522</v>
      </c>
    </row>
    <row r="604" customFormat="false" ht="15" hidden="false" customHeight="false" outlineLevel="0" collapsed="false">
      <c r="A604" s="0" t="s">
        <v>115</v>
      </c>
      <c r="B604" s="0" t="n">
        <v>2016</v>
      </c>
      <c r="C604" s="0" t="s">
        <v>17</v>
      </c>
      <c r="D604" s="0" t="n">
        <v>3.32638066530305</v>
      </c>
      <c r="E604" s="0" t="s">
        <v>522</v>
      </c>
    </row>
    <row r="605" customFormat="false" ht="15" hidden="false" customHeight="false" outlineLevel="0" collapsed="false">
      <c r="A605" s="0" t="s">
        <v>115</v>
      </c>
      <c r="B605" s="0" t="n">
        <v>2016</v>
      </c>
      <c r="C605" s="0" t="s">
        <v>25</v>
      </c>
      <c r="D605" s="0" t="n">
        <v>17.2995050331296</v>
      </c>
      <c r="E605" s="0" t="s">
        <v>522</v>
      </c>
    </row>
    <row r="606" customFormat="false" ht="15" hidden="false" customHeight="false" outlineLevel="0" collapsed="false">
      <c r="A606" s="0" t="s">
        <v>115</v>
      </c>
      <c r="B606" s="0" t="n">
        <v>2016</v>
      </c>
      <c r="C606" s="0" t="s">
        <v>29</v>
      </c>
      <c r="D606" s="0" t="n">
        <v>0.685491664963676</v>
      </c>
      <c r="E606" s="0" t="s">
        <v>522</v>
      </c>
    </row>
    <row r="607" customFormat="false" ht="15" hidden="false" customHeight="false" outlineLevel="0" collapsed="false">
      <c r="A607" s="0" t="s">
        <v>115</v>
      </c>
      <c r="B607" s="0" t="n">
        <v>2016</v>
      </c>
      <c r="C607" s="0" t="s">
        <v>43</v>
      </c>
      <c r="D607" s="0" t="n">
        <v>0.749841504120123</v>
      </c>
      <c r="E607" s="0" t="s">
        <v>522</v>
      </c>
    </row>
    <row r="608" customFormat="false" ht="15" hidden="false" customHeight="false" outlineLevel="0" collapsed="false">
      <c r="A608" s="0" t="s">
        <v>115</v>
      </c>
      <c r="B608" s="0" t="n">
        <v>2016</v>
      </c>
      <c r="C608" s="0" t="s">
        <v>31</v>
      </c>
      <c r="D608" s="0" t="n">
        <v>85.7178842668092</v>
      </c>
      <c r="E608" s="0" t="s">
        <v>522</v>
      </c>
    </row>
    <row r="609" customFormat="false" ht="15" hidden="false" customHeight="false" outlineLevel="0" collapsed="false">
      <c r="A609" s="0" t="s">
        <v>115</v>
      </c>
      <c r="B609" s="0" t="n">
        <v>2016</v>
      </c>
      <c r="C609" s="0" t="s">
        <v>33</v>
      </c>
      <c r="D609" s="0" t="n">
        <v>14.076443799006</v>
      </c>
      <c r="E609" s="0" t="s">
        <v>522</v>
      </c>
    </row>
    <row r="610" customFormat="false" ht="15" hidden="false" customHeight="false" outlineLevel="0" collapsed="false">
      <c r="A610" s="0" t="s">
        <v>115</v>
      </c>
      <c r="B610" s="0" t="n">
        <v>2016</v>
      </c>
      <c r="C610" s="0" t="s">
        <v>21</v>
      </c>
      <c r="D610" s="0" t="n">
        <v>0</v>
      </c>
      <c r="E610" s="0" t="s">
        <v>522</v>
      </c>
    </row>
    <row r="611" customFormat="false" ht="15" hidden="false" customHeight="false" outlineLevel="0" collapsed="false">
      <c r="A611" s="0" t="s">
        <v>115</v>
      </c>
      <c r="B611" s="0" t="n">
        <v>2016</v>
      </c>
      <c r="C611" s="0" t="s">
        <v>35</v>
      </c>
      <c r="D611" s="0" t="n">
        <v>0</v>
      </c>
      <c r="E611" s="0" t="s">
        <v>522</v>
      </c>
    </row>
    <row r="612" customFormat="false" ht="15" hidden="false" customHeight="false" outlineLevel="0" collapsed="false">
      <c r="A612" s="0" t="s">
        <v>115</v>
      </c>
      <c r="B612" s="0" t="n">
        <v>2017</v>
      </c>
      <c r="C612" s="0" t="s">
        <v>54</v>
      </c>
      <c r="D612" s="0" t="n">
        <v>18857</v>
      </c>
      <c r="E612" s="0" t="s">
        <v>523</v>
      </c>
      <c r="F612" s="0" t="s">
        <v>524</v>
      </c>
      <c r="G612" s="0" t="s">
        <v>89</v>
      </c>
      <c r="H612" s="0" t="s">
        <v>838</v>
      </c>
    </row>
    <row r="613" customFormat="false" ht="15" hidden="false" customHeight="false" outlineLevel="0" collapsed="false">
      <c r="A613" s="0" t="s">
        <v>115</v>
      </c>
      <c r="B613" s="0" t="n">
        <v>2017</v>
      </c>
      <c r="C613" s="0" t="s">
        <v>55</v>
      </c>
      <c r="D613" s="0" t="n">
        <v>1379214</v>
      </c>
      <c r="E613" s="0" t="s">
        <v>523</v>
      </c>
      <c r="F613" s="0" t="s">
        <v>524</v>
      </c>
      <c r="G613" s="0" t="s">
        <v>89</v>
      </c>
      <c r="H613" s="0" t="s">
        <v>839</v>
      </c>
    </row>
    <row r="614" customFormat="false" ht="15" hidden="false" customHeight="false" outlineLevel="0" collapsed="false">
      <c r="A614" s="0" t="s">
        <v>115</v>
      </c>
      <c r="B614" s="0" t="n">
        <v>2017</v>
      </c>
      <c r="C614" s="0" t="s">
        <v>56</v>
      </c>
      <c r="D614" s="0" t="n">
        <v>1175899</v>
      </c>
      <c r="E614" s="0" t="s">
        <v>523</v>
      </c>
      <c r="F614" s="0" t="s">
        <v>524</v>
      </c>
      <c r="G614" s="0" t="s">
        <v>89</v>
      </c>
      <c r="H614" s="0" t="s">
        <v>840</v>
      </c>
    </row>
    <row r="615" customFormat="false" ht="15" hidden="false" customHeight="false" outlineLevel="0" collapsed="false">
      <c r="A615" s="0" t="s">
        <v>115</v>
      </c>
      <c r="B615" s="0" t="n">
        <v>2017</v>
      </c>
      <c r="C615" s="0" t="s">
        <v>57</v>
      </c>
      <c r="D615" s="0" t="n">
        <v>203315</v>
      </c>
      <c r="E615" s="0" t="s">
        <v>523</v>
      </c>
      <c r="F615" s="0" t="s">
        <v>524</v>
      </c>
      <c r="G615" s="0" t="s">
        <v>89</v>
      </c>
      <c r="H615" s="0" t="s">
        <v>841</v>
      </c>
    </row>
    <row r="616" customFormat="false" ht="15" hidden="false" customHeight="false" outlineLevel="0" collapsed="false">
      <c r="A616" s="0" t="s">
        <v>115</v>
      </c>
      <c r="B616" s="0" t="n">
        <v>2017</v>
      </c>
      <c r="C616" s="0" t="s">
        <v>58</v>
      </c>
      <c r="D616" s="0" t="n">
        <v>-38026</v>
      </c>
      <c r="E616" s="0" t="s">
        <v>523</v>
      </c>
      <c r="F616" s="0" t="s">
        <v>524</v>
      </c>
      <c r="G616" s="0" t="s">
        <v>89</v>
      </c>
      <c r="H616" s="0" t="s">
        <v>842</v>
      </c>
    </row>
    <row r="617" customFormat="false" ht="15" hidden="false" customHeight="false" outlineLevel="0" collapsed="false">
      <c r="A617" s="0" t="s">
        <v>115</v>
      </c>
      <c r="B617" s="0" t="n">
        <v>2017</v>
      </c>
      <c r="C617" s="0" t="s">
        <v>59</v>
      </c>
      <c r="D617" s="0" t="n">
        <v>1298141</v>
      </c>
      <c r="E617" s="0" t="s">
        <v>523</v>
      </c>
      <c r="F617" s="0" t="s">
        <v>524</v>
      </c>
      <c r="G617" s="0" t="s">
        <v>89</v>
      </c>
      <c r="H617" s="0" t="s">
        <v>843</v>
      </c>
    </row>
    <row r="618" customFormat="false" ht="15" hidden="false" customHeight="false" outlineLevel="0" collapsed="false">
      <c r="A618" s="0" t="s">
        <v>115</v>
      </c>
      <c r="B618" s="0" t="n">
        <v>2017</v>
      </c>
      <c r="C618" s="0" t="s">
        <v>60</v>
      </c>
      <c r="D618" s="0" t="n">
        <v>795315</v>
      </c>
      <c r="E618" s="0" t="s">
        <v>523</v>
      </c>
      <c r="F618" s="0" t="s">
        <v>524</v>
      </c>
      <c r="G618" s="0" t="s">
        <v>89</v>
      </c>
      <c r="H618" s="0" t="s">
        <v>844</v>
      </c>
    </row>
    <row r="619" customFormat="false" ht="15" hidden="false" customHeight="false" outlineLevel="0" collapsed="false">
      <c r="A619" s="0" t="s">
        <v>115</v>
      </c>
      <c r="B619" s="0" t="n">
        <v>2017</v>
      </c>
      <c r="C619" s="0" t="s">
        <v>61</v>
      </c>
      <c r="D619" s="0" t="n">
        <v>26578</v>
      </c>
      <c r="E619" s="0" t="s">
        <v>523</v>
      </c>
      <c r="F619" s="0" t="s">
        <v>524</v>
      </c>
      <c r="G619" s="0" t="s">
        <v>89</v>
      </c>
      <c r="H619" s="0" t="s">
        <v>845</v>
      </c>
    </row>
    <row r="620" customFormat="false" ht="15" hidden="false" customHeight="false" outlineLevel="0" collapsed="false">
      <c r="A620" s="0" t="s">
        <v>115</v>
      </c>
      <c r="B620" s="0" t="n">
        <v>2017</v>
      </c>
      <c r="C620" s="0" t="s">
        <v>62</v>
      </c>
      <c r="D620" s="0" t="n">
        <v>768737</v>
      </c>
      <c r="E620" s="0" t="s">
        <v>523</v>
      </c>
      <c r="F620" s="0" t="s">
        <v>524</v>
      </c>
      <c r="G620" s="0" t="s">
        <v>89</v>
      </c>
      <c r="H620" s="0" t="s">
        <v>846</v>
      </c>
    </row>
    <row r="621" customFormat="false" ht="15" hidden="false" customHeight="false" outlineLevel="0" collapsed="false">
      <c r="A621" s="0" t="s">
        <v>115</v>
      </c>
      <c r="B621" s="0" t="n">
        <v>2017</v>
      </c>
      <c r="C621" s="0" t="s">
        <v>63</v>
      </c>
      <c r="D621" s="0" t="n">
        <v>11315</v>
      </c>
      <c r="E621" s="0" t="s">
        <v>523</v>
      </c>
      <c r="F621" s="0" t="s">
        <v>524</v>
      </c>
      <c r="G621" s="0" t="s">
        <v>89</v>
      </c>
      <c r="H621" s="0" t="s">
        <v>847</v>
      </c>
    </row>
    <row r="622" customFormat="false" ht="15" hidden="false" customHeight="false" outlineLevel="0" collapsed="false">
      <c r="A622" s="0" t="s">
        <v>115</v>
      </c>
      <c r="B622" s="0" t="n">
        <v>2017</v>
      </c>
      <c r="C622" s="0" t="s">
        <v>69</v>
      </c>
      <c r="D622" s="0" t="n">
        <v>16.03</v>
      </c>
      <c r="E622" s="0" t="s">
        <v>523</v>
      </c>
      <c r="F622" s="0" t="s">
        <v>524</v>
      </c>
      <c r="G622" s="0" t="s">
        <v>89</v>
      </c>
      <c r="H622" s="0" t="s">
        <v>848</v>
      </c>
    </row>
    <row r="623" customFormat="false" ht="15" hidden="false" customHeight="false" outlineLevel="0" collapsed="false">
      <c r="A623" s="0" t="s">
        <v>115</v>
      </c>
      <c r="B623" s="0" t="n">
        <v>2017</v>
      </c>
      <c r="C623" s="0" t="s">
        <v>70</v>
      </c>
      <c r="D623" s="0" t="n">
        <v>15</v>
      </c>
      <c r="E623" s="0" t="s">
        <v>523</v>
      </c>
      <c r="F623" s="0" t="s">
        <v>524</v>
      </c>
      <c r="G623" s="0" t="s">
        <v>89</v>
      </c>
      <c r="H623" s="0" t="s">
        <v>849</v>
      </c>
    </row>
    <row r="624" customFormat="false" ht="15" hidden="false" customHeight="false" outlineLevel="0" collapsed="false">
      <c r="A624" s="0" t="s">
        <v>115</v>
      </c>
      <c r="B624" s="0" t="n">
        <v>2017</v>
      </c>
      <c r="C624" s="0" t="s">
        <v>65</v>
      </c>
      <c r="D624" s="0" t="n">
        <v>179341</v>
      </c>
      <c r="E624" s="0" t="s">
        <v>523</v>
      </c>
      <c r="F624" s="0" t="s">
        <v>524</v>
      </c>
      <c r="G624" s="0" t="s">
        <v>89</v>
      </c>
      <c r="H624" s="0" t="s">
        <v>850</v>
      </c>
    </row>
    <row r="625" customFormat="false" ht="15" hidden="false" customHeight="false" outlineLevel="0" collapsed="false">
      <c r="A625" s="0" t="s">
        <v>115</v>
      </c>
      <c r="B625" s="0" t="n">
        <v>2017</v>
      </c>
      <c r="C625" s="0" t="s">
        <v>66</v>
      </c>
      <c r="D625" s="0" t="n">
        <v>1118786</v>
      </c>
      <c r="E625" s="0" t="s">
        <v>523</v>
      </c>
      <c r="F625" s="0" t="s">
        <v>524</v>
      </c>
      <c r="G625" s="0" t="s">
        <v>89</v>
      </c>
      <c r="H625" s="0" t="s">
        <v>851</v>
      </c>
    </row>
    <row r="626" customFormat="false" ht="15" hidden="false" customHeight="false" outlineLevel="0" collapsed="false">
      <c r="A626" s="0" t="s">
        <v>115</v>
      </c>
      <c r="B626" s="0" t="n">
        <v>2017</v>
      </c>
      <c r="C626" s="0" t="s">
        <v>73</v>
      </c>
      <c r="D626" s="0" t="n">
        <v>0</v>
      </c>
      <c r="E626" s="0" t="s">
        <v>539</v>
      </c>
      <c r="F626" s="0" t="s">
        <v>524</v>
      </c>
      <c r="G626" s="0" t="s">
        <v>89</v>
      </c>
      <c r="H626" s="0" t="s">
        <v>852</v>
      </c>
    </row>
    <row r="627" customFormat="false" ht="15" hidden="false" customHeight="false" outlineLevel="0" collapsed="false">
      <c r="A627" s="0" t="s">
        <v>115</v>
      </c>
      <c r="B627" s="0" t="n">
        <v>2017</v>
      </c>
      <c r="C627" s="0" t="s">
        <v>541</v>
      </c>
      <c r="D627" s="0" t="n">
        <v>20302</v>
      </c>
      <c r="E627" s="0" t="s">
        <v>523</v>
      </c>
      <c r="F627" s="0" t="s">
        <v>524</v>
      </c>
      <c r="G627" s="0" t="s">
        <v>89</v>
      </c>
      <c r="H627" s="0" t="s">
        <v>853</v>
      </c>
    </row>
    <row r="628" customFormat="false" ht="15" hidden="false" customHeight="false" outlineLevel="0" collapsed="false">
      <c r="A628" s="0" t="s">
        <v>115</v>
      </c>
      <c r="B628" s="0" t="n">
        <v>2017</v>
      </c>
      <c r="C628" s="0" t="s">
        <v>543</v>
      </c>
      <c r="D628" s="0" t="n">
        <v>16077</v>
      </c>
      <c r="E628" s="0" t="s">
        <v>523</v>
      </c>
      <c r="F628" s="0" t="s">
        <v>524</v>
      </c>
      <c r="G628" s="0" t="s">
        <v>89</v>
      </c>
      <c r="H628" s="0" t="s">
        <v>854</v>
      </c>
    </row>
    <row r="629" customFormat="false" ht="15" hidden="false" customHeight="false" outlineLevel="0" collapsed="false">
      <c r="A629" s="0" t="s">
        <v>115</v>
      </c>
      <c r="B629" s="0" t="n">
        <v>2017</v>
      </c>
      <c r="C629" s="0" t="s">
        <v>545</v>
      </c>
      <c r="D629" s="0" t="n">
        <v>10501</v>
      </c>
      <c r="E629" s="0" t="s">
        <v>523</v>
      </c>
      <c r="F629" s="0" t="s">
        <v>524</v>
      </c>
      <c r="G629" s="0" t="s">
        <v>89</v>
      </c>
      <c r="H629" s="0" t="s">
        <v>855</v>
      </c>
    </row>
    <row r="630" customFormat="false" ht="15" hidden="false" customHeight="false" outlineLevel="0" collapsed="false">
      <c r="A630" s="0" t="s">
        <v>115</v>
      </c>
      <c r="B630" s="0" t="n">
        <v>2017</v>
      </c>
      <c r="C630" s="0" t="s">
        <v>19</v>
      </c>
      <c r="D630" s="0" t="n">
        <v>1338677.5</v>
      </c>
      <c r="E630" s="0" t="s">
        <v>522</v>
      </c>
    </row>
    <row r="631" customFormat="false" ht="15" hidden="false" customHeight="false" outlineLevel="0" collapsed="false">
      <c r="A631" s="0" t="s">
        <v>115</v>
      </c>
      <c r="B631" s="0" t="n">
        <v>2017</v>
      </c>
      <c r="C631" s="0" t="s">
        <v>41</v>
      </c>
      <c r="D631" s="0" t="n">
        <v>1.40862903873412</v>
      </c>
      <c r="E631" s="0" t="s">
        <v>522</v>
      </c>
    </row>
    <row r="632" customFormat="false" ht="15" hidden="false" customHeight="false" outlineLevel="0" collapsed="false">
      <c r="A632" s="0" t="s">
        <v>115</v>
      </c>
      <c r="B632" s="0" t="n">
        <v>2017</v>
      </c>
      <c r="C632" s="0" t="s">
        <v>27</v>
      </c>
      <c r="D632" s="0" t="n">
        <v>14.7413671844978</v>
      </c>
      <c r="E632" s="0" t="s">
        <v>522</v>
      </c>
    </row>
    <row r="633" customFormat="false" ht="15" hidden="false" customHeight="false" outlineLevel="0" collapsed="false">
      <c r="A633" s="0" t="s">
        <v>115</v>
      </c>
      <c r="B633" s="0" t="n">
        <v>2017</v>
      </c>
      <c r="C633" s="0" t="s">
        <v>39</v>
      </c>
      <c r="D633" s="0" t="n">
        <v>-2.84056466176506</v>
      </c>
      <c r="E633" s="0" t="s">
        <v>522</v>
      </c>
    </row>
    <row r="634" customFormat="false" ht="15" hidden="false" customHeight="false" outlineLevel="0" collapsed="false">
      <c r="A634" s="0" t="s">
        <v>115</v>
      </c>
      <c r="B634" s="0" t="n">
        <v>2017</v>
      </c>
      <c r="C634" s="0" t="s">
        <v>17</v>
      </c>
      <c r="D634" s="0" t="n">
        <v>3.34182053651698</v>
      </c>
      <c r="E634" s="0" t="s">
        <v>522</v>
      </c>
    </row>
    <row r="635" customFormat="false" ht="15" hidden="false" customHeight="false" outlineLevel="0" collapsed="false">
      <c r="A635" s="0" t="s">
        <v>115</v>
      </c>
      <c r="B635" s="0" t="n">
        <v>2017</v>
      </c>
      <c r="C635" s="0" t="s">
        <v>25</v>
      </c>
      <c r="D635" s="0" t="n">
        <v>16.0299646223675</v>
      </c>
      <c r="E635" s="0" t="s">
        <v>522</v>
      </c>
    </row>
    <row r="636" customFormat="false" ht="15" hidden="false" customHeight="false" outlineLevel="0" collapsed="false">
      <c r="A636" s="0" t="s">
        <v>115</v>
      </c>
      <c r="B636" s="0" t="n">
        <v>2017</v>
      </c>
      <c r="C636" s="0" t="s">
        <v>29</v>
      </c>
      <c r="D636" s="0" t="n">
        <v>0.84523718371303</v>
      </c>
      <c r="E636" s="0" t="s">
        <v>522</v>
      </c>
    </row>
    <row r="637" customFormat="false" ht="15" hidden="false" customHeight="false" outlineLevel="0" collapsed="false">
      <c r="A637" s="0" t="s">
        <v>115</v>
      </c>
      <c r="B637" s="0" t="n">
        <v>2017</v>
      </c>
      <c r="C637" s="0" t="s">
        <v>43</v>
      </c>
      <c r="D637" s="0" t="n">
        <v>1.36722800087586</v>
      </c>
      <c r="E637" s="0" t="s">
        <v>522</v>
      </c>
    </row>
    <row r="638" customFormat="false" ht="15" hidden="false" customHeight="false" outlineLevel="0" collapsed="false">
      <c r="A638" s="0" t="s">
        <v>115</v>
      </c>
      <c r="B638" s="0" t="n">
        <v>2017</v>
      </c>
      <c r="C638" s="0" t="s">
        <v>31</v>
      </c>
      <c r="D638" s="0" t="n">
        <v>85.2586328155022</v>
      </c>
      <c r="E638" s="0" t="s">
        <v>522</v>
      </c>
    </row>
    <row r="639" customFormat="false" ht="15" hidden="false" customHeight="false" outlineLevel="0" collapsed="false">
      <c r="A639" s="0" t="s">
        <v>115</v>
      </c>
      <c r="B639" s="0" t="n">
        <v>2017</v>
      </c>
      <c r="C639" s="0" t="s">
        <v>33</v>
      </c>
      <c r="D639" s="0" t="n">
        <v>14.1370243296521</v>
      </c>
      <c r="E639" s="0" t="s">
        <v>522</v>
      </c>
    </row>
    <row r="640" customFormat="false" ht="15" hidden="false" customHeight="false" outlineLevel="0" collapsed="false">
      <c r="A640" s="0" t="s">
        <v>115</v>
      </c>
      <c r="B640" s="0" t="n">
        <v>2017</v>
      </c>
      <c r="C640" s="0" t="s">
        <v>21</v>
      </c>
      <c r="D640" s="0" t="n">
        <v>0</v>
      </c>
      <c r="E640" s="0" t="s">
        <v>522</v>
      </c>
    </row>
    <row r="641" customFormat="false" ht="15" hidden="false" customHeight="false" outlineLevel="0" collapsed="false">
      <c r="A641" s="0" t="s">
        <v>115</v>
      </c>
      <c r="B641" s="0" t="n">
        <v>2017</v>
      </c>
      <c r="C641" s="0" t="s">
        <v>35</v>
      </c>
      <c r="D641" s="0" t="n">
        <v>0</v>
      </c>
      <c r="E641" s="0" t="s">
        <v>522</v>
      </c>
    </row>
    <row r="642" customFormat="false" ht="15" hidden="false" customHeight="false" outlineLevel="0" collapsed="false">
      <c r="A642" s="0" t="s">
        <v>115</v>
      </c>
      <c r="B642" s="0" t="n">
        <v>2018</v>
      </c>
      <c r="C642" s="0" t="s">
        <v>54</v>
      </c>
      <c r="D642" s="0" t="n">
        <v>22926</v>
      </c>
      <c r="E642" s="0" t="s">
        <v>521</v>
      </c>
      <c r="G642" s="0" t="s">
        <v>81</v>
      </c>
    </row>
    <row r="643" customFormat="false" ht="15" hidden="false" customHeight="false" outlineLevel="0" collapsed="false">
      <c r="A643" s="0" t="s">
        <v>115</v>
      </c>
      <c r="B643" s="0" t="n">
        <v>2018</v>
      </c>
      <c r="C643" s="0" t="s">
        <v>55</v>
      </c>
      <c r="D643" s="0" t="n">
        <v>1719883</v>
      </c>
      <c r="E643" s="0" t="s">
        <v>521</v>
      </c>
      <c r="G643" s="0" t="s">
        <v>81</v>
      </c>
    </row>
    <row r="644" customFormat="false" ht="15" hidden="false" customHeight="false" outlineLevel="0" collapsed="false">
      <c r="A644" s="0" t="s">
        <v>115</v>
      </c>
      <c r="B644" s="0" t="n">
        <v>2018</v>
      </c>
      <c r="C644" s="0" t="s">
        <v>56</v>
      </c>
      <c r="D644" s="0" t="n">
        <v>1525467</v>
      </c>
      <c r="E644" s="0" t="s">
        <v>521</v>
      </c>
      <c r="G644" s="0" t="s">
        <v>81</v>
      </c>
    </row>
    <row r="645" customFormat="false" ht="15" hidden="false" customHeight="false" outlineLevel="0" collapsed="false">
      <c r="A645" s="0" t="s">
        <v>115</v>
      </c>
      <c r="B645" s="0" t="n">
        <v>2018</v>
      </c>
      <c r="C645" s="0" t="s">
        <v>57</v>
      </c>
      <c r="D645" s="0" t="n">
        <v>194416</v>
      </c>
      <c r="E645" s="0" t="s">
        <v>521</v>
      </c>
      <c r="G645" s="0" t="s">
        <v>81</v>
      </c>
    </row>
    <row r="646" customFormat="false" ht="15" hidden="false" customHeight="false" outlineLevel="0" collapsed="false">
      <c r="A646" s="0" t="s">
        <v>115</v>
      </c>
      <c r="B646" s="0" t="n">
        <v>2018</v>
      </c>
      <c r="C646" s="0" t="s">
        <v>63</v>
      </c>
      <c r="D646" s="0" t="n">
        <v>4215</v>
      </c>
      <c r="E646" s="0" t="s">
        <v>521</v>
      </c>
      <c r="G646" s="0" t="s">
        <v>81</v>
      </c>
    </row>
    <row r="647" customFormat="false" ht="15" hidden="false" customHeight="false" outlineLevel="0" collapsed="false">
      <c r="A647" s="0" t="s">
        <v>115</v>
      </c>
      <c r="B647" s="0" t="n">
        <v>2018</v>
      </c>
      <c r="C647" s="0" t="s">
        <v>27</v>
      </c>
      <c r="D647" s="0" t="n">
        <v>11.3040247505208</v>
      </c>
      <c r="E647" s="0" t="s">
        <v>522</v>
      </c>
    </row>
    <row r="648" customFormat="false" ht="15" hidden="false" customHeight="false" outlineLevel="0" collapsed="false">
      <c r="A648" s="0" t="s">
        <v>115</v>
      </c>
      <c r="B648" s="0" t="n">
        <v>2018</v>
      </c>
      <c r="C648" s="0" t="s">
        <v>43</v>
      </c>
      <c r="D648" s="0" t="n">
        <v>1.33299765158444</v>
      </c>
      <c r="E648" s="0" t="s">
        <v>522</v>
      </c>
    </row>
    <row r="649" customFormat="false" ht="15" hidden="false" customHeight="false" outlineLevel="0" collapsed="false">
      <c r="A649" s="0" t="s">
        <v>115</v>
      </c>
      <c r="B649" s="0" t="n">
        <v>2018</v>
      </c>
      <c r="C649" s="0" t="s">
        <v>31</v>
      </c>
      <c r="D649" s="0" t="n">
        <v>88.6959752494792</v>
      </c>
      <c r="E649" s="0" t="s">
        <v>522</v>
      </c>
    </row>
    <row r="650" customFormat="false" ht="15" hidden="false" customHeight="false" outlineLevel="0" collapsed="false">
      <c r="A650" s="0" t="s">
        <v>115</v>
      </c>
      <c r="B650" s="0" t="n">
        <v>2018</v>
      </c>
      <c r="C650" s="0" t="s">
        <v>33</v>
      </c>
      <c r="D650" s="0" t="n">
        <v>14.3577668232201</v>
      </c>
      <c r="E650" s="0" t="s">
        <v>522</v>
      </c>
    </row>
    <row r="651" customFormat="false" ht="15" hidden="false" customHeight="false" outlineLevel="0" collapsed="false">
      <c r="A651" s="0" t="s">
        <v>115</v>
      </c>
      <c r="B651" s="0" t="n">
        <v>2018</v>
      </c>
      <c r="C651" s="0" t="s">
        <v>21</v>
      </c>
      <c r="D651" s="0" t="n">
        <v>0</v>
      </c>
      <c r="E651" s="0" t="s">
        <v>522</v>
      </c>
    </row>
    <row r="652" customFormat="false" ht="15" hidden="false" customHeight="false" outlineLevel="0" collapsed="false">
      <c r="A652" s="0" t="s">
        <v>115</v>
      </c>
      <c r="B652" s="0" t="n">
        <v>2019</v>
      </c>
      <c r="C652" s="0" t="s">
        <v>54</v>
      </c>
      <c r="D652" s="0" t="n">
        <v>28425</v>
      </c>
      <c r="E652" s="0" t="s">
        <v>521</v>
      </c>
      <c r="G652" s="0" t="s">
        <v>81</v>
      </c>
    </row>
    <row r="653" customFormat="false" ht="15" hidden="false" customHeight="false" outlineLevel="0" collapsed="false">
      <c r="A653" s="0" t="s">
        <v>115</v>
      </c>
      <c r="B653" s="0" t="n">
        <v>2019</v>
      </c>
      <c r="C653" s="0" t="s">
        <v>55</v>
      </c>
      <c r="D653" s="0" t="n">
        <v>2114037</v>
      </c>
      <c r="E653" s="0" t="s">
        <v>521</v>
      </c>
      <c r="G653" s="0" t="s">
        <v>81</v>
      </c>
    </row>
    <row r="654" customFormat="false" ht="15" hidden="false" customHeight="false" outlineLevel="0" collapsed="false">
      <c r="A654" s="0" t="s">
        <v>115</v>
      </c>
      <c r="B654" s="0" t="n">
        <v>2019</v>
      </c>
      <c r="C654" s="0" t="s">
        <v>56</v>
      </c>
      <c r="D654" s="0" t="n">
        <v>1880007</v>
      </c>
      <c r="E654" s="0" t="s">
        <v>521</v>
      </c>
      <c r="G654" s="0" t="s">
        <v>81</v>
      </c>
    </row>
    <row r="655" customFormat="false" ht="15" hidden="false" customHeight="false" outlineLevel="0" collapsed="false">
      <c r="A655" s="0" t="s">
        <v>115</v>
      </c>
      <c r="B655" s="0" t="n">
        <v>2019</v>
      </c>
      <c r="C655" s="0" t="s">
        <v>57</v>
      </c>
      <c r="D655" s="0" t="n">
        <v>234030</v>
      </c>
      <c r="E655" s="0" t="s">
        <v>521</v>
      </c>
      <c r="G655" s="0" t="s">
        <v>81</v>
      </c>
    </row>
    <row r="656" customFormat="false" ht="15" hidden="false" customHeight="false" outlineLevel="0" collapsed="false">
      <c r="A656" s="0" t="s">
        <v>115</v>
      </c>
      <c r="B656" s="0" t="n">
        <v>2019</v>
      </c>
      <c r="C656" s="0" t="s">
        <v>59</v>
      </c>
      <c r="D656" s="0" t="n">
        <v>1719883</v>
      </c>
      <c r="E656" s="0" t="s">
        <v>521</v>
      </c>
      <c r="G656" s="0" t="s">
        <v>81</v>
      </c>
    </row>
    <row r="657" customFormat="false" ht="15" hidden="false" customHeight="false" outlineLevel="0" collapsed="false">
      <c r="A657" s="0" t="s">
        <v>115</v>
      </c>
      <c r="B657" s="0" t="n">
        <v>2019</v>
      </c>
      <c r="C657" s="0" t="s">
        <v>63</v>
      </c>
      <c r="D657" s="0" t="n">
        <v>-5292</v>
      </c>
      <c r="E657" s="0" t="s">
        <v>521</v>
      </c>
      <c r="G657" s="0" t="s">
        <v>81</v>
      </c>
    </row>
    <row r="658" customFormat="false" ht="15" hidden="false" customHeight="false" outlineLevel="0" collapsed="false">
      <c r="A658" s="0" t="s">
        <v>115</v>
      </c>
      <c r="B658" s="0" t="n">
        <v>2019</v>
      </c>
      <c r="C658" s="0" t="s">
        <v>73</v>
      </c>
      <c r="D658" s="0" t="n">
        <v>0</v>
      </c>
      <c r="E658" s="0" t="s">
        <v>539</v>
      </c>
      <c r="F658" s="0" t="s">
        <v>363</v>
      </c>
      <c r="G658" s="0" t="s">
        <v>856</v>
      </c>
      <c r="H658" s="0" t="s">
        <v>371</v>
      </c>
    </row>
    <row r="659" customFormat="false" ht="15" hidden="false" customHeight="false" outlineLevel="0" collapsed="false">
      <c r="A659" s="0" t="s">
        <v>115</v>
      </c>
      <c r="B659" s="0" t="n">
        <v>2019</v>
      </c>
      <c r="C659" s="0" t="s">
        <v>19</v>
      </c>
      <c r="D659" s="0" t="n">
        <v>1916960</v>
      </c>
      <c r="E659" s="0" t="s">
        <v>522</v>
      </c>
    </row>
    <row r="660" customFormat="false" ht="15" hidden="false" customHeight="false" outlineLevel="0" collapsed="false">
      <c r="A660" s="0" t="s">
        <v>115</v>
      </c>
      <c r="B660" s="0" t="n">
        <v>2019</v>
      </c>
      <c r="C660" s="0" t="s">
        <v>41</v>
      </c>
      <c r="D660" s="0" t="n">
        <v>1.48281654285953</v>
      </c>
      <c r="E660" s="0" t="s">
        <v>522</v>
      </c>
    </row>
    <row r="661" customFormat="false" ht="15" hidden="false" customHeight="false" outlineLevel="0" collapsed="false">
      <c r="A661" s="0" t="s">
        <v>115</v>
      </c>
      <c r="B661" s="0" t="n">
        <v>2019</v>
      </c>
      <c r="C661" s="0" t="s">
        <v>27</v>
      </c>
      <c r="D661" s="0" t="n">
        <v>11.0702887413986</v>
      </c>
      <c r="E661" s="0" t="s">
        <v>522</v>
      </c>
    </row>
    <row r="662" customFormat="false" ht="15" hidden="false" customHeight="false" outlineLevel="0" collapsed="false">
      <c r="A662" s="0" t="s">
        <v>115</v>
      </c>
      <c r="B662" s="0" t="n">
        <v>2019</v>
      </c>
      <c r="C662" s="0" t="s">
        <v>29</v>
      </c>
      <c r="D662" s="0" t="n">
        <v>-0.276062098322344</v>
      </c>
      <c r="E662" s="0" t="s">
        <v>522</v>
      </c>
    </row>
    <row r="663" customFormat="false" ht="15" hidden="false" customHeight="false" outlineLevel="0" collapsed="false">
      <c r="A663" s="0" t="s">
        <v>115</v>
      </c>
      <c r="B663" s="0" t="n">
        <v>2019</v>
      </c>
      <c r="C663" s="0" t="s">
        <v>43</v>
      </c>
      <c r="D663" s="0" t="n">
        <v>1.3445838459781</v>
      </c>
      <c r="E663" s="0" t="s">
        <v>522</v>
      </c>
    </row>
    <row r="664" customFormat="false" ht="15" hidden="false" customHeight="false" outlineLevel="0" collapsed="false">
      <c r="A664" s="0" t="s">
        <v>115</v>
      </c>
      <c r="B664" s="0" t="n">
        <v>2019</v>
      </c>
      <c r="C664" s="0" t="s">
        <v>31</v>
      </c>
      <c r="D664" s="0" t="n">
        <v>88.9297112586014</v>
      </c>
      <c r="E664" s="0" t="s">
        <v>522</v>
      </c>
    </row>
    <row r="665" customFormat="false" ht="15" hidden="false" customHeight="false" outlineLevel="0" collapsed="false">
      <c r="A665" s="0" t="s">
        <v>115</v>
      </c>
      <c r="B665" s="0" t="n">
        <v>2019</v>
      </c>
      <c r="C665" s="0" t="s">
        <v>33</v>
      </c>
      <c r="D665" s="0" t="n">
        <v>14.5641099476243</v>
      </c>
      <c r="E665" s="0" t="s">
        <v>522</v>
      </c>
    </row>
    <row r="666" customFormat="false" ht="15" hidden="false" customHeight="false" outlineLevel="0" collapsed="false">
      <c r="A666" s="0" t="s">
        <v>115</v>
      </c>
      <c r="B666" s="0" t="n">
        <v>2019</v>
      </c>
      <c r="C666" s="0" t="s">
        <v>21</v>
      </c>
      <c r="D666" s="0" t="n">
        <v>0</v>
      </c>
      <c r="E666" s="0" t="s">
        <v>522</v>
      </c>
    </row>
    <row r="667" customFormat="false" ht="15" hidden="false" customHeight="false" outlineLevel="0" collapsed="false">
      <c r="A667" s="0" t="s">
        <v>115</v>
      </c>
      <c r="B667" s="0" t="n">
        <v>2020</v>
      </c>
      <c r="C667" s="0" t="s">
        <v>54</v>
      </c>
      <c r="D667" s="0" t="n">
        <v>26650</v>
      </c>
      <c r="E667" s="0" t="s">
        <v>523</v>
      </c>
      <c r="F667" s="0" t="s">
        <v>524</v>
      </c>
      <c r="G667" s="0" t="s">
        <v>95</v>
      </c>
      <c r="H667" s="0" t="s">
        <v>857</v>
      </c>
    </row>
    <row r="668" customFormat="false" ht="15" hidden="false" customHeight="false" outlineLevel="0" collapsed="false">
      <c r="A668" s="0" t="s">
        <v>115</v>
      </c>
      <c r="B668" s="0" t="n">
        <v>2020</v>
      </c>
      <c r="C668" s="0" t="s">
        <v>55</v>
      </c>
      <c r="D668" s="0" t="n">
        <v>2758148</v>
      </c>
      <c r="E668" s="0" t="s">
        <v>523</v>
      </c>
      <c r="F668" s="0" t="s">
        <v>524</v>
      </c>
      <c r="G668" s="0" t="s">
        <v>95</v>
      </c>
      <c r="H668" s="0" t="s">
        <v>858</v>
      </c>
    </row>
    <row r="669" customFormat="false" ht="15" hidden="false" customHeight="false" outlineLevel="0" collapsed="false">
      <c r="A669" s="0" t="s">
        <v>115</v>
      </c>
      <c r="B669" s="0" t="n">
        <v>2020</v>
      </c>
      <c r="C669" s="0" t="s">
        <v>56</v>
      </c>
      <c r="D669" s="0" t="n">
        <v>2484615</v>
      </c>
      <c r="E669" s="0" t="s">
        <v>523</v>
      </c>
      <c r="F669" s="0" t="s">
        <v>524</v>
      </c>
      <c r="G669" s="0" t="s">
        <v>95</v>
      </c>
      <c r="H669" s="0" t="s">
        <v>859</v>
      </c>
    </row>
    <row r="670" customFormat="false" ht="15" hidden="false" customHeight="false" outlineLevel="0" collapsed="false">
      <c r="A670" s="0" t="s">
        <v>115</v>
      </c>
      <c r="B670" s="0" t="n">
        <v>2020</v>
      </c>
      <c r="C670" s="0" t="s">
        <v>57</v>
      </c>
      <c r="D670" s="0" t="n">
        <v>273533</v>
      </c>
      <c r="E670" s="0" t="s">
        <v>523</v>
      </c>
      <c r="F670" s="0" t="s">
        <v>524</v>
      </c>
      <c r="G670" s="0" t="s">
        <v>95</v>
      </c>
      <c r="H670" s="0" t="s">
        <v>860</v>
      </c>
    </row>
    <row r="671" customFormat="false" ht="15" hidden="false" customHeight="false" outlineLevel="0" collapsed="false">
      <c r="A671" s="0" t="s">
        <v>115</v>
      </c>
      <c r="B671" s="0" t="n">
        <v>2020</v>
      </c>
      <c r="C671" s="0" t="s">
        <v>58</v>
      </c>
      <c r="D671" s="0" t="n">
        <v>242619</v>
      </c>
      <c r="E671" s="0" t="s">
        <v>523</v>
      </c>
      <c r="F671" s="0" t="s">
        <v>524</v>
      </c>
      <c r="G671" s="0" t="s">
        <v>95</v>
      </c>
      <c r="H671" s="0" t="s">
        <v>861</v>
      </c>
    </row>
    <row r="672" customFormat="false" ht="15" hidden="false" customHeight="false" outlineLevel="0" collapsed="false">
      <c r="A672" s="0" t="s">
        <v>115</v>
      </c>
      <c r="B672" s="0" t="n">
        <v>2020</v>
      </c>
      <c r="C672" s="0" t="s">
        <v>59</v>
      </c>
      <c r="D672" s="0" t="n">
        <v>2114037</v>
      </c>
      <c r="E672" s="0" t="s">
        <v>523</v>
      </c>
      <c r="F672" s="0" t="s">
        <v>524</v>
      </c>
      <c r="G672" s="0" t="s">
        <v>95</v>
      </c>
      <c r="H672" s="0" t="s">
        <v>862</v>
      </c>
    </row>
    <row r="673" customFormat="false" ht="15" hidden="false" customHeight="false" outlineLevel="0" collapsed="false">
      <c r="A673" s="0" t="s">
        <v>115</v>
      </c>
      <c r="B673" s="0" t="n">
        <v>2020</v>
      </c>
      <c r="C673" s="0" t="s">
        <v>60</v>
      </c>
      <c r="D673" s="0" t="n">
        <v>1393624</v>
      </c>
      <c r="E673" s="0" t="s">
        <v>523</v>
      </c>
      <c r="F673" s="0" t="s">
        <v>524</v>
      </c>
      <c r="G673" s="0" t="s">
        <v>95</v>
      </c>
      <c r="H673" s="0" t="s">
        <v>863</v>
      </c>
    </row>
    <row r="674" customFormat="false" ht="15" hidden="false" customHeight="false" outlineLevel="0" collapsed="false">
      <c r="A674" s="0" t="s">
        <v>115</v>
      </c>
      <c r="B674" s="0" t="n">
        <v>2020</v>
      </c>
      <c r="C674" s="0" t="s">
        <v>61</v>
      </c>
      <c r="D674" s="0" t="n">
        <v>67518</v>
      </c>
      <c r="E674" s="0" t="s">
        <v>523</v>
      </c>
      <c r="F674" s="0" t="s">
        <v>524</v>
      </c>
      <c r="G674" s="0" t="s">
        <v>95</v>
      </c>
      <c r="H674" s="0" t="s">
        <v>864</v>
      </c>
    </row>
    <row r="675" customFormat="false" ht="15" hidden="false" customHeight="false" outlineLevel="0" collapsed="false">
      <c r="A675" s="0" t="s">
        <v>115</v>
      </c>
      <c r="B675" s="0" t="n">
        <v>2020</v>
      </c>
      <c r="C675" s="0" t="s">
        <v>62</v>
      </c>
      <c r="D675" s="0" t="n">
        <v>1326106</v>
      </c>
      <c r="E675" s="0" t="s">
        <v>523</v>
      </c>
      <c r="F675" s="0" t="s">
        <v>524</v>
      </c>
      <c r="G675" s="0" t="s">
        <v>95</v>
      </c>
      <c r="H675" s="0" t="s">
        <v>865</v>
      </c>
    </row>
    <row r="676" customFormat="false" ht="15" hidden="false" customHeight="false" outlineLevel="0" collapsed="false">
      <c r="A676" s="0" t="s">
        <v>115</v>
      </c>
      <c r="B676" s="0" t="n">
        <v>2020</v>
      </c>
      <c r="C676" s="0" t="s">
        <v>63</v>
      </c>
      <c r="D676" s="0" t="n">
        <v>16858</v>
      </c>
      <c r="E676" s="0" t="s">
        <v>523</v>
      </c>
      <c r="F676" s="0" t="s">
        <v>524</v>
      </c>
      <c r="G676" s="0" t="s">
        <v>95</v>
      </c>
      <c r="H676" s="0" t="s">
        <v>866</v>
      </c>
    </row>
    <row r="677" customFormat="false" ht="15" hidden="false" customHeight="false" outlineLevel="0" collapsed="false">
      <c r="A677" s="0" t="s">
        <v>115</v>
      </c>
      <c r="B677" s="0" t="n">
        <v>2020</v>
      </c>
      <c r="C677" s="0" t="s">
        <v>69</v>
      </c>
      <c r="D677" s="0" t="n">
        <v>18.18</v>
      </c>
      <c r="E677" s="0" t="s">
        <v>523</v>
      </c>
      <c r="F677" s="0" t="s">
        <v>524</v>
      </c>
      <c r="G677" s="0" t="s">
        <v>95</v>
      </c>
      <c r="H677" s="0" t="s">
        <v>867</v>
      </c>
    </row>
    <row r="678" customFormat="false" ht="15" hidden="false" customHeight="false" outlineLevel="0" collapsed="false">
      <c r="A678" s="0" t="s">
        <v>115</v>
      </c>
      <c r="B678" s="0" t="n">
        <v>2020</v>
      </c>
      <c r="C678" s="0" t="s">
        <v>70</v>
      </c>
      <c r="D678" s="0" t="n">
        <v>15</v>
      </c>
      <c r="E678" s="0" t="s">
        <v>523</v>
      </c>
      <c r="F678" s="0" t="s">
        <v>524</v>
      </c>
      <c r="G678" s="0" t="s">
        <v>95</v>
      </c>
      <c r="H678" s="0" t="s">
        <v>868</v>
      </c>
    </row>
    <row r="679" customFormat="false" ht="15" hidden="false" customHeight="false" outlineLevel="0" collapsed="false">
      <c r="A679" s="0" t="s">
        <v>115</v>
      </c>
      <c r="B679" s="0" t="n">
        <v>2020</v>
      </c>
      <c r="C679" s="0" t="s">
        <v>65</v>
      </c>
      <c r="D679" s="0" t="n">
        <v>243690</v>
      </c>
      <c r="E679" s="0" t="s">
        <v>523</v>
      </c>
      <c r="F679" s="0" t="s">
        <v>524</v>
      </c>
      <c r="G679" s="0" t="s">
        <v>95</v>
      </c>
      <c r="H679" s="0" t="s">
        <v>869</v>
      </c>
    </row>
    <row r="680" customFormat="false" ht="15" hidden="false" customHeight="false" outlineLevel="0" collapsed="false">
      <c r="A680" s="0" t="s">
        <v>115</v>
      </c>
      <c r="B680" s="0" t="n">
        <v>2020</v>
      </c>
      <c r="C680" s="0" t="s">
        <v>66</v>
      </c>
      <c r="D680" s="0" t="n">
        <v>1340211</v>
      </c>
      <c r="E680" s="0" t="s">
        <v>523</v>
      </c>
      <c r="F680" s="0" t="s">
        <v>524</v>
      </c>
      <c r="G680" s="0" t="s">
        <v>95</v>
      </c>
      <c r="H680" s="0" t="s">
        <v>870</v>
      </c>
    </row>
    <row r="681" customFormat="false" ht="15" hidden="false" customHeight="false" outlineLevel="0" collapsed="false">
      <c r="A681" s="0" t="s">
        <v>115</v>
      </c>
      <c r="B681" s="0" t="n">
        <v>2020</v>
      </c>
      <c r="C681" s="0" t="s">
        <v>73</v>
      </c>
      <c r="D681" s="0" t="n">
        <v>0</v>
      </c>
      <c r="E681" s="0" t="s">
        <v>539</v>
      </c>
      <c r="F681" s="0" t="s">
        <v>524</v>
      </c>
      <c r="G681" s="0" t="s">
        <v>95</v>
      </c>
      <c r="H681" s="0" t="s">
        <v>871</v>
      </c>
    </row>
    <row r="682" customFormat="false" ht="15" hidden="false" customHeight="false" outlineLevel="0" collapsed="false">
      <c r="A682" s="0" t="s">
        <v>115</v>
      </c>
      <c r="B682" s="0" t="n">
        <v>2020</v>
      </c>
      <c r="C682" s="0" t="s">
        <v>541</v>
      </c>
      <c r="D682" s="0" t="n">
        <v>28054</v>
      </c>
      <c r="E682" s="0" t="s">
        <v>523</v>
      </c>
      <c r="F682" s="0" t="s">
        <v>524</v>
      </c>
      <c r="G682" s="0" t="s">
        <v>95</v>
      </c>
      <c r="H682" s="0" t="s">
        <v>872</v>
      </c>
    </row>
    <row r="683" customFormat="false" ht="15" hidden="false" customHeight="false" outlineLevel="0" collapsed="false">
      <c r="A683" s="0" t="s">
        <v>115</v>
      </c>
      <c r="B683" s="0" t="n">
        <v>2020</v>
      </c>
      <c r="C683" s="0" t="s">
        <v>19</v>
      </c>
      <c r="D683" s="0" t="n">
        <v>2436092.5</v>
      </c>
      <c r="E683" s="0" t="s">
        <v>522</v>
      </c>
    </row>
    <row r="684" customFormat="false" ht="15" hidden="false" customHeight="false" outlineLevel="0" collapsed="false">
      <c r="A684" s="0" t="s">
        <v>115</v>
      </c>
      <c r="B684" s="0" t="n">
        <v>2020</v>
      </c>
      <c r="C684" s="0" t="s">
        <v>41</v>
      </c>
      <c r="D684" s="0" t="n">
        <v>1.09396502801105</v>
      </c>
      <c r="E684" s="0" t="s">
        <v>522</v>
      </c>
    </row>
    <row r="685" customFormat="false" ht="15" hidden="false" customHeight="false" outlineLevel="0" collapsed="false">
      <c r="A685" s="0" t="s">
        <v>115</v>
      </c>
      <c r="B685" s="0" t="n">
        <v>2020</v>
      </c>
      <c r="C685" s="0" t="s">
        <v>27</v>
      </c>
      <c r="D685" s="0" t="n">
        <v>9.91727057431291</v>
      </c>
      <c r="E685" s="0" t="s">
        <v>522</v>
      </c>
    </row>
    <row r="686" customFormat="false" ht="15" hidden="false" customHeight="false" outlineLevel="0" collapsed="false">
      <c r="A686" s="0" t="s">
        <v>115</v>
      </c>
      <c r="B686" s="0" t="n">
        <v>2020</v>
      </c>
      <c r="C686" s="0" t="s">
        <v>39</v>
      </c>
      <c r="D686" s="0" t="n">
        <v>9.95935088671715</v>
      </c>
      <c r="E686" s="0" t="s">
        <v>522</v>
      </c>
    </row>
    <row r="687" customFormat="false" ht="15" hidden="false" customHeight="false" outlineLevel="0" collapsed="false">
      <c r="A687" s="0" t="s">
        <v>115</v>
      </c>
      <c r="B687" s="0" t="n">
        <v>2020</v>
      </c>
      <c r="C687" s="0" t="s">
        <v>17</v>
      </c>
      <c r="D687" s="0" t="n">
        <v>4.84477879255811</v>
      </c>
      <c r="E687" s="0" t="s">
        <v>522</v>
      </c>
    </row>
    <row r="688" customFormat="false" ht="15" hidden="false" customHeight="false" outlineLevel="0" collapsed="false">
      <c r="A688" s="0" t="s">
        <v>115</v>
      </c>
      <c r="B688" s="0" t="n">
        <v>2020</v>
      </c>
      <c r="C688" s="0" t="s">
        <v>25</v>
      </c>
      <c r="D688" s="0" t="n">
        <v>18.1829577581441</v>
      </c>
      <c r="E688" s="0" t="s">
        <v>522</v>
      </c>
    </row>
    <row r="689" customFormat="false" ht="15" hidden="false" customHeight="false" outlineLevel="0" collapsed="false">
      <c r="A689" s="0" t="s">
        <v>115</v>
      </c>
      <c r="B689" s="0" t="n">
        <v>2020</v>
      </c>
      <c r="C689" s="0" t="s">
        <v>29</v>
      </c>
      <c r="D689" s="0" t="n">
        <v>0.692009847737719</v>
      </c>
      <c r="E689" s="0" t="s">
        <v>522</v>
      </c>
    </row>
    <row r="690" customFormat="false" ht="15" hidden="false" customHeight="false" outlineLevel="0" collapsed="false">
      <c r="A690" s="0" t="s">
        <v>115</v>
      </c>
      <c r="B690" s="0" t="n">
        <v>2020</v>
      </c>
      <c r="C690" s="0" t="s">
        <v>43</v>
      </c>
      <c r="D690" s="0" t="n">
        <v>0.966228063178626</v>
      </c>
      <c r="E690" s="0" t="s">
        <v>522</v>
      </c>
    </row>
    <row r="691" customFormat="false" ht="15" hidden="false" customHeight="false" outlineLevel="0" collapsed="false">
      <c r="A691" s="0" t="s">
        <v>115</v>
      </c>
      <c r="B691" s="0" t="n">
        <v>2020</v>
      </c>
      <c r="C691" s="0" t="s">
        <v>31</v>
      </c>
      <c r="D691" s="0" t="n">
        <v>90.0827294256871</v>
      </c>
      <c r="E691" s="0" t="s">
        <v>522</v>
      </c>
    </row>
    <row r="692" customFormat="false" ht="15" hidden="false" customHeight="false" outlineLevel="0" collapsed="false">
      <c r="A692" s="0" t="s">
        <v>115</v>
      </c>
      <c r="B692" s="0" t="n">
        <v>2020</v>
      </c>
      <c r="C692" s="0" t="s">
        <v>33</v>
      </c>
      <c r="D692" s="0" t="n">
        <v>14.8300699979696</v>
      </c>
      <c r="E692" s="0" t="s">
        <v>522</v>
      </c>
    </row>
    <row r="693" customFormat="false" ht="15" hidden="false" customHeight="false" outlineLevel="0" collapsed="false">
      <c r="A693" s="0" t="s">
        <v>115</v>
      </c>
      <c r="B693" s="0" t="n">
        <v>2020</v>
      </c>
      <c r="C693" s="0" t="s">
        <v>21</v>
      </c>
      <c r="D693" s="0" t="n">
        <v>0</v>
      </c>
      <c r="E693" s="0" t="s">
        <v>522</v>
      </c>
    </row>
    <row r="694" customFormat="false" ht="15" hidden="false" customHeight="false" outlineLevel="0" collapsed="false">
      <c r="A694" s="0" t="s">
        <v>115</v>
      </c>
      <c r="B694" s="0" t="n">
        <v>2020</v>
      </c>
      <c r="C694" s="0" t="s">
        <v>35</v>
      </c>
      <c r="D694" s="0" t="n">
        <v>0</v>
      </c>
      <c r="E694" s="0" t="s">
        <v>522</v>
      </c>
    </row>
    <row r="695" customFormat="false" ht="15" hidden="false" customHeight="false" outlineLevel="0" collapsed="false">
      <c r="A695" s="0" t="s">
        <v>115</v>
      </c>
      <c r="B695" s="0" t="n">
        <v>2021</v>
      </c>
      <c r="C695" s="0" t="s">
        <v>54</v>
      </c>
      <c r="D695" s="0" t="n">
        <v>23104</v>
      </c>
      <c r="E695" s="0" t="s">
        <v>643</v>
      </c>
      <c r="F695" s="0" t="s">
        <v>524</v>
      </c>
      <c r="G695" s="0" t="s">
        <v>124</v>
      </c>
      <c r="H695" s="0" t="s">
        <v>873</v>
      </c>
    </row>
    <row r="696" customFormat="false" ht="15" hidden="false" customHeight="false" outlineLevel="0" collapsed="false">
      <c r="A696" s="0" t="s">
        <v>115</v>
      </c>
      <c r="B696" s="0" t="n">
        <v>2021</v>
      </c>
      <c r="C696" s="0" t="s">
        <v>55</v>
      </c>
      <c r="D696" s="0" t="n">
        <v>3280454</v>
      </c>
      <c r="E696" s="0" t="s">
        <v>643</v>
      </c>
      <c r="F696" s="0" t="s">
        <v>524</v>
      </c>
      <c r="G696" s="0" t="s">
        <v>124</v>
      </c>
      <c r="H696" s="0" t="s">
        <v>874</v>
      </c>
    </row>
    <row r="697" customFormat="false" ht="15" hidden="false" customHeight="false" outlineLevel="0" collapsed="false">
      <c r="A697" s="0" t="s">
        <v>115</v>
      </c>
      <c r="B697" s="0" t="n">
        <v>2021</v>
      </c>
      <c r="C697" s="0" t="s">
        <v>56</v>
      </c>
      <c r="D697" s="0" t="n">
        <v>2995160</v>
      </c>
      <c r="E697" s="0" t="s">
        <v>643</v>
      </c>
      <c r="F697" s="0" t="s">
        <v>524</v>
      </c>
      <c r="G697" s="0" t="s">
        <v>124</v>
      </c>
      <c r="H697" s="0" t="s">
        <v>875</v>
      </c>
    </row>
    <row r="698" customFormat="false" ht="15" hidden="false" customHeight="false" outlineLevel="0" collapsed="false">
      <c r="A698" s="0" t="s">
        <v>115</v>
      </c>
      <c r="B698" s="0" t="n">
        <v>2021</v>
      </c>
      <c r="C698" s="0" t="s">
        <v>57</v>
      </c>
      <c r="D698" s="0" t="n">
        <v>285294</v>
      </c>
      <c r="E698" s="0" t="s">
        <v>643</v>
      </c>
      <c r="F698" s="0" t="s">
        <v>524</v>
      </c>
      <c r="G698" s="0" t="s">
        <v>124</v>
      </c>
      <c r="H698" s="0" t="s">
        <v>876</v>
      </c>
    </row>
    <row r="699" customFormat="false" ht="15" hidden="false" customHeight="false" outlineLevel="0" collapsed="false">
      <c r="A699" s="0" t="s">
        <v>115</v>
      </c>
      <c r="B699" s="0" t="n">
        <v>2021</v>
      </c>
      <c r="C699" s="0" t="s">
        <v>58</v>
      </c>
      <c r="D699" s="0" t="n">
        <v>-107190</v>
      </c>
      <c r="E699" s="0" t="s">
        <v>643</v>
      </c>
      <c r="F699" s="0" t="s">
        <v>524</v>
      </c>
      <c r="G699" s="0" t="s">
        <v>124</v>
      </c>
      <c r="H699" s="0" t="s">
        <v>877</v>
      </c>
    </row>
    <row r="700" customFormat="false" ht="15" hidden="false" customHeight="false" outlineLevel="0" collapsed="false">
      <c r="A700" s="0" t="s">
        <v>115</v>
      </c>
      <c r="B700" s="0" t="n">
        <v>2021</v>
      </c>
      <c r="C700" s="0" t="s">
        <v>60</v>
      </c>
      <c r="D700" s="0" t="n">
        <v>1732543</v>
      </c>
      <c r="E700" s="0" t="s">
        <v>643</v>
      </c>
      <c r="F700" s="0" t="s">
        <v>524</v>
      </c>
      <c r="G700" s="0" t="s">
        <v>124</v>
      </c>
      <c r="H700" s="0" t="s">
        <v>878</v>
      </c>
    </row>
    <row r="701" customFormat="false" ht="15" hidden="false" customHeight="false" outlineLevel="0" collapsed="false">
      <c r="A701" s="0" t="s">
        <v>115</v>
      </c>
      <c r="B701" s="0" t="n">
        <v>2021</v>
      </c>
      <c r="C701" s="0" t="s">
        <v>61</v>
      </c>
      <c r="D701" s="0" t="n">
        <v>74131</v>
      </c>
      <c r="E701" s="0" t="s">
        <v>643</v>
      </c>
      <c r="F701" s="0" t="s">
        <v>524</v>
      </c>
      <c r="G701" s="0" t="s">
        <v>124</v>
      </c>
      <c r="H701" s="0" t="s">
        <v>879</v>
      </c>
    </row>
    <row r="702" customFormat="false" ht="15" hidden="false" customHeight="false" outlineLevel="0" collapsed="false">
      <c r="A702" s="0" t="s">
        <v>115</v>
      </c>
      <c r="B702" s="0" t="n">
        <v>2021</v>
      </c>
      <c r="C702" s="0" t="s">
        <v>62</v>
      </c>
      <c r="D702" s="0" t="n">
        <v>1658412</v>
      </c>
      <c r="E702" s="0" t="s">
        <v>643</v>
      </c>
      <c r="F702" s="0" t="s">
        <v>524</v>
      </c>
      <c r="G702" s="0" t="s">
        <v>124</v>
      </c>
      <c r="H702" s="0" t="s">
        <v>880</v>
      </c>
    </row>
    <row r="703" customFormat="false" ht="15" hidden="false" customHeight="false" outlineLevel="0" collapsed="false">
      <c r="A703" s="0" t="s">
        <v>115</v>
      </c>
      <c r="B703" s="0" t="n">
        <v>2021</v>
      </c>
      <c r="C703" s="0" t="s">
        <v>63</v>
      </c>
      <c r="D703" s="0" t="n">
        <v>7034</v>
      </c>
      <c r="E703" s="0" t="s">
        <v>643</v>
      </c>
      <c r="F703" s="0" t="s">
        <v>524</v>
      </c>
      <c r="G703" s="0" t="s">
        <v>124</v>
      </c>
      <c r="H703" s="0" t="s">
        <v>881</v>
      </c>
    </row>
    <row r="704" customFormat="false" ht="15" hidden="false" customHeight="false" outlineLevel="0" collapsed="false">
      <c r="A704" s="0" t="s">
        <v>115</v>
      </c>
      <c r="B704" s="0" t="n">
        <v>2021</v>
      </c>
      <c r="C704" s="0" t="s">
        <v>69</v>
      </c>
      <c r="D704" s="0" t="n">
        <v>19.15</v>
      </c>
      <c r="E704" s="0" t="s">
        <v>643</v>
      </c>
      <c r="F704" s="0" t="s">
        <v>524</v>
      </c>
      <c r="G704" s="0" t="s">
        <v>124</v>
      </c>
      <c r="H704" s="0" t="s">
        <v>882</v>
      </c>
    </row>
    <row r="705" customFormat="false" ht="15" hidden="false" customHeight="false" outlineLevel="0" collapsed="false">
      <c r="A705" s="0" t="s">
        <v>115</v>
      </c>
      <c r="B705" s="0" t="n">
        <v>2021</v>
      </c>
      <c r="C705" s="0" t="s">
        <v>70</v>
      </c>
      <c r="D705" s="0" t="n">
        <v>15</v>
      </c>
      <c r="E705" s="0" t="s">
        <v>643</v>
      </c>
      <c r="F705" s="0" t="s">
        <v>524</v>
      </c>
      <c r="G705" s="0" t="s">
        <v>124</v>
      </c>
      <c r="H705" s="0" t="s">
        <v>883</v>
      </c>
    </row>
    <row r="706" customFormat="false" ht="15" hidden="false" customHeight="false" outlineLevel="0" collapsed="false">
      <c r="A706" s="0" t="s">
        <v>115</v>
      </c>
      <c r="B706" s="0" t="n">
        <v>2021</v>
      </c>
      <c r="C706" s="0" t="s">
        <v>65</v>
      </c>
      <c r="D706" s="0" t="n">
        <v>292323</v>
      </c>
      <c r="E706" s="0" t="s">
        <v>643</v>
      </c>
      <c r="F706" s="0" t="s">
        <v>524</v>
      </c>
      <c r="G706" s="0" t="s">
        <v>124</v>
      </c>
      <c r="H706" s="0" t="s">
        <v>884</v>
      </c>
    </row>
    <row r="707" customFormat="false" ht="15" hidden="false" customHeight="false" outlineLevel="0" collapsed="false">
      <c r="A707" s="0" t="s">
        <v>115</v>
      </c>
      <c r="B707" s="0" t="n">
        <v>2021</v>
      </c>
      <c r="C707" s="0" t="s">
        <v>66</v>
      </c>
      <c r="D707" s="0" t="n">
        <v>1526722</v>
      </c>
      <c r="E707" s="0" t="s">
        <v>643</v>
      </c>
      <c r="F707" s="0" t="s">
        <v>524</v>
      </c>
      <c r="G707" s="0" t="s">
        <v>124</v>
      </c>
      <c r="H707" s="0" t="s">
        <v>885</v>
      </c>
    </row>
    <row r="708" customFormat="false" ht="15" hidden="false" customHeight="false" outlineLevel="0" collapsed="false">
      <c r="A708" s="0" t="s">
        <v>115</v>
      </c>
      <c r="B708" s="0" t="n">
        <v>2021</v>
      </c>
      <c r="C708" s="0" t="s">
        <v>541</v>
      </c>
      <c r="D708" s="0" t="n">
        <v>25215</v>
      </c>
      <c r="E708" s="0" t="s">
        <v>643</v>
      </c>
      <c r="F708" s="0" t="s">
        <v>524</v>
      </c>
      <c r="G708" s="0" t="s">
        <v>124</v>
      </c>
      <c r="H708" s="0" t="s">
        <v>886</v>
      </c>
    </row>
    <row r="709" customFormat="false" ht="15" hidden="false" customHeight="false" outlineLevel="0" collapsed="false">
      <c r="A709" s="0" t="s">
        <v>115</v>
      </c>
      <c r="B709" s="0" t="n">
        <v>2021</v>
      </c>
      <c r="C709" s="0" t="s">
        <v>27</v>
      </c>
      <c r="D709" s="0" t="n">
        <v>8.69678404269653</v>
      </c>
      <c r="E709" s="0" t="s">
        <v>522</v>
      </c>
    </row>
    <row r="710" customFormat="false" ht="15" hidden="false" customHeight="false" outlineLevel="0" collapsed="false">
      <c r="A710" s="0" t="s">
        <v>115</v>
      </c>
      <c r="B710" s="0" t="n">
        <v>2021</v>
      </c>
      <c r="C710" s="0" t="s">
        <v>17</v>
      </c>
      <c r="D710" s="0" t="n">
        <v>4.27873940213894</v>
      </c>
      <c r="E710" s="0" t="s">
        <v>522</v>
      </c>
    </row>
    <row r="711" customFormat="false" ht="15" hidden="false" customHeight="false" outlineLevel="0" collapsed="false">
      <c r="A711" s="0" t="s">
        <v>115</v>
      </c>
      <c r="B711" s="0" t="n">
        <v>2021</v>
      </c>
      <c r="C711" s="0" t="s">
        <v>25</v>
      </c>
      <c r="D711" s="0" t="n">
        <v>19.1471007819367</v>
      </c>
      <c r="E711" s="0" t="s">
        <v>522</v>
      </c>
    </row>
    <row r="712" customFormat="false" ht="15" hidden="false" customHeight="false" outlineLevel="0" collapsed="false">
      <c r="A712" s="0" t="s">
        <v>115</v>
      </c>
      <c r="B712" s="0" t="n">
        <v>2021</v>
      </c>
      <c r="C712" s="0" t="s">
        <v>43</v>
      </c>
      <c r="D712" s="0" t="n">
        <v>0.704292759477804</v>
      </c>
      <c r="E712" s="0" t="s">
        <v>522</v>
      </c>
    </row>
    <row r="713" customFormat="false" ht="15" hidden="false" customHeight="false" outlineLevel="0" collapsed="false">
      <c r="A713" s="0" t="s">
        <v>115</v>
      </c>
      <c r="B713" s="0" t="n">
        <v>2021</v>
      </c>
      <c r="C713" s="0" t="s">
        <v>31</v>
      </c>
      <c r="D713" s="0" t="n">
        <v>91.3032159573035</v>
      </c>
      <c r="E713" s="0" t="s">
        <v>522</v>
      </c>
    </row>
    <row r="714" customFormat="false" ht="15" hidden="false" customHeight="false" outlineLevel="0" collapsed="false">
      <c r="A714" s="0" t="s">
        <v>115</v>
      </c>
      <c r="B714" s="0" t="n">
        <v>2021</v>
      </c>
      <c r="C714" s="0" t="s">
        <v>33</v>
      </c>
      <c r="D714" s="0" t="n">
        <v>15.0034923854161</v>
      </c>
      <c r="E714" s="0" t="s">
        <v>522</v>
      </c>
    </row>
    <row r="715" customFormat="false" ht="15" hidden="false" customHeight="false" outlineLevel="0" collapsed="false">
      <c r="A715" s="0" t="s">
        <v>115</v>
      </c>
      <c r="B715" s="0" t="n">
        <v>2021</v>
      </c>
      <c r="C715" s="0" t="s">
        <v>21</v>
      </c>
      <c r="D715" s="0" t="n">
        <v>0</v>
      </c>
      <c r="E715" s="0" t="s">
        <v>522</v>
      </c>
    </row>
    <row r="716" customFormat="false" ht="15" hidden="false" customHeight="false" outlineLevel="0" collapsed="false">
      <c r="A716" s="0" t="s">
        <v>115</v>
      </c>
      <c r="B716" s="0" t="n">
        <v>2021</v>
      </c>
      <c r="C716" s="0" t="s">
        <v>35</v>
      </c>
      <c r="D716" s="0" t="n">
        <v>0</v>
      </c>
      <c r="E716" s="0" t="s">
        <v>522</v>
      </c>
    </row>
    <row r="717" customFormat="false" ht="15" hidden="false" customHeight="false" outlineLevel="0" collapsed="false">
      <c r="A717" s="0" t="s">
        <v>115</v>
      </c>
      <c r="B717" s="0" t="n">
        <v>2022</v>
      </c>
      <c r="C717" s="0" t="s">
        <v>54</v>
      </c>
      <c r="D717" s="0" t="n">
        <v>46724</v>
      </c>
      <c r="E717" s="0" t="s">
        <v>523</v>
      </c>
      <c r="F717" s="0" t="s">
        <v>524</v>
      </c>
      <c r="G717" s="0" t="s">
        <v>114</v>
      </c>
      <c r="H717" s="0" t="s">
        <v>887</v>
      </c>
    </row>
    <row r="718" customFormat="false" ht="15" hidden="false" customHeight="false" outlineLevel="0" collapsed="false">
      <c r="A718" s="0" t="s">
        <v>115</v>
      </c>
      <c r="B718" s="0" t="n">
        <v>2022</v>
      </c>
      <c r="C718" s="0" t="s">
        <v>55</v>
      </c>
      <c r="D718" s="0" t="n">
        <v>3989009</v>
      </c>
      <c r="E718" s="0" t="s">
        <v>523</v>
      </c>
      <c r="F718" s="0" t="s">
        <v>524</v>
      </c>
      <c r="G718" s="0" t="s">
        <v>114</v>
      </c>
      <c r="H718" s="0" t="s">
        <v>888</v>
      </c>
    </row>
    <row r="719" customFormat="false" ht="15" hidden="false" customHeight="false" outlineLevel="0" collapsed="false">
      <c r="A719" s="0" t="s">
        <v>115</v>
      </c>
      <c r="B719" s="0" t="n">
        <v>2022</v>
      </c>
      <c r="C719" s="0" t="s">
        <v>56</v>
      </c>
      <c r="D719" s="0" t="n">
        <v>3674649</v>
      </c>
      <c r="E719" s="0" t="s">
        <v>523</v>
      </c>
      <c r="F719" s="0" t="s">
        <v>524</v>
      </c>
      <c r="G719" s="0" t="s">
        <v>114</v>
      </c>
      <c r="H719" s="0" t="s">
        <v>889</v>
      </c>
    </row>
    <row r="720" customFormat="false" ht="15" hidden="false" customHeight="false" outlineLevel="0" collapsed="false">
      <c r="A720" s="0" t="s">
        <v>115</v>
      </c>
      <c r="B720" s="0" t="n">
        <v>2022</v>
      </c>
      <c r="C720" s="0" t="s">
        <v>57</v>
      </c>
      <c r="D720" s="0" t="n">
        <v>314360</v>
      </c>
      <c r="E720" s="0" t="s">
        <v>523</v>
      </c>
      <c r="F720" s="0" t="s">
        <v>524</v>
      </c>
      <c r="G720" s="0" t="s">
        <v>114</v>
      </c>
      <c r="H720" s="0" t="s">
        <v>890</v>
      </c>
    </row>
    <row r="721" customFormat="false" ht="15" hidden="false" customHeight="false" outlineLevel="0" collapsed="false">
      <c r="A721" s="0" t="s">
        <v>115</v>
      </c>
      <c r="B721" s="0" t="n">
        <v>2022</v>
      </c>
      <c r="C721" s="0" t="s">
        <v>58</v>
      </c>
      <c r="D721" s="0" t="n">
        <v>297592</v>
      </c>
      <c r="E721" s="0" t="s">
        <v>523</v>
      </c>
      <c r="F721" s="0" t="s">
        <v>524</v>
      </c>
      <c r="G721" s="0" t="s">
        <v>114</v>
      </c>
      <c r="H721" s="0" t="s">
        <v>891</v>
      </c>
    </row>
    <row r="722" customFormat="false" ht="15" hidden="false" customHeight="false" outlineLevel="0" collapsed="false">
      <c r="A722" s="0" t="s">
        <v>115</v>
      </c>
      <c r="B722" s="0" t="n">
        <v>2022</v>
      </c>
      <c r="C722" s="0" t="s">
        <v>59</v>
      </c>
      <c r="D722" s="0" t="n">
        <v>3280454</v>
      </c>
      <c r="E722" s="0" t="s">
        <v>523</v>
      </c>
      <c r="F722" s="0" t="s">
        <v>524</v>
      </c>
      <c r="G722" s="0" t="s">
        <v>114</v>
      </c>
      <c r="H722" s="0" t="s">
        <v>892</v>
      </c>
    </row>
    <row r="723" customFormat="false" ht="15" hidden="false" customHeight="false" outlineLevel="0" collapsed="false">
      <c r="A723" s="0" t="s">
        <v>115</v>
      </c>
      <c r="B723" s="0" t="n">
        <v>2022</v>
      </c>
      <c r="C723" s="0" t="s">
        <v>60</v>
      </c>
      <c r="D723" s="0" t="n">
        <v>2196760</v>
      </c>
      <c r="E723" s="0" t="s">
        <v>523</v>
      </c>
      <c r="F723" s="0" t="s">
        <v>524</v>
      </c>
      <c r="G723" s="0" t="s">
        <v>114</v>
      </c>
      <c r="H723" s="0" t="s">
        <v>893</v>
      </c>
    </row>
    <row r="724" customFormat="false" ht="15" hidden="false" customHeight="false" outlineLevel="0" collapsed="false">
      <c r="A724" s="0" t="s">
        <v>115</v>
      </c>
      <c r="B724" s="0" t="n">
        <v>2022</v>
      </c>
      <c r="C724" s="0" t="s">
        <v>61</v>
      </c>
      <c r="D724" s="0" t="n">
        <v>80548</v>
      </c>
      <c r="E724" s="0" t="s">
        <v>523</v>
      </c>
      <c r="F724" s="0" t="s">
        <v>524</v>
      </c>
      <c r="G724" s="0" t="s">
        <v>114</v>
      </c>
      <c r="H724" s="0" t="s">
        <v>894</v>
      </c>
    </row>
    <row r="725" customFormat="false" ht="15" hidden="false" customHeight="false" outlineLevel="0" collapsed="false">
      <c r="A725" s="0" t="s">
        <v>115</v>
      </c>
      <c r="B725" s="0" t="n">
        <v>2022</v>
      </c>
      <c r="C725" s="0" t="s">
        <v>62</v>
      </c>
      <c r="D725" s="0" t="n">
        <v>2116212</v>
      </c>
      <c r="E725" s="0" t="s">
        <v>523</v>
      </c>
      <c r="F725" s="0" t="s">
        <v>524</v>
      </c>
      <c r="G725" s="0" t="s">
        <v>114</v>
      </c>
      <c r="H725" s="0" t="s">
        <v>895</v>
      </c>
    </row>
    <row r="726" customFormat="false" ht="15" hidden="false" customHeight="false" outlineLevel="0" collapsed="false">
      <c r="A726" s="0" t="s">
        <v>115</v>
      </c>
      <c r="B726" s="0" t="n">
        <v>2022</v>
      </c>
      <c r="C726" s="0" t="s">
        <v>63</v>
      </c>
      <c r="D726" s="0" t="n">
        <v>5443</v>
      </c>
      <c r="E726" s="0" t="s">
        <v>523</v>
      </c>
      <c r="F726" s="0" t="s">
        <v>524</v>
      </c>
      <c r="G726" s="0" t="s">
        <v>114</v>
      </c>
      <c r="H726" s="0" t="s">
        <v>896</v>
      </c>
    </row>
    <row r="727" customFormat="false" ht="15" hidden="false" customHeight="false" outlineLevel="0" collapsed="false">
      <c r="A727" s="0" t="s">
        <v>115</v>
      </c>
      <c r="B727" s="0" t="n">
        <v>2022</v>
      </c>
      <c r="C727" s="0" t="s">
        <v>69</v>
      </c>
      <c r="D727" s="0" t="n">
        <v>18.14</v>
      </c>
      <c r="E727" s="0" t="s">
        <v>523</v>
      </c>
      <c r="F727" s="0" t="s">
        <v>524</v>
      </c>
      <c r="G727" s="0" t="s">
        <v>114</v>
      </c>
      <c r="H727" s="0" t="s">
        <v>897</v>
      </c>
    </row>
    <row r="728" customFormat="false" ht="15" hidden="false" customHeight="false" outlineLevel="0" collapsed="false">
      <c r="A728" s="0" t="s">
        <v>115</v>
      </c>
      <c r="B728" s="0" t="n">
        <v>2022</v>
      </c>
      <c r="C728" s="0" t="s">
        <v>70</v>
      </c>
      <c r="D728" s="0" t="n">
        <v>15</v>
      </c>
      <c r="E728" s="0" t="s">
        <v>523</v>
      </c>
      <c r="F728" s="0" t="s">
        <v>524</v>
      </c>
      <c r="G728" s="0" t="s">
        <v>114</v>
      </c>
      <c r="H728" s="0" t="s">
        <v>898</v>
      </c>
    </row>
    <row r="729" customFormat="false" ht="15" hidden="false" customHeight="false" outlineLevel="0" collapsed="false">
      <c r="A729" s="0" t="s">
        <v>115</v>
      </c>
      <c r="B729" s="0" t="n">
        <v>2022</v>
      </c>
      <c r="C729" s="0" t="s">
        <v>65</v>
      </c>
      <c r="D729" s="0" t="n">
        <v>289500</v>
      </c>
      <c r="E729" s="0" t="s">
        <v>523</v>
      </c>
      <c r="F729" s="0" t="s">
        <v>524</v>
      </c>
      <c r="G729" s="0" t="s">
        <v>114</v>
      </c>
      <c r="H729" s="0" t="s">
        <v>899</v>
      </c>
    </row>
    <row r="730" customFormat="false" ht="15" hidden="false" customHeight="false" outlineLevel="0" collapsed="false">
      <c r="A730" s="0" t="s">
        <v>115</v>
      </c>
      <c r="B730" s="0" t="n">
        <v>2022</v>
      </c>
      <c r="C730" s="0" t="s">
        <v>66</v>
      </c>
      <c r="D730" s="0" t="n">
        <v>1595729</v>
      </c>
      <c r="E730" s="0" t="s">
        <v>523</v>
      </c>
      <c r="F730" s="0" t="s">
        <v>524</v>
      </c>
      <c r="G730" s="0" t="s">
        <v>114</v>
      </c>
      <c r="H730" s="0" t="s">
        <v>900</v>
      </c>
    </row>
    <row r="731" customFormat="false" ht="15" hidden="false" customHeight="false" outlineLevel="0" collapsed="false">
      <c r="A731" s="0" t="s">
        <v>115</v>
      </c>
      <c r="B731" s="0" t="n">
        <v>2022</v>
      </c>
      <c r="C731" s="0" t="s">
        <v>73</v>
      </c>
      <c r="D731" s="0" t="n">
        <v>0</v>
      </c>
      <c r="E731" s="0" t="s">
        <v>539</v>
      </c>
      <c r="F731" s="0" t="s">
        <v>524</v>
      </c>
      <c r="G731" s="0" t="s">
        <v>901</v>
      </c>
      <c r="H731" s="0" t="s">
        <v>902</v>
      </c>
    </row>
    <row r="732" customFormat="false" ht="15" hidden="false" customHeight="false" outlineLevel="0" collapsed="false">
      <c r="A732" s="0" t="s">
        <v>115</v>
      </c>
      <c r="B732" s="0" t="n">
        <v>2022</v>
      </c>
      <c r="C732" s="0" t="s">
        <v>541</v>
      </c>
      <c r="D732" s="0" t="n">
        <v>53677</v>
      </c>
      <c r="E732" s="0" t="s">
        <v>523</v>
      </c>
      <c r="F732" s="0" t="s">
        <v>524</v>
      </c>
      <c r="G732" s="0" t="s">
        <v>114</v>
      </c>
      <c r="H732" s="0" t="s">
        <v>903</v>
      </c>
    </row>
    <row r="733" customFormat="false" ht="15" hidden="false" customHeight="false" outlineLevel="0" collapsed="false">
      <c r="A733" s="0" t="s">
        <v>115</v>
      </c>
      <c r="B733" s="0" t="n">
        <v>2022</v>
      </c>
      <c r="C733" s="0" t="s">
        <v>19</v>
      </c>
      <c r="D733" s="0" t="n">
        <v>3634731.5</v>
      </c>
      <c r="E733" s="0" t="s">
        <v>522</v>
      </c>
    </row>
    <row r="734" customFormat="false" ht="15" hidden="false" customHeight="false" outlineLevel="0" collapsed="false">
      <c r="A734" s="0" t="s">
        <v>115</v>
      </c>
      <c r="B734" s="0" t="n">
        <v>2022</v>
      </c>
      <c r="C734" s="0" t="s">
        <v>41</v>
      </c>
      <c r="D734" s="0" t="n">
        <v>1.28548697476003</v>
      </c>
      <c r="E734" s="0" t="s">
        <v>522</v>
      </c>
    </row>
    <row r="735" customFormat="false" ht="15" hidden="false" customHeight="false" outlineLevel="0" collapsed="false">
      <c r="A735" s="0" t="s">
        <v>115</v>
      </c>
      <c r="B735" s="0" t="n">
        <v>2022</v>
      </c>
      <c r="C735" s="0" t="s">
        <v>27</v>
      </c>
      <c r="D735" s="0" t="n">
        <v>7.88065406721319</v>
      </c>
      <c r="E735" s="0" t="s">
        <v>522</v>
      </c>
    </row>
    <row r="736" customFormat="false" ht="15" hidden="false" customHeight="false" outlineLevel="0" collapsed="false">
      <c r="A736" s="0" t="s">
        <v>115</v>
      </c>
      <c r="B736" s="0" t="n">
        <v>2022</v>
      </c>
      <c r="C736" s="0" t="s">
        <v>39</v>
      </c>
      <c r="D736" s="0" t="n">
        <v>8.18745483676029</v>
      </c>
      <c r="E736" s="0" t="s">
        <v>522</v>
      </c>
    </row>
    <row r="737" customFormat="false" ht="15" hidden="false" customHeight="false" outlineLevel="0" collapsed="false">
      <c r="A737" s="0" t="s">
        <v>115</v>
      </c>
      <c r="B737" s="0" t="n">
        <v>2022</v>
      </c>
      <c r="C737" s="0" t="s">
        <v>17</v>
      </c>
      <c r="D737" s="0" t="n">
        <v>3.66667273621151</v>
      </c>
      <c r="E737" s="0" t="s">
        <v>522</v>
      </c>
    </row>
    <row r="738" customFormat="false" ht="15" hidden="false" customHeight="false" outlineLevel="0" collapsed="false">
      <c r="A738" s="0" t="s">
        <v>115</v>
      </c>
      <c r="B738" s="0" t="n">
        <v>2022</v>
      </c>
      <c r="C738" s="0" t="s">
        <v>25</v>
      </c>
      <c r="D738" s="0" t="n">
        <v>18.1421782771385</v>
      </c>
      <c r="E738" s="0" t="s">
        <v>522</v>
      </c>
    </row>
    <row r="739" customFormat="false" ht="15" hidden="false" customHeight="false" outlineLevel="0" collapsed="false">
      <c r="A739" s="0" t="s">
        <v>115</v>
      </c>
      <c r="B739" s="0" t="n">
        <v>2022</v>
      </c>
      <c r="C739" s="0" t="s">
        <v>29</v>
      </c>
      <c r="D739" s="0" t="n">
        <v>0.149749713286937</v>
      </c>
      <c r="E739" s="0" t="s">
        <v>522</v>
      </c>
    </row>
    <row r="740" customFormat="false" ht="15" hidden="false" customHeight="false" outlineLevel="0" collapsed="false">
      <c r="A740" s="0" t="s">
        <v>115</v>
      </c>
      <c r="B740" s="0" t="n">
        <v>2022</v>
      </c>
      <c r="C740" s="0" t="s">
        <v>43</v>
      </c>
      <c r="D740" s="0" t="n">
        <v>1.17131849038195</v>
      </c>
      <c r="E740" s="0" t="s">
        <v>522</v>
      </c>
    </row>
    <row r="741" customFormat="false" ht="15" hidden="false" customHeight="false" outlineLevel="0" collapsed="false">
      <c r="A741" s="0" t="s">
        <v>115</v>
      </c>
      <c r="B741" s="0" t="n">
        <v>2022</v>
      </c>
      <c r="C741" s="0" t="s">
        <v>31</v>
      </c>
      <c r="D741" s="0" t="n">
        <v>92.1193459327868</v>
      </c>
      <c r="E741" s="0" t="s">
        <v>522</v>
      </c>
    </row>
    <row r="742" customFormat="false" ht="15" hidden="false" customHeight="false" outlineLevel="0" collapsed="false">
      <c r="A742" s="0" t="s">
        <v>115</v>
      </c>
      <c r="B742" s="0" t="n">
        <v>2022</v>
      </c>
      <c r="C742" s="0" t="s">
        <v>33</v>
      </c>
      <c r="D742" s="0" t="n">
        <v>15.1990533870896</v>
      </c>
      <c r="E742" s="0" t="s">
        <v>522</v>
      </c>
    </row>
    <row r="743" customFormat="false" ht="15" hidden="false" customHeight="false" outlineLevel="0" collapsed="false">
      <c r="A743" s="0" t="s">
        <v>115</v>
      </c>
      <c r="B743" s="0" t="n">
        <v>2022</v>
      </c>
      <c r="C743" s="0" t="s">
        <v>21</v>
      </c>
      <c r="D743" s="0" t="n">
        <v>0</v>
      </c>
      <c r="E743" s="0" t="s">
        <v>522</v>
      </c>
    </row>
    <row r="744" customFormat="false" ht="15" hidden="false" customHeight="false" outlineLevel="0" collapsed="false">
      <c r="A744" s="0" t="s">
        <v>115</v>
      </c>
      <c r="B744" s="0" t="n">
        <v>2022</v>
      </c>
      <c r="C744" s="0" t="s">
        <v>35</v>
      </c>
      <c r="D744" s="0" t="n">
        <v>0</v>
      </c>
      <c r="E744" s="0" t="s">
        <v>522</v>
      </c>
    </row>
    <row r="745" customFormat="false" ht="15" hidden="false" customHeight="false" outlineLevel="0" collapsed="false">
      <c r="A745" s="0" t="s">
        <v>125</v>
      </c>
      <c r="B745" s="0" t="n">
        <v>2013</v>
      </c>
      <c r="C745" s="0" t="s">
        <v>54</v>
      </c>
      <c r="D745" s="0" t="n">
        <v>59365</v>
      </c>
      <c r="E745" s="0" t="s">
        <v>521</v>
      </c>
      <c r="G745" s="0" t="s">
        <v>81</v>
      </c>
    </row>
    <row r="746" customFormat="false" ht="15" hidden="false" customHeight="false" outlineLevel="0" collapsed="false">
      <c r="A746" s="0" t="s">
        <v>125</v>
      </c>
      <c r="B746" s="0" t="n">
        <v>2013</v>
      </c>
      <c r="C746" s="0" t="s">
        <v>55</v>
      </c>
      <c r="D746" s="0" t="n">
        <v>3246579</v>
      </c>
      <c r="E746" s="0" t="s">
        <v>521</v>
      </c>
      <c r="G746" s="0" t="s">
        <v>81</v>
      </c>
    </row>
    <row r="747" customFormat="false" ht="15" hidden="false" customHeight="false" outlineLevel="0" collapsed="false">
      <c r="A747" s="0" t="s">
        <v>125</v>
      </c>
      <c r="B747" s="0" t="n">
        <v>2013</v>
      </c>
      <c r="C747" s="0" t="s">
        <v>56</v>
      </c>
      <c r="D747" s="0" t="n">
        <v>2895870</v>
      </c>
      <c r="E747" s="0" t="s">
        <v>521</v>
      </c>
      <c r="G747" s="0" t="s">
        <v>81</v>
      </c>
    </row>
    <row r="748" customFormat="false" ht="15" hidden="false" customHeight="false" outlineLevel="0" collapsed="false">
      <c r="A748" s="0" t="s">
        <v>125</v>
      </c>
      <c r="B748" s="0" t="n">
        <v>2013</v>
      </c>
      <c r="C748" s="0" t="s">
        <v>57</v>
      </c>
      <c r="D748" s="0" t="n">
        <v>350709</v>
      </c>
      <c r="E748" s="0" t="s">
        <v>521</v>
      </c>
      <c r="G748" s="0" t="s">
        <v>81</v>
      </c>
    </row>
    <row r="749" customFormat="false" ht="15" hidden="false" customHeight="false" outlineLevel="0" collapsed="false">
      <c r="A749" s="0" t="s">
        <v>125</v>
      </c>
      <c r="B749" s="0" t="n">
        <v>2013</v>
      </c>
      <c r="C749" s="0" t="s">
        <v>58</v>
      </c>
      <c r="D749" s="0" t="n">
        <v>179950</v>
      </c>
      <c r="E749" s="0" t="s">
        <v>521</v>
      </c>
      <c r="G749" s="0" t="s">
        <v>81</v>
      </c>
    </row>
    <row r="750" customFormat="false" ht="15" hidden="false" customHeight="false" outlineLevel="0" collapsed="false">
      <c r="A750" s="0" t="s">
        <v>125</v>
      </c>
      <c r="B750" s="0" t="n">
        <v>2013</v>
      </c>
      <c r="C750" s="0" t="s">
        <v>60</v>
      </c>
      <c r="D750" s="0" t="n">
        <v>1515288</v>
      </c>
      <c r="E750" s="0" t="s">
        <v>521</v>
      </c>
      <c r="G750" s="0" t="s">
        <v>81</v>
      </c>
    </row>
    <row r="751" customFormat="false" ht="15" hidden="false" customHeight="false" outlineLevel="0" collapsed="false">
      <c r="A751" s="0" t="s">
        <v>125</v>
      </c>
      <c r="B751" s="0" t="n">
        <v>2013</v>
      </c>
      <c r="C751" s="0" t="s">
        <v>61</v>
      </c>
      <c r="D751" s="0" t="n">
        <v>41449</v>
      </c>
      <c r="E751" s="0" t="s">
        <v>521</v>
      </c>
      <c r="G751" s="0" t="s">
        <v>81</v>
      </c>
    </row>
    <row r="752" customFormat="false" ht="15" hidden="false" customHeight="false" outlineLevel="0" collapsed="false">
      <c r="A752" s="0" t="s">
        <v>125</v>
      </c>
      <c r="B752" s="0" t="n">
        <v>2013</v>
      </c>
      <c r="C752" s="0" t="s">
        <v>63</v>
      </c>
      <c r="D752" s="0" t="n">
        <v>19838</v>
      </c>
      <c r="E752" s="0" t="s">
        <v>521</v>
      </c>
      <c r="G752" s="0" t="s">
        <v>81</v>
      </c>
    </row>
    <row r="753" customFormat="false" ht="15" hidden="false" customHeight="false" outlineLevel="0" collapsed="false">
      <c r="A753" s="0" t="s">
        <v>125</v>
      </c>
      <c r="B753" s="0" t="n">
        <v>2013</v>
      </c>
      <c r="C753" s="0" t="s">
        <v>69</v>
      </c>
      <c r="D753" s="0" t="n">
        <v>13.54</v>
      </c>
      <c r="E753" s="0" t="s">
        <v>521</v>
      </c>
      <c r="G753" s="0" t="s">
        <v>81</v>
      </c>
    </row>
    <row r="754" customFormat="false" ht="15" hidden="false" customHeight="false" outlineLevel="0" collapsed="false">
      <c r="A754" s="0" t="s">
        <v>125</v>
      </c>
      <c r="B754" s="0" t="n">
        <v>2013</v>
      </c>
      <c r="C754" s="0" t="s">
        <v>27</v>
      </c>
      <c r="D754" s="0" t="n">
        <v>10.8024169441126</v>
      </c>
      <c r="E754" s="0" t="s">
        <v>522</v>
      </c>
    </row>
    <row r="755" customFormat="false" ht="15" hidden="false" customHeight="false" outlineLevel="0" collapsed="false">
      <c r="A755" s="0" t="s">
        <v>125</v>
      </c>
      <c r="B755" s="0" t="n">
        <v>2013</v>
      </c>
      <c r="C755" s="0" t="s">
        <v>17</v>
      </c>
      <c r="D755" s="0" t="n">
        <v>2.73538759628533</v>
      </c>
      <c r="E755" s="0" t="s">
        <v>522</v>
      </c>
    </row>
    <row r="756" customFormat="false" ht="15" hidden="false" customHeight="false" outlineLevel="0" collapsed="false">
      <c r="A756" s="0" t="s">
        <v>125</v>
      </c>
      <c r="B756" s="0" t="n">
        <v>2013</v>
      </c>
      <c r="C756" s="0" t="s">
        <v>43</v>
      </c>
      <c r="D756" s="0" t="n">
        <v>1.82854013409192</v>
      </c>
      <c r="E756" s="0" t="s">
        <v>522</v>
      </c>
    </row>
    <row r="757" customFormat="false" ht="15" hidden="false" customHeight="false" outlineLevel="0" collapsed="false">
      <c r="A757" s="0" t="s">
        <v>125</v>
      </c>
      <c r="B757" s="0" t="n">
        <v>2013</v>
      </c>
      <c r="C757" s="0" t="s">
        <v>31</v>
      </c>
      <c r="D757" s="0" t="n">
        <v>89.1975830558875</v>
      </c>
      <c r="E757" s="0" t="s">
        <v>522</v>
      </c>
    </row>
    <row r="758" customFormat="false" ht="15" hidden="false" customHeight="false" outlineLevel="0" collapsed="false">
      <c r="A758" s="0" t="s">
        <v>125</v>
      </c>
      <c r="B758" s="0" t="n">
        <v>2013</v>
      </c>
      <c r="C758" s="0" t="s">
        <v>33</v>
      </c>
      <c r="D758" s="0" t="n">
        <v>14.9931123845327</v>
      </c>
      <c r="E758" s="0" t="s">
        <v>522</v>
      </c>
    </row>
    <row r="759" customFormat="false" ht="15" hidden="false" customHeight="false" outlineLevel="0" collapsed="false">
      <c r="A759" s="0" t="s">
        <v>125</v>
      </c>
      <c r="B759" s="0" t="n">
        <v>2013</v>
      </c>
      <c r="C759" s="0" t="s">
        <v>21</v>
      </c>
      <c r="D759" s="0" t="n">
        <v>0</v>
      </c>
      <c r="E759" s="0" t="s">
        <v>522</v>
      </c>
    </row>
    <row r="760" customFormat="false" ht="15" hidden="false" customHeight="false" outlineLevel="0" collapsed="false">
      <c r="A760" s="0" t="s">
        <v>125</v>
      </c>
      <c r="B760" s="0" t="n">
        <v>2014</v>
      </c>
      <c r="C760" s="0" t="s">
        <v>54</v>
      </c>
      <c r="D760" s="0" t="n">
        <v>79351</v>
      </c>
      <c r="E760" s="0" t="s">
        <v>521</v>
      </c>
      <c r="G760" s="0" t="s">
        <v>81</v>
      </c>
    </row>
    <row r="761" customFormat="false" ht="15" hidden="false" customHeight="false" outlineLevel="0" collapsed="false">
      <c r="A761" s="0" t="s">
        <v>125</v>
      </c>
      <c r="B761" s="0" t="n">
        <v>2014</v>
      </c>
      <c r="C761" s="0" t="s">
        <v>55</v>
      </c>
      <c r="D761" s="0" t="n">
        <v>3490871</v>
      </c>
      <c r="E761" s="0" t="s">
        <v>521</v>
      </c>
      <c r="G761" s="0" t="s">
        <v>81</v>
      </c>
    </row>
    <row r="762" customFormat="false" ht="15" hidden="false" customHeight="false" outlineLevel="0" collapsed="false">
      <c r="A762" s="0" t="s">
        <v>125</v>
      </c>
      <c r="B762" s="0" t="n">
        <v>2014</v>
      </c>
      <c r="C762" s="0" t="s">
        <v>56</v>
      </c>
      <c r="D762" s="0" t="n">
        <v>3067824</v>
      </c>
      <c r="E762" s="0" t="s">
        <v>521</v>
      </c>
      <c r="G762" s="0" t="s">
        <v>81</v>
      </c>
    </row>
    <row r="763" customFormat="false" ht="15" hidden="false" customHeight="false" outlineLevel="0" collapsed="false">
      <c r="A763" s="0" t="s">
        <v>125</v>
      </c>
      <c r="B763" s="0" t="n">
        <v>2014</v>
      </c>
      <c r="C763" s="0" t="s">
        <v>57</v>
      </c>
      <c r="D763" s="0" t="n">
        <v>423047</v>
      </c>
      <c r="E763" s="0" t="s">
        <v>521</v>
      </c>
      <c r="G763" s="0" t="s">
        <v>81</v>
      </c>
    </row>
    <row r="764" customFormat="false" ht="15" hidden="false" customHeight="false" outlineLevel="0" collapsed="false">
      <c r="A764" s="0" t="s">
        <v>125</v>
      </c>
      <c r="B764" s="0" t="n">
        <v>2014</v>
      </c>
      <c r="C764" s="0" t="s">
        <v>58</v>
      </c>
      <c r="D764" s="0" t="n">
        <v>-506665</v>
      </c>
      <c r="E764" s="0" t="s">
        <v>521</v>
      </c>
      <c r="G764" s="0" t="s">
        <v>81</v>
      </c>
    </row>
    <row r="765" customFormat="false" ht="15" hidden="false" customHeight="false" outlineLevel="0" collapsed="false">
      <c r="A765" s="0" t="s">
        <v>125</v>
      </c>
      <c r="B765" s="0" t="n">
        <v>2014</v>
      </c>
      <c r="C765" s="0" t="s">
        <v>59</v>
      </c>
      <c r="D765" s="0" t="n">
        <v>3246579</v>
      </c>
      <c r="E765" s="0" t="s">
        <v>521</v>
      </c>
      <c r="G765" s="0" t="s">
        <v>81</v>
      </c>
    </row>
    <row r="766" customFormat="false" ht="15" hidden="false" customHeight="false" outlineLevel="0" collapsed="false">
      <c r="A766" s="0" t="s">
        <v>125</v>
      </c>
      <c r="B766" s="0" t="n">
        <v>2014</v>
      </c>
      <c r="C766" s="0" t="s">
        <v>60</v>
      </c>
      <c r="D766" s="0" t="n">
        <v>1832107</v>
      </c>
      <c r="E766" s="0" t="s">
        <v>521</v>
      </c>
      <c r="G766" s="0" t="s">
        <v>81</v>
      </c>
    </row>
    <row r="767" customFormat="false" ht="15" hidden="false" customHeight="false" outlineLevel="0" collapsed="false">
      <c r="A767" s="0" t="s">
        <v>125</v>
      </c>
      <c r="B767" s="0" t="n">
        <v>2014</v>
      </c>
      <c r="C767" s="0" t="s">
        <v>61</v>
      </c>
      <c r="D767" s="0" t="n">
        <v>38070</v>
      </c>
      <c r="E767" s="0" t="s">
        <v>521</v>
      </c>
      <c r="G767" s="0" t="s">
        <v>81</v>
      </c>
    </row>
    <row r="768" customFormat="false" ht="15" hidden="false" customHeight="false" outlineLevel="0" collapsed="false">
      <c r="A768" s="0" t="s">
        <v>125</v>
      </c>
      <c r="B768" s="0" t="n">
        <v>2014</v>
      </c>
      <c r="C768" s="0" t="s">
        <v>63</v>
      </c>
      <c r="D768" s="0" t="n">
        <v>20924</v>
      </c>
      <c r="E768" s="0" t="s">
        <v>521</v>
      </c>
      <c r="G768" s="0" t="s">
        <v>81</v>
      </c>
    </row>
    <row r="769" customFormat="false" ht="15" hidden="false" customHeight="false" outlineLevel="0" collapsed="false">
      <c r="A769" s="0" t="s">
        <v>125</v>
      </c>
      <c r="B769" s="0" t="n">
        <v>2014</v>
      </c>
      <c r="C769" s="0" t="s">
        <v>69</v>
      </c>
      <c r="D769" s="0" t="n">
        <v>15.78</v>
      </c>
      <c r="E769" s="0" t="s">
        <v>521</v>
      </c>
      <c r="G769" s="0" t="s">
        <v>81</v>
      </c>
    </row>
    <row r="770" customFormat="false" ht="15" hidden="false" customHeight="false" outlineLevel="0" collapsed="false">
      <c r="A770" s="0" t="s">
        <v>125</v>
      </c>
      <c r="B770" s="0" t="n">
        <v>2014</v>
      </c>
      <c r="C770" s="0" t="s">
        <v>19</v>
      </c>
      <c r="D770" s="0" t="n">
        <v>3368725</v>
      </c>
      <c r="E770" s="0" t="s">
        <v>522</v>
      </c>
    </row>
    <row r="771" customFormat="false" ht="15" hidden="false" customHeight="false" outlineLevel="0" collapsed="false">
      <c r="A771" s="0" t="s">
        <v>125</v>
      </c>
      <c r="B771" s="0" t="n">
        <v>2014</v>
      </c>
      <c r="C771" s="0" t="s">
        <v>41</v>
      </c>
      <c r="D771" s="0" t="n">
        <v>2.35552026360121</v>
      </c>
      <c r="E771" s="0" t="s">
        <v>522</v>
      </c>
    </row>
    <row r="772" customFormat="false" ht="15" hidden="false" customHeight="false" outlineLevel="0" collapsed="false">
      <c r="A772" s="0" t="s">
        <v>125</v>
      </c>
      <c r="B772" s="0" t="n">
        <v>2014</v>
      </c>
      <c r="C772" s="0" t="s">
        <v>27</v>
      </c>
      <c r="D772" s="0" t="n">
        <v>12.1186660864867</v>
      </c>
      <c r="E772" s="0" t="s">
        <v>522</v>
      </c>
    </row>
    <row r="773" customFormat="false" ht="15" hidden="false" customHeight="false" outlineLevel="0" collapsed="false">
      <c r="A773" s="0" t="s">
        <v>125</v>
      </c>
      <c r="B773" s="0" t="n">
        <v>2014</v>
      </c>
      <c r="C773" s="0" t="s">
        <v>39</v>
      </c>
      <c r="D773" s="0" t="n">
        <v>-15.0402600390355</v>
      </c>
      <c r="E773" s="0" t="s">
        <v>522</v>
      </c>
    </row>
    <row r="774" customFormat="false" ht="15" hidden="false" customHeight="false" outlineLevel="0" collapsed="false">
      <c r="A774" s="0" t="s">
        <v>125</v>
      </c>
      <c r="B774" s="0" t="n">
        <v>2014</v>
      </c>
      <c r="C774" s="0" t="s">
        <v>17</v>
      </c>
      <c r="D774" s="0" t="n">
        <v>2.0779354044278</v>
      </c>
      <c r="E774" s="0" t="s">
        <v>522</v>
      </c>
    </row>
    <row r="775" customFormat="false" ht="15" hidden="false" customHeight="false" outlineLevel="0" collapsed="false">
      <c r="A775" s="0" t="s">
        <v>125</v>
      </c>
      <c r="B775" s="0" t="n">
        <v>2014</v>
      </c>
      <c r="C775" s="0" t="s">
        <v>29</v>
      </c>
      <c r="D775" s="0" t="n">
        <v>0.621125203155497</v>
      </c>
      <c r="E775" s="0" t="s">
        <v>522</v>
      </c>
    </row>
    <row r="776" customFormat="false" ht="15" hidden="false" customHeight="false" outlineLevel="0" collapsed="false">
      <c r="A776" s="0" t="s">
        <v>125</v>
      </c>
      <c r="B776" s="0" t="n">
        <v>2014</v>
      </c>
      <c r="C776" s="0" t="s">
        <v>43</v>
      </c>
      <c r="D776" s="0" t="n">
        <v>2.2731003236728</v>
      </c>
      <c r="E776" s="0" t="s">
        <v>522</v>
      </c>
    </row>
    <row r="777" customFormat="false" ht="15" hidden="false" customHeight="false" outlineLevel="0" collapsed="false">
      <c r="A777" s="0" t="s">
        <v>125</v>
      </c>
      <c r="B777" s="0" t="n">
        <v>2014</v>
      </c>
      <c r="C777" s="0" t="s">
        <v>31</v>
      </c>
      <c r="D777" s="0" t="n">
        <v>87.8813339135133</v>
      </c>
      <c r="E777" s="0" t="s">
        <v>522</v>
      </c>
    </row>
    <row r="778" customFormat="false" ht="15" hidden="false" customHeight="false" outlineLevel="0" collapsed="false">
      <c r="A778" s="0" t="s">
        <v>125</v>
      </c>
      <c r="B778" s="0" t="n">
        <v>2014</v>
      </c>
      <c r="C778" s="0" t="s">
        <v>33</v>
      </c>
      <c r="D778" s="0" t="n">
        <v>15.0656618332417</v>
      </c>
      <c r="E778" s="0" t="s">
        <v>522</v>
      </c>
    </row>
    <row r="779" customFormat="false" ht="15" hidden="false" customHeight="false" outlineLevel="0" collapsed="false">
      <c r="A779" s="0" t="s">
        <v>125</v>
      </c>
      <c r="B779" s="0" t="n">
        <v>2014</v>
      </c>
      <c r="C779" s="0" t="s">
        <v>21</v>
      </c>
      <c r="D779" s="0" t="n">
        <v>0</v>
      </c>
      <c r="E779" s="0" t="s">
        <v>522</v>
      </c>
    </row>
    <row r="780" customFormat="false" ht="15" hidden="false" customHeight="false" outlineLevel="0" collapsed="false">
      <c r="A780" s="0" t="s">
        <v>125</v>
      </c>
      <c r="B780" s="0" t="n">
        <v>2015</v>
      </c>
      <c r="C780" s="0" t="s">
        <v>54</v>
      </c>
      <c r="D780" s="0" t="n">
        <v>37</v>
      </c>
      <c r="E780" s="0" t="s">
        <v>523</v>
      </c>
      <c r="F780" s="0" t="s">
        <v>524</v>
      </c>
      <c r="G780" s="0" t="s">
        <v>84</v>
      </c>
      <c r="H780" s="0" t="s">
        <v>904</v>
      </c>
    </row>
    <row r="781" customFormat="false" ht="15" hidden="false" customHeight="false" outlineLevel="0" collapsed="false">
      <c r="A781" s="0" t="s">
        <v>125</v>
      </c>
      <c r="B781" s="0" t="n">
        <v>2015</v>
      </c>
      <c r="C781" s="0" t="s">
        <v>55</v>
      </c>
      <c r="D781" s="0" t="n">
        <v>3332375</v>
      </c>
      <c r="E781" s="0" t="s">
        <v>523</v>
      </c>
      <c r="F781" s="0" t="s">
        <v>524</v>
      </c>
      <c r="G781" s="0" t="s">
        <v>84</v>
      </c>
      <c r="H781" s="0" t="s">
        <v>905</v>
      </c>
    </row>
    <row r="782" customFormat="false" ht="15" hidden="false" customHeight="false" outlineLevel="0" collapsed="false">
      <c r="A782" s="0" t="s">
        <v>125</v>
      </c>
      <c r="B782" s="0" t="n">
        <v>2015</v>
      </c>
      <c r="C782" s="0" t="s">
        <v>56</v>
      </c>
      <c r="D782" s="0" t="n">
        <v>2872628</v>
      </c>
      <c r="E782" s="0" t="s">
        <v>523</v>
      </c>
      <c r="F782" s="0" t="s">
        <v>524</v>
      </c>
      <c r="G782" s="0" t="s">
        <v>84</v>
      </c>
      <c r="H782" s="0" t="s">
        <v>906</v>
      </c>
    </row>
    <row r="783" customFormat="false" ht="15" hidden="false" customHeight="false" outlineLevel="0" collapsed="false">
      <c r="A783" s="0" t="s">
        <v>125</v>
      </c>
      <c r="B783" s="0" t="n">
        <v>2015</v>
      </c>
      <c r="C783" s="0" t="s">
        <v>57</v>
      </c>
      <c r="D783" s="0" t="n">
        <v>459747</v>
      </c>
      <c r="E783" s="0" t="s">
        <v>523</v>
      </c>
      <c r="F783" s="0" t="s">
        <v>524</v>
      </c>
      <c r="G783" s="0" t="s">
        <v>84</v>
      </c>
      <c r="H783" s="0" t="s">
        <v>907</v>
      </c>
    </row>
    <row r="784" customFormat="false" ht="15" hidden="false" customHeight="false" outlineLevel="0" collapsed="false">
      <c r="A784" s="0" t="s">
        <v>125</v>
      </c>
      <c r="B784" s="0" t="n">
        <v>2015</v>
      </c>
      <c r="C784" s="0" t="s">
        <v>58</v>
      </c>
      <c r="D784" s="0" t="n">
        <v>305952</v>
      </c>
      <c r="E784" s="0" t="s">
        <v>523</v>
      </c>
      <c r="F784" s="0" t="s">
        <v>524</v>
      </c>
      <c r="G784" s="0" t="s">
        <v>84</v>
      </c>
      <c r="H784" s="0" t="s">
        <v>908</v>
      </c>
    </row>
    <row r="785" customFormat="false" ht="15" hidden="false" customHeight="false" outlineLevel="0" collapsed="false">
      <c r="A785" s="0" t="s">
        <v>125</v>
      </c>
      <c r="B785" s="0" t="n">
        <v>2015</v>
      </c>
      <c r="C785" s="0" t="s">
        <v>59</v>
      </c>
      <c r="D785" s="0" t="n">
        <v>3490871</v>
      </c>
      <c r="E785" s="0" t="s">
        <v>523</v>
      </c>
      <c r="F785" s="0" t="s">
        <v>524</v>
      </c>
      <c r="G785" s="0" t="s">
        <v>84</v>
      </c>
      <c r="H785" s="0" t="s">
        <v>909</v>
      </c>
    </row>
    <row r="786" customFormat="false" ht="15" hidden="false" customHeight="false" outlineLevel="0" collapsed="false">
      <c r="A786" s="0" t="s">
        <v>125</v>
      </c>
      <c r="B786" s="0" t="n">
        <v>2015</v>
      </c>
      <c r="C786" s="0" t="s">
        <v>60</v>
      </c>
      <c r="D786" s="0" t="n">
        <v>1594936</v>
      </c>
      <c r="E786" s="0" t="s">
        <v>523</v>
      </c>
      <c r="F786" s="0" t="s">
        <v>524</v>
      </c>
      <c r="G786" s="0" t="s">
        <v>84</v>
      </c>
      <c r="H786" s="0" t="s">
        <v>910</v>
      </c>
    </row>
    <row r="787" customFormat="false" ht="15" hidden="false" customHeight="false" outlineLevel="0" collapsed="false">
      <c r="A787" s="0" t="s">
        <v>125</v>
      </c>
      <c r="B787" s="0" t="n">
        <v>2015</v>
      </c>
      <c r="C787" s="0" t="s">
        <v>61</v>
      </c>
      <c r="D787" s="0" t="n">
        <v>137651</v>
      </c>
      <c r="E787" s="0" t="s">
        <v>523</v>
      </c>
      <c r="F787" s="0" t="s">
        <v>524</v>
      </c>
      <c r="G787" s="0" t="s">
        <v>84</v>
      </c>
      <c r="H787" s="0" t="s">
        <v>911</v>
      </c>
    </row>
    <row r="788" customFormat="false" ht="15" hidden="false" customHeight="false" outlineLevel="0" collapsed="false">
      <c r="A788" s="0" t="s">
        <v>125</v>
      </c>
      <c r="B788" s="0" t="n">
        <v>2015</v>
      </c>
      <c r="C788" s="0" t="s">
        <v>62</v>
      </c>
      <c r="D788" s="0" t="n">
        <v>1457285</v>
      </c>
      <c r="E788" s="0" t="s">
        <v>523</v>
      </c>
      <c r="F788" s="0" t="s">
        <v>524</v>
      </c>
      <c r="G788" s="0" t="s">
        <v>84</v>
      </c>
      <c r="H788" s="0" t="s">
        <v>912</v>
      </c>
    </row>
    <row r="789" customFormat="false" ht="15" hidden="false" customHeight="false" outlineLevel="0" collapsed="false">
      <c r="A789" s="0" t="s">
        <v>125</v>
      </c>
      <c r="B789" s="0" t="n">
        <v>2015</v>
      </c>
      <c r="C789" s="0" t="s">
        <v>63</v>
      </c>
      <c r="D789" s="0" t="n">
        <v>120046</v>
      </c>
      <c r="E789" s="0" t="s">
        <v>523</v>
      </c>
      <c r="F789" s="0" t="s">
        <v>524</v>
      </c>
      <c r="G789" s="0" t="s">
        <v>84</v>
      </c>
      <c r="H789" s="0" t="s">
        <v>913</v>
      </c>
    </row>
    <row r="790" customFormat="false" ht="15" hidden="false" customHeight="false" outlineLevel="0" collapsed="false">
      <c r="A790" s="0" t="s">
        <v>125</v>
      </c>
      <c r="B790" s="0" t="n">
        <v>2015</v>
      </c>
      <c r="C790" s="0" t="s">
        <v>69</v>
      </c>
      <c r="D790" s="0" t="n">
        <v>17.08</v>
      </c>
      <c r="E790" s="0" t="s">
        <v>523</v>
      </c>
      <c r="F790" s="0" t="s">
        <v>524</v>
      </c>
      <c r="G790" s="0" t="s">
        <v>84</v>
      </c>
      <c r="H790" s="0" t="s">
        <v>914</v>
      </c>
    </row>
    <row r="791" customFormat="false" ht="15" hidden="false" customHeight="false" outlineLevel="0" collapsed="false">
      <c r="A791" s="0" t="s">
        <v>125</v>
      </c>
      <c r="B791" s="0" t="n">
        <v>2015</v>
      </c>
      <c r="C791" s="0" t="s">
        <v>70</v>
      </c>
      <c r="D791" s="0" t="n">
        <v>15</v>
      </c>
      <c r="E791" s="0" t="s">
        <v>523</v>
      </c>
      <c r="F791" s="0" t="s">
        <v>524</v>
      </c>
      <c r="G791" s="0" t="s">
        <v>84</v>
      </c>
      <c r="H791" s="0" t="s">
        <v>915</v>
      </c>
    </row>
    <row r="792" customFormat="false" ht="15" hidden="false" customHeight="false" outlineLevel="0" collapsed="false">
      <c r="A792" s="0" t="s">
        <v>125</v>
      </c>
      <c r="B792" s="0" t="n">
        <v>2015</v>
      </c>
      <c r="C792" s="0" t="s">
        <v>65</v>
      </c>
      <c r="D792" s="0" t="n">
        <v>430099</v>
      </c>
      <c r="E792" s="0" t="s">
        <v>523</v>
      </c>
      <c r="F792" s="0" t="s">
        <v>524</v>
      </c>
      <c r="G792" s="0" t="s">
        <v>84</v>
      </c>
      <c r="H792" s="0" t="s">
        <v>916</v>
      </c>
    </row>
    <row r="793" customFormat="false" ht="15" hidden="false" customHeight="false" outlineLevel="0" collapsed="false">
      <c r="A793" s="0" t="s">
        <v>125</v>
      </c>
      <c r="B793" s="0" t="n">
        <v>2015</v>
      </c>
      <c r="C793" s="0" t="s">
        <v>66</v>
      </c>
      <c r="D793" s="0" t="n">
        <v>2518285</v>
      </c>
      <c r="E793" s="0" t="s">
        <v>523</v>
      </c>
      <c r="F793" s="0" t="s">
        <v>524</v>
      </c>
      <c r="G793" s="0" t="s">
        <v>84</v>
      </c>
      <c r="H793" s="0" t="s">
        <v>917</v>
      </c>
    </row>
    <row r="794" customFormat="false" ht="15" hidden="false" customHeight="false" outlineLevel="0" collapsed="false">
      <c r="A794" s="0" t="s">
        <v>125</v>
      </c>
      <c r="B794" s="0" t="n">
        <v>2015</v>
      </c>
      <c r="C794" s="0" t="s">
        <v>541</v>
      </c>
      <c r="D794" s="0" t="n">
        <v>2816</v>
      </c>
      <c r="E794" s="0" t="s">
        <v>523</v>
      </c>
      <c r="F794" s="0" t="s">
        <v>524</v>
      </c>
      <c r="G794" s="0" t="s">
        <v>84</v>
      </c>
      <c r="H794" s="0" t="s">
        <v>918</v>
      </c>
    </row>
    <row r="795" customFormat="false" ht="15" hidden="false" customHeight="false" outlineLevel="0" collapsed="false">
      <c r="A795" s="0" t="s">
        <v>125</v>
      </c>
      <c r="B795" s="0" t="n">
        <v>2015</v>
      </c>
      <c r="C795" s="0" t="s">
        <v>543</v>
      </c>
      <c r="D795" s="0" t="n">
        <v>111378</v>
      </c>
      <c r="E795" s="0" t="s">
        <v>523</v>
      </c>
      <c r="F795" s="0" t="s">
        <v>524</v>
      </c>
      <c r="G795" s="0" t="s">
        <v>84</v>
      </c>
      <c r="H795" s="0" t="s">
        <v>919</v>
      </c>
    </row>
    <row r="796" customFormat="false" ht="15" hidden="false" customHeight="false" outlineLevel="0" collapsed="false">
      <c r="A796" s="0" t="s">
        <v>125</v>
      </c>
      <c r="B796" s="0" t="n">
        <v>2015</v>
      </c>
      <c r="C796" s="0" t="s">
        <v>545</v>
      </c>
      <c r="D796" s="0" t="n">
        <v>26273</v>
      </c>
      <c r="E796" s="0" t="s">
        <v>523</v>
      </c>
      <c r="F796" s="0" t="s">
        <v>524</v>
      </c>
      <c r="G796" s="0" t="s">
        <v>84</v>
      </c>
      <c r="H796" s="0" t="s">
        <v>920</v>
      </c>
    </row>
    <row r="797" customFormat="false" ht="15" hidden="false" customHeight="false" outlineLevel="0" collapsed="false">
      <c r="A797" s="0" t="s">
        <v>125</v>
      </c>
      <c r="B797" s="0" t="n">
        <v>2015</v>
      </c>
      <c r="C797" s="0" t="s">
        <v>19</v>
      </c>
      <c r="D797" s="0" t="n">
        <v>3411623</v>
      </c>
      <c r="E797" s="0" t="s">
        <v>522</v>
      </c>
    </row>
    <row r="798" customFormat="false" ht="15" hidden="false" customHeight="false" outlineLevel="0" collapsed="false">
      <c r="A798" s="0" t="s">
        <v>125</v>
      </c>
      <c r="B798" s="0" t="n">
        <v>2015</v>
      </c>
      <c r="C798" s="0" t="s">
        <v>41</v>
      </c>
      <c r="D798" s="0" t="n">
        <v>0.00108452780392206</v>
      </c>
      <c r="E798" s="0" t="s">
        <v>522</v>
      </c>
    </row>
    <row r="799" customFormat="false" ht="15" hidden="false" customHeight="false" outlineLevel="0" collapsed="false">
      <c r="A799" s="0" t="s">
        <v>125</v>
      </c>
      <c r="B799" s="0" t="n">
        <v>2015</v>
      </c>
      <c r="C799" s="0" t="s">
        <v>27</v>
      </c>
      <c r="D799" s="0" t="n">
        <v>13.7963764582317</v>
      </c>
      <c r="E799" s="0" t="s">
        <v>522</v>
      </c>
    </row>
    <row r="800" customFormat="false" ht="15" hidden="false" customHeight="false" outlineLevel="0" collapsed="false">
      <c r="A800" s="0" t="s">
        <v>125</v>
      </c>
      <c r="B800" s="0" t="n">
        <v>2015</v>
      </c>
      <c r="C800" s="0" t="s">
        <v>39</v>
      </c>
      <c r="D800" s="0" t="n">
        <v>8.96793109906927</v>
      </c>
      <c r="E800" s="0" t="s">
        <v>522</v>
      </c>
    </row>
    <row r="801" customFormat="false" ht="15" hidden="false" customHeight="false" outlineLevel="0" collapsed="false">
      <c r="A801" s="0" t="s">
        <v>125</v>
      </c>
      <c r="B801" s="0" t="n">
        <v>2015</v>
      </c>
      <c r="C801" s="0" t="s">
        <v>17</v>
      </c>
      <c r="D801" s="0" t="n">
        <v>8.63050304212834</v>
      </c>
      <c r="E801" s="0" t="s">
        <v>522</v>
      </c>
    </row>
    <row r="802" customFormat="false" ht="15" hidden="false" customHeight="false" outlineLevel="0" collapsed="false">
      <c r="A802" s="0" t="s">
        <v>125</v>
      </c>
      <c r="B802" s="0" t="n">
        <v>2015</v>
      </c>
      <c r="C802" s="0" t="s">
        <v>25</v>
      </c>
      <c r="D802" s="0" t="n">
        <v>17.0790438731121</v>
      </c>
      <c r="E802" s="0" t="s">
        <v>522</v>
      </c>
    </row>
    <row r="803" customFormat="false" ht="15" hidden="false" customHeight="false" outlineLevel="0" collapsed="false">
      <c r="A803" s="0" t="s">
        <v>125</v>
      </c>
      <c r="B803" s="0" t="n">
        <v>2015</v>
      </c>
      <c r="C803" s="0" t="s">
        <v>29</v>
      </c>
      <c r="D803" s="0" t="n">
        <v>3.518735804044</v>
      </c>
      <c r="E803" s="0" t="s">
        <v>522</v>
      </c>
    </row>
    <row r="804" customFormat="false" ht="15" hidden="false" customHeight="false" outlineLevel="0" collapsed="false">
      <c r="A804" s="0" t="s">
        <v>125</v>
      </c>
      <c r="B804" s="0" t="n">
        <v>2015</v>
      </c>
      <c r="C804" s="0" t="s">
        <v>43</v>
      </c>
      <c r="D804" s="0" t="n">
        <v>0.00111031921677482</v>
      </c>
      <c r="E804" s="0" t="s">
        <v>522</v>
      </c>
    </row>
    <row r="805" customFormat="false" ht="15" hidden="false" customHeight="false" outlineLevel="0" collapsed="false">
      <c r="A805" s="0" t="s">
        <v>125</v>
      </c>
      <c r="B805" s="0" t="n">
        <v>2015</v>
      </c>
      <c r="C805" s="0" t="s">
        <v>31</v>
      </c>
      <c r="D805" s="0" t="n">
        <v>86.2036235417683</v>
      </c>
      <c r="E805" s="0" t="s">
        <v>522</v>
      </c>
    </row>
    <row r="806" customFormat="false" ht="15" hidden="false" customHeight="false" outlineLevel="0" collapsed="false">
      <c r="A806" s="0" t="s">
        <v>125</v>
      </c>
      <c r="B806" s="0" t="n">
        <v>2015</v>
      </c>
      <c r="C806" s="0" t="s">
        <v>33</v>
      </c>
      <c r="D806" s="0" t="n">
        <v>15.0191958209542</v>
      </c>
      <c r="E806" s="0" t="s">
        <v>522</v>
      </c>
    </row>
    <row r="807" customFormat="false" ht="15" hidden="false" customHeight="false" outlineLevel="0" collapsed="false">
      <c r="A807" s="0" t="s">
        <v>125</v>
      </c>
      <c r="B807" s="0" t="n">
        <v>2015</v>
      </c>
      <c r="C807" s="0" t="s">
        <v>21</v>
      </c>
      <c r="D807" s="0" t="n">
        <v>0</v>
      </c>
      <c r="E807" s="0" t="s">
        <v>522</v>
      </c>
    </row>
    <row r="808" customFormat="false" ht="15" hidden="false" customHeight="false" outlineLevel="0" collapsed="false">
      <c r="A808" s="0" t="s">
        <v>125</v>
      </c>
      <c r="B808" s="0" t="n">
        <v>2015</v>
      </c>
      <c r="C808" s="0" t="s">
        <v>35</v>
      </c>
      <c r="D808" s="0" t="n">
        <v>0</v>
      </c>
      <c r="E808" s="0" t="s">
        <v>522</v>
      </c>
    </row>
    <row r="809" customFormat="false" ht="15" hidden="false" customHeight="false" outlineLevel="0" collapsed="false">
      <c r="A809" s="0" t="s">
        <v>125</v>
      </c>
      <c r="B809" s="0" t="n">
        <v>2016</v>
      </c>
      <c r="C809" s="0" t="s">
        <v>54</v>
      </c>
      <c r="D809" s="0" t="n">
        <v>50072</v>
      </c>
      <c r="E809" s="0" t="s">
        <v>523</v>
      </c>
      <c r="F809" s="0" t="s">
        <v>524</v>
      </c>
      <c r="G809" s="0" t="s">
        <v>129</v>
      </c>
      <c r="H809" s="0" t="s">
        <v>921</v>
      </c>
    </row>
    <row r="810" customFormat="false" ht="15" hidden="false" customHeight="false" outlineLevel="0" collapsed="false">
      <c r="A810" s="0" t="s">
        <v>125</v>
      </c>
      <c r="B810" s="0" t="n">
        <v>2016</v>
      </c>
      <c r="C810" s="0" t="s">
        <v>55</v>
      </c>
      <c r="D810" s="0" t="n">
        <v>3557782</v>
      </c>
      <c r="E810" s="0" t="s">
        <v>523</v>
      </c>
      <c r="F810" s="0" t="s">
        <v>524</v>
      </c>
      <c r="G810" s="0" t="s">
        <v>129</v>
      </c>
      <c r="H810" s="0" t="s">
        <v>922</v>
      </c>
    </row>
    <row r="811" customFormat="false" ht="15" hidden="false" customHeight="false" outlineLevel="0" collapsed="false">
      <c r="A811" s="0" t="s">
        <v>125</v>
      </c>
      <c r="B811" s="0" t="n">
        <v>2016</v>
      </c>
      <c r="C811" s="0" t="s">
        <v>56</v>
      </c>
      <c r="D811" s="0" t="n">
        <v>3071695</v>
      </c>
      <c r="E811" s="0" t="s">
        <v>523</v>
      </c>
      <c r="F811" s="0" t="s">
        <v>524</v>
      </c>
      <c r="G811" s="0" t="s">
        <v>129</v>
      </c>
      <c r="H811" s="0" t="s">
        <v>923</v>
      </c>
    </row>
    <row r="812" customFormat="false" ht="15" hidden="false" customHeight="false" outlineLevel="0" collapsed="false">
      <c r="A812" s="0" t="s">
        <v>125</v>
      </c>
      <c r="B812" s="0" t="n">
        <v>2016</v>
      </c>
      <c r="C812" s="0" t="s">
        <v>57</v>
      </c>
      <c r="D812" s="0" t="n">
        <v>486087</v>
      </c>
      <c r="E812" s="0" t="s">
        <v>523</v>
      </c>
      <c r="F812" s="0" t="s">
        <v>524</v>
      </c>
      <c r="G812" s="0" t="s">
        <v>129</v>
      </c>
      <c r="H812" s="0" t="s">
        <v>924</v>
      </c>
    </row>
    <row r="813" customFormat="false" ht="15" hidden="false" customHeight="false" outlineLevel="0" collapsed="false">
      <c r="A813" s="0" t="s">
        <v>125</v>
      </c>
      <c r="B813" s="0" t="n">
        <v>2016</v>
      </c>
      <c r="C813" s="0" t="s">
        <v>58</v>
      </c>
      <c r="D813" s="0" t="n">
        <v>-171230</v>
      </c>
      <c r="E813" s="0" t="s">
        <v>523</v>
      </c>
      <c r="F813" s="0" t="s">
        <v>524</v>
      </c>
      <c r="G813" s="0" t="s">
        <v>129</v>
      </c>
      <c r="H813" s="0" t="s">
        <v>925</v>
      </c>
    </row>
    <row r="814" customFormat="false" ht="15" hidden="false" customHeight="false" outlineLevel="0" collapsed="false">
      <c r="A814" s="0" t="s">
        <v>125</v>
      </c>
      <c r="B814" s="0" t="n">
        <v>2016</v>
      </c>
      <c r="C814" s="0" t="s">
        <v>60</v>
      </c>
      <c r="D814" s="0" t="n">
        <v>1933407</v>
      </c>
      <c r="E814" s="0" t="s">
        <v>523</v>
      </c>
      <c r="F814" s="0" t="s">
        <v>524</v>
      </c>
      <c r="G814" s="0" t="s">
        <v>129</v>
      </c>
      <c r="H814" s="0" t="s">
        <v>926</v>
      </c>
    </row>
    <row r="815" customFormat="false" ht="15" hidden="false" customHeight="false" outlineLevel="0" collapsed="false">
      <c r="A815" s="0" t="s">
        <v>125</v>
      </c>
      <c r="B815" s="0" t="n">
        <v>2016</v>
      </c>
      <c r="C815" s="0" t="s">
        <v>61</v>
      </c>
      <c r="D815" s="0" t="n">
        <v>240695</v>
      </c>
      <c r="E815" s="0" t="s">
        <v>523</v>
      </c>
      <c r="F815" s="0" t="s">
        <v>524</v>
      </c>
      <c r="G815" s="0" t="s">
        <v>129</v>
      </c>
      <c r="H815" s="0" t="s">
        <v>927</v>
      </c>
    </row>
    <row r="816" customFormat="false" ht="15" hidden="false" customHeight="false" outlineLevel="0" collapsed="false">
      <c r="A816" s="0" t="s">
        <v>125</v>
      </c>
      <c r="B816" s="0" t="n">
        <v>2016</v>
      </c>
      <c r="C816" s="0" t="s">
        <v>62</v>
      </c>
      <c r="D816" s="0" t="n">
        <v>1692712</v>
      </c>
      <c r="E816" s="0" t="s">
        <v>523</v>
      </c>
      <c r="F816" s="0" t="s">
        <v>524</v>
      </c>
      <c r="G816" s="0" t="s">
        <v>129</v>
      </c>
      <c r="H816" s="0" t="s">
        <v>928</v>
      </c>
    </row>
    <row r="817" customFormat="false" ht="15" hidden="false" customHeight="false" outlineLevel="0" collapsed="false">
      <c r="A817" s="0" t="s">
        <v>125</v>
      </c>
      <c r="B817" s="0" t="n">
        <v>2016</v>
      </c>
      <c r="C817" s="0" t="s">
        <v>307</v>
      </c>
      <c r="D817" s="0" t="n">
        <v>159841</v>
      </c>
      <c r="E817" s="0" t="s">
        <v>523</v>
      </c>
      <c r="F817" s="0" t="s">
        <v>524</v>
      </c>
      <c r="G817" s="0" t="s">
        <v>129</v>
      </c>
      <c r="H817" s="0" t="s">
        <v>929</v>
      </c>
    </row>
    <row r="818" customFormat="false" ht="15" hidden="false" customHeight="false" outlineLevel="0" collapsed="false">
      <c r="A818" s="0" t="s">
        <v>125</v>
      </c>
      <c r="B818" s="0" t="n">
        <v>2016</v>
      </c>
      <c r="C818" s="0" t="s">
        <v>69</v>
      </c>
      <c r="D818" s="0" t="n">
        <v>17.79</v>
      </c>
      <c r="E818" s="0" t="s">
        <v>523</v>
      </c>
      <c r="F818" s="0" t="s">
        <v>524</v>
      </c>
      <c r="G818" s="0" t="s">
        <v>129</v>
      </c>
      <c r="H818" s="0" t="s">
        <v>930</v>
      </c>
    </row>
    <row r="819" customFormat="false" ht="15" hidden="false" customHeight="false" outlineLevel="0" collapsed="false">
      <c r="A819" s="0" t="s">
        <v>125</v>
      </c>
      <c r="B819" s="0" t="n">
        <v>2016</v>
      </c>
      <c r="C819" s="0" t="s">
        <v>70</v>
      </c>
      <c r="D819" s="0" t="n">
        <v>15</v>
      </c>
      <c r="E819" s="0" t="s">
        <v>523</v>
      </c>
      <c r="F819" s="0" t="s">
        <v>524</v>
      </c>
      <c r="G819" s="0" t="s">
        <v>129</v>
      </c>
      <c r="H819" s="0" t="s">
        <v>931</v>
      </c>
    </row>
    <row r="820" customFormat="false" ht="15" hidden="false" customHeight="false" outlineLevel="0" collapsed="false">
      <c r="A820" s="0" t="s">
        <v>125</v>
      </c>
      <c r="B820" s="0" t="n">
        <v>2016</v>
      </c>
      <c r="C820" s="0" t="s">
        <v>65</v>
      </c>
      <c r="D820" s="0" t="n">
        <v>501256</v>
      </c>
      <c r="E820" s="0" t="s">
        <v>523</v>
      </c>
      <c r="F820" s="0" t="s">
        <v>524</v>
      </c>
      <c r="G820" s="0" t="s">
        <v>129</v>
      </c>
      <c r="H820" s="0" t="s">
        <v>932</v>
      </c>
    </row>
    <row r="821" customFormat="false" ht="15" hidden="false" customHeight="false" outlineLevel="0" collapsed="false">
      <c r="A821" s="0" t="s">
        <v>125</v>
      </c>
      <c r="B821" s="0" t="n">
        <v>2016</v>
      </c>
      <c r="C821" s="0" t="s">
        <v>66</v>
      </c>
      <c r="D821" s="0" t="n">
        <v>2818158</v>
      </c>
      <c r="E821" s="0" t="s">
        <v>523</v>
      </c>
      <c r="F821" s="0" t="s">
        <v>524</v>
      </c>
      <c r="G821" s="0" t="s">
        <v>129</v>
      </c>
      <c r="H821" s="0" t="s">
        <v>933</v>
      </c>
    </row>
    <row r="822" customFormat="false" ht="15" hidden="false" customHeight="false" outlineLevel="0" collapsed="false">
      <c r="A822" s="0" t="s">
        <v>125</v>
      </c>
      <c r="B822" s="0" t="n">
        <v>2016</v>
      </c>
      <c r="C822" s="0" t="s">
        <v>73</v>
      </c>
      <c r="D822" s="0" t="n">
        <v>0</v>
      </c>
      <c r="E822" s="0" t="s">
        <v>539</v>
      </c>
      <c r="F822" s="0" t="s">
        <v>524</v>
      </c>
      <c r="G822" s="0" t="s">
        <v>87</v>
      </c>
      <c r="H822" s="0" t="s">
        <v>934</v>
      </c>
    </row>
    <row r="823" customFormat="false" ht="15" hidden="false" customHeight="false" outlineLevel="0" collapsed="false">
      <c r="A823" s="0" t="s">
        <v>125</v>
      </c>
      <c r="B823" s="0" t="n">
        <v>2016</v>
      </c>
      <c r="C823" s="0" t="s">
        <v>541</v>
      </c>
      <c r="D823" s="0" t="n">
        <v>54733</v>
      </c>
      <c r="E823" s="0" t="s">
        <v>523</v>
      </c>
      <c r="F823" s="0" t="s">
        <v>524</v>
      </c>
      <c r="G823" s="0" t="s">
        <v>129</v>
      </c>
      <c r="H823" s="0" t="s">
        <v>935</v>
      </c>
    </row>
    <row r="824" customFormat="false" ht="15" hidden="false" customHeight="false" outlineLevel="0" collapsed="false">
      <c r="A824" s="0" t="s">
        <v>125</v>
      </c>
      <c r="B824" s="0" t="n">
        <v>2016</v>
      </c>
      <c r="C824" s="0" t="s">
        <v>543</v>
      </c>
      <c r="D824" s="0" t="n">
        <v>210105</v>
      </c>
      <c r="E824" s="0" t="s">
        <v>523</v>
      </c>
      <c r="F824" s="0" t="s">
        <v>524</v>
      </c>
      <c r="G824" s="0" t="s">
        <v>129</v>
      </c>
      <c r="H824" s="0" t="s">
        <v>936</v>
      </c>
    </row>
    <row r="825" customFormat="false" ht="15" hidden="false" customHeight="false" outlineLevel="0" collapsed="false">
      <c r="A825" s="0" t="s">
        <v>125</v>
      </c>
      <c r="B825" s="0" t="n">
        <v>2016</v>
      </c>
      <c r="C825" s="0" t="s">
        <v>545</v>
      </c>
      <c r="D825" s="0" t="n">
        <v>30590</v>
      </c>
      <c r="E825" s="0" t="s">
        <v>523</v>
      </c>
      <c r="F825" s="0" t="s">
        <v>524</v>
      </c>
      <c r="G825" s="0" t="s">
        <v>129</v>
      </c>
      <c r="H825" s="0" t="s">
        <v>937</v>
      </c>
    </row>
    <row r="826" customFormat="false" ht="15" hidden="false" customHeight="false" outlineLevel="0" collapsed="false">
      <c r="A826" s="0" t="s">
        <v>125</v>
      </c>
      <c r="B826" s="0" t="n">
        <v>2016</v>
      </c>
      <c r="C826" s="0" t="s">
        <v>27</v>
      </c>
      <c r="D826" s="0" t="n">
        <v>13.6626414996759</v>
      </c>
      <c r="E826" s="0" t="s">
        <v>522</v>
      </c>
    </row>
    <row r="827" customFormat="false" ht="15" hidden="false" customHeight="false" outlineLevel="0" collapsed="false">
      <c r="A827" s="0" t="s">
        <v>125</v>
      </c>
      <c r="B827" s="0" t="n">
        <v>2016</v>
      </c>
      <c r="C827" s="0" t="s">
        <v>17</v>
      </c>
      <c r="D827" s="0" t="n">
        <v>12.4492670193084</v>
      </c>
      <c r="E827" s="0" t="s">
        <v>522</v>
      </c>
    </row>
    <row r="828" customFormat="false" ht="15" hidden="false" customHeight="false" outlineLevel="0" collapsed="false">
      <c r="A828" s="0" t="s">
        <v>125</v>
      </c>
      <c r="B828" s="0" t="n">
        <v>2016</v>
      </c>
      <c r="C828" s="0" t="s">
        <v>25</v>
      </c>
      <c r="D828" s="0" t="n">
        <v>17.7866535517171</v>
      </c>
      <c r="E828" s="0" t="s">
        <v>522</v>
      </c>
    </row>
    <row r="829" customFormat="false" ht="15" hidden="false" customHeight="false" outlineLevel="0" collapsed="false">
      <c r="A829" s="0" t="s">
        <v>125</v>
      </c>
      <c r="B829" s="0" t="n">
        <v>2016</v>
      </c>
      <c r="C829" s="0" t="s">
        <v>43</v>
      </c>
      <c r="D829" s="0" t="n">
        <v>1.40739370765269</v>
      </c>
      <c r="E829" s="0" t="s">
        <v>522</v>
      </c>
    </row>
    <row r="830" customFormat="false" ht="15" hidden="false" customHeight="false" outlineLevel="0" collapsed="false">
      <c r="A830" s="0" t="s">
        <v>125</v>
      </c>
      <c r="B830" s="0" t="n">
        <v>2016</v>
      </c>
      <c r="C830" s="0" t="s">
        <v>31</v>
      </c>
      <c r="D830" s="0" t="n">
        <v>86.3373585003241</v>
      </c>
      <c r="E830" s="0" t="s">
        <v>522</v>
      </c>
    </row>
    <row r="831" customFormat="false" ht="15" hidden="false" customHeight="false" outlineLevel="0" collapsed="false">
      <c r="A831" s="0" t="s">
        <v>125</v>
      </c>
      <c r="B831" s="0" t="n">
        <v>2016</v>
      </c>
      <c r="C831" s="0" t="s">
        <v>33</v>
      </c>
      <c r="D831" s="0" t="n">
        <v>15.0846478749542</v>
      </c>
      <c r="E831" s="0" t="s">
        <v>522</v>
      </c>
    </row>
    <row r="832" customFormat="false" ht="15" hidden="false" customHeight="false" outlineLevel="0" collapsed="false">
      <c r="A832" s="0" t="s">
        <v>125</v>
      </c>
      <c r="B832" s="0" t="n">
        <v>2016</v>
      </c>
      <c r="C832" s="0" t="s">
        <v>21</v>
      </c>
      <c r="D832" s="0" t="n">
        <v>0</v>
      </c>
      <c r="E832" s="0" t="s">
        <v>522</v>
      </c>
    </row>
    <row r="833" customFormat="false" ht="15" hidden="false" customHeight="false" outlineLevel="0" collapsed="false">
      <c r="A833" s="0" t="s">
        <v>125</v>
      </c>
      <c r="B833" s="0" t="n">
        <v>2016</v>
      </c>
      <c r="C833" s="0" t="s">
        <v>35</v>
      </c>
      <c r="D833" s="0" t="n">
        <v>0</v>
      </c>
      <c r="E833" s="0" t="s">
        <v>522</v>
      </c>
    </row>
    <row r="834" customFormat="false" ht="15" hidden="false" customHeight="false" outlineLevel="0" collapsed="false">
      <c r="A834" s="0" t="s">
        <v>125</v>
      </c>
      <c r="B834" s="0" t="n">
        <v>2017</v>
      </c>
      <c r="C834" s="0" t="s">
        <v>54</v>
      </c>
      <c r="D834" s="0" t="n">
        <v>46918</v>
      </c>
      <c r="E834" s="0" t="s">
        <v>523</v>
      </c>
      <c r="F834" s="0" t="s">
        <v>524</v>
      </c>
      <c r="G834" s="0" t="s">
        <v>130</v>
      </c>
      <c r="H834" s="0" t="s">
        <v>938</v>
      </c>
    </row>
    <row r="835" customFormat="false" ht="15" hidden="false" customHeight="false" outlineLevel="0" collapsed="false">
      <c r="A835" s="0" t="s">
        <v>125</v>
      </c>
      <c r="B835" s="0" t="n">
        <v>2017</v>
      </c>
      <c r="C835" s="0" t="s">
        <v>55</v>
      </c>
      <c r="D835" s="0" t="n">
        <v>3777039</v>
      </c>
      <c r="E835" s="0" t="s">
        <v>523</v>
      </c>
      <c r="F835" s="0" t="s">
        <v>524</v>
      </c>
      <c r="G835" s="0" t="s">
        <v>130</v>
      </c>
      <c r="H835" s="0" t="s">
        <v>939</v>
      </c>
    </row>
    <row r="836" customFormat="false" ht="15" hidden="false" customHeight="false" outlineLevel="0" collapsed="false">
      <c r="A836" s="0" t="s">
        <v>125</v>
      </c>
      <c r="B836" s="0" t="n">
        <v>2017</v>
      </c>
      <c r="C836" s="0" t="s">
        <v>56</v>
      </c>
      <c r="D836" s="0" t="n">
        <v>3197196</v>
      </c>
      <c r="E836" s="0" t="s">
        <v>523</v>
      </c>
      <c r="F836" s="0" t="s">
        <v>524</v>
      </c>
      <c r="G836" s="0" t="s">
        <v>130</v>
      </c>
      <c r="H836" s="0" t="s">
        <v>940</v>
      </c>
    </row>
    <row r="837" customFormat="false" ht="15" hidden="false" customHeight="false" outlineLevel="0" collapsed="false">
      <c r="A837" s="0" t="s">
        <v>125</v>
      </c>
      <c r="B837" s="0" t="n">
        <v>2017</v>
      </c>
      <c r="C837" s="0" t="s">
        <v>57</v>
      </c>
      <c r="D837" s="0" t="n">
        <v>579843</v>
      </c>
      <c r="E837" s="0" t="s">
        <v>523</v>
      </c>
      <c r="F837" s="0" t="s">
        <v>524</v>
      </c>
      <c r="G837" s="0" t="s">
        <v>130</v>
      </c>
      <c r="H837" s="0" t="s">
        <v>941</v>
      </c>
    </row>
    <row r="838" customFormat="false" ht="15" hidden="false" customHeight="false" outlineLevel="0" collapsed="false">
      <c r="A838" s="0" t="s">
        <v>125</v>
      </c>
      <c r="B838" s="0" t="n">
        <v>2017</v>
      </c>
      <c r="C838" s="0" t="s">
        <v>58</v>
      </c>
      <c r="D838" s="0" t="n">
        <v>113212</v>
      </c>
      <c r="E838" s="0" t="s">
        <v>523</v>
      </c>
      <c r="F838" s="0" t="s">
        <v>524</v>
      </c>
      <c r="G838" s="0" t="s">
        <v>130</v>
      </c>
      <c r="H838" s="0" t="s">
        <v>942</v>
      </c>
    </row>
    <row r="839" customFormat="false" ht="15" hidden="false" customHeight="false" outlineLevel="0" collapsed="false">
      <c r="A839" s="0" t="s">
        <v>125</v>
      </c>
      <c r="B839" s="0" t="n">
        <v>2017</v>
      </c>
      <c r="C839" s="0" t="s">
        <v>59</v>
      </c>
      <c r="D839" s="0" t="n">
        <v>3557782</v>
      </c>
      <c r="E839" s="0" t="s">
        <v>523</v>
      </c>
      <c r="F839" s="0" t="s">
        <v>524</v>
      </c>
      <c r="G839" s="0" t="s">
        <v>130</v>
      </c>
      <c r="H839" s="0" t="s">
        <v>943</v>
      </c>
    </row>
    <row r="840" customFormat="false" ht="15" hidden="false" customHeight="false" outlineLevel="0" collapsed="false">
      <c r="A840" s="0" t="s">
        <v>125</v>
      </c>
      <c r="B840" s="0" t="n">
        <v>2017</v>
      </c>
      <c r="C840" s="0" t="s">
        <v>60</v>
      </c>
      <c r="D840" s="0" t="n">
        <v>1837515</v>
      </c>
      <c r="E840" s="0" t="s">
        <v>523</v>
      </c>
      <c r="F840" s="0" t="s">
        <v>524</v>
      </c>
      <c r="G840" s="0" t="s">
        <v>130</v>
      </c>
      <c r="H840" s="0" t="s">
        <v>944</v>
      </c>
    </row>
    <row r="841" customFormat="false" ht="15" hidden="false" customHeight="false" outlineLevel="0" collapsed="false">
      <c r="A841" s="0" t="s">
        <v>125</v>
      </c>
      <c r="B841" s="0" t="n">
        <v>2017</v>
      </c>
      <c r="C841" s="0" t="s">
        <v>61</v>
      </c>
      <c r="D841" s="0" t="n">
        <v>178719</v>
      </c>
      <c r="E841" s="0" t="s">
        <v>523</v>
      </c>
      <c r="F841" s="0" t="s">
        <v>524</v>
      </c>
      <c r="G841" s="0" t="s">
        <v>130</v>
      </c>
      <c r="H841" s="0" t="s">
        <v>945</v>
      </c>
    </row>
    <row r="842" customFormat="false" ht="15" hidden="false" customHeight="false" outlineLevel="0" collapsed="false">
      <c r="A842" s="0" t="s">
        <v>125</v>
      </c>
      <c r="B842" s="0" t="n">
        <v>2017</v>
      </c>
      <c r="C842" s="0" t="s">
        <v>62</v>
      </c>
      <c r="D842" s="0" t="n">
        <v>1658796</v>
      </c>
      <c r="E842" s="0" t="s">
        <v>523</v>
      </c>
      <c r="F842" s="0" t="s">
        <v>524</v>
      </c>
      <c r="G842" s="0" t="s">
        <v>130</v>
      </c>
      <c r="H842" s="0" t="s">
        <v>946</v>
      </c>
    </row>
    <row r="843" customFormat="false" ht="15" hidden="false" customHeight="false" outlineLevel="0" collapsed="false">
      <c r="A843" s="0" t="s">
        <v>125</v>
      </c>
      <c r="B843" s="0" t="n">
        <v>2017</v>
      </c>
      <c r="C843" s="0" t="s">
        <v>307</v>
      </c>
      <c r="D843" s="0" t="n">
        <v>126190</v>
      </c>
      <c r="E843" s="0" t="s">
        <v>523</v>
      </c>
      <c r="F843" s="0" t="s">
        <v>524</v>
      </c>
      <c r="G843" s="0" t="s">
        <v>130</v>
      </c>
      <c r="H843" s="0" t="s">
        <v>947</v>
      </c>
    </row>
    <row r="844" customFormat="false" ht="15" hidden="false" customHeight="false" outlineLevel="0" collapsed="false">
      <c r="A844" s="0" t="s">
        <v>125</v>
      </c>
      <c r="B844" s="0" t="n">
        <v>2017</v>
      </c>
      <c r="C844" s="0" t="s">
        <v>69</v>
      </c>
      <c r="D844" s="0" t="n">
        <v>17.74</v>
      </c>
      <c r="E844" s="0" t="s">
        <v>523</v>
      </c>
      <c r="F844" s="0" t="s">
        <v>524</v>
      </c>
      <c r="G844" s="0" t="s">
        <v>130</v>
      </c>
      <c r="H844" s="0" t="s">
        <v>948</v>
      </c>
    </row>
    <row r="845" customFormat="false" ht="15" hidden="false" customHeight="false" outlineLevel="0" collapsed="false">
      <c r="A845" s="0" t="s">
        <v>125</v>
      </c>
      <c r="B845" s="0" t="n">
        <v>2017</v>
      </c>
      <c r="C845" s="0" t="s">
        <v>70</v>
      </c>
      <c r="D845" s="0" t="n">
        <v>15</v>
      </c>
      <c r="E845" s="0" t="s">
        <v>523</v>
      </c>
      <c r="F845" s="0" t="s">
        <v>524</v>
      </c>
      <c r="G845" s="0" t="s">
        <v>130</v>
      </c>
      <c r="H845" s="0" t="s">
        <v>949</v>
      </c>
    </row>
    <row r="846" customFormat="false" ht="15" hidden="false" customHeight="false" outlineLevel="0" collapsed="false">
      <c r="A846" s="0" t="s">
        <v>125</v>
      </c>
      <c r="B846" s="0" t="n">
        <v>2017</v>
      </c>
      <c r="C846" s="0" t="s">
        <v>65</v>
      </c>
      <c r="D846" s="0" t="n">
        <v>535692</v>
      </c>
      <c r="E846" s="0" t="s">
        <v>523</v>
      </c>
      <c r="F846" s="0" t="s">
        <v>524</v>
      </c>
      <c r="G846" s="0" t="s">
        <v>130</v>
      </c>
      <c r="H846" s="0" t="s">
        <v>950</v>
      </c>
    </row>
    <row r="847" customFormat="false" ht="15" hidden="false" customHeight="false" outlineLevel="0" collapsed="false">
      <c r="A847" s="0" t="s">
        <v>125</v>
      </c>
      <c r="B847" s="0" t="n">
        <v>2017</v>
      </c>
      <c r="C847" s="0" t="s">
        <v>66</v>
      </c>
      <c r="D847" s="0" t="n">
        <v>3019880</v>
      </c>
      <c r="E847" s="0" t="s">
        <v>523</v>
      </c>
      <c r="F847" s="0" t="s">
        <v>524</v>
      </c>
      <c r="G847" s="0" t="s">
        <v>130</v>
      </c>
      <c r="H847" s="0" t="s">
        <v>951</v>
      </c>
    </row>
    <row r="848" customFormat="false" ht="15" hidden="false" customHeight="false" outlineLevel="0" collapsed="false">
      <c r="A848" s="0" t="s">
        <v>125</v>
      </c>
      <c r="B848" s="0" t="n">
        <v>2017</v>
      </c>
      <c r="C848" s="0" t="s">
        <v>541</v>
      </c>
      <c r="D848" s="0" t="n">
        <v>52263</v>
      </c>
      <c r="E848" s="0" t="s">
        <v>523</v>
      </c>
      <c r="F848" s="0" t="s">
        <v>524</v>
      </c>
      <c r="G848" s="0" t="s">
        <v>130</v>
      </c>
      <c r="H848" s="0" t="s">
        <v>952</v>
      </c>
    </row>
    <row r="849" customFormat="false" ht="15" hidden="false" customHeight="false" outlineLevel="0" collapsed="false">
      <c r="A849" s="0" t="s">
        <v>125</v>
      </c>
      <c r="B849" s="0" t="n">
        <v>2017</v>
      </c>
      <c r="C849" s="0" t="s">
        <v>543</v>
      </c>
      <c r="D849" s="0" t="n">
        <v>133484</v>
      </c>
      <c r="E849" s="0" t="s">
        <v>523</v>
      </c>
      <c r="F849" s="0" t="s">
        <v>524</v>
      </c>
      <c r="G849" s="0" t="s">
        <v>130</v>
      </c>
      <c r="H849" s="0" t="s">
        <v>953</v>
      </c>
    </row>
    <row r="850" customFormat="false" ht="15" hidden="false" customHeight="false" outlineLevel="0" collapsed="false">
      <c r="A850" s="0" t="s">
        <v>125</v>
      </c>
      <c r="B850" s="0" t="n">
        <v>2017</v>
      </c>
      <c r="C850" s="0" t="s">
        <v>545</v>
      </c>
      <c r="D850" s="0" t="n">
        <v>45235</v>
      </c>
      <c r="E850" s="0" t="s">
        <v>523</v>
      </c>
      <c r="F850" s="0" t="s">
        <v>524</v>
      </c>
      <c r="G850" s="0" t="s">
        <v>130</v>
      </c>
      <c r="H850" s="0" t="s">
        <v>954</v>
      </c>
    </row>
    <row r="851" customFormat="false" ht="15" hidden="false" customHeight="false" outlineLevel="0" collapsed="false">
      <c r="A851" s="0" t="s">
        <v>125</v>
      </c>
      <c r="B851" s="0" t="n">
        <v>2017</v>
      </c>
      <c r="C851" s="0" t="s">
        <v>19</v>
      </c>
      <c r="D851" s="0" t="n">
        <v>3667410.5</v>
      </c>
      <c r="E851" s="0" t="s">
        <v>522</v>
      </c>
    </row>
    <row r="852" customFormat="false" ht="15" hidden="false" customHeight="false" outlineLevel="0" collapsed="false">
      <c r="A852" s="0" t="s">
        <v>125</v>
      </c>
      <c r="B852" s="0" t="n">
        <v>2017</v>
      </c>
      <c r="C852" s="0" t="s">
        <v>41</v>
      </c>
      <c r="D852" s="0" t="n">
        <v>1.27932229020995</v>
      </c>
      <c r="E852" s="0" t="s">
        <v>522</v>
      </c>
    </row>
    <row r="853" customFormat="false" ht="15" hidden="false" customHeight="false" outlineLevel="0" collapsed="false">
      <c r="A853" s="0" t="s">
        <v>125</v>
      </c>
      <c r="B853" s="0" t="n">
        <v>2017</v>
      </c>
      <c r="C853" s="0" t="s">
        <v>27</v>
      </c>
      <c r="D853" s="0" t="n">
        <v>15.3517874716147</v>
      </c>
      <c r="E853" s="0" t="s">
        <v>522</v>
      </c>
    </row>
    <row r="854" customFormat="false" ht="15" hidden="false" customHeight="false" outlineLevel="0" collapsed="false">
      <c r="A854" s="0" t="s">
        <v>125</v>
      </c>
      <c r="B854" s="0" t="n">
        <v>2017</v>
      </c>
      <c r="C854" s="0" t="s">
        <v>39</v>
      </c>
      <c r="D854" s="0" t="n">
        <v>3.08697376527662</v>
      </c>
      <c r="E854" s="0" t="s">
        <v>522</v>
      </c>
    </row>
    <row r="855" customFormat="false" ht="15" hidden="false" customHeight="false" outlineLevel="0" collapsed="false">
      <c r="A855" s="0" t="s">
        <v>125</v>
      </c>
      <c r="B855" s="0" t="n">
        <v>2017</v>
      </c>
      <c r="C855" s="0" t="s">
        <v>17</v>
      </c>
      <c r="D855" s="0" t="n">
        <v>9.72612468469645</v>
      </c>
      <c r="E855" s="0" t="s">
        <v>522</v>
      </c>
    </row>
    <row r="856" customFormat="false" ht="15" hidden="false" customHeight="false" outlineLevel="0" collapsed="false">
      <c r="A856" s="0" t="s">
        <v>125</v>
      </c>
      <c r="B856" s="0" t="n">
        <v>2017</v>
      </c>
      <c r="C856" s="0" t="s">
        <v>25</v>
      </c>
      <c r="D856" s="0" t="n">
        <v>17.738850550353</v>
      </c>
      <c r="E856" s="0" t="s">
        <v>522</v>
      </c>
    </row>
    <row r="857" customFormat="false" ht="15" hidden="false" customHeight="false" outlineLevel="0" collapsed="false">
      <c r="A857" s="0" t="s">
        <v>125</v>
      </c>
      <c r="B857" s="0" t="n">
        <v>2017</v>
      </c>
      <c r="C857" s="0" t="s">
        <v>43</v>
      </c>
      <c r="D857" s="0" t="n">
        <v>1.24218998003463</v>
      </c>
      <c r="E857" s="0" t="s">
        <v>522</v>
      </c>
    </row>
    <row r="858" customFormat="false" ht="15" hidden="false" customHeight="false" outlineLevel="0" collapsed="false">
      <c r="A858" s="0" t="s">
        <v>125</v>
      </c>
      <c r="B858" s="0" t="n">
        <v>2017</v>
      </c>
      <c r="C858" s="0" t="s">
        <v>31</v>
      </c>
      <c r="D858" s="0" t="n">
        <v>84.6482125283853</v>
      </c>
      <c r="E858" s="0" t="s">
        <v>522</v>
      </c>
    </row>
    <row r="859" customFormat="false" ht="15" hidden="false" customHeight="false" outlineLevel="0" collapsed="false">
      <c r="A859" s="0" t="s">
        <v>125</v>
      </c>
      <c r="B859" s="0" t="n">
        <v>2017</v>
      </c>
      <c r="C859" s="0" t="s">
        <v>33</v>
      </c>
      <c r="D859" s="0" t="n">
        <v>15.1444509272966</v>
      </c>
      <c r="E859" s="0" t="s">
        <v>522</v>
      </c>
    </row>
    <row r="860" customFormat="false" ht="15" hidden="false" customHeight="false" outlineLevel="0" collapsed="false">
      <c r="A860" s="0" t="s">
        <v>125</v>
      </c>
      <c r="B860" s="0" t="n">
        <v>2017</v>
      </c>
      <c r="C860" s="0" t="s">
        <v>21</v>
      </c>
      <c r="D860" s="0" t="n">
        <v>0</v>
      </c>
      <c r="E860" s="0" t="s">
        <v>522</v>
      </c>
    </row>
    <row r="861" customFormat="false" ht="15" hidden="false" customHeight="false" outlineLevel="0" collapsed="false">
      <c r="A861" s="0" t="s">
        <v>125</v>
      </c>
      <c r="B861" s="0" t="n">
        <v>2017</v>
      </c>
      <c r="C861" s="0" t="s">
        <v>35</v>
      </c>
      <c r="D861" s="0" t="n">
        <v>0</v>
      </c>
      <c r="E861" s="0" t="s">
        <v>522</v>
      </c>
    </row>
    <row r="862" customFormat="false" ht="15" hidden="false" customHeight="false" outlineLevel="0" collapsed="false">
      <c r="A862" s="0" t="s">
        <v>125</v>
      </c>
      <c r="B862" s="0" t="n">
        <v>2018</v>
      </c>
      <c r="C862" s="0" t="s">
        <v>54</v>
      </c>
      <c r="D862" s="0" t="n">
        <v>56952</v>
      </c>
      <c r="E862" s="0" t="s">
        <v>539</v>
      </c>
      <c r="F862" s="0" t="s">
        <v>524</v>
      </c>
      <c r="G862" s="0" t="s">
        <v>132</v>
      </c>
      <c r="H862" s="0" t="s">
        <v>955</v>
      </c>
    </row>
    <row r="863" customFormat="false" ht="15" hidden="false" customHeight="false" outlineLevel="0" collapsed="false">
      <c r="A863" s="0" t="s">
        <v>125</v>
      </c>
      <c r="B863" s="0" t="n">
        <v>2018</v>
      </c>
      <c r="C863" s="0" t="s">
        <v>55</v>
      </c>
      <c r="D863" s="0" t="n">
        <v>3985907</v>
      </c>
      <c r="E863" s="0" t="s">
        <v>539</v>
      </c>
      <c r="F863" s="0" t="s">
        <v>524</v>
      </c>
      <c r="G863" s="0" t="s">
        <v>132</v>
      </c>
      <c r="H863" s="0" t="s">
        <v>956</v>
      </c>
    </row>
    <row r="864" customFormat="false" ht="15" hidden="false" customHeight="false" outlineLevel="0" collapsed="false">
      <c r="A864" s="0" t="s">
        <v>125</v>
      </c>
      <c r="B864" s="0" t="n">
        <v>2018</v>
      </c>
      <c r="C864" s="0" t="s">
        <v>56</v>
      </c>
      <c r="D864" s="0" t="n">
        <v>3543223</v>
      </c>
      <c r="E864" s="0" t="s">
        <v>539</v>
      </c>
      <c r="F864" s="0" t="s">
        <v>524</v>
      </c>
      <c r="G864" s="0" t="s">
        <v>132</v>
      </c>
      <c r="H864" s="0" t="s">
        <v>957</v>
      </c>
    </row>
    <row r="865" customFormat="false" ht="15" hidden="false" customHeight="false" outlineLevel="0" collapsed="false">
      <c r="A865" s="0" t="s">
        <v>125</v>
      </c>
      <c r="B865" s="0" t="n">
        <v>2018</v>
      </c>
      <c r="C865" s="0" t="s">
        <v>57</v>
      </c>
      <c r="D865" s="0" t="n">
        <v>442684</v>
      </c>
      <c r="E865" s="0" t="s">
        <v>539</v>
      </c>
      <c r="F865" s="0" t="s">
        <v>524</v>
      </c>
      <c r="G865" s="0" t="s">
        <v>132</v>
      </c>
      <c r="H865" s="0" t="s">
        <v>958</v>
      </c>
    </row>
    <row r="866" customFormat="false" ht="15" hidden="false" customHeight="false" outlineLevel="0" collapsed="false">
      <c r="A866" s="0" t="s">
        <v>125</v>
      </c>
      <c r="B866" s="0" t="n">
        <v>2018</v>
      </c>
      <c r="C866" s="0" t="s">
        <v>58</v>
      </c>
      <c r="D866" s="0" t="n">
        <v>327497</v>
      </c>
      <c r="E866" s="0" t="s">
        <v>539</v>
      </c>
      <c r="F866" s="0" t="s">
        <v>524</v>
      </c>
      <c r="G866" s="0" t="s">
        <v>132</v>
      </c>
      <c r="H866" s="0" t="s">
        <v>959</v>
      </c>
    </row>
    <row r="867" customFormat="false" ht="15" hidden="false" customHeight="false" outlineLevel="0" collapsed="false">
      <c r="A867" s="0" t="s">
        <v>125</v>
      </c>
      <c r="B867" s="0" t="n">
        <v>2018</v>
      </c>
      <c r="C867" s="0" t="s">
        <v>59</v>
      </c>
      <c r="D867" s="0" t="n">
        <v>3777039</v>
      </c>
      <c r="E867" s="0" t="s">
        <v>960</v>
      </c>
      <c r="F867" s="0" t="s">
        <v>524</v>
      </c>
      <c r="G867" s="0" t="s">
        <v>132</v>
      </c>
      <c r="H867" s="0" t="s">
        <v>961</v>
      </c>
    </row>
    <row r="868" customFormat="false" ht="15" hidden="false" customHeight="false" outlineLevel="0" collapsed="false">
      <c r="A868" s="0" t="s">
        <v>125</v>
      </c>
      <c r="B868" s="0" t="n">
        <v>2018</v>
      </c>
      <c r="C868" s="0" t="s">
        <v>60</v>
      </c>
      <c r="D868" s="0" t="n">
        <v>1728964</v>
      </c>
      <c r="E868" s="0" t="s">
        <v>962</v>
      </c>
      <c r="F868" s="0" t="s">
        <v>524</v>
      </c>
      <c r="G868" s="0" t="s">
        <v>133</v>
      </c>
      <c r="H868" s="0" t="s">
        <v>963</v>
      </c>
    </row>
    <row r="869" customFormat="false" ht="15" hidden="false" customHeight="false" outlineLevel="0" collapsed="false">
      <c r="A869" s="0" t="s">
        <v>125</v>
      </c>
      <c r="B869" s="0" t="n">
        <v>2018</v>
      </c>
      <c r="C869" s="0" t="s">
        <v>61</v>
      </c>
      <c r="D869" s="0" t="n">
        <v>277549</v>
      </c>
      <c r="E869" s="0" t="s">
        <v>539</v>
      </c>
      <c r="F869" s="0" t="s">
        <v>524</v>
      </c>
      <c r="G869" s="0" t="s">
        <v>132</v>
      </c>
      <c r="H869" s="0" t="s">
        <v>964</v>
      </c>
      <c r="I869" s="0" t="s">
        <v>830</v>
      </c>
    </row>
    <row r="870" customFormat="false" ht="15" hidden="false" customHeight="false" outlineLevel="0" collapsed="false">
      <c r="A870" s="0" t="s">
        <v>125</v>
      </c>
      <c r="B870" s="0" t="n">
        <v>2018</v>
      </c>
      <c r="C870" s="0" t="s">
        <v>62</v>
      </c>
      <c r="D870" s="0" t="n">
        <v>1451415</v>
      </c>
      <c r="E870" s="0" t="s">
        <v>539</v>
      </c>
      <c r="F870" s="0" t="s">
        <v>524</v>
      </c>
      <c r="G870" s="0" t="s">
        <v>132</v>
      </c>
      <c r="H870" s="0" t="s">
        <v>965</v>
      </c>
    </row>
    <row r="871" customFormat="false" ht="15" hidden="false" customHeight="false" outlineLevel="0" collapsed="false">
      <c r="A871" s="0" t="s">
        <v>125</v>
      </c>
      <c r="B871" s="0" t="n">
        <v>2018</v>
      </c>
      <c r="C871" s="0" t="s">
        <v>63</v>
      </c>
      <c r="D871" s="0" t="n">
        <v>61865</v>
      </c>
      <c r="E871" s="0" t="s">
        <v>539</v>
      </c>
      <c r="F871" s="0" t="s">
        <v>524</v>
      </c>
      <c r="G871" s="0" t="s">
        <v>132</v>
      </c>
      <c r="H871" s="0" t="s">
        <v>966</v>
      </c>
    </row>
    <row r="872" customFormat="false" ht="15" hidden="false" customHeight="false" outlineLevel="0" collapsed="false">
      <c r="A872" s="0" t="s">
        <v>125</v>
      </c>
      <c r="B872" s="0" t="n">
        <v>2018</v>
      </c>
      <c r="C872" s="0" t="s">
        <v>69</v>
      </c>
      <c r="D872" s="0" t="n">
        <v>10.66</v>
      </c>
      <c r="E872" s="0" t="s">
        <v>539</v>
      </c>
      <c r="F872" s="0" t="s">
        <v>524</v>
      </c>
      <c r="G872" s="0" t="s">
        <v>132</v>
      </c>
      <c r="H872" s="0" t="s">
        <v>967</v>
      </c>
    </row>
    <row r="873" customFormat="false" ht="15" hidden="false" customHeight="false" outlineLevel="0" collapsed="false">
      <c r="A873" s="0" t="s">
        <v>125</v>
      </c>
      <c r="B873" s="0" t="n">
        <v>2018</v>
      </c>
      <c r="C873" s="0" t="s">
        <v>614</v>
      </c>
      <c r="D873" s="0" t="n">
        <v>17.26</v>
      </c>
      <c r="E873" s="0" t="s">
        <v>539</v>
      </c>
      <c r="F873" s="0" t="s">
        <v>524</v>
      </c>
      <c r="G873" s="0" t="s">
        <v>132</v>
      </c>
      <c r="H873" s="0" t="s">
        <v>968</v>
      </c>
    </row>
    <row r="874" customFormat="false" ht="15" hidden="false" customHeight="false" outlineLevel="0" collapsed="false">
      <c r="A874" s="0" t="s">
        <v>125</v>
      </c>
      <c r="B874" s="0" t="n">
        <v>2018</v>
      </c>
      <c r="C874" s="0" t="s">
        <v>65</v>
      </c>
      <c r="D874" s="0" t="n">
        <v>269341</v>
      </c>
      <c r="E874" s="0" t="s">
        <v>539</v>
      </c>
      <c r="F874" s="0" t="s">
        <v>524</v>
      </c>
      <c r="G874" s="0" t="s">
        <v>132</v>
      </c>
      <c r="H874" s="0" t="s">
        <v>969</v>
      </c>
    </row>
    <row r="875" customFormat="false" ht="15" hidden="false" customHeight="false" outlineLevel="0" collapsed="false">
      <c r="A875" s="0" t="s">
        <v>125</v>
      </c>
      <c r="B875" s="0" t="n">
        <v>2018</v>
      </c>
      <c r="C875" s="0" t="s">
        <v>66</v>
      </c>
      <c r="D875" s="0" t="n">
        <v>2527208</v>
      </c>
      <c r="E875" s="0" t="s">
        <v>539</v>
      </c>
      <c r="F875" s="0" t="s">
        <v>524</v>
      </c>
      <c r="G875" s="0" t="s">
        <v>132</v>
      </c>
      <c r="H875" s="0" t="s">
        <v>970</v>
      </c>
    </row>
    <row r="876" customFormat="false" ht="15" hidden="false" customHeight="false" outlineLevel="0" collapsed="false">
      <c r="A876" s="0" t="s">
        <v>125</v>
      </c>
      <c r="B876" s="0" t="n">
        <v>2018</v>
      </c>
      <c r="C876" s="0" t="s">
        <v>73</v>
      </c>
      <c r="D876" s="0" t="n">
        <v>0</v>
      </c>
      <c r="E876" s="0" t="s">
        <v>539</v>
      </c>
      <c r="F876" s="0" t="s">
        <v>524</v>
      </c>
      <c r="G876" s="0" t="s">
        <v>132</v>
      </c>
      <c r="H876" s="0" t="s">
        <v>971</v>
      </c>
    </row>
    <row r="877" customFormat="false" ht="15" hidden="false" customHeight="false" outlineLevel="0" collapsed="false">
      <c r="A877" s="0" t="s">
        <v>125</v>
      </c>
      <c r="B877" s="0" t="n">
        <v>2018</v>
      </c>
      <c r="C877" s="0" t="s">
        <v>541</v>
      </c>
      <c r="D877" s="0" t="n">
        <v>58194</v>
      </c>
      <c r="E877" s="0" t="s">
        <v>539</v>
      </c>
      <c r="F877" s="0" t="s">
        <v>524</v>
      </c>
      <c r="G877" s="0" t="s">
        <v>132</v>
      </c>
      <c r="H877" s="0" t="s">
        <v>972</v>
      </c>
    </row>
    <row r="878" customFormat="false" ht="15" hidden="false" customHeight="false" outlineLevel="0" collapsed="false">
      <c r="A878" s="0" t="s">
        <v>125</v>
      </c>
      <c r="B878" s="0" t="n">
        <v>2018</v>
      </c>
      <c r="C878" s="0" t="s">
        <v>19</v>
      </c>
      <c r="D878" s="0" t="n">
        <v>3881473</v>
      </c>
      <c r="E878" s="0" t="s">
        <v>522</v>
      </c>
    </row>
    <row r="879" customFormat="false" ht="15" hidden="false" customHeight="false" outlineLevel="0" collapsed="false">
      <c r="A879" s="0" t="s">
        <v>125</v>
      </c>
      <c r="B879" s="0" t="n">
        <v>2018</v>
      </c>
      <c r="C879" s="0" t="s">
        <v>41</v>
      </c>
      <c r="D879" s="0" t="n">
        <v>1.46727801533078</v>
      </c>
      <c r="E879" s="0" t="s">
        <v>522</v>
      </c>
    </row>
    <row r="880" customFormat="false" ht="15" hidden="false" customHeight="false" outlineLevel="0" collapsed="false">
      <c r="A880" s="0" t="s">
        <v>125</v>
      </c>
      <c r="B880" s="0" t="n">
        <v>2018</v>
      </c>
      <c r="C880" s="0" t="s">
        <v>27</v>
      </c>
      <c r="D880" s="0" t="n">
        <v>11.1062300249354</v>
      </c>
      <c r="E880" s="0" t="s">
        <v>522</v>
      </c>
    </row>
    <row r="881" customFormat="false" ht="15" hidden="false" customHeight="false" outlineLevel="0" collapsed="false">
      <c r="A881" s="0" t="s">
        <v>125</v>
      </c>
      <c r="B881" s="0" t="n">
        <v>2018</v>
      </c>
      <c r="C881" s="0" t="s">
        <v>39</v>
      </c>
      <c r="D881" s="0" t="n">
        <v>8.43744114669869</v>
      </c>
      <c r="E881" s="0" t="s">
        <v>522</v>
      </c>
    </row>
    <row r="882" customFormat="false" ht="15" hidden="false" customHeight="false" outlineLevel="0" collapsed="false">
      <c r="A882" s="0" t="s">
        <v>125</v>
      </c>
      <c r="B882" s="0" t="n">
        <v>2018</v>
      </c>
      <c r="C882" s="0" t="s">
        <v>17</v>
      </c>
      <c r="D882" s="0" t="n">
        <v>16.0529079842033</v>
      </c>
      <c r="E882" s="0" t="s">
        <v>522</v>
      </c>
    </row>
    <row r="883" customFormat="false" ht="15" hidden="false" customHeight="false" outlineLevel="0" collapsed="false">
      <c r="A883" s="0" t="s">
        <v>125</v>
      </c>
      <c r="B883" s="0" t="n">
        <v>2018</v>
      </c>
      <c r="C883" s="0" t="s">
        <v>25</v>
      </c>
      <c r="D883" s="0" t="n">
        <v>10.6576506563765</v>
      </c>
      <c r="E883" s="0" t="s">
        <v>522</v>
      </c>
    </row>
    <row r="884" customFormat="false" ht="15" hidden="false" customHeight="false" outlineLevel="0" collapsed="false">
      <c r="A884" s="0" t="s">
        <v>125</v>
      </c>
      <c r="B884" s="0" t="n">
        <v>2018</v>
      </c>
      <c r="C884" s="0" t="s">
        <v>29</v>
      </c>
      <c r="D884" s="0" t="n">
        <v>1.59385367359247</v>
      </c>
      <c r="E884" s="0" t="s">
        <v>522</v>
      </c>
    </row>
    <row r="885" customFormat="false" ht="15" hidden="false" customHeight="false" outlineLevel="0" collapsed="false">
      <c r="A885" s="0" t="s">
        <v>125</v>
      </c>
      <c r="B885" s="0" t="n">
        <v>2018</v>
      </c>
      <c r="C885" s="0" t="s">
        <v>43</v>
      </c>
      <c r="D885" s="0" t="n">
        <v>1.42883413988334</v>
      </c>
      <c r="E885" s="0" t="s">
        <v>522</v>
      </c>
    </row>
    <row r="886" customFormat="false" ht="15" hidden="false" customHeight="false" outlineLevel="0" collapsed="false">
      <c r="A886" s="0" t="s">
        <v>125</v>
      </c>
      <c r="B886" s="0" t="n">
        <v>2018</v>
      </c>
      <c r="C886" s="0" t="s">
        <v>31</v>
      </c>
      <c r="D886" s="0" t="n">
        <v>88.8937699750646</v>
      </c>
      <c r="E886" s="0" t="s">
        <v>522</v>
      </c>
    </row>
    <row r="887" customFormat="false" ht="15" hidden="false" customHeight="false" outlineLevel="0" collapsed="false">
      <c r="A887" s="0" t="s">
        <v>125</v>
      </c>
      <c r="B887" s="0" t="n">
        <v>2018</v>
      </c>
      <c r="C887" s="0" t="s">
        <v>33</v>
      </c>
      <c r="D887" s="0" t="n">
        <v>15.1982754478219</v>
      </c>
      <c r="E887" s="0" t="s">
        <v>522</v>
      </c>
    </row>
    <row r="888" customFormat="false" ht="15" hidden="false" customHeight="false" outlineLevel="0" collapsed="false">
      <c r="A888" s="0" t="s">
        <v>125</v>
      </c>
      <c r="B888" s="0" t="n">
        <v>2018</v>
      </c>
      <c r="C888" s="0" t="s">
        <v>21</v>
      </c>
      <c r="D888" s="0" t="n">
        <v>0</v>
      </c>
      <c r="E888" s="0" t="s">
        <v>522</v>
      </c>
    </row>
    <row r="889" customFormat="false" ht="15" hidden="false" customHeight="false" outlineLevel="0" collapsed="false">
      <c r="A889" s="0" t="s">
        <v>125</v>
      </c>
      <c r="B889" s="0" t="n">
        <v>2018</v>
      </c>
      <c r="C889" s="0" t="s">
        <v>35</v>
      </c>
      <c r="D889" s="0" t="n">
        <v>0</v>
      </c>
      <c r="E889" s="0" t="s">
        <v>522</v>
      </c>
    </row>
    <row r="890" customFormat="false" ht="15" hidden="false" customHeight="false" outlineLevel="0" collapsed="false">
      <c r="A890" s="0" t="s">
        <v>125</v>
      </c>
      <c r="B890" s="0" t="n">
        <v>2019</v>
      </c>
      <c r="C890" s="0" t="s">
        <v>54</v>
      </c>
      <c r="D890" s="0" t="n">
        <v>43917</v>
      </c>
      <c r="E890" s="0" t="s">
        <v>539</v>
      </c>
      <c r="F890" s="0" t="s">
        <v>524</v>
      </c>
      <c r="G890" s="0" t="s">
        <v>133</v>
      </c>
      <c r="H890" s="0" t="s">
        <v>973</v>
      </c>
    </row>
    <row r="891" customFormat="false" ht="15" hidden="false" customHeight="false" outlineLevel="0" collapsed="false">
      <c r="A891" s="0" t="s">
        <v>125</v>
      </c>
      <c r="B891" s="0" t="n">
        <v>2019</v>
      </c>
      <c r="C891" s="0" t="s">
        <v>55</v>
      </c>
      <c r="D891" s="0" t="n">
        <v>4668279</v>
      </c>
      <c r="E891" s="0" t="s">
        <v>539</v>
      </c>
      <c r="F891" s="0" t="s">
        <v>524</v>
      </c>
      <c r="G891" s="0" t="s">
        <v>133</v>
      </c>
      <c r="H891" s="0" t="s">
        <v>974</v>
      </c>
    </row>
    <row r="892" customFormat="false" ht="15" hidden="false" customHeight="false" outlineLevel="0" collapsed="false">
      <c r="A892" s="0" t="s">
        <v>125</v>
      </c>
      <c r="B892" s="0" t="n">
        <v>2019</v>
      </c>
      <c r="C892" s="0" t="s">
        <v>56</v>
      </c>
      <c r="D892" s="0" t="n">
        <v>4128814</v>
      </c>
      <c r="E892" s="0" t="s">
        <v>539</v>
      </c>
      <c r="F892" s="0" t="s">
        <v>524</v>
      </c>
      <c r="G892" s="0" t="s">
        <v>133</v>
      </c>
      <c r="H892" s="0" t="s">
        <v>975</v>
      </c>
    </row>
    <row r="893" customFormat="false" ht="15" hidden="false" customHeight="false" outlineLevel="0" collapsed="false">
      <c r="A893" s="0" t="s">
        <v>125</v>
      </c>
      <c r="B893" s="0" t="n">
        <v>2019</v>
      </c>
      <c r="C893" s="0" t="s">
        <v>57</v>
      </c>
      <c r="D893" s="0" t="n">
        <v>539465</v>
      </c>
      <c r="E893" s="0" t="s">
        <v>539</v>
      </c>
      <c r="F893" s="0" t="s">
        <v>524</v>
      </c>
      <c r="G893" s="0" t="s">
        <v>133</v>
      </c>
      <c r="H893" s="0" t="s">
        <v>976</v>
      </c>
    </row>
    <row r="894" customFormat="false" ht="15" hidden="false" customHeight="false" outlineLevel="0" collapsed="false">
      <c r="A894" s="0" t="s">
        <v>125</v>
      </c>
      <c r="B894" s="0" t="n">
        <v>2019</v>
      </c>
      <c r="C894" s="0" t="s">
        <v>58</v>
      </c>
      <c r="D894" s="0" t="n">
        <v>-218752</v>
      </c>
      <c r="E894" s="0" t="s">
        <v>539</v>
      </c>
      <c r="F894" s="0" t="s">
        <v>524</v>
      </c>
      <c r="G894" s="0" t="s">
        <v>133</v>
      </c>
      <c r="H894" s="0" t="s">
        <v>977</v>
      </c>
    </row>
    <row r="895" customFormat="false" ht="15" hidden="false" customHeight="false" outlineLevel="0" collapsed="false">
      <c r="A895" s="0" t="s">
        <v>125</v>
      </c>
      <c r="B895" s="0" t="n">
        <v>2019</v>
      </c>
      <c r="C895" s="0" t="s">
        <v>59</v>
      </c>
      <c r="D895" s="0" t="n">
        <v>3985907</v>
      </c>
      <c r="E895" s="0" t="s">
        <v>960</v>
      </c>
      <c r="F895" s="0" t="s">
        <v>524</v>
      </c>
      <c r="G895" s="0" t="s">
        <v>133</v>
      </c>
      <c r="H895" s="0" t="s">
        <v>978</v>
      </c>
    </row>
    <row r="896" customFormat="false" ht="15" hidden="false" customHeight="false" outlineLevel="0" collapsed="false">
      <c r="A896" s="0" t="s">
        <v>125</v>
      </c>
      <c r="B896" s="0" t="n">
        <v>2019</v>
      </c>
      <c r="C896" s="0" t="s">
        <v>60</v>
      </c>
      <c r="D896" s="0" t="n">
        <v>1618817</v>
      </c>
      <c r="E896" s="0" t="s">
        <v>979</v>
      </c>
      <c r="F896" s="0" t="s">
        <v>524</v>
      </c>
      <c r="G896" s="0" t="s">
        <v>133</v>
      </c>
      <c r="H896" s="0" t="s">
        <v>980</v>
      </c>
    </row>
    <row r="897" customFormat="false" ht="15" hidden="false" customHeight="false" outlineLevel="0" collapsed="false">
      <c r="A897" s="0" t="s">
        <v>125</v>
      </c>
      <c r="B897" s="0" t="n">
        <v>2019</v>
      </c>
      <c r="C897" s="0" t="s">
        <v>61</v>
      </c>
      <c r="D897" s="0" t="n">
        <v>59314</v>
      </c>
      <c r="E897" s="0" t="s">
        <v>979</v>
      </c>
      <c r="F897" s="0" t="s">
        <v>524</v>
      </c>
      <c r="G897" s="0" t="s">
        <v>133</v>
      </c>
      <c r="H897" s="0" t="s">
        <v>981</v>
      </c>
    </row>
    <row r="898" customFormat="false" ht="15" hidden="false" customHeight="false" outlineLevel="0" collapsed="false">
      <c r="A898" s="0" t="s">
        <v>125</v>
      </c>
      <c r="B898" s="0" t="n">
        <v>2019</v>
      </c>
      <c r="C898" s="0" t="s">
        <v>62</v>
      </c>
      <c r="D898" s="0" t="n">
        <v>1559504</v>
      </c>
      <c r="E898" s="0" t="s">
        <v>539</v>
      </c>
      <c r="F898" s="0" t="s">
        <v>524</v>
      </c>
      <c r="G898" s="0" t="s">
        <v>133</v>
      </c>
      <c r="H898" s="0" t="s">
        <v>982</v>
      </c>
    </row>
    <row r="899" customFormat="false" ht="15" hidden="false" customHeight="false" outlineLevel="0" collapsed="false">
      <c r="A899" s="0" t="s">
        <v>125</v>
      </c>
      <c r="B899" s="0" t="n">
        <v>2019</v>
      </c>
      <c r="C899" s="0" t="s">
        <v>63</v>
      </c>
      <c r="D899" s="0" t="n">
        <v>46640</v>
      </c>
      <c r="E899" s="0" t="s">
        <v>539</v>
      </c>
      <c r="F899" s="0" t="s">
        <v>524</v>
      </c>
      <c r="G899" s="0" t="s">
        <v>133</v>
      </c>
      <c r="H899" s="0" t="s">
        <v>983</v>
      </c>
    </row>
    <row r="900" customFormat="false" ht="15" hidden="false" customHeight="false" outlineLevel="0" collapsed="false">
      <c r="A900" s="0" t="s">
        <v>125</v>
      </c>
      <c r="B900" s="0" t="n">
        <v>2019</v>
      </c>
      <c r="C900" s="0" t="s">
        <v>69</v>
      </c>
      <c r="D900" s="0" t="n">
        <v>11.16</v>
      </c>
      <c r="E900" s="0" t="s">
        <v>539</v>
      </c>
      <c r="F900" s="0" t="s">
        <v>524</v>
      </c>
      <c r="G900" s="0" t="s">
        <v>133</v>
      </c>
      <c r="H900" s="0" t="s">
        <v>984</v>
      </c>
    </row>
    <row r="901" customFormat="false" ht="15" hidden="false" customHeight="false" outlineLevel="0" collapsed="false">
      <c r="A901" s="0" t="s">
        <v>125</v>
      </c>
      <c r="B901" s="0" t="n">
        <v>2019</v>
      </c>
      <c r="C901" s="0" t="s">
        <v>614</v>
      </c>
      <c r="D901" s="0" t="n">
        <v>15.45</v>
      </c>
      <c r="E901" s="0" t="s">
        <v>539</v>
      </c>
      <c r="F901" s="0" t="s">
        <v>524</v>
      </c>
      <c r="G901" s="0" t="s">
        <v>133</v>
      </c>
      <c r="H901" s="0" t="s">
        <v>985</v>
      </c>
    </row>
    <row r="902" customFormat="false" ht="15" hidden="false" customHeight="false" outlineLevel="0" collapsed="false">
      <c r="A902" s="0" t="s">
        <v>125</v>
      </c>
      <c r="B902" s="0" t="n">
        <v>2019</v>
      </c>
      <c r="C902" s="0" t="s">
        <v>65</v>
      </c>
      <c r="D902" s="0" t="n">
        <v>332265</v>
      </c>
      <c r="E902" s="0" t="s">
        <v>539</v>
      </c>
      <c r="F902" s="0" t="s">
        <v>524</v>
      </c>
      <c r="G902" s="0" t="s">
        <v>133</v>
      </c>
      <c r="H902" s="0" t="s">
        <v>986</v>
      </c>
    </row>
    <row r="903" customFormat="false" ht="15" hidden="false" customHeight="false" outlineLevel="0" collapsed="false">
      <c r="A903" s="0" t="s">
        <v>125</v>
      </c>
      <c r="B903" s="0" t="n">
        <v>2019</v>
      </c>
      <c r="C903" s="0" t="s">
        <v>66</v>
      </c>
      <c r="D903" s="0" t="n">
        <v>2978121</v>
      </c>
      <c r="E903" s="0" t="s">
        <v>539</v>
      </c>
      <c r="F903" s="0" t="s">
        <v>524</v>
      </c>
      <c r="G903" s="0" t="s">
        <v>133</v>
      </c>
      <c r="H903" s="0" t="s">
        <v>987</v>
      </c>
    </row>
    <row r="904" customFormat="false" ht="15" hidden="false" customHeight="false" outlineLevel="0" collapsed="false">
      <c r="A904" s="0" t="s">
        <v>125</v>
      </c>
      <c r="B904" s="0" t="n">
        <v>2019</v>
      </c>
      <c r="C904" s="0" t="s">
        <v>73</v>
      </c>
      <c r="D904" s="0" t="n">
        <v>0</v>
      </c>
      <c r="E904" s="0" t="s">
        <v>539</v>
      </c>
      <c r="F904" s="0" t="s">
        <v>524</v>
      </c>
      <c r="G904" s="0" t="s">
        <v>133</v>
      </c>
      <c r="H904" s="0" t="s">
        <v>988</v>
      </c>
    </row>
    <row r="905" customFormat="false" ht="15" hidden="false" customHeight="false" outlineLevel="0" collapsed="false">
      <c r="A905" s="0" t="s">
        <v>125</v>
      </c>
      <c r="B905" s="0" t="n">
        <v>2019</v>
      </c>
      <c r="C905" s="0" t="s">
        <v>541</v>
      </c>
      <c r="D905" s="0" t="n">
        <v>46770</v>
      </c>
      <c r="E905" s="0" t="s">
        <v>539</v>
      </c>
      <c r="F905" s="0" t="s">
        <v>524</v>
      </c>
      <c r="G905" s="0" t="s">
        <v>133</v>
      </c>
      <c r="H905" s="0" t="s">
        <v>989</v>
      </c>
    </row>
    <row r="906" customFormat="false" ht="15" hidden="false" customHeight="false" outlineLevel="0" collapsed="false">
      <c r="A906" s="0" t="s">
        <v>125</v>
      </c>
      <c r="B906" s="0" t="n">
        <v>2019</v>
      </c>
      <c r="C906" s="0" t="s">
        <v>19</v>
      </c>
      <c r="D906" s="0" t="n">
        <v>4327093</v>
      </c>
      <c r="E906" s="0" t="s">
        <v>522</v>
      </c>
    </row>
    <row r="907" customFormat="false" ht="15" hidden="false" customHeight="false" outlineLevel="0" collapsed="false">
      <c r="A907" s="0" t="s">
        <v>125</v>
      </c>
      <c r="B907" s="0" t="n">
        <v>2019</v>
      </c>
      <c r="C907" s="0" t="s">
        <v>41</v>
      </c>
      <c r="D907" s="0" t="n">
        <v>1.01493080920609</v>
      </c>
      <c r="E907" s="0" t="s">
        <v>522</v>
      </c>
    </row>
    <row r="908" customFormat="false" ht="15" hidden="false" customHeight="false" outlineLevel="0" collapsed="false">
      <c r="A908" s="0" t="s">
        <v>125</v>
      </c>
      <c r="B908" s="0" t="n">
        <v>2019</v>
      </c>
      <c r="C908" s="0" t="s">
        <v>27</v>
      </c>
      <c r="D908" s="0" t="n">
        <v>11.5559716974928</v>
      </c>
      <c r="E908" s="0" t="s">
        <v>522</v>
      </c>
    </row>
    <row r="909" customFormat="false" ht="15" hidden="false" customHeight="false" outlineLevel="0" collapsed="false">
      <c r="A909" s="0" t="s">
        <v>125</v>
      </c>
      <c r="B909" s="0" t="n">
        <v>2019</v>
      </c>
      <c r="C909" s="0" t="s">
        <v>39</v>
      </c>
      <c r="D909" s="0" t="n">
        <v>-5.05540324647517</v>
      </c>
      <c r="E909" s="0" t="s">
        <v>522</v>
      </c>
    </row>
    <row r="910" customFormat="false" ht="15" hidden="false" customHeight="false" outlineLevel="0" collapsed="false">
      <c r="A910" s="0" t="s">
        <v>125</v>
      </c>
      <c r="B910" s="0" t="n">
        <v>2019</v>
      </c>
      <c r="C910" s="0" t="s">
        <v>17</v>
      </c>
      <c r="D910" s="0" t="n">
        <v>3.66403367397303</v>
      </c>
      <c r="E910" s="0" t="s">
        <v>522</v>
      </c>
    </row>
    <row r="911" customFormat="false" ht="15" hidden="false" customHeight="false" outlineLevel="0" collapsed="false">
      <c r="A911" s="0" t="s">
        <v>125</v>
      </c>
      <c r="B911" s="0" t="n">
        <v>2019</v>
      </c>
      <c r="C911" s="0" t="s">
        <v>25</v>
      </c>
      <c r="D911" s="0" t="n">
        <v>11.156867031259</v>
      </c>
      <c r="E911" s="0" t="s">
        <v>522</v>
      </c>
    </row>
    <row r="912" customFormat="false" ht="15" hidden="false" customHeight="false" outlineLevel="0" collapsed="false">
      <c r="A912" s="0" t="s">
        <v>125</v>
      </c>
      <c r="B912" s="0" t="n">
        <v>2019</v>
      </c>
      <c r="C912" s="0" t="s">
        <v>29</v>
      </c>
      <c r="D912" s="0" t="n">
        <v>1.07785989346658</v>
      </c>
      <c r="E912" s="0" t="s">
        <v>522</v>
      </c>
    </row>
    <row r="913" customFormat="false" ht="15" hidden="false" customHeight="false" outlineLevel="0" collapsed="false">
      <c r="A913" s="0" t="s">
        <v>125</v>
      </c>
      <c r="B913" s="0" t="n">
        <v>2019</v>
      </c>
      <c r="C913" s="0" t="s">
        <v>43</v>
      </c>
      <c r="D913" s="0" t="n">
        <v>0.940753541080128</v>
      </c>
      <c r="E913" s="0" t="s">
        <v>522</v>
      </c>
    </row>
    <row r="914" customFormat="false" ht="15" hidden="false" customHeight="false" outlineLevel="0" collapsed="false">
      <c r="A914" s="0" t="s">
        <v>125</v>
      </c>
      <c r="B914" s="0" t="n">
        <v>2019</v>
      </c>
      <c r="C914" s="0" t="s">
        <v>31</v>
      </c>
      <c r="D914" s="0" t="n">
        <v>88.4440283025072</v>
      </c>
      <c r="E914" s="0" t="s">
        <v>522</v>
      </c>
    </row>
    <row r="915" customFormat="false" ht="15" hidden="false" customHeight="false" outlineLevel="0" collapsed="false">
      <c r="A915" s="0" t="s">
        <v>125</v>
      </c>
      <c r="B915" s="0" t="n">
        <v>2019</v>
      </c>
      <c r="C915" s="0" t="s">
        <v>33</v>
      </c>
      <c r="D915" s="0" t="n">
        <v>15.35630103924</v>
      </c>
      <c r="E915" s="0" t="s">
        <v>522</v>
      </c>
    </row>
    <row r="916" customFormat="false" ht="15" hidden="false" customHeight="false" outlineLevel="0" collapsed="false">
      <c r="A916" s="0" t="s">
        <v>125</v>
      </c>
      <c r="B916" s="0" t="n">
        <v>2019</v>
      </c>
      <c r="C916" s="0" t="s">
        <v>21</v>
      </c>
      <c r="D916" s="0" t="n">
        <v>0</v>
      </c>
      <c r="E916" s="0" t="s">
        <v>522</v>
      </c>
    </row>
    <row r="917" customFormat="false" ht="15" hidden="false" customHeight="false" outlineLevel="0" collapsed="false">
      <c r="A917" s="0" t="s">
        <v>125</v>
      </c>
      <c r="B917" s="0" t="n">
        <v>2019</v>
      </c>
      <c r="C917" s="0" t="s">
        <v>35</v>
      </c>
      <c r="D917" s="0" t="n">
        <v>-1</v>
      </c>
      <c r="E917" s="0" t="s">
        <v>522</v>
      </c>
    </row>
    <row r="918" customFormat="false" ht="15" hidden="false" customHeight="false" outlineLevel="0" collapsed="false">
      <c r="A918" s="0" t="s">
        <v>125</v>
      </c>
      <c r="B918" s="0" t="n">
        <v>2022</v>
      </c>
      <c r="C918" s="0" t="s">
        <v>54</v>
      </c>
      <c r="D918" s="0" t="n">
        <v>91415</v>
      </c>
      <c r="E918" s="0" t="s">
        <v>539</v>
      </c>
      <c r="F918" s="0" t="s">
        <v>524</v>
      </c>
      <c r="G918" s="0" t="s">
        <v>135</v>
      </c>
      <c r="H918" s="0" t="s">
        <v>990</v>
      </c>
    </row>
    <row r="919" customFormat="false" ht="15" hidden="false" customHeight="false" outlineLevel="0" collapsed="false">
      <c r="A919" s="0" t="s">
        <v>125</v>
      </c>
      <c r="B919" s="0" t="n">
        <v>2022</v>
      </c>
      <c r="C919" s="0" t="s">
        <v>55</v>
      </c>
      <c r="D919" s="0" t="n">
        <v>8125060</v>
      </c>
      <c r="E919" s="0" t="s">
        <v>539</v>
      </c>
      <c r="F919" s="0" t="s">
        <v>524</v>
      </c>
      <c r="G919" s="0" t="s">
        <v>135</v>
      </c>
      <c r="H919" s="0" t="s">
        <v>991</v>
      </c>
    </row>
    <row r="920" customFormat="false" ht="15" hidden="false" customHeight="false" outlineLevel="0" collapsed="false">
      <c r="A920" s="0" t="s">
        <v>125</v>
      </c>
      <c r="B920" s="0" t="n">
        <v>2022</v>
      </c>
      <c r="C920" s="0" t="s">
        <v>56</v>
      </c>
      <c r="D920" s="0" t="n">
        <v>7372174</v>
      </c>
      <c r="E920" s="0" t="s">
        <v>539</v>
      </c>
      <c r="F920" s="0" t="s">
        <v>524</v>
      </c>
      <c r="G920" s="0" t="s">
        <v>135</v>
      </c>
      <c r="H920" s="0" t="s">
        <v>992</v>
      </c>
    </row>
    <row r="921" customFormat="false" ht="15" hidden="false" customHeight="false" outlineLevel="0" collapsed="false">
      <c r="A921" s="0" t="s">
        <v>125</v>
      </c>
      <c r="B921" s="0" t="n">
        <v>2022</v>
      </c>
      <c r="C921" s="0" t="s">
        <v>57</v>
      </c>
      <c r="D921" s="0" t="n">
        <v>752886</v>
      </c>
      <c r="E921" s="0" t="s">
        <v>539</v>
      </c>
      <c r="F921" s="0" t="s">
        <v>524</v>
      </c>
      <c r="G921" s="0" t="s">
        <v>135</v>
      </c>
      <c r="H921" s="0" t="s">
        <v>993</v>
      </c>
    </row>
    <row r="922" customFormat="false" ht="15" hidden="false" customHeight="false" outlineLevel="0" collapsed="false">
      <c r="A922" s="0" t="s">
        <v>125</v>
      </c>
      <c r="B922" s="0" t="n">
        <v>2022</v>
      </c>
      <c r="C922" s="0" t="s">
        <v>62</v>
      </c>
      <c r="D922" s="0" t="n">
        <v>3301779</v>
      </c>
      <c r="E922" s="0" t="s">
        <v>539</v>
      </c>
      <c r="F922" s="0" t="s">
        <v>524</v>
      </c>
      <c r="G922" s="0" t="s">
        <v>135</v>
      </c>
      <c r="H922" s="0" t="s">
        <v>994</v>
      </c>
    </row>
    <row r="923" customFormat="false" ht="15" hidden="false" customHeight="false" outlineLevel="0" collapsed="false">
      <c r="A923" s="0" t="s">
        <v>125</v>
      </c>
      <c r="B923" s="0" t="n">
        <v>2022</v>
      </c>
      <c r="C923" s="0" t="s">
        <v>63</v>
      </c>
      <c r="D923" s="0" t="n">
        <v>49773</v>
      </c>
      <c r="E923" s="0" t="s">
        <v>539</v>
      </c>
      <c r="F923" s="0" t="s">
        <v>524</v>
      </c>
      <c r="G923" s="0" t="s">
        <v>135</v>
      </c>
      <c r="H923" s="0" t="s">
        <v>995</v>
      </c>
    </row>
    <row r="924" customFormat="false" ht="15" hidden="false" customHeight="false" outlineLevel="0" collapsed="false">
      <c r="A924" s="0" t="s">
        <v>125</v>
      </c>
      <c r="B924" s="0" t="n">
        <v>2022</v>
      </c>
      <c r="C924" s="0" t="s">
        <v>541</v>
      </c>
      <c r="D924" s="0" t="n">
        <v>94592</v>
      </c>
      <c r="E924" s="0" t="s">
        <v>539</v>
      </c>
      <c r="F924" s="0" t="s">
        <v>524</v>
      </c>
      <c r="G924" s="0" t="s">
        <v>135</v>
      </c>
      <c r="H924" s="0" t="s">
        <v>996</v>
      </c>
    </row>
    <row r="925" customFormat="false" ht="15" hidden="false" customHeight="false" outlineLevel="0" collapsed="false">
      <c r="A925" s="0" t="s">
        <v>125</v>
      </c>
      <c r="B925" s="0" t="n">
        <v>2022</v>
      </c>
      <c r="C925" s="0" t="s">
        <v>27</v>
      </c>
      <c r="D925" s="0" t="n">
        <v>9.26622080329253</v>
      </c>
      <c r="E925" s="0" t="s">
        <v>522</v>
      </c>
    </row>
    <row r="926" customFormat="false" ht="15" hidden="false" customHeight="false" outlineLevel="0" collapsed="false">
      <c r="A926" s="0" t="s">
        <v>125</v>
      </c>
      <c r="B926" s="0" t="n">
        <v>2022</v>
      </c>
      <c r="C926" s="0" t="s">
        <v>43</v>
      </c>
      <c r="D926" s="0" t="n">
        <v>1.12509938388147</v>
      </c>
      <c r="E926" s="0" t="s">
        <v>522</v>
      </c>
    </row>
    <row r="927" customFormat="false" ht="15" hidden="false" customHeight="false" outlineLevel="0" collapsed="false">
      <c r="A927" s="0" t="s">
        <v>125</v>
      </c>
      <c r="B927" s="0" t="n">
        <v>2022</v>
      </c>
      <c r="C927" s="0" t="s">
        <v>31</v>
      </c>
      <c r="D927" s="0" t="n">
        <v>90.7337791967075</v>
      </c>
      <c r="E927" s="0" t="s">
        <v>522</v>
      </c>
    </row>
    <row r="928" customFormat="false" ht="15" hidden="false" customHeight="false" outlineLevel="0" collapsed="false">
      <c r="A928" s="0" t="s">
        <v>125</v>
      </c>
      <c r="B928" s="0" t="n">
        <v>2022</v>
      </c>
      <c r="C928" s="0" t="s">
        <v>33</v>
      </c>
      <c r="D928" s="0" t="n">
        <v>15.9104636707682</v>
      </c>
      <c r="E928" s="0" t="s">
        <v>522</v>
      </c>
    </row>
    <row r="929" customFormat="false" ht="15" hidden="false" customHeight="false" outlineLevel="0" collapsed="false">
      <c r="A929" s="0" t="s">
        <v>125</v>
      </c>
      <c r="B929" s="0" t="n">
        <v>2022</v>
      </c>
      <c r="C929" s="0" t="s">
        <v>21</v>
      </c>
      <c r="D929" s="0" t="n">
        <v>0</v>
      </c>
      <c r="E929" s="0" t="s">
        <v>522</v>
      </c>
    </row>
    <row r="930" customFormat="false" ht="15" hidden="false" customHeight="false" outlineLevel="0" collapsed="false">
      <c r="A930" s="0" t="s">
        <v>136</v>
      </c>
      <c r="B930" s="0" t="n">
        <v>2013</v>
      </c>
      <c r="C930" s="0" t="s">
        <v>54</v>
      </c>
      <c r="D930" s="0" t="n">
        <v>85546</v>
      </c>
      <c r="E930" s="0" t="s">
        <v>521</v>
      </c>
      <c r="G930" s="0" t="s">
        <v>81</v>
      </c>
    </row>
    <row r="931" customFormat="false" ht="15" hidden="false" customHeight="false" outlineLevel="0" collapsed="false">
      <c r="A931" s="0" t="s">
        <v>136</v>
      </c>
      <c r="B931" s="0" t="n">
        <v>2013</v>
      </c>
      <c r="C931" s="0" t="s">
        <v>55</v>
      </c>
      <c r="D931" s="0" t="n">
        <v>1904366</v>
      </c>
      <c r="E931" s="0" t="s">
        <v>521</v>
      </c>
      <c r="G931" s="0" t="s">
        <v>81</v>
      </c>
    </row>
    <row r="932" customFormat="false" ht="15" hidden="false" customHeight="false" outlineLevel="0" collapsed="false">
      <c r="A932" s="0" t="s">
        <v>136</v>
      </c>
      <c r="B932" s="0" t="n">
        <v>2013</v>
      </c>
      <c r="C932" s="0" t="s">
        <v>56</v>
      </c>
      <c r="D932" s="0" t="n">
        <v>1574719</v>
      </c>
      <c r="E932" s="0" t="s">
        <v>521</v>
      </c>
      <c r="G932" s="0" t="s">
        <v>81</v>
      </c>
    </row>
    <row r="933" customFormat="false" ht="15" hidden="false" customHeight="false" outlineLevel="0" collapsed="false">
      <c r="A933" s="0" t="s">
        <v>136</v>
      </c>
      <c r="B933" s="0" t="n">
        <v>2013</v>
      </c>
      <c r="C933" s="0" t="s">
        <v>57</v>
      </c>
      <c r="D933" s="0" t="n">
        <v>329647</v>
      </c>
      <c r="E933" s="0" t="s">
        <v>521</v>
      </c>
      <c r="G933" s="0" t="s">
        <v>81</v>
      </c>
    </row>
    <row r="934" customFormat="false" ht="15" hidden="false" customHeight="false" outlineLevel="0" collapsed="false">
      <c r="A934" s="0" t="s">
        <v>136</v>
      </c>
      <c r="B934" s="0" t="n">
        <v>2013</v>
      </c>
      <c r="C934" s="0" t="s">
        <v>307</v>
      </c>
      <c r="D934" s="0" t="n">
        <v>2913</v>
      </c>
      <c r="E934" s="0" t="s">
        <v>521</v>
      </c>
      <c r="G934" s="0" t="s">
        <v>81</v>
      </c>
    </row>
    <row r="935" customFormat="false" ht="15" hidden="false" customHeight="false" outlineLevel="0" collapsed="false">
      <c r="A935" s="0" t="s">
        <v>136</v>
      </c>
      <c r="B935" s="0" t="n">
        <v>2013</v>
      </c>
      <c r="C935" s="0" t="s">
        <v>64</v>
      </c>
      <c r="D935" s="0" t="n">
        <v>27707</v>
      </c>
      <c r="E935" s="0" t="s">
        <v>521</v>
      </c>
      <c r="G935" s="0" t="s">
        <v>81</v>
      </c>
    </row>
    <row r="936" customFormat="false" ht="15" hidden="false" customHeight="false" outlineLevel="0" collapsed="false">
      <c r="A936" s="0" t="s">
        <v>136</v>
      </c>
      <c r="B936" s="0" t="n">
        <v>2013</v>
      </c>
      <c r="C936" s="0" t="s">
        <v>327</v>
      </c>
      <c r="D936" s="0" t="n">
        <v>2.93</v>
      </c>
      <c r="E936" s="0" t="s">
        <v>521</v>
      </c>
      <c r="G936" s="0" t="s">
        <v>81</v>
      </c>
    </row>
    <row r="937" customFormat="false" ht="15" hidden="false" customHeight="false" outlineLevel="0" collapsed="false">
      <c r="A937" s="0" t="s">
        <v>136</v>
      </c>
      <c r="B937" s="0" t="n">
        <v>2013</v>
      </c>
      <c r="C937" s="0" t="s">
        <v>27</v>
      </c>
      <c r="D937" s="0" t="n">
        <v>17.3100653970928</v>
      </c>
      <c r="E937" s="0" t="s">
        <v>522</v>
      </c>
    </row>
    <row r="938" customFormat="false" ht="15" hidden="false" customHeight="false" outlineLevel="0" collapsed="false">
      <c r="A938" s="0" t="s">
        <v>136</v>
      </c>
      <c r="B938" s="0" t="n">
        <v>2013</v>
      </c>
      <c r="C938" s="0" t="s">
        <v>43</v>
      </c>
      <c r="D938" s="0" t="n">
        <v>4.4920986827112</v>
      </c>
      <c r="E938" s="0" t="s">
        <v>522</v>
      </c>
    </row>
    <row r="939" customFormat="false" ht="15" hidden="false" customHeight="false" outlineLevel="0" collapsed="false">
      <c r="A939" s="0" t="s">
        <v>136</v>
      </c>
      <c r="B939" s="0" t="n">
        <v>2013</v>
      </c>
      <c r="C939" s="0" t="s">
        <v>31</v>
      </c>
      <c r="D939" s="0" t="n">
        <v>82.6899346029072</v>
      </c>
      <c r="E939" s="0" t="s">
        <v>522</v>
      </c>
    </row>
    <row r="940" customFormat="false" ht="15" hidden="false" customHeight="false" outlineLevel="0" collapsed="false">
      <c r="A940" s="0" t="s">
        <v>136</v>
      </c>
      <c r="B940" s="0" t="n">
        <v>2013</v>
      </c>
      <c r="C940" s="0" t="s">
        <v>33</v>
      </c>
      <c r="D940" s="0" t="n">
        <v>14.459659702751</v>
      </c>
      <c r="E940" s="0" t="s">
        <v>522</v>
      </c>
    </row>
    <row r="941" customFormat="false" ht="15" hidden="false" customHeight="false" outlineLevel="0" collapsed="false">
      <c r="A941" s="0" t="s">
        <v>136</v>
      </c>
      <c r="B941" s="0" t="n">
        <v>2013</v>
      </c>
      <c r="C941" s="0" t="s">
        <v>21</v>
      </c>
      <c r="D941" s="0" t="n">
        <v>0</v>
      </c>
      <c r="E941" s="0" t="s">
        <v>522</v>
      </c>
    </row>
    <row r="942" customFormat="false" ht="15" hidden="false" customHeight="false" outlineLevel="0" collapsed="false">
      <c r="A942" s="0" t="s">
        <v>136</v>
      </c>
      <c r="B942" s="0" t="n">
        <v>2014</v>
      </c>
      <c r="C942" s="0" t="s">
        <v>54</v>
      </c>
      <c r="D942" s="0" t="n">
        <v>93432</v>
      </c>
      <c r="E942" s="0" t="s">
        <v>521</v>
      </c>
      <c r="G942" s="0" t="s">
        <v>81</v>
      </c>
    </row>
    <row r="943" customFormat="false" ht="15" hidden="false" customHeight="false" outlineLevel="0" collapsed="false">
      <c r="A943" s="0" t="s">
        <v>136</v>
      </c>
      <c r="B943" s="0" t="n">
        <v>2014</v>
      </c>
      <c r="C943" s="0" t="s">
        <v>55</v>
      </c>
      <c r="D943" s="0" t="n">
        <v>2126608</v>
      </c>
      <c r="E943" s="0" t="s">
        <v>521</v>
      </c>
      <c r="G943" s="0" t="s">
        <v>81</v>
      </c>
    </row>
    <row r="944" customFormat="false" ht="15" hidden="false" customHeight="false" outlineLevel="0" collapsed="false">
      <c r="A944" s="0" t="s">
        <v>136</v>
      </c>
      <c r="B944" s="0" t="n">
        <v>2014</v>
      </c>
      <c r="C944" s="0" t="s">
        <v>56</v>
      </c>
      <c r="D944" s="0" t="n">
        <v>1757078</v>
      </c>
      <c r="E944" s="0" t="s">
        <v>521</v>
      </c>
      <c r="G944" s="0" t="s">
        <v>81</v>
      </c>
    </row>
    <row r="945" customFormat="false" ht="15" hidden="false" customHeight="false" outlineLevel="0" collapsed="false">
      <c r="A945" s="0" t="s">
        <v>136</v>
      </c>
      <c r="B945" s="0" t="n">
        <v>2014</v>
      </c>
      <c r="C945" s="0" t="s">
        <v>57</v>
      </c>
      <c r="D945" s="0" t="n">
        <v>369530</v>
      </c>
      <c r="E945" s="0" t="s">
        <v>521</v>
      </c>
      <c r="G945" s="0" t="s">
        <v>81</v>
      </c>
    </row>
    <row r="946" customFormat="false" ht="15" hidden="false" customHeight="false" outlineLevel="0" collapsed="false">
      <c r="A946" s="0" t="s">
        <v>136</v>
      </c>
      <c r="B946" s="0" t="n">
        <v>2014</v>
      </c>
      <c r="C946" s="0" t="s">
        <v>59</v>
      </c>
      <c r="D946" s="0" t="n">
        <v>1904366</v>
      </c>
      <c r="E946" s="0" t="s">
        <v>521</v>
      </c>
      <c r="G946" s="0" t="s">
        <v>81</v>
      </c>
    </row>
    <row r="947" customFormat="false" ht="15" hidden="false" customHeight="false" outlineLevel="0" collapsed="false">
      <c r="A947" s="0" t="s">
        <v>136</v>
      </c>
      <c r="B947" s="0" t="n">
        <v>2014</v>
      </c>
      <c r="C947" s="0" t="s">
        <v>307</v>
      </c>
      <c r="D947" s="0" t="n">
        <v>6184</v>
      </c>
      <c r="E947" s="0" t="s">
        <v>521</v>
      </c>
      <c r="G947" s="0" t="s">
        <v>81</v>
      </c>
    </row>
    <row r="948" customFormat="false" ht="15" hidden="false" customHeight="false" outlineLevel="0" collapsed="false">
      <c r="A948" s="0" t="s">
        <v>136</v>
      </c>
      <c r="B948" s="0" t="n">
        <v>2014</v>
      </c>
      <c r="C948" s="0" t="s">
        <v>64</v>
      </c>
      <c r="D948" s="0" t="n">
        <v>32616</v>
      </c>
      <c r="E948" s="0" t="s">
        <v>521</v>
      </c>
      <c r="G948" s="0" t="s">
        <v>81</v>
      </c>
    </row>
    <row r="949" customFormat="false" ht="15" hidden="false" customHeight="false" outlineLevel="0" collapsed="false">
      <c r="A949" s="0" t="s">
        <v>136</v>
      </c>
      <c r="B949" s="0" t="n">
        <v>2014</v>
      </c>
      <c r="C949" s="0" t="s">
        <v>327</v>
      </c>
      <c r="D949" s="0" t="n">
        <v>2.7</v>
      </c>
      <c r="E949" s="0" t="s">
        <v>521</v>
      </c>
      <c r="G949" s="0" t="s">
        <v>81</v>
      </c>
    </row>
    <row r="950" customFormat="false" ht="15" hidden="false" customHeight="false" outlineLevel="0" collapsed="false">
      <c r="A950" s="0" t="s">
        <v>136</v>
      </c>
      <c r="B950" s="0" t="n">
        <v>2014</v>
      </c>
      <c r="C950" s="0" t="s">
        <v>19</v>
      </c>
      <c r="D950" s="0" t="n">
        <v>2015487</v>
      </c>
      <c r="E950" s="0" t="s">
        <v>522</v>
      </c>
    </row>
    <row r="951" customFormat="false" ht="15" hidden="false" customHeight="false" outlineLevel="0" collapsed="false">
      <c r="A951" s="0" t="s">
        <v>136</v>
      </c>
      <c r="B951" s="0" t="n">
        <v>2014</v>
      </c>
      <c r="C951" s="0" t="s">
        <v>41</v>
      </c>
      <c r="D951" s="0" t="n">
        <v>4.63570343048603</v>
      </c>
      <c r="E951" s="0" t="s">
        <v>522</v>
      </c>
    </row>
    <row r="952" customFormat="false" ht="15" hidden="false" customHeight="false" outlineLevel="0" collapsed="false">
      <c r="A952" s="0" t="s">
        <v>136</v>
      </c>
      <c r="B952" s="0" t="n">
        <v>2014</v>
      </c>
      <c r="C952" s="0" t="s">
        <v>27</v>
      </c>
      <c r="D952" s="0" t="n">
        <v>17.3764981604508</v>
      </c>
      <c r="E952" s="0" t="s">
        <v>522</v>
      </c>
    </row>
    <row r="953" customFormat="false" ht="15" hidden="false" customHeight="false" outlineLevel="0" collapsed="false">
      <c r="A953" s="0" t="s">
        <v>136</v>
      </c>
      <c r="B953" s="0" t="n">
        <v>2014</v>
      </c>
      <c r="C953" s="0" t="s">
        <v>43</v>
      </c>
      <c r="D953" s="0" t="n">
        <v>4.39347543129717</v>
      </c>
      <c r="E953" s="0" t="s">
        <v>522</v>
      </c>
    </row>
    <row r="954" customFormat="false" ht="15" hidden="false" customHeight="false" outlineLevel="0" collapsed="false">
      <c r="A954" s="0" t="s">
        <v>136</v>
      </c>
      <c r="B954" s="0" t="n">
        <v>2014</v>
      </c>
      <c r="C954" s="0" t="s">
        <v>31</v>
      </c>
      <c r="D954" s="0" t="n">
        <v>82.6235018395492</v>
      </c>
      <c r="E954" s="0" t="s">
        <v>522</v>
      </c>
    </row>
    <row r="955" customFormat="false" ht="15" hidden="false" customHeight="false" outlineLevel="0" collapsed="false">
      <c r="A955" s="0" t="s">
        <v>136</v>
      </c>
      <c r="B955" s="0" t="n">
        <v>2014</v>
      </c>
      <c r="C955" s="0" t="s">
        <v>33</v>
      </c>
      <c r="D955" s="0" t="n">
        <v>14.5700387800655</v>
      </c>
      <c r="E955" s="0" t="s">
        <v>522</v>
      </c>
    </row>
    <row r="956" customFormat="false" ht="15" hidden="false" customHeight="false" outlineLevel="0" collapsed="false">
      <c r="A956" s="0" t="s">
        <v>136</v>
      </c>
      <c r="B956" s="0" t="n">
        <v>2014</v>
      </c>
      <c r="C956" s="0" t="s">
        <v>21</v>
      </c>
      <c r="D956" s="0" t="n">
        <v>0</v>
      </c>
      <c r="E956" s="0" t="s">
        <v>522</v>
      </c>
    </row>
    <row r="957" customFormat="false" ht="15" hidden="false" customHeight="false" outlineLevel="0" collapsed="false">
      <c r="A957" s="0" t="s">
        <v>136</v>
      </c>
      <c r="B957" s="0" t="n">
        <v>2015</v>
      </c>
      <c r="C957" s="0" t="s">
        <v>54</v>
      </c>
      <c r="D957" s="0" t="n">
        <v>94308.123</v>
      </c>
      <c r="E957" s="0" t="s">
        <v>523</v>
      </c>
      <c r="F957" s="0" t="s">
        <v>524</v>
      </c>
      <c r="G957" s="0" t="s">
        <v>84</v>
      </c>
      <c r="H957" s="0" t="s">
        <v>997</v>
      </c>
    </row>
    <row r="958" customFormat="false" ht="15" hidden="false" customHeight="false" outlineLevel="0" collapsed="false">
      <c r="A958" s="0" t="s">
        <v>136</v>
      </c>
      <c r="B958" s="0" t="n">
        <v>2015</v>
      </c>
      <c r="C958" s="0" t="s">
        <v>55</v>
      </c>
      <c r="D958" s="0" t="n">
        <v>2277629.224</v>
      </c>
      <c r="E958" s="0" t="s">
        <v>523</v>
      </c>
      <c r="F958" s="0" t="s">
        <v>524</v>
      </c>
      <c r="G958" s="0" t="s">
        <v>84</v>
      </c>
      <c r="H958" s="0" t="s">
        <v>998</v>
      </c>
    </row>
    <row r="959" customFormat="false" ht="15" hidden="false" customHeight="false" outlineLevel="0" collapsed="false">
      <c r="A959" s="0" t="s">
        <v>136</v>
      </c>
      <c r="B959" s="0" t="n">
        <v>2015</v>
      </c>
      <c r="C959" s="0" t="s">
        <v>56</v>
      </c>
      <c r="D959" s="0" t="n">
        <v>1872020.876</v>
      </c>
      <c r="E959" s="0" t="s">
        <v>523</v>
      </c>
      <c r="F959" s="0" t="s">
        <v>524</v>
      </c>
      <c r="G959" s="0" t="s">
        <v>84</v>
      </c>
      <c r="H959" s="0" t="s">
        <v>999</v>
      </c>
    </row>
    <row r="960" customFormat="false" ht="15" hidden="false" customHeight="false" outlineLevel="0" collapsed="false">
      <c r="A960" s="0" t="s">
        <v>136</v>
      </c>
      <c r="B960" s="0" t="n">
        <v>2015</v>
      </c>
      <c r="C960" s="0" t="s">
        <v>57</v>
      </c>
      <c r="D960" s="0" t="n">
        <v>405608.348</v>
      </c>
      <c r="E960" s="0" t="s">
        <v>523</v>
      </c>
      <c r="F960" s="0" t="s">
        <v>524</v>
      </c>
      <c r="G960" s="0" t="s">
        <v>84</v>
      </c>
      <c r="H960" s="0" t="s">
        <v>1000</v>
      </c>
    </row>
    <row r="961" customFormat="false" ht="15" hidden="false" customHeight="false" outlineLevel="0" collapsed="false">
      <c r="A961" s="0" t="s">
        <v>136</v>
      </c>
      <c r="B961" s="0" t="n">
        <v>2015</v>
      </c>
      <c r="C961" s="0" t="s">
        <v>58</v>
      </c>
      <c r="D961" s="0" t="n">
        <v>10429.148</v>
      </c>
      <c r="E961" s="0" t="s">
        <v>523</v>
      </c>
      <c r="F961" s="0" t="s">
        <v>524</v>
      </c>
      <c r="G961" s="0" t="s">
        <v>84</v>
      </c>
      <c r="H961" s="0" t="s">
        <v>1001</v>
      </c>
    </row>
    <row r="962" customFormat="false" ht="15" hidden="false" customHeight="false" outlineLevel="0" collapsed="false">
      <c r="A962" s="0" t="s">
        <v>136</v>
      </c>
      <c r="B962" s="0" t="n">
        <v>2015</v>
      </c>
      <c r="C962" s="0" t="s">
        <v>59</v>
      </c>
      <c r="D962" s="0" t="n">
        <v>2126608.312</v>
      </c>
      <c r="E962" s="0" t="s">
        <v>643</v>
      </c>
      <c r="F962" s="0" t="s">
        <v>524</v>
      </c>
      <c r="G962" s="0" t="s">
        <v>84</v>
      </c>
      <c r="H962" s="0" t="s">
        <v>1002</v>
      </c>
    </row>
    <row r="963" customFormat="false" ht="15" hidden="false" customHeight="false" outlineLevel="0" collapsed="false">
      <c r="A963" s="0" t="s">
        <v>136</v>
      </c>
      <c r="B963" s="0" t="n">
        <v>2015</v>
      </c>
      <c r="C963" s="0" t="s">
        <v>60</v>
      </c>
      <c r="D963" s="0" t="n">
        <v>1291516.228</v>
      </c>
      <c r="E963" s="0" t="s">
        <v>979</v>
      </c>
      <c r="F963" s="0" t="s">
        <v>524</v>
      </c>
      <c r="G963" s="0" t="s">
        <v>84</v>
      </c>
      <c r="H963" s="0" t="s">
        <v>1003</v>
      </c>
    </row>
    <row r="964" customFormat="false" ht="15" hidden="false" customHeight="false" outlineLevel="0" collapsed="false">
      <c r="A964" s="0" t="s">
        <v>136</v>
      </c>
      <c r="B964" s="0" t="n">
        <v>2015</v>
      </c>
      <c r="C964" s="0" t="s">
        <v>61</v>
      </c>
      <c r="D964" s="0" t="n">
        <v>26308.785</v>
      </c>
      <c r="E964" s="0" t="s">
        <v>979</v>
      </c>
      <c r="F964" s="0" t="s">
        <v>524</v>
      </c>
      <c r="G964" s="0" t="s">
        <v>84</v>
      </c>
      <c r="H964" s="0" t="s">
        <v>1004</v>
      </c>
    </row>
    <row r="965" customFormat="false" ht="15" hidden="false" customHeight="false" outlineLevel="0" collapsed="false">
      <c r="A965" s="0" t="s">
        <v>136</v>
      </c>
      <c r="B965" s="0" t="n">
        <v>2015</v>
      </c>
      <c r="C965" s="0" t="s">
        <v>62</v>
      </c>
      <c r="D965" s="0" t="n">
        <v>1265207.443</v>
      </c>
      <c r="E965" s="0" t="s">
        <v>523</v>
      </c>
      <c r="F965" s="0" t="s">
        <v>524</v>
      </c>
      <c r="G965" s="0" t="s">
        <v>84</v>
      </c>
      <c r="H965" s="0" t="s">
        <v>1005</v>
      </c>
    </row>
    <row r="966" customFormat="false" ht="15" hidden="false" customHeight="false" outlineLevel="0" collapsed="false">
      <c r="A966" s="0" t="s">
        <v>136</v>
      </c>
      <c r="B966" s="0" t="n">
        <v>2015</v>
      </c>
      <c r="C966" s="0" t="s">
        <v>63</v>
      </c>
      <c r="D966" s="0" t="n">
        <v>11769.374</v>
      </c>
      <c r="E966" s="0" t="s">
        <v>523</v>
      </c>
      <c r="F966" s="0" t="s">
        <v>524</v>
      </c>
      <c r="G966" s="0" t="s">
        <v>84</v>
      </c>
      <c r="H966" s="0" t="s">
        <v>1006</v>
      </c>
    </row>
    <row r="967" customFormat="false" ht="15" hidden="false" customHeight="false" outlineLevel="0" collapsed="false">
      <c r="A967" s="0" t="s">
        <v>136</v>
      </c>
      <c r="B967" s="0" t="n">
        <v>2015</v>
      </c>
      <c r="C967" s="0" t="s">
        <v>69</v>
      </c>
      <c r="D967" s="0" t="n">
        <v>18.17</v>
      </c>
      <c r="E967" s="0" t="s">
        <v>523</v>
      </c>
      <c r="F967" s="0" t="s">
        <v>524</v>
      </c>
      <c r="G967" s="0" t="s">
        <v>84</v>
      </c>
      <c r="H967" s="0" t="s">
        <v>1007</v>
      </c>
      <c r="I967" s="0" t="s">
        <v>830</v>
      </c>
    </row>
    <row r="968" customFormat="false" ht="15" hidden="false" customHeight="false" outlineLevel="0" collapsed="false">
      <c r="A968" s="0" t="s">
        <v>136</v>
      </c>
      <c r="B968" s="0" t="n">
        <v>2015</v>
      </c>
      <c r="C968" s="0" t="s">
        <v>65</v>
      </c>
      <c r="D968" s="0" t="n">
        <v>333426.139</v>
      </c>
      <c r="E968" s="0" t="s">
        <v>523</v>
      </c>
      <c r="F968" s="0" t="s">
        <v>524</v>
      </c>
      <c r="G968" s="0" t="s">
        <v>84</v>
      </c>
      <c r="H968" s="0" t="s">
        <v>1008</v>
      </c>
    </row>
    <row r="969" customFormat="false" ht="15" hidden="false" customHeight="false" outlineLevel="0" collapsed="false">
      <c r="A969" s="0" t="s">
        <v>136</v>
      </c>
      <c r="B969" s="0" t="n">
        <v>2015</v>
      </c>
      <c r="C969" s="0" t="s">
        <v>66</v>
      </c>
      <c r="D969" s="0" t="n">
        <v>1835072.113</v>
      </c>
      <c r="E969" s="0" t="s">
        <v>523</v>
      </c>
      <c r="F969" s="0" t="s">
        <v>524</v>
      </c>
      <c r="G969" s="0" t="s">
        <v>84</v>
      </c>
      <c r="H969" s="0" t="s">
        <v>1009</v>
      </c>
    </row>
    <row r="970" customFormat="false" ht="15" hidden="false" customHeight="false" outlineLevel="0" collapsed="false">
      <c r="A970" s="0" t="s">
        <v>136</v>
      </c>
      <c r="B970" s="0" t="n">
        <v>2015</v>
      </c>
      <c r="C970" s="0" t="s">
        <v>73</v>
      </c>
      <c r="D970" s="0" t="n">
        <v>0</v>
      </c>
      <c r="E970" s="0" t="s">
        <v>539</v>
      </c>
      <c r="F970" s="0" t="s">
        <v>524</v>
      </c>
      <c r="G970" s="0" t="s">
        <v>84</v>
      </c>
      <c r="H970" s="0" t="s">
        <v>1010</v>
      </c>
    </row>
    <row r="971" customFormat="false" ht="15" hidden="false" customHeight="false" outlineLevel="0" collapsed="false">
      <c r="A971" s="0" t="s">
        <v>136</v>
      </c>
      <c r="B971" s="0" t="n">
        <v>2015</v>
      </c>
      <c r="C971" s="0" t="s">
        <v>541</v>
      </c>
      <c r="D971" s="0" t="n">
        <v>113027.057</v>
      </c>
      <c r="E971" s="0" t="s">
        <v>523</v>
      </c>
      <c r="F971" s="0" t="s">
        <v>524</v>
      </c>
      <c r="G971" s="0" t="s">
        <v>84</v>
      </c>
      <c r="H971" s="0" t="s">
        <v>1011</v>
      </c>
    </row>
    <row r="972" customFormat="false" ht="15" hidden="false" customHeight="false" outlineLevel="0" collapsed="false">
      <c r="A972" s="0" t="s">
        <v>136</v>
      </c>
      <c r="B972" s="0" t="n">
        <v>2015</v>
      </c>
      <c r="C972" s="0" t="s">
        <v>19</v>
      </c>
      <c r="D972" s="0" t="n">
        <v>2202118.768</v>
      </c>
      <c r="E972" s="0" t="s">
        <v>522</v>
      </c>
    </row>
    <row r="973" customFormat="false" ht="15" hidden="false" customHeight="false" outlineLevel="0" collapsed="false">
      <c r="A973" s="0" t="s">
        <v>136</v>
      </c>
      <c r="B973" s="0" t="n">
        <v>2015</v>
      </c>
      <c r="C973" s="0" t="s">
        <v>41</v>
      </c>
      <c r="D973" s="0" t="n">
        <v>4.28260838472632</v>
      </c>
      <c r="E973" s="0" t="s">
        <v>522</v>
      </c>
    </row>
    <row r="974" customFormat="false" ht="15" hidden="false" customHeight="false" outlineLevel="0" collapsed="false">
      <c r="A974" s="0" t="s">
        <v>136</v>
      </c>
      <c r="B974" s="0" t="n">
        <v>2015</v>
      </c>
      <c r="C974" s="0" t="s">
        <v>27</v>
      </c>
      <c r="D974" s="0" t="n">
        <v>17.8083572043243</v>
      </c>
      <c r="E974" s="0" t="s">
        <v>522</v>
      </c>
    </row>
    <row r="975" customFormat="false" ht="15" hidden="false" customHeight="false" outlineLevel="0" collapsed="false">
      <c r="A975" s="0" t="s">
        <v>136</v>
      </c>
      <c r="B975" s="0" t="n">
        <v>2015</v>
      </c>
      <c r="C975" s="0" t="s">
        <v>39</v>
      </c>
      <c r="D975" s="0" t="n">
        <v>0.473596072634716</v>
      </c>
      <c r="E975" s="0" t="s">
        <v>522</v>
      </c>
    </row>
    <row r="976" customFormat="false" ht="15" hidden="false" customHeight="false" outlineLevel="0" collapsed="false">
      <c r="A976" s="0" t="s">
        <v>136</v>
      </c>
      <c r="B976" s="0" t="n">
        <v>2015</v>
      </c>
      <c r="C976" s="0" t="s">
        <v>17</v>
      </c>
      <c r="D976" s="0" t="n">
        <v>2.03704641332621</v>
      </c>
      <c r="E976" s="0" t="s">
        <v>522</v>
      </c>
    </row>
    <row r="977" customFormat="false" ht="15" hidden="false" customHeight="false" outlineLevel="0" collapsed="false">
      <c r="A977" s="0" t="s">
        <v>136</v>
      </c>
      <c r="B977" s="0" t="n">
        <v>2015</v>
      </c>
      <c r="C977" s="0" t="s">
        <v>25</v>
      </c>
      <c r="D977" s="0" t="n">
        <v>18.1696477559626</v>
      </c>
      <c r="E977" s="0" t="s">
        <v>522</v>
      </c>
    </row>
    <row r="978" customFormat="false" ht="15" hidden="false" customHeight="false" outlineLevel="0" collapsed="false">
      <c r="A978" s="0" t="s">
        <v>136</v>
      </c>
      <c r="B978" s="0" t="n">
        <v>2015</v>
      </c>
      <c r="C978" s="0" t="s">
        <v>29</v>
      </c>
      <c r="D978" s="0" t="n">
        <v>0.534456822721198</v>
      </c>
      <c r="E978" s="0" t="s">
        <v>522</v>
      </c>
    </row>
    <row r="979" customFormat="false" ht="15" hidden="false" customHeight="false" outlineLevel="0" collapsed="false">
      <c r="A979" s="0" t="s">
        <v>136</v>
      </c>
      <c r="B979" s="0" t="n">
        <v>2015</v>
      </c>
      <c r="C979" s="0" t="s">
        <v>43</v>
      </c>
      <c r="D979" s="0" t="n">
        <v>4.14062666593182</v>
      </c>
      <c r="E979" s="0" t="s">
        <v>522</v>
      </c>
    </row>
    <row r="980" customFormat="false" ht="15" hidden="false" customHeight="false" outlineLevel="0" collapsed="false">
      <c r="A980" s="0" t="s">
        <v>136</v>
      </c>
      <c r="B980" s="0" t="n">
        <v>2015</v>
      </c>
      <c r="C980" s="0" t="s">
        <v>31</v>
      </c>
      <c r="D980" s="0" t="n">
        <v>82.1916427956757</v>
      </c>
      <c r="E980" s="0" t="s">
        <v>522</v>
      </c>
    </row>
    <row r="981" customFormat="false" ht="15" hidden="false" customHeight="false" outlineLevel="0" collapsed="false">
      <c r="A981" s="0" t="s">
        <v>136</v>
      </c>
      <c r="B981" s="0" t="n">
        <v>2015</v>
      </c>
      <c r="C981" s="0" t="s">
        <v>33</v>
      </c>
      <c r="D981" s="0" t="n">
        <v>14.6386456459139</v>
      </c>
      <c r="E981" s="0" t="s">
        <v>522</v>
      </c>
    </row>
    <row r="982" customFormat="false" ht="15" hidden="false" customHeight="false" outlineLevel="0" collapsed="false">
      <c r="A982" s="0" t="s">
        <v>136</v>
      </c>
      <c r="B982" s="0" t="n">
        <v>2015</v>
      </c>
      <c r="C982" s="0" t="s">
        <v>21</v>
      </c>
      <c r="D982" s="0" t="n">
        <v>0</v>
      </c>
      <c r="E982" s="0" t="s">
        <v>522</v>
      </c>
    </row>
    <row r="983" customFormat="false" ht="15" hidden="false" customHeight="false" outlineLevel="0" collapsed="false">
      <c r="A983" s="0" t="s">
        <v>136</v>
      </c>
      <c r="B983" s="0" t="n">
        <v>2015</v>
      </c>
      <c r="C983" s="0" t="s">
        <v>35</v>
      </c>
      <c r="D983" s="0" t="n">
        <v>0</v>
      </c>
      <c r="E983" s="0" t="s">
        <v>522</v>
      </c>
    </row>
    <row r="984" customFormat="false" ht="15" hidden="false" customHeight="false" outlineLevel="0" collapsed="false">
      <c r="A984" s="0" t="s">
        <v>136</v>
      </c>
      <c r="B984" s="0" t="n">
        <v>2016</v>
      </c>
      <c r="C984" s="0" t="s">
        <v>54</v>
      </c>
      <c r="D984" s="0" t="n">
        <v>126836.792</v>
      </c>
      <c r="E984" s="0" t="s">
        <v>523</v>
      </c>
      <c r="F984" s="0" t="s">
        <v>524</v>
      </c>
      <c r="G984" s="0" t="s">
        <v>140</v>
      </c>
      <c r="H984" s="0" t="s">
        <v>1012</v>
      </c>
    </row>
    <row r="985" customFormat="false" ht="15" hidden="false" customHeight="false" outlineLevel="0" collapsed="false">
      <c r="A985" s="0" t="s">
        <v>136</v>
      </c>
      <c r="B985" s="0" t="n">
        <v>2016</v>
      </c>
      <c r="C985" s="0" t="s">
        <v>55</v>
      </c>
      <c r="D985" s="0" t="n">
        <v>2613340.074</v>
      </c>
      <c r="E985" s="0" t="s">
        <v>523</v>
      </c>
      <c r="F985" s="0" t="s">
        <v>524</v>
      </c>
      <c r="G985" s="0" t="s">
        <v>140</v>
      </c>
      <c r="H985" s="0" t="s">
        <v>1013</v>
      </c>
    </row>
    <row r="986" customFormat="false" ht="15" hidden="false" customHeight="false" outlineLevel="0" collapsed="false">
      <c r="A986" s="0" t="s">
        <v>136</v>
      </c>
      <c r="B986" s="0" t="n">
        <v>2016</v>
      </c>
      <c r="C986" s="0" t="s">
        <v>56</v>
      </c>
      <c r="D986" s="0" t="n">
        <v>2136422.221</v>
      </c>
      <c r="E986" s="0" t="s">
        <v>523</v>
      </c>
      <c r="F986" s="0" t="s">
        <v>524</v>
      </c>
      <c r="G986" s="0" t="s">
        <v>140</v>
      </c>
      <c r="H986" s="0" t="s">
        <v>1014</v>
      </c>
    </row>
    <row r="987" customFormat="false" ht="15" hidden="false" customHeight="false" outlineLevel="0" collapsed="false">
      <c r="A987" s="0" t="s">
        <v>136</v>
      </c>
      <c r="B987" s="0" t="n">
        <v>2016</v>
      </c>
      <c r="C987" s="0" t="s">
        <v>57</v>
      </c>
      <c r="D987" s="0" t="n">
        <v>476917.853</v>
      </c>
      <c r="E987" s="0" t="s">
        <v>523</v>
      </c>
      <c r="F987" s="0" t="s">
        <v>524</v>
      </c>
      <c r="G987" s="0" t="s">
        <v>140</v>
      </c>
      <c r="H987" s="0" t="s">
        <v>1015</v>
      </c>
    </row>
    <row r="988" customFormat="false" ht="15" hidden="false" customHeight="false" outlineLevel="0" collapsed="false">
      <c r="A988" s="0" t="s">
        <v>136</v>
      </c>
      <c r="B988" s="0" t="n">
        <v>2016</v>
      </c>
      <c r="C988" s="0" t="s">
        <v>58</v>
      </c>
      <c r="D988" s="0" t="n">
        <v>286884.139</v>
      </c>
      <c r="E988" s="0" t="s">
        <v>523</v>
      </c>
      <c r="F988" s="0" t="s">
        <v>524</v>
      </c>
      <c r="G988" s="0" t="s">
        <v>140</v>
      </c>
      <c r="H988" s="0" t="s">
        <v>1016</v>
      </c>
    </row>
    <row r="989" customFormat="false" ht="15" hidden="false" customHeight="false" outlineLevel="0" collapsed="false">
      <c r="A989" s="0" t="s">
        <v>136</v>
      </c>
      <c r="B989" s="0" t="n">
        <v>2016</v>
      </c>
      <c r="C989" s="0" t="s">
        <v>59</v>
      </c>
      <c r="D989" s="0" t="n">
        <v>2277629.224</v>
      </c>
      <c r="E989" s="0" t="s">
        <v>643</v>
      </c>
      <c r="F989" s="0" t="s">
        <v>524</v>
      </c>
      <c r="G989" s="0" t="s">
        <v>140</v>
      </c>
      <c r="H989" s="0" t="s">
        <v>1017</v>
      </c>
    </row>
    <row r="990" customFormat="false" ht="15" hidden="false" customHeight="false" outlineLevel="0" collapsed="false">
      <c r="A990" s="0" t="s">
        <v>136</v>
      </c>
      <c r="B990" s="0" t="n">
        <v>2016</v>
      </c>
      <c r="C990" s="0" t="s">
        <v>60</v>
      </c>
      <c r="D990" s="0" t="n">
        <v>1491117.716</v>
      </c>
      <c r="E990" s="0" t="s">
        <v>979</v>
      </c>
      <c r="F990" s="0" t="s">
        <v>524</v>
      </c>
      <c r="G990" s="0" t="s">
        <v>140</v>
      </c>
      <c r="H990" s="0" t="s">
        <v>1018</v>
      </c>
    </row>
    <row r="991" customFormat="false" ht="15" hidden="false" customHeight="false" outlineLevel="0" collapsed="false">
      <c r="A991" s="0" t="s">
        <v>136</v>
      </c>
      <c r="B991" s="0" t="n">
        <v>2016</v>
      </c>
      <c r="C991" s="0" t="s">
        <v>61</v>
      </c>
      <c r="D991" s="0" t="n">
        <v>73899.764</v>
      </c>
      <c r="E991" s="0" t="s">
        <v>979</v>
      </c>
      <c r="F991" s="0" t="s">
        <v>524</v>
      </c>
      <c r="G991" s="0" t="s">
        <v>140</v>
      </c>
      <c r="H991" s="0" t="s">
        <v>1019</v>
      </c>
    </row>
    <row r="992" customFormat="false" ht="15" hidden="false" customHeight="false" outlineLevel="0" collapsed="false">
      <c r="A992" s="0" t="s">
        <v>136</v>
      </c>
      <c r="B992" s="0" t="n">
        <v>2016</v>
      </c>
      <c r="C992" s="0" t="s">
        <v>62</v>
      </c>
      <c r="D992" s="0" t="n">
        <v>1417217.952</v>
      </c>
      <c r="E992" s="0" t="s">
        <v>523</v>
      </c>
      <c r="F992" s="0" t="s">
        <v>524</v>
      </c>
      <c r="G992" s="0" t="s">
        <v>140</v>
      </c>
      <c r="H992" s="0" t="s">
        <v>1020</v>
      </c>
    </row>
    <row r="993" customFormat="false" ht="15" hidden="false" customHeight="false" outlineLevel="0" collapsed="false">
      <c r="A993" s="0" t="s">
        <v>136</v>
      </c>
      <c r="B993" s="0" t="n">
        <v>2016</v>
      </c>
      <c r="C993" s="0" t="s">
        <v>63</v>
      </c>
      <c r="D993" s="0" t="n">
        <v>63542.64</v>
      </c>
      <c r="E993" s="0" t="s">
        <v>523</v>
      </c>
      <c r="F993" s="0" t="s">
        <v>524</v>
      </c>
      <c r="G993" s="0" t="s">
        <v>140</v>
      </c>
      <c r="H993" s="0" t="s">
        <v>1021</v>
      </c>
    </row>
    <row r="994" customFormat="false" ht="15" hidden="false" customHeight="false" outlineLevel="0" collapsed="false">
      <c r="A994" s="0" t="s">
        <v>136</v>
      </c>
      <c r="B994" s="0" t="n">
        <v>2016</v>
      </c>
      <c r="C994" s="0" t="s">
        <v>69</v>
      </c>
      <c r="D994" s="0" t="n">
        <v>19.79</v>
      </c>
      <c r="E994" s="0" t="s">
        <v>523</v>
      </c>
      <c r="F994" s="0" t="s">
        <v>524</v>
      </c>
      <c r="G994" s="0" t="s">
        <v>140</v>
      </c>
      <c r="H994" s="0" t="s">
        <v>1022</v>
      </c>
    </row>
    <row r="995" customFormat="false" ht="15" hidden="false" customHeight="false" outlineLevel="0" collapsed="false">
      <c r="A995" s="0" t="s">
        <v>136</v>
      </c>
      <c r="B995" s="0" t="n">
        <v>2016</v>
      </c>
      <c r="C995" s="0" t="s">
        <v>65</v>
      </c>
      <c r="D995" s="0" t="n">
        <v>405526.626</v>
      </c>
      <c r="E995" s="0" t="s">
        <v>523</v>
      </c>
      <c r="F995" s="0" t="s">
        <v>524</v>
      </c>
      <c r="G995" s="0" t="s">
        <v>140</v>
      </c>
      <c r="H995" s="0" t="s">
        <v>1023</v>
      </c>
    </row>
    <row r="996" customFormat="false" ht="15" hidden="false" customHeight="false" outlineLevel="0" collapsed="false">
      <c r="A996" s="0" t="s">
        <v>136</v>
      </c>
      <c r="B996" s="0" t="n">
        <v>2016</v>
      </c>
      <c r="C996" s="0" t="s">
        <v>66</v>
      </c>
      <c r="D996" s="0" t="n">
        <v>2049087.592</v>
      </c>
      <c r="E996" s="0" t="s">
        <v>523</v>
      </c>
      <c r="F996" s="0" t="s">
        <v>524</v>
      </c>
      <c r="G996" s="0" t="s">
        <v>140</v>
      </c>
      <c r="H996" s="0" t="s">
        <v>1024</v>
      </c>
    </row>
    <row r="997" customFormat="false" ht="15" hidden="false" customHeight="false" outlineLevel="0" collapsed="false">
      <c r="A997" s="0" t="s">
        <v>136</v>
      </c>
      <c r="B997" s="0" t="n">
        <v>2016</v>
      </c>
      <c r="C997" s="0" t="s">
        <v>73</v>
      </c>
      <c r="D997" s="0" t="n">
        <v>0</v>
      </c>
      <c r="E997" s="0" t="s">
        <v>539</v>
      </c>
      <c r="F997" s="0" t="s">
        <v>524</v>
      </c>
      <c r="G997" s="0" t="s">
        <v>140</v>
      </c>
      <c r="H997" s="0" t="s">
        <v>1025</v>
      </c>
    </row>
    <row r="998" customFormat="false" ht="15" hidden="false" customHeight="false" outlineLevel="0" collapsed="false">
      <c r="A998" s="0" t="s">
        <v>136</v>
      </c>
      <c r="B998" s="0" t="n">
        <v>2016</v>
      </c>
      <c r="C998" s="0" t="s">
        <v>541</v>
      </c>
      <c r="D998" s="0" t="n">
        <v>154005.487</v>
      </c>
      <c r="E998" s="0" t="s">
        <v>523</v>
      </c>
      <c r="F998" s="0" t="s">
        <v>524</v>
      </c>
      <c r="G998" s="0" t="s">
        <v>140</v>
      </c>
      <c r="H998" s="0" t="s">
        <v>1026</v>
      </c>
    </row>
    <row r="999" customFormat="false" ht="15" hidden="false" customHeight="false" outlineLevel="0" collapsed="false">
      <c r="A999" s="0" t="s">
        <v>136</v>
      </c>
      <c r="B999" s="0" t="n">
        <v>2016</v>
      </c>
      <c r="C999" s="0" t="s">
        <v>19</v>
      </c>
      <c r="D999" s="0" t="n">
        <v>2445484.649</v>
      </c>
      <c r="E999" s="0" t="s">
        <v>522</v>
      </c>
    </row>
    <row r="1000" customFormat="false" ht="15" hidden="false" customHeight="false" outlineLevel="0" collapsed="false">
      <c r="A1000" s="0" t="s">
        <v>136</v>
      </c>
      <c r="B1000" s="0" t="n">
        <v>2016</v>
      </c>
      <c r="C1000" s="0" t="s">
        <v>41</v>
      </c>
      <c r="D1000" s="0" t="n">
        <v>5.18657077041419</v>
      </c>
      <c r="E1000" s="0" t="s">
        <v>522</v>
      </c>
    </row>
    <row r="1001" customFormat="false" ht="15" hidden="false" customHeight="false" outlineLevel="0" collapsed="false">
      <c r="A1001" s="0" t="s">
        <v>136</v>
      </c>
      <c r="B1001" s="0" t="n">
        <v>2016</v>
      </c>
      <c r="C1001" s="0" t="s">
        <v>27</v>
      </c>
      <c r="D1001" s="0" t="n">
        <v>18.24936056906</v>
      </c>
      <c r="E1001" s="0" t="s">
        <v>522</v>
      </c>
    </row>
    <row r="1002" customFormat="false" ht="15" hidden="false" customHeight="false" outlineLevel="0" collapsed="false">
      <c r="A1002" s="0" t="s">
        <v>136</v>
      </c>
      <c r="B1002" s="0" t="n">
        <v>2016</v>
      </c>
      <c r="C1002" s="0" t="s">
        <v>39</v>
      </c>
      <c r="D1002" s="0" t="n">
        <v>11.7311772583529</v>
      </c>
      <c r="E1002" s="0" t="s">
        <v>522</v>
      </c>
    </row>
    <row r="1003" customFormat="false" ht="15" hidden="false" customHeight="false" outlineLevel="0" collapsed="false">
      <c r="A1003" s="0" t="s">
        <v>136</v>
      </c>
      <c r="B1003" s="0" t="n">
        <v>2016</v>
      </c>
      <c r="C1003" s="0" t="s">
        <v>17</v>
      </c>
      <c r="D1003" s="0" t="n">
        <v>4.95599798775377</v>
      </c>
      <c r="E1003" s="0" t="s">
        <v>522</v>
      </c>
    </row>
    <row r="1004" customFormat="false" ht="15" hidden="false" customHeight="false" outlineLevel="0" collapsed="false">
      <c r="A1004" s="0" t="s">
        <v>136</v>
      </c>
      <c r="B1004" s="0" t="n">
        <v>2016</v>
      </c>
      <c r="C1004" s="0" t="s">
        <v>25</v>
      </c>
      <c r="D1004" s="0" t="n">
        <v>19.7905949742338</v>
      </c>
      <c r="E1004" s="0" t="s">
        <v>522</v>
      </c>
    </row>
    <row r="1005" customFormat="false" ht="15" hidden="false" customHeight="false" outlineLevel="0" collapsed="false">
      <c r="A1005" s="0" t="s">
        <v>136</v>
      </c>
      <c r="B1005" s="0" t="n">
        <v>2016</v>
      </c>
      <c r="C1005" s="0" t="s">
        <v>29</v>
      </c>
      <c r="D1005" s="0" t="n">
        <v>2.59836593233099</v>
      </c>
      <c r="E1005" s="0" t="s">
        <v>522</v>
      </c>
    </row>
    <row r="1006" customFormat="false" ht="15" hidden="false" customHeight="false" outlineLevel="0" collapsed="false">
      <c r="A1006" s="0" t="s">
        <v>136</v>
      </c>
      <c r="B1006" s="0" t="n">
        <v>2016</v>
      </c>
      <c r="C1006" s="0" t="s">
        <v>43</v>
      </c>
      <c r="D1006" s="0" t="n">
        <v>4.85343615482322</v>
      </c>
      <c r="E1006" s="0" t="s">
        <v>522</v>
      </c>
    </row>
    <row r="1007" customFormat="false" ht="15" hidden="false" customHeight="false" outlineLevel="0" collapsed="false">
      <c r="A1007" s="0" t="s">
        <v>136</v>
      </c>
      <c r="B1007" s="0" t="n">
        <v>2016</v>
      </c>
      <c r="C1007" s="0" t="s">
        <v>31</v>
      </c>
      <c r="D1007" s="0" t="n">
        <v>81.75063943094</v>
      </c>
      <c r="E1007" s="0" t="s">
        <v>522</v>
      </c>
    </row>
    <row r="1008" customFormat="false" ht="15" hidden="false" customHeight="false" outlineLevel="0" collapsed="false">
      <c r="A1008" s="0" t="s">
        <v>136</v>
      </c>
      <c r="B1008" s="0" t="n">
        <v>2016</v>
      </c>
      <c r="C1008" s="0" t="s">
        <v>33</v>
      </c>
      <c r="D1008" s="0" t="n">
        <v>14.7761396829919</v>
      </c>
      <c r="E1008" s="0" t="s">
        <v>522</v>
      </c>
    </row>
    <row r="1009" customFormat="false" ht="15" hidden="false" customHeight="false" outlineLevel="0" collapsed="false">
      <c r="A1009" s="0" t="s">
        <v>136</v>
      </c>
      <c r="B1009" s="0" t="n">
        <v>2016</v>
      </c>
      <c r="C1009" s="0" t="s">
        <v>21</v>
      </c>
      <c r="D1009" s="0" t="n">
        <v>1.16415321826935E-010</v>
      </c>
      <c r="E1009" s="0" t="s">
        <v>522</v>
      </c>
    </row>
    <row r="1010" customFormat="false" ht="15" hidden="false" customHeight="false" outlineLevel="0" collapsed="false">
      <c r="A1010" s="0" t="s">
        <v>136</v>
      </c>
      <c r="B1010" s="0" t="n">
        <v>2016</v>
      </c>
      <c r="C1010" s="0" t="s">
        <v>35</v>
      </c>
      <c r="D1010" s="0" t="n">
        <v>0</v>
      </c>
      <c r="E1010" s="0" t="s">
        <v>522</v>
      </c>
    </row>
    <row r="1011" customFormat="false" ht="15" hidden="false" customHeight="false" outlineLevel="0" collapsed="false">
      <c r="A1011" s="0" t="s">
        <v>136</v>
      </c>
      <c r="B1011" s="0" t="n">
        <v>2017</v>
      </c>
      <c r="C1011" s="0" t="s">
        <v>54</v>
      </c>
      <c r="D1011" s="0" t="n">
        <v>158727.705</v>
      </c>
      <c r="E1011" s="0" t="s">
        <v>643</v>
      </c>
      <c r="F1011" s="0" t="s">
        <v>524</v>
      </c>
      <c r="G1011" s="0" t="s">
        <v>142</v>
      </c>
      <c r="H1011" s="0" t="s">
        <v>1027</v>
      </c>
    </row>
    <row r="1012" customFormat="false" ht="15" hidden="false" customHeight="false" outlineLevel="0" collapsed="false">
      <c r="A1012" s="0" t="s">
        <v>136</v>
      </c>
      <c r="B1012" s="0" t="n">
        <v>2017</v>
      </c>
      <c r="C1012" s="0" t="s">
        <v>55</v>
      </c>
      <c r="D1012" s="0" t="n">
        <v>2824928.985</v>
      </c>
      <c r="E1012" s="0" t="s">
        <v>643</v>
      </c>
      <c r="F1012" s="0" t="s">
        <v>524</v>
      </c>
      <c r="G1012" s="0" t="s">
        <v>142</v>
      </c>
      <c r="H1012" s="0" t="s">
        <v>1028</v>
      </c>
    </row>
    <row r="1013" customFormat="false" ht="15" hidden="false" customHeight="false" outlineLevel="0" collapsed="false">
      <c r="A1013" s="0" t="s">
        <v>136</v>
      </c>
      <c r="B1013" s="0" t="n">
        <v>2017</v>
      </c>
      <c r="C1013" s="0" t="s">
        <v>56</v>
      </c>
      <c r="D1013" s="0" t="n">
        <v>2246352.209</v>
      </c>
      <c r="E1013" s="0" t="s">
        <v>643</v>
      </c>
      <c r="F1013" s="0" t="s">
        <v>524</v>
      </c>
      <c r="G1013" s="0" t="s">
        <v>142</v>
      </c>
      <c r="H1013" s="0" t="s">
        <v>1029</v>
      </c>
    </row>
    <row r="1014" customFormat="false" ht="15" hidden="false" customHeight="false" outlineLevel="0" collapsed="false">
      <c r="A1014" s="0" t="s">
        <v>136</v>
      </c>
      <c r="B1014" s="0" t="n">
        <v>2017</v>
      </c>
      <c r="C1014" s="0" t="s">
        <v>57</v>
      </c>
      <c r="D1014" s="0" t="n">
        <v>578576.776</v>
      </c>
      <c r="E1014" s="0" t="s">
        <v>643</v>
      </c>
      <c r="F1014" s="0" t="s">
        <v>524</v>
      </c>
      <c r="G1014" s="0" t="s">
        <v>142</v>
      </c>
      <c r="H1014" s="0" t="s">
        <v>1030</v>
      </c>
    </row>
    <row r="1015" customFormat="false" ht="15" hidden="false" customHeight="false" outlineLevel="0" collapsed="false">
      <c r="A1015" s="0" t="s">
        <v>136</v>
      </c>
      <c r="B1015" s="0" t="n">
        <v>2017</v>
      </c>
      <c r="C1015" s="0" t="s">
        <v>58</v>
      </c>
      <c r="D1015" s="0" t="n">
        <v>353397.327</v>
      </c>
      <c r="E1015" s="0" t="s">
        <v>643</v>
      </c>
      <c r="F1015" s="0" t="s">
        <v>524</v>
      </c>
      <c r="G1015" s="0" t="s">
        <v>142</v>
      </c>
      <c r="H1015" s="0" t="s">
        <v>1031</v>
      </c>
    </row>
    <row r="1016" customFormat="false" ht="15" hidden="false" customHeight="false" outlineLevel="0" collapsed="false">
      <c r="A1016" s="0" t="s">
        <v>136</v>
      </c>
      <c r="B1016" s="0" t="n">
        <v>2017</v>
      </c>
      <c r="C1016" s="0" t="s">
        <v>59</v>
      </c>
      <c r="D1016" s="0" t="n">
        <v>2613340.074</v>
      </c>
      <c r="E1016" s="0" t="s">
        <v>643</v>
      </c>
      <c r="F1016" s="0" t="s">
        <v>524</v>
      </c>
      <c r="G1016" s="0" t="s">
        <v>142</v>
      </c>
      <c r="H1016" s="0" t="s">
        <v>1032</v>
      </c>
    </row>
    <row r="1017" customFormat="false" ht="15" hidden="false" customHeight="false" outlineLevel="0" collapsed="false">
      <c r="A1017" s="0" t="s">
        <v>136</v>
      </c>
      <c r="B1017" s="0" t="n">
        <v>2017</v>
      </c>
      <c r="C1017" s="0" t="s">
        <v>60</v>
      </c>
      <c r="D1017" s="0" t="n">
        <v>1326250.395</v>
      </c>
      <c r="E1017" s="0" t="s">
        <v>962</v>
      </c>
      <c r="F1017" s="0" t="s">
        <v>524</v>
      </c>
      <c r="G1017" s="0" t="s">
        <v>142</v>
      </c>
      <c r="H1017" s="0" t="s">
        <v>1033</v>
      </c>
    </row>
    <row r="1018" customFormat="false" ht="15" hidden="false" customHeight="false" outlineLevel="0" collapsed="false">
      <c r="A1018" s="0" t="s">
        <v>136</v>
      </c>
      <c r="B1018" s="0" t="n">
        <v>2017</v>
      </c>
      <c r="C1018" s="0" t="s">
        <v>61</v>
      </c>
      <c r="D1018" s="0" t="n">
        <v>60278.707</v>
      </c>
      <c r="E1018" s="0" t="s">
        <v>962</v>
      </c>
      <c r="F1018" s="0" t="s">
        <v>524</v>
      </c>
      <c r="G1018" s="0" t="s">
        <v>142</v>
      </c>
      <c r="H1018" s="0" t="s">
        <v>1034</v>
      </c>
    </row>
    <row r="1019" customFormat="false" ht="15" hidden="false" customHeight="false" outlineLevel="0" collapsed="false">
      <c r="A1019" s="0" t="s">
        <v>136</v>
      </c>
      <c r="B1019" s="0" t="n">
        <v>2017</v>
      </c>
      <c r="C1019" s="0" t="s">
        <v>62</v>
      </c>
      <c r="D1019" s="0" t="n">
        <v>1265971.688</v>
      </c>
      <c r="E1019" s="0" t="s">
        <v>643</v>
      </c>
      <c r="F1019" s="0" t="s">
        <v>524</v>
      </c>
      <c r="G1019" s="0" t="s">
        <v>142</v>
      </c>
      <c r="H1019" s="0" t="s">
        <v>1035</v>
      </c>
    </row>
    <row r="1020" customFormat="false" ht="15" hidden="false" customHeight="false" outlineLevel="0" collapsed="false">
      <c r="A1020" s="0" t="s">
        <v>136</v>
      </c>
      <c r="B1020" s="0" t="n">
        <v>2017</v>
      </c>
      <c r="C1020" s="0" t="s">
        <v>63</v>
      </c>
      <c r="D1020" s="0" t="n">
        <v>11531.292</v>
      </c>
      <c r="E1020" s="0" t="s">
        <v>962</v>
      </c>
      <c r="F1020" s="0" t="s">
        <v>524</v>
      </c>
      <c r="G1020" s="0" t="s">
        <v>142</v>
      </c>
      <c r="H1020" s="0" t="s">
        <v>1036</v>
      </c>
    </row>
    <row r="1021" customFormat="false" ht="15" hidden="false" customHeight="false" outlineLevel="0" collapsed="false">
      <c r="A1021" s="0" t="s">
        <v>136</v>
      </c>
      <c r="B1021" s="0" t="n">
        <v>2017</v>
      </c>
      <c r="C1021" s="0" t="s">
        <v>307</v>
      </c>
      <c r="D1021" s="0" t="n">
        <v>10834.612</v>
      </c>
      <c r="E1021" s="0" t="s">
        <v>643</v>
      </c>
      <c r="F1021" s="0" t="s">
        <v>524</v>
      </c>
      <c r="G1021" s="0" t="s">
        <v>142</v>
      </c>
      <c r="H1021" s="0" t="s">
        <v>1037</v>
      </c>
    </row>
    <row r="1022" customFormat="false" ht="15" hidden="false" customHeight="false" outlineLevel="0" collapsed="false">
      <c r="A1022" s="0" t="s">
        <v>136</v>
      </c>
      <c r="B1022" s="0" t="n">
        <v>2017</v>
      </c>
      <c r="C1022" s="0" t="s">
        <v>1038</v>
      </c>
      <c r="D1022" s="0" t="n">
        <v>696.68</v>
      </c>
      <c r="E1022" s="0" t="s">
        <v>643</v>
      </c>
      <c r="F1022" s="0" t="s">
        <v>524</v>
      </c>
      <c r="G1022" s="0" t="s">
        <v>142</v>
      </c>
      <c r="H1022" s="0" t="s">
        <v>1039</v>
      </c>
    </row>
    <row r="1023" customFormat="false" ht="15" hidden="false" customHeight="false" outlineLevel="0" collapsed="false">
      <c r="A1023" s="0" t="s">
        <v>136</v>
      </c>
      <c r="B1023" s="0" t="n">
        <v>2017</v>
      </c>
      <c r="C1023" s="0" t="s">
        <v>541</v>
      </c>
      <c r="D1023" s="0" t="n">
        <v>183647.629</v>
      </c>
      <c r="E1023" s="0" t="s">
        <v>643</v>
      </c>
      <c r="F1023" s="0" t="s">
        <v>524</v>
      </c>
      <c r="G1023" s="0" t="s">
        <v>142</v>
      </c>
      <c r="H1023" s="0" t="s">
        <v>1040</v>
      </c>
    </row>
    <row r="1024" customFormat="false" ht="15" hidden="false" customHeight="false" outlineLevel="0" collapsed="false">
      <c r="A1024" s="0" t="s">
        <v>136</v>
      </c>
      <c r="B1024" s="0" t="n">
        <v>2017</v>
      </c>
      <c r="C1024" s="0" t="s">
        <v>19</v>
      </c>
      <c r="D1024" s="0" t="n">
        <v>2719134.5295</v>
      </c>
      <c r="E1024" s="0" t="s">
        <v>522</v>
      </c>
    </row>
    <row r="1025" customFormat="false" ht="15" hidden="false" customHeight="false" outlineLevel="0" collapsed="false">
      <c r="A1025" s="0" t="s">
        <v>136</v>
      </c>
      <c r="B1025" s="0" t="n">
        <v>2017</v>
      </c>
      <c r="C1025" s="0" t="s">
        <v>41</v>
      </c>
      <c r="D1025" s="0" t="n">
        <v>5.83743478956104</v>
      </c>
      <c r="E1025" s="0" t="s">
        <v>522</v>
      </c>
    </row>
    <row r="1026" customFormat="false" ht="15" hidden="false" customHeight="false" outlineLevel="0" collapsed="false">
      <c r="A1026" s="0" t="s">
        <v>136</v>
      </c>
      <c r="B1026" s="0" t="n">
        <v>2017</v>
      </c>
      <c r="C1026" s="0" t="s">
        <v>27</v>
      </c>
      <c r="D1026" s="0" t="n">
        <v>20.4811086959059</v>
      </c>
      <c r="E1026" s="0" t="s">
        <v>522</v>
      </c>
    </row>
    <row r="1027" customFormat="false" ht="15" hidden="false" customHeight="false" outlineLevel="0" collapsed="false">
      <c r="A1027" s="0" t="s">
        <v>136</v>
      </c>
      <c r="B1027" s="0" t="n">
        <v>2017</v>
      </c>
      <c r="C1027" s="0" t="s">
        <v>39</v>
      </c>
      <c r="D1027" s="0" t="n">
        <v>12.9966841715987</v>
      </c>
      <c r="E1027" s="0" t="s">
        <v>522</v>
      </c>
    </row>
    <row r="1028" customFormat="false" ht="15" hidden="false" customHeight="false" outlineLevel="0" collapsed="false">
      <c r="A1028" s="0" t="s">
        <v>136</v>
      </c>
      <c r="B1028" s="0" t="n">
        <v>2017</v>
      </c>
      <c r="C1028" s="0" t="s">
        <v>17</v>
      </c>
      <c r="D1028" s="0" t="n">
        <v>4.5450472420029</v>
      </c>
      <c r="E1028" s="0" t="s">
        <v>522</v>
      </c>
    </row>
    <row r="1029" customFormat="false" ht="15" hidden="false" customHeight="false" outlineLevel="0" collapsed="false">
      <c r="A1029" s="0" t="s">
        <v>136</v>
      </c>
      <c r="B1029" s="0" t="n">
        <v>2017</v>
      </c>
      <c r="C1029" s="0" t="s">
        <v>29</v>
      </c>
      <c r="D1029" s="0" t="n">
        <v>0.424079495696022</v>
      </c>
      <c r="E1029" s="0" t="s">
        <v>522</v>
      </c>
    </row>
    <row r="1030" customFormat="false" ht="15" hidden="false" customHeight="false" outlineLevel="0" collapsed="false">
      <c r="A1030" s="0" t="s">
        <v>136</v>
      </c>
      <c r="B1030" s="0" t="n">
        <v>2017</v>
      </c>
      <c r="C1030" s="0" t="s">
        <v>43</v>
      </c>
      <c r="D1030" s="0" t="n">
        <v>5.61882106923123</v>
      </c>
      <c r="E1030" s="0" t="s">
        <v>522</v>
      </c>
    </row>
    <row r="1031" customFormat="false" ht="15" hidden="false" customHeight="false" outlineLevel="0" collapsed="false">
      <c r="A1031" s="0" t="s">
        <v>136</v>
      </c>
      <c r="B1031" s="0" t="n">
        <v>2017</v>
      </c>
      <c r="C1031" s="0" t="s">
        <v>31</v>
      </c>
      <c r="D1031" s="0" t="n">
        <v>79.5188913040941</v>
      </c>
      <c r="E1031" s="0" t="s">
        <v>522</v>
      </c>
    </row>
    <row r="1032" customFormat="false" ht="15" hidden="false" customHeight="false" outlineLevel="0" collapsed="false">
      <c r="A1032" s="0" t="s">
        <v>136</v>
      </c>
      <c r="B1032" s="0" t="n">
        <v>2017</v>
      </c>
      <c r="C1032" s="0" t="s">
        <v>33</v>
      </c>
      <c r="D1032" s="0" t="n">
        <v>14.8539937841936</v>
      </c>
      <c r="E1032" s="0" t="s">
        <v>522</v>
      </c>
    </row>
    <row r="1033" customFormat="false" ht="15" hidden="false" customHeight="false" outlineLevel="0" collapsed="false">
      <c r="A1033" s="0" t="s">
        <v>136</v>
      </c>
      <c r="B1033" s="0" t="n">
        <v>2017</v>
      </c>
      <c r="C1033" s="0" t="s">
        <v>21</v>
      </c>
      <c r="D1033" s="0" t="n">
        <v>1.16415321826935E-010</v>
      </c>
      <c r="E1033" s="0" t="s">
        <v>522</v>
      </c>
    </row>
    <row r="1034" customFormat="false" ht="15" hidden="false" customHeight="false" outlineLevel="0" collapsed="false">
      <c r="A1034" s="0" t="s">
        <v>136</v>
      </c>
      <c r="B1034" s="0" t="n">
        <v>2017</v>
      </c>
      <c r="C1034" s="0" t="s">
        <v>35</v>
      </c>
      <c r="D1034" s="0" t="n">
        <v>0</v>
      </c>
      <c r="E1034" s="0" t="s">
        <v>522</v>
      </c>
    </row>
    <row r="1035" customFormat="false" ht="15" hidden="false" customHeight="false" outlineLevel="0" collapsed="false">
      <c r="A1035" s="0" t="s">
        <v>136</v>
      </c>
      <c r="B1035" s="0" t="n">
        <v>2018</v>
      </c>
      <c r="C1035" s="0" t="s">
        <v>54</v>
      </c>
      <c r="D1035" s="0" t="n">
        <v>166919.765</v>
      </c>
      <c r="E1035" s="0" t="s">
        <v>523</v>
      </c>
      <c r="F1035" s="0" t="s">
        <v>524</v>
      </c>
      <c r="G1035" s="0" t="s">
        <v>109</v>
      </c>
      <c r="H1035" s="0" t="s">
        <v>1041</v>
      </c>
    </row>
    <row r="1036" customFormat="false" ht="15" hidden="false" customHeight="false" outlineLevel="0" collapsed="false">
      <c r="A1036" s="0" t="s">
        <v>136</v>
      </c>
      <c r="B1036" s="0" t="n">
        <v>2018</v>
      </c>
      <c r="C1036" s="0" t="s">
        <v>55</v>
      </c>
      <c r="D1036" s="0" t="n">
        <v>2712521.494</v>
      </c>
      <c r="E1036" s="0" t="s">
        <v>523</v>
      </c>
      <c r="F1036" s="0" t="s">
        <v>524</v>
      </c>
      <c r="G1036" s="0" t="s">
        <v>109</v>
      </c>
      <c r="H1036" s="0" t="s">
        <v>1042</v>
      </c>
    </row>
    <row r="1037" customFormat="false" ht="15" hidden="false" customHeight="false" outlineLevel="0" collapsed="false">
      <c r="A1037" s="0" t="s">
        <v>136</v>
      </c>
      <c r="B1037" s="0" t="n">
        <v>2018</v>
      </c>
      <c r="C1037" s="0" t="s">
        <v>56</v>
      </c>
      <c r="D1037" s="0" t="n">
        <v>2200679.235</v>
      </c>
      <c r="E1037" s="0" t="s">
        <v>523</v>
      </c>
      <c r="F1037" s="0" t="s">
        <v>524</v>
      </c>
      <c r="G1037" s="0" t="s">
        <v>109</v>
      </c>
      <c r="H1037" s="0" t="s">
        <v>1043</v>
      </c>
    </row>
    <row r="1038" customFormat="false" ht="15" hidden="false" customHeight="false" outlineLevel="0" collapsed="false">
      <c r="A1038" s="0" t="s">
        <v>136</v>
      </c>
      <c r="B1038" s="0" t="n">
        <v>2018</v>
      </c>
      <c r="C1038" s="0" t="s">
        <v>57</v>
      </c>
      <c r="D1038" s="0" t="n">
        <v>511842.259</v>
      </c>
      <c r="E1038" s="0" t="s">
        <v>523</v>
      </c>
      <c r="F1038" s="0" t="s">
        <v>524</v>
      </c>
      <c r="G1038" s="0" t="s">
        <v>109</v>
      </c>
      <c r="H1038" s="0" t="s">
        <v>1044</v>
      </c>
      <c r="I1038" s="0" t="s">
        <v>699</v>
      </c>
    </row>
    <row r="1039" customFormat="false" ht="15" hidden="false" customHeight="false" outlineLevel="0" collapsed="false">
      <c r="A1039" s="0" t="s">
        <v>136</v>
      </c>
      <c r="B1039" s="0" t="n">
        <v>2018</v>
      </c>
      <c r="C1039" s="0" t="s">
        <v>58</v>
      </c>
      <c r="D1039" s="0" t="n">
        <v>224625.664</v>
      </c>
      <c r="E1039" s="0" t="s">
        <v>523</v>
      </c>
      <c r="F1039" s="0" t="s">
        <v>524</v>
      </c>
      <c r="G1039" s="0" t="s">
        <v>109</v>
      </c>
      <c r="H1039" s="0" t="s">
        <v>1045</v>
      </c>
    </row>
    <row r="1040" customFormat="false" ht="15" hidden="false" customHeight="false" outlineLevel="0" collapsed="false">
      <c r="A1040" s="0" t="s">
        <v>136</v>
      </c>
      <c r="B1040" s="0" t="n">
        <v>2018</v>
      </c>
      <c r="C1040" s="0" t="s">
        <v>59</v>
      </c>
      <c r="D1040" s="0" t="n">
        <v>2824928.985</v>
      </c>
      <c r="E1040" s="0" t="s">
        <v>523</v>
      </c>
      <c r="F1040" s="0" t="s">
        <v>524</v>
      </c>
      <c r="G1040" s="0" t="s">
        <v>109</v>
      </c>
      <c r="H1040" s="0" t="s">
        <v>1046</v>
      </c>
    </row>
    <row r="1041" customFormat="false" ht="15" hidden="false" customHeight="false" outlineLevel="0" collapsed="false">
      <c r="A1041" s="0" t="s">
        <v>136</v>
      </c>
      <c r="B1041" s="0" t="n">
        <v>2018</v>
      </c>
      <c r="C1041" s="0" t="s">
        <v>60</v>
      </c>
      <c r="D1041" s="0" t="n">
        <v>1158980.803</v>
      </c>
      <c r="E1041" s="0" t="s">
        <v>979</v>
      </c>
      <c r="F1041" s="0" t="s">
        <v>524</v>
      </c>
      <c r="G1041" s="0" t="s">
        <v>109</v>
      </c>
      <c r="H1041" s="0" t="s">
        <v>1047</v>
      </c>
    </row>
    <row r="1042" customFormat="false" ht="15" hidden="false" customHeight="false" outlineLevel="0" collapsed="false">
      <c r="A1042" s="0" t="s">
        <v>136</v>
      </c>
      <c r="B1042" s="0" t="n">
        <v>2018</v>
      </c>
      <c r="C1042" s="0" t="s">
        <v>61</v>
      </c>
      <c r="D1042" s="0" t="n">
        <v>90981.784</v>
      </c>
      <c r="E1042" s="0" t="s">
        <v>979</v>
      </c>
      <c r="F1042" s="0" t="s">
        <v>524</v>
      </c>
      <c r="G1042" s="0" t="s">
        <v>109</v>
      </c>
      <c r="H1042" s="0" t="s">
        <v>1048</v>
      </c>
    </row>
    <row r="1043" customFormat="false" ht="15" hidden="false" customHeight="false" outlineLevel="0" collapsed="false">
      <c r="A1043" s="0" t="s">
        <v>136</v>
      </c>
      <c r="B1043" s="0" t="n">
        <v>2018</v>
      </c>
      <c r="C1043" s="0" t="s">
        <v>62</v>
      </c>
      <c r="D1043" s="0" t="n">
        <v>1067999.019</v>
      </c>
      <c r="E1043" s="0" t="s">
        <v>523</v>
      </c>
      <c r="F1043" s="0" t="s">
        <v>524</v>
      </c>
      <c r="G1043" s="0" t="s">
        <v>109</v>
      </c>
      <c r="H1043" s="0" t="s">
        <v>1049</v>
      </c>
    </row>
    <row r="1044" customFormat="false" ht="15" hidden="false" customHeight="false" outlineLevel="0" collapsed="false">
      <c r="A1044" s="0" t="s">
        <v>136</v>
      </c>
      <c r="B1044" s="0" t="n">
        <v>2018</v>
      </c>
      <c r="C1044" s="0" t="s">
        <v>63</v>
      </c>
      <c r="D1044" s="0" t="n">
        <v>1384.004</v>
      </c>
      <c r="E1044" s="0" t="s">
        <v>979</v>
      </c>
      <c r="F1044" s="0" t="s">
        <v>524</v>
      </c>
      <c r="G1044" s="0" t="s">
        <v>109</v>
      </c>
      <c r="H1044" s="0" t="s">
        <v>1050</v>
      </c>
    </row>
    <row r="1045" customFormat="false" ht="15" hidden="false" customHeight="false" outlineLevel="0" collapsed="false">
      <c r="A1045" s="0" t="s">
        <v>136</v>
      </c>
      <c r="B1045" s="0" t="n">
        <v>2018</v>
      </c>
      <c r="C1045" s="0" t="s">
        <v>307</v>
      </c>
      <c r="D1045" s="0" t="n">
        <v>1504.303</v>
      </c>
      <c r="E1045" s="0" t="s">
        <v>523</v>
      </c>
      <c r="F1045" s="0" t="s">
        <v>524</v>
      </c>
      <c r="G1045" s="0" t="s">
        <v>109</v>
      </c>
      <c r="H1045" s="0" t="s">
        <v>1051</v>
      </c>
    </row>
    <row r="1046" customFormat="false" ht="15" hidden="false" customHeight="false" outlineLevel="0" collapsed="false">
      <c r="A1046" s="0" t="s">
        <v>136</v>
      </c>
      <c r="B1046" s="0" t="n">
        <v>2018</v>
      </c>
      <c r="C1046" s="0" t="s">
        <v>1038</v>
      </c>
      <c r="D1046" s="0" t="n">
        <v>-120.299</v>
      </c>
      <c r="E1046" s="0" t="s">
        <v>523</v>
      </c>
      <c r="F1046" s="0" t="s">
        <v>524</v>
      </c>
      <c r="G1046" s="0" t="s">
        <v>109</v>
      </c>
      <c r="H1046" s="0" t="s">
        <v>1052</v>
      </c>
    </row>
    <row r="1047" customFormat="false" ht="15" hidden="false" customHeight="false" outlineLevel="0" collapsed="false">
      <c r="A1047" s="0" t="s">
        <v>136</v>
      </c>
      <c r="B1047" s="0" t="n">
        <v>2018</v>
      </c>
      <c r="C1047" s="0" t="s">
        <v>73</v>
      </c>
      <c r="D1047" s="0" t="n">
        <v>0</v>
      </c>
      <c r="E1047" s="0" t="s">
        <v>539</v>
      </c>
      <c r="F1047" s="0" t="s">
        <v>524</v>
      </c>
      <c r="G1047" s="0" t="s">
        <v>1053</v>
      </c>
      <c r="H1047" s="0" t="s">
        <v>1054</v>
      </c>
    </row>
    <row r="1048" customFormat="false" ht="15" hidden="false" customHeight="false" outlineLevel="0" collapsed="false">
      <c r="A1048" s="0" t="s">
        <v>136</v>
      </c>
      <c r="B1048" s="0" t="n">
        <v>2018</v>
      </c>
      <c r="C1048" s="0" t="s">
        <v>68</v>
      </c>
      <c r="D1048" s="0" t="n">
        <v>74667.995</v>
      </c>
      <c r="E1048" s="0" t="s">
        <v>979</v>
      </c>
      <c r="F1048" s="0" t="s">
        <v>524</v>
      </c>
      <c r="G1048" s="0" t="s">
        <v>109</v>
      </c>
      <c r="H1048" s="0" t="s">
        <v>1055</v>
      </c>
    </row>
    <row r="1049" customFormat="false" ht="15" hidden="false" customHeight="false" outlineLevel="0" collapsed="false">
      <c r="A1049" s="0" t="s">
        <v>136</v>
      </c>
      <c r="B1049" s="0" t="n">
        <v>2018</v>
      </c>
      <c r="C1049" s="0" t="s">
        <v>541</v>
      </c>
      <c r="D1049" s="0" t="n">
        <v>190209.286</v>
      </c>
      <c r="E1049" s="0" t="s">
        <v>523</v>
      </c>
      <c r="F1049" s="0" t="s">
        <v>524</v>
      </c>
      <c r="G1049" s="0" t="s">
        <v>109</v>
      </c>
      <c r="H1049" s="0" t="s">
        <v>1056</v>
      </c>
    </row>
    <row r="1050" customFormat="false" ht="15" hidden="false" customHeight="false" outlineLevel="0" collapsed="false">
      <c r="A1050" s="0" t="s">
        <v>136</v>
      </c>
      <c r="B1050" s="0" t="n">
        <v>2018</v>
      </c>
      <c r="C1050" s="0" t="s">
        <v>19</v>
      </c>
      <c r="D1050" s="0" t="n">
        <v>2768725.2395</v>
      </c>
      <c r="E1050" s="0" t="s">
        <v>522</v>
      </c>
    </row>
    <row r="1051" customFormat="false" ht="15" hidden="false" customHeight="false" outlineLevel="0" collapsed="false">
      <c r="A1051" s="0" t="s">
        <v>136</v>
      </c>
      <c r="B1051" s="0" t="n">
        <v>2018</v>
      </c>
      <c r="C1051" s="0" t="s">
        <v>41</v>
      </c>
      <c r="D1051" s="0" t="n">
        <v>6.02875874495021</v>
      </c>
      <c r="E1051" s="0" t="s">
        <v>522</v>
      </c>
    </row>
    <row r="1052" customFormat="false" ht="15" hidden="false" customHeight="false" outlineLevel="0" collapsed="false">
      <c r="A1052" s="0" t="s">
        <v>136</v>
      </c>
      <c r="B1052" s="0" t="n">
        <v>2018</v>
      </c>
      <c r="C1052" s="0" t="s">
        <v>27</v>
      </c>
      <c r="D1052" s="0" t="n">
        <v>18.8696111766184</v>
      </c>
      <c r="E1052" s="0" t="s">
        <v>522</v>
      </c>
    </row>
    <row r="1053" customFormat="false" ht="15" hidden="false" customHeight="false" outlineLevel="0" collapsed="false">
      <c r="A1053" s="0" t="s">
        <v>136</v>
      </c>
      <c r="B1053" s="0" t="n">
        <v>2018</v>
      </c>
      <c r="C1053" s="0" t="s">
        <v>39</v>
      </c>
      <c r="D1053" s="0" t="n">
        <v>8.11296335206468</v>
      </c>
      <c r="E1053" s="0" t="s">
        <v>522</v>
      </c>
    </row>
    <row r="1054" customFormat="false" ht="15" hidden="false" customHeight="false" outlineLevel="0" collapsed="false">
      <c r="A1054" s="0" t="s">
        <v>136</v>
      </c>
      <c r="B1054" s="0" t="n">
        <v>2018</v>
      </c>
      <c r="C1054" s="0" t="s">
        <v>17</v>
      </c>
      <c r="D1054" s="0" t="n">
        <v>7.85015452926359</v>
      </c>
      <c r="E1054" s="0" t="s">
        <v>522</v>
      </c>
    </row>
    <row r="1055" customFormat="false" ht="15" hidden="false" customHeight="false" outlineLevel="0" collapsed="false">
      <c r="A1055" s="0" t="s">
        <v>136</v>
      </c>
      <c r="B1055" s="0" t="n">
        <v>2018</v>
      </c>
      <c r="C1055" s="0" t="s">
        <v>29</v>
      </c>
      <c r="D1055" s="0" t="n">
        <v>0.0499870474778471</v>
      </c>
      <c r="E1055" s="0" t="s">
        <v>522</v>
      </c>
    </row>
    <row r="1056" customFormat="false" ht="15" hidden="false" customHeight="false" outlineLevel="0" collapsed="false">
      <c r="A1056" s="0" t="s">
        <v>136</v>
      </c>
      <c r="B1056" s="0" t="n">
        <v>2018</v>
      </c>
      <c r="C1056" s="0" t="s">
        <v>43</v>
      </c>
      <c r="D1056" s="0" t="n">
        <v>6.15367529323622</v>
      </c>
      <c r="E1056" s="0" t="s">
        <v>522</v>
      </c>
    </row>
    <row r="1057" customFormat="false" ht="15" hidden="false" customHeight="false" outlineLevel="0" collapsed="false">
      <c r="A1057" s="0" t="s">
        <v>136</v>
      </c>
      <c r="B1057" s="0" t="n">
        <v>2018</v>
      </c>
      <c r="C1057" s="0" t="s">
        <v>31</v>
      </c>
      <c r="D1057" s="0" t="n">
        <v>81.1303888233816</v>
      </c>
      <c r="E1057" s="0" t="s">
        <v>522</v>
      </c>
    </row>
    <row r="1058" customFormat="false" ht="15" hidden="false" customHeight="false" outlineLevel="0" collapsed="false">
      <c r="A1058" s="0" t="s">
        <v>136</v>
      </c>
      <c r="B1058" s="0" t="n">
        <v>2018</v>
      </c>
      <c r="C1058" s="0" t="s">
        <v>33</v>
      </c>
      <c r="D1058" s="0" t="n">
        <v>14.8133892008548</v>
      </c>
      <c r="E1058" s="0" t="s">
        <v>522</v>
      </c>
    </row>
    <row r="1059" customFormat="false" ht="15" hidden="false" customHeight="false" outlineLevel="0" collapsed="false">
      <c r="A1059" s="0" t="s">
        <v>136</v>
      </c>
      <c r="B1059" s="0" t="n">
        <v>2018</v>
      </c>
      <c r="C1059" s="0" t="s">
        <v>21</v>
      </c>
      <c r="D1059" s="0" t="n">
        <v>5.82076609134674E-011</v>
      </c>
      <c r="E1059" s="0" t="s">
        <v>522</v>
      </c>
    </row>
    <row r="1060" customFormat="false" ht="15" hidden="false" customHeight="false" outlineLevel="0" collapsed="false">
      <c r="A1060" s="0" t="s">
        <v>136</v>
      </c>
      <c r="B1060" s="0" t="n">
        <v>2018</v>
      </c>
      <c r="C1060" s="0" t="s">
        <v>35</v>
      </c>
      <c r="D1060" s="0" t="n">
        <v>0</v>
      </c>
      <c r="E1060" s="0" t="s">
        <v>522</v>
      </c>
    </row>
    <row r="1061" customFormat="false" ht="15" hidden="false" customHeight="false" outlineLevel="0" collapsed="false">
      <c r="A1061" s="0" t="s">
        <v>136</v>
      </c>
      <c r="B1061" s="0" t="n">
        <v>2019</v>
      </c>
      <c r="C1061" s="0" t="s">
        <v>54</v>
      </c>
      <c r="D1061" s="0" t="n">
        <v>175125.281</v>
      </c>
      <c r="E1061" s="0" t="s">
        <v>523</v>
      </c>
      <c r="F1061" s="0" t="s">
        <v>524</v>
      </c>
      <c r="G1061" s="0" t="s">
        <v>93</v>
      </c>
      <c r="H1061" s="0" t="s">
        <v>1057</v>
      </c>
    </row>
    <row r="1062" customFormat="false" ht="15" hidden="false" customHeight="false" outlineLevel="0" collapsed="false">
      <c r="A1062" s="0" t="s">
        <v>136</v>
      </c>
      <c r="B1062" s="0" t="n">
        <v>2019</v>
      </c>
      <c r="C1062" s="0" t="s">
        <v>55</v>
      </c>
      <c r="D1062" s="0" t="n">
        <v>3097248.495</v>
      </c>
      <c r="E1062" s="0" t="s">
        <v>523</v>
      </c>
      <c r="F1062" s="0" t="s">
        <v>524</v>
      </c>
      <c r="G1062" s="0" t="s">
        <v>93</v>
      </c>
      <c r="H1062" s="0" t="s">
        <v>1058</v>
      </c>
    </row>
    <row r="1063" customFormat="false" ht="15" hidden="false" customHeight="false" outlineLevel="0" collapsed="false">
      <c r="A1063" s="0" t="s">
        <v>136</v>
      </c>
      <c r="B1063" s="0" t="n">
        <v>2019</v>
      </c>
      <c r="C1063" s="0" t="s">
        <v>56</v>
      </c>
      <c r="D1063" s="0" t="n">
        <v>2491358.899</v>
      </c>
      <c r="E1063" s="0" t="s">
        <v>523</v>
      </c>
      <c r="F1063" s="0" t="s">
        <v>524</v>
      </c>
      <c r="G1063" s="0" t="s">
        <v>93</v>
      </c>
      <c r="H1063" s="0" t="s">
        <v>1059</v>
      </c>
    </row>
    <row r="1064" customFormat="false" ht="15" hidden="false" customHeight="false" outlineLevel="0" collapsed="false">
      <c r="A1064" s="0" t="s">
        <v>136</v>
      </c>
      <c r="B1064" s="0" t="n">
        <v>2019</v>
      </c>
      <c r="C1064" s="0" t="s">
        <v>57</v>
      </c>
      <c r="D1064" s="0" t="n">
        <v>605889.596</v>
      </c>
      <c r="E1064" s="0" t="s">
        <v>523</v>
      </c>
      <c r="F1064" s="0" t="s">
        <v>524</v>
      </c>
      <c r="G1064" s="0" t="s">
        <v>93</v>
      </c>
      <c r="H1064" s="0" t="s">
        <v>1060</v>
      </c>
    </row>
    <row r="1065" customFormat="false" ht="15" hidden="false" customHeight="false" outlineLevel="0" collapsed="false">
      <c r="A1065" s="0" t="s">
        <v>136</v>
      </c>
      <c r="B1065" s="0" t="n">
        <v>2019</v>
      </c>
      <c r="C1065" s="0" t="s">
        <v>58</v>
      </c>
      <c r="D1065" s="0" t="n">
        <v>197853.667</v>
      </c>
      <c r="E1065" s="0" t="s">
        <v>523</v>
      </c>
      <c r="F1065" s="0" t="s">
        <v>524</v>
      </c>
      <c r="G1065" s="0" t="s">
        <v>93</v>
      </c>
      <c r="H1065" s="0" t="s">
        <v>1061</v>
      </c>
    </row>
    <row r="1066" customFormat="false" ht="15" hidden="false" customHeight="false" outlineLevel="0" collapsed="false">
      <c r="A1066" s="0" t="s">
        <v>136</v>
      </c>
      <c r="B1066" s="0" t="n">
        <v>2019</v>
      </c>
      <c r="C1066" s="0" t="s">
        <v>59</v>
      </c>
      <c r="D1066" s="0" t="n">
        <v>2712521.494</v>
      </c>
      <c r="E1066" s="0" t="s">
        <v>523</v>
      </c>
      <c r="F1066" s="0" t="s">
        <v>524</v>
      </c>
      <c r="G1066" s="0" t="s">
        <v>93</v>
      </c>
      <c r="H1066" s="0" t="s">
        <v>1062</v>
      </c>
    </row>
    <row r="1067" customFormat="false" ht="15" hidden="false" customHeight="false" outlineLevel="0" collapsed="false">
      <c r="A1067" s="0" t="s">
        <v>136</v>
      </c>
      <c r="B1067" s="0" t="n">
        <v>2019</v>
      </c>
      <c r="C1067" s="0" t="s">
        <v>60</v>
      </c>
      <c r="D1067" s="0" t="n">
        <v>1357066.246</v>
      </c>
      <c r="E1067" s="0" t="s">
        <v>979</v>
      </c>
      <c r="F1067" s="0" t="s">
        <v>524</v>
      </c>
      <c r="G1067" s="0" t="s">
        <v>93</v>
      </c>
      <c r="H1067" s="0" t="s">
        <v>1063</v>
      </c>
    </row>
    <row r="1068" customFormat="false" ht="15" hidden="false" customHeight="false" outlineLevel="0" collapsed="false">
      <c r="A1068" s="0" t="s">
        <v>136</v>
      </c>
      <c r="B1068" s="0" t="n">
        <v>2019</v>
      </c>
      <c r="C1068" s="0" t="s">
        <v>61</v>
      </c>
      <c r="D1068" s="0" t="n">
        <v>56245.599</v>
      </c>
      <c r="E1068" s="0" t="s">
        <v>979</v>
      </c>
      <c r="F1068" s="0" t="s">
        <v>524</v>
      </c>
      <c r="G1068" s="0" t="s">
        <v>93</v>
      </c>
      <c r="H1068" s="0" t="s">
        <v>1064</v>
      </c>
    </row>
    <row r="1069" customFormat="false" ht="15" hidden="false" customHeight="false" outlineLevel="0" collapsed="false">
      <c r="A1069" s="0" t="s">
        <v>136</v>
      </c>
      <c r="B1069" s="0" t="n">
        <v>2019</v>
      </c>
      <c r="C1069" s="0" t="s">
        <v>62</v>
      </c>
      <c r="D1069" s="0" t="n">
        <v>1300820.647</v>
      </c>
      <c r="E1069" s="0" t="s">
        <v>523</v>
      </c>
      <c r="F1069" s="0" t="s">
        <v>524</v>
      </c>
      <c r="G1069" s="0" t="s">
        <v>93</v>
      </c>
      <c r="H1069" s="0" t="s">
        <v>1065</v>
      </c>
    </row>
    <row r="1070" customFormat="false" ht="15" hidden="false" customHeight="false" outlineLevel="0" collapsed="false">
      <c r="A1070" s="0" t="s">
        <v>136</v>
      </c>
      <c r="B1070" s="0" t="n">
        <v>2019</v>
      </c>
      <c r="C1070" s="0" t="s">
        <v>63</v>
      </c>
      <c r="D1070" s="0" t="n">
        <v>1859.247</v>
      </c>
      <c r="E1070" s="0" t="s">
        <v>979</v>
      </c>
      <c r="F1070" s="0" t="s">
        <v>524</v>
      </c>
      <c r="G1070" s="0" t="s">
        <v>93</v>
      </c>
      <c r="H1070" s="0" t="s">
        <v>1066</v>
      </c>
    </row>
    <row r="1071" customFormat="false" ht="15" hidden="false" customHeight="false" outlineLevel="0" collapsed="false">
      <c r="A1071" s="0" t="s">
        <v>136</v>
      </c>
      <c r="B1071" s="0" t="n">
        <v>2019</v>
      </c>
      <c r="C1071" s="0" t="s">
        <v>307</v>
      </c>
      <c r="D1071" s="0" t="n">
        <v>2221.501</v>
      </c>
      <c r="E1071" s="0" t="s">
        <v>523</v>
      </c>
      <c r="F1071" s="0" t="s">
        <v>524</v>
      </c>
      <c r="G1071" s="0" t="s">
        <v>93</v>
      </c>
      <c r="H1071" s="0" t="s">
        <v>1067</v>
      </c>
    </row>
    <row r="1072" customFormat="false" ht="15" hidden="false" customHeight="false" outlineLevel="0" collapsed="false">
      <c r="A1072" s="0" t="s">
        <v>136</v>
      </c>
      <c r="B1072" s="0" t="n">
        <v>2019</v>
      </c>
      <c r="C1072" s="0" t="s">
        <v>1038</v>
      </c>
      <c r="D1072" s="0" t="n">
        <v>-362.254</v>
      </c>
      <c r="E1072" s="0" t="s">
        <v>523</v>
      </c>
      <c r="F1072" s="0" t="s">
        <v>524</v>
      </c>
      <c r="G1072" s="0" t="s">
        <v>93</v>
      </c>
      <c r="H1072" s="0" t="s">
        <v>1068</v>
      </c>
    </row>
    <row r="1073" customFormat="false" ht="15" hidden="false" customHeight="false" outlineLevel="0" collapsed="false">
      <c r="A1073" s="0" t="s">
        <v>136</v>
      </c>
      <c r="B1073" s="0" t="n">
        <v>2019</v>
      </c>
      <c r="C1073" s="0" t="s">
        <v>69</v>
      </c>
      <c r="D1073" s="0" t="n">
        <v>20.66</v>
      </c>
      <c r="E1073" s="0" t="s">
        <v>539</v>
      </c>
      <c r="F1073" s="0" t="s">
        <v>524</v>
      </c>
      <c r="G1073" s="0" t="s">
        <v>93</v>
      </c>
      <c r="H1073" s="0" t="s">
        <v>1069</v>
      </c>
    </row>
    <row r="1074" customFormat="false" ht="15" hidden="false" customHeight="false" outlineLevel="0" collapsed="false">
      <c r="A1074" s="0" t="s">
        <v>136</v>
      </c>
      <c r="B1074" s="0" t="n">
        <v>2019</v>
      </c>
      <c r="C1074" s="0" t="s">
        <v>614</v>
      </c>
      <c r="D1074" s="0" t="n">
        <v>24.74</v>
      </c>
      <c r="E1074" s="0" t="s">
        <v>539</v>
      </c>
      <c r="F1074" s="0" t="s">
        <v>524</v>
      </c>
      <c r="G1074" s="0" t="s">
        <v>93</v>
      </c>
      <c r="H1074" s="0" t="s">
        <v>1070</v>
      </c>
    </row>
    <row r="1075" customFormat="false" ht="15" hidden="false" customHeight="false" outlineLevel="0" collapsed="false">
      <c r="A1075" s="0" t="s">
        <v>136</v>
      </c>
      <c r="B1075" s="0" t="n">
        <v>2019</v>
      </c>
      <c r="C1075" s="0" t="s">
        <v>65</v>
      </c>
      <c r="D1075" s="0" t="n">
        <v>418652.17</v>
      </c>
      <c r="E1075" s="0" t="s">
        <v>539</v>
      </c>
      <c r="F1075" s="0" t="s">
        <v>524</v>
      </c>
      <c r="G1075" s="0" t="s">
        <v>93</v>
      </c>
      <c r="H1075" s="0" t="s">
        <v>1071</v>
      </c>
    </row>
    <row r="1076" customFormat="false" ht="15" hidden="false" customHeight="false" outlineLevel="0" collapsed="false">
      <c r="A1076" s="0" t="s">
        <v>136</v>
      </c>
      <c r="B1076" s="0" t="n">
        <v>2019</v>
      </c>
      <c r="C1076" s="0" t="s">
        <v>66</v>
      </c>
      <c r="D1076" s="0" t="n">
        <v>2026402.562</v>
      </c>
      <c r="E1076" s="0" t="s">
        <v>539</v>
      </c>
      <c r="F1076" s="0" t="s">
        <v>524</v>
      </c>
      <c r="G1076" s="0" t="s">
        <v>93</v>
      </c>
      <c r="H1076" s="0" t="s">
        <v>1072</v>
      </c>
    </row>
    <row r="1077" customFormat="false" ht="15" hidden="false" customHeight="false" outlineLevel="0" collapsed="false">
      <c r="A1077" s="0" t="s">
        <v>136</v>
      </c>
      <c r="B1077" s="0" t="n">
        <v>2019</v>
      </c>
      <c r="C1077" s="0" t="s">
        <v>619</v>
      </c>
      <c r="D1077" s="0" t="n">
        <v>517502.852</v>
      </c>
      <c r="E1077" s="0" t="s">
        <v>539</v>
      </c>
      <c r="F1077" s="0" t="s">
        <v>524</v>
      </c>
      <c r="G1077" s="0" t="s">
        <v>93</v>
      </c>
      <c r="H1077" s="0" t="s">
        <v>1073</v>
      </c>
    </row>
    <row r="1078" customFormat="false" ht="15" hidden="false" customHeight="false" outlineLevel="0" collapsed="false">
      <c r="A1078" s="0" t="s">
        <v>136</v>
      </c>
      <c r="B1078" s="0" t="n">
        <v>2019</v>
      </c>
      <c r="C1078" s="0" t="s">
        <v>73</v>
      </c>
      <c r="D1078" s="0" t="n">
        <v>0</v>
      </c>
      <c r="E1078" s="0" t="s">
        <v>539</v>
      </c>
      <c r="F1078" s="0" t="s">
        <v>524</v>
      </c>
      <c r="G1078" s="0" t="s">
        <v>856</v>
      </c>
      <c r="H1078" s="0" t="s">
        <v>1074</v>
      </c>
    </row>
    <row r="1079" customFormat="false" ht="15" hidden="false" customHeight="false" outlineLevel="0" collapsed="false">
      <c r="A1079" s="0" t="s">
        <v>136</v>
      </c>
      <c r="B1079" s="0" t="n">
        <v>2019</v>
      </c>
      <c r="C1079" s="0" t="s">
        <v>68</v>
      </c>
      <c r="D1079" s="0" t="n">
        <v>45503.961</v>
      </c>
      <c r="E1079" s="0" t="s">
        <v>979</v>
      </c>
      <c r="F1079" s="0" t="s">
        <v>524</v>
      </c>
      <c r="G1079" s="0" t="s">
        <v>93</v>
      </c>
      <c r="H1079" s="0" t="s">
        <v>1075</v>
      </c>
    </row>
    <row r="1080" customFormat="false" ht="15" hidden="false" customHeight="false" outlineLevel="0" collapsed="false">
      <c r="A1080" s="0" t="s">
        <v>136</v>
      </c>
      <c r="B1080" s="0" t="n">
        <v>2019</v>
      </c>
      <c r="C1080" s="0" t="s">
        <v>541</v>
      </c>
      <c r="D1080" s="0" t="n">
        <v>200177.89</v>
      </c>
      <c r="E1080" s="0" t="s">
        <v>523</v>
      </c>
      <c r="F1080" s="0" t="s">
        <v>524</v>
      </c>
      <c r="G1080" s="0" t="s">
        <v>93</v>
      </c>
      <c r="H1080" s="0" t="s">
        <v>1076</v>
      </c>
    </row>
    <row r="1081" customFormat="false" ht="15" hidden="false" customHeight="false" outlineLevel="0" collapsed="false">
      <c r="A1081" s="0" t="s">
        <v>136</v>
      </c>
      <c r="B1081" s="0" t="n">
        <v>2019</v>
      </c>
      <c r="C1081" s="0" t="s">
        <v>19</v>
      </c>
      <c r="D1081" s="0" t="n">
        <v>2904884.9945</v>
      </c>
      <c r="E1081" s="0" t="s">
        <v>522</v>
      </c>
    </row>
    <row r="1082" customFormat="false" ht="15" hidden="false" customHeight="false" outlineLevel="0" collapsed="false">
      <c r="A1082" s="0" t="s">
        <v>136</v>
      </c>
      <c r="B1082" s="0" t="n">
        <v>2019</v>
      </c>
      <c r="C1082" s="0" t="s">
        <v>41</v>
      </c>
      <c r="D1082" s="0" t="n">
        <v>6.02864765151032</v>
      </c>
      <c r="E1082" s="0" t="s">
        <v>522</v>
      </c>
    </row>
    <row r="1083" customFormat="false" ht="15" hidden="false" customHeight="false" outlineLevel="0" collapsed="false">
      <c r="A1083" s="0" t="s">
        <v>136</v>
      </c>
      <c r="B1083" s="0" t="n">
        <v>2019</v>
      </c>
      <c r="C1083" s="0" t="s">
        <v>27</v>
      </c>
      <c r="D1083" s="0" t="n">
        <v>19.5621887290642</v>
      </c>
      <c r="E1083" s="0" t="s">
        <v>522</v>
      </c>
    </row>
    <row r="1084" customFormat="false" ht="15" hidden="false" customHeight="false" outlineLevel="0" collapsed="false">
      <c r="A1084" s="0" t="s">
        <v>136</v>
      </c>
      <c r="B1084" s="0" t="n">
        <v>2019</v>
      </c>
      <c r="C1084" s="0" t="s">
        <v>39</v>
      </c>
      <c r="D1084" s="0" t="n">
        <v>6.81106712914999</v>
      </c>
      <c r="E1084" s="0" t="s">
        <v>522</v>
      </c>
    </row>
    <row r="1085" customFormat="false" ht="15" hidden="false" customHeight="false" outlineLevel="0" collapsed="false">
      <c r="A1085" s="0" t="s">
        <v>136</v>
      </c>
      <c r="B1085" s="0" t="n">
        <v>2019</v>
      </c>
      <c r="C1085" s="0" t="s">
        <v>17</v>
      </c>
      <c r="D1085" s="0" t="n">
        <v>4.14464652449988</v>
      </c>
      <c r="E1085" s="0" t="s">
        <v>522</v>
      </c>
    </row>
    <row r="1086" customFormat="false" ht="15" hidden="false" customHeight="false" outlineLevel="0" collapsed="false">
      <c r="A1086" s="0" t="s">
        <v>136</v>
      </c>
      <c r="B1086" s="0" t="n">
        <v>2019</v>
      </c>
      <c r="C1086" s="0" t="s">
        <v>25</v>
      </c>
      <c r="D1086" s="0" t="n">
        <v>20.6598717278961</v>
      </c>
      <c r="E1086" s="0" t="s">
        <v>522</v>
      </c>
    </row>
    <row r="1087" customFormat="false" ht="15" hidden="false" customHeight="false" outlineLevel="0" collapsed="false">
      <c r="A1087" s="0" t="s">
        <v>136</v>
      </c>
      <c r="B1087" s="0" t="n">
        <v>2019</v>
      </c>
      <c r="C1087" s="0" t="s">
        <v>29</v>
      </c>
      <c r="D1087" s="0" t="n">
        <v>0.064004151748528</v>
      </c>
      <c r="E1087" s="0" t="s">
        <v>522</v>
      </c>
    </row>
    <row r="1088" customFormat="false" ht="15" hidden="false" customHeight="false" outlineLevel="0" collapsed="false">
      <c r="A1088" s="0" t="s">
        <v>136</v>
      </c>
      <c r="B1088" s="0" t="n">
        <v>2019</v>
      </c>
      <c r="C1088" s="0" t="s">
        <v>43</v>
      </c>
      <c r="D1088" s="0" t="n">
        <v>5.65422119932292</v>
      </c>
      <c r="E1088" s="0" t="s">
        <v>522</v>
      </c>
    </row>
    <row r="1089" customFormat="false" ht="15" hidden="false" customHeight="false" outlineLevel="0" collapsed="false">
      <c r="A1089" s="0" t="s">
        <v>136</v>
      </c>
      <c r="B1089" s="0" t="n">
        <v>2019</v>
      </c>
      <c r="C1089" s="0" t="s">
        <v>31</v>
      </c>
      <c r="D1089" s="0" t="n">
        <v>80.4378112709358</v>
      </c>
      <c r="E1089" s="0" t="s">
        <v>522</v>
      </c>
    </row>
    <row r="1090" customFormat="false" ht="15" hidden="false" customHeight="false" outlineLevel="0" collapsed="false">
      <c r="A1090" s="0" t="s">
        <v>136</v>
      </c>
      <c r="B1090" s="0" t="n">
        <v>2019</v>
      </c>
      <c r="C1090" s="0" t="s">
        <v>33</v>
      </c>
      <c r="D1090" s="0" t="n">
        <v>14.9460246930629</v>
      </c>
      <c r="E1090" s="0" t="s">
        <v>522</v>
      </c>
    </row>
    <row r="1091" customFormat="false" ht="15" hidden="false" customHeight="false" outlineLevel="0" collapsed="false">
      <c r="A1091" s="0" t="s">
        <v>136</v>
      </c>
      <c r="B1091" s="0" t="n">
        <v>2019</v>
      </c>
      <c r="C1091" s="0" t="s">
        <v>21</v>
      </c>
      <c r="D1091" s="0" t="n">
        <v>-1.16415321826935E-010</v>
      </c>
      <c r="E1091" s="0" t="s">
        <v>522</v>
      </c>
    </row>
    <row r="1092" customFormat="false" ht="15" hidden="false" customHeight="false" outlineLevel="0" collapsed="false">
      <c r="A1092" s="0" t="s">
        <v>136</v>
      </c>
      <c r="B1092" s="0" t="n">
        <v>2019</v>
      </c>
      <c r="C1092" s="0" t="s">
        <v>35</v>
      </c>
      <c r="D1092" s="0" t="n">
        <v>0</v>
      </c>
      <c r="E1092" s="0" t="s">
        <v>522</v>
      </c>
    </row>
    <row r="1093" customFormat="false" ht="15" hidden="false" customHeight="false" outlineLevel="0" collapsed="false">
      <c r="A1093" s="0" t="s">
        <v>136</v>
      </c>
      <c r="B1093" s="0" t="n">
        <v>2020</v>
      </c>
      <c r="C1093" s="0" t="s">
        <v>54</v>
      </c>
      <c r="D1093" s="0" t="n">
        <v>178188.398</v>
      </c>
      <c r="E1093" s="0" t="s">
        <v>523</v>
      </c>
      <c r="F1093" s="0" t="s">
        <v>524</v>
      </c>
      <c r="G1093" s="0" t="s">
        <v>95</v>
      </c>
      <c r="H1093" s="0" t="s">
        <v>1077</v>
      </c>
    </row>
    <row r="1094" customFormat="false" ht="15" hidden="false" customHeight="false" outlineLevel="0" collapsed="false">
      <c r="A1094" s="0" t="s">
        <v>136</v>
      </c>
      <c r="B1094" s="0" t="n">
        <v>2020</v>
      </c>
      <c r="C1094" s="0" t="s">
        <v>55</v>
      </c>
      <c r="D1094" s="0" t="n">
        <v>4061543.605</v>
      </c>
      <c r="E1094" s="0" t="s">
        <v>523</v>
      </c>
      <c r="F1094" s="0" t="s">
        <v>524</v>
      </c>
      <c r="G1094" s="0" t="s">
        <v>95</v>
      </c>
      <c r="H1094" s="0" t="s">
        <v>1078</v>
      </c>
    </row>
    <row r="1095" customFormat="false" ht="15" hidden="false" customHeight="false" outlineLevel="0" collapsed="false">
      <c r="A1095" s="0" t="s">
        <v>136</v>
      </c>
      <c r="B1095" s="0" t="n">
        <v>2020</v>
      </c>
      <c r="C1095" s="0" t="s">
        <v>56</v>
      </c>
      <c r="D1095" s="0" t="n">
        <v>3359144.08</v>
      </c>
      <c r="E1095" s="0" t="s">
        <v>523</v>
      </c>
      <c r="F1095" s="0" t="s">
        <v>524</v>
      </c>
      <c r="G1095" s="0" t="s">
        <v>95</v>
      </c>
      <c r="H1095" s="0" t="s">
        <v>1079</v>
      </c>
    </row>
    <row r="1096" customFormat="false" ht="15" hidden="false" customHeight="false" outlineLevel="0" collapsed="false">
      <c r="A1096" s="0" t="s">
        <v>136</v>
      </c>
      <c r="B1096" s="0" t="n">
        <v>2020</v>
      </c>
      <c r="C1096" s="0" t="s">
        <v>57</v>
      </c>
      <c r="D1096" s="0" t="n">
        <v>702399.525</v>
      </c>
      <c r="E1096" s="0" t="s">
        <v>523</v>
      </c>
      <c r="F1096" s="0" t="s">
        <v>524</v>
      </c>
      <c r="G1096" s="0" t="s">
        <v>95</v>
      </c>
      <c r="H1096" s="0" t="s">
        <v>1080</v>
      </c>
    </row>
    <row r="1097" customFormat="false" ht="15" hidden="false" customHeight="false" outlineLevel="0" collapsed="false">
      <c r="A1097" s="0" t="s">
        <v>136</v>
      </c>
      <c r="B1097" s="0" t="n">
        <v>2020</v>
      </c>
      <c r="C1097" s="0" t="s">
        <v>58</v>
      </c>
      <c r="D1097" s="0" t="n">
        <v>327793.446</v>
      </c>
      <c r="E1097" s="0" t="s">
        <v>523</v>
      </c>
      <c r="F1097" s="0" t="s">
        <v>524</v>
      </c>
      <c r="G1097" s="0" t="s">
        <v>95</v>
      </c>
      <c r="H1097" s="0" t="s">
        <v>1081</v>
      </c>
    </row>
    <row r="1098" customFormat="false" ht="15" hidden="false" customHeight="false" outlineLevel="0" collapsed="false">
      <c r="A1098" s="0" t="s">
        <v>136</v>
      </c>
      <c r="B1098" s="0" t="n">
        <v>2020</v>
      </c>
      <c r="C1098" s="0" t="s">
        <v>59</v>
      </c>
      <c r="D1098" s="0" t="n">
        <v>3097248.495</v>
      </c>
      <c r="E1098" s="0" t="s">
        <v>523</v>
      </c>
      <c r="F1098" s="0" t="s">
        <v>524</v>
      </c>
      <c r="G1098" s="0" t="s">
        <v>95</v>
      </c>
      <c r="H1098" s="0" t="s">
        <v>1082</v>
      </c>
    </row>
    <row r="1099" customFormat="false" ht="15" hidden="false" customHeight="false" outlineLevel="0" collapsed="false">
      <c r="A1099" s="0" t="s">
        <v>136</v>
      </c>
      <c r="B1099" s="0" t="n">
        <v>2020</v>
      </c>
      <c r="C1099" s="0" t="s">
        <v>60</v>
      </c>
      <c r="D1099" s="0" t="n">
        <v>1473498.356</v>
      </c>
      <c r="E1099" s="0" t="s">
        <v>523</v>
      </c>
      <c r="F1099" s="0" t="s">
        <v>524</v>
      </c>
      <c r="G1099" s="0" t="s">
        <v>95</v>
      </c>
      <c r="H1099" s="0" t="s">
        <v>1083</v>
      </c>
    </row>
    <row r="1100" customFormat="false" ht="15" hidden="false" customHeight="false" outlineLevel="0" collapsed="false">
      <c r="A1100" s="0" t="s">
        <v>136</v>
      </c>
      <c r="B1100" s="0" t="n">
        <v>2020</v>
      </c>
      <c r="C1100" s="0" t="s">
        <v>61</v>
      </c>
      <c r="D1100" s="0" t="n">
        <v>62920.622</v>
      </c>
      <c r="E1100" s="0" t="s">
        <v>979</v>
      </c>
      <c r="F1100" s="0" t="s">
        <v>524</v>
      </c>
      <c r="G1100" s="0" t="s">
        <v>95</v>
      </c>
      <c r="H1100" s="0" t="s">
        <v>1084</v>
      </c>
    </row>
    <row r="1101" customFormat="false" ht="15" hidden="false" customHeight="false" outlineLevel="0" collapsed="false">
      <c r="A1101" s="0" t="s">
        <v>136</v>
      </c>
      <c r="B1101" s="0" t="n">
        <v>2020</v>
      </c>
      <c r="C1101" s="0" t="s">
        <v>62</v>
      </c>
      <c r="D1101" s="0" t="n">
        <v>1410577.734</v>
      </c>
      <c r="E1101" s="0" t="s">
        <v>523</v>
      </c>
      <c r="F1101" s="0" t="s">
        <v>524</v>
      </c>
      <c r="G1101" s="0" t="s">
        <v>95</v>
      </c>
      <c r="H1101" s="0" t="s">
        <v>1085</v>
      </c>
    </row>
    <row r="1102" customFormat="false" ht="15" hidden="false" customHeight="false" outlineLevel="0" collapsed="false">
      <c r="A1102" s="0" t="s">
        <v>136</v>
      </c>
      <c r="B1102" s="0" t="n">
        <v>2020</v>
      </c>
      <c r="C1102" s="0" t="s">
        <v>63</v>
      </c>
      <c r="D1102" s="0" t="n">
        <v>10555.467</v>
      </c>
      <c r="E1102" s="0" t="s">
        <v>979</v>
      </c>
      <c r="F1102" s="0" t="s">
        <v>524</v>
      </c>
      <c r="G1102" s="0" t="s">
        <v>95</v>
      </c>
      <c r="H1102" s="0" t="s">
        <v>1086</v>
      </c>
    </row>
    <row r="1103" customFormat="false" ht="15" hidden="false" customHeight="false" outlineLevel="0" collapsed="false">
      <c r="A1103" s="0" t="s">
        <v>136</v>
      </c>
      <c r="B1103" s="0" t="n">
        <v>2020</v>
      </c>
      <c r="C1103" s="0" t="s">
        <v>307</v>
      </c>
      <c r="D1103" s="0" t="n">
        <v>13667.341</v>
      </c>
      <c r="E1103" s="0" t="s">
        <v>523</v>
      </c>
      <c r="F1103" s="0" t="s">
        <v>524</v>
      </c>
      <c r="G1103" s="0" t="s">
        <v>95</v>
      </c>
      <c r="H1103" s="0" t="s">
        <v>1087</v>
      </c>
    </row>
    <row r="1104" customFormat="false" ht="15" hidden="false" customHeight="false" outlineLevel="0" collapsed="false">
      <c r="A1104" s="0" t="s">
        <v>136</v>
      </c>
      <c r="B1104" s="0" t="n">
        <v>2020</v>
      </c>
      <c r="C1104" s="0" t="s">
        <v>1038</v>
      </c>
      <c r="D1104" s="0" t="n">
        <v>-3111.874</v>
      </c>
      <c r="E1104" s="0" t="s">
        <v>523</v>
      </c>
      <c r="F1104" s="0" t="s">
        <v>524</v>
      </c>
      <c r="G1104" s="0" t="s">
        <v>95</v>
      </c>
      <c r="H1104" s="0" t="s">
        <v>1088</v>
      </c>
    </row>
    <row r="1105" customFormat="false" ht="15" hidden="false" customHeight="false" outlineLevel="0" collapsed="false">
      <c r="A1105" s="0" t="s">
        <v>136</v>
      </c>
      <c r="B1105" s="0" t="n">
        <v>2020</v>
      </c>
      <c r="C1105" s="0" t="s">
        <v>69</v>
      </c>
      <c r="D1105" s="0" t="n">
        <v>19.55</v>
      </c>
      <c r="E1105" s="0" t="s">
        <v>523</v>
      </c>
      <c r="F1105" s="0" t="s">
        <v>524</v>
      </c>
      <c r="G1105" s="0" t="s">
        <v>95</v>
      </c>
      <c r="H1105" s="0" t="s">
        <v>1089</v>
      </c>
    </row>
    <row r="1106" customFormat="false" ht="15" hidden="false" customHeight="false" outlineLevel="0" collapsed="false">
      <c r="A1106" s="0" t="s">
        <v>136</v>
      </c>
      <c r="B1106" s="0" t="n">
        <v>2020</v>
      </c>
      <c r="C1106" s="0" t="s">
        <v>614</v>
      </c>
      <c r="D1106" s="0" t="n">
        <v>23.05</v>
      </c>
      <c r="E1106" s="0" t="s">
        <v>523</v>
      </c>
      <c r="F1106" s="0" t="s">
        <v>524</v>
      </c>
      <c r="G1106" s="0" t="s">
        <v>95</v>
      </c>
      <c r="H1106" s="0" t="s">
        <v>1090</v>
      </c>
    </row>
    <row r="1107" customFormat="false" ht="15" hidden="false" customHeight="false" outlineLevel="0" collapsed="false">
      <c r="A1107" s="0" t="s">
        <v>136</v>
      </c>
      <c r="B1107" s="0" t="n">
        <v>2020</v>
      </c>
      <c r="C1107" s="0" t="s">
        <v>70</v>
      </c>
      <c r="D1107" s="0" t="n">
        <v>16</v>
      </c>
      <c r="E1107" s="0" t="s">
        <v>523</v>
      </c>
      <c r="F1107" s="0" t="s">
        <v>524</v>
      </c>
      <c r="G1107" s="0" t="s">
        <v>95</v>
      </c>
      <c r="H1107" s="0" t="s">
        <v>1091</v>
      </c>
    </row>
    <row r="1108" customFormat="false" ht="15" hidden="false" customHeight="false" outlineLevel="0" collapsed="false">
      <c r="A1108" s="0" t="s">
        <v>136</v>
      </c>
      <c r="B1108" s="0" t="n">
        <v>2020</v>
      </c>
      <c r="C1108" s="0" t="s">
        <v>65</v>
      </c>
      <c r="D1108" s="0" t="n">
        <v>467871.04</v>
      </c>
      <c r="E1108" s="0" t="s">
        <v>523</v>
      </c>
      <c r="F1108" s="0" t="s">
        <v>524</v>
      </c>
      <c r="G1108" s="0" t="s">
        <v>95</v>
      </c>
      <c r="H1108" s="0" t="s">
        <v>1092</v>
      </c>
    </row>
    <row r="1109" customFormat="false" ht="15" hidden="false" customHeight="false" outlineLevel="0" collapsed="false">
      <c r="A1109" s="0" t="s">
        <v>136</v>
      </c>
      <c r="B1109" s="0" t="n">
        <v>2020</v>
      </c>
      <c r="C1109" s="0" t="s">
        <v>66</v>
      </c>
      <c r="D1109" s="0" t="n">
        <v>2393202.25</v>
      </c>
      <c r="E1109" s="0" t="s">
        <v>523</v>
      </c>
      <c r="F1109" s="0" t="s">
        <v>524</v>
      </c>
      <c r="G1109" s="0" t="s">
        <v>95</v>
      </c>
      <c r="H1109" s="0" t="s">
        <v>1093</v>
      </c>
    </row>
    <row r="1110" customFormat="false" ht="15" hidden="false" customHeight="false" outlineLevel="0" collapsed="false">
      <c r="A1110" s="0" t="s">
        <v>136</v>
      </c>
      <c r="B1110" s="0" t="n">
        <v>2020</v>
      </c>
      <c r="C1110" s="0" t="s">
        <v>619</v>
      </c>
      <c r="D1110" s="0" t="n">
        <v>566721.721</v>
      </c>
      <c r="E1110" s="0" t="s">
        <v>523</v>
      </c>
      <c r="F1110" s="0" t="s">
        <v>524</v>
      </c>
      <c r="G1110" s="0" t="s">
        <v>95</v>
      </c>
      <c r="H1110" s="0" t="s">
        <v>1094</v>
      </c>
    </row>
    <row r="1111" customFormat="false" ht="15" hidden="false" customHeight="false" outlineLevel="0" collapsed="false">
      <c r="A1111" s="0" t="s">
        <v>136</v>
      </c>
      <c r="B1111" s="0" t="n">
        <v>2020</v>
      </c>
      <c r="C1111" s="0" t="s">
        <v>73</v>
      </c>
      <c r="D1111" s="0" t="n">
        <v>0</v>
      </c>
      <c r="E1111" s="0" t="s">
        <v>539</v>
      </c>
      <c r="F1111" s="0" t="s">
        <v>524</v>
      </c>
      <c r="G1111" s="0" t="s">
        <v>95</v>
      </c>
      <c r="H1111" s="0" t="s">
        <v>1095</v>
      </c>
    </row>
    <row r="1112" customFormat="false" ht="15" hidden="false" customHeight="false" outlineLevel="0" collapsed="false">
      <c r="A1112" s="0" t="s">
        <v>136</v>
      </c>
      <c r="B1112" s="0" t="n">
        <v>2020</v>
      </c>
      <c r="C1112" s="0" t="s">
        <v>541</v>
      </c>
      <c r="D1112" s="0" t="n">
        <v>205130.559</v>
      </c>
      <c r="E1112" s="0" t="s">
        <v>523</v>
      </c>
      <c r="F1112" s="0" t="s">
        <v>524</v>
      </c>
      <c r="G1112" s="0" t="s">
        <v>95</v>
      </c>
      <c r="H1112" s="0" t="s">
        <v>1096</v>
      </c>
    </row>
    <row r="1113" customFormat="false" ht="15" hidden="false" customHeight="false" outlineLevel="0" collapsed="false">
      <c r="A1113" s="0" t="s">
        <v>136</v>
      </c>
      <c r="B1113" s="0" t="n">
        <v>2020</v>
      </c>
      <c r="C1113" s="0" t="s">
        <v>19</v>
      </c>
      <c r="D1113" s="0" t="n">
        <v>3579396.05</v>
      </c>
      <c r="E1113" s="0" t="s">
        <v>522</v>
      </c>
    </row>
    <row r="1114" customFormat="false" ht="15" hidden="false" customHeight="false" outlineLevel="0" collapsed="false">
      <c r="A1114" s="0" t="s">
        <v>136</v>
      </c>
      <c r="B1114" s="0" t="n">
        <v>2020</v>
      </c>
      <c r="C1114" s="0" t="s">
        <v>41</v>
      </c>
      <c r="D1114" s="0" t="n">
        <v>4.97816937580852</v>
      </c>
      <c r="E1114" s="0" t="s">
        <v>522</v>
      </c>
    </row>
    <row r="1115" customFormat="false" ht="15" hidden="false" customHeight="false" outlineLevel="0" collapsed="false">
      <c r="A1115" s="0" t="s">
        <v>136</v>
      </c>
      <c r="B1115" s="0" t="n">
        <v>2020</v>
      </c>
      <c r="C1115" s="0" t="s">
        <v>27</v>
      </c>
      <c r="D1115" s="0" t="n">
        <v>17.2939057981627</v>
      </c>
      <c r="E1115" s="0" t="s">
        <v>522</v>
      </c>
    </row>
    <row r="1116" customFormat="false" ht="15" hidden="false" customHeight="false" outlineLevel="0" collapsed="false">
      <c r="A1116" s="0" t="s">
        <v>136</v>
      </c>
      <c r="B1116" s="0" t="n">
        <v>2020</v>
      </c>
      <c r="C1116" s="0" t="s">
        <v>39</v>
      </c>
      <c r="D1116" s="0" t="n">
        <v>9.15778643718401</v>
      </c>
      <c r="E1116" s="0" t="s">
        <v>522</v>
      </c>
    </row>
    <row r="1117" customFormat="false" ht="15" hidden="false" customHeight="false" outlineLevel="0" collapsed="false">
      <c r="A1117" s="0" t="s">
        <v>136</v>
      </c>
      <c r="B1117" s="0" t="n">
        <v>2020</v>
      </c>
      <c r="C1117" s="0" t="s">
        <v>17</v>
      </c>
      <c r="D1117" s="0" t="n">
        <v>4.27015216839509</v>
      </c>
      <c r="E1117" s="0" t="s">
        <v>522</v>
      </c>
    </row>
    <row r="1118" customFormat="false" ht="15" hidden="false" customHeight="false" outlineLevel="0" collapsed="false">
      <c r="A1118" s="0" t="s">
        <v>136</v>
      </c>
      <c r="B1118" s="0" t="n">
        <v>2020</v>
      </c>
      <c r="C1118" s="0" t="s">
        <v>25</v>
      </c>
      <c r="D1118" s="0" t="n">
        <v>19.5500000052231</v>
      </c>
      <c r="E1118" s="0" t="s">
        <v>522</v>
      </c>
    </row>
    <row r="1119" customFormat="false" ht="15" hidden="false" customHeight="false" outlineLevel="0" collapsed="false">
      <c r="A1119" s="0" t="s">
        <v>136</v>
      </c>
      <c r="B1119" s="0" t="n">
        <v>2020</v>
      </c>
      <c r="C1119" s="0" t="s">
        <v>29</v>
      </c>
      <c r="D1119" s="0" t="n">
        <v>0.294895196076444</v>
      </c>
      <c r="E1119" s="0" t="s">
        <v>522</v>
      </c>
    </row>
    <row r="1120" customFormat="false" ht="15" hidden="false" customHeight="false" outlineLevel="0" collapsed="false">
      <c r="A1120" s="0" t="s">
        <v>136</v>
      </c>
      <c r="B1120" s="0" t="n">
        <v>2020</v>
      </c>
      <c r="C1120" s="0" t="s">
        <v>43</v>
      </c>
      <c r="D1120" s="0" t="n">
        <v>4.3872087888122</v>
      </c>
      <c r="E1120" s="0" t="s">
        <v>522</v>
      </c>
    </row>
    <row r="1121" customFormat="false" ht="15" hidden="false" customHeight="false" outlineLevel="0" collapsed="false">
      <c r="A1121" s="0" t="s">
        <v>136</v>
      </c>
      <c r="B1121" s="0" t="n">
        <v>2020</v>
      </c>
      <c r="C1121" s="0" t="s">
        <v>31</v>
      </c>
      <c r="D1121" s="0" t="n">
        <v>82.7060942018373</v>
      </c>
      <c r="E1121" s="0" t="s">
        <v>522</v>
      </c>
    </row>
    <row r="1122" customFormat="false" ht="15" hidden="false" customHeight="false" outlineLevel="0" collapsed="false">
      <c r="A1122" s="0" t="s">
        <v>136</v>
      </c>
      <c r="B1122" s="0" t="n">
        <v>2020</v>
      </c>
      <c r="C1122" s="0" t="s">
        <v>33</v>
      </c>
      <c r="D1122" s="0" t="n">
        <v>15.2170736575967</v>
      </c>
      <c r="E1122" s="0" t="s">
        <v>522</v>
      </c>
    </row>
    <row r="1123" customFormat="false" ht="15" hidden="false" customHeight="false" outlineLevel="0" collapsed="false">
      <c r="A1123" s="0" t="s">
        <v>136</v>
      </c>
      <c r="B1123" s="0" t="n">
        <v>2020</v>
      </c>
      <c r="C1123" s="0" t="s">
        <v>21</v>
      </c>
      <c r="D1123" s="0" t="n">
        <v>-1.16415321826935E-010</v>
      </c>
      <c r="E1123" s="0" t="s">
        <v>522</v>
      </c>
    </row>
    <row r="1124" customFormat="false" ht="15" hidden="false" customHeight="false" outlineLevel="0" collapsed="false">
      <c r="A1124" s="0" t="s">
        <v>136</v>
      </c>
      <c r="B1124" s="0" t="n">
        <v>2020</v>
      </c>
      <c r="C1124" s="0" t="s">
        <v>35</v>
      </c>
      <c r="D1124" s="0" t="n">
        <v>0</v>
      </c>
      <c r="E1124" s="0" t="s">
        <v>522</v>
      </c>
    </row>
    <row r="1125" customFormat="false" ht="15" hidden="false" customHeight="false" outlineLevel="0" collapsed="false">
      <c r="A1125" s="0" t="s">
        <v>136</v>
      </c>
      <c r="B1125" s="0" t="n">
        <v>2021</v>
      </c>
      <c r="C1125" s="0" t="s">
        <v>54</v>
      </c>
      <c r="D1125" s="0" t="n">
        <v>146184.067</v>
      </c>
      <c r="E1125" s="0" t="s">
        <v>523</v>
      </c>
      <c r="F1125" s="0" t="s">
        <v>524</v>
      </c>
      <c r="G1125" s="0" t="s">
        <v>146</v>
      </c>
      <c r="H1125" s="0" t="s">
        <v>1097</v>
      </c>
    </row>
    <row r="1126" customFormat="false" ht="15" hidden="false" customHeight="false" outlineLevel="0" collapsed="false">
      <c r="A1126" s="0" t="s">
        <v>136</v>
      </c>
      <c r="B1126" s="0" t="n">
        <v>2021</v>
      </c>
      <c r="C1126" s="0" t="s">
        <v>55</v>
      </c>
      <c r="D1126" s="0" t="n">
        <v>4357033.134</v>
      </c>
      <c r="E1126" s="0" t="s">
        <v>523</v>
      </c>
      <c r="F1126" s="0" t="s">
        <v>524</v>
      </c>
      <c r="G1126" s="0" t="s">
        <v>146</v>
      </c>
      <c r="H1126" s="0" t="s">
        <v>1098</v>
      </c>
    </row>
    <row r="1127" customFormat="false" ht="15" hidden="false" customHeight="false" outlineLevel="0" collapsed="false">
      <c r="A1127" s="0" t="s">
        <v>136</v>
      </c>
      <c r="B1127" s="0" t="n">
        <v>2021</v>
      </c>
      <c r="C1127" s="0" t="s">
        <v>56</v>
      </c>
      <c r="D1127" s="0" t="n">
        <v>3610197.551</v>
      </c>
      <c r="E1127" s="0" t="s">
        <v>523</v>
      </c>
      <c r="F1127" s="0" t="s">
        <v>524</v>
      </c>
      <c r="G1127" s="0" t="s">
        <v>146</v>
      </c>
      <c r="H1127" s="0" t="s">
        <v>1099</v>
      </c>
    </row>
    <row r="1128" customFormat="false" ht="15" hidden="false" customHeight="false" outlineLevel="0" collapsed="false">
      <c r="A1128" s="0" t="s">
        <v>136</v>
      </c>
      <c r="B1128" s="0" t="n">
        <v>2021</v>
      </c>
      <c r="C1128" s="0" t="s">
        <v>57</v>
      </c>
      <c r="D1128" s="0" t="n">
        <v>746835.583</v>
      </c>
      <c r="E1128" s="0" t="s">
        <v>523</v>
      </c>
      <c r="F1128" s="0" t="s">
        <v>524</v>
      </c>
      <c r="G1128" s="0" t="s">
        <v>146</v>
      </c>
      <c r="H1128" s="0" t="s">
        <v>1100</v>
      </c>
    </row>
    <row r="1129" customFormat="false" ht="15" hidden="false" customHeight="false" outlineLevel="0" collapsed="false">
      <c r="A1129" s="0" t="s">
        <v>136</v>
      </c>
      <c r="B1129" s="0" t="n">
        <v>2021</v>
      </c>
      <c r="C1129" s="0" t="s">
        <v>58</v>
      </c>
      <c r="D1129" s="0" t="n">
        <v>364670.769</v>
      </c>
      <c r="E1129" s="0" t="s">
        <v>523</v>
      </c>
      <c r="F1129" s="0" t="s">
        <v>524</v>
      </c>
      <c r="G1129" s="0" t="s">
        <v>146</v>
      </c>
      <c r="H1129" s="0" t="s">
        <v>1101</v>
      </c>
    </row>
    <row r="1130" customFormat="false" ht="15" hidden="false" customHeight="false" outlineLevel="0" collapsed="false">
      <c r="A1130" s="0" t="s">
        <v>136</v>
      </c>
      <c r="B1130" s="0" t="n">
        <v>2021</v>
      </c>
      <c r="C1130" s="0" t="s">
        <v>59</v>
      </c>
      <c r="D1130" s="0" t="n">
        <v>4061543.605</v>
      </c>
      <c r="E1130" s="0" t="s">
        <v>523</v>
      </c>
      <c r="F1130" s="0" t="s">
        <v>524</v>
      </c>
      <c r="G1130" s="0" t="s">
        <v>146</v>
      </c>
      <c r="H1130" s="0" t="s">
        <v>1102</v>
      </c>
    </row>
    <row r="1131" customFormat="false" ht="15" hidden="false" customHeight="false" outlineLevel="0" collapsed="false">
      <c r="A1131" s="0" t="s">
        <v>136</v>
      </c>
      <c r="B1131" s="0" t="n">
        <v>2021</v>
      </c>
      <c r="C1131" s="0" t="s">
        <v>62</v>
      </c>
      <c r="D1131" s="0" t="n">
        <v>1475674.16</v>
      </c>
      <c r="E1131" s="0" t="s">
        <v>523</v>
      </c>
      <c r="F1131" s="0" t="s">
        <v>524</v>
      </c>
      <c r="G1131" s="0" t="s">
        <v>146</v>
      </c>
      <c r="H1131" s="0" t="s">
        <v>1103</v>
      </c>
    </row>
    <row r="1132" customFormat="false" ht="15" hidden="false" customHeight="false" outlineLevel="0" collapsed="false">
      <c r="A1132" s="0" t="s">
        <v>136</v>
      </c>
      <c r="B1132" s="0" t="n">
        <v>2021</v>
      </c>
      <c r="C1132" s="0" t="s">
        <v>307</v>
      </c>
      <c r="D1132" s="0" t="n">
        <v>4088.901</v>
      </c>
      <c r="E1132" s="0" t="s">
        <v>523</v>
      </c>
      <c r="F1132" s="0" t="s">
        <v>524</v>
      </c>
      <c r="G1132" s="0" t="s">
        <v>146</v>
      </c>
      <c r="H1132" s="0" t="s">
        <v>1104</v>
      </c>
    </row>
    <row r="1133" customFormat="false" ht="15" hidden="false" customHeight="false" outlineLevel="0" collapsed="false">
      <c r="A1133" s="0" t="s">
        <v>136</v>
      </c>
      <c r="B1133" s="0" t="n">
        <v>2021</v>
      </c>
      <c r="C1133" s="0" t="s">
        <v>541</v>
      </c>
      <c r="D1133" s="0" t="n">
        <v>176121.448</v>
      </c>
      <c r="E1133" s="0" t="s">
        <v>523</v>
      </c>
      <c r="F1133" s="0" t="s">
        <v>524</v>
      </c>
      <c r="G1133" s="0" t="s">
        <v>146</v>
      </c>
      <c r="H1133" s="0" t="s">
        <v>1105</v>
      </c>
    </row>
    <row r="1134" customFormat="false" ht="15" hidden="false" customHeight="false" outlineLevel="0" collapsed="false">
      <c r="A1134" s="0" t="s">
        <v>136</v>
      </c>
      <c r="B1134" s="0" t="n">
        <v>2021</v>
      </c>
      <c r="C1134" s="0" t="s">
        <v>19</v>
      </c>
      <c r="D1134" s="0" t="n">
        <v>4209288.3695</v>
      </c>
      <c r="E1134" s="0" t="s">
        <v>522</v>
      </c>
    </row>
    <row r="1135" customFormat="false" ht="15" hidden="false" customHeight="false" outlineLevel="0" collapsed="false">
      <c r="A1135" s="0" t="s">
        <v>136</v>
      </c>
      <c r="B1135" s="0" t="n">
        <v>2021</v>
      </c>
      <c r="C1135" s="0" t="s">
        <v>41</v>
      </c>
      <c r="D1135" s="0" t="n">
        <v>3.47289266421451</v>
      </c>
      <c r="E1135" s="0" t="s">
        <v>522</v>
      </c>
    </row>
    <row r="1136" customFormat="false" ht="15" hidden="false" customHeight="false" outlineLevel="0" collapsed="false">
      <c r="A1136" s="0" t="s">
        <v>136</v>
      </c>
      <c r="B1136" s="0" t="n">
        <v>2021</v>
      </c>
      <c r="C1136" s="0" t="s">
        <v>27</v>
      </c>
      <c r="D1136" s="0" t="n">
        <v>17.1409204390044</v>
      </c>
      <c r="E1136" s="0" t="s">
        <v>522</v>
      </c>
    </row>
    <row r="1137" customFormat="false" ht="15" hidden="false" customHeight="false" outlineLevel="0" collapsed="false">
      <c r="A1137" s="0" t="s">
        <v>136</v>
      </c>
      <c r="B1137" s="0" t="n">
        <v>2021</v>
      </c>
      <c r="C1137" s="0" t="s">
        <v>39</v>
      </c>
      <c r="D1137" s="0" t="n">
        <v>8.66347793233556</v>
      </c>
      <c r="E1137" s="0" t="s">
        <v>522</v>
      </c>
    </row>
    <row r="1138" customFormat="false" ht="15" hidden="false" customHeight="false" outlineLevel="0" collapsed="false">
      <c r="A1138" s="0" t="s">
        <v>136</v>
      </c>
      <c r="B1138" s="0" t="n">
        <v>2021</v>
      </c>
      <c r="C1138" s="0" t="s">
        <v>43</v>
      </c>
      <c r="D1138" s="0" t="n">
        <v>3.35512865071547</v>
      </c>
      <c r="E1138" s="0" t="s">
        <v>522</v>
      </c>
    </row>
    <row r="1139" customFormat="false" ht="15" hidden="false" customHeight="false" outlineLevel="0" collapsed="false">
      <c r="A1139" s="0" t="s">
        <v>136</v>
      </c>
      <c r="B1139" s="0" t="n">
        <v>2021</v>
      </c>
      <c r="C1139" s="0" t="s">
        <v>31</v>
      </c>
      <c r="D1139" s="0" t="n">
        <v>82.8590795609956</v>
      </c>
      <c r="E1139" s="0" t="s">
        <v>522</v>
      </c>
    </row>
    <row r="1140" customFormat="false" ht="15" hidden="false" customHeight="false" outlineLevel="0" collapsed="false">
      <c r="A1140" s="0" t="s">
        <v>136</v>
      </c>
      <c r="B1140" s="0" t="n">
        <v>2021</v>
      </c>
      <c r="C1140" s="0" t="s">
        <v>33</v>
      </c>
      <c r="D1140" s="0" t="n">
        <v>15.2873019098446</v>
      </c>
      <c r="E1140" s="0" t="s">
        <v>522</v>
      </c>
    </row>
    <row r="1141" customFormat="false" ht="15" hidden="false" customHeight="false" outlineLevel="0" collapsed="false">
      <c r="A1141" s="0" t="s">
        <v>136</v>
      </c>
      <c r="B1141" s="0" t="n">
        <v>2021</v>
      </c>
      <c r="C1141" s="0" t="s">
        <v>21</v>
      </c>
      <c r="D1141" s="0" t="n">
        <v>-3.49245965480804E-010</v>
      </c>
      <c r="E1141" s="0" t="s">
        <v>522</v>
      </c>
    </row>
    <row r="1142" customFormat="false" ht="15" hidden="false" customHeight="false" outlineLevel="0" collapsed="false">
      <c r="A1142" s="0" t="s">
        <v>136</v>
      </c>
      <c r="B1142" s="0" t="n">
        <v>2022</v>
      </c>
      <c r="C1142" s="0" t="s">
        <v>54</v>
      </c>
      <c r="D1142" s="0" t="n">
        <v>145296.211</v>
      </c>
      <c r="E1142" s="0" t="s">
        <v>523</v>
      </c>
      <c r="F1142" s="0" t="s">
        <v>524</v>
      </c>
      <c r="G1142" s="0" t="s">
        <v>148</v>
      </c>
      <c r="H1142" s="0" t="s">
        <v>1106</v>
      </c>
    </row>
    <row r="1143" customFormat="false" ht="15" hidden="false" customHeight="false" outlineLevel="0" collapsed="false">
      <c r="A1143" s="0" t="s">
        <v>136</v>
      </c>
      <c r="B1143" s="0" t="n">
        <v>2022</v>
      </c>
      <c r="C1143" s="0" t="s">
        <v>55</v>
      </c>
      <c r="D1143" s="0" t="n">
        <v>5208576.833</v>
      </c>
      <c r="E1143" s="0" t="s">
        <v>523</v>
      </c>
      <c r="F1143" s="0" t="s">
        <v>524</v>
      </c>
      <c r="G1143" s="0" t="s">
        <v>148</v>
      </c>
      <c r="H1143" s="0" t="s">
        <v>1107</v>
      </c>
    </row>
    <row r="1144" customFormat="false" ht="15" hidden="false" customHeight="false" outlineLevel="0" collapsed="false">
      <c r="A1144" s="0" t="s">
        <v>136</v>
      </c>
      <c r="B1144" s="0" t="n">
        <v>2022</v>
      </c>
      <c r="C1144" s="0" t="s">
        <v>56</v>
      </c>
      <c r="D1144" s="0" t="n">
        <v>4412624.546</v>
      </c>
      <c r="E1144" s="0" t="s">
        <v>523</v>
      </c>
      <c r="F1144" s="0" t="s">
        <v>524</v>
      </c>
      <c r="G1144" s="0" t="s">
        <v>148</v>
      </c>
      <c r="H1144" s="0" t="s">
        <v>1108</v>
      </c>
    </row>
    <row r="1145" customFormat="false" ht="15" hidden="false" customHeight="false" outlineLevel="0" collapsed="false">
      <c r="A1145" s="0" t="s">
        <v>136</v>
      </c>
      <c r="B1145" s="0" t="n">
        <v>2022</v>
      </c>
      <c r="C1145" s="0" t="s">
        <v>57</v>
      </c>
      <c r="D1145" s="0" t="n">
        <v>795952.287</v>
      </c>
      <c r="E1145" s="0" t="s">
        <v>523</v>
      </c>
      <c r="F1145" s="0" t="s">
        <v>524</v>
      </c>
      <c r="G1145" s="0" t="s">
        <v>148</v>
      </c>
      <c r="H1145" s="0" t="s">
        <v>1109</v>
      </c>
    </row>
    <row r="1146" customFormat="false" ht="15" hidden="false" customHeight="false" outlineLevel="0" collapsed="false">
      <c r="A1146" s="0" t="s">
        <v>136</v>
      </c>
      <c r="B1146" s="0" t="n">
        <v>2022</v>
      </c>
      <c r="C1146" s="0" t="s">
        <v>58</v>
      </c>
      <c r="D1146" s="0" t="n">
        <v>671361.457</v>
      </c>
      <c r="E1146" s="0" t="s">
        <v>523</v>
      </c>
      <c r="F1146" s="0" t="s">
        <v>524</v>
      </c>
      <c r="G1146" s="0" t="s">
        <v>148</v>
      </c>
      <c r="H1146" s="0" t="s">
        <v>1110</v>
      </c>
    </row>
    <row r="1147" customFormat="false" ht="15" hidden="false" customHeight="false" outlineLevel="0" collapsed="false">
      <c r="A1147" s="0" t="s">
        <v>136</v>
      </c>
      <c r="B1147" s="0" t="n">
        <v>2022</v>
      </c>
      <c r="C1147" s="0" t="s">
        <v>59</v>
      </c>
      <c r="D1147" s="0" t="n">
        <v>4357033.134</v>
      </c>
      <c r="E1147" s="0" t="s">
        <v>523</v>
      </c>
      <c r="F1147" s="0" t="s">
        <v>524</v>
      </c>
      <c r="G1147" s="0" t="s">
        <v>148</v>
      </c>
      <c r="H1147" s="0" t="s">
        <v>1111</v>
      </c>
    </row>
    <row r="1148" customFormat="false" ht="15" hidden="false" customHeight="false" outlineLevel="0" collapsed="false">
      <c r="A1148" s="0" t="s">
        <v>136</v>
      </c>
      <c r="B1148" s="0" t="n">
        <v>2022</v>
      </c>
      <c r="C1148" s="0" t="s">
        <v>62</v>
      </c>
      <c r="D1148" s="0" t="n">
        <v>1577191.692</v>
      </c>
      <c r="E1148" s="0" t="s">
        <v>523</v>
      </c>
      <c r="F1148" s="0" t="s">
        <v>524</v>
      </c>
      <c r="G1148" s="0" t="s">
        <v>148</v>
      </c>
      <c r="H1148" s="0" t="s">
        <v>1112</v>
      </c>
    </row>
    <row r="1149" customFormat="false" ht="15" hidden="false" customHeight="false" outlineLevel="0" collapsed="false">
      <c r="A1149" s="0" t="s">
        <v>136</v>
      </c>
      <c r="B1149" s="0" t="n">
        <v>2022</v>
      </c>
      <c r="C1149" s="0" t="s">
        <v>307</v>
      </c>
      <c r="D1149" s="0" t="n">
        <v>8937.161</v>
      </c>
      <c r="E1149" s="0" t="s">
        <v>523</v>
      </c>
      <c r="F1149" s="0" t="s">
        <v>524</v>
      </c>
      <c r="G1149" s="0" t="s">
        <v>148</v>
      </c>
      <c r="H1149" s="0" t="s">
        <v>1113</v>
      </c>
    </row>
    <row r="1150" customFormat="false" ht="15" hidden="false" customHeight="false" outlineLevel="0" collapsed="false">
      <c r="A1150" s="0" t="s">
        <v>136</v>
      </c>
      <c r="B1150" s="0" t="n">
        <v>2022</v>
      </c>
      <c r="C1150" s="0" t="s">
        <v>541</v>
      </c>
      <c r="D1150" s="0" t="n">
        <v>180628.262</v>
      </c>
      <c r="E1150" s="0" t="s">
        <v>523</v>
      </c>
      <c r="F1150" s="0" t="s">
        <v>524</v>
      </c>
      <c r="G1150" s="0" t="s">
        <v>148</v>
      </c>
      <c r="H1150" s="0" t="s">
        <v>1114</v>
      </c>
    </row>
    <row r="1151" customFormat="false" ht="15" hidden="false" customHeight="false" outlineLevel="0" collapsed="false">
      <c r="A1151" s="0" t="s">
        <v>136</v>
      </c>
      <c r="B1151" s="0" t="n">
        <v>2022</v>
      </c>
      <c r="C1151" s="0" t="s">
        <v>19</v>
      </c>
      <c r="D1151" s="0" t="n">
        <v>4782804.9835</v>
      </c>
      <c r="E1151" s="0" t="s">
        <v>522</v>
      </c>
    </row>
    <row r="1152" customFormat="false" ht="15" hidden="false" customHeight="false" outlineLevel="0" collapsed="false">
      <c r="A1152" s="0" t="s">
        <v>136</v>
      </c>
      <c r="B1152" s="0" t="n">
        <v>2022</v>
      </c>
      <c r="C1152" s="0" t="s">
        <v>41</v>
      </c>
      <c r="D1152" s="0" t="n">
        <v>3.03788700357325</v>
      </c>
      <c r="E1152" s="0" t="s">
        <v>522</v>
      </c>
    </row>
    <row r="1153" customFormat="false" ht="15" hidden="false" customHeight="false" outlineLevel="0" collapsed="false">
      <c r="A1153" s="0" t="s">
        <v>136</v>
      </c>
      <c r="B1153" s="0" t="n">
        <v>2022</v>
      </c>
      <c r="C1153" s="0" t="s">
        <v>27</v>
      </c>
      <c r="D1153" s="0" t="n">
        <v>15.2815694674423</v>
      </c>
      <c r="E1153" s="0" t="s">
        <v>522</v>
      </c>
    </row>
    <row r="1154" customFormat="false" ht="15" hidden="false" customHeight="false" outlineLevel="0" collapsed="false">
      <c r="A1154" s="0" t="s">
        <v>136</v>
      </c>
      <c r="B1154" s="0" t="n">
        <v>2022</v>
      </c>
      <c r="C1154" s="0" t="s">
        <v>39</v>
      </c>
      <c r="D1154" s="0" t="n">
        <v>14.0369816314088</v>
      </c>
      <c r="E1154" s="0" t="s">
        <v>522</v>
      </c>
    </row>
    <row r="1155" customFormat="false" ht="15" hidden="false" customHeight="false" outlineLevel="0" collapsed="false">
      <c r="A1155" s="0" t="s">
        <v>136</v>
      </c>
      <c r="B1155" s="0" t="n">
        <v>2022</v>
      </c>
      <c r="C1155" s="0" t="s">
        <v>43</v>
      </c>
      <c r="D1155" s="0" t="n">
        <v>2.78955683401743</v>
      </c>
      <c r="E1155" s="0" t="s">
        <v>522</v>
      </c>
    </row>
    <row r="1156" customFormat="false" ht="15" hidden="false" customHeight="false" outlineLevel="0" collapsed="false">
      <c r="A1156" s="0" t="s">
        <v>136</v>
      </c>
      <c r="B1156" s="0" t="n">
        <v>2022</v>
      </c>
      <c r="C1156" s="0" t="s">
        <v>31</v>
      </c>
      <c r="D1156" s="0" t="n">
        <v>84.7184305325577</v>
      </c>
      <c r="E1156" s="0" t="s">
        <v>522</v>
      </c>
    </row>
    <row r="1157" customFormat="false" ht="15" hidden="false" customHeight="false" outlineLevel="0" collapsed="false">
      <c r="A1157" s="0" t="s">
        <v>136</v>
      </c>
      <c r="B1157" s="0" t="n">
        <v>2022</v>
      </c>
      <c r="C1157" s="0" t="s">
        <v>33</v>
      </c>
      <c r="D1157" s="0" t="n">
        <v>15.4658172157618</v>
      </c>
      <c r="E1157" s="0" t="s">
        <v>522</v>
      </c>
    </row>
    <row r="1158" customFormat="false" ht="15" hidden="false" customHeight="false" outlineLevel="0" collapsed="false">
      <c r="A1158" s="0" t="s">
        <v>136</v>
      </c>
      <c r="B1158" s="0" t="n">
        <v>2022</v>
      </c>
      <c r="C1158" s="0" t="s">
        <v>21</v>
      </c>
      <c r="D1158" s="0" t="n">
        <v>-4.65661287307739E-010</v>
      </c>
      <c r="E1158" s="0" t="s">
        <v>522</v>
      </c>
    </row>
    <row r="1159" customFormat="false" ht="15" hidden="false" customHeight="false" outlineLevel="0" collapsed="false">
      <c r="A1159" s="0" t="s">
        <v>149</v>
      </c>
      <c r="B1159" s="0" t="n">
        <v>2013</v>
      </c>
      <c r="C1159" s="0" t="s">
        <v>54</v>
      </c>
      <c r="D1159" s="0" t="n">
        <v>10129</v>
      </c>
      <c r="E1159" s="0" t="s">
        <v>523</v>
      </c>
      <c r="F1159" s="0" t="s">
        <v>524</v>
      </c>
      <c r="G1159" s="0" t="s">
        <v>151</v>
      </c>
      <c r="H1159" s="0" t="s">
        <v>1115</v>
      </c>
    </row>
    <row r="1160" customFormat="false" ht="15" hidden="false" customHeight="false" outlineLevel="0" collapsed="false">
      <c r="A1160" s="0" t="s">
        <v>149</v>
      </c>
      <c r="B1160" s="0" t="n">
        <v>2013</v>
      </c>
      <c r="C1160" s="0" t="s">
        <v>55</v>
      </c>
      <c r="D1160" s="0" t="n">
        <v>725100</v>
      </c>
      <c r="E1160" s="0" t="s">
        <v>523</v>
      </c>
      <c r="F1160" s="0" t="s">
        <v>524</v>
      </c>
      <c r="G1160" s="0" t="s">
        <v>151</v>
      </c>
      <c r="H1160" s="0" t="s">
        <v>1116</v>
      </c>
    </row>
    <row r="1161" customFormat="false" ht="15" hidden="false" customHeight="false" outlineLevel="0" collapsed="false">
      <c r="A1161" s="0" t="s">
        <v>149</v>
      </c>
      <c r="B1161" s="0" t="n">
        <v>2013</v>
      </c>
      <c r="C1161" s="0" t="s">
        <v>56</v>
      </c>
      <c r="D1161" s="0" t="n">
        <v>654520</v>
      </c>
      <c r="E1161" s="0" t="s">
        <v>523</v>
      </c>
      <c r="F1161" s="0" t="s">
        <v>524</v>
      </c>
      <c r="G1161" s="0" t="s">
        <v>151</v>
      </c>
      <c r="H1161" s="0" t="s">
        <v>1117</v>
      </c>
    </row>
    <row r="1162" customFormat="false" ht="15" hidden="false" customHeight="false" outlineLevel="0" collapsed="false">
      <c r="A1162" s="0" t="s">
        <v>149</v>
      </c>
      <c r="B1162" s="0" t="n">
        <v>2013</v>
      </c>
      <c r="C1162" s="0" t="s">
        <v>57</v>
      </c>
      <c r="D1162" s="0" t="n">
        <v>70580</v>
      </c>
      <c r="E1162" s="0" t="s">
        <v>523</v>
      </c>
      <c r="F1162" s="0" t="s">
        <v>524</v>
      </c>
      <c r="G1162" s="0" t="s">
        <v>151</v>
      </c>
      <c r="H1162" s="0" t="s">
        <v>1118</v>
      </c>
    </row>
    <row r="1163" customFormat="false" ht="15" hidden="false" customHeight="false" outlineLevel="0" collapsed="false">
      <c r="A1163" s="0" t="s">
        <v>149</v>
      </c>
      <c r="B1163" s="0" t="n">
        <v>2013</v>
      </c>
      <c r="C1163" s="0" t="s">
        <v>59</v>
      </c>
      <c r="D1163" s="0" t="n">
        <v>650470</v>
      </c>
      <c r="E1163" s="0" t="s">
        <v>523</v>
      </c>
      <c r="F1163" s="0" t="s">
        <v>524</v>
      </c>
      <c r="G1163" s="0" t="s">
        <v>151</v>
      </c>
      <c r="H1163" s="0" t="s">
        <v>1119</v>
      </c>
    </row>
    <row r="1164" customFormat="false" ht="15" hidden="false" customHeight="false" outlineLevel="0" collapsed="false">
      <c r="A1164" s="0" t="s">
        <v>149</v>
      </c>
      <c r="B1164" s="0" t="n">
        <v>2013</v>
      </c>
      <c r="C1164" s="0" t="s">
        <v>62</v>
      </c>
      <c r="D1164" s="0" t="n">
        <v>289747</v>
      </c>
      <c r="E1164" s="0" t="s">
        <v>523</v>
      </c>
      <c r="F1164" s="0" t="s">
        <v>524</v>
      </c>
      <c r="G1164" s="0" t="s">
        <v>151</v>
      </c>
      <c r="H1164" s="0" t="s">
        <v>1120</v>
      </c>
    </row>
    <row r="1165" customFormat="false" ht="15" hidden="false" customHeight="false" outlineLevel="0" collapsed="false">
      <c r="A1165" s="0" t="s">
        <v>149</v>
      </c>
      <c r="B1165" s="0" t="n">
        <v>2013</v>
      </c>
      <c r="C1165" s="0" t="s">
        <v>63</v>
      </c>
      <c r="D1165" s="0" t="n">
        <v>2667</v>
      </c>
      <c r="E1165" s="0" t="s">
        <v>523</v>
      </c>
      <c r="F1165" s="0" t="s">
        <v>524</v>
      </c>
      <c r="G1165" s="0" t="s">
        <v>151</v>
      </c>
      <c r="H1165" s="0" t="s">
        <v>1121</v>
      </c>
    </row>
    <row r="1166" customFormat="false" ht="15" hidden="false" customHeight="false" outlineLevel="0" collapsed="false">
      <c r="A1166" s="0" t="s">
        <v>149</v>
      </c>
      <c r="B1166" s="0" t="n">
        <v>2013</v>
      </c>
      <c r="C1166" s="0" t="s">
        <v>541</v>
      </c>
      <c r="D1166" s="0" t="n">
        <v>9474</v>
      </c>
      <c r="E1166" s="0" t="s">
        <v>523</v>
      </c>
      <c r="F1166" s="0" t="s">
        <v>524</v>
      </c>
      <c r="G1166" s="0" t="s">
        <v>151</v>
      </c>
      <c r="H1166" s="0" t="s">
        <v>1122</v>
      </c>
    </row>
    <row r="1167" customFormat="false" ht="15" hidden="false" customHeight="false" outlineLevel="0" collapsed="false">
      <c r="A1167" s="0" t="s">
        <v>149</v>
      </c>
      <c r="B1167" s="0" t="n">
        <v>2013</v>
      </c>
      <c r="C1167" s="0" t="s">
        <v>19</v>
      </c>
      <c r="D1167" s="0" t="n">
        <v>687785</v>
      </c>
      <c r="E1167" s="0" t="s">
        <v>522</v>
      </c>
    </row>
    <row r="1168" customFormat="false" ht="15" hidden="false" customHeight="false" outlineLevel="0" collapsed="false">
      <c r="A1168" s="0" t="s">
        <v>149</v>
      </c>
      <c r="B1168" s="0" t="n">
        <v>2013</v>
      </c>
      <c r="C1168" s="0" t="s">
        <v>41</v>
      </c>
      <c r="D1168" s="0" t="n">
        <v>1.47269859040252</v>
      </c>
      <c r="E1168" s="0" t="s">
        <v>522</v>
      </c>
    </row>
    <row r="1169" customFormat="false" ht="15" hidden="false" customHeight="false" outlineLevel="0" collapsed="false">
      <c r="A1169" s="0" t="s">
        <v>149</v>
      </c>
      <c r="B1169" s="0" t="n">
        <v>2013</v>
      </c>
      <c r="C1169" s="0" t="s">
        <v>27</v>
      </c>
      <c r="D1169" s="0" t="n">
        <v>9.73382981657703</v>
      </c>
      <c r="E1169" s="0" t="s">
        <v>522</v>
      </c>
    </row>
    <row r="1170" customFormat="false" ht="15" hidden="false" customHeight="false" outlineLevel="0" collapsed="false">
      <c r="A1170" s="0" t="s">
        <v>149</v>
      </c>
      <c r="B1170" s="0" t="n">
        <v>2013</v>
      </c>
      <c r="C1170" s="0" t="s">
        <v>29</v>
      </c>
      <c r="D1170" s="0" t="n">
        <v>0.387766525876546</v>
      </c>
      <c r="E1170" s="0" t="s">
        <v>522</v>
      </c>
    </row>
    <row r="1171" customFormat="false" ht="15" hidden="false" customHeight="false" outlineLevel="0" collapsed="false">
      <c r="A1171" s="0" t="s">
        <v>149</v>
      </c>
      <c r="B1171" s="0" t="n">
        <v>2013</v>
      </c>
      <c r="C1171" s="0" t="s">
        <v>43</v>
      </c>
      <c r="D1171" s="0" t="n">
        <v>1.39691077092815</v>
      </c>
      <c r="E1171" s="0" t="s">
        <v>522</v>
      </c>
    </row>
    <row r="1172" customFormat="false" ht="15" hidden="false" customHeight="false" outlineLevel="0" collapsed="false">
      <c r="A1172" s="0" t="s">
        <v>149</v>
      </c>
      <c r="B1172" s="0" t="n">
        <v>2013</v>
      </c>
      <c r="C1172" s="0" t="s">
        <v>31</v>
      </c>
      <c r="D1172" s="0" t="n">
        <v>90.266170183423</v>
      </c>
      <c r="E1172" s="0" t="s">
        <v>522</v>
      </c>
    </row>
    <row r="1173" customFormat="false" ht="15" hidden="false" customHeight="false" outlineLevel="0" collapsed="false">
      <c r="A1173" s="0" t="s">
        <v>149</v>
      </c>
      <c r="B1173" s="0" t="n">
        <v>2013</v>
      </c>
      <c r="C1173" s="0" t="s">
        <v>33</v>
      </c>
      <c r="D1173" s="0" t="n">
        <v>13.4940648553597</v>
      </c>
      <c r="E1173" s="0" t="s">
        <v>522</v>
      </c>
    </row>
    <row r="1174" customFormat="false" ht="15" hidden="false" customHeight="false" outlineLevel="0" collapsed="false">
      <c r="A1174" s="0" t="s">
        <v>149</v>
      </c>
      <c r="B1174" s="0" t="n">
        <v>2013</v>
      </c>
      <c r="C1174" s="0" t="s">
        <v>21</v>
      </c>
      <c r="D1174" s="0" t="n">
        <v>0</v>
      </c>
      <c r="E1174" s="0" t="s">
        <v>522</v>
      </c>
    </row>
    <row r="1175" customFormat="false" ht="15" hidden="false" customHeight="false" outlineLevel="0" collapsed="false">
      <c r="A1175" s="0" t="s">
        <v>149</v>
      </c>
      <c r="B1175" s="0" t="n">
        <v>2014</v>
      </c>
      <c r="C1175" s="0" t="s">
        <v>54</v>
      </c>
      <c r="D1175" s="0" t="n">
        <v>19456</v>
      </c>
      <c r="E1175" s="0" t="s">
        <v>523</v>
      </c>
      <c r="F1175" s="0" t="s">
        <v>524</v>
      </c>
      <c r="G1175" s="0" t="s">
        <v>153</v>
      </c>
      <c r="H1175" s="0" t="s">
        <v>1123</v>
      </c>
      <c r="I1175" s="0" t="s">
        <v>745</v>
      </c>
    </row>
    <row r="1176" customFormat="false" ht="15" hidden="false" customHeight="false" outlineLevel="0" collapsed="false">
      <c r="A1176" s="0" t="s">
        <v>149</v>
      </c>
      <c r="B1176" s="0" t="n">
        <v>2014</v>
      </c>
      <c r="C1176" s="0" t="s">
        <v>55</v>
      </c>
      <c r="D1176" s="0" t="n">
        <v>911052</v>
      </c>
      <c r="E1176" s="0" t="s">
        <v>523</v>
      </c>
      <c r="F1176" s="0" t="s">
        <v>524</v>
      </c>
      <c r="G1176" s="0" t="s">
        <v>153</v>
      </c>
      <c r="H1176" s="0" t="s">
        <v>1124</v>
      </c>
    </row>
    <row r="1177" customFormat="false" ht="15" hidden="false" customHeight="false" outlineLevel="0" collapsed="false">
      <c r="A1177" s="0" t="s">
        <v>149</v>
      </c>
      <c r="B1177" s="0" t="n">
        <v>2014</v>
      </c>
      <c r="C1177" s="0" t="s">
        <v>56</v>
      </c>
      <c r="D1177" s="0" t="n">
        <v>829231</v>
      </c>
      <c r="E1177" s="0" t="s">
        <v>979</v>
      </c>
      <c r="F1177" s="0" t="s">
        <v>524</v>
      </c>
      <c r="G1177" s="0" t="s">
        <v>153</v>
      </c>
      <c r="H1177" s="0" t="s">
        <v>1125</v>
      </c>
    </row>
    <row r="1178" customFormat="false" ht="15" hidden="false" customHeight="false" outlineLevel="0" collapsed="false">
      <c r="A1178" s="0" t="s">
        <v>149</v>
      </c>
      <c r="B1178" s="0" t="n">
        <v>2014</v>
      </c>
      <c r="C1178" s="0" t="s">
        <v>57</v>
      </c>
      <c r="D1178" s="0" t="n">
        <v>81821</v>
      </c>
      <c r="E1178" s="0" t="s">
        <v>523</v>
      </c>
      <c r="F1178" s="0" t="s">
        <v>524</v>
      </c>
      <c r="G1178" s="0" t="s">
        <v>153</v>
      </c>
      <c r="H1178" s="0" t="s">
        <v>1126</v>
      </c>
    </row>
    <row r="1179" customFormat="false" ht="15" hidden="false" customHeight="false" outlineLevel="0" collapsed="false">
      <c r="A1179" s="0" t="s">
        <v>149</v>
      </c>
      <c r="B1179" s="0" t="n">
        <v>2014</v>
      </c>
      <c r="C1179" s="0" t="s">
        <v>59</v>
      </c>
      <c r="D1179" s="0" t="n">
        <v>725100</v>
      </c>
      <c r="E1179" s="0" t="s">
        <v>523</v>
      </c>
      <c r="F1179" s="0" t="s">
        <v>524</v>
      </c>
      <c r="G1179" s="0" t="s">
        <v>153</v>
      </c>
      <c r="H1179" s="0" t="s">
        <v>1127</v>
      </c>
    </row>
    <row r="1180" customFormat="false" ht="15" hidden="false" customHeight="false" outlineLevel="0" collapsed="false">
      <c r="A1180" s="0" t="s">
        <v>149</v>
      </c>
      <c r="B1180" s="0" t="n">
        <v>2014</v>
      </c>
      <c r="C1180" s="0" t="s">
        <v>62</v>
      </c>
      <c r="D1180" s="0" t="n">
        <v>398604</v>
      </c>
      <c r="E1180" s="0" t="s">
        <v>523</v>
      </c>
      <c r="F1180" s="0" t="s">
        <v>524</v>
      </c>
      <c r="G1180" s="0" t="s">
        <v>153</v>
      </c>
      <c r="H1180" s="0" t="s">
        <v>1128</v>
      </c>
    </row>
    <row r="1181" customFormat="false" ht="15" hidden="false" customHeight="false" outlineLevel="0" collapsed="false">
      <c r="A1181" s="0" t="s">
        <v>149</v>
      </c>
      <c r="B1181" s="0" t="n">
        <v>2014</v>
      </c>
      <c r="C1181" s="0" t="s">
        <v>63</v>
      </c>
      <c r="D1181" s="0" t="n">
        <v>3217</v>
      </c>
      <c r="E1181" s="0" t="s">
        <v>523</v>
      </c>
      <c r="F1181" s="0" t="s">
        <v>524</v>
      </c>
      <c r="G1181" s="0" t="s">
        <v>153</v>
      </c>
      <c r="H1181" s="0" t="s">
        <v>1129</v>
      </c>
    </row>
    <row r="1182" customFormat="false" ht="15" hidden="false" customHeight="false" outlineLevel="0" collapsed="false">
      <c r="A1182" s="0" t="s">
        <v>149</v>
      </c>
      <c r="B1182" s="0" t="n">
        <v>2014</v>
      </c>
      <c r="C1182" s="0" t="s">
        <v>541</v>
      </c>
      <c r="D1182" s="0" t="n">
        <v>21610</v>
      </c>
      <c r="E1182" s="0" t="s">
        <v>523</v>
      </c>
      <c r="F1182" s="0" t="s">
        <v>524</v>
      </c>
      <c r="G1182" s="0" t="s">
        <v>153</v>
      </c>
      <c r="H1182" s="0" t="s">
        <v>1130</v>
      </c>
    </row>
    <row r="1183" customFormat="false" ht="15" hidden="false" customHeight="false" outlineLevel="0" collapsed="false">
      <c r="A1183" s="0" t="s">
        <v>149</v>
      </c>
      <c r="B1183" s="0" t="n">
        <v>2014</v>
      </c>
      <c r="C1183" s="0" t="s">
        <v>19</v>
      </c>
      <c r="D1183" s="0" t="n">
        <v>818076</v>
      </c>
      <c r="E1183" s="0" t="s">
        <v>522</v>
      </c>
    </row>
    <row r="1184" customFormat="false" ht="15" hidden="false" customHeight="false" outlineLevel="0" collapsed="false">
      <c r="A1184" s="0" t="s">
        <v>149</v>
      </c>
      <c r="B1184" s="0" t="n">
        <v>2014</v>
      </c>
      <c r="C1184" s="0" t="s">
        <v>41</v>
      </c>
      <c r="D1184" s="0" t="n">
        <v>2.37826314425555</v>
      </c>
      <c r="E1184" s="0" t="s">
        <v>522</v>
      </c>
    </row>
    <row r="1185" customFormat="false" ht="15" hidden="false" customHeight="false" outlineLevel="0" collapsed="false">
      <c r="A1185" s="0" t="s">
        <v>149</v>
      </c>
      <c r="B1185" s="0" t="n">
        <v>2014</v>
      </c>
      <c r="C1185" s="0" t="s">
        <v>27</v>
      </c>
      <c r="D1185" s="0" t="n">
        <v>8.98093632416152</v>
      </c>
      <c r="E1185" s="0" t="s">
        <v>522</v>
      </c>
    </row>
    <row r="1186" customFormat="false" ht="15" hidden="false" customHeight="false" outlineLevel="0" collapsed="false">
      <c r="A1186" s="0" t="s">
        <v>149</v>
      </c>
      <c r="B1186" s="0" t="n">
        <v>2014</v>
      </c>
      <c r="C1186" s="0" t="s">
        <v>29</v>
      </c>
      <c r="D1186" s="0" t="n">
        <v>0.393239747896284</v>
      </c>
      <c r="E1186" s="0" t="s">
        <v>522</v>
      </c>
    </row>
    <row r="1187" customFormat="false" ht="15" hidden="false" customHeight="false" outlineLevel="0" collapsed="false">
      <c r="A1187" s="0" t="s">
        <v>149</v>
      </c>
      <c r="B1187" s="0" t="n">
        <v>2014</v>
      </c>
      <c r="C1187" s="0" t="s">
        <v>43</v>
      </c>
      <c r="D1187" s="0" t="n">
        <v>2.13555318467003</v>
      </c>
      <c r="E1187" s="0" t="s">
        <v>522</v>
      </c>
    </row>
    <row r="1188" customFormat="false" ht="15" hidden="false" customHeight="false" outlineLevel="0" collapsed="false">
      <c r="A1188" s="0" t="s">
        <v>149</v>
      </c>
      <c r="B1188" s="0" t="n">
        <v>2014</v>
      </c>
      <c r="C1188" s="0" t="s">
        <v>31</v>
      </c>
      <c r="D1188" s="0" t="n">
        <v>91.0190636758385</v>
      </c>
      <c r="E1188" s="0" t="s">
        <v>522</v>
      </c>
    </row>
    <row r="1189" customFormat="false" ht="15" hidden="false" customHeight="false" outlineLevel="0" collapsed="false">
      <c r="A1189" s="0" t="s">
        <v>149</v>
      </c>
      <c r="B1189" s="0" t="n">
        <v>2014</v>
      </c>
      <c r="C1189" s="0" t="s">
        <v>33</v>
      </c>
      <c r="D1189" s="0" t="n">
        <v>13.7223552547448</v>
      </c>
      <c r="E1189" s="0" t="s">
        <v>522</v>
      </c>
    </row>
    <row r="1190" customFormat="false" ht="15" hidden="false" customHeight="false" outlineLevel="0" collapsed="false">
      <c r="A1190" s="0" t="s">
        <v>149</v>
      </c>
      <c r="B1190" s="0" t="n">
        <v>2014</v>
      </c>
      <c r="C1190" s="0" t="s">
        <v>21</v>
      </c>
      <c r="D1190" s="0" t="n">
        <v>0</v>
      </c>
      <c r="E1190" s="0" t="s">
        <v>522</v>
      </c>
    </row>
    <row r="1191" customFormat="false" ht="15" hidden="false" customHeight="false" outlineLevel="0" collapsed="false">
      <c r="A1191" s="0" t="s">
        <v>149</v>
      </c>
      <c r="B1191" s="0" t="n">
        <v>2015</v>
      </c>
      <c r="C1191" s="0" t="s">
        <v>54</v>
      </c>
      <c r="D1191" s="0" t="n">
        <v>6232</v>
      </c>
      <c r="E1191" s="0" t="s">
        <v>523</v>
      </c>
      <c r="F1191" s="0" t="s">
        <v>524</v>
      </c>
      <c r="G1191" s="0" t="s">
        <v>155</v>
      </c>
      <c r="H1191" s="0" t="s">
        <v>1131</v>
      </c>
    </row>
    <row r="1192" customFormat="false" ht="15" hidden="false" customHeight="false" outlineLevel="0" collapsed="false">
      <c r="A1192" s="0" t="s">
        <v>149</v>
      </c>
      <c r="B1192" s="0" t="n">
        <v>2015</v>
      </c>
      <c r="C1192" s="0" t="s">
        <v>55</v>
      </c>
      <c r="D1192" s="0" t="n">
        <v>890580</v>
      </c>
      <c r="E1192" s="0" t="s">
        <v>523</v>
      </c>
      <c r="F1192" s="0" t="s">
        <v>524</v>
      </c>
      <c r="G1192" s="0" t="s">
        <v>155</v>
      </c>
      <c r="H1192" s="0" t="s">
        <v>1132</v>
      </c>
    </row>
    <row r="1193" customFormat="false" ht="15" hidden="false" customHeight="false" outlineLevel="0" collapsed="false">
      <c r="A1193" s="0" t="s">
        <v>149</v>
      </c>
      <c r="B1193" s="0" t="n">
        <v>2015</v>
      </c>
      <c r="C1193" s="0" t="s">
        <v>56</v>
      </c>
      <c r="D1193" s="0" t="n">
        <v>795663</v>
      </c>
      <c r="E1193" s="0" t="s">
        <v>979</v>
      </c>
      <c r="F1193" s="0" t="s">
        <v>524</v>
      </c>
      <c r="G1193" s="0" t="s">
        <v>155</v>
      </c>
      <c r="H1193" s="0" t="s">
        <v>1133</v>
      </c>
    </row>
    <row r="1194" customFormat="false" ht="15" hidden="false" customHeight="false" outlineLevel="0" collapsed="false">
      <c r="A1194" s="0" t="s">
        <v>149</v>
      </c>
      <c r="B1194" s="0" t="n">
        <v>2015</v>
      </c>
      <c r="C1194" s="0" t="s">
        <v>57</v>
      </c>
      <c r="D1194" s="0" t="n">
        <v>94917</v>
      </c>
      <c r="E1194" s="0" t="s">
        <v>523</v>
      </c>
      <c r="F1194" s="0" t="s">
        <v>524</v>
      </c>
      <c r="G1194" s="0" t="s">
        <v>155</v>
      </c>
      <c r="H1194" s="0" t="s">
        <v>1134</v>
      </c>
    </row>
    <row r="1195" customFormat="false" ht="15" hidden="false" customHeight="false" outlineLevel="0" collapsed="false">
      <c r="A1195" s="0" t="s">
        <v>149</v>
      </c>
      <c r="B1195" s="0" t="n">
        <v>2015</v>
      </c>
      <c r="C1195" s="0" t="s">
        <v>59</v>
      </c>
      <c r="D1195" s="0" t="n">
        <v>908429</v>
      </c>
      <c r="E1195" s="0" t="s">
        <v>523</v>
      </c>
      <c r="F1195" s="0" t="s">
        <v>524</v>
      </c>
      <c r="G1195" s="0" t="s">
        <v>155</v>
      </c>
      <c r="H1195" s="0" t="s">
        <v>1135</v>
      </c>
    </row>
    <row r="1196" customFormat="false" ht="15" hidden="false" customHeight="false" outlineLevel="0" collapsed="false">
      <c r="A1196" s="0" t="s">
        <v>149</v>
      </c>
      <c r="B1196" s="0" t="n">
        <v>2015</v>
      </c>
      <c r="C1196" s="0" t="s">
        <v>62</v>
      </c>
      <c r="D1196" s="0" t="n">
        <v>353513</v>
      </c>
      <c r="E1196" s="0" t="s">
        <v>523</v>
      </c>
      <c r="F1196" s="0" t="s">
        <v>524</v>
      </c>
      <c r="G1196" s="0" t="s">
        <v>155</v>
      </c>
      <c r="H1196" s="0" t="s">
        <v>1136</v>
      </c>
    </row>
    <row r="1197" customFormat="false" ht="15" hidden="false" customHeight="false" outlineLevel="0" collapsed="false">
      <c r="A1197" s="0" t="s">
        <v>149</v>
      </c>
      <c r="B1197" s="0" t="n">
        <v>2015</v>
      </c>
      <c r="C1197" s="0" t="s">
        <v>63</v>
      </c>
      <c r="D1197" s="0" t="n">
        <v>14931</v>
      </c>
      <c r="E1197" s="0" t="s">
        <v>523</v>
      </c>
      <c r="F1197" s="0" t="s">
        <v>524</v>
      </c>
      <c r="G1197" s="0" t="s">
        <v>155</v>
      </c>
      <c r="H1197" s="0" t="s">
        <v>1137</v>
      </c>
    </row>
    <row r="1198" customFormat="false" ht="15" hidden="false" customHeight="false" outlineLevel="0" collapsed="false">
      <c r="A1198" s="0" t="s">
        <v>149</v>
      </c>
      <c r="B1198" s="0" t="n">
        <v>2015</v>
      </c>
      <c r="C1198" s="0" t="s">
        <v>541</v>
      </c>
      <c r="D1198" s="0" t="n">
        <v>4479</v>
      </c>
      <c r="E1198" s="0" t="s">
        <v>523</v>
      </c>
      <c r="F1198" s="0" t="s">
        <v>524</v>
      </c>
      <c r="G1198" s="0" t="s">
        <v>155</v>
      </c>
      <c r="H1198" s="0" t="s">
        <v>1138</v>
      </c>
    </row>
    <row r="1199" customFormat="false" ht="15" hidden="false" customHeight="false" outlineLevel="0" collapsed="false">
      <c r="A1199" s="0" t="s">
        <v>149</v>
      </c>
      <c r="B1199" s="0" t="n">
        <v>2015</v>
      </c>
      <c r="C1199" s="0" t="s">
        <v>19</v>
      </c>
      <c r="D1199" s="0" t="n">
        <v>899504.5</v>
      </c>
      <c r="E1199" s="0" t="s">
        <v>522</v>
      </c>
    </row>
    <row r="1200" customFormat="false" ht="15" hidden="false" customHeight="false" outlineLevel="0" collapsed="false">
      <c r="A1200" s="0" t="s">
        <v>149</v>
      </c>
      <c r="B1200" s="0" t="n">
        <v>2015</v>
      </c>
      <c r="C1200" s="0" t="s">
        <v>41</v>
      </c>
      <c r="D1200" s="0" t="n">
        <v>0.692825883583684</v>
      </c>
      <c r="E1200" s="0" t="s">
        <v>522</v>
      </c>
    </row>
    <row r="1201" customFormat="false" ht="15" hidden="false" customHeight="false" outlineLevel="0" collapsed="false">
      <c r="A1201" s="0" t="s">
        <v>149</v>
      </c>
      <c r="B1201" s="0" t="n">
        <v>2015</v>
      </c>
      <c r="C1201" s="0" t="s">
        <v>27</v>
      </c>
      <c r="D1201" s="0" t="n">
        <v>10.6578858721283</v>
      </c>
      <c r="E1201" s="0" t="s">
        <v>522</v>
      </c>
    </row>
    <row r="1202" customFormat="false" ht="15" hidden="false" customHeight="false" outlineLevel="0" collapsed="false">
      <c r="A1202" s="0" t="s">
        <v>149</v>
      </c>
      <c r="B1202" s="0" t="n">
        <v>2015</v>
      </c>
      <c r="C1202" s="0" t="s">
        <v>29</v>
      </c>
      <c r="D1202" s="0" t="n">
        <v>1.65991387480552</v>
      </c>
      <c r="E1202" s="0" t="s">
        <v>522</v>
      </c>
    </row>
    <row r="1203" customFormat="false" ht="15" hidden="false" customHeight="false" outlineLevel="0" collapsed="false">
      <c r="A1203" s="0" t="s">
        <v>149</v>
      </c>
      <c r="B1203" s="0" t="n">
        <v>2015</v>
      </c>
      <c r="C1203" s="0" t="s">
        <v>43</v>
      </c>
      <c r="D1203" s="0" t="n">
        <v>0.699768690067147</v>
      </c>
      <c r="E1203" s="0" t="s">
        <v>522</v>
      </c>
    </row>
    <row r="1204" customFormat="false" ht="15" hidden="false" customHeight="false" outlineLevel="0" collapsed="false">
      <c r="A1204" s="0" t="s">
        <v>149</v>
      </c>
      <c r="B1204" s="0" t="n">
        <v>2015</v>
      </c>
      <c r="C1204" s="0" t="s">
        <v>31</v>
      </c>
      <c r="D1204" s="0" t="n">
        <v>89.3421141278717</v>
      </c>
      <c r="E1204" s="0" t="s">
        <v>522</v>
      </c>
    </row>
    <row r="1205" customFormat="false" ht="15" hidden="false" customHeight="false" outlineLevel="0" collapsed="false">
      <c r="A1205" s="0" t="s">
        <v>149</v>
      </c>
      <c r="B1205" s="0" t="n">
        <v>2015</v>
      </c>
      <c r="C1205" s="0" t="s">
        <v>33</v>
      </c>
      <c r="D1205" s="0" t="n">
        <v>13.6996282148469</v>
      </c>
      <c r="E1205" s="0" t="s">
        <v>522</v>
      </c>
    </row>
    <row r="1206" customFormat="false" ht="15" hidden="false" customHeight="false" outlineLevel="0" collapsed="false">
      <c r="A1206" s="0" t="s">
        <v>149</v>
      </c>
      <c r="B1206" s="0" t="n">
        <v>2015</v>
      </c>
      <c r="C1206" s="0" t="s">
        <v>21</v>
      </c>
      <c r="D1206" s="0" t="n">
        <v>0</v>
      </c>
      <c r="E1206" s="0" t="s">
        <v>522</v>
      </c>
    </row>
    <row r="1207" customFormat="false" ht="15" hidden="false" customHeight="false" outlineLevel="0" collapsed="false">
      <c r="A1207" s="0" t="s">
        <v>149</v>
      </c>
      <c r="B1207" s="0" t="n">
        <v>2016</v>
      </c>
      <c r="C1207" s="0" t="s">
        <v>54</v>
      </c>
      <c r="D1207" s="0" t="n">
        <v>15030</v>
      </c>
      <c r="E1207" s="0" t="s">
        <v>523</v>
      </c>
      <c r="F1207" s="0" t="s">
        <v>524</v>
      </c>
      <c r="G1207" s="0" t="s">
        <v>157</v>
      </c>
      <c r="H1207" s="0" t="s">
        <v>1139</v>
      </c>
    </row>
    <row r="1208" customFormat="false" ht="15" hidden="false" customHeight="false" outlineLevel="0" collapsed="false">
      <c r="A1208" s="0" t="s">
        <v>149</v>
      </c>
      <c r="B1208" s="0" t="n">
        <v>2016</v>
      </c>
      <c r="C1208" s="0" t="s">
        <v>55</v>
      </c>
      <c r="D1208" s="0" t="n">
        <v>993759</v>
      </c>
      <c r="E1208" s="0" t="s">
        <v>523</v>
      </c>
      <c r="F1208" s="0" t="s">
        <v>524</v>
      </c>
      <c r="G1208" s="0" t="s">
        <v>157</v>
      </c>
      <c r="H1208" s="0" t="s">
        <v>1140</v>
      </c>
    </row>
    <row r="1209" customFormat="false" ht="15" hidden="false" customHeight="false" outlineLevel="0" collapsed="false">
      <c r="A1209" s="0" t="s">
        <v>149</v>
      </c>
      <c r="B1209" s="0" t="n">
        <v>2016</v>
      </c>
      <c r="C1209" s="0" t="s">
        <v>56</v>
      </c>
      <c r="D1209" s="0" t="n">
        <v>884443</v>
      </c>
      <c r="E1209" s="0" t="s">
        <v>979</v>
      </c>
      <c r="F1209" s="0" t="s">
        <v>524</v>
      </c>
      <c r="G1209" s="0" t="s">
        <v>157</v>
      </c>
      <c r="H1209" s="0" t="s">
        <v>1141</v>
      </c>
    </row>
    <row r="1210" customFormat="false" ht="15" hidden="false" customHeight="false" outlineLevel="0" collapsed="false">
      <c r="A1210" s="0" t="s">
        <v>149</v>
      </c>
      <c r="B1210" s="0" t="n">
        <v>2016</v>
      </c>
      <c r="C1210" s="0" t="s">
        <v>57</v>
      </c>
      <c r="D1210" s="0" t="n">
        <v>109316</v>
      </c>
      <c r="E1210" s="0" t="s">
        <v>523</v>
      </c>
      <c r="F1210" s="0" t="s">
        <v>524</v>
      </c>
      <c r="G1210" s="0" t="s">
        <v>157</v>
      </c>
      <c r="H1210" s="0" t="s">
        <v>1142</v>
      </c>
    </row>
    <row r="1211" customFormat="false" ht="15" hidden="false" customHeight="false" outlineLevel="0" collapsed="false">
      <c r="A1211" s="0" t="s">
        <v>149</v>
      </c>
      <c r="B1211" s="0" t="n">
        <v>2016</v>
      </c>
      <c r="C1211" s="0" t="s">
        <v>59</v>
      </c>
      <c r="D1211" s="0" t="n">
        <v>890580</v>
      </c>
      <c r="E1211" s="0" t="s">
        <v>523</v>
      </c>
      <c r="F1211" s="0" t="s">
        <v>524</v>
      </c>
      <c r="G1211" s="0" t="s">
        <v>157</v>
      </c>
      <c r="H1211" s="0" t="s">
        <v>1143</v>
      </c>
    </row>
    <row r="1212" customFormat="false" ht="15" hidden="false" customHeight="false" outlineLevel="0" collapsed="false">
      <c r="A1212" s="0" t="s">
        <v>149</v>
      </c>
      <c r="B1212" s="0" t="n">
        <v>2016</v>
      </c>
      <c r="C1212" s="0" t="s">
        <v>62</v>
      </c>
      <c r="D1212" s="0" t="n">
        <v>352965</v>
      </c>
      <c r="E1212" s="0" t="s">
        <v>523</v>
      </c>
      <c r="F1212" s="0" t="s">
        <v>524</v>
      </c>
      <c r="G1212" s="0" t="s">
        <v>157</v>
      </c>
      <c r="H1212" s="0" t="s">
        <v>1144</v>
      </c>
    </row>
    <row r="1213" customFormat="false" ht="15" hidden="false" customHeight="false" outlineLevel="0" collapsed="false">
      <c r="A1213" s="0" t="s">
        <v>149</v>
      </c>
      <c r="B1213" s="0" t="n">
        <v>2016</v>
      </c>
      <c r="C1213" s="0" t="s">
        <v>63</v>
      </c>
      <c r="D1213" s="0" t="n">
        <v>19803</v>
      </c>
      <c r="E1213" s="0" t="s">
        <v>523</v>
      </c>
      <c r="F1213" s="0" t="s">
        <v>524</v>
      </c>
      <c r="G1213" s="0" t="s">
        <v>157</v>
      </c>
      <c r="H1213" s="0" t="s">
        <v>1145</v>
      </c>
    </row>
    <row r="1214" customFormat="false" ht="15" hidden="false" customHeight="false" outlineLevel="0" collapsed="false">
      <c r="A1214" s="0" t="s">
        <v>149</v>
      </c>
      <c r="B1214" s="0" t="n">
        <v>2016</v>
      </c>
      <c r="C1214" s="0" t="s">
        <v>541</v>
      </c>
      <c r="D1214" s="0" t="n">
        <v>14908</v>
      </c>
      <c r="E1214" s="0" t="s">
        <v>523</v>
      </c>
      <c r="F1214" s="0" t="s">
        <v>524</v>
      </c>
      <c r="G1214" s="0" t="s">
        <v>157</v>
      </c>
      <c r="H1214" s="0" t="s">
        <v>1146</v>
      </c>
    </row>
    <row r="1215" customFormat="false" ht="15" hidden="false" customHeight="false" outlineLevel="0" collapsed="false">
      <c r="A1215" s="0" t="s">
        <v>149</v>
      </c>
      <c r="B1215" s="0" t="n">
        <v>2016</v>
      </c>
      <c r="C1215" s="0" t="s">
        <v>19</v>
      </c>
      <c r="D1215" s="0" t="n">
        <v>942169.5</v>
      </c>
      <c r="E1215" s="0" t="s">
        <v>522</v>
      </c>
    </row>
    <row r="1216" customFormat="false" ht="15" hidden="false" customHeight="false" outlineLevel="0" collapsed="false">
      <c r="A1216" s="0" t="s">
        <v>149</v>
      </c>
      <c r="B1216" s="0" t="n">
        <v>2016</v>
      </c>
      <c r="C1216" s="0" t="s">
        <v>41</v>
      </c>
      <c r="D1216" s="0" t="n">
        <v>1.59525435709817</v>
      </c>
      <c r="E1216" s="0" t="s">
        <v>522</v>
      </c>
    </row>
    <row r="1217" customFormat="false" ht="15" hidden="false" customHeight="false" outlineLevel="0" collapsed="false">
      <c r="A1217" s="0" t="s">
        <v>149</v>
      </c>
      <c r="B1217" s="0" t="n">
        <v>2016</v>
      </c>
      <c r="C1217" s="0" t="s">
        <v>27</v>
      </c>
      <c r="D1217" s="0" t="n">
        <v>11.0002525763289</v>
      </c>
      <c r="E1217" s="0" t="s">
        <v>522</v>
      </c>
    </row>
    <row r="1218" customFormat="false" ht="15" hidden="false" customHeight="false" outlineLevel="0" collapsed="false">
      <c r="A1218" s="0" t="s">
        <v>149</v>
      </c>
      <c r="B1218" s="0" t="n">
        <v>2016</v>
      </c>
      <c r="C1218" s="0" t="s">
        <v>29</v>
      </c>
      <c r="D1218" s="0" t="n">
        <v>2.10185110004092</v>
      </c>
      <c r="E1218" s="0" t="s">
        <v>522</v>
      </c>
    </row>
    <row r="1219" customFormat="false" ht="15" hidden="false" customHeight="false" outlineLevel="0" collapsed="false">
      <c r="A1219" s="0" t="s">
        <v>149</v>
      </c>
      <c r="B1219" s="0" t="n">
        <v>2016</v>
      </c>
      <c r="C1219" s="0" t="s">
        <v>43</v>
      </c>
      <c r="D1219" s="0" t="n">
        <v>1.51243913262672</v>
      </c>
      <c r="E1219" s="0" t="s">
        <v>522</v>
      </c>
    </row>
    <row r="1220" customFormat="false" ht="15" hidden="false" customHeight="false" outlineLevel="0" collapsed="false">
      <c r="A1220" s="0" t="s">
        <v>149</v>
      </c>
      <c r="B1220" s="0" t="n">
        <v>2016</v>
      </c>
      <c r="C1220" s="0" t="s">
        <v>31</v>
      </c>
      <c r="D1220" s="0" t="n">
        <v>88.9997474236711</v>
      </c>
      <c r="E1220" s="0" t="s">
        <v>522</v>
      </c>
    </row>
    <row r="1221" customFormat="false" ht="15" hidden="false" customHeight="false" outlineLevel="0" collapsed="false">
      <c r="A1221" s="0" t="s">
        <v>149</v>
      </c>
      <c r="B1221" s="0" t="n">
        <v>2016</v>
      </c>
      <c r="C1221" s="0" t="s">
        <v>33</v>
      </c>
      <c r="D1221" s="0" t="n">
        <v>13.8092500015134</v>
      </c>
      <c r="E1221" s="0" t="s">
        <v>522</v>
      </c>
    </row>
    <row r="1222" customFormat="false" ht="15" hidden="false" customHeight="false" outlineLevel="0" collapsed="false">
      <c r="A1222" s="0" t="s">
        <v>149</v>
      </c>
      <c r="B1222" s="0" t="n">
        <v>2016</v>
      </c>
      <c r="C1222" s="0" t="s">
        <v>21</v>
      </c>
      <c r="D1222" s="0" t="n">
        <v>0</v>
      </c>
      <c r="E1222" s="0" t="s">
        <v>522</v>
      </c>
    </row>
    <row r="1223" customFormat="false" ht="15" hidden="false" customHeight="false" outlineLevel="0" collapsed="false">
      <c r="A1223" s="0" t="s">
        <v>149</v>
      </c>
      <c r="B1223" s="0" t="n">
        <v>2017</v>
      </c>
      <c r="C1223" s="0" t="s">
        <v>54</v>
      </c>
      <c r="D1223" s="0" t="n">
        <v>28842</v>
      </c>
      <c r="E1223" s="0" t="s">
        <v>523</v>
      </c>
      <c r="F1223" s="0" t="s">
        <v>524</v>
      </c>
      <c r="G1223" s="0" t="s">
        <v>159</v>
      </c>
      <c r="H1223" s="0" t="s">
        <v>1147</v>
      </c>
    </row>
    <row r="1224" customFormat="false" ht="15" hidden="false" customHeight="false" outlineLevel="0" collapsed="false">
      <c r="A1224" s="0" t="s">
        <v>149</v>
      </c>
      <c r="B1224" s="0" t="n">
        <v>2017</v>
      </c>
      <c r="C1224" s="0" t="s">
        <v>55</v>
      </c>
      <c r="D1224" s="0" t="n">
        <v>1332669</v>
      </c>
      <c r="E1224" s="0" t="s">
        <v>523</v>
      </c>
      <c r="F1224" s="0" t="s">
        <v>524</v>
      </c>
      <c r="G1224" s="0" t="s">
        <v>159</v>
      </c>
      <c r="H1224" s="0" t="s">
        <v>1148</v>
      </c>
    </row>
    <row r="1225" customFormat="false" ht="15" hidden="false" customHeight="false" outlineLevel="0" collapsed="false">
      <c r="A1225" s="0" t="s">
        <v>149</v>
      </c>
      <c r="B1225" s="0" t="n">
        <v>2017</v>
      </c>
      <c r="C1225" s="0" t="s">
        <v>56</v>
      </c>
      <c r="D1225" s="0" t="n">
        <v>1193969</v>
      </c>
      <c r="E1225" s="0" t="s">
        <v>979</v>
      </c>
      <c r="F1225" s="0" t="s">
        <v>524</v>
      </c>
      <c r="G1225" s="0" t="s">
        <v>159</v>
      </c>
      <c r="H1225" s="0" t="s">
        <v>1149</v>
      </c>
    </row>
    <row r="1226" customFormat="false" ht="15" hidden="false" customHeight="false" outlineLevel="0" collapsed="false">
      <c r="A1226" s="0" t="s">
        <v>149</v>
      </c>
      <c r="B1226" s="0" t="n">
        <v>2017</v>
      </c>
      <c r="C1226" s="0" t="s">
        <v>57</v>
      </c>
      <c r="D1226" s="0" t="n">
        <v>138700</v>
      </c>
      <c r="E1226" s="0" t="s">
        <v>523</v>
      </c>
      <c r="F1226" s="0" t="s">
        <v>524</v>
      </c>
      <c r="G1226" s="0" t="s">
        <v>159</v>
      </c>
      <c r="H1226" s="0" t="s">
        <v>1150</v>
      </c>
    </row>
    <row r="1227" customFormat="false" ht="15" hidden="false" customHeight="false" outlineLevel="0" collapsed="false">
      <c r="A1227" s="0" t="s">
        <v>149</v>
      </c>
      <c r="B1227" s="0" t="n">
        <v>2017</v>
      </c>
      <c r="C1227" s="0" t="s">
        <v>59</v>
      </c>
      <c r="D1227" s="0" t="n">
        <v>993759</v>
      </c>
      <c r="E1227" s="0" t="s">
        <v>523</v>
      </c>
      <c r="F1227" s="0" t="s">
        <v>524</v>
      </c>
      <c r="G1227" s="0" t="s">
        <v>159</v>
      </c>
      <c r="H1227" s="0" t="s">
        <v>1151</v>
      </c>
    </row>
    <row r="1228" customFormat="false" ht="15" hidden="false" customHeight="false" outlineLevel="0" collapsed="false">
      <c r="A1228" s="0" t="s">
        <v>149</v>
      </c>
      <c r="B1228" s="0" t="n">
        <v>2017</v>
      </c>
      <c r="C1228" s="0" t="s">
        <v>62</v>
      </c>
      <c r="D1228" s="0" t="n">
        <v>372088</v>
      </c>
      <c r="E1228" s="0" t="s">
        <v>523</v>
      </c>
      <c r="F1228" s="0" t="s">
        <v>524</v>
      </c>
      <c r="G1228" s="0" t="s">
        <v>159</v>
      </c>
      <c r="H1228" s="0" t="s">
        <v>1152</v>
      </c>
    </row>
    <row r="1229" customFormat="false" ht="15" hidden="false" customHeight="false" outlineLevel="0" collapsed="false">
      <c r="A1229" s="0" t="s">
        <v>149</v>
      </c>
      <c r="B1229" s="0" t="n">
        <v>2017</v>
      </c>
      <c r="C1229" s="0" t="s">
        <v>63</v>
      </c>
      <c r="D1229" s="0" t="n">
        <v>25577</v>
      </c>
      <c r="E1229" s="0" t="s">
        <v>523</v>
      </c>
      <c r="F1229" s="0" t="s">
        <v>524</v>
      </c>
      <c r="G1229" s="0" t="s">
        <v>159</v>
      </c>
      <c r="H1229" s="0" t="s">
        <v>1153</v>
      </c>
    </row>
    <row r="1230" customFormat="false" ht="15" hidden="false" customHeight="false" outlineLevel="0" collapsed="false">
      <c r="A1230" s="0" t="s">
        <v>149</v>
      </c>
      <c r="B1230" s="0" t="n">
        <v>2017</v>
      </c>
      <c r="C1230" s="0" t="s">
        <v>541</v>
      </c>
      <c r="D1230" s="0" t="n">
        <v>30345</v>
      </c>
      <c r="E1230" s="0" t="s">
        <v>523</v>
      </c>
      <c r="F1230" s="0" t="s">
        <v>524</v>
      </c>
      <c r="G1230" s="0" t="s">
        <v>159</v>
      </c>
      <c r="H1230" s="0" t="s">
        <v>1154</v>
      </c>
    </row>
    <row r="1231" customFormat="false" ht="15" hidden="false" customHeight="false" outlineLevel="0" collapsed="false">
      <c r="A1231" s="0" t="s">
        <v>149</v>
      </c>
      <c r="B1231" s="0" t="n">
        <v>2017</v>
      </c>
      <c r="C1231" s="0" t="s">
        <v>19</v>
      </c>
      <c r="D1231" s="0" t="n">
        <v>1163214</v>
      </c>
      <c r="E1231" s="0" t="s">
        <v>522</v>
      </c>
    </row>
    <row r="1232" customFormat="false" ht="15" hidden="false" customHeight="false" outlineLevel="0" collapsed="false">
      <c r="A1232" s="0" t="s">
        <v>149</v>
      </c>
      <c r="B1232" s="0" t="n">
        <v>2017</v>
      </c>
      <c r="C1232" s="0" t="s">
        <v>41</v>
      </c>
      <c r="D1232" s="0" t="n">
        <v>2.4795093594128</v>
      </c>
      <c r="E1232" s="0" t="s">
        <v>522</v>
      </c>
    </row>
    <row r="1233" customFormat="false" ht="15" hidden="false" customHeight="false" outlineLevel="0" collapsed="false">
      <c r="A1233" s="0" t="s">
        <v>149</v>
      </c>
      <c r="B1233" s="0" t="n">
        <v>2017</v>
      </c>
      <c r="C1233" s="0" t="s">
        <v>27</v>
      </c>
      <c r="D1233" s="0" t="n">
        <v>10.4076856293648</v>
      </c>
      <c r="E1233" s="0" t="s">
        <v>522</v>
      </c>
    </row>
    <row r="1234" customFormat="false" ht="15" hidden="false" customHeight="false" outlineLevel="0" collapsed="false">
      <c r="A1234" s="0" t="s">
        <v>149</v>
      </c>
      <c r="B1234" s="0" t="n">
        <v>2017</v>
      </c>
      <c r="C1234" s="0" t="s">
        <v>29</v>
      </c>
      <c r="D1234" s="0" t="n">
        <v>2.19882154100621</v>
      </c>
      <c r="E1234" s="0" t="s">
        <v>522</v>
      </c>
    </row>
    <row r="1235" customFormat="false" ht="15" hidden="false" customHeight="false" outlineLevel="0" collapsed="false">
      <c r="A1235" s="0" t="s">
        <v>149</v>
      </c>
      <c r="B1235" s="0" t="n">
        <v>2017</v>
      </c>
      <c r="C1235" s="0" t="s">
        <v>43</v>
      </c>
      <c r="D1235" s="0" t="n">
        <v>2.16422832676381</v>
      </c>
      <c r="E1235" s="0" t="s">
        <v>522</v>
      </c>
    </row>
    <row r="1236" customFormat="false" ht="15" hidden="false" customHeight="false" outlineLevel="0" collapsed="false">
      <c r="A1236" s="0" t="s">
        <v>149</v>
      </c>
      <c r="B1236" s="0" t="n">
        <v>2017</v>
      </c>
      <c r="C1236" s="0" t="s">
        <v>31</v>
      </c>
      <c r="D1236" s="0" t="n">
        <v>89.5923143706352</v>
      </c>
      <c r="E1236" s="0" t="s">
        <v>522</v>
      </c>
    </row>
    <row r="1237" customFormat="false" ht="15" hidden="false" customHeight="false" outlineLevel="0" collapsed="false">
      <c r="A1237" s="0" t="s">
        <v>149</v>
      </c>
      <c r="B1237" s="0" t="n">
        <v>2017</v>
      </c>
      <c r="C1237" s="0" t="s">
        <v>33</v>
      </c>
      <c r="D1237" s="0" t="n">
        <v>14.1026942562483</v>
      </c>
      <c r="E1237" s="0" t="s">
        <v>522</v>
      </c>
    </row>
    <row r="1238" customFormat="false" ht="15" hidden="false" customHeight="false" outlineLevel="0" collapsed="false">
      <c r="A1238" s="0" t="s">
        <v>149</v>
      </c>
      <c r="B1238" s="0" t="n">
        <v>2017</v>
      </c>
      <c r="C1238" s="0" t="s">
        <v>21</v>
      </c>
      <c r="D1238" s="0" t="n">
        <v>0</v>
      </c>
      <c r="E1238" s="0" t="s">
        <v>522</v>
      </c>
    </row>
    <row r="1239" customFormat="false" ht="15" hidden="false" customHeight="false" outlineLevel="0" collapsed="false">
      <c r="A1239" s="0" t="s">
        <v>149</v>
      </c>
      <c r="B1239" s="0" t="n">
        <v>2018</v>
      </c>
      <c r="C1239" s="0" t="s">
        <v>54</v>
      </c>
      <c r="D1239" s="0" t="n">
        <v>49912</v>
      </c>
      <c r="E1239" s="0" t="s">
        <v>523</v>
      </c>
      <c r="F1239" s="0" t="s">
        <v>524</v>
      </c>
      <c r="G1239" s="0" t="s">
        <v>161</v>
      </c>
      <c r="H1239" s="0" t="s">
        <v>1155</v>
      </c>
    </row>
    <row r="1240" customFormat="false" ht="15" hidden="false" customHeight="false" outlineLevel="0" collapsed="false">
      <c r="A1240" s="0" t="s">
        <v>149</v>
      </c>
      <c r="B1240" s="0" t="n">
        <v>2018</v>
      </c>
      <c r="C1240" s="0" t="s">
        <v>55</v>
      </c>
      <c r="D1240" s="0" t="n">
        <v>1599245</v>
      </c>
      <c r="E1240" s="0" t="s">
        <v>539</v>
      </c>
      <c r="F1240" s="0" t="s">
        <v>524</v>
      </c>
      <c r="G1240" s="0" t="s">
        <v>161</v>
      </c>
      <c r="H1240" s="0" t="s">
        <v>1156</v>
      </c>
    </row>
    <row r="1241" customFormat="false" ht="15" hidden="false" customHeight="false" outlineLevel="0" collapsed="false">
      <c r="A1241" s="0" t="s">
        <v>149</v>
      </c>
      <c r="B1241" s="0" t="n">
        <v>2018</v>
      </c>
      <c r="C1241" s="0" t="s">
        <v>56</v>
      </c>
      <c r="D1241" s="0" t="n">
        <v>1428904</v>
      </c>
      <c r="E1241" s="0" t="s">
        <v>539</v>
      </c>
      <c r="F1241" s="0" t="s">
        <v>524</v>
      </c>
      <c r="G1241" s="0" t="s">
        <v>161</v>
      </c>
      <c r="H1241" s="0" t="s">
        <v>1157</v>
      </c>
    </row>
    <row r="1242" customFormat="false" ht="15" hidden="false" customHeight="false" outlineLevel="0" collapsed="false">
      <c r="A1242" s="0" t="s">
        <v>149</v>
      </c>
      <c r="B1242" s="0" t="n">
        <v>2018</v>
      </c>
      <c r="C1242" s="0" t="s">
        <v>57</v>
      </c>
      <c r="D1242" s="0" t="n">
        <v>170341</v>
      </c>
      <c r="E1242" s="0" t="s">
        <v>539</v>
      </c>
      <c r="F1242" s="0" t="s">
        <v>524</v>
      </c>
      <c r="G1242" s="0" t="s">
        <v>161</v>
      </c>
      <c r="H1242" s="0" t="s">
        <v>1158</v>
      </c>
    </row>
    <row r="1243" customFormat="false" ht="15" hidden="false" customHeight="false" outlineLevel="0" collapsed="false">
      <c r="A1243" s="0" t="s">
        <v>149</v>
      </c>
      <c r="B1243" s="0" t="n">
        <v>2018</v>
      </c>
      <c r="C1243" s="0" t="s">
        <v>59</v>
      </c>
      <c r="D1243" s="0" t="n">
        <v>1332723</v>
      </c>
      <c r="E1243" s="0" t="s">
        <v>539</v>
      </c>
      <c r="F1243" s="0" t="s">
        <v>524</v>
      </c>
      <c r="G1243" s="0" t="s">
        <v>161</v>
      </c>
      <c r="H1243" s="0" t="s">
        <v>1159</v>
      </c>
    </row>
    <row r="1244" customFormat="false" ht="15" hidden="false" customHeight="false" outlineLevel="0" collapsed="false">
      <c r="A1244" s="0" t="s">
        <v>149</v>
      </c>
      <c r="B1244" s="0" t="n">
        <v>2018</v>
      </c>
      <c r="C1244" s="0" t="s">
        <v>62</v>
      </c>
      <c r="D1244" s="0" t="n">
        <v>432713</v>
      </c>
      <c r="E1244" s="0" t="s">
        <v>539</v>
      </c>
      <c r="F1244" s="0" t="s">
        <v>524</v>
      </c>
      <c r="G1244" s="0" t="s">
        <v>161</v>
      </c>
      <c r="H1244" s="0" t="s">
        <v>1160</v>
      </c>
    </row>
    <row r="1245" customFormat="false" ht="15" hidden="false" customHeight="false" outlineLevel="0" collapsed="false">
      <c r="A1245" s="0" t="s">
        <v>149</v>
      </c>
      <c r="B1245" s="0" t="n">
        <v>2018</v>
      </c>
      <c r="C1245" s="0" t="s">
        <v>63</v>
      </c>
      <c r="D1245" s="0" t="n">
        <v>-2988</v>
      </c>
      <c r="E1245" s="0" t="s">
        <v>523</v>
      </c>
      <c r="F1245" s="0" t="s">
        <v>524</v>
      </c>
      <c r="G1245" s="0" t="s">
        <v>161</v>
      </c>
      <c r="H1245" s="0" t="s">
        <v>1161</v>
      </c>
    </row>
    <row r="1246" customFormat="false" ht="15" hidden="false" customHeight="false" outlineLevel="0" collapsed="false">
      <c r="A1246" s="0" t="s">
        <v>149</v>
      </c>
      <c r="B1246" s="0" t="n">
        <v>2018</v>
      </c>
      <c r="C1246" s="0" t="s">
        <v>73</v>
      </c>
      <c r="D1246" s="0" t="n">
        <v>0</v>
      </c>
      <c r="E1246" s="0" t="s">
        <v>539</v>
      </c>
      <c r="F1246" s="0" t="s">
        <v>524</v>
      </c>
      <c r="G1246" s="0" t="s">
        <v>161</v>
      </c>
      <c r="H1246" s="0" t="s">
        <v>1162</v>
      </c>
    </row>
    <row r="1247" customFormat="false" ht="15" hidden="false" customHeight="false" outlineLevel="0" collapsed="false">
      <c r="A1247" s="0" t="s">
        <v>149</v>
      </c>
      <c r="B1247" s="0" t="n">
        <v>2018</v>
      </c>
      <c r="C1247" s="0" t="s">
        <v>541</v>
      </c>
      <c r="D1247" s="0" t="n">
        <v>52058</v>
      </c>
      <c r="E1247" s="0" t="s">
        <v>523</v>
      </c>
      <c r="F1247" s="0" t="s">
        <v>524</v>
      </c>
      <c r="G1247" s="0" t="s">
        <v>161</v>
      </c>
      <c r="H1247" s="0" t="s">
        <v>1163</v>
      </c>
    </row>
    <row r="1248" customFormat="false" ht="15" hidden="false" customHeight="false" outlineLevel="0" collapsed="false">
      <c r="A1248" s="0" t="s">
        <v>149</v>
      </c>
      <c r="B1248" s="0" t="n">
        <v>2018</v>
      </c>
      <c r="C1248" s="0" t="s">
        <v>19</v>
      </c>
      <c r="D1248" s="0" t="n">
        <v>1465984</v>
      </c>
      <c r="E1248" s="0" t="s">
        <v>522</v>
      </c>
    </row>
    <row r="1249" customFormat="false" ht="15" hidden="false" customHeight="false" outlineLevel="0" collapsed="false">
      <c r="A1249" s="0" t="s">
        <v>149</v>
      </c>
      <c r="B1249" s="0" t="n">
        <v>2018</v>
      </c>
      <c r="C1249" s="0" t="s">
        <v>41</v>
      </c>
      <c r="D1249" s="0" t="n">
        <v>3.40467563083908</v>
      </c>
      <c r="E1249" s="0" t="s">
        <v>522</v>
      </c>
    </row>
    <row r="1250" customFormat="false" ht="15" hidden="false" customHeight="false" outlineLevel="0" collapsed="false">
      <c r="A1250" s="0" t="s">
        <v>149</v>
      </c>
      <c r="B1250" s="0" t="n">
        <v>2018</v>
      </c>
      <c r="C1250" s="0" t="s">
        <v>27</v>
      </c>
      <c r="D1250" s="0" t="n">
        <v>10.6513386004021</v>
      </c>
      <c r="E1250" s="0" t="s">
        <v>522</v>
      </c>
    </row>
    <row r="1251" customFormat="false" ht="15" hidden="false" customHeight="false" outlineLevel="0" collapsed="false">
      <c r="A1251" s="0" t="s">
        <v>149</v>
      </c>
      <c r="B1251" s="0" t="n">
        <v>2018</v>
      </c>
      <c r="C1251" s="0" t="s">
        <v>29</v>
      </c>
      <c r="D1251" s="0" t="n">
        <v>-0.203822142670043</v>
      </c>
      <c r="E1251" s="0" t="s">
        <v>522</v>
      </c>
    </row>
    <row r="1252" customFormat="false" ht="15" hidden="false" customHeight="false" outlineLevel="0" collapsed="false">
      <c r="A1252" s="0" t="s">
        <v>149</v>
      </c>
      <c r="B1252" s="0" t="n">
        <v>2018</v>
      </c>
      <c r="C1252" s="0" t="s">
        <v>43</v>
      </c>
      <c r="D1252" s="0" t="n">
        <v>3.12097270899706</v>
      </c>
      <c r="E1252" s="0" t="s">
        <v>522</v>
      </c>
    </row>
    <row r="1253" customFormat="false" ht="15" hidden="false" customHeight="false" outlineLevel="0" collapsed="false">
      <c r="A1253" s="0" t="s">
        <v>149</v>
      </c>
      <c r="B1253" s="0" t="n">
        <v>2018</v>
      </c>
      <c r="C1253" s="0" t="s">
        <v>31</v>
      </c>
      <c r="D1253" s="0" t="n">
        <v>89.3486613995979</v>
      </c>
      <c r="E1253" s="0" t="s">
        <v>522</v>
      </c>
    </row>
    <row r="1254" customFormat="false" ht="15" hidden="false" customHeight="false" outlineLevel="0" collapsed="false">
      <c r="A1254" s="0" t="s">
        <v>149</v>
      </c>
      <c r="B1254" s="0" t="n">
        <v>2018</v>
      </c>
      <c r="C1254" s="0" t="s">
        <v>33</v>
      </c>
      <c r="D1254" s="0" t="n">
        <v>14.285042200842</v>
      </c>
      <c r="E1254" s="0" t="s">
        <v>522</v>
      </c>
    </row>
    <row r="1255" customFormat="false" ht="15" hidden="false" customHeight="false" outlineLevel="0" collapsed="false">
      <c r="A1255" s="0" t="s">
        <v>149</v>
      </c>
      <c r="B1255" s="0" t="n">
        <v>2018</v>
      </c>
      <c r="C1255" s="0" t="s">
        <v>21</v>
      </c>
      <c r="D1255" s="0" t="n">
        <v>0</v>
      </c>
      <c r="E1255" s="0" t="s">
        <v>522</v>
      </c>
    </row>
    <row r="1256" customFormat="false" ht="15" hidden="false" customHeight="false" outlineLevel="0" collapsed="false">
      <c r="A1256" s="0" t="s">
        <v>149</v>
      </c>
      <c r="B1256" s="0" t="n">
        <v>2019</v>
      </c>
      <c r="C1256" s="0" t="s">
        <v>54</v>
      </c>
      <c r="D1256" s="0" t="n">
        <v>52287</v>
      </c>
      <c r="E1256" s="0" t="s">
        <v>523</v>
      </c>
      <c r="F1256" s="0" t="s">
        <v>524</v>
      </c>
      <c r="G1256" s="0" t="s">
        <v>163</v>
      </c>
      <c r="H1256" s="0" t="s">
        <v>1164</v>
      </c>
    </row>
    <row r="1257" customFormat="false" ht="15" hidden="false" customHeight="false" outlineLevel="0" collapsed="false">
      <c r="A1257" s="0" t="s">
        <v>149</v>
      </c>
      <c r="B1257" s="0" t="n">
        <v>2019</v>
      </c>
      <c r="C1257" s="0" t="s">
        <v>55</v>
      </c>
      <c r="D1257" s="0" t="n">
        <v>1792320</v>
      </c>
      <c r="E1257" s="0" t="s">
        <v>539</v>
      </c>
      <c r="F1257" s="0" t="s">
        <v>524</v>
      </c>
      <c r="G1257" s="0" t="s">
        <v>163</v>
      </c>
      <c r="H1257" s="0" t="s">
        <v>1165</v>
      </c>
    </row>
    <row r="1258" customFormat="false" ht="15" hidden="false" customHeight="false" outlineLevel="0" collapsed="false">
      <c r="A1258" s="0" t="s">
        <v>149</v>
      </c>
      <c r="B1258" s="0" t="n">
        <v>2019</v>
      </c>
      <c r="C1258" s="0" t="s">
        <v>56</v>
      </c>
      <c r="D1258" s="0" t="n">
        <v>1590980</v>
      </c>
      <c r="E1258" s="0" t="s">
        <v>539</v>
      </c>
      <c r="F1258" s="0" t="s">
        <v>524</v>
      </c>
      <c r="G1258" s="0" t="s">
        <v>163</v>
      </c>
      <c r="H1258" s="0" t="s">
        <v>1166</v>
      </c>
    </row>
    <row r="1259" customFormat="false" ht="15" hidden="false" customHeight="false" outlineLevel="0" collapsed="false">
      <c r="A1259" s="0" t="s">
        <v>149</v>
      </c>
      <c r="B1259" s="0" t="n">
        <v>2019</v>
      </c>
      <c r="C1259" s="0" t="s">
        <v>57</v>
      </c>
      <c r="D1259" s="0" t="n">
        <v>201340</v>
      </c>
      <c r="E1259" s="0" t="s">
        <v>539</v>
      </c>
      <c r="F1259" s="0" t="s">
        <v>524</v>
      </c>
      <c r="G1259" s="0" t="s">
        <v>163</v>
      </c>
      <c r="H1259" s="0" t="s">
        <v>1167</v>
      </c>
    </row>
    <row r="1260" customFormat="false" ht="15" hidden="false" customHeight="false" outlineLevel="0" collapsed="false">
      <c r="A1260" s="0" t="s">
        <v>149</v>
      </c>
      <c r="B1260" s="0" t="n">
        <v>2019</v>
      </c>
      <c r="C1260" s="0" t="s">
        <v>59</v>
      </c>
      <c r="D1260" s="0" t="n">
        <v>1599245</v>
      </c>
      <c r="E1260" s="0" t="s">
        <v>539</v>
      </c>
      <c r="F1260" s="0" t="s">
        <v>524</v>
      </c>
      <c r="G1260" s="0" t="s">
        <v>163</v>
      </c>
      <c r="H1260" s="0" t="s">
        <v>1168</v>
      </c>
    </row>
    <row r="1261" customFormat="false" ht="15" hidden="false" customHeight="false" outlineLevel="0" collapsed="false">
      <c r="A1261" s="0" t="s">
        <v>149</v>
      </c>
      <c r="B1261" s="0" t="n">
        <v>2019</v>
      </c>
      <c r="C1261" s="0" t="s">
        <v>62</v>
      </c>
      <c r="D1261" s="0" t="n">
        <v>532124</v>
      </c>
      <c r="E1261" s="0" t="s">
        <v>539</v>
      </c>
      <c r="F1261" s="0" t="s">
        <v>524</v>
      </c>
      <c r="G1261" s="0" t="s">
        <v>163</v>
      </c>
      <c r="H1261" s="0" t="s">
        <v>1169</v>
      </c>
    </row>
    <row r="1262" customFormat="false" ht="15" hidden="false" customHeight="false" outlineLevel="0" collapsed="false">
      <c r="A1262" s="0" t="s">
        <v>149</v>
      </c>
      <c r="B1262" s="0" t="n">
        <v>2019</v>
      </c>
      <c r="C1262" s="0" t="s">
        <v>63</v>
      </c>
      <c r="D1262" s="0" t="n">
        <v>1664</v>
      </c>
      <c r="E1262" s="0" t="s">
        <v>523</v>
      </c>
      <c r="F1262" s="0" t="s">
        <v>524</v>
      </c>
      <c r="G1262" s="0" t="s">
        <v>163</v>
      </c>
      <c r="H1262" s="0" t="s">
        <v>1170</v>
      </c>
    </row>
    <row r="1263" customFormat="false" ht="15" hidden="false" customHeight="false" outlineLevel="0" collapsed="false">
      <c r="A1263" s="0" t="s">
        <v>149</v>
      </c>
      <c r="B1263" s="0" t="n">
        <v>2019</v>
      </c>
      <c r="C1263" s="0" t="s">
        <v>73</v>
      </c>
      <c r="D1263" s="0" t="n">
        <v>0</v>
      </c>
      <c r="E1263" s="0" t="s">
        <v>539</v>
      </c>
      <c r="F1263" s="0" t="s">
        <v>524</v>
      </c>
      <c r="G1263" s="0" t="s">
        <v>163</v>
      </c>
      <c r="H1263" s="0" t="s">
        <v>1171</v>
      </c>
    </row>
    <row r="1264" customFormat="false" ht="15" hidden="false" customHeight="false" outlineLevel="0" collapsed="false">
      <c r="A1264" s="0" t="s">
        <v>149</v>
      </c>
      <c r="B1264" s="0" t="n">
        <v>2019</v>
      </c>
      <c r="C1264" s="0" t="s">
        <v>541</v>
      </c>
      <c r="D1264" s="0" t="n">
        <v>56983</v>
      </c>
      <c r="E1264" s="0" t="s">
        <v>523</v>
      </c>
      <c r="F1264" s="0" t="s">
        <v>524</v>
      </c>
      <c r="G1264" s="0" t="s">
        <v>163</v>
      </c>
      <c r="H1264" s="0" t="s">
        <v>1172</v>
      </c>
    </row>
    <row r="1265" customFormat="false" ht="15" hidden="false" customHeight="false" outlineLevel="0" collapsed="false">
      <c r="A1265" s="0" t="s">
        <v>149</v>
      </c>
      <c r="B1265" s="0" t="n">
        <v>2019</v>
      </c>
      <c r="C1265" s="0" t="s">
        <v>19</v>
      </c>
      <c r="D1265" s="0" t="n">
        <v>1695782.5</v>
      </c>
      <c r="E1265" s="0" t="s">
        <v>522</v>
      </c>
    </row>
    <row r="1266" customFormat="false" ht="15" hidden="false" customHeight="false" outlineLevel="0" collapsed="false">
      <c r="A1266" s="0" t="s">
        <v>149</v>
      </c>
      <c r="B1266" s="0" t="n">
        <v>2019</v>
      </c>
      <c r="C1266" s="0" t="s">
        <v>41</v>
      </c>
      <c r="D1266" s="0" t="n">
        <v>3.08335532416451</v>
      </c>
      <c r="E1266" s="0" t="s">
        <v>522</v>
      </c>
    </row>
    <row r="1267" customFormat="false" ht="15" hidden="false" customHeight="false" outlineLevel="0" collapsed="false">
      <c r="A1267" s="0" t="s">
        <v>149</v>
      </c>
      <c r="B1267" s="0" t="n">
        <v>2019</v>
      </c>
      <c r="C1267" s="0" t="s">
        <v>27</v>
      </c>
      <c r="D1267" s="0" t="n">
        <v>11.2334850919479</v>
      </c>
      <c r="E1267" s="0" t="s">
        <v>522</v>
      </c>
    </row>
    <row r="1268" customFormat="false" ht="15" hidden="false" customHeight="false" outlineLevel="0" collapsed="false">
      <c r="A1268" s="0" t="s">
        <v>149</v>
      </c>
      <c r="B1268" s="0" t="n">
        <v>2019</v>
      </c>
      <c r="C1268" s="0" t="s">
        <v>29</v>
      </c>
      <c r="D1268" s="0" t="n">
        <v>0.0981257914856416</v>
      </c>
      <c r="E1268" s="0" t="s">
        <v>522</v>
      </c>
    </row>
    <row r="1269" customFormat="false" ht="15" hidden="false" customHeight="false" outlineLevel="0" collapsed="false">
      <c r="A1269" s="0" t="s">
        <v>149</v>
      </c>
      <c r="B1269" s="0" t="n">
        <v>2019</v>
      </c>
      <c r="C1269" s="0" t="s">
        <v>43</v>
      </c>
      <c r="D1269" s="0" t="n">
        <v>2.91728039635779</v>
      </c>
      <c r="E1269" s="0" t="s">
        <v>522</v>
      </c>
    </row>
    <row r="1270" customFormat="false" ht="15" hidden="false" customHeight="false" outlineLevel="0" collapsed="false">
      <c r="A1270" s="0" t="s">
        <v>149</v>
      </c>
      <c r="B1270" s="0" t="n">
        <v>2019</v>
      </c>
      <c r="C1270" s="0" t="s">
        <v>31</v>
      </c>
      <c r="D1270" s="0" t="n">
        <v>88.7665149080521</v>
      </c>
      <c r="E1270" s="0" t="s">
        <v>522</v>
      </c>
    </row>
    <row r="1271" customFormat="false" ht="15" hidden="false" customHeight="false" outlineLevel="0" collapsed="false">
      <c r="A1271" s="0" t="s">
        <v>149</v>
      </c>
      <c r="B1271" s="0" t="n">
        <v>2019</v>
      </c>
      <c r="C1271" s="0" t="s">
        <v>33</v>
      </c>
      <c r="D1271" s="0" t="n">
        <v>14.3990214280036</v>
      </c>
      <c r="E1271" s="0" t="s">
        <v>522</v>
      </c>
    </row>
    <row r="1272" customFormat="false" ht="15" hidden="false" customHeight="false" outlineLevel="0" collapsed="false">
      <c r="A1272" s="0" t="s">
        <v>149</v>
      </c>
      <c r="B1272" s="0" t="n">
        <v>2019</v>
      </c>
      <c r="C1272" s="0" t="s">
        <v>21</v>
      </c>
      <c r="D1272" s="0" t="n">
        <v>0</v>
      </c>
      <c r="E1272" s="0" t="s">
        <v>522</v>
      </c>
    </row>
    <row r="1273" customFormat="false" ht="15" hidden="false" customHeight="false" outlineLevel="0" collapsed="false">
      <c r="A1273" s="0" t="s">
        <v>149</v>
      </c>
      <c r="B1273" s="0" t="n">
        <v>2020</v>
      </c>
      <c r="C1273" s="0" t="s">
        <v>54</v>
      </c>
      <c r="D1273" s="0" t="n">
        <v>59489</v>
      </c>
      <c r="E1273" s="0" t="s">
        <v>523</v>
      </c>
      <c r="F1273" s="0" t="s">
        <v>524</v>
      </c>
      <c r="G1273" s="0" t="s">
        <v>165</v>
      </c>
      <c r="H1273" s="0" t="s">
        <v>1173</v>
      </c>
    </row>
    <row r="1274" customFormat="false" ht="15" hidden="false" customHeight="false" outlineLevel="0" collapsed="false">
      <c r="A1274" s="0" t="s">
        <v>149</v>
      </c>
      <c r="B1274" s="0" t="n">
        <v>2020</v>
      </c>
      <c r="C1274" s="0" t="s">
        <v>55</v>
      </c>
      <c r="D1274" s="0" t="n">
        <v>2370347</v>
      </c>
      <c r="E1274" s="0" t="s">
        <v>523</v>
      </c>
      <c r="F1274" s="0" t="s">
        <v>524</v>
      </c>
      <c r="G1274" s="0" t="s">
        <v>165</v>
      </c>
      <c r="H1274" s="0" t="s">
        <v>1174</v>
      </c>
    </row>
    <row r="1275" customFormat="false" ht="15" hidden="false" customHeight="false" outlineLevel="0" collapsed="false">
      <c r="A1275" s="0" t="s">
        <v>149</v>
      </c>
      <c r="B1275" s="0" t="n">
        <v>2020</v>
      </c>
      <c r="C1275" s="0" t="s">
        <v>56</v>
      </c>
      <c r="D1275" s="0" t="n">
        <v>2128226</v>
      </c>
      <c r="E1275" s="0" t="s">
        <v>523</v>
      </c>
      <c r="F1275" s="0" t="s">
        <v>524</v>
      </c>
      <c r="G1275" s="0" t="s">
        <v>165</v>
      </c>
      <c r="H1275" s="0" t="s">
        <v>1175</v>
      </c>
    </row>
    <row r="1276" customFormat="false" ht="15" hidden="false" customHeight="false" outlineLevel="0" collapsed="false">
      <c r="A1276" s="0" t="s">
        <v>149</v>
      </c>
      <c r="B1276" s="0" t="n">
        <v>2020</v>
      </c>
      <c r="C1276" s="0" t="s">
        <v>57</v>
      </c>
      <c r="D1276" s="0" t="n">
        <v>242121</v>
      </c>
      <c r="E1276" s="0" t="s">
        <v>523</v>
      </c>
      <c r="F1276" s="0" t="s">
        <v>524</v>
      </c>
      <c r="G1276" s="0" t="s">
        <v>165</v>
      </c>
      <c r="H1276" s="0" t="s">
        <v>1176</v>
      </c>
    </row>
    <row r="1277" customFormat="false" ht="15" hidden="false" customHeight="false" outlineLevel="0" collapsed="false">
      <c r="A1277" s="0" t="s">
        <v>149</v>
      </c>
      <c r="B1277" s="0" t="n">
        <v>2020</v>
      </c>
      <c r="C1277" s="0" t="s">
        <v>58</v>
      </c>
      <c r="D1277" s="0" t="n">
        <v>465539</v>
      </c>
      <c r="E1277" s="0" t="s">
        <v>523</v>
      </c>
      <c r="F1277" s="0" t="s">
        <v>524</v>
      </c>
      <c r="G1277" s="0" t="s">
        <v>165</v>
      </c>
      <c r="H1277" s="0" t="s">
        <v>1177</v>
      </c>
    </row>
    <row r="1278" customFormat="false" ht="15" hidden="false" customHeight="false" outlineLevel="0" collapsed="false">
      <c r="A1278" s="0" t="s">
        <v>149</v>
      </c>
      <c r="B1278" s="0" t="n">
        <v>2020</v>
      </c>
      <c r="C1278" s="0" t="s">
        <v>60</v>
      </c>
      <c r="D1278" s="0" t="n">
        <v>655292</v>
      </c>
      <c r="E1278" s="0" t="s">
        <v>523</v>
      </c>
      <c r="F1278" s="0" t="s">
        <v>524</v>
      </c>
      <c r="G1278" s="0" t="s">
        <v>165</v>
      </c>
      <c r="H1278" s="0" t="s">
        <v>1178</v>
      </c>
    </row>
    <row r="1279" customFormat="false" ht="15" hidden="false" customHeight="false" outlineLevel="0" collapsed="false">
      <c r="A1279" s="0" t="s">
        <v>149</v>
      </c>
      <c r="B1279" s="0" t="n">
        <v>2020</v>
      </c>
      <c r="C1279" s="0" t="s">
        <v>61</v>
      </c>
      <c r="D1279" s="0" t="n">
        <v>30153</v>
      </c>
      <c r="E1279" s="0" t="s">
        <v>523</v>
      </c>
      <c r="F1279" s="0" t="s">
        <v>524</v>
      </c>
      <c r="G1279" s="0" t="s">
        <v>165</v>
      </c>
      <c r="H1279" s="0" t="s">
        <v>1179</v>
      </c>
    </row>
    <row r="1280" customFormat="false" ht="15" hidden="false" customHeight="false" outlineLevel="0" collapsed="false">
      <c r="A1280" s="0" t="s">
        <v>149</v>
      </c>
      <c r="B1280" s="0" t="n">
        <v>2020</v>
      </c>
      <c r="C1280" s="0" t="s">
        <v>62</v>
      </c>
      <c r="D1280" s="0" t="n">
        <v>625139</v>
      </c>
      <c r="E1280" s="0" t="s">
        <v>523</v>
      </c>
      <c r="F1280" s="0" t="s">
        <v>524</v>
      </c>
      <c r="G1280" s="0" t="s">
        <v>165</v>
      </c>
      <c r="H1280" s="0" t="s">
        <v>1180</v>
      </c>
    </row>
    <row r="1281" customFormat="false" ht="15" hidden="false" customHeight="false" outlineLevel="0" collapsed="false">
      <c r="A1281" s="0" t="s">
        <v>149</v>
      </c>
      <c r="B1281" s="0" t="n">
        <v>2020</v>
      </c>
      <c r="C1281" s="0" t="s">
        <v>63</v>
      </c>
      <c r="D1281" s="0" t="n">
        <v>10170</v>
      </c>
      <c r="E1281" s="0" t="s">
        <v>523</v>
      </c>
      <c r="F1281" s="0" t="s">
        <v>524</v>
      </c>
      <c r="G1281" s="0" t="s">
        <v>165</v>
      </c>
      <c r="H1281" s="0" t="s">
        <v>1181</v>
      </c>
    </row>
    <row r="1282" customFormat="false" ht="15" hidden="false" customHeight="false" outlineLevel="0" collapsed="false">
      <c r="A1282" s="0" t="s">
        <v>149</v>
      </c>
      <c r="B1282" s="0" t="n">
        <v>2020</v>
      </c>
      <c r="C1282" s="0" t="s">
        <v>69</v>
      </c>
      <c r="D1282" s="0" t="n">
        <v>19.4</v>
      </c>
      <c r="E1282" s="0" t="s">
        <v>523</v>
      </c>
      <c r="F1282" s="0" t="s">
        <v>524</v>
      </c>
      <c r="G1282" s="0" t="s">
        <v>165</v>
      </c>
      <c r="H1282" s="0" t="s">
        <v>1182</v>
      </c>
    </row>
    <row r="1283" customFormat="false" ht="15" hidden="false" customHeight="false" outlineLevel="0" collapsed="false">
      <c r="A1283" s="0" t="s">
        <v>149</v>
      </c>
      <c r="B1283" s="0" t="n">
        <v>2020</v>
      </c>
      <c r="C1283" s="0" t="s">
        <v>614</v>
      </c>
      <c r="D1283" s="0" t="n">
        <v>19.6</v>
      </c>
      <c r="E1283" s="0" t="s">
        <v>523</v>
      </c>
      <c r="F1283" s="0" t="s">
        <v>524</v>
      </c>
      <c r="G1283" s="0" t="s">
        <v>165</v>
      </c>
      <c r="H1283" s="0" t="s">
        <v>1183</v>
      </c>
    </row>
    <row r="1284" customFormat="false" ht="15" hidden="false" customHeight="false" outlineLevel="0" collapsed="false">
      <c r="A1284" s="0" t="s">
        <v>149</v>
      </c>
      <c r="B1284" s="0" t="n">
        <v>2020</v>
      </c>
      <c r="C1284" s="0" t="s">
        <v>65</v>
      </c>
      <c r="D1284" s="0" t="n">
        <v>221408</v>
      </c>
      <c r="E1284" s="0" t="s">
        <v>979</v>
      </c>
      <c r="F1284" s="0" t="s">
        <v>524</v>
      </c>
      <c r="G1284" s="0" t="s">
        <v>165</v>
      </c>
      <c r="H1284" s="0" t="s">
        <v>1184</v>
      </c>
      <c r="I1284" s="0" t="s">
        <v>830</v>
      </c>
    </row>
    <row r="1285" customFormat="false" ht="15" hidden="false" customHeight="false" outlineLevel="0" collapsed="false">
      <c r="A1285" s="0" t="s">
        <v>149</v>
      </c>
      <c r="B1285" s="0" t="n">
        <v>2020</v>
      </c>
      <c r="C1285" s="0" t="s">
        <v>66</v>
      </c>
      <c r="D1285" s="0" t="n">
        <v>1140396</v>
      </c>
      <c r="E1285" s="0" t="s">
        <v>523</v>
      </c>
      <c r="F1285" s="0" t="s">
        <v>524</v>
      </c>
      <c r="G1285" s="0" t="s">
        <v>165</v>
      </c>
      <c r="H1285" s="0" t="s">
        <v>1185</v>
      </c>
    </row>
    <row r="1286" customFormat="false" ht="15" hidden="false" customHeight="false" outlineLevel="0" collapsed="false">
      <c r="A1286" s="0" t="s">
        <v>149</v>
      </c>
      <c r="B1286" s="0" t="n">
        <v>2020</v>
      </c>
      <c r="C1286" s="0" t="s">
        <v>619</v>
      </c>
      <c r="D1286" s="0" t="n">
        <v>223468</v>
      </c>
      <c r="E1286" s="0" t="s">
        <v>979</v>
      </c>
      <c r="F1286" s="0" t="s">
        <v>524</v>
      </c>
      <c r="G1286" s="0" t="s">
        <v>165</v>
      </c>
      <c r="H1286" s="0" t="s">
        <v>1186</v>
      </c>
    </row>
    <row r="1287" customFormat="false" ht="15" hidden="false" customHeight="false" outlineLevel="0" collapsed="false">
      <c r="A1287" s="0" t="s">
        <v>149</v>
      </c>
      <c r="B1287" s="0" t="n">
        <v>2020</v>
      </c>
      <c r="C1287" s="0" t="s">
        <v>68</v>
      </c>
      <c r="D1287" s="0" t="n">
        <v>21963</v>
      </c>
      <c r="E1287" s="0" t="s">
        <v>523</v>
      </c>
      <c r="F1287" s="0" t="s">
        <v>524</v>
      </c>
      <c r="G1287" s="0" t="s">
        <v>165</v>
      </c>
      <c r="H1287" s="0" t="s">
        <v>1187</v>
      </c>
    </row>
    <row r="1288" customFormat="false" ht="15" hidden="false" customHeight="false" outlineLevel="0" collapsed="false">
      <c r="A1288" s="0" t="s">
        <v>149</v>
      </c>
      <c r="B1288" s="0" t="n">
        <v>2020</v>
      </c>
      <c r="C1288" s="0" t="s">
        <v>541</v>
      </c>
      <c r="D1288" s="0" t="n">
        <v>58306</v>
      </c>
      <c r="E1288" s="0" t="s">
        <v>523</v>
      </c>
      <c r="F1288" s="0" t="s">
        <v>524</v>
      </c>
      <c r="G1288" s="0" t="s">
        <v>165</v>
      </c>
      <c r="H1288" s="0" t="s">
        <v>1188</v>
      </c>
    </row>
    <row r="1289" customFormat="false" ht="15" hidden="false" customHeight="false" outlineLevel="0" collapsed="false">
      <c r="A1289" s="0" t="s">
        <v>149</v>
      </c>
      <c r="B1289" s="0" t="n">
        <v>2020</v>
      </c>
      <c r="C1289" s="0" t="s">
        <v>27</v>
      </c>
      <c r="D1289" s="0" t="n">
        <v>10.2145803968786</v>
      </c>
      <c r="E1289" s="0" t="s">
        <v>522</v>
      </c>
    </row>
    <row r="1290" customFormat="false" ht="15" hidden="false" customHeight="false" outlineLevel="0" collapsed="false">
      <c r="A1290" s="0" t="s">
        <v>149</v>
      </c>
      <c r="B1290" s="0" t="n">
        <v>2020</v>
      </c>
      <c r="C1290" s="0" t="s">
        <v>17</v>
      </c>
      <c r="D1290" s="0" t="n">
        <v>4.60146011243842</v>
      </c>
      <c r="E1290" s="0" t="s">
        <v>522</v>
      </c>
    </row>
    <row r="1291" customFormat="false" ht="15" hidden="false" customHeight="false" outlineLevel="0" collapsed="false">
      <c r="A1291" s="0" t="s">
        <v>149</v>
      </c>
      <c r="B1291" s="0" t="n">
        <v>2020</v>
      </c>
      <c r="C1291" s="0" t="s">
        <v>25</v>
      </c>
      <c r="D1291" s="0" t="n">
        <v>19.4150102245185</v>
      </c>
      <c r="E1291" s="0" t="s">
        <v>522</v>
      </c>
    </row>
    <row r="1292" customFormat="false" ht="15" hidden="false" customHeight="false" outlineLevel="0" collapsed="false">
      <c r="A1292" s="0" t="s">
        <v>149</v>
      </c>
      <c r="B1292" s="0" t="n">
        <v>2020</v>
      </c>
      <c r="C1292" s="0" t="s">
        <v>43</v>
      </c>
      <c r="D1292" s="0" t="n">
        <v>2.50971693174037</v>
      </c>
      <c r="E1292" s="0" t="s">
        <v>522</v>
      </c>
    </row>
    <row r="1293" customFormat="false" ht="15" hidden="false" customHeight="false" outlineLevel="0" collapsed="false">
      <c r="A1293" s="0" t="s">
        <v>149</v>
      </c>
      <c r="B1293" s="0" t="n">
        <v>2020</v>
      </c>
      <c r="C1293" s="0" t="s">
        <v>31</v>
      </c>
      <c r="D1293" s="0" t="n">
        <v>89.7854196031214</v>
      </c>
      <c r="E1293" s="0" t="s">
        <v>522</v>
      </c>
    </row>
    <row r="1294" customFormat="false" ht="15" hidden="false" customHeight="false" outlineLevel="0" collapsed="false">
      <c r="A1294" s="0" t="s">
        <v>149</v>
      </c>
      <c r="B1294" s="0" t="n">
        <v>2020</v>
      </c>
      <c r="C1294" s="0" t="s">
        <v>33</v>
      </c>
      <c r="D1294" s="0" t="n">
        <v>14.678546915896</v>
      </c>
      <c r="E1294" s="0" t="s">
        <v>522</v>
      </c>
    </row>
    <row r="1295" customFormat="false" ht="15" hidden="false" customHeight="false" outlineLevel="0" collapsed="false">
      <c r="A1295" s="0" t="s">
        <v>149</v>
      </c>
      <c r="B1295" s="0" t="n">
        <v>2020</v>
      </c>
      <c r="C1295" s="0" t="s">
        <v>21</v>
      </c>
      <c r="D1295" s="0" t="n">
        <v>0</v>
      </c>
      <c r="E1295" s="0" t="s">
        <v>522</v>
      </c>
    </row>
    <row r="1296" customFormat="false" ht="15" hidden="false" customHeight="false" outlineLevel="0" collapsed="false">
      <c r="A1296" s="0" t="s">
        <v>149</v>
      </c>
      <c r="B1296" s="0" t="n">
        <v>2020</v>
      </c>
      <c r="C1296" s="0" t="s">
        <v>35</v>
      </c>
      <c r="D1296" s="0" t="n">
        <v>0</v>
      </c>
      <c r="E1296" s="0" t="s">
        <v>522</v>
      </c>
    </row>
    <row r="1297" customFormat="false" ht="15" hidden="false" customHeight="false" outlineLevel="0" collapsed="false">
      <c r="A1297" s="0" t="s">
        <v>149</v>
      </c>
      <c r="B1297" s="0" t="n">
        <v>2021</v>
      </c>
      <c r="C1297" s="0" t="s">
        <v>54</v>
      </c>
      <c r="D1297" s="0" t="n">
        <v>29570</v>
      </c>
      <c r="E1297" s="0" t="s">
        <v>523</v>
      </c>
      <c r="F1297" s="0" t="s">
        <v>524</v>
      </c>
      <c r="G1297" s="0" t="s">
        <v>166</v>
      </c>
      <c r="H1297" s="0" t="s">
        <v>1189</v>
      </c>
    </row>
    <row r="1298" customFormat="false" ht="15" hidden="false" customHeight="false" outlineLevel="0" collapsed="false">
      <c r="A1298" s="0" t="s">
        <v>149</v>
      </c>
      <c r="B1298" s="0" t="n">
        <v>2021</v>
      </c>
      <c r="C1298" s="0" t="s">
        <v>55</v>
      </c>
      <c r="D1298" s="0" t="n">
        <v>2614087</v>
      </c>
      <c r="E1298" s="0" t="s">
        <v>523</v>
      </c>
      <c r="F1298" s="0" t="s">
        <v>524</v>
      </c>
      <c r="G1298" s="0" t="s">
        <v>166</v>
      </c>
      <c r="H1298" s="0" t="s">
        <v>1190</v>
      </c>
    </row>
    <row r="1299" customFormat="false" ht="15" hidden="false" customHeight="false" outlineLevel="0" collapsed="false">
      <c r="A1299" s="0" t="s">
        <v>149</v>
      </c>
      <c r="B1299" s="0" t="n">
        <v>2021</v>
      </c>
      <c r="C1299" s="0" t="s">
        <v>56</v>
      </c>
      <c r="D1299" s="0" t="n">
        <v>2362312</v>
      </c>
      <c r="E1299" s="0" t="s">
        <v>523</v>
      </c>
      <c r="F1299" s="0" t="s">
        <v>524</v>
      </c>
      <c r="G1299" s="0" t="s">
        <v>166</v>
      </c>
      <c r="H1299" s="0" t="s">
        <v>1191</v>
      </c>
    </row>
    <row r="1300" customFormat="false" ht="15" hidden="false" customHeight="false" outlineLevel="0" collapsed="false">
      <c r="A1300" s="0" t="s">
        <v>149</v>
      </c>
      <c r="B1300" s="0" t="n">
        <v>2021</v>
      </c>
      <c r="C1300" s="0" t="s">
        <v>57</v>
      </c>
      <c r="D1300" s="0" t="n">
        <v>251775</v>
      </c>
      <c r="E1300" s="0" t="s">
        <v>523</v>
      </c>
      <c r="F1300" s="0" t="s">
        <v>524</v>
      </c>
      <c r="G1300" s="0" t="s">
        <v>166</v>
      </c>
      <c r="H1300" s="0" t="s">
        <v>1192</v>
      </c>
    </row>
    <row r="1301" customFormat="false" ht="15" hidden="false" customHeight="false" outlineLevel="0" collapsed="false">
      <c r="A1301" s="0" t="s">
        <v>149</v>
      </c>
      <c r="B1301" s="0" t="n">
        <v>2021</v>
      </c>
      <c r="C1301" s="0" t="s">
        <v>58</v>
      </c>
      <c r="D1301" s="0" t="n">
        <v>55771</v>
      </c>
      <c r="E1301" s="0" t="s">
        <v>523</v>
      </c>
      <c r="F1301" s="0" t="s">
        <v>524</v>
      </c>
      <c r="G1301" s="0" t="s">
        <v>166</v>
      </c>
      <c r="H1301" s="0" t="s">
        <v>1193</v>
      </c>
    </row>
    <row r="1302" customFormat="false" ht="15" hidden="false" customHeight="false" outlineLevel="0" collapsed="false">
      <c r="A1302" s="0" t="s">
        <v>149</v>
      </c>
      <c r="B1302" s="0" t="n">
        <v>2021</v>
      </c>
      <c r="C1302" s="0" t="s">
        <v>59</v>
      </c>
      <c r="D1302" s="0" t="n">
        <v>2370347</v>
      </c>
      <c r="E1302" s="0" t="s">
        <v>523</v>
      </c>
      <c r="F1302" s="0" t="s">
        <v>524</v>
      </c>
      <c r="G1302" s="0" t="s">
        <v>166</v>
      </c>
      <c r="H1302" s="0" t="s">
        <v>1194</v>
      </c>
    </row>
    <row r="1303" customFormat="false" ht="15" hidden="false" customHeight="false" outlineLevel="0" collapsed="false">
      <c r="A1303" s="0" t="s">
        <v>149</v>
      </c>
      <c r="B1303" s="0" t="n">
        <v>2021</v>
      </c>
      <c r="C1303" s="0" t="s">
        <v>60</v>
      </c>
      <c r="D1303" s="0" t="n">
        <v>946259</v>
      </c>
      <c r="E1303" s="0" t="s">
        <v>523</v>
      </c>
      <c r="F1303" s="0" t="s">
        <v>524</v>
      </c>
      <c r="G1303" s="0" t="s">
        <v>166</v>
      </c>
      <c r="H1303" s="0" t="s">
        <v>1195</v>
      </c>
    </row>
    <row r="1304" customFormat="false" ht="15" hidden="false" customHeight="false" outlineLevel="0" collapsed="false">
      <c r="A1304" s="0" t="s">
        <v>149</v>
      </c>
      <c r="B1304" s="0" t="n">
        <v>2021</v>
      </c>
      <c r="C1304" s="0" t="s">
        <v>61</v>
      </c>
      <c r="D1304" s="0" t="n">
        <v>25215</v>
      </c>
      <c r="E1304" s="0" t="s">
        <v>523</v>
      </c>
      <c r="F1304" s="0" t="s">
        <v>524</v>
      </c>
      <c r="G1304" s="0" t="s">
        <v>166</v>
      </c>
      <c r="H1304" s="0" t="s">
        <v>1196</v>
      </c>
    </row>
    <row r="1305" customFormat="false" ht="15" hidden="false" customHeight="false" outlineLevel="0" collapsed="false">
      <c r="A1305" s="0" t="s">
        <v>149</v>
      </c>
      <c r="B1305" s="0" t="n">
        <v>2021</v>
      </c>
      <c r="C1305" s="0" t="s">
        <v>62</v>
      </c>
      <c r="D1305" s="0" t="n">
        <v>921044</v>
      </c>
      <c r="E1305" s="0" t="s">
        <v>523</v>
      </c>
      <c r="F1305" s="0" t="s">
        <v>524</v>
      </c>
      <c r="G1305" s="0" t="s">
        <v>166</v>
      </c>
      <c r="H1305" s="0" t="s">
        <v>1197</v>
      </c>
    </row>
    <row r="1306" customFormat="false" ht="15" hidden="false" customHeight="false" outlineLevel="0" collapsed="false">
      <c r="A1306" s="0" t="s">
        <v>149</v>
      </c>
      <c r="B1306" s="0" t="n">
        <v>2021</v>
      </c>
      <c r="C1306" s="0" t="s">
        <v>63</v>
      </c>
      <c r="D1306" s="0" t="n">
        <v>-1208</v>
      </c>
      <c r="E1306" s="0" t="s">
        <v>523</v>
      </c>
      <c r="F1306" s="0" t="s">
        <v>524</v>
      </c>
      <c r="G1306" s="0" t="s">
        <v>166</v>
      </c>
      <c r="H1306" s="0" t="s">
        <v>1198</v>
      </c>
    </row>
    <row r="1307" customFormat="false" ht="15" hidden="false" customHeight="false" outlineLevel="0" collapsed="false">
      <c r="A1307" s="0" t="s">
        <v>149</v>
      </c>
      <c r="B1307" s="0" t="n">
        <v>2021</v>
      </c>
      <c r="C1307" s="0" t="s">
        <v>69</v>
      </c>
      <c r="D1307" s="0" t="n">
        <v>16.1</v>
      </c>
      <c r="E1307" s="0" t="s">
        <v>523</v>
      </c>
      <c r="F1307" s="0" t="s">
        <v>524</v>
      </c>
      <c r="G1307" s="0" t="s">
        <v>166</v>
      </c>
      <c r="H1307" s="0" t="s">
        <v>1199</v>
      </c>
    </row>
    <row r="1308" customFormat="false" ht="15" hidden="false" customHeight="false" outlineLevel="0" collapsed="false">
      <c r="A1308" s="0" t="s">
        <v>149</v>
      </c>
      <c r="B1308" s="0" t="n">
        <v>2021</v>
      </c>
      <c r="C1308" s="0" t="s">
        <v>614</v>
      </c>
      <c r="D1308" s="0" t="n">
        <v>16.1</v>
      </c>
      <c r="E1308" s="0" t="s">
        <v>523</v>
      </c>
      <c r="F1308" s="0" t="s">
        <v>524</v>
      </c>
      <c r="G1308" s="0" t="s">
        <v>166</v>
      </c>
      <c r="H1308" s="0" t="s">
        <v>1200</v>
      </c>
    </row>
    <row r="1309" customFormat="false" ht="15" hidden="false" customHeight="false" outlineLevel="0" collapsed="false">
      <c r="A1309" s="0" t="s">
        <v>149</v>
      </c>
      <c r="B1309" s="0" t="n">
        <v>2021</v>
      </c>
      <c r="C1309" s="0" t="s">
        <v>65</v>
      </c>
      <c r="D1309" s="0" t="n">
        <v>226940</v>
      </c>
      <c r="E1309" s="0" t="s">
        <v>523</v>
      </c>
      <c r="F1309" s="0" t="s">
        <v>524</v>
      </c>
      <c r="G1309" s="0" t="s">
        <v>166</v>
      </c>
      <c r="H1309" s="0" t="s">
        <v>1201</v>
      </c>
      <c r="I1309" s="0" t="s">
        <v>699</v>
      </c>
    </row>
    <row r="1310" customFormat="false" ht="15" hidden="false" customHeight="false" outlineLevel="0" collapsed="false">
      <c r="A1310" s="0" t="s">
        <v>149</v>
      </c>
      <c r="B1310" s="0" t="n">
        <v>2021</v>
      </c>
      <c r="C1310" s="0" t="s">
        <v>66</v>
      </c>
      <c r="D1310" s="0" t="n">
        <v>1405941</v>
      </c>
      <c r="E1310" s="0" t="s">
        <v>523</v>
      </c>
      <c r="F1310" s="0" t="s">
        <v>524</v>
      </c>
      <c r="G1310" s="0" t="s">
        <v>166</v>
      </c>
      <c r="H1310" s="0" t="s">
        <v>1202</v>
      </c>
    </row>
    <row r="1311" customFormat="false" ht="15" hidden="false" customHeight="false" outlineLevel="0" collapsed="false">
      <c r="A1311" s="0" t="s">
        <v>149</v>
      </c>
      <c r="B1311" s="0" t="n">
        <v>2021</v>
      </c>
      <c r="C1311" s="0" t="s">
        <v>73</v>
      </c>
      <c r="D1311" s="0" t="n">
        <v>0</v>
      </c>
      <c r="E1311" s="0" t="s">
        <v>539</v>
      </c>
      <c r="F1311" s="0" t="s">
        <v>524</v>
      </c>
      <c r="G1311" s="0" t="s">
        <v>166</v>
      </c>
      <c r="H1311" s="0" t="s">
        <v>1203</v>
      </c>
    </row>
    <row r="1312" customFormat="false" ht="15" hidden="false" customHeight="false" outlineLevel="0" collapsed="false">
      <c r="A1312" s="0" t="s">
        <v>149</v>
      </c>
      <c r="B1312" s="0" t="n">
        <v>2021</v>
      </c>
      <c r="C1312" s="0" t="s">
        <v>68</v>
      </c>
      <c r="D1312" s="0" t="n">
        <v>15907</v>
      </c>
      <c r="E1312" s="0" t="s">
        <v>523</v>
      </c>
      <c r="F1312" s="0" t="s">
        <v>524</v>
      </c>
      <c r="G1312" s="0" t="s">
        <v>166</v>
      </c>
      <c r="H1312" s="0" t="s">
        <v>1204</v>
      </c>
    </row>
    <row r="1313" customFormat="false" ht="15" hidden="false" customHeight="false" outlineLevel="0" collapsed="false">
      <c r="A1313" s="0" t="s">
        <v>149</v>
      </c>
      <c r="B1313" s="0" t="n">
        <v>2021</v>
      </c>
      <c r="C1313" s="0" t="s">
        <v>541</v>
      </c>
      <c r="D1313" s="0" t="n">
        <v>23433</v>
      </c>
      <c r="E1313" s="0" t="s">
        <v>523</v>
      </c>
      <c r="F1313" s="0" t="s">
        <v>524</v>
      </c>
      <c r="G1313" s="0" t="s">
        <v>166</v>
      </c>
      <c r="H1313" s="0" t="s">
        <v>1205</v>
      </c>
    </row>
    <row r="1314" customFormat="false" ht="15" hidden="false" customHeight="false" outlineLevel="0" collapsed="false">
      <c r="A1314" s="0" t="s">
        <v>149</v>
      </c>
      <c r="B1314" s="0" t="n">
        <v>2021</v>
      </c>
      <c r="C1314" s="0" t="s">
        <v>19</v>
      </c>
      <c r="D1314" s="0" t="n">
        <v>2492217</v>
      </c>
      <c r="E1314" s="0" t="s">
        <v>522</v>
      </c>
    </row>
    <row r="1315" customFormat="false" ht="15" hidden="false" customHeight="false" outlineLevel="0" collapsed="false">
      <c r="A1315" s="0" t="s">
        <v>149</v>
      </c>
      <c r="B1315" s="0" t="n">
        <v>2021</v>
      </c>
      <c r="C1315" s="0" t="s">
        <v>41</v>
      </c>
      <c r="D1315" s="0" t="n">
        <v>1.18649379247473</v>
      </c>
      <c r="E1315" s="0" t="s">
        <v>522</v>
      </c>
    </row>
    <row r="1316" customFormat="false" ht="15" hidden="false" customHeight="false" outlineLevel="0" collapsed="false">
      <c r="A1316" s="0" t="s">
        <v>149</v>
      </c>
      <c r="B1316" s="0" t="n">
        <v>2021</v>
      </c>
      <c r="C1316" s="0" t="s">
        <v>27</v>
      </c>
      <c r="D1316" s="0" t="n">
        <v>9.63146980188494</v>
      </c>
      <c r="E1316" s="0" t="s">
        <v>522</v>
      </c>
    </row>
    <row r="1317" customFormat="false" ht="15" hidden="false" customHeight="false" outlineLevel="0" collapsed="false">
      <c r="A1317" s="0" t="s">
        <v>149</v>
      </c>
      <c r="B1317" s="0" t="n">
        <v>2021</v>
      </c>
      <c r="C1317" s="0" t="s">
        <v>39</v>
      </c>
      <c r="D1317" s="0" t="n">
        <v>2.23780673994279</v>
      </c>
      <c r="E1317" s="0" t="s">
        <v>522</v>
      </c>
    </row>
    <row r="1318" customFormat="false" ht="15" hidden="false" customHeight="false" outlineLevel="0" collapsed="false">
      <c r="A1318" s="0" t="s">
        <v>149</v>
      </c>
      <c r="B1318" s="0" t="n">
        <v>2021</v>
      </c>
      <c r="C1318" s="0" t="s">
        <v>17</v>
      </c>
      <c r="D1318" s="0" t="n">
        <v>2.6647038495803</v>
      </c>
      <c r="E1318" s="0" t="s">
        <v>522</v>
      </c>
    </row>
    <row r="1319" customFormat="false" ht="15" hidden="false" customHeight="false" outlineLevel="0" collapsed="false">
      <c r="A1319" s="0" t="s">
        <v>149</v>
      </c>
      <c r="B1319" s="0" t="n">
        <v>2021</v>
      </c>
      <c r="C1319" s="0" t="s">
        <v>25</v>
      </c>
      <c r="D1319" s="0" t="n">
        <v>16.1415023816789</v>
      </c>
      <c r="E1319" s="0" t="s">
        <v>522</v>
      </c>
    </row>
    <row r="1320" customFormat="false" ht="15" hidden="false" customHeight="false" outlineLevel="0" collapsed="false">
      <c r="A1320" s="0" t="s">
        <v>149</v>
      </c>
      <c r="B1320" s="0" t="n">
        <v>2021</v>
      </c>
      <c r="C1320" s="0" t="s">
        <v>29</v>
      </c>
      <c r="D1320" s="0" t="n">
        <v>-0.0484708996046492</v>
      </c>
      <c r="E1320" s="0" t="s">
        <v>522</v>
      </c>
    </row>
    <row r="1321" customFormat="false" ht="15" hidden="false" customHeight="false" outlineLevel="0" collapsed="false">
      <c r="A1321" s="0" t="s">
        <v>149</v>
      </c>
      <c r="B1321" s="0" t="n">
        <v>2021</v>
      </c>
      <c r="C1321" s="0" t="s">
        <v>43</v>
      </c>
      <c r="D1321" s="0" t="n">
        <v>1.13117887813221</v>
      </c>
      <c r="E1321" s="0" t="s">
        <v>522</v>
      </c>
    </row>
    <row r="1322" customFormat="false" ht="15" hidden="false" customHeight="false" outlineLevel="0" collapsed="false">
      <c r="A1322" s="0" t="s">
        <v>149</v>
      </c>
      <c r="B1322" s="0" t="n">
        <v>2021</v>
      </c>
      <c r="C1322" s="0" t="s">
        <v>31</v>
      </c>
      <c r="D1322" s="0" t="n">
        <v>90.3685301981151</v>
      </c>
      <c r="E1322" s="0" t="s">
        <v>522</v>
      </c>
    </row>
    <row r="1323" customFormat="false" ht="15" hidden="false" customHeight="false" outlineLevel="0" collapsed="false">
      <c r="A1323" s="0" t="s">
        <v>149</v>
      </c>
      <c r="B1323" s="0" t="n">
        <v>2021</v>
      </c>
      <c r="C1323" s="0" t="s">
        <v>33</v>
      </c>
      <c r="D1323" s="0" t="n">
        <v>14.7764254549384</v>
      </c>
      <c r="E1323" s="0" t="s">
        <v>522</v>
      </c>
    </row>
    <row r="1324" customFormat="false" ht="15" hidden="false" customHeight="false" outlineLevel="0" collapsed="false">
      <c r="A1324" s="0" t="s">
        <v>149</v>
      </c>
      <c r="B1324" s="0" t="n">
        <v>2021</v>
      </c>
      <c r="C1324" s="0" t="s">
        <v>21</v>
      </c>
      <c r="D1324" s="0" t="n">
        <v>0</v>
      </c>
      <c r="E1324" s="0" t="s">
        <v>522</v>
      </c>
    </row>
    <row r="1325" customFormat="false" ht="15" hidden="false" customHeight="false" outlineLevel="0" collapsed="false">
      <c r="A1325" s="0" t="s">
        <v>149</v>
      </c>
      <c r="B1325" s="0" t="n">
        <v>2021</v>
      </c>
      <c r="C1325" s="0" t="s">
        <v>35</v>
      </c>
      <c r="D1325" s="0" t="n">
        <v>0</v>
      </c>
      <c r="E1325" s="0" t="s">
        <v>522</v>
      </c>
    </row>
    <row r="1326" customFormat="false" ht="15" hidden="false" customHeight="false" outlineLevel="0" collapsed="false">
      <c r="A1326" s="0" t="s">
        <v>149</v>
      </c>
      <c r="B1326" s="0" t="n">
        <v>2022</v>
      </c>
      <c r="C1326" s="0" t="s">
        <v>54</v>
      </c>
      <c r="D1326" s="0" t="n">
        <v>55150</v>
      </c>
      <c r="E1326" s="0" t="s">
        <v>523</v>
      </c>
      <c r="F1326" s="0" t="s">
        <v>524</v>
      </c>
      <c r="G1326" s="0" t="s">
        <v>168</v>
      </c>
      <c r="H1326" s="0" t="s">
        <v>1206</v>
      </c>
    </row>
    <row r="1327" customFormat="false" ht="15" hidden="false" customHeight="false" outlineLevel="0" collapsed="false">
      <c r="A1327" s="0" t="s">
        <v>149</v>
      </c>
      <c r="B1327" s="0" t="n">
        <v>2022</v>
      </c>
      <c r="C1327" s="0" t="s">
        <v>55</v>
      </c>
      <c r="D1327" s="0" t="n">
        <v>2854509</v>
      </c>
      <c r="E1327" s="0" t="s">
        <v>523</v>
      </c>
      <c r="F1327" s="0" t="s">
        <v>524</v>
      </c>
      <c r="G1327" s="0" t="s">
        <v>168</v>
      </c>
      <c r="H1327" s="0" t="s">
        <v>1207</v>
      </c>
    </row>
    <row r="1328" customFormat="false" ht="15" hidden="false" customHeight="false" outlineLevel="0" collapsed="false">
      <c r="A1328" s="0" t="s">
        <v>149</v>
      </c>
      <c r="B1328" s="0" t="n">
        <v>2022</v>
      </c>
      <c r="C1328" s="0" t="s">
        <v>56</v>
      </c>
      <c r="D1328" s="0" t="n">
        <v>2575402</v>
      </c>
      <c r="E1328" s="0" t="s">
        <v>523</v>
      </c>
      <c r="F1328" s="0" t="s">
        <v>524</v>
      </c>
      <c r="G1328" s="0" t="s">
        <v>168</v>
      </c>
      <c r="H1328" s="0" t="s">
        <v>1208</v>
      </c>
    </row>
    <row r="1329" customFormat="false" ht="15" hidden="false" customHeight="false" outlineLevel="0" collapsed="false">
      <c r="A1329" s="0" t="s">
        <v>149</v>
      </c>
      <c r="B1329" s="0" t="n">
        <v>2022</v>
      </c>
      <c r="C1329" s="0" t="s">
        <v>57</v>
      </c>
      <c r="D1329" s="0" t="n">
        <v>279107</v>
      </c>
      <c r="E1329" s="0" t="s">
        <v>523</v>
      </c>
      <c r="F1329" s="0" t="s">
        <v>524</v>
      </c>
      <c r="G1329" s="0" t="s">
        <v>168</v>
      </c>
      <c r="H1329" s="0" t="s">
        <v>1209</v>
      </c>
    </row>
    <row r="1330" customFormat="false" ht="15" hidden="false" customHeight="false" outlineLevel="0" collapsed="false">
      <c r="A1330" s="0" t="s">
        <v>149</v>
      </c>
      <c r="B1330" s="0" t="n">
        <v>2022</v>
      </c>
      <c r="C1330" s="0" t="s">
        <v>58</v>
      </c>
      <c r="D1330" s="0" t="n">
        <v>-144391</v>
      </c>
      <c r="E1330" s="0" t="s">
        <v>523</v>
      </c>
      <c r="F1330" s="0" t="s">
        <v>524</v>
      </c>
      <c r="G1330" s="0" t="s">
        <v>168</v>
      </c>
      <c r="H1330" s="0" t="s">
        <v>1210</v>
      </c>
    </row>
    <row r="1331" customFormat="false" ht="15" hidden="false" customHeight="false" outlineLevel="0" collapsed="false">
      <c r="A1331" s="0" t="s">
        <v>149</v>
      </c>
      <c r="B1331" s="0" t="n">
        <v>2022</v>
      </c>
      <c r="C1331" s="0" t="s">
        <v>59</v>
      </c>
      <c r="D1331" s="0" t="n">
        <v>2614087</v>
      </c>
      <c r="E1331" s="0" t="s">
        <v>523</v>
      </c>
      <c r="F1331" s="0" t="s">
        <v>524</v>
      </c>
      <c r="G1331" s="0" t="s">
        <v>168</v>
      </c>
      <c r="H1331" s="0" t="s">
        <v>1211</v>
      </c>
    </row>
    <row r="1332" customFormat="false" ht="15" hidden="false" customHeight="false" outlineLevel="0" collapsed="false">
      <c r="A1332" s="0" t="s">
        <v>149</v>
      </c>
      <c r="B1332" s="0" t="n">
        <v>2022</v>
      </c>
      <c r="C1332" s="0" t="s">
        <v>60</v>
      </c>
      <c r="D1332" s="0" t="n">
        <v>1238195</v>
      </c>
      <c r="E1332" s="0" t="s">
        <v>523</v>
      </c>
      <c r="F1332" s="0" t="s">
        <v>524</v>
      </c>
      <c r="G1332" s="0" t="s">
        <v>168</v>
      </c>
      <c r="H1332" s="0" t="s">
        <v>1212</v>
      </c>
    </row>
    <row r="1333" customFormat="false" ht="15" hidden="false" customHeight="false" outlineLevel="0" collapsed="false">
      <c r="A1333" s="0" t="s">
        <v>149</v>
      </c>
      <c r="B1333" s="0" t="n">
        <v>2022</v>
      </c>
      <c r="C1333" s="0" t="s">
        <v>61</v>
      </c>
      <c r="D1333" s="0" t="n">
        <v>33410</v>
      </c>
      <c r="E1333" s="0" t="s">
        <v>523</v>
      </c>
      <c r="F1333" s="0" t="s">
        <v>524</v>
      </c>
      <c r="G1333" s="0" t="s">
        <v>168</v>
      </c>
      <c r="H1333" s="0" t="s">
        <v>1213</v>
      </c>
    </row>
    <row r="1334" customFormat="false" ht="15" hidden="false" customHeight="false" outlineLevel="0" collapsed="false">
      <c r="A1334" s="0" t="s">
        <v>149</v>
      </c>
      <c r="B1334" s="0" t="n">
        <v>2022</v>
      </c>
      <c r="C1334" s="0" t="s">
        <v>62</v>
      </c>
      <c r="D1334" s="0" t="n">
        <v>1204785</v>
      </c>
      <c r="E1334" s="0" t="s">
        <v>523</v>
      </c>
      <c r="F1334" s="0" t="s">
        <v>524</v>
      </c>
      <c r="G1334" s="0" t="s">
        <v>168</v>
      </c>
      <c r="H1334" s="0" t="s">
        <v>1214</v>
      </c>
    </row>
    <row r="1335" customFormat="false" ht="15" hidden="false" customHeight="false" outlineLevel="0" collapsed="false">
      <c r="A1335" s="0" t="s">
        <v>149</v>
      </c>
      <c r="B1335" s="0" t="n">
        <v>2022</v>
      </c>
      <c r="C1335" s="0" t="s">
        <v>63</v>
      </c>
      <c r="D1335" s="0" t="n">
        <v>10147</v>
      </c>
      <c r="E1335" s="0" t="s">
        <v>523</v>
      </c>
      <c r="F1335" s="0" t="s">
        <v>524</v>
      </c>
      <c r="G1335" s="0" t="s">
        <v>168</v>
      </c>
      <c r="H1335" s="0" t="s">
        <v>1215</v>
      </c>
    </row>
    <row r="1336" customFormat="false" ht="15" hidden="false" customHeight="false" outlineLevel="0" collapsed="false">
      <c r="A1336" s="0" t="s">
        <v>149</v>
      </c>
      <c r="B1336" s="0" t="n">
        <v>2022</v>
      </c>
      <c r="C1336" s="0" t="s">
        <v>69</v>
      </c>
      <c r="D1336" s="0" t="n">
        <v>18.4</v>
      </c>
      <c r="E1336" s="0" t="s">
        <v>523</v>
      </c>
      <c r="F1336" s="0" t="s">
        <v>524</v>
      </c>
      <c r="G1336" s="0" t="s">
        <v>168</v>
      </c>
      <c r="H1336" s="0" t="s">
        <v>1216</v>
      </c>
    </row>
    <row r="1337" customFormat="false" ht="15" hidden="false" customHeight="false" outlineLevel="0" collapsed="false">
      <c r="A1337" s="0" t="s">
        <v>149</v>
      </c>
      <c r="B1337" s="0" t="n">
        <v>2022</v>
      </c>
      <c r="C1337" s="0" t="s">
        <v>614</v>
      </c>
      <c r="D1337" s="0" t="n">
        <v>18.4</v>
      </c>
      <c r="E1337" s="0" t="s">
        <v>523</v>
      </c>
      <c r="F1337" s="0" t="s">
        <v>524</v>
      </c>
      <c r="G1337" s="0" t="s">
        <v>168</v>
      </c>
      <c r="H1337" s="0" t="s">
        <v>1217</v>
      </c>
    </row>
    <row r="1338" customFormat="false" ht="15" hidden="false" customHeight="false" outlineLevel="0" collapsed="false">
      <c r="A1338" s="0" t="s">
        <v>149</v>
      </c>
      <c r="B1338" s="0" t="n">
        <v>2022</v>
      </c>
      <c r="C1338" s="0" t="s">
        <v>70</v>
      </c>
      <c r="D1338" s="0" t="n">
        <v>10</v>
      </c>
      <c r="E1338" s="0" t="s">
        <v>523</v>
      </c>
      <c r="F1338" s="0" t="s">
        <v>524</v>
      </c>
      <c r="G1338" s="0" t="s">
        <v>168</v>
      </c>
      <c r="H1338" s="0" t="s">
        <v>1218</v>
      </c>
    </row>
    <row r="1339" customFormat="false" ht="15" hidden="false" customHeight="false" outlineLevel="0" collapsed="false">
      <c r="A1339" s="0" t="s">
        <v>149</v>
      </c>
      <c r="B1339" s="0" t="n">
        <v>2022</v>
      </c>
      <c r="C1339" s="0" t="s">
        <v>65</v>
      </c>
      <c r="D1339" s="0" t="n">
        <v>284446</v>
      </c>
      <c r="E1339" s="0" t="s">
        <v>523</v>
      </c>
      <c r="F1339" s="0" t="s">
        <v>524</v>
      </c>
      <c r="G1339" s="0" t="s">
        <v>168</v>
      </c>
      <c r="H1339" s="0" t="s">
        <v>1219</v>
      </c>
    </row>
    <row r="1340" customFormat="false" ht="15" hidden="false" customHeight="false" outlineLevel="0" collapsed="false">
      <c r="A1340" s="0" t="s">
        <v>149</v>
      </c>
      <c r="B1340" s="0" t="n">
        <v>2022</v>
      </c>
      <c r="C1340" s="0" t="s">
        <v>66</v>
      </c>
      <c r="D1340" s="0" t="n">
        <v>1545117</v>
      </c>
      <c r="E1340" s="0" t="s">
        <v>523</v>
      </c>
      <c r="F1340" s="0" t="s">
        <v>524</v>
      </c>
      <c r="G1340" s="0" t="s">
        <v>168</v>
      </c>
      <c r="H1340" s="0" t="s">
        <v>1220</v>
      </c>
    </row>
    <row r="1341" customFormat="false" ht="15" hidden="false" customHeight="false" outlineLevel="0" collapsed="false">
      <c r="A1341" s="0" t="s">
        <v>149</v>
      </c>
      <c r="B1341" s="0" t="n">
        <v>2022</v>
      </c>
      <c r="C1341" s="0" t="s">
        <v>73</v>
      </c>
      <c r="D1341" s="0" t="n">
        <v>0</v>
      </c>
      <c r="E1341" s="0" t="s">
        <v>539</v>
      </c>
      <c r="F1341" s="0" t="s">
        <v>524</v>
      </c>
      <c r="G1341" s="0" t="s">
        <v>168</v>
      </c>
      <c r="H1341" s="0" t="s">
        <v>1221</v>
      </c>
    </row>
    <row r="1342" customFormat="false" ht="15" hidden="false" customHeight="false" outlineLevel="0" collapsed="false">
      <c r="A1342" s="0" t="s">
        <v>149</v>
      </c>
      <c r="B1342" s="0" t="n">
        <v>2022</v>
      </c>
      <c r="C1342" s="0" t="s">
        <v>68</v>
      </c>
      <c r="D1342" s="0" t="n">
        <v>20616</v>
      </c>
      <c r="E1342" s="0" t="s">
        <v>523</v>
      </c>
      <c r="F1342" s="0" t="s">
        <v>524</v>
      </c>
      <c r="G1342" s="0" t="s">
        <v>168</v>
      </c>
      <c r="H1342" s="0" t="s">
        <v>1222</v>
      </c>
    </row>
    <row r="1343" customFormat="false" ht="15" hidden="false" customHeight="false" outlineLevel="0" collapsed="false">
      <c r="A1343" s="0" t="s">
        <v>149</v>
      </c>
      <c r="B1343" s="0" t="n">
        <v>2022</v>
      </c>
      <c r="C1343" s="0" t="s">
        <v>541</v>
      </c>
      <c r="D1343" s="0" t="n">
        <v>59732</v>
      </c>
      <c r="E1343" s="0" t="s">
        <v>523</v>
      </c>
      <c r="F1343" s="0" t="s">
        <v>524</v>
      </c>
      <c r="G1343" s="0" t="s">
        <v>168</v>
      </c>
      <c r="H1343" s="0" t="s">
        <v>1223</v>
      </c>
    </row>
    <row r="1344" customFormat="false" ht="15" hidden="false" customHeight="false" outlineLevel="0" collapsed="false">
      <c r="A1344" s="0" t="s">
        <v>149</v>
      </c>
      <c r="B1344" s="0" t="n">
        <v>2022</v>
      </c>
      <c r="C1344" s="0" t="s">
        <v>19</v>
      </c>
      <c r="D1344" s="0" t="n">
        <v>2734298</v>
      </c>
      <c r="E1344" s="0" t="s">
        <v>522</v>
      </c>
    </row>
    <row r="1345" customFormat="false" ht="15" hidden="false" customHeight="false" outlineLevel="0" collapsed="false">
      <c r="A1345" s="0" t="s">
        <v>149</v>
      </c>
      <c r="B1345" s="0" t="n">
        <v>2022</v>
      </c>
      <c r="C1345" s="0" t="s">
        <v>41</v>
      </c>
      <c r="D1345" s="0" t="n">
        <v>2.01697108362</v>
      </c>
      <c r="E1345" s="0" t="s">
        <v>522</v>
      </c>
    </row>
    <row r="1346" customFormat="false" ht="15" hidden="false" customHeight="false" outlineLevel="0" collapsed="false">
      <c r="A1346" s="0" t="s">
        <v>149</v>
      </c>
      <c r="B1346" s="0" t="n">
        <v>2022</v>
      </c>
      <c r="C1346" s="0" t="s">
        <v>27</v>
      </c>
      <c r="D1346" s="0" t="n">
        <v>9.77775862679011</v>
      </c>
      <c r="E1346" s="0" t="s">
        <v>522</v>
      </c>
    </row>
    <row r="1347" customFormat="false" ht="15" hidden="false" customHeight="false" outlineLevel="0" collapsed="false">
      <c r="A1347" s="0" t="s">
        <v>149</v>
      </c>
      <c r="B1347" s="0" t="n">
        <v>2022</v>
      </c>
      <c r="C1347" s="0" t="s">
        <v>39</v>
      </c>
      <c r="D1347" s="0" t="n">
        <v>-5.28073384832231</v>
      </c>
      <c r="E1347" s="0" t="s">
        <v>522</v>
      </c>
    </row>
    <row r="1348" customFormat="false" ht="15" hidden="false" customHeight="false" outlineLevel="0" collapsed="false">
      <c r="A1348" s="0" t="s">
        <v>149</v>
      </c>
      <c r="B1348" s="0" t="n">
        <v>2022</v>
      </c>
      <c r="C1348" s="0" t="s">
        <v>17</v>
      </c>
      <c r="D1348" s="0" t="n">
        <v>2.69828258069206</v>
      </c>
      <c r="E1348" s="0" t="s">
        <v>522</v>
      </c>
    </row>
    <row r="1349" customFormat="false" ht="15" hidden="false" customHeight="false" outlineLevel="0" collapsed="false">
      <c r="A1349" s="0" t="s">
        <v>149</v>
      </c>
      <c r="B1349" s="0" t="n">
        <v>2022</v>
      </c>
      <c r="C1349" s="0" t="s">
        <v>25</v>
      </c>
      <c r="D1349" s="0" t="n">
        <v>18.4093502304356</v>
      </c>
      <c r="E1349" s="0" t="s">
        <v>522</v>
      </c>
    </row>
    <row r="1350" customFormat="false" ht="15" hidden="false" customHeight="false" outlineLevel="0" collapsed="false">
      <c r="A1350" s="0" t="s">
        <v>149</v>
      </c>
      <c r="B1350" s="0" t="n">
        <v>2022</v>
      </c>
      <c r="C1350" s="0" t="s">
        <v>29</v>
      </c>
      <c r="D1350" s="0" t="n">
        <v>0.371100735911009</v>
      </c>
      <c r="E1350" s="0" t="s">
        <v>522</v>
      </c>
    </row>
    <row r="1351" customFormat="false" ht="15" hidden="false" customHeight="false" outlineLevel="0" collapsed="false">
      <c r="A1351" s="0" t="s">
        <v>149</v>
      </c>
      <c r="B1351" s="0" t="n">
        <v>2022</v>
      </c>
      <c r="C1351" s="0" t="s">
        <v>43</v>
      </c>
      <c r="D1351" s="0" t="n">
        <v>1.93203104281682</v>
      </c>
      <c r="E1351" s="0" t="s">
        <v>522</v>
      </c>
    </row>
    <row r="1352" customFormat="false" ht="15" hidden="false" customHeight="false" outlineLevel="0" collapsed="false">
      <c r="A1352" s="0" t="s">
        <v>149</v>
      </c>
      <c r="B1352" s="0" t="n">
        <v>2022</v>
      </c>
      <c r="C1352" s="0" t="s">
        <v>31</v>
      </c>
      <c r="D1352" s="0" t="n">
        <v>90.2222413732099</v>
      </c>
      <c r="E1352" s="0" t="s">
        <v>522</v>
      </c>
    </row>
    <row r="1353" customFormat="false" ht="15" hidden="false" customHeight="false" outlineLevel="0" collapsed="false">
      <c r="A1353" s="0" t="s">
        <v>149</v>
      </c>
      <c r="B1353" s="0" t="n">
        <v>2022</v>
      </c>
      <c r="C1353" s="0" t="s">
        <v>33</v>
      </c>
      <c r="D1353" s="0" t="n">
        <v>14.8644104072979</v>
      </c>
      <c r="E1353" s="0" t="s">
        <v>522</v>
      </c>
    </row>
    <row r="1354" customFormat="false" ht="15" hidden="false" customHeight="false" outlineLevel="0" collapsed="false">
      <c r="A1354" s="0" t="s">
        <v>149</v>
      </c>
      <c r="B1354" s="0" t="n">
        <v>2022</v>
      </c>
      <c r="C1354" s="0" t="s">
        <v>21</v>
      </c>
      <c r="D1354" s="0" t="n">
        <v>0</v>
      </c>
      <c r="E1354" s="0" t="s">
        <v>522</v>
      </c>
    </row>
    <row r="1355" customFormat="false" ht="15" hidden="false" customHeight="false" outlineLevel="0" collapsed="false">
      <c r="A1355" s="0" t="s">
        <v>149</v>
      </c>
      <c r="B1355" s="0" t="n">
        <v>2022</v>
      </c>
      <c r="C1355" s="0" t="s">
        <v>35</v>
      </c>
      <c r="D1355" s="0" t="n">
        <v>0</v>
      </c>
      <c r="E1355" s="0" t="s">
        <v>522</v>
      </c>
    </row>
    <row r="1356" customFormat="false" ht="15" hidden="false" customHeight="false" outlineLevel="0" collapsed="false">
      <c r="A1356" s="0" t="s">
        <v>169</v>
      </c>
      <c r="B1356" s="0" t="n">
        <v>2013</v>
      </c>
      <c r="C1356" s="0" t="s">
        <v>54</v>
      </c>
      <c r="D1356" s="0" t="n">
        <v>8274.864</v>
      </c>
      <c r="E1356" s="0" t="s">
        <v>521</v>
      </c>
      <c r="G1356" s="0" t="s">
        <v>81</v>
      </c>
    </row>
    <row r="1357" customFormat="false" ht="15" hidden="false" customHeight="false" outlineLevel="0" collapsed="false">
      <c r="A1357" s="0" t="s">
        <v>169</v>
      </c>
      <c r="B1357" s="0" t="n">
        <v>2013</v>
      </c>
      <c r="C1357" s="0" t="s">
        <v>55</v>
      </c>
      <c r="D1357" s="0" t="n">
        <v>707797.181</v>
      </c>
      <c r="E1357" s="0" t="s">
        <v>521</v>
      </c>
      <c r="G1357" s="0" t="s">
        <v>81</v>
      </c>
    </row>
    <row r="1358" customFormat="false" ht="15" hidden="false" customHeight="false" outlineLevel="0" collapsed="false">
      <c r="A1358" s="0" t="s">
        <v>169</v>
      </c>
      <c r="B1358" s="0" t="n">
        <v>2013</v>
      </c>
      <c r="C1358" s="0" t="s">
        <v>56</v>
      </c>
      <c r="D1358" s="0" t="n">
        <v>644339.285</v>
      </c>
      <c r="E1358" s="0" t="s">
        <v>521</v>
      </c>
      <c r="G1358" s="0" t="s">
        <v>81</v>
      </c>
    </row>
    <row r="1359" customFormat="false" ht="15" hidden="false" customHeight="false" outlineLevel="0" collapsed="false">
      <c r="A1359" s="0" t="s">
        <v>169</v>
      </c>
      <c r="B1359" s="0" t="n">
        <v>2013</v>
      </c>
      <c r="C1359" s="0" t="s">
        <v>57</v>
      </c>
      <c r="D1359" s="0" t="n">
        <v>63457.896</v>
      </c>
      <c r="E1359" s="0" t="s">
        <v>521</v>
      </c>
      <c r="G1359" s="0" t="s">
        <v>81</v>
      </c>
    </row>
    <row r="1360" customFormat="false" ht="15" hidden="false" customHeight="false" outlineLevel="0" collapsed="false">
      <c r="A1360" s="0" t="s">
        <v>169</v>
      </c>
      <c r="B1360" s="0" t="n">
        <v>2013</v>
      </c>
      <c r="C1360" s="0" t="s">
        <v>58</v>
      </c>
      <c r="D1360" s="0" t="n">
        <v>-41953.972</v>
      </c>
      <c r="E1360" s="0" t="s">
        <v>521</v>
      </c>
      <c r="G1360" s="0" t="s">
        <v>81</v>
      </c>
    </row>
    <row r="1361" customFormat="false" ht="15" hidden="false" customHeight="false" outlineLevel="0" collapsed="false">
      <c r="A1361" s="0" t="s">
        <v>169</v>
      </c>
      <c r="B1361" s="0" t="n">
        <v>2013</v>
      </c>
      <c r="C1361" s="0" t="s">
        <v>60</v>
      </c>
      <c r="D1361" s="0" t="n">
        <v>328664.904</v>
      </c>
      <c r="E1361" s="0" t="s">
        <v>521</v>
      </c>
      <c r="G1361" s="0" t="s">
        <v>81</v>
      </c>
    </row>
    <row r="1362" customFormat="false" ht="15" hidden="false" customHeight="false" outlineLevel="0" collapsed="false">
      <c r="A1362" s="0" t="s">
        <v>169</v>
      </c>
      <c r="B1362" s="0" t="n">
        <v>2013</v>
      </c>
      <c r="C1362" s="0" t="s">
        <v>61</v>
      </c>
      <c r="D1362" s="0" t="n">
        <v>6921.156</v>
      </c>
      <c r="E1362" s="0" t="s">
        <v>521</v>
      </c>
      <c r="G1362" s="0" t="s">
        <v>81</v>
      </c>
    </row>
    <row r="1363" customFormat="false" ht="15" hidden="false" customHeight="false" outlineLevel="0" collapsed="false">
      <c r="A1363" s="0" t="s">
        <v>169</v>
      </c>
      <c r="B1363" s="0" t="n">
        <v>2013</v>
      </c>
      <c r="C1363" s="0" t="s">
        <v>63</v>
      </c>
      <c r="D1363" s="0" t="n">
        <v>8259.094</v>
      </c>
      <c r="E1363" s="0" t="s">
        <v>521</v>
      </c>
      <c r="G1363" s="0" t="s">
        <v>81</v>
      </c>
    </row>
    <row r="1364" customFormat="false" ht="15" hidden="false" customHeight="false" outlineLevel="0" collapsed="false">
      <c r="A1364" s="0" t="s">
        <v>169</v>
      </c>
      <c r="B1364" s="0" t="n">
        <v>2013</v>
      </c>
      <c r="C1364" s="0" t="s">
        <v>327</v>
      </c>
      <c r="D1364" s="0" t="n">
        <v>2.1</v>
      </c>
      <c r="E1364" s="0" t="s">
        <v>521</v>
      </c>
      <c r="G1364" s="0" t="s">
        <v>81</v>
      </c>
    </row>
    <row r="1365" customFormat="false" ht="15" hidden="false" customHeight="false" outlineLevel="0" collapsed="false">
      <c r="A1365" s="0" t="s">
        <v>169</v>
      </c>
      <c r="B1365" s="0" t="n">
        <v>2013</v>
      </c>
      <c r="C1365" s="0" t="s">
        <v>69</v>
      </c>
      <c r="D1365" s="0" t="n">
        <v>14</v>
      </c>
      <c r="E1365" s="0" t="s">
        <v>521</v>
      </c>
      <c r="G1365" s="0" t="s">
        <v>81</v>
      </c>
    </row>
    <row r="1366" customFormat="false" ht="15" hidden="false" customHeight="false" outlineLevel="0" collapsed="false">
      <c r="A1366" s="0" t="s">
        <v>169</v>
      </c>
      <c r="B1366" s="0" t="n">
        <v>2013</v>
      </c>
      <c r="C1366" s="0" t="s">
        <v>27</v>
      </c>
      <c r="D1366" s="0" t="n">
        <v>8.96554799926506</v>
      </c>
      <c r="E1366" s="0" t="s">
        <v>522</v>
      </c>
    </row>
    <row r="1367" customFormat="false" ht="15" hidden="false" customHeight="false" outlineLevel="0" collapsed="false">
      <c r="A1367" s="0" t="s">
        <v>169</v>
      </c>
      <c r="B1367" s="0" t="n">
        <v>2013</v>
      </c>
      <c r="C1367" s="0" t="s">
        <v>17</v>
      </c>
      <c r="D1367" s="0" t="n">
        <v>2.10583969135932</v>
      </c>
      <c r="E1367" s="0" t="s">
        <v>522</v>
      </c>
    </row>
    <row r="1368" customFormat="false" ht="15" hidden="false" customHeight="false" outlineLevel="0" collapsed="false">
      <c r="A1368" s="0" t="s">
        <v>169</v>
      </c>
      <c r="B1368" s="0" t="n">
        <v>2013</v>
      </c>
      <c r="C1368" s="0" t="s">
        <v>43</v>
      </c>
      <c r="D1368" s="0" t="n">
        <v>1.16910101115534</v>
      </c>
      <c r="E1368" s="0" t="s">
        <v>522</v>
      </c>
    </row>
    <row r="1369" customFormat="false" ht="15" hidden="false" customHeight="false" outlineLevel="0" collapsed="false">
      <c r="A1369" s="0" t="s">
        <v>169</v>
      </c>
      <c r="B1369" s="0" t="n">
        <v>2013</v>
      </c>
      <c r="C1369" s="0" t="s">
        <v>31</v>
      </c>
      <c r="D1369" s="0" t="n">
        <v>91.0344520007349</v>
      </c>
      <c r="E1369" s="0" t="s">
        <v>522</v>
      </c>
    </row>
    <row r="1370" customFormat="false" ht="15" hidden="false" customHeight="false" outlineLevel="0" collapsed="false">
      <c r="A1370" s="0" t="s">
        <v>169</v>
      </c>
      <c r="B1370" s="0" t="n">
        <v>2013</v>
      </c>
      <c r="C1370" s="0" t="s">
        <v>33</v>
      </c>
      <c r="D1370" s="0" t="n">
        <v>13.4699128641221</v>
      </c>
      <c r="E1370" s="0" t="s">
        <v>522</v>
      </c>
    </row>
    <row r="1371" customFormat="false" ht="15" hidden="false" customHeight="false" outlineLevel="0" collapsed="false">
      <c r="A1371" s="0" t="s">
        <v>169</v>
      </c>
      <c r="B1371" s="0" t="n">
        <v>2013</v>
      </c>
      <c r="C1371" s="0" t="s">
        <v>21</v>
      </c>
      <c r="D1371" s="0" t="n">
        <v>-5.0931703299284E-011</v>
      </c>
      <c r="E1371" s="0" t="s">
        <v>522</v>
      </c>
    </row>
    <row r="1372" customFormat="false" ht="15" hidden="false" customHeight="false" outlineLevel="0" collapsed="false">
      <c r="A1372" s="0" t="s">
        <v>169</v>
      </c>
      <c r="B1372" s="0" t="n">
        <v>2014</v>
      </c>
      <c r="C1372" s="0" t="s">
        <v>54</v>
      </c>
      <c r="D1372" s="0" t="n">
        <v>9004.973</v>
      </c>
      <c r="E1372" s="0" t="s">
        <v>521</v>
      </c>
      <c r="G1372" s="0" t="s">
        <v>81</v>
      </c>
    </row>
    <row r="1373" customFormat="false" ht="15" hidden="false" customHeight="false" outlineLevel="0" collapsed="false">
      <c r="A1373" s="0" t="s">
        <v>169</v>
      </c>
      <c r="B1373" s="0" t="n">
        <v>2014</v>
      </c>
      <c r="C1373" s="0" t="s">
        <v>55</v>
      </c>
      <c r="D1373" s="0" t="n">
        <v>824539.426</v>
      </c>
      <c r="E1373" s="0" t="s">
        <v>521</v>
      </c>
      <c r="G1373" s="0" t="s">
        <v>81</v>
      </c>
    </row>
    <row r="1374" customFormat="false" ht="15" hidden="false" customHeight="false" outlineLevel="0" collapsed="false">
      <c r="A1374" s="0" t="s">
        <v>169</v>
      </c>
      <c r="B1374" s="0" t="n">
        <v>2014</v>
      </c>
      <c r="C1374" s="0" t="s">
        <v>56</v>
      </c>
      <c r="D1374" s="0" t="n">
        <v>739824.141</v>
      </c>
      <c r="E1374" s="0" t="s">
        <v>521</v>
      </c>
      <c r="G1374" s="0" t="s">
        <v>81</v>
      </c>
    </row>
    <row r="1375" customFormat="false" ht="15" hidden="false" customHeight="false" outlineLevel="0" collapsed="false">
      <c r="A1375" s="0" t="s">
        <v>169</v>
      </c>
      <c r="B1375" s="0" t="n">
        <v>2014</v>
      </c>
      <c r="C1375" s="0" t="s">
        <v>57</v>
      </c>
      <c r="D1375" s="0" t="n">
        <v>84715.285</v>
      </c>
      <c r="E1375" s="0" t="s">
        <v>521</v>
      </c>
      <c r="G1375" s="0" t="s">
        <v>81</v>
      </c>
    </row>
    <row r="1376" customFormat="false" ht="15" hidden="false" customHeight="false" outlineLevel="0" collapsed="false">
      <c r="A1376" s="0" t="s">
        <v>169</v>
      </c>
      <c r="B1376" s="0" t="n">
        <v>2014</v>
      </c>
      <c r="C1376" s="0" t="s">
        <v>58</v>
      </c>
      <c r="D1376" s="0" t="n">
        <v>-755.006</v>
      </c>
      <c r="E1376" s="0" t="s">
        <v>521</v>
      </c>
      <c r="G1376" s="0" t="s">
        <v>81</v>
      </c>
    </row>
    <row r="1377" customFormat="false" ht="15" hidden="false" customHeight="false" outlineLevel="0" collapsed="false">
      <c r="A1377" s="0" t="s">
        <v>169</v>
      </c>
      <c r="B1377" s="0" t="n">
        <v>2014</v>
      </c>
      <c r="C1377" s="0" t="s">
        <v>59</v>
      </c>
      <c r="D1377" s="0" t="n">
        <v>707797.181</v>
      </c>
      <c r="E1377" s="0" t="s">
        <v>521</v>
      </c>
      <c r="G1377" s="0" t="s">
        <v>81</v>
      </c>
    </row>
    <row r="1378" customFormat="false" ht="15" hidden="false" customHeight="false" outlineLevel="0" collapsed="false">
      <c r="A1378" s="0" t="s">
        <v>169</v>
      </c>
      <c r="B1378" s="0" t="n">
        <v>2014</v>
      </c>
      <c r="C1378" s="0" t="s">
        <v>60</v>
      </c>
      <c r="D1378" s="0" t="n">
        <v>380924.4</v>
      </c>
      <c r="E1378" s="0" t="s">
        <v>521</v>
      </c>
      <c r="G1378" s="0" t="s">
        <v>81</v>
      </c>
    </row>
    <row r="1379" customFormat="false" ht="15" hidden="false" customHeight="false" outlineLevel="0" collapsed="false">
      <c r="A1379" s="0" t="s">
        <v>169</v>
      </c>
      <c r="B1379" s="0" t="n">
        <v>2014</v>
      </c>
      <c r="C1379" s="0" t="s">
        <v>61</v>
      </c>
      <c r="D1379" s="0" t="n">
        <v>9678.127</v>
      </c>
      <c r="E1379" s="0" t="s">
        <v>521</v>
      </c>
      <c r="G1379" s="0" t="s">
        <v>81</v>
      </c>
    </row>
    <row r="1380" customFormat="false" ht="15" hidden="false" customHeight="false" outlineLevel="0" collapsed="false">
      <c r="A1380" s="0" t="s">
        <v>169</v>
      </c>
      <c r="B1380" s="0" t="n">
        <v>2014</v>
      </c>
      <c r="C1380" s="0" t="s">
        <v>63</v>
      </c>
      <c r="D1380" s="0" t="n">
        <v>7389.159</v>
      </c>
      <c r="E1380" s="0" t="s">
        <v>521</v>
      </c>
      <c r="G1380" s="0" t="s">
        <v>81</v>
      </c>
    </row>
    <row r="1381" customFormat="false" ht="15" hidden="false" customHeight="false" outlineLevel="0" collapsed="false">
      <c r="A1381" s="0" t="s">
        <v>169</v>
      </c>
      <c r="B1381" s="0" t="n">
        <v>2014</v>
      </c>
      <c r="C1381" s="0" t="s">
        <v>327</v>
      </c>
      <c r="D1381" s="0" t="n">
        <v>3.1</v>
      </c>
      <c r="E1381" s="0" t="s">
        <v>521</v>
      </c>
      <c r="G1381" s="0" t="s">
        <v>81</v>
      </c>
    </row>
    <row r="1382" customFormat="false" ht="15" hidden="false" customHeight="false" outlineLevel="0" collapsed="false">
      <c r="A1382" s="0" t="s">
        <v>169</v>
      </c>
      <c r="B1382" s="0" t="n">
        <v>2014</v>
      </c>
      <c r="C1382" s="0" t="s">
        <v>69</v>
      </c>
      <c r="D1382" s="0" t="n">
        <v>14</v>
      </c>
      <c r="E1382" s="0" t="s">
        <v>521</v>
      </c>
      <c r="G1382" s="0" t="s">
        <v>81</v>
      </c>
    </row>
    <row r="1383" customFormat="false" ht="15" hidden="false" customHeight="false" outlineLevel="0" collapsed="false">
      <c r="A1383" s="0" t="s">
        <v>169</v>
      </c>
      <c r="B1383" s="0" t="n">
        <v>2014</v>
      </c>
      <c r="C1383" s="0" t="s">
        <v>71</v>
      </c>
      <c r="D1383" s="0" t="n">
        <v>34</v>
      </c>
      <c r="E1383" s="0" t="s">
        <v>521</v>
      </c>
      <c r="G1383" s="0" t="s">
        <v>81</v>
      </c>
    </row>
    <row r="1384" customFormat="false" ht="15" hidden="false" customHeight="false" outlineLevel="0" collapsed="false">
      <c r="A1384" s="0" t="s">
        <v>169</v>
      </c>
      <c r="B1384" s="0" t="n">
        <v>2014</v>
      </c>
      <c r="C1384" s="0" t="s">
        <v>73</v>
      </c>
      <c r="D1384" s="0" t="n">
        <v>0</v>
      </c>
      <c r="E1384" s="0" t="s">
        <v>539</v>
      </c>
      <c r="F1384" s="0" t="s">
        <v>363</v>
      </c>
      <c r="G1384" s="0" t="s">
        <v>1224</v>
      </c>
      <c r="H1384" s="0" t="s">
        <v>372</v>
      </c>
    </row>
    <row r="1385" customFormat="false" ht="15" hidden="false" customHeight="false" outlineLevel="0" collapsed="false">
      <c r="A1385" s="0" t="s">
        <v>169</v>
      </c>
      <c r="B1385" s="0" t="n">
        <v>2014</v>
      </c>
      <c r="C1385" s="0" t="s">
        <v>19</v>
      </c>
      <c r="D1385" s="0" t="n">
        <v>766168.3035</v>
      </c>
      <c r="E1385" s="0" t="s">
        <v>522</v>
      </c>
    </row>
    <row r="1386" customFormat="false" ht="15" hidden="false" customHeight="false" outlineLevel="0" collapsed="false">
      <c r="A1386" s="0" t="s">
        <v>169</v>
      </c>
      <c r="B1386" s="0" t="n">
        <v>2014</v>
      </c>
      <c r="C1386" s="0" t="s">
        <v>41</v>
      </c>
      <c r="D1386" s="0" t="n">
        <v>1.17532570309469</v>
      </c>
      <c r="E1386" s="0" t="s">
        <v>522</v>
      </c>
    </row>
    <row r="1387" customFormat="false" ht="15" hidden="false" customHeight="false" outlineLevel="0" collapsed="false">
      <c r="A1387" s="0" t="s">
        <v>169</v>
      </c>
      <c r="B1387" s="0" t="n">
        <v>2014</v>
      </c>
      <c r="C1387" s="0" t="s">
        <v>27</v>
      </c>
      <c r="D1387" s="0" t="n">
        <v>10.274255217967</v>
      </c>
      <c r="E1387" s="0" t="s">
        <v>522</v>
      </c>
    </row>
    <row r="1388" customFormat="false" ht="15" hidden="false" customHeight="false" outlineLevel="0" collapsed="false">
      <c r="A1388" s="0" t="s">
        <v>169</v>
      </c>
      <c r="B1388" s="0" t="n">
        <v>2014</v>
      </c>
      <c r="C1388" s="0" t="s">
        <v>39</v>
      </c>
      <c r="D1388" s="0" t="n">
        <v>-0.0985431003280861</v>
      </c>
      <c r="E1388" s="0" t="s">
        <v>522</v>
      </c>
    </row>
    <row r="1389" customFormat="false" ht="15" hidden="false" customHeight="false" outlineLevel="0" collapsed="false">
      <c r="A1389" s="0" t="s">
        <v>169</v>
      </c>
      <c r="B1389" s="0" t="n">
        <v>2014</v>
      </c>
      <c r="C1389" s="0" t="s">
        <v>17</v>
      </c>
      <c r="D1389" s="0" t="n">
        <v>2.54069495154419</v>
      </c>
      <c r="E1389" s="0" t="s">
        <v>522</v>
      </c>
    </row>
    <row r="1390" customFormat="false" ht="15" hidden="false" customHeight="false" outlineLevel="0" collapsed="false">
      <c r="A1390" s="0" t="s">
        <v>169</v>
      </c>
      <c r="B1390" s="0" t="n">
        <v>2014</v>
      </c>
      <c r="C1390" s="0" t="s">
        <v>29</v>
      </c>
      <c r="D1390" s="0" t="n">
        <v>0.964430265027272</v>
      </c>
      <c r="E1390" s="0" t="s">
        <v>522</v>
      </c>
    </row>
    <row r="1391" customFormat="false" ht="15" hidden="false" customHeight="false" outlineLevel="0" collapsed="false">
      <c r="A1391" s="0" t="s">
        <v>169</v>
      </c>
      <c r="B1391" s="0" t="n">
        <v>2014</v>
      </c>
      <c r="C1391" s="0" t="s">
        <v>43</v>
      </c>
      <c r="D1391" s="0" t="n">
        <v>1.0921215791566</v>
      </c>
      <c r="E1391" s="0" t="s">
        <v>522</v>
      </c>
    </row>
    <row r="1392" customFormat="false" ht="15" hidden="false" customHeight="false" outlineLevel="0" collapsed="false">
      <c r="A1392" s="0" t="s">
        <v>169</v>
      </c>
      <c r="B1392" s="0" t="n">
        <v>2014</v>
      </c>
      <c r="C1392" s="0" t="s">
        <v>31</v>
      </c>
      <c r="D1392" s="0" t="n">
        <v>89.725744782033</v>
      </c>
      <c r="E1392" s="0" t="s">
        <v>522</v>
      </c>
    </row>
    <row r="1393" customFormat="false" ht="15" hidden="false" customHeight="false" outlineLevel="0" collapsed="false">
      <c r="A1393" s="0" t="s">
        <v>169</v>
      </c>
      <c r="B1393" s="0" t="n">
        <v>2014</v>
      </c>
      <c r="C1393" s="0" t="s">
        <v>33</v>
      </c>
      <c r="D1393" s="0" t="n">
        <v>13.6225802379101</v>
      </c>
      <c r="E1393" s="0" t="s">
        <v>522</v>
      </c>
    </row>
    <row r="1394" customFormat="false" ht="15" hidden="false" customHeight="false" outlineLevel="0" collapsed="false">
      <c r="A1394" s="0" t="s">
        <v>169</v>
      </c>
      <c r="B1394" s="0" t="n">
        <v>2014</v>
      </c>
      <c r="C1394" s="0" t="s">
        <v>21</v>
      </c>
      <c r="D1394" s="0" t="n">
        <v>2.91038304567337E-011</v>
      </c>
      <c r="E1394" s="0" t="s">
        <v>522</v>
      </c>
    </row>
    <row r="1395" customFormat="false" ht="15" hidden="false" customHeight="false" outlineLevel="0" collapsed="false">
      <c r="A1395" s="0" t="s">
        <v>169</v>
      </c>
      <c r="B1395" s="0" t="n">
        <v>2015</v>
      </c>
      <c r="C1395" s="0" t="s">
        <v>54</v>
      </c>
      <c r="D1395" s="0" t="n">
        <v>10292.577</v>
      </c>
      <c r="E1395" s="0" t="s">
        <v>523</v>
      </c>
      <c r="F1395" s="0" t="s">
        <v>524</v>
      </c>
      <c r="G1395" s="0" t="s">
        <v>84</v>
      </c>
      <c r="H1395" s="0" t="s">
        <v>1225</v>
      </c>
    </row>
    <row r="1396" customFormat="false" ht="15" hidden="false" customHeight="false" outlineLevel="0" collapsed="false">
      <c r="A1396" s="0" t="s">
        <v>169</v>
      </c>
      <c r="B1396" s="0" t="n">
        <v>2015</v>
      </c>
      <c r="C1396" s="0" t="s">
        <v>55</v>
      </c>
      <c r="D1396" s="0" t="n">
        <v>799451.417</v>
      </c>
      <c r="E1396" s="0" t="s">
        <v>539</v>
      </c>
      <c r="F1396" s="0" t="s">
        <v>524</v>
      </c>
      <c r="G1396" s="0" t="s">
        <v>84</v>
      </c>
      <c r="H1396" s="0" t="s">
        <v>1226</v>
      </c>
    </row>
    <row r="1397" customFormat="false" ht="15" hidden="false" customHeight="false" outlineLevel="0" collapsed="false">
      <c r="A1397" s="0" t="s">
        <v>169</v>
      </c>
      <c r="B1397" s="0" t="n">
        <v>2015</v>
      </c>
      <c r="C1397" s="0" t="s">
        <v>56</v>
      </c>
      <c r="D1397" s="0" t="n">
        <v>703885.67</v>
      </c>
      <c r="E1397" s="0" t="s">
        <v>539</v>
      </c>
      <c r="F1397" s="0" t="s">
        <v>524</v>
      </c>
      <c r="G1397" s="0" t="s">
        <v>84</v>
      </c>
      <c r="H1397" s="0" t="s">
        <v>1227</v>
      </c>
    </row>
    <row r="1398" customFormat="false" ht="15" hidden="false" customHeight="false" outlineLevel="0" collapsed="false">
      <c r="A1398" s="0" t="s">
        <v>169</v>
      </c>
      <c r="B1398" s="0" t="n">
        <v>2015</v>
      </c>
      <c r="C1398" s="0" t="s">
        <v>57</v>
      </c>
      <c r="D1398" s="0" t="n">
        <v>95565.747</v>
      </c>
      <c r="E1398" s="0" t="s">
        <v>539</v>
      </c>
      <c r="F1398" s="0" t="s">
        <v>524</v>
      </c>
      <c r="G1398" s="0" t="s">
        <v>84</v>
      </c>
      <c r="H1398" s="0" t="s">
        <v>1228</v>
      </c>
    </row>
    <row r="1399" customFormat="false" ht="15" hidden="false" customHeight="false" outlineLevel="0" collapsed="false">
      <c r="A1399" s="0" t="s">
        <v>169</v>
      </c>
      <c r="B1399" s="0" t="n">
        <v>2015</v>
      </c>
      <c r="C1399" s="0" t="s">
        <v>58</v>
      </c>
      <c r="D1399" s="0" t="n">
        <v>54691.995</v>
      </c>
      <c r="E1399" s="0" t="s">
        <v>523</v>
      </c>
      <c r="F1399" s="0" t="s">
        <v>524</v>
      </c>
      <c r="G1399" s="0" t="s">
        <v>84</v>
      </c>
      <c r="H1399" s="0" t="s">
        <v>1229</v>
      </c>
    </row>
    <row r="1400" customFormat="false" ht="15" hidden="false" customHeight="false" outlineLevel="0" collapsed="false">
      <c r="A1400" s="0" t="s">
        <v>169</v>
      </c>
      <c r="B1400" s="0" t="n">
        <v>2015</v>
      </c>
      <c r="C1400" s="0" t="s">
        <v>59</v>
      </c>
      <c r="D1400" s="0" t="n">
        <v>824539.426</v>
      </c>
      <c r="E1400" s="0" t="s">
        <v>539</v>
      </c>
      <c r="F1400" s="0" t="s">
        <v>524</v>
      </c>
      <c r="G1400" s="0" t="s">
        <v>84</v>
      </c>
      <c r="H1400" s="0" t="s">
        <v>1230</v>
      </c>
    </row>
    <row r="1401" customFormat="false" ht="15" hidden="false" customHeight="false" outlineLevel="0" collapsed="false">
      <c r="A1401" s="0" t="s">
        <v>169</v>
      </c>
      <c r="B1401" s="0" t="n">
        <v>2015</v>
      </c>
      <c r="C1401" s="0" t="s">
        <v>60</v>
      </c>
      <c r="D1401" s="0" t="n">
        <v>354474.856</v>
      </c>
      <c r="E1401" s="0" t="s">
        <v>523</v>
      </c>
      <c r="F1401" s="0" t="s">
        <v>524</v>
      </c>
      <c r="G1401" s="0" t="s">
        <v>84</v>
      </c>
      <c r="H1401" s="0" t="s">
        <v>1231</v>
      </c>
    </row>
    <row r="1402" customFormat="false" ht="15" hidden="false" customHeight="false" outlineLevel="0" collapsed="false">
      <c r="A1402" s="0" t="s">
        <v>169</v>
      </c>
      <c r="B1402" s="0" t="n">
        <v>2015</v>
      </c>
      <c r="C1402" s="0" t="s">
        <v>61</v>
      </c>
      <c r="D1402" s="0" t="n">
        <v>15748.585</v>
      </c>
      <c r="E1402" s="0" t="s">
        <v>979</v>
      </c>
      <c r="F1402" s="0" t="s">
        <v>524</v>
      </c>
      <c r="G1402" s="0" t="s">
        <v>84</v>
      </c>
      <c r="H1402" s="0" t="s">
        <v>1232</v>
      </c>
    </row>
    <row r="1403" customFormat="false" ht="15" hidden="false" customHeight="false" outlineLevel="0" collapsed="false">
      <c r="A1403" s="0" t="s">
        <v>169</v>
      </c>
      <c r="B1403" s="0" t="n">
        <v>2015</v>
      </c>
      <c r="C1403" s="0" t="s">
        <v>62</v>
      </c>
      <c r="D1403" s="0" t="n">
        <v>338726.271</v>
      </c>
      <c r="E1403" s="0" t="s">
        <v>523</v>
      </c>
      <c r="F1403" s="0" t="s">
        <v>524</v>
      </c>
      <c r="G1403" s="0" t="s">
        <v>84</v>
      </c>
      <c r="H1403" s="0" t="s">
        <v>1233</v>
      </c>
    </row>
    <row r="1404" customFormat="false" ht="15" hidden="false" customHeight="false" outlineLevel="0" collapsed="false">
      <c r="A1404" s="0" t="s">
        <v>169</v>
      </c>
      <c r="B1404" s="0" t="n">
        <v>2015</v>
      </c>
      <c r="C1404" s="0" t="s">
        <v>63</v>
      </c>
      <c r="D1404" s="0" t="n">
        <v>8151.338</v>
      </c>
      <c r="E1404" s="0" t="s">
        <v>523</v>
      </c>
      <c r="F1404" s="0" t="s">
        <v>524</v>
      </c>
      <c r="G1404" s="0" t="s">
        <v>84</v>
      </c>
      <c r="H1404" s="0" t="s">
        <v>1234</v>
      </c>
    </row>
    <row r="1405" customFormat="false" ht="15" hidden="false" customHeight="false" outlineLevel="0" collapsed="false">
      <c r="A1405" s="0" t="s">
        <v>169</v>
      </c>
      <c r="B1405" s="0" t="n">
        <v>2015</v>
      </c>
      <c r="C1405" s="0" t="s">
        <v>69</v>
      </c>
      <c r="D1405" s="0" t="n">
        <v>17.49</v>
      </c>
      <c r="E1405" s="0" t="s">
        <v>523</v>
      </c>
      <c r="F1405" s="0" t="s">
        <v>524</v>
      </c>
      <c r="G1405" s="0" t="s">
        <v>84</v>
      </c>
      <c r="H1405" s="0" t="s">
        <v>1235</v>
      </c>
    </row>
    <row r="1406" customFormat="false" ht="15" hidden="false" customHeight="false" outlineLevel="0" collapsed="false">
      <c r="A1406" s="0" t="s">
        <v>169</v>
      </c>
      <c r="B1406" s="0" t="n">
        <v>2015</v>
      </c>
      <c r="C1406" s="0" t="s">
        <v>70</v>
      </c>
      <c r="D1406" s="0" t="n">
        <v>10</v>
      </c>
      <c r="E1406" s="0" t="s">
        <v>523</v>
      </c>
      <c r="F1406" s="0" t="s">
        <v>524</v>
      </c>
      <c r="G1406" s="0" t="s">
        <v>84</v>
      </c>
      <c r="H1406" s="0" t="s">
        <v>1236</v>
      </c>
    </row>
    <row r="1407" customFormat="false" ht="15" hidden="false" customHeight="false" outlineLevel="0" collapsed="false">
      <c r="A1407" s="0" t="s">
        <v>169</v>
      </c>
      <c r="B1407" s="0" t="n">
        <v>2015</v>
      </c>
      <c r="C1407" s="0" t="s">
        <v>65</v>
      </c>
      <c r="D1407" s="0" t="n">
        <v>85262.476</v>
      </c>
      <c r="E1407" s="0" t="s">
        <v>523</v>
      </c>
      <c r="F1407" s="0" t="s">
        <v>524</v>
      </c>
      <c r="G1407" s="0" t="s">
        <v>84</v>
      </c>
      <c r="H1407" s="0" t="s">
        <v>1237</v>
      </c>
    </row>
    <row r="1408" customFormat="false" ht="15" hidden="false" customHeight="false" outlineLevel="0" collapsed="false">
      <c r="A1408" s="0" t="s">
        <v>169</v>
      </c>
      <c r="B1408" s="0" t="n">
        <v>2015</v>
      </c>
      <c r="C1408" s="0" t="s">
        <v>66</v>
      </c>
      <c r="D1408" s="0" t="n">
        <v>487486.579</v>
      </c>
      <c r="E1408" s="0" t="s">
        <v>523</v>
      </c>
      <c r="F1408" s="0" t="s">
        <v>524</v>
      </c>
      <c r="G1408" s="0" t="s">
        <v>84</v>
      </c>
      <c r="H1408" s="0" t="s">
        <v>1238</v>
      </c>
    </row>
    <row r="1409" customFormat="false" ht="15" hidden="false" customHeight="false" outlineLevel="0" collapsed="false">
      <c r="A1409" s="0" t="s">
        <v>169</v>
      </c>
      <c r="B1409" s="0" t="n">
        <v>2015</v>
      </c>
      <c r="C1409" s="0" t="s">
        <v>73</v>
      </c>
      <c r="D1409" s="0" t="n">
        <v>0</v>
      </c>
      <c r="E1409" s="0" t="s">
        <v>539</v>
      </c>
      <c r="F1409" s="0" t="s">
        <v>524</v>
      </c>
      <c r="G1409" s="0" t="s">
        <v>84</v>
      </c>
      <c r="H1409" s="0" t="s">
        <v>1239</v>
      </c>
    </row>
    <row r="1410" customFormat="false" ht="15" hidden="false" customHeight="false" outlineLevel="0" collapsed="false">
      <c r="A1410" s="0" t="s">
        <v>169</v>
      </c>
      <c r="B1410" s="0" t="n">
        <v>2015</v>
      </c>
      <c r="C1410" s="0" t="s">
        <v>541</v>
      </c>
      <c r="D1410" s="0" t="n">
        <v>11016.301</v>
      </c>
      <c r="E1410" s="0" t="s">
        <v>523</v>
      </c>
      <c r="F1410" s="0" t="s">
        <v>524</v>
      </c>
      <c r="G1410" s="0" t="s">
        <v>84</v>
      </c>
      <c r="H1410" s="0" t="s">
        <v>1240</v>
      </c>
    </row>
    <row r="1411" customFormat="false" ht="15" hidden="false" customHeight="false" outlineLevel="0" collapsed="false">
      <c r="A1411" s="0" t="s">
        <v>169</v>
      </c>
      <c r="B1411" s="0" t="n">
        <v>2015</v>
      </c>
      <c r="C1411" s="0" t="s">
        <v>543</v>
      </c>
      <c r="D1411" s="0" t="n">
        <v>11566.682</v>
      </c>
      <c r="E1411" s="0" t="s">
        <v>523</v>
      </c>
      <c r="F1411" s="0" t="s">
        <v>524</v>
      </c>
      <c r="G1411" s="0" t="s">
        <v>84</v>
      </c>
      <c r="H1411" s="0" t="s">
        <v>1241</v>
      </c>
    </row>
    <row r="1412" customFormat="false" ht="15" hidden="false" customHeight="false" outlineLevel="0" collapsed="false">
      <c r="A1412" s="0" t="s">
        <v>169</v>
      </c>
      <c r="B1412" s="0" t="n">
        <v>2015</v>
      </c>
      <c r="C1412" s="0" t="s">
        <v>545</v>
      </c>
      <c r="D1412" s="0" t="n">
        <v>4181.903</v>
      </c>
      <c r="E1412" s="0" t="s">
        <v>523</v>
      </c>
      <c r="F1412" s="0" t="s">
        <v>524</v>
      </c>
      <c r="G1412" s="0" t="s">
        <v>84</v>
      </c>
      <c r="H1412" s="0" t="s">
        <v>1242</v>
      </c>
    </row>
    <row r="1413" customFormat="false" ht="15" hidden="false" customHeight="false" outlineLevel="0" collapsed="false">
      <c r="A1413" s="0" t="s">
        <v>169</v>
      </c>
      <c r="B1413" s="0" t="n">
        <v>2015</v>
      </c>
      <c r="C1413" s="0" t="s">
        <v>19</v>
      </c>
      <c r="D1413" s="0" t="n">
        <v>811995.4215</v>
      </c>
      <c r="E1413" s="0" t="s">
        <v>522</v>
      </c>
    </row>
    <row r="1414" customFormat="false" ht="15" hidden="false" customHeight="false" outlineLevel="0" collapsed="false">
      <c r="A1414" s="0" t="s">
        <v>169</v>
      </c>
      <c r="B1414" s="0" t="n">
        <v>2015</v>
      </c>
      <c r="C1414" s="0" t="s">
        <v>41</v>
      </c>
      <c r="D1414" s="0" t="n">
        <v>1.26756589107196</v>
      </c>
      <c r="E1414" s="0" t="s">
        <v>522</v>
      </c>
    </row>
    <row r="1415" customFormat="false" ht="15" hidden="false" customHeight="false" outlineLevel="0" collapsed="false">
      <c r="A1415" s="0" t="s">
        <v>169</v>
      </c>
      <c r="B1415" s="0" t="n">
        <v>2015</v>
      </c>
      <c r="C1415" s="0" t="s">
        <v>27</v>
      </c>
      <c r="D1415" s="0" t="n">
        <v>11.9539155185461</v>
      </c>
      <c r="E1415" s="0" t="s">
        <v>522</v>
      </c>
    </row>
    <row r="1416" customFormat="false" ht="15" hidden="false" customHeight="false" outlineLevel="0" collapsed="false">
      <c r="A1416" s="0" t="s">
        <v>169</v>
      </c>
      <c r="B1416" s="0" t="n">
        <v>2015</v>
      </c>
      <c r="C1416" s="0" t="s">
        <v>39</v>
      </c>
      <c r="D1416" s="0" t="n">
        <v>6.73550534299411</v>
      </c>
      <c r="E1416" s="0" t="s">
        <v>522</v>
      </c>
    </row>
    <row r="1417" customFormat="false" ht="15" hidden="false" customHeight="false" outlineLevel="0" collapsed="false">
      <c r="A1417" s="0" t="s">
        <v>169</v>
      </c>
      <c r="B1417" s="0" t="n">
        <v>2015</v>
      </c>
      <c r="C1417" s="0" t="s">
        <v>17</v>
      </c>
      <c r="D1417" s="0" t="n">
        <v>4.44279325696376</v>
      </c>
      <c r="E1417" s="0" t="s">
        <v>522</v>
      </c>
    </row>
    <row r="1418" customFormat="false" ht="15" hidden="false" customHeight="false" outlineLevel="0" collapsed="false">
      <c r="A1418" s="0" t="s">
        <v>169</v>
      </c>
      <c r="B1418" s="0" t="n">
        <v>2015</v>
      </c>
      <c r="C1418" s="0" t="s">
        <v>25</v>
      </c>
      <c r="D1418" s="0" t="n">
        <v>17.4902201769128</v>
      </c>
      <c r="E1418" s="0" t="s">
        <v>522</v>
      </c>
    </row>
    <row r="1419" customFormat="false" ht="15" hidden="false" customHeight="false" outlineLevel="0" collapsed="false">
      <c r="A1419" s="0" t="s">
        <v>169</v>
      </c>
      <c r="B1419" s="0" t="n">
        <v>2015</v>
      </c>
      <c r="C1419" s="0" t="s">
        <v>29</v>
      </c>
      <c r="D1419" s="0" t="n">
        <v>1.00386501994581</v>
      </c>
      <c r="E1419" s="0" t="s">
        <v>522</v>
      </c>
    </row>
    <row r="1420" customFormat="false" ht="15" hidden="false" customHeight="false" outlineLevel="0" collapsed="false">
      <c r="A1420" s="0" t="s">
        <v>169</v>
      </c>
      <c r="B1420" s="0" t="n">
        <v>2015</v>
      </c>
      <c r="C1420" s="0" t="s">
        <v>43</v>
      </c>
      <c r="D1420" s="0" t="n">
        <v>1.28745496988718</v>
      </c>
      <c r="E1420" s="0" t="s">
        <v>522</v>
      </c>
    </row>
    <row r="1421" customFormat="false" ht="15" hidden="false" customHeight="false" outlineLevel="0" collapsed="false">
      <c r="A1421" s="0" t="s">
        <v>169</v>
      </c>
      <c r="B1421" s="0" t="n">
        <v>2015</v>
      </c>
      <c r="C1421" s="0" t="s">
        <v>31</v>
      </c>
      <c r="D1421" s="0" t="n">
        <v>88.0460844814539</v>
      </c>
      <c r="E1421" s="0" t="s">
        <v>522</v>
      </c>
    </row>
    <row r="1422" customFormat="false" ht="15" hidden="false" customHeight="false" outlineLevel="0" collapsed="false">
      <c r="A1422" s="0" t="s">
        <v>169</v>
      </c>
      <c r="B1422" s="0" t="n">
        <v>2015</v>
      </c>
      <c r="C1422" s="0" t="s">
        <v>33</v>
      </c>
      <c r="D1422" s="0" t="n">
        <v>13.5916810426806</v>
      </c>
      <c r="E1422" s="0" t="s">
        <v>522</v>
      </c>
    </row>
    <row r="1423" customFormat="false" ht="15" hidden="false" customHeight="false" outlineLevel="0" collapsed="false">
      <c r="A1423" s="0" t="s">
        <v>169</v>
      </c>
      <c r="B1423" s="0" t="n">
        <v>2015</v>
      </c>
      <c r="C1423" s="0" t="s">
        <v>21</v>
      </c>
      <c r="D1423" s="0" t="n">
        <v>-2.91038304567337E-011</v>
      </c>
      <c r="E1423" s="0" t="s">
        <v>522</v>
      </c>
    </row>
    <row r="1424" customFormat="false" ht="15" hidden="false" customHeight="false" outlineLevel="0" collapsed="false">
      <c r="A1424" s="0" t="s">
        <v>169</v>
      </c>
      <c r="B1424" s="0" t="n">
        <v>2015</v>
      </c>
      <c r="C1424" s="0" t="s">
        <v>35</v>
      </c>
      <c r="D1424" s="0" t="n">
        <v>0</v>
      </c>
      <c r="E1424" s="0" t="s">
        <v>522</v>
      </c>
    </row>
    <row r="1425" customFormat="false" ht="15" hidden="false" customHeight="false" outlineLevel="0" collapsed="false">
      <c r="A1425" s="0" t="s">
        <v>169</v>
      </c>
      <c r="B1425" s="0" t="n">
        <v>2016</v>
      </c>
      <c r="C1425" s="0" t="s">
        <v>54</v>
      </c>
      <c r="D1425" s="0" t="n">
        <v>5180.964</v>
      </c>
      <c r="E1425" s="0" t="s">
        <v>539</v>
      </c>
      <c r="F1425" s="0" t="s">
        <v>524</v>
      </c>
      <c r="G1425" s="0" t="s">
        <v>87</v>
      </c>
      <c r="H1425" s="0" t="s">
        <v>1243</v>
      </c>
    </row>
    <row r="1426" customFormat="false" ht="15" hidden="false" customHeight="false" outlineLevel="0" collapsed="false">
      <c r="A1426" s="0" t="s">
        <v>169</v>
      </c>
      <c r="B1426" s="0" t="n">
        <v>2016</v>
      </c>
      <c r="C1426" s="0" t="s">
        <v>55</v>
      </c>
      <c r="D1426" s="0" t="n">
        <v>830802.224</v>
      </c>
      <c r="E1426" s="0" t="s">
        <v>539</v>
      </c>
      <c r="F1426" s="0" t="s">
        <v>524</v>
      </c>
      <c r="G1426" s="0" t="s">
        <v>87</v>
      </c>
      <c r="H1426" s="0" t="s">
        <v>1244</v>
      </c>
    </row>
    <row r="1427" customFormat="false" ht="15" hidden="false" customHeight="false" outlineLevel="0" collapsed="false">
      <c r="A1427" s="0" t="s">
        <v>169</v>
      </c>
      <c r="B1427" s="0" t="n">
        <v>2016</v>
      </c>
      <c r="C1427" s="0" t="s">
        <v>56</v>
      </c>
      <c r="D1427" s="0" t="n">
        <v>745123.602</v>
      </c>
      <c r="E1427" s="0" t="s">
        <v>539</v>
      </c>
      <c r="F1427" s="0" t="s">
        <v>524</v>
      </c>
      <c r="G1427" s="0" t="s">
        <v>87</v>
      </c>
      <c r="H1427" s="0" t="s">
        <v>1245</v>
      </c>
    </row>
    <row r="1428" customFormat="false" ht="15" hidden="false" customHeight="false" outlineLevel="0" collapsed="false">
      <c r="A1428" s="0" t="s">
        <v>169</v>
      </c>
      <c r="B1428" s="0" t="n">
        <v>2016</v>
      </c>
      <c r="C1428" s="0" t="s">
        <v>57</v>
      </c>
      <c r="D1428" s="0" t="n">
        <v>85678.622</v>
      </c>
      <c r="E1428" s="0" t="s">
        <v>539</v>
      </c>
      <c r="F1428" s="0" t="s">
        <v>524</v>
      </c>
      <c r="G1428" s="0" t="s">
        <v>87</v>
      </c>
      <c r="H1428" s="0" t="s">
        <v>1246</v>
      </c>
    </row>
    <row r="1429" customFormat="false" ht="15" hidden="false" customHeight="false" outlineLevel="0" collapsed="false">
      <c r="A1429" s="0" t="s">
        <v>169</v>
      </c>
      <c r="B1429" s="0" t="n">
        <v>2016</v>
      </c>
      <c r="C1429" s="0" t="s">
        <v>58</v>
      </c>
      <c r="D1429" s="0" t="n">
        <v>-124892.482</v>
      </c>
      <c r="E1429" s="0" t="s">
        <v>523</v>
      </c>
      <c r="F1429" s="0" t="s">
        <v>524</v>
      </c>
      <c r="G1429" s="0" t="s">
        <v>87</v>
      </c>
      <c r="H1429" s="0" t="s">
        <v>1247</v>
      </c>
    </row>
    <row r="1430" customFormat="false" ht="15" hidden="false" customHeight="false" outlineLevel="0" collapsed="false">
      <c r="A1430" s="0" t="s">
        <v>169</v>
      </c>
      <c r="B1430" s="0" t="n">
        <v>2016</v>
      </c>
      <c r="C1430" s="0" t="s">
        <v>59</v>
      </c>
      <c r="D1430" s="0" t="n">
        <v>799451.417</v>
      </c>
      <c r="E1430" s="0" t="s">
        <v>539</v>
      </c>
      <c r="F1430" s="0" t="s">
        <v>524</v>
      </c>
      <c r="G1430" s="0" t="s">
        <v>87</v>
      </c>
      <c r="H1430" s="0" t="s">
        <v>1248</v>
      </c>
    </row>
    <row r="1431" customFormat="false" ht="15" hidden="false" customHeight="false" outlineLevel="0" collapsed="false">
      <c r="A1431" s="0" t="s">
        <v>169</v>
      </c>
      <c r="B1431" s="0" t="n">
        <v>2016</v>
      </c>
      <c r="C1431" s="0" t="s">
        <v>60</v>
      </c>
      <c r="D1431" s="0" t="n">
        <v>476713.163</v>
      </c>
      <c r="E1431" s="0" t="s">
        <v>523</v>
      </c>
      <c r="F1431" s="0" t="s">
        <v>524</v>
      </c>
      <c r="G1431" s="0" t="s">
        <v>87</v>
      </c>
      <c r="H1431" s="0" t="s">
        <v>1249</v>
      </c>
    </row>
    <row r="1432" customFormat="false" ht="15" hidden="false" customHeight="false" outlineLevel="0" collapsed="false">
      <c r="A1432" s="0" t="s">
        <v>169</v>
      </c>
      <c r="B1432" s="0" t="n">
        <v>2016</v>
      </c>
      <c r="C1432" s="0" t="s">
        <v>61</v>
      </c>
      <c r="D1432" s="0" t="n">
        <v>8463.293</v>
      </c>
      <c r="E1432" s="0" t="s">
        <v>979</v>
      </c>
      <c r="F1432" s="0" t="s">
        <v>524</v>
      </c>
      <c r="G1432" s="0" t="s">
        <v>87</v>
      </c>
      <c r="H1432" s="0" t="s">
        <v>1250</v>
      </c>
    </row>
    <row r="1433" customFormat="false" ht="15" hidden="false" customHeight="false" outlineLevel="0" collapsed="false">
      <c r="A1433" s="0" t="s">
        <v>169</v>
      </c>
      <c r="B1433" s="0" t="n">
        <v>2016</v>
      </c>
      <c r="C1433" s="0" t="s">
        <v>62</v>
      </c>
      <c r="D1433" s="0" t="n">
        <v>468249.87</v>
      </c>
      <c r="E1433" s="0" t="s">
        <v>523</v>
      </c>
      <c r="F1433" s="0" t="s">
        <v>524</v>
      </c>
      <c r="G1433" s="0" t="s">
        <v>87</v>
      </c>
      <c r="H1433" s="0" t="s">
        <v>1251</v>
      </c>
    </row>
    <row r="1434" customFormat="false" ht="15" hidden="false" customHeight="false" outlineLevel="0" collapsed="false">
      <c r="A1434" s="0" t="s">
        <v>169</v>
      </c>
      <c r="B1434" s="0" t="n">
        <v>2016</v>
      </c>
      <c r="C1434" s="0" t="s">
        <v>63</v>
      </c>
      <c r="D1434" s="0" t="n">
        <v>11713.968</v>
      </c>
      <c r="E1434" s="0" t="s">
        <v>539</v>
      </c>
      <c r="F1434" s="0" t="s">
        <v>524</v>
      </c>
      <c r="G1434" s="0" t="s">
        <v>87</v>
      </c>
      <c r="H1434" s="0" t="s">
        <v>1252</v>
      </c>
    </row>
    <row r="1435" customFormat="false" ht="15" hidden="false" customHeight="false" outlineLevel="0" collapsed="false">
      <c r="A1435" s="0" t="s">
        <v>169</v>
      </c>
      <c r="B1435" s="0" t="n">
        <v>2016</v>
      </c>
      <c r="C1435" s="0" t="s">
        <v>69</v>
      </c>
      <c r="D1435" s="0" t="n">
        <v>10.66</v>
      </c>
      <c r="E1435" s="0" t="s">
        <v>523</v>
      </c>
      <c r="F1435" s="0" t="s">
        <v>524</v>
      </c>
      <c r="G1435" s="0" t="s">
        <v>87</v>
      </c>
      <c r="H1435" s="0" t="s">
        <v>1253</v>
      </c>
    </row>
    <row r="1436" customFormat="false" ht="15" hidden="false" customHeight="false" outlineLevel="0" collapsed="false">
      <c r="A1436" s="0" t="s">
        <v>169</v>
      </c>
      <c r="B1436" s="0" t="n">
        <v>2016</v>
      </c>
      <c r="C1436" s="0" t="s">
        <v>70</v>
      </c>
      <c r="D1436" s="0" t="n">
        <v>10</v>
      </c>
      <c r="E1436" s="0" t="s">
        <v>523</v>
      </c>
      <c r="F1436" s="0" t="s">
        <v>524</v>
      </c>
      <c r="G1436" s="0" t="s">
        <v>87</v>
      </c>
      <c r="H1436" s="0" t="s">
        <v>1254</v>
      </c>
    </row>
    <row r="1437" customFormat="false" ht="15" hidden="false" customHeight="false" outlineLevel="0" collapsed="false">
      <c r="A1437" s="0" t="s">
        <v>169</v>
      </c>
      <c r="B1437" s="0" t="n">
        <v>2016</v>
      </c>
      <c r="C1437" s="0" t="s">
        <v>65</v>
      </c>
      <c r="D1437" s="0" t="n">
        <v>72046.139</v>
      </c>
      <c r="E1437" s="0" t="s">
        <v>523</v>
      </c>
      <c r="F1437" s="0" t="s">
        <v>524</v>
      </c>
      <c r="G1437" s="0" t="s">
        <v>87</v>
      </c>
      <c r="H1437" s="0" t="s">
        <v>1255</v>
      </c>
    </row>
    <row r="1438" customFormat="false" ht="15" hidden="false" customHeight="false" outlineLevel="0" collapsed="false">
      <c r="A1438" s="0" t="s">
        <v>169</v>
      </c>
      <c r="B1438" s="0" t="n">
        <v>2016</v>
      </c>
      <c r="C1438" s="0" t="s">
        <v>66</v>
      </c>
      <c r="D1438" s="0" t="n">
        <v>675917.677</v>
      </c>
      <c r="E1438" s="0" t="s">
        <v>523</v>
      </c>
      <c r="F1438" s="0" t="s">
        <v>524</v>
      </c>
      <c r="G1438" s="0" t="s">
        <v>87</v>
      </c>
      <c r="H1438" s="0" t="s">
        <v>1256</v>
      </c>
    </row>
    <row r="1439" customFormat="false" ht="15" hidden="false" customHeight="false" outlineLevel="0" collapsed="false">
      <c r="A1439" s="0" t="s">
        <v>169</v>
      </c>
      <c r="B1439" s="0" t="n">
        <v>2016</v>
      </c>
      <c r="C1439" s="0" t="s">
        <v>73</v>
      </c>
      <c r="D1439" s="0" t="n">
        <v>0</v>
      </c>
      <c r="E1439" s="0" t="s">
        <v>539</v>
      </c>
      <c r="F1439" s="0" t="s">
        <v>524</v>
      </c>
      <c r="G1439" s="0" t="s">
        <v>87</v>
      </c>
      <c r="H1439" s="0" t="s">
        <v>1257</v>
      </c>
    </row>
    <row r="1440" customFormat="false" ht="15" hidden="false" customHeight="false" outlineLevel="0" collapsed="false">
      <c r="A1440" s="0" t="s">
        <v>169</v>
      </c>
      <c r="B1440" s="0" t="n">
        <v>2016</v>
      </c>
      <c r="C1440" s="0" t="s">
        <v>541</v>
      </c>
      <c r="D1440" s="0" t="n">
        <v>6018.479</v>
      </c>
      <c r="E1440" s="0" t="s">
        <v>539</v>
      </c>
      <c r="F1440" s="0" t="s">
        <v>524</v>
      </c>
      <c r="G1440" s="0" t="s">
        <v>87</v>
      </c>
      <c r="H1440" s="0" t="s">
        <v>1258</v>
      </c>
    </row>
    <row r="1441" customFormat="false" ht="15" hidden="false" customHeight="false" outlineLevel="0" collapsed="false">
      <c r="A1441" s="0" t="s">
        <v>169</v>
      </c>
      <c r="B1441" s="0" t="n">
        <v>2016</v>
      </c>
      <c r="C1441" s="0" t="s">
        <v>543</v>
      </c>
      <c r="D1441" s="0" t="n">
        <v>4187.291</v>
      </c>
      <c r="E1441" s="0" t="s">
        <v>523</v>
      </c>
      <c r="F1441" s="0" t="s">
        <v>524</v>
      </c>
      <c r="G1441" s="0" t="s">
        <v>87</v>
      </c>
      <c r="H1441" s="0" t="s">
        <v>1259</v>
      </c>
    </row>
    <row r="1442" customFormat="false" ht="15" hidden="false" customHeight="false" outlineLevel="0" collapsed="false">
      <c r="A1442" s="0" t="s">
        <v>169</v>
      </c>
      <c r="B1442" s="0" t="n">
        <v>2016</v>
      </c>
      <c r="C1442" s="0" t="s">
        <v>545</v>
      </c>
      <c r="D1442" s="0" t="n">
        <v>4276.002</v>
      </c>
      <c r="E1442" s="0" t="s">
        <v>523</v>
      </c>
      <c r="F1442" s="0" t="s">
        <v>524</v>
      </c>
      <c r="G1442" s="0" t="s">
        <v>87</v>
      </c>
      <c r="H1442" s="0" t="s">
        <v>1260</v>
      </c>
    </row>
    <row r="1443" customFormat="false" ht="15" hidden="false" customHeight="false" outlineLevel="0" collapsed="false">
      <c r="A1443" s="0" t="s">
        <v>169</v>
      </c>
      <c r="B1443" s="0" t="n">
        <v>2016</v>
      </c>
      <c r="C1443" s="0" t="s">
        <v>19</v>
      </c>
      <c r="D1443" s="0" t="n">
        <v>815126.8205</v>
      </c>
      <c r="E1443" s="0" t="s">
        <v>522</v>
      </c>
    </row>
    <row r="1444" customFormat="false" ht="15" hidden="false" customHeight="false" outlineLevel="0" collapsed="false">
      <c r="A1444" s="0" t="s">
        <v>169</v>
      </c>
      <c r="B1444" s="0" t="n">
        <v>2016</v>
      </c>
      <c r="C1444" s="0" t="s">
        <v>41</v>
      </c>
      <c r="D1444" s="0" t="n">
        <v>0.635602199523013</v>
      </c>
      <c r="E1444" s="0" t="s">
        <v>522</v>
      </c>
    </row>
    <row r="1445" customFormat="false" ht="15" hidden="false" customHeight="false" outlineLevel="0" collapsed="false">
      <c r="A1445" s="0" t="s">
        <v>169</v>
      </c>
      <c r="B1445" s="0" t="n">
        <v>2016</v>
      </c>
      <c r="C1445" s="0" t="s">
        <v>27</v>
      </c>
      <c r="D1445" s="0" t="n">
        <v>10.3127579013318</v>
      </c>
      <c r="E1445" s="0" t="s">
        <v>522</v>
      </c>
    </row>
    <row r="1446" customFormat="false" ht="15" hidden="false" customHeight="false" outlineLevel="0" collapsed="false">
      <c r="A1446" s="0" t="s">
        <v>169</v>
      </c>
      <c r="B1446" s="0" t="n">
        <v>2016</v>
      </c>
      <c r="C1446" s="0" t="s">
        <v>39</v>
      </c>
      <c r="D1446" s="0" t="n">
        <v>-15.3218467186972</v>
      </c>
      <c r="E1446" s="0" t="s">
        <v>522</v>
      </c>
    </row>
    <row r="1447" customFormat="false" ht="15" hidden="false" customHeight="false" outlineLevel="0" collapsed="false">
      <c r="A1447" s="0" t="s">
        <v>169</v>
      </c>
      <c r="B1447" s="0" t="n">
        <v>2016</v>
      </c>
      <c r="C1447" s="0" t="s">
        <v>17</v>
      </c>
      <c r="D1447" s="0" t="n">
        <v>1.77534283860335</v>
      </c>
      <c r="E1447" s="0" t="s">
        <v>522</v>
      </c>
    </row>
    <row r="1448" customFormat="false" ht="15" hidden="false" customHeight="false" outlineLevel="0" collapsed="false">
      <c r="A1448" s="0" t="s">
        <v>169</v>
      </c>
      <c r="B1448" s="0" t="n">
        <v>2016</v>
      </c>
      <c r="C1448" s="0" t="s">
        <v>25</v>
      </c>
      <c r="D1448" s="0" t="n">
        <v>10.6590109197573</v>
      </c>
      <c r="E1448" s="0" t="s">
        <v>522</v>
      </c>
    </row>
    <row r="1449" customFormat="false" ht="15" hidden="false" customHeight="false" outlineLevel="0" collapsed="false">
      <c r="A1449" s="0" t="s">
        <v>169</v>
      </c>
      <c r="B1449" s="0" t="n">
        <v>2016</v>
      </c>
      <c r="C1449" s="0" t="s">
        <v>29</v>
      </c>
      <c r="D1449" s="0" t="n">
        <v>1.43707306708601</v>
      </c>
      <c r="E1449" s="0" t="s">
        <v>522</v>
      </c>
    </row>
    <row r="1450" customFormat="false" ht="15" hidden="false" customHeight="false" outlineLevel="0" collapsed="false">
      <c r="A1450" s="0" t="s">
        <v>169</v>
      </c>
      <c r="B1450" s="0" t="n">
        <v>2016</v>
      </c>
      <c r="C1450" s="0" t="s">
        <v>43</v>
      </c>
      <c r="D1450" s="0" t="n">
        <v>0.623609789470183</v>
      </c>
      <c r="E1450" s="0" t="s">
        <v>522</v>
      </c>
    </row>
    <row r="1451" customFormat="false" ht="15" hidden="false" customHeight="false" outlineLevel="0" collapsed="false">
      <c r="A1451" s="0" t="s">
        <v>169</v>
      </c>
      <c r="B1451" s="0" t="n">
        <v>2016</v>
      </c>
      <c r="C1451" s="0" t="s">
        <v>31</v>
      </c>
      <c r="D1451" s="0" t="n">
        <v>89.6872420986682</v>
      </c>
      <c r="E1451" s="0" t="s">
        <v>522</v>
      </c>
    </row>
    <row r="1452" customFormat="false" ht="15" hidden="false" customHeight="false" outlineLevel="0" collapsed="false">
      <c r="A1452" s="0" t="s">
        <v>169</v>
      </c>
      <c r="B1452" s="0" t="n">
        <v>2016</v>
      </c>
      <c r="C1452" s="0" t="s">
        <v>33</v>
      </c>
      <c r="D1452" s="0" t="n">
        <v>13.6301470479184</v>
      </c>
      <c r="E1452" s="0" t="s">
        <v>522</v>
      </c>
    </row>
    <row r="1453" customFormat="false" ht="15" hidden="false" customHeight="false" outlineLevel="0" collapsed="false">
      <c r="A1453" s="0" t="s">
        <v>169</v>
      </c>
      <c r="B1453" s="0" t="n">
        <v>2016</v>
      </c>
      <c r="C1453" s="0" t="s">
        <v>21</v>
      </c>
      <c r="D1453" s="0" t="n">
        <v>8.73114913702011E-011</v>
      </c>
      <c r="E1453" s="0" t="s">
        <v>522</v>
      </c>
    </row>
    <row r="1454" customFormat="false" ht="15" hidden="false" customHeight="false" outlineLevel="0" collapsed="false">
      <c r="A1454" s="0" t="s">
        <v>169</v>
      </c>
      <c r="B1454" s="0" t="n">
        <v>2016</v>
      </c>
      <c r="C1454" s="0" t="s">
        <v>35</v>
      </c>
      <c r="D1454" s="0" t="n">
        <v>0</v>
      </c>
      <c r="E1454" s="0" t="s">
        <v>522</v>
      </c>
    </row>
    <row r="1455" customFormat="false" ht="15" hidden="false" customHeight="false" outlineLevel="0" collapsed="false">
      <c r="A1455" s="0" t="s">
        <v>169</v>
      </c>
      <c r="B1455" s="0" t="n">
        <v>2017</v>
      </c>
      <c r="C1455" s="0" t="s">
        <v>54</v>
      </c>
      <c r="D1455" s="0" t="n">
        <v>8455</v>
      </c>
      <c r="E1455" s="0" t="s">
        <v>523</v>
      </c>
      <c r="F1455" s="0" t="s">
        <v>524</v>
      </c>
      <c r="G1455" s="0" t="s">
        <v>89</v>
      </c>
      <c r="H1455" s="0" t="s">
        <v>1261</v>
      </c>
    </row>
    <row r="1456" customFormat="false" ht="15" hidden="false" customHeight="false" outlineLevel="0" collapsed="false">
      <c r="A1456" s="0" t="s">
        <v>169</v>
      </c>
      <c r="B1456" s="0" t="n">
        <v>2017</v>
      </c>
      <c r="C1456" s="0" t="s">
        <v>55</v>
      </c>
      <c r="D1456" s="0" t="n">
        <v>1068798</v>
      </c>
      <c r="E1456" s="0" t="s">
        <v>539</v>
      </c>
      <c r="F1456" s="0" t="s">
        <v>524</v>
      </c>
      <c r="G1456" s="0" t="s">
        <v>89</v>
      </c>
      <c r="H1456" s="0" t="s">
        <v>1262</v>
      </c>
    </row>
    <row r="1457" customFormat="false" ht="15" hidden="false" customHeight="false" outlineLevel="0" collapsed="false">
      <c r="A1457" s="0" t="s">
        <v>169</v>
      </c>
      <c r="B1457" s="0" t="n">
        <v>2017</v>
      </c>
      <c r="C1457" s="0" t="s">
        <v>56</v>
      </c>
      <c r="D1457" s="0" t="n">
        <v>965905</v>
      </c>
      <c r="E1457" s="0" t="s">
        <v>539</v>
      </c>
      <c r="F1457" s="0" t="s">
        <v>524</v>
      </c>
      <c r="G1457" s="0" t="s">
        <v>89</v>
      </c>
      <c r="H1457" s="0" t="s">
        <v>1263</v>
      </c>
    </row>
    <row r="1458" customFormat="false" ht="15" hidden="false" customHeight="false" outlineLevel="0" collapsed="false">
      <c r="A1458" s="0" t="s">
        <v>169</v>
      </c>
      <c r="B1458" s="0" t="n">
        <v>2017</v>
      </c>
      <c r="C1458" s="0" t="s">
        <v>57</v>
      </c>
      <c r="D1458" s="0" t="n">
        <v>102893</v>
      </c>
      <c r="E1458" s="0" t="s">
        <v>539</v>
      </c>
      <c r="F1458" s="0" t="s">
        <v>524</v>
      </c>
      <c r="G1458" s="0" t="s">
        <v>89</v>
      </c>
      <c r="H1458" s="0" t="s">
        <v>1264</v>
      </c>
    </row>
    <row r="1459" customFormat="false" ht="15" hidden="false" customHeight="false" outlineLevel="0" collapsed="false">
      <c r="A1459" s="0" t="s">
        <v>169</v>
      </c>
      <c r="B1459" s="0" t="n">
        <v>2017</v>
      </c>
      <c r="C1459" s="0" t="s">
        <v>58</v>
      </c>
      <c r="D1459" s="0" t="n">
        <v>-46542</v>
      </c>
      <c r="E1459" s="0" t="s">
        <v>523</v>
      </c>
      <c r="F1459" s="0" t="s">
        <v>524</v>
      </c>
      <c r="G1459" s="0" t="s">
        <v>89</v>
      </c>
      <c r="H1459" s="0" t="s">
        <v>1265</v>
      </c>
    </row>
    <row r="1460" customFormat="false" ht="15" hidden="false" customHeight="false" outlineLevel="0" collapsed="false">
      <c r="A1460" s="0" t="s">
        <v>169</v>
      </c>
      <c r="B1460" s="0" t="n">
        <v>2017</v>
      </c>
      <c r="C1460" s="0" t="s">
        <v>59</v>
      </c>
      <c r="D1460" s="0" t="n">
        <v>830805</v>
      </c>
      <c r="E1460" s="0" t="s">
        <v>539</v>
      </c>
      <c r="F1460" s="0" t="s">
        <v>524</v>
      </c>
      <c r="G1460" s="0" t="s">
        <v>89</v>
      </c>
      <c r="H1460" s="0" t="s">
        <v>1266</v>
      </c>
    </row>
    <row r="1461" customFormat="false" ht="15" hidden="false" customHeight="false" outlineLevel="0" collapsed="false">
      <c r="A1461" s="0" t="s">
        <v>169</v>
      </c>
      <c r="B1461" s="0" t="n">
        <v>2017</v>
      </c>
      <c r="C1461" s="0" t="s">
        <v>60</v>
      </c>
      <c r="D1461" s="0" t="n">
        <v>617577</v>
      </c>
      <c r="E1461" s="0" t="s">
        <v>523</v>
      </c>
      <c r="F1461" s="0" t="s">
        <v>524</v>
      </c>
      <c r="G1461" s="0" t="s">
        <v>89</v>
      </c>
      <c r="H1461" s="0" t="s">
        <v>1267</v>
      </c>
    </row>
    <row r="1462" customFormat="false" ht="15" hidden="false" customHeight="false" outlineLevel="0" collapsed="false">
      <c r="A1462" s="0" t="s">
        <v>169</v>
      </c>
      <c r="B1462" s="0" t="n">
        <v>2017</v>
      </c>
      <c r="C1462" s="0" t="s">
        <v>61</v>
      </c>
      <c r="D1462" s="0" t="n">
        <v>19504</v>
      </c>
      <c r="E1462" s="0" t="s">
        <v>523</v>
      </c>
      <c r="F1462" s="0" t="s">
        <v>524</v>
      </c>
      <c r="G1462" s="0" t="s">
        <v>89</v>
      </c>
      <c r="H1462" s="0" t="s">
        <v>1268</v>
      </c>
    </row>
    <row r="1463" customFormat="false" ht="15" hidden="false" customHeight="false" outlineLevel="0" collapsed="false">
      <c r="A1463" s="0" t="s">
        <v>169</v>
      </c>
      <c r="B1463" s="0" t="n">
        <v>2017</v>
      </c>
      <c r="C1463" s="0" t="s">
        <v>62</v>
      </c>
      <c r="D1463" s="0" t="n">
        <v>598073</v>
      </c>
      <c r="E1463" s="0" t="s">
        <v>523</v>
      </c>
      <c r="F1463" s="0" t="s">
        <v>524</v>
      </c>
      <c r="G1463" s="0" t="s">
        <v>89</v>
      </c>
      <c r="H1463" s="0" t="s">
        <v>1269</v>
      </c>
    </row>
    <row r="1464" customFormat="false" ht="15" hidden="false" customHeight="false" outlineLevel="0" collapsed="false">
      <c r="A1464" s="0" t="s">
        <v>169</v>
      </c>
      <c r="B1464" s="0" t="n">
        <v>2017</v>
      </c>
      <c r="C1464" s="0" t="s">
        <v>63</v>
      </c>
      <c r="D1464" s="0" t="n">
        <v>12267</v>
      </c>
      <c r="E1464" s="0" t="s">
        <v>523</v>
      </c>
      <c r="F1464" s="0" t="s">
        <v>524</v>
      </c>
      <c r="G1464" s="0" t="s">
        <v>89</v>
      </c>
      <c r="H1464" s="0" t="s">
        <v>1270</v>
      </c>
    </row>
    <row r="1465" customFormat="false" ht="15" hidden="false" customHeight="false" outlineLevel="0" collapsed="false">
      <c r="A1465" s="0" t="s">
        <v>169</v>
      </c>
      <c r="B1465" s="0" t="n">
        <v>2017</v>
      </c>
      <c r="C1465" s="0" t="s">
        <v>69</v>
      </c>
      <c r="D1465" s="0" t="n">
        <v>11.73</v>
      </c>
      <c r="E1465" s="0" t="s">
        <v>523</v>
      </c>
      <c r="F1465" s="0" t="s">
        <v>524</v>
      </c>
      <c r="G1465" s="0" t="s">
        <v>89</v>
      </c>
      <c r="H1465" s="0" t="s">
        <v>1271</v>
      </c>
    </row>
    <row r="1466" customFormat="false" ht="15" hidden="false" customHeight="false" outlineLevel="0" collapsed="false">
      <c r="A1466" s="0" t="s">
        <v>169</v>
      </c>
      <c r="B1466" s="0" t="n">
        <v>2017</v>
      </c>
      <c r="C1466" s="0" t="s">
        <v>70</v>
      </c>
      <c r="D1466" s="0" t="n">
        <v>10</v>
      </c>
      <c r="E1466" s="0" t="s">
        <v>523</v>
      </c>
      <c r="F1466" s="0" t="s">
        <v>524</v>
      </c>
      <c r="G1466" s="0" t="s">
        <v>89</v>
      </c>
      <c r="H1466" s="0" t="s">
        <v>1272</v>
      </c>
    </row>
    <row r="1467" customFormat="false" ht="15" hidden="false" customHeight="false" outlineLevel="0" collapsed="false">
      <c r="A1467" s="0" t="s">
        <v>169</v>
      </c>
      <c r="B1467" s="0" t="n">
        <v>2017</v>
      </c>
      <c r="C1467" s="0" t="s">
        <v>65</v>
      </c>
      <c r="D1467" s="0" t="n">
        <v>83076</v>
      </c>
      <c r="E1467" s="0" t="s">
        <v>523</v>
      </c>
      <c r="F1467" s="0" t="s">
        <v>524</v>
      </c>
      <c r="G1467" s="0" t="s">
        <v>89</v>
      </c>
      <c r="H1467" s="0" t="s">
        <v>1273</v>
      </c>
    </row>
    <row r="1468" customFormat="false" ht="15" hidden="false" customHeight="false" outlineLevel="0" collapsed="false">
      <c r="A1468" s="0" t="s">
        <v>169</v>
      </c>
      <c r="B1468" s="0" t="n">
        <v>2017</v>
      </c>
      <c r="C1468" s="0" t="s">
        <v>66</v>
      </c>
      <c r="D1468" s="0" t="n">
        <v>708114</v>
      </c>
      <c r="E1468" s="0" t="s">
        <v>523</v>
      </c>
      <c r="F1468" s="0" t="s">
        <v>524</v>
      </c>
      <c r="G1468" s="0" t="s">
        <v>89</v>
      </c>
      <c r="H1468" s="0" t="s">
        <v>1274</v>
      </c>
    </row>
    <row r="1469" customFormat="false" ht="15" hidden="false" customHeight="false" outlineLevel="0" collapsed="false">
      <c r="A1469" s="0" t="s">
        <v>169</v>
      </c>
      <c r="B1469" s="0" t="n">
        <v>2017</v>
      </c>
      <c r="C1469" s="0" t="s">
        <v>73</v>
      </c>
      <c r="D1469" s="0" t="n">
        <v>0</v>
      </c>
      <c r="E1469" s="0" t="s">
        <v>539</v>
      </c>
      <c r="F1469" s="0" t="s">
        <v>524</v>
      </c>
      <c r="G1469" s="0" t="s">
        <v>89</v>
      </c>
      <c r="H1469" s="0" t="s">
        <v>1275</v>
      </c>
    </row>
    <row r="1470" customFormat="false" ht="15" hidden="false" customHeight="false" outlineLevel="0" collapsed="false">
      <c r="A1470" s="0" t="s">
        <v>169</v>
      </c>
      <c r="B1470" s="0" t="n">
        <v>2017</v>
      </c>
      <c r="C1470" s="0" t="s">
        <v>541</v>
      </c>
      <c r="D1470" s="0" t="n">
        <v>8540</v>
      </c>
      <c r="E1470" s="0" t="s">
        <v>523</v>
      </c>
      <c r="F1470" s="0" t="s">
        <v>524</v>
      </c>
      <c r="G1470" s="0" t="s">
        <v>89</v>
      </c>
      <c r="H1470" s="0" t="s">
        <v>1276</v>
      </c>
    </row>
    <row r="1471" customFormat="false" ht="15" hidden="false" customHeight="false" outlineLevel="0" collapsed="false">
      <c r="A1471" s="0" t="s">
        <v>169</v>
      </c>
      <c r="B1471" s="0" t="n">
        <v>2017</v>
      </c>
      <c r="C1471" s="0" t="s">
        <v>543</v>
      </c>
      <c r="D1471" s="0" t="n">
        <v>13810</v>
      </c>
      <c r="E1471" s="0" t="s">
        <v>523</v>
      </c>
      <c r="F1471" s="0" t="s">
        <v>524</v>
      </c>
      <c r="G1471" s="0" t="s">
        <v>89</v>
      </c>
      <c r="H1471" s="0" t="s">
        <v>1277</v>
      </c>
    </row>
    <row r="1472" customFormat="false" ht="15" hidden="false" customHeight="false" outlineLevel="0" collapsed="false">
      <c r="A1472" s="0" t="s">
        <v>169</v>
      </c>
      <c r="B1472" s="0" t="n">
        <v>2017</v>
      </c>
      <c r="C1472" s="0" t="s">
        <v>545</v>
      </c>
      <c r="D1472" s="0" t="n">
        <v>5694</v>
      </c>
      <c r="E1472" s="0" t="s">
        <v>523</v>
      </c>
      <c r="F1472" s="0" t="s">
        <v>524</v>
      </c>
      <c r="G1472" s="0" t="s">
        <v>89</v>
      </c>
      <c r="H1472" s="0" t="s">
        <v>1278</v>
      </c>
    </row>
    <row r="1473" customFormat="false" ht="15" hidden="false" customHeight="false" outlineLevel="0" collapsed="false">
      <c r="A1473" s="0" t="s">
        <v>169</v>
      </c>
      <c r="B1473" s="0" t="n">
        <v>2017</v>
      </c>
      <c r="C1473" s="0" t="s">
        <v>19</v>
      </c>
      <c r="D1473" s="0" t="n">
        <v>949801.5</v>
      </c>
      <c r="E1473" s="0" t="s">
        <v>522</v>
      </c>
    </row>
    <row r="1474" customFormat="false" ht="15" hidden="false" customHeight="false" outlineLevel="0" collapsed="false">
      <c r="A1474" s="0" t="s">
        <v>169</v>
      </c>
      <c r="B1474" s="0" t="n">
        <v>2017</v>
      </c>
      <c r="C1474" s="0" t="s">
        <v>41</v>
      </c>
      <c r="D1474" s="0" t="n">
        <v>0.890186002022528</v>
      </c>
      <c r="E1474" s="0" t="s">
        <v>522</v>
      </c>
    </row>
    <row r="1475" customFormat="false" ht="15" hidden="false" customHeight="false" outlineLevel="0" collapsed="false">
      <c r="A1475" s="0" t="s">
        <v>169</v>
      </c>
      <c r="B1475" s="0" t="n">
        <v>2017</v>
      </c>
      <c r="C1475" s="0" t="s">
        <v>27</v>
      </c>
      <c r="D1475" s="0" t="n">
        <v>9.62698283492297</v>
      </c>
      <c r="E1475" s="0" t="s">
        <v>522</v>
      </c>
    </row>
    <row r="1476" customFormat="false" ht="15" hidden="false" customHeight="false" outlineLevel="0" collapsed="false">
      <c r="A1476" s="0" t="s">
        <v>169</v>
      </c>
      <c r="B1476" s="0" t="n">
        <v>2017</v>
      </c>
      <c r="C1476" s="0" t="s">
        <v>39</v>
      </c>
      <c r="D1476" s="0" t="n">
        <v>-4.90018177482348</v>
      </c>
      <c r="E1476" s="0" t="s">
        <v>522</v>
      </c>
    </row>
    <row r="1477" customFormat="false" ht="15" hidden="false" customHeight="false" outlineLevel="0" collapsed="false">
      <c r="A1477" s="0" t="s">
        <v>169</v>
      </c>
      <c r="B1477" s="0" t="n">
        <v>2017</v>
      </c>
      <c r="C1477" s="0" t="s">
        <v>17</v>
      </c>
      <c r="D1477" s="0" t="n">
        <v>3.15814870048593</v>
      </c>
      <c r="E1477" s="0" t="s">
        <v>522</v>
      </c>
    </row>
    <row r="1478" customFormat="false" ht="15" hidden="false" customHeight="false" outlineLevel="0" collapsed="false">
      <c r="A1478" s="0" t="s">
        <v>169</v>
      </c>
      <c r="B1478" s="0" t="n">
        <v>2017</v>
      </c>
      <c r="C1478" s="0" t="s">
        <v>25</v>
      </c>
      <c r="D1478" s="0" t="n">
        <v>11.7320092527474</v>
      </c>
      <c r="E1478" s="0" t="s">
        <v>522</v>
      </c>
    </row>
    <row r="1479" customFormat="false" ht="15" hidden="false" customHeight="false" outlineLevel="0" collapsed="false">
      <c r="A1479" s="0" t="s">
        <v>169</v>
      </c>
      <c r="B1479" s="0" t="n">
        <v>2017</v>
      </c>
      <c r="C1479" s="0" t="s">
        <v>29</v>
      </c>
      <c r="D1479" s="0" t="n">
        <v>1.29153302032056</v>
      </c>
      <c r="E1479" s="0" t="s">
        <v>522</v>
      </c>
    </row>
    <row r="1480" customFormat="false" ht="15" hidden="false" customHeight="false" outlineLevel="0" collapsed="false">
      <c r="A1480" s="0" t="s">
        <v>169</v>
      </c>
      <c r="B1480" s="0" t="n">
        <v>2017</v>
      </c>
      <c r="C1480" s="0" t="s">
        <v>43</v>
      </c>
      <c r="D1480" s="0" t="n">
        <v>0.791075582102511</v>
      </c>
      <c r="E1480" s="0" t="s">
        <v>522</v>
      </c>
    </row>
    <row r="1481" customFormat="false" ht="15" hidden="false" customHeight="false" outlineLevel="0" collapsed="false">
      <c r="A1481" s="0" t="s">
        <v>169</v>
      </c>
      <c r="B1481" s="0" t="n">
        <v>2017</v>
      </c>
      <c r="C1481" s="0" t="s">
        <v>31</v>
      </c>
      <c r="D1481" s="0" t="n">
        <v>90.373017165077</v>
      </c>
      <c r="E1481" s="0" t="s">
        <v>522</v>
      </c>
    </row>
    <row r="1482" customFormat="false" ht="15" hidden="false" customHeight="false" outlineLevel="0" collapsed="false">
      <c r="A1482" s="0" t="s">
        <v>169</v>
      </c>
      <c r="B1482" s="0" t="n">
        <v>2017</v>
      </c>
      <c r="C1482" s="0" t="s">
        <v>33</v>
      </c>
      <c r="D1482" s="0" t="n">
        <v>13.8820452105053</v>
      </c>
      <c r="E1482" s="0" t="s">
        <v>522</v>
      </c>
    </row>
    <row r="1483" customFormat="false" ht="15" hidden="false" customHeight="false" outlineLevel="0" collapsed="false">
      <c r="A1483" s="0" t="s">
        <v>169</v>
      </c>
      <c r="B1483" s="0" t="n">
        <v>2017</v>
      </c>
      <c r="C1483" s="0" t="s">
        <v>21</v>
      </c>
      <c r="D1483" s="0" t="n">
        <v>0</v>
      </c>
      <c r="E1483" s="0" t="s">
        <v>522</v>
      </c>
    </row>
    <row r="1484" customFormat="false" ht="15" hidden="false" customHeight="false" outlineLevel="0" collapsed="false">
      <c r="A1484" s="0" t="s">
        <v>169</v>
      </c>
      <c r="B1484" s="0" t="n">
        <v>2017</v>
      </c>
      <c r="C1484" s="0" t="s">
        <v>35</v>
      </c>
      <c r="D1484" s="0" t="n">
        <v>0</v>
      </c>
      <c r="E1484" s="0" t="s">
        <v>522</v>
      </c>
    </row>
    <row r="1485" customFormat="false" ht="15" hidden="false" customHeight="false" outlineLevel="0" collapsed="false">
      <c r="A1485" s="0" t="s">
        <v>169</v>
      </c>
      <c r="B1485" s="0" t="n">
        <v>2018</v>
      </c>
      <c r="C1485" s="0" t="s">
        <v>54</v>
      </c>
      <c r="D1485" s="0" t="n">
        <v>9468</v>
      </c>
      <c r="E1485" s="0" t="s">
        <v>521</v>
      </c>
      <c r="G1485" s="0" t="s">
        <v>81</v>
      </c>
    </row>
    <row r="1486" customFormat="false" ht="15" hidden="false" customHeight="false" outlineLevel="0" collapsed="false">
      <c r="A1486" s="0" t="s">
        <v>169</v>
      </c>
      <c r="B1486" s="0" t="n">
        <v>2018</v>
      </c>
      <c r="C1486" s="0" t="s">
        <v>55</v>
      </c>
      <c r="D1486" s="0" t="n">
        <v>1085876</v>
      </c>
      <c r="E1486" s="0" t="s">
        <v>521</v>
      </c>
      <c r="G1486" s="0" t="s">
        <v>81</v>
      </c>
    </row>
    <row r="1487" customFormat="false" ht="15" hidden="false" customHeight="false" outlineLevel="0" collapsed="false">
      <c r="A1487" s="0" t="s">
        <v>169</v>
      </c>
      <c r="B1487" s="0" t="n">
        <v>2018</v>
      </c>
      <c r="C1487" s="0" t="s">
        <v>56</v>
      </c>
      <c r="D1487" s="0" t="n">
        <v>987867</v>
      </c>
      <c r="E1487" s="0" t="s">
        <v>521</v>
      </c>
      <c r="G1487" s="0" t="s">
        <v>81</v>
      </c>
    </row>
    <row r="1488" customFormat="false" ht="15" hidden="false" customHeight="false" outlineLevel="0" collapsed="false">
      <c r="A1488" s="0" t="s">
        <v>169</v>
      </c>
      <c r="B1488" s="0" t="n">
        <v>2018</v>
      </c>
      <c r="C1488" s="0" t="s">
        <v>57</v>
      </c>
      <c r="D1488" s="0" t="n">
        <v>98009</v>
      </c>
      <c r="E1488" s="0" t="s">
        <v>521</v>
      </c>
      <c r="G1488" s="0" t="s">
        <v>81</v>
      </c>
    </row>
    <row r="1489" customFormat="false" ht="15" hidden="false" customHeight="false" outlineLevel="0" collapsed="false">
      <c r="A1489" s="0" t="s">
        <v>169</v>
      </c>
      <c r="B1489" s="0" t="n">
        <v>2018</v>
      </c>
      <c r="C1489" s="0" t="s">
        <v>58</v>
      </c>
      <c r="D1489" s="0" t="n">
        <v>35086</v>
      </c>
      <c r="E1489" s="0" t="s">
        <v>521</v>
      </c>
      <c r="G1489" s="0" t="s">
        <v>81</v>
      </c>
    </row>
    <row r="1490" customFormat="false" ht="15" hidden="false" customHeight="false" outlineLevel="0" collapsed="false">
      <c r="A1490" s="0" t="s">
        <v>169</v>
      </c>
      <c r="B1490" s="0" t="n">
        <v>2018</v>
      </c>
      <c r="C1490" s="0" t="s">
        <v>60</v>
      </c>
      <c r="D1490" s="0" t="n">
        <v>640678</v>
      </c>
      <c r="E1490" s="0" t="s">
        <v>521</v>
      </c>
      <c r="G1490" s="0" t="s">
        <v>81</v>
      </c>
    </row>
    <row r="1491" customFormat="false" ht="15" hidden="false" customHeight="false" outlineLevel="0" collapsed="false">
      <c r="A1491" s="0" t="s">
        <v>169</v>
      </c>
      <c r="B1491" s="0" t="n">
        <v>2018</v>
      </c>
      <c r="C1491" s="0" t="s">
        <v>61</v>
      </c>
      <c r="D1491" s="0" t="n">
        <v>19661</v>
      </c>
      <c r="E1491" s="0" t="s">
        <v>521</v>
      </c>
      <c r="G1491" s="0" t="s">
        <v>81</v>
      </c>
    </row>
    <row r="1492" customFormat="false" ht="15" hidden="false" customHeight="false" outlineLevel="0" collapsed="false">
      <c r="A1492" s="0" t="s">
        <v>169</v>
      </c>
      <c r="B1492" s="0" t="n">
        <v>2018</v>
      </c>
      <c r="C1492" s="0" t="s">
        <v>63</v>
      </c>
      <c r="D1492" s="0" t="n">
        <v>5832</v>
      </c>
      <c r="E1492" s="0" t="s">
        <v>521</v>
      </c>
      <c r="G1492" s="0" t="s">
        <v>81</v>
      </c>
    </row>
    <row r="1493" customFormat="false" ht="15" hidden="false" customHeight="false" outlineLevel="0" collapsed="false">
      <c r="A1493" s="0" t="s">
        <v>169</v>
      </c>
      <c r="B1493" s="0" t="n">
        <v>2018</v>
      </c>
      <c r="C1493" s="0" t="s">
        <v>69</v>
      </c>
      <c r="D1493" s="0" t="n">
        <v>12.86</v>
      </c>
      <c r="E1493" s="0" t="s">
        <v>521</v>
      </c>
      <c r="G1493" s="0" t="s">
        <v>81</v>
      </c>
    </row>
    <row r="1494" customFormat="false" ht="15" hidden="false" customHeight="false" outlineLevel="0" collapsed="false">
      <c r="A1494" s="0" t="s">
        <v>169</v>
      </c>
      <c r="B1494" s="0" t="n">
        <v>2018</v>
      </c>
      <c r="C1494" s="0" t="s">
        <v>70</v>
      </c>
      <c r="D1494" s="0" t="n">
        <v>10</v>
      </c>
      <c r="E1494" s="0" t="s">
        <v>521</v>
      </c>
      <c r="G1494" s="0" t="s">
        <v>81</v>
      </c>
    </row>
    <row r="1495" customFormat="false" ht="15" hidden="false" customHeight="false" outlineLevel="0" collapsed="false">
      <c r="A1495" s="0" t="s">
        <v>169</v>
      </c>
      <c r="B1495" s="0" t="n">
        <v>2018</v>
      </c>
      <c r="C1495" s="0" t="s">
        <v>27</v>
      </c>
      <c r="D1495" s="0" t="n">
        <v>9.02580036762945</v>
      </c>
      <c r="E1495" s="0" t="s">
        <v>522</v>
      </c>
    </row>
    <row r="1496" customFormat="false" ht="15" hidden="false" customHeight="false" outlineLevel="0" collapsed="false">
      <c r="A1496" s="0" t="s">
        <v>169</v>
      </c>
      <c r="B1496" s="0" t="n">
        <v>2018</v>
      </c>
      <c r="C1496" s="0" t="s">
        <v>17</v>
      </c>
      <c r="D1496" s="0" t="n">
        <v>3.0687802609111</v>
      </c>
      <c r="E1496" s="0" t="s">
        <v>522</v>
      </c>
    </row>
    <row r="1497" customFormat="false" ht="15" hidden="false" customHeight="false" outlineLevel="0" collapsed="false">
      <c r="A1497" s="0" t="s">
        <v>169</v>
      </c>
      <c r="B1497" s="0" t="n">
        <v>2018</v>
      </c>
      <c r="C1497" s="0" t="s">
        <v>43</v>
      </c>
      <c r="D1497" s="0" t="n">
        <v>0.871922760978233</v>
      </c>
      <c r="E1497" s="0" t="s">
        <v>522</v>
      </c>
    </row>
    <row r="1498" customFormat="false" ht="15" hidden="false" customHeight="false" outlineLevel="0" collapsed="false">
      <c r="A1498" s="0" t="s">
        <v>169</v>
      </c>
      <c r="B1498" s="0" t="n">
        <v>2018</v>
      </c>
      <c r="C1498" s="0" t="s">
        <v>31</v>
      </c>
      <c r="D1498" s="0" t="n">
        <v>90.9741996323705</v>
      </c>
      <c r="E1498" s="0" t="s">
        <v>522</v>
      </c>
    </row>
    <row r="1499" customFormat="false" ht="15" hidden="false" customHeight="false" outlineLevel="0" collapsed="false">
      <c r="A1499" s="0" t="s">
        <v>169</v>
      </c>
      <c r="B1499" s="0" t="n">
        <v>2018</v>
      </c>
      <c r="C1499" s="0" t="s">
        <v>33</v>
      </c>
      <c r="D1499" s="0" t="n">
        <v>13.8978975924781</v>
      </c>
      <c r="E1499" s="0" t="s">
        <v>522</v>
      </c>
    </row>
    <row r="1500" customFormat="false" ht="15" hidden="false" customHeight="false" outlineLevel="0" collapsed="false">
      <c r="A1500" s="0" t="s">
        <v>169</v>
      </c>
      <c r="B1500" s="0" t="n">
        <v>2018</v>
      </c>
      <c r="C1500" s="0" t="s">
        <v>21</v>
      </c>
      <c r="D1500" s="0" t="n">
        <v>0</v>
      </c>
      <c r="E1500" s="0" t="s">
        <v>522</v>
      </c>
    </row>
    <row r="1501" customFormat="false" ht="15" hidden="false" customHeight="false" outlineLevel="0" collapsed="false">
      <c r="A1501" s="0" t="s">
        <v>169</v>
      </c>
      <c r="B1501" s="0" t="n">
        <v>2019</v>
      </c>
      <c r="C1501" s="0" t="s">
        <v>54</v>
      </c>
      <c r="D1501" s="0" t="n">
        <v>10163</v>
      </c>
      <c r="E1501" s="0" t="s">
        <v>521</v>
      </c>
      <c r="G1501" s="0" t="s">
        <v>81</v>
      </c>
    </row>
    <row r="1502" customFormat="false" ht="15" hidden="false" customHeight="false" outlineLevel="0" collapsed="false">
      <c r="A1502" s="0" t="s">
        <v>169</v>
      </c>
      <c r="B1502" s="0" t="n">
        <v>2019</v>
      </c>
      <c r="C1502" s="0" t="s">
        <v>55</v>
      </c>
      <c r="D1502" s="0" t="n">
        <v>1165509</v>
      </c>
      <c r="E1502" s="0" t="s">
        <v>521</v>
      </c>
      <c r="G1502" s="0" t="s">
        <v>81</v>
      </c>
    </row>
    <row r="1503" customFormat="false" ht="15" hidden="false" customHeight="false" outlineLevel="0" collapsed="false">
      <c r="A1503" s="0" t="s">
        <v>169</v>
      </c>
      <c r="B1503" s="0" t="n">
        <v>2019</v>
      </c>
      <c r="C1503" s="0" t="s">
        <v>56</v>
      </c>
      <c r="D1503" s="0" t="n">
        <v>1046181</v>
      </c>
      <c r="E1503" s="0" t="s">
        <v>521</v>
      </c>
      <c r="G1503" s="0" t="s">
        <v>81</v>
      </c>
    </row>
    <row r="1504" customFormat="false" ht="15" hidden="false" customHeight="false" outlineLevel="0" collapsed="false">
      <c r="A1504" s="0" t="s">
        <v>169</v>
      </c>
      <c r="B1504" s="0" t="n">
        <v>2019</v>
      </c>
      <c r="C1504" s="0" t="s">
        <v>57</v>
      </c>
      <c r="D1504" s="0" t="n">
        <v>119328</v>
      </c>
      <c r="E1504" s="0" t="s">
        <v>521</v>
      </c>
      <c r="G1504" s="0" t="s">
        <v>81</v>
      </c>
    </row>
    <row r="1505" customFormat="false" ht="15" hidden="false" customHeight="false" outlineLevel="0" collapsed="false">
      <c r="A1505" s="0" t="s">
        <v>169</v>
      </c>
      <c r="B1505" s="0" t="n">
        <v>2019</v>
      </c>
      <c r="C1505" s="0" t="s">
        <v>58</v>
      </c>
      <c r="D1505" s="0" t="n">
        <v>114414</v>
      </c>
      <c r="E1505" s="0" t="s">
        <v>521</v>
      </c>
      <c r="G1505" s="0" t="s">
        <v>81</v>
      </c>
    </row>
    <row r="1506" customFormat="false" ht="15" hidden="false" customHeight="false" outlineLevel="0" collapsed="false">
      <c r="A1506" s="0" t="s">
        <v>169</v>
      </c>
      <c r="B1506" s="0" t="n">
        <v>2019</v>
      </c>
      <c r="C1506" s="0" t="s">
        <v>59</v>
      </c>
      <c r="D1506" s="0" t="n">
        <v>1085876</v>
      </c>
      <c r="E1506" s="0" t="s">
        <v>521</v>
      </c>
      <c r="G1506" s="0" t="s">
        <v>81</v>
      </c>
    </row>
    <row r="1507" customFormat="false" ht="15" hidden="false" customHeight="false" outlineLevel="0" collapsed="false">
      <c r="A1507" s="0" t="s">
        <v>169</v>
      </c>
      <c r="B1507" s="0" t="n">
        <v>2019</v>
      </c>
      <c r="C1507" s="0" t="s">
        <v>60</v>
      </c>
      <c r="D1507" s="0" t="n">
        <v>631698</v>
      </c>
      <c r="E1507" s="0" t="s">
        <v>521</v>
      </c>
      <c r="G1507" s="0" t="s">
        <v>81</v>
      </c>
    </row>
    <row r="1508" customFormat="false" ht="15" hidden="false" customHeight="false" outlineLevel="0" collapsed="false">
      <c r="A1508" s="0" t="s">
        <v>169</v>
      </c>
      <c r="B1508" s="0" t="n">
        <v>2019</v>
      </c>
      <c r="C1508" s="0" t="s">
        <v>61</v>
      </c>
      <c r="D1508" s="0" t="n">
        <v>12966</v>
      </c>
      <c r="E1508" s="0" t="s">
        <v>521</v>
      </c>
      <c r="G1508" s="0" t="s">
        <v>81</v>
      </c>
    </row>
    <row r="1509" customFormat="false" ht="15" hidden="false" customHeight="false" outlineLevel="0" collapsed="false">
      <c r="A1509" s="0" t="s">
        <v>169</v>
      </c>
      <c r="B1509" s="0" t="n">
        <v>2019</v>
      </c>
      <c r="C1509" s="0" t="s">
        <v>63</v>
      </c>
      <c r="D1509" s="0" t="n">
        <v>5842</v>
      </c>
      <c r="E1509" s="0" t="s">
        <v>521</v>
      </c>
      <c r="G1509" s="0" t="s">
        <v>81</v>
      </c>
    </row>
    <row r="1510" customFormat="false" ht="15" hidden="false" customHeight="false" outlineLevel="0" collapsed="false">
      <c r="A1510" s="0" t="s">
        <v>169</v>
      </c>
      <c r="B1510" s="0" t="n">
        <v>2019</v>
      </c>
      <c r="C1510" s="0" t="s">
        <v>69</v>
      </c>
      <c r="D1510" s="0" t="n">
        <v>14.7</v>
      </c>
      <c r="E1510" s="0" t="s">
        <v>521</v>
      </c>
      <c r="G1510" s="0" t="s">
        <v>81</v>
      </c>
    </row>
    <row r="1511" customFormat="false" ht="15" hidden="false" customHeight="false" outlineLevel="0" collapsed="false">
      <c r="A1511" s="0" t="s">
        <v>169</v>
      </c>
      <c r="B1511" s="0" t="n">
        <v>2019</v>
      </c>
      <c r="C1511" s="0" t="s">
        <v>70</v>
      </c>
      <c r="D1511" s="0" t="n">
        <v>10</v>
      </c>
      <c r="E1511" s="0" t="s">
        <v>521</v>
      </c>
      <c r="G1511" s="0" t="s">
        <v>81</v>
      </c>
    </row>
    <row r="1512" customFormat="false" ht="15" hidden="false" customHeight="false" outlineLevel="0" collapsed="false">
      <c r="A1512" s="0" t="s">
        <v>169</v>
      </c>
      <c r="B1512" s="0" t="n">
        <v>2019</v>
      </c>
      <c r="C1512" s="0" t="s">
        <v>73</v>
      </c>
      <c r="D1512" s="0" t="n">
        <v>0</v>
      </c>
      <c r="E1512" s="0" t="s">
        <v>539</v>
      </c>
      <c r="F1512" s="0" t="s">
        <v>363</v>
      </c>
      <c r="G1512" s="0" t="s">
        <v>856</v>
      </c>
      <c r="H1512" s="0" t="s">
        <v>373</v>
      </c>
    </row>
    <row r="1513" customFormat="false" ht="15" hidden="false" customHeight="false" outlineLevel="0" collapsed="false">
      <c r="A1513" s="0" t="s">
        <v>169</v>
      </c>
      <c r="B1513" s="0" t="n">
        <v>2019</v>
      </c>
      <c r="C1513" s="0" t="s">
        <v>19</v>
      </c>
      <c r="D1513" s="0" t="n">
        <v>1125692.5</v>
      </c>
      <c r="E1513" s="0" t="s">
        <v>522</v>
      </c>
    </row>
    <row r="1514" customFormat="false" ht="15" hidden="false" customHeight="false" outlineLevel="0" collapsed="false">
      <c r="A1514" s="0" t="s">
        <v>169</v>
      </c>
      <c r="B1514" s="0" t="n">
        <v>2019</v>
      </c>
      <c r="C1514" s="0" t="s">
        <v>41</v>
      </c>
      <c r="D1514" s="0" t="n">
        <v>0.902822040654975</v>
      </c>
      <c r="E1514" s="0" t="s">
        <v>522</v>
      </c>
    </row>
    <row r="1515" customFormat="false" ht="15" hidden="false" customHeight="false" outlineLevel="0" collapsed="false">
      <c r="A1515" s="0" t="s">
        <v>169</v>
      </c>
      <c r="B1515" s="0" t="n">
        <v>2019</v>
      </c>
      <c r="C1515" s="0" t="s">
        <v>27</v>
      </c>
      <c r="D1515" s="0" t="n">
        <v>10.238273578325</v>
      </c>
      <c r="E1515" s="0" t="s">
        <v>522</v>
      </c>
    </row>
    <row r="1516" customFormat="false" ht="15" hidden="false" customHeight="false" outlineLevel="0" collapsed="false">
      <c r="A1516" s="0" t="s">
        <v>169</v>
      </c>
      <c r="B1516" s="0" t="n">
        <v>2019</v>
      </c>
      <c r="C1516" s="0" t="s">
        <v>39</v>
      </c>
      <c r="D1516" s="0" t="n">
        <v>10.1638769024401</v>
      </c>
      <c r="E1516" s="0" t="s">
        <v>522</v>
      </c>
    </row>
    <row r="1517" customFormat="false" ht="15" hidden="false" customHeight="false" outlineLevel="0" collapsed="false">
      <c r="A1517" s="0" t="s">
        <v>169</v>
      </c>
      <c r="B1517" s="0" t="n">
        <v>2019</v>
      </c>
      <c r="C1517" s="0" t="s">
        <v>17</v>
      </c>
      <c r="D1517" s="0" t="n">
        <v>2.05256309185719</v>
      </c>
      <c r="E1517" s="0" t="s">
        <v>522</v>
      </c>
    </row>
    <row r="1518" customFormat="false" ht="15" hidden="false" customHeight="false" outlineLevel="0" collapsed="false">
      <c r="A1518" s="0" t="s">
        <v>169</v>
      </c>
      <c r="B1518" s="0" t="n">
        <v>2019</v>
      </c>
      <c r="C1518" s="0" t="s">
        <v>29</v>
      </c>
      <c r="D1518" s="0" t="n">
        <v>0.518969434370399</v>
      </c>
      <c r="E1518" s="0" t="s">
        <v>522</v>
      </c>
    </row>
    <row r="1519" customFormat="false" ht="15" hidden="false" customHeight="false" outlineLevel="0" collapsed="false">
      <c r="A1519" s="0" t="s">
        <v>169</v>
      </c>
      <c r="B1519" s="0" t="n">
        <v>2019</v>
      </c>
      <c r="C1519" s="0" t="s">
        <v>43</v>
      </c>
      <c r="D1519" s="0" t="n">
        <v>0.871979538553542</v>
      </c>
      <c r="E1519" s="0" t="s">
        <v>522</v>
      </c>
    </row>
    <row r="1520" customFormat="false" ht="15" hidden="false" customHeight="false" outlineLevel="0" collapsed="false">
      <c r="A1520" s="0" t="s">
        <v>169</v>
      </c>
      <c r="B1520" s="0" t="n">
        <v>2019</v>
      </c>
      <c r="C1520" s="0" t="s">
        <v>31</v>
      </c>
      <c r="D1520" s="0" t="n">
        <v>89.761726421675</v>
      </c>
      <c r="E1520" s="0" t="s">
        <v>522</v>
      </c>
    </row>
    <row r="1521" customFormat="false" ht="15" hidden="false" customHeight="false" outlineLevel="0" collapsed="false">
      <c r="A1521" s="0" t="s">
        <v>169</v>
      </c>
      <c r="B1521" s="0" t="n">
        <v>2019</v>
      </c>
      <c r="C1521" s="0" t="s">
        <v>33</v>
      </c>
      <c r="D1521" s="0" t="n">
        <v>13.9686684594359</v>
      </c>
      <c r="E1521" s="0" t="s">
        <v>522</v>
      </c>
    </row>
    <row r="1522" customFormat="false" ht="15" hidden="false" customHeight="false" outlineLevel="0" collapsed="false">
      <c r="A1522" s="0" t="s">
        <v>169</v>
      </c>
      <c r="B1522" s="0" t="n">
        <v>2019</v>
      </c>
      <c r="C1522" s="0" t="s">
        <v>21</v>
      </c>
      <c r="D1522" s="0" t="n">
        <v>0</v>
      </c>
      <c r="E1522" s="0" t="s">
        <v>522</v>
      </c>
    </row>
    <row r="1523" customFormat="false" ht="15" hidden="false" customHeight="false" outlineLevel="0" collapsed="false">
      <c r="A1523" s="0" t="s">
        <v>169</v>
      </c>
      <c r="B1523" s="0" t="n">
        <v>2020</v>
      </c>
      <c r="C1523" s="0" t="s">
        <v>54</v>
      </c>
      <c r="D1523" s="0" t="n">
        <v>11110</v>
      </c>
      <c r="E1523" s="0" t="s">
        <v>523</v>
      </c>
      <c r="F1523" s="0" t="s">
        <v>524</v>
      </c>
      <c r="G1523" s="0" t="s">
        <v>95</v>
      </c>
      <c r="H1523" s="0" t="s">
        <v>1279</v>
      </c>
    </row>
    <row r="1524" customFormat="false" ht="15" hidden="false" customHeight="false" outlineLevel="0" collapsed="false">
      <c r="A1524" s="0" t="s">
        <v>169</v>
      </c>
      <c r="B1524" s="0" t="n">
        <v>2020</v>
      </c>
      <c r="C1524" s="0" t="s">
        <v>55</v>
      </c>
      <c r="D1524" s="0" t="n">
        <v>1281830</v>
      </c>
      <c r="E1524" s="0" t="s">
        <v>539</v>
      </c>
      <c r="F1524" s="0" t="s">
        <v>524</v>
      </c>
      <c r="G1524" s="0" t="s">
        <v>95</v>
      </c>
      <c r="H1524" s="0" t="s">
        <v>1280</v>
      </c>
    </row>
    <row r="1525" customFormat="false" ht="15" hidden="false" customHeight="false" outlineLevel="0" collapsed="false">
      <c r="A1525" s="0" t="s">
        <v>169</v>
      </c>
      <c r="B1525" s="0" t="n">
        <v>2020</v>
      </c>
      <c r="C1525" s="0" t="s">
        <v>56</v>
      </c>
      <c r="D1525" s="0" t="n">
        <v>1146440</v>
      </c>
      <c r="E1525" s="0" t="s">
        <v>539</v>
      </c>
      <c r="F1525" s="0" t="s">
        <v>524</v>
      </c>
      <c r="G1525" s="0" t="s">
        <v>95</v>
      </c>
      <c r="H1525" s="0" t="s">
        <v>1281</v>
      </c>
    </row>
    <row r="1526" customFormat="false" ht="15" hidden="false" customHeight="false" outlineLevel="0" collapsed="false">
      <c r="A1526" s="0" t="s">
        <v>169</v>
      </c>
      <c r="B1526" s="0" t="n">
        <v>2020</v>
      </c>
      <c r="C1526" s="0" t="s">
        <v>57</v>
      </c>
      <c r="D1526" s="0" t="n">
        <v>135390</v>
      </c>
      <c r="E1526" s="0" t="s">
        <v>539</v>
      </c>
      <c r="F1526" s="0" t="s">
        <v>524</v>
      </c>
      <c r="G1526" s="0" t="s">
        <v>95</v>
      </c>
      <c r="H1526" s="0" t="s">
        <v>1282</v>
      </c>
    </row>
    <row r="1527" customFormat="false" ht="15" hidden="false" customHeight="false" outlineLevel="0" collapsed="false">
      <c r="A1527" s="0" t="s">
        <v>169</v>
      </c>
      <c r="B1527" s="0" t="n">
        <v>2020</v>
      </c>
      <c r="C1527" s="0" t="s">
        <v>58</v>
      </c>
      <c r="D1527" s="0" t="n">
        <v>4406</v>
      </c>
      <c r="E1527" s="0" t="s">
        <v>523</v>
      </c>
      <c r="F1527" s="0" t="s">
        <v>524</v>
      </c>
      <c r="G1527" s="0" t="s">
        <v>95</v>
      </c>
      <c r="H1527" s="0" t="s">
        <v>1283</v>
      </c>
    </row>
    <row r="1528" customFormat="false" ht="15" hidden="false" customHeight="false" outlineLevel="0" collapsed="false">
      <c r="A1528" s="0" t="s">
        <v>169</v>
      </c>
      <c r="B1528" s="0" t="n">
        <v>2020</v>
      </c>
      <c r="C1528" s="0" t="s">
        <v>59</v>
      </c>
      <c r="D1528" s="0" t="n">
        <v>1165509</v>
      </c>
      <c r="E1528" s="0" t="s">
        <v>539</v>
      </c>
      <c r="F1528" s="0" t="s">
        <v>524</v>
      </c>
      <c r="G1528" s="0" t="s">
        <v>95</v>
      </c>
      <c r="H1528" s="0" t="s">
        <v>1284</v>
      </c>
    </row>
    <row r="1529" customFormat="false" ht="15" hidden="false" customHeight="false" outlineLevel="0" collapsed="false">
      <c r="A1529" s="0" t="s">
        <v>169</v>
      </c>
      <c r="B1529" s="0" t="n">
        <v>2020</v>
      </c>
      <c r="C1529" s="0" t="s">
        <v>60</v>
      </c>
      <c r="D1529" s="0" t="n">
        <v>613359</v>
      </c>
      <c r="E1529" s="0" t="s">
        <v>523</v>
      </c>
      <c r="F1529" s="0" t="s">
        <v>524</v>
      </c>
      <c r="G1529" s="0" t="s">
        <v>95</v>
      </c>
      <c r="H1529" s="0" t="s">
        <v>1285</v>
      </c>
    </row>
    <row r="1530" customFormat="false" ht="15" hidden="false" customHeight="false" outlineLevel="0" collapsed="false">
      <c r="A1530" s="0" t="s">
        <v>169</v>
      </c>
      <c r="B1530" s="0" t="n">
        <v>2020</v>
      </c>
      <c r="C1530" s="0" t="s">
        <v>61</v>
      </c>
      <c r="D1530" s="0" t="n">
        <v>16532</v>
      </c>
      <c r="E1530" s="0" t="s">
        <v>979</v>
      </c>
      <c r="F1530" s="0" t="s">
        <v>524</v>
      </c>
      <c r="G1530" s="0" t="s">
        <v>95</v>
      </c>
      <c r="H1530" s="0" t="s">
        <v>1286</v>
      </c>
    </row>
    <row r="1531" customFormat="false" ht="15" hidden="false" customHeight="false" outlineLevel="0" collapsed="false">
      <c r="A1531" s="0" t="s">
        <v>169</v>
      </c>
      <c r="B1531" s="0" t="n">
        <v>2020</v>
      </c>
      <c r="C1531" s="0" t="s">
        <v>62</v>
      </c>
      <c r="D1531" s="0" t="n">
        <v>596827</v>
      </c>
      <c r="E1531" s="0" t="s">
        <v>539</v>
      </c>
      <c r="F1531" s="0" t="s">
        <v>524</v>
      </c>
      <c r="G1531" s="0" t="s">
        <v>95</v>
      </c>
      <c r="H1531" s="0" t="s">
        <v>1287</v>
      </c>
    </row>
    <row r="1532" customFormat="false" ht="15" hidden="false" customHeight="false" outlineLevel="0" collapsed="false">
      <c r="A1532" s="0" t="s">
        <v>169</v>
      </c>
      <c r="B1532" s="0" t="n">
        <v>2020</v>
      </c>
      <c r="C1532" s="0" t="s">
        <v>63</v>
      </c>
      <c r="D1532" s="0" t="n">
        <v>7913</v>
      </c>
      <c r="E1532" s="0" t="s">
        <v>523</v>
      </c>
      <c r="F1532" s="0" t="s">
        <v>524</v>
      </c>
      <c r="G1532" s="0" t="s">
        <v>95</v>
      </c>
      <c r="H1532" s="0" t="s">
        <v>1288</v>
      </c>
    </row>
    <row r="1533" customFormat="false" ht="15" hidden="false" customHeight="false" outlineLevel="0" collapsed="false">
      <c r="A1533" s="0" t="s">
        <v>169</v>
      </c>
      <c r="B1533" s="0" t="n">
        <v>2020</v>
      </c>
      <c r="C1533" s="0" t="s">
        <v>69</v>
      </c>
      <c r="D1533" s="0" t="n">
        <v>17.98</v>
      </c>
      <c r="E1533" s="0" t="s">
        <v>523</v>
      </c>
      <c r="F1533" s="0" t="s">
        <v>524</v>
      </c>
      <c r="G1533" s="0" t="s">
        <v>95</v>
      </c>
      <c r="H1533" s="0" t="s">
        <v>1289</v>
      </c>
    </row>
    <row r="1534" customFormat="false" ht="15" hidden="false" customHeight="false" outlineLevel="0" collapsed="false">
      <c r="A1534" s="0" t="s">
        <v>169</v>
      </c>
      <c r="B1534" s="0" t="n">
        <v>2020</v>
      </c>
      <c r="C1534" s="0" t="s">
        <v>70</v>
      </c>
      <c r="D1534" s="0" t="n">
        <v>10</v>
      </c>
      <c r="E1534" s="0" t="s">
        <v>523</v>
      </c>
      <c r="F1534" s="0" t="s">
        <v>524</v>
      </c>
      <c r="G1534" s="0" t="s">
        <v>95</v>
      </c>
      <c r="H1534" s="0" t="s">
        <v>1290</v>
      </c>
    </row>
    <row r="1535" customFormat="false" ht="15" hidden="false" customHeight="false" outlineLevel="0" collapsed="false">
      <c r="A1535" s="0" t="s">
        <v>169</v>
      </c>
      <c r="B1535" s="0" t="n">
        <v>2020</v>
      </c>
      <c r="C1535" s="0" t="s">
        <v>65</v>
      </c>
      <c r="D1535" s="0" t="n">
        <v>138703</v>
      </c>
      <c r="E1535" s="0" t="s">
        <v>523</v>
      </c>
      <c r="F1535" s="0" t="s">
        <v>524</v>
      </c>
      <c r="G1535" s="0" t="s">
        <v>95</v>
      </c>
      <c r="H1535" s="0" t="s">
        <v>1291</v>
      </c>
    </row>
    <row r="1536" customFormat="false" ht="15" hidden="false" customHeight="false" outlineLevel="0" collapsed="false">
      <c r="A1536" s="0" t="s">
        <v>169</v>
      </c>
      <c r="B1536" s="0" t="n">
        <v>2020</v>
      </c>
      <c r="C1536" s="0" t="s">
        <v>66</v>
      </c>
      <c r="D1536" s="0" t="n">
        <v>771587</v>
      </c>
      <c r="E1536" s="0" t="s">
        <v>523</v>
      </c>
      <c r="F1536" s="0" t="s">
        <v>524</v>
      </c>
      <c r="G1536" s="0" t="s">
        <v>95</v>
      </c>
      <c r="H1536" s="0" t="s">
        <v>1292</v>
      </c>
    </row>
    <row r="1537" customFormat="false" ht="15" hidden="false" customHeight="false" outlineLevel="0" collapsed="false">
      <c r="A1537" s="0" t="s">
        <v>169</v>
      </c>
      <c r="B1537" s="0" t="n">
        <v>2020</v>
      </c>
      <c r="C1537" s="0" t="s">
        <v>73</v>
      </c>
      <c r="D1537" s="0" t="n">
        <v>0</v>
      </c>
      <c r="E1537" s="0" t="s">
        <v>539</v>
      </c>
      <c r="F1537" s="0" t="s">
        <v>524</v>
      </c>
      <c r="G1537" s="0" t="s">
        <v>95</v>
      </c>
      <c r="H1537" s="0" t="s">
        <v>1293</v>
      </c>
    </row>
    <row r="1538" customFormat="false" ht="15" hidden="false" customHeight="false" outlineLevel="0" collapsed="false">
      <c r="A1538" s="0" t="s">
        <v>169</v>
      </c>
      <c r="B1538" s="0" t="n">
        <v>2020</v>
      </c>
      <c r="C1538" s="0" t="s">
        <v>541</v>
      </c>
      <c r="D1538" s="0" t="n">
        <v>12240</v>
      </c>
      <c r="E1538" s="0" t="s">
        <v>523</v>
      </c>
      <c r="F1538" s="0" t="s">
        <v>524</v>
      </c>
      <c r="G1538" s="0" t="s">
        <v>95</v>
      </c>
      <c r="H1538" s="0" t="s">
        <v>1294</v>
      </c>
    </row>
    <row r="1539" customFormat="false" ht="15" hidden="false" customHeight="false" outlineLevel="0" collapsed="false">
      <c r="A1539" s="0" t="s">
        <v>169</v>
      </c>
      <c r="B1539" s="0" t="n">
        <v>2020</v>
      </c>
      <c r="C1539" s="0" t="s">
        <v>19</v>
      </c>
      <c r="D1539" s="0" t="n">
        <v>1223669.5</v>
      </c>
      <c r="E1539" s="0" t="s">
        <v>522</v>
      </c>
    </row>
    <row r="1540" customFormat="false" ht="15" hidden="false" customHeight="false" outlineLevel="0" collapsed="false">
      <c r="A1540" s="0" t="s">
        <v>169</v>
      </c>
      <c r="B1540" s="0" t="n">
        <v>2020</v>
      </c>
      <c r="C1540" s="0" t="s">
        <v>41</v>
      </c>
      <c r="D1540" s="0" t="n">
        <v>0.907924893118608</v>
      </c>
      <c r="E1540" s="0" t="s">
        <v>522</v>
      </c>
    </row>
    <row r="1541" customFormat="false" ht="15" hidden="false" customHeight="false" outlineLevel="0" collapsed="false">
      <c r="A1541" s="0" t="s">
        <v>169</v>
      </c>
      <c r="B1541" s="0" t="n">
        <v>2020</v>
      </c>
      <c r="C1541" s="0" t="s">
        <v>27</v>
      </c>
      <c r="D1541" s="0" t="n">
        <v>10.5622430431493</v>
      </c>
      <c r="E1541" s="0" t="s">
        <v>522</v>
      </c>
    </row>
    <row r="1542" customFormat="false" ht="15" hidden="false" customHeight="false" outlineLevel="0" collapsed="false">
      <c r="A1542" s="0" t="s">
        <v>169</v>
      </c>
      <c r="B1542" s="0" t="n">
        <v>2020</v>
      </c>
      <c r="C1542" s="0" t="s">
        <v>39</v>
      </c>
      <c r="D1542" s="0" t="n">
        <v>0.36006454357161</v>
      </c>
      <c r="E1542" s="0" t="s">
        <v>522</v>
      </c>
    </row>
    <row r="1543" customFormat="false" ht="15" hidden="false" customHeight="false" outlineLevel="0" collapsed="false">
      <c r="A1543" s="0" t="s">
        <v>169</v>
      </c>
      <c r="B1543" s="0" t="n">
        <v>2020</v>
      </c>
      <c r="C1543" s="0" t="s">
        <v>17</v>
      </c>
      <c r="D1543" s="0" t="n">
        <v>2.69532198924284</v>
      </c>
      <c r="E1543" s="0" t="s">
        <v>522</v>
      </c>
    </row>
    <row r="1544" customFormat="false" ht="15" hidden="false" customHeight="false" outlineLevel="0" collapsed="false">
      <c r="A1544" s="0" t="s">
        <v>169</v>
      </c>
      <c r="B1544" s="0" t="n">
        <v>2020</v>
      </c>
      <c r="C1544" s="0" t="s">
        <v>25</v>
      </c>
      <c r="D1544" s="0" t="n">
        <v>17.9763267136434</v>
      </c>
      <c r="E1544" s="0" t="s">
        <v>522</v>
      </c>
    </row>
    <row r="1545" customFormat="false" ht="15" hidden="false" customHeight="false" outlineLevel="0" collapsed="false">
      <c r="A1545" s="0" t="s">
        <v>169</v>
      </c>
      <c r="B1545" s="0" t="n">
        <v>2020</v>
      </c>
      <c r="C1545" s="0" t="s">
        <v>29</v>
      </c>
      <c r="D1545" s="0" t="n">
        <v>0.646661537286007</v>
      </c>
      <c r="E1545" s="0" t="s">
        <v>522</v>
      </c>
    </row>
    <row r="1546" customFormat="false" ht="15" hidden="false" customHeight="false" outlineLevel="0" collapsed="false">
      <c r="A1546" s="0" t="s">
        <v>169</v>
      </c>
      <c r="B1546" s="0" t="n">
        <v>2020</v>
      </c>
      <c r="C1546" s="0" t="s">
        <v>43</v>
      </c>
      <c r="D1546" s="0" t="n">
        <v>0.866729597528533</v>
      </c>
      <c r="E1546" s="0" t="s">
        <v>522</v>
      </c>
    </row>
    <row r="1547" customFormat="false" ht="15" hidden="false" customHeight="false" outlineLevel="0" collapsed="false">
      <c r="A1547" s="0" t="s">
        <v>169</v>
      </c>
      <c r="B1547" s="0" t="n">
        <v>2020</v>
      </c>
      <c r="C1547" s="0" t="s">
        <v>31</v>
      </c>
      <c r="D1547" s="0" t="n">
        <v>89.4377569568508</v>
      </c>
      <c r="E1547" s="0" t="s">
        <v>522</v>
      </c>
    </row>
    <row r="1548" customFormat="false" ht="15" hidden="false" customHeight="false" outlineLevel="0" collapsed="false">
      <c r="A1548" s="0" t="s">
        <v>169</v>
      </c>
      <c r="B1548" s="0" t="n">
        <v>2020</v>
      </c>
      <c r="C1548" s="0" t="s">
        <v>33</v>
      </c>
      <c r="D1548" s="0" t="n">
        <v>14.0637993023657</v>
      </c>
      <c r="E1548" s="0" t="s">
        <v>522</v>
      </c>
    </row>
    <row r="1549" customFormat="false" ht="15" hidden="false" customHeight="false" outlineLevel="0" collapsed="false">
      <c r="A1549" s="0" t="s">
        <v>169</v>
      </c>
      <c r="B1549" s="0" t="n">
        <v>2020</v>
      </c>
      <c r="C1549" s="0" t="s">
        <v>21</v>
      </c>
      <c r="D1549" s="0" t="n">
        <v>0</v>
      </c>
      <c r="E1549" s="0" t="s">
        <v>522</v>
      </c>
    </row>
    <row r="1550" customFormat="false" ht="15" hidden="false" customHeight="false" outlineLevel="0" collapsed="false">
      <c r="A1550" s="0" t="s">
        <v>169</v>
      </c>
      <c r="B1550" s="0" t="n">
        <v>2020</v>
      </c>
      <c r="C1550" s="0" t="s">
        <v>35</v>
      </c>
      <c r="D1550" s="0" t="n">
        <v>0</v>
      </c>
      <c r="E1550" s="0" t="s">
        <v>522</v>
      </c>
    </row>
    <row r="1551" customFormat="false" ht="15" hidden="false" customHeight="false" outlineLevel="0" collapsed="false">
      <c r="A1551" s="0" t="s">
        <v>169</v>
      </c>
      <c r="B1551" s="0" t="n">
        <v>2021</v>
      </c>
      <c r="C1551" s="0" t="s">
        <v>54</v>
      </c>
      <c r="D1551" s="0" t="n">
        <v>13403</v>
      </c>
      <c r="E1551" s="0" t="s">
        <v>523</v>
      </c>
      <c r="F1551" s="0" t="s">
        <v>524</v>
      </c>
      <c r="G1551" s="0" t="s">
        <v>97</v>
      </c>
      <c r="H1551" s="0" t="s">
        <v>1295</v>
      </c>
    </row>
    <row r="1552" customFormat="false" ht="15" hidden="false" customHeight="false" outlineLevel="0" collapsed="false">
      <c r="A1552" s="0" t="s">
        <v>169</v>
      </c>
      <c r="B1552" s="0" t="n">
        <v>2021</v>
      </c>
      <c r="C1552" s="0" t="s">
        <v>55</v>
      </c>
      <c r="D1552" s="0" t="n">
        <v>1611749</v>
      </c>
      <c r="E1552" s="0" t="s">
        <v>539</v>
      </c>
      <c r="F1552" s="0" t="s">
        <v>524</v>
      </c>
      <c r="G1552" s="0" t="s">
        <v>97</v>
      </c>
      <c r="H1552" s="0" t="s">
        <v>1296</v>
      </c>
    </row>
    <row r="1553" customFormat="false" ht="15" hidden="false" customHeight="false" outlineLevel="0" collapsed="false">
      <c r="A1553" s="0" t="s">
        <v>169</v>
      </c>
      <c r="B1553" s="0" t="n">
        <v>2021</v>
      </c>
      <c r="C1553" s="0" t="s">
        <v>56</v>
      </c>
      <c r="D1553" s="0" t="n">
        <v>1470733</v>
      </c>
      <c r="E1553" s="0" t="s">
        <v>539</v>
      </c>
      <c r="F1553" s="0" t="s">
        <v>524</v>
      </c>
      <c r="G1553" s="0" t="s">
        <v>97</v>
      </c>
      <c r="H1553" s="0" t="s">
        <v>1297</v>
      </c>
    </row>
    <row r="1554" customFormat="false" ht="15" hidden="false" customHeight="false" outlineLevel="0" collapsed="false">
      <c r="A1554" s="0" t="s">
        <v>169</v>
      </c>
      <c r="B1554" s="0" t="n">
        <v>2021</v>
      </c>
      <c r="C1554" s="0" t="s">
        <v>57</v>
      </c>
      <c r="D1554" s="0" t="n">
        <v>141016</v>
      </c>
      <c r="E1554" s="0" t="s">
        <v>539</v>
      </c>
      <c r="F1554" s="0" t="s">
        <v>524</v>
      </c>
      <c r="G1554" s="0" t="s">
        <v>97</v>
      </c>
      <c r="H1554" s="0" t="s">
        <v>1298</v>
      </c>
    </row>
    <row r="1555" customFormat="false" ht="15" hidden="false" customHeight="false" outlineLevel="0" collapsed="false">
      <c r="A1555" s="0" t="s">
        <v>169</v>
      </c>
      <c r="B1555" s="0" t="n">
        <v>2021</v>
      </c>
      <c r="C1555" s="0" t="s">
        <v>58</v>
      </c>
      <c r="D1555" s="0" t="n">
        <v>145027</v>
      </c>
      <c r="E1555" s="0" t="s">
        <v>523</v>
      </c>
      <c r="F1555" s="0" t="s">
        <v>524</v>
      </c>
      <c r="G1555" s="0" t="s">
        <v>97</v>
      </c>
      <c r="H1555" s="0" t="s">
        <v>1299</v>
      </c>
    </row>
    <row r="1556" customFormat="false" ht="15" hidden="false" customHeight="false" outlineLevel="0" collapsed="false">
      <c r="A1556" s="0" t="s">
        <v>169</v>
      </c>
      <c r="B1556" s="0" t="n">
        <v>2021</v>
      </c>
      <c r="C1556" s="0" t="s">
        <v>59</v>
      </c>
      <c r="D1556" s="0" t="n">
        <v>1281830</v>
      </c>
      <c r="E1556" s="0" t="s">
        <v>539</v>
      </c>
      <c r="F1556" s="0" t="s">
        <v>524</v>
      </c>
      <c r="G1556" s="0" t="s">
        <v>97</v>
      </c>
      <c r="H1556" s="0" t="s">
        <v>1300</v>
      </c>
    </row>
    <row r="1557" customFormat="false" ht="15" hidden="false" customHeight="false" outlineLevel="0" collapsed="false">
      <c r="A1557" s="0" t="s">
        <v>169</v>
      </c>
      <c r="B1557" s="0" t="n">
        <v>2021</v>
      </c>
      <c r="C1557" s="0" t="s">
        <v>60</v>
      </c>
      <c r="D1557" s="0" t="n">
        <v>726080</v>
      </c>
      <c r="E1557" s="0" t="s">
        <v>523</v>
      </c>
      <c r="F1557" s="0" t="s">
        <v>524</v>
      </c>
      <c r="G1557" s="0" t="s">
        <v>97</v>
      </c>
      <c r="H1557" s="0" t="s">
        <v>1301</v>
      </c>
    </row>
    <row r="1558" customFormat="false" ht="15" hidden="false" customHeight="false" outlineLevel="0" collapsed="false">
      <c r="A1558" s="0" t="s">
        <v>169</v>
      </c>
      <c r="B1558" s="0" t="n">
        <v>2021</v>
      </c>
      <c r="C1558" s="0" t="s">
        <v>61</v>
      </c>
      <c r="D1558" s="0" t="n">
        <v>14180</v>
      </c>
      <c r="E1558" s="0" t="s">
        <v>523</v>
      </c>
      <c r="F1558" s="0" t="s">
        <v>524</v>
      </c>
      <c r="G1558" s="0" t="s">
        <v>97</v>
      </c>
      <c r="H1558" s="0" t="s">
        <v>1302</v>
      </c>
    </row>
    <row r="1559" customFormat="false" ht="15" hidden="false" customHeight="false" outlineLevel="0" collapsed="false">
      <c r="A1559" s="0" t="s">
        <v>169</v>
      </c>
      <c r="B1559" s="0" t="n">
        <v>2021</v>
      </c>
      <c r="C1559" s="0" t="s">
        <v>62</v>
      </c>
      <c r="D1559" s="0" t="n">
        <v>711900</v>
      </c>
      <c r="E1559" s="0" t="s">
        <v>523</v>
      </c>
      <c r="F1559" s="0" t="s">
        <v>524</v>
      </c>
      <c r="G1559" s="0" t="s">
        <v>97</v>
      </c>
      <c r="H1559" s="0" t="s">
        <v>1303</v>
      </c>
    </row>
    <row r="1560" customFormat="false" ht="15" hidden="false" customHeight="false" outlineLevel="0" collapsed="false">
      <c r="A1560" s="0" t="s">
        <v>169</v>
      </c>
      <c r="B1560" s="0" t="n">
        <v>2021</v>
      </c>
      <c r="C1560" s="0" t="s">
        <v>63</v>
      </c>
      <c r="D1560" s="0" t="n">
        <v>9822</v>
      </c>
      <c r="E1560" s="0" t="s">
        <v>523</v>
      </c>
      <c r="F1560" s="0" t="s">
        <v>524</v>
      </c>
      <c r="G1560" s="0" t="s">
        <v>97</v>
      </c>
      <c r="H1560" s="0" t="s">
        <v>1304</v>
      </c>
    </row>
    <row r="1561" customFormat="false" ht="15" hidden="false" customHeight="false" outlineLevel="0" collapsed="false">
      <c r="A1561" s="0" t="s">
        <v>169</v>
      </c>
      <c r="B1561" s="0" t="n">
        <v>2021</v>
      </c>
      <c r="C1561" s="0" t="s">
        <v>69</v>
      </c>
      <c r="D1561" s="0" t="n">
        <v>14.82</v>
      </c>
      <c r="E1561" s="0" t="s">
        <v>523</v>
      </c>
      <c r="F1561" s="0" t="s">
        <v>524</v>
      </c>
      <c r="G1561" s="0" t="s">
        <v>97</v>
      </c>
      <c r="H1561" s="0" t="s">
        <v>1305</v>
      </c>
    </row>
    <row r="1562" customFormat="false" ht="15" hidden="false" customHeight="false" outlineLevel="0" collapsed="false">
      <c r="A1562" s="0" t="s">
        <v>169</v>
      </c>
      <c r="B1562" s="0" t="n">
        <v>2021</v>
      </c>
      <c r="C1562" s="0" t="s">
        <v>70</v>
      </c>
      <c r="D1562" s="0" t="n">
        <v>10</v>
      </c>
      <c r="E1562" s="0" t="s">
        <v>523</v>
      </c>
      <c r="F1562" s="0" t="s">
        <v>524</v>
      </c>
      <c r="G1562" s="0" t="s">
        <v>97</v>
      </c>
      <c r="H1562" s="0" t="s">
        <v>1306</v>
      </c>
    </row>
    <row r="1563" customFormat="false" ht="15" hidden="false" customHeight="false" outlineLevel="0" collapsed="false">
      <c r="A1563" s="0" t="s">
        <v>169</v>
      </c>
      <c r="B1563" s="0" t="n">
        <v>2021</v>
      </c>
      <c r="C1563" s="0" t="s">
        <v>65</v>
      </c>
      <c r="D1563" s="0" t="n">
        <v>140952</v>
      </c>
      <c r="E1563" s="0" t="s">
        <v>523</v>
      </c>
      <c r="F1563" s="0" t="s">
        <v>524</v>
      </c>
      <c r="G1563" s="0" t="s">
        <v>97</v>
      </c>
      <c r="H1563" s="0" t="s">
        <v>1307</v>
      </c>
    </row>
    <row r="1564" customFormat="false" ht="15" hidden="false" customHeight="false" outlineLevel="0" collapsed="false">
      <c r="A1564" s="0" t="s">
        <v>169</v>
      </c>
      <c r="B1564" s="0" t="n">
        <v>2021</v>
      </c>
      <c r="C1564" s="0" t="s">
        <v>66</v>
      </c>
      <c r="D1564" s="0" t="n">
        <v>951379</v>
      </c>
      <c r="E1564" s="0" t="s">
        <v>523</v>
      </c>
      <c r="F1564" s="0" t="s">
        <v>524</v>
      </c>
      <c r="G1564" s="0" t="s">
        <v>97</v>
      </c>
      <c r="H1564" s="0" t="s">
        <v>1308</v>
      </c>
    </row>
    <row r="1565" customFormat="false" ht="15" hidden="false" customHeight="false" outlineLevel="0" collapsed="false">
      <c r="A1565" s="0" t="s">
        <v>169</v>
      </c>
      <c r="B1565" s="0" t="n">
        <v>2021</v>
      </c>
      <c r="C1565" s="0" t="s">
        <v>73</v>
      </c>
      <c r="D1565" s="0" t="n">
        <v>0</v>
      </c>
      <c r="E1565" s="0" t="s">
        <v>539</v>
      </c>
      <c r="F1565" s="0" t="s">
        <v>524</v>
      </c>
      <c r="G1565" s="0" t="s">
        <v>97</v>
      </c>
      <c r="H1565" s="0" t="s">
        <v>1309</v>
      </c>
    </row>
    <row r="1566" customFormat="false" ht="15" hidden="false" customHeight="false" outlineLevel="0" collapsed="false">
      <c r="A1566" s="0" t="s">
        <v>169</v>
      </c>
      <c r="B1566" s="0" t="n">
        <v>2021</v>
      </c>
      <c r="C1566" s="0" t="s">
        <v>541</v>
      </c>
      <c r="D1566" s="0" t="n">
        <v>14343</v>
      </c>
      <c r="E1566" s="0" t="s">
        <v>523</v>
      </c>
      <c r="F1566" s="0" t="s">
        <v>524</v>
      </c>
      <c r="G1566" s="0" t="s">
        <v>97</v>
      </c>
      <c r="H1566" s="0" t="s">
        <v>1310</v>
      </c>
    </row>
    <row r="1567" customFormat="false" ht="15" hidden="false" customHeight="false" outlineLevel="0" collapsed="false">
      <c r="A1567" s="0" t="s">
        <v>169</v>
      </c>
      <c r="B1567" s="0" t="n">
        <v>2021</v>
      </c>
      <c r="C1567" s="0" t="s">
        <v>19</v>
      </c>
      <c r="D1567" s="0" t="n">
        <v>1446789.5</v>
      </c>
      <c r="E1567" s="0" t="s">
        <v>522</v>
      </c>
    </row>
    <row r="1568" customFormat="false" ht="15" hidden="false" customHeight="false" outlineLevel="0" collapsed="false">
      <c r="A1568" s="0" t="s">
        <v>169</v>
      </c>
      <c r="B1568" s="0" t="n">
        <v>2021</v>
      </c>
      <c r="C1568" s="0" t="s">
        <v>41</v>
      </c>
      <c r="D1568" s="0" t="n">
        <v>0.926395996100331</v>
      </c>
      <c r="E1568" s="0" t="s">
        <v>522</v>
      </c>
    </row>
    <row r="1569" customFormat="false" ht="15" hidden="false" customHeight="false" outlineLevel="0" collapsed="false">
      <c r="A1569" s="0" t="s">
        <v>169</v>
      </c>
      <c r="B1569" s="0" t="n">
        <v>2021</v>
      </c>
      <c r="C1569" s="0" t="s">
        <v>27</v>
      </c>
      <c r="D1569" s="0" t="n">
        <v>8.74925314053243</v>
      </c>
      <c r="E1569" s="0" t="s">
        <v>522</v>
      </c>
    </row>
    <row r="1570" customFormat="false" ht="15" hidden="false" customHeight="false" outlineLevel="0" collapsed="false">
      <c r="A1570" s="0" t="s">
        <v>169</v>
      </c>
      <c r="B1570" s="0" t="n">
        <v>2021</v>
      </c>
      <c r="C1570" s="0" t="s">
        <v>39</v>
      </c>
      <c r="D1570" s="0" t="n">
        <v>10.024056713157</v>
      </c>
      <c r="E1570" s="0" t="s">
        <v>522</v>
      </c>
    </row>
    <row r="1571" customFormat="false" ht="15" hidden="false" customHeight="false" outlineLevel="0" collapsed="false">
      <c r="A1571" s="0" t="s">
        <v>169</v>
      </c>
      <c r="B1571" s="0" t="n">
        <v>2021</v>
      </c>
      <c r="C1571" s="0" t="s">
        <v>17</v>
      </c>
      <c r="D1571" s="0" t="n">
        <v>1.95295284266197</v>
      </c>
      <c r="E1571" s="0" t="s">
        <v>522</v>
      </c>
    </row>
    <row r="1572" customFormat="false" ht="15" hidden="false" customHeight="false" outlineLevel="0" collapsed="false">
      <c r="A1572" s="0" t="s">
        <v>169</v>
      </c>
      <c r="B1572" s="0" t="n">
        <v>2021</v>
      </c>
      <c r="C1572" s="0" t="s">
        <v>25</v>
      </c>
      <c r="D1572" s="0" t="n">
        <v>14.8155466959014</v>
      </c>
      <c r="E1572" s="0" t="s">
        <v>522</v>
      </c>
    </row>
    <row r="1573" customFormat="false" ht="15" hidden="false" customHeight="false" outlineLevel="0" collapsed="false">
      <c r="A1573" s="0" t="s">
        <v>169</v>
      </c>
      <c r="B1573" s="0" t="n">
        <v>2021</v>
      </c>
      <c r="C1573" s="0" t="s">
        <v>29</v>
      </c>
      <c r="D1573" s="0" t="n">
        <v>0.678882449727483</v>
      </c>
      <c r="E1573" s="0" t="s">
        <v>522</v>
      </c>
    </row>
    <row r="1574" customFormat="false" ht="15" hidden="false" customHeight="false" outlineLevel="0" collapsed="false">
      <c r="A1574" s="0" t="s">
        <v>169</v>
      </c>
      <c r="B1574" s="0" t="n">
        <v>2021</v>
      </c>
      <c r="C1574" s="0" t="s">
        <v>43</v>
      </c>
      <c r="D1574" s="0" t="n">
        <v>0.831581096063965</v>
      </c>
      <c r="E1574" s="0" t="s">
        <v>522</v>
      </c>
    </row>
    <row r="1575" customFormat="false" ht="15" hidden="false" customHeight="false" outlineLevel="0" collapsed="false">
      <c r="A1575" s="0" t="s">
        <v>169</v>
      </c>
      <c r="B1575" s="0" t="n">
        <v>2021</v>
      </c>
      <c r="C1575" s="0" t="s">
        <v>31</v>
      </c>
      <c r="D1575" s="0" t="n">
        <v>91.2507468594676</v>
      </c>
      <c r="E1575" s="0" t="s">
        <v>522</v>
      </c>
    </row>
    <row r="1576" customFormat="false" ht="15" hidden="false" customHeight="false" outlineLevel="0" collapsed="false">
      <c r="A1576" s="0" t="s">
        <v>169</v>
      </c>
      <c r="B1576" s="0" t="n">
        <v>2021</v>
      </c>
      <c r="C1576" s="0" t="s">
        <v>33</v>
      </c>
      <c r="D1576" s="0" t="n">
        <v>14.2928304827291</v>
      </c>
      <c r="E1576" s="0" t="s">
        <v>522</v>
      </c>
    </row>
    <row r="1577" customFormat="false" ht="15" hidden="false" customHeight="false" outlineLevel="0" collapsed="false">
      <c r="A1577" s="0" t="s">
        <v>169</v>
      </c>
      <c r="B1577" s="0" t="n">
        <v>2021</v>
      </c>
      <c r="C1577" s="0" t="s">
        <v>21</v>
      </c>
      <c r="D1577" s="0" t="n">
        <v>0</v>
      </c>
      <c r="E1577" s="0" t="s">
        <v>522</v>
      </c>
    </row>
    <row r="1578" customFormat="false" ht="15" hidden="false" customHeight="false" outlineLevel="0" collapsed="false">
      <c r="A1578" s="0" t="s">
        <v>169</v>
      </c>
      <c r="B1578" s="0" t="n">
        <v>2021</v>
      </c>
      <c r="C1578" s="0" t="s">
        <v>35</v>
      </c>
      <c r="D1578" s="0" t="n">
        <v>0</v>
      </c>
      <c r="E1578" s="0" t="s">
        <v>522</v>
      </c>
    </row>
    <row r="1579" customFormat="false" ht="15" hidden="false" customHeight="false" outlineLevel="0" collapsed="false">
      <c r="A1579" s="0" t="s">
        <v>169</v>
      </c>
      <c r="B1579" s="0" t="n">
        <v>2022</v>
      </c>
      <c r="C1579" s="0" t="s">
        <v>54</v>
      </c>
      <c r="D1579" s="0" t="n">
        <v>19327</v>
      </c>
      <c r="E1579" s="0" t="s">
        <v>523</v>
      </c>
      <c r="F1579" s="0" t="s">
        <v>524</v>
      </c>
      <c r="G1579" s="0" t="s">
        <v>114</v>
      </c>
      <c r="H1579" s="0" t="s">
        <v>1311</v>
      </c>
    </row>
    <row r="1580" customFormat="false" ht="15" hidden="false" customHeight="false" outlineLevel="0" collapsed="false">
      <c r="A1580" s="0" t="s">
        <v>169</v>
      </c>
      <c r="B1580" s="0" t="n">
        <v>2022</v>
      </c>
      <c r="C1580" s="0" t="s">
        <v>55</v>
      </c>
      <c r="D1580" s="0" t="n">
        <v>1840622</v>
      </c>
      <c r="E1580" s="0" t="s">
        <v>523</v>
      </c>
      <c r="F1580" s="0" t="s">
        <v>524</v>
      </c>
      <c r="G1580" s="0" t="s">
        <v>114</v>
      </c>
      <c r="H1580" s="0" t="s">
        <v>1312</v>
      </c>
    </row>
    <row r="1581" customFormat="false" ht="15" hidden="false" customHeight="false" outlineLevel="0" collapsed="false">
      <c r="A1581" s="0" t="s">
        <v>169</v>
      </c>
      <c r="B1581" s="0" t="n">
        <v>2022</v>
      </c>
      <c r="C1581" s="0" t="s">
        <v>56</v>
      </c>
      <c r="D1581" s="0" t="n">
        <v>1687070</v>
      </c>
      <c r="E1581" s="0" t="s">
        <v>523</v>
      </c>
      <c r="F1581" s="0" t="s">
        <v>524</v>
      </c>
      <c r="G1581" s="0" t="s">
        <v>114</v>
      </c>
      <c r="H1581" s="0" t="s">
        <v>1313</v>
      </c>
    </row>
    <row r="1582" customFormat="false" ht="15" hidden="false" customHeight="false" outlineLevel="0" collapsed="false">
      <c r="A1582" s="0" t="s">
        <v>169</v>
      </c>
      <c r="B1582" s="0" t="n">
        <v>2022</v>
      </c>
      <c r="C1582" s="0" t="s">
        <v>57</v>
      </c>
      <c r="D1582" s="0" t="n">
        <v>153552</v>
      </c>
      <c r="E1582" s="0" t="s">
        <v>523</v>
      </c>
      <c r="F1582" s="0" t="s">
        <v>524</v>
      </c>
      <c r="G1582" s="0" t="s">
        <v>114</v>
      </c>
      <c r="H1582" s="0" t="s">
        <v>1314</v>
      </c>
    </row>
    <row r="1583" customFormat="false" ht="15" hidden="false" customHeight="false" outlineLevel="0" collapsed="false">
      <c r="A1583" s="0" t="s">
        <v>169</v>
      </c>
      <c r="B1583" s="0" t="n">
        <v>2022</v>
      </c>
      <c r="C1583" s="0" t="s">
        <v>58</v>
      </c>
      <c r="D1583" s="0" t="n">
        <v>70837</v>
      </c>
      <c r="E1583" s="0" t="s">
        <v>523</v>
      </c>
      <c r="F1583" s="0" t="s">
        <v>524</v>
      </c>
      <c r="G1583" s="0" t="s">
        <v>114</v>
      </c>
      <c r="H1583" s="0" t="s">
        <v>1315</v>
      </c>
    </row>
    <row r="1584" customFormat="false" ht="15" hidden="false" customHeight="false" outlineLevel="0" collapsed="false">
      <c r="A1584" s="0" t="s">
        <v>169</v>
      </c>
      <c r="B1584" s="0" t="n">
        <v>2022</v>
      </c>
      <c r="C1584" s="0" t="s">
        <v>59</v>
      </c>
      <c r="D1584" s="0" t="n">
        <v>1606898</v>
      </c>
      <c r="E1584" s="0" t="s">
        <v>523</v>
      </c>
      <c r="F1584" s="0" t="s">
        <v>524</v>
      </c>
      <c r="G1584" s="0" t="s">
        <v>114</v>
      </c>
      <c r="H1584" s="0" t="s">
        <v>1316</v>
      </c>
    </row>
    <row r="1585" customFormat="false" ht="15" hidden="false" customHeight="false" outlineLevel="0" collapsed="false">
      <c r="A1585" s="0" t="s">
        <v>169</v>
      </c>
      <c r="B1585" s="0" t="n">
        <v>2022</v>
      </c>
      <c r="C1585" s="0" t="s">
        <v>60</v>
      </c>
      <c r="D1585" s="0" t="n">
        <v>758183</v>
      </c>
      <c r="E1585" s="0" t="s">
        <v>523</v>
      </c>
      <c r="F1585" s="0" t="s">
        <v>524</v>
      </c>
      <c r="G1585" s="0" t="s">
        <v>114</v>
      </c>
      <c r="H1585" s="0" t="s">
        <v>1317</v>
      </c>
    </row>
    <row r="1586" customFormat="false" ht="15" hidden="false" customHeight="false" outlineLevel="0" collapsed="false">
      <c r="A1586" s="0" t="s">
        <v>169</v>
      </c>
      <c r="B1586" s="0" t="n">
        <v>2022</v>
      </c>
      <c r="C1586" s="0" t="s">
        <v>61</v>
      </c>
      <c r="D1586" s="0" t="n">
        <v>20448</v>
      </c>
      <c r="E1586" s="0" t="s">
        <v>523</v>
      </c>
      <c r="F1586" s="0" t="s">
        <v>524</v>
      </c>
      <c r="G1586" s="0" t="s">
        <v>114</v>
      </c>
      <c r="H1586" s="0" t="s">
        <v>1318</v>
      </c>
    </row>
    <row r="1587" customFormat="false" ht="15" hidden="false" customHeight="false" outlineLevel="0" collapsed="false">
      <c r="A1587" s="0" t="s">
        <v>169</v>
      </c>
      <c r="B1587" s="0" t="n">
        <v>2022</v>
      </c>
      <c r="C1587" s="0" t="s">
        <v>62</v>
      </c>
      <c r="D1587" s="0" t="n">
        <v>737735</v>
      </c>
      <c r="E1587" s="0" t="s">
        <v>523</v>
      </c>
      <c r="F1587" s="0" t="s">
        <v>524</v>
      </c>
      <c r="G1587" s="0" t="s">
        <v>114</v>
      </c>
      <c r="H1587" s="0" t="s">
        <v>1319</v>
      </c>
    </row>
    <row r="1588" customFormat="false" ht="15" hidden="false" customHeight="false" outlineLevel="0" collapsed="false">
      <c r="A1588" s="0" t="s">
        <v>169</v>
      </c>
      <c r="B1588" s="0" t="n">
        <v>2022</v>
      </c>
      <c r="C1588" s="0" t="s">
        <v>63</v>
      </c>
      <c r="D1588" s="0" t="n">
        <v>9084</v>
      </c>
      <c r="E1588" s="0" t="s">
        <v>523</v>
      </c>
      <c r="F1588" s="0" t="s">
        <v>524</v>
      </c>
      <c r="G1588" s="0" t="s">
        <v>114</v>
      </c>
      <c r="H1588" s="0" t="s">
        <v>1320</v>
      </c>
    </row>
    <row r="1589" customFormat="false" ht="15" hidden="false" customHeight="false" outlineLevel="0" collapsed="false">
      <c r="A1589" s="0" t="s">
        <v>169</v>
      </c>
      <c r="B1589" s="0" t="n">
        <v>2022</v>
      </c>
      <c r="C1589" s="0" t="s">
        <v>69</v>
      </c>
      <c r="D1589" s="0" t="n">
        <v>14.67</v>
      </c>
      <c r="E1589" s="0" t="s">
        <v>523</v>
      </c>
      <c r="F1589" s="0" t="s">
        <v>524</v>
      </c>
      <c r="G1589" s="0" t="s">
        <v>114</v>
      </c>
      <c r="H1589" s="0" t="s">
        <v>1321</v>
      </c>
    </row>
    <row r="1590" customFormat="false" ht="15" hidden="false" customHeight="false" outlineLevel="0" collapsed="false">
      <c r="A1590" s="0" t="s">
        <v>169</v>
      </c>
      <c r="B1590" s="0" t="n">
        <v>2022</v>
      </c>
      <c r="C1590" s="0" t="s">
        <v>70</v>
      </c>
      <c r="D1590" s="0" t="n">
        <v>10</v>
      </c>
      <c r="E1590" s="0" t="s">
        <v>523</v>
      </c>
      <c r="F1590" s="0" t="s">
        <v>524</v>
      </c>
      <c r="G1590" s="0" t="s">
        <v>114</v>
      </c>
      <c r="H1590" s="0" t="s">
        <v>1322</v>
      </c>
    </row>
    <row r="1591" customFormat="false" ht="15" hidden="false" customHeight="false" outlineLevel="0" collapsed="false">
      <c r="A1591" s="0" t="s">
        <v>169</v>
      </c>
      <c r="B1591" s="0" t="n">
        <v>2022</v>
      </c>
      <c r="C1591" s="0" t="s">
        <v>65</v>
      </c>
      <c r="D1591" s="0" t="n">
        <v>148600</v>
      </c>
      <c r="E1591" s="0" t="s">
        <v>523</v>
      </c>
      <c r="F1591" s="0" t="s">
        <v>524</v>
      </c>
      <c r="G1591" s="0" t="s">
        <v>114</v>
      </c>
      <c r="H1591" s="0" t="s">
        <v>1323</v>
      </c>
    </row>
    <row r="1592" customFormat="false" ht="15" hidden="false" customHeight="false" outlineLevel="0" collapsed="false">
      <c r="A1592" s="0" t="s">
        <v>169</v>
      </c>
      <c r="B1592" s="0" t="n">
        <v>2022</v>
      </c>
      <c r="C1592" s="0" t="s">
        <v>66</v>
      </c>
      <c r="D1592" s="0" t="n">
        <v>1012661</v>
      </c>
      <c r="E1592" s="0" t="s">
        <v>523</v>
      </c>
      <c r="F1592" s="0" t="s">
        <v>524</v>
      </c>
      <c r="G1592" s="0" t="s">
        <v>114</v>
      </c>
      <c r="H1592" s="0" t="s">
        <v>1324</v>
      </c>
    </row>
    <row r="1593" customFormat="false" ht="15" hidden="false" customHeight="false" outlineLevel="0" collapsed="false">
      <c r="A1593" s="0" t="s">
        <v>169</v>
      </c>
      <c r="B1593" s="0" t="n">
        <v>2022</v>
      </c>
      <c r="C1593" s="0" t="s">
        <v>73</v>
      </c>
      <c r="D1593" s="0" t="n">
        <v>0</v>
      </c>
      <c r="E1593" s="0" t="s">
        <v>539</v>
      </c>
      <c r="F1593" s="0" t="s">
        <v>524</v>
      </c>
      <c r="G1593" s="0" t="s">
        <v>114</v>
      </c>
      <c r="H1593" s="0" t="s">
        <v>1325</v>
      </c>
    </row>
    <row r="1594" customFormat="false" ht="15" hidden="false" customHeight="false" outlineLevel="0" collapsed="false">
      <c r="A1594" s="0" t="s">
        <v>169</v>
      </c>
      <c r="B1594" s="0" t="n">
        <v>2022</v>
      </c>
      <c r="C1594" s="0" t="s">
        <v>541</v>
      </c>
      <c r="D1594" s="0" t="n">
        <v>20769</v>
      </c>
      <c r="E1594" s="0" t="s">
        <v>523</v>
      </c>
      <c r="F1594" s="0" t="s">
        <v>524</v>
      </c>
      <c r="G1594" s="0" t="s">
        <v>114</v>
      </c>
      <c r="H1594" s="0" t="s">
        <v>1326</v>
      </c>
    </row>
    <row r="1595" customFormat="false" ht="15" hidden="false" customHeight="false" outlineLevel="0" collapsed="false">
      <c r="A1595" s="0" t="s">
        <v>169</v>
      </c>
      <c r="B1595" s="0" t="n">
        <v>2022</v>
      </c>
      <c r="C1595" s="0" t="s">
        <v>19</v>
      </c>
      <c r="D1595" s="0" t="n">
        <v>1723760</v>
      </c>
      <c r="E1595" s="0" t="s">
        <v>522</v>
      </c>
    </row>
    <row r="1596" customFormat="false" ht="15" hidden="false" customHeight="false" outlineLevel="0" collapsed="false">
      <c r="A1596" s="0" t="s">
        <v>169</v>
      </c>
      <c r="B1596" s="0" t="n">
        <v>2022</v>
      </c>
      <c r="C1596" s="0" t="s">
        <v>41</v>
      </c>
      <c r="D1596" s="0" t="n">
        <v>1.1212117696199</v>
      </c>
      <c r="E1596" s="0" t="s">
        <v>522</v>
      </c>
    </row>
    <row r="1597" customFormat="false" ht="15" hidden="false" customHeight="false" outlineLevel="0" collapsed="false">
      <c r="A1597" s="0" t="s">
        <v>169</v>
      </c>
      <c r="B1597" s="0" t="n">
        <v>2022</v>
      </c>
      <c r="C1597" s="0" t="s">
        <v>27</v>
      </c>
      <c r="D1597" s="0" t="n">
        <v>8.3423972983046</v>
      </c>
      <c r="E1597" s="0" t="s">
        <v>522</v>
      </c>
    </row>
    <row r="1598" customFormat="false" ht="15" hidden="false" customHeight="false" outlineLevel="0" collapsed="false">
      <c r="A1598" s="0" t="s">
        <v>169</v>
      </c>
      <c r="B1598" s="0" t="n">
        <v>2022</v>
      </c>
      <c r="C1598" s="0" t="s">
        <v>39</v>
      </c>
      <c r="D1598" s="0" t="n">
        <v>4.10944679073653</v>
      </c>
      <c r="E1598" s="0" t="s">
        <v>522</v>
      </c>
    </row>
    <row r="1599" customFormat="false" ht="15" hidden="false" customHeight="false" outlineLevel="0" collapsed="false">
      <c r="A1599" s="0" t="s">
        <v>169</v>
      </c>
      <c r="B1599" s="0" t="n">
        <v>2022</v>
      </c>
      <c r="C1599" s="0" t="s">
        <v>17</v>
      </c>
      <c r="D1599" s="0" t="n">
        <v>2.69697421334955</v>
      </c>
      <c r="E1599" s="0" t="s">
        <v>522</v>
      </c>
    </row>
    <row r="1600" customFormat="false" ht="15" hidden="false" customHeight="false" outlineLevel="0" collapsed="false">
      <c r="A1600" s="0" t="s">
        <v>169</v>
      </c>
      <c r="B1600" s="0" t="n">
        <v>2022</v>
      </c>
      <c r="C1600" s="0" t="s">
        <v>25</v>
      </c>
      <c r="D1600" s="0" t="n">
        <v>14.6742098293506</v>
      </c>
      <c r="E1600" s="0" t="s">
        <v>522</v>
      </c>
    </row>
    <row r="1601" customFormat="false" ht="15" hidden="false" customHeight="false" outlineLevel="0" collapsed="false">
      <c r="A1601" s="0" t="s">
        <v>169</v>
      </c>
      <c r="B1601" s="0" t="n">
        <v>2022</v>
      </c>
      <c r="C1601" s="0" t="s">
        <v>29</v>
      </c>
      <c r="D1601" s="0" t="n">
        <v>0.526987515663433</v>
      </c>
      <c r="E1601" s="0" t="s">
        <v>522</v>
      </c>
    </row>
    <row r="1602" customFormat="false" ht="15" hidden="false" customHeight="false" outlineLevel="0" collapsed="false">
      <c r="A1602" s="0" t="s">
        <v>169</v>
      </c>
      <c r="B1602" s="0" t="n">
        <v>2022</v>
      </c>
      <c r="C1602" s="0" t="s">
        <v>43</v>
      </c>
      <c r="D1602" s="0" t="n">
        <v>1.05002548051691</v>
      </c>
      <c r="E1602" s="0" t="s">
        <v>522</v>
      </c>
    </row>
    <row r="1603" customFormat="false" ht="15" hidden="false" customHeight="false" outlineLevel="0" collapsed="false">
      <c r="A1603" s="0" t="s">
        <v>169</v>
      </c>
      <c r="B1603" s="0" t="n">
        <v>2022</v>
      </c>
      <c r="C1603" s="0" t="s">
        <v>31</v>
      </c>
      <c r="D1603" s="0" t="n">
        <v>91.6576027016954</v>
      </c>
      <c r="E1603" s="0" t="s">
        <v>522</v>
      </c>
    </row>
    <row r="1604" customFormat="false" ht="15" hidden="false" customHeight="false" outlineLevel="0" collapsed="false">
      <c r="A1604" s="0" t="s">
        <v>169</v>
      </c>
      <c r="B1604" s="0" t="n">
        <v>2022</v>
      </c>
      <c r="C1604" s="0" t="s">
        <v>33</v>
      </c>
      <c r="D1604" s="0" t="n">
        <v>14.4256141159396</v>
      </c>
      <c r="E1604" s="0" t="s">
        <v>522</v>
      </c>
    </row>
    <row r="1605" customFormat="false" ht="15" hidden="false" customHeight="false" outlineLevel="0" collapsed="false">
      <c r="A1605" s="0" t="s">
        <v>169</v>
      </c>
      <c r="B1605" s="0" t="n">
        <v>2022</v>
      </c>
      <c r="C1605" s="0" t="s">
        <v>21</v>
      </c>
      <c r="D1605" s="0" t="n">
        <v>0</v>
      </c>
      <c r="E1605" s="0" t="s">
        <v>522</v>
      </c>
    </row>
    <row r="1606" customFormat="false" ht="15" hidden="false" customHeight="false" outlineLevel="0" collapsed="false">
      <c r="A1606" s="0" t="s">
        <v>169</v>
      </c>
      <c r="B1606" s="0" t="n">
        <v>2022</v>
      </c>
      <c r="C1606" s="0" t="s">
        <v>35</v>
      </c>
      <c r="D1606" s="0" t="n">
        <v>0</v>
      </c>
      <c r="E1606" s="0" t="s">
        <v>522</v>
      </c>
    </row>
    <row r="1607" customFormat="false" ht="15" hidden="false" customHeight="false" outlineLevel="0" collapsed="false">
      <c r="A1607" s="0" t="s">
        <v>178</v>
      </c>
      <c r="B1607" s="0" t="n">
        <v>2013</v>
      </c>
      <c r="C1607" s="0" t="s">
        <v>54</v>
      </c>
      <c r="D1607" s="0" t="n">
        <v>46483</v>
      </c>
      <c r="E1607" s="0" t="s">
        <v>521</v>
      </c>
      <c r="G1607" s="0" t="s">
        <v>81</v>
      </c>
    </row>
    <row r="1608" customFormat="false" ht="15" hidden="false" customHeight="false" outlineLevel="0" collapsed="false">
      <c r="A1608" s="0" t="s">
        <v>178</v>
      </c>
      <c r="B1608" s="0" t="n">
        <v>2013</v>
      </c>
      <c r="C1608" s="0" t="s">
        <v>55</v>
      </c>
      <c r="D1608" s="0" t="n">
        <v>2217417</v>
      </c>
      <c r="E1608" s="0" t="s">
        <v>521</v>
      </c>
      <c r="G1608" s="0" t="s">
        <v>81</v>
      </c>
    </row>
    <row r="1609" customFormat="false" ht="15" hidden="false" customHeight="false" outlineLevel="0" collapsed="false">
      <c r="A1609" s="0" t="s">
        <v>178</v>
      </c>
      <c r="B1609" s="0" t="n">
        <v>2013</v>
      </c>
      <c r="C1609" s="0" t="s">
        <v>56</v>
      </c>
      <c r="D1609" s="0" t="n">
        <v>1957879</v>
      </c>
      <c r="E1609" s="0" t="s">
        <v>521</v>
      </c>
      <c r="G1609" s="0" t="s">
        <v>81</v>
      </c>
    </row>
    <row r="1610" customFormat="false" ht="15" hidden="false" customHeight="false" outlineLevel="0" collapsed="false">
      <c r="A1610" s="0" t="s">
        <v>178</v>
      </c>
      <c r="B1610" s="0" t="n">
        <v>2013</v>
      </c>
      <c r="C1610" s="0" t="s">
        <v>57</v>
      </c>
      <c r="D1610" s="0" t="n">
        <v>259538</v>
      </c>
      <c r="E1610" s="0" t="s">
        <v>521</v>
      </c>
      <c r="G1610" s="0" t="s">
        <v>81</v>
      </c>
    </row>
    <row r="1611" customFormat="false" ht="15" hidden="false" customHeight="false" outlineLevel="0" collapsed="false">
      <c r="A1611" s="0" t="s">
        <v>178</v>
      </c>
      <c r="B1611" s="0" t="n">
        <v>2013</v>
      </c>
      <c r="C1611" s="0" t="s">
        <v>58</v>
      </c>
      <c r="D1611" s="0" t="n">
        <v>-136104</v>
      </c>
      <c r="E1611" s="0" t="s">
        <v>521</v>
      </c>
      <c r="G1611" s="0" t="s">
        <v>81</v>
      </c>
    </row>
    <row r="1612" customFormat="false" ht="15" hidden="false" customHeight="false" outlineLevel="0" collapsed="false">
      <c r="A1612" s="0" t="s">
        <v>178</v>
      </c>
      <c r="B1612" s="0" t="n">
        <v>2013</v>
      </c>
      <c r="C1612" s="0" t="s">
        <v>60</v>
      </c>
      <c r="D1612" s="0" t="n">
        <v>805259</v>
      </c>
      <c r="E1612" s="0" t="s">
        <v>521</v>
      </c>
      <c r="G1612" s="0" t="s">
        <v>81</v>
      </c>
    </row>
    <row r="1613" customFormat="false" ht="15" hidden="false" customHeight="false" outlineLevel="0" collapsed="false">
      <c r="A1613" s="0" t="s">
        <v>178</v>
      </c>
      <c r="B1613" s="0" t="n">
        <v>2013</v>
      </c>
      <c r="C1613" s="0" t="s">
        <v>61</v>
      </c>
      <c r="D1613" s="0" t="n">
        <v>8317</v>
      </c>
      <c r="E1613" s="0" t="s">
        <v>521</v>
      </c>
      <c r="G1613" s="0" t="s">
        <v>81</v>
      </c>
    </row>
    <row r="1614" customFormat="false" ht="15" hidden="false" customHeight="false" outlineLevel="0" collapsed="false">
      <c r="A1614" s="0" t="s">
        <v>178</v>
      </c>
      <c r="B1614" s="0" t="n">
        <v>2013</v>
      </c>
      <c r="C1614" s="0" t="s">
        <v>63</v>
      </c>
      <c r="D1614" s="0" t="n">
        <v>181</v>
      </c>
      <c r="E1614" s="0" t="s">
        <v>521</v>
      </c>
      <c r="G1614" s="0" t="s">
        <v>81</v>
      </c>
    </row>
    <row r="1615" customFormat="false" ht="15" hidden="false" customHeight="false" outlineLevel="0" collapsed="false">
      <c r="A1615" s="0" t="s">
        <v>178</v>
      </c>
      <c r="B1615" s="0" t="n">
        <v>2013</v>
      </c>
      <c r="C1615" s="0" t="s">
        <v>69</v>
      </c>
      <c r="D1615" s="0" t="n">
        <v>20</v>
      </c>
      <c r="E1615" s="0" t="s">
        <v>521</v>
      </c>
      <c r="G1615" s="0" t="s">
        <v>81</v>
      </c>
    </row>
    <row r="1616" customFormat="false" ht="15" hidden="false" customHeight="false" outlineLevel="0" collapsed="false">
      <c r="A1616" s="0" t="s">
        <v>178</v>
      </c>
      <c r="B1616" s="0" t="n">
        <v>2013</v>
      </c>
      <c r="C1616" s="0" t="s">
        <v>27</v>
      </c>
      <c r="D1616" s="0" t="n">
        <v>11.7045192672375</v>
      </c>
      <c r="E1616" s="0" t="s">
        <v>522</v>
      </c>
    </row>
    <row r="1617" customFormat="false" ht="15" hidden="false" customHeight="false" outlineLevel="0" collapsed="false">
      <c r="A1617" s="0" t="s">
        <v>178</v>
      </c>
      <c r="B1617" s="0" t="n">
        <v>2013</v>
      </c>
      <c r="C1617" s="0" t="s">
        <v>17</v>
      </c>
      <c r="D1617" s="0" t="n">
        <v>1.03283539830042</v>
      </c>
      <c r="E1617" s="0" t="s">
        <v>522</v>
      </c>
    </row>
    <row r="1618" customFormat="false" ht="15" hidden="false" customHeight="false" outlineLevel="0" collapsed="false">
      <c r="A1618" s="0" t="s">
        <v>178</v>
      </c>
      <c r="B1618" s="0" t="n">
        <v>2013</v>
      </c>
      <c r="C1618" s="0" t="s">
        <v>43</v>
      </c>
      <c r="D1618" s="0" t="n">
        <v>2.09626786481749</v>
      </c>
      <c r="E1618" s="0" t="s">
        <v>522</v>
      </c>
    </row>
    <row r="1619" customFormat="false" ht="15" hidden="false" customHeight="false" outlineLevel="0" collapsed="false">
      <c r="A1619" s="0" t="s">
        <v>178</v>
      </c>
      <c r="B1619" s="0" t="n">
        <v>2013</v>
      </c>
      <c r="C1619" s="0" t="s">
        <v>31</v>
      </c>
      <c r="D1619" s="0" t="n">
        <v>88.2954807327625</v>
      </c>
      <c r="E1619" s="0" t="s">
        <v>522</v>
      </c>
    </row>
    <row r="1620" customFormat="false" ht="15" hidden="false" customHeight="false" outlineLevel="0" collapsed="false">
      <c r="A1620" s="0" t="s">
        <v>178</v>
      </c>
      <c r="B1620" s="0" t="n">
        <v>2013</v>
      </c>
      <c r="C1620" s="0" t="s">
        <v>33</v>
      </c>
      <c r="D1620" s="0" t="n">
        <v>14.6118535629276</v>
      </c>
      <c r="E1620" s="0" t="s">
        <v>522</v>
      </c>
    </row>
    <row r="1621" customFormat="false" ht="15" hidden="false" customHeight="false" outlineLevel="0" collapsed="false">
      <c r="A1621" s="0" t="s">
        <v>178</v>
      </c>
      <c r="B1621" s="0" t="n">
        <v>2013</v>
      </c>
      <c r="C1621" s="0" t="s">
        <v>21</v>
      </c>
      <c r="D1621" s="0" t="n">
        <v>0</v>
      </c>
      <c r="E1621" s="0" t="s">
        <v>522</v>
      </c>
    </row>
    <row r="1622" customFormat="false" ht="15" hidden="false" customHeight="false" outlineLevel="0" collapsed="false">
      <c r="A1622" s="0" t="s">
        <v>178</v>
      </c>
      <c r="B1622" s="0" t="n">
        <v>2014</v>
      </c>
      <c r="C1622" s="0" t="s">
        <v>54</v>
      </c>
      <c r="D1622" s="0" t="n">
        <v>40083</v>
      </c>
      <c r="E1622" s="0" t="s">
        <v>521</v>
      </c>
      <c r="G1622" s="0" t="s">
        <v>81</v>
      </c>
    </row>
    <row r="1623" customFormat="false" ht="15" hidden="false" customHeight="false" outlineLevel="0" collapsed="false">
      <c r="A1623" s="0" t="s">
        <v>178</v>
      </c>
      <c r="B1623" s="0" t="n">
        <v>2014</v>
      </c>
      <c r="C1623" s="0" t="s">
        <v>55</v>
      </c>
      <c r="D1623" s="0" t="n">
        <v>2338858</v>
      </c>
      <c r="E1623" s="0" t="s">
        <v>521</v>
      </c>
      <c r="G1623" s="0" t="s">
        <v>81</v>
      </c>
    </row>
    <row r="1624" customFormat="false" ht="15" hidden="false" customHeight="false" outlineLevel="0" collapsed="false">
      <c r="A1624" s="0" t="s">
        <v>178</v>
      </c>
      <c r="B1624" s="0" t="n">
        <v>2014</v>
      </c>
      <c r="C1624" s="0" t="s">
        <v>56</v>
      </c>
      <c r="D1624" s="0" t="n">
        <v>2056925</v>
      </c>
      <c r="E1624" s="0" t="s">
        <v>521</v>
      </c>
      <c r="G1624" s="0" t="s">
        <v>81</v>
      </c>
    </row>
    <row r="1625" customFormat="false" ht="15" hidden="false" customHeight="false" outlineLevel="0" collapsed="false">
      <c r="A1625" s="0" t="s">
        <v>178</v>
      </c>
      <c r="B1625" s="0" t="n">
        <v>2014</v>
      </c>
      <c r="C1625" s="0" t="s">
        <v>57</v>
      </c>
      <c r="D1625" s="0" t="n">
        <v>281933</v>
      </c>
      <c r="E1625" s="0" t="s">
        <v>521</v>
      </c>
      <c r="G1625" s="0" t="s">
        <v>81</v>
      </c>
    </row>
    <row r="1626" customFormat="false" ht="15" hidden="false" customHeight="false" outlineLevel="0" collapsed="false">
      <c r="A1626" s="0" t="s">
        <v>178</v>
      </c>
      <c r="B1626" s="0" t="n">
        <v>2014</v>
      </c>
      <c r="C1626" s="0" t="s">
        <v>58</v>
      </c>
      <c r="D1626" s="0" t="n">
        <v>-92619</v>
      </c>
      <c r="E1626" s="0" t="s">
        <v>521</v>
      </c>
      <c r="G1626" s="0" t="s">
        <v>81</v>
      </c>
    </row>
    <row r="1627" customFormat="false" ht="15" hidden="false" customHeight="false" outlineLevel="0" collapsed="false">
      <c r="A1627" s="0" t="s">
        <v>178</v>
      </c>
      <c r="B1627" s="0" t="n">
        <v>2014</v>
      </c>
      <c r="C1627" s="0" t="s">
        <v>59</v>
      </c>
      <c r="D1627" s="0" t="n">
        <v>2217417</v>
      </c>
      <c r="E1627" s="0" t="s">
        <v>521</v>
      </c>
      <c r="G1627" s="0" t="s">
        <v>81</v>
      </c>
    </row>
    <row r="1628" customFormat="false" ht="15" hidden="false" customHeight="false" outlineLevel="0" collapsed="false">
      <c r="A1628" s="0" t="s">
        <v>178</v>
      </c>
      <c r="B1628" s="0" t="n">
        <v>2014</v>
      </c>
      <c r="C1628" s="0" t="s">
        <v>60</v>
      </c>
      <c r="D1628" s="0" t="n">
        <v>895109</v>
      </c>
      <c r="E1628" s="0" t="s">
        <v>521</v>
      </c>
      <c r="G1628" s="0" t="s">
        <v>81</v>
      </c>
    </row>
    <row r="1629" customFormat="false" ht="15" hidden="false" customHeight="false" outlineLevel="0" collapsed="false">
      <c r="A1629" s="0" t="s">
        <v>178</v>
      </c>
      <c r="B1629" s="0" t="n">
        <v>2014</v>
      </c>
      <c r="C1629" s="0" t="s">
        <v>61</v>
      </c>
      <c r="D1629" s="0" t="n">
        <v>10522</v>
      </c>
      <c r="E1629" s="0" t="s">
        <v>521</v>
      </c>
      <c r="G1629" s="0" t="s">
        <v>81</v>
      </c>
    </row>
    <row r="1630" customFormat="false" ht="15" hidden="false" customHeight="false" outlineLevel="0" collapsed="false">
      <c r="A1630" s="0" t="s">
        <v>178</v>
      </c>
      <c r="B1630" s="0" t="n">
        <v>2014</v>
      </c>
      <c r="C1630" s="0" t="s">
        <v>63</v>
      </c>
      <c r="D1630" s="0" t="n">
        <v>3073</v>
      </c>
      <c r="E1630" s="0" t="s">
        <v>521</v>
      </c>
      <c r="G1630" s="0" t="s">
        <v>81</v>
      </c>
    </row>
    <row r="1631" customFormat="false" ht="15" hidden="false" customHeight="false" outlineLevel="0" collapsed="false">
      <c r="A1631" s="0" t="s">
        <v>178</v>
      </c>
      <c r="B1631" s="0" t="n">
        <v>2014</v>
      </c>
      <c r="C1631" s="0" t="s">
        <v>69</v>
      </c>
      <c r="D1631" s="0" t="n">
        <v>17</v>
      </c>
      <c r="E1631" s="0" t="s">
        <v>521</v>
      </c>
      <c r="G1631" s="0" t="s">
        <v>81</v>
      </c>
    </row>
    <row r="1632" customFormat="false" ht="15" hidden="false" customHeight="false" outlineLevel="0" collapsed="false">
      <c r="A1632" s="0" t="s">
        <v>178</v>
      </c>
      <c r="B1632" s="0" t="n">
        <v>2014</v>
      </c>
      <c r="C1632" s="0" t="s">
        <v>19</v>
      </c>
      <c r="D1632" s="0" t="n">
        <v>2278137.5</v>
      </c>
      <c r="E1632" s="0" t="s">
        <v>522</v>
      </c>
    </row>
    <row r="1633" customFormat="false" ht="15" hidden="false" customHeight="false" outlineLevel="0" collapsed="false">
      <c r="A1633" s="0" t="s">
        <v>178</v>
      </c>
      <c r="B1633" s="0" t="n">
        <v>2014</v>
      </c>
      <c r="C1633" s="0" t="s">
        <v>41</v>
      </c>
      <c r="D1633" s="0" t="n">
        <v>1.75946359690756</v>
      </c>
      <c r="E1633" s="0" t="s">
        <v>522</v>
      </c>
    </row>
    <row r="1634" customFormat="false" ht="15" hidden="false" customHeight="false" outlineLevel="0" collapsed="false">
      <c r="A1634" s="0" t="s">
        <v>178</v>
      </c>
      <c r="B1634" s="0" t="n">
        <v>2014</v>
      </c>
      <c r="C1634" s="0" t="s">
        <v>27</v>
      </c>
      <c r="D1634" s="0" t="n">
        <v>12.0543017147685</v>
      </c>
      <c r="E1634" s="0" t="s">
        <v>522</v>
      </c>
    </row>
    <row r="1635" customFormat="false" ht="15" hidden="false" customHeight="false" outlineLevel="0" collapsed="false">
      <c r="A1635" s="0" t="s">
        <v>178</v>
      </c>
      <c r="B1635" s="0" t="n">
        <v>2014</v>
      </c>
      <c r="C1635" s="0" t="s">
        <v>39</v>
      </c>
      <c r="D1635" s="0" t="n">
        <v>-4.06555793932544</v>
      </c>
      <c r="E1635" s="0" t="s">
        <v>522</v>
      </c>
    </row>
    <row r="1636" customFormat="false" ht="15" hidden="false" customHeight="false" outlineLevel="0" collapsed="false">
      <c r="A1636" s="0" t="s">
        <v>178</v>
      </c>
      <c r="B1636" s="0" t="n">
        <v>2014</v>
      </c>
      <c r="C1636" s="0" t="s">
        <v>17</v>
      </c>
      <c r="D1636" s="0" t="n">
        <v>1.17549929673369</v>
      </c>
      <c r="E1636" s="0" t="s">
        <v>522</v>
      </c>
    </row>
    <row r="1637" customFormat="false" ht="15" hidden="false" customHeight="false" outlineLevel="0" collapsed="false">
      <c r="A1637" s="0" t="s">
        <v>178</v>
      </c>
      <c r="B1637" s="0" t="n">
        <v>2014</v>
      </c>
      <c r="C1637" s="0" t="s">
        <v>29</v>
      </c>
      <c r="D1637" s="0" t="n">
        <v>0.134890892231044</v>
      </c>
      <c r="E1637" s="0" t="s">
        <v>522</v>
      </c>
    </row>
    <row r="1638" customFormat="false" ht="15" hidden="false" customHeight="false" outlineLevel="0" collapsed="false">
      <c r="A1638" s="0" t="s">
        <v>178</v>
      </c>
      <c r="B1638" s="0" t="n">
        <v>2014</v>
      </c>
      <c r="C1638" s="0" t="s">
        <v>43</v>
      </c>
      <c r="D1638" s="0" t="n">
        <v>1.71378510367025</v>
      </c>
      <c r="E1638" s="0" t="s">
        <v>522</v>
      </c>
    </row>
    <row r="1639" customFormat="false" ht="15" hidden="false" customHeight="false" outlineLevel="0" collapsed="false">
      <c r="A1639" s="0" t="s">
        <v>178</v>
      </c>
      <c r="B1639" s="0" t="n">
        <v>2014</v>
      </c>
      <c r="C1639" s="0" t="s">
        <v>31</v>
      </c>
      <c r="D1639" s="0" t="n">
        <v>87.9456982852315</v>
      </c>
      <c r="E1639" s="0" t="s">
        <v>522</v>
      </c>
    </row>
    <row r="1640" customFormat="false" ht="15" hidden="false" customHeight="false" outlineLevel="0" collapsed="false">
      <c r="A1640" s="0" t="s">
        <v>178</v>
      </c>
      <c r="B1640" s="0" t="n">
        <v>2014</v>
      </c>
      <c r="C1640" s="0" t="s">
        <v>33</v>
      </c>
      <c r="D1640" s="0" t="n">
        <v>14.6651733340184</v>
      </c>
      <c r="E1640" s="0" t="s">
        <v>522</v>
      </c>
    </row>
    <row r="1641" customFormat="false" ht="15" hidden="false" customHeight="false" outlineLevel="0" collapsed="false">
      <c r="A1641" s="0" t="s">
        <v>178</v>
      </c>
      <c r="B1641" s="0" t="n">
        <v>2014</v>
      </c>
      <c r="C1641" s="0" t="s">
        <v>21</v>
      </c>
      <c r="D1641" s="0" t="n">
        <v>0</v>
      </c>
      <c r="E1641" s="0" t="s">
        <v>522</v>
      </c>
    </row>
    <row r="1642" customFormat="false" ht="15" hidden="false" customHeight="false" outlineLevel="0" collapsed="false">
      <c r="A1642" s="0" t="s">
        <v>178</v>
      </c>
      <c r="B1642" s="0" t="n">
        <v>2015</v>
      </c>
      <c r="C1642" s="0" t="s">
        <v>54</v>
      </c>
      <c r="D1642" s="0" t="n">
        <v>47642</v>
      </c>
      <c r="E1642" s="0" t="s">
        <v>521</v>
      </c>
      <c r="G1642" s="0" t="s">
        <v>181</v>
      </c>
    </row>
    <row r="1643" customFormat="false" ht="15" hidden="false" customHeight="false" outlineLevel="0" collapsed="false">
      <c r="A1643" s="0" t="s">
        <v>178</v>
      </c>
      <c r="B1643" s="0" t="n">
        <v>2015</v>
      </c>
      <c r="C1643" s="0" t="s">
        <v>55</v>
      </c>
      <c r="D1643" s="0" t="n">
        <v>2216337</v>
      </c>
      <c r="E1643" s="0" t="s">
        <v>521</v>
      </c>
      <c r="G1643" s="0" t="s">
        <v>181</v>
      </c>
    </row>
    <row r="1644" customFormat="false" ht="15" hidden="false" customHeight="false" outlineLevel="0" collapsed="false">
      <c r="A1644" s="0" t="s">
        <v>178</v>
      </c>
      <c r="B1644" s="0" t="n">
        <v>2015</v>
      </c>
      <c r="C1644" s="0" t="s">
        <v>56</v>
      </c>
      <c r="D1644" s="0" t="n">
        <v>1878106</v>
      </c>
      <c r="E1644" s="0" t="s">
        <v>521</v>
      </c>
      <c r="G1644" s="0" t="s">
        <v>181</v>
      </c>
    </row>
    <row r="1645" customFormat="false" ht="15" hidden="false" customHeight="false" outlineLevel="0" collapsed="false">
      <c r="A1645" s="0" t="s">
        <v>178</v>
      </c>
      <c r="B1645" s="0" t="n">
        <v>2015</v>
      </c>
      <c r="C1645" s="0" t="s">
        <v>57</v>
      </c>
      <c r="D1645" s="0" t="n">
        <v>338231</v>
      </c>
      <c r="E1645" s="0" t="s">
        <v>521</v>
      </c>
      <c r="G1645" s="0" t="s">
        <v>181</v>
      </c>
    </row>
    <row r="1646" customFormat="false" ht="15" hidden="false" customHeight="false" outlineLevel="0" collapsed="false">
      <c r="A1646" s="0" t="s">
        <v>178</v>
      </c>
      <c r="B1646" s="0" t="n">
        <v>2015</v>
      </c>
      <c r="C1646" s="0" t="s">
        <v>58</v>
      </c>
      <c r="D1646" s="0" t="n">
        <v>58408</v>
      </c>
      <c r="E1646" s="0" t="s">
        <v>521</v>
      </c>
      <c r="G1646" s="0" t="s">
        <v>181</v>
      </c>
    </row>
    <row r="1647" customFormat="false" ht="15" hidden="false" customHeight="false" outlineLevel="0" collapsed="false">
      <c r="A1647" s="0" t="s">
        <v>178</v>
      </c>
      <c r="B1647" s="0" t="n">
        <v>2015</v>
      </c>
      <c r="C1647" s="0" t="s">
        <v>59</v>
      </c>
      <c r="D1647" s="0" t="n">
        <v>2338858</v>
      </c>
      <c r="E1647" s="0" t="s">
        <v>521</v>
      </c>
      <c r="G1647" s="0" t="s">
        <v>181</v>
      </c>
    </row>
    <row r="1648" customFormat="false" ht="15" hidden="false" customHeight="false" outlineLevel="0" collapsed="false">
      <c r="A1648" s="0" t="s">
        <v>178</v>
      </c>
      <c r="B1648" s="0" t="n">
        <v>2015</v>
      </c>
      <c r="C1648" s="0" t="s">
        <v>60</v>
      </c>
      <c r="D1648" s="0" t="n">
        <v>835737</v>
      </c>
      <c r="E1648" s="0" t="s">
        <v>521</v>
      </c>
      <c r="G1648" s="0" t="s">
        <v>181</v>
      </c>
    </row>
    <row r="1649" customFormat="false" ht="15" hidden="false" customHeight="false" outlineLevel="0" collapsed="false">
      <c r="A1649" s="0" t="s">
        <v>178</v>
      </c>
      <c r="B1649" s="0" t="n">
        <v>2015</v>
      </c>
      <c r="C1649" s="0" t="s">
        <v>61</v>
      </c>
      <c r="D1649" s="0" t="n">
        <v>13043</v>
      </c>
      <c r="E1649" s="0" t="s">
        <v>521</v>
      </c>
      <c r="G1649" s="0" t="s">
        <v>181</v>
      </c>
    </row>
    <row r="1650" customFormat="false" ht="15" hidden="false" customHeight="false" outlineLevel="0" collapsed="false">
      <c r="A1650" s="0" t="s">
        <v>178</v>
      </c>
      <c r="B1650" s="0" t="n">
        <v>2015</v>
      </c>
      <c r="C1650" s="0" t="s">
        <v>62</v>
      </c>
      <c r="D1650" s="0" t="n">
        <v>822694</v>
      </c>
      <c r="E1650" s="0" t="s">
        <v>521</v>
      </c>
      <c r="G1650" s="0" t="s">
        <v>181</v>
      </c>
    </row>
    <row r="1651" customFormat="false" ht="15" hidden="false" customHeight="false" outlineLevel="0" collapsed="false">
      <c r="A1651" s="0" t="s">
        <v>178</v>
      </c>
      <c r="B1651" s="0" t="n">
        <v>2015</v>
      </c>
      <c r="C1651" s="0" t="s">
        <v>63</v>
      </c>
      <c r="D1651" s="0" t="n">
        <v>3491</v>
      </c>
      <c r="E1651" s="0" t="s">
        <v>521</v>
      </c>
      <c r="G1651" s="0" t="s">
        <v>181</v>
      </c>
    </row>
    <row r="1652" customFormat="false" ht="15" hidden="false" customHeight="false" outlineLevel="0" collapsed="false">
      <c r="A1652" s="0" t="s">
        <v>178</v>
      </c>
      <c r="B1652" s="0" t="n">
        <v>2015</v>
      </c>
      <c r="C1652" s="0" t="s">
        <v>69</v>
      </c>
      <c r="D1652" s="0" t="n">
        <v>20</v>
      </c>
      <c r="E1652" s="0" t="s">
        <v>521</v>
      </c>
      <c r="G1652" s="0" t="s">
        <v>181</v>
      </c>
    </row>
    <row r="1653" customFormat="false" ht="15" hidden="false" customHeight="false" outlineLevel="0" collapsed="false">
      <c r="A1653" s="0" t="s">
        <v>178</v>
      </c>
      <c r="B1653" s="0" t="n">
        <v>2015</v>
      </c>
      <c r="C1653" s="0" t="s">
        <v>65</v>
      </c>
      <c r="D1653" s="0" t="n">
        <v>241091</v>
      </c>
      <c r="E1653" s="0" t="s">
        <v>521</v>
      </c>
      <c r="G1653" s="0" t="s">
        <v>181</v>
      </c>
    </row>
    <row r="1654" customFormat="false" ht="15" hidden="false" customHeight="false" outlineLevel="0" collapsed="false">
      <c r="A1654" s="0" t="s">
        <v>178</v>
      </c>
      <c r="B1654" s="0" t="n">
        <v>2015</v>
      </c>
      <c r="C1654" s="0" t="s">
        <v>66</v>
      </c>
      <c r="D1654" s="0" t="n">
        <v>1208372</v>
      </c>
      <c r="E1654" s="0" t="s">
        <v>521</v>
      </c>
      <c r="G1654" s="0" t="s">
        <v>181</v>
      </c>
    </row>
    <row r="1655" customFormat="false" ht="15" hidden="false" customHeight="false" outlineLevel="0" collapsed="false">
      <c r="A1655" s="0" t="s">
        <v>178</v>
      </c>
      <c r="B1655" s="0" t="n">
        <v>2015</v>
      </c>
      <c r="C1655" s="0" t="s">
        <v>71</v>
      </c>
      <c r="D1655" s="0" t="n">
        <v>52.57</v>
      </c>
      <c r="E1655" s="0" t="s">
        <v>521</v>
      </c>
      <c r="G1655" s="0" t="s">
        <v>181</v>
      </c>
    </row>
    <row r="1656" customFormat="false" ht="15" hidden="false" customHeight="false" outlineLevel="0" collapsed="false">
      <c r="A1656" s="0" t="s">
        <v>178</v>
      </c>
      <c r="B1656" s="0" t="n">
        <v>2015</v>
      </c>
      <c r="C1656" s="0" t="s">
        <v>541</v>
      </c>
      <c r="D1656" s="0" t="n">
        <v>50735</v>
      </c>
      <c r="E1656" s="0" t="s">
        <v>521</v>
      </c>
      <c r="G1656" s="0" t="s">
        <v>181</v>
      </c>
    </row>
    <row r="1657" customFormat="false" ht="15" hidden="false" customHeight="false" outlineLevel="0" collapsed="false">
      <c r="A1657" s="0" t="s">
        <v>178</v>
      </c>
      <c r="B1657" s="0" t="n">
        <v>2015</v>
      </c>
      <c r="C1657" s="0" t="s">
        <v>1327</v>
      </c>
      <c r="D1657" s="0" t="n">
        <v>247378</v>
      </c>
      <c r="E1657" s="0" t="s">
        <v>521</v>
      </c>
      <c r="G1657" s="0" t="s">
        <v>181</v>
      </c>
    </row>
    <row r="1658" customFormat="false" ht="15" hidden="false" customHeight="false" outlineLevel="0" collapsed="false">
      <c r="A1658" s="0" t="s">
        <v>178</v>
      </c>
      <c r="B1658" s="0" t="n">
        <v>2015</v>
      </c>
      <c r="C1658" s="0" t="s">
        <v>543</v>
      </c>
      <c r="D1658" s="0" t="n">
        <v>6031</v>
      </c>
      <c r="E1658" s="0" t="s">
        <v>521</v>
      </c>
      <c r="G1658" s="0" t="s">
        <v>181</v>
      </c>
    </row>
    <row r="1659" customFormat="false" ht="15" hidden="false" customHeight="false" outlineLevel="0" collapsed="false">
      <c r="A1659" s="0" t="s">
        <v>178</v>
      </c>
      <c r="B1659" s="0" t="n">
        <v>2015</v>
      </c>
      <c r="C1659" s="0" t="s">
        <v>545</v>
      </c>
      <c r="D1659" s="0" t="n">
        <v>7012</v>
      </c>
      <c r="E1659" s="0" t="s">
        <v>521</v>
      </c>
      <c r="G1659" s="0" t="s">
        <v>181</v>
      </c>
    </row>
    <row r="1660" customFormat="false" ht="15" hidden="false" customHeight="false" outlineLevel="0" collapsed="false">
      <c r="A1660" s="0" t="s">
        <v>178</v>
      </c>
      <c r="B1660" s="0" t="n">
        <v>2015</v>
      </c>
      <c r="C1660" s="0" t="s">
        <v>19</v>
      </c>
      <c r="D1660" s="0" t="n">
        <v>2277597.5</v>
      </c>
      <c r="E1660" s="0" t="s">
        <v>522</v>
      </c>
    </row>
    <row r="1661" customFormat="false" ht="15" hidden="false" customHeight="false" outlineLevel="0" collapsed="false">
      <c r="A1661" s="0" t="s">
        <v>178</v>
      </c>
      <c r="B1661" s="0" t="n">
        <v>2015</v>
      </c>
      <c r="C1661" s="0" t="s">
        <v>41</v>
      </c>
      <c r="D1661" s="0" t="n">
        <v>2.09176555559092</v>
      </c>
      <c r="E1661" s="0" t="s">
        <v>522</v>
      </c>
    </row>
    <row r="1662" customFormat="false" ht="15" hidden="false" customHeight="false" outlineLevel="0" collapsed="false">
      <c r="A1662" s="0" t="s">
        <v>178</v>
      </c>
      <c r="B1662" s="0" t="n">
        <v>2015</v>
      </c>
      <c r="C1662" s="0" t="s">
        <v>27</v>
      </c>
      <c r="D1662" s="0" t="n">
        <v>15.260810968729</v>
      </c>
      <c r="E1662" s="0" t="s">
        <v>522</v>
      </c>
    </row>
    <row r="1663" customFormat="false" ht="15" hidden="false" customHeight="false" outlineLevel="0" collapsed="false">
      <c r="A1663" s="0" t="s">
        <v>178</v>
      </c>
      <c r="B1663" s="0" t="n">
        <v>2015</v>
      </c>
      <c r="C1663" s="0" t="s">
        <v>39</v>
      </c>
      <c r="D1663" s="0" t="n">
        <v>2.56445662589637</v>
      </c>
      <c r="E1663" s="0" t="s">
        <v>522</v>
      </c>
    </row>
    <row r="1664" customFormat="false" ht="15" hidden="false" customHeight="false" outlineLevel="0" collapsed="false">
      <c r="A1664" s="0" t="s">
        <v>178</v>
      </c>
      <c r="B1664" s="0" t="n">
        <v>2015</v>
      </c>
      <c r="C1664" s="0" t="s">
        <v>17</v>
      </c>
      <c r="D1664" s="0" t="n">
        <v>1.56065843680488</v>
      </c>
      <c r="E1664" s="0" t="s">
        <v>522</v>
      </c>
    </row>
    <row r="1665" customFormat="false" ht="15" hidden="false" customHeight="false" outlineLevel="0" collapsed="false">
      <c r="A1665" s="0" t="s">
        <v>178</v>
      </c>
      <c r="B1665" s="0" t="n">
        <v>2015</v>
      </c>
      <c r="C1665" s="0" t="s">
        <v>25</v>
      </c>
      <c r="D1665" s="0" t="n">
        <v>19.9517201656444</v>
      </c>
      <c r="E1665" s="0" t="s">
        <v>522</v>
      </c>
    </row>
    <row r="1666" customFormat="false" ht="15" hidden="false" customHeight="false" outlineLevel="0" collapsed="false">
      <c r="A1666" s="0" t="s">
        <v>178</v>
      </c>
      <c r="B1666" s="0" t="n">
        <v>2015</v>
      </c>
      <c r="C1666" s="0" t="s">
        <v>29</v>
      </c>
      <c r="D1666" s="0" t="n">
        <v>0.153275545832835</v>
      </c>
      <c r="E1666" s="0" t="s">
        <v>522</v>
      </c>
    </row>
    <row r="1667" customFormat="false" ht="15" hidden="false" customHeight="false" outlineLevel="0" collapsed="false">
      <c r="A1667" s="0" t="s">
        <v>178</v>
      </c>
      <c r="B1667" s="0" t="n">
        <v>2015</v>
      </c>
      <c r="C1667" s="0" t="s">
        <v>43</v>
      </c>
      <c r="D1667" s="0" t="n">
        <v>2.1495828477348</v>
      </c>
      <c r="E1667" s="0" t="s">
        <v>522</v>
      </c>
    </row>
    <row r="1668" customFormat="false" ht="15" hidden="false" customHeight="false" outlineLevel="0" collapsed="false">
      <c r="A1668" s="0" t="s">
        <v>178</v>
      </c>
      <c r="B1668" s="0" t="n">
        <v>2015</v>
      </c>
      <c r="C1668" s="0" t="s">
        <v>31</v>
      </c>
      <c r="D1668" s="0" t="n">
        <v>84.739189031271</v>
      </c>
      <c r="E1668" s="0" t="s">
        <v>522</v>
      </c>
    </row>
    <row r="1669" customFormat="false" ht="15" hidden="false" customHeight="false" outlineLevel="0" collapsed="false">
      <c r="A1669" s="0" t="s">
        <v>178</v>
      </c>
      <c r="B1669" s="0" t="n">
        <v>2015</v>
      </c>
      <c r="C1669" s="0" t="s">
        <v>33</v>
      </c>
      <c r="D1669" s="0" t="n">
        <v>14.6113663910992</v>
      </c>
      <c r="E1669" s="0" t="s">
        <v>522</v>
      </c>
    </row>
    <row r="1670" customFormat="false" ht="15" hidden="false" customHeight="false" outlineLevel="0" collapsed="false">
      <c r="A1670" s="0" t="s">
        <v>178</v>
      </c>
      <c r="B1670" s="0" t="n">
        <v>2015</v>
      </c>
      <c r="C1670" s="0" t="s">
        <v>21</v>
      </c>
      <c r="D1670" s="0" t="n">
        <v>0</v>
      </c>
      <c r="E1670" s="0" t="s">
        <v>522</v>
      </c>
    </row>
    <row r="1671" customFormat="false" ht="15" hidden="false" customHeight="false" outlineLevel="0" collapsed="false">
      <c r="A1671" s="0" t="s">
        <v>178</v>
      </c>
      <c r="B1671" s="0" t="n">
        <v>2015</v>
      </c>
      <c r="C1671" s="0" t="s">
        <v>35</v>
      </c>
      <c r="D1671" s="0" t="n">
        <v>0</v>
      </c>
      <c r="E1671" s="0" t="s">
        <v>522</v>
      </c>
    </row>
    <row r="1672" customFormat="false" ht="15" hidden="false" customHeight="false" outlineLevel="0" collapsed="false">
      <c r="A1672" s="0" t="s">
        <v>178</v>
      </c>
      <c r="B1672" s="0" t="n">
        <v>2016</v>
      </c>
      <c r="C1672" s="0" t="s">
        <v>54</v>
      </c>
      <c r="D1672" s="0" t="n">
        <v>47541</v>
      </c>
      <c r="E1672" s="0" t="s">
        <v>521</v>
      </c>
      <c r="G1672" s="0" t="s">
        <v>183</v>
      </c>
    </row>
    <row r="1673" customFormat="false" ht="15" hidden="false" customHeight="false" outlineLevel="0" collapsed="false">
      <c r="A1673" s="0" t="s">
        <v>178</v>
      </c>
      <c r="B1673" s="0" t="n">
        <v>2016</v>
      </c>
      <c r="C1673" s="0" t="s">
        <v>55</v>
      </c>
      <c r="D1673" s="0" t="n">
        <v>2539585</v>
      </c>
      <c r="E1673" s="0" t="s">
        <v>521</v>
      </c>
      <c r="G1673" s="0" t="s">
        <v>183</v>
      </c>
    </row>
    <row r="1674" customFormat="false" ht="15" hidden="false" customHeight="false" outlineLevel="0" collapsed="false">
      <c r="A1674" s="0" t="s">
        <v>178</v>
      </c>
      <c r="B1674" s="0" t="n">
        <v>2016</v>
      </c>
      <c r="C1674" s="0" t="s">
        <v>56</v>
      </c>
      <c r="D1674" s="0" t="n">
        <v>2148685</v>
      </c>
      <c r="E1674" s="0" t="s">
        <v>521</v>
      </c>
      <c r="G1674" s="0" t="s">
        <v>183</v>
      </c>
    </row>
    <row r="1675" customFormat="false" ht="15" hidden="false" customHeight="false" outlineLevel="0" collapsed="false">
      <c r="A1675" s="0" t="s">
        <v>178</v>
      </c>
      <c r="B1675" s="0" t="n">
        <v>2016</v>
      </c>
      <c r="C1675" s="0" t="s">
        <v>57</v>
      </c>
      <c r="D1675" s="0" t="n">
        <v>390900</v>
      </c>
      <c r="E1675" s="0" t="s">
        <v>521</v>
      </c>
      <c r="G1675" s="0" t="s">
        <v>183</v>
      </c>
    </row>
    <row r="1676" customFormat="false" ht="15" hidden="false" customHeight="false" outlineLevel="0" collapsed="false">
      <c r="A1676" s="0" t="s">
        <v>178</v>
      </c>
      <c r="B1676" s="0" t="n">
        <v>2016</v>
      </c>
      <c r="C1676" s="0" t="s">
        <v>58</v>
      </c>
      <c r="D1676" s="0" t="n">
        <v>-213392</v>
      </c>
      <c r="E1676" s="0" t="s">
        <v>521</v>
      </c>
      <c r="G1676" s="0" t="s">
        <v>183</v>
      </c>
    </row>
    <row r="1677" customFormat="false" ht="15" hidden="false" customHeight="false" outlineLevel="0" collapsed="false">
      <c r="A1677" s="0" t="s">
        <v>178</v>
      </c>
      <c r="B1677" s="0" t="n">
        <v>2016</v>
      </c>
      <c r="C1677" s="0" t="s">
        <v>59</v>
      </c>
      <c r="D1677" s="0" t="n">
        <v>2216337</v>
      </c>
      <c r="E1677" s="0" t="s">
        <v>521</v>
      </c>
      <c r="G1677" s="0" t="s">
        <v>183</v>
      </c>
    </row>
    <row r="1678" customFormat="false" ht="15" hidden="false" customHeight="false" outlineLevel="0" collapsed="false">
      <c r="A1678" s="0" t="s">
        <v>178</v>
      </c>
      <c r="B1678" s="0" t="n">
        <v>2016</v>
      </c>
      <c r="C1678" s="0" t="s">
        <v>60</v>
      </c>
      <c r="D1678" s="0" t="n">
        <v>1120096</v>
      </c>
      <c r="E1678" s="0" t="s">
        <v>521</v>
      </c>
      <c r="G1678" s="0" t="s">
        <v>183</v>
      </c>
    </row>
    <row r="1679" customFormat="false" ht="15" hidden="false" customHeight="false" outlineLevel="0" collapsed="false">
      <c r="A1679" s="0" t="s">
        <v>178</v>
      </c>
      <c r="B1679" s="0" t="n">
        <v>2016</v>
      </c>
      <c r="C1679" s="0" t="s">
        <v>61</v>
      </c>
      <c r="D1679" s="0" t="n">
        <v>29741</v>
      </c>
      <c r="E1679" s="0" t="s">
        <v>521</v>
      </c>
      <c r="G1679" s="0" t="s">
        <v>183</v>
      </c>
    </row>
    <row r="1680" customFormat="false" ht="15" hidden="false" customHeight="false" outlineLevel="0" collapsed="false">
      <c r="A1680" s="0" t="s">
        <v>178</v>
      </c>
      <c r="B1680" s="0" t="n">
        <v>2016</v>
      </c>
      <c r="C1680" s="0" t="s">
        <v>62</v>
      </c>
      <c r="D1680" s="0" t="n">
        <v>1090355</v>
      </c>
      <c r="E1680" s="0" t="s">
        <v>521</v>
      </c>
      <c r="G1680" s="0" t="s">
        <v>183</v>
      </c>
    </row>
    <row r="1681" customFormat="false" ht="15" hidden="false" customHeight="false" outlineLevel="0" collapsed="false">
      <c r="A1681" s="0" t="s">
        <v>178</v>
      </c>
      <c r="B1681" s="0" t="n">
        <v>2016</v>
      </c>
      <c r="C1681" s="0" t="s">
        <v>63</v>
      </c>
      <c r="D1681" s="0" t="n">
        <v>25521</v>
      </c>
      <c r="E1681" s="0" t="s">
        <v>521</v>
      </c>
      <c r="G1681" s="0" t="s">
        <v>183</v>
      </c>
    </row>
    <row r="1682" customFormat="false" ht="15" hidden="false" customHeight="false" outlineLevel="0" collapsed="false">
      <c r="A1682" s="0" t="s">
        <v>178</v>
      </c>
      <c r="B1682" s="0" t="n">
        <v>2016</v>
      </c>
      <c r="C1682" s="0" t="s">
        <v>69</v>
      </c>
      <c r="D1682" s="0" t="n">
        <v>20</v>
      </c>
      <c r="E1682" s="0" t="s">
        <v>521</v>
      </c>
      <c r="G1682" s="0" t="s">
        <v>183</v>
      </c>
    </row>
    <row r="1683" customFormat="false" ht="15" hidden="false" customHeight="false" outlineLevel="0" collapsed="false">
      <c r="A1683" s="0" t="s">
        <v>178</v>
      </c>
      <c r="B1683" s="0" t="n">
        <v>2016</v>
      </c>
      <c r="C1683" s="0" t="s">
        <v>70</v>
      </c>
      <c r="D1683" s="0" t="n">
        <v>15</v>
      </c>
      <c r="E1683" s="0" t="s">
        <v>521</v>
      </c>
      <c r="G1683" s="0" t="s">
        <v>183</v>
      </c>
    </row>
    <row r="1684" customFormat="false" ht="15" hidden="false" customHeight="false" outlineLevel="0" collapsed="false">
      <c r="A1684" s="0" t="s">
        <v>178</v>
      </c>
      <c r="B1684" s="0" t="n">
        <v>2016</v>
      </c>
      <c r="C1684" s="0" t="s">
        <v>65</v>
      </c>
      <c r="D1684" s="0" t="n">
        <v>262423</v>
      </c>
      <c r="E1684" s="0" t="s">
        <v>521</v>
      </c>
      <c r="G1684" s="0" t="s">
        <v>183</v>
      </c>
    </row>
    <row r="1685" customFormat="false" ht="15" hidden="false" customHeight="false" outlineLevel="0" collapsed="false">
      <c r="A1685" s="0" t="s">
        <v>178</v>
      </c>
      <c r="B1685" s="0" t="n">
        <v>2016</v>
      </c>
      <c r="C1685" s="0" t="s">
        <v>66</v>
      </c>
      <c r="D1685" s="0" t="n">
        <v>1331901</v>
      </c>
      <c r="E1685" s="0" t="s">
        <v>521</v>
      </c>
      <c r="G1685" s="0" t="s">
        <v>183</v>
      </c>
    </row>
    <row r="1686" customFormat="false" ht="15" hidden="false" customHeight="false" outlineLevel="0" collapsed="false">
      <c r="A1686" s="0" t="s">
        <v>178</v>
      </c>
      <c r="B1686" s="0" t="n">
        <v>2016</v>
      </c>
      <c r="C1686" s="0" t="s">
        <v>71</v>
      </c>
      <c r="D1686" s="0" t="n">
        <v>38.57</v>
      </c>
      <c r="E1686" s="0" t="s">
        <v>521</v>
      </c>
      <c r="G1686" s="0" t="s">
        <v>183</v>
      </c>
    </row>
    <row r="1687" customFormat="false" ht="15" hidden="false" customHeight="false" outlineLevel="0" collapsed="false">
      <c r="A1687" s="0" t="s">
        <v>178</v>
      </c>
      <c r="B1687" s="0" t="n">
        <v>2016</v>
      </c>
      <c r="C1687" s="0" t="s">
        <v>541</v>
      </c>
      <c r="D1687" s="0" t="n">
        <v>57649</v>
      </c>
      <c r="E1687" s="0" t="s">
        <v>521</v>
      </c>
      <c r="G1687" s="0" t="s">
        <v>183</v>
      </c>
    </row>
    <row r="1688" customFormat="false" ht="15" hidden="false" customHeight="false" outlineLevel="0" collapsed="false">
      <c r="A1688" s="0" t="s">
        <v>178</v>
      </c>
      <c r="B1688" s="0" t="n">
        <v>2016</v>
      </c>
      <c r="C1688" s="0" t="s">
        <v>1327</v>
      </c>
      <c r="D1688" s="0" t="n">
        <v>269895</v>
      </c>
      <c r="E1688" s="0" t="s">
        <v>521</v>
      </c>
      <c r="G1688" s="0" t="s">
        <v>183</v>
      </c>
    </row>
    <row r="1689" customFormat="false" ht="15" hidden="false" customHeight="false" outlineLevel="0" collapsed="false">
      <c r="A1689" s="0" t="s">
        <v>178</v>
      </c>
      <c r="B1689" s="0" t="n">
        <v>2016</v>
      </c>
      <c r="C1689" s="0" t="s">
        <v>543</v>
      </c>
      <c r="D1689" s="0" t="n">
        <v>17107</v>
      </c>
      <c r="E1689" s="0" t="s">
        <v>521</v>
      </c>
      <c r="G1689" s="0" t="s">
        <v>183</v>
      </c>
    </row>
    <row r="1690" customFormat="false" ht="15" hidden="false" customHeight="false" outlineLevel="0" collapsed="false">
      <c r="A1690" s="0" t="s">
        <v>178</v>
      </c>
      <c r="B1690" s="0" t="n">
        <v>2016</v>
      </c>
      <c r="C1690" s="0" t="s">
        <v>545</v>
      </c>
      <c r="D1690" s="0" t="n">
        <v>12634</v>
      </c>
      <c r="E1690" s="0" t="s">
        <v>521</v>
      </c>
      <c r="G1690" s="0" t="s">
        <v>183</v>
      </c>
    </row>
    <row r="1691" customFormat="false" ht="15" hidden="false" customHeight="false" outlineLevel="0" collapsed="false">
      <c r="A1691" s="0" t="s">
        <v>178</v>
      </c>
      <c r="B1691" s="0" t="n">
        <v>2016</v>
      </c>
      <c r="C1691" s="0" t="s">
        <v>19</v>
      </c>
      <c r="D1691" s="0" t="n">
        <v>2377961</v>
      </c>
      <c r="E1691" s="0" t="s">
        <v>522</v>
      </c>
    </row>
    <row r="1692" customFormat="false" ht="15" hidden="false" customHeight="false" outlineLevel="0" collapsed="false">
      <c r="A1692" s="0" t="s">
        <v>178</v>
      </c>
      <c r="B1692" s="0" t="n">
        <v>2016</v>
      </c>
      <c r="C1692" s="0" t="s">
        <v>41</v>
      </c>
      <c r="D1692" s="0" t="n">
        <v>1.99923379735833</v>
      </c>
      <c r="E1692" s="0" t="s">
        <v>522</v>
      </c>
    </row>
    <row r="1693" customFormat="false" ht="15" hidden="false" customHeight="false" outlineLevel="0" collapsed="false">
      <c r="A1693" s="0" t="s">
        <v>178</v>
      </c>
      <c r="B1693" s="0" t="n">
        <v>2016</v>
      </c>
      <c r="C1693" s="0" t="s">
        <v>27</v>
      </c>
      <c r="D1693" s="0" t="n">
        <v>15.3922786597023</v>
      </c>
      <c r="E1693" s="0" t="s">
        <v>522</v>
      </c>
    </row>
    <row r="1694" customFormat="false" ht="15" hidden="false" customHeight="false" outlineLevel="0" collapsed="false">
      <c r="A1694" s="0" t="s">
        <v>178</v>
      </c>
      <c r="B1694" s="0" t="n">
        <v>2016</v>
      </c>
      <c r="C1694" s="0" t="s">
        <v>39</v>
      </c>
      <c r="D1694" s="0" t="n">
        <v>-8.97373842548301</v>
      </c>
      <c r="E1694" s="0" t="s">
        <v>522</v>
      </c>
    </row>
    <row r="1695" customFormat="false" ht="15" hidden="false" customHeight="false" outlineLevel="0" collapsed="false">
      <c r="A1695" s="0" t="s">
        <v>178</v>
      </c>
      <c r="B1695" s="0" t="n">
        <v>2016</v>
      </c>
      <c r="C1695" s="0" t="s">
        <v>17</v>
      </c>
      <c r="D1695" s="0" t="n">
        <v>2.65521883838528</v>
      </c>
      <c r="E1695" s="0" t="s">
        <v>522</v>
      </c>
    </row>
    <row r="1696" customFormat="false" ht="15" hidden="false" customHeight="false" outlineLevel="0" collapsed="false">
      <c r="A1696" s="0" t="s">
        <v>178</v>
      </c>
      <c r="B1696" s="0" t="n">
        <v>2016</v>
      </c>
      <c r="C1696" s="0" t="s">
        <v>25</v>
      </c>
      <c r="D1696" s="0" t="n">
        <v>19.7028908304746</v>
      </c>
      <c r="E1696" s="0" t="s">
        <v>522</v>
      </c>
    </row>
    <row r="1697" customFormat="false" ht="15" hidden="false" customHeight="false" outlineLevel="0" collapsed="false">
      <c r="A1697" s="0" t="s">
        <v>178</v>
      </c>
      <c r="B1697" s="0" t="n">
        <v>2016</v>
      </c>
      <c r="C1697" s="0" t="s">
        <v>29</v>
      </c>
      <c r="D1697" s="0" t="n">
        <v>1.07323038519135</v>
      </c>
      <c r="E1697" s="0" t="s">
        <v>522</v>
      </c>
    </row>
    <row r="1698" customFormat="false" ht="15" hidden="false" customHeight="false" outlineLevel="0" collapsed="false">
      <c r="A1698" s="0" t="s">
        <v>178</v>
      </c>
      <c r="B1698" s="0" t="n">
        <v>2016</v>
      </c>
      <c r="C1698" s="0" t="s">
        <v>43</v>
      </c>
      <c r="D1698" s="0" t="n">
        <v>1.87199877145282</v>
      </c>
      <c r="E1698" s="0" t="s">
        <v>522</v>
      </c>
    </row>
    <row r="1699" customFormat="false" ht="15" hidden="false" customHeight="false" outlineLevel="0" collapsed="false">
      <c r="A1699" s="0" t="s">
        <v>178</v>
      </c>
      <c r="B1699" s="0" t="n">
        <v>2016</v>
      </c>
      <c r="C1699" s="0" t="s">
        <v>31</v>
      </c>
      <c r="D1699" s="0" t="n">
        <v>84.6077213402977</v>
      </c>
      <c r="E1699" s="0" t="s">
        <v>522</v>
      </c>
    </row>
    <row r="1700" customFormat="false" ht="15" hidden="false" customHeight="false" outlineLevel="0" collapsed="false">
      <c r="A1700" s="0" t="s">
        <v>178</v>
      </c>
      <c r="B1700" s="0" t="n">
        <v>2016</v>
      </c>
      <c r="C1700" s="0" t="s">
        <v>33</v>
      </c>
      <c r="D1700" s="0" t="n">
        <v>14.747511239819</v>
      </c>
      <c r="E1700" s="0" t="s">
        <v>522</v>
      </c>
    </row>
    <row r="1701" customFormat="false" ht="15" hidden="false" customHeight="false" outlineLevel="0" collapsed="false">
      <c r="A1701" s="0" t="s">
        <v>178</v>
      </c>
      <c r="B1701" s="0" t="n">
        <v>2016</v>
      </c>
      <c r="C1701" s="0" t="s">
        <v>21</v>
      </c>
      <c r="D1701" s="0" t="n">
        <v>0</v>
      </c>
      <c r="E1701" s="0" t="s">
        <v>522</v>
      </c>
    </row>
    <row r="1702" customFormat="false" ht="15" hidden="false" customHeight="false" outlineLevel="0" collapsed="false">
      <c r="A1702" s="0" t="s">
        <v>178</v>
      </c>
      <c r="B1702" s="0" t="n">
        <v>2016</v>
      </c>
      <c r="C1702" s="0" t="s">
        <v>35</v>
      </c>
      <c r="D1702" s="0" t="n">
        <v>0</v>
      </c>
      <c r="E1702" s="0" t="s">
        <v>522</v>
      </c>
    </row>
    <row r="1703" customFormat="false" ht="15" hidden="false" customHeight="false" outlineLevel="0" collapsed="false">
      <c r="A1703" s="0" t="s">
        <v>178</v>
      </c>
      <c r="B1703" s="0" t="n">
        <v>2017</v>
      </c>
      <c r="C1703" s="0" t="s">
        <v>54</v>
      </c>
      <c r="D1703" s="0" t="n">
        <v>41396</v>
      </c>
      <c r="E1703" s="0" t="s">
        <v>521</v>
      </c>
      <c r="G1703" s="0" t="s">
        <v>81</v>
      </c>
    </row>
    <row r="1704" customFormat="false" ht="15" hidden="false" customHeight="false" outlineLevel="0" collapsed="false">
      <c r="A1704" s="0" t="s">
        <v>178</v>
      </c>
      <c r="B1704" s="0" t="n">
        <v>2017</v>
      </c>
      <c r="C1704" s="0" t="s">
        <v>55</v>
      </c>
      <c r="D1704" s="0" t="n">
        <v>2931826</v>
      </c>
      <c r="E1704" s="0" t="s">
        <v>521</v>
      </c>
      <c r="G1704" s="0" t="s">
        <v>81</v>
      </c>
    </row>
    <row r="1705" customFormat="false" ht="15" hidden="false" customHeight="false" outlineLevel="0" collapsed="false">
      <c r="A1705" s="0" t="s">
        <v>178</v>
      </c>
      <c r="B1705" s="0" t="n">
        <v>2017</v>
      </c>
      <c r="C1705" s="0" t="s">
        <v>56</v>
      </c>
      <c r="D1705" s="0" t="n">
        <v>2530966</v>
      </c>
      <c r="E1705" s="0" t="s">
        <v>521</v>
      </c>
      <c r="G1705" s="0" t="s">
        <v>81</v>
      </c>
    </row>
    <row r="1706" customFormat="false" ht="15" hidden="false" customHeight="false" outlineLevel="0" collapsed="false">
      <c r="A1706" s="0" t="s">
        <v>178</v>
      </c>
      <c r="B1706" s="0" t="n">
        <v>2017</v>
      </c>
      <c r="C1706" s="0" t="s">
        <v>57</v>
      </c>
      <c r="D1706" s="0" t="n">
        <v>400860</v>
      </c>
      <c r="E1706" s="0" t="s">
        <v>521</v>
      </c>
      <c r="G1706" s="0" t="s">
        <v>81</v>
      </c>
    </row>
    <row r="1707" customFormat="false" ht="15" hidden="false" customHeight="false" outlineLevel="0" collapsed="false">
      <c r="A1707" s="0" t="s">
        <v>178</v>
      </c>
      <c r="B1707" s="0" t="n">
        <v>2017</v>
      </c>
      <c r="C1707" s="0" t="s">
        <v>58</v>
      </c>
      <c r="D1707" s="0" t="n">
        <v>59151</v>
      </c>
      <c r="E1707" s="0" t="s">
        <v>521</v>
      </c>
      <c r="G1707" s="0" t="s">
        <v>81</v>
      </c>
    </row>
    <row r="1708" customFormat="false" ht="15" hidden="false" customHeight="false" outlineLevel="0" collapsed="false">
      <c r="A1708" s="0" t="s">
        <v>178</v>
      </c>
      <c r="B1708" s="0" t="n">
        <v>2017</v>
      </c>
      <c r="C1708" s="0" t="s">
        <v>59</v>
      </c>
      <c r="D1708" s="0" t="n">
        <v>2539585</v>
      </c>
      <c r="E1708" s="0" t="s">
        <v>521</v>
      </c>
      <c r="G1708" s="0" t="s">
        <v>81</v>
      </c>
    </row>
    <row r="1709" customFormat="false" ht="15" hidden="false" customHeight="false" outlineLevel="0" collapsed="false">
      <c r="A1709" s="0" t="s">
        <v>178</v>
      </c>
      <c r="B1709" s="0" t="n">
        <v>2017</v>
      </c>
      <c r="C1709" s="0" t="s">
        <v>60</v>
      </c>
      <c r="D1709" s="0" t="n">
        <v>1204426</v>
      </c>
      <c r="E1709" s="0" t="s">
        <v>521</v>
      </c>
      <c r="G1709" s="0" t="s">
        <v>81</v>
      </c>
    </row>
    <row r="1710" customFormat="false" ht="15" hidden="false" customHeight="false" outlineLevel="0" collapsed="false">
      <c r="A1710" s="0" t="s">
        <v>178</v>
      </c>
      <c r="B1710" s="0" t="n">
        <v>2017</v>
      </c>
      <c r="C1710" s="0" t="s">
        <v>61</v>
      </c>
      <c r="D1710" s="0" t="n">
        <v>31212</v>
      </c>
      <c r="E1710" s="0" t="s">
        <v>521</v>
      </c>
      <c r="G1710" s="0" t="s">
        <v>81</v>
      </c>
    </row>
    <row r="1711" customFormat="false" ht="15" hidden="false" customHeight="false" outlineLevel="0" collapsed="false">
      <c r="A1711" s="0" t="s">
        <v>178</v>
      </c>
      <c r="B1711" s="0" t="n">
        <v>2017</v>
      </c>
      <c r="C1711" s="0" t="s">
        <v>62</v>
      </c>
      <c r="D1711" s="0" t="n">
        <v>1173214</v>
      </c>
      <c r="E1711" s="0" t="s">
        <v>521</v>
      </c>
      <c r="G1711" s="0" t="s">
        <v>81</v>
      </c>
    </row>
    <row r="1712" customFormat="false" ht="15" hidden="false" customHeight="false" outlineLevel="0" collapsed="false">
      <c r="A1712" s="0" t="s">
        <v>178</v>
      </c>
      <c r="B1712" s="0" t="n">
        <v>2017</v>
      </c>
      <c r="C1712" s="0" t="s">
        <v>63</v>
      </c>
      <c r="D1712" s="0" t="n">
        <v>30433</v>
      </c>
      <c r="E1712" s="0" t="s">
        <v>521</v>
      </c>
      <c r="G1712" s="0" t="s">
        <v>81</v>
      </c>
    </row>
    <row r="1713" customFormat="false" ht="15" hidden="false" customHeight="false" outlineLevel="0" collapsed="false">
      <c r="A1713" s="0" t="s">
        <v>178</v>
      </c>
      <c r="B1713" s="0" t="n">
        <v>2017</v>
      </c>
      <c r="C1713" s="0" t="s">
        <v>69</v>
      </c>
      <c r="D1713" s="0" t="n">
        <v>20</v>
      </c>
      <c r="E1713" s="0" t="s">
        <v>521</v>
      </c>
      <c r="G1713" s="0" t="s">
        <v>81</v>
      </c>
    </row>
    <row r="1714" customFormat="false" ht="15" hidden="false" customHeight="false" outlineLevel="0" collapsed="false">
      <c r="A1714" s="0" t="s">
        <v>178</v>
      </c>
      <c r="B1714" s="0" t="n">
        <v>2017</v>
      </c>
      <c r="C1714" s="0" t="s">
        <v>65</v>
      </c>
      <c r="D1714" s="0" t="n">
        <v>255027</v>
      </c>
      <c r="E1714" s="0" t="s">
        <v>521</v>
      </c>
      <c r="G1714" s="0" t="s">
        <v>81</v>
      </c>
    </row>
    <row r="1715" customFormat="false" ht="15" hidden="false" customHeight="false" outlineLevel="0" collapsed="false">
      <c r="A1715" s="0" t="s">
        <v>178</v>
      </c>
      <c r="B1715" s="0" t="n">
        <v>2017</v>
      </c>
      <c r="C1715" s="0" t="s">
        <v>66</v>
      </c>
      <c r="D1715" s="0" t="n">
        <v>1265087</v>
      </c>
      <c r="E1715" s="0" t="s">
        <v>521</v>
      </c>
      <c r="G1715" s="0" t="s">
        <v>81</v>
      </c>
    </row>
    <row r="1716" customFormat="false" ht="15" hidden="false" customHeight="false" outlineLevel="0" collapsed="false">
      <c r="A1716" s="0" t="s">
        <v>178</v>
      </c>
      <c r="B1716" s="0" t="n">
        <v>2017</v>
      </c>
      <c r="C1716" s="0" t="s">
        <v>71</v>
      </c>
      <c r="D1716" s="0" t="n">
        <v>49.69</v>
      </c>
      <c r="E1716" s="0" t="s">
        <v>521</v>
      </c>
      <c r="G1716" s="0" t="s">
        <v>81</v>
      </c>
    </row>
    <row r="1717" customFormat="false" ht="15" hidden="false" customHeight="false" outlineLevel="0" collapsed="false">
      <c r="A1717" s="0" t="s">
        <v>178</v>
      </c>
      <c r="B1717" s="0" t="n">
        <v>2017</v>
      </c>
      <c r="C1717" s="0" t="s">
        <v>541</v>
      </c>
      <c r="D1717" s="0" t="n">
        <v>52795</v>
      </c>
      <c r="E1717" s="0" t="s">
        <v>521</v>
      </c>
      <c r="G1717" s="0" t="s">
        <v>81</v>
      </c>
    </row>
    <row r="1718" customFormat="false" ht="15" hidden="false" customHeight="false" outlineLevel="0" collapsed="false">
      <c r="A1718" s="0" t="s">
        <v>178</v>
      </c>
      <c r="B1718" s="0" t="n">
        <v>2017</v>
      </c>
      <c r="C1718" s="0" t="s">
        <v>543</v>
      </c>
      <c r="D1718" s="0" t="n">
        <v>18658</v>
      </c>
      <c r="E1718" s="0" t="s">
        <v>521</v>
      </c>
      <c r="G1718" s="0" t="s">
        <v>81</v>
      </c>
    </row>
    <row r="1719" customFormat="false" ht="15" hidden="false" customHeight="false" outlineLevel="0" collapsed="false">
      <c r="A1719" s="0" t="s">
        <v>178</v>
      </c>
      <c r="B1719" s="0" t="n">
        <v>2017</v>
      </c>
      <c r="C1719" s="0" t="s">
        <v>545</v>
      </c>
      <c r="D1719" s="0" t="n">
        <v>12554</v>
      </c>
      <c r="E1719" s="0" t="s">
        <v>521</v>
      </c>
      <c r="G1719" s="0" t="s">
        <v>81</v>
      </c>
    </row>
    <row r="1720" customFormat="false" ht="15" hidden="false" customHeight="false" outlineLevel="0" collapsed="false">
      <c r="A1720" s="0" t="s">
        <v>178</v>
      </c>
      <c r="B1720" s="0" t="n">
        <v>2017</v>
      </c>
      <c r="C1720" s="0" t="s">
        <v>19</v>
      </c>
      <c r="D1720" s="0" t="n">
        <v>2735705.5</v>
      </c>
      <c r="E1720" s="0" t="s">
        <v>522</v>
      </c>
    </row>
    <row r="1721" customFormat="false" ht="15" hidden="false" customHeight="false" outlineLevel="0" collapsed="false">
      <c r="A1721" s="0" t="s">
        <v>178</v>
      </c>
      <c r="B1721" s="0" t="n">
        <v>2017</v>
      </c>
      <c r="C1721" s="0" t="s">
        <v>41</v>
      </c>
      <c r="D1721" s="0" t="n">
        <v>1.51317457233609</v>
      </c>
      <c r="E1721" s="0" t="s">
        <v>522</v>
      </c>
    </row>
    <row r="1722" customFormat="false" ht="15" hidden="false" customHeight="false" outlineLevel="0" collapsed="false">
      <c r="A1722" s="0" t="s">
        <v>178</v>
      </c>
      <c r="B1722" s="0" t="n">
        <v>2017</v>
      </c>
      <c r="C1722" s="0" t="s">
        <v>27</v>
      </c>
      <c r="D1722" s="0" t="n">
        <v>13.6727077254926</v>
      </c>
      <c r="E1722" s="0" t="s">
        <v>522</v>
      </c>
    </row>
    <row r="1723" customFormat="false" ht="15" hidden="false" customHeight="false" outlineLevel="0" collapsed="false">
      <c r="A1723" s="0" t="s">
        <v>178</v>
      </c>
      <c r="B1723" s="0" t="n">
        <v>2017</v>
      </c>
      <c r="C1723" s="0" t="s">
        <v>39</v>
      </c>
      <c r="D1723" s="0" t="n">
        <v>2.16218448952199</v>
      </c>
      <c r="E1723" s="0" t="s">
        <v>522</v>
      </c>
    </row>
    <row r="1724" customFormat="false" ht="15" hidden="false" customHeight="false" outlineLevel="0" collapsed="false">
      <c r="A1724" s="0" t="s">
        <v>178</v>
      </c>
      <c r="B1724" s="0" t="n">
        <v>2017</v>
      </c>
      <c r="C1724" s="0" t="s">
        <v>17</v>
      </c>
      <c r="D1724" s="0" t="n">
        <v>2.5914418984645</v>
      </c>
      <c r="E1724" s="0" t="s">
        <v>522</v>
      </c>
    </row>
    <row r="1725" customFormat="false" ht="15" hidden="false" customHeight="false" outlineLevel="0" collapsed="false">
      <c r="A1725" s="0" t="s">
        <v>178</v>
      </c>
      <c r="B1725" s="0" t="n">
        <v>2017</v>
      </c>
      <c r="C1725" s="0" t="s">
        <v>25</v>
      </c>
      <c r="D1725" s="0" t="n">
        <v>20.1588507351668</v>
      </c>
      <c r="E1725" s="0" t="s">
        <v>522</v>
      </c>
    </row>
    <row r="1726" customFormat="false" ht="15" hidden="false" customHeight="false" outlineLevel="0" collapsed="false">
      <c r="A1726" s="0" t="s">
        <v>178</v>
      </c>
      <c r="B1726" s="0" t="n">
        <v>2017</v>
      </c>
      <c r="C1726" s="0" t="s">
        <v>29</v>
      </c>
      <c r="D1726" s="0" t="n">
        <v>1.11243699294387</v>
      </c>
      <c r="E1726" s="0" t="s">
        <v>522</v>
      </c>
    </row>
    <row r="1727" customFormat="false" ht="15" hidden="false" customHeight="false" outlineLevel="0" collapsed="false">
      <c r="A1727" s="0" t="s">
        <v>178</v>
      </c>
      <c r="B1727" s="0" t="n">
        <v>2017</v>
      </c>
      <c r="C1727" s="0" t="s">
        <v>43</v>
      </c>
      <c r="D1727" s="0" t="n">
        <v>1.41195282393976</v>
      </c>
      <c r="E1727" s="0" t="s">
        <v>522</v>
      </c>
    </row>
    <row r="1728" customFormat="false" ht="15" hidden="false" customHeight="false" outlineLevel="0" collapsed="false">
      <c r="A1728" s="0" t="s">
        <v>178</v>
      </c>
      <c r="B1728" s="0" t="n">
        <v>2017</v>
      </c>
      <c r="C1728" s="0" t="s">
        <v>31</v>
      </c>
      <c r="D1728" s="0" t="n">
        <v>86.3272922745074</v>
      </c>
      <c r="E1728" s="0" t="s">
        <v>522</v>
      </c>
    </row>
    <row r="1729" customFormat="false" ht="15" hidden="false" customHeight="false" outlineLevel="0" collapsed="false">
      <c r="A1729" s="0" t="s">
        <v>178</v>
      </c>
      <c r="B1729" s="0" t="n">
        <v>2017</v>
      </c>
      <c r="C1729" s="0" t="s">
        <v>33</v>
      </c>
      <c r="D1729" s="0" t="n">
        <v>14.8911359950708</v>
      </c>
      <c r="E1729" s="0" t="s">
        <v>522</v>
      </c>
    </row>
    <row r="1730" customFormat="false" ht="15" hidden="false" customHeight="false" outlineLevel="0" collapsed="false">
      <c r="A1730" s="0" t="s">
        <v>178</v>
      </c>
      <c r="B1730" s="0" t="n">
        <v>2017</v>
      </c>
      <c r="C1730" s="0" t="s">
        <v>21</v>
      </c>
      <c r="D1730" s="0" t="n">
        <v>0</v>
      </c>
      <c r="E1730" s="0" t="s">
        <v>522</v>
      </c>
    </row>
    <row r="1731" customFormat="false" ht="15" hidden="false" customHeight="false" outlineLevel="0" collapsed="false">
      <c r="A1731" s="0" t="s">
        <v>178</v>
      </c>
      <c r="B1731" s="0" t="n">
        <v>2017</v>
      </c>
      <c r="C1731" s="0" t="s">
        <v>35</v>
      </c>
      <c r="D1731" s="0" t="n">
        <v>0</v>
      </c>
      <c r="E1731" s="0" t="s">
        <v>522</v>
      </c>
    </row>
    <row r="1732" customFormat="false" ht="15" hidden="false" customHeight="false" outlineLevel="0" collapsed="false">
      <c r="A1732" s="0" t="s">
        <v>178</v>
      </c>
      <c r="B1732" s="0" t="n">
        <v>2018</v>
      </c>
      <c r="C1732" s="0" t="s">
        <v>54</v>
      </c>
      <c r="D1732" s="0" t="n">
        <v>41047</v>
      </c>
      <c r="E1732" s="0" t="s">
        <v>521</v>
      </c>
      <c r="G1732" s="0" t="s">
        <v>81</v>
      </c>
    </row>
    <row r="1733" customFormat="false" ht="15" hidden="false" customHeight="false" outlineLevel="0" collapsed="false">
      <c r="A1733" s="0" t="s">
        <v>178</v>
      </c>
      <c r="B1733" s="0" t="n">
        <v>2018</v>
      </c>
      <c r="C1733" s="0" t="s">
        <v>55</v>
      </c>
      <c r="D1733" s="0" t="n">
        <v>3591305</v>
      </c>
      <c r="E1733" s="0" t="s">
        <v>521</v>
      </c>
      <c r="G1733" s="0" t="s">
        <v>81</v>
      </c>
    </row>
    <row r="1734" customFormat="false" ht="15" hidden="false" customHeight="false" outlineLevel="0" collapsed="false">
      <c r="A1734" s="0" t="s">
        <v>178</v>
      </c>
      <c r="B1734" s="0" t="n">
        <v>2018</v>
      </c>
      <c r="C1734" s="0" t="s">
        <v>56</v>
      </c>
      <c r="D1734" s="0" t="n">
        <v>3226707</v>
      </c>
      <c r="E1734" s="0" t="s">
        <v>521</v>
      </c>
      <c r="G1734" s="0" t="s">
        <v>81</v>
      </c>
    </row>
    <row r="1735" customFormat="false" ht="15" hidden="false" customHeight="false" outlineLevel="0" collapsed="false">
      <c r="A1735" s="0" t="s">
        <v>178</v>
      </c>
      <c r="B1735" s="0" t="n">
        <v>2018</v>
      </c>
      <c r="C1735" s="0" t="s">
        <v>57</v>
      </c>
      <c r="D1735" s="0" t="n">
        <v>364598</v>
      </c>
      <c r="E1735" s="0" t="s">
        <v>521</v>
      </c>
      <c r="G1735" s="0" t="s">
        <v>81</v>
      </c>
    </row>
    <row r="1736" customFormat="false" ht="15" hidden="false" customHeight="false" outlineLevel="0" collapsed="false">
      <c r="A1736" s="0" t="s">
        <v>178</v>
      </c>
      <c r="B1736" s="0" t="n">
        <v>2018</v>
      </c>
      <c r="C1736" s="0" t="s">
        <v>58</v>
      </c>
      <c r="D1736" s="0" t="n">
        <v>488626</v>
      </c>
      <c r="E1736" s="0" t="s">
        <v>521</v>
      </c>
      <c r="G1736" s="0" t="s">
        <v>81</v>
      </c>
    </row>
    <row r="1737" customFormat="false" ht="15" hidden="false" customHeight="false" outlineLevel="0" collapsed="false">
      <c r="A1737" s="0" t="s">
        <v>178</v>
      </c>
      <c r="B1737" s="0" t="n">
        <v>2018</v>
      </c>
      <c r="C1737" s="0" t="s">
        <v>59</v>
      </c>
      <c r="D1737" s="0" t="n">
        <v>2931826</v>
      </c>
      <c r="E1737" s="0" t="s">
        <v>521</v>
      </c>
      <c r="G1737" s="0" t="s">
        <v>81</v>
      </c>
    </row>
    <row r="1738" customFormat="false" ht="15" hidden="false" customHeight="false" outlineLevel="0" collapsed="false">
      <c r="A1738" s="0" t="s">
        <v>178</v>
      </c>
      <c r="B1738" s="0" t="n">
        <v>2018</v>
      </c>
      <c r="C1738" s="0" t="s">
        <v>60</v>
      </c>
      <c r="D1738" s="0" t="n">
        <v>1274112</v>
      </c>
      <c r="E1738" s="0" t="s">
        <v>521</v>
      </c>
      <c r="G1738" s="0" t="s">
        <v>81</v>
      </c>
    </row>
    <row r="1739" customFormat="false" ht="15" hidden="false" customHeight="false" outlineLevel="0" collapsed="false">
      <c r="A1739" s="0" t="s">
        <v>178</v>
      </c>
      <c r="B1739" s="0" t="n">
        <v>2018</v>
      </c>
      <c r="C1739" s="0" t="s">
        <v>61</v>
      </c>
      <c r="D1739" s="0" t="n">
        <v>60311</v>
      </c>
      <c r="E1739" s="0" t="s">
        <v>521</v>
      </c>
      <c r="G1739" s="0" t="s">
        <v>81</v>
      </c>
    </row>
    <row r="1740" customFormat="false" ht="15" hidden="false" customHeight="false" outlineLevel="0" collapsed="false">
      <c r="A1740" s="0" t="s">
        <v>178</v>
      </c>
      <c r="B1740" s="0" t="n">
        <v>2018</v>
      </c>
      <c r="C1740" s="0" t="s">
        <v>62</v>
      </c>
      <c r="D1740" s="0" t="n">
        <v>1213801</v>
      </c>
      <c r="E1740" s="0" t="s">
        <v>521</v>
      </c>
      <c r="G1740" s="0" t="s">
        <v>81</v>
      </c>
    </row>
    <row r="1741" customFormat="false" ht="15" hidden="false" customHeight="false" outlineLevel="0" collapsed="false">
      <c r="A1741" s="0" t="s">
        <v>178</v>
      </c>
      <c r="B1741" s="0" t="n">
        <v>2018</v>
      </c>
      <c r="C1741" s="0" t="s">
        <v>63</v>
      </c>
      <c r="D1741" s="0" t="n">
        <v>4257</v>
      </c>
      <c r="E1741" s="0" t="s">
        <v>521</v>
      </c>
      <c r="G1741" s="0" t="s">
        <v>81</v>
      </c>
    </row>
    <row r="1742" customFormat="false" ht="15" hidden="false" customHeight="false" outlineLevel="0" collapsed="false">
      <c r="A1742" s="0" t="s">
        <v>178</v>
      </c>
      <c r="B1742" s="0" t="n">
        <v>2018</v>
      </c>
      <c r="C1742" s="0" t="s">
        <v>69</v>
      </c>
      <c r="D1742" s="0" t="n">
        <v>20</v>
      </c>
      <c r="E1742" s="0" t="s">
        <v>521</v>
      </c>
      <c r="G1742" s="0" t="s">
        <v>81</v>
      </c>
    </row>
    <row r="1743" customFormat="false" ht="15" hidden="false" customHeight="false" outlineLevel="0" collapsed="false">
      <c r="A1743" s="0" t="s">
        <v>178</v>
      </c>
      <c r="B1743" s="0" t="n">
        <v>2018</v>
      </c>
      <c r="C1743" s="0" t="s">
        <v>614</v>
      </c>
      <c r="D1743" s="0" t="n">
        <v>22.08</v>
      </c>
      <c r="E1743" s="0" t="s">
        <v>521</v>
      </c>
      <c r="G1743" s="0" t="s">
        <v>81</v>
      </c>
    </row>
    <row r="1744" customFormat="false" ht="15" hidden="false" customHeight="false" outlineLevel="0" collapsed="false">
      <c r="A1744" s="0" t="s">
        <v>178</v>
      </c>
      <c r="B1744" s="0" t="n">
        <v>2018</v>
      </c>
      <c r="C1744" s="0" t="s">
        <v>70</v>
      </c>
      <c r="D1744" s="0" t="n">
        <v>16</v>
      </c>
      <c r="E1744" s="0" t="s">
        <v>521</v>
      </c>
      <c r="G1744" s="0" t="s">
        <v>81</v>
      </c>
    </row>
    <row r="1745" customFormat="false" ht="15" hidden="false" customHeight="false" outlineLevel="0" collapsed="false">
      <c r="A1745" s="0" t="s">
        <v>178</v>
      </c>
      <c r="B1745" s="0" t="n">
        <v>2018</v>
      </c>
      <c r="C1745" s="0" t="s">
        <v>65</v>
      </c>
      <c r="D1745" s="0" t="n">
        <v>245482</v>
      </c>
      <c r="E1745" s="0" t="s">
        <v>521</v>
      </c>
      <c r="G1745" s="0" t="s">
        <v>81</v>
      </c>
    </row>
    <row r="1746" customFormat="false" ht="15" hidden="false" customHeight="false" outlineLevel="0" collapsed="false">
      <c r="A1746" s="0" t="s">
        <v>178</v>
      </c>
      <c r="B1746" s="0" t="n">
        <v>2018</v>
      </c>
      <c r="C1746" s="0" t="s">
        <v>66</v>
      </c>
      <c r="D1746" s="0" t="n">
        <v>1248509</v>
      </c>
      <c r="E1746" s="0" t="s">
        <v>521</v>
      </c>
      <c r="G1746" s="0" t="s">
        <v>81</v>
      </c>
    </row>
    <row r="1747" customFormat="false" ht="15" hidden="false" customHeight="false" outlineLevel="0" collapsed="false">
      <c r="A1747" s="0" t="s">
        <v>178</v>
      </c>
      <c r="B1747" s="0" t="n">
        <v>2018</v>
      </c>
      <c r="C1747" s="0" t="s">
        <v>71</v>
      </c>
      <c r="D1747" s="0" t="n">
        <v>55.84</v>
      </c>
      <c r="E1747" s="0" t="s">
        <v>521</v>
      </c>
      <c r="G1747" s="0" t="s">
        <v>81</v>
      </c>
    </row>
    <row r="1748" customFormat="false" ht="15" hidden="false" customHeight="false" outlineLevel="0" collapsed="false">
      <c r="A1748" s="0" t="s">
        <v>178</v>
      </c>
      <c r="B1748" s="0" t="n">
        <v>2018</v>
      </c>
      <c r="C1748" s="0" t="s">
        <v>68</v>
      </c>
      <c r="D1748" s="0" t="n">
        <v>36951</v>
      </c>
      <c r="E1748" s="0" t="s">
        <v>521</v>
      </c>
      <c r="G1748" s="0" t="s">
        <v>81</v>
      </c>
    </row>
    <row r="1749" customFormat="false" ht="15" hidden="false" customHeight="false" outlineLevel="0" collapsed="false">
      <c r="A1749" s="0" t="s">
        <v>178</v>
      </c>
      <c r="B1749" s="0" t="n">
        <v>2018</v>
      </c>
      <c r="C1749" s="0" t="s">
        <v>541</v>
      </c>
      <c r="D1749" s="0" t="n">
        <v>55350</v>
      </c>
      <c r="E1749" s="0" t="s">
        <v>521</v>
      </c>
      <c r="G1749" s="0" t="s">
        <v>81</v>
      </c>
    </row>
    <row r="1750" customFormat="false" ht="15" hidden="false" customHeight="false" outlineLevel="0" collapsed="false">
      <c r="A1750" s="0" t="s">
        <v>178</v>
      </c>
      <c r="B1750" s="0" t="n">
        <v>2018</v>
      </c>
      <c r="C1750" s="0" t="s">
        <v>19</v>
      </c>
      <c r="D1750" s="0" t="n">
        <v>3261565.5</v>
      </c>
      <c r="E1750" s="0" t="s">
        <v>522</v>
      </c>
    </row>
    <row r="1751" customFormat="false" ht="15" hidden="false" customHeight="false" outlineLevel="0" collapsed="false">
      <c r="A1751" s="0" t="s">
        <v>178</v>
      </c>
      <c r="B1751" s="0" t="n">
        <v>2018</v>
      </c>
      <c r="C1751" s="0" t="s">
        <v>41</v>
      </c>
      <c r="D1751" s="0" t="n">
        <v>1.25850607629986</v>
      </c>
      <c r="E1751" s="0" t="s">
        <v>522</v>
      </c>
    </row>
    <row r="1752" customFormat="false" ht="15" hidden="false" customHeight="false" outlineLevel="0" collapsed="false">
      <c r="A1752" s="0" t="s">
        <v>178</v>
      </c>
      <c r="B1752" s="0" t="n">
        <v>2018</v>
      </c>
      <c r="C1752" s="0" t="s">
        <v>27</v>
      </c>
      <c r="D1752" s="0" t="n">
        <v>10.1522427084305</v>
      </c>
      <c r="E1752" s="0" t="s">
        <v>522</v>
      </c>
    </row>
    <row r="1753" customFormat="false" ht="15" hidden="false" customHeight="false" outlineLevel="0" collapsed="false">
      <c r="A1753" s="0" t="s">
        <v>178</v>
      </c>
      <c r="B1753" s="0" t="n">
        <v>2018</v>
      </c>
      <c r="C1753" s="0" t="s">
        <v>39</v>
      </c>
      <c r="D1753" s="0" t="n">
        <v>14.981333350503</v>
      </c>
      <c r="E1753" s="0" t="s">
        <v>522</v>
      </c>
    </row>
    <row r="1754" customFormat="false" ht="15" hidden="false" customHeight="false" outlineLevel="0" collapsed="false">
      <c r="A1754" s="0" t="s">
        <v>178</v>
      </c>
      <c r="B1754" s="0" t="n">
        <v>2018</v>
      </c>
      <c r="C1754" s="0" t="s">
        <v>17</v>
      </c>
      <c r="D1754" s="0" t="n">
        <v>4.73357130299377</v>
      </c>
      <c r="E1754" s="0" t="s">
        <v>522</v>
      </c>
    </row>
    <row r="1755" customFormat="false" ht="15" hidden="false" customHeight="false" outlineLevel="0" collapsed="false">
      <c r="A1755" s="0" t="s">
        <v>178</v>
      </c>
      <c r="B1755" s="0" t="n">
        <v>2018</v>
      </c>
      <c r="C1755" s="0" t="s">
        <v>25</v>
      </c>
      <c r="D1755" s="0" t="n">
        <v>19.6620128489262</v>
      </c>
      <c r="E1755" s="0" t="s">
        <v>522</v>
      </c>
    </row>
    <row r="1756" customFormat="false" ht="15" hidden="false" customHeight="false" outlineLevel="0" collapsed="false">
      <c r="A1756" s="0" t="s">
        <v>178</v>
      </c>
      <c r="B1756" s="0" t="n">
        <v>2018</v>
      </c>
      <c r="C1756" s="0" t="s">
        <v>29</v>
      </c>
      <c r="D1756" s="0" t="n">
        <v>0.130520144390784</v>
      </c>
      <c r="E1756" s="0" t="s">
        <v>522</v>
      </c>
    </row>
    <row r="1757" customFormat="false" ht="15" hidden="false" customHeight="false" outlineLevel="0" collapsed="false">
      <c r="A1757" s="0" t="s">
        <v>178</v>
      </c>
      <c r="B1757" s="0" t="n">
        <v>2018</v>
      </c>
      <c r="C1757" s="0" t="s">
        <v>43</v>
      </c>
      <c r="D1757" s="0" t="n">
        <v>1.14295499825272</v>
      </c>
      <c r="E1757" s="0" t="s">
        <v>522</v>
      </c>
    </row>
    <row r="1758" customFormat="false" ht="15" hidden="false" customHeight="false" outlineLevel="0" collapsed="false">
      <c r="A1758" s="0" t="s">
        <v>178</v>
      </c>
      <c r="B1758" s="0" t="n">
        <v>2018</v>
      </c>
      <c r="C1758" s="0" t="s">
        <v>31</v>
      </c>
      <c r="D1758" s="0" t="n">
        <v>89.8477572915695</v>
      </c>
      <c r="E1758" s="0" t="s">
        <v>522</v>
      </c>
    </row>
    <row r="1759" customFormat="false" ht="15" hidden="false" customHeight="false" outlineLevel="0" collapsed="false">
      <c r="A1759" s="0" t="s">
        <v>178</v>
      </c>
      <c r="B1759" s="0" t="n">
        <v>2018</v>
      </c>
      <c r="C1759" s="0" t="s">
        <v>33</v>
      </c>
      <c r="D1759" s="0" t="n">
        <v>15.0940262041601</v>
      </c>
      <c r="E1759" s="0" t="s">
        <v>522</v>
      </c>
    </row>
    <row r="1760" customFormat="false" ht="15" hidden="false" customHeight="false" outlineLevel="0" collapsed="false">
      <c r="A1760" s="0" t="s">
        <v>178</v>
      </c>
      <c r="B1760" s="0" t="n">
        <v>2018</v>
      </c>
      <c r="C1760" s="0" t="s">
        <v>21</v>
      </c>
      <c r="D1760" s="0" t="n">
        <v>0</v>
      </c>
      <c r="E1760" s="0" t="s">
        <v>522</v>
      </c>
    </row>
    <row r="1761" customFormat="false" ht="15" hidden="false" customHeight="false" outlineLevel="0" collapsed="false">
      <c r="A1761" s="0" t="s">
        <v>178</v>
      </c>
      <c r="B1761" s="0" t="n">
        <v>2018</v>
      </c>
      <c r="C1761" s="0" t="s">
        <v>35</v>
      </c>
      <c r="D1761" s="0" t="n">
        <v>0</v>
      </c>
      <c r="E1761" s="0" t="s">
        <v>522</v>
      </c>
    </row>
    <row r="1762" customFormat="false" ht="15" hidden="false" customHeight="false" outlineLevel="0" collapsed="false">
      <c r="A1762" s="0" t="s">
        <v>178</v>
      </c>
      <c r="B1762" s="0" t="n">
        <v>2019</v>
      </c>
      <c r="C1762" s="0" t="s">
        <v>54</v>
      </c>
      <c r="D1762" s="0" t="n">
        <v>62750</v>
      </c>
      <c r="E1762" s="0" t="s">
        <v>521</v>
      </c>
      <c r="G1762" s="0" t="s">
        <v>81</v>
      </c>
    </row>
    <row r="1763" customFormat="false" ht="15" hidden="false" customHeight="false" outlineLevel="0" collapsed="false">
      <c r="A1763" s="0" t="s">
        <v>178</v>
      </c>
      <c r="B1763" s="0" t="n">
        <v>2019</v>
      </c>
      <c r="C1763" s="0" t="s">
        <v>55</v>
      </c>
      <c r="D1763" s="0" t="n">
        <v>4136493</v>
      </c>
      <c r="E1763" s="0" t="s">
        <v>521</v>
      </c>
      <c r="G1763" s="0" t="s">
        <v>81</v>
      </c>
    </row>
    <row r="1764" customFormat="false" ht="15" hidden="false" customHeight="false" outlineLevel="0" collapsed="false">
      <c r="A1764" s="0" t="s">
        <v>178</v>
      </c>
      <c r="B1764" s="0" t="n">
        <v>2019</v>
      </c>
      <c r="C1764" s="0" t="s">
        <v>56</v>
      </c>
      <c r="D1764" s="0" t="n">
        <v>3689971</v>
      </c>
      <c r="E1764" s="0" t="s">
        <v>521</v>
      </c>
      <c r="G1764" s="0" t="s">
        <v>81</v>
      </c>
    </row>
    <row r="1765" customFormat="false" ht="15" hidden="false" customHeight="false" outlineLevel="0" collapsed="false">
      <c r="A1765" s="0" t="s">
        <v>178</v>
      </c>
      <c r="B1765" s="0" t="n">
        <v>2019</v>
      </c>
      <c r="C1765" s="0" t="s">
        <v>57</v>
      </c>
      <c r="D1765" s="0" t="n">
        <v>446522</v>
      </c>
      <c r="E1765" s="0" t="s">
        <v>521</v>
      </c>
      <c r="G1765" s="0" t="s">
        <v>81</v>
      </c>
    </row>
    <row r="1766" customFormat="false" ht="15" hidden="false" customHeight="false" outlineLevel="0" collapsed="false">
      <c r="A1766" s="0" t="s">
        <v>178</v>
      </c>
      <c r="B1766" s="0" t="n">
        <v>2019</v>
      </c>
      <c r="C1766" s="0" t="s">
        <v>58</v>
      </c>
      <c r="D1766" s="0" t="n">
        <v>-317453</v>
      </c>
      <c r="E1766" s="0" t="s">
        <v>521</v>
      </c>
      <c r="G1766" s="0" t="s">
        <v>81</v>
      </c>
    </row>
    <row r="1767" customFormat="false" ht="15" hidden="false" customHeight="false" outlineLevel="0" collapsed="false">
      <c r="A1767" s="0" t="s">
        <v>178</v>
      </c>
      <c r="B1767" s="0" t="n">
        <v>2019</v>
      </c>
      <c r="C1767" s="0" t="s">
        <v>59</v>
      </c>
      <c r="D1767" s="0" t="n">
        <v>3591305</v>
      </c>
      <c r="E1767" s="0" t="s">
        <v>521</v>
      </c>
      <c r="G1767" s="0" t="s">
        <v>81</v>
      </c>
    </row>
    <row r="1768" customFormat="false" ht="15" hidden="false" customHeight="false" outlineLevel="0" collapsed="false">
      <c r="A1768" s="0" t="s">
        <v>178</v>
      </c>
      <c r="B1768" s="0" t="n">
        <v>2019</v>
      </c>
      <c r="C1768" s="0" t="s">
        <v>60</v>
      </c>
      <c r="D1768" s="0" t="n">
        <v>1557358</v>
      </c>
      <c r="E1768" s="0" t="s">
        <v>521</v>
      </c>
      <c r="G1768" s="0" t="s">
        <v>81</v>
      </c>
    </row>
    <row r="1769" customFormat="false" ht="15" hidden="false" customHeight="false" outlineLevel="0" collapsed="false">
      <c r="A1769" s="0" t="s">
        <v>178</v>
      </c>
      <c r="B1769" s="0" t="n">
        <v>2019</v>
      </c>
      <c r="C1769" s="0" t="s">
        <v>61</v>
      </c>
      <c r="D1769" s="0" t="n">
        <v>53978</v>
      </c>
      <c r="E1769" s="0" t="s">
        <v>521</v>
      </c>
      <c r="G1769" s="0" t="s">
        <v>81</v>
      </c>
    </row>
    <row r="1770" customFormat="false" ht="15" hidden="false" customHeight="false" outlineLevel="0" collapsed="false">
      <c r="A1770" s="0" t="s">
        <v>178</v>
      </c>
      <c r="B1770" s="0" t="n">
        <v>2019</v>
      </c>
      <c r="C1770" s="0" t="s">
        <v>62</v>
      </c>
      <c r="D1770" s="0" t="n">
        <v>1503380</v>
      </c>
      <c r="E1770" s="0" t="s">
        <v>521</v>
      </c>
      <c r="G1770" s="0" t="s">
        <v>81</v>
      </c>
    </row>
    <row r="1771" customFormat="false" ht="15" hidden="false" customHeight="false" outlineLevel="0" collapsed="false">
      <c r="A1771" s="0" t="s">
        <v>178</v>
      </c>
      <c r="B1771" s="0" t="n">
        <v>2019</v>
      </c>
      <c r="C1771" s="0" t="s">
        <v>63</v>
      </c>
      <c r="D1771" s="0" t="n">
        <v>16369</v>
      </c>
      <c r="E1771" s="0" t="s">
        <v>521</v>
      </c>
      <c r="G1771" s="0" t="s">
        <v>81</v>
      </c>
    </row>
    <row r="1772" customFormat="false" ht="15" hidden="false" customHeight="false" outlineLevel="0" collapsed="false">
      <c r="A1772" s="0" t="s">
        <v>178</v>
      </c>
      <c r="B1772" s="0" t="n">
        <v>2019</v>
      </c>
      <c r="C1772" s="0" t="s">
        <v>307</v>
      </c>
      <c r="D1772" s="0" t="n">
        <v>14695</v>
      </c>
      <c r="E1772" s="0" t="s">
        <v>521</v>
      </c>
      <c r="G1772" s="0" t="s">
        <v>81</v>
      </c>
    </row>
    <row r="1773" customFormat="false" ht="15" hidden="false" customHeight="false" outlineLevel="0" collapsed="false">
      <c r="A1773" s="0" t="s">
        <v>178</v>
      </c>
      <c r="B1773" s="0" t="n">
        <v>2019</v>
      </c>
      <c r="C1773" s="0" t="s">
        <v>1038</v>
      </c>
      <c r="D1773" s="0" t="n">
        <v>1674</v>
      </c>
      <c r="E1773" s="0" t="s">
        <v>521</v>
      </c>
      <c r="G1773" s="0" t="s">
        <v>81</v>
      </c>
    </row>
    <row r="1774" customFormat="false" ht="15" hidden="false" customHeight="false" outlineLevel="0" collapsed="false">
      <c r="A1774" s="0" t="s">
        <v>178</v>
      </c>
      <c r="B1774" s="0" t="n">
        <v>2019</v>
      </c>
      <c r="C1774" s="0" t="s">
        <v>69</v>
      </c>
      <c r="D1774" s="0" t="n">
        <v>22</v>
      </c>
      <c r="E1774" s="0" t="s">
        <v>521</v>
      </c>
      <c r="G1774" s="0" t="s">
        <v>81</v>
      </c>
    </row>
    <row r="1775" customFormat="false" ht="15" hidden="false" customHeight="false" outlineLevel="0" collapsed="false">
      <c r="A1775" s="0" t="s">
        <v>178</v>
      </c>
      <c r="B1775" s="0" t="n">
        <v>2019</v>
      </c>
      <c r="C1775" s="0" t="s">
        <v>65</v>
      </c>
      <c r="D1775" s="0" t="n">
        <v>285664</v>
      </c>
      <c r="E1775" s="0" t="s">
        <v>521</v>
      </c>
      <c r="G1775" s="0" t="s">
        <v>81</v>
      </c>
    </row>
    <row r="1776" customFormat="false" ht="15" hidden="false" customHeight="false" outlineLevel="0" collapsed="false">
      <c r="A1776" s="0" t="s">
        <v>178</v>
      </c>
      <c r="B1776" s="0" t="n">
        <v>2019</v>
      </c>
      <c r="C1776" s="0" t="s">
        <v>66</v>
      </c>
      <c r="D1776" s="0" t="n">
        <v>1328231</v>
      </c>
      <c r="E1776" s="0" t="s">
        <v>521</v>
      </c>
      <c r="G1776" s="0" t="s">
        <v>81</v>
      </c>
    </row>
    <row r="1777" customFormat="false" ht="15" hidden="false" customHeight="false" outlineLevel="0" collapsed="false">
      <c r="A1777" s="0" t="s">
        <v>178</v>
      </c>
      <c r="B1777" s="0" t="n">
        <v>2019</v>
      </c>
      <c r="C1777" s="0" t="s">
        <v>71</v>
      </c>
      <c r="D1777" s="0" t="n">
        <v>43.99</v>
      </c>
      <c r="E1777" s="0" t="s">
        <v>521</v>
      </c>
      <c r="G1777" s="0" t="s">
        <v>81</v>
      </c>
    </row>
    <row r="1778" customFormat="false" ht="15" hidden="false" customHeight="false" outlineLevel="0" collapsed="false">
      <c r="A1778" s="0" t="s">
        <v>178</v>
      </c>
      <c r="B1778" s="0" t="n">
        <v>2019</v>
      </c>
      <c r="C1778" s="0" t="s">
        <v>68</v>
      </c>
      <c r="D1778" s="0" t="n">
        <v>21215</v>
      </c>
      <c r="E1778" s="0" t="s">
        <v>521</v>
      </c>
      <c r="G1778" s="0" t="s">
        <v>81</v>
      </c>
    </row>
    <row r="1779" customFormat="false" ht="15" hidden="false" customHeight="false" outlineLevel="0" collapsed="false">
      <c r="A1779" s="0" t="s">
        <v>178</v>
      </c>
      <c r="B1779" s="0" t="n">
        <v>2019</v>
      </c>
      <c r="C1779" s="0" t="s">
        <v>541</v>
      </c>
      <c r="D1779" s="0" t="n">
        <v>70063</v>
      </c>
      <c r="E1779" s="0" t="s">
        <v>521</v>
      </c>
      <c r="G1779" s="0" t="s">
        <v>81</v>
      </c>
    </row>
    <row r="1780" customFormat="false" ht="15" hidden="false" customHeight="false" outlineLevel="0" collapsed="false">
      <c r="A1780" s="0" t="s">
        <v>178</v>
      </c>
      <c r="B1780" s="0" t="n">
        <v>2019</v>
      </c>
      <c r="C1780" s="0" t="s">
        <v>19</v>
      </c>
      <c r="D1780" s="0" t="n">
        <v>3863899</v>
      </c>
      <c r="E1780" s="0" t="s">
        <v>522</v>
      </c>
    </row>
    <row r="1781" customFormat="false" ht="15" hidden="false" customHeight="false" outlineLevel="0" collapsed="false">
      <c r="A1781" s="0" t="s">
        <v>178</v>
      </c>
      <c r="B1781" s="0" t="n">
        <v>2019</v>
      </c>
      <c r="C1781" s="0" t="s">
        <v>41</v>
      </c>
      <c r="D1781" s="0" t="n">
        <v>1.62400725277757</v>
      </c>
      <c r="E1781" s="0" t="s">
        <v>522</v>
      </c>
    </row>
    <row r="1782" customFormat="false" ht="15" hidden="false" customHeight="false" outlineLevel="0" collapsed="false">
      <c r="A1782" s="0" t="s">
        <v>178</v>
      </c>
      <c r="B1782" s="0" t="n">
        <v>2019</v>
      </c>
      <c r="C1782" s="0" t="s">
        <v>27</v>
      </c>
      <c r="D1782" s="0" t="n">
        <v>10.7946997613679</v>
      </c>
      <c r="E1782" s="0" t="s">
        <v>522</v>
      </c>
    </row>
    <row r="1783" customFormat="false" ht="15" hidden="false" customHeight="false" outlineLevel="0" collapsed="false">
      <c r="A1783" s="0" t="s">
        <v>178</v>
      </c>
      <c r="B1783" s="0" t="n">
        <v>2019</v>
      </c>
      <c r="C1783" s="0" t="s">
        <v>39</v>
      </c>
      <c r="D1783" s="0" t="n">
        <v>-8.21587210224698</v>
      </c>
      <c r="E1783" s="0" t="s">
        <v>522</v>
      </c>
    </row>
    <row r="1784" customFormat="false" ht="15" hidden="false" customHeight="false" outlineLevel="0" collapsed="false">
      <c r="A1784" s="0" t="s">
        <v>178</v>
      </c>
      <c r="B1784" s="0" t="n">
        <v>2019</v>
      </c>
      <c r="C1784" s="0" t="s">
        <v>17</v>
      </c>
      <c r="D1784" s="0" t="n">
        <v>3.4659981841041</v>
      </c>
      <c r="E1784" s="0" t="s">
        <v>522</v>
      </c>
    </row>
    <row r="1785" customFormat="false" ht="15" hidden="false" customHeight="false" outlineLevel="0" collapsed="false">
      <c r="A1785" s="0" t="s">
        <v>178</v>
      </c>
      <c r="B1785" s="0" t="n">
        <v>2019</v>
      </c>
      <c r="C1785" s="0" t="s">
        <v>25</v>
      </c>
      <c r="D1785" s="0" t="n">
        <v>21.5071023037408</v>
      </c>
      <c r="E1785" s="0" t="s">
        <v>522</v>
      </c>
    </row>
    <row r="1786" customFormat="false" ht="15" hidden="false" customHeight="false" outlineLevel="0" collapsed="false">
      <c r="A1786" s="0" t="s">
        <v>178</v>
      </c>
      <c r="B1786" s="0" t="n">
        <v>2019</v>
      </c>
      <c r="C1786" s="0" t="s">
        <v>29</v>
      </c>
      <c r="D1786" s="0" t="n">
        <v>0.423639437780335</v>
      </c>
      <c r="E1786" s="0" t="s">
        <v>522</v>
      </c>
    </row>
    <row r="1787" customFormat="false" ht="15" hidden="false" customHeight="false" outlineLevel="0" collapsed="false">
      <c r="A1787" s="0" t="s">
        <v>178</v>
      </c>
      <c r="B1787" s="0" t="n">
        <v>2019</v>
      </c>
      <c r="C1787" s="0" t="s">
        <v>43</v>
      </c>
      <c r="D1787" s="0" t="n">
        <v>1.51698552372747</v>
      </c>
      <c r="E1787" s="0" t="s">
        <v>522</v>
      </c>
    </row>
    <row r="1788" customFormat="false" ht="15" hidden="false" customHeight="false" outlineLevel="0" collapsed="false">
      <c r="A1788" s="0" t="s">
        <v>178</v>
      </c>
      <c r="B1788" s="0" t="n">
        <v>2019</v>
      </c>
      <c r="C1788" s="0" t="s">
        <v>31</v>
      </c>
      <c r="D1788" s="0" t="n">
        <v>89.2053002386321</v>
      </c>
      <c r="E1788" s="0" t="s">
        <v>522</v>
      </c>
    </row>
    <row r="1789" customFormat="false" ht="15" hidden="false" customHeight="false" outlineLevel="0" collapsed="false">
      <c r="A1789" s="0" t="s">
        <v>178</v>
      </c>
      <c r="B1789" s="0" t="n">
        <v>2019</v>
      </c>
      <c r="C1789" s="0" t="s">
        <v>33</v>
      </c>
      <c r="D1789" s="0" t="n">
        <v>15.235358885359</v>
      </c>
      <c r="E1789" s="0" t="s">
        <v>522</v>
      </c>
    </row>
    <row r="1790" customFormat="false" ht="15" hidden="false" customHeight="false" outlineLevel="0" collapsed="false">
      <c r="A1790" s="0" t="s">
        <v>178</v>
      </c>
      <c r="B1790" s="0" t="n">
        <v>2019</v>
      </c>
      <c r="C1790" s="0" t="s">
        <v>21</v>
      </c>
      <c r="D1790" s="0" t="n">
        <v>0</v>
      </c>
      <c r="E1790" s="0" t="s">
        <v>522</v>
      </c>
    </row>
    <row r="1791" customFormat="false" ht="15" hidden="false" customHeight="false" outlineLevel="0" collapsed="false">
      <c r="A1791" s="0" t="s">
        <v>178</v>
      </c>
      <c r="B1791" s="0" t="n">
        <v>2019</v>
      </c>
      <c r="C1791" s="0" t="s">
        <v>35</v>
      </c>
      <c r="D1791" s="0" t="n">
        <v>0</v>
      </c>
      <c r="E1791" s="0" t="s">
        <v>522</v>
      </c>
    </row>
    <row r="1792" customFormat="false" ht="15" hidden="false" customHeight="false" outlineLevel="0" collapsed="false">
      <c r="A1792" s="0" t="s">
        <v>178</v>
      </c>
      <c r="B1792" s="0" t="n">
        <v>2020</v>
      </c>
      <c r="C1792" s="0" t="s">
        <v>54</v>
      </c>
      <c r="D1792" s="0" t="n">
        <v>56911</v>
      </c>
      <c r="E1792" s="0" t="s">
        <v>521</v>
      </c>
      <c r="G1792" s="0" t="s">
        <v>81</v>
      </c>
    </row>
    <row r="1793" customFormat="false" ht="15" hidden="false" customHeight="false" outlineLevel="0" collapsed="false">
      <c r="A1793" s="0" t="s">
        <v>178</v>
      </c>
      <c r="B1793" s="0" t="n">
        <v>2020</v>
      </c>
      <c r="C1793" s="0" t="s">
        <v>55</v>
      </c>
      <c r="D1793" s="0" t="n">
        <v>5207833</v>
      </c>
      <c r="E1793" s="0" t="s">
        <v>521</v>
      </c>
      <c r="G1793" s="0" t="s">
        <v>81</v>
      </c>
    </row>
    <row r="1794" customFormat="false" ht="15" hidden="false" customHeight="false" outlineLevel="0" collapsed="false">
      <c r="A1794" s="0" t="s">
        <v>178</v>
      </c>
      <c r="B1794" s="0" t="n">
        <v>2020</v>
      </c>
      <c r="C1794" s="0" t="s">
        <v>56</v>
      </c>
      <c r="D1794" s="0" t="n">
        <v>4729893</v>
      </c>
      <c r="E1794" s="0" t="s">
        <v>521</v>
      </c>
      <c r="G1794" s="0" t="s">
        <v>81</v>
      </c>
    </row>
    <row r="1795" customFormat="false" ht="15" hidden="false" customHeight="false" outlineLevel="0" collapsed="false">
      <c r="A1795" s="0" t="s">
        <v>178</v>
      </c>
      <c r="B1795" s="0" t="n">
        <v>2020</v>
      </c>
      <c r="C1795" s="0" t="s">
        <v>57</v>
      </c>
      <c r="D1795" s="0" t="n">
        <v>477940</v>
      </c>
      <c r="E1795" s="0" t="s">
        <v>521</v>
      </c>
      <c r="G1795" s="0" t="s">
        <v>81</v>
      </c>
    </row>
    <row r="1796" customFormat="false" ht="15" hidden="false" customHeight="false" outlineLevel="0" collapsed="false">
      <c r="A1796" s="0" t="s">
        <v>178</v>
      </c>
      <c r="B1796" s="0" t="n">
        <v>2020</v>
      </c>
      <c r="C1796" s="0" t="s">
        <v>58</v>
      </c>
      <c r="D1796" s="0" t="n">
        <v>735114</v>
      </c>
      <c r="E1796" s="0" t="s">
        <v>521</v>
      </c>
      <c r="G1796" s="0" t="s">
        <v>81</v>
      </c>
    </row>
    <row r="1797" customFormat="false" ht="15" hidden="false" customHeight="false" outlineLevel="0" collapsed="false">
      <c r="A1797" s="0" t="s">
        <v>178</v>
      </c>
      <c r="B1797" s="0" t="n">
        <v>2020</v>
      </c>
      <c r="C1797" s="0" t="s">
        <v>59</v>
      </c>
      <c r="D1797" s="0" t="n">
        <v>4136493</v>
      </c>
      <c r="E1797" s="0" t="s">
        <v>521</v>
      </c>
      <c r="G1797" s="0" t="s">
        <v>81</v>
      </c>
    </row>
    <row r="1798" customFormat="false" ht="15" hidden="false" customHeight="false" outlineLevel="0" collapsed="false">
      <c r="A1798" s="0" t="s">
        <v>178</v>
      </c>
      <c r="B1798" s="0" t="n">
        <v>2020</v>
      </c>
      <c r="C1798" s="0" t="s">
        <v>60</v>
      </c>
      <c r="D1798" s="0" t="n">
        <v>1874858</v>
      </c>
      <c r="E1798" s="0" t="s">
        <v>521</v>
      </c>
      <c r="G1798" s="0" t="s">
        <v>81</v>
      </c>
    </row>
    <row r="1799" customFormat="false" ht="15" hidden="false" customHeight="false" outlineLevel="0" collapsed="false">
      <c r="A1799" s="0" t="s">
        <v>178</v>
      </c>
      <c r="B1799" s="0" t="n">
        <v>2020</v>
      </c>
      <c r="C1799" s="0" t="s">
        <v>61</v>
      </c>
      <c r="D1799" s="0" t="n">
        <v>62322</v>
      </c>
      <c r="E1799" s="0" t="s">
        <v>521</v>
      </c>
      <c r="G1799" s="0" t="s">
        <v>81</v>
      </c>
    </row>
    <row r="1800" customFormat="false" ht="15" hidden="false" customHeight="false" outlineLevel="0" collapsed="false">
      <c r="A1800" s="0" t="s">
        <v>178</v>
      </c>
      <c r="B1800" s="0" t="n">
        <v>2020</v>
      </c>
      <c r="C1800" s="0" t="s">
        <v>62</v>
      </c>
      <c r="D1800" s="0" t="n">
        <v>1812536</v>
      </c>
      <c r="E1800" s="0" t="s">
        <v>521</v>
      </c>
      <c r="G1800" s="0" t="s">
        <v>81</v>
      </c>
    </row>
    <row r="1801" customFormat="false" ht="15" hidden="false" customHeight="false" outlineLevel="0" collapsed="false">
      <c r="A1801" s="0" t="s">
        <v>178</v>
      </c>
      <c r="B1801" s="0" t="n">
        <v>2020</v>
      </c>
      <c r="C1801" s="0" t="s">
        <v>63</v>
      </c>
      <c r="D1801" s="0" t="n">
        <v>21864</v>
      </c>
      <c r="E1801" s="0" t="s">
        <v>521</v>
      </c>
      <c r="G1801" s="0" t="s">
        <v>81</v>
      </c>
    </row>
    <row r="1802" customFormat="false" ht="15" hidden="false" customHeight="false" outlineLevel="0" collapsed="false">
      <c r="A1802" s="0" t="s">
        <v>178</v>
      </c>
      <c r="B1802" s="0" t="n">
        <v>2020</v>
      </c>
      <c r="C1802" s="0" t="s">
        <v>307</v>
      </c>
      <c r="D1802" s="0" t="n">
        <v>14146</v>
      </c>
      <c r="E1802" s="0" t="s">
        <v>521</v>
      </c>
      <c r="G1802" s="0" t="s">
        <v>81</v>
      </c>
    </row>
    <row r="1803" customFormat="false" ht="15" hidden="false" customHeight="false" outlineLevel="0" collapsed="false">
      <c r="A1803" s="0" t="s">
        <v>178</v>
      </c>
      <c r="B1803" s="0" t="n">
        <v>2020</v>
      </c>
      <c r="C1803" s="0" t="s">
        <v>1038</v>
      </c>
      <c r="D1803" s="0" t="n">
        <v>7718</v>
      </c>
      <c r="E1803" s="0" t="s">
        <v>521</v>
      </c>
      <c r="G1803" s="0" t="s">
        <v>81</v>
      </c>
    </row>
    <row r="1804" customFormat="false" ht="15" hidden="false" customHeight="false" outlineLevel="0" collapsed="false">
      <c r="A1804" s="0" t="s">
        <v>178</v>
      </c>
      <c r="B1804" s="0" t="n">
        <v>2020</v>
      </c>
      <c r="C1804" s="0" t="s">
        <v>69</v>
      </c>
      <c r="D1804" s="0" t="n">
        <v>20</v>
      </c>
      <c r="E1804" s="0" t="s">
        <v>521</v>
      </c>
      <c r="G1804" s="0" t="s">
        <v>81</v>
      </c>
    </row>
    <row r="1805" customFormat="false" ht="15" hidden="false" customHeight="false" outlineLevel="0" collapsed="false">
      <c r="A1805" s="0" t="s">
        <v>178</v>
      </c>
      <c r="B1805" s="0" t="n">
        <v>2020</v>
      </c>
      <c r="C1805" s="0" t="s">
        <v>70</v>
      </c>
      <c r="D1805" s="0" t="n">
        <v>15</v>
      </c>
      <c r="E1805" s="0" t="s">
        <v>521</v>
      </c>
      <c r="G1805" s="0" t="s">
        <v>81</v>
      </c>
    </row>
    <row r="1806" customFormat="false" ht="15" hidden="false" customHeight="false" outlineLevel="0" collapsed="false">
      <c r="A1806" s="0" t="s">
        <v>178</v>
      </c>
      <c r="B1806" s="0" t="n">
        <v>2020</v>
      </c>
      <c r="C1806" s="0" t="s">
        <v>65</v>
      </c>
      <c r="D1806" s="0" t="n">
        <v>276315</v>
      </c>
      <c r="E1806" s="0" t="s">
        <v>521</v>
      </c>
      <c r="G1806" s="0" t="s">
        <v>81</v>
      </c>
    </row>
    <row r="1807" customFormat="false" ht="15" hidden="false" customHeight="false" outlineLevel="0" collapsed="false">
      <c r="A1807" s="0" t="s">
        <v>178</v>
      </c>
      <c r="B1807" s="0" t="n">
        <v>2020</v>
      </c>
      <c r="C1807" s="0" t="s">
        <v>66</v>
      </c>
      <c r="D1807" s="0" t="n">
        <v>1402955</v>
      </c>
      <c r="E1807" s="0" t="s">
        <v>521</v>
      </c>
      <c r="G1807" s="0" t="s">
        <v>81</v>
      </c>
    </row>
    <row r="1808" customFormat="false" ht="15" hidden="false" customHeight="false" outlineLevel="0" collapsed="false">
      <c r="A1808" s="0" t="s">
        <v>178</v>
      </c>
      <c r="B1808" s="0" t="n">
        <v>2020</v>
      </c>
      <c r="C1808" s="0" t="s">
        <v>71</v>
      </c>
      <c r="D1808" s="0" t="n">
        <v>44.3</v>
      </c>
      <c r="E1808" s="0" t="s">
        <v>521</v>
      </c>
      <c r="G1808" s="0" t="s">
        <v>81</v>
      </c>
    </row>
    <row r="1809" customFormat="false" ht="15" hidden="false" customHeight="false" outlineLevel="0" collapsed="false">
      <c r="A1809" s="0" t="s">
        <v>178</v>
      </c>
      <c r="B1809" s="0" t="n">
        <v>2020</v>
      </c>
      <c r="C1809" s="0" t="s">
        <v>68</v>
      </c>
      <c r="D1809" s="0" t="n">
        <v>21933</v>
      </c>
      <c r="E1809" s="0" t="s">
        <v>521</v>
      </c>
      <c r="G1809" s="0" t="s">
        <v>81</v>
      </c>
    </row>
    <row r="1810" customFormat="false" ht="15" hidden="false" customHeight="false" outlineLevel="0" collapsed="false">
      <c r="A1810" s="0" t="s">
        <v>178</v>
      </c>
      <c r="B1810" s="0" t="n">
        <v>2020</v>
      </c>
      <c r="C1810" s="0" t="s">
        <v>541</v>
      </c>
      <c r="D1810" s="0" t="n">
        <v>58360</v>
      </c>
      <c r="E1810" s="0" t="s">
        <v>521</v>
      </c>
      <c r="G1810" s="0" t="s">
        <v>81</v>
      </c>
    </row>
    <row r="1811" customFormat="false" ht="15" hidden="false" customHeight="false" outlineLevel="0" collapsed="false">
      <c r="A1811" s="0" t="s">
        <v>178</v>
      </c>
      <c r="B1811" s="0" t="n">
        <v>2020</v>
      </c>
      <c r="C1811" s="0" t="s">
        <v>19</v>
      </c>
      <c r="D1811" s="0" t="n">
        <v>4672163</v>
      </c>
      <c r="E1811" s="0" t="s">
        <v>522</v>
      </c>
    </row>
    <row r="1812" customFormat="false" ht="15" hidden="false" customHeight="false" outlineLevel="0" collapsed="false">
      <c r="A1812" s="0" t="s">
        <v>178</v>
      </c>
      <c r="B1812" s="0" t="n">
        <v>2020</v>
      </c>
      <c r="C1812" s="0" t="s">
        <v>41</v>
      </c>
      <c r="D1812" s="0" t="n">
        <v>1.21808678335923</v>
      </c>
      <c r="E1812" s="0" t="s">
        <v>522</v>
      </c>
    </row>
    <row r="1813" customFormat="false" ht="15" hidden="false" customHeight="false" outlineLevel="0" collapsed="false">
      <c r="A1813" s="0" t="s">
        <v>178</v>
      </c>
      <c r="B1813" s="0" t="n">
        <v>2020</v>
      </c>
      <c r="C1813" s="0" t="s">
        <v>27</v>
      </c>
      <c r="D1813" s="0" t="n">
        <v>9.17732961099175</v>
      </c>
      <c r="E1813" s="0" t="s">
        <v>522</v>
      </c>
    </row>
    <row r="1814" customFormat="false" ht="15" hidden="false" customHeight="false" outlineLevel="0" collapsed="false">
      <c r="A1814" s="0" t="s">
        <v>178</v>
      </c>
      <c r="B1814" s="0" t="n">
        <v>2020</v>
      </c>
      <c r="C1814" s="0" t="s">
        <v>39</v>
      </c>
      <c r="D1814" s="0" t="n">
        <v>15.7339116807355</v>
      </c>
      <c r="E1814" s="0" t="s">
        <v>522</v>
      </c>
    </row>
    <row r="1815" customFormat="false" ht="15" hidden="false" customHeight="false" outlineLevel="0" collapsed="false">
      <c r="A1815" s="0" t="s">
        <v>178</v>
      </c>
      <c r="B1815" s="0" t="n">
        <v>2020</v>
      </c>
      <c r="C1815" s="0" t="s">
        <v>17</v>
      </c>
      <c r="D1815" s="0" t="n">
        <v>3.32409174454812</v>
      </c>
      <c r="E1815" s="0" t="s">
        <v>522</v>
      </c>
    </row>
    <row r="1816" customFormat="false" ht="15" hidden="false" customHeight="false" outlineLevel="0" collapsed="false">
      <c r="A1816" s="0" t="s">
        <v>178</v>
      </c>
      <c r="B1816" s="0" t="n">
        <v>2020</v>
      </c>
      <c r="C1816" s="0" t="s">
        <v>25</v>
      </c>
      <c r="D1816" s="0" t="n">
        <v>19.6952147431671</v>
      </c>
      <c r="E1816" s="0" t="s">
        <v>522</v>
      </c>
    </row>
    <row r="1817" customFormat="false" ht="15" hidden="false" customHeight="false" outlineLevel="0" collapsed="false">
      <c r="A1817" s="0" t="s">
        <v>178</v>
      </c>
      <c r="B1817" s="0" t="n">
        <v>2020</v>
      </c>
      <c r="C1817" s="0" t="s">
        <v>29</v>
      </c>
      <c r="D1817" s="0" t="n">
        <v>0.467963125430341</v>
      </c>
      <c r="E1817" s="0" t="s">
        <v>522</v>
      </c>
    </row>
    <row r="1818" customFormat="false" ht="15" hidden="false" customHeight="false" outlineLevel="0" collapsed="false">
      <c r="A1818" s="0" t="s">
        <v>178</v>
      </c>
      <c r="B1818" s="0" t="n">
        <v>2020</v>
      </c>
      <c r="C1818" s="0" t="s">
        <v>43</v>
      </c>
      <c r="D1818" s="0" t="n">
        <v>1.09279617837208</v>
      </c>
      <c r="E1818" s="0" t="s">
        <v>522</v>
      </c>
    </row>
    <row r="1819" customFormat="false" ht="15" hidden="false" customHeight="false" outlineLevel="0" collapsed="false">
      <c r="A1819" s="0" t="s">
        <v>178</v>
      </c>
      <c r="B1819" s="0" t="n">
        <v>2020</v>
      </c>
      <c r="C1819" s="0" t="s">
        <v>31</v>
      </c>
      <c r="D1819" s="0" t="n">
        <v>90.8226703890083</v>
      </c>
      <c r="E1819" s="0" t="s">
        <v>522</v>
      </c>
    </row>
    <row r="1820" customFormat="false" ht="15" hidden="false" customHeight="false" outlineLevel="0" collapsed="false">
      <c r="A1820" s="0" t="s">
        <v>178</v>
      </c>
      <c r="B1820" s="0" t="n">
        <v>2020</v>
      </c>
      <c r="C1820" s="0" t="s">
        <v>33</v>
      </c>
      <c r="D1820" s="0" t="n">
        <v>15.4656743963042</v>
      </c>
      <c r="E1820" s="0" t="s">
        <v>522</v>
      </c>
    </row>
    <row r="1821" customFormat="false" ht="15" hidden="false" customHeight="false" outlineLevel="0" collapsed="false">
      <c r="A1821" s="0" t="s">
        <v>178</v>
      </c>
      <c r="B1821" s="0" t="n">
        <v>2020</v>
      </c>
      <c r="C1821" s="0" t="s">
        <v>21</v>
      </c>
      <c r="D1821" s="0" t="n">
        <v>0</v>
      </c>
      <c r="E1821" s="0" t="s">
        <v>522</v>
      </c>
    </row>
    <row r="1822" customFormat="false" ht="15" hidden="false" customHeight="false" outlineLevel="0" collapsed="false">
      <c r="A1822" s="0" t="s">
        <v>178</v>
      </c>
      <c r="B1822" s="0" t="n">
        <v>2020</v>
      </c>
      <c r="C1822" s="0" t="s">
        <v>35</v>
      </c>
      <c r="D1822" s="0" t="n">
        <v>0</v>
      </c>
      <c r="E1822" s="0" t="s">
        <v>522</v>
      </c>
    </row>
    <row r="1823" customFormat="false" ht="15" hidden="false" customHeight="false" outlineLevel="0" collapsed="false">
      <c r="A1823" s="0" t="s">
        <v>178</v>
      </c>
      <c r="B1823" s="0" t="n">
        <v>2021</v>
      </c>
      <c r="C1823" s="0" t="s">
        <v>54</v>
      </c>
      <c r="D1823" s="0" t="n">
        <v>58669</v>
      </c>
      <c r="E1823" s="0" t="s">
        <v>521</v>
      </c>
      <c r="G1823" s="0" t="s">
        <v>81</v>
      </c>
    </row>
    <row r="1824" customFormat="false" ht="15" hidden="false" customHeight="false" outlineLevel="0" collapsed="false">
      <c r="A1824" s="0" t="s">
        <v>178</v>
      </c>
      <c r="B1824" s="0" t="n">
        <v>2021</v>
      </c>
      <c r="C1824" s="0" t="s">
        <v>55</v>
      </c>
      <c r="D1824" s="0" t="n">
        <v>5574976</v>
      </c>
      <c r="E1824" s="0" t="s">
        <v>521</v>
      </c>
      <c r="G1824" s="0" t="s">
        <v>81</v>
      </c>
    </row>
    <row r="1825" customFormat="false" ht="15" hidden="false" customHeight="false" outlineLevel="0" collapsed="false">
      <c r="A1825" s="0" t="s">
        <v>178</v>
      </c>
      <c r="B1825" s="0" t="n">
        <v>2021</v>
      </c>
      <c r="C1825" s="0" t="s">
        <v>56</v>
      </c>
      <c r="D1825" s="0" t="n">
        <v>5073375</v>
      </c>
      <c r="E1825" s="0" t="s">
        <v>521</v>
      </c>
      <c r="G1825" s="0" t="s">
        <v>81</v>
      </c>
    </row>
    <row r="1826" customFormat="false" ht="15" hidden="false" customHeight="false" outlineLevel="0" collapsed="false">
      <c r="A1826" s="0" t="s">
        <v>178</v>
      </c>
      <c r="B1826" s="0" t="n">
        <v>2021</v>
      </c>
      <c r="C1826" s="0" t="s">
        <v>57</v>
      </c>
      <c r="D1826" s="0" t="n">
        <v>501601</v>
      </c>
      <c r="E1826" s="0" t="s">
        <v>521</v>
      </c>
      <c r="G1826" s="0" t="s">
        <v>81</v>
      </c>
    </row>
    <row r="1827" customFormat="false" ht="15" hidden="false" customHeight="false" outlineLevel="0" collapsed="false">
      <c r="A1827" s="0" t="s">
        <v>178</v>
      </c>
      <c r="B1827" s="0" t="n">
        <v>2021</v>
      </c>
      <c r="C1827" s="0" t="s">
        <v>58</v>
      </c>
      <c r="D1827" s="0" t="n">
        <v>671619</v>
      </c>
      <c r="E1827" s="0" t="s">
        <v>521</v>
      </c>
      <c r="G1827" s="0" t="s">
        <v>81</v>
      </c>
    </row>
    <row r="1828" customFormat="false" ht="15" hidden="false" customHeight="false" outlineLevel="0" collapsed="false">
      <c r="A1828" s="0" t="s">
        <v>178</v>
      </c>
      <c r="B1828" s="0" t="n">
        <v>2021</v>
      </c>
      <c r="C1828" s="0" t="s">
        <v>59</v>
      </c>
      <c r="D1828" s="0" t="n">
        <v>5207833</v>
      </c>
      <c r="E1828" s="0" t="s">
        <v>521</v>
      </c>
      <c r="G1828" s="0" t="s">
        <v>81</v>
      </c>
    </row>
    <row r="1829" customFormat="false" ht="15" hidden="false" customHeight="false" outlineLevel="0" collapsed="false">
      <c r="A1829" s="0" t="s">
        <v>178</v>
      </c>
      <c r="B1829" s="0" t="n">
        <v>2021</v>
      </c>
      <c r="C1829" s="0" t="s">
        <v>60</v>
      </c>
      <c r="D1829" s="0" t="n">
        <v>1913403</v>
      </c>
      <c r="E1829" s="0" t="s">
        <v>521</v>
      </c>
      <c r="G1829" s="0" t="s">
        <v>81</v>
      </c>
    </row>
    <row r="1830" customFormat="false" ht="15" hidden="false" customHeight="false" outlineLevel="0" collapsed="false">
      <c r="A1830" s="0" t="s">
        <v>178</v>
      </c>
      <c r="B1830" s="0" t="n">
        <v>2021</v>
      </c>
      <c r="C1830" s="0" t="s">
        <v>61</v>
      </c>
      <c r="D1830" s="0" t="n">
        <v>65301</v>
      </c>
      <c r="E1830" s="0" t="s">
        <v>521</v>
      </c>
      <c r="G1830" s="0" t="s">
        <v>81</v>
      </c>
    </row>
    <row r="1831" customFormat="false" ht="15" hidden="false" customHeight="false" outlineLevel="0" collapsed="false">
      <c r="A1831" s="0" t="s">
        <v>178</v>
      </c>
      <c r="B1831" s="0" t="n">
        <v>2021</v>
      </c>
      <c r="C1831" s="0" t="s">
        <v>62</v>
      </c>
      <c r="D1831" s="0" t="n">
        <v>1848102</v>
      </c>
      <c r="E1831" s="0" t="s">
        <v>521</v>
      </c>
      <c r="G1831" s="0" t="s">
        <v>81</v>
      </c>
    </row>
    <row r="1832" customFormat="false" ht="15" hidden="false" customHeight="false" outlineLevel="0" collapsed="false">
      <c r="A1832" s="0" t="s">
        <v>178</v>
      </c>
      <c r="B1832" s="0" t="n">
        <v>2021</v>
      </c>
      <c r="C1832" s="0" t="s">
        <v>63</v>
      </c>
      <c r="D1832" s="0" t="n">
        <v>9749</v>
      </c>
      <c r="E1832" s="0" t="s">
        <v>521</v>
      </c>
      <c r="G1832" s="0" t="s">
        <v>81</v>
      </c>
    </row>
    <row r="1833" customFormat="false" ht="15" hidden="false" customHeight="false" outlineLevel="0" collapsed="false">
      <c r="A1833" s="0" t="s">
        <v>178</v>
      </c>
      <c r="B1833" s="0" t="n">
        <v>2021</v>
      </c>
      <c r="C1833" s="0" t="s">
        <v>307</v>
      </c>
      <c r="D1833" s="0" t="n">
        <v>9049</v>
      </c>
      <c r="E1833" s="0" t="s">
        <v>521</v>
      </c>
      <c r="G1833" s="0" t="s">
        <v>81</v>
      </c>
    </row>
    <row r="1834" customFormat="false" ht="15" hidden="false" customHeight="false" outlineLevel="0" collapsed="false">
      <c r="A1834" s="0" t="s">
        <v>178</v>
      </c>
      <c r="B1834" s="0" t="n">
        <v>2021</v>
      </c>
      <c r="C1834" s="0" t="s">
        <v>1038</v>
      </c>
      <c r="D1834" s="0" t="n">
        <v>700</v>
      </c>
      <c r="E1834" s="0" t="s">
        <v>521</v>
      </c>
      <c r="G1834" s="0" t="s">
        <v>81</v>
      </c>
    </row>
    <row r="1835" customFormat="false" ht="15" hidden="false" customHeight="false" outlineLevel="0" collapsed="false">
      <c r="A1835" s="0" t="s">
        <v>178</v>
      </c>
      <c r="B1835" s="0" t="n">
        <v>2021</v>
      </c>
      <c r="C1835" s="0" t="s">
        <v>69</v>
      </c>
      <c r="D1835" s="0" t="n">
        <v>21.8</v>
      </c>
      <c r="E1835" s="0" t="s">
        <v>521</v>
      </c>
      <c r="G1835" s="0" t="s">
        <v>81</v>
      </c>
    </row>
    <row r="1836" customFormat="false" ht="15" hidden="false" customHeight="false" outlineLevel="0" collapsed="false">
      <c r="A1836" s="0" t="s">
        <v>178</v>
      </c>
      <c r="B1836" s="0" t="n">
        <v>2021</v>
      </c>
      <c r="C1836" s="0" t="s">
        <v>65</v>
      </c>
      <c r="D1836" s="0" t="n">
        <v>336784</v>
      </c>
      <c r="E1836" s="0" t="s">
        <v>521</v>
      </c>
      <c r="G1836" s="0" t="s">
        <v>81</v>
      </c>
    </row>
    <row r="1837" customFormat="false" ht="15" hidden="false" customHeight="false" outlineLevel="0" collapsed="false">
      <c r="A1837" s="0" t="s">
        <v>178</v>
      </c>
      <c r="B1837" s="0" t="n">
        <v>2021</v>
      </c>
      <c r="C1837" s="0" t="s">
        <v>66</v>
      </c>
      <c r="D1837" s="0" t="n">
        <v>1543338</v>
      </c>
      <c r="E1837" s="0" t="s">
        <v>521</v>
      </c>
      <c r="G1837" s="0" t="s">
        <v>81</v>
      </c>
    </row>
    <row r="1838" customFormat="false" ht="15" hidden="false" customHeight="false" outlineLevel="0" collapsed="false">
      <c r="A1838" s="0" t="s">
        <v>178</v>
      </c>
      <c r="B1838" s="0" t="n">
        <v>2021</v>
      </c>
      <c r="C1838" s="0" t="s">
        <v>71</v>
      </c>
      <c r="D1838" s="0" t="n">
        <v>47.56</v>
      </c>
      <c r="E1838" s="0" t="s">
        <v>521</v>
      </c>
      <c r="G1838" s="0" t="s">
        <v>81</v>
      </c>
    </row>
    <row r="1839" customFormat="false" ht="15" hidden="false" customHeight="false" outlineLevel="0" collapsed="false">
      <c r="A1839" s="0" t="s">
        <v>178</v>
      </c>
      <c r="B1839" s="0" t="n">
        <v>2021</v>
      </c>
      <c r="C1839" s="0" t="s">
        <v>541</v>
      </c>
      <c r="D1839" s="0" t="n">
        <v>60519</v>
      </c>
      <c r="E1839" s="0" t="s">
        <v>521</v>
      </c>
      <c r="G1839" s="0" t="s">
        <v>81</v>
      </c>
    </row>
    <row r="1840" customFormat="false" ht="15" hidden="false" customHeight="false" outlineLevel="0" collapsed="false">
      <c r="A1840" s="0" t="s">
        <v>178</v>
      </c>
      <c r="B1840" s="0" t="n">
        <v>2021</v>
      </c>
      <c r="C1840" s="0" t="s">
        <v>19</v>
      </c>
      <c r="D1840" s="0" t="n">
        <v>5391404.5</v>
      </c>
      <c r="E1840" s="0" t="s">
        <v>522</v>
      </c>
    </row>
    <row r="1841" customFormat="false" ht="15" hidden="false" customHeight="false" outlineLevel="0" collapsed="false">
      <c r="A1841" s="0" t="s">
        <v>178</v>
      </c>
      <c r="B1841" s="0" t="n">
        <v>2021</v>
      </c>
      <c r="C1841" s="0" t="s">
        <v>41</v>
      </c>
      <c r="D1841" s="0" t="n">
        <v>1.08819510760137</v>
      </c>
      <c r="E1841" s="0" t="s">
        <v>522</v>
      </c>
    </row>
    <row r="1842" customFormat="false" ht="15" hidden="false" customHeight="false" outlineLevel="0" collapsed="false">
      <c r="A1842" s="0" t="s">
        <v>178</v>
      </c>
      <c r="B1842" s="0" t="n">
        <v>2021</v>
      </c>
      <c r="C1842" s="0" t="s">
        <v>27</v>
      </c>
      <c r="D1842" s="0" t="n">
        <v>8.99736608731589</v>
      </c>
      <c r="E1842" s="0" t="s">
        <v>522</v>
      </c>
    </row>
    <row r="1843" customFormat="false" ht="15" hidden="false" customHeight="false" outlineLevel="0" collapsed="false">
      <c r="A1843" s="0" t="s">
        <v>178</v>
      </c>
      <c r="B1843" s="0" t="n">
        <v>2021</v>
      </c>
      <c r="C1843" s="0" t="s">
        <v>39</v>
      </c>
      <c r="D1843" s="0" t="n">
        <v>12.4572177806358</v>
      </c>
      <c r="E1843" s="0" t="s">
        <v>522</v>
      </c>
    </row>
    <row r="1844" customFormat="false" ht="15" hidden="false" customHeight="false" outlineLevel="0" collapsed="false">
      <c r="A1844" s="0" t="s">
        <v>178</v>
      </c>
      <c r="B1844" s="0" t="n">
        <v>2021</v>
      </c>
      <c r="C1844" s="0" t="s">
        <v>17</v>
      </c>
      <c r="D1844" s="0" t="n">
        <v>3.41281998617124</v>
      </c>
      <c r="E1844" s="0" t="s">
        <v>522</v>
      </c>
    </row>
    <row r="1845" customFormat="false" ht="15" hidden="false" customHeight="false" outlineLevel="0" collapsed="false">
      <c r="A1845" s="0" t="s">
        <v>178</v>
      </c>
      <c r="B1845" s="0" t="n">
        <v>2021</v>
      </c>
      <c r="C1845" s="0" t="s">
        <v>25</v>
      </c>
      <c r="D1845" s="0" t="n">
        <v>21.8217914675852</v>
      </c>
      <c r="E1845" s="0" t="s">
        <v>522</v>
      </c>
    </row>
    <row r="1846" customFormat="false" ht="15" hidden="false" customHeight="false" outlineLevel="0" collapsed="false">
      <c r="A1846" s="0" t="s">
        <v>178</v>
      </c>
      <c r="B1846" s="0" t="n">
        <v>2021</v>
      </c>
      <c r="C1846" s="0" t="s">
        <v>29</v>
      </c>
      <c r="D1846" s="0" t="n">
        <v>0.1808248666929</v>
      </c>
      <c r="E1846" s="0" t="s">
        <v>522</v>
      </c>
    </row>
    <row r="1847" customFormat="false" ht="15" hidden="false" customHeight="false" outlineLevel="0" collapsed="false">
      <c r="A1847" s="0" t="s">
        <v>178</v>
      </c>
      <c r="B1847" s="0" t="n">
        <v>2021</v>
      </c>
      <c r="C1847" s="0" t="s">
        <v>43</v>
      </c>
      <c r="D1847" s="0" t="n">
        <v>1.05236327474773</v>
      </c>
      <c r="E1847" s="0" t="s">
        <v>522</v>
      </c>
    </row>
    <row r="1848" customFormat="false" ht="15" hidden="false" customHeight="false" outlineLevel="0" collapsed="false">
      <c r="A1848" s="0" t="s">
        <v>178</v>
      </c>
      <c r="B1848" s="0" t="n">
        <v>2021</v>
      </c>
      <c r="C1848" s="0" t="s">
        <v>31</v>
      </c>
      <c r="D1848" s="0" t="n">
        <v>91.0026339126841</v>
      </c>
      <c r="E1848" s="0" t="s">
        <v>522</v>
      </c>
    </row>
    <row r="1849" customFormat="false" ht="15" hidden="false" customHeight="false" outlineLevel="0" collapsed="false">
      <c r="A1849" s="0" t="s">
        <v>178</v>
      </c>
      <c r="B1849" s="0" t="n">
        <v>2021</v>
      </c>
      <c r="C1849" s="0" t="s">
        <v>33</v>
      </c>
      <c r="D1849" s="0" t="n">
        <v>15.5337985703685</v>
      </c>
      <c r="E1849" s="0" t="s">
        <v>522</v>
      </c>
    </row>
    <row r="1850" customFormat="false" ht="15" hidden="false" customHeight="false" outlineLevel="0" collapsed="false">
      <c r="A1850" s="0" t="s">
        <v>178</v>
      </c>
      <c r="B1850" s="0" t="n">
        <v>2021</v>
      </c>
      <c r="C1850" s="0" t="s">
        <v>21</v>
      </c>
      <c r="D1850" s="0" t="n">
        <v>0</v>
      </c>
      <c r="E1850" s="0" t="s">
        <v>522</v>
      </c>
    </row>
    <row r="1851" customFormat="false" ht="15" hidden="false" customHeight="false" outlineLevel="0" collapsed="false">
      <c r="A1851" s="0" t="s">
        <v>178</v>
      </c>
      <c r="B1851" s="0" t="n">
        <v>2021</v>
      </c>
      <c r="C1851" s="0" t="s">
        <v>35</v>
      </c>
      <c r="D1851" s="0" t="n">
        <v>0</v>
      </c>
      <c r="E1851" s="0" t="s">
        <v>522</v>
      </c>
    </row>
    <row r="1852" customFormat="false" ht="15" hidden="false" customHeight="false" outlineLevel="0" collapsed="false">
      <c r="A1852" s="0" t="s">
        <v>178</v>
      </c>
      <c r="B1852" s="0" t="n">
        <v>2022</v>
      </c>
      <c r="C1852" s="0" t="s">
        <v>54</v>
      </c>
      <c r="D1852" s="0" t="n">
        <v>133696</v>
      </c>
      <c r="E1852" s="0" t="s">
        <v>521</v>
      </c>
      <c r="G1852" s="0" t="s">
        <v>81</v>
      </c>
    </row>
    <row r="1853" customFormat="false" ht="15" hidden="false" customHeight="false" outlineLevel="0" collapsed="false">
      <c r="A1853" s="0" t="s">
        <v>178</v>
      </c>
      <c r="B1853" s="0" t="n">
        <v>2022</v>
      </c>
      <c r="C1853" s="0" t="s">
        <v>55</v>
      </c>
      <c r="D1853" s="0" t="n">
        <v>7361044</v>
      </c>
      <c r="E1853" s="0" t="s">
        <v>521</v>
      </c>
      <c r="G1853" s="0" t="s">
        <v>81</v>
      </c>
    </row>
    <row r="1854" customFormat="false" ht="15" hidden="false" customHeight="false" outlineLevel="0" collapsed="false">
      <c r="A1854" s="0" t="s">
        <v>178</v>
      </c>
      <c r="B1854" s="0" t="n">
        <v>2022</v>
      </c>
      <c r="C1854" s="0" t="s">
        <v>56</v>
      </c>
      <c r="D1854" s="0" t="n">
        <v>6775851</v>
      </c>
      <c r="E1854" s="0" t="s">
        <v>521</v>
      </c>
      <c r="G1854" s="0" t="s">
        <v>81</v>
      </c>
    </row>
    <row r="1855" customFormat="false" ht="15" hidden="false" customHeight="false" outlineLevel="0" collapsed="false">
      <c r="A1855" s="0" t="s">
        <v>178</v>
      </c>
      <c r="B1855" s="0" t="n">
        <v>2022</v>
      </c>
      <c r="C1855" s="0" t="s">
        <v>57</v>
      </c>
      <c r="D1855" s="0" t="n">
        <v>585193</v>
      </c>
      <c r="E1855" s="0" t="s">
        <v>521</v>
      </c>
      <c r="G1855" s="0" t="s">
        <v>81</v>
      </c>
    </row>
    <row r="1856" customFormat="false" ht="15" hidden="false" customHeight="false" outlineLevel="0" collapsed="false">
      <c r="A1856" s="0" t="s">
        <v>178</v>
      </c>
      <c r="B1856" s="0" t="n">
        <v>2022</v>
      </c>
      <c r="C1856" s="0" t="s">
        <v>58</v>
      </c>
      <c r="D1856" s="0" t="n">
        <v>1063228</v>
      </c>
      <c r="E1856" s="0" t="s">
        <v>521</v>
      </c>
      <c r="G1856" s="0" t="s">
        <v>81</v>
      </c>
    </row>
    <row r="1857" customFormat="false" ht="15" hidden="false" customHeight="false" outlineLevel="0" collapsed="false">
      <c r="A1857" s="0" t="s">
        <v>178</v>
      </c>
      <c r="B1857" s="0" t="n">
        <v>2022</v>
      </c>
      <c r="C1857" s="0" t="s">
        <v>59</v>
      </c>
      <c r="D1857" s="0" t="n">
        <v>5574976</v>
      </c>
      <c r="E1857" s="0" t="s">
        <v>521</v>
      </c>
      <c r="G1857" s="0" t="s">
        <v>81</v>
      </c>
    </row>
    <row r="1858" customFormat="false" ht="15" hidden="false" customHeight="false" outlineLevel="0" collapsed="false">
      <c r="A1858" s="0" t="s">
        <v>178</v>
      </c>
      <c r="B1858" s="0" t="n">
        <v>2022</v>
      </c>
      <c r="C1858" s="0" t="s">
        <v>60</v>
      </c>
      <c r="D1858" s="0" t="n">
        <v>2174779</v>
      </c>
      <c r="E1858" s="0" t="s">
        <v>521</v>
      </c>
      <c r="G1858" s="0" t="s">
        <v>81</v>
      </c>
    </row>
    <row r="1859" customFormat="false" ht="15" hidden="false" customHeight="false" outlineLevel="0" collapsed="false">
      <c r="A1859" s="0" t="s">
        <v>178</v>
      </c>
      <c r="B1859" s="0" t="n">
        <v>2022</v>
      </c>
      <c r="C1859" s="0" t="s">
        <v>61</v>
      </c>
      <c r="D1859" s="0" t="n">
        <v>51682</v>
      </c>
      <c r="E1859" s="0" t="s">
        <v>521</v>
      </c>
      <c r="G1859" s="0" t="s">
        <v>81</v>
      </c>
    </row>
    <row r="1860" customFormat="false" ht="15" hidden="false" customHeight="false" outlineLevel="0" collapsed="false">
      <c r="A1860" s="0" t="s">
        <v>178</v>
      </c>
      <c r="B1860" s="0" t="n">
        <v>2022</v>
      </c>
      <c r="C1860" s="0" t="s">
        <v>62</v>
      </c>
      <c r="D1860" s="0" t="n">
        <v>2123097</v>
      </c>
      <c r="E1860" s="0" t="s">
        <v>521</v>
      </c>
      <c r="G1860" s="0" t="s">
        <v>81</v>
      </c>
    </row>
    <row r="1861" customFormat="false" ht="15" hidden="false" customHeight="false" outlineLevel="0" collapsed="false">
      <c r="A1861" s="0" t="s">
        <v>178</v>
      </c>
      <c r="B1861" s="0" t="n">
        <v>2022</v>
      </c>
      <c r="C1861" s="0" t="s">
        <v>63</v>
      </c>
      <c r="D1861" s="0" t="n">
        <v>10565</v>
      </c>
      <c r="E1861" s="0" t="s">
        <v>521</v>
      </c>
      <c r="G1861" s="0" t="s">
        <v>81</v>
      </c>
    </row>
    <row r="1862" customFormat="false" ht="15" hidden="false" customHeight="false" outlineLevel="0" collapsed="false">
      <c r="A1862" s="0" t="s">
        <v>178</v>
      </c>
      <c r="B1862" s="0" t="n">
        <v>2022</v>
      </c>
      <c r="C1862" s="0" t="s">
        <v>307</v>
      </c>
      <c r="D1862" s="0" t="n">
        <v>5669</v>
      </c>
      <c r="E1862" s="0" t="s">
        <v>521</v>
      </c>
      <c r="G1862" s="0" t="s">
        <v>81</v>
      </c>
    </row>
    <row r="1863" customFormat="false" ht="15" hidden="false" customHeight="false" outlineLevel="0" collapsed="false">
      <c r="A1863" s="0" t="s">
        <v>178</v>
      </c>
      <c r="B1863" s="0" t="n">
        <v>2022</v>
      </c>
      <c r="C1863" s="0" t="s">
        <v>1038</v>
      </c>
      <c r="D1863" s="0" t="n">
        <v>4896</v>
      </c>
      <c r="E1863" s="0" t="s">
        <v>521</v>
      </c>
      <c r="G1863" s="0" t="s">
        <v>81</v>
      </c>
    </row>
    <row r="1864" customFormat="false" ht="15" hidden="false" customHeight="false" outlineLevel="0" collapsed="false">
      <c r="A1864" s="0" t="s">
        <v>178</v>
      </c>
      <c r="B1864" s="0" t="n">
        <v>2022</v>
      </c>
      <c r="C1864" s="0" t="s">
        <v>69</v>
      </c>
      <c r="D1864" s="0" t="n">
        <v>21.9</v>
      </c>
      <c r="E1864" s="0" t="s">
        <v>521</v>
      </c>
      <c r="G1864" s="0" t="s">
        <v>81</v>
      </c>
    </row>
    <row r="1865" customFormat="false" ht="15" hidden="false" customHeight="false" outlineLevel="0" collapsed="false">
      <c r="A1865" s="0" t="s">
        <v>178</v>
      </c>
      <c r="B1865" s="0" t="n">
        <v>2022</v>
      </c>
      <c r="C1865" s="0" t="s">
        <v>70</v>
      </c>
      <c r="D1865" s="0" t="n">
        <v>17</v>
      </c>
      <c r="E1865" s="0" t="s">
        <v>521</v>
      </c>
      <c r="G1865" s="0" t="s">
        <v>81</v>
      </c>
    </row>
    <row r="1866" customFormat="false" ht="15" hidden="false" customHeight="false" outlineLevel="0" collapsed="false">
      <c r="A1866" s="0" t="s">
        <v>178</v>
      </c>
      <c r="B1866" s="0" t="n">
        <v>2022</v>
      </c>
      <c r="C1866" s="0" t="s">
        <v>65</v>
      </c>
      <c r="D1866" s="0" t="n">
        <v>369520</v>
      </c>
      <c r="E1866" s="0" t="s">
        <v>521</v>
      </c>
      <c r="G1866" s="0" t="s">
        <v>81</v>
      </c>
    </row>
    <row r="1867" customFormat="false" ht="15" hidden="false" customHeight="false" outlineLevel="0" collapsed="false">
      <c r="A1867" s="0" t="s">
        <v>178</v>
      </c>
      <c r="B1867" s="0" t="n">
        <v>2022</v>
      </c>
      <c r="C1867" s="0" t="s">
        <v>66</v>
      </c>
      <c r="D1867" s="0" t="n">
        <v>1690930</v>
      </c>
      <c r="E1867" s="0" t="s">
        <v>521</v>
      </c>
      <c r="G1867" s="0" t="s">
        <v>81</v>
      </c>
    </row>
    <row r="1868" customFormat="false" ht="15" hidden="false" customHeight="false" outlineLevel="0" collapsed="false">
      <c r="A1868" s="0" t="s">
        <v>178</v>
      </c>
      <c r="B1868" s="0" t="n">
        <v>2022</v>
      </c>
      <c r="C1868" s="0" t="s">
        <v>71</v>
      </c>
      <c r="D1868" s="0" t="n">
        <v>59.03</v>
      </c>
      <c r="E1868" s="0" t="s">
        <v>521</v>
      </c>
      <c r="G1868" s="0" t="s">
        <v>81</v>
      </c>
    </row>
    <row r="1869" customFormat="false" ht="15" hidden="false" customHeight="false" outlineLevel="0" collapsed="false">
      <c r="A1869" s="0" t="s">
        <v>178</v>
      </c>
      <c r="B1869" s="0" t="n">
        <v>2022</v>
      </c>
      <c r="C1869" s="0" t="s">
        <v>541</v>
      </c>
      <c r="D1869" s="0" t="n">
        <v>141317</v>
      </c>
      <c r="E1869" s="0" t="s">
        <v>521</v>
      </c>
      <c r="G1869" s="0" t="s">
        <v>81</v>
      </c>
    </row>
    <row r="1870" customFormat="false" ht="15" hidden="false" customHeight="false" outlineLevel="0" collapsed="false">
      <c r="A1870" s="0" t="s">
        <v>178</v>
      </c>
      <c r="B1870" s="0" t="n">
        <v>2022</v>
      </c>
      <c r="C1870" s="0" t="s">
        <v>19</v>
      </c>
      <c r="D1870" s="0" t="n">
        <v>6468010</v>
      </c>
      <c r="E1870" s="0" t="s">
        <v>522</v>
      </c>
    </row>
    <row r="1871" customFormat="false" ht="15" hidden="false" customHeight="false" outlineLevel="0" collapsed="false">
      <c r="A1871" s="0" t="s">
        <v>178</v>
      </c>
      <c r="B1871" s="0" t="n">
        <v>2022</v>
      </c>
      <c r="C1871" s="0" t="s">
        <v>41</v>
      </c>
      <c r="D1871" s="0" t="n">
        <v>2.06703452839436</v>
      </c>
      <c r="E1871" s="0" t="s">
        <v>522</v>
      </c>
    </row>
    <row r="1872" customFormat="false" ht="15" hidden="false" customHeight="false" outlineLevel="0" collapsed="false">
      <c r="A1872" s="0" t="s">
        <v>178</v>
      </c>
      <c r="B1872" s="0" t="n">
        <v>2022</v>
      </c>
      <c r="C1872" s="0" t="s">
        <v>27</v>
      </c>
      <c r="D1872" s="0" t="n">
        <v>7.94986417687491</v>
      </c>
      <c r="E1872" s="0" t="s">
        <v>522</v>
      </c>
    </row>
    <row r="1873" customFormat="false" ht="15" hidden="false" customHeight="false" outlineLevel="0" collapsed="false">
      <c r="A1873" s="0" t="s">
        <v>178</v>
      </c>
      <c r="B1873" s="0" t="n">
        <v>2022</v>
      </c>
      <c r="C1873" s="0" t="s">
        <v>39</v>
      </c>
      <c r="D1873" s="0" t="n">
        <v>16.4382553521099</v>
      </c>
      <c r="E1873" s="0" t="s">
        <v>522</v>
      </c>
    </row>
    <row r="1874" customFormat="false" ht="15" hidden="false" customHeight="false" outlineLevel="0" collapsed="false">
      <c r="A1874" s="0" t="s">
        <v>178</v>
      </c>
      <c r="B1874" s="0" t="n">
        <v>2022</v>
      </c>
      <c r="C1874" s="0" t="s">
        <v>17</v>
      </c>
      <c r="D1874" s="0" t="n">
        <v>2.37642537471624</v>
      </c>
      <c r="E1874" s="0" t="s">
        <v>522</v>
      </c>
    </row>
    <row r="1875" customFormat="false" ht="15" hidden="false" customHeight="false" outlineLevel="0" collapsed="false">
      <c r="A1875" s="0" t="s">
        <v>178</v>
      </c>
      <c r="B1875" s="0" t="n">
        <v>2022</v>
      </c>
      <c r="C1875" s="0" t="s">
        <v>25</v>
      </c>
      <c r="D1875" s="0" t="n">
        <v>21.8530631072842</v>
      </c>
      <c r="E1875" s="0" t="s">
        <v>522</v>
      </c>
    </row>
    <row r="1876" customFormat="false" ht="15" hidden="false" customHeight="false" outlineLevel="0" collapsed="false">
      <c r="A1876" s="0" t="s">
        <v>178</v>
      </c>
      <c r="B1876" s="0" t="n">
        <v>2022</v>
      </c>
      <c r="C1876" s="0" t="s">
        <v>29</v>
      </c>
      <c r="D1876" s="0" t="n">
        <v>0.163342357231977</v>
      </c>
      <c r="E1876" s="0" t="s">
        <v>522</v>
      </c>
    </row>
    <row r="1877" customFormat="false" ht="15" hidden="false" customHeight="false" outlineLevel="0" collapsed="false">
      <c r="A1877" s="0" t="s">
        <v>178</v>
      </c>
      <c r="B1877" s="0" t="n">
        <v>2022</v>
      </c>
      <c r="C1877" s="0" t="s">
        <v>43</v>
      </c>
      <c r="D1877" s="0" t="n">
        <v>1.8162641060154</v>
      </c>
      <c r="E1877" s="0" t="s">
        <v>522</v>
      </c>
    </row>
    <row r="1878" customFormat="false" ht="15" hidden="false" customHeight="false" outlineLevel="0" collapsed="false">
      <c r="A1878" s="0" t="s">
        <v>178</v>
      </c>
      <c r="B1878" s="0" t="n">
        <v>2022</v>
      </c>
      <c r="C1878" s="0" t="s">
        <v>31</v>
      </c>
      <c r="D1878" s="0" t="n">
        <v>92.0501358231251</v>
      </c>
      <c r="E1878" s="0" t="s">
        <v>522</v>
      </c>
    </row>
    <row r="1879" customFormat="false" ht="15" hidden="false" customHeight="false" outlineLevel="0" collapsed="false">
      <c r="A1879" s="0" t="s">
        <v>178</v>
      </c>
      <c r="B1879" s="0" t="n">
        <v>2022</v>
      </c>
      <c r="C1879" s="0" t="s">
        <v>33</v>
      </c>
      <c r="D1879" s="0" t="n">
        <v>15.8117123284717</v>
      </c>
      <c r="E1879" s="0" t="s">
        <v>522</v>
      </c>
    </row>
    <row r="1880" customFormat="false" ht="15" hidden="false" customHeight="false" outlineLevel="0" collapsed="false">
      <c r="A1880" s="0" t="s">
        <v>178</v>
      </c>
      <c r="B1880" s="0" t="n">
        <v>2022</v>
      </c>
      <c r="C1880" s="0" t="s">
        <v>21</v>
      </c>
      <c r="D1880" s="0" t="n">
        <v>0</v>
      </c>
      <c r="E1880" s="0" t="s">
        <v>522</v>
      </c>
    </row>
    <row r="1881" customFormat="false" ht="15" hidden="false" customHeight="false" outlineLevel="0" collapsed="false">
      <c r="A1881" s="0" t="s">
        <v>178</v>
      </c>
      <c r="B1881" s="0" t="n">
        <v>2022</v>
      </c>
      <c r="C1881" s="0" t="s">
        <v>35</v>
      </c>
      <c r="D1881" s="0" t="n">
        <v>0</v>
      </c>
      <c r="E1881" s="0" t="s">
        <v>522</v>
      </c>
    </row>
    <row r="1882" customFormat="false" ht="15" hidden="false" customHeight="false" outlineLevel="0" collapsed="false">
      <c r="A1882" s="0" t="s">
        <v>187</v>
      </c>
      <c r="B1882" s="0" t="n">
        <v>2013</v>
      </c>
      <c r="C1882" s="0" t="s">
        <v>54</v>
      </c>
      <c r="D1882" s="0" t="n">
        <v>5121</v>
      </c>
      <c r="E1882" s="0" t="s">
        <v>521</v>
      </c>
      <c r="G1882" s="0" t="s">
        <v>81</v>
      </c>
    </row>
    <row r="1883" customFormat="false" ht="15" hidden="false" customHeight="false" outlineLevel="0" collapsed="false">
      <c r="A1883" s="0" t="s">
        <v>187</v>
      </c>
      <c r="B1883" s="0" t="n">
        <v>2013</v>
      </c>
      <c r="C1883" s="0" t="s">
        <v>55</v>
      </c>
      <c r="D1883" s="0" t="n">
        <v>882097</v>
      </c>
      <c r="E1883" s="0" t="s">
        <v>521</v>
      </c>
      <c r="G1883" s="0" t="s">
        <v>81</v>
      </c>
    </row>
    <row r="1884" customFormat="false" ht="15" hidden="false" customHeight="false" outlineLevel="0" collapsed="false">
      <c r="A1884" s="0" t="s">
        <v>187</v>
      </c>
      <c r="B1884" s="0" t="n">
        <v>2013</v>
      </c>
      <c r="C1884" s="0" t="s">
        <v>56</v>
      </c>
      <c r="D1884" s="0" t="n">
        <v>694313</v>
      </c>
      <c r="E1884" s="0" t="s">
        <v>521</v>
      </c>
      <c r="G1884" s="0" t="s">
        <v>81</v>
      </c>
    </row>
    <row r="1885" customFormat="false" ht="15" hidden="false" customHeight="false" outlineLevel="0" collapsed="false">
      <c r="A1885" s="0" t="s">
        <v>187</v>
      </c>
      <c r="B1885" s="0" t="n">
        <v>2013</v>
      </c>
      <c r="C1885" s="0" t="s">
        <v>57</v>
      </c>
      <c r="D1885" s="0" t="n">
        <v>187784</v>
      </c>
      <c r="E1885" s="0" t="s">
        <v>521</v>
      </c>
      <c r="G1885" s="0" t="s">
        <v>81</v>
      </c>
    </row>
    <row r="1886" customFormat="false" ht="15" hidden="false" customHeight="false" outlineLevel="0" collapsed="false">
      <c r="A1886" s="0" t="s">
        <v>187</v>
      </c>
      <c r="B1886" s="0" t="n">
        <v>2013</v>
      </c>
      <c r="C1886" s="0" t="s">
        <v>58</v>
      </c>
      <c r="D1886" s="0" t="n">
        <v>-93031</v>
      </c>
      <c r="E1886" s="0" t="s">
        <v>521</v>
      </c>
      <c r="G1886" s="0" t="s">
        <v>81</v>
      </c>
    </row>
    <row r="1887" customFormat="false" ht="15" hidden="false" customHeight="false" outlineLevel="0" collapsed="false">
      <c r="A1887" s="0" t="s">
        <v>187</v>
      </c>
      <c r="B1887" s="0" t="n">
        <v>2013</v>
      </c>
      <c r="C1887" s="0" t="s">
        <v>60</v>
      </c>
      <c r="D1887" s="0" t="n">
        <v>230720</v>
      </c>
      <c r="E1887" s="0" t="s">
        <v>521</v>
      </c>
      <c r="G1887" s="0" t="s">
        <v>81</v>
      </c>
    </row>
    <row r="1888" customFormat="false" ht="15" hidden="false" customHeight="false" outlineLevel="0" collapsed="false">
      <c r="A1888" s="0" t="s">
        <v>187</v>
      </c>
      <c r="B1888" s="0" t="n">
        <v>2013</v>
      </c>
      <c r="C1888" s="0" t="s">
        <v>61</v>
      </c>
      <c r="D1888" s="0" t="n">
        <v>20602</v>
      </c>
      <c r="E1888" s="0" t="s">
        <v>521</v>
      </c>
      <c r="G1888" s="0" t="s">
        <v>81</v>
      </c>
    </row>
    <row r="1889" customFormat="false" ht="15" hidden="false" customHeight="false" outlineLevel="0" collapsed="false">
      <c r="A1889" s="0" t="s">
        <v>187</v>
      </c>
      <c r="B1889" s="0" t="n">
        <v>2013</v>
      </c>
      <c r="C1889" s="0" t="s">
        <v>307</v>
      </c>
      <c r="D1889" s="0" t="n">
        <v>13255</v>
      </c>
      <c r="E1889" s="0" t="s">
        <v>521</v>
      </c>
      <c r="G1889" s="0" t="s">
        <v>81</v>
      </c>
    </row>
    <row r="1890" customFormat="false" ht="15" hidden="false" customHeight="false" outlineLevel="0" collapsed="false">
      <c r="A1890" s="0" t="s">
        <v>187</v>
      </c>
      <c r="B1890" s="0" t="n">
        <v>2013</v>
      </c>
      <c r="C1890" s="0" t="s">
        <v>64</v>
      </c>
      <c r="D1890" s="0" t="n">
        <v>13644</v>
      </c>
      <c r="E1890" s="0" t="s">
        <v>521</v>
      </c>
      <c r="G1890" s="0" t="s">
        <v>81</v>
      </c>
    </row>
    <row r="1891" customFormat="false" ht="15" hidden="false" customHeight="false" outlineLevel="0" collapsed="false">
      <c r="A1891" s="0" t="s">
        <v>187</v>
      </c>
      <c r="B1891" s="0" t="n">
        <v>2013</v>
      </c>
      <c r="C1891" s="0" t="s">
        <v>327</v>
      </c>
      <c r="D1891" s="0" t="n">
        <v>5.91</v>
      </c>
      <c r="E1891" s="0" t="s">
        <v>521</v>
      </c>
      <c r="G1891" s="0" t="s">
        <v>81</v>
      </c>
    </row>
    <row r="1892" customFormat="false" ht="15" hidden="false" customHeight="false" outlineLevel="0" collapsed="false">
      <c r="A1892" s="0" t="s">
        <v>187</v>
      </c>
      <c r="B1892" s="0" t="n">
        <v>2013</v>
      </c>
      <c r="C1892" s="0" t="s">
        <v>69</v>
      </c>
      <c r="D1892" s="0" t="n">
        <v>24.8</v>
      </c>
      <c r="E1892" s="0" t="s">
        <v>521</v>
      </c>
      <c r="G1892" s="0" t="s">
        <v>81</v>
      </c>
    </row>
    <row r="1893" customFormat="false" ht="15" hidden="false" customHeight="false" outlineLevel="0" collapsed="false">
      <c r="A1893" s="0" t="s">
        <v>187</v>
      </c>
      <c r="B1893" s="0" t="n">
        <v>2013</v>
      </c>
      <c r="C1893" s="0" t="s">
        <v>27</v>
      </c>
      <c r="D1893" s="0" t="n">
        <v>21.2883617107869</v>
      </c>
      <c r="E1893" s="0" t="s">
        <v>522</v>
      </c>
    </row>
    <row r="1894" customFormat="false" ht="15" hidden="false" customHeight="false" outlineLevel="0" collapsed="false">
      <c r="A1894" s="0" t="s">
        <v>187</v>
      </c>
      <c r="B1894" s="0" t="n">
        <v>2013</v>
      </c>
      <c r="C1894" s="0" t="s">
        <v>17</v>
      </c>
      <c r="D1894" s="0" t="n">
        <v>8.92943828016644</v>
      </c>
      <c r="E1894" s="0" t="s">
        <v>522</v>
      </c>
    </row>
    <row r="1895" customFormat="false" ht="15" hidden="false" customHeight="false" outlineLevel="0" collapsed="false">
      <c r="A1895" s="0" t="s">
        <v>187</v>
      </c>
      <c r="B1895" s="0" t="n">
        <v>2013</v>
      </c>
      <c r="C1895" s="0" t="s">
        <v>23</v>
      </c>
      <c r="D1895" s="0" t="n">
        <v>150.996775139255</v>
      </c>
      <c r="E1895" s="0" t="s">
        <v>522</v>
      </c>
    </row>
    <row r="1896" customFormat="false" ht="15" hidden="false" customHeight="false" outlineLevel="0" collapsed="false">
      <c r="A1896" s="0" t="s">
        <v>187</v>
      </c>
      <c r="B1896" s="0" t="n">
        <v>2013</v>
      </c>
      <c r="C1896" s="0" t="s">
        <v>37</v>
      </c>
      <c r="D1896" s="0" t="n">
        <v>5.91366158113731</v>
      </c>
      <c r="E1896" s="0" t="s">
        <v>522</v>
      </c>
    </row>
    <row r="1897" customFormat="false" ht="15" hidden="false" customHeight="false" outlineLevel="0" collapsed="false">
      <c r="A1897" s="0" t="s">
        <v>187</v>
      </c>
      <c r="B1897" s="0" t="n">
        <v>2013</v>
      </c>
      <c r="C1897" s="0" t="s">
        <v>43</v>
      </c>
      <c r="D1897" s="0" t="n">
        <v>0.580548397738571</v>
      </c>
      <c r="E1897" s="0" t="s">
        <v>522</v>
      </c>
    </row>
    <row r="1898" customFormat="false" ht="15" hidden="false" customHeight="false" outlineLevel="0" collapsed="false">
      <c r="A1898" s="0" t="s">
        <v>187</v>
      </c>
      <c r="B1898" s="0" t="n">
        <v>2013</v>
      </c>
      <c r="C1898" s="0" t="s">
        <v>31</v>
      </c>
      <c r="D1898" s="0" t="n">
        <v>78.7116382892131</v>
      </c>
      <c r="E1898" s="0" t="s">
        <v>522</v>
      </c>
    </row>
    <row r="1899" customFormat="false" ht="15" hidden="false" customHeight="false" outlineLevel="0" collapsed="false">
      <c r="A1899" s="0" t="s">
        <v>187</v>
      </c>
      <c r="B1899" s="0" t="n">
        <v>2013</v>
      </c>
      <c r="C1899" s="0" t="s">
        <v>33</v>
      </c>
      <c r="D1899" s="0" t="n">
        <v>13.6900573062661</v>
      </c>
      <c r="E1899" s="0" t="s">
        <v>522</v>
      </c>
    </row>
    <row r="1900" customFormat="false" ht="15" hidden="false" customHeight="false" outlineLevel="0" collapsed="false">
      <c r="A1900" s="0" t="s">
        <v>187</v>
      </c>
      <c r="B1900" s="0" t="n">
        <v>2013</v>
      </c>
      <c r="C1900" s="0" t="s">
        <v>21</v>
      </c>
      <c r="D1900" s="0" t="n">
        <v>0</v>
      </c>
      <c r="E1900" s="0" t="s">
        <v>522</v>
      </c>
    </row>
    <row r="1901" customFormat="false" ht="15" hidden="false" customHeight="false" outlineLevel="0" collapsed="false">
      <c r="A1901" s="0" t="s">
        <v>187</v>
      </c>
      <c r="B1901" s="0" t="n">
        <v>2014</v>
      </c>
      <c r="C1901" s="0" t="s">
        <v>54</v>
      </c>
      <c r="D1901" s="0" t="n">
        <v>20486</v>
      </c>
      <c r="E1901" s="0" t="s">
        <v>521</v>
      </c>
      <c r="G1901" s="0" t="s">
        <v>81</v>
      </c>
    </row>
    <row r="1902" customFormat="false" ht="15" hidden="false" customHeight="false" outlineLevel="0" collapsed="false">
      <c r="A1902" s="0" t="s">
        <v>187</v>
      </c>
      <c r="B1902" s="0" t="n">
        <v>2014</v>
      </c>
      <c r="C1902" s="0" t="s">
        <v>55</v>
      </c>
      <c r="D1902" s="0" t="n">
        <v>920936</v>
      </c>
      <c r="E1902" s="0" t="s">
        <v>521</v>
      </c>
      <c r="G1902" s="0" t="s">
        <v>81</v>
      </c>
    </row>
    <row r="1903" customFormat="false" ht="15" hidden="false" customHeight="false" outlineLevel="0" collapsed="false">
      <c r="A1903" s="0" t="s">
        <v>187</v>
      </c>
      <c r="B1903" s="0" t="n">
        <v>2014</v>
      </c>
      <c r="C1903" s="0" t="s">
        <v>56</v>
      </c>
      <c r="D1903" s="0" t="n">
        <v>714962</v>
      </c>
      <c r="E1903" s="0" t="s">
        <v>521</v>
      </c>
      <c r="G1903" s="0" t="s">
        <v>81</v>
      </c>
    </row>
    <row r="1904" customFormat="false" ht="15" hidden="false" customHeight="false" outlineLevel="0" collapsed="false">
      <c r="A1904" s="0" t="s">
        <v>187</v>
      </c>
      <c r="B1904" s="0" t="n">
        <v>2014</v>
      </c>
      <c r="C1904" s="0" t="s">
        <v>57</v>
      </c>
      <c r="D1904" s="0" t="n">
        <v>205974</v>
      </c>
      <c r="E1904" s="0" t="s">
        <v>521</v>
      </c>
      <c r="G1904" s="0" t="s">
        <v>81</v>
      </c>
    </row>
    <row r="1905" customFormat="false" ht="15" hidden="false" customHeight="false" outlineLevel="0" collapsed="false">
      <c r="A1905" s="0" t="s">
        <v>187</v>
      </c>
      <c r="B1905" s="0" t="n">
        <v>2014</v>
      </c>
      <c r="C1905" s="0" t="s">
        <v>58</v>
      </c>
      <c r="D1905" s="0" t="n">
        <v>-121957</v>
      </c>
      <c r="E1905" s="0" t="s">
        <v>521</v>
      </c>
      <c r="G1905" s="0" t="s">
        <v>81</v>
      </c>
    </row>
    <row r="1906" customFormat="false" ht="15" hidden="false" customHeight="false" outlineLevel="0" collapsed="false">
      <c r="A1906" s="0" t="s">
        <v>187</v>
      </c>
      <c r="B1906" s="0" t="n">
        <v>2014</v>
      </c>
      <c r="C1906" s="0" t="s">
        <v>59</v>
      </c>
      <c r="D1906" s="0" t="n">
        <v>882097</v>
      </c>
      <c r="E1906" s="0" t="s">
        <v>521</v>
      </c>
      <c r="G1906" s="0" t="s">
        <v>81</v>
      </c>
    </row>
    <row r="1907" customFormat="false" ht="15" hidden="false" customHeight="false" outlineLevel="0" collapsed="false">
      <c r="A1907" s="0" t="s">
        <v>187</v>
      </c>
      <c r="B1907" s="0" t="n">
        <v>2014</v>
      </c>
      <c r="C1907" s="0" t="s">
        <v>60</v>
      </c>
      <c r="D1907" s="0" t="n">
        <v>325748</v>
      </c>
      <c r="E1907" s="0" t="s">
        <v>521</v>
      </c>
      <c r="G1907" s="0" t="s">
        <v>81</v>
      </c>
    </row>
    <row r="1908" customFormat="false" ht="15" hidden="false" customHeight="false" outlineLevel="0" collapsed="false">
      <c r="A1908" s="0" t="s">
        <v>187</v>
      </c>
      <c r="B1908" s="0" t="n">
        <v>2014</v>
      </c>
      <c r="C1908" s="0" t="s">
        <v>61</v>
      </c>
      <c r="D1908" s="0" t="n">
        <v>23376</v>
      </c>
      <c r="E1908" s="0" t="s">
        <v>521</v>
      </c>
      <c r="G1908" s="0" t="s">
        <v>81</v>
      </c>
    </row>
    <row r="1909" customFormat="false" ht="15" hidden="false" customHeight="false" outlineLevel="0" collapsed="false">
      <c r="A1909" s="0" t="s">
        <v>187</v>
      </c>
      <c r="B1909" s="0" t="n">
        <v>2014</v>
      </c>
      <c r="C1909" s="0" t="s">
        <v>307</v>
      </c>
      <c r="D1909" s="0" t="n">
        <v>3307</v>
      </c>
      <c r="E1909" s="0" t="s">
        <v>521</v>
      </c>
      <c r="G1909" s="0" t="s">
        <v>81</v>
      </c>
    </row>
    <row r="1910" customFormat="false" ht="15" hidden="false" customHeight="false" outlineLevel="0" collapsed="false">
      <c r="A1910" s="0" t="s">
        <v>187</v>
      </c>
      <c r="B1910" s="0" t="n">
        <v>2014</v>
      </c>
      <c r="C1910" s="0" t="s">
        <v>64</v>
      </c>
      <c r="D1910" s="0" t="n">
        <v>16756</v>
      </c>
      <c r="E1910" s="0" t="s">
        <v>521</v>
      </c>
      <c r="G1910" s="0" t="s">
        <v>81</v>
      </c>
    </row>
    <row r="1911" customFormat="false" ht="15" hidden="false" customHeight="false" outlineLevel="0" collapsed="false">
      <c r="A1911" s="0" t="s">
        <v>187</v>
      </c>
      <c r="B1911" s="0" t="n">
        <v>2014</v>
      </c>
      <c r="C1911" s="0" t="s">
        <v>327</v>
      </c>
      <c r="D1911" s="0" t="n">
        <v>5.14</v>
      </c>
      <c r="E1911" s="0" t="s">
        <v>521</v>
      </c>
      <c r="G1911" s="0" t="s">
        <v>81</v>
      </c>
    </row>
    <row r="1912" customFormat="false" ht="15" hidden="false" customHeight="false" outlineLevel="0" collapsed="false">
      <c r="A1912" s="0" t="s">
        <v>187</v>
      </c>
      <c r="B1912" s="0" t="n">
        <v>2014</v>
      </c>
      <c r="C1912" s="0" t="s">
        <v>69</v>
      </c>
      <c r="D1912" s="0" t="n">
        <v>16.39</v>
      </c>
      <c r="E1912" s="0" t="s">
        <v>521</v>
      </c>
      <c r="G1912" s="0" t="s">
        <v>81</v>
      </c>
    </row>
    <row r="1913" customFormat="false" ht="15" hidden="false" customHeight="false" outlineLevel="0" collapsed="false">
      <c r="A1913" s="0" t="s">
        <v>187</v>
      </c>
      <c r="B1913" s="0" t="n">
        <v>2014</v>
      </c>
      <c r="C1913" s="0" t="s">
        <v>19</v>
      </c>
      <c r="D1913" s="0" t="n">
        <v>901516.5</v>
      </c>
      <c r="E1913" s="0" t="s">
        <v>522</v>
      </c>
    </row>
    <row r="1914" customFormat="false" ht="15" hidden="false" customHeight="false" outlineLevel="0" collapsed="false">
      <c r="A1914" s="0" t="s">
        <v>187</v>
      </c>
      <c r="B1914" s="0" t="n">
        <v>2014</v>
      </c>
      <c r="C1914" s="0" t="s">
        <v>41</v>
      </c>
      <c r="D1914" s="0" t="n">
        <v>2.27239323961347</v>
      </c>
      <c r="E1914" s="0" t="s">
        <v>522</v>
      </c>
    </row>
    <row r="1915" customFormat="false" ht="15" hidden="false" customHeight="false" outlineLevel="0" collapsed="false">
      <c r="A1915" s="0" t="s">
        <v>187</v>
      </c>
      <c r="B1915" s="0" t="n">
        <v>2014</v>
      </c>
      <c r="C1915" s="0" t="s">
        <v>27</v>
      </c>
      <c r="D1915" s="0" t="n">
        <v>22.3657235681958</v>
      </c>
      <c r="E1915" s="0" t="s">
        <v>522</v>
      </c>
    </row>
    <row r="1916" customFormat="false" ht="15" hidden="false" customHeight="false" outlineLevel="0" collapsed="false">
      <c r="A1916" s="0" t="s">
        <v>187</v>
      </c>
      <c r="B1916" s="0" t="n">
        <v>2014</v>
      </c>
      <c r="C1916" s="0" t="s">
        <v>39</v>
      </c>
      <c r="D1916" s="0" t="n">
        <v>-13.5279831262101</v>
      </c>
      <c r="E1916" s="0" t="s">
        <v>522</v>
      </c>
    </row>
    <row r="1917" customFormat="false" ht="15" hidden="false" customHeight="false" outlineLevel="0" collapsed="false">
      <c r="A1917" s="0" t="s">
        <v>187</v>
      </c>
      <c r="B1917" s="0" t="n">
        <v>2014</v>
      </c>
      <c r="C1917" s="0" t="s">
        <v>17</v>
      </c>
      <c r="D1917" s="0" t="n">
        <v>7.17609931603571</v>
      </c>
      <c r="E1917" s="0" t="s">
        <v>522</v>
      </c>
    </row>
    <row r="1918" customFormat="false" ht="15" hidden="false" customHeight="false" outlineLevel="0" collapsed="false">
      <c r="A1918" s="0" t="s">
        <v>187</v>
      </c>
      <c r="B1918" s="0" t="n">
        <v>2014</v>
      </c>
      <c r="C1918" s="0" t="s">
        <v>23</v>
      </c>
      <c r="D1918" s="0" t="n">
        <v>139.508235855813</v>
      </c>
      <c r="E1918" s="0" t="s">
        <v>522</v>
      </c>
    </row>
    <row r="1919" customFormat="false" ht="15" hidden="false" customHeight="false" outlineLevel="0" collapsed="false">
      <c r="A1919" s="0" t="s">
        <v>187</v>
      </c>
      <c r="B1919" s="0" t="n">
        <v>2014</v>
      </c>
      <c r="C1919" s="0" t="s">
        <v>37</v>
      </c>
      <c r="D1919" s="0" t="n">
        <v>5.14385353095031</v>
      </c>
      <c r="E1919" s="0" t="s">
        <v>522</v>
      </c>
    </row>
    <row r="1920" customFormat="false" ht="15" hidden="false" customHeight="false" outlineLevel="0" collapsed="false">
      <c r="A1920" s="0" t="s">
        <v>187</v>
      </c>
      <c r="B1920" s="0" t="n">
        <v>2014</v>
      </c>
      <c r="C1920" s="0" t="s">
        <v>43</v>
      </c>
      <c r="D1920" s="0" t="n">
        <v>2.22447596792828</v>
      </c>
      <c r="E1920" s="0" t="s">
        <v>522</v>
      </c>
    </row>
    <row r="1921" customFormat="false" ht="15" hidden="false" customHeight="false" outlineLevel="0" collapsed="false">
      <c r="A1921" s="0" t="s">
        <v>187</v>
      </c>
      <c r="B1921" s="0" t="n">
        <v>2014</v>
      </c>
      <c r="C1921" s="0" t="s">
        <v>31</v>
      </c>
      <c r="D1921" s="0" t="n">
        <v>77.6342764318042</v>
      </c>
      <c r="E1921" s="0" t="s">
        <v>522</v>
      </c>
    </row>
    <row r="1922" customFormat="false" ht="15" hidden="false" customHeight="false" outlineLevel="0" collapsed="false">
      <c r="A1922" s="0" t="s">
        <v>187</v>
      </c>
      <c r="B1922" s="0" t="n">
        <v>2014</v>
      </c>
      <c r="C1922" s="0" t="s">
        <v>33</v>
      </c>
      <c r="D1922" s="0" t="n">
        <v>13.7331458231378</v>
      </c>
      <c r="E1922" s="0" t="s">
        <v>522</v>
      </c>
    </row>
    <row r="1923" customFormat="false" ht="15" hidden="false" customHeight="false" outlineLevel="0" collapsed="false">
      <c r="A1923" s="0" t="s">
        <v>187</v>
      </c>
      <c r="B1923" s="0" t="n">
        <v>2014</v>
      </c>
      <c r="C1923" s="0" t="s">
        <v>21</v>
      </c>
      <c r="D1923" s="0" t="n">
        <v>0</v>
      </c>
      <c r="E1923" s="0" t="s">
        <v>522</v>
      </c>
    </row>
    <row r="1924" customFormat="false" ht="15" hidden="false" customHeight="false" outlineLevel="0" collapsed="false">
      <c r="A1924" s="0" t="s">
        <v>187</v>
      </c>
      <c r="B1924" s="0" t="n">
        <v>2015</v>
      </c>
      <c r="C1924" s="0" t="s">
        <v>54</v>
      </c>
      <c r="D1924" s="0" t="n">
        <v>18035</v>
      </c>
      <c r="E1924" s="0" t="s">
        <v>643</v>
      </c>
      <c r="F1924" s="0" t="s">
        <v>524</v>
      </c>
      <c r="G1924" s="0" t="s">
        <v>190</v>
      </c>
      <c r="H1924" s="0" t="s">
        <v>1328</v>
      </c>
      <c r="I1924" s="0" t="s">
        <v>699</v>
      </c>
    </row>
    <row r="1925" customFormat="false" ht="15" hidden="false" customHeight="false" outlineLevel="0" collapsed="false">
      <c r="A1925" s="0" t="s">
        <v>187</v>
      </c>
      <c r="B1925" s="0" t="n">
        <v>2015</v>
      </c>
      <c r="C1925" s="0" t="s">
        <v>55</v>
      </c>
      <c r="D1925" s="0" t="n">
        <v>1000976</v>
      </c>
      <c r="E1925" s="0" t="s">
        <v>960</v>
      </c>
      <c r="F1925" s="0" t="s">
        <v>524</v>
      </c>
      <c r="G1925" s="0" t="s">
        <v>190</v>
      </c>
      <c r="H1925" s="0" t="s">
        <v>1329</v>
      </c>
    </row>
    <row r="1926" customFormat="false" ht="15" hidden="false" customHeight="false" outlineLevel="0" collapsed="false">
      <c r="A1926" s="0" t="s">
        <v>187</v>
      </c>
      <c r="B1926" s="0" t="n">
        <v>2015</v>
      </c>
      <c r="C1926" s="0" t="s">
        <v>56</v>
      </c>
      <c r="D1926" s="0" t="n">
        <v>767469</v>
      </c>
      <c r="E1926" s="0" t="s">
        <v>960</v>
      </c>
      <c r="F1926" s="0" t="s">
        <v>524</v>
      </c>
      <c r="G1926" s="0" t="s">
        <v>190</v>
      </c>
      <c r="H1926" s="0" t="s">
        <v>1330</v>
      </c>
    </row>
    <row r="1927" customFormat="false" ht="15" hidden="false" customHeight="false" outlineLevel="0" collapsed="false">
      <c r="A1927" s="0" t="s">
        <v>187</v>
      </c>
      <c r="B1927" s="0" t="n">
        <v>2015</v>
      </c>
      <c r="C1927" s="0" t="s">
        <v>57</v>
      </c>
      <c r="D1927" s="0" t="n">
        <v>233507</v>
      </c>
      <c r="E1927" s="0" t="s">
        <v>960</v>
      </c>
      <c r="F1927" s="0" t="s">
        <v>524</v>
      </c>
      <c r="G1927" s="0" t="s">
        <v>190</v>
      </c>
      <c r="H1927" s="0" t="s">
        <v>1331</v>
      </c>
    </row>
    <row r="1928" customFormat="false" ht="15" hidden="false" customHeight="false" outlineLevel="0" collapsed="false">
      <c r="A1928" s="0" t="s">
        <v>187</v>
      </c>
      <c r="B1928" s="0" t="n">
        <v>2015</v>
      </c>
      <c r="C1928" s="0" t="s">
        <v>58</v>
      </c>
      <c r="D1928" s="0" t="n">
        <v>10975</v>
      </c>
      <c r="E1928" s="0" t="s">
        <v>643</v>
      </c>
      <c r="F1928" s="0" t="s">
        <v>524</v>
      </c>
      <c r="G1928" s="0" t="s">
        <v>190</v>
      </c>
      <c r="H1928" s="0" t="s">
        <v>1332</v>
      </c>
    </row>
    <row r="1929" customFormat="false" ht="15" hidden="false" customHeight="false" outlineLevel="0" collapsed="false">
      <c r="A1929" s="0" t="s">
        <v>187</v>
      </c>
      <c r="B1929" s="0" t="n">
        <v>2015</v>
      </c>
      <c r="C1929" s="0" t="s">
        <v>59</v>
      </c>
      <c r="D1929" s="0" t="n">
        <v>922755</v>
      </c>
      <c r="E1929" s="0" t="s">
        <v>960</v>
      </c>
      <c r="F1929" s="0" t="s">
        <v>524</v>
      </c>
      <c r="G1929" s="0" t="s">
        <v>190</v>
      </c>
      <c r="H1929" s="0" t="s">
        <v>1333</v>
      </c>
    </row>
    <row r="1930" customFormat="false" ht="15" hidden="false" customHeight="false" outlineLevel="0" collapsed="false">
      <c r="A1930" s="0" t="s">
        <v>187</v>
      </c>
      <c r="B1930" s="0" t="n">
        <v>2015</v>
      </c>
      <c r="C1930" s="0" t="s">
        <v>60</v>
      </c>
      <c r="D1930" s="0" t="n">
        <v>370949</v>
      </c>
      <c r="E1930" s="0" t="s">
        <v>643</v>
      </c>
      <c r="F1930" s="0" t="s">
        <v>524</v>
      </c>
      <c r="G1930" s="0" t="s">
        <v>190</v>
      </c>
      <c r="H1930" s="0" t="s">
        <v>1334</v>
      </c>
    </row>
    <row r="1931" customFormat="false" ht="15" hidden="false" customHeight="false" outlineLevel="0" collapsed="false">
      <c r="A1931" s="0" t="s">
        <v>187</v>
      </c>
      <c r="B1931" s="0" t="n">
        <v>2015</v>
      </c>
      <c r="C1931" s="0" t="s">
        <v>61</v>
      </c>
      <c r="D1931" s="0" t="n">
        <v>21965</v>
      </c>
      <c r="E1931" s="0" t="s">
        <v>643</v>
      </c>
      <c r="F1931" s="0" t="s">
        <v>524</v>
      </c>
      <c r="G1931" s="0" t="s">
        <v>190</v>
      </c>
      <c r="H1931" s="0" t="s">
        <v>1335</v>
      </c>
    </row>
    <row r="1932" customFormat="false" ht="15" hidden="false" customHeight="false" outlineLevel="0" collapsed="false">
      <c r="A1932" s="0" t="s">
        <v>187</v>
      </c>
      <c r="B1932" s="0" t="n">
        <v>2015</v>
      </c>
      <c r="C1932" s="0" t="s">
        <v>62</v>
      </c>
      <c r="D1932" s="0" t="n">
        <v>348984</v>
      </c>
      <c r="E1932" s="0" t="s">
        <v>643</v>
      </c>
      <c r="F1932" s="0" t="s">
        <v>524</v>
      </c>
      <c r="G1932" s="0" t="s">
        <v>190</v>
      </c>
      <c r="H1932" s="0" t="s">
        <v>1336</v>
      </c>
    </row>
    <row r="1933" customFormat="false" ht="15" hidden="false" customHeight="false" outlineLevel="0" collapsed="false">
      <c r="A1933" s="0" t="s">
        <v>187</v>
      </c>
      <c r="B1933" s="0" t="n">
        <v>2015</v>
      </c>
      <c r="C1933" s="0" t="s">
        <v>63</v>
      </c>
      <c r="D1933" s="0" t="n">
        <v>9177</v>
      </c>
      <c r="E1933" s="0" t="s">
        <v>962</v>
      </c>
      <c r="F1933" s="0" t="s">
        <v>524</v>
      </c>
      <c r="G1933" s="0" t="s">
        <v>190</v>
      </c>
      <c r="H1933" s="0" t="s">
        <v>1337</v>
      </c>
    </row>
    <row r="1934" customFormat="false" ht="15" hidden="false" customHeight="false" outlineLevel="0" collapsed="false">
      <c r="A1934" s="0" t="s">
        <v>187</v>
      </c>
      <c r="B1934" s="0" t="n">
        <v>2015</v>
      </c>
      <c r="C1934" s="0" t="s">
        <v>307</v>
      </c>
      <c r="D1934" s="0" t="n">
        <v>9881</v>
      </c>
      <c r="E1934" s="0" t="s">
        <v>643</v>
      </c>
      <c r="F1934" s="0" t="s">
        <v>524</v>
      </c>
      <c r="G1934" s="0" t="s">
        <v>190</v>
      </c>
      <c r="H1934" s="0" t="s">
        <v>1338</v>
      </c>
    </row>
    <row r="1935" customFormat="false" ht="15" hidden="false" customHeight="false" outlineLevel="0" collapsed="false">
      <c r="A1935" s="0" t="s">
        <v>187</v>
      </c>
      <c r="B1935" s="0" t="n">
        <v>2015</v>
      </c>
      <c r="C1935" s="0" t="s">
        <v>1038</v>
      </c>
      <c r="D1935" s="0" t="n">
        <v>-704</v>
      </c>
      <c r="E1935" s="0" t="s">
        <v>643</v>
      </c>
      <c r="F1935" s="0" t="s">
        <v>524</v>
      </c>
      <c r="G1935" s="0" t="s">
        <v>190</v>
      </c>
      <c r="H1935" s="0" t="s">
        <v>1339</v>
      </c>
    </row>
    <row r="1936" customFormat="false" ht="15" hidden="false" customHeight="false" outlineLevel="0" collapsed="false">
      <c r="A1936" s="0" t="s">
        <v>187</v>
      </c>
      <c r="B1936" s="0" t="n">
        <v>2015</v>
      </c>
      <c r="C1936" s="0" t="s">
        <v>69</v>
      </c>
      <c r="D1936" s="0" t="n">
        <v>15.9</v>
      </c>
      <c r="E1936" s="0" t="s">
        <v>643</v>
      </c>
      <c r="F1936" s="0" t="s">
        <v>524</v>
      </c>
      <c r="G1936" s="0" t="s">
        <v>190</v>
      </c>
      <c r="H1936" s="0" t="s">
        <v>1340</v>
      </c>
    </row>
    <row r="1937" customFormat="false" ht="15" hidden="false" customHeight="false" outlineLevel="0" collapsed="false">
      <c r="A1937" s="0" t="s">
        <v>187</v>
      </c>
      <c r="B1937" s="0" t="n">
        <v>2015</v>
      </c>
      <c r="C1937" s="0" t="s">
        <v>65</v>
      </c>
      <c r="D1937" s="0" t="n">
        <v>93697</v>
      </c>
      <c r="E1937" s="0" t="s">
        <v>643</v>
      </c>
      <c r="F1937" s="0" t="s">
        <v>524</v>
      </c>
      <c r="G1937" s="0" t="s">
        <v>190</v>
      </c>
      <c r="H1937" s="0" t="s">
        <v>1341</v>
      </c>
    </row>
    <row r="1938" customFormat="false" ht="15" hidden="false" customHeight="false" outlineLevel="0" collapsed="false">
      <c r="A1938" s="0" t="s">
        <v>187</v>
      </c>
      <c r="B1938" s="0" t="n">
        <v>2015</v>
      </c>
      <c r="C1938" s="0" t="s">
        <v>66</v>
      </c>
      <c r="D1938" s="0" t="n">
        <v>587515</v>
      </c>
      <c r="E1938" s="0" t="s">
        <v>643</v>
      </c>
      <c r="F1938" s="0" t="s">
        <v>524</v>
      </c>
      <c r="G1938" s="0" t="s">
        <v>190</v>
      </c>
      <c r="H1938" s="0" t="s">
        <v>1342</v>
      </c>
    </row>
    <row r="1939" customFormat="false" ht="15" hidden="false" customHeight="false" outlineLevel="0" collapsed="false">
      <c r="A1939" s="0" t="s">
        <v>187</v>
      </c>
      <c r="B1939" s="0" t="n">
        <v>2015</v>
      </c>
      <c r="C1939" s="0" t="s">
        <v>541</v>
      </c>
      <c r="D1939" s="0" t="n">
        <v>18455</v>
      </c>
      <c r="E1939" s="0" t="s">
        <v>643</v>
      </c>
      <c r="F1939" s="0" t="s">
        <v>524</v>
      </c>
      <c r="G1939" s="0" t="s">
        <v>190</v>
      </c>
      <c r="H1939" s="0" t="s">
        <v>1343</v>
      </c>
    </row>
    <row r="1940" customFormat="false" ht="15" hidden="false" customHeight="false" outlineLevel="0" collapsed="false">
      <c r="A1940" s="0" t="s">
        <v>187</v>
      </c>
      <c r="B1940" s="0" t="n">
        <v>2015</v>
      </c>
      <c r="C1940" s="0" t="s">
        <v>543</v>
      </c>
      <c r="D1940" s="0" t="n">
        <v>11565</v>
      </c>
      <c r="E1940" s="0" t="s">
        <v>643</v>
      </c>
      <c r="F1940" s="0" t="s">
        <v>524</v>
      </c>
      <c r="G1940" s="0" t="s">
        <v>190</v>
      </c>
      <c r="H1940" s="0" t="s">
        <v>1344</v>
      </c>
    </row>
    <row r="1941" customFormat="false" ht="15" hidden="false" customHeight="false" outlineLevel="0" collapsed="false">
      <c r="A1941" s="0" t="s">
        <v>187</v>
      </c>
      <c r="B1941" s="0" t="n">
        <v>2015</v>
      </c>
      <c r="C1941" s="0" t="s">
        <v>545</v>
      </c>
      <c r="D1941" s="0" t="n">
        <v>10400</v>
      </c>
      <c r="E1941" s="0" t="s">
        <v>643</v>
      </c>
      <c r="F1941" s="0" t="s">
        <v>524</v>
      </c>
      <c r="G1941" s="0" t="s">
        <v>190</v>
      </c>
      <c r="H1941" s="0" t="s">
        <v>1345</v>
      </c>
    </row>
    <row r="1942" customFormat="false" ht="15" hidden="false" customHeight="false" outlineLevel="0" collapsed="false">
      <c r="A1942" s="0" t="s">
        <v>187</v>
      </c>
      <c r="B1942" s="0" t="n">
        <v>2015</v>
      </c>
      <c r="C1942" s="0" t="s">
        <v>19</v>
      </c>
      <c r="D1942" s="0" t="n">
        <v>961865.5</v>
      </c>
      <c r="E1942" s="0" t="s">
        <v>522</v>
      </c>
    </row>
    <row r="1943" customFormat="false" ht="15" hidden="false" customHeight="false" outlineLevel="0" collapsed="false">
      <c r="A1943" s="0" t="s">
        <v>187</v>
      </c>
      <c r="B1943" s="0" t="n">
        <v>2015</v>
      </c>
      <c r="C1943" s="0" t="s">
        <v>41</v>
      </c>
      <c r="D1943" s="0" t="n">
        <v>1.87500227422649</v>
      </c>
      <c r="E1943" s="0" t="s">
        <v>522</v>
      </c>
    </row>
    <row r="1944" customFormat="false" ht="15" hidden="false" customHeight="false" outlineLevel="0" collapsed="false">
      <c r="A1944" s="0" t="s">
        <v>187</v>
      </c>
      <c r="B1944" s="0" t="n">
        <v>2015</v>
      </c>
      <c r="C1944" s="0" t="s">
        <v>27</v>
      </c>
      <c r="D1944" s="0" t="n">
        <v>23.3279319384281</v>
      </c>
      <c r="E1944" s="0" t="s">
        <v>522</v>
      </c>
    </row>
    <row r="1945" customFormat="false" ht="15" hidden="false" customHeight="false" outlineLevel="0" collapsed="false">
      <c r="A1945" s="0" t="s">
        <v>187</v>
      </c>
      <c r="B1945" s="0" t="n">
        <v>2015</v>
      </c>
      <c r="C1945" s="0" t="s">
        <v>39</v>
      </c>
      <c r="D1945" s="0" t="n">
        <v>1.1410119190261</v>
      </c>
      <c r="E1945" s="0" t="s">
        <v>522</v>
      </c>
    </row>
    <row r="1946" customFormat="false" ht="15" hidden="false" customHeight="false" outlineLevel="0" collapsed="false">
      <c r="A1946" s="0" t="s">
        <v>187</v>
      </c>
      <c r="B1946" s="0" t="n">
        <v>2015</v>
      </c>
      <c r="C1946" s="0" t="s">
        <v>17</v>
      </c>
      <c r="D1946" s="0" t="n">
        <v>5.92129915433119</v>
      </c>
      <c r="E1946" s="0" t="s">
        <v>522</v>
      </c>
    </row>
    <row r="1947" customFormat="false" ht="15" hidden="false" customHeight="false" outlineLevel="0" collapsed="false">
      <c r="A1947" s="0" t="s">
        <v>187</v>
      </c>
      <c r="B1947" s="0" t="n">
        <v>2015</v>
      </c>
      <c r="C1947" s="0" t="s">
        <v>25</v>
      </c>
      <c r="D1947" s="0" t="n">
        <v>15.9480183484677</v>
      </c>
      <c r="E1947" s="0" t="s">
        <v>522</v>
      </c>
    </row>
    <row r="1948" customFormat="false" ht="15" hidden="false" customHeight="false" outlineLevel="0" collapsed="false">
      <c r="A1948" s="0" t="s">
        <v>187</v>
      </c>
      <c r="B1948" s="0" t="n">
        <v>2015</v>
      </c>
      <c r="C1948" s="0" t="s">
        <v>29</v>
      </c>
      <c r="D1948" s="0" t="n">
        <v>0.954083497120959</v>
      </c>
      <c r="E1948" s="0" t="s">
        <v>522</v>
      </c>
    </row>
    <row r="1949" customFormat="false" ht="15" hidden="false" customHeight="false" outlineLevel="0" collapsed="false">
      <c r="A1949" s="0" t="s">
        <v>187</v>
      </c>
      <c r="B1949" s="0" t="n">
        <v>2015</v>
      </c>
      <c r="C1949" s="0" t="s">
        <v>43</v>
      </c>
      <c r="D1949" s="0" t="n">
        <v>1.80174150029571</v>
      </c>
      <c r="E1949" s="0" t="s">
        <v>522</v>
      </c>
    </row>
    <row r="1950" customFormat="false" ht="15" hidden="false" customHeight="false" outlineLevel="0" collapsed="false">
      <c r="A1950" s="0" t="s">
        <v>187</v>
      </c>
      <c r="B1950" s="0" t="n">
        <v>2015</v>
      </c>
      <c r="C1950" s="0" t="s">
        <v>31</v>
      </c>
      <c r="D1950" s="0" t="n">
        <v>76.6720680615719</v>
      </c>
      <c r="E1950" s="0" t="s">
        <v>522</v>
      </c>
    </row>
    <row r="1951" customFormat="false" ht="15" hidden="false" customHeight="false" outlineLevel="0" collapsed="false">
      <c r="A1951" s="0" t="s">
        <v>187</v>
      </c>
      <c r="B1951" s="0" t="n">
        <v>2015</v>
      </c>
      <c r="C1951" s="0" t="s">
        <v>33</v>
      </c>
      <c r="D1951" s="0" t="n">
        <v>13.816486081986</v>
      </c>
      <c r="E1951" s="0" t="s">
        <v>522</v>
      </c>
    </row>
    <row r="1952" customFormat="false" ht="15" hidden="false" customHeight="false" outlineLevel="0" collapsed="false">
      <c r="A1952" s="0" t="s">
        <v>187</v>
      </c>
      <c r="B1952" s="0" t="n">
        <v>2015</v>
      </c>
      <c r="C1952" s="0" t="s">
        <v>21</v>
      </c>
      <c r="D1952" s="0" t="n">
        <v>0</v>
      </c>
      <c r="E1952" s="0" t="s">
        <v>522</v>
      </c>
    </row>
    <row r="1953" customFormat="false" ht="15" hidden="false" customHeight="false" outlineLevel="0" collapsed="false">
      <c r="A1953" s="0" t="s">
        <v>187</v>
      </c>
      <c r="B1953" s="0" t="n">
        <v>2015</v>
      </c>
      <c r="C1953" s="0" t="s">
        <v>35</v>
      </c>
      <c r="D1953" s="0" t="n">
        <v>0</v>
      </c>
      <c r="E1953" s="0" t="s">
        <v>522</v>
      </c>
    </row>
    <row r="1954" customFormat="false" ht="15" hidden="false" customHeight="false" outlineLevel="0" collapsed="false">
      <c r="A1954" s="0" t="s">
        <v>187</v>
      </c>
      <c r="B1954" s="0" t="n">
        <v>2016</v>
      </c>
      <c r="C1954" s="0" t="s">
        <v>54</v>
      </c>
      <c r="D1954" s="0" t="n">
        <v>15885</v>
      </c>
      <c r="E1954" s="0" t="s">
        <v>523</v>
      </c>
      <c r="F1954" s="0" t="s">
        <v>524</v>
      </c>
      <c r="G1954" s="0" t="s">
        <v>87</v>
      </c>
      <c r="H1954" s="0" t="s">
        <v>1346</v>
      </c>
    </row>
    <row r="1955" customFormat="false" ht="15" hidden="false" customHeight="false" outlineLevel="0" collapsed="false">
      <c r="A1955" s="0" t="s">
        <v>187</v>
      </c>
      <c r="B1955" s="0" t="n">
        <v>2016</v>
      </c>
      <c r="C1955" s="0" t="s">
        <v>55</v>
      </c>
      <c r="D1955" s="0" t="n">
        <v>1123483</v>
      </c>
      <c r="E1955" s="0" t="s">
        <v>539</v>
      </c>
      <c r="F1955" s="0" t="s">
        <v>524</v>
      </c>
      <c r="G1955" s="0" t="s">
        <v>87</v>
      </c>
      <c r="H1955" s="0" t="s">
        <v>1347</v>
      </c>
    </row>
    <row r="1956" customFormat="false" ht="15" hidden="false" customHeight="false" outlineLevel="0" collapsed="false">
      <c r="A1956" s="0" t="s">
        <v>187</v>
      </c>
      <c r="B1956" s="0" t="n">
        <v>2016</v>
      </c>
      <c r="C1956" s="0" t="s">
        <v>56</v>
      </c>
      <c r="D1956" s="0" t="n">
        <v>872144</v>
      </c>
      <c r="E1956" s="0" t="s">
        <v>539</v>
      </c>
      <c r="F1956" s="0" t="s">
        <v>524</v>
      </c>
      <c r="G1956" s="0" t="s">
        <v>87</v>
      </c>
      <c r="H1956" s="0" t="s">
        <v>1348</v>
      </c>
    </row>
    <row r="1957" customFormat="false" ht="15" hidden="false" customHeight="false" outlineLevel="0" collapsed="false">
      <c r="A1957" s="0" t="s">
        <v>187</v>
      </c>
      <c r="B1957" s="0" t="n">
        <v>2016</v>
      </c>
      <c r="C1957" s="0" t="s">
        <v>57</v>
      </c>
      <c r="D1957" s="0" t="n">
        <v>251339</v>
      </c>
      <c r="E1957" s="0" t="s">
        <v>539</v>
      </c>
      <c r="F1957" s="0" t="s">
        <v>524</v>
      </c>
      <c r="G1957" s="0" t="s">
        <v>87</v>
      </c>
      <c r="H1957" s="0" t="s">
        <v>1349</v>
      </c>
    </row>
    <row r="1958" customFormat="false" ht="15" hidden="false" customHeight="false" outlineLevel="0" collapsed="false">
      <c r="A1958" s="0" t="s">
        <v>187</v>
      </c>
      <c r="B1958" s="0" t="n">
        <v>2016</v>
      </c>
      <c r="C1958" s="0" t="s">
        <v>58</v>
      </c>
      <c r="D1958" s="0" t="n">
        <v>-70133</v>
      </c>
      <c r="E1958" s="0" t="s">
        <v>523</v>
      </c>
      <c r="F1958" s="0" t="s">
        <v>524</v>
      </c>
      <c r="G1958" s="0" t="s">
        <v>87</v>
      </c>
      <c r="H1958" s="0" t="s">
        <v>1350</v>
      </c>
    </row>
    <row r="1959" customFormat="false" ht="15" hidden="false" customHeight="false" outlineLevel="0" collapsed="false">
      <c r="A1959" s="0" t="s">
        <v>187</v>
      </c>
      <c r="B1959" s="0" t="n">
        <v>2016</v>
      </c>
      <c r="C1959" s="0" t="s">
        <v>59</v>
      </c>
      <c r="D1959" s="0" t="n">
        <v>1000976</v>
      </c>
      <c r="E1959" s="0" t="s">
        <v>539</v>
      </c>
      <c r="F1959" s="0" t="s">
        <v>524</v>
      </c>
      <c r="G1959" s="0" t="s">
        <v>87</v>
      </c>
      <c r="H1959" s="0" t="s">
        <v>1351</v>
      </c>
    </row>
    <row r="1960" customFormat="false" ht="15" hidden="false" customHeight="false" outlineLevel="0" collapsed="false">
      <c r="A1960" s="0" t="s">
        <v>187</v>
      </c>
      <c r="B1960" s="0" t="n">
        <v>2016</v>
      </c>
      <c r="C1960" s="0" t="s">
        <v>60</v>
      </c>
      <c r="D1960" s="0" t="n">
        <v>518349</v>
      </c>
      <c r="E1960" s="0" t="s">
        <v>523</v>
      </c>
      <c r="F1960" s="0" t="s">
        <v>524</v>
      </c>
      <c r="G1960" s="0" t="s">
        <v>87</v>
      </c>
      <c r="H1960" s="0" t="s">
        <v>1352</v>
      </c>
    </row>
    <row r="1961" customFormat="false" ht="15" hidden="false" customHeight="false" outlineLevel="0" collapsed="false">
      <c r="A1961" s="0" t="s">
        <v>187</v>
      </c>
      <c r="B1961" s="0" t="n">
        <v>2016</v>
      </c>
      <c r="C1961" s="0" t="s">
        <v>61</v>
      </c>
      <c r="D1961" s="0" t="n">
        <v>28459</v>
      </c>
      <c r="E1961" s="0" t="s">
        <v>523</v>
      </c>
      <c r="F1961" s="0" t="s">
        <v>524</v>
      </c>
      <c r="G1961" s="0" t="s">
        <v>87</v>
      </c>
      <c r="H1961" s="0" t="s">
        <v>1353</v>
      </c>
    </row>
    <row r="1962" customFormat="false" ht="15" hidden="false" customHeight="false" outlineLevel="0" collapsed="false">
      <c r="A1962" s="0" t="s">
        <v>187</v>
      </c>
      <c r="B1962" s="0" t="n">
        <v>2016</v>
      </c>
      <c r="C1962" s="0" t="s">
        <v>62</v>
      </c>
      <c r="D1962" s="0" t="n">
        <v>489890</v>
      </c>
      <c r="E1962" s="0" t="s">
        <v>523</v>
      </c>
      <c r="F1962" s="0" t="s">
        <v>524</v>
      </c>
      <c r="G1962" s="0" t="s">
        <v>87</v>
      </c>
      <c r="H1962" s="0" t="s">
        <v>1354</v>
      </c>
    </row>
    <row r="1963" customFormat="false" ht="15" hidden="false" customHeight="false" outlineLevel="0" collapsed="false">
      <c r="A1963" s="0" t="s">
        <v>187</v>
      </c>
      <c r="B1963" s="0" t="n">
        <v>2016</v>
      </c>
      <c r="C1963" s="0" t="s">
        <v>63</v>
      </c>
      <c r="D1963" s="0" t="n">
        <v>15769</v>
      </c>
      <c r="E1963" s="0" t="s">
        <v>979</v>
      </c>
      <c r="F1963" s="0" t="s">
        <v>524</v>
      </c>
      <c r="G1963" s="0" t="s">
        <v>87</v>
      </c>
      <c r="H1963" s="0" t="s">
        <v>1355</v>
      </c>
    </row>
    <row r="1964" customFormat="false" ht="15" hidden="false" customHeight="false" outlineLevel="0" collapsed="false">
      <c r="A1964" s="0" t="s">
        <v>187</v>
      </c>
      <c r="B1964" s="0" t="n">
        <v>2016</v>
      </c>
      <c r="C1964" s="0" t="s">
        <v>307</v>
      </c>
      <c r="D1964" s="0" t="n">
        <v>16486</v>
      </c>
      <c r="E1964" s="0" t="s">
        <v>523</v>
      </c>
      <c r="F1964" s="0" t="s">
        <v>524</v>
      </c>
      <c r="G1964" s="0" t="s">
        <v>87</v>
      </c>
      <c r="H1964" s="0" t="s">
        <v>1356</v>
      </c>
    </row>
    <row r="1965" customFormat="false" ht="15" hidden="false" customHeight="false" outlineLevel="0" collapsed="false">
      <c r="A1965" s="0" t="s">
        <v>187</v>
      </c>
      <c r="B1965" s="0" t="n">
        <v>2016</v>
      </c>
      <c r="C1965" s="0" t="s">
        <v>1038</v>
      </c>
      <c r="D1965" s="0" t="n">
        <v>-717</v>
      </c>
      <c r="E1965" s="0" t="s">
        <v>523</v>
      </c>
      <c r="F1965" s="0" t="s">
        <v>524</v>
      </c>
      <c r="G1965" s="0" t="s">
        <v>87</v>
      </c>
      <c r="H1965" s="0" t="s">
        <v>1357</v>
      </c>
    </row>
    <row r="1966" customFormat="false" ht="15" hidden="false" customHeight="false" outlineLevel="0" collapsed="false">
      <c r="A1966" s="0" t="s">
        <v>187</v>
      </c>
      <c r="B1966" s="0" t="n">
        <v>2016</v>
      </c>
      <c r="C1966" s="0" t="s">
        <v>69</v>
      </c>
      <c r="D1966" s="0" t="n">
        <v>13.3</v>
      </c>
      <c r="E1966" s="0" t="s">
        <v>523</v>
      </c>
      <c r="F1966" s="0" t="s">
        <v>524</v>
      </c>
      <c r="G1966" s="0" t="s">
        <v>87</v>
      </c>
      <c r="H1966" s="0" t="s">
        <v>1358</v>
      </c>
    </row>
    <row r="1967" customFormat="false" ht="15" hidden="false" customHeight="false" outlineLevel="0" collapsed="false">
      <c r="A1967" s="0" t="s">
        <v>187</v>
      </c>
      <c r="B1967" s="0" t="n">
        <v>2016</v>
      </c>
      <c r="C1967" s="0" t="s">
        <v>70</v>
      </c>
      <c r="D1967" s="0" t="n">
        <v>15</v>
      </c>
      <c r="E1967" s="0" t="s">
        <v>523</v>
      </c>
      <c r="F1967" s="0" t="s">
        <v>524</v>
      </c>
      <c r="G1967" s="0" t="s">
        <v>87</v>
      </c>
      <c r="H1967" s="0" t="s">
        <v>1359</v>
      </c>
    </row>
    <row r="1968" customFormat="false" ht="15" hidden="false" customHeight="false" outlineLevel="0" collapsed="false">
      <c r="A1968" s="0" t="s">
        <v>187</v>
      </c>
      <c r="B1968" s="0" t="n">
        <v>2016</v>
      </c>
      <c r="C1968" s="0" t="s">
        <v>65</v>
      </c>
      <c r="D1968" s="0" t="n">
        <v>96309</v>
      </c>
      <c r="E1968" s="0" t="s">
        <v>523</v>
      </c>
      <c r="F1968" s="0" t="s">
        <v>524</v>
      </c>
      <c r="G1968" s="0" t="s">
        <v>87</v>
      </c>
      <c r="H1968" s="0" t="s">
        <v>1360</v>
      </c>
    </row>
    <row r="1969" customFormat="false" ht="15" hidden="false" customHeight="false" outlineLevel="0" collapsed="false">
      <c r="A1969" s="0" t="s">
        <v>187</v>
      </c>
      <c r="B1969" s="0" t="n">
        <v>2016</v>
      </c>
      <c r="C1969" s="0" t="s">
        <v>66</v>
      </c>
      <c r="D1969" s="0" t="n">
        <v>724660</v>
      </c>
      <c r="E1969" s="0" t="s">
        <v>523</v>
      </c>
      <c r="F1969" s="0" t="s">
        <v>524</v>
      </c>
      <c r="G1969" s="0" t="s">
        <v>87</v>
      </c>
      <c r="H1969" s="0" t="s">
        <v>1361</v>
      </c>
    </row>
    <row r="1970" customFormat="false" ht="15" hidden="false" customHeight="false" outlineLevel="0" collapsed="false">
      <c r="A1970" s="0" t="s">
        <v>187</v>
      </c>
      <c r="B1970" s="0" t="n">
        <v>2016</v>
      </c>
      <c r="C1970" s="0" t="s">
        <v>73</v>
      </c>
      <c r="D1970" s="0" t="n">
        <v>0</v>
      </c>
      <c r="E1970" s="0" t="s">
        <v>539</v>
      </c>
      <c r="F1970" s="0" t="s">
        <v>524</v>
      </c>
      <c r="G1970" s="0" t="s">
        <v>87</v>
      </c>
      <c r="H1970" s="0" t="s">
        <v>1362</v>
      </c>
    </row>
    <row r="1971" customFormat="false" ht="15" hidden="false" customHeight="false" outlineLevel="0" collapsed="false">
      <c r="A1971" s="0" t="s">
        <v>187</v>
      </c>
      <c r="B1971" s="0" t="n">
        <v>2016</v>
      </c>
      <c r="C1971" s="0" t="s">
        <v>541</v>
      </c>
      <c r="D1971" s="0" t="n">
        <v>16053</v>
      </c>
      <c r="E1971" s="0" t="s">
        <v>523</v>
      </c>
      <c r="F1971" s="0" t="s">
        <v>524</v>
      </c>
      <c r="G1971" s="0" t="s">
        <v>87</v>
      </c>
      <c r="H1971" s="0" t="s">
        <v>1363</v>
      </c>
    </row>
    <row r="1972" customFormat="false" ht="15" hidden="false" customHeight="false" outlineLevel="0" collapsed="false">
      <c r="A1972" s="0" t="s">
        <v>187</v>
      </c>
      <c r="B1972" s="0" t="n">
        <v>2016</v>
      </c>
      <c r="C1972" s="0" t="s">
        <v>543</v>
      </c>
      <c r="D1972" s="0" t="n">
        <v>14887</v>
      </c>
      <c r="E1972" s="0" t="s">
        <v>523</v>
      </c>
      <c r="F1972" s="0" t="s">
        <v>524</v>
      </c>
      <c r="G1972" s="0" t="s">
        <v>87</v>
      </c>
      <c r="H1972" s="0" t="s">
        <v>1364</v>
      </c>
    </row>
    <row r="1973" customFormat="false" ht="15" hidden="false" customHeight="false" outlineLevel="0" collapsed="false">
      <c r="A1973" s="0" t="s">
        <v>187</v>
      </c>
      <c r="B1973" s="0" t="n">
        <v>2016</v>
      </c>
      <c r="C1973" s="0" t="s">
        <v>545</v>
      </c>
      <c r="D1973" s="0" t="n">
        <v>13572</v>
      </c>
      <c r="E1973" s="0" t="s">
        <v>523</v>
      </c>
      <c r="F1973" s="0" t="s">
        <v>524</v>
      </c>
      <c r="G1973" s="0" t="s">
        <v>87</v>
      </c>
      <c r="H1973" s="0" t="s">
        <v>1365</v>
      </c>
    </row>
    <row r="1974" customFormat="false" ht="15" hidden="false" customHeight="false" outlineLevel="0" collapsed="false">
      <c r="A1974" s="0" t="s">
        <v>187</v>
      </c>
      <c r="B1974" s="0" t="n">
        <v>2016</v>
      </c>
      <c r="C1974" s="0" t="s">
        <v>19</v>
      </c>
      <c r="D1974" s="0" t="n">
        <v>1062229.5</v>
      </c>
      <c r="E1974" s="0" t="s">
        <v>522</v>
      </c>
    </row>
    <row r="1975" customFormat="false" ht="15" hidden="false" customHeight="false" outlineLevel="0" collapsed="false">
      <c r="A1975" s="0" t="s">
        <v>187</v>
      </c>
      <c r="B1975" s="0" t="n">
        <v>2016</v>
      </c>
      <c r="C1975" s="0" t="s">
        <v>41</v>
      </c>
      <c r="D1975" s="0" t="n">
        <v>1.49543954484412</v>
      </c>
      <c r="E1975" s="0" t="s">
        <v>522</v>
      </c>
    </row>
    <row r="1976" customFormat="false" ht="15" hidden="false" customHeight="false" outlineLevel="0" collapsed="false">
      <c r="A1976" s="0" t="s">
        <v>187</v>
      </c>
      <c r="B1976" s="0" t="n">
        <v>2016</v>
      </c>
      <c r="C1976" s="0" t="s">
        <v>27</v>
      </c>
      <c r="D1976" s="0" t="n">
        <v>22.3714110493884</v>
      </c>
      <c r="E1976" s="0" t="s">
        <v>522</v>
      </c>
    </row>
    <row r="1977" customFormat="false" ht="15" hidden="false" customHeight="false" outlineLevel="0" collapsed="false">
      <c r="A1977" s="0" t="s">
        <v>187</v>
      </c>
      <c r="B1977" s="0" t="n">
        <v>2016</v>
      </c>
      <c r="C1977" s="0" t="s">
        <v>39</v>
      </c>
      <c r="D1977" s="0" t="n">
        <v>-6.60243384315725</v>
      </c>
      <c r="E1977" s="0" t="s">
        <v>522</v>
      </c>
    </row>
    <row r="1978" customFormat="false" ht="15" hidden="false" customHeight="false" outlineLevel="0" collapsed="false">
      <c r="A1978" s="0" t="s">
        <v>187</v>
      </c>
      <c r="B1978" s="0" t="n">
        <v>2016</v>
      </c>
      <c r="C1978" s="0" t="s">
        <v>17</v>
      </c>
      <c r="D1978" s="0" t="n">
        <v>5.49031636985892</v>
      </c>
      <c r="E1978" s="0" t="s">
        <v>522</v>
      </c>
    </row>
    <row r="1979" customFormat="false" ht="15" hidden="false" customHeight="false" outlineLevel="0" collapsed="false">
      <c r="A1979" s="0" t="s">
        <v>187</v>
      </c>
      <c r="B1979" s="0" t="n">
        <v>2016</v>
      </c>
      <c r="C1979" s="0" t="s">
        <v>25</v>
      </c>
      <c r="D1979" s="0" t="n">
        <v>13.2902326608341</v>
      </c>
      <c r="E1979" s="0" t="s">
        <v>522</v>
      </c>
    </row>
    <row r="1980" customFormat="false" ht="15" hidden="false" customHeight="false" outlineLevel="0" collapsed="false">
      <c r="A1980" s="0" t="s">
        <v>187</v>
      </c>
      <c r="B1980" s="0" t="n">
        <v>2016</v>
      </c>
      <c r="C1980" s="0" t="s">
        <v>29</v>
      </c>
      <c r="D1980" s="0" t="n">
        <v>1.48451911757299</v>
      </c>
      <c r="E1980" s="0" t="s">
        <v>522</v>
      </c>
    </row>
    <row r="1981" customFormat="false" ht="15" hidden="false" customHeight="false" outlineLevel="0" collapsed="false">
      <c r="A1981" s="0" t="s">
        <v>187</v>
      </c>
      <c r="B1981" s="0" t="n">
        <v>2016</v>
      </c>
      <c r="C1981" s="0" t="s">
        <v>43</v>
      </c>
      <c r="D1981" s="0" t="n">
        <v>1.4139065744653</v>
      </c>
      <c r="E1981" s="0" t="s">
        <v>522</v>
      </c>
    </row>
    <row r="1982" customFormat="false" ht="15" hidden="false" customHeight="false" outlineLevel="0" collapsed="false">
      <c r="A1982" s="0" t="s">
        <v>187</v>
      </c>
      <c r="B1982" s="0" t="n">
        <v>2016</v>
      </c>
      <c r="C1982" s="0" t="s">
        <v>31</v>
      </c>
      <c r="D1982" s="0" t="n">
        <v>77.6285889506116</v>
      </c>
      <c r="E1982" s="0" t="s">
        <v>522</v>
      </c>
    </row>
    <row r="1983" customFormat="false" ht="15" hidden="false" customHeight="false" outlineLevel="0" collapsed="false">
      <c r="A1983" s="0" t="s">
        <v>187</v>
      </c>
      <c r="B1983" s="0" t="n">
        <v>2016</v>
      </c>
      <c r="C1983" s="0" t="s">
        <v>33</v>
      </c>
      <c r="D1983" s="0" t="n">
        <v>13.9319442392069</v>
      </c>
      <c r="E1983" s="0" t="s">
        <v>522</v>
      </c>
    </row>
    <row r="1984" customFormat="false" ht="15" hidden="false" customHeight="false" outlineLevel="0" collapsed="false">
      <c r="A1984" s="0" t="s">
        <v>187</v>
      </c>
      <c r="B1984" s="0" t="n">
        <v>2016</v>
      </c>
      <c r="C1984" s="0" t="s">
        <v>21</v>
      </c>
      <c r="D1984" s="0" t="n">
        <v>0</v>
      </c>
      <c r="E1984" s="0" t="s">
        <v>522</v>
      </c>
    </row>
    <row r="1985" customFormat="false" ht="15" hidden="false" customHeight="false" outlineLevel="0" collapsed="false">
      <c r="A1985" s="0" t="s">
        <v>187</v>
      </c>
      <c r="B1985" s="0" t="n">
        <v>2016</v>
      </c>
      <c r="C1985" s="0" t="s">
        <v>35</v>
      </c>
      <c r="D1985" s="0" t="n">
        <v>0</v>
      </c>
      <c r="E1985" s="0" t="s">
        <v>522</v>
      </c>
    </row>
    <row r="1986" customFormat="false" ht="15" hidden="false" customHeight="false" outlineLevel="0" collapsed="false">
      <c r="A1986" s="0" t="s">
        <v>187</v>
      </c>
      <c r="B1986" s="0" t="n">
        <v>2017</v>
      </c>
      <c r="C1986" s="0" t="s">
        <v>54</v>
      </c>
      <c r="D1986" s="0" t="n">
        <v>11239</v>
      </c>
      <c r="E1986" s="0" t="s">
        <v>521</v>
      </c>
      <c r="G1986" s="0" t="s">
        <v>192</v>
      </c>
    </row>
    <row r="1987" customFormat="false" ht="15" hidden="false" customHeight="false" outlineLevel="0" collapsed="false">
      <c r="A1987" s="0" t="s">
        <v>187</v>
      </c>
      <c r="B1987" s="0" t="n">
        <v>2017</v>
      </c>
      <c r="C1987" s="0" t="s">
        <v>55</v>
      </c>
      <c r="D1987" s="0" t="n">
        <v>1334921</v>
      </c>
      <c r="E1987" s="0" t="s">
        <v>521</v>
      </c>
      <c r="G1987" s="0" t="s">
        <v>192</v>
      </c>
    </row>
    <row r="1988" customFormat="false" ht="15" hidden="false" customHeight="false" outlineLevel="0" collapsed="false">
      <c r="A1988" s="0" t="s">
        <v>187</v>
      </c>
      <c r="B1988" s="0" t="n">
        <v>2017</v>
      </c>
      <c r="C1988" s="0" t="s">
        <v>56</v>
      </c>
      <c r="D1988" s="0" t="n">
        <v>1015802</v>
      </c>
      <c r="E1988" s="0" t="s">
        <v>521</v>
      </c>
      <c r="G1988" s="0" t="s">
        <v>192</v>
      </c>
    </row>
    <row r="1989" customFormat="false" ht="15" hidden="false" customHeight="false" outlineLevel="0" collapsed="false">
      <c r="A1989" s="0" t="s">
        <v>187</v>
      </c>
      <c r="B1989" s="0" t="n">
        <v>2017</v>
      </c>
      <c r="C1989" s="0" t="s">
        <v>57</v>
      </c>
      <c r="D1989" s="0" t="n">
        <v>319119</v>
      </c>
      <c r="E1989" s="0" t="s">
        <v>521</v>
      </c>
      <c r="G1989" s="0" t="s">
        <v>192</v>
      </c>
    </row>
    <row r="1990" customFormat="false" ht="15" hidden="false" customHeight="false" outlineLevel="0" collapsed="false">
      <c r="A1990" s="0" t="s">
        <v>187</v>
      </c>
      <c r="B1990" s="0" t="n">
        <v>2017</v>
      </c>
      <c r="C1990" s="0" t="s">
        <v>58</v>
      </c>
      <c r="D1990" s="0" t="n">
        <v>68160</v>
      </c>
      <c r="E1990" s="0" t="s">
        <v>521</v>
      </c>
      <c r="G1990" s="0" t="s">
        <v>192</v>
      </c>
    </row>
    <row r="1991" customFormat="false" ht="15" hidden="false" customHeight="false" outlineLevel="0" collapsed="false">
      <c r="A1991" s="0" t="s">
        <v>187</v>
      </c>
      <c r="B1991" s="0" t="n">
        <v>2017</v>
      </c>
      <c r="C1991" s="0" t="s">
        <v>59</v>
      </c>
      <c r="D1991" s="0" t="n">
        <v>1123483</v>
      </c>
      <c r="E1991" s="0" t="s">
        <v>521</v>
      </c>
      <c r="G1991" s="0" t="s">
        <v>192</v>
      </c>
    </row>
    <row r="1992" customFormat="false" ht="15" hidden="false" customHeight="false" outlineLevel="0" collapsed="false">
      <c r="A1992" s="0" t="s">
        <v>187</v>
      </c>
      <c r="B1992" s="0" t="n">
        <v>2017</v>
      </c>
      <c r="C1992" s="0" t="s">
        <v>60</v>
      </c>
      <c r="D1992" s="0" t="n">
        <v>531807</v>
      </c>
      <c r="E1992" s="0" t="s">
        <v>521</v>
      </c>
      <c r="G1992" s="0" t="s">
        <v>192</v>
      </c>
    </row>
    <row r="1993" customFormat="false" ht="15" hidden="false" customHeight="false" outlineLevel="0" collapsed="false">
      <c r="A1993" s="0" t="s">
        <v>187</v>
      </c>
      <c r="B1993" s="0" t="n">
        <v>2017</v>
      </c>
      <c r="C1993" s="0" t="s">
        <v>61</v>
      </c>
      <c r="D1993" s="0" t="n">
        <v>43252</v>
      </c>
      <c r="E1993" s="0" t="s">
        <v>521</v>
      </c>
      <c r="G1993" s="0" t="s">
        <v>192</v>
      </c>
    </row>
    <row r="1994" customFormat="false" ht="15" hidden="false" customHeight="false" outlineLevel="0" collapsed="false">
      <c r="A1994" s="0" t="s">
        <v>187</v>
      </c>
      <c r="B1994" s="0" t="n">
        <v>2017</v>
      </c>
      <c r="C1994" s="0" t="s">
        <v>62</v>
      </c>
      <c r="D1994" s="0" t="n">
        <v>488555</v>
      </c>
      <c r="E1994" s="0" t="s">
        <v>521</v>
      </c>
      <c r="G1994" s="0" t="s">
        <v>192</v>
      </c>
    </row>
    <row r="1995" customFormat="false" ht="15" hidden="false" customHeight="false" outlineLevel="0" collapsed="false">
      <c r="A1995" s="0" t="s">
        <v>187</v>
      </c>
      <c r="B1995" s="0" t="n">
        <v>2017</v>
      </c>
      <c r="C1995" s="0" t="s">
        <v>63</v>
      </c>
      <c r="D1995" s="0" t="n">
        <v>25478</v>
      </c>
      <c r="E1995" s="0" t="s">
        <v>521</v>
      </c>
      <c r="G1995" s="0" t="s">
        <v>192</v>
      </c>
    </row>
    <row r="1996" customFormat="false" ht="15" hidden="false" customHeight="false" outlineLevel="0" collapsed="false">
      <c r="A1996" s="0" t="s">
        <v>187</v>
      </c>
      <c r="B1996" s="0" t="n">
        <v>2017</v>
      </c>
      <c r="C1996" s="0" t="s">
        <v>1038</v>
      </c>
      <c r="D1996" s="0" t="n">
        <v>-32</v>
      </c>
      <c r="E1996" s="0" t="s">
        <v>521</v>
      </c>
      <c r="G1996" s="0" t="s">
        <v>192</v>
      </c>
    </row>
    <row r="1997" customFormat="false" ht="15" hidden="false" customHeight="false" outlineLevel="0" collapsed="false">
      <c r="A1997" s="0" t="s">
        <v>187</v>
      </c>
      <c r="B1997" s="0" t="n">
        <v>2017</v>
      </c>
      <c r="C1997" s="0" t="s">
        <v>1366</v>
      </c>
      <c r="D1997" s="0" t="n">
        <v>25510</v>
      </c>
      <c r="E1997" s="0" t="s">
        <v>521</v>
      </c>
      <c r="G1997" s="0" t="s">
        <v>192</v>
      </c>
    </row>
    <row r="1998" customFormat="false" ht="15" hidden="false" customHeight="false" outlineLevel="0" collapsed="false">
      <c r="A1998" s="0" t="s">
        <v>187</v>
      </c>
      <c r="B1998" s="0" t="n">
        <v>2017</v>
      </c>
      <c r="C1998" s="0" t="s">
        <v>64</v>
      </c>
      <c r="D1998" s="0" t="n">
        <v>110685</v>
      </c>
      <c r="E1998" s="0" t="s">
        <v>521</v>
      </c>
      <c r="G1998" s="0" t="s">
        <v>192</v>
      </c>
    </row>
    <row r="1999" customFormat="false" ht="15" hidden="false" customHeight="false" outlineLevel="0" collapsed="false">
      <c r="A1999" s="0" t="s">
        <v>187</v>
      </c>
      <c r="B1999" s="0" t="n">
        <v>2017</v>
      </c>
      <c r="C1999" s="0" t="s">
        <v>69</v>
      </c>
      <c r="D1999" s="0" t="n">
        <v>17.8</v>
      </c>
      <c r="E1999" s="0" t="s">
        <v>521</v>
      </c>
      <c r="G1999" s="0" t="s">
        <v>192</v>
      </c>
    </row>
    <row r="2000" customFormat="false" ht="15" hidden="false" customHeight="false" outlineLevel="0" collapsed="false">
      <c r="A2000" s="0" t="s">
        <v>187</v>
      </c>
      <c r="B2000" s="0" t="n">
        <v>2017</v>
      </c>
      <c r="C2000" s="0" t="s">
        <v>70</v>
      </c>
      <c r="D2000" s="0" t="n">
        <v>15</v>
      </c>
      <c r="E2000" s="0" t="s">
        <v>521</v>
      </c>
      <c r="G2000" s="0" t="s">
        <v>192</v>
      </c>
    </row>
    <row r="2001" customFormat="false" ht="15" hidden="false" customHeight="false" outlineLevel="0" collapsed="false">
      <c r="A2001" s="0" t="s">
        <v>187</v>
      </c>
      <c r="B2001" s="0" t="n">
        <v>2017</v>
      </c>
      <c r="C2001" s="0" t="s">
        <v>65</v>
      </c>
      <c r="D2001" s="0" t="n">
        <v>137875</v>
      </c>
      <c r="E2001" s="0" t="s">
        <v>521</v>
      </c>
      <c r="G2001" s="0" t="s">
        <v>192</v>
      </c>
    </row>
    <row r="2002" customFormat="false" ht="15" hidden="false" customHeight="false" outlineLevel="0" collapsed="false">
      <c r="A2002" s="0" t="s">
        <v>187</v>
      </c>
      <c r="B2002" s="0" t="n">
        <v>2017</v>
      </c>
      <c r="C2002" s="0" t="s">
        <v>66</v>
      </c>
      <c r="D2002" s="0" t="n">
        <v>774497</v>
      </c>
      <c r="E2002" s="0" t="s">
        <v>521</v>
      </c>
      <c r="G2002" s="0" t="s">
        <v>192</v>
      </c>
    </row>
    <row r="2003" customFormat="false" ht="15" hidden="false" customHeight="false" outlineLevel="0" collapsed="false">
      <c r="A2003" s="0" t="s">
        <v>187</v>
      </c>
      <c r="B2003" s="0" t="n">
        <v>2017</v>
      </c>
      <c r="C2003" s="0" t="s">
        <v>541</v>
      </c>
      <c r="D2003" s="0" t="n">
        <v>11576</v>
      </c>
      <c r="E2003" s="0" t="s">
        <v>521</v>
      </c>
      <c r="G2003" s="0" t="s">
        <v>192</v>
      </c>
    </row>
    <row r="2004" customFormat="false" ht="15" hidden="false" customHeight="false" outlineLevel="0" collapsed="false">
      <c r="A2004" s="0" t="s">
        <v>187</v>
      </c>
      <c r="B2004" s="0" t="n">
        <v>2017</v>
      </c>
      <c r="C2004" s="0" t="s">
        <v>1327</v>
      </c>
      <c r="D2004" s="0" t="n">
        <v>157566</v>
      </c>
      <c r="E2004" s="0" t="s">
        <v>521</v>
      </c>
      <c r="G2004" s="0" t="s">
        <v>192</v>
      </c>
    </row>
    <row r="2005" customFormat="false" ht="15" hidden="false" customHeight="false" outlineLevel="0" collapsed="false">
      <c r="A2005" s="0" t="s">
        <v>187</v>
      </c>
      <c r="B2005" s="0" t="n">
        <v>2017</v>
      </c>
      <c r="C2005" s="0" t="s">
        <v>543</v>
      </c>
      <c r="D2005" s="0" t="n">
        <v>36232</v>
      </c>
      <c r="E2005" s="0" t="s">
        <v>521</v>
      </c>
      <c r="G2005" s="0" t="s">
        <v>192</v>
      </c>
    </row>
    <row r="2006" customFormat="false" ht="15" hidden="false" customHeight="false" outlineLevel="0" collapsed="false">
      <c r="A2006" s="0" t="s">
        <v>187</v>
      </c>
      <c r="B2006" s="0" t="n">
        <v>2017</v>
      </c>
      <c r="C2006" s="0" t="s">
        <v>545</v>
      </c>
      <c r="D2006" s="0" t="n">
        <v>7020</v>
      </c>
      <c r="E2006" s="0" t="s">
        <v>521</v>
      </c>
      <c r="G2006" s="0" t="s">
        <v>192</v>
      </c>
    </row>
    <row r="2007" customFormat="false" ht="15" hidden="false" customHeight="false" outlineLevel="0" collapsed="false">
      <c r="A2007" s="0" t="s">
        <v>187</v>
      </c>
      <c r="B2007" s="0" t="n">
        <v>2017</v>
      </c>
      <c r="C2007" s="0" t="s">
        <v>19</v>
      </c>
      <c r="D2007" s="0" t="n">
        <v>1229202</v>
      </c>
      <c r="E2007" s="0" t="s">
        <v>522</v>
      </c>
    </row>
    <row r="2008" customFormat="false" ht="15" hidden="false" customHeight="false" outlineLevel="0" collapsed="false">
      <c r="A2008" s="0" t="s">
        <v>187</v>
      </c>
      <c r="B2008" s="0" t="n">
        <v>2017</v>
      </c>
      <c r="C2008" s="0" t="s">
        <v>41</v>
      </c>
      <c r="D2008" s="0" t="n">
        <v>0.914333038833324</v>
      </c>
      <c r="E2008" s="0" t="s">
        <v>522</v>
      </c>
    </row>
    <row r="2009" customFormat="false" ht="15" hidden="false" customHeight="false" outlineLevel="0" collapsed="false">
      <c r="A2009" s="0" t="s">
        <v>187</v>
      </c>
      <c r="B2009" s="0" t="n">
        <v>2017</v>
      </c>
      <c r="C2009" s="0" t="s">
        <v>27</v>
      </c>
      <c r="D2009" s="0" t="n">
        <v>23.9054595740122</v>
      </c>
      <c r="E2009" s="0" t="s">
        <v>522</v>
      </c>
    </row>
    <row r="2010" customFormat="false" ht="15" hidden="false" customHeight="false" outlineLevel="0" collapsed="false">
      <c r="A2010" s="0" t="s">
        <v>187</v>
      </c>
      <c r="B2010" s="0" t="n">
        <v>2017</v>
      </c>
      <c r="C2010" s="0" t="s">
        <v>39</v>
      </c>
      <c r="D2010" s="0" t="n">
        <v>5.54506094197699</v>
      </c>
      <c r="E2010" s="0" t="s">
        <v>522</v>
      </c>
    </row>
    <row r="2011" customFormat="false" ht="15" hidden="false" customHeight="false" outlineLevel="0" collapsed="false">
      <c r="A2011" s="0" t="s">
        <v>187</v>
      </c>
      <c r="B2011" s="0" t="n">
        <v>2017</v>
      </c>
      <c r="C2011" s="0" t="s">
        <v>17</v>
      </c>
      <c r="D2011" s="0" t="n">
        <v>8.13302570293358</v>
      </c>
      <c r="E2011" s="0" t="s">
        <v>522</v>
      </c>
    </row>
    <row r="2012" customFormat="false" ht="15" hidden="false" customHeight="false" outlineLevel="0" collapsed="false">
      <c r="A2012" s="0" t="s">
        <v>187</v>
      </c>
      <c r="B2012" s="0" t="n">
        <v>2017</v>
      </c>
      <c r="C2012" s="0" t="s">
        <v>25</v>
      </c>
      <c r="D2012" s="0" t="n">
        <v>17.801876572795</v>
      </c>
      <c r="E2012" s="0" t="s">
        <v>522</v>
      </c>
    </row>
    <row r="2013" customFormat="false" ht="15" hidden="false" customHeight="false" outlineLevel="0" collapsed="false">
      <c r="A2013" s="0" t="s">
        <v>187</v>
      </c>
      <c r="B2013" s="0" t="n">
        <v>2017</v>
      </c>
      <c r="C2013" s="0" t="s">
        <v>29</v>
      </c>
      <c r="D2013" s="0" t="n">
        <v>2.07272685856352</v>
      </c>
      <c r="E2013" s="0" t="s">
        <v>522</v>
      </c>
    </row>
    <row r="2014" customFormat="false" ht="15" hidden="false" customHeight="false" outlineLevel="0" collapsed="false">
      <c r="A2014" s="0" t="s">
        <v>187</v>
      </c>
      <c r="B2014" s="0" t="n">
        <v>2017</v>
      </c>
      <c r="C2014" s="0" t="s">
        <v>23</v>
      </c>
      <c r="D2014" s="0" t="n">
        <v>39.076658987216</v>
      </c>
      <c r="E2014" s="0" t="s">
        <v>522</v>
      </c>
    </row>
    <row r="2015" customFormat="false" ht="15" hidden="false" customHeight="false" outlineLevel="0" collapsed="false">
      <c r="A2015" s="0" t="s">
        <v>187</v>
      </c>
      <c r="B2015" s="0" t="n">
        <v>2017</v>
      </c>
      <c r="C2015" s="0" t="s">
        <v>37</v>
      </c>
      <c r="D2015" s="0" t="n">
        <v>20.8130017092667</v>
      </c>
      <c r="E2015" s="0" t="s">
        <v>522</v>
      </c>
    </row>
    <row r="2016" customFormat="false" ht="15" hidden="false" customHeight="false" outlineLevel="0" collapsed="false">
      <c r="A2016" s="0" t="s">
        <v>187</v>
      </c>
      <c r="B2016" s="0" t="n">
        <v>2017</v>
      </c>
      <c r="C2016" s="0" t="s">
        <v>43</v>
      </c>
      <c r="D2016" s="0" t="n">
        <v>0.84192248080598</v>
      </c>
      <c r="E2016" s="0" t="s">
        <v>522</v>
      </c>
    </row>
    <row r="2017" customFormat="false" ht="15" hidden="false" customHeight="false" outlineLevel="0" collapsed="false">
      <c r="A2017" s="0" t="s">
        <v>187</v>
      </c>
      <c r="B2017" s="0" t="n">
        <v>2017</v>
      </c>
      <c r="C2017" s="0" t="s">
        <v>31</v>
      </c>
      <c r="D2017" s="0" t="n">
        <v>76.0945404259878</v>
      </c>
      <c r="E2017" s="0" t="s">
        <v>522</v>
      </c>
    </row>
    <row r="2018" customFormat="false" ht="15" hidden="false" customHeight="false" outlineLevel="0" collapsed="false">
      <c r="A2018" s="0" t="s">
        <v>187</v>
      </c>
      <c r="B2018" s="0" t="n">
        <v>2017</v>
      </c>
      <c r="C2018" s="0" t="s">
        <v>33</v>
      </c>
      <c r="D2018" s="0" t="n">
        <v>14.1043826720356</v>
      </c>
      <c r="E2018" s="0" t="s">
        <v>522</v>
      </c>
    </row>
    <row r="2019" customFormat="false" ht="15" hidden="false" customHeight="false" outlineLevel="0" collapsed="false">
      <c r="A2019" s="0" t="s">
        <v>187</v>
      </c>
      <c r="B2019" s="0" t="n">
        <v>2017</v>
      </c>
      <c r="C2019" s="0" t="s">
        <v>21</v>
      </c>
      <c r="D2019" s="0" t="n">
        <v>0</v>
      </c>
      <c r="E2019" s="0" t="s">
        <v>522</v>
      </c>
    </row>
    <row r="2020" customFormat="false" ht="15" hidden="false" customHeight="false" outlineLevel="0" collapsed="false">
      <c r="A2020" s="0" t="s">
        <v>187</v>
      </c>
      <c r="B2020" s="0" t="n">
        <v>2017</v>
      </c>
      <c r="C2020" s="0" t="s">
        <v>35</v>
      </c>
      <c r="D2020" s="0" t="n">
        <v>0</v>
      </c>
      <c r="E2020" s="0" t="s">
        <v>522</v>
      </c>
    </row>
    <row r="2021" customFormat="false" ht="15" hidden="false" customHeight="false" outlineLevel="0" collapsed="false">
      <c r="A2021" s="0" t="s">
        <v>187</v>
      </c>
      <c r="B2021" s="0" t="n">
        <v>2018</v>
      </c>
      <c r="C2021" s="0" t="s">
        <v>54</v>
      </c>
      <c r="D2021" s="0" t="n">
        <v>18438</v>
      </c>
      <c r="E2021" s="0" t="s">
        <v>521</v>
      </c>
      <c r="G2021" s="0" t="s">
        <v>194</v>
      </c>
    </row>
    <row r="2022" customFormat="false" ht="15" hidden="false" customHeight="false" outlineLevel="0" collapsed="false">
      <c r="A2022" s="0" t="s">
        <v>187</v>
      </c>
      <c r="B2022" s="0" t="n">
        <v>2018</v>
      </c>
      <c r="C2022" s="0" t="s">
        <v>55</v>
      </c>
      <c r="D2022" s="0" t="n">
        <v>1324297</v>
      </c>
      <c r="E2022" s="0" t="s">
        <v>521</v>
      </c>
      <c r="G2022" s="0" t="s">
        <v>194</v>
      </c>
    </row>
    <row r="2023" customFormat="false" ht="15" hidden="false" customHeight="false" outlineLevel="0" collapsed="false">
      <c r="A2023" s="0" t="s">
        <v>187</v>
      </c>
      <c r="B2023" s="0" t="n">
        <v>2018</v>
      </c>
      <c r="C2023" s="0" t="s">
        <v>56</v>
      </c>
      <c r="D2023" s="0" t="n">
        <v>1124210</v>
      </c>
      <c r="E2023" s="0" t="s">
        <v>521</v>
      </c>
      <c r="G2023" s="0" t="s">
        <v>194</v>
      </c>
    </row>
    <row r="2024" customFormat="false" ht="15" hidden="false" customHeight="false" outlineLevel="0" collapsed="false">
      <c r="A2024" s="0" t="s">
        <v>187</v>
      </c>
      <c r="B2024" s="0" t="n">
        <v>2018</v>
      </c>
      <c r="C2024" s="0" t="s">
        <v>57</v>
      </c>
      <c r="D2024" s="0" t="n">
        <v>200087</v>
      </c>
      <c r="E2024" s="0" t="s">
        <v>521</v>
      </c>
      <c r="G2024" s="0" t="s">
        <v>194</v>
      </c>
    </row>
    <row r="2025" customFormat="false" ht="15" hidden="false" customHeight="false" outlineLevel="0" collapsed="false">
      <c r="A2025" s="0" t="s">
        <v>187</v>
      </c>
      <c r="B2025" s="0" t="n">
        <v>2018</v>
      </c>
      <c r="C2025" s="0" t="s">
        <v>58</v>
      </c>
      <c r="D2025" s="0" t="n">
        <v>37394</v>
      </c>
      <c r="E2025" s="0" t="s">
        <v>521</v>
      </c>
      <c r="G2025" s="0" t="s">
        <v>194</v>
      </c>
    </row>
    <row r="2026" customFormat="false" ht="15" hidden="false" customHeight="false" outlineLevel="0" collapsed="false">
      <c r="A2026" s="0" t="s">
        <v>187</v>
      </c>
      <c r="B2026" s="0" t="n">
        <v>2018</v>
      </c>
      <c r="C2026" s="0" t="s">
        <v>59</v>
      </c>
      <c r="D2026" s="0" t="n">
        <v>1334921</v>
      </c>
      <c r="E2026" s="0" t="s">
        <v>521</v>
      </c>
      <c r="G2026" s="0" t="s">
        <v>194</v>
      </c>
    </row>
    <row r="2027" customFormat="false" ht="15" hidden="false" customHeight="false" outlineLevel="0" collapsed="false">
      <c r="A2027" s="0" t="s">
        <v>187</v>
      </c>
      <c r="B2027" s="0" t="n">
        <v>2018</v>
      </c>
      <c r="C2027" s="0" t="s">
        <v>60</v>
      </c>
      <c r="D2027" s="0" t="n">
        <v>473396</v>
      </c>
      <c r="E2027" s="0" t="s">
        <v>521</v>
      </c>
      <c r="G2027" s="0" t="s">
        <v>194</v>
      </c>
    </row>
    <row r="2028" customFormat="false" ht="15" hidden="false" customHeight="false" outlineLevel="0" collapsed="false">
      <c r="A2028" s="0" t="s">
        <v>187</v>
      </c>
      <c r="B2028" s="0" t="n">
        <v>2018</v>
      </c>
      <c r="C2028" s="0" t="s">
        <v>61</v>
      </c>
      <c r="D2028" s="0" t="n">
        <v>45359</v>
      </c>
      <c r="E2028" s="0" t="s">
        <v>521</v>
      </c>
      <c r="G2028" s="0" t="s">
        <v>194</v>
      </c>
    </row>
    <row r="2029" customFormat="false" ht="15" hidden="false" customHeight="false" outlineLevel="0" collapsed="false">
      <c r="A2029" s="0" t="s">
        <v>187</v>
      </c>
      <c r="B2029" s="0" t="n">
        <v>2018</v>
      </c>
      <c r="C2029" s="0" t="s">
        <v>62</v>
      </c>
      <c r="D2029" s="0" t="n">
        <v>428037</v>
      </c>
      <c r="E2029" s="0" t="s">
        <v>521</v>
      </c>
      <c r="G2029" s="0" t="s">
        <v>194</v>
      </c>
    </row>
    <row r="2030" customFormat="false" ht="15" hidden="false" customHeight="false" outlineLevel="0" collapsed="false">
      <c r="A2030" s="0" t="s">
        <v>187</v>
      </c>
      <c r="B2030" s="0" t="n">
        <v>2018</v>
      </c>
      <c r="C2030" s="0" t="s">
        <v>63</v>
      </c>
      <c r="D2030" s="0" t="n">
        <v>-3515</v>
      </c>
      <c r="E2030" s="0" t="s">
        <v>521</v>
      </c>
      <c r="G2030" s="0" t="s">
        <v>194</v>
      </c>
    </row>
    <row r="2031" customFormat="false" ht="15" hidden="false" customHeight="false" outlineLevel="0" collapsed="false">
      <c r="A2031" s="0" t="s">
        <v>187</v>
      </c>
      <c r="B2031" s="0" t="n">
        <v>2018</v>
      </c>
      <c r="C2031" s="0" t="s">
        <v>307</v>
      </c>
      <c r="D2031" s="0" t="n">
        <v>-3732</v>
      </c>
      <c r="E2031" s="0" t="s">
        <v>521</v>
      </c>
      <c r="G2031" s="0" t="s">
        <v>194</v>
      </c>
    </row>
    <row r="2032" customFormat="false" ht="15" hidden="false" customHeight="false" outlineLevel="0" collapsed="false">
      <c r="A2032" s="0" t="s">
        <v>187</v>
      </c>
      <c r="B2032" s="0" t="n">
        <v>2018</v>
      </c>
      <c r="C2032" s="0" t="s">
        <v>1038</v>
      </c>
      <c r="D2032" s="0" t="n">
        <v>382</v>
      </c>
      <c r="E2032" s="0" t="s">
        <v>521</v>
      </c>
      <c r="G2032" s="0" t="s">
        <v>194</v>
      </c>
    </row>
    <row r="2033" customFormat="false" ht="15" hidden="false" customHeight="false" outlineLevel="0" collapsed="false">
      <c r="A2033" s="0" t="s">
        <v>187</v>
      </c>
      <c r="B2033" s="0" t="n">
        <v>2018</v>
      </c>
      <c r="C2033" s="0" t="s">
        <v>1366</v>
      </c>
      <c r="D2033" s="0" t="n">
        <v>-3897</v>
      </c>
      <c r="E2033" s="0" t="s">
        <v>521</v>
      </c>
      <c r="G2033" s="0" t="s">
        <v>194</v>
      </c>
    </row>
    <row r="2034" customFormat="false" ht="15" hidden="false" customHeight="false" outlineLevel="0" collapsed="false">
      <c r="A2034" s="0" t="s">
        <v>187</v>
      </c>
      <c r="B2034" s="0" t="n">
        <v>2018</v>
      </c>
      <c r="C2034" s="0" t="s">
        <v>64</v>
      </c>
      <c r="D2034" s="0" t="n">
        <v>38496</v>
      </c>
      <c r="E2034" s="0" t="s">
        <v>521</v>
      </c>
      <c r="G2034" s="0" t="s">
        <v>194</v>
      </c>
    </row>
    <row r="2035" customFormat="false" ht="15" hidden="false" customHeight="false" outlineLevel="0" collapsed="false">
      <c r="A2035" s="0" t="s">
        <v>187</v>
      </c>
      <c r="B2035" s="0" t="n">
        <v>2018</v>
      </c>
      <c r="C2035" s="0" t="s">
        <v>69</v>
      </c>
      <c r="D2035" s="0" t="n">
        <v>11.5</v>
      </c>
      <c r="E2035" s="0" t="s">
        <v>521</v>
      </c>
      <c r="G2035" s="0" t="s">
        <v>194</v>
      </c>
    </row>
    <row r="2036" customFormat="false" ht="15" hidden="false" customHeight="false" outlineLevel="0" collapsed="false">
      <c r="A2036" s="0" t="s">
        <v>187</v>
      </c>
      <c r="B2036" s="0" t="n">
        <v>2018</v>
      </c>
      <c r="C2036" s="0" t="s">
        <v>614</v>
      </c>
      <c r="D2036" s="0" t="n">
        <v>16.4</v>
      </c>
      <c r="E2036" s="0" t="s">
        <v>521</v>
      </c>
      <c r="G2036" s="0" t="s">
        <v>194</v>
      </c>
    </row>
    <row r="2037" customFormat="false" ht="15" hidden="false" customHeight="false" outlineLevel="0" collapsed="false">
      <c r="A2037" s="0" t="s">
        <v>187</v>
      </c>
      <c r="B2037" s="0" t="n">
        <v>2018</v>
      </c>
      <c r="C2037" s="0" t="s">
        <v>70</v>
      </c>
      <c r="D2037" s="0" t="n">
        <v>15</v>
      </c>
      <c r="E2037" s="0" t="s">
        <v>521</v>
      </c>
      <c r="G2037" s="0" t="s">
        <v>194</v>
      </c>
    </row>
    <row r="2038" customFormat="false" ht="15" hidden="false" customHeight="false" outlineLevel="0" collapsed="false">
      <c r="A2038" s="0" t="s">
        <v>187</v>
      </c>
      <c r="B2038" s="0" t="n">
        <v>2018</v>
      </c>
      <c r="C2038" s="0" t="s">
        <v>65</v>
      </c>
      <c r="D2038" s="0" t="n">
        <v>88017</v>
      </c>
      <c r="E2038" s="0" t="s">
        <v>521</v>
      </c>
      <c r="G2038" s="0" t="s">
        <v>194</v>
      </c>
    </row>
    <row r="2039" customFormat="false" ht="15" hidden="false" customHeight="false" outlineLevel="0" collapsed="false">
      <c r="A2039" s="0" t="s">
        <v>187</v>
      </c>
      <c r="B2039" s="0" t="n">
        <v>2018</v>
      </c>
      <c r="C2039" s="0" t="s">
        <v>66</v>
      </c>
      <c r="D2039" s="0" t="n">
        <v>767770</v>
      </c>
      <c r="E2039" s="0" t="s">
        <v>521</v>
      </c>
      <c r="G2039" s="0" t="s">
        <v>194</v>
      </c>
    </row>
    <row r="2040" customFormat="false" ht="15" hidden="false" customHeight="false" outlineLevel="0" collapsed="false">
      <c r="A2040" s="0" t="s">
        <v>187</v>
      </c>
      <c r="B2040" s="0" t="n">
        <v>2018</v>
      </c>
      <c r="C2040" s="0" t="s">
        <v>619</v>
      </c>
      <c r="D2040" s="0" t="n">
        <v>125859</v>
      </c>
      <c r="E2040" s="0" t="s">
        <v>521</v>
      </c>
      <c r="G2040" s="0" t="s">
        <v>194</v>
      </c>
    </row>
    <row r="2041" customFormat="false" ht="15" hidden="false" customHeight="false" outlineLevel="0" collapsed="false">
      <c r="A2041" s="0" t="s">
        <v>187</v>
      </c>
      <c r="B2041" s="0" t="n">
        <v>2018</v>
      </c>
      <c r="C2041" s="0" t="s">
        <v>1367</v>
      </c>
      <c r="D2041" s="0" t="n">
        <v>37842</v>
      </c>
      <c r="E2041" s="0" t="s">
        <v>521</v>
      </c>
      <c r="G2041" s="0" t="s">
        <v>194</v>
      </c>
    </row>
    <row r="2042" customFormat="false" ht="15" hidden="false" customHeight="false" outlineLevel="0" collapsed="false">
      <c r="A2042" s="0" t="s">
        <v>187</v>
      </c>
      <c r="B2042" s="0" t="n">
        <v>2018</v>
      </c>
      <c r="C2042" s="0" t="s">
        <v>73</v>
      </c>
      <c r="D2042" s="0" t="n">
        <v>0</v>
      </c>
      <c r="E2042" s="0" t="s">
        <v>539</v>
      </c>
      <c r="F2042" s="0" t="s">
        <v>363</v>
      </c>
      <c r="G2042" s="0" t="s">
        <v>1053</v>
      </c>
      <c r="H2042" s="0" t="s">
        <v>364</v>
      </c>
    </row>
    <row r="2043" customFormat="false" ht="15" hidden="false" customHeight="false" outlineLevel="0" collapsed="false">
      <c r="A2043" s="0" t="s">
        <v>187</v>
      </c>
      <c r="B2043" s="0" t="n">
        <v>2018</v>
      </c>
      <c r="C2043" s="0" t="s">
        <v>67</v>
      </c>
      <c r="D2043" s="0" t="n">
        <v>123328</v>
      </c>
      <c r="E2043" s="0" t="s">
        <v>521</v>
      </c>
      <c r="G2043" s="0" t="s">
        <v>194</v>
      </c>
    </row>
    <row r="2044" customFormat="false" ht="15" hidden="false" customHeight="false" outlineLevel="0" collapsed="false">
      <c r="A2044" s="0" t="s">
        <v>187</v>
      </c>
      <c r="B2044" s="0" t="n">
        <v>2018</v>
      </c>
      <c r="C2044" s="0" t="s">
        <v>68</v>
      </c>
      <c r="D2044" s="0" t="n">
        <v>30149</v>
      </c>
      <c r="E2044" s="0" t="s">
        <v>521</v>
      </c>
      <c r="G2044" s="0" t="s">
        <v>194</v>
      </c>
    </row>
    <row r="2045" customFormat="false" ht="15" hidden="false" customHeight="false" outlineLevel="0" collapsed="false">
      <c r="A2045" s="0" t="s">
        <v>187</v>
      </c>
      <c r="B2045" s="0" t="n">
        <v>2018</v>
      </c>
      <c r="C2045" s="0" t="s">
        <v>541</v>
      </c>
      <c r="D2045" s="0" t="n">
        <v>18660</v>
      </c>
      <c r="E2045" s="0" t="s">
        <v>521</v>
      </c>
      <c r="G2045" s="0" t="s">
        <v>194</v>
      </c>
    </row>
    <row r="2046" customFormat="false" ht="15" hidden="false" customHeight="false" outlineLevel="0" collapsed="false">
      <c r="A2046" s="0" t="s">
        <v>187</v>
      </c>
      <c r="B2046" s="0" t="n">
        <v>2018</v>
      </c>
      <c r="C2046" s="0" t="s">
        <v>1327</v>
      </c>
      <c r="D2046" s="0" t="n">
        <v>140066</v>
      </c>
      <c r="E2046" s="0" t="s">
        <v>521</v>
      </c>
      <c r="G2046" s="0" t="s">
        <v>194</v>
      </c>
    </row>
    <row r="2047" customFormat="false" ht="15" hidden="false" customHeight="false" outlineLevel="0" collapsed="false">
      <c r="A2047" s="0" t="s">
        <v>187</v>
      </c>
      <c r="B2047" s="0" t="n">
        <v>2018</v>
      </c>
      <c r="C2047" s="0" t="s">
        <v>19</v>
      </c>
      <c r="D2047" s="0" t="n">
        <v>1329609</v>
      </c>
      <c r="E2047" s="0" t="s">
        <v>522</v>
      </c>
    </row>
    <row r="2048" customFormat="false" ht="15" hidden="false" customHeight="false" outlineLevel="0" collapsed="false">
      <c r="A2048" s="0" t="s">
        <v>187</v>
      </c>
      <c r="B2048" s="0" t="n">
        <v>2018</v>
      </c>
      <c r="C2048" s="0" t="s">
        <v>41</v>
      </c>
      <c r="D2048" s="0" t="n">
        <v>1.3867234653195</v>
      </c>
      <c r="E2048" s="0" t="s">
        <v>522</v>
      </c>
    </row>
    <row r="2049" customFormat="false" ht="15" hidden="false" customHeight="false" outlineLevel="0" collapsed="false">
      <c r="A2049" s="0" t="s">
        <v>187</v>
      </c>
      <c r="B2049" s="0" t="n">
        <v>2018</v>
      </c>
      <c r="C2049" s="0" t="s">
        <v>27</v>
      </c>
      <c r="D2049" s="0" t="n">
        <v>15.1089219412262</v>
      </c>
      <c r="E2049" s="0" t="s">
        <v>522</v>
      </c>
    </row>
    <row r="2050" customFormat="false" ht="15" hidden="false" customHeight="false" outlineLevel="0" collapsed="false">
      <c r="A2050" s="0" t="s">
        <v>187</v>
      </c>
      <c r="B2050" s="0" t="n">
        <v>2018</v>
      </c>
      <c r="C2050" s="0" t="s">
        <v>39</v>
      </c>
      <c r="D2050" s="0" t="n">
        <v>2.8124057523678</v>
      </c>
      <c r="E2050" s="0" t="s">
        <v>522</v>
      </c>
    </row>
    <row r="2051" customFormat="false" ht="15" hidden="false" customHeight="false" outlineLevel="0" collapsed="false">
      <c r="A2051" s="0" t="s">
        <v>187</v>
      </c>
      <c r="B2051" s="0" t="n">
        <v>2018</v>
      </c>
      <c r="C2051" s="0" t="s">
        <v>17</v>
      </c>
      <c r="D2051" s="0" t="n">
        <v>9.58161877159925</v>
      </c>
      <c r="E2051" s="0" t="s">
        <v>522</v>
      </c>
    </row>
    <row r="2052" customFormat="false" ht="15" hidden="false" customHeight="false" outlineLevel="0" collapsed="false">
      <c r="A2052" s="0" t="s">
        <v>187</v>
      </c>
      <c r="B2052" s="0" t="n">
        <v>2018</v>
      </c>
      <c r="C2052" s="0" t="s">
        <v>25</v>
      </c>
      <c r="D2052" s="0" t="n">
        <v>11.4639800982065</v>
      </c>
      <c r="E2052" s="0" t="s">
        <v>522</v>
      </c>
    </row>
    <row r="2053" customFormat="false" ht="15" hidden="false" customHeight="false" outlineLevel="0" collapsed="false">
      <c r="A2053" s="0" t="s">
        <v>187</v>
      </c>
      <c r="B2053" s="0" t="n">
        <v>2018</v>
      </c>
      <c r="C2053" s="0" t="s">
        <v>29</v>
      </c>
      <c r="D2053" s="0" t="n">
        <v>-0.264363433159673</v>
      </c>
      <c r="E2053" s="0" t="s">
        <v>522</v>
      </c>
    </row>
    <row r="2054" customFormat="false" ht="15" hidden="false" customHeight="false" outlineLevel="0" collapsed="false">
      <c r="A2054" s="0" t="s">
        <v>187</v>
      </c>
      <c r="B2054" s="0" t="n">
        <v>2018</v>
      </c>
      <c r="C2054" s="0" t="s">
        <v>23</v>
      </c>
      <c r="D2054" s="0" t="n">
        <v>117.827826267664</v>
      </c>
      <c r="E2054" s="0" t="s">
        <v>522</v>
      </c>
    </row>
    <row r="2055" customFormat="false" ht="15" hidden="false" customHeight="false" outlineLevel="0" collapsed="false">
      <c r="A2055" s="0" t="s">
        <v>187</v>
      </c>
      <c r="B2055" s="0" t="n">
        <v>2018</v>
      </c>
      <c r="C2055" s="0" t="s">
        <v>37</v>
      </c>
      <c r="D2055" s="0" t="n">
        <v>8.13188113123051</v>
      </c>
      <c r="E2055" s="0" t="s">
        <v>522</v>
      </c>
    </row>
    <row r="2056" customFormat="false" ht="15" hidden="false" customHeight="false" outlineLevel="0" collapsed="false">
      <c r="A2056" s="0" t="s">
        <v>187</v>
      </c>
      <c r="B2056" s="0" t="n">
        <v>2018</v>
      </c>
      <c r="C2056" s="0" t="s">
        <v>47</v>
      </c>
      <c r="D2056" s="0" t="n">
        <v>26.051762161066</v>
      </c>
      <c r="E2056" s="0" t="s">
        <v>522</v>
      </c>
    </row>
    <row r="2057" customFormat="false" ht="15" hidden="false" customHeight="false" outlineLevel="0" collapsed="false">
      <c r="A2057" s="0" t="s">
        <v>187</v>
      </c>
      <c r="B2057" s="0" t="n">
        <v>2018</v>
      </c>
      <c r="C2057" s="0" t="s">
        <v>45</v>
      </c>
      <c r="D2057" s="0" t="n">
        <v>24.4461922677737</v>
      </c>
      <c r="E2057" s="0" t="s">
        <v>522</v>
      </c>
    </row>
    <row r="2058" customFormat="false" ht="15" hidden="false" customHeight="false" outlineLevel="0" collapsed="false">
      <c r="A2058" s="0" t="s">
        <v>187</v>
      </c>
      <c r="B2058" s="0" t="n">
        <v>2018</v>
      </c>
      <c r="C2058" s="0" t="s">
        <v>43</v>
      </c>
      <c r="D2058" s="0" t="n">
        <v>1.39228586940845</v>
      </c>
      <c r="E2058" s="0" t="s">
        <v>522</v>
      </c>
    </row>
    <row r="2059" customFormat="false" ht="15" hidden="false" customHeight="false" outlineLevel="0" collapsed="false">
      <c r="A2059" s="0" t="s">
        <v>187</v>
      </c>
      <c r="B2059" s="0" t="n">
        <v>2018</v>
      </c>
      <c r="C2059" s="0" t="s">
        <v>31</v>
      </c>
      <c r="D2059" s="0" t="n">
        <v>84.8910780587738</v>
      </c>
      <c r="E2059" s="0" t="s">
        <v>522</v>
      </c>
    </row>
    <row r="2060" customFormat="false" ht="15" hidden="false" customHeight="false" outlineLevel="0" collapsed="false">
      <c r="A2060" s="0" t="s">
        <v>187</v>
      </c>
      <c r="B2060" s="0" t="n">
        <v>2018</v>
      </c>
      <c r="C2060" s="0" t="s">
        <v>33</v>
      </c>
      <c r="D2060" s="0" t="n">
        <v>14.0963923105648</v>
      </c>
      <c r="E2060" s="0" t="s">
        <v>522</v>
      </c>
    </row>
    <row r="2061" customFormat="false" ht="15" hidden="false" customHeight="false" outlineLevel="0" collapsed="false">
      <c r="A2061" s="0" t="s">
        <v>187</v>
      </c>
      <c r="B2061" s="0" t="n">
        <v>2018</v>
      </c>
      <c r="C2061" s="0" t="s">
        <v>21</v>
      </c>
      <c r="D2061" s="0" t="n">
        <v>0</v>
      </c>
      <c r="E2061" s="0" t="s">
        <v>522</v>
      </c>
    </row>
    <row r="2062" customFormat="false" ht="15" hidden="false" customHeight="false" outlineLevel="0" collapsed="false">
      <c r="A2062" s="0" t="s">
        <v>187</v>
      </c>
      <c r="B2062" s="0" t="n">
        <v>2018</v>
      </c>
      <c r="C2062" s="0" t="s">
        <v>35</v>
      </c>
      <c r="D2062" s="0" t="n">
        <v>0</v>
      </c>
      <c r="E2062" s="0" t="s">
        <v>522</v>
      </c>
    </row>
    <row r="2063" customFormat="false" ht="15" hidden="false" customHeight="false" outlineLevel="0" collapsed="false">
      <c r="A2063" s="0" t="s">
        <v>187</v>
      </c>
      <c r="B2063" s="0" t="n">
        <v>2019</v>
      </c>
      <c r="C2063" s="0" t="s">
        <v>54</v>
      </c>
      <c r="D2063" s="0" t="n">
        <v>24375</v>
      </c>
      <c r="E2063" s="0" t="s">
        <v>521</v>
      </c>
      <c r="G2063" s="0" t="s">
        <v>196</v>
      </c>
    </row>
    <row r="2064" customFormat="false" ht="15" hidden="false" customHeight="false" outlineLevel="0" collapsed="false">
      <c r="A2064" s="0" t="s">
        <v>187</v>
      </c>
      <c r="B2064" s="0" t="n">
        <v>2019</v>
      </c>
      <c r="C2064" s="0" t="s">
        <v>55</v>
      </c>
      <c r="D2064" s="0" t="n">
        <v>1711739</v>
      </c>
      <c r="E2064" s="0" t="s">
        <v>521</v>
      </c>
      <c r="G2064" s="0" t="s">
        <v>196</v>
      </c>
    </row>
    <row r="2065" customFormat="false" ht="15" hidden="false" customHeight="false" outlineLevel="0" collapsed="false">
      <c r="A2065" s="0" t="s">
        <v>187</v>
      </c>
      <c r="B2065" s="0" t="n">
        <v>2019</v>
      </c>
      <c r="C2065" s="0" t="s">
        <v>56</v>
      </c>
      <c r="D2065" s="0" t="n">
        <v>1480547</v>
      </c>
      <c r="E2065" s="0" t="s">
        <v>521</v>
      </c>
      <c r="G2065" s="0" t="s">
        <v>196</v>
      </c>
    </row>
    <row r="2066" customFormat="false" ht="15" hidden="false" customHeight="false" outlineLevel="0" collapsed="false">
      <c r="A2066" s="0" t="s">
        <v>187</v>
      </c>
      <c r="B2066" s="0" t="n">
        <v>2019</v>
      </c>
      <c r="C2066" s="0" t="s">
        <v>57</v>
      </c>
      <c r="D2066" s="0" t="n">
        <v>231192</v>
      </c>
      <c r="E2066" s="0" t="s">
        <v>521</v>
      </c>
      <c r="G2066" s="0" t="s">
        <v>196</v>
      </c>
    </row>
    <row r="2067" customFormat="false" ht="15" hidden="false" customHeight="false" outlineLevel="0" collapsed="false">
      <c r="A2067" s="0" t="s">
        <v>187</v>
      </c>
      <c r="B2067" s="0" t="n">
        <v>2019</v>
      </c>
      <c r="C2067" s="0" t="s">
        <v>58</v>
      </c>
      <c r="D2067" s="0" t="n">
        <v>207318</v>
      </c>
      <c r="E2067" s="0" t="s">
        <v>521</v>
      </c>
      <c r="G2067" s="0" t="s">
        <v>196</v>
      </c>
    </row>
    <row r="2068" customFormat="false" ht="15" hidden="false" customHeight="false" outlineLevel="0" collapsed="false">
      <c r="A2068" s="0" t="s">
        <v>187</v>
      </c>
      <c r="B2068" s="0" t="n">
        <v>2019</v>
      </c>
      <c r="C2068" s="0" t="s">
        <v>59</v>
      </c>
      <c r="D2068" s="0" t="n">
        <v>1324297</v>
      </c>
      <c r="E2068" s="0" t="s">
        <v>521</v>
      </c>
      <c r="G2068" s="0" t="s">
        <v>196</v>
      </c>
    </row>
    <row r="2069" customFormat="false" ht="15" hidden="false" customHeight="false" outlineLevel="0" collapsed="false">
      <c r="A2069" s="0" t="s">
        <v>187</v>
      </c>
      <c r="B2069" s="0" t="n">
        <v>2019</v>
      </c>
      <c r="C2069" s="0" t="s">
        <v>60</v>
      </c>
      <c r="D2069" s="0" t="n">
        <v>595298</v>
      </c>
      <c r="E2069" s="0" t="s">
        <v>521</v>
      </c>
      <c r="G2069" s="0" t="s">
        <v>196</v>
      </c>
    </row>
    <row r="2070" customFormat="false" ht="15" hidden="false" customHeight="false" outlineLevel="0" collapsed="false">
      <c r="A2070" s="0" t="s">
        <v>187</v>
      </c>
      <c r="B2070" s="0" t="n">
        <v>2019</v>
      </c>
      <c r="C2070" s="0" t="s">
        <v>61</v>
      </c>
      <c r="D2070" s="0" t="n">
        <v>44685</v>
      </c>
      <c r="E2070" s="0" t="s">
        <v>521</v>
      </c>
      <c r="G2070" s="0" t="s">
        <v>196</v>
      </c>
    </row>
    <row r="2071" customFormat="false" ht="15" hidden="false" customHeight="false" outlineLevel="0" collapsed="false">
      <c r="A2071" s="0" t="s">
        <v>187</v>
      </c>
      <c r="B2071" s="0" t="n">
        <v>2019</v>
      </c>
      <c r="C2071" s="0" t="s">
        <v>62</v>
      </c>
      <c r="D2071" s="0" t="n">
        <v>550613</v>
      </c>
      <c r="E2071" s="0" t="s">
        <v>521</v>
      </c>
      <c r="G2071" s="0" t="s">
        <v>196</v>
      </c>
    </row>
    <row r="2072" customFormat="false" ht="15" hidden="false" customHeight="false" outlineLevel="0" collapsed="false">
      <c r="A2072" s="0" t="s">
        <v>187</v>
      </c>
      <c r="B2072" s="0" t="n">
        <v>2019</v>
      </c>
      <c r="C2072" s="0" t="s">
        <v>63</v>
      </c>
      <c r="D2072" s="0" t="n">
        <v>-504</v>
      </c>
      <c r="E2072" s="0" t="s">
        <v>521</v>
      </c>
      <c r="G2072" s="0" t="s">
        <v>196</v>
      </c>
    </row>
    <row r="2073" customFormat="false" ht="15" hidden="false" customHeight="false" outlineLevel="0" collapsed="false">
      <c r="A2073" s="0" t="s">
        <v>187</v>
      </c>
      <c r="B2073" s="0" t="n">
        <v>2019</v>
      </c>
      <c r="C2073" s="0" t="s">
        <v>1038</v>
      </c>
      <c r="D2073" s="0" t="n">
        <v>-688</v>
      </c>
      <c r="E2073" s="0" t="s">
        <v>521</v>
      </c>
      <c r="G2073" s="0" t="s">
        <v>196</v>
      </c>
    </row>
    <row r="2074" customFormat="false" ht="15" hidden="false" customHeight="false" outlineLevel="0" collapsed="false">
      <c r="A2074" s="0" t="s">
        <v>187</v>
      </c>
      <c r="B2074" s="0" t="n">
        <v>2019</v>
      </c>
      <c r="C2074" s="0" t="s">
        <v>1366</v>
      </c>
      <c r="D2074" s="0" t="n">
        <v>184</v>
      </c>
      <c r="E2074" s="0" t="s">
        <v>521</v>
      </c>
      <c r="G2074" s="0" t="s">
        <v>196</v>
      </c>
    </row>
    <row r="2075" customFormat="false" ht="15" hidden="false" customHeight="false" outlineLevel="0" collapsed="false">
      <c r="A2075" s="0" t="s">
        <v>187</v>
      </c>
      <c r="B2075" s="0" t="n">
        <v>2019</v>
      </c>
      <c r="C2075" s="0" t="s">
        <v>64</v>
      </c>
      <c r="D2075" s="0" t="n">
        <v>34760</v>
      </c>
      <c r="E2075" s="0" t="s">
        <v>521</v>
      </c>
      <c r="G2075" s="0" t="s">
        <v>196</v>
      </c>
    </row>
    <row r="2076" customFormat="false" ht="15" hidden="false" customHeight="false" outlineLevel="0" collapsed="false">
      <c r="A2076" s="0" t="s">
        <v>187</v>
      </c>
      <c r="B2076" s="0" t="n">
        <v>2019</v>
      </c>
      <c r="C2076" s="0" t="s">
        <v>69</v>
      </c>
      <c r="D2076" s="0" t="n">
        <v>15.91</v>
      </c>
      <c r="E2076" s="0" t="s">
        <v>521</v>
      </c>
      <c r="G2076" s="0" t="s">
        <v>196</v>
      </c>
    </row>
    <row r="2077" customFormat="false" ht="15" hidden="false" customHeight="false" outlineLevel="0" collapsed="false">
      <c r="A2077" s="0" t="s">
        <v>187</v>
      </c>
      <c r="B2077" s="0" t="n">
        <v>2019</v>
      </c>
      <c r="C2077" s="0" t="s">
        <v>614</v>
      </c>
      <c r="D2077" s="0" t="n">
        <v>19.73</v>
      </c>
      <c r="E2077" s="0" t="s">
        <v>521</v>
      </c>
      <c r="G2077" s="0" t="s">
        <v>196</v>
      </c>
    </row>
    <row r="2078" customFormat="false" ht="15" hidden="false" customHeight="false" outlineLevel="0" collapsed="false">
      <c r="A2078" s="0" t="s">
        <v>187</v>
      </c>
      <c r="B2078" s="0" t="n">
        <v>2019</v>
      </c>
      <c r="C2078" s="0" t="s">
        <v>70</v>
      </c>
      <c r="D2078" s="0" t="n">
        <v>15</v>
      </c>
      <c r="E2078" s="0" t="s">
        <v>521</v>
      </c>
      <c r="G2078" s="0" t="s">
        <v>196</v>
      </c>
    </row>
    <row r="2079" customFormat="false" ht="15" hidden="false" customHeight="false" outlineLevel="0" collapsed="false">
      <c r="A2079" s="0" t="s">
        <v>187</v>
      </c>
      <c r="B2079" s="0" t="n">
        <v>2019</v>
      </c>
      <c r="C2079" s="0" t="s">
        <v>65</v>
      </c>
      <c r="D2079" s="0" t="n">
        <v>139997</v>
      </c>
      <c r="E2079" s="0" t="s">
        <v>521</v>
      </c>
      <c r="G2079" s="0" t="s">
        <v>196</v>
      </c>
    </row>
    <row r="2080" customFormat="false" ht="15" hidden="false" customHeight="false" outlineLevel="0" collapsed="false">
      <c r="A2080" s="0" t="s">
        <v>187</v>
      </c>
      <c r="B2080" s="0" t="n">
        <v>2019</v>
      </c>
      <c r="C2080" s="0" t="s">
        <v>66</v>
      </c>
      <c r="D2080" s="0" t="n">
        <v>880146</v>
      </c>
      <c r="E2080" s="0" t="s">
        <v>521</v>
      </c>
      <c r="G2080" s="0" t="s">
        <v>196</v>
      </c>
    </row>
    <row r="2081" customFormat="false" ht="15" hidden="false" customHeight="false" outlineLevel="0" collapsed="false">
      <c r="A2081" s="0" t="s">
        <v>187</v>
      </c>
      <c r="B2081" s="0" t="n">
        <v>2019</v>
      </c>
      <c r="C2081" s="0" t="s">
        <v>619</v>
      </c>
      <c r="D2081" s="0" t="n">
        <v>173634</v>
      </c>
      <c r="E2081" s="0" t="s">
        <v>521</v>
      </c>
      <c r="G2081" s="0" t="s">
        <v>196</v>
      </c>
    </row>
    <row r="2082" customFormat="false" ht="15" hidden="false" customHeight="false" outlineLevel="0" collapsed="false">
      <c r="A2082" s="0" t="s">
        <v>187</v>
      </c>
      <c r="B2082" s="0" t="n">
        <v>2019</v>
      </c>
      <c r="C2082" s="0" t="s">
        <v>1367</v>
      </c>
      <c r="D2082" s="0" t="n">
        <v>33637</v>
      </c>
      <c r="E2082" s="0" t="s">
        <v>521</v>
      </c>
      <c r="G2082" s="0" t="s">
        <v>196</v>
      </c>
    </row>
    <row r="2083" customFormat="false" ht="15" hidden="false" customHeight="false" outlineLevel="0" collapsed="false">
      <c r="A2083" s="0" t="s">
        <v>187</v>
      </c>
      <c r="B2083" s="0" t="n">
        <v>2019</v>
      </c>
      <c r="C2083" s="0" t="s">
        <v>67</v>
      </c>
      <c r="D2083" s="0" t="n">
        <v>58769</v>
      </c>
      <c r="E2083" s="0" t="s">
        <v>521</v>
      </c>
      <c r="G2083" s="0" t="s">
        <v>196</v>
      </c>
    </row>
    <row r="2084" customFormat="false" ht="15" hidden="false" customHeight="false" outlineLevel="0" collapsed="false">
      <c r="A2084" s="0" t="s">
        <v>187</v>
      </c>
      <c r="B2084" s="0" t="n">
        <v>2019</v>
      </c>
      <c r="C2084" s="0" t="s">
        <v>68</v>
      </c>
      <c r="D2084" s="0" t="n">
        <v>16198</v>
      </c>
      <c r="E2084" s="0" t="s">
        <v>521</v>
      </c>
      <c r="G2084" s="0" t="s">
        <v>196</v>
      </c>
    </row>
    <row r="2085" customFormat="false" ht="15" hidden="false" customHeight="false" outlineLevel="0" collapsed="false">
      <c r="A2085" s="0" t="s">
        <v>187</v>
      </c>
      <c r="B2085" s="0" t="n">
        <v>2019</v>
      </c>
      <c r="C2085" s="0" t="s">
        <v>541</v>
      </c>
      <c r="D2085" s="0" t="n">
        <v>24746</v>
      </c>
      <c r="E2085" s="0" t="s">
        <v>521</v>
      </c>
      <c r="G2085" s="0" t="s">
        <v>196</v>
      </c>
    </row>
    <row r="2086" customFormat="false" ht="15" hidden="false" customHeight="false" outlineLevel="0" collapsed="false">
      <c r="A2086" s="0" t="s">
        <v>187</v>
      </c>
      <c r="B2086" s="0" t="n">
        <v>2019</v>
      </c>
      <c r="C2086" s="0" t="s">
        <v>1327</v>
      </c>
      <c r="D2086" s="0" t="n">
        <v>159861</v>
      </c>
      <c r="E2086" s="0" t="s">
        <v>521</v>
      </c>
      <c r="G2086" s="0" t="s">
        <v>196</v>
      </c>
    </row>
    <row r="2087" customFormat="false" ht="15" hidden="false" customHeight="false" outlineLevel="0" collapsed="false">
      <c r="A2087" s="0" t="s">
        <v>187</v>
      </c>
      <c r="B2087" s="0" t="n">
        <v>2019</v>
      </c>
      <c r="C2087" s="0" t="s">
        <v>19</v>
      </c>
      <c r="D2087" s="0" t="n">
        <v>1518018</v>
      </c>
      <c r="E2087" s="0" t="s">
        <v>522</v>
      </c>
    </row>
    <row r="2088" customFormat="false" ht="15" hidden="false" customHeight="false" outlineLevel="0" collapsed="false">
      <c r="A2088" s="0" t="s">
        <v>187</v>
      </c>
      <c r="B2088" s="0" t="n">
        <v>2019</v>
      </c>
      <c r="C2088" s="0" t="s">
        <v>41</v>
      </c>
      <c r="D2088" s="0" t="n">
        <v>1.60571218523101</v>
      </c>
      <c r="E2088" s="0" t="s">
        <v>522</v>
      </c>
    </row>
    <row r="2089" customFormat="false" ht="15" hidden="false" customHeight="false" outlineLevel="0" collapsed="false">
      <c r="A2089" s="0" t="s">
        <v>187</v>
      </c>
      <c r="B2089" s="0" t="n">
        <v>2019</v>
      </c>
      <c r="C2089" s="0" t="s">
        <v>27</v>
      </c>
      <c r="D2089" s="0" t="n">
        <v>13.5062646817067</v>
      </c>
      <c r="E2089" s="0" t="s">
        <v>522</v>
      </c>
    </row>
    <row r="2090" customFormat="false" ht="15" hidden="false" customHeight="false" outlineLevel="0" collapsed="false">
      <c r="A2090" s="0" t="s">
        <v>187</v>
      </c>
      <c r="B2090" s="0" t="n">
        <v>2019</v>
      </c>
      <c r="C2090" s="0" t="s">
        <v>39</v>
      </c>
      <c r="D2090" s="0" t="n">
        <v>13.6571503104706</v>
      </c>
      <c r="E2090" s="0" t="s">
        <v>522</v>
      </c>
    </row>
    <row r="2091" customFormat="false" ht="15" hidden="false" customHeight="false" outlineLevel="0" collapsed="false">
      <c r="A2091" s="0" t="s">
        <v>187</v>
      </c>
      <c r="B2091" s="0" t="n">
        <v>2019</v>
      </c>
      <c r="C2091" s="0" t="s">
        <v>17</v>
      </c>
      <c r="D2091" s="0" t="n">
        <v>7.50632456349593</v>
      </c>
      <c r="E2091" s="0" t="s">
        <v>522</v>
      </c>
    </row>
    <row r="2092" customFormat="false" ht="15" hidden="false" customHeight="false" outlineLevel="0" collapsed="false">
      <c r="A2092" s="0" t="s">
        <v>187</v>
      </c>
      <c r="B2092" s="0" t="n">
        <v>2019</v>
      </c>
      <c r="C2092" s="0" t="s">
        <v>25</v>
      </c>
      <c r="D2092" s="0" t="n">
        <v>15.9061110315789</v>
      </c>
      <c r="E2092" s="0" t="s">
        <v>522</v>
      </c>
    </row>
    <row r="2093" customFormat="false" ht="15" hidden="false" customHeight="false" outlineLevel="0" collapsed="false">
      <c r="A2093" s="0" t="s">
        <v>187</v>
      </c>
      <c r="B2093" s="0" t="n">
        <v>2019</v>
      </c>
      <c r="C2093" s="0" t="s">
        <v>29</v>
      </c>
      <c r="D2093" s="0" t="n">
        <v>-0.0332011873376996</v>
      </c>
      <c r="E2093" s="0" t="s">
        <v>522</v>
      </c>
    </row>
    <row r="2094" customFormat="false" ht="15" hidden="false" customHeight="false" outlineLevel="0" collapsed="false">
      <c r="A2094" s="0" t="s">
        <v>187</v>
      </c>
      <c r="B2094" s="0" t="n">
        <v>2019</v>
      </c>
      <c r="C2094" s="0" t="s">
        <v>23</v>
      </c>
      <c r="D2094" s="0" t="n">
        <v>128.552934407365</v>
      </c>
      <c r="E2094" s="0" t="s">
        <v>522</v>
      </c>
    </row>
    <row r="2095" customFormat="false" ht="15" hidden="false" customHeight="false" outlineLevel="0" collapsed="false">
      <c r="A2095" s="0" t="s">
        <v>187</v>
      </c>
      <c r="B2095" s="0" t="n">
        <v>2019</v>
      </c>
      <c r="C2095" s="0" t="s">
        <v>37</v>
      </c>
      <c r="D2095" s="0" t="n">
        <v>5.83909235374552</v>
      </c>
      <c r="E2095" s="0" t="s">
        <v>522</v>
      </c>
    </row>
    <row r="2096" customFormat="false" ht="15" hidden="false" customHeight="false" outlineLevel="0" collapsed="false">
      <c r="A2096" s="0" t="s">
        <v>187</v>
      </c>
      <c r="B2096" s="0" t="n">
        <v>2019</v>
      </c>
      <c r="C2096" s="0" t="s">
        <v>47</v>
      </c>
      <c r="D2096" s="0" t="n">
        <v>9.87219846194679</v>
      </c>
      <c r="E2096" s="0" t="s">
        <v>522</v>
      </c>
    </row>
    <row r="2097" customFormat="false" ht="15" hidden="false" customHeight="false" outlineLevel="0" collapsed="false">
      <c r="A2097" s="0" t="s">
        <v>187</v>
      </c>
      <c r="B2097" s="0" t="n">
        <v>2019</v>
      </c>
      <c r="C2097" s="0" t="s">
        <v>45</v>
      </c>
      <c r="D2097" s="0" t="n">
        <v>27.5621501131549</v>
      </c>
      <c r="E2097" s="0" t="s">
        <v>522</v>
      </c>
    </row>
    <row r="2098" customFormat="false" ht="15" hidden="false" customHeight="false" outlineLevel="0" collapsed="false">
      <c r="A2098" s="0" t="s">
        <v>187</v>
      </c>
      <c r="B2098" s="0" t="n">
        <v>2019</v>
      </c>
      <c r="C2098" s="0" t="s">
        <v>43</v>
      </c>
      <c r="D2098" s="0" t="n">
        <v>1.42399045648899</v>
      </c>
      <c r="E2098" s="0" t="s">
        <v>522</v>
      </c>
    </row>
    <row r="2099" customFormat="false" ht="15" hidden="false" customHeight="false" outlineLevel="0" collapsed="false">
      <c r="A2099" s="0" t="s">
        <v>187</v>
      </c>
      <c r="B2099" s="0" t="n">
        <v>2019</v>
      </c>
      <c r="C2099" s="0" t="s">
        <v>31</v>
      </c>
      <c r="D2099" s="0" t="n">
        <v>86.4937353182933</v>
      </c>
      <c r="E2099" s="0" t="s">
        <v>522</v>
      </c>
    </row>
    <row r="2100" customFormat="false" ht="15" hidden="false" customHeight="false" outlineLevel="0" collapsed="false">
      <c r="A2100" s="0" t="s">
        <v>187</v>
      </c>
      <c r="B2100" s="0" t="n">
        <v>2019</v>
      </c>
      <c r="C2100" s="0" t="s">
        <v>33</v>
      </c>
      <c r="D2100" s="0" t="n">
        <v>14.3530203707906</v>
      </c>
      <c r="E2100" s="0" t="s">
        <v>522</v>
      </c>
    </row>
    <row r="2101" customFormat="false" ht="15" hidden="false" customHeight="false" outlineLevel="0" collapsed="false">
      <c r="A2101" s="0" t="s">
        <v>187</v>
      </c>
      <c r="B2101" s="0" t="n">
        <v>2019</v>
      </c>
      <c r="C2101" s="0" t="s">
        <v>21</v>
      </c>
      <c r="D2101" s="0" t="n">
        <v>0</v>
      </c>
      <c r="E2101" s="0" t="s">
        <v>522</v>
      </c>
    </row>
    <row r="2102" customFormat="false" ht="15" hidden="false" customHeight="false" outlineLevel="0" collapsed="false">
      <c r="A2102" s="0" t="s">
        <v>187</v>
      </c>
      <c r="B2102" s="0" t="n">
        <v>2019</v>
      </c>
      <c r="C2102" s="0" t="s">
        <v>35</v>
      </c>
      <c r="D2102" s="0" t="n">
        <v>0</v>
      </c>
      <c r="E2102" s="0" t="s">
        <v>522</v>
      </c>
    </row>
    <row r="2103" customFormat="false" ht="15" hidden="false" customHeight="false" outlineLevel="0" collapsed="false">
      <c r="A2103" s="0" t="s">
        <v>187</v>
      </c>
      <c r="B2103" s="0" t="n">
        <v>2020</v>
      </c>
      <c r="C2103" s="0" t="s">
        <v>54</v>
      </c>
      <c r="D2103" s="0" t="n">
        <v>24653</v>
      </c>
      <c r="E2103" s="0" t="s">
        <v>521</v>
      </c>
      <c r="G2103" s="0" t="s">
        <v>197</v>
      </c>
    </row>
    <row r="2104" customFormat="false" ht="15" hidden="false" customHeight="false" outlineLevel="0" collapsed="false">
      <c r="A2104" s="0" t="s">
        <v>187</v>
      </c>
      <c r="B2104" s="0" t="n">
        <v>2020</v>
      </c>
      <c r="C2104" s="0" t="s">
        <v>55</v>
      </c>
      <c r="D2104" s="0" t="n">
        <v>2073758</v>
      </c>
      <c r="E2104" s="0" t="s">
        <v>521</v>
      </c>
      <c r="G2104" s="0" t="s">
        <v>197</v>
      </c>
    </row>
    <row r="2105" customFormat="false" ht="15" hidden="false" customHeight="false" outlineLevel="0" collapsed="false">
      <c r="A2105" s="0" t="s">
        <v>187</v>
      </c>
      <c r="B2105" s="0" t="n">
        <v>2020</v>
      </c>
      <c r="C2105" s="0" t="s">
        <v>56</v>
      </c>
      <c r="D2105" s="0" t="n">
        <v>1826237</v>
      </c>
      <c r="E2105" s="0" t="s">
        <v>521</v>
      </c>
      <c r="G2105" s="0" t="s">
        <v>197</v>
      </c>
    </row>
    <row r="2106" customFormat="false" ht="15" hidden="false" customHeight="false" outlineLevel="0" collapsed="false">
      <c r="A2106" s="0" t="s">
        <v>187</v>
      </c>
      <c r="B2106" s="0" t="n">
        <v>2020</v>
      </c>
      <c r="C2106" s="0" t="s">
        <v>57</v>
      </c>
      <c r="D2106" s="0" t="n">
        <v>247521</v>
      </c>
      <c r="E2106" s="0" t="s">
        <v>521</v>
      </c>
      <c r="G2106" s="0" t="s">
        <v>197</v>
      </c>
    </row>
    <row r="2107" customFormat="false" ht="15" hidden="false" customHeight="false" outlineLevel="0" collapsed="false">
      <c r="A2107" s="0" t="s">
        <v>187</v>
      </c>
      <c r="B2107" s="0" t="n">
        <v>2020</v>
      </c>
      <c r="C2107" s="0" t="s">
        <v>58</v>
      </c>
      <c r="D2107" s="0" t="n">
        <v>-35912</v>
      </c>
      <c r="E2107" s="0" t="s">
        <v>521</v>
      </c>
      <c r="G2107" s="0" t="s">
        <v>197</v>
      </c>
    </row>
    <row r="2108" customFormat="false" ht="15" hidden="false" customHeight="false" outlineLevel="0" collapsed="false">
      <c r="A2108" s="0" t="s">
        <v>187</v>
      </c>
      <c r="B2108" s="0" t="n">
        <v>2020</v>
      </c>
      <c r="C2108" s="0" t="s">
        <v>59</v>
      </c>
      <c r="D2108" s="0" t="n">
        <v>1711739</v>
      </c>
      <c r="E2108" s="0" t="s">
        <v>521</v>
      </c>
      <c r="G2108" s="0" t="s">
        <v>197</v>
      </c>
    </row>
    <row r="2109" customFormat="false" ht="15" hidden="false" customHeight="false" outlineLevel="0" collapsed="false">
      <c r="A2109" s="0" t="s">
        <v>187</v>
      </c>
      <c r="B2109" s="0" t="n">
        <v>2020</v>
      </c>
      <c r="C2109" s="0" t="s">
        <v>60</v>
      </c>
      <c r="D2109" s="0" t="n">
        <v>736712</v>
      </c>
      <c r="E2109" s="0" t="s">
        <v>521</v>
      </c>
      <c r="G2109" s="0" t="s">
        <v>197</v>
      </c>
    </row>
    <row r="2110" customFormat="false" ht="15" hidden="false" customHeight="false" outlineLevel="0" collapsed="false">
      <c r="A2110" s="0" t="s">
        <v>187</v>
      </c>
      <c r="B2110" s="0" t="n">
        <v>2020</v>
      </c>
      <c r="C2110" s="0" t="s">
        <v>61</v>
      </c>
      <c r="D2110" s="0" t="n">
        <v>43909</v>
      </c>
      <c r="E2110" s="0" t="s">
        <v>521</v>
      </c>
      <c r="G2110" s="0" t="s">
        <v>197</v>
      </c>
    </row>
    <row r="2111" customFormat="false" ht="15" hidden="false" customHeight="false" outlineLevel="0" collapsed="false">
      <c r="A2111" s="0" t="s">
        <v>187</v>
      </c>
      <c r="B2111" s="0" t="n">
        <v>2020</v>
      </c>
      <c r="C2111" s="0" t="s">
        <v>62</v>
      </c>
      <c r="D2111" s="0" t="n">
        <v>692803</v>
      </c>
      <c r="E2111" s="0" t="s">
        <v>521</v>
      </c>
      <c r="G2111" s="0" t="s">
        <v>197</v>
      </c>
    </row>
    <row r="2112" customFormat="false" ht="15" hidden="false" customHeight="false" outlineLevel="0" collapsed="false">
      <c r="A2112" s="0" t="s">
        <v>187</v>
      </c>
      <c r="B2112" s="0" t="n">
        <v>2020</v>
      </c>
      <c r="C2112" s="0" t="s">
        <v>63</v>
      </c>
      <c r="D2112" s="0" t="n">
        <v>-2559</v>
      </c>
      <c r="E2112" s="0" t="s">
        <v>521</v>
      </c>
      <c r="G2112" s="0" t="s">
        <v>197</v>
      </c>
    </row>
    <row r="2113" customFormat="false" ht="15" hidden="false" customHeight="false" outlineLevel="0" collapsed="false">
      <c r="A2113" s="0" t="s">
        <v>187</v>
      </c>
      <c r="B2113" s="0" t="n">
        <v>2020</v>
      </c>
      <c r="C2113" s="0" t="s">
        <v>1038</v>
      </c>
      <c r="D2113" s="0" t="n">
        <v>-306</v>
      </c>
      <c r="E2113" s="0" t="s">
        <v>521</v>
      </c>
      <c r="G2113" s="0" t="s">
        <v>197</v>
      </c>
    </row>
    <row r="2114" customFormat="false" ht="15" hidden="false" customHeight="false" outlineLevel="0" collapsed="false">
      <c r="A2114" s="0" t="s">
        <v>187</v>
      </c>
      <c r="B2114" s="0" t="n">
        <v>2020</v>
      </c>
      <c r="C2114" s="0" t="s">
        <v>1366</v>
      </c>
      <c r="D2114" s="0" t="n">
        <v>-2253</v>
      </c>
      <c r="E2114" s="0" t="s">
        <v>521</v>
      </c>
      <c r="G2114" s="0" t="s">
        <v>197</v>
      </c>
    </row>
    <row r="2115" customFormat="false" ht="15" hidden="false" customHeight="false" outlineLevel="0" collapsed="false">
      <c r="A2115" s="0" t="s">
        <v>187</v>
      </c>
      <c r="B2115" s="0" t="n">
        <v>2020</v>
      </c>
      <c r="C2115" s="0" t="s">
        <v>69</v>
      </c>
      <c r="D2115" s="0" t="n">
        <v>15.76</v>
      </c>
      <c r="E2115" s="0" t="s">
        <v>521</v>
      </c>
      <c r="G2115" s="0" t="s">
        <v>197</v>
      </c>
    </row>
    <row r="2116" customFormat="false" ht="15" hidden="false" customHeight="false" outlineLevel="0" collapsed="false">
      <c r="A2116" s="0" t="s">
        <v>187</v>
      </c>
      <c r="B2116" s="0" t="n">
        <v>2020</v>
      </c>
      <c r="C2116" s="0" t="s">
        <v>614</v>
      </c>
      <c r="D2116" s="0" t="n">
        <v>17.46</v>
      </c>
      <c r="E2116" s="0" t="s">
        <v>521</v>
      </c>
      <c r="G2116" s="0" t="s">
        <v>197</v>
      </c>
    </row>
    <row r="2117" customFormat="false" ht="15" hidden="false" customHeight="false" outlineLevel="0" collapsed="false">
      <c r="A2117" s="0" t="s">
        <v>187</v>
      </c>
      <c r="B2117" s="0" t="n">
        <v>2020</v>
      </c>
      <c r="C2117" s="0" t="s">
        <v>70</v>
      </c>
      <c r="D2117" s="0" t="n">
        <v>15</v>
      </c>
      <c r="E2117" s="0" t="s">
        <v>521</v>
      </c>
      <c r="G2117" s="0" t="s">
        <v>197</v>
      </c>
    </row>
    <row r="2118" customFormat="false" ht="15" hidden="false" customHeight="false" outlineLevel="0" collapsed="false">
      <c r="A2118" s="0" t="s">
        <v>187</v>
      </c>
      <c r="B2118" s="0" t="n">
        <v>2020</v>
      </c>
      <c r="C2118" s="0" t="s">
        <v>65</v>
      </c>
      <c r="D2118" s="0" t="n">
        <v>156168</v>
      </c>
      <c r="E2118" s="0" t="s">
        <v>521</v>
      </c>
      <c r="G2118" s="0" t="s">
        <v>197</v>
      </c>
    </row>
    <row r="2119" customFormat="false" ht="15" hidden="false" customHeight="false" outlineLevel="0" collapsed="false">
      <c r="A2119" s="0" t="s">
        <v>187</v>
      </c>
      <c r="B2119" s="0" t="n">
        <v>2020</v>
      </c>
      <c r="C2119" s="0" t="s">
        <v>66</v>
      </c>
      <c r="D2119" s="0" t="n">
        <v>990958</v>
      </c>
      <c r="E2119" s="0" t="s">
        <v>521</v>
      </c>
      <c r="G2119" s="0" t="s">
        <v>197</v>
      </c>
    </row>
    <row r="2120" customFormat="false" ht="15" hidden="false" customHeight="false" outlineLevel="0" collapsed="false">
      <c r="A2120" s="0" t="s">
        <v>187</v>
      </c>
      <c r="B2120" s="0" t="n">
        <v>2020</v>
      </c>
      <c r="C2120" s="0" t="s">
        <v>619</v>
      </c>
      <c r="D2120" s="0" t="n">
        <v>172986</v>
      </c>
      <c r="E2120" s="0" t="s">
        <v>521</v>
      </c>
      <c r="G2120" s="0" t="s">
        <v>197</v>
      </c>
    </row>
    <row r="2121" customFormat="false" ht="15" hidden="false" customHeight="false" outlineLevel="0" collapsed="false">
      <c r="A2121" s="0" t="s">
        <v>187</v>
      </c>
      <c r="B2121" s="0" t="n">
        <v>2020</v>
      </c>
      <c r="C2121" s="0" t="s">
        <v>1367</v>
      </c>
      <c r="D2121" s="0" t="n">
        <v>16818</v>
      </c>
      <c r="E2121" s="0" t="s">
        <v>521</v>
      </c>
      <c r="G2121" s="0" t="s">
        <v>197</v>
      </c>
    </row>
    <row r="2122" customFormat="false" ht="15" hidden="false" customHeight="false" outlineLevel="0" collapsed="false">
      <c r="A2122" s="0" t="s">
        <v>187</v>
      </c>
      <c r="B2122" s="0" t="n">
        <v>2020</v>
      </c>
      <c r="C2122" s="0" t="s">
        <v>73</v>
      </c>
      <c r="D2122" s="0" t="n">
        <v>0</v>
      </c>
      <c r="E2122" s="0" t="s">
        <v>539</v>
      </c>
      <c r="F2122" s="0" t="s">
        <v>363</v>
      </c>
      <c r="G2122" s="0" t="s">
        <v>1368</v>
      </c>
      <c r="H2122" s="0" t="s">
        <v>366</v>
      </c>
    </row>
    <row r="2123" customFormat="false" ht="15" hidden="false" customHeight="false" outlineLevel="0" collapsed="false">
      <c r="A2123" s="0" t="s">
        <v>187</v>
      </c>
      <c r="B2123" s="0" t="n">
        <v>2020</v>
      </c>
      <c r="C2123" s="0" t="s">
        <v>67</v>
      </c>
      <c r="D2123" s="0" t="n">
        <v>61895</v>
      </c>
      <c r="E2123" s="0" t="s">
        <v>521</v>
      </c>
      <c r="G2123" s="0" t="s">
        <v>197</v>
      </c>
    </row>
    <row r="2124" customFormat="false" ht="15" hidden="false" customHeight="false" outlineLevel="0" collapsed="false">
      <c r="A2124" s="0" t="s">
        <v>187</v>
      </c>
      <c r="B2124" s="0" t="n">
        <v>2020</v>
      </c>
      <c r="C2124" s="0" t="s">
        <v>68</v>
      </c>
      <c r="D2124" s="0" t="n">
        <v>22564</v>
      </c>
      <c r="E2124" s="0" t="s">
        <v>521</v>
      </c>
      <c r="G2124" s="0" t="s">
        <v>197</v>
      </c>
    </row>
    <row r="2125" customFormat="false" ht="15" hidden="false" customHeight="false" outlineLevel="0" collapsed="false">
      <c r="A2125" s="0" t="s">
        <v>187</v>
      </c>
      <c r="B2125" s="0" t="n">
        <v>2020</v>
      </c>
      <c r="C2125" s="0" t="s">
        <v>541</v>
      </c>
      <c r="D2125" s="0" t="n">
        <v>25425</v>
      </c>
      <c r="E2125" s="0" t="s">
        <v>521</v>
      </c>
      <c r="G2125" s="0" t="s">
        <v>197</v>
      </c>
    </row>
    <row r="2126" customFormat="false" ht="15" hidden="false" customHeight="false" outlineLevel="0" collapsed="false">
      <c r="A2126" s="0" t="s">
        <v>187</v>
      </c>
      <c r="B2126" s="0" t="n">
        <v>2020</v>
      </c>
      <c r="C2126" s="0" t="s">
        <v>1327</v>
      </c>
      <c r="D2126" s="0" t="n">
        <v>156885</v>
      </c>
      <c r="E2126" s="0" t="s">
        <v>521</v>
      </c>
      <c r="G2126" s="0" t="s">
        <v>197</v>
      </c>
    </row>
    <row r="2127" customFormat="false" ht="15" hidden="false" customHeight="false" outlineLevel="0" collapsed="false">
      <c r="A2127" s="0" t="s">
        <v>187</v>
      </c>
      <c r="B2127" s="0" t="n">
        <v>2020</v>
      </c>
      <c r="C2127" s="0" t="s">
        <v>19</v>
      </c>
      <c r="D2127" s="0" t="n">
        <v>1892748.5</v>
      </c>
      <c r="E2127" s="0" t="s">
        <v>522</v>
      </c>
    </row>
    <row r="2128" customFormat="false" ht="15" hidden="false" customHeight="false" outlineLevel="0" collapsed="false">
      <c r="A2128" s="0" t="s">
        <v>187</v>
      </c>
      <c r="B2128" s="0" t="n">
        <v>2020</v>
      </c>
      <c r="C2128" s="0" t="s">
        <v>41</v>
      </c>
      <c r="D2128" s="0" t="n">
        <v>1.30249739994511</v>
      </c>
      <c r="E2128" s="0" t="s">
        <v>522</v>
      </c>
    </row>
    <row r="2129" customFormat="false" ht="15" hidden="false" customHeight="false" outlineLevel="0" collapsed="false">
      <c r="A2129" s="0" t="s">
        <v>187</v>
      </c>
      <c r="B2129" s="0" t="n">
        <v>2020</v>
      </c>
      <c r="C2129" s="0" t="s">
        <v>27</v>
      </c>
      <c r="D2129" s="0" t="n">
        <v>11.935867155184</v>
      </c>
      <c r="E2129" s="0" t="s">
        <v>522</v>
      </c>
    </row>
    <row r="2130" customFormat="false" ht="15" hidden="false" customHeight="false" outlineLevel="0" collapsed="false">
      <c r="A2130" s="0" t="s">
        <v>187</v>
      </c>
      <c r="B2130" s="0" t="n">
        <v>2020</v>
      </c>
      <c r="C2130" s="0" t="s">
        <v>39</v>
      </c>
      <c r="D2130" s="0" t="n">
        <v>-1.89734663638619</v>
      </c>
      <c r="E2130" s="0" t="s">
        <v>522</v>
      </c>
    </row>
    <row r="2131" customFormat="false" ht="15" hidden="false" customHeight="false" outlineLevel="0" collapsed="false">
      <c r="A2131" s="0" t="s">
        <v>187</v>
      </c>
      <c r="B2131" s="0" t="n">
        <v>2020</v>
      </c>
      <c r="C2131" s="0" t="s">
        <v>17</v>
      </c>
      <c r="D2131" s="0" t="n">
        <v>5.9601309602667</v>
      </c>
      <c r="E2131" s="0" t="s">
        <v>522</v>
      </c>
    </row>
    <row r="2132" customFormat="false" ht="15" hidden="false" customHeight="false" outlineLevel="0" collapsed="false">
      <c r="A2132" s="0" t="s">
        <v>187</v>
      </c>
      <c r="B2132" s="0" t="n">
        <v>2020</v>
      </c>
      <c r="C2132" s="0" t="s">
        <v>25</v>
      </c>
      <c r="D2132" s="0" t="n">
        <v>15.7592955503664</v>
      </c>
      <c r="E2132" s="0" t="s">
        <v>522</v>
      </c>
    </row>
    <row r="2133" customFormat="false" ht="15" hidden="false" customHeight="false" outlineLevel="0" collapsed="false">
      <c r="A2133" s="0" t="s">
        <v>187</v>
      </c>
      <c r="B2133" s="0" t="n">
        <v>2020</v>
      </c>
      <c r="C2133" s="0" t="s">
        <v>29</v>
      </c>
      <c r="D2133" s="0" t="n">
        <v>-0.135200212812215</v>
      </c>
      <c r="E2133" s="0" t="s">
        <v>522</v>
      </c>
    </row>
    <row r="2134" customFormat="false" ht="15" hidden="false" customHeight="false" outlineLevel="0" collapsed="false">
      <c r="A2134" s="0" t="s">
        <v>187</v>
      </c>
      <c r="B2134" s="0" t="n">
        <v>2020</v>
      </c>
      <c r="C2134" s="0" t="s">
        <v>47</v>
      </c>
      <c r="D2134" s="0" t="n">
        <v>8.40151918252994</v>
      </c>
      <c r="E2134" s="0" t="s">
        <v>522</v>
      </c>
    </row>
    <row r="2135" customFormat="false" ht="15" hidden="false" customHeight="false" outlineLevel="0" collapsed="false">
      <c r="A2135" s="0" t="s">
        <v>187</v>
      </c>
      <c r="B2135" s="0" t="n">
        <v>2020</v>
      </c>
      <c r="C2135" s="0" t="s">
        <v>45</v>
      </c>
      <c r="D2135" s="0" t="n">
        <v>36.4552871799015</v>
      </c>
      <c r="E2135" s="0" t="s">
        <v>522</v>
      </c>
    </row>
    <row r="2136" customFormat="false" ht="15" hidden="false" customHeight="false" outlineLevel="0" collapsed="false">
      <c r="A2136" s="0" t="s">
        <v>187</v>
      </c>
      <c r="B2136" s="0" t="n">
        <v>2020</v>
      </c>
      <c r="C2136" s="0" t="s">
        <v>43</v>
      </c>
      <c r="D2136" s="0" t="n">
        <v>1.18880795155462</v>
      </c>
      <c r="E2136" s="0" t="s">
        <v>522</v>
      </c>
    </row>
    <row r="2137" customFormat="false" ht="15" hidden="false" customHeight="false" outlineLevel="0" collapsed="false">
      <c r="A2137" s="0" t="s">
        <v>187</v>
      </c>
      <c r="B2137" s="0" t="n">
        <v>2020</v>
      </c>
      <c r="C2137" s="0" t="s">
        <v>31</v>
      </c>
      <c r="D2137" s="0" t="n">
        <v>88.064132844816</v>
      </c>
      <c r="E2137" s="0" t="s">
        <v>522</v>
      </c>
    </row>
    <row r="2138" customFormat="false" ht="15" hidden="false" customHeight="false" outlineLevel="0" collapsed="false">
      <c r="A2138" s="0" t="s">
        <v>187</v>
      </c>
      <c r="B2138" s="0" t="n">
        <v>2020</v>
      </c>
      <c r="C2138" s="0" t="s">
        <v>33</v>
      </c>
      <c r="D2138" s="0" t="n">
        <v>14.544872978225</v>
      </c>
      <c r="E2138" s="0" t="s">
        <v>522</v>
      </c>
    </row>
    <row r="2139" customFormat="false" ht="15" hidden="false" customHeight="false" outlineLevel="0" collapsed="false">
      <c r="A2139" s="0" t="s">
        <v>187</v>
      </c>
      <c r="B2139" s="0" t="n">
        <v>2020</v>
      </c>
      <c r="C2139" s="0" t="s">
        <v>21</v>
      </c>
      <c r="D2139" s="0" t="n">
        <v>0</v>
      </c>
      <c r="E2139" s="0" t="s">
        <v>522</v>
      </c>
    </row>
    <row r="2140" customFormat="false" ht="15" hidden="false" customHeight="false" outlineLevel="0" collapsed="false">
      <c r="A2140" s="0" t="s">
        <v>187</v>
      </c>
      <c r="B2140" s="0" t="n">
        <v>2020</v>
      </c>
      <c r="C2140" s="0" t="s">
        <v>35</v>
      </c>
      <c r="D2140" s="0" t="n">
        <v>0</v>
      </c>
      <c r="E2140" s="0" t="s">
        <v>522</v>
      </c>
    </row>
    <row r="2141" customFormat="false" ht="15" hidden="false" customHeight="false" outlineLevel="0" collapsed="false">
      <c r="A2141" s="0" t="s">
        <v>187</v>
      </c>
      <c r="B2141" s="0" t="n">
        <v>2021</v>
      </c>
      <c r="C2141" s="0" t="s">
        <v>54</v>
      </c>
      <c r="D2141" s="0" t="n">
        <v>19180</v>
      </c>
      <c r="E2141" s="0" t="s">
        <v>521</v>
      </c>
      <c r="G2141" s="0" t="s">
        <v>199</v>
      </c>
    </row>
    <row r="2142" customFormat="false" ht="15" hidden="false" customHeight="false" outlineLevel="0" collapsed="false">
      <c r="A2142" s="0" t="s">
        <v>187</v>
      </c>
      <c r="B2142" s="0" t="n">
        <v>2021</v>
      </c>
      <c r="C2142" s="0" t="s">
        <v>55</v>
      </c>
      <c r="D2142" s="0" t="n">
        <v>2567441</v>
      </c>
      <c r="E2142" s="0" t="s">
        <v>521</v>
      </c>
      <c r="G2142" s="0" t="s">
        <v>199</v>
      </c>
    </row>
    <row r="2143" customFormat="false" ht="15" hidden="false" customHeight="false" outlineLevel="0" collapsed="false">
      <c r="A2143" s="0" t="s">
        <v>187</v>
      </c>
      <c r="B2143" s="0" t="n">
        <v>2021</v>
      </c>
      <c r="C2143" s="0" t="s">
        <v>56</v>
      </c>
      <c r="D2143" s="0" t="n">
        <v>2315954</v>
      </c>
      <c r="E2143" s="0" t="s">
        <v>521</v>
      </c>
      <c r="G2143" s="0" t="s">
        <v>199</v>
      </c>
    </row>
    <row r="2144" customFormat="false" ht="15" hidden="false" customHeight="false" outlineLevel="0" collapsed="false">
      <c r="A2144" s="0" t="s">
        <v>187</v>
      </c>
      <c r="B2144" s="0" t="n">
        <v>2021</v>
      </c>
      <c r="C2144" s="0" t="s">
        <v>57</v>
      </c>
      <c r="D2144" s="0" t="n">
        <v>251487</v>
      </c>
      <c r="E2144" s="0" t="s">
        <v>521</v>
      </c>
      <c r="G2144" s="0" t="s">
        <v>199</v>
      </c>
    </row>
    <row r="2145" customFormat="false" ht="15" hidden="false" customHeight="false" outlineLevel="0" collapsed="false">
      <c r="A2145" s="0" t="s">
        <v>187</v>
      </c>
      <c r="B2145" s="0" t="n">
        <v>2021</v>
      </c>
      <c r="C2145" s="0" t="s">
        <v>58</v>
      </c>
      <c r="D2145" s="0" t="n">
        <v>252140</v>
      </c>
      <c r="E2145" s="0" t="s">
        <v>521</v>
      </c>
      <c r="G2145" s="0" t="s">
        <v>199</v>
      </c>
    </row>
    <row r="2146" customFormat="false" ht="15" hidden="false" customHeight="false" outlineLevel="0" collapsed="false">
      <c r="A2146" s="0" t="s">
        <v>187</v>
      </c>
      <c r="B2146" s="0" t="n">
        <v>2021</v>
      </c>
      <c r="C2146" s="0" t="s">
        <v>59</v>
      </c>
      <c r="D2146" s="0" t="n">
        <v>2073758</v>
      </c>
      <c r="E2146" s="0" t="s">
        <v>521</v>
      </c>
      <c r="G2146" s="0" t="s">
        <v>199</v>
      </c>
    </row>
    <row r="2147" customFormat="false" ht="15" hidden="false" customHeight="false" outlineLevel="0" collapsed="false">
      <c r="A2147" s="0" t="s">
        <v>187</v>
      </c>
      <c r="B2147" s="0" t="n">
        <v>2021</v>
      </c>
      <c r="C2147" s="0" t="s">
        <v>60</v>
      </c>
      <c r="D2147" s="0" t="n">
        <v>899106</v>
      </c>
      <c r="E2147" s="0" t="s">
        <v>521</v>
      </c>
      <c r="G2147" s="0" t="s">
        <v>199</v>
      </c>
    </row>
    <row r="2148" customFormat="false" ht="15" hidden="false" customHeight="false" outlineLevel="0" collapsed="false">
      <c r="A2148" s="0" t="s">
        <v>187</v>
      </c>
      <c r="B2148" s="0" t="n">
        <v>2021</v>
      </c>
      <c r="C2148" s="0" t="s">
        <v>61</v>
      </c>
      <c r="D2148" s="0" t="n">
        <v>30266</v>
      </c>
      <c r="E2148" s="0" t="s">
        <v>521</v>
      </c>
      <c r="G2148" s="0" t="s">
        <v>199</v>
      </c>
    </row>
    <row r="2149" customFormat="false" ht="15" hidden="false" customHeight="false" outlineLevel="0" collapsed="false">
      <c r="A2149" s="0" t="s">
        <v>187</v>
      </c>
      <c r="B2149" s="0" t="n">
        <v>2021</v>
      </c>
      <c r="C2149" s="0" t="s">
        <v>62</v>
      </c>
      <c r="D2149" s="0" t="n">
        <v>868840</v>
      </c>
      <c r="E2149" s="0" t="s">
        <v>521</v>
      </c>
      <c r="G2149" s="0" t="s">
        <v>199</v>
      </c>
    </row>
    <row r="2150" customFormat="false" ht="15" hidden="false" customHeight="false" outlineLevel="0" collapsed="false">
      <c r="A2150" s="0" t="s">
        <v>187</v>
      </c>
      <c r="B2150" s="0" t="n">
        <v>2021</v>
      </c>
      <c r="C2150" s="0" t="s">
        <v>63</v>
      </c>
      <c r="D2150" s="0" t="n">
        <v>286</v>
      </c>
      <c r="E2150" s="0" t="s">
        <v>521</v>
      </c>
      <c r="G2150" s="0" t="s">
        <v>199</v>
      </c>
    </row>
    <row r="2151" customFormat="false" ht="15" hidden="false" customHeight="false" outlineLevel="0" collapsed="false">
      <c r="A2151" s="0" t="s">
        <v>187</v>
      </c>
      <c r="B2151" s="0" t="n">
        <v>2021</v>
      </c>
      <c r="C2151" s="0" t="s">
        <v>1038</v>
      </c>
      <c r="D2151" s="0" t="n">
        <v>320</v>
      </c>
      <c r="E2151" s="0" t="s">
        <v>521</v>
      </c>
      <c r="G2151" s="0" t="s">
        <v>199</v>
      </c>
    </row>
    <row r="2152" customFormat="false" ht="15" hidden="false" customHeight="false" outlineLevel="0" collapsed="false">
      <c r="A2152" s="0" t="s">
        <v>187</v>
      </c>
      <c r="B2152" s="0" t="n">
        <v>2021</v>
      </c>
      <c r="C2152" s="0" t="s">
        <v>1366</v>
      </c>
      <c r="D2152" s="0" t="n">
        <v>-34</v>
      </c>
      <c r="E2152" s="0" t="s">
        <v>521</v>
      </c>
      <c r="G2152" s="0" t="s">
        <v>199</v>
      </c>
    </row>
    <row r="2153" customFormat="false" ht="15" hidden="false" customHeight="false" outlineLevel="0" collapsed="false">
      <c r="A2153" s="0" t="s">
        <v>187</v>
      </c>
      <c r="B2153" s="0" t="n">
        <v>2021</v>
      </c>
      <c r="C2153" s="0" t="s">
        <v>64</v>
      </c>
      <c r="D2153" s="0" t="n">
        <v>38660</v>
      </c>
      <c r="E2153" s="0" t="s">
        <v>521</v>
      </c>
      <c r="G2153" s="0" t="s">
        <v>199</v>
      </c>
    </row>
    <row r="2154" customFormat="false" ht="15" hidden="false" customHeight="false" outlineLevel="0" collapsed="false">
      <c r="A2154" s="0" t="s">
        <v>187</v>
      </c>
      <c r="B2154" s="0" t="n">
        <v>2021</v>
      </c>
      <c r="C2154" s="0" t="s">
        <v>69</v>
      </c>
      <c r="D2154" s="0" t="n">
        <v>14.61</v>
      </c>
      <c r="E2154" s="0" t="s">
        <v>521</v>
      </c>
      <c r="G2154" s="0" t="s">
        <v>199</v>
      </c>
    </row>
    <row r="2155" customFormat="false" ht="15" hidden="false" customHeight="false" outlineLevel="0" collapsed="false">
      <c r="A2155" s="0" t="s">
        <v>187</v>
      </c>
      <c r="B2155" s="0" t="n">
        <v>2021</v>
      </c>
      <c r="C2155" s="0" t="s">
        <v>65</v>
      </c>
      <c r="D2155" s="0" t="n">
        <v>156040</v>
      </c>
      <c r="E2155" s="0" t="s">
        <v>521</v>
      </c>
      <c r="G2155" s="0" t="s">
        <v>199</v>
      </c>
    </row>
    <row r="2156" customFormat="false" ht="15" hidden="false" customHeight="false" outlineLevel="0" collapsed="false">
      <c r="A2156" s="0" t="s">
        <v>187</v>
      </c>
      <c r="B2156" s="0" t="n">
        <v>2021</v>
      </c>
      <c r="C2156" s="0" t="s">
        <v>66</v>
      </c>
      <c r="D2156" s="0" t="n">
        <v>1068135</v>
      </c>
      <c r="E2156" s="0" t="s">
        <v>521</v>
      </c>
      <c r="G2156" s="0" t="s">
        <v>199</v>
      </c>
    </row>
    <row r="2157" customFormat="false" ht="15" hidden="false" customHeight="false" outlineLevel="0" collapsed="false">
      <c r="A2157" s="0" t="s">
        <v>187</v>
      </c>
      <c r="B2157" s="0" t="n">
        <v>2021</v>
      </c>
      <c r="C2157" s="0" t="s">
        <v>67</v>
      </c>
      <c r="D2157" s="0" t="n">
        <v>62064</v>
      </c>
      <c r="E2157" s="0" t="s">
        <v>521</v>
      </c>
      <c r="G2157" s="0" t="s">
        <v>199</v>
      </c>
    </row>
    <row r="2158" customFormat="false" ht="15" hidden="false" customHeight="false" outlineLevel="0" collapsed="false">
      <c r="A2158" s="0" t="s">
        <v>187</v>
      </c>
      <c r="B2158" s="0" t="n">
        <v>2021</v>
      </c>
      <c r="C2158" s="0" t="s">
        <v>68</v>
      </c>
      <c r="D2158" s="0" t="n">
        <v>13274</v>
      </c>
      <c r="E2158" s="0" t="s">
        <v>521</v>
      </c>
      <c r="G2158" s="0" t="s">
        <v>199</v>
      </c>
    </row>
    <row r="2159" customFormat="false" ht="15" hidden="false" customHeight="false" outlineLevel="0" collapsed="false">
      <c r="A2159" s="0" t="s">
        <v>187</v>
      </c>
      <c r="B2159" s="0" t="n">
        <v>2021</v>
      </c>
      <c r="C2159" s="0" t="s">
        <v>541</v>
      </c>
      <c r="D2159" s="0" t="n">
        <v>20532</v>
      </c>
      <c r="E2159" s="0" t="s">
        <v>521</v>
      </c>
      <c r="G2159" s="0" t="s">
        <v>199</v>
      </c>
    </row>
    <row r="2160" customFormat="false" ht="15" hidden="false" customHeight="false" outlineLevel="0" collapsed="false">
      <c r="A2160" s="0" t="s">
        <v>187</v>
      </c>
      <c r="B2160" s="0" t="n">
        <v>2021</v>
      </c>
      <c r="C2160" s="0" t="s">
        <v>1327</v>
      </c>
      <c r="D2160" s="0" t="n">
        <v>175006</v>
      </c>
      <c r="E2160" s="0" t="s">
        <v>521</v>
      </c>
      <c r="G2160" s="0" t="s">
        <v>199</v>
      </c>
    </row>
    <row r="2161" customFormat="false" ht="15" hidden="false" customHeight="false" outlineLevel="0" collapsed="false">
      <c r="A2161" s="0" t="s">
        <v>187</v>
      </c>
      <c r="B2161" s="0" t="n">
        <v>2021</v>
      </c>
      <c r="C2161" s="0" t="s">
        <v>19</v>
      </c>
      <c r="D2161" s="0" t="n">
        <v>2320599.5</v>
      </c>
      <c r="E2161" s="0" t="s">
        <v>522</v>
      </c>
    </row>
    <row r="2162" customFormat="false" ht="15" hidden="false" customHeight="false" outlineLevel="0" collapsed="false">
      <c r="A2162" s="0" t="s">
        <v>187</v>
      </c>
      <c r="B2162" s="0" t="n">
        <v>2021</v>
      </c>
      <c r="C2162" s="0" t="s">
        <v>41</v>
      </c>
      <c r="D2162" s="0" t="n">
        <v>0.826510563326416</v>
      </c>
      <c r="E2162" s="0" t="s">
        <v>522</v>
      </c>
    </row>
    <row r="2163" customFormat="false" ht="15" hidden="false" customHeight="false" outlineLevel="0" collapsed="false">
      <c r="A2163" s="0" t="s">
        <v>187</v>
      </c>
      <c r="B2163" s="0" t="n">
        <v>2021</v>
      </c>
      <c r="C2163" s="0" t="s">
        <v>27</v>
      </c>
      <c r="D2163" s="0" t="n">
        <v>9.79523969586838</v>
      </c>
      <c r="E2163" s="0" t="s">
        <v>522</v>
      </c>
    </row>
    <row r="2164" customFormat="false" ht="15" hidden="false" customHeight="false" outlineLevel="0" collapsed="false">
      <c r="A2164" s="0" t="s">
        <v>187</v>
      </c>
      <c r="B2164" s="0" t="n">
        <v>2021</v>
      </c>
      <c r="C2164" s="0" t="s">
        <v>39</v>
      </c>
      <c r="D2164" s="0" t="n">
        <v>10.8652957996414</v>
      </c>
      <c r="E2164" s="0" t="s">
        <v>522</v>
      </c>
    </row>
    <row r="2165" customFormat="false" ht="15" hidden="false" customHeight="false" outlineLevel="0" collapsed="false">
      <c r="A2165" s="0" t="s">
        <v>187</v>
      </c>
      <c r="B2165" s="0" t="n">
        <v>2021</v>
      </c>
      <c r="C2165" s="0" t="s">
        <v>17</v>
      </c>
      <c r="D2165" s="0" t="n">
        <v>3.36623268001771</v>
      </c>
      <c r="E2165" s="0" t="s">
        <v>522</v>
      </c>
    </row>
    <row r="2166" customFormat="false" ht="15" hidden="false" customHeight="false" outlineLevel="0" collapsed="false">
      <c r="A2166" s="0" t="s">
        <v>187</v>
      </c>
      <c r="B2166" s="0" t="n">
        <v>2021</v>
      </c>
      <c r="C2166" s="0" t="s">
        <v>25</v>
      </c>
      <c r="D2166" s="0" t="n">
        <v>14.6086402935959</v>
      </c>
      <c r="E2166" s="0" t="s">
        <v>522</v>
      </c>
    </row>
    <row r="2167" customFormat="false" ht="15" hidden="false" customHeight="false" outlineLevel="0" collapsed="false">
      <c r="A2167" s="0" t="s">
        <v>187</v>
      </c>
      <c r="B2167" s="0" t="n">
        <v>2021</v>
      </c>
      <c r="C2167" s="0" t="s">
        <v>29</v>
      </c>
      <c r="D2167" s="0" t="n">
        <v>0.0123244015177975</v>
      </c>
      <c r="E2167" s="0" t="s">
        <v>522</v>
      </c>
    </row>
    <row r="2168" customFormat="false" ht="15" hidden="false" customHeight="false" outlineLevel="0" collapsed="false">
      <c r="A2168" s="0" t="s">
        <v>187</v>
      </c>
      <c r="B2168" s="0" t="n">
        <v>2021</v>
      </c>
      <c r="C2168" s="0" t="s">
        <v>23</v>
      </c>
      <c r="D2168" s="0" t="n">
        <v>78.2876357992757</v>
      </c>
      <c r="E2168" s="0" t="s">
        <v>522</v>
      </c>
    </row>
    <row r="2169" customFormat="false" ht="15" hidden="false" customHeight="false" outlineLevel="0" collapsed="false">
      <c r="A2169" s="0" t="s">
        <v>187</v>
      </c>
      <c r="B2169" s="0" t="n">
        <v>2021</v>
      </c>
      <c r="C2169" s="0" t="s">
        <v>37</v>
      </c>
      <c r="D2169" s="0" t="n">
        <v>4.29982671676087</v>
      </c>
      <c r="E2169" s="0" t="s">
        <v>522</v>
      </c>
    </row>
    <row r="2170" customFormat="false" ht="15" hidden="false" customHeight="false" outlineLevel="0" collapsed="false">
      <c r="A2170" s="0" t="s">
        <v>187</v>
      </c>
      <c r="B2170" s="0" t="n">
        <v>2021</v>
      </c>
      <c r="C2170" s="0" t="s">
        <v>47</v>
      </c>
      <c r="D2170" s="0" t="n">
        <v>6.90285683779221</v>
      </c>
      <c r="E2170" s="0" t="s">
        <v>522</v>
      </c>
    </row>
    <row r="2171" customFormat="false" ht="15" hidden="false" customHeight="false" outlineLevel="0" collapsed="false">
      <c r="A2171" s="0" t="s">
        <v>187</v>
      </c>
      <c r="B2171" s="0" t="n">
        <v>2021</v>
      </c>
      <c r="C2171" s="0" t="s">
        <v>45</v>
      </c>
      <c r="D2171" s="0" t="n">
        <v>21.3875998968806</v>
      </c>
      <c r="E2171" s="0" t="s">
        <v>522</v>
      </c>
    </row>
    <row r="2172" customFormat="false" ht="15" hidden="false" customHeight="false" outlineLevel="0" collapsed="false">
      <c r="A2172" s="0" t="s">
        <v>187</v>
      </c>
      <c r="B2172" s="0" t="n">
        <v>2021</v>
      </c>
      <c r="C2172" s="0" t="s">
        <v>43</v>
      </c>
      <c r="D2172" s="0" t="n">
        <v>0.747047351818406</v>
      </c>
      <c r="E2172" s="0" t="s">
        <v>522</v>
      </c>
    </row>
    <row r="2173" customFormat="false" ht="15" hidden="false" customHeight="false" outlineLevel="0" collapsed="false">
      <c r="A2173" s="0" t="s">
        <v>187</v>
      </c>
      <c r="B2173" s="0" t="n">
        <v>2021</v>
      </c>
      <c r="C2173" s="0" t="s">
        <v>31</v>
      </c>
      <c r="D2173" s="0" t="n">
        <v>90.2047603041316</v>
      </c>
      <c r="E2173" s="0" t="s">
        <v>522</v>
      </c>
    </row>
    <row r="2174" customFormat="false" ht="15" hidden="false" customHeight="false" outlineLevel="0" collapsed="false">
      <c r="A2174" s="0" t="s">
        <v>187</v>
      </c>
      <c r="B2174" s="0" t="n">
        <v>2021</v>
      </c>
      <c r="C2174" s="0" t="s">
        <v>33</v>
      </c>
      <c r="D2174" s="0" t="n">
        <v>14.7584202409687</v>
      </c>
      <c r="E2174" s="0" t="s">
        <v>522</v>
      </c>
    </row>
    <row r="2175" customFormat="false" ht="15" hidden="false" customHeight="false" outlineLevel="0" collapsed="false">
      <c r="A2175" s="0" t="s">
        <v>187</v>
      </c>
      <c r="B2175" s="0" t="n">
        <v>2021</v>
      </c>
      <c r="C2175" s="0" t="s">
        <v>21</v>
      </c>
      <c r="D2175" s="0" t="n">
        <v>0</v>
      </c>
      <c r="E2175" s="0" t="s">
        <v>522</v>
      </c>
    </row>
    <row r="2176" customFormat="false" ht="15" hidden="false" customHeight="false" outlineLevel="0" collapsed="false">
      <c r="A2176" s="0" t="s">
        <v>187</v>
      </c>
      <c r="B2176" s="0" t="n">
        <v>2021</v>
      </c>
      <c r="C2176" s="0" t="s">
        <v>35</v>
      </c>
      <c r="D2176" s="0" t="n">
        <v>0</v>
      </c>
      <c r="E2176" s="0" t="s">
        <v>522</v>
      </c>
    </row>
    <row r="2177" customFormat="false" ht="15" hidden="false" customHeight="false" outlineLevel="0" collapsed="false">
      <c r="A2177" s="0" t="s">
        <v>187</v>
      </c>
      <c r="B2177" s="0" t="n">
        <v>2022</v>
      </c>
      <c r="C2177" s="0" t="s">
        <v>54</v>
      </c>
      <c r="D2177" s="0" t="n">
        <v>29009</v>
      </c>
      <c r="E2177" s="0" t="s">
        <v>521</v>
      </c>
      <c r="G2177" s="0" t="s">
        <v>200</v>
      </c>
    </row>
    <row r="2178" customFormat="false" ht="15" hidden="false" customHeight="false" outlineLevel="0" collapsed="false">
      <c r="A2178" s="0" t="s">
        <v>187</v>
      </c>
      <c r="B2178" s="0" t="n">
        <v>2022</v>
      </c>
      <c r="C2178" s="0" t="s">
        <v>55</v>
      </c>
      <c r="D2178" s="0" t="n">
        <v>2793674</v>
      </c>
      <c r="E2178" s="0" t="s">
        <v>521</v>
      </c>
      <c r="G2178" s="0" t="s">
        <v>200</v>
      </c>
    </row>
    <row r="2179" customFormat="false" ht="15" hidden="false" customHeight="false" outlineLevel="0" collapsed="false">
      <c r="A2179" s="0" t="s">
        <v>187</v>
      </c>
      <c r="B2179" s="0" t="n">
        <v>2022</v>
      </c>
      <c r="C2179" s="0" t="s">
        <v>56</v>
      </c>
      <c r="D2179" s="0" t="n">
        <v>2503824</v>
      </c>
      <c r="E2179" s="0" t="s">
        <v>521</v>
      </c>
      <c r="G2179" s="0" t="s">
        <v>200</v>
      </c>
    </row>
    <row r="2180" customFormat="false" ht="15" hidden="false" customHeight="false" outlineLevel="0" collapsed="false">
      <c r="A2180" s="0" t="s">
        <v>187</v>
      </c>
      <c r="B2180" s="0" t="n">
        <v>2022</v>
      </c>
      <c r="C2180" s="0" t="s">
        <v>57</v>
      </c>
      <c r="D2180" s="0" t="n">
        <v>289850</v>
      </c>
      <c r="E2180" s="0" t="s">
        <v>521</v>
      </c>
      <c r="G2180" s="0" t="s">
        <v>200</v>
      </c>
    </row>
    <row r="2181" customFormat="false" ht="15" hidden="false" customHeight="false" outlineLevel="0" collapsed="false">
      <c r="A2181" s="0" t="s">
        <v>187</v>
      </c>
      <c r="B2181" s="0" t="n">
        <v>2022</v>
      </c>
      <c r="C2181" s="0" t="s">
        <v>58</v>
      </c>
      <c r="D2181" s="0" t="n">
        <v>80277</v>
      </c>
      <c r="E2181" s="0" t="s">
        <v>521</v>
      </c>
      <c r="G2181" s="0" t="s">
        <v>200</v>
      </c>
    </row>
    <row r="2182" customFormat="false" ht="15" hidden="false" customHeight="false" outlineLevel="0" collapsed="false">
      <c r="A2182" s="0" t="s">
        <v>187</v>
      </c>
      <c r="B2182" s="0" t="n">
        <v>2022</v>
      </c>
      <c r="C2182" s="0" t="s">
        <v>59</v>
      </c>
      <c r="D2182" s="0" t="n">
        <v>2567441</v>
      </c>
      <c r="E2182" s="0" t="s">
        <v>521</v>
      </c>
      <c r="G2182" s="0" t="s">
        <v>200</v>
      </c>
    </row>
    <row r="2183" customFormat="false" ht="15" hidden="false" customHeight="false" outlineLevel="0" collapsed="false">
      <c r="A2183" s="0" t="s">
        <v>187</v>
      </c>
      <c r="B2183" s="0" t="n">
        <v>2022</v>
      </c>
      <c r="C2183" s="0" t="s">
        <v>60</v>
      </c>
      <c r="D2183" s="0" t="n">
        <v>1000903</v>
      </c>
      <c r="E2183" s="0" t="s">
        <v>521</v>
      </c>
      <c r="G2183" s="0" t="s">
        <v>200</v>
      </c>
    </row>
    <row r="2184" customFormat="false" ht="15" hidden="false" customHeight="false" outlineLevel="0" collapsed="false">
      <c r="A2184" s="0" t="s">
        <v>187</v>
      </c>
      <c r="B2184" s="0" t="n">
        <v>2022</v>
      </c>
      <c r="C2184" s="0" t="s">
        <v>61</v>
      </c>
      <c r="D2184" s="0" t="n">
        <v>32015</v>
      </c>
      <c r="E2184" s="0" t="s">
        <v>521</v>
      </c>
      <c r="G2184" s="0" t="s">
        <v>200</v>
      </c>
    </row>
    <row r="2185" customFormat="false" ht="15" hidden="false" customHeight="false" outlineLevel="0" collapsed="false">
      <c r="A2185" s="0" t="s">
        <v>187</v>
      </c>
      <c r="B2185" s="0" t="n">
        <v>2022</v>
      </c>
      <c r="C2185" s="0" t="s">
        <v>62</v>
      </c>
      <c r="D2185" s="0" t="n">
        <v>968888</v>
      </c>
      <c r="E2185" s="0" t="s">
        <v>521</v>
      </c>
      <c r="G2185" s="0" t="s">
        <v>200</v>
      </c>
    </row>
    <row r="2186" customFormat="false" ht="15" hidden="false" customHeight="false" outlineLevel="0" collapsed="false">
      <c r="A2186" s="0" t="s">
        <v>187</v>
      </c>
      <c r="B2186" s="0" t="n">
        <v>2022</v>
      </c>
      <c r="C2186" s="0" t="s">
        <v>63</v>
      </c>
      <c r="D2186" s="0" t="n">
        <v>4475</v>
      </c>
      <c r="E2186" s="0" t="s">
        <v>521</v>
      </c>
      <c r="G2186" s="0" t="s">
        <v>200</v>
      </c>
    </row>
    <row r="2187" customFormat="false" ht="15" hidden="false" customHeight="false" outlineLevel="0" collapsed="false">
      <c r="A2187" s="0" t="s">
        <v>187</v>
      </c>
      <c r="B2187" s="0" t="n">
        <v>2022</v>
      </c>
      <c r="C2187" s="0" t="s">
        <v>1038</v>
      </c>
      <c r="D2187" s="0" t="n">
        <v>1266</v>
      </c>
      <c r="E2187" s="0" t="s">
        <v>521</v>
      </c>
      <c r="G2187" s="0" t="s">
        <v>200</v>
      </c>
    </row>
    <row r="2188" customFormat="false" ht="15" hidden="false" customHeight="false" outlineLevel="0" collapsed="false">
      <c r="A2188" s="0" t="s">
        <v>187</v>
      </c>
      <c r="B2188" s="0" t="n">
        <v>2022</v>
      </c>
      <c r="C2188" s="0" t="s">
        <v>1366</v>
      </c>
      <c r="D2188" s="0" t="n">
        <v>3209</v>
      </c>
      <c r="E2188" s="0" t="s">
        <v>521</v>
      </c>
      <c r="G2188" s="0" t="s">
        <v>200</v>
      </c>
    </row>
    <row r="2189" customFormat="false" ht="15" hidden="false" customHeight="false" outlineLevel="0" collapsed="false">
      <c r="A2189" s="0" t="s">
        <v>187</v>
      </c>
      <c r="B2189" s="0" t="n">
        <v>2022</v>
      </c>
      <c r="C2189" s="0" t="s">
        <v>64</v>
      </c>
      <c r="D2189" s="0" t="n">
        <v>40276</v>
      </c>
      <c r="E2189" s="0" t="s">
        <v>521</v>
      </c>
      <c r="G2189" s="0" t="s">
        <v>200</v>
      </c>
    </row>
    <row r="2190" customFormat="false" ht="15" hidden="false" customHeight="false" outlineLevel="0" collapsed="false">
      <c r="A2190" s="0" t="s">
        <v>187</v>
      </c>
      <c r="B2190" s="0" t="n">
        <v>2022</v>
      </c>
      <c r="C2190" s="0" t="s">
        <v>69</v>
      </c>
      <c r="D2190" s="0" t="n">
        <v>14.42</v>
      </c>
      <c r="E2190" s="0" t="s">
        <v>521</v>
      </c>
      <c r="G2190" s="0" t="s">
        <v>200</v>
      </c>
    </row>
    <row r="2191" customFormat="false" ht="15" hidden="false" customHeight="false" outlineLevel="0" collapsed="false">
      <c r="A2191" s="0" t="s">
        <v>187</v>
      </c>
      <c r="B2191" s="0" t="n">
        <v>2022</v>
      </c>
      <c r="C2191" s="0" t="s">
        <v>70</v>
      </c>
      <c r="D2191" s="0" t="n">
        <v>10</v>
      </c>
      <c r="E2191" s="0" t="s">
        <v>521</v>
      </c>
      <c r="G2191" s="0" t="s">
        <v>200</v>
      </c>
    </row>
    <row r="2192" customFormat="false" ht="15" hidden="false" customHeight="false" outlineLevel="0" collapsed="false">
      <c r="A2192" s="0" t="s">
        <v>187</v>
      </c>
      <c r="B2192" s="0" t="n">
        <v>2022</v>
      </c>
      <c r="C2192" s="0" t="s">
        <v>65</v>
      </c>
      <c r="D2192" s="0" t="n">
        <v>180613</v>
      </c>
      <c r="E2192" s="0" t="s">
        <v>521</v>
      </c>
      <c r="G2192" s="0" t="s">
        <v>200</v>
      </c>
    </row>
    <row r="2193" customFormat="false" ht="15" hidden="false" customHeight="false" outlineLevel="0" collapsed="false">
      <c r="A2193" s="0" t="s">
        <v>187</v>
      </c>
      <c r="B2193" s="0" t="n">
        <v>2022</v>
      </c>
      <c r="C2193" s="0" t="s">
        <v>66</v>
      </c>
      <c r="D2193" s="0" t="n">
        <v>1252579</v>
      </c>
      <c r="E2193" s="0" t="s">
        <v>521</v>
      </c>
      <c r="G2193" s="0" t="s">
        <v>200</v>
      </c>
    </row>
    <row r="2194" customFormat="false" ht="15" hidden="false" customHeight="false" outlineLevel="0" collapsed="false">
      <c r="A2194" s="0" t="s">
        <v>187</v>
      </c>
      <c r="B2194" s="0" t="n">
        <v>2022</v>
      </c>
      <c r="C2194" s="0" t="s">
        <v>73</v>
      </c>
      <c r="D2194" s="0" t="n">
        <v>0</v>
      </c>
      <c r="E2194" s="0" t="s">
        <v>539</v>
      </c>
      <c r="F2194" s="0" t="s">
        <v>363</v>
      </c>
      <c r="G2194" s="0" t="s">
        <v>901</v>
      </c>
      <c r="H2194" s="0" t="s">
        <v>367</v>
      </c>
    </row>
    <row r="2195" customFormat="false" ht="15" hidden="false" customHeight="false" outlineLevel="0" collapsed="false">
      <c r="A2195" s="0" t="s">
        <v>187</v>
      </c>
      <c r="B2195" s="0" t="n">
        <v>2022</v>
      </c>
      <c r="C2195" s="0" t="s">
        <v>67</v>
      </c>
      <c r="D2195" s="0" t="n">
        <v>74070</v>
      </c>
      <c r="E2195" s="0" t="s">
        <v>521</v>
      </c>
      <c r="G2195" s="0" t="s">
        <v>200</v>
      </c>
    </row>
    <row r="2196" customFormat="false" ht="15" hidden="false" customHeight="false" outlineLevel="0" collapsed="false">
      <c r="A2196" s="0" t="s">
        <v>187</v>
      </c>
      <c r="B2196" s="0" t="n">
        <v>2022</v>
      </c>
      <c r="C2196" s="0" t="s">
        <v>541</v>
      </c>
      <c r="D2196" s="0" t="n">
        <v>30206</v>
      </c>
      <c r="E2196" s="0" t="s">
        <v>521</v>
      </c>
      <c r="G2196" s="0" t="s">
        <v>200</v>
      </c>
    </row>
    <row r="2197" customFormat="false" ht="15" hidden="false" customHeight="false" outlineLevel="0" collapsed="false">
      <c r="A2197" s="0" t="s">
        <v>187</v>
      </c>
      <c r="B2197" s="0" t="n">
        <v>2022</v>
      </c>
      <c r="C2197" s="0" t="s">
        <v>1327</v>
      </c>
      <c r="D2197" s="0" t="n">
        <v>208171</v>
      </c>
      <c r="E2197" s="0" t="s">
        <v>521</v>
      </c>
      <c r="G2197" s="0" t="s">
        <v>200</v>
      </c>
    </row>
    <row r="2198" customFormat="false" ht="15" hidden="false" customHeight="false" outlineLevel="0" collapsed="false">
      <c r="A2198" s="0" t="s">
        <v>187</v>
      </c>
      <c r="B2198" s="0" t="n">
        <v>2022</v>
      </c>
      <c r="C2198" s="0" t="s">
        <v>19</v>
      </c>
      <c r="D2198" s="0" t="n">
        <v>2680557.5</v>
      </c>
      <c r="E2198" s="0" t="s">
        <v>522</v>
      </c>
    </row>
    <row r="2199" customFormat="false" ht="15" hidden="false" customHeight="false" outlineLevel="0" collapsed="false">
      <c r="A2199" s="0" t="s">
        <v>187</v>
      </c>
      <c r="B2199" s="0" t="n">
        <v>2022</v>
      </c>
      <c r="C2199" s="0" t="s">
        <v>41</v>
      </c>
      <c r="D2199" s="0" t="n">
        <v>1.0822002512537</v>
      </c>
      <c r="E2199" s="0" t="s">
        <v>522</v>
      </c>
    </row>
    <row r="2200" customFormat="false" ht="15" hidden="false" customHeight="false" outlineLevel="0" collapsed="false">
      <c r="A2200" s="0" t="s">
        <v>187</v>
      </c>
      <c r="B2200" s="0" t="n">
        <v>2022</v>
      </c>
      <c r="C2200" s="0" t="s">
        <v>27</v>
      </c>
      <c r="D2200" s="0" t="n">
        <v>10.3752263148814</v>
      </c>
      <c r="E2200" s="0" t="s">
        <v>522</v>
      </c>
    </row>
    <row r="2201" customFormat="false" ht="15" hidden="false" customHeight="false" outlineLevel="0" collapsed="false">
      <c r="A2201" s="0" t="s">
        <v>187</v>
      </c>
      <c r="B2201" s="0" t="n">
        <v>2022</v>
      </c>
      <c r="C2201" s="0" t="s">
        <v>39</v>
      </c>
      <c r="D2201" s="0" t="n">
        <v>2.99478746492101</v>
      </c>
      <c r="E2201" s="0" t="s">
        <v>522</v>
      </c>
    </row>
    <row r="2202" customFormat="false" ht="15" hidden="false" customHeight="false" outlineLevel="0" collapsed="false">
      <c r="A2202" s="0" t="s">
        <v>187</v>
      </c>
      <c r="B2202" s="0" t="n">
        <v>2022</v>
      </c>
      <c r="C2202" s="0" t="s">
        <v>17</v>
      </c>
      <c r="D2202" s="0" t="n">
        <v>3.19861165367673</v>
      </c>
      <c r="E2202" s="0" t="s">
        <v>522</v>
      </c>
    </row>
    <row r="2203" customFormat="false" ht="15" hidden="false" customHeight="false" outlineLevel="0" collapsed="false">
      <c r="A2203" s="0" t="s">
        <v>187</v>
      </c>
      <c r="B2203" s="0" t="n">
        <v>2022</v>
      </c>
      <c r="C2203" s="0" t="s">
        <v>25</v>
      </c>
      <c r="D2203" s="0" t="n">
        <v>14.4192901206231</v>
      </c>
      <c r="E2203" s="0" t="s">
        <v>522</v>
      </c>
    </row>
    <row r="2204" customFormat="false" ht="15" hidden="false" customHeight="false" outlineLevel="0" collapsed="false">
      <c r="A2204" s="0" t="s">
        <v>187</v>
      </c>
      <c r="B2204" s="0" t="n">
        <v>2022</v>
      </c>
      <c r="C2204" s="0" t="s">
        <v>29</v>
      </c>
      <c r="D2204" s="0" t="n">
        <v>0.166942884082882</v>
      </c>
      <c r="E2204" s="0" t="s">
        <v>522</v>
      </c>
    </row>
    <row r="2205" customFormat="false" ht="15" hidden="false" customHeight="false" outlineLevel="0" collapsed="false">
      <c r="A2205" s="0" t="s">
        <v>187</v>
      </c>
      <c r="B2205" s="0" t="n">
        <v>2022</v>
      </c>
      <c r="C2205" s="0" t="s">
        <v>23</v>
      </c>
      <c r="D2205" s="0" t="n">
        <v>79.4890257225147</v>
      </c>
      <c r="E2205" s="0" t="s">
        <v>522</v>
      </c>
    </row>
    <row r="2206" customFormat="false" ht="15" hidden="false" customHeight="false" outlineLevel="0" collapsed="false">
      <c r="A2206" s="0" t="s">
        <v>187</v>
      </c>
      <c r="B2206" s="0" t="n">
        <v>2022</v>
      </c>
      <c r="C2206" s="0" t="s">
        <v>37</v>
      </c>
      <c r="D2206" s="0" t="n">
        <v>4.02396635837838</v>
      </c>
      <c r="E2206" s="0" t="s">
        <v>522</v>
      </c>
    </row>
    <row r="2207" customFormat="false" ht="15" hidden="false" customHeight="false" outlineLevel="0" collapsed="false">
      <c r="A2207" s="0" t="s">
        <v>187</v>
      </c>
      <c r="B2207" s="0" t="n">
        <v>2022</v>
      </c>
      <c r="C2207" s="0" t="s">
        <v>47</v>
      </c>
      <c r="D2207" s="0" t="n">
        <v>7.4003175132855</v>
      </c>
      <c r="E2207" s="0" t="s">
        <v>522</v>
      </c>
    </row>
    <row r="2208" customFormat="false" ht="15" hidden="false" customHeight="false" outlineLevel="0" collapsed="false">
      <c r="A2208" s="0" t="s">
        <v>187</v>
      </c>
      <c r="B2208" s="0" t="n">
        <v>2022</v>
      </c>
      <c r="C2208" s="0" t="s">
        <v>43</v>
      </c>
      <c r="D2208" s="0" t="n">
        <v>1.03838171526098</v>
      </c>
      <c r="E2208" s="0" t="s">
        <v>522</v>
      </c>
    </row>
    <row r="2209" customFormat="false" ht="15" hidden="false" customHeight="false" outlineLevel="0" collapsed="false">
      <c r="A2209" s="0" t="s">
        <v>187</v>
      </c>
      <c r="B2209" s="0" t="n">
        <v>2022</v>
      </c>
      <c r="C2209" s="0" t="s">
        <v>31</v>
      </c>
      <c r="D2209" s="0" t="n">
        <v>89.6247736851186</v>
      </c>
      <c r="E2209" s="0" t="s">
        <v>522</v>
      </c>
    </row>
    <row r="2210" customFormat="false" ht="15" hidden="false" customHeight="false" outlineLevel="0" collapsed="false">
      <c r="A2210" s="0" t="s">
        <v>187</v>
      </c>
      <c r="B2210" s="0" t="n">
        <v>2022</v>
      </c>
      <c r="C2210" s="0" t="s">
        <v>33</v>
      </c>
      <c r="D2210" s="0" t="n">
        <v>14.8428681333946</v>
      </c>
      <c r="E2210" s="0" t="s">
        <v>522</v>
      </c>
    </row>
    <row r="2211" customFormat="false" ht="15" hidden="false" customHeight="false" outlineLevel="0" collapsed="false">
      <c r="A2211" s="0" t="s">
        <v>187</v>
      </c>
      <c r="B2211" s="0" t="n">
        <v>2022</v>
      </c>
      <c r="C2211" s="0" t="s">
        <v>21</v>
      </c>
      <c r="D2211" s="0" t="n">
        <v>0</v>
      </c>
      <c r="E2211" s="0" t="s">
        <v>522</v>
      </c>
    </row>
    <row r="2212" customFormat="false" ht="15" hidden="false" customHeight="false" outlineLevel="0" collapsed="false">
      <c r="A2212" s="0" t="s">
        <v>187</v>
      </c>
      <c r="B2212" s="0" t="n">
        <v>2022</v>
      </c>
      <c r="C2212" s="0" t="s">
        <v>35</v>
      </c>
      <c r="D2212" s="0" t="n">
        <v>0</v>
      </c>
      <c r="E2212" s="0" t="s">
        <v>522</v>
      </c>
    </row>
    <row r="2213" customFormat="false" ht="15" hidden="false" customHeight="false" outlineLevel="0" collapsed="false">
      <c r="A2213" s="0" t="s">
        <v>201</v>
      </c>
      <c r="B2213" s="0" t="n">
        <v>2013</v>
      </c>
      <c r="C2213" s="0" t="s">
        <v>54</v>
      </c>
      <c r="D2213" s="0" t="n">
        <v>-22582.339</v>
      </c>
      <c r="E2213" s="0" t="s">
        <v>523</v>
      </c>
      <c r="F2213" s="0" t="s">
        <v>524</v>
      </c>
      <c r="G2213" s="0" t="s">
        <v>203</v>
      </c>
      <c r="H2213" s="0" t="s">
        <v>1369</v>
      </c>
    </row>
    <row r="2214" customFormat="false" ht="15" hidden="false" customHeight="false" outlineLevel="0" collapsed="false">
      <c r="A2214" s="0" t="s">
        <v>201</v>
      </c>
      <c r="B2214" s="0" t="n">
        <v>2013</v>
      </c>
      <c r="C2214" s="0" t="s">
        <v>55</v>
      </c>
      <c r="D2214" s="0" t="n">
        <v>403629.29</v>
      </c>
      <c r="E2214" s="0" t="s">
        <v>523</v>
      </c>
      <c r="F2214" s="0" t="s">
        <v>524</v>
      </c>
      <c r="G2214" s="0" t="s">
        <v>203</v>
      </c>
      <c r="H2214" s="0" t="s">
        <v>1370</v>
      </c>
    </row>
    <row r="2215" customFormat="false" ht="15" hidden="false" customHeight="false" outlineLevel="0" collapsed="false">
      <c r="A2215" s="0" t="s">
        <v>201</v>
      </c>
      <c r="B2215" s="0" t="n">
        <v>2013</v>
      </c>
      <c r="C2215" s="0" t="s">
        <v>56</v>
      </c>
      <c r="D2215" s="0" t="n">
        <v>375416.65</v>
      </c>
      <c r="E2215" s="0" t="s">
        <v>523</v>
      </c>
      <c r="F2215" s="0" t="s">
        <v>524</v>
      </c>
      <c r="G2215" s="0" t="s">
        <v>203</v>
      </c>
      <c r="H2215" s="0" t="s">
        <v>1371</v>
      </c>
    </row>
    <row r="2216" customFormat="false" ht="15" hidden="false" customHeight="false" outlineLevel="0" collapsed="false">
      <c r="A2216" s="0" t="s">
        <v>201</v>
      </c>
      <c r="B2216" s="0" t="n">
        <v>2013</v>
      </c>
      <c r="C2216" s="0" t="s">
        <v>57</v>
      </c>
      <c r="D2216" s="0" t="n">
        <v>28212.639</v>
      </c>
      <c r="E2216" s="0" t="s">
        <v>523</v>
      </c>
      <c r="F2216" s="0" t="s">
        <v>524</v>
      </c>
      <c r="G2216" s="0" t="s">
        <v>203</v>
      </c>
      <c r="H2216" s="0" t="s">
        <v>1372</v>
      </c>
    </row>
    <row r="2217" customFormat="false" ht="15" hidden="false" customHeight="false" outlineLevel="0" collapsed="false">
      <c r="A2217" s="0" t="s">
        <v>201</v>
      </c>
      <c r="B2217" s="0" t="n">
        <v>2013</v>
      </c>
      <c r="C2217" s="0" t="s">
        <v>58</v>
      </c>
      <c r="D2217" s="0" t="n">
        <v>23788.331</v>
      </c>
      <c r="E2217" s="0" t="s">
        <v>523</v>
      </c>
      <c r="F2217" s="0" t="s">
        <v>524</v>
      </c>
      <c r="G2217" s="0" t="s">
        <v>203</v>
      </c>
      <c r="H2217" s="0" t="s">
        <v>1373</v>
      </c>
    </row>
    <row r="2218" customFormat="false" ht="15" hidden="false" customHeight="false" outlineLevel="0" collapsed="false">
      <c r="A2218" s="0" t="s">
        <v>201</v>
      </c>
      <c r="B2218" s="0" t="n">
        <v>2013</v>
      </c>
      <c r="C2218" s="0" t="s">
        <v>62</v>
      </c>
      <c r="D2218" s="0" t="n">
        <v>195229.573</v>
      </c>
      <c r="E2218" s="0" t="s">
        <v>523</v>
      </c>
      <c r="F2218" s="0" t="s">
        <v>524</v>
      </c>
      <c r="G2218" s="0" t="s">
        <v>203</v>
      </c>
      <c r="H2218" s="0" t="s">
        <v>1374</v>
      </c>
    </row>
    <row r="2219" customFormat="false" ht="15" hidden="false" customHeight="false" outlineLevel="0" collapsed="false">
      <c r="A2219" s="0" t="s">
        <v>201</v>
      </c>
      <c r="B2219" s="0" t="n">
        <v>2013</v>
      </c>
      <c r="C2219" s="0" t="s">
        <v>63</v>
      </c>
      <c r="D2219" s="0" t="n">
        <v>21592.692</v>
      </c>
      <c r="E2219" s="0" t="s">
        <v>523</v>
      </c>
      <c r="F2219" s="0" t="s">
        <v>524</v>
      </c>
      <c r="G2219" s="0" t="s">
        <v>203</v>
      </c>
      <c r="H2219" s="0" t="s">
        <v>1375</v>
      </c>
    </row>
    <row r="2220" customFormat="false" ht="15" hidden="false" customHeight="false" outlineLevel="0" collapsed="false">
      <c r="A2220" s="0" t="s">
        <v>201</v>
      </c>
      <c r="B2220" s="0" t="n">
        <v>2013</v>
      </c>
      <c r="C2220" s="0" t="s">
        <v>541</v>
      </c>
      <c r="D2220" s="0" t="n">
        <v>-33639.369</v>
      </c>
      <c r="E2220" s="0" t="s">
        <v>523</v>
      </c>
      <c r="F2220" s="0" t="s">
        <v>524</v>
      </c>
      <c r="G2220" s="0" t="s">
        <v>203</v>
      </c>
      <c r="H2220" s="0" t="s">
        <v>1376</v>
      </c>
    </row>
    <row r="2221" customFormat="false" ht="15" hidden="false" customHeight="false" outlineLevel="0" collapsed="false">
      <c r="A2221" s="0" t="s">
        <v>201</v>
      </c>
      <c r="B2221" s="0" t="n">
        <v>2013</v>
      </c>
      <c r="C2221" s="0" t="s">
        <v>27</v>
      </c>
      <c r="D2221" s="0" t="n">
        <v>6.98974026389413</v>
      </c>
      <c r="E2221" s="0" t="s">
        <v>522</v>
      </c>
    </row>
    <row r="2222" customFormat="false" ht="15" hidden="false" customHeight="false" outlineLevel="0" collapsed="false">
      <c r="A2222" s="0" t="s">
        <v>201</v>
      </c>
      <c r="B2222" s="0" t="n">
        <v>2013</v>
      </c>
      <c r="C2222" s="0" t="s">
        <v>43</v>
      </c>
      <c r="D2222" s="0" t="n">
        <v>-5.59482167411587</v>
      </c>
      <c r="E2222" s="0" t="s">
        <v>522</v>
      </c>
    </row>
    <row r="2223" customFormat="false" ht="15" hidden="false" customHeight="false" outlineLevel="0" collapsed="false">
      <c r="A2223" s="0" t="s">
        <v>201</v>
      </c>
      <c r="B2223" s="0" t="n">
        <v>2013</v>
      </c>
      <c r="C2223" s="0" t="s">
        <v>31</v>
      </c>
      <c r="D2223" s="0" t="n">
        <v>93.0102594883538</v>
      </c>
      <c r="E2223" s="0" t="s">
        <v>522</v>
      </c>
    </row>
    <row r="2224" customFormat="false" ht="15" hidden="false" customHeight="false" outlineLevel="0" collapsed="false">
      <c r="A2224" s="0" t="s">
        <v>201</v>
      </c>
      <c r="B2224" s="0" t="n">
        <v>2013</v>
      </c>
      <c r="C2224" s="0" t="s">
        <v>33</v>
      </c>
      <c r="D2224" s="0" t="n">
        <v>12.9082521366817</v>
      </c>
      <c r="E2224" s="0" t="s">
        <v>522</v>
      </c>
    </row>
    <row r="2225" customFormat="false" ht="15" hidden="false" customHeight="false" outlineLevel="0" collapsed="false">
      <c r="A2225" s="0" t="s">
        <v>201</v>
      </c>
      <c r="B2225" s="0" t="n">
        <v>2013</v>
      </c>
      <c r="C2225" s="0" t="s">
        <v>21</v>
      </c>
      <c r="D2225" s="0" t="n">
        <v>0.000999999956547981</v>
      </c>
      <c r="E2225" s="0" t="s">
        <v>522</v>
      </c>
    </row>
    <row r="2226" customFormat="false" ht="15" hidden="false" customHeight="false" outlineLevel="0" collapsed="false">
      <c r="A2226" s="0" t="s">
        <v>201</v>
      </c>
      <c r="B2226" s="0" t="n">
        <v>2014</v>
      </c>
      <c r="C2226" s="0" t="s">
        <v>54</v>
      </c>
      <c r="D2226" s="0" t="n">
        <v>10692.476</v>
      </c>
      <c r="E2226" s="0" t="s">
        <v>523</v>
      </c>
      <c r="F2226" s="0" t="s">
        <v>524</v>
      </c>
      <c r="G2226" s="0" t="s">
        <v>105</v>
      </c>
      <c r="H2226" s="0" t="s">
        <v>1377</v>
      </c>
    </row>
    <row r="2227" customFormat="false" ht="15" hidden="false" customHeight="false" outlineLevel="0" collapsed="false">
      <c r="A2227" s="0" t="s">
        <v>201</v>
      </c>
      <c r="B2227" s="0" t="n">
        <v>2014</v>
      </c>
      <c r="C2227" s="0" t="s">
        <v>55</v>
      </c>
      <c r="D2227" s="0" t="n">
        <v>413305.111</v>
      </c>
      <c r="E2227" s="0" t="s">
        <v>523</v>
      </c>
      <c r="F2227" s="0" t="s">
        <v>524</v>
      </c>
      <c r="G2227" s="0" t="s">
        <v>105</v>
      </c>
      <c r="H2227" s="0" t="s">
        <v>1378</v>
      </c>
    </row>
    <row r="2228" customFormat="false" ht="15" hidden="false" customHeight="false" outlineLevel="0" collapsed="false">
      <c r="A2228" s="0" t="s">
        <v>201</v>
      </c>
      <c r="B2228" s="0" t="n">
        <v>2014</v>
      </c>
      <c r="C2228" s="0" t="s">
        <v>56</v>
      </c>
      <c r="D2228" s="0" t="n">
        <v>337041.116</v>
      </c>
      <c r="E2228" s="0" t="s">
        <v>523</v>
      </c>
      <c r="F2228" s="0" t="s">
        <v>524</v>
      </c>
      <c r="G2228" s="0" t="s">
        <v>105</v>
      </c>
      <c r="H2228" s="0" t="s">
        <v>1379</v>
      </c>
    </row>
    <row r="2229" customFormat="false" ht="15" hidden="false" customHeight="false" outlineLevel="0" collapsed="false">
      <c r="A2229" s="0" t="s">
        <v>201</v>
      </c>
      <c r="B2229" s="0" t="n">
        <v>2014</v>
      </c>
      <c r="C2229" s="0" t="s">
        <v>57</v>
      </c>
      <c r="D2229" s="0" t="n">
        <v>76263.995</v>
      </c>
      <c r="E2229" s="0" t="s">
        <v>523</v>
      </c>
      <c r="F2229" s="0" t="s">
        <v>524</v>
      </c>
      <c r="G2229" s="0" t="s">
        <v>105</v>
      </c>
      <c r="H2229" s="0" t="s">
        <v>1380</v>
      </c>
    </row>
    <row r="2230" customFormat="false" ht="15" hidden="false" customHeight="false" outlineLevel="0" collapsed="false">
      <c r="A2230" s="0" t="s">
        <v>201</v>
      </c>
      <c r="B2230" s="0" t="n">
        <v>2014</v>
      </c>
      <c r="C2230" s="0" t="s">
        <v>58</v>
      </c>
      <c r="D2230" s="0" t="n">
        <v>-32248.858</v>
      </c>
      <c r="E2230" s="0" t="s">
        <v>523</v>
      </c>
      <c r="F2230" s="0" t="s">
        <v>524</v>
      </c>
      <c r="G2230" s="0" t="s">
        <v>105</v>
      </c>
      <c r="H2230" s="0" t="s">
        <v>1381</v>
      </c>
    </row>
    <row r="2231" customFormat="false" ht="15" hidden="false" customHeight="false" outlineLevel="0" collapsed="false">
      <c r="A2231" s="0" t="s">
        <v>201</v>
      </c>
      <c r="B2231" s="0" t="n">
        <v>2014</v>
      </c>
      <c r="C2231" s="0" t="s">
        <v>59</v>
      </c>
      <c r="D2231" s="0" t="n">
        <v>403629.29</v>
      </c>
      <c r="E2231" s="0" t="s">
        <v>523</v>
      </c>
      <c r="F2231" s="0" t="s">
        <v>524</v>
      </c>
      <c r="G2231" s="0" t="s">
        <v>105</v>
      </c>
      <c r="H2231" s="0" t="s">
        <v>1382</v>
      </c>
    </row>
    <row r="2232" customFormat="false" ht="15" hidden="false" customHeight="false" outlineLevel="0" collapsed="false">
      <c r="A2232" s="0" t="s">
        <v>201</v>
      </c>
      <c r="B2232" s="0" t="n">
        <v>2014</v>
      </c>
      <c r="C2232" s="0" t="s">
        <v>62</v>
      </c>
      <c r="D2232" s="0" t="n">
        <v>219335.346</v>
      </c>
      <c r="E2232" s="0" t="s">
        <v>523</v>
      </c>
      <c r="F2232" s="0" t="s">
        <v>524</v>
      </c>
      <c r="G2232" s="0" t="s">
        <v>105</v>
      </c>
      <c r="H2232" s="0" t="s">
        <v>1383</v>
      </c>
    </row>
    <row r="2233" customFormat="false" ht="15" hidden="false" customHeight="false" outlineLevel="0" collapsed="false">
      <c r="A2233" s="0" t="s">
        <v>201</v>
      </c>
      <c r="B2233" s="0" t="n">
        <v>2014</v>
      </c>
      <c r="C2233" s="0" t="s">
        <v>63</v>
      </c>
      <c r="D2233" s="0" t="n">
        <v>15054.246</v>
      </c>
      <c r="E2233" s="0" t="s">
        <v>523</v>
      </c>
      <c r="F2233" s="0" t="s">
        <v>524</v>
      </c>
      <c r="G2233" s="0" t="s">
        <v>105</v>
      </c>
      <c r="H2233" s="0" t="s">
        <v>1384</v>
      </c>
    </row>
    <row r="2234" customFormat="false" ht="15" hidden="false" customHeight="false" outlineLevel="0" collapsed="false">
      <c r="A2234" s="0" t="s">
        <v>201</v>
      </c>
      <c r="B2234" s="0" t="n">
        <v>2014</v>
      </c>
      <c r="C2234" s="0" t="s">
        <v>541</v>
      </c>
      <c r="D2234" s="0" t="n">
        <v>13639.39</v>
      </c>
      <c r="E2234" s="0" t="s">
        <v>523</v>
      </c>
      <c r="F2234" s="0" t="s">
        <v>524</v>
      </c>
      <c r="G2234" s="0" t="s">
        <v>105</v>
      </c>
      <c r="H2234" s="0" t="s">
        <v>1385</v>
      </c>
    </row>
    <row r="2235" customFormat="false" ht="15" hidden="false" customHeight="false" outlineLevel="0" collapsed="false">
      <c r="A2235" s="0" t="s">
        <v>201</v>
      </c>
      <c r="B2235" s="0" t="n">
        <v>2014</v>
      </c>
      <c r="C2235" s="0" t="s">
        <v>19</v>
      </c>
      <c r="D2235" s="0" t="n">
        <v>408467.2005</v>
      </c>
      <c r="E2235" s="0" t="s">
        <v>522</v>
      </c>
    </row>
    <row r="2236" customFormat="false" ht="15" hidden="false" customHeight="false" outlineLevel="0" collapsed="false">
      <c r="A2236" s="0" t="s">
        <v>201</v>
      </c>
      <c r="B2236" s="0" t="n">
        <v>2014</v>
      </c>
      <c r="C2236" s="0" t="s">
        <v>41</v>
      </c>
      <c r="D2236" s="0" t="n">
        <v>2.61770736717941</v>
      </c>
      <c r="E2236" s="0" t="s">
        <v>522</v>
      </c>
    </row>
    <row r="2237" customFormat="false" ht="15" hidden="false" customHeight="false" outlineLevel="0" collapsed="false">
      <c r="A2237" s="0" t="s">
        <v>201</v>
      </c>
      <c r="B2237" s="0" t="n">
        <v>2014</v>
      </c>
      <c r="C2237" s="0" t="s">
        <v>27</v>
      </c>
      <c r="D2237" s="0" t="n">
        <v>18.4522264473037</v>
      </c>
      <c r="E2237" s="0" t="s">
        <v>522</v>
      </c>
    </row>
    <row r="2238" customFormat="false" ht="15" hidden="false" customHeight="false" outlineLevel="0" collapsed="false">
      <c r="A2238" s="0" t="s">
        <v>201</v>
      </c>
      <c r="B2238" s="0" t="n">
        <v>2014</v>
      </c>
      <c r="C2238" s="0" t="s">
        <v>39</v>
      </c>
      <c r="D2238" s="0" t="n">
        <v>-7.89509119961763</v>
      </c>
      <c r="E2238" s="0" t="s">
        <v>522</v>
      </c>
    </row>
    <row r="2239" customFormat="false" ht="15" hidden="false" customHeight="false" outlineLevel="0" collapsed="false">
      <c r="A2239" s="0" t="s">
        <v>201</v>
      </c>
      <c r="B2239" s="0" t="n">
        <v>2014</v>
      </c>
      <c r="C2239" s="0" t="s">
        <v>29</v>
      </c>
      <c r="D2239" s="0" t="n">
        <v>3.68554586061556</v>
      </c>
      <c r="E2239" s="0" t="s">
        <v>522</v>
      </c>
    </row>
    <row r="2240" customFormat="false" ht="15" hidden="false" customHeight="false" outlineLevel="0" collapsed="false">
      <c r="A2240" s="0" t="s">
        <v>201</v>
      </c>
      <c r="B2240" s="0" t="n">
        <v>2014</v>
      </c>
      <c r="C2240" s="0" t="s">
        <v>43</v>
      </c>
      <c r="D2240" s="0" t="n">
        <v>2.58706599928787</v>
      </c>
      <c r="E2240" s="0" t="s">
        <v>522</v>
      </c>
    </row>
    <row r="2241" customFormat="false" ht="15" hidden="false" customHeight="false" outlineLevel="0" collapsed="false">
      <c r="A2241" s="0" t="s">
        <v>201</v>
      </c>
      <c r="B2241" s="0" t="n">
        <v>2014</v>
      </c>
      <c r="C2241" s="0" t="s">
        <v>31</v>
      </c>
      <c r="D2241" s="0" t="n">
        <v>81.5477735526963</v>
      </c>
      <c r="E2241" s="0" t="s">
        <v>522</v>
      </c>
    </row>
    <row r="2242" customFormat="false" ht="15" hidden="false" customHeight="false" outlineLevel="0" collapsed="false">
      <c r="A2242" s="0" t="s">
        <v>201</v>
      </c>
      <c r="B2242" s="0" t="n">
        <v>2014</v>
      </c>
      <c r="C2242" s="0" t="s">
        <v>33</v>
      </c>
      <c r="D2242" s="0" t="n">
        <v>12.9319413667432</v>
      </c>
      <c r="E2242" s="0" t="s">
        <v>522</v>
      </c>
    </row>
    <row r="2243" customFormat="false" ht="15" hidden="false" customHeight="false" outlineLevel="0" collapsed="false">
      <c r="A2243" s="0" t="s">
        <v>201</v>
      </c>
      <c r="B2243" s="0" t="n">
        <v>2014</v>
      </c>
      <c r="C2243" s="0" t="s">
        <v>21</v>
      </c>
      <c r="D2243" s="0" t="n">
        <v>0</v>
      </c>
      <c r="E2243" s="0" t="s">
        <v>522</v>
      </c>
    </row>
    <row r="2244" customFormat="false" ht="15" hidden="false" customHeight="false" outlineLevel="0" collapsed="false">
      <c r="A2244" s="0" t="s">
        <v>201</v>
      </c>
      <c r="B2244" s="0" t="n">
        <v>2015</v>
      </c>
      <c r="C2244" s="0" t="s">
        <v>54</v>
      </c>
      <c r="D2244" s="0" t="n">
        <v>4689.157</v>
      </c>
      <c r="E2244" s="0" t="s">
        <v>523</v>
      </c>
      <c r="F2244" s="0" t="s">
        <v>524</v>
      </c>
      <c r="G2244" s="0" t="s">
        <v>84</v>
      </c>
      <c r="H2244" s="0" t="s">
        <v>1386</v>
      </c>
    </row>
    <row r="2245" customFormat="false" ht="15" hidden="false" customHeight="false" outlineLevel="0" collapsed="false">
      <c r="A2245" s="0" t="s">
        <v>201</v>
      </c>
      <c r="B2245" s="0" t="n">
        <v>2015</v>
      </c>
      <c r="C2245" s="0" t="s">
        <v>55</v>
      </c>
      <c r="D2245" s="0" t="n">
        <v>443321.012</v>
      </c>
      <c r="E2245" s="0" t="s">
        <v>523</v>
      </c>
      <c r="F2245" s="0" t="s">
        <v>524</v>
      </c>
      <c r="G2245" s="0" t="s">
        <v>84</v>
      </c>
      <c r="H2245" s="0" t="s">
        <v>1387</v>
      </c>
    </row>
    <row r="2246" customFormat="false" ht="15" hidden="false" customHeight="false" outlineLevel="0" collapsed="false">
      <c r="A2246" s="0" t="s">
        <v>201</v>
      </c>
      <c r="B2246" s="0" t="n">
        <v>2015</v>
      </c>
      <c r="C2246" s="0" t="s">
        <v>56</v>
      </c>
      <c r="D2246" s="0" t="n">
        <v>360746.481</v>
      </c>
      <c r="E2246" s="0" t="s">
        <v>523</v>
      </c>
      <c r="F2246" s="0" t="s">
        <v>524</v>
      </c>
      <c r="G2246" s="0" t="s">
        <v>84</v>
      </c>
      <c r="H2246" s="0" t="s">
        <v>1388</v>
      </c>
    </row>
    <row r="2247" customFormat="false" ht="15" hidden="false" customHeight="false" outlineLevel="0" collapsed="false">
      <c r="A2247" s="0" t="s">
        <v>201</v>
      </c>
      <c r="B2247" s="0" t="n">
        <v>2015</v>
      </c>
      <c r="C2247" s="0" t="s">
        <v>57</v>
      </c>
      <c r="D2247" s="0" t="n">
        <v>82574.531</v>
      </c>
      <c r="E2247" s="0" t="s">
        <v>523</v>
      </c>
      <c r="F2247" s="0" t="s">
        <v>524</v>
      </c>
      <c r="G2247" s="0" t="s">
        <v>84</v>
      </c>
      <c r="H2247" s="0" t="s">
        <v>1389</v>
      </c>
    </row>
    <row r="2248" customFormat="false" ht="15" hidden="false" customHeight="false" outlineLevel="0" collapsed="false">
      <c r="A2248" s="0" t="s">
        <v>201</v>
      </c>
      <c r="B2248" s="0" t="n">
        <v>2015</v>
      </c>
      <c r="C2248" s="0" t="s">
        <v>58</v>
      </c>
      <c r="D2248" s="0" t="n">
        <v>-36691.17</v>
      </c>
      <c r="E2248" s="0" t="s">
        <v>523</v>
      </c>
      <c r="F2248" s="0" t="s">
        <v>524</v>
      </c>
      <c r="G2248" s="0" t="s">
        <v>84</v>
      </c>
      <c r="H2248" s="0" t="s">
        <v>1390</v>
      </c>
    </row>
    <row r="2249" customFormat="false" ht="15" hidden="false" customHeight="false" outlineLevel="0" collapsed="false">
      <c r="A2249" s="0" t="s">
        <v>201</v>
      </c>
      <c r="B2249" s="0" t="n">
        <v>2015</v>
      </c>
      <c r="C2249" s="0" t="s">
        <v>59</v>
      </c>
      <c r="D2249" s="0" t="n">
        <v>413305.111</v>
      </c>
      <c r="E2249" s="0" t="s">
        <v>523</v>
      </c>
      <c r="F2249" s="0" t="s">
        <v>524</v>
      </c>
      <c r="G2249" s="0" t="s">
        <v>84</v>
      </c>
      <c r="H2249" s="0" t="s">
        <v>1391</v>
      </c>
    </row>
    <row r="2250" customFormat="false" ht="15" hidden="false" customHeight="false" outlineLevel="0" collapsed="false">
      <c r="A2250" s="0" t="s">
        <v>201</v>
      </c>
      <c r="B2250" s="0" t="n">
        <v>2015</v>
      </c>
      <c r="C2250" s="0" t="s">
        <v>60</v>
      </c>
      <c r="D2250" s="0" t="n">
        <v>311897.547</v>
      </c>
      <c r="E2250" s="0" t="s">
        <v>523</v>
      </c>
      <c r="F2250" s="0" t="s">
        <v>524</v>
      </c>
      <c r="G2250" s="0" t="s">
        <v>84</v>
      </c>
      <c r="H2250" s="0" t="s">
        <v>1392</v>
      </c>
    </row>
    <row r="2251" customFormat="false" ht="15" hidden="false" customHeight="false" outlineLevel="0" collapsed="false">
      <c r="A2251" s="0" t="s">
        <v>201</v>
      </c>
      <c r="B2251" s="0" t="n">
        <v>2015</v>
      </c>
      <c r="C2251" s="0" t="s">
        <v>61</v>
      </c>
      <c r="D2251" s="0" t="n">
        <v>65754.418</v>
      </c>
      <c r="E2251" s="0" t="s">
        <v>523</v>
      </c>
      <c r="F2251" s="0" t="s">
        <v>524</v>
      </c>
      <c r="G2251" s="0" t="s">
        <v>84</v>
      </c>
      <c r="H2251" s="0" t="s">
        <v>1393</v>
      </c>
    </row>
    <row r="2252" customFormat="false" ht="15" hidden="false" customHeight="false" outlineLevel="0" collapsed="false">
      <c r="A2252" s="0" t="s">
        <v>201</v>
      </c>
      <c r="B2252" s="0" t="n">
        <v>2015</v>
      </c>
      <c r="C2252" s="0" t="s">
        <v>62</v>
      </c>
      <c r="D2252" s="0" t="n">
        <v>246143.129</v>
      </c>
      <c r="E2252" s="0" t="s">
        <v>523</v>
      </c>
      <c r="F2252" s="0" t="s">
        <v>524</v>
      </c>
      <c r="G2252" s="0" t="s">
        <v>84</v>
      </c>
      <c r="H2252" s="0" t="s">
        <v>1394</v>
      </c>
    </row>
    <row r="2253" customFormat="false" ht="15" hidden="false" customHeight="false" outlineLevel="0" collapsed="false">
      <c r="A2253" s="0" t="s">
        <v>201</v>
      </c>
      <c r="B2253" s="0" t="n">
        <v>2015</v>
      </c>
      <c r="C2253" s="0" t="s">
        <v>63</v>
      </c>
      <c r="D2253" s="0" t="n">
        <v>27122.182</v>
      </c>
      <c r="E2253" s="0" t="s">
        <v>523</v>
      </c>
      <c r="F2253" s="0" t="s">
        <v>524</v>
      </c>
      <c r="G2253" s="0" t="s">
        <v>84</v>
      </c>
      <c r="H2253" s="0" t="s">
        <v>1395</v>
      </c>
    </row>
    <row r="2254" customFormat="false" ht="15" hidden="false" customHeight="false" outlineLevel="0" collapsed="false">
      <c r="A2254" s="0" t="s">
        <v>201</v>
      </c>
      <c r="B2254" s="0" t="n">
        <v>2015</v>
      </c>
      <c r="C2254" s="0" t="s">
        <v>73</v>
      </c>
      <c r="D2254" s="0" t="n">
        <v>0</v>
      </c>
      <c r="E2254" s="0" t="s">
        <v>539</v>
      </c>
      <c r="F2254" s="0" t="s">
        <v>524</v>
      </c>
      <c r="G2254" s="0" t="s">
        <v>84</v>
      </c>
      <c r="H2254" s="0" t="s">
        <v>1396</v>
      </c>
    </row>
    <row r="2255" customFormat="false" ht="15" hidden="false" customHeight="false" outlineLevel="0" collapsed="false">
      <c r="A2255" s="0" t="s">
        <v>201</v>
      </c>
      <c r="B2255" s="0" t="n">
        <v>2015</v>
      </c>
      <c r="C2255" s="0" t="s">
        <v>541</v>
      </c>
      <c r="D2255" s="0" t="n">
        <v>2342.667</v>
      </c>
      <c r="E2255" s="0" t="s">
        <v>523</v>
      </c>
      <c r="F2255" s="0" t="s">
        <v>524</v>
      </c>
      <c r="G2255" s="0" t="s">
        <v>84</v>
      </c>
      <c r="H2255" s="0" t="s">
        <v>1397</v>
      </c>
    </row>
    <row r="2256" customFormat="false" ht="15" hidden="false" customHeight="false" outlineLevel="0" collapsed="false">
      <c r="A2256" s="0" t="s">
        <v>201</v>
      </c>
      <c r="B2256" s="0" t="n">
        <v>2015</v>
      </c>
      <c r="C2256" s="0" t="s">
        <v>543</v>
      </c>
      <c r="D2256" s="0" t="n">
        <v>59878.629</v>
      </c>
      <c r="E2256" s="0" t="s">
        <v>523</v>
      </c>
      <c r="F2256" s="0" t="s">
        <v>524</v>
      </c>
      <c r="G2256" s="0" t="s">
        <v>84</v>
      </c>
      <c r="H2256" s="0" t="s">
        <v>1398</v>
      </c>
    </row>
    <row r="2257" customFormat="false" ht="15" hidden="false" customHeight="false" outlineLevel="0" collapsed="false">
      <c r="A2257" s="0" t="s">
        <v>201</v>
      </c>
      <c r="B2257" s="0" t="n">
        <v>2015</v>
      </c>
      <c r="C2257" s="0" t="s">
        <v>545</v>
      </c>
      <c r="D2257" s="0" t="n">
        <v>5875.789</v>
      </c>
      <c r="E2257" s="0" t="s">
        <v>523</v>
      </c>
      <c r="F2257" s="0" t="s">
        <v>524</v>
      </c>
      <c r="G2257" s="0" t="s">
        <v>84</v>
      </c>
      <c r="H2257" s="0" t="s">
        <v>1399</v>
      </c>
    </row>
    <row r="2258" customFormat="false" ht="15" hidden="false" customHeight="false" outlineLevel="0" collapsed="false">
      <c r="A2258" s="0" t="s">
        <v>201</v>
      </c>
      <c r="B2258" s="0" t="n">
        <v>2015</v>
      </c>
      <c r="C2258" s="0" t="s">
        <v>19</v>
      </c>
      <c r="D2258" s="0" t="n">
        <v>428313.0615</v>
      </c>
      <c r="E2258" s="0" t="s">
        <v>522</v>
      </c>
    </row>
    <row r="2259" customFormat="false" ht="15" hidden="false" customHeight="false" outlineLevel="0" collapsed="false">
      <c r="A2259" s="0" t="s">
        <v>201</v>
      </c>
      <c r="B2259" s="0" t="n">
        <v>2015</v>
      </c>
      <c r="C2259" s="0" t="s">
        <v>41</v>
      </c>
      <c r="D2259" s="0" t="n">
        <v>1.09479663860309</v>
      </c>
      <c r="E2259" s="0" t="s">
        <v>522</v>
      </c>
    </row>
    <row r="2260" customFormat="false" ht="15" hidden="false" customHeight="false" outlineLevel="0" collapsed="false">
      <c r="A2260" s="0" t="s">
        <v>201</v>
      </c>
      <c r="B2260" s="0" t="n">
        <v>2015</v>
      </c>
      <c r="C2260" s="0" t="s">
        <v>27</v>
      </c>
      <c r="D2260" s="0" t="n">
        <v>18.6263517326808</v>
      </c>
      <c r="E2260" s="0" t="s">
        <v>522</v>
      </c>
    </row>
    <row r="2261" customFormat="false" ht="15" hidden="false" customHeight="false" outlineLevel="0" collapsed="false">
      <c r="A2261" s="0" t="s">
        <v>201</v>
      </c>
      <c r="B2261" s="0" t="n">
        <v>2015</v>
      </c>
      <c r="C2261" s="0" t="s">
        <v>39</v>
      </c>
      <c r="D2261" s="0" t="n">
        <v>-8.5664373324277</v>
      </c>
      <c r="E2261" s="0" t="s">
        <v>522</v>
      </c>
    </row>
    <row r="2262" customFormat="false" ht="15" hidden="false" customHeight="false" outlineLevel="0" collapsed="false">
      <c r="A2262" s="0" t="s">
        <v>201</v>
      </c>
      <c r="B2262" s="0" t="n">
        <v>2015</v>
      </c>
      <c r="C2262" s="0" t="s">
        <v>17</v>
      </c>
      <c r="D2262" s="0" t="n">
        <v>21.082056794759</v>
      </c>
      <c r="E2262" s="0" t="s">
        <v>522</v>
      </c>
    </row>
    <row r="2263" customFormat="false" ht="15" hidden="false" customHeight="false" outlineLevel="0" collapsed="false">
      <c r="A2263" s="0" t="s">
        <v>201</v>
      </c>
      <c r="B2263" s="0" t="n">
        <v>2015</v>
      </c>
      <c r="C2263" s="0" t="s">
        <v>29</v>
      </c>
      <c r="D2263" s="0" t="n">
        <v>6.33232661759488</v>
      </c>
      <c r="E2263" s="0" t="s">
        <v>522</v>
      </c>
    </row>
    <row r="2264" customFormat="false" ht="15" hidden="false" customHeight="false" outlineLevel="0" collapsed="false">
      <c r="A2264" s="0" t="s">
        <v>201</v>
      </c>
      <c r="B2264" s="0" t="n">
        <v>2015</v>
      </c>
      <c r="C2264" s="0" t="s">
        <v>43</v>
      </c>
      <c r="D2264" s="0" t="n">
        <v>1.05773398351802</v>
      </c>
      <c r="E2264" s="0" t="s">
        <v>522</v>
      </c>
    </row>
    <row r="2265" customFormat="false" ht="15" hidden="false" customHeight="false" outlineLevel="0" collapsed="false">
      <c r="A2265" s="0" t="s">
        <v>201</v>
      </c>
      <c r="B2265" s="0" t="n">
        <v>2015</v>
      </c>
      <c r="C2265" s="0" t="s">
        <v>31</v>
      </c>
      <c r="D2265" s="0" t="n">
        <v>81.3736482673192</v>
      </c>
      <c r="E2265" s="0" t="s">
        <v>522</v>
      </c>
    </row>
    <row r="2266" customFormat="false" ht="15" hidden="false" customHeight="false" outlineLevel="0" collapsed="false">
      <c r="A2266" s="0" t="s">
        <v>201</v>
      </c>
      <c r="B2266" s="0" t="n">
        <v>2015</v>
      </c>
      <c r="C2266" s="0" t="s">
        <v>33</v>
      </c>
      <c r="D2266" s="0" t="n">
        <v>13.0020494186624</v>
      </c>
      <c r="E2266" s="0" t="s">
        <v>522</v>
      </c>
    </row>
    <row r="2267" customFormat="false" ht="15" hidden="false" customHeight="false" outlineLevel="0" collapsed="false">
      <c r="A2267" s="0" t="s">
        <v>201</v>
      </c>
      <c r="B2267" s="0" t="n">
        <v>2015</v>
      </c>
      <c r="C2267" s="0" t="s">
        <v>21</v>
      </c>
      <c r="D2267" s="0" t="n">
        <v>-4.36557456851006E-011</v>
      </c>
      <c r="E2267" s="0" t="s">
        <v>522</v>
      </c>
    </row>
    <row r="2268" customFormat="false" ht="15" hidden="false" customHeight="false" outlineLevel="0" collapsed="false">
      <c r="A2268" s="0" t="s">
        <v>201</v>
      </c>
      <c r="B2268" s="0" t="n">
        <v>2015</v>
      </c>
      <c r="C2268" s="0" t="s">
        <v>35</v>
      </c>
      <c r="D2268" s="0" t="n">
        <v>2.91038304567337E-011</v>
      </c>
      <c r="E2268" s="0" t="s">
        <v>522</v>
      </c>
    </row>
    <row r="2269" customFormat="false" ht="15" hidden="false" customHeight="false" outlineLevel="0" collapsed="false">
      <c r="A2269" s="0" t="s">
        <v>201</v>
      </c>
      <c r="B2269" s="0" t="n">
        <v>2016</v>
      </c>
      <c r="C2269" s="0" t="s">
        <v>54</v>
      </c>
      <c r="D2269" s="0" t="n">
        <v>2183.798</v>
      </c>
      <c r="E2269" s="0" t="s">
        <v>523</v>
      </c>
      <c r="F2269" s="0" t="s">
        <v>524</v>
      </c>
      <c r="G2269" s="0" t="s">
        <v>87</v>
      </c>
      <c r="H2269" s="0" t="s">
        <v>1400</v>
      </c>
    </row>
    <row r="2270" customFormat="false" ht="15" hidden="false" customHeight="false" outlineLevel="0" collapsed="false">
      <c r="A2270" s="0" t="s">
        <v>201</v>
      </c>
      <c r="B2270" s="0" t="n">
        <v>2016</v>
      </c>
      <c r="C2270" s="0" t="s">
        <v>55</v>
      </c>
      <c r="D2270" s="0" t="n">
        <v>492681.647</v>
      </c>
      <c r="E2270" s="0" t="s">
        <v>523</v>
      </c>
      <c r="F2270" s="0" t="s">
        <v>524</v>
      </c>
      <c r="G2270" s="0" t="s">
        <v>87</v>
      </c>
      <c r="H2270" s="0" t="s">
        <v>1401</v>
      </c>
    </row>
    <row r="2271" customFormat="false" ht="15" hidden="false" customHeight="false" outlineLevel="0" collapsed="false">
      <c r="A2271" s="0" t="s">
        <v>201</v>
      </c>
      <c r="B2271" s="0" t="n">
        <v>2016</v>
      </c>
      <c r="C2271" s="0" t="s">
        <v>56</v>
      </c>
      <c r="D2271" s="0" t="n">
        <v>409574.667</v>
      </c>
      <c r="E2271" s="0" t="s">
        <v>523</v>
      </c>
      <c r="F2271" s="0" t="s">
        <v>524</v>
      </c>
      <c r="G2271" s="0" t="s">
        <v>87</v>
      </c>
      <c r="H2271" s="0" t="s">
        <v>1402</v>
      </c>
    </row>
    <row r="2272" customFormat="false" ht="15" hidden="false" customHeight="false" outlineLevel="0" collapsed="false">
      <c r="A2272" s="0" t="s">
        <v>201</v>
      </c>
      <c r="B2272" s="0" t="n">
        <v>2016</v>
      </c>
      <c r="C2272" s="0" t="s">
        <v>57</v>
      </c>
      <c r="D2272" s="0" t="n">
        <v>83106.98</v>
      </c>
      <c r="E2272" s="0" t="s">
        <v>523</v>
      </c>
      <c r="F2272" s="0" t="s">
        <v>524</v>
      </c>
      <c r="G2272" s="0" t="s">
        <v>87</v>
      </c>
      <c r="H2272" s="0" t="s">
        <v>1403</v>
      </c>
    </row>
    <row r="2273" customFormat="false" ht="15" hidden="false" customHeight="false" outlineLevel="0" collapsed="false">
      <c r="A2273" s="0" t="s">
        <v>201</v>
      </c>
      <c r="B2273" s="0" t="n">
        <v>2016</v>
      </c>
      <c r="C2273" s="0" t="s">
        <v>58</v>
      </c>
      <c r="D2273" s="0" t="n">
        <v>-23320.526</v>
      </c>
      <c r="E2273" s="0" t="s">
        <v>523</v>
      </c>
      <c r="F2273" s="0" t="s">
        <v>524</v>
      </c>
      <c r="G2273" s="0" t="s">
        <v>87</v>
      </c>
      <c r="H2273" s="0" t="s">
        <v>1404</v>
      </c>
    </row>
    <row r="2274" customFormat="false" ht="15" hidden="false" customHeight="false" outlineLevel="0" collapsed="false">
      <c r="A2274" s="0" t="s">
        <v>201</v>
      </c>
      <c r="B2274" s="0" t="n">
        <v>2016</v>
      </c>
      <c r="C2274" s="0" t="s">
        <v>59</v>
      </c>
      <c r="D2274" s="0" t="n">
        <v>443321.012</v>
      </c>
      <c r="E2274" s="0" t="s">
        <v>523</v>
      </c>
      <c r="F2274" s="0" t="s">
        <v>524</v>
      </c>
      <c r="G2274" s="0" t="s">
        <v>87</v>
      </c>
      <c r="H2274" s="0" t="s">
        <v>1405</v>
      </c>
    </row>
    <row r="2275" customFormat="false" ht="15" hidden="false" customHeight="false" outlineLevel="0" collapsed="false">
      <c r="A2275" s="0" t="s">
        <v>201</v>
      </c>
      <c r="B2275" s="0" t="n">
        <v>2016</v>
      </c>
      <c r="C2275" s="0" t="s">
        <v>60</v>
      </c>
      <c r="D2275" s="0" t="n">
        <v>378758.599</v>
      </c>
      <c r="E2275" s="0" t="s">
        <v>523</v>
      </c>
      <c r="F2275" s="0" t="s">
        <v>524</v>
      </c>
      <c r="G2275" s="0" t="s">
        <v>87</v>
      </c>
      <c r="H2275" s="0" t="s">
        <v>1406</v>
      </c>
    </row>
    <row r="2276" customFormat="false" ht="15" hidden="false" customHeight="false" outlineLevel="0" collapsed="false">
      <c r="A2276" s="0" t="s">
        <v>201</v>
      </c>
      <c r="B2276" s="0" t="n">
        <v>2016</v>
      </c>
      <c r="C2276" s="0" t="s">
        <v>61</v>
      </c>
      <c r="D2276" s="0" t="n">
        <v>101544.079</v>
      </c>
      <c r="E2276" s="0" t="s">
        <v>523</v>
      </c>
      <c r="F2276" s="0" t="s">
        <v>524</v>
      </c>
      <c r="G2276" s="0" t="s">
        <v>87</v>
      </c>
      <c r="H2276" s="0" t="s">
        <v>1407</v>
      </c>
    </row>
    <row r="2277" customFormat="false" ht="15" hidden="false" customHeight="false" outlineLevel="0" collapsed="false">
      <c r="A2277" s="0" t="s">
        <v>201</v>
      </c>
      <c r="B2277" s="0" t="n">
        <v>2016</v>
      </c>
      <c r="C2277" s="0" t="s">
        <v>62</v>
      </c>
      <c r="D2277" s="0" t="n">
        <v>277214.521</v>
      </c>
      <c r="E2277" s="0" t="s">
        <v>523</v>
      </c>
      <c r="F2277" s="0" t="s">
        <v>524</v>
      </c>
      <c r="G2277" s="0" t="s">
        <v>87</v>
      </c>
      <c r="H2277" s="0" t="s">
        <v>1408</v>
      </c>
    </row>
    <row r="2278" customFormat="false" ht="15" hidden="false" customHeight="false" outlineLevel="0" collapsed="false">
      <c r="A2278" s="0" t="s">
        <v>201</v>
      </c>
      <c r="B2278" s="0" t="n">
        <v>2016</v>
      </c>
      <c r="C2278" s="0" t="s">
        <v>63</v>
      </c>
      <c r="D2278" s="0" t="n">
        <v>35948.596</v>
      </c>
      <c r="E2278" s="0" t="s">
        <v>523</v>
      </c>
      <c r="F2278" s="0" t="s">
        <v>524</v>
      </c>
      <c r="G2278" s="0" t="s">
        <v>87</v>
      </c>
      <c r="H2278" s="0" t="s">
        <v>1409</v>
      </c>
    </row>
    <row r="2279" customFormat="false" ht="15" hidden="false" customHeight="false" outlineLevel="0" collapsed="false">
      <c r="A2279" s="0" t="s">
        <v>201</v>
      </c>
      <c r="B2279" s="0" t="n">
        <v>2016</v>
      </c>
      <c r="C2279" s="0" t="s">
        <v>69</v>
      </c>
      <c r="D2279" s="0" t="n">
        <v>-46.98</v>
      </c>
      <c r="E2279" s="0" t="s">
        <v>523</v>
      </c>
      <c r="F2279" s="0" t="s">
        <v>524</v>
      </c>
      <c r="G2279" s="0" t="s">
        <v>87</v>
      </c>
      <c r="H2279" s="0" t="s">
        <v>1410</v>
      </c>
    </row>
    <row r="2280" customFormat="false" ht="15" hidden="false" customHeight="false" outlineLevel="0" collapsed="false">
      <c r="A2280" s="0" t="s">
        <v>201</v>
      </c>
      <c r="B2280" s="0" t="n">
        <v>2016</v>
      </c>
      <c r="C2280" s="0" t="s">
        <v>65</v>
      </c>
      <c r="D2280" s="0" t="n">
        <v>-217551.64</v>
      </c>
      <c r="E2280" s="0" t="s">
        <v>523</v>
      </c>
      <c r="F2280" s="0" t="s">
        <v>524</v>
      </c>
      <c r="G2280" s="0" t="s">
        <v>87</v>
      </c>
      <c r="H2280" s="0" t="s">
        <v>1411</v>
      </c>
    </row>
    <row r="2281" customFormat="false" ht="15" hidden="false" customHeight="false" outlineLevel="0" collapsed="false">
      <c r="A2281" s="0" t="s">
        <v>201</v>
      </c>
      <c r="B2281" s="0" t="n">
        <v>2016</v>
      </c>
      <c r="C2281" s="0" t="s">
        <v>66</v>
      </c>
      <c r="D2281" s="0" t="n">
        <v>463106.398</v>
      </c>
      <c r="E2281" s="0" t="s">
        <v>523</v>
      </c>
      <c r="F2281" s="0" t="s">
        <v>524</v>
      </c>
      <c r="G2281" s="0" t="s">
        <v>87</v>
      </c>
      <c r="H2281" s="0" t="s">
        <v>1412</v>
      </c>
    </row>
    <row r="2282" customFormat="false" ht="15" hidden="false" customHeight="false" outlineLevel="0" collapsed="false">
      <c r="A2282" s="0" t="s">
        <v>201</v>
      </c>
      <c r="B2282" s="0" t="n">
        <v>2016</v>
      </c>
      <c r="C2282" s="0" t="s">
        <v>73</v>
      </c>
      <c r="D2282" s="0" t="n">
        <v>0</v>
      </c>
      <c r="E2282" s="0" t="s">
        <v>539</v>
      </c>
      <c r="F2282" s="0" t="s">
        <v>524</v>
      </c>
      <c r="G2282" s="0" t="s">
        <v>87</v>
      </c>
      <c r="H2282" s="0" t="s">
        <v>1413</v>
      </c>
    </row>
    <row r="2283" customFormat="false" ht="15" hidden="false" customHeight="false" outlineLevel="0" collapsed="false">
      <c r="A2283" s="0" t="s">
        <v>201</v>
      </c>
      <c r="B2283" s="0" t="n">
        <v>2016</v>
      </c>
      <c r="C2283" s="0" t="s">
        <v>541</v>
      </c>
      <c r="D2283" s="0" t="n">
        <v>1816.431</v>
      </c>
      <c r="E2283" s="0" t="s">
        <v>523</v>
      </c>
      <c r="F2283" s="0" t="s">
        <v>524</v>
      </c>
      <c r="G2283" s="0" t="s">
        <v>87</v>
      </c>
      <c r="H2283" s="0" t="s">
        <v>1414</v>
      </c>
    </row>
    <row r="2284" customFormat="false" ht="15" hidden="false" customHeight="false" outlineLevel="0" collapsed="false">
      <c r="A2284" s="0" t="s">
        <v>201</v>
      </c>
      <c r="B2284" s="0" t="n">
        <v>2016</v>
      </c>
      <c r="C2284" s="0" t="s">
        <v>543</v>
      </c>
      <c r="D2284" s="0" t="n">
        <v>93090.028</v>
      </c>
      <c r="E2284" s="0" t="s">
        <v>523</v>
      </c>
      <c r="F2284" s="0" t="s">
        <v>524</v>
      </c>
      <c r="G2284" s="0" t="s">
        <v>87</v>
      </c>
      <c r="H2284" s="0" t="s">
        <v>1415</v>
      </c>
    </row>
    <row r="2285" customFormat="false" ht="15" hidden="false" customHeight="false" outlineLevel="0" collapsed="false">
      <c r="A2285" s="0" t="s">
        <v>201</v>
      </c>
      <c r="B2285" s="0" t="n">
        <v>2016</v>
      </c>
      <c r="C2285" s="0" t="s">
        <v>545</v>
      </c>
      <c r="D2285" s="0" t="n">
        <v>8454.051</v>
      </c>
      <c r="E2285" s="0" t="s">
        <v>523</v>
      </c>
      <c r="F2285" s="0" t="s">
        <v>524</v>
      </c>
      <c r="G2285" s="0" t="s">
        <v>87</v>
      </c>
      <c r="H2285" s="0" t="s">
        <v>1416</v>
      </c>
    </row>
    <row r="2286" customFormat="false" ht="15" hidden="false" customHeight="false" outlineLevel="0" collapsed="false">
      <c r="A2286" s="0" t="s">
        <v>201</v>
      </c>
      <c r="B2286" s="0" t="n">
        <v>2016</v>
      </c>
      <c r="C2286" s="0" t="s">
        <v>19</v>
      </c>
      <c r="D2286" s="0" t="n">
        <v>468001.3295</v>
      </c>
      <c r="E2286" s="0" t="s">
        <v>522</v>
      </c>
    </row>
    <row r="2287" customFormat="false" ht="15" hidden="false" customHeight="false" outlineLevel="0" collapsed="false">
      <c r="A2287" s="0" t="s">
        <v>201</v>
      </c>
      <c r="B2287" s="0" t="n">
        <v>2016</v>
      </c>
      <c r="C2287" s="0" t="s">
        <v>41</v>
      </c>
      <c r="D2287" s="0" t="n">
        <v>0.466622178687636</v>
      </c>
      <c r="E2287" s="0" t="s">
        <v>522</v>
      </c>
    </row>
    <row r="2288" customFormat="false" ht="15" hidden="false" customHeight="false" outlineLevel="0" collapsed="false">
      <c r="A2288" s="0" t="s">
        <v>201</v>
      </c>
      <c r="B2288" s="0" t="n">
        <v>2016</v>
      </c>
      <c r="C2288" s="0" t="s">
        <v>27</v>
      </c>
      <c r="D2288" s="0" t="n">
        <v>16.8682922341534</v>
      </c>
      <c r="E2288" s="0" t="s">
        <v>522</v>
      </c>
    </row>
    <row r="2289" customFormat="false" ht="15" hidden="false" customHeight="false" outlineLevel="0" collapsed="false">
      <c r="A2289" s="0" t="s">
        <v>201</v>
      </c>
      <c r="B2289" s="0" t="n">
        <v>2016</v>
      </c>
      <c r="C2289" s="0" t="s">
        <v>39</v>
      </c>
      <c r="D2289" s="0" t="n">
        <v>-4.98300422029036</v>
      </c>
      <c r="E2289" s="0" t="s">
        <v>522</v>
      </c>
    </row>
    <row r="2290" customFormat="false" ht="15" hidden="false" customHeight="false" outlineLevel="0" collapsed="false">
      <c r="A2290" s="0" t="s">
        <v>201</v>
      </c>
      <c r="B2290" s="0" t="n">
        <v>2016</v>
      </c>
      <c r="C2290" s="0" t="s">
        <v>17</v>
      </c>
      <c r="D2290" s="0" t="n">
        <v>26.8097092100607</v>
      </c>
      <c r="E2290" s="0" t="s">
        <v>522</v>
      </c>
    </row>
    <row r="2291" customFormat="false" ht="15" hidden="false" customHeight="false" outlineLevel="0" collapsed="false">
      <c r="A2291" s="0" t="s">
        <v>201</v>
      </c>
      <c r="B2291" s="0" t="n">
        <v>2016</v>
      </c>
      <c r="C2291" s="0" t="s">
        <v>25</v>
      </c>
      <c r="D2291" s="0" t="n">
        <v>-46.9765999648314</v>
      </c>
      <c r="E2291" s="0" t="s">
        <v>522</v>
      </c>
    </row>
    <row r="2292" customFormat="false" ht="15" hidden="false" customHeight="false" outlineLevel="0" collapsed="false">
      <c r="A2292" s="0" t="s">
        <v>201</v>
      </c>
      <c r="B2292" s="0" t="n">
        <v>2016</v>
      </c>
      <c r="C2292" s="0" t="s">
        <v>29</v>
      </c>
      <c r="D2292" s="0" t="n">
        <v>7.68130211048898</v>
      </c>
      <c r="E2292" s="0" t="s">
        <v>522</v>
      </c>
    </row>
    <row r="2293" customFormat="false" ht="15" hidden="false" customHeight="false" outlineLevel="0" collapsed="false">
      <c r="A2293" s="0" t="s">
        <v>201</v>
      </c>
      <c r="B2293" s="0" t="n">
        <v>2016</v>
      </c>
      <c r="C2293" s="0" t="s">
        <v>43</v>
      </c>
      <c r="D2293" s="0" t="n">
        <v>0.443247280124482</v>
      </c>
      <c r="E2293" s="0" t="s">
        <v>522</v>
      </c>
    </row>
    <row r="2294" customFormat="false" ht="15" hidden="false" customHeight="false" outlineLevel="0" collapsed="false">
      <c r="A2294" s="0" t="s">
        <v>201</v>
      </c>
      <c r="B2294" s="0" t="n">
        <v>2016</v>
      </c>
      <c r="C2294" s="0" t="s">
        <v>31</v>
      </c>
      <c r="D2294" s="0" t="n">
        <v>83.1317077658466</v>
      </c>
      <c r="E2294" s="0" t="s">
        <v>522</v>
      </c>
    </row>
    <row r="2295" customFormat="false" ht="15" hidden="false" customHeight="false" outlineLevel="0" collapsed="false">
      <c r="A2295" s="0" t="s">
        <v>201</v>
      </c>
      <c r="B2295" s="0" t="n">
        <v>2016</v>
      </c>
      <c r="C2295" s="0" t="s">
        <v>33</v>
      </c>
      <c r="D2295" s="0" t="n">
        <v>13.1076184979905</v>
      </c>
      <c r="E2295" s="0" t="s">
        <v>522</v>
      </c>
    </row>
    <row r="2296" customFormat="false" ht="15" hidden="false" customHeight="false" outlineLevel="0" collapsed="false">
      <c r="A2296" s="0" t="s">
        <v>201</v>
      </c>
      <c r="B2296" s="0" t="n">
        <v>2016</v>
      </c>
      <c r="C2296" s="0" t="s">
        <v>21</v>
      </c>
      <c r="D2296" s="0" t="n">
        <v>-1.45519152283669E-011</v>
      </c>
      <c r="E2296" s="0" t="s">
        <v>522</v>
      </c>
    </row>
    <row r="2297" customFormat="false" ht="15" hidden="false" customHeight="false" outlineLevel="0" collapsed="false">
      <c r="A2297" s="0" t="s">
        <v>201</v>
      </c>
      <c r="B2297" s="0" t="n">
        <v>2016</v>
      </c>
      <c r="C2297" s="0" t="s">
        <v>35</v>
      </c>
      <c r="D2297" s="0" t="n">
        <v>-0.00099999998928979</v>
      </c>
      <c r="E2297" s="0" t="s">
        <v>522</v>
      </c>
    </row>
    <row r="2298" customFormat="false" ht="15" hidden="false" customHeight="false" outlineLevel="0" collapsed="false">
      <c r="A2298" s="0" t="s">
        <v>201</v>
      </c>
      <c r="B2298" s="0" t="n">
        <v>2017</v>
      </c>
      <c r="C2298" s="0" t="s">
        <v>54</v>
      </c>
      <c r="D2298" s="0" t="n">
        <v>-14917.938</v>
      </c>
      <c r="E2298" s="0" t="s">
        <v>523</v>
      </c>
      <c r="F2298" s="0" t="s">
        <v>524</v>
      </c>
      <c r="G2298" s="0" t="s">
        <v>89</v>
      </c>
      <c r="H2298" s="0" t="s">
        <v>1417</v>
      </c>
    </row>
    <row r="2299" customFormat="false" ht="15" hidden="false" customHeight="false" outlineLevel="0" collapsed="false">
      <c r="A2299" s="0" t="s">
        <v>201</v>
      </c>
      <c r="B2299" s="0" t="n">
        <v>2017</v>
      </c>
      <c r="C2299" s="0" t="s">
        <v>55</v>
      </c>
      <c r="D2299" s="0" t="n">
        <v>156506.504</v>
      </c>
      <c r="E2299" s="0" t="s">
        <v>523</v>
      </c>
      <c r="F2299" s="0" t="s">
        <v>524</v>
      </c>
      <c r="G2299" s="0" t="s">
        <v>89</v>
      </c>
      <c r="H2299" s="0" t="s">
        <v>1418</v>
      </c>
    </row>
    <row r="2300" customFormat="false" ht="15" hidden="false" customHeight="false" outlineLevel="0" collapsed="false">
      <c r="A2300" s="0" t="s">
        <v>201</v>
      </c>
      <c r="B2300" s="0" t="n">
        <v>2017</v>
      </c>
      <c r="C2300" s="0" t="s">
        <v>56</v>
      </c>
      <c r="D2300" s="0" t="n">
        <v>398699.659</v>
      </c>
      <c r="E2300" s="0" t="s">
        <v>523</v>
      </c>
      <c r="F2300" s="0" t="s">
        <v>524</v>
      </c>
      <c r="G2300" s="0" t="s">
        <v>89</v>
      </c>
      <c r="H2300" s="0" t="s">
        <v>1419</v>
      </c>
    </row>
    <row r="2301" customFormat="false" ht="15" hidden="false" customHeight="false" outlineLevel="0" collapsed="false">
      <c r="A2301" s="0" t="s">
        <v>201</v>
      </c>
      <c r="B2301" s="0" t="n">
        <v>2017</v>
      </c>
      <c r="C2301" s="0" t="s">
        <v>57</v>
      </c>
      <c r="D2301" s="0" t="n">
        <v>-242193.155</v>
      </c>
      <c r="E2301" s="0" t="s">
        <v>523</v>
      </c>
      <c r="F2301" s="0" t="s">
        <v>524</v>
      </c>
      <c r="G2301" s="0" t="s">
        <v>89</v>
      </c>
      <c r="H2301" s="0" t="s">
        <v>1420</v>
      </c>
    </row>
    <row r="2302" customFormat="false" ht="15" hidden="false" customHeight="false" outlineLevel="0" collapsed="false">
      <c r="A2302" s="0" t="s">
        <v>201</v>
      </c>
      <c r="B2302" s="0" t="n">
        <v>2017</v>
      </c>
      <c r="C2302" s="0" t="s">
        <v>58</v>
      </c>
      <c r="D2302" s="0" t="n">
        <v>-6744.837</v>
      </c>
      <c r="E2302" s="0" t="s">
        <v>523</v>
      </c>
      <c r="F2302" s="0" t="s">
        <v>524</v>
      </c>
      <c r="G2302" s="0" t="s">
        <v>89</v>
      </c>
      <c r="H2302" s="0" t="s">
        <v>1421</v>
      </c>
    </row>
    <row r="2303" customFormat="false" ht="15" hidden="false" customHeight="false" outlineLevel="0" collapsed="false">
      <c r="A2303" s="0" t="s">
        <v>201</v>
      </c>
      <c r="B2303" s="0" t="n">
        <v>2017</v>
      </c>
      <c r="C2303" s="0" t="s">
        <v>59</v>
      </c>
      <c r="D2303" s="0" t="n">
        <v>492681.647</v>
      </c>
      <c r="E2303" s="0" t="s">
        <v>523</v>
      </c>
      <c r="F2303" s="0" t="s">
        <v>524</v>
      </c>
      <c r="G2303" s="0" t="s">
        <v>89</v>
      </c>
      <c r="H2303" s="0" t="s">
        <v>1422</v>
      </c>
    </row>
    <row r="2304" customFormat="false" ht="15" hidden="false" customHeight="false" outlineLevel="0" collapsed="false">
      <c r="A2304" s="0" t="s">
        <v>201</v>
      </c>
      <c r="B2304" s="0" t="n">
        <v>2017</v>
      </c>
      <c r="C2304" s="0" t="s">
        <v>60</v>
      </c>
      <c r="D2304" s="0" t="n">
        <v>9467.163</v>
      </c>
      <c r="E2304" s="0" t="s">
        <v>523</v>
      </c>
      <c r="F2304" s="0" t="s">
        <v>524</v>
      </c>
      <c r="G2304" s="0" t="s">
        <v>89</v>
      </c>
      <c r="H2304" s="0" t="s">
        <v>1423</v>
      </c>
    </row>
    <row r="2305" customFormat="false" ht="15" hidden="false" customHeight="false" outlineLevel="0" collapsed="false">
      <c r="A2305" s="0" t="s">
        <v>201</v>
      </c>
      <c r="B2305" s="0" t="n">
        <v>2017</v>
      </c>
      <c r="C2305" s="0" t="s">
        <v>61</v>
      </c>
      <c r="D2305" s="0" t="n">
        <v>509.036</v>
      </c>
      <c r="E2305" s="0" t="s">
        <v>523</v>
      </c>
      <c r="F2305" s="0" t="s">
        <v>524</v>
      </c>
      <c r="G2305" s="0" t="s">
        <v>89</v>
      </c>
      <c r="H2305" s="0" t="s">
        <v>1424</v>
      </c>
    </row>
    <row r="2306" customFormat="false" ht="15" hidden="false" customHeight="false" outlineLevel="0" collapsed="false">
      <c r="A2306" s="0" t="s">
        <v>201</v>
      </c>
      <c r="B2306" s="0" t="n">
        <v>2017</v>
      </c>
      <c r="C2306" s="0" t="s">
        <v>62</v>
      </c>
      <c r="D2306" s="0" t="n">
        <v>8958.127</v>
      </c>
      <c r="E2306" s="0" t="s">
        <v>523</v>
      </c>
      <c r="F2306" s="0" t="s">
        <v>524</v>
      </c>
      <c r="G2306" s="0" t="s">
        <v>89</v>
      </c>
      <c r="H2306" s="0" t="s">
        <v>1425</v>
      </c>
    </row>
    <row r="2307" customFormat="false" ht="15" hidden="false" customHeight="false" outlineLevel="0" collapsed="false">
      <c r="A2307" s="0" t="s">
        <v>201</v>
      </c>
      <c r="B2307" s="0" t="n">
        <v>2017</v>
      </c>
      <c r="C2307" s="0" t="s">
        <v>63</v>
      </c>
      <c r="D2307" s="0" t="n">
        <v>44254.863</v>
      </c>
      <c r="E2307" s="0" t="s">
        <v>523</v>
      </c>
      <c r="F2307" s="0" t="s">
        <v>524</v>
      </c>
      <c r="G2307" s="0" t="s">
        <v>89</v>
      </c>
      <c r="H2307" s="0" t="s">
        <v>1426</v>
      </c>
    </row>
    <row r="2308" customFormat="false" ht="15" hidden="false" customHeight="false" outlineLevel="0" collapsed="false">
      <c r="A2308" s="0" t="s">
        <v>201</v>
      </c>
      <c r="B2308" s="0" t="n">
        <v>2017</v>
      </c>
      <c r="C2308" s="0" t="s">
        <v>69</v>
      </c>
      <c r="D2308" s="0" t="n">
        <v>-198.07</v>
      </c>
      <c r="E2308" s="0" t="s">
        <v>523</v>
      </c>
      <c r="F2308" s="0" t="s">
        <v>524</v>
      </c>
      <c r="G2308" s="0" t="s">
        <v>89</v>
      </c>
      <c r="H2308" s="0" t="s">
        <v>1427</v>
      </c>
    </row>
    <row r="2309" customFormat="false" ht="15" hidden="false" customHeight="false" outlineLevel="0" collapsed="false">
      <c r="A2309" s="0" t="s">
        <v>201</v>
      </c>
      <c r="B2309" s="0" t="n">
        <v>2017</v>
      </c>
      <c r="C2309" s="0" t="s">
        <v>65</v>
      </c>
      <c r="D2309" s="0" t="n">
        <v>-263292.548</v>
      </c>
      <c r="E2309" s="0" t="s">
        <v>523</v>
      </c>
      <c r="F2309" s="0" t="s">
        <v>524</v>
      </c>
      <c r="G2309" s="0" t="s">
        <v>89</v>
      </c>
      <c r="H2309" s="0" t="s">
        <v>1428</v>
      </c>
    </row>
    <row r="2310" customFormat="false" ht="15" hidden="false" customHeight="false" outlineLevel="0" collapsed="false">
      <c r="A2310" s="0" t="s">
        <v>201</v>
      </c>
      <c r="B2310" s="0" t="n">
        <v>2017</v>
      </c>
      <c r="C2310" s="0" t="s">
        <v>66</v>
      </c>
      <c r="D2310" s="0" t="n">
        <v>132926.38</v>
      </c>
      <c r="E2310" s="0" t="s">
        <v>523</v>
      </c>
      <c r="F2310" s="0" t="s">
        <v>524</v>
      </c>
      <c r="G2310" s="0" t="s">
        <v>89</v>
      </c>
      <c r="H2310" s="0" t="s">
        <v>1429</v>
      </c>
    </row>
    <row r="2311" customFormat="false" ht="15" hidden="false" customHeight="false" outlineLevel="0" collapsed="false">
      <c r="A2311" s="0" t="s">
        <v>201</v>
      </c>
      <c r="B2311" s="0" t="n">
        <v>2017</v>
      </c>
      <c r="C2311" s="0" t="s">
        <v>73</v>
      </c>
      <c r="D2311" s="0" t="n">
        <v>0</v>
      </c>
      <c r="E2311" s="0" t="s">
        <v>539</v>
      </c>
      <c r="F2311" s="0" t="s">
        <v>524</v>
      </c>
      <c r="G2311" s="0" t="s">
        <v>89</v>
      </c>
      <c r="H2311" s="0" t="s">
        <v>1430</v>
      </c>
    </row>
    <row r="2312" customFormat="false" ht="15" hidden="false" customHeight="false" outlineLevel="0" collapsed="false">
      <c r="A2312" s="0" t="s">
        <v>201</v>
      </c>
      <c r="B2312" s="0" t="n">
        <v>2017</v>
      </c>
      <c r="C2312" s="0" t="s">
        <v>541</v>
      </c>
      <c r="D2312" s="0" t="n">
        <v>-14242.574</v>
      </c>
      <c r="E2312" s="0" t="s">
        <v>523</v>
      </c>
      <c r="F2312" s="0" t="s">
        <v>524</v>
      </c>
      <c r="G2312" s="0" t="s">
        <v>89</v>
      </c>
      <c r="H2312" s="0" t="s">
        <v>1431</v>
      </c>
    </row>
    <row r="2313" customFormat="false" ht="15" hidden="false" customHeight="false" outlineLevel="0" collapsed="false">
      <c r="A2313" s="0" t="s">
        <v>201</v>
      </c>
      <c r="B2313" s="0" t="n">
        <v>2017</v>
      </c>
      <c r="C2313" s="0" t="s">
        <v>545</v>
      </c>
      <c r="D2313" s="0" t="n">
        <v>509.036</v>
      </c>
      <c r="E2313" s="0" t="s">
        <v>523</v>
      </c>
      <c r="F2313" s="0" t="s">
        <v>524</v>
      </c>
      <c r="G2313" s="0" t="s">
        <v>89</v>
      </c>
      <c r="H2313" s="0" t="s">
        <v>1432</v>
      </c>
    </row>
    <row r="2314" customFormat="false" ht="15" hidden="false" customHeight="false" outlineLevel="0" collapsed="false">
      <c r="A2314" s="0" t="s">
        <v>201</v>
      </c>
      <c r="B2314" s="0" t="n">
        <v>2017</v>
      </c>
      <c r="C2314" s="0" t="s">
        <v>19</v>
      </c>
      <c r="D2314" s="0" t="n">
        <v>324594.0755</v>
      </c>
      <c r="E2314" s="0" t="s">
        <v>522</v>
      </c>
    </row>
    <row r="2315" customFormat="false" ht="15" hidden="false" customHeight="false" outlineLevel="0" collapsed="false">
      <c r="A2315" s="0" t="s">
        <v>201</v>
      </c>
      <c r="B2315" s="0" t="n">
        <v>2017</v>
      </c>
      <c r="C2315" s="0" t="s">
        <v>41</v>
      </c>
      <c r="D2315" s="0" t="n">
        <v>-4.59587501004774</v>
      </c>
      <c r="E2315" s="0" t="s">
        <v>522</v>
      </c>
    </row>
    <row r="2316" customFormat="false" ht="15" hidden="false" customHeight="false" outlineLevel="0" collapsed="false">
      <c r="A2316" s="0" t="s">
        <v>201</v>
      </c>
      <c r="B2316" s="0" t="n">
        <v>2017</v>
      </c>
      <c r="C2316" s="0" t="s">
        <v>27</v>
      </c>
      <c r="D2316" s="0" t="n">
        <v>-154.749578330623</v>
      </c>
      <c r="E2316" s="0" t="s">
        <v>522</v>
      </c>
    </row>
    <row r="2317" customFormat="false" ht="15" hidden="false" customHeight="false" outlineLevel="0" collapsed="false">
      <c r="A2317" s="0" t="s">
        <v>201</v>
      </c>
      <c r="B2317" s="0" t="n">
        <v>2017</v>
      </c>
      <c r="C2317" s="0" t="s">
        <v>39</v>
      </c>
      <c r="D2317" s="0" t="n">
        <v>-2.07792979265267</v>
      </c>
      <c r="E2317" s="0" t="s">
        <v>522</v>
      </c>
    </row>
    <row r="2318" customFormat="false" ht="15" hidden="false" customHeight="false" outlineLevel="0" collapsed="false">
      <c r="A2318" s="0" t="s">
        <v>201</v>
      </c>
      <c r="B2318" s="0" t="n">
        <v>2017</v>
      </c>
      <c r="C2318" s="0" t="s">
        <v>17</v>
      </c>
      <c r="D2318" s="0" t="n">
        <v>5.37685893862818</v>
      </c>
      <c r="E2318" s="0" t="s">
        <v>522</v>
      </c>
    </row>
    <row r="2319" customFormat="false" ht="15" hidden="false" customHeight="false" outlineLevel="0" collapsed="false">
      <c r="A2319" s="0" t="s">
        <v>201</v>
      </c>
      <c r="B2319" s="0" t="n">
        <v>2017</v>
      </c>
      <c r="C2319" s="0" t="s">
        <v>25</v>
      </c>
      <c r="D2319" s="0" t="n">
        <v>-198.073962444475</v>
      </c>
      <c r="E2319" s="0" t="s">
        <v>522</v>
      </c>
    </row>
    <row r="2320" customFormat="false" ht="15" hidden="false" customHeight="false" outlineLevel="0" collapsed="false">
      <c r="A2320" s="0" t="s">
        <v>201</v>
      </c>
      <c r="B2320" s="0" t="n">
        <v>2017</v>
      </c>
      <c r="C2320" s="0" t="s">
        <v>29</v>
      </c>
      <c r="D2320" s="0" t="n">
        <v>13.6339096552611</v>
      </c>
      <c r="E2320" s="0" t="s">
        <v>522</v>
      </c>
    </row>
    <row r="2321" customFormat="false" ht="15" hidden="false" customHeight="false" outlineLevel="0" collapsed="false">
      <c r="A2321" s="0" t="s">
        <v>201</v>
      </c>
      <c r="B2321" s="0" t="n">
        <v>2017</v>
      </c>
      <c r="C2321" s="0" t="s">
        <v>43</v>
      </c>
      <c r="D2321" s="0" t="n">
        <v>-9.53183261955682</v>
      </c>
      <c r="E2321" s="0" t="s">
        <v>522</v>
      </c>
    </row>
    <row r="2322" customFormat="false" ht="15" hidden="false" customHeight="false" outlineLevel="0" collapsed="false">
      <c r="A2322" s="0" t="s">
        <v>201</v>
      </c>
      <c r="B2322" s="0" t="n">
        <v>2017</v>
      </c>
      <c r="C2322" s="0" t="s">
        <v>31</v>
      </c>
      <c r="D2322" s="0" t="n">
        <v>254.749578330623</v>
      </c>
      <c r="E2322" s="0" t="s">
        <v>522</v>
      </c>
    </row>
    <row r="2323" customFormat="false" ht="15" hidden="false" customHeight="false" outlineLevel="0" collapsed="false">
      <c r="A2323" s="0" t="s">
        <v>201</v>
      </c>
      <c r="B2323" s="0" t="n">
        <v>2017</v>
      </c>
      <c r="C2323" s="0" t="s">
        <v>33</v>
      </c>
      <c r="D2323" s="0" t="n">
        <v>11.9608528472042</v>
      </c>
      <c r="E2323" s="0" t="s">
        <v>522</v>
      </c>
    </row>
    <row r="2324" customFormat="false" ht="15" hidden="false" customHeight="false" outlineLevel="0" collapsed="false">
      <c r="A2324" s="0" t="s">
        <v>201</v>
      </c>
      <c r="B2324" s="0" t="n">
        <v>2017</v>
      </c>
      <c r="C2324" s="0" t="s">
        <v>21</v>
      </c>
      <c r="D2324" s="0" t="n">
        <v>0</v>
      </c>
      <c r="E2324" s="0" t="s">
        <v>522</v>
      </c>
    </row>
    <row r="2325" customFormat="false" ht="15" hidden="false" customHeight="false" outlineLevel="0" collapsed="false">
      <c r="A2325" s="0" t="s">
        <v>201</v>
      </c>
      <c r="B2325" s="0" t="n">
        <v>2017</v>
      </c>
      <c r="C2325" s="0" t="s">
        <v>35</v>
      </c>
      <c r="D2325" s="0" t="n">
        <v>0</v>
      </c>
      <c r="E2325" s="0" t="s">
        <v>522</v>
      </c>
    </row>
    <row r="2326" customFormat="false" ht="15" hidden="false" customHeight="false" outlineLevel="0" collapsed="false">
      <c r="A2326" s="0" t="s">
        <v>201</v>
      </c>
      <c r="B2326" s="0" t="n">
        <v>2018</v>
      </c>
      <c r="C2326" s="0" t="s">
        <v>54</v>
      </c>
      <c r="D2326" s="0" t="n">
        <v>-7695.32</v>
      </c>
      <c r="E2326" s="0" t="s">
        <v>521</v>
      </c>
      <c r="G2326" s="0" t="s">
        <v>81</v>
      </c>
    </row>
    <row r="2327" customFormat="false" ht="15" hidden="false" customHeight="false" outlineLevel="0" collapsed="false">
      <c r="A2327" s="0" t="s">
        <v>201</v>
      </c>
      <c r="B2327" s="0" t="n">
        <v>2018</v>
      </c>
      <c r="C2327" s="0" t="s">
        <v>55</v>
      </c>
      <c r="D2327" s="0" t="n">
        <v>210800.841</v>
      </c>
      <c r="E2327" s="0" t="s">
        <v>521</v>
      </c>
      <c r="G2327" s="0" t="s">
        <v>81</v>
      </c>
    </row>
    <row r="2328" customFormat="false" ht="15" hidden="false" customHeight="false" outlineLevel="0" collapsed="false">
      <c r="A2328" s="0" t="s">
        <v>201</v>
      </c>
      <c r="B2328" s="0" t="n">
        <v>2018</v>
      </c>
      <c r="C2328" s="0" t="s">
        <v>56</v>
      </c>
      <c r="D2328" s="0" t="n">
        <v>495175.495</v>
      </c>
      <c r="E2328" s="0" t="s">
        <v>521</v>
      </c>
      <c r="G2328" s="0" t="s">
        <v>81</v>
      </c>
    </row>
    <row r="2329" customFormat="false" ht="15" hidden="false" customHeight="false" outlineLevel="0" collapsed="false">
      <c r="A2329" s="0" t="s">
        <v>201</v>
      </c>
      <c r="B2329" s="0" t="n">
        <v>2018</v>
      </c>
      <c r="C2329" s="0" t="s">
        <v>57</v>
      </c>
      <c r="D2329" s="0" t="n">
        <v>-284374.654</v>
      </c>
      <c r="E2329" s="0" t="s">
        <v>521</v>
      </c>
      <c r="G2329" s="0" t="s">
        <v>81</v>
      </c>
    </row>
    <row r="2330" customFormat="false" ht="15" hidden="false" customHeight="false" outlineLevel="0" collapsed="false">
      <c r="A2330" s="0" t="s">
        <v>201</v>
      </c>
      <c r="B2330" s="0" t="n">
        <v>2018</v>
      </c>
      <c r="C2330" s="0" t="s">
        <v>58</v>
      </c>
      <c r="D2330" s="0" t="n">
        <v>-442.603</v>
      </c>
      <c r="E2330" s="0" t="s">
        <v>521</v>
      </c>
      <c r="G2330" s="0" t="s">
        <v>81</v>
      </c>
    </row>
    <row r="2331" customFormat="false" ht="15" hidden="false" customHeight="false" outlineLevel="0" collapsed="false">
      <c r="A2331" s="0" t="s">
        <v>201</v>
      </c>
      <c r="B2331" s="0" t="n">
        <v>2018</v>
      </c>
      <c r="C2331" s="0" t="s">
        <v>60</v>
      </c>
      <c r="D2331" s="0" t="n">
        <v>44841.156</v>
      </c>
      <c r="E2331" s="0" t="s">
        <v>521</v>
      </c>
      <c r="G2331" s="0" t="s">
        <v>81</v>
      </c>
    </row>
    <row r="2332" customFormat="false" ht="15" hidden="false" customHeight="false" outlineLevel="0" collapsed="false">
      <c r="A2332" s="0" t="s">
        <v>201</v>
      </c>
      <c r="B2332" s="0" t="n">
        <v>2018</v>
      </c>
      <c r="C2332" s="0" t="s">
        <v>61</v>
      </c>
      <c r="D2332" s="0" t="n">
        <v>744.197</v>
      </c>
      <c r="E2332" s="0" t="s">
        <v>521</v>
      </c>
      <c r="G2332" s="0" t="s">
        <v>81</v>
      </c>
    </row>
    <row r="2333" customFormat="false" ht="15" hidden="false" customHeight="false" outlineLevel="0" collapsed="false">
      <c r="A2333" s="0" t="s">
        <v>201</v>
      </c>
      <c r="B2333" s="0" t="n">
        <v>2018</v>
      </c>
      <c r="C2333" s="0" t="s">
        <v>63</v>
      </c>
      <c r="D2333" s="0" t="n">
        <v>5958.492</v>
      </c>
      <c r="E2333" s="0" t="s">
        <v>521</v>
      </c>
      <c r="G2333" s="0" t="s">
        <v>81</v>
      </c>
    </row>
    <row r="2334" customFormat="false" ht="15" hidden="false" customHeight="false" outlineLevel="0" collapsed="false">
      <c r="A2334" s="0" t="s">
        <v>201</v>
      </c>
      <c r="B2334" s="0" t="n">
        <v>2018</v>
      </c>
      <c r="C2334" s="0" t="s">
        <v>69</v>
      </c>
      <c r="D2334" s="0" t="n">
        <v>-214.8</v>
      </c>
      <c r="E2334" s="0" t="s">
        <v>521</v>
      </c>
      <c r="G2334" s="0" t="s">
        <v>81</v>
      </c>
    </row>
    <row r="2335" customFormat="false" ht="15" hidden="false" customHeight="false" outlineLevel="0" collapsed="false">
      <c r="A2335" s="0" t="s">
        <v>201</v>
      </c>
      <c r="B2335" s="0" t="n">
        <v>2018</v>
      </c>
      <c r="C2335" s="0" t="s">
        <v>614</v>
      </c>
      <c r="D2335" s="0" t="n">
        <v>-213.68</v>
      </c>
      <c r="E2335" s="0" t="s">
        <v>521</v>
      </c>
      <c r="G2335" s="0" t="s">
        <v>81</v>
      </c>
    </row>
    <row r="2336" customFormat="false" ht="15" hidden="false" customHeight="false" outlineLevel="0" collapsed="false">
      <c r="A2336" s="0" t="s">
        <v>201</v>
      </c>
      <c r="B2336" s="0" t="n">
        <v>2018</v>
      </c>
      <c r="C2336" s="0" t="s">
        <v>70</v>
      </c>
      <c r="D2336" s="0" t="n">
        <v>10</v>
      </c>
      <c r="E2336" s="0" t="s">
        <v>521</v>
      </c>
      <c r="G2336" s="0" t="s">
        <v>81</v>
      </c>
    </row>
    <row r="2337" customFormat="false" ht="15" hidden="false" customHeight="false" outlineLevel="0" collapsed="false">
      <c r="A2337" s="0" t="s">
        <v>201</v>
      </c>
      <c r="B2337" s="0" t="n">
        <v>2018</v>
      </c>
      <c r="C2337" s="0" t="s">
        <v>27</v>
      </c>
      <c r="D2337" s="0" t="n">
        <v>-134.902049086227</v>
      </c>
      <c r="E2337" s="0" t="s">
        <v>522</v>
      </c>
    </row>
    <row r="2338" customFormat="false" ht="15" hidden="false" customHeight="false" outlineLevel="0" collapsed="false">
      <c r="A2338" s="0" t="s">
        <v>201</v>
      </c>
      <c r="B2338" s="0" t="n">
        <v>2018</v>
      </c>
      <c r="C2338" s="0" t="s">
        <v>17</v>
      </c>
      <c r="D2338" s="0" t="n">
        <v>1.65962938154404</v>
      </c>
      <c r="E2338" s="0" t="s">
        <v>522</v>
      </c>
    </row>
    <row r="2339" customFormat="false" ht="15" hidden="false" customHeight="false" outlineLevel="0" collapsed="false">
      <c r="A2339" s="0" t="s">
        <v>201</v>
      </c>
      <c r="B2339" s="0" t="n">
        <v>2018</v>
      </c>
      <c r="C2339" s="0" t="s">
        <v>43</v>
      </c>
      <c r="D2339" s="0" t="n">
        <v>-3.6505167453293</v>
      </c>
      <c r="E2339" s="0" t="s">
        <v>522</v>
      </c>
    </row>
    <row r="2340" customFormat="false" ht="15" hidden="false" customHeight="false" outlineLevel="0" collapsed="false">
      <c r="A2340" s="0" t="s">
        <v>201</v>
      </c>
      <c r="B2340" s="0" t="n">
        <v>2018</v>
      </c>
      <c r="C2340" s="0" t="s">
        <v>31</v>
      </c>
      <c r="D2340" s="0" t="n">
        <v>234.902049086227</v>
      </c>
      <c r="E2340" s="0" t="s">
        <v>522</v>
      </c>
    </row>
    <row r="2341" customFormat="false" ht="15" hidden="false" customHeight="false" outlineLevel="0" collapsed="false">
      <c r="A2341" s="0" t="s">
        <v>201</v>
      </c>
      <c r="B2341" s="0" t="n">
        <v>2018</v>
      </c>
      <c r="C2341" s="0" t="s">
        <v>33</v>
      </c>
      <c r="D2341" s="0" t="n">
        <v>12.258669085205</v>
      </c>
      <c r="E2341" s="0" t="s">
        <v>522</v>
      </c>
    </row>
    <row r="2342" customFormat="false" ht="15" hidden="false" customHeight="false" outlineLevel="0" collapsed="false">
      <c r="A2342" s="0" t="s">
        <v>201</v>
      </c>
      <c r="B2342" s="0" t="n">
        <v>2018</v>
      </c>
      <c r="C2342" s="0" t="s">
        <v>21</v>
      </c>
      <c r="D2342" s="0" t="n">
        <v>0</v>
      </c>
      <c r="E2342" s="0" t="s">
        <v>522</v>
      </c>
    </row>
    <row r="2343" customFormat="false" ht="15" hidden="false" customHeight="false" outlineLevel="0" collapsed="false">
      <c r="A2343" s="0" t="s">
        <v>201</v>
      </c>
      <c r="B2343" s="0" t="n">
        <v>2019</v>
      </c>
      <c r="C2343" s="0" t="s">
        <v>54</v>
      </c>
      <c r="D2343" s="0" t="n">
        <v>3383.189</v>
      </c>
      <c r="E2343" s="0" t="s">
        <v>521</v>
      </c>
      <c r="G2343" s="0" t="s">
        <v>81</v>
      </c>
    </row>
    <row r="2344" customFormat="false" ht="15" hidden="false" customHeight="false" outlineLevel="0" collapsed="false">
      <c r="A2344" s="0" t="s">
        <v>201</v>
      </c>
      <c r="B2344" s="0" t="n">
        <v>2019</v>
      </c>
      <c r="C2344" s="0" t="s">
        <v>55</v>
      </c>
      <c r="D2344" s="0" t="n">
        <v>293052.07</v>
      </c>
      <c r="E2344" s="0" t="s">
        <v>521</v>
      </c>
      <c r="G2344" s="0" t="s">
        <v>81</v>
      </c>
    </row>
    <row r="2345" customFormat="false" ht="15" hidden="false" customHeight="false" outlineLevel="0" collapsed="false">
      <c r="A2345" s="0" t="s">
        <v>201</v>
      </c>
      <c r="B2345" s="0" t="n">
        <v>2019</v>
      </c>
      <c r="C2345" s="0" t="s">
        <v>56</v>
      </c>
      <c r="D2345" s="0" t="n">
        <v>571907.958</v>
      </c>
      <c r="E2345" s="0" t="s">
        <v>521</v>
      </c>
      <c r="G2345" s="0" t="s">
        <v>81</v>
      </c>
    </row>
    <row r="2346" customFormat="false" ht="15" hidden="false" customHeight="false" outlineLevel="0" collapsed="false">
      <c r="A2346" s="0" t="s">
        <v>201</v>
      </c>
      <c r="B2346" s="0" t="n">
        <v>2019</v>
      </c>
      <c r="C2346" s="0" t="s">
        <v>57</v>
      </c>
      <c r="D2346" s="0" t="n">
        <v>-278855.888</v>
      </c>
      <c r="E2346" s="0" t="s">
        <v>521</v>
      </c>
      <c r="G2346" s="0" t="s">
        <v>81</v>
      </c>
    </row>
    <row r="2347" customFormat="false" ht="15" hidden="false" customHeight="false" outlineLevel="0" collapsed="false">
      <c r="A2347" s="0" t="s">
        <v>201</v>
      </c>
      <c r="B2347" s="0" t="n">
        <v>2019</v>
      </c>
      <c r="C2347" s="0" t="s">
        <v>58</v>
      </c>
      <c r="D2347" s="0" t="n">
        <v>-39427.662</v>
      </c>
      <c r="E2347" s="0" t="s">
        <v>521</v>
      </c>
      <c r="G2347" s="0" t="s">
        <v>81</v>
      </c>
    </row>
    <row r="2348" customFormat="false" ht="15" hidden="false" customHeight="false" outlineLevel="0" collapsed="false">
      <c r="A2348" s="0" t="s">
        <v>201</v>
      </c>
      <c r="B2348" s="0" t="n">
        <v>2019</v>
      </c>
      <c r="C2348" s="0" t="s">
        <v>59</v>
      </c>
      <c r="D2348" s="0" t="n">
        <v>210800.841</v>
      </c>
      <c r="E2348" s="0" t="s">
        <v>521</v>
      </c>
      <c r="G2348" s="0" t="s">
        <v>81</v>
      </c>
    </row>
    <row r="2349" customFormat="false" ht="15" hidden="false" customHeight="false" outlineLevel="0" collapsed="false">
      <c r="A2349" s="0" t="s">
        <v>201</v>
      </c>
      <c r="B2349" s="0" t="n">
        <v>2019</v>
      </c>
      <c r="C2349" s="0" t="s">
        <v>60</v>
      </c>
      <c r="D2349" s="0" t="n">
        <v>106913.813</v>
      </c>
      <c r="E2349" s="0" t="s">
        <v>521</v>
      </c>
      <c r="G2349" s="0" t="s">
        <v>81</v>
      </c>
    </row>
    <row r="2350" customFormat="false" ht="15" hidden="false" customHeight="false" outlineLevel="0" collapsed="false">
      <c r="A2350" s="0" t="s">
        <v>201</v>
      </c>
      <c r="B2350" s="0" t="n">
        <v>2019</v>
      </c>
      <c r="C2350" s="0" t="s">
        <v>61</v>
      </c>
      <c r="D2350" s="0" t="n">
        <v>2896.088</v>
      </c>
      <c r="E2350" s="0" t="s">
        <v>521</v>
      </c>
      <c r="G2350" s="0" t="s">
        <v>81</v>
      </c>
    </row>
    <row r="2351" customFormat="false" ht="15" hidden="false" customHeight="false" outlineLevel="0" collapsed="false">
      <c r="A2351" s="0" t="s">
        <v>201</v>
      </c>
      <c r="B2351" s="0" t="n">
        <v>2019</v>
      </c>
      <c r="C2351" s="0" t="s">
        <v>63</v>
      </c>
      <c r="D2351" s="0" t="n">
        <v>1921.923</v>
      </c>
      <c r="E2351" s="0" t="s">
        <v>521</v>
      </c>
      <c r="G2351" s="0" t="s">
        <v>81</v>
      </c>
    </row>
    <row r="2352" customFormat="false" ht="15" hidden="false" customHeight="false" outlineLevel="0" collapsed="false">
      <c r="A2352" s="0" t="s">
        <v>201</v>
      </c>
      <c r="B2352" s="0" t="n">
        <v>2019</v>
      </c>
      <c r="C2352" s="0" t="s">
        <v>69</v>
      </c>
      <c r="D2352" s="0" t="n">
        <v>-201.59</v>
      </c>
      <c r="E2352" s="0" t="s">
        <v>521</v>
      </c>
      <c r="G2352" s="0" t="s">
        <v>81</v>
      </c>
    </row>
    <row r="2353" customFormat="false" ht="15" hidden="false" customHeight="false" outlineLevel="0" collapsed="false">
      <c r="A2353" s="0" t="s">
        <v>201</v>
      </c>
      <c r="B2353" s="0" t="n">
        <v>2019</v>
      </c>
      <c r="C2353" s="0" t="s">
        <v>614</v>
      </c>
      <c r="D2353" s="0" t="n">
        <v>-200.88</v>
      </c>
      <c r="E2353" s="0" t="s">
        <v>521</v>
      </c>
      <c r="G2353" s="0" t="s">
        <v>81</v>
      </c>
    </row>
    <row r="2354" customFormat="false" ht="15" hidden="false" customHeight="false" outlineLevel="0" collapsed="false">
      <c r="A2354" s="0" t="s">
        <v>201</v>
      </c>
      <c r="B2354" s="0" t="n">
        <v>2019</v>
      </c>
      <c r="C2354" s="0" t="s">
        <v>70</v>
      </c>
      <c r="D2354" s="0" t="n">
        <v>10</v>
      </c>
      <c r="E2354" s="0" t="s">
        <v>521</v>
      </c>
      <c r="G2354" s="0" t="s">
        <v>81</v>
      </c>
    </row>
    <row r="2355" customFormat="false" ht="15" hidden="false" customHeight="false" outlineLevel="0" collapsed="false">
      <c r="A2355" s="0" t="s">
        <v>201</v>
      </c>
      <c r="B2355" s="0" t="n">
        <v>2019</v>
      </c>
      <c r="C2355" s="0" t="s">
        <v>73</v>
      </c>
      <c r="D2355" s="0" t="n">
        <v>1</v>
      </c>
      <c r="E2355" s="0" t="s">
        <v>521</v>
      </c>
      <c r="G2355" s="0" t="s">
        <v>81</v>
      </c>
      <c r="H2355" s="0" t="s">
        <v>1433</v>
      </c>
    </row>
    <row r="2356" customFormat="false" ht="15" hidden="false" customHeight="false" outlineLevel="0" collapsed="false">
      <c r="A2356" s="0" t="s">
        <v>201</v>
      </c>
      <c r="B2356" s="0" t="n">
        <v>2019</v>
      </c>
      <c r="C2356" s="0" t="s">
        <v>19</v>
      </c>
      <c r="D2356" s="0" t="n">
        <v>251926.4555</v>
      </c>
      <c r="E2356" s="0" t="s">
        <v>522</v>
      </c>
    </row>
    <row r="2357" customFormat="false" ht="15" hidden="false" customHeight="false" outlineLevel="0" collapsed="false">
      <c r="A2357" s="0" t="s">
        <v>201</v>
      </c>
      <c r="B2357" s="0" t="n">
        <v>2019</v>
      </c>
      <c r="C2357" s="0" t="s">
        <v>41</v>
      </c>
      <c r="D2357" s="0" t="n">
        <v>1.34292724171638</v>
      </c>
      <c r="E2357" s="0" t="s">
        <v>522</v>
      </c>
    </row>
    <row r="2358" customFormat="false" ht="15" hidden="false" customHeight="false" outlineLevel="0" collapsed="false">
      <c r="A2358" s="0" t="s">
        <v>201</v>
      </c>
      <c r="B2358" s="0" t="n">
        <v>2019</v>
      </c>
      <c r="C2358" s="0" t="s">
        <v>27</v>
      </c>
      <c r="D2358" s="0" t="n">
        <v>-95.1557475775551</v>
      </c>
      <c r="E2358" s="0" t="s">
        <v>522</v>
      </c>
    </row>
    <row r="2359" customFormat="false" ht="15" hidden="false" customHeight="false" outlineLevel="0" collapsed="false">
      <c r="A2359" s="0" t="s">
        <v>201</v>
      </c>
      <c r="B2359" s="0" t="n">
        <v>2019</v>
      </c>
      <c r="C2359" s="0" t="s">
        <v>39</v>
      </c>
      <c r="D2359" s="0" t="n">
        <v>-15.650465101709</v>
      </c>
      <c r="E2359" s="0" t="s">
        <v>522</v>
      </c>
    </row>
    <row r="2360" customFormat="false" ht="15" hidden="false" customHeight="false" outlineLevel="0" collapsed="false">
      <c r="A2360" s="0" t="s">
        <v>201</v>
      </c>
      <c r="B2360" s="0" t="n">
        <v>2019</v>
      </c>
      <c r="C2360" s="0" t="s">
        <v>17</v>
      </c>
      <c r="D2360" s="0" t="n">
        <v>2.70880620448922</v>
      </c>
      <c r="E2360" s="0" t="s">
        <v>522</v>
      </c>
    </row>
    <row r="2361" customFormat="false" ht="15" hidden="false" customHeight="false" outlineLevel="0" collapsed="false">
      <c r="A2361" s="0" t="s">
        <v>201</v>
      </c>
      <c r="B2361" s="0" t="n">
        <v>2019</v>
      </c>
      <c r="C2361" s="0" t="s">
        <v>29</v>
      </c>
      <c r="D2361" s="0" t="n">
        <v>0.762890501589262</v>
      </c>
      <c r="E2361" s="0" t="s">
        <v>522</v>
      </c>
    </row>
    <row r="2362" customFormat="false" ht="15" hidden="false" customHeight="false" outlineLevel="0" collapsed="false">
      <c r="A2362" s="0" t="s">
        <v>201</v>
      </c>
      <c r="B2362" s="0" t="n">
        <v>2019</v>
      </c>
      <c r="C2362" s="0" t="s">
        <v>43</v>
      </c>
      <c r="D2362" s="0" t="n">
        <v>1.15446684952609</v>
      </c>
      <c r="E2362" s="0" t="s">
        <v>522</v>
      </c>
    </row>
    <row r="2363" customFormat="false" ht="15" hidden="false" customHeight="false" outlineLevel="0" collapsed="false">
      <c r="A2363" s="0" t="s">
        <v>201</v>
      </c>
      <c r="B2363" s="0" t="n">
        <v>2019</v>
      </c>
      <c r="C2363" s="0" t="s">
        <v>31</v>
      </c>
      <c r="D2363" s="0" t="n">
        <v>195.155747577555</v>
      </c>
      <c r="E2363" s="0" t="s">
        <v>522</v>
      </c>
    </row>
    <row r="2364" customFormat="false" ht="15" hidden="false" customHeight="false" outlineLevel="0" collapsed="false">
      <c r="A2364" s="0" t="s">
        <v>201</v>
      </c>
      <c r="B2364" s="0" t="n">
        <v>2019</v>
      </c>
      <c r="C2364" s="0" t="s">
        <v>33</v>
      </c>
      <c r="D2364" s="0" t="n">
        <v>12.5881055855206</v>
      </c>
      <c r="E2364" s="0" t="s">
        <v>522</v>
      </c>
    </row>
    <row r="2365" customFormat="false" ht="15" hidden="false" customHeight="false" outlineLevel="0" collapsed="false">
      <c r="A2365" s="0" t="s">
        <v>201</v>
      </c>
      <c r="B2365" s="0" t="n">
        <v>2019</v>
      </c>
      <c r="C2365" s="0" t="s">
        <v>21</v>
      </c>
      <c r="D2365" s="0" t="n">
        <v>0</v>
      </c>
      <c r="E2365" s="0" t="s">
        <v>522</v>
      </c>
    </row>
    <row r="2366" customFormat="false" ht="15" hidden="false" customHeight="false" outlineLevel="0" collapsed="false">
      <c r="A2366" s="0" t="s">
        <v>201</v>
      </c>
      <c r="B2366" s="0" t="n">
        <v>2020</v>
      </c>
      <c r="C2366" s="0" t="s">
        <v>54</v>
      </c>
      <c r="D2366" s="0" t="n">
        <v>2086.393</v>
      </c>
      <c r="E2366" s="0" t="s">
        <v>523</v>
      </c>
      <c r="F2366" s="0" t="s">
        <v>524</v>
      </c>
      <c r="G2366" s="0" t="s">
        <v>209</v>
      </c>
      <c r="H2366" s="0" t="s">
        <v>1434</v>
      </c>
    </row>
    <row r="2367" customFormat="false" ht="15" hidden="false" customHeight="false" outlineLevel="0" collapsed="false">
      <c r="A2367" s="0" t="s">
        <v>201</v>
      </c>
      <c r="B2367" s="0" t="n">
        <v>2020</v>
      </c>
      <c r="C2367" s="0" t="s">
        <v>55</v>
      </c>
      <c r="D2367" s="0" t="n">
        <v>492020.329</v>
      </c>
      <c r="E2367" s="0" t="s">
        <v>523</v>
      </c>
      <c r="F2367" s="0" t="s">
        <v>524</v>
      </c>
      <c r="G2367" s="0" t="s">
        <v>209</v>
      </c>
      <c r="H2367" s="0" t="s">
        <v>1435</v>
      </c>
    </row>
    <row r="2368" customFormat="false" ht="15" hidden="false" customHeight="false" outlineLevel="0" collapsed="false">
      <c r="A2368" s="0" t="s">
        <v>201</v>
      </c>
      <c r="B2368" s="0" t="n">
        <v>2020</v>
      </c>
      <c r="C2368" s="0" t="s">
        <v>56</v>
      </c>
      <c r="D2368" s="0" t="n">
        <v>767430.125</v>
      </c>
      <c r="E2368" s="0" t="s">
        <v>523</v>
      </c>
      <c r="F2368" s="0" t="s">
        <v>524</v>
      </c>
      <c r="G2368" s="0" t="s">
        <v>209</v>
      </c>
      <c r="H2368" s="0" t="s">
        <v>1436</v>
      </c>
    </row>
    <row r="2369" customFormat="false" ht="15" hidden="false" customHeight="false" outlineLevel="0" collapsed="false">
      <c r="A2369" s="0" t="s">
        <v>201</v>
      </c>
      <c r="B2369" s="0" t="n">
        <v>2020</v>
      </c>
      <c r="C2369" s="0" t="s">
        <v>57</v>
      </c>
      <c r="D2369" s="0" t="n">
        <v>-275409.796</v>
      </c>
      <c r="E2369" s="0" t="s">
        <v>523</v>
      </c>
      <c r="F2369" s="0" t="s">
        <v>524</v>
      </c>
      <c r="G2369" s="0" t="s">
        <v>209</v>
      </c>
      <c r="H2369" s="0" t="s">
        <v>1437</v>
      </c>
    </row>
    <row r="2370" customFormat="false" ht="15" hidden="false" customHeight="false" outlineLevel="0" collapsed="false">
      <c r="A2370" s="0" t="s">
        <v>201</v>
      </c>
      <c r="B2370" s="0" t="n">
        <v>2020</v>
      </c>
      <c r="C2370" s="0" t="s">
        <v>58</v>
      </c>
      <c r="D2370" s="0" t="n">
        <v>15353.812</v>
      </c>
      <c r="E2370" s="0" t="s">
        <v>523</v>
      </c>
      <c r="F2370" s="0" t="s">
        <v>524</v>
      </c>
      <c r="G2370" s="0" t="s">
        <v>209</v>
      </c>
      <c r="H2370" s="0" t="s">
        <v>1438</v>
      </c>
    </row>
    <row r="2371" customFormat="false" ht="15" hidden="false" customHeight="false" outlineLevel="0" collapsed="false">
      <c r="A2371" s="0" t="s">
        <v>201</v>
      </c>
      <c r="B2371" s="0" t="n">
        <v>2020</v>
      </c>
      <c r="C2371" s="0" t="s">
        <v>60</v>
      </c>
      <c r="D2371" s="0" t="n">
        <v>206205.544</v>
      </c>
      <c r="E2371" s="0" t="s">
        <v>523</v>
      </c>
      <c r="F2371" s="0" t="s">
        <v>524</v>
      </c>
      <c r="G2371" s="0" t="s">
        <v>209</v>
      </c>
      <c r="H2371" s="0" t="s">
        <v>1439</v>
      </c>
    </row>
    <row r="2372" customFormat="false" ht="15" hidden="false" customHeight="false" outlineLevel="0" collapsed="false">
      <c r="A2372" s="0" t="s">
        <v>201</v>
      </c>
      <c r="B2372" s="0" t="n">
        <v>2020</v>
      </c>
      <c r="C2372" s="0" t="s">
        <v>61</v>
      </c>
      <c r="D2372" s="0" t="n">
        <v>4124.689</v>
      </c>
      <c r="E2372" s="0" t="s">
        <v>523</v>
      </c>
      <c r="F2372" s="0" t="s">
        <v>524</v>
      </c>
      <c r="G2372" s="0" t="s">
        <v>209</v>
      </c>
      <c r="H2372" s="0" t="s">
        <v>1440</v>
      </c>
    </row>
    <row r="2373" customFormat="false" ht="15" hidden="false" customHeight="false" outlineLevel="0" collapsed="false">
      <c r="A2373" s="0" t="s">
        <v>201</v>
      </c>
      <c r="B2373" s="0" t="n">
        <v>2020</v>
      </c>
      <c r="C2373" s="0" t="s">
        <v>62</v>
      </c>
      <c r="D2373" s="0" t="n">
        <v>202080.856</v>
      </c>
      <c r="E2373" s="0" t="s">
        <v>523</v>
      </c>
      <c r="F2373" s="0" t="s">
        <v>524</v>
      </c>
      <c r="G2373" s="0" t="s">
        <v>209</v>
      </c>
      <c r="H2373" s="0" t="s">
        <v>1441</v>
      </c>
    </row>
    <row r="2374" customFormat="false" ht="15" hidden="false" customHeight="false" outlineLevel="0" collapsed="false">
      <c r="A2374" s="0" t="s">
        <v>201</v>
      </c>
      <c r="B2374" s="0" t="n">
        <v>2020</v>
      </c>
      <c r="C2374" s="0" t="s">
        <v>63</v>
      </c>
      <c r="D2374" s="0" t="n">
        <v>-4127.332</v>
      </c>
      <c r="E2374" s="0" t="s">
        <v>523</v>
      </c>
      <c r="F2374" s="0" t="s">
        <v>524</v>
      </c>
      <c r="G2374" s="0" t="s">
        <v>209</v>
      </c>
      <c r="H2374" s="0" t="s">
        <v>1442</v>
      </c>
    </row>
    <row r="2375" customFormat="false" ht="15" hidden="false" customHeight="false" outlineLevel="0" collapsed="false">
      <c r="A2375" s="0" t="s">
        <v>201</v>
      </c>
      <c r="B2375" s="0" t="n">
        <v>2020</v>
      </c>
      <c r="C2375" s="0" t="s">
        <v>541</v>
      </c>
      <c r="D2375" s="0" t="n">
        <v>2223.194</v>
      </c>
      <c r="E2375" s="0" t="s">
        <v>523</v>
      </c>
      <c r="F2375" s="0" t="s">
        <v>524</v>
      </c>
      <c r="G2375" s="0" t="s">
        <v>209</v>
      </c>
      <c r="H2375" s="0" t="s">
        <v>1443</v>
      </c>
    </row>
    <row r="2376" customFormat="false" ht="15" hidden="false" customHeight="false" outlineLevel="0" collapsed="false">
      <c r="A2376" s="0" t="s">
        <v>201</v>
      </c>
      <c r="B2376" s="0" t="n">
        <v>2020</v>
      </c>
      <c r="C2376" s="0" t="s">
        <v>27</v>
      </c>
      <c r="D2376" s="0" t="n">
        <v>-55.9752879641686</v>
      </c>
      <c r="E2376" s="0" t="s">
        <v>522</v>
      </c>
    </row>
    <row r="2377" customFormat="false" ht="15" hidden="false" customHeight="false" outlineLevel="0" collapsed="false">
      <c r="A2377" s="0" t="s">
        <v>201</v>
      </c>
      <c r="B2377" s="0" t="n">
        <v>2020</v>
      </c>
      <c r="C2377" s="0" t="s">
        <v>17</v>
      </c>
      <c r="D2377" s="0" t="n">
        <v>2.00028036103627</v>
      </c>
      <c r="E2377" s="0" t="s">
        <v>522</v>
      </c>
    </row>
    <row r="2378" customFormat="false" ht="15" hidden="false" customHeight="false" outlineLevel="0" collapsed="false">
      <c r="A2378" s="0" t="s">
        <v>201</v>
      </c>
      <c r="B2378" s="0" t="n">
        <v>2020</v>
      </c>
      <c r="C2378" s="0" t="s">
        <v>43</v>
      </c>
      <c r="D2378" s="0" t="n">
        <v>0.424046096680692</v>
      </c>
      <c r="E2378" s="0" t="s">
        <v>522</v>
      </c>
    </row>
    <row r="2379" customFormat="false" ht="15" hidden="false" customHeight="false" outlineLevel="0" collapsed="false">
      <c r="A2379" s="0" t="s">
        <v>201</v>
      </c>
      <c r="B2379" s="0" t="n">
        <v>2020</v>
      </c>
      <c r="C2379" s="0" t="s">
        <v>31</v>
      </c>
      <c r="D2379" s="0" t="n">
        <v>155.975287964169</v>
      </c>
      <c r="E2379" s="0" t="s">
        <v>522</v>
      </c>
    </row>
    <row r="2380" customFormat="false" ht="15" hidden="false" customHeight="false" outlineLevel="0" collapsed="false">
      <c r="A2380" s="0" t="s">
        <v>201</v>
      </c>
      <c r="B2380" s="0" t="n">
        <v>2020</v>
      </c>
      <c r="C2380" s="0" t="s">
        <v>33</v>
      </c>
      <c r="D2380" s="0" t="n">
        <v>13.1062753137265</v>
      </c>
      <c r="E2380" s="0" t="s">
        <v>522</v>
      </c>
    </row>
    <row r="2381" customFormat="false" ht="15" hidden="false" customHeight="false" outlineLevel="0" collapsed="false">
      <c r="A2381" s="0" t="s">
        <v>201</v>
      </c>
      <c r="B2381" s="0" t="n">
        <v>2020</v>
      </c>
      <c r="C2381" s="0" t="s">
        <v>21</v>
      </c>
      <c r="D2381" s="0" t="n">
        <v>0</v>
      </c>
      <c r="E2381" s="0" t="s">
        <v>522</v>
      </c>
    </row>
    <row r="2382" customFormat="false" ht="15" hidden="false" customHeight="false" outlineLevel="0" collapsed="false">
      <c r="A2382" s="0" t="s">
        <v>201</v>
      </c>
      <c r="B2382" s="0" t="n">
        <v>2020</v>
      </c>
      <c r="C2382" s="0" t="s">
        <v>35</v>
      </c>
      <c r="D2382" s="0" t="n">
        <v>-0.00100000001839362</v>
      </c>
      <c r="E2382" s="0" t="s">
        <v>522</v>
      </c>
    </row>
    <row r="2383" customFormat="false" ht="15" hidden="false" customHeight="false" outlineLevel="0" collapsed="false">
      <c r="A2383" s="0" t="s">
        <v>201</v>
      </c>
      <c r="B2383" s="0" t="n">
        <v>2021</v>
      </c>
      <c r="C2383" s="0" t="s">
        <v>54</v>
      </c>
      <c r="D2383" s="0" t="n">
        <v>3173.254</v>
      </c>
      <c r="E2383" s="0" t="s">
        <v>523</v>
      </c>
      <c r="F2383" s="0" t="s">
        <v>524</v>
      </c>
      <c r="G2383" s="0" t="s">
        <v>97</v>
      </c>
      <c r="H2383" s="0" t="s">
        <v>1444</v>
      </c>
    </row>
    <row r="2384" customFormat="false" ht="15" hidden="false" customHeight="false" outlineLevel="0" collapsed="false">
      <c r="A2384" s="0" t="s">
        <v>201</v>
      </c>
      <c r="B2384" s="0" t="n">
        <v>2021</v>
      </c>
      <c r="C2384" s="0" t="s">
        <v>55</v>
      </c>
      <c r="D2384" s="0" t="n">
        <v>538868.755</v>
      </c>
      <c r="E2384" s="0" t="s">
        <v>523</v>
      </c>
      <c r="F2384" s="0" t="s">
        <v>524</v>
      </c>
      <c r="G2384" s="0" t="s">
        <v>97</v>
      </c>
      <c r="H2384" s="0" t="s">
        <v>1445</v>
      </c>
    </row>
    <row r="2385" customFormat="false" ht="15" hidden="false" customHeight="false" outlineLevel="0" collapsed="false">
      <c r="A2385" s="0" t="s">
        <v>201</v>
      </c>
      <c r="B2385" s="0" t="n">
        <v>2021</v>
      </c>
      <c r="C2385" s="0" t="s">
        <v>56</v>
      </c>
      <c r="D2385" s="0" t="n">
        <v>815022.21</v>
      </c>
      <c r="E2385" s="0" t="s">
        <v>523</v>
      </c>
      <c r="F2385" s="0" t="s">
        <v>524</v>
      </c>
      <c r="G2385" s="0" t="s">
        <v>97</v>
      </c>
      <c r="H2385" s="0" t="s">
        <v>1446</v>
      </c>
    </row>
    <row r="2386" customFormat="false" ht="15" hidden="false" customHeight="false" outlineLevel="0" collapsed="false">
      <c r="A2386" s="0" t="s">
        <v>201</v>
      </c>
      <c r="B2386" s="0" t="n">
        <v>2021</v>
      </c>
      <c r="C2386" s="0" t="s">
        <v>57</v>
      </c>
      <c r="D2386" s="0" t="n">
        <v>-276153.455</v>
      </c>
      <c r="E2386" s="0" t="s">
        <v>523</v>
      </c>
      <c r="F2386" s="0" t="s">
        <v>524</v>
      </c>
      <c r="G2386" s="0" t="s">
        <v>97</v>
      </c>
      <c r="H2386" s="0" t="s">
        <v>1447</v>
      </c>
    </row>
    <row r="2387" customFormat="false" ht="15" hidden="false" customHeight="false" outlineLevel="0" collapsed="false">
      <c r="A2387" s="0" t="s">
        <v>201</v>
      </c>
      <c r="B2387" s="0" t="n">
        <v>2021</v>
      </c>
      <c r="C2387" s="0" t="s">
        <v>58</v>
      </c>
      <c r="D2387" s="0" t="n">
        <v>-64852.553</v>
      </c>
      <c r="E2387" s="0" t="s">
        <v>523</v>
      </c>
      <c r="F2387" s="0" t="s">
        <v>524</v>
      </c>
      <c r="G2387" s="0" t="s">
        <v>97</v>
      </c>
      <c r="H2387" s="0" t="s">
        <v>1448</v>
      </c>
    </row>
    <row r="2388" customFormat="false" ht="15" hidden="false" customHeight="false" outlineLevel="0" collapsed="false">
      <c r="A2388" s="0" t="s">
        <v>201</v>
      </c>
      <c r="B2388" s="0" t="n">
        <v>2021</v>
      </c>
      <c r="C2388" s="0" t="s">
        <v>59</v>
      </c>
      <c r="D2388" s="0" t="n">
        <v>492020.329</v>
      </c>
      <c r="E2388" s="0" t="s">
        <v>523</v>
      </c>
      <c r="F2388" s="0" t="s">
        <v>524</v>
      </c>
      <c r="G2388" s="0" t="s">
        <v>97</v>
      </c>
      <c r="H2388" s="0" t="s">
        <v>1449</v>
      </c>
    </row>
    <row r="2389" customFormat="false" ht="15" hidden="false" customHeight="false" outlineLevel="0" collapsed="false">
      <c r="A2389" s="0" t="s">
        <v>201</v>
      </c>
      <c r="B2389" s="0" t="n">
        <v>2021</v>
      </c>
      <c r="C2389" s="0" t="s">
        <v>60</v>
      </c>
      <c r="D2389" s="0" t="n">
        <v>272468.9</v>
      </c>
      <c r="E2389" s="0" t="s">
        <v>523</v>
      </c>
      <c r="F2389" s="0" t="s">
        <v>524</v>
      </c>
      <c r="G2389" s="0" t="s">
        <v>97</v>
      </c>
      <c r="H2389" s="0" t="s">
        <v>1450</v>
      </c>
    </row>
    <row r="2390" customFormat="false" ht="15" hidden="false" customHeight="false" outlineLevel="0" collapsed="false">
      <c r="A2390" s="0" t="s">
        <v>201</v>
      </c>
      <c r="B2390" s="0" t="n">
        <v>2021</v>
      </c>
      <c r="C2390" s="0" t="s">
        <v>61</v>
      </c>
      <c r="D2390" s="0" t="n">
        <v>3199.184</v>
      </c>
      <c r="E2390" s="0" t="s">
        <v>523</v>
      </c>
      <c r="F2390" s="0" t="s">
        <v>524</v>
      </c>
      <c r="G2390" s="0" t="s">
        <v>97</v>
      </c>
      <c r="H2390" s="0" t="s">
        <v>1451</v>
      </c>
    </row>
    <row r="2391" customFormat="false" ht="15" hidden="false" customHeight="false" outlineLevel="0" collapsed="false">
      <c r="A2391" s="0" t="s">
        <v>201</v>
      </c>
      <c r="B2391" s="0" t="n">
        <v>2021</v>
      </c>
      <c r="C2391" s="0" t="s">
        <v>62</v>
      </c>
      <c r="D2391" s="0" t="n">
        <v>269269.716</v>
      </c>
      <c r="E2391" s="0" t="s">
        <v>523</v>
      </c>
      <c r="F2391" s="0" t="s">
        <v>524</v>
      </c>
      <c r="G2391" s="0" t="s">
        <v>97</v>
      </c>
      <c r="H2391" s="0" t="s">
        <v>1452</v>
      </c>
    </row>
    <row r="2392" customFormat="false" ht="15" hidden="false" customHeight="false" outlineLevel="0" collapsed="false">
      <c r="A2392" s="0" t="s">
        <v>201</v>
      </c>
      <c r="B2392" s="0" t="n">
        <v>2021</v>
      </c>
      <c r="C2392" s="0" t="s">
        <v>63</v>
      </c>
      <c r="D2392" s="0" t="n">
        <v>-2563.927</v>
      </c>
      <c r="E2392" s="0" t="s">
        <v>523</v>
      </c>
      <c r="F2392" s="0" t="s">
        <v>524</v>
      </c>
      <c r="G2392" s="0" t="s">
        <v>97</v>
      </c>
      <c r="H2392" s="0" t="s">
        <v>1453</v>
      </c>
    </row>
    <row r="2393" customFormat="false" ht="15" hidden="false" customHeight="false" outlineLevel="0" collapsed="false">
      <c r="A2393" s="0" t="s">
        <v>201</v>
      </c>
      <c r="B2393" s="0" t="n">
        <v>2021</v>
      </c>
      <c r="C2393" s="0" t="s">
        <v>69</v>
      </c>
      <c r="D2393" s="0" t="n">
        <v>-86.18</v>
      </c>
      <c r="E2393" s="0" t="s">
        <v>523</v>
      </c>
      <c r="F2393" s="0" t="s">
        <v>524</v>
      </c>
      <c r="G2393" s="0" t="s">
        <v>97</v>
      </c>
      <c r="H2393" s="0" t="s">
        <v>1454</v>
      </c>
    </row>
    <row r="2394" customFormat="false" ht="15" hidden="false" customHeight="false" outlineLevel="0" collapsed="false">
      <c r="A2394" s="0" t="s">
        <v>201</v>
      </c>
      <c r="B2394" s="0" t="n">
        <v>2021</v>
      </c>
      <c r="C2394" s="0" t="s">
        <v>65</v>
      </c>
      <c r="D2394" s="0" t="n">
        <v>-278060.632</v>
      </c>
      <c r="E2394" s="0" t="s">
        <v>523</v>
      </c>
      <c r="F2394" s="0" t="s">
        <v>524</v>
      </c>
      <c r="G2394" s="0" t="s">
        <v>97</v>
      </c>
      <c r="H2394" s="0" t="s">
        <v>1455</v>
      </c>
    </row>
    <row r="2395" customFormat="false" ht="15" hidden="false" customHeight="false" outlineLevel="0" collapsed="false">
      <c r="A2395" s="0" t="s">
        <v>201</v>
      </c>
      <c r="B2395" s="0" t="n">
        <v>2021</v>
      </c>
      <c r="C2395" s="0" t="s">
        <v>66</v>
      </c>
      <c r="D2395" s="0" t="n">
        <v>322639.564</v>
      </c>
      <c r="E2395" s="0" t="s">
        <v>523</v>
      </c>
      <c r="F2395" s="0" t="s">
        <v>524</v>
      </c>
      <c r="G2395" s="0" t="s">
        <v>97</v>
      </c>
      <c r="H2395" s="0" t="s">
        <v>1456</v>
      </c>
    </row>
    <row r="2396" customFormat="false" ht="15" hidden="false" customHeight="false" outlineLevel="0" collapsed="false">
      <c r="A2396" s="0" t="s">
        <v>201</v>
      </c>
      <c r="B2396" s="0" t="n">
        <v>2021</v>
      </c>
      <c r="C2396" s="0" t="s">
        <v>73</v>
      </c>
      <c r="D2396" s="0" t="n">
        <v>1</v>
      </c>
      <c r="E2396" s="0" t="s">
        <v>539</v>
      </c>
      <c r="F2396" s="0" t="s">
        <v>524</v>
      </c>
      <c r="G2396" s="0" t="s">
        <v>97</v>
      </c>
      <c r="H2396" s="0" t="s">
        <v>1457</v>
      </c>
    </row>
    <row r="2397" customFormat="false" ht="15" hidden="false" customHeight="false" outlineLevel="0" collapsed="false">
      <c r="A2397" s="0" t="s">
        <v>201</v>
      </c>
      <c r="B2397" s="0" t="n">
        <v>2021</v>
      </c>
      <c r="C2397" s="0" t="s">
        <v>67</v>
      </c>
      <c r="D2397" s="0" t="n">
        <v>105.854</v>
      </c>
      <c r="E2397" s="0" t="s">
        <v>523</v>
      </c>
      <c r="F2397" s="0" t="s">
        <v>524</v>
      </c>
      <c r="G2397" s="0" t="s">
        <v>97</v>
      </c>
      <c r="H2397" s="0" t="s">
        <v>1458</v>
      </c>
      <c r="I2397" s="0" t="s">
        <v>1459</v>
      </c>
    </row>
    <row r="2398" customFormat="false" ht="15" hidden="false" customHeight="false" outlineLevel="0" collapsed="false">
      <c r="A2398" s="0" t="s">
        <v>201</v>
      </c>
      <c r="B2398" s="0" t="n">
        <v>2021</v>
      </c>
      <c r="C2398" s="0" t="s">
        <v>68</v>
      </c>
      <c r="D2398" s="0" t="n">
        <v>1.012</v>
      </c>
      <c r="E2398" s="0" t="s">
        <v>523</v>
      </c>
      <c r="F2398" s="0" t="s">
        <v>524</v>
      </c>
      <c r="G2398" s="0" t="s">
        <v>97</v>
      </c>
      <c r="H2398" s="0" t="s">
        <v>1460</v>
      </c>
    </row>
    <row r="2399" customFormat="false" ht="15" hidden="false" customHeight="false" outlineLevel="0" collapsed="false">
      <c r="A2399" s="0" t="s">
        <v>201</v>
      </c>
      <c r="B2399" s="0" t="n">
        <v>2021</v>
      </c>
      <c r="C2399" s="0" t="s">
        <v>541</v>
      </c>
      <c r="D2399" s="0" t="n">
        <v>3332.134</v>
      </c>
      <c r="E2399" s="0" t="s">
        <v>523</v>
      </c>
      <c r="F2399" s="0" t="s">
        <v>524</v>
      </c>
      <c r="G2399" s="0" t="s">
        <v>97</v>
      </c>
      <c r="H2399" s="0" t="s">
        <v>1461</v>
      </c>
    </row>
    <row r="2400" customFormat="false" ht="15" hidden="false" customHeight="false" outlineLevel="0" collapsed="false">
      <c r="A2400" s="0" t="s">
        <v>201</v>
      </c>
      <c r="B2400" s="0" t="n">
        <v>2021</v>
      </c>
      <c r="C2400" s="0" t="s">
        <v>19</v>
      </c>
      <c r="D2400" s="0" t="n">
        <v>515444.542</v>
      </c>
      <c r="E2400" s="0" t="s">
        <v>522</v>
      </c>
    </row>
    <row r="2401" customFormat="false" ht="15" hidden="false" customHeight="false" outlineLevel="0" collapsed="false">
      <c r="A2401" s="0" t="s">
        <v>201</v>
      </c>
      <c r="B2401" s="0" t="n">
        <v>2021</v>
      </c>
      <c r="C2401" s="0" t="s">
        <v>41</v>
      </c>
      <c r="D2401" s="0" t="n">
        <v>0.615634416786588</v>
      </c>
      <c r="E2401" s="0" t="s">
        <v>522</v>
      </c>
    </row>
    <row r="2402" customFormat="false" ht="15" hidden="false" customHeight="false" outlineLevel="0" collapsed="false">
      <c r="A2402" s="0" t="s">
        <v>201</v>
      </c>
      <c r="B2402" s="0" t="n">
        <v>2021</v>
      </c>
      <c r="C2402" s="0" t="s">
        <v>27</v>
      </c>
      <c r="D2402" s="0" t="n">
        <v>-51.2468857096753</v>
      </c>
      <c r="E2402" s="0" t="s">
        <v>522</v>
      </c>
    </row>
    <row r="2403" customFormat="false" ht="15" hidden="false" customHeight="false" outlineLevel="0" collapsed="false">
      <c r="A2403" s="0" t="s">
        <v>201</v>
      </c>
      <c r="B2403" s="0" t="n">
        <v>2021</v>
      </c>
      <c r="C2403" s="0" t="s">
        <v>39</v>
      </c>
      <c r="D2403" s="0" t="n">
        <v>-12.5818682158051</v>
      </c>
      <c r="E2403" s="0" t="s">
        <v>522</v>
      </c>
    </row>
    <row r="2404" customFormat="false" ht="15" hidden="false" customHeight="false" outlineLevel="0" collapsed="false">
      <c r="A2404" s="0" t="s">
        <v>201</v>
      </c>
      <c r="B2404" s="0" t="n">
        <v>2021</v>
      </c>
      <c r="C2404" s="0" t="s">
        <v>17</v>
      </c>
      <c r="D2404" s="0" t="n">
        <v>1.17414648057081</v>
      </c>
      <c r="E2404" s="0" t="s">
        <v>522</v>
      </c>
    </row>
    <row r="2405" customFormat="false" ht="15" hidden="false" customHeight="false" outlineLevel="0" collapsed="false">
      <c r="A2405" s="0" t="s">
        <v>201</v>
      </c>
      <c r="B2405" s="0" t="n">
        <v>2021</v>
      </c>
      <c r="C2405" s="0" t="s">
        <v>25</v>
      </c>
      <c r="D2405" s="0" t="n">
        <v>-86.1830547229477</v>
      </c>
      <c r="E2405" s="0" t="s">
        <v>522</v>
      </c>
    </row>
    <row r="2406" customFormat="false" ht="15" hidden="false" customHeight="false" outlineLevel="0" collapsed="false">
      <c r="A2406" s="0" t="s">
        <v>201</v>
      </c>
      <c r="B2406" s="0" t="n">
        <v>2021</v>
      </c>
      <c r="C2406" s="0" t="s">
        <v>29</v>
      </c>
      <c r="D2406" s="0" t="n">
        <v>-0.49742053530174</v>
      </c>
      <c r="E2406" s="0" t="s">
        <v>522</v>
      </c>
    </row>
    <row r="2407" customFormat="false" ht="15" hidden="false" customHeight="false" outlineLevel="0" collapsed="false">
      <c r="A2407" s="0" t="s">
        <v>201</v>
      </c>
      <c r="B2407" s="0" t="n">
        <v>2021</v>
      </c>
      <c r="C2407" s="0" t="s">
        <v>47</v>
      </c>
      <c r="D2407" s="0" t="n">
        <v>0.0388499384700419</v>
      </c>
      <c r="E2407" s="0" t="s">
        <v>522</v>
      </c>
    </row>
    <row r="2408" customFormat="false" ht="15" hidden="false" customHeight="false" outlineLevel="0" collapsed="false">
      <c r="A2408" s="0" t="s">
        <v>201</v>
      </c>
      <c r="B2408" s="0" t="n">
        <v>2021</v>
      </c>
      <c r="C2408" s="0" t="s">
        <v>45</v>
      </c>
      <c r="D2408" s="0" t="n">
        <v>0.956033782379504</v>
      </c>
      <c r="E2408" s="0" t="s">
        <v>522</v>
      </c>
    </row>
    <row r="2409" customFormat="false" ht="15" hidden="false" customHeight="false" outlineLevel="0" collapsed="false">
      <c r="A2409" s="0" t="s">
        <v>201</v>
      </c>
      <c r="B2409" s="0" t="n">
        <v>2021</v>
      </c>
      <c r="C2409" s="0" t="s">
        <v>43</v>
      </c>
      <c r="D2409" s="0" t="n">
        <v>0.588873259129674</v>
      </c>
      <c r="E2409" s="0" t="s">
        <v>522</v>
      </c>
    </row>
    <row r="2410" customFormat="false" ht="15" hidden="false" customHeight="false" outlineLevel="0" collapsed="false">
      <c r="A2410" s="0" t="s">
        <v>201</v>
      </c>
      <c r="B2410" s="0" t="n">
        <v>2021</v>
      </c>
      <c r="C2410" s="0" t="s">
        <v>31</v>
      </c>
      <c r="D2410" s="0" t="n">
        <v>151.246885709675</v>
      </c>
      <c r="E2410" s="0" t="s">
        <v>522</v>
      </c>
    </row>
    <row r="2411" customFormat="false" ht="15" hidden="false" customHeight="false" outlineLevel="0" collapsed="false">
      <c r="A2411" s="0" t="s">
        <v>201</v>
      </c>
      <c r="B2411" s="0" t="n">
        <v>2021</v>
      </c>
      <c r="C2411" s="0" t="s">
        <v>33</v>
      </c>
      <c r="D2411" s="0" t="n">
        <v>13.1972273230238</v>
      </c>
      <c r="E2411" s="0" t="s">
        <v>522</v>
      </c>
    </row>
    <row r="2412" customFormat="false" ht="15" hidden="false" customHeight="false" outlineLevel="0" collapsed="false">
      <c r="A2412" s="0" t="s">
        <v>201</v>
      </c>
      <c r="B2412" s="0" t="n">
        <v>2021</v>
      </c>
      <c r="C2412" s="0" t="s">
        <v>21</v>
      </c>
      <c r="D2412" s="0" t="n">
        <v>5.82076609134674E-011</v>
      </c>
      <c r="E2412" s="0" t="s">
        <v>522</v>
      </c>
    </row>
    <row r="2413" customFormat="false" ht="15" hidden="false" customHeight="false" outlineLevel="0" collapsed="false">
      <c r="A2413" s="0" t="s">
        <v>201</v>
      </c>
      <c r="B2413" s="0" t="n">
        <v>2021</v>
      </c>
      <c r="C2413" s="0" t="s">
        <v>35</v>
      </c>
      <c r="D2413" s="0" t="n">
        <v>0</v>
      </c>
      <c r="E2413" s="0" t="s">
        <v>522</v>
      </c>
    </row>
    <row r="2414" customFormat="false" ht="15" hidden="false" customHeight="false" outlineLevel="0" collapsed="false">
      <c r="A2414" s="0" t="s">
        <v>201</v>
      </c>
      <c r="B2414" s="0" t="n">
        <v>2022</v>
      </c>
      <c r="C2414" s="0" t="s">
        <v>54</v>
      </c>
      <c r="D2414" s="0" t="n">
        <v>941.375</v>
      </c>
      <c r="E2414" s="0" t="s">
        <v>523</v>
      </c>
      <c r="F2414" s="0" t="s">
        <v>524</v>
      </c>
      <c r="G2414" s="0" t="s">
        <v>114</v>
      </c>
      <c r="H2414" s="0" t="s">
        <v>1462</v>
      </c>
    </row>
    <row r="2415" customFormat="false" ht="15" hidden="false" customHeight="false" outlineLevel="0" collapsed="false">
      <c r="A2415" s="0" t="s">
        <v>201</v>
      </c>
      <c r="B2415" s="0" t="n">
        <v>2022</v>
      </c>
      <c r="C2415" s="0" t="s">
        <v>55</v>
      </c>
      <c r="D2415" s="0" t="n">
        <v>510143.959</v>
      </c>
      <c r="E2415" s="0" t="s">
        <v>523</v>
      </c>
      <c r="F2415" s="0" t="s">
        <v>524</v>
      </c>
      <c r="G2415" s="0" t="s">
        <v>114</v>
      </c>
      <c r="H2415" s="0" t="s">
        <v>1463</v>
      </c>
    </row>
    <row r="2416" customFormat="false" ht="15" hidden="false" customHeight="false" outlineLevel="0" collapsed="false">
      <c r="A2416" s="0" t="s">
        <v>201</v>
      </c>
      <c r="B2416" s="0" t="n">
        <v>2022</v>
      </c>
      <c r="C2416" s="0" t="s">
        <v>56</v>
      </c>
      <c r="D2416" s="0" t="n">
        <v>785092.126</v>
      </c>
      <c r="E2416" s="0" t="s">
        <v>523</v>
      </c>
      <c r="F2416" s="0" t="s">
        <v>524</v>
      </c>
      <c r="G2416" s="0" t="s">
        <v>114</v>
      </c>
      <c r="H2416" s="0" t="s">
        <v>1464</v>
      </c>
    </row>
    <row r="2417" customFormat="false" ht="15" hidden="false" customHeight="false" outlineLevel="0" collapsed="false">
      <c r="A2417" s="0" t="s">
        <v>201</v>
      </c>
      <c r="B2417" s="0" t="n">
        <v>2022</v>
      </c>
      <c r="C2417" s="0" t="s">
        <v>57</v>
      </c>
      <c r="D2417" s="0" t="n">
        <v>-274948.167</v>
      </c>
      <c r="E2417" s="0" t="s">
        <v>523</v>
      </c>
      <c r="F2417" s="0" t="s">
        <v>524</v>
      </c>
      <c r="G2417" s="0" t="s">
        <v>114</v>
      </c>
      <c r="H2417" s="0" t="s">
        <v>1465</v>
      </c>
    </row>
    <row r="2418" customFormat="false" ht="15" hidden="false" customHeight="false" outlineLevel="0" collapsed="false">
      <c r="A2418" s="0" t="s">
        <v>201</v>
      </c>
      <c r="B2418" s="0" t="n">
        <v>2022</v>
      </c>
      <c r="C2418" s="0" t="s">
        <v>58</v>
      </c>
      <c r="D2418" s="0" t="n">
        <v>-26933.973</v>
      </c>
      <c r="E2418" s="0" t="s">
        <v>523</v>
      </c>
      <c r="F2418" s="0" t="s">
        <v>524</v>
      </c>
      <c r="G2418" s="0" t="s">
        <v>114</v>
      </c>
      <c r="H2418" s="0" t="s">
        <v>1466</v>
      </c>
    </row>
    <row r="2419" customFormat="false" ht="15" hidden="false" customHeight="false" outlineLevel="0" collapsed="false">
      <c r="A2419" s="0" t="s">
        <v>201</v>
      </c>
      <c r="B2419" s="0" t="n">
        <v>2022</v>
      </c>
      <c r="C2419" s="0" t="s">
        <v>59</v>
      </c>
      <c r="D2419" s="0" t="n">
        <v>538868.756</v>
      </c>
      <c r="E2419" s="0" t="s">
        <v>523</v>
      </c>
      <c r="F2419" s="0" t="s">
        <v>524</v>
      </c>
      <c r="G2419" s="0" t="s">
        <v>114</v>
      </c>
      <c r="H2419" s="0" t="s">
        <v>1467</v>
      </c>
    </row>
    <row r="2420" customFormat="false" ht="15" hidden="false" customHeight="false" outlineLevel="0" collapsed="false">
      <c r="A2420" s="0" t="s">
        <v>201</v>
      </c>
      <c r="B2420" s="0" t="n">
        <v>2022</v>
      </c>
      <c r="C2420" s="0" t="s">
        <v>60</v>
      </c>
      <c r="D2420" s="0" t="n">
        <v>292968.646</v>
      </c>
      <c r="E2420" s="0" t="s">
        <v>523</v>
      </c>
      <c r="F2420" s="0" t="s">
        <v>524</v>
      </c>
      <c r="G2420" s="0" t="s">
        <v>114</v>
      </c>
      <c r="H2420" s="0" t="s">
        <v>1468</v>
      </c>
    </row>
    <row r="2421" customFormat="false" ht="15" hidden="false" customHeight="false" outlineLevel="0" collapsed="false">
      <c r="A2421" s="0" t="s">
        <v>201</v>
      </c>
      <c r="B2421" s="0" t="n">
        <v>2022</v>
      </c>
      <c r="C2421" s="0" t="s">
        <v>61</v>
      </c>
      <c r="D2421" s="0" t="n">
        <v>3612.947</v>
      </c>
      <c r="E2421" s="0" t="s">
        <v>523</v>
      </c>
      <c r="F2421" s="0" t="s">
        <v>524</v>
      </c>
      <c r="G2421" s="0" t="s">
        <v>114</v>
      </c>
      <c r="H2421" s="0" t="s">
        <v>1469</v>
      </c>
    </row>
    <row r="2422" customFormat="false" ht="15" hidden="false" customHeight="false" outlineLevel="0" collapsed="false">
      <c r="A2422" s="0" t="s">
        <v>201</v>
      </c>
      <c r="B2422" s="0" t="n">
        <v>2022</v>
      </c>
      <c r="C2422" s="0" t="s">
        <v>62</v>
      </c>
      <c r="D2422" s="0" t="n">
        <v>289355.699</v>
      </c>
      <c r="E2422" s="0" t="s">
        <v>523</v>
      </c>
      <c r="F2422" s="0" t="s">
        <v>524</v>
      </c>
      <c r="G2422" s="0" t="s">
        <v>114</v>
      </c>
      <c r="H2422" s="0" t="s">
        <v>1470</v>
      </c>
    </row>
    <row r="2423" customFormat="false" ht="15" hidden="false" customHeight="false" outlineLevel="0" collapsed="false">
      <c r="A2423" s="0" t="s">
        <v>201</v>
      </c>
      <c r="B2423" s="0" t="n">
        <v>2022</v>
      </c>
      <c r="C2423" s="0" t="s">
        <v>63</v>
      </c>
      <c r="D2423" s="0" t="n">
        <v>-1203.857</v>
      </c>
      <c r="E2423" s="0" t="s">
        <v>523</v>
      </c>
      <c r="F2423" s="0" t="s">
        <v>524</v>
      </c>
      <c r="G2423" s="0" t="s">
        <v>114</v>
      </c>
      <c r="H2423" s="0" t="s">
        <v>1471</v>
      </c>
    </row>
    <row r="2424" customFormat="false" ht="15" hidden="false" customHeight="false" outlineLevel="0" collapsed="false">
      <c r="A2424" s="0" t="s">
        <v>201</v>
      </c>
      <c r="B2424" s="0" t="n">
        <v>2022</v>
      </c>
      <c r="C2424" s="0" t="s">
        <v>69</v>
      </c>
      <c r="D2424" s="0" t="n">
        <v>-89.69</v>
      </c>
      <c r="E2424" s="0" t="s">
        <v>523</v>
      </c>
      <c r="F2424" s="0" t="s">
        <v>524</v>
      </c>
      <c r="G2424" s="0" t="s">
        <v>114</v>
      </c>
      <c r="H2424" s="0" t="s">
        <v>1472</v>
      </c>
    </row>
    <row r="2425" customFormat="false" ht="15" hidden="false" customHeight="false" outlineLevel="0" collapsed="false">
      <c r="A2425" s="0" t="s">
        <v>201</v>
      </c>
      <c r="B2425" s="0" t="n">
        <v>2022</v>
      </c>
      <c r="C2425" s="0" t="s">
        <v>614</v>
      </c>
      <c r="D2425" s="0" t="n">
        <v>-89.69</v>
      </c>
      <c r="E2425" s="0" t="s">
        <v>523</v>
      </c>
      <c r="F2425" s="0" t="s">
        <v>524</v>
      </c>
      <c r="G2425" s="0" t="s">
        <v>114</v>
      </c>
      <c r="H2425" s="0" t="s">
        <v>1473</v>
      </c>
    </row>
    <row r="2426" customFormat="false" ht="15" hidden="false" customHeight="false" outlineLevel="0" collapsed="false">
      <c r="A2426" s="0" t="s">
        <v>201</v>
      </c>
      <c r="B2426" s="0" t="n">
        <v>2022</v>
      </c>
      <c r="C2426" s="0" t="s">
        <v>65</v>
      </c>
      <c r="D2426" s="0" t="n">
        <v>-288192.175</v>
      </c>
      <c r="E2426" s="0" t="s">
        <v>523</v>
      </c>
      <c r="F2426" s="0" t="s">
        <v>524</v>
      </c>
      <c r="G2426" s="0" t="s">
        <v>114</v>
      </c>
      <c r="H2426" s="0" t="s">
        <v>1474</v>
      </c>
    </row>
    <row r="2427" customFormat="false" ht="15" hidden="false" customHeight="false" outlineLevel="0" collapsed="false">
      <c r="A2427" s="0" t="s">
        <v>201</v>
      </c>
      <c r="B2427" s="0" t="n">
        <v>2022</v>
      </c>
      <c r="C2427" s="0" t="s">
        <v>66</v>
      </c>
      <c r="D2427" s="0" t="n">
        <v>321334.337</v>
      </c>
      <c r="E2427" s="0" t="s">
        <v>523</v>
      </c>
      <c r="F2427" s="0" t="s">
        <v>524</v>
      </c>
      <c r="G2427" s="0" t="s">
        <v>114</v>
      </c>
      <c r="H2427" s="0" t="s">
        <v>1475</v>
      </c>
    </row>
    <row r="2428" customFormat="false" ht="15" hidden="false" customHeight="false" outlineLevel="0" collapsed="false">
      <c r="A2428" s="0" t="s">
        <v>201</v>
      </c>
      <c r="B2428" s="0" t="n">
        <v>2022</v>
      </c>
      <c r="C2428" s="0" t="s">
        <v>619</v>
      </c>
      <c r="D2428" s="0" t="n">
        <v>-288192.175</v>
      </c>
      <c r="E2428" s="0" t="s">
        <v>523</v>
      </c>
      <c r="F2428" s="0" t="s">
        <v>524</v>
      </c>
      <c r="G2428" s="0" t="s">
        <v>114</v>
      </c>
      <c r="H2428" s="0" t="s">
        <v>1476</v>
      </c>
    </row>
    <row r="2429" customFormat="false" ht="15" hidden="false" customHeight="false" outlineLevel="0" collapsed="false">
      <c r="A2429" s="0" t="s">
        <v>201</v>
      </c>
      <c r="B2429" s="0" t="n">
        <v>2022</v>
      </c>
      <c r="C2429" s="0" t="s">
        <v>73</v>
      </c>
      <c r="D2429" s="0" t="n">
        <v>1</v>
      </c>
      <c r="E2429" s="0" t="s">
        <v>539</v>
      </c>
      <c r="F2429" s="0" t="s">
        <v>524</v>
      </c>
      <c r="G2429" s="0" t="s">
        <v>114</v>
      </c>
      <c r="H2429" s="0" t="s">
        <v>1477</v>
      </c>
    </row>
    <row r="2430" customFormat="false" ht="15" hidden="false" customHeight="false" outlineLevel="0" collapsed="false">
      <c r="A2430" s="0" t="s">
        <v>201</v>
      </c>
      <c r="B2430" s="0" t="n">
        <v>2022</v>
      </c>
      <c r="C2430" s="0" t="s">
        <v>67</v>
      </c>
      <c r="D2430" s="0" t="n">
        <v>472.953</v>
      </c>
      <c r="E2430" s="0" t="s">
        <v>523</v>
      </c>
      <c r="F2430" s="0" t="s">
        <v>524</v>
      </c>
      <c r="G2430" s="0" t="s">
        <v>114</v>
      </c>
      <c r="H2430" s="0" t="s">
        <v>1478</v>
      </c>
    </row>
    <row r="2431" customFormat="false" ht="15" hidden="false" customHeight="false" outlineLevel="0" collapsed="false">
      <c r="A2431" s="0" t="s">
        <v>201</v>
      </c>
      <c r="B2431" s="0" t="n">
        <v>2022</v>
      </c>
      <c r="C2431" s="0" t="s">
        <v>68</v>
      </c>
      <c r="D2431" s="0" t="n">
        <v>121.67</v>
      </c>
      <c r="E2431" s="0" t="s">
        <v>523</v>
      </c>
      <c r="F2431" s="0" t="s">
        <v>524</v>
      </c>
      <c r="G2431" s="0" t="s">
        <v>114</v>
      </c>
      <c r="H2431" s="0" t="s">
        <v>1479</v>
      </c>
    </row>
    <row r="2432" customFormat="false" ht="15" hidden="false" customHeight="false" outlineLevel="0" collapsed="false">
      <c r="A2432" s="0" t="s">
        <v>201</v>
      </c>
      <c r="B2432" s="0" t="n">
        <v>2022</v>
      </c>
      <c r="C2432" s="0" t="s">
        <v>541</v>
      </c>
      <c r="D2432" s="0" t="n">
        <v>1386.125</v>
      </c>
      <c r="E2432" s="0" t="s">
        <v>523</v>
      </c>
      <c r="F2432" s="0" t="s">
        <v>524</v>
      </c>
      <c r="G2432" s="0" t="s">
        <v>114</v>
      </c>
      <c r="H2432" s="0" t="s">
        <v>1480</v>
      </c>
    </row>
    <row r="2433" customFormat="false" ht="15" hidden="false" customHeight="false" outlineLevel="0" collapsed="false">
      <c r="A2433" s="0" t="s">
        <v>201</v>
      </c>
      <c r="B2433" s="0" t="n">
        <v>2022</v>
      </c>
      <c r="C2433" s="0" t="s">
        <v>19</v>
      </c>
      <c r="D2433" s="0" t="n">
        <v>524506.3575</v>
      </c>
      <c r="E2433" s="0" t="s">
        <v>522</v>
      </c>
    </row>
    <row r="2434" customFormat="false" ht="15" hidden="false" customHeight="false" outlineLevel="0" collapsed="false">
      <c r="A2434" s="0" t="s">
        <v>201</v>
      </c>
      <c r="B2434" s="0" t="n">
        <v>2022</v>
      </c>
      <c r="C2434" s="0" t="s">
        <v>41</v>
      </c>
      <c r="D2434" s="0" t="n">
        <v>0.179478282110241</v>
      </c>
      <c r="E2434" s="0" t="s">
        <v>522</v>
      </c>
    </row>
    <row r="2435" customFormat="false" ht="15" hidden="false" customHeight="false" outlineLevel="0" collapsed="false">
      <c r="A2435" s="0" t="s">
        <v>201</v>
      </c>
      <c r="B2435" s="0" t="n">
        <v>2022</v>
      </c>
      <c r="C2435" s="0" t="s">
        <v>27</v>
      </c>
      <c r="D2435" s="0" t="n">
        <v>-53.8961918786536</v>
      </c>
      <c r="E2435" s="0" t="s">
        <v>522</v>
      </c>
    </row>
    <row r="2436" customFormat="false" ht="15" hidden="false" customHeight="false" outlineLevel="0" collapsed="false">
      <c r="A2436" s="0" t="s">
        <v>201</v>
      </c>
      <c r="B2436" s="0" t="n">
        <v>2022</v>
      </c>
      <c r="C2436" s="0" t="s">
        <v>39</v>
      </c>
      <c r="D2436" s="0" t="n">
        <v>-5.13510896767348</v>
      </c>
      <c r="E2436" s="0" t="s">
        <v>522</v>
      </c>
    </row>
    <row r="2437" customFormat="false" ht="15" hidden="false" customHeight="false" outlineLevel="0" collapsed="false">
      <c r="A2437" s="0" t="s">
        <v>201</v>
      </c>
      <c r="B2437" s="0" t="n">
        <v>2022</v>
      </c>
      <c r="C2437" s="0" t="s">
        <v>17</v>
      </c>
      <c r="D2437" s="0" t="n">
        <v>1.23321968044321</v>
      </c>
      <c r="E2437" s="0" t="s">
        <v>522</v>
      </c>
    </row>
    <row r="2438" customFormat="false" ht="15" hidden="false" customHeight="false" outlineLevel="0" collapsed="false">
      <c r="A2438" s="0" t="s">
        <v>201</v>
      </c>
      <c r="B2438" s="0" t="n">
        <v>2022</v>
      </c>
      <c r="C2438" s="0" t="s">
        <v>25</v>
      </c>
      <c r="D2438" s="0" t="n">
        <v>-89.6860813850715</v>
      </c>
      <c r="E2438" s="0" t="s">
        <v>522</v>
      </c>
    </row>
    <row r="2439" customFormat="false" ht="15" hidden="false" customHeight="false" outlineLevel="0" collapsed="false">
      <c r="A2439" s="0" t="s">
        <v>201</v>
      </c>
      <c r="B2439" s="0" t="n">
        <v>2022</v>
      </c>
      <c r="C2439" s="0" t="s">
        <v>29</v>
      </c>
      <c r="D2439" s="0" t="n">
        <v>-0.229521908130542</v>
      </c>
      <c r="E2439" s="0" t="s">
        <v>522</v>
      </c>
    </row>
    <row r="2440" customFormat="false" ht="15" hidden="false" customHeight="false" outlineLevel="0" collapsed="false">
      <c r="A2440" s="0" t="s">
        <v>201</v>
      </c>
      <c r="B2440" s="0" t="n">
        <v>2022</v>
      </c>
      <c r="C2440" s="0" t="s">
        <v>47</v>
      </c>
      <c r="D2440" s="0" t="n">
        <v>0.161434681307159</v>
      </c>
      <c r="E2440" s="0" t="s">
        <v>522</v>
      </c>
    </row>
    <row r="2441" customFormat="false" ht="15" hidden="false" customHeight="false" outlineLevel="0" collapsed="false">
      <c r="A2441" s="0" t="s">
        <v>201</v>
      </c>
      <c r="B2441" s="0" t="n">
        <v>2022</v>
      </c>
      <c r="C2441" s="0" t="s">
        <v>45</v>
      </c>
      <c r="D2441" s="0" t="n">
        <v>25.7256006410785</v>
      </c>
      <c r="E2441" s="0" t="s">
        <v>522</v>
      </c>
    </row>
    <row r="2442" customFormat="false" ht="15" hidden="false" customHeight="false" outlineLevel="0" collapsed="false">
      <c r="A2442" s="0" t="s">
        <v>201</v>
      </c>
      <c r="B2442" s="0" t="n">
        <v>2022</v>
      </c>
      <c r="C2442" s="0" t="s">
        <v>43</v>
      </c>
      <c r="D2442" s="0" t="n">
        <v>0.184531245228369</v>
      </c>
      <c r="E2442" s="0" t="s">
        <v>522</v>
      </c>
    </row>
    <row r="2443" customFormat="false" ht="15" hidden="false" customHeight="false" outlineLevel="0" collapsed="false">
      <c r="A2443" s="0" t="s">
        <v>201</v>
      </c>
      <c r="B2443" s="0" t="n">
        <v>2022</v>
      </c>
      <c r="C2443" s="0" t="s">
        <v>31</v>
      </c>
      <c r="D2443" s="0" t="n">
        <v>153.896191878654</v>
      </c>
      <c r="E2443" s="0" t="s">
        <v>522</v>
      </c>
    </row>
    <row r="2444" customFormat="false" ht="15" hidden="false" customHeight="false" outlineLevel="0" collapsed="false">
      <c r="A2444" s="0" t="s">
        <v>201</v>
      </c>
      <c r="B2444" s="0" t="n">
        <v>2022</v>
      </c>
      <c r="C2444" s="0" t="s">
        <v>33</v>
      </c>
      <c r="D2444" s="0" t="n">
        <v>13.1424482374181</v>
      </c>
      <c r="E2444" s="0" t="s">
        <v>522</v>
      </c>
    </row>
    <row r="2445" customFormat="false" ht="15" hidden="false" customHeight="false" outlineLevel="0" collapsed="false">
      <c r="A2445" s="0" t="s">
        <v>201</v>
      </c>
      <c r="B2445" s="0" t="n">
        <v>2022</v>
      </c>
      <c r="C2445" s="0" t="s">
        <v>21</v>
      </c>
      <c r="D2445" s="0" t="n">
        <v>-5.82076609134674E-011</v>
      </c>
      <c r="E2445" s="0" t="s">
        <v>522</v>
      </c>
    </row>
    <row r="2446" customFormat="false" ht="15" hidden="false" customHeight="false" outlineLevel="0" collapsed="false">
      <c r="A2446" s="0" t="s">
        <v>201</v>
      </c>
      <c r="B2446" s="0" t="n">
        <v>2022</v>
      </c>
      <c r="C2446" s="0" t="s">
        <v>35</v>
      </c>
      <c r="D2446" s="0" t="n">
        <v>0</v>
      </c>
      <c r="E2446" s="0" t="s">
        <v>522</v>
      </c>
    </row>
    <row r="2447" customFormat="false" ht="15" hidden="false" customHeight="false" outlineLevel="0" collapsed="false">
      <c r="A2447" s="0" t="s">
        <v>211</v>
      </c>
      <c r="B2447" s="0" t="n">
        <v>2013</v>
      </c>
      <c r="C2447" s="0" t="s">
        <v>54</v>
      </c>
      <c r="D2447" s="0" t="n">
        <v>1596.531</v>
      </c>
      <c r="E2447" s="0" t="s">
        <v>523</v>
      </c>
      <c r="F2447" s="0" t="s">
        <v>524</v>
      </c>
      <c r="G2447" s="0" t="s">
        <v>213</v>
      </c>
      <c r="H2447" s="0" t="s">
        <v>1481</v>
      </c>
    </row>
    <row r="2448" customFormat="false" ht="15" hidden="false" customHeight="false" outlineLevel="0" collapsed="false">
      <c r="A2448" s="0" t="s">
        <v>211</v>
      </c>
      <c r="B2448" s="0" t="n">
        <v>2013</v>
      </c>
      <c r="C2448" s="0" t="s">
        <v>55</v>
      </c>
      <c r="D2448" s="0" t="n">
        <v>330872.475</v>
      </c>
      <c r="E2448" s="0" t="s">
        <v>523</v>
      </c>
      <c r="F2448" s="0" t="s">
        <v>524</v>
      </c>
      <c r="G2448" s="0" t="s">
        <v>213</v>
      </c>
      <c r="H2448" s="0" t="s">
        <v>1482</v>
      </c>
    </row>
    <row r="2449" customFormat="false" ht="15" hidden="false" customHeight="false" outlineLevel="0" collapsed="false">
      <c r="A2449" s="0" t="s">
        <v>211</v>
      </c>
      <c r="B2449" s="0" t="n">
        <v>2013</v>
      </c>
      <c r="C2449" s="0" t="s">
        <v>56</v>
      </c>
      <c r="D2449" s="0" t="n">
        <v>289477.324</v>
      </c>
      <c r="E2449" s="0" t="s">
        <v>523</v>
      </c>
      <c r="F2449" s="0" t="s">
        <v>524</v>
      </c>
      <c r="G2449" s="0" t="s">
        <v>213</v>
      </c>
      <c r="H2449" s="0" t="s">
        <v>1483</v>
      </c>
    </row>
    <row r="2450" customFormat="false" ht="15" hidden="false" customHeight="false" outlineLevel="0" collapsed="false">
      <c r="A2450" s="0" t="s">
        <v>211</v>
      </c>
      <c r="B2450" s="0" t="n">
        <v>2013</v>
      </c>
      <c r="C2450" s="0" t="s">
        <v>57</v>
      </c>
      <c r="D2450" s="0" t="n">
        <v>41395.151</v>
      </c>
      <c r="E2450" s="0" t="s">
        <v>523</v>
      </c>
      <c r="F2450" s="0" t="s">
        <v>524</v>
      </c>
      <c r="G2450" s="0" t="s">
        <v>213</v>
      </c>
      <c r="H2450" s="0" t="s">
        <v>1484</v>
      </c>
    </row>
    <row r="2451" customFormat="false" ht="15" hidden="false" customHeight="false" outlineLevel="0" collapsed="false">
      <c r="A2451" s="0" t="s">
        <v>211</v>
      </c>
      <c r="B2451" s="0" t="n">
        <v>2013</v>
      </c>
      <c r="C2451" s="0" t="s">
        <v>58</v>
      </c>
      <c r="D2451" s="0" t="n">
        <v>14012.504</v>
      </c>
      <c r="E2451" s="0" t="s">
        <v>523</v>
      </c>
      <c r="F2451" s="0" t="s">
        <v>524</v>
      </c>
      <c r="G2451" s="0" t="s">
        <v>213</v>
      </c>
      <c r="H2451" s="0" t="s">
        <v>1485</v>
      </c>
    </row>
    <row r="2452" customFormat="false" ht="15" hidden="false" customHeight="false" outlineLevel="0" collapsed="false">
      <c r="A2452" s="0" t="s">
        <v>211</v>
      </c>
      <c r="B2452" s="0" t="n">
        <v>2013</v>
      </c>
      <c r="C2452" s="0" t="s">
        <v>59</v>
      </c>
      <c r="D2452" s="0" t="n">
        <v>245704.597</v>
      </c>
      <c r="E2452" s="0" t="s">
        <v>523</v>
      </c>
      <c r="F2452" s="0" t="s">
        <v>524</v>
      </c>
      <c r="G2452" s="0" t="s">
        <v>213</v>
      </c>
      <c r="H2452" s="0" t="s">
        <v>1486</v>
      </c>
    </row>
    <row r="2453" customFormat="false" ht="15" hidden="false" customHeight="false" outlineLevel="0" collapsed="false">
      <c r="A2453" s="0" t="s">
        <v>211</v>
      </c>
      <c r="B2453" s="0" t="n">
        <v>2013</v>
      </c>
      <c r="C2453" s="0" t="s">
        <v>62</v>
      </c>
      <c r="D2453" s="0" t="n">
        <v>98631.825</v>
      </c>
      <c r="E2453" s="0" t="s">
        <v>523</v>
      </c>
      <c r="F2453" s="0" t="s">
        <v>524</v>
      </c>
      <c r="G2453" s="0" t="s">
        <v>213</v>
      </c>
      <c r="H2453" s="0" t="s">
        <v>1487</v>
      </c>
    </row>
    <row r="2454" customFormat="false" ht="15" hidden="false" customHeight="false" outlineLevel="0" collapsed="false">
      <c r="A2454" s="0" t="s">
        <v>211</v>
      </c>
      <c r="B2454" s="0" t="n">
        <v>2013</v>
      </c>
      <c r="C2454" s="0" t="s">
        <v>63</v>
      </c>
      <c r="D2454" s="0" t="n">
        <v>-1329.627</v>
      </c>
      <c r="E2454" s="0" t="s">
        <v>523</v>
      </c>
      <c r="F2454" s="0" t="s">
        <v>524</v>
      </c>
      <c r="G2454" s="0" t="s">
        <v>213</v>
      </c>
      <c r="H2454" s="0" t="s">
        <v>1488</v>
      </c>
    </row>
    <row r="2455" customFormat="false" ht="15" hidden="false" customHeight="false" outlineLevel="0" collapsed="false">
      <c r="A2455" s="0" t="s">
        <v>211</v>
      </c>
      <c r="B2455" s="0" t="n">
        <v>2013</v>
      </c>
      <c r="C2455" s="0" t="s">
        <v>541</v>
      </c>
      <c r="D2455" s="0" t="n">
        <v>1947.308</v>
      </c>
      <c r="E2455" s="0" t="s">
        <v>523</v>
      </c>
      <c r="F2455" s="0" t="s">
        <v>524</v>
      </c>
      <c r="G2455" s="0" t="s">
        <v>213</v>
      </c>
      <c r="H2455" s="0" t="s">
        <v>1489</v>
      </c>
    </row>
    <row r="2456" customFormat="false" ht="15" hidden="false" customHeight="false" outlineLevel="0" collapsed="false">
      <c r="A2456" s="0" t="s">
        <v>211</v>
      </c>
      <c r="B2456" s="0" t="n">
        <v>2013</v>
      </c>
      <c r="C2456" s="0" t="s">
        <v>19</v>
      </c>
      <c r="D2456" s="0" t="n">
        <v>288288.536</v>
      </c>
      <c r="E2456" s="0" t="s">
        <v>522</v>
      </c>
    </row>
    <row r="2457" customFormat="false" ht="15" hidden="false" customHeight="false" outlineLevel="0" collapsed="false">
      <c r="A2457" s="0" t="s">
        <v>211</v>
      </c>
      <c r="B2457" s="0" t="n">
        <v>2013</v>
      </c>
      <c r="C2457" s="0" t="s">
        <v>41</v>
      </c>
      <c r="D2457" s="0" t="n">
        <v>0.553796214775603</v>
      </c>
      <c r="E2457" s="0" t="s">
        <v>522</v>
      </c>
    </row>
    <row r="2458" customFormat="false" ht="15" hidden="false" customHeight="false" outlineLevel="0" collapsed="false">
      <c r="A2458" s="0" t="s">
        <v>211</v>
      </c>
      <c r="B2458" s="0" t="n">
        <v>2013</v>
      </c>
      <c r="C2458" s="0" t="s">
        <v>27</v>
      </c>
      <c r="D2458" s="0" t="n">
        <v>12.5109080167518</v>
      </c>
      <c r="E2458" s="0" t="s">
        <v>522</v>
      </c>
    </row>
    <row r="2459" customFormat="false" ht="15" hidden="false" customHeight="false" outlineLevel="0" collapsed="false">
      <c r="A2459" s="0" t="s">
        <v>211</v>
      </c>
      <c r="B2459" s="0" t="n">
        <v>2013</v>
      </c>
      <c r="C2459" s="0" t="s">
        <v>39</v>
      </c>
      <c r="D2459" s="0" t="n">
        <v>4.86058314854393</v>
      </c>
      <c r="E2459" s="0" t="s">
        <v>522</v>
      </c>
    </row>
    <row r="2460" customFormat="false" ht="15" hidden="false" customHeight="false" outlineLevel="0" collapsed="false">
      <c r="A2460" s="0" t="s">
        <v>211</v>
      </c>
      <c r="B2460" s="0" t="n">
        <v>2013</v>
      </c>
      <c r="C2460" s="0" t="s">
        <v>29</v>
      </c>
      <c r="D2460" s="0" t="n">
        <v>-0.461213969326897</v>
      </c>
      <c r="E2460" s="0" t="s">
        <v>522</v>
      </c>
    </row>
    <row r="2461" customFormat="false" ht="15" hidden="false" customHeight="false" outlineLevel="0" collapsed="false">
      <c r="A2461" s="0" t="s">
        <v>211</v>
      </c>
      <c r="B2461" s="0" t="n">
        <v>2013</v>
      </c>
      <c r="C2461" s="0" t="s">
        <v>43</v>
      </c>
      <c r="D2461" s="0" t="n">
        <v>0.482521551543385</v>
      </c>
      <c r="E2461" s="0" t="s">
        <v>522</v>
      </c>
    </row>
    <row r="2462" customFormat="false" ht="15" hidden="false" customHeight="false" outlineLevel="0" collapsed="false">
      <c r="A2462" s="0" t="s">
        <v>211</v>
      </c>
      <c r="B2462" s="0" t="n">
        <v>2013</v>
      </c>
      <c r="C2462" s="0" t="s">
        <v>31</v>
      </c>
      <c r="D2462" s="0" t="n">
        <v>87.4890919832482</v>
      </c>
      <c r="E2462" s="0" t="s">
        <v>522</v>
      </c>
    </row>
    <row r="2463" customFormat="false" ht="15" hidden="false" customHeight="false" outlineLevel="0" collapsed="false">
      <c r="A2463" s="0" t="s">
        <v>211</v>
      </c>
      <c r="B2463" s="0" t="n">
        <v>2013</v>
      </c>
      <c r="C2463" s="0" t="s">
        <v>33</v>
      </c>
      <c r="D2463" s="0" t="n">
        <v>12.7094883082196</v>
      </c>
      <c r="E2463" s="0" t="s">
        <v>522</v>
      </c>
    </row>
    <row r="2464" customFormat="false" ht="15" hidden="false" customHeight="false" outlineLevel="0" collapsed="false">
      <c r="A2464" s="0" t="s">
        <v>211</v>
      </c>
      <c r="B2464" s="0" t="n">
        <v>2013</v>
      </c>
      <c r="C2464" s="0" t="s">
        <v>21</v>
      </c>
      <c r="D2464" s="0" t="n">
        <v>-4.36557456851006E-011</v>
      </c>
      <c r="E2464" s="0" t="s">
        <v>522</v>
      </c>
    </row>
    <row r="2465" customFormat="false" ht="15" hidden="false" customHeight="false" outlineLevel="0" collapsed="false">
      <c r="A2465" s="0" t="s">
        <v>211</v>
      </c>
      <c r="B2465" s="0" t="n">
        <v>2014</v>
      </c>
      <c r="C2465" s="0" t="s">
        <v>54</v>
      </c>
      <c r="D2465" s="0" t="n">
        <v>2372.445</v>
      </c>
      <c r="E2465" s="0" t="s">
        <v>521</v>
      </c>
      <c r="G2465" s="0" t="s">
        <v>81</v>
      </c>
    </row>
    <row r="2466" customFormat="false" ht="15" hidden="false" customHeight="false" outlineLevel="0" collapsed="false">
      <c r="A2466" s="0" t="s">
        <v>211</v>
      </c>
      <c r="B2466" s="0" t="n">
        <v>2014</v>
      </c>
      <c r="C2466" s="0" t="s">
        <v>55</v>
      </c>
      <c r="D2466" s="0" t="n">
        <v>382562.312</v>
      </c>
      <c r="E2466" s="0" t="s">
        <v>521</v>
      </c>
      <c r="G2466" s="0" t="s">
        <v>81</v>
      </c>
    </row>
    <row r="2467" customFormat="false" ht="15" hidden="false" customHeight="false" outlineLevel="0" collapsed="false">
      <c r="A2467" s="0" t="s">
        <v>211</v>
      </c>
      <c r="B2467" s="0" t="n">
        <v>2014</v>
      </c>
      <c r="C2467" s="0" t="s">
        <v>56</v>
      </c>
      <c r="D2467" s="0" t="n">
        <v>338793.663</v>
      </c>
      <c r="E2467" s="0" t="s">
        <v>521</v>
      </c>
      <c r="G2467" s="0" t="s">
        <v>81</v>
      </c>
    </row>
    <row r="2468" customFormat="false" ht="15" hidden="false" customHeight="false" outlineLevel="0" collapsed="false">
      <c r="A2468" s="0" t="s">
        <v>211</v>
      </c>
      <c r="B2468" s="0" t="n">
        <v>2014</v>
      </c>
      <c r="C2468" s="0" t="s">
        <v>57</v>
      </c>
      <c r="D2468" s="0" t="n">
        <v>43768.649</v>
      </c>
      <c r="E2468" s="0" t="s">
        <v>521</v>
      </c>
      <c r="G2468" s="0" t="s">
        <v>81</v>
      </c>
    </row>
    <row r="2469" customFormat="false" ht="15" hidden="false" customHeight="false" outlineLevel="0" collapsed="false">
      <c r="A2469" s="0" t="s">
        <v>211</v>
      </c>
      <c r="B2469" s="0" t="n">
        <v>2014</v>
      </c>
      <c r="C2469" s="0" t="s">
        <v>58</v>
      </c>
      <c r="D2469" s="0" t="n">
        <v>-40148.459</v>
      </c>
      <c r="E2469" s="0" t="s">
        <v>521</v>
      </c>
      <c r="G2469" s="0" t="s">
        <v>81</v>
      </c>
    </row>
    <row r="2470" customFormat="false" ht="15" hidden="false" customHeight="false" outlineLevel="0" collapsed="false">
      <c r="A2470" s="0" t="s">
        <v>211</v>
      </c>
      <c r="B2470" s="0" t="n">
        <v>2014</v>
      </c>
      <c r="C2470" s="0" t="s">
        <v>60</v>
      </c>
      <c r="D2470" s="0" t="n">
        <v>152292.015</v>
      </c>
      <c r="E2470" s="0" t="s">
        <v>521</v>
      </c>
      <c r="G2470" s="0" t="s">
        <v>81</v>
      </c>
    </row>
    <row r="2471" customFormat="false" ht="15" hidden="false" customHeight="false" outlineLevel="0" collapsed="false">
      <c r="A2471" s="0" t="s">
        <v>211</v>
      </c>
      <c r="B2471" s="0" t="n">
        <v>2014</v>
      </c>
      <c r="C2471" s="0" t="s">
        <v>61</v>
      </c>
      <c r="D2471" s="0" t="n">
        <v>2998.166</v>
      </c>
      <c r="E2471" s="0" t="s">
        <v>521</v>
      </c>
      <c r="G2471" s="0" t="s">
        <v>81</v>
      </c>
    </row>
    <row r="2472" customFormat="false" ht="15" hidden="false" customHeight="false" outlineLevel="0" collapsed="false">
      <c r="A2472" s="0" t="s">
        <v>211</v>
      </c>
      <c r="B2472" s="0" t="n">
        <v>2014</v>
      </c>
      <c r="C2472" s="0" t="s">
        <v>63</v>
      </c>
      <c r="D2472" s="0" t="n">
        <v>88.173</v>
      </c>
      <c r="E2472" s="0" t="s">
        <v>521</v>
      </c>
      <c r="G2472" s="0" t="s">
        <v>81</v>
      </c>
    </row>
    <row r="2473" customFormat="false" ht="15" hidden="false" customHeight="false" outlineLevel="0" collapsed="false">
      <c r="A2473" s="0" t="s">
        <v>211</v>
      </c>
      <c r="B2473" s="0" t="n">
        <v>2014</v>
      </c>
      <c r="C2473" s="0" t="s">
        <v>327</v>
      </c>
      <c r="D2473" s="0" t="n">
        <v>2.49</v>
      </c>
      <c r="E2473" s="0" t="s">
        <v>521</v>
      </c>
      <c r="G2473" s="0" t="s">
        <v>81</v>
      </c>
    </row>
    <row r="2474" customFormat="false" ht="15" hidden="false" customHeight="false" outlineLevel="0" collapsed="false">
      <c r="A2474" s="0" t="s">
        <v>211</v>
      </c>
      <c r="B2474" s="0" t="n">
        <v>2014</v>
      </c>
      <c r="C2474" s="0" t="s">
        <v>69</v>
      </c>
      <c r="D2474" s="0" t="n">
        <v>18.22</v>
      </c>
      <c r="E2474" s="0" t="s">
        <v>521</v>
      </c>
      <c r="G2474" s="0" t="s">
        <v>81</v>
      </c>
    </row>
    <row r="2475" customFormat="false" ht="15" hidden="false" customHeight="false" outlineLevel="0" collapsed="false">
      <c r="A2475" s="0" t="s">
        <v>211</v>
      </c>
      <c r="B2475" s="0" t="n">
        <v>2014</v>
      </c>
      <c r="C2475" s="0" t="s">
        <v>27</v>
      </c>
      <c r="D2475" s="0" t="n">
        <v>11.4409202441248</v>
      </c>
      <c r="E2475" s="0" t="s">
        <v>522</v>
      </c>
    </row>
    <row r="2476" customFormat="false" ht="15" hidden="false" customHeight="false" outlineLevel="0" collapsed="false">
      <c r="A2476" s="0" t="s">
        <v>211</v>
      </c>
      <c r="B2476" s="0" t="n">
        <v>2014</v>
      </c>
      <c r="C2476" s="0" t="s">
        <v>17</v>
      </c>
      <c r="D2476" s="0" t="n">
        <v>1.96869546968697</v>
      </c>
      <c r="E2476" s="0" t="s">
        <v>522</v>
      </c>
    </row>
    <row r="2477" customFormat="false" ht="15" hidden="false" customHeight="false" outlineLevel="0" collapsed="false">
      <c r="A2477" s="0" t="s">
        <v>211</v>
      </c>
      <c r="B2477" s="0" t="n">
        <v>2014</v>
      </c>
      <c r="C2477" s="0" t="s">
        <v>43</v>
      </c>
      <c r="D2477" s="0" t="n">
        <v>0.620146032576257</v>
      </c>
      <c r="E2477" s="0" t="s">
        <v>522</v>
      </c>
    </row>
    <row r="2478" customFormat="false" ht="15" hidden="false" customHeight="false" outlineLevel="0" collapsed="false">
      <c r="A2478" s="0" t="s">
        <v>211</v>
      </c>
      <c r="B2478" s="0" t="n">
        <v>2014</v>
      </c>
      <c r="C2478" s="0" t="s">
        <v>31</v>
      </c>
      <c r="D2478" s="0" t="n">
        <v>88.5590797558752</v>
      </c>
      <c r="E2478" s="0" t="s">
        <v>522</v>
      </c>
    </row>
    <row r="2479" customFormat="false" ht="15" hidden="false" customHeight="false" outlineLevel="0" collapsed="false">
      <c r="A2479" s="0" t="s">
        <v>211</v>
      </c>
      <c r="B2479" s="0" t="n">
        <v>2014</v>
      </c>
      <c r="C2479" s="0" t="s">
        <v>33</v>
      </c>
      <c r="D2479" s="0" t="n">
        <v>12.8546468261703</v>
      </c>
      <c r="E2479" s="0" t="s">
        <v>522</v>
      </c>
    </row>
    <row r="2480" customFormat="false" ht="15" hidden="false" customHeight="false" outlineLevel="0" collapsed="false">
      <c r="A2480" s="0" t="s">
        <v>211</v>
      </c>
      <c r="B2480" s="0" t="n">
        <v>2014</v>
      </c>
      <c r="C2480" s="0" t="s">
        <v>21</v>
      </c>
      <c r="D2480" s="0" t="n">
        <v>-2.18278728425503E-011</v>
      </c>
      <c r="E2480" s="0" t="s">
        <v>522</v>
      </c>
    </row>
    <row r="2481" customFormat="false" ht="15" hidden="false" customHeight="false" outlineLevel="0" collapsed="false">
      <c r="A2481" s="0" t="s">
        <v>211</v>
      </c>
      <c r="B2481" s="0" t="n">
        <v>2015</v>
      </c>
      <c r="C2481" s="0" t="s">
        <v>54</v>
      </c>
      <c r="D2481" s="0" t="n">
        <v>2273.205</v>
      </c>
      <c r="E2481" s="0" t="s">
        <v>521</v>
      </c>
      <c r="G2481" s="0" t="s">
        <v>81</v>
      </c>
    </row>
    <row r="2482" customFormat="false" ht="15" hidden="false" customHeight="false" outlineLevel="0" collapsed="false">
      <c r="A2482" s="0" t="s">
        <v>211</v>
      </c>
      <c r="B2482" s="0" t="n">
        <v>2015</v>
      </c>
      <c r="C2482" s="0" t="s">
        <v>55</v>
      </c>
      <c r="D2482" s="0" t="n">
        <v>396743.314</v>
      </c>
      <c r="E2482" s="0" t="s">
        <v>521</v>
      </c>
      <c r="G2482" s="0" t="s">
        <v>81</v>
      </c>
    </row>
    <row r="2483" customFormat="false" ht="15" hidden="false" customHeight="false" outlineLevel="0" collapsed="false">
      <c r="A2483" s="0" t="s">
        <v>211</v>
      </c>
      <c r="B2483" s="0" t="n">
        <v>2015</v>
      </c>
      <c r="C2483" s="0" t="s">
        <v>56</v>
      </c>
      <c r="D2483" s="0" t="n">
        <v>350679.204</v>
      </c>
      <c r="E2483" s="0" t="s">
        <v>521</v>
      </c>
      <c r="G2483" s="0" t="s">
        <v>81</v>
      </c>
    </row>
    <row r="2484" customFormat="false" ht="15" hidden="false" customHeight="false" outlineLevel="0" collapsed="false">
      <c r="A2484" s="0" t="s">
        <v>211</v>
      </c>
      <c r="B2484" s="0" t="n">
        <v>2015</v>
      </c>
      <c r="C2484" s="0" t="s">
        <v>57</v>
      </c>
      <c r="D2484" s="0" t="n">
        <v>46064.11</v>
      </c>
      <c r="E2484" s="0" t="s">
        <v>521</v>
      </c>
      <c r="G2484" s="0" t="s">
        <v>81</v>
      </c>
    </row>
    <row r="2485" customFormat="false" ht="15" hidden="false" customHeight="false" outlineLevel="0" collapsed="false">
      <c r="A2485" s="0" t="s">
        <v>211</v>
      </c>
      <c r="B2485" s="0" t="n">
        <v>2015</v>
      </c>
      <c r="C2485" s="0" t="s">
        <v>58</v>
      </c>
      <c r="D2485" s="0" t="n">
        <v>14676.273</v>
      </c>
      <c r="E2485" s="0" t="s">
        <v>521</v>
      </c>
      <c r="G2485" s="0" t="s">
        <v>81</v>
      </c>
    </row>
    <row r="2486" customFormat="false" ht="15" hidden="false" customHeight="false" outlineLevel="0" collapsed="false">
      <c r="A2486" s="0" t="s">
        <v>211</v>
      </c>
      <c r="B2486" s="0" t="n">
        <v>2015</v>
      </c>
      <c r="C2486" s="0" t="s">
        <v>59</v>
      </c>
      <c r="D2486" s="0" t="n">
        <v>382562.312</v>
      </c>
      <c r="E2486" s="0" t="s">
        <v>521</v>
      </c>
      <c r="G2486" s="0" t="s">
        <v>81</v>
      </c>
    </row>
    <row r="2487" customFormat="false" ht="15" hidden="false" customHeight="false" outlineLevel="0" collapsed="false">
      <c r="A2487" s="0" t="s">
        <v>211</v>
      </c>
      <c r="B2487" s="0" t="n">
        <v>2015</v>
      </c>
      <c r="C2487" s="0" t="s">
        <v>60</v>
      </c>
      <c r="D2487" s="0" t="n">
        <v>188022.922</v>
      </c>
      <c r="E2487" s="0" t="s">
        <v>521</v>
      </c>
      <c r="G2487" s="0" t="s">
        <v>81</v>
      </c>
    </row>
    <row r="2488" customFormat="false" ht="15" hidden="false" customHeight="false" outlineLevel="0" collapsed="false">
      <c r="A2488" s="0" t="s">
        <v>211</v>
      </c>
      <c r="B2488" s="0" t="n">
        <v>2015</v>
      </c>
      <c r="C2488" s="0" t="s">
        <v>61</v>
      </c>
      <c r="D2488" s="0" t="n">
        <v>2426.332</v>
      </c>
      <c r="E2488" s="0" t="s">
        <v>521</v>
      </c>
      <c r="G2488" s="0" t="s">
        <v>81</v>
      </c>
    </row>
    <row r="2489" customFormat="false" ht="15" hidden="false" customHeight="false" outlineLevel="0" collapsed="false">
      <c r="A2489" s="0" t="s">
        <v>211</v>
      </c>
      <c r="B2489" s="0" t="n">
        <v>2015</v>
      </c>
      <c r="C2489" s="0" t="s">
        <v>63</v>
      </c>
      <c r="D2489" s="0" t="n">
        <v>-77.64</v>
      </c>
      <c r="E2489" s="0" t="s">
        <v>521</v>
      </c>
      <c r="G2489" s="0" t="s">
        <v>81</v>
      </c>
    </row>
    <row r="2490" customFormat="false" ht="15" hidden="false" customHeight="false" outlineLevel="0" collapsed="false">
      <c r="A2490" s="0" t="s">
        <v>211</v>
      </c>
      <c r="B2490" s="0" t="n">
        <v>2015</v>
      </c>
      <c r="C2490" s="0" t="s">
        <v>327</v>
      </c>
      <c r="D2490" s="0" t="n">
        <v>2.67</v>
      </c>
      <c r="E2490" s="0" t="s">
        <v>521</v>
      </c>
      <c r="G2490" s="0" t="s">
        <v>81</v>
      </c>
    </row>
    <row r="2491" customFormat="false" ht="15" hidden="false" customHeight="false" outlineLevel="0" collapsed="false">
      <c r="A2491" s="0" t="s">
        <v>211</v>
      </c>
      <c r="B2491" s="0" t="n">
        <v>2015</v>
      </c>
      <c r="C2491" s="0" t="s">
        <v>69</v>
      </c>
      <c r="D2491" s="0" t="n">
        <v>15.09</v>
      </c>
      <c r="E2491" s="0" t="s">
        <v>521</v>
      </c>
      <c r="G2491" s="0" t="s">
        <v>81</v>
      </c>
    </row>
    <row r="2492" customFormat="false" ht="15" hidden="false" customHeight="false" outlineLevel="0" collapsed="false">
      <c r="A2492" s="0" t="s">
        <v>211</v>
      </c>
      <c r="B2492" s="0" t="n">
        <v>2015</v>
      </c>
      <c r="C2492" s="0" t="s">
        <v>19</v>
      </c>
      <c r="D2492" s="0" t="n">
        <v>389652.813</v>
      </c>
      <c r="E2492" s="0" t="s">
        <v>522</v>
      </c>
    </row>
    <row r="2493" customFormat="false" ht="15" hidden="false" customHeight="false" outlineLevel="0" collapsed="false">
      <c r="A2493" s="0" t="s">
        <v>211</v>
      </c>
      <c r="B2493" s="0" t="n">
        <v>2015</v>
      </c>
      <c r="C2493" s="0" t="s">
        <v>41</v>
      </c>
      <c r="D2493" s="0" t="n">
        <v>0.583392426323893</v>
      </c>
      <c r="E2493" s="0" t="s">
        <v>522</v>
      </c>
    </row>
    <row r="2494" customFormat="false" ht="15" hidden="false" customHeight="false" outlineLevel="0" collapsed="false">
      <c r="A2494" s="0" t="s">
        <v>211</v>
      </c>
      <c r="B2494" s="0" t="n">
        <v>2015</v>
      </c>
      <c r="C2494" s="0" t="s">
        <v>27</v>
      </c>
      <c r="D2494" s="0" t="n">
        <v>11.6105573489261</v>
      </c>
      <c r="E2494" s="0" t="s">
        <v>522</v>
      </c>
    </row>
    <row r="2495" customFormat="false" ht="15" hidden="false" customHeight="false" outlineLevel="0" collapsed="false">
      <c r="A2495" s="0" t="s">
        <v>211</v>
      </c>
      <c r="B2495" s="0" t="n">
        <v>2015</v>
      </c>
      <c r="C2495" s="0" t="s">
        <v>39</v>
      </c>
      <c r="D2495" s="0" t="n">
        <v>3.76649994825009</v>
      </c>
      <c r="E2495" s="0" t="s">
        <v>522</v>
      </c>
    </row>
    <row r="2496" customFormat="false" ht="15" hidden="false" customHeight="false" outlineLevel="0" collapsed="false">
      <c r="A2496" s="0" t="s">
        <v>211</v>
      </c>
      <c r="B2496" s="0" t="n">
        <v>2015</v>
      </c>
      <c r="C2496" s="0" t="s">
        <v>17</v>
      </c>
      <c r="D2496" s="0" t="n">
        <v>1.29044478949221</v>
      </c>
      <c r="E2496" s="0" t="s">
        <v>522</v>
      </c>
    </row>
    <row r="2497" customFormat="false" ht="15" hidden="false" customHeight="false" outlineLevel="0" collapsed="false">
      <c r="A2497" s="0" t="s">
        <v>211</v>
      </c>
      <c r="B2497" s="0" t="n">
        <v>2015</v>
      </c>
      <c r="C2497" s="0" t="s">
        <v>29</v>
      </c>
      <c r="D2497" s="0" t="n">
        <v>-0.0199254303856392</v>
      </c>
      <c r="E2497" s="0" t="s">
        <v>522</v>
      </c>
    </row>
    <row r="2498" customFormat="false" ht="15" hidden="false" customHeight="false" outlineLevel="0" collapsed="false">
      <c r="A2498" s="0" t="s">
        <v>211</v>
      </c>
      <c r="B2498" s="0" t="n">
        <v>2015</v>
      </c>
      <c r="C2498" s="0" t="s">
        <v>43</v>
      </c>
      <c r="D2498" s="0" t="n">
        <v>0.572966177320382</v>
      </c>
      <c r="E2498" s="0" t="s">
        <v>522</v>
      </c>
    </row>
    <row r="2499" customFormat="false" ht="15" hidden="false" customHeight="false" outlineLevel="0" collapsed="false">
      <c r="A2499" s="0" t="s">
        <v>211</v>
      </c>
      <c r="B2499" s="0" t="n">
        <v>2015</v>
      </c>
      <c r="C2499" s="0" t="s">
        <v>31</v>
      </c>
      <c r="D2499" s="0" t="n">
        <v>88.3894426510739</v>
      </c>
      <c r="E2499" s="0" t="s">
        <v>522</v>
      </c>
    </row>
    <row r="2500" customFormat="false" ht="15" hidden="false" customHeight="false" outlineLevel="0" collapsed="false">
      <c r="A2500" s="0" t="s">
        <v>211</v>
      </c>
      <c r="B2500" s="0" t="n">
        <v>2015</v>
      </c>
      <c r="C2500" s="0" t="s">
        <v>33</v>
      </c>
      <c r="D2500" s="0" t="n">
        <v>12.8910447863248</v>
      </c>
      <c r="E2500" s="0" t="s">
        <v>522</v>
      </c>
    </row>
    <row r="2501" customFormat="false" ht="15" hidden="false" customHeight="false" outlineLevel="0" collapsed="false">
      <c r="A2501" s="0" t="s">
        <v>211</v>
      </c>
      <c r="B2501" s="0" t="n">
        <v>2015</v>
      </c>
      <c r="C2501" s="0" t="s">
        <v>21</v>
      </c>
      <c r="D2501" s="0" t="n">
        <v>-1.45519152283669E-011</v>
      </c>
      <c r="E2501" s="0" t="s">
        <v>522</v>
      </c>
    </row>
    <row r="2502" customFormat="false" ht="15" hidden="false" customHeight="false" outlineLevel="0" collapsed="false">
      <c r="A2502" s="0" t="s">
        <v>211</v>
      </c>
      <c r="B2502" s="0" t="n">
        <v>2016</v>
      </c>
      <c r="C2502" s="0" t="s">
        <v>54</v>
      </c>
      <c r="D2502" s="0" t="n">
        <v>2591.8</v>
      </c>
      <c r="E2502" s="0" t="s">
        <v>521</v>
      </c>
      <c r="G2502" s="0" t="s">
        <v>81</v>
      </c>
    </row>
    <row r="2503" customFormat="false" ht="15" hidden="false" customHeight="false" outlineLevel="0" collapsed="false">
      <c r="A2503" s="0" t="s">
        <v>211</v>
      </c>
      <c r="B2503" s="0" t="n">
        <v>2016</v>
      </c>
      <c r="C2503" s="0" t="s">
        <v>55</v>
      </c>
      <c r="D2503" s="0" t="n">
        <v>421221.036</v>
      </c>
      <c r="E2503" s="0" t="s">
        <v>521</v>
      </c>
      <c r="G2503" s="0" t="s">
        <v>81</v>
      </c>
    </row>
    <row r="2504" customFormat="false" ht="15" hidden="false" customHeight="false" outlineLevel="0" collapsed="false">
      <c r="A2504" s="0" t="s">
        <v>211</v>
      </c>
      <c r="B2504" s="0" t="n">
        <v>2016</v>
      </c>
      <c r="C2504" s="0" t="s">
        <v>56</v>
      </c>
      <c r="D2504" s="0" t="n">
        <v>372719.082</v>
      </c>
      <c r="E2504" s="0" t="s">
        <v>521</v>
      </c>
      <c r="G2504" s="0" t="s">
        <v>81</v>
      </c>
    </row>
    <row r="2505" customFormat="false" ht="15" hidden="false" customHeight="false" outlineLevel="0" collapsed="false">
      <c r="A2505" s="0" t="s">
        <v>211</v>
      </c>
      <c r="B2505" s="0" t="n">
        <v>2016</v>
      </c>
      <c r="C2505" s="0" t="s">
        <v>57</v>
      </c>
      <c r="D2505" s="0" t="n">
        <v>48501.954</v>
      </c>
      <c r="E2505" s="0" t="s">
        <v>521</v>
      </c>
      <c r="G2505" s="0" t="s">
        <v>81</v>
      </c>
    </row>
    <row r="2506" customFormat="false" ht="15" hidden="false" customHeight="false" outlineLevel="0" collapsed="false">
      <c r="A2506" s="0" t="s">
        <v>211</v>
      </c>
      <c r="B2506" s="0" t="n">
        <v>2016</v>
      </c>
      <c r="C2506" s="0" t="s">
        <v>58</v>
      </c>
      <c r="D2506" s="0" t="n">
        <v>15892.427</v>
      </c>
      <c r="E2506" s="0" t="s">
        <v>521</v>
      </c>
      <c r="G2506" s="0" t="s">
        <v>81</v>
      </c>
    </row>
    <row r="2507" customFormat="false" ht="15" hidden="false" customHeight="false" outlineLevel="0" collapsed="false">
      <c r="A2507" s="0" t="s">
        <v>211</v>
      </c>
      <c r="B2507" s="0" t="n">
        <v>2016</v>
      </c>
      <c r="C2507" s="0" t="s">
        <v>59</v>
      </c>
      <c r="D2507" s="0" t="n">
        <v>396743.314</v>
      </c>
      <c r="E2507" s="0" t="s">
        <v>521</v>
      </c>
      <c r="G2507" s="0" t="s">
        <v>81</v>
      </c>
    </row>
    <row r="2508" customFormat="false" ht="15" hidden="false" customHeight="false" outlineLevel="0" collapsed="false">
      <c r="A2508" s="0" t="s">
        <v>211</v>
      </c>
      <c r="B2508" s="0" t="n">
        <v>2016</v>
      </c>
      <c r="C2508" s="0" t="s">
        <v>63</v>
      </c>
      <c r="D2508" s="0" t="n">
        <v>412.401</v>
      </c>
      <c r="E2508" s="0" t="s">
        <v>521</v>
      </c>
      <c r="G2508" s="0" t="s">
        <v>81</v>
      </c>
    </row>
    <row r="2509" customFormat="false" ht="15" hidden="false" customHeight="false" outlineLevel="0" collapsed="false">
      <c r="A2509" s="0" t="s">
        <v>211</v>
      </c>
      <c r="B2509" s="0" t="n">
        <v>2016</v>
      </c>
      <c r="C2509" s="0" t="s">
        <v>73</v>
      </c>
      <c r="D2509" s="0" t="n">
        <v>0</v>
      </c>
      <c r="E2509" s="0" t="s">
        <v>539</v>
      </c>
      <c r="F2509" s="0" t="s">
        <v>363</v>
      </c>
      <c r="G2509" s="0" t="s">
        <v>1490</v>
      </c>
      <c r="H2509" s="0" t="s">
        <v>368</v>
      </c>
    </row>
    <row r="2510" customFormat="false" ht="15" hidden="false" customHeight="false" outlineLevel="0" collapsed="false">
      <c r="A2510" s="0" t="s">
        <v>211</v>
      </c>
      <c r="B2510" s="0" t="n">
        <v>2016</v>
      </c>
      <c r="C2510" s="0" t="s">
        <v>19</v>
      </c>
      <c r="D2510" s="0" t="n">
        <v>408982.175</v>
      </c>
      <c r="E2510" s="0" t="s">
        <v>522</v>
      </c>
    </row>
    <row r="2511" customFormat="false" ht="15" hidden="false" customHeight="false" outlineLevel="0" collapsed="false">
      <c r="A2511" s="0" t="s">
        <v>211</v>
      </c>
      <c r="B2511" s="0" t="n">
        <v>2016</v>
      </c>
      <c r="C2511" s="0" t="s">
        <v>41</v>
      </c>
      <c r="D2511" s="0" t="n">
        <v>0.633719550246903</v>
      </c>
      <c r="E2511" s="0" t="s">
        <v>522</v>
      </c>
    </row>
    <row r="2512" customFormat="false" ht="15" hidden="false" customHeight="false" outlineLevel="0" collapsed="false">
      <c r="A2512" s="0" t="s">
        <v>211</v>
      </c>
      <c r="B2512" s="0" t="n">
        <v>2016</v>
      </c>
      <c r="C2512" s="0" t="s">
        <v>27</v>
      </c>
      <c r="D2512" s="0" t="n">
        <v>11.5146086863525</v>
      </c>
      <c r="E2512" s="0" t="s">
        <v>522</v>
      </c>
    </row>
    <row r="2513" customFormat="false" ht="15" hidden="false" customHeight="false" outlineLevel="0" collapsed="false">
      <c r="A2513" s="0" t="s">
        <v>211</v>
      </c>
      <c r="B2513" s="0" t="n">
        <v>2016</v>
      </c>
      <c r="C2513" s="0" t="s">
        <v>39</v>
      </c>
      <c r="D2513" s="0" t="n">
        <v>3.88584832578584</v>
      </c>
      <c r="E2513" s="0" t="s">
        <v>522</v>
      </c>
    </row>
    <row r="2514" customFormat="false" ht="15" hidden="false" customHeight="false" outlineLevel="0" collapsed="false">
      <c r="A2514" s="0" t="s">
        <v>211</v>
      </c>
      <c r="B2514" s="0" t="n">
        <v>2016</v>
      </c>
      <c r="C2514" s="0" t="s">
        <v>29</v>
      </c>
      <c r="D2514" s="0" t="n">
        <v>0.100835934964647</v>
      </c>
      <c r="E2514" s="0" t="s">
        <v>522</v>
      </c>
    </row>
    <row r="2515" customFormat="false" ht="15" hidden="false" customHeight="false" outlineLevel="0" collapsed="false">
      <c r="A2515" s="0" t="s">
        <v>211</v>
      </c>
      <c r="B2515" s="0" t="n">
        <v>2016</v>
      </c>
      <c r="C2515" s="0" t="s">
        <v>43</v>
      </c>
      <c r="D2515" s="0" t="n">
        <v>0.615306401743905</v>
      </c>
      <c r="E2515" s="0" t="s">
        <v>522</v>
      </c>
    </row>
    <row r="2516" customFormat="false" ht="15" hidden="false" customHeight="false" outlineLevel="0" collapsed="false">
      <c r="A2516" s="0" t="s">
        <v>211</v>
      </c>
      <c r="B2516" s="0" t="n">
        <v>2016</v>
      </c>
      <c r="C2516" s="0" t="s">
        <v>31</v>
      </c>
      <c r="D2516" s="0" t="n">
        <v>88.4853913136475</v>
      </c>
      <c r="E2516" s="0" t="s">
        <v>522</v>
      </c>
    </row>
    <row r="2517" customFormat="false" ht="15" hidden="false" customHeight="false" outlineLevel="0" collapsed="false">
      <c r="A2517" s="0" t="s">
        <v>211</v>
      </c>
      <c r="B2517" s="0" t="n">
        <v>2016</v>
      </c>
      <c r="C2517" s="0" t="s">
        <v>33</v>
      </c>
      <c r="D2517" s="0" t="n">
        <v>12.9509130010148</v>
      </c>
      <c r="E2517" s="0" t="s">
        <v>522</v>
      </c>
    </row>
    <row r="2518" customFormat="false" ht="15" hidden="false" customHeight="false" outlineLevel="0" collapsed="false">
      <c r="A2518" s="0" t="s">
        <v>211</v>
      </c>
      <c r="B2518" s="0" t="n">
        <v>2016</v>
      </c>
      <c r="C2518" s="0" t="s">
        <v>21</v>
      </c>
      <c r="D2518" s="0" t="n">
        <v>2.91038304567337E-011</v>
      </c>
      <c r="E2518" s="0" t="s">
        <v>522</v>
      </c>
    </row>
    <row r="2519" customFormat="false" ht="15" hidden="false" customHeight="false" outlineLevel="0" collapsed="false">
      <c r="A2519" s="0" t="s">
        <v>211</v>
      </c>
      <c r="B2519" s="0" t="n">
        <v>2017</v>
      </c>
      <c r="C2519" s="0" t="s">
        <v>54</v>
      </c>
      <c r="D2519" s="0" t="n">
        <v>2301.158</v>
      </c>
      <c r="E2519" s="0" t="s">
        <v>521</v>
      </c>
      <c r="G2519" s="0" t="s">
        <v>81</v>
      </c>
    </row>
    <row r="2520" customFormat="false" ht="15" hidden="false" customHeight="false" outlineLevel="0" collapsed="false">
      <c r="A2520" s="0" t="s">
        <v>211</v>
      </c>
      <c r="B2520" s="0" t="n">
        <v>2017</v>
      </c>
      <c r="C2520" s="0" t="s">
        <v>55</v>
      </c>
      <c r="D2520" s="0" t="n">
        <v>384779.809</v>
      </c>
      <c r="E2520" s="0" t="s">
        <v>521</v>
      </c>
      <c r="G2520" s="0" t="s">
        <v>81</v>
      </c>
    </row>
    <row r="2521" customFormat="false" ht="15" hidden="false" customHeight="false" outlineLevel="0" collapsed="false">
      <c r="A2521" s="0" t="s">
        <v>211</v>
      </c>
      <c r="B2521" s="0" t="n">
        <v>2017</v>
      </c>
      <c r="C2521" s="0" t="s">
        <v>56</v>
      </c>
      <c r="D2521" s="0" t="n">
        <v>335087.669</v>
      </c>
      <c r="E2521" s="0" t="s">
        <v>521</v>
      </c>
      <c r="G2521" s="0" t="s">
        <v>81</v>
      </c>
    </row>
    <row r="2522" customFormat="false" ht="15" hidden="false" customHeight="false" outlineLevel="0" collapsed="false">
      <c r="A2522" s="0" t="s">
        <v>211</v>
      </c>
      <c r="B2522" s="0" t="n">
        <v>2017</v>
      </c>
      <c r="C2522" s="0" t="s">
        <v>57</v>
      </c>
      <c r="D2522" s="0" t="n">
        <v>49692.14</v>
      </c>
      <c r="E2522" s="0" t="s">
        <v>521</v>
      </c>
      <c r="G2522" s="0" t="s">
        <v>81</v>
      </c>
    </row>
    <row r="2523" customFormat="false" ht="15" hidden="false" customHeight="false" outlineLevel="0" collapsed="false">
      <c r="A2523" s="0" t="s">
        <v>211</v>
      </c>
      <c r="B2523" s="0" t="n">
        <v>2017</v>
      </c>
      <c r="C2523" s="0" t="s">
        <v>58</v>
      </c>
      <c r="D2523" s="0" t="n">
        <v>-25950.964</v>
      </c>
      <c r="E2523" s="0" t="s">
        <v>521</v>
      </c>
      <c r="G2523" s="0" t="s">
        <v>81</v>
      </c>
    </row>
    <row r="2524" customFormat="false" ht="15" hidden="false" customHeight="false" outlineLevel="0" collapsed="false">
      <c r="A2524" s="0" t="s">
        <v>211</v>
      </c>
      <c r="B2524" s="0" t="n">
        <v>2017</v>
      </c>
      <c r="C2524" s="0" t="s">
        <v>59</v>
      </c>
      <c r="D2524" s="0" t="n">
        <v>421221.036</v>
      </c>
      <c r="E2524" s="0" t="s">
        <v>521</v>
      </c>
      <c r="G2524" s="0" t="s">
        <v>81</v>
      </c>
    </row>
    <row r="2525" customFormat="false" ht="15" hidden="false" customHeight="false" outlineLevel="0" collapsed="false">
      <c r="A2525" s="0" t="s">
        <v>211</v>
      </c>
      <c r="B2525" s="0" t="n">
        <v>2017</v>
      </c>
      <c r="C2525" s="0" t="s">
        <v>60</v>
      </c>
      <c r="D2525" s="0" t="n">
        <v>220076.031</v>
      </c>
      <c r="E2525" s="0" t="s">
        <v>521</v>
      </c>
      <c r="G2525" s="0" t="s">
        <v>81</v>
      </c>
    </row>
    <row r="2526" customFormat="false" ht="15" hidden="false" customHeight="false" outlineLevel="0" collapsed="false">
      <c r="A2526" s="0" t="s">
        <v>211</v>
      </c>
      <c r="B2526" s="0" t="n">
        <v>2017</v>
      </c>
      <c r="C2526" s="0" t="s">
        <v>61</v>
      </c>
      <c r="D2526" s="0" t="n">
        <v>4236.001</v>
      </c>
      <c r="E2526" s="0" t="s">
        <v>521</v>
      </c>
      <c r="G2526" s="0" t="s">
        <v>81</v>
      </c>
    </row>
    <row r="2527" customFormat="false" ht="15" hidden="false" customHeight="false" outlineLevel="0" collapsed="false">
      <c r="A2527" s="0" t="s">
        <v>211</v>
      </c>
      <c r="B2527" s="0" t="n">
        <v>2017</v>
      </c>
      <c r="C2527" s="0" t="s">
        <v>63</v>
      </c>
      <c r="D2527" s="0" t="n">
        <v>2179.798</v>
      </c>
      <c r="E2527" s="0" t="s">
        <v>521</v>
      </c>
      <c r="G2527" s="0" t="s">
        <v>81</v>
      </c>
    </row>
    <row r="2528" customFormat="false" ht="15" hidden="false" customHeight="false" outlineLevel="0" collapsed="false">
      <c r="A2528" s="0" t="s">
        <v>211</v>
      </c>
      <c r="B2528" s="0" t="n">
        <v>2017</v>
      </c>
      <c r="C2528" s="0" t="s">
        <v>327</v>
      </c>
      <c r="D2528" s="0" t="n">
        <v>3.52</v>
      </c>
      <c r="E2528" s="0" t="s">
        <v>521</v>
      </c>
      <c r="G2528" s="0" t="s">
        <v>81</v>
      </c>
    </row>
    <row r="2529" customFormat="false" ht="15" hidden="false" customHeight="false" outlineLevel="0" collapsed="false">
      <c r="A2529" s="0" t="s">
        <v>211</v>
      </c>
      <c r="B2529" s="0" t="n">
        <v>2017</v>
      </c>
      <c r="C2529" s="0" t="s">
        <v>69</v>
      </c>
      <c r="D2529" s="0" t="n">
        <v>14.32</v>
      </c>
      <c r="E2529" s="0" t="s">
        <v>521</v>
      </c>
      <c r="G2529" s="0" t="s">
        <v>81</v>
      </c>
    </row>
    <row r="2530" customFormat="false" ht="15" hidden="false" customHeight="false" outlineLevel="0" collapsed="false">
      <c r="A2530" s="0" t="s">
        <v>211</v>
      </c>
      <c r="B2530" s="0" t="n">
        <v>2017</v>
      </c>
      <c r="C2530" s="0" t="s">
        <v>71</v>
      </c>
      <c r="D2530" s="0" t="n">
        <v>26.25</v>
      </c>
      <c r="E2530" s="0" t="s">
        <v>521</v>
      </c>
      <c r="G2530" s="0" t="s">
        <v>81</v>
      </c>
    </row>
    <row r="2531" customFormat="false" ht="15" hidden="false" customHeight="false" outlineLevel="0" collapsed="false">
      <c r="A2531" s="0" t="s">
        <v>211</v>
      </c>
      <c r="B2531" s="0" t="n">
        <v>2017</v>
      </c>
      <c r="C2531" s="0" t="s">
        <v>19</v>
      </c>
      <c r="D2531" s="0" t="n">
        <v>403000.4225</v>
      </c>
      <c r="E2531" s="0" t="s">
        <v>522</v>
      </c>
    </row>
    <row r="2532" customFormat="false" ht="15" hidden="false" customHeight="false" outlineLevel="0" collapsed="false">
      <c r="A2532" s="0" t="s">
        <v>211</v>
      </c>
      <c r="B2532" s="0" t="n">
        <v>2017</v>
      </c>
      <c r="C2532" s="0" t="s">
        <v>41</v>
      </c>
      <c r="D2532" s="0" t="n">
        <v>0.57100634925513</v>
      </c>
      <c r="E2532" s="0" t="s">
        <v>522</v>
      </c>
    </row>
    <row r="2533" customFormat="false" ht="15" hidden="false" customHeight="false" outlineLevel="0" collapsed="false">
      <c r="A2533" s="0" t="s">
        <v>211</v>
      </c>
      <c r="B2533" s="0" t="n">
        <v>2017</v>
      </c>
      <c r="C2533" s="0" t="s">
        <v>27</v>
      </c>
      <c r="D2533" s="0" t="n">
        <v>12.9144354349425</v>
      </c>
      <c r="E2533" s="0" t="s">
        <v>522</v>
      </c>
    </row>
    <row r="2534" customFormat="false" ht="15" hidden="false" customHeight="false" outlineLevel="0" collapsed="false">
      <c r="A2534" s="0" t="s">
        <v>211</v>
      </c>
      <c r="B2534" s="0" t="n">
        <v>2017</v>
      </c>
      <c r="C2534" s="0" t="s">
        <v>39</v>
      </c>
      <c r="D2534" s="0" t="n">
        <v>-6.43943841026618</v>
      </c>
      <c r="E2534" s="0" t="s">
        <v>522</v>
      </c>
    </row>
    <row r="2535" customFormat="false" ht="15" hidden="false" customHeight="false" outlineLevel="0" collapsed="false">
      <c r="A2535" s="0" t="s">
        <v>211</v>
      </c>
      <c r="B2535" s="0" t="n">
        <v>2017</v>
      </c>
      <c r="C2535" s="0" t="s">
        <v>17</v>
      </c>
      <c r="D2535" s="0" t="n">
        <v>1.92478980139368</v>
      </c>
      <c r="E2535" s="0" t="s">
        <v>522</v>
      </c>
    </row>
    <row r="2536" customFormat="false" ht="15" hidden="false" customHeight="false" outlineLevel="0" collapsed="false">
      <c r="A2536" s="0" t="s">
        <v>211</v>
      </c>
      <c r="B2536" s="0" t="n">
        <v>2017</v>
      </c>
      <c r="C2536" s="0" t="s">
        <v>29</v>
      </c>
      <c r="D2536" s="0" t="n">
        <v>0.540892236905781</v>
      </c>
      <c r="E2536" s="0" t="s">
        <v>522</v>
      </c>
    </row>
    <row r="2537" customFormat="false" ht="15" hidden="false" customHeight="false" outlineLevel="0" collapsed="false">
      <c r="A2537" s="0" t="s">
        <v>211</v>
      </c>
      <c r="B2537" s="0" t="n">
        <v>2017</v>
      </c>
      <c r="C2537" s="0" t="s">
        <v>43</v>
      </c>
      <c r="D2537" s="0" t="n">
        <v>0.598045413552352</v>
      </c>
      <c r="E2537" s="0" t="s">
        <v>522</v>
      </c>
    </row>
    <row r="2538" customFormat="false" ht="15" hidden="false" customHeight="false" outlineLevel="0" collapsed="false">
      <c r="A2538" s="0" t="s">
        <v>211</v>
      </c>
      <c r="B2538" s="0" t="n">
        <v>2017</v>
      </c>
      <c r="C2538" s="0" t="s">
        <v>31</v>
      </c>
      <c r="D2538" s="0" t="n">
        <v>87.0855645650575</v>
      </c>
      <c r="E2538" s="0" t="s">
        <v>522</v>
      </c>
    </row>
    <row r="2539" customFormat="false" ht="15" hidden="false" customHeight="false" outlineLevel="0" collapsed="false">
      <c r="A2539" s="0" t="s">
        <v>211</v>
      </c>
      <c r="B2539" s="0" t="n">
        <v>2017</v>
      </c>
      <c r="C2539" s="0" t="s">
        <v>33</v>
      </c>
      <c r="D2539" s="0" t="n">
        <v>12.8604265249833</v>
      </c>
      <c r="E2539" s="0" t="s">
        <v>522</v>
      </c>
    </row>
    <row r="2540" customFormat="false" ht="15" hidden="false" customHeight="false" outlineLevel="0" collapsed="false">
      <c r="A2540" s="0" t="s">
        <v>211</v>
      </c>
      <c r="B2540" s="0" t="n">
        <v>2017</v>
      </c>
      <c r="C2540" s="0" t="s">
        <v>21</v>
      </c>
      <c r="D2540" s="0" t="n">
        <v>1.45519152283669E-011</v>
      </c>
      <c r="E2540" s="0" t="s">
        <v>522</v>
      </c>
    </row>
    <row r="2541" customFormat="false" ht="15" hidden="false" customHeight="false" outlineLevel="0" collapsed="false">
      <c r="A2541" s="0" t="s">
        <v>211</v>
      </c>
      <c r="B2541" s="0" t="n">
        <v>2018</v>
      </c>
      <c r="C2541" s="0" t="s">
        <v>54</v>
      </c>
      <c r="D2541" s="0" t="n">
        <v>3359.259</v>
      </c>
      <c r="E2541" s="0" t="s">
        <v>521</v>
      </c>
      <c r="G2541" s="0" t="s">
        <v>81</v>
      </c>
    </row>
    <row r="2542" customFormat="false" ht="15" hidden="false" customHeight="false" outlineLevel="0" collapsed="false">
      <c r="A2542" s="0" t="s">
        <v>211</v>
      </c>
      <c r="B2542" s="0" t="n">
        <v>2018</v>
      </c>
      <c r="C2542" s="0" t="s">
        <v>55</v>
      </c>
      <c r="D2542" s="0" t="n">
        <v>477915.742</v>
      </c>
      <c r="E2542" s="0" t="s">
        <v>521</v>
      </c>
      <c r="G2542" s="0" t="s">
        <v>81</v>
      </c>
    </row>
    <row r="2543" customFormat="false" ht="15" hidden="false" customHeight="false" outlineLevel="0" collapsed="false">
      <c r="A2543" s="0" t="s">
        <v>211</v>
      </c>
      <c r="B2543" s="0" t="n">
        <v>2018</v>
      </c>
      <c r="C2543" s="0" t="s">
        <v>56</v>
      </c>
      <c r="D2543" s="0" t="n">
        <v>426916.863</v>
      </c>
      <c r="E2543" s="0" t="s">
        <v>521</v>
      </c>
      <c r="G2543" s="0" t="s">
        <v>81</v>
      </c>
    </row>
    <row r="2544" customFormat="false" ht="15" hidden="false" customHeight="false" outlineLevel="0" collapsed="false">
      <c r="A2544" s="0" t="s">
        <v>211</v>
      </c>
      <c r="B2544" s="0" t="n">
        <v>2018</v>
      </c>
      <c r="C2544" s="0" t="s">
        <v>57</v>
      </c>
      <c r="D2544" s="0" t="n">
        <v>50998.879</v>
      </c>
      <c r="E2544" s="0" t="s">
        <v>521</v>
      </c>
      <c r="G2544" s="0" t="s">
        <v>81</v>
      </c>
    </row>
    <row r="2545" customFormat="false" ht="15" hidden="false" customHeight="false" outlineLevel="0" collapsed="false">
      <c r="A2545" s="0" t="s">
        <v>211</v>
      </c>
      <c r="B2545" s="0" t="n">
        <v>2018</v>
      </c>
      <c r="C2545" s="0" t="s">
        <v>58</v>
      </c>
      <c r="D2545" s="0" t="n">
        <v>49309.182</v>
      </c>
      <c r="E2545" s="0" t="s">
        <v>521</v>
      </c>
      <c r="G2545" s="0" t="s">
        <v>81</v>
      </c>
    </row>
    <row r="2546" customFormat="false" ht="15" hidden="false" customHeight="false" outlineLevel="0" collapsed="false">
      <c r="A2546" s="0" t="s">
        <v>211</v>
      </c>
      <c r="B2546" s="0" t="n">
        <v>2018</v>
      </c>
      <c r="C2546" s="0" t="s">
        <v>59</v>
      </c>
      <c r="D2546" s="0" t="n">
        <v>384779.809</v>
      </c>
      <c r="E2546" s="0" t="s">
        <v>521</v>
      </c>
      <c r="G2546" s="0" t="s">
        <v>81</v>
      </c>
    </row>
    <row r="2547" customFormat="false" ht="15" hidden="false" customHeight="false" outlineLevel="0" collapsed="false">
      <c r="A2547" s="0" t="s">
        <v>211</v>
      </c>
      <c r="B2547" s="0" t="n">
        <v>2018</v>
      </c>
      <c r="C2547" s="0" t="s">
        <v>60</v>
      </c>
      <c r="D2547" s="0" t="n">
        <v>261583.723</v>
      </c>
      <c r="E2547" s="0" t="s">
        <v>521</v>
      </c>
      <c r="G2547" s="0" t="s">
        <v>81</v>
      </c>
    </row>
    <row r="2548" customFormat="false" ht="15" hidden="false" customHeight="false" outlineLevel="0" collapsed="false">
      <c r="A2548" s="0" t="s">
        <v>211</v>
      </c>
      <c r="B2548" s="0" t="n">
        <v>2018</v>
      </c>
      <c r="C2548" s="0" t="s">
        <v>61</v>
      </c>
      <c r="D2548" s="0" t="n">
        <v>9394.11</v>
      </c>
      <c r="E2548" s="0" t="s">
        <v>521</v>
      </c>
      <c r="G2548" s="0" t="s">
        <v>81</v>
      </c>
    </row>
    <row r="2549" customFormat="false" ht="15" hidden="false" customHeight="false" outlineLevel="0" collapsed="false">
      <c r="A2549" s="0" t="s">
        <v>211</v>
      </c>
      <c r="B2549" s="0" t="n">
        <v>2018</v>
      </c>
      <c r="C2549" s="0" t="s">
        <v>63</v>
      </c>
      <c r="D2549" s="0" t="n">
        <v>3510.537</v>
      </c>
      <c r="E2549" s="0" t="s">
        <v>521</v>
      </c>
      <c r="G2549" s="0" t="s">
        <v>81</v>
      </c>
    </row>
    <row r="2550" customFormat="false" ht="15" hidden="false" customHeight="false" outlineLevel="0" collapsed="false">
      <c r="A2550" s="0" t="s">
        <v>211</v>
      </c>
      <c r="B2550" s="0" t="n">
        <v>2018</v>
      </c>
      <c r="C2550" s="0" t="s">
        <v>327</v>
      </c>
      <c r="D2550" s="0" t="n">
        <v>4.98</v>
      </c>
      <c r="E2550" s="0" t="s">
        <v>521</v>
      </c>
      <c r="G2550" s="0" t="s">
        <v>81</v>
      </c>
    </row>
    <row r="2551" customFormat="false" ht="15" hidden="false" customHeight="false" outlineLevel="0" collapsed="false">
      <c r="A2551" s="0" t="s">
        <v>211</v>
      </c>
      <c r="B2551" s="0" t="n">
        <v>2018</v>
      </c>
      <c r="C2551" s="0" t="s">
        <v>69</v>
      </c>
      <c r="D2551" s="0" t="n">
        <v>18.01</v>
      </c>
      <c r="E2551" s="0" t="s">
        <v>521</v>
      </c>
      <c r="G2551" s="0" t="s">
        <v>81</v>
      </c>
    </row>
    <row r="2552" customFormat="false" ht="15" hidden="false" customHeight="false" outlineLevel="0" collapsed="false">
      <c r="A2552" s="0" t="s">
        <v>211</v>
      </c>
      <c r="B2552" s="0" t="n">
        <v>2018</v>
      </c>
      <c r="C2552" s="0" t="s">
        <v>71</v>
      </c>
      <c r="D2552" s="0" t="n">
        <v>34.64</v>
      </c>
      <c r="E2552" s="0" t="s">
        <v>521</v>
      </c>
      <c r="G2552" s="0" t="s">
        <v>81</v>
      </c>
    </row>
    <row r="2553" customFormat="false" ht="15" hidden="false" customHeight="false" outlineLevel="0" collapsed="false">
      <c r="A2553" s="0" t="s">
        <v>211</v>
      </c>
      <c r="B2553" s="0" t="n">
        <v>2018</v>
      </c>
      <c r="C2553" s="0" t="s">
        <v>73</v>
      </c>
      <c r="D2553" s="0" t="n">
        <v>0</v>
      </c>
      <c r="E2553" s="0" t="s">
        <v>521</v>
      </c>
      <c r="G2553" s="0" t="s">
        <v>81</v>
      </c>
    </row>
    <row r="2554" customFormat="false" ht="15" hidden="false" customHeight="false" outlineLevel="0" collapsed="false">
      <c r="A2554" s="0" t="s">
        <v>211</v>
      </c>
      <c r="B2554" s="0" t="n">
        <v>2018</v>
      </c>
      <c r="C2554" s="0" t="s">
        <v>19</v>
      </c>
      <c r="D2554" s="0" t="n">
        <v>431347.7755</v>
      </c>
      <c r="E2554" s="0" t="s">
        <v>522</v>
      </c>
    </row>
    <row r="2555" customFormat="false" ht="15" hidden="false" customHeight="false" outlineLevel="0" collapsed="false">
      <c r="A2555" s="0" t="s">
        <v>211</v>
      </c>
      <c r="B2555" s="0" t="n">
        <v>2018</v>
      </c>
      <c r="C2555" s="0" t="s">
        <v>41</v>
      </c>
      <c r="D2555" s="0" t="n">
        <v>0.778782038717156</v>
      </c>
      <c r="E2555" s="0" t="s">
        <v>522</v>
      </c>
    </row>
    <row r="2556" customFormat="false" ht="15" hidden="false" customHeight="false" outlineLevel="0" collapsed="false">
      <c r="A2556" s="0" t="s">
        <v>211</v>
      </c>
      <c r="B2556" s="0" t="n">
        <v>2018</v>
      </c>
      <c r="C2556" s="0" t="s">
        <v>27</v>
      </c>
      <c r="D2556" s="0" t="n">
        <v>10.6711025643512</v>
      </c>
      <c r="E2556" s="0" t="s">
        <v>522</v>
      </c>
    </row>
    <row r="2557" customFormat="false" ht="15" hidden="false" customHeight="false" outlineLevel="0" collapsed="false">
      <c r="A2557" s="0" t="s">
        <v>211</v>
      </c>
      <c r="B2557" s="0" t="n">
        <v>2018</v>
      </c>
      <c r="C2557" s="0" t="s">
        <v>39</v>
      </c>
      <c r="D2557" s="0" t="n">
        <v>11.431421419258</v>
      </c>
      <c r="E2557" s="0" t="s">
        <v>522</v>
      </c>
    </row>
    <row r="2558" customFormat="false" ht="15" hidden="false" customHeight="false" outlineLevel="0" collapsed="false">
      <c r="A2558" s="0" t="s">
        <v>211</v>
      </c>
      <c r="B2558" s="0" t="n">
        <v>2018</v>
      </c>
      <c r="C2558" s="0" t="s">
        <v>17</v>
      </c>
      <c r="D2558" s="0" t="n">
        <v>3.59124409281383</v>
      </c>
      <c r="E2558" s="0" t="s">
        <v>522</v>
      </c>
    </row>
    <row r="2559" customFormat="false" ht="15" hidden="false" customHeight="false" outlineLevel="0" collapsed="false">
      <c r="A2559" s="0" t="s">
        <v>211</v>
      </c>
      <c r="B2559" s="0" t="n">
        <v>2018</v>
      </c>
      <c r="C2559" s="0" t="s">
        <v>29</v>
      </c>
      <c r="D2559" s="0" t="n">
        <v>0.813853043737327</v>
      </c>
      <c r="E2559" s="0" t="s">
        <v>522</v>
      </c>
    </row>
    <row r="2560" customFormat="false" ht="15" hidden="false" customHeight="false" outlineLevel="0" collapsed="false">
      <c r="A2560" s="0" t="s">
        <v>211</v>
      </c>
      <c r="B2560" s="0" t="n">
        <v>2018</v>
      </c>
      <c r="C2560" s="0" t="s">
        <v>43</v>
      </c>
      <c r="D2560" s="0" t="n">
        <v>0.70289775054114</v>
      </c>
      <c r="E2560" s="0" t="s">
        <v>522</v>
      </c>
    </row>
    <row r="2561" customFormat="false" ht="15" hidden="false" customHeight="false" outlineLevel="0" collapsed="false">
      <c r="A2561" s="0" t="s">
        <v>211</v>
      </c>
      <c r="B2561" s="0" t="n">
        <v>2018</v>
      </c>
      <c r="C2561" s="0" t="s">
        <v>31</v>
      </c>
      <c r="D2561" s="0" t="n">
        <v>89.3288974356488</v>
      </c>
      <c r="E2561" s="0" t="s">
        <v>522</v>
      </c>
    </row>
    <row r="2562" customFormat="false" ht="15" hidden="false" customHeight="false" outlineLevel="0" collapsed="false">
      <c r="A2562" s="0" t="s">
        <v>211</v>
      </c>
      <c r="B2562" s="0" t="n">
        <v>2018</v>
      </c>
      <c r="C2562" s="0" t="s">
        <v>33</v>
      </c>
      <c r="D2562" s="0" t="n">
        <v>13.0771897239693</v>
      </c>
      <c r="E2562" s="0" t="s">
        <v>522</v>
      </c>
    </row>
    <row r="2563" customFormat="false" ht="15" hidden="false" customHeight="false" outlineLevel="0" collapsed="false">
      <c r="A2563" s="0" t="s">
        <v>211</v>
      </c>
      <c r="B2563" s="0" t="n">
        <v>2018</v>
      </c>
      <c r="C2563" s="0" t="s">
        <v>21</v>
      </c>
      <c r="D2563" s="0" t="n">
        <v>1.45519152283669E-011</v>
      </c>
      <c r="E2563" s="0" t="s">
        <v>522</v>
      </c>
    </row>
    <row r="2564" customFormat="false" ht="15" hidden="false" customHeight="false" outlineLevel="0" collapsed="false">
      <c r="A2564" s="0" t="s">
        <v>211</v>
      </c>
      <c r="B2564" s="0" t="n">
        <v>2019</v>
      </c>
      <c r="C2564" s="0" t="s">
        <v>54</v>
      </c>
      <c r="D2564" s="0" t="n">
        <v>5210.748</v>
      </c>
      <c r="E2564" s="0" t="s">
        <v>521</v>
      </c>
      <c r="G2564" s="0" t="s">
        <v>81</v>
      </c>
    </row>
    <row r="2565" customFormat="false" ht="15" hidden="false" customHeight="false" outlineLevel="0" collapsed="false">
      <c r="A2565" s="0" t="s">
        <v>211</v>
      </c>
      <c r="B2565" s="0" t="n">
        <v>2019</v>
      </c>
      <c r="C2565" s="0" t="s">
        <v>55</v>
      </c>
      <c r="D2565" s="0" t="n">
        <v>704955.604</v>
      </c>
      <c r="E2565" s="0" t="s">
        <v>521</v>
      </c>
      <c r="G2565" s="0" t="s">
        <v>81</v>
      </c>
    </row>
    <row r="2566" customFormat="false" ht="15" hidden="false" customHeight="false" outlineLevel="0" collapsed="false">
      <c r="A2566" s="0" t="s">
        <v>211</v>
      </c>
      <c r="B2566" s="0" t="n">
        <v>2019</v>
      </c>
      <c r="C2566" s="0" t="s">
        <v>56</v>
      </c>
      <c r="D2566" s="0" t="n">
        <v>649598.753</v>
      </c>
      <c r="E2566" s="0" t="s">
        <v>521</v>
      </c>
      <c r="G2566" s="0" t="s">
        <v>81</v>
      </c>
    </row>
    <row r="2567" customFormat="false" ht="15" hidden="false" customHeight="false" outlineLevel="0" collapsed="false">
      <c r="A2567" s="0" t="s">
        <v>211</v>
      </c>
      <c r="B2567" s="0" t="n">
        <v>2019</v>
      </c>
      <c r="C2567" s="0" t="s">
        <v>57</v>
      </c>
      <c r="D2567" s="0" t="n">
        <v>55356.851</v>
      </c>
      <c r="E2567" s="0" t="s">
        <v>521</v>
      </c>
      <c r="G2567" s="0" t="s">
        <v>81</v>
      </c>
    </row>
    <row r="2568" customFormat="false" ht="15" hidden="false" customHeight="false" outlineLevel="0" collapsed="false">
      <c r="A2568" s="0" t="s">
        <v>211</v>
      </c>
      <c r="B2568" s="0" t="n">
        <v>2019</v>
      </c>
      <c r="C2568" s="0" t="s">
        <v>58</v>
      </c>
      <c r="D2568" s="0" t="n">
        <v>107380.822</v>
      </c>
      <c r="E2568" s="0" t="s">
        <v>521</v>
      </c>
      <c r="G2568" s="0" t="s">
        <v>81</v>
      </c>
    </row>
    <row r="2569" customFormat="false" ht="15" hidden="false" customHeight="false" outlineLevel="0" collapsed="false">
      <c r="A2569" s="0" t="s">
        <v>211</v>
      </c>
      <c r="B2569" s="0" t="n">
        <v>2019</v>
      </c>
      <c r="C2569" s="0" t="s">
        <v>59</v>
      </c>
      <c r="D2569" s="0" t="n">
        <v>477915.742</v>
      </c>
      <c r="E2569" s="0" t="s">
        <v>521</v>
      </c>
      <c r="G2569" s="0" t="s">
        <v>81</v>
      </c>
    </row>
    <row r="2570" customFormat="false" ht="15" hidden="false" customHeight="false" outlineLevel="0" collapsed="false">
      <c r="A2570" s="0" t="s">
        <v>211</v>
      </c>
      <c r="B2570" s="0" t="n">
        <v>2019</v>
      </c>
      <c r="C2570" s="0" t="s">
        <v>60</v>
      </c>
      <c r="D2570" s="0" t="n">
        <v>301368.302</v>
      </c>
      <c r="E2570" s="0" t="s">
        <v>521</v>
      </c>
      <c r="G2570" s="0" t="s">
        <v>81</v>
      </c>
    </row>
    <row r="2571" customFormat="false" ht="15" hidden="false" customHeight="false" outlineLevel="0" collapsed="false">
      <c r="A2571" s="0" t="s">
        <v>211</v>
      </c>
      <c r="B2571" s="0" t="n">
        <v>2019</v>
      </c>
      <c r="C2571" s="0" t="s">
        <v>61</v>
      </c>
      <c r="D2571" s="0" t="n">
        <v>12128.432</v>
      </c>
      <c r="E2571" s="0" t="s">
        <v>521</v>
      </c>
      <c r="G2571" s="0" t="s">
        <v>81</v>
      </c>
    </row>
    <row r="2572" customFormat="false" ht="15" hidden="false" customHeight="false" outlineLevel="0" collapsed="false">
      <c r="A2572" s="0" t="s">
        <v>211</v>
      </c>
      <c r="B2572" s="0" t="n">
        <v>2019</v>
      </c>
      <c r="C2572" s="0" t="s">
        <v>62</v>
      </c>
      <c r="D2572" s="0" t="n">
        <v>289239.87</v>
      </c>
      <c r="E2572" s="0" t="s">
        <v>521</v>
      </c>
      <c r="G2572" s="0" t="s">
        <v>81</v>
      </c>
    </row>
    <row r="2573" customFormat="false" ht="15" hidden="false" customHeight="false" outlineLevel="0" collapsed="false">
      <c r="A2573" s="0" t="s">
        <v>211</v>
      </c>
      <c r="B2573" s="0" t="n">
        <v>2019</v>
      </c>
      <c r="C2573" s="0" t="s">
        <v>63</v>
      </c>
      <c r="D2573" s="0" t="n">
        <v>6130.6</v>
      </c>
      <c r="E2573" s="0" t="s">
        <v>521</v>
      </c>
      <c r="G2573" s="0" t="s">
        <v>81</v>
      </c>
    </row>
    <row r="2574" customFormat="false" ht="15" hidden="false" customHeight="false" outlineLevel="0" collapsed="false">
      <c r="A2574" s="0" t="s">
        <v>211</v>
      </c>
      <c r="B2574" s="0" t="n">
        <v>2019</v>
      </c>
      <c r="C2574" s="0" t="s">
        <v>69</v>
      </c>
      <c r="D2574" s="0" t="n">
        <v>13.6</v>
      </c>
      <c r="E2574" s="0" t="s">
        <v>521</v>
      </c>
      <c r="G2574" s="0" t="s">
        <v>81</v>
      </c>
    </row>
    <row r="2575" customFormat="false" ht="15" hidden="false" customHeight="false" outlineLevel="0" collapsed="false">
      <c r="A2575" s="0" t="s">
        <v>211</v>
      </c>
      <c r="B2575" s="0" t="n">
        <v>2019</v>
      </c>
      <c r="C2575" s="0" t="s">
        <v>65</v>
      </c>
      <c r="D2575" s="0" t="n">
        <v>33853.301</v>
      </c>
      <c r="E2575" s="0" t="s">
        <v>521</v>
      </c>
      <c r="G2575" s="0" t="s">
        <v>81</v>
      </c>
    </row>
    <row r="2576" customFormat="false" ht="15" hidden="false" customHeight="false" outlineLevel="0" collapsed="false">
      <c r="A2576" s="0" t="s">
        <v>211</v>
      </c>
      <c r="B2576" s="0" t="n">
        <v>2019</v>
      </c>
      <c r="C2576" s="0" t="s">
        <v>66</v>
      </c>
      <c r="D2576" s="0" t="n">
        <v>248951.162</v>
      </c>
      <c r="E2576" s="0" t="s">
        <v>521</v>
      </c>
      <c r="G2576" s="0" t="s">
        <v>81</v>
      </c>
    </row>
    <row r="2577" customFormat="false" ht="15" hidden="false" customHeight="false" outlineLevel="0" collapsed="false">
      <c r="A2577" s="0" t="s">
        <v>211</v>
      </c>
      <c r="B2577" s="0" t="n">
        <v>2019</v>
      </c>
      <c r="C2577" s="0" t="s">
        <v>68</v>
      </c>
      <c r="D2577" s="0" t="n">
        <v>4646.11</v>
      </c>
      <c r="E2577" s="0" t="s">
        <v>521</v>
      </c>
      <c r="G2577" s="0" t="s">
        <v>81</v>
      </c>
    </row>
    <row r="2578" customFormat="false" ht="15" hidden="false" customHeight="false" outlineLevel="0" collapsed="false">
      <c r="A2578" s="0" t="s">
        <v>211</v>
      </c>
      <c r="B2578" s="0" t="n">
        <v>2019</v>
      </c>
      <c r="C2578" s="0" t="s">
        <v>541</v>
      </c>
      <c r="D2578" s="0" t="n">
        <v>6770.828</v>
      </c>
      <c r="E2578" s="0" t="s">
        <v>521</v>
      </c>
      <c r="G2578" s="0" t="s">
        <v>81</v>
      </c>
    </row>
    <row r="2579" customFormat="false" ht="15" hidden="false" customHeight="false" outlineLevel="0" collapsed="false">
      <c r="A2579" s="0" t="s">
        <v>211</v>
      </c>
      <c r="B2579" s="0" t="n">
        <v>2019</v>
      </c>
      <c r="C2579" s="0" t="s">
        <v>19</v>
      </c>
      <c r="D2579" s="0" t="n">
        <v>591435.673</v>
      </c>
      <c r="E2579" s="0" t="s">
        <v>522</v>
      </c>
    </row>
    <row r="2580" customFormat="false" ht="15" hidden="false" customHeight="false" outlineLevel="0" collapsed="false">
      <c r="A2580" s="0" t="s">
        <v>211</v>
      </c>
      <c r="B2580" s="0" t="n">
        <v>2019</v>
      </c>
      <c r="C2580" s="0" t="s">
        <v>41</v>
      </c>
      <c r="D2580" s="0" t="n">
        <v>0.881033768823748</v>
      </c>
      <c r="E2580" s="0" t="s">
        <v>522</v>
      </c>
    </row>
    <row r="2581" customFormat="false" ht="15" hidden="false" customHeight="false" outlineLevel="0" collapsed="false">
      <c r="A2581" s="0" t="s">
        <v>211</v>
      </c>
      <c r="B2581" s="0" t="n">
        <v>2019</v>
      </c>
      <c r="C2581" s="0" t="s">
        <v>27</v>
      </c>
      <c r="D2581" s="0" t="n">
        <v>7.85253010060475</v>
      </c>
      <c r="E2581" s="0" t="s">
        <v>522</v>
      </c>
    </row>
    <row r="2582" customFormat="false" ht="15" hidden="false" customHeight="false" outlineLevel="0" collapsed="false">
      <c r="A2582" s="0" t="s">
        <v>211</v>
      </c>
      <c r="B2582" s="0" t="n">
        <v>2019</v>
      </c>
      <c r="C2582" s="0" t="s">
        <v>39</v>
      </c>
      <c r="D2582" s="0" t="n">
        <v>18.1559596253843</v>
      </c>
      <c r="E2582" s="0" t="s">
        <v>522</v>
      </c>
    </row>
    <row r="2583" customFormat="false" ht="15" hidden="false" customHeight="false" outlineLevel="0" collapsed="false">
      <c r="A2583" s="0" t="s">
        <v>211</v>
      </c>
      <c r="B2583" s="0" t="n">
        <v>2019</v>
      </c>
      <c r="C2583" s="0" t="s">
        <v>17</v>
      </c>
      <c r="D2583" s="0" t="n">
        <v>4.02445510012529</v>
      </c>
      <c r="E2583" s="0" t="s">
        <v>522</v>
      </c>
    </row>
    <row r="2584" customFormat="false" ht="15" hidden="false" customHeight="false" outlineLevel="0" collapsed="false">
      <c r="A2584" s="0" t="s">
        <v>211</v>
      </c>
      <c r="B2584" s="0" t="n">
        <v>2019</v>
      </c>
      <c r="C2584" s="0" t="s">
        <v>25</v>
      </c>
      <c r="D2584" s="0" t="n">
        <v>13.5983703502456</v>
      </c>
      <c r="E2584" s="0" t="s">
        <v>522</v>
      </c>
    </row>
    <row r="2585" customFormat="false" ht="15" hidden="false" customHeight="false" outlineLevel="0" collapsed="false">
      <c r="A2585" s="0" t="s">
        <v>211</v>
      </c>
      <c r="B2585" s="0" t="n">
        <v>2019</v>
      </c>
      <c r="C2585" s="0" t="s">
        <v>29</v>
      </c>
      <c r="D2585" s="0" t="n">
        <v>1.03656243271616</v>
      </c>
      <c r="E2585" s="0" t="s">
        <v>522</v>
      </c>
    </row>
    <row r="2586" customFormat="false" ht="15" hidden="false" customHeight="false" outlineLevel="0" collapsed="false">
      <c r="A2586" s="0" t="s">
        <v>211</v>
      </c>
      <c r="B2586" s="0" t="n">
        <v>2019</v>
      </c>
      <c r="C2586" s="0" t="s">
        <v>43</v>
      </c>
      <c r="D2586" s="0" t="n">
        <v>0.739159738632278</v>
      </c>
      <c r="E2586" s="0" t="s">
        <v>522</v>
      </c>
    </row>
    <row r="2587" customFormat="false" ht="15" hidden="false" customHeight="false" outlineLevel="0" collapsed="false">
      <c r="A2587" s="0" t="s">
        <v>211</v>
      </c>
      <c r="B2587" s="0" t="n">
        <v>2019</v>
      </c>
      <c r="C2587" s="0" t="s">
        <v>31</v>
      </c>
      <c r="D2587" s="0" t="n">
        <v>92.1474698993953</v>
      </c>
      <c r="E2587" s="0" t="s">
        <v>522</v>
      </c>
    </row>
    <row r="2588" customFormat="false" ht="15" hidden="false" customHeight="false" outlineLevel="0" collapsed="false">
      <c r="A2588" s="0" t="s">
        <v>211</v>
      </c>
      <c r="B2588" s="0" t="n">
        <v>2019</v>
      </c>
      <c r="C2588" s="0" t="s">
        <v>33</v>
      </c>
      <c r="D2588" s="0" t="n">
        <v>13.4658901067619</v>
      </c>
      <c r="E2588" s="0" t="s">
        <v>522</v>
      </c>
    </row>
    <row r="2589" customFormat="false" ht="15" hidden="false" customHeight="false" outlineLevel="0" collapsed="false">
      <c r="A2589" s="0" t="s">
        <v>211</v>
      </c>
      <c r="B2589" s="0" t="n">
        <v>2019</v>
      </c>
      <c r="C2589" s="0" t="s">
        <v>21</v>
      </c>
      <c r="D2589" s="0" t="n">
        <v>2.18278728425503E-011</v>
      </c>
      <c r="E2589" s="0" t="s">
        <v>522</v>
      </c>
    </row>
    <row r="2590" customFormat="false" ht="15" hidden="false" customHeight="false" outlineLevel="0" collapsed="false">
      <c r="A2590" s="0" t="s">
        <v>211</v>
      </c>
      <c r="B2590" s="0" t="n">
        <v>2019</v>
      </c>
      <c r="C2590" s="0" t="s">
        <v>35</v>
      </c>
      <c r="D2590" s="0" t="n">
        <v>0</v>
      </c>
      <c r="E2590" s="0" t="s">
        <v>522</v>
      </c>
    </row>
    <row r="2591" customFormat="false" ht="15" hidden="false" customHeight="false" outlineLevel="0" collapsed="false">
      <c r="A2591" s="0" t="s">
        <v>211</v>
      </c>
      <c r="B2591" s="0" t="n">
        <v>2020</v>
      </c>
      <c r="C2591" s="0" t="s">
        <v>54</v>
      </c>
      <c r="D2591" s="0" t="n">
        <v>4592.217</v>
      </c>
      <c r="E2591" s="0" t="s">
        <v>521</v>
      </c>
      <c r="G2591" s="0" t="s">
        <v>81</v>
      </c>
    </row>
    <row r="2592" customFormat="false" ht="15" hidden="false" customHeight="false" outlineLevel="0" collapsed="false">
      <c r="A2592" s="0" t="s">
        <v>211</v>
      </c>
      <c r="B2592" s="0" t="n">
        <v>2020</v>
      </c>
      <c r="C2592" s="0" t="s">
        <v>55</v>
      </c>
      <c r="D2592" s="0" t="n">
        <v>968582.084</v>
      </c>
      <c r="E2592" s="0" t="s">
        <v>521</v>
      </c>
      <c r="G2592" s="0" t="s">
        <v>81</v>
      </c>
    </row>
    <row r="2593" customFormat="false" ht="15" hidden="false" customHeight="false" outlineLevel="0" collapsed="false">
      <c r="A2593" s="0" t="s">
        <v>211</v>
      </c>
      <c r="B2593" s="0" t="n">
        <v>2020</v>
      </c>
      <c r="C2593" s="0" t="s">
        <v>56</v>
      </c>
      <c r="D2593" s="0" t="n">
        <v>909229.251</v>
      </c>
      <c r="E2593" s="0" t="s">
        <v>521</v>
      </c>
      <c r="G2593" s="0" t="s">
        <v>81</v>
      </c>
    </row>
    <row r="2594" customFormat="false" ht="15" hidden="false" customHeight="false" outlineLevel="0" collapsed="false">
      <c r="A2594" s="0" t="s">
        <v>211</v>
      </c>
      <c r="B2594" s="0" t="n">
        <v>2020</v>
      </c>
      <c r="C2594" s="0" t="s">
        <v>57</v>
      </c>
      <c r="D2594" s="0" t="n">
        <v>59352.833</v>
      </c>
      <c r="E2594" s="0" t="s">
        <v>521</v>
      </c>
      <c r="G2594" s="0" t="s">
        <v>81</v>
      </c>
    </row>
    <row r="2595" customFormat="false" ht="15" hidden="false" customHeight="false" outlineLevel="0" collapsed="false">
      <c r="A2595" s="0" t="s">
        <v>211</v>
      </c>
      <c r="B2595" s="0" t="n">
        <v>2020</v>
      </c>
      <c r="C2595" s="0" t="s">
        <v>58</v>
      </c>
      <c r="D2595" s="0" t="n">
        <v>46804.348</v>
      </c>
      <c r="E2595" s="0" t="s">
        <v>521</v>
      </c>
      <c r="G2595" s="0" t="s">
        <v>81</v>
      </c>
    </row>
    <row r="2596" customFormat="false" ht="15" hidden="false" customHeight="false" outlineLevel="0" collapsed="false">
      <c r="A2596" s="0" t="s">
        <v>211</v>
      </c>
      <c r="B2596" s="0" t="n">
        <v>2020</v>
      </c>
      <c r="C2596" s="0" t="s">
        <v>59</v>
      </c>
      <c r="D2596" s="0" t="n">
        <v>704955.604</v>
      </c>
      <c r="E2596" s="0" t="s">
        <v>521</v>
      </c>
      <c r="G2596" s="0" t="s">
        <v>81</v>
      </c>
    </row>
    <row r="2597" customFormat="false" ht="15" hidden="false" customHeight="false" outlineLevel="0" collapsed="false">
      <c r="A2597" s="0" t="s">
        <v>211</v>
      </c>
      <c r="B2597" s="0" t="n">
        <v>2020</v>
      </c>
      <c r="C2597" s="0" t="s">
        <v>60</v>
      </c>
      <c r="D2597" s="0" t="n">
        <v>375039.658</v>
      </c>
      <c r="E2597" s="0" t="s">
        <v>521</v>
      </c>
      <c r="G2597" s="0" t="s">
        <v>81</v>
      </c>
    </row>
    <row r="2598" customFormat="false" ht="15" hidden="false" customHeight="false" outlineLevel="0" collapsed="false">
      <c r="A2598" s="0" t="s">
        <v>211</v>
      </c>
      <c r="B2598" s="0" t="n">
        <v>2020</v>
      </c>
      <c r="C2598" s="0" t="s">
        <v>61</v>
      </c>
      <c r="D2598" s="0" t="n">
        <v>14963.578</v>
      </c>
      <c r="E2598" s="0" t="s">
        <v>521</v>
      </c>
      <c r="G2598" s="0" t="s">
        <v>81</v>
      </c>
    </row>
    <row r="2599" customFormat="false" ht="15" hidden="false" customHeight="false" outlineLevel="0" collapsed="false">
      <c r="A2599" s="0" t="s">
        <v>211</v>
      </c>
      <c r="B2599" s="0" t="n">
        <v>2020</v>
      </c>
      <c r="C2599" s="0" t="s">
        <v>62</v>
      </c>
      <c r="D2599" s="0" t="n">
        <v>360076.079</v>
      </c>
      <c r="E2599" s="0" t="s">
        <v>521</v>
      </c>
      <c r="G2599" s="0" t="s">
        <v>81</v>
      </c>
    </row>
    <row r="2600" customFormat="false" ht="15" hidden="false" customHeight="false" outlineLevel="0" collapsed="false">
      <c r="A2600" s="0" t="s">
        <v>211</v>
      </c>
      <c r="B2600" s="0" t="n">
        <v>2020</v>
      </c>
      <c r="C2600" s="0" t="s">
        <v>63</v>
      </c>
      <c r="D2600" s="0" t="n">
        <v>5635.165</v>
      </c>
      <c r="E2600" s="0" t="s">
        <v>521</v>
      </c>
      <c r="G2600" s="0" t="s">
        <v>81</v>
      </c>
    </row>
    <row r="2601" customFormat="false" ht="15" hidden="false" customHeight="false" outlineLevel="0" collapsed="false">
      <c r="A2601" s="0" t="s">
        <v>211</v>
      </c>
      <c r="B2601" s="0" t="n">
        <v>2020</v>
      </c>
      <c r="C2601" s="0" t="s">
        <v>69</v>
      </c>
      <c r="D2601" s="0" t="n">
        <v>15.01</v>
      </c>
      <c r="E2601" s="0" t="s">
        <v>521</v>
      </c>
      <c r="G2601" s="0" t="s">
        <v>81</v>
      </c>
    </row>
    <row r="2602" customFormat="false" ht="15" hidden="false" customHeight="false" outlineLevel="0" collapsed="false">
      <c r="A2602" s="0" t="s">
        <v>211</v>
      </c>
      <c r="B2602" s="0" t="n">
        <v>2020</v>
      </c>
      <c r="C2602" s="0" t="s">
        <v>65</v>
      </c>
      <c r="D2602" s="0" t="n">
        <v>41760.881</v>
      </c>
      <c r="E2602" s="0" t="s">
        <v>521</v>
      </c>
      <c r="G2602" s="0" t="s">
        <v>81</v>
      </c>
    </row>
    <row r="2603" customFormat="false" ht="15" hidden="false" customHeight="false" outlineLevel="0" collapsed="false">
      <c r="A2603" s="0" t="s">
        <v>211</v>
      </c>
      <c r="B2603" s="0" t="n">
        <v>2020</v>
      </c>
      <c r="C2603" s="0" t="s">
        <v>66</v>
      </c>
      <c r="D2603" s="0" t="n">
        <v>278133.743</v>
      </c>
      <c r="E2603" s="0" t="s">
        <v>521</v>
      </c>
      <c r="G2603" s="0" t="s">
        <v>81</v>
      </c>
    </row>
    <row r="2604" customFormat="false" ht="15" hidden="false" customHeight="false" outlineLevel="0" collapsed="false">
      <c r="A2604" s="0" t="s">
        <v>211</v>
      </c>
      <c r="B2604" s="0" t="n">
        <v>2020</v>
      </c>
      <c r="C2604" s="0" t="s">
        <v>73</v>
      </c>
      <c r="D2604" s="0" t="n">
        <v>0</v>
      </c>
      <c r="E2604" s="0" t="s">
        <v>539</v>
      </c>
      <c r="F2604" s="0" t="s">
        <v>363</v>
      </c>
      <c r="G2604" s="0" t="s">
        <v>1368</v>
      </c>
      <c r="H2604" s="0" t="s">
        <v>369</v>
      </c>
    </row>
    <row r="2605" customFormat="false" ht="15" hidden="false" customHeight="false" outlineLevel="0" collapsed="false">
      <c r="A2605" s="0" t="s">
        <v>211</v>
      </c>
      <c r="B2605" s="0" t="n">
        <v>2020</v>
      </c>
      <c r="C2605" s="0" t="s">
        <v>68</v>
      </c>
      <c r="D2605" s="0" t="n">
        <v>5411.37</v>
      </c>
      <c r="E2605" s="0" t="s">
        <v>521</v>
      </c>
      <c r="G2605" s="0" t="s">
        <v>81</v>
      </c>
    </row>
    <row r="2606" customFormat="false" ht="15" hidden="false" customHeight="false" outlineLevel="0" collapsed="false">
      <c r="A2606" s="0" t="s">
        <v>211</v>
      </c>
      <c r="B2606" s="0" t="n">
        <v>2020</v>
      </c>
      <c r="C2606" s="0" t="s">
        <v>541</v>
      </c>
      <c r="D2606" s="0" t="n">
        <v>5946.523</v>
      </c>
      <c r="E2606" s="0" t="s">
        <v>521</v>
      </c>
      <c r="G2606" s="0" t="s">
        <v>81</v>
      </c>
    </row>
    <row r="2607" customFormat="false" ht="15" hidden="false" customHeight="false" outlineLevel="0" collapsed="false">
      <c r="A2607" s="0" t="s">
        <v>211</v>
      </c>
      <c r="B2607" s="0" t="n">
        <v>2020</v>
      </c>
      <c r="C2607" s="0" t="s">
        <v>19</v>
      </c>
      <c r="D2607" s="0" t="n">
        <v>836768.844</v>
      </c>
      <c r="E2607" s="0" t="s">
        <v>522</v>
      </c>
    </row>
    <row r="2608" customFormat="false" ht="15" hidden="false" customHeight="false" outlineLevel="0" collapsed="false">
      <c r="A2608" s="0" t="s">
        <v>211</v>
      </c>
      <c r="B2608" s="0" t="n">
        <v>2020</v>
      </c>
      <c r="C2608" s="0" t="s">
        <v>41</v>
      </c>
      <c r="D2608" s="0" t="n">
        <v>0.548803535519781</v>
      </c>
      <c r="E2608" s="0" t="s">
        <v>522</v>
      </c>
    </row>
    <row r="2609" customFormat="false" ht="15" hidden="false" customHeight="false" outlineLevel="0" collapsed="false">
      <c r="A2609" s="0" t="s">
        <v>211</v>
      </c>
      <c r="B2609" s="0" t="n">
        <v>2020</v>
      </c>
      <c r="C2609" s="0" t="s">
        <v>27</v>
      </c>
      <c r="D2609" s="0" t="n">
        <v>6.12780620047067</v>
      </c>
      <c r="E2609" s="0" t="s">
        <v>522</v>
      </c>
    </row>
    <row r="2610" customFormat="false" ht="15" hidden="false" customHeight="false" outlineLevel="0" collapsed="false">
      <c r="A2610" s="0" t="s">
        <v>211</v>
      </c>
      <c r="B2610" s="0" t="n">
        <v>2020</v>
      </c>
      <c r="C2610" s="0" t="s">
        <v>39</v>
      </c>
      <c r="D2610" s="0" t="n">
        <v>5.59346208162597</v>
      </c>
      <c r="E2610" s="0" t="s">
        <v>522</v>
      </c>
    </row>
    <row r="2611" customFormat="false" ht="15" hidden="false" customHeight="false" outlineLevel="0" collapsed="false">
      <c r="A2611" s="0" t="s">
        <v>211</v>
      </c>
      <c r="B2611" s="0" t="n">
        <v>2020</v>
      </c>
      <c r="C2611" s="0" t="s">
        <v>17</v>
      </c>
      <c r="D2611" s="0" t="n">
        <v>3.98986551976858</v>
      </c>
      <c r="E2611" s="0" t="s">
        <v>522</v>
      </c>
    </row>
    <row r="2612" customFormat="false" ht="15" hidden="false" customHeight="false" outlineLevel="0" collapsed="false">
      <c r="A2612" s="0" t="s">
        <v>211</v>
      </c>
      <c r="B2612" s="0" t="n">
        <v>2020</v>
      </c>
      <c r="C2612" s="0" t="s">
        <v>25</v>
      </c>
      <c r="D2612" s="0" t="n">
        <v>15.0146762307801</v>
      </c>
      <c r="E2612" s="0" t="s">
        <v>522</v>
      </c>
    </row>
    <row r="2613" customFormat="false" ht="15" hidden="false" customHeight="false" outlineLevel="0" collapsed="false">
      <c r="A2613" s="0" t="s">
        <v>211</v>
      </c>
      <c r="B2613" s="0" t="n">
        <v>2020</v>
      </c>
      <c r="C2613" s="0" t="s">
        <v>29</v>
      </c>
      <c r="D2613" s="0" t="n">
        <v>0.673443453398941</v>
      </c>
      <c r="E2613" s="0" t="s">
        <v>522</v>
      </c>
    </row>
    <row r="2614" customFormat="false" ht="15" hidden="false" customHeight="false" outlineLevel="0" collapsed="false">
      <c r="A2614" s="0" t="s">
        <v>211</v>
      </c>
      <c r="B2614" s="0" t="n">
        <v>2020</v>
      </c>
      <c r="C2614" s="0" t="s">
        <v>43</v>
      </c>
      <c r="D2614" s="0" t="n">
        <v>0.474117483263298</v>
      </c>
      <c r="E2614" s="0" t="s">
        <v>522</v>
      </c>
    </row>
    <row r="2615" customFormat="false" ht="15" hidden="false" customHeight="false" outlineLevel="0" collapsed="false">
      <c r="A2615" s="0" t="s">
        <v>211</v>
      </c>
      <c r="B2615" s="0" t="n">
        <v>2020</v>
      </c>
      <c r="C2615" s="0" t="s">
        <v>31</v>
      </c>
      <c r="D2615" s="0" t="n">
        <v>93.8721937995293</v>
      </c>
      <c r="E2615" s="0" t="s">
        <v>522</v>
      </c>
    </row>
    <row r="2616" customFormat="false" ht="15" hidden="false" customHeight="false" outlineLevel="0" collapsed="false">
      <c r="A2616" s="0" t="s">
        <v>211</v>
      </c>
      <c r="B2616" s="0" t="n">
        <v>2020</v>
      </c>
      <c r="C2616" s="0" t="s">
        <v>33</v>
      </c>
      <c r="D2616" s="0" t="n">
        <v>13.7835885119807</v>
      </c>
      <c r="E2616" s="0" t="s">
        <v>522</v>
      </c>
    </row>
    <row r="2617" customFormat="false" ht="15" hidden="false" customHeight="false" outlineLevel="0" collapsed="false">
      <c r="A2617" s="0" t="s">
        <v>211</v>
      </c>
      <c r="B2617" s="0" t="n">
        <v>2020</v>
      </c>
      <c r="C2617" s="0" t="s">
        <v>21</v>
      </c>
      <c r="D2617" s="0" t="n">
        <v>-1.45519152283669E-011</v>
      </c>
      <c r="E2617" s="0" t="s">
        <v>522</v>
      </c>
    </row>
    <row r="2618" customFormat="false" ht="15" hidden="false" customHeight="false" outlineLevel="0" collapsed="false">
      <c r="A2618" s="0" t="s">
        <v>211</v>
      </c>
      <c r="B2618" s="0" t="n">
        <v>2020</v>
      </c>
      <c r="C2618" s="0" t="s">
        <v>35</v>
      </c>
      <c r="D2618" s="0" t="n">
        <v>0.00099999998928979</v>
      </c>
      <c r="E2618" s="0" t="s">
        <v>522</v>
      </c>
    </row>
    <row r="2619" customFormat="false" ht="15" hidden="false" customHeight="false" outlineLevel="0" collapsed="false">
      <c r="A2619" s="0" t="s">
        <v>211</v>
      </c>
      <c r="B2619" s="0" t="n">
        <v>2021</v>
      </c>
      <c r="C2619" s="0" t="s">
        <v>54</v>
      </c>
      <c r="D2619" s="0" t="n">
        <v>8933.202</v>
      </c>
      <c r="E2619" s="0" t="s">
        <v>523</v>
      </c>
      <c r="F2619" s="0" t="s">
        <v>524</v>
      </c>
      <c r="G2619" s="0" t="s">
        <v>220</v>
      </c>
      <c r="H2619" s="0" t="s">
        <v>1491</v>
      </c>
    </row>
    <row r="2620" customFormat="false" ht="15" hidden="false" customHeight="false" outlineLevel="0" collapsed="false">
      <c r="A2620" s="0" t="s">
        <v>211</v>
      </c>
      <c r="B2620" s="0" t="n">
        <v>2021</v>
      </c>
      <c r="C2620" s="0" t="s">
        <v>55</v>
      </c>
      <c r="D2620" s="0" t="n">
        <v>1164517.865</v>
      </c>
      <c r="E2620" s="0" t="s">
        <v>523</v>
      </c>
      <c r="F2620" s="0" t="s">
        <v>524</v>
      </c>
      <c r="G2620" s="0" t="s">
        <v>220</v>
      </c>
      <c r="H2620" s="0" t="s">
        <v>1492</v>
      </c>
    </row>
    <row r="2621" customFormat="false" ht="15" hidden="false" customHeight="false" outlineLevel="0" collapsed="false">
      <c r="A2621" s="0" t="s">
        <v>211</v>
      </c>
      <c r="B2621" s="0" t="n">
        <v>2021</v>
      </c>
      <c r="C2621" s="0" t="s">
        <v>56</v>
      </c>
      <c r="D2621" s="0" t="n">
        <v>1094153.52</v>
      </c>
      <c r="E2621" s="0" t="s">
        <v>523</v>
      </c>
      <c r="F2621" s="0" t="s">
        <v>524</v>
      </c>
      <c r="G2621" s="0" t="s">
        <v>220</v>
      </c>
      <c r="H2621" s="0" t="s">
        <v>1493</v>
      </c>
    </row>
    <row r="2622" customFormat="false" ht="15" hidden="false" customHeight="false" outlineLevel="0" collapsed="false">
      <c r="A2622" s="0" t="s">
        <v>211</v>
      </c>
      <c r="B2622" s="0" t="n">
        <v>2021</v>
      </c>
      <c r="C2622" s="0" t="s">
        <v>57</v>
      </c>
      <c r="D2622" s="0" t="n">
        <v>70364.344</v>
      </c>
      <c r="E2622" s="0" t="s">
        <v>523</v>
      </c>
      <c r="F2622" s="0" t="s">
        <v>524</v>
      </c>
      <c r="G2622" s="0" t="s">
        <v>220</v>
      </c>
      <c r="H2622" s="0" t="s">
        <v>1494</v>
      </c>
    </row>
    <row r="2623" customFormat="false" ht="15" hidden="false" customHeight="false" outlineLevel="0" collapsed="false">
      <c r="A2623" s="0" t="s">
        <v>211</v>
      </c>
      <c r="B2623" s="0" t="n">
        <v>2021</v>
      </c>
      <c r="C2623" s="0" t="s">
        <v>58</v>
      </c>
      <c r="D2623" s="0" t="n">
        <v>9851.888</v>
      </c>
      <c r="E2623" s="0" t="s">
        <v>523</v>
      </c>
      <c r="F2623" s="0" t="s">
        <v>524</v>
      </c>
      <c r="G2623" s="0" t="s">
        <v>220</v>
      </c>
      <c r="H2623" s="0" t="s">
        <v>1495</v>
      </c>
    </row>
    <row r="2624" customFormat="false" ht="15" hidden="false" customHeight="false" outlineLevel="0" collapsed="false">
      <c r="A2624" s="0" t="s">
        <v>211</v>
      </c>
      <c r="B2624" s="0" t="n">
        <v>2021</v>
      </c>
      <c r="C2624" s="0" t="s">
        <v>59</v>
      </c>
      <c r="D2624" s="0" t="n">
        <v>968582.084</v>
      </c>
      <c r="E2624" s="0" t="s">
        <v>523</v>
      </c>
      <c r="F2624" s="0" t="s">
        <v>524</v>
      </c>
      <c r="G2624" s="0" t="s">
        <v>95</v>
      </c>
      <c r="H2624" s="0" t="s">
        <v>1496</v>
      </c>
    </row>
    <row r="2625" customFormat="false" ht="15" hidden="false" customHeight="false" outlineLevel="0" collapsed="false">
      <c r="A2625" s="0" t="s">
        <v>211</v>
      </c>
      <c r="B2625" s="0" t="n">
        <v>2021</v>
      </c>
      <c r="C2625" s="0" t="s">
        <v>60</v>
      </c>
      <c r="D2625" s="0" t="n">
        <v>435551.971</v>
      </c>
      <c r="E2625" s="0" t="s">
        <v>523</v>
      </c>
      <c r="F2625" s="0" t="s">
        <v>524</v>
      </c>
      <c r="G2625" s="0" t="s">
        <v>220</v>
      </c>
      <c r="H2625" s="0" t="s">
        <v>1497</v>
      </c>
    </row>
    <row r="2626" customFormat="false" ht="15" hidden="false" customHeight="false" outlineLevel="0" collapsed="false">
      <c r="A2626" s="0" t="s">
        <v>211</v>
      </c>
      <c r="B2626" s="0" t="n">
        <v>2021</v>
      </c>
      <c r="C2626" s="0" t="s">
        <v>61</v>
      </c>
      <c r="D2626" s="0" t="n">
        <v>16687.668</v>
      </c>
      <c r="E2626" s="0" t="s">
        <v>523</v>
      </c>
      <c r="F2626" s="0" t="s">
        <v>524</v>
      </c>
      <c r="G2626" s="0" t="s">
        <v>220</v>
      </c>
      <c r="H2626" s="0" t="s">
        <v>1498</v>
      </c>
    </row>
    <row r="2627" customFormat="false" ht="15" hidden="false" customHeight="false" outlineLevel="0" collapsed="false">
      <c r="A2627" s="0" t="s">
        <v>211</v>
      </c>
      <c r="B2627" s="0" t="n">
        <v>2021</v>
      </c>
      <c r="C2627" s="0" t="s">
        <v>62</v>
      </c>
      <c r="D2627" s="0" t="n">
        <v>418864.303</v>
      </c>
      <c r="E2627" s="0" t="s">
        <v>523</v>
      </c>
      <c r="F2627" s="0" t="s">
        <v>524</v>
      </c>
      <c r="G2627" s="0" t="s">
        <v>220</v>
      </c>
      <c r="H2627" s="0" t="s">
        <v>1499</v>
      </c>
    </row>
    <row r="2628" customFormat="false" ht="15" hidden="false" customHeight="false" outlineLevel="0" collapsed="false">
      <c r="A2628" s="0" t="s">
        <v>211</v>
      </c>
      <c r="B2628" s="0" t="n">
        <v>2021</v>
      </c>
      <c r="C2628" s="0" t="s">
        <v>63</v>
      </c>
      <c r="D2628" s="0" t="n">
        <v>2104.393</v>
      </c>
      <c r="E2628" s="0" t="s">
        <v>523</v>
      </c>
      <c r="F2628" s="0" t="s">
        <v>524</v>
      </c>
      <c r="G2628" s="0" t="s">
        <v>220</v>
      </c>
      <c r="H2628" s="0" t="s">
        <v>1500</v>
      </c>
    </row>
    <row r="2629" customFormat="false" ht="15" hidden="false" customHeight="false" outlineLevel="0" collapsed="false">
      <c r="A2629" s="0" t="s">
        <v>211</v>
      </c>
      <c r="B2629" s="0" t="n">
        <v>2021</v>
      </c>
      <c r="C2629" s="0" t="s">
        <v>64</v>
      </c>
      <c r="D2629" s="0" t="n">
        <v>21263.336</v>
      </c>
      <c r="E2629" s="0" t="s">
        <v>523</v>
      </c>
      <c r="F2629" s="0" t="s">
        <v>524</v>
      </c>
      <c r="G2629" s="0" t="s">
        <v>220</v>
      </c>
      <c r="H2629" s="0" t="s">
        <v>1501</v>
      </c>
      <c r="I2629" s="0" t="s">
        <v>1502</v>
      </c>
    </row>
    <row r="2630" customFormat="false" ht="15" hidden="false" customHeight="false" outlineLevel="0" collapsed="false">
      <c r="A2630" s="0" t="s">
        <v>211</v>
      </c>
      <c r="B2630" s="0" t="n">
        <v>2021</v>
      </c>
      <c r="C2630" s="0" t="s">
        <v>69</v>
      </c>
      <c r="D2630" s="0" t="n">
        <v>11.71</v>
      </c>
      <c r="E2630" s="0" t="s">
        <v>523</v>
      </c>
      <c r="F2630" s="0" t="s">
        <v>524</v>
      </c>
      <c r="G2630" s="0" t="s">
        <v>220</v>
      </c>
      <c r="H2630" s="0" t="s">
        <v>1503</v>
      </c>
      <c r="I2630" s="0" t="s">
        <v>830</v>
      </c>
    </row>
    <row r="2631" customFormat="false" ht="15" hidden="false" customHeight="false" outlineLevel="0" collapsed="false">
      <c r="A2631" s="0" t="s">
        <v>211</v>
      </c>
      <c r="B2631" s="0" t="n">
        <v>2021</v>
      </c>
      <c r="C2631" s="0" t="s">
        <v>65</v>
      </c>
      <c r="D2631" s="0" t="n">
        <v>40009.725</v>
      </c>
      <c r="E2631" s="0" t="s">
        <v>523</v>
      </c>
      <c r="F2631" s="0" t="s">
        <v>524</v>
      </c>
      <c r="G2631" s="0" t="s">
        <v>220</v>
      </c>
      <c r="H2631" s="0" t="s">
        <v>1504</v>
      </c>
    </row>
    <row r="2632" customFormat="false" ht="15" hidden="false" customHeight="false" outlineLevel="0" collapsed="false">
      <c r="A2632" s="0" t="s">
        <v>211</v>
      </c>
      <c r="B2632" s="0" t="n">
        <v>2021</v>
      </c>
      <c r="C2632" s="0" t="s">
        <v>66</v>
      </c>
      <c r="D2632" s="0" t="n">
        <v>346012.969</v>
      </c>
      <c r="E2632" s="0" t="s">
        <v>523</v>
      </c>
      <c r="F2632" s="0" t="s">
        <v>524</v>
      </c>
      <c r="G2632" s="0" t="s">
        <v>220</v>
      </c>
      <c r="H2632" s="0" t="s">
        <v>1505</v>
      </c>
    </row>
    <row r="2633" customFormat="false" ht="15" hidden="false" customHeight="false" outlineLevel="0" collapsed="false">
      <c r="A2633" s="0" t="s">
        <v>211</v>
      </c>
      <c r="B2633" s="0" t="n">
        <v>2021</v>
      </c>
      <c r="C2633" s="0" t="s">
        <v>68</v>
      </c>
      <c r="D2633" s="0" t="n">
        <v>11225.979</v>
      </c>
      <c r="E2633" s="0" t="s">
        <v>523</v>
      </c>
      <c r="F2633" s="0" t="s">
        <v>524</v>
      </c>
      <c r="G2633" s="0" t="s">
        <v>220</v>
      </c>
      <c r="H2633" s="0" t="s">
        <v>1506</v>
      </c>
    </row>
    <row r="2634" customFormat="false" ht="15" hidden="false" customHeight="false" outlineLevel="0" collapsed="false">
      <c r="A2634" s="0" t="s">
        <v>211</v>
      </c>
      <c r="B2634" s="0" t="n">
        <v>2021</v>
      </c>
      <c r="C2634" s="0" t="s">
        <v>541</v>
      </c>
      <c r="D2634" s="0" t="n">
        <v>12384.142</v>
      </c>
      <c r="E2634" s="0" t="s">
        <v>523</v>
      </c>
      <c r="F2634" s="0" t="s">
        <v>524</v>
      </c>
      <c r="G2634" s="0" t="s">
        <v>220</v>
      </c>
      <c r="H2634" s="0" t="s">
        <v>1507</v>
      </c>
    </row>
    <row r="2635" customFormat="false" ht="15" hidden="false" customHeight="false" outlineLevel="0" collapsed="false">
      <c r="A2635" s="0" t="s">
        <v>211</v>
      </c>
      <c r="B2635" s="0" t="n">
        <v>2021</v>
      </c>
      <c r="C2635" s="0" t="s">
        <v>19</v>
      </c>
      <c r="D2635" s="0" t="n">
        <v>1066549.9745</v>
      </c>
      <c r="E2635" s="0" t="s">
        <v>522</v>
      </c>
    </row>
    <row r="2636" customFormat="false" ht="15" hidden="false" customHeight="false" outlineLevel="0" collapsed="false">
      <c r="A2636" s="0" t="s">
        <v>211</v>
      </c>
      <c r="B2636" s="0" t="n">
        <v>2021</v>
      </c>
      <c r="C2636" s="0" t="s">
        <v>41</v>
      </c>
      <c r="D2636" s="0" t="n">
        <v>0.837579317761261</v>
      </c>
      <c r="E2636" s="0" t="s">
        <v>522</v>
      </c>
    </row>
    <row r="2637" customFormat="false" ht="15" hidden="false" customHeight="false" outlineLevel="0" collapsed="false">
      <c r="A2637" s="0" t="s">
        <v>211</v>
      </c>
      <c r="B2637" s="0" t="n">
        <v>2021</v>
      </c>
      <c r="C2637" s="0" t="s">
        <v>27</v>
      </c>
      <c r="D2637" s="0" t="n">
        <v>6.04235848283873</v>
      </c>
      <c r="E2637" s="0" t="s">
        <v>522</v>
      </c>
    </row>
    <row r="2638" customFormat="false" ht="15" hidden="false" customHeight="false" outlineLevel="0" collapsed="false">
      <c r="A2638" s="0" t="s">
        <v>211</v>
      </c>
      <c r="B2638" s="0" t="n">
        <v>2021</v>
      </c>
      <c r="C2638" s="0" t="s">
        <v>39</v>
      </c>
      <c r="D2638" s="0" t="n">
        <v>0.923715553471236</v>
      </c>
      <c r="E2638" s="0" t="s">
        <v>522</v>
      </c>
    </row>
    <row r="2639" customFormat="false" ht="15" hidden="false" customHeight="false" outlineLevel="0" collapsed="false">
      <c r="A2639" s="0" t="s">
        <v>211</v>
      </c>
      <c r="B2639" s="0" t="n">
        <v>2021</v>
      </c>
      <c r="C2639" s="0" t="s">
        <v>17</v>
      </c>
      <c r="D2639" s="0" t="n">
        <v>3.83138387864166</v>
      </c>
      <c r="E2639" s="0" t="s">
        <v>522</v>
      </c>
    </row>
    <row r="2640" customFormat="false" ht="15" hidden="false" customHeight="false" outlineLevel="0" collapsed="false">
      <c r="A2640" s="0" t="s">
        <v>211</v>
      </c>
      <c r="B2640" s="0" t="n">
        <v>2021</v>
      </c>
      <c r="C2640" s="0" t="s">
        <v>25</v>
      </c>
      <c r="D2640" s="0" t="n">
        <v>11.5630709206163</v>
      </c>
      <c r="E2640" s="0" t="s">
        <v>522</v>
      </c>
    </row>
    <row r="2641" customFormat="false" ht="15" hidden="false" customHeight="false" outlineLevel="0" collapsed="false">
      <c r="A2641" s="0" t="s">
        <v>211</v>
      </c>
      <c r="B2641" s="0" t="n">
        <v>2021</v>
      </c>
      <c r="C2641" s="0" t="s">
        <v>29</v>
      </c>
      <c r="D2641" s="0" t="n">
        <v>0.197308429076335</v>
      </c>
      <c r="E2641" s="0" t="s">
        <v>522</v>
      </c>
    </row>
    <row r="2642" customFormat="false" ht="15" hidden="false" customHeight="false" outlineLevel="0" collapsed="false">
      <c r="A2642" s="0" t="s">
        <v>211</v>
      </c>
      <c r="B2642" s="0" t="n">
        <v>2021</v>
      </c>
      <c r="C2642" s="0" t="s">
        <v>23</v>
      </c>
      <c r="D2642" s="0" t="n">
        <v>78.4809495556107</v>
      </c>
      <c r="E2642" s="0" t="s">
        <v>522</v>
      </c>
    </row>
    <row r="2643" customFormat="false" ht="15" hidden="false" customHeight="false" outlineLevel="0" collapsed="false">
      <c r="A2643" s="0" t="s">
        <v>211</v>
      </c>
      <c r="B2643" s="0" t="n">
        <v>2021</v>
      </c>
      <c r="C2643" s="0" t="s">
        <v>37</v>
      </c>
      <c r="D2643" s="0" t="n">
        <v>4.88192854487163</v>
      </c>
      <c r="E2643" s="0" t="s">
        <v>522</v>
      </c>
    </row>
    <row r="2644" customFormat="false" ht="15" hidden="false" customHeight="false" outlineLevel="0" collapsed="false">
      <c r="A2644" s="0" t="s">
        <v>211</v>
      </c>
      <c r="B2644" s="0" t="n">
        <v>2021</v>
      </c>
      <c r="C2644" s="0" t="s">
        <v>43</v>
      </c>
      <c r="D2644" s="0" t="n">
        <v>0.767115925696855</v>
      </c>
      <c r="E2644" s="0" t="s">
        <v>522</v>
      </c>
    </row>
    <row r="2645" customFormat="false" ht="15" hidden="false" customHeight="false" outlineLevel="0" collapsed="false">
      <c r="A2645" s="0" t="s">
        <v>211</v>
      </c>
      <c r="B2645" s="0" t="n">
        <v>2021</v>
      </c>
      <c r="C2645" s="0" t="s">
        <v>31</v>
      </c>
      <c r="D2645" s="0" t="n">
        <v>93.9576414312888</v>
      </c>
      <c r="E2645" s="0" t="s">
        <v>522</v>
      </c>
    </row>
    <row r="2646" customFormat="false" ht="15" hidden="false" customHeight="false" outlineLevel="0" collapsed="false">
      <c r="A2646" s="0" t="s">
        <v>211</v>
      </c>
      <c r="B2646" s="0" t="n">
        <v>2021</v>
      </c>
      <c r="C2646" s="0" t="s">
        <v>33</v>
      </c>
      <c r="D2646" s="0" t="n">
        <v>13.9678177095371</v>
      </c>
      <c r="E2646" s="0" t="s">
        <v>522</v>
      </c>
    </row>
    <row r="2647" customFormat="false" ht="15" hidden="false" customHeight="false" outlineLevel="0" collapsed="false">
      <c r="A2647" s="0" t="s">
        <v>211</v>
      </c>
      <c r="B2647" s="0" t="n">
        <v>2021</v>
      </c>
      <c r="C2647" s="0" t="s">
        <v>21</v>
      </c>
      <c r="D2647" s="0" t="n">
        <v>0.000999999974737875</v>
      </c>
      <c r="E2647" s="0" t="s">
        <v>522</v>
      </c>
    </row>
    <row r="2648" customFormat="false" ht="15" hidden="false" customHeight="false" outlineLevel="0" collapsed="false">
      <c r="A2648" s="0" t="s">
        <v>211</v>
      </c>
      <c r="B2648" s="0" t="n">
        <v>2021</v>
      </c>
      <c r="C2648" s="0" t="s">
        <v>35</v>
      </c>
      <c r="D2648" s="0" t="n">
        <v>0</v>
      </c>
      <c r="E2648" s="0" t="s">
        <v>522</v>
      </c>
    </row>
    <row r="2649" customFormat="false" ht="15" hidden="false" customHeight="false" outlineLevel="0" collapsed="false">
      <c r="A2649" s="0" t="s">
        <v>211</v>
      </c>
      <c r="B2649" s="0" t="n">
        <v>2022</v>
      </c>
      <c r="C2649" s="0" t="s">
        <v>54</v>
      </c>
      <c r="D2649" s="0" t="n">
        <v>11214.027</v>
      </c>
      <c r="E2649" s="0" t="s">
        <v>521</v>
      </c>
      <c r="G2649" s="0" t="s">
        <v>81</v>
      </c>
    </row>
    <row r="2650" customFormat="false" ht="15" hidden="false" customHeight="false" outlineLevel="0" collapsed="false">
      <c r="A2650" s="0" t="s">
        <v>211</v>
      </c>
      <c r="B2650" s="0" t="n">
        <v>2022</v>
      </c>
      <c r="C2650" s="0" t="s">
        <v>55</v>
      </c>
      <c r="D2650" s="0" t="n">
        <v>1433703.656</v>
      </c>
      <c r="E2650" s="0" t="s">
        <v>521</v>
      </c>
      <c r="G2650" s="0" t="s">
        <v>81</v>
      </c>
    </row>
    <row r="2651" customFormat="false" ht="15" hidden="false" customHeight="false" outlineLevel="0" collapsed="false">
      <c r="A2651" s="0" t="s">
        <v>211</v>
      </c>
      <c r="B2651" s="0" t="n">
        <v>2022</v>
      </c>
      <c r="C2651" s="0" t="s">
        <v>56</v>
      </c>
      <c r="D2651" s="0" t="n">
        <v>1351080.98</v>
      </c>
      <c r="E2651" s="0" t="s">
        <v>521</v>
      </c>
      <c r="G2651" s="0" t="s">
        <v>81</v>
      </c>
    </row>
    <row r="2652" customFormat="false" ht="15" hidden="false" customHeight="false" outlineLevel="0" collapsed="false">
      <c r="A2652" s="0" t="s">
        <v>211</v>
      </c>
      <c r="B2652" s="0" t="n">
        <v>2022</v>
      </c>
      <c r="C2652" s="0" t="s">
        <v>57</v>
      </c>
      <c r="D2652" s="0" t="n">
        <v>82622.676</v>
      </c>
      <c r="E2652" s="0" t="s">
        <v>521</v>
      </c>
      <c r="G2652" s="0" t="s">
        <v>81</v>
      </c>
    </row>
    <row r="2653" customFormat="false" ht="15" hidden="false" customHeight="false" outlineLevel="0" collapsed="false">
      <c r="A2653" s="0" t="s">
        <v>211</v>
      </c>
      <c r="B2653" s="0" t="n">
        <v>2022</v>
      </c>
      <c r="C2653" s="0" t="s">
        <v>58</v>
      </c>
      <c r="D2653" s="0" t="n">
        <v>179324.77</v>
      </c>
      <c r="E2653" s="0" t="s">
        <v>521</v>
      </c>
      <c r="G2653" s="0" t="s">
        <v>81</v>
      </c>
    </row>
    <row r="2654" customFormat="false" ht="15" hidden="false" customHeight="false" outlineLevel="0" collapsed="false">
      <c r="A2654" s="0" t="s">
        <v>211</v>
      </c>
      <c r="B2654" s="0" t="n">
        <v>2022</v>
      </c>
      <c r="C2654" s="0" t="s">
        <v>60</v>
      </c>
      <c r="D2654" s="0" t="n">
        <v>539372.013</v>
      </c>
      <c r="E2654" s="0" t="s">
        <v>521</v>
      </c>
      <c r="G2654" s="0" t="s">
        <v>81</v>
      </c>
    </row>
    <row r="2655" customFormat="false" ht="15" hidden="false" customHeight="false" outlineLevel="0" collapsed="false">
      <c r="A2655" s="0" t="s">
        <v>211</v>
      </c>
      <c r="B2655" s="0" t="n">
        <v>2022</v>
      </c>
      <c r="C2655" s="0" t="s">
        <v>61</v>
      </c>
      <c r="D2655" s="0" t="n">
        <v>17941.317</v>
      </c>
      <c r="E2655" s="0" t="s">
        <v>521</v>
      </c>
      <c r="G2655" s="0" t="s">
        <v>81</v>
      </c>
    </row>
    <row r="2656" customFormat="false" ht="15" hidden="false" customHeight="false" outlineLevel="0" collapsed="false">
      <c r="A2656" s="0" t="s">
        <v>211</v>
      </c>
      <c r="B2656" s="0" t="n">
        <v>2022</v>
      </c>
      <c r="C2656" s="0" t="s">
        <v>62</v>
      </c>
      <c r="D2656" s="0" t="n">
        <v>521430.696</v>
      </c>
      <c r="E2656" s="0" t="s">
        <v>521</v>
      </c>
      <c r="G2656" s="0" t="s">
        <v>81</v>
      </c>
    </row>
    <row r="2657" customFormat="false" ht="15" hidden="false" customHeight="false" outlineLevel="0" collapsed="false">
      <c r="A2657" s="0" t="s">
        <v>211</v>
      </c>
      <c r="B2657" s="0" t="n">
        <v>2022</v>
      </c>
      <c r="C2657" s="0" t="s">
        <v>63</v>
      </c>
      <c r="D2657" s="0" t="n">
        <v>4762.274</v>
      </c>
      <c r="E2657" s="0" t="s">
        <v>521</v>
      </c>
      <c r="G2657" s="0" t="s">
        <v>81</v>
      </c>
      <c r="I2657" s="0" t="s">
        <v>1508</v>
      </c>
    </row>
    <row r="2658" customFormat="false" ht="15" hidden="false" customHeight="false" outlineLevel="0" collapsed="false">
      <c r="A2658" s="0" t="s">
        <v>211</v>
      </c>
      <c r="B2658" s="0" t="n">
        <v>2022</v>
      </c>
      <c r="C2658" s="0" t="s">
        <v>69</v>
      </c>
      <c r="D2658" s="0" t="n">
        <v>12.74</v>
      </c>
      <c r="E2658" s="0" t="s">
        <v>521</v>
      </c>
      <c r="G2658" s="0" t="s">
        <v>81</v>
      </c>
    </row>
    <row r="2659" customFormat="false" ht="15" hidden="false" customHeight="false" outlineLevel="0" collapsed="false">
      <c r="A2659" s="0" t="s">
        <v>211</v>
      </c>
      <c r="B2659" s="0" t="n">
        <v>2022</v>
      </c>
      <c r="C2659" s="0" t="s">
        <v>65</v>
      </c>
      <c r="D2659" s="0" t="n">
        <v>59144.646</v>
      </c>
      <c r="E2659" s="0" t="s">
        <v>521</v>
      </c>
      <c r="G2659" s="0" t="s">
        <v>81</v>
      </c>
    </row>
    <row r="2660" customFormat="false" ht="15" hidden="false" customHeight="false" outlineLevel="0" collapsed="false">
      <c r="A2660" s="0" t="s">
        <v>211</v>
      </c>
      <c r="B2660" s="0" t="n">
        <v>2022</v>
      </c>
      <c r="C2660" s="0" t="s">
        <v>66</v>
      </c>
      <c r="D2660" s="0" t="n">
        <v>464338.153</v>
      </c>
      <c r="E2660" s="0" t="s">
        <v>521</v>
      </c>
      <c r="G2660" s="0" t="s">
        <v>81</v>
      </c>
    </row>
    <row r="2661" customFormat="false" ht="15" hidden="false" customHeight="false" outlineLevel="0" collapsed="false">
      <c r="A2661" s="0" t="s">
        <v>211</v>
      </c>
      <c r="B2661" s="0" t="n">
        <v>2022</v>
      </c>
      <c r="C2661" s="0" t="s">
        <v>73</v>
      </c>
      <c r="D2661" s="0" t="n">
        <v>0</v>
      </c>
      <c r="E2661" s="0" t="s">
        <v>539</v>
      </c>
      <c r="F2661" s="0" t="s">
        <v>363</v>
      </c>
      <c r="G2661" s="0" t="s">
        <v>901</v>
      </c>
      <c r="H2661" s="0" t="s">
        <v>370</v>
      </c>
    </row>
    <row r="2662" customFormat="false" ht="15" hidden="false" customHeight="false" outlineLevel="0" collapsed="false">
      <c r="A2662" s="0" t="s">
        <v>211</v>
      </c>
      <c r="B2662" s="0" t="n">
        <v>2022</v>
      </c>
      <c r="C2662" s="0" t="s">
        <v>68</v>
      </c>
      <c r="D2662" s="0" t="n">
        <v>12600.451</v>
      </c>
      <c r="E2662" s="0" t="s">
        <v>521</v>
      </c>
      <c r="G2662" s="0" t="s">
        <v>81</v>
      </c>
    </row>
    <row r="2663" customFormat="false" ht="15" hidden="false" customHeight="false" outlineLevel="0" collapsed="false">
      <c r="A2663" s="0" t="s">
        <v>211</v>
      </c>
      <c r="B2663" s="0" t="n">
        <v>2022</v>
      </c>
      <c r="C2663" s="0" t="s">
        <v>541</v>
      </c>
      <c r="D2663" s="0" t="n">
        <v>14746.008</v>
      </c>
      <c r="E2663" s="0" t="s">
        <v>521</v>
      </c>
      <c r="G2663" s="0" t="s">
        <v>81</v>
      </c>
    </row>
    <row r="2664" customFormat="false" ht="15" hidden="false" customHeight="false" outlineLevel="0" collapsed="false">
      <c r="A2664" s="0" t="s">
        <v>211</v>
      </c>
      <c r="B2664" s="0" t="n">
        <v>2022</v>
      </c>
      <c r="C2664" s="0" t="s">
        <v>27</v>
      </c>
      <c r="D2664" s="0" t="n">
        <v>5.76288381871853</v>
      </c>
      <c r="E2664" s="0" t="s">
        <v>522</v>
      </c>
    </row>
    <row r="2665" customFormat="false" ht="15" hidden="false" customHeight="false" outlineLevel="0" collapsed="false">
      <c r="A2665" s="0" t="s">
        <v>211</v>
      </c>
      <c r="B2665" s="0" t="n">
        <v>2022</v>
      </c>
      <c r="C2665" s="0" t="s">
        <v>17</v>
      </c>
      <c r="D2665" s="0" t="n">
        <v>3.32633443478277</v>
      </c>
      <c r="E2665" s="0" t="s">
        <v>522</v>
      </c>
    </row>
    <row r="2666" customFormat="false" ht="15" hidden="false" customHeight="false" outlineLevel="0" collapsed="false">
      <c r="A2666" s="0" t="s">
        <v>211</v>
      </c>
      <c r="B2666" s="0" t="n">
        <v>2022</v>
      </c>
      <c r="C2666" s="0" t="s">
        <v>25</v>
      </c>
      <c r="D2666" s="0" t="n">
        <v>12.7374082051793</v>
      </c>
      <c r="E2666" s="0" t="s">
        <v>522</v>
      </c>
    </row>
    <row r="2667" customFormat="false" ht="15" hidden="false" customHeight="false" outlineLevel="0" collapsed="false">
      <c r="A2667" s="0" t="s">
        <v>211</v>
      </c>
      <c r="B2667" s="0" t="n">
        <v>2022</v>
      </c>
      <c r="C2667" s="0" t="s">
        <v>43</v>
      </c>
      <c r="D2667" s="0" t="n">
        <v>0.782171891176373</v>
      </c>
      <c r="E2667" s="0" t="s">
        <v>522</v>
      </c>
    </row>
    <row r="2668" customFormat="false" ht="15" hidden="false" customHeight="false" outlineLevel="0" collapsed="false">
      <c r="A2668" s="0" t="s">
        <v>211</v>
      </c>
      <c r="B2668" s="0" t="n">
        <v>2022</v>
      </c>
      <c r="C2668" s="0" t="s">
        <v>31</v>
      </c>
      <c r="D2668" s="0" t="n">
        <v>94.2371161812815</v>
      </c>
      <c r="E2668" s="0" t="s">
        <v>522</v>
      </c>
    </row>
    <row r="2669" customFormat="false" ht="15" hidden="false" customHeight="false" outlineLevel="0" collapsed="false">
      <c r="A2669" s="0" t="s">
        <v>211</v>
      </c>
      <c r="B2669" s="0" t="n">
        <v>2022</v>
      </c>
      <c r="C2669" s="0" t="s">
        <v>33</v>
      </c>
      <c r="D2669" s="0" t="n">
        <v>14.1757716232764</v>
      </c>
      <c r="E2669" s="0" t="s">
        <v>522</v>
      </c>
    </row>
    <row r="2670" customFormat="false" ht="15" hidden="false" customHeight="false" outlineLevel="0" collapsed="false">
      <c r="A2670" s="0" t="s">
        <v>211</v>
      </c>
      <c r="B2670" s="0" t="n">
        <v>2022</v>
      </c>
      <c r="C2670" s="0" t="s">
        <v>21</v>
      </c>
      <c r="D2670" s="0" t="n">
        <v>-2.91038304567337E-011</v>
      </c>
      <c r="E2670" s="0" t="s">
        <v>522</v>
      </c>
    </row>
    <row r="2671" customFormat="false" ht="15" hidden="false" customHeight="false" outlineLevel="0" collapsed="false">
      <c r="A2671" s="0" t="s">
        <v>211</v>
      </c>
      <c r="B2671" s="0" t="n">
        <v>2022</v>
      </c>
      <c r="C2671" s="0" t="s">
        <v>35</v>
      </c>
      <c r="D2671" s="0" t="n">
        <v>5.82076609134674E-011</v>
      </c>
      <c r="E2671" s="0" t="s">
        <v>522</v>
      </c>
    </row>
    <row r="2672" customFormat="false" ht="15" hidden="false" customHeight="false" outlineLevel="0" collapsed="false">
      <c r="A2672" s="0" t="s">
        <v>222</v>
      </c>
      <c r="B2672" s="0" t="n">
        <v>2013</v>
      </c>
      <c r="C2672" s="0" t="s">
        <v>54</v>
      </c>
      <c r="D2672" s="0" t="n">
        <v>83414</v>
      </c>
      <c r="E2672" s="0" t="s">
        <v>523</v>
      </c>
      <c r="F2672" s="0" t="s">
        <v>524</v>
      </c>
      <c r="G2672" s="0" t="s">
        <v>103</v>
      </c>
      <c r="H2672" s="0" t="s">
        <v>1509</v>
      </c>
    </row>
    <row r="2673" customFormat="false" ht="15" hidden="false" customHeight="false" outlineLevel="0" collapsed="false">
      <c r="A2673" s="0" t="s">
        <v>222</v>
      </c>
      <c r="B2673" s="0" t="n">
        <v>2013</v>
      </c>
      <c r="C2673" s="0" t="s">
        <v>55</v>
      </c>
      <c r="D2673" s="0" t="n">
        <v>2878693</v>
      </c>
      <c r="E2673" s="0" t="s">
        <v>523</v>
      </c>
      <c r="F2673" s="0" t="s">
        <v>524</v>
      </c>
      <c r="G2673" s="0" t="s">
        <v>103</v>
      </c>
      <c r="H2673" s="0" t="s">
        <v>1510</v>
      </c>
    </row>
    <row r="2674" customFormat="false" ht="15" hidden="false" customHeight="false" outlineLevel="0" collapsed="false">
      <c r="A2674" s="0" t="s">
        <v>222</v>
      </c>
      <c r="B2674" s="0" t="n">
        <v>2013</v>
      </c>
      <c r="C2674" s="0" t="s">
        <v>56</v>
      </c>
      <c r="D2674" s="0" t="n">
        <v>2406071</v>
      </c>
      <c r="E2674" s="0" t="s">
        <v>523</v>
      </c>
      <c r="F2674" s="0" t="s">
        <v>524</v>
      </c>
      <c r="G2674" s="0" t="s">
        <v>103</v>
      </c>
      <c r="H2674" s="0" t="s">
        <v>1511</v>
      </c>
    </row>
    <row r="2675" customFormat="false" ht="15" hidden="false" customHeight="false" outlineLevel="0" collapsed="false">
      <c r="A2675" s="0" t="s">
        <v>222</v>
      </c>
      <c r="B2675" s="0" t="n">
        <v>2013</v>
      </c>
      <c r="C2675" s="0" t="s">
        <v>57</v>
      </c>
      <c r="D2675" s="0" t="n">
        <v>472622</v>
      </c>
      <c r="E2675" s="0" t="s">
        <v>523</v>
      </c>
      <c r="F2675" s="0" t="s">
        <v>524</v>
      </c>
      <c r="G2675" s="0" t="s">
        <v>103</v>
      </c>
      <c r="H2675" s="0" t="s">
        <v>1512</v>
      </c>
    </row>
    <row r="2676" customFormat="false" ht="15" hidden="false" customHeight="false" outlineLevel="0" collapsed="false">
      <c r="A2676" s="0" t="s">
        <v>222</v>
      </c>
      <c r="B2676" s="0" t="n">
        <v>2013</v>
      </c>
      <c r="C2676" s="0" t="s">
        <v>58</v>
      </c>
      <c r="D2676" s="0" t="n">
        <v>235619</v>
      </c>
      <c r="E2676" s="0" t="s">
        <v>523</v>
      </c>
      <c r="F2676" s="0" t="s">
        <v>524</v>
      </c>
      <c r="G2676" s="0" t="s">
        <v>103</v>
      </c>
      <c r="H2676" s="0" t="s">
        <v>1513</v>
      </c>
    </row>
    <row r="2677" customFormat="false" ht="15" hidden="false" customHeight="false" outlineLevel="0" collapsed="false">
      <c r="A2677" s="0" t="s">
        <v>222</v>
      </c>
      <c r="B2677" s="0" t="n">
        <v>2013</v>
      </c>
      <c r="C2677" s="0" t="s">
        <v>59</v>
      </c>
      <c r="D2677" s="0" t="n">
        <v>2436886</v>
      </c>
      <c r="E2677" s="0" t="s">
        <v>523</v>
      </c>
      <c r="F2677" s="0" t="s">
        <v>524</v>
      </c>
      <c r="G2677" s="0" t="s">
        <v>103</v>
      </c>
      <c r="H2677" s="0" t="s">
        <v>1514</v>
      </c>
    </row>
    <row r="2678" customFormat="false" ht="15" hidden="false" customHeight="false" outlineLevel="0" collapsed="false">
      <c r="A2678" s="0" t="s">
        <v>222</v>
      </c>
      <c r="B2678" s="0" t="n">
        <v>2013</v>
      </c>
      <c r="C2678" s="0" t="s">
        <v>60</v>
      </c>
      <c r="D2678" s="0" t="n">
        <v>1148378</v>
      </c>
      <c r="E2678" s="0" t="s">
        <v>523</v>
      </c>
      <c r="F2678" s="0" t="s">
        <v>524</v>
      </c>
      <c r="G2678" s="0" t="s">
        <v>103</v>
      </c>
      <c r="H2678" s="0" t="s">
        <v>1515</v>
      </c>
    </row>
    <row r="2679" customFormat="false" ht="15" hidden="false" customHeight="false" outlineLevel="0" collapsed="false">
      <c r="A2679" s="0" t="s">
        <v>222</v>
      </c>
      <c r="B2679" s="0" t="n">
        <v>2013</v>
      </c>
      <c r="C2679" s="0" t="s">
        <v>61</v>
      </c>
      <c r="D2679" s="0" t="n">
        <v>21819</v>
      </c>
      <c r="E2679" s="0" t="s">
        <v>523</v>
      </c>
      <c r="F2679" s="0" t="s">
        <v>524</v>
      </c>
      <c r="G2679" s="0" t="s">
        <v>103</v>
      </c>
      <c r="H2679" s="0" t="s">
        <v>1516</v>
      </c>
    </row>
    <row r="2680" customFormat="false" ht="15" hidden="false" customHeight="false" outlineLevel="0" collapsed="false">
      <c r="A2680" s="0" t="s">
        <v>222</v>
      </c>
      <c r="B2680" s="0" t="n">
        <v>2013</v>
      </c>
      <c r="C2680" s="0" t="s">
        <v>62</v>
      </c>
      <c r="D2680" s="0" t="n">
        <v>1126559</v>
      </c>
      <c r="E2680" s="0" t="s">
        <v>523</v>
      </c>
      <c r="F2680" s="0" t="s">
        <v>524</v>
      </c>
      <c r="G2680" s="0" t="s">
        <v>103</v>
      </c>
      <c r="H2680" s="0" t="s">
        <v>1517</v>
      </c>
    </row>
    <row r="2681" customFormat="false" ht="15" hidden="false" customHeight="false" outlineLevel="0" collapsed="false">
      <c r="A2681" s="0" t="s">
        <v>222</v>
      </c>
      <c r="B2681" s="0" t="n">
        <v>2013</v>
      </c>
      <c r="C2681" s="0" t="s">
        <v>63</v>
      </c>
      <c r="D2681" s="0" t="n">
        <v>9907</v>
      </c>
      <c r="E2681" s="0" t="s">
        <v>523</v>
      </c>
      <c r="F2681" s="0" t="s">
        <v>524</v>
      </c>
      <c r="G2681" s="0" t="s">
        <v>103</v>
      </c>
      <c r="H2681" s="0" t="s">
        <v>1518</v>
      </c>
    </row>
    <row r="2682" customFormat="false" ht="15" hidden="false" customHeight="false" outlineLevel="0" collapsed="false">
      <c r="A2682" s="0" t="s">
        <v>222</v>
      </c>
      <c r="B2682" s="0" t="n">
        <v>2013</v>
      </c>
      <c r="C2682" s="0" t="s">
        <v>69</v>
      </c>
      <c r="D2682" s="0" t="n">
        <v>26</v>
      </c>
      <c r="E2682" s="0" t="s">
        <v>523</v>
      </c>
      <c r="F2682" s="0" t="s">
        <v>524</v>
      </c>
      <c r="G2682" s="0" t="s">
        <v>103</v>
      </c>
      <c r="H2682" s="0" t="s">
        <v>1519</v>
      </c>
    </row>
    <row r="2683" customFormat="false" ht="15" hidden="false" customHeight="false" outlineLevel="0" collapsed="false">
      <c r="A2683" s="0" t="s">
        <v>222</v>
      </c>
      <c r="B2683" s="0" t="n">
        <v>2013</v>
      </c>
      <c r="C2683" s="0" t="s">
        <v>65</v>
      </c>
      <c r="D2683" s="0" t="n">
        <v>470919</v>
      </c>
      <c r="E2683" s="0" t="s">
        <v>523</v>
      </c>
      <c r="F2683" s="0" t="s">
        <v>524</v>
      </c>
      <c r="G2683" s="0" t="s">
        <v>103</v>
      </c>
      <c r="H2683" s="0" t="s">
        <v>1520</v>
      </c>
    </row>
    <row r="2684" customFormat="false" ht="15" hidden="false" customHeight="false" outlineLevel="0" collapsed="false">
      <c r="A2684" s="0" t="s">
        <v>222</v>
      </c>
      <c r="B2684" s="0" t="n">
        <v>2013</v>
      </c>
      <c r="C2684" s="0" t="s">
        <v>66</v>
      </c>
      <c r="D2684" s="0" t="n">
        <v>1796099</v>
      </c>
      <c r="E2684" s="0" t="s">
        <v>523</v>
      </c>
      <c r="F2684" s="0" t="s">
        <v>524</v>
      </c>
      <c r="G2684" s="0" t="s">
        <v>103</v>
      </c>
      <c r="H2684" s="0" t="s">
        <v>1521</v>
      </c>
    </row>
    <row r="2685" customFormat="false" ht="15" hidden="false" customHeight="false" outlineLevel="0" collapsed="false">
      <c r="A2685" s="0" t="s">
        <v>222</v>
      </c>
      <c r="B2685" s="0" t="n">
        <v>2013</v>
      </c>
      <c r="C2685" s="0" t="s">
        <v>73</v>
      </c>
      <c r="D2685" s="0" t="n">
        <v>0</v>
      </c>
      <c r="E2685" s="0" t="s">
        <v>539</v>
      </c>
      <c r="F2685" s="0" t="s">
        <v>524</v>
      </c>
      <c r="G2685" s="0" t="s">
        <v>103</v>
      </c>
      <c r="H2685" s="0" t="s">
        <v>1522</v>
      </c>
    </row>
    <row r="2686" customFormat="false" ht="15" hidden="false" customHeight="false" outlineLevel="0" collapsed="false">
      <c r="A2686" s="0" t="s">
        <v>222</v>
      </c>
      <c r="B2686" s="0" t="n">
        <v>2013</v>
      </c>
      <c r="C2686" s="0" t="s">
        <v>541</v>
      </c>
      <c r="D2686" s="0" t="n">
        <v>94108</v>
      </c>
      <c r="E2686" s="0" t="s">
        <v>523</v>
      </c>
      <c r="F2686" s="0" t="s">
        <v>524</v>
      </c>
      <c r="G2686" s="0" t="s">
        <v>103</v>
      </c>
      <c r="H2686" s="0" t="s">
        <v>1523</v>
      </c>
    </row>
    <row r="2687" customFormat="false" ht="15" hidden="false" customHeight="false" outlineLevel="0" collapsed="false">
      <c r="A2687" s="0" t="s">
        <v>222</v>
      </c>
      <c r="B2687" s="0" t="n">
        <v>2013</v>
      </c>
      <c r="C2687" s="0" t="s">
        <v>543</v>
      </c>
      <c r="D2687" s="0" t="n">
        <v>5600</v>
      </c>
      <c r="E2687" s="0" t="s">
        <v>523</v>
      </c>
      <c r="F2687" s="0" t="s">
        <v>524</v>
      </c>
      <c r="G2687" s="0" t="s">
        <v>103</v>
      </c>
      <c r="H2687" s="0" t="s">
        <v>1524</v>
      </c>
    </row>
    <row r="2688" customFormat="false" ht="15" hidden="false" customHeight="false" outlineLevel="0" collapsed="false">
      <c r="A2688" s="0" t="s">
        <v>222</v>
      </c>
      <c r="B2688" s="0" t="n">
        <v>2013</v>
      </c>
      <c r="C2688" s="0" t="s">
        <v>545</v>
      </c>
      <c r="D2688" s="0" t="n">
        <v>16219</v>
      </c>
      <c r="E2688" s="0" t="s">
        <v>523</v>
      </c>
      <c r="F2688" s="0" t="s">
        <v>524</v>
      </c>
      <c r="G2688" s="0" t="s">
        <v>103</v>
      </c>
      <c r="H2688" s="0" t="s">
        <v>1525</v>
      </c>
    </row>
    <row r="2689" customFormat="false" ht="15" hidden="false" customHeight="false" outlineLevel="0" collapsed="false">
      <c r="A2689" s="0" t="s">
        <v>222</v>
      </c>
      <c r="B2689" s="0" t="n">
        <v>2013</v>
      </c>
      <c r="C2689" s="0" t="s">
        <v>19</v>
      </c>
      <c r="D2689" s="0" t="n">
        <v>2657789.5</v>
      </c>
      <c r="E2689" s="0" t="s">
        <v>522</v>
      </c>
    </row>
    <row r="2690" customFormat="false" ht="15" hidden="false" customHeight="false" outlineLevel="0" collapsed="false">
      <c r="A2690" s="0" t="s">
        <v>222</v>
      </c>
      <c r="B2690" s="0" t="n">
        <v>2013</v>
      </c>
      <c r="C2690" s="0" t="s">
        <v>41</v>
      </c>
      <c r="D2690" s="0" t="n">
        <v>3.13847277972917</v>
      </c>
      <c r="E2690" s="0" t="s">
        <v>522</v>
      </c>
    </row>
    <row r="2691" customFormat="false" ht="15" hidden="false" customHeight="false" outlineLevel="0" collapsed="false">
      <c r="A2691" s="0" t="s">
        <v>222</v>
      </c>
      <c r="B2691" s="0" t="n">
        <v>2013</v>
      </c>
      <c r="C2691" s="0" t="s">
        <v>27</v>
      </c>
      <c r="D2691" s="0" t="n">
        <v>16.4179368901095</v>
      </c>
      <c r="E2691" s="0" t="s">
        <v>522</v>
      </c>
    </row>
    <row r="2692" customFormat="false" ht="15" hidden="false" customHeight="false" outlineLevel="0" collapsed="false">
      <c r="A2692" s="0" t="s">
        <v>222</v>
      </c>
      <c r="B2692" s="0" t="n">
        <v>2013</v>
      </c>
      <c r="C2692" s="0" t="s">
        <v>39</v>
      </c>
      <c r="D2692" s="0" t="n">
        <v>8.86522427754342</v>
      </c>
      <c r="E2692" s="0" t="s">
        <v>522</v>
      </c>
    </row>
    <row r="2693" customFormat="false" ht="15" hidden="false" customHeight="false" outlineLevel="0" collapsed="false">
      <c r="A2693" s="0" t="s">
        <v>222</v>
      </c>
      <c r="B2693" s="0" t="n">
        <v>2013</v>
      </c>
      <c r="C2693" s="0" t="s">
        <v>17</v>
      </c>
      <c r="D2693" s="0" t="n">
        <v>1.89998415155985</v>
      </c>
      <c r="E2693" s="0" t="s">
        <v>522</v>
      </c>
    </row>
    <row r="2694" customFormat="false" ht="15" hidden="false" customHeight="false" outlineLevel="0" collapsed="false">
      <c r="A2694" s="0" t="s">
        <v>222</v>
      </c>
      <c r="B2694" s="0" t="n">
        <v>2013</v>
      </c>
      <c r="C2694" s="0" t="s">
        <v>25</v>
      </c>
      <c r="D2694" s="0" t="n">
        <v>26.2189890423635</v>
      </c>
      <c r="E2694" s="0" t="s">
        <v>522</v>
      </c>
    </row>
    <row r="2695" customFormat="false" ht="15" hidden="false" customHeight="false" outlineLevel="0" collapsed="false">
      <c r="A2695" s="0" t="s">
        <v>222</v>
      </c>
      <c r="B2695" s="0" t="n">
        <v>2013</v>
      </c>
      <c r="C2695" s="0" t="s">
        <v>29</v>
      </c>
      <c r="D2695" s="0" t="n">
        <v>0.372753372680568</v>
      </c>
      <c r="E2695" s="0" t="s">
        <v>522</v>
      </c>
    </row>
    <row r="2696" customFormat="false" ht="15" hidden="false" customHeight="false" outlineLevel="0" collapsed="false">
      <c r="A2696" s="0" t="s">
        <v>222</v>
      </c>
      <c r="B2696" s="0" t="n">
        <v>2013</v>
      </c>
      <c r="C2696" s="0" t="s">
        <v>43</v>
      </c>
      <c r="D2696" s="0" t="n">
        <v>2.89763444729952</v>
      </c>
      <c r="E2696" s="0" t="s">
        <v>522</v>
      </c>
    </row>
    <row r="2697" customFormat="false" ht="15" hidden="false" customHeight="false" outlineLevel="0" collapsed="false">
      <c r="A2697" s="0" t="s">
        <v>222</v>
      </c>
      <c r="B2697" s="0" t="n">
        <v>2013</v>
      </c>
      <c r="C2697" s="0" t="s">
        <v>31</v>
      </c>
      <c r="D2697" s="0" t="n">
        <v>83.5820631098905</v>
      </c>
      <c r="E2697" s="0" t="s">
        <v>522</v>
      </c>
    </row>
    <row r="2698" customFormat="false" ht="15" hidden="false" customHeight="false" outlineLevel="0" collapsed="false">
      <c r="A2698" s="0" t="s">
        <v>222</v>
      </c>
      <c r="B2698" s="0" t="n">
        <v>2013</v>
      </c>
      <c r="C2698" s="0" t="s">
        <v>33</v>
      </c>
      <c r="D2698" s="0" t="n">
        <v>14.8728469296605</v>
      </c>
      <c r="E2698" s="0" t="s">
        <v>522</v>
      </c>
    </row>
    <row r="2699" customFormat="false" ht="15" hidden="false" customHeight="false" outlineLevel="0" collapsed="false">
      <c r="A2699" s="0" t="s">
        <v>222</v>
      </c>
      <c r="B2699" s="0" t="n">
        <v>2013</v>
      </c>
      <c r="C2699" s="0" t="s">
        <v>21</v>
      </c>
      <c r="D2699" s="0" t="n">
        <v>0</v>
      </c>
      <c r="E2699" s="0" t="s">
        <v>522</v>
      </c>
    </row>
    <row r="2700" customFormat="false" ht="15" hidden="false" customHeight="false" outlineLevel="0" collapsed="false">
      <c r="A2700" s="0" t="s">
        <v>222</v>
      </c>
      <c r="B2700" s="0" t="n">
        <v>2013</v>
      </c>
      <c r="C2700" s="0" t="s">
        <v>35</v>
      </c>
      <c r="D2700" s="0" t="n">
        <v>0</v>
      </c>
      <c r="E2700" s="0" t="s">
        <v>522</v>
      </c>
    </row>
    <row r="2701" customFormat="false" ht="15" hidden="false" customHeight="false" outlineLevel="0" collapsed="false">
      <c r="A2701" s="0" t="s">
        <v>222</v>
      </c>
      <c r="B2701" s="0" t="n">
        <v>2014</v>
      </c>
      <c r="C2701" s="0" t="s">
        <v>54</v>
      </c>
      <c r="D2701" s="0" t="n">
        <v>92479</v>
      </c>
      <c r="E2701" s="0" t="s">
        <v>521</v>
      </c>
      <c r="G2701" s="0" t="s">
        <v>81</v>
      </c>
    </row>
    <row r="2702" customFormat="false" ht="15" hidden="false" customHeight="false" outlineLevel="0" collapsed="false">
      <c r="A2702" s="0" t="s">
        <v>222</v>
      </c>
      <c r="B2702" s="0" t="n">
        <v>2014</v>
      </c>
      <c r="C2702" s="0" t="s">
        <v>55</v>
      </c>
      <c r="D2702" s="0" t="n">
        <v>3423819</v>
      </c>
      <c r="E2702" s="0" t="s">
        <v>521</v>
      </c>
      <c r="G2702" s="0" t="s">
        <v>81</v>
      </c>
    </row>
    <row r="2703" customFormat="false" ht="15" hidden="false" customHeight="false" outlineLevel="0" collapsed="false">
      <c r="A2703" s="0" t="s">
        <v>222</v>
      </c>
      <c r="B2703" s="0" t="n">
        <v>2014</v>
      </c>
      <c r="C2703" s="0" t="s">
        <v>56</v>
      </c>
      <c r="D2703" s="0" t="n">
        <v>2911112</v>
      </c>
      <c r="E2703" s="0" t="s">
        <v>521</v>
      </c>
      <c r="G2703" s="0" t="s">
        <v>81</v>
      </c>
    </row>
    <row r="2704" customFormat="false" ht="15" hidden="false" customHeight="false" outlineLevel="0" collapsed="false">
      <c r="A2704" s="0" t="s">
        <v>222</v>
      </c>
      <c r="B2704" s="0" t="n">
        <v>2014</v>
      </c>
      <c r="C2704" s="0" t="s">
        <v>57</v>
      </c>
      <c r="D2704" s="0" t="n">
        <v>512707</v>
      </c>
      <c r="E2704" s="0" t="s">
        <v>521</v>
      </c>
      <c r="G2704" s="0" t="s">
        <v>81</v>
      </c>
    </row>
    <row r="2705" customFormat="false" ht="15" hidden="false" customHeight="false" outlineLevel="0" collapsed="false">
      <c r="A2705" s="0" t="s">
        <v>222</v>
      </c>
      <c r="B2705" s="0" t="n">
        <v>2014</v>
      </c>
      <c r="C2705" s="0" t="s">
        <v>58</v>
      </c>
      <c r="D2705" s="0" t="n">
        <v>-145986</v>
      </c>
      <c r="E2705" s="0" t="s">
        <v>521</v>
      </c>
      <c r="G2705" s="0" t="s">
        <v>81</v>
      </c>
    </row>
    <row r="2706" customFormat="false" ht="15" hidden="false" customHeight="false" outlineLevel="0" collapsed="false">
      <c r="A2706" s="0" t="s">
        <v>222</v>
      </c>
      <c r="B2706" s="0" t="n">
        <v>2014</v>
      </c>
      <c r="C2706" s="0" t="s">
        <v>60</v>
      </c>
      <c r="D2706" s="0" t="n">
        <v>1605581</v>
      </c>
      <c r="E2706" s="0" t="s">
        <v>521</v>
      </c>
      <c r="G2706" s="0" t="s">
        <v>81</v>
      </c>
    </row>
    <row r="2707" customFormat="false" ht="15" hidden="false" customHeight="false" outlineLevel="0" collapsed="false">
      <c r="A2707" s="0" t="s">
        <v>222</v>
      </c>
      <c r="B2707" s="0" t="n">
        <v>2014</v>
      </c>
      <c r="C2707" s="0" t="s">
        <v>61</v>
      </c>
      <c r="D2707" s="0" t="n">
        <v>25331</v>
      </c>
      <c r="E2707" s="0" t="s">
        <v>521</v>
      </c>
      <c r="G2707" s="0" t="s">
        <v>81</v>
      </c>
    </row>
    <row r="2708" customFormat="false" ht="15" hidden="false" customHeight="false" outlineLevel="0" collapsed="false">
      <c r="A2708" s="0" t="s">
        <v>222</v>
      </c>
      <c r="B2708" s="0" t="n">
        <v>2014</v>
      </c>
      <c r="C2708" s="0" t="s">
        <v>63</v>
      </c>
      <c r="D2708" s="0" t="n">
        <v>12392</v>
      </c>
      <c r="E2708" s="0" t="s">
        <v>521</v>
      </c>
      <c r="G2708" s="0" t="s">
        <v>81</v>
      </c>
    </row>
    <row r="2709" customFormat="false" ht="15" hidden="false" customHeight="false" outlineLevel="0" collapsed="false">
      <c r="A2709" s="0" t="s">
        <v>222</v>
      </c>
      <c r="B2709" s="0" t="n">
        <v>2014</v>
      </c>
      <c r="C2709" s="0" t="s">
        <v>64</v>
      </c>
      <c r="D2709" s="0" t="n">
        <v>26407</v>
      </c>
      <c r="E2709" s="0" t="s">
        <v>521</v>
      </c>
      <c r="G2709" s="0" t="s">
        <v>81</v>
      </c>
    </row>
    <row r="2710" customFormat="false" ht="15" hidden="false" customHeight="false" outlineLevel="0" collapsed="false">
      <c r="A2710" s="0" t="s">
        <v>222</v>
      </c>
      <c r="B2710" s="0" t="n">
        <v>2014</v>
      </c>
      <c r="C2710" s="0" t="s">
        <v>69</v>
      </c>
      <c r="D2710" s="0" t="n">
        <v>19</v>
      </c>
      <c r="E2710" s="0" t="s">
        <v>521</v>
      </c>
      <c r="G2710" s="0" t="s">
        <v>81</v>
      </c>
    </row>
    <row r="2711" customFormat="false" ht="15" hidden="false" customHeight="false" outlineLevel="0" collapsed="false">
      <c r="A2711" s="0" t="s">
        <v>222</v>
      </c>
      <c r="B2711" s="0" t="n">
        <v>2014</v>
      </c>
      <c r="C2711" s="0" t="s">
        <v>27</v>
      </c>
      <c r="D2711" s="0" t="n">
        <v>14.9747109879348</v>
      </c>
      <c r="E2711" s="0" t="s">
        <v>522</v>
      </c>
    </row>
    <row r="2712" customFormat="false" ht="15" hidden="false" customHeight="false" outlineLevel="0" collapsed="false">
      <c r="A2712" s="0" t="s">
        <v>222</v>
      </c>
      <c r="B2712" s="0" t="n">
        <v>2014</v>
      </c>
      <c r="C2712" s="0" t="s">
        <v>17</v>
      </c>
      <c r="D2712" s="0" t="n">
        <v>1.57768433981219</v>
      </c>
      <c r="E2712" s="0" t="s">
        <v>522</v>
      </c>
    </row>
    <row r="2713" customFormat="false" ht="15" hidden="false" customHeight="false" outlineLevel="0" collapsed="false">
      <c r="A2713" s="0" t="s">
        <v>222</v>
      </c>
      <c r="B2713" s="0" t="n">
        <v>2014</v>
      </c>
      <c r="C2713" s="0" t="s">
        <v>23</v>
      </c>
      <c r="D2713" s="0" t="n">
        <v>95.9253228310675</v>
      </c>
      <c r="E2713" s="0" t="s">
        <v>522</v>
      </c>
    </row>
    <row r="2714" customFormat="false" ht="15" hidden="false" customHeight="false" outlineLevel="0" collapsed="false">
      <c r="A2714" s="0" t="s">
        <v>222</v>
      </c>
      <c r="B2714" s="0" t="n">
        <v>2014</v>
      </c>
      <c r="C2714" s="0" t="s">
        <v>37</v>
      </c>
      <c r="D2714" s="0" t="n">
        <v>1.6447005787936</v>
      </c>
      <c r="E2714" s="0" t="s">
        <v>522</v>
      </c>
    </row>
    <row r="2715" customFormat="false" ht="15" hidden="false" customHeight="false" outlineLevel="0" collapsed="false">
      <c r="A2715" s="0" t="s">
        <v>222</v>
      </c>
      <c r="B2715" s="0" t="n">
        <v>2014</v>
      </c>
      <c r="C2715" s="0" t="s">
        <v>43</v>
      </c>
      <c r="D2715" s="0" t="n">
        <v>2.70104815704335</v>
      </c>
      <c r="E2715" s="0" t="s">
        <v>522</v>
      </c>
    </row>
    <row r="2716" customFormat="false" ht="15" hidden="false" customHeight="false" outlineLevel="0" collapsed="false">
      <c r="A2716" s="0" t="s">
        <v>222</v>
      </c>
      <c r="B2716" s="0" t="n">
        <v>2014</v>
      </c>
      <c r="C2716" s="0" t="s">
        <v>31</v>
      </c>
      <c r="D2716" s="0" t="n">
        <v>85.0252890120652</v>
      </c>
      <c r="E2716" s="0" t="s">
        <v>522</v>
      </c>
    </row>
    <row r="2717" customFormat="false" ht="15" hidden="false" customHeight="false" outlineLevel="0" collapsed="false">
      <c r="A2717" s="0" t="s">
        <v>222</v>
      </c>
      <c r="B2717" s="0" t="n">
        <v>2014</v>
      </c>
      <c r="C2717" s="0" t="s">
        <v>33</v>
      </c>
      <c r="D2717" s="0" t="n">
        <v>15.046267152697</v>
      </c>
      <c r="E2717" s="0" t="s">
        <v>522</v>
      </c>
    </row>
    <row r="2718" customFormat="false" ht="15" hidden="false" customHeight="false" outlineLevel="0" collapsed="false">
      <c r="A2718" s="0" t="s">
        <v>222</v>
      </c>
      <c r="B2718" s="0" t="n">
        <v>2014</v>
      </c>
      <c r="C2718" s="0" t="s">
        <v>21</v>
      </c>
      <c r="D2718" s="0" t="n">
        <v>0</v>
      </c>
      <c r="E2718" s="0" t="s">
        <v>522</v>
      </c>
    </row>
    <row r="2719" customFormat="false" ht="15" hidden="false" customHeight="false" outlineLevel="0" collapsed="false">
      <c r="A2719" s="0" t="s">
        <v>222</v>
      </c>
      <c r="B2719" s="0" t="n">
        <v>2015</v>
      </c>
      <c r="C2719" s="0" t="s">
        <v>54</v>
      </c>
      <c r="D2719" s="0" t="n">
        <v>98784</v>
      </c>
      <c r="E2719" s="0" t="s">
        <v>521</v>
      </c>
      <c r="G2719" s="0" t="s">
        <v>81</v>
      </c>
    </row>
    <row r="2720" customFormat="false" ht="15" hidden="false" customHeight="false" outlineLevel="0" collapsed="false">
      <c r="A2720" s="0" t="s">
        <v>222</v>
      </c>
      <c r="B2720" s="0" t="n">
        <v>2015</v>
      </c>
      <c r="C2720" s="0" t="s">
        <v>55</v>
      </c>
      <c r="D2720" s="0" t="n">
        <v>3750327</v>
      </c>
      <c r="E2720" s="0" t="s">
        <v>521</v>
      </c>
      <c r="G2720" s="0" t="s">
        <v>81</v>
      </c>
    </row>
    <row r="2721" customFormat="false" ht="15" hidden="false" customHeight="false" outlineLevel="0" collapsed="false">
      <c r="A2721" s="0" t="s">
        <v>222</v>
      </c>
      <c r="B2721" s="0" t="n">
        <v>2015</v>
      </c>
      <c r="C2721" s="0" t="s">
        <v>56</v>
      </c>
      <c r="D2721" s="0" t="n">
        <v>3203381</v>
      </c>
      <c r="E2721" s="0" t="s">
        <v>521</v>
      </c>
      <c r="G2721" s="0" t="s">
        <v>81</v>
      </c>
    </row>
    <row r="2722" customFormat="false" ht="15" hidden="false" customHeight="false" outlineLevel="0" collapsed="false">
      <c r="A2722" s="0" t="s">
        <v>222</v>
      </c>
      <c r="B2722" s="0" t="n">
        <v>2015</v>
      </c>
      <c r="C2722" s="0" t="s">
        <v>57</v>
      </c>
      <c r="D2722" s="0" t="n">
        <v>546946</v>
      </c>
      <c r="E2722" s="0" t="s">
        <v>521</v>
      </c>
      <c r="G2722" s="0" t="s">
        <v>81</v>
      </c>
    </row>
    <row r="2723" customFormat="false" ht="15" hidden="false" customHeight="false" outlineLevel="0" collapsed="false">
      <c r="A2723" s="0" t="s">
        <v>222</v>
      </c>
      <c r="B2723" s="0" t="n">
        <v>2015</v>
      </c>
      <c r="C2723" s="0" t="s">
        <v>58</v>
      </c>
      <c r="D2723" s="0" t="n">
        <v>-415396</v>
      </c>
      <c r="E2723" s="0" t="s">
        <v>521</v>
      </c>
      <c r="G2723" s="0" t="s">
        <v>81</v>
      </c>
    </row>
    <row r="2724" customFormat="false" ht="15" hidden="false" customHeight="false" outlineLevel="0" collapsed="false">
      <c r="A2724" s="0" t="s">
        <v>222</v>
      </c>
      <c r="B2724" s="0" t="n">
        <v>2015</v>
      </c>
      <c r="C2724" s="0" t="s">
        <v>59</v>
      </c>
      <c r="D2724" s="0" t="n">
        <v>3423819</v>
      </c>
      <c r="E2724" s="0" t="s">
        <v>521</v>
      </c>
      <c r="G2724" s="0" t="s">
        <v>81</v>
      </c>
    </row>
    <row r="2725" customFormat="false" ht="15" hidden="false" customHeight="false" outlineLevel="0" collapsed="false">
      <c r="A2725" s="0" t="s">
        <v>222</v>
      </c>
      <c r="B2725" s="0" t="n">
        <v>2015</v>
      </c>
      <c r="C2725" s="0" t="s">
        <v>60</v>
      </c>
      <c r="D2725" s="0" t="n">
        <v>1884941</v>
      </c>
      <c r="E2725" s="0" t="s">
        <v>521</v>
      </c>
      <c r="G2725" s="0" t="s">
        <v>81</v>
      </c>
    </row>
    <row r="2726" customFormat="false" ht="15" hidden="false" customHeight="false" outlineLevel="0" collapsed="false">
      <c r="A2726" s="0" t="s">
        <v>222</v>
      </c>
      <c r="B2726" s="0" t="n">
        <v>2015</v>
      </c>
      <c r="C2726" s="0" t="s">
        <v>61</v>
      </c>
      <c r="D2726" s="0" t="n">
        <v>35716</v>
      </c>
      <c r="E2726" s="0" t="s">
        <v>521</v>
      </c>
      <c r="G2726" s="0" t="s">
        <v>81</v>
      </c>
    </row>
    <row r="2727" customFormat="false" ht="15" hidden="false" customHeight="false" outlineLevel="0" collapsed="false">
      <c r="A2727" s="0" t="s">
        <v>222</v>
      </c>
      <c r="B2727" s="0" t="n">
        <v>2015</v>
      </c>
      <c r="C2727" s="0" t="s">
        <v>63</v>
      </c>
      <c r="D2727" s="0" t="n">
        <v>11091</v>
      </c>
      <c r="E2727" s="0" t="s">
        <v>521</v>
      </c>
      <c r="G2727" s="0" t="s">
        <v>81</v>
      </c>
    </row>
    <row r="2728" customFormat="false" ht="15" hidden="false" customHeight="false" outlineLevel="0" collapsed="false">
      <c r="A2728" s="0" t="s">
        <v>222</v>
      </c>
      <c r="B2728" s="0" t="n">
        <v>2015</v>
      </c>
      <c r="C2728" s="0" t="s">
        <v>64</v>
      </c>
      <c r="D2728" s="0" t="n">
        <v>30871</v>
      </c>
      <c r="E2728" s="0" t="s">
        <v>521</v>
      </c>
      <c r="G2728" s="0" t="s">
        <v>81</v>
      </c>
    </row>
    <row r="2729" customFormat="false" ht="15" hidden="false" customHeight="false" outlineLevel="0" collapsed="false">
      <c r="A2729" s="0" t="s">
        <v>222</v>
      </c>
      <c r="B2729" s="0" t="n">
        <v>2015</v>
      </c>
      <c r="C2729" s="0" t="s">
        <v>69</v>
      </c>
      <c r="D2729" s="0" t="n">
        <v>20</v>
      </c>
      <c r="E2729" s="0" t="s">
        <v>521</v>
      </c>
      <c r="G2729" s="0" t="s">
        <v>81</v>
      </c>
    </row>
    <row r="2730" customFormat="false" ht="15" hidden="false" customHeight="false" outlineLevel="0" collapsed="false">
      <c r="A2730" s="0" t="s">
        <v>222</v>
      </c>
      <c r="B2730" s="0" t="n">
        <v>2015</v>
      </c>
      <c r="C2730" s="0" t="s">
        <v>19</v>
      </c>
      <c r="D2730" s="0" t="n">
        <v>3587073</v>
      </c>
      <c r="E2730" s="0" t="s">
        <v>522</v>
      </c>
    </row>
    <row r="2731" customFormat="false" ht="15" hidden="false" customHeight="false" outlineLevel="0" collapsed="false">
      <c r="A2731" s="0" t="s">
        <v>222</v>
      </c>
      <c r="B2731" s="0" t="n">
        <v>2015</v>
      </c>
      <c r="C2731" s="0" t="s">
        <v>41</v>
      </c>
      <c r="D2731" s="0" t="n">
        <v>2.75388875553968</v>
      </c>
      <c r="E2731" s="0" t="s">
        <v>522</v>
      </c>
    </row>
    <row r="2732" customFormat="false" ht="15" hidden="false" customHeight="false" outlineLevel="0" collapsed="false">
      <c r="A2732" s="0" t="s">
        <v>222</v>
      </c>
      <c r="B2732" s="0" t="n">
        <v>2015</v>
      </c>
      <c r="C2732" s="0" t="s">
        <v>27</v>
      </c>
      <c r="D2732" s="0" t="n">
        <v>14.5839549457954</v>
      </c>
      <c r="E2732" s="0" t="s">
        <v>522</v>
      </c>
    </row>
    <row r="2733" customFormat="false" ht="15" hidden="false" customHeight="false" outlineLevel="0" collapsed="false">
      <c r="A2733" s="0" t="s">
        <v>222</v>
      </c>
      <c r="B2733" s="0" t="n">
        <v>2015</v>
      </c>
      <c r="C2733" s="0" t="s">
        <v>39</v>
      </c>
      <c r="D2733" s="0" t="n">
        <v>-11.580360923795</v>
      </c>
      <c r="E2733" s="0" t="s">
        <v>522</v>
      </c>
    </row>
    <row r="2734" customFormat="false" ht="15" hidden="false" customHeight="false" outlineLevel="0" collapsed="false">
      <c r="A2734" s="0" t="s">
        <v>222</v>
      </c>
      <c r="B2734" s="0" t="n">
        <v>2015</v>
      </c>
      <c r="C2734" s="0" t="s">
        <v>17</v>
      </c>
      <c r="D2734" s="0" t="n">
        <v>1.89480731757652</v>
      </c>
      <c r="E2734" s="0" t="s">
        <v>522</v>
      </c>
    </row>
    <row r="2735" customFormat="false" ht="15" hidden="false" customHeight="false" outlineLevel="0" collapsed="false">
      <c r="A2735" s="0" t="s">
        <v>222</v>
      </c>
      <c r="B2735" s="0" t="n">
        <v>2015</v>
      </c>
      <c r="C2735" s="0" t="s">
        <v>29</v>
      </c>
      <c r="D2735" s="0" t="n">
        <v>0.309193596004319</v>
      </c>
      <c r="E2735" s="0" t="s">
        <v>522</v>
      </c>
    </row>
    <row r="2736" customFormat="false" ht="15" hidden="false" customHeight="false" outlineLevel="0" collapsed="false">
      <c r="A2736" s="0" t="s">
        <v>222</v>
      </c>
      <c r="B2736" s="0" t="n">
        <v>2015</v>
      </c>
      <c r="C2736" s="0" t="s">
        <v>23</v>
      </c>
      <c r="D2736" s="0" t="n">
        <v>115.694340967251</v>
      </c>
      <c r="E2736" s="0" t="s">
        <v>522</v>
      </c>
    </row>
    <row r="2737" customFormat="false" ht="15" hidden="false" customHeight="false" outlineLevel="0" collapsed="false">
      <c r="A2737" s="0" t="s">
        <v>222</v>
      </c>
      <c r="B2737" s="0" t="n">
        <v>2015</v>
      </c>
      <c r="C2737" s="0" t="s">
        <v>37</v>
      </c>
      <c r="D2737" s="0" t="n">
        <v>1.63777009466079</v>
      </c>
      <c r="E2737" s="0" t="s">
        <v>522</v>
      </c>
    </row>
    <row r="2738" customFormat="false" ht="15" hidden="false" customHeight="false" outlineLevel="0" collapsed="false">
      <c r="A2738" s="0" t="s">
        <v>222</v>
      </c>
      <c r="B2738" s="0" t="n">
        <v>2015</v>
      </c>
      <c r="C2738" s="0" t="s">
        <v>43</v>
      </c>
      <c r="D2738" s="0" t="n">
        <v>2.63401031430059</v>
      </c>
      <c r="E2738" s="0" t="s">
        <v>522</v>
      </c>
    </row>
    <row r="2739" customFormat="false" ht="15" hidden="false" customHeight="false" outlineLevel="0" collapsed="false">
      <c r="A2739" s="0" t="s">
        <v>222</v>
      </c>
      <c r="B2739" s="0" t="n">
        <v>2015</v>
      </c>
      <c r="C2739" s="0" t="s">
        <v>31</v>
      </c>
      <c r="D2739" s="0" t="n">
        <v>85.4160450542046</v>
      </c>
      <c r="E2739" s="0" t="s">
        <v>522</v>
      </c>
    </row>
    <row r="2740" customFormat="false" ht="15" hidden="false" customHeight="false" outlineLevel="0" collapsed="false">
      <c r="A2740" s="0" t="s">
        <v>222</v>
      </c>
      <c r="B2740" s="0" t="n">
        <v>2015</v>
      </c>
      <c r="C2740" s="0" t="s">
        <v>33</v>
      </c>
      <c r="D2740" s="0" t="n">
        <v>15.1373535941449</v>
      </c>
      <c r="E2740" s="0" t="s">
        <v>522</v>
      </c>
    </row>
    <row r="2741" customFormat="false" ht="15" hidden="false" customHeight="false" outlineLevel="0" collapsed="false">
      <c r="A2741" s="0" t="s">
        <v>222</v>
      </c>
      <c r="B2741" s="0" t="n">
        <v>2015</v>
      </c>
      <c r="C2741" s="0" t="s">
        <v>21</v>
      </c>
      <c r="D2741" s="0" t="n">
        <v>0</v>
      </c>
      <c r="E2741" s="0" t="s">
        <v>522</v>
      </c>
    </row>
    <row r="2742" customFormat="false" ht="15" hidden="false" customHeight="false" outlineLevel="0" collapsed="false">
      <c r="A2742" s="0" t="s">
        <v>222</v>
      </c>
      <c r="B2742" s="0" t="n">
        <v>2016</v>
      </c>
      <c r="C2742" s="0" t="s">
        <v>54</v>
      </c>
      <c r="D2742" s="0" t="n">
        <v>119285</v>
      </c>
      <c r="E2742" s="0" t="s">
        <v>523</v>
      </c>
      <c r="F2742" s="0" t="s">
        <v>524</v>
      </c>
      <c r="G2742" s="0" t="s">
        <v>226</v>
      </c>
      <c r="H2742" s="0" t="s">
        <v>1526</v>
      </c>
    </row>
    <row r="2743" customFormat="false" ht="15" hidden="false" customHeight="false" outlineLevel="0" collapsed="false">
      <c r="A2743" s="0" t="s">
        <v>222</v>
      </c>
      <c r="B2743" s="0" t="n">
        <v>2016</v>
      </c>
      <c r="C2743" s="0" t="s">
        <v>55</v>
      </c>
      <c r="D2743" s="0" t="n">
        <v>4283736</v>
      </c>
      <c r="E2743" s="0" t="s">
        <v>523</v>
      </c>
      <c r="F2743" s="0" t="s">
        <v>524</v>
      </c>
      <c r="G2743" s="0" t="s">
        <v>226</v>
      </c>
      <c r="H2743" s="0" t="s">
        <v>1527</v>
      </c>
    </row>
    <row r="2744" customFormat="false" ht="15" hidden="false" customHeight="false" outlineLevel="0" collapsed="false">
      <c r="A2744" s="0" t="s">
        <v>222</v>
      </c>
      <c r="B2744" s="0" t="n">
        <v>2016</v>
      </c>
      <c r="C2744" s="0" t="s">
        <v>56</v>
      </c>
      <c r="D2744" s="0" t="n">
        <v>3667383</v>
      </c>
      <c r="E2744" s="0" t="s">
        <v>523</v>
      </c>
      <c r="F2744" s="0" t="s">
        <v>524</v>
      </c>
      <c r="G2744" s="0" t="s">
        <v>226</v>
      </c>
      <c r="H2744" s="0" t="s">
        <v>1528</v>
      </c>
    </row>
    <row r="2745" customFormat="false" ht="15" hidden="false" customHeight="false" outlineLevel="0" collapsed="false">
      <c r="A2745" s="0" t="s">
        <v>222</v>
      </c>
      <c r="B2745" s="0" t="n">
        <v>2016</v>
      </c>
      <c r="C2745" s="0" t="s">
        <v>57</v>
      </c>
      <c r="D2745" s="0" t="n">
        <v>616353</v>
      </c>
      <c r="E2745" s="0" t="s">
        <v>523</v>
      </c>
      <c r="F2745" s="0" t="s">
        <v>524</v>
      </c>
      <c r="G2745" s="0" t="s">
        <v>226</v>
      </c>
      <c r="H2745" s="0" t="s">
        <v>1529</v>
      </c>
    </row>
    <row r="2746" customFormat="false" ht="15" hidden="false" customHeight="false" outlineLevel="0" collapsed="false">
      <c r="A2746" s="0" t="s">
        <v>222</v>
      </c>
      <c r="B2746" s="0" t="n">
        <v>2016</v>
      </c>
      <c r="C2746" s="0" t="s">
        <v>58</v>
      </c>
      <c r="D2746" s="0" t="n">
        <v>-104917</v>
      </c>
      <c r="E2746" s="0" t="s">
        <v>523</v>
      </c>
      <c r="F2746" s="0" t="s">
        <v>524</v>
      </c>
      <c r="G2746" s="0" t="s">
        <v>226</v>
      </c>
      <c r="H2746" s="0" t="s">
        <v>1530</v>
      </c>
    </row>
    <row r="2747" customFormat="false" ht="15" hidden="false" customHeight="false" outlineLevel="0" collapsed="false">
      <c r="A2747" s="0" t="s">
        <v>222</v>
      </c>
      <c r="B2747" s="0" t="n">
        <v>2016</v>
      </c>
      <c r="C2747" s="0" t="s">
        <v>59</v>
      </c>
      <c r="D2747" s="0" t="n">
        <v>3750327</v>
      </c>
      <c r="E2747" s="0" t="s">
        <v>523</v>
      </c>
      <c r="F2747" s="0" t="s">
        <v>524</v>
      </c>
      <c r="G2747" s="0" t="s">
        <v>226</v>
      </c>
      <c r="H2747" s="0" t="s">
        <v>1531</v>
      </c>
    </row>
    <row r="2748" customFormat="false" ht="15" hidden="false" customHeight="false" outlineLevel="0" collapsed="false">
      <c r="A2748" s="0" t="s">
        <v>222</v>
      </c>
      <c r="B2748" s="0" t="n">
        <v>2016</v>
      </c>
      <c r="C2748" s="0" t="s">
        <v>60</v>
      </c>
      <c r="D2748" s="0" t="n">
        <v>2193224</v>
      </c>
      <c r="E2748" s="0" t="s">
        <v>523</v>
      </c>
      <c r="F2748" s="0" t="s">
        <v>524</v>
      </c>
      <c r="G2748" s="0" t="s">
        <v>226</v>
      </c>
      <c r="H2748" s="0" t="s">
        <v>1532</v>
      </c>
    </row>
    <row r="2749" customFormat="false" ht="15" hidden="false" customHeight="false" outlineLevel="0" collapsed="false">
      <c r="A2749" s="0" t="s">
        <v>222</v>
      </c>
      <c r="B2749" s="0" t="n">
        <v>2016</v>
      </c>
      <c r="C2749" s="0" t="s">
        <v>61</v>
      </c>
      <c r="D2749" s="0" t="n">
        <v>55092</v>
      </c>
      <c r="E2749" s="0" t="s">
        <v>979</v>
      </c>
      <c r="F2749" s="0" t="s">
        <v>524</v>
      </c>
      <c r="G2749" s="0" t="s">
        <v>226</v>
      </c>
      <c r="H2749" s="0" t="s">
        <v>1533</v>
      </c>
    </row>
    <row r="2750" customFormat="false" ht="15" hidden="false" customHeight="false" outlineLevel="0" collapsed="false">
      <c r="A2750" s="0" t="s">
        <v>222</v>
      </c>
      <c r="B2750" s="0" t="n">
        <v>2016</v>
      </c>
      <c r="C2750" s="0" t="s">
        <v>62</v>
      </c>
      <c r="D2750" s="0" t="n">
        <v>2138132</v>
      </c>
      <c r="E2750" s="0" t="s">
        <v>523</v>
      </c>
      <c r="F2750" s="0" t="s">
        <v>524</v>
      </c>
      <c r="G2750" s="0" t="s">
        <v>226</v>
      </c>
      <c r="H2750" s="0" t="s">
        <v>1534</v>
      </c>
    </row>
    <row r="2751" customFormat="false" ht="15" hidden="false" customHeight="false" outlineLevel="0" collapsed="false">
      <c r="A2751" s="0" t="s">
        <v>222</v>
      </c>
      <c r="B2751" s="0" t="n">
        <v>2016</v>
      </c>
      <c r="C2751" s="0" t="s">
        <v>63</v>
      </c>
      <c r="D2751" s="0" t="n">
        <v>26295</v>
      </c>
      <c r="E2751" s="0" t="s">
        <v>523</v>
      </c>
      <c r="F2751" s="0" t="s">
        <v>524</v>
      </c>
      <c r="G2751" s="0" t="s">
        <v>226</v>
      </c>
      <c r="H2751" s="0" t="s">
        <v>1535</v>
      </c>
    </row>
    <row r="2752" customFormat="false" ht="15" hidden="false" customHeight="false" outlineLevel="0" collapsed="false">
      <c r="A2752" s="0" t="s">
        <v>222</v>
      </c>
      <c r="B2752" s="0" t="n">
        <v>2016</v>
      </c>
      <c r="C2752" s="0" t="s">
        <v>64</v>
      </c>
      <c r="D2752" s="0" t="n">
        <v>57577</v>
      </c>
      <c r="E2752" s="0" t="s">
        <v>523</v>
      </c>
      <c r="F2752" s="0" t="s">
        <v>524</v>
      </c>
      <c r="G2752" s="0" t="s">
        <v>226</v>
      </c>
      <c r="H2752" s="0" t="s">
        <v>1536</v>
      </c>
    </row>
    <row r="2753" customFormat="false" ht="15" hidden="false" customHeight="false" outlineLevel="0" collapsed="false">
      <c r="A2753" s="0" t="s">
        <v>222</v>
      </c>
      <c r="B2753" s="0" t="n">
        <v>2016</v>
      </c>
      <c r="C2753" s="0" t="s">
        <v>69</v>
      </c>
      <c r="D2753" s="0" t="n">
        <v>22</v>
      </c>
      <c r="E2753" s="0" t="s">
        <v>523</v>
      </c>
      <c r="F2753" s="0" t="s">
        <v>524</v>
      </c>
      <c r="G2753" s="0" t="s">
        <v>226</v>
      </c>
      <c r="H2753" s="0" t="s">
        <v>1537</v>
      </c>
    </row>
    <row r="2754" customFormat="false" ht="15" hidden="false" customHeight="false" outlineLevel="0" collapsed="false">
      <c r="A2754" s="0" t="s">
        <v>222</v>
      </c>
      <c r="B2754" s="0" t="n">
        <v>2016</v>
      </c>
      <c r="C2754" s="0" t="s">
        <v>65</v>
      </c>
      <c r="D2754" s="0" t="n">
        <v>565277</v>
      </c>
      <c r="E2754" s="0" t="s">
        <v>523</v>
      </c>
      <c r="F2754" s="0" t="s">
        <v>524</v>
      </c>
      <c r="G2754" s="0" t="s">
        <v>226</v>
      </c>
      <c r="H2754" s="0" t="s">
        <v>1538</v>
      </c>
    </row>
    <row r="2755" customFormat="false" ht="15" hidden="false" customHeight="false" outlineLevel="0" collapsed="false">
      <c r="A2755" s="0" t="s">
        <v>222</v>
      </c>
      <c r="B2755" s="0" t="n">
        <v>2016</v>
      </c>
      <c r="C2755" s="0" t="s">
        <v>66</v>
      </c>
      <c r="D2755" s="0" t="n">
        <v>2624643</v>
      </c>
      <c r="E2755" s="0" t="s">
        <v>523</v>
      </c>
      <c r="F2755" s="0" t="s">
        <v>524</v>
      </c>
      <c r="G2755" s="0" t="s">
        <v>226</v>
      </c>
      <c r="H2755" s="0" t="s">
        <v>1539</v>
      </c>
    </row>
    <row r="2756" customFormat="false" ht="15" hidden="false" customHeight="false" outlineLevel="0" collapsed="false">
      <c r="A2756" s="0" t="s">
        <v>222</v>
      </c>
      <c r="B2756" s="0" t="n">
        <v>2016</v>
      </c>
      <c r="C2756" s="0" t="s">
        <v>541</v>
      </c>
      <c r="D2756" s="0" t="n">
        <v>139927</v>
      </c>
      <c r="E2756" s="0" t="s">
        <v>523</v>
      </c>
      <c r="F2756" s="0" t="s">
        <v>524</v>
      </c>
      <c r="G2756" s="0" t="s">
        <v>226</v>
      </c>
      <c r="H2756" s="0" t="s">
        <v>1540</v>
      </c>
    </row>
    <row r="2757" customFormat="false" ht="15" hidden="false" customHeight="false" outlineLevel="0" collapsed="false">
      <c r="A2757" s="0" t="s">
        <v>222</v>
      </c>
      <c r="B2757" s="0" t="n">
        <v>2016</v>
      </c>
      <c r="C2757" s="0" t="s">
        <v>543</v>
      </c>
      <c r="D2757" s="0" t="n">
        <v>17607</v>
      </c>
      <c r="E2757" s="0" t="s">
        <v>523</v>
      </c>
      <c r="F2757" s="0" t="s">
        <v>524</v>
      </c>
      <c r="G2757" s="0" t="s">
        <v>226</v>
      </c>
      <c r="H2757" s="0" t="s">
        <v>1541</v>
      </c>
    </row>
    <row r="2758" customFormat="false" ht="15" hidden="false" customHeight="false" outlineLevel="0" collapsed="false">
      <c r="A2758" s="0" t="s">
        <v>222</v>
      </c>
      <c r="B2758" s="0" t="n">
        <v>2016</v>
      </c>
      <c r="C2758" s="0" t="s">
        <v>545</v>
      </c>
      <c r="D2758" s="0" t="n">
        <v>37485</v>
      </c>
      <c r="E2758" s="0" t="s">
        <v>523</v>
      </c>
      <c r="F2758" s="0" t="s">
        <v>524</v>
      </c>
      <c r="G2758" s="0" t="s">
        <v>226</v>
      </c>
      <c r="H2758" s="0" t="s">
        <v>1542</v>
      </c>
    </row>
    <row r="2759" customFormat="false" ht="15" hidden="false" customHeight="false" outlineLevel="0" collapsed="false">
      <c r="A2759" s="0" t="s">
        <v>222</v>
      </c>
      <c r="B2759" s="0" t="n">
        <v>2016</v>
      </c>
      <c r="C2759" s="0" t="s">
        <v>19</v>
      </c>
      <c r="D2759" s="0" t="n">
        <v>4017031.5</v>
      </c>
      <c r="E2759" s="0" t="s">
        <v>522</v>
      </c>
    </row>
    <row r="2760" customFormat="false" ht="15" hidden="false" customHeight="false" outlineLevel="0" collapsed="false">
      <c r="A2760" s="0" t="s">
        <v>222</v>
      </c>
      <c r="B2760" s="0" t="n">
        <v>2016</v>
      </c>
      <c r="C2760" s="0" t="s">
        <v>41</v>
      </c>
      <c r="D2760" s="0" t="n">
        <v>2.96948131972577</v>
      </c>
      <c r="E2760" s="0" t="s">
        <v>522</v>
      </c>
    </row>
    <row r="2761" customFormat="false" ht="15" hidden="false" customHeight="false" outlineLevel="0" collapsed="false">
      <c r="A2761" s="0" t="s">
        <v>222</v>
      </c>
      <c r="B2761" s="0" t="n">
        <v>2016</v>
      </c>
      <c r="C2761" s="0" t="s">
        <v>27</v>
      </c>
      <c r="D2761" s="0" t="n">
        <v>14.3882115984739</v>
      </c>
      <c r="E2761" s="0" t="s">
        <v>522</v>
      </c>
    </row>
    <row r="2762" customFormat="false" ht="15" hidden="false" customHeight="false" outlineLevel="0" collapsed="false">
      <c r="A2762" s="0" t="s">
        <v>222</v>
      </c>
      <c r="B2762" s="0" t="n">
        <v>2016</v>
      </c>
      <c r="C2762" s="0" t="s">
        <v>39</v>
      </c>
      <c r="D2762" s="0" t="n">
        <v>-2.61180426391976</v>
      </c>
      <c r="E2762" s="0" t="s">
        <v>522</v>
      </c>
    </row>
    <row r="2763" customFormat="false" ht="15" hidden="false" customHeight="false" outlineLevel="0" collapsed="false">
      <c r="A2763" s="0" t="s">
        <v>222</v>
      </c>
      <c r="B2763" s="0" t="n">
        <v>2016</v>
      </c>
      <c r="C2763" s="0" t="s">
        <v>17</v>
      </c>
      <c r="D2763" s="0" t="n">
        <v>2.51191852724574</v>
      </c>
      <c r="E2763" s="0" t="s">
        <v>522</v>
      </c>
    </row>
    <row r="2764" customFormat="false" ht="15" hidden="false" customHeight="false" outlineLevel="0" collapsed="false">
      <c r="A2764" s="0" t="s">
        <v>222</v>
      </c>
      <c r="B2764" s="0" t="n">
        <v>2016</v>
      </c>
      <c r="C2764" s="0" t="s">
        <v>25</v>
      </c>
      <c r="D2764" s="0" t="n">
        <v>21.5372909763347</v>
      </c>
      <c r="E2764" s="0" t="s">
        <v>522</v>
      </c>
    </row>
    <row r="2765" customFormat="false" ht="15" hidden="false" customHeight="false" outlineLevel="0" collapsed="false">
      <c r="A2765" s="0" t="s">
        <v>222</v>
      </c>
      <c r="B2765" s="0" t="n">
        <v>2016</v>
      </c>
      <c r="C2765" s="0" t="s">
        <v>29</v>
      </c>
      <c r="D2765" s="0" t="n">
        <v>0.654587846771926</v>
      </c>
      <c r="E2765" s="0" t="s">
        <v>522</v>
      </c>
    </row>
    <row r="2766" customFormat="false" ht="15" hidden="false" customHeight="false" outlineLevel="0" collapsed="false">
      <c r="A2766" s="0" t="s">
        <v>222</v>
      </c>
      <c r="B2766" s="0" t="n">
        <v>2016</v>
      </c>
      <c r="C2766" s="0" t="s">
        <v>23</v>
      </c>
      <c r="D2766" s="0" t="n">
        <v>95.6840405022839</v>
      </c>
      <c r="E2766" s="0" t="s">
        <v>522</v>
      </c>
    </row>
    <row r="2767" customFormat="false" ht="15" hidden="false" customHeight="false" outlineLevel="0" collapsed="false">
      <c r="A2767" s="0" t="s">
        <v>222</v>
      </c>
      <c r="B2767" s="0" t="n">
        <v>2016</v>
      </c>
      <c r="C2767" s="0" t="s">
        <v>37</v>
      </c>
      <c r="D2767" s="0" t="n">
        <v>2.6252220475428</v>
      </c>
      <c r="E2767" s="0" t="s">
        <v>522</v>
      </c>
    </row>
    <row r="2768" customFormat="false" ht="15" hidden="false" customHeight="false" outlineLevel="0" collapsed="false">
      <c r="A2768" s="0" t="s">
        <v>222</v>
      </c>
      <c r="B2768" s="0" t="n">
        <v>2016</v>
      </c>
      <c r="C2768" s="0" t="s">
        <v>43</v>
      </c>
      <c r="D2768" s="0" t="n">
        <v>2.78460203896785</v>
      </c>
      <c r="E2768" s="0" t="s">
        <v>522</v>
      </c>
    </row>
    <row r="2769" customFormat="false" ht="15" hidden="false" customHeight="false" outlineLevel="0" collapsed="false">
      <c r="A2769" s="0" t="s">
        <v>222</v>
      </c>
      <c r="B2769" s="0" t="n">
        <v>2016</v>
      </c>
      <c r="C2769" s="0" t="s">
        <v>31</v>
      </c>
      <c r="D2769" s="0" t="n">
        <v>85.6117884015261</v>
      </c>
      <c r="E2769" s="0" t="s">
        <v>522</v>
      </c>
    </row>
    <row r="2770" customFormat="false" ht="15" hidden="false" customHeight="false" outlineLevel="0" collapsed="false">
      <c r="A2770" s="0" t="s">
        <v>222</v>
      </c>
      <c r="B2770" s="0" t="n">
        <v>2016</v>
      </c>
      <c r="C2770" s="0" t="s">
        <v>33</v>
      </c>
      <c r="D2770" s="0" t="n">
        <v>15.270336084001</v>
      </c>
      <c r="E2770" s="0" t="s">
        <v>522</v>
      </c>
    </row>
    <row r="2771" customFormat="false" ht="15" hidden="false" customHeight="false" outlineLevel="0" collapsed="false">
      <c r="A2771" s="0" t="s">
        <v>222</v>
      </c>
      <c r="B2771" s="0" t="n">
        <v>2016</v>
      </c>
      <c r="C2771" s="0" t="s">
        <v>21</v>
      </c>
      <c r="D2771" s="0" t="n">
        <v>0</v>
      </c>
      <c r="E2771" s="0" t="s">
        <v>522</v>
      </c>
    </row>
    <row r="2772" customFormat="false" ht="15" hidden="false" customHeight="false" outlineLevel="0" collapsed="false">
      <c r="A2772" s="0" t="s">
        <v>222</v>
      </c>
      <c r="B2772" s="0" t="n">
        <v>2016</v>
      </c>
      <c r="C2772" s="0" t="s">
        <v>35</v>
      </c>
      <c r="D2772" s="0" t="n">
        <v>0</v>
      </c>
      <c r="E2772" s="0" t="s">
        <v>522</v>
      </c>
    </row>
    <row r="2773" customFormat="false" ht="15" hidden="false" customHeight="false" outlineLevel="0" collapsed="false">
      <c r="A2773" s="0" t="s">
        <v>222</v>
      </c>
      <c r="B2773" s="0" t="n">
        <v>2017</v>
      </c>
      <c r="C2773" s="0" t="s">
        <v>54</v>
      </c>
      <c r="D2773" s="0" t="n">
        <v>157145</v>
      </c>
      <c r="E2773" s="0" t="s">
        <v>523</v>
      </c>
      <c r="F2773" s="0" t="s">
        <v>524</v>
      </c>
      <c r="G2773" s="0" t="s">
        <v>228</v>
      </c>
      <c r="H2773" s="0" t="s">
        <v>1543</v>
      </c>
    </row>
    <row r="2774" customFormat="false" ht="15" hidden="false" customHeight="false" outlineLevel="0" collapsed="false">
      <c r="A2774" s="0" t="s">
        <v>222</v>
      </c>
      <c r="B2774" s="0" t="n">
        <v>2017</v>
      </c>
      <c r="C2774" s="0" t="s">
        <v>55</v>
      </c>
      <c r="D2774" s="0" t="n">
        <v>4833658</v>
      </c>
      <c r="E2774" s="0" t="s">
        <v>539</v>
      </c>
      <c r="F2774" s="0" t="s">
        <v>524</v>
      </c>
      <c r="G2774" s="0" t="s">
        <v>228</v>
      </c>
      <c r="H2774" s="0" t="s">
        <v>1544</v>
      </c>
    </row>
    <row r="2775" customFormat="false" ht="15" hidden="false" customHeight="false" outlineLevel="0" collapsed="false">
      <c r="A2775" s="0" t="s">
        <v>222</v>
      </c>
      <c r="B2775" s="0" t="n">
        <v>2017</v>
      </c>
      <c r="C2775" s="0" t="s">
        <v>56</v>
      </c>
      <c r="D2775" s="0" t="n">
        <v>4126133</v>
      </c>
      <c r="E2775" s="0" t="s">
        <v>539</v>
      </c>
      <c r="F2775" s="0" t="s">
        <v>524</v>
      </c>
      <c r="G2775" s="0" t="s">
        <v>228</v>
      </c>
      <c r="H2775" s="0" t="s">
        <v>1545</v>
      </c>
      <c r="I2775" s="0" t="s">
        <v>699</v>
      </c>
    </row>
    <row r="2776" customFormat="false" ht="15" hidden="false" customHeight="false" outlineLevel="0" collapsed="false">
      <c r="A2776" s="0" t="s">
        <v>222</v>
      </c>
      <c r="B2776" s="0" t="n">
        <v>2017</v>
      </c>
      <c r="C2776" s="0" t="s">
        <v>57</v>
      </c>
      <c r="D2776" s="0" t="n">
        <v>707525</v>
      </c>
      <c r="E2776" s="0" t="s">
        <v>539</v>
      </c>
      <c r="F2776" s="0" t="s">
        <v>524</v>
      </c>
      <c r="G2776" s="0" t="s">
        <v>228</v>
      </c>
      <c r="H2776" s="0" t="s">
        <v>1546</v>
      </c>
    </row>
    <row r="2777" customFormat="false" ht="15" hidden="false" customHeight="false" outlineLevel="0" collapsed="false">
      <c r="A2777" s="0" t="s">
        <v>222</v>
      </c>
      <c r="B2777" s="0" t="n">
        <v>2017</v>
      </c>
      <c r="C2777" s="0" t="s">
        <v>58</v>
      </c>
      <c r="D2777" s="0" t="n">
        <v>-255750</v>
      </c>
      <c r="E2777" s="0" t="s">
        <v>523</v>
      </c>
      <c r="F2777" s="0" t="s">
        <v>524</v>
      </c>
      <c r="G2777" s="0" t="s">
        <v>228</v>
      </c>
      <c r="H2777" s="0" t="s">
        <v>1547</v>
      </c>
    </row>
    <row r="2778" customFormat="false" ht="15" hidden="false" customHeight="false" outlineLevel="0" collapsed="false">
      <c r="A2778" s="0" t="s">
        <v>222</v>
      </c>
      <c r="B2778" s="0" t="n">
        <v>2017</v>
      </c>
      <c r="C2778" s="0" t="s">
        <v>59</v>
      </c>
      <c r="D2778" s="0" t="n">
        <v>4283736</v>
      </c>
      <c r="E2778" s="0" t="s">
        <v>539</v>
      </c>
      <c r="F2778" s="0" t="s">
        <v>524</v>
      </c>
      <c r="G2778" s="0" t="s">
        <v>228</v>
      </c>
      <c r="H2778" s="0" t="s">
        <v>1548</v>
      </c>
    </row>
    <row r="2779" customFormat="false" ht="15" hidden="false" customHeight="false" outlineLevel="0" collapsed="false">
      <c r="A2779" s="0" t="s">
        <v>222</v>
      </c>
      <c r="B2779" s="0" t="n">
        <v>2017</v>
      </c>
      <c r="C2779" s="0" t="s">
        <v>60</v>
      </c>
      <c r="D2779" s="0" t="n">
        <v>2117069</v>
      </c>
      <c r="E2779" s="0" t="s">
        <v>523</v>
      </c>
      <c r="F2779" s="0" t="s">
        <v>524</v>
      </c>
      <c r="G2779" s="0" t="s">
        <v>228</v>
      </c>
      <c r="H2779" s="0" t="s">
        <v>1549</v>
      </c>
    </row>
    <row r="2780" customFormat="false" ht="15" hidden="false" customHeight="false" outlineLevel="0" collapsed="false">
      <c r="A2780" s="0" t="s">
        <v>222</v>
      </c>
      <c r="B2780" s="0" t="n">
        <v>2017</v>
      </c>
      <c r="C2780" s="0" t="s">
        <v>61</v>
      </c>
      <c r="D2780" s="0" t="n">
        <v>136605</v>
      </c>
      <c r="E2780" s="0" t="s">
        <v>979</v>
      </c>
      <c r="F2780" s="0" t="s">
        <v>524</v>
      </c>
      <c r="G2780" s="0" t="s">
        <v>228</v>
      </c>
      <c r="H2780" s="0" t="s">
        <v>1550</v>
      </c>
    </row>
    <row r="2781" customFormat="false" ht="15" hidden="false" customHeight="false" outlineLevel="0" collapsed="false">
      <c r="A2781" s="0" t="s">
        <v>222</v>
      </c>
      <c r="B2781" s="0" t="n">
        <v>2017</v>
      </c>
      <c r="C2781" s="0" t="s">
        <v>62</v>
      </c>
      <c r="D2781" s="0" t="n">
        <v>1980464</v>
      </c>
      <c r="E2781" s="0" t="s">
        <v>523</v>
      </c>
      <c r="F2781" s="0" t="s">
        <v>524</v>
      </c>
      <c r="G2781" s="0" t="s">
        <v>228</v>
      </c>
      <c r="H2781" s="0" t="s">
        <v>1551</v>
      </c>
    </row>
    <row r="2782" customFormat="false" ht="15" hidden="false" customHeight="false" outlineLevel="0" collapsed="false">
      <c r="A2782" s="0" t="s">
        <v>222</v>
      </c>
      <c r="B2782" s="0" t="n">
        <v>2017</v>
      </c>
      <c r="C2782" s="0" t="s">
        <v>63</v>
      </c>
      <c r="D2782" s="0" t="n">
        <v>95244</v>
      </c>
      <c r="E2782" s="0" t="s">
        <v>523</v>
      </c>
      <c r="F2782" s="0" t="s">
        <v>524</v>
      </c>
      <c r="G2782" s="0" t="s">
        <v>228</v>
      </c>
      <c r="H2782" s="0" t="s">
        <v>1552</v>
      </c>
    </row>
    <row r="2783" customFormat="false" ht="15" hidden="false" customHeight="false" outlineLevel="0" collapsed="false">
      <c r="A2783" s="0" t="s">
        <v>222</v>
      </c>
      <c r="B2783" s="0" t="n">
        <v>2017</v>
      </c>
      <c r="C2783" s="0" t="s">
        <v>64</v>
      </c>
      <c r="D2783" s="0" t="n">
        <v>91738</v>
      </c>
      <c r="E2783" s="0" t="s">
        <v>523</v>
      </c>
      <c r="F2783" s="0" t="s">
        <v>524</v>
      </c>
      <c r="G2783" s="0" t="s">
        <v>228</v>
      </c>
      <c r="H2783" s="0" t="s">
        <v>1553</v>
      </c>
    </row>
    <row r="2784" customFormat="false" ht="15" hidden="false" customHeight="false" outlineLevel="0" collapsed="false">
      <c r="A2784" s="0" t="s">
        <v>222</v>
      </c>
      <c r="B2784" s="0" t="n">
        <v>2017</v>
      </c>
      <c r="C2784" s="0" t="s">
        <v>69</v>
      </c>
      <c r="D2784" s="0" t="n">
        <v>24</v>
      </c>
      <c r="E2784" s="0" t="s">
        <v>523</v>
      </c>
      <c r="F2784" s="0" t="s">
        <v>524</v>
      </c>
      <c r="G2784" s="0" t="s">
        <v>228</v>
      </c>
      <c r="H2784" s="0" t="s">
        <v>1554</v>
      </c>
    </row>
    <row r="2785" customFormat="false" ht="15" hidden="false" customHeight="false" outlineLevel="0" collapsed="false">
      <c r="A2785" s="0" t="s">
        <v>222</v>
      </c>
      <c r="B2785" s="0" t="n">
        <v>2017</v>
      </c>
      <c r="C2785" s="0" t="s">
        <v>65</v>
      </c>
      <c r="D2785" s="0" t="n">
        <v>652237</v>
      </c>
      <c r="E2785" s="0" t="s">
        <v>523</v>
      </c>
      <c r="F2785" s="0" t="s">
        <v>524</v>
      </c>
      <c r="G2785" s="0" t="s">
        <v>228</v>
      </c>
      <c r="H2785" s="0" t="s">
        <v>1555</v>
      </c>
    </row>
    <row r="2786" customFormat="false" ht="15" hidden="false" customHeight="false" outlineLevel="0" collapsed="false">
      <c r="A2786" s="0" t="s">
        <v>222</v>
      </c>
      <c r="B2786" s="0" t="n">
        <v>2017</v>
      </c>
      <c r="C2786" s="0" t="s">
        <v>66</v>
      </c>
      <c r="D2786" s="0" t="n">
        <v>2670248</v>
      </c>
      <c r="E2786" s="0" t="s">
        <v>523</v>
      </c>
      <c r="F2786" s="0" t="s">
        <v>524</v>
      </c>
      <c r="G2786" s="0" t="s">
        <v>228</v>
      </c>
      <c r="H2786" s="0" t="s">
        <v>1556</v>
      </c>
    </row>
    <row r="2787" customFormat="false" ht="15" hidden="false" customHeight="false" outlineLevel="0" collapsed="false">
      <c r="A2787" s="0" t="s">
        <v>222</v>
      </c>
      <c r="B2787" s="0" t="n">
        <v>2017</v>
      </c>
      <c r="C2787" s="0" t="s">
        <v>541</v>
      </c>
      <c r="D2787" s="0" t="n">
        <v>173563</v>
      </c>
      <c r="E2787" s="0" t="s">
        <v>523</v>
      </c>
      <c r="F2787" s="0" t="s">
        <v>524</v>
      </c>
      <c r="G2787" s="0" t="s">
        <v>228</v>
      </c>
      <c r="H2787" s="0" t="s">
        <v>1557</v>
      </c>
    </row>
    <row r="2788" customFormat="false" ht="15" hidden="false" customHeight="false" outlineLevel="0" collapsed="false">
      <c r="A2788" s="0" t="s">
        <v>222</v>
      </c>
      <c r="B2788" s="0" t="n">
        <v>2017</v>
      </c>
      <c r="C2788" s="0" t="s">
        <v>543</v>
      </c>
      <c r="D2788" s="0" t="n">
        <v>68443</v>
      </c>
      <c r="E2788" s="0" t="s">
        <v>523</v>
      </c>
      <c r="F2788" s="0" t="s">
        <v>524</v>
      </c>
      <c r="G2788" s="0" t="s">
        <v>228</v>
      </c>
      <c r="H2788" s="0" t="s">
        <v>1558</v>
      </c>
    </row>
    <row r="2789" customFormat="false" ht="15" hidden="false" customHeight="false" outlineLevel="0" collapsed="false">
      <c r="A2789" s="0" t="s">
        <v>222</v>
      </c>
      <c r="B2789" s="0" t="n">
        <v>2017</v>
      </c>
      <c r="C2789" s="0" t="s">
        <v>545</v>
      </c>
      <c r="D2789" s="0" t="n">
        <v>68162</v>
      </c>
      <c r="E2789" s="0" t="s">
        <v>523</v>
      </c>
      <c r="F2789" s="0" t="s">
        <v>524</v>
      </c>
      <c r="G2789" s="0" t="s">
        <v>228</v>
      </c>
      <c r="H2789" s="0" t="s">
        <v>1559</v>
      </c>
    </row>
    <row r="2790" customFormat="false" ht="15" hidden="false" customHeight="false" outlineLevel="0" collapsed="false">
      <c r="A2790" s="0" t="s">
        <v>222</v>
      </c>
      <c r="B2790" s="0" t="n">
        <v>2017</v>
      </c>
      <c r="C2790" s="0" t="s">
        <v>19</v>
      </c>
      <c r="D2790" s="0" t="n">
        <v>4558697</v>
      </c>
      <c r="E2790" s="0" t="s">
        <v>522</v>
      </c>
    </row>
    <row r="2791" customFormat="false" ht="15" hidden="false" customHeight="false" outlineLevel="0" collapsed="false">
      <c r="A2791" s="0" t="s">
        <v>222</v>
      </c>
      <c r="B2791" s="0" t="n">
        <v>2017</v>
      </c>
      <c r="C2791" s="0" t="s">
        <v>41</v>
      </c>
      <c r="D2791" s="0" t="n">
        <v>3.44714728792021</v>
      </c>
      <c r="E2791" s="0" t="s">
        <v>522</v>
      </c>
    </row>
    <row r="2792" customFormat="false" ht="15" hidden="false" customHeight="false" outlineLevel="0" collapsed="false">
      <c r="A2792" s="0" t="s">
        <v>222</v>
      </c>
      <c r="B2792" s="0" t="n">
        <v>2017</v>
      </c>
      <c r="C2792" s="0" t="s">
        <v>27</v>
      </c>
      <c r="D2792" s="0" t="n">
        <v>14.6374650420034</v>
      </c>
      <c r="E2792" s="0" t="s">
        <v>522</v>
      </c>
    </row>
    <row r="2793" customFormat="false" ht="15" hidden="false" customHeight="false" outlineLevel="0" collapsed="false">
      <c r="A2793" s="0" t="s">
        <v>222</v>
      </c>
      <c r="B2793" s="0" t="n">
        <v>2017</v>
      </c>
      <c r="C2793" s="0" t="s">
        <v>39</v>
      </c>
      <c r="D2793" s="0" t="n">
        <v>-5.61015570896684</v>
      </c>
      <c r="E2793" s="0" t="s">
        <v>522</v>
      </c>
    </row>
    <row r="2794" customFormat="false" ht="15" hidden="false" customHeight="false" outlineLevel="0" collapsed="false">
      <c r="A2794" s="0" t="s">
        <v>222</v>
      </c>
      <c r="B2794" s="0" t="n">
        <v>2017</v>
      </c>
      <c r="C2794" s="0" t="s">
        <v>17</v>
      </c>
      <c r="D2794" s="0" t="n">
        <v>6.45255303440748</v>
      </c>
      <c r="E2794" s="0" t="s">
        <v>522</v>
      </c>
    </row>
    <row r="2795" customFormat="false" ht="15" hidden="false" customHeight="false" outlineLevel="0" collapsed="false">
      <c r="A2795" s="0" t="s">
        <v>222</v>
      </c>
      <c r="B2795" s="0" t="n">
        <v>2017</v>
      </c>
      <c r="C2795" s="0" t="s">
        <v>25</v>
      </c>
      <c r="D2795" s="0" t="n">
        <v>24.4260832701682</v>
      </c>
      <c r="E2795" s="0" t="s">
        <v>522</v>
      </c>
    </row>
    <row r="2796" customFormat="false" ht="15" hidden="false" customHeight="false" outlineLevel="0" collapsed="false">
      <c r="A2796" s="0" t="s">
        <v>222</v>
      </c>
      <c r="B2796" s="0" t="n">
        <v>2017</v>
      </c>
      <c r="C2796" s="0" t="s">
        <v>29</v>
      </c>
      <c r="D2796" s="0" t="n">
        <v>2.08928121346955</v>
      </c>
      <c r="E2796" s="0" t="s">
        <v>522</v>
      </c>
    </row>
    <row r="2797" customFormat="false" ht="15" hidden="false" customHeight="false" outlineLevel="0" collapsed="false">
      <c r="A2797" s="0" t="s">
        <v>222</v>
      </c>
      <c r="B2797" s="0" t="n">
        <v>2017</v>
      </c>
      <c r="C2797" s="0" t="s">
        <v>23</v>
      </c>
      <c r="D2797" s="0" t="n">
        <v>148.907759052955</v>
      </c>
      <c r="E2797" s="0" t="s">
        <v>522</v>
      </c>
    </row>
    <row r="2798" customFormat="false" ht="15" hidden="false" customHeight="false" outlineLevel="0" collapsed="false">
      <c r="A2798" s="0" t="s">
        <v>222</v>
      </c>
      <c r="B2798" s="0" t="n">
        <v>2017</v>
      </c>
      <c r="C2798" s="0" t="s">
        <v>37</v>
      </c>
      <c r="D2798" s="0" t="n">
        <v>4.333255080491</v>
      </c>
      <c r="E2798" s="0" t="s">
        <v>522</v>
      </c>
    </row>
    <row r="2799" customFormat="false" ht="15" hidden="false" customHeight="false" outlineLevel="0" collapsed="false">
      <c r="A2799" s="0" t="s">
        <v>222</v>
      </c>
      <c r="B2799" s="0" t="n">
        <v>2017</v>
      </c>
      <c r="C2799" s="0" t="s">
        <v>43</v>
      </c>
      <c r="D2799" s="0" t="n">
        <v>3.25105748069061</v>
      </c>
      <c r="E2799" s="0" t="s">
        <v>522</v>
      </c>
    </row>
    <row r="2800" customFormat="false" ht="15" hidden="false" customHeight="false" outlineLevel="0" collapsed="false">
      <c r="A2800" s="0" t="s">
        <v>222</v>
      </c>
      <c r="B2800" s="0" t="n">
        <v>2017</v>
      </c>
      <c r="C2800" s="0" t="s">
        <v>31</v>
      </c>
      <c r="D2800" s="0" t="n">
        <v>85.3625349579966</v>
      </c>
      <c r="E2800" s="0" t="s">
        <v>522</v>
      </c>
    </row>
    <row r="2801" customFormat="false" ht="15" hidden="false" customHeight="false" outlineLevel="0" collapsed="false">
      <c r="A2801" s="0" t="s">
        <v>222</v>
      </c>
      <c r="B2801" s="0" t="n">
        <v>2017</v>
      </c>
      <c r="C2801" s="0" t="s">
        <v>33</v>
      </c>
      <c r="D2801" s="0" t="n">
        <v>15.3911140888805</v>
      </c>
      <c r="E2801" s="0" t="s">
        <v>522</v>
      </c>
    </row>
    <row r="2802" customFormat="false" ht="15" hidden="false" customHeight="false" outlineLevel="0" collapsed="false">
      <c r="A2802" s="0" t="s">
        <v>222</v>
      </c>
      <c r="B2802" s="0" t="n">
        <v>2017</v>
      </c>
      <c r="C2802" s="0" t="s">
        <v>21</v>
      </c>
      <c r="D2802" s="0" t="n">
        <v>0</v>
      </c>
      <c r="E2802" s="0" t="s">
        <v>522</v>
      </c>
    </row>
    <row r="2803" customFormat="false" ht="15" hidden="false" customHeight="false" outlineLevel="0" collapsed="false">
      <c r="A2803" s="0" t="s">
        <v>222</v>
      </c>
      <c r="B2803" s="0" t="n">
        <v>2017</v>
      </c>
      <c r="C2803" s="0" t="s">
        <v>35</v>
      </c>
      <c r="D2803" s="0" t="n">
        <v>0</v>
      </c>
      <c r="E2803" s="0" t="s">
        <v>522</v>
      </c>
    </row>
    <row r="2804" customFormat="false" ht="15" hidden="false" customHeight="false" outlineLevel="0" collapsed="false">
      <c r="A2804" s="0" t="s">
        <v>222</v>
      </c>
      <c r="B2804" s="0" t="n">
        <v>2018</v>
      </c>
      <c r="C2804" s="0" t="s">
        <v>54</v>
      </c>
      <c r="D2804" s="0" t="n">
        <v>165480</v>
      </c>
      <c r="E2804" s="0" t="s">
        <v>523</v>
      </c>
      <c r="F2804" s="0" t="s">
        <v>524</v>
      </c>
      <c r="G2804" s="0" t="s">
        <v>230</v>
      </c>
      <c r="H2804" s="0" t="s">
        <v>1560</v>
      </c>
    </row>
    <row r="2805" customFormat="false" ht="15" hidden="false" customHeight="false" outlineLevel="0" collapsed="false">
      <c r="A2805" s="0" t="s">
        <v>222</v>
      </c>
      <c r="B2805" s="0" t="n">
        <v>2018</v>
      </c>
      <c r="C2805" s="0" t="s">
        <v>55</v>
      </c>
      <c r="D2805" s="0" t="n">
        <v>4955445</v>
      </c>
      <c r="E2805" s="0" t="s">
        <v>523</v>
      </c>
      <c r="F2805" s="0" t="s">
        <v>524</v>
      </c>
      <c r="G2805" s="0" t="s">
        <v>230</v>
      </c>
      <c r="H2805" s="0" t="s">
        <v>1561</v>
      </c>
    </row>
    <row r="2806" customFormat="false" ht="15" hidden="false" customHeight="false" outlineLevel="0" collapsed="false">
      <c r="A2806" s="0" t="s">
        <v>222</v>
      </c>
      <c r="B2806" s="0" t="n">
        <v>2018</v>
      </c>
      <c r="C2806" s="0" t="s">
        <v>56</v>
      </c>
      <c r="D2806" s="0" t="n">
        <v>4280413</v>
      </c>
      <c r="E2806" s="0" t="s">
        <v>523</v>
      </c>
      <c r="F2806" s="0" t="s">
        <v>524</v>
      </c>
      <c r="G2806" s="0" t="s">
        <v>230</v>
      </c>
      <c r="H2806" s="0" t="s">
        <v>1562</v>
      </c>
    </row>
    <row r="2807" customFormat="false" ht="15" hidden="false" customHeight="false" outlineLevel="0" collapsed="false">
      <c r="A2807" s="0" t="s">
        <v>222</v>
      </c>
      <c r="B2807" s="0" t="n">
        <v>2018</v>
      </c>
      <c r="C2807" s="0" t="s">
        <v>57</v>
      </c>
      <c r="D2807" s="0" t="n">
        <v>675032</v>
      </c>
      <c r="E2807" s="0" t="s">
        <v>523</v>
      </c>
      <c r="F2807" s="0" t="s">
        <v>524</v>
      </c>
      <c r="G2807" s="0" t="s">
        <v>230</v>
      </c>
      <c r="H2807" s="0" t="s">
        <v>1563</v>
      </c>
    </row>
    <row r="2808" customFormat="false" ht="15" hidden="false" customHeight="false" outlineLevel="0" collapsed="false">
      <c r="A2808" s="0" t="s">
        <v>222</v>
      </c>
      <c r="B2808" s="0" t="n">
        <v>2018</v>
      </c>
      <c r="C2808" s="0" t="s">
        <v>58</v>
      </c>
      <c r="D2808" s="0" t="n">
        <v>184314</v>
      </c>
      <c r="E2808" s="0" t="s">
        <v>523</v>
      </c>
      <c r="F2808" s="0" t="s">
        <v>524</v>
      </c>
      <c r="G2808" s="0" t="s">
        <v>230</v>
      </c>
      <c r="H2808" s="0" t="s">
        <v>1564</v>
      </c>
    </row>
    <row r="2809" customFormat="false" ht="15" hidden="false" customHeight="false" outlineLevel="0" collapsed="false">
      <c r="A2809" s="0" t="s">
        <v>222</v>
      </c>
      <c r="B2809" s="0" t="n">
        <v>2018</v>
      </c>
      <c r="C2809" s="0" t="s">
        <v>59</v>
      </c>
      <c r="D2809" s="0" t="n">
        <v>4833658</v>
      </c>
      <c r="E2809" s="0" t="s">
        <v>523</v>
      </c>
      <c r="F2809" s="0" t="s">
        <v>524</v>
      </c>
      <c r="G2809" s="0" t="s">
        <v>230</v>
      </c>
      <c r="H2809" s="0" t="s">
        <v>1565</v>
      </c>
    </row>
    <row r="2810" customFormat="false" ht="15" hidden="false" customHeight="false" outlineLevel="0" collapsed="false">
      <c r="A2810" s="0" t="s">
        <v>222</v>
      </c>
      <c r="B2810" s="0" t="n">
        <v>2018</v>
      </c>
      <c r="C2810" s="0" t="s">
        <v>60</v>
      </c>
      <c r="D2810" s="0" t="n">
        <v>1921064</v>
      </c>
      <c r="E2810" s="0" t="s">
        <v>523</v>
      </c>
      <c r="F2810" s="0" t="s">
        <v>524</v>
      </c>
      <c r="G2810" s="0" t="s">
        <v>230</v>
      </c>
      <c r="H2810" s="0" t="s">
        <v>1566</v>
      </c>
    </row>
    <row r="2811" customFormat="false" ht="15" hidden="false" customHeight="false" outlineLevel="0" collapsed="false">
      <c r="A2811" s="0" t="s">
        <v>222</v>
      </c>
      <c r="B2811" s="0" t="n">
        <v>2018</v>
      </c>
      <c r="C2811" s="0" t="s">
        <v>61</v>
      </c>
      <c r="D2811" s="0" t="n">
        <v>184998</v>
      </c>
      <c r="E2811" s="0" t="s">
        <v>523</v>
      </c>
      <c r="F2811" s="0" t="s">
        <v>524</v>
      </c>
      <c r="G2811" s="0" t="s">
        <v>230</v>
      </c>
      <c r="H2811" s="0" t="s">
        <v>1567</v>
      </c>
    </row>
    <row r="2812" customFormat="false" ht="15" hidden="false" customHeight="false" outlineLevel="0" collapsed="false">
      <c r="A2812" s="0" t="s">
        <v>222</v>
      </c>
      <c r="B2812" s="0" t="n">
        <v>2018</v>
      </c>
      <c r="C2812" s="0" t="s">
        <v>62</v>
      </c>
      <c r="D2812" s="0" t="n">
        <v>1736066</v>
      </c>
      <c r="E2812" s="0" t="s">
        <v>523</v>
      </c>
      <c r="F2812" s="0" t="s">
        <v>524</v>
      </c>
      <c r="G2812" s="0" t="s">
        <v>230</v>
      </c>
      <c r="H2812" s="0" t="s">
        <v>1568</v>
      </c>
    </row>
    <row r="2813" customFormat="false" ht="15" hidden="false" customHeight="false" outlineLevel="0" collapsed="false">
      <c r="A2813" s="0" t="s">
        <v>222</v>
      </c>
      <c r="B2813" s="0" t="n">
        <v>2018</v>
      </c>
      <c r="C2813" s="0" t="s">
        <v>63</v>
      </c>
      <c r="D2813" s="0" t="n">
        <v>15313</v>
      </c>
      <c r="E2813" s="0" t="s">
        <v>523</v>
      </c>
      <c r="F2813" s="0" t="s">
        <v>524</v>
      </c>
      <c r="G2813" s="0" t="s">
        <v>230</v>
      </c>
      <c r="H2813" s="0" t="s">
        <v>1569</v>
      </c>
    </row>
    <row r="2814" customFormat="false" ht="15" hidden="false" customHeight="false" outlineLevel="0" collapsed="false">
      <c r="A2814" s="0" t="s">
        <v>222</v>
      </c>
      <c r="B2814" s="0" t="n">
        <v>2018</v>
      </c>
      <c r="C2814" s="0" t="s">
        <v>64</v>
      </c>
      <c r="D2814" s="0" t="n">
        <v>92630</v>
      </c>
      <c r="E2814" s="0" t="s">
        <v>523</v>
      </c>
      <c r="F2814" s="0" t="s">
        <v>524</v>
      </c>
      <c r="G2814" s="0" t="s">
        <v>230</v>
      </c>
      <c r="H2814" s="0" t="s">
        <v>1570</v>
      </c>
    </row>
    <row r="2815" customFormat="false" ht="15" hidden="false" customHeight="false" outlineLevel="0" collapsed="false">
      <c r="A2815" s="0" t="s">
        <v>222</v>
      </c>
      <c r="B2815" s="0" t="n">
        <v>2018</v>
      </c>
      <c r="C2815" s="0" t="s">
        <v>69</v>
      </c>
      <c r="D2815" s="0" t="n">
        <v>24</v>
      </c>
      <c r="E2815" s="0" t="s">
        <v>523</v>
      </c>
      <c r="F2815" s="0" t="s">
        <v>524</v>
      </c>
      <c r="G2815" s="0" t="s">
        <v>230</v>
      </c>
      <c r="H2815" s="0" t="s">
        <v>1571</v>
      </c>
    </row>
    <row r="2816" customFormat="false" ht="15" hidden="false" customHeight="false" outlineLevel="0" collapsed="false">
      <c r="A2816" s="0" t="s">
        <v>222</v>
      </c>
      <c r="B2816" s="0" t="n">
        <v>2018</v>
      </c>
      <c r="C2816" s="0" t="s">
        <v>614</v>
      </c>
      <c r="D2816" s="0" t="n">
        <v>26</v>
      </c>
      <c r="E2816" s="0" t="s">
        <v>523</v>
      </c>
      <c r="F2816" s="0" t="s">
        <v>524</v>
      </c>
      <c r="G2816" s="0" t="s">
        <v>230</v>
      </c>
      <c r="H2816" s="0" t="s">
        <v>1572</v>
      </c>
    </row>
    <row r="2817" customFormat="false" ht="15" hidden="false" customHeight="false" outlineLevel="0" collapsed="false">
      <c r="A2817" s="0" t="s">
        <v>222</v>
      </c>
      <c r="B2817" s="0" t="n">
        <v>2018</v>
      </c>
      <c r="C2817" s="0" t="s">
        <v>65</v>
      </c>
      <c r="D2817" s="0" t="n">
        <v>641524</v>
      </c>
      <c r="E2817" s="0" t="s">
        <v>523</v>
      </c>
      <c r="F2817" s="0" t="s">
        <v>524</v>
      </c>
      <c r="G2817" s="0" t="s">
        <v>230</v>
      </c>
      <c r="H2817" s="0" t="s">
        <v>1573</v>
      </c>
    </row>
    <row r="2818" customFormat="false" ht="15" hidden="false" customHeight="false" outlineLevel="0" collapsed="false">
      <c r="A2818" s="0" t="s">
        <v>222</v>
      </c>
      <c r="B2818" s="0" t="n">
        <v>2018</v>
      </c>
      <c r="C2818" s="0" t="s">
        <v>66</v>
      </c>
      <c r="D2818" s="0" t="n">
        <v>2690329</v>
      </c>
      <c r="E2818" s="0" t="s">
        <v>523</v>
      </c>
      <c r="F2818" s="0" t="s">
        <v>524</v>
      </c>
      <c r="G2818" s="0" t="s">
        <v>230</v>
      </c>
      <c r="H2818" s="0" t="s">
        <v>1574</v>
      </c>
    </row>
    <row r="2819" customFormat="false" ht="15" hidden="false" customHeight="false" outlineLevel="0" collapsed="false">
      <c r="A2819" s="0" t="s">
        <v>222</v>
      </c>
      <c r="B2819" s="0" t="n">
        <v>2018</v>
      </c>
      <c r="C2819" s="0" t="s">
        <v>619</v>
      </c>
      <c r="D2819" s="0" t="n">
        <v>703653</v>
      </c>
      <c r="E2819" s="0" t="s">
        <v>523</v>
      </c>
      <c r="F2819" s="0" t="s">
        <v>524</v>
      </c>
      <c r="G2819" s="0" t="s">
        <v>230</v>
      </c>
      <c r="H2819" s="0" t="s">
        <v>1575</v>
      </c>
    </row>
    <row r="2820" customFormat="false" ht="15" hidden="false" customHeight="false" outlineLevel="0" collapsed="false">
      <c r="A2820" s="0" t="s">
        <v>222</v>
      </c>
      <c r="B2820" s="0" t="n">
        <v>2018</v>
      </c>
      <c r="C2820" s="0" t="s">
        <v>541</v>
      </c>
      <c r="D2820" s="0" t="n">
        <v>192107</v>
      </c>
      <c r="E2820" s="0" t="s">
        <v>523</v>
      </c>
      <c r="F2820" s="0" t="s">
        <v>524</v>
      </c>
      <c r="G2820" s="0" t="s">
        <v>230</v>
      </c>
      <c r="H2820" s="0" t="s">
        <v>1576</v>
      </c>
    </row>
    <row r="2821" customFormat="false" ht="15" hidden="false" customHeight="false" outlineLevel="0" collapsed="false">
      <c r="A2821" s="0" t="s">
        <v>222</v>
      </c>
      <c r="B2821" s="0" t="n">
        <v>2018</v>
      </c>
      <c r="C2821" s="0" t="s">
        <v>19</v>
      </c>
      <c r="D2821" s="0" t="n">
        <v>4894551.5</v>
      </c>
      <c r="E2821" s="0" t="s">
        <v>522</v>
      </c>
    </row>
    <row r="2822" customFormat="false" ht="15" hidden="false" customHeight="false" outlineLevel="0" collapsed="false">
      <c r="A2822" s="0" t="s">
        <v>222</v>
      </c>
      <c r="B2822" s="0" t="n">
        <v>2018</v>
      </c>
      <c r="C2822" s="0" t="s">
        <v>41</v>
      </c>
      <c r="D2822" s="0" t="n">
        <v>3.38090221341016</v>
      </c>
      <c r="E2822" s="0" t="s">
        <v>522</v>
      </c>
    </row>
    <row r="2823" customFormat="false" ht="15" hidden="false" customHeight="false" outlineLevel="0" collapsed="false">
      <c r="A2823" s="0" t="s">
        <v>222</v>
      </c>
      <c r="B2823" s="0" t="n">
        <v>2018</v>
      </c>
      <c r="C2823" s="0" t="s">
        <v>27</v>
      </c>
      <c r="D2823" s="0" t="n">
        <v>13.6220258725503</v>
      </c>
      <c r="E2823" s="0" t="s">
        <v>522</v>
      </c>
    </row>
    <row r="2824" customFormat="false" ht="15" hidden="false" customHeight="false" outlineLevel="0" collapsed="false">
      <c r="A2824" s="0" t="s">
        <v>222</v>
      </c>
      <c r="B2824" s="0" t="n">
        <v>2018</v>
      </c>
      <c r="C2824" s="0" t="s">
        <v>39</v>
      </c>
      <c r="D2824" s="0" t="n">
        <v>3.76569742906986</v>
      </c>
      <c r="E2824" s="0" t="s">
        <v>522</v>
      </c>
    </row>
    <row r="2825" customFormat="false" ht="15" hidden="false" customHeight="false" outlineLevel="0" collapsed="false">
      <c r="A2825" s="0" t="s">
        <v>222</v>
      </c>
      <c r="B2825" s="0" t="n">
        <v>2018</v>
      </c>
      <c r="C2825" s="0" t="s">
        <v>17</v>
      </c>
      <c r="D2825" s="0" t="n">
        <v>9.62997588836187</v>
      </c>
      <c r="E2825" s="0" t="s">
        <v>522</v>
      </c>
    </row>
    <row r="2826" customFormat="false" ht="15" hidden="false" customHeight="false" outlineLevel="0" collapsed="false">
      <c r="A2826" s="0" t="s">
        <v>222</v>
      </c>
      <c r="B2826" s="0" t="n">
        <v>2018</v>
      </c>
      <c r="C2826" s="0" t="s">
        <v>25</v>
      </c>
      <c r="D2826" s="0" t="n">
        <v>23.8455594092767</v>
      </c>
      <c r="E2826" s="0" t="s">
        <v>522</v>
      </c>
    </row>
    <row r="2827" customFormat="false" ht="15" hidden="false" customHeight="false" outlineLevel="0" collapsed="false">
      <c r="A2827" s="0" t="s">
        <v>222</v>
      </c>
      <c r="B2827" s="0" t="n">
        <v>2018</v>
      </c>
      <c r="C2827" s="0" t="s">
        <v>29</v>
      </c>
      <c r="D2827" s="0" t="n">
        <v>0.312858083115481</v>
      </c>
      <c r="E2827" s="0" t="s">
        <v>522</v>
      </c>
    </row>
    <row r="2828" customFormat="false" ht="15" hidden="false" customHeight="false" outlineLevel="0" collapsed="false">
      <c r="A2828" s="0" t="s">
        <v>222</v>
      </c>
      <c r="B2828" s="0" t="n">
        <v>2018</v>
      </c>
      <c r="C2828" s="0" t="s">
        <v>23</v>
      </c>
      <c r="D2828" s="0" t="n">
        <v>199.717154269675</v>
      </c>
      <c r="E2828" s="0" t="s">
        <v>522</v>
      </c>
    </row>
    <row r="2829" customFormat="false" ht="15" hidden="false" customHeight="false" outlineLevel="0" collapsed="false">
      <c r="A2829" s="0" t="s">
        <v>222</v>
      </c>
      <c r="B2829" s="0" t="n">
        <v>2018</v>
      </c>
      <c r="C2829" s="0" t="s">
        <v>37</v>
      </c>
      <c r="D2829" s="0" t="n">
        <v>4.82180708190878</v>
      </c>
      <c r="E2829" s="0" t="s">
        <v>522</v>
      </c>
    </row>
    <row r="2830" customFormat="false" ht="15" hidden="false" customHeight="false" outlineLevel="0" collapsed="false">
      <c r="A2830" s="0" t="s">
        <v>222</v>
      </c>
      <c r="B2830" s="0" t="n">
        <v>2018</v>
      </c>
      <c r="C2830" s="0" t="s">
        <v>43</v>
      </c>
      <c r="D2830" s="0" t="n">
        <v>3.33935701031895</v>
      </c>
      <c r="E2830" s="0" t="s">
        <v>522</v>
      </c>
    </row>
    <row r="2831" customFormat="false" ht="15" hidden="false" customHeight="false" outlineLevel="0" collapsed="false">
      <c r="A2831" s="0" t="s">
        <v>222</v>
      </c>
      <c r="B2831" s="0" t="n">
        <v>2018</v>
      </c>
      <c r="C2831" s="0" t="s">
        <v>31</v>
      </c>
      <c r="D2831" s="0" t="n">
        <v>86.3779741274497</v>
      </c>
      <c r="E2831" s="0" t="s">
        <v>522</v>
      </c>
    </row>
    <row r="2832" customFormat="false" ht="15" hidden="false" customHeight="false" outlineLevel="0" collapsed="false">
      <c r="A2832" s="0" t="s">
        <v>222</v>
      </c>
      <c r="B2832" s="0" t="n">
        <v>2018</v>
      </c>
      <c r="C2832" s="0" t="s">
        <v>33</v>
      </c>
      <c r="D2832" s="0" t="n">
        <v>15.4159975299882</v>
      </c>
      <c r="E2832" s="0" t="s">
        <v>522</v>
      </c>
    </row>
    <row r="2833" customFormat="false" ht="15" hidden="false" customHeight="false" outlineLevel="0" collapsed="false">
      <c r="A2833" s="0" t="s">
        <v>222</v>
      </c>
      <c r="B2833" s="0" t="n">
        <v>2018</v>
      </c>
      <c r="C2833" s="0" t="s">
        <v>21</v>
      </c>
      <c r="D2833" s="0" t="n">
        <v>0</v>
      </c>
      <c r="E2833" s="0" t="s">
        <v>522</v>
      </c>
    </row>
    <row r="2834" customFormat="false" ht="15" hidden="false" customHeight="false" outlineLevel="0" collapsed="false">
      <c r="A2834" s="0" t="s">
        <v>222</v>
      </c>
      <c r="B2834" s="0" t="n">
        <v>2018</v>
      </c>
      <c r="C2834" s="0" t="s">
        <v>35</v>
      </c>
      <c r="D2834" s="0" t="n">
        <v>0</v>
      </c>
      <c r="E2834" s="0" t="s">
        <v>522</v>
      </c>
    </row>
    <row r="2835" customFormat="false" ht="15" hidden="false" customHeight="false" outlineLevel="0" collapsed="false">
      <c r="A2835" s="0" t="s">
        <v>222</v>
      </c>
      <c r="B2835" s="0" t="n">
        <v>2019</v>
      </c>
      <c r="C2835" s="0" t="s">
        <v>54</v>
      </c>
      <c r="D2835" s="0" t="n">
        <v>178003</v>
      </c>
      <c r="E2835" s="0" t="s">
        <v>523</v>
      </c>
      <c r="F2835" s="0" t="s">
        <v>524</v>
      </c>
      <c r="G2835" s="0" t="s">
        <v>232</v>
      </c>
      <c r="H2835" s="0" t="s">
        <v>1577</v>
      </c>
    </row>
    <row r="2836" customFormat="false" ht="15" hidden="false" customHeight="false" outlineLevel="0" collapsed="false">
      <c r="A2836" s="0" t="s">
        <v>222</v>
      </c>
      <c r="B2836" s="0" t="n">
        <v>2019</v>
      </c>
      <c r="C2836" s="0" t="s">
        <v>55</v>
      </c>
      <c r="D2836" s="0" t="n">
        <v>5435073</v>
      </c>
      <c r="E2836" s="0" t="s">
        <v>523</v>
      </c>
      <c r="F2836" s="0" t="s">
        <v>524</v>
      </c>
      <c r="G2836" s="0" t="s">
        <v>232</v>
      </c>
      <c r="H2836" s="0" t="s">
        <v>1578</v>
      </c>
    </row>
    <row r="2837" customFormat="false" ht="15" hidden="false" customHeight="false" outlineLevel="0" collapsed="false">
      <c r="A2837" s="0" t="s">
        <v>222</v>
      </c>
      <c r="B2837" s="0" t="n">
        <v>2019</v>
      </c>
      <c r="C2837" s="0" t="s">
        <v>56</v>
      </c>
      <c r="D2837" s="0" t="n">
        <v>4656078</v>
      </c>
      <c r="E2837" s="0" t="s">
        <v>523</v>
      </c>
      <c r="F2837" s="0" t="s">
        <v>524</v>
      </c>
      <c r="G2837" s="0" t="s">
        <v>232</v>
      </c>
      <c r="H2837" s="0" t="s">
        <v>1579</v>
      </c>
    </row>
    <row r="2838" customFormat="false" ht="15" hidden="false" customHeight="false" outlineLevel="0" collapsed="false">
      <c r="A2838" s="0" t="s">
        <v>222</v>
      </c>
      <c r="B2838" s="0" t="n">
        <v>2019</v>
      </c>
      <c r="C2838" s="0" t="s">
        <v>57</v>
      </c>
      <c r="D2838" s="0" t="n">
        <v>778995</v>
      </c>
      <c r="E2838" s="0" t="s">
        <v>523</v>
      </c>
      <c r="F2838" s="0" t="s">
        <v>524</v>
      </c>
      <c r="G2838" s="0" t="s">
        <v>232</v>
      </c>
      <c r="H2838" s="0" t="s">
        <v>1580</v>
      </c>
    </row>
    <row r="2839" customFormat="false" ht="15" hidden="false" customHeight="false" outlineLevel="0" collapsed="false">
      <c r="A2839" s="0" t="s">
        <v>222</v>
      </c>
      <c r="B2839" s="0" t="n">
        <v>2019</v>
      </c>
      <c r="C2839" s="0" t="s">
        <v>58</v>
      </c>
      <c r="D2839" s="0" t="n">
        <v>390093</v>
      </c>
      <c r="E2839" s="0" t="s">
        <v>523</v>
      </c>
      <c r="F2839" s="0" t="s">
        <v>524</v>
      </c>
      <c r="G2839" s="0" t="s">
        <v>232</v>
      </c>
      <c r="H2839" s="0" t="s">
        <v>1581</v>
      </c>
    </row>
    <row r="2840" customFormat="false" ht="15" hidden="false" customHeight="false" outlineLevel="0" collapsed="false">
      <c r="A2840" s="0" t="s">
        <v>222</v>
      </c>
      <c r="B2840" s="0" t="n">
        <v>2019</v>
      </c>
      <c r="C2840" s="0" t="s">
        <v>59</v>
      </c>
      <c r="D2840" s="0" t="n">
        <v>4955445</v>
      </c>
      <c r="E2840" s="0" t="s">
        <v>523</v>
      </c>
      <c r="F2840" s="0" t="s">
        <v>524</v>
      </c>
      <c r="G2840" s="0" t="s">
        <v>232</v>
      </c>
      <c r="H2840" s="0" t="s">
        <v>1582</v>
      </c>
    </row>
    <row r="2841" customFormat="false" ht="15" hidden="false" customHeight="false" outlineLevel="0" collapsed="false">
      <c r="A2841" s="0" t="s">
        <v>222</v>
      </c>
      <c r="B2841" s="0" t="n">
        <v>2019</v>
      </c>
      <c r="C2841" s="0" t="s">
        <v>60</v>
      </c>
      <c r="D2841" s="0" t="n">
        <v>2390651</v>
      </c>
      <c r="E2841" s="0" t="s">
        <v>523</v>
      </c>
      <c r="F2841" s="0" t="s">
        <v>524</v>
      </c>
      <c r="G2841" s="0" t="s">
        <v>232</v>
      </c>
      <c r="H2841" s="0" t="s">
        <v>1583</v>
      </c>
    </row>
    <row r="2842" customFormat="false" ht="15" hidden="false" customHeight="false" outlineLevel="0" collapsed="false">
      <c r="A2842" s="0" t="s">
        <v>222</v>
      </c>
      <c r="B2842" s="0" t="n">
        <v>2019</v>
      </c>
      <c r="C2842" s="0" t="s">
        <v>61</v>
      </c>
      <c r="D2842" s="0" t="n">
        <v>151179</v>
      </c>
      <c r="E2842" s="0" t="s">
        <v>523</v>
      </c>
      <c r="F2842" s="0" t="s">
        <v>524</v>
      </c>
      <c r="G2842" s="0" t="s">
        <v>232</v>
      </c>
      <c r="H2842" s="0" t="s">
        <v>1584</v>
      </c>
    </row>
    <row r="2843" customFormat="false" ht="15" hidden="false" customHeight="false" outlineLevel="0" collapsed="false">
      <c r="A2843" s="0" t="s">
        <v>222</v>
      </c>
      <c r="B2843" s="0" t="n">
        <v>2019</v>
      </c>
      <c r="C2843" s="0" t="s">
        <v>62</v>
      </c>
      <c r="D2843" s="0" t="n">
        <v>2239472</v>
      </c>
      <c r="E2843" s="0" t="s">
        <v>523</v>
      </c>
      <c r="F2843" s="0" t="s">
        <v>524</v>
      </c>
      <c r="G2843" s="0" t="s">
        <v>232</v>
      </c>
      <c r="H2843" s="0" t="s">
        <v>1585</v>
      </c>
    </row>
    <row r="2844" customFormat="false" ht="15" hidden="false" customHeight="false" outlineLevel="0" collapsed="false">
      <c r="A2844" s="0" t="s">
        <v>222</v>
      </c>
      <c r="B2844" s="0" t="n">
        <v>2019</v>
      </c>
      <c r="C2844" s="0" t="s">
        <v>63</v>
      </c>
      <c r="D2844" s="0" t="n">
        <v>23393</v>
      </c>
      <c r="E2844" s="0" t="s">
        <v>523</v>
      </c>
      <c r="F2844" s="0" t="s">
        <v>524</v>
      </c>
      <c r="G2844" s="0" t="s">
        <v>232</v>
      </c>
      <c r="H2844" s="0" t="s">
        <v>1586</v>
      </c>
    </row>
    <row r="2845" customFormat="false" ht="15" hidden="false" customHeight="false" outlineLevel="0" collapsed="false">
      <c r="A2845" s="0" t="s">
        <v>222</v>
      </c>
      <c r="B2845" s="0" t="n">
        <v>2019</v>
      </c>
      <c r="C2845" s="0" t="s">
        <v>64</v>
      </c>
      <c r="D2845" s="0" t="n">
        <v>99457</v>
      </c>
      <c r="E2845" s="0" t="s">
        <v>523</v>
      </c>
      <c r="F2845" s="0" t="s">
        <v>524</v>
      </c>
      <c r="G2845" s="0" t="s">
        <v>232</v>
      </c>
      <c r="H2845" s="0" t="s">
        <v>1587</v>
      </c>
    </row>
    <row r="2846" customFormat="false" ht="15" hidden="false" customHeight="false" outlineLevel="0" collapsed="false">
      <c r="A2846" s="0" t="s">
        <v>222</v>
      </c>
      <c r="B2846" s="0" t="n">
        <v>2019</v>
      </c>
      <c r="C2846" s="0" t="s">
        <v>69</v>
      </c>
      <c r="D2846" s="0" t="n">
        <v>20</v>
      </c>
      <c r="E2846" s="0" t="s">
        <v>523</v>
      </c>
      <c r="F2846" s="0" t="s">
        <v>524</v>
      </c>
      <c r="G2846" s="0" t="s">
        <v>232</v>
      </c>
      <c r="H2846" s="0" t="s">
        <v>1588</v>
      </c>
    </row>
    <row r="2847" customFormat="false" ht="15" hidden="false" customHeight="false" outlineLevel="0" collapsed="false">
      <c r="A2847" s="0" t="s">
        <v>222</v>
      </c>
      <c r="B2847" s="0" t="n">
        <v>2019</v>
      </c>
      <c r="C2847" s="0" t="s">
        <v>614</v>
      </c>
      <c r="D2847" s="0" t="n">
        <v>21</v>
      </c>
      <c r="E2847" s="0" t="s">
        <v>523</v>
      </c>
      <c r="F2847" s="0" t="s">
        <v>524</v>
      </c>
      <c r="G2847" s="0" t="s">
        <v>232</v>
      </c>
      <c r="H2847" s="0" t="s">
        <v>1589</v>
      </c>
    </row>
    <row r="2848" customFormat="false" ht="15" hidden="false" customHeight="false" outlineLevel="0" collapsed="false">
      <c r="A2848" s="0" t="s">
        <v>222</v>
      </c>
      <c r="B2848" s="0" t="n">
        <v>2019</v>
      </c>
      <c r="C2848" s="0" t="s">
        <v>65</v>
      </c>
      <c r="D2848" s="0" t="n">
        <v>717901</v>
      </c>
      <c r="E2848" s="0" t="s">
        <v>523</v>
      </c>
      <c r="F2848" s="0" t="s">
        <v>524</v>
      </c>
      <c r="G2848" s="0" t="s">
        <v>232</v>
      </c>
      <c r="H2848" s="0" t="s">
        <v>1590</v>
      </c>
    </row>
    <row r="2849" customFormat="false" ht="15" hidden="false" customHeight="false" outlineLevel="0" collapsed="false">
      <c r="A2849" s="0" t="s">
        <v>222</v>
      </c>
      <c r="B2849" s="0" t="n">
        <v>2019</v>
      </c>
      <c r="C2849" s="0" t="s">
        <v>66</v>
      </c>
      <c r="D2849" s="0" t="n">
        <v>3669402</v>
      </c>
      <c r="E2849" s="0" t="s">
        <v>523</v>
      </c>
      <c r="F2849" s="0" t="s">
        <v>524</v>
      </c>
      <c r="G2849" s="0" t="s">
        <v>232</v>
      </c>
      <c r="H2849" s="0" t="s">
        <v>1591</v>
      </c>
    </row>
    <row r="2850" customFormat="false" ht="15" hidden="false" customHeight="false" outlineLevel="0" collapsed="false">
      <c r="A2850" s="0" t="s">
        <v>222</v>
      </c>
      <c r="B2850" s="0" t="n">
        <v>2019</v>
      </c>
      <c r="C2850" s="0" t="s">
        <v>619</v>
      </c>
      <c r="D2850" s="0" t="n">
        <v>759321</v>
      </c>
      <c r="E2850" s="0" t="s">
        <v>523</v>
      </c>
      <c r="F2850" s="0" t="s">
        <v>524</v>
      </c>
      <c r="G2850" s="0" t="s">
        <v>232</v>
      </c>
      <c r="H2850" s="0" t="s">
        <v>1592</v>
      </c>
    </row>
    <row r="2851" customFormat="false" ht="15" hidden="false" customHeight="false" outlineLevel="0" collapsed="false">
      <c r="A2851" s="0" t="s">
        <v>222</v>
      </c>
      <c r="B2851" s="0" t="n">
        <v>2019</v>
      </c>
      <c r="C2851" s="0" t="s">
        <v>73</v>
      </c>
      <c r="D2851" s="0" t="n">
        <v>0</v>
      </c>
      <c r="E2851" s="0" t="s">
        <v>539</v>
      </c>
      <c r="F2851" s="0" t="s">
        <v>524</v>
      </c>
      <c r="G2851" s="0" t="s">
        <v>856</v>
      </c>
      <c r="H2851" s="0" t="s">
        <v>1593</v>
      </c>
    </row>
    <row r="2852" customFormat="false" ht="15" hidden="false" customHeight="false" outlineLevel="0" collapsed="false">
      <c r="A2852" s="0" t="s">
        <v>222</v>
      </c>
      <c r="B2852" s="0" t="n">
        <v>2019</v>
      </c>
      <c r="C2852" s="0" t="s">
        <v>541</v>
      </c>
      <c r="D2852" s="0" t="n">
        <v>200020</v>
      </c>
      <c r="E2852" s="0" t="s">
        <v>523</v>
      </c>
      <c r="F2852" s="0" t="s">
        <v>524</v>
      </c>
      <c r="G2852" s="0" t="s">
        <v>232</v>
      </c>
      <c r="H2852" s="0" t="s">
        <v>1594</v>
      </c>
    </row>
    <row r="2853" customFormat="false" ht="15" hidden="false" customHeight="false" outlineLevel="0" collapsed="false">
      <c r="A2853" s="0" t="s">
        <v>222</v>
      </c>
      <c r="B2853" s="0" t="n">
        <v>2019</v>
      </c>
      <c r="C2853" s="0" t="s">
        <v>19</v>
      </c>
      <c r="D2853" s="0" t="n">
        <v>5195259</v>
      </c>
      <c r="E2853" s="0" t="s">
        <v>522</v>
      </c>
    </row>
    <row r="2854" customFormat="false" ht="15" hidden="false" customHeight="false" outlineLevel="0" collapsed="false">
      <c r="A2854" s="0" t="s">
        <v>222</v>
      </c>
      <c r="B2854" s="0" t="n">
        <v>2019</v>
      </c>
      <c r="C2854" s="0" t="s">
        <v>41</v>
      </c>
      <c r="D2854" s="0" t="n">
        <v>3.42625844062827</v>
      </c>
      <c r="E2854" s="0" t="s">
        <v>522</v>
      </c>
    </row>
    <row r="2855" customFormat="false" ht="15" hidden="false" customHeight="false" outlineLevel="0" collapsed="false">
      <c r="A2855" s="0" t="s">
        <v>222</v>
      </c>
      <c r="B2855" s="0" t="n">
        <v>2019</v>
      </c>
      <c r="C2855" s="0" t="s">
        <v>27</v>
      </c>
      <c r="D2855" s="0" t="n">
        <v>14.3327421729202</v>
      </c>
      <c r="E2855" s="0" t="s">
        <v>522</v>
      </c>
    </row>
    <row r="2856" customFormat="false" ht="15" hidden="false" customHeight="false" outlineLevel="0" collapsed="false">
      <c r="A2856" s="0" t="s">
        <v>222</v>
      </c>
      <c r="B2856" s="0" t="n">
        <v>2019</v>
      </c>
      <c r="C2856" s="0" t="s">
        <v>39</v>
      </c>
      <c r="D2856" s="0" t="n">
        <v>7.50863431447787</v>
      </c>
      <c r="E2856" s="0" t="s">
        <v>522</v>
      </c>
    </row>
    <row r="2857" customFormat="false" ht="15" hidden="false" customHeight="false" outlineLevel="0" collapsed="false">
      <c r="A2857" s="0" t="s">
        <v>222</v>
      </c>
      <c r="B2857" s="0" t="n">
        <v>2019</v>
      </c>
      <c r="C2857" s="0" t="s">
        <v>17</v>
      </c>
      <c r="D2857" s="0" t="n">
        <v>6.32375867493833</v>
      </c>
      <c r="E2857" s="0" t="s">
        <v>522</v>
      </c>
    </row>
    <row r="2858" customFormat="false" ht="15" hidden="false" customHeight="false" outlineLevel="0" collapsed="false">
      <c r="A2858" s="0" t="s">
        <v>222</v>
      </c>
      <c r="B2858" s="0" t="n">
        <v>2019</v>
      </c>
      <c r="C2858" s="0" t="s">
        <v>25</v>
      </c>
      <c r="D2858" s="0" t="n">
        <v>19.5645230476247</v>
      </c>
      <c r="E2858" s="0" t="s">
        <v>522</v>
      </c>
    </row>
    <row r="2859" customFormat="false" ht="15" hidden="false" customHeight="false" outlineLevel="0" collapsed="false">
      <c r="A2859" s="0" t="s">
        <v>222</v>
      </c>
      <c r="B2859" s="0" t="n">
        <v>2019</v>
      </c>
      <c r="C2859" s="0" t="s">
        <v>29</v>
      </c>
      <c r="D2859" s="0" t="n">
        <v>0.450275915021754</v>
      </c>
      <c r="E2859" s="0" t="s">
        <v>522</v>
      </c>
    </row>
    <row r="2860" customFormat="false" ht="15" hidden="false" customHeight="false" outlineLevel="0" collapsed="false">
      <c r="A2860" s="0" t="s">
        <v>222</v>
      </c>
      <c r="B2860" s="0" t="n">
        <v>2019</v>
      </c>
      <c r="C2860" s="0" t="s">
        <v>23</v>
      </c>
      <c r="D2860" s="0" t="n">
        <v>152.004383804056</v>
      </c>
      <c r="E2860" s="0" t="s">
        <v>522</v>
      </c>
    </row>
    <row r="2861" customFormat="false" ht="15" hidden="false" customHeight="false" outlineLevel="0" collapsed="false">
      <c r="A2861" s="0" t="s">
        <v>222</v>
      </c>
      <c r="B2861" s="0" t="n">
        <v>2019</v>
      </c>
      <c r="C2861" s="0" t="s">
        <v>37</v>
      </c>
      <c r="D2861" s="0" t="n">
        <v>4.16024756436636</v>
      </c>
      <c r="E2861" s="0" t="s">
        <v>522</v>
      </c>
    </row>
    <row r="2862" customFormat="false" ht="15" hidden="false" customHeight="false" outlineLevel="0" collapsed="false">
      <c r="A2862" s="0" t="s">
        <v>222</v>
      </c>
      <c r="B2862" s="0" t="n">
        <v>2019</v>
      </c>
      <c r="C2862" s="0" t="s">
        <v>43</v>
      </c>
      <c r="D2862" s="0" t="n">
        <v>3.27508020591444</v>
      </c>
      <c r="E2862" s="0" t="s">
        <v>522</v>
      </c>
    </row>
    <row r="2863" customFormat="false" ht="15" hidden="false" customHeight="false" outlineLevel="0" collapsed="false">
      <c r="A2863" s="0" t="s">
        <v>222</v>
      </c>
      <c r="B2863" s="0" t="n">
        <v>2019</v>
      </c>
      <c r="C2863" s="0" t="s">
        <v>31</v>
      </c>
      <c r="D2863" s="0" t="n">
        <v>85.6672578270798</v>
      </c>
      <c r="E2863" s="0" t="s">
        <v>522</v>
      </c>
    </row>
    <row r="2864" customFormat="false" ht="15" hidden="false" customHeight="false" outlineLevel="0" collapsed="false">
      <c r="A2864" s="0" t="s">
        <v>222</v>
      </c>
      <c r="B2864" s="0" t="n">
        <v>2019</v>
      </c>
      <c r="C2864" s="0" t="s">
        <v>33</v>
      </c>
      <c r="D2864" s="0" t="n">
        <v>15.50838350991</v>
      </c>
      <c r="E2864" s="0" t="s">
        <v>522</v>
      </c>
    </row>
    <row r="2865" customFormat="false" ht="15" hidden="false" customHeight="false" outlineLevel="0" collapsed="false">
      <c r="A2865" s="0" t="s">
        <v>222</v>
      </c>
      <c r="B2865" s="0" t="n">
        <v>2019</v>
      </c>
      <c r="C2865" s="0" t="s">
        <v>21</v>
      </c>
      <c r="D2865" s="0" t="n">
        <v>0</v>
      </c>
      <c r="E2865" s="0" t="s">
        <v>522</v>
      </c>
    </row>
    <row r="2866" customFormat="false" ht="15" hidden="false" customHeight="false" outlineLevel="0" collapsed="false">
      <c r="A2866" s="0" t="s">
        <v>222</v>
      </c>
      <c r="B2866" s="0" t="n">
        <v>2019</v>
      </c>
      <c r="C2866" s="0" t="s">
        <v>35</v>
      </c>
      <c r="D2866" s="0" t="n">
        <v>0</v>
      </c>
      <c r="E2866" s="0" t="s">
        <v>522</v>
      </c>
    </row>
    <row r="2867" customFormat="false" ht="15" hidden="false" customHeight="false" outlineLevel="0" collapsed="false">
      <c r="A2867" s="0" t="s">
        <v>222</v>
      </c>
      <c r="B2867" s="0" t="n">
        <v>2020</v>
      </c>
      <c r="C2867" s="0" t="s">
        <v>54</v>
      </c>
      <c r="D2867" s="0" t="n">
        <v>197852</v>
      </c>
      <c r="E2867" s="0" t="s">
        <v>523</v>
      </c>
      <c r="F2867" s="0" t="s">
        <v>524</v>
      </c>
      <c r="G2867" s="0" t="s">
        <v>234</v>
      </c>
      <c r="H2867" s="0" t="s">
        <v>1595</v>
      </c>
    </row>
    <row r="2868" customFormat="false" ht="15" hidden="false" customHeight="false" outlineLevel="0" collapsed="false">
      <c r="A2868" s="0" t="s">
        <v>222</v>
      </c>
      <c r="B2868" s="0" t="n">
        <v>2020</v>
      </c>
      <c r="C2868" s="0" t="s">
        <v>55</v>
      </c>
      <c r="D2868" s="0" t="n">
        <v>7124987</v>
      </c>
      <c r="E2868" s="0" t="s">
        <v>523</v>
      </c>
      <c r="F2868" s="0" t="s">
        <v>524</v>
      </c>
      <c r="G2868" s="0" t="s">
        <v>234</v>
      </c>
      <c r="H2868" s="0" t="s">
        <v>1596</v>
      </c>
    </row>
    <row r="2869" customFormat="false" ht="15" hidden="false" customHeight="false" outlineLevel="0" collapsed="false">
      <c r="A2869" s="0" t="s">
        <v>222</v>
      </c>
      <c r="B2869" s="0" t="n">
        <v>2020</v>
      </c>
      <c r="C2869" s="0" t="s">
        <v>56</v>
      </c>
      <c r="D2869" s="0" t="n">
        <v>6219755</v>
      </c>
      <c r="E2869" s="0" t="s">
        <v>523</v>
      </c>
      <c r="F2869" s="0" t="s">
        <v>524</v>
      </c>
      <c r="G2869" s="0" t="s">
        <v>234</v>
      </c>
      <c r="H2869" s="0" t="s">
        <v>1597</v>
      </c>
    </row>
    <row r="2870" customFormat="false" ht="15" hidden="false" customHeight="false" outlineLevel="0" collapsed="false">
      <c r="A2870" s="0" t="s">
        <v>222</v>
      </c>
      <c r="B2870" s="0" t="n">
        <v>2020</v>
      </c>
      <c r="C2870" s="0" t="s">
        <v>57</v>
      </c>
      <c r="D2870" s="0" t="n">
        <v>905232</v>
      </c>
      <c r="E2870" s="0" t="s">
        <v>523</v>
      </c>
      <c r="F2870" s="0" t="s">
        <v>524</v>
      </c>
      <c r="G2870" s="0" t="s">
        <v>234</v>
      </c>
      <c r="H2870" s="0" t="s">
        <v>1598</v>
      </c>
    </row>
    <row r="2871" customFormat="false" ht="15" hidden="false" customHeight="false" outlineLevel="0" collapsed="false">
      <c r="A2871" s="0" t="s">
        <v>222</v>
      </c>
      <c r="B2871" s="0" t="n">
        <v>2020</v>
      </c>
      <c r="C2871" s="0" t="s">
        <v>58</v>
      </c>
      <c r="D2871" s="0" t="n">
        <v>65920</v>
      </c>
      <c r="E2871" s="0" t="s">
        <v>523</v>
      </c>
      <c r="F2871" s="0" t="s">
        <v>524</v>
      </c>
      <c r="G2871" s="0" t="s">
        <v>234</v>
      </c>
      <c r="H2871" s="0" t="s">
        <v>1599</v>
      </c>
    </row>
    <row r="2872" customFormat="false" ht="15" hidden="false" customHeight="false" outlineLevel="0" collapsed="false">
      <c r="A2872" s="0" t="s">
        <v>222</v>
      </c>
      <c r="B2872" s="0" t="n">
        <v>2020</v>
      </c>
      <c r="C2872" s="0" t="s">
        <v>59</v>
      </c>
      <c r="D2872" s="0" t="n">
        <v>5435073</v>
      </c>
      <c r="E2872" s="0" t="s">
        <v>523</v>
      </c>
      <c r="F2872" s="0" t="s">
        <v>524</v>
      </c>
      <c r="G2872" s="0" t="s">
        <v>234</v>
      </c>
      <c r="H2872" s="0" t="s">
        <v>1600</v>
      </c>
    </row>
    <row r="2873" customFormat="false" ht="15" hidden="false" customHeight="false" outlineLevel="0" collapsed="false">
      <c r="A2873" s="0" t="s">
        <v>222</v>
      </c>
      <c r="B2873" s="0" t="n">
        <v>2020</v>
      </c>
      <c r="C2873" s="0" t="s">
        <v>60</v>
      </c>
      <c r="D2873" s="0" t="n">
        <v>2772663</v>
      </c>
      <c r="E2873" s="0" t="s">
        <v>523</v>
      </c>
      <c r="F2873" s="0" t="s">
        <v>524</v>
      </c>
      <c r="G2873" s="0" t="s">
        <v>234</v>
      </c>
      <c r="H2873" s="0" t="s">
        <v>1601</v>
      </c>
    </row>
    <row r="2874" customFormat="false" ht="15" hidden="false" customHeight="false" outlineLevel="0" collapsed="false">
      <c r="A2874" s="0" t="s">
        <v>222</v>
      </c>
      <c r="B2874" s="0" t="n">
        <v>2020</v>
      </c>
      <c r="C2874" s="0" t="s">
        <v>61</v>
      </c>
      <c r="D2874" s="0" t="n">
        <v>132866</v>
      </c>
      <c r="E2874" s="0" t="s">
        <v>523</v>
      </c>
      <c r="F2874" s="0" t="s">
        <v>524</v>
      </c>
      <c r="G2874" s="0" t="s">
        <v>234</v>
      </c>
      <c r="H2874" s="0" t="s">
        <v>1602</v>
      </c>
    </row>
    <row r="2875" customFormat="false" ht="15" hidden="false" customHeight="false" outlineLevel="0" collapsed="false">
      <c r="A2875" s="0" t="s">
        <v>222</v>
      </c>
      <c r="B2875" s="0" t="n">
        <v>2020</v>
      </c>
      <c r="C2875" s="0" t="s">
        <v>62</v>
      </c>
      <c r="D2875" s="0" t="n">
        <v>2639797</v>
      </c>
      <c r="E2875" s="0" t="s">
        <v>523</v>
      </c>
      <c r="F2875" s="0" t="s">
        <v>524</v>
      </c>
      <c r="G2875" s="0" t="s">
        <v>234</v>
      </c>
      <c r="H2875" s="0" t="s">
        <v>1603</v>
      </c>
    </row>
    <row r="2876" customFormat="false" ht="15" hidden="false" customHeight="false" outlineLevel="0" collapsed="false">
      <c r="A2876" s="0" t="s">
        <v>222</v>
      </c>
      <c r="B2876" s="0" t="n">
        <v>2020</v>
      </c>
      <c r="C2876" s="0" t="s">
        <v>63</v>
      </c>
      <c r="D2876" s="0" t="n">
        <v>37237</v>
      </c>
      <c r="E2876" s="0" t="s">
        <v>523</v>
      </c>
      <c r="F2876" s="0" t="s">
        <v>524</v>
      </c>
      <c r="G2876" s="0" t="s">
        <v>234</v>
      </c>
      <c r="H2876" s="0" t="s">
        <v>1604</v>
      </c>
    </row>
    <row r="2877" customFormat="false" ht="15" hidden="false" customHeight="false" outlineLevel="0" collapsed="false">
      <c r="A2877" s="0" t="s">
        <v>222</v>
      </c>
      <c r="B2877" s="0" t="n">
        <v>2020</v>
      </c>
      <c r="C2877" s="0" t="s">
        <v>73</v>
      </c>
      <c r="D2877" s="0" t="n">
        <v>0</v>
      </c>
      <c r="E2877" s="0" t="s">
        <v>539</v>
      </c>
      <c r="F2877" s="0" t="s">
        <v>524</v>
      </c>
      <c r="G2877" s="0" t="s">
        <v>1368</v>
      </c>
      <c r="H2877" s="0" t="s">
        <v>1605</v>
      </c>
    </row>
    <row r="2878" customFormat="false" ht="15" hidden="false" customHeight="false" outlineLevel="0" collapsed="false">
      <c r="A2878" s="0" t="s">
        <v>222</v>
      </c>
      <c r="B2878" s="0" t="n">
        <v>2020</v>
      </c>
      <c r="C2878" s="0" t="s">
        <v>541</v>
      </c>
      <c r="D2878" s="0" t="n">
        <v>210007</v>
      </c>
      <c r="E2878" s="0" t="s">
        <v>523</v>
      </c>
      <c r="F2878" s="0" t="s">
        <v>524</v>
      </c>
      <c r="G2878" s="0" t="s">
        <v>234</v>
      </c>
      <c r="H2878" s="0" t="s">
        <v>1606</v>
      </c>
    </row>
    <row r="2879" customFormat="false" ht="15" hidden="false" customHeight="false" outlineLevel="0" collapsed="false">
      <c r="A2879" s="0" t="s">
        <v>222</v>
      </c>
      <c r="B2879" s="0" t="n">
        <v>2020</v>
      </c>
      <c r="C2879" s="0" t="s">
        <v>19</v>
      </c>
      <c r="D2879" s="0" t="n">
        <v>6280030</v>
      </c>
      <c r="E2879" s="0" t="s">
        <v>522</v>
      </c>
    </row>
    <row r="2880" customFormat="false" ht="15" hidden="false" customHeight="false" outlineLevel="0" collapsed="false">
      <c r="A2880" s="0" t="s">
        <v>222</v>
      </c>
      <c r="B2880" s="0" t="n">
        <v>2020</v>
      </c>
      <c r="C2880" s="0" t="s">
        <v>41</v>
      </c>
      <c r="D2880" s="0" t="n">
        <v>3.15049450400715</v>
      </c>
      <c r="E2880" s="0" t="s">
        <v>522</v>
      </c>
    </row>
    <row r="2881" customFormat="false" ht="15" hidden="false" customHeight="false" outlineLevel="0" collapsed="false">
      <c r="A2881" s="0" t="s">
        <v>222</v>
      </c>
      <c r="B2881" s="0" t="n">
        <v>2020</v>
      </c>
      <c r="C2881" s="0" t="s">
        <v>27</v>
      </c>
      <c r="D2881" s="0" t="n">
        <v>12.7050337074299</v>
      </c>
      <c r="E2881" s="0" t="s">
        <v>522</v>
      </c>
    </row>
    <row r="2882" customFormat="false" ht="15" hidden="false" customHeight="false" outlineLevel="0" collapsed="false">
      <c r="A2882" s="0" t="s">
        <v>222</v>
      </c>
      <c r="B2882" s="0" t="n">
        <v>2020</v>
      </c>
      <c r="C2882" s="0" t="s">
        <v>39</v>
      </c>
      <c r="D2882" s="0" t="n">
        <v>1.04967651428417</v>
      </c>
      <c r="E2882" s="0" t="s">
        <v>522</v>
      </c>
    </row>
    <row r="2883" customFormat="false" ht="15" hidden="false" customHeight="false" outlineLevel="0" collapsed="false">
      <c r="A2883" s="0" t="s">
        <v>222</v>
      </c>
      <c r="B2883" s="0" t="n">
        <v>2020</v>
      </c>
      <c r="C2883" s="0" t="s">
        <v>17</v>
      </c>
      <c r="D2883" s="0" t="n">
        <v>4.79199960471215</v>
      </c>
      <c r="E2883" s="0" t="s">
        <v>522</v>
      </c>
    </row>
    <row r="2884" customFormat="false" ht="15" hidden="false" customHeight="false" outlineLevel="0" collapsed="false">
      <c r="A2884" s="0" t="s">
        <v>222</v>
      </c>
      <c r="B2884" s="0" t="n">
        <v>2020</v>
      </c>
      <c r="C2884" s="0" t="s">
        <v>29</v>
      </c>
      <c r="D2884" s="0" t="n">
        <v>0.592943027342226</v>
      </c>
      <c r="E2884" s="0" t="s">
        <v>522</v>
      </c>
    </row>
    <row r="2885" customFormat="false" ht="15" hidden="false" customHeight="false" outlineLevel="0" collapsed="false">
      <c r="A2885" s="0" t="s">
        <v>222</v>
      </c>
      <c r="B2885" s="0" t="n">
        <v>2020</v>
      </c>
      <c r="C2885" s="0" t="s">
        <v>43</v>
      </c>
      <c r="D2885" s="0" t="n">
        <v>2.77687524201799</v>
      </c>
      <c r="E2885" s="0" t="s">
        <v>522</v>
      </c>
    </row>
    <row r="2886" customFormat="false" ht="15" hidden="false" customHeight="false" outlineLevel="0" collapsed="false">
      <c r="A2886" s="0" t="s">
        <v>222</v>
      </c>
      <c r="B2886" s="0" t="n">
        <v>2020</v>
      </c>
      <c r="C2886" s="0" t="s">
        <v>31</v>
      </c>
      <c r="D2886" s="0" t="n">
        <v>87.2949662925701</v>
      </c>
      <c r="E2886" s="0" t="s">
        <v>522</v>
      </c>
    </row>
    <row r="2887" customFormat="false" ht="15" hidden="false" customHeight="false" outlineLevel="0" collapsed="false">
      <c r="A2887" s="0" t="s">
        <v>222</v>
      </c>
      <c r="B2887" s="0" t="n">
        <v>2020</v>
      </c>
      <c r="C2887" s="0" t="s">
        <v>33</v>
      </c>
      <c r="D2887" s="0" t="n">
        <v>15.7791184595559</v>
      </c>
      <c r="E2887" s="0" t="s">
        <v>522</v>
      </c>
    </row>
    <row r="2888" customFormat="false" ht="15" hidden="false" customHeight="false" outlineLevel="0" collapsed="false">
      <c r="A2888" s="0" t="s">
        <v>222</v>
      </c>
      <c r="B2888" s="0" t="n">
        <v>2020</v>
      </c>
      <c r="C2888" s="0" t="s">
        <v>21</v>
      </c>
      <c r="D2888" s="0" t="n">
        <v>0</v>
      </c>
      <c r="E2888" s="0" t="s">
        <v>522</v>
      </c>
    </row>
    <row r="2889" customFormat="false" ht="15" hidden="false" customHeight="false" outlineLevel="0" collapsed="false">
      <c r="A2889" s="0" t="s">
        <v>222</v>
      </c>
      <c r="B2889" s="0" t="n">
        <v>2020</v>
      </c>
      <c r="C2889" s="0" t="s">
        <v>35</v>
      </c>
      <c r="D2889" s="0" t="n">
        <v>0</v>
      </c>
      <c r="E2889" s="0" t="s">
        <v>522</v>
      </c>
    </row>
    <row r="2890" customFormat="false" ht="15" hidden="false" customHeight="false" outlineLevel="0" collapsed="false">
      <c r="A2890" s="0" t="s">
        <v>222</v>
      </c>
      <c r="B2890" s="0" t="n">
        <v>2021</v>
      </c>
      <c r="C2890" s="0" t="s">
        <v>54</v>
      </c>
      <c r="D2890" s="0" t="n">
        <v>233133</v>
      </c>
      <c r="E2890" s="0" t="s">
        <v>521</v>
      </c>
      <c r="G2890" s="0" t="s">
        <v>81</v>
      </c>
    </row>
    <row r="2891" customFormat="false" ht="15" hidden="false" customHeight="false" outlineLevel="0" collapsed="false">
      <c r="A2891" s="0" t="s">
        <v>222</v>
      </c>
      <c r="B2891" s="0" t="n">
        <v>2021</v>
      </c>
      <c r="C2891" s="0" t="s">
        <v>55</v>
      </c>
      <c r="D2891" s="0" t="n">
        <v>7872292</v>
      </c>
      <c r="E2891" s="0" t="s">
        <v>521</v>
      </c>
      <c r="G2891" s="0" t="s">
        <v>81</v>
      </c>
    </row>
    <row r="2892" customFormat="false" ht="15" hidden="false" customHeight="false" outlineLevel="0" collapsed="false">
      <c r="A2892" s="0" t="s">
        <v>222</v>
      </c>
      <c r="B2892" s="0" t="n">
        <v>2021</v>
      </c>
      <c r="C2892" s="0" t="s">
        <v>56</v>
      </c>
      <c r="D2892" s="0" t="n">
        <v>6822517</v>
      </c>
      <c r="E2892" s="0" t="s">
        <v>521</v>
      </c>
      <c r="G2892" s="0" t="s">
        <v>81</v>
      </c>
    </row>
    <row r="2893" customFormat="false" ht="15" hidden="false" customHeight="false" outlineLevel="0" collapsed="false">
      <c r="A2893" s="0" t="s">
        <v>222</v>
      </c>
      <c r="B2893" s="0" t="n">
        <v>2021</v>
      </c>
      <c r="C2893" s="0" t="s">
        <v>57</v>
      </c>
      <c r="D2893" s="0" t="n">
        <v>1049775</v>
      </c>
      <c r="E2893" s="0" t="s">
        <v>521</v>
      </c>
      <c r="G2893" s="0" t="s">
        <v>81</v>
      </c>
    </row>
    <row r="2894" customFormat="false" ht="15" hidden="false" customHeight="false" outlineLevel="0" collapsed="false">
      <c r="A2894" s="0" t="s">
        <v>222</v>
      </c>
      <c r="B2894" s="0" t="n">
        <v>2021</v>
      </c>
      <c r="C2894" s="0" t="s">
        <v>58</v>
      </c>
      <c r="D2894" s="0" t="n">
        <v>457857</v>
      </c>
      <c r="E2894" s="0" t="s">
        <v>521</v>
      </c>
      <c r="G2894" s="0" t="s">
        <v>81</v>
      </c>
    </row>
    <row r="2895" customFormat="false" ht="15" hidden="false" customHeight="false" outlineLevel="0" collapsed="false">
      <c r="A2895" s="0" t="s">
        <v>222</v>
      </c>
      <c r="B2895" s="0" t="n">
        <v>2021</v>
      </c>
      <c r="C2895" s="0" t="s">
        <v>60</v>
      </c>
      <c r="D2895" s="0" t="n">
        <v>3237973</v>
      </c>
      <c r="E2895" s="0" t="s">
        <v>521</v>
      </c>
      <c r="G2895" s="0" t="s">
        <v>81</v>
      </c>
    </row>
    <row r="2896" customFormat="false" ht="15" hidden="false" customHeight="false" outlineLevel="0" collapsed="false">
      <c r="A2896" s="0" t="s">
        <v>222</v>
      </c>
      <c r="B2896" s="0" t="n">
        <v>2021</v>
      </c>
      <c r="C2896" s="0" t="s">
        <v>61</v>
      </c>
      <c r="D2896" s="0" t="n">
        <v>138521</v>
      </c>
      <c r="E2896" s="0" t="s">
        <v>521</v>
      </c>
      <c r="G2896" s="0" t="s">
        <v>81</v>
      </c>
    </row>
    <row r="2897" customFormat="false" ht="15" hidden="false" customHeight="false" outlineLevel="0" collapsed="false">
      <c r="A2897" s="0" t="s">
        <v>222</v>
      </c>
      <c r="B2897" s="0" t="n">
        <v>2021</v>
      </c>
      <c r="C2897" s="0" t="s">
        <v>62</v>
      </c>
      <c r="D2897" s="0" t="n">
        <v>3099452</v>
      </c>
      <c r="E2897" s="0" t="s">
        <v>521</v>
      </c>
      <c r="G2897" s="0" t="s">
        <v>81</v>
      </c>
    </row>
    <row r="2898" customFormat="false" ht="15" hidden="false" customHeight="false" outlineLevel="0" collapsed="false">
      <c r="A2898" s="0" t="s">
        <v>222</v>
      </c>
      <c r="B2898" s="0" t="n">
        <v>2021</v>
      </c>
      <c r="C2898" s="0" t="s">
        <v>63</v>
      </c>
      <c r="D2898" s="0" t="n">
        <v>56175</v>
      </c>
      <c r="E2898" s="0" t="s">
        <v>521</v>
      </c>
      <c r="G2898" s="0" t="s">
        <v>81</v>
      </c>
    </row>
    <row r="2899" customFormat="false" ht="15" hidden="false" customHeight="false" outlineLevel="0" collapsed="false">
      <c r="A2899" s="0" t="s">
        <v>222</v>
      </c>
      <c r="B2899" s="0" t="n">
        <v>2021</v>
      </c>
      <c r="C2899" s="0" t="s">
        <v>69</v>
      </c>
      <c r="D2899" s="0" t="n">
        <v>20</v>
      </c>
      <c r="E2899" s="0" t="s">
        <v>521</v>
      </c>
      <c r="G2899" s="0" t="s">
        <v>81</v>
      </c>
    </row>
    <row r="2900" customFormat="false" ht="15" hidden="false" customHeight="false" outlineLevel="0" collapsed="false">
      <c r="A2900" s="0" t="s">
        <v>222</v>
      </c>
      <c r="B2900" s="0" t="n">
        <v>2021</v>
      </c>
      <c r="C2900" s="0" t="s">
        <v>65</v>
      </c>
      <c r="D2900" s="0" t="n">
        <v>985934</v>
      </c>
      <c r="E2900" s="0" t="s">
        <v>521</v>
      </c>
      <c r="G2900" s="0" t="s">
        <v>81</v>
      </c>
    </row>
    <row r="2901" customFormat="false" ht="15" hidden="false" customHeight="false" outlineLevel="0" collapsed="false">
      <c r="A2901" s="0" t="s">
        <v>222</v>
      </c>
      <c r="B2901" s="0" t="n">
        <v>2021</v>
      </c>
      <c r="C2901" s="0" t="s">
        <v>66</v>
      </c>
      <c r="D2901" s="0" t="n">
        <v>5032121</v>
      </c>
      <c r="E2901" s="0" t="s">
        <v>521</v>
      </c>
      <c r="G2901" s="0" t="s">
        <v>81</v>
      </c>
    </row>
    <row r="2902" customFormat="false" ht="15" hidden="false" customHeight="false" outlineLevel="0" collapsed="false">
      <c r="A2902" s="0" t="s">
        <v>222</v>
      </c>
      <c r="B2902" s="0" t="n">
        <v>2021</v>
      </c>
      <c r="C2902" s="0" t="s">
        <v>541</v>
      </c>
      <c r="D2902" s="0" t="n">
        <v>257167</v>
      </c>
      <c r="E2902" s="0" t="s">
        <v>521</v>
      </c>
      <c r="G2902" s="0" t="s">
        <v>81</v>
      </c>
    </row>
    <row r="2903" customFormat="false" ht="15" hidden="false" customHeight="false" outlineLevel="0" collapsed="false">
      <c r="A2903" s="0" t="s">
        <v>222</v>
      </c>
      <c r="B2903" s="0" t="n">
        <v>2021</v>
      </c>
      <c r="C2903" s="0" t="s">
        <v>27</v>
      </c>
      <c r="D2903" s="0" t="n">
        <v>13.3350617583799</v>
      </c>
      <c r="E2903" s="0" t="s">
        <v>522</v>
      </c>
    </row>
    <row r="2904" customFormat="false" ht="15" hidden="false" customHeight="false" outlineLevel="0" collapsed="false">
      <c r="A2904" s="0" t="s">
        <v>222</v>
      </c>
      <c r="B2904" s="0" t="n">
        <v>2021</v>
      </c>
      <c r="C2904" s="0" t="s">
        <v>17</v>
      </c>
      <c r="D2904" s="0" t="n">
        <v>4.27801590686519</v>
      </c>
      <c r="E2904" s="0" t="s">
        <v>522</v>
      </c>
    </row>
    <row r="2905" customFormat="false" ht="15" hidden="false" customHeight="false" outlineLevel="0" collapsed="false">
      <c r="A2905" s="0" t="s">
        <v>222</v>
      </c>
      <c r="B2905" s="0" t="n">
        <v>2021</v>
      </c>
      <c r="C2905" s="0" t="s">
        <v>25</v>
      </c>
      <c r="D2905" s="0" t="n">
        <v>19.5928118580614</v>
      </c>
      <c r="E2905" s="0" t="s">
        <v>522</v>
      </c>
    </row>
    <row r="2906" customFormat="false" ht="15" hidden="false" customHeight="false" outlineLevel="0" collapsed="false">
      <c r="A2906" s="0" t="s">
        <v>222</v>
      </c>
      <c r="B2906" s="0" t="n">
        <v>2021</v>
      </c>
      <c r="C2906" s="0" t="s">
        <v>43</v>
      </c>
      <c r="D2906" s="0" t="n">
        <v>2.96143740603118</v>
      </c>
      <c r="E2906" s="0" t="s">
        <v>522</v>
      </c>
    </row>
    <row r="2907" customFormat="false" ht="15" hidden="false" customHeight="false" outlineLevel="0" collapsed="false">
      <c r="A2907" s="0" t="s">
        <v>222</v>
      </c>
      <c r="B2907" s="0" t="n">
        <v>2021</v>
      </c>
      <c r="C2907" s="0" t="s">
        <v>31</v>
      </c>
      <c r="D2907" s="0" t="n">
        <v>86.6649382416201</v>
      </c>
      <c r="E2907" s="0" t="s">
        <v>522</v>
      </c>
    </row>
    <row r="2908" customFormat="false" ht="15" hidden="false" customHeight="false" outlineLevel="0" collapsed="false">
      <c r="A2908" s="0" t="s">
        <v>222</v>
      </c>
      <c r="B2908" s="0" t="n">
        <v>2021</v>
      </c>
      <c r="C2908" s="0" t="s">
        <v>33</v>
      </c>
      <c r="D2908" s="0" t="n">
        <v>15.8788598105222</v>
      </c>
      <c r="E2908" s="0" t="s">
        <v>522</v>
      </c>
    </row>
    <row r="2909" customFormat="false" ht="15" hidden="false" customHeight="false" outlineLevel="0" collapsed="false">
      <c r="A2909" s="0" t="s">
        <v>222</v>
      </c>
      <c r="B2909" s="0" t="n">
        <v>2021</v>
      </c>
      <c r="C2909" s="0" t="s">
        <v>21</v>
      </c>
      <c r="D2909" s="0" t="n">
        <v>0</v>
      </c>
      <c r="E2909" s="0" t="s">
        <v>522</v>
      </c>
    </row>
    <row r="2910" customFormat="false" ht="15" hidden="false" customHeight="false" outlineLevel="0" collapsed="false">
      <c r="A2910" s="0" t="s">
        <v>222</v>
      </c>
      <c r="B2910" s="0" t="n">
        <v>2021</v>
      </c>
      <c r="C2910" s="0" t="s">
        <v>35</v>
      </c>
      <c r="D2910" s="0" t="n">
        <v>0</v>
      </c>
      <c r="E2910" s="0" t="s">
        <v>522</v>
      </c>
    </row>
    <row r="2911" customFormat="false" ht="15" hidden="false" customHeight="false" outlineLevel="0" collapsed="false">
      <c r="A2911" s="0" t="s">
        <v>222</v>
      </c>
      <c r="B2911" s="0" t="n">
        <v>2022</v>
      </c>
      <c r="C2911" s="0" t="s">
        <v>54</v>
      </c>
      <c r="D2911" s="0" t="n">
        <v>234593</v>
      </c>
      <c r="E2911" s="0" t="s">
        <v>521</v>
      </c>
      <c r="G2911" s="0" t="s">
        <v>81</v>
      </c>
    </row>
    <row r="2912" customFormat="false" ht="15" hidden="false" customHeight="false" outlineLevel="0" collapsed="false">
      <c r="A2912" s="0" t="s">
        <v>222</v>
      </c>
      <c r="B2912" s="0" t="n">
        <v>2022</v>
      </c>
      <c r="C2912" s="0" t="s">
        <v>55</v>
      </c>
      <c r="D2912" s="0" t="n">
        <v>10570678</v>
      </c>
      <c r="E2912" s="0" t="s">
        <v>521</v>
      </c>
      <c r="G2912" s="0" t="s">
        <v>81</v>
      </c>
    </row>
    <row r="2913" customFormat="false" ht="15" hidden="false" customHeight="false" outlineLevel="0" collapsed="false">
      <c r="A2913" s="0" t="s">
        <v>222</v>
      </c>
      <c r="B2913" s="0" t="n">
        <v>2022</v>
      </c>
      <c r="C2913" s="0" t="s">
        <v>56</v>
      </c>
      <c r="D2913" s="0" t="n">
        <v>9375531</v>
      </c>
      <c r="E2913" s="0" t="s">
        <v>521</v>
      </c>
      <c r="G2913" s="0" t="s">
        <v>81</v>
      </c>
    </row>
    <row r="2914" customFormat="false" ht="15" hidden="false" customHeight="false" outlineLevel="0" collapsed="false">
      <c r="A2914" s="0" t="s">
        <v>222</v>
      </c>
      <c r="B2914" s="0" t="n">
        <v>2022</v>
      </c>
      <c r="C2914" s="0" t="s">
        <v>57</v>
      </c>
      <c r="D2914" s="0" t="n">
        <v>1195147</v>
      </c>
      <c r="E2914" s="0" t="s">
        <v>521</v>
      </c>
      <c r="G2914" s="0" t="s">
        <v>81</v>
      </c>
    </row>
    <row r="2915" customFormat="false" ht="15" hidden="false" customHeight="false" outlineLevel="0" collapsed="false">
      <c r="A2915" s="0" t="s">
        <v>222</v>
      </c>
      <c r="B2915" s="0" t="n">
        <v>2022</v>
      </c>
      <c r="C2915" s="0" t="s">
        <v>58</v>
      </c>
      <c r="D2915" s="0" t="n">
        <v>1279758</v>
      </c>
      <c r="E2915" s="0" t="s">
        <v>521</v>
      </c>
      <c r="G2915" s="0" t="s">
        <v>81</v>
      </c>
    </row>
    <row r="2916" customFormat="false" ht="15" hidden="false" customHeight="false" outlineLevel="0" collapsed="false">
      <c r="A2916" s="0" t="s">
        <v>222</v>
      </c>
      <c r="B2916" s="0" t="n">
        <v>2022</v>
      </c>
      <c r="C2916" s="0" t="s">
        <v>59</v>
      </c>
      <c r="D2916" s="0" t="n">
        <v>7872292</v>
      </c>
      <c r="E2916" s="0" t="s">
        <v>521</v>
      </c>
      <c r="G2916" s="0" t="s">
        <v>81</v>
      </c>
    </row>
    <row r="2917" customFormat="false" ht="15" hidden="false" customHeight="false" outlineLevel="0" collapsed="false">
      <c r="A2917" s="0" t="s">
        <v>222</v>
      </c>
      <c r="B2917" s="0" t="n">
        <v>2022</v>
      </c>
      <c r="C2917" s="0" t="s">
        <v>60</v>
      </c>
      <c r="D2917" s="0" t="n">
        <v>3838805</v>
      </c>
      <c r="E2917" s="0" t="s">
        <v>521</v>
      </c>
      <c r="G2917" s="0" t="s">
        <v>81</v>
      </c>
    </row>
    <row r="2918" customFormat="false" ht="15" hidden="false" customHeight="false" outlineLevel="0" collapsed="false">
      <c r="A2918" s="0" t="s">
        <v>222</v>
      </c>
      <c r="B2918" s="0" t="n">
        <v>2022</v>
      </c>
      <c r="C2918" s="0" t="s">
        <v>61</v>
      </c>
      <c r="D2918" s="0" t="n">
        <v>103129</v>
      </c>
      <c r="E2918" s="0" t="s">
        <v>521</v>
      </c>
      <c r="G2918" s="0" t="s">
        <v>81</v>
      </c>
    </row>
    <row r="2919" customFormat="false" ht="15" hidden="false" customHeight="false" outlineLevel="0" collapsed="false">
      <c r="A2919" s="0" t="s">
        <v>222</v>
      </c>
      <c r="B2919" s="0" t="n">
        <v>2022</v>
      </c>
      <c r="C2919" s="0" t="s">
        <v>62</v>
      </c>
      <c r="D2919" s="0" t="n">
        <v>3735676</v>
      </c>
      <c r="E2919" s="0" t="s">
        <v>521</v>
      </c>
      <c r="G2919" s="0" t="s">
        <v>81</v>
      </c>
    </row>
    <row r="2920" customFormat="false" ht="15" hidden="false" customHeight="false" outlineLevel="0" collapsed="false">
      <c r="A2920" s="0" t="s">
        <v>222</v>
      </c>
      <c r="B2920" s="0" t="n">
        <v>2022</v>
      </c>
      <c r="C2920" s="0" t="s">
        <v>63</v>
      </c>
      <c r="D2920" s="0" t="n">
        <v>61896</v>
      </c>
      <c r="E2920" s="0" t="s">
        <v>521</v>
      </c>
      <c r="G2920" s="0" t="s">
        <v>81</v>
      </c>
    </row>
    <row r="2921" customFormat="false" ht="15" hidden="false" customHeight="false" outlineLevel="0" collapsed="false">
      <c r="A2921" s="0" t="s">
        <v>222</v>
      </c>
      <c r="B2921" s="0" t="n">
        <v>2022</v>
      </c>
      <c r="C2921" s="0" t="s">
        <v>69</v>
      </c>
      <c r="D2921" s="0" t="n">
        <v>19</v>
      </c>
      <c r="E2921" s="0" t="s">
        <v>521</v>
      </c>
      <c r="G2921" s="0" t="s">
        <v>81</v>
      </c>
    </row>
    <row r="2922" customFormat="false" ht="15" hidden="false" customHeight="false" outlineLevel="0" collapsed="false">
      <c r="A2922" s="0" t="s">
        <v>222</v>
      </c>
      <c r="B2922" s="0" t="n">
        <v>2022</v>
      </c>
      <c r="C2922" s="0" t="s">
        <v>65</v>
      </c>
      <c r="D2922" s="0" t="n">
        <v>1042652</v>
      </c>
      <c r="E2922" s="0" t="s">
        <v>521</v>
      </c>
      <c r="G2922" s="0" t="s">
        <v>81</v>
      </c>
    </row>
    <row r="2923" customFormat="false" ht="15" hidden="false" customHeight="false" outlineLevel="0" collapsed="false">
      <c r="A2923" s="0" t="s">
        <v>222</v>
      </c>
      <c r="B2923" s="0" t="n">
        <v>2022</v>
      </c>
      <c r="C2923" s="0" t="s">
        <v>66</v>
      </c>
      <c r="D2923" s="0" t="n">
        <v>5488669</v>
      </c>
      <c r="E2923" s="0" t="s">
        <v>521</v>
      </c>
      <c r="G2923" s="0" t="s">
        <v>81</v>
      </c>
    </row>
    <row r="2924" customFormat="false" ht="15" hidden="false" customHeight="false" outlineLevel="0" collapsed="false">
      <c r="A2924" s="0" t="s">
        <v>222</v>
      </c>
      <c r="B2924" s="0" t="n">
        <v>2022</v>
      </c>
      <c r="C2924" s="0" t="s">
        <v>541</v>
      </c>
      <c r="D2924" s="0" t="n">
        <v>294050</v>
      </c>
      <c r="E2924" s="0" t="s">
        <v>521</v>
      </c>
      <c r="G2924" s="0" t="s">
        <v>81</v>
      </c>
    </row>
    <row r="2925" customFormat="false" ht="15" hidden="false" customHeight="false" outlineLevel="0" collapsed="false">
      <c r="A2925" s="0" t="s">
        <v>222</v>
      </c>
      <c r="B2925" s="0" t="n">
        <v>2022</v>
      </c>
      <c r="C2925" s="0" t="s">
        <v>19</v>
      </c>
      <c r="D2925" s="0" t="n">
        <v>9221485</v>
      </c>
      <c r="E2925" s="0" t="s">
        <v>522</v>
      </c>
    </row>
    <row r="2926" customFormat="false" ht="15" hidden="false" customHeight="false" outlineLevel="0" collapsed="false">
      <c r="A2926" s="0" t="s">
        <v>222</v>
      </c>
      <c r="B2926" s="0" t="n">
        <v>2022</v>
      </c>
      <c r="C2926" s="0" t="s">
        <v>41</v>
      </c>
      <c r="D2926" s="0" t="n">
        <v>2.54398288345098</v>
      </c>
      <c r="E2926" s="0" t="s">
        <v>522</v>
      </c>
    </row>
    <row r="2927" customFormat="false" ht="15" hidden="false" customHeight="false" outlineLevel="0" collapsed="false">
      <c r="A2927" s="0" t="s">
        <v>222</v>
      </c>
      <c r="B2927" s="0" t="n">
        <v>2022</v>
      </c>
      <c r="C2927" s="0" t="s">
        <v>27</v>
      </c>
      <c r="D2927" s="0" t="n">
        <v>11.3062473381556</v>
      </c>
      <c r="E2927" s="0" t="s">
        <v>522</v>
      </c>
    </row>
    <row r="2928" customFormat="false" ht="15" hidden="false" customHeight="false" outlineLevel="0" collapsed="false">
      <c r="A2928" s="0" t="s">
        <v>222</v>
      </c>
      <c r="B2928" s="0" t="n">
        <v>2022</v>
      </c>
      <c r="C2928" s="0" t="s">
        <v>39</v>
      </c>
      <c r="D2928" s="0" t="n">
        <v>13.8780033801497</v>
      </c>
      <c r="E2928" s="0" t="s">
        <v>522</v>
      </c>
    </row>
    <row r="2929" customFormat="false" ht="15" hidden="false" customHeight="false" outlineLevel="0" collapsed="false">
      <c r="A2929" s="0" t="s">
        <v>222</v>
      </c>
      <c r="B2929" s="0" t="n">
        <v>2022</v>
      </c>
      <c r="C2929" s="0" t="s">
        <v>17</v>
      </c>
      <c r="D2929" s="0" t="n">
        <v>2.68648707084627</v>
      </c>
      <c r="E2929" s="0" t="s">
        <v>522</v>
      </c>
    </row>
    <row r="2930" customFormat="false" ht="15" hidden="false" customHeight="false" outlineLevel="0" collapsed="false">
      <c r="A2930" s="0" t="s">
        <v>222</v>
      </c>
      <c r="B2930" s="0" t="n">
        <v>2022</v>
      </c>
      <c r="C2930" s="0" t="s">
        <v>25</v>
      </c>
      <c r="D2930" s="0" t="n">
        <v>18.9964452219655</v>
      </c>
      <c r="E2930" s="0" t="s">
        <v>522</v>
      </c>
    </row>
    <row r="2931" customFormat="false" ht="15" hidden="false" customHeight="false" outlineLevel="0" collapsed="false">
      <c r="A2931" s="0" t="s">
        <v>222</v>
      </c>
      <c r="B2931" s="0" t="n">
        <v>2022</v>
      </c>
      <c r="C2931" s="0" t="s">
        <v>29</v>
      </c>
      <c r="D2931" s="0" t="n">
        <v>0.671215102556692</v>
      </c>
      <c r="E2931" s="0" t="s">
        <v>522</v>
      </c>
    </row>
    <row r="2932" customFormat="false" ht="15" hidden="false" customHeight="false" outlineLevel="0" collapsed="false">
      <c r="A2932" s="0" t="s">
        <v>222</v>
      </c>
      <c r="B2932" s="0" t="n">
        <v>2022</v>
      </c>
      <c r="C2932" s="0" t="s">
        <v>43</v>
      </c>
      <c r="D2932" s="0" t="n">
        <v>2.21928054189145</v>
      </c>
      <c r="E2932" s="0" t="s">
        <v>522</v>
      </c>
    </row>
    <row r="2933" customFormat="false" ht="15" hidden="false" customHeight="false" outlineLevel="0" collapsed="false">
      <c r="A2933" s="0" t="s">
        <v>222</v>
      </c>
      <c r="B2933" s="0" t="n">
        <v>2022</v>
      </c>
      <c r="C2933" s="0" t="s">
        <v>31</v>
      </c>
      <c r="D2933" s="0" t="n">
        <v>88.6937526618444</v>
      </c>
      <c r="E2933" s="0" t="s">
        <v>522</v>
      </c>
    </row>
    <row r="2934" customFormat="false" ht="15" hidden="false" customHeight="false" outlineLevel="0" collapsed="false">
      <c r="A2934" s="0" t="s">
        <v>222</v>
      </c>
      <c r="B2934" s="0" t="n">
        <v>2022</v>
      </c>
      <c r="C2934" s="0" t="s">
        <v>33</v>
      </c>
      <c r="D2934" s="0" t="n">
        <v>16.1735944995925</v>
      </c>
      <c r="E2934" s="0" t="s">
        <v>522</v>
      </c>
    </row>
    <row r="2935" customFormat="false" ht="15" hidden="false" customHeight="false" outlineLevel="0" collapsed="false">
      <c r="A2935" s="0" t="s">
        <v>222</v>
      </c>
      <c r="B2935" s="0" t="n">
        <v>2022</v>
      </c>
      <c r="C2935" s="0" t="s">
        <v>21</v>
      </c>
      <c r="D2935" s="0" t="n">
        <v>0</v>
      </c>
      <c r="E2935" s="0" t="s">
        <v>522</v>
      </c>
    </row>
    <row r="2936" customFormat="false" ht="15" hidden="false" customHeight="false" outlineLevel="0" collapsed="false">
      <c r="A2936" s="0" t="s">
        <v>222</v>
      </c>
      <c r="B2936" s="0" t="n">
        <v>2022</v>
      </c>
      <c r="C2936" s="0" t="s">
        <v>35</v>
      </c>
      <c r="D2936" s="0" t="n">
        <v>0</v>
      </c>
      <c r="E2936" s="0"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16"/>
    <col collapsed="false" customWidth="true" hidden="false" outlineLevel="0" max="5" min="5" style="0" width="18"/>
    <col collapsed="false" customWidth="true" hidden="false" outlineLevel="0" max="6" min="6" style="0" width="19"/>
    <col collapsed="false" customWidth="true" hidden="false" outlineLevel="0" max="7" min="7" style="0" width="21"/>
    <col collapsed="false" customWidth="true" hidden="false" outlineLevel="0" max="8" min="8" style="0" width="16"/>
    <col collapsed="false" customWidth="true" hidden="false" outlineLevel="0" max="10" min="9" style="0" width="10"/>
    <col collapsed="false" customWidth="true" hidden="false" outlineLevel="0" max="11" min="11" style="0" width="25"/>
  </cols>
  <sheetData>
    <row r="1" customFormat="false" ht="15" hidden="false" customHeight="false" outlineLevel="0" collapsed="false">
      <c r="A1" s="2" t="s">
        <v>1607</v>
      </c>
    </row>
    <row r="3" customFormat="false" ht="15" hidden="false" customHeight="false" outlineLevel="0" collapsed="false">
      <c r="A3" s="3" t="s">
        <v>50</v>
      </c>
      <c r="B3" s="3" t="s">
        <v>51</v>
      </c>
      <c r="C3" s="3" t="s">
        <v>301</v>
      </c>
      <c r="D3" s="3" t="s">
        <v>1608</v>
      </c>
      <c r="E3" s="3" t="s">
        <v>1609</v>
      </c>
      <c r="F3" s="3" t="s">
        <v>1610</v>
      </c>
      <c r="G3" s="3" t="s">
        <v>1611</v>
      </c>
      <c r="H3" s="3" t="s">
        <v>1612</v>
      </c>
      <c r="I3" s="3" t="s">
        <v>1613</v>
      </c>
      <c r="J3" s="3" t="s">
        <v>1614</v>
      </c>
      <c r="K3" s="3" t="s">
        <v>1615</v>
      </c>
    </row>
    <row r="4" customFormat="false" ht="15" hidden="false" customHeight="false" outlineLevel="0" collapsed="false">
      <c r="A4" s="0" t="s">
        <v>149</v>
      </c>
      <c r="B4" s="0" t="n">
        <v>2021</v>
      </c>
      <c r="C4" s="0" t="s">
        <v>65</v>
      </c>
      <c r="D4" s="0" t="n">
        <v>226940</v>
      </c>
      <c r="E4" s="0" t="s">
        <v>1616</v>
      </c>
      <c r="F4" s="0" t="n">
        <v>228300</v>
      </c>
      <c r="G4" s="0" t="s">
        <v>1617</v>
      </c>
      <c r="H4" s="0" t="s">
        <v>1618</v>
      </c>
      <c r="I4" s="0" t="s">
        <v>1619</v>
      </c>
      <c r="J4" s="0" t="s">
        <v>1620</v>
      </c>
      <c r="K4" s="0" t="s">
        <v>1621</v>
      </c>
    </row>
    <row r="5" customFormat="false" ht="15" hidden="false" customHeight="false" outlineLevel="0" collapsed="false">
      <c r="A5" s="0" t="s">
        <v>222</v>
      </c>
      <c r="B5" s="0" t="n">
        <v>2017</v>
      </c>
      <c r="C5" s="0" t="s">
        <v>1622</v>
      </c>
      <c r="D5" s="0" t="s">
        <v>1623</v>
      </c>
      <c r="E5" s="0" t="s">
        <v>1624</v>
      </c>
      <c r="F5" s="0" t="s">
        <v>1625</v>
      </c>
      <c r="G5" s="0" t="s">
        <v>1626</v>
      </c>
      <c r="H5" s="0" t="s">
        <v>1627</v>
      </c>
      <c r="I5" s="0" t="s">
        <v>1628</v>
      </c>
      <c r="J5" s="0" t="s">
        <v>1629</v>
      </c>
      <c r="K5" s="0" t="s">
        <v>1625</v>
      </c>
    </row>
    <row r="6" customFormat="false" ht="15" hidden="false" customHeight="false" outlineLevel="0" collapsed="false">
      <c r="A6" s="0" t="s">
        <v>136</v>
      </c>
      <c r="B6" s="0" t="n">
        <v>2018</v>
      </c>
      <c r="C6" s="0" t="s">
        <v>1630</v>
      </c>
      <c r="D6" s="0" t="s">
        <v>1631</v>
      </c>
      <c r="E6" s="0" t="s">
        <v>1632</v>
      </c>
      <c r="F6" s="0" t="s">
        <v>1633</v>
      </c>
      <c r="G6" s="0" t="s">
        <v>1634</v>
      </c>
      <c r="H6" s="0" t="s">
        <v>1627</v>
      </c>
      <c r="I6" s="0" t="s">
        <v>1635</v>
      </c>
      <c r="J6" s="0" t="s">
        <v>1629</v>
      </c>
      <c r="K6" s="0" t="s">
        <v>1636</v>
      </c>
    </row>
    <row r="7" customFormat="false" ht="15" hidden="false" customHeight="false" outlineLevel="0" collapsed="false">
      <c r="A7" s="0" t="s">
        <v>136</v>
      </c>
      <c r="B7" s="0" t="n">
        <v>2017</v>
      </c>
      <c r="C7" s="0" t="s">
        <v>1637</v>
      </c>
      <c r="D7" s="0" t="s">
        <v>1638</v>
      </c>
      <c r="E7" s="0" t="s">
        <v>1639</v>
      </c>
      <c r="F7" s="0" t="s">
        <v>1640</v>
      </c>
      <c r="G7" s="0" t="s">
        <v>1624</v>
      </c>
      <c r="H7" s="0" t="s">
        <v>1641</v>
      </c>
      <c r="I7" s="0" t="s">
        <v>1642</v>
      </c>
      <c r="J7" s="0" t="s">
        <v>1643</v>
      </c>
      <c r="K7" s="0" t="s">
        <v>1644</v>
      </c>
    </row>
    <row r="8" customFormat="false" ht="15" hidden="false" customHeight="false" outlineLevel="0" collapsed="false">
      <c r="A8" s="0" t="s">
        <v>187</v>
      </c>
      <c r="B8" s="0" t="n">
        <v>2015</v>
      </c>
      <c r="C8" s="0" t="s">
        <v>1637</v>
      </c>
      <c r="D8" s="0" t="s">
        <v>1645</v>
      </c>
      <c r="E8" s="0" t="s">
        <v>1646</v>
      </c>
      <c r="F8" s="0" t="s">
        <v>1647</v>
      </c>
      <c r="G8" s="0" t="s">
        <v>1648</v>
      </c>
      <c r="H8" s="0" t="s">
        <v>1641</v>
      </c>
      <c r="I8" s="0" t="s">
        <v>1649</v>
      </c>
      <c r="J8" s="0" t="s">
        <v>1650</v>
      </c>
      <c r="K8" s="0" t="s">
        <v>1651</v>
      </c>
    </row>
    <row r="9" customFormat="false" ht="15" hidden="false" customHeight="false" outlineLevel="0" collapsed="false">
      <c r="A9" s="0" t="s">
        <v>115</v>
      </c>
      <c r="B9" s="0" t="n">
        <v>2021</v>
      </c>
      <c r="C9" s="0" t="s">
        <v>1637</v>
      </c>
      <c r="D9" s="0" t="s">
        <v>1652</v>
      </c>
      <c r="E9" s="0" t="s">
        <v>1653</v>
      </c>
      <c r="F9" s="0" t="s">
        <v>1640</v>
      </c>
      <c r="G9" s="0" t="s">
        <v>1616</v>
      </c>
      <c r="H9" s="0" t="s">
        <v>1641</v>
      </c>
      <c r="I9" s="0" t="s">
        <v>1654</v>
      </c>
      <c r="J9" s="0" t="s">
        <v>1650</v>
      </c>
      <c r="K9" s="0" t="s">
        <v>1655</v>
      </c>
    </row>
    <row r="10" customFormat="false" ht="15" hidden="false" customHeight="false" outlineLevel="0" collapsed="false">
      <c r="A10" s="0" t="s">
        <v>211</v>
      </c>
      <c r="B10" s="0" t="n">
        <v>2021</v>
      </c>
      <c r="C10" s="0" t="s">
        <v>1656</v>
      </c>
      <c r="D10" s="0" t="s">
        <v>1617</v>
      </c>
      <c r="E10" s="0" t="s">
        <v>1657</v>
      </c>
      <c r="F10" s="0" t="s">
        <v>1640</v>
      </c>
      <c r="G10" s="0" t="s">
        <v>1616</v>
      </c>
      <c r="H10" s="0" t="s">
        <v>1658</v>
      </c>
      <c r="I10" s="0" t="s">
        <v>1659</v>
      </c>
      <c r="J10" s="0" t="s">
        <v>1650</v>
      </c>
      <c r="K10" s="0" t="s">
        <v>1655</v>
      </c>
    </row>
    <row r="11" customFormat="false" ht="15" hidden="false" customHeight="false" outlineLevel="0" collapsed="false">
      <c r="A11" s="0" t="s">
        <v>211</v>
      </c>
      <c r="B11" s="0" t="n">
        <v>2022</v>
      </c>
      <c r="C11" s="0" t="s">
        <v>63</v>
      </c>
      <c r="D11" s="0" t="n">
        <v>4762.274</v>
      </c>
      <c r="E11" s="0" t="s">
        <v>1660</v>
      </c>
      <c r="F11" s="0" t="n">
        <v>4808.387</v>
      </c>
      <c r="G11" s="0" t="s">
        <v>1661</v>
      </c>
      <c r="H11" s="0" t="s">
        <v>1662</v>
      </c>
      <c r="I11" s="0" t="s">
        <v>1663</v>
      </c>
      <c r="J11" s="0" t="s">
        <v>1664</v>
      </c>
      <c r="K11" s="0" t="s">
        <v>1665</v>
      </c>
    </row>
    <row r="12" customFormat="false" ht="15" hidden="false" customHeight="false" outlineLevel="0" collapsed="false">
      <c r="A12" s="0" t="s">
        <v>211</v>
      </c>
      <c r="B12" s="0" t="n">
        <v>2021</v>
      </c>
      <c r="C12" s="0" t="s">
        <v>63</v>
      </c>
      <c r="D12" s="0" t="n">
        <v>2104.393</v>
      </c>
      <c r="E12" s="0" t="s">
        <v>1617</v>
      </c>
      <c r="F12" s="0" t="s">
        <v>1666</v>
      </c>
      <c r="H12" s="0" t="s">
        <v>1667</v>
      </c>
      <c r="I12" s="0" t="s">
        <v>1668</v>
      </c>
      <c r="J12" s="0" t="s">
        <v>1669</v>
      </c>
      <c r="K12" s="0" t="s">
        <v>1670</v>
      </c>
    </row>
    <row r="13" customFormat="false" ht="15" hidden="false" customHeight="false" outlineLevel="0" collapsed="false">
      <c r="A13" s="0" t="s">
        <v>149</v>
      </c>
      <c r="B13" s="0" t="n">
        <v>2020</v>
      </c>
      <c r="C13" s="0" t="s">
        <v>65</v>
      </c>
      <c r="D13" s="0" t="s">
        <v>1671</v>
      </c>
      <c r="E13" s="0" t="s">
        <v>1672</v>
      </c>
      <c r="F13" s="0" t="s">
        <v>1673</v>
      </c>
      <c r="G13" s="0" t="s">
        <v>1674</v>
      </c>
      <c r="H13" s="0" t="s">
        <v>1675</v>
      </c>
      <c r="I13" s="0" t="s">
        <v>1676</v>
      </c>
      <c r="J13" s="0" t="s">
        <v>1677</v>
      </c>
      <c r="K13" s="0" t="s">
        <v>1678</v>
      </c>
    </row>
    <row r="14" customFormat="false" ht="15" hidden="false" customHeight="false" outlineLevel="0" collapsed="false">
      <c r="A14" s="0" t="s">
        <v>149</v>
      </c>
      <c r="B14" s="0" t="n">
        <v>2020</v>
      </c>
      <c r="C14" s="0" t="s">
        <v>619</v>
      </c>
      <c r="D14" s="0" t="s">
        <v>1679</v>
      </c>
      <c r="E14" s="0" t="s">
        <v>1672</v>
      </c>
      <c r="F14" s="0" t="s">
        <v>1680</v>
      </c>
      <c r="G14" s="0" t="s">
        <v>1674</v>
      </c>
      <c r="H14" s="0" t="s">
        <v>1675</v>
      </c>
      <c r="I14" s="0" t="s">
        <v>1681</v>
      </c>
      <c r="J14" s="0" t="s">
        <v>1682</v>
      </c>
      <c r="K14" s="0" t="s">
        <v>1683</v>
      </c>
    </row>
    <row r="15" customFormat="false" ht="15" hidden="false" customHeight="false" outlineLevel="0" collapsed="false">
      <c r="A15" s="0" t="s">
        <v>211</v>
      </c>
      <c r="B15" s="0" t="n">
        <v>2021</v>
      </c>
      <c r="C15" s="0" t="s">
        <v>69</v>
      </c>
      <c r="D15" s="0" t="n">
        <v>11.71</v>
      </c>
      <c r="E15" s="0" t="s">
        <v>1617</v>
      </c>
      <c r="F15" s="0" t="s">
        <v>1684</v>
      </c>
      <c r="G15" s="0" t="s">
        <v>1674</v>
      </c>
      <c r="H15" s="0" t="s">
        <v>1675</v>
      </c>
      <c r="I15" s="0" t="s">
        <v>1685</v>
      </c>
      <c r="J15" s="0" t="s">
        <v>1686</v>
      </c>
      <c r="K15" s="0" t="n">
        <v>11.56</v>
      </c>
    </row>
    <row r="16" customFormat="false" ht="15" hidden="false" customHeight="false" outlineLevel="0" collapsed="false">
      <c r="A16" s="0" t="s">
        <v>115</v>
      </c>
      <c r="B16" s="0" t="n">
        <v>2016</v>
      </c>
      <c r="C16" s="0" t="s">
        <v>69</v>
      </c>
      <c r="D16" s="0" t="n">
        <v>17.22</v>
      </c>
      <c r="E16" s="0" t="s">
        <v>1687</v>
      </c>
      <c r="F16" s="0" t="s">
        <v>1688</v>
      </c>
      <c r="G16" s="0" t="s">
        <v>1674</v>
      </c>
      <c r="H16" s="0" t="s">
        <v>1675</v>
      </c>
      <c r="I16" s="0" t="s">
        <v>1689</v>
      </c>
      <c r="J16" s="0" t="s">
        <v>1686</v>
      </c>
      <c r="K16" s="0" t="n">
        <v>17.3</v>
      </c>
    </row>
    <row r="17" customFormat="false" ht="15" hidden="false" customHeight="false" outlineLevel="0" collapsed="false">
      <c r="A17" s="0" t="s">
        <v>77</v>
      </c>
      <c r="B17" s="0" t="n">
        <v>2018</v>
      </c>
      <c r="C17" s="0" t="s">
        <v>1656</v>
      </c>
      <c r="D17" s="0" t="s">
        <v>1634</v>
      </c>
      <c r="E17" s="0" t="s">
        <v>1690</v>
      </c>
      <c r="F17" s="0" t="s">
        <v>1640</v>
      </c>
      <c r="G17" s="0" t="s">
        <v>1632</v>
      </c>
      <c r="H17" s="0" t="s">
        <v>1658</v>
      </c>
      <c r="I17" s="0" t="s">
        <v>1691</v>
      </c>
      <c r="J17" s="0" t="s">
        <v>1692</v>
      </c>
      <c r="K17" s="0" t="s">
        <v>1693</v>
      </c>
    </row>
    <row r="18" customFormat="false" ht="15" hidden="false" customHeight="false" outlineLevel="0" collapsed="false">
      <c r="A18" s="0" t="s">
        <v>201</v>
      </c>
      <c r="B18" s="0" t="n">
        <v>2020</v>
      </c>
      <c r="C18" s="0" t="s">
        <v>1656</v>
      </c>
      <c r="D18" s="0" t="s">
        <v>1672</v>
      </c>
      <c r="E18" s="0" t="s">
        <v>1694</v>
      </c>
      <c r="F18" s="0" t="s">
        <v>1640</v>
      </c>
      <c r="G18" s="0" t="s">
        <v>1695</v>
      </c>
      <c r="H18" s="0" t="s">
        <v>1658</v>
      </c>
      <c r="I18" s="0" t="s">
        <v>1696</v>
      </c>
      <c r="J18" s="0" t="s">
        <v>1692</v>
      </c>
      <c r="K18" s="0" t="s">
        <v>1693</v>
      </c>
    </row>
    <row r="19" customFormat="false" ht="15" hidden="false" customHeight="false" outlineLevel="0" collapsed="false">
      <c r="A19" s="0" t="s">
        <v>201</v>
      </c>
      <c r="B19" s="0" t="n">
        <v>2013</v>
      </c>
      <c r="C19" s="0" t="s">
        <v>1656</v>
      </c>
      <c r="D19" s="0" t="s">
        <v>1697</v>
      </c>
      <c r="E19" s="0" t="s">
        <v>1698</v>
      </c>
      <c r="F19" s="0" t="s">
        <v>1640</v>
      </c>
      <c r="G19" s="0" t="s">
        <v>1699</v>
      </c>
      <c r="H19" s="0" t="s">
        <v>1658</v>
      </c>
      <c r="I19" s="0" t="s">
        <v>1700</v>
      </c>
      <c r="J19" s="0" t="s">
        <v>1692</v>
      </c>
      <c r="K19" s="0" t="s">
        <v>1693</v>
      </c>
    </row>
    <row r="20" customFormat="false" ht="15" hidden="false" customHeight="false" outlineLevel="0" collapsed="false">
      <c r="A20" s="0" t="s">
        <v>169</v>
      </c>
      <c r="B20" s="0" t="n">
        <v>2021</v>
      </c>
      <c r="C20" s="0" t="s">
        <v>1701</v>
      </c>
      <c r="D20" s="0" t="s">
        <v>1702</v>
      </c>
      <c r="E20" s="0" t="s">
        <v>1616</v>
      </c>
      <c r="F20" s="0" t="s">
        <v>1703</v>
      </c>
      <c r="G20" s="0" t="s">
        <v>1704</v>
      </c>
      <c r="H20" s="0" t="s">
        <v>1627</v>
      </c>
      <c r="I20" s="0" t="s">
        <v>1705</v>
      </c>
      <c r="J20" s="0" t="s">
        <v>1706</v>
      </c>
      <c r="K20" s="0" t="s">
        <v>1707</v>
      </c>
    </row>
    <row r="21" customFormat="false" ht="15" hidden="false" customHeight="false" outlineLevel="0" collapsed="false">
      <c r="A21" s="0" t="s">
        <v>169</v>
      </c>
      <c r="B21" s="0" t="n">
        <v>2016</v>
      </c>
      <c r="C21" s="0" t="s">
        <v>1708</v>
      </c>
      <c r="D21" s="0" t="s">
        <v>1709</v>
      </c>
      <c r="E21" s="0" t="s">
        <v>1710</v>
      </c>
      <c r="F21" s="0" t="s">
        <v>1711</v>
      </c>
      <c r="G21" s="0" t="s">
        <v>1712</v>
      </c>
      <c r="H21" s="0" t="s">
        <v>1618</v>
      </c>
      <c r="I21" s="0" t="s">
        <v>1713</v>
      </c>
      <c r="J21" s="0" t="s">
        <v>1714</v>
      </c>
      <c r="K21" s="0" t="s">
        <v>1715</v>
      </c>
    </row>
    <row r="22" customFormat="false" ht="15" hidden="false" customHeight="false" outlineLevel="0" collapsed="false">
      <c r="A22" s="0" t="s">
        <v>125</v>
      </c>
      <c r="B22" s="0" t="n">
        <v>2016</v>
      </c>
      <c r="C22" s="0" t="s">
        <v>541</v>
      </c>
      <c r="D22" s="0" t="n">
        <v>54733</v>
      </c>
      <c r="E22" s="0" t="s">
        <v>1716</v>
      </c>
      <c r="F22" s="0" t="n">
        <v>53545</v>
      </c>
      <c r="G22" s="0" t="s">
        <v>1717</v>
      </c>
      <c r="H22" s="0" t="s">
        <v>1618</v>
      </c>
      <c r="I22" s="0" t="s">
        <v>1718</v>
      </c>
      <c r="J22" s="0" t="s">
        <v>1719</v>
      </c>
      <c r="K22" s="0" t="n">
        <v>53545</v>
      </c>
    </row>
    <row r="23" customFormat="false" ht="15" hidden="false" customHeight="false" outlineLevel="0" collapsed="false">
      <c r="A23" s="0" t="s">
        <v>125</v>
      </c>
      <c r="B23" s="0" t="n">
        <v>2016</v>
      </c>
      <c r="C23" s="0" t="s">
        <v>1720</v>
      </c>
      <c r="D23" s="0" t="s">
        <v>1721</v>
      </c>
      <c r="E23" s="0" t="s">
        <v>1722</v>
      </c>
      <c r="F23" s="0" t="s">
        <v>1723</v>
      </c>
      <c r="G23" s="0" t="s">
        <v>1687</v>
      </c>
      <c r="H23" s="0" t="s">
        <v>1724</v>
      </c>
      <c r="I23" s="0" t="s">
        <v>1725</v>
      </c>
      <c r="J23" s="0" t="s">
        <v>1726</v>
      </c>
    </row>
    <row r="24" customFormat="false" ht="15" hidden="false" customHeight="false" outlineLevel="0" collapsed="false">
      <c r="A24" s="0" t="s">
        <v>149</v>
      </c>
      <c r="B24" s="0" t="n">
        <v>2020</v>
      </c>
      <c r="C24" s="0" t="s">
        <v>63</v>
      </c>
      <c r="D24" s="0" t="n">
        <v>10170</v>
      </c>
      <c r="E24" s="0" t="s">
        <v>1672</v>
      </c>
      <c r="F24" s="0" t="n">
        <v>9892</v>
      </c>
      <c r="G24" s="0" t="s">
        <v>1727</v>
      </c>
      <c r="H24" s="0" t="s">
        <v>1618</v>
      </c>
      <c r="I24" s="0" t="s">
        <v>1728</v>
      </c>
      <c r="J24" s="0" t="s">
        <v>1729</v>
      </c>
      <c r="K24" s="0" t="n">
        <v>9892</v>
      </c>
    </row>
    <row r="25" customFormat="false" ht="15" hidden="false" customHeight="false" outlineLevel="0" collapsed="false">
      <c r="A25" s="0" t="s">
        <v>149</v>
      </c>
      <c r="B25" s="0" t="n">
        <v>2020</v>
      </c>
      <c r="C25" s="0" t="s">
        <v>1730</v>
      </c>
      <c r="D25" s="0" t="s">
        <v>1731</v>
      </c>
      <c r="E25" s="0" t="s">
        <v>1672</v>
      </c>
      <c r="F25" s="0" t="s">
        <v>1732</v>
      </c>
      <c r="G25" s="0" t="s">
        <v>1733</v>
      </c>
      <c r="H25" s="0" t="s">
        <v>1734</v>
      </c>
      <c r="I25" s="0" t="s">
        <v>1735</v>
      </c>
      <c r="J25" s="0" t="s">
        <v>1736</v>
      </c>
    </row>
    <row r="26" customFormat="false" ht="15" hidden="false" customHeight="false" outlineLevel="0" collapsed="false">
      <c r="A26" s="0" t="s">
        <v>100</v>
      </c>
      <c r="B26" s="0" t="n">
        <v>2018</v>
      </c>
      <c r="C26" s="0" t="s">
        <v>1737</v>
      </c>
      <c r="D26" s="0" t="s">
        <v>1738</v>
      </c>
      <c r="E26" s="0" t="s">
        <v>1632</v>
      </c>
      <c r="F26" s="0" t="s">
        <v>1739</v>
      </c>
      <c r="G26" s="0" t="s">
        <v>1740</v>
      </c>
      <c r="H26" s="0" t="s">
        <v>1627</v>
      </c>
      <c r="I26" s="0" t="s">
        <v>1741</v>
      </c>
      <c r="J26" s="0" t="s">
        <v>1742</v>
      </c>
      <c r="K26" s="0" t="s">
        <v>1743</v>
      </c>
    </row>
    <row r="27" customFormat="false" ht="15" hidden="false" customHeight="false" outlineLevel="0" collapsed="false">
      <c r="A27" s="0" t="s">
        <v>100</v>
      </c>
      <c r="B27" s="0" t="n">
        <v>2018</v>
      </c>
      <c r="C27" s="0" t="s">
        <v>1744</v>
      </c>
      <c r="D27" s="0" t="s">
        <v>1745</v>
      </c>
      <c r="E27" s="0" t="s">
        <v>1632</v>
      </c>
      <c r="F27" s="0" t="s">
        <v>1746</v>
      </c>
      <c r="G27" s="0" t="s">
        <v>1740</v>
      </c>
      <c r="H27" s="0" t="s">
        <v>1627</v>
      </c>
      <c r="I27" s="0" t="s">
        <v>1747</v>
      </c>
      <c r="J27" s="0" t="s">
        <v>1629</v>
      </c>
      <c r="K27" s="0" t="s">
        <v>1746</v>
      </c>
    </row>
    <row r="28" customFormat="false" ht="15" hidden="false" customHeight="false" outlineLevel="0" collapsed="false">
      <c r="A28" s="0" t="s">
        <v>100</v>
      </c>
      <c r="B28" s="0" t="n">
        <v>2020</v>
      </c>
      <c r="C28" s="0" t="s">
        <v>1744</v>
      </c>
      <c r="D28" s="0" t="s">
        <v>1748</v>
      </c>
      <c r="E28" s="0" t="s">
        <v>1695</v>
      </c>
      <c r="F28" s="0" t="s">
        <v>1749</v>
      </c>
      <c r="G28" s="0" t="s">
        <v>1672</v>
      </c>
      <c r="H28" s="0" t="s">
        <v>1618</v>
      </c>
      <c r="I28" s="0" t="s">
        <v>1750</v>
      </c>
      <c r="J28" s="0" t="s">
        <v>1751</v>
      </c>
      <c r="K28" s="0" t="s">
        <v>1749</v>
      </c>
    </row>
    <row r="29" customFormat="false" ht="15" hidden="false" customHeight="false" outlineLevel="0" collapsed="false">
      <c r="A29" s="0" t="s">
        <v>100</v>
      </c>
      <c r="B29" s="0" t="n">
        <v>2020</v>
      </c>
      <c r="C29" s="0" t="s">
        <v>58</v>
      </c>
      <c r="D29" s="0" t="n">
        <v>-13271</v>
      </c>
      <c r="E29" s="0" t="s">
        <v>1695</v>
      </c>
      <c r="F29" s="0" t="n">
        <v>-13436</v>
      </c>
      <c r="G29" s="0" t="s">
        <v>1672</v>
      </c>
      <c r="H29" s="0" t="s">
        <v>1618</v>
      </c>
      <c r="I29" s="0" t="s">
        <v>1752</v>
      </c>
      <c r="J29" s="0" t="s">
        <v>1629</v>
      </c>
      <c r="K29" s="0" t="n">
        <v>-13436</v>
      </c>
    </row>
    <row r="30" customFormat="false" ht="15" hidden="false" customHeight="false" outlineLevel="0" collapsed="false">
      <c r="A30" s="0" t="s">
        <v>100</v>
      </c>
      <c r="B30" s="0" t="n">
        <v>2021</v>
      </c>
      <c r="C30" s="0" t="s">
        <v>58</v>
      </c>
      <c r="D30" s="0" t="n">
        <v>-86740</v>
      </c>
      <c r="E30" s="0" t="s">
        <v>1616</v>
      </c>
      <c r="F30" s="0" t="n">
        <v>-98241</v>
      </c>
      <c r="G30" s="0" t="s">
        <v>1753</v>
      </c>
      <c r="H30" s="0" t="s">
        <v>1662</v>
      </c>
      <c r="I30" s="0" t="s">
        <v>1754</v>
      </c>
      <c r="J30" s="0" t="s">
        <v>1629</v>
      </c>
      <c r="K30" s="0" t="n">
        <v>-98241</v>
      </c>
    </row>
    <row r="31" customFormat="false" ht="15" hidden="false" customHeight="false" outlineLevel="0" collapsed="false">
      <c r="A31" s="0" t="s">
        <v>149</v>
      </c>
      <c r="B31" s="0" t="n">
        <v>2014</v>
      </c>
      <c r="C31" s="0" t="s">
        <v>1755</v>
      </c>
      <c r="D31" s="0" t="s">
        <v>1756</v>
      </c>
      <c r="E31" s="0" t="s">
        <v>1757</v>
      </c>
      <c r="F31" s="0" t="s">
        <v>1758</v>
      </c>
      <c r="G31" s="0" t="s">
        <v>1759</v>
      </c>
      <c r="H31" s="0" t="s">
        <v>1618</v>
      </c>
      <c r="I31" s="0" t="s">
        <v>1760</v>
      </c>
      <c r="J31" s="0" t="s">
        <v>1629</v>
      </c>
      <c r="K31" s="0" t="s">
        <v>1761</v>
      </c>
    </row>
    <row r="32" customFormat="false" ht="15" hidden="false" customHeight="false" outlineLevel="0" collapsed="false">
      <c r="A32" s="0" t="s">
        <v>125</v>
      </c>
      <c r="B32" s="0" t="n">
        <v>2022</v>
      </c>
      <c r="C32" s="0" t="s">
        <v>1637</v>
      </c>
      <c r="D32" s="0" t="s">
        <v>1762</v>
      </c>
      <c r="E32" s="0" t="s">
        <v>1763</v>
      </c>
      <c r="F32" s="0" t="s">
        <v>1640</v>
      </c>
      <c r="G32" s="0" t="s">
        <v>1764</v>
      </c>
      <c r="H32" s="0" t="s">
        <v>1765</v>
      </c>
      <c r="I32" s="0" t="s">
        <v>1766</v>
      </c>
      <c r="J32" s="0" t="s">
        <v>1767</v>
      </c>
      <c r="K32" s="0" t="s">
        <v>1768</v>
      </c>
    </row>
    <row r="33" customFormat="false" ht="15" hidden="false" customHeight="false" outlineLevel="0" collapsed="false">
      <c r="A33" s="0" t="s">
        <v>125</v>
      </c>
      <c r="B33" s="0" t="n">
        <v>2018</v>
      </c>
      <c r="C33" s="0" t="s">
        <v>58</v>
      </c>
      <c r="D33" s="0" t="n">
        <v>327497</v>
      </c>
      <c r="E33" s="0" t="s">
        <v>1769</v>
      </c>
      <c r="F33" s="0" t="n">
        <v>327496</v>
      </c>
      <c r="G33" s="0" t="s">
        <v>1770</v>
      </c>
      <c r="H33" s="0" t="s">
        <v>1618</v>
      </c>
      <c r="I33" s="0" t="s">
        <v>1771</v>
      </c>
      <c r="J33" s="0" t="s">
        <v>1772</v>
      </c>
      <c r="K33" s="0" t="n">
        <v>327496</v>
      </c>
    </row>
    <row r="34" customFormat="false" ht="15" hidden="false" customHeight="false" outlineLevel="0" collapsed="false">
      <c r="A34" s="0" t="s">
        <v>125</v>
      </c>
      <c r="B34" s="0" t="n">
        <v>2018</v>
      </c>
      <c r="C34" s="0" t="s">
        <v>60</v>
      </c>
      <c r="D34" s="0" t="n">
        <v>1728964</v>
      </c>
      <c r="E34" s="0" t="s">
        <v>1773</v>
      </c>
      <c r="F34" s="0" t="s">
        <v>1774</v>
      </c>
      <c r="G34" s="0" t="s">
        <v>1775</v>
      </c>
      <c r="H34" s="0" t="s">
        <v>1776</v>
      </c>
      <c r="I34" s="0" t="s">
        <v>1777</v>
      </c>
      <c r="J34" s="0" t="s">
        <v>1778</v>
      </c>
      <c r="K34" s="0" t="s">
        <v>1779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11"/>
    <col collapsed="false" customWidth="true" hidden="false" outlineLevel="0" max="6" min="6" style="0" width="30"/>
    <col collapsed="false" customWidth="true" hidden="false" outlineLevel="0" max="7" min="7" style="0" width="18"/>
    <col collapsed="false" customWidth="true" hidden="false" outlineLevel="0" max="8" min="8" style="0" width="14"/>
    <col collapsed="false" customWidth="true" hidden="false" outlineLevel="0" max="9" min="9" style="0" width="21"/>
    <col collapsed="false" customWidth="true" hidden="false" outlineLevel="0" max="10" min="10" style="0" width="15"/>
  </cols>
  <sheetData>
    <row r="1" customFormat="false" ht="15" hidden="false" customHeight="false" outlineLevel="0" collapsed="false">
      <c r="A1" s="2" t="s">
        <v>1780</v>
      </c>
    </row>
    <row r="3" customFormat="false" ht="15" hidden="false" customHeight="false" outlineLevel="0" collapsed="false">
      <c r="A3" s="3" t="s">
        <v>519</v>
      </c>
      <c r="B3" s="3" t="s">
        <v>1781</v>
      </c>
      <c r="C3" s="3" t="s">
        <v>1782</v>
      </c>
      <c r="D3" s="3" t="s">
        <v>1783</v>
      </c>
      <c r="E3" s="3" t="s">
        <v>1784</v>
      </c>
      <c r="F3" s="3" t="s">
        <v>1785</v>
      </c>
      <c r="G3" s="3" t="s">
        <v>1786</v>
      </c>
      <c r="H3" s="3" t="s">
        <v>1787</v>
      </c>
      <c r="I3" s="3" t="s">
        <v>1788</v>
      </c>
      <c r="J3" s="3" t="s">
        <v>1789</v>
      </c>
    </row>
    <row r="4" customFormat="false" ht="15" hidden="false" customHeight="false" outlineLevel="0" collapsed="false">
      <c r="A4" s="0" t="s">
        <v>1790</v>
      </c>
      <c r="B4" s="0" t="s">
        <v>149</v>
      </c>
      <c r="C4" s="0" t="n">
        <v>2020</v>
      </c>
      <c r="D4" s="0" t="s">
        <v>65</v>
      </c>
      <c r="E4" s="0" t="n">
        <v>176542</v>
      </c>
      <c r="F4" s="0" t="n">
        <v>176542</v>
      </c>
      <c r="G4" s="0" t="n">
        <v>144</v>
      </c>
      <c r="H4" s="0" t="n">
        <v>113</v>
      </c>
      <c r="I4" s="0" t="s">
        <v>1791</v>
      </c>
      <c r="J4" s="0" t="s">
        <v>1792</v>
      </c>
    </row>
    <row r="5" customFormat="false" ht="15" hidden="false" customHeight="false" outlineLevel="0" collapsed="false">
      <c r="A5" s="0" t="s">
        <v>1793</v>
      </c>
      <c r="B5" s="0" t="s">
        <v>149</v>
      </c>
      <c r="C5" s="0" t="n">
        <v>2020</v>
      </c>
      <c r="D5" s="0" t="s">
        <v>619</v>
      </c>
      <c r="E5" s="0" t="n">
        <v>182720</v>
      </c>
      <c r="F5" s="0" t="n">
        <v>182720</v>
      </c>
      <c r="G5" s="0" t="n">
        <v>144</v>
      </c>
      <c r="H5" s="0" t="n">
        <v>113</v>
      </c>
      <c r="I5" s="0" t="s">
        <v>1791</v>
      </c>
      <c r="J5" s="0" t="s">
        <v>1794</v>
      </c>
    </row>
    <row r="6" customFormat="false" ht="15" hidden="false" customHeight="false" outlineLevel="0" collapsed="false">
      <c r="A6" s="0" t="s">
        <v>1795</v>
      </c>
      <c r="B6" s="0" t="s">
        <v>149</v>
      </c>
      <c r="C6" s="0" t="n">
        <v>2021</v>
      </c>
      <c r="D6" s="0" t="s">
        <v>65</v>
      </c>
      <c r="E6" s="0" t="n">
        <v>228300</v>
      </c>
      <c r="F6" s="0" t="n">
        <v>228300</v>
      </c>
      <c r="G6" s="0" t="n">
        <v>143</v>
      </c>
      <c r="H6" s="0" t="n">
        <v>113</v>
      </c>
      <c r="I6" s="0" t="s">
        <v>1796</v>
      </c>
      <c r="J6" s="0" t="s">
        <v>1797</v>
      </c>
    </row>
    <row r="7" customFormat="false" ht="15" hidden="false" customHeight="false" outlineLevel="0" collapsed="false">
      <c r="A7" s="0" t="s">
        <v>1798</v>
      </c>
      <c r="B7" s="0" t="s">
        <v>211</v>
      </c>
      <c r="C7" s="0" t="n">
        <v>2022</v>
      </c>
      <c r="D7" s="0" t="s">
        <v>63</v>
      </c>
      <c r="E7" s="0" t="n">
        <v>-4808387</v>
      </c>
      <c r="F7" s="0" t="n">
        <v>4808.387</v>
      </c>
      <c r="G7" s="0" t="n">
        <v>114</v>
      </c>
      <c r="H7" s="0" t="n">
        <v>109</v>
      </c>
      <c r="I7" s="0" t="s">
        <v>1799</v>
      </c>
      <c r="J7" s="0" t="s">
        <v>1800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5" min="4" style="0" width="10"/>
    <col collapsed="false" customWidth="true" hidden="false" outlineLevel="0" max="6" min="6" style="0" width="20"/>
    <col collapsed="false" customWidth="true" hidden="false" outlineLevel="0" max="7" min="7" style="0" width="13"/>
    <col collapsed="false" customWidth="true" hidden="false" outlineLevel="0" max="8" min="8" style="0" width="14"/>
    <col collapsed="false" customWidth="true" hidden="false" outlineLevel="0" max="9" min="9" style="0" width="16"/>
    <col collapsed="false" customWidth="true" hidden="false" outlineLevel="0" max="10" min="10" style="0" width="23"/>
    <col collapsed="false" customWidth="true" hidden="false" outlineLevel="0" max="11" min="11" style="0" width="19"/>
    <col collapsed="false" customWidth="true" hidden="false" outlineLevel="0" max="12" min="12" style="0" width="20"/>
    <col collapsed="false" customWidth="true" hidden="false" outlineLevel="0" max="13" min="13" style="0" width="15"/>
    <col collapsed="false" customWidth="true" hidden="false" outlineLevel="0" max="14" min="14" style="0" width="12"/>
    <col collapsed="false" customWidth="true" hidden="false" outlineLevel="0" max="15" min="15" style="0" width="22"/>
    <col collapsed="false" customWidth="true" hidden="false" outlineLevel="0" max="16" min="16" style="0" width="32"/>
    <col collapsed="false" customWidth="true" hidden="false" outlineLevel="0" max="17" min="17" style="0" width="36"/>
    <col collapsed="false" customWidth="true" hidden="false" outlineLevel="0" max="18" min="18" style="0" width="19"/>
    <col collapsed="false" customWidth="true" hidden="false" outlineLevel="0" max="19" min="19" style="0" width="26"/>
    <col collapsed="false" customWidth="true" hidden="false" outlineLevel="0" max="20" min="20" style="0" width="10"/>
    <col collapsed="false" customWidth="true" hidden="false" outlineLevel="0" max="21" min="21" style="0" width="14"/>
  </cols>
  <sheetData>
    <row r="1" customFormat="false" ht="15" hidden="false" customHeight="false" outlineLevel="0" collapsed="false">
      <c r="A1" s="2" t="s">
        <v>1801</v>
      </c>
    </row>
    <row r="3" customFormat="false" ht="15" hidden="false" customHeight="false" outlineLevel="0" collapsed="false">
      <c r="A3" s="3" t="s">
        <v>50</v>
      </c>
      <c r="B3" s="3" t="s">
        <v>51</v>
      </c>
      <c r="C3" s="3" t="s">
        <v>1802</v>
      </c>
      <c r="D3" s="3" t="s">
        <v>1803</v>
      </c>
      <c r="E3" s="3" t="s">
        <v>1804</v>
      </c>
      <c r="F3" s="3" t="s">
        <v>1805</v>
      </c>
      <c r="G3" s="3" t="s">
        <v>1806</v>
      </c>
      <c r="H3" s="3" t="s">
        <v>1807</v>
      </c>
      <c r="I3" s="3" t="s">
        <v>1808</v>
      </c>
      <c r="J3" s="3" t="s">
        <v>1809</v>
      </c>
      <c r="K3" s="3" t="s">
        <v>1810</v>
      </c>
      <c r="L3" s="3" t="s">
        <v>1811</v>
      </c>
      <c r="M3" s="3" t="s">
        <v>1812</v>
      </c>
      <c r="N3" s="3" t="s">
        <v>1813</v>
      </c>
      <c r="O3" s="3" t="s">
        <v>1814</v>
      </c>
      <c r="P3" s="3" t="s">
        <v>1815</v>
      </c>
      <c r="Q3" s="3" t="s">
        <v>1816</v>
      </c>
      <c r="R3" s="3" t="s">
        <v>1817</v>
      </c>
      <c r="S3" s="3" t="s">
        <v>1818</v>
      </c>
      <c r="T3" s="3" t="s">
        <v>1819</v>
      </c>
      <c r="U3" s="3" t="s">
        <v>1820</v>
      </c>
    </row>
    <row r="4" customFormat="false" ht="15" hidden="false" customHeight="false" outlineLevel="0" collapsed="false">
      <c r="A4" s="0" t="s">
        <v>187</v>
      </c>
      <c r="B4" s="0" t="n">
        <v>2016</v>
      </c>
      <c r="C4" s="0" t="s">
        <v>1821</v>
      </c>
      <c r="D4" s="0" t="s">
        <v>1822</v>
      </c>
      <c r="E4" s="0" t="s">
        <v>1823</v>
      </c>
      <c r="F4" s="0" t="s">
        <v>1824</v>
      </c>
      <c r="G4" s="0" t="s">
        <v>1825</v>
      </c>
      <c r="H4" s="0" t="s">
        <v>1826</v>
      </c>
      <c r="I4" s="0" t="s">
        <v>1827</v>
      </c>
      <c r="J4" s="0" t="s">
        <v>1828</v>
      </c>
      <c r="K4" s="0" t="s">
        <v>1829</v>
      </c>
      <c r="L4" s="0" t="n">
        <v>39</v>
      </c>
      <c r="M4" s="0" t="s">
        <v>1830</v>
      </c>
      <c r="N4" s="0" t="s">
        <v>1831</v>
      </c>
      <c r="O4" s="0" t="s">
        <v>1831</v>
      </c>
      <c r="P4" s="0" t="s">
        <v>1831</v>
      </c>
      <c r="Q4" s="0" t="s">
        <v>1832</v>
      </c>
      <c r="R4" s="0" t="s">
        <v>1833</v>
      </c>
      <c r="S4" s="0" t="s">
        <v>1834</v>
      </c>
      <c r="T4" s="0" t="n">
        <v>0</v>
      </c>
      <c r="U4" s="0" t="s">
        <v>1835</v>
      </c>
    </row>
    <row r="5" customFormat="false" ht="15" hidden="false" customHeight="false" outlineLevel="0" collapsed="false">
      <c r="A5" s="0" t="s">
        <v>149</v>
      </c>
      <c r="B5" s="0" t="n">
        <v>2021</v>
      </c>
      <c r="C5" s="0" t="s">
        <v>1836</v>
      </c>
      <c r="D5" s="0" t="s">
        <v>1837</v>
      </c>
      <c r="E5" s="0" t="s">
        <v>1838</v>
      </c>
      <c r="F5" s="0" t="s">
        <v>1839</v>
      </c>
      <c r="G5" s="0" t="s">
        <v>1840</v>
      </c>
      <c r="H5" s="0" t="s">
        <v>1826</v>
      </c>
      <c r="I5" s="0" t="s">
        <v>1827</v>
      </c>
      <c r="J5" s="0" t="s">
        <v>1828</v>
      </c>
      <c r="K5" s="0" t="s">
        <v>1841</v>
      </c>
      <c r="L5" s="0" t="n">
        <v>31</v>
      </c>
      <c r="M5" s="0" t="s">
        <v>1842</v>
      </c>
      <c r="N5" s="0" t="s">
        <v>1831</v>
      </c>
      <c r="O5" s="0" t="s">
        <v>1831</v>
      </c>
      <c r="P5" s="0" t="s">
        <v>1831</v>
      </c>
      <c r="Q5" s="0" t="s">
        <v>1832</v>
      </c>
      <c r="R5" s="0" t="s">
        <v>1843</v>
      </c>
      <c r="S5" s="0" t="s">
        <v>1844</v>
      </c>
      <c r="T5" s="0" t="n">
        <v>0</v>
      </c>
      <c r="U5" s="0" t="s">
        <v>1835</v>
      </c>
    </row>
    <row r="6" customFormat="false" ht="15" hidden="false" customHeight="false" outlineLevel="0" collapsed="false">
      <c r="A6" s="0" t="s">
        <v>149</v>
      </c>
      <c r="B6" s="0" t="n">
        <v>2022</v>
      </c>
      <c r="C6" s="0" t="s">
        <v>1845</v>
      </c>
      <c r="D6" s="0" t="s">
        <v>1846</v>
      </c>
      <c r="E6" s="0" t="s">
        <v>1838</v>
      </c>
      <c r="F6" s="0" t="s">
        <v>1839</v>
      </c>
      <c r="G6" s="0" t="s">
        <v>1847</v>
      </c>
      <c r="H6" s="0" t="s">
        <v>1826</v>
      </c>
      <c r="I6" s="0" t="s">
        <v>1827</v>
      </c>
      <c r="J6" s="0" t="s">
        <v>1828</v>
      </c>
      <c r="K6" s="0" t="s">
        <v>1848</v>
      </c>
      <c r="L6" s="0" t="n">
        <v>30</v>
      </c>
      <c r="M6" s="0" t="s">
        <v>1830</v>
      </c>
      <c r="N6" s="0" t="s">
        <v>1831</v>
      </c>
      <c r="O6" s="0" t="s">
        <v>1831</v>
      </c>
      <c r="P6" s="0" t="s">
        <v>1831</v>
      </c>
      <c r="Q6" s="0" t="s">
        <v>1832</v>
      </c>
      <c r="R6" s="0" t="s">
        <v>1849</v>
      </c>
      <c r="S6" s="0" t="s">
        <v>1844</v>
      </c>
      <c r="T6" s="0" t="n">
        <v>0</v>
      </c>
      <c r="U6" s="0" t="s">
        <v>1835</v>
      </c>
    </row>
    <row r="7" customFormat="false" ht="15" hidden="false" customHeight="false" outlineLevel="0" collapsed="false">
      <c r="A7" s="0" t="s">
        <v>187</v>
      </c>
      <c r="B7" s="0" t="n">
        <v>2018</v>
      </c>
      <c r="C7" s="0" t="s">
        <v>1850</v>
      </c>
      <c r="D7" s="0" t="s">
        <v>1851</v>
      </c>
      <c r="E7" s="0" t="s">
        <v>1823</v>
      </c>
      <c r="F7" s="0" t="s">
        <v>1824</v>
      </c>
      <c r="G7" s="0" t="s">
        <v>1852</v>
      </c>
      <c r="H7" s="0" t="s">
        <v>1826</v>
      </c>
      <c r="I7" s="0" t="s">
        <v>1827</v>
      </c>
      <c r="J7" s="0" t="s">
        <v>1828</v>
      </c>
      <c r="K7" s="0" t="s">
        <v>1853</v>
      </c>
      <c r="L7" s="0" t="s">
        <v>1854</v>
      </c>
      <c r="M7" s="0" t="s">
        <v>1855</v>
      </c>
      <c r="N7" s="0" t="s">
        <v>1831</v>
      </c>
      <c r="O7" s="0" t="s">
        <v>1831</v>
      </c>
      <c r="P7" s="0" t="s">
        <v>1831</v>
      </c>
      <c r="Q7" s="0" t="s">
        <v>1832</v>
      </c>
      <c r="R7" s="0" t="s">
        <v>1856</v>
      </c>
      <c r="S7" s="0" t="s">
        <v>1857</v>
      </c>
      <c r="T7" s="0" t="n">
        <v>0</v>
      </c>
      <c r="U7" s="0" t="s">
        <v>1835</v>
      </c>
    </row>
    <row r="8" customFormat="false" ht="15" hidden="false" customHeight="false" outlineLevel="0" collapsed="false">
      <c r="A8" s="0" t="s">
        <v>187</v>
      </c>
      <c r="B8" s="0" t="n">
        <v>2020</v>
      </c>
      <c r="C8" s="0" t="s">
        <v>1858</v>
      </c>
      <c r="D8" s="0" t="s">
        <v>1859</v>
      </c>
      <c r="E8" s="0" t="s">
        <v>1860</v>
      </c>
      <c r="F8" s="0" t="s">
        <v>1861</v>
      </c>
      <c r="G8" s="0" t="s">
        <v>1862</v>
      </c>
      <c r="H8" s="0" t="s">
        <v>1826</v>
      </c>
      <c r="I8" s="0" t="s">
        <v>1827</v>
      </c>
      <c r="J8" s="0" t="s">
        <v>1828</v>
      </c>
      <c r="K8" s="0" t="s">
        <v>1863</v>
      </c>
      <c r="L8" s="0" t="n">
        <v>51</v>
      </c>
      <c r="M8" s="0" t="s">
        <v>1842</v>
      </c>
      <c r="N8" s="0" t="s">
        <v>1831</v>
      </c>
      <c r="O8" s="0" t="s">
        <v>1831</v>
      </c>
      <c r="P8" s="0" t="s">
        <v>1864</v>
      </c>
      <c r="Q8" s="0" t="s">
        <v>1832</v>
      </c>
      <c r="R8" s="0" t="s">
        <v>1856</v>
      </c>
      <c r="S8" s="0" t="s">
        <v>1857</v>
      </c>
      <c r="T8" s="0" t="n">
        <v>0</v>
      </c>
      <c r="U8" s="0" t="s">
        <v>1835</v>
      </c>
    </row>
    <row r="9" customFormat="false" ht="15" hidden="false" customHeight="false" outlineLevel="0" collapsed="false">
      <c r="A9" s="0" t="s">
        <v>187</v>
      </c>
      <c r="B9" s="0" t="n">
        <v>2022</v>
      </c>
      <c r="C9" s="0" t="s">
        <v>1865</v>
      </c>
      <c r="D9" s="0" t="s">
        <v>1866</v>
      </c>
      <c r="E9" s="0" t="s">
        <v>1860</v>
      </c>
      <c r="F9" s="0" t="s">
        <v>1867</v>
      </c>
      <c r="G9" s="0" t="s">
        <v>1868</v>
      </c>
      <c r="H9" s="0" t="s">
        <v>1826</v>
      </c>
      <c r="I9" s="0" t="s">
        <v>1827</v>
      </c>
      <c r="J9" s="0" t="s">
        <v>1828</v>
      </c>
      <c r="K9" s="0" t="s">
        <v>1869</v>
      </c>
      <c r="L9" s="0" t="n">
        <v>57</v>
      </c>
      <c r="M9" s="0" t="s">
        <v>1842</v>
      </c>
      <c r="N9" s="0" t="s">
        <v>1831</v>
      </c>
      <c r="O9" s="0" t="s">
        <v>1831</v>
      </c>
      <c r="P9" s="0" t="s">
        <v>1831</v>
      </c>
      <c r="Q9" s="0" t="s">
        <v>1832</v>
      </c>
      <c r="R9" s="0" t="s">
        <v>1856</v>
      </c>
      <c r="S9" s="0" t="s">
        <v>1857</v>
      </c>
      <c r="T9" s="0" t="n">
        <v>0</v>
      </c>
      <c r="U9" s="0" t="s">
        <v>1835</v>
      </c>
    </row>
    <row r="10" customFormat="false" ht="15" hidden="false" customHeight="false" outlineLevel="0" collapsed="false">
      <c r="A10" s="0" t="s">
        <v>211</v>
      </c>
      <c r="B10" s="0" t="n">
        <v>2016</v>
      </c>
      <c r="C10" s="0" t="s">
        <v>1870</v>
      </c>
      <c r="D10" s="0" t="s">
        <v>1871</v>
      </c>
      <c r="E10" s="0" t="s">
        <v>1872</v>
      </c>
      <c r="G10" s="0" t="s">
        <v>1873</v>
      </c>
      <c r="H10" s="0" t="s">
        <v>1826</v>
      </c>
      <c r="I10" s="0" t="s">
        <v>1827</v>
      </c>
      <c r="J10" s="0" t="s">
        <v>1828</v>
      </c>
      <c r="K10" s="0" t="s">
        <v>1874</v>
      </c>
      <c r="L10" s="0" t="n">
        <v>62</v>
      </c>
      <c r="M10" s="0" t="s">
        <v>1842</v>
      </c>
      <c r="N10" s="0" t="s">
        <v>1831</v>
      </c>
      <c r="O10" s="0" t="s">
        <v>1831</v>
      </c>
      <c r="P10" s="0" t="s">
        <v>1831</v>
      </c>
      <c r="Q10" s="0" t="s">
        <v>1832</v>
      </c>
      <c r="R10" s="0" t="s">
        <v>1875</v>
      </c>
      <c r="S10" s="0" t="s">
        <v>1857</v>
      </c>
      <c r="T10" s="0" t="n">
        <v>0</v>
      </c>
      <c r="U10" s="0" t="s">
        <v>1835</v>
      </c>
    </row>
    <row r="11" customFormat="false" ht="15" hidden="false" customHeight="false" outlineLevel="0" collapsed="false">
      <c r="A11" s="0" t="s">
        <v>211</v>
      </c>
      <c r="B11" s="0" t="n">
        <v>2020</v>
      </c>
      <c r="C11" s="0" t="s">
        <v>1876</v>
      </c>
      <c r="D11" s="0" t="s">
        <v>1877</v>
      </c>
      <c r="E11" s="0" t="s">
        <v>1878</v>
      </c>
      <c r="F11" s="0" t="s">
        <v>1879</v>
      </c>
      <c r="G11" s="0" t="s">
        <v>1880</v>
      </c>
      <c r="H11" s="0" t="s">
        <v>1826</v>
      </c>
      <c r="I11" s="0" t="s">
        <v>1827</v>
      </c>
      <c r="J11" s="0" t="s">
        <v>1828</v>
      </c>
      <c r="K11" s="0" t="s">
        <v>1881</v>
      </c>
      <c r="L11" s="0" t="n">
        <v>31</v>
      </c>
      <c r="M11" s="0" t="s">
        <v>1842</v>
      </c>
      <c r="N11" s="0" t="s">
        <v>1831</v>
      </c>
      <c r="O11" s="0" t="s">
        <v>1831</v>
      </c>
      <c r="P11" s="0" t="s">
        <v>1831</v>
      </c>
      <c r="Q11" s="0" t="s">
        <v>1832</v>
      </c>
      <c r="R11" s="0" t="s">
        <v>1882</v>
      </c>
      <c r="S11" s="0" t="s">
        <v>1857</v>
      </c>
      <c r="T11" s="0" t="n">
        <v>0</v>
      </c>
      <c r="U11" s="0" t="s">
        <v>1835</v>
      </c>
    </row>
    <row r="12" customFormat="false" ht="15" hidden="false" customHeight="false" outlineLevel="0" collapsed="false">
      <c r="A12" s="0" t="s">
        <v>211</v>
      </c>
      <c r="B12" s="0" t="n">
        <v>2022</v>
      </c>
      <c r="C12" s="0" t="s">
        <v>1883</v>
      </c>
      <c r="D12" s="0" t="s">
        <v>1884</v>
      </c>
      <c r="E12" s="0" t="s">
        <v>1823</v>
      </c>
      <c r="G12" s="0" t="s">
        <v>1885</v>
      </c>
      <c r="H12" s="0" t="s">
        <v>1826</v>
      </c>
      <c r="I12" s="0" t="s">
        <v>1827</v>
      </c>
      <c r="J12" s="0" t="s">
        <v>1828</v>
      </c>
      <c r="K12" s="0" t="s">
        <v>1886</v>
      </c>
      <c r="L12" s="0" t="n">
        <v>112</v>
      </c>
      <c r="M12" s="0" t="s">
        <v>1842</v>
      </c>
      <c r="N12" s="0" t="s">
        <v>1831</v>
      </c>
      <c r="O12" s="0" t="s">
        <v>1831</v>
      </c>
      <c r="P12" s="0" t="s">
        <v>1831</v>
      </c>
      <c r="Q12" s="0" t="s">
        <v>1832</v>
      </c>
      <c r="R12" s="0" t="s">
        <v>1856</v>
      </c>
      <c r="S12" s="0" t="s">
        <v>1857</v>
      </c>
      <c r="T12" s="0" t="n">
        <v>0</v>
      </c>
      <c r="U12" s="0" t="s">
        <v>1835</v>
      </c>
    </row>
    <row r="13" customFormat="false" ht="15" hidden="false" customHeight="false" outlineLevel="0" collapsed="false">
      <c r="A13" s="0" t="s">
        <v>115</v>
      </c>
      <c r="B13" s="0" t="n">
        <v>2019</v>
      </c>
      <c r="C13" s="0" t="s">
        <v>1887</v>
      </c>
      <c r="D13" s="0" t="s">
        <v>1888</v>
      </c>
      <c r="E13" s="0" t="s">
        <v>1860</v>
      </c>
      <c r="G13" s="0" t="s">
        <v>1889</v>
      </c>
      <c r="H13" s="0" t="s">
        <v>1890</v>
      </c>
      <c r="I13" s="0" t="s">
        <v>1891</v>
      </c>
      <c r="J13" s="0" t="s">
        <v>1892</v>
      </c>
      <c r="K13" s="0" t="s">
        <v>1893</v>
      </c>
      <c r="L13" s="0" t="n">
        <v>59</v>
      </c>
      <c r="M13" s="0" t="s">
        <v>1842</v>
      </c>
      <c r="N13" s="0" t="s">
        <v>1831</v>
      </c>
      <c r="O13" s="0" t="s">
        <v>1831</v>
      </c>
      <c r="P13" s="0" t="s">
        <v>1831</v>
      </c>
      <c r="Q13" s="0" t="s">
        <v>1832</v>
      </c>
      <c r="R13" s="0" t="s">
        <v>1894</v>
      </c>
      <c r="S13" s="0" t="s">
        <v>1857</v>
      </c>
      <c r="T13" s="0" t="n">
        <v>0</v>
      </c>
      <c r="U13" s="0" t="s">
        <v>1835</v>
      </c>
    </row>
    <row r="14" customFormat="false" ht="15" hidden="false" customHeight="false" outlineLevel="0" collapsed="false">
      <c r="A14" s="0" t="s">
        <v>115</v>
      </c>
      <c r="B14" s="0" t="n">
        <v>2022</v>
      </c>
      <c r="C14" s="0" t="s">
        <v>1895</v>
      </c>
      <c r="D14" s="0" t="s">
        <v>1896</v>
      </c>
      <c r="E14" s="0" t="s">
        <v>1878</v>
      </c>
      <c r="F14" s="0" t="s">
        <v>1897</v>
      </c>
      <c r="G14" s="0" t="s">
        <v>1898</v>
      </c>
      <c r="H14" s="0" t="s">
        <v>1826</v>
      </c>
      <c r="I14" s="0" t="s">
        <v>1891</v>
      </c>
      <c r="J14" s="0" t="s">
        <v>1892</v>
      </c>
      <c r="K14" s="0" t="s">
        <v>1899</v>
      </c>
      <c r="L14" s="0" t="s">
        <v>1900</v>
      </c>
      <c r="M14" s="0" t="s">
        <v>1901</v>
      </c>
      <c r="N14" s="0" t="s">
        <v>1831</v>
      </c>
      <c r="O14" s="0" t="s">
        <v>1831</v>
      </c>
      <c r="P14" s="0" t="s">
        <v>1831</v>
      </c>
      <c r="Q14" s="0" t="s">
        <v>1832</v>
      </c>
      <c r="R14" s="0" t="s">
        <v>1856</v>
      </c>
      <c r="S14" s="0" t="s">
        <v>1857</v>
      </c>
      <c r="T14" s="0" t="n">
        <v>0</v>
      </c>
      <c r="U14" s="0" t="s">
        <v>1835</v>
      </c>
    </row>
    <row r="15" customFormat="false" ht="15" hidden="false" customHeight="false" outlineLevel="0" collapsed="false">
      <c r="A15" s="0" t="s">
        <v>169</v>
      </c>
      <c r="B15" s="0" t="n">
        <v>2014</v>
      </c>
      <c r="C15" s="0" t="s">
        <v>1902</v>
      </c>
      <c r="D15" s="0" t="s">
        <v>1903</v>
      </c>
      <c r="E15" s="0" t="s">
        <v>1860</v>
      </c>
      <c r="G15" s="0" t="s">
        <v>1904</v>
      </c>
      <c r="H15" s="0" t="s">
        <v>1890</v>
      </c>
      <c r="I15" s="0" t="s">
        <v>1905</v>
      </c>
      <c r="J15" s="0" t="s">
        <v>1892</v>
      </c>
      <c r="K15" s="0" t="s">
        <v>1906</v>
      </c>
      <c r="L15" s="0" t="n">
        <v>54</v>
      </c>
      <c r="M15" s="0" t="s">
        <v>1842</v>
      </c>
      <c r="N15" s="0" t="s">
        <v>1831</v>
      </c>
      <c r="O15" s="0" t="s">
        <v>1831</v>
      </c>
      <c r="P15" s="0" t="s">
        <v>1831</v>
      </c>
      <c r="Q15" s="0" t="s">
        <v>1907</v>
      </c>
      <c r="R15" s="0" t="s">
        <v>1908</v>
      </c>
      <c r="S15" s="0" t="s">
        <v>1857</v>
      </c>
      <c r="T15" s="0" t="n">
        <v>0</v>
      </c>
      <c r="U15" s="0" t="s">
        <v>1835</v>
      </c>
    </row>
    <row r="16" customFormat="false" ht="15" hidden="false" customHeight="false" outlineLevel="0" collapsed="false">
      <c r="A16" s="0" t="s">
        <v>169</v>
      </c>
      <c r="B16" s="0" t="n">
        <v>2019</v>
      </c>
      <c r="C16" s="0" t="s">
        <v>1909</v>
      </c>
      <c r="D16" s="0" t="s">
        <v>1910</v>
      </c>
      <c r="E16" s="0" t="s">
        <v>1860</v>
      </c>
      <c r="F16" s="0" t="s">
        <v>1911</v>
      </c>
      <c r="G16" s="0" t="s">
        <v>1912</v>
      </c>
      <c r="H16" s="0" t="s">
        <v>1890</v>
      </c>
      <c r="I16" s="0" t="s">
        <v>1827</v>
      </c>
      <c r="J16" s="0" t="s">
        <v>1828</v>
      </c>
      <c r="K16" s="0" t="s">
        <v>1841</v>
      </c>
      <c r="L16" s="0" t="n">
        <v>31</v>
      </c>
      <c r="M16" s="0" t="s">
        <v>1830</v>
      </c>
      <c r="N16" s="0" t="s">
        <v>1831</v>
      </c>
      <c r="O16" s="0" t="s">
        <v>1831</v>
      </c>
      <c r="P16" s="0" t="s">
        <v>1831</v>
      </c>
      <c r="Q16" s="0" t="s">
        <v>1832</v>
      </c>
      <c r="R16" s="0" t="s">
        <v>1913</v>
      </c>
      <c r="S16" s="0" t="s">
        <v>1857</v>
      </c>
      <c r="T16" s="0" t="n">
        <v>0</v>
      </c>
      <c r="U16" s="0" t="s">
        <v>1835</v>
      </c>
    </row>
    <row r="17" customFormat="false" ht="15" hidden="false" customHeight="false" outlineLevel="0" collapsed="false">
      <c r="A17" s="0" t="s">
        <v>136</v>
      </c>
      <c r="B17" s="0" t="n">
        <v>2018</v>
      </c>
      <c r="C17" s="0" t="s">
        <v>1914</v>
      </c>
      <c r="D17" s="0" t="s">
        <v>1915</v>
      </c>
      <c r="E17" s="0" t="s">
        <v>1838</v>
      </c>
      <c r="F17" s="0" t="s">
        <v>1916</v>
      </c>
      <c r="G17" s="0" t="s">
        <v>1917</v>
      </c>
      <c r="H17" s="0" t="s">
        <v>1826</v>
      </c>
      <c r="I17" s="0" t="s">
        <v>1827</v>
      </c>
      <c r="J17" s="0" t="s">
        <v>1828</v>
      </c>
      <c r="K17" s="0" t="s">
        <v>1918</v>
      </c>
      <c r="L17" s="0" t="n">
        <v>80</v>
      </c>
      <c r="M17" s="0" t="s">
        <v>1842</v>
      </c>
      <c r="N17" s="0" t="s">
        <v>1831</v>
      </c>
      <c r="O17" s="0" t="s">
        <v>1831</v>
      </c>
      <c r="P17" s="0" t="s">
        <v>1831</v>
      </c>
      <c r="Q17" s="0" t="s">
        <v>1832</v>
      </c>
      <c r="R17" s="0" t="s">
        <v>1856</v>
      </c>
      <c r="S17" s="0" t="s">
        <v>1857</v>
      </c>
      <c r="T17" s="0" t="n">
        <v>0</v>
      </c>
      <c r="U17" s="0" t="s">
        <v>1835</v>
      </c>
    </row>
    <row r="18" customFormat="false" ht="15" hidden="false" customHeight="false" outlineLevel="0" collapsed="false">
      <c r="A18" s="0" t="s">
        <v>136</v>
      </c>
      <c r="B18" s="0" t="n">
        <v>2019</v>
      </c>
      <c r="C18" s="0" t="s">
        <v>1919</v>
      </c>
      <c r="D18" s="0" t="s">
        <v>1920</v>
      </c>
      <c r="E18" s="0" t="s">
        <v>1838</v>
      </c>
      <c r="F18" s="0" t="s">
        <v>1916</v>
      </c>
      <c r="G18" s="0" t="s">
        <v>1921</v>
      </c>
      <c r="H18" s="0" t="s">
        <v>1826</v>
      </c>
      <c r="I18" s="0" t="s">
        <v>1827</v>
      </c>
      <c r="J18" s="0" t="s">
        <v>1828</v>
      </c>
      <c r="K18" s="0" t="s">
        <v>1922</v>
      </c>
      <c r="L18" s="0" t="n">
        <v>77</v>
      </c>
      <c r="M18" s="0" t="s">
        <v>1842</v>
      </c>
      <c r="N18" s="0" t="s">
        <v>1831</v>
      </c>
      <c r="O18" s="0" t="s">
        <v>1831</v>
      </c>
      <c r="P18" s="0" t="s">
        <v>1831</v>
      </c>
      <c r="Q18" s="0" t="s">
        <v>1832</v>
      </c>
      <c r="R18" s="0" t="s">
        <v>1856</v>
      </c>
      <c r="S18" s="0" t="s">
        <v>1857</v>
      </c>
      <c r="T18" s="0" t="n">
        <v>0</v>
      </c>
      <c r="U18" s="0" t="s">
        <v>1835</v>
      </c>
    </row>
    <row r="19" customFormat="false" ht="15" hidden="false" customHeight="false" outlineLevel="0" collapsed="false">
      <c r="A19" s="0" t="s">
        <v>222</v>
      </c>
      <c r="B19" s="0" t="n">
        <v>2019</v>
      </c>
      <c r="C19" s="0" t="s">
        <v>1923</v>
      </c>
      <c r="D19" s="0" t="s">
        <v>1924</v>
      </c>
      <c r="E19" s="0" t="s">
        <v>1823</v>
      </c>
      <c r="G19" s="0" t="s">
        <v>1925</v>
      </c>
      <c r="H19" s="0" t="s">
        <v>1826</v>
      </c>
      <c r="I19" s="0" t="s">
        <v>1827</v>
      </c>
      <c r="J19" s="0" t="s">
        <v>1828</v>
      </c>
      <c r="K19" s="0" t="s">
        <v>1926</v>
      </c>
      <c r="L19" s="0" t="n">
        <v>80</v>
      </c>
      <c r="M19" s="0" t="s">
        <v>1842</v>
      </c>
      <c r="N19" s="0" t="s">
        <v>1831</v>
      </c>
      <c r="O19" s="0" t="s">
        <v>1831</v>
      </c>
      <c r="P19" s="0" t="s">
        <v>1831</v>
      </c>
      <c r="Q19" s="0" t="s">
        <v>1832</v>
      </c>
      <c r="R19" s="0" t="s">
        <v>1856</v>
      </c>
      <c r="S19" s="0" t="s">
        <v>1857</v>
      </c>
      <c r="T19" s="0" t="n">
        <v>0</v>
      </c>
      <c r="U19" s="0" t="s">
        <v>1835</v>
      </c>
    </row>
    <row r="20" customFormat="false" ht="15" hidden="false" customHeight="false" outlineLevel="0" collapsed="false">
      <c r="A20" s="0" t="s">
        <v>222</v>
      </c>
      <c r="B20" s="0" t="n">
        <v>2020</v>
      </c>
      <c r="C20" s="0" t="s">
        <v>1927</v>
      </c>
      <c r="D20" s="0" t="s">
        <v>1928</v>
      </c>
      <c r="E20" s="0" t="s">
        <v>1838</v>
      </c>
      <c r="F20" s="0" t="s">
        <v>1839</v>
      </c>
      <c r="G20" s="0" t="s">
        <v>1929</v>
      </c>
      <c r="H20" s="0" t="s">
        <v>1826</v>
      </c>
      <c r="I20" s="0" t="s">
        <v>1827</v>
      </c>
      <c r="J20" s="0" t="s">
        <v>1828</v>
      </c>
      <c r="K20" s="0" t="s">
        <v>1922</v>
      </c>
      <c r="L20" s="0" t="n">
        <v>77</v>
      </c>
      <c r="M20" s="0" t="s">
        <v>1930</v>
      </c>
      <c r="N20" s="0" t="s">
        <v>1831</v>
      </c>
      <c r="O20" s="0" t="s">
        <v>1831</v>
      </c>
      <c r="P20" s="0" t="s">
        <v>1831</v>
      </c>
      <c r="Q20" s="0" t="s">
        <v>1832</v>
      </c>
      <c r="R20" s="0" t="s">
        <v>1849</v>
      </c>
      <c r="S20" s="0" t="s">
        <v>1857</v>
      </c>
      <c r="T20" s="0" t="n">
        <v>0</v>
      </c>
      <c r="U20" s="0" t="s">
        <v>1835</v>
      </c>
    </row>
    <row r="21" customFormat="false" ht="15" hidden="false" customHeight="false" outlineLevel="0" collapsed="false">
      <c r="A21" s="0" t="s">
        <v>201</v>
      </c>
      <c r="B21" s="0" t="n">
        <v>2019</v>
      </c>
      <c r="C21" s="0" t="s">
        <v>1931</v>
      </c>
      <c r="D21" s="0" t="s">
        <v>1932</v>
      </c>
      <c r="E21" s="0" t="s">
        <v>1823</v>
      </c>
      <c r="G21" s="0" t="s">
        <v>1933</v>
      </c>
      <c r="H21" s="0" t="s">
        <v>1934</v>
      </c>
      <c r="I21" s="0" t="s">
        <v>1935</v>
      </c>
      <c r="J21" s="0" t="s">
        <v>1892</v>
      </c>
      <c r="K21" s="0" t="s">
        <v>1936</v>
      </c>
      <c r="L21" s="0" t="n">
        <v>22</v>
      </c>
      <c r="M21" s="0" t="s">
        <v>1937</v>
      </c>
      <c r="N21" s="0" t="s">
        <v>1938</v>
      </c>
      <c r="O21" s="0" t="s">
        <v>1939</v>
      </c>
      <c r="P21" s="0" t="s">
        <v>1940</v>
      </c>
      <c r="Q21" s="0" t="s">
        <v>1832</v>
      </c>
      <c r="R21" s="0" t="s">
        <v>1941</v>
      </c>
      <c r="S21" s="0" t="s">
        <v>1942</v>
      </c>
      <c r="T21" s="0" t="n">
        <v>1</v>
      </c>
      <c r="U21" s="0" t="s">
        <v>1943</v>
      </c>
    </row>
    <row r="22" customFormat="false" ht="15" hidden="false" customHeight="false" outlineLevel="0" collapsed="false">
      <c r="A22" s="0" t="s">
        <v>115</v>
      </c>
      <c r="B22" s="0" t="n">
        <v>2014</v>
      </c>
      <c r="C22" s="0" t="s">
        <v>1944</v>
      </c>
      <c r="D22" s="0" t="s">
        <v>1945</v>
      </c>
      <c r="E22" s="0" t="s">
        <v>1946</v>
      </c>
      <c r="F22" s="0" t="s">
        <v>1947</v>
      </c>
      <c r="G22" s="0" t="s">
        <v>1948</v>
      </c>
      <c r="H22" s="0" t="s">
        <v>1949</v>
      </c>
      <c r="I22" s="0" t="s">
        <v>1950</v>
      </c>
      <c r="J22" s="0" t="s">
        <v>1892</v>
      </c>
      <c r="K22" s="0" t="s">
        <v>1951</v>
      </c>
      <c r="L22" s="0" t="n">
        <v>93</v>
      </c>
      <c r="M22" s="0" t="s">
        <v>1952</v>
      </c>
      <c r="N22" s="0" t="s">
        <v>1831</v>
      </c>
      <c r="O22" s="0" t="s">
        <v>1831</v>
      </c>
      <c r="P22" s="0" t="s">
        <v>1953</v>
      </c>
      <c r="Q22" s="0" t="s">
        <v>1831</v>
      </c>
      <c r="S22" s="0" t="s">
        <v>1954</v>
      </c>
      <c r="T22" s="0" t="n">
        <v>0</v>
      </c>
      <c r="U22" s="0" t="s">
        <v>1835</v>
      </c>
    </row>
    <row r="23" customFormat="false" ht="15" hidden="false" customHeight="false" outlineLevel="0" collapsed="false">
      <c r="A23" s="0" t="s">
        <v>115</v>
      </c>
      <c r="B23" s="0" t="n">
        <v>2015</v>
      </c>
      <c r="C23" s="0" t="s">
        <v>1955</v>
      </c>
      <c r="D23" s="0" t="s">
        <v>1956</v>
      </c>
      <c r="E23" s="0" t="s">
        <v>1957</v>
      </c>
      <c r="F23" s="0" t="s">
        <v>1958</v>
      </c>
      <c r="G23" s="0" t="s">
        <v>1959</v>
      </c>
      <c r="H23" s="0" t="s">
        <v>1960</v>
      </c>
      <c r="I23" s="0" t="s">
        <v>1961</v>
      </c>
      <c r="J23" s="0" t="s">
        <v>1892</v>
      </c>
      <c r="K23" s="0" t="s">
        <v>1962</v>
      </c>
      <c r="L23" s="0" t="n">
        <v>48</v>
      </c>
      <c r="M23" s="0" t="s">
        <v>1952</v>
      </c>
      <c r="N23" s="0" t="s">
        <v>1831</v>
      </c>
      <c r="O23" s="0" t="s">
        <v>1831</v>
      </c>
      <c r="P23" s="0" t="s">
        <v>1963</v>
      </c>
      <c r="Q23" s="0" t="s">
        <v>1964</v>
      </c>
      <c r="S23" s="0" t="s">
        <v>1965</v>
      </c>
      <c r="T23" s="0" t="n">
        <v>0</v>
      </c>
      <c r="U23" s="0" t="s">
        <v>1835</v>
      </c>
    </row>
    <row r="24" customFormat="false" ht="15" hidden="false" customHeight="false" outlineLevel="0" collapsed="false">
      <c r="A24" s="0" t="s">
        <v>115</v>
      </c>
      <c r="B24" s="0" t="n">
        <v>2016</v>
      </c>
      <c r="C24" s="0" t="s">
        <v>1966</v>
      </c>
      <c r="D24" s="0" t="s">
        <v>1967</v>
      </c>
      <c r="E24" s="0" t="s">
        <v>1968</v>
      </c>
      <c r="F24" s="0" t="s">
        <v>1969</v>
      </c>
      <c r="G24" s="0" t="s">
        <v>1970</v>
      </c>
      <c r="H24" s="0" t="s">
        <v>1971</v>
      </c>
      <c r="I24" s="0" t="s">
        <v>1972</v>
      </c>
      <c r="J24" s="0" t="s">
        <v>1892</v>
      </c>
      <c r="K24" s="0" t="s">
        <v>1973</v>
      </c>
      <c r="L24" s="0" t="n">
        <v>24</v>
      </c>
      <c r="M24" s="0" t="s">
        <v>1952</v>
      </c>
      <c r="N24" s="0" t="s">
        <v>1831</v>
      </c>
      <c r="O24" s="0" t="s">
        <v>1831</v>
      </c>
      <c r="P24" s="0" t="s">
        <v>1974</v>
      </c>
      <c r="Q24" s="0" t="s">
        <v>1938</v>
      </c>
      <c r="R24" s="0" t="s">
        <v>1975</v>
      </c>
      <c r="S24" s="0" t="s">
        <v>1976</v>
      </c>
      <c r="T24" s="0" t="n">
        <v>0</v>
      </c>
      <c r="U24" s="0" t="s">
        <v>1835</v>
      </c>
    </row>
    <row r="25" customFormat="false" ht="15" hidden="false" customHeight="false" outlineLevel="0" collapsed="false">
      <c r="A25" s="0" t="s">
        <v>115</v>
      </c>
      <c r="B25" s="0" t="n">
        <v>2017</v>
      </c>
      <c r="C25" s="0" t="s">
        <v>1977</v>
      </c>
      <c r="D25" s="0" t="s">
        <v>1978</v>
      </c>
      <c r="E25" s="0" t="s">
        <v>1979</v>
      </c>
      <c r="F25" s="0" t="s">
        <v>1980</v>
      </c>
      <c r="G25" s="0" t="s">
        <v>1981</v>
      </c>
      <c r="H25" s="0" t="s">
        <v>1982</v>
      </c>
      <c r="I25" s="0" t="s">
        <v>1983</v>
      </c>
      <c r="J25" s="0" t="s">
        <v>1892</v>
      </c>
      <c r="K25" s="0" t="s">
        <v>1984</v>
      </c>
      <c r="L25" s="0" t="n">
        <v>50</v>
      </c>
      <c r="M25" s="0" t="s">
        <v>1952</v>
      </c>
      <c r="N25" s="0" t="s">
        <v>1831</v>
      </c>
      <c r="O25" s="0" t="s">
        <v>1831</v>
      </c>
      <c r="P25" s="0" t="s">
        <v>1985</v>
      </c>
      <c r="Q25" s="0" t="s">
        <v>1938</v>
      </c>
      <c r="R25" s="0" t="s">
        <v>1986</v>
      </c>
      <c r="S25" s="0" t="s">
        <v>1987</v>
      </c>
      <c r="T25" s="0" t="n">
        <v>0</v>
      </c>
      <c r="U25" s="0" t="s">
        <v>1835</v>
      </c>
    </row>
    <row r="26" customFormat="false" ht="15" hidden="false" customHeight="false" outlineLevel="0" collapsed="false">
      <c r="A26" s="0" t="s">
        <v>115</v>
      </c>
      <c r="B26" s="0" t="n">
        <v>2020</v>
      </c>
      <c r="C26" s="0" t="s">
        <v>1988</v>
      </c>
      <c r="D26" s="0" t="s">
        <v>1989</v>
      </c>
      <c r="E26" s="0" t="s">
        <v>1990</v>
      </c>
      <c r="F26" s="0" t="s">
        <v>1991</v>
      </c>
      <c r="G26" s="0" t="s">
        <v>1992</v>
      </c>
      <c r="H26" s="0" t="s">
        <v>1993</v>
      </c>
      <c r="I26" s="0" t="s">
        <v>1994</v>
      </c>
      <c r="J26" s="0" t="s">
        <v>1892</v>
      </c>
      <c r="K26" s="0" t="s">
        <v>1995</v>
      </c>
      <c r="L26" s="0" t="n">
        <v>133</v>
      </c>
      <c r="M26" s="0" t="s">
        <v>1952</v>
      </c>
      <c r="N26" s="0" t="s">
        <v>1831</v>
      </c>
      <c r="O26" s="0" t="s">
        <v>1831</v>
      </c>
      <c r="P26" s="0" t="s">
        <v>1996</v>
      </c>
      <c r="Q26" s="0" t="s">
        <v>1997</v>
      </c>
      <c r="R26" s="0" t="s">
        <v>1998</v>
      </c>
      <c r="S26" s="0" t="s">
        <v>1999</v>
      </c>
      <c r="T26" s="0" t="n">
        <v>0</v>
      </c>
      <c r="U26" s="0" t="s">
        <v>1835</v>
      </c>
    </row>
    <row r="27" customFormat="false" ht="15" hidden="false" customHeight="false" outlineLevel="0" collapsed="false">
      <c r="A27" s="0" t="s">
        <v>149</v>
      </c>
      <c r="B27" s="0" t="n">
        <v>2018</v>
      </c>
      <c r="C27" s="0" t="s">
        <v>2000</v>
      </c>
      <c r="D27" s="0" t="s">
        <v>2001</v>
      </c>
      <c r="E27" s="0" t="s">
        <v>1823</v>
      </c>
      <c r="F27" s="0" t="s">
        <v>2002</v>
      </c>
      <c r="G27" s="0" t="s">
        <v>2003</v>
      </c>
      <c r="H27" s="0" t="s">
        <v>1826</v>
      </c>
      <c r="I27" s="0" t="s">
        <v>2004</v>
      </c>
      <c r="J27" s="0" t="s">
        <v>1828</v>
      </c>
      <c r="K27" s="0" t="s">
        <v>2005</v>
      </c>
      <c r="L27" s="0" t="n">
        <v>8</v>
      </c>
      <c r="M27" s="0" t="s">
        <v>2006</v>
      </c>
      <c r="N27" s="0" t="s">
        <v>1831</v>
      </c>
      <c r="O27" s="0" t="s">
        <v>1831</v>
      </c>
      <c r="P27" s="0" t="s">
        <v>2007</v>
      </c>
      <c r="Q27" s="0" t="s">
        <v>1832</v>
      </c>
      <c r="R27" s="0" t="s">
        <v>2008</v>
      </c>
      <c r="S27" s="0" t="s">
        <v>2009</v>
      </c>
      <c r="T27" s="0" t="n">
        <v>0</v>
      </c>
      <c r="U27" s="0" t="s">
        <v>1835</v>
      </c>
    </row>
    <row r="28" customFormat="false" ht="15" hidden="false" customHeight="false" outlineLevel="0" collapsed="false">
      <c r="A28" s="0" t="s">
        <v>149</v>
      </c>
      <c r="B28" s="0" t="n">
        <v>2019</v>
      </c>
      <c r="C28" s="0" t="s">
        <v>2010</v>
      </c>
      <c r="D28" s="0" t="s">
        <v>2011</v>
      </c>
      <c r="E28" s="0" t="s">
        <v>1823</v>
      </c>
      <c r="F28" s="0" t="s">
        <v>2002</v>
      </c>
      <c r="G28" s="0" t="s">
        <v>2012</v>
      </c>
      <c r="H28" s="0" t="s">
        <v>1826</v>
      </c>
      <c r="I28" s="0" t="s">
        <v>2004</v>
      </c>
      <c r="J28" s="0" t="s">
        <v>1828</v>
      </c>
      <c r="K28" s="0" t="s">
        <v>2013</v>
      </c>
      <c r="L28" s="0" t="n">
        <v>7</v>
      </c>
      <c r="M28" s="0" t="s">
        <v>2006</v>
      </c>
      <c r="N28" s="0" t="s">
        <v>1831</v>
      </c>
      <c r="O28" s="0" t="s">
        <v>1831</v>
      </c>
      <c r="P28" s="0" t="s">
        <v>2007</v>
      </c>
      <c r="Q28" s="0" t="s">
        <v>1832</v>
      </c>
      <c r="R28" s="0" t="s">
        <v>2008</v>
      </c>
      <c r="S28" s="0" t="s">
        <v>2009</v>
      </c>
      <c r="T28" s="0" t="n">
        <v>0</v>
      </c>
      <c r="U28" s="0" t="s">
        <v>1835</v>
      </c>
    </row>
    <row r="29" customFormat="false" ht="15" hidden="false" customHeight="false" outlineLevel="0" collapsed="false">
      <c r="A29" s="0" t="s">
        <v>222</v>
      </c>
      <c r="B29" s="0" t="n">
        <v>2013</v>
      </c>
      <c r="C29" s="0" t="s">
        <v>2014</v>
      </c>
      <c r="D29" s="0" t="s">
        <v>2015</v>
      </c>
      <c r="E29" s="0" t="s">
        <v>2016</v>
      </c>
      <c r="F29" s="0" t="s">
        <v>2017</v>
      </c>
      <c r="G29" s="0" t="s">
        <v>2018</v>
      </c>
      <c r="H29" s="0" t="s">
        <v>2019</v>
      </c>
      <c r="I29" s="0" t="s">
        <v>2020</v>
      </c>
      <c r="J29" s="0" t="s">
        <v>1828</v>
      </c>
      <c r="K29" s="0" t="s">
        <v>2021</v>
      </c>
      <c r="L29" s="0" t="n">
        <v>22</v>
      </c>
      <c r="M29" s="0" t="s">
        <v>1952</v>
      </c>
      <c r="N29" s="0" t="s">
        <v>1831</v>
      </c>
      <c r="O29" s="0" t="s">
        <v>1831</v>
      </c>
      <c r="P29" s="0" t="s">
        <v>2022</v>
      </c>
      <c r="Q29" s="0" t="s">
        <v>1831</v>
      </c>
      <c r="S29" s="0" t="s">
        <v>2023</v>
      </c>
      <c r="T29" s="0" t="n">
        <v>0</v>
      </c>
      <c r="U29" s="0" t="s">
        <v>1835</v>
      </c>
    </row>
    <row r="30" customFormat="false" ht="15" hidden="false" customHeight="false" outlineLevel="0" collapsed="false">
      <c r="A30" s="0" t="s">
        <v>77</v>
      </c>
      <c r="B30" s="0" t="n">
        <v>2015</v>
      </c>
      <c r="C30" s="0" t="s">
        <v>2024</v>
      </c>
      <c r="D30" s="0" t="s">
        <v>2025</v>
      </c>
      <c r="E30" s="0" t="s">
        <v>2026</v>
      </c>
      <c r="F30" s="0" t="s">
        <v>2027</v>
      </c>
      <c r="G30" s="0" t="s">
        <v>2028</v>
      </c>
      <c r="H30" s="0" t="s">
        <v>1993</v>
      </c>
      <c r="I30" s="0" t="s">
        <v>2029</v>
      </c>
      <c r="J30" s="0" t="s">
        <v>1828</v>
      </c>
      <c r="K30" s="0" t="s">
        <v>2030</v>
      </c>
      <c r="L30" s="0" t="n">
        <v>103</v>
      </c>
      <c r="M30" s="0" t="s">
        <v>1952</v>
      </c>
      <c r="N30" s="0" t="s">
        <v>1831</v>
      </c>
      <c r="O30" s="0" t="s">
        <v>1831</v>
      </c>
      <c r="P30" s="0" t="s">
        <v>2031</v>
      </c>
      <c r="Q30" s="0" t="s">
        <v>2032</v>
      </c>
      <c r="S30" s="0" t="s">
        <v>2033</v>
      </c>
      <c r="T30" s="0" t="n">
        <v>0</v>
      </c>
      <c r="U30" s="0" t="s">
        <v>1835</v>
      </c>
    </row>
    <row r="31" customFormat="false" ht="15" hidden="false" customHeight="false" outlineLevel="0" collapsed="false">
      <c r="A31" s="0" t="s">
        <v>77</v>
      </c>
      <c r="B31" s="0" t="n">
        <v>2016</v>
      </c>
      <c r="C31" s="0" t="s">
        <v>2034</v>
      </c>
      <c r="D31" s="0" t="s">
        <v>2035</v>
      </c>
      <c r="E31" s="0" t="s">
        <v>2036</v>
      </c>
      <c r="F31" s="0" t="s">
        <v>2027</v>
      </c>
      <c r="G31" s="0" t="s">
        <v>2037</v>
      </c>
      <c r="H31" s="0" t="s">
        <v>1949</v>
      </c>
      <c r="I31" s="0" t="s">
        <v>2038</v>
      </c>
      <c r="J31" s="0" t="s">
        <v>1828</v>
      </c>
      <c r="K31" s="0" t="s">
        <v>2039</v>
      </c>
      <c r="L31" s="0" t="n">
        <v>50</v>
      </c>
      <c r="M31" s="0" t="s">
        <v>1952</v>
      </c>
      <c r="N31" s="0" t="s">
        <v>1831</v>
      </c>
      <c r="O31" s="0" t="s">
        <v>1831</v>
      </c>
      <c r="P31" s="0" t="s">
        <v>2040</v>
      </c>
      <c r="Q31" s="0" t="s">
        <v>1938</v>
      </c>
      <c r="R31" s="0" t="s">
        <v>2041</v>
      </c>
      <c r="S31" s="0" t="s">
        <v>2042</v>
      </c>
      <c r="T31" s="0" t="n">
        <v>0</v>
      </c>
      <c r="U31" s="0" t="s">
        <v>1835</v>
      </c>
    </row>
    <row r="32" customFormat="false" ht="15" hidden="false" customHeight="false" outlineLevel="0" collapsed="false">
      <c r="A32" s="0" t="s">
        <v>77</v>
      </c>
      <c r="B32" s="0" t="n">
        <v>2017</v>
      </c>
      <c r="C32" s="0" t="s">
        <v>2043</v>
      </c>
      <c r="D32" s="0" t="s">
        <v>2044</v>
      </c>
      <c r="E32" s="0" t="s">
        <v>2045</v>
      </c>
      <c r="F32" s="0" t="s">
        <v>2027</v>
      </c>
      <c r="G32" s="0" t="s">
        <v>2046</v>
      </c>
      <c r="H32" s="0" t="s">
        <v>1993</v>
      </c>
      <c r="I32" s="0" t="s">
        <v>2047</v>
      </c>
      <c r="J32" s="0" t="s">
        <v>1828</v>
      </c>
      <c r="K32" s="0" t="s">
        <v>2048</v>
      </c>
      <c r="L32" s="0" t="n">
        <v>63</v>
      </c>
      <c r="M32" s="0" t="s">
        <v>1952</v>
      </c>
      <c r="N32" s="0" t="s">
        <v>1831</v>
      </c>
      <c r="O32" s="0" t="s">
        <v>1831</v>
      </c>
      <c r="P32" s="0" t="s">
        <v>2049</v>
      </c>
      <c r="Q32" s="0" t="s">
        <v>1938</v>
      </c>
      <c r="R32" s="0" t="s">
        <v>2050</v>
      </c>
      <c r="S32" s="0" t="s">
        <v>2051</v>
      </c>
      <c r="T32" s="0" t="n">
        <v>0</v>
      </c>
      <c r="U32" s="0" t="s">
        <v>1835</v>
      </c>
    </row>
    <row r="33" customFormat="false" ht="15" hidden="false" customHeight="false" outlineLevel="0" collapsed="false">
      <c r="A33" s="0" t="s">
        <v>77</v>
      </c>
      <c r="B33" s="0" t="n">
        <v>2020</v>
      </c>
      <c r="C33" s="0" t="s">
        <v>2052</v>
      </c>
      <c r="D33" s="0" t="s">
        <v>2053</v>
      </c>
      <c r="E33" s="0" t="s">
        <v>2054</v>
      </c>
      <c r="F33" s="0" t="s">
        <v>2055</v>
      </c>
      <c r="G33" s="0" t="s">
        <v>2056</v>
      </c>
      <c r="H33" s="0" t="s">
        <v>1993</v>
      </c>
      <c r="I33" s="0" t="s">
        <v>2057</v>
      </c>
      <c r="J33" s="0" t="s">
        <v>1828</v>
      </c>
      <c r="K33" s="0" t="s">
        <v>2058</v>
      </c>
      <c r="L33" s="0" t="n">
        <v>47</v>
      </c>
      <c r="M33" s="0" t="s">
        <v>1952</v>
      </c>
      <c r="N33" s="0" t="s">
        <v>1831</v>
      </c>
      <c r="O33" s="0" t="s">
        <v>1831</v>
      </c>
      <c r="P33" s="0" t="s">
        <v>2059</v>
      </c>
      <c r="Q33" s="0" t="s">
        <v>2060</v>
      </c>
      <c r="R33" s="0" t="s">
        <v>2061</v>
      </c>
      <c r="S33" s="0" t="s">
        <v>2062</v>
      </c>
      <c r="T33" s="0" t="n">
        <v>0</v>
      </c>
      <c r="U33" s="0" t="s">
        <v>1835</v>
      </c>
    </row>
    <row r="34" customFormat="false" ht="15" hidden="false" customHeight="false" outlineLevel="0" collapsed="false">
      <c r="A34" s="0" t="s">
        <v>77</v>
      </c>
      <c r="B34" s="0" t="n">
        <v>2019</v>
      </c>
      <c r="C34" s="0" t="s">
        <v>2063</v>
      </c>
      <c r="D34" s="0" t="s">
        <v>2064</v>
      </c>
      <c r="E34" s="0" t="s">
        <v>2065</v>
      </c>
      <c r="F34" s="0" t="s">
        <v>2066</v>
      </c>
      <c r="G34" s="0" t="s">
        <v>2067</v>
      </c>
      <c r="H34" s="0" t="s">
        <v>1949</v>
      </c>
      <c r="I34" s="0" t="s">
        <v>2068</v>
      </c>
      <c r="J34" s="0" t="s">
        <v>1828</v>
      </c>
      <c r="K34" s="0" t="s">
        <v>2069</v>
      </c>
      <c r="L34" s="0" t="n">
        <v>91</v>
      </c>
      <c r="M34" s="0" t="s">
        <v>1952</v>
      </c>
      <c r="N34" s="0" t="s">
        <v>1831</v>
      </c>
      <c r="O34" s="0" t="s">
        <v>1831</v>
      </c>
      <c r="P34" s="0" t="s">
        <v>2070</v>
      </c>
      <c r="Q34" s="0" t="s">
        <v>1938</v>
      </c>
      <c r="R34" s="0" t="s">
        <v>2071</v>
      </c>
      <c r="S34" s="0" t="s">
        <v>2072</v>
      </c>
      <c r="T34" s="0" t="n">
        <v>0</v>
      </c>
      <c r="U34" s="0" t="s">
        <v>1835</v>
      </c>
    </row>
    <row r="35" customFormat="false" ht="15" hidden="false" customHeight="false" outlineLevel="0" collapsed="false">
      <c r="A35" s="0" t="s">
        <v>77</v>
      </c>
      <c r="B35" s="0" t="n">
        <v>2021</v>
      </c>
      <c r="C35" s="0" t="s">
        <v>2073</v>
      </c>
      <c r="D35" s="0" t="s">
        <v>2074</v>
      </c>
      <c r="E35" s="0" t="s">
        <v>2054</v>
      </c>
      <c r="F35" s="0" t="s">
        <v>2075</v>
      </c>
      <c r="G35" s="0" t="s">
        <v>2076</v>
      </c>
      <c r="H35" s="0" t="s">
        <v>1993</v>
      </c>
      <c r="I35" s="0" t="s">
        <v>2077</v>
      </c>
      <c r="J35" s="0" t="s">
        <v>1828</v>
      </c>
      <c r="K35" s="0" t="s">
        <v>2078</v>
      </c>
      <c r="L35" s="0" t="n">
        <v>49</v>
      </c>
      <c r="M35" s="0" t="s">
        <v>1952</v>
      </c>
      <c r="N35" s="0" t="s">
        <v>1831</v>
      </c>
      <c r="O35" s="0" t="s">
        <v>1831</v>
      </c>
      <c r="P35" s="0" t="s">
        <v>2079</v>
      </c>
      <c r="Q35" s="0" t="s">
        <v>2080</v>
      </c>
      <c r="R35" s="0" t="s">
        <v>2081</v>
      </c>
      <c r="S35" s="0" t="s">
        <v>2082</v>
      </c>
      <c r="T35" s="0" t="n">
        <v>0</v>
      </c>
      <c r="U35" s="0" t="s">
        <v>1835</v>
      </c>
    </row>
    <row r="36" customFormat="false" ht="15" hidden="false" customHeight="false" outlineLevel="0" collapsed="false">
      <c r="A36" s="0" t="s">
        <v>201</v>
      </c>
      <c r="B36" s="0" t="n">
        <v>2015</v>
      </c>
      <c r="C36" s="0" t="s">
        <v>2083</v>
      </c>
      <c r="D36" s="0" t="s">
        <v>2084</v>
      </c>
      <c r="E36" s="0" t="s">
        <v>2085</v>
      </c>
      <c r="F36" s="0" t="s">
        <v>2086</v>
      </c>
      <c r="G36" s="0" t="s">
        <v>2087</v>
      </c>
      <c r="H36" s="0" t="s">
        <v>1993</v>
      </c>
      <c r="I36" s="0" t="s">
        <v>2088</v>
      </c>
      <c r="J36" s="0" t="s">
        <v>1892</v>
      </c>
      <c r="K36" s="0" t="s">
        <v>2089</v>
      </c>
      <c r="L36" s="0" t="n">
        <v>3</v>
      </c>
      <c r="M36" s="0" t="s">
        <v>1952</v>
      </c>
      <c r="N36" s="0" t="s">
        <v>1831</v>
      </c>
      <c r="O36" s="0" t="s">
        <v>1831</v>
      </c>
      <c r="P36" s="0" t="s">
        <v>2090</v>
      </c>
      <c r="Q36" s="0" t="s">
        <v>2091</v>
      </c>
      <c r="S36" s="0" t="s">
        <v>2092</v>
      </c>
      <c r="T36" s="0" t="n">
        <v>0</v>
      </c>
      <c r="U36" s="0" t="s">
        <v>2093</v>
      </c>
    </row>
    <row r="37" customFormat="false" ht="15" hidden="false" customHeight="false" outlineLevel="0" collapsed="false">
      <c r="A37" s="0" t="s">
        <v>201</v>
      </c>
      <c r="B37" s="0" t="n">
        <v>2016</v>
      </c>
      <c r="C37" s="0" t="s">
        <v>2094</v>
      </c>
      <c r="D37" s="0" t="s">
        <v>2095</v>
      </c>
      <c r="E37" s="0" t="s">
        <v>2085</v>
      </c>
      <c r="F37" s="0" t="s">
        <v>2096</v>
      </c>
      <c r="G37" s="0" t="s">
        <v>2097</v>
      </c>
      <c r="H37" s="0" t="s">
        <v>2098</v>
      </c>
      <c r="I37" s="0" t="s">
        <v>2099</v>
      </c>
      <c r="J37" s="0" t="s">
        <v>1892</v>
      </c>
      <c r="K37" s="0" t="s">
        <v>2100</v>
      </c>
      <c r="L37" s="0" t="n">
        <v>26</v>
      </c>
      <c r="M37" s="0" t="s">
        <v>1952</v>
      </c>
      <c r="N37" s="0" t="s">
        <v>1831</v>
      </c>
      <c r="O37" s="0" t="s">
        <v>1831</v>
      </c>
      <c r="P37" s="0" t="s">
        <v>2101</v>
      </c>
      <c r="Q37" s="0" t="s">
        <v>1938</v>
      </c>
      <c r="R37" s="0" t="s">
        <v>2102</v>
      </c>
      <c r="S37" s="0" t="s">
        <v>2103</v>
      </c>
      <c r="T37" s="0" t="n">
        <v>0</v>
      </c>
      <c r="U37" s="0" t="s">
        <v>2104</v>
      </c>
    </row>
    <row r="38" customFormat="false" ht="15" hidden="false" customHeight="false" outlineLevel="0" collapsed="false">
      <c r="A38" s="0" t="s">
        <v>201</v>
      </c>
      <c r="B38" s="0" t="n">
        <v>2021</v>
      </c>
      <c r="C38" s="0" t="s">
        <v>2105</v>
      </c>
      <c r="D38" s="0" t="s">
        <v>2106</v>
      </c>
      <c r="E38" s="0" t="s">
        <v>2107</v>
      </c>
      <c r="F38" s="0" t="s">
        <v>2108</v>
      </c>
      <c r="G38" s="0" t="s">
        <v>2109</v>
      </c>
      <c r="H38" s="0" t="s">
        <v>2110</v>
      </c>
      <c r="I38" s="0" t="s">
        <v>2111</v>
      </c>
      <c r="J38" s="0" t="s">
        <v>1892</v>
      </c>
      <c r="K38" s="0" t="s">
        <v>2112</v>
      </c>
      <c r="L38" s="0" t="n">
        <v>23</v>
      </c>
      <c r="M38" s="0" t="s">
        <v>1952</v>
      </c>
      <c r="N38" s="0" t="s">
        <v>2113</v>
      </c>
      <c r="O38" s="0" t="s">
        <v>1831</v>
      </c>
      <c r="P38" s="0" t="s">
        <v>2114</v>
      </c>
      <c r="Q38" s="0" t="s">
        <v>2115</v>
      </c>
      <c r="R38" s="0" t="s">
        <v>2116</v>
      </c>
      <c r="S38" s="0" t="s">
        <v>2117</v>
      </c>
      <c r="T38" s="0" t="n">
        <v>1</v>
      </c>
      <c r="U38" s="0" t="s">
        <v>2118</v>
      </c>
    </row>
    <row r="39" customFormat="false" ht="15" hidden="false" customHeight="false" outlineLevel="0" collapsed="false">
      <c r="A39" s="0" t="s">
        <v>169</v>
      </c>
      <c r="B39" s="0" t="n">
        <v>2015</v>
      </c>
      <c r="C39" s="0" t="s">
        <v>2119</v>
      </c>
      <c r="D39" s="0" t="s">
        <v>2120</v>
      </c>
      <c r="E39" s="0" t="s">
        <v>1990</v>
      </c>
      <c r="F39" s="0" t="s">
        <v>2121</v>
      </c>
      <c r="G39" s="0" t="s">
        <v>2122</v>
      </c>
      <c r="H39" s="0" t="s">
        <v>1960</v>
      </c>
      <c r="I39" s="0" t="s">
        <v>2123</v>
      </c>
      <c r="J39" s="0" t="s">
        <v>1892</v>
      </c>
      <c r="K39" s="0" t="s">
        <v>2124</v>
      </c>
      <c r="L39" s="0" t="n">
        <v>20</v>
      </c>
      <c r="M39" s="0" t="s">
        <v>1952</v>
      </c>
      <c r="N39" s="0" t="s">
        <v>1831</v>
      </c>
      <c r="O39" s="0" t="s">
        <v>1831</v>
      </c>
      <c r="P39" s="0" t="s">
        <v>2125</v>
      </c>
      <c r="Q39" s="0" t="s">
        <v>2126</v>
      </c>
      <c r="S39" s="0" t="s">
        <v>2127</v>
      </c>
      <c r="T39" s="0" t="n">
        <v>0</v>
      </c>
      <c r="U39" s="0" t="s">
        <v>1835</v>
      </c>
    </row>
    <row r="40" customFormat="false" ht="15" hidden="false" customHeight="false" outlineLevel="0" collapsed="false">
      <c r="A40" s="0" t="s">
        <v>169</v>
      </c>
      <c r="B40" s="0" t="n">
        <v>2020</v>
      </c>
      <c r="C40" s="0" t="s">
        <v>2128</v>
      </c>
      <c r="D40" s="0" t="s">
        <v>2129</v>
      </c>
      <c r="E40" s="0" t="s">
        <v>2130</v>
      </c>
      <c r="F40" s="0" t="s">
        <v>2131</v>
      </c>
      <c r="G40" s="0" t="s">
        <v>2132</v>
      </c>
      <c r="H40" s="0" t="s">
        <v>1993</v>
      </c>
      <c r="I40" s="0" t="s">
        <v>2133</v>
      </c>
      <c r="J40" s="0" t="s">
        <v>1828</v>
      </c>
      <c r="K40" s="0" t="s">
        <v>2134</v>
      </c>
      <c r="L40" s="0" t="n">
        <v>28</v>
      </c>
      <c r="M40" s="0" t="s">
        <v>1952</v>
      </c>
      <c r="N40" s="0" t="s">
        <v>1831</v>
      </c>
      <c r="O40" s="0" t="s">
        <v>1831</v>
      </c>
      <c r="P40" s="0" t="s">
        <v>2135</v>
      </c>
      <c r="Q40" s="0" t="s">
        <v>2136</v>
      </c>
      <c r="R40" s="0" t="s">
        <v>2137</v>
      </c>
      <c r="S40" s="0" t="s">
        <v>2138</v>
      </c>
      <c r="T40" s="0" t="n">
        <v>0</v>
      </c>
      <c r="U40" s="0" t="s">
        <v>1835</v>
      </c>
    </row>
    <row r="41" customFormat="false" ht="15" hidden="false" customHeight="false" outlineLevel="0" collapsed="false">
      <c r="A41" s="0" t="s">
        <v>169</v>
      </c>
      <c r="B41" s="0" t="n">
        <v>2021</v>
      </c>
      <c r="C41" s="0" t="s">
        <v>2139</v>
      </c>
      <c r="D41" s="0" t="s">
        <v>2140</v>
      </c>
      <c r="E41" s="0" t="s">
        <v>1878</v>
      </c>
      <c r="F41" s="0" t="s">
        <v>2131</v>
      </c>
      <c r="G41" s="0" t="s">
        <v>2141</v>
      </c>
      <c r="H41" s="0" t="s">
        <v>1949</v>
      </c>
      <c r="I41" s="0" t="s">
        <v>2142</v>
      </c>
      <c r="J41" s="0" t="s">
        <v>1828</v>
      </c>
      <c r="K41" s="0" t="s">
        <v>2143</v>
      </c>
      <c r="L41" s="0" t="n">
        <v>29</v>
      </c>
      <c r="M41" s="0" t="s">
        <v>1952</v>
      </c>
      <c r="N41" s="0" t="s">
        <v>1831</v>
      </c>
      <c r="O41" s="0" t="s">
        <v>1831</v>
      </c>
      <c r="P41" s="0" t="s">
        <v>2144</v>
      </c>
      <c r="Q41" s="0" t="s">
        <v>1938</v>
      </c>
      <c r="R41" s="0" t="s">
        <v>2145</v>
      </c>
      <c r="S41" s="0" t="s">
        <v>2146</v>
      </c>
      <c r="T41" s="0" t="n">
        <v>0</v>
      </c>
      <c r="U41" s="0" t="s">
        <v>1835</v>
      </c>
    </row>
    <row r="42" customFormat="false" ht="15" hidden="false" customHeight="false" outlineLevel="0" collapsed="false">
      <c r="A42" s="0" t="s">
        <v>201</v>
      </c>
      <c r="B42" s="0" t="n">
        <v>2017</v>
      </c>
      <c r="C42" s="0" t="s">
        <v>2147</v>
      </c>
      <c r="D42" s="0" t="s">
        <v>2148</v>
      </c>
      <c r="E42" s="0" t="s">
        <v>2085</v>
      </c>
      <c r="F42" s="0" t="s">
        <v>2096</v>
      </c>
      <c r="G42" s="0" t="s">
        <v>2149</v>
      </c>
      <c r="H42" s="0" t="s">
        <v>2098</v>
      </c>
      <c r="I42" s="0" t="s">
        <v>2150</v>
      </c>
      <c r="J42" s="0" t="s">
        <v>1892</v>
      </c>
      <c r="K42" s="0" t="s">
        <v>2151</v>
      </c>
      <c r="L42" s="0" t="n">
        <v>27</v>
      </c>
      <c r="M42" s="0" t="s">
        <v>1952</v>
      </c>
      <c r="N42" s="0" t="s">
        <v>1831</v>
      </c>
      <c r="O42" s="0" t="s">
        <v>1831</v>
      </c>
      <c r="P42" s="0" t="s">
        <v>2152</v>
      </c>
      <c r="Q42" s="0" t="s">
        <v>1938</v>
      </c>
      <c r="R42" s="0" t="s">
        <v>2153</v>
      </c>
      <c r="S42" s="0" t="s">
        <v>2154</v>
      </c>
      <c r="T42" s="0" t="n">
        <v>0</v>
      </c>
      <c r="U42" s="0" t="s">
        <v>1835</v>
      </c>
    </row>
    <row r="43" customFormat="false" ht="15" hidden="false" customHeight="false" outlineLevel="0" collapsed="false">
      <c r="A43" s="0" t="s">
        <v>201</v>
      </c>
      <c r="B43" s="0" t="n">
        <v>2022</v>
      </c>
      <c r="C43" s="0" t="s">
        <v>2155</v>
      </c>
      <c r="D43" s="0" t="s">
        <v>2156</v>
      </c>
      <c r="E43" s="0" t="s">
        <v>2157</v>
      </c>
      <c r="F43" s="0" t="s">
        <v>2108</v>
      </c>
      <c r="G43" s="0" t="s">
        <v>2158</v>
      </c>
      <c r="H43" s="0" t="s">
        <v>2159</v>
      </c>
      <c r="I43" s="0" t="s">
        <v>2160</v>
      </c>
      <c r="J43" s="0" t="s">
        <v>1892</v>
      </c>
      <c r="K43" s="0" t="s">
        <v>2161</v>
      </c>
      <c r="L43" s="0" t="n">
        <v>23</v>
      </c>
      <c r="M43" s="0" t="s">
        <v>1952</v>
      </c>
      <c r="N43" s="0" t="s">
        <v>1938</v>
      </c>
      <c r="O43" s="0" t="s">
        <v>1831</v>
      </c>
      <c r="P43" s="0" t="s">
        <v>2162</v>
      </c>
      <c r="Q43" s="0" t="s">
        <v>2115</v>
      </c>
      <c r="R43" s="0" t="s">
        <v>2163</v>
      </c>
      <c r="S43" s="0" t="s">
        <v>2164</v>
      </c>
      <c r="T43" s="0" t="n">
        <v>1</v>
      </c>
      <c r="U43" s="0" t="s">
        <v>2118</v>
      </c>
    </row>
    <row r="44" customFormat="false" ht="15" hidden="false" customHeight="false" outlineLevel="0" collapsed="false">
      <c r="A44" s="0" t="s">
        <v>169</v>
      </c>
      <c r="B44" s="0" t="n">
        <v>2016</v>
      </c>
      <c r="C44" s="0" t="s">
        <v>2165</v>
      </c>
      <c r="D44" s="0" t="s">
        <v>2166</v>
      </c>
      <c r="E44" s="0" t="s">
        <v>1990</v>
      </c>
      <c r="F44" s="0" t="s">
        <v>2121</v>
      </c>
      <c r="G44" s="0" t="s">
        <v>2167</v>
      </c>
      <c r="H44" s="0" t="s">
        <v>1960</v>
      </c>
      <c r="I44" s="0" t="s">
        <v>2168</v>
      </c>
      <c r="J44" s="0" t="s">
        <v>1828</v>
      </c>
      <c r="K44" s="0" t="s">
        <v>2169</v>
      </c>
      <c r="L44" s="0" t="n">
        <v>28</v>
      </c>
      <c r="M44" s="0" t="s">
        <v>1952</v>
      </c>
      <c r="N44" s="0" t="s">
        <v>1831</v>
      </c>
      <c r="O44" s="0" t="s">
        <v>1831</v>
      </c>
      <c r="P44" s="0" t="s">
        <v>2170</v>
      </c>
      <c r="Q44" s="0" t="s">
        <v>2171</v>
      </c>
      <c r="R44" s="0" t="s">
        <v>2172</v>
      </c>
      <c r="S44" s="0" t="s">
        <v>2173</v>
      </c>
      <c r="T44" s="0" t="n">
        <v>0</v>
      </c>
      <c r="U44" s="0" t="s">
        <v>1835</v>
      </c>
    </row>
    <row r="45" customFormat="false" ht="15" hidden="false" customHeight="false" outlineLevel="0" collapsed="false">
      <c r="A45" s="0" t="s">
        <v>169</v>
      </c>
      <c r="B45" s="0" t="n">
        <v>2017</v>
      </c>
      <c r="C45" s="0" t="s">
        <v>2174</v>
      </c>
      <c r="D45" s="0" t="s">
        <v>2175</v>
      </c>
      <c r="E45" s="0" t="s">
        <v>1860</v>
      </c>
      <c r="F45" s="0" t="s">
        <v>2176</v>
      </c>
      <c r="G45" s="0" t="s">
        <v>2177</v>
      </c>
      <c r="H45" s="0" t="s">
        <v>1949</v>
      </c>
      <c r="I45" s="0" t="s">
        <v>2178</v>
      </c>
      <c r="J45" s="0" t="s">
        <v>1828</v>
      </c>
      <c r="K45" s="0" t="s">
        <v>2179</v>
      </c>
      <c r="L45" s="0" t="n">
        <v>28</v>
      </c>
      <c r="M45" s="0" t="s">
        <v>1952</v>
      </c>
      <c r="N45" s="0" t="s">
        <v>1831</v>
      </c>
      <c r="O45" s="0" t="s">
        <v>1831</v>
      </c>
      <c r="P45" s="0" t="s">
        <v>2180</v>
      </c>
      <c r="Q45" s="0" t="s">
        <v>1938</v>
      </c>
      <c r="R45" s="0" t="s">
        <v>2181</v>
      </c>
      <c r="S45" s="0" t="s">
        <v>2182</v>
      </c>
      <c r="T45" s="0" t="n">
        <v>0</v>
      </c>
      <c r="U45" s="0" t="s">
        <v>1835</v>
      </c>
    </row>
    <row r="46" customFormat="false" ht="15" hidden="false" customHeight="false" outlineLevel="0" collapsed="false">
      <c r="A46" s="0" t="s">
        <v>125</v>
      </c>
      <c r="B46" s="0" t="n">
        <v>2016</v>
      </c>
      <c r="C46" s="0" t="s">
        <v>2183</v>
      </c>
      <c r="D46" s="0" t="s">
        <v>2184</v>
      </c>
      <c r="E46" s="0" t="s">
        <v>2036</v>
      </c>
      <c r="F46" s="0" t="s">
        <v>2185</v>
      </c>
      <c r="G46" s="0" t="s">
        <v>2186</v>
      </c>
      <c r="H46" s="0" t="s">
        <v>2187</v>
      </c>
      <c r="I46" s="0" t="s">
        <v>2188</v>
      </c>
      <c r="J46" s="0" t="s">
        <v>1828</v>
      </c>
      <c r="K46" s="0" t="s">
        <v>2189</v>
      </c>
      <c r="L46" s="0" t="n">
        <v>154</v>
      </c>
      <c r="M46" s="0" t="s">
        <v>1952</v>
      </c>
      <c r="N46" s="0" t="s">
        <v>1831</v>
      </c>
      <c r="O46" s="0" t="s">
        <v>1831</v>
      </c>
      <c r="P46" s="0" t="s">
        <v>2190</v>
      </c>
      <c r="Q46" s="0" t="s">
        <v>1938</v>
      </c>
      <c r="R46" s="0" t="s">
        <v>2191</v>
      </c>
      <c r="S46" s="0" t="s">
        <v>2192</v>
      </c>
      <c r="T46" s="0" t="n">
        <v>0</v>
      </c>
      <c r="U46" s="0" t="s">
        <v>1835</v>
      </c>
    </row>
    <row r="47" customFormat="false" ht="15" hidden="false" customHeight="false" outlineLevel="0" collapsed="false">
      <c r="A47" s="0" t="s">
        <v>169</v>
      </c>
      <c r="B47" s="0" t="n">
        <v>2022</v>
      </c>
      <c r="C47" s="0" t="s">
        <v>2193</v>
      </c>
      <c r="D47" s="0" t="s">
        <v>2194</v>
      </c>
      <c r="E47" s="0" t="s">
        <v>1878</v>
      </c>
      <c r="F47" s="0" t="s">
        <v>2131</v>
      </c>
      <c r="G47" s="0" t="s">
        <v>2195</v>
      </c>
      <c r="H47" s="0" t="s">
        <v>1949</v>
      </c>
      <c r="I47" s="0" t="s">
        <v>2196</v>
      </c>
      <c r="J47" s="0" t="s">
        <v>1828</v>
      </c>
      <c r="K47" s="0" t="s">
        <v>2197</v>
      </c>
      <c r="L47" s="0" t="n">
        <v>28</v>
      </c>
      <c r="M47" s="0" t="s">
        <v>1952</v>
      </c>
      <c r="N47" s="0" t="s">
        <v>1831</v>
      </c>
      <c r="O47" s="0" t="s">
        <v>1831</v>
      </c>
      <c r="P47" s="0" t="s">
        <v>2198</v>
      </c>
      <c r="Q47" s="0" t="s">
        <v>1938</v>
      </c>
      <c r="R47" s="0" t="s">
        <v>2145</v>
      </c>
      <c r="S47" s="0" t="s">
        <v>2199</v>
      </c>
      <c r="T47" s="0" t="n">
        <v>0</v>
      </c>
      <c r="U47" s="0" t="s">
        <v>1835</v>
      </c>
    </row>
    <row r="48" customFormat="false" ht="15" hidden="false" customHeight="false" outlineLevel="0" collapsed="false">
      <c r="A48" s="0" t="s">
        <v>136</v>
      </c>
      <c r="B48" s="0" t="n">
        <v>2020</v>
      </c>
      <c r="C48" s="0" t="s">
        <v>2200</v>
      </c>
      <c r="D48" s="0" t="s">
        <v>2201</v>
      </c>
      <c r="E48" s="0" t="s">
        <v>2065</v>
      </c>
      <c r="F48" s="0" t="s">
        <v>2202</v>
      </c>
      <c r="G48" s="0" t="s">
        <v>2203</v>
      </c>
      <c r="H48" s="0" t="s">
        <v>1949</v>
      </c>
      <c r="I48" s="0" t="s">
        <v>2204</v>
      </c>
      <c r="J48" s="0" t="s">
        <v>1828</v>
      </c>
      <c r="K48" s="0" t="s">
        <v>2205</v>
      </c>
      <c r="L48" s="0" t="n">
        <v>67</v>
      </c>
      <c r="M48" s="0" t="s">
        <v>1952</v>
      </c>
      <c r="N48" s="0" t="s">
        <v>1831</v>
      </c>
      <c r="O48" s="0" t="s">
        <v>1831</v>
      </c>
      <c r="P48" s="0" t="s">
        <v>2206</v>
      </c>
      <c r="Q48" s="0" t="s">
        <v>1938</v>
      </c>
      <c r="R48" s="0" t="s">
        <v>2207</v>
      </c>
      <c r="S48" s="0" t="s">
        <v>2208</v>
      </c>
      <c r="T48" s="0" t="n">
        <v>0</v>
      </c>
      <c r="U48" s="0" t="s">
        <v>1835</v>
      </c>
    </row>
    <row r="49" customFormat="false" ht="15" hidden="false" customHeight="false" outlineLevel="0" collapsed="false">
      <c r="A49" s="0" t="s">
        <v>187</v>
      </c>
      <c r="B49" s="0" t="n">
        <v>2015</v>
      </c>
      <c r="C49" s="0" t="s">
        <v>2209</v>
      </c>
      <c r="U49" s="0" t="s">
        <v>2210</v>
      </c>
    </row>
    <row r="50" customFormat="false" ht="15" hidden="false" customHeight="false" outlineLevel="0" collapsed="false">
      <c r="A50" s="0" t="s">
        <v>211</v>
      </c>
      <c r="B50" s="0" t="n">
        <v>2021</v>
      </c>
      <c r="C50" s="0" t="s">
        <v>2209</v>
      </c>
      <c r="U50" s="0" t="s">
        <v>2211</v>
      </c>
    </row>
    <row r="51" customFormat="false" ht="15" hidden="false" customHeight="false" outlineLevel="0" collapsed="false">
      <c r="A51" s="0" t="s">
        <v>149</v>
      </c>
      <c r="B51" s="0" t="n">
        <v>2020</v>
      </c>
      <c r="C51" s="0" t="s">
        <v>2209</v>
      </c>
      <c r="U51" s="0" t="s">
        <v>2212</v>
      </c>
    </row>
    <row r="52" customFormat="false" ht="15" hidden="false" customHeight="false" outlineLevel="0" collapsed="false">
      <c r="A52" s="0" t="s">
        <v>125</v>
      </c>
      <c r="B52" s="0" t="n">
        <v>2017</v>
      </c>
      <c r="C52" s="0" t="s">
        <v>2209</v>
      </c>
      <c r="U52" s="0" t="s">
        <v>2213</v>
      </c>
    </row>
    <row r="53" customFormat="false" ht="15" hidden="false" customHeight="false" outlineLevel="0" collapsed="false">
      <c r="A53" s="0" t="s">
        <v>115</v>
      </c>
      <c r="B53" s="0" t="n">
        <v>2021</v>
      </c>
      <c r="C53" s="0" t="s">
        <v>2209</v>
      </c>
      <c r="U53" s="0" t="s">
        <v>2214</v>
      </c>
    </row>
    <row r="54" customFormat="false" ht="15" hidden="false" customHeight="false" outlineLevel="0" collapsed="false">
      <c r="A54" s="0" t="s">
        <v>136</v>
      </c>
      <c r="B54" s="0" t="n">
        <v>2017</v>
      </c>
      <c r="C54" s="0" t="s">
        <v>2209</v>
      </c>
      <c r="U54" s="0" t="s">
        <v>2215</v>
      </c>
    </row>
    <row r="55" customFormat="false" ht="15" hidden="false" customHeight="false" outlineLevel="0" collapsed="false">
      <c r="A55" s="0" t="s">
        <v>222</v>
      </c>
      <c r="B55" s="0" t="n">
        <v>2016</v>
      </c>
      <c r="C55" s="0" t="s">
        <v>2209</v>
      </c>
      <c r="U55" s="0" t="s">
        <v>2216</v>
      </c>
    </row>
    <row r="56" customFormat="false" ht="15" hidden="false" customHeight="false" outlineLevel="0" collapsed="false">
      <c r="A56" s="0" t="s">
        <v>222</v>
      </c>
      <c r="B56" s="0" t="n">
        <v>2017</v>
      </c>
      <c r="C56" s="0" t="s">
        <v>2209</v>
      </c>
      <c r="U56" s="0" t="s">
        <v>2216</v>
      </c>
    </row>
    <row r="57" customFormat="false" ht="15" hidden="false" customHeight="false" outlineLevel="0" collapsed="false">
      <c r="A57" s="0" t="s">
        <v>222</v>
      </c>
      <c r="B57" s="0" t="n">
        <v>2018</v>
      </c>
      <c r="C57" s="0" t="s">
        <v>2209</v>
      </c>
      <c r="U57" s="0" t="s">
        <v>2216</v>
      </c>
    </row>
    <row r="58" customFormat="false" ht="15" hidden="false" customHeight="false" outlineLevel="0" collapsed="false">
      <c r="A58" s="0" t="s">
        <v>211</v>
      </c>
      <c r="B58" s="0" t="n">
        <v>2013</v>
      </c>
      <c r="C58" s="0" t="s">
        <v>2209</v>
      </c>
      <c r="U58" s="0" t="s">
        <v>2217</v>
      </c>
    </row>
    <row r="59" customFormat="false" ht="15" hidden="false" customHeight="false" outlineLevel="0" collapsed="false">
      <c r="A59" s="0" t="s">
        <v>201</v>
      </c>
      <c r="B59" s="0" t="n">
        <v>2014</v>
      </c>
      <c r="C59" s="0" t="s">
        <v>2209</v>
      </c>
      <c r="U59" s="0" t="s">
        <v>2218</v>
      </c>
    </row>
    <row r="60" customFormat="false" ht="15" hidden="false" customHeight="false" outlineLevel="0" collapsed="false">
      <c r="A60" s="0" t="s">
        <v>77</v>
      </c>
      <c r="B60" s="0" t="n">
        <v>2018</v>
      </c>
      <c r="C60" s="0" t="s">
        <v>2209</v>
      </c>
      <c r="U60" s="0" t="s">
        <v>2219</v>
      </c>
    </row>
    <row r="61" customFormat="false" ht="15" hidden="false" customHeight="false" outlineLevel="0" collapsed="false">
      <c r="A61" s="0" t="s">
        <v>201</v>
      </c>
      <c r="B61" s="0" t="n">
        <v>2020</v>
      </c>
      <c r="C61" s="0" t="s">
        <v>2209</v>
      </c>
      <c r="U61" s="0" t="s">
        <v>2219</v>
      </c>
    </row>
    <row r="62" customFormat="false" ht="15" hidden="false" customHeight="false" outlineLevel="0" collapsed="false">
      <c r="A62" s="0" t="s">
        <v>201</v>
      </c>
      <c r="B62" s="0" t="n">
        <v>2013</v>
      </c>
      <c r="C62" s="0" t="s">
        <v>2209</v>
      </c>
      <c r="U62" s="0" t="s">
        <v>2219</v>
      </c>
    </row>
    <row r="63" customFormat="false" ht="15" hidden="false" customHeight="false" outlineLevel="0" collapsed="false">
      <c r="A63" s="0" t="s">
        <v>125</v>
      </c>
      <c r="B63" s="0" t="n">
        <v>2015</v>
      </c>
      <c r="C63" s="0" t="s">
        <v>2209</v>
      </c>
      <c r="U63" s="0" t="s">
        <v>2218</v>
      </c>
    </row>
    <row r="64" customFormat="false" ht="15" hidden="false" customHeight="false" outlineLevel="0" collapsed="false">
      <c r="A64" s="0" t="s">
        <v>77</v>
      </c>
      <c r="B64" s="0" t="n">
        <v>2022</v>
      </c>
      <c r="C64" s="0" t="s">
        <v>2220</v>
      </c>
      <c r="D64" s="0" t="s">
        <v>2221</v>
      </c>
      <c r="E64" s="0" t="s">
        <v>2026</v>
      </c>
      <c r="F64" s="0" t="s">
        <v>2075</v>
      </c>
      <c r="G64" s="0" t="s">
        <v>1868</v>
      </c>
      <c r="H64" s="0" t="s">
        <v>1993</v>
      </c>
      <c r="I64" s="0" t="s">
        <v>2222</v>
      </c>
      <c r="J64" s="0" t="s">
        <v>1828</v>
      </c>
      <c r="K64" s="0" t="s">
        <v>2223</v>
      </c>
      <c r="L64" s="0" t="n">
        <v>47</v>
      </c>
      <c r="M64" s="0" t="s">
        <v>2224</v>
      </c>
      <c r="N64" s="0" t="s">
        <v>2225</v>
      </c>
      <c r="O64" s="0" t="s">
        <v>2226</v>
      </c>
      <c r="P64" s="0" t="s">
        <v>2227</v>
      </c>
      <c r="Q64" s="0" t="s">
        <v>2228</v>
      </c>
      <c r="R64" s="0" t="s">
        <v>2229</v>
      </c>
      <c r="S64" s="0" t="s">
        <v>2230</v>
      </c>
      <c r="U64" s="0" t="s">
        <v>2231</v>
      </c>
    </row>
    <row r="65" customFormat="false" ht="15" hidden="false" customHeight="false" outlineLevel="0" collapsed="false">
      <c r="A65" s="0" t="s">
        <v>100</v>
      </c>
      <c r="B65" s="0" t="n">
        <v>2013</v>
      </c>
      <c r="C65" s="0" t="s">
        <v>2232</v>
      </c>
      <c r="D65" s="0" t="s">
        <v>2233</v>
      </c>
      <c r="E65" s="0" t="s">
        <v>1872</v>
      </c>
      <c r="F65" s="0" t="s">
        <v>2234</v>
      </c>
      <c r="G65" s="0" t="s">
        <v>2235</v>
      </c>
      <c r="H65" s="0" t="s">
        <v>2236</v>
      </c>
      <c r="I65" s="0" t="s">
        <v>2237</v>
      </c>
      <c r="J65" s="0" t="s">
        <v>1892</v>
      </c>
      <c r="K65" s="0" t="n">
        <v>36</v>
      </c>
      <c r="L65" s="0" t="n">
        <v>36</v>
      </c>
      <c r="M65" s="0" t="s">
        <v>2238</v>
      </c>
      <c r="N65" s="0" t="s">
        <v>2239</v>
      </c>
      <c r="O65" s="0" t="s">
        <v>2239</v>
      </c>
      <c r="P65" s="0" t="s">
        <v>2239</v>
      </c>
      <c r="Q65" s="0" t="s">
        <v>2240</v>
      </c>
      <c r="R65" s="0" t="s">
        <v>2239</v>
      </c>
      <c r="S65" s="0" t="s">
        <v>2241</v>
      </c>
      <c r="T65" s="0" t="n">
        <v>0</v>
      </c>
      <c r="U65" s="0" t="s">
        <v>2242</v>
      </c>
    </row>
    <row r="66" customFormat="false" ht="15" hidden="false" customHeight="false" outlineLevel="0" collapsed="false">
      <c r="A66" s="0" t="s">
        <v>100</v>
      </c>
      <c r="B66" s="0" t="n">
        <v>2014</v>
      </c>
      <c r="C66" s="0" t="s">
        <v>2243</v>
      </c>
      <c r="D66" s="0" t="s">
        <v>2244</v>
      </c>
      <c r="E66" s="0" t="s">
        <v>1872</v>
      </c>
      <c r="F66" s="0" t="s">
        <v>2245</v>
      </c>
      <c r="G66" s="0" t="s">
        <v>2246</v>
      </c>
      <c r="H66" s="0" t="s">
        <v>2236</v>
      </c>
      <c r="I66" s="0" t="s">
        <v>2237</v>
      </c>
      <c r="J66" s="0" t="s">
        <v>1892</v>
      </c>
      <c r="K66" s="0" t="n">
        <v>31</v>
      </c>
      <c r="L66" s="0" t="n">
        <v>31</v>
      </c>
      <c r="M66" s="0" t="s">
        <v>2238</v>
      </c>
      <c r="N66" s="0" t="s">
        <v>2239</v>
      </c>
      <c r="O66" s="0" t="s">
        <v>2239</v>
      </c>
      <c r="P66" s="0" t="s">
        <v>2239</v>
      </c>
      <c r="Q66" s="0" t="s">
        <v>2240</v>
      </c>
      <c r="R66" s="0" t="s">
        <v>2239</v>
      </c>
      <c r="S66" s="0" t="s">
        <v>2241</v>
      </c>
      <c r="T66" s="0" t="n">
        <v>0</v>
      </c>
      <c r="U66" s="0" t="s">
        <v>2242</v>
      </c>
    </row>
    <row r="67" customFormat="false" ht="15" hidden="false" customHeight="false" outlineLevel="0" collapsed="false">
      <c r="A67" s="0" t="s">
        <v>100</v>
      </c>
      <c r="B67" s="0" t="n">
        <v>2015</v>
      </c>
      <c r="C67" s="0" t="s">
        <v>2247</v>
      </c>
      <c r="D67" s="0" t="s">
        <v>2248</v>
      </c>
      <c r="E67" s="0" t="s">
        <v>1872</v>
      </c>
      <c r="F67" s="0" t="s">
        <v>2249</v>
      </c>
      <c r="G67" s="0" t="s">
        <v>2250</v>
      </c>
      <c r="H67" s="0" t="s">
        <v>2236</v>
      </c>
      <c r="I67" s="0" t="s">
        <v>2237</v>
      </c>
      <c r="J67" s="0" t="s">
        <v>1892</v>
      </c>
      <c r="K67" s="0" t="s">
        <v>2251</v>
      </c>
      <c r="L67" s="0" t="n">
        <v>47</v>
      </c>
      <c r="M67" s="0" t="s">
        <v>2238</v>
      </c>
      <c r="N67" s="0" t="s">
        <v>2239</v>
      </c>
      <c r="O67" s="0" t="s">
        <v>2239</v>
      </c>
      <c r="P67" s="0" t="s">
        <v>2239</v>
      </c>
      <c r="Q67" s="0" t="s">
        <v>2240</v>
      </c>
      <c r="R67" s="0" t="s">
        <v>2239</v>
      </c>
      <c r="S67" s="0" t="s">
        <v>2241</v>
      </c>
      <c r="T67" s="0" t="n">
        <v>0</v>
      </c>
      <c r="U67" s="0" t="s">
        <v>2242</v>
      </c>
    </row>
    <row r="68" customFormat="false" ht="15" hidden="false" customHeight="false" outlineLevel="0" collapsed="false">
      <c r="A68" s="0" t="s">
        <v>100</v>
      </c>
      <c r="B68" s="0" t="n">
        <v>2018</v>
      </c>
      <c r="C68" s="0" t="s">
        <v>2252</v>
      </c>
      <c r="D68" s="0" t="s">
        <v>2253</v>
      </c>
      <c r="E68" s="0" t="s">
        <v>1878</v>
      </c>
      <c r="F68" s="0" t="s">
        <v>2249</v>
      </c>
      <c r="G68" s="0" t="s">
        <v>2254</v>
      </c>
      <c r="H68" s="0" t="s">
        <v>2236</v>
      </c>
      <c r="I68" s="0" t="s">
        <v>2237</v>
      </c>
      <c r="J68" s="0" t="s">
        <v>1892</v>
      </c>
      <c r="K68" s="0" t="s">
        <v>2255</v>
      </c>
      <c r="L68" s="0" t="n">
        <v>63</v>
      </c>
      <c r="M68" s="0" t="s">
        <v>2238</v>
      </c>
      <c r="N68" s="0" t="s">
        <v>2239</v>
      </c>
      <c r="O68" s="0" t="s">
        <v>2239</v>
      </c>
      <c r="P68" s="0" t="s">
        <v>2239</v>
      </c>
      <c r="Q68" s="0" t="s">
        <v>2240</v>
      </c>
      <c r="R68" s="0" t="s">
        <v>2256</v>
      </c>
      <c r="S68" s="0" t="s">
        <v>2241</v>
      </c>
      <c r="T68" s="0" t="n">
        <v>0</v>
      </c>
      <c r="U68" s="0" t="s">
        <v>2242</v>
      </c>
    </row>
    <row r="69" customFormat="false" ht="15" hidden="false" customHeight="false" outlineLevel="0" collapsed="false">
      <c r="A69" s="0" t="s">
        <v>100</v>
      </c>
      <c r="B69" s="0" t="n">
        <v>2019</v>
      </c>
      <c r="C69" s="0" t="s">
        <v>2257</v>
      </c>
      <c r="D69" s="0" t="s">
        <v>2258</v>
      </c>
      <c r="E69" s="0" t="s">
        <v>1878</v>
      </c>
      <c r="F69" s="0" t="s">
        <v>2249</v>
      </c>
      <c r="G69" s="0" t="s">
        <v>2259</v>
      </c>
      <c r="H69" s="0" t="s">
        <v>2236</v>
      </c>
      <c r="I69" s="0" t="s">
        <v>2237</v>
      </c>
      <c r="J69" s="0" t="s">
        <v>1892</v>
      </c>
      <c r="K69" s="0" t="s">
        <v>2260</v>
      </c>
      <c r="L69" s="0" t="n">
        <v>69</v>
      </c>
      <c r="M69" s="0" t="s">
        <v>2238</v>
      </c>
      <c r="N69" s="0" t="s">
        <v>2239</v>
      </c>
      <c r="O69" s="0" t="s">
        <v>2239</v>
      </c>
      <c r="P69" s="0" t="s">
        <v>2261</v>
      </c>
      <c r="Q69" s="0" t="s">
        <v>2240</v>
      </c>
      <c r="R69" s="0" t="s">
        <v>1849</v>
      </c>
      <c r="S69" s="0" t="s">
        <v>2241</v>
      </c>
      <c r="T69" s="0" t="n">
        <v>0</v>
      </c>
      <c r="U69" s="0" t="s">
        <v>2242</v>
      </c>
    </row>
    <row r="70" customFormat="false" ht="15" hidden="false" customHeight="false" outlineLevel="0" collapsed="false">
      <c r="A70" s="0" t="s">
        <v>100</v>
      </c>
      <c r="B70" s="0" t="n">
        <v>2020</v>
      </c>
      <c r="C70" s="0" t="s">
        <v>2262</v>
      </c>
      <c r="D70" s="0" t="s">
        <v>2263</v>
      </c>
      <c r="E70" s="0" t="s">
        <v>1878</v>
      </c>
      <c r="F70" s="0" t="s">
        <v>2264</v>
      </c>
      <c r="G70" s="0" t="s">
        <v>2265</v>
      </c>
      <c r="H70" s="0" t="s">
        <v>2236</v>
      </c>
      <c r="I70" s="0" t="s">
        <v>2237</v>
      </c>
      <c r="J70" s="0" t="s">
        <v>1892</v>
      </c>
      <c r="K70" s="0" t="s">
        <v>2266</v>
      </c>
      <c r="L70" s="0" t="n">
        <v>79</v>
      </c>
      <c r="M70" s="0" t="s">
        <v>2238</v>
      </c>
      <c r="N70" s="0" t="s">
        <v>2239</v>
      </c>
      <c r="O70" s="0" t="s">
        <v>2239</v>
      </c>
      <c r="P70" s="0" t="s">
        <v>2239</v>
      </c>
      <c r="Q70" s="0" t="s">
        <v>2240</v>
      </c>
      <c r="R70" s="0" t="s">
        <v>2267</v>
      </c>
      <c r="S70" s="0" t="s">
        <v>2241</v>
      </c>
      <c r="T70" s="0" t="n">
        <v>0</v>
      </c>
      <c r="U70" s="0" t="s">
        <v>2242</v>
      </c>
    </row>
    <row r="71" customFormat="false" ht="15" hidden="false" customHeight="false" outlineLevel="0" collapsed="false">
      <c r="A71" s="0" t="s">
        <v>100</v>
      </c>
      <c r="B71" s="0" t="n">
        <v>2021</v>
      </c>
      <c r="C71" s="0" t="s">
        <v>2268</v>
      </c>
      <c r="D71" s="0" t="s">
        <v>2269</v>
      </c>
      <c r="E71" s="0" t="s">
        <v>1860</v>
      </c>
      <c r="F71" s="0" t="s">
        <v>2270</v>
      </c>
      <c r="G71" s="0" t="s">
        <v>2271</v>
      </c>
      <c r="H71" s="0" t="s">
        <v>2236</v>
      </c>
      <c r="I71" s="0" t="s">
        <v>2237</v>
      </c>
      <c r="J71" s="0" t="s">
        <v>1892</v>
      </c>
      <c r="K71" s="0" t="s">
        <v>2272</v>
      </c>
      <c r="L71" s="0" t="n">
        <v>83</v>
      </c>
      <c r="M71" s="0" t="s">
        <v>2238</v>
      </c>
      <c r="N71" s="0" t="s">
        <v>2239</v>
      </c>
      <c r="O71" s="0" t="s">
        <v>2239</v>
      </c>
      <c r="P71" s="0" t="s">
        <v>2239</v>
      </c>
      <c r="Q71" s="0" t="s">
        <v>2240</v>
      </c>
      <c r="R71" s="0" t="s">
        <v>2273</v>
      </c>
      <c r="S71" s="0" t="s">
        <v>2241</v>
      </c>
      <c r="T71" s="0" t="n">
        <v>0</v>
      </c>
      <c r="U71" s="0" t="s">
        <v>2242</v>
      </c>
    </row>
    <row r="72" customFormat="false" ht="15" hidden="false" customHeight="false" outlineLevel="0" collapsed="false">
      <c r="A72" s="0" t="s">
        <v>100</v>
      </c>
      <c r="B72" s="0" t="n">
        <v>2022</v>
      </c>
      <c r="C72" s="0" t="s">
        <v>2274</v>
      </c>
      <c r="D72" s="0" t="s">
        <v>2275</v>
      </c>
      <c r="E72" s="0" t="s">
        <v>1860</v>
      </c>
      <c r="F72" s="0" t="s">
        <v>2270</v>
      </c>
      <c r="G72" s="0" t="s">
        <v>2276</v>
      </c>
      <c r="H72" s="0" t="s">
        <v>2236</v>
      </c>
      <c r="I72" s="0" t="s">
        <v>2237</v>
      </c>
      <c r="J72" s="0" t="s">
        <v>1892</v>
      </c>
      <c r="K72" s="0" t="s">
        <v>2277</v>
      </c>
      <c r="L72" s="0" t="n">
        <v>72</v>
      </c>
      <c r="M72" s="0" t="s">
        <v>2238</v>
      </c>
      <c r="N72" s="0" t="s">
        <v>2239</v>
      </c>
      <c r="O72" s="0" t="s">
        <v>2239</v>
      </c>
      <c r="P72" s="0" t="s">
        <v>2239</v>
      </c>
      <c r="Q72" s="0" t="s">
        <v>2240</v>
      </c>
      <c r="R72" s="0" t="s">
        <v>1849</v>
      </c>
      <c r="S72" s="0" t="s">
        <v>2241</v>
      </c>
      <c r="T72" s="0" t="n">
        <v>0</v>
      </c>
      <c r="U72" s="0" t="s">
        <v>2242</v>
      </c>
    </row>
    <row r="73" customFormat="false" ht="15" hidden="false" customHeight="false" outlineLevel="0" collapsed="false">
      <c r="A73" s="0" t="s">
        <v>136</v>
      </c>
      <c r="B73" s="0" t="n">
        <v>2015</v>
      </c>
      <c r="C73" s="0" t="s">
        <v>2278</v>
      </c>
      <c r="D73" s="0" t="s">
        <v>2279</v>
      </c>
      <c r="E73" s="0" t="s">
        <v>1838</v>
      </c>
      <c r="F73" s="0" t="s">
        <v>2280</v>
      </c>
      <c r="G73" s="0" t="s">
        <v>2281</v>
      </c>
      <c r="H73" s="0" t="s">
        <v>2236</v>
      </c>
      <c r="I73" s="0" t="s">
        <v>2282</v>
      </c>
      <c r="J73" s="0" t="s">
        <v>1828</v>
      </c>
      <c r="K73" s="0" t="s">
        <v>2283</v>
      </c>
      <c r="L73" s="0" t="n">
        <v>52</v>
      </c>
      <c r="M73" s="0" t="s">
        <v>2238</v>
      </c>
      <c r="N73" s="0" t="s">
        <v>2239</v>
      </c>
      <c r="O73" s="0" t="s">
        <v>2239</v>
      </c>
      <c r="P73" s="0" t="s">
        <v>2239</v>
      </c>
      <c r="Q73" s="0" t="s">
        <v>2240</v>
      </c>
      <c r="R73" s="0" t="s">
        <v>2284</v>
      </c>
      <c r="S73" s="0" t="s">
        <v>2241</v>
      </c>
      <c r="T73" s="0" t="n">
        <v>0</v>
      </c>
      <c r="U73" s="0" t="s">
        <v>2242</v>
      </c>
    </row>
    <row r="74" customFormat="false" ht="15" hidden="false" customHeight="false" outlineLevel="0" collapsed="false">
      <c r="A74" s="0" t="s">
        <v>136</v>
      </c>
      <c r="B74" s="0" t="n">
        <v>2016</v>
      </c>
      <c r="C74" s="0" t="s">
        <v>2285</v>
      </c>
      <c r="D74" s="0" t="s">
        <v>2286</v>
      </c>
      <c r="E74" s="0" t="s">
        <v>1838</v>
      </c>
      <c r="F74" s="0" t="s">
        <v>2202</v>
      </c>
      <c r="G74" s="0" t="s">
        <v>2287</v>
      </c>
      <c r="H74" s="0" t="s">
        <v>2236</v>
      </c>
      <c r="I74" s="0" t="s">
        <v>2282</v>
      </c>
      <c r="J74" s="0" t="s">
        <v>1828</v>
      </c>
      <c r="K74" s="0" t="s">
        <v>2288</v>
      </c>
      <c r="L74" s="0" t="n">
        <v>76</v>
      </c>
      <c r="M74" s="0" t="s">
        <v>2238</v>
      </c>
      <c r="N74" s="0" t="s">
        <v>2239</v>
      </c>
      <c r="O74" s="0" t="s">
        <v>2239</v>
      </c>
      <c r="P74" s="0" t="s">
        <v>2239</v>
      </c>
      <c r="Q74" s="0" t="s">
        <v>2240</v>
      </c>
      <c r="R74" s="0" t="s">
        <v>2181</v>
      </c>
      <c r="S74" s="0" t="s">
        <v>2241</v>
      </c>
      <c r="T74" s="0" t="n">
        <v>0</v>
      </c>
      <c r="U74" s="0" t="s">
        <v>2242</v>
      </c>
    </row>
    <row r="75" customFormat="false" ht="15" hidden="false" customHeight="false" outlineLevel="0" collapsed="false">
      <c r="A75" s="0" t="s">
        <v>136</v>
      </c>
      <c r="B75" s="0" t="n">
        <v>2021</v>
      </c>
      <c r="C75" s="0" t="s">
        <v>2289</v>
      </c>
      <c r="D75" s="0" t="s">
        <v>2290</v>
      </c>
      <c r="I75" s="0" t="s">
        <v>2291</v>
      </c>
      <c r="J75" s="0" t="s">
        <v>2292</v>
      </c>
      <c r="U75" s="0" t="s">
        <v>2293</v>
      </c>
    </row>
    <row r="76" customFormat="false" ht="15" hidden="false" customHeight="false" outlineLevel="0" collapsed="false">
      <c r="A76" s="0" t="s">
        <v>136</v>
      </c>
      <c r="B76" s="0" t="n">
        <v>2022</v>
      </c>
      <c r="C76" s="0" t="s">
        <v>2289</v>
      </c>
      <c r="D76" s="0" t="s">
        <v>2294</v>
      </c>
      <c r="I76" s="0" t="s">
        <v>2295</v>
      </c>
      <c r="J76" s="0" t="s">
        <v>2292</v>
      </c>
      <c r="U76" s="0" t="s">
        <v>2296</v>
      </c>
    </row>
    <row r="77" customFormat="false" ht="15" hidden="false" customHeight="false" outlineLevel="0" collapsed="false">
      <c r="A77" s="0" t="s">
        <v>149</v>
      </c>
      <c r="B77" s="0" t="n">
        <v>2013</v>
      </c>
      <c r="C77" s="0" t="s">
        <v>2289</v>
      </c>
      <c r="D77" s="0" t="s">
        <v>2297</v>
      </c>
      <c r="I77" s="0" t="s">
        <v>2298</v>
      </c>
      <c r="J77" s="0" t="s">
        <v>2292</v>
      </c>
      <c r="U77" s="0" t="s">
        <v>2299</v>
      </c>
    </row>
    <row r="78" customFormat="false" ht="15" hidden="false" customHeight="false" outlineLevel="0" collapsed="false">
      <c r="A78" s="0" t="s">
        <v>149</v>
      </c>
      <c r="B78" s="0" t="n">
        <v>2015</v>
      </c>
      <c r="C78" s="0" t="s">
        <v>2289</v>
      </c>
      <c r="D78" s="0" t="s">
        <v>2300</v>
      </c>
      <c r="I78" s="0" t="s">
        <v>2301</v>
      </c>
      <c r="J78" s="0" t="s">
        <v>2292</v>
      </c>
      <c r="U78" s="0" t="s">
        <v>2302</v>
      </c>
    </row>
    <row r="79" customFormat="false" ht="15" hidden="false" customHeight="false" outlineLevel="0" collapsed="false">
      <c r="A79" s="0" t="s">
        <v>149</v>
      </c>
      <c r="B79" s="0" t="n">
        <v>2016</v>
      </c>
      <c r="C79" s="0" t="s">
        <v>2289</v>
      </c>
      <c r="D79" s="0" t="s">
        <v>2303</v>
      </c>
      <c r="I79" s="0" t="s">
        <v>2304</v>
      </c>
      <c r="J79" s="0" t="s">
        <v>2292</v>
      </c>
      <c r="U79" s="0" t="s">
        <v>2305</v>
      </c>
    </row>
    <row r="80" customFormat="false" ht="15" hidden="false" customHeight="false" outlineLevel="0" collapsed="false">
      <c r="A80" s="0" t="s">
        <v>149</v>
      </c>
      <c r="B80" s="0" t="n">
        <v>2017</v>
      </c>
      <c r="C80" s="0" t="s">
        <v>2289</v>
      </c>
      <c r="D80" s="0" t="s">
        <v>2306</v>
      </c>
      <c r="I80" s="0" t="s">
        <v>2307</v>
      </c>
      <c r="J80" s="0" t="s">
        <v>2292</v>
      </c>
      <c r="U80" s="0" t="s">
        <v>2308</v>
      </c>
    </row>
    <row r="81" customFormat="false" ht="15" hidden="false" customHeight="false" outlineLevel="0" collapsed="false">
      <c r="A81" s="0" t="s">
        <v>149</v>
      </c>
      <c r="B81" s="0" t="n">
        <v>2014</v>
      </c>
      <c r="C81" s="0" t="s">
        <v>2289</v>
      </c>
      <c r="D81" s="0" t="s">
        <v>2309</v>
      </c>
      <c r="I81" s="0" t="s">
        <v>2310</v>
      </c>
      <c r="J81" s="0" t="s">
        <v>2292</v>
      </c>
      <c r="U81" s="0" t="s">
        <v>2311</v>
      </c>
    </row>
    <row r="82" customFormat="false" ht="15" hidden="false" customHeight="false" outlineLevel="0" collapsed="false">
      <c r="A82" s="0" t="s">
        <v>125</v>
      </c>
      <c r="B82" s="0" t="n">
        <v>2018</v>
      </c>
      <c r="C82" s="0" t="s">
        <v>2312</v>
      </c>
      <c r="D82" s="0" t="s">
        <v>2313</v>
      </c>
      <c r="E82" s="0" t="s">
        <v>1838</v>
      </c>
      <c r="F82" s="0" t="s">
        <v>2314</v>
      </c>
      <c r="G82" s="0" t="s">
        <v>2315</v>
      </c>
      <c r="H82" s="0" t="s">
        <v>2316</v>
      </c>
      <c r="I82" s="0" t="s">
        <v>2317</v>
      </c>
      <c r="J82" s="0" t="s">
        <v>1828</v>
      </c>
      <c r="K82" s="0" t="s">
        <v>2318</v>
      </c>
      <c r="L82" s="0" t="n">
        <v>514</v>
      </c>
      <c r="M82" s="0" t="s">
        <v>2319</v>
      </c>
      <c r="N82" s="0" t="s">
        <v>2239</v>
      </c>
      <c r="O82" s="0" t="s">
        <v>2239</v>
      </c>
      <c r="P82" s="0" t="s">
        <v>2239</v>
      </c>
      <c r="Q82" s="0" t="s">
        <v>2240</v>
      </c>
      <c r="R82" s="0" t="s">
        <v>2320</v>
      </c>
      <c r="S82" s="0" t="s">
        <v>2321</v>
      </c>
      <c r="T82" s="0" t="n">
        <v>0</v>
      </c>
      <c r="U82" s="0" t="s">
        <v>2242</v>
      </c>
    </row>
    <row r="83" customFormat="false" ht="15" hidden="false" customHeight="false" outlineLevel="0" collapsed="false">
      <c r="A83" s="0" t="s">
        <v>125</v>
      </c>
      <c r="B83" s="0" t="n">
        <v>2019</v>
      </c>
      <c r="C83" s="0" t="s">
        <v>2322</v>
      </c>
      <c r="D83" s="0" t="s">
        <v>2313</v>
      </c>
      <c r="E83" s="0" t="s">
        <v>1838</v>
      </c>
      <c r="F83" s="0" t="s">
        <v>2314</v>
      </c>
      <c r="G83" s="0" t="s">
        <v>2323</v>
      </c>
      <c r="H83" s="0" t="s">
        <v>2316</v>
      </c>
      <c r="I83" s="0" t="s">
        <v>2317</v>
      </c>
      <c r="J83" s="0" t="s">
        <v>1828</v>
      </c>
      <c r="K83" s="0" t="s">
        <v>2324</v>
      </c>
      <c r="L83" s="0" t="n">
        <v>390</v>
      </c>
      <c r="M83" s="0" t="s">
        <v>2319</v>
      </c>
      <c r="N83" s="0" t="s">
        <v>2239</v>
      </c>
      <c r="O83" s="0" t="s">
        <v>2239</v>
      </c>
      <c r="P83" s="0" t="s">
        <v>2239</v>
      </c>
      <c r="Q83" s="0" t="s">
        <v>2240</v>
      </c>
      <c r="R83" s="0" t="s">
        <v>2325</v>
      </c>
      <c r="S83" s="0" t="s">
        <v>2326</v>
      </c>
      <c r="T83" s="0" t="n">
        <v>0</v>
      </c>
      <c r="U83" s="0" t="s">
        <v>2242</v>
      </c>
    </row>
    <row r="84" customFormat="false" ht="15" hidden="false" customHeight="false" outlineLevel="0" collapsed="false">
      <c r="A84" s="0" t="s">
        <v>125</v>
      </c>
      <c r="B84" s="0" t="n">
        <v>2022</v>
      </c>
      <c r="C84" s="0" t="s">
        <v>2289</v>
      </c>
      <c r="D84" s="0" t="s">
        <v>2327</v>
      </c>
      <c r="E84" s="0" t="s">
        <v>1823</v>
      </c>
      <c r="F84" s="0" t="s">
        <v>2002</v>
      </c>
      <c r="G84" s="0" t="s">
        <v>2328</v>
      </c>
      <c r="H84" s="0" t="s">
        <v>2329</v>
      </c>
      <c r="I84" s="0" t="s">
        <v>2330</v>
      </c>
      <c r="J84" s="0" t="s">
        <v>2331</v>
      </c>
      <c r="U84" s="0" t="s">
        <v>2332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7" min="6" style="0" width="10"/>
    <col collapsed="false" customWidth="true" hidden="false" outlineLevel="0" max="8" min="8" style="0" width="15"/>
    <col collapsed="false" customWidth="true" hidden="false" outlineLevel="0" max="9" min="9" style="0" width="22"/>
    <col collapsed="false" customWidth="true" hidden="false" outlineLevel="0" max="10" min="10" style="0" width="31"/>
    <col collapsed="false" customWidth="true" hidden="false" outlineLevel="0" max="11" min="11" style="0" width="21"/>
    <col collapsed="false" customWidth="true" hidden="false" outlineLevel="0" max="12" min="12" style="0" width="10"/>
  </cols>
  <sheetData>
    <row r="1" customFormat="false" ht="15" hidden="false" customHeight="false" outlineLevel="0" collapsed="false">
      <c r="A1" s="2" t="s">
        <v>2333</v>
      </c>
    </row>
    <row r="3" customFormat="false" ht="15" hidden="false" customHeight="false" outlineLevel="0" collapsed="false">
      <c r="A3" s="3" t="s">
        <v>1803</v>
      </c>
      <c r="B3" s="3" t="s">
        <v>50</v>
      </c>
      <c r="C3" s="3" t="s">
        <v>433</v>
      </c>
      <c r="D3" s="3" t="s">
        <v>2334</v>
      </c>
      <c r="E3" s="3" t="s">
        <v>74</v>
      </c>
      <c r="F3" s="3" t="s">
        <v>2335</v>
      </c>
      <c r="G3" s="3" t="s">
        <v>2336</v>
      </c>
      <c r="H3" s="3" t="s">
        <v>2337</v>
      </c>
      <c r="I3" s="3" t="s">
        <v>2338</v>
      </c>
      <c r="J3" s="3" t="s">
        <v>2339</v>
      </c>
      <c r="K3" s="3" t="s">
        <v>2340</v>
      </c>
      <c r="L3" s="3" t="s">
        <v>435</v>
      </c>
    </row>
    <row r="4" customFormat="false" ht="15" hidden="false" customHeight="false" outlineLevel="0" collapsed="false">
      <c r="A4" s="0" t="s">
        <v>1896</v>
      </c>
      <c r="B4" s="0" t="s">
        <v>115</v>
      </c>
      <c r="C4" s="0" t="s">
        <v>2341</v>
      </c>
      <c r="D4" s="0" t="s">
        <v>2342</v>
      </c>
      <c r="E4" s="0" t="s">
        <v>123</v>
      </c>
      <c r="F4" s="0" t="s">
        <v>2343</v>
      </c>
      <c r="G4" s="0" t="n">
        <v>5562091</v>
      </c>
      <c r="H4" s="0" t="s">
        <v>2344</v>
      </c>
      <c r="I4" s="0" t="s">
        <v>1938</v>
      </c>
      <c r="J4" s="0" t="s">
        <v>2345</v>
      </c>
      <c r="K4" s="0" t="s">
        <v>2345</v>
      </c>
    </row>
    <row r="5" customFormat="false" ht="15" hidden="false" customHeight="false" outlineLevel="0" collapsed="false">
      <c r="A5" s="0" t="s">
        <v>2346</v>
      </c>
      <c r="B5" s="0" t="s">
        <v>211</v>
      </c>
      <c r="C5" s="0" t="s">
        <v>2341</v>
      </c>
      <c r="D5" s="0" t="s">
        <v>2347</v>
      </c>
      <c r="E5" s="0" t="s">
        <v>214</v>
      </c>
      <c r="F5" s="0" t="s">
        <v>2348</v>
      </c>
      <c r="G5" s="0" t="n">
        <v>3102438</v>
      </c>
      <c r="H5" s="0" t="s">
        <v>2349</v>
      </c>
      <c r="I5" s="0" t="s">
        <v>2350</v>
      </c>
      <c r="J5" s="0" t="s">
        <v>2351</v>
      </c>
      <c r="K5" s="0" t="s">
        <v>2351</v>
      </c>
    </row>
    <row r="6" customFormat="false" ht="15" hidden="false" customHeight="false" outlineLevel="0" collapsed="false">
      <c r="A6" s="0" t="s">
        <v>1884</v>
      </c>
      <c r="B6" s="0" t="s">
        <v>211</v>
      </c>
      <c r="C6" s="0" t="s">
        <v>2341</v>
      </c>
      <c r="D6" s="0" t="s">
        <v>2347</v>
      </c>
      <c r="E6" s="0" t="s">
        <v>219</v>
      </c>
      <c r="F6" s="0" t="s">
        <v>2352</v>
      </c>
      <c r="G6" s="0" t="n">
        <v>23893681</v>
      </c>
      <c r="H6" s="0" t="s">
        <v>2349</v>
      </c>
      <c r="I6" s="0" t="s">
        <v>1938</v>
      </c>
      <c r="J6" s="0" t="s">
        <v>2345</v>
      </c>
      <c r="K6" s="0" t="s">
        <v>2345</v>
      </c>
    </row>
    <row r="7" customFormat="false" ht="15" hidden="false" customHeight="false" outlineLevel="0" collapsed="false">
      <c r="A7" s="0" t="s">
        <v>2353</v>
      </c>
      <c r="B7" s="0" t="s">
        <v>115</v>
      </c>
      <c r="C7" s="0" t="s">
        <v>2341</v>
      </c>
      <c r="D7" s="0" t="s">
        <v>2342</v>
      </c>
      <c r="E7" s="0" t="s">
        <v>116</v>
      </c>
      <c r="F7" s="0" t="s">
        <v>2354</v>
      </c>
      <c r="G7" s="0" t="n">
        <v>2935700</v>
      </c>
      <c r="H7" s="0" t="s">
        <v>2344</v>
      </c>
      <c r="I7" s="0" t="s">
        <v>2350</v>
      </c>
      <c r="J7" s="0" t="s">
        <v>2351</v>
      </c>
      <c r="K7" s="0" t="s">
        <v>2351</v>
      </c>
    </row>
    <row r="8" customFormat="false" ht="15" hidden="false" customHeight="false" outlineLevel="0" collapsed="false">
      <c r="A8" s="0" t="s">
        <v>2355</v>
      </c>
      <c r="B8" s="0" t="s">
        <v>178</v>
      </c>
      <c r="C8" s="0" t="s">
        <v>2341</v>
      </c>
      <c r="D8" s="0" t="s">
        <v>2356</v>
      </c>
      <c r="E8" s="0" t="s">
        <v>185</v>
      </c>
      <c r="F8" s="0" t="s">
        <v>2357</v>
      </c>
      <c r="G8" s="0" t="n">
        <v>3413675</v>
      </c>
      <c r="H8" s="0" t="s">
        <v>2344</v>
      </c>
      <c r="I8" s="0" t="s">
        <v>2350</v>
      </c>
      <c r="J8" s="0" t="s">
        <v>2351</v>
      </c>
      <c r="K8" s="0" t="s">
        <v>2351</v>
      </c>
    </row>
    <row r="9" customFormat="false" ht="15" hidden="false" customHeight="false" outlineLevel="0" collapsed="false">
      <c r="A9" s="0" t="s">
        <v>1837</v>
      </c>
      <c r="B9" s="0" t="s">
        <v>149</v>
      </c>
      <c r="C9" s="0" t="s">
        <v>2341</v>
      </c>
      <c r="D9" s="0" t="s">
        <v>2358</v>
      </c>
      <c r="E9" s="0" t="s">
        <v>164</v>
      </c>
      <c r="F9" s="0" t="s">
        <v>2359</v>
      </c>
      <c r="G9" s="0" t="n">
        <v>9736155</v>
      </c>
      <c r="H9" s="0" t="s">
        <v>2344</v>
      </c>
      <c r="I9" s="0" t="s">
        <v>1938</v>
      </c>
      <c r="J9" s="0" t="s">
        <v>2345</v>
      </c>
      <c r="K9" s="0" t="s">
        <v>2345</v>
      </c>
    </row>
    <row r="10" customFormat="false" ht="15" hidden="false" customHeight="false" outlineLevel="0" collapsed="false">
      <c r="A10" s="0" t="s">
        <v>2360</v>
      </c>
      <c r="B10" s="0" t="s">
        <v>136</v>
      </c>
      <c r="C10" s="0" t="s">
        <v>2341</v>
      </c>
      <c r="D10" s="0" t="s">
        <v>2361</v>
      </c>
      <c r="E10" s="0" t="s">
        <v>137</v>
      </c>
      <c r="F10" s="0" t="s">
        <v>2362</v>
      </c>
      <c r="G10" s="0" t="n">
        <v>2135241</v>
      </c>
      <c r="H10" s="0" t="s">
        <v>2363</v>
      </c>
      <c r="I10" s="0" t="s">
        <v>1831</v>
      </c>
      <c r="J10" s="0" t="s">
        <v>1908</v>
      </c>
      <c r="K10" s="0" t="s">
        <v>2351</v>
      </c>
      <c r="L10" s="0" t="s">
        <v>2364</v>
      </c>
    </row>
    <row r="11" customFormat="false" ht="15" hidden="false" customHeight="false" outlineLevel="0" collapsed="false">
      <c r="A11" s="0" t="s">
        <v>2365</v>
      </c>
      <c r="B11" s="0" t="s">
        <v>211</v>
      </c>
      <c r="C11" s="0" t="s">
        <v>2341</v>
      </c>
      <c r="D11" s="0" t="s">
        <v>2366</v>
      </c>
      <c r="E11" s="0" t="s">
        <v>217</v>
      </c>
      <c r="F11" s="0" t="s">
        <v>2367</v>
      </c>
      <c r="G11" s="0" t="n">
        <v>8139641</v>
      </c>
      <c r="H11" s="0" t="s">
        <v>2349</v>
      </c>
      <c r="I11" s="0" t="s">
        <v>2350</v>
      </c>
      <c r="J11" s="0" t="s">
        <v>2351</v>
      </c>
      <c r="K11" s="0" t="s">
        <v>2351</v>
      </c>
    </row>
    <row r="12" customFormat="false" ht="15" hidden="false" customHeight="false" outlineLevel="0" collapsed="false">
      <c r="A12" s="0" t="s">
        <v>1866</v>
      </c>
      <c r="B12" s="0" t="s">
        <v>187</v>
      </c>
      <c r="C12" s="0" t="s">
        <v>2341</v>
      </c>
      <c r="D12" s="0" t="s">
        <v>2368</v>
      </c>
      <c r="E12" s="0" t="s">
        <v>198</v>
      </c>
      <c r="F12" s="0" t="s">
        <v>2369</v>
      </c>
      <c r="G12" s="0" t="n">
        <v>4027041</v>
      </c>
      <c r="H12" s="0" t="s">
        <v>2344</v>
      </c>
      <c r="I12" s="0" t="s">
        <v>1938</v>
      </c>
      <c r="J12" s="0" t="s">
        <v>2345</v>
      </c>
      <c r="K12" s="0" t="s">
        <v>2345</v>
      </c>
    </row>
    <row r="13" customFormat="false" ht="15" hidden="false" customHeight="false" outlineLevel="0" collapsed="false">
      <c r="A13" s="0" t="s">
        <v>2001</v>
      </c>
      <c r="B13" s="0" t="s">
        <v>149</v>
      </c>
      <c r="C13" s="0" t="s">
        <v>2341</v>
      </c>
      <c r="D13" s="0" t="s">
        <v>2358</v>
      </c>
      <c r="E13" s="0" t="s">
        <v>160</v>
      </c>
      <c r="F13" s="0" t="s">
        <v>2370</v>
      </c>
      <c r="G13" s="0" t="n">
        <v>4096893</v>
      </c>
      <c r="H13" s="0" t="s">
        <v>2371</v>
      </c>
      <c r="I13" s="0" t="s">
        <v>2372</v>
      </c>
      <c r="J13" s="0" t="s">
        <v>2345</v>
      </c>
      <c r="K13" s="0" t="s">
        <v>2345</v>
      </c>
      <c r="L13" s="0" t="s">
        <v>2373</v>
      </c>
    </row>
    <row r="14" customFormat="false" ht="15" hidden="false" customHeight="false" outlineLevel="0" collapsed="false">
      <c r="A14" s="0" t="s">
        <v>1888</v>
      </c>
      <c r="B14" s="0" t="s">
        <v>115</v>
      </c>
      <c r="C14" s="0" t="s">
        <v>2341</v>
      </c>
      <c r="D14" s="0" t="s">
        <v>2342</v>
      </c>
      <c r="E14" s="0" t="s">
        <v>121</v>
      </c>
      <c r="F14" s="0" t="s">
        <v>2374</v>
      </c>
      <c r="G14" s="0" t="n">
        <v>5796360</v>
      </c>
      <c r="H14" s="0" t="s">
        <v>2344</v>
      </c>
      <c r="I14" s="0" t="s">
        <v>1938</v>
      </c>
      <c r="J14" s="0" t="s">
        <v>2345</v>
      </c>
      <c r="K14" s="0" t="s">
        <v>2345</v>
      </c>
    </row>
    <row r="15" customFormat="false" ht="15" hidden="false" customHeight="false" outlineLevel="0" collapsed="false">
      <c r="A15" s="0" t="s">
        <v>2375</v>
      </c>
      <c r="B15" s="0" t="s">
        <v>77</v>
      </c>
      <c r="C15" s="0" t="s">
        <v>2376</v>
      </c>
      <c r="D15" s="0" t="s">
        <v>2377</v>
      </c>
      <c r="E15" s="0" t="s">
        <v>80</v>
      </c>
      <c r="G15" s="0" t="n">
        <v>0</v>
      </c>
      <c r="H15" s="0" t="s">
        <v>2344</v>
      </c>
      <c r="I15" s="0" t="s">
        <v>2350</v>
      </c>
      <c r="J15" s="0" t="s">
        <v>2351</v>
      </c>
      <c r="K15" s="0" t="s">
        <v>2351</v>
      </c>
    </row>
    <row r="16" customFormat="false" ht="15" hidden="false" customHeight="false" outlineLevel="0" collapsed="false">
      <c r="A16" s="0" t="s">
        <v>1859</v>
      </c>
      <c r="B16" s="0" t="s">
        <v>187</v>
      </c>
      <c r="C16" s="0" t="s">
        <v>2341</v>
      </c>
      <c r="D16" s="0" t="s">
        <v>2368</v>
      </c>
      <c r="E16" s="0" t="s">
        <v>195</v>
      </c>
      <c r="F16" s="0" t="s">
        <v>2378</v>
      </c>
      <c r="G16" s="0" t="n">
        <v>2415232</v>
      </c>
      <c r="H16" s="0" t="s">
        <v>2344</v>
      </c>
      <c r="I16" s="0" t="s">
        <v>1938</v>
      </c>
      <c r="J16" s="0" t="s">
        <v>2345</v>
      </c>
      <c r="K16" s="0" t="s">
        <v>2345</v>
      </c>
    </row>
    <row r="17" customFormat="false" ht="15" hidden="false" customHeight="false" outlineLevel="0" collapsed="false">
      <c r="A17" s="0" t="s">
        <v>2379</v>
      </c>
      <c r="B17" s="0" t="s">
        <v>178</v>
      </c>
      <c r="C17" s="0" t="s">
        <v>2341</v>
      </c>
      <c r="D17" s="0" t="s">
        <v>2368</v>
      </c>
      <c r="E17" s="0" t="s">
        <v>186</v>
      </c>
      <c r="F17" s="0" t="s">
        <v>2380</v>
      </c>
      <c r="G17" s="0" t="n">
        <v>1647377</v>
      </c>
      <c r="H17" s="0" t="s">
        <v>2344</v>
      </c>
      <c r="I17" s="0" t="s">
        <v>2350</v>
      </c>
      <c r="J17" s="0" t="s">
        <v>2351</v>
      </c>
      <c r="K17" s="0" t="s">
        <v>2351</v>
      </c>
    </row>
    <row r="18" customFormat="false" ht="15" hidden="false" customHeight="false" outlineLevel="0" collapsed="false">
      <c r="A18" s="0" t="s">
        <v>2381</v>
      </c>
      <c r="B18" s="0" t="s">
        <v>187</v>
      </c>
      <c r="C18" s="0" t="s">
        <v>2341</v>
      </c>
      <c r="D18" s="0" t="s">
        <v>2368</v>
      </c>
      <c r="E18" s="0" t="s">
        <v>188</v>
      </c>
      <c r="F18" s="0" t="s">
        <v>2382</v>
      </c>
      <c r="G18" s="0" t="n">
        <v>3630147</v>
      </c>
      <c r="H18" s="0" t="s">
        <v>2344</v>
      </c>
      <c r="I18" s="0" t="s">
        <v>2350</v>
      </c>
      <c r="J18" s="0" t="s">
        <v>2351</v>
      </c>
      <c r="K18" s="0" t="s">
        <v>2351</v>
      </c>
    </row>
    <row r="19" customFormat="false" ht="15" hidden="false" customHeight="false" outlineLevel="0" collapsed="false">
      <c r="A19" s="0" t="s">
        <v>2383</v>
      </c>
      <c r="B19" s="0" t="s">
        <v>222</v>
      </c>
      <c r="C19" s="0" t="s">
        <v>2341</v>
      </c>
      <c r="D19" s="0" t="s">
        <v>2384</v>
      </c>
      <c r="E19" s="0" t="s">
        <v>224</v>
      </c>
      <c r="F19" s="0" t="s">
        <v>2385</v>
      </c>
      <c r="G19" s="0" t="n">
        <v>3257266</v>
      </c>
      <c r="H19" s="0" t="s">
        <v>2349</v>
      </c>
      <c r="I19" s="0" t="s">
        <v>2350</v>
      </c>
      <c r="J19" s="0" t="s">
        <v>2351</v>
      </c>
      <c r="K19" s="0" t="s">
        <v>2351</v>
      </c>
    </row>
    <row r="20" customFormat="false" ht="15" hidden="false" customHeight="false" outlineLevel="0" collapsed="false">
      <c r="A20" s="0" t="s">
        <v>2386</v>
      </c>
      <c r="B20" s="0" t="s">
        <v>178</v>
      </c>
      <c r="C20" s="0" t="s">
        <v>2341</v>
      </c>
      <c r="D20" s="0" t="s">
        <v>2356</v>
      </c>
      <c r="E20" s="0" t="s">
        <v>184</v>
      </c>
      <c r="F20" s="0" t="s">
        <v>2387</v>
      </c>
      <c r="G20" s="0" t="n">
        <v>7097382</v>
      </c>
      <c r="H20" s="0" t="s">
        <v>2344</v>
      </c>
      <c r="I20" s="0" t="s">
        <v>2350</v>
      </c>
      <c r="J20" s="0" t="s">
        <v>2351</v>
      </c>
      <c r="K20" s="0" t="s">
        <v>2351</v>
      </c>
    </row>
    <row r="21" customFormat="false" ht="15" hidden="false" customHeight="false" outlineLevel="0" collapsed="false">
      <c r="A21" s="0" t="s">
        <v>2388</v>
      </c>
      <c r="B21" s="0" t="s">
        <v>100</v>
      </c>
      <c r="C21" s="0" t="s">
        <v>2341</v>
      </c>
      <c r="D21" s="0" t="s">
        <v>2389</v>
      </c>
      <c r="E21" s="0" t="s">
        <v>107</v>
      </c>
      <c r="F21" s="0" t="s">
        <v>2390</v>
      </c>
      <c r="G21" s="0" t="n">
        <v>108693</v>
      </c>
      <c r="H21" s="0" t="s">
        <v>2391</v>
      </c>
      <c r="I21" s="0" t="s">
        <v>1831</v>
      </c>
      <c r="J21" s="0" t="s">
        <v>1908</v>
      </c>
      <c r="K21" s="0" t="s">
        <v>2351</v>
      </c>
      <c r="L21" s="0" t="s">
        <v>2392</v>
      </c>
    </row>
    <row r="22" customFormat="false" ht="15" hidden="false" customHeight="false" outlineLevel="0" collapsed="false">
      <c r="A22" s="0" t="s">
        <v>2393</v>
      </c>
      <c r="B22" s="0" t="s">
        <v>125</v>
      </c>
      <c r="C22" s="0" t="s">
        <v>2341</v>
      </c>
      <c r="D22" s="0" t="s">
        <v>2394</v>
      </c>
      <c r="E22" s="0" t="s">
        <v>126</v>
      </c>
      <c r="F22" s="0" t="s">
        <v>2395</v>
      </c>
      <c r="G22" s="0" t="n">
        <v>6602892</v>
      </c>
      <c r="H22" s="0" t="s">
        <v>2344</v>
      </c>
      <c r="I22" s="0" t="s">
        <v>2350</v>
      </c>
      <c r="J22" s="0" t="s">
        <v>2351</v>
      </c>
      <c r="K22" s="0" t="s">
        <v>2351</v>
      </c>
    </row>
    <row r="23" customFormat="false" ht="15" hidden="false" customHeight="false" outlineLevel="0" collapsed="false">
      <c r="A23" s="0" t="s">
        <v>1877</v>
      </c>
      <c r="B23" s="0" t="s">
        <v>211</v>
      </c>
      <c r="C23" s="0" t="s">
        <v>2341</v>
      </c>
      <c r="D23" s="0" t="s">
        <v>2368</v>
      </c>
      <c r="E23" s="0" t="s">
        <v>218</v>
      </c>
      <c r="F23" s="0" t="s">
        <v>2396</v>
      </c>
      <c r="G23" s="0" t="n">
        <v>3474978</v>
      </c>
      <c r="H23" s="0" t="s">
        <v>2344</v>
      </c>
      <c r="I23" s="0" t="s">
        <v>1938</v>
      </c>
      <c r="J23" s="0" t="s">
        <v>2345</v>
      </c>
      <c r="K23" s="0" t="s">
        <v>2345</v>
      </c>
    </row>
    <row r="24" customFormat="false" ht="15" hidden="false" customHeight="false" outlineLevel="0" collapsed="false">
      <c r="A24" s="0" t="s">
        <v>1903</v>
      </c>
      <c r="B24" s="0" t="s">
        <v>169</v>
      </c>
      <c r="C24" s="0" t="s">
        <v>2341</v>
      </c>
      <c r="D24" s="0" t="s">
        <v>2397</v>
      </c>
      <c r="E24" s="0" t="s">
        <v>170</v>
      </c>
      <c r="F24" s="0" t="s">
        <v>2398</v>
      </c>
      <c r="G24" s="0" t="n">
        <v>2526321</v>
      </c>
      <c r="H24" s="0" t="s">
        <v>2344</v>
      </c>
      <c r="I24" s="0" t="s">
        <v>1938</v>
      </c>
      <c r="J24" s="0" t="s">
        <v>2345</v>
      </c>
      <c r="K24" s="0" t="s">
        <v>2345</v>
      </c>
    </row>
    <row r="25" customFormat="false" ht="15" hidden="false" customHeight="false" outlineLevel="0" collapsed="false">
      <c r="A25" s="0" t="s">
        <v>2399</v>
      </c>
      <c r="B25" s="0" t="s">
        <v>178</v>
      </c>
      <c r="C25" s="0" t="s">
        <v>2341</v>
      </c>
      <c r="D25" s="0" t="s">
        <v>2356</v>
      </c>
      <c r="E25" s="0" t="s">
        <v>180</v>
      </c>
      <c r="F25" s="0" t="s">
        <v>2400</v>
      </c>
      <c r="G25" s="0" t="n">
        <v>5579693</v>
      </c>
      <c r="H25" s="0" t="s">
        <v>2344</v>
      </c>
      <c r="I25" s="0" t="s">
        <v>2350</v>
      </c>
      <c r="J25" s="0" t="s">
        <v>2351</v>
      </c>
      <c r="K25" s="0" t="s">
        <v>2351</v>
      </c>
    </row>
    <row r="26" customFormat="false" ht="15" hidden="false" customHeight="false" outlineLevel="0" collapsed="false">
      <c r="A26" s="0" t="s">
        <v>2401</v>
      </c>
      <c r="B26" s="0" t="s">
        <v>211</v>
      </c>
      <c r="C26" s="0" t="s">
        <v>2341</v>
      </c>
      <c r="D26" s="0" t="s">
        <v>2368</v>
      </c>
      <c r="E26" s="0" t="s">
        <v>221</v>
      </c>
      <c r="F26" s="0" t="s">
        <v>2402</v>
      </c>
      <c r="G26" s="0" t="n">
        <v>2880789</v>
      </c>
      <c r="H26" s="0" t="s">
        <v>2344</v>
      </c>
      <c r="I26" s="0" t="s">
        <v>2350</v>
      </c>
      <c r="J26" s="0" t="s">
        <v>2351</v>
      </c>
      <c r="K26" s="0" t="s">
        <v>2351</v>
      </c>
    </row>
    <row r="27" customFormat="false" ht="15" hidden="false" customHeight="false" outlineLevel="0" collapsed="false">
      <c r="A27" s="0" t="s">
        <v>2403</v>
      </c>
      <c r="B27" s="0" t="s">
        <v>222</v>
      </c>
      <c r="C27" s="0" t="s">
        <v>2341</v>
      </c>
      <c r="D27" s="0" t="s">
        <v>2384</v>
      </c>
      <c r="E27" s="0" t="s">
        <v>235</v>
      </c>
      <c r="F27" s="0" t="s">
        <v>2404</v>
      </c>
      <c r="G27" s="0" t="n">
        <v>8810170</v>
      </c>
      <c r="H27" s="0" t="s">
        <v>2349</v>
      </c>
      <c r="I27" s="0" t="s">
        <v>2350</v>
      </c>
      <c r="J27" s="0" t="s">
        <v>2351</v>
      </c>
      <c r="K27" s="0" t="s">
        <v>2351</v>
      </c>
    </row>
    <row r="28" customFormat="false" ht="15" hidden="false" customHeight="false" outlineLevel="0" collapsed="false">
      <c r="A28" s="0" t="s">
        <v>1910</v>
      </c>
      <c r="B28" s="0" t="s">
        <v>169</v>
      </c>
      <c r="C28" s="0" t="s">
        <v>2341</v>
      </c>
      <c r="D28" s="0" t="s">
        <v>2397</v>
      </c>
      <c r="E28" s="0" t="s">
        <v>174</v>
      </c>
      <c r="F28" s="0" t="s">
        <v>2405</v>
      </c>
      <c r="G28" s="0" t="n">
        <v>6660620</v>
      </c>
      <c r="H28" s="0" t="s">
        <v>2344</v>
      </c>
      <c r="I28" s="0" t="s">
        <v>1938</v>
      </c>
      <c r="J28" s="0" t="s">
        <v>2345</v>
      </c>
      <c r="K28" s="0" t="s">
        <v>2345</v>
      </c>
    </row>
    <row r="29" customFormat="false" ht="15" hidden="false" customHeight="false" outlineLevel="0" collapsed="false">
      <c r="A29" s="0" t="s">
        <v>2406</v>
      </c>
      <c r="B29" s="0" t="s">
        <v>178</v>
      </c>
      <c r="C29" s="0" t="s">
        <v>2341</v>
      </c>
      <c r="D29" s="0" t="s">
        <v>2356</v>
      </c>
      <c r="E29" s="0" t="s">
        <v>179</v>
      </c>
      <c r="F29" s="0" t="s">
        <v>2407</v>
      </c>
      <c r="G29" s="0" t="n">
        <v>4713072</v>
      </c>
      <c r="H29" s="0" t="s">
        <v>2344</v>
      </c>
      <c r="I29" s="0" t="s">
        <v>2350</v>
      </c>
      <c r="J29" s="0" t="s">
        <v>2351</v>
      </c>
      <c r="K29" s="0" t="s">
        <v>2351</v>
      </c>
    </row>
    <row r="30" customFormat="false" ht="15" hidden="false" customHeight="false" outlineLevel="0" collapsed="false">
      <c r="A30" s="0" t="s">
        <v>1932</v>
      </c>
      <c r="B30" s="0" t="s">
        <v>201</v>
      </c>
      <c r="C30" s="0" t="s">
        <v>2341</v>
      </c>
      <c r="D30" s="0" t="s">
        <v>2368</v>
      </c>
      <c r="E30" s="0" t="s">
        <v>207</v>
      </c>
      <c r="F30" s="0" t="s">
        <v>2408</v>
      </c>
      <c r="G30" s="0" t="n">
        <v>2228390</v>
      </c>
      <c r="H30" s="0" t="s">
        <v>2344</v>
      </c>
      <c r="I30" s="0" t="s">
        <v>1938</v>
      </c>
      <c r="J30" s="0" t="s">
        <v>2345</v>
      </c>
      <c r="K30" s="0" t="s">
        <v>2345</v>
      </c>
    </row>
    <row r="31" customFormat="false" ht="15" hidden="false" customHeight="false" outlineLevel="0" collapsed="false">
      <c r="A31" s="0" t="s">
        <v>1846</v>
      </c>
      <c r="B31" s="0" t="s">
        <v>149</v>
      </c>
      <c r="C31" s="0" t="s">
        <v>2341</v>
      </c>
      <c r="D31" s="0" t="s">
        <v>2358</v>
      </c>
      <c r="E31" s="0" t="s">
        <v>167</v>
      </c>
      <c r="F31" s="0" t="s">
        <v>2409</v>
      </c>
      <c r="G31" s="0" t="n">
        <v>5416143</v>
      </c>
      <c r="H31" s="0" t="s">
        <v>2344</v>
      </c>
      <c r="I31" s="0" t="s">
        <v>1938</v>
      </c>
      <c r="J31" s="0" t="s">
        <v>2345</v>
      </c>
      <c r="K31" s="0" t="s">
        <v>2345</v>
      </c>
    </row>
    <row r="32" customFormat="false" ht="15" hidden="false" customHeight="false" outlineLevel="0" collapsed="false">
      <c r="A32" s="0" t="s">
        <v>1851</v>
      </c>
      <c r="B32" s="0" t="s">
        <v>187</v>
      </c>
      <c r="C32" s="0" t="s">
        <v>2341</v>
      </c>
      <c r="D32" s="0" t="s">
        <v>2347</v>
      </c>
      <c r="E32" s="0" t="s">
        <v>191</v>
      </c>
      <c r="F32" s="0" t="s">
        <v>2410</v>
      </c>
      <c r="G32" s="0" t="n">
        <v>7609185</v>
      </c>
      <c r="H32" s="0" t="s">
        <v>2349</v>
      </c>
      <c r="I32" s="0" t="s">
        <v>1938</v>
      </c>
      <c r="J32" s="0" t="s">
        <v>2345</v>
      </c>
      <c r="K32" s="0" t="s">
        <v>2345</v>
      </c>
    </row>
    <row r="33" customFormat="false" ht="15" hidden="false" customHeight="false" outlineLevel="0" collapsed="false">
      <c r="A33" s="0" t="s">
        <v>1871</v>
      </c>
      <c r="B33" s="0" t="s">
        <v>211</v>
      </c>
      <c r="C33" s="0" t="s">
        <v>2341</v>
      </c>
      <c r="D33" s="0" t="s">
        <v>2347</v>
      </c>
      <c r="E33" s="0" t="s">
        <v>216</v>
      </c>
      <c r="F33" s="0" t="s">
        <v>2411</v>
      </c>
      <c r="G33" s="0" t="n">
        <v>5400358</v>
      </c>
      <c r="H33" s="0" t="s">
        <v>2349</v>
      </c>
      <c r="I33" s="0" t="s">
        <v>1938</v>
      </c>
      <c r="J33" s="0" t="s">
        <v>2345</v>
      </c>
      <c r="K33" s="0" t="s">
        <v>2345</v>
      </c>
    </row>
    <row r="34" customFormat="false" ht="15" hidden="false" customHeight="false" outlineLevel="0" collapsed="false">
      <c r="A34" s="0" t="s">
        <v>2011</v>
      </c>
      <c r="B34" s="0" t="s">
        <v>149</v>
      </c>
      <c r="C34" s="0" t="s">
        <v>2341</v>
      </c>
      <c r="D34" s="0" t="s">
        <v>2358</v>
      </c>
      <c r="E34" s="0" t="s">
        <v>162</v>
      </c>
      <c r="F34" s="0" t="s">
        <v>2412</v>
      </c>
      <c r="G34" s="0" t="n">
        <v>3734370</v>
      </c>
      <c r="H34" s="0" t="s">
        <v>2371</v>
      </c>
      <c r="I34" s="0" t="s">
        <v>2413</v>
      </c>
      <c r="J34" s="0" t="s">
        <v>2345</v>
      </c>
      <c r="K34" s="0" t="s">
        <v>2345</v>
      </c>
      <c r="L34" s="0" t="s">
        <v>2414</v>
      </c>
    </row>
    <row r="35" customFormat="false" ht="15" hidden="false" customHeight="false" outlineLevel="0" collapsed="false">
      <c r="A35" s="0" t="s">
        <v>1822</v>
      </c>
      <c r="B35" s="0" t="s">
        <v>187</v>
      </c>
      <c r="C35" s="0" t="s">
        <v>2341</v>
      </c>
      <c r="D35" s="0" t="s">
        <v>2415</v>
      </c>
      <c r="E35" s="0" t="s">
        <v>189</v>
      </c>
      <c r="F35" s="0" t="s">
        <v>2416</v>
      </c>
      <c r="G35" s="0" t="n">
        <v>3837665</v>
      </c>
      <c r="H35" s="0" t="s">
        <v>2349</v>
      </c>
      <c r="I35" s="0" t="s">
        <v>1938</v>
      </c>
      <c r="J35" s="0" t="s">
        <v>2345</v>
      </c>
      <c r="K35" s="0" t="s">
        <v>2345</v>
      </c>
    </row>
    <row r="36" customFormat="false" ht="15" hidden="false" customHeight="false" outlineLevel="0" collapsed="false">
      <c r="A36" s="0" t="s">
        <v>1915</v>
      </c>
      <c r="B36" s="0" t="s">
        <v>136</v>
      </c>
      <c r="C36" s="0" t="s">
        <v>2341</v>
      </c>
      <c r="D36" s="0" t="s">
        <v>2361</v>
      </c>
      <c r="E36" s="0" t="s">
        <v>141</v>
      </c>
      <c r="F36" s="0" t="s">
        <v>2417</v>
      </c>
      <c r="G36" s="0" t="n">
        <v>8388567</v>
      </c>
      <c r="H36" s="0" t="s">
        <v>2344</v>
      </c>
      <c r="I36" s="0" t="s">
        <v>1938</v>
      </c>
      <c r="J36" s="0" t="s">
        <v>2345</v>
      </c>
      <c r="K36" s="0" t="s">
        <v>2345</v>
      </c>
    </row>
    <row r="37" customFormat="false" ht="15" hidden="false" customHeight="false" outlineLevel="0" collapsed="false">
      <c r="A37" s="0" t="s">
        <v>2418</v>
      </c>
      <c r="B37" s="0" t="s">
        <v>222</v>
      </c>
      <c r="C37" s="0" t="s">
        <v>2341</v>
      </c>
      <c r="D37" s="0" t="s">
        <v>2384</v>
      </c>
      <c r="E37" s="0" t="s">
        <v>227</v>
      </c>
      <c r="F37" s="0" t="s">
        <v>2419</v>
      </c>
      <c r="G37" s="0" t="n">
        <v>4352915</v>
      </c>
      <c r="H37" s="0" t="s">
        <v>2349</v>
      </c>
      <c r="I37" s="0" t="s">
        <v>2350</v>
      </c>
      <c r="J37" s="0" t="s">
        <v>2351</v>
      </c>
      <c r="K37" s="0" t="s">
        <v>2345</v>
      </c>
    </row>
    <row r="38" customFormat="false" ht="15" hidden="false" customHeight="false" outlineLevel="0" collapsed="false">
      <c r="A38" s="0" t="s">
        <v>2420</v>
      </c>
      <c r="B38" s="0" t="s">
        <v>77</v>
      </c>
      <c r="C38" s="0" t="s">
        <v>2376</v>
      </c>
      <c r="D38" s="0" t="s">
        <v>2377</v>
      </c>
      <c r="E38" s="0" t="s">
        <v>2421</v>
      </c>
      <c r="G38" s="0" t="n">
        <v>0</v>
      </c>
      <c r="H38" s="0" t="s">
        <v>2344</v>
      </c>
      <c r="I38" s="0" t="s">
        <v>2350</v>
      </c>
      <c r="J38" s="0" t="s">
        <v>2351</v>
      </c>
      <c r="K38" s="0" t="s">
        <v>2351</v>
      </c>
    </row>
    <row r="39" customFormat="false" ht="15" hidden="false" customHeight="false" outlineLevel="0" collapsed="false">
      <c r="A39" s="0" t="s">
        <v>2422</v>
      </c>
      <c r="B39" s="0" t="s">
        <v>222</v>
      </c>
      <c r="C39" s="0" t="s">
        <v>2341</v>
      </c>
      <c r="D39" s="0" t="s">
        <v>2384</v>
      </c>
      <c r="E39" s="0" t="s">
        <v>225</v>
      </c>
      <c r="F39" s="0" t="s">
        <v>2423</v>
      </c>
      <c r="G39" s="0" t="n">
        <v>3094891</v>
      </c>
      <c r="H39" s="0" t="s">
        <v>2349</v>
      </c>
      <c r="I39" s="0" t="s">
        <v>2350</v>
      </c>
      <c r="J39" s="0" t="s">
        <v>2351</v>
      </c>
      <c r="K39" s="0" t="s">
        <v>2345</v>
      </c>
    </row>
    <row r="40" customFormat="false" ht="15" hidden="false" customHeight="false" outlineLevel="0" collapsed="false">
      <c r="A40" s="0" t="s">
        <v>2424</v>
      </c>
      <c r="B40" s="0" t="s">
        <v>77</v>
      </c>
      <c r="C40" s="0" t="s">
        <v>2376</v>
      </c>
      <c r="D40" s="0" t="s">
        <v>2377</v>
      </c>
      <c r="E40" s="0" t="s">
        <v>2425</v>
      </c>
      <c r="G40" s="0" t="n">
        <v>0</v>
      </c>
      <c r="H40" s="0" t="s">
        <v>2344</v>
      </c>
      <c r="I40" s="0" t="s">
        <v>2350</v>
      </c>
      <c r="J40" s="0" t="s">
        <v>2351</v>
      </c>
      <c r="K40" s="0" t="s">
        <v>2351</v>
      </c>
    </row>
    <row r="41" customFormat="false" ht="15" hidden="false" customHeight="false" outlineLevel="0" collapsed="false">
      <c r="A41" s="0" t="s">
        <v>2426</v>
      </c>
      <c r="B41" s="0" t="s">
        <v>222</v>
      </c>
      <c r="C41" s="0" t="s">
        <v>2376</v>
      </c>
      <c r="D41" s="0" t="s">
        <v>2427</v>
      </c>
      <c r="E41" s="0" t="s">
        <v>2428</v>
      </c>
      <c r="G41" s="0" t="n">
        <v>0</v>
      </c>
      <c r="H41" s="0" t="s">
        <v>2344</v>
      </c>
      <c r="I41" s="0" t="s">
        <v>2350</v>
      </c>
      <c r="J41" s="0" t="s">
        <v>2351</v>
      </c>
      <c r="K41" s="0" t="s">
        <v>2351</v>
      </c>
    </row>
    <row r="42" customFormat="false" ht="15" hidden="false" customHeight="false" outlineLevel="0" collapsed="false">
      <c r="A42" s="0" t="s">
        <v>2429</v>
      </c>
      <c r="B42" s="0" t="s">
        <v>125</v>
      </c>
      <c r="C42" s="0" t="s">
        <v>2341</v>
      </c>
      <c r="D42" s="0" t="s">
        <v>2394</v>
      </c>
      <c r="E42" s="0" t="s">
        <v>128</v>
      </c>
      <c r="F42" s="0" t="s">
        <v>2430</v>
      </c>
      <c r="G42" s="0" t="n">
        <v>2554566</v>
      </c>
      <c r="H42" s="0" t="s">
        <v>2431</v>
      </c>
      <c r="I42" s="0" t="s">
        <v>2432</v>
      </c>
      <c r="J42" s="0" t="s">
        <v>2433</v>
      </c>
      <c r="K42" s="0" t="s">
        <v>2345</v>
      </c>
      <c r="L42" s="0" t="s">
        <v>2434</v>
      </c>
    </row>
    <row r="43" customFormat="false" ht="15" hidden="false" customHeight="false" outlineLevel="0" collapsed="false">
      <c r="A43" s="0" t="s">
        <v>2435</v>
      </c>
      <c r="B43" s="0" t="s">
        <v>222</v>
      </c>
      <c r="C43" s="0" t="s">
        <v>2341</v>
      </c>
      <c r="D43" s="0" t="s">
        <v>2384</v>
      </c>
      <c r="E43" s="0" t="s">
        <v>229</v>
      </c>
      <c r="F43" s="0" t="s">
        <v>2436</v>
      </c>
      <c r="G43" s="0" t="n">
        <v>56377291</v>
      </c>
      <c r="H43" s="0" t="s">
        <v>2349</v>
      </c>
      <c r="I43" s="0" t="s">
        <v>2350</v>
      </c>
      <c r="J43" s="0" t="s">
        <v>2351</v>
      </c>
      <c r="K43" s="0" t="s">
        <v>2345</v>
      </c>
    </row>
    <row r="44" customFormat="false" ht="15" hidden="false" customHeight="false" outlineLevel="0" collapsed="false">
      <c r="A44" s="0" t="s">
        <v>1928</v>
      </c>
      <c r="B44" s="0" t="s">
        <v>222</v>
      </c>
      <c r="C44" s="0" t="s">
        <v>2341</v>
      </c>
      <c r="D44" s="0" t="s">
        <v>2384</v>
      </c>
      <c r="E44" s="0" t="s">
        <v>233</v>
      </c>
      <c r="F44" s="0" t="s">
        <v>2437</v>
      </c>
      <c r="G44" s="0" t="n">
        <v>22730955</v>
      </c>
      <c r="H44" s="0" t="s">
        <v>2349</v>
      </c>
      <c r="I44" s="0" t="s">
        <v>1938</v>
      </c>
      <c r="J44" s="0" t="s">
        <v>2345</v>
      </c>
      <c r="K44" s="0" t="s">
        <v>2345</v>
      </c>
    </row>
    <row r="45" customFormat="false" ht="15" hidden="false" customHeight="false" outlineLevel="0" collapsed="false">
      <c r="A45" s="0" t="s">
        <v>1920</v>
      </c>
      <c r="B45" s="0" t="s">
        <v>136</v>
      </c>
      <c r="C45" s="0" t="s">
        <v>2341</v>
      </c>
      <c r="D45" s="0" t="s">
        <v>2361</v>
      </c>
      <c r="E45" s="0" t="s">
        <v>143</v>
      </c>
      <c r="F45" s="0" t="s">
        <v>2438</v>
      </c>
      <c r="G45" s="0" t="n">
        <v>4965210</v>
      </c>
      <c r="H45" s="0" t="s">
        <v>2344</v>
      </c>
      <c r="I45" s="0" t="s">
        <v>1938</v>
      </c>
      <c r="J45" s="0" t="s">
        <v>2345</v>
      </c>
      <c r="K45" s="0" t="s">
        <v>2345</v>
      </c>
    </row>
    <row r="46" customFormat="false" ht="15" hidden="false" customHeight="false" outlineLevel="0" collapsed="false">
      <c r="A46" s="0" t="s">
        <v>2439</v>
      </c>
      <c r="B46" s="0" t="s">
        <v>2440</v>
      </c>
      <c r="C46" s="0" t="s">
        <v>2341</v>
      </c>
      <c r="D46" s="0" t="s">
        <v>2441</v>
      </c>
      <c r="E46" s="0" t="s">
        <v>2442</v>
      </c>
      <c r="F46" s="0" t="s">
        <v>2443</v>
      </c>
      <c r="G46" s="0" t="n">
        <v>9034029</v>
      </c>
      <c r="H46" s="0" t="s">
        <v>2444</v>
      </c>
      <c r="I46" s="0" t="s">
        <v>2445</v>
      </c>
      <c r="J46" s="0" t="s">
        <v>1908</v>
      </c>
      <c r="K46" s="0" t="s">
        <v>2351</v>
      </c>
      <c r="L46" s="0" t="s">
        <v>2446</v>
      </c>
    </row>
    <row r="47" customFormat="false" ht="15" hidden="false" customHeight="false" outlineLevel="0" collapsed="false">
      <c r="A47" s="0" t="s">
        <v>2447</v>
      </c>
      <c r="B47" s="0" t="s">
        <v>222</v>
      </c>
      <c r="C47" s="0" t="s">
        <v>2376</v>
      </c>
      <c r="D47" s="0" t="s">
        <v>2427</v>
      </c>
      <c r="E47" s="0" t="s">
        <v>2448</v>
      </c>
      <c r="G47" s="0" t="n">
        <v>0</v>
      </c>
      <c r="H47" s="0" t="s">
        <v>2344</v>
      </c>
      <c r="I47" s="0" t="s">
        <v>2350</v>
      </c>
      <c r="J47" s="0" t="s">
        <v>2351</v>
      </c>
      <c r="K47" s="0" t="s">
        <v>2351</v>
      </c>
    </row>
    <row r="48" customFormat="false" ht="15" hidden="false" customHeight="false" outlineLevel="0" collapsed="false">
      <c r="A48" s="0" t="s">
        <v>1924</v>
      </c>
      <c r="B48" s="0" t="s">
        <v>222</v>
      </c>
      <c r="C48" s="0" t="s">
        <v>2341</v>
      </c>
      <c r="D48" s="0" t="s">
        <v>2384</v>
      </c>
      <c r="E48" s="0" t="s">
        <v>231</v>
      </c>
      <c r="F48" s="0" t="s">
        <v>2449</v>
      </c>
      <c r="G48" s="0" t="n">
        <v>13394533</v>
      </c>
      <c r="H48" s="0" t="s">
        <v>2349</v>
      </c>
      <c r="I48" s="0" t="s">
        <v>1938</v>
      </c>
      <c r="J48" s="0" t="s">
        <v>2345</v>
      </c>
      <c r="K48" s="0" t="s">
        <v>2345</v>
      </c>
    </row>
    <row r="49" customFormat="false" ht="15" hidden="false" customHeight="false" outlineLevel="0" collapsed="false">
      <c r="A49" s="0" t="s">
        <v>1945</v>
      </c>
      <c r="B49" s="0" t="s">
        <v>115</v>
      </c>
      <c r="C49" s="0" t="s">
        <v>2341</v>
      </c>
      <c r="D49" s="0" t="s">
        <v>2384</v>
      </c>
      <c r="E49" s="0" t="s">
        <v>117</v>
      </c>
      <c r="F49" s="0" t="s">
        <v>2450</v>
      </c>
      <c r="G49" s="0" t="n">
        <v>33819879</v>
      </c>
      <c r="H49" s="0" t="s">
        <v>2451</v>
      </c>
      <c r="I49" s="0" t="s">
        <v>2452</v>
      </c>
      <c r="J49" s="0" t="s">
        <v>2345</v>
      </c>
      <c r="K49" s="0" t="s">
        <v>2345</v>
      </c>
      <c r="L49" s="0" t="s">
        <v>2453</v>
      </c>
    </row>
    <row r="50" customFormat="false" ht="15" hidden="false" customHeight="false" outlineLevel="0" collapsed="false">
      <c r="A50" s="0" t="s">
        <v>1956</v>
      </c>
      <c r="B50" s="0" t="s">
        <v>115</v>
      </c>
      <c r="C50" s="0" t="s">
        <v>2341</v>
      </c>
      <c r="D50" s="0" t="s">
        <v>2384</v>
      </c>
      <c r="E50" s="0" t="s">
        <v>118</v>
      </c>
      <c r="F50" s="0" t="s">
        <v>2454</v>
      </c>
      <c r="G50" s="0" t="n">
        <v>10760967</v>
      </c>
      <c r="H50" s="0" t="s">
        <v>2451</v>
      </c>
      <c r="I50" s="0" t="s">
        <v>2455</v>
      </c>
      <c r="J50" s="0" t="s">
        <v>2345</v>
      </c>
      <c r="K50" s="0" t="s">
        <v>2345</v>
      </c>
      <c r="L50" s="0" t="s">
        <v>2456</v>
      </c>
    </row>
    <row r="51" customFormat="false" ht="15" hidden="false" customHeight="false" outlineLevel="0" collapsed="false">
      <c r="A51" s="0" t="s">
        <v>1967</v>
      </c>
      <c r="B51" s="0" t="s">
        <v>115</v>
      </c>
      <c r="C51" s="0" t="s">
        <v>2341</v>
      </c>
      <c r="D51" s="0" t="s">
        <v>2384</v>
      </c>
      <c r="E51" s="0" t="s">
        <v>119</v>
      </c>
      <c r="F51" s="0" t="s">
        <v>2457</v>
      </c>
      <c r="G51" s="0" t="n">
        <v>2259527</v>
      </c>
      <c r="H51" s="0" t="s">
        <v>2451</v>
      </c>
      <c r="I51" s="0" t="s">
        <v>2458</v>
      </c>
      <c r="J51" s="0" t="s">
        <v>2345</v>
      </c>
      <c r="K51" s="0" t="s">
        <v>2345</v>
      </c>
      <c r="L51" s="0" t="s">
        <v>2459</v>
      </c>
    </row>
    <row r="52" customFormat="false" ht="15" hidden="false" customHeight="false" outlineLevel="0" collapsed="false">
      <c r="A52" s="0" t="s">
        <v>1978</v>
      </c>
      <c r="B52" s="0" t="s">
        <v>115</v>
      </c>
      <c r="C52" s="0" t="s">
        <v>2341</v>
      </c>
      <c r="D52" s="0" t="s">
        <v>2384</v>
      </c>
      <c r="E52" s="0" t="s">
        <v>120</v>
      </c>
      <c r="F52" s="0" t="s">
        <v>2460</v>
      </c>
      <c r="G52" s="0" t="n">
        <v>6203042</v>
      </c>
      <c r="H52" s="0" t="s">
        <v>2451</v>
      </c>
      <c r="I52" s="0" t="s">
        <v>2461</v>
      </c>
      <c r="J52" s="0" t="s">
        <v>2345</v>
      </c>
      <c r="K52" s="0" t="s">
        <v>2345</v>
      </c>
      <c r="L52" s="0" t="s">
        <v>2462</v>
      </c>
    </row>
    <row r="53" customFormat="false" ht="15" hidden="false" customHeight="false" outlineLevel="0" collapsed="false">
      <c r="A53" s="0" t="s">
        <v>1989</v>
      </c>
      <c r="B53" s="0" t="s">
        <v>115</v>
      </c>
      <c r="C53" s="0" t="s">
        <v>2341</v>
      </c>
      <c r="D53" s="0" t="s">
        <v>2384</v>
      </c>
      <c r="E53" s="0" t="s">
        <v>122</v>
      </c>
      <c r="F53" s="0" t="s">
        <v>2463</v>
      </c>
      <c r="G53" s="0" t="n">
        <v>5861987</v>
      </c>
      <c r="H53" s="0" t="s">
        <v>2451</v>
      </c>
      <c r="I53" s="0" t="s">
        <v>2464</v>
      </c>
      <c r="J53" s="0" t="s">
        <v>2345</v>
      </c>
      <c r="K53" s="0" t="s">
        <v>2345</v>
      </c>
      <c r="L53" s="0" t="s">
        <v>2465</v>
      </c>
    </row>
    <row r="54" customFormat="false" ht="15" hidden="false" customHeight="false" outlineLevel="0" collapsed="false">
      <c r="A54" s="0" t="s">
        <v>2466</v>
      </c>
      <c r="B54" s="0" t="s">
        <v>211</v>
      </c>
      <c r="C54" s="0" t="s">
        <v>2341</v>
      </c>
      <c r="D54" s="0" t="s">
        <v>2368</v>
      </c>
      <c r="E54" s="0" t="s">
        <v>212</v>
      </c>
      <c r="F54" s="0" t="s">
        <v>2467</v>
      </c>
      <c r="G54" s="0" t="n">
        <v>120044</v>
      </c>
      <c r="H54" s="0" t="s">
        <v>2468</v>
      </c>
      <c r="I54" s="0" t="s">
        <v>1831</v>
      </c>
      <c r="J54" s="0" t="s">
        <v>2433</v>
      </c>
      <c r="K54" s="0" t="s">
        <v>2345</v>
      </c>
      <c r="L54" s="0" t="s">
        <v>2469</v>
      </c>
    </row>
    <row r="55" customFormat="false" ht="15" hidden="false" customHeight="false" outlineLevel="0" collapsed="false">
      <c r="A55" s="0" t="s">
        <v>2470</v>
      </c>
      <c r="B55" s="0" t="s">
        <v>211</v>
      </c>
      <c r="C55" s="0" t="s">
        <v>2341</v>
      </c>
      <c r="D55" s="0" t="s">
        <v>2368</v>
      </c>
      <c r="E55" s="0" t="s">
        <v>2471</v>
      </c>
      <c r="F55" s="0" t="s">
        <v>2472</v>
      </c>
      <c r="G55" s="0" t="n">
        <v>188068</v>
      </c>
      <c r="H55" s="0" t="s">
        <v>2468</v>
      </c>
      <c r="I55" s="0" t="s">
        <v>1831</v>
      </c>
      <c r="J55" s="0" t="s">
        <v>2433</v>
      </c>
      <c r="K55" s="0" t="s">
        <v>2351</v>
      </c>
      <c r="L55" s="0" t="s">
        <v>2473</v>
      </c>
    </row>
    <row r="56" customFormat="false" ht="15" hidden="false" customHeight="false" outlineLevel="0" collapsed="false">
      <c r="A56" s="0" t="s">
        <v>2474</v>
      </c>
      <c r="B56" s="0" t="s">
        <v>222</v>
      </c>
      <c r="C56" s="0" t="s">
        <v>2341</v>
      </c>
      <c r="D56" s="0" t="s">
        <v>2368</v>
      </c>
      <c r="E56" s="0" t="s">
        <v>2475</v>
      </c>
      <c r="F56" s="0" t="s">
        <v>2476</v>
      </c>
      <c r="G56" s="0" t="n">
        <v>61177</v>
      </c>
      <c r="H56" s="0" t="s">
        <v>2477</v>
      </c>
      <c r="I56" s="0" t="s">
        <v>1831</v>
      </c>
      <c r="J56" s="0" t="s">
        <v>2351</v>
      </c>
      <c r="K56" s="0" t="s">
        <v>2351</v>
      </c>
      <c r="L56" s="0" t="s">
        <v>2478</v>
      </c>
    </row>
    <row r="57" customFormat="false" ht="15" hidden="false" customHeight="false" outlineLevel="0" collapsed="false">
      <c r="A57" s="0" t="s">
        <v>2479</v>
      </c>
      <c r="B57" s="0" t="s">
        <v>2440</v>
      </c>
      <c r="C57" s="0" t="s">
        <v>2341</v>
      </c>
      <c r="D57" s="0" t="s">
        <v>2480</v>
      </c>
      <c r="E57" s="0" t="s">
        <v>2481</v>
      </c>
      <c r="F57" s="0" t="s">
        <v>2482</v>
      </c>
      <c r="G57" s="0" t="n">
        <v>13280247</v>
      </c>
      <c r="H57" s="0" t="s">
        <v>2483</v>
      </c>
      <c r="I57" s="0" t="s">
        <v>2445</v>
      </c>
      <c r="J57" s="0" t="s">
        <v>2351</v>
      </c>
      <c r="K57" s="0" t="s">
        <v>2351</v>
      </c>
      <c r="L57" s="0" t="s">
        <v>2484</v>
      </c>
    </row>
    <row r="58" customFormat="false" ht="15" hidden="false" customHeight="false" outlineLevel="0" collapsed="false">
      <c r="A58" s="0" t="s">
        <v>2015</v>
      </c>
      <c r="B58" s="0" t="s">
        <v>222</v>
      </c>
      <c r="C58" s="0" t="s">
        <v>2341</v>
      </c>
      <c r="D58" s="0" t="s">
        <v>2485</v>
      </c>
      <c r="E58" s="0" t="s">
        <v>223</v>
      </c>
      <c r="F58" s="0" t="s">
        <v>2486</v>
      </c>
      <c r="G58" s="0" t="n">
        <v>1881532</v>
      </c>
      <c r="H58" s="0" t="s">
        <v>2487</v>
      </c>
      <c r="I58" s="0" t="s">
        <v>1938</v>
      </c>
      <c r="J58" s="0" t="s">
        <v>2345</v>
      </c>
      <c r="K58" s="0" t="s">
        <v>2351</v>
      </c>
      <c r="L58" s="0" t="s">
        <v>2488</v>
      </c>
    </row>
    <row r="59" customFormat="false" ht="15" hidden="false" customHeight="false" outlineLevel="0" collapsed="false">
      <c r="A59" s="0" t="s">
        <v>2025</v>
      </c>
      <c r="B59" s="0" t="s">
        <v>77</v>
      </c>
      <c r="C59" s="0" t="s">
        <v>2341</v>
      </c>
      <c r="D59" s="0" t="s">
        <v>2368</v>
      </c>
      <c r="E59" s="0" t="s">
        <v>83</v>
      </c>
      <c r="F59" s="0" t="s">
        <v>2489</v>
      </c>
      <c r="G59" s="0" t="n">
        <v>3461524</v>
      </c>
      <c r="H59" s="0" t="s">
        <v>2490</v>
      </c>
      <c r="I59" s="0" t="s">
        <v>1938</v>
      </c>
      <c r="J59" s="0" t="s">
        <v>2345</v>
      </c>
      <c r="K59" s="0" t="s">
        <v>2345</v>
      </c>
      <c r="L59" s="0" t="s">
        <v>2491</v>
      </c>
    </row>
    <row r="60" customFormat="false" ht="15" hidden="false" customHeight="false" outlineLevel="0" collapsed="false">
      <c r="A60" s="0" t="s">
        <v>2035</v>
      </c>
      <c r="B60" s="0" t="s">
        <v>77</v>
      </c>
      <c r="C60" s="0" t="s">
        <v>2341</v>
      </c>
      <c r="D60" s="0" t="s">
        <v>2368</v>
      </c>
      <c r="E60" s="0" t="s">
        <v>86</v>
      </c>
      <c r="F60" s="0" t="s">
        <v>2492</v>
      </c>
      <c r="G60" s="0" t="n">
        <v>11919653</v>
      </c>
      <c r="H60" s="0" t="s">
        <v>2490</v>
      </c>
      <c r="I60" s="0" t="s">
        <v>1938</v>
      </c>
      <c r="J60" s="0" t="s">
        <v>2345</v>
      </c>
      <c r="K60" s="0" t="s">
        <v>2345</v>
      </c>
      <c r="L60" s="0" t="s">
        <v>2493</v>
      </c>
    </row>
    <row r="61" customFormat="false" ht="15" hidden="false" customHeight="false" outlineLevel="0" collapsed="false">
      <c r="A61" s="0" t="s">
        <v>2044</v>
      </c>
      <c r="B61" s="0" t="s">
        <v>77</v>
      </c>
      <c r="C61" s="0" t="s">
        <v>2341</v>
      </c>
      <c r="D61" s="0" t="s">
        <v>2368</v>
      </c>
      <c r="E61" s="0" t="s">
        <v>88</v>
      </c>
      <c r="F61" s="0" t="s">
        <v>2494</v>
      </c>
      <c r="G61" s="0" t="n">
        <v>7018142</v>
      </c>
      <c r="H61" s="0" t="s">
        <v>2490</v>
      </c>
      <c r="I61" s="0" t="s">
        <v>1938</v>
      </c>
      <c r="J61" s="0" t="s">
        <v>2345</v>
      </c>
      <c r="K61" s="0" t="s">
        <v>2345</v>
      </c>
      <c r="L61" s="0" t="s">
        <v>2495</v>
      </c>
    </row>
    <row r="62" customFormat="false" ht="15" hidden="false" customHeight="false" outlineLevel="0" collapsed="false">
      <c r="A62" s="0" t="s">
        <v>2053</v>
      </c>
      <c r="B62" s="0" t="s">
        <v>77</v>
      </c>
      <c r="C62" s="0" t="s">
        <v>2341</v>
      </c>
      <c r="D62" s="0" t="s">
        <v>2368</v>
      </c>
      <c r="E62" s="0" t="s">
        <v>94</v>
      </c>
      <c r="F62" s="0" t="s">
        <v>2496</v>
      </c>
      <c r="G62" s="0" t="n">
        <v>3083669</v>
      </c>
      <c r="H62" s="0" t="s">
        <v>2490</v>
      </c>
      <c r="I62" s="0" t="s">
        <v>1938</v>
      </c>
      <c r="J62" s="0" t="s">
        <v>2345</v>
      </c>
      <c r="K62" s="0" t="s">
        <v>2345</v>
      </c>
      <c r="L62" s="0" t="s">
        <v>2497</v>
      </c>
    </row>
    <row r="63" customFormat="false" ht="15" hidden="false" customHeight="false" outlineLevel="0" collapsed="false">
      <c r="A63" s="0" t="s">
        <v>2498</v>
      </c>
      <c r="B63" s="0" t="s">
        <v>201</v>
      </c>
      <c r="C63" s="0" t="s">
        <v>2341</v>
      </c>
      <c r="D63" s="0" t="s">
        <v>2368</v>
      </c>
      <c r="E63" s="0" t="s">
        <v>202</v>
      </c>
      <c r="F63" s="0" t="s">
        <v>2499</v>
      </c>
      <c r="G63" s="0" t="n">
        <v>118779</v>
      </c>
      <c r="H63" s="0" t="s">
        <v>2500</v>
      </c>
      <c r="I63" s="0" t="s">
        <v>1831</v>
      </c>
      <c r="J63" s="0" t="s">
        <v>2433</v>
      </c>
      <c r="K63" s="0" t="s">
        <v>2345</v>
      </c>
      <c r="L63" s="0" t="s">
        <v>2501</v>
      </c>
    </row>
    <row r="64" customFormat="false" ht="15" hidden="false" customHeight="false" outlineLevel="0" collapsed="false">
      <c r="A64" s="0" t="s">
        <v>2064</v>
      </c>
      <c r="B64" s="0" t="s">
        <v>77</v>
      </c>
      <c r="C64" s="0" t="s">
        <v>2341</v>
      </c>
      <c r="D64" s="0" t="s">
        <v>2368</v>
      </c>
      <c r="E64" s="0" t="s">
        <v>91</v>
      </c>
      <c r="F64" s="0" t="s">
        <v>2502</v>
      </c>
      <c r="G64" s="0" t="n">
        <v>9955657</v>
      </c>
      <c r="H64" s="0" t="s">
        <v>2503</v>
      </c>
      <c r="I64" s="0" t="s">
        <v>1938</v>
      </c>
      <c r="J64" s="0" t="s">
        <v>2345</v>
      </c>
      <c r="K64" s="0" t="s">
        <v>2345</v>
      </c>
      <c r="L64" s="0" t="s">
        <v>2504</v>
      </c>
    </row>
    <row r="65" customFormat="false" ht="15" hidden="false" customHeight="false" outlineLevel="0" collapsed="false">
      <c r="A65" s="0" t="s">
        <v>2074</v>
      </c>
      <c r="B65" s="0" t="s">
        <v>77</v>
      </c>
      <c r="C65" s="0" t="s">
        <v>2341</v>
      </c>
      <c r="D65" s="0" t="s">
        <v>2368</v>
      </c>
      <c r="E65" s="0" t="s">
        <v>96</v>
      </c>
      <c r="F65" s="0" t="s">
        <v>2505</v>
      </c>
      <c r="G65" s="0" t="n">
        <v>3421040</v>
      </c>
      <c r="H65" s="0" t="s">
        <v>2490</v>
      </c>
      <c r="I65" s="0" t="s">
        <v>1938</v>
      </c>
      <c r="J65" s="0" t="s">
        <v>2345</v>
      </c>
      <c r="K65" s="0" t="s">
        <v>2345</v>
      </c>
      <c r="L65" s="0" t="s">
        <v>2506</v>
      </c>
    </row>
    <row r="66" customFormat="false" ht="15" hidden="false" customHeight="false" outlineLevel="0" collapsed="false">
      <c r="A66" s="0" t="s">
        <v>2084</v>
      </c>
      <c r="B66" s="0" t="s">
        <v>201</v>
      </c>
      <c r="C66" s="0" t="s">
        <v>2341</v>
      </c>
      <c r="D66" s="0" t="s">
        <v>2368</v>
      </c>
      <c r="E66" s="0" t="s">
        <v>204</v>
      </c>
      <c r="F66" s="0" t="s">
        <v>2507</v>
      </c>
      <c r="G66" s="0" t="n">
        <v>2125633</v>
      </c>
      <c r="H66" s="0" t="s">
        <v>2508</v>
      </c>
      <c r="I66" s="0" t="s">
        <v>1938</v>
      </c>
      <c r="J66" s="0" t="s">
        <v>2345</v>
      </c>
      <c r="K66" s="0" t="s">
        <v>2345</v>
      </c>
      <c r="L66" s="0" t="s">
        <v>2509</v>
      </c>
    </row>
    <row r="67" customFormat="false" ht="15" hidden="false" customHeight="false" outlineLevel="0" collapsed="false">
      <c r="A67" s="0" t="s">
        <v>2095</v>
      </c>
      <c r="B67" s="0" t="s">
        <v>201</v>
      </c>
      <c r="C67" s="0" t="s">
        <v>2341</v>
      </c>
      <c r="D67" s="0" t="s">
        <v>2368</v>
      </c>
      <c r="E67" s="0" t="s">
        <v>205</v>
      </c>
      <c r="F67" s="0" t="s">
        <v>2510</v>
      </c>
      <c r="G67" s="0" t="n">
        <v>2190482</v>
      </c>
      <c r="H67" s="0" t="s">
        <v>2511</v>
      </c>
      <c r="I67" s="0" t="s">
        <v>1938</v>
      </c>
      <c r="J67" s="0" t="s">
        <v>2345</v>
      </c>
      <c r="K67" s="0" t="s">
        <v>2345</v>
      </c>
      <c r="L67" s="0" t="s">
        <v>2512</v>
      </c>
    </row>
    <row r="68" customFormat="false" ht="15" hidden="false" customHeight="false" outlineLevel="0" collapsed="false">
      <c r="A68" s="0" t="s">
        <v>2106</v>
      </c>
      <c r="B68" s="0" t="s">
        <v>201</v>
      </c>
      <c r="C68" s="0" t="s">
        <v>2341</v>
      </c>
      <c r="D68" s="0" t="s">
        <v>2368</v>
      </c>
      <c r="E68" s="0" t="s">
        <v>208</v>
      </c>
      <c r="F68" s="0" t="s">
        <v>2513</v>
      </c>
      <c r="G68" s="0" t="n">
        <v>1979550</v>
      </c>
      <c r="H68" s="0" t="s">
        <v>2511</v>
      </c>
      <c r="I68" s="0" t="s">
        <v>1938</v>
      </c>
      <c r="J68" s="0" t="s">
        <v>2345</v>
      </c>
      <c r="K68" s="0" t="s">
        <v>2345</v>
      </c>
      <c r="L68" s="0" t="s">
        <v>2514</v>
      </c>
    </row>
    <row r="69" customFormat="false" ht="15" hidden="false" customHeight="false" outlineLevel="0" collapsed="false">
      <c r="A69" s="0" t="s">
        <v>2120</v>
      </c>
      <c r="B69" s="0" t="s">
        <v>169</v>
      </c>
      <c r="C69" s="0" t="s">
        <v>2341</v>
      </c>
      <c r="D69" s="0" t="s">
        <v>2368</v>
      </c>
      <c r="E69" s="0" t="s">
        <v>171</v>
      </c>
      <c r="F69" s="0" t="s">
        <v>2515</v>
      </c>
      <c r="G69" s="0" t="n">
        <v>4375616</v>
      </c>
      <c r="H69" s="0" t="s">
        <v>2511</v>
      </c>
      <c r="I69" s="0" t="s">
        <v>1938</v>
      </c>
      <c r="J69" s="0" t="s">
        <v>2345</v>
      </c>
      <c r="K69" s="0" t="s">
        <v>2345</v>
      </c>
      <c r="L69" s="0" t="s">
        <v>2516</v>
      </c>
    </row>
    <row r="70" customFormat="false" ht="15" hidden="false" customHeight="false" outlineLevel="0" collapsed="false">
      <c r="A70" s="0" t="s">
        <v>2129</v>
      </c>
      <c r="B70" s="0" t="s">
        <v>169</v>
      </c>
      <c r="C70" s="0" t="s">
        <v>2341</v>
      </c>
      <c r="D70" s="0" t="s">
        <v>2368</v>
      </c>
      <c r="E70" s="0" t="s">
        <v>175</v>
      </c>
      <c r="F70" s="0" t="s">
        <v>2517</v>
      </c>
      <c r="G70" s="0" t="n">
        <v>4310507</v>
      </c>
      <c r="H70" s="0" t="s">
        <v>2490</v>
      </c>
      <c r="I70" s="0" t="s">
        <v>1938</v>
      </c>
      <c r="J70" s="0" t="s">
        <v>2345</v>
      </c>
      <c r="K70" s="0" t="s">
        <v>2345</v>
      </c>
      <c r="L70" s="0" t="s">
        <v>2518</v>
      </c>
    </row>
    <row r="71" customFormat="false" ht="15" hidden="false" customHeight="false" outlineLevel="0" collapsed="false">
      <c r="A71" s="0" t="s">
        <v>2140</v>
      </c>
      <c r="B71" s="0" t="s">
        <v>169</v>
      </c>
      <c r="C71" s="0" t="s">
        <v>2341</v>
      </c>
      <c r="D71" s="0" t="s">
        <v>2368</v>
      </c>
      <c r="E71" s="0" t="s">
        <v>176</v>
      </c>
      <c r="F71" s="0" t="s">
        <v>2519</v>
      </c>
      <c r="G71" s="0" t="n">
        <v>4994949</v>
      </c>
      <c r="H71" s="0" t="s">
        <v>2490</v>
      </c>
      <c r="I71" s="0" t="s">
        <v>1938</v>
      </c>
      <c r="J71" s="0" t="s">
        <v>2345</v>
      </c>
      <c r="K71" s="0" t="s">
        <v>2345</v>
      </c>
      <c r="L71" s="0" t="s">
        <v>2520</v>
      </c>
    </row>
    <row r="72" customFormat="false" ht="15" hidden="false" customHeight="false" outlineLevel="0" collapsed="false">
      <c r="A72" s="0" t="s">
        <v>2148</v>
      </c>
      <c r="B72" s="0" t="s">
        <v>201</v>
      </c>
      <c r="C72" s="0" t="s">
        <v>2341</v>
      </c>
      <c r="D72" s="0" t="s">
        <v>2368</v>
      </c>
      <c r="E72" s="0" t="s">
        <v>206</v>
      </c>
      <c r="F72" s="0" t="s">
        <v>2521</v>
      </c>
      <c r="G72" s="0" t="n">
        <v>2352005</v>
      </c>
      <c r="H72" s="0" t="s">
        <v>2522</v>
      </c>
      <c r="I72" s="0" t="s">
        <v>1938</v>
      </c>
      <c r="J72" s="0" t="s">
        <v>2345</v>
      </c>
      <c r="K72" s="0" t="s">
        <v>2345</v>
      </c>
      <c r="L72" s="0" t="s">
        <v>2523</v>
      </c>
    </row>
    <row r="73" customFormat="false" ht="15" hidden="false" customHeight="false" outlineLevel="0" collapsed="false">
      <c r="A73" s="0" t="s">
        <v>2156</v>
      </c>
      <c r="B73" s="0" t="s">
        <v>201</v>
      </c>
      <c r="C73" s="0" t="s">
        <v>2341</v>
      </c>
      <c r="D73" s="0" t="s">
        <v>2368</v>
      </c>
      <c r="E73" s="0" t="s">
        <v>210</v>
      </c>
      <c r="F73" s="0" t="s">
        <v>2524</v>
      </c>
      <c r="G73" s="0" t="n">
        <v>2391528</v>
      </c>
      <c r="H73" s="0" t="s">
        <v>2525</v>
      </c>
      <c r="I73" s="0" t="s">
        <v>1938</v>
      </c>
      <c r="J73" s="0" t="s">
        <v>2345</v>
      </c>
      <c r="K73" s="0" t="s">
        <v>2345</v>
      </c>
      <c r="L73" s="0" t="s">
        <v>2526</v>
      </c>
    </row>
    <row r="74" customFormat="false" ht="15" hidden="false" customHeight="false" outlineLevel="0" collapsed="false">
      <c r="A74" s="0" t="s">
        <v>2166</v>
      </c>
      <c r="B74" s="0" t="s">
        <v>169</v>
      </c>
      <c r="C74" s="0" t="s">
        <v>2341</v>
      </c>
      <c r="D74" s="0" t="s">
        <v>2368</v>
      </c>
      <c r="E74" s="0" t="s">
        <v>172</v>
      </c>
      <c r="F74" s="0" t="s">
        <v>2527</v>
      </c>
      <c r="G74" s="0" t="n">
        <v>4588061</v>
      </c>
      <c r="H74" s="0" t="s">
        <v>2490</v>
      </c>
      <c r="I74" s="0" t="s">
        <v>1938</v>
      </c>
      <c r="J74" s="0" t="s">
        <v>2345</v>
      </c>
      <c r="K74" s="0" t="s">
        <v>2345</v>
      </c>
      <c r="L74" s="0" t="s">
        <v>2528</v>
      </c>
    </row>
    <row r="75" customFormat="false" ht="15" hidden="false" customHeight="false" outlineLevel="0" collapsed="false">
      <c r="A75" s="0" t="s">
        <v>2175</v>
      </c>
      <c r="B75" s="0" t="s">
        <v>169</v>
      </c>
      <c r="C75" s="0" t="s">
        <v>2341</v>
      </c>
      <c r="D75" s="0" t="s">
        <v>2368</v>
      </c>
      <c r="E75" s="0" t="s">
        <v>173</v>
      </c>
      <c r="F75" s="0" t="s">
        <v>2529</v>
      </c>
      <c r="G75" s="0" t="n">
        <v>3855594</v>
      </c>
      <c r="H75" s="0" t="s">
        <v>2490</v>
      </c>
      <c r="I75" s="0" t="s">
        <v>1938</v>
      </c>
      <c r="J75" s="0" t="s">
        <v>2345</v>
      </c>
      <c r="K75" s="0" t="s">
        <v>2345</v>
      </c>
      <c r="L75" s="0" t="s">
        <v>2530</v>
      </c>
    </row>
    <row r="76" customFormat="false" ht="15" hidden="false" customHeight="false" outlineLevel="0" collapsed="false">
      <c r="A76" s="0" t="s">
        <v>2531</v>
      </c>
      <c r="B76" s="0" t="s">
        <v>125</v>
      </c>
      <c r="C76" s="0" t="s">
        <v>2341</v>
      </c>
      <c r="D76" s="0" t="s">
        <v>2394</v>
      </c>
      <c r="E76" s="0" t="s">
        <v>127</v>
      </c>
      <c r="F76" s="0" t="s">
        <v>2532</v>
      </c>
      <c r="G76" s="0" t="n">
        <v>5396793</v>
      </c>
      <c r="H76" s="0" t="s">
        <v>2533</v>
      </c>
      <c r="I76" s="0" t="s">
        <v>1831</v>
      </c>
      <c r="J76" s="0" t="s">
        <v>2433</v>
      </c>
      <c r="K76" s="0" t="s">
        <v>2345</v>
      </c>
      <c r="L76" s="0" t="s">
        <v>2534</v>
      </c>
    </row>
    <row r="77" customFormat="false" ht="15" hidden="false" customHeight="false" outlineLevel="0" collapsed="false">
      <c r="A77" s="0" t="s">
        <v>2184</v>
      </c>
      <c r="B77" s="0" t="s">
        <v>125</v>
      </c>
      <c r="C77" s="0" t="s">
        <v>2341</v>
      </c>
      <c r="D77" s="0" t="s">
        <v>2394</v>
      </c>
      <c r="E77" s="0" t="s">
        <v>2535</v>
      </c>
      <c r="F77" s="0" t="s">
        <v>2536</v>
      </c>
      <c r="G77" s="0" t="n">
        <v>4099447</v>
      </c>
      <c r="H77" s="0" t="s">
        <v>2537</v>
      </c>
      <c r="I77" s="0" t="s">
        <v>1938</v>
      </c>
      <c r="J77" s="0" t="s">
        <v>2345</v>
      </c>
      <c r="K77" s="0" t="s">
        <v>2351</v>
      </c>
      <c r="L77" s="0" t="s">
        <v>2538</v>
      </c>
    </row>
    <row r="78" customFormat="false" ht="15" hidden="false" customHeight="false" outlineLevel="0" collapsed="false">
      <c r="A78" s="0" t="s">
        <v>2194</v>
      </c>
      <c r="B78" s="0" t="s">
        <v>169</v>
      </c>
      <c r="C78" s="0" t="s">
        <v>2341</v>
      </c>
      <c r="D78" s="0" t="s">
        <v>2368</v>
      </c>
      <c r="E78" s="0" t="s">
        <v>177</v>
      </c>
      <c r="F78" s="0" t="s">
        <v>2539</v>
      </c>
      <c r="G78" s="0" t="n">
        <v>2615188</v>
      </c>
      <c r="H78" s="0" t="s">
        <v>2540</v>
      </c>
      <c r="I78" s="0" t="s">
        <v>1938</v>
      </c>
      <c r="J78" s="0" t="s">
        <v>2345</v>
      </c>
      <c r="K78" s="0" t="s">
        <v>2345</v>
      </c>
      <c r="L78" s="0" t="s">
        <v>2541</v>
      </c>
    </row>
    <row r="79" customFormat="false" ht="15" hidden="false" customHeight="false" outlineLevel="0" collapsed="false">
      <c r="A79" s="0" t="s">
        <v>2201</v>
      </c>
      <c r="B79" s="0" t="s">
        <v>136</v>
      </c>
      <c r="C79" s="0" t="s">
        <v>2341</v>
      </c>
      <c r="D79" s="0" t="s">
        <v>2368</v>
      </c>
      <c r="E79" s="0" t="s">
        <v>144</v>
      </c>
      <c r="F79" s="0" t="s">
        <v>2542</v>
      </c>
      <c r="G79" s="0" t="n">
        <v>4216797</v>
      </c>
      <c r="H79" s="0" t="s">
        <v>2490</v>
      </c>
      <c r="I79" s="0" t="s">
        <v>1938</v>
      </c>
      <c r="J79" s="0" t="s">
        <v>2345</v>
      </c>
      <c r="K79" s="0" t="s">
        <v>2345</v>
      </c>
      <c r="L79" s="0" t="s">
        <v>2543</v>
      </c>
    </row>
    <row r="80" customFormat="false" ht="15" hidden="false" customHeight="false" outlineLevel="0" collapsed="false">
      <c r="A80" s="0" t="s">
        <v>1735</v>
      </c>
      <c r="B80" s="0" t="s">
        <v>149</v>
      </c>
      <c r="C80" s="0" t="s">
        <v>2341</v>
      </c>
      <c r="D80" s="0" t="s">
        <v>2358</v>
      </c>
      <c r="E80" s="0" t="s">
        <v>2544</v>
      </c>
      <c r="F80" s="0" t="s">
        <v>2545</v>
      </c>
      <c r="G80" s="0" t="n">
        <v>1218255</v>
      </c>
      <c r="H80" s="0" t="s">
        <v>2546</v>
      </c>
      <c r="I80" s="0" t="s">
        <v>2547</v>
      </c>
      <c r="J80" s="0" t="s">
        <v>2548</v>
      </c>
      <c r="K80" s="0" t="s">
        <v>2351</v>
      </c>
      <c r="L80" s="0" t="s">
        <v>2549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27"/>
    <col collapsed="false" customWidth="true" hidden="false" outlineLevel="0" max="6" min="5" style="0" width="12"/>
    <col collapsed="false" customWidth="true" hidden="false" outlineLevel="0" max="7" min="7" style="0" width="17"/>
    <col collapsed="false" customWidth="true" hidden="false" outlineLevel="0" max="8" min="8" style="0" width="23"/>
  </cols>
  <sheetData>
    <row r="1" customFormat="false" ht="15" hidden="false" customHeight="false" outlineLevel="0" collapsed="false">
      <c r="A1" s="2" t="s">
        <v>2550</v>
      </c>
    </row>
    <row r="3" customFormat="false" ht="15" hidden="false" customHeight="false" outlineLevel="0" collapsed="false">
      <c r="A3" s="3" t="s">
        <v>50</v>
      </c>
      <c r="B3" s="3" t="s">
        <v>51</v>
      </c>
      <c r="C3" s="3" t="s">
        <v>59</v>
      </c>
      <c r="D3" s="3" t="s">
        <v>2551</v>
      </c>
      <c r="E3" s="3" t="s">
        <v>2552</v>
      </c>
      <c r="F3" s="3" t="s">
        <v>2553</v>
      </c>
      <c r="G3" s="3" t="s">
        <v>2554</v>
      </c>
      <c r="H3" s="3" t="s">
        <v>2555</v>
      </c>
    </row>
    <row r="4" customFormat="false" ht="15" hidden="false" customHeight="false" outlineLevel="0" collapsed="false">
      <c r="A4" s="0" t="s">
        <v>77</v>
      </c>
      <c r="B4" s="0" t="n">
        <v>2014</v>
      </c>
      <c r="C4" s="0" t="n">
        <v>1704094.012</v>
      </c>
      <c r="D4" s="0" t="n">
        <v>1704094.012</v>
      </c>
      <c r="E4" s="0" t="n">
        <v>0</v>
      </c>
      <c r="F4" s="0" t="s">
        <v>437</v>
      </c>
      <c r="G4" s="0" t="s">
        <v>2556</v>
      </c>
      <c r="H4" s="0" t="s">
        <v>81</v>
      </c>
    </row>
    <row r="5" customFormat="false" ht="15" hidden="false" customHeight="false" outlineLevel="0" collapsed="false">
      <c r="A5" s="0" t="s">
        <v>77</v>
      </c>
      <c r="B5" s="0" t="n">
        <v>2015</v>
      </c>
      <c r="C5" s="0" t="n">
        <v>1981955.73</v>
      </c>
      <c r="D5" s="0" t="n">
        <v>1981955.73</v>
      </c>
      <c r="E5" s="0" t="n">
        <v>0</v>
      </c>
      <c r="F5" s="0" t="s">
        <v>437</v>
      </c>
      <c r="G5" s="0" t="s">
        <v>84</v>
      </c>
      <c r="H5" s="0" t="s">
        <v>81</v>
      </c>
    </row>
    <row r="6" customFormat="false" ht="15" hidden="false" customHeight="false" outlineLevel="0" collapsed="false">
      <c r="A6" s="0" t="s">
        <v>77</v>
      </c>
      <c r="B6" s="0" t="n">
        <v>2016</v>
      </c>
      <c r="C6" s="0" t="n">
        <v>2411944.061</v>
      </c>
      <c r="D6" s="0" t="n">
        <v>2411944.061</v>
      </c>
      <c r="E6" s="0" t="n">
        <v>0</v>
      </c>
      <c r="F6" s="0" t="s">
        <v>437</v>
      </c>
      <c r="G6" s="0" t="s">
        <v>87</v>
      </c>
      <c r="H6" s="0" t="s">
        <v>84</v>
      </c>
    </row>
    <row r="7" customFormat="false" ht="15" hidden="false" customHeight="false" outlineLevel="0" collapsed="false">
      <c r="A7" s="0" t="s">
        <v>77</v>
      </c>
      <c r="B7" s="0" t="n">
        <v>2017</v>
      </c>
      <c r="C7" s="0" t="n">
        <v>3094960.515</v>
      </c>
      <c r="D7" s="0" t="n">
        <v>3094960.515</v>
      </c>
      <c r="E7" s="0" t="n">
        <v>0</v>
      </c>
      <c r="F7" s="0" t="s">
        <v>437</v>
      </c>
      <c r="G7" s="0" t="s">
        <v>89</v>
      </c>
      <c r="H7" s="0" t="s">
        <v>87</v>
      </c>
    </row>
    <row r="8" customFormat="false" ht="15" hidden="false" customHeight="false" outlineLevel="0" collapsed="false">
      <c r="A8" s="0" t="s">
        <v>77</v>
      </c>
      <c r="B8" s="0" t="n">
        <v>2019</v>
      </c>
      <c r="C8" s="0" t="n">
        <v>3968114.609</v>
      </c>
      <c r="D8" s="0" t="n">
        <v>3968114.609</v>
      </c>
      <c r="E8" s="0" t="n">
        <v>0</v>
      </c>
      <c r="F8" s="0" t="s">
        <v>437</v>
      </c>
      <c r="G8" s="0" t="s">
        <v>93</v>
      </c>
      <c r="H8" s="0" t="s">
        <v>92</v>
      </c>
    </row>
    <row r="9" customFormat="false" ht="15" hidden="false" customHeight="false" outlineLevel="0" collapsed="false">
      <c r="A9" s="0" t="s">
        <v>77</v>
      </c>
      <c r="B9" s="0" t="n">
        <v>2020</v>
      </c>
      <c r="C9" s="0" t="n">
        <v>6307588.216</v>
      </c>
      <c r="D9" s="0" t="n">
        <v>6311041.282</v>
      </c>
      <c r="E9" s="0" t="n">
        <v>-3453.066</v>
      </c>
      <c r="F9" s="0" t="s">
        <v>457</v>
      </c>
      <c r="G9" s="0" t="s">
        <v>95</v>
      </c>
      <c r="H9" s="0" t="s">
        <v>93</v>
      </c>
    </row>
    <row r="10" customFormat="false" ht="15" hidden="false" customHeight="false" outlineLevel="0" collapsed="false">
      <c r="A10" s="0" t="s">
        <v>77</v>
      </c>
      <c r="B10" s="0" t="n">
        <v>2021</v>
      </c>
      <c r="C10" s="0" t="n">
        <v>7624979.724</v>
      </c>
      <c r="D10" s="0" t="n">
        <v>7624979.724</v>
      </c>
      <c r="E10" s="0" t="n">
        <v>0</v>
      </c>
      <c r="F10" s="0" t="s">
        <v>437</v>
      </c>
      <c r="G10" s="0" t="s">
        <v>97</v>
      </c>
      <c r="H10" s="0" t="s">
        <v>95</v>
      </c>
    </row>
    <row r="11" customFormat="false" ht="15" hidden="false" customHeight="false" outlineLevel="0" collapsed="false">
      <c r="A11" s="0" t="s">
        <v>77</v>
      </c>
      <c r="B11" s="0" t="n">
        <v>2022</v>
      </c>
      <c r="C11" s="0" t="n">
        <v>9660761</v>
      </c>
      <c r="D11" s="0" t="n">
        <v>9660760.556</v>
      </c>
      <c r="E11" s="0" t="n">
        <v>0.444</v>
      </c>
      <c r="F11" s="0" t="s">
        <v>437</v>
      </c>
      <c r="G11" s="0" t="s">
        <v>99</v>
      </c>
      <c r="H11" s="0" t="s">
        <v>97</v>
      </c>
    </row>
    <row r="12" customFormat="false" ht="15" hidden="false" customHeight="false" outlineLevel="0" collapsed="false">
      <c r="A12" s="0" t="s">
        <v>100</v>
      </c>
      <c r="B12" s="0" t="n">
        <v>2014</v>
      </c>
      <c r="C12" s="0" t="n">
        <v>1460811</v>
      </c>
      <c r="D12" s="0" t="n">
        <v>1460811</v>
      </c>
      <c r="E12" s="0" t="n">
        <v>0</v>
      </c>
      <c r="F12" s="0" t="s">
        <v>437</v>
      </c>
      <c r="G12" s="0" t="s">
        <v>105</v>
      </c>
      <c r="H12" s="0" t="s">
        <v>103</v>
      </c>
    </row>
    <row r="13" customFormat="false" ht="15" hidden="false" customHeight="false" outlineLevel="0" collapsed="false">
      <c r="A13" s="0" t="s">
        <v>100</v>
      </c>
      <c r="B13" s="0" t="n">
        <v>2015</v>
      </c>
      <c r="C13" s="0" t="n">
        <v>1772922</v>
      </c>
      <c r="D13" s="0" t="n">
        <v>1772922</v>
      </c>
      <c r="E13" s="0" t="n">
        <v>0</v>
      </c>
      <c r="F13" s="0" t="s">
        <v>437</v>
      </c>
      <c r="G13" s="0" t="s">
        <v>84</v>
      </c>
      <c r="H13" s="0" t="s">
        <v>105</v>
      </c>
    </row>
    <row r="14" customFormat="false" ht="15" hidden="false" customHeight="false" outlineLevel="0" collapsed="false">
      <c r="A14" s="0" t="s">
        <v>100</v>
      </c>
      <c r="B14" s="0" t="n">
        <v>2017</v>
      </c>
      <c r="C14" s="0" t="n">
        <v>1808503</v>
      </c>
      <c r="D14" s="0" t="n">
        <v>1808503</v>
      </c>
      <c r="E14" s="0" t="n">
        <v>0</v>
      </c>
      <c r="F14" s="0" t="s">
        <v>437</v>
      </c>
      <c r="G14" s="0" t="s">
        <v>2556</v>
      </c>
      <c r="H14" s="0" t="s">
        <v>81</v>
      </c>
    </row>
    <row r="15" customFormat="false" ht="15" hidden="false" customHeight="false" outlineLevel="0" collapsed="false">
      <c r="A15" s="0" t="s">
        <v>100</v>
      </c>
      <c r="B15" s="0" t="n">
        <v>2018</v>
      </c>
      <c r="C15" s="0" t="n">
        <v>1829761</v>
      </c>
      <c r="D15" s="0" t="n">
        <v>1829761</v>
      </c>
      <c r="E15" s="0" t="n">
        <v>0</v>
      </c>
      <c r="F15" s="0" t="s">
        <v>437</v>
      </c>
      <c r="G15" s="0" t="s">
        <v>109</v>
      </c>
      <c r="H15" s="0" t="s">
        <v>81</v>
      </c>
    </row>
    <row r="16" customFormat="false" ht="15" hidden="false" customHeight="false" outlineLevel="0" collapsed="false">
      <c r="A16" s="0" t="s">
        <v>100</v>
      </c>
      <c r="B16" s="0" t="n">
        <v>2019</v>
      </c>
      <c r="C16" s="0" t="n">
        <v>1927889</v>
      </c>
      <c r="D16" s="0" t="n">
        <v>1956830</v>
      </c>
      <c r="E16" s="0" t="n">
        <v>-28941</v>
      </c>
      <c r="F16" s="0" t="s">
        <v>457</v>
      </c>
      <c r="G16" s="0" t="s">
        <v>93</v>
      </c>
      <c r="H16" s="0" t="s">
        <v>109</v>
      </c>
    </row>
    <row r="17" customFormat="false" ht="15" hidden="false" customHeight="false" outlineLevel="0" collapsed="false">
      <c r="A17" s="0" t="s">
        <v>100</v>
      </c>
      <c r="B17" s="0" t="n">
        <v>2020</v>
      </c>
      <c r="C17" s="0" t="n">
        <v>1991040</v>
      </c>
      <c r="D17" s="0" t="n">
        <v>1991040</v>
      </c>
      <c r="E17" s="0" t="n">
        <v>0</v>
      </c>
      <c r="F17" s="0" t="s">
        <v>437</v>
      </c>
      <c r="G17" s="0" t="s">
        <v>95</v>
      </c>
      <c r="H17" s="0" t="s">
        <v>93</v>
      </c>
    </row>
    <row r="18" customFormat="false" ht="15" hidden="false" customHeight="false" outlineLevel="0" collapsed="false">
      <c r="A18" s="0" t="s">
        <v>100</v>
      </c>
      <c r="B18" s="0" t="n">
        <v>2021</v>
      </c>
      <c r="C18" s="0" t="n">
        <v>2186711</v>
      </c>
      <c r="D18" s="0" t="n">
        <v>2186712</v>
      </c>
      <c r="E18" s="0" t="n">
        <v>-1</v>
      </c>
      <c r="F18" s="0" t="s">
        <v>457</v>
      </c>
      <c r="G18" s="0" t="s">
        <v>97</v>
      </c>
      <c r="H18" s="0" t="s">
        <v>95</v>
      </c>
    </row>
    <row r="19" customFormat="false" ht="15" hidden="false" customHeight="false" outlineLevel="0" collapsed="false">
      <c r="A19" s="0" t="s">
        <v>100</v>
      </c>
      <c r="B19" s="0" t="n">
        <v>2022</v>
      </c>
      <c r="C19" s="0" t="n">
        <v>2475079</v>
      </c>
      <c r="D19" s="0" t="n">
        <v>2475079</v>
      </c>
      <c r="E19" s="0" t="n">
        <v>0</v>
      </c>
      <c r="F19" s="0" t="s">
        <v>437</v>
      </c>
      <c r="G19" s="0" t="s">
        <v>114</v>
      </c>
      <c r="H19" s="0" t="s">
        <v>97</v>
      </c>
    </row>
    <row r="20" customFormat="false" ht="15" hidden="false" customHeight="false" outlineLevel="0" collapsed="false">
      <c r="A20" s="0" t="s">
        <v>115</v>
      </c>
      <c r="B20" s="0" t="n">
        <v>2014</v>
      </c>
      <c r="C20" s="0" t="n">
        <v>1081217</v>
      </c>
      <c r="D20" s="0" t="n">
        <v>1081217</v>
      </c>
      <c r="E20" s="0" t="n">
        <v>0</v>
      </c>
      <c r="F20" s="0" t="s">
        <v>437</v>
      </c>
      <c r="G20" s="0" t="s">
        <v>105</v>
      </c>
      <c r="H20" s="0" t="s">
        <v>81</v>
      </c>
    </row>
    <row r="21" customFormat="false" ht="15" hidden="false" customHeight="false" outlineLevel="0" collapsed="false">
      <c r="A21" s="0" t="s">
        <v>115</v>
      </c>
      <c r="B21" s="0" t="n">
        <v>2015</v>
      </c>
      <c r="C21" s="0" t="n">
        <v>1187025</v>
      </c>
      <c r="D21" s="0" t="n">
        <v>1187025</v>
      </c>
      <c r="E21" s="0" t="n">
        <v>0</v>
      </c>
      <c r="F21" s="0" t="s">
        <v>437</v>
      </c>
      <c r="G21" s="0" t="s">
        <v>84</v>
      </c>
      <c r="H21" s="0" t="s">
        <v>105</v>
      </c>
    </row>
    <row r="22" customFormat="false" ht="15" hidden="false" customHeight="false" outlineLevel="0" collapsed="false">
      <c r="A22" s="0" t="s">
        <v>115</v>
      </c>
      <c r="B22" s="0" t="n">
        <v>2016</v>
      </c>
      <c r="C22" s="0" t="n">
        <v>1231722</v>
      </c>
      <c r="D22" s="0" t="n">
        <v>1231722</v>
      </c>
      <c r="E22" s="0" t="n">
        <v>0</v>
      </c>
      <c r="F22" s="0" t="s">
        <v>437</v>
      </c>
      <c r="G22" s="0" t="s">
        <v>87</v>
      </c>
      <c r="H22" s="0" t="s">
        <v>84</v>
      </c>
    </row>
    <row r="23" customFormat="false" ht="15" hidden="false" customHeight="false" outlineLevel="0" collapsed="false">
      <c r="A23" s="0" t="s">
        <v>115</v>
      </c>
      <c r="B23" s="0" t="n">
        <v>2017</v>
      </c>
      <c r="C23" s="0" t="n">
        <v>1298141</v>
      </c>
      <c r="D23" s="0" t="n">
        <v>1298141</v>
      </c>
      <c r="E23" s="0" t="n">
        <v>0</v>
      </c>
      <c r="F23" s="0" t="s">
        <v>437</v>
      </c>
      <c r="G23" s="0" t="s">
        <v>89</v>
      </c>
      <c r="H23" s="0" t="s">
        <v>87</v>
      </c>
    </row>
    <row r="24" customFormat="false" ht="15" hidden="false" customHeight="false" outlineLevel="0" collapsed="false">
      <c r="A24" s="0" t="s">
        <v>115</v>
      </c>
      <c r="B24" s="0" t="n">
        <v>2019</v>
      </c>
      <c r="C24" s="0" t="n">
        <v>1719883</v>
      </c>
      <c r="D24" s="0" t="n">
        <v>1719883</v>
      </c>
      <c r="E24" s="0" t="n">
        <v>0</v>
      </c>
      <c r="F24" s="0" t="s">
        <v>437</v>
      </c>
      <c r="G24" s="0" t="s">
        <v>2556</v>
      </c>
      <c r="H24" s="0" t="s">
        <v>81</v>
      </c>
    </row>
    <row r="25" customFormat="false" ht="15" hidden="false" customHeight="false" outlineLevel="0" collapsed="false">
      <c r="A25" s="0" t="s">
        <v>115</v>
      </c>
      <c r="B25" s="0" t="n">
        <v>2020</v>
      </c>
      <c r="C25" s="0" t="n">
        <v>2114037</v>
      </c>
      <c r="D25" s="0" t="n">
        <v>2114037</v>
      </c>
      <c r="E25" s="0" t="n">
        <v>0</v>
      </c>
      <c r="F25" s="0" t="s">
        <v>437</v>
      </c>
      <c r="G25" s="0" t="s">
        <v>95</v>
      </c>
      <c r="H25" s="0" t="s">
        <v>81</v>
      </c>
    </row>
    <row r="26" customFormat="false" ht="15" hidden="false" customHeight="false" outlineLevel="0" collapsed="false">
      <c r="A26" s="0" t="s">
        <v>115</v>
      </c>
      <c r="B26" s="0" t="n">
        <v>2022</v>
      </c>
      <c r="C26" s="0" t="n">
        <v>3280454</v>
      </c>
      <c r="D26" s="0" t="n">
        <v>3280454</v>
      </c>
      <c r="E26" s="0" t="n">
        <v>0</v>
      </c>
      <c r="F26" s="0" t="s">
        <v>437</v>
      </c>
      <c r="G26" s="0" t="s">
        <v>114</v>
      </c>
      <c r="H26" s="0" t="s">
        <v>124</v>
      </c>
    </row>
    <row r="27" customFormat="false" ht="15" hidden="false" customHeight="false" outlineLevel="0" collapsed="false">
      <c r="A27" s="0" t="s">
        <v>125</v>
      </c>
      <c r="B27" s="0" t="n">
        <v>2014</v>
      </c>
      <c r="C27" s="0" t="n">
        <v>3246579</v>
      </c>
      <c r="D27" s="0" t="n">
        <v>3246579</v>
      </c>
      <c r="E27" s="0" t="n">
        <v>0</v>
      </c>
      <c r="F27" s="0" t="s">
        <v>437</v>
      </c>
      <c r="G27" s="0" t="s">
        <v>2556</v>
      </c>
      <c r="H27" s="0" t="s">
        <v>81</v>
      </c>
    </row>
    <row r="28" customFormat="false" ht="15" hidden="false" customHeight="false" outlineLevel="0" collapsed="false">
      <c r="A28" s="0" t="s">
        <v>125</v>
      </c>
      <c r="B28" s="0" t="n">
        <v>2015</v>
      </c>
      <c r="C28" s="0" t="n">
        <v>3490871</v>
      </c>
      <c r="D28" s="0" t="n">
        <v>3490871</v>
      </c>
      <c r="E28" s="0" t="n">
        <v>0</v>
      </c>
      <c r="F28" s="0" t="s">
        <v>437</v>
      </c>
      <c r="G28" s="0" t="s">
        <v>84</v>
      </c>
      <c r="H28" s="0" t="s">
        <v>81</v>
      </c>
    </row>
    <row r="29" customFormat="false" ht="15" hidden="false" customHeight="false" outlineLevel="0" collapsed="false">
      <c r="A29" s="0" t="s">
        <v>125</v>
      </c>
      <c r="B29" s="0" t="n">
        <v>2017</v>
      </c>
      <c r="C29" s="0" t="n">
        <v>3557782</v>
      </c>
      <c r="D29" s="0" t="n">
        <v>3557782</v>
      </c>
      <c r="E29" s="0" t="n">
        <v>0</v>
      </c>
      <c r="F29" s="0" t="s">
        <v>437</v>
      </c>
      <c r="G29" s="0" t="s">
        <v>130</v>
      </c>
      <c r="H29" s="0" t="s">
        <v>129</v>
      </c>
    </row>
    <row r="30" customFormat="false" ht="15" hidden="false" customHeight="false" outlineLevel="0" collapsed="false">
      <c r="A30" s="0" t="s">
        <v>125</v>
      </c>
      <c r="B30" s="0" t="n">
        <v>2018</v>
      </c>
      <c r="C30" s="0" t="n">
        <v>3777039</v>
      </c>
      <c r="D30" s="0" t="n">
        <v>3777039</v>
      </c>
      <c r="E30" s="0" t="n">
        <v>0</v>
      </c>
      <c r="F30" s="0" t="s">
        <v>437</v>
      </c>
      <c r="G30" s="0" t="s">
        <v>132</v>
      </c>
      <c r="H30" s="0" t="s">
        <v>130</v>
      </c>
    </row>
    <row r="31" customFormat="false" ht="15" hidden="false" customHeight="false" outlineLevel="0" collapsed="false">
      <c r="A31" s="0" t="s">
        <v>125</v>
      </c>
      <c r="B31" s="0" t="n">
        <v>2019</v>
      </c>
      <c r="C31" s="0" t="n">
        <v>3985907</v>
      </c>
      <c r="D31" s="0" t="n">
        <v>3985907</v>
      </c>
      <c r="E31" s="0" t="n">
        <v>0</v>
      </c>
      <c r="F31" s="0" t="s">
        <v>437</v>
      </c>
      <c r="G31" s="0" t="s">
        <v>133</v>
      </c>
      <c r="H31" s="0" t="s">
        <v>132</v>
      </c>
    </row>
    <row r="32" customFormat="false" ht="15" hidden="false" customHeight="false" outlineLevel="0" collapsed="false">
      <c r="A32" s="0" t="s">
        <v>136</v>
      </c>
      <c r="B32" s="0" t="n">
        <v>2014</v>
      </c>
      <c r="C32" s="0" t="n">
        <v>1904366</v>
      </c>
      <c r="D32" s="0" t="n">
        <v>1904366</v>
      </c>
      <c r="E32" s="0" t="n">
        <v>0</v>
      </c>
      <c r="F32" s="0" t="s">
        <v>437</v>
      </c>
      <c r="G32" s="0" t="s">
        <v>2556</v>
      </c>
      <c r="H32" s="0" t="s">
        <v>81</v>
      </c>
    </row>
    <row r="33" customFormat="false" ht="15" hidden="false" customHeight="false" outlineLevel="0" collapsed="false">
      <c r="A33" s="0" t="s">
        <v>136</v>
      </c>
      <c r="B33" s="0" t="n">
        <v>2015</v>
      </c>
      <c r="C33" s="0" t="n">
        <v>2126608.312</v>
      </c>
      <c r="D33" s="0" t="n">
        <v>2126608</v>
      </c>
      <c r="E33" s="0" t="n">
        <v>0.312</v>
      </c>
      <c r="F33" s="0" t="s">
        <v>437</v>
      </c>
      <c r="G33" s="0" t="s">
        <v>84</v>
      </c>
      <c r="H33" s="0" t="s">
        <v>81</v>
      </c>
    </row>
    <row r="34" customFormat="false" ht="15" hidden="false" customHeight="false" outlineLevel="0" collapsed="false">
      <c r="A34" s="0" t="s">
        <v>136</v>
      </c>
      <c r="B34" s="0" t="n">
        <v>2016</v>
      </c>
      <c r="C34" s="0" t="n">
        <v>2277629.224</v>
      </c>
      <c r="D34" s="0" t="n">
        <v>2277629.224</v>
      </c>
      <c r="E34" s="0" t="n">
        <v>0</v>
      </c>
      <c r="F34" s="0" t="s">
        <v>437</v>
      </c>
      <c r="G34" s="0" t="s">
        <v>140</v>
      </c>
      <c r="H34" s="0" t="s">
        <v>84</v>
      </c>
    </row>
    <row r="35" customFormat="false" ht="15" hidden="false" customHeight="false" outlineLevel="0" collapsed="false">
      <c r="A35" s="0" t="s">
        <v>136</v>
      </c>
      <c r="B35" s="0" t="n">
        <v>2017</v>
      </c>
      <c r="C35" s="0" t="n">
        <v>2613340.074</v>
      </c>
      <c r="D35" s="0" t="n">
        <v>2613340.074</v>
      </c>
      <c r="E35" s="0" t="n">
        <v>0</v>
      </c>
      <c r="F35" s="0" t="s">
        <v>437</v>
      </c>
      <c r="G35" s="0" t="s">
        <v>142</v>
      </c>
      <c r="H35" s="0" t="s">
        <v>140</v>
      </c>
    </row>
    <row r="36" customFormat="false" ht="15" hidden="false" customHeight="false" outlineLevel="0" collapsed="false">
      <c r="A36" s="0" t="s">
        <v>136</v>
      </c>
      <c r="B36" s="0" t="n">
        <v>2018</v>
      </c>
      <c r="C36" s="0" t="n">
        <v>2824928.985</v>
      </c>
      <c r="D36" s="0" t="n">
        <v>2824928.985</v>
      </c>
      <c r="E36" s="0" t="n">
        <v>0</v>
      </c>
      <c r="F36" s="0" t="s">
        <v>437</v>
      </c>
      <c r="G36" s="0" t="s">
        <v>109</v>
      </c>
      <c r="H36" s="0" t="s">
        <v>142</v>
      </c>
    </row>
    <row r="37" customFormat="false" ht="15" hidden="false" customHeight="false" outlineLevel="0" collapsed="false">
      <c r="A37" s="0" t="s">
        <v>136</v>
      </c>
      <c r="B37" s="0" t="n">
        <v>2019</v>
      </c>
      <c r="C37" s="0" t="n">
        <v>2712521.494</v>
      </c>
      <c r="D37" s="0" t="n">
        <v>2712521.494</v>
      </c>
      <c r="E37" s="0" t="n">
        <v>0</v>
      </c>
      <c r="F37" s="0" t="s">
        <v>437</v>
      </c>
      <c r="G37" s="0" t="s">
        <v>93</v>
      </c>
      <c r="H37" s="0" t="s">
        <v>109</v>
      </c>
    </row>
    <row r="38" customFormat="false" ht="15" hidden="false" customHeight="false" outlineLevel="0" collapsed="false">
      <c r="A38" s="0" t="s">
        <v>136</v>
      </c>
      <c r="B38" s="0" t="n">
        <v>2020</v>
      </c>
      <c r="C38" s="0" t="n">
        <v>3097248.495</v>
      </c>
      <c r="D38" s="0" t="n">
        <v>3097248.495</v>
      </c>
      <c r="E38" s="0" t="n">
        <v>0</v>
      </c>
      <c r="F38" s="0" t="s">
        <v>437</v>
      </c>
      <c r="G38" s="0" t="s">
        <v>95</v>
      </c>
      <c r="H38" s="0" t="s">
        <v>93</v>
      </c>
    </row>
    <row r="39" customFormat="false" ht="15" hidden="false" customHeight="false" outlineLevel="0" collapsed="false">
      <c r="A39" s="0" t="s">
        <v>136</v>
      </c>
      <c r="B39" s="0" t="n">
        <v>2021</v>
      </c>
      <c r="C39" s="0" t="n">
        <v>4061543.605</v>
      </c>
      <c r="D39" s="0" t="n">
        <v>4061543.605</v>
      </c>
      <c r="E39" s="0" t="n">
        <v>0</v>
      </c>
      <c r="F39" s="0" t="s">
        <v>437</v>
      </c>
      <c r="G39" s="0" t="s">
        <v>146</v>
      </c>
      <c r="H39" s="0" t="s">
        <v>95</v>
      </c>
    </row>
    <row r="40" customFormat="false" ht="15" hidden="false" customHeight="false" outlineLevel="0" collapsed="false">
      <c r="A40" s="0" t="s">
        <v>136</v>
      </c>
      <c r="B40" s="0" t="n">
        <v>2022</v>
      </c>
      <c r="C40" s="0" t="n">
        <v>4357033.134</v>
      </c>
      <c r="D40" s="0" t="n">
        <v>4357033.134</v>
      </c>
      <c r="E40" s="0" t="n">
        <v>0</v>
      </c>
      <c r="F40" s="0" t="s">
        <v>437</v>
      </c>
      <c r="G40" s="0" t="s">
        <v>148</v>
      </c>
      <c r="H40" s="0" t="s">
        <v>146</v>
      </c>
    </row>
    <row r="41" customFormat="false" ht="15" hidden="false" customHeight="false" outlineLevel="0" collapsed="false">
      <c r="A41" s="0" t="s">
        <v>149</v>
      </c>
      <c r="B41" s="0" t="n">
        <v>2014</v>
      </c>
      <c r="C41" s="0" t="n">
        <v>725100</v>
      </c>
      <c r="D41" s="0" t="n">
        <v>725100</v>
      </c>
      <c r="E41" s="0" t="n">
        <v>0</v>
      </c>
      <c r="F41" s="0" t="s">
        <v>437</v>
      </c>
      <c r="G41" s="0" t="s">
        <v>153</v>
      </c>
      <c r="H41" s="0" t="s">
        <v>151</v>
      </c>
    </row>
    <row r="42" customFormat="false" ht="15" hidden="false" customHeight="false" outlineLevel="0" collapsed="false">
      <c r="A42" s="0" t="s">
        <v>149</v>
      </c>
      <c r="B42" s="0" t="n">
        <v>2015</v>
      </c>
      <c r="C42" s="0" t="n">
        <v>908429</v>
      </c>
      <c r="D42" s="0" t="n">
        <v>911052</v>
      </c>
      <c r="E42" s="0" t="n">
        <v>-2623</v>
      </c>
      <c r="F42" s="0" t="s">
        <v>457</v>
      </c>
      <c r="G42" s="0" t="s">
        <v>155</v>
      </c>
      <c r="H42" s="0" t="s">
        <v>153</v>
      </c>
    </row>
    <row r="43" customFormat="false" ht="15" hidden="false" customHeight="false" outlineLevel="0" collapsed="false">
      <c r="A43" s="0" t="s">
        <v>149</v>
      </c>
      <c r="B43" s="0" t="n">
        <v>2016</v>
      </c>
      <c r="C43" s="0" t="n">
        <v>890580</v>
      </c>
      <c r="D43" s="0" t="n">
        <v>890580</v>
      </c>
      <c r="E43" s="0" t="n">
        <v>0</v>
      </c>
      <c r="F43" s="0" t="s">
        <v>437</v>
      </c>
      <c r="G43" s="0" t="s">
        <v>157</v>
      </c>
      <c r="H43" s="0" t="s">
        <v>155</v>
      </c>
    </row>
    <row r="44" customFormat="false" ht="15" hidden="false" customHeight="false" outlineLevel="0" collapsed="false">
      <c r="A44" s="0" t="s">
        <v>149</v>
      </c>
      <c r="B44" s="0" t="n">
        <v>2017</v>
      </c>
      <c r="C44" s="0" t="n">
        <v>993759</v>
      </c>
      <c r="D44" s="0" t="n">
        <v>993759</v>
      </c>
      <c r="E44" s="0" t="n">
        <v>0</v>
      </c>
      <c r="F44" s="0" t="s">
        <v>437</v>
      </c>
      <c r="G44" s="0" t="s">
        <v>159</v>
      </c>
      <c r="H44" s="0" t="s">
        <v>157</v>
      </c>
    </row>
    <row r="45" customFormat="false" ht="15" hidden="false" customHeight="false" outlineLevel="0" collapsed="false">
      <c r="A45" s="0" t="s">
        <v>149</v>
      </c>
      <c r="B45" s="0" t="n">
        <v>2018</v>
      </c>
      <c r="C45" s="0" t="n">
        <v>1332723</v>
      </c>
      <c r="D45" s="0" t="n">
        <v>1332669</v>
      </c>
      <c r="E45" s="0" t="n">
        <v>54</v>
      </c>
      <c r="F45" s="0" t="s">
        <v>457</v>
      </c>
      <c r="G45" s="0" t="s">
        <v>161</v>
      </c>
      <c r="H45" s="0" t="s">
        <v>159</v>
      </c>
    </row>
    <row r="46" customFormat="false" ht="15" hidden="false" customHeight="false" outlineLevel="0" collapsed="false">
      <c r="A46" s="0" t="s">
        <v>149</v>
      </c>
      <c r="B46" s="0" t="n">
        <v>2019</v>
      </c>
      <c r="C46" s="0" t="n">
        <v>1599245</v>
      </c>
      <c r="D46" s="0" t="n">
        <v>1599245</v>
      </c>
      <c r="E46" s="0" t="n">
        <v>0</v>
      </c>
      <c r="F46" s="0" t="s">
        <v>437</v>
      </c>
      <c r="G46" s="0" t="s">
        <v>163</v>
      </c>
      <c r="H46" s="0" t="s">
        <v>161</v>
      </c>
    </row>
    <row r="47" customFormat="false" ht="15" hidden="false" customHeight="false" outlineLevel="0" collapsed="false">
      <c r="A47" s="0" t="s">
        <v>149</v>
      </c>
      <c r="B47" s="0" t="n">
        <v>2021</v>
      </c>
      <c r="C47" s="0" t="n">
        <v>2370347</v>
      </c>
      <c r="D47" s="0" t="n">
        <v>2370347</v>
      </c>
      <c r="E47" s="0" t="n">
        <v>0</v>
      </c>
      <c r="F47" s="0" t="s">
        <v>437</v>
      </c>
      <c r="G47" s="0" t="s">
        <v>166</v>
      </c>
      <c r="H47" s="0" t="s">
        <v>165</v>
      </c>
    </row>
    <row r="48" customFormat="false" ht="15" hidden="false" customHeight="false" outlineLevel="0" collapsed="false">
      <c r="A48" s="0" t="s">
        <v>149</v>
      </c>
      <c r="B48" s="0" t="n">
        <v>2022</v>
      </c>
      <c r="C48" s="0" t="n">
        <v>2614087</v>
      </c>
      <c r="D48" s="0" t="n">
        <v>2614087</v>
      </c>
      <c r="E48" s="0" t="n">
        <v>0</v>
      </c>
      <c r="F48" s="0" t="s">
        <v>437</v>
      </c>
      <c r="G48" s="0" t="s">
        <v>168</v>
      </c>
      <c r="H48" s="0" t="s">
        <v>166</v>
      </c>
    </row>
    <row r="49" customFormat="false" ht="15" hidden="false" customHeight="false" outlineLevel="0" collapsed="false">
      <c r="A49" s="0" t="s">
        <v>169</v>
      </c>
      <c r="B49" s="0" t="n">
        <v>2014</v>
      </c>
      <c r="C49" s="0" t="n">
        <v>707797.181</v>
      </c>
      <c r="D49" s="0" t="n">
        <v>707797.181</v>
      </c>
      <c r="E49" s="0" t="n">
        <v>0</v>
      </c>
      <c r="F49" s="0" t="s">
        <v>437</v>
      </c>
      <c r="G49" s="0" t="s">
        <v>2556</v>
      </c>
      <c r="H49" s="0" t="s">
        <v>81</v>
      </c>
    </row>
    <row r="50" customFormat="false" ht="15" hidden="false" customHeight="false" outlineLevel="0" collapsed="false">
      <c r="A50" s="0" t="s">
        <v>169</v>
      </c>
      <c r="B50" s="0" t="n">
        <v>2015</v>
      </c>
      <c r="C50" s="0" t="n">
        <v>824539.426</v>
      </c>
      <c r="D50" s="0" t="n">
        <v>824539.426</v>
      </c>
      <c r="E50" s="0" t="n">
        <v>0</v>
      </c>
      <c r="F50" s="0" t="s">
        <v>437</v>
      </c>
      <c r="G50" s="0" t="s">
        <v>84</v>
      </c>
      <c r="H50" s="0" t="s">
        <v>81</v>
      </c>
    </row>
    <row r="51" customFormat="false" ht="15" hidden="false" customHeight="false" outlineLevel="0" collapsed="false">
      <c r="A51" s="0" t="s">
        <v>169</v>
      </c>
      <c r="B51" s="0" t="n">
        <v>2016</v>
      </c>
      <c r="C51" s="0" t="n">
        <v>799451.417</v>
      </c>
      <c r="D51" s="0" t="n">
        <v>799451.417</v>
      </c>
      <c r="E51" s="0" t="n">
        <v>0</v>
      </c>
      <c r="F51" s="0" t="s">
        <v>437</v>
      </c>
      <c r="G51" s="0" t="s">
        <v>87</v>
      </c>
      <c r="H51" s="0" t="s">
        <v>84</v>
      </c>
    </row>
    <row r="52" customFormat="false" ht="15" hidden="false" customHeight="false" outlineLevel="0" collapsed="false">
      <c r="A52" s="0" t="s">
        <v>169</v>
      </c>
      <c r="B52" s="0" t="n">
        <v>2017</v>
      </c>
      <c r="C52" s="0" t="n">
        <v>830805</v>
      </c>
      <c r="D52" s="0" t="n">
        <v>830802.224</v>
      </c>
      <c r="E52" s="0" t="n">
        <v>2.776</v>
      </c>
      <c r="F52" s="0" t="s">
        <v>457</v>
      </c>
      <c r="G52" s="0" t="s">
        <v>89</v>
      </c>
      <c r="H52" s="0" t="s">
        <v>87</v>
      </c>
    </row>
    <row r="53" customFormat="false" ht="15" hidden="false" customHeight="false" outlineLevel="0" collapsed="false">
      <c r="A53" s="0" t="s">
        <v>169</v>
      </c>
      <c r="B53" s="0" t="n">
        <v>2019</v>
      </c>
      <c r="C53" s="0" t="n">
        <v>1085876</v>
      </c>
      <c r="D53" s="0" t="n">
        <v>1085876</v>
      </c>
      <c r="E53" s="0" t="n">
        <v>0</v>
      </c>
      <c r="F53" s="0" t="s">
        <v>437</v>
      </c>
      <c r="G53" s="0" t="s">
        <v>2556</v>
      </c>
      <c r="H53" s="0" t="s">
        <v>81</v>
      </c>
    </row>
    <row r="54" customFormat="false" ht="15" hidden="false" customHeight="false" outlineLevel="0" collapsed="false">
      <c r="A54" s="0" t="s">
        <v>169</v>
      </c>
      <c r="B54" s="0" t="n">
        <v>2020</v>
      </c>
      <c r="C54" s="0" t="n">
        <v>1165509</v>
      </c>
      <c r="D54" s="0" t="n">
        <v>1165509</v>
      </c>
      <c r="E54" s="0" t="n">
        <v>0</v>
      </c>
      <c r="F54" s="0" t="s">
        <v>437</v>
      </c>
      <c r="G54" s="0" t="s">
        <v>95</v>
      </c>
      <c r="H54" s="0" t="s">
        <v>81</v>
      </c>
    </row>
    <row r="55" customFormat="false" ht="15" hidden="false" customHeight="false" outlineLevel="0" collapsed="false">
      <c r="A55" s="0" t="s">
        <v>169</v>
      </c>
      <c r="B55" s="0" t="n">
        <v>2021</v>
      </c>
      <c r="C55" s="0" t="n">
        <v>1281830</v>
      </c>
      <c r="D55" s="0" t="n">
        <v>1281830</v>
      </c>
      <c r="E55" s="0" t="n">
        <v>0</v>
      </c>
      <c r="F55" s="0" t="s">
        <v>437</v>
      </c>
      <c r="G55" s="0" t="s">
        <v>97</v>
      </c>
      <c r="H55" s="0" t="s">
        <v>95</v>
      </c>
    </row>
    <row r="56" customFormat="false" ht="15" hidden="false" customHeight="false" outlineLevel="0" collapsed="false">
      <c r="A56" s="0" t="s">
        <v>169</v>
      </c>
      <c r="B56" s="0" t="n">
        <v>2022</v>
      </c>
      <c r="C56" s="0" t="n">
        <v>1606898</v>
      </c>
      <c r="D56" s="0" t="n">
        <v>1611749</v>
      </c>
      <c r="E56" s="0" t="n">
        <v>-4851</v>
      </c>
      <c r="F56" s="0" t="s">
        <v>457</v>
      </c>
      <c r="G56" s="0" t="s">
        <v>114</v>
      </c>
      <c r="H56" s="0" t="s">
        <v>97</v>
      </c>
    </row>
    <row r="57" customFormat="false" ht="15" hidden="false" customHeight="false" outlineLevel="0" collapsed="false">
      <c r="A57" s="0" t="s">
        <v>178</v>
      </c>
      <c r="B57" s="0" t="n">
        <v>2014</v>
      </c>
      <c r="C57" s="0" t="n">
        <v>2217417</v>
      </c>
      <c r="D57" s="0" t="n">
        <v>2217417</v>
      </c>
      <c r="E57" s="0" t="n">
        <v>0</v>
      </c>
      <c r="F57" s="0" t="s">
        <v>437</v>
      </c>
      <c r="G57" s="0" t="s">
        <v>2556</v>
      </c>
      <c r="H57" s="0" t="s">
        <v>81</v>
      </c>
    </row>
    <row r="58" customFormat="false" ht="15" hidden="false" customHeight="false" outlineLevel="0" collapsed="false">
      <c r="A58" s="0" t="s">
        <v>178</v>
      </c>
      <c r="B58" s="0" t="n">
        <v>2015</v>
      </c>
      <c r="C58" s="0" t="n">
        <v>2338858</v>
      </c>
      <c r="D58" s="0" t="n">
        <v>2338858</v>
      </c>
      <c r="E58" s="0" t="n">
        <v>0</v>
      </c>
      <c r="F58" s="0" t="s">
        <v>437</v>
      </c>
      <c r="G58" s="0" t="s">
        <v>2556</v>
      </c>
      <c r="H58" s="0" t="s">
        <v>81</v>
      </c>
    </row>
    <row r="59" customFormat="false" ht="15" hidden="false" customHeight="false" outlineLevel="0" collapsed="false">
      <c r="A59" s="0" t="s">
        <v>178</v>
      </c>
      <c r="B59" s="0" t="n">
        <v>2016</v>
      </c>
      <c r="C59" s="0" t="n">
        <v>2216337</v>
      </c>
      <c r="D59" s="0" t="n">
        <v>2216337</v>
      </c>
      <c r="E59" s="0" t="n">
        <v>0</v>
      </c>
      <c r="F59" s="0" t="s">
        <v>437</v>
      </c>
      <c r="G59" s="0" t="s">
        <v>2556</v>
      </c>
      <c r="H59" s="0" t="s">
        <v>181</v>
      </c>
    </row>
    <row r="60" customFormat="false" ht="15" hidden="false" customHeight="false" outlineLevel="0" collapsed="false">
      <c r="A60" s="0" t="s">
        <v>178</v>
      </c>
      <c r="B60" s="0" t="n">
        <v>2017</v>
      </c>
      <c r="C60" s="0" t="n">
        <v>2539585</v>
      </c>
      <c r="D60" s="0" t="n">
        <v>2539585</v>
      </c>
      <c r="E60" s="0" t="n">
        <v>0</v>
      </c>
      <c r="F60" s="0" t="s">
        <v>437</v>
      </c>
      <c r="G60" s="0" t="s">
        <v>2556</v>
      </c>
      <c r="H60" s="0" t="s">
        <v>183</v>
      </c>
    </row>
    <row r="61" customFormat="false" ht="15" hidden="false" customHeight="false" outlineLevel="0" collapsed="false">
      <c r="A61" s="0" t="s">
        <v>178</v>
      </c>
      <c r="B61" s="0" t="n">
        <v>2018</v>
      </c>
      <c r="C61" s="0" t="n">
        <v>2931826</v>
      </c>
      <c r="D61" s="0" t="n">
        <v>2931826</v>
      </c>
      <c r="E61" s="0" t="n">
        <v>0</v>
      </c>
      <c r="F61" s="0" t="s">
        <v>437</v>
      </c>
      <c r="G61" s="0" t="s">
        <v>2556</v>
      </c>
      <c r="H61" s="0" t="s">
        <v>81</v>
      </c>
    </row>
    <row r="62" customFormat="false" ht="15" hidden="false" customHeight="false" outlineLevel="0" collapsed="false">
      <c r="A62" s="0" t="s">
        <v>178</v>
      </c>
      <c r="B62" s="0" t="n">
        <v>2019</v>
      </c>
      <c r="C62" s="0" t="n">
        <v>3591305</v>
      </c>
      <c r="D62" s="0" t="n">
        <v>3591305</v>
      </c>
      <c r="E62" s="0" t="n">
        <v>0</v>
      </c>
      <c r="F62" s="0" t="s">
        <v>437</v>
      </c>
      <c r="G62" s="0" t="s">
        <v>2556</v>
      </c>
      <c r="H62" s="0" t="s">
        <v>81</v>
      </c>
    </row>
    <row r="63" customFormat="false" ht="15" hidden="false" customHeight="false" outlineLevel="0" collapsed="false">
      <c r="A63" s="0" t="s">
        <v>178</v>
      </c>
      <c r="B63" s="0" t="n">
        <v>2020</v>
      </c>
      <c r="C63" s="0" t="n">
        <v>4136493</v>
      </c>
      <c r="D63" s="0" t="n">
        <v>4136493</v>
      </c>
      <c r="E63" s="0" t="n">
        <v>0</v>
      </c>
      <c r="F63" s="0" t="s">
        <v>437</v>
      </c>
      <c r="G63" s="0" t="s">
        <v>2556</v>
      </c>
      <c r="H63" s="0" t="s">
        <v>81</v>
      </c>
    </row>
    <row r="64" customFormat="false" ht="15" hidden="false" customHeight="false" outlineLevel="0" collapsed="false">
      <c r="A64" s="0" t="s">
        <v>178</v>
      </c>
      <c r="B64" s="0" t="n">
        <v>2021</v>
      </c>
      <c r="C64" s="0" t="n">
        <v>5207833</v>
      </c>
      <c r="D64" s="0" t="n">
        <v>5207833</v>
      </c>
      <c r="E64" s="0" t="n">
        <v>0</v>
      </c>
      <c r="F64" s="0" t="s">
        <v>437</v>
      </c>
      <c r="G64" s="0" t="s">
        <v>2556</v>
      </c>
      <c r="H64" s="0" t="s">
        <v>81</v>
      </c>
    </row>
    <row r="65" customFormat="false" ht="15" hidden="false" customHeight="false" outlineLevel="0" collapsed="false">
      <c r="A65" s="0" t="s">
        <v>178</v>
      </c>
      <c r="B65" s="0" t="n">
        <v>2022</v>
      </c>
      <c r="C65" s="0" t="n">
        <v>5574976</v>
      </c>
      <c r="D65" s="0" t="n">
        <v>5574976</v>
      </c>
      <c r="E65" s="0" t="n">
        <v>0</v>
      </c>
      <c r="F65" s="0" t="s">
        <v>437</v>
      </c>
      <c r="G65" s="0" t="s">
        <v>2556</v>
      </c>
      <c r="H65" s="0" t="s">
        <v>81</v>
      </c>
    </row>
    <row r="66" customFormat="false" ht="15" hidden="false" customHeight="false" outlineLevel="0" collapsed="false">
      <c r="A66" s="0" t="s">
        <v>187</v>
      </c>
      <c r="B66" s="0" t="n">
        <v>2014</v>
      </c>
      <c r="C66" s="0" t="n">
        <v>882097</v>
      </c>
      <c r="D66" s="0" t="n">
        <v>882097</v>
      </c>
      <c r="E66" s="0" t="n">
        <v>0</v>
      </c>
      <c r="F66" s="0" t="s">
        <v>437</v>
      </c>
      <c r="G66" s="0" t="s">
        <v>2556</v>
      </c>
      <c r="H66" s="0" t="s">
        <v>81</v>
      </c>
    </row>
    <row r="67" customFormat="false" ht="15" hidden="false" customHeight="false" outlineLevel="0" collapsed="false">
      <c r="A67" s="0" t="s">
        <v>187</v>
      </c>
      <c r="B67" s="0" t="n">
        <v>2015</v>
      </c>
      <c r="C67" s="0" t="n">
        <v>922755</v>
      </c>
      <c r="D67" s="0" t="n">
        <v>920936</v>
      </c>
      <c r="E67" s="0" t="n">
        <v>1819</v>
      </c>
      <c r="F67" s="0" t="s">
        <v>457</v>
      </c>
      <c r="G67" s="0" t="s">
        <v>190</v>
      </c>
      <c r="H67" s="0" t="s">
        <v>81</v>
      </c>
    </row>
    <row r="68" customFormat="false" ht="15" hidden="false" customHeight="false" outlineLevel="0" collapsed="false">
      <c r="A68" s="0" t="s">
        <v>187</v>
      </c>
      <c r="B68" s="0" t="n">
        <v>2016</v>
      </c>
      <c r="C68" s="0" t="n">
        <v>1000976</v>
      </c>
      <c r="D68" s="0" t="n">
        <v>1000976</v>
      </c>
      <c r="E68" s="0" t="n">
        <v>0</v>
      </c>
      <c r="F68" s="0" t="s">
        <v>437</v>
      </c>
      <c r="G68" s="0" t="s">
        <v>87</v>
      </c>
      <c r="H68" s="0" t="s">
        <v>190</v>
      </c>
    </row>
    <row r="69" customFormat="false" ht="15" hidden="false" customHeight="false" outlineLevel="0" collapsed="false">
      <c r="A69" s="0" t="s">
        <v>187</v>
      </c>
      <c r="B69" s="0" t="n">
        <v>2017</v>
      </c>
      <c r="C69" s="0" t="n">
        <v>1123483</v>
      </c>
      <c r="D69" s="0" t="n">
        <v>1123483</v>
      </c>
      <c r="E69" s="0" t="n">
        <v>0</v>
      </c>
      <c r="F69" s="0" t="s">
        <v>437</v>
      </c>
      <c r="G69" s="0" t="s">
        <v>2556</v>
      </c>
      <c r="H69" s="0" t="s">
        <v>87</v>
      </c>
    </row>
    <row r="70" customFormat="false" ht="15" hidden="false" customHeight="false" outlineLevel="0" collapsed="false">
      <c r="A70" s="0" t="s">
        <v>187</v>
      </c>
      <c r="B70" s="0" t="n">
        <v>2018</v>
      </c>
      <c r="C70" s="0" t="n">
        <v>1334921</v>
      </c>
      <c r="D70" s="0" t="n">
        <v>1334921</v>
      </c>
      <c r="E70" s="0" t="n">
        <v>0</v>
      </c>
      <c r="F70" s="0" t="s">
        <v>437</v>
      </c>
      <c r="G70" s="0" t="s">
        <v>2556</v>
      </c>
      <c r="H70" s="0" t="s">
        <v>192</v>
      </c>
    </row>
    <row r="71" customFormat="false" ht="15" hidden="false" customHeight="false" outlineLevel="0" collapsed="false">
      <c r="A71" s="0" t="s">
        <v>187</v>
      </c>
      <c r="B71" s="0" t="n">
        <v>2019</v>
      </c>
      <c r="C71" s="0" t="n">
        <v>1324297</v>
      </c>
      <c r="D71" s="0" t="n">
        <v>1324297</v>
      </c>
      <c r="E71" s="0" t="n">
        <v>0</v>
      </c>
      <c r="F71" s="0" t="s">
        <v>437</v>
      </c>
      <c r="G71" s="0" t="s">
        <v>2556</v>
      </c>
      <c r="H71" s="0" t="s">
        <v>194</v>
      </c>
    </row>
    <row r="72" customFormat="false" ht="15" hidden="false" customHeight="false" outlineLevel="0" collapsed="false">
      <c r="A72" s="0" t="s">
        <v>187</v>
      </c>
      <c r="B72" s="0" t="n">
        <v>2020</v>
      </c>
      <c r="C72" s="0" t="n">
        <v>1711739</v>
      </c>
      <c r="D72" s="0" t="n">
        <v>1711739</v>
      </c>
      <c r="E72" s="0" t="n">
        <v>0</v>
      </c>
      <c r="F72" s="0" t="s">
        <v>437</v>
      </c>
      <c r="G72" s="0" t="s">
        <v>2556</v>
      </c>
      <c r="H72" s="0" t="s">
        <v>196</v>
      </c>
    </row>
    <row r="73" customFormat="false" ht="15" hidden="false" customHeight="false" outlineLevel="0" collapsed="false">
      <c r="A73" s="0" t="s">
        <v>187</v>
      </c>
      <c r="B73" s="0" t="n">
        <v>2021</v>
      </c>
      <c r="C73" s="0" t="n">
        <v>2073758</v>
      </c>
      <c r="D73" s="0" t="n">
        <v>2073758</v>
      </c>
      <c r="E73" s="0" t="n">
        <v>0</v>
      </c>
      <c r="F73" s="0" t="s">
        <v>437</v>
      </c>
      <c r="G73" s="0" t="s">
        <v>2556</v>
      </c>
      <c r="H73" s="0" t="s">
        <v>197</v>
      </c>
    </row>
    <row r="74" customFormat="false" ht="15" hidden="false" customHeight="false" outlineLevel="0" collapsed="false">
      <c r="A74" s="0" t="s">
        <v>187</v>
      </c>
      <c r="B74" s="0" t="n">
        <v>2022</v>
      </c>
      <c r="C74" s="0" t="n">
        <v>2567441</v>
      </c>
      <c r="D74" s="0" t="n">
        <v>2567441</v>
      </c>
      <c r="E74" s="0" t="n">
        <v>0</v>
      </c>
      <c r="F74" s="0" t="s">
        <v>437</v>
      </c>
      <c r="G74" s="0" t="s">
        <v>2556</v>
      </c>
      <c r="H74" s="0" t="s">
        <v>199</v>
      </c>
    </row>
    <row r="75" customFormat="false" ht="15" hidden="false" customHeight="false" outlineLevel="0" collapsed="false">
      <c r="A75" s="0" t="s">
        <v>201</v>
      </c>
      <c r="B75" s="0" t="n">
        <v>2014</v>
      </c>
      <c r="C75" s="0" t="n">
        <v>403629.29</v>
      </c>
      <c r="D75" s="0" t="n">
        <v>403629.29</v>
      </c>
      <c r="E75" s="0" t="n">
        <v>0</v>
      </c>
      <c r="F75" s="0" t="s">
        <v>437</v>
      </c>
      <c r="G75" s="0" t="s">
        <v>105</v>
      </c>
      <c r="H75" s="0" t="s">
        <v>203</v>
      </c>
    </row>
    <row r="76" customFormat="false" ht="15" hidden="false" customHeight="false" outlineLevel="0" collapsed="false">
      <c r="A76" s="0" t="s">
        <v>201</v>
      </c>
      <c r="B76" s="0" t="n">
        <v>2015</v>
      </c>
      <c r="C76" s="0" t="n">
        <v>413305.111</v>
      </c>
      <c r="D76" s="0" t="n">
        <v>413305.111</v>
      </c>
      <c r="E76" s="0" t="n">
        <v>0</v>
      </c>
      <c r="F76" s="0" t="s">
        <v>437</v>
      </c>
      <c r="G76" s="0" t="s">
        <v>84</v>
      </c>
      <c r="H76" s="0" t="s">
        <v>105</v>
      </c>
    </row>
    <row r="77" customFormat="false" ht="15" hidden="false" customHeight="false" outlineLevel="0" collapsed="false">
      <c r="A77" s="0" t="s">
        <v>201</v>
      </c>
      <c r="B77" s="0" t="n">
        <v>2016</v>
      </c>
      <c r="C77" s="0" t="n">
        <v>443321.012</v>
      </c>
      <c r="D77" s="0" t="n">
        <v>443321.012</v>
      </c>
      <c r="E77" s="0" t="n">
        <v>0</v>
      </c>
      <c r="F77" s="0" t="s">
        <v>437</v>
      </c>
      <c r="G77" s="0" t="s">
        <v>87</v>
      </c>
      <c r="H77" s="0" t="s">
        <v>84</v>
      </c>
    </row>
    <row r="78" customFormat="false" ht="15" hidden="false" customHeight="false" outlineLevel="0" collapsed="false">
      <c r="A78" s="0" t="s">
        <v>201</v>
      </c>
      <c r="B78" s="0" t="n">
        <v>2017</v>
      </c>
      <c r="C78" s="0" t="n">
        <v>492681.647</v>
      </c>
      <c r="D78" s="0" t="n">
        <v>492681.647</v>
      </c>
      <c r="E78" s="0" t="n">
        <v>0</v>
      </c>
      <c r="F78" s="0" t="s">
        <v>437</v>
      </c>
      <c r="G78" s="0" t="s">
        <v>89</v>
      </c>
      <c r="H78" s="0" t="s">
        <v>87</v>
      </c>
    </row>
    <row r="79" customFormat="false" ht="15" hidden="false" customHeight="false" outlineLevel="0" collapsed="false">
      <c r="A79" s="0" t="s">
        <v>201</v>
      </c>
      <c r="B79" s="0" t="n">
        <v>2019</v>
      </c>
      <c r="C79" s="0" t="n">
        <v>210800.841</v>
      </c>
      <c r="D79" s="0" t="n">
        <v>210800.841</v>
      </c>
      <c r="E79" s="0" t="n">
        <v>0</v>
      </c>
      <c r="F79" s="0" t="s">
        <v>437</v>
      </c>
      <c r="G79" s="0" t="s">
        <v>2556</v>
      </c>
      <c r="H79" s="0" t="s">
        <v>81</v>
      </c>
    </row>
    <row r="80" customFormat="false" ht="15" hidden="false" customHeight="false" outlineLevel="0" collapsed="false">
      <c r="A80" s="0" t="s">
        <v>201</v>
      </c>
      <c r="B80" s="0" t="n">
        <v>2021</v>
      </c>
      <c r="C80" s="0" t="n">
        <v>492020.329</v>
      </c>
      <c r="D80" s="0" t="n">
        <v>492020.329</v>
      </c>
      <c r="E80" s="0" t="n">
        <v>0</v>
      </c>
      <c r="F80" s="0" t="s">
        <v>437</v>
      </c>
      <c r="G80" s="0" t="s">
        <v>97</v>
      </c>
      <c r="H80" s="0" t="s">
        <v>209</v>
      </c>
    </row>
    <row r="81" customFormat="false" ht="15" hidden="false" customHeight="false" outlineLevel="0" collapsed="false">
      <c r="A81" s="0" t="s">
        <v>201</v>
      </c>
      <c r="B81" s="0" t="n">
        <v>2022</v>
      </c>
      <c r="C81" s="0" t="n">
        <v>538868.756</v>
      </c>
      <c r="D81" s="0" t="n">
        <v>538868.755</v>
      </c>
      <c r="E81" s="0" t="n">
        <v>0.001</v>
      </c>
      <c r="F81" s="0" t="s">
        <v>437</v>
      </c>
      <c r="G81" s="0" t="s">
        <v>114</v>
      </c>
      <c r="H81" s="0" t="s">
        <v>97</v>
      </c>
    </row>
    <row r="82" customFormat="false" ht="15" hidden="false" customHeight="false" outlineLevel="0" collapsed="false">
      <c r="A82" s="0" t="s">
        <v>211</v>
      </c>
      <c r="B82" s="0" t="n">
        <v>2015</v>
      </c>
      <c r="C82" s="0" t="n">
        <v>382562.312</v>
      </c>
      <c r="D82" s="0" t="n">
        <v>382562.312</v>
      </c>
      <c r="E82" s="0" t="n">
        <v>0</v>
      </c>
      <c r="F82" s="0" t="s">
        <v>437</v>
      </c>
      <c r="G82" s="0" t="s">
        <v>2556</v>
      </c>
      <c r="H82" s="0" t="s">
        <v>81</v>
      </c>
    </row>
    <row r="83" customFormat="false" ht="15" hidden="false" customHeight="false" outlineLevel="0" collapsed="false">
      <c r="A83" s="0" t="s">
        <v>211</v>
      </c>
      <c r="B83" s="0" t="n">
        <v>2016</v>
      </c>
      <c r="C83" s="0" t="n">
        <v>396743.314</v>
      </c>
      <c r="D83" s="0" t="n">
        <v>396743.314</v>
      </c>
      <c r="E83" s="0" t="n">
        <v>0</v>
      </c>
      <c r="F83" s="0" t="s">
        <v>437</v>
      </c>
      <c r="G83" s="0" t="s">
        <v>2556</v>
      </c>
      <c r="H83" s="0" t="s">
        <v>81</v>
      </c>
    </row>
    <row r="84" customFormat="false" ht="15" hidden="false" customHeight="false" outlineLevel="0" collapsed="false">
      <c r="A84" s="0" t="s">
        <v>211</v>
      </c>
      <c r="B84" s="0" t="n">
        <v>2017</v>
      </c>
      <c r="C84" s="0" t="n">
        <v>421221.036</v>
      </c>
      <c r="D84" s="0" t="n">
        <v>421221.036</v>
      </c>
      <c r="E84" s="0" t="n">
        <v>0</v>
      </c>
      <c r="F84" s="0" t="s">
        <v>437</v>
      </c>
      <c r="G84" s="0" t="s">
        <v>2556</v>
      </c>
      <c r="H84" s="0" t="s">
        <v>81</v>
      </c>
    </row>
    <row r="85" customFormat="false" ht="15" hidden="false" customHeight="false" outlineLevel="0" collapsed="false">
      <c r="A85" s="0" t="s">
        <v>211</v>
      </c>
      <c r="B85" s="0" t="n">
        <v>2018</v>
      </c>
      <c r="C85" s="0" t="n">
        <v>384779.809</v>
      </c>
      <c r="D85" s="0" t="n">
        <v>384779.809</v>
      </c>
      <c r="E85" s="0" t="n">
        <v>0</v>
      </c>
      <c r="F85" s="0" t="s">
        <v>437</v>
      </c>
      <c r="G85" s="0" t="s">
        <v>2556</v>
      </c>
      <c r="H85" s="0" t="s">
        <v>81</v>
      </c>
    </row>
    <row r="86" customFormat="false" ht="15" hidden="false" customHeight="false" outlineLevel="0" collapsed="false">
      <c r="A86" s="0" t="s">
        <v>211</v>
      </c>
      <c r="B86" s="0" t="n">
        <v>2019</v>
      </c>
      <c r="C86" s="0" t="n">
        <v>477915.742</v>
      </c>
      <c r="D86" s="0" t="n">
        <v>477915.742</v>
      </c>
      <c r="E86" s="0" t="n">
        <v>0</v>
      </c>
      <c r="F86" s="0" t="s">
        <v>437</v>
      </c>
      <c r="G86" s="0" t="s">
        <v>2556</v>
      </c>
      <c r="H86" s="0" t="s">
        <v>81</v>
      </c>
    </row>
    <row r="87" customFormat="false" ht="15" hidden="false" customHeight="false" outlineLevel="0" collapsed="false">
      <c r="A87" s="0" t="s">
        <v>211</v>
      </c>
      <c r="B87" s="0" t="n">
        <v>2020</v>
      </c>
      <c r="C87" s="0" t="n">
        <v>704955.604</v>
      </c>
      <c r="D87" s="0" t="n">
        <v>704955.604</v>
      </c>
      <c r="E87" s="0" t="n">
        <v>0</v>
      </c>
      <c r="F87" s="0" t="s">
        <v>437</v>
      </c>
      <c r="G87" s="0" t="s">
        <v>2556</v>
      </c>
      <c r="H87" s="0" t="s">
        <v>81</v>
      </c>
    </row>
    <row r="88" customFormat="false" ht="15" hidden="false" customHeight="false" outlineLevel="0" collapsed="false">
      <c r="A88" s="0" t="s">
        <v>211</v>
      </c>
      <c r="B88" s="0" t="n">
        <v>2021</v>
      </c>
      <c r="C88" s="0" t="n">
        <v>968582.084</v>
      </c>
      <c r="D88" s="0" t="n">
        <v>968582.084</v>
      </c>
      <c r="E88" s="0" t="n">
        <v>0</v>
      </c>
      <c r="F88" s="0" t="s">
        <v>437</v>
      </c>
      <c r="G88" s="0" t="s">
        <v>95</v>
      </c>
      <c r="H88" s="0" t="s">
        <v>81</v>
      </c>
    </row>
    <row r="89" customFormat="false" ht="15" hidden="false" customHeight="false" outlineLevel="0" collapsed="false">
      <c r="A89" s="0" t="s">
        <v>222</v>
      </c>
      <c r="B89" s="0" t="n">
        <v>2015</v>
      </c>
      <c r="C89" s="0" t="n">
        <v>3423819</v>
      </c>
      <c r="D89" s="0" t="n">
        <v>3423819</v>
      </c>
      <c r="E89" s="0" t="n">
        <v>0</v>
      </c>
      <c r="F89" s="0" t="s">
        <v>437</v>
      </c>
      <c r="G89" s="0" t="s">
        <v>2556</v>
      </c>
      <c r="H89" s="0" t="s">
        <v>81</v>
      </c>
    </row>
    <row r="90" customFormat="false" ht="15" hidden="false" customHeight="false" outlineLevel="0" collapsed="false">
      <c r="A90" s="0" t="s">
        <v>222</v>
      </c>
      <c r="B90" s="0" t="n">
        <v>2016</v>
      </c>
      <c r="C90" s="0" t="n">
        <v>3750327</v>
      </c>
      <c r="D90" s="0" t="n">
        <v>3750327</v>
      </c>
      <c r="E90" s="0" t="n">
        <v>0</v>
      </c>
      <c r="F90" s="0" t="s">
        <v>437</v>
      </c>
      <c r="G90" s="0" t="s">
        <v>226</v>
      </c>
      <c r="H90" s="0" t="s">
        <v>81</v>
      </c>
    </row>
    <row r="91" customFormat="false" ht="15" hidden="false" customHeight="false" outlineLevel="0" collapsed="false">
      <c r="A91" s="0" t="s">
        <v>222</v>
      </c>
      <c r="B91" s="0" t="n">
        <v>2017</v>
      </c>
      <c r="C91" s="0" t="n">
        <v>4283736</v>
      </c>
      <c r="D91" s="0" t="n">
        <v>4283736</v>
      </c>
      <c r="E91" s="0" t="n">
        <v>0</v>
      </c>
      <c r="F91" s="0" t="s">
        <v>437</v>
      </c>
      <c r="G91" s="0" t="s">
        <v>228</v>
      </c>
      <c r="H91" s="0" t="s">
        <v>226</v>
      </c>
    </row>
    <row r="92" customFormat="false" ht="15" hidden="false" customHeight="false" outlineLevel="0" collapsed="false">
      <c r="A92" s="0" t="s">
        <v>222</v>
      </c>
      <c r="B92" s="0" t="n">
        <v>2018</v>
      </c>
      <c r="C92" s="0" t="n">
        <v>4833658</v>
      </c>
      <c r="D92" s="0" t="n">
        <v>4833658</v>
      </c>
      <c r="E92" s="0" t="n">
        <v>0</v>
      </c>
      <c r="F92" s="0" t="s">
        <v>437</v>
      </c>
      <c r="G92" s="0" t="s">
        <v>230</v>
      </c>
      <c r="H92" s="0" t="s">
        <v>228</v>
      </c>
    </row>
    <row r="93" customFormat="false" ht="15" hidden="false" customHeight="false" outlineLevel="0" collapsed="false">
      <c r="A93" s="0" t="s">
        <v>222</v>
      </c>
      <c r="B93" s="0" t="n">
        <v>2019</v>
      </c>
      <c r="C93" s="0" t="n">
        <v>4955445</v>
      </c>
      <c r="D93" s="0" t="n">
        <v>4955445</v>
      </c>
      <c r="E93" s="0" t="n">
        <v>0</v>
      </c>
      <c r="F93" s="0" t="s">
        <v>437</v>
      </c>
      <c r="G93" s="0" t="s">
        <v>232</v>
      </c>
      <c r="H93" s="0" t="s">
        <v>230</v>
      </c>
    </row>
    <row r="94" customFormat="false" ht="15" hidden="false" customHeight="false" outlineLevel="0" collapsed="false">
      <c r="A94" s="0" t="s">
        <v>222</v>
      </c>
      <c r="B94" s="0" t="n">
        <v>2020</v>
      </c>
      <c r="C94" s="0" t="n">
        <v>5435073</v>
      </c>
      <c r="D94" s="0" t="n">
        <v>5435073</v>
      </c>
      <c r="E94" s="0" t="n">
        <v>0</v>
      </c>
      <c r="F94" s="0" t="s">
        <v>437</v>
      </c>
      <c r="G94" s="0" t="s">
        <v>234</v>
      </c>
      <c r="H94" s="0" t="s">
        <v>232</v>
      </c>
    </row>
    <row r="95" customFormat="false" ht="15" hidden="false" customHeight="false" outlineLevel="0" collapsed="false">
      <c r="A95" s="0" t="s">
        <v>222</v>
      </c>
      <c r="B95" s="0" t="n">
        <v>2022</v>
      </c>
      <c r="C95" s="0" t="n">
        <v>7872292</v>
      </c>
      <c r="D95" s="0" t="n">
        <v>7872292</v>
      </c>
      <c r="E95" s="0" t="n">
        <v>0</v>
      </c>
      <c r="F95" s="0" t="s">
        <v>437</v>
      </c>
      <c r="G95" s="0" t="s">
        <v>2556</v>
      </c>
      <c r="H95"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 collapsed="false" customWidth="true" hidden="false" outlineLevel="0" max="8" min="8" style="0" width="11"/>
    <col collapsed="false" customWidth="true" hidden="false" outlineLevel="0" max="9" min="9" style="0" width="17"/>
    <col collapsed="false" customWidth="true" hidden="false" outlineLevel="0" max="10" min="10" style="0" width="18"/>
    <col collapsed="false" customWidth="true" hidden="false" outlineLevel="0" max="11" min="11" style="0" width="19"/>
    <col collapsed="false" customWidth="true" hidden="false" outlineLevel="0" max="12" min="12" style="0" width="17"/>
    <col collapsed="false" customWidth="true" hidden="false" outlineLevel="0" max="13" min="13" style="0" width="18"/>
    <col collapsed="false" customWidth="true" hidden="false" outlineLevel="0" max="14" min="14" style="0" width="15"/>
    <col collapsed="false" customWidth="true" hidden="false" outlineLevel="0" max="16" min="15" style="0" width="10"/>
    <col collapsed="false" customWidth="true" hidden="false" outlineLevel="0" max="17" min="17" style="0" width="16"/>
    <col collapsed="false" customWidth="true" hidden="false" outlineLevel="0" max="18" min="18" style="0" width="17"/>
  </cols>
  <sheetData>
    <row r="1" customFormat="false" ht="15" hidden="false" customHeight="false" outlineLevel="0" collapsed="false">
      <c r="A1" s="2" t="s">
        <v>2557</v>
      </c>
    </row>
    <row r="3" customFormat="false" ht="15" hidden="false" customHeight="false" outlineLevel="0" collapsed="false">
      <c r="A3" s="3" t="s">
        <v>50</v>
      </c>
      <c r="B3" s="3" t="s">
        <v>51</v>
      </c>
      <c r="C3" s="3" t="s">
        <v>52</v>
      </c>
      <c r="D3" s="3" t="s">
        <v>53</v>
      </c>
      <c r="E3" s="3" t="s">
        <v>2558</v>
      </c>
      <c r="F3" s="3" t="s">
        <v>309</v>
      </c>
      <c r="G3" s="3" t="s">
        <v>276</v>
      </c>
      <c r="H3" s="3" t="s">
        <v>2559</v>
      </c>
      <c r="I3" s="3" t="s">
        <v>2560</v>
      </c>
      <c r="J3" s="3" t="s">
        <v>2561</v>
      </c>
      <c r="K3" s="3" t="s">
        <v>2562</v>
      </c>
      <c r="L3" s="3" t="s">
        <v>2563</v>
      </c>
      <c r="M3" s="3" t="s">
        <v>2564</v>
      </c>
      <c r="N3" s="3" t="s">
        <v>2565</v>
      </c>
      <c r="O3" s="3" t="s">
        <v>2566</v>
      </c>
      <c r="P3" s="3" t="s">
        <v>2567</v>
      </c>
      <c r="Q3" s="3" t="s">
        <v>2568</v>
      </c>
      <c r="R3" s="3" t="s">
        <v>2569</v>
      </c>
    </row>
    <row r="4" customFormat="false" ht="15" hidden="false" customHeight="false" outlineLevel="0" collapsed="false">
      <c r="A4" s="0" t="s">
        <v>77</v>
      </c>
      <c r="B4" s="0" t="n">
        <v>2013</v>
      </c>
      <c r="C4" s="0" t="s">
        <v>78</v>
      </c>
      <c r="D4" s="0" t="s">
        <v>79</v>
      </c>
      <c r="E4" s="0" t="n">
        <v>0</v>
      </c>
      <c r="F4" s="0" t="s">
        <v>73</v>
      </c>
      <c r="H4" s="0" t="s">
        <v>457</v>
      </c>
      <c r="I4" s="0" t="s">
        <v>457</v>
      </c>
      <c r="J4" s="0" t="s">
        <v>457</v>
      </c>
      <c r="K4" s="0" t="s">
        <v>457</v>
      </c>
      <c r="L4" s="0" t="s">
        <v>457</v>
      </c>
      <c r="M4" s="0" t="s">
        <v>457</v>
      </c>
      <c r="R4" s="0" t="s">
        <v>81</v>
      </c>
    </row>
    <row r="5" customFormat="false" ht="15" hidden="false" customHeight="false" outlineLevel="0" collapsed="false">
      <c r="A5" s="0" t="s">
        <v>77</v>
      </c>
      <c r="B5" s="0" t="n">
        <v>2013</v>
      </c>
      <c r="C5" s="0" t="s">
        <v>78</v>
      </c>
      <c r="D5" s="0" t="s">
        <v>79</v>
      </c>
      <c r="E5" s="0" t="n">
        <v>0</v>
      </c>
      <c r="F5" s="0" t="s">
        <v>69</v>
      </c>
      <c r="H5" s="0" t="s">
        <v>457</v>
      </c>
      <c r="I5" s="0" t="s">
        <v>457</v>
      </c>
      <c r="J5" s="0" t="s">
        <v>457</v>
      </c>
      <c r="K5" s="0" t="s">
        <v>457</v>
      </c>
      <c r="L5" s="0" t="s">
        <v>457</v>
      </c>
      <c r="M5" s="0" t="s">
        <v>457</v>
      </c>
      <c r="R5" s="0" t="s">
        <v>81</v>
      </c>
    </row>
    <row r="6" customFormat="false" ht="15" hidden="false" customHeight="false" outlineLevel="0" collapsed="false">
      <c r="A6" s="0" t="s">
        <v>77</v>
      </c>
      <c r="B6" s="0" t="n">
        <v>2013</v>
      </c>
      <c r="C6" s="0" t="s">
        <v>78</v>
      </c>
      <c r="D6" s="0" t="s">
        <v>79</v>
      </c>
      <c r="E6" s="0" t="n">
        <v>0</v>
      </c>
      <c r="F6" s="0" t="s">
        <v>25</v>
      </c>
      <c r="H6" s="0" t="s">
        <v>457</v>
      </c>
      <c r="I6" s="0" t="s">
        <v>457</v>
      </c>
      <c r="J6" s="0" t="s">
        <v>457</v>
      </c>
      <c r="K6" s="0" t="s">
        <v>457</v>
      </c>
      <c r="L6" s="0" t="s">
        <v>457</v>
      </c>
      <c r="M6" s="0" t="s">
        <v>457</v>
      </c>
      <c r="R6" s="0" t="s">
        <v>81</v>
      </c>
    </row>
    <row r="7" customFormat="false" ht="15" hidden="false" customHeight="false" outlineLevel="0" collapsed="false">
      <c r="A7" s="0" t="s">
        <v>77</v>
      </c>
      <c r="B7" s="0" t="n">
        <v>2013</v>
      </c>
      <c r="C7" s="0" t="s">
        <v>78</v>
      </c>
      <c r="D7" s="0" t="s">
        <v>79</v>
      </c>
      <c r="E7" s="0" t="n">
        <v>0</v>
      </c>
      <c r="F7" s="0" t="s">
        <v>41</v>
      </c>
      <c r="H7" s="0" t="s">
        <v>457</v>
      </c>
      <c r="I7" s="0" t="s">
        <v>457</v>
      </c>
      <c r="J7" s="0" t="s">
        <v>457</v>
      </c>
      <c r="K7" s="0" t="s">
        <v>457</v>
      </c>
      <c r="L7" s="0" t="s">
        <v>457</v>
      </c>
      <c r="M7" s="0" t="s">
        <v>457</v>
      </c>
      <c r="R7" s="0" t="s">
        <v>81</v>
      </c>
    </row>
    <row r="8" customFormat="false" ht="15" hidden="false" customHeight="false" outlineLevel="0" collapsed="false">
      <c r="A8" s="0" t="s">
        <v>77</v>
      </c>
      <c r="B8" s="0" t="n">
        <v>2013</v>
      </c>
      <c r="C8" s="0" t="s">
        <v>78</v>
      </c>
      <c r="D8" s="0" t="s">
        <v>79</v>
      </c>
      <c r="E8" s="0" t="n">
        <v>0</v>
      </c>
      <c r="F8" s="0" t="s">
        <v>27</v>
      </c>
      <c r="G8" s="0" t="n">
        <v>14.3878211104236</v>
      </c>
      <c r="H8" s="0" t="s">
        <v>437</v>
      </c>
      <c r="I8" s="0" t="s">
        <v>437</v>
      </c>
      <c r="J8" s="0" t="s">
        <v>437</v>
      </c>
      <c r="K8" s="0" t="s">
        <v>457</v>
      </c>
      <c r="L8" s="0" t="s">
        <v>437</v>
      </c>
      <c r="M8" s="0" t="s">
        <v>457</v>
      </c>
      <c r="R8" s="0" t="s">
        <v>81</v>
      </c>
    </row>
    <row r="9" customFormat="false" ht="15" hidden="false" customHeight="false" outlineLevel="0" collapsed="false">
      <c r="A9" s="0" t="s">
        <v>77</v>
      </c>
      <c r="B9" s="0" t="n">
        <v>2013</v>
      </c>
      <c r="C9" s="0" t="s">
        <v>78</v>
      </c>
      <c r="D9" s="0" t="s">
        <v>79</v>
      </c>
      <c r="E9" s="0" t="n">
        <v>0</v>
      </c>
      <c r="F9" s="0" t="s">
        <v>39</v>
      </c>
      <c r="H9" s="0" t="s">
        <v>457</v>
      </c>
      <c r="I9" s="0" t="s">
        <v>457</v>
      </c>
      <c r="J9" s="0" t="s">
        <v>457</v>
      </c>
      <c r="K9" s="0" t="s">
        <v>457</v>
      </c>
      <c r="L9" s="0" t="s">
        <v>457</v>
      </c>
      <c r="M9" s="0" t="s">
        <v>457</v>
      </c>
      <c r="R9" s="0" t="s">
        <v>81</v>
      </c>
    </row>
    <row r="10" customFormat="false" ht="15" hidden="false" customHeight="false" outlineLevel="0" collapsed="false">
      <c r="A10" s="0" t="s">
        <v>77</v>
      </c>
      <c r="B10" s="0" t="n">
        <v>2013</v>
      </c>
      <c r="C10" s="0" t="s">
        <v>78</v>
      </c>
      <c r="D10" s="0" t="s">
        <v>79</v>
      </c>
      <c r="E10" s="0" t="n">
        <v>0</v>
      </c>
      <c r="F10" s="0" t="s">
        <v>17</v>
      </c>
      <c r="H10" s="0" t="s">
        <v>457</v>
      </c>
      <c r="I10" s="0" t="s">
        <v>457</v>
      </c>
      <c r="J10" s="0" t="s">
        <v>457</v>
      </c>
      <c r="K10" s="0" t="s">
        <v>457</v>
      </c>
      <c r="L10" s="0" t="s">
        <v>457</v>
      </c>
      <c r="M10" s="0" t="s">
        <v>457</v>
      </c>
      <c r="R10" s="0" t="s">
        <v>81</v>
      </c>
    </row>
    <row r="11" customFormat="false" ht="15" hidden="false" customHeight="false" outlineLevel="0" collapsed="false">
      <c r="A11" s="0" t="s">
        <v>77</v>
      </c>
      <c r="B11" s="0" t="n">
        <v>2013</v>
      </c>
      <c r="C11" s="0" t="s">
        <v>78</v>
      </c>
      <c r="D11" s="0" t="s">
        <v>79</v>
      </c>
      <c r="E11" s="0" t="n">
        <v>0</v>
      </c>
      <c r="F11" s="0" t="s">
        <v>29</v>
      </c>
      <c r="H11" s="0" t="s">
        <v>457</v>
      </c>
      <c r="I11" s="0" t="s">
        <v>457</v>
      </c>
      <c r="J11" s="0" t="s">
        <v>457</v>
      </c>
      <c r="K11" s="0" t="s">
        <v>457</v>
      </c>
      <c r="L11" s="0" t="s">
        <v>457</v>
      </c>
      <c r="M11" s="0" t="s">
        <v>457</v>
      </c>
      <c r="R11" s="0" t="s">
        <v>81</v>
      </c>
    </row>
    <row r="12" customFormat="false" ht="15" hidden="false" customHeight="false" outlineLevel="0" collapsed="false">
      <c r="A12" s="0" t="s">
        <v>77</v>
      </c>
      <c r="B12" s="0" t="n">
        <v>2013</v>
      </c>
      <c r="C12" s="0" t="s">
        <v>78</v>
      </c>
      <c r="D12" s="0" t="s">
        <v>79</v>
      </c>
      <c r="E12" s="0" t="n">
        <v>0</v>
      </c>
      <c r="F12" s="0" t="s">
        <v>37</v>
      </c>
      <c r="H12" s="0" t="s">
        <v>457</v>
      </c>
      <c r="I12" s="0" t="s">
        <v>457</v>
      </c>
      <c r="J12" s="0" t="s">
        <v>457</v>
      </c>
      <c r="K12" s="0" t="s">
        <v>457</v>
      </c>
      <c r="L12" s="0" t="s">
        <v>457</v>
      </c>
      <c r="M12" s="0" t="s">
        <v>457</v>
      </c>
      <c r="R12" s="0" t="s">
        <v>81</v>
      </c>
    </row>
    <row r="13" customFormat="false" ht="15" hidden="false" customHeight="false" outlineLevel="0" collapsed="false">
      <c r="A13" s="0" t="s">
        <v>77</v>
      </c>
      <c r="B13" s="0" t="n">
        <v>2013</v>
      </c>
      <c r="C13" s="0" t="s">
        <v>78</v>
      </c>
      <c r="D13" s="0" t="s">
        <v>79</v>
      </c>
      <c r="E13" s="0" t="n">
        <v>0</v>
      </c>
      <c r="F13" s="0" t="s">
        <v>23</v>
      </c>
      <c r="H13" s="0" t="s">
        <v>457</v>
      </c>
      <c r="I13" s="0" t="s">
        <v>457</v>
      </c>
      <c r="J13" s="0" t="s">
        <v>457</v>
      </c>
      <c r="K13" s="0" t="s">
        <v>457</v>
      </c>
      <c r="L13" s="0" t="s">
        <v>457</v>
      </c>
      <c r="M13" s="0" t="s">
        <v>457</v>
      </c>
      <c r="R13" s="0" t="s">
        <v>81</v>
      </c>
    </row>
    <row r="14" customFormat="false" ht="15" hidden="false" customHeight="false" outlineLevel="0" collapsed="false">
      <c r="A14" s="0" t="s">
        <v>77</v>
      </c>
      <c r="B14" s="0" t="n">
        <v>2013</v>
      </c>
      <c r="C14" s="0" t="s">
        <v>78</v>
      </c>
      <c r="D14" s="0" t="s">
        <v>79</v>
      </c>
      <c r="E14" s="0" t="n">
        <v>0</v>
      </c>
      <c r="F14" s="0" t="s">
        <v>45</v>
      </c>
      <c r="H14" s="0" t="s">
        <v>457</v>
      </c>
      <c r="I14" s="0" t="s">
        <v>457</v>
      </c>
      <c r="J14" s="0" t="s">
        <v>457</v>
      </c>
      <c r="K14" s="0" t="s">
        <v>457</v>
      </c>
      <c r="L14" s="0" t="s">
        <v>457</v>
      </c>
      <c r="M14" s="0" t="s">
        <v>457</v>
      </c>
      <c r="R14" s="0" t="s">
        <v>81</v>
      </c>
    </row>
    <row r="15" customFormat="false" ht="15" hidden="false" customHeight="false" outlineLevel="0" collapsed="false">
      <c r="A15" s="0" t="s">
        <v>77</v>
      </c>
      <c r="B15" s="0" t="n">
        <v>2013</v>
      </c>
      <c r="C15" s="0" t="s">
        <v>78</v>
      </c>
      <c r="D15" s="0" t="s">
        <v>79</v>
      </c>
      <c r="E15" s="0" t="n">
        <v>0</v>
      </c>
      <c r="F15" s="0" t="s">
        <v>71</v>
      </c>
      <c r="H15" s="0" t="s">
        <v>457</v>
      </c>
      <c r="I15" s="0" t="s">
        <v>457</v>
      </c>
      <c r="J15" s="0" t="s">
        <v>457</v>
      </c>
      <c r="K15" s="0" t="s">
        <v>457</v>
      </c>
      <c r="L15" s="0" t="s">
        <v>457</v>
      </c>
      <c r="M15" s="0" t="s">
        <v>457</v>
      </c>
      <c r="R15" s="0" t="s">
        <v>81</v>
      </c>
    </row>
    <row r="16" customFormat="false" ht="15" hidden="false" customHeight="false" outlineLevel="0" collapsed="false">
      <c r="A16" s="0" t="s">
        <v>77</v>
      </c>
      <c r="B16" s="0" t="n">
        <v>2013</v>
      </c>
      <c r="C16" s="0" t="s">
        <v>78</v>
      </c>
      <c r="D16" s="0" t="s">
        <v>79</v>
      </c>
      <c r="E16" s="0" t="n">
        <v>0</v>
      </c>
      <c r="F16" s="0" t="s">
        <v>31</v>
      </c>
      <c r="G16" s="0" t="n">
        <v>85.6121788895764</v>
      </c>
      <c r="H16" s="0" t="s">
        <v>437</v>
      </c>
      <c r="I16" s="0" t="s">
        <v>437</v>
      </c>
      <c r="J16" s="0" t="s">
        <v>437</v>
      </c>
      <c r="K16" s="0" t="s">
        <v>457</v>
      </c>
      <c r="L16" s="0" t="s">
        <v>437</v>
      </c>
      <c r="M16" s="0" t="s">
        <v>457</v>
      </c>
      <c r="R16" s="0" t="s">
        <v>81</v>
      </c>
    </row>
    <row r="17" customFormat="false" ht="15" hidden="false" customHeight="false" outlineLevel="0" collapsed="false">
      <c r="A17" s="0" t="s">
        <v>77</v>
      </c>
      <c r="B17" s="0" t="n">
        <v>2014</v>
      </c>
      <c r="C17" s="0" t="s">
        <v>78</v>
      </c>
      <c r="D17" s="0" t="s">
        <v>79</v>
      </c>
      <c r="E17" s="0" t="n">
        <v>0</v>
      </c>
      <c r="F17" s="0" t="s">
        <v>73</v>
      </c>
      <c r="H17" s="0" t="s">
        <v>457</v>
      </c>
      <c r="I17" s="0" t="s">
        <v>457</v>
      </c>
      <c r="J17" s="0" t="s">
        <v>457</v>
      </c>
      <c r="K17" s="0" t="s">
        <v>457</v>
      </c>
      <c r="L17" s="0" t="s">
        <v>457</v>
      </c>
      <c r="M17" s="0" t="s">
        <v>457</v>
      </c>
      <c r="R17" s="0" t="s">
        <v>81</v>
      </c>
    </row>
    <row r="18" customFormat="false" ht="15" hidden="false" customHeight="false" outlineLevel="0" collapsed="false">
      <c r="A18" s="0" t="s">
        <v>77</v>
      </c>
      <c r="B18" s="0" t="n">
        <v>2014</v>
      </c>
      <c r="C18" s="0" t="s">
        <v>78</v>
      </c>
      <c r="D18" s="0" t="s">
        <v>79</v>
      </c>
      <c r="E18" s="0" t="n">
        <v>0</v>
      </c>
      <c r="F18" s="0" t="s">
        <v>69</v>
      </c>
      <c r="H18" s="0" t="s">
        <v>457</v>
      </c>
      <c r="I18" s="0" t="s">
        <v>457</v>
      </c>
      <c r="J18" s="0" t="s">
        <v>457</v>
      </c>
      <c r="K18" s="0" t="s">
        <v>457</v>
      </c>
      <c r="L18" s="0" t="s">
        <v>457</v>
      </c>
      <c r="M18" s="0" t="s">
        <v>457</v>
      </c>
      <c r="R18" s="0" t="s">
        <v>81</v>
      </c>
    </row>
    <row r="19" customFormat="false" ht="15" hidden="false" customHeight="false" outlineLevel="0" collapsed="false">
      <c r="A19" s="0" t="s">
        <v>77</v>
      </c>
      <c r="B19" s="0" t="n">
        <v>2014</v>
      </c>
      <c r="C19" s="0" t="s">
        <v>78</v>
      </c>
      <c r="D19" s="0" t="s">
        <v>79</v>
      </c>
      <c r="E19" s="0" t="n">
        <v>0</v>
      </c>
      <c r="F19" s="0" t="s">
        <v>25</v>
      </c>
      <c r="H19" s="0" t="s">
        <v>457</v>
      </c>
      <c r="I19" s="0" t="s">
        <v>457</v>
      </c>
      <c r="J19" s="0" t="s">
        <v>457</v>
      </c>
      <c r="K19" s="0" t="s">
        <v>457</v>
      </c>
      <c r="L19" s="0" t="s">
        <v>457</v>
      </c>
      <c r="M19" s="0" t="s">
        <v>457</v>
      </c>
      <c r="R19" s="0" t="s">
        <v>81</v>
      </c>
    </row>
    <row r="20" customFormat="false" ht="15" hidden="false" customHeight="false" outlineLevel="0" collapsed="false">
      <c r="A20" s="0" t="s">
        <v>77</v>
      </c>
      <c r="B20" s="0" t="n">
        <v>2014</v>
      </c>
      <c r="C20" s="0" t="s">
        <v>78</v>
      </c>
      <c r="D20" s="0" t="s">
        <v>79</v>
      </c>
      <c r="E20" s="0" t="n">
        <v>0</v>
      </c>
      <c r="F20" s="0" t="s">
        <v>41</v>
      </c>
      <c r="G20" s="0" t="n">
        <v>2.16715067867361</v>
      </c>
      <c r="H20" s="0" t="s">
        <v>437</v>
      </c>
      <c r="I20" s="0" t="s">
        <v>437</v>
      </c>
      <c r="J20" s="0" t="s">
        <v>437</v>
      </c>
      <c r="K20" s="0" t="s">
        <v>457</v>
      </c>
      <c r="L20" s="0" t="s">
        <v>437</v>
      </c>
      <c r="M20" s="0" t="s">
        <v>457</v>
      </c>
      <c r="R20" s="0" t="s">
        <v>81</v>
      </c>
    </row>
    <row r="21" customFormat="false" ht="15" hidden="false" customHeight="false" outlineLevel="0" collapsed="false">
      <c r="A21" s="0" t="s">
        <v>77</v>
      </c>
      <c r="B21" s="0" t="n">
        <v>2014</v>
      </c>
      <c r="C21" s="0" t="s">
        <v>78</v>
      </c>
      <c r="D21" s="0" t="s">
        <v>79</v>
      </c>
      <c r="E21" s="0" t="n">
        <v>0</v>
      </c>
      <c r="F21" s="0" t="s">
        <v>27</v>
      </c>
      <c r="G21" s="0" t="n">
        <v>13.8325887329481</v>
      </c>
      <c r="H21" s="0" t="s">
        <v>437</v>
      </c>
      <c r="I21" s="0" t="s">
        <v>437</v>
      </c>
      <c r="J21" s="0" t="s">
        <v>437</v>
      </c>
      <c r="K21" s="0" t="s">
        <v>437</v>
      </c>
      <c r="L21" s="0" t="s">
        <v>437</v>
      </c>
      <c r="M21" s="0" t="s">
        <v>457</v>
      </c>
      <c r="R21" s="0" t="s">
        <v>81</v>
      </c>
    </row>
    <row r="22" customFormat="false" ht="15" hidden="false" customHeight="false" outlineLevel="0" collapsed="false">
      <c r="A22" s="0" t="s">
        <v>77</v>
      </c>
      <c r="B22" s="0" t="n">
        <v>2014</v>
      </c>
      <c r="C22" s="0" t="s">
        <v>78</v>
      </c>
      <c r="D22" s="0" t="s">
        <v>79</v>
      </c>
      <c r="E22" s="0" t="n">
        <v>0</v>
      </c>
      <c r="F22" s="0" t="s">
        <v>39</v>
      </c>
      <c r="H22" s="0" t="s">
        <v>457</v>
      </c>
      <c r="I22" s="0" t="s">
        <v>457</v>
      </c>
      <c r="J22" s="0" t="s">
        <v>457</v>
      </c>
      <c r="K22" s="0" t="s">
        <v>457</v>
      </c>
      <c r="L22" s="0" t="s">
        <v>457</v>
      </c>
      <c r="M22" s="0" t="s">
        <v>457</v>
      </c>
      <c r="R22" s="0" t="s">
        <v>81</v>
      </c>
    </row>
    <row r="23" customFormat="false" ht="15" hidden="false" customHeight="false" outlineLevel="0" collapsed="false">
      <c r="A23" s="0" t="s">
        <v>77</v>
      </c>
      <c r="B23" s="0" t="n">
        <v>2014</v>
      </c>
      <c r="C23" s="0" t="s">
        <v>78</v>
      </c>
      <c r="D23" s="0" t="s">
        <v>79</v>
      </c>
      <c r="E23" s="0" t="n">
        <v>0</v>
      </c>
      <c r="F23" s="0" t="s">
        <v>17</v>
      </c>
      <c r="H23" s="0" t="s">
        <v>457</v>
      </c>
      <c r="I23" s="0" t="s">
        <v>457</v>
      </c>
      <c r="J23" s="0" t="s">
        <v>457</v>
      </c>
      <c r="K23" s="0" t="s">
        <v>457</v>
      </c>
      <c r="L23" s="0" t="s">
        <v>457</v>
      </c>
      <c r="M23" s="0" t="s">
        <v>457</v>
      </c>
      <c r="R23" s="0" t="s">
        <v>81</v>
      </c>
    </row>
    <row r="24" customFormat="false" ht="15" hidden="false" customHeight="false" outlineLevel="0" collapsed="false">
      <c r="A24" s="0" t="s">
        <v>77</v>
      </c>
      <c r="B24" s="0" t="n">
        <v>2014</v>
      </c>
      <c r="C24" s="0" t="s">
        <v>78</v>
      </c>
      <c r="D24" s="0" t="s">
        <v>79</v>
      </c>
      <c r="E24" s="0" t="n">
        <v>0</v>
      </c>
      <c r="F24" s="0" t="s">
        <v>29</v>
      </c>
      <c r="G24" s="0" t="n">
        <v>0.575646057030339</v>
      </c>
      <c r="H24" s="0" t="s">
        <v>437</v>
      </c>
      <c r="I24" s="0" t="s">
        <v>437</v>
      </c>
      <c r="J24" s="0" t="s">
        <v>437</v>
      </c>
      <c r="K24" s="0" t="s">
        <v>457</v>
      </c>
      <c r="L24" s="0" t="s">
        <v>437</v>
      </c>
      <c r="M24" s="0" t="s">
        <v>457</v>
      </c>
      <c r="R24" s="0" t="s">
        <v>81</v>
      </c>
    </row>
    <row r="25" customFormat="false" ht="15" hidden="false" customHeight="false" outlineLevel="0" collapsed="false">
      <c r="A25" s="0" t="s">
        <v>77</v>
      </c>
      <c r="B25" s="0" t="n">
        <v>2014</v>
      </c>
      <c r="C25" s="0" t="s">
        <v>78</v>
      </c>
      <c r="D25" s="0" t="s">
        <v>79</v>
      </c>
      <c r="E25" s="0" t="n">
        <v>0</v>
      </c>
      <c r="F25" s="0" t="s">
        <v>37</v>
      </c>
      <c r="H25" s="0" t="s">
        <v>457</v>
      </c>
      <c r="I25" s="0" t="s">
        <v>457</v>
      </c>
      <c r="J25" s="0" t="s">
        <v>457</v>
      </c>
      <c r="K25" s="0" t="s">
        <v>457</v>
      </c>
      <c r="L25" s="0" t="s">
        <v>457</v>
      </c>
      <c r="M25" s="0" t="s">
        <v>457</v>
      </c>
      <c r="R25" s="0" t="s">
        <v>81</v>
      </c>
    </row>
    <row r="26" customFormat="false" ht="15" hidden="false" customHeight="false" outlineLevel="0" collapsed="false">
      <c r="A26" s="0" t="s">
        <v>77</v>
      </c>
      <c r="B26" s="0" t="n">
        <v>2014</v>
      </c>
      <c r="C26" s="0" t="s">
        <v>78</v>
      </c>
      <c r="D26" s="0" t="s">
        <v>79</v>
      </c>
      <c r="E26" s="0" t="n">
        <v>0</v>
      </c>
      <c r="F26" s="0" t="s">
        <v>23</v>
      </c>
      <c r="H26" s="0" t="s">
        <v>457</v>
      </c>
      <c r="I26" s="0" t="s">
        <v>457</v>
      </c>
      <c r="J26" s="0" t="s">
        <v>457</v>
      </c>
      <c r="K26" s="0" t="s">
        <v>457</v>
      </c>
      <c r="L26" s="0" t="s">
        <v>457</v>
      </c>
      <c r="M26" s="0" t="s">
        <v>457</v>
      </c>
      <c r="R26" s="0" t="s">
        <v>81</v>
      </c>
    </row>
    <row r="27" customFormat="false" ht="15" hidden="false" customHeight="false" outlineLevel="0" collapsed="false">
      <c r="A27" s="0" t="s">
        <v>77</v>
      </c>
      <c r="B27" s="0" t="n">
        <v>2014</v>
      </c>
      <c r="C27" s="0" t="s">
        <v>78</v>
      </c>
      <c r="D27" s="0" t="s">
        <v>79</v>
      </c>
      <c r="E27" s="0" t="n">
        <v>0</v>
      </c>
      <c r="F27" s="0" t="s">
        <v>45</v>
      </c>
      <c r="H27" s="0" t="s">
        <v>457</v>
      </c>
      <c r="I27" s="0" t="s">
        <v>457</v>
      </c>
      <c r="J27" s="0" t="s">
        <v>457</v>
      </c>
      <c r="K27" s="0" t="s">
        <v>457</v>
      </c>
      <c r="L27" s="0" t="s">
        <v>457</v>
      </c>
      <c r="M27" s="0" t="s">
        <v>457</v>
      </c>
      <c r="R27" s="0" t="s">
        <v>81</v>
      </c>
    </row>
    <row r="28" customFormat="false" ht="15" hidden="false" customHeight="false" outlineLevel="0" collapsed="false">
      <c r="A28" s="0" t="s">
        <v>77</v>
      </c>
      <c r="B28" s="0" t="n">
        <v>2014</v>
      </c>
      <c r="C28" s="0" t="s">
        <v>78</v>
      </c>
      <c r="D28" s="0" t="s">
        <v>79</v>
      </c>
      <c r="E28" s="0" t="n">
        <v>0</v>
      </c>
      <c r="F28" s="0" t="s">
        <v>71</v>
      </c>
      <c r="H28" s="0" t="s">
        <v>457</v>
      </c>
      <c r="I28" s="0" t="s">
        <v>457</v>
      </c>
      <c r="J28" s="0" t="s">
        <v>457</v>
      </c>
      <c r="K28" s="0" t="s">
        <v>457</v>
      </c>
      <c r="L28" s="0" t="s">
        <v>457</v>
      </c>
      <c r="M28" s="0" t="s">
        <v>457</v>
      </c>
      <c r="R28" s="0" t="s">
        <v>81</v>
      </c>
    </row>
    <row r="29" customFormat="false" ht="15" hidden="false" customHeight="false" outlineLevel="0" collapsed="false">
      <c r="A29" s="0" t="s">
        <v>77</v>
      </c>
      <c r="B29" s="0" t="n">
        <v>2014</v>
      </c>
      <c r="C29" s="0" t="s">
        <v>78</v>
      </c>
      <c r="D29" s="0" t="s">
        <v>79</v>
      </c>
      <c r="E29" s="0" t="n">
        <v>0</v>
      </c>
      <c r="F29" s="0" t="s">
        <v>31</v>
      </c>
      <c r="G29" s="0" t="n">
        <v>86.1674112165966</v>
      </c>
      <c r="H29" s="0" t="s">
        <v>437</v>
      </c>
      <c r="I29" s="0" t="s">
        <v>437</v>
      </c>
      <c r="J29" s="0" t="s">
        <v>437</v>
      </c>
      <c r="K29" s="0" t="s">
        <v>437</v>
      </c>
      <c r="L29" s="0" t="s">
        <v>437</v>
      </c>
      <c r="M29" s="0" t="s">
        <v>457</v>
      </c>
      <c r="R29" s="0" t="s">
        <v>81</v>
      </c>
    </row>
    <row r="30" customFormat="false" ht="15" hidden="false" customHeight="false" outlineLevel="0" collapsed="false">
      <c r="A30" s="0" t="s">
        <v>77</v>
      </c>
      <c r="B30" s="0" t="n">
        <v>2015</v>
      </c>
      <c r="C30" s="0" t="s">
        <v>78</v>
      </c>
      <c r="D30" s="0" t="s">
        <v>79</v>
      </c>
      <c r="E30" s="0" t="n">
        <v>0</v>
      </c>
      <c r="F30" s="0" t="s">
        <v>73</v>
      </c>
      <c r="G30" s="0" t="n">
        <v>0</v>
      </c>
      <c r="H30" s="0" t="s">
        <v>437</v>
      </c>
      <c r="I30" s="0" t="s">
        <v>437</v>
      </c>
      <c r="J30" s="0" t="s">
        <v>437</v>
      </c>
      <c r="K30" s="0" t="s">
        <v>457</v>
      </c>
      <c r="L30" s="0" t="s">
        <v>437</v>
      </c>
      <c r="M30" s="0" t="s">
        <v>457</v>
      </c>
      <c r="R30" s="0" t="s">
        <v>84</v>
      </c>
    </row>
    <row r="31" customFormat="false" ht="15" hidden="false" customHeight="false" outlineLevel="0" collapsed="false">
      <c r="A31" s="0" t="s">
        <v>77</v>
      </c>
      <c r="B31" s="0" t="n">
        <v>2015</v>
      </c>
      <c r="C31" s="0" t="s">
        <v>78</v>
      </c>
      <c r="D31" s="0" t="s">
        <v>79</v>
      </c>
      <c r="E31" s="0" t="n">
        <v>0</v>
      </c>
      <c r="F31" s="0" t="s">
        <v>69</v>
      </c>
      <c r="G31" s="0" t="n">
        <v>18</v>
      </c>
      <c r="H31" s="0" t="s">
        <v>437</v>
      </c>
      <c r="I31" s="0" t="s">
        <v>437</v>
      </c>
      <c r="J31" s="0" t="s">
        <v>437</v>
      </c>
      <c r="K31" s="0" t="s">
        <v>457</v>
      </c>
      <c r="L31" s="0" t="s">
        <v>437</v>
      </c>
      <c r="M31" s="0" t="s">
        <v>457</v>
      </c>
      <c r="R31" s="0" t="s">
        <v>84</v>
      </c>
    </row>
    <row r="32" customFormat="false" ht="15" hidden="false" customHeight="false" outlineLevel="0" collapsed="false">
      <c r="A32" s="0" t="s">
        <v>77</v>
      </c>
      <c r="B32" s="0" t="n">
        <v>2015</v>
      </c>
      <c r="C32" s="0" t="s">
        <v>78</v>
      </c>
      <c r="D32" s="0" t="s">
        <v>79</v>
      </c>
      <c r="E32" s="0" t="n">
        <v>0</v>
      </c>
      <c r="F32" s="0" t="s">
        <v>25</v>
      </c>
      <c r="G32" s="0" t="n">
        <v>18.0397860803325</v>
      </c>
      <c r="H32" s="0" t="s">
        <v>437</v>
      </c>
      <c r="I32" s="0" t="s">
        <v>437</v>
      </c>
      <c r="J32" s="0" t="s">
        <v>437</v>
      </c>
      <c r="K32" s="0" t="s">
        <v>457</v>
      </c>
      <c r="L32" s="0" t="s">
        <v>437</v>
      </c>
      <c r="M32" s="0" t="s">
        <v>457</v>
      </c>
      <c r="R32" s="0" t="s">
        <v>84</v>
      </c>
    </row>
    <row r="33" customFormat="false" ht="15" hidden="false" customHeight="false" outlineLevel="0" collapsed="false">
      <c r="A33" s="0" t="s">
        <v>77</v>
      </c>
      <c r="B33" s="0" t="n">
        <v>2015</v>
      </c>
      <c r="C33" s="0" t="s">
        <v>78</v>
      </c>
      <c r="D33" s="0" t="s">
        <v>79</v>
      </c>
      <c r="E33" s="0" t="n">
        <v>0</v>
      </c>
      <c r="F33" s="0" t="s">
        <v>41</v>
      </c>
      <c r="G33" s="0" t="n">
        <v>2.68211601551293</v>
      </c>
      <c r="H33" s="0" t="s">
        <v>437</v>
      </c>
      <c r="I33" s="0" t="s">
        <v>437</v>
      </c>
      <c r="J33" s="0" t="s">
        <v>437</v>
      </c>
      <c r="K33" s="0" t="s">
        <v>437</v>
      </c>
      <c r="L33" s="0" t="s">
        <v>437</v>
      </c>
      <c r="M33" s="0" t="s">
        <v>457</v>
      </c>
      <c r="R33" s="0" t="s">
        <v>84</v>
      </c>
    </row>
    <row r="34" customFormat="false" ht="15" hidden="false" customHeight="false" outlineLevel="0" collapsed="false">
      <c r="A34" s="0" t="s">
        <v>77</v>
      </c>
      <c r="B34" s="0" t="n">
        <v>2015</v>
      </c>
      <c r="C34" s="0" t="s">
        <v>78</v>
      </c>
      <c r="D34" s="0" t="s">
        <v>79</v>
      </c>
      <c r="E34" s="0" t="n">
        <v>0</v>
      </c>
      <c r="F34" s="0" t="s">
        <v>27</v>
      </c>
      <c r="G34" s="0" t="n">
        <v>14.9435017929299</v>
      </c>
      <c r="H34" s="0" t="s">
        <v>437</v>
      </c>
      <c r="I34" s="0" t="s">
        <v>437</v>
      </c>
      <c r="J34" s="0" t="s">
        <v>437</v>
      </c>
      <c r="K34" s="0" t="s">
        <v>437</v>
      </c>
      <c r="L34" s="0" t="s">
        <v>437</v>
      </c>
      <c r="M34" s="0" t="s">
        <v>457</v>
      </c>
      <c r="R34" s="0" t="s">
        <v>84</v>
      </c>
    </row>
    <row r="35" customFormat="false" ht="15" hidden="false" customHeight="false" outlineLevel="0" collapsed="false">
      <c r="A35" s="0" t="s">
        <v>77</v>
      </c>
      <c r="B35" s="0" t="n">
        <v>2015</v>
      </c>
      <c r="C35" s="0" t="s">
        <v>78</v>
      </c>
      <c r="D35" s="0" t="s">
        <v>79</v>
      </c>
      <c r="E35" s="0" t="n">
        <v>0</v>
      </c>
      <c r="F35" s="0" t="s">
        <v>39</v>
      </c>
      <c r="G35" s="0" t="n">
        <v>-8.24992019031688</v>
      </c>
      <c r="H35" s="0" t="s">
        <v>437</v>
      </c>
      <c r="I35" s="0" t="s">
        <v>437</v>
      </c>
      <c r="J35" s="0" t="s">
        <v>437</v>
      </c>
      <c r="K35" s="0" t="s">
        <v>457</v>
      </c>
      <c r="L35" s="0" t="s">
        <v>437</v>
      </c>
      <c r="M35" s="0" t="s">
        <v>457</v>
      </c>
      <c r="R35" s="0" t="s">
        <v>84</v>
      </c>
    </row>
    <row r="36" customFormat="false" ht="15" hidden="false" customHeight="false" outlineLevel="0" collapsed="false">
      <c r="A36" s="0" t="s">
        <v>77</v>
      </c>
      <c r="B36" s="0" t="n">
        <v>2015</v>
      </c>
      <c r="C36" s="0" t="s">
        <v>78</v>
      </c>
      <c r="D36" s="0" t="s">
        <v>79</v>
      </c>
      <c r="E36" s="0" t="n">
        <v>0</v>
      </c>
      <c r="F36" s="0" t="s">
        <v>17</v>
      </c>
      <c r="G36" s="0" t="n">
        <v>2.11838672818763</v>
      </c>
      <c r="H36" s="0" t="s">
        <v>437</v>
      </c>
      <c r="I36" s="0" t="s">
        <v>437</v>
      </c>
      <c r="J36" s="0" t="s">
        <v>437</v>
      </c>
      <c r="K36" s="0" t="s">
        <v>457</v>
      </c>
      <c r="L36" s="0" t="s">
        <v>437</v>
      </c>
      <c r="M36" s="0" t="s">
        <v>457</v>
      </c>
      <c r="R36" s="0" t="s">
        <v>84</v>
      </c>
    </row>
    <row r="37" customFormat="false" ht="15" hidden="false" customHeight="false" outlineLevel="0" collapsed="false">
      <c r="A37" s="0" t="s">
        <v>77</v>
      </c>
      <c r="B37" s="0" t="n">
        <v>2015</v>
      </c>
      <c r="C37" s="0" t="s">
        <v>78</v>
      </c>
      <c r="D37" s="0" t="s">
        <v>79</v>
      </c>
      <c r="E37" s="0" t="n">
        <v>0</v>
      </c>
      <c r="F37" s="0" t="s">
        <v>29</v>
      </c>
      <c r="G37" s="0" t="n">
        <v>0.604820939577045</v>
      </c>
      <c r="H37" s="0" t="s">
        <v>437</v>
      </c>
      <c r="I37" s="0" t="s">
        <v>437</v>
      </c>
      <c r="J37" s="0" t="s">
        <v>437</v>
      </c>
      <c r="K37" s="0" t="s">
        <v>437</v>
      </c>
      <c r="L37" s="0" t="s">
        <v>437</v>
      </c>
      <c r="M37" s="0" t="s">
        <v>457</v>
      </c>
      <c r="R37" s="0" t="s">
        <v>84</v>
      </c>
    </row>
    <row r="38" customFormat="false" ht="15" hidden="false" customHeight="false" outlineLevel="0" collapsed="false">
      <c r="A38" s="0" t="s">
        <v>77</v>
      </c>
      <c r="B38" s="0" t="n">
        <v>2015</v>
      </c>
      <c r="C38" s="0" t="s">
        <v>78</v>
      </c>
      <c r="D38" s="0" t="s">
        <v>79</v>
      </c>
      <c r="E38" s="0" t="n">
        <v>0</v>
      </c>
      <c r="F38" s="0" t="s">
        <v>37</v>
      </c>
      <c r="H38" s="0" t="s">
        <v>457</v>
      </c>
      <c r="I38" s="0" t="s">
        <v>457</v>
      </c>
      <c r="J38" s="0" t="s">
        <v>457</v>
      </c>
      <c r="K38" s="0" t="s">
        <v>457</v>
      </c>
      <c r="L38" s="0" t="s">
        <v>457</v>
      </c>
      <c r="M38" s="0" t="s">
        <v>457</v>
      </c>
      <c r="R38" s="0" t="s">
        <v>84</v>
      </c>
    </row>
    <row r="39" customFormat="false" ht="15" hidden="false" customHeight="false" outlineLevel="0" collapsed="false">
      <c r="A39" s="0" t="s">
        <v>77</v>
      </c>
      <c r="B39" s="0" t="n">
        <v>2015</v>
      </c>
      <c r="C39" s="0" t="s">
        <v>78</v>
      </c>
      <c r="D39" s="0" t="s">
        <v>79</v>
      </c>
      <c r="E39" s="0" t="n">
        <v>0</v>
      </c>
      <c r="F39" s="0" t="s">
        <v>23</v>
      </c>
      <c r="H39" s="0" t="s">
        <v>457</v>
      </c>
      <c r="I39" s="0" t="s">
        <v>457</v>
      </c>
      <c r="J39" s="0" t="s">
        <v>457</v>
      </c>
      <c r="K39" s="0" t="s">
        <v>457</v>
      </c>
      <c r="L39" s="0" t="s">
        <v>457</v>
      </c>
      <c r="M39" s="0" t="s">
        <v>457</v>
      </c>
      <c r="R39" s="0" t="s">
        <v>84</v>
      </c>
    </row>
    <row r="40" customFormat="false" ht="15" hidden="false" customHeight="false" outlineLevel="0" collapsed="false">
      <c r="A40" s="0" t="s">
        <v>77</v>
      </c>
      <c r="B40" s="0" t="n">
        <v>2015</v>
      </c>
      <c r="C40" s="0" t="s">
        <v>78</v>
      </c>
      <c r="D40" s="0" t="s">
        <v>79</v>
      </c>
      <c r="E40" s="0" t="n">
        <v>0</v>
      </c>
      <c r="F40" s="0" t="s">
        <v>45</v>
      </c>
      <c r="H40" s="0" t="s">
        <v>457</v>
      </c>
      <c r="I40" s="0" t="s">
        <v>457</v>
      </c>
      <c r="J40" s="0" t="s">
        <v>457</v>
      </c>
      <c r="K40" s="0" t="s">
        <v>457</v>
      </c>
      <c r="L40" s="0" t="s">
        <v>457</v>
      </c>
      <c r="M40" s="0" t="s">
        <v>457</v>
      </c>
      <c r="R40" s="0" t="s">
        <v>84</v>
      </c>
    </row>
    <row r="41" customFormat="false" ht="15" hidden="false" customHeight="false" outlineLevel="0" collapsed="false">
      <c r="A41" s="0" t="s">
        <v>77</v>
      </c>
      <c r="B41" s="0" t="n">
        <v>2015</v>
      </c>
      <c r="C41" s="0" t="s">
        <v>78</v>
      </c>
      <c r="D41" s="0" t="s">
        <v>79</v>
      </c>
      <c r="E41" s="0" t="n">
        <v>0</v>
      </c>
      <c r="F41" s="0" t="s">
        <v>71</v>
      </c>
      <c r="H41" s="0" t="s">
        <v>457</v>
      </c>
      <c r="I41" s="0" t="s">
        <v>457</v>
      </c>
      <c r="J41" s="0" t="s">
        <v>457</v>
      </c>
      <c r="K41" s="0" t="s">
        <v>457</v>
      </c>
      <c r="L41" s="0" t="s">
        <v>457</v>
      </c>
      <c r="M41" s="0" t="s">
        <v>457</v>
      </c>
      <c r="R41" s="0" t="s">
        <v>84</v>
      </c>
    </row>
    <row r="42" customFormat="false" ht="15" hidden="false" customHeight="false" outlineLevel="0" collapsed="false">
      <c r="A42" s="0" t="s">
        <v>77</v>
      </c>
      <c r="B42" s="0" t="n">
        <v>2015</v>
      </c>
      <c r="C42" s="0" t="s">
        <v>78</v>
      </c>
      <c r="D42" s="0" t="s">
        <v>79</v>
      </c>
      <c r="E42" s="0" t="n">
        <v>0</v>
      </c>
      <c r="F42" s="0" t="s">
        <v>31</v>
      </c>
      <c r="G42" s="0" t="n">
        <v>85.0564982070701</v>
      </c>
      <c r="H42" s="0" t="s">
        <v>437</v>
      </c>
      <c r="I42" s="0" t="s">
        <v>437</v>
      </c>
      <c r="J42" s="0" t="s">
        <v>437</v>
      </c>
      <c r="K42" s="0" t="s">
        <v>437</v>
      </c>
      <c r="L42" s="0" t="s">
        <v>437</v>
      </c>
      <c r="M42" s="0" t="s">
        <v>457</v>
      </c>
      <c r="R42" s="0" t="s">
        <v>84</v>
      </c>
    </row>
    <row r="43" customFormat="false" ht="15" hidden="false" customHeight="false" outlineLevel="0" collapsed="false">
      <c r="A43" s="0" t="s">
        <v>77</v>
      </c>
      <c r="B43" s="0" t="n">
        <v>2016</v>
      </c>
      <c r="C43" s="0" t="s">
        <v>78</v>
      </c>
      <c r="D43" s="0" t="s">
        <v>79</v>
      </c>
      <c r="E43" s="0" t="n">
        <v>0</v>
      </c>
      <c r="F43" s="0" t="s">
        <v>73</v>
      </c>
      <c r="G43" s="0" t="n">
        <v>0</v>
      </c>
      <c r="H43" s="0" t="s">
        <v>437</v>
      </c>
      <c r="I43" s="0" t="s">
        <v>437</v>
      </c>
      <c r="J43" s="0" t="s">
        <v>437</v>
      </c>
      <c r="K43" s="0" t="s">
        <v>437</v>
      </c>
      <c r="L43" s="0" t="s">
        <v>437</v>
      </c>
      <c r="M43" s="0" t="s">
        <v>457</v>
      </c>
      <c r="R43" s="0" t="s">
        <v>87</v>
      </c>
    </row>
    <row r="44" customFormat="false" ht="15" hidden="false" customHeight="false" outlineLevel="0" collapsed="false">
      <c r="A44" s="0" t="s">
        <v>77</v>
      </c>
      <c r="B44" s="0" t="n">
        <v>2016</v>
      </c>
      <c r="C44" s="0" t="s">
        <v>78</v>
      </c>
      <c r="D44" s="0" t="s">
        <v>79</v>
      </c>
      <c r="E44" s="0" t="n">
        <v>0</v>
      </c>
      <c r="F44" s="0" t="s">
        <v>69</v>
      </c>
      <c r="G44" s="0" t="n">
        <v>19.55</v>
      </c>
      <c r="H44" s="0" t="s">
        <v>437</v>
      </c>
      <c r="I44" s="0" t="s">
        <v>437</v>
      </c>
      <c r="J44" s="0" t="s">
        <v>437</v>
      </c>
      <c r="K44" s="0" t="s">
        <v>437</v>
      </c>
      <c r="L44" s="0" t="s">
        <v>437</v>
      </c>
      <c r="M44" s="0" t="s">
        <v>457</v>
      </c>
      <c r="R44" s="0" t="s">
        <v>87</v>
      </c>
    </row>
    <row r="45" customFormat="false" ht="15" hidden="false" customHeight="false" outlineLevel="0" collapsed="false">
      <c r="A45" s="0" t="s">
        <v>77</v>
      </c>
      <c r="B45" s="0" t="n">
        <v>2016</v>
      </c>
      <c r="C45" s="0" t="s">
        <v>78</v>
      </c>
      <c r="D45" s="0" t="s">
        <v>79</v>
      </c>
      <c r="E45" s="0" t="n">
        <v>0</v>
      </c>
      <c r="F45" s="0" t="s">
        <v>25</v>
      </c>
      <c r="G45" s="0" t="n">
        <v>19.5545712891104</v>
      </c>
      <c r="H45" s="0" t="s">
        <v>437</v>
      </c>
      <c r="I45" s="0" t="s">
        <v>437</v>
      </c>
      <c r="J45" s="0" t="s">
        <v>437</v>
      </c>
      <c r="K45" s="0" t="s">
        <v>437</v>
      </c>
      <c r="L45" s="0" t="s">
        <v>437</v>
      </c>
      <c r="M45" s="0" t="s">
        <v>457</v>
      </c>
      <c r="R45" s="0" t="s">
        <v>87</v>
      </c>
    </row>
    <row r="46" customFormat="false" ht="15" hidden="false" customHeight="false" outlineLevel="0" collapsed="false">
      <c r="A46" s="0" t="s">
        <v>77</v>
      </c>
      <c r="B46" s="0" t="n">
        <v>2016</v>
      </c>
      <c r="C46" s="0" t="s">
        <v>78</v>
      </c>
      <c r="D46" s="0" t="s">
        <v>79</v>
      </c>
      <c r="E46" s="0" t="n">
        <v>0</v>
      </c>
      <c r="F46" s="0" t="s">
        <v>41</v>
      </c>
      <c r="G46" s="0" t="n">
        <v>2.32530395674683</v>
      </c>
      <c r="H46" s="0" t="s">
        <v>437</v>
      </c>
      <c r="I46" s="0" t="s">
        <v>437</v>
      </c>
      <c r="J46" s="0" t="s">
        <v>437</v>
      </c>
      <c r="K46" s="0" t="s">
        <v>437</v>
      </c>
      <c r="L46" s="0" t="s">
        <v>437</v>
      </c>
      <c r="M46" s="0" t="s">
        <v>457</v>
      </c>
      <c r="R46" s="0" t="s">
        <v>87</v>
      </c>
    </row>
    <row r="47" customFormat="false" ht="15" hidden="false" customHeight="false" outlineLevel="0" collapsed="false">
      <c r="A47" s="0" t="s">
        <v>77</v>
      </c>
      <c r="B47" s="0" t="n">
        <v>2016</v>
      </c>
      <c r="C47" s="0" t="s">
        <v>78</v>
      </c>
      <c r="D47" s="0" t="s">
        <v>79</v>
      </c>
      <c r="E47" s="0" t="n">
        <v>0</v>
      </c>
      <c r="F47" s="0" t="s">
        <v>27</v>
      </c>
      <c r="G47" s="0" t="n">
        <v>13.6246849662959</v>
      </c>
      <c r="H47" s="0" t="s">
        <v>437</v>
      </c>
      <c r="I47" s="0" t="s">
        <v>437</v>
      </c>
      <c r="J47" s="0" t="s">
        <v>437</v>
      </c>
      <c r="K47" s="0" t="s">
        <v>437</v>
      </c>
      <c r="L47" s="0" t="s">
        <v>437</v>
      </c>
      <c r="M47" s="0" t="s">
        <v>457</v>
      </c>
      <c r="R47" s="0" t="s">
        <v>87</v>
      </c>
    </row>
    <row r="48" customFormat="false" ht="15" hidden="false" customHeight="false" outlineLevel="0" collapsed="false">
      <c r="A48" s="0" t="s">
        <v>77</v>
      </c>
      <c r="B48" s="0" t="n">
        <v>2016</v>
      </c>
      <c r="C48" s="0" t="s">
        <v>78</v>
      </c>
      <c r="D48" s="0" t="s">
        <v>79</v>
      </c>
      <c r="E48" s="0" t="n">
        <v>0</v>
      </c>
      <c r="F48" s="0" t="s">
        <v>39</v>
      </c>
      <c r="G48" s="0" t="n">
        <v>-4.508361359338</v>
      </c>
      <c r="H48" s="0" t="s">
        <v>437</v>
      </c>
      <c r="I48" s="0" t="s">
        <v>437</v>
      </c>
      <c r="J48" s="0" t="s">
        <v>437</v>
      </c>
      <c r="K48" s="0" t="s">
        <v>437</v>
      </c>
      <c r="L48" s="0" t="s">
        <v>437</v>
      </c>
      <c r="M48" s="0" t="s">
        <v>457</v>
      </c>
      <c r="R48" s="0" t="s">
        <v>87</v>
      </c>
    </row>
    <row r="49" customFormat="false" ht="15" hidden="false" customHeight="false" outlineLevel="0" collapsed="false">
      <c r="A49" s="0" t="s">
        <v>77</v>
      </c>
      <c r="B49" s="0" t="n">
        <v>2016</v>
      </c>
      <c r="C49" s="0" t="s">
        <v>78</v>
      </c>
      <c r="D49" s="0" t="s">
        <v>79</v>
      </c>
      <c r="E49" s="0" t="n">
        <v>0</v>
      </c>
      <c r="F49" s="0" t="s">
        <v>17</v>
      </c>
      <c r="G49" s="0" t="n">
        <v>1.86329447164857</v>
      </c>
      <c r="H49" s="0" t="s">
        <v>437</v>
      </c>
      <c r="I49" s="0" t="s">
        <v>437</v>
      </c>
      <c r="J49" s="0" t="s">
        <v>437</v>
      </c>
      <c r="K49" s="0" t="s">
        <v>437</v>
      </c>
      <c r="L49" s="0" t="s">
        <v>437</v>
      </c>
      <c r="M49" s="0" t="s">
        <v>457</v>
      </c>
      <c r="R49" s="0" t="s">
        <v>87</v>
      </c>
    </row>
    <row r="50" customFormat="false" ht="15" hidden="false" customHeight="false" outlineLevel="0" collapsed="false">
      <c r="A50" s="0" t="s">
        <v>77</v>
      </c>
      <c r="B50" s="0" t="n">
        <v>2016</v>
      </c>
      <c r="C50" s="0" t="s">
        <v>78</v>
      </c>
      <c r="D50" s="0" t="s">
        <v>79</v>
      </c>
      <c r="E50" s="0" t="n">
        <v>0</v>
      </c>
      <c r="F50" s="0" t="s">
        <v>29</v>
      </c>
      <c r="G50" s="0" t="n">
        <v>0.640691217962372</v>
      </c>
      <c r="H50" s="0" t="s">
        <v>437</v>
      </c>
      <c r="I50" s="0" t="s">
        <v>437</v>
      </c>
      <c r="J50" s="0" t="s">
        <v>437</v>
      </c>
      <c r="K50" s="0" t="s">
        <v>437</v>
      </c>
      <c r="L50" s="0" t="s">
        <v>437</v>
      </c>
      <c r="M50" s="0" t="s">
        <v>457</v>
      </c>
      <c r="R50" s="0" t="s">
        <v>87</v>
      </c>
    </row>
    <row r="51" customFormat="false" ht="15" hidden="false" customHeight="false" outlineLevel="0" collapsed="false">
      <c r="A51" s="0" t="s">
        <v>77</v>
      </c>
      <c r="B51" s="0" t="n">
        <v>2016</v>
      </c>
      <c r="C51" s="0" t="s">
        <v>78</v>
      </c>
      <c r="D51" s="0" t="s">
        <v>79</v>
      </c>
      <c r="E51" s="0" t="n">
        <v>0</v>
      </c>
      <c r="F51" s="0" t="s">
        <v>37</v>
      </c>
      <c r="H51" s="0" t="s">
        <v>457</v>
      </c>
      <c r="I51" s="0" t="s">
        <v>457</v>
      </c>
      <c r="J51" s="0" t="s">
        <v>457</v>
      </c>
      <c r="K51" s="0" t="s">
        <v>457</v>
      </c>
      <c r="L51" s="0" t="s">
        <v>457</v>
      </c>
      <c r="M51" s="0" t="s">
        <v>457</v>
      </c>
      <c r="R51" s="0" t="s">
        <v>87</v>
      </c>
    </row>
    <row r="52" customFormat="false" ht="15" hidden="false" customHeight="false" outlineLevel="0" collapsed="false">
      <c r="A52" s="0" t="s">
        <v>77</v>
      </c>
      <c r="B52" s="0" t="n">
        <v>2016</v>
      </c>
      <c r="C52" s="0" t="s">
        <v>78</v>
      </c>
      <c r="D52" s="0" t="s">
        <v>79</v>
      </c>
      <c r="E52" s="0" t="n">
        <v>0</v>
      </c>
      <c r="F52" s="0" t="s">
        <v>23</v>
      </c>
      <c r="H52" s="0" t="s">
        <v>457</v>
      </c>
      <c r="I52" s="0" t="s">
        <v>457</v>
      </c>
      <c r="J52" s="0" t="s">
        <v>457</v>
      </c>
      <c r="K52" s="0" t="s">
        <v>457</v>
      </c>
      <c r="L52" s="0" t="s">
        <v>457</v>
      </c>
      <c r="M52" s="0" t="s">
        <v>457</v>
      </c>
      <c r="R52" s="0" t="s">
        <v>87</v>
      </c>
    </row>
    <row r="53" customFormat="false" ht="15" hidden="false" customHeight="false" outlineLevel="0" collapsed="false">
      <c r="A53" s="0" t="s">
        <v>77</v>
      </c>
      <c r="B53" s="0" t="n">
        <v>2016</v>
      </c>
      <c r="C53" s="0" t="s">
        <v>78</v>
      </c>
      <c r="D53" s="0" t="s">
        <v>79</v>
      </c>
      <c r="E53" s="0" t="n">
        <v>0</v>
      </c>
      <c r="F53" s="0" t="s">
        <v>45</v>
      </c>
      <c r="H53" s="0" t="s">
        <v>457</v>
      </c>
      <c r="I53" s="0" t="s">
        <v>457</v>
      </c>
      <c r="J53" s="0" t="s">
        <v>457</v>
      </c>
      <c r="K53" s="0" t="s">
        <v>457</v>
      </c>
      <c r="L53" s="0" t="s">
        <v>457</v>
      </c>
      <c r="M53" s="0" t="s">
        <v>457</v>
      </c>
      <c r="R53" s="0" t="s">
        <v>87</v>
      </c>
    </row>
    <row r="54" customFormat="false" ht="15" hidden="false" customHeight="false" outlineLevel="0" collapsed="false">
      <c r="A54" s="0" t="s">
        <v>77</v>
      </c>
      <c r="B54" s="0" t="n">
        <v>2016</v>
      </c>
      <c r="C54" s="0" t="s">
        <v>78</v>
      </c>
      <c r="D54" s="0" t="s">
        <v>79</v>
      </c>
      <c r="E54" s="0" t="n">
        <v>0</v>
      </c>
      <c r="F54" s="0" t="s">
        <v>71</v>
      </c>
      <c r="H54" s="0" t="s">
        <v>457</v>
      </c>
      <c r="I54" s="0" t="s">
        <v>457</v>
      </c>
      <c r="J54" s="0" t="s">
        <v>457</v>
      </c>
      <c r="K54" s="0" t="s">
        <v>457</v>
      </c>
      <c r="L54" s="0" t="s">
        <v>457</v>
      </c>
      <c r="M54" s="0" t="s">
        <v>457</v>
      </c>
      <c r="R54" s="0" t="s">
        <v>87</v>
      </c>
    </row>
    <row r="55" customFormat="false" ht="15" hidden="false" customHeight="false" outlineLevel="0" collapsed="false">
      <c r="A55" s="0" t="s">
        <v>77</v>
      </c>
      <c r="B55" s="0" t="n">
        <v>2016</v>
      </c>
      <c r="C55" s="0" t="s">
        <v>78</v>
      </c>
      <c r="D55" s="0" t="s">
        <v>79</v>
      </c>
      <c r="E55" s="0" t="n">
        <v>0</v>
      </c>
      <c r="F55" s="0" t="s">
        <v>31</v>
      </c>
      <c r="G55" s="0" t="n">
        <v>86.3753150337041</v>
      </c>
      <c r="H55" s="0" t="s">
        <v>437</v>
      </c>
      <c r="I55" s="0" t="s">
        <v>437</v>
      </c>
      <c r="J55" s="0" t="s">
        <v>437</v>
      </c>
      <c r="K55" s="0" t="s">
        <v>437</v>
      </c>
      <c r="L55" s="0" t="s">
        <v>437</v>
      </c>
      <c r="M55" s="0" t="s">
        <v>457</v>
      </c>
      <c r="R55" s="0" t="s">
        <v>87</v>
      </c>
    </row>
    <row r="56" customFormat="false" ht="15" hidden="false" customHeight="false" outlineLevel="0" collapsed="false">
      <c r="A56" s="0" t="s">
        <v>77</v>
      </c>
      <c r="B56" s="0" t="n">
        <v>2017</v>
      </c>
      <c r="C56" s="0" t="s">
        <v>78</v>
      </c>
      <c r="D56" s="0" t="s">
        <v>79</v>
      </c>
      <c r="E56" s="0" t="n">
        <v>0</v>
      </c>
      <c r="F56" s="0" t="s">
        <v>73</v>
      </c>
      <c r="G56" s="0" t="n">
        <v>0</v>
      </c>
      <c r="H56" s="0" t="s">
        <v>437</v>
      </c>
      <c r="I56" s="0" t="s">
        <v>437</v>
      </c>
      <c r="J56" s="0" t="s">
        <v>437</v>
      </c>
      <c r="K56" s="0" t="s">
        <v>437</v>
      </c>
      <c r="L56" s="0" t="s">
        <v>437</v>
      </c>
      <c r="M56" s="0" t="s">
        <v>457</v>
      </c>
      <c r="R56" s="0" t="s">
        <v>89</v>
      </c>
    </row>
    <row r="57" customFormat="false" ht="15" hidden="false" customHeight="false" outlineLevel="0" collapsed="false">
      <c r="A57" s="0" t="s">
        <v>77</v>
      </c>
      <c r="B57" s="0" t="n">
        <v>2017</v>
      </c>
      <c r="C57" s="0" t="s">
        <v>78</v>
      </c>
      <c r="D57" s="0" t="s">
        <v>79</v>
      </c>
      <c r="E57" s="0" t="n">
        <v>0</v>
      </c>
      <c r="F57" s="0" t="s">
        <v>69</v>
      </c>
      <c r="G57" s="0" t="n">
        <v>18.18</v>
      </c>
      <c r="H57" s="0" t="s">
        <v>437</v>
      </c>
      <c r="I57" s="0" t="s">
        <v>437</v>
      </c>
      <c r="J57" s="0" t="s">
        <v>437</v>
      </c>
      <c r="K57" s="0" t="s">
        <v>437</v>
      </c>
      <c r="L57" s="0" t="s">
        <v>437</v>
      </c>
      <c r="M57" s="0" t="s">
        <v>457</v>
      </c>
      <c r="R57" s="0" t="s">
        <v>89</v>
      </c>
    </row>
    <row r="58" customFormat="false" ht="15" hidden="false" customHeight="false" outlineLevel="0" collapsed="false">
      <c r="A58" s="0" t="s">
        <v>77</v>
      </c>
      <c r="B58" s="0" t="n">
        <v>2017</v>
      </c>
      <c r="C58" s="0" t="s">
        <v>78</v>
      </c>
      <c r="D58" s="0" t="s">
        <v>79</v>
      </c>
      <c r="E58" s="0" t="n">
        <v>0</v>
      </c>
      <c r="F58" s="0" t="s">
        <v>25</v>
      </c>
      <c r="G58" s="0" t="n">
        <v>18.1752021587668</v>
      </c>
      <c r="H58" s="0" t="s">
        <v>437</v>
      </c>
      <c r="I58" s="0" t="s">
        <v>437</v>
      </c>
      <c r="J58" s="0" t="s">
        <v>437</v>
      </c>
      <c r="K58" s="0" t="s">
        <v>437</v>
      </c>
      <c r="L58" s="0" t="s">
        <v>437</v>
      </c>
      <c r="M58" s="0" t="s">
        <v>457</v>
      </c>
      <c r="R58" s="0" t="s">
        <v>89</v>
      </c>
    </row>
    <row r="59" customFormat="false" ht="15" hidden="false" customHeight="false" outlineLevel="0" collapsed="false">
      <c r="A59" s="0" t="s">
        <v>77</v>
      </c>
      <c r="B59" s="0" t="n">
        <v>2017</v>
      </c>
      <c r="C59" s="0" t="s">
        <v>78</v>
      </c>
      <c r="D59" s="0" t="s">
        <v>79</v>
      </c>
      <c r="E59" s="0" t="n">
        <v>0</v>
      </c>
      <c r="F59" s="0" t="s">
        <v>41</v>
      </c>
      <c r="G59" s="0" t="n">
        <v>1.61460779420144</v>
      </c>
      <c r="H59" s="0" t="s">
        <v>437</v>
      </c>
      <c r="I59" s="0" t="s">
        <v>437</v>
      </c>
      <c r="J59" s="0" t="s">
        <v>437</v>
      </c>
      <c r="K59" s="0" t="s">
        <v>437</v>
      </c>
      <c r="L59" s="0" t="s">
        <v>437</v>
      </c>
      <c r="M59" s="0" t="s">
        <v>457</v>
      </c>
      <c r="R59" s="0" t="s">
        <v>89</v>
      </c>
    </row>
    <row r="60" customFormat="false" ht="15" hidden="false" customHeight="false" outlineLevel="0" collapsed="false">
      <c r="A60" s="0" t="s">
        <v>77</v>
      </c>
      <c r="B60" s="0" t="n">
        <v>2017</v>
      </c>
      <c r="C60" s="0" t="s">
        <v>78</v>
      </c>
      <c r="D60" s="0" t="s">
        <v>79</v>
      </c>
      <c r="E60" s="0" t="n">
        <v>0</v>
      </c>
      <c r="F60" s="0" t="s">
        <v>27</v>
      </c>
      <c r="G60" s="0" t="n">
        <v>13.4152426281116</v>
      </c>
      <c r="H60" s="0" t="s">
        <v>437</v>
      </c>
      <c r="I60" s="0" t="s">
        <v>437</v>
      </c>
      <c r="J60" s="0" t="s">
        <v>437</v>
      </c>
      <c r="K60" s="0" t="s">
        <v>437</v>
      </c>
      <c r="L60" s="0" t="s">
        <v>437</v>
      </c>
      <c r="M60" s="0" t="s">
        <v>457</v>
      </c>
      <c r="R60" s="0" t="s">
        <v>89</v>
      </c>
    </row>
    <row r="61" customFormat="false" ht="15" hidden="false" customHeight="false" outlineLevel="0" collapsed="false">
      <c r="A61" s="0" t="s">
        <v>77</v>
      </c>
      <c r="B61" s="0" t="n">
        <v>2017</v>
      </c>
      <c r="C61" s="0" t="s">
        <v>78</v>
      </c>
      <c r="D61" s="0" t="s">
        <v>79</v>
      </c>
      <c r="E61" s="0" t="n">
        <v>0</v>
      </c>
      <c r="F61" s="0" t="s">
        <v>39</v>
      </c>
      <c r="G61" s="0" t="n">
        <v>3.16501312830283</v>
      </c>
      <c r="H61" s="0" t="s">
        <v>437</v>
      </c>
      <c r="I61" s="0" t="s">
        <v>437</v>
      </c>
      <c r="J61" s="0" t="s">
        <v>437</v>
      </c>
      <c r="K61" s="0" t="s">
        <v>437</v>
      </c>
      <c r="L61" s="0" t="s">
        <v>437</v>
      </c>
      <c r="M61" s="0" t="s">
        <v>457</v>
      </c>
      <c r="R61" s="0" t="s">
        <v>89</v>
      </c>
    </row>
    <row r="62" customFormat="false" ht="15" hidden="false" customHeight="false" outlineLevel="0" collapsed="false">
      <c r="A62" s="0" t="s">
        <v>77</v>
      </c>
      <c r="B62" s="0" t="n">
        <v>2017</v>
      </c>
      <c r="C62" s="0" t="s">
        <v>78</v>
      </c>
      <c r="D62" s="0" t="s">
        <v>79</v>
      </c>
      <c r="E62" s="0" t="n">
        <v>0</v>
      </c>
      <c r="F62" s="0" t="s">
        <v>17</v>
      </c>
      <c r="G62" s="0" t="n">
        <v>3.08000985394754</v>
      </c>
      <c r="H62" s="0" t="s">
        <v>437</v>
      </c>
      <c r="I62" s="0" t="s">
        <v>437</v>
      </c>
      <c r="J62" s="0" t="s">
        <v>437</v>
      </c>
      <c r="K62" s="0" t="s">
        <v>437</v>
      </c>
      <c r="L62" s="0" t="s">
        <v>437</v>
      </c>
      <c r="M62" s="0" t="s">
        <v>457</v>
      </c>
      <c r="R62" s="0" t="s">
        <v>89</v>
      </c>
    </row>
    <row r="63" customFormat="false" ht="15" hidden="false" customHeight="false" outlineLevel="0" collapsed="false">
      <c r="A63" s="0" t="s">
        <v>77</v>
      </c>
      <c r="B63" s="0" t="n">
        <v>2017</v>
      </c>
      <c r="C63" s="0" t="s">
        <v>78</v>
      </c>
      <c r="D63" s="0" t="s">
        <v>79</v>
      </c>
      <c r="E63" s="0" t="n">
        <v>0</v>
      </c>
      <c r="F63" s="0" t="s">
        <v>29</v>
      </c>
      <c r="G63" s="0" t="n">
        <v>0.884046108217703</v>
      </c>
      <c r="H63" s="0" t="s">
        <v>437</v>
      </c>
      <c r="I63" s="0" t="s">
        <v>437</v>
      </c>
      <c r="J63" s="0" t="s">
        <v>437</v>
      </c>
      <c r="K63" s="0" t="s">
        <v>437</v>
      </c>
      <c r="L63" s="0" t="s">
        <v>437</v>
      </c>
      <c r="M63" s="0" t="s">
        <v>457</v>
      </c>
      <c r="R63" s="0" t="s">
        <v>89</v>
      </c>
    </row>
    <row r="64" customFormat="false" ht="15" hidden="false" customHeight="false" outlineLevel="0" collapsed="false">
      <c r="A64" s="0" t="s">
        <v>77</v>
      </c>
      <c r="B64" s="0" t="n">
        <v>2017</v>
      </c>
      <c r="C64" s="0" t="s">
        <v>78</v>
      </c>
      <c r="D64" s="0" t="s">
        <v>79</v>
      </c>
      <c r="E64" s="0" t="n">
        <v>0</v>
      </c>
      <c r="F64" s="0" t="s">
        <v>37</v>
      </c>
      <c r="H64" s="0" t="s">
        <v>457</v>
      </c>
      <c r="I64" s="0" t="s">
        <v>457</v>
      </c>
      <c r="J64" s="0" t="s">
        <v>457</v>
      </c>
      <c r="K64" s="0" t="s">
        <v>457</v>
      </c>
      <c r="L64" s="0" t="s">
        <v>457</v>
      </c>
      <c r="M64" s="0" t="s">
        <v>457</v>
      </c>
      <c r="R64" s="0" t="s">
        <v>89</v>
      </c>
    </row>
    <row r="65" customFormat="false" ht="15" hidden="false" customHeight="false" outlineLevel="0" collapsed="false">
      <c r="A65" s="0" t="s">
        <v>77</v>
      </c>
      <c r="B65" s="0" t="n">
        <v>2017</v>
      </c>
      <c r="C65" s="0" t="s">
        <v>78</v>
      </c>
      <c r="D65" s="0" t="s">
        <v>79</v>
      </c>
      <c r="E65" s="0" t="n">
        <v>0</v>
      </c>
      <c r="F65" s="0" t="s">
        <v>23</v>
      </c>
      <c r="H65" s="0" t="s">
        <v>457</v>
      </c>
      <c r="I65" s="0" t="s">
        <v>457</v>
      </c>
      <c r="J65" s="0" t="s">
        <v>457</v>
      </c>
      <c r="K65" s="0" t="s">
        <v>457</v>
      </c>
      <c r="L65" s="0" t="s">
        <v>457</v>
      </c>
      <c r="M65" s="0" t="s">
        <v>457</v>
      </c>
      <c r="R65" s="0" t="s">
        <v>89</v>
      </c>
    </row>
    <row r="66" customFormat="false" ht="15" hidden="false" customHeight="false" outlineLevel="0" collapsed="false">
      <c r="A66" s="0" t="s">
        <v>77</v>
      </c>
      <c r="B66" s="0" t="n">
        <v>2017</v>
      </c>
      <c r="C66" s="0" t="s">
        <v>78</v>
      </c>
      <c r="D66" s="0" t="s">
        <v>79</v>
      </c>
      <c r="E66" s="0" t="n">
        <v>0</v>
      </c>
      <c r="F66" s="0" t="s">
        <v>45</v>
      </c>
      <c r="H66" s="0" t="s">
        <v>457</v>
      </c>
      <c r="I66" s="0" t="s">
        <v>457</v>
      </c>
      <c r="J66" s="0" t="s">
        <v>457</v>
      </c>
      <c r="K66" s="0" t="s">
        <v>457</v>
      </c>
      <c r="L66" s="0" t="s">
        <v>457</v>
      </c>
      <c r="M66" s="0" t="s">
        <v>457</v>
      </c>
      <c r="R66" s="0" t="s">
        <v>89</v>
      </c>
    </row>
    <row r="67" customFormat="false" ht="15" hidden="false" customHeight="false" outlineLevel="0" collapsed="false">
      <c r="A67" s="0" t="s">
        <v>77</v>
      </c>
      <c r="B67" s="0" t="n">
        <v>2017</v>
      </c>
      <c r="C67" s="0" t="s">
        <v>78</v>
      </c>
      <c r="D67" s="0" t="s">
        <v>79</v>
      </c>
      <c r="E67" s="0" t="n">
        <v>0</v>
      </c>
      <c r="F67" s="0" t="s">
        <v>71</v>
      </c>
      <c r="H67" s="0" t="s">
        <v>457</v>
      </c>
      <c r="I67" s="0" t="s">
        <v>457</v>
      </c>
      <c r="J67" s="0" t="s">
        <v>457</v>
      </c>
      <c r="K67" s="0" t="s">
        <v>457</v>
      </c>
      <c r="L67" s="0" t="s">
        <v>457</v>
      </c>
      <c r="M67" s="0" t="s">
        <v>457</v>
      </c>
      <c r="R67" s="0" t="s">
        <v>89</v>
      </c>
    </row>
    <row r="68" customFormat="false" ht="15" hidden="false" customHeight="false" outlineLevel="0" collapsed="false">
      <c r="A68" s="0" t="s">
        <v>77</v>
      </c>
      <c r="B68" s="0" t="n">
        <v>2017</v>
      </c>
      <c r="C68" s="0" t="s">
        <v>78</v>
      </c>
      <c r="D68" s="0" t="s">
        <v>79</v>
      </c>
      <c r="E68" s="0" t="n">
        <v>0</v>
      </c>
      <c r="F68" s="0" t="s">
        <v>31</v>
      </c>
      <c r="G68" s="0" t="n">
        <v>86.5847573718884</v>
      </c>
      <c r="H68" s="0" t="s">
        <v>437</v>
      </c>
      <c r="I68" s="0" t="s">
        <v>437</v>
      </c>
      <c r="J68" s="0" t="s">
        <v>437</v>
      </c>
      <c r="K68" s="0" t="s">
        <v>437</v>
      </c>
      <c r="L68" s="0" t="s">
        <v>437</v>
      </c>
      <c r="M68" s="0" t="s">
        <v>457</v>
      </c>
      <c r="R68" s="0" t="s">
        <v>89</v>
      </c>
    </row>
    <row r="69" customFormat="false" ht="15" hidden="false" customHeight="false" outlineLevel="0" collapsed="false">
      <c r="A69" s="0" t="s">
        <v>77</v>
      </c>
      <c r="B69" s="0" t="n">
        <v>2018</v>
      </c>
      <c r="C69" s="0" t="s">
        <v>78</v>
      </c>
      <c r="D69" s="0" t="s">
        <v>90</v>
      </c>
      <c r="E69" s="0" t="n">
        <v>1</v>
      </c>
      <c r="F69" s="0" t="s">
        <v>73</v>
      </c>
      <c r="H69" s="0" t="s">
        <v>457</v>
      </c>
      <c r="I69" s="0" t="s">
        <v>457</v>
      </c>
      <c r="J69" s="0" t="s">
        <v>457</v>
      </c>
      <c r="K69" s="0" t="s">
        <v>457</v>
      </c>
      <c r="L69" s="0" t="s">
        <v>457</v>
      </c>
      <c r="M69" s="0" t="s">
        <v>457</v>
      </c>
      <c r="O69" s="0" t="s">
        <v>2570</v>
      </c>
      <c r="P69" s="0" t="s">
        <v>2571</v>
      </c>
      <c r="Q69" s="0" t="s">
        <v>1658</v>
      </c>
      <c r="R69" s="0" t="s">
        <v>92</v>
      </c>
    </row>
    <row r="70" customFormat="false" ht="15" hidden="false" customHeight="false" outlineLevel="0" collapsed="false">
      <c r="A70" s="0" t="s">
        <v>77</v>
      </c>
      <c r="B70" s="0" t="n">
        <v>2018</v>
      </c>
      <c r="C70" s="0" t="s">
        <v>78</v>
      </c>
      <c r="D70" s="0" t="s">
        <v>90</v>
      </c>
      <c r="E70" s="0" t="n">
        <v>1</v>
      </c>
      <c r="F70" s="0" t="s">
        <v>69</v>
      </c>
      <c r="H70" s="0" t="s">
        <v>457</v>
      </c>
      <c r="I70" s="0" t="s">
        <v>457</v>
      </c>
      <c r="J70" s="0" t="s">
        <v>457</v>
      </c>
      <c r="K70" s="0" t="s">
        <v>457</v>
      </c>
      <c r="L70" s="0" t="s">
        <v>457</v>
      </c>
      <c r="M70" s="0" t="s">
        <v>457</v>
      </c>
      <c r="O70" s="0" t="s">
        <v>2570</v>
      </c>
      <c r="P70" s="0" t="s">
        <v>2571</v>
      </c>
      <c r="Q70" s="0" t="s">
        <v>1658</v>
      </c>
      <c r="R70" s="0" t="s">
        <v>92</v>
      </c>
    </row>
    <row r="71" customFormat="false" ht="15" hidden="false" customHeight="false" outlineLevel="0" collapsed="false">
      <c r="A71" s="0" t="s">
        <v>77</v>
      </c>
      <c r="B71" s="0" t="n">
        <v>2018</v>
      </c>
      <c r="C71" s="0" t="s">
        <v>78</v>
      </c>
      <c r="D71" s="0" t="s">
        <v>90</v>
      </c>
      <c r="E71" s="0" t="n">
        <v>1</v>
      </c>
      <c r="F71" s="0" t="s">
        <v>25</v>
      </c>
      <c r="H71" s="0" t="s">
        <v>457</v>
      </c>
      <c r="I71" s="0" t="s">
        <v>457</v>
      </c>
      <c r="J71" s="0" t="s">
        <v>457</v>
      </c>
      <c r="K71" s="0" t="s">
        <v>457</v>
      </c>
      <c r="L71" s="0" t="s">
        <v>457</v>
      </c>
      <c r="M71" s="0" t="s">
        <v>457</v>
      </c>
      <c r="O71" s="0" t="s">
        <v>2570</v>
      </c>
      <c r="P71" s="0" t="s">
        <v>2571</v>
      </c>
      <c r="Q71" s="0" t="s">
        <v>1658</v>
      </c>
      <c r="R71" s="0" t="s">
        <v>92</v>
      </c>
    </row>
    <row r="72" customFormat="false" ht="15" hidden="false" customHeight="false" outlineLevel="0" collapsed="false">
      <c r="A72" s="0" t="s">
        <v>77</v>
      </c>
      <c r="B72" s="0" t="n">
        <v>2018</v>
      </c>
      <c r="C72" s="0" t="s">
        <v>78</v>
      </c>
      <c r="D72" s="0" t="s">
        <v>90</v>
      </c>
      <c r="E72" s="0" t="n">
        <v>1</v>
      </c>
      <c r="F72" s="0" t="s">
        <v>41</v>
      </c>
      <c r="H72" s="0" t="s">
        <v>457</v>
      </c>
      <c r="I72" s="0" t="s">
        <v>457</v>
      </c>
      <c r="J72" s="0" t="s">
        <v>457</v>
      </c>
      <c r="K72" s="0" t="s">
        <v>457</v>
      </c>
      <c r="L72" s="0" t="s">
        <v>457</v>
      </c>
      <c r="M72" s="0" t="s">
        <v>457</v>
      </c>
      <c r="O72" s="0" t="s">
        <v>2570</v>
      </c>
      <c r="P72" s="0" t="s">
        <v>2571</v>
      </c>
      <c r="Q72" s="0" t="s">
        <v>1658</v>
      </c>
      <c r="R72" s="0" t="s">
        <v>92</v>
      </c>
    </row>
    <row r="73" customFormat="false" ht="15" hidden="false" customHeight="false" outlineLevel="0" collapsed="false">
      <c r="A73" s="0" t="s">
        <v>77</v>
      </c>
      <c r="B73" s="0" t="n">
        <v>2018</v>
      </c>
      <c r="C73" s="0" t="s">
        <v>78</v>
      </c>
      <c r="D73" s="0" t="s">
        <v>90</v>
      </c>
      <c r="E73" s="0" t="n">
        <v>1</v>
      </c>
      <c r="F73" s="0" t="s">
        <v>27</v>
      </c>
      <c r="G73" s="0" t="n">
        <v>11.1085439921577</v>
      </c>
      <c r="H73" s="0" t="s">
        <v>437</v>
      </c>
      <c r="I73" s="0" t="s">
        <v>437</v>
      </c>
      <c r="J73" s="0" t="s">
        <v>437</v>
      </c>
      <c r="K73" s="0" t="s">
        <v>437</v>
      </c>
      <c r="L73" s="0" t="s">
        <v>437</v>
      </c>
      <c r="M73" s="0" t="s">
        <v>437</v>
      </c>
      <c r="O73" s="0" t="s">
        <v>2570</v>
      </c>
      <c r="P73" s="0" t="s">
        <v>2571</v>
      </c>
      <c r="Q73" s="0" t="s">
        <v>1658</v>
      </c>
      <c r="R73" s="0" t="s">
        <v>92</v>
      </c>
    </row>
    <row r="74" customFormat="false" ht="15" hidden="false" customHeight="false" outlineLevel="0" collapsed="false">
      <c r="A74" s="0" t="s">
        <v>77</v>
      </c>
      <c r="B74" s="0" t="n">
        <v>2018</v>
      </c>
      <c r="C74" s="0" t="s">
        <v>78</v>
      </c>
      <c r="D74" s="0" t="s">
        <v>90</v>
      </c>
      <c r="E74" s="0" t="n">
        <v>1</v>
      </c>
      <c r="F74" s="0" t="s">
        <v>39</v>
      </c>
      <c r="H74" s="0" t="s">
        <v>457</v>
      </c>
      <c r="I74" s="0" t="s">
        <v>457</v>
      </c>
      <c r="J74" s="0" t="s">
        <v>457</v>
      </c>
      <c r="K74" s="0" t="s">
        <v>457</v>
      </c>
      <c r="L74" s="0" t="s">
        <v>457</v>
      </c>
      <c r="M74" s="0" t="s">
        <v>457</v>
      </c>
      <c r="O74" s="0" t="s">
        <v>2570</v>
      </c>
      <c r="P74" s="0" t="s">
        <v>2571</v>
      </c>
      <c r="Q74" s="0" t="s">
        <v>1658</v>
      </c>
      <c r="R74" s="0" t="s">
        <v>92</v>
      </c>
    </row>
    <row r="75" customFormat="false" ht="15" hidden="false" customHeight="false" outlineLevel="0" collapsed="false">
      <c r="A75" s="0" t="s">
        <v>77</v>
      </c>
      <c r="B75" s="0" t="n">
        <v>2018</v>
      </c>
      <c r="C75" s="0" t="s">
        <v>78</v>
      </c>
      <c r="D75" s="0" t="s">
        <v>90</v>
      </c>
      <c r="E75" s="0" t="n">
        <v>1</v>
      </c>
      <c r="F75" s="0" t="s">
        <v>17</v>
      </c>
      <c r="H75" s="0" t="s">
        <v>457</v>
      </c>
      <c r="I75" s="0" t="s">
        <v>457</v>
      </c>
      <c r="J75" s="0" t="s">
        <v>457</v>
      </c>
      <c r="K75" s="0" t="s">
        <v>457</v>
      </c>
      <c r="L75" s="0" t="s">
        <v>457</v>
      </c>
      <c r="M75" s="0" t="s">
        <v>457</v>
      </c>
      <c r="O75" s="0" t="s">
        <v>2570</v>
      </c>
      <c r="P75" s="0" t="s">
        <v>2571</v>
      </c>
      <c r="Q75" s="0" t="s">
        <v>1658</v>
      </c>
      <c r="R75" s="0" t="s">
        <v>92</v>
      </c>
    </row>
    <row r="76" customFormat="false" ht="15" hidden="false" customHeight="false" outlineLevel="0" collapsed="false">
      <c r="A76" s="0" t="s">
        <v>77</v>
      </c>
      <c r="B76" s="0" t="n">
        <v>2018</v>
      </c>
      <c r="C76" s="0" t="s">
        <v>78</v>
      </c>
      <c r="D76" s="0" t="s">
        <v>90</v>
      </c>
      <c r="E76" s="0" t="n">
        <v>1</v>
      </c>
      <c r="F76" s="0" t="s">
        <v>29</v>
      </c>
      <c r="H76" s="0" t="s">
        <v>457</v>
      </c>
      <c r="I76" s="0" t="s">
        <v>457</v>
      </c>
      <c r="J76" s="0" t="s">
        <v>457</v>
      </c>
      <c r="K76" s="0" t="s">
        <v>457</v>
      </c>
      <c r="L76" s="0" t="s">
        <v>457</v>
      </c>
      <c r="M76" s="0" t="s">
        <v>457</v>
      </c>
      <c r="O76" s="0" t="s">
        <v>2570</v>
      </c>
      <c r="P76" s="0" t="s">
        <v>2571</v>
      </c>
      <c r="Q76" s="0" t="s">
        <v>1658</v>
      </c>
      <c r="R76" s="0" t="s">
        <v>92</v>
      </c>
    </row>
    <row r="77" customFormat="false" ht="15" hidden="false" customHeight="false" outlineLevel="0" collapsed="false">
      <c r="A77" s="0" t="s">
        <v>77</v>
      </c>
      <c r="B77" s="0" t="n">
        <v>2018</v>
      </c>
      <c r="C77" s="0" t="s">
        <v>78</v>
      </c>
      <c r="D77" s="0" t="s">
        <v>90</v>
      </c>
      <c r="E77" s="0" t="n">
        <v>1</v>
      </c>
      <c r="F77" s="0" t="s">
        <v>37</v>
      </c>
      <c r="H77" s="0" t="s">
        <v>457</v>
      </c>
      <c r="I77" s="0" t="s">
        <v>457</v>
      </c>
      <c r="J77" s="0" t="s">
        <v>457</v>
      </c>
      <c r="K77" s="0" t="s">
        <v>457</v>
      </c>
      <c r="L77" s="0" t="s">
        <v>457</v>
      </c>
      <c r="M77" s="0" t="s">
        <v>457</v>
      </c>
      <c r="O77" s="0" t="s">
        <v>2570</v>
      </c>
      <c r="P77" s="0" t="s">
        <v>2571</v>
      </c>
      <c r="Q77" s="0" t="s">
        <v>1658</v>
      </c>
      <c r="R77" s="0" t="s">
        <v>92</v>
      </c>
    </row>
    <row r="78" customFormat="false" ht="15" hidden="false" customHeight="false" outlineLevel="0" collapsed="false">
      <c r="A78" s="0" t="s">
        <v>77</v>
      </c>
      <c r="B78" s="0" t="n">
        <v>2018</v>
      </c>
      <c r="C78" s="0" t="s">
        <v>78</v>
      </c>
      <c r="D78" s="0" t="s">
        <v>90</v>
      </c>
      <c r="E78" s="0" t="n">
        <v>1</v>
      </c>
      <c r="F78" s="0" t="s">
        <v>23</v>
      </c>
      <c r="H78" s="0" t="s">
        <v>457</v>
      </c>
      <c r="I78" s="0" t="s">
        <v>457</v>
      </c>
      <c r="J78" s="0" t="s">
        <v>457</v>
      </c>
      <c r="K78" s="0" t="s">
        <v>457</v>
      </c>
      <c r="L78" s="0" t="s">
        <v>457</v>
      </c>
      <c r="M78" s="0" t="s">
        <v>457</v>
      </c>
      <c r="O78" s="0" t="s">
        <v>2570</v>
      </c>
      <c r="P78" s="0" t="s">
        <v>2571</v>
      </c>
      <c r="Q78" s="0" t="s">
        <v>1658</v>
      </c>
      <c r="R78" s="0" t="s">
        <v>92</v>
      </c>
    </row>
    <row r="79" customFormat="false" ht="15" hidden="false" customHeight="false" outlineLevel="0" collapsed="false">
      <c r="A79" s="0" t="s">
        <v>77</v>
      </c>
      <c r="B79" s="0" t="n">
        <v>2018</v>
      </c>
      <c r="C79" s="0" t="s">
        <v>78</v>
      </c>
      <c r="D79" s="0" t="s">
        <v>90</v>
      </c>
      <c r="E79" s="0" t="n">
        <v>1</v>
      </c>
      <c r="F79" s="0" t="s">
        <v>45</v>
      </c>
      <c r="H79" s="0" t="s">
        <v>457</v>
      </c>
      <c r="I79" s="0" t="s">
        <v>457</v>
      </c>
      <c r="J79" s="0" t="s">
        <v>457</v>
      </c>
      <c r="K79" s="0" t="s">
        <v>457</v>
      </c>
      <c r="L79" s="0" t="s">
        <v>457</v>
      </c>
      <c r="M79" s="0" t="s">
        <v>457</v>
      </c>
      <c r="O79" s="0" t="s">
        <v>2570</v>
      </c>
      <c r="P79" s="0" t="s">
        <v>2571</v>
      </c>
      <c r="Q79" s="0" t="s">
        <v>1658</v>
      </c>
      <c r="R79" s="0" t="s">
        <v>92</v>
      </c>
    </row>
    <row r="80" customFormat="false" ht="15" hidden="false" customHeight="false" outlineLevel="0" collapsed="false">
      <c r="A80" s="0" t="s">
        <v>77</v>
      </c>
      <c r="B80" s="0" t="n">
        <v>2018</v>
      </c>
      <c r="C80" s="0" t="s">
        <v>78</v>
      </c>
      <c r="D80" s="0" t="s">
        <v>90</v>
      </c>
      <c r="E80" s="0" t="n">
        <v>1</v>
      </c>
      <c r="F80" s="0" t="s">
        <v>71</v>
      </c>
      <c r="H80" s="0" t="s">
        <v>457</v>
      </c>
      <c r="I80" s="0" t="s">
        <v>457</v>
      </c>
      <c r="J80" s="0" t="s">
        <v>457</v>
      </c>
      <c r="K80" s="0" t="s">
        <v>457</v>
      </c>
      <c r="L80" s="0" t="s">
        <v>457</v>
      </c>
      <c r="M80" s="0" t="s">
        <v>457</v>
      </c>
      <c r="O80" s="0" t="s">
        <v>2570</v>
      </c>
      <c r="P80" s="0" t="s">
        <v>2571</v>
      </c>
      <c r="Q80" s="0" t="s">
        <v>1658</v>
      </c>
      <c r="R80" s="0" t="s">
        <v>92</v>
      </c>
    </row>
    <row r="81" customFormat="false" ht="15" hidden="false" customHeight="false" outlineLevel="0" collapsed="false">
      <c r="A81" s="0" t="s">
        <v>77</v>
      </c>
      <c r="B81" s="0" t="n">
        <v>2018</v>
      </c>
      <c r="C81" s="0" t="s">
        <v>78</v>
      </c>
      <c r="D81" s="0" t="s">
        <v>90</v>
      </c>
      <c r="E81" s="0" t="n">
        <v>1</v>
      </c>
      <c r="F81" s="0" t="s">
        <v>31</v>
      </c>
      <c r="G81" s="0" t="n">
        <v>88.8914560078423</v>
      </c>
      <c r="H81" s="0" t="s">
        <v>437</v>
      </c>
      <c r="I81" s="0" t="s">
        <v>437</v>
      </c>
      <c r="J81" s="0" t="s">
        <v>437</v>
      </c>
      <c r="K81" s="0" t="s">
        <v>437</v>
      </c>
      <c r="L81" s="0" t="s">
        <v>437</v>
      </c>
      <c r="M81" s="0" t="s">
        <v>437</v>
      </c>
      <c r="O81" s="0" t="s">
        <v>2570</v>
      </c>
      <c r="P81" s="0" t="s">
        <v>2571</v>
      </c>
      <c r="Q81" s="0" t="s">
        <v>1658</v>
      </c>
      <c r="R81" s="0" t="s">
        <v>92</v>
      </c>
    </row>
    <row r="82" customFormat="false" ht="15" hidden="false" customHeight="false" outlineLevel="0" collapsed="false">
      <c r="A82" s="0" t="s">
        <v>77</v>
      </c>
      <c r="B82" s="0" t="n">
        <v>2019</v>
      </c>
      <c r="C82" s="0" t="s">
        <v>78</v>
      </c>
      <c r="D82" s="0" t="s">
        <v>90</v>
      </c>
      <c r="E82" s="0" t="n">
        <v>1</v>
      </c>
      <c r="F82" s="0" t="s">
        <v>73</v>
      </c>
      <c r="G82" s="0" t="n">
        <v>0</v>
      </c>
      <c r="H82" s="0" t="s">
        <v>437</v>
      </c>
      <c r="I82" s="0" t="s">
        <v>437</v>
      </c>
      <c r="J82" s="0" t="s">
        <v>437</v>
      </c>
      <c r="K82" s="0" t="s">
        <v>457</v>
      </c>
      <c r="L82" s="0" t="s">
        <v>437</v>
      </c>
      <c r="M82" s="0" t="s">
        <v>457</v>
      </c>
      <c r="R82" s="0" t="s">
        <v>93</v>
      </c>
    </row>
    <row r="83" customFormat="false" ht="15" hidden="false" customHeight="false" outlineLevel="0" collapsed="false">
      <c r="A83" s="0" t="s">
        <v>77</v>
      </c>
      <c r="B83" s="0" t="n">
        <v>2019</v>
      </c>
      <c r="C83" s="0" t="s">
        <v>78</v>
      </c>
      <c r="D83" s="0" t="s">
        <v>90</v>
      </c>
      <c r="E83" s="0" t="n">
        <v>1</v>
      </c>
      <c r="F83" s="0" t="s">
        <v>69</v>
      </c>
      <c r="H83" s="0" t="s">
        <v>457</v>
      </c>
      <c r="I83" s="0" t="s">
        <v>457</v>
      </c>
      <c r="J83" s="0" t="s">
        <v>457</v>
      </c>
      <c r="K83" s="0" t="s">
        <v>457</v>
      </c>
      <c r="L83" s="0" t="s">
        <v>457</v>
      </c>
      <c r="M83" s="0" t="s">
        <v>457</v>
      </c>
      <c r="R83" s="0" t="s">
        <v>93</v>
      </c>
    </row>
    <row r="84" customFormat="false" ht="15" hidden="false" customHeight="false" outlineLevel="0" collapsed="false">
      <c r="A84" s="0" t="s">
        <v>77</v>
      </c>
      <c r="B84" s="0" t="n">
        <v>2019</v>
      </c>
      <c r="C84" s="0" t="s">
        <v>78</v>
      </c>
      <c r="D84" s="0" t="s">
        <v>90</v>
      </c>
      <c r="E84" s="0" t="n">
        <v>1</v>
      </c>
      <c r="F84" s="0" t="s">
        <v>25</v>
      </c>
      <c r="H84" s="0" t="s">
        <v>457</v>
      </c>
      <c r="I84" s="0" t="s">
        <v>457</v>
      </c>
      <c r="J84" s="0" t="s">
        <v>457</v>
      </c>
      <c r="K84" s="0" t="s">
        <v>457</v>
      </c>
      <c r="L84" s="0" t="s">
        <v>457</v>
      </c>
      <c r="M84" s="0" t="s">
        <v>457</v>
      </c>
      <c r="R84" s="0" t="s">
        <v>93</v>
      </c>
    </row>
    <row r="85" customFormat="false" ht="15" hidden="false" customHeight="false" outlineLevel="0" collapsed="false">
      <c r="A85" s="0" t="s">
        <v>77</v>
      </c>
      <c r="B85" s="0" t="n">
        <v>2019</v>
      </c>
      <c r="C85" s="0" t="s">
        <v>78</v>
      </c>
      <c r="D85" s="0" t="s">
        <v>90</v>
      </c>
      <c r="E85" s="0" t="n">
        <v>1</v>
      </c>
      <c r="F85" s="0" t="s">
        <v>41</v>
      </c>
      <c r="G85" s="0" t="n">
        <v>1.43142208913115</v>
      </c>
      <c r="H85" s="0" t="s">
        <v>437</v>
      </c>
      <c r="I85" s="0" t="s">
        <v>437</v>
      </c>
      <c r="J85" s="0" t="s">
        <v>437</v>
      </c>
      <c r="K85" s="0" t="s">
        <v>457</v>
      </c>
      <c r="L85" s="0" t="s">
        <v>437</v>
      </c>
      <c r="M85" s="0" t="s">
        <v>457</v>
      </c>
      <c r="R85" s="0" t="s">
        <v>93</v>
      </c>
    </row>
    <row r="86" customFormat="false" ht="15" hidden="false" customHeight="false" outlineLevel="0" collapsed="false">
      <c r="A86" s="0" t="s">
        <v>77</v>
      </c>
      <c r="B86" s="0" t="n">
        <v>2019</v>
      </c>
      <c r="C86" s="0" t="s">
        <v>78</v>
      </c>
      <c r="D86" s="0" t="s">
        <v>90</v>
      </c>
      <c r="E86" s="0" t="n">
        <v>1</v>
      </c>
      <c r="F86" s="0" t="s">
        <v>27</v>
      </c>
      <c r="G86" s="0" t="n">
        <v>8.60303515282884</v>
      </c>
      <c r="H86" s="0" t="s">
        <v>437</v>
      </c>
      <c r="I86" s="0" t="s">
        <v>437</v>
      </c>
      <c r="J86" s="0" t="s">
        <v>437</v>
      </c>
      <c r="K86" s="0" t="s">
        <v>437</v>
      </c>
      <c r="L86" s="0" t="s">
        <v>437</v>
      </c>
      <c r="M86" s="0" t="s">
        <v>457</v>
      </c>
      <c r="R86" s="0" t="s">
        <v>93</v>
      </c>
    </row>
    <row r="87" customFormat="false" ht="15" hidden="false" customHeight="false" outlineLevel="0" collapsed="false">
      <c r="A87" s="0" t="s">
        <v>77</v>
      </c>
      <c r="B87" s="0" t="n">
        <v>2019</v>
      </c>
      <c r="C87" s="0" t="s">
        <v>78</v>
      </c>
      <c r="D87" s="0" t="s">
        <v>90</v>
      </c>
      <c r="E87" s="0" t="n">
        <v>1</v>
      </c>
      <c r="F87" s="0" t="s">
        <v>39</v>
      </c>
      <c r="G87" s="0" t="n">
        <v>21.2969484383122</v>
      </c>
      <c r="H87" s="0" t="s">
        <v>437</v>
      </c>
      <c r="I87" s="0" t="s">
        <v>437</v>
      </c>
      <c r="J87" s="0" t="s">
        <v>437</v>
      </c>
      <c r="K87" s="0" t="s">
        <v>457</v>
      </c>
      <c r="L87" s="0" t="s">
        <v>437</v>
      </c>
      <c r="M87" s="0" t="s">
        <v>457</v>
      </c>
      <c r="R87" s="0" t="s">
        <v>93</v>
      </c>
    </row>
    <row r="88" customFormat="false" ht="15" hidden="false" customHeight="false" outlineLevel="0" collapsed="false">
      <c r="A88" s="0" t="s">
        <v>77</v>
      </c>
      <c r="B88" s="0" t="n">
        <v>2019</v>
      </c>
      <c r="C88" s="0" t="s">
        <v>78</v>
      </c>
      <c r="D88" s="0" t="s">
        <v>90</v>
      </c>
      <c r="E88" s="0" t="n">
        <v>1</v>
      </c>
      <c r="F88" s="0" t="s">
        <v>17</v>
      </c>
      <c r="G88" s="0" t="n">
        <v>6.79778597833679</v>
      </c>
      <c r="H88" s="0" t="s">
        <v>437</v>
      </c>
      <c r="I88" s="0" t="s">
        <v>437</v>
      </c>
      <c r="J88" s="0" t="s">
        <v>437</v>
      </c>
      <c r="K88" s="0" t="s">
        <v>457</v>
      </c>
      <c r="L88" s="0" t="s">
        <v>437</v>
      </c>
      <c r="M88" s="0" t="s">
        <v>457</v>
      </c>
      <c r="R88" s="0" t="s">
        <v>93</v>
      </c>
    </row>
    <row r="89" customFormat="false" ht="15" hidden="false" customHeight="false" outlineLevel="0" collapsed="false">
      <c r="A89" s="0" t="s">
        <v>77</v>
      </c>
      <c r="B89" s="0" t="n">
        <v>2019</v>
      </c>
      <c r="C89" s="0" t="s">
        <v>78</v>
      </c>
      <c r="D89" s="0" t="s">
        <v>90</v>
      </c>
      <c r="E89" s="0" t="n">
        <v>1</v>
      </c>
      <c r="F89" s="0" t="s">
        <v>29</v>
      </c>
      <c r="G89" s="0" t="n">
        <v>0.409673308261339</v>
      </c>
      <c r="H89" s="0" t="s">
        <v>437</v>
      </c>
      <c r="I89" s="0" t="s">
        <v>437</v>
      </c>
      <c r="J89" s="0" t="s">
        <v>437</v>
      </c>
      <c r="K89" s="0" t="s">
        <v>457</v>
      </c>
      <c r="L89" s="0" t="s">
        <v>437</v>
      </c>
      <c r="M89" s="0" t="s">
        <v>457</v>
      </c>
      <c r="R89" s="0" t="s">
        <v>93</v>
      </c>
    </row>
    <row r="90" customFormat="false" ht="15" hidden="false" customHeight="false" outlineLevel="0" collapsed="false">
      <c r="A90" s="0" t="s">
        <v>77</v>
      </c>
      <c r="B90" s="0" t="n">
        <v>2019</v>
      </c>
      <c r="C90" s="0" t="s">
        <v>78</v>
      </c>
      <c r="D90" s="0" t="s">
        <v>90</v>
      </c>
      <c r="E90" s="0" t="n">
        <v>1</v>
      </c>
      <c r="F90" s="0" t="s">
        <v>37</v>
      </c>
      <c r="H90" s="0" t="s">
        <v>457</v>
      </c>
      <c r="I90" s="0" t="s">
        <v>457</v>
      </c>
      <c r="J90" s="0" t="s">
        <v>457</v>
      </c>
      <c r="K90" s="0" t="s">
        <v>457</v>
      </c>
      <c r="L90" s="0" t="s">
        <v>457</v>
      </c>
      <c r="M90" s="0" t="s">
        <v>457</v>
      </c>
      <c r="R90" s="0" t="s">
        <v>93</v>
      </c>
    </row>
    <row r="91" customFormat="false" ht="15" hidden="false" customHeight="false" outlineLevel="0" collapsed="false">
      <c r="A91" s="0" t="s">
        <v>77</v>
      </c>
      <c r="B91" s="0" t="n">
        <v>2019</v>
      </c>
      <c r="C91" s="0" t="s">
        <v>78</v>
      </c>
      <c r="D91" s="0" t="s">
        <v>90</v>
      </c>
      <c r="E91" s="0" t="n">
        <v>1</v>
      </c>
      <c r="F91" s="0" t="s">
        <v>23</v>
      </c>
      <c r="H91" s="0" t="s">
        <v>457</v>
      </c>
      <c r="I91" s="0" t="s">
        <v>457</v>
      </c>
      <c r="J91" s="0" t="s">
        <v>457</v>
      </c>
      <c r="K91" s="0" t="s">
        <v>457</v>
      </c>
      <c r="L91" s="0" t="s">
        <v>457</v>
      </c>
      <c r="M91" s="0" t="s">
        <v>457</v>
      </c>
      <c r="R91" s="0" t="s">
        <v>93</v>
      </c>
    </row>
    <row r="92" customFormat="false" ht="15" hidden="false" customHeight="false" outlineLevel="0" collapsed="false">
      <c r="A92" s="0" t="s">
        <v>77</v>
      </c>
      <c r="B92" s="0" t="n">
        <v>2019</v>
      </c>
      <c r="C92" s="0" t="s">
        <v>78</v>
      </c>
      <c r="D92" s="0" t="s">
        <v>90</v>
      </c>
      <c r="E92" s="0" t="n">
        <v>1</v>
      </c>
      <c r="F92" s="0" t="s">
        <v>45</v>
      </c>
      <c r="H92" s="0" t="s">
        <v>457</v>
      </c>
      <c r="I92" s="0" t="s">
        <v>457</v>
      </c>
      <c r="J92" s="0" t="s">
        <v>457</v>
      </c>
      <c r="K92" s="0" t="s">
        <v>457</v>
      </c>
      <c r="L92" s="0" t="s">
        <v>457</v>
      </c>
      <c r="M92" s="0" t="s">
        <v>457</v>
      </c>
      <c r="R92" s="0" t="s">
        <v>93</v>
      </c>
    </row>
    <row r="93" customFormat="false" ht="15" hidden="false" customHeight="false" outlineLevel="0" collapsed="false">
      <c r="A93" s="0" t="s">
        <v>77</v>
      </c>
      <c r="B93" s="0" t="n">
        <v>2019</v>
      </c>
      <c r="C93" s="0" t="s">
        <v>78</v>
      </c>
      <c r="D93" s="0" t="s">
        <v>90</v>
      </c>
      <c r="E93" s="0" t="n">
        <v>1</v>
      </c>
      <c r="F93" s="0" t="s">
        <v>71</v>
      </c>
      <c r="H93" s="0" t="s">
        <v>457</v>
      </c>
      <c r="I93" s="0" t="s">
        <v>457</v>
      </c>
      <c r="J93" s="0" t="s">
        <v>457</v>
      </c>
      <c r="K93" s="0" t="s">
        <v>457</v>
      </c>
      <c r="L93" s="0" t="s">
        <v>457</v>
      </c>
      <c r="M93" s="0" t="s">
        <v>457</v>
      </c>
      <c r="R93" s="0" t="s">
        <v>93</v>
      </c>
    </row>
    <row r="94" customFormat="false" ht="15" hidden="false" customHeight="false" outlineLevel="0" collapsed="false">
      <c r="A94" s="0" t="s">
        <v>77</v>
      </c>
      <c r="B94" s="0" t="n">
        <v>2019</v>
      </c>
      <c r="C94" s="0" t="s">
        <v>78</v>
      </c>
      <c r="D94" s="0" t="s">
        <v>90</v>
      </c>
      <c r="E94" s="0" t="n">
        <v>1</v>
      </c>
      <c r="F94" s="0" t="s">
        <v>31</v>
      </c>
      <c r="G94" s="0" t="n">
        <v>91.3969648471712</v>
      </c>
      <c r="H94" s="0" t="s">
        <v>437</v>
      </c>
      <c r="I94" s="0" t="s">
        <v>437</v>
      </c>
      <c r="J94" s="0" t="s">
        <v>437</v>
      </c>
      <c r="K94" s="0" t="s">
        <v>437</v>
      </c>
      <c r="L94" s="0" t="s">
        <v>437</v>
      </c>
      <c r="M94" s="0" t="s">
        <v>457</v>
      </c>
      <c r="R94" s="0" t="s">
        <v>93</v>
      </c>
    </row>
    <row r="95" customFormat="false" ht="15" hidden="false" customHeight="false" outlineLevel="0" collapsed="false">
      <c r="A95" s="0" t="s">
        <v>77</v>
      </c>
      <c r="B95" s="0" t="n">
        <v>2020</v>
      </c>
      <c r="C95" s="0" t="s">
        <v>78</v>
      </c>
      <c r="D95" s="0" t="s">
        <v>90</v>
      </c>
      <c r="E95" s="0" t="n">
        <v>1</v>
      </c>
      <c r="F95" s="0" t="s">
        <v>73</v>
      </c>
      <c r="G95" s="0" t="n">
        <v>0</v>
      </c>
      <c r="H95" s="0" t="s">
        <v>437</v>
      </c>
      <c r="I95" s="0" t="s">
        <v>437</v>
      </c>
      <c r="J95" s="0" t="s">
        <v>437</v>
      </c>
      <c r="K95" s="0" t="s">
        <v>437</v>
      </c>
      <c r="L95" s="0" t="s">
        <v>437</v>
      </c>
      <c r="M95" s="0" t="s">
        <v>457</v>
      </c>
      <c r="R95" s="0" t="s">
        <v>95</v>
      </c>
    </row>
    <row r="96" customFormat="false" ht="15" hidden="false" customHeight="false" outlineLevel="0" collapsed="false">
      <c r="A96" s="0" t="s">
        <v>77</v>
      </c>
      <c r="B96" s="0" t="n">
        <v>2020</v>
      </c>
      <c r="C96" s="0" t="s">
        <v>78</v>
      </c>
      <c r="D96" s="0" t="s">
        <v>90</v>
      </c>
      <c r="E96" s="0" t="n">
        <v>1</v>
      </c>
      <c r="F96" s="0" t="s">
        <v>69</v>
      </c>
      <c r="G96" s="0" t="n">
        <v>15.87</v>
      </c>
      <c r="H96" s="0" t="s">
        <v>437</v>
      </c>
      <c r="I96" s="0" t="s">
        <v>437</v>
      </c>
      <c r="J96" s="0" t="s">
        <v>437</v>
      </c>
      <c r="K96" s="0" t="s">
        <v>457</v>
      </c>
      <c r="L96" s="0" t="s">
        <v>437</v>
      </c>
      <c r="M96" s="0" t="s">
        <v>457</v>
      </c>
      <c r="R96" s="0" t="s">
        <v>95</v>
      </c>
    </row>
    <row r="97" customFormat="false" ht="15" hidden="false" customHeight="false" outlineLevel="0" collapsed="false">
      <c r="A97" s="0" t="s">
        <v>77</v>
      </c>
      <c r="B97" s="0" t="n">
        <v>2020</v>
      </c>
      <c r="C97" s="0" t="s">
        <v>78</v>
      </c>
      <c r="D97" s="0" t="s">
        <v>90</v>
      </c>
      <c r="E97" s="0" t="n">
        <v>1</v>
      </c>
      <c r="F97" s="0" t="s">
        <v>25</v>
      </c>
      <c r="G97" s="0" t="n">
        <v>15.873920123621</v>
      </c>
      <c r="H97" s="0" t="s">
        <v>437</v>
      </c>
      <c r="I97" s="0" t="s">
        <v>437</v>
      </c>
      <c r="J97" s="0" t="s">
        <v>437</v>
      </c>
      <c r="K97" s="0" t="s">
        <v>457</v>
      </c>
      <c r="L97" s="0" t="s">
        <v>437</v>
      </c>
      <c r="M97" s="0" t="s">
        <v>457</v>
      </c>
      <c r="R97" s="0" t="s">
        <v>95</v>
      </c>
    </row>
    <row r="98" customFormat="false" ht="15" hidden="false" customHeight="false" outlineLevel="0" collapsed="false">
      <c r="A98" s="0" t="s">
        <v>77</v>
      </c>
      <c r="B98" s="0" t="n">
        <v>2020</v>
      </c>
      <c r="C98" s="0" t="s">
        <v>78</v>
      </c>
      <c r="D98" s="0" t="s">
        <v>90</v>
      </c>
      <c r="E98" s="0" t="n">
        <v>1</v>
      </c>
      <c r="F98" s="0" t="s">
        <v>41</v>
      </c>
      <c r="G98" s="0" t="n">
        <v>1.14895299049947</v>
      </c>
      <c r="H98" s="0" t="s">
        <v>437</v>
      </c>
      <c r="I98" s="0" t="s">
        <v>437</v>
      </c>
      <c r="J98" s="0" t="s">
        <v>437</v>
      </c>
      <c r="K98" s="0" t="s">
        <v>437</v>
      </c>
      <c r="L98" s="0" t="s">
        <v>437</v>
      </c>
      <c r="M98" s="0" t="s">
        <v>457</v>
      </c>
      <c r="R98" s="0" t="s">
        <v>95</v>
      </c>
    </row>
    <row r="99" customFormat="false" ht="15" hidden="false" customHeight="false" outlineLevel="0" collapsed="false">
      <c r="A99" s="0" t="s">
        <v>77</v>
      </c>
      <c r="B99" s="0" t="n">
        <v>2020</v>
      </c>
      <c r="C99" s="0" t="s">
        <v>78</v>
      </c>
      <c r="D99" s="0" t="s">
        <v>90</v>
      </c>
      <c r="E99" s="0" t="n">
        <v>1</v>
      </c>
      <c r="F99" s="0" t="s">
        <v>27</v>
      </c>
      <c r="G99" s="0" t="n">
        <v>8.57570360406115</v>
      </c>
      <c r="H99" s="0" t="s">
        <v>437</v>
      </c>
      <c r="I99" s="0" t="s">
        <v>437</v>
      </c>
      <c r="J99" s="0" t="s">
        <v>437</v>
      </c>
      <c r="K99" s="0" t="s">
        <v>437</v>
      </c>
      <c r="L99" s="0" t="s">
        <v>437</v>
      </c>
      <c r="M99" s="0" t="s">
        <v>457</v>
      </c>
      <c r="R99" s="0" t="s">
        <v>95</v>
      </c>
    </row>
    <row r="100" customFormat="false" ht="15" hidden="false" customHeight="false" outlineLevel="0" collapsed="false">
      <c r="A100" s="0" t="s">
        <v>77</v>
      </c>
      <c r="B100" s="0" t="n">
        <v>2020</v>
      </c>
      <c r="C100" s="0" t="s">
        <v>78</v>
      </c>
      <c r="D100" s="0" t="s">
        <v>90</v>
      </c>
      <c r="E100" s="0" t="n">
        <v>1</v>
      </c>
      <c r="F100" s="0" t="s">
        <v>39</v>
      </c>
      <c r="G100" s="0" t="n">
        <v>-0.938912141418203</v>
      </c>
      <c r="H100" s="0" t="s">
        <v>437</v>
      </c>
      <c r="I100" s="0" t="s">
        <v>437</v>
      </c>
      <c r="J100" s="0" t="s">
        <v>437</v>
      </c>
      <c r="K100" s="0" t="s">
        <v>437</v>
      </c>
      <c r="L100" s="0" t="s">
        <v>437</v>
      </c>
      <c r="M100" s="0" t="s">
        <v>457</v>
      </c>
      <c r="R100" s="0" t="s">
        <v>95</v>
      </c>
    </row>
    <row r="101" customFormat="false" ht="15" hidden="false" customHeight="false" outlineLevel="0" collapsed="false">
      <c r="A101" s="0" t="s">
        <v>77</v>
      </c>
      <c r="B101" s="0" t="n">
        <v>2020</v>
      </c>
      <c r="C101" s="0" t="s">
        <v>78</v>
      </c>
      <c r="D101" s="0" t="s">
        <v>90</v>
      </c>
      <c r="E101" s="0" t="n">
        <v>1</v>
      </c>
      <c r="F101" s="0" t="s">
        <v>17</v>
      </c>
      <c r="G101" s="0" t="n">
        <v>4.05193501179323</v>
      </c>
      <c r="H101" s="0" t="s">
        <v>437</v>
      </c>
      <c r="I101" s="0" t="s">
        <v>437</v>
      </c>
      <c r="J101" s="0" t="s">
        <v>437</v>
      </c>
      <c r="K101" s="0" t="s">
        <v>437</v>
      </c>
      <c r="L101" s="0" t="s">
        <v>437</v>
      </c>
      <c r="M101" s="0" t="s">
        <v>457</v>
      </c>
      <c r="R101" s="0" t="s">
        <v>95</v>
      </c>
    </row>
    <row r="102" customFormat="false" ht="15" hidden="false" customHeight="false" outlineLevel="0" collapsed="false">
      <c r="A102" s="0" t="s">
        <v>77</v>
      </c>
      <c r="B102" s="0" t="n">
        <v>2020</v>
      </c>
      <c r="C102" s="0" t="s">
        <v>78</v>
      </c>
      <c r="D102" s="0" t="s">
        <v>90</v>
      </c>
      <c r="E102" s="0" t="n">
        <v>1</v>
      </c>
      <c r="F102" s="0" t="s">
        <v>29</v>
      </c>
      <c r="G102" s="0" t="n">
        <v>0.569178347749726</v>
      </c>
      <c r="H102" s="0" t="s">
        <v>437</v>
      </c>
      <c r="I102" s="0" t="s">
        <v>437</v>
      </c>
      <c r="J102" s="0" t="s">
        <v>437</v>
      </c>
      <c r="K102" s="0" t="s">
        <v>437</v>
      </c>
      <c r="L102" s="0" t="s">
        <v>437</v>
      </c>
      <c r="M102" s="0" t="s">
        <v>457</v>
      </c>
      <c r="R102" s="0" t="s">
        <v>95</v>
      </c>
    </row>
    <row r="103" customFormat="false" ht="15" hidden="false" customHeight="false" outlineLevel="0" collapsed="false">
      <c r="A103" s="0" t="s">
        <v>77</v>
      </c>
      <c r="B103" s="0" t="n">
        <v>2020</v>
      </c>
      <c r="C103" s="0" t="s">
        <v>78</v>
      </c>
      <c r="D103" s="0" t="s">
        <v>90</v>
      </c>
      <c r="E103" s="0" t="n">
        <v>1</v>
      </c>
      <c r="F103" s="0" t="s">
        <v>37</v>
      </c>
      <c r="H103" s="0" t="s">
        <v>457</v>
      </c>
      <c r="I103" s="0" t="s">
        <v>457</v>
      </c>
      <c r="J103" s="0" t="s">
        <v>457</v>
      </c>
      <c r="K103" s="0" t="s">
        <v>457</v>
      </c>
      <c r="L103" s="0" t="s">
        <v>457</v>
      </c>
      <c r="M103" s="0" t="s">
        <v>457</v>
      </c>
      <c r="R103" s="0" t="s">
        <v>95</v>
      </c>
    </row>
    <row r="104" customFormat="false" ht="15" hidden="false" customHeight="false" outlineLevel="0" collapsed="false">
      <c r="A104" s="0" t="s">
        <v>77</v>
      </c>
      <c r="B104" s="0" t="n">
        <v>2020</v>
      </c>
      <c r="C104" s="0" t="s">
        <v>78</v>
      </c>
      <c r="D104" s="0" t="s">
        <v>90</v>
      </c>
      <c r="E104" s="0" t="n">
        <v>1</v>
      </c>
      <c r="F104" s="0" t="s">
        <v>23</v>
      </c>
      <c r="H104" s="0" t="s">
        <v>457</v>
      </c>
      <c r="I104" s="0" t="s">
        <v>457</v>
      </c>
      <c r="J104" s="0" t="s">
        <v>457</v>
      </c>
      <c r="K104" s="0" t="s">
        <v>457</v>
      </c>
      <c r="L104" s="0" t="s">
        <v>457</v>
      </c>
      <c r="M104" s="0" t="s">
        <v>457</v>
      </c>
      <c r="R104" s="0" t="s">
        <v>95</v>
      </c>
    </row>
    <row r="105" customFormat="false" ht="15" hidden="false" customHeight="false" outlineLevel="0" collapsed="false">
      <c r="A105" s="0" t="s">
        <v>77</v>
      </c>
      <c r="B105" s="0" t="n">
        <v>2020</v>
      </c>
      <c r="C105" s="0" t="s">
        <v>78</v>
      </c>
      <c r="D105" s="0" t="s">
        <v>90</v>
      </c>
      <c r="E105" s="0" t="n">
        <v>1</v>
      </c>
      <c r="F105" s="0" t="s">
        <v>45</v>
      </c>
      <c r="H105" s="0" t="s">
        <v>457</v>
      </c>
      <c r="I105" s="0" t="s">
        <v>457</v>
      </c>
      <c r="J105" s="0" t="s">
        <v>457</v>
      </c>
      <c r="K105" s="0" t="s">
        <v>457</v>
      </c>
      <c r="L105" s="0" t="s">
        <v>457</v>
      </c>
      <c r="M105" s="0" t="s">
        <v>457</v>
      </c>
      <c r="R105" s="0" t="s">
        <v>95</v>
      </c>
    </row>
    <row r="106" customFormat="false" ht="15" hidden="false" customHeight="false" outlineLevel="0" collapsed="false">
      <c r="A106" s="0" t="s">
        <v>77</v>
      </c>
      <c r="B106" s="0" t="n">
        <v>2020</v>
      </c>
      <c r="C106" s="0" t="s">
        <v>78</v>
      </c>
      <c r="D106" s="0" t="s">
        <v>90</v>
      </c>
      <c r="E106" s="0" t="n">
        <v>1</v>
      </c>
      <c r="F106" s="0" t="s">
        <v>71</v>
      </c>
      <c r="H106" s="0" t="s">
        <v>457</v>
      </c>
      <c r="I106" s="0" t="s">
        <v>457</v>
      </c>
      <c r="J106" s="0" t="s">
        <v>457</v>
      </c>
      <c r="K106" s="0" t="s">
        <v>457</v>
      </c>
      <c r="L106" s="0" t="s">
        <v>457</v>
      </c>
      <c r="M106" s="0" t="s">
        <v>457</v>
      </c>
      <c r="R106" s="0" t="s">
        <v>95</v>
      </c>
    </row>
    <row r="107" customFormat="false" ht="15" hidden="false" customHeight="false" outlineLevel="0" collapsed="false">
      <c r="A107" s="0" t="s">
        <v>77</v>
      </c>
      <c r="B107" s="0" t="n">
        <v>2020</v>
      </c>
      <c r="C107" s="0" t="s">
        <v>78</v>
      </c>
      <c r="D107" s="0" t="s">
        <v>90</v>
      </c>
      <c r="E107" s="0" t="n">
        <v>1</v>
      </c>
      <c r="F107" s="0" t="s">
        <v>31</v>
      </c>
      <c r="G107" s="0" t="n">
        <v>91.4242963959388</v>
      </c>
      <c r="H107" s="0" t="s">
        <v>437</v>
      </c>
      <c r="I107" s="0" t="s">
        <v>437</v>
      </c>
      <c r="J107" s="0" t="s">
        <v>437</v>
      </c>
      <c r="K107" s="0" t="s">
        <v>437</v>
      </c>
      <c r="L107" s="0" t="s">
        <v>437</v>
      </c>
      <c r="M107" s="0" t="s">
        <v>457</v>
      </c>
      <c r="R107" s="0" t="s">
        <v>95</v>
      </c>
    </row>
    <row r="108" customFormat="false" ht="15" hidden="false" customHeight="false" outlineLevel="0" collapsed="false">
      <c r="A108" s="0" t="s">
        <v>77</v>
      </c>
      <c r="B108" s="0" t="n">
        <v>2021</v>
      </c>
      <c r="C108" s="0" t="s">
        <v>78</v>
      </c>
      <c r="D108" s="0" t="s">
        <v>90</v>
      </c>
      <c r="E108" s="0" t="n">
        <v>1</v>
      </c>
      <c r="F108" s="0" t="s">
        <v>73</v>
      </c>
      <c r="G108" s="0" t="n">
        <v>0</v>
      </c>
      <c r="H108" s="0" t="s">
        <v>437</v>
      </c>
      <c r="I108" s="0" t="s">
        <v>437</v>
      </c>
      <c r="J108" s="0" t="s">
        <v>437</v>
      </c>
      <c r="K108" s="0" t="s">
        <v>437</v>
      </c>
      <c r="L108" s="0" t="s">
        <v>437</v>
      </c>
      <c r="M108" s="0" t="s">
        <v>457</v>
      </c>
      <c r="R108" s="0" t="s">
        <v>97</v>
      </c>
    </row>
    <row r="109" customFormat="false" ht="15" hidden="false" customHeight="false" outlineLevel="0" collapsed="false">
      <c r="A109" s="0" t="s">
        <v>77</v>
      </c>
      <c r="B109" s="0" t="n">
        <v>2021</v>
      </c>
      <c r="C109" s="0" t="s">
        <v>78</v>
      </c>
      <c r="D109" s="0" t="s">
        <v>90</v>
      </c>
      <c r="E109" s="0" t="n">
        <v>1</v>
      </c>
      <c r="F109" s="0" t="s">
        <v>69</v>
      </c>
      <c r="G109" s="0" t="n">
        <v>20.93</v>
      </c>
      <c r="H109" s="0" t="s">
        <v>437</v>
      </c>
      <c r="I109" s="0" t="s">
        <v>437</v>
      </c>
      <c r="J109" s="0" t="s">
        <v>437</v>
      </c>
      <c r="K109" s="0" t="s">
        <v>437</v>
      </c>
      <c r="L109" s="0" t="s">
        <v>437</v>
      </c>
      <c r="M109" s="0" t="s">
        <v>457</v>
      </c>
      <c r="R109" s="0" t="s">
        <v>97</v>
      </c>
    </row>
    <row r="110" customFormat="false" ht="15" hidden="false" customHeight="false" outlineLevel="0" collapsed="false">
      <c r="A110" s="0" t="s">
        <v>77</v>
      </c>
      <c r="B110" s="0" t="n">
        <v>2021</v>
      </c>
      <c r="C110" s="0" t="s">
        <v>78</v>
      </c>
      <c r="D110" s="0" t="s">
        <v>90</v>
      </c>
      <c r="E110" s="0" t="n">
        <v>1</v>
      </c>
      <c r="F110" s="0" t="s">
        <v>25</v>
      </c>
      <c r="G110" s="0" t="n">
        <v>20.9306668743006</v>
      </c>
      <c r="H110" s="0" t="s">
        <v>437</v>
      </c>
      <c r="I110" s="0" t="s">
        <v>437</v>
      </c>
      <c r="J110" s="0" t="s">
        <v>437</v>
      </c>
      <c r="K110" s="0" t="s">
        <v>437</v>
      </c>
      <c r="L110" s="0" t="s">
        <v>437</v>
      </c>
      <c r="M110" s="0" t="s">
        <v>457</v>
      </c>
      <c r="R110" s="0" t="s">
        <v>97</v>
      </c>
    </row>
    <row r="111" customFormat="false" ht="15" hidden="false" customHeight="false" outlineLevel="0" collapsed="false">
      <c r="A111" s="0" t="s">
        <v>77</v>
      </c>
      <c r="B111" s="0" t="n">
        <v>2021</v>
      </c>
      <c r="C111" s="0" t="s">
        <v>78</v>
      </c>
      <c r="D111" s="0" t="s">
        <v>90</v>
      </c>
      <c r="E111" s="0" t="n">
        <v>1</v>
      </c>
      <c r="F111" s="0" t="s">
        <v>41</v>
      </c>
      <c r="G111" s="0" t="n">
        <v>1.28807311919186</v>
      </c>
      <c r="H111" s="0" t="s">
        <v>437</v>
      </c>
      <c r="I111" s="0" t="s">
        <v>437</v>
      </c>
      <c r="J111" s="0" t="s">
        <v>437</v>
      </c>
      <c r="K111" s="0" t="s">
        <v>437</v>
      </c>
      <c r="L111" s="0" t="s">
        <v>437</v>
      </c>
      <c r="M111" s="0" t="s">
        <v>457</v>
      </c>
      <c r="R111" s="0" t="s">
        <v>97</v>
      </c>
    </row>
    <row r="112" customFormat="false" ht="15" hidden="false" customHeight="false" outlineLevel="0" collapsed="false">
      <c r="A112" s="0" t="s">
        <v>77</v>
      </c>
      <c r="B112" s="0" t="n">
        <v>2021</v>
      </c>
      <c r="C112" s="0" t="s">
        <v>78</v>
      </c>
      <c r="D112" s="0" t="s">
        <v>90</v>
      </c>
      <c r="E112" s="0" t="n">
        <v>1</v>
      </c>
      <c r="F112" s="0" t="s">
        <v>27</v>
      </c>
      <c r="G112" s="0" t="n">
        <v>9.02051250466786</v>
      </c>
      <c r="H112" s="0" t="s">
        <v>437</v>
      </c>
      <c r="I112" s="0" t="s">
        <v>437</v>
      </c>
      <c r="J112" s="0" t="s">
        <v>437</v>
      </c>
      <c r="K112" s="0" t="s">
        <v>437</v>
      </c>
      <c r="L112" s="0" t="s">
        <v>437</v>
      </c>
      <c r="M112" s="0" t="s">
        <v>457</v>
      </c>
      <c r="R112" s="0" t="s">
        <v>97</v>
      </c>
    </row>
    <row r="113" customFormat="false" ht="15" hidden="false" customHeight="false" outlineLevel="0" collapsed="false">
      <c r="A113" s="0" t="s">
        <v>77</v>
      </c>
      <c r="B113" s="0" t="n">
        <v>2021</v>
      </c>
      <c r="C113" s="0" t="s">
        <v>78</v>
      </c>
      <c r="D113" s="0" t="s">
        <v>90</v>
      </c>
      <c r="E113" s="0" t="n">
        <v>1</v>
      </c>
      <c r="F113" s="0" t="s">
        <v>39</v>
      </c>
      <c r="G113" s="0" t="n">
        <v>5.79477422299903</v>
      </c>
      <c r="H113" s="0" t="s">
        <v>437</v>
      </c>
      <c r="I113" s="0" t="s">
        <v>437</v>
      </c>
      <c r="J113" s="0" t="s">
        <v>437</v>
      </c>
      <c r="K113" s="0" t="s">
        <v>437</v>
      </c>
      <c r="L113" s="0" t="s">
        <v>437</v>
      </c>
      <c r="M113" s="0" t="s">
        <v>457</v>
      </c>
      <c r="R113" s="0" t="s">
        <v>97</v>
      </c>
    </row>
    <row r="114" customFormat="false" ht="15" hidden="false" customHeight="false" outlineLevel="0" collapsed="false">
      <c r="A114" s="0" t="s">
        <v>77</v>
      </c>
      <c r="B114" s="0" t="n">
        <v>2021</v>
      </c>
      <c r="C114" s="0" t="s">
        <v>78</v>
      </c>
      <c r="D114" s="0" t="s">
        <v>90</v>
      </c>
      <c r="E114" s="0" t="n">
        <v>1</v>
      </c>
      <c r="F114" s="0" t="s">
        <v>17</v>
      </c>
      <c r="G114" s="0" t="n">
        <v>2.62131714055607</v>
      </c>
      <c r="H114" s="0" t="s">
        <v>437</v>
      </c>
      <c r="I114" s="0" t="s">
        <v>437</v>
      </c>
      <c r="J114" s="0" t="s">
        <v>437</v>
      </c>
      <c r="K114" s="0" t="s">
        <v>437</v>
      </c>
      <c r="L114" s="0" t="s">
        <v>437</v>
      </c>
      <c r="M114" s="0" t="s">
        <v>457</v>
      </c>
      <c r="R114" s="0" t="s">
        <v>97</v>
      </c>
    </row>
    <row r="115" customFormat="false" ht="15" hidden="false" customHeight="false" outlineLevel="0" collapsed="false">
      <c r="A115" s="0" t="s">
        <v>77</v>
      </c>
      <c r="B115" s="0" t="n">
        <v>2021</v>
      </c>
      <c r="C115" s="0" t="s">
        <v>78</v>
      </c>
      <c r="D115" s="0" t="s">
        <v>90</v>
      </c>
      <c r="E115" s="0" t="n">
        <v>1</v>
      </c>
      <c r="F115" s="0" t="s">
        <v>29</v>
      </c>
      <c r="G115" s="0" t="n">
        <v>0.622489220924474</v>
      </c>
      <c r="H115" s="0" t="s">
        <v>437</v>
      </c>
      <c r="I115" s="0" t="s">
        <v>437</v>
      </c>
      <c r="J115" s="0" t="s">
        <v>437</v>
      </c>
      <c r="K115" s="0" t="s">
        <v>437</v>
      </c>
      <c r="L115" s="0" t="s">
        <v>437</v>
      </c>
      <c r="M115" s="0" t="s">
        <v>457</v>
      </c>
      <c r="R115" s="0" t="s">
        <v>97</v>
      </c>
    </row>
    <row r="116" customFormat="false" ht="15" hidden="false" customHeight="false" outlineLevel="0" collapsed="false">
      <c r="A116" s="0" t="s">
        <v>77</v>
      </c>
      <c r="B116" s="0" t="n">
        <v>2021</v>
      </c>
      <c r="C116" s="0" t="s">
        <v>78</v>
      </c>
      <c r="D116" s="0" t="s">
        <v>90</v>
      </c>
      <c r="E116" s="0" t="n">
        <v>1</v>
      </c>
      <c r="F116" s="0" t="s">
        <v>37</v>
      </c>
      <c r="H116" s="0" t="s">
        <v>457</v>
      </c>
      <c r="I116" s="0" t="s">
        <v>457</v>
      </c>
      <c r="J116" s="0" t="s">
        <v>457</v>
      </c>
      <c r="K116" s="0" t="s">
        <v>457</v>
      </c>
      <c r="L116" s="0" t="s">
        <v>457</v>
      </c>
      <c r="M116" s="0" t="s">
        <v>457</v>
      </c>
      <c r="R116" s="0" t="s">
        <v>97</v>
      </c>
    </row>
    <row r="117" customFormat="false" ht="15" hidden="false" customHeight="false" outlineLevel="0" collapsed="false">
      <c r="A117" s="0" t="s">
        <v>77</v>
      </c>
      <c r="B117" s="0" t="n">
        <v>2021</v>
      </c>
      <c r="C117" s="0" t="s">
        <v>78</v>
      </c>
      <c r="D117" s="0" t="s">
        <v>90</v>
      </c>
      <c r="E117" s="0" t="n">
        <v>1</v>
      </c>
      <c r="F117" s="0" t="s">
        <v>23</v>
      </c>
      <c r="H117" s="0" t="s">
        <v>457</v>
      </c>
      <c r="I117" s="0" t="s">
        <v>457</v>
      </c>
      <c r="J117" s="0" t="s">
        <v>457</v>
      </c>
      <c r="K117" s="0" t="s">
        <v>457</v>
      </c>
      <c r="L117" s="0" t="s">
        <v>457</v>
      </c>
      <c r="M117" s="0" t="s">
        <v>457</v>
      </c>
      <c r="R117" s="0" t="s">
        <v>97</v>
      </c>
    </row>
    <row r="118" customFormat="false" ht="15" hidden="false" customHeight="false" outlineLevel="0" collapsed="false">
      <c r="A118" s="0" t="s">
        <v>77</v>
      </c>
      <c r="B118" s="0" t="n">
        <v>2021</v>
      </c>
      <c r="C118" s="0" t="s">
        <v>78</v>
      </c>
      <c r="D118" s="0" t="s">
        <v>90</v>
      </c>
      <c r="E118" s="0" t="n">
        <v>1</v>
      </c>
      <c r="F118" s="0" t="s">
        <v>45</v>
      </c>
      <c r="H118" s="0" t="s">
        <v>457</v>
      </c>
      <c r="I118" s="0" t="s">
        <v>457</v>
      </c>
      <c r="J118" s="0" t="s">
        <v>457</v>
      </c>
      <c r="K118" s="0" t="s">
        <v>457</v>
      </c>
      <c r="L118" s="0" t="s">
        <v>457</v>
      </c>
      <c r="M118" s="0" t="s">
        <v>457</v>
      </c>
      <c r="R118" s="0" t="s">
        <v>97</v>
      </c>
    </row>
    <row r="119" customFormat="false" ht="15" hidden="false" customHeight="false" outlineLevel="0" collapsed="false">
      <c r="A119" s="0" t="s">
        <v>77</v>
      </c>
      <c r="B119" s="0" t="n">
        <v>2021</v>
      </c>
      <c r="C119" s="0" t="s">
        <v>78</v>
      </c>
      <c r="D119" s="0" t="s">
        <v>90</v>
      </c>
      <c r="E119" s="0" t="n">
        <v>1</v>
      </c>
      <c r="F119" s="0" t="s">
        <v>71</v>
      </c>
      <c r="H119" s="0" t="s">
        <v>457</v>
      </c>
      <c r="I119" s="0" t="s">
        <v>457</v>
      </c>
      <c r="J119" s="0" t="s">
        <v>457</v>
      </c>
      <c r="K119" s="0" t="s">
        <v>457</v>
      </c>
      <c r="L119" s="0" t="s">
        <v>457</v>
      </c>
      <c r="M119" s="0" t="s">
        <v>457</v>
      </c>
      <c r="R119" s="0" t="s">
        <v>97</v>
      </c>
    </row>
    <row r="120" customFormat="false" ht="15" hidden="false" customHeight="false" outlineLevel="0" collapsed="false">
      <c r="A120" s="0" t="s">
        <v>77</v>
      </c>
      <c r="B120" s="0" t="n">
        <v>2021</v>
      </c>
      <c r="C120" s="0" t="s">
        <v>78</v>
      </c>
      <c r="D120" s="0" t="s">
        <v>90</v>
      </c>
      <c r="E120" s="0" t="n">
        <v>1</v>
      </c>
      <c r="F120" s="0" t="s">
        <v>31</v>
      </c>
      <c r="G120" s="0" t="n">
        <v>90.9794874953321</v>
      </c>
      <c r="H120" s="0" t="s">
        <v>437</v>
      </c>
      <c r="I120" s="0" t="s">
        <v>437</v>
      </c>
      <c r="J120" s="0" t="s">
        <v>437</v>
      </c>
      <c r="K120" s="0" t="s">
        <v>437</v>
      </c>
      <c r="L120" s="0" t="s">
        <v>437</v>
      </c>
      <c r="M120" s="0" t="s">
        <v>457</v>
      </c>
      <c r="R120" s="0" t="s">
        <v>97</v>
      </c>
    </row>
    <row r="121" customFormat="false" ht="15" hidden="false" customHeight="false" outlineLevel="0" collapsed="false">
      <c r="A121" s="0" t="s">
        <v>77</v>
      </c>
      <c r="B121" s="0" t="n">
        <v>2022</v>
      </c>
      <c r="C121" s="0" t="s">
        <v>78</v>
      </c>
      <c r="D121" s="0" t="s">
        <v>90</v>
      </c>
      <c r="E121" s="0" t="n">
        <v>1</v>
      </c>
      <c r="F121" s="0" t="s">
        <v>73</v>
      </c>
      <c r="H121" s="0" t="s">
        <v>457</v>
      </c>
      <c r="I121" s="0" t="s">
        <v>457</v>
      </c>
      <c r="J121" s="0" t="s">
        <v>457</v>
      </c>
      <c r="K121" s="0" t="s">
        <v>457</v>
      </c>
      <c r="L121" s="0" t="s">
        <v>457</v>
      </c>
      <c r="M121" s="0" t="s">
        <v>457</v>
      </c>
      <c r="R121" s="0" t="s">
        <v>99</v>
      </c>
    </row>
    <row r="122" customFormat="false" ht="15" hidden="false" customHeight="false" outlineLevel="0" collapsed="false">
      <c r="A122" s="0" t="s">
        <v>77</v>
      </c>
      <c r="B122" s="0" t="n">
        <v>2022</v>
      </c>
      <c r="C122" s="0" t="s">
        <v>78</v>
      </c>
      <c r="D122" s="0" t="s">
        <v>90</v>
      </c>
      <c r="E122" s="0" t="n">
        <v>1</v>
      </c>
      <c r="F122" s="0" t="s">
        <v>69</v>
      </c>
      <c r="G122" s="0" t="n">
        <v>17.85</v>
      </c>
      <c r="H122" s="0" t="s">
        <v>437</v>
      </c>
      <c r="I122" s="0" t="s">
        <v>437</v>
      </c>
      <c r="J122" s="0" t="s">
        <v>437</v>
      </c>
      <c r="K122" s="0" t="s">
        <v>437</v>
      </c>
      <c r="L122" s="0" t="s">
        <v>437</v>
      </c>
      <c r="M122" s="0" t="s">
        <v>457</v>
      </c>
      <c r="R122" s="0" t="s">
        <v>99</v>
      </c>
    </row>
    <row r="123" customFormat="false" ht="15" hidden="false" customHeight="false" outlineLevel="0" collapsed="false">
      <c r="A123" s="0" t="s">
        <v>77</v>
      </c>
      <c r="B123" s="0" t="n">
        <v>2022</v>
      </c>
      <c r="C123" s="0" t="s">
        <v>78</v>
      </c>
      <c r="D123" s="0" t="s">
        <v>90</v>
      </c>
      <c r="E123" s="0" t="n">
        <v>1</v>
      </c>
      <c r="F123" s="0" t="s">
        <v>25</v>
      </c>
      <c r="G123" s="0" t="n">
        <v>17.8459322867379</v>
      </c>
      <c r="H123" s="0" t="s">
        <v>437</v>
      </c>
      <c r="I123" s="0" t="s">
        <v>437</v>
      </c>
      <c r="J123" s="0" t="s">
        <v>437</v>
      </c>
      <c r="K123" s="0" t="s">
        <v>437</v>
      </c>
      <c r="L123" s="0" t="s">
        <v>437</v>
      </c>
      <c r="M123" s="0" t="s">
        <v>457</v>
      </c>
      <c r="R123" s="0" t="s">
        <v>99</v>
      </c>
    </row>
    <row r="124" customFormat="false" ht="15" hidden="false" customHeight="false" outlineLevel="0" collapsed="false">
      <c r="A124" s="0" t="s">
        <v>77</v>
      </c>
      <c r="B124" s="0" t="n">
        <v>2022</v>
      </c>
      <c r="C124" s="0" t="s">
        <v>78</v>
      </c>
      <c r="D124" s="0" t="s">
        <v>90</v>
      </c>
      <c r="E124" s="0" t="n">
        <v>1</v>
      </c>
      <c r="F124" s="0" t="s">
        <v>41</v>
      </c>
      <c r="G124" s="0" t="n">
        <v>1.50170924625702</v>
      </c>
      <c r="H124" s="0" t="s">
        <v>437</v>
      </c>
      <c r="I124" s="0" t="s">
        <v>437</v>
      </c>
      <c r="J124" s="0" t="s">
        <v>437</v>
      </c>
      <c r="K124" s="0" t="s">
        <v>437</v>
      </c>
      <c r="L124" s="0" t="s">
        <v>437</v>
      </c>
      <c r="M124" s="0" t="s">
        <v>457</v>
      </c>
      <c r="R124" s="0" t="s">
        <v>99</v>
      </c>
    </row>
    <row r="125" customFormat="false" ht="15" hidden="false" customHeight="false" outlineLevel="0" collapsed="false">
      <c r="A125" s="0" t="s">
        <v>77</v>
      </c>
      <c r="B125" s="0" t="n">
        <v>2022</v>
      </c>
      <c r="C125" s="0" t="s">
        <v>78</v>
      </c>
      <c r="D125" s="0" t="s">
        <v>90</v>
      </c>
      <c r="E125" s="0" t="n">
        <v>1</v>
      </c>
      <c r="F125" s="0" t="s">
        <v>27</v>
      </c>
      <c r="G125" s="0" t="n">
        <v>8.52527426591189</v>
      </c>
      <c r="H125" s="0" t="s">
        <v>437</v>
      </c>
      <c r="I125" s="0" t="s">
        <v>437</v>
      </c>
      <c r="J125" s="0" t="s">
        <v>437</v>
      </c>
      <c r="K125" s="0" t="s">
        <v>437</v>
      </c>
      <c r="L125" s="0" t="s">
        <v>437</v>
      </c>
      <c r="M125" s="0" t="s">
        <v>457</v>
      </c>
      <c r="R125" s="0" t="s">
        <v>99</v>
      </c>
    </row>
    <row r="126" customFormat="false" ht="15" hidden="false" customHeight="false" outlineLevel="0" collapsed="false">
      <c r="A126" s="0" t="s">
        <v>77</v>
      </c>
      <c r="B126" s="0" t="n">
        <v>2022</v>
      </c>
      <c r="C126" s="0" t="s">
        <v>78</v>
      </c>
      <c r="D126" s="0" t="s">
        <v>90</v>
      </c>
      <c r="E126" s="0" t="n">
        <v>1</v>
      </c>
      <c r="F126" s="0" t="s">
        <v>39</v>
      </c>
      <c r="G126" s="0" t="n">
        <v>6.29416750491676</v>
      </c>
      <c r="H126" s="0" t="s">
        <v>437</v>
      </c>
      <c r="I126" s="0" t="s">
        <v>437</v>
      </c>
      <c r="J126" s="0" t="s">
        <v>437</v>
      </c>
      <c r="K126" s="0" t="s">
        <v>437</v>
      </c>
      <c r="L126" s="0" t="s">
        <v>437</v>
      </c>
      <c r="M126" s="0" t="s">
        <v>457</v>
      </c>
      <c r="R126" s="0" t="s">
        <v>99</v>
      </c>
    </row>
    <row r="127" customFormat="false" ht="15" hidden="false" customHeight="false" outlineLevel="0" collapsed="false">
      <c r="A127" s="0" t="s">
        <v>77</v>
      </c>
      <c r="B127" s="0" t="n">
        <v>2022</v>
      </c>
      <c r="C127" s="0" t="s">
        <v>78</v>
      </c>
      <c r="D127" s="0" t="s">
        <v>90</v>
      </c>
      <c r="E127" s="0" t="n">
        <v>1</v>
      </c>
      <c r="F127" s="0" t="s">
        <v>17</v>
      </c>
      <c r="G127" s="0" t="n">
        <v>1.5679567206253</v>
      </c>
      <c r="H127" s="0" t="s">
        <v>437</v>
      </c>
      <c r="I127" s="0" t="s">
        <v>437</v>
      </c>
      <c r="J127" s="0" t="s">
        <v>437</v>
      </c>
      <c r="K127" s="0" t="s">
        <v>437</v>
      </c>
      <c r="L127" s="0" t="s">
        <v>437</v>
      </c>
      <c r="M127" s="0" t="s">
        <v>457</v>
      </c>
      <c r="R127" s="0" t="s">
        <v>99</v>
      </c>
    </row>
    <row r="128" customFormat="false" ht="15" hidden="false" customHeight="false" outlineLevel="0" collapsed="false">
      <c r="A128" s="0" t="s">
        <v>77</v>
      </c>
      <c r="B128" s="0" t="n">
        <v>2022</v>
      </c>
      <c r="C128" s="0" t="s">
        <v>78</v>
      </c>
      <c r="D128" s="0" t="s">
        <v>90</v>
      </c>
      <c r="E128" s="0" t="n">
        <v>1</v>
      </c>
      <c r="F128" s="0" t="s">
        <v>29</v>
      </c>
      <c r="G128" s="0" t="n">
        <v>1.06938890588642</v>
      </c>
      <c r="H128" s="0" t="s">
        <v>437</v>
      </c>
      <c r="I128" s="0" t="s">
        <v>437</v>
      </c>
      <c r="J128" s="0" t="s">
        <v>437</v>
      </c>
      <c r="K128" s="0" t="s">
        <v>437</v>
      </c>
      <c r="L128" s="0" t="s">
        <v>437</v>
      </c>
      <c r="M128" s="0" t="s">
        <v>457</v>
      </c>
      <c r="R128" s="0" t="s">
        <v>99</v>
      </c>
    </row>
    <row r="129" customFormat="false" ht="15" hidden="false" customHeight="false" outlineLevel="0" collapsed="false">
      <c r="A129" s="0" t="s">
        <v>77</v>
      </c>
      <c r="B129" s="0" t="n">
        <v>2022</v>
      </c>
      <c r="C129" s="0" t="s">
        <v>78</v>
      </c>
      <c r="D129" s="0" t="s">
        <v>90</v>
      </c>
      <c r="E129" s="0" t="n">
        <v>1</v>
      </c>
      <c r="F129" s="0" t="s">
        <v>37</v>
      </c>
      <c r="H129" s="0" t="s">
        <v>457</v>
      </c>
      <c r="I129" s="0" t="s">
        <v>457</v>
      </c>
      <c r="J129" s="0" t="s">
        <v>457</v>
      </c>
      <c r="K129" s="0" t="s">
        <v>457</v>
      </c>
      <c r="L129" s="0" t="s">
        <v>457</v>
      </c>
      <c r="M129" s="0" t="s">
        <v>457</v>
      </c>
      <c r="R129" s="0" t="s">
        <v>99</v>
      </c>
    </row>
    <row r="130" customFormat="false" ht="15" hidden="false" customHeight="false" outlineLevel="0" collapsed="false">
      <c r="A130" s="0" t="s">
        <v>77</v>
      </c>
      <c r="B130" s="0" t="n">
        <v>2022</v>
      </c>
      <c r="C130" s="0" t="s">
        <v>78</v>
      </c>
      <c r="D130" s="0" t="s">
        <v>90</v>
      </c>
      <c r="E130" s="0" t="n">
        <v>1</v>
      </c>
      <c r="F130" s="0" t="s">
        <v>23</v>
      </c>
      <c r="H130" s="0" t="s">
        <v>457</v>
      </c>
      <c r="I130" s="0" t="s">
        <v>457</v>
      </c>
      <c r="J130" s="0" t="s">
        <v>457</v>
      </c>
      <c r="K130" s="0" t="s">
        <v>457</v>
      </c>
      <c r="L130" s="0" t="s">
        <v>457</v>
      </c>
      <c r="M130" s="0" t="s">
        <v>457</v>
      </c>
      <c r="R130" s="0" t="s">
        <v>99</v>
      </c>
    </row>
    <row r="131" customFormat="false" ht="15" hidden="false" customHeight="false" outlineLevel="0" collapsed="false">
      <c r="A131" s="0" t="s">
        <v>77</v>
      </c>
      <c r="B131" s="0" t="n">
        <v>2022</v>
      </c>
      <c r="C131" s="0" t="s">
        <v>78</v>
      </c>
      <c r="D131" s="0" t="s">
        <v>90</v>
      </c>
      <c r="E131" s="0" t="n">
        <v>1</v>
      </c>
      <c r="F131" s="0" t="s">
        <v>45</v>
      </c>
      <c r="H131" s="0" t="s">
        <v>457</v>
      </c>
      <c r="I131" s="0" t="s">
        <v>457</v>
      </c>
      <c r="J131" s="0" t="s">
        <v>457</v>
      </c>
      <c r="K131" s="0" t="s">
        <v>457</v>
      </c>
      <c r="L131" s="0" t="s">
        <v>457</v>
      </c>
      <c r="M131" s="0" t="s">
        <v>457</v>
      </c>
      <c r="R131" s="0" t="s">
        <v>99</v>
      </c>
    </row>
    <row r="132" customFormat="false" ht="15" hidden="false" customHeight="false" outlineLevel="0" collapsed="false">
      <c r="A132" s="0" t="s">
        <v>77</v>
      </c>
      <c r="B132" s="0" t="n">
        <v>2022</v>
      </c>
      <c r="C132" s="0" t="s">
        <v>78</v>
      </c>
      <c r="D132" s="0" t="s">
        <v>90</v>
      </c>
      <c r="E132" s="0" t="n">
        <v>1</v>
      </c>
      <c r="F132" s="0" t="s">
        <v>71</v>
      </c>
      <c r="H132" s="0" t="s">
        <v>457</v>
      </c>
      <c r="I132" s="0" t="s">
        <v>457</v>
      </c>
      <c r="J132" s="0" t="s">
        <v>457</v>
      </c>
      <c r="K132" s="0" t="s">
        <v>457</v>
      </c>
      <c r="L132" s="0" t="s">
        <v>457</v>
      </c>
      <c r="M132" s="0" t="s">
        <v>457</v>
      </c>
      <c r="R132" s="0" t="s">
        <v>99</v>
      </c>
    </row>
    <row r="133" customFormat="false" ht="15" hidden="false" customHeight="false" outlineLevel="0" collapsed="false">
      <c r="A133" s="0" t="s">
        <v>77</v>
      </c>
      <c r="B133" s="0" t="n">
        <v>2022</v>
      </c>
      <c r="C133" s="0" t="s">
        <v>78</v>
      </c>
      <c r="D133" s="0" t="s">
        <v>90</v>
      </c>
      <c r="E133" s="0" t="n">
        <v>1</v>
      </c>
      <c r="F133" s="0" t="s">
        <v>31</v>
      </c>
      <c r="G133" s="0" t="n">
        <v>91.4747257340881</v>
      </c>
      <c r="H133" s="0" t="s">
        <v>437</v>
      </c>
      <c r="I133" s="0" t="s">
        <v>437</v>
      </c>
      <c r="J133" s="0" t="s">
        <v>437</v>
      </c>
      <c r="K133" s="0" t="s">
        <v>437</v>
      </c>
      <c r="L133" s="0" t="s">
        <v>437</v>
      </c>
      <c r="M133" s="0" t="s">
        <v>457</v>
      </c>
      <c r="R133" s="0" t="s">
        <v>99</v>
      </c>
    </row>
    <row r="134" customFormat="false" ht="15" hidden="false" customHeight="false" outlineLevel="0" collapsed="false">
      <c r="A134" s="0" t="s">
        <v>100</v>
      </c>
      <c r="B134" s="0" t="n">
        <v>2013</v>
      </c>
      <c r="C134" s="0" t="s">
        <v>101</v>
      </c>
      <c r="D134" s="0" t="s">
        <v>79</v>
      </c>
      <c r="E134" s="0" t="n">
        <v>0</v>
      </c>
      <c r="F134" s="0" t="s">
        <v>73</v>
      </c>
      <c r="G134" s="0" t="n">
        <v>0</v>
      </c>
      <c r="H134" s="0" t="s">
        <v>437</v>
      </c>
      <c r="I134" s="0" t="s">
        <v>437</v>
      </c>
      <c r="J134" s="0" t="s">
        <v>437</v>
      </c>
      <c r="K134" s="0" t="s">
        <v>457</v>
      </c>
      <c r="L134" s="0" t="s">
        <v>437</v>
      </c>
      <c r="M134" s="0" t="s">
        <v>457</v>
      </c>
      <c r="R134" s="0" t="s">
        <v>103</v>
      </c>
    </row>
    <row r="135" customFormat="false" ht="15" hidden="false" customHeight="false" outlineLevel="0" collapsed="false">
      <c r="A135" s="0" t="s">
        <v>100</v>
      </c>
      <c r="B135" s="0" t="n">
        <v>2013</v>
      </c>
      <c r="C135" s="0" t="s">
        <v>101</v>
      </c>
      <c r="D135" s="0" t="s">
        <v>79</v>
      </c>
      <c r="E135" s="0" t="n">
        <v>0</v>
      </c>
      <c r="F135" s="0" t="s">
        <v>69</v>
      </c>
      <c r="G135" s="0" t="n">
        <v>17</v>
      </c>
      <c r="H135" s="0" t="s">
        <v>437</v>
      </c>
      <c r="I135" s="0" t="s">
        <v>437</v>
      </c>
      <c r="J135" s="0" t="s">
        <v>437</v>
      </c>
      <c r="K135" s="0" t="s">
        <v>457</v>
      </c>
      <c r="L135" s="0" t="s">
        <v>437</v>
      </c>
      <c r="M135" s="0" t="s">
        <v>457</v>
      </c>
      <c r="R135" s="0" t="s">
        <v>103</v>
      </c>
    </row>
    <row r="136" customFormat="false" ht="15" hidden="false" customHeight="false" outlineLevel="0" collapsed="false">
      <c r="A136" s="0" t="s">
        <v>100</v>
      </c>
      <c r="B136" s="0" t="n">
        <v>2013</v>
      </c>
      <c r="C136" s="0" t="s">
        <v>101</v>
      </c>
      <c r="D136" s="0" t="s">
        <v>79</v>
      </c>
      <c r="E136" s="0" t="n">
        <v>0</v>
      </c>
      <c r="F136" s="0" t="s">
        <v>25</v>
      </c>
      <c r="G136" s="0" t="n">
        <v>17.3858589503408</v>
      </c>
      <c r="H136" s="0" t="s">
        <v>437</v>
      </c>
      <c r="I136" s="0" t="s">
        <v>437</v>
      </c>
      <c r="J136" s="0" t="s">
        <v>437</v>
      </c>
      <c r="K136" s="0" t="s">
        <v>457</v>
      </c>
      <c r="L136" s="0" t="s">
        <v>437</v>
      </c>
      <c r="M136" s="0" t="s">
        <v>457</v>
      </c>
      <c r="R136" s="0" t="s">
        <v>103</v>
      </c>
    </row>
    <row r="137" customFormat="false" ht="15" hidden="false" customHeight="false" outlineLevel="0" collapsed="false">
      <c r="A137" s="0" t="s">
        <v>100</v>
      </c>
      <c r="B137" s="0" t="n">
        <v>2013</v>
      </c>
      <c r="C137" s="0" t="s">
        <v>101</v>
      </c>
      <c r="D137" s="0" t="s">
        <v>79</v>
      </c>
      <c r="E137" s="0" t="n">
        <v>0</v>
      </c>
      <c r="F137" s="0" t="s">
        <v>41</v>
      </c>
      <c r="G137" s="0" t="n">
        <v>0.836860931630515</v>
      </c>
      <c r="H137" s="0" t="s">
        <v>437</v>
      </c>
      <c r="I137" s="0" t="s">
        <v>437</v>
      </c>
      <c r="J137" s="0" t="s">
        <v>437</v>
      </c>
      <c r="K137" s="0" t="s">
        <v>457</v>
      </c>
      <c r="L137" s="0" t="s">
        <v>437</v>
      </c>
      <c r="M137" s="0" t="s">
        <v>457</v>
      </c>
      <c r="R137" s="0" t="s">
        <v>103</v>
      </c>
    </row>
    <row r="138" customFormat="false" ht="15" hidden="false" customHeight="false" outlineLevel="0" collapsed="false">
      <c r="A138" s="0" t="s">
        <v>100</v>
      </c>
      <c r="B138" s="0" t="n">
        <v>2013</v>
      </c>
      <c r="C138" s="0" t="s">
        <v>101</v>
      </c>
      <c r="D138" s="0" t="s">
        <v>79</v>
      </c>
      <c r="E138" s="0" t="n">
        <v>0</v>
      </c>
      <c r="F138" s="0" t="s">
        <v>27</v>
      </c>
      <c r="G138" s="0" t="n">
        <v>10.7219893607044</v>
      </c>
      <c r="H138" s="0" t="s">
        <v>437</v>
      </c>
      <c r="I138" s="0" t="s">
        <v>437</v>
      </c>
      <c r="J138" s="0" t="s">
        <v>437</v>
      </c>
      <c r="K138" s="0" t="s">
        <v>457</v>
      </c>
      <c r="L138" s="0" t="s">
        <v>437</v>
      </c>
      <c r="M138" s="0" t="s">
        <v>457</v>
      </c>
      <c r="R138" s="0" t="s">
        <v>103</v>
      </c>
    </row>
    <row r="139" customFormat="false" ht="15" hidden="false" customHeight="false" outlineLevel="0" collapsed="false">
      <c r="A139" s="0" t="s">
        <v>100</v>
      </c>
      <c r="B139" s="0" t="n">
        <v>2013</v>
      </c>
      <c r="C139" s="0" t="s">
        <v>101</v>
      </c>
      <c r="D139" s="0" t="s">
        <v>79</v>
      </c>
      <c r="E139" s="0" t="n">
        <v>0</v>
      </c>
      <c r="F139" s="0" t="s">
        <v>39</v>
      </c>
      <c r="G139" s="0" t="n">
        <v>0.330638312840123</v>
      </c>
      <c r="H139" s="0" t="s">
        <v>437</v>
      </c>
      <c r="I139" s="0" t="s">
        <v>437</v>
      </c>
      <c r="J139" s="0" t="s">
        <v>437</v>
      </c>
      <c r="K139" s="0" t="s">
        <v>457</v>
      </c>
      <c r="L139" s="0" t="s">
        <v>437</v>
      </c>
      <c r="M139" s="0" t="s">
        <v>457</v>
      </c>
      <c r="R139" s="0" t="s">
        <v>103</v>
      </c>
    </row>
    <row r="140" customFormat="false" ht="15" hidden="false" customHeight="false" outlineLevel="0" collapsed="false">
      <c r="A140" s="0" t="s">
        <v>100</v>
      </c>
      <c r="B140" s="0" t="n">
        <v>2013</v>
      </c>
      <c r="C140" s="0" t="s">
        <v>101</v>
      </c>
      <c r="D140" s="0" t="s">
        <v>79</v>
      </c>
      <c r="E140" s="0" t="n">
        <v>0</v>
      </c>
      <c r="F140" s="0" t="s">
        <v>17</v>
      </c>
      <c r="G140" s="0" t="n">
        <v>5.27038275846412</v>
      </c>
      <c r="H140" s="0" t="s">
        <v>437</v>
      </c>
      <c r="I140" s="0" t="s">
        <v>437</v>
      </c>
      <c r="J140" s="0" t="s">
        <v>437</v>
      </c>
      <c r="K140" s="0" t="s">
        <v>457</v>
      </c>
      <c r="L140" s="0" t="s">
        <v>437</v>
      </c>
      <c r="M140" s="0" t="s">
        <v>457</v>
      </c>
      <c r="R140" s="0" t="s">
        <v>103</v>
      </c>
    </row>
    <row r="141" customFormat="false" ht="15" hidden="false" customHeight="false" outlineLevel="0" collapsed="false">
      <c r="A141" s="0" t="s">
        <v>100</v>
      </c>
      <c r="B141" s="0" t="n">
        <v>2013</v>
      </c>
      <c r="C141" s="0" t="s">
        <v>101</v>
      </c>
      <c r="D141" s="0" t="s">
        <v>79</v>
      </c>
      <c r="E141" s="0" t="n">
        <v>0</v>
      </c>
      <c r="F141" s="0" t="s">
        <v>29</v>
      </c>
      <c r="G141" s="0" t="n">
        <v>2.3405976614123</v>
      </c>
      <c r="H141" s="0" t="s">
        <v>437</v>
      </c>
      <c r="I141" s="0" t="s">
        <v>437</v>
      </c>
      <c r="J141" s="0" t="s">
        <v>437</v>
      </c>
      <c r="K141" s="0" t="s">
        <v>457</v>
      </c>
      <c r="L141" s="0" t="s">
        <v>437</v>
      </c>
      <c r="M141" s="0" t="s">
        <v>457</v>
      </c>
      <c r="R141" s="0" t="s">
        <v>103</v>
      </c>
    </row>
    <row r="142" customFormat="false" ht="15" hidden="false" customHeight="false" outlineLevel="0" collapsed="false">
      <c r="A142" s="0" t="s">
        <v>100</v>
      </c>
      <c r="B142" s="0" t="n">
        <v>2013</v>
      </c>
      <c r="C142" s="0" t="s">
        <v>101</v>
      </c>
      <c r="D142" s="0" t="s">
        <v>79</v>
      </c>
      <c r="E142" s="0" t="n">
        <v>0</v>
      </c>
      <c r="F142" s="0" t="s">
        <v>37</v>
      </c>
      <c r="H142" s="0" t="s">
        <v>457</v>
      </c>
      <c r="I142" s="0" t="s">
        <v>457</v>
      </c>
      <c r="J142" s="0" t="s">
        <v>457</v>
      </c>
      <c r="K142" s="0" t="s">
        <v>457</v>
      </c>
      <c r="L142" s="0" t="s">
        <v>457</v>
      </c>
      <c r="M142" s="0" t="s">
        <v>457</v>
      </c>
      <c r="R142" s="0" t="s">
        <v>103</v>
      </c>
    </row>
    <row r="143" customFormat="false" ht="15" hidden="false" customHeight="false" outlineLevel="0" collapsed="false">
      <c r="A143" s="0" t="s">
        <v>100</v>
      </c>
      <c r="B143" s="0" t="n">
        <v>2013</v>
      </c>
      <c r="C143" s="0" t="s">
        <v>101</v>
      </c>
      <c r="D143" s="0" t="s">
        <v>79</v>
      </c>
      <c r="E143" s="0" t="n">
        <v>0</v>
      </c>
      <c r="F143" s="0" t="s">
        <v>23</v>
      </c>
      <c r="H143" s="0" t="s">
        <v>457</v>
      </c>
      <c r="I143" s="0" t="s">
        <v>457</v>
      </c>
      <c r="J143" s="0" t="s">
        <v>457</v>
      </c>
      <c r="K143" s="0" t="s">
        <v>457</v>
      </c>
      <c r="L143" s="0" t="s">
        <v>457</v>
      </c>
      <c r="M143" s="0" t="s">
        <v>457</v>
      </c>
      <c r="R143" s="0" t="s">
        <v>103</v>
      </c>
    </row>
    <row r="144" customFormat="false" ht="15" hidden="false" customHeight="false" outlineLevel="0" collapsed="false">
      <c r="A144" s="0" t="s">
        <v>100</v>
      </c>
      <c r="B144" s="0" t="n">
        <v>2013</v>
      </c>
      <c r="C144" s="0" t="s">
        <v>101</v>
      </c>
      <c r="D144" s="0" t="s">
        <v>79</v>
      </c>
      <c r="E144" s="0" t="n">
        <v>0</v>
      </c>
      <c r="F144" s="0" t="s">
        <v>45</v>
      </c>
      <c r="H144" s="0" t="s">
        <v>457</v>
      </c>
      <c r="I144" s="0" t="s">
        <v>457</v>
      </c>
      <c r="J144" s="0" t="s">
        <v>457</v>
      </c>
      <c r="K144" s="0" t="s">
        <v>457</v>
      </c>
      <c r="L144" s="0" t="s">
        <v>457</v>
      </c>
      <c r="M144" s="0" t="s">
        <v>457</v>
      </c>
      <c r="R144" s="0" t="s">
        <v>103</v>
      </c>
    </row>
    <row r="145" customFormat="false" ht="15" hidden="false" customHeight="false" outlineLevel="0" collapsed="false">
      <c r="A145" s="0" t="s">
        <v>100</v>
      </c>
      <c r="B145" s="0" t="n">
        <v>2013</v>
      </c>
      <c r="C145" s="0" t="s">
        <v>101</v>
      </c>
      <c r="D145" s="0" t="s">
        <v>79</v>
      </c>
      <c r="E145" s="0" t="n">
        <v>0</v>
      </c>
      <c r="F145" s="0" t="s">
        <v>71</v>
      </c>
      <c r="H145" s="0" t="s">
        <v>457</v>
      </c>
      <c r="I145" s="0" t="s">
        <v>457</v>
      </c>
      <c r="J145" s="0" t="s">
        <v>457</v>
      </c>
      <c r="K145" s="0" t="s">
        <v>457</v>
      </c>
      <c r="L145" s="0" t="s">
        <v>457</v>
      </c>
      <c r="M145" s="0" t="s">
        <v>457</v>
      </c>
      <c r="R145" s="0" t="s">
        <v>103</v>
      </c>
    </row>
    <row r="146" customFormat="false" ht="15" hidden="false" customHeight="false" outlineLevel="0" collapsed="false">
      <c r="A146" s="0" t="s">
        <v>100</v>
      </c>
      <c r="B146" s="0" t="n">
        <v>2013</v>
      </c>
      <c r="C146" s="0" t="s">
        <v>101</v>
      </c>
      <c r="D146" s="0" t="s">
        <v>79</v>
      </c>
      <c r="E146" s="0" t="n">
        <v>0</v>
      </c>
      <c r="F146" s="0" t="s">
        <v>31</v>
      </c>
      <c r="G146" s="0" t="n">
        <v>89.2780106392956</v>
      </c>
      <c r="H146" s="0" t="s">
        <v>437</v>
      </c>
      <c r="I146" s="0" t="s">
        <v>437</v>
      </c>
      <c r="J146" s="0" t="s">
        <v>437</v>
      </c>
      <c r="K146" s="0" t="s">
        <v>457</v>
      </c>
      <c r="L146" s="0" t="s">
        <v>437</v>
      </c>
      <c r="M146" s="0" t="s">
        <v>457</v>
      </c>
      <c r="R146" s="0" t="s">
        <v>103</v>
      </c>
    </row>
    <row r="147" customFormat="false" ht="15" hidden="false" customHeight="false" outlineLevel="0" collapsed="false">
      <c r="A147" s="0" t="s">
        <v>100</v>
      </c>
      <c r="B147" s="0" t="n">
        <v>2014</v>
      </c>
      <c r="C147" s="0" t="s">
        <v>101</v>
      </c>
      <c r="D147" s="0" t="s">
        <v>79</v>
      </c>
      <c r="E147" s="0" t="n">
        <v>0</v>
      </c>
      <c r="F147" s="0" t="s">
        <v>73</v>
      </c>
      <c r="G147" s="0" t="n">
        <v>0</v>
      </c>
      <c r="H147" s="0" t="s">
        <v>437</v>
      </c>
      <c r="I147" s="0" t="s">
        <v>437</v>
      </c>
      <c r="J147" s="0" t="s">
        <v>437</v>
      </c>
      <c r="K147" s="0" t="s">
        <v>437</v>
      </c>
      <c r="L147" s="0" t="s">
        <v>437</v>
      </c>
      <c r="M147" s="0" t="s">
        <v>457</v>
      </c>
      <c r="R147" s="0" t="s">
        <v>105</v>
      </c>
    </row>
    <row r="148" customFormat="false" ht="15" hidden="false" customHeight="false" outlineLevel="0" collapsed="false">
      <c r="A148" s="0" t="s">
        <v>100</v>
      </c>
      <c r="B148" s="0" t="n">
        <v>2014</v>
      </c>
      <c r="C148" s="0" t="s">
        <v>101</v>
      </c>
      <c r="D148" s="0" t="s">
        <v>79</v>
      </c>
      <c r="E148" s="0" t="n">
        <v>0</v>
      </c>
      <c r="F148" s="0" t="s">
        <v>69</v>
      </c>
      <c r="G148" s="0" t="n">
        <v>16</v>
      </c>
      <c r="H148" s="0" t="s">
        <v>437</v>
      </c>
      <c r="I148" s="0" t="s">
        <v>437</v>
      </c>
      <c r="J148" s="0" t="s">
        <v>437</v>
      </c>
      <c r="K148" s="0" t="s">
        <v>437</v>
      </c>
      <c r="L148" s="0" t="s">
        <v>437</v>
      </c>
      <c r="M148" s="0" t="s">
        <v>457</v>
      </c>
      <c r="R148" s="0" t="s">
        <v>105</v>
      </c>
    </row>
    <row r="149" customFormat="false" ht="15" hidden="false" customHeight="false" outlineLevel="0" collapsed="false">
      <c r="A149" s="0" t="s">
        <v>100</v>
      </c>
      <c r="B149" s="0" t="n">
        <v>2014</v>
      </c>
      <c r="C149" s="0" t="s">
        <v>101</v>
      </c>
      <c r="D149" s="0" t="s">
        <v>79</v>
      </c>
      <c r="E149" s="0" t="n">
        <v>0</v>
      </c>
      <c r="F149" s="0" t="s">
        <v>25</v>
      </c>
      <c r="G149" s="0" t="n">
        <v>16.0335921381585</v>
      </c>
      <c r="H149" s="0" t="s">
        <v>437</v>
      </c>
      <c r="I149" s="0" t="s">
        <v>437</v>
      </c>
      <c r="J149" s="0" t="s">
        <v>437</v>
      </c>
      <c r="K149" s="0" t="s">
        <v>437</v>
      </c>
      <c r="L149" s="0" t="s">
        <v>437</v>
      </c>
      <c r="M149" s="0" t="s">
        <v>457</v>
      </c>
      <c r="R149" s="0" t="s">
        <v>105</v>
      </c>
    </row>
    <row r="150" customFormat="false" ht="15" hidden="false" customHeight="false" outlineLevel="0" collapsed="false">
      <c r="A150" s="0" t="s">
        <v>100</v>
      </c>
      <c r="B150" s="0" t="n">
        <v>2014</v>
      </c>
      <c r="C150" s="0" t="s">
        <v>101</v>
      </c>
      <c r="D150" s="0" t="s">
        <v>79</v>
      </c>
      <c r="E150" s="0" t="n">
        <v>0</v>
      </c>
      <c r="F150" s="0" t="s">
        <v>41</v>
      </c>
      <c r="G150" s="0" t="n">
        <v>1.83892733259054</v>
      </c>
      <c r="H150" s="0" t="s">
        <v>437</v>
      </c>
      <c r="I150" s="0" t="s">
        <v>437</v>
      </c>
      <c r="J150" s="0" t="s">
        <v>437</v>
      </c>
      <c r="K150" s="0" t="s">
        <v>437</v>
      </c>
      <c r="L150" s="0" t="s">
        <v>437</v>
      </c>
      <c r="M150" s="0" t="s">
        <v>457</v>
      </c>
      <c r="R150" s="0" t="s">
        <v>105</v>
      </c>
    </row>
    <row r="151" customFormat="false" ht="15" hidden="false" customHeight="false" outlineLevel="0" collapsed="false">
      <c r="A151" s="0" t="s">
        <v>100</v>
      </c>
      <c r="B151" s="0" t="n">
        <v>2014</v>
      </c>
      <c r="C151" s="0" t="s">
        <v>101</v>
      </c>
      <c r="D151" s="0" t="s">
        <v>79</v>
      </c>
      <c r="E151" s="0" t="n">
        <v>0</v>
      </c>
      <c r="F151" s="0" t="s">
        <v>27</v>
      </c>
      <c r="G151" s="0" t="n">
        <v>11.1902272068371</v>
      </c>
      <c r="H151" s="0" t="s">
        <v>437</v>
      </c>
      <c r="I151" s="0" t="s">
        <v>437</v>
      </c>
      <c r="J151" s="0" t="s">
        <v>437</v>
      </c>
      <c r="K151" s="0" t="s">
        <v>437</v>
      </c>
      <c r="L151" s="0" t="s">
        <v>437</v>
      </c>
      <c r="M151" s="0" t="s">
        <v>457</v>
      </c>
      <c r="R151" s="0" t="s">
        <v>105</v>
      </c>
    </row>
    <row r="152" customFormat="false" ht="15" hidden="false" customHeight="false" outlineLevel="0" collapsed="false">
      <c r="A152" s="0" t="s">
        <v>100</v>
      </c>
      <c r="B152" s="0" t="n">
        <v>2014</v>
      </c>
      <c r="C152" s="0" t="s">
        <v>101</v>
      </c>
      <c r="D152" s="0" t="s">
        <v>79</v>
      </c>
      <c r="E152" s="0" t="n">
        <v>0</v>
      </c>
      <c r="F152" s="0" t="s">
        <v>39</v>
      </c>
      <c r="G152" s="0" t="n">
        <v>-6.84663823512949</v>
      </c>
      <c r="H152" s="0" t="s">
        <v>437</v>
      </c>
      <c r="I152" s="0" t="s">
        <v>437</v>
      </c>
      <c r="J152" s="0" t="s">
        <v>437</v>
      </c>
      <c r="K152" s="0" t="s">
        <v>437</v>
      </c>
      <c r="L152" s="0" t="s">
        <v>437</v>
      </c>
      <c r="M152" s="0" t="s">
        <v>457</v>
      </c>
      <c r="R152" s="0" t="s">
        <v>105</v>
      </c>
    </row>
    <row r="153" customFormat="false" ht="15" hidden="false" customHeight="false" outlineLevel="0" collapsed="false">
      <c r="A153" s="0" t="s">
        <v>100</v>
      </c>
      <c r="B153" s="0" t="n">
        <v>2014</v>
      </c>
      <c r="C153" s="0" t="s">
        <v>101</v>
      </c>
      <c r="D153" s="0" t="s">
        <v>79</v>
      </c>
      <c r="E153" s="0" t="n">
        <v>0</v>
      </c>
      <c r="F153" s="0" t="s">
        <v>17</v>
      </c>
      <c r="G153" s="0" t="n">
        <v>4.10706843287975</v>
      </c>
      <c r="H153" s="0" t="s">
        <v>437</v>
      </c>
      <c r="I153" s="0" t="s">
        <v>437</v>
      </c>
      <c r="J153" s="0" t="s">
        <v>437</v>
      </c>
      <c r="K153" s="0" t="s">
        <v>437</v>
      </c>
      <c r="L153" s="0" t="s">
        <v>437</v>
      </c>
      <c r="M153" s="0" t="s">
        <v>457</v>
      </c>
      <c r="R153" s="0" t="s">
        <v>105</v>
      </c>
    </row>
    <row r="154" customFormat="false" ht="15" hidden="false" customHeight="false" outlineLevel="0" collapsed="false">
      <c r="A154" s="0" t="s">
        <v>100</v>
      </c>
      <c r="B154" s="0" t="n">
        <v>2014</v>
      </c>
      <c r="C154" s="0" t="s">
        <v>101</v>
      </c>
      <c r="D154" s="0" t="s">
        <v>79</v>
      </c>
      <c r="E154" s="0" t="n">
        <v>0</v>
      </c>
      <c r="F154" s="0" t="s">
        <v>29</v>
      </c>
      <c r="G154" s="0" t="n">
        <v>2.04061374269304</v>
      </c>
      <c r="H154" s="0" t="s">
        <v>437</v>
      </c>
      <c r="I154" s="0" t="s">
        <v>437</v>
      </c>
      <c r="J154" s="0" t="s">
        <v>437</v>
      </c>
      <c r="K154" s="0" t="s">
        <v>437</v>
      </c>
      <c r="L154" s="0" t="s">
        <v>437</v>
      </c>
      <c r="M154" s="0" t="s">
        <v>457</v>
      </c>
      <c r="R154" s="0" t="s">
        <v>105</v>
      </c>
    </row>
    <row r="155" customFormat="false" ht="15" hidden="false" customHeight="false" outlineLevel="0" collapsed="false">
      <c r="A155" s="0" t="s">
        <v>100</v>
      </c>
      <c r="B155" s="0" t="n">
        <v>2014</v>
      </c>
      <c r="C155" s="0" t="s">
        <v>101</v>
      </c>
      <c r="D155" s="0" t="s">
        <v>79</v>
      </c>
      <c r="E155" s="0" t="n">
        <v>0</v>
      </c>
      <c r="F155" s="0" t="s">
        <v>37</v>
      </c>
      <c r="H155" s="0" t="s">
        <v>457</v>
      </c>
      <c r="I155" s="0" t="s">
        <v>457</v>
      </c>
      <c r="J155" s="0" t="s">
        <v>457</v>
      </c>
      <c r="K155" s="0" t="s">
        <v>457</v>
      </c>
      <c r="L155" s="0" t="s">
        <v>457</v>
      </c>
      <c r="M155" s="0" t="s">
        <v>457</v>
      </c>
      <c r="R155" s="0" t="s">
        <v>105</v>
      </c>
    </row>
    <row r="156" customFormat="false" ht="15" hidden="false" customHeight="false" outlineLevel="0" collapsed="false">
      <c r="A156" s="0" t="s">
        <v>100</v>
      </c>
      <c r="B156" s="0" t="n">
        <v>2014</v>
      </c>
      <c r="C156" s="0" t="s">
        <v>101</v>
      </c>
      <c r="D156" s="0" t="s">
        <v>79</v>
      </c>
      <c r="E156" s="0" t="n">
        <v>0</v>
      </c>
      <c r="F156" s="0" t="s">
        <v>23</v>
      </c>
      <c r="H156" s="0" t="s">
        <v>457</v>
      </c>
      <c r="I156" s="0" t="s">
        <v>457</v>
      </c>
      <c r="J156" s="0" t="s">
        <v>457</v>
      </c>
      <c r="K156" s="0" t="s">
        <v>457</v>
      </c>
      <c r="L156" s="0" t="s">
        <v>457</v>
      </c>
      <c r="M156" s="0" t="s">
        <v>457</v>
      </c>
      <c r="R156" s="0" t="s">
        <v>105</v>
      </c>
    </row>
    <row r="157" customFormat="false" ht="15" hidden="false" customHeight="false" outlineLevel="0" collapsed="false">
      <c r="A157" s="0" t="s">
        <v>100</v>
      </c>
      <c r="B157" s="0" t="n">
        <v>2014</v>
      </c>
      <c r="C157" s="0" t="s">
        <v>101</v>
      </c>
      <c r="D157" s="0" t="s">
        <v>79</v>
      </c>
      <c r="E157" s="0" t="n">
        <v>0</v>
      </c>
      <c r="F157" s="0" t="s">
        <v>45</v>
      </c>
      <c r="H157" s="0" t="s">
        <v>457</v>
      </c>
      <c r="I157" s="0" t="s">
        <v>457</v>
      </c>
      <c r="J157" s="0" t="s">
        <v>457</v>
      </c>
      <c r="K157" s="0" t="s">
        <v>457</v>
      </c>
      <c r="L157" s="0" t="s">
        <v>457</v>
      </c>
      <c r="M157" s="0" t="s">
        <v>457</v>
      </c>
      <c r="R157" s="0" t="s">
        <v>105</v>
      </c>
    </row>
    <row r="158" customFormat="false" ht="15" hidden="false" customHeight="false" outlineLevel="0" collapsed="false">
      <c r="A158" s="0" t="s">
        <v>100</v>
      </c>
      <c r="B158" s="0" t="n">
        <v>2014</v>
      </c>
      <c r="C158" s="0" t="s">
        <v>101</v>
      </c>
      <c r="D158" s="0" t="s">
        <v>79</v>
      </c>
      <c r="E158" s="0" t="n">
        <v>0</v>
      </c>
      <c r="F158" s="0" t="s">
        <v>71</v>
      </c>
      <c r="H158" s="0" t="s">
        <v>457</v>
      </c>
      <c r="I158" s="0" t="s">
        <v>457</v>
      </c>
      <c r="J158" s="0" t="s">
        <v>457</v>
      </c>
      <c r="K158" s="0" t="s">
        <v>457</v>
      </c>
      <c r="L158" s="0" t="s">
        <v>457</v>
      </c>
      <c r="M158" s="0" t="s">
        <v>457</v>
      </c>
      <c r="R158" s="0" t="s">
        <v>105</v>
      </c>
    </row>
    <row r="159" customFormat="false" ht="15" hidden="false" customHeight="false" outlineLevel="0" collapsed="false">
      <c r="A159" s="0" t="s">
        <v>100</v>
      </c>
      <c r="B159" s="0" t="n">
        <v>2014</v>
      </c>
      <c r="C159" s="0" t="s">
        <v>101</v>
      </c>
      <c r="D159" s="0" t="s">
        <v>79</v>
      </c>
      <c r="E159" s="0" t="n">
        <v>0</v>
      </c>
      <c r="F159" s="0" t="s">
        <v>31</v>
      </c>
      <c r="G159" s="0" t="n">
        <v>88.8097727931629</v>
      </c>
      <c r="H159" s="0" t="s">
        <v>437</v>
      </c>
      <c r="I159" s="0" t="s">
        <v>437</v>
      </c>
      <c r="J159" s="0" t="s">
        <v>437</v>
      </c>
      <c r="K159" s="0" t="s">
        <v>437</v>
      </c>
      <c r="L159" s="0" t="s">
        <v>437</v>
      </c>
      <c r="M159" s="0" t="s">
        <v>457</v>
      </c>
      <c r="R159" s="0" t="s">
        <v>105</v>
      </c>
    </row>
    <row r="160" customFormat="false" ht="15" hidden="false" customHeight="false" outlineLevel="0" collapsed="false">
      <c r="A160" s="0" t="s">
        <v>100</v>
      </c>
      <c r="B160" s="0" t="n">
        <v>2015</v>
      </c>
      <c r="C160" s="0" t="s">
        <v>101</v>
      </c>
      <c r="D160" s="0" t="s">
        <v>79</v>
      </c>
      <c r="E160" s="0" t="n">
        <v>0</v>
      </c>
      <c r="F160" s="0" t="s">
        <v>73</v>
      </c>
      <c r="G160" s="0" t="n">
        <v>0</v>
      </c>
      <c r="H160" s="0" t="s">
        <v>437</v>
      </c>
      <c r="I160" s="0" t="s">
        <v>437</v>
      </c>
      <c r="J160" s="0" t="s">
        <v>437</v>
      </c>
      <c r="K160" s="0" t="s">
        <v>437</v>
      </c>
      <c r="L160" s="0" t="s">
        <v>437</v>
      </c>
      <c r="M160" s="0" t="s">
        <v>457</v>
      </c>
      <c r="R160" s="0" t="s">
        <v>84</v>
      </c>
    </row>
    <row r="161" customFormat="false" ht="15" hidden="false" customHeight="false" outlineLevel="0" collapsed="false">
      <c r="A161" s="0" t="s">
        <v>100</v>
      </c>
      <c r="B161" s="0" t="n">
        <v>2015</v>
      </c>
      <c r="C161" s="0" t="s">
        <v>101</v>
      </c>
      <c r="D161" s="0" t="s">
        <v>79</v>
      </c>
      <c r="E161" s="0" t="n">
        <v>0</v>
      </c>
      <c r="F161" s="0" t="s">
        <v>69</v>
      </c>
      <c r="G161" s="0" t="n">
        <v>19</v>
      </c>
      <c r="H161" s="0" t="s">
        <v>437</v>
      </c>
      <c r="I161" s="0" t="s">
        <v>437</v>
      </c>
      <c r="J161" s="0" t="s">
        <v>437</v>
      </c>
      <c r="K161" s="0" t="s">
        <v>437</v>
      </c>
      <c r="L161" s="0" t="s">
        <v>437</v>
      </c>
      <c r="M161" s="0" t="s">
        <v>457</v>
      </c>
      <c r="R161" s="0" t="s">
        <v>84</v>
      </c>
    </row>
    <row r="162" customFormat="false" ht="15" hidden="false" customHeight="false" outlineLevel="0" collapsed="false">
      <c r="A162" s="0" t="s">
        <v>100</v>
      </c>
      <c r="B162" s="0" t="n">
        <v>2015</v>
      </c>
      <c r="C162" s="0" t="s">
        <v>101</v>
      </c>
      <c r="D162" s="0" t="s">
        <v>79</v>
      </c>
      <c r="E162" s="0" t="n">
        <v>0</v>
      </c>
      <c r="F162" s="0" t="s">
        <v>25</v>
      </c>
      <c r="G162" s="0" t="n">
        <v>18.7244399446466</v>
      </c>
      <c r="H162" s="0" t="s">
        <v>437</v>
      </c>
      <c r="I162" s="0" t="s">
        <v>437</v>
      </c>
      <c r="J162" s="0" t="s">
        <v>437</v>
      </c>
      <c r="K162" s="0" t="s">
        <v>437</v>
      </c>
      <c r="L162" s="0" t="s">
        <v>437</v>
      </c>
      <c r="M162" s="0" t="s">
        <v>457</v>
      </c>
      <c r="R162" s="0" t="s">
        <v>84</v>
      </c>
    </row>
    <row r="163" customFormat="false" ht="15" hidden="false" customHeight="false" outlineLevel="0" collapsed="false">
      <c r="A163" s="0" t="s">
        <v>100</v>
      </c>
      <c r="B163" s="0" t="n">
        <v>2015</v>
      </c>
      <c r="C163" s="0" t="s">
        <v>101</v>
      </c>
      <c r="D163" s="0" t="s">
        <v>79</v>
      </c>
      <c r="E163" s="0" t="n">
        <v>0</v>
      </c>
      <c r="F163" s="0" t="s">
        <v>41</v>
      </c>
      <c r="G163" s="0" t="n">
        <v>0.633761952417395</v>
      </c>
      <c r="H163" s="0" t="s">
        <v>437</v>
      </c>
      <c r="I163" s="0" t="s">
        <v>437</v>
      </c>
      <c r="J163" s="0" t="s">
        <v>437</v>
      </c>
      <c r="K163" s="0" t="s">
        <v>437</v>
      </c>
      <c r="L163" s="0" t="s">
        <v>437</v>
      </c>
      <c r="M163" s="0" t="s">
        <v>457</v>
      </c>
      <c r="R163" s="0" t="s">
        <v>84</v>
      </c>
    </row>
    <row r="164" customFormat="false" ht="15" hidden="false" customHeight="false" outlineLevel="0" collapsed="false">
      <c r="A164" s="0" t="s">
        <v>100</v>
      </c>
      <c r="B164" s="0" t="n">
        <v>2015</v>
      </c>
      <c r="C164" s="0" t="s">
        <v>101</v>
      </c>
      <c r="D164" s="0" t="s">
        <v>79</v>
      </c>
      <c r="E164" s="0" t="n">
        <v>0</v>
      </c>
      <c r="F164" s="0" t="s">
        <v>27</v>
      </c>
      <c r="G164" s="0" t="n">
        <v>12.6946946746116</v>
      </c>
      <c r="H164" s="0" t="s">
        <v>437</v>
      </c>
      <c r="I164" s="0" t="s">
        <v>437</v>
      </c>
      <c r="J164" s="0" t="s">
        <v>437</v>
      </c>
      <c r="K164" s="0" t="s">
        <v>437</v>
      </c>
      <c r="L164" s="0" t="s">
        <v>437</v>
      </c>
      <c r="M164" s="0" t="s">
        <v>457</v>
      </c>
      <c r="R164" s="0" t="s">
        <v>84</v>
      </c>
    </row>
    <row r="165" customFormat="false" ht="15" hidden="false" customHeight="false" outlineLevel="0" collapsed="false">
      <c r="A165" s="0" t="s">
        <v>100</v>
      </c>
      <c r="B165" s="0" t="n">
        <v>2015</v>
      </c>
      <c r="C165" s="0" t="s">
        <v>101</v>
      </c>
      <c r="D165" s="0" t="s">
        <v>79</v>
      </c>
      <c r="E165" s="0" t="n">
        <v>0</v>
      </c>
      <c r="F165" s="0" t="s">
        <v>39</v>
      </c>
      <c r="G165" s="0" t="n">
        <v>1.35840572762925</v>
      </c>
      <c r="H165" s="0" t="s">
        <v>437</v>
      </c>
      <c r="I165" s="0" t="s">
        <v>437</v>
      </c>
      <c r="J165" s="0" t="s">
        <v>437</v>
      </c>
      <c r="K165" s="0" t="s">
        <v>437</v>
      </c>
      <c r="L165" s="0" t="s">
        <v>437</v>
      </c>
      <c r="M165" s="0" t="s">
        <v>457</v>
      </c>
      <c r="R165" s="0" t="s">
        <v>84</v>
      </c>
    </row>
    <row r="166" customFormat="false" ht="15" hidden="false" customHeight="false" outlineLevel="0" collapsed="false">
      <c r="A166" s="0" t="s">
        <v>100</v>
      </c>
      <c r="B166" s="0" t="n">
        <v>2015</v>
      </c>
      <c r="C166" s="0" t="s">
        <v>101</v>
      </c>
      <c r="D166" s="0" t="s">
        <v>79</v>
      </c>
      <c r="E166" s="0" t="n">
        <v>0</v>
      </c>
      <c r="F166" s="0" t="s">
        <v>17</v>
      </c>
      <c r="G166" s="0" t="n">
        <v>7.7173899543977</v>
      </c>
      <c r="H166" s="0" t="s">
        <v>437</v>
      </c>
      <c r="I166" s="0" t="s">
        <v>437</v>
      </c>
      <c r="J166" s="0" t="s">
        <v>437</v>
      </c>
      <c r="K166" s="0" t="s">
        <v>437</v>
      </c>
      <c r="L166" s="0" t="s">
        <v>437</v>
      </c>
      <c r="M166" s="0" t="s">
        <v>457</v>
      </c>
      <c r="R166" s="0" t="s">
        <v>84</v>
      </c>
    </row>
    <row r="167" customFormat="false" ht="15" hidden="false" customHeight="false" outlineLevel="0" collapsed="false">
      <c r="A167" s="0" t="s">
        <v>100</v>
      </c>
      <c r="B167" s="0" t="n">
        <v>2015</v>
      </c>
      <c r="C167" s="0" t="s">
        <v>101</v>
      </c>
      <c r="D167" s="0" t="s">
        <v>79</v>
      </c>
      <c r="E167" s="0" t="n">
        <v>0</v>
      </c>
      <c r="F167" s="0" t="s">
        <v>29</v>
      </c>
      <c r="G167" s="0" t="n">
        <v>3.1250788418034</v>
      </c>
      <c r="H167" s="0" t="s">
        <v>437</v>
      </c>
      <c r="I167" s="0" t="s">
        <v>437</v>
      </c>
      <c r="J167" s="0" t="s">
        <v>437</v>
      </c>
      <c r="K167" s="0" t="s">
        <v>437</v>
      </c>
      <c r="L167" s="0" t="s">
        <v>437</v>
      </c>
      <c r="M167" s="0" t="s">
        <v>457</v>
      </c>
      <c r="R167" s="0" t="s">
        <v>84</v>
      </c>
    </row>
    <row r="168" customFormat="false" ht="15" hidden="false" customHeight="false" outlineLevel="0" collapsed="false">
      <c r="A168" s="0" t="s">
        <v>100</v>
      </c>
      <c r="B168" s="0" t="n">
        <v>2015</v>
      </c>
      <c r="C168" s="0" t="s">
        <v>101</v>
      </c>
      <c r="D168" s="0" t="s">
        <v>79</v>
      </c>
      <c r="E168" s="0" t="n">
        <v>0</v>
      </c>
      <c r="F168" s="0" t="s">
        <v>37</v>
      </c>
      <c r="H168" s="0" t="s">
        <v>457</v>
      </c>
      <c r="I168" s="0" t="s">
        <v>457</v>
      </c>
      <c r="J168" s="0" t="s">
        <v>457</v>
      </c>
      <c r="K168" s="0" t="s">
        <v>457</v>
      </c>
      <c r="L168" s="0" t="s">
        <v>457</v>
      </c>
      <c r="M168" s="0" t="s">
        <v>457</v>
      </c>
      <c r="R168" s="0" t="s">
        <v>84</v>
      </c>
    </row>
    <row r="169" customFormat="false" ht="15" hidden="false" customHeight="false" outlineLevel="0" collapsed="false">
      <c r="A169" s="0" t="s">
        <v>100</v>
      </c>
      <c r="B169" s="0" t="n">
        <v>2015</v>
      </c>
      <c r="C169" s="0" t="s">
        <v>101</v>
      </c>
      <c r="D169" s="0" t="s">
        <v>79</v>
      </c>
      <c r="E169" s="0" t="n">
        <v>0</v>
      </c>
      <c r="F169" s="0" t="s">
        <v>23</v>
      </c>
      <c r="H169" s="0" t="s">
        <v>457</v>
      </c>
      <c r="I169" s="0" t="s">
        <v>457</v>
      </c>
      <c r="J169" s="0" t="s">
        <v>457</v>
      </c>
      <c r="K169" s="0" t="s">
        <v>457</v>
      </c>
      <c r="L169" s="0" t="s">
        <v>457</v>
      </c>
      <c r="M169" s="0" t="s">
        <v>457</v>
      </c>
      <c r="R169" s="0" t="s">
        <v>84</v>
      </c>
    </row>
    <row r="170" customFormat="false" ht="15" hidden="false" customHeight="false" outlineLevel="0" collapsed="false">
      <c r="A170" s="0" t="s">
        <v>100</v>
      </c>
      <c r="B170" s="0" t="n">
        <v>2015</v>
      </c>
      <c r="C170" s="0" t="s">
        <v>101</v>
      </c>
      <c r="D170" s="0" t="s">
        <v>79</v>
      </c>
      <c r="E170" s="0" t="n">
        <v>0</v>
      </c>
      <c r="F170" s="0" t="s">
        <v>45</v>
      </c>
      <c r="H170" s="0" t="s">
        <v>457</v>
      </c>
      <c r="I170" s="0" t="s">
        <v>457</v>
      </c>
      <c r="J170" s="0" t="s">
        <v>457</v>
      </c>
      <c r="K170" s="0" t="s">
        <v>457</v>
      </c>
      <c r="L170" s="0" t="s">
        <v>457</v>
      </c>
      <c r="M170" s="0" t="s">
        <v>457</v>
      </c>
      <c r="R170" s="0" t="s">
        <v>84</v>
      </c>
    </row>
    <row r="171" customFormat="false" ht="15" hidden="false" customHeight="false" outlineLevel="0" collapsed="false">
      <c r="A171" s="0" t="s">
        <v>100</v>
      </c>
      <c r="B171" s="0" t="n">
        <v>2015</v>
      </c>
      <c r="C171" s="0" t="s">
        <v>101</v>
      </c>
      <c r="D171" s="0" t="s">
        <v>79</v>
      </c>
      <c r="E171" s="0" t="n">
        <v>0</v>
      </c>
      <c r="F171" s="0" t="s">
        <v>71</v>
      </c>
      <c r="H171" s="0" t="s">
        <v>457</v>
      </c>
      <c r="I171" s="0" t="s">
        <v>457</v>
      </c>
      <c r="J171" s="0" t="s">
        <v>457</v>
      </c>
      <c r="K171" s="0" t="s">
        <v>457</v>
      </c>
      <c r="L171" s="0" t="s">
        <v>457</v>
      </c>
      <c r="M171" s="0" t="s">
        <v>457</v>
      </c>
      <c r="R171" s="0" t="s">
        <v>84</v>
      </c>
    </row>
    <row r="172" customFormat="false" ht="15" hidden="false" customHeight="false" outlineLevel="0" collapsed="false">
      <c r="A172" s="0" t="s">
        <v>100</v>
      </c>
      <c r="B172" s="0" t="n">
        <v>2015</v>
      </c>
      <c r="C172" s="0" t="s">
        <v>101</v>
      </c>
      <c r="D172" s="0" t="s">
        <v>79</v>
      </c>
      <c r="E172" s="0" t="n">
        <v>0</v>
      </c>
      <c r="F172" s="0" t="s">
        <v>31</v>
      </c>
      <c r="G172" s="0" t="n">
        <v>87.3053053253884</v>
      </c>
      <c r="H172" s="0" t="s">
        <v>437</v>
      </c>
      <c r="I172" s="0" t="s">
        <v>437</v>
      </c>
      <c r="J172" s="0" t="s">
        <v>437</v>
      </c>
      <c r="K172" s="0" t="s">
        <v>437</v>
      </c>
      <c r="L172" s="0" t="s">
        <v>437</v>
      </c>
      <c r="M172" s="0" t="s">
        <v>457</v>
      </c>
      <c r="R172" s="0" t="s">
        <v>84</v>
      </c>
    </row>
    <row r="173" customFormat="false" ht="15" hidden="false" customHeight="false" outlineLevel="0" collapsed="false">
      <c r="A173" s="0" t="s">
        <v>100</v>
      </c>
      <c r="B173" s="0" t="n">
        <v>2016</v>
      </c>
      <c r="C173" s="0" t="s">
        <v>101</v>
      </c>
      <c r="D173" s="0" t="s">
        <v>79</v>
      </c>
      <c r="E173" s="0" t="n">
        <v>0</v>
      </c>
      <c r="F173" s="0" t="s">
        <v>73</v>
      </c>
      <c r="H173" s="0" t="s">
        <v>457</v>
      </c>
      <c r="I173" s="0" t="s">
        <v>457</v>
      </c>
      <c r="J173" s="0" t="s">
        <v>457</v>
      </c>
      <c r="K173" s="0" t="s">
        <v>457</v>
      </c>
      <c r="L173" s="0" t="s">
        <v>457</v>
      </c>
      <c r="M173" s="0" t="s">
        <v>457</v>
      </c>
      <c r="R173" s="0" t="s">
        <v>81</v>
      </c>
    </row>
    <row r="174" customFormat="false" ht="15" hidden="false" customHeight="false" outlineLevel="0" collapsed="false">
      <c r="A174" s="0" t="s">
        <v>100</v>
      </c>
      <c r="B174" s="0" t="n">
        <v>2016</v>
      </c>
      <c r="C174" s="0" t="s">
        <v>101</v>
      </c>
      <c r="D174" s="0" t="s">
        <v>79</v>
      </c>
      <c r="E174" s="0" t="n">
        <v>0</v>
      </c>
      <c r="F174" s="0" t="s">
        <v>69</v>
      </c>
      <c r="H174" s="0" t="s">
        <v>457</v>
      </c>
      <c r="I174" s="0" t="s">
        <v>457</v>
      </c>
      <c r="J174" s="0" t="s">
        <v>457</v>
      </c>
      <c r="K174" s="0" t="s">
        <v>457</v>
      </c>
      <c r="L174" s="0" t="s">
        <v>457</v>
      </c>
      <c r="M174" s="0" t="s">
        <v>457</v>
      </c>
      <c r="R174" s="0" t="s">
        <v>81</v>
      </c>
    </row>
    <row r="175" customFormat="false" ht="15" hidden="false" customHeight="false" outlineLevel="0" collapsed="false">
      <c r="A175" s="0" t="s">
        <v>100</v>
      </c>
      <c r="B175" s="0" t="n">
        <v>2016</v>
      </c>
      <c r="C175" s="0" t="s">
        <v>101</v>
      </c>
      <c r="D175" s="0" t="s">
        <v>79</v>
      </c>
      <c r="E175" s="0" t="n">
        <v>0</v>
      </c>
      <c r="F175" s="0" t="s">
        <v>25</v>
      </c>
      <c r="H175" s="0" t="s">
        <v>457</v>
      </c>
      <c r="I175" s="0" t="s">
        <v>457</v>
      </c>
      <c r="J175" s="0" t="s">
        <v>457</v>
      </c>
      <c r="K175" s="0" t="s">
        <v>457</v>
      </c>
      <c r="L175" s="0" t="s">
        <v>457</v>
      </c>
      <c r="M175" s="0" t="s">
        <v>457</v>
      </c>
      <c r="R175" s="0" t="s">
        <v>81</v>
      </c>
    </row>
    <row r="176" customFormat="false" ht="15" hidden="false" customHeight="false" outlineLevel="0" collapsed="false">
      <c r="A176" s="0" t="s">
        <v>100</v>
      </c>
      <c r="B176" s="0" t="n">
        <v>2016</v>
      </c>
      <c r="C176" s="0" t="s">
        <v>101</v>
      </c>
      <c r="D176" s="0" t="s">
        <v>79</v>
      </c>
      <c r="E176" s="0" t="n">
        <v>0</v>
      </c>
      <c r="F176" s="0" t="s">
        <v>41</v>
      </c>
      <c r="H176" s="0" t="s">
        <v>457</v>
      </c>
      <c r="I176" s="0" t="s">
        <v>457</v>
      </c>
      <c r="J176" s="0" t="s">
        <v>457</v>
      </c>
      <c r="K176" s="0" t="s">
        <v>457</v>
      </c>
      <c r="L176" s="0" t="s">
        <v>457</v>
      </c>
      <c r="M176" s="0" t="s">
        <v>457</v>
      </c>
      <c r="R176" s="0" t="s">
        <v>81</v>
      </c>
    </row>
    <row r="177" customFormat="false" ht="15" hidden="false" customHeight="false" outlineLevel="0" collapsed="false">
      <c r="A177" s="0" t="s">
        <v>100</v>
      </c>
      <c r="B177" s="0" t="n">
        <v>2016</v>
      </c>
      <c r="C177" s="0" t="s">
        <v>101</v>
      </c>
      <c r="D177" s="0" t="s">
        <v>79</v>
      </c>
      <c r="E177" s="0" t="n">
        <v>0</v>
      </c>
      <c r="F177" s="0" t="s">
        <v>27</v>
      </c>
      <c r="G177" s="0" t="n">
        <v>12.2076103827309</v>
      </c>
      <c r="H177" s="0" t="s">
        <v>437</v>
      </c>
      <c r="I177" s="0" t="s">
        <v>437</v>
      </c>
      <c r="J177" s="0" t="s">
        <v>437</v>
      </c>
      <c r="K177" s="0" t="s">
        <v>437</v>
      </c>
      <c r="L177" s="0" t="s">
        <v>437</v>
      </c>
      <c r="M177" s="0" t="s">
        <v>457</v>
      </c>
      <c r="R177" s="0" t="s">
        <v>81</v>
      </c>
    </row>
    <row r="178" customFormat="false" ht="15" hidden="false" customHeight="false" outlineLevel="0" collapsed="false">
      <c r="A178" s="0" t="s">
        <v>100</v>
      </c>
      <c r="B178" s="0" t="n">
        <v>2016</v>
      </c>
      <c r="C178" s="0" t="s">
        <v>101</v>
      </c>
      <c r="D178" s="0" t="s">
        <v>79</v>
      </c>
      <c r="E178" s="0" t="n">
        <v>0</v>
      </c>
      <c r="F178" s="0" t="s">
        <v>39</v>
      </c>
      <c r="H178" s="0" t="s">
        <v>457</v>
      </c>
      <c r="I178" s="0" t="s">
        <v>457</v>
      </c>
      <c r="J178" s="0" t="s">
        <v>457</v>
      </c>
      <c r="K178" s="0" t="s">
        <v>457</v>
      </c>
      <c r="L178" s="0" t="s">
        <v>457</v>
      </c>
      <c r="M178" s="0" t="s">
        <v>457</v>
      </c>
      <c r="R178" s="0" t="s">
        <v>81</v>
      </c>
    </row>
    <row r="179" customFormat="false" ht="15" hidden="false" customHeight="false" outlineLevel="0" collapsed="false">
      <c r="A179" s="0" t="s">
        <v>100</v>
      </c>
      <c r="B179" s="0" t="n">
        <v>2016</v>
      </c>
      <c r="C179" s="0" t="s">
        <v>101</v>
      </c>
      <c r="D179" s="0" t="s">
        <v>79</v>
      </c>
      <c r="E179" s="0" t="n">
        <v>0</v>
      </c>
      <c r="F179" s="0" t="s">
        <v>17</v>
      </c>
      <c r="H179" s="0" t="s">
        <v>457</v>
      </c>
      <c r="I179" s="0" t="s">
        <v>457</v>
      </c>
      <c r="J179" s="0" t="s">
        <v>457</v>
      </c>
      <c r="K179" s="0" t="s">
        <v>457</v>
      </c>
      <c r="L179" s="0" t="s">
        <v>457</v>
      </c>
      <c r="M179" s="0" t="s">
        <v>457</v>
      </c>
      <c r="R179" s="0" t="s">
        <v>81</v>
      </c>
    </row>
    <row r="180" customFormat="false" ht="15" hidden="false" customHeight="false" outlineLevel="0" collapsed="false">
      <c r="A180" s="0" t="s">
        <v>100</v>
      </c>
      <c r="B180" s="0" t="n">
        <v>2016</v>
      </c>
      <c r="C180" s="0" t="s">
        <v>101</v>
      </c>
      <c r="D180" s="0" t="s">
        <v>79</v>
      </c>
      <c r="E180" s="0" t="n">
        <v>0</v>
      </c>
      <c r="F180" s="0" t="s">
        <v>29</v>
      </c>
      <c r="H180" s="0" t="s">
        <v>457</v>
      </c>
      <c r="I180" s="0" t="s">
        <v>457</v>
      </c>
      <c r="J180" s="0" t="s">
        <v>457</v>
      </c>
      <c r="K180" s="0" t="s">
        <v>457</v>
      </c>
      <c r="L180" s="0" t="s">
        <v>457</v>
      </c>
      <c r="M180" s="0" t="s">
        <v>457</v>
      </c>
      <c r="R180" s="0" t="s">
        <v>81</v>
      </c>
    </row>
    <row r="181" customFormat="false" ht="15" hidden="false" customHeight="false" outlineLevel="0" collapsed="false">
      <c r="A181" s="0" t="s">
        <v>100</v>
      </c>
      <c r="B181" s="0" t="n">
        <v>2016</v>
      </c>
      <c r="C181" s="0" t="s">
        <v>101</v>
      </c>
      <c r="D181" s="0" t="s">
        <v>79</v>
      </c>
      <c r="E181" s="0" t="n">
        <v>0</v>
      </c>
      <c r="F181" s="0" t="s">
        <v>37</v>
      </c>
      <c r="H181" s="0" t="s">
        <v>457</v>
      </c>
      <c r="I181" s="0" t="s">
        <v>457</v>
      </c>
      <c r="J181" s="0" t="s">
        <v>457</v>
      </c>
      <c r="K181" s="0" t="s">
        <v>457</v>
      </c>
      <c r="L181" s="0" t="s">
        <v>457</v>
      </c>
      <c r="M181" s="0" t="s">
        <v>457</v>
      </c>
      <c r="R181" s="0" t="s">
        <v>81</v>
      </c>
    </row>
    <row r="182" customFormat="false" ht="15" hidden="false" customHeight="false" outlineLevel="0" collapsed="false">
      <c r="A182" s="0" t="s">
        <v>100</v>
      </c>
      <c r="B182" s="0" t="n">
        <v>2016</v>
      </c>
      <c r="C182" s="0" t="s">
        <v>101</v>
      </c>
      <c r="D182" s="0" t="s">
        <v>79</v>
      </c>
      <c r="E182" s="0" t="n">
        <v>0</v>
      </c>
      <c r="F182" s="0" t="s">
        <v>23</v>
      </c>
      <c r="H182" s="0" t="s">
        <v>457</v>
      </c>
      <c r="I182" s="0" t="s">
        <v>457</v>
      </c>
      <c r="J182" s="0" t="s">
        <v>457</v>
      </c>
      <c r="K182" s="0" t="s">
        <v>457</v>
      </c>
      <c r="L182" s="0" t="s">
        <v>457</v>
      </c>
      <c r="M182" s="0" t="s">
        <v>457</v>
      </c>
      <c r="R182" s="0" t="s">
        <v>81</v>
      </c>
    </row>
    <row r="183" customFormat="false" ht="15" hidden="false" customHeight="false" outlineLevel="0" collapsed="false">
      <c r="A183" s="0" t="s">
        <v>100</v>
      </c>
      <c r="B183" s="0" t="n">
        <v>2016</v>
      </c>
      <c r="C183" s="0" t="s">
        <v>101</v>
      </c>
      <c r="D183" s="0" t="s">
        <v>79</v>
      </c>
      <c r="E183" s="0" t="n">
        <v>0</v>
      </c>
      <c r="F183" s="0" t="s">
        <v>45</v>
      </c>
      <c r="H183" s="0" t="s">
        <v>457</v>
      </c>
      <c r="I183" s="0" t="s">
        <v>457</v>
      </c>
      <c r="J183" s="0" t="s">
        <v>457</v>
      </c>
      <c r="K183" s="0" t="s">
        <v>457</v>
      </c>
      <c r="L183" s="0" t="s">
        <v>457</v>
      </c>
      <c r="M183" s="0" t="s">
        <v>457</v>
      </c>
      <c r="R183" s="0" t="s">
        <v>81</v>
      </c>
    </row>
    <row r="184" customFormat="false" ht="15" hidden="false" customHeight="false" outlineLevel="0" collapsed="false">
      <c r="A184" s="0" t="s">
        <v>100</v>
      </c>
      <c r="B184" s="0" t="n">
        <v>2016</v>
      </c>
      <c r="C184" s="0" t="s">
        <v>101</v>
      </c>
      <c r="D184" s="0" t="s">
        <v>79</v>
      </c>
      <c r="E184" s="0" t="n">
        <v>0</v>
      </c>
      <c r="F184" s="0" t="s">
        <v>71</v>
      </c>
      <c r="H184" s="0" t="s">
        <v>457</v>
      </c>
      <c r="I184" s="0" t="s">
        <v>457</v>
      </c>
      <c r="J184" s="0" t="s">
        <v>457</v>
      </c>
      <c r="K184" s="0" t="s">
        <v>457</v>
      </c>
      <c r="L184" s="0" t="s">
        <v>457</v>
      </c>
      <c r="M184" s="0" t="s">
        <v>457</v>
      </c>
      <c r="R184" s="0" t="s">
        <v>81</v>
      </c>
    </row>
    <row r="185" customFormat="false" ht="15" hidden="false" customHeight="false" outlineLevel="0" collapsed="false">
      <c r="A185" s="0" t="s">
        <v>100</v>
      </c>
      <c r="B185" s="0" t="n">
        <v>2016</v>
      </c>
      <c r="C185" s="0" t="s">
        <v>101</v>
      </c>
      <c r="D185" s="0" t="s">
        <v>79</v>
      </c>
      <c r="E185" s="0" t="n">
        <v>0</v>
      </c>
      <c r="F185" s="0" t="s">
        <v>31</v>
      </c>
      <c r="G185" s="0" t="n">
        <v>87.7923896172691</v>
      </c>
      <c r="H185" s="0" t="s">
        <v>437</v>
      </c>
      <c r="I185" s="0" t="s">
        <v>437</v>
      </c>
      <c r="J185" s="0" t="s">
        <v>437</v>
      </c>
      <c r="K185" s="0" t="s">
        <v>437</v>
      </c>
      <c r="L185" s="0" t="s">
        <v>437</v>
      </c>
      <c r="M185" s="0" t="s">
        <v>457</v>
      </c>
      <c r="R185" s="0" t="s">
        <v>81</v>
      </c>
    </row>
    <row r="186" customFormat="false" ht="15" hidden="false" customHeight="false" outlineLevel="0" collapsed="false">
      <c r="A186" s="0" t="s">
        <v>100</v>
      </c>
      <c r="B186" s="0" t="n">
        <v>2017</v>
      </c>
      <c r="C186" s="0" t="s">
        <v>101</v>
      </c>
      <c r="D186" s="0" t="s">
        <v>79</v>
      </c>
      <c r="E186" s="0" t="n">
        <v>0</v>
      </c>
      <c r="F186" s="0" t="s">
        <v>73</v>
      </c>
      <c r="H186" s="0" t="s">
        <v>457</v>
      </c>
      <c r="I186" s="0" t="s">
        <v>457</v>
      </c>
      <c r="J186" s="0" t="s">
        <v>457</v>
      </c>
      <c r="K186" s="0" t="s">
        <v>457</v>
      </c>
      <c r="L186" s="0" t="s">
        <v>457</v>
      </c>
      <c r="M186" s="0" t="s">
        <v>457</v>
      </c>
      <c r="R186" s="0" t="s">
        <v>81</v>
      </c>
    </row>
    <row r="187" customFormat="false" ht="15" hidden="false" customHeight="false" outlineLevel="0" collapsed="false">
      <c r="A187" s="0" t="s">
        <v>100</v>
      </c>
      <c r="B187" s="0" t="n">
        <v>2017</v>
      </c>
      <c r="C187" s="0" t="s">
        <v>101</v>
      </c>
      <c r="D187" s="0" t="s">
        <v>79</v>
      </c>
      <c r="E187" s="0" t="n">
        <v>0</v>
      </c>
      <c r="F187" s="0" t="s">
        <v>69</v>
      </c>
      <c r="H187" s="0" t="s">
        <v>457</v>
      </c>
      <c r="I187" s="0" t="s">
        <v>457</v>
      </c>
      <c r="J187" s="0" t="s">
        <v>457</v>
      </c>
      <c r="K187" s="0" t="s">
        <v>457</v>
      </c>
      <c r="L187" s="0" t="s">
        <v>457</v>
      </c>
      <c r="M187" s="0" t="s">
        <v>457</v>
      </c>
      <c r="R187" s="0" t="s">
        <v>81</v>
      </c>
    </row>
    <row r="188" customFormat="false" ht="15" hidden="false" customHeight="false" outlineLevel="0" collapsed="false">
      <c r="A188" s="0" t="s">
        <v>100</v>
      </c>
      <c r="B188" s="0" t="n">
        <v>2017</v>
      </c>
      <c r="C188" s="0" t="s">
        <v>101</v>
      </c>
      <c r="D188" s="0" t="s">
        <v>79</v>
      </c>
      <c r="E188" s="0" t="n">
        <v>0</v>
      </c>
      <c r="F188" s="0" t="s">
        <v>25</v>
      </c>
      <c r="H188" s="0" t="s">
        <v>457</v>
      </c>
      <c r="I188" s="0" t="s">
        <v>457</v>
      </c>
      <c r="J188" s="0" t="s">
        <v>457</v>
      </c>
      <c r="K188" s="0" t="s">
        <v>457</v>
      </c>
      <c r="L188" s="0" t="s">
        <v>457</v>
      </c>
      <c r="M188" s="0" t="s">
        <v>457</v>
      </c>
      <c r="R188" s="0" t="s">
        <v>81</v>
      </c>
    </row>
    <row r="189" customFormat="false" ht="15" hidden="false" customHeight="false" outlineLevel="0" collapsed="false">
      <c r="A189" s="0" t="s">
        <v>100</v>
      </c>
      <c r="B189" s="0" t="n">
        <v>2017</v>
      </c>
      <c r="C189" s="0" t="s">
        <v>101</v>
      </c>
      <c r="D189" s="0" t="s">
        <v>79</v>
      </c>
      <c r="E189" s="0" t="n">
        <v>0</v>
      </c>
      <c r="F189" s="0" t="s">
        <v>41</v>
      </c>
      <c r="G189" s="0" t="n">
        <v>1.11063957975562</v>
      </c>
      <c r="H189" s="0" t="s">
        <v>437</v>
      </c>
      <c r="I189" s="0" t="s">
        <v>437</v>
      </c>
      <c r="J189" s="0" t="s">
        <v>437</v>
      </c>
      <c r="K189" s="0" t="s">
        <v>457</v>
      </c>
      <c r="L189" s="0" t="s">
        <v>437</v>
      </c>
      <c r="M189" s="0" t="s">
        <v>457</v>
      </c>
      <c r="R189" s="0" t="s">
        <v>81</v>
      </c>
    </row>
    <row r="190" customFormat="false" ht="15" hidden="false" customHeight="false" outlineLevel="0" collapsed="false">
      <c r="A190" s="0" t="s">
        <v>100</v>
      </c>
      <c r="B190" s="0" t="n">
        <v>2017</v>
      </c>
      <c r="C190" s="0" t="s">
        <v>101</v>
      </c>
      <c r="D190" s="0" t="s">
        <v>79</v>
      </c>
      <c r="E190" s="0" t="n">
        <v>0</v>
      </c>
      <c r="F190" s="0" t="s">
        <v>27</v>
      </c>
      <c r="G190" s="0" t="n">
        <v>14.6100501650216</v>
      </c>
      <c r="H190" s="0" t="s">
        <v>437</v>
      </c>
      <c r="I190" s="0" t="s">
        <v>437</v>
      </c>
      <c r="J190" s="0" t="s">
        <v>437</v>
      </c>
      <c r="K190" s="0" t="s">
        <v>437</v>
      </c>
      <c r="L190" s="0" t="s">
        <v>437</v>
      </c>
      <c r="M190" s="0" t="s">
        <v>457</v>
      </c>
      <c r="R190" s="0" t="s">
        <v>81</v>
      </c>
    </row>
    <row r="191" customFormat="false" ht="15" hidden="false" customHeight="false" outlineLevel="0" collapsed="false">
      <c r="A191" s="0" t="s">
        <v>100</v>
      </c>
      <c r="B191" s="0" t="n">
        <v>2017</v>
      </c>
      <c r="C191" s="0" t="s">
        <v>101</v>
      </c>
      <c r="D191" s="0" t="s">
        <v>79</v>
      </c>
      <c r="E191" s="0" t="n">
        <v>0</v>
      </c>
      <c r="F191" s="0" t="s">
        <v>39</v>
      </c>
      <c r="H191" s="0" t="s">
        <v>457</v>
      </c>
      <c r="I191" s="0" t="s">
        <v>457</v>
      </c>
      <c r="J191" s="0" t="s">
        <v>457</v>
      </c>
      <c r="K191" s="0" t="s">
        <v>457</v>
      </c>
      <c r="L191" s="0" t="s">
        <v>457</v>
      </c>
      <c r="M191" s="0" t="s">
        <v>457</v>
      </c>
      <c r="R191" s="0" t="s">
        <v>81</v>
      </c>
    </row>
    <row r="192" customFormat="false" ht="15" hidden="false" customHeight="false" outlineLevel="0" collapsed="false">
      <c r="A192" s="0" t="s">
        <v>100</v>
      </c>
      <c r="B192" s="0" t="n">
        <v>2017</v>
      </c>
      <c r="C192" s="0" t="s">
        <v>101</v>
      </c>
      <c r="D192" s="0" t="s">
        <v>79</v>
      </c>
      <c r="E192" s="0" t="n">
        <v>0</v>
      </c>
      <c r="F192" s="0" t="s">
        <v>17</v>
      </c>
      <c r="H192" s="0" t="s">
        <v>457</v>
      </c>
      <c r="I192" s="0" t="s">
        <v>457</v>
      </c>
      <c r="J192" s="0" t="s">
        <v>457</v>
      </c>
      <c r="K192" s="0" t="s">
        <v>457</v>
      </c>
      <c r="L192" s="0" t="s">
        <v>457</v>
      </c>
      <c r="M192" s="0" t="s">
        <v>457</v>
      </c>
      <c r="R192" s="0" t="s">
        <v>81</v>
      </c>
    </row>
    <row r="193" customFormat="false" ht="15" hidden="false" customHeight="false" outlineLevel="0" collapsed="false">
      <c r="A193" s="0" t="s">
        <v>100</v>
      </c>
      <c r="B193" s="0" t="n">
        <v>2017</v>
      </c>
      <c r="C193" s="0" t="s">
        <v>101</v>
      </c>
      <c r="D193" s="0" t="s">
        <v>79</v>
      </c>
      <c r="E193" s="0" t="n">
        <v>0</v>
      </c>
      <c r="F193" s="0" t="s">
        <v>29</v>
      </c>
      <c r="G193" s="0" t="n">
        <v>3.29283416486544</v>
      </c>
      <c r="H193" s="0" t="s">
        <v>437</v>
      </c>
      <c r="I193" s="0" t="s">
        <v>437</v>
      </c>
      <c r="J193" s="0" t="s">
        <v>437</v>
      </c>
      <c r="K193" s="0" t="s">
        <v>457</v>
      </c>
      <c r="L193" s="0" t="s">
        <v>437</v>
      </c>
      <c r="M193" s="0" t="s">
        <v>457</v>
      </c>
      <c r="R193" s="0" t="s">
        <v>81</v>
      </c>
    </row>
    <row r="194" customFormat="false" ht="15" hidden="false" customHeight="false" outlineLevel="0" collapsed="false">
      <c r="A194" s="0" t="s">
        <v>100</v>
      </c>
      <c r="B194" s="0" t="n">
        <v>2017</v>
      </c>
      <c r="C194" s="0" t="s">
        <v>101</v>
      </c>
      <c r="D194" s="0" t="s">
        <v>79</v>
      </c>
      <c r="E194" s="0" t="n">
        <v>0</v>
      </c>
      <c r="F194" s="0" t="s">
        <v>37</v>
      </c>
      <c r="H194" s="0" t="s">
        <v>457</v>
      </c>
      <c r="I194" s="0" t="s">
        <v>457</v>
      </c>
      <c r="J194" s="0" t="s">
        <v>457</v>
      </c>
      <c r="K194" s="0" t="s">
        <v>457</v>
      </c>
      <c r="L194" s="0" t="s">
        <v>457</v>
      </c>
      <c r="M194" s="0" t="s">
        <v>457</v>
      </c>
      <c r="R194" s="0" t="s">
        <v>81</v>
      </c>
    </row>
    <row r="195" customFormat="false" ht="15" hidden="false" customHeight="false" outlineLevel="0" collapsed="false">
      <c r="A195" s="0" t="s">
        <v>100</v>
      </c>
      <c r="B195" s="0" t="n">
        <v>2017</v>
      </c>
      <c r="C195" s="0" t="s">
        <v>101</v>
      </c>
      <c r="D195" s="0" t="s">
        <v>79</v>
      </c>
      <c r="E195" s="0" t="n">
        <v>0</v>
      </c>
      <c r="F195" s="0" t="s">
        <v>23</v>
      </c>
      <c r="H195" s="0" t="s">
        <v>457</v>
      </c>
      <c r="I195" s="0" t="s">
        <v>457</v>
      </c>
      <c r="J195" s="0" t="s">
        <v>457</v>
      </c>
      <c r="K195" s="0" t="s">
        <v>457</v>
      </c>
      <c r="L195" s="0" t="s">
        <v>457</v>
      </c>
      <c r="M195" s="0" t="s">
        <v>457</v>
      </c>
      <c r="R195" s="0" t="s">
        <v>81</v>
      </c>
    </row>
    <row r="196" customFormat="false" ht="15" hidden="false" customHeight="false" outlineLevel="0" collapsed="false">
      <c r="A196" s="0" t="s">
        <v>100</v>
      </c>
      <c r="B196" s="0" t="n">
        <v>2017</v>
      </c>
      <c r="C196" s="0" t="s">
        <v>101</v>
      </c>
      <c r="D196" s="0" t="s">
        <v>79</v>
      </c>
      <c r="E196" s="0" t="n">
        <v>0</v>
      </c>
      <c r="F196" s="0" t="s">
        <v>45</v>
      </c>
      <c r="H196" s="0" t="s">
        <v>457</v>
      </c>
      <c r="I196" s="0" t="s">
        <v>457</v>
      </c>
      <c r="J196" s="0" t="s">
        <v>457</v>
      </c>
      <c r="K196" s="0" t="s">
        <v>457</v>
      </c>
      <c r="L196" s="0" t="s">
        <v>457</v>
      </c>
      <c r="M196" s="0" t="s">
        <v>457</v>
      </c>
      <c r="R196" s="0" t="s">
        <v>81</v>
      </c>
    </row>
    <row r="197" customFormat="false" ht="15" hidden="false" customHeight="false" outlineLevel="0" collapsed="false">
      <c r="A197" s="0" t="s">
        <v>100</v>
      </c>
      <c r="B197" s="0" t="n">
        <v>2017</v>
      </c>
      <c r="C197" s="0" t="s">
        <v>101</v>
      </c>
      <c r="D197" s="0" t="s">
        <v>79</v>
      </c>
      <c r="E197" s="0" t="n">
        <v>0</v>
      </c>
      <c r="F197" s="0" t="s">
        <v>71</v>
      </c>
      <c r="H197" s="0" t="s">
        <v>457</v>
      </c>
      <c r="I197" s="0" t="s">
        <v>457</v>
      </c>
      <c r="J197" s="0" t="s">
        <v>457</v>
      </c>
      <c r="K197" s="0" t="s">
        <v>457</v>
      </c>
      <c r="L197" s="0" t="s">
        <v>457</v>
      </c>
      <c r="M197" s="0" t="s">
        <v>457</v>
      </c>
      <c r="R197" s="0" t="s">
        <v>81</v>
      </c>
    </row>
    <row r="198" customFormat="false" ht="15" hidden="false" customHeight="false" outlineLevel="0" collapsed="false">
      <c r="A198" s="0" t="s">
        <v>100</v>
      </c>
      <c r="B198" s="0" t="n">
        <v>2017</v>
      </c>
      <c r="C198" s="0" t="s">
        <v>101</v>
      </c>
      <c r="D198" s="0" t="s">
        <v>79</v>
      </c>
      <c r="E198" s="0" t="n">
        <v>0</v>
      </c>
      <c r="F198" s="0" t="s">
        <v>31</v>
      </c>
      <c r="G198" s="0" t="n">
        <v>85.3899498349785</v>
      </c>
      <c r="H198" s="0" t="s">
        <v>437</v>
      </c>
      <c r="I198" s="0" t="s">
        <v>437</v>
      </c>
      <c r="J198" s="0" t="s">
        <v>437</v>
      </c>
      <c r="K198" s="0" t="s">
        <v>437</v>
      </c>
      <c r="L198" s="0" t="s">
        <v>437</v>
      </c>
      <c r="M198" s="0" t="s">
        <v>457</v>
      </c>
      <c r="R198" s="0" t="s">
        <v>81</v>
      </c>
    </row>
    <row r="199" customFormat="false" ht="15" hidden="false" customHeight="false" outlineLevel="0" collapsed="false">
      <c r="A199" s="0" t="s">
        <v>100</v>
      </c>
      <c r="B199" s="0" t="n">
        <v>2018</v>
      </c>
      <c r="C199" s="0" t="s">
        <v>101</v>
      </c>
      <c r="D199" s="0" t="s">
        <v>90</v>
      </c>
      <c r="E199" s="0" t="n">
        <v>1</v>
      </c>
      <c r="F199" s="0" t="s">
        <v>73</v>
      </c>
      <c r="G199" s="0" t="n">
        <v>0</v>
      </c>
      <c r="H199" s="0" t="s">
        <v>437</v>
      </c>
      <c r="I199" s="0" t="s">
        <v>437</v>
      </c>
      <c r="J199" s="0" t="s">
        <v>437</v>
      </c>
      <c r="K199" s="0" t="s">
        <v>457</v>
      </c>
      <c r="L199" s="0" t="s">
        <v>437</v>
      </c>
      <c r="M199" s="0" t="s">
        <v>457</v>
      </c>
      <c r="R199" s="0" t="s">
        <v>109</v>
      </c>
    </row>
    <row r="200" customFormat="false" ht="15" hidden="false" customHeight="false" outlineLevel="0" collapsed="false">
      <c r="A200" s="0" t="s">
        <v>100</v>
      </c>
      <c r="B200" s="0" t="n">
        <v>2018</v>
      </c>
      <c r="C200" s="0" t="s">
        <v>101</v>
      </c>
      <c r="D200" s="0" t="s">
        <v>90</v>
      </c>
      <c r="E200" s="0" t="n">
        <v>1</v>
      </c>
      <c r="F200" s="0" t="s">
        <v>69</v>
      </c>
      <c r="G200" s="0" t="n">
        <v>14.3</v>
      </c>
      <c r="H200" s="0" t="s">
        <v>437</v>
      </c>
      <c r="I200" s="0" t="s">
        <v>437</v>
      </c>
      <c r="J200" s="0" t="s">
        <v>437</v>
      </c>
      <c r="K200" s="0" t="s">
        <v>457</v>
      </c>
      <c r="L200" s="0" t="s">
        <v>437</v>
      </c>
      <c r="M200" s="0" t="s">
        <v>457</v>
      </c>
      <c r="R200" s="0" t="s">
        <v>109</v>
      </c>
    </row>
    <row r="201" customFormat="false" ht="15" hidden="false" customHeight="false" outlineLevel="0" collapsed="false">
      <c r="A201" s="0" t="s">
        <v>100</v>
      </c>
      <c r="B201" s="0" t="n">
        <v>2018</v>
      </c>
      <c r="C201" s="0" t="s">
        <v>101</v>
      </c>
      <c r="D201" s="0" t="s">
        <v>90</v>
      </c>
      <c r="E201" s="0" t="n">
        <v>1</v>
      </c>
      <c r="F201" s="0" t="s">
        <v>25</v>
      </c>
      <c r="G201" s="0" t="n">
        <v>14.3219780334765</v>
      </c>
      <c r="H201" s="0" t="s">
        <v>437</v>
      </c>
      <c r="I201" s="0" t="s">
        <v>437</v>
      </c>
      <c r="J201" s="0" t="s">
        <v>437</v>
      </c>
      <c r="K201" s="0" t="s">
        <v>457</v>
      </c>
      <c r="L201" s="0" t="s">
        <v>437</v>
      </c>
      <c r="M201" s="0" t="s">
        <v>457</v>
      </c>
      <c r="R201" s="0" t="s">
        <v>109</v>
      </c>
    </row>
    <row r="202" customFormat="false" ht="15" hidden="false" customHeight="false" outlineLevel="0" collapsed="false">
      <c r="A202" s="0" t="s">
        <v>100</v>
      </c>
      <c r="B202" s="0" t="n">
        <v>2018</v>
      </c>
      <c r="C202" s="0" t="s">
        <v>101</v>
      </c>
      <c r="D202" s="0" t="s">
        <v>90</v>
      </c>
      <c r="E202" s="0" t="n">
        <v>1</v>
      </c>
      <c r="F202" s="0" t="s">
        <v>41</v>
      </c>
      <c r="G202" s="0" t="n">
        <v>1.43427161792758</v>
      </c>
      <c r="H202" s="0" t="s">
        <v>437</v>
      </c>
      <c r="I202" s="0" t="s">
        <v>437</v>
      </c>
      <c r="J202" s="0" t="s">
        <v>437</v>
      </c>
      <c r="K202" s="0" t="s">
        <v>437</v>
      </c>
      <c r="L202" s="0" t="s">
        <v>437</v>
      </c>
      <c r="M202" s="0" t="s">
        <v>457</v>
      </c>
      <c r="R202" s="0" t="s">
        <v>109</v>
      </c>
    </row>
    <row r="203" customFormat="false" ht="15" hidden="false" customHeight="false" outlineLevel="0" collapsed="false">
      <c r="A203" s="0" t="s">
        <v>100</v>
      </c>
      <c r="B203" s="0" t="n">
        <v>2018</v>
      </c>
      <c r="C203" s="0" t="s">
        <v>101</v>
      </c>
      <c r="D203" s="0" t="s">
        <v>90</v>
      </c>
      <c r="E203" s="0" t="n">
        <v>1</v>
      </c>
      <c r="F203" s="0" t="s">
        <v>27</v>
      </c>
      <c r="G203" s="0" t="n">
        <v>12.6470873811215</v>
      </c>
      <c r="H203" s="0" t="s">
        <v>437</v>
      </c>
      <c r="I203" s="0" t="s">
        <v>437</v>
      </c>
      <c r="J203" s="0" t="s">
        <v>437</v>
      </c>
      <c r="K203" s="0" t="s">
        <v>437</v>
      </c>
      <c r="L203" s="0" t="s">
        <v>437</v>
      </c>
      <c r="M203" s="0" t="s">
        <v>457</v>
      </c>
      <c r="R203" s="0" t="s">
        <v>109</v>
      </c>
    </row>
    <row r="204" customFormat="false" ht="15" hidden="false" customHeight="false" outlineLevel="0" collapsed="false">
      <c r="A204" s="0" t="s">
        <v>100</v>
      </c>
      <c r="B204" s="0" t="n">
        <v>2018</v>
      </c>
      <c r="C204" s="0" t="s">
        <v>101</v>
      </c>
      <c r="D204" s="0" t="s">
        <v>90</v>
      </c>
      <c r="E204" s="0" t="n">
        <v>1</v>
      </c>
      <c r="F204" s="0" t="s">
        <v>39</v>
      </c>
      <c r="G204" s="0" t="n">
        <v>1.64982169978221</v>
      </c>
      <c r="H204" s="0" t="s">
        <v>437</v>
      </c>
      <c r="I204" s="0" t="s">
        <v>437</v>
      </c>
      <c r="J204" s="0" t="s">
        <v>437</v>
      </c>
      <c r="K204" s="0" t="s">
        <v>457</v>
      </c>
      <c r="L204" s="0" t="s">
        <v>437</v>
      </c>
      <c r="M204" s="0" t="s">
        <v>457</v>
      </c>
      <c r="R204" s="0" t="s">
        <v>109</v>
      </c>
    </row>
    <row r="205" customFormat="false" ht="15" hidden="false" customHeight="false" outlineLevel="0" collapsed="false">
      <c r="A205" s="0" t="s">
        <v>100</v>
      </c>
      <c r="B205" s="0" t="n">
        <v>2018</v>
      </c>
      <c r="C205" s="0" t="s">
        <v>101</v>
      </c>
      <c r="D205" s="0" t="s">
        <v>90</v>
      </c>
      <c r="E205" s="0" t="n">
        <v>1</v>
      </c>
      <c r="F205" s="0" t="s">
        <v>17</v>
      </c>
      <c r="G205" s="0" t="n">
        <v>9.0735915971792</v>
      </c>
      <c r="H205" s="0" t="s">
        <v>437</v>
      </c>
      <c r="I205" s="0" t="s">
        <v>437</v>
      </c>
      <c r="J205" s="0" t="s">
        <v>437</v>
      </c>
      <c r="K205" s="0" t="s">
        <v>457</v>
      </c>
      <c r="L205" s="0" t="s">
        <v>437</v>
      </c>
      <c r="M205" s="0" t="s">
        <v>457</v>
      </c>
      <c r="R205" s="0" t="s">
        <v>109</v>
      </c>
    </row>
    <row r="206" customFormat="false" ht="15" hidden="false" customHeight="false" outlineLevel="0" collapsed="false">
      <c r="A206" s="0" t="s">
        <v>100</v>
      </c>
      <c r="B206" s="0" t="n">
        <v>2018</v>
      </c>
      <c r="C206" s="0" t="s">
        <v>101</v>
      </c>
      <c r="D206" s="0" t="s">
        <v>90</v>
      </c>
      <c r="E206" s="0" t="n">
        <v>1</v>
      </c>
      <c r="F206" s="0" t="s">
        <v>29</v>
      </c>
      <c r="G206" s="0" t="n">
        <v>1.4450992990793</v>
      </c>
      <c r="H206" s="0" t="s">
        <v>437</v>
      </c>
      <c r="I206" s="0" t="s">
        <v>437</v>
      </c>
      <c r="J206" s="0" t="s">
        <v>437</v>
      </c>
      <c r="K206" s="0" t="s">
        <v>437</v>
      </c>
      <c r="L206" s="0" t="s">
        <v>437</v>
      </c>
      <c r="M206" s="0" t="s">
        <v>457</v>
      </c>
      <c r="R206" s="0" t="s">
        <v>109</v>
      </c>
    </row>
    <row r="207" customFormat="false" ht="15" hidden="false" customHeight="false" outlineLevel="0" collapsed="false">
      <c r="A207" s="0" t="s">
        <v>100</v>
      </c>
      <c r="B207" s="0" t="n">
        <v>2018</v>
      </c>
      <c r="C207" s="0" t="s">
        <v>101</v>
      </c>
      <c r="D207" s="0" t="s">
        <v>90</v>
      </c>
      <c r="E207" s="0" t="n">
        <v>1</v>
      </c>
      <c r="F207" s="0" t="s">
        <v>37</v>
      </c>
      <c r="G207" s="0" t="n">
        <v>13.6899840914536</v>
      </c>
      <c r="H207" s="0" t="s">
        <v>437</v>
      </c>
      <c r="I207" s="0" t="s">
        <v>437</v>
      </c>
      <c r="J207" s="0" t="s">
        <v>437</v>
      </c>
      <c r="K207" s="0" t="s">
        <v>457</v>
      </c>
      <c r="L207" s="0" t="s">
        <v>437</v>
      </c>
      <c r="M207" s="0" t="s">
        <v>457</v>
      </c>
      <c r="R207" s="0" t="s">
        <v>109</v>
      </c>
    </row>
    <row r="208" customFormat="false" ht="15" hidden="false" customHeight="false" outlineLevel="0" collapsed="false">
      <c r="A208" s="0" t="s">
        <v>100</v>
      </c>
      <c r="B208" s="0" t="n">
        <v>2018</v>
      </c>
      <c r="C208" s="0" t="s">
        <v>101</v>
      </c>
      <c r="D208" s="0" t="s">
        <v>90</v>
      </c>
      <c r="E208" s="0" t="n">
        <v>1</v>
      </c>
      <c r="F208" s="0" t="s">
        <v>23</v>
      </c>
      <c r="G208" s="0" t="n">
        <v>66.2790514332566</v>
      </c>
      <c r="H208" s="0" t="s">
        <v>437</v>
      </c>
      <c r="I208" s="0" t="s">
        <v>437</v>
      </c>
      <c r="J208" s="0" t="s">
        <v>437</v>
      </c>
      <c r="K208" s="0" t="s">
        <v>457</v>
      </c>
      <c r="L208" s="0" t="s">
        <v>437</v>
      </c>
      <c r="M208" s="0" t="s">
        <v>457</v>
      </c>
      <c r="R208" s="0" t="s">
        <v>109</v>
      </c>
    </row>
    <row r="209" customFormat="false" ht="15" hidden="false" customHeight="false" outlineLevel="0" collapsed="false">
      <c r="A209" s="0" t="s">
        <v>100</v>
      </c>
      <c r="B209" s="0" t="n">
        <v>2018</v>
      </c>
      <c r="C209" s="0" t="s">
        <v>101</v>
      </c>
      <c r="D209" s="0" t="s">
        <v>90</v>
      </c>
      <c r="E209" s="0" t="n">
        <v>1</v>
      </c>
      <c r="F209" s="0" t="s">
        <v>45</v>
      </c>
      <c r="H209" s="0" t="s">
        <v>457</v>
      </c>
      <c r="I209" s="0" t="s">
        <v>457</v>
      </c>
      <c r="J209" s="0" t="s">
        <v>457</v>
      </c>
      <c r="K209" s="0" t="s">
        <v>457</v>
      </c>
      <c r="L209" s="0" t="s">
        <v>457</v>
      </c>
      <c r="M209" s="0" t="s">
        <v>457</v>
      </c>
      <c r="R209" s="0" t="s">
        <v>109</v>
      </c>
    </row>
    <row r="210" customFormat="false" ht="15" hidden="false" customHeight="false" outlineLevel="0" collapsed="false">
      <c r="A210" s="0" t="s">
        <v>100</v>
      </c>
      <c r="B210" s="0" t="n">
        <v>2018</v>
      </c>
      <c r="C210" s="0" t="s">
        <v>101</v>
      </c>
      <c r="D210" s="0" t="s">
        <v>90</v>
      </c>
      <c r="E210" s="0" t="n">
        <v>1</v>
      </c>
      <c r="F210" s="0" t="s">
        <v>71</v>
      </c>
      <c r="H210" s="0" t="s">
        <v>457</v>
      </c>
      <c r="I210" s="0" t="s">
        <v>457</v>
      </c>
      <c r="J210" s="0" t="s">
        <v>457</v>
      </c>
      <c r="K210" s="0" t="s">
        <v>457</v>
      </c>
      <c r="L210" s="0" t="s">
        <v>457</v>
      </c>
      <c r="M210" s="0" t="s">
        <v>457</v>
      </c>
      <c r="R210" s="0" t="s">
        <v>109</v>
      </c>
    </row>
    <row r="211" customFormat="false" ht="15" hidden="false" customHeight="false" outlineLevel="0" collapsed="false">
      <c r="A211" s="0" t="s">
        <v>100</v>
      </c>
      <c r="B211" s="0" t="n">
        <v>2018</v>
      </c>
      <c r="C211" s="0" t="s">
        <v>101</v>
      </c>
      <c r="D211" s="0" t="s">
        <v>90</v>
      </c>
      <c r="E211" s="0" t="n">
        <v>1</v>
      </c>
      <c r="F211" s="0" t="s">
        <v>31</v>
      </c>
      <c r="G211" s="0" t="n">
        <v>87.3529126188785</v>
      </c>
      <c r="H211" s="0" t="s">
        <v>437</v>
      </c>
      <c r="I211" s="0" t="s">
        <v>437</v>
      </c>
      <c r="J211" s="0" t="s">
        <v>437</v>
      </c>
      <c r="K211" s="0" t="s">
        <v>437</v>
      </c>
      <c r="L211" s="0" t="s">
        <v>437</v>
      </c>
      <c r="M211" s="0" t="s">
        <v>457</v>
      </c>
      <c r="R211" s="0" t="s">
        <v>109</v>
      </c>
    </row>
    <row r="212" customFormat="false" ht="15" hidden="false" customHeight="false" outlineLevel="0" collapsed="false">
      <c r="A212" s="0" t="s">
        <v>100</v>
      </c>
      <c r="B212" s="0" t="n">
        <v>2019</v>
      </c>
      <c r="C212" s="0" t="s">
        <v>101</v>
      </c>
      <c r="D212" s="0" t="s">
        <v>90</v>
      </c>
      <c r="E212" s="0" t="n">
        <v>1</v>
      </c>
      <c r="F212" s="0" t="s">
        <v>73</v>
      </c>
      <c r="G212" s="0" t="n">
        <v>0</v>
      </c>
      <c r="H212" s="0" t="s">
        <v>437</v>
      </c>
      <c r="I212" s="0" t="s">
        <v>437</v>
      </c>
      <c r="J212" s="0" t="s">
        <v>437</v>
      </c>
      <c r="K212" s="0" t="s">
        <v>437</v>
      </c>
      <c r="L212" s="0" t="s">
        <v>437</v>
      </c>
      <c r="M212" s="0" t="s">
        <v>457</v>
      </c>
      <c r="R212" s="0" t="s">
        <v>93</v>
      </c>
    </row>
    <row r="213" customFormat="false" ht="15" hidden="false" customHeight="false" outlineLevel="0" collapsed="false">
      <c r="A213" s="0" t="s">
        <v>100</v>
      </c>
      <c r="B213" s="0" t="n">
        <v>2019</v>
      </c>
      <c r="C213" s="0" t="s">
        <v>101</v>
      </c>
      <c r="D213" s="0" t="s">
        <v>90</v>
      </c>
      <c r="E213" s="0" t="n">
        <v>1</v>
      </c>
      <c r="F213" s="0" t="s">
        <v>69</v>
      </c>
      <c r="G213" s="0" t="n">
        <v>16.31</v>
      </c>
      <c r="H213" s="0" t="s">
        <v>437</v>
      </c>
      <c r="I213" s="0" t="s">
        <v>437</v>
      </c>
      <c r="J213" s="0" t="s">
        <v>437</v>
      </c>
      <c r="K213" s="0" t="s">
        <v>437</v>
      </c>
      <c r="L213" s="0" t="s">
        <v>437</v>
      </c>
      <c r="M213" s="0" t="s">
        <v>457</v>
      </c>
      <c r="R213" s="0" t="s">
        <v>93</v>
      </c>
    </row>
    <row r="214" customFormat="false" ht="15" hidden="false" customHeight="false" outlineLevel="0" collapsed="false">
      <c r="A214" s="0" t="s">
        <v>100</v>
      </c>
      <c r="B214" s="0" t="n">
        <v>2019</v>
      </c>
      <c r="C214" s="0" t="s">
        <v>101</v>
      </c>
      <c r="D214" s="0" t="s">
        <v>90</v>
      </c>
      <c r="E214" s="0" t="n">
        <v>1</v>
      </c>
      <c r="F214" s="0" t="s">
        <v>25</v>
      </c>
      <c r="G214" s="0" t="n">
        <v>16.3137937465034</v>
      </c>
      <c r="H214" s="0" t="s">
        <v>437</v>
      </c>
      <c r="I214" s="0" t="s">
        <v>437</v>
      </c>
      <c r="J214" s="0" t="s">
        <v>437</v>
      </c>
      <c r="K214" s="0" t="s">
        <v>437</v>
      </c>
      <c r="L214" s="0" t="s">
        <v>437</v>
      </c>
      <c r="M214" s="0" t="s">
        <v>457</v>
      </c>
      <c r="R214" s="0" t="s">
        <v>93</v>
      </c>
    </row>
    <row r="215" customFormat="false" ht="15" hidden="false" customHeight="false" outlineLevel="0" collapsed="false">
      <c r="A215" s="0" t="s">
        <v>100</v>
      </c>
      <c r="B215" s="0" t="n">
        <v>2019</v>
      </c>
      <c r="C215" s="0" t="s">
        <v>101</v>
      </c>
      <c r="D215" s="0" t="s">
        <v>90</v>
      </c>
      <c r="E215" s="0" t="n">
        <v>1</v>
      </c>
      <c r="F215" s="0" t="s">
        <v>41</v>
      </c>
      <c r="G215" s="0" t="n">
        <v>0.0640991454553017</v>
      </c>
      <c r="H215" s="0" t="s">
        <v>437</v>
      </c>
      <c r="I215" s="0" t="s">
        <v>437</v>
      </c>
      <c r="J215" s="0" t="s">
        <v>437</v>
      </c>
      <c r="K215" s="0" t="s">
        <v>437</v>
      </c>
      <c r="L215" s="0" t="s">
        <v>437</v>
      </c>
      <c r="M215" s="0" t="s">
        <v>457</v>
      </c>
      <c r="R215" s="0" t="s">
        <v>93</v>
      </c>
    </row>
    <row r="216" customFormat="false" ht="15" hidden="false" customHeight="false" outlineLevel="0" collapsed="false">
      <c r="A216" s="0" t="s">
        <v>100</v>
      </c>
      <c r="B216" s="0" t="n">
        <v>2019</v>
      </c>
      <c r="C216" s="0" t="s">
        <v>101</v>
      </c>
      <c r="D216" s="0" t="s">
        <v>90</v>
      </c>
      <c r="E216" s="0" t="n">
        <v>1</v>
      </c>
      <c r="F216" s="0" t="s">
        <v>27</v>
      </c>
      <c r="G216" s="0" t="n">
        <v>13.2729628736741</v>
      </c>
      <c r="H216" s="0" t="s">
        <v>437</v>
      </c>
      <c r="I216" s="0" t="s">
        <v>437</v>
      </c>
      <c r="J216" s="0" t="s">
        <v>437</v>
      </c>
      <c r="K216" s="0" t="s">
        <v>437</v>
      </c>
      <c r="L216" s="0" t="s">
        <v>437</v>
      </c>
      <c r="M216" s="0" t="s">
        <v>457</v>
      </c>
      <c r="R216" s="0" t="s">
        <v>93</v>
      </c>
    </row>
    <row r="217" customFormat="false" ht="15" hidden="false" customHeight="false" outlineLevel="0" collapsed="false">
      <c r="A217" s="0" t="s">
        <v>100</v>
      </c>
      <c r="B217" s="0" t="n">
        <v>2019</v>
      </c>
      <c r="C217" s="0" t="s">
        <v>101</v>
      </c>
      <c r="D217" s="0" t="s">
        <v>90</v>
      </c>
      <c r="E217" s="0" t="n">
        <v>1</v>
      </c>
      <c r="F217" s="0" t="s">
        <v>39</v>
      </c>
      <c r="G217" s="0" t="n">
        <v>2.50333700865721</v>
      </c>
      <c r="H217" s="0" t="s">
        <v>437</v>
      </c>
      <c r="I217" s="0" t="s">
        <v>437</v>
      </c>
      <c r="J217" s="0" t="s">
        <v>437</v>
      </c>
      <c r="K217" s="0" t="s">
        <v>437</v>
      </c>
      <c r="L217" s="0" t="s">
        <v>437</v>
      </c>
      <c r="M217" s="0" t="s">
        <v>457</v>
      </c>
      <c r="R217" s="0" t="s">
        <v>93</v>
      </c>
    </row>
    <row r="218" customFormat="false" ht="15" hidden="false" customHeight="false" outlineLevel="0" collapsed="false">
      <c r="A218" s="0" t="s">
        <v>100</v>
      </c>
      <c r="B218" s="0" t="n">
        <v>2019</v>
      </c>
      <c r="C218" s="0" t="s">
        <v>101</v>
      </c>
      <c r="D218" s="0" t="s">
        <v>90</v>
      </c>
      <c r="E218" s="0" t="n">
        <v>1</v>
      </c>
      <c r="F218" s="0" t="s">
        <v>17</v>
      </c>
      <c r="G218" s="0" t="n">
        <v>11.113569208461</v>
      </c>
      <c r="H218" s="0" t="s">
        <v>437</v>
      </c>
      <c r="I218" s="0" t="s">
        <v>437</v>
      </c>
      <c r="J218" s="0" t="s">
        <v>437</v>
      </c>
      <c r="K218" s="0" t="s">
        <v>437</v>
      </c>
      <c r="L218" s="0" t="s">
        <v>437</v>
      </c>
      <c r="M218" s="0" t="s">
        <v>457</v>
      </c>
      <c r="R218" s="0" t="s">
        <v>93</v>
      </c>
    </row>
    <row r="219" customFormat="false" ht="15" hidden="false" customHeight="false" outlineLevel="0" collapsed="false">
      <c r="A219" s="0" t="s">
        <v>100</v>
      </c>
      <c r="B219" s="0" t="n">
        <v>2019</v>
      </c>
      <c r="C219" s="0" t="s">
        <v>101</v>
      </c>
      <c r="D219" s="0" t="s">
        <v>90</v>
      </c>
      <c r="E219" s="0" t="n">
        <v>1</v>
      </c>
      <c r="F219" s="0" t="s">
        <v>29</v>
      </c>
      <c r="G219" s="0" t="n">
        <v>0.137996886394216</v>
      </c>
      <c r="H219" s="0" t="s">
        <v>437</v>
      </c>
      <c r="I219" s="0" t="s">
        <v>437</v>
      </c>
      <c r="J219" s="0" t="s">
        <v>437</v>
      </c>
      <c r="K219" s="0" t="s">
        <v>437</v>
      </c>
      <c r="L219" s="0" t="s">
        <v>437</v>
      </c>
      <c r="M219" s="0" t="s">
        <v>457</v>
      </c>
      <c r="R219" s="0" t="s">
        <v>93</v>
      </c>
    </row>
    <row r="220" customFormat="false" ht="15" hidden="false" customHeight="false" outlineLevel="0" collapsed="false">
      <c r="A220" s="0" t="s">
        <v>100</v>
      </c>
      <c r="B220" s="0" t="n">
        <v>2019</v>
      </c>
      <c r="C220" s="0" t="s">
        <v>101</v>
      </c>
      <c r="D220" s="0" t="s">
        <v>90</v>
      </c>
      <c r="E220" s="0" t="n">
        <v>1</v>
      </c>
      <c r="F220" s="0" t="s">
        <v>37</v>
      </c>
      <c r="G220" s="0" t="n">
        <v>23.9315855531048</v>
      </c>
      <c r="H220" s="0" t="s">
        <v>437</v>
      </c>
      <c r="I220" s="0" t="s">
        <v>437</v>
      </c>
      <c r="J220" s="0" t="s">
        <v>437</v>
      </c>
      <c r="K220" s="0" t="s">
        <v>437</v>
      </c>
      <c r="L220" s="0" t="s">
        <v>437</v>
      </c>
      <c r="M220" s="0" t="s">
        <v>457</v>
      </c>
      <c r="R220" s="0" t="s">
        <v>93</v>
      </c>
    </row>
    <row r="221" customFormat="false" ht="15" hidden="false" customHeight="false" outlineLevel="0" collapsed="false">
      <c r="A221" s="0" t="s">
        <v>100</v>
      </c>
      <c r="B221" s="0" t="n">
        <v>2019</v>
      </c>
      <c r="C221" s="0" t="s">
        <v>101</v>
      </c>
      <c r="D221" s="0" t="s">
        <v>90</v>
      </c>
      <c r="E221" s="0" t="n">
        <v>1</v>
      </c>
      <c r="F221" s="0" t="s">
        <v>23</v>
      </c>
      <c r="G221" s="0" t="n">
        <v>46.438917236803</v>
      </c>
      <c r="H221" s="0" t="s">
        <v>437</v>
      </c>
      <c r="I221" s="0" t="s">
        <v>437</v>
      </c>
      <c r="J221" s="0" t="s">
        <v>437</v>
      </c>
      <c r="K221" s="0" t="s">
        <v>437</v>
      </c>
      <c r="L221" s="0" t="s">
        <v>437</v>
      </c>
      <c r="M221" s="0" t="s">
        <v>457</v>
      </c>
      <c r="R221" s="0" t="s">
        <v>93</v>
      </c>
    </row>
    <row r="222" customFormat="false" ht="15" hidden="false" customHeight="false" outlineLevel="0" collapsed="false">
      <c r="A222" s="0" t="s">
        <v>100</v>
      </c>
      <c r="B222" s="0" t="n">
        <v>2019</v>
      </c>
      <c r="C222" s="0" t="s">
        <v>101</v>
      </c>
      <c r="D222" s="0" t="s">
        <v>90</v>
      </c>
      <c r="E222" s="0" t="n">
        <v>1</v>
      </c>
      <c r="F222" s="0" t="s">
        <v>45</v>
      </c>
      <c r="H222" s="0" t="s">
        <v>457</v>
      </c>
      <c r="I222" s="0" t="s">
        <v>457</v>
      </c>
      <c r="J222" s="0" t="s">
        <v>457</v>
      </c>
      <c r="K222" s="0" t="s">
        <v>457</v>
      </c>
      <c r="L222" s="0" t="s">
        <v>457</v>
      </c>
      <c r="M222" s="0" t="s">
        <v>457</v>
      </c>
      <c r="R222" s="0" t="s">
        <v>93</v>
      </c>
    </row>
    <row r="223" customFormat="false" ht="15" hidden="false" customHeight="false" outlineLevel="0" collapsed="false">
      <c r="A223" s="0" t="s">
        <v>100</v>
      </c>
      <c r="B223" s="0" t="n">
        <v>2019</v>
      </c>
      <c r="C223" s="0" t="s">
        <v>101</v>
      </c>
      <c r="D223" s="0" t="s">
        <v>90</v>
      </c>
      <c r="E223" s="0" t="n">
        <v>1</v>
      </c>
      <c r="F223" s="0" t="s">
        <v>71</v>
      </c>
      <c r="H223" s="0" t="s">
        <v>457</v>
      </c>
      <c r="I223" s="0" t="s">
        <v>457</v>
      </c>
      <c r="J223" s="0" t="s">
        <v>457</v>
      </c>
      <c r="K223" s="0" t="s">
        <v>457</v>
      </c>
      <c r="L223" s="0" t="s">
        <v>457</v>
      </c>
      <c r="M223" s="0" t="s">
        <v>457</v>
      </c>
      <c r="R223" s="0" t="s">
        <v>93</v>
      </c>
    </row>
    <row r="224" customFormat="false" ht="15" hidden="false" customHeight="false" outlineLevel="0" collapsed="false">
      <c r="A224" s="0" t="s">
        <v>100</v>
      </c>
      <c r="B224" s="0" t="n">
        <v>2019</v>
      </c>
      <c r="C224" s="0" t="s">
        <v>101</v>
      </c>
      <c r="D224" s="0" t="s">
        <v>90</v>
      </c>
      <c r="E224" s="0" t="n">
        <v>1</v>
      </c>
      <c r="F224" s="0" t="s">
        <v>31</v>
      </c>
      <c r="G224" s="0" t="n">
        <v>86.7270371263259</v>
      </c>
      <c r="H224" s="0" t="s">
        <v>437</v>
      </c>
      <c r="I224" s="0" t="s">
        <v>437</v>
      </c>
      <c r="J224" s="0" t="s">
        <v>437</v>
      </c>
      <c r="K224" s="0" t="s">
        <v>437</v>
      </c>
      <c r="L224" s="0" t="s">
        <v>437</v>
      </c>
      <c r="M224" s="0" t="s">
        <v>457</v>
      </c>
      <c r="R224" s="0" t="s">
        <v>93</v>
      </c>
    </row>
    <row r="225" customFormat="false" ht="15" hidden="false" customHeight="false" outlineLevel="0" collapsed="false">
      <c r="A225" s="0" t="s">
        <v>100</v>
      </c>
      <c r="B225" s="0" t="n">
        <v>2020</v>
      </c>
      <c r="C225" s="0" t="s">
        <v>101</v>
      </c>
      <c r="D225" s="0" t="s">
        <v>90</v>
      </c>
      <c r="E225" s="0" t="n">
        <v>1</v>
      </c>
      <c r="F225" s="0" t="s">
        <v>73</v>
      </c>
      <c r="G225" s="0" t="n">
        <v>0</v>
      </c>
      <c r="H225" s="0" t="s">
        <v>437</v>
      </c>
      <c r="I225" s="0" t="s">
        <v>437</v>
      </c>
      <c r="J225" s="0" t="s">
        <v>437</v>
      </c>
      <c r="K225" s="0" t="s">
        <v>437</v>
      </c>
      <c r="L225" s="0" t="s">
        <v>437</v>
      </c>
      <c r="M225" s="0" t="s">
        <v>457</v>
      </c>
      <c r="R225" s="0" t="s">
        <v>95</v>
      </c>
    </row>
    <row r="226" customFormat="false" ht="15" hidden="false" customHeight="false" outlineLevel="0" collapsed="false">
      <c r="A226" s="0" t="s">
        <v>100</v>
      </c>
      <c r="B226" s="0" t="n">
        <v>2020</v>
      </c>
      <c r="C226" s="0" t="s">
        <v>101</v>
      </c>
      <c r="D226" s="0" t="s">
        <v>90</v>
      </c>
      <c r="E226" s="0" t="n">
        <v>1</v>
      </c>
      <c r="F226" s="0" t="s">
        <v>69</v>
      </c>
      <c r="G226" s="0" t="n">
        <v>21.44</v>
      </c>
      <c r="H226" s="0" t="s">
        <v>437</v>
      </c>
      <c r="I226" s="0" t="s">
        <v>437</v>
      </c>
      <c r="J226" s="0" t="s">
        <v>437</v>
      </c>
      <c r="K226" s="0" t="s">
        <v>437</v>
      </c>
      <c r="L226" s="0" t="s">
        <v>437</v>
      </c>
      <c r="M226" s="0" t="s">
        <v>457</v>
      </c>
      <c r="R226" s="0" t="s">
        <v>95</v>
      </c>
    </row>
    <row r="227" customFormat="false" ht="15" hidden="false" customHeight="false" outlineLevel="0" collapsed="false">
      <c r="A227" s="0" t="s">
        <v>100</v>
      </c>
      <c r="B227" s="0" t="n">
        <v>2020</v>
      </c>
      <c r="C227" s="0" t="s">
        <v>101</v>
      </c>
      <c r="D227" s="0" t="s">
        <v>90</v>
      </c>
      <c r="E227" s="0" t="n">
        <v>1</v>
      </c>
      <c r="F227" s="0" t="s">
        <v>25</v>
      </c>
      <c r="G227" s="0" t="n">
        <v>21.4390798448576</v>
      </c>
      <c r="H227" s="0" t="s">
        <v>437</v>
      </c>
      <c r="I227" s="0" t="s">
        <v>437</v>
      </c>
      <c r="J227" s="0" t="s">
        <v>437</v>
      </c>
      <c r="K227" s="0" t="s">
        <v>437</v>
      </c>
      <c r="L227" s="0" t="s">
        <v>437</v>
      </c>
      <c r="M227" s="0" t="s">
        <v>457</v>
      </c>
      <c r="R227" s="0" t="s">
        <v>95</v>
      </c>
    </row>
    <row r="228" customFormat="false" ht="15" hidden="false" customHeight="false" outlineLevel="0" collapsed="false">
      <c r="A228" s="0" t="s">
        <v>100</v>
      </c>
      <c r="B228" s="0" t="n">
        <v>2020</v>
      </c>
      <c r="C228" s="0" t="s">
        <v>101</v>
      </c>
      <c r="D228" s="0" t="s">
        <v>90</v>
      </c>
      <c r="E228" s="0" t="n">
        <v>1</v>
      </c>
      <c r="F228" s="0" t="s">
        <v>41</v>
      </c>
      <c r="G228" s="0" t="n">
        <v>0.387146005794504</v>
      </c>
      <c r="H228" s="0" t="s">
        <v>437</v>
      </c>
      <c r="I228" s="0" t="s">
        <v>437</v>
      </c>
      <c r="J228" s="0" t="s">
        <v>437</v>
      </c>
      <c r="K228" s="0" t="s">
        <v>437</v>
      </c>
      <c r="L228" s="0" t="s">
        <v>437</v>
      </c>
      <c r="M228" s="0" t="s">
        <v>457</v>
      </c>
      <c r="R228" s="0" t="s">
        <v>95</v>
      </c>
    </row>
    <row r="229" customFormat="false" ht="15" hidden="false" customHeight="false" outlineLevel="0" collapsed="false">
      <c r="A229" s="0" t="s">
        <v>100</v>
      </c>
      <c r="B229" s="0" t="n">
        <v>2020</v>
      </c>
      <c r="C229" s="0" t="s">
        <v>101</v>
      </c>
      <c r="D229" s="0" t="s">
        <v>90</v>
      </c>
      <c r="E229" s="0" t="n">
        <v>1</v>
      </c>
      <c r="F229" s="0" t="s">
        <v>27</v>
      </c>
      <c r="G229" s="0" t="n">
        <v>13.6607381310388</v>
      </c>
      <c r="H229" s="0" t="s">
        <v>437</v>
      </c>
      <c r="I229" s="0" t="s">
        <v>437</v>
      </c>
      <c r="J229" s="0" t="s">
        <v>437</v>
      </c>
      <c r="K229" s="0" t="s">
        <v>437</v>
      </c>
      <c r="L229" s="0" t="s">
        <v>437</v>
      </c>
      <c r="M229" s="0" t="s">
        <v>457</v>
      </c>
      <c r="R229" s="0" t="s">
        <v>95</v>
      </c>
    </row>
    <row r="230" customFormat="false" ht="15" hidden="false" customHeight="false" outlineLevel="0" collapsed="false">
      <c r="A230" s="0" t="s">
        <v>100</v>
      </c>
      <c r="B230" s="0" t="n">
        <v>2020</v>
      </c>
      <c r="C230" s="0" t="s">
        <v>101</v>
      </c>
      <c r="D230" s="0" t="s">
        <v>90</v>
      </c>
      <c r="E230" s="0" t="n">
        <v>1</v>
      </c>
      <c r="F230" s="0" t="s">
        <v>39</v>
      </c>
      <c r="G230" s="0" t="n">
        <v>-0.635317749832925</v>
      </c>
      <c r="H230" s="0" t="s">
        <v>437</v>
      </c>
      <c r="I230" s="0" t="s">
        <v>437</v>
      </c>
      <c r="J230" s="0" t="s">
        <v>437</v>
      </c>
      <c r="K230" s="0" t="s">
        <v>437</v>
      </c>
      <c r="L230" s="0" t="s">
        <v>437</v>
      </c>
      <c r="M230" s="0" t="s">
        <v>457</v>
      </c>
      <c r="R230" s="0" t="s">
        <v>95</v>
      </c>
    </row>
    <row r="231" customFormat="false" ht="15" hidden="false" customHeight="false" outlineLevel="0" collapsed="false">
      <c r="A231" s="0" t="s">
        <v>100</v>
      </c>
      <c r="B231" s="0" t="n">
        <v>2020</v>
      </c>
      <c r="C231" s="0" t="s">
        <v>101</v>
      </c>
      <c r="D231" s="0" t="s">
        <v>90</v>
      </c>
      <c r="E231" s="0" t="n">
        <v>1</v>
      </c>
      <c r="F231" s="0" t="s">
        <v>17</v>
      </c>
      <c r="G231" s="0" t="n">
        <v>11.2374155625655</v>
      </c>
      <c r="H231" s="0" t="s">
        <v>437</v>
      </c>
      <c r="I231" s="0" t="s">
        <v>437</v>
      </c>
      <c r="J231" s="0" t="s">
        <v>437</v>
      </c>
      <c r="K231" s="0" t="s">
        <v>437</v>
      </c>
      <c r="L231" s="0" t="s">
        <v>437</v>
      </c>
      <c r="M231" s="0" t="s">
        <v>457</v>
      </c>
      <c r="R231" s="0" t="s">
        <v>95</v>
      </c>
    </row>
    <row r="232" customFormat="false" ht="15" hidden="false" customHeight="false" outlineLevel="0" collapsed="false">
      <c r="A232" s="0" t="s">
        <v>100</v>
      </c>
      <c r="B232" s="0" t="n">
        <v>2020</v>
      </c>
      <c r="C232" s="0" t="s">
        <v>101</v>
      </c>
      <c r="D232" s="0" t="s">
        <v>90</v>
      </c>
      <c r="E232" s="0" t="n">
        <v>1</v>
      </c>
      <c r="F232" s="0" t="s">
        <v>29</v>
      </c>
      <c r="G232" s="0" t="n">
        <v>0.438704834561745</v>
      </c>
      <c r="H232" s="0" t="s">
        <v>437</v>
      </c>
      <c r="I232" s="0" t="s">
        <v>437</v>
      </c>
      <c r="J232" s="0" t="s">
        <v>437</v>
      </c>
      <c r="K232" s="0" t="s">
        <v>437</v>
      </c>
      <c r="L232" s="0" t="s">
        <v>437</v>
      </c>
      <c r="M232" s="0" t="s">
        <v>457</v>
      </c>
      <c r="R232" s="0" t="s">
        <v>95</v>
      </c>
    </row>
    <row r="233" customFormat="false" ht="15" hidden="false" customHeight="false" outlineLevel="0" collapsed="false">
      <c r="A233" s="0" t="s">
        <v>100</v>
      </c>
      <c r="B233" s="0" t="n">
        <v>2020</v>
      </c>
      <c r="C233" s="0" t="s">
        <v>101</v>
      </c>
      <c r="D233" s="0" t="s">
        <v>90</v>
      </c>
      <c r="E233" s="0" t="n">
        <v>1</v>
      </c>
      <c r="F233" s="0" t="s">
        <v>37</v>
      </c>
      <c r="G233" s="0" t="n">
        <v>19.8555967583275</v>
      </c>
      <c r="H233" s="0" t="s">
        <v>437</v>
      </c>
      <c r="I233" s="0" t="s">
        <v>437</v>
      </c>
      <c r="J233" s="0" t="s">
        <v>437</v>
      </c>
      <c r="K233" s="0" t="s">
        <v>437</v>
      </c>
      <c r="L233" s="0" t="s">
        <v>437</v>
      </c>
      <c r="M233" s="0" t="s">
        <v>457</v>
      </c>
      <c r="R233" s="0" t="s">
        <v>95</v>
      </c>
    </row>
    <row r="234" customFormat="false" ht="15" hidden="false" customHeight="false" outlineLevel="0" collapsed="false">
      <c r="A234" s="0" t="s">
        <v>100</v>
      </c>
      <c r="B234" s="0" t="n">
        <v>2020</v>
      </c>
      <c r="C234" s="0" t="s">
        <v>101</v>
      </c>
      <c r="D234" s="0" t="s">
        <v>90</v>
      </c>
      <c r="E234" s="0" t="n">
        <v>1</v>
      </c>
      <c r="F234" s="0" t="s">
        <v>23</v>
      </c>
      <c r="G234" s="0" t="n">
        <v>56.5957079978094</v>
      </c>
      <c r="H234" s="0" t="s">
        <v>437</v>
      </c>
      <c r="I234" s="0" t="s">
        <v>437</v>
      </c>
      <c r="J234" s="0" t="s">
        <v>437</v>
      </c>
      <c r="K234" s="0" t="s">
        <v>437</v>
      </c>
      <c r="L234" s="0" t="s">
        <v>437</v>
      </c>
      <c r="M234" s="0" t="s">
        <v>457</v>
      </c>
      <c r="R234" s="0" t="s">
        <v>95</v>
      </c>
    </row>
    <row r="235" customFormat="false" ht="15" hidden="false" customHeight="false" outlineLevel="0" collapsed="false">
      <c r="A235" s="0" t="s">
        <v>100</v>
      </c>
      <c r="B235" s="0" t="n">
        <v>2020</v>
      </c>
      <c r="C235" s="0" t="s">
        <v>101</v>
      </c>
      <c r="D235" s="0" t="s">
        <v>90</v>
      </c>
      <c r="E235" s="0" t="n">
        <v>1</v>
      </c>
      <c r="F235" s="0" t="s">
        <v>45</v>
      </c>
      <c r="H235" s="0" t="s">
        <v>457</v>
      </c>
      <c r="I235" s="0" t="s">
        <v>457</v>
      </c>
      <c r="J235" s="0" t="s">
        <v>457</v>
      </c>
      <c r="K235" s="0" t="s">
        <v>457</v>
      </c>
      <c r="L235" s="0" t="s">
        <v>457</v>
      </c>
      <c r="M235" s="0" t="s">
        <v>457</v>
      </c>
      <c r="R235" s="0" t="s">
        <v>95</v>
      </c>
    </row>
    <row r="236" customFormat="false" ht="15" hidden="false" customHeight="false" outlineLevel="0" collapsed="false">
      <c r="A236" s="0" t="s">
        <v>100</v>
      </c>
      <c r="B236" s="0" t="n">
        <v>2020</v>
      </c>
      <c r="C236" s="0" t="s">
        <v>101</v>
      </c>
      <c r="D236" s="0" t="s">
        <v>90</v>
      </c>
      <c r="E236" s="0" t="n">
        <v>1</v>
      </c>
      <c r="F236" s="0" t="s">
        <v>71</v>
      </c>
      <c r="H236" s="0" t="s">
        <v>457</v>
      </c>
      <c r="I236" s="0" t="s">
        <v>457</v>
      </c>
      <c r="J236" s="0" t="s">
        <v>457</v>
      </c>
      <c r="K236" s="0" t="s">
        <v>457</v>
      </c>
      <c r="L236" s="0" t="s">
        <v>457</v>
      </c>
      <c r="M236" s="0" t="s">
        <v>457</v>
      </c>
      <c r="R236" s="0" t="s">
        <v>95</v>
      </c>
    </row>
    <row r="237" customFormat="false" ht="15" hidden="false" customHeight="false" outlineLevel="0" collapsed="false">
      <c r="A237" s="0" t="s">
        <v>100</v>
      </c>
      <c r="B237" s="0" t="n">
        <v>2020</v>
      </c>
      <c r="C237" s="0" t="s">
        <v>101</v>
      </c>
      <c r="D237" s="0" t="s">
        <v>90</v>
      </c>
      <c r="E237" s="0" t="n">
        <v>1</v>
      </c>
      <c r="F237" s="0" t="s">
        <v>31</v>
      </c>
      <c r="G237" s="0" t="n">
        <v>86.3392618689613</v>
      </c>
      <c r="H237" s="0" t="s">
        <v>437</v>
      </c>
      <c r="I237" s="0" t="s">
        <v>437</v>
      </c>
      <c r="J237" s="0" t="s">
        <v>437</v>
      </c>
      <c r="K237" s="0" t="s">
        <v>437</v>
      </c>
      <c r="L237" s="0" t="s">
        <v>437</v>
      </c>
      <c r="M237" s="0" t="s">
        <v>457</v>
      </c>
      <c r="R237" s="0" t="s">
        <v>95</v>
      </c>
    </row>
    <row r="238" customFormat="false" ht="15" hidden="false" customHeight="false" outlineLevel="0" collapsed="false">
      <c r="A238" s="0" t="s">
        <v>100</v>
      </c>
      <c r="B238" s="0" t="n">
        <v>2021</v>
      </c>
      <c r="C238" s="0" t="s">
        <v>101</v>
      </c>
      <c r="D238" s="0" t="s">
        <v>90</v>
      </c>
      <c r="E238" s="0" t="n">
        <v>1</v>
      </c>
      <c r="F238" s="0" t="s">
        <v>73</v>
      </c>
      <c r="G238" s="0" t="n">
        <v>0</v>
      </c>
      <c r="H238" s="0" t="s">
        <v>437</v>
      </c>
      <c r="I238" s="0" t="s">
        <v>437</v>
      </c>
      <c r="J238" s="0" t="s">
        <v>437</v>
      </c>
      <c r="K238" s="0" t="s">
        <v>437</v>
      </c>
      <c r="L238" s="0" t="s">
        <v>437</v>
      </c>
      <c r="M238" s="0" t="s">
        <v>457</v>
      </c>
      <c r="R238" s="0" t="s">
        <v>97</v>
      </c>
    </row>
    <row r="239" customFormat="false" ht="15" hidden="false" customHeight="false" outlineLevel="0" collapsed="false">
      <c r="A239" s="0" t="s">
        <v>100</v>
      </c>
      <c r="B239" s="0" t="n">
        <v>2021</v>
      </c>
      <c r="C239" s="0" t="s">
        <v>101</v>
      </c>
      <c r="D239" s="0" t="s">
        <v>90</v>
      </c>
      <c r="E239" s="0" t="n">
        <v>1</v>
      </c>
      <c r="F239" s="0" t="s">
        <v>69</v>
      </c>
      <c r="G239" s="0" t="n">
        <v>11.48</v>
      </c>
      <c r="H239" s="0" t="s">
        <v>437</v>
      </c>
      <c r="I239" s="0" t="s">
        <v>437</v>
      </c>
      <c r="J239" s="0" t="s">
        <v>437</v>
      </c>
      <c r="K239" s="0" t="s">
        <v>437</v>
      </c>
      <c r="L239" s="0" t="s">
        <v>437</v>
      </c>
      <c r="M239" s="0" t="s">
        <v>457</v>
      </c>
      <c r="R239" s="0" t="s">
        <v>97</v>
      </c>
    </row>
    <row r="240" customFormat="false" ht="15" hidden="false" customHeight="false" outlineLevel="0" collapsed="false">
      <c r="A240" s="0" t="s">
        <v>100</v>
      </c>
      <c r="B240" s="0" t="n">
        <v>2021</v>
      </c>
      <c r="C240" s="0" t="s">
        <v>101</v>
      </c>
      <c r="D240" s="0" t="s">
        <v>90</v>
      </c>
      <c r="E240" s="0" t="n">
        <v>1</v>
      </c>
      <c r="F240" s="0" t="s">
        <v>25</v>
      </c>
      <c r="G240" s="0" t="n">
        <v>11.4800518957563</v>
      </c>
      <c r="H240" s="0" t="s">
        <v>437</v>
      </c>
      <c r="I240" s="0" t="s">
        <v>437</v>
      </c>
      <c r="J240" s="0" t="s">
        <v>437</v>
      </c>
      <c r="K240" s="0" t="s">
        <v>437</v>
      </c>
      <c r="L240" s="0" t="s">
        <v>437</v>
      </c>
      <c r="M240" s="0" t="s">
        <v>457</v>
      </c>
      <c r="R240" s="0" t="s">
        <v>97</v>
      </c>
    </row>
    <row r="241" customFormat="false" ht="15" hidden="false" customHeight="false" outlineLevel="0" collapsed="false">
      <c r="A241" s="0" t="s">
        <v>100</v>
      </c>
      <c r="B241" s="0" t="n">
        <v>2021</v>
      </c>
      <c r="C241" s="0" t="s">
        <v>101</v>
      </c>
      <c r="D241" s="0" t="s">
        <v>90</v>
      </c>
      <c r="E241" s="0" t="n">
        <v>1</v>
      </c>
      <c r="F241" s="0" t="s">
        <v>41</v>
      </c>
      <c r="G241" s="0" t="n">
        <v>0.418980691965962</v>
      </c>
      <c r="H241" s="0" t="s">
        <v>437</v>
      </c>
      <c r="I241" s="0" t="s">
        <v>437</v>
      </c>
      <c r="J241" s="0" t="s">
        <v>437</v>
      </c>
      <c r="K241" s="0" t="s">
        <v>437</v>
      </c>
      <c r="L241" s="0" t="s">
        <v>437</v>
      </c>
      <c r="M241" s="0" t="s">
        <v>457</v>
      </c>
      <c r="R241" s="0" t="s">
        <v>97</v>
      </c>
    </row>
    <row r="242" customFormat="false" ht="15" hidden="false" customHeight="false" outlineLevel="0" collapsed="false">
      <c r="A242" s="0" t="s">
        <v>100</v>
      </c>
      <c r="B242" s="0" t="n">
        <v>2021</v>
      </c>
      <c r="C242" s="0" t="s">
        <v>101</v>
      </c>
      <c r="D242" s="0" t="s">
        <v>90</v>
      </c>
      <c r="E242" s="0" t="n">
        <v>1</v>
      </c>
      <c r="F242" s="0" t="s">
        <v>27</v>
      </c>
      <c r="G242" s="0" t="n">
        <v>11.2633576544426</v>
      </c>
      <c r="H242" s="0" t="s">
        <v>437</v>
      </c>
      <c r="I242" s="0" t="s">
        <v>437</v>
      </c>
      <c r="J242" s="0" t="s">
        <v>437</v>
      </c>
      <c r="K242" s="0" t="s">
        <v>437</v>
      </c>
      <c r="L242" s="0" t="s">
        <v>437</v>
      </c>
      <c r="M242" s="0" t="s">
        <v>457</v>
      </c>
      <c r="R242" s="0" t="s">
        <v>97</v>
      </c>
    </row>
    <row r="243" customFormat="false" ht="15" hidden="false" customHeight="false" outlineLevel="0" collapsed="false">
      <c r="A243" s="0" t="s">
        <v>100</v>
      </c>
      <c r="B243" s="0" t="n">
        <v>2021</v>
      </c>
      <c r="C243" s="0" t="s">
        <v>101</v>
      </c>
      <c r="D243" s="0" t="s">
        <v>90</v>
      </c>
      <c r="E243" s="0" t="n">
        <v>1</v>
      </c>
      <c r="F243" s="0" t="s">
        <v>39</v>
      </c>
      <c r="G243" s="0" t="n">
        <v>-3.72131734805729</v>
      </c>
      <c r="H243" s="0" t="s">
        <v>437</v>
      </c>
      <c r="I243" s="0" t="s">
        <v>437</v>
      </c>
      <c r="J243" s="0" t="s">
        <v>437</v>
      </c>
      <c r="K243" s="0" t="s">
        <v>437</v>
      </c>
      <c r="L243" s="0" t="s">
        <v>437</v>
      </c>
      <c r="M243" s="0" t="s">
        <v>457</v>
      </c>
      <c r="R243" s="0" t="s">
        <v>97</v>
      </c>
    </row>
    <row r="244" customFormat="false" ht="15" hidden="false" customHeight="false" outlineLevel="0" collapsed="false">
      <c r="A244" s="0" t="s">
        <v>100</v>
      </c>
      <c r="B244" s="0" t="n">
        <v>2021</v>
      </c>
      <c r="C244" s="0" t="s">
        <v>101</v>
      </c>
      <c r="D244" s="0" t="s">
        <v>90</v>
      </c>
      <c r="E244" s="0" t="n">
        <v>1</v>
      </c>
      <c r="F244" s="0" t="s">
        <v>17</v>
      </c>
      <c r="G244" s="0" t="n">
        <v>8.75265718018152</v>
      </c>
      <c r="H244" s="0" t="s">
        <v>437</v>
      </c>
      <c r="I244" s="0" t="s">
        <v>437</v>
      </c>
      <c r="J244" s="0" t="s">
        <v>437</v>
      </c>
      <c r="K244" s="0" t="s">
        <v>437</v>
      </c>
      <c r="L244" s="0" t="s">
        <v>437</v>
      </c>
      <c r="M244" s="0" t="s">
        <v>457</v>
      </c>
      <c r="R244" s="0" t="s">
        <v>97</v>
      </c>
    </row>
    <row r="245" customFormat="false" ht="15" hidden="false" customHeight="false" outlineLevel="0" collapsed="false">
      <c r="A245" s="0" t="s">
        <v>100</v>
      </c>
      <c r="B245" s="0" t="n">
        <v>2021</v>
      </c>
      <c r="C245" s="0" t="s">
        <v>101</v>
      </c>
      <c r="D245" s="0" t="s">
        <v>90</v>
      </c>
      <c r="E245" s="0" t="n">
        <v>1</v>
      </c>
      <c r="F245" s="0" t="s">
        <v>29</v>
      </c>
      <c r="G245" s="0" t="n">
        <v>0.302072808942488</v>
      </c>
      <c r="H245" s="0" t="s">
        <v>437</v>
      </c>
      <c r="I245" s="0" t="s">
        <v>437</v>
      </c>
      <c r="J245" s="0" t="s">
        <v>437</v>
      </c>
      <c r="K245" s="0" t="s">
        <v>437</v>
      </c>
      <c r="L245" s="0" t="s">
        <v>437</v>
      </c>
      <c r="M245" s="0" t="s">
        <v>457</v>
      </c>
      <c r="R245" s="0" t="s">
        <v>97</v>
      </c>
    </row>
    <row r="246" customFormat="false" ht="15" hidden="false" customHeight="false" outlineLevel="0" collapsed="false">
      <c r="A246" s="0" t="s">
        <v>100</v>
      </c>
      <c r="B246" s="0" t="n">
        <v>2021</v>
      </c>
      <c r="C246" s="0" t="s">
        <v>101</v>
      </c>
      <c r="D246" s="0" t="s">
        <v>90</v>
      </c>
      <c r="E246" s="0" t="n">
        <v>1</v>
      </c>
      <c r="F246" s="0" t="s">
        <v>37</v>
      </c>
      <c r="G246" s="0" t="n">
        <v>16.3477451478947</v>
      </c>
      <c r="H246" s="0" t="s">
        <v>437</v>
      </c>
      <c r="I246" s="0" t="s">
        <v>437</v>
      </c>
      <c r="J246" s="0" t="s">
        <v>437</v>
      </c>
      <c r="K246" s="0" t="s">
        <v>437</v>
      </c>
      <c r="L246" s="0" t="s">
        <v>437</v>
      </c>
      <c r="M246" s="0" t="s">
        <v>457</v>
      </c>
      <c r="R246" s="0" t="s">
        <v>97</v>
      </c>
    </row>
    <row r="247" customFormat="false" ht="15" hidden="false" customHeight="false" outlineLevel="0" collapsed="false">
      <c r="A247" s="0" t="s">
        <v>100</v>
      </c>
      <c r="B247" s="0" t="n">
        <v>2021</v>
      </c>
      <c r="C247" s="0" t="s">
        <v>101</v>
      </c>
      <c r="D247" s="0" t="s">
        <v>90</v>
      </c>
      <c r="E247" s="0" t="n">
        <v>1</v>
      </c>
      <c r="F247" s="0" t="s">
        <v>23</v>
      </c>
      <c r="G247" s="0" t="n">
        <v>53.5404552799059</v>
      </c>
      <c r="H247" s="0" t="s">
        <v>437</v>
      </c>
      <c r="I247" s="0" t="s">
        <v>437</v>
      </c>
      <c r="J247" s="0" t="s">
        <v>437</v>
      </c>
      <c r="K247" s="0" t="s">
        <v>437</v>
      </c>
      <c r="L247" s="0" t="s">
        <v>437</v>
      </c>
      <c r="M247" s="0" t="s">
        <v>457</v>
      </c>
      <c r="R247" s="0" t="s">
        <v>97</v>
      </c>
    </row>
    <row r="248" customFormat="false" ht="15" hidden="false" customHeight="false" outlineLevel="0" collapsed="false">
      <c r="A248" s="0" t="s">
        <v>100</v>
      </c>
      <c r="B248" s="0" t="n">
        <v>2021</v>
      </c>
      <c r="C248" s="0" t="s">
        <v>101</v>
      </c>
      <c r="D248" s="0" t="s">
        <v>90</v>
      </c>
      <c r="E248" s="0" t="n">
        <v>1</v>
      </c>
      <c r="F248" s="0" t="s">
        <v>45</v>
      </c>
      <c r="H248" s="0" t="s">
        <v>457</v>
      </c>
      <c r="I248" s="0" t="s">
        <v>457</v>
      </c>
      <c r="J248" s="0" t="s">
        <v>457</v>
      </c>
      <c r="K248" s="0" t="s">
        <v>457</v>
      </c>
      <c r="L248" s="0" t="s">
        <v>457</v>
      </c>
      <c r="M248" s="0" t="s">
        <v>457</v>
      </c>
      <c r="R248" s="0" t="s">
        <v>97</v>
      </c>
    </row>
    <row r="249" customFormat="false" ht="15" hidden="false" customHeight="false" outlineLevel="0" collapsed="false">
      <c r="A249" s="0" t="s">
        <v>100</v>
      </c>
      <c r="B249" s="0" t="n">
        <v>2021</v>
      </c>
      <c r="C249" s="0" t="s">
        <v>101</v>
      </c>
      <c r="D249" s="0" t="s">
        <v>90</v>
      </c>
      <c r="E249" s="0" t="n">
        <v>1</v>
      </c>
      <c r="F249" s="0" t="s">
        <v>71</v>
      </c>
      <c r="H249" s="0" t="s">
        <v>457</v>
      </c>
      <c r="I249" s="0" t="s">
        <v>457</v>
      </c>
      <c r="J249" s="0" t="s">
        <v>457</v>
      </c>
      <c r="K249" s="0" t="s">
        <v>457</v>
      </c>
      <c r="L249" s="0" t="s">
        <v>457</v>
      </c>
      <c r="M249" s="0" t="s">
        <v>457</v>
      </c>
      <c r="R249" s="0" t="s">
        <v>97</v>
      </c>
    </row>
    <row r="250" customFormat="false" ht="15" hidden="false" customHeight="false" outlineLevel="0" collapsed="false">
      <c r="A250" s="0" t="s">
        <v>100</v>
      </c>
      <c r="B250" s="0" t="n">
        <v>2021</v>
      </c>
      <c r="C250" s="0" t="s">
        <v>101</v>
      </c>
      <c r="D250" s="0" t="s">
        <v>90</v>
      </c>
      <c r="E250" s="0" t="n">
        <v>1</v>
      </c>
      <c r="F250" s="0" t="s">
        <v>31</v>
      </c>
      <c r="G250" s="0" t="n">
        <v>88.7366423455575</v>
      </c>
      <c r="H250" s="0" t="s">
        <v>437</v>
      </c>
      <c r="I250" s="0" t="s">
        <v>437</v>
      </c>
      <c r="J250" s="0" t="s">
        <v>437</v>
      </c>
      <c r="K250" s="0" t="s">
        <v>437</v>
      </c>
      <c r="L250" s="0" t="s">
        <v>437</v>
      </c>
      <c r="M250" s="0" t="s">
        <v>457</v>
      </c>
      <c r="R250" s="0" t="s">
        <v>97</v>
      </c>
    </row>
    <row r="251" customFormat="false" ht="15" hidden="false" customHeight="false" outlineLevel="0" collapsed="false">
      <c r="A251" s="0" t="s">
        <v>100</v>
      </c>
      <c r="B251" s="0" t="n">
        <v>2022</v>
      </c>
      <c r="C251" s="0" t="s">
        <v>101</v>
      </c>
      <c r="D251" s="0" t="s">
        <v>90</v>
      </c>
      <c r="E251" s="0" t="n">
        <v>1</v>
      </c>
      <c r="F251" s="0" t="s">
        <v>73</v>
      </c>
      <c r="G251" s="0" t="n">
        <v>0</v>
      </c>
      <c r="H251" s="0" t="s">
        <v>437</v>
      </c>
      <c r="I251" s="0" t="s">
        <v>437</v>
      </c>
      <c r="J251" s="0" t="s">
        <v>437</v>
      </c>
      <c r="K251" s="0" t="s">
        <v>437</v>
      </c>
      <c r="L251" s="0" t="s">
        <v>437</v>
      </c>
      <c r="M251" s="0" t="s">
        <v>457</v>
      </c>
      <c r="R251" s="0" t="s">
        <v>114</v>
      </c>
    </row>
    <row r="252" customFormat="false" ht="15" hidden="false" customHeight="false" outlineLevel="0" collapsed="false">
      <c r="A252" s="0" t="s">
        <v>100</v>
      </c>
      <c r="B252" s="0" t="n">
        <v>2022</v>
      </c>
      <c r="C252" s="0" t="s">
        <v>101</v>
      </c>
      <c r="D252" s="0" t="s">
        <v>90</v>
      </c>
      <c r="E252" s="0" t="n">
        <v>1</v>
      </c>
      <c r="F252" s="0" t="s">
        <v>69</v>
      </c>
      <c r="G252" s="0" t="n">
        <v>13.27</v>
      </c>
      <c r="H252" s="0" t="s">
        <v>437</v>
      </c>
      <c r="I252" s="0" t="s">
        <v>437</v>
      </c>
      <c r="J252" s="0" t="s">
        <v>437</v>
      </c>
      <c r="K252" s="0" t="s">
        <v>437</v>
      </c>
      <c r="L252" s="0" t="s">
        <v>437</v>
      </c>
      <c r="M252" s="0" t="s">
        <v>457</v>
      </c>
      <c r="R252" s="0" t="s">
        <v>114</v>
      </c>
    </row>
    <row r="253" customFormat="false" ht="15" hidden="false" customHeight="false" outlineLevel="0" collapsed="false">
      <c r="A253" s="0" t="s">
        <v>100</v>
      </c>
      <c r="B253" s="0" t="n">
        <v>2022</v>
      </c>
      <c r="C253" s="0" t="s">
        <v>101</v>
      </c>
      <c r="D253" s="0" t="s">
        <v>90</v>
      </c>
      <c r="E253" s="0" t="n">
        <v>1</v>
      </c>
      <c r="F253" s="0" t="s">
        <v>25</v>
      </c>
      <c r="G253" s="0" t="n">
        <v>13.2720638696985</v>
      </c>
      <c r="H253" s="0" t="s">
        <v>437</v>
      </c>
      <c r="I253" s="0" t="s">
        <v>437</v>
      </c>
      <c r="J253" s="0" t="s">
        <v>437</v>
      </c>
      <c r="K253" s="0" t="s">
        <v>437</v>
      </c>
      <c r="L253" s="0" t="s">
        <v>437</v>
      </c>
      <c r="M253" s="0" t="s">
        <v>457</v>
      </c>
      <c r="R253" s="0" t="s">
        <v>114</v>
      </c>
    </row>
    <row r="254" customFormat="false" ht="15" hidden="false" customHeight="false" outlineLevel="0" collapsed="false">
      <c r="A254" s="0" t="s">
        <v>100</v>
      </c>
      <c r="B254" s="0" t="n">
        <v>2022</v>
      </c>
      <c r="C254" s="0" t="s">
        <v>101</v>
      </c>
      <c r="D254" s="0" t="s">
        <v>90</v>
      </c>
      <c r="E254" s="0" t="n">
        <v>1</v>
      </c>
      <c r="F254" s="0" t="s">
        <v>41</v>
      </c>
      <c r="G254" s="0" t="n">
        <v>0.385553392988536</v>
      </c>
      <c r="H254" s="0" t="s">
        <v>437</v>
      </c>
      <c r="I254" s="0" t="s">
        <v>437</v>
      </c>
      <c r="J254" s="0" t="s">
        <v>437</v>
      </c>
      <c r="K254" s="0" t="s">
        <v>437</v>
      </c>
      <c r="L254" s="0" t="s">
        <v>437</v>
      </c>
      <c r="M254" s="0" t="s">
        <v>457</v>
      </c>
      <c r="R254" s="0" t="s">
        <v>114</v>
      </c>
    </row>
    <row r="255" customFormat="false" ht="15" hidden="false" customHeight="false" outlineLevel="0" collapsed="false">
      <c r="A255" s="0" t="s">
        <v>100</v>
      </c>
      <c r="B255" s="0" t="n">
        <v>2022</v>
      </c>
      <c r="C255" s="0" t="s">
        <v>101</v>
      </c>
      <c r="D255" s="0" t="s">
        <v>90</v>
      </c>
      <c r="E255" s="0" t="n">
        <v>1</v>
      </c>
      <c r="F255" s="0" t="s">
        <v>27</v>
      </c>
      <c r="G255" s="0" t="n">
        <v>10.0974778326271</v>
      </c>
      <c r="H255" s="0" t="s">
        <v>437</v>
      </c>
      <c r="I255" s="0" t="s">
        <v>437</v>
      </c>
      <c r="J255" s="0" t="s">
        <v>437</v>
      </c>
      <c r="K255" s="0" t="s">
        <v>437</v>
      </c>
      <c r="L255" s="0" t="s">
        <v>437</v>
      </c>
      <c r="M255" s="0" t="s">
        <v>457</v>
      </c>
      <c r="R255" s="0" t="s">
        <v>114</v>
      </c>
    </row>
    <row r="256" customFormat="false" ht="15" hidden="false" customHeight="false" outlineLevel="0" collapsed="false">
      <c r="A256" s="0" t="s">
        <v>100</v>
      </c>
      <c r="B256" s="0" t="n">
        <v>2022</v>
      </c>
      <c r="C256" s="0" t="s">
        <v>101</v>
      </c>
      <c r="D256" s="0" t="s">
        <v>90</v>
      </c>
      <c r="E256" s="0" t="n">
        <v>1</v>
      </c>
      <c r="F256" s="0" t="s">
        <v>39</v>
      </c>
      <c r="G256" s="0" t="n">
        <v>-2.80531259642544</v>
      </c>
      <c r="H256" s="0" t="s">
        <v>437</v>
      </c>
      <c r="I256" s="0" t="s">
        <v>437</v>
      </c>
      <c r="J256" s="0" t="s">
        <v>437</v>
      </c>
      <c r="K256" s="0" t="s">
        <v>437</v>
      </c>
      <c r="L256" s="0" t="s">
        <v>437</v>
      </c>
      <c r="M256" s="0" t="s">
        <v>457</v>
      </c>
      <c r="R256" s="0" t="s">
        <v>114</v>
      </c>
    </row>
    <row r="257" customFormat="false" ht="15" hidden="false" customHeight="false" outlineLevel="0" collapsed="false">
      <c r="A257" s="0" t="s">
        <v>100</v>
      </c>
      <c r="B257" s="0" t="n">
        <v>2022</v>
      </c>
      <c r="C257" s="0" t="s">
        <v>101</v>
      </c>
      <c r="D257" s="0" t="s">
        <v>90</v>
      </c>
      <c r="E257" s="0" t="n">
        <v>1</v>
      </c>
      <c r="F257" s="0" t="s">
        <v>17</v>
      </c>
      <c r="G257" s="0" t="n">
        <v>5.2826752112482</v>
      </c>
      <c r="H257" s="0" t="s">
        <v>437</v>
      </c>
      <c r="I257" s="0" t="s">
        <v>437</v>
      </c>
      <c r="J257" s="0" t="s">
        <v>437</v>
      </c>
      <c r="K257" s="0" t="s">
        <v>437</v>
      </c>
      <c r="L257" s="0" t="s">
        <v>437</v>
      </c>
      <c r="M257" s="0" t="s">
        <v>457</v>
      </c>
      <c r="R257" s="0" t="s">
        <v>114</v>
      </c>
    </row>
    <row r="258" customFormat="false" ht="15" hidden="false" customHeight="false" outlineLevel="0" collapsed="false">
      <c r="A258" s="0" t="s">
        <v>100</v>
      </c>
      <c r="B258" s="0" t="n">
        <v>2022</v>
      </c>
      <c r="C258" s="0" t="s">
        <v>101</v>
      </c>
      <c r="D258" s="0" t="s">
        <v>90</v>
      </c>
      <c r="E258" s="0" t="n">
        <v>1</v>
      </c>
      <c r="F258" s="0" t="s">
        <v>29</v>
      </c>
      <c r="G258" s="0" t="n">
        <v>0.459022157081484</v>
      </c>
      <c r="H258" s="0" t="s">
        <v>437</v>
      </c>
      <c r="I258" s="0" t="s">
        <v>437</v>
      </c>
      <c r="J258" s="0" t="s">
        <v>437</v>
      </c>
      <c r="K258" s="0" t="s">
        <v>437</v>
      </c>
      <c r="L258" s="0" t="s">
        <v>437</v>
      </c>
      <c r="M258" s="0" t="s">
        <v>457</v>
      </c>
      <c r="R258" s="0" t="s">
        <v>114</v>
      </c>
    </row>
    <row r="259" customFormat="false" ht="15" hidden="false" customHeight="false" outlineLevel="0" collapsed="false">
      <c r="A259" s="0" t="s">
        <v>100</v>
      </c>
      <c r="B259" s="0" t="n">
        <v>2022</v>
      </c>
      <c r="C259" s="0" t="s">
        <v>101</v>
      </c>
      <c r="D259" s="0" t="s">
        <v>90</v>
      </c>
      <c r="E259" s="0" t="n">
        <v>1</v>
      </c>
      <c r="F259" s="0" t="s">
        <v>37</v>
      </c>
      <c r="G259" s="0" t="n">
        <v>6.91822102887829</v>
      </c>
      <c r="H259" s="0" t="s">
        <v>437</v>
      </c>
      <c r="I259" s="0" t="s">
        <v>437</v>
      </c>
      <c r="J259" s="0" t="s">
        <v>437</v>
      </c>
      <c r="K259" s="0" t="s">
        <v>437</v>
      </c>
      <c r="L259" s="0" t="s">
        <v>437</v>
      </c>
      <c r="M259" s="0" t="s">
        <v>457</v>
      </c>
      <c r="R259" s="0" t="s">
        <v>114</v>
      </c>
    </row>
    <row r="260" customFormat="false" ht="15" hidden="false" customHeight="false" outlineLevel="0" collapsed="false">
      <c r="A260" s="0" t="s">
        <v>100</v>
      </c>
      <c r="B260" s="0" t="n">
        <v>2022</v>
      </c>
      <c r="C260" s="0" t="s">
        <v>101</v>
      </c>
      <c r="D260" s="0" t="s">
        <v>90</v>
      </c>
      <c r="E260" s="0" t="n">
        <v>1</v>
      </c>
      <c r="F260" s="0" t="s">
        <v>23</v>
      </c>
      <c r="G260" s="0" t="n">
        <v>76.3588672463205</v>
      </c>
      <c r="H260" s="0" t="s">
        <v>437</v>
      </c>
      <c r="I260" s="0" t="s">
        <v>437</v>
      </c>
      <c r="J260" s="0" t="s">
        <v>437</v>
      </c>
      <c r="K260" s="0" t="s">
        <v>437</v>
      </c>
      <c r="L260" s="0" t="s">
        <v>437</v>
      </c>
      <c r="M260" s="0" t="s">
        <v>457</v>
      </c>
      <c r="R260" s="0" t="s">
        <v>114</v>
      </c>
    </row>
    <row r="261" customFormat="false" ht="15" hidden="false" customHeight="false" outlineLevel="0" collapsed="false">
      <c r="A261" s="0" t="s">
        <v>100</v>
      </c>
      <c r="B261" s="0" t="n">
        <v>2022</v>
      </c>
      <c r="C261" s="0" t="s">
        <v>101</v>
      </c>
      <c r="D261" s="0" t="s">
        <v>90</v>
      </c>
      <c r="E261" s="0" t="n">
        <v>1</v>
      </c>
      <c r="F261" s="0" t="s">
        <v>45</v>
      </c>
      <c r="H261" s="0" t="s">
        <v>457</v>
      </c>
      <c r="I261" s="0" t="s">
        <v>457</v>
      </c>
      <c r="J261" s="0" t="s">
        <v>457</v>
      </c>
      <c r="K261" s="0" t="s">
        <v>457</v>
      </c>
      <c r="L261" s="0" t="s">
        <v>457</v>
      </c>
      <c r="M261" s="0" t="s">
        <v>457</v>
      </c>
      <c r="R261" s="0" t="s">
        <v>114</v>
      </c>
    </row>
    <row r="262" customFormat="false" ht="15" hidden="false" customHeight="false" outlineLevel="0" collapsed="false">
      <c r="A262" s="0" t="s">
        <v>100</v>
      </c>
      <c r="B262" s="0" t="n">
        <v>2022</v>
      </c>
      <c r="C262" s="0" t="s">
        <v>101</v>
      </c>
      <c r="D262" s="0" t="s">
        <v>90</v>
      </c>
      <c r="E262" s="0" t="n">
        <v>1</v>
      </c>
      <c r="F262" s="0" t="s">
        <v>71</v>
      </c>
      <c r="H262" s="0" t="s">
        <v>457</v>
      </c>
      <c r="I262" s="0" t="s">
        <v>457</v>
      </c>
      <c r="J262" s="0" t="s">
        <v>457</v>
      </c>
      <c r="K262" s="0" t="s">
        <v>457</v>
      </c>
      <c r="L262" s="0" t="s">
        <v>457</v>
      </c>
      <c r="M262" s="0" t="s">
        <v>457</v>
      </c>
      <c r="R262" s="0" t="s">
        <v>114</v>
      </c>
    </row>
    <row r="263" customFormat="false" ht="15" hidden="false" customHeight="false" outlineLevel="0" collapsed="false">
      <c r="A263" s="0" t="s">
        <v>100</v>
      </c>
      <c r="B263" s="0" t="n">
        <v>2022</v>
      </c>
      <c r="C263" s="0" t="s">
        <v>101</v>
      </c>
      <c r="D263" s="0" t="s">
        <v>90</v>
      </c>
      <c r="E263" s="0" t="n">
        <v>1</v>
      </c>
      <c r="F263" s="0" t="s">
        <v>31</v>
      </c>
      <c r="G263" s="0" t="n">
        <v>89.9025221673729</v>
      </c>
      <c r="H263" s="0" t="s">
        <v>437</v>
      </c>
      <c r="I263" s="0" t="s">
        <v>437</v>
      </c>
      <c r="J263" s="0" t="s">
        <v>437</v>
      </c>
      <c r="K263" s="0" t="s">
        <v>437</v>
      </c>
      <c r="L263" s="0" t="s">
        <v>437</v>
      </c>
      <c r="M263" s="0" t="s">
        <v>457</v>
      </c>
      <c r="R263" s="0" t="s">
        <v>114</v>
      </c>
    </row>
    <row r="264" customFormat="false" ht="15" hidden="false" customHeight="false" outlineLevel="0" collapsed="false">
      <c r="A264" s="0" t="s">
        <v>115</v>
      </c>
      <c r="B264" s="0" t="n">
        <v>2013</v>
      </c>
      <c r="C264" s="0" t="s">
        <v>101</v>
      </c>
      <c r="D264" s="0" t="s">
        <v>79</v>
      </c>
      <c r="E264" s="0" t="n">
        <v>0</v>
      </c>
      <c r="F264" s="0" t="s">
        <v>73</v>
      </c>
      <c r="H264" s="0" t="s">
        <v>457</v>
      </c>
      <c r="I264" s="0" t="s">
        <v>457</v>
      </c>
      <c r="J264" s="0" t="s">
        <v>457</v>
      </c>
      <c r="K264" s="0" t="s">
        <v>457</v>
      </c>
      <c r="L264" s="0" t="s">
        <v>457</v>
      </c>
      <c r="M264" s="0" t="s">
        <v>457</v>
      </c>
      <c r="R264" s="0" t="s">
        <v>81</v>
      </c>
    </row>
    <row r="265" customFormat="false" ht="15" hidden="false" customHeight="false" outlineLevel="0" collapsed="false">
      <c r="A265" s="0" t="s">
        <v>115</v>
      </c>
      <c r="B265" s="0" t="n">
        <v>2013</v>
      </c>
      <c r="C265" s="0" t="s">
        <v>101</v>
      </c>
      <c r="D265" s="0" t="s">
        <v>79</v>
      </c>
      <c r="E265" s="0" t="n">
        <v>0</v>
      </c>
      <c r="F265" s="0" t="s">
        <v>69</v>
      </c>
      <c r="G265" s="0" t="n">
        <v>26</v>
      </c>
      <c r="H265" s="0" t="s">
        <v>437</v>
      </c>
      <c r="I265" s="0" t="s">
        <v>437</v>
      </c>
      <c r="J265" s="0" t="s">
        <v>437</v>
      </c>
      <c r="K265" s="0" t="s">
        <v>457</v>
      </c>
      <c r="L265" s="0" t="s">
        <v>437</v>
      </c>
      <c r="M265" s="0" t="s">
        <v>457</v>
      </c>
      <c r="R265" s="0" t="s">
        <v>81</v>
      </c>
    </row>
    <row r="266" customFormat="false" ht="15" hidden="false" customHeight="false" outlineLevel="0" collapsed="false">
      <c r="A266" s="0" t="s">
        <v>115</v>
      </c>
      <c r="B266" s="0" t="n">
        <v>2013</v>
      </c>
      <c r="C266" s="0" t="s">
        <v>101</v>
      </c>
      <c r="D266" s="0" t="s">
        <v>79</v>
      </c>
      <c r="E266" s="0" t="n">
        <v>0</v>
      </c>
      <c r="F266" s="0" t="s">
        <v>25</v>
      </c>
      <c r="H266" s="0" t="s">
        <v>457</v>
      </c>
      <c r="I266" s="0" t="s">
        <v>457</v>
      </c>
      <c r="J266" s="0" t="s">
        <v>457</v>
      </c>
      <c r="K266" s="0" t="s">
        <v>457</v>
      </c>
      <c r="L266" s="0" t="s">
        <v>457</v>
      </c>
      <c r="M266" s="0" t="s">
        <v>457</v>
      </c>
      <c r="R266" s="0" t="s">
        <v>81</v>
      </c>
    </row>
    <row r="267" customFormat="false" ht="15" hidden="false" customHeight="false" outlineLevel="0" collapsed="false">
      <c r="A267" s="0" t="s">
        <v>115</v>
      </c>
      <c r="B267" s="0" t="n">
        <v>2013</v>
      </c>
      <c r="C267" s="0" t="s">
        <v>101</v>
      </c>
      <c r="D267" s="0" t="s">
        <v>79</v>
      </c>
      <c r="E267" s="0" t="n">
        <v>0</v>
      </c>
      <c r="F267" s="0" t="s">
        <v>41</v>
      </c>
      <c r="G267" s="0" t="n">
        <v>0.7738112836538</v>
      </c>
      <c r="H267" s="0" t="s">
        <v>437</v>
      </c>
      <c r="I267" s="0" t="s">
        <v>437</v>
      </c>
      <c r="J267" s="0" t="s">
        <v>437</v>
      </c>
      <c r="K267" s="0" t="s">
        <v>457</v>
      </c>
      <c r="L267" s="0" t="s">
        <v>437</v>
      </c>
      <c r="M267" s="0" t="s">
        <v>457</v>
      </c>
      <c r="R267" s="0" t="s">
        <v>81</v>
      </c>
    </row>
    <row r="268" customFormat="false" ht="15" hidden="false" customHeight="false" outlineLevel="0" collapsed="false">
      <c r="A268" s="0" t="s">
        <v>115</v>
      </c>
      <c r="B268" s="0" t="n">
        <v>2013</v>
      </c>
      <c r="C268" s="0" t="s">
        <v>101</v>
      </c>
      <c r="D268" s="0" t="s">
        <v>79</v>
      </c>
      <c r="E268" s="0" t="n">
        <v>0</v>
      </c>
      <c r="F268" s="0" t="s">
        <v>27</v>
      </c>
      <c r="G268" s="0" t="n">
        <v>15.1176868288235</v>
      </c>
      <c r="H268" s="0" t="s">
        <v>437</v>
      </c>
      <c r="I268" s="0" t="s">
        <v>437</v>
      </c>
      <c r="J268" s="0" t="s">
        <v>437</v>
      </c>
      <c r="K268" s="0" t="s">
        <v>457</v>
      </c>
      <c r="L268" s="0" t="s">
        <v>437</v>
      </c>
      <c r="M268" s="0" t="s">
        <v>457</v>
      </c>
      <c r="R268" s="0" t="s">
        <v>81</v>
      </c>
    </row>
    <row r="269" customFormat="false" ht="15" hidden="false" customHeight="false" outlineLevel="0" collapsed="false">
      <c r="A269" s="0" t="s">
        <v>115</v>
      </c>
      <c r="B269" s="0" t="n">
        <v>2013</v>
      </c>
      <c r="C269" s="0" t="s">
        <v>101</v>
      </c>
      <c r="D269" s="0" t="s">
        <v>79</v>
      </c>
      <c r="E269" s="0" t="n">
        <v>0</v>
      </c>
      <c r="F269" s="0" t="s">
        <v>39</v>
      </c>
      <c r="G269" s="0" t="n">
        <v>1.50813524108566</v>
      </c>
      <c r="H269" s="0" t="s">
        <v>437</v>
      </c>
      <c r="I269" s="0" t="s">
        <v>437</v>
      </c>
      <c r="J269" s="0" t="s">
        <v>437</v>
      </c>
      <c r="K269" s="0" t="s">
        <v>457</v>
      </c>
      <c r="L269" s="0" t="s">
        <v>437</v>
      </c>
      <c r="M269" s="0" t="s">
        <v>457</v>
      </c>
      <c r="R269" s="0" t="s">
        <v>81</v>
      </c>
    </row>
    <row r="270" customFormat="false" ht="15" hidden="false" customHeight="false" outlineLevel="0" collapsed="false">
      <c r="A270" s="0" t="s">
        <v>115</v>
      </c>
      <c r="B270" s="0" t="n">
        <v>2013</v>
      </c>
      <c r="C270" s="0" t="s">
        <v>101</v>
      </c>
      <c r="D270" s="0" t="s">
        <v>79</v>
      </c>
      <c r="E270" s="0" t="n">
        <v>0</v>
      </c>
      <c r="F270" s="0" t="s">
        <v>17</v>
      </c>
      <c r="G270" s="0" t="n">
        <v>3.74405002609291</v>
      </c>
      <c r="H270" s="0" t="s">
        <v>437</v>
      </c>
      <c r="I270" s="0" t="s">
        <v>437</v>
      </c>
      <c r="J270" s="0" t="s">
        <v>437</v>
      </c>
      <c r="K270" s="0" t="s">
        <v>457</v>
      </c>
      <c r="L270" s="0" t="s">
        <v>437</v>
      </c>
      <c r="M270" s="0" t="s">
        <v>457</v>
      </c>
      <c r="R270" s="0" t="s">
        <v>81</v>
      </c>
    </row>
    <row r="271" customFormat="false" ht="15" hidden="false" customHeight="false" outlineLevel="0" collapsed="false">
      <c r="A271" s="0" t="s">
        <v>115</v>
      </c>
      <c r="B271" s="0" t="n">
        <v>2013</v>
      </c>
      <c r="C271" s="0" t="s">
        <v>101</v>
      </c>
      <c r="D271" s="0" t="s">
        <v>79</v>
      </c>
      <c r="E271" s="0" t="n">
        <v>0</v>
      </c>
      <c r="F271" s="0" t="s">
        <v>29</v>
      </c>
      <c r="G271" s="0" t="n">
        <v>0.764691114399494</v>
      </c>
      <c r="H271" s="0" t="s">
        <v>437</v>
      </c>
      <c r="I271" s="0" t="s">
        <v>437</v>
      </c>
      <c r="J271" s="0" t="s">
        <v>437</v>
      </c>
      <c r="K271" s="0" t="s">
        <v>457</v>
      </c>
      <c r="L271" s="0" t="s">
        <v>437</v>
      </c>
      <c r="M271" s="0" t="s">
        <v>457</v>
      </c>
      <c r="R271" s="0" t="s">
        <v>81</v>
      </c>
    </row>
    <row r="272" customFormat="false" ht="15" hidden="false" customHeight="false" outlineLevel="0" collapsed="false">
      <c r="A272" s="0" t="s">
        <v>115</v>
      </c>
      <c r="B272" s="0" t="n">
        <v>2013</v>
      </c>
      <c r="C272" s="0" t="s">
        <v>101</v>
      </c>
      <c r="D272" s="0" t="s">
        <v>79</v>
      </c>
      <c r="E272" s="0" t="n">
        <v>0</v>
      </c>
      <c r="F272" s="0" t="s">
        <v>37</v>
      </c>
      <c r="H272" s="0" t="s">
        <v>457</v>
      </c>
      <c r="I272" s="0" t="s">
        <v>457</v>
      </c>
      <c r="J272" s="0" t="s">
        <v>457</v>
      </c>
      <c r="K272" s="0" t="s">
        <v>457</v>
      </c>
      <c r="L272" s="0" t="s">
        <v>457</v>
      </c>
      <c r="M272" s="0" t="s">
        <v>457</v>
      </c>
      <c r="R272" s="0" t="s">
        <v>81</v>
      </c>
    </row>
    <row r="273" customFormat="false" ht="15" hidden="false" customHeight="false" outlineLevel="0" collapsed="false">
      <c r="A273" s="0" t="s">
        <v>115</v>
      </c>
      <c r="B273" s="0" t="n">
        <v>2013</v>
      </c>
      <c r="C273" s="0" t="s">
        <v>101</v>
      </c>
      <c r="D273" s="0" t="s">
        <v>79</v>
      </c>
      <c r="E273" s="0" t="n">
        <v>0</v>
      </c>
      <c r="F273" s="0" t="s">
        <v>23</v>
      </c>
      <c r="H273" s="0" t="s">
        <v>457</v>
      </c>
      <c r="I273" s="0" t="s">
        <v>457</v>
      </c>
      <c r="J273" s="0" t="s">
        <v>457</v>
      </c>
      <c r="K273" s="0" t="s">
        <v>457</v>
      </c>
      <c r="L273" s="0" t="s">
        <v>457</v>
      </c>
      <c r="M273" s="0" t="s">
        <v>457</v>
      </c>
      <c r="R273" s="0" t="s">
        <v>81</v>
      </c>
    </row>
    <row r="274" customFormat="false" ht="15" hidden="false" customHeight="false" outlineLevel="0" collapsed="false">
      <c r="A274" s="0" t="s">
        <v>115</v>
      </c>
      <c r="B274" s="0" t="n">
        <v>2013</v>
      </c>
      <c r="C274" s="0" t="s">
        <v>101</v>
      </c>
      <c r="D274" s="0" t="s">
        <v>79</v>
      </c>
      <c r="E274" s="0" t="n">
        <v>0</v>
      </c>
      <c r="F274" s="0" t="s">
        <v>45</v>
      </c>
      <c r="H274" s="0" t="s">
        <v>457</v>
      </c>
      <c r="I274" s="0" t="s">
        <v>457</v>
      </c>
      <c r="J274" s="0" t="s">
        <v>457</v>
      </c>
      <c r="K274" s="0" t="s">
        <v>457</v>
      </c>
      <c r="L274" s="0" t="s">
        <v>457</v>
      </c>
      <c r="M274" s="0" t="s">
        <v>457</v>
      </c>
      <c r="R274" s="0" t="s">
        <v>81</v>
      </c>
    </row>
    <row r="275" customFormat="false" ht="15" hidden="false" customHeight="false" outlineLevel="0" collapsed="false">
      <c r="A275" s="0" t="s">
        <v>115</v>
      </c>
      <c r="B275" s="0" t="n">
        <v>2013</v>
      </c>
      <c r="C275" s="0" t="s">
        <v>101</v>
      </c>
      <c r="D275" s="0" t="s">
        <v>79</v>
      </c>
      <c r="E275" s="0" t="n">
        <v>0</v>
      </c>
      <c r="F275" s="0" t="s">
        <v>71</v>
      </c>
      <c r="H275" s="0" t="s">
        <v>457</v>
      </c>
      <c r="I275" s="0" t="s">
        <v>457</v>
      </c>
      <c r="J275" s="0" t="s">
        <v>457</v>
      </c>
      <c r="K275" s="0" t="s">
        <v>457</v>
      </c>
      <c r="L275" s="0" t="s">
        <v>457</v>
      </c>
      <c r="M275" s="0" t="s">
        <v>457</v>
      </c>
      <c r="R275" s="0" t="s">
        <v>81</v>
      </c>
    </row>
    <row r="276" customFormat="false" ht="15" hidden="false" customHeight="false" outlineLevel="0" collapsed="false">
      <c r="A276" s="0" t="s">
        <v>115</v>
      </c>
      <c r="B276" s="0" t="n">
        <v>2013</v>
      </c>
      <c r="C276" s="0" t="s">
        <v>101</v>
      </c>
      <c r="D276" s="0" t="s">
        <v>79</v>
      </c>
      <c r="E276" s="0" t="n">
        <v>0</v>
      </c>
      <c r="F276" s="0" t="s">
        <v>31</v>
      </c>
      <c r="G276" s="0" t="n">
        <v>84.8823131711766</v>
      </c>
      <c r="H276" s="0" t="s">
        <v>437</v>
      </c>
      <c r="I276" s="0" t="s">
        <v>437</v>
      </c>
      <c r="J276" s="0" t="s">
        <v>437</v>
      </c>
      <c r="K276" s="0" t="s">
        <v>457</v>
      </c>
      <c r="L276" s="0" t="s">
        <v>437</v>
      </c>
      <c r="M276" s="0" t="s">
        <v>457</v>
      </c>
      <c r="R276" s="0" t="s">
        <v>81</v>
      </c>
    </row>
    <row r="277" customFormat="false" ht="15" hidden="false" customHeight="false" outlineLevel="0" collapsed="false">
      <c r="A277" s="0" t="s">
        <v>115</v>
      </c>
      <c r="B277" s="0" t="n">
        <v>2014</v>
      </c>
      <c r="C277" s="0" t="s">
        <v>101</v>
      </c>
      <c r="D277" s="0" t="s">
        <v>79</v>
      </c>
      <c r="E277" s="0" t="n">
        <v>0</v>
      </c>
      <c r="F277" s="0" t="s">
        <v>73</v>
      </c>
      <c r="G277" s="0" t="n">
        <v>0</v>
      </c>
      <c r="H277" s="0" t="s">
        <v>437</v>
      </c>
      <c r="I277" s="0" t="s">
        <v>437</v>
      </c>
      <c r="J277" s="0" t="s">
        <v>437</v>
      </c>
      <c r="K277" s="0" t="s">
        <v>457</v>
      </c>
      <c r="L277" s="0" t="s">
        <v>437</v>
      </c>
      <c r="M277" s="0" t="s">
        <v>457</v>
      </c>
      <c r="R277" s="0" t="s">
        <v>105</v>
      </c>
    </row>
    <row r="278" customFormat="false" ht="15" hidden="false" customHeight="false" outlineLevel="0" collapsed="false">
      <c r="A278" s="0" t="s">
        <v>115</v>
      </c>
      <c r="B278" s="0" t="n">
        <v>2014</v>
      </c>
      <c r="C278" s="0" t="s">
        <v>101</v>
      </c>
      <c r="D278" s="0" t="s">
        <v>79</v>
      </c>
      <c r="E278" s="0" t="n">
        <v>0</v>
      </c>
      <c r="F278" s="0" t="s">
        <v>69</v>
      </c>
      <c r="G278" s="0" t="n">
        <v>24.21</v>
      </c>
      <c r="H278" s="0" t="s">
        <v>437</v>
      </c>
      <c r="I278" s="0" t="s">
        <v>437</v>
      </c>
      <c r="J278" s="0" t="s">
        <v>437</v>
      </c>
      <c r="K278" s="0" t="s">
        <v>437</v>
      </c>
      <c r="L278" s="0" t="s">
        <v>437</v>
      </c>
      <c r="M278" s="0" t="s">
        <v>457</v>
      </c>
      <c r="R278" s="0" t="s">
        <v>105</v>
      </c>
    </row>
    <row r="279" customFormat="false" ht="15" hidden="false" customHeight="false" outlineLevel="0" collapsed="false">
      <c r="A279" s="0" t="s">
        <v>115</v>
      </c>
      <c r="B279" s="0" t="n">
        <v>2014</v>
      </c>
      <c r="C279" s="0" t="s">
        <v>101</v>
      </c>
      <c r="D279" s="0" t="s">
        <v>79</v>
      </c>
      <c r="E279" s="0" t="n">
        <v>0</v>
      </c>
      <c r="F279" s="0" t="s">
        <v>25</v>
      </c>
      <c r="G279" s="0" t="n">
        <v>24.2093077890319</v>
      </c>
      <c r="H279" s="0" t="s">
        <v>437</v>
      </c>
      <c r="I279" s="0" t="s">
        <v>437</v>
      </c>
      <c r="J279" s="0" t="s">
        <v>437</v>
      </c>
      <c r="K279" s="0" t="s">
        <v>457</v>
      </c>
      <c r="L279" s="0" t="s">
        <v>437</v>
      </c>
      <c r="M279" s="0" t="s">
        <v>457</v>
      </c>
      <c r="R279" s="0" t="s">
        <v>105</v>
      </c>
    </row>
    <row r="280" customFormat="false" ht="15" hidden="false" customHeight="false" outlineLevel="0" collapsed="false">
      <c r="A280" s="0" t="s">
        <v>115</v>
      </c>
      <c r="B280" s="0" t="n">
        <v>2014</v>
      </c>
      <c r="C280" s="0" t="s">
        <v>101</v>
      </c>
      <c r="D280" s="0" t="s">
        <v>79</v>
      </c>
      <c r="E280" s="0" t="n">
        <v>0</v>
      </c>
      <c r="F280" s="0" t="s">
        <v>41</v>
      </c>
      <c r="G280" s="0" t="n">
        <v>1.21644868581042</v>
      </c>
      <c r="H280" s="0" t="s">
        <v>437</v>
      </c>
      <c r="I280" s="0" t="s">
        <v>437</v>
      </c>
      <c r="J280" s="0" t="s">
        <v>437</v>
      </c>
      <c r="K280" s="0" t="s">
        <v>437</v>
      </c>
      <c r="L280" s="0" t="s">
        <v>437</v>
      </c>
      <c r="M280" s="0" t="s">
        <v>457</v>
      </c>
      <c r="R280" s="0" t="s">
        <v>105</v>
      </c>
    </row>
    <row r="281" customFormat="false" ht="15" hidden="false" customHeight="false" outlineLevel="0" collapsed="false">
      <c r="A281" s="0" t="s">
        <v>115</v>
      </c>
      <c r="B281" s="0" t="n">
        <v>2014</v>
      </c>
      <c r="C281" s="0" t="s">
        <v>101</v>
      </c>
      <c r="D281" s="0" t="s">
        <v>79</v>
      </c>
      <c r="E281" s="0" t="n">
        <v>0</v>
      </c>
      <c r="F281" s="0" t="s">
        <v>27</v>
      </c>
      <c r="G281" s="0" t="n">
        <v>14.5836018617974</v>
      </c>
      <c r="H281" s="0" t="s">
        <v>437</v>
      </c>
      <c r="I281" s="0" t="s">
        <v>437</v>
      </c>
      <c r="J281" s="0" t="s">
        <v>437</v>
      </c>
      <c r="K281" s="0" t="s">
        <v>437</v>
      </c>
      <c r="L281" s="0" t="s">
        <v>437</v>
      </c>
      <c r="M281" s="0" t="s">
        <v>457</v>
      </c>
      <c r="R281" s="0" t="s">
        <v>105</v>
      </c>
    </row>
    <row r="282" customFormat="false" ht="15" hidden="false" customHeight="false" outlineLevel="0" collapsed="false">
      <c r="A282" s="0" t="s">
        <v>115</v>
      </c>
      <c r="B282" s="0" t="n">
        <v>2014</v>
      </c>
      <c r="C282" s="0" t="s">
        <v>101</v>
      </c>
      <c r="D282" s="0" t="s">
        <v>79</v>
      </c>
      <c r="E282" s="0" t="n">
        <v>0</v>
      </c>
      <c r="F282" s="0" t="s">
        <v>39</v>
      </c>
      <c r="G282" s="0" t="n">
        <v>4.72304101590571</v>
      </c>
      <c r="H282" s="0" t="s">
        <v>437</v>
      </c>
      <c r="I282" s="0" t="s">
        <v>437</v>
      </c>
      <c r="J282" s="0" t="s">
        <v>437</v>
      </c>
      <c r="K282" s="0" t="s">
        <v>437</v>
      </c>
      <c r="L282" s="0" t="s">
        <v>437</v>
      </c>
      <c r="M282" s="0" t="s">
        <v>457</v>
      </c>
      <c r="R282" s="0" t="s">
        <v>105</v>
      </c>
    </row>
    <row r="283" customFormat="false" ht="15" hidden="false" customHeight="false" outlineLevel="0" collapsed="false">
      <c r="A283" s="0" t="s">
        <v>115</v>
      </c>
      <c r="B283" s="0" t="n">
        <v>2014</v>
      </c>
      <c r="C283" s="0" t="s">
        <v>101</v>
      </c>
      <c r="D283" s="0" t="s">
        <v>79</v>
      </c>
      <c r="E283" s="0" t="n">
        <v>0</v>
      </c>
      <c r="F283" s="0" t="s">
        <v>17</v>
      </c>
      <c r="G283" s="0" t="n">
        <v>3.12105977604773</v>
      </c>
      <c r="H283" s="0" t="s">
        <v>437</v>
      </c>
      <c r="I283" s="0" t="s">
        <v>437</v>
      </c>
      <c r="J283" s="0" t="s">
        <v>437</v>
      </c>
      <c r="K283" s="0" t="s">
        <v>437</v>
      </c>
      <c r="L283" s="0" t="s">
        <v>437</v>
      </c>
      <c r="M283" s="0" t="s">
        <v>457</v>
      </c>
      <c r="R283" s="0" t="s">
        <v>105</v>
      </c>
    </row>
    <row r="284" customFormat="false" ht="15" hidden="false" customHeight="false" outlineLevel="0" collapsed="false">
      <c r="A284" s="0" t="s">
        <v>115</v>
      </c>
      <c r="B284" s="0" t="n">
        <v>2014</v>
      </c>
      <c r="C284" s="0" t="s">
        <v>101</v>
      </c>
      <c r="D284" s="0" t="s">
        <v>79</v>
      </c>
      <c r="E284" s="0" t="n">
        <v>0</v>
      </c>
      <c r="F284" s="0" t="s">
        <v>29</v>
      </c>
      <c r="G284" s="0" t="n">
        <v>0.379677300746569</v>
      </c>
      <c r="H284" s="0" t="s">
        <v>437</v>
      </c>
      <c r="I284" s="0" t="s">
        <v>437</v>
      </c>
      <c r="J284" s="0" t="s">
        <v>437</v>
      </c>
      <c r="K284" s="0" t="s">
        <v>437</v>
      </c>
      <c r="L284" s="0" t="s">
        <v>437</v>
      </c>
      <c r="M284" s="0" t="s">
        <v>457</v>
      </c>
      <c r="R284" s="0" t="s">
        <v>105</v>
      </c>
    </row>
    <row r="285" customFormat="false" ht="15" hidden="false" customHeight="false" outlineLevel="0" collapsed="false">
      <c r="A285" s="0" t="s">
        <v>115</v>
      </c>
      <c r="B285" s="0" t="n">
        <v>2014</v>
      </c>
      <c r="C285" s="0" t="s">
        <v>101</v>
      </c>
      <c r="D285" s="0" t="s">
        <v>79</v>
      </c>
      <c r="E285" s="0" t="n">
        <v>0</v>
      </c>
      <c r="F285" s="0" t="s">
        <v>37</v>
      </c>
      <c r="H285" s="0" t="s">
        <v>457</v>
      </c>
      <c r="I285" s="0" t="s">
        <v>457</v>
      </c>
      <c r="J285" s="0" t="s">
        <v>457</v>
      </c>
      <c r="K285" s="0" t="s">
        <v>457</v>
      </c>
      <c r="L285" s="0" t="s">
        <v>457</v>
      </c>
      <c r="M285" s="0" t="s">
        <v>457</v>
      </c>
      <c r="R285" s="0" t="s">
        <v>105</v>
      </c>
    </row>
    <row r="286" customFormat="false" ht="15" hidden="false" customHeight="false" outlineLevel="0" collapsed="false">
      <c r="A286" s="0" t="s">
        <v>115</v>
      </c>
      <c r="B286" s="0" t="n">
        <v>2014</v>
      </c>
      <c r="C286" s="0" t="s">
        <v>101</v>
      </c>
      <c r="D286" s="0" t="s">
        <v>79</v>
      </c>
      <c r="E286" s="0" t="n">
        <v>0</v>
      </c>
      <c r="F286" s="0" t="s">
        <v>23</v>
      </c>
      <c r="H286" s="0" t="s">
        <v>457</v>
      </c>
      <c r="I286" s="0" t="s">
        <v>457</v>
      </c>
      <c r="J286" s="0" t="s">
        <v>457</v>
      </c>
      <c r="K286" s="0" t="s">
        <v>457</v>
      </c>
      <c r="L286" s="0" t="s">
        <v>457</v>
      </c>
      <c r="M286" s="0" t="s">
        <v>457</v>
      </c>
      <c r="R286" s="0" t="s">
        <v>105</v>
      </c>
    </row>
    <row r="287" customFormat="false" ht="15" hidden="false" customHeight="false" outlineLevel="0" collapsed="false">
      <c r="A287" s="0" t="s">
        <v>115</v>
      </c>
      <c r="B287" s="0" t="n">
        <v>2014</v>
      </c>
      <c r="C287" s="0" t="s">
        <v>101</v>
      </c>
      <c r="D287" s="0" t="s">
        <v>79</v>
      </c>
      <c r="E287" s="0" t="n">
        <v>0</v>
      </c>
      <c r="F287" s="0" t="s">
        <v>45</v>
      </c>
      <c r="H287" s="0" t="s">
        <v>457</v>
      </c>
      <c r="I287" s="0" t="s">
        <v>457</v>
      </c>
      <c r="J287" s="0" t="s">
        <v>457</v>
      </c>
      <c r="K287" s="0" t="s">
        <v>457</v>
      </c>
      <c r="L287" s="0" t="s">
        <v>457</v>
      </c>
      <c r="M287" s="0" t="s">
        <v>457</v>
      </c>
      <c r="R287" s="0" t="s">
        <v>105</v>
      </c>
    </row>
    <row r="288" customFormat="false" ht="15" hidden="false" customHeight="false" outlineLevel="0" collapsed="false">
      <c r="A288" s="0" t="s">
        <v>115</v>
      </c>
      <c r="B288" s="0" t="n">
        <v>2014</v>
      </c>
      <c r="C288" s="0" t="s">
        <v>101</v>
      </c>
      <c r="D288" s="0" t="s">
        <v>79</v>
      </c>
      <c r="E288" s="0" t="n">
        <v>0</v>
      </c>
      <c r="F288" s="0" t="s">
        <v>71</v>
      </c>
      <c r="H288" s="0" t="s">
        <v>457</v>
      </c>
      <c r="I288" s="0" t="s">
        <v>457</v>
      </c>
      <c r="J288" s="0" t="s">
        <v>457</v>
      </c>
      <c r="K288" s="0" t="s">
        <v>457</v>
      </c>
      <c r="L288" s="0" t="s">
        <v>457</v>
      </c>
      <c r="M288" s="0" t="s">
        <v>457</v>
      </c>
      <c r="R288" s="0" t="s">
        <v>105</v>
      </c>
    </row>
    <row r="289" customFormat="false" ht="15" hidden="false" customHeight="false" outlineLevel="0" collapsed="false">
      <c r="A289" s="0" t="s">
        <v>115</v>
      </c>
      <c r="B289" s="0" t="n">
        <v>2014</v>
      </c>
      <c r="C289" s="0" t="s">
        <v>101</v>
      </c>
      <c r="D289" s="0" t="s">
        <v>79</v>
      </c>
      <c r="E289" s="0" t="n">
        <v>0</v>
      </c>
      <c r="F289" s="0" t="s">
        <v>31</v>
      </c>
      <c r="G289" s="0" t="n">
        <v>85.4163981382027</v>
      </c>
      <c r="H289" s="0" t="s">
        <v>437</v>
      </c>
      <c r="I289" s="0" t="s">
        <v>437</v>
      </c>
      <c r="J289" s="0" t="s">
        <v>437</v>
      </c>
      <c r="K289" s="0" t="s">
        <v>437</v>
      </c>
      <c r="L289" s="0" t="s">
        <v>437</v>
      </c>
      <c r="M289" s="0" t="s">
        <v>457</v>
      </c>
      <c r="R289" s="0" t="s">
        <v>105</v>
      </c>
    </row>
    <row r="290" customFormat="false" ht="15" hidden="false" customHeight="false" outlineLevel="0" collapsed="false">
      <c r="A290" s="0" t="s">
        <v>115</v>
      </c>
      <c r="B290" s="0" t="n">
        <v>2015</v>
      </c>
      <c r="C290" s="0" t="s">
        <v>101</v>
      </c>
      <c r="D290" s="0" t="s">
        <v>79</v>
      </c>
      <c r="E290" s="0" t="n">
        <v>0</v>
      </c>
      <c r="F290" s="0" t="s">
        <v>73</v>
      </c>
      <c r="G290" s="0" t="n">
        <v>0</v>
      </c>
      <c r="H290" s="0" t="s">
        <v>437</v>
      </c>
      <c r="I290" s="0" t="s">
        <v>437</v>
      </c>
      <c r="J290" s="0" t="s">
        <v>437</v>
      </c>
      <c r="K290" s="0" t="s">
        <v>437</v>
      </c>
      <c r="L290" s="0" t="s">
        <v>437</v>
      </c>
      <c r="M290" s="0" t="s">
        <v>457</v>
      </c>
      <c r="R290" s="0" t="s">
        <v>84</v>
      </c>
    </row>
    <row r="291" customFormat="false" ht="15" hidden="false" customHeight="false" outlineLevel="0" collapsed="false">
      <c r="A291" s="0" t="s">
        <v>115</v>
      </c>
      <c r="B291" s="0" t="n">
        <v>2015</v>
      </c>
      <c r="C291" s="0" t="s">
        <v>101</v>
      </c>
      <c r="D291" s="0" t="s">
        <v>79</v>
      </c>
      <c r="E291" s="0" t="n">
        <v>0</v>
      </c>
      <c r="F291" s="0" t="s">
        <v>69</v>
      </c>
      <c r="G291" s="0" t="n">
        <v>19</v>
      </c>
      <c r="H291" s="0" t="s">
        <v>437</v>
      </c>
      <c r="I291" s="0" t="s">
        <v>437</v>
      </c>
      <c r="J291" s="0" t="s">
        <v>437</v>
      </c>
      <c r="K291" s="0" t="s">
        <v>437</v>
      </c>
      <c r="L291" s="0" t="s">
        <v>437</v>
      </c>
      <c r="M291" s="0" t="s">
        <v>457</v>
      </c>
      <c r="R291" s="0" t="s">
        <v>84</v>
      </c>
    </row>
    <row r="292" customFormat="false" ht="15" hidden="false" customHeight="false" outlineLevel="0" collapsed="false">
      <c r="A292" s="0" t="s">
        <v>115</v>
      </c>
      <c r="B292" s="0" t="n">
        <v>2015</v>
      </c>
      <c r="C292" s="0" t="s">
        <v>101</v>
      </c>
      <c r="D292" s="0" t="s">
        <v>79</v>
      </c>
      <c r="E292" s="0" t="n">
        <v>0</v>
      </c>
      <c r="F292" s="0" t="s">
        <v>25</v>
      </c>
      <c r="G292" s="0" t="n">
        <v>18.9311524392774</v>
      </c>
      <c r="H292" s="0" t="s">
        <v>437</v>
      </c>
      <c r="I292" s="0" t="s">
        <v>437</v>
      </c>
      <c r="J292" s="0" t="s">
        <v>437</v>
      </c>
      <c r="K292" s="0" t="s">
        <v>437</v>
      </c>
      <c r="L292" s="0" t="s">
        <v>437</v>
      </c>
      <c r="M292" s="0" t="s">
        <v>457</v>
      </c>
      <c r="R292" s="0" t="s">
        <v>84</v>
      </c>
    </row>
    <row r="293" customFormat="false" ht="15" hidden="false" customHeight="false" outlineLevel="0" collapsed="false">
      <c r="A293" s="0" t="s">
        <v>115</v>
      </c>
      <c r="B293" s="0" t="n">
        <v>2015</v>
      </c>
      <c r="C293" s="0" t="s">
        <v>101</v>
      </c>
      <c r="D293" s="0" t="s">
        <v>79</v>
      </c>
      <c r="E293" s="0" t="n">
        <v>0</v>
      </c>
      <c r="F293" s="0" t="s">
        <v>41</v>
      </c>
      <c r="G293" s="0" t="n">
        <v>1.14968618048932</v>
      </c>
      <c r="H293" s="0" t="s">
        <v>437</v>
      </c>
      <c r="I293" s="0" t="s">
        <v>437</v>
      </c>
      <c r="J293" s="0" t="s">
        <v>437</v>
      </c>
      <c r="K293" s="0" t="s">
        <v>437</v>
      </c>
      <c r="L293" s="0" t="s">
        <v>437</v>
      </c>
      <c r="M293" s="0" t="s">
        <v>457</v>
      </c>
      <c r="R293" s="0" t="s">
        <v>84</v>
      </c>
    </row>
    <row r="294" customFormat="false" ht="15" hidden="false" customHeight="false" outlineLevel="0" collapsed="false">
      <c r="A294" s="0" t="s">
        <v>115</v>
      </c>
      <c r="B294" s="0" t="n">
        <v>2015</v>
      </c>
      <c r="C294" s="0" t="s">
        <v>101</v>
      </c>
      <c r="D294" s="0" t="s">
        <v>79</v>
      </c>
      <c r="E294" s="0" t="n">
        <v>0</v>
      </c>
      <c r="F294" s="0" t="s">
        <v>27</v>
      </c>
      <c r="G294" s="0" t="n">
        <v>14.8991412023168</v>
      </c>
      <c r="H294" s="0" t="s">
        <v>437</v>
      </c>
      <c r="I294" s="0" t="s">
        <v>437</v>
      </c>
      <c r="J294" s="0" t="s">
        <v>437</v>
      </c>
      <c r="K294" s="0" t="s">
        <v>437</v>
      </c>
      <c r="L294" s="0" t="s">
        <v>437</v>
      </c>
      <c r="M294" s="0" t="s">
        <v>457</v>
      </c>
      <c r="R294" s="0" t="s">
        <v>84</v>
      </c>
    </row>
    <row r="295" customFormat="false" ht="15" hidden="false" customHeight="false" outlineLevel="0" collapsed="false">
      <c r="A295" s="0" t="s">
        <v>115</v>
      </c>
      <c r="B295" s="0" t="n">
        <v>2015</v>
      </c>
      <c r="C295" s="0" t="s">
        <v>101</v>
      </c>
      <c r="D295" s="0" t="s">
        <v>79</v>
      </c>
      <c r="E295" s="0" t="n">
        <v>0</v>
      </c>
      <c r="F295" s="0" t="s">
        <v>39</v>
      </c>
      <c r="G295" s="0" t="n">
        <v>8.85847093557119</v>
      </c>
      <c r="H295" s="0" t="s">
        <v>437</v>
      </c>
      <c r="I295" s="0" t="s">
        <v>437</v>
      </c>
      <c r="J295" s="0" t="s">
        <v>437</v>
      </c>
      <c r="K295" s="0" t="s">
        <v>437</v>
      </c>
      <c r="L295" s="0" t="s">
        <v>437</v>
      </c>
      <c r="M295" s="0" t="s">
        <v>457</v>
      </c>
      <c r="R295" s="0" t="s">
        <v>84</v>
      </c>
    </row>
    <row r="296" customFormat="false" ht="15" hidden="false" customHeight="false" outlineLevel="0" collapsed="false">
      <c r="A296" s="0" t="s">
        <v>115</v>
      </c>
      <c r="B296" s="0" t="n">
        <v>2015</v>
      </c>
      <c r="C296" s="0" t="s">
        <v>101</v>
      </c>
      <c r="D296" s="0" t="s">
        <v>79</v>
      </c>
      <c r="E296" s="0" t="n">
        <v>0</v>
      </c>
      <c r="F296" s="0" t="s">
        <v>17</v>
      </c>
      <c r="G296" s="0" t="n">
        <v>3.46857480575247</v>
      </c>
      <c r="H296" s="0" t="s">
        <v>437</v>
      </c>
      <c r="I296" s="0" t="s">
        <v>437</v>
      </c>
      <c r="J296" s="0" t="s">
        <v>437</v>
      </c>
      <c r="K296" s="0" t="s">
        <v>437</v>
      </c>
      <c r="L296" s="0" t="s">
        <v>437</v>
      </c>
      <c r="M296" s="0" t="s">
        <v>457</v>
      </c>
      <c r="R296" s="0" t="s">
        <v>84</v>
      </c>
    </row>
    <row r="297" customFormat="false" ht="15" hidden="false" customHeight="false" outlineLevel="0" collapsed="false">
      <c r="A297" s="0" t="s">
        <v>115</v>
      </c>
      <c r="B297" s="0" t="n">
        <v>2015</v>
      </c>
      <c r="C297" s="0" t="s">
        <v>101</v>
      </c>
      <c r="D297" s="0" t="s">
        <v>79</v>
      </c>
      <c r="E297" s="0" t="n">
        <v>0</v>
      </c>
      <c r="F297" s="0" t="s">
        <v>29</v>
      </c>
      <c r="G297" s="0" t="n">
        <v>0.476610410266142</v>
      </c>
      <c r="H297" s="0" t="s">
        <v>437</v>
      </c>
      <c r="I297" s="0" t="s">
        <v>437</v>
      </c>
      <c r="J297" s="0" t="s">
        <v>437</v>
      </c>
      <c r="K297" s="0" t="s">
        <v>437</v>
      </c>
      <c r="L297" s="0" t="s">
        <v>437</v>
      </c>
      <c r="M297" s="0" t="s">
        <v>457</v>
      </c>
      <c r="R297" s="0" t="s">
        <v>84</v>
      </c>
    </row>
    <row r="298" customFormat="false" ht="15" hidden="false" customHeight="false" outlineLevel="0" collapsed="false">
      <c r="A298" s="0" t="s">
        <v>115</v>
      </c>
      <c r="B298" s="0" t="n">
        <v>2015</v>
      </c>
      <c r="C298" s="0" t="s">
        <v>101</v>
      </c>
      <c r="D298" s="0" t="s">
        <v>79</v>
      </c>
      <c r="E298" s="0" t="n">
        <v>0</v>
      </c>
      <c r="F298" s="0" t="s">
        <v>37</v>
      </c>
      <c r="H298" s="0" t="s">
        <v>457</v>
      </c>
      <c r="I298" s="0" t="s">
        <v>457</v>
      </c>
      <c r="J298" s="0" t="s">
        <v>457</v>
      </c>
      <c r="K298" s="0" t="s">
        <v>457</v>
      </c>
      <c r="L298" s="0" t="s">
        <v>457</v>
      </c>
      <c r="M298" s="0" t="s">
        <v>457</v>
      </c>
      <c r="R298" s="0" t="s">
        <v>84</v>
      </c>
    </row>
    <row r="299" customFormat="false" ht="15" hidden="false" customHeight="false" outlineLevel="0" collapsed="false">
      <c r="A299" s="0" t="s">
        <v>115</v>
      </c>
      <c r="B299" s="0" t="n">
        <v>2015</v>
      </c>
      <c r="C299" s="0" t="s">
        <v>101</v>
      </c>
      <c r="D299" s="0" t="s">
        <v>79</v>
      </c>
      <c r="E299" s="0" t="n">
        <v>0</v>
      </c>
      <c r="F299" s="0" t="s">
        <v>23</v>
      </c>
      <c r="H299" s="0" t="s">
        <v>457</v>
      </c>
      <c r="I299" s="0" t="s">
        <v>457</v>
      </c>
      <c r="J299" s="0" t="s">
        <v>457</v>
      </c>
      <c r="K299" s="0" t="s">
        <v>457</v>
      </c>
      <c r="L299" s="0" t="s">
        <v>457</v>
      </c>
      <c r="M299" s="0" t="s">
        <v>457</v>
      </c>
      <c r="R299" s="0" t="s">
        <v>84</v>
      </c>
    </row>
    <row r="300" customFormat="false" ht="15" hidden="false" customHeight="false" outlineLevel="0" collapsed="false">
      <c r="A300" s="0" t="s">
        <v>115</v>
      </c>
      <c r="B300" s="0" t="n">
        <v>2015</v>
      </c>
      <c r="C300" s="0" t="s">
        <v>101</v>
      </c>
      <c r="D300" s="0" t="s">
        <v>79</v>
      </c>
      <c r="E300" s="0" t="n">
        <v>0</v>
      </c>
      <c r="F300" s="0" t="s">
        <v>45</v>
      </c>
      <c r="H300" s="0" t="s">
        <v>457</v>
      </c>
      <c r="I300" s="0" t="s">
        <v>457</v>
      </c>
      <c r="J300" s="0" t="s">
        <v>457</v>
      </c>
      <c r="K300" s="0" t="s">
        <v>457</v>
      </c>
      <c r="L300" s="0" t="s">
        <v>457</v>
      </c>
      <c r="M300" s="0" t="s">
        <v>457</v>
      </c>
      <c r="R300" s="0" t="s">
        <v>84</v>
      </c>
    </row>
    <row r="301" customFormat="false" ht="15" hidden="false" customHeight="false" outlineLevel="0" collapsed="false">
      <c r="A301" s="0" t="s">
        <v>115</v>
      </c>
      <c r="B301" s="0" t="n">
        <v>2015</v>
      </c>
      <c r="C301" s="0" t="s">
        <v>101</v>
      </c>
      <c r="D301" s="0" t="s">
        <v>79</v>
      </c>
      <c r="E301" s="0" t="n">
        <v>0</v>
      </c>
      <c r="F301" s="0" t="s">
        <v>71</v>
      </c>
      <c r="H301" s="0" t="s">
        <v>457</v>
      </c>
      <c r="I301" s="0" t="s">
        <v>457</v>
      </c>
      <c r="J301" s="0" t="s">
        <v>457</v>
      </c>
      <c r="K301" s="0" t="s">
        <v>457</v>
      </c>
      <c r="L301" s="0" t="s">
        <v>457</v>
      </c>
      <c r="M301" s="0" t="s">
        <v>457</v>
      </c>
      <c r="R301" s="0" t="s">
        <v>84</v>
      </c>
    </row>
    <row r="302" customFormat="false" ht="15" hidden="false" customHeight="false" outlineLevel="0" collapsed="false">
      <c r="A302" s="0" t="s">
        <v>115</v>
      </c>
      <c r="B302" s="0" t="n">
        <v>2015</v>
      </c>
      <c r="C302" s="0" t="s">
        <v>101</v>
      </c>
      <c r="D302" s="0" t="s">
        <v>79</v>
      </c>
      <c r="E302" s="0" t="n">
        <v>0</v>
      </c>
      <c r="F302" s="0" t="s">
        <v>31</v>
      </c>
      <c r="G302" s="0" t="n">
        <v>85.1008587976832</v>
      </c>
      <c r="H302" s="0" t="s">
        <v>437</v>
      </c>
      <c r="I302" s="0" t="s">
        <v>437</v>
      </c>
      <c r="J302" s="0" t="s">
        <v>437</v>
      </c>
      <c r="K302" s="0" t="s">
        <v>437</v>
      </c>
      <c r="L302" s="0" t="s">
        <v>437</v>
      </c>
      <c r="M302" s="0" t="s">
        <v>457</v>
      </c>
      <c r="R302" s="0" t="s">
        <v>84</v>
      </c>
    </row>
    <row r="303" customFormat="false" ht="15" hidden="false" customHeight="false" outlineLevel="0" collapsed="false">
      <c r="A303" s="0" t="s">
        <v>115</v>
      </c>
      <c r="B303" s="0" t="n">
        <v>2016</v>
      </c>
      <c r="C303" s="0" t="s">
        <v>101</v>
      </c>
      <c r="D303" s="0" t="s">
        <v>79</v>
      </c>
      <c r="E303" s="0" t="n">
        <v>0</v>
      </c>
      <c r="F303" s="0" t="s">
        <v>73</v>
      </c>
      <c r="G303" s="0" t="n">
        <v>0</v>
      </c>
      <c r="H303" s="0" t="s">
        <v>437</v>
      </c>
      <c r="I303" s="0" t="s">
        <v>437</v>
      </c>
      <c r="J303" s="0" t="s">
        <v>437</v>
      </c>
      <c r="K303" s="0" t="s">
        <v>437</v>
      </c>
      <c r="L303" s="0" t="s">
        <v>437</v>
      </c>
      <c r="M303" s="0" t="s">
        <v>457</v>
      </c>
      <c r="R303" s="0" t="s">
        <v>87</v>
      </c>
    </row>
    <row r="304" customFormat="false" ht="15" hidden="false" customHeight="false" outlineLevel="0" collapsed="false">
      <c r="A304" s="0" t="s">
        <v>115</v>
      </c>
      <c r="B304" s="0" t="n">
        <v>2016</v>
      </c>
      <c r="C304" s="0" t="s">
        <v>101</v>
      </c>
      <c r="D304" s="0" t="s">
        <v>79</v>
      </c>
      <c r="E304" s="0" t="n">
        <v>0</v>
      </c>
      <c r="F304" s="0" t="s">
        <v>69</v>
      </c>
      <c r="G304" s="0" t="n">
        <v>17.22</v>
      </c>
      <c r="H304" s="0" t="s">
        <v>437</v>
      </c>
      <c r="I304" s="0" t="s">
        <v>437</v>
      </c>
      <c r="J304" s="0" t="s">
        <v>437</v>
      </c>
      <c r="K304" s="0" t="s">
        <v>437</v>
      </c>
      <c r="L304" s="0" t="s">
        <v>457</v>
      </c>
      <c r="M304" s="0" t="s">
        <v>457</v>
      </c>
      <c r="N304" s="0" t="s">
        <v>2572</v>
      </c>
      <c r="O304" s="0" t="s">
        <v>2573</v>
      </c>
      <c r="P304" s="0" t="s">
        <v>2574</v>
      </c>
      <c r="R304" s="0" t="s">
        <v>87</v>
      </c>
    </row>
    <row r="305" customFormat="false" ht="15" hidden="false" customHeight="false" outlineLevel="0" collapsed="false">
      <c r="A305" s="0" t="s">
        <v>115</v>
      </c>
      <c r="B305" s="0" t="n">
        <v>2016</v>
      </c>
      <c r="C305" s="0" t="s">
        <v>101</v>
      </c>
      <c r="D305" s="0" t="s">
        <v>79</v>
      </c>
      <c r="E305" s="0" t="n">
        <v>0</v>
      </c>
      <c r="F305" s="0" t="s">
        <v>25</v>
      </c>
      <c r="G305" s="0" t="n">
        <v>17.2995050331296</v>
      </c>
      <c r="H305" s="0" t="s">
        <v>437</v>
      </c>
      <c r="I305" s="0" t="s">
        <v>437</v>
      </c>
      <c r="J305" s="0" t="s">
        <v>437</v>
      </c>
      <c r="K305" s="0" t="s">
        <v>437</v>
      </c>
      <c r="L305" s="0" t="s">
        <v>457</v>
      </c>
      <c r="M305" s="0" t="s">
        <v>457</v>
      </c>
      <c r="N305" s="0" t="s">
        <v>2572</v>
      </c>
      <c r="O305" s="0" t="s">
        <v>2575</v>
      </c>
      <c r="P305" s="0" t="s">
        <v>2576</v>
      </c>
      <c r="R305" s="0" t="s">
        <v>87</v>
      </c>
    </row>
    <row r="306" customFormat="false" ht="15" hidden="false" customHeight="false" outlineLevel="0" collapsed="false">
      <c r="A306" s="0" t="s">
        <v>115</v>
      </c>
      <c r="B306" s="0" t="n">
        <v>2016</v>
      </c>
      <c r="C306" s="0" t="s">
        <v>101</v>
      </c>
      <c r="D306" s="0" t="s">
        <v>79</v>
      </c>
      <c r="E306" s="0" t="n">
        <v>0</v>
      </c>
      <c r="F306" s="0" t="s">
        <v>41</v>
      </c>
      <c r="G306" s="0" t="n">
        <v>0.76952783609231</v>
      </c>
      <c r="H306" s="0" t="s">
        <v>437</v>
      </c>
      <c r="I306" s="0" t="s">
        <v>437</v>
      </c>
      <c r="J306" s="0" t="s">
        <v>437</v>
      </c>
      <c r="K306" s="0" t="s">
        <v>437</v>
      </c>
      <c r="L306" s="0" t="s">
        <v>437</v>
      </c>
      <c r="M306" s="0" t="s">
        <v>457</v>
      </c>
      <c r="R306" s="0" t="s">
        <v>87</v>
      </c>
    </row>
    <row r="307" customFormat="false" ht="15" hidden="false" customHeight="false" outlineLevel="0" collapsed="false">
      <c r="A307" s="0" t="s">
        <v>115</v>
      </c>
      <c r="B307" s="0" t="n">
        <v>2016</v>
      </c>
      <c r="C307" s="0" t="s">
        <v>101</v>
      </c>
      <c r="D307" s="0" t="s">
        <v>79</v>
      </c>
      <c r="E307" s="0" t="n">
        <v>0</v>
      </c>
      <c r="F307" s="0" t="s">
        <v>27</v>
      </c>
      <c r="G307" s="0" t="n">
        <v>14.2821157331908</v>
      </c>
      <c r="H307" s="0" t="s">
        <v>437</v>
      </c>
      <c r="I307" s="0" t="s">
        <v>437</v>
      </c>
      <c r="J307" s="0" t="s">
        <v>437</v>
      </c>
      <c r="K307" s="0" t="s">
        <v>437</v>
      </c>
      <c r="L307" s="0" t="s">
        <v>437</v>
      </c>
      <c r="M307" s="0" t="s">
        <v>457</v>
      </c>
      <c r="R307" s="0" t="s">
        <v>87</v>
      </c>
    </row>
    <row r="308" customFormat="false" ht="15" hidden="false" customHeight="false" outlineLevel="0" collapsed="false">
      <c r="A308" s="0" t="s">
        <v>115</v>
      </c>
      <c r="B308" s="0" t="n">
        <v>2016</v>
      </c>
      <c r="C308" s="0" t="s">
        <v>101</v>
      </c>
      <c r="D308" s="0" t="s">
        <v>79</v>
      </c>
      <c r="E308" s="0" t="n">
        <v>0</v>
      </c>
      <c r="F308" s="0" t="s">
        <v>39</v>
      </c>
      <c r="G308" s="0" t="n">
        <v>-4.49882068712812</v>
      </c>
      <c r="H308" s="0" t="s">
        <v>437</v>
      </c>
      <c r="I308" s="0" t="s">
        <v>437</v>
      </c>
      <c r="J308" s="0" t="s">
        <v>437</v>
      </c>
      <c r="K308" s="0" t="s">
        <v>437</v>
      </c>
      <c r="L308" s="0" t="s">
        <v>437</v>
      </c>
      <c r="M308" s="0" t="s">
        <v>457</v>
      </c>
      <c r="R308" s="0" t="s">
        <v>87</v>
      </c>
    </row>
    <row r="309" customFormat="false" ht="15" hidden="false" customHeight="false" outlineLevel="0" collapsed="false">
      <c r="A309" s="0" t="s">
        <v>115</v>
      </c>
      <c r="B309" s="0" t="n">
        <v>2016</v>
      </c>
      <c r="C309" s="0" t="s">
        <v>101</v>
      </c>
      <c r="D309" s="0" t="s">
        <v>79</v>
      </c>
      <c r="E309" s="0" t="n">
        <v>0</v>
      </c>
      <c r="F309" s="0" t="s">
        <v>17</v>
      </c>
      <c r="G309" s="0" t="n">
        <v>3.32638066530305</v>
      </c>
      <c r="H309" s="0" t="s">
        <v>437</v>
      </c>
      <c r="I309" s="0" t="s">
        <v>437</v>
      </c>
      <c r="J309" s="0" t="s">
        <v>437</v>
      </c>
      <c r="K309" s="0" t="s">
        <v>437</v>
      </c>
      <c r="L309" s="0" t="s">
        <v>437</v>
      </c>
      <c r="M309" s="0" t="s">
        <v>457</v>
      </c>
      <c r="R309" s="0" t="s">
        <v>87</v>
      </c>
    </row>
    <row r="310" customFormat="false" ht="15" hidden="false" customHeight="false" outlineLevel="0" collapsed="false">
      <c r="A310" s="0" t="s">
        <v>115</v>
      </c>
      <c r="B310" s="0" t="n">
        <v>2016</v>
      </c>
      <c r="C310" s="0" t="s">
        <v>101</v>
      </c>
      <c r="D310" s="0" t="s">
        <v>79</v>
      </c>
      <c r="E310" s="0" t="n">
        <v>0</v>
      </c>
      <c r="F310" s="0" t="s">
        <v>29</v>
      </c>
      <c r="G310" s="0" t="n">
        <v>0.685491664963676</v>
      </c>
      <c r="H310" s="0" t="s">
        <v>437</v>
      </c>
      <c r="I310" s="0" t="s">
        <v>437</v>
      </c>
      <c r="J310" s="0" t="s">
        <v>437</v>
      </c>
      <c r="K310" s="0" t="s">
        <v>437</v>
      </c>
      <c r="L310" s="0" t="s">
        <v>437</v>
      </c>
      <c r="M310" s="0" t="s">
        <v>457</v>
      </c>
      <c r="R310" s="0" t="s">
        <v>87</v>
      </c>
    </row>
    <row r="311" customFormat="false" ht="15" hidden="false" customHeight="false" outlineLevel="0" collapsed="false">
      <c r="A311" s="0" t="s">
        <v>115</v>
      </c>
      <c r="B311" s="0" t="n">
        <v>2016</v>
      </c>
      <c r="C311" s="0" t="s">
        <v>101</v>
      </c>
      <c r="D311" s="0" t="s">
        <v>79</v>
      </c>
      <c r="E311" s="0" t="n">
        <v>0</v>
      </c>
      <c r="F311" s="0" t="s">
        <v>37</v>
      </c>
      <c r="H311" s="0" t="s">
        <v>457</v>
      </c>
      <c r="I311" s="0" t="s">
        <v>457</v>
      </c>
      <c r="J311" s="0" t="s">
        <v>457</v>
      </c>
      <c r="K311" s="0" t="s">
        <v>457</v>
      </c>
      <c r="L311" s="0" t="s">
        <v>457</v>
      </c>
      <c r="M311" s="0" t="s">
        <v>457</v>
      </c>
      <c r="R311" s="0" t="s">
        <v>87</v>
      </c>
    </row>
    <row r="312" customFormat="false" ht="15" hidden="false" customHeight="false" outlineLevel="0" collapsed="false">
      <c r="A312" s="0" t="s">
        <v>115</v>
      </c>
      <c r="B312" s="0" t="n">
        <v>2016</v>
      </c>
      <c r="C312" s="0" t="s">
        <v>101</v>
      </c>
      <c r="D312" s="0" t="s">
        <v>79</v>
      </c>
      <c r="E312" s="0" t="n">
        <v>0</v>
      </c>
      <c r="F312" s="0" t="s">
        <v>23</v>
      </c>
      <c r="H312" s="0" t="s">
        <v>457</v>
      </c>
      <c r="I312" s="0" t="s">
        <v>457</v>
      </c>
      <c r="J312" s="0" t="s">
        <v>457</v>
      </c>
      <c r="K312" s="0" t="s">
        <v>457</v>
      </c>
      <c r="L312" s="0" t="s">
        <v>457</v>
      </c>
      <c r="M312" s="0" t="s">
        <v>457</v>
      </c>
      <c r="R312" s="0" t="s">
        <v>87</v>
      </c>
    </row>
    <row r="313" customFormat="false" ht="15" hidden="false" customHeight="false" outlineLevel="0" collapsed="false">
      <c r="A313" s="0" t="s">
        <v>115</v>
      </c>
      <c r="B313" s="0" t="n">
        <v>2016</v>
      </c>
      <c r="C313" s="0" t="s">
        <v>101</v>
      </c>
      <c r="D313" s="0" t="s">
        <v>79</v>
      </c>
      <c r="E313" s="0" t="n">
        <v>0</v>
      </c>
      <c r="F313" s="0" t="s">
        <v>45</v>
      </c>
      <c r="H313" s="0" t="s">
        <v>457</v>
      </c>
      <c r="I313" s="0" t="s">
        <v>457</v>
      </c>
      <c r="J313" s="0" t="s">
        <v>457</v>
      </c>
      <c r="K313" s="0" t="s">
        <v>457</v>
      </c>
      <c r="L313" s="0" t="s">
        <v>457</v>
      </c>
      <c r="M313" s="0" t="s">
        <v>457</v>
      </c>
      <c r="R313" s="0" t="s">
        <v>87</v>
      </c>
    </row>
    <row r="314" customFormat="false" ht="15" hidden="false" customHeight="false" outlineLevel="0" collapsed="false">
      <c r="A314" s="0" t="s">
        <v>115</v>
      </c>
      <c r="B314" s="0" t="n">
        <v>2016</v>
      </c>
      <c r="C314" s="0" t="s">
        <v>101</v>
      </c>
      <c r="D314" s="0" t="s">
        <v>79</v>
      </c>
      <c r="E314" s="0" t="n">
        <v>0</v>
      </c>
      <c r="F314" s="0" t="s">
        <v>71</v>
      </c>
      <c r="H314" s="0" t="s">
        <v>457</v>
      </c>
      <c r="I314" s="0" t="s">
        <v>457</v>
      </c>
      <c r="J314" s="0" t="s">
        <v>457</v>
      </c>
      <c r="K314" s="0" t="s">
        <v>457</v>
      </c>
      <c r="L314" s="0" t="s">
        <v>457</v>
      </c>
      <c r="M314" s="0" t="s">
        <v>457</v>
      </c>
      <c r="R314" s="0" t="s">
        <v>87</v>
      </c>
    </row>
    <row r="315" customFormat="false" ht="15" hidden="false" customHeight="false" outlineLevel="0" collapsed="false">
      <c r="A315" s="0" t="s">
        <v>115</v>
      </c>
      <c r="B315" s="0" t="n">
        <v>2016</v>
      </c>
      <c r="C315" s="0" t="s">
        <v>101</v>
      </c>
      <c r="D315" s="0" t="s">
        <v>79</v>
      </c>
      <c r="E315" s="0" t="n">
        <v>0</v>
      </c>
      <c r="F315" s="0" t="s">
        <v>31</v>
      </c>
      <c r="G315" s="0" t="n">
        <v>85.7178842668092</v>
      </c>
      <c r="H315" s="0" t="s">
        <v>437</v>
      </c>
      <c r="I315" s="0" t="s">
        <v>437</v>
      </c>
      <c r="J315" s="0" t="s">
        <v>437</v>
      </c>
      <c r="K315" s="0" t="s">
        <v>437</v>
      </c>
      <c r="L315" s="0" t="s">
        <v>437</v>
      </c>
      <c r="M315" s="0" t="s">
        <v>457</v>
      </c>
      <c r="R315" s="0" t="s">
        <v>87</v>
      </c>
    </row>
    <row r="316" customFormat="false" ht="15" hidden="false" customHeight="false" outlineLevel="0" collapsed="false">
      <c r="A316" s="0" t="s">
        <v>115</v>
      </c>
      <c r="B316" s="0" t="n">
        <v>2017</v>
      </c>
      <c r="C316" s="0" t="s">
        <v>101</v>
      </c>
      <c r="D316" s="0" t="s">
        <v>79</v>
      </c>
      <c r="E316" s="0" t="n">
        <v>0</v>
      </c>
      <c r="F316" s="0" t="s">
        <v>73</v>
      </c>
      <c r="G316" s="0" t="n">
        <v>0</v>
      </c>
      <c r="H316" s="0" t="s">
        <v>437</v>
      </c>
      <c r="I316" s="0" t="s">
        <v>437</v>
      </c>
      <c r="J316" s="0" t="s">
        <v>437</v>
      </c>
      <c r="K316" s="0" t="s">
        <v>437</v>
      </c>
      <c r="L316" s="0" t="s">
        <v>437</v>
      </c>
      <c r="M316" s="0" t="s">
        <v>457</v>
      </c>
      <c r="R316" s="0" t="s">
        <v>89</v>
      </c>
    </row>
    <row r="317" customFormat="false" ht="15" hidden="false" customHeight="false" outlineLevel="0" collapsed="false">
      <c r="A317" s="0" t="s">
        <v>115</v>
      </c>
      <c r="B317" s="0" t="n">
        <v>2017</v>
      </c>
      <c r="C317" s="0" t="s">
        <v>101</v>
      </c>
      <c r="D317" s="0" t="s">
        <v>79</v>
      </c>
      <c r="E317" s="0" t="n">
        <v>0</v>
      </c>
      <c r="F317" s="0" t="s">
        <v>69</v>
      </c>
      <c r="G317" s="0" t="n">
        <v>16.03</v>
      </c>
      <c r="H317" s="0" t="s">
        <v>437</v>
      </c>
      <c r="I317" s="0" t="s">
        <v>437</v>
      </c>
      <c r="J317" s="0" t="s">
        <v>437</v>
      </c>
      <c r="K317" s="0" t="s">
        <v>437</v>
      </c>
      <c r="L317" s="0" t="s">
        <v>437</v>
      </c>
      <c r="M317" s="0" t="s">
        <v>457</v>
      </c>
      <c r="R317" s="0" t="s">
        <v>89</v>
      </c>
    </row>
    <row r="318" customFormat="false" ht="15" hidden="false" customHeight="false" outlineLevel="0" collapsed="false">
      <c r="A318" s="0" t="s">
        <v>115</v>
      </c>
      <c r="B318" s="0" t="n">
        <v>2017</v>
      </c>
      <c r="C318" s="0" t="s">
        <v>101</v>
      </c>
      <c r="D318" s="0" t="s">
        <v>79</v>
      </c>
      <c r="E318" s="0" t="n">
        <v>0</v>
      </c>
      <c r="F318" s="0" t="s">
        <v>25</v>
      </c>
      <c r="G318" s="0" t="n">
        <v>16.0299646223675</v>
      </c>
      <c r="H318" s="0" t="s">
        <v>437</v>
      </c>
      <c r="I318" s="0" t="s">
        <v>437</v>
      </c>
      <c r="J318" s="0" t="s">
        <v>437</v>
      </c>
      <c r="K318" s="0" t="s">
        <v>437</v>
      </c>
      <c r="L318" s="0" t="s">
        <v>437</v>
      </c>
      <c r="M318" s="0" t="s">
        <v>457</v>
      </c>
      <c r="R318" s="0" t="s">
        <v>89</v>
      </c>
    </row>
    <row r="319" customFormat="false" ht="15" hidden="false" customHeight="false" outlineLevel="0" collapsed="false">
      <c r="A319" s="0" t="s">
        <v>115</v>
      </c>
      <c r="B319" s="0" t="n">
        <v>2017</v>
      </c>
      <c r="C319" s="0" t="s">
        <v>101</v>
      </c>
      <c r="D319" s="0" t="s">
        <v>79</v>
      </c>
      <c r="E319" s="0" t="n">
        <v>0</v>
      </c>
      <c r="F319" s="0" t="s">
        <v>41</v>
      </c>
      <c r="G319" s="0" t="n">
        <v>1.40862903873412</v>
      </c>
      <c r="H319" s="0" t="s">
        <v>437</v>
      </c>
      <c r="I319" s="0" t="s">
        <v>437</v>
      </c>
      <c r="J319" s="0" t="s">
        <v>437</v>
      </c>
      <c r="K319" s="0" t="s">
        <v>437</v>
      </c>
      <c r="L319" s="0" t="s">
        <v>437</v>
      </c>
      <c r="M319" s="0" t="s">
        <v>457</v>
      </c>
      <c r="R319" s="0" t="s">
        <v>89</v>
      </c>
    </row>
    <row r="320" customFormat="false" ht="15" hidden="false" customHeight="false" outlineLevel="0" collapsed="false">
      <c r="A320" s="0" t="s">
        <v>115</v>
      </c>
      <c r="B320" s="0" t="n">
        <v>2017</v>
      </c>
      <c r="C320" s="0" t="s">
        <v>101</v>
      </c>
      <c r="D320" s="0" t="s">
        <v>79</v>
      </c>
      <c r="E320" s="0" t="n">
        <v>0</v>
      </c>
      <c r="F320" s="0" t="s">
        <v>27</v>
      </c>
      <c r="G320" s="0" t="n">
        <v>14.7413671844978</v>
      </c>
      <c r="H320" s="0" t="s">
        <v>437</v>
      </c>
      <c r="I320" s="0" t="s">
        <v>437</v>
      </c>
      <c r="J320" s="0" t="s">
        <v>437</v>
      </c>
      <c r="K320" s="0" t="s">
        <v>437</v>
      </c>
      <c r="L320" s="0" t="s">
        <v>437</v>
      </c>
      <c r="M320" s="0" t="s">
        <v>457</v>
      </c>
      <c r="R320" s="0" t="s">
        <v>89</v>
      </c>
    </row>
    <row r="321" customFormat="false" ht="15" hidden="false" customHeight="false" outlineLevel="0" collapsed="false">
      <c r="A321" s="0" t="s">
        <v>115</v>
      </c>
      <c r="B321" s="0" t="n">
        <v>2017</v>
      </c>
      <c r="C321" s="0" t="s">
        <v>101</v>
      </c>
      <c r="D321" s="0" t="s">
        <v>79</v>
      </c>
      <c r="E321" s="0" t="n">
        <v>0</v>
      </c>
      <c r="F321" s="0" t="s">
        <v>39</v>
      </c>
      <c r="G321" s="0" t="n">
        <v>-2.84056466176506</v>
      </c>
      <c r="H321" s="0" t="s">
        <v>437</v>
      </c>
      <c r="I321" s="0" t="s">
        <v>437</v>
      </c>
      <c r="J321" s="0" t="s">
        <v>437</v>
      </c>
      <c r="K321" s="0" t="s">
        <v>437</v>
      </c>
      <c r="L321" s="0" t="s">
        <v>437</v>
      </c>
      <c r="M321" s="0" t="s">
        <v>457</v>
      </c>
      <c r="R321" s="0" t="s">
        <v>89</v>
      </c>
    </row>
    <row r="322" customFormat="false" ht="15" hidden="false" customHeight="false" outlineLevel="0" collapsed="false">
      <c r="A322" s="0" t="s">
        <v>115</v>
      </c>
      <c r="B322" s="0" t="n">
        <v>2017</v>
      </c>
      <c r="C322" s="0" t="s">
        <v>101</v>
      </c>
      <c r="D322" s="0" t="s">
        <v>79</v>
      </c>
      <c r="E322" s="0" t="n">
        <v>0</v>
      </c>
      <c r="F322" s="0" t="s">
        <v>17</v>
      </c>
      <c r="G322" s="0" t="n">
        <v>3.34182053651698</v>
      </c>
      <c r="H322" s="0" t="s">
        <v>437</v>
      </c>
      <c r="I322" s="0" t="s">
        <v>437</v>
      </c>
      <c r="J322" s="0" t="s">
        <v>437</v>
      </c>
      <c r="K322" s="0" t="s">
        <v>437</v>
      </c>
      <c r="L322" s="0" t="s">
        <v>437</v>
      </c>
      <c r="M322" s="0" t="s">
        <v>457</v>
      </c>
      <c r="R322" s="0" t="s">
        <v>89</v>
      </c>
    </row>
    <row r="323" customFormat="false" ht="15" hidden="false" customHeight="false" outlineLevel="0" collapsed="false">
      <c r="A323" s="0" t="s">
        <v>115</v>
      </c>
      <c r="B323" s="0" t="n">
        <v>2017</v>
      </c>
      <c r="C323" s="0" t="s">
        <v>101</v>
      </c>
      <c r="D323" s="0" t="s">
        <v>79</v>
      </c>
      <c r="E323" s="0" t="n">
        <v>0</v>
      </c>
      <c r="F323" s="0" t="s">
        <v>29</v>
      </c>
      <c r="G323" s="0" t="n">
        <v>0.84523718371303</v>
      </c>
      <c r="H323" s="0" t="s">
        <v>437</v>
      </c>
      <c r="I323" s="0" t="s">
        <v>437</v>
      </c>
      <c r="J323" s="0" t="s">
        <v>437</v>
      </c>
      <c r="K323" s="0" t="s">
        <v>437</v>
      </c>
      <c r="L323" s="0" t="s">
        <v>437</v>
      </c>
      <c r="M323" s="0" t="s">
        <v>457</v>
      </c>
      <c r="R323" s="0" t="s">
        <v>89</v>
      </c>
    </row>
    <row r="324" customFormat="false" ht="15" hidden="false" customHeight="false" outlineLevel="0" collapsed="false">
      <c r="A324" s="0" t="s">
        <v>115</v>
      </c>
      <c r="B324" s="0" t="n">
        <v>2017</v>
      </c>
      <c r="C324" s="0" t="s">
        <v>101</v>
      </c>
      <c r="D324" s="0" t="s">
        <v>79</v>
      </c>
      <c r="E324" s="0" t="n">
        <v>0</v>
      </c>
      <c r="F324" s="0" t="s">
        <v>37</v>
      </c>
      <c r="H324" s="0" t="s">
        <v>457</v>
      </c>
      <c r="I324" s="0" t="s">
        <v>457</v>
      </c>
      <c r="J324" s="0" t="s">
        <v>457</v>
      </c>
      <c r="K324" s="0" t="s">
        <v>457</v>
      </c>
      <c r="L324" s="0" t="s">
        <v>457</v>
      </c>
      <c r="M324" s="0" t="s">
        <v>457</v>
      </c>
      <c r="R324" s="0" t="s">
        <v>89</v>
      </c>
    </row>
    <row r="325" customFormat="false" ht="15" hidden="false" customHeight="false" outlineLevel="0" collapsed="false">
      <c r="A325" s="0" t="s">
        <v>115</v>
      </c>
      <c r="B325" s="0" t="n">
        <v>2017</v>
      </c>
      <c r="C325" s="0" t="s">
        <v>101</v>
      </c>
      <c r="D325" s="0" t="s">
        <v>79</v>
      </c>
      <c r="E325" s="0" t="n">
        <v>0</v>
      </c>
      <c r="F325" s="0" t="s">
        <v>23</v>
      </c>
      <c r="H325" s="0" t="s">
        <v>457</v>
      </c>
      <c r="I325" s="0" t="s">
        <v>457</v>
      </c>
      <c r="J325" s="0" t="s">
        <v>457</v>
      </c>
      <c r="K325" s="0" t="s">
        <v>457</v>
      </c>
      <c r="L325" s="0" t="s">
        <v>457</v>
      </c>
      <c r="M325" s="0" t="s">
        <v>457</v>
      </c>
      <c r="R325" s="0" t="s">
        <v>89</v>
      </c>
    </row>
    <row r="326" customFormat="false" ht="15" hidden="false" customHeight="false" outlineLevel="0" collapsed="false">
      <c r="A326" s="0" t="s">
        <v>115</v>
      </c>
      <c r="B326" s="0" t="n">
        <v>2017</v>
      </c>
      <c r="C326" s="0" t="s">
        <v>101</v>
      </c>
      <c r="D326" s="0" t="s">
        <v>79</v>
      </c>
      <c r="E326" s="0" t="n">
        <v>0</v>
      </c>
      <c r="F326" s="0" t="s">
        <v>45</v>
      </c>
      <c r="H326" s="0" t="s">
        <v>457</v>
      </c>
      <c r="I326" s="0" t="s">
        <v>457</v>
      </c>
      <c r="J326" s="0" t="s">
        <v>457</v>
      </c>
      <c r="K326" s="0" t="s">
        <v>457</v>
      </c>
      <c r="L326" s="0" t="s">
        <v>457</v>
      </c>
      <c r="M326" s="0" t="s">
        <v>457</v>
      </c>
      <c r="R326" s="0" t="s">
        <v>89</v>
      </c>
    </row>
    <row r="327" customFormat="false" ht="15" hidden="false" customHeight="false" outlineLevel="0" collapsed="false">
      <c r="A327" s="0" t="s">
        <v>115</v>
      </c>
      <c r="B327" s="0" t="n">
        <v>2017</v>
      </c>
      <c r="C327" s="0" t="s">
        <v>101</v>
      </c>
      <c r="D327" s="0" t="s">
        <v>79</v>
      </c>
      <c r="E327" s="0" t="n">
        <v>0</v>
      </c>
      <c r="F327" s="0" t="s">
        <v>71</v>
      </c>
      <c r="H327" s="0" t="s">
        <v>457</v>
      </c>
      <c r="I327" s="0" t="s">
        <v>457</v>
      </c>
      <c r="J327" s="0" t="s">
        <v>457</v>
      </c>
      <c r="K327" s="0" t="s">
        <v>457</v>
      </c>
      <c r="L327" s="0" t="s">
        <v>457</v>
      </c>
      <c r="M327" s="0" t="s">
        <v>457</v>
      </c>
      <c r="R327" s="0" t="s">
        <v>89</v>
      </c>
    </row>
    <row r="328" customFormat="false" ht="15" hidden="false" customHeight="false" outlineLevel="0" collapsed="false">
      <c r="A328" s="0" t="s">
        <v>115</v>
      </c>
      <c r="B328" s="0" t="n">
        <v>2017</v>
      </c>
      <c r="C328" s="0" t="s">
        <v>101</v>
      </c>
      <c r="D328" s="0" t="s">
        <v>79</v>
      </c>
      <c r="E328" s="0" t="n">
        <v>0</v>
      </c>
      <c r="F328" s="0" t="s">
        <v>31</v>
      </c>
      <c r="G328" s="0" t="n">
        <v>85.2586328155022</v>
      </c>
      <c r="H328" s="0" t="s">
        <v>437</v>
      </c>
      <c r="I328" s="0" t="s">
        <v>437</v>
      </c>
      <c r="J328" s="0" t="s">
        <v>437</v>
      </c>
      <c r="K328" s="0" t="s">
        <v>437</v>
      </c>
      <c r="L328" s="0" t="s">
        <v>437</v>
      </c>
      <c r="M328" s="0" t="s">
        <v>457</v>
      </c>
      <c r="R328" s="0" t="s">
        <v>89</v>
      </c>
    </row>
    <row r="329" customFormat="false" ht="15" hidden="false" customHeight="false" outlineLevel="0" collapsed="false">
      <c r="A329" s="0" t="s">
        <v>115</v>
      </c>
      <c r="B329" s="0" t="n">
        <v>2018</v>
      </c>
      <c r="C329" s="0" t="s">
        <v>101</v>
      </c>
      <c r="D329" s="0" t="s">
        <v>90</v>
      </c>
      <c r="E329" s="0" t="n">
        <v>1</v>
      </c>
      <c r="F329" s="0" t="s">
        <v>73</v>
      </c>
      <c r="H329" s="0" t="s">
        <v>457</v>
      </c>
      <c r="I329" s="0" t="s">
        <v>457</v>
      </c>
      <c r="J329" s="0" t="s">
        <v>457</v>
      </c>
      <c r="K329" s="0" t="s">
        <v>457</v>
      </c>
      <c r="L329" s="0" t="s">
        <v>457</v>
      </c>
      <c r="M329" s="0" t="s">
        <v>457</v>
      </c>
      <c r="R329" s="0" t="s">
        <v>81</v>
      </c>
    </row>
    <row r="330" customFormat="false" ht="15" hidden="false" customHeight="false" outlineLevel="0" collapsed="false">
      <c r="A330" s="0" t="s">
        <v>115</v>
      </c>
      <c r="B330" s="0" t="n">
        <v>2018</v>
      </c>
      <c r="C330" s="0" t="s">
        <v>101</v>
      </c>
      <c r="D330" s="0" t="s">
        <v>90</v>
      </c>
      <c r="E330" s="0" t="n">
        <v>1</v>
      </c>
      <c r="F330" s="0" t="s">
        <v>69</v>
      </c>
      <c r="H330" s="0" t="s">
        <v>457</v>
      </c>
      <c r="I330" s="0" t="s">
        <v>457</v>
      </c>
      <c r="J330" s="0" t="s">
        <v>457</v>
      </c>
      <c r="K330" s="0" t="s">
        <v>457</v>
      </c>
      <c r="L330" s="0" t="s">
        <v>457</v>
      </c>
      <c r="M330" s="0" t="s">
        <v>457</v>
      </c>
      <c r="R330" s="0" t="s">
        <v>81</v>
      </c>
    </row>
    <row r="331" customFormat="false" ht="15" hidden="false" customHeight="false" outlineLevel="0" collapsed="false">
      <c r="A331" s="0" t="s">
        <v>115</v>
      </c>
      <c r="B331" s="0" t="n">
        <v>2018</v>
      </c>
      <c r="C331" s="0" t="s">
        <v>101</v>
      </c>
      <c r="D331" s="0" t="s">
        <v>90</v>
      </c>
      <c r="E331" s="0" t="n">
        <v>1</v>
      </c>
      <c r="F331" s="0" t="s">
        <v>25</v>
      </c>
      <c r="H331" s="0" t="s">
        <v>457</v>
      </c>
      <c r="I331" s="0" t="s">
        <v>457</v>
      </c>
      <c r="J331" s="0" t="s">
        <v>457</v>
      </c>
      <c r="K331" s="0" t="s">
        <v>457</v>
      </c>
      <c r="L331" s="0" t="s">
        <v>457</v>
      </c>
      <c r="M331" s="0" t="s">
        <v>457</v>
      </c>
      <c r="R331" s="0" t="s">
        <v>81</v>
      </c>
    </row>
    <row r="332" customFormat="false" ht="15" hidden="false" customHeight="false" outlineLevel="0" collapsed="false">
      <c r="A332" s="0" t="s">
        <v>115</v>
      </c>
      <c r="B332" s="0" t="n">
        <v>2018</v>
      </c>
      <c r="C332" s="0" t="s">
        <v>101</v>
      </c>
      <c r="D332" s="0" t="s">
        <v>90</v>
      </c>
      <c r="E332" s="0" t="n">
        <v>1</v>
      </c>
      <c r="F332" s="0" t="s">
        <v>41</v>
      </c>
      <c r="H332" s="0" t="s">
        <v>457</v>
      </c>
      <c r="I332" s="0" t="s">
        <v>457</v>
      </c>
      <c r="J332" s="0" t="s">
        <v>457</v>
      </c>
      <c r="K332" s="0" t="s">
        <v>457</v>
      </c>
      <c r="L332" s="0" t="s">
        <v>457</v>
      </c>
      <c r="M332" s="0" t="s">
        <v>457</v>
      </c>
      <c r="R332" s="0" t="s">
        <v>81</v>
      </c>
    </row>
    <row r="333" customFormat="false" ht="15" hidden="false" customHeight="false" outlineLevel="0" collapsed="false">
      <c r="A333" s="0" t="s">
        <v>115</v>
      </c>
      <c r="B333" s="0" t="n">
        <v>2018</v>
      </c>
      <c r="C333" s="0" t="s">
        <v>101</v>
      </c>
      <c r="D333" s="0" t="s">
        <v>90</v>
      </c>
      <c r="E333" s="0" t="n">
        <v>1</v>
      </c>
      <c r="F333" s="0" t="s">
        <v>27</v>
      </c>
      <c r="G333" s="0" t="n">
        <v>11.3040247505208</v>
      </c>
      <c r="H333" s="0" t="s">
        <v>437</v>
      </c>
      <c r="I333" s="0" t="s">
        <v>437</v>
      </c>
      <c r="J333" s="0" t="s">
        <v>437</v>
      </c>
      <c r="K333" s="0" t="s">
        <v>437</v>
      </c>
      <c r="L333" s="0" t="s">
        <v>437</v>
      </c>
      <c r="M333" s="0" t="s">
        <v>457</v>
      </c>
      <c r="R333" s="0" t="s">
        <v>81</v>
      </c>
    </row>
    <row r="334" customFormat="false" ht="15" hidden="false" customHeight="false" outlineLevel="0" collapsed="false">
      <c r="A334" s="0" t="s">
        <v>115</v>
      </c>
      <c r="B334" s="0" t="n">
        <v>2018</v>
      </c>
      <c r="C334" s="0" t="s">
        <v>101</v>
      </c>
      <c r="D334" s="0" t="s">
        <v>90</v>
      </c>
      <c r="E334" s="0" t="n">
        <v>1</v>
      </c>
      <c r="F334" s="0" t="s">
        <v>39</v>
      </c>
      <c r="H334" s="0" t="s">
        <v>457</v>
      </c>
      <c r="I334" s="0" t="s">
        <v>457</v>
      </c>
      <c r="J334" s="0" t="s">
        <v>457</v>
      </c>
      <c r="K334" s="0" t="s">
        <v>457</v>
      </c>
      <c r="L334" s="0" t="s">
        <v>457</v>
      </c>
      <c r="M334" s="0" t="s">
        <v>457</v>
      </c>
      <c r="R334" s="0" t="s">
        <v>81</v>
      </c>
    </row>
    <row r="335" customFormat="false" ht="15" hidden="false" customHeight="false" outlineLevel="0" collapsed="false">
      <c r="A335" s="0" t="s">
        <v>115</v>
      </c>
      <c r="B335" s="0" t="n">
        <v>2018</v>
      </c>
      <c r="C335" s="0" t="s">
        <v>101</v>
      </c>
      <c r="D335" s="0" t="s">
        <v>90</v>
      </c>
      <c r="E335" s="0" t="n">
        <v>1</v>
      </c>
      <c r="F335" s="0" t="s">
        <v>17</v>
      </c>
      <c r="H335" s="0" t="s">
        <v>457</v>
      </c>
      <c r="I335" s="0" t="s">
        <v>457</v>
      </c>
      <c r="J335" s="0" t="s">
        <v>457</v>
      </c>
      <c r="K335" s="0" t="s">
        <v>457</v>
      </c>
      <c r="L335" s="0" t="s">
        <v>457</v>
      </c>
      <c r="M335" s="0" t="s">
        <v>457</v>
      </c>
      <c r="R335" s="0" t="s">
        <v>81</v>
      </c>
    </row>
    <row r="336" customFormat="false" ht="15" hidden="false" customHeight="false" outlineLevel="0" collapsed="false">
      <c r="A336" s="0" t="s">
        <v>115</v>
      </c>
      <c r="B336" s="0" t="n">
        <v>2018</v>
      </c>
      <c r="C336" s="0" t="s">
        <v>101</v>
      </c>
      <c r="D336" s="0" t="s">
        <v>90</v>
      </c>
      <c r="E336" s="0" t="n">
        <v>1</v>
      </c>
      <c r="F336" s="0" t="s">
        <v>29</v>
      </c>
      <c r="H336" s="0" t="s">
        <v>457</v>
      </c>
      <c r="I336" s="0" t="s">
        <v>457</v>
      </c>
      <c r="J336" s="0" t="s">
        <v>457</v>
      </c>
      <c r="K336" s="0" t="s">
        <v>457</v>
      </c>
      <c r="L336" s="0" t="s">
        <v>457</v>
      </c>
      <c r="M336" s="0" t="s">
        <v>457</v>
      </c>
      <c r="R336" s="0" t="s">
        <v>81</v>
      </c>
    </row>
    <row r="337" customFormat="false" ht="15" hidden="false" customHeight="false" outlineLevel="0" collapsed="false">
      <c r="A337" s="0" t="s">
        <v>115</v>
      </c>
      <c r="B337" s="0" t="n">
        <v>2018</v>
      </c>
      <c r="C337" s="0" t="s">
        <v>101</v>
      </c>
      <c r="D337" s="0" t="s">
        <v>90</v>
      </c>
      <c r="E337" s="0" t="n">
        <v>1</v>
      </c>
      <c r="F337" s="0" t="s">
        <v>37</v>
      </c>
      <c r="H337" s="0" t="s">
        <v>457</v>
      </c>
      <c r="I337" s="0" t="s">
        <v>457</v>
      </c>
      <c r="J337" s="0" t="s">
        <v>457</v>
      </c>
      <c r="K337" s="0" t="s">
        <v>457</v>
      </c>
      <c r="L337" s="0" t="s">
        <v>457</v>
      </c>
      <c r="M337" s="0" t="s">
        <v>457</v>
      </c>
      <c r="R337" s="0" t="s">
        <v>81</v>
      </c>
    </row>
    <row r="338" customFormat="false" ht="15" hidden="false" customHeight="false" outlineLevel="0" collapsed="false">
      <c r="A338" s="0" t="s">
        <v>115</v>
      </c>
      <c r="B338" s="0" t="n">
        <v>2018</v>
      </c>
      <c r="C338" s="0" t="s">
        <v>101</v>
      </c>
      <c r="D338" s="0" t="s">
        <v>90</v>
      </c>
      <c r="E338" s="0" t="n">
        <v>1</v>
      </c>
      <c r="F338" s="0" t="s">
        <v>23</v>
      </c>
      <c r="H338" s="0" t="s">
        <v>457</v>
      </c>
      <c r="I338" s="0" t="s">
        <v>457</v>
      </c>
      <c r="J338" s="0" t="s">
        <v>457</v>
      </c>
      <c r="K338" s="0" t="s">
        <v>457</v>
      </c>
      <c r="L338" s="0" t="s">
        <v>457</v>
      </c>
      <c r="M338" s="0" t="s">
        <v>457</v>
      </c>
      <c r="R338" s="0" t="s">
        <v>81</v>
      </c>
    </row>
    <row r="339" customFormat="false" ht="15" hidden="false" customHeight="false" outlineLevel="0" collapsed="false">
      <c r="A339" s="0" t="s">
        <v>115</v>
      </c>
      <c r="B339" s="0" t="n">
        <v>2018</v>
      </c>
      <c r="C339" s="0" t="s">
        <v>101</v>
      </c>
      <c r="D339" s="0" t="s">
        <v>90</v>
      </c>
      <c r="E339" s="0" t="n">
        <v>1</v>
      </c>
      <c r="F339" s="0" t="s">
        <v>45</v>
      </c>
      <c r="H339" s="0" t="s">
        <v>457</v>
      </c>
      <c r="I339" s="0" t="s">
        <v>457</v>
      </c>
      <c r="J339" s="0" t="s">
        <v>457</v>
      </c>
      <c r="K339" s="0" t="s">
        <v>457</v>
      </c>
      <c r="L339" s="0" t="s">
        <v>457</v>
      </c>
      <c r="M339" s="0" t="s">
        <v>457</v>
      </c>
      <c r="R339" s="0" t="s">
        <v>81</v>
      </c>
    </row>
    <row r="340" customFormat="false" ht="15" hidden="false" customHeight="false" outlineLevel="0" collapsed="false">
      <c r="A340" s="0" t="s">
        <v>115</v>
      </c>
      <c r="B340" s="0" t="n">
        <v>2018</v>
      </c>
      <c r="C340" s="0" t="s">
        <v>101</v>
      </c>
      <c r="D340" s="0" t="s">
        <v>90</v>
      </c>
      <c r="E340" s="0" t="n">
        <v>1</v>
      </c>
      <c r="F340" s="0" t="s">
        <v>71</v>
      </c>
      <c r="H340" s="0" t="s">
        <v>457</v>
      </c>
      <c r="I340" s="0" t="s">
        <v>457</v>
      </c>
      <c r="J340" s="0" t="s">
        <v>457</v>
      </c>
      <c r="K340" s="0" t="s">
        <v>457</v>
      </c>
      <c r="L340" s="0" t="s">
        <v>457</v>
      </c>
      <c r="M340" s="0" t="s">
        <v>457</v>
      </c>
      <c r="R340" s="0" t="s">
        <v>81</v>
      </c>
    </row>
    <row r="341" customFormat="false" ht="15" hidden="false" customHeight="false" outlineLevel="0" collapsed="false">
      <c r="A341" s="0" t="s">
        <v>115</v>
      </c>
      <c r="B341" s="0" t="n">
        <v>2018</v>
      </c>
      <c r="C341" s="0" t="s">
        <v>101</v>
      </c>
      <c r="D341" s="0" t="s">
        <v>90</v>
      </c>
      <c r="E341" s="0" t="n">
        <v>1</v>
      </c>
      <c r="F341" s="0" t="s">
        <v>31</v>
      </c>
      <c r="G341" s="0" t="n">
        <v>88.6959752494792</v>
      </c>
      <c r="H341" s="0" t="s">
        <v>437</v>
      </c>
      <c r="I341" s="0" t="s">
        <v>437</v>
      </c>
      <c r="J341" s="0" t="s">
        <v>437</v>
      </c>
      <c r="K341" s="0" t="s">
        <v>437</v>
      </c>
      <c r="L341" s="0" t="s">
        <v>437</v>
      </c>
      <c r="M341" s="0" t="s">
        <v>457</v>
      </c>
      <c r="R341" s="0" t="s">
        <v>81</v>
      </c>
    </row>
    <row r="342" customFormat="false" ht="15" hidden="false" customHeight="false" outlineLevel="0" collapsed="false">
      <c r="A342" s="0" t="s">
        <v>115</v>
      </c>
      <c r="B342" s="0" t="n">
        <v>2019</v>
      </c>
      <c r="C342" s="0" t="s">
        <v>101</v>
      </c>
      <c r="D342" s="0" t="s">
        <v>90</v>
      </c>
      <c r="E342" s="0" t="n">
        <v>1</v>
      </c>
      <c r="F342" s="0" t="s">
        <v>73</v>
      </c>
      <c r="G342" s="0" t="n">
        <v>0</v>
      </c>
      <c r="H342" s="0" t="s">
        <v>437</v>
      </c>
      <c r="I342" s="0" t="s">
        <v>437</v>
      </c>
      <c r="J342" s="0" t="s">
        <v>437</v>
      </c>
      <c r="K342" s="0" t="s">
        <v>457</v>
      </c>
      <c r="L342" s="0" t="s">
        <v>437</v>
      </c>
      <c r="M342" s="0" t="s">
        <v>457</v>
      </c>
      <c r="R342" s="0" t="s">
        <v>81</v>
      </c>
    </row>
    <row r="343" customFormat="false" ht="15" hidden="false" customHeight="false" outlineLevel="0" collapsed="false">
      <c r="A343" s="0" t="s">
        <v>115</v>
      </c>
      <c r="B343" s="0" t="n">
        <v>2019</v>
      </c>
      <c r="C343" s="0" t="s">
        <v>101</v>
      </c>
      <c r="D343" s="0" t="s">
        <v>90</v>
      </c>
      <c r="E343" s="0" t="n">
        <v>1</v>
      </c>
      <c r="F343" s="0" t="s">
        <v>69</v>
      </c>
      <c r="H343" s="0" t="s">
        <v>457</v>
      </c>
      <c r="I343" s="0" t="s">
        <v>457</v>
      </c>
      <c r="J343" s="0" t="s">
        <v>457</v>
      </c>
      <c r="K343" s="0" t="s">
        <v>457</v>
      </c>
      <c r="L343" s="0" t="s">
        <v>457</v>
      </c>
      <c r="M343" s="0" t="s">
        <v>457</v>
      </c>
      <c r="R343" s="0" t="s">
        <v>81</v>
      </c>
    </row>
    <row r="344" customFormat="false" ht="15" hidden="false" customHeight="false" outlineLevel="0" collapsed="false">
      <c r="A344" s="0" t="s">
        <v>115</v>
      </c>
      <c r="B344" s="0" t="n">
        <v>2019</v>
      </c>
      <c r="C344" s="0" t="s">
        <v>101</v>
      </c>
      <c r="D344" s="0" t="s">
        <v>90</v>
      </c>
      <c r="E344" s="0" t="n">
        <v>1</v>
      </c>
      <c r="F344" s="0" t="s">
        <v>25</v>
      </c>
      <c r="H344" s="0" t="s">
        <v>457</v>
      </c>
      <c r="I344" s="0" t="s">
        <v>457</v>
      </c>
      <c r="J344" s="0" t="s">
        <v>457</v>
      </c>
      <c r="K344" s="0" t="s">
        <v>457</v>
      </c>
      <c r="L344" s="0" t="s">
        <v>457</v>
      </c>
      <c r="M344" s="0" t="s">
        <v>457</v>
      </c>
      <c r="R344" s="0" t="s">
        <v>81</v>
      </c>
    </row>
    <row r="345" customFormat="false" ht="15" hidden="false" customHeight="false" outlineLevel="0" collapsed="false">
      <c r="A345" s="0" t="s">
        <v>115</v>
      </c>
      <c r="B345" s="0" t="n">
        <v>2019</v>
      </c>
      <c r="C345" s="0" t="s">
        <v>101</v>
      </c>
      <c r="D345" s="0" t="s">
        <v>90</v>
      </c>
      <c r="E345" s="0" t="n">
        <v>1</v>
      </c>
      <c r="F345" s="0" t="s">
        <v>41</v>
      </c>
      <c r="G345" s="0" t="n">
        <v>1.48281654285953</v>
      </c>
      <c r="H345" s="0" t="s">
        <v>437</v>
      </c>
      <c r="I345" s="0" t="s">
        <v>437</v>
      </c>
      <c r="J345" s="0" t="s">
        <v>437</v>
      </c>
      <c r="K345" s="0" t="s">
        <v>457</v>
      </c>
      <c r="L345" s="0" t="s">
        <v>437</v>
      </c>
      <c r="M345" s="0" t="s">
        <v>457</v>
      </c>
      <c r="R345" s="0" t="s">
        <v>81</v>
      </c>
    </row>
    <row r="346" customFormat="false" ht="15" hidden="false" customHeight="false" outlineLevel="0" collapsed="false">
      <c r="A346" s="0" t="s">
        <v>115</v>
      </c>
      <c r="B346" s="0" t="n">
        <v>2019</v>
      </c>
      <c r="C346" s="0" t="s">
        <v>101</v>
      </c>
      <c r="D346" s="0" t="s">
        <v>90</v>
      </c>
      <c r="E346" s="0" t="n">
        <v>1</v>
      </c>
      <c r="F346" s="0" t="s">
        <v>27</v>
      </c>
      <c r="G346" s="0" t="n">
        <v>11.0702887413986</v>
      </c>
      <c r="H346" s="0" t="s">
        <v>437</v>
      </c>
      <c r="I346" s="0" t="s">
        <v>437</v>
      </c>
      <c r="J346" s="0" t="s">
        <v>437</v>
      </c>
      <c r="K346" s="0" t="s">
        <v>437</v>
      </c>
      <c r="L346" s="0" t="s">
        <v>437</v>
      </c>
      <c r="M346" s="0" t="s">
        <v>457</v>
      </c>
      <c r="R346" s="0" t="s">
        <v>81</v>
      </c>
    </row>
    <row r="347" customFormat="false" ht="15" hidden="false" customHeight="false" outlineLevel="0" collapsed="false">
      <c r="A347" s="0" t="s">
        <v>115</v>
      </c>
      <c r="B347" s="0" t="n">
        <v>2019</v>
      </c>
      <c r="C347" s="0" t="s">
        <v>101</v>
      </c>
      <c r="D347" s="0" t="s">
        <v>90</v>
      </c>
      <c r="E347" s="0" t="n">
        <v>1</v>
      </c>
      <c r="F347" s="0" t="s">
        <v>39</v>
      </c>
      <c r="H347" s="0" t="s">
        <v>457</v>
      </c>
      <c r="I347" s="0" t="s">
        <v>457</v>
      </c>
      <c r="J347" s="0" t="s">
        <v>457</v>
      </c>
      <c r="K347" s="0" t="s">
        <v>457</v>
      </c>
      <c r="L347" s="0" t="s">
        <v>457</v>
      </c>
      <c r="M347" s="0" t="s">
        <v>457</v>
      </c>
      <c r="R347" s="0" t="s">
        <v>81</v>
      </c>
    </row>
    <row r="348" customFormat="false" ht="15" hidden="false" customHeight="false" outlineLevel="0" collapsed="false">
      <c r="A348" s="0" t="s">
        <v>115</v>
      </c>
      <c r="B348" s="0" t="n">
        <v>2019</v>
      </c>
      <c r="C348" s="0" t="s">
        <v>101</v>
      </c>
      <c r="D348" s="0" t="s">
        <v>90</v>
      </c>
      <c r="E348" s="0" t="n">
        <v>1</v>
      </c>
      <c r="F348" s="0" t="s">
        <v>17</v>
      </c>
      <c r="H348" s="0" t="s">
        <v>457</v>
      </c>
      <c r="I348" s="0" t="s">
        <v>457</v>
      </c>
      <c r="J348" s="0" t="s">
        <v>457</v>
      </c>
      <c r="K348" s="0" t="s">
        <v>457</v>
      </c>
      <c r="L348" s="0" t="s">
        <v>457</v>
      </c>
      <c r="M348" s="0" t="s">
        <v>457</v>
      </c>
      <c r="R348" s="0" t="s">
        <v>81</v>
      </c>
    </row>
    <row r="349" customFormat="false" ht="15" hidden="false" customHeight="false" outlineLevel="0" collapsed="false">
      <c r="A349" s="0" t="s">
        <v>115</v>
      </c>
      <c r="B349" s="0" t="n">
        <v>2019</v>
      </c>
      <c r="C349" s="0" t="s">
        <v>101</v>
      </c>
      <c r="D349" s="0" t="s">
        <v>90</v>
      </c>
      <c r="E349" s="0" t="n">
        <v>1</v>
      </c>
      <c r="F349" s="0" t="s">
        <v>29</v>
      </c>
      <c r="G349" s="0" t="n">
        <v>-0.276062098322344</v>
      </c>
      <c r="H349" s="0" t="s">
        <v>437</v>
      </c>
      <c r="I349" s="0" t="s">
        <v>437</v>
      </c>
      <c r="J349" s="0" t="s">
        <v>437</v>
      </c>
      <c r="K349" s="0" t="s">
        <v>457</v>
      </c>
      <c r="L349" s="0" t="s">
        <v>437</v>
      </c>
      <c r="M349" s="0" t="s">
        <v>457</v>
      </c>
      <c r="R349" s="0" t="s">
        <v>81</v>
      </c>
    </row>
    <row r="350" customFormat="false" ht="15" hidden="false" customHeight="false" outlineLevel="0" collapsed="false">
      <c r="A350" s="0" t="s">
        <v>115</v>
      </c>
      <c r="B350" s="0" t="n">
        <v>2019</v>
      </c>
      <c r="C350" s="0" t="s">
        <v>101</v>
      </c>
      <c r="D350" s="0" t="s">
        <v>90</v>
      </c>
      <c r="E350" s="0" t="n">
        <v>1</v>
      </c>
      <c r="F350" s="0" t="s">
        <v>37</v>
      </c>
      <c r="H350" s="0" t="s">
        <v>457</v>
      </c>
      <c r="I350" s="0" t="s">
        <v>457</v>
      </c>
      <c r="J350" s="0" t="s">
        <v>457</v>
      </c>
      <c r="K350" s="0" t="s">
        <v>457</v>
      </c>
      <c r="L350" s="0" t="s">
        <v>457</v>
      </c>
      <c r="M350" s="0" t="s">
        <v>457</v>
      </c>
      <c r="R350" s="0" t="s">
        <v>81</v>
      </c>
    </row>
    <row r="351" customFormat="false" ht="15" hidden="false" customHeight="false" outlineLevel="0" collapsed="false">
      <c r="A351" s="0" t="s">
        <v>115</v>
      </c>
      <c r="B351" s="0" t="n">
        <v>2019</v>
      </c>
      <c r="C351" s="0" t="s">
        <v>101</v>
      </c>
      <c r="D351" s="0" t="s">
        <v>90</v>
      </c>
      <c r="E351" s="0" t="n">
        <v>1</v>
      </c>
      <c r="F351" s="0" t="s">
        <v>23</v>
      </c>
      <c r="H351" s="0" t="s">
        <v>457</v>
      </c>
      <c r="I351" s="0" t="s">
        <v>457</v>
      </c>
      <c r="J351" s="0" t="s">
        <v>457</v>
      </c>
      <c r="K351" s="0" t="s">
        <v>457</v>
      </c>
      <c r="L351" s="0" t="s">
        <v>457</v>
      </c>
      <c r="M351" s="0" t="s">
        <v>457</v>
      </c>
      <c r="R351" s="0" t="s">
        <v>81</v>
      </c>
    </row>
    <row r="352" customFormat="false" ht="15" hidden="false" customHeight="false" outlineLevel="0" collapsed="false">
      <c r="A352" s="0" t="s">
        <v>115</v>
      </c>
      <c r="B352" s="0" t="n">
        <v>2019</v>
      </c>
      <c r="C352" s="0" t="s">
        <v>101</v>
      </c>
      <c r="D352" s="0" t="s">
        <v>90</v>
      </c>
      <c r="E352" s="0" t="n">
        <v>1</v>
      </c>
      <c r="F352" s="0" t="s">
        <v>45</v>
      </c>
      <c r="H352" s="0" t="s">
        <v>457</v>
      </c>
      <c r="I352" s="0" t="s">
        <v>457</v>
      </c>
      <c r="J352" s="0" t="s">
        <v>457</v>
      </c>
      <c r="K352" s="0" t="s">
        <v>457</v>
      </c>
      <c r="L352" s="0" t="s">
        <v>457</v>
      </c>
      <c r="M352" s="0" t="s">
        <v>457</v>
      </c>
      <c r="R352" s="0" t="s">
        <v>81</v>
      </c>
    </row>
    <row r="353" customFormat="false" ht="15" hidden="false" customHeight="false" outlineLevel="0" collapsed="false">
      <c r="A353" s="0" t="s">
        <v>115</v>
      </c>
      <c r="B353" s="0" t="n">
        <v>2019</v>
      </c>
      <c r="C353" s="0" t="s">
        <v>101</v>
      </c>
      <c r="D353" s="0" t="s">
        <v>90</v>
      </c>
      <c r="E353" s="0" t="n">
        <v>1</v>
      </c>
      <c r="F353" s="0" t="s">
        <v>71</v>
      </c>
      <c r="H353" s="0" t="s">
        <v>457</v>
      </c>
      <c r="I353" s="0" t="s">
        <v>457</v>
      </c>
      <c r="J353" s="0" t="s">
        <v>457</v>
      </c>
      <c r="K353" s="0" t="s">
        <v>457</v>
      </c>
      <c r="L353" s="0" t="s">
        <v>457</v>
      </c>
      <c r="M353" s="0" t="s">
        <v>457</v>
      </c>
      <c r="R353" s="0" t="s">
        <v>81</v>
      </c>
    </row>
    <row r="354" customFormat="false" ht="15" hidden="false" customHeight="false" outlineLevel="0" collapsed="false">
      <c r="A354" s="0" t="s">
        <v>115</v>
      </c>
      <c r="B354" s="0" t="n">
        <v>2019</v>
      </c>
      <c r="C354" s="0" t="s">
        <v>101</v>
      </c>
      <c r="D354" s="0" t="s">
        <v>90</v>
      </c>
      <c r="E354" s="0" t="n">
        <v>1</v>
      </c>
      <c r="F354" s="0" t="s">
        <v>31</v>
      </c>
      <c r="G354" s="0" t="n">
        <v>88.9297112586014</v>
      </c>
      <c r="H354" s="0" t="s">
        <v>437</v>
      </c>
      <c r="I354" s="0" t="s">
        <v>437</v>
      </c>
      <c r="J354" s="0" t="s">
        <v>437</v>
      </c>
      <c r="K354" s="0" t="s">
        <v>437</v>
      </c>
      <c r="L354" s="0" t="s">
        <v>437</v>
      </c>
      <c r="M354" s="0" t="s">
        <v>457</v>
      </c>
      <c r="R354" s="0" t="s">
        <v>81</v>
      </c>
    </row>
    <row r="355" customFormat="false" ht="15" hidden="false" customHeight="false" outlineLevel="0" collapsed="false">
      <c r="A355" s="0" t="s">
        <v>115</v>
      </c>
      <c r="B355" s="0" t="n">
        <v>2020</v>
      </c>
      <c r="C355" s="0" t="s">
        <v>101</v>
      </c>
      <c r="D355" s="0" t="s">
        <v>90</v>
      </c>
      <c r="E355" s="0" t="n">
        <v>1</v>
      </c>
      <c r="F355" s="0" t="s">
        <v>73</v>
      </c>
      <c r="G355" s="0" t="n">
        <v>0</v>
      </c>
      <c r="H355" s="0" t="s">
        <v>437</v>
      </c>
      <c r="I355" s="0" t="s">
        <v>437</v>
      </c>
      <c r="J355" s="0" t="s">
        <v>437</v>
      </c>
      <c r="K355" s="0" t="s">
        <v>437</v>
      </c>
      <c r="L355" s="0" t="s">
        <v>437</v>
      </c>
      <c r="M355" s="0" t="s">
        <v>457</v>
      </c>
      <c r="R355" s="0" t="s">
        <v>95</v>
      </c>
    </row>
    <row r="356" customFormat="false" ht="15" hidden="false" customHeight="false" outlineLevel="0" collapsed="false">
      <c r="A356" s="0" t="s">
        <v>115</v>
      </c>
      <c r="B356" s="0" t="n">
        <v>2020</v>
      </c>
      <c r="C356" s="0" t="s">
        <v>101</v>
      </c>
      <c r="D356" s="0" t="s">
        <v>90</v>
      </c>
      <c r="E356" s="0" t="n">
        <v>1</v>
      </c>
      <c r="F356" s="0" t="s">
        <v>69</v>
      </c>
      <c r="G356" s="0" t="n">
        <v>18.18</v>
      </c>
      <c r="H356" s="0" t="s">
        <v>437</v>
      </c>
      <c r="I356" s="0" t="s">
        <v>437</v>
      </c>
      <c r="J356" s="0" t="s">
        <v>437</v>
      </c>
      <c r="K356" s="0" t="s">
        <v>457</v>
      </c>
      <c r="L356" s="0" t="s">
        <v>437</v>
      </c>
      <c r="M356" s="0" t="s">
        <v>457</v>
      </c>
      <c r="R356" s="0" t="s">
        <v>95</v>
      </c>
    </row>
    <row r="357" customFormat="false" ht="15" hidden="false" customHeight="false" outlineLevel="0" collapsed="false">
      <c r="A357" s="0" t="s">
        <v>115</v>
      </c>
      <c r="B357" s="0" t="n">
        <v>2020</v>
      </c>
      <c r="C357" s="0" t="s">
        <v>101</v>
      </c>
      <c r="D357" s="0" t="s">
        <v>90</v>
      </c>
      <c r="E357" s="0" t="n">
        <v>1</v>
      </c>
      <c r="F357" s="0" t="s">
        <v>25</v>
      </c>
      <c r="G357" s="0" t="n">
        <v>18.1829577581441</v>
      </c>
      <c r="H357" s="0" t="s">
        <v>437</v>
      </c>
      <c r="I357" s="0" t="s">
        <v>437</v>
      </c>
      <c r="J357" s="0" t="s">
        <v>437</v>
      </c>
      <c r="K357" s="0" t="s">
        <v>457</v>
      </c>
      <c r="L357" s="0" t="s">
        <v>437</v>
      </c>
      <c r="M357" s="0" t="s">
        <v>457</v>
      </c>
      <c r="R357" s="0" t="s">
        <v>95</v>
      </c>
    </row>
    <row r="358" customFormat="false" ht="15" hidden="false" customHeight="false" outlineLevel="0" collapsed="false">
      <c r="A358" s="0" t="s">
        <v>115</v>
      </c>
      <c r="B358" s="0" t="n">
        <v>2020</v>
      </c>
      <c r="C358" s="0" t="s">
        <v>101</v>
      </c>
      <c r="D358" s="0" t="s">
        <v>90</v>
      </c>
      <c r="E358" s="0" t="n">
        <v>1</v>
      </c>
      <c r="F358" s="0" t="s">
        <v>41</v>
      </c>
      <c r="G358" s="0" t="n">
        <v>1.09396502801105</v>
      </c>
      <c r="H358" s="0" t="s">
        <v>437</v>
      </c>
      <c r="I358" s="0" t="s">
        <v>437</v>
      </c>
      <c r="J358" s="0" t="s">
        <v>437</v>
      </c>
      <c r="K358" s="0" t="s">
        <v>437</v>
      </c>
      <c r="L358" s="0" t="s">
        <v>437</v>
      </c>
      <c r="M358" s="0" t="s">
        <v>457</v>
      </c>
      <c r="R358" s="0" t="s">
        <v>95</v>
      </c>
    </row>
    <row r="359" customFormat="false" ht="15" hidden="false" customHeight="false" outlineLevel="0" collapsed="false">
      <c r="A359" s="0" t="s">
        <v>115</v>
      </c>
      <c r="B359" s="0" t="n">
        <v>2020</v>
      </c>
      <c r="C359" s="0" t="s">
        <v>101</v>
      </c>
      <c r="D359" s="0" t="s">
        <v>90</v>
      </c>
      <c r="E359" s="0" t="n">
        <v>1</v>
      </c>
      <c r="F359" s="0" t="s">
        <v>27</v>
      </c>
      <c r="G359" s="0" t="n">
        <v>9.91727057431291</v>
      </c>
      <c r="H359" s="0" t="s">
        <v>437</v>
      </c>
      <c r="I359" s="0" t="s">
        <v>437</v>
      </c>
      <c r="J359" s="0" t="s">
        <v>437</v>
      </c>
      <c r="K359" s="0" t="s">
        <v>437</v>
      </c>
      <c r="L359" s="0" t="s">
        <v>437</v>
      </c>
      <c r="M359" s="0" t="s">
        <v>457</v>
      </c>
      <c r="R359" s="0" t="s">
        <v>95</v>
      </c>
    </row>
    <row r="360" customFormat="false" ht="15" hidden="false" customHeight="false" outlineLevel="0" collapsed="false">
      <c r="A360" s="0" t="s">
        <v>115</v>
      </c>
      <c r="B360" s="0" t="n">
        <v>2020</v>
      </c>
      <c r="C360" s="0" t="s">
        <v>101</v>
      </c>
      <c r="D360" s="0" t="s">
        <v>90</v>
      </c>
      <c r="E360" s="0" t="n">
        <v>1</v>
      </c>
      <c r="F360" s="0" t="s">
        <v>39</v>
      </c>
      <c r="G360" s="0" t="n">
        <v>9.95935088671715</v>
      </c>
      <c r="H360" s="0" t="s">
        <v>437</v>
      </c>
      <c r="I360" s="0" t="s">
        <v>437</v>
      </c>
      <c r="J360" s="0" t="s">
        <v>437</v>
      </c>
      <c r="K360" s="0" t="s">
        <v>457</v>
      </c>
      <c r="L360" s="0" t="s">
        <v>437</v>
      </c>
      <c r="M360" s="0" t="s">
        <v>457</v>
      </c>
      <c r="R360" s="0" t="s">
        <v>95</v>
      </c>
    </row>
    <row r="361" customFormat="false" ht="15" hidden="false" customHeight="false" outlineLevel="0" collapsed="false">
      <c r="A361" s="0" t="s">
        <v>115</v>
      </c>
      <c r="B361" s="0" t="n">
        <v>2020</v>
      </c>
      <c r="C361" s="0" t="s">
        <v>101</v>
      </c>
      <c r="D361" s="0" t="s">
        <v>90</v>
      </c>
      <c r="E361" s="0" t="n">
        <v>1</v>
      </c>
      <c r="F361" s="0" t="s">
        <v>17</v>
      </c>
      <c r="G361" s="0" t="n">
        <v>4.84477879255811</v>
      </c>
      <c r="H361" s="0" t="s">
        <v>437</v>
      </c>
      <c r="I361" s="0" t="s">
        <v>437</v>
      </c>
      <c r="J361" s="0" t="s">
        <v>437</v>
      </c>
      <c r="K361" s="0" t="s">
        <v>457</v>
      </c>
      <c r="L361" s="0" t="s">
        <v>437</v>
      </c>
      <c r="M361" s="0" t="s">
        <v>457</v>
      </c>
      <c r="R361" s="0" t="s">
        <v>95</v>
      </c>
    </row>
    <row r="362" customFormat="false" ht="15" hidden="false" customHeight="false" outlineLevel="0" collapsed="false">
      <c r="A362" s="0" t="s">
        <v>115</v>
      </c>
      <c r="B362" s="0" t="n">
        <v>2020</v>
      </c>
      <c r="C362" s="0" t="s">
        <v>101</v>
      </c>
      <c r="D362" s="0" t="s">
        <v>90</v>
      </c>
      <c r="E362" s="0" t="n">
        <v>1</v>
      </c>
      <c r="F362" s="0" t="s">
        <v>29</v>
      </c>
      <c r="G362" s="0" t="n">
        <v>0.692009847737719</v>
      </c>
      <c r="H362" s="0" t="s">
        <v>437</v>
      </c>
      <c r="I362" s="0" t="s">
        <v>437</v>
      </c>
      <c r="J362" s="0" t="s">
        <v>437</v>
      </c>
      <c r="K362" s="0" t="s">
        <v>437</v>
      </c>
      <c r="L362" s="0" t="s">
        <v>437</v>
      </c>
      <c r="M362" s="0" t="s">
        <v>457</v>
      </c>
      <c r="R362" s="0" t="s">
        <v>95</v>
      </c>
    </row>
    <row r="363" customFormat="false" ht="15" hidden="false" customHeight="false" outlineLevel="0" collapsed="false">
      <c r="A363" s="0" t="s">
        <v>115</v>
      </c>
      <c r="B363" s="0" t="n">
        <v>2020</v>
      </c>
      <c r="C363" s="0" t="s">
        <v>101</v>
      </c>
      <c r="D363" s="0" t="s">
        <v>90</v>
      </c>
      <c r="E363" s="0" t="n">
        <v>1</v>
      </c>
      <c r="F363" s="0" t="s">
        <v>37</v>
      </c>
      <c r="H363" s="0" t="s">
        <v>457</v>
      </c>
      <c r="I363" s="0" t="s">
        <v>457</v>
      </c>
      <c r="J363" s="0" t="s">
        <v>457</v>
      </c>
      <c r="K363" s="0" t="s">
        <v>457</v>
      </c>
      <c r="L363" s="0" t="s">
        <v>457</v>
      </c>
      <c r="M363" s="0" t="s">
        <v>457</v>
      </c>
      <c r="R363" s="0" t="s">
        <v>95</v>
      </c>
    </row>
    <row r="364" customFormat="false" ht="15" hidden="false" customHeight="false" outlineLevel="0" collapsed="false">
      <c r="A364" s="0" t="s">
        <v>115</v>
      </c>
      <c r="B364" s="0" t="n">
        <v>2020</v>
      </c>
      <c r="C364" s="0" t="s">
        <v>101</v>
      </c>
      <c r="D364" s="0" t="s">
        <v>90</v>
      </c>
      <c r="E364" s="0" t="n">
        <v>1</v>
      </c>
      <c r="F364" s="0" t="s">
        <v>23</v>
      </c>
      <c r="H364" s="0" t="s">
        <v>457</v>
      </c>
      <c r="I364" s="0" t="s">
        <v>457</v>
      </c>
      <c r="J364" s="0" t="s">
        <v>457</v>
      </c>
      <c r="K364" s="0" t="s">
        <v>457</v>
      </c>
      <c r="L364" s="0" t="s">
        <v>457</v>
      </c>
      <c r="M364" s="0" t="s">
        <v>457</v>
      </c>
      <c r="R364" s="0" t="s">
        <v>95</v>
      </c>
    </row>
    <row r="365" customFormat="false" ht="15" hidden="false" customHeight="false" outlineLevel="0" collapsed="false">
      <c r="A365" s="0" t="s">
        <v>115</v>
      </c>
      <c r="B365" s="0" t="n">
        <v>2020</v>
      </c>
      <c r="C365" s="0" t="s">
        <v>101</v>
      </c>
      <c r="D365" s="0" t="s">
        <v>90</v>
      </c>
      <c r="E365" s="0" t="n">
        <v>1</v>
      </c>
      <c r="F365" s="0" t="s">
        <v>45</v>
      </c>
      <c r="H365" s="0" t="s">
        <v>457</v>
      </c>
      <c r="I365" s="0" t="s">
        <v>457</v>
      </c>
      <c r="J365" s="0" t="s">
        <v>457</v>
      </c>
      <c r="K365" s="0" t="s">
        <v>457</v>
      </c>
      <c r="L365" s="0" t="s">
        <v>457</v>
      </c>
      <c r="M365" s="0" t="s">
        <v>457</v>
      </c>
      <c r="R365" s="0" t="s">
        <v>95</v>
      </c>
    </row>
    <row r="366" customFormat="false" ht="15" hidden="false" customHeight="false" outlineLevel="0" collapsed="false">
      <c r="A366" s="0" t="s">
        <v>115</v>
      </c>
      <c r="B366" s="0" t="n">
        <v>2020</v>
      </c>
      <c r="C366" s="0" t="s">
        <v>101</v>
      </c>
      <c r="D366" s="0" t="s">
        <v>90</v>
      </c>
      <c r="E366" s="0" t="n">
        <v>1</v>
      </c>
      <c r="F366" s="0" t="s">
        <v>71</v>
      </c>
      <c r="H366" s="0" t="s">
        <v>457</v>
      </c>
      <c r="I366" s="0" t="s">
        <v>457</v>
      </c>
      <c r="J366" s="0" t="s">
        <v>457</v>
      </c>
      <c r="K366" s="0" t="s">
        <v>457</v>
      </c>
      <c r="L366" s="0" t="s">
        <v>457</v>
      </c>
      <c r="M366" s="0" t="s">
        <v>457</v>
      </c>
      <c r="R366" s="0" t="s">
        <v>95</v>
      </c>
    </row>
    <row r="367" customFormat="false" ht="15" hidden="false" customHeight="false" outlineLevel="0" collapsed="false">
      <c r="A367" s="0" t="s">
        <v>115</v>
      </c>
      <c r="B367" s="0" t="n">
        <v>2020</v>
      </c>
      <c r="C367" s="0" t="s">
        <v>101</v>
      </c>
      <c r="D367" s="0" t="s">
        <v>90</v>
      </c>
      <c r="E367" s="0" t="n">
        <v>1</v>
      </c>
      <c r="F367" s="0" t="s">
        <v>31</v>
      </c>
      <c r="G367" s="0" t="n">
        <v>90.0827294256871</v>
      </c>
      <c r="H367" s="0" t="s">
        <v>437</v>
      </c>
      <c r="I367" s="0" t="s">
        <v>437</v>
      </c>
      <c r="J367" s="0" t="s">
        <v>437</v>
      </c>
      <c r="K367" s="0" t="s">
        <v>437</v>
      </c>
      <c r="L367" s="0" t="s">
        <v>437</v>
      </c>
      <c r="M367" s="0" t="s">
        <v>457</v>
      </c>
      <c r="R367" s="0" t="s">
        <v>95</v>
      </c>
    </row>
    <row r="368" customFormat="false" ht="15" hidden="false" customHeight="false" outlineLevel="0" collapsed="false">
      <c r="A368" s="0" t="s">
        <v>115</v>
      </c>
      <c r="B368" s="0" t="n">
        <v>2021</v>
      </c>
      <c r="C368" s="0" t="s">
        <v>101</v>
      </c>
      <c r="D368" s="0" t="s">
        <v>90</v>
      </c>
      <c r="E368" s="0" t="n">
        <v>1</v>
      </c>
      <c r="F368" s="0" t="s">
        <v>73</v>
      </c>
      <c r="H368" s="0" t="s">
        <v>457</v>
      </c>
      <c r="I368" s="0" t="s">
        <v>457</v>
      </c>
      <c r="J368" s="0" t="s">
        <v>457</v>
      </c>
      <c r="K368" s="0" t="s">
        <v>457</v>
      </c>
      <c r="L368" s="0" t="s">
        <v>457</v>
      </c>
      <c r="M368" s="0" t="s">
        <v>457</v>
      </c>
      <c r="O368" s="0" t="s">
        <v>2570</v>
      </c>
      <c r="P368" s="0" t="s">
        <v>2577</v>
      </c>
      <c r="Q368" s="0" t="s">
        <v>1641</v>
      </c>
      <c r="R368" s="0" t="s">
        <v>124</v>
      </c>
    </row>
    <row r="369" customFormat="false" ht="15" hidden="false" customHeight="false" outlineLevel="0" collapsed="false">
      <c r="A369" s="0" t="s">
        <v>115</v>
      </c>
      <c r="B369" s="0" t="n">
        <v>2021</v>
      </c>
      <c r="C369" s="0" t="s">
        <v>101</v>
      </c>
      <c r="D369" s="0" t="s">
        <v>90</v>
      </c>
      <c r="E369" s="0" t="n">
        <v>1</v>
      </c>
      <c r="F369" s="0" t="s">
        <v>69</v>
      </c>
      <c r="G369" s="0" t="n">
        <v>19.15</v>
      </c>
      <c r="H369" s="0" t="s">
        <v>437</v>
      </c>
      <c r="I369" s="0" t="s">
        <v>437</v>
      </c>
      <c r="J369" s="0" t="s">
        <v>437</v>
      </c>
      <c r="K369" s="0" t="s">
        <v>457</v>
      </c>
      <c r="L369" s="0" t="s">
        <v>437</v>
      </c>
      <c r="M369" s="0" t="s">
        <v>437</v>
      </c>
      <c r="O369" s="0" t="s">
        <v>2570</v>
      </c>
      <c r="P369" s="0" t="s">
        <v>2577</v>
      </c>
      <c r="Q369" s="0" t="s">
        <v>1641</v>
      </c>
      <c r="R369" s="0" t="s">
        <v>124</v>
      </c>
    </row>
    <row r="370" customFormat="false" ht="15" hidden="false" customHeight="false" outlineLevel="0" collapsed="false">
      <c r="A370" s="0" t="s">
        <v>115</v>
      </c>
      <c r="B370" s="0" t="n">
        <v>2021</v>
      </c>
      <c r="C370" s="0" t="s">
        <v>101</v>
      </c>
      <c r="D370" s="0" t="s">
        <v>90</v>
      </c>
      <c r="E370" s="0" t="n">
        <v>1</v>
      </c>
      <c r="F370" s="0" t="s">
        <v>25</v>
      </c>
      <c r="G370" s="0" t="n">
        <v>19.1471007819367</v>
      </c>
      <c r="H370" s="0" t="s">
        <v>437</v>
      </c>
      <c r="I370" s="0" t="s">
        <v>437</v>
      </c>
      <c r="J370" s="0" t="s">
        <v>437</v>
      </c>
      <c r="K370" s="0" t="s">
        <v>457</v>
      </c>
      <c r="L370" s="0" t="s">
        <v>437</v>
      </c>
      <c r="M370" s="0" t="s">
        <v>437</v>
      </c>
      <c r="O370" s="0" t="s">
        <v>2570</v>
      </c>
      <c r="P370" s="0" t="s">
        <v>2577</v>
      </c>
      <c r="Q370" s="0" t="s">
        <v>1641</v>
      </c>
      <c r="R370" s="0" t="s">
        <v>124</v>
      </c>
    </row>
    <row r="371" customFormat="false" ht="15" hidden="false" customHeight="false" outlineLevel="0" collapsed="false">
      <c r="A371" s="0" t="s">
        <v>115</v>
      </c>
      <c r="B371" s="0" t="n">
        <v>2021</v>
      </c>
      <c r="C371" s="0" t="s">
        <v>101</v>
      </c>
      <c r="D371" s="0" t="s">
        <v>90</v>
      </c>
      <c r="E371" s="0" t="n">
        <v>1</v>
      </c>
      <c r="F371" s="0" t="s">
        <v>41</v>
      </c>
      <c r="H371" s="0" t="s">
        <v>457</v>
      </c>
      <c r="I371" s="0" t="s">
        <v>457</v>
      </c>
      <c r="J371" s="0" t="s">
        <v>457</v>
      </c>
      <c r="K371" s="0" t="s">
        <v>457</v>
      </c>
      <c r="L371" s="0" t="s">
        <v>457</v>
      </c>
      <c r="M371" s="0" t="s">
        <v>457</v>
      </c>
      <c r="O371" s="0" t="s">
        <v>2570</v>
      </c>
      <c r="P371" s="0" t="s">
        <v>2577</v>
      </c>
      <c r="Q371" s="0" t="s">
        <v>1641</v>
      </c>
      <c r="R371" s="0" t="s">
        <v>124</v>
      </c>
    </row>
    <row r="372" customFormat="false" ht="15" hidden="false" customHeight="false" outlineLevel="0" collapsed="false">
      <c r="A372" s="0" t="s">
        <v>115</v>
      </c>
      <c r="B372" s="0" t="n">
        <v>2021</v>
      </c>
      <c r="C372" s="0" t="s">
        <v>101</v>
      </c>
      <c r="D372" s="0" t="s">
        <v>90</v>
      </c>
      <c r="E372" s="0" t="n">
        <v>1</v>
      </c>
      <c r="F372" s="0" t="s">
        <v>27</v>
      </c>
      <c r="G372" s="0" t="n">
        <v>8.69678404269653</v>
      </c>
      <c r="H372" s="0" t="s">
        <v>437</v>
      </c>
      <c r="I372" s="0" t="s">
        <v>437</v>
      </c>
      <c r="J372" s="0" t="s">
        <v>437</v>
      </c>
      <c r="K372" s="0" t="s">
        <v>457</v>
      </c>
      <c r="L372" s="0" t="s">
        <v>437</v>
      </c>
      <c r="M372" s="0" t="s">
        <v>437</v>
      </c>
      <c r="O372" s="0" t="s">
        <v>2570</v>
      </c>
      <c r="P372" s="0" t="s">
        <v>2577</v>
      </c>
      <c r="Q372" s="0" t="s">
        <v>1641</v>
      </c>
      <c r="R372" s="0" t="s">
        <v>124</v>
      </c>
    </row>
    <row r="373" customFormat="false" ht="15" hidden="false" customHeight="false" outlineLevel="0" collapsed="false">
      <c r="A373" s="0" t="s">
        <v>115</v>
      </c>
      <c r="B373" s="0" t="n">
        <v>2021</v>
      </c>
      <c r="C373" s="0" t="s">
        <v>101</v>
      </c>
      <c r="D373" s="0" t="s">
        <v>90</v>
      </c>
      <c r="E373" s="0" t="n">
        <v>1</v>
      </c>
      <c r="F373" s="0" t="s">
        <v>39</v>
      </c>
      <c r="H373" s="0" t="s">
        <v>457</v>
      </c>
      <c r="I373" s="0" t="s">
        <v>457</v>
      </c>
      <c r="J373" s="0" t="s">
        <v>457</v>
      </c>
      <c r="K373" s="0" t="s">
        <v>457</v>
      </c>
      <c r="L373" s="0" t="s">
        <v>457</v>
      </c>
      <c r="M373" s="0" t="s">
        <v>457</v>
      </c>
      <c r="O373" s="0" t="s">
        <v>2570</v>
      </c>
      <c r="P373" s="0" t="s">
        <v>2577</v>
      </c>
      <c r="Q373" s="0" t="s">
        <v>1641</v>
      </c>
      <c r="R373" s="0" t="s">
        <v>124</v>
      </c>
    </row>
    <row r="374" customFormat="false" ht="15" hidden="false" customHeight="false" outlineLevel="0" collapsed="false">
      <c r="A374" s="0" t="s">
        <v>115</v>
      </c>
      <c r="B374" s="0" t="n">
        <v>2021</v>
      </c>
      <c r="C374" s="0" t="s">
        <v>101</v>
      </c>
      <c r="D374" s="0" t="s">
        <v>90</v>
      </c>
      <c r="E374" s="0" t="n">
        <v>1</v>
      </c>
      <c r="F374" s="0" t="s">
        <v>17</v>
      </c>
      <c r="G374" s="0" t="n">
        <v>4.27873940213894</v>
      </c>
      <c r="H374" s="0" t="s">
        <v>437</v>
      </c>
      <c r="I374" s="0" t="s">
        <v>437</v>
      </c>
      <c r="J374" s="0" t="s">
        <v>437</v>
      </c>
      <c r="K374" s="0" t="s">
        <v>457</v>
      </c>
      <c r="L374" s="0" t="s">
        <v>437</v>
      </c>
      <c r="M374" s="0" t="s">
        <v>437</v>
      </c>
      <c r="O374" s="0" t="s">
        <v>2570</v>
      </c>
      <c r="P374" s="0" t="s">
        <v>2577</v>
      </c>
      <c r="Q374" s="0" t="s">
        <v>1641</v>
      </c>
      <c r="R374" s="0" t="s">
        <v>124</v>
      </c>
    </row>
    <row r="375" customFormat="false" ht="15" hidden="false" customHeight="false" outlineLevel="0" collapsed="false">
      <c r="A375" s="0" t="s">
        <v>115</v>
      </c>
      <c r="B375" s="0" t="n">
        <v>2021</v>
      </c>
      <c r="C375" s="0" t="s">
        <v>101</v>
      </c>
      <c r="D375" s="0" t="s">
        <v>90</v>
      </c>
      <c r="E375" s="0" t="n">
        <v>1</v>
      </c>
      <c r="F375" s="0" t="s">
        <v>29</v>
      </c>
      <c r="H375" s="0" t="s">
        <v>457</v>
      </c>
      <c r="I375" s="0" t="s">
        <v>457</v>
      </c>
      <c r="J375" s="0" t="s">
        <v>457</v>
      </c>
      <c r="K375" s="0" t="s">
        <v>457</v>
      </c>
      <c r="L375" s="0" t="s">
        <v>457</v>
      </c>
      <c r="M375" s="0" t="s">
        <v>457</v>
      </c>
      <c r="O375" s="0" t="s">
        <v>2570</v>
      </c>
      <c r="P375" s="0" t="s">
        <v>2577</v>
      </c>
      <c r="Q375" s="0" t="s">
        <v>1641</v>
      </c>
      <c r="R375" s="0" t="s">
        <v>124</v>
      </c>
    </row>
    <row r="376" customFormat="false" ht="15" hidden="false" customHeight="false" outlineLevel="0" collapsed="false">
      <c r="A376" s="0" t="s">
        <v>115</v>
      </c>
      <c r="B376" s="0" t="n">
        <v>2021</v>
      </c>
      <c r="C376" s="0" t="s">
        <v>101</v>
      </c>
      <c r="D376" s="0" t="s">
        <v>90</v>
      </c>
      <c r="E376" s="0" t="n">
        <v>1</v>
      </c>
      <c r="F376" s="0" t="s">
        <v>37</v>
      </c>
      <c r="H376" s="0" t="s">
        <v>457</v>
      </c>
      <c r="I376" s="0" t="s">
        <v>457</v>
      </c>
      <c r="J376" s="0" t="s">
        <v>457</v>
      </c>
      <c r="K376" s="0" t="s">
        <v>457</v>
      </c>
      <c r="L376" s="0" t="s">
        <v>457</v>
      </c>
      <c r="M376" s="0" t="s">
        <v>457</v>
      </c>
      <c r="O376" s="0" t="s">
        <v>2570</v>
      </c>
      <c r="P376" s="0" t="s">
        <v>2577</v>
      </c>
      <c r="Q376" s="0" t="s">
        <v>1641</v>
      </c>
      <c r="R376" s="0" t="s">
        <v>124</v>
      </c>
    </row>
    <row r="377" customFormat="false" ht="15" hidden="false" customHeight="false" outlineLevel="0" collapsed="false">
      <c r="A377" s="0" t="s">
        <v>115</v>
      </c>
      <c r="B377" s="0" t="n">
        <v>2021</v>
      </c>
      <c r="C377" s="0" t="s">
        <v>101</v>
      </c>
      <c r="D377" s="0" t="s">
        <v>90</v>
      </c>
      <c r="E377" s="0" t="n">
        <v>1</v>
      </c>
      <c r="F377" s="0" t="s">
        <v>23</v>
      </c>
      <c r="H377" s="0" t="s">
        <v>457</v>
      </c>
      <c r="I377" s="0" t="s">
        <v>457</v>
      </c>
      <c r="J377" s="0" t="s">
        <v>457</v>
      </c>
      <c r="K377" s="0" t="s">
        <v>457</v>
      </c>
      <c r="L377" s="0" t="s">
        <v>457</v>
      </c>
      <c r="M377" s="0" t="s">
        <v>457</v>
      </c>
      <c r="O377" s="0" t="s">
        <v>2570</v>
      </c>
      <c r="P377" s="0" t="s">
        <v>2577</v>
      </c>
      <c r="Q377" s="0" t="s">
        <v>1641</v>
      </c>
      <c r="R377" s="0" t="s">
        <v>124</v>
      </c>
    </row>
    <row r="378" customFormat="false" ht="15" hidden="false" customHeight="false" outlineLevel="0" collapsed="false">
      <c r="A378" s="0" t="s">
        <v>115</v>
      </c>
      <c r="B378" s="0" t="n">
        <v>2021</v>
      </c>
      <c r="C378" s="0" t="s">
        <v>101</v>
      </c>
      <c r="D378" s="0" t="s">
        <v>90</v>
      </c>
      <c r="E378" s="0" t="n">
        <v>1</v>
      </c>
      <c r="F378" s="0" t="s">
        <v>45</v>
      </c>
      <c r="H378" s="0" t="s">
        <v>457</v>
      </c>
      <c r="I378" s="0" t="s">
        <v>457</v>
      </c>
      <c r="J378" s="0" t="s">
        <v>457</v>
      </c>
      <c r="K378" s="0" t="s">
        <v>457</v>
      </c>
      <c r="L378" s="0" t="s">
        <v>457</v>
      </c>
      <c r="M378" s="0" t="s">
        <v>457</v>
      </c>
      <c r="O378" s="0" t="s">
        <v>2570</v>
      </c>
      <c r="P378" s="0" t="s">
        <v>2577</v>
      </c>
      <c r="Q378" s="0" t="s">
        <v>1641</v>
      </c>
      <c r="R378" s="0" t="s">
        <v>124</v>
      </c>
    </row>
    <row r="379" customFormat="false" ht="15" hidden="false" customHeight="false" outlineLevel="0" collapsed="false">
      <c r="A379" s="0" t="s">
        <v>115</v>
      </c>
      <c r="B379" s="0" t="n">
        <v>2021</v>
      </c>
      <c r="C379" s="0" t="s">
        <v>101</v>
      </c>
      <c r="D379" s="0" t="s">
        <v>90</v>
      </c>
      <c r="E379" s="0" t="n">
        <v>1</v>
      </c>
      <c r="F379" s="0" t="s">
        <v>71</v>
      </c>
      <c r="H379" s="0" t="s">
        <v>457</v>
      </c>
      <c r="I379" s="0" t="s">
        <v>457</v>
      </c>
      <c r="J379" s="0" t="s">
        <v>457</v>
      </c>
      <c r="K379" s="0" t="s">
        <v>457</v>
      </c>
      <c r="L379" s="0" t="s">
        <v>457</v>
      </c>
      <c r="M379" s="0" t="s">
        <v>457</v>
      </c>
      <c r="O379" s="0" t="s">
        <v>2570</v>
      </c>
      <c r="P379" s="0" t="s">
        <v>2577</v>
      </c>
      <c r="Q379" s="0" t="s">
        <v>1641</v>
      </c>
      <c r="R379" s="0" t="s">
        <v>124</v>
      </c>
    </row>
    <row r="380" customFormat="false" ht="15" hidden="false" customHeight="false" outlineLevel="0" collapsed="false">
      <c r="A380" s="0" t="s">
        <v>115</v>
      </c>
      <c r="B380" s="0" t="n">
        <v>2021</v>
      </c>
      <c r="C380" s="0" t="s">
        <v>101</v>
      </c>
      <c r="D380" s="0" t="s">
        <v>90</v>
      </c>
      <c r="E380" s="0" t="n">
        <v>1</v>
      </c>
      <c r="F380" s="0" t="s">
        <v>31</v>
      </c>
      <c r="G380" s="0" t="n">
        <v>91.3032159573035</v>
      </c>
      <c r="H380" s="0" t="s">
        <v>437</v>
      </c>
      <c r="I380" s="0" t="s">
        <v>437</v>
      </c>
      <c r="J380" s="0" t="s">
        <v>437</v>
      </c>
      <c r="K380" s="0" t="s">
        <v>457</v>
      </c>
      <c r="L380" s="0" t="s">
        <v>437</v>
      </c>
      <c r="M380" s="0" t="s">
        <v>437</v>
      </c>
      <c r="O380" s="0" t="s">
        <v>2570</v>
      </c>
      <c r="P380" s="0" t="s">
        <v>2577</v>
      </c>
      <c r="Q380" s="0" t="s">
        <v>1641</v>
      </c>
      <c r="R380" s="0" t="s">
        <v>124</v>
      </c>
    </row>
    <row r="381" customFormat="false" ht="15" hidden="false" customHeight="false" outlineLevel="0" collapsed="false">
      <c r="A381" s="0" t="s">
        <v>115</v>
      </c>
      <c r="B381" s="0" t="n">
        <v>2022</v>
      </c>
      <c r="C381" s="0" t="s">
        <v>101</v>
      </c>
      <c r="D381" s="0" t="s">
        <v>90</v>
      </c>
      <c r="E381" s="0" t="n">
        <v>1</v>
      </c>
      <c r="F381" s="0" t="s">
        <v>73</v>
      </c>
      <c r="G381" s="0" t="n">
        <v>0</v>
      </c>
      <c r="H381" s="0" t="s">
        <v>437</v>
      </c>
      <c r="I381" s="0" t="s">
        <v>437</v>
      </c>
      <c r="J381" s="0" t="s">
        <v>437</v>
      </c>
      <c r="K381" s="0" t="s">
        <v>457</v>
      </c>
      <c r="L381" s="0" t="s">
        <v>437</v>
      </c>
      <c r="M381" s="0" t="s">
        <v>457</v>
      </c>
      <c r="R381" s="0" t="s">
        <v>114</v>
      </c>
    </row>
    <row r="382" customFormat="false" ht="15" hidden="false" customHeight="false" outlineLevel="0" collapsed="false">
      <c r="A382" s="0" t="s">
        <v>115</v>
      </c>
      <c r="B382" s="0" t="n">
        <v>2022</v>
      </c>
      <c r="C382" s="0" t="s">
        <v>101</v>
      </c>
      <c r="D382" s="0" t="s">
        <v>90</v>
      </c>
      <c r="E382" s="0" t="n">
        <v>1</v>
      </c>
      <c r="F382" s="0" t="s">
        <v>69</v>
      </c>
      <c r="G382" s="0" t="n">
        <v>18.14</v>
      </c>
      <c r="H382" s="0" t="s">
        <v>437</v>
      </c>
      <c r="I382" s="0" t="s">
        <v>437</v>
      </c>
      <c r="J382" s="0" t="s">
        <v>437</v>
      </c>
      <c r="K382" s="0" t="s">
        <v>437</v>
      </c>
      <c r="L382" s="0" t="s">
        <v>437</v>
      </c>
      <c r="M382" s="0" t="s">
        <v>457</v>
      </c>
      <c r="R382" s="0" t="s">
        <v>114</v>
      </c>
    </row>
    <row r="383" customFormat="false" ht="15" hidden="false" customHeight="false" outlineLevel="0" collapsed="false">
      <c r="A383" s="0" t="s">
        <v>115</v>
      </c>
      <c r="B383" s="0" t="n">
        <v>2022</v>
      </c>
      <c r="C383" s="0" t="s">
        <v>101</v>
      </c>
      <c r="D383" s="0" t="s">
        <v>90</v>
      </c>
      <c r="E383" s="0" t="n">
        <v>1</v>
      </c>
      <c r="F383" s="0" t="s">
        <v>25</v>
      </c>
      <c r="G383" s="0" t="n">
        <v>18.1421782771385</v>
      </c>
      <c r="H383" s="0" t="s">
        <v>437</v>
      </c>
      <c r="I383" s="0" t="s">
        <v>437</v>
      </c>
      <c r="J383" s="0" t="s">
        <v>437</v>
      </c>
      <c r="K383" s="0" t="s">
        <v>437</v>
      </c>
      <c r="L383" s="0" t="s">
        <v>437</v>
      </c>
      <c r="M383" s="0" t="s">
        <v>457</v>
      </c>
      <c r="R383" s="0" t="s">
        <v>114</v>
      </c>
    </row>
    <row r="384" customFormat="false" ht="15" hidden="false" customHeight="false" outlineLevel="0" collapsed="false">
      <c r="A384" s="0" t="s">
        <v>115</v>
      </c>
      <c r="B384" s="0" t="n">
        <v>2022</v>
      </c>
      <c r="C384" s="0" t="s">
        <v>101</v>
      </c>
      <c r="D384" s="0" t="s">
        <v>90</v>
      </c>
      <c r="E384" s="0" t="n">
        <v>1</v>
      </c>
      <c r="F384" s="0" t="s">
        <v>41</v>
      </c>
      <c r="G384" s="0" t="n">
        <v>1.28548697476003</v>
      </c>
      <c r="H384" s="0" t="s">
        <v>437</v>
      </c>
      <c r="I384" s="0" t="s">
        <v>437</v>
      </c>
      <c r="J384" s="0" t="s">
        <v>437</v>
      </c>
      <c r="K384" s="0" t="s">
        <v>457</v>
      </c>
      <c r="L384" s="0" t="s">
        <v>437</v>
      </c>
      <c r="M384" s="0" t="s">
        <v>457</v>
      </c>
      <c r="R384" s="0" t="s">
        <v>114</v>
      </c>
    </row>
    <row r="385" customFormat="false" ht="15" hidden="false" customHeight="false" outlineLevel="0" collapsed="false">
      <c r="A385" s="0" t="s">
        <v>115</v>
      </c>
      <c r="B385" s="0" t="n">
        <v>2022</v>
      </c>
      <c r="C385" s="0" t="s">
        <v>101</v>
      </c>
      <c r="D385" s="0" t="s">
        <v>90</v>
      </c>
      <c r="E385" s="0" t="n">
        <v>1</v>
      </c>
      <c r="F385" s="0" t="s">
        <v>27</v>
      </c>
      <c r="G385" s="0" t="n">
        <v>7.88065406721319</v>
      </c>
      <c r="H385" s="0" t="s">
        <v>437</v>
      </c>
      <c r="I385" s="0" t="s">
        <v>437</v>
      </c>
      <c r="J385" s="0" t="s">
        <v>437</v>
      </c>
      <c r="K385" s="0" t="s">
        <v>437</v>
      </c>
      <c r="L385" s="0" t="s">
        <v>437</v>
      </c>
      <c r="M385" s="0" t="s">
        <v>457</v>
      </c>
      <c r="R385" s="0" t="s">
        <v>114</v>
      </c>
    </row>
    <row r="386" customFormat="false" ht="15" hidden="false" customHeight="false" outlineLevel="0" collapsed="false">
      <c r="A386" s="0" t="s">
        <v>115</v>
      </c>
      <c r="B386" s="0" t="n">
        <v>2022</v>
      </c>
      <c r="C386" s="0" t="s">
        <v>101</v>
      </c>
      <c r="D386" s="0" t="s">
        <v>90</v>
      </c>
      <c r="E386" s="0" t="n">
        <v>1</v>
      </c>
      <c r="F386" s="0" t="s">
        <v>39</v>
      </c>
      <c r="G386" s="0" t="n">
        <v>8.18745483676029</v>
      </c>
      <c r="H386" s="0" t="s">
        <v>437</v>
      </c>
      <c r="I386" s="0" t="s">
        <v>437</v>
      </c>
      <c r="J386" s="0" t="s">
        <v>437</v>
      </c>
      <c r="K386" s="0" t="s">
        <v>457</v>
      </c>
      <c r="L386" s="0" t="s">
        <v>437</v>
      </c>
      <c r="M386" s="0" t="s">
        <v>457</v>
      </c>
      <c r="R386" s="0" t="s">
        <v>114</v>
      </c>
    </row>
    <row r="387" customFormat="false" ht="15" hidden="false" customHeight="false" outlineLevel="0" collapsed="false">
      <c r="A387" s="0" t="s">
        <v>115</v>
      </c>
      <c r="B387" s="0" t="n">
        <v>2022</v>
      </c>
      <c r="C387" s="0" t="s">
        <v>101</v>
      </c>
      <c r="D387" s="0" t="s">
        <v>90</v>
      </c>
      <c r="E387" s="0" t="n">
        <v>1</v>
      </c>
      <c r="F387" s="0" t="s">
        <v>17</v>
      </c>
      <c r="G387" s="0" t="n">
        <v>3.66667273621151</v>
      </c>
      <c r="H387" s="0" t="s">
        <v>437</v>
      </c>
      <c r="I387" s="0" t="s">
        <v>437</v>
      </c>
      <c r="J387" s="0" t="s">
        <v>437</v>
      </c>
      <c r="K387" s="0" t="s">
        <v>437</v>
      </c>
      <c r="L387" s="0" t="s">
        <v>437</v>
      </c>
      <c r="M387" s="0" t="s">
        <v>457</v>
      </c>
      <c r="R387" s="0" t="s">
        <v>114</v>
      </c>
    </row>
    <row r="388" customFormat="false" ht="15" hidden="false" customHeight="false" outlineLevel="0" collapsed="false">
      <c r="A388" s="0" t="s">
        <v>115</v>
      </c>
      <c r="B388" s="0" t="n">
        <v>2022</v>
      </c>
      <c r="C388" s="0" t="s">
        <v>101</v>
      </c>
      <c r="D388" s="0" t="s">
        <v>90</v>
      </c>
      <c r="E388" s="0" t="n">
        <v>1</v>
      </c>
      <c r="F388" s="0" t="s">
        <v>29</v>
      </c>
      <c r="G388" s="0" t="n">
        <v>0.149749713286937</v>
      </c>
      <c r="H388" s="0" t="s">
        <v>437</v>
      </c>
      <c r="I388" s="0" t="s">
        <v>437</v>
      </c>
      <c r="J388" s="0" t="s">
        <v>437</v>
      </c>
      <c r="K388" s="0" t="s">
        <v>457</v>
      </c>
      <c r="L388" s="0" t="s">
        <v>437</v>
      </c>
      <c r="M388" s="0" t="s">
        <v>457</v>
      </c>
      <c r="R388" s="0" t="s">
        <v>114</v>
      </c>
    </row>
    <row r="389" customFormat="false" ht="15" hidden="false" customHeight="false" outlineLevel="0" collapsed="false">
      <c r="A389" s="0" t="s">
        <v>115</v>
      </c>
      <c r="B389" s="0" t="n">
        <v>2022</v>
      </c>
      <c r="C389" s="0" t="s">
        <v>101</v>
      </c>
      <c r="D389" s="0" t="s">
        <v>90</v>
      </c>
      <c r="E389" s="0" t="n">
        <v>1</v>
      </c>
      <c r="F389" s="0" t="s">
        <v>37</v>
      </c>
      <c r="H389" s="0" t="s">
        <v>457</v>
      </c>
      <c r="I389" s="0" t="s">
        <v>457</v>
      </c>
      <c r="J389" s="0" t="s">
        <v>457</v>
      </c>
      <c r="K389" s="0" t="s">
        <v>457</v>
      </c>
      <c r="L389" s="0" t="s">
        <v>457</v>
      </c>
      <c r="M389" s="0" t="s">
        <v>457</v>
      </c>
      <c r="R389" s="0" t="s">
        <v>114</v>
      </c>
    </row>
    <row r="390" customFormat="false" ht="15" hidden="false" customHeight="false" outlineLevel="0" collapsed="false">
      <c r="A390" s="0" t="s">
        <v>115</v>
      </c>
      <c r="B390" s="0" t="n">
        <v>2022</v>
      </c>
      <c r="C390" s="0" t="s">
        <v>101</v>
      </c>
      <c r="D390" s="0" t="s">
        <v>90</v>
      </c>
      <c r="E390" s="0" t="n">
        <v>1</v>
      </c>
      <c r="F390" s="0" t="s">
        <v>23</v>
      </c>
      <c r="H390" s="0" t="s">
        <v>457</v>
      </c>
      <c r="I390" s="0" t="s">
        <v>457</v>
      </c>
      <c r="J390" s="0" t="s">
        <v>457</v>
      </c>
      <c r="K390" s="0" t="s">
        <v>457</v>
      </c>
      <c r="L390" s="0" t="s">
        <v>457</v>
      </c>
      <c r="M390" s="0" t="s">
        <v>457</v>
      </c>
      <c r="R390" s="0" t="s">
        <v>114</v>
      </c>
    </row>
    <row r="391" customFormat="false" ht="15" hidden="false" customHeight="false" outlineLevel="0" collapsed="false">
      <c r="A391" s="0" t="s">
        <v>115</v>
      </c>
      <c r="B391" s="0" t="n">
        <v>2022</v>
      </c>
      <c r="C391" s="0" t="s">
        <v>101</v>
      </c>
      <c r="D391" s="0" t="s">
        <v>90</v>
      </c>
      <c r="E391" s="0" t="n">
        <v>1</v>
      </c>
      <c r="F391" s="0" t="s">
        <v>45</v>
      </c>
      <c r="H391" s="0" t="s">
        <v>457</v>
      </c>
      <c r="I391" s="0" t="s">
        <v>457</v>
      </c>
      <c r="J391" s="0" t="s">
        <v>457</v>
      </c>
      <c r="K391" s="0" t="s">
        <v>457</v>
      </c>
      <c r="L391" s="0" t="s">
        <v>457</v>
      </c>
      <c r="M391" s="0" t="s">
        <v>457</v>
      </c>
      <c r="R391" s="0" t="s">
        <v>114</v>
      </c>
    </row>
    <row r="392" customFormat="false" ht="15" hidden="false" customHeight="false" outlineLevel="0" collapsed="false">
      <c r="A392" s="0" t="s">
        <v>115</v>
      </c>
      <c r="B392" s="0" t="n">
        <v>2022</v>
      </c>
      <c r="C392" s="0" t="s">
        <v>101</v>
      </c>
      <c r="D392" s="0" t="s">
        <v>90</v>
      </c>
      <c r="E392" s="0" t="n">
        <v>1</v>
      </c>
      <c r="F392" s="0" t="s">
        <v>71</v>
      </c>
      <c r="H392" s="0" t="s">
        <v>457</v>
      </c>
      <c r="I392" s="0" t="s">
        <v>457</v>
      </c>
      <c r="J392" s="0" t="s">
        <v>457</v>
      </c>
      <c r="K392" s="0" t="s">
        <v>457</v>
      </c>
      <c r="L392" s="0" t="s">
        <v>457</v>
      </c>
      <c r="M392" s="0" t="s">
        <v>457</v>
      </c>
      <c r="R392" s="0" t="s">
        <v>114</v>
      </c>
    </row>
    <row r="393" customFormat="false" ht="15" hidden="false" customHeight="false" outlineLevel="0" collapsed="false">
      <c r="A393" s="0" t="s">
        <v>115</v>
      </c>
      <c r="B393" s="0" t="n">
        <v>2022</v>
      </c>
      <c r="C393" s="0" t="s">
        <v>101</v>
      </c>
      <c r="D393" s="0" t="s">
        <v>90</v>
      </c>
      <c r="E393" s="0" t="n">
        <v>1</v>
      </c>
      <c r="F393" s="0" t="s">
        <v>31</v>
      </c>
      <c r="G393" s="0" t="n">
        <v>92.1193459327868</v>
      </c>
      <c r="H393" s="0" t="s">
        <v>437</v>
      </c>
      <c r="I393" s="0" t="s">
        <v>437</v>
      </c>
      <c r="J393" s="0" t="s">
        <v>437</v>
      </c>
      <c r="K393" s="0" t="s">
        <v>437</v>
      </c>
      <c r="L393" s="0" t="s">
        <v>437</v>
      </c>
      <c r="M393" s="0" t="s">
        <v>457</v>
      </c>
      <c r="R393" s="0" t="s">
        <v>114</v>
      </c>
    </row>
    <row r="394" customFormat="false" ht="15" hidden="false" customHeight="false" outlineLevel="0" collapsed="false">
      <c r="A394" s="0" t="s">
        <v>125</v>
      </c>
      <c r="B394" s="0" t="n">
        <v>2013</v>
      </c>
      <c r="C394" s="0" t="s">
        <v>78</v>
      </c>
      <c r="D394" s="0" t="s">
        <v>79</v>
      </c>
      <c r="E394" s="0" t="n">
        <v>0</v>
      </c>
      <c r="F394" s="0" t="s">
        <v>73</v>
      </c>
      <c r="H394" s="0" t="s">
        <v>457</v>
      </c>
      <c r="I394" s="0" t="s">
        <v>457</v>
      </c>
      <c r="J394" s="0" t="s">
        <v>457</v>
      </c>
      <c r="K394" s="0" t="s">
        <v>457</v>
      </c>
      <c r="L394" s="0" t="s">
        <v>457</v>
      </c>
      <c r="M394" s="0" t="s">
        <v>457</v>
      </c>
      <c r="R394" s="0" t="s">
        <v>81</v>
      </c>
    </row>
    <row r="395" customFormat="false" ht="15" hidden="false" customHeight="false" outlineLevel="0" collapsed="false">
      <c r="A395" s="0" t="s">
        <v>125</v>
      </c>
      <c r="B395" s="0" t="n">
        <v>2013</v>
      </c>
      <c r="C395" s="0" t="s">
        <v>78</v>
      </c>
      <c r="D395" s="0" t="s">
        <v>79</v>
      </c>
      <c r="E395" s="0" t="n">
        <v>0</v>
      </c>
      <c r="F395" s="0" t="s">
        <v>69</v>
      </c>
      <c r="G395" s="0" t="n">
        <v>13.54</v>
      </c>
      <c r="H395" s="0" t="s">
        <v>437</v>
      </c>
      <c r="I395" s="0" t="s">
        <v>437</v>
      </c>
      <c r="J395" s="0" t="s">
        <v>437</v>
      </c>
      <c r="K395" s="0" t="s">
        <v>457</v>
      </c>
      <c r="L395" s="0" t="s">
        <v>437</v>
      </c>
      <c r="M395" s="0" t="s">
        <v>457</v>
      </c>
      <c r="R395" s="0" t="s">
        <v>81</v>
      </c>
    </row>
    <row r="396" customFormat="false" ht="15" hidden="false" customHeight="false" outlineLevel="0" collapsed="false">
      <c r="A396" s="0" t="s">
        <v>125</v>
      </c>
      <c r="B396" s="0" t="n">
        <v>2013</v>
      </c>
      <c r="C396" s="0" t="s">
        <v>78</v>
      </c>
      <c r="D396" s="0" t="s">
        <v>79</v>
      </c>
      <c r="E396" s="0" t="n">
        <v>0</v>
      </c>
      <c r="F396" s="0" t="s">
        <v>25</v>
      </c>
      <c r="H396" s="0" t="s">
        <v>457</v>
      </c>
      <c r="I396" s="0" t="s">
        <v>457</v>
      </c>
      <c r="J396" s="0" t="s">
        <v>457</v>
      </c>
      <c r="K396" s="0" t="s">
        <v>457</v>
      </c>
      <c r="L396" s="0" t="s">
        <v>457</v>
      </c>
      <c r="M396" s="0" t="s">
        <v>457</v>
      </c>
      <c r="R396" s="0" t="s">
        <v>81</v>
      </c>
    </row>
    <row r="397" customFormat="false" ht="15" hidden="false" customHeight="false" outlineLevel="0" collapsed="false">
      <c r="A397" s="0" t="s">
        <v>125</v>
      </c>
      <c r="B397" s="0" t="n">
        <v>2013</v>
      </c>
      <c r="C397" s="0" t="s">
        <v>78</v>
      </c>
      <c r="D397" s="0" t="s">
        <v>79</v>
      </c>
      <c r="E397" s="0" t="n">
        <v>0</v>
      </c>
      <c r="F397" s="0" t="s">
        <v>41</v>
      </c>
      <c r="H397" s="0" t="s">
        <v>457</v>
      </c>
      <c r="I397" s="0" t="s">
        <v>457</v>
      </c>
      <c r="J397" s="0" t="s">
        <v>457</v>
      </c>
      <c r="K397" s="0" t="s">
        <v>457</v>
      </c>
      <c r="L397" s="0" t="s">
        <v>457</v>
      </c>
      <c r="M397" s="0" t="s">
        <v>457</v>
      </c>
      <c r="R397" s="0" t="s">
        <v>81</v>
      </c>
    </row>
    <row r="398" customFormat="false" ht="15" hidden="false" customHeight="false" outlineLevel="0" collapsed="false">
      <c r="A398" s="0" t="s">
        <v>125</v>
      </c>
      <c r="B398" s="0" t="n">
        <v>2013</v>
      </c>
      <c r="C398" s="0" t="s">
        <v>78</v>
      </c>
      <c r="D398" s="0" t="s">
        <v>79</v>
      </c>
      <c r="E398" s="0" t="n">
        <v>0</v>
      </c>
      <c r="F398" s="0" t="s">
        <v>27</v>
      </c>
      <c r="G398" s="0" t="n">
        <v>10.8024169441126</v>
      </c>
      <c r="H398" s="0" t="s">
        <v>437</v>
      </c>
      <c r="I398" s="0" t="s">
        <v>437</v>
      </c>
      <c r="J398" s="0" t="s">
        <v>437</v>
      </c>
      <c r="K398" s="0" t="s">
        <v>457</v>
      </c>
      <c r="L398" s="0" t="s">
        <v>437</v>
      </c>
      <c r="M398" s="0" t="s">
        <v>457</v>
      </c>
      <c r="R398" s="0" t="s">
        <v>81</v>
      </c>
    </row>
    <row r="399" customFormat="false" ht="15" hidden="false" customHeight="false" outlineLevel="0" collapsed="false">
      <c r="A399" s="0" t="s">
        <v>125</v>
      </c>
      <c r="B399" s="0" t="n">
        <v>2013</v>
      </c>
      <c r="C399" s="0" t="s">
        <v>78</v>
      </c>
      <c r="D399" s="0" t="s">
        <v>79</v>
      </c>
      <c r="E399" s="0" t="n">
        <v>0</v>
      </c>
      <c r="F399" s="0" t="s">
        <v>39</v>
      </c>
      <c r="H399" s="0" t="s">
        <v>457</v>
      </c>
      <c r="I399" s="0" t="s">
        <v>457</v>
      </c>
      <c r="J399" s="0" t="s">
        <v>457</v>
      </c>
      <c r="K399" s="0" t="s">
        <v>457</v>
      </c>
      <c r="L399" s="0" t="s">
        <v>457</v>
      </c>
      <c r="M399" s="0" t="s">
        <v>457</v>
      </c>
      <c r="R399" s="0" t="s">
        <v>81</v>
      </c>
    </row>
    <row r="400" customFormat="false" ht="15" hidden="false" customHeight="false" outlineLevel="0" collapsed="false">
      <c r="A400" s="0" t="s">
        <v>125</v>
      </c>
      <c r="B400" s="0" t="n">
        <v>2013</v>
      </c>
      <c r="C400" s="0" t="s">
        <v>78</v>
      </c>
      <c r="D400" s="0" t="s">
        <v>79</v>
      </c>
      <c r="E400" s="0" t="n">
        <v>0</v>
      </c>
      <c r="F400" s="0" t="s">
        <v>17</v>
      </c>
      <c r="G400" s="0" t="n">
        <v>2.73538759628533</v>
      </c>
      <c r="H400" s="0" t="s">
        <v>437</v>
      </c>
      <c r="I400" s="0" t="s">
        <v>437</v>
      </c>
      <c r="J400" s="0" t="s">
        <v>437</v>
      </c>
      <c r="K400" s="0" t="s">
        <v>457</v>
      </c>
      <c r="L400" s="0" t="s">
        <v>437</v>
      </c>
      <c r="M400" s="0" t="s">
        <v>457</v>
      </c>
      <c r="R400" s="0" t="s">
        <v>81</v>
      </c>
    </row>
    <row r="401" customFormat="false" ht="15" hidden="false" customHeight="false" outlineLevel="0" collapsed="false">
      <c r="A401" s="0" t="s">
        <v>125</v>
      </c>
      <c r="B401" s="0" t="n">
        <v>2013</v>
      </c>
      <c r="C401" s="0" t="s">
        <v>78</v>
      </c>
      <c r="D401" s="0" t="s">
        <v>79</v>
      </c>
      <c r="E401" s="0" t="n">
        <v>0</v>
      </c>
      <c r="F401" s="0" t="s">
        <v>29</v>
      </c>
      <c r="H401" s="0" t="s">
        <v>457</v>
      </c>
      <c r="I401" s="0" t="s">
        <v>457</v>
      </c>
      <c r="J401" s="0" t="s">
        <v>457</v>
      </c>
      <c r="K401" s="0" t="s">
        <v>457</v>
      </c>
      <c r="L401" s="0" t="s">
        <v>457</v>
      </c>
      <c r="M401" s="0" t="s">
        <v>457</v>
      </c>
      <c r="R401" s="0" t="s">
        <v>81</v>
      </c>
    </row>
    <row r="402" customFormat="false" ht="15" hidden="false" customHeight="false" outlineLevel="0" collapsed="false">
      <c r="A402" s="0" t="s">
        <v>125</v>
      </c>
      <c r="B402" s="0" t="n">
        <v>2013</v>
      </c>
      <c r="C402" s="0" t="s">
        <v>78</v>
      </c>
      <c r="D402" s="0" t="s">
        <v>79</v>
      </c>
      <c r="E402" s="0" t="n">
        <v>0</v>
      </c>
      <c r="F402" s="0" t="s">
        <v>37</v>
      </c>
      <c r="H402" s="0" t="s">
        <v>457</v>
      </c>
      <c r="I402" s="0" t="s">
        <v>457</v>
      </c>
      <c r="J402" s="0" t="s">
        <v>457</v>
      </c>
      <c r="K402" s="0" t="s">
        <v>457</v>
      </c>
      <c r="L402" s="0" t="s">
        <v>457</v>
      </c>
      <c r="M402" s="0" t="s">
        <v>457</v>
      </c>
      <c r="R402" s="0" t="s">
        <v>81</v>
      </c>
    </row>
    <row r="403" customFormat="false" ht="15" hidden="false" customHeight="false" outlineLevel="0" collapsed="false">
      <c r="A403" s="0" t="s">
        <v>125</v>
      </c>
      <c r="B403" s="0" t="n">
        <v>2013</v>
      </c>
      <c r="C403" s="0" t="s">
        <v>78</v>
      </c>
      <c r="D403" s="0" t="s">
        <v>79</v>
      </c>
      <c r="E403" s="0" t="n">
        <v>0</v>
      </c>
      <c r="F403" s="0" t="s">
        <v>23</v>
      </c>
      <c r="H403" s="0" t="s">
        <v>457</v>
      </c>
      <c r="I403" s="0" t="s">
        <v>457</v>
      </c>
      <c r="J403" s="0" t="s">
        <v>457</v>
      </c>
      <c r="K403" s="0" t="s">
        <v>457</v>
      </c>
      <c r="L403" s="0" t="s">
        <v>457</v>
      </c>
      <c r="M403" s="0" t="s">
        <v>457</v>
      </c>
      <c r="R403" s="0" t="s">
        <v>81</v>
      </c>
    </row>
    <row r="404" customFormat="false" ht="15" hidden="false" customHeight="false" outlineLevel="0" collapsed="false">
      <c r="A404" s="0" t="s">
        <v>125</v>
      </c>
      <c r="B404" s="0" t="n">
        <v>2013</v>
      </c>
      <c r="C404" s="0" t="s">
        <v>78</v>
      </c>
      <c r="D404" s="0" t="s">
        <v>79</v>
      </c>
      <c r="E404" s="0" t="n">
        <v>0</v>
      </c>
      <c r="F404" s="0" t="s">
        <v>45</v>
      </c>
      <c r="H404" s="0" t="s">
        <v>457</v>
      </c>
      <c r="I404" s="0" t="s">
        <v>457</v>
      </c>
      <c r="J404" s="0" t="s">
        <v>457</v>
      </c>
      <c r="K404" s="0" t="s">
        <v>457</v>
      </c>
      <c r="L404" s="0" t="s">
        <v>457</v>
      </c>
      <c r="M404" s="0" t="s">
        <v>457</v>
      </c>
      <c r="R404" s="0" t="s">
        <v>81</v>
      </c>
    </row>
    <row r="405" customFormat="false" ht="15" hidden="false" customHeight="false" outlineLevel="0" collapsed="false">
      <c r="A405" s="0" t="s">
        <v>125</v>
      </c>
      <c r="B405" s="0" t="n">
        <v>2013</v>
      </c>
      <c r="C405" s="0" t="s">
        <v>78</v>
      </c>
      <c r="D405" s="0" t="s">
        <v>79</v>
      </c>
      <c r="E405" s="0" t="n">
        <v>0</v>
      </c>
      <c r="F405" s="0" t="s">
        <v>71</v>
      </c>
      <c r="H405" s="0" t="s">
        <v>457</v>
      </c>
      <c r="I405" s="0" t="s">
        <v>457</v>
      </c>
      <c r="J405" s="0" t="s">
        <v>457</v>
      </c>
      <c r="K405" s="0" t="s">
        <v>457</v>
      </c>
      <c r="L405" s="0" t="s">
        <v>457</v>
      </c>
      <c r="M405" s="0" t="s">
        <v>457</v>
      </c>
      <c r="R405" s="0" t="s">
        <v>81</v>
      </c>
    </row>
    <row r="406" customFormat="false" ht="15" hidden="false" customHeight="false" outlineLevel="0" collapsed="false">
      <c r="A406" s="0" t="s">
        <v>125</v>
      </c>
      <c r="B406" s="0" t="n">
        <v>2013</v>
      </c>
      <c r="C406" s="0" t="s">
        <v>78</v>
      </c>
      <c r="D406" s="0" t="s">
        <v>79</v>
      </c>
      <c r="E406" s="0" t="n">
        <v>0</v>
      </c>
      <c r="F406" s="0" t="s">
        <v>31</v>
      </c>
      <c r="G406" s="0" t="n">
        <v>89.1975830558875</v>
      </c>
      <c r="H406" s="0" t="s">
        <v>437</v>
      </c>
      <c r="I406" s="0" t="s">
        <v>437</v>
      </c>
      <c r="J406" s="0" t="s">
        <v>437</v>
      </c>
      <c r="K406" s="0" t="s">
        <v>457</v>
      </c>
      <c r="L406" s="0" t="s">
        <v>437</v>
      </c>
      <c r="M406" s="0" t="s">
        <v>457</v>
      </c>
      <c r="R406" s="0" t="s">
        <v>81</v>
      </c>
    </row>
    <row r="407" customFormat="false" ht="15" hidden="false" customHeight="false" outlineLevel="0" collapsed="false">
      <c r="A407" s="0" t="s">
        <v>125</v>
      </c>
      <c r="B407" s="0" t="n">
        <v>2014</v>
      </c>
      <c r="C407" s="0" t="s">
        <v>78</v>
      </c>
      <c r="D407" s="0" t="s">
        <v>79</v>
      </c>
      <c r="E407" s="0" t="n">
        <v>0</v>
      </c>
      <c r="F407" s="0" t="s">
        <v>73</v>
      </c>
      <c r="H407" s="0" t="s">
        <v>457</v>
      </c>
      <c r="I407" s="0" t="s">
        <v>457</v>
      </c>
      <c r="J407" s="0" t="s">
        <v>457</v>
      </c>
      <c r="K407" s="0" t="s">
        <v>457</v>
      </c>
      <c r="L407" s="0" t="s">
        <v>457</v>
      </c>
      <c r="M407" s="0" t="s">
        <v>457</v>
      </c>
      <c r="R407" s="0" t="s">
        <v>81</v>
      </c>
    </row>
    <row r="408" customFormat="false" ht="15" hidden="false" customHeight="false" outlineLevel="0" collapsed="false">
      <c r="A408" s="0" t="s">
        <v>125</v>
      </c>
      <c r="B408" s="0" t="n">
        <v>2014</v>
      </c>
      <c r="C408" s="0" t="s">
        <v>78</v>
      </c>
      <c r="D408" s="0" t="s">
        <v>79</v>
      </c>
      <c r="E408" s="0" t="n">
        <v>0</v>
      </c>
      <c r="F408" s="0" t="s">
        <v>69</v>
      </c>
      <c r="G408" s="0" t="n">
        <v>15.78</v>
      </c>
      <c r="H408" s="0" t="s">
        <v>437</v>
      </c>
      <c r="I408" s="0" t="s">
        <v>437</v>
      </c>
      <c r="J408" s="0" t="s">
        <v>437</v>
      </c>
      <c r="K408" s="0" t="s">
        <v>437</v>
      </c>
      <c r="L408" s="0" t="s">
        <v>437</v>
      </c>
      <c r="M408" s="0" t="s">
        <v>457</v>
      </c>
      <c r="R408" s="0" t="s">
        <v>81</v>
      </c>
    </row>
    <row r="409" customFormat="false" ht="15" hidden="false" customHeight="false" outlineLevel="0" collapsed="false">
      <c r="A409" s="0" t="s">
        <v>125</v>
      </c>
      <c r="B409" s="0" t="n">
        <v>2014</v>
      </c>
      <c r="C409" s="0" t="s">
        <v>78</v>
      </c>
      <c r="D409" s="0" t="s">
        <v>79</v>
      </c>
      <c r="E409" s="0" t="n">
        <v>0</v>
      </c>
      <c r="F409" s="0" t="s">
        <v>25</v>
      </c>
      <c r="H409" s="0" t="s">
        <v>457</v>
      </c>
      <c r="I409" s="0" t="s">
        <v>457</v>
      </c>
      <c r="J409" s="0" t="s">
        <v>457</v>
      </c>
      <c r="K409" s="0" t="s">
        <v>457</v>
      </c>
      <c r="L409" s="0" t="s">
        <v>457</v>
      </c>
      <c r="M409" s="0" t="s">
        <v>457</v>
      </c>
      <c r="R409" s="0" t="s">
        <v>81</v>
      </c>
    </row>
    <row r="410" customFormat="false" ht="15" hidden="false" customHeight="false" outlineLevel="0" collapsed="false">
      <c r="A410" s="0" t="s">
        <v>125</v>
      </c>
      <c r="B410" s="0" t="n">
        <v>2014</v>
      </c>
      <c r="C410" s="0" t="s">
        <v>78</v>
      </c>
      <c r="D410" s="0" t="s">
        <v>79</v>
      </c>
      <c r="E410" s="0" t="n">
        <v>0</v>
      </c>
      <c r="F410" s="0" t="s">
        <v>41</v>
      </c>
      <c r="G410" s="0" t="n">
        <v>2.35552026360121</v>
      </c>
      <c r="H410" s="0" t="s">
        <v>437</v>
      </c>
      <c r="I410" s="0" t="s">
        <v>437</v>
      </c>
      <c r="J410" s="0" t="s">
        <v>437</v>
      </c>
      <c r="K410" s="0" t="s">
        <v>457</v>
      </c>
      <c r="L410" s="0" t="s">
        <v>437</v>
      </c>
      <c r="M410" s="0" t="s">
        <v>457</v>
      </c>
      <c r="R410" s="0" t="s">
        <v>81</v>
      </c>
    </row>
    <row r="411" customFormat="false" ht="15" hidden="false" customHeight="false" outlineLevel="0" collapsed="false">
      <c r="A411" s="0" t="s">
        <v>125</v>
      </c>
      <c r="B411" s="0" t="n">
        <v>2014</v>
      </c>
      <c r="C411" s="0" t="s">
        <v>78</v>
      </c>
      <c r="D411" s="0" t="s">
        <v>79</v>
      </c>
      <c r="E411" s="0" t="n">
        <v>0</v>
      </c>
      <c r="F411" s="0" t="s">
        <v>27</v>
      </c>
      <c r="G411" s="0" t="n">
        <v>12.1186660864867</v>
      </c>
      <c r="H411" s="0" t="s">
        <v>437</v>
      </c>
      <c r="I411" s="0" t="s">
        <v>437</v>
      </c>
      <c r="J411" s="0" t="s">
        <v>437</v>
      </c>
      <c r="K411" s="0" t="s">
        <v>437</v>
      </c>
      <c r="L411" s="0" t="s">
        <v>437</v>
      </c>
      <c r="M411" s="0" t="s">
        <v>457</v>
      </c>
      <c r="R411" s="0" t="s">
        <v>81</v>
      </c>
    </row>
    <row r="412" customFormat="false" ht="15" hidden="false" customHeight="false" outlineLevel="0" collapsed="false">
      <c r="A412" s="0" t="s">
        <v>125</v>
      </c>
      <c r="B412" s="0" t="n">
        <v>2014</v>
      </c>
      <c r="C412" s="0" t="s">
        <v>78</v>
      </c>
      <c r="D412" s="0" t="s">
        <v>79</v>
      </c>
      <c r="E412" s="0" t="n">
        <v>0</v>
      </c>
      <c r="F412" s="0" t="s">
        <v>39</v>
      </c>
      <c r="G412" s="0" t="n">
        <v>-15.0402600390355</v>
      </c>
      <c r="H412" s="0" t="s">
        <v>437</v>
      </c>
      <c r="I412" s="0" t="s">
        <v>437</v>
      </c>
      <c r="J412" s="0" t="s">
        <v>437</v>
      </c>
      <c r="K412" s="0" t="s">
        <v>457</v>
      </c>
      <c r="L412" s="0" t="s">
        <v>437</v>
      </c>
      <c r="M412" s="0" t="s">
        <v>457</v>
      </c>
      <c r="R412" s="0" t="s">
        <v>81</v>
      </c>
    </row>
    <row r="413" customFormat="false" ht="15" hidden="false" customHeight="false" outlineLevel="0" collapsed="false">
      <c r="A413" s="0" t="s">
        <v>125</v>
      </c>
      <c r="B413" s="0" t="n">
        <v>2014</v>
      </c>
      <c r="C413" s="0" t="s">
        <v>78</v>
      </c>
      <c r="D413" s="0" t="s">
        <v>79</v>
      </c>
      <c r="E413" s="0" t="n">
        <v>0</v>
      </c>
      <c r="F413" s="0" t="s">
        <v>17</v>
      </c>
      <c r="G413" s="0" t="n">
        <v>2.0779354044278</v>
      </c>
      <c r="H413" s="0" t="s">
        <v>437</v>
      </c>
      <c r="I413" s="0" t="s">
        <v>437</v>
      </c>
      <c r="J413" s="0" t="s">
        <v>437</v>
      </c>
      <c r="K413" s="0" t="s">
        <v>437</v>
      </c>
      <c r="L413" s="0" t="s">
        <v>437</v>
      </c>
      <c r="M413" s="0" t="s">
        <v>457</v>
      </c>
      <c r="R413" s="0" t="s">
        <v>81</v>
      </c>
    </row>
    <row r="414" customFormat="false" ht="15" hidden="false" customHeight="false" outlineLevel="0" collapsed="false">
      <c r="A414" s="0" t="s">
        <v>125</v>
      </c>
      <c r="B414" s="0" t="n">
        <v>2014</v>
      </c>
      <c r="C414" s="0" t="s">
        <v>78</v>
      </c>
      <c r="D414" s="0" t="s">
        <v>79</v>
      </c>
      <c r="E414" s="0" t="n">
        <v>0</v>
      </c>
      <c r="F414" s="0" t="s">
        <v>29</v>
      </c>
      <c r="G414" s="0" t="n">
        <v>0.621125203155497</v>
      </c>
      <c r="H414" s="0" t="s">
        <v>437</v>
      </c>
      <c r="I414" s="0" t="s">
        <v>437</v>
      </c>
      <c r="J414" s="0" t="s">
        <v>437</v>
      </c>
      <c r="K414" s="0" t="s">
        <v>457</v>
      </c>
      <c r="L414" s="0" t="s">
        <v>437</v>
      </c>
      <c r="M414" s="0" t="s">
        <v>457</v>
      </c>
      <c r="R414" s="0" t="s">
        <v>81</v>
      </c>
    </row>
    <row r="415" customFormat="false" ht="15" hidden="false" customHeight="false" outlineLevel="0" collapsed="false">
      <c r="A415" s="0" t="s">
        <v>125</v>
      </c>
      <c r="B415" s="0" t="n">
        <v>2014</v>
      </c>
      <c r="C415" s="0" t="s">
        <v>78</v>
      </c>
      <c r="D415" s="0" t="s">
        <v>79</v>
      </c>
      <c r="E415" s="0" t="n">
        <v>0</v>
      </c>
      <c r="F415" s="0" t="s">
        <v>37</v>
      </c>
      <c r="H415" s="0" t="s">
        <v>457</v>
      </c>
      <c r="I415" s="0" t="s">
        <v>457</v>
      </c>
      <c r="J415" s="0" t="s">
        <v>457</v>
      </c>
      <c r="K415" s="0" t="s">
        <v>457</v>
      </c>
      <c r="L415" s="0" t="s">
        <v>457</v>
      </c>
      <c r="M415" s="0" t="s">
        <v>457</v>
      </c>
      <c r="R415" s="0" t="s">
        <v>81</v>
      </c>
    </row>
    <row r="416" customFormat="false" ht="15" hidden="false" customHeight="false" outlineLevel="0" collapsed="false">
      <c r="A416" s="0" t="s">
        <v>125</v>
      </c>
      <c r="B416" s="0" t="n">
        <v>2014</v>
      </c>
      <c r="C416" s="0" t="s">
        <v>78</v>
      </c>
      <c r="D416" s="0" t="s">
        <v>79</v>
      </c>
      <c r="E416" s="0" t="n">
        <v>0</v>
      </c>
      <c r="F416" s="0" t="s">
        <v>23</v>
      </c>
      <c r="H416" s="0" t="s">
        <v>457</v>
      </c>
      <c r="I416" s="0" t="s">
        <v>457</v>
      </c>
      <c r="J416" s="0" t="s">
        <v>457</v>
      </c>
      <c r="K416" s="0" t="s">
        <v>457</v>
      </c>
      <c r="L416" s="0" t="s">
        <v>457</v>
      </c>
      <c r="M416" s="0" t="s">
        <v>457</v>
      </c>
      <c r="R416" s="0" t="s">
        <v>81</v>
      </c>
    </row>
    <row r="417" customFormat="false" ht="15" hidden="false" customHeight="false" outlineLevel="0" collapsed="false">
      <c r="A417" s="0" t="s">
        <v>125</v>
      </c>
      <c r="B417" s="0" t="n">
        <v>2014</v>
      </c>
      <c r="C417" s="0" t="s">
        <v>78</v>
      </c>
      <c r="D417" s="0" t="s">
        <v>79</v>
      </c>
      <c r="E417" s="0" t="n">
        <v>0</v>
      </c>
      <c r="F417" s="0" t="s">
        <v>45</v>
      </c>
      <c r="H417" s="0" t="s">
        <v>457</v>
      </c>
      <c r="I417" s="0" t="s">
        <v>457</v>
      </c>
      <c r="J417" s="0" t="s">
        <v>457</v>
      </c>
      <c r="K417" s="0" t="s">
        <v>457</v>
      </c>
      <c r="L417" s="0" t="s">
        <v>457</v>
      </c>
      <c r="M417" s="0" t="s">
        <v>457</v>
      </c>
      <c r="R417" s="0" t="s">
        <v>81</v>
      </c>
    </row>
    <row r="418" customFormat="false" ht="15" hidden="false" customHeight="false" outlineLevel="0" collapsed="false">
      <c r="A418" s="0" t="s">
        <v>125</v>
      </c>
      <c r="B418" s="0" t="n">
        <v>2014</v>
      </c>
      <c r="C418" s="0" t="s">
        <v>78</v>
      </c>
      <c r="D418" s="0" t="s">
        <v>79</v>
      </c>
      <c r="E418" s="0" t="n">
        <v>0</v>
      </c>
      <c r="F418" s="0" t="s">
        <v>71</v>
      </c>
      <c r="H418" s="0" t="s">
        <v>457</v>
      </c>
      <c r="I418" s="0" t="s">
        <v>457</v>
      </c>
      <c r="J418" s="0" t="s">
        <v>457</v>
      </c>
      <c r="K418" s="0" t="s">
        <v>457</v>
      </c>
      <c r="L418" s="0" t="s">
        <v>457</v>
      </c>
      <c r="M418" s="0" t="s">
        <v>457</v>
      </c>
      <c r="R418" s="0" t="s">
        <v>81</v>
      </c>
    </row>
    <row r="419" customFormat="false" ht="15" hidden="false" customHeight="false" outlineLevel="0" collapsed="false">
      <c r="A419" s="0" t="s">
        <v>125</v>
      </c>
      <c r="B419" s="0" t="n">
        <v>2014</v>
      </c>
      <c r="C419" s="0" t="s">
        <v>78</v>
      </c>
      <c r="D419" s="0" t="s">
        <v>79</v>
      </c>
      <c r="E419" s="0" t="n">
        <v>0</v>
      </c>
      <c r="F419" s="0" t="s">
        <v>31</v>
      </c>
      <c r="G419" s="0" t="n">
        <v>87.8813339135133</v>
      </c>
      <c r="H419" s="0" t="s">
        <v>437</v>
      </c>
      <c r="I419" s="0" t="s">
        <v>437</v>
      </c>
      <c r="J419" s="0" t="s">
        <v>437</v>
      </c>
      <c r="K419" s="0" t="s">
        <v>437</v>
      </c>
      <c r="L419" s="0" t="s">
        <v>437</v>
      </c>
      <c r="M419" s="0" t="s">
        <v>457</v>
      </c>
      <c r="R419" s="0" t="s">
        <v>81</v>
      </c>
    </row>
    <row r="420" customFormat="false" ht="15" hidden="false" customHeight="false" outlineLevel="0" collapsed="false">
      <c r="A420" s="0" t="s">
        <v>125</v>
      </c>
      <c r="B420" s="0" t="n">
        <v>2015</v>
      </c>
      <c r="C420" s="0" t="s">
        <v>78</v>
      </c>
      <c r="D420" s="0" t="s">
        <v>79</v>
      </c>
      <c r="E420" s="0" t="n">
        <v>0</v>
      </c>
      <c r="F420" s="0" t="s">
        <v>73</v>
      </c>
      <c r="H420" s="0" t="s">
        <v>457</v>
      </c>
      <c r="I420" s="0" t="s">
        <v>457</v>
      </c>
      <c r="J420" s="0" t="s">
        <v>457</v>
      </c>
      <c r="K420" s="0" t="s">
        <v>457</v>
      </c>
      <c r="L420" s="0" t="s">
        <v>457</v>
      </c>
      <c r="M420" s="0" t="s">
        <v>457</v>
      </c>
      <c r="R420" s="0" t="s">
        <v>84</v>
      </c>
    </row>
    <row r="421" customFormat="false" ht="15" hidden="false" customHeight="false" outlineLevel="0" collapsed="false">
      <c r="A421" s="0" t="s">
        <v>125</v>
      </c>
      <c r="B421" s="0" t="n">
        <v>2015</v>
      </c>
      <c r="C421" s="0" t="s">
        <v>78</v>
      </c>
      <c r="D421" s="0" t="s">
        <v>79</v>
      </c>
      <c r="E421" s="0" t="n">
        <v>0</v>
      </c>
      <c r="F421" s="0" t="s">
        <v>69</v>
      </c>
      <c r="G421" s="0" t="n">
        <v>17.08</v>
      </c>
      <c r="H421" s="0" t="s">
        <v>437</v>
      </c>
      <c r="I421" s="0" t="s">
        <v>437</v>
      </c>
      <c r="J421" s="0" t="s">
        <v>437</v>
      </c>
      <c r="K421" s="0" t="s">
        <v>437</v>
      </c>
      <c r="L421" s="0" t="s">
        <v>437</v>
      </c>
      <c r="M421" s="0" t="s">
        <v>457</v>
      </c>
      <c r="R421" s="0" t="s">
        <v>84</v>
      </c>
    </row>
    <row r="422" customFormat="false" ht="15" hidden="false" customHeight="false" outlineLevel="0" collapsed="false">
      <c r="A422" s="0" t="s">
        <v>125</v>
      </c>
      <c r="B422" s="0" t="n">
        <v>2015</v>
      </c>
      <c r="C422" s="0" t="s">
        <v>78</v>
      </c>
      <c r="D422" s="0" t="s">
        <v>79</v>
      </c>
      <c r="E422" s="0" t="n">
        <v>0</v>
      </c>
      <c r="F422" s="0" t="s">
        <v>25</v>
      </c>
      <c r="G422" s="0" t="n">
        <v>17.0790438731121</v>
      </c>
      <c r="H422" s="0" t="s">
        <v>437</v>
      </c>
      <c r="I422" s="0" t="s">
        <v>437</v>
      </c>
      <c r="J422" s="0" t="s">
        <v>437</v>
      </c>
      <c r="K422" s="0" t="s">
        <v>457</v>
      </c>
      <c r="L422" s="0" t="s">
        <v>437</v>
      </c>
      <c r="M422" s="0" t="s">
        <v>457</v>
      </c>
      <c r="R422" s="0" t="s">
        <v>84</v>
      </c>
    </row>
    <row r="423" customFormat="false" ht="15" hidden="false" customHeight="false" outlineLevel="0" collapsed="false">
      <c r="A423" s="0" t="s">
        <v>125</v>
      </c>
      <c r="B423" s="0" t="n">
        <v>2015</v>
      </c>
      <c r="C423" s="0" t="s">
        <v>78</v>
      </c>
      <c r="D423" s="0" t="s">
        <v>79</v>
      </c>
      <c r="E423" s="0" t="n">
        <v>0</v>
      </c>
      <c r="F423" s="0" t="s">
        <v>41</v>
      </c>
      <c r="G423" s="0" t="n">
        <v>0.00108452780392206</v>
      </c>
      <c r="H423" s="0" t="s">
        <v>437</v>
      </c>
      <c r="I423" s="0" t="s">
        <v>437</v>
      </c>
      <c r="J423" s="0" t="s">
        <v>437</v>
      </c>
      <c r="K423" s="0" t="s">
        <v>437</v>
      </c>
      <c r="L423" s="0" t="s">
        <v>437</v>
      </c>
      <c r="M423" s="0" t="s">
        <v>457</v>
      </c>
      <c r="R423" s="0" t="s">
        <v>84</v>
      </c>
    </row>
    <row r="424" customFormat="false" ht="15" hidden="false" customHeight="false" outlineLevel="0" collapsed="false">
      <c r="A424" s="0" t="s">
        <v>125</v>
      </c>
      <c r="B424" s="0" t="n">
        <v>2015</v>
      </c>
      <c r="C424" s="0" t="s">
        <v>78</v>
      </c>
      <c r="D424" s="0" t="s">
        <v>79</v>
      </c>
      <c r="E424" s="0" t="n">
        <v>0</v>
      </c>
      <c r="F424" s="0" t="s">
        <v>27</v>
      </c>
      <c r="G424" s="0" t="n">
        <v>13.7963764582317</v>
      </c>
      <c r="H424" s="0" t="s">
        <v>437</v>
      </c>
      <c r="I424" s="0" t="s">
        <v>437</v>
      </c>
      <c r="J424" s="0" t="s">
        <v>437</v>
      </c>
      <c r="K424" s="0" t="s">
        <v>437</v>
      </c>
      <c r="L424" s="0" t="s">
        <v>437</v>
      </c>
      <c r="M424" s="0" t="s">
        <v>457</v>
      </c>
      <c r="R424" s="0" t="s">
        <v>84</v>
      </c>
    </row>
    <row r="425" customFormat="false" ht="15" hidden="false" customHeight="false" outlineLevel="0" collapsed="false">
      <c r="A425" s="0" t="s">
        <v>125</v>
      </c>
      <c r="B425" s="0" t="n">
        <v>2015</v>
      </c>
      <c r="C425" s="0" t="s">
        <v>78</v>
      </c>
      <c r="D425" s="0" t="s">
        <v>79</v>
      </c>
      <c r="E425" s="0" t="n">
        <v>0</v>
      </c>
      <c r="F425" s="0" t="s">
        <v>39</v>
      </c>
      <c r="G425" s="0" t="n">
        <v>8.96793109906927</v>
      </c>
      <c r="H425" s="0" t="s">
        <v>437</v>
      </c>
      <c r="I425" s="0" t="s">
        <v>437</v>
      </c>
      <c r="J425" s="0" t="s">
        <v>437</v>
      </c>
      <c r="K425" s="0" t="s">
        <v>437</v>
      </c>
      <c r="L425" s="0" t="s">
        <v>437</v>
      </c>
      <c r="M425" s="0" t="s">
        <v>457</v>
      </c>
      <c r="R425" s="0" t="s">
        <v>84</v>
      </c>
    </row>
    <row r="426" customFormat="false" ht="15" hidden="false" customHeight="false" outlineLevel="0" collapsed="false">
      <c r="A426" s="0" t="s">
        <v>125</v>
      </c>
      <c r="B426" s="0" t="n">
        <v>2015</v>
      </c>
      <c r="C426" s="0" t="s">
        <v>78</v>
      </c>
      <c r="D426" s="0" t="s">
        <v>79</v>
      </c>
      <c r="E426" s="0" t="n">
        <v>0</v>
      </c>
      <c r="F426" s="0" t="s">
        <v>17</v>
      </c>
      <c r="G426" s="0" t="n">
        <v>8.63050304212834</v>
      </c>
      <c r="H426" s="0" t="s">
        <v>437</v>
      </c>
      <c r="I426" s="0" t="s">
        <v>437</v>
      </c>
      <c r="J426" s="0" t="s">
        <v>437</v>
      </c>
      <c r="K426" s="0" t="s">
        <v>437</v>
      </c>
      <c r="L426" s="0" t="s">
        <v>437</v>
      </c>
      <c r="M426" s="0" t="s">
        <v>457</v>
      </c>
      <c r="R426" s="0" t="s">
        <v>84</v>
      </c>
    </row>
    <row r="427" customFormat="false" ht="15" hidden="false" customHeight="false" outlineLevel="0" collapsed="false">
      <c r="A427" s="0" t="s">
        <v>125</v>
      </c>
      <c r="B427" s="0" t="n">
        <v>2015</v>
      </c>
      <c r="C427" s="0" t="s">
        <v>78</v>
      </c>
      <c r="D427" s="0" t="s">
        <v>79</v>
      </c>
      <c r="E427" s="0" t="n">
        <v>0</v>
      </c>
      <c r="F427" s="0" t="s">
        <v>29</v>
      </c>
      <c r="G427" s="0" t="n">
        <v>3.518735804044</v>
      </c>
      <c r="H427" s="0" t="s">
        <v>437</v>
      </c>
      <c r="I427" s="0" t="s">
        <v>437</v>
      </c>
      <c r="J427" s="0" t="s">
        <v>437</v>
      </c>
      <c r="K427" s="0" t="s">
        <v>437</v>
      </c>
      <c r="L427" s="0" t="s">
        <v>437</v>
      </c>
      <c r="M427" s="0" t="s">
        <v>457</v>
      </c>
      <c r="R427" s="0" t="s">
        <v>84</v>
      </c>
    </row>
    <row r="428" customFormat="false" ht="15" hidden="false" customHeight="false" outlineLevel="0" collapsed="false">
      <c r="A428" s="0" t="s">
        <v>125</v>
      </c>
      <c r="B428" s="0" t="n">
        <v>2015</v>
      </c>
      <c r="C428" s="0" t="s">
        <v>78</v>
      </c>
      <c r="D428" s="0" t="s">
        <v>79</v>
      </c>
      <c r="E428" s="0" t="n">
        <v>0</v>
      </c>
      <c r="F428" s="0" t="s">
        <v>37</v>
      </c>
      <c r="H428" s="0" t="s">
        <v>457</v>
      </c>
      <c r="I428" s="0" t="s">
        <v>457</v>
      </c>
      <c r="J428" s="0" t="s">
        <v>457</v>
      </c>
      <c r="K428" s="0" t="s">
        <v>457</v>
      </c>
      <c r="L428" s="0" t="s">
        <v>457</v>
      </c>
      <c r="M428" s="0" t="s">
        <v>457</v>
      </c>
      <c r="R428" s="0" t="s">
        <v>84</v>
      </c>
    </row>
    <row r="429" customFormat="false" ht="15" hidden="false" customHeight="false" outlineLevel="0" collapsed="false">
      <c r="A429" s="0" t="s">
        <v>125</v>
      </c>
      <c r="B429" s="0" t="n">
        <v>2015</v>
      </c>
      <c r="C429" s="0" t="s">
        <v>78</v>
      </c>
      <c r="D429" s="0" t="s">
        <v>79</v>
      </c>
      <c r="E429" s="0" t="n">
        <v>0</v>
      </c>
      <c r="F429" s="0" t="s">
        <v>23</v>
      </c>
      <c r="H429" s="0" t="s">
        <v>457</v>
      </c>
      <c r="I429" s="0" t="s">
        <v>457</v>
      </c>
      <c r="J429" s="0" t="s">
        <v>457</v>
      </c>
      <c r="K429" s="0" t="s">
        <v>457</v>
      </c>
      <c r="L429" s="0" t="s">
        <v>457</v>
      </c>
      <c r="M429" s="0" t="s">
        <v>457</v>
      </c>
      <c r="R429" s="0" t="s">
        <v>84</v>
      </c>
    </row>
    <row r="430" customFormat="false" ht="15" hidden="false" customHeight="false" outlineLevel="0" collapsed="false">
      <c r="A430" s="0" t="s">
        <v>125</v>
      </c>
      <c r="B430" s="0" t="n">
        <v>2015</v>
      </c>
      <c r="C430" s="0" t="s">
        <v>78</v>
      </c>
      <c r="D430" s="0" t="s">
        <v>79</v>
      </c>
      <c r="E430" s="0" t="n">
        <v>0</v>
      </c>
      <c r="F430" s="0" t="s">
        <v>45</v>
      </c>
      <c r="H430" s="0" t="s">
        <v>457</v>
      </c>
      <c r="I430" s="0" t="s">
        <v>457</v>
      </c>
      <c r="J430" s="0" t="s">
        <v>457</v>
      </c>
      <c r="K430" s="0" t="s">
        <v>457</v>
      </c>
      <c r="L430" s="0" t="s">
        <v>457</v>
      </c>
      <c r="M430" s="0" t="s">
        <v>457</v>
      </c>
      <c r="R430" s="0" t="s">
        <v>84</v>
      </c>
    </row>
    <row r="431" customFormat="false" ht="15" hidden="false" customHeight="false" outlineLevel="0" collapsed="false">
      <c r="A431" s="0" t="s">
        <v>125</v>
      </c>
      <c r="B431" s="0" t="n">
        <v>2015</v>
      </c>
      <c r="C431" s="0" t="s">
        <v>78</v>
      </c>
      <c r="D431" s="0" t="s">
        <v>79</v>
      </c>
      <c r="E431" s="0" t="n">
        <v>0</v>
      </c>
      <c r="F431" s="0" t="s">
        <v>71</v>
      </c>
      <c r="H431" s="0" t="s">
        <v>457</v>
      </c>
      <c r="I431" s="0" t="s">
        <v>457</v>
      </c>
      <c r="J431" s="0" t="s">
        <v>457</v>
      </c>
      <c r="K431" s="0" t="s">
        <v>457</v>
      </c>
      <c r="L431" s="0" t="s">
        <v>457</v>
      </c>
      <c r="M431" s="0" t="s">
        <v>457</v>
      </c>
      <c r="R431" s="0" t="s">
        <v>84</v>
      </c>
    </row>
    <row r="432" customFormat="false" ht="15" hidden="false" customHeight="false" outlineLevel="0" collapsed="false">
      <c r="A432" s="0" t="s">
        <v>125</v>
      </c>
      <c r="B432" s="0" t="n">
        <v>2015</v>
      </c>
      <c r="C432" s="0" t="s">
        <v>78</v>
      </c>
      <c r="D432" s="0" t="s">
        <v>79</v>
      </c>
      <c r="E432" s="0" t="n">
        <v>0</v>
      </c>
      <c r="F432" s="0" t="s">
        <v>31</v>
      </c>
      <c r="G432" s="0" t="n">
        <v>86.2036235417683</v>
      </c>
      <c r="H432" s="0" t="s">
        <v>437</v>
      </c>
      <c r="I432" s="0" t="s">
        <v>437</v>
      </c>
      <c r="J432" s="0" t="s">
        <v>437</v>
      </c>
      <c r="K432" s="0" t="s">
        <v>437</v>
      </c>
      <c r="L432" s="0" t="s">
        <v>437</v>
      </c>
      <c r="M432" s="0" t="s">
        <v>457</v>
      </c>
      <c r="R432" s="0" t="s">
        <v>84</v>
      </c>
    </row>
    <row r="433" customFormat="false" ht="15" hidden="false" customHeight="false" outlineLevel="0" collapsed="false">
      <c r="A433" s="0" t="s">
        <v>125</v>
      </c>
      <c r="B433" s="0" t="n">
        <v>2016</v>
      </c>
      <c r="C433" s="0" t="s">
        <v>78</v>
      </c>
      <c r="D433" s="0" t="s">
        <v>79</v>
      </c>
      <c r="E433" s="0" t="n">
        <v>0</v>
      </c>
      <c r="F433" s="0" t="s">
        <v>73</v>
      </c>
      <c r="G433" s="0" t="n">
        <v>0</v>
      </c>
      <c r="H433" s="0" t="s">
        <v>437</v>
      </c>
      <c r="I433" s="0" t="s">
        <v>437</v>
      </c>
      <c r="J433" s="0" t="s">
        <v>437</v>
      </c>
      <c r="K433" s="0" t="s">
        <v>457</v>
      </c>
      <c r="L433" s="0" t="s">
        <v>437</v>
      </c>
      <c r="M433" s="0" t="s">
        <v>457</v>
      </c>
      <c r="R433" s="0" t="s">
        <v>129</v>
      </c>
    </row>
    <row r="434" customFormat="false" ht="15" hidden="false" customHeight="false" outlineLevel="0" collapsed="false">
      <c r="A434" s="0" t="s">
        <v>125</v>
      </c>
      <c r="B434" s="0" t="n">
        <v>2016</v>
      </c>
      <c r="C434" s="0" t="s">
        <v>78</v>
      </c>
      <c r="D434" s="0" t="s">
        <v>79</v>
      </c>
      <c r="E434" s="0" t="n">
        <v>0</v>
      </c>
      <c r="F434" s="0" t="s">
        <v>69</v>
      </c>
      <c r="G434" s="0" t="n">
        <v>17.79</v>
      </c>
      <c r="H434" s="0" t="s">
        <v>437</v>
      </c>
      <c r="I434" s="0" t="s">
        <v>437</v>
      </c>
      <c r="J434" s="0" t="s">
        <v>437</v>
      </c>
      <c r="K434" s="0" t="s">
        <v>437</v>
      </c>
      <c r="L434" s="0" t="s">
        <v>437</v>
      </c>
      <c r="M434" s="0" t="s">
        <v>457</v>
      </c>
      <c r="R434" s="0" t="s">
        <v>129</v>
      </c>
    </row>
    <row r="435" customFormat="false" ht="15" hidden="false" customHeight="false" outlineLevel="0" collapsed="false">
      <c r="A435" s="0" t="s">
        <v>125</v>
      </c>
      <c r="B435" s="0" t="n">
        <v>2016</v>
      </c>
      <c r="C435" s="0" t="s">
        <v>78</v>
      </c>
      <c r="D435" s="0" t="s">
        <v>79</v>
      </c>
      <c r="E435" s="0" t="n">
        <v>0</v>
      </c>
      <c r="F435" s="0" t="s">
        <v>25</v>
      </c>
      <c r="G435" s="0" t="n">
        <v>17.7866535517171</v>
      </c>
      <c r="H435" s="0" t="s">
        <v>437</v>
      </c>
      <c r="I435" s="0" t="s">
        <v>437</v>
      </c>
      <c r="J435" s="0" t="s">
        <v>437</v>
      </c>
      <c r="K435" s="0" t="s">
        <v>437</v>
      </c>
      <c r="L435" s="0" t="s">
        <v>437</v>
      </c>
      <c r="M435" s="0" t="s">
        <v>457</v>
      </c>
      <c r="R435" s="0" t="s">
        <v>129</v>
      </c>
    </row>
    <row r="436" customFormat="false" ht="15" hidden="false" customHeight="false" outlineLevel="0" collapsed="false">
      <c r="A436" s="0" t="s">
        <v>125</v>
      </c>
      <c r="B436" s="0" t="n">
        <v>2016</v>
      </c>
      <c r="C436" s="0" t="s">
        <v>78</v>
      </c>
      <c r="D436" s="0" t="s">
        <v>79</v>
      </c>
      <c r="E436" s="0" t="n">
        <v>0</v>
      </c>
      <c r="F436" s="0" t="s">
        <v>41</v>
      </c>
      <c r="H436" s="0" t="s">
        <v>457</v>
      </c>
      <c r="I436" s="0" t="s">
        <v>457</v>
      </c>
      <c r="J436" s="0" t="s">
        <v>457</v>
      </c>
      <c r="K436" s="0" t="s">
        <v>457</v>
      </c>
      <c r="L436" s="0" t="s">
        <v>457</v>
      </c>
      <c r="M436" s="0" t="s">
        <v>457</v>
      </c>
      <c r="R436" s="0" t="s">
        <v>129</v>
      </c>
    </row>
    <row r="437" customFormat="false" ht="15" hidden="false" customHeight="false" outlineLevel="0" collapsed="false">
      <c r="A437" s="0" t="s">
        <v>125</v>
      </c>
      <c r="B437" s="0" t="n">
        <v>2016</v>
      </c>
      <c r="C437" s="0" t="s">
        <v>78</v>
      </c>
      <c r="D437" s="0" t="s">
        <v>79</v>
      </c>
      <c r="E437" s="0" t="n">
        <v>0</v>
      </c>
      <c r="F437" s="0" t="s">
        <v>27</v>
      </c>
      <c r="G437" s="0" t="n">
        <v>13.6626414996759</v>
      </c>
      <c r="H437" s="0" t="s">
        <v>437</v>
      </c>
      <c r="I437" s="0" t="s">
        <v>437</v>
      </c>
      <c r="J437" s="0" t="s">
        <v>437</v>
      </c>
      <c r="K437" s="0" t="s">
        <v>437</v>
      </c>
      <c r="L437" s="0" t="s">
        <v>437</v>
      </c>
      <c r="M437" s="0" t="s">
        <v>457</v>
      </c>
      <c r="R437" s="0" t="s">
        <v>129</v>
      </c>
    </row>
    <row r="438" customFormat="false" ht="15" hidden="false" customHeight="false" outlineLevel="0" collapsed="false">
      <c r="A438" s="0" t="s">
        <v>125</v>
      </c>
      <c r="B438" s="0" t="n">
        <v>2016</v>
      </c>
      <c r="C438" s="0" t="s">
        <v>78</v>
      </c>
      <c r="D438" s="0" t="s">
        <v>79</v>
      </c>
      <c r="E438" s="0" t="n">
        <v>0</v>
      </c>
      <c r="F438" s="0" t="s">
        <v>39</v>
      </c>
      <c r="H438" s="0" t="s">
        <v>457</v>
      </c>
      <c r="I438" s="0" t="s">
        <v>457</v>
      </c>
      <c r="J438" s="0" t="s">
        <v>457</v>
      </c>
      <c r="K438" s="0" t="s">
        <v>457</v>
      </c>
      <c r="L438" s="0" t="s">
        <v>457</v>
      </c>
      <c r="M438" s="0" t="s">
        <v>457</v>
      </c>
      <c r="R438" s="0" t="s">
        <v>129</v>
      </c>
    </row>
    <row r="439" customFormat="false" ht="15" hidden="false" customHeight="false" outlineLevel="0" collapsed="false">
      <c r="A439" s="0" t="s">
        <v>125</v>
      </c>
      <c r="B439" s="0" t="n">
        <v>2016</v>
      </c>
      <c r="C439" s="0" t="s">
        <v>78</v>
      </c>
      <c r="D439" s="0" t="s">
        <v>79</v>
      </c>
      <c r="E439" s="0" t="n">
        <v>0</v>
      </c>
      <c r="F439" s="0" t="s">
        <v>17</v>
      </c>
      <c r="G439" s="0" t="n">
        <v>12.4492670193084</v>
      </c>
      <c r="H439" s="0" t="s">
        <v>437</v>
      </c>
      <c r="I439" s="0" t="s">
        <v>437</v>
      </c>
      <c r="J439" s="0" t="s">
        <v>437</v>
      </c>
      <c r="K439" s="0" t="s">
        <v>437</v>
      </c>
      <c r="L439" s="0" t="s">
        <v>437</v>
      </c>
      <c r="M439" s="0" t="s">
        <v>457</v>
      </c>
      <c r="R439" s="0" t="s">
        <v>129</v>
      </c>
    </row>
    <row r="440" customFormat="false" ht="15" hidden="false" customHeight="false" outlineLevel="0" collapsed="false">
      <c r="A440" s="0" t="s">
        <v>125</v>
      </c>
      <c r="B440" s="0" t="n">
        <v>2016</v>
      </c>
      <c r="C440" s="0" t="s">
        <v>78</v>
      </c>
      <c r="D440" s="0" t="s">
        <v>79</v>
      </c>
      <c r="E440" s="0" t="n">
        <v>0</v>
      </c>
      <c r="F440" s="0" t="s">
        <v>29</v>
      </c>
      <c r="H440" s="0" t="s">
        <v>457</v>
      </c>
      <c r="I440" s="0" t="s">
        <v>457</v>
      </c>
      <c r="J440" s="0" t="s">
        <v>457</v>
      </c>
      <c r="K440" s="0" t="s">
        <v>457</v>
      </c>
      <c r="L440" s="0" t="s">
        <v>457</v>
      </c>
      <c r="M440" s="0" t="s">
        <v>457</v>
      </c>
      <c r="R440" s="0" t="s">
        <v>129</v>
      </c>
    </row>
    <row r="441" customFormat="false" ht="15" hidden="false" customHeight="false" outlineLevel="0" collapsed="false">
      <c r="A441" s="0" t="s">
        <v>125</v>
      </c>
      <c r="B441" s="0" t="n">
        <v>2016</v>
      </c>
      <c r="C441" s="0" t="s">
        <v>78</v>
      </c>
      <c r="D441" s="0" t="s">
        <v>79</v>
      </c>
      <c r="E441" s="0" t="n">
        <v>0</v>
      </c>
      <c r="F441" s="0" t="s">
        <v>37</v>
      </c>
      <c r="H441" s="0" t="s">
        <v>457</v>
      </c>
      <c r="I441" s="0" t="s">
        <v>457</v>
      </c>
      <c r="J441" s="0" t="s">
        <v>457</v>
      </c>
      <c r="K441" s="0" t="s">
        <v>457</v>
      </c>
      <c r="L441" s="0" t="s">
        <v>457</v>
      </c>
      <c r="M441" s="0" t="s">
        <v>457</v>
      </c>
      <c r="R441" s="0" t="s">
        <v>129</v>
      </c>
    </row>
    <row r="442" customFormat="false" ht="15" hidden="false" customHeight="false" outlineLevel="0" collapsed="false">
      <c r="A442" s="0" t="s">
        <v>125</v>
      </c>
      <c r="B442" s="0" t="n">
        <v>2016</v>
      </c>
      <c r="C442" s="0" t="s">
        <v>78</v>
      </c>
      <c r="D442" s="0" t="s">
        <v>79</v>
      </c>
      <c r="E442" s="0" t="n">
        <v>0</v>
      </c>
      <c r="F442" s="0" t="s">
        <v>23</v>
      </c>
      <c r="H442" s="0" t="s">
        <v>457</v>
      </c>
      <c r="I442" s="0" t="s">
        <v>457</v>
      </c>
      <c r="J442" s="0" t="s">
        <v>457</v>
      </c>
      <c r="K442" s="0" t="s">
        <v>457</v>
      </c>
      <c r="L442" s="0" t="s">
        <v>457</v>
      </c>
      <c r="M442" s="0" t="s">
        <v>457</v>
      </c>
      <c r="R442" s="0" t="s">
        <v>129</v>
      </c>
    </row>
    <row r="443" customFormat="false" ht="15" hidden="false" customHeight="false" outlineLevel="0" collapsed="false">
      <c r="A443" s="0" t="s">
        <v>125</v>
      </c>
      <c r="B443" s="0" t="n">
        <v>2016</v>
      </c>
      <c r="C443" s="0" t="s">
        <v>78</v>
      </c>
      <c r="D443" s="0" t="s">
        <v>79</v>
      </c>
      <c r="E443" s="0" t="n">
        <v>0</v>
      </c>
      <c r="F443" s="0" t="s">
        <v>45</v>
      </c>
      <c r="H443" s="0" t="s">
        <v>457</v>
      </c>
      <c r="I443" s="0" t="s">
        <v>457</v>
      </c>
      <c r="J443" s="0" t="s">
        <v>457</v>
      </c>
      <c r="K443" s="0" t="s">
        <v>457</v>
      </c>
      <c r="L443" s="0" t="s">
        <v>457</v>
      </c>
      <c r="M443" s="0" t="s">
        <v>457</v>
      </c>
      <c r="R443" s="0" t="s">
        <v>129</v>
      </c>
    </row>
    <row r="444" customFormat="false" ht="15" hidden="false" customHeight="false" outlineLevel="0" collapsed="false">
      <c r="A444" s="0" t="s">
        <v>125</v>
      </c>
      <c r="B444" s="0" t="n">
        <v>2016</v>
      </c>
      <c r="C444" s="0" t="s">
        <v>78</v>
      </c>
      <c r="D444" s="0" t="s">
        <v>79</v>
      </c>
      <c r="E444" s="0" t="n">
        <v>0</v>
      </c>
      <c r="F444" s="0" t="s">
        <v>71</v>
      </c>
      <c r="H444" s="0" t="s">
        <v>457</v>
      </c>
      <c r="I444" s="0" t="s">
        <v>457</v>
      </c>
      <c r="J444" s="0" t="s">
        <v>457</v>
      </c>
      <c r="K444" s="0" t="s">
        <v>457</v>
      </c>
      <c r="L444" s="0" t="s">
        <v>457</v>
      </c>
      <c r="M444" s="0" t="s">
        <v>457</v>
      </c>
      <c r="R444" s="0" t="s">
        <v>129</v>
      </c>
    </row>
    <row r="445" customFormat="false" ht="15" hidden="false" customHeight="false" outlineLevel="0" collapsed="false">
      <c r="A445" s="0" t="s">
        <v>125</v>
      </c>
      <c r="B445" s="0" t="n">
        <v>2016</v>
      </c>
      <c r="C445" s="0" t="s">
        <v>78</v>
      </c>
      <c r="D445" s="0" t="s">
        <v>79</v>
      </c>
      <c r="E445" s="0" t="n">
        <v>0</v>
      </c>
      <c r="F445" s="0" t="s">
        <v>31</v>
      </c>
      <c r="G445" s="0" t="n">
        <v>86.3373585003241</v>
      </c>
      <c r="H445" s="0" t="s">
        <v>437</v>
      </c>
      <c r="I445" s="0" t="s">
        <v>437</v>
      </c>
      <c r="J445" s="0" t="s">
        <v>437</v>
      </c>
      <c r="K445" s="0" t="s">
        <v>437</v>
      </c>
      <c r="L445" s="0" t="s">
        <v>437</v>
      </c>
      <c r="M445" s="0" t="s">
        <v>457</v>
      </c>
      <c r="R445" s="0" t="s">
        <v>129</v>
      </c>
    </row>
    <row r="446" customFormat="false" ht="15" hidden="false" customHeight="false" outlineLevel="0" collapsed="false">
      <c r="A446" s="0" t="s">
        <v>125</v>
      </c>
      <c r="B446" s="0" t="n">
        <v>2017</v>
      </c>
      <c r="C446" s="0" t="s">
        <v>78</v>
      </c>
      <c r="D446" s="0" t="s">
        <v>79</v>
      </c>
      <c r="E446" s="0" t="n">
        <v>0</v>
      </c>
      <c r="F446" s="0" t="s">
        <v>73</v>
      </c>
      <c r="H446" s="0" t="s">
        <v>457</v>
      </c>
      <c r="I446" s="0" t="s">
        <v>457</v>
      </c>
      <c r="J446" s="0" t="s">
        <v>457</v>
      </c>
      <c r="K446" s="0" t="s">
        <v>457</v>
      </c>
      <c r="L446" s="0" t="s">
        <v>457</v>
      </c>
      <c r="M446" s="0" t="s">
        <v>457</v>
      </c>
      <c r="R446" s="0" t="s">
        <v>130</v>
      </c>
    </row>
    <row r="447" customFormat="false" ht="15" hidden="false" customHeight="false" outlineLevel="0" collapsed="false">
      <c r="A447" s="0" t="s">
        <v>125</v>
      </c>
      <c r="B447" s="0" t="n">
        <v>2017</v>
      </c>
      <c r="C447" s="0" t="s">
        <v>78</v>
      </c>
      <c r="D447" s="0" t="s">
        <v>79</v>
      </c>
      <c r="E447" s="0" t="n">
        <v>0</v>
      </c>
      <c r="F447" s="0" t="s">
        <v>69</v>
      </c>
      <c r="G447" s="0" t="n">
        <v>17.74</v>
      </c>
      <c r="H447" s="0" t="s">
        <v>437</v>
      </c>
      <c r="I447" s="0" t="s">
        <v>437</v>
      </c>
      <c r="J447" s="0" t="s">
        <v>437</v>
      </c>
      <c r="K447" s="0" t="s">
        <v>437</v>
      </c>
      <c r="L447" s="0" t="s">
        <v>437</v>
      </c>
      <c r="M447" s="0" t="s">
        <v>457</v>
      </c>
      <c r="R447" s="0" t="s">
        <v>130</v>
      </c>
    </row>
    <row r="448" customFormat="false" ht="15" hidden="false" customHeight="false" outlineLevel="0" collapsed="false">
      <c r="A448" s="0" t="s">
        <v>125</v>
      </c>
      <c r="B448" s="0" t="n">
        <v>2017</v>
      </c>
      <c r="C448" s="0" t="s">
        <v>78</v>
      </c>
      <c r="D448" s="0" t="s">
        <v>79</v>
      </c>
      <c r="E448" s="0" t="n">
        <v>0</v>
      </c>
      <c r="F448" s="0" t="s">
        <v>25</v>
      </c>
      <c r="G448" s="0" t="n">
        <v>17.738850550353</v>
      </c>
      <c r="H448" s="0" t="s">
        <v>437</v>
      </c>
      <c r="I448" s="0" t="s">
        <v>437</v>
      </c>
      <c r="J448" s="0" t="s">
        <v>437</v>
      </c>
      <c r="K448" s="0" t="s">
        <v>437</v>
      </c>
      <c r="L448" s="0" t="s">
        <v>437</v>
      </c>
      <c r="M448" s="0" t="s">
        <v>457</v>
      </c>
      <c r="R448" s="0" t="s">
        <v>130</v>
      </c>
    </row>
    <row r="449" customFormat="false" ht="15" hidden="false" customHeight="false" outlineLevel="0" collapsed="false">
      <c r="A449" s="0" t="s">
        <v>125</v>
      </c>
      <c r="B449" s="0" t="n">
        <v>2017</v>
      </c>
      <c r="C449" s="0" t="s">
        <v>78</v>
      </c>
      <c r="D449" s="0" t="s">
        <v>79</v>
      </c>
      <c r="E449" s="0" t="n">
        <v>0</v>
      </c>
      <c r="F449" s="0" t="s">
        <v>41</v>
      </c>
      <c r="G449" s="0" t="n">
        <v>1.27932229020995</v>
      </c>
      <c r="H449" s="0" t="s">
        <v>437</v>
      </c>
      <c r="I449" s="0" t="s">
        <v>437</v>
      </c>
      <c r="J449" s="0" t="s">
        <v>437</v>
      </c>
      <c r="K449" s="0" t="s">
        <v>457</v>
      </c>
      <c r="L449" s="0" t="s">
        <v>437</v>
      </c>
      <c r="M449" s="0" t="s">
        <v>457</v>
      </c>
      <c r="R449" s="0" t="s">
        <v>130</v>
      </c>
    </row>
    <row r="450" customFormat="false" ht="15" hidden="false" customHeight="false" outlineLevel="0" collapsed="false">
      <c r="A450" s="0" t="s">
        <v>125</v>
      </c>
      <c r="B450" s="0" t="n">
        <v>2017</v>
      </c>
      <c r="C450" s="0" t="s">
        <v>78</v>
      </c>
      <c r="D450" s="0" t="s">
        <v>79</v>
      </c>
      <c r="E450" s="0" t="n">
        <v>0</v>
      </c>
      <c r="F450" s="0" t="s">
        <v>27</v>
      </c>
      <c r="G450" s="0" t="n">
        <v>15.3517874716147</v>
      </c>
      <c r="H450" s="0" t="s">
        <v>437</v>
      </c>
      <c r="I450" s="0" t="s">
        <v>437</v>
      </c>
      <c r="J450" s="0" t="s">
        <v>437</v>
      </c>
      <c r="K450" s="0" t="s">
        <v>437</v>
      </c>
      <c r="L450" s="0" t="s">
        <v>437</v>
      </c>
      <c r="M450" s="0" t="s">
        <v>457</v>
      </c>
      <c r="R450" s="0" t="s">
        <v>130</v>
      </c>
    </row>
    <row r="451" customFormat="false" ht="15" hidden="false" customHeight="false" outlineLevel="0" collapsed="false">
      <c r="A451" s="0" t="s">
        <v>125</v>
      </c>
      <c r="B451" s="0" t="n">
        <v>2017</v>
      </c>
      <c r="C451" s="0" t="s">
        <v>78</v>
      </c>
      <c r="D451" s="0" t="s">
        <v>79</v>
      </c>
      <c r="E451" s="0" t="n">
        <v>0</v>
      </c>
      <c r="F451" s="0" t="s">
        <v>39</v>
      </c>
      <c r="G451" s="0" t="n">
        <v>3.08697376527662</v>
      </c>
      <c r="H451" s="0" t="s">
        <v>437</v>
      </c>
      <c r="I451" s="0" t="s">
        <v>437</v>
      </c>
      <c r="J451" s="0" t="s">
        <v>437</v>
      </c>
      <c r="K451" s="0" t="s">
        <v>457</v>
      </c>
      <c r="L451" s="0" t="s">
        <v>437</v>
      </c>
      <c r="M451" s="0" t="s">
        <v>457</v>
      </c>
      <c r="R451" s="0" t="s">
        <v>130</v>
      </c>
    </row>
    <row r="452" customFormat="false" ht="15" hidden="false" customHeight="false" outlineLevel="0" collapsed="false">
      <c r="A452" s="0" t="s">
        <v>125</v>
      </c>
      <c r="B452" s="0" t="n">
        <v>2017</v>
      </c>
      <c r="C452" s="0" t="s">
        <v>78</v>
      </c>
      <c r="D452" s="0" t="s">
        <v>79</v>
      </c>
      <c r="E452" s="0" t="n">
        <v>0</v>
      </c>
      <c r="F452" s="0" t="s">
        <v>17</v>
      </c>
      <c r="G452" s="0" t="n">
        <v>9.72612468469645</v>
      </c>
      <c r="H452" s="0" t="s">
        <v>437</v>
      </c>
      <c r="I452" s="0" t="s">
        <v>437</v>
      </c>
      <c r="J452" s="0" t="s">
        <v>437</v>
      </c>
      <c r="K452" s="0" t="s">
        <v>437</v>
      </c>
      <c r="L452" s="0" t="s">
        <v>437</v>
      </c>
      <c r="M452" s="0" t="s">
        <v>457</v>
      </c>
      <c r="R452" s="0" t="s">
        <v>130</v>
      </c>
    </row>
    <row r="453" customFormat="false" ht="15" hidden="false" customHeight="false" outlineLevel="0" collapsed="false">
      <c r="A453" s="0" t="s">
        <v>125</v>
      </c>
      <c r="B453" s="0" t="n">
        <v>2017</v>
      </c>
      <c r="C453" s="0" t="s">
        <v>78</v>
      </c>
      <c r="D453" s="0" t="s">
        <v>79</v>
      </c>
      <c r="E453" s="0" t="n">
        <v>0</v>
      </c>
      <c r="F453" s="0" t="s">
        <v>29</v>
      </c>
      <c r="H453" s="0" t="s">
        <v>457</v>
      </c>
      <c r="I453" s="0" t="s">
        <v>457</v>
      </c>
      <c r="J453" s="0" t="s">
        <v>457</v>
      </c>
      <c r="K453" s="0" t="s">
        <v>457</v>
      </c>
      <c r="L453" s="0" t="s">
        <v>457</v>
      </c>
      <c r="M453" s="0" t="s">
        <v>457</v>
      </c>
      <c r="R453" s="0" t="s">
        <v>130</v>
      </c>
    </row>
    <row r="454" customFormat="false" ht="15" hidden="false" customHeight="false" outlineLevel="0" collapsed="false">
      <c r="A454" s="0" t="s">
        <v>125</v>
      </c>
      <c r="B454" s="0" t="n">
        <v>2017</v>
      </c>
      <c r="C454" s="0" t="s">
        <v>78</v>
      </c>
      <c r="D454" s="0" t="s">
        <v>79</v>
      </c>
      <c r="E454" s="0" t="n">
        <v>0</v>
      </c>
      <c r="F454" s="0" t="s">
        <v>37</v>
      </c>
      <c r="H454" s="0" t="s">
        <v>457</v>
      </c>
      <c r="I454" s="0" t="s">
        <v>457</v>
      </c>
      <c r="J454" s="0" t="s">
        <v>457</v>
      </c>
      <c r="K454" s="0" t="s">
        <v>457</v>
      </c>
      <c r="L454" s="0" t="s">
        <v>457</v>
      </c>
      <c r="M454" s="0" t="s">
        <v>457</v>
      </c>
      <c r="R454" s="0" t="s">
        <v>130</v>
      </c>
    </row>
    <row r="455" customFormat="false" ht="15" hidden="false" customHeight="false" outlineLevel="0" collapsed="false">
      <c r="A455" s="0" t="s">
        <v>125</v>
      </c>
      <c r="B455" s="0" t="n">
        <v>2017</v>
      </c>
      <c r="C455" s="0" t="s">
        <v>78</v>
      </c>
      <c r="D455" s="0" t="s">
        <v>79</v>
      </c>
      <c r="E455" s="0" t="n">
        <v>0</v>
      </c>
      <c r="F455" s="0" t="s">
        <v>23</v>
      </c>
      <c r="H455" s="0" t="s">
        <v>457</v>
      </c>
      <c r="I455" s="0" t="s">
        <v>457</v>
      </c>
      <c r="J455" s="0" t="s">
        <v>457</v>
      </c>
      <c r="K455" s="0" t="s">
        <v>457</v>
      </c>
      <c r="L455" s="0" t="s">
        <v>457</v>
      </c>
      <c r="M455" s="0" t="s">
        <v>457</v>
      </c>
      <c r="R455" s="0" t="s">
        <v>130</v>
      </c>
    </row>
    <row r="456" customFormat="false" ht="15" hidden="false" customHeight="false" outlineLevel="0" collapsed="false">
      <c r="A456" s="0" t="s">
        <v>125</v>
      </c>
      <c r="B456" s="0" t="n">
        <v>2017</v>
      </c>
      <c r="C456" s="0" t="s">
        <v>78</v>
      </c>
      <c r="D456" s="0" t="s">
        <v>79</v>
      </c>
      <c r="E456" s="0" t="n">
        <v>0</v>
      </c>
      <c r="F456" s="0" t="s">
        <v>45</v>
      </c>
      <c r="H456" s="0" t="s">
        <v>457</v>
      </c>
      <c r="I456" s="0" t="s">
        <v>457</v>
      </c>
      <c r="J456" s="0" t="s">
        <v>457</v>
      </c>
      <c r="K456" s="0" t="s">
        <v>457</v>
      </c>
      <c r="L456" s="0" t="s">
        <v>457</v>
      </c>
      <c r="M456" s="0" t="s">
        <v>457</v>
      </c>
      <c r="R456" s="0" t="s">
        <v>130</v>
      </c>
    </row>
    <row r="457" customFormat="false" ht="15" hidden="false" customHeight="false" outlineLevel="0" collapsed="false">
      <c r="A457" s="0" t="s">
        <v>125</v>
      </c>
      <c r="B457" s="0" t="n">
        <v>2017</v>
      </c>
      <c r="C457" s="0" t="s">
        <v>78</v>
      </c>
      <c r="D457" s="0" t="s">
        <v>79</v>
      </c>
      <c r="E457" s="0" t="n">
        <v>0</v>
      </c>
      <c r="F457" s="0" t="s">
        <v>71</v>
      </c>
      <c r="H457" s="0" t="s">
        <v>457</v>
      </c>
      <c r="I457" s="0" t="s">
        <v>457</v>
      </c>
      <c r="J457" s="0" t="s">
        <v>457</v>
      </c>
      <c r="K457" s="0" t="s">
        <v>457</v>
      </c>
      <c r="L457" s="0" t="s">
        <v>457</v>
      </c>
      <c r="M457" s="0" t="s">
        <v>457</v>
      </c>
      <c r="R457" s="0" t="s">
        <v>130</v>
      </c>
    </row>
    <row r="458" customFormat="false" ht="15" hidden="false" customHeight="false" outlineLevel="0" collapsed="false">
      <c r="A458" s="0" t="s">
        <v>125</v>
      </c>
      <c r="B458" s="0" t="n">
        <v>2017</v>
      </c>
      <c r="C458" s="0" t="s">
        <v>78</v>
      </c>
      <c r="D458" s="0" t="s">
        <v>79</v>
      </c>
      <c r="E458" s="0" t="n">
        <v>0</v>
      </c>
      <c r="F458" s="0" t="s">
        <v>31</v>
      </c>
      <c r="G458" s="0" t="n">
        <v>84.6482125283853</v>
      </c>
      <c r="H458" s="0" t="s">
        <v>437</v>
      </c>
      <c r="I458" s="0" t="s">
        <v>437</v>
      </c>
      <c r="J458" s="0" t="s">
        <v>437</v>
      </c>
      <c r="K458" s="0" t="s">
        <v>437</v>
      </c>
      <c r="L458" s="0" t="s">
        <v>437</v>
      </c>
      <c r="M458" s="0" t="s">
        <v>457</v>
      </c>
      <c r="R458" s="0" t="s">
        <v>130</v>
      </c>
    </row>
    <row r="459" customFormat="false" ht="15" hidden="false" customHeight="false" outlineLevel="0" collapsed="false">
      <c r="A459" s="0" t="s">
        <v>125</v>
      </c>
      <c r="B459" s="0" t="n">
        <v>2018</v>
      </c>
      <c r="C459" s="0" t="s">
        <v>78</v>
      </c>
      <c r="D459" s="0" t="s">
        <v>90</v>
      </c>
      <c r="E459" s="0" t="n">
        <v>1</v>
      </c>
      <c r="F459" s="0" t="s">
        <v>73</v>
      </c>
      <c r="G459" s="0" t="n">
        <v>0</v>
      </c>
      <c r="H459" s="0" t="s">
        <v>437</v>
      </c>
      <c r="I459" s="0" t="s">
        <v>437</v>
      </c>
      <c r="J459" s="0" t="s">
        <v>437</v>
      </c>
      <c r="K459" s="0" t="s">
        <v>457</v>
      </c>
      <c r="L459" s="0" t="s">
        <v>437</v>
      </c>
      <c r="M459" s="0" t="s">
        <v>457</v>
      </c>
      <c r="R459" s="0" t="s">
        <v>132</v>
      </c>
    </row>
    <row r="460" customFormat="false" ht="15" hidden="false" customHeight="false" outlineLevel="0" collapsed="false">
      <c r="A460" s="0" t="s">
        <v>125</v>
      </c>
      <c r="B460" s="0" t="n">
        <v>2018</v>
      </c>
      <c r="C460" s="0" t="s">
        <v>78</v>
      </c>
      <c r="D460" s="0" t="s">
        <v>90</v>
      </c>
      <c r="E460" s="0" t="n">
        <v>1</v>
      </c>
      <c r="F460" s="0" t="s">
        <v>69</v>
      </c>
      <c r="G460" s="0" t="n">
        <v>10.66</v>
      </c>
      <c r="H460" s="0" t="s">
        <v>437</v>
      </c>
      <c r="I460" s="0" t="s">
        <v>437</v>
      </c>
      <c r="J460" s="0" t="s">
        <v>437</v>
      </c>
      <c r="K460" s="0" t="s">
        <v>437</v>
      </c>
      <c r="L460" s="0" t="s">
        <v>437</v>
      </c>
      <c r="M460" s="0" t="s">
        <v>457</v>
      </c>
      <c r="R460" s="0" t="s">
        <v>132</v>
      </c>
    </row>
    <row r="461" customFormat="false" ht="15" hidden="false" customHeight="false" outlineLevel="0" collapsed="false">
      <c r="A461" s="0" t="s">
        <v>125</v>
      </c>
      <c r="B461" s="0" t="n">
        <v>2018</v>
      </c>
      <c r="C461" s="0" t="s">
        <v>78</v>
      </c>
      <c r="D461" s="0" t="s">
        <v>90</v>
      </c>
      <c r="E461" s="0" t="n">
        <v>1</v>
      </c>
      <c r="F461" s="0" t="s">
        <v>25</v>
      </c>
      <c r="G461" s="0" t="n">
        <v>10.6576506563765</v>
      </c>
      <c r="H461" s="0" t="s">
        <v>437</v>
      </c>
      <c r="I461" s="0" t="s">
        <v>437</v>
      </c>
      <c r="J461" s="0" t="s">
        <v>437</v>
      </c>
      <c r="K461" s="0" t="s">
        <v>437</v>
      </c>
      <c r="L461" s="0" t="s">
        <v>437</v>
      </c>
      <c r="M461" s="0" t="s">
        <v>457</v>
      </c>
      <c r="R461" s="0" t="s">
        <v>132</v>
      </c>
    </row>
    <row r="462" customFormat="false" ht="15" hidden="false" customHeight="false" outlineLevel="0" collapsed="false">
      <c r="A462" s="0" t="s">
        <v>125</v>
      </c>
      <c r="B462" s="0" t="n">
        <v>2018</v>
      </c>
      <c r="C462" s="0" t="s">
        <v>78</v>
      </c>
      <c r="D462" s="0" t="s">
        <v>90</v>
      </c>
      <c r="E462" s="0" t="n">
        <v>1</v>
      </c>
      <c r="F462" s="0" t="s">
        <v>41</v>
      </c>
      <c r="G462" s="0" t="n">
        <v>1.46727801533078</v>
      </c>
      <c r="H462" s="0" t="s">
        <v>437</v>
      </c>
      <c r="I462" s="0" t="s">
        <v>437</v>
      </c>
      <c r="J462" s="0" t="s">
        <v>437</v>
      </c>
      <c r="K462" s="0" t="s">
        <v>437</v>
      </c>
      <c r="L462" s="0" t="s">
        <v>437</v>
      </c>
      <c r="M462" s="0" t="s">
        <v>457</v>
      </c>
      <c r="R462" s="0" t="s">
        <v>132</v>
      </c>
    </row>
    <row r="463" customFormat="false" ht="15" hidden="false" customHeight="false" outlineLevel="0" collapsed="false">
      <c r="A463" s="0" t="s">
        <v>125</v>
      </c>
      <c r="B463" s="0" t="n">
        <v>2018</v>
      </c>
      <c r="C463" s="0" t="s">
        <v>78</v>
      </c>
      <c r="D463" s="0" t="s">
        <v>90</v>
      </c>
      <c r="E463" s="0" t="n">
        <v>1</v>
      </c>
      <c r="F463" s="0" t="s">
        <v>27</v>
      </c>
      <c r="G463" s="0" t="n">
        <v>11.1062300249354</v>
      </c>
      <c r="H463" s="0" t="s">
        <v>437</v>
      </c>
      <c r="I463" s="0" t="s">
        <v>437</v>
      </c>
      <c r="J463" s="0" t="s">
        <v>437</v>
      </c>
      <c r="K463" s="0" t="s">
        <v>437</v>
      </c>
      <c r="L463" s="0" t="s">
        <v>437</v>
      </c>
      <c r="M463" s="0" t="s">
        <v>457</v>
      </c>
      <c r="R463" s="0" t="s">
        <v>132</v>
      </c>
    </row>
    <row r="464" customFormat="false" ht="15" hidden="false" customHeight="false" outlineLevel="0" collapsed="false">
      <c r="A464" s="0" t="s">
        <v>125</v>
      </c>
      <c r="B464" s="0" t="n">
        <v>2018</v>
      </c>
      <c r="C464" s="0" t="s">
        <v>78</v>
      </c>
      <c r="D464" s="0" t="s">
        <v>90</v>
      </c>
      <c r="E464" s="0" t="n">
        <v>1</v>
      </c>
      <c r="F464" s="0" t="s">
        <v>39</v>
      </c>
      <c r="G464" s="0" t="n">
        <v>8.43744114669869</v>
      </c>
      <c r="H464" s="0" t="s">
        <v>437</v>
      </c>
      <c r="I464" s="0" t="s">
        <v>437</v>
      </c>
      <c r="J464" s="0" t="s">
        <v>437</v>
      </c>
      <c r="K464" s="0" t="s">
        <v>437</v>
      </c>
      <c r="L464" s="0" t="s">
        <v>437</v>
      </c>
      <c r="M464" s="0" t="s">
        <v>457</v>
      </c>
      <c r="R464" s="0" t="s">
        <v>132</v>
      </c>
    </row>
    <row r="465" customFormat="false" ht="15" hidden="false" customHeight="false" outlineLevel="0" collapsed="false">
      <c r="A465" s="0" t="s">
        <v>125</v>
      </c>
      <c r="B465" s="0" t="n">
        <v>2018</v>
      </c>
      <c r="C465" s="0" t="s">
        <v>78</v>
      </c>
      <c r="D465" s="0" t="s">
        <v>90</v>
      </c>
      <c r="E465" s="0" t="n">
        <v>1</v>
      </c>
      <c r="F465" s="0" t="s">
        <v>17</v>
      </c>
      <c r="G465" s="0" t="n">
        <v>16.0529079842033</v>
      </c>
      <c r="H465" s="0" t="s">
        <v>437</v>
      </c>
      <c r="I465" s="0" t="s">
        <v>437</v>
      </c>
      <c r="J465" s="0" t="s">
        <v>437</v>
      </c>
      <c r="K465" s="0" t="s">
        <v>437</v>
      </c>
      <c r="L465" s="0" t="s">
        <v>457</v>
      </c>
      <c r="M465" s="0" t="s">
        <v>457</v>
      </c>
      <c r="N465" s="0" t="s">
        <v>2572</v>
      </c>
      <c r="O465" s="0" t="s">
        <v>2578</v>
      </c>
      <c r="P465" s="0" t="s">
        <v>2579</v>
      </c>
      <c r="R465" s="0" t="s">
        <v>132</v>
      </c>
    </row>
    <row r="466" customFormat="false" ht="15" hidden="false" customHeight="false" outlineLevel="0" collapsed="false">
      <c r="A466" s="0" t="s">
        <v>125</v>
      </c>
      <c r="B466" s="0" t="n">
        <v>2018</v>
      </c>
      <c r="C466" s="0" t="s">
        <v>78</v>
      </c>
      <c r="D466" s="0" t="s">
        <v>90</v>
      </c>
      <c r="E466" s="0" t="n">
        <v>1</v>
      </c>
      <c r="F466" s="0" t="s">
        <v>29</v>
      </c>
      <c r="G466" s="0" t="n">
        <v>1.59385367359247</v>
      </c>
      <c r="H466" s="0" t="s">
        <v>437</v>
      </c>
      <c r="I466" s="0" t="s">
        <v>437</v>
      </c>
      <c r="J466" s="0" t="s">
        <v>437</v>
      </c>
      <c r="K466" s="0" t="s">
        <v>457</v>
      </c>
      <c r="L466" s="0" t="s">
        <v>437</v>
      </c>
      <c r="M466" s="0" t="s">
        <v>457</v>
      </c>
      <c r="R466" s="0" t="s">
        <v>132</v>
      </c>
    </row>
    <row r="467" customFormat="false" ht="15" hidden="false" customHeight="false" outlineLevel="0" collapsed="false">
      <c r="A467" s="0" t="s">
        <v>125</v>
      </c>
      <c r="B467" s="0" t="n">
        <v>2018</v>
      </c>
      <c r="C467" s="0" t="s">
        <v>78</v>
      </c>
      <c r="D467" s="0" t="s">
        <v>90</v>
      </c>
      <c r="E467" s="0" t="n">
        <v>1</v>
      </c>
      <c r="F467" s="0" t="s">
        <v>37</v>
      </c>
      <c r="H467" s="0" t="s">
        <v>457</v>
      </c>
      <c r="I467" s="0" t="s">
        <v>457</v>
      </c>
      <c r="J467" s="0" t="s">
        <v>457</v>
      </c>
      <c r="K467" s="0" t="s">
        <v>457</v>
      </c>
      <c r="L467" s="0" t="s">
        <v>457</v>
      </c>
      <c r="M467" s="0" t="s">
        <v>457</v>
      </c>
      <c r="R467" s="0" t="s">
        <v>132</v>
      </c>
    </row>
    <row r="468" customFormat="false" ht="15" hidden="false" customHeight="false" outlineLevel="0" collapsed="false">
      <c r="A468" s="0" t="s">
        <v>125</v>
      </c>
      <c r="B468" s="0" t="n">
        <v>2018</v>
      </c>
      <c r="C468" s="0" t="s">
        <v>78</v>
      </c>
      <c r="D468" s="0" t="s">
        <v>90</v>
      </c>
      <c r="E468" s="0" t="n">
        <v>1</v>
      </c>
      <c r="F468" s="0" t="s">
        <v>23</v>
      </c>
      <c r="H468" s="0" t="s">
        <v>457</v>
      </c>
      <c r="I468" s="0" t="s">
        <v>457</v>
      </c>
      <c r="J468" s="0" t="s">
        <v>457</v>
      </c>
      <c r="K468" s="0" t="s">
        <v>457</v>
      </c>
      <c r="L468" s="0" t="s">
        <v>457</v>
      </c>
      <c r="M468" s="0" t="s">
        <v>457</v>
      </c>
      <c r="O468" s="0" t="s">
        <v>2578</v>
      </c>
      <c r="P468" s="0" t="s">
        <v>2579</v>
      </c>
      <c r="R468" s="0" t="s">
        <v>132</v>
      </c>
    </row>
    <row r="469" customFormat="false" ht="15" hidden="false" customHeight="false" outlineLevel="0" collapsed="false">
      <c r="A469" s="0" t="s">
        <v>125</v>
      </c>
      <c r="B469" s="0" t="n">
        <v>2018</v>
      </c>
      <c r="C469" s="0" t="s">
        <v>78</v>
      </c>
      <c r="D469" s="0" t="s">
        <v>90</v>
      </c>
      <c r="E469" s="0" t="n">
        <v>1</v>
      </c>
      <c r="F469" s="0" t="s">
        <v>45</v>
      </c>
      <c r="H469" s="0" t="s">
        <v>457</v>
      </c>
      <c r="I469" s="0" t="s">
        <v>457</v>
      </c>
      <c r="J469" s="0" t="s">
        <v>457</v>
      </c>
      <c r="K469" s="0" t="s">
        <v>457</v>
      </c>
      <c r="L469" s="0" t="s">
        <v>457</v>
      </c>
      <c r="M469" s="0" t="s">
        <v>457</v>
      </c>
      <c r="R469" s="0" t="s">
        <v>132</v>
      </c>
    </row>
    <row r="470" customFormat="false" ht="15" hidden="false" customHeight="false" outlineLevel="0" collapsed="false">
      <c r="A470" s="0" t="s">
        <v>125</v>
      </c>
      <c r="B470" s="0" t="n">
        <v>2018</v>
      </c>
      <c r="C470" s="0" t="s">
        <v>78</v>
      </c>
      <c r="D470" s="0" t="s">
        <v>90</v>
      </c>
      <c r="E470" s="0" t="n">
        <v>1</v>
      </c>
      <c r="F470" s="0" t="s">
        <v>71</v>
      </c>
      <c r="H470" s="0" t="s">
        <v>457</v>
      </c>
      <c r="I470" s="0" t="s">
        <v>457</v>
      </c>
      <c r="J470" s="0" t="s">
        <v>457</v>
      </c>
      <c r="K470" s="0" t="s">
        <v>457</v>
      </c>
      <c r="L470" s="0" t="s">
        <v>457</v>
      </c>
      <c r="M470" s="0" t="s">
        <v>457</v>
      </c>
      <c r="R470" s="0" t="s">
        <v>132</v>
      </c>
    </row>
    <row r="471" customFormat="false" ht="15" hidden="false" customHeight="false" outlineLevel="0" collapsed="false">
      <c r="A471" s="0" t="s">
        <v>125</v>
      </c>
      <c r="B471" s="0" t="n">
        <v>2018</v>
      </c>
      <c r="C471" s="0" t="s">
        <v>78</v>
      </c>
      <c r="D471" s="0" t="s">
        <v>90</v>
      </c>
      <c r="E471" s="0" t="n">
        <v>1</v>
      </c>
      <c r="F471" s="0" t="s">
        <v>31</v>
      </c>
      <c r="G471" s="0" t="n">
        <v>88.8937699750646</v>
      </c>
      <c r="H471" s="0" t="s">
        <v>437</v>
      </c>
      <c r="I471" s="0" t="s">
        <v>437</v>
      </c>
      <c r="J471" s="0" t="s">
        <v>437</v>
      </c>
      <c r="K471" s="0" t="s">
        <v>437</v>
      </c>
      <c r="L471" s="0" t="s">
        <v>437</v>
      </c>
      <c r="M471" s="0" t="s">
        <v>457</v>
      </c>
      <c r="R471" s="0" t="s">
        <v>132</v>
      </c>
    </row>
    <row r="472" customFormat="false" ht="15" hidden="false" customHeight="false" outlineLevel="0" collapsed="false">
      <c r="A472" s="0" t="s">
        <v>125</v>
      </c>
      <c r="B472" s="0" t="n">
        <v>2019</v>
      </c>
      <c r="C472" s="0" t="s">
        <v>78</v>
      </c>
      <c r="D472" s="0" t="s">
        <v>90</v>
      </c>
      <c r="E472" s="0" t="n">
        <v>1</v>
      </c>
      <c r="F472" s="0" t="s">
        <v>73</v>
      </c>
      <c r="G472" s="0" t="n">
        <v>0</v>
      </c>
      <c r="H472" s="0" t="s">
        <v>437</v>
      </c>
      <c r="I472" s="0" t="s">
        <v>437</v>
      </c>
      <c r="J472" s="0" t="s">
        <v>437</v>
      </c>
      <c r="K472" s="0" t="s">
        <v>437</v>
      </c>
      <c r="L472" s="0" t="s">
        <v>437</v>
      </c>
      <c r="M472" s="0" t="s">
        <v>457</v>
      </c>
      <c r="R472" s="0" t="s">
        <v>133</v>
      </c>
    </row>
    <row r="473" customFormat="false" ht="15" hidden="false" customHeight="false" outlineLevel="0" collapsed="false">
      <c r="A473" s="0" t="s">
        <v>125</v>
      </c>
      <c r="B473" s="0" t="n">
        <v>2019</v>
      </c>
      <c r="C473" s="0" t="s">
        <v>78</v>
      </c>
      <c r="D473" s="0" t="s">
        <v>90</v>
      </c>
      <c r="E473" s="0" t="n">
        <v>1</v>
      </c>
      <c r="F473" s="0" t="s">
        <v>69</v>
      </c>
      <c r="G473" s="0" t="n">
        <v>11.16</v>
      </c>
      <c r="H473" s="0" t="s">
        <v>437</v>
      </c>
      <c r="I473" s="0" t="s">
        <v>437</v>
      </c>
      <c r="J473" s="0" t="s">
        <v>437</v>
      </c>
      <c r="K473" s="0" t="s">
        <v>437</v>
      </c>
      <c r="L473" s="0" t="s">
        <v>437</v>
      </c>
      <c r="M473" s="0" t="s">
        <v>457</v>
      </c>
      <c r="R473" s="0" t="s">
        <v>133</v>
      </c>
    </row>
    <row r="474" customFormat="false" ht="15" hidden="false" customHeight="false" outlineLevel="0" collapsed="false">
      <c r="A474" s="0" t="s">
        <v>125</v>
      </c>
      <c r="B474" s="0" t="n">
        <v>2019</v>
      </c>
      <c r="C474" s="0" t="s">
        <v>78</v>
      </c>
      <c r="D474" s="0" t="s">
        <v>90</v>
      </c>
      <c r="E474" s="0" t="n">
        <v>1</v>
      </c>
      <c r="F474" s="0" t="s">
        <v>25</v>
      </c>
      <c r="G474" s="0" t="n">
        <v>11.156867031259</v>
      </c>
      <c r="H474" s="0" t="s">
        <v>437</v>
      </c>
      <c r="I474" s="0" t="s">
        <v>437</v>
      </c>
      <c r="J474" s="0" t="s">
        <v>437</v>
      </c>
      <c r="K474" s="0" t="s">
        <v>437</v>
      </c>
      <c r="L474" s="0" t="s">
        <v>437</v>
      </c>
      <c r="M474" s="0" t="s">
        <v>457</v>
      </c>
      <c r="R474" s="0" t="s">
        <v>133</v>
      </c>
    </row>
    <row r="475" customFormat="false" ht="15" hidden="false" customHeight="false" outlineLevel="0" collapsed="false">
      <c r="A475" s="0" t="s">
        <v>125</v>
      </c>
      <c r="B475" s="0" t="n">
        <v>2019</v>
      </c>
      <c r="C475" s="0" t="s">
        <v>78</v>
      </c>
      <c r="D475" s="0" t="s">
        <v>90</v>
      </c>
      <c r="E475" s="0" t="n">
        <v>1</v>
      </c>
      <c r="F475" s="0" t="s">
        <v>41</v>
      </c>
      <c r="G475" s="0" t="n">
        <v>1.01493080920609</v>
      </c>
      <c r="H475" s="0" t="s">
        <v>437</v>
      </c>
      <c r="I475" s="0" t="s">
        <v>437</v>
      </c>
      <c r="J475" s="0" t="s">
        <v>437</v>
      </c>
      <c r="K475" s="0" t="s">
        <v>437</v>
      </c>
      <c r="L475" s="0" t="s">
        <v>437</v>
      </c>
      <c r="M475" s="0" t="s">
        <v>457</v>
      </c>
      <c r="R475" s="0" t="s">
        <v>133</v>
      </c>
    </row>
    <row r="476" customFormat="false" ht="15" hidden="false" customHeight="false" outlineLevel="0" collapsed="false">
      <c r="A476" s="0" t="s">
        <v>125</v>
      </c>
      <c r="B476" s="0" t="n">
        <v>2019</v>
      </c>
      <c r="C476" s="0" t="s">
        <v>78</v>
      </c>
      <c r="D476" s="0" t="s">
        <v>90</v>
      </c>
      <c r="E476" s="0" t="n">
        <v>1</v>
      </c>
      <c r="F476" s="0" t="s">
        <v>27</v>
      </c>
      <c r="G476" s="0" t="n">
        <v>11.5559716974928</v>
      </c>
      <c r="H476" s="0" t="s">
        <v>437</v>
      </c>
      <c r="I476" s="0" t="s">
        <v>437</v>
      </c>
      <c r="J476" s="0" t="s">
        <v>437</v>
      </c>
      <c r="K476" s="0" t="s">
        <v>437</v>
      </c>
      <c r="L476" s="0" t="s">
        <v>437</v>
      </c>
      <c r="M476" s="0" t="s">
        <v>457</v>
      </c>
      <c r="R476" s="0" t="s">
        <v>133</v>
      </c>
    </row>
    <row r="477" customFormat="false" ht="15" hidden="false" customHeight="false" outlineLevel="0" collapsed="false">
      <c r="A477" s="0" t="s">
        <v>125</v>
      </c>
      <c r="B477" s="0" t="n">
        <v>2019</v>
      </c>
      <c r="C477" s="0" t="s">
        <v>78</v>
      </c>
      <c r="D477" s="0" t="s">
        <v>90</v>
      </c>
      <c r="E477" s="0" t="n">
        <v>1</v>
      </c>
      <c r="F477" s="0" t="s">
        <v>39</v>
      </c>
      <c r="G477" s="0" t="n">
        <v>-5.05540324647517</v>
      </c>
      <c r="H477" s="0" t="s">
        <v>437</v>
      </c>
      <c r="I477" s="0" t="s">
        <v>437</v>
      </c>
      <c r="J477" s="0" t="s">
        <v>437</v>
      </c>
      <c r="K477" s="0" t="s">
        <v>437</v>
      </c>
      <c r="L477" s="0" t="s">
        <v>437</v>
      </c>
      <c r="M477" s="0" t="s">
        <v>457</v>
      </c>
      <c r="R477" s="0" t="s">
        <v>133</v>
      </c>
    </row>
    <row r="478" customFormat="false" ht="15" hidden="false" customHeight="false" outlineLevel="0" collapsed="false">
      <c r="A478" s="0" t="s">
        <v>125</v>
      </c>
      <c r="B478" s="0" t="n">
        <v>2019</v>
      </c>
      <c r="C478" s="0" t="s">
        <v>78</v>
      </c>
      <c r="D478" s="0" t="s">
        <v>90</v>
      </c>
      <c r="E478" s="0" t="n">
        <v>1</v>
      </c>
      <c r="F478" s="0" t="s">
        <v>17</v>
      </c>
      <c r="G478" s="0" t="n">
        <v>3.66403367397303</v>
      </c>
      <c r="H478" s="0" t="s">
        <v>437</v>
      </c>
      <c r="I478" s="0" t="s">
        <v>437</v>
      </c>
      <c r="J478" s="0" t="s">
        <v>437</v>
      </c>
      <c r="K478" s="0" t="s">
        <v>437</v>
      </c>
      <c r="L478" s="0" t="s">
        <v>437</v>
      </c>
      <c r="M478" s="0" t="s">
        <v>457</v>
      </c>
      <c r="R478" s="0" t="s">
        <v>133</v>
      </c>
    </row>
    <row r="479" customFormat="false" ht="15" hidden="false" customHeight="false" outlineLevel="0" collapsed="false">
      <c r="A479" s="0" t="s">
        <v>125</v>
      </c>
      <c r="B479" s="0" t="n">
        <v>2019</v>
      </c>
      <c r="C479" s="0" t="s">
        <v>78</v>
      </c>
      <c r="D479" s="0" t="s">
        <v>90</v>
      </c>
      <c r="E479" s="0" t="n">
        <v>1</v>
      </c>
      <c r="F479" s="0" t="s">
        <v>29</v>
      </c>
      <c r="G479" s="0" t="n">
        <v>1.07785989346658</v>
      </c>
      <c r="H479" s="0" t="s">
        <v>437</v>
      </c>
      <c r="I479" s="0" t="s">
        <v>437</v>
      </c>
      <c r="J479" s="0" t="s">
        <v>437</v>
      </c>
      <c r="K479" s="0" t="s">
        <v>437</v>
      </c>
      <c r="L479" s="0" t="s">
        <v>437</v>
      </c>
      <c r="M479" s="0" t="s">
        <v>457</v>
      </c>
      <c r="R479" s="0" t="s">
        <v>133</v>
      </c>
    </row>
    <row r="480" customFormat="false" ht="15" hidden="false" customHeight="false" outlineLevel="0" collapsed="false">
      <c r="A480" s="0" t="s">
        <v>125</v>
      </c>
      <c r="B480" s="0" t="n">
        <v>2019</v>
      </c>
      <c r="C480" s="0" t="s">
        <v>78</v>
      </c>
      <c r="D480" s="0" t="s">
        <v>90</v>
      </c>
      <c r="E480" s="0" t="n">
        <v>1</v>
      </c>
      <c r="F480" s="0" t="s">
        <v>37</v>
      </c>
      <c r="H480" s="0" t="s">
        <v>457</v>
      </c>
      <c r="I480" s="0" t="s">
        <v>457</v>
      </c>
      <c r="J480" s="0" t="s">
        <v>457</v>
      </c>
      <c r="K480" s="0" t="s">
        <v>457</v>
      </c>
      <c r="L480" s="0" t="s">
        <v>457</v>
      </c>
      <c r="M480" s="0" t="s">
        <v>457</v>
      </c>
      <c r="R480" s="0" t="s">
        <v>133</v>
      </c>
    </row>
    <row r="481" customFormat="false" ht="15" hidden="false" customHeight="false" outlineLevel="0" collapsed="false">
      <c r="A481" s="0" t="s">
        <v>125</v>
      </c>
      <c r="B481" s="0" t="n">
        <v>2019</v>
      </c>
      <c r="C481" s="0" t="s">
        <v>78</v>
      </c>
      <c r="D481" s="0" t="s">
        <v>90</v>
      </c>
      <c r="E481" s="0" t="n">
        <v>1</v>
      </c>
      <c r="F481" s="0" t="s">
        <v>23</v>
      </c>
      <c r="H481" s="0" t="s">
        <v>457</v>
      </c>
      <c r="I481" s="0" t="s">
        <v>457</v>
      </c>
      <c r="J481" s="0" t="s">
        <v>457</v>
      </c>
      <c r="K481" s="0" t="s">
        <v>457</v>
      </c>
      <c r="L481" s="0" t="s">
        <v>457</v>
      </c>
      <c r="M481" s="0" t="s">
        <v>457</v>
      </c>
      <c r="R481" s="0" t="s">
        <v>133</v>
      </c>
    </row>
    <row r="482" customFormat="false" ht="15" hidden="false" customHeight="false" outlineLevel="0" collapsed="false">
      <c r="A482" s="0" t="s">
        <v>125</v>
      </c>
      <c r="B482" s="0" t="n">
        <v>2019</v>
      </c>
      <c r="C482" s="0" t="s">
        <v>78</v>
      </c>
      <c r="D482" s="0" t="s">
        <v>90</v>
      </c>
      <c r="E482" s="0" t="n">
        <v>1</v>
      </c>
      <c r="F482" s="0" t="s">
        <v>45</v>
      </c>
      <c r="H482" s="0" t="s">
        <v>457</v>
      </c>
      <c r="I482" s="0" t="s">
        <v>457</v>
      </c>
      <c r="J482" s="0" t="s">
        <v>457</v>
      </c>
      <c r="K482" s="0" t="s">
        <v>457</v>
      </c>
      <c r="L482" s="0" t="s">
        <v>457</v>
      </c>
      <c r="M482" s="0" t="s">
        <v>457</v>
      </c>
      <c r="R482" s="0" t="s">
        <v>133</v>
      </c>
    </row>
    <row r="483" customFormat="false" ht="15" hidden="false" customHeight="false" outlineLevel="0" collapsed="false">
      <c r="A483" s="0" t="s">
        <v>125</v>
      </c>
      <c r="B483" s="0" t="n">
        <v>2019</v>
      </c>
      <c r="C483" s="0" t="s">
        <v>78</v>
      </c>
      <c r="D483" s="0" t="s">
        <v>90</v>
      </c>
      <c r="E483" s="0" t="n">
        <v>1</v>
      </c>
      <c r="F483" s="0" t="s">
        <v>71</v>
      </c>
      <c r="H483" s="0" t="s">
        <v>457</v>
      </c>
      <c r="I483" s="0" t="s">
        <v>457</v>
      </c>
      <c r="J483" s="0" t="s">
        <v>457</v>
      </c>
      <c r="K483" s="0" t="s">
        <v>457</v>
      </c>
      <c r="L483" s="0" t="s">
        <v>457</v>
      </c>
      <c r="M483" s="0" t="s">
        <v>457</v>
      </c>
      <c r="R483" s="0" t="s">
        <v>133</v>
      </c>
    </row>
    <row r="484" customFormat="false" ht="15" hidden="false" customHeight="false" outlineLevel="0" collapsed="false">
      <c r="A484" s="0" t="s">
        <v>125</v>
      </c>
      <c r="B484" s="0" t="n">
        <v>2019</v>
      </c>
      <c r="C484" s="0" t="s">
        <v>78</v>
      </c>
      <c r="D484" s="0" t="s">
        <v>90</v>
      </c>
      <c r="E484" s="0" t="n">
        <v>1</v>
      </c>
      <c r="F484" s="0" t="s">
        <v>31</v>
      </c>
      <c r="G484" s="0" t="n">
        <v>88.4440283025072</v>
      </c>
      <c r="H484" s="0" t="s">
        <v>437</v>
      </c>
      <c r="I484" s="0" t="s">
        <v>437</v>
      </c>
      <c r="J484" s="0" t="s">
        <v>437</v>
      </c>
      <c r="K484" s="0" t="s">
        <v>437</v>
      </c>
      <c r="L484" s="0" t="s">
        <v>437</v>
      </c>
      <c r="M484" s="0" t="s">
        <v>457</v>
      </c>
      <c r="R484" s="0" t="s">
        <v>133</v>
      </c>
    </row>
    <row r="485" customFormat="false" ht="15" hidden="false" customHeight="false" outlineLevel="0" collapsed="false">
      <c r="A485" s="0" t="s">
        <v>125</v>
      </c>
      <c r="B485" s="0" t="n">
        <v>2022</v>
      </c>
      <c r="C485" s="0" t="s">
        <v>78</v>
      </c>
      <c r="D485" s="0" t="s">
        <v>90</v>
      </c>
      <c r="E485" s="0" t="n">
        <v>1</v>
      </c>
      <c r="F485" s="0" t="s">
        <v>73</v>
      </c>
      <c r="H485" s="0" t="s">
        <v>457</v>
      </c>
      <c r="I485" s="0" t="s">
        <v>457</v>
      </c>
      <c r="J485" s="0" t="s">
        <v>457</v>
      </c>
      <c r="K485" s="0" t="s">
        <v>457</v>
      </c>
      <c r="L485" s="0" t="s">
        <v>457</v>
      </c>
      <c r="M485" s="0" t="s">
        <v>457</v>
      </c>
      <c r="O485" s="0" t="s">
        <v>2570</v>
      </c>
      <c r="P485" s="0" t="s">
        <v>2580</v>
      </c>
      <c r="Q485" s="0" t="s">
        <v>1765</v>
      </c>
      <c r="R485" s="0" t="s">
        <v>135</v>
      </c>
    </row>
    <row r="486" customFormat="false" ht="15" hidden="false" customHeight="false" outlineLevel="0" collapsed="false">
      <c r="A486" s="0" t="s">
        <v>125</v>
      </c>
      <c r="B486" s="0" t="n">
        <v>2022</v>
      </c>
      <c r="C486" s="0" t="s">
        <v>78</v>
      </c>
      <c r="D486" s="0" t="s">
        <v>90</v>
      </c>
      <c r="E486" s="0" t="n">
        <v>1</v>
      </c>
      <c r="F486" s="0" t="s">
        <v>69</v>
      </c>
      <c r="H486" s="0" t="s">
        <v>457</v>
      </c>
      <c r="I486" s="0" t="s">
        <v>457</v>
      </c>
      <c r="J486" s="0" t="s">
        <v>457</v>
      </c>
      <c r="K486" s="0" t="s">
        <v>457</v>
      </c>
      <c r="L486" s="0" t="s">
        <v>457</v>
      </c>
      <c r="M486" s="0" t="s">
        <v>457</v>
      </c>
      <c r="O486" s="0" t="s">
        <v>2570</v>
      </c>
      <c r="P486" s="0" t="s">
        <v>2580</v>
      </c>
      <c r="Q486" s="0" t="s">
        <v>1765</v>
      </c>
      <c r="R486" s="0" t="s">
        <v>135</v>
      </c>
    </row>
    <row r="487" customFormat="false" ht="15" hidden="false" customHeight="false" outlineLevel="0" collapsed="false">
      <c r="A487" s="0" t="s">
        <v>125</v>
      </c>
      <c r="B487" s="0" t="n">
        <v>2022</v>
      </c>
      <c r="C487" s="0" t="s">
        <v>78</v>
      </c>
      <c r="D487" s="0" t="s">
        <v>90</v>
      </c>
      <c r="E487" s="0" t="n">
        <v>1</v>
      </c>
      <c r="F487" s="0" t="s">
        <v>25</v>
      </c>
      <c r="H487" s="0" t="s">
        <v>457</v>
      </c>
      <c r="I487" s="0" t="s">
        <v>457</v>
      </c>
      <c r="J487" s="0" t="s">
        <v>457</v>
      </c>
      <c r="K487" s="0" t="s">
        <v>457</v>
      </c>
      <c r="L487" s="0" t="s">
        <v>457</v>
      </c>
      <c r="M487" s="0" t="s">
        <v>457</v>
      </c>
      <c r="O487" s="0" t="s">
        <v>2570</v>
      </c>
      <c r="P487" s="0" t="s">
        <v>2580</v>
      </c>
      <c r="Q487" s="0" t="s">
        <v>1765</v>
      </c>
      <c r="R487" s="0" t="s">
        <v>135</v>
      </c>
    </row>
    <row r="488" customFormat="false" ht="15" hidden="false" customHeight="false" outlineLevel="0" collapsed="false">
      <c r="A488" s="0" t="s">
        <v>125</v>
      </c>
      <c r="B488" s="0" t="n">
        <v>2022</v>
      </c>
      <c r="C488" s="0" t="s">
        <v>78</v>
      </c>
      <c r="D488" s="0" t="s">
        <v>90</v>
      </c>
      <c r="E488" s="0" t="n">
        <v>1</v>
      </c>
      <c r="F488" s="0" t="s">
        <v>41</v>
      </c>
      <c r="H488" s="0" t="s">
        <v>457</v>
      </c>
      <c r="I488" s="0" t="s">
        <v>457</v>
      </c>
      <c r="J488" s="0" t="s">
        <v>457</v>
      </c>
      <c r="K488" s="0" t="s">
        <v>457</v>
      </c>
      <c r="L488" s="0" t="s">
        <v>457</v>
      </c>
      <c r="M488" s="0" t="s">
        <v>457</v>
      </c>
      <c r="O488" s="0" t="s">
        <v>2570</v>
      </c>
      <c r="P488" s="0" t="s">
        <v>2580</v>
      </c>
      <c r="Q488" s="0" t="s">
        <v>1765</v>
      </c>
      <c r="R488" s="0" t="s">
        <v>135</v>
      </c>
    </row>
    <row r="489" customFormat="false" ht="15" hidden="false" customHeight="false" outlineLevel="0" collapsed="false">
      <c r="A489" s="0" t="s">
        <v>125</v>
      </c>
      <c r="B489" s="0" t="n">
        <v>2022</v>
      </c>
      <c r="C489" s="0" t="s">
        <v>78</v>
      </c>
      <c r="D489" s="0" t="s">
        <v>90</v>
      </c>
      <c r="E489" s="0" t="n">
        <v>1</v>
      </c>
      <c r="F489" s="0" t="s">
        <v>27</v>
      </c>
      <c r="G489" s="0" t="n">
        <v>9.26622080329253</v>
      </c>
      <c r="H489" s="0" t="s">
        <v>437</v>
      </c>
      <c r="I489" s="0" t="s">
        <v>437</v>
      </c>
      <c r="J489" s="0" t="s">
        <v>437</v>
      </c>
      <c r="K489" s="0" t="s">
        <v>457</v>
      </c>
      <c r="L489" s="0" t="s">
        <v>437</v>
      </c>
      <c r="M489" s="0" t="s">
        <v>437</v>
      </c>
      <c r="O489" s="0" t="s">
        <v>2570</v>
      </c>
      <c r="P489" s="0" t="s">
        <v>2580</v>
      </c>
      <c r="Q489" s="0" t="s">
        <v>1765</v>
      </c>
      <c r="R489" s="0" t="s">
        <v>135</v>
      </c>
    </row>
    <row r="490" customFormat="false" ht="15" hidden="false" customHeight="false" outlineLevel="0" collapsed="false">
      <c r="A490" s="0" t="s">
        <v>125</v>
      </c>
      <c r="B490" s="0" t="n">
        <v>2022</v>
      </c>
      <c r="C490" s="0" t="s">
        <v>78</v>
      </c>
      <c r="D490" s="0" t="s">
        <v>90</v>
      </c>
      <c r="E490" s="0" t="n">
        <v>1</v>
      </c>
      <c r="F490" s="0" t="s">
        <v>39</v>
      </c>
      <c r="H490" s="0" t="s">
        <v>457</v>
      </c>
      <c r="I490" s="0" t="s">
        <v>457</v>
      </c>
      <c r="J490" s="0" t="s">
        <v>457</v>
      </c>
      <c r="K490" s="0" t="s">
        <v>457</v>
      </c>
      <c r="L490" s="0" t="s">
        <v>457</v>
      </c>
      <c r="M490" s="0" t="s">
        <v>457</v>
      </c>
      <c r="O490" s="0" t="s">
        <v>2570</v>
      </c>
      <c r="P490" s="0" t="s">
        <v>2580</v>
      </c>
      <c r="Q490" s="0" t="s">
        <v>1765</v>
      </c>
      <c r="R490" s="0" t="s">
        <v>135</v>
      </c>
    </row>
    <row r="491" customFormat="false" ht="15" hidden="false" customHeight="false" outlineLevel="0" collapsed="false">
      <c r="A491" s="0" t="s">
        <v>125</v>
      </c>
      <c r="B491" s="0" t="n">
        <v>2022</v>
      </c>
      <c r="C491" s="0" t="s">
        <v>78</v>
      </c>
      <c r="D491" s="0" t="s">
        <v>90</v>
      </c>
      <c r="E491" s="0" t="n">
        <v>1</v>
      </c>
      <c r="F491" s="0" t="s">
        <v>17</v>
      </c>
      <c r="H491" s="0" t="s">
        <v>457</v>
      </c>
      <c r="I491" s="0" t="s">
        <v>457</v>
      </c>
      <c r="J491" s="0" t="s">
        <v>457</v>
      </c>
      <c r="K491" s="0" t="s">
        <v>457</v>
      </c>
      <c r="L491" s="0" t="s">
        <v>457</v>
      </c>
      <c r="M491" s="0" t="s">
        <v>457</v>
      </c>
      <c r="O491" s="0" t="s">
        <v>2570</v>
      </c>
      <c r="P491" s="0" t="s">
        <v>2580</v>
      </c>
      <c r="Q491" s="0" t="s">
        <v>1765</v>
      </c>
      <c r="R491" s="0" t="s">
        <v>135</v>
      </c>
    </row>
    <row r="492" customFormat="false" ht="15" hidden="false" customHeight="false" outlineLevel="0" collapsed="false">
      <c r="A492" s="0" t="s">
        <v>125</v>
      </c>
      <c r="B492" s="0" t="n">
        <v>2022</v>
      </c>
      <c r="C492" s="0" t="s">
        <v>78</v>
      </c>
      <c r="D492" s="0" t="s">
        <v>90</v>
      </c>
      <c r="E492" s="0" t="n">
        <v>1</v>
      </c>
      <c r="F492" s="0" t="s">
        <v>29</v>
      </c>
      <c r="H492" s="0" t="s">
        <v>457</v>
      </c>
      <c r="I492" s="0" t="s">
        <v>457</v>
      </c>
      <c r="J492" s="0" t="s">
        <v>457</v>
      </c>
      <c r="K492" s="0" t="s">
        <v>457</v>
      </c>
      <c r="L492" s="0" t="s">
        <v>457</v>
      </c>
      <c r="M492" s="0" t="s">
        <v>457</v>
      </c>
      <c r="O492" s="0" t="s">
        <v>2570</v>
      </c>
      <c r="P492" s="0" t="s">
        <v>2580</v>
      </c>
      <c r="Q492" s="0" t="s">
        <v>1765</v>
      </c>
      <c r="R492" s="0" t="s">
        <v>135</v>
      </c>
    </row>
    <row r="493" customFormat="false" ht="15" hidden="false" customHeight="false" outlineLevel="0" collapsed="false">
      <c r="A493" s="0" t="s">
        <v>125</v>
      </c>
      <c r="B493" s="0" t="n">
        <v>2022</v>
      </c>
      <c r="C493" s="0" t="s">
        <v>78</v>
      </c>
      <c r="D493" s="0" t="s">
        <v>90</v>
      </c>
      <c r="E493" s="0" t="n">
        <v>1</v>
      </c>
      <c r="F493" s="0" t="s">
        <v>37</v>
      </c>
      <c r="H493" s="0" t="s">
        <v>457</v>
      </c>
      <c r="I493" s="0" t="s">
        <v>457</v>
      </c>
      <c r="J493" s="0" t="s">
        <v>457</v>
      </c>
      <c r="K493" s="0" t="s">
        <v>457</v>
      </c>
      <c r="L493" s="0" t="s">
        <v>457</v>
      </c>
      <c r="M493" s="0" t="s">
        <v>457</v>
      </c>
      <c r="O493" s="0" t="s">
        <v>2570</v>
      </c>
      <c r="P493" s="0" t="s">
        <v>2580</v>
      </c>
      <c r="Q493" s="0" t="s">
        <v>1765</v>
      </c>
      <c r="R493" s="0" t="s">
        <v>135</v>
      </c>
    </row>
    <row r="494" customFormat="false" ht="15" hidden="false" customHeight="false" outlineLevel="0" collapsed="false">
      <c r="A494" s="0" t="s">
        <v>125</v>
      </c>
      <c r="B494" s="0" t="n">
        <v>2022</v>
      </c>
      <c r="C494" s="0" t="s">
        <v>78</v>
      </c>
      <c r="D494" s="0" t="s">
        <v>90</v>
      </c>
      <c r="E494" s="0" t="n">
        <v>1</v>
      </c>
      <c r="F494" s="0" t="s">
        <v>23</v>
      </c>
      <c r="H494" s="0" t="s">
        <v>457</v>
      </c>
      <c r="I494" s="0" t="s">
        <v>457</v>
      </c>
      <c r="J494" s="0" t="s">
        <v>457</v>
      </c>
      <c r="K494" s="0" t="s">
        <v>457</v>
      </c>
      <c r="L494" s="0" t="s">
        <v>457</v>
      </c>
      <c r="M494" s="0" t="s">
        <v>457</v>
      </c>
      <c r="O494" s="0" t="s">
        <v>2570</v>
      </c>
      <c r="P494" s="0" t="s">
        <v>2580</v>
      </c>
      <c r="Q494" s="0" t="s">
        <v>1765</v>
      </c>
      <c r="R494" s="0" t="s">
        <v>135</v>
      </c>
    </row>
    <row r="495" customFormat="false" ht="15" hidden="false" customHeight="false" outlineLevel="0" collapsed="false">
      <c r="A495" s="0" t="s">
        <v>125</v>
      </c>
      <c r="B495" s="0" t="n">
        <v>2022</v>
      </c>
      <c r="C495" s="0" t="s">
        <v>78</v>
      </c>
      <c r="D495" s="0" t="s">
        <v>90</v>
      </c>
      <c r="E495" s="0" t="n">
        <v>1</v>
      </c>
      <c r="F495" s="0" t="s">
        <v>45</v>
      </c>
      <c r="H495" s="0" t="s">
        <v>457</v>
      </c>
      <c r="I495" s="0" t="s">
        <v>457</v>
      </c>
      <c r="J495" s="0" t="s">
        <v>457</v>
      </c>
      <c r="K495" s="0" t="s">
        <v>457</v>
      </c>
      <c r="L495" s="0" t="s">
        <v>457</v>
      </c>
      <c r="M495" s="0" t="s">
        <v>457</v>
      </c>
      <c r="O495" s="0" t="s">
        <v>2570</v>
      </c>
      <c r="P495" s="0" t="s">
        <v>2580</v>
      </c>
      <c r="Q495" s="0" t="s">
        <v>1765</v>
      </c>
      <c r="R495" s="0" t="s">
        <v>135</v>
      </c>
    </row>
    <row r="496" customFormat="false" ht="15" hidden="false" customHeight="false" outlineLevel="0" collapsed="false">
      <c r="A496" s="0" t="s">
        <v>125</v>
      </c>
      <c r="B496" s="0" t="n">
        <v>2022</v>
      </c>
      <c r="C496" s="0" t="s">
        <v>78</v>
      </c>
      <c r="D496" s="0" t="s">
        <v>90</v>
      </c>
      <c r="E496" s="0" t="n">
        <v>1</v>
      </c>
      <c r="F496" s="0" t="s">
        <v>71</v>
      </c>
      <c r="H496" s="0" t="s">
        <v>457</v>
      </c>
      <c r="I496" s="0" t="s">
        <v>457</v>
      </c>
      <c r="J496" s="0" t="s">
        <v>457</v>
      </c>
      <c r="K496" s="0" t="s">
        <v>457</v>
      </c>
      <c r="L496" s="0" t="s">
        <v>457</v>
      </c>
      <c r="M496" s="0" t="s">
        <v>457</v>
      </c>
      <c r="O496" s="0" t="s">
        <v>2570</v>
      </c>
      <c r="P496" s="0" t="s">
        <v>2580</v>
      </c>
      <c r="Q496" s="0" t="s">
        <v>1765</v>
      </c>
      <c r="R496" s="0" t="s">
        <v>135</v>
      </c>
    </row>
    <row r="497" customFormat="false" ht="15" hidden="false" customHeight="false" outlineLevel="0" collapsed="false">
      <c r="A497" s="0" t="s">
        <v>125</v>
      </c>
      <c r="B497" s="0" t="n">
        <v>2022</v>
      </c>
      <c r="C497" s="0" t="s">
        <v>78</v>
      </c>
      <c r="D497" s="0" t="s">
        <v>90</v>
      </c>
      <c r="E497" s="0" t="n">
        <v>1</v>
      </c>
      <c r="F497" s="0" t="s">
        <v>31</v>
      </c>
      <c r="G497" s="0" t="n">
        <v>90.7337791967075</v>
      </c>
      <c r="H497" s="0" t="s">
        <v>437</v>
      </c>
      <c r="I497" s="0" t="s">
        <v>437</v>
      </c>
      <c r="J497" s="0" t="s">
        <v>437</v>
      </c>
      <c r="K497" s="0" t="s">
        <v>457</v>
      </c>
      <c r="L497" s="0" t="s">
        <v>437</v>
      </c>
      <c r="M497" s="0" t="s">
        <v>437</v>
      </c>
      <c r="O497" s="0" t="s">
        <v>2570</v>
      </c>
      <c r="P497" s="0" t="s">
        <v>2580</v>
      </c>
      <c r="Q497" s="0" t="s">
        <v>1765</v>
      </c>
      <c r="R497" s="0" t="s">
        <v>135</v>
      </c>
    </row>
    <row r="498" customFormat="false" ht="15" hidden="false" customHeight="false" outlineLevel="0" collapsed="false">
      <c r="A498" s="0" t="s">
        <v>136</v>
      </c>
      <c r="B498" s="0" t="n">
        <v>2013</v>
      </c>
      <c r="C498" s="0" t="s">
        <v>78</v>
      </c>
      <c r="D498" s="0" t="s">
        <v>79</v>
      </c>
      <c r="E498" s="0" t="n">
        <v>0</v>
      </c>
      <c r="F498" s="0" t="s">
        <v>73</v>
      </c>
      <c r="H498" s="0" t="s">
        <v>457</v>
      </c>
      <c r="I498" s="0" t="s">
        <v>457</v>
      </c>
      <c r="J498" s="0" t="s">
        <v>457</v>
      </c>
      <c r="K498" s="0" t="s">
        <v>457</v>
      </c>
      <c r="L498" s="0" t="s">
        <v>457</v>
      </c>
      <c r="M498" s="0" t="s">
        <v>457</v>
      </c>
      <c r="R498" s="0" t="s">
        <v>81</v>
      </c>
    </row>
    <row r="499" customFormat="false" ht="15" hidden="false" customHeight="false" outlineLevel="0" collapsed="false">
      <c r="A499" s="0" t="s">
        <v>136</v>
      </c>
      <c r="B499" s="0" t="n">
        <v>2013</v>
      </c>
      <c r="C499" s="0" t="s">
        <v>78</v>
      </c>
      <c r="D499" s="0" t="s">
        <v>79</v>
      </c>
      <c r="E499" s="0" t="n">
        <v>0</v>
      </c>
      <c r="F499" s="0" t="s">
        <v>69</v>
      </c>
      <c r="H499" s="0" t="s">
        <v>457</v>
      </c>
      <c r="I499" s="0" t="s">
        <v>457</v>
      </c>
      <c r="J499" s="0" t="s">
        <v>457</v>
      </c>
      <c r="K499" s="0" t="s">
        <v>457</v>
      </c>
      <c r="L499" s="0" t="s">
        <v>457</v>
      </c>
      <c r="M499" s="0" t="s">
        <v>457</v>
      </c>
      <c r="R499" s="0" t="s">
        <v>81</v>
      </c>
    </row>
    <row r="500" customFormat="false" ht="15" hidden="false" customHeight="false" outlineLevel="0" collapsed="false">
      <c r="A500" s="0" t="s">
        <v>136</v>
      </c>
      <c r="B500" s="0" t="n">
        <v>2013</v>
      </c>
      <c r="C500" s="0" t="s">
        <v>78</v>
      </c>
      <c r="D500" s="0" t="s">
        <v>79</v>
      </c>
      <c r="E500" s="0" t="n">
        <v>0</v>
      </c>
      <c r="F500" s="0" t="s">
        <v>25</v>
      </c>
      <c r="H500" s="0" t="s">
        <v>457</v>
      </c>
      <c r="I500" s="0" t="s">
        <v>457</v>
      </c>
      <c r="J500" s="0" t="s">
        <v>457</v>
      </c>
      <c r="K500" s="0" t="s">
        <v>457</v>
      </c>
      <c r="L500" s="0" t="s">
        <v>457</v>
      </c>
      <c r="M500" s="0" t="s">
        <v>457</v>
      </c>
      <c r="R500" s="0" t="s">
        <v>81</v>
      </c>
    </row>
    <row r="501" customFormat="false" ht="15" hidden="false" customHeight="false" outlineLevel="0" collapsed="false">
      <c r="A501" s="0" t="s">
        <v>136</v>
      </c>
      <c r="B501" s="0" t="n">
        <v>2013</v>
      </c>
      <c r="C501" s="0" t="s">
        <v>78</v>
      </c>
      <c r="D501" s="0" t="s">
        <v>79</v>
      </c>
      <c r="E501" s="0" t="n">
        <v>0</v>
      </c>
      <c r="F501" s="0" t="s">
        <v>41</v>
      </c>
      <c r="H501" s="0" t="s">
        <v>457</v>
      </c>
      <c r="I501" s="0" t="s">
        <v>457</v>
      </c>
      <c r="J501" s="0" t="s">
        <v>457</v>
      </c>
      <c r="K501" s="0" t="s">
        <v>457</v>
      </c>
      <c r="L501" s="0" t="s">
        <v>457</v>
      </c>
      <c r="M501" s="0" t="s">
        <v>457</v>
      </c>
      <c r="R501" s="0" t="s">
        <v>81</v>
      </c>
    </row>
    <row r="502" customFormat="false" ht="15" hidden="false" customHeight="false" outlineLevel="0" collapsed="false">
      <c r="A502" s="0" t="s">
        <v>136</v>
      </c>
      <c r="B502" s="0" t="n">
        <v>2013</v>
      </c>
      <c r="C502" s="0" t="s">
        <v>78</v>
      </c>
      <c r="D502" s="0" t="s">
        <v>79</v>
      </c>
      <c r="E502" s="0" t="n">
        <v>0</v>
      </c>
      <c r="F502" s="0" t="s">
        <v>27</v>
      </c>
      <c r="G502" s="0" t="n">
        <v>17.3100653970928</v>
      </c>
      <c r="H502" s="0" t="s">
        <v>437</v>
      </c>
      <c r="I502" s="0" t="s">
        <v>437</v>
      </c>
      <c r="J502" s="0" t="s">
        <v>437</v>
      </c>
      <c r="K502" s="0" t="s">
        <v>457</v>
      </c>
      <c r="L502" s="0" t="s">
        <v>437</v>
      </c>
      <c r="M502" s="0" t="s">
        <v>457</v>
      </c>
      <c r="R502" s="0" t="s">
        <v>81</v>
      </c>
    </row>
    <row r="503" customFormat="false" ht="15" hidden="false" customHeight="false" outlineLevel="0" collapsed="false">
      <c r="A503" s="0" t="s">
        <v>136</v>
      </c>
      <c r="B503" s="0" t="n">
        <v>2013</v>
      </c>
      <c r="C503" s="0" t="s">
        <v>78</v>
      </c>
      <c r="D503" s="0" t="s">
        <v>79</v>
      </c>
      <c r="E503" s="0" t="n">
        <v>0</v>
      </c>
      <c r="F503" s="0" t="s">
        <v>39</v>
      </c>
      <c r="H503" s="0" t="s">
        <v>457</v>
      </c>
      <c r="I503" s="0" t="s">
        <v>457</v>
      </c>
      <c r="J503" s="0" t="s">
        <v>457</v>
      </c>
      <c r="K503" s="0" t="s">
        <v>457</v>
      </c>
      <c r="L503" s="0" t="s">
        <v>457</v>
      </c>
      <c r="M503" s="0" t="s">
        <v>457</v>
      </c>
      <c r="R503" s="0" t="s">
        <v>81</v>
      </c>
    </row>
    <row r="504" customFormat="false" ht="15" hidden="false" customHeight="false" outlineLevel="0" collapsed="false">
      <c r="A504" s="0" t="s">
        <v>136</v>
      </c>
      <c r="B504" s="0" t="n">
        <v>2013</v>
      </c>
      <c r="C504" s="0" t="s">
        <v>78</v>
      </c>
      <c r="D504" s="0" t="s">
        <v>79</v>
      </c>
      <c r="E504" s="0" t="n">
        <v>0</v>
      </c>
      <c r="F504" s="0" t="s">
        <v>17</v>
      </c>
      <c r="H504" s="0" t="s">
        <v>457</v>
      </c>
      <c r="I504" s="0" t="s">
        <v>457</v>
      </c>
      <c r="J504" s="0" t="s">
        <v>457</v>
      </c>
      <c r="K504" s="0" t="s">
        <v>457</v>
      </c>
      <c r="L504" s="0" t="s">
        <v>457</v>
      </c>
      <c r="M504" s="0" t="s">
        <v>457</v>
      </c>
      <c r="R504" s="0" t="s">
        <v>81</v>
      </c>
    </row>
    <row r="505" customFormat="false" ht="15" hidden="false" customHeight="false" outlineLevel="0" collapsed="false">
      <c r="A505" s="0" t="s">
        <v>136</v>
      </c>
      <c r="B505" s="0" t="n">
        <v>2013</v>
      </c>
      <c r="C505" s="0" t="s">
        <v>78</v>
      </c>
      <c r="D505" s="0" t="s">
        <v>79</v>
      </c>
      <c r="E505" s="0" t="n">
        <v>0</v>
      </c>
      <c r="F505" s="0" t="s">
        <v>29</v>
      </c>
      <c r="H505" s="0" t="s">
        <v>457</v>
      </c>
      <c r="I505" s="0" t="s">
        <v>457</v>
      </c>
      <c r="J505" s="0" t="s">
        <v>457</v>
      </c>
      <c r="K505" s="0" t="s">
        <v>457</v>
      </c>
      <c r="L505" s="0" t="s">
        <v>457</v>
      </c>
      <c r="M505" s="0" t="s">
        <v>457</v>
      </c>
      <c r="R505" s="0" t="s">
        <v>81</v>
      </c>
    </row>
    <row r="506" customFormat="false" ht="15" hidden="false" customHeight="false" outlineLevel="0" collapsed="false">
      <c r="A506" s="0" t="s">
        <v>136</v>
      </c>
      <c r="B506" s="0" t="n">
        <v>2013</v>
      </c>
      <c r="C506" s="0" t="s">
        <v>78</v>
      </c>
      <c r="D506" s="0" t="s">
        <v>79</v>
      </c>
      <c r="E506" s="0" t="n">
        <v>0</v>
      </c>
      <c r="F506" s="0" t="s">
        <v>37</v>
      </c>
      <c r="H506" s="0" t="s">
        <v>457</v>
      </c>
      <c r="I506" s="0" t="s">
        <v>457</v>
      </c>
      <c r="J506" s="0" t="s">
        <v>457</v>
      </c>
      <c r="K506" s="0" t="s">
        <v>457</v>
      </c>
      <c r="L506" s="0" t="s">
        <v>457</v>
      </c>
      <c r="M506" s="0" t="s">
        <v>457</v>
      </c>
      <c r="R506" s="0" t="s">
        <v>81</v>
      </c>
    </row>
    <row r="507" customFormat="false" ht="15" hidden="false" customHeight="false" outlineLevel="0" collapsed="false">
      <c r="A507" s="0" t="s">
        <v>136</v>
      </c>
      <c r="B507" s="0" t="n">
        <v>2013</v>
      </c>
      <c r="C507" s="0" t="s">
        <v>78</v>
      </c>
      <c r="D507" s="0" t="s">
        <v>79</v>
      </c>
      <c r="E507" s="0" t="n">
        <v>0</v>
      </c>
      <c r="F507" s="0" t="s">
        <v>23</v>
      </c>
      <c r="H507" s="0" t="s">
        <v>457</v>
      </c>
      <c r="I507" s="0" t="s">
        <v>457</v>
      </c>
      <c r="J507" s="0" t="s">
        <v>457</v>
      </c>
      <c r="K507" s="0" t="s">
        <v>457</v>
      </c>
      <c r="L507" s="0" t="s">
        <v>457</v>
      </c>
      <c r="M507" s="0" t="s">
        <v>457</v>
      </c>
      <c r="R507" s="0" t="s">
        <v>81</v>
      </c>
    </row>
    <row r="508" customFormat="false" ht="15" hidden="false" customHeight="false" outlineLevel="0" collapsed="false">
      <c r="A508" s="0" t="s">
        <v>136</v>
      </c>
      <c r="B508" s="0" t="n">
        <v>2013</v>
      </c>
      <c r="C508" s="0" t="s">
        <v>78</v>
      </c>
      <c r="D508" s="0" t="s">
        <v>79</v>
      </c>
      <c r="E508" s="0" t="n">
        <v>0</v>
      </c>
      <c r="F508" s="0" t="s">
        <v>45</v>
      </c>
      <c r="H508" s="0" t="s">
        <v>457</v>
      </c>
      <c r="I508" s="0" t="s">
        <v>457</v>
      </c>
      <c r="J508" s="0" t="s">
        <v>457</v>
      </c>
      <c r="K508" s="0" t="s">
        <v>457</v>
      </c>
      <c r="L508" s="0" t="s">
        <v>457</v>
      </c>
      <c r="M508" s="0" t="s">
        <v>457</v>
      </c>
      <c r="R508" s="0" t="s">
        <v>81</v>
      </c>
    </row>
    <row r="509" customFormat="false" ht="15" hidden="false" customHeight="false" outlineLevel="0" collapsed="false">
      <c r="A509" s="0" t="s">
        <v>136</v>
      </c>
      <c r="B509" s="0" t="n">
        <v>2013</v>
      </c>
      <c r="C509" s="0" t="s">
        <v>78</v>
      </c>
      <c r="D509" s="0" t="s">
        <v>79</v>
      </c>
      <c r="E509" s="0" t="n">
        <v>0</v>
      </c>
      <c r="F509" s="0" t="s">
        <v>71</v>
      </c>
      <c r="H509" s="0" t="s">
        <v>457</v>
      </c>
      <c r="I509" s="0" t="s">
        <v>457</v>
      </c>
      <c r="J509" s="0" t="s">
        <v>457</v>
      </c>
      <c r="K509" s="0" t="s">
        <v>457</v>
      </c>
      <c r="L509" s="0" t="s">
        <v>457</v>
      </c>
      <c r="M509" s="0" t="s">
        <v>457</v>
      </c>
      <c r="R509" s="0" t="s">
        <v>81</v>
      </c>
    </row>
    <row r="510" customFormat="false" ht="15" hidden="false" customHeight="false" outlineLevel="0" collapsed="false">
      <c r="A510" s="0" t="s">
        <v>136</v>
      </c>
      <c r="B510" s="0" t="n">
        <v>2013</v>
      </c>
      <c r="C510" s="0" t="s">
        <v>78</v>
      </c>
      <c r="D510" s="0" t="s">
        <v>79</v>
      </c>
      <c r="E510" s="0" t="n">
        <v>0</v>
      </c>
      <c r="F510" s="0" t="s">
        <v>31</v>
      </c>
      <c r="G510" s="0" t="n">
        <v>82.6899346029072</v>
      </c>
      <c r="H510" s="0" t="s">
        <v>437</v>
      </c>
      <c r="I510" s="0" t="s">
        <v>437</v>
      </c>
      <c r="J510" s="0" t="s">
        <v>437</v>
      </c>
      <c r="K510" s="0" t="s">
        <v>457</v>
      </c>
      <c r="L510" s="0" t="s">
        <v>437</v>
      </c>
      <c r="M510" s="0" t="s">
        <v>457</v>
      </c>
      <c r="R510" s="0" t="s">
        <v>81</v>
      </c>
    </row>
    <row r="511" customFormat="false" ht="15" hidden="false" customHeight="false" outlineLevel="0" collapsed="false">
      <c r="A511" s="0" t="s">
        <v>136</v>
      </c>
      <c r="B511" s="0" t="n">
        <v>2014</v>
      </c>
      <c r="C511" s="0" t="s">
        <v>78</v>
      </c>
      <c r="D511" s="0" t="s">
        <v>79</v>
      </c>
      <c r="E511" s="0" t="n">
        <v>0</v>
      </c>
      <c r="F511" s="0" t="s">
        <v>73</v>
      </c>
      <c r="H511" s="0" t="s">
        <v>457</v>
      </c>
      <c r="I511" s="0" t="s">
        <v>457</v>
      </c>
      <c r="J511" s="0" t="s">
        <v>457</v>
      </c>
      <c r="K511" s="0" t="s">
        <v>457</v>
      </c>
      <c r="L511" s="0" t="s">
        <v>457</v>
      </c>
      <c r="M511" s="0" t="s">
        <v>457</v>
      </c>
      <c r="R511" s="0" t="s">
        <v>81</v>
      </c>
    </row>
    <row r="512" customFormat="false" ht="15" hidden="false" customHeight="false" outlineLevel="0" collapsed="false">
      <c r="A512" s="0" t="s">
        <v>136</v>
      </c>
      <c r="B512" s="0" t="n">
        <v>2014</v>
      </c>
      <c r="C512" s="0" t="s">
        <v>78</v>
      </c>
      <c r="D512" s="0" t="s">
        <v>79</v>
      </c>
      <c r="E512" s="0" t="n">
        <v>0</v>
      </c>
      <c r="F512" s="0" t="s">
        <v>69</v>
      </c>
      <c r="H512" s="0" t="s">
        <v>457</v>
      </c>
      <c r="I512" s="0" t="s">
        <v>457</v>
      </c>
      <c r="J512" s="0" t="s">
        <v>457</v>
      </c>
      <c r="K512" s="0" t="s">
        <v>457</v>
      </c>
      <c r="L512" s="0" t="s">
        <v>457</v>
      </c>
      <c r="M512" s="0" t="s">
        <v>457</v>
      </c>
      <c r="R512" s="0" t="s">
        <v>81</v>
      </c>
    </row>
    <row r="513" customFormat="false" ht="15" hidden="false" customHeight="false" outlineLevel="0" collapsed="false">
      <c r="A513" s="0" t="s">
        <v>136</v>
      </c>
      <c r="B513" s="0" t="n">
        <v>2014</v>
      </c>
      <c r="C513" s="0" t="s">
        <v>78</v>
      </c>
      <c r="D513" s="0" t="s">
        <v>79</v>
      </c>
      <c r="E513" s="0" t="n">
        <v>0</v>
      </c>
      <c r="F513" s="0" t="s">
        <v>25</v>
      </c>
      <c r="H513" s="0" t="s">
        <v>457</v>
      </c>
      <c r="I513" s="0" t="s">
        <v>457</v>
      </c>
      <c r="J513" s="0" t="s">
        <v>457</v>
      </c>
      <c r="K513" s="0" t="s">
        <v>457</v>
      </c>
      <c r="L513" s="0" t="s">
        <v>457</v>
      </c>
      <c r="M513" s="0" t="s">
        <v>457</v>
      </c>
      <c r="R513" s="0" t="s">
        <v>81</v>
      </c>
    </row>
    <row r="514" customFormat="false" ht="15" hidden="false" customHeight="false" outlineLevel="0" collapsed="false">
      <c r="A514" s="0" t="s">
        <v>136</v>
      </c>
      <c r="B514" s="0" t="n">
        <v>2014</v>
      </c>
      <c r="C514" s="0" t="s">
        <v>78</v>
      </c>
      <c r="D514" s="0" t="s">
        <v>79</v>
      </c>
      <c r="E514" s="0" t="n">
        <v>0</v>
      </c>
      <c r="F514" s="0" t="s">
        <v>41</v>
      </c>
      <c r="G514" s="0" t="n">
        <v>4.63570343048603</v>
      </c>
      <c r="H514" s="0" t="s">
        <v>437</v>
      </c>
      <c r="I514" s="0" t="s">
        <v>437</v>
      </c>
      <c r="J514" s="0" t="s">
        <v>437</v>
      </c>
      <c r="K514" s="0" t="s">
        <v>457</v>
      </c>
      <c r="L514" s="0" t="s">
        <v>437</v>
      </c>
      <c r="M514" s="0" t="s">
        <v>457</v>
      </c>
      <c r="R514" s="0" t="s">
        <v>81</v>
      </c>
    </row>
    <row r="515" customFormat="false" ht="15" hidden="false" customHeight="false" outlineLevel="0" collapsed="false">
      <c r="A515" s="0" t="s">
        <v>136</v>
      </c>
      <c r="B515" s="0" t="n">
        <v>2014</v>
      </c>
      <c r="C515" s="0" t="s">
        <v>78</v>
      </c>
      <c r="D515" s="0" t="s">
        <v>79</v>
      </c>
      <c r="E515" s="0" t="n">
        <v>0</v>
      </c>
      <c r="F515" s="0" t="s">
        <v>27</v>
      </c>
      <c r="G515" s="0" t="n">
        <v>17.3764981604508</v>
      </c>
      <c r="H515" s="0" t="s">
        <v>437</v>
      </c>
      <c r="I515" s="0" t="s">
        <v>437</v>
      </c>
      <c r="J515" s="0" t="s">
        <v>437</v>
      </c>
      <c r="K515" s="0" t="s">
        <v>437</v>
      </c>
      <c r="L515" s="0" t="s">
        <v>437</v>
      </c>
      <c r="M515" s="0" t="s">
        <v>457</v>
      </c>
      <c r="R515" s="0" t="s">
        <v>81</v>
      </c>
    </row>
    <row r="516" customFormat="false" ht="15" hidden="false" customHeight="false" outlineLevel="0" collapsed="false">
      <c r="A516" s="0" t="s">
        <v>136</v>
      </c>
      <c r="B516" s="0" t="n">
        <v>2014</v>
      </c>
      <c r="C516" s="0" t="s">
        <v>78</v>
      </c>
      <c r="D516" s="0" t="s">
        <v>79</v>
      </c>
      <c r="E516" s="0" t="n">
        <v>0</v>
      </c>
      <c r="F516" s="0" t="s">
        <v>39</v>
      </c>
      <c r="H516" s="0" t="s">
        <v>457</v>
      </c>
      <c r="I516" s="0" t="s">
        <v>457</v>
      </c>
      <c r="J516" s="0" t="s">
        <v>457</v>
      </c>
      <c r="K516" s="0" t="s">
        <v>457</v>
      </c>
      <c r="L516" s="0" t="s">
        <v>457</v>
      </c>
      <c r="M516" s="0" t="s">
        <v>457</v>
      </c>
      <c r="R516" s="0" t="s">
        <v>81</v>
      </c>
    </row>
    <row r="517" customFormat="false" ht="15" hidden="false" customHeight="false" outlineLevel="0" collapsed="false">
      <c r="A517" s="0" t="s">
        <v>136</v>
      </c>
      <c r="B517" s="0" t="n">
        <v>2014</v>
      </c>
      <c r="C517" s="0" t="s">
        <v>78</v>
      </c>
      <c r="D517" s="0" t="s">
        <v>79</v>
      </c>
      <c r="E517" s="0" t="n">
        <v>0</v>
      </c>
      <c r="F517" s="0" t="s">
        <v>17</v>
      </c>
      <c r="H517" s="0" t="s">
        <v>457</v>
      </c>
      <c r="I517" s="0" t="s">
        <v>457</v>
      </c>
      <c r="J517" s="0" t="s">
        <v>457</v>
      </c>
      <c r="K517" s="0" t="s">
        <v>457</v>
      </c>
      <c r="L517" s="0" t="s">
        <v>457</v>
      </c>
      <c r="M517" s="0" t="s">
        <v>457</v>
      </c>
      <c r="R517" s="0" t="s">
        <v>81</v>
      </c>
    </row>
    <row r="518" customFormat="false" ht="15" hidden="false" customHeight="false" outlineLevel="0" collapsed="false">
      <c r="A518" s="0" t="s">
        <v>136</v>
      </c>
      <c r="B518" s="0" t="n">
        <v>2014</v>
      </c>
      <c r="C518" s="0" t="s">
        <v>78</v>
      </c>
      <c r="D518" s="0" t="s">
        <v>79</v>
      </c>
      <c r="E518" s="0" t="n">
        <v>0</v>
      </c>
      <c r="F518" s="0" t="s">
        <v>29</v>
      </c>
      <c r="H518" s="0" t="s">
        <v>457</v>
      </c>
      <c r="I518" s="0" t="s">
        <v>457</v>
      </c>
      <c r="J518" s="0" t="s">
        <v>457</v>
      </c>
      <c r="K518" s="0" t="s">
        <v>457</v>
      </c>
      <c r="L518" s="0" t="s">
        <v>457</v>
      </c>
      <c r="M518" s="0" t="s">
        <v>457</v>
      </c>
      <c r="R518" s="0" t="s">
        <v>81</v>
      </c>
    </row>
    <row r="519" customFormat="false" ht="15" hidden="false" customHeight="false" outlineLevel="0" collapsed="false">
      <c r="A519" s="0" t="s">
        <v>136</v>
      </c>
      <c r="B519" s="0" t="n">
        <v>2014</v>
      </c>
      <c r="C519" s="0" t="s">
        <v>78</v>
      </c>
      <c r="D519" s="0" t="s">
        <v>79</v>
      </c>
      <c r="E519" s="0" t="n">
        <v>0</v>
      </c>
      <c r="F519" s="0" t="s">
        <v>37</v>
      </c>
      <c r="H519" s="0" t="s">
        <v>457</v>
      </c>
      <c r="I519" s="0" t="s">
        <v>457</v>
      </c>
      <c r="J519" s="0" t="s">
        <v>457</v>
      </c>
      <c r="K519" s="0" t="s">
        <v>457</v>
      </c>
      <c r="L519" s="0" t="s">
        <v>457</v>
      </c>
      <c r="M519" s="0" t="s">
        <v>457</v>
      </c>
      <c r="R519" s="0" t="s">
        <v>81</v>
      </c>
    </row>
    <row r="520" customFormat="false" ht="15" hidden="false" customHeight="false" outlineLevel="0" collapsed="false">
      <c r="A520" s="0" t="s">
        <v>136</v>
      </c>
      <c r="B520" s="0" t="n">
        <v>2014</v>
      </c>
      <c r="C520" s="0" t="s">
        <v>78</v>
      </c>
      <c r="D520" s="0" t="s">
        <v>79</v>
      </c>
      <c r="E520" s="0" t="n">
        <v>0</v>
      </c>
      <c r="F520" s="0" t="s">
        <v>23</v>
      </c>
      <c r="H520" s="0" t="s">
        <v>457</v>
      </c>
      <c r="I520" s="0" t="s">
        <v>457</v>
      </c>
      <c r="J520" s="0" t="s">
        <v>457</v>
      </c>
      <c r="K520" s="0" t="s">
        <v>457</v>
      </c>
      <c r="L520" s="0" t="s">
        <v>457</v>
      </c>
      <c r="M520" s="0" t="s">
        <v>457</v>
      </c>
      <c r="R520" s="0" t="s">
        <v>81</v>
      </c>
    </row>
    <row r="521" customFormat="false" ht="15" hidden="false" customHeight="false" outlineLevel="0" collapsed="false">
      <c r="A521" s="0" t="s">
        <v>136</v>
      </c>
      <c r="B521" s="0" t="n">
        <v>2014</v>
      </c>
      <c r="C521" s="0" t="s">
        <v>78</v>
      </c>
      <c r="D521" s="0" t="s">
        <v>79</v>
      </c>
      <c r="E521" s="0" t="n">
        <v>0</v>
      </c>
      <c r="F521" s="0" t="s">
        <v>45</v>
      </c>
      <c r="H521" s="0" t="s">
        <v>457</v>
      </c>
      <c r="I521" s="0" t="s">
        <v>457</v>
      </c>
      <c r="J521" s="0" t="s">
        <v>457</v>
      </c>
      <c r="K521" s="0" t="s">
        <v>457</v>
      </c>
      <c r="L521" s="0" t="s">
        <v>457</v>
      </c>
      <c r="M521" s="0" t="s">
        <v>457</v>
      </c>
      <c r="R521" s="0" t="s">
        <v>81</v>
      </c>
    </row>
    <row r="522" customFormat="false" ht="15" hidden="false" customHeight="false" outlineLevel="0" collapsed="false">
      <c r="A522" s="0" t="s">
        <v>136</v>
      </c>
      <c r="B522" s="0" t="n">
        <v>2014</v>
      </c>
      <c r="C522" s="0" t="s">
        <v>78</v>
      </c>
      <c r="D522" s="0" t="s">
        <v>79</v>
      </c>
      <c r="E522" s="0" t="n">
        <v>0</v>
      </c>
      <c r="F522" s="0" t="s">
        <v>71</v>
      </c>
      <c r="H522" s="0" t="s">
        <v>457</v>
      </c>
      <c r="I522" s="0" t="s">
        <v>457</v>
      </c>
      <c r="J522" s="0" t="s">
        <v>457</v>
      </c>
      <c r="K522" s="0" t="s">
        <v>457</v>
      </c>
      <c r="L522" s="0" t="s">
        <v>457</v>
      </c>
      <c r="M522" s="0" t="s">
        <v>457</v>
      </c>
      <c r="R522" s="0" t="s">
        <v>81</v>
      </c>
    </row>
    <row r="523" customFormat="false" ht="15" hidden="false" customHeight="false" outlineLevel="0" collapsed="false">
      <c r="A523" s="0" t="s">
        <v>136</v>
      </c>
      <c r="B523" s="0" t="n">
        <v>2014</v>
      </c>
      <c r="C523" s="0" t="s">
        <v>78</v>
      </c>
      <c r="D523" s="0" t="s">
        <v>79</v>
      </c>
      <c r="E523" s="0" t="n">
        <v>0</v>
      </c>
      <c r="F523" s="0" t="s">
        <v>31</v>
      </c>
      <c r="G523" s="0" t="n">
        <v>82.6235018395492</v>
      </c>
      <c r="H523" s="0" t="s">
        <v>437</v>
      </c>
      <c r="I523" s="0" t="s">
        <v>437</v>
      </c>
      <c r="J523" s="0" t="s">
        <v>437</v>
      </c>
      <c r="K523" s="0" t="s">
        <v>437</v>
      </c>
      <c r="L523" s="0" t="s">
        <v>437</v>
      </c>
      <c r="M523" s="0" t="s">
        <v>457</v>
      </c>
      <c r="R523" s="0" t="s">
        <v>81</v>
      </c>
    </row>
    <row r="524" customFormat="false" ht="15" hidden="false" customHeight="false" outlineLevel="0" collapsed="false">
      <c r="A524" s="0" t="s">
        <v>136</v>
      </c>
      <c r="B524" s="0" t="n">
        <v>2015</v>
      </c>
      <c r="C524" s="0" t="s">
        <v>78</v>
      </c>
      <c r="D524" s="0" t="s">
        <v>79</v>
      </c>
      <c r="E524" s="0" t="n">
        <v>0</v>
      </c>
      <c r="F524" s="0" t="s">
        <v>73</v>
      </c>
      <c r="G524" s="0" t="n">
        <v>0</v>
      </c>
      <c r="H524" s="0" t="s">
        <v>437</v>
      </c>
      <c r="I524" s="0" t="s">
        <v>437</v>
      </c>
      <c r="J524" s="0" t="s">
        <v>437</v>
      </c>
      <c r="K524" s="0" t="s">
        <v>457</v>
      </c>
      <c r="L524" s="0" t="s">
        <v>437</v>
      </c>
      <c r="M524" s="0" t="s">
        <v>457</v>
      </c>
      <c r="R524" s="0" t="s">
        <v>84</v>
      </c>
    </row>
    <row r="525" customFormat="false" ht="15" hidden="false" customHeight="false" outlineLevel="0" collapsed="false">
      <c r="A525" s="0" t="s">
        <v>136</v>
      </c>
      <c r="B525" s="0" t="n">
        <v>2015</v>
      </c>
      <c r="C525" s="0" t="s">
        <v>78</v>
      </c>
      <c r="D525" s="0" t="s">
        <v>79</v>
      </c>
      <c r="E525" s="0" t="n">
        <v>0</v>
      </c>
      <c r="F525" s="0" t="s">
        <v>69</v>
      </c>
      <c r="G525" s="0" t="n">
        <v>18.17</v>
      </c>
      <c r="H525" s="0" t="s">
        <v>437</v>
      </c>
      <c r="I525" s="0" t="s">
        <v>437</v>
      </c>
      <c r="J525" s="0" t="s">
        <v>437</v>
      </c>
      <c r="K525" s="0" t="s">
        <v>457</v>
      </c>
      <c r="L525" s="0" t="s">
        <v>457</v>
      </c>
      <c r="M525" s="0" t="s">
        <v>457</v>
      </c>
      <c r="N525" s="0" t="s">
        <v>2572</v>
      </c>
      <c r="O525" s="0" t="s">
        <v>2578</v>
      </c>
      <c r="P525" s="0" t="s">
        <v>2581</v>
      </c>
      <c r="R525" s="0" t="s">
        <v>84</v>
      </c>
    </row>
    <row r="526" customFormat="false" ht="15" hidden="false" customHeight="false" outlineLevel="0" collapsed="false">
      <c r="A526" s="0" t="s">
        <v>136</v>
      </c>
      <c r="B526" s="0" t="n">
        <v>2015</v>
      </c>
      <c r="C526" s="0" t="s">
        <v>78</v>
      </c>
      <c r="D526" s="0" t="s">
        <v>79</v>
      </c>
      <c r="E526" s="0" t="n">
        <v>0</v>
      </c>
      <c r="F526" s="0" t="s">
        <v>25</v>
      </c>
      <c r="G526" s="0" t="n">
        <v>18.1696477559626</v>
      </c>
      <c r="H526" s="0" t="s">
        <v>437</v>
      </c>
      <c r="I526" s="0" t="s">
        <v>437</v>
      </c>
      <c r="J526" s="0" t="s">
        <v>437</v>
      </c>
      <c r="K526" s="0" t="s">
        <v>457</v>
      </c>
      <c r="L526" s="0" t="s">
        <v>437</v>
      </c>
      <c r="M526" s="0" t="s">
        <v>457</v>
      </c>
      <c r="R526" s="0" t="s">
        <v>84</v>
      </c>
    </row>
    <row r="527" customFormat="false" ht="15" hidden="false" customHeight="false" outlineLevel="0" collapsed="false">
      <c r="A527" s="0" t="s">
        <v>136</v>
      </c>
      <c r="B527" s="0" t="n">
        <v>2015</v>
      </c>
      <c r="C527" s="0" t="s">
        <v>78</v>
      </c>
      <c r="D527" s="0" t="s">
        <v>79</v>
      </c>
      <c r="E527" s="0" t="n">
        <v>0</v>
      </c>
      <c r="F527" s="0" t="s">
        <v>41</v>
      </c>
      <c r="G527" s="0" t="n">
        <v>4.28260838472632</v>
      </c>
      <c r="H527" s="0" t="s">
        <v>437</v>
      </c>
      <c r="I527" s="0" t="s">
        <v>437</v>
      </c>
      <c r="J527" s="0" t="s">
        <v>437</v>
      </c>
      <c r="K527" s="0" t="s">
        <v>437</v>
      </c>
      <c r="L527" s="0" t="s">
        <v>437</v>
      </c>
      <c r="M527" s="0" t="s">
        <v>457</v>
      </c>
      <c r="R527" s="0" t="s">
        <v>84</v>
      </c>
    </row>
    <row r="528" customFormat="false" ht="15" hidden="false" customHeight="false" outlineLevel="0" collapsed="false">
      <c r="A528" s="0" t="s">
        <v>136</v>
      </c>
      <c r="B528" s="0" t="n">
        <v>2015</v>
      </c>
      <c r="C528" s="0" t="s">
        <v>78</v>
      </c>
      <c r="D528" s="0" t="s">
        <v>79</v>
      </c>
      <c r="E528" s="0" t="n">
        <v>0</v>
      </c>
      <c r="F528" s="0" t="s">
        <v>27</v>
      </c>
      <c r="G528" s="0" t="n">
        <v>17.8083572043243</v>
      </c>
      <c r="H528" s="0" t="s">
        <v>437</v>
      </c>
      <c r="I528" s="0" t="s">
        <v>437</v>
      </c>
      <c r="J528" s="0" t="s">
        <v>437</v>
      </c>
      <c r="K528" s="0" t="s">
        <v>437</v>
      </c>
      <c r="L528" s="0" t="s">
        <v>437</v>
      </c>
      <c r="M528" s="0" t="s">
        <v>457</v>
      </c>
      <c r="R528" s="0" t="s">
        <v>84</v>
      </c>
    </row>
    <row r="529" customFormat="false" ht="15" hidden="false" customHeight="false" outlineLevel="0" collapsed="false">
      <c r="A529" s="0" t="s">
        <v>136</v>
      </c>
      <c r="B529" s="0" t="n">
        <v>2015</v>
      </c>
      <c r="C529" s="0" t="s">
        <v>78</v>
      </c>
      <c r="D529" s="0" t="s">
        <v>79</v>
      </c>
      <c r="E529" s="0" t="n">
        <v>0</v>
      </c>
      <c r="F529" s="0" t="s">
        <v>39</v>
      </c>
      <c r="G529" s="0" t="n">
        <v>0.473596072634716</v>
      </c>
      <c r="H529" s="0" t="s">
        <v>437</v>
      </c>
      <c r="I529" s="0" t="s">
        <v>437</v>
      </c>
      <c r="J529" s="0" t="s">
        <v>437</v>
      </c>
      <c r="K529" s="0" t="s">
        <v>457</v>
      </c>
      <c r="L529" s="0" t="s">
        <v>437</v>
      </c>
      <c r="M529" s="0" t="s">
        <v>457</v>
      </c>
      <c r="R529" s="0" t="s">
        <v>84</v>
      </c>
    </row>
    <row r="530" customFormat="false" ht="15" hidden="false" customHeight="false" outlineLevel="0" collapsed="false">
      <c r="A530" s="0" t="s">
        <v>136</v>
      </c>
      <c r="B530" s="0" t="n">
        <v>2015</v>
      </c>
      <c r="C530" s="0" t="s">
        <v>78</v>
      </c>
      <c r="D530" s="0" t="s">
        <v>79</v>
      </c>
      <c r="E530" s="0" t="n">
        <v>0</v>
      </c>
      <c r="F530" s="0" t="s">
        <v>17</v>
      </c>
      <c r="G530" s="0" t="n">
        <v>2.03704641332621</v>
      </c>
      <c r="H530" s="0" t="s">
        <v>437</v>
      </c>
      <c r="I530" s="0" t="s">
        <v>437</v>
      </c>
      <c r="J530" s="0" t="s">
        <v>437</v>
      </c>
      <c r="K530" s="0" t="s">
        <v>457</v>
      </c>
      <c r="L530" s="0" t="s">
        <v>437</v>
      </c>
      <c r="M530" s="0" t="s">
        <v>457</v>
      </c>
      <c r="R530" s="0" t="s">
        <v>84</v>
      </c>
    </row>
    <row r="531" customFormat="false" ht="15" hidden="false" customHeight="false" outlineLevel="0" collapsed="false">
      <c r="A531" s="0" t="s">
        <v>136</v>
      </c>
      <c r="B531" s="0" t="n">
        <v>2015</v>
      </c>
      <c r="C531" s="0" t="s">
        <v>78</v>
      </c>
      <c r="D531" s="0" t="s">
        <v>79</v>
      </c>
      <c r="E531" s="0" t="n">
        <v>0</v>
      </c>
      <c r="F531" s="0" t="s">
        <v>29</v>
      </c>
      <c r="G531" s="0" t="n">
        <v>0.534456822721198</v>
      </c>
      <c r="H531" s="0" t="s">
        <v>437</v>
      </c>
      <c r="I531" s="0" t="s">
        <v>437</v>
      </c>
      <c r="J531" s="0" t="s">
        <v>437</v>
      </c>
      <c r="K531" s="0" t="s">
        <v>457</v>
      </c>
      <c r="L531" s="0" t="s">
        <v>437</v>
      </c>
      <c r="M531" s="0" t="s">
        <v>457</v>
      </c>
      <c r="R531" s="0" t="s">
        <v>84</v>
      </c>
    </row>
    <row r="532" customFormat="false" ht="15" hidden="false" customHeight="false" outlineLevel="0" collapsed="false">
      <c r="A532" s="0" t="s">
        <v>136</v>
      </c>
      <c r="B532" s="0" t="n">
        <v>2015</v>
      </c>
      <c r="C532" s="0" t="s">
        <v>78</v>
      </c>
      <c r="D532" s="0" t="s">
        <v>79</v>
      </c>
      <c r="E532" s="0" t="n">
        <v>0</v>
      </c>
      <c r="F532" s="0" t="s">
        <v>37</v>
      </c>
      <c r="H532" s="0" t="s">
        <v>457</v>
      </c>
      <c r="I532" s="0" t="s">
        <v>457</v>
      </c>
      <c r="J532" s="0" t="s">
        <v>457</v>
      </c>
      <c r="K532" s="0" t="s">
        <v>457</v>
      </c>
      <c r="L532" s="0" t="s">
        <v>457</v>
      </c>
      <c r="M532" s="0" t="s">
        <v>457</v>
      </c>
      <c r="R532" s="0" t="s">
        <v>84</v>
      </c>
    </row>
    <row r="533" customFormat="false" ht="15" hidden="false" customHeight="false" outlineLevel="0" collapsed="false">
      <c r="A533" s="0" t="s">
        <v>136</v>
      </c>
      <c r="B533" s="0" t="n">
        <v>2015</v>
      </c>
      <c r="C533" s="0" t="s">
        <v>78</v>
      </c>
      <c r="D533" s="0" t="s">
        <v>79</v>
      </c>
      <c r="E533" s="0" t="n">
        <v>0</v>
      </c>
      <c r="F533" s="0" t="s">
        <v>23</v>
      </c>
      <c r="H533" s="0" t="s">
        <v>457</v>
      </c>
      <c r="I533" s="0" t="s">
        <v>457</v>
      </c>
      <c r="J533" s="0" t="s">
        <v>457</v>
      </c>
      <c r="K533" s="0" t="s">
        <v>457</v>
      </c>
      <c r="L533" s="0" t="s">
        <v>457</v>
      </c>
      <c r="M533" s="0" t="s">
        <v>457</v>
      </c>
      <c r="R533" s="0" t="s">
        <v>84</v>
      </c>
    </row>
    <row r="534" customFormat="false" ht="15" hidden="false" customHeight="false" outlineLevel="0" collapsed="false">
      <c r="A534" s="0" t="s">
        <v>136</v>
      </c>
      <c r="B534" s="0" t="n">
        <v>2015</v>
      </c>
      <c r="C534" s="0" t="s">
        <v>78</v>
      </c>
      <c r="D534" s="0" t="s">
        <v>79</v>
      </c>
      <c r="E534" s="0" t="n">
        <v>0</v>
      </c>
      <c r="F534" s="0" t="s">
        <v>45</v>
      </c>
      <c r="H534" s="0" t="s">
        <v>457</v>
      </c>
      <c r="I534" s="0" t="s">
        <v>457</v>
      </c>
      <c r="J534" s="0" t="s">
        <v>457</v>
      </c>
      <c r="K534" s="0" t="s">
        <v>457</v>
      </c>
      <c r="L534" s="0" t="s">
        <v>457</v>
      </c>
      <c r="M534" s="0" t="s">
        <v>457</v>
      </c>
      <c r="R534" s="0" t="s">
        <v>84</v>
      </c>
    </row>
    <row r="535" customFormat="false" ht="15" hidden="false" customHeight="false" outlineLevel="0" collapsed="false">
      <c r="A535" s="0" t="s">
        <v>136</v>
      </c>
      <c r="B535" s="0" t="n">
        <v>2015</v>
      </c>
      <c r="C535" s="0" t="s">
        <v>78</v>
      </c>
      <c r="D535" s="0" t="s">
        <v>79</v>
      </c>
      <c r="E535" s="0" t="n">
        <v>0</v>
      </c>
      <c r="F535" s="0" t="s">
        <v>71</v>
      </c>
      <c r="H535" s="0" t="s">
        <v>457</v>
      </c>
      <c r="I535" s="0" t="s">
        <v>457</v>
      </c>
      <c r="J535" s="0" t="s">
        <v>457</v>
      </c>
      <c r="K535" s="0" t="s">
        <v>457</v>
      </c>
      <c r="L535" s="0" t="s">
        <v>457</v>
      </c>
      <c r="M535" s="0" t="s">
        <v>457</v>
      </c>
      <c r="R535" s="0" t="s">
        <v>84</v>
      </c>
    </row>
    <row r="536" customFormat="false" ht="15" hidden="false" customHeight="false" outlineLevel="0" collapsed="false">
      <c r="A536" s="0" t="s">
        <v>136</v>
      </c>
      <c r="B536" s="0" t="n">
        <v>2015</v>
      </c>
      <c r="C536" s="0" t="s">
        <v>78</v>
      </c>
      <c r="D536" s="0" t="s">
        <v>79</v>
      </c>
      <c r="E536" s="0" t="n">
        <v>0</v>
      </c>
      <c r="F536" s="0" t="s">
        <v>31</v>
      </c>
      <c r="G536" s="0" t="n">
        <v>82.1916427956757</v>
      </c>
      <c r="H536" s="0" t="s">
        <v>437</v>
      </c>
      <c r="I536" s="0" t="s">
        <v>437</v>
      </c>
      <c r="J536" s="0" t="s">
        <v>437</v>
      </c>
      <c r="K536" s="0" t="s">
        <v>437</v>
      </c>
      <c r="L536" s="0" t="s">
        <v>437</v>
      </c>
      <c r="M536" s="0" t="s">
        <v>457</v>
      </c>
      <c r="R536" s="0" t="s">
        <v>84</v>
      </c>
    </row>
    <row r="537" customFormat="false" ht="15" hidden="false" customHeight="false" outlineLevel="0" collapsed="false">
      <c r="A537" s="0" t="s">
        <v>136</v>
      </c>
      <c r="B537" s="0" t="n">
        <v>2016</v>
      </c>
      <c r="C537" s="0" t="s">
        <v>78</v>
      </c>
      <c r="D537" s="0" t="s">
        <v>79</v>
      </c>
      <c r="E537" s="0" t="n">
        <v>0</v>
      </c>
      <c r="F537" s="0" t="s">
        <v>73</v>
      </c>
      <c r="G537" s="0" t="n">
        <v>0</v>
      </c>
      <c r="H537" s="0" t="s">
        <v>437</v>
      </c>
      <c r="I537" s="0" t="s">
        <v>437</v>
      </c>
      <c r="J537" s="0" t="s">
        <v>437</v>
      </c>
      <c r="K537" s="0" t="s">
        <v>437</v>
      </c>
      <c r="L537" s="0" t="s">
        <v>437</v>
      </c>
      <c r="M537" s="0" t="s">
        <v>457</v>
      </c>
      <c r="R537" s="0" t="s">
        <v>140</v>
      </c>
    </row>
    <row r="538" customFormat="false" ht="15" hidden="false" customHeight="false" outlineLevel="0" collapsed="false">
      <c r="A538" s="0" t="s">
        <v>136</v>
      </c>
      <c r="B538" s="0" t="n">
        <v>2016</v>
      </c>
      <c r="C538" s="0" t="s">
        <v>78</v>
      </c>
      <c r="D538" s="0" t="s">
        <v>79</v>
      </c>
      <c r="E538" s="0" t="n">
        <v>0</v>
      </c>
      <c r="F538" s="0" t="s">
        <v>69</v>
      </c>
      <c r="G538" s="0" t="n">
        <v>19.79</v>
      </c>
      <c r="H538" s="0" t="s">
        <v>437</v>
      </c>
      <c r="I538" s="0" t="s">
        <v>437</v>
      </c>
      <c r="J538" s="0" t="s">
        <v>437</v>
      </c>
      <c r="K538" s="0" t="s">
        <v>437</v>
      </c>
      <c r="L538" s="0" t="s">
        <v>437</v>
      </c>
      <c r="M538" s="0" t="s">
        <v>457</v>
      </c>
      <c r="R538" s="0" t="s">
        <v>140</v>
      </c>
    </row>
    <row r="539" customFormat="false" ht="15" hidden="false" customHeight="false" outlineLevel="0" collapsed="false">
      <c r="A539" s="0" t="s">
        <v>136</v>
      </c>
      <c r="B539" s="0" t="n">
        <v>2016</v>
      </c>
      <c r="C539" s="0" t="s">
        <v>78</v>
      </c>
      <c r="D539" s="0" t="s">
        <v>79</v>
      </c>
      <c r="E539" s="0" t="n">
        <v>0</v>
      </c>
      <c r="F539" s="0" t="s">
        <v>25</v>
      </c>
      <c r="G539" s="0" t="n">
        <v>19.7905949742338</v>
      </c>
      <c r="H539" s="0" t="s">
        <v>437</v>
      </c>
      <c r="I539" s="0" t="s">
        <v>437</v>
      </c>
      <c r="J539" s="0" t="s">
        <v>437</v>
      </c>
      <c r="K539" s="0" t="s">
        <v>437</v>
      </c>
      <c r="L539" s="0" t="s">
        <v>437</v>
      </c>
      <c r="M539" s="0" t="s">
        <v>457</v>
      </c>
      <c r="R539" s="0" t="s">
        <v>140</v>
      </c>
    </row>
    <row r="540" customFormat="false" ht="15" hidden="false" customHeight="false" outlineLevel="0" collapsed="false">
      <c r="A540" s="0" t="s">
        <v>136</v>
      </c>
      <c r="B540" s="0" t="n">
        <v>2016</v>
      </c>
      <c r="C540" s="0" t="s">
        <v>78</v>
      </c>
      <c r="D540" s="0" t="s">
        <v>79</v>
      </c>
      <c r="E540" s="0" t="n">
        <v>0</v>
      </c>
      <c r="F540" s="0" t="s">
        <v>41</v>
      </c>
      <c r="G540" s="0" t="n">
        <v>5.18657077041419</v>
      </c>
      <c r="H540" s="0" t="s">
        <v>437</v>
      </c>
      <c r="I540" s="0" t="s">
        <v>437</v>
      </c>
      <c r="J540" s="0" t="s">
        <v>437</v>
      </c>
      <c r="K540" s="0" t="s">
        <v>437</v>
      </c>
      <c r="L540" s="0" t="s">
        <v>437</v>
      </c>
      <c r="M540" s="0" t="s">
        <v>457</v>
      </c>
      <c r="R540" s="0" t="s">
        <v>140</v>
      </c>
    </row>
    <row r="541" customFormat="false" ht="15" hidden="false" customHeight="false" outlineLevel="0" collapsed="false">
      <c r="A541" s="0" t="s">
        <v>136</v>
      </c>
      <c r="B541" s="0" t="n">
        <v>2016</v>
      </c>
      <c r="C541" s="0" t="s">
        <v>78</v>
      </c>
      <c r="D541" s="0" t="s">
        <v>79</v>
      </c>
      <c r="E541" s="0" t="n">
        <v>0</v>
      </c>
      <c r="F541" s="0" t="s">
        <v>27</v>
      </c>
      <c r="G541" s="0" t="n">
        <v>18.24936056906</v>
      </c>
      <c r="H541" s="0" t="s">
        <v>437</v>
      </c>
      <c r="I541" s="0" t="s">
        <v>437</v>
      </c>
      <c r="J541" s="0" t="s">
        <v>437</v>
      </c>
      <c r="K541" s="0" t="s">
        <v>437</v>
      </c>
      <c r="L541" s="0" t="s">
        <v>437</v>
      </c>
      <c r="M541" s="0" t="s">
        <v>457</v>
      </c>
      <c r="R541" s="0" t="s">
        <v>140</v>
      </c>
    </row>
    <row r="542" customFormat="false" ht="15" hidden="false" customHeight="false" outlineLevel="0" collapsed="false">
      <c r="A542" s="0" t="s">
        <v>136</v>
      </c>
      <c r="B542" s="0" t="n">
        <v>2016</v>
      </c>
      <c r="C542" s="0" t="s">
        <v>78</v>
      </c>
      <c r="D542" s="0" t="s">
        <v>79</v>
      </c>
      <c r="E542" s="0" t="n">
        <v>0</v>
      </c>
      <c r="F542" s="0" t="s">
        <v>39</v>
      </c>
      <c r="G542" s="0" t="n">
        <v>11.7311772583529</v>
      </c>
      <c r="H542" s="0" t="s">
        <v>437</v>
      </c>
      <c r="I542" s="0" t="s">
        <v>437</v>
      </c>
      <c r="J542" s="0" t="s">
        <v>437</v>
      </c>
      <c r="K542" s="0" t="s">
        <v>437</v>
      </c>
      <c r="L542" s="0" t="s">
        <v>437</v>
      </c>
      <c r="M542" s="0" t="s">
        <v>457</v>
      </c>
      <c r="R542" s="0" t="s">
        <v>140</v>
      </c>
    </row>
    <row r="543" customFormat="false" ht="15" hidden="false" customHeight="false" outlineLevel="0" collapsed="false">
      <c r="A543" s="0" t="s">
        <v>136</v>
      </c>
      <c r="B543" s="0" t="n">
        <v>2016</v>
      </c>
      <c r="C543" s="0" t="s">
        <v>78</v>
      </c>
      <c r="D543" s="0" t="s">
        <v>79</v>
      </c>
      <c r="E543" s="0" t="n">
        <v>0</v>
      </c>
      <c r="F543" s="0" t="s">
        <v>17</v>
      </c>
      <c r="G543" s="0" t="n">
        <v>4.95599798775377</v>
      </c>
      <c r="H543" s="0" t="s">
        <v>437</v>
      </c>
      <c r="I543" s="0" t="s">
        <v>437</v>
      </c>
      <c r="J543" s="0" t="s">
        <v>437</v>
      </c>
      <c r="K543" s="0" t="s">
        <v>437</v>
      </c>
      <c r="L543" s="0" t="s">
        <v>437</v>
      </c>
      <c r="M543" s="0" t="s">
        <v>457</v>
      </c>
      <c r="R543" s="0" t="s">
        <v>140</v>
      </c>
    </row>
    <row r="544" customFormat="false" ht="15" hidden="false" customHeight="false" outlineLevel="0" collapsed="false">
      <c r="A544" s="0" t="s">
        <v>136</v>
      </c>
      <c r="B544" s="0" t="n">
        <v>2016</v>
      </c>
      <c r="C544" s="0" t="s">
        <v>78</v>
      </c>
      <c r="D544" s="0" t="s">
        <v>79</v>
      </c>
      <c r="E544" s="0" t="n">
        <v>0</v>
      </c>
      <c r="F544" s="0" t="s">
        <v>29</v>
      </c>
      <c r="G544" s="0" t="n">
        <v>2.59836593233099</v>
      </c>
      <c r="H544" s="0" t="s">
        <v>437</v>
      </c>
      <c r="I544" s="0" t="s">
        <v>437</v>
      </c>
      <c r="J544" s="0" t="s">
        <v>437</v>
      </c>
      <c r="K544" s="0" t="s">
        <v>437</v>
      </c>
      <c r="L544" s="0" t="s">
        <v>437</v>
      </c>
      <c r="M544" s="0" t="s">
        <v>457</v>
      </c>
      <c r="R544" s="0" t="s">
        <v>140</v>
      </c>
    </row>
    <row r="545" customFormat="false" ht="15" hidden="false" customHeight="false" outlineLevel="0" collapsed="false">
      <c r="A545" s="0" t="s">
        <v>136</v>
      </c>
      <c r="B545" s="0" t="n">
        <v>2016</v>
      </c>
      <c r="C545" s="0" t="s">
        <v>78</v>
      </c>
      <c r="D545" s="0" t="s">
        <v>79</v>
      </c>
      <c r="E545" s="0" t="n">
        <v>0</v>
      </c>
      <c r="F545" s="0" t="s">
        <v>37</v>
      </c>
      <c r="H545" s="0" t="s">
        <v>457</v>
      </c>
      <c r="I545" s="0" t="s">
        <v>457</v>
      </c>
      <c r="J545" s="0" t="s">
        <v>457</v>
      </c>
      <c r="K545" s="0" t="s">
        <v>457</v>
      </c>
      <c r="L545" s="0" t="s">
        <v>457</v>
      </c>
      <c r="M545" s="0" t="s">
        <v>457</v>
      </c>
      <c r="R545" s="0" t="s">
        <v>140</v>
      </c>
    </row>
    <row r="546" customFormat="false" ht="15" hidden="false" customHeight="false" outlineLevel="0" collapsed="false">
      <c r="A546" s="0" t="s">
        <v>136</v>
      </c>
      <c r="B546" s="0" t="n">
        <v>2016</v>
      </c>
      <c r="C546" s="0" t="s">
        <v>78</v>
      </c>
      <c r="D546" s="0" t="s">
        <v>79</v>
      </c>
      <c r="E546" s="0" t="n">
        <v>0</v>
      </c>
      <c r="F546" s="0" t="s">
        <v>23</v>
      </c>
      <c r="H546" s="0" t="s">
        <v>457</v>
      </c>
      <c r="I546" s="0" t="s">
        <v>457</v>
      </c>
      <c r="J546" s="0" t="s">
        <v>457</v>
      </c>
      <c r="K546" s="0" t="s">
        <v>457</v>
      </c>
      <c r="L546" s="0" t="s">
        <v>457</v>
      </c>
      <c r="M546" s="0" t="s">
        <v>457</v>
      </c>
      <c r="R546" s="0" t="s">
        <v>140</v>
      </c>
    </row>
    <row r="547" customFormat="false" ht="15" hidden="false" customHeight="false" outlineLevel="0" collapsed="false">
      <c r="A547" s="0" t="s">
        <v>136</v>
      </c>
      <c r="B547" s="0" t="n">
        <v>2016</v>
      </c>
      <c r="C547" s="0" t="s">
        <v>78</v>
      </c>
      <c r="D547" s="0" t="s">
        <v>79</v>
      </c>
      <c r="E547" s="0" t="n">
        <v>0</v>
      </c>
      <c r="F547" s="0" t="s">
        <v>45</v>
      </c>
      <c r="H547" s="0" t="s">
        <v>457</v>
      </c>
      <c r="I547" s="0" t="s">
        <v>457</v>
      </c>
      <c r="J547" s="0" t="s">
        <v>457</v>
      </c>
      <c r="K547" s="0" t="s">
        <v>457</v>
      </c>
      <c r="L547" s="0" t="s">
        <v>457</v>
      </c>
      <c r="M547" s="0" t="s">
        <v>457</v>
      </c>
      <c r="R547" s="0" t="s">
        <v>140</v>
      </c>
    </row>
    <row r="548" customFormat="false" ht="15" hidden="false" customHeight="false" outlineLevel="0" collapsed="false">
      <c r="A548" s="0" t="s">
        <v>136</v>
      </c>
      <c r="B548" s="0" t="n">
        <v>2016</v>
      </c>
      <c r="C548" s="0" t="s">
        <v>78</v>
      </c>
      <c r="D548" s="0" t="s">
        <v>79</v>
      </c>
      <c r="E548" s="0" t="n">
        <v>0</v>
      </c>
      <c r="F548" s="0" t="s">
        <v>71</v>
      </c>
      <c r="H548" s="0" t="s">
        <v>457</v>
      </c>
      <c r="I548" s="0" t="s">
        <v>457</v>
      </c>
      <c r="J548" s="0" t="s">
        <v>457</v>
      </c>
      <c r="K548" s="0" t="s">
        <v>457</v>
      </c>
      <c r="L548" s="0" t="s">
        <v>457</v>
      </c>
      <c r="M548" s="0" t="s">
        <v>457</v>
      </c>
      <c r="R548" s="0" t="s">
        <v>140</v>
      </c>
    </row>
    <row r="549" customFormat="false" ht="15" hidden="false" customHeight="false" outlineLevel="0" collapsed="false">
      <c r="A549" s="0" t="s">
        <v>136</v>
      </c>
      <c r="B549" s="0" t="n">
        <v>2016</v>
      </c>
      <c r="C549" s="0" t="s">
        <v>78</v>
      </c>
      <c r="D549" s="0" t="s">
        <v>79</v>
      </c>
      <c r="E549" s="0" t="n">
        <v>0</v>
      </c>
      <c r="F549" s="0" t="s">
        <v>31</v>
      </c>
      <c r="G549" s="0" t="n">
        <v>81.75063943094</v>
      </c>
      <c r="H549" s="0" t="s">
        <v>437</v>
      </c>
      <c r="I549" s="0" t="s">
        <v>437</v>
      </c>
      <c r="J549" s="0" t="s">
        <v>437</v>
      </c>
      <c r="K549" s="0" t="s">
        <v>437</v>
      </c>
      <c r="L549" s="0" t="s">
        <v>437</v>
      </c>
      <c r="M549" s="0" t="s">
        <v>457</v>
      </c>
      <c r="R549" s="0" t="s">
        <v>140</v>
      </c>
    </row>
    <row r="550" customFormat="false" ht="15" hidden="false" customHeight="false" outlineLevel="0" collapsed="false">
      <c r="A550" s="0" t="s">
        <v>136</v>
      </c>
      <c r="B550" s="0" t="n">
        <v>2017</v>
      </c>
      <c r="C550" s="0" t="s">
        <v>78</v>
      </c>
      <c r="D550" s="0" t="s">
        <v>79</v>
      </c>
      <c r="E550" s="0" t="n">
        <v>0</v>
      </c>
      <c r="F550" s="0" t="s">
        <v>73</v>
      </c>
      <c r="H550" s="0" t="s">
        <v>457</v>
      </c>
      <c r="I550" s="0" t="s">
        <v>457</v>
      </c>
      <c r="J550" s="0" t="s">
        <v>457</v>
      </c>
      <c r="K550" s="0" t="s">
        <v>457</v>
      </c>
      <c r="L550" s="0" t="s">
        <v>457</v>
      </c>
      <c r="M550" s="0" t="s">
        <v>457</v>
      </c>
      <c r="O550" s="0" t="s">
        <v>2570</v>
      </c>
      <c r="P550" s="0" t="s">
        <v>2582</v>
      </c>
      <c r="Q550" s="0" t="s">
        <v>1641</v>
      </c>
      <c r="R550" s="0" t="s">
        <v>142</v>
      </c>
    </row>
    <row r="551" customFormat="false" ht="15" hidden="false" customHeight="false" outlineLevel="0" collapsed="false">
      <c r="A551" s="0" t="s">
        <v>136</v>
      </c>
      <c r="B551" s="0" t="n">
        <v>2017</v>
      </c>
      <c r="C551" s="0" t="s">
        <v>78</v>
      </c>
      <c r="D551" s="0" t="s">
        <v>79</v>
      </c>
      <c r="E551" s="0" t="n">
        <v>0</v>
      </c>
      <c r="F551" s="0" t="s">
        <v>69</v>
      </c>
      <c r="H551" s="0" t="s">
        <v>457</v>
      </c>
      <c r="I551" s="0" t="s">
        <v>457</v>
      </c>
      <c r="J551" s="0" t="s">
        <v>457</v>
      </c>
      <c r="K551" s="0" t="s">
        <v>457</v>
      </c>
      <c r="L551" s="0" t="s">
        <v>457</v>
      </c>
      <c r="M551" s="0" t="s">
        <v>457</v>
      </c>
      <c r="O551" s="0" t="s">
        <v>2570</v>
      </c>
      <c r="P551" s="0" t="s">
        <v>2582</v>
      </c>
      <c r="Q551" s="0" t="s">
        <v>1641</v>
      </c>
      <c r="R551" s="0" t="s">
        <v>142</v>
      </c>
    </row>
    <row r="552" customFormat="false" ht="15" hidden="false" customHeight="false" outlineLevel="0" collapsed="false">
      <c r="A552" s="0" t="s">
        <v>136</v>
      </c>
      <c r="B552" s="0" t="n">
        <v>2017</v>
      </c>
      <c r="C552" s="0" t="s">
        <v>78</v>
      </c>
      <c r="D552" s="0" t="s">
        <v>79</v>
      </c>
      <c r="E552" s="0" t="n">
        <v>0</v>
      </c>
      <c r="F552" s="0" t="s">
        <v>25</v>
      </c>
      <c r="H552" s="0" t="s">
        <v>457</v>
      </c>
      <c r="I552" s="0" t="s">
        <v>457</v>
      </c>
      <c r="J552" s="0" t="s">
        <v>457</v>
      </c>
      <c r="K552" s="0" t="s">
        <v>457</v>
      </c>
      <c r="L552" s="0" t="s">
        <v>457</v>
      </c>
      <c r="M552" s="0" t="s">
        <v>457</v>
      </c>
      <c r="O552" s="0" t="s">
        <v>2570</v>
      </c>
      <c r="P552" s="0" t="s">
        <v>2582</v>
      </c>
      <c r="Q552" s="0" t="s">
        <v>1641</v>
      </c>
      <c r="R552" s="0" t="s">
        <v>142</v>
      </c>
    </row>
    <row r="553" customFormat="false" ht="15" hidden="false" customHeight="false" outlineLevel="0" collapsed="false">
      <c r="A553" s="0" t="s">
        <v>136</v>
      </c>
      <c r="B553" s="0" t="n">
        <v>2017</v>
      </c>
      <c r="C553" s="0" t="s">
        <v>78</v>
      </c>
      <c r="D553" s="0" t="s">
        <v>79</v>
      </c>
      <c r="E553" s="0" t="n">
        <v>0</v>
      </c>
      <c r="F553" s="0" t="s">
        <v>41</v>
      </c>
      <c r="G553" s="0" t="n">
        <v>5.83743478956104</v>
      </c>
      <c r="H553" s="0" t="s">
        <v>437</v>
      </c>
      <c r="I553" s="0" t="s">
        <v>437</v>
      </c>
      <c r="J553" s="0" t="s">
        <v>437</v>
      </c>
      <c r="K553" s="0" t="s">
        <v>457</v>
      </c>
      <c r="L553" s="0" t="s">
        <v>437</v>
      </c>
      <c r="M553" s="0" t="s">
        <v>437</v>
      </c>
      <c r="O553" s="0" t="s">
        <v>2570</v>
      </c>
      <c r="P553" s="0" t="s">
        <v>2582</v>
      </c>
      <c r="Q553" s="0" t="s">
        <v>1641</v>
      </c>
      <c r="R553" s="0" t="s">
        <v>142</v>
      </c>
    </row>
    <row r="554" customFormat="false" ht="15" hidden="false" customHeight="false" outlineLevel="0" collapsed="false">
      <c r="A554" s="0" t="s">
        <v>136</v>
      </c>
      <c r="B554" s="0" t="n">
        <v>2017</v>
      </c>
      <c r="C554" s="0" t="s">
        <v>78</v>
      </c>
      <c r="D554" s="0" t="s">
        <v>79</v>
      </c>
      <c r="E554" s="0" t="n">
        <v>0</v>
      </c>
      <c r="F554" s="0" t="s">
        <v>27</v>
      </c>
      <c r="G554" s="0" t="n">
        <v>20.4811086959059</v>
      </c>
      <c r="H554" s="0" t="s">
        <v>437</v>
      </c>
      <c r="I554" s="0" t="s">
        <v>437</v>
      </c>
      <c r="J554" s="0" t="s">
        <v>437</v>
      </c>
      <c r="K554" s="0" t="s">
        <v>457</v>
      </c>
      <c r="L554" s="0" t="s">
        <v>437</v>
      </c>
      <c r="M554" s="0" t="s">
        <v>437</v>
      </c>
      <c r="O554" s="0" t="s">
        <v>2570</v>
      </c>
      <c r="P554" s="0" t="s">
        <v>2582</v>
      </c>
      <c r="Q554" s="0" t="s">
        <v>1641</v>
      </c>
      <c r="R554" s="0" t="s">
        <v>142</v>
      </c>
    </row>
    <row r="555" customFormat="false" ht="15" hidden="false" customHeight="false" outlineLevel="0" collapsed="false">
      <c r="A555" s="0" t="s">
        <v>136</v>
      </c>
      <c r="B555" s="0" t="n">
        <v>2017</v>
      </c>
      <c r="C555" s="0" t="s">
        <v>78</v>
      </c>
      <c r="D555" s="0" t="s">
        <v>79</v>
      </c>
      <c r="E555" s="0" t="n">
        <v>0</v>
      </c>
      <c r="F555" s="0" t="s">
        <v>39</v>
      </c>
      <c r="G555" s="0" t="n">
        <v>12.9966841715987</v>
      </c>
      <c r="H555" s="0" t="s">
        <v>437</v>
      </c>
      <c r="I555" s="0" t="s">
        <v>437</v>
      </c>
      <c r="J555" s="0" t="s">
        <v>437</v>
      </c>
      <c r="K555" s="0" t="s">
        <v>457</v>
      </c>
      <c r="L555" s="0" t="s">
        <v>437</v>
      </c>
      <c r="M555" s="0" t="s">
        <v>437</v>
      </c>
      <c r="O555" s="0" t="s">
        <v>2570</v>
      </c>
      <c r="P555" s="0" t="s">
        <v>2582</v>
      </c>
      <c r="Q555" s="0" t="s">
        <v>1641</v>
      </c>
      <c r="R555" s="0" t="s">
        <v>142</v>
      </c>
    </row>
    <row r="556" customFormat="false" ht="15" hidden="false" customHeight="false" outlineLevel="0" collapsed="false">
      <c r="A556" s="0" t="s">
        <v>136</v>
      </c>
      <c r="B556" s="0" t="n">
        <v>2017</v>
      </c>
      <c r="C556" s="0" t="s">
        <v>78</v>
      </c>
      <c r="D556" s="0" t="s">
        <v>79</v>
      </c>
      <c r="E556" s="0" t="n">
        <v>0</v>
      </c>
      <c r="F556" s="0" t="s">
        <v>17</v>
      </c>
      <c r="G556" s="0" t="n">
        <v>4.5450472420029</v>
      </c>
      <c r="H556" s="0" t="s">
        <v>437</v>
      </c>
      <c r="I556" s="0" t="s">
        <v>437</v>
      </c>
      <c r="J556" s="0" t="s">
        <v>437</v>
      </c>
      <c r="K556" s="0" t="s">
        <v>457</v>
      </c>
      <c r="L556" s="0" t="s">
        <v>437</v>
      </c>
      <c r="M556" s="0" t="s">
        <v>437</v>
      </c>
      <c r="O556" s="0" t="s">
        <v>2570</v>
      </c>
      <c r="P556" s="0" t="s">
        <v>2582</v>
      </c>
      <c r="Q556" s="0" t="s">
        <v>1641</v>
      </c>
      <c r="R556" s="0" t="s">
        <v>142</v>
      </c>
    </row>
    <row r="557" customFormat="false" ht="15" hidden="false" customHeight="false" outlineLevel="0" collapsed="false">
      <c r="A557" s="0" t="s">
        <v>136</v>
      </c>
      <c r="B557" s="0" t="n">
        <v>2017</v>
      </c>
      <c r="C557" s="0" t="s">
        <v>78</v>
      </c>
      <c r="D557" s="0" t="s">
        <v>79</v>
      </c>
      <c r="E557" s="0" t="n">
        <v>0</v>
      </c>
      <c r="F557" s="0" t="s">
        <v>29</v>
      </c>
      <c r="G557" s="0" t="n">
        <v>0.424079495696022</v>
      </c>
      <c r="H557" s="0" t="s">
        <v>437</v>
      </c>
      <c r="I557" s="0" t="s">
        <v>437</v>
      </c>
      <c r="J557" s="0" t="s">
        <v>437</v>
      </c>
      <c r="K557" s="0" t="s">
        <v>457</v>
      </c>
      <c r="L557" s="0" t="s">
        <v>437</v>
      </c>
      <c r="M557" s="0" t="s">
        <v>437</v>
      </c>
      <c r="O557" s="0" t="s">
        <v>2570</v>
      </c>
      <c r="P557" s="0" t="s">
        <v>2582</v>
      </c>
      <c r="Q557" s="0" t="s">
        <v>1641</v>
      </c>
      <c r="R557" s="0" t="s">
        <v>142</v>
      </c>
    </row>
    <row r="558" customFormat="false" ht="15" hidden="false" customHeight="false" outlineLevel="0" collapsed="false">
      <c r="A558" s="0" t="s">
        <v>136</v>
      </c>
      <c r="B558" s="0" t="n">
        <v>2017</v>
      </c>
      <c r="C558" s="0" t="s">
        <v>78</v>
      </c>
      <c r="D558" s="0" t="s">
        <v>79</v>
      </c>
      <c r="E558" s="0" t="n">
        <v>0</v>
      </c>
      <c r="F558" s="0" t="s">
        <v>37</v>
      </c>
      <c r="H558" s="0" t="s">
        <v>457</v>
      </c>
      <c r="I558" s="0" t="s">
        <v>457</v>
      </c>
      <c r="J558" s="0" t="s">
        <v>457</v>
      </c>
      <c r="K558" s="0" t="s">
        <v>457</v>
      </c>
      <c r="L558" s="0" t="s">
        <v>457</v>
      </c>
      <c r="M558" s="0" t="s">
        <v>457</v>
      </c>
      <c r="O558" s="0" t="s">
        <v>2570</v>
      </c>
      <c r="P558" s="0" t="s">
        <v>2582</v>
      </c>
      <c r="Q558" s="0" t="s">
        <v>1641</v>
      </c>
      <c r="R558" s="0" t="s">
        <v>142</v>
      </c>
    </row>
    <row r="559" customFormat="false" ht="15" hidden="false" customHeight="false" outlineLevel="0" collapsed="false">
      <c r="A559" s="0" t="s">
        <v>136</v>
      </c>
      <c r="B559" s="0" t="n">
        <v>2017</v>
      </c>
      <c r="C559" s="0" t="s">
        <v>78</v>
      </c>
      <c r="D559" s="0" t="s">
        <v>79</v>
      </c>
      <c r="E559" s="0" t="n">
        <v>0</v>
      </c>
      <c r="F559" s="0" t="s">
        <v>23</v>
      </c>
      <c r="H559" s="0" t="s">
        <v>457</v>
      </c>
      <c r="I559" s="0" t="s">
        <v>457</v>
      </c>
      <c r="J559" s="0" t="s">
        <v>457</v>
      </c>
      <c r="K559" s="0" t="s">
        <v>457</v>
      </c>
      <c r="L559" s="0" t="s">
        <v>457</v>
      </c>
      <c r="M559" s="0" t="s">
        <v>457</v>
      </c>
      <c r="O559" s="0" t="s">
        <v>2570</v>
      </c>
      <c r="P559" s="0" t="s">
        <v>2582</v>
      </c>
      <c r="Q559" s="0" t="s">
        <v>1641</v>
      </c>
      <c r="R559" s="0" t="s">
        <v>142</v>
      </c>
    </row>
    <row r="560" customFormat="false" ht="15" hidden="false" customHeight="false" outlineLevel="0" collapsed="false">
      <c r="A560" s="0" t="s">
        <v>136</v>
      </c>
      <c r="B560" s="0" t="n">
        <v>2017</v>
      </c>
      <c r="C560" s="0" t="s">
        <v>78</v>
      </c>
      <c r="D560" s="0" t="s">
        <v>79</v>
      </c>
      <c r="E560" s="0" t="n">
        <v>0</v>
      </c>
      <c r="F560" s="0" t="s">
        <v>45</v>
      </c>
      <c r="H560" s="0" t="s">
        <v>457</v>
      </c>
      <c r="I560" s="0" t="s">
        <v>457</v>
      </c>
      <c r="J560" s="0" t="s">
        <v>457</v>
      </c>
      <c r="K560" s="0" t="s">
        <v>457</v>
      </c>
      <c r="L560" s="0" t="s">
        <v>457</v>
      </c>
      <c r="M560" s="0" t="s">
        <v>457</v>
      </c>
      <c r="O560" s="0" t="s">
        <v>2570</v>
      </c>
      <c r="P560" s="0" t="s">
        <v>2582</v>
      </c>
      <c r="Q560" s="0" t="s">
        <v>1641</v>
      </c>
      <c r="R560" s="0" t="s">
        <v>142</v>
      </c>
    </row>
    <row r="561" customFormat="false" ht="15" hidden="false" customHeight="false" outlineLevel="0" collapsed="false">
      <c r="A561" s="0" t="s">
        <v>136</v>
      </c>
      <c r="B561" s="0" t="n">
        <v>2017</v>
      </c>
      <c r="C561" s="0" t="s">
        <v>78</v>
      </c>
      <c r="D561" s="0" t="s">
        <v>79</v>
      </c>
      <c r="E561" s="0" t="n">
        <v>0</v>
      </c>
      <c r="F561" s="0" t="s">
        <v>71</v>
      </c>
      <c r="H561" s="0" t="s">
        <v>457</v>
      </c>
      <c r="I561" s="0" t="s">
        <v>457</v>
      </c>
      <c r="J561" s="0" t="s">
        <v>457</v>
      </c>
      <c r="K561" s="0" t="s">
        <v>457</v>
      </c>
      <c r="L561" s="0" t="s">
        <v>457</v>
      </c>
      <c r="M561" s="0" t="s">
        <v>457</v>
      </c>
      <c r="O561" s="0" t="s">
        <v>2570</v>
      </c>
      <c r="P561" s="0" t="s">
        <v>2582</v>
      </c>
      <c r="Q561" s="0" t="s">
        <v>1641</v>
      </c>
      <c r="R561" s="0" t="s">
        <v>142</v>
      </c>
    </row>
    <row r="562" customFormat="false" ht="15" hidden="false" customHeight="false" outlineLevel="0" collapsed="false">
      <c r="A562" s="0" t="s">
        <v>136</v>
      </c>
      <c r="B562" s="0" t="n">
        <v>2017</v>
      </c>
      <c r="C562" s="0" t="s">
        <v>78</v>
      </c>
      <c r="D562" s="0" t="s">
        <v>79</v>
      </c>
      <c r="E562" s="0" t="n">
        <v>0</v>
      </c>
      <c r="F562" s="0" t="s">
        <v>31</v>
      </c>
      <c r="G562" s="0" t="n">
        <v>79.5188913040941</v>
      </c>
      <c r="H562" s="0" t="s">
        <v>437</v>
      </c>
      <c r="I562" s="0" t="s">
        <v>437</v>
      </c>
      <c r="J562" s="0" t="s">
        <v>437</v>
      </c>
      <c r="K562" s="0" t="s">
        <v>457</v>
      </c>
      <c r="L562" s="0" t="s">
        <v>437</v>
      </c>
      <c r="M562" s="0" t="s">
        <v>437</v>
      </c>
      <c r="O562" s="0" t="s">
        <v>2570</v>
      </c>
      <c r="P562" s="0" t="s">
        <v>2582</v>
      </c>
      <c r="Q562" s="0" t="s">
        <v>1641</v>
      </c>
      <c r="R562" s="0" t="s">
        <v>142</v>
      </c>
    </row>
    <row r="563" customFormat="false" ht="15" hidden="false" customHeight="false" outlineLevel="0" collapsed="false">
      <c r="A563" s="0" t="s">
        <v>136</v>
      </c>
      <c r="B563" s="0" t="n">
        <v>2018</v>
      </c>
      <c r="C563" s="0" t="s">
        <v>78</v>
      </c>
      <c r="D563" s="0" t="s">
        <v>90</v>
      </c>
      <c r="E563" s="0" t="n">
        <v>1</v>
      </c>
      <c r="F563" s="0" t="s">
        <v>73</v>
      </c>
      <c r="G563" s="0" t="n">
        <v>0</v>
      </c>
      <c r="H563" s="0" t="s">
        <v>437</v>
      </c>
      <c r="I563" s="0" t="s">
        <v>437</v>
      </c>
      <c r="J563" s="0" t="s">
        <v>437</v>
      </c>
      <c r="K563" s="0" t="s">
        <v>457</v>
      </c>
      <c r="L563" s="0" t="s">
        <v>437</v>
      </c>
      <c r="M563" s="0" t="s">
        <v>457</v>
      </c>
      <c r="R563" s="0" t="s">
        <v>109</v>
      </c>
    </row>
    <row r="564" customFormat="false" ht="15" hidden="false" customHeight="false" outlineLevel="0" collapsed="false">
      <c r="A564" s="0" t="s">
        <v>136</v>
      </c>
      <c r="B564" s="0" t="n">
        <v>2018</v>
      </c>
      <c r="C564" s="0" t="s">
        <v>78</v>
      </c>
      <c r="D564" s="0" t="s">
        <v>90</v>
      </c>
      <c r="E564" s="0" t="n">
        <v>1</v>
      </c>
      <c r="F564" s="0" t="s">
        <v>69</v>
      </c>
      <c r="H564" s="0" t="s">
        <v>457</v>
      </c>
      <c r="I564" s="0" t="s">
        <v>457</v>
      </c>
      <c r="J564" s="0" t="s">
        <v>457</v>
      </c>
      <c r="K564" s="0" t="s">
        <v>457</v>
      </c>
      <c r="L564" s="0" t="s">
        <v>457</v>
      </c>
      <c r="M564" s="0" t="s">
        <v>457</v>
      </c>
      <c r="R564" s="0" t="s">
        <v>109</v>
      </c>
    </row>
    <row r="565" customFormat="false" ht="15" hidden="false" customHeight="false" outlineLevel="0" collapsed="false">
      <c r="A565" s="0" t="s">
        <v>136</v>
      </c>
      <c r="B565" s="0" t="n">
        <v>2018</v>
      </c>
      <c r="C565" s="0" t="s">
        <v>78</v>
      </c>
      <c r="D565" s="0" t="s">
        <v>90</v>
      </c>
      <c r="E565" s="0" t="n">
        <v>1</v>
      </c>
      <c r="F565" s="0" t="s">
        <v>25</v>
      </c>
      <c r="H565" s="0" t="s">
        <v>457</v>
      </c>
      <c r="I565" s="0" t="s">
        <v>457</v>
      </c>
      <c r="J565" s="0" t="s">
        <v>457</v>
      </c>
      <c r="K565" s="0" t="s">
        <v>457</v>
      </c>
      <c r="L565" s="0" t="s">
        <v>457</v>
      </c>
      <c r="M565" s="0" t="s">
        <v>457</v>
      </c>
      <c r="R565" s="0" t="s">
        <v>109</v>
      </c>
    </row>
    <row r="566" customFormat="false" ht="15" hidden="false" customHeight="false" outlineLevel="0" collapsed="false">
      <c r="A566" s="0" t="s">
        <v>136</v>
      </c>
      <c r="B566" s="0" t="n">
        <v>2018</v>
      </c>
      <c r="C566" s="0" t="s">
        <v>78</v>
      </c>
      <c r="D566" s="0" t="s">
        <v>90</v>
      </c>
      <c r="E566" s="0" t="n">
        <v>1</v>
      </c>
      <c r="F566" s="0" t="s">
        <v>41</v>
      </c>
      <c r="G566" s="0" t="n">
        <v>6.02875874495021</v>
      </c>
      <c r="H566" s="0" t="s">
        <v>437</v>
      </c>
      <c r="I566" s="0" t="s">
        <v>437</v>
      </c>
      <c r="J566" s="0" t="s">
        <v>437</v>
      </c>
      <c r="K566" s="0" t="s">
        <v>437</v>
      </c>
      <c r="L566" s="0" t="s">
        <v>437</v>
      </c>
      <c r="M566" s="0" t="s">
        <v>457</v>
      </c>
      <c r="R566" s="0" t="s">
        <v>109</v>
      </c>
    </row>
    <row r="567" customFormat="false" ht="15" hidden="false" customHeight="false" outlineLevel="0" collapsed="false">
      <c r="A567" s="0" t="s">
        <v>136</v>
      </c>
      <c r="B567" s="0" t="n">
        <v>2018</v>
      </c>
      <c r="C567" s="0" t="s">
        <v>78</v>
      </c>
      <c r="D567" s="0" t="s">
        <v>90</v>
      </c>
      <c r="E567" s="0" t="n">
        <v>1</v>
      </c>
      <c r="F567" s="0" t="s">
        <v>27</v>
      </c>
      <c r="G567" s="0" t="n">
        <v>18.8696111766184</v>
      </c>
      <c r="H567" s="0" t="s">
        <v>437</v>
      </c>
      <c r="I567" s="0" t="s">
        <v>437</v>
      </c>
      <c r="J567" s="0" t="s">
        <v>437</v>
      </c>
      <c r="K567" s="0" t="s">
        <v>437</v>
      </c>
      <c r="L567" s="0" t="s">
        <v>437</v>
      </c>
      <c r="M567" s="0" t="s">
        <v>457</v>
      </c>
      <c r="R567" s="0" t="s">
        <v>109</v>
      </c>
    </row>
    <row r="568" customFormat="false" ht="15" hidden="false" customHeight="false" outlineLevel="0" collapsed="false">
      <c r="A568" s="0" t="s">
        <v>136</v>
      </c>
      <c r="B568" s="0" t="n">
        <v>2018</v>
      </c>
      <c r="C568" s="0" t="s">
        <v>78</v>
      </c>
      <c r="D568" s="0" t="s">
        <v>90</v>
      </c>
      <c r="E568" s="0" t="n">
        <v>1</v>
      </c>
      <c r="F568" s="0" t="s">
        <v>39</v>
      </c>
      <c r="G568" s="0" t="n">
        <v>8.11296335206468</v>
      </c>
      <c r="H568" s="0" t="s">
        <v>437</v>
      </c>
      <c r="I568" s="0" t="s">
        <v>437</v>
      </c>
      <c r="J568" s="0" t="s">
        <v>437</v>
      </c>
      <c r="K568" s="0" t="s">
        <v>437</v>
      </c>
      <c r="L568" s="0" t="s">
        <v>437</v>
      </c>
      <c r="M568" s="0" t="s">
        <v>457</v>
      </c>
      <c r="R568" s="0" t="s">
        <v>109</v>
      </c>
    </row>
    <row r="569" customFormat="false" ht="15" hidden="false" customHeight="false" outlineLevel="0" collapsed="false">
      <c r="A569" s="0" t="s">
        <v>136</v>
      </c>
      <c r="B569" s="0" t="n">
        <v>2018</v>
      </c>
      <c r="C569" s="0" t="s">
        <v>78</v>
      </c>
      <c r="D569" s="0" t="s">
        <v>90</v>
      </c>
      <c r="E569" s="0" t="n">
        <v>1</v>
      </c>
      <c r="F569" s="0" t="s">
        <v>17</v>
      </c>
      <c r="G569" s="0" t="n">
        <v>7.85015452926359</v>
      </c>
      <c r="H569" s="0" t="s">
        <v>437</v>
      </c>
      <c r="I569" s="0" t="s">
        <v>437</v>
      </c>
      <c r="J569" s="0" t="s">
        <v>437</v>
      </c>
      <c r="K569" s="0" t="s">
        <v>437</v>
      </c>
      <c r="L569" s="0" t="s">
        <v>437</v>
      </c>
      <c r="M569" s="0" t="s">
        <v>457</v>
      </c>
      <c r="R569" s="0" t="s">
        <v>109</v>
      </c>
    </row>
    <row r="570" customFormat="false" ht="15" hidden="false" customHeight="false" outlineLevel="0" collapsed="false">
      <c r="A570" s="0" t="s">
        <v>136</v>
      </c>
      <c r="B570" s="0" t="n">
        <v>2018</v>
      </c>
      <c r="C570" s="0" t="s">
        <v>78</v>
      </c>
      <c r="D570" s="0" t="s">
        <v>90</v>
      </c>
      <c r="E570" s="0" t="n">
        <v>1</v>
      </c>
      <c r="F570" s="0" t="s">
        <v>29</v>
      </c>
      <c r="G570" s="0" t="n">
        <v>0.0499870474778471</v>
      </c>
      <c r="H570" s="0" t="s">
        <v>437</v>
      </c>
      <c r="I570" s="0" t="s">
        <v>437</v>
      </c>
      <c r="J570" s="0" t="s">
        <v>437</v>
      </c>
      <c r="K570" s="0" t="s">
        <v>437</v>
      </c>
      <c r="L570" s="0" t="s">
        <v>437</v>
      </c>
      <c r="M570" s="0" t="s">
        <v>457</v>
      </c>
      <c r="R570" s="0" t="s">
        <v>109</v>
      </c>
    </row>
    <row r="571" customFormat="false" ht="15" hidden="false" customHeight="false" outlineLevel="0" collapsed="false">
      <c r="A571" s="0" t="s">
        <v>136</v>
      </c>
      <c r="B571" s="0" t="n">
        <v>2018</v>
      </c>
      <c r="C571" s="0" t="s">
        <v>78</v>
      </c>
      <c r="D571" s="0" t="s">
        <v>90</v>
      </c>
      <c r="E571" s="0" t="n">
        <v>1</v>
      </c>
      <c r="F571" s="0" t="s">
        <v>37</v>
      </c>
      <c r="H571" s="0" t="s">
        <v>457</v>
      </c>
      <c r="I571" s="0" t="s">
        <v>457</v>
      </c>
      <c r="J571" s="0" t="s">
        <v>457</v>
      </c>
      <c r="K571" s="0" t="s">
        <v>457</v>
      </c>
      <c r="L571" s="0" t="s">
        <v>457</v>
      </c>
      <c r="M571" s="0" t="s">
        <v>457</v>
      </c>
      <c r="R571" s="0" t="s">
        <v>109</v>
      </c>
    </row>
    <row r="572" customFormat="false" ht="15" hidden="false" customHeight="false" outlineLevel="0" collapsed="false">
      <c r="A572" s="0" t="s">
        <v>136</v>
      </c>
      <c r="B572" s="0" t="n">
        <v>2018</v>
      </c>
      <c r="C572" s="0" t="s">
        <v>78</v>
      </c>
      <c r="D572" s="0" t="s">
        <v>90</v>
      </c>
      <c r="E572" s="0" t="n">
        <v>1</v>
      </c>
      <c r="F572" s="0" t="s">
        <v>23</v>
      </c>
      <c r="H572" s="0" t="s">
        <v>457</v>
      </c>
      <c r="I572" s="0" t="s">
        <v>457</v>
      </c>
      <c r="J572" s="0" t="s">
        <v>457</v>
      </c>
      <c r="K572" s="0" t="s">
        <v>457</v>
      </c>
      <c r="L572" s="0" t="s">
        <v>457</v>
      </c>
      <c r="M572" s="0" t="s">
        <v>457</v>
      </c>
      <c r="R572" s="0" t="s">
        <v>109</v>
      </c>
    </row>
    <row r="573" customFormat="false" ht="15" hidden="false" customHeight="false" outlineLevel="0" collapsed="false">
      <c r="A573" s="0" t="s">
        <v>136</v>
      </c>
      <c r="B573" s="0" t="n">
        <v>2018</v>
      </c>
      <c r="C573" s="0" t="s">
        <v>78</v>
      </c>
      <c r="D573" s="0" t="s">
        <v>90</v>
      </c>
      <c r="E573" s="0" t="n">
        <v>1</v>
      </c>
      <c r="F573" s="0" t="s">
        <v>45</v>
      </c>
      <c r="H573" s="0" t="s">
        <v>457</v>
      </c>
      <c r="I573" s="0" t="s">
        <v>457</v>
      </c>
      <c r="J573" s="0" t="s">
        <v>457</v>
      </c>
      <c r="K573" s="0" t="s">
        <v>457</v>
      </c>
      <c r="L573" s="0" t="s">
        <v>457</v>
      </c>
      <c r="M573" s="0" t="s">
        <v>457</v>
      </c>
      <c r="R573" s="0" t="s">
        <v>109</v>
      </c>
    </row>
    <row r="574" customFormat="false" ht="15" hidden="false" customHeight="false" outlineLevel="0" collapsed="false">
      <c r="A574" s="0" t="s">
        <v>136</v>
      </c>
      <c r="B574" s="0" t="n">
        <v>2018</v>
      </c>
      <c r="C574" s="0" t="s">
        <v>78</v>
      </c>
      <c r="D574" s="0" t="s">
        <v>90</v>
      </c>
      <c r="E574" s="0" t="n">
        <v>1</v>
      </c>
      <c r="F574" s="0" t="s">
        <v>71</v>
      </c>
      <c r="H574" s="0" t="s">
        <v>457</v>
      </c>
      <c r="I574" s="0" t="s">
        <v>457</v>
      </c>
      <c r="J574" s="0" t="s">
        <v>457</v>
      </c>
      <c r="K574" s="0" t="s">
        <v>457</v>
      </c>
      <c r="L574" s="0" t="s">
        <v>457</v>
      </c>
      <c r="M574" s="0" t="s">
        <v>457</v>
      </c>
      <c r="R574" s="0" t="s">
        <v>109</v>
      </c>
    </row>
    <row r="575" customFormat="false" ht="15" hidden="false" customHeight="false" outlineLevel="0" collapsed="false">
      <c r="A575" s="0" t="s">
        <v>136</v>
      </c>
      <c r="B575" s="0" t="n">
        <v>2018</v>
      </c>
      <c r="C575" s="0" t="s">
        <v>78</v>
      </c>
      <c r="D575" s="0" t="s">
        <v>90</v>
      </c>
      <c r="E575" s="0" t="n">
        <v>1</v>
      </c>
      <c r="F575" s="0" t="s">
        <v>31</v>
      </c>
      <c r="G575" s="0" t="n">
        <v>81.1303888233816</v>
      </c>
      <c r="H575" s="0" t="s">
        <v>437</v>
      </c>
      <c r="I575" s="0" t="s">
        <v>437</v>
      </c>
      <c r="J575" s="0" t="s">
        <v>437</v>
      </c>
      <c r="K575" s="0" t="s">
        <v>437</v>
      </c>
      <c r="L575" s="0" t="s">
        <v>437</v>
      </c>
      <c r="M575" s="0" t="s">
        <v>457</v>
      </c>
      <c r="R575" s="0" t="s">
        <v>109</v>
      </c>
    </row>
    <row r="576" customFormat="false" ht="15" hidden="false" customHeight="false" outlineLevel="0" collapsed="false">
      <c r="A576" s="0" t="s">
        <v>136</v>
      </c>
      <c r="B576" s="0" t="n">
        <v>2019</v>
      </c>
      <c r="C576" s="0" t="s">
        <v>78</v>
      </c>
      <c r="D576" s="0" t="s">
        <v>90</v>
      </c>
      <c r="E576" s="0" t="n">
        <v>1</v>
      </c>
      <c r="F576" s="0" t="s">
        <v>73</v>
      </c>
      <c r="G576" s="0" t="n">
        <v>0</v>
      </c>
      <c r="H576" s="0" t="s">
        <v>437</v>
      </c>
      <c r="I576" s="0" t="s">
        <v>437</v>
      </c>
      <c r="J576" s="0" t="s">
        <v>437</v>
      </c>
      <c r="K576" s="0" t="s">
        <v>437</v>
      </c>
      <c r="L576" s="0" t="s">
        <v>437</v>
      </c>
      <c r="M576" s="0" t="s">
        <v>457</v>
      </c>
      <c r="R576" s="0" t="s">
        <v>93</v>
      </c>
    </row>
    <row r="577" customFormat="false" ht="15" hidden="false" customHeight="false" outlineLevel="0" collapsed="false">
      <c r="A577" s="0" t="s">
        <v>136</v>
      </c>
      <c r="B577" s="0" t="n">
        <v>2019</v>
      </c>
      <c r="C577" s="0" t="s">
        <v>78</v>
      </c>
      <c r="D577" s="0" t="s">
        <v>90</v>
      </c>
      <c r="E577" s="0" t="n">
        <v>1</v>
      </c>
      <c r="F577" s="0" t="s">
        <v>69</v>
      </c>
      <c r="G577" s="0" t="n">
        <v>20.66</v>
      </c>
      <c r="H577" s="0" t="s">
        <v>437</v>
      </c>
      <c r="I577" s="0" t="s">
        <v>437</v>
      </c>
      <c r="J577" s="0" t="s">
        <v>437</v>
      </c>
      <c r="K577" s="0" t="s">
        <v>457</v>
      </c>
      <c r="L577" s="0" t="s">
        <v>437</v>
      </c>
      <c r="M577" s="0" t="s">
        <v>457</v>
      </c>
      <c r="R577" s="0" t="s">
        <v>93</v>
      </c>
    </row>
    <row r="578" customFormat="false" ht="15" hidden="false" customHeight="false" outlineLevel="0" collapsed="false">
      <c r="A578" s="0" t="s">
        <v>136</v>
      </c>
      <c r="B578" s="0" t="n">
        <v>2019</v>
      </c>
      <c r="C578" s="0" t="s">
        <v>78</v>
      </c>
      <c r="D578" s="0" t="s">
        <v>90</v>
      </c>
      <c r="E578" s="0" t="n">
        <v>1</v>
      </c>
      <c r="F578" s="0" t="s">
        <v>25</v>
      </c>
      <c r="G578" s="0" t="n">
        <v>20.6598717278961</v>
      </c>
      <c r="H578" s="0" t="s">
        <v>437</v>
      </c>
      <c r="I578" s="0" t="s">
        <v>437</v>
      </c>
      <c r="J578" s="0" t="s">
        <v>437</v>
      </c>
      <c r="K578" s="0" t="s">
        <v>457</v>
      </c>
      <c r="L578" s="0" t="s">
        <v>437</v>
      </c>
      <c r="M578" s="0" t="s">
        <v>457</v>
      </c>
      <c r="R578" s="0" t="s">
        <v>93</v>
      </c>
    </row>
    <row r="579" customFormat="false" ht="15" hidden="false" customHeight="false" outlineLevel="0" collapsed="false">
      <c r="A579" s="0" t="s">
        <v>136</v>
      </c>
      <c r="B579" s="0" t="n">
        <v>2019</v>
      </c>
      <c r="C579" s="0" t="s">
        <v>78</v>
      </c>
      <c r="D579" s="0" t="s">
        <v>90</v>
      </c>
      <c r="E579" s="0" t="n">
        <v>1</v>
      </c>
      <c r="F579" s="0" t="s">
        <v>41</v>
      </c>
      <c r="G579" s="0" t="n">
        <v>6.02864765151032</v>
      </c>
      <c r="H579" s="0" t="s">
        <v>437</v>
      </c>
      <c r="I579" s="0" t="s">
        <v>437</v>
      </c>
      <c r="J579" s="0" t="s">
        <v>437</v>
      </c>
      <c r="K579" s="0" t="s">
        <v>437</v>
      </c>
      <c r="L579" s="0" t="s">
        <v>437</v>
      </c>
      <c r="M579" s="0" t="s">
        <v>457</v>
      </c>
      <c r="R579" s="0" t="s">
        <v>93</v>
      </c>
    </row>
    <row r="580" customFormat="false" ht="15" hidden="false" customHeight="false" outlineLevel="0" collapsed="false">
      <c r="A580" s="0" t="s">
        <v>136</v>
      </c>
      <c r="B580" s="0" t="n">
        <v>2019</v>
      </c>
      <c r="C580" s="0" t="s">
        <v>78</v>
      </c>
      <c r="D580" s="0" t="s">
        <v>90</v>
      </c>
      <c r="E580" s="0" t="n">
        <v>1</v>
      </c>
      <c r="F580" s="0" t="s">
        <v>27</v>
      </c>
      <c r="G580" s="0" t="n">
        <v>19.5621887290642</v>
      </c>
      <c r="H580" s="0" t="s">
        <v>437</v>
      </c>
      <c r="I580" s="0" t="s">
        <v>437</v>
      </c>
      <c r="J580" s="0" t="s">
        <v>437</v>
      </c>
      <c r="K580" s="0" t="s">
        <v>437</v>
      </c>
      <c r="L580" s="0" t="s">
        <v>437</v>
      </c>
      <c r="M580" s="0" t="s">
        <v>457</v>
      </c>
      <c r="R580" s="0" t="s">
        <v>93</v>
      </c>
    </row>
    <row r="581" customFormat="false" ht="15" hidden="false" customHeight="false" outlineLevel="0" collapsed="false">
      <c r="A581" s="0" t="s">
        <v>136</v>
      </c>
      <c r="B581" s="0" t="n">
        <v>2019</v>
      </c>
      <c r="C581" s="0" t="s">
        <v>78</v>
      </c>
      <c r="D581" s="0" t="s">
        <v>90</v>
      </c>
      <c r="E581" s="0" t="n">
        <v>1</v>
      </c>
      <c r="F581" s="0" t="s">
        <v>39</v>
      </c>
      <c r="G581" s="0" t="n">
        <v>6.81106712914999</v>
      </c>
      <c r="H581" s="0" t="s">
        <v>437</v>
      </c>
      <c r="I581" s="0" t="s">
        <v>437</v>
      </c>
      <c r="J581" s="0" t="s">
        <v>437</v>
      </c>
      <c r="K581" s="0" t="s">
        <v>437</v>
      </c>
      <c r="L581" s="0" t="s">
        <v>437</v>
      </c>
      <c r="M581" s="0" t="s">
        <v>457</v>
      </c>
      <c r="R581" s="0" t="s">
        <v>93</v>
      </c>
    </row>
    <row r="582" customFormat="false" ht="15" hidden="false" customHeight="false" outlineLevel="0" collapsed="false">
      <c r="A582" s="0" t="s">
        <v>136</v>
      </c>
      <c r="B582" s="0" t="n">
        <v>2019</v>
      </c>
      <c r="C582" s="0" t="s">
        <v>78</v>
      </c>
      <c r="D582" s="0" t="s">
        <v>90</v>
      </c>
      <c r="E582" s="0" t="n">
        <v>1</v>
      </c>
      <c r="F582" s="0" t="s">
        <v>17</v>
      </c>
      <c r="G582" s="0" t="n">
        <v>4.14464652449988</v>
      </c>
      <c r="H582" s="0" t="s">
        <v>437</v>
      </c>
      <c r="I582" s="0" t="s">
        <v>437</v>
      </c>
      <c r="J582" s="0" t="s">
        <v>437</v>
      </c>
      <c r="K582" s="0" t="s">
        <v>437</v>
      </c>
      <c r="L582" s="0" t="s">
        <v>437</v>
      </c>
      <c r="M582" s="0" t="s">
        <v>457</v>
      </c>
      <c r="R582" s="0" t="s">
        <v>93</v>
      </c>
    </row>
    <row r="583" customFormat="false" ht="15" hidden="false" customHeight="false" outlineLevel="0" collapsed="false">
      <c r="A583" s="0" t="s">
        <v>136</v>
      </c>
      <c r="B583" s="0" t="n">
        <v>2019</v>
      </c>
      <c r="C583" s="0" t="s">
        <v>78</v>
      </c>
      <c r="D583" s="0" t="s">
        <v>90</v>
      </c>
      <c r="E583" s="0" t="n">
        <v>1</v>
      </c>
      <c r="F583" s="0" t="s">
        <v>29</v>
      </c>
      <c r="G583" s="0" t="n">
        <v>0.064004151748528</v>
      </c>
      <c r="H583" s="0" t="s">
        <v>437</v>
      </c>
      <c r="I583" s="0" t="s">
        <v>437</v>
      </c>
      <c r="J583" s="0" t="s">
        <v>437</v>
      </c>
      <c r="K583" s="0" t="s">
        <v>437</v>
      </c>
      <c r="L583" s="0" t="s">
        <v>437</v>
      </c>
      <c r="M583" s="0" t="s">
        <v>457</v>
      </c>
      <c r="R583" s="0" t="s">
        <v>93</v>
      </c>
    </row>
    <row r="584" customFormat="false" ht="15" hidden="false" customHeight="false" outlineLevel="0" collapsed="false">
      <c r="A584" s="0" t="s">
        <v>136</v>
      </c>
      <c r="B584" s="0" t="n">
        <v>2019</v>
      </c>
      <c r="C584" s="0" t="s">
        <v>78</v>
      </c>
      <c r="D584" s="0" t="s">
        <v>90</v>
      </c>
      <c r="E584" s="0" t="n">
        <v>1</v>
      </c>
      <c r="F584" s="0" t="s">
        <v>37</v>
      </c>
      <c r="H584" s="0" t="s">
        <v>457</v>
      </c>
      <c r="I584" s="0" t="s">
        <v>457</v>
      </c>
      <c r="J584" s="0" t="s">
        <v>457</v>
      </c>
      <c r="K584" s="0" t="s">
        <v>457</v>
      </c>
      <c r="L584" s="0" t="s">
        <v>457</v>
      </c>
      <c r="M584" s="0" t="s">
        <v>457</v>
      </c>
      <c r="R584" s="0" t="s">
        <v>93</v>
      </c>
    </row>
    <row r="585" customFormat="false" ht="15" hidden="false" customHeight="false" outlineLevel="0" collapsed="false">
      <c r="A585" s="0" t="s">
        <v>136</v>
      </c>
      <c r="B585" s="0" t="n">
        <v>2019</v>
      </c>
      <c r="C585" s="0" t="s">
        <v>78</v>
      </c>
      <c r="D585" s="0" t="s">
        <v>90</v>
      </c>
      <c r="E585" s="0" t="n">
        <v>1</v>
      </c>
      <c r="F585" s="0" t="s">
        <v>23</v>
      </c>
      <c r="H585" s="0" t="s">
        <v>457</v>
      </c>
      <c r="I585" s="0" t="s">
        <v>457</v>
      </c>
      <c r="J585" s="0" t="s">
        <v>457</v>
      </c>
      <c r="K585" s="0" t="s">
        <v>457</v>
      </c>
      <c r="L585" s="0" t="s">
        <v>457</v>
      </c>
      <c r="M585" s="0" t="s">
        <v>457</v>
      </c>
      <c r="R585" s="0" t="s">
        <v>93</v>
      </c>
    </row>
    <row r="586" customFormat="false" ht="15" hidden="false" customHeight="false" outlineLevel="0" collapsed="false">
      <c r="A586" s="0" t="s">
        <v>136</v>
      </c>
      <c r="B586" s="0" t="n">
        <v>2019</v>
      </c>
      <c r="C586" s="0" t="s">
        <v>78</v>
      </c>
      <c r="D586" s="0" t="s">
        <v>90</v>
      </c>
      <c r="E586" s="0" t="n">
        <v>1</v>
      </c>
      <c r="F586" s="0" t="s">
        <v>45</v>
      </c>
      <c r="H586" s="0" t="s">
        <v>457</v>
      </c>
      <c r="I586" s="0" t="s">
        <v>457</v>
      </c>
      <c r="J586" s="0" t="s">
        <v>457</v>
      </c>
      <c r="K586" s="0" t="s">
        <v>457</v>
      </c>
      <c r="L586" s="0" t="s">
        <v>457</v>
      </c>
      <c r="M586" s="0" t="s">
        <v>457</v>
      </c>
      <c r="R586" s="0" t="s">
        <v>93</v>
      </c>
    </row>
    <row r="587" customFormat="false" ht="15" hidden="false" customHeight="false" outlineLevel="0" collapsed="false">
      <c r="A587" s="0" t="s">
        <v>136</v>
      </c>
      <c r="B587" s="0" t="n">
        <v>2019</v>
      </c>
      <c r="C587" s="0" t="s">
        <v>78</v>
      </c>
      <c r="D587" s="0" t="s">
        <v>90</v>
      </c>
      <c r="E587" s="0" t="n">
        <v>1</v>
      </c>
      <c r="F587" s="0" t="s">
        <v>71</v>
      </c>
      <c r="H587" s="0" t="s">
        <v>457</v>
      </c>
      <c r="I587" s="0" t="s">
        <v>457</v>
      </c>
      <c r="J587" s="0" t="s">
        <v>457</v>
      </c>
      <c r="K587" s="0" t="s">
        <v>457</v>
      </c>
      <c r="L587" s="0" t="s">
        <v>457</v>
      </c>
      <c r="M587" s="0" t="s">
        <v>457</v>
      </c>
      <c r="R587" s="0" t="s">
        <v>93</v>
      </c>
    </row>
    <row r="588" customFormat="false" ht="15" hidden="false" customHeight="false" outlineLevel="0" collapsed="false">
      <c r="A588" s="0" t="s">
        <v>136</v>
      </c>
      <c r="B588" s="0" t="n">
        <v>2019</v>
      </c>
      <c r="C588" s="0" t="s">
        <v>78</v>
      </c>
      <c r="D588" s="0" t="s">
        <v>90</v>
      </c>
      <c r="E588" s="0" t="n">
        <v>1</v>
      </c>
      <c r="F588" s="0" t="s">
        <v>31</v>
      </c>
      <c r="G588" s="0" t="n">
        <v>80.4378112709358</v>
      </c>
      <c r="H588" s="0" t="s">
        <v>437</v>
      </c>
      <c r="I588" s="0" t="s">
        <v>437</v>
      </c>
      <c r="J588" s="0" t="s">
        <v>437</v>
      </c>
      <c r="K588" s="0" t="s">
        <v>437</v>
      </c>
      <c r="L588" s="0" t="s">
        <v>437</v>
      </c>
      <c r="M588" s="0" t="s">
        <v>457</v>
      </c>
      <c r="R588" s="0" t="s">
        <v>93</v>
      </c>
    </row>
    <row r="589" customFormat="false" ht="15" hidden="false" customHeight="false" outlineLevel="0" collapsed="false">
      <c r="A589" s="0" t="s">
        <v>136</v>
      </c>
      <c r="B589" s="0" t="n">
        <v>2020</v>
      </c>
      <c r="C589" s="0" t="s">
        <v>78</v>
      </c>
      <c r="D589" s="0" t="s">
        <v>90</v>
      </c>
      <c r="E589" s="0" t="n">
        <v>1</v>
      </c>
      <c r="F589" s="0" t="s">
        <v>73</v>
      </c>
      <c r="G589" s="0" t="n">
        <v>0</v>
      </c>
      <c r="H589" s="0" t="s">
        <v>437</v>
      </c>
      <c r="I589" s="0" t="s">
        <v>437</v>
      </c>
      <c r="J589" s="0" t="s">
        <v>437</v>
      </c>
      <c r="K589" s="0" t="s">
        <v>437</v>
      </c>
      <c r="L589" s="0" t="s">
        <v>437</v>
      </c>
      <c r="M589" s="0" t="s">
        <v>457</v>
      </c>
      <c r="R589" s="0" t="s">
        <v>95</v>
      </c>
    </row>
    <row r="590" customFormat="false" ht="15" hidden="false" customHeight="false" outlineLevel="0" collapsed="false">
      <c r="A590" s="0" t="s">
        <v>136</v>
      </c>
      <c r="B590" s="0" t="n">
        <v>2020</v>
      </c>
      <c r="C590" s="0" t="s">
        <v>78</v>
      </c>
      <c r="D590" s="0" t="s">
        <v>90</v>
      </c>
      <c r="E590" s="0" t="n">
        <v>1</v>
      </c>
      <c r="F590" s="0" t="s">
        <v>69</v>
      </c>
      <c r="G590" s="0" t="n">
        <v>19.55</v>
      </c>
      <c r="H590" s="0" t="s">
        <v>437</v>
      </c>
      <c r="I590" s="0" t="s">
        <v>437</v>
      </c>
      <c r="J590" s="0" t="s">
        <v>437</v>
      </c>
      <c r="K590" s="0" t="s">
        <v>437</v>
      </c>
      <c r="L590" s="0" t="s">
        <v>437</v>
      </c>
      <c r="M590" s="0" t="s">
        <v>457</v>
      </c>
      <c r="R590" s="0" t="s">
        <v>95</v>
      </c>
    </row>
    <row r="591" customFormat="false" ht="15" hidden="false" customHeight="false" outlineLevel="0" collapsed="false">
      <c r="A591" s="0" t="s">
        <v>136</v>
      </c>
      <c r="B591" s="0" t="n">
        <v>2020</v>
      </c>
      <c r="C591" s="0" t="s">
        <v>78</v>
      </c>
      <c r="D591" s="0" t="s">
        <v>90</v>
      </c>
      <c r="E591" s="0" t="n">
        <v>1</v>
      </c>
      <c r="F591" s="0" t="s">
        <v>25</v>
      </c>
      <c r="G591" s="0" t="n">
        <v>19.5500000052231</v>
      </c>
      <c r="H591" s="0" t="s">
        <v>437</v>
      </c>
      <c r="I591" s="0" t="s">
        <v>437</v>
      </c>
      <c r="J591" s="0" t="s">
        <v>437</v>
      </c>
      <c r="K591" s="0" t="s">
        <v>437</v>
      </c>
      <c r="L591" s="0" t="s">
        <v>437</v>
      </c>
      <c r="M591" s="0" t="s">
        <v>457</v>
      </c>
      <c r="R591" s="0" t="s">
        <v>95</v>
      </c>
    </row>
    <row r="592" customFormat="false" ht="15" hidden="false" customHeight="false" outlineLevel="0" collapsed="false">
      <c r="A592" s="0" t="s">
        <v>136</v>
      </c>
      <c r="B592" s="0" t="n">
        <v>2020</v>
      </c>
      <c r="C592" s="0" t="s">
        <v>78</v>
      </c>
      <c r="D592" s="0" t="s">
        <v>90</v>
      </c>
      <c r="E592" s="0" t="n">
        <v>1</v>
      </c>
      <c r="F592" s="0" t="s">
        <v>41</v>
      </c>
      <c r="G592" s="0" t="n">
        <v>4.97816937580852</v>
      </c>
      <c r="H592" s="0" t="s">
        <v>437</v>
      </c>
      <c r="I592" s="0" t="s">
        <v>437</v>
      </c>
      <c r="J592" s="0" t="s">
        <v>437</v>
      </c>
      <c r="K592" s="0" t="s">
        <v>437</v>
      </c>
      <c r="L592" s="0" t="s">
        <v>437</v>
      </c>
      <c r="M592" s="0" t="s">
        <v>457</v>
      </c>
      <c r="R592" s="0" t="s">
        <v>95</v>
      </c>
    </row>
    <row r="593" customFormat="false" ht="15" hidden="false" customHeight="false" outlineLevel="0" collapsed="false">
      <c r="A593" s="0" t="s">
        <v>136</v>
      </c>
      <c r="B593" s="0" t="n">
        <v>2020</v>
      </c>
      <c r="C593" s="0" t="s">
        <v>78</v>
      </c>
      <c r="D593" s="0" t="s">
        <v>90</v>
      </c>
      <c r="E593" s="0" t="n">
        <v>1</v>
      </c>
      <c r="F593" s="0" t="s">
        <v>27</v>
      </c>
      <c r="G593" s="0" t="n">
        <v>17.2939057981627</v>
      </c>
      <c r="H593" s="0" t="s">
        <v>437</v>
      </c>
      <c r="I593" s="0" t="s">
        <v>437</v>
      </c>
      <c r="J593" s="0" t="s">
        <v>437</v>
      </c>
      <c r="K593" s="0" t="s">
        <v>437</v>
      </c>
      <c r="L593" s="0" t="s">
        <v>437</v>
      </c>
      <c r="M593" s="0" t="s">
        <v>457</v>
      </c>
      <c r="R593" s="0" t="s">
        <v>95</v>
      </c>
    </row>
    <row r="594" customFormat="false" ht="15" hidden="false" customHeight="false" outlineLevel="0" collapsed="false">
      <c r="A594" s="0" t="s">
        <v>136</v>
      </c>
      <c r="B594" s="0" t="n">
        <v>2020</v>
      </c>
      <c r="C594" s="0" t="s">
        <v>78</v>
      </c>
      <c r="D594" s="0" t="s">
        <v>90</v>
      </c>
      <c r="E594" s="0" t="n">
        <v>1</v>
      </c>
      <c r="F594" s="0" t="s">
        <v>39</v>
      </c>
      <c r="G594" s="0" t="n">
        <v>9.15778643718401</v>
      </c>
      <c r="H594" s="0" t="s">
        <v>437</v>
      </c>
      <c r="I594" s="0" t="s">
        <v>437</v>
      </c>
      <c r="J594" s="0" t="s">
        <v>437</v>
      </c>
      <c r="K594" s="0" t="s">
        <v>437</v>
      </c>
      <c r="L594" s="0" t="s">
        <v>437</v>
      </c>
      <c r="M594" s="0" t="s">
        <v>457</v>
      </c>
      <c r="R594" s="0" t="s">
        <v>95</v>
      </c>
    </row>
    <row r="595" customFormat="false" ht="15" hidden="false" customHeight="false" outlineLevel="0" collapsed="false">
      <c r="A595" s="0" t="s">
        <v>136</v>
      </c>
      <c r="B595" s="0" t="n">
        <v>2020</v>
      </c>
      <c r="C595" s="0" t="s">
        <v>78</v>
      </c>
      <c r="D595" s="0" t="s">
        <v>90</v>
      </c>
      <c r="E595" s="0" t="n">
        <v>1</v>
      </c>
      <c r="F595" s="0" t="s">
        <v>17</v>
      </c>
      <c r="G595" s="0" t="n">
        <v>4.27015216839509</v>
      </c>
      <c r="H595" s="0" t="s">
        <v>437</v>
      </c>
      <c r="I595" s="0" t="s">
        <v>437</v>
      </c>
      <c r="J595" s="0" t="s">
        <v>437</v>
      </c>
      <c r="K595" s="0" t="s">
        <v>437</v>
      </c>
      <c r="L595" s="0" t="s">
        <v>437</v>
      </c>
      <c r="M595" s="0" t="s">
        <v>457</v>
      </c>
      <c r="R595" s="0" t="s">
        <v>95</v>
      </c>
    </row>
    <row r="596" customFormat="false" ht="15" hidden="false" customHeight="false" outlineLevel="0" collapsed="false">
      <c r="A596" s="0" t="s">
        <v>136</v>
      </c>
      <c r="B596" s="0" t="n">
        <v>2020</v>
      </c>
      <c r="C596" s="0" t="s">
        <v>78</v>
      </c>
      <c r="D596" s="0" t="s">
        <v>90</v>
      </c>
      <c r="E596" s="0" t="n">
        <v>1</v>
      </c>
      <c r="F596" s="0" t="s">
        <v>29</v>
      </c>
      <c r="G596" s="0" t="n">
        <v>0.294895196076444</v>
      </c>
      <c r="H596" s="0" t="s">
        <v>437</v>
      </c>
      <c r="I596" s="0" t="s">
        <v>437</v>
      </c>
      <c r="J596" s="0" t="s">
        <v>437</v>
      </c>
      <c r="K596" s="0" t="s">
        <v>437</v>
      </c>
      <c r="L596" s="0" t="s">
        <v>437</v>
      </c>
      <c r="M596" s="0" t="s">
        <v>457</v>
      </c>
      <c r="R596" s="0" t="s">
        <v>95</v>
      </c>
    </row>
    <row r="597" customFormat="false" ht="15" hidden="false" customHeight="false" outlineLevel="0" collapsed="false">
      <c r="A597" s="0" t="s">
        <v>136</v>
      </c>
      <c r="B597" s="0" t="n">
        <v>2020</v>
      </c>
      <c r="C597" s="0" t="s">
        <v>78</v>
      </c>
      <c r="D597" s="0" t="s">
        <v>90</v>
      </c>
      <c r="E597" s="0" t="n">
        <v>1</v>
      </c>
      <c r="F597" s="0" t="s">
        <v>37</v>
      </c>
      <c r="H597" s="0" t="s">
        <v>457</v>
      </c>
      <c r="I597" s="0" t="s">
        <v>457</v>
      </c>
      <c r="J597" s="0" t="s">
        <v>457</v>
      </c>
      <c r="K597" s="0" t="s">
        <v>457</v>
      </c>
      <c r="L597" s="0" t="s">
        <v>457</v>
      </c>
      <c r="M597" s="0" t="s">
        <v>457</v>
      </c>
      <c r="R597" s="0" t="s">
        <v>95</v>
      </c>
    </row>
    <row r="598" customFormat="false" ht="15" hidden="false" customHeight="false" outlineLevel="0" collapsed="false">
      <c r="A598" s="0" t="s">
        <v>136</v>
      </c>
      <c r="B598" s="0" t="n">
        <v>2020</v>
      </c>
      <c r="C598" s="0" t="s">
        <v>78</v>
      </c>
      <c r="D598" s="0" t="s">
        <v>90</v>
      </c>
      <c r="E598" s="0" t="n">
        <v>1</v>
      </c>
      <c r="F598" s="0" t="s">
        <v>23</v>
      </c>
      <c r="H598" s="0" t="s">
        <v>457</v>
      </c>
      <c r="I598" s="0" t="s">
        <v>457</v>
      </c>
      <c r="J598" s="0" t="s">
        <v>457</v>
      </c>
      <c r="K598" s="0" t="s">
        <v>457</v>
      </c>
      <c r="L598" s="0" t="s">
        <v>457</v>
      </c>
      <c r="M598" s="0" t="s">
        <v>457</v>
      </c>
      <c r="R598" s="0" t="s">
        <v>95</v>
      </c>
    </row>
    <row r="599" customFormat="false" ht="15" hidden="false" customHeight="false" outlineLevel="0" collapsed="false">
      <c r="A599" s="0" t="s">
        <v>136</v>
      </c>
      <c r="B599" s="0" t="n">
        <v>2020</v>
      </c>
      <c r="C599" s="0" t="s">
        <v>78</v>
      </c>
      <c r="D599" s="0" t="s">
        <v>90</v>
      </c>
      <c r="E599" s="0" t="n">
        <v>1</v>
      </c>
      <c r="F599" s="0" t="s">
        <v>45</v>
      </c>
      <c r="H599" s="0" t="s">
        <v>457</v>
      </c>
      <c r="I599" s="0" t="s">
        <v>457</v>
      </c>
      <c r="J599" s="0" t="s">
        <v>457</v>
      </c>
      <c r="K599" s="0" t="s">
        <v>457</v>
      </c>
      <c r="L599" s="0" t="s">
        <v>457</v>
      </c>
      <c r="M599" s="0" t="s">
        <v>457</v>
      </c>
      <c r="R599" s="0" t="s">
        <v>95</v>
      </c>
    </row>
    <row r="600" customFormat="false" ht="15" hidden="false" customHeight="false" outlineLevel="0" collapsed="false">
      <c r="A600" s="0" t="s">
        <v>136</v>
      </c>
      <c r="B600" s="0" t="n">
        <v>2020</v>
      </c>
      <c r="C600" s="0" t="s">
        <v>78</v>
      </c>
      <c r="D600" s="0" t="s">
        <v>90</v>
      </c>
      <c r="E600" s="0" t="n">
        <v>1</v>
      </c>
      <c r="F600" s="0" t="s">
        <v>71</v>
      </c>
      <c r="H600" s="0" t="s">
        <v>457</v>
      </c>
      <c r="I600" s="0" t="s">
        <v>457</v>
      </c>
      <c r="J600" s="0" t="s">
        <v>457</v>
      </c>
      <c r="K600" s="0" t="s">
        <v>457</v>
      </c>
      <c r="L600" s="0" t="s">
        <v>457</v>
      </c>
      <c r="M600" s="0" t="s">
        <v>457</v>
      </c>
      <c r="R600" s="0" t="s">
        <v>95</v>
      </c>
    </row>
    <row r="601" customFormat="false" ht="15" hidden="false" customHeight="false" outlineLevel="0" collapsed="false">
      <c r="A601" s="0" t="s">
        <v>136</v>
      </c>
      <c r="B601" s="0" t="n">
        <v>2020</v>
      </c>
      <c r="C601" s="0" t="s">
        <v>78</v>
      </c>
      <c r="D601" s="0" t="s">
        <v>90</v>
      </c>
      <c r="E601" s="0" t="n">
        <v>1</v>
      </c>
      <c r="F601" s="0" t="s">
        <v>31</v>
      </c>
      <c r="G601" s="0" t="n">
        <v>82.7060942018373</v>
      </c>
      <c r="H601" s="0" t="s">
        <v>437</v>
      </c>
      <c r="I601" s="0" t="s">
        <v>437</v>
      </c>
      <c r="J601" s="0" t="s">
        <v>437</v>
      </c>
      <c r="K601" s="0" t="s">
        <v>437</v>
      </c>
      <c r="L601" s="0" t="s">
        <v>437</v>
      </c>
      <c r="M601" s="0" t="s">
        <v>457</v>
      </c>
      <c r="R601" s="0" t="s">
        <v>95</v>
      </c>
    </row>
    <row r="602" customFormat="false" ht="15" hidden="false" customHeight="false" outlineLevel="0" collapsed="false">
      <c r="A602" s="0" t="s">
        <v>136</v>
      </c>
      <c r="B602" s="0" t="n">
        <v>2021</v>
      </c>
      <c r="C602" s="0" t="s">
        <v>78</v>
      </c>
      <c r="D602" s="0" t="s">
        <v>90</v>
      </c>
      <c r="E602" s="0" t="n">
        <v>1</v>
      </c>
      <c r="F602" s="0" t="s">
        <v>73</v>
      </c>
      <c r="H602" s="0" t="s">
        <v>457</v>
      </c>
      <c r="I602" s="0" t="s">
        <v>457</v>
      </c>
      <c r="J602" s="0" t="s">
        <v>457</v>
      </c>
      <c r="K602" s="0" t="s">
        <v>457</v>
      </c>
      <c r="L602" s="0" t="s">
        <v>457</v>
      </c>
      <c r="M602" s="0" t="s">
        <v>457</v>
      </c>
      <c r="R602" s="0" t="s">
        <v>146</v>
      </c>
    </row>
    <row r="603" customFormat="false" ht="15" hidden="false" customHeight="false" outlineLevel="0" collapsed="false">
      <c r="A603" s="0" t="s">
        <v>136</v>
      </c>
      <c r="B603" s="0" t="n">
        <v>2021</v>
      </c>
      <c r="C603" s="0" t="s">
        <v>78</v>
      </c>
      <c r="D603" s="0" t="s">
        <v>90</v>
      </c>
      <c r="E603" s="0" t="n">
        <v>1</v>
      </c>
      <c r="F603" s="0" t="s">
        <v>69</v>
      </c>
      <c r="H603" s="0" t="s">
        <v>457</v>
      </c>
      <c r="I603" s="0" t="s">
        <v>457</v>
      </c>
      <c r="J603" s="0" t="s">
        <v>457</v>
      </c>
      <c r="K603" s="0" t="s">
        <v>457</v>
      </c>
      <c r="L603" s="0" t="s">
        <v>457</v>
      </c>
      <c r="M603" s="0" t="s">
        <v>457</v>
      </c>
      <c r="R603" s="0" t="s">
        <v>146</v>
      </c>
    </row>
    <row r="604" customFormat="false" ht="15" hidden="false" customHeight="false" outlineLevel="0" collapsed="false">
      <c r="A604" s="0" t="s">
        <v>136</v>
      </c>
      <c r="B604" s="0" t="n">
        <v>2021</v>
      </c>
      <c r="C604" s="0" t="s">
        <v>78</v>
      </c>
      <c r="D604" s="0" t="s">
        <v>90</v>
      </c>
      <c r="E604" s="0" t="n">
        <v>1</v>
      </c>
      <c r="F604" s="0" t="s">
        <v>25</v>
      </c>
      <c r="H604" s="0" t="s">
        <v>457</v>
      </c>
      <c r="I604" s="0" t="s">
        <v>457</v>
      </c>
      <c r="J604" s="0" t="s">
        <v>457</v>
      </c>
      <c r="K604" s="0" t="s">
        <v>457</v>
      </c>
      <c r="L604" s="0" t="s">
        <v>457</v>
      </c>
      <c r="M604" s="0" t="s">
        <v>457</v>
      </c>
      <c r="R604" s="0" t="s">
        <v>146</v>
      </c>
    </row>
    <row r="605" customFormat="false" ht="15" hidden="false" customHeight="false" outlineLevel="0" collapsed="false">
      <c r="A605" s="0" t="s">
        <v>136</v>
      </c>
      <c r="B605" s="0" t="n">
        <v>2021</v>
      </c>
      <c r="C605" s="0" t="s">
        <v>78</v>
      </c>
      <c r="D605" s="0" t="s">
        <v>90</v>
      </c>
      <c r="E605" s="0" t="n">
        <v>1</v>
      </c>
      <c r="F605" s="0" t="s">
        <v>41</v>
      </c>
      <c r="G605" s="0" t="n">
        <v>3.47289266421451</v>
      </c>
      <c r="H605" s="0" t="s">
        <v>437</v>
      </c>
      <c r="I605" s="0" t="s">
        <v>437</v>
      </c>
      <c r="J605" s="0" t="s">
        <v>437</v>
      </c>
      <c r="K605" s="0" t="s">
        <v>437</v>
      </c>
      <c r="L605" s="0" t="s">
        <v>437</v>
      </c>
      <c r="M605" s="0" t="s">
        <v>457</v>
      </c>
      <c r="R605" s="0" t="s">
        <v>146</v>
      </c>
    </row>
    <row r="606" customFormat="false" ht="15" hidden="false" customHeight="false" outlineLevel="0" collapsed="false">
      <c r="A606" s="0" t="s">
        <v>136</v>
      </c>
      <c r="B606" s="0" t="n">
        <v>2021</v>
      </c>
      <c r="C606" s="0" t="s">
        <v>78</v>
      </c>
      <c r="D606" s="0" t="s">
        <v>90</v>
      </c>
      <c r="E606" s="0" t="n">
        <v>1</v>
      </c>
      <c r="F606" s="0" t="s">
        <v>27</v>
      </c>
      <c r="G606" s="0" t="n">
        <v>17.1409204390044</v>
      </c>
      <c r="H606" s="0" t="s">
        <v>437</v>
      </c>
      <c r="I606" s="0" t="s">
        <v>437</v>
      </c>
      <c r="J606" s="0" t="s">
        <v>437</v>
      </c>
      <c r="K606" s="0" t="s">
        <v>437</v>
      </c>
      <c r="L606" s="0" t="s">
        <v>437</v>
      </c>
      <c r="M606" s="0" t="s">
        <v>457</v>
      </c>
      <c r="R606" s="0" t="s">
        <v>146</v>
      </c>
    </row>
    <row r="607" customFormat="false" ht="15" hidden="false" customHeight="false" outlineLevel="0" collapsed="false">
      <c r="A607" s="0" t="s">
        <v>136</v>
      </c>
      <c r="B607" s="0" t="n">
        <v>2021</v>
      </c>
      <c r="C607" s="0" t="s">
        <v>78</v>
      </c>
      <c r="D607" s="0" t="s">
        <v>90</v>
      </c>
      <c r="E607" s="0" t="n">
        <v>1</v>
      </c>
      <c r="F607" s="0" t="s">
        <v>39</v>
      </c>
      <c r="G607" s="0" t="n">
        <v>8.66347793233556</v>
      </c>
      <c r="H607" s="0" t="s">
        <v>437</v>
      </c>
      <c r="I607" s="0" t="s">
        <v>437</v>
      </c>
      <c r="J607" s="0" t="s">
        <v>437</v>
      </c>
      <c r="K607" s="0" t="s">
        <v>437</v>
      </c>
      <c r="L607" s="0" t="s">
        <v>437</v>
      </c>
      <c r="M607" s="0" t="s">
        <v>457</v>
      </c>
      <c r="R607" s="0" t="s">
        <v>146</v>
      </c>
    </row>
    <row r="608" customFormat="false" ht="15" hidden="false" customHeight="false" outlineLevel="0" collapsed="false">
      <c r="A608" s="0" t="s">
        <v>136</v>
      </c>
      <c r="B608" s="0" t="n">
        <v>2021</v>
      </c>
      <c r="C608" s="0" t="s">
        <v>78</v>
      </c>
      <c r="D608" s="0" t="s">
        <v>90</v>
      </c>
      <c r="E608" s="0" t="n">
        <v>1</v>
      </c>
      <c r="F608" s="0" t="s">
        <v>17</v>
      </c>
      <c r="H608" s="0" t="s">
        <v>457</v>
      </c>
      <c r="I608" s="0" t="s">
        <v>457</v>
      </c>
      <c r="J608" s="0" t="s">
        <v>457</v>
      </c>
      <c r="K608" s="0" t="s">
        <v>457</v>
      </c>
      <c r="L608" s="0" t="s">
        <v>457</v>
      </c>
      <c r="M608" s="0" t="s">
        <v>457</v>
      </c>
      <c r="R608" s="0" t="s">
        <v>146</v>
      </c>
    </row>
    <row r="609" customFormat="false" ht="15" hidden="false" customHeight="false" outlineLevel="0" collapsed="false">
      <c r="A609" s="0" t="s">
        <v>136</v>
      </c>
      <c r="B609" s="0" t="n">
        <v>2021</v>
      </c>
      <c r="C609" s="0" t="s">
        <v>78</v>
      </c>
      <c r="D609" s="0" t="s">
        <v>90</v>
      </c>
      <c r="E609" s="0" t="n">
        <v>1</v>
      </c>
      <c r="F609" s="0" t="s">
        <v>29</v>
      </c>
      <c r="H609" s="0" t="s">
        <v>457</v>
      </c>
      <c r="I609" s="0" t="s">
        <v>457</v>
      </c>
      <c r="J609" s="0" t="s">
        <v>457</v>
      </c>
      <c r="K609" s="0" t="s">
        <v>457</v>
      </c>
      <c r="L609" s="0" t="s">
        <v>457</v>
      </c>
      <c r="M609" s="0" t="s">
        <v>457</v>
      </c>
      <c r="R609" s="0" t="s">
        <v>146</v>
      </c>
    </row>
    <row r="610" customFormat="false" ht="15" hidden="false" customHeight="false" outlineLevel="0" collapsed="false">
      <c r="A610" s="0" t="s">
        <v>136</v>
      </c>
      <c r="B610" s="0" t="n">
        <v>2021</v>
      </c>
      <c r="C610" s="0" t="s">
        <v>78</v>
      </c>
      <c r="D610" s="0" t="s">
        <v>90</v>
      </c>
      <c r="E610" s="0" t="n">
        <v>1</v>
      </c>
      <c r="F610" s="0" t="s">
        <v>37</v>
      </c>
      <c r="H610" s="0" t="s">
        <v>457</v>
      </c>
      <c r="I610" s="0" t="s">
        <v>457</v>
      </c>
      <c r="J610" s="0" t="s">
        <v>457</v>
      </c>
      <c r="K610" s="0" t="s">
        <v>457</v>
      </c>
      <c r="L610" s="0" t="s">
        <v>457</v>
      </c>
      <c r="M610" s="0" t="s">
        <v>457</v>
      </c>
      <c r="R610" s="0" t="s">
        <v>146</v>
      </c>
    </row>
    <row r="611" customFormat="false" ht="15" hidden="false" customHeight="false" outlineLevel="0" collapsed="false">
      <c r="A611" s="0" t="s">
        <v>136</v>
      </c>
      <c r="B611" s="0" t="n">
        <v>2021</v>
      </c>
      <c r="C611" s="0" t="s">
        <v>78</v>
      </c>
      <c r="D611" s="0" t="s">
        <v>90</v>
      </c>
      <c r="E611" s="0" t="n">
        <v>1</v>
      </c>
      <c r="F611" s="0" t="s">
        <v>23</v>
      </c>
      <c r="H611" s="0" t="s">
        <v>457</v>
      </c>
      <c r="I611" s="0" t="s">
        <v>457</v>
      </c>
      <c r="J611" s="0" t="s">
        <v>457</v>
      </c>
      <c r="K611" s="0" t="s">
        <v>457</v>
      </c>
      <c r="L611" s="0" t="s">
        <v>457</v>
      </c>
      <c r="M611" s="0" t="s">
        <v>457</v>
      </c>
      <c r="R611" s="0" t="s">
        <v>146</v>
      </c>
    </row>
    <row r="612" customFormat="false" ht="15" hidden="false" customHeight="false" outlineLevel="0" collapsed="false">
      <c r="A612" s="0" t="s">
        <v>136</v>
      </c>
      <c r="B612" s="0" t="n">
        <v>2021</v>
      </c>
      <c r="C612" s="0" t="s">
        <v>78</v>
      </c>
      <c r="D612" s="0" t="s">
        <v>90</v>
      </c>
      <c r="E612" s="0" t="n">
        <v>1</v>
      </c>
      <c r="F612" s="0" t="s">
        <v>45</v>
      </c>
      <c r="H612" s="0" t="s">
        <v>457</v>
      </c>
      <c r="I612" s="0" t="s">
        <v>457</v>
      </c>
      <c r="J612" s="0" t="s">
        <v>457</v>
      </c>
      <c r="K612" s="0" t="s">
        <v>457</v>
      </c>
      <c r="L612" s="0" t="s">
        <v>457</v>
      </c>
      <c r="M612" s="0" t="s">
        <v>457</v>
      </c>
      <c r="R612" s="0" t="s">
        <v>146</v>
      </c>
    </row>
    <row r="613" customFormat="false" ht="15" hidden="false" customHeight="false" outlineLevel="0" collapsed="false">
      <c r="A613" s="0" t="s">
        <v>136</v>
      </c>
      <c r="B613" s="0" t="n">
        <v>2021</v>
      </c>
      <c r="C613" s="0" t="s">
        <v>78</v>
      </c>
      <c r="D613" s="0" t="s">
        <v>90</v>
      </c>
      <c r="E613" s="0" t="n">
        <v>1</v>
      </c>
      <c r="F613" s="0" t="s">
        <v>71</v>
      </c>
      <c r="H613" s="0" t="s">
        <v>457</v>
      </c>
      <c r="I613" s="0" t="s">
        <v>457</v>
      </c>
      <c r="J613" s="0" t="s">
        <v>457</v>
      </c>
      <c r="K613" s="0" t="s">
        <v>457</v>
      </c>
      <c r="L613" s="0" t="s">
        <v>457</v>
      </c>
      <c r="M613" s="0" t="s">
        <v>457</v>
      </c>
      <c r="R613" s="0" t="s">
        <v>146</v>
      </c>
    </row>
    <row r="614" customFormat="false" ht="15" hidden="false" customHeight="false" outlineLevel="0" collapsed="false">
      <c r="A614" s="0" t="s">
        <v>136</v>
      </c>
      <c r="B614" s="0" t="n">
        <v>2021</v>
      </c>
      <c r="C614" s="0" t="s">
        <v>78</v>
      </c>
      <c r="D614" s="0" t="s">
        <v>90</v>
      </c>
      <c r="E614" s="0" t="n">
        <v>1</v>
      </c>
      <c r="F614" s="0" t="s">
        <v>31</v>
      </c>
      <c r="G614" s="0" t="n">
        <v>82.8590795609956</v>
      </c>
      <c r="H614" s="0" t="s">
        <v>437</v>
      </c>
      <c r="I614" s="0" t="s">
        <v>437</v>
      </c>
      <c r="J614" s="0" t="s">
        <v>437</v>
      </c>
      <c r="K614" s="0" t="s">
        <v>437</v>
      </c>
      <c r="L614" s="0" t="s">
        <v>437</v>
      </c>
      <c r="M614" s="0" t="s">
        <v>457</v>
      </c>
      <c r="R614" s="0" t="s">
        <v>146</v>
      </c>
    </row>
    <row r="615" customFormat="false" ht="15" hidden="false" customHeight="false" outlineLevel="0" collapsed="false">
      <c r="A615" s="0" t="s">
        <v>136</v>
      </c>
      <c r="B615" s="0" t="n">
        <v>2022</v>
      </c>
      <c r="C615" s="0" t="s">
        <v>78</v>
      </c>
      <c r="D615" s="0" t="s">
        <v>90</v>
      </c>
      <c r="E615" s="0" t="n">
        <v>1</v>
      </c>
      <c r="F615" s="0" t="s">
        <v>73</v>
      </c>
      <c r="H615" s="0" t="s">
        <v>457</v>
      </c>
      <c r="I615" s="0" t="s">
        <v>457</v>
      </c>
      <c r="J615" s="0" t="s">
        <v>457</v>
      </c>
      <c r="K615" s="0" t="s">
        <v>457</v>
      </c>
      <c r="L615" s="0" t="s">
        <v>457</v>
      </c>
      <c r="M615" s="0" t="s">
        <v>457</v>
      </c>
      <c r="R615" s="0" t="s">
        <v>148</v>
      </c>
    </row>
    <row r="616" customFormat="false" ht="15" hidden="false" customHeight="false" outlineLevel="0" collapsed="false">
      <c r="A616" s="0" t="s">
        <v>136</v>
      </c>
      <c r="B616" s="0" t="n">
        <v>2022</v>
      </c>
      <c r="C616" s="0" t="s">
        <v>78</v>
      </c>
      <c r="D616" s="0" t="s">
        <v>90</v>
      </c>
      <c r="E616" s="0" t="n">
        <v>1</v>
      </c>
      <c r="F616" s="0" t="s">
        <v>69</v>
      </c>
      <c r="H616" s="0" t="s">
        <v>457</v>
      </c>
      <c r="I616" s="0" t="s">
        <v>457</v>
      </c>
      <c r="J616" s="0" t="s">
        <v>457</v>
      </c>
      <c r="K616" s="0" t="s">
        <v>457</v>
      </c>
      <c r="L616" s="0" t="s">
        <v>457</v>
      </c>
      <c r="M616" s="0" t="s">
        <v>457</v>
      </c>
      <c r="R616" s="0" t="s">
        <v>148</v>
      </c>
    </row>
    <row r="617" customFormat="false" ht="15" hidden="false" customHeight="false" outlineLevel="0" collapsed="false">
      <c r="A617" s="0" t="s">
        <v>136</v>
      </c>
      <c r="B617" s="0" t="n">
        <v>2022</v>
      </c>
      <c r="C617" s="0" t="s">
        <v>78</v>
      </c>
      <c r="D617" s="0" t="s">
        <v>90</v>
      </c>
      <c r="E617" s="0" t="n">
        <v>1</v>
      </c>
      <c r="F617" s="0" t="s">
        <v>25</v>
      </c>
      <c r="H617" s="0" t="s">
        <v>457</v>
      </c>
      <c r="I617" s="0" t="s">
        <v>457</v>
      </c>
      <c r="J617" s="0" t="s">
        <v>457</v>
      </c>
      <c r="K617" s="0" t="s">
        <v>457</v>
      </c>
      <c r="L617" s="0" t="s">
        <v>457</v>
      </c>
      <c r="M617" s="0" t="s">
        <v>457</v>
      </c>
      <c r="R617" s="0" t="s">
        <v>148</v>
      </c>
    </row>
    <row r="618" customFormat="false" ht="15" hidden="false" customHeight="false" outlineLevel="0" collapsed="false">
      <c r="A618" s="0" t="s">
        <v>136</v>
      </c>
      <c r="B618" s="0" t="n">
        <v>2022</v>
      </c>
      <c r="C618" s="0" t="s">
        <v>78</v>
      </c>
      <c r="D618" s="0" t="s">
        <v>90</v>
      </c>
      <c r="E618" s="0" t="n">
        <v>1</v>
      </c>
      <c r="F618" s="0" t="s">
        <v>41</v>
      </c>
      <c r="G618" s="0" t="n">
        <v>3.03788700357325</v>
      </c>
      <c r="H618" s="0" t="s">
        <v>437</v>
      </c>
      <c r="I618" s="0" t="s">
        <v>437</v>
      </c>
      <c r="J618" s="0" t="s">
        <v>437</v>
      </c>
      <c r="K618" s="0" t="s">
        <v>437</v>
      </c>
      <c r="L618" s="0" t="s">
        <v>437</v>
      </c>
      <c r="M618" s="0" t="s">
        <v>457</v>
      </c>
      <c r="R618" s="0" t="s">
        <v>148</v>
      </c>
    </row>
    <row r="619" customFormat="false" ht="15" hidden="false" customHeight="false" outlineLevel="0" collapsed="false">
      <c r="A619" s="0" t="s">
        <v>136</v>
      </c>
      <c r="B619" s="0" t="n">
        <v>2022</v>
      </c>
      <c r="C619" s="0" t="s">
        <v>78</v>
      </c>
      <c r="D619" s="0" t="s">
        <v>90</v>
      </c>
      <c r="E619" s="0" t="n">
        <v>1</v>
      </c>
      <c r="F619" s="0" t="s">
        <v>27</v>
      </c>
      <c r="G619" s="0" t="n">
        <v>15.2815694674423</v>
      </c>
      <c r="H619" s="0" t="s">
        <v>437</v>
      </c>
      <c r="I619" s="0" t="s">
        <v>437</v>
      </c>
      <c r="J619" s="0" t="s">
        <v>437</v>
      </c>
      <c r="K619" s="0" t="s">
        <v>437</v>
      </c>
      <c r="L619" s="0" t="s">
        <v>437</v>
      </c>
      <c r="M619" s="0" t="s">
        <v>457</v>
      </c>
      <c r="R619" s="0" t="s">
        <v>148</v>
      </c>
    </row>
    <row r="620" customFormat="false" ht="15" hidden="false" customHeight="false" outlineLevel="0" collapsed="false">
      <c r="A620" s="0" t="s">
        <v>136</v>
      </c>
      <c r="B620" s="0" t="n">
        <v>2022</v>
      </c>
      <c r="C620" s="0" t="s">
        <v>78</v>
      </c>
      <c r="D620" s="0" t="s">
        <v>90</v>
      </c>
      <c r="E620" s="0" t="n">
        <v>1</v>
      </c>
      <c r="F620" s="0" t="s">
        <v>39</v>
      </c>
      <c r="G620" s="0" t="n">
        <v>14.0369816314088</v>
      </c>
      <c r="H620" s="0" t="s">
        <v>437</v>
      </c>
      <c r="I620" s="0" t="s">
        <v>437</v>
      </c>
      <c r="J620" s="0" t="s">
        <v>437</v>
      </c>
      <c r="K620" s="0" t="s">
        <v>437</v>
      </c>
      <c r="L620" s="0" t="s">
        <v>437</v>
      </c>
      <c r="M620" s="0" t="s">
        <v>457</v>
      </c>
      <c r="R620" s="0" t="s">
        <v>148</v>
      </c>
    </row>
    <row r="621" customFormat="false" ht="15" hidden="false" customHeight="false" outlineLevel="0" collapsed="false">
      <c r="A621" s="0" t="s">
        <v>136</v>
      </c>
      <c r="B621" s="0" t="n">
        <v>2022</v>
      </c>
      <c r="C621" s="0" t="s">
        <v>78</v>
      </c>
      <c r="D621" s="0" t="s">
        <v>90</v>
      </c>
      <c r="E621" s="0" t="n">
        <v>1</v>
      </c>
      <c r="F621" s="0" t="s">
        <v>17</v>
      </c>
      <c r="H621" s="0" t="s">
        <v>457</v>
      </c>
      <c r="I621" s="0" t="s">
        <v>457</v>
      </c>
      <c r="J621" s="0" t="s">
        <v>457</v>
      </c>
      <c r="K621" s="0" t="s">
        <v>457</v>
      </c>
      <c r="L621" s="0" t="s">
        <v>457</v>
      </c>
      <c r="M621" s="0" t="s">
        <v>457</v>
      </c>
      <c r="R621" s="0" t="s">
        <v>148</v>
      </c>
    </row>
    <row r="622" customFormat="false" ht="15" hidden="false" customHeight="false" outlineLevel="0" collapsed="false">
      <c r="A622" s="0" t="s">
        <v>136</v>
      </c>
      <c r="B622" s="0" t="n">
        <v>2022</v>
      </c>
      <c r="C622" s="0" t="s">
        <v>78</v>
      </c>
      <c r="D622" s="0" t="s">
        <v>90</v>
      </c>
      <c r="E622" s="0" t="n">
        <v>1</v>
      </c>
      <c r="F622" s="0" t="s">
        <v>29</v>
      </c>
      <c r="H622" s="0" t="s">
        <v>457</v>
      </c>
      <c r="I622" s="0" t="s">
        <v>457</v>
      </c>
      <c r="J622" s="0" t="s">
        <v>457</v>
      </c>
      <c r="K622" s="0" t="s">
        <v>457</v>
      </c>
      <c r="L622" s="0" t="s">
        <v>457</v>
      </c>
      <c r="M622" s="0" t="s">
        <v>457</v>
      </c>
      <c r="R622" s="0" t="s">
        <v>148</v>
      </c>
    </row>
    <row r="623" customFormat="false" ht="15" hidden="false" customHeight="false" outlineLevel="0" collapsed="false">
      <c r="A623" s="0" t="s">
        <v>136</v>
      </c>
      <c r="B623" s="0" t="n">
        <v>2022</v>
      </c>
      <c r="C623" s="0" t="s">
        <v>78</v>
      </c>
      <c r="D623" s="0" t="s">
        <v>90</v>
      </c>
      <c r="E623" s="0" t="n">
        <v>1</v>
      </c>
      <c r="F623" s="0" t="s">
        <v>37</v>
      </c>
      <c r="H623" s="0" t="s">
        <v>457</v>
      </c>
      <c r="I623" s="0" t="s">
        <v>457</v>
      </c>
      <c r="J623" s="0" t="s">
        <v>457</v>
      </c>
      <c r="K623" s="0" t="s">
        <v>457</v>
      </c>
      <c r="L623" s="0" t="s">
        <v>457</v>
      </c>
      <c r="M623" s="0" t="s">
        <v>457</v>
      </c>
      <c r="R623" s="0" t="s">
        <v>148</v>
      </c>
    </row>
    <row r="624" customFormat="false" ht="15" hidden="false" customHeight="false" outlineLevel="0" collapsed="false">
      <c r="A624" s="0" t="s">
        <v>136</v>
      </c>
      <c r="B624" s="0" t="n">
        <v>2022</v>
      </c>
      <c r="C624" s="0" t="s">
        <v>78</v>
      </c>
      <c r="D624" s="0" t="s">
        <v>90</v>
      </c>
      <c r="E624" s="0" t="n">
        <v>1</v>
      </c>
      <c r="F624" s="0" t="s">
        <v>23</v>
      </c>
      <c r="H624" s="0" t="s">
        <v>457</v>
      </c>
      <c r="I624" s="0" t="s">
        <v>457</v>
      </c>
      <c r="J624" s="0" t="s">
        <v>457</v>
      </c>
      <c r="K624" s="0" t="s">
        <v>457</v>
      </c>
      <c r="L624" s="0" t="s">
        <v>457</v>
      </c>
      <c r="M624" s="0" t="s">
        <v>457</v>
      </c>
      <c r="R624" s="0" t="s">
        <v>148</v>
      </c>
    </row>
    <row r="625" customFormat="false" ht="15" hidden="false" customHeight="false" outlineLevel="0" collapsed="false">
      <c r="A625" s="0" t="s">
        <v>136</v>
      </c>
      <c r="B625" s="0" t="n">
        <v>2022</v>
      </c>
      <c r="C625" s="0" t="s">
        <v>78</v>
      </c>
      <c r="D625" s="0" t="s">
        <v>90</v>
      </c>
      <c r="E625" s="0" t="n">
        <v>1</v>
      </c>
      <c r="F625" s="0" t="s">
        <v>45</v>
      </c>
      <c r="H625" s="0" t="s">
        <v>457</v>
      </c>
      <c r="I625" s="0" t="s">
        <v>457</v>
      </c>
      <c r="J625" s="0" t="s">
        <v>457</v>
      </c>
      <c r="K625" s="0" t="s">
        <v>457</v>
      </c>
      <c r="L625" s="0" t="s">
        <v>457</v>
      </c>
      <c r="M625" s="0" t="s">
        <v>457</v>
      </c>
      <c r="R625" s="0" t="s">
        <v>148</v>
      </c>
    </row>
    <row r="626" customFormat="false" ht="15" hidden="false" customHeight="false" outlineLevel="0" collapsed="false">
      <c r="A626" s="0" t="s">
        <v>136</v>
      </c>
      <c r="B626" s="0" t="n">
        <v>2022</v>
      </c>
      <c r="C626" s="0" t="s">
        <v>78</v>
      </c>
      <c r="D626" s="0" t="s">
        <v>90</v>
      </c>
      <c r="E626" s="0" t="n">
        <v>1</v>
      </c>
      <c r="F626" s="0" t="s">
        <v>71</v>
      </c>
      <c r="H626" s="0" t="s">
        <v>457</v>
      </c>
      <c r="I626" s="0" t="s">
        <v>457</v>
      </c>
      <c r="J626" s="0" t="s">
        <v>457</v>
      </c>
      <c r="K626" s="0" t="s">
        <v>457</v>
      </c>
      <c r="L626" s="0" t="s">
        <v>457</v>
      </c>
      <c r="M626" s="0" t="s">
        <v>457</v>
      </c>
      <c r="R626" s="0" t="s">
        <v>148</v>
      </c>
    </row>
    <row r="627" customFormat="false" ht="15" hidden="false" customHeight="false" outlineLevel="0" collapsed="false">
      <c r="A627" s="0" t="s">
        <v>136</v>
      </c>
      <c r="B627" s="0" t="n">
        <v>2022</v>
      </c>
      <c r="C627" s="0" t="s">
        <v>78</v>
      </c>
      <c r="D627" s="0" t="s">
        <v>90</v>
      </c>
      <c r="E627" s="0" t="n">
        <v>1</v>
      </c>
      <c r="F627" s="0" t="s">
        <v>31</v>
      </c>
      <c r="G627" s="0" t="n">
        <v>84.7184305325577</v>
      </c>
      <c r="H627" s="0" t="s">
        <v>437</v>
      </c>
      <c r="I627" s="0" t="s">
        <v>437</v>
      </c>
      <c r="J627" s="0" t="s">
        <v>437</v>
      </c>
      <c r="K627" s="0" t="s">
        <v>437</v>
      </c>
      <c r="L627" s="0" t="s">
        <v>437</v>
      </c>
      <c r="M627" s="0" t="s">
        <v>457</v>
      </c>
      <c r="R627" s="0" t="s">
        <v>148</v>
      </c>
    </row>
    <row r="628" customFormat="false" ht="15" hidden="false" customHeight="false" outlineLevel="0" collapsed="false">
      <c r="A628" s="0" t="s">
        <v>149</v>
      </c>
      <c r="B628" s="0" t="n">
        <v>2013</v>
      </c>
      <c r="C628" s="0" t="s">
        <v>101</v>
      </c>
      <c r="D628" s="0" t="s">
        <v>79</v>
      </c>
      <c r="E628" s="0" t="n">
        <v>0</v>
      </c>
      <c r="F628" s="0" t="s">
        <v>73</v>
      </c>
      <c r="H628" s="0" t="s">
        <v>457</v>
      </c>
      <c r="I628" s="0" t="s">
        <v>457</v>
      </c>
      <c r="J628" s="0" t="s">
        <v>457</v>
      </c>
      <c r="K628" s="0" t="s">
        <v>457</v>
      </c>
      <c r="L628" s="0" t="s">
        <v>457</v>
      </c>
      <c r="M628" s="0" t="s">
        <v>457</v>
      </c>
      <c r="R628" s="0" t="s">
        <v>151</v>
      </c>
    </row>
    <row r="629" customFormat="false" ht="15" hidden="false" customHeight="false" outlineLevel="0" collapsed="false">
      <c r="A629" s="0" t="s">
        <v>149</v>
      </c>
      <c r="B629" s="0" t="n">
        <v>2013</v>
      </c>
      <c r="C629" s="0" t="s">
        <v>101</v>
      </c>
      <c r="D629" s="0" t="s">
        <v>79</v>
      </c>
      <c r="E629" s="0" t="n">
        <v>0</v>
      </c>
      <c r="F629" s="0" t="s">
        <v>69</v>
      </c>
      <c r="H629" s="0" t="s">
        <v>457</v>
      </c>
      <c r="I629" s="0" t="s">
        <v>457</v>
      </c>
      <c r="J629" s="0" t="s">
        <v>457</v>
      </c>
      <c r="K629" s="0" t="s">
        <v>457</v>
      </c>
      <c r="L629" s="0" t="s">
        <v>457</v>
      </c>
      <c r="M629" s="0" t="s">
        <v>457</v>
      </c>
      <c r="R629" s="0" t="s">
        <v>151</v>
      </c>
    </row>
    <row r="630" customFormat="false" ht="15" hidden="false" customHeight="false" outlineLevel="0" collapsed="false">
      <c r="A630" s="0" t="s">
        <v>149</v>
      </c>
      <c r="B630" s="0" t="n">
        <v>2013</v>
      </c>
      <c r="C630" s="0" t="s">
        <v>101</v>
      </c>
      <c r="D630" s="0" t="s">
        <v>79</v>
      </c>
      <c r="E630" s="0" t="n">
        <v>0</v>
      </c>
      <c r="F630" s="0" t="s">
        <v>25</v>
      </c>
      <c r="H630" s="0" t="s">
        <v>457</v>
      </c>
      <c r="I630" s="0" t="s">
        <v>457</v>
      </c>
      <c r="J630" s="0" t="s">
        <v>457</v>
      </c>
      <c r="K630" s="0" t="s">
        <v>457</v>
      </c>
      <c r="L630" s="0" t="s">
        <v>457</v>
      </c>
      <c r="M630" s="0" t="s">
        <v>457</v>
      </c>
      <c r="R630" s="0" t="s">
        <v>151</v>
      </c>
    </row>
    <row r="631" customFormat="false" ht="15" hidden="false" customHeight="false" outlineLevel="0" collapsed="false">
      <c r="A631" s="0" t="s">
        <v>149</v>
      </c>
      <c r="B631" s="0" t="n">
        <v>2013</v>
      </c>
      <c r="C631" s="0" t="s">
        <v>101</v>
      </c>
      <c r="D631" s="0" t="s">
        <v>79</v>
      </c>
      <c r="E631" s="0" t="n">
        <v>0</v>
      </c>
      <c r="F631" s="0" t="s">
        <v>41</v>
      </c>
      <c r="G631" s="0" t="n">
        <v>1.47269859040252</v>
      </c>
      <c r="H631" s="0" t="s">
        <v>437</v>
      </c>
      <c r="I631" s="0" t="s">
        <v>437</v>
      </c>
      <c r="J631" s="0" t="s">
        <v>437</v>
      </c>
      <c r="K631" s="0" t="s">
        <v>457</v>
      </c>
      <c r="L631" s="0" t="s">
        <v>437</v>
      </c>
      <c r="M631" s="0" t="s">
        <v>457</v>
      </c>
      <c r="R631" s="0" t="s">
        <v>151</v>
      </c>
    </row>
    <row r="632" customFormat="false" ht="15" hidden="false" customHeight="false" outlineLevel="0" collapsed="false">
      <c r="A632" s="0" t="s">
        <v>149</v>
      </c>
      <c r="B632" s="0" t="n">
        <v>2013</v>
      </c>
      <c r="C632" s="0" t="s">
        <v>101</v>
      </c>
      <c r="D632" s="0" t="s">
        <v>79</v>
      </c>
      <c r="E632" s="0" t="n">
        <v>0</v>
      </c>
      <c r="F632" s="0" t="s">
        <v>27</v>
      </c>
      <c r="G632" s="0" t="n">
        <v>9.73382981657703</v>
      </c>
      <c r="H632" s="0" t="s">
        <v>437</v>
      </c>
      <c r="I632" s="0" t="s">
        <v>437</v>
      </c>
      <c r="J632" s="0" t="s">
        <v>437</v>
      </c>
      <c r="K632" s="0" t="s">
        <v>457</v>
      </c>
      <c r="L632" s="0" t="s">
        <v>437</v>
      </c>
      <c r="M632" s="0" t="s">
        <v>457</v>
      </c>
      <c r="R632" s="0" t="s">
        <v>151</v>
      </c>
    </row>
    <row r="633" customFormat="false" ht="15" hidden="false" customHeight="false" outlineLevel="0" collapsed="false">
      <c r="A633" s="0" t="s">
        <v>149</v>
      </c>
      <c r="B633" s="0" t="n">
        <v>2013</v>
      </c>
      <c r="C633" s="0" t="s">
        <v>101</v>
      </c>
      <c r="D633" s="0" t="s">
        <v>79</v>
      </c>
      <c r="E633" s="0" t="n">
        <v>0</v>
      </c>
      <c r="F633" s="0" t="s">
        <v>39</v>
      </c>
      <c r="H633" s="0" t="s">
        <v>457</v>
      </c>
      <c r="I633" s="0" t="s">
        <v>457</v>
      </c>
      <c r="J633" s="0" t="s">
        <v>457</v>
      </c>
      <c r="K633" s="0" t="s">
        <v>457</v>
      </c>
      <c r="L633" s="0" t="s">
        <v>457</v>
      </c>
      <c r="M633" s="0" t="s">
        <v>457</v>
      </c>
      <c r="R633" s="0" t="s">
        <v>151</v>
      </c>
    </row>
    <row r="634" customFormat="false" ht="15" hidden="false" customHeight="false" outlineLevel="0" collapsed="false">
      <c r="A634" s="0" t="s">
        <v>149</v>
      </c>
      <c r="B634" s="0" t="n">
        <v>2013</v>
      </c>
      <c r="C634" s="0" t="s">
        <v>101</v>
      </c>
      <c r="D634" s="0" t="s">
        <v>79</v>
      </c>
      <c r="E634" s="0" t="n">
        <v>0</v>
      </c>
      <c r="F634" s="0" t="s">
        <v>17</v>
      </c>
      <c r="H634" s="0" t="s">
        <v>457</v>
      </c>
      <c r="I634" s="0" t="s">
        <v>457</v>
      </c>
      <c r="J634" s="0" t="s">
        <v>457</v>
      </c>
      <c r="K634" s="0" t="s">
        <v>457</v>
      </c>
      <c r="L634" s="0" t="s">
        <v>457</v>
      </c>
      <c r="M634" s="0" t="s">
        <v>457</v>
      </c>
      <c r="R634" s="0" t="s">
        <v>151</v>
      </c>
    </row>
    <row r="635" customFormat="false" ht="15" hidden="false" customHeight="false" outlineLevel="0" collapsed="false">
      <c r="A635" s="0" t="s">
        <v>149</v>
      </c>
      <c r="B635" s="0" t="n">
        <v>2013</v>
      </c>
      <c r="C635" s="0" t="s">
        <v>101</v>
      </c>
      <c r="D635" s="0" t="s">
        <v>79</v>
      </c>
      <c r="E635" s="0" t="n">
        <v>0</v>
      </c>
      <c r="F635" s="0" t="s">
        <v>29</v>
      </c>
      <c r="G635" s="0" t="n">
        <v>0.387766525876546</v>
      </c>
      <c r="H635" s="0" t="s">
        <v>437</v>
      </c>
      <c r="I635" s="0" t="s">
        <v>437</v>
      </c>
      <c r="J635" s="0" t="s">
        <v>437</v>
      </c>
      <c r="K635" s="0" t="s">
        <v>457</v>
      </c>
      <c r="L635" s="0" t="s">
        <v>437</v>
      </c>
      <c r="M635" s="0" t="s">
        <v>457</v>
      </c>
      <c r="R635" s="0" t="s">
        <v>151</v>
      </c>
    </row>
    <row r="636" customFormat="false" ht="15" hidden="false" customHeight="false" outlineLevel="0" collapsed="false">
      <c r="A636" s="0" t="s">
        <v>149</v>
      </c>
      <c r="B636" s="0" t="n">
        <v>2013</v>
      </c>
      <c r="C636" s="0" t="s">
        <v>101</v>
      </c>
      <c r="D636" s="0" t="s">
        <v>79</v>
      </c>
      <c r="E636" s="0" t="n">
        <v>0</v>
      </c>
      <c r="F636" s="0" t="s">
        <v>37</v>
      </c>
      <c r="H636" s="0" t="s">
        <v>457</v>
      </c>
      <c r="I636" s="0" t="s">
        <v>457</v>
      </c>
      <c r="J636" s="0" t="s">
        <v>457</v>
      </c>
      <c r="K636" s="0" t="s">
        <v>457</v>
      </c>
      <c r="L636" s="0" t="s">
        <v>457</v>
      </c>
      <c r="M636" s="0" t="s">
        <v>457</v>
      </c>
      <c r="R636" s="0" t="s">
        <v>151</v>
      </c>
    </row>
    <row r="637" customFormat="false" ht="15" hidden="false" customHeight="false" outlineLevel="0" collapsed="false">
      <c r="A637" s="0" t="s">
        <v>149</v>
      </c>
      <c r="B637" s="0" t="n">
        <v>2013</v>
      </c>
      <c r="C637" s="0" t="s">
        <v>101</v>
      </c>
      <c r="D637" s="0" t="s">
        <v>79</v>
      </c>
      <c r="E637" s="0" t="n">
        <v>0</v>
      </c>
      <c r="F637" s="0" t="s">
        <v>23</v>
      </c>
      <c r="H637" s="0" t="s">
        <v>457</v>
      </c>
      <c r="I637" s="0" t="s">
        <v>457</v>
      </c>
      <c r="J637" s="0" t="s">
        <v>457</v>
      </c>
      <c r="K637" s="0" t="s">
        <v>457</v>
      </c>
      <c r="L637" s="0" t="s">
        <v>457</v>
      </c>
      <c r="M637" s="0" t="s">
        <v>457</v>
      </c>
      <c r="R637" s="0" t="s">
        <v>151</v>
      </c>
    </row>
    <row r="638" customFormat="false" ht="15" hidden="false" customHeight="false" outlineLevel="0" collapsed="false">
      <c r="A638" s="0" t="s">
        <v>149</v>
      </c>
      <c r="B638" s="0" t="n">
        <v>2013</v>
      </c>
      <c r="C638" s="0" t="s">
        <v>101</v>
      </c>
      <c r="D638" s="0" t="s">
        <v>79</v>
      </c>
      <c r="E638" s="0" t="n">
        <v>0</v>
      </c>
      <c r="F638" s="0" t="s">
        <v>45</v>
      </c>
      <c r="H638" s="0" t="s">
        <v>457</v>
      </c>
      <c r="I638" s="0" t="s">
        <v>457</v>
      </c>
      <c r="J638" s="0" t="s">
        <v>457</v>
      </c>
      <c r="K638" s="0" t="s">
        <v>457</v>
      </c>
      <c r="L638" s="0" t="s">
        <v>457</v>
      </c>
      <c r="M638" s="0" t="s">
        <v>457</v>
      </c>
      <c r="R638" s="0" t="s">
        <v>151</v>
      </c>
    </row>
    <row r="639" customFormat="false" ht="15" hidden="false" customHeight="false" outlineLevel="0" collapsed="false">
      <c r="A639" s="0" t="s">
        <v>149</v>
      </c>
      <c r="B639" s="0" t="n">
        <v>2013</v>
      </c>
      <c r="C639" s="0" t="s">
        <v>101</v>
      </c>
      <c r="D639" s="0" t="s">
        <v>79</v>
      </c>
      <c r="E639" s="0" t="n">
        <v>0</v>
      </c>
      <c r="F639" s="0" t="s">
        <v>71</v>
      </c>
      <c r="H639" s="0" t="s">
        <v>457</v>
      </c>
      <c r="I639" s="0" t="s">
        <v>457</v>
      </c>
      <c r="J639" s="0" t="s">
        <v>457</v>
      </c>
      <c r="K639" s="0" t="s">
        <v>457</v>
      </c>
      <c r="L639" s="0" t="s">
        <v>457</v>
      </c>
      <c r="M639" s="0" t="s">
        <v>457</v>
      </c>
      <c r="R639" s="0" t="s">
        <v>151</v>
      </c>
    </row>
    <row r="640" customFormat="false" ht="15" hidden="false" customHeight="false" outlineLevel="0" collapsed="false">
      <c r="A640" s="0" t="s">
        <v>149</v>
      </c>
      <c r="B640" s="0" t="n">
        <v>2013</v>
      </c>
      <c r="C640" s="0" t="s">
        <v>101</v>
      </c>
      <c r="D640" s="0" t="s">
        <v>79</v>
      </c>
      <c r="E640" s="0" t="n">
        <v>0</v>
      </c>
      <c r="F640" s="0" t="s">
        <v>31</v>
      </c>
      <c r="G640" s="0" t="n">
        <v>90.266170183423</v>
      </c>
      <c r="H640" s="0" t="s">
        <v>437</v>
      </c>
      <c r="I640" s="0" t="s">
        <v>437</v>
      </c>
      <c r="J640" s="0" t="s">
        <v>437</v>
      </c>
      <c r="K640" s="0" t="s">
        <v>457</v>
      </c>
      <c r="L640" s="0" t="s">
        <v>437</v>
      </c>
      <c r="M640" s="0" t="s">
        <v>457</v>
      </c>
      <c r="R640" s="0" t="s">
        <v>151</v>
      </c>
    </row>
    <row r="641" customFormat="false" ht="15" hidden="false" customHeight="false" outlineLevel="0" collapsed="false">
      <c r="A641" s="0" t="s">
        <v>149</v>
      </c>
      <c r="B641" s="0" t="n">
        <v>2014</v>
      </c>
      <c r="C641" s="0" t="s">
        <v>101</v>
      </c>
      <c r="D641" s="0" t="s">
        <v>79</v>
      </c>
      <c r="E641" s="0" t="n">
        <v>0</v>
      </c>
      <c r="F641" s="0" t="s">
        <v>73</v>
      </c>
      <c r="H641" s="0" t="s">
        <v>457</v>
      </c>
      <c r="I641" s="0" t="s">
        <v>457</v>
      </c>
      <c r="J641" s="0" t="s">
        <v>457</v>
      </c>
      <c r="K641" s="0" t="s">
        <v>457</v>
      </c>
      <c r="L641" s="0" t="s">
        <v>457</v>
      </c>
      <c r="M641" s="0" t="s">
        <v>457</v>
      </c>
      <c r="R641" s="0" t="s">
        <v>153</v>
      </c>
    </row>
    <row r="642" customFormat="false" ht="15" hidden="false" customHeight="false" outlineLevel="0" collapsed="false">
      <c r="A642" s="0" t="s">
        <v>149</v>
      </c>
      <c r="B642" s="0" t="n">
        <v>2014</v>
      </c>
      <c r="C642" s="0" t="s">
        <v>101</v>
      </c>
      <c r="D642" s="0" t="s">
        <v>79</v>
      </c>
      <c r="E642" s="0" t="n">
        <v>0</v>
      </c>
      <c r="F642" s="0" t="s">
        <v>69</v>
      </c>
      <c r="H642" s="0" t="s">
        <v>457</v>
      </c>
      <c r="I642" s="0" t="s">
        <v>457</v>
      </c>
      <c r="J642" s="0" t="s">
        <v>457</v>
      </c>
      <c r="K642" s="0" t="s">
        <v>457</v>
      </c>
      <c r="L642" s="0" t="s">
        <v>457</v>
      </c>
      <c r="M642" s="0" t="s">
        <v>457</v>
      </c>
      <c r="R642" s="0" t="s">
        <v>153</v>
      </c>
    </row>
    <row r="643" customFormat="false" ht="15" hidden="false" customHeight="false" outlineLevel="0" collapsed="false">
      <c r="A643" s="0" t="s">
        <v>149</v>
      </c>
      <c r="B643" s="0" t="n">
        <v>2014</v>
      </c>
      <c r="C643" s="0" t="s">
        <v>101</v>
      </c>
      <c r="D643" s="0" t="s">
        <v>79</v>
      </c>
      <c r="E643" s="0" t="n">
        <v>0</v>
      </c>
      <c r="F643" s="0" t="s">
        <v>25</v>
      </c>
      <c r="H643" s="0" t="s">
        <v>457</v>
      </c>
      <c r="I643" s="0" t="s">
        <v>457</v>
      </c>
      <c r="J643" s="0" t="s">
        <v>457</v>
      </c>
      <c r="K643" s="0" t="s">
        <v>457</v>
      </c>
      <c r="L643" s="0" t="s">
        <v>457</v>
      </c>
      <c r="M643" s="0" t="s">
        <v>457</v>
      </c>
      <c r="R643" s="0" t="s">
        <v>153</v>
      </c>
    </row>
    <row r="644" customFormat="false" ht="15" hidden="false" customHeight="false" outlineLevel="0" collapsed="false">
      <c r="A644" s="0" t="s">
        <v>149</v>
      </c>
      <c r="B644" s="0" t="n">
        <v>2014</v>
      </c>
      <c r="C644" s="0" t="s">
        <v>101</v>
      </c>
      <c r="D644" s="0" t="s">
        <v>79</v>
      </c>
      <c r="E644" s="0" t="n">
        <v>0</v>
      </c>
      <c r="F644" s="0" t="s">
        <v>41</v>
      </c>
      <c r="G644" s="0" t="n">
        <v>2.37826314425555</v>
      </c>
      <c r="H644" s="0" t="s">
        <v>437</v>
      </c>
      <c r="I644" s="0" t="s">
        <v>437</v>
      </c>
      <c r="J644" s="0" t="s">
        <v>437</v>
      </c>
      <c r="K644" s="0" t="s">
        <v>437</v>
      </c>
      <c r="L644" s="0" t="s">
        <v>437</v>
      </c>
      <c r="M644" s="0" t="s">
        <v>457</v>
      </c>
      <c r="R644" s="0" t="s">
        <v>153</v>
      </c>
    </row>
    <row r="645" customFormat="false" ht="15" hidden="false" customHeight="false" outlineLevel="0" collapsed="false">
      <c r="A645" s="0" t="s">
        <v>149</v>
      </c>
      <c r="B645" s="0" t="n">
        <v>2014</v>
      </c>
      <c r="C645" s="0" t="s">
        <v>101</v>
      </c>
      <c r="D645" s="0" t="s">
        <v>79</v>
      </c>
      <c r="E645" s="0" t="n">
        <v>0</v>
      </c>
      <c r="F645" s="0" t="s">
        <v>27</v>
      </c>
      <c r="G645" s="0" t="n">
        <v>8.98093632416152</v>
      </c>
      <c r="H645" s="0" t="s">
        <v>437</v>
      </c>
      <c r="I645" s="0" t="s">
        <v>437</v>
      </c>
      <c r="J645" s="0" t="s">
        <v>437</v>
      </c>
      <c r="K645" s="0" t="s">
        <v>437</v>
      </c>
      <c r="L645" s="0" t="s">
        <v>437</v>
      </c>
      <c r="M645" s="0" t="s">
        <v>457</v>
      </c>
      <c r="R645" s="0" t="s">
        <v>153</v>
      </c>
    </row>
    <row r="646" customFormat="false" ht="15" hidden="false" customHeight="false" outlineLevel="0" collapsed="false">
      <c r="A646" s="0" t="s">
        <v>149</v>
      </c>
      <c r="B646" s="0" t="n">
        <v>2014</v>
      </c>
      <c r="C646" s="0" t="s">
        <v>101</v>
      </c>
      <c r="D646" s="0" t="s">
        <v>79</v>
      </c>
      <c r="E646" s="0" t="n">
        <v>0</v>
      </c>
      <c r="F646" s="0" t="s">
        <v>39</v>
      </c>
      <c r="H646" s="0" t="s">
        <v>457</v>
      </c>
      <c r="I646" s="0" t="s">
        <v>457</v>
      </c>
      <c r="J646" s="0" t="s">
        <v>457</v>
      </c>
      <c r="K646" s="0" t="s">
        <v>457</v>
      </c>
      <c r="L646" s="0" t="s">
        <v>457</v>
      </c>
      <c r="M646" s="0" t="s">
        <v>457</v>
      </c>
      <c r="R646" s="0" t="s">
        <v>153</v>
      </c>
    </row>
    <row r="647" customFormat="false" ht="15" hidden="false" customHeight="false" outlineLevel="0" collapsed="false">
      <c r="A647" s="0" t="s">
        <v>149</v>
      </c>
      <c r="B647" s="0" t="n">
        <v>2014</v>
      </c>
      <c r="C647" s="0" t="s">
        <v>101</v>
      </c>
      <c r="D647" s="0" t="s">
        <v>79</v>
      </c>
      <c r="E647" s="0" t="n">
        <v>0</v>
      </c>
      <c r="F647" s="0" t="s">
        <v>17</v>
      </c>
      <c r="H647" s="0" t="s">
        <v>457</v>
      </c>
      <c r="I647" s="0" t="s">
        <v>457</v>
      </c>
      <c r="J647" s="0" t="s">
        <v>457</v>
      </c>
      <c r="K647" s="0" t="s">
        <v>457</v>
      </c>
      <c r="L647" s="0" t="s">
        <v>457</v>
      </c>
      <c r="M647" s="0" t="s">
        <v>457</v>
      </c>
      <c r="R647" s="0" t="s">
        <v>153</v>
      </c>
    </row>
    <row r="648" customFormat="false" ht="15" hidden="false" customHeight="false" outlineLevel="0" collapsed="false">
      <c r="A648" s="0" t="s">
        <v>149</v>
      </c>
      <c r="B648" s="0" t="n">
        <v>2014</v>
      </c>
      <c r="C648" s="0" t="s">
        <v>101</v>
      </c>
      <c r="D648" s="0" t="s">
        <v>79</v>
      </c>
      <c r="E648" s="0" t="n">
        <v>0</v>
      </c>
      <c r="F648" s="0" t="s">
        <v>29</v>
      </c>
      <c r="G648" s="0" t="n">
        <v>0.393239747896284</v>
      </c>
      <c r="H648" s="0" t="s">
        <v>437</v>
      </c>
      <c r="I648" s="0" t="s">
        <v>437</v>
      </c>
      <c r="J648" s="0" t="s">
        <v>437</v>
      </c>
      <c r="K648" s="0" t="s">
        <v>437</v>
      </c>
      <c r="L648" s="0" t="s">
        <v>437</v>
      </c>
      <c r="M648" s="0" t="s">
        <v>457</v>
      </c>
      <c r="R648" s="0" t="s">
        <v>153</v>
      </c>
    </row>
    <row r="649" customFormat="false" ht="15" hidden="false" customHeight="false" outlineLevel="0" collapsed="false">
      <c r="A649" s="0" t="s">
        <v>149</v>
      </c>
      <c r="B649" s="0" t="n">
        <v>2014</v>
      </c>
      <c r="C649" s="0" t="s">
        <v>101</v>
      </c>
      <c r="D649" s="0" t="s">
        <v>79</v>
      </c>
      <c r="E649" s="0" t="n">
        <v>0</v>
      </c>
      <c r="F649" s="0" t="s">
        <v>37</v>
      </c>
      <c r="H649" s="0" t="s">
        <v>457</v>
      </c>
      <c r="I649" s="0" t="s">
        <v>457</v>
      </c>
      <c r="J649" s="0" t="s">
        <v>457</v>
      </c>
      <c r="K649" s="0" t="s">
        <v>457</v>
      </c>
      <c r="L649" s="0" t="s">
        <v>457</v>
      </c>
      <c r="M649" s="0" t="s">
        <v>457</v>
      </c>
      <c r="R649" s="0" t="s">
        <v>153</v>
      </c>
    </row>
    <row r="650" customFormat="false" ht="15" hidden="false" customHeight="false" outlineLevel="0" collapsed="false">
      <c r="A650" s="0" t="s">
        <v>149</v>
      </c>
      <c r="B650" s="0" t="n">
        <v>2014</v>
      </c>
      <c r="C650" s="0" t="s">
        <v>101</v>
      </c>
      <c r="D650" s="0" t="s">
        <v>79</v>
      </c>
      <c r="E650" s="0" t="n">
        <v>0</v>
      </c>
      <c r="F650" s="0" t="s">
        <v>23</v>
      </c>
      <c r="H650" s="0" t="s">
        <v>457</v>
      </c>
      <c r="I650" s="0" t="s">
        <v>457</v>
      </c>
      <c r="J650" s="0" t="s">
        <v>457</v>
      </c>
      <c r="K650" s="0" t="s">
        <v>457</v>
      </c>
      <c r="L650" s="0" t="s">
        <v>457</v>
      </c>
      <c r="M650" s="0" t="s">
        <v>457</v>
      </c>
      <c r="R650" s="0" t="s">
        <v>153</v>
      </c>
    </row>
    <row r="651" customFormat="false" ht="15" hidden="false" customHeight="false" outlineLevel="0" collapsed="false">
      <c r="A651" s="0" t="s">
        <v>149</v>
      </c>
      <c r="B651" s="0" t="n">
        <v>2014</v>
      </c>
      <c r="C651" s="0" t="s">
        <v>101</v>
      </c>
      <c r="D651" s="0" t="s">
        <v>79</v>
      </c>
      <c r="E651" s="0" t="n">
        <v>0</v>
      </c>
      <c r="F651" s="0" t="s">
        <v>45</v>
      </c>
      <c r="H651" s="0" t="s">
        <v>457</v>
      </c>
      <c r="I651" s="0" t="s">
        <v>457</v>
      </c>
      <c r="J651" s="0" t="s">
        <v>457</v>
      </c>
      <c r="K651" s="0" t="s">
        <v>457</v>
      </c>
      <c r="L651" s="0" t="s">
        <v>457</v>
      </c>
      <c r="M651" s="0" t="s">
        <v>457</v>
      </c>
      <c r="R651" s="0" t="s">
        <v>153</v>
      </c>
    </row>
    <row r="652" customFormat="false" ht="15" hidden="false" customHeight="false" outlineLevel="0" collapsed="false">
      <c r="A652" s="0" t="s">
        <v>149</v>
      </c>
      <c r="B652" s="0" t="n">
        <v>2014</v>
      </c>
      <c r="C652" s="0" t="s">
        <v>101</v>
      </c>
      <c r="D652" s="0" t="s">
        <v>79</v>
      </c>
      <c r="E652" s="0" t="n">
        <v>0</v>
      </c>
      <c r="F652" s="0" t="s">
        <v>71</v>
      </c>
      <c r="H652" s="0" t="s">
        <v>457</v>
      </c>
      <c r="I652" s="0" t="s">
        <v>457</v>
      </c>
      <c r="J652" s="0" t="s">
        <v>457</v>
      </c>
      <c r="K652" s="0" t="s">
        <v>457</v>
      </c>
      <c r="L652" s="0" t="s">
        <v>457</v>
      </c>
      <c r="M652" s="0" t="s">
        <v>457</v>
      </c>
      <c r="R652" s="0" t="s">
        <v>153</v>
      </c>
    </row>
    <row r="653" customFormat="false" ht="15" hidden="false" customHeight="false" outlineLevel="0" collapsed="false">
      <c r="A653" s="0" t="s">
        <v>149</v>
      </c>
      <c r="B653" s="0" t="n">
        <v>2014</v>
      </c>
      <c r="C653" s="0" t="s">
        <v>101</v>
      </c>
      <c r="D653" s="0" t="s">
        <v>79</v>
      </c>
      <c r="E653" s="0" t="n">
        <v>0</v>
      </c>
      <c r="F653" s="0" t="s">
        <v>31</v>
      </c>
      <c r="G653" s="0" t="n">
        <v>91.0190636758385</v>
      </c>
      <c r="H653" s="0" t="s">
        <v>437</v>
      </c>
      <c r="I653" s="0" t="s">
        <v>437</v>
      </c>
      <c r="J653" s="0" t="s">
        <v>437</v>
      </c>
      <c r="K653" s="0" t="s">
        <v>437</v>
      </c>
      <c r="L653" s="0" t="s">
        <v>437</v>
      </c>
      <c r="M653" s="0" t="s">
        <v>457</v>
      </c>
      <c r="R653" s="0" t="s">
        <v>153</v>
      </c>
    </row>
    <row r="654" customFormat="false" ht="15" hidden="false" customHeight="false" outlineLevel="0" collapsed="false">
      <c r="A654" s="0" t="s">
        <v>149</v>
      </c>
      <c r="B654" s="0" t="n">
        <v>2015</v>
      </c>
      <c r="C654" s="0" t="s">
        <v>101</v>
      </c>
      <c r="D654" s="0" t="s">
        <v>79</v>
      </c>
      <c r="E654" s="0" t="n">
        <v>0</v>
      </c>
      <c r="F654" s="0" t="s">
        <v>73</v>
      </c>
      <c r="H654" s="0" t="s">
        <v>457</v>
      </c>
      <c r="I654" s="0" t="s">
        <v>457</v>
      </c>
      <c r="J654" s="0" t="s">
        <v>457</v>
      </c>
      <c r="K654" s="0" t="s">
        <v>457</v>
      </c>
      <c r="L654" s="0" t="s">
        <v>457</v>
      </c>
      <c r="M654" s="0" t="s">
        <v>457</v>
      </c>
      <c r="R654" s="0" t="s">
        <v>155</v>
      </c>
    </row>
    <row r="655" customFormat="false" ht="15" hidden="false" customHeight="false" outlineLevel="0" collapsed="false">
      <c r="A655" s="0" t="s">
        <v>149</v>
      </c>
      <c r="B655" s="0" t="n">
        <v>2015</v>
      </c>
      <c r="C655" s="0" t="s">
        <v>101</v>
      </c>
      <c r="D655" s="0" t="s">
        <v>79</v>
      </c>
      <c r="E655" s="0" t="n">
        <v>0</v>
      </c>
      <c r="F655" s="0" t="s">
        <v>69</v>
      </c>
      <c r="H655" s="0" t="s">
        <v>457</v>
      </c>
      <c r="I655" s="0" t="s">
        <v>457</v>
      </c>
      <c r="J655" s="0" t="s">
        <v>457</v>
      </c>
      <c r="K655" s="0" t="s">
        <v>457</v>
      </c>
      <c r="L655" s="0" t="s">
        <v>457</v>
      </c>
      <c r="M655" s="0" t="s">
        <v>457</v>
      </c>
      <c r="R655" s="0" t="s">
        <v>155</v>
      </c>
    </row>
    <row r="656" customFormat="false" ht="15" hidden="false" customHeight="false" outlineLevel="0" collapsed="false">
      <c r="A656" s="0" t="s">
        <v>149</v>
      </c>
      <c r="B656" s="0" t="n">
        <v>2015</v>
      </c>
      <c r="C656" s="0" t="s">
        <v>101</v>
      </c>
      <c r="D656" s="0" t="s">
        <v>79</v>
      </c>
      <c r="E656" s="0" t="n">
        <v>0</v>
      </c>
      <c r="F656" s="0" t="s">
        <v>25</v>
      </c>
      <c r="H656" s="0" t="s">
        <v>457</v>
      </c>
      <c r="I656" s="0" t="s">
        <v>457</v>
      </c>
      <c r="J656" s="0" t="s">
        <v>457</v>
      </c>
      <c r="K656" s="0" t="s">
        <v>457</v>
      </c>
      <c r="L656" s="0" t="s">
        <v>457</v>
      </c>
      <c r="M656" s="0" t="s">
        <v>457</v>
      </c>
      <c r="R656" s="0" t="s">
        <v>155</v>
      </c>
    </row>
    <row r="657" customFormat="false" ht="15" hidden="false" customHeight="false" outlineLevel="0" collapsed="false">
      <c r="A657" s="0" t="s">
        <v>149</v>
      </c>
      <c r="B657" s="0" t="n">
        <v>2015</v>
      </c>
      <c r="C657" s="0" t="s">
        <v>101</v>
      </c>
      <c r="D657" s="0" t="s">
        <v>79</v>
      </c>
      <c r="E657" s="0" t="n">
        <v>0</v>
      </c>
      <c r="F657" s="0" t="s">
        <v>41</v>
      </c>
      <c r="G657" s="0" t="n">
        <v>0.692825883583684</v>
      </c>
      <c r="H657" s="0" t="s">
        <v>437</v>
      </c>
      <c r="I657" s="0" t="s">
        <v>437</v>
      </c>
      <c r="J657" s="0" t="s">
        <v>437</v>
      </c>
      <c r="K657" s="0" t="s">
        <v>437</v>
      </c>
      <c r="L657" s="0" t="s">
        <v>437</v>
      </c>
      <c r="M657" s="0" t="s">
        <v>457</v>
      </c>
      <c r="R657" s="0" t="s">
        <v>155</v>
      </c>
    </row>
    <row r="658" customFormat="false" ht="15" hidden="false" customHeight="false" outlineLevel="0" collapsed="false">
      <c r="A658" s="0" t="s">
        <v>149</v>
      </c>
      <c r="B658" s="0" t="n">
        <v>2015</v>
      </c>
      <c r="C658" s="0" t="s">
        <v>101</v>
      </c>
      <c r="D658" s="0" t="s">
        <v>79</v>
      </c>
      <c r="E658" s="0" t="n">
        <v>0</v>
      </c>
      <c r="F658" s="0" t="s">
        <v>27</v>
      </c>
      <c r="G658" s="0" t="n">
        <v>10.6578858721283</v>
      </c>
      <c r="H658" s="0" t="s">
        <v>437</v>
      </c>
      <c r="I658" s="0" t="s">
        <v>437</v>
      </c>
      <c r="J658" s="0" t="s">
        <v>437</v>
      </c>
      <c r="K658" s="0" t="s">
        <v>437</v>
      </c>
      <c r="L658" s="0" t="s">
        <v>437</v>
      </c>
      <c r="M658" s="0" t="s">
        <v>457</v>
      </c>
      <c r="R658" s="0" t="s">
        <v>155</v>
      </c>
    </row>
    <row r="659" customFormat="false" ht="15" hidden="false" customHeight="false" outlineLevel="0" collapsed="false">
      <c r="A659" s="0" t="s">
        <v>149</v>
      </c>
      <c r="B659" s="0" t="n">
        <v>2015</v>
      </c>
      <c r="C659" s="0" t="s">
        <v>101</v>
      </c>
      <c r="D659" s="0" t="s">
        <v>79</v>
      </c>
      <c r="E659" s="0" t="n">
        <v>0</v>
      </c>
      <c r="F659" s="0" t="s">
        <v>39</v>
      </c>
      <c r="H659" s="0" t="s">
        <v>457</v>
      </c>
      <c r="I659" s="0" t="s">
        <v>457</v>
      </c>
      <c r="J659" s="0" t="s">
        <v>457</v>
      </c>
      <c r="K659" s="0" t="s">
        <v>457</v>
      </c>
      <c r="L659" s="0" t="s">
        <v>457</v>
      </c>
      <c r="M659" s="0" t="s">
        <v>457</v>
      </c>
      <c r="R659" s="0" t="s">
        <v>155</v>
      </c>
    </row>
    <row r="660" customFormat="false" ht="15" hidden="false" customHeight="false" outlineLevel="0" collapsed="false">
      <c r="A660" s="0" t="s">
        <v>149</v>
      </c>
      <c r="B660" s="0" t="n">
        <v>2015</v>
      </c>
      <c r="C660" s="0" t="s">
        <v>101</v>
      </c>
      <c r="D660" s="0" t="s">
        <v>79</v>
      </c>
      <c r="E660" s="0" t="n">
        <v>0</v>
      </c>
      <c r="F660" s="0" t="s">
        <v>17</v>
      </c>
      <c r="H660" s="0" t="s">
        <v>457</v>
      </c>
      <c r="I660" s="0" t="s">
        <v>457</v>
      </c>
      <c r="J660" s="0" t="s">
        <v>457</v>
      </c>
      <c r="K660" s="0" t="s">
        <v>457</v>
      </c>
      <c r="L660" s="0" t="s">
        <v>457</v>
      </c>
      <c r="M660" s="0" t="s">
        <v>457</v>
      </c>
      <c r="R660" s="0" t="s">
        <v>155</v>
      </c>
    </row>
    <row r="661" customFormat="false" ht="15" hidden="false" customHeight="false" outlineLevel="0" collapsed="false">
      <c r="A661" s="0" t="s">
        <v>149</v>
      </c>
      <c r="B661" s="0" t="n">
        <v>2015</v>
      </c>
      <c r="C661" s="0" t="s">
        <v>101</v>
      </c>
      <c r="D661" s="0" t="s">
        <v>79</v>
      </c>
      <c r="E661" s="0" t="n">
        <v>0</v>
      </c>
      <c r="F661" s="0" t="s">
        <v>29</v>
      </c>
      <c r="G661" s="0" t="n">
        <v>1.65991387480552</v>
      </c>
      <c r="H661" s="0" t="s">
        <v>437</v>
      </c>
      <c r="I661" s="0" t="s">
        <v>437</v>
      </c>
      <c r="J661" s="0" t="s">
        <v>437</v>
      </c>
      <c r="K661" s="0" t="s">
        <v>437</v>
      </c>
      <c r="L661" s="0" t="s">
        <v>437</v>
      </c>
      <c r="M661" s="0" t="s">
        <v>457</v>
      </c>
      <c r="R661" s="0" t="s">
        <v>155</v>
      </c>
    </row>
    <row r="662" customFormat="false" ht="15" hidden="false" customHeight="false" outlineLevel="0" collapsed="false">
      <c r="A662" s="0" t="s">
        <v>149</v>
      </c>
      <c r="B662" s="0" t="n">
        <v>2015</v>
      </c>
      <c r="C662" s="0" t="s">
        <v>101</v>
      </c>
      <c r="D662" s="0" t="s">
        <v>79</v>
      </c>
      <c r="E662" s="0" t="n">
        <v>0</v>
      </c>
      <c r="F662" s="0" t="s">
        <v>37</v>
      </c>
      <c r="H662" s="0" t="s">
        <v>457</v>
      </c>
      <c r="I662" s="0" t="s">
        <v>457</v>
      </c>
      <c r="J662" s="0" t="s">
        <v>457</v>
      </c>
      <c r="K662" s="0" t="s">
        <v>457</v>
      </c>
      <c r="L662" s="0" t="s">
        <v>457</v>
      </c>
      <c r="M662" s="0" t="s">
        <v>457</v>
      </c>
      <c r="R662" s="0" t="s">
        <v>155</v>
      </c>
    </row>
    <row r="663" customFormat="false" ht="15" hidden="false" customHeight="false" outlineLevel="0" collapsed="false">
      <c r="A663" s="0" t="s">
        <v>149</v>
      </c>
      <c r="B663" s="0" t="n">
        <v>2015</v>
      </c>
      <c r="C663" s="0" t="s">
        <v>101</v>
      </c>
      <c r="D663" s="0" t="s">
        <v>79</v>
      </c>
      <c r="E663" s="0" t="n">
        <v>0</v>
      </c>
      <c r="F663" s="0" t="s">
        <v>23</v>
      </c>
      <c r="H663" s="0" t="s">
        <v>457</v>
      </c>
      <c r="I663" s="0" t="s">
        <v>457</v>
      </c>
      <c r="J663" s="0" t="s">
        <v>457</v>
      </c>
      <c r="K663" s="0" t="s">
        <v>457</v>
      </c>
      <c r="L663" s="0" t="s">
        <v>457</v>
      </c>
      <c r="M663" s="0" t="s">
        <v>457</v>
      </c>
      <c r="R663" s="0" t="s">
        <v>155</v>
      </c>
    </row>
    <row r="664" customFormat="false" ht="15" hidden="false" customHeight="false" outlineLevel="0" collapsed="false">
      <c r="A664" s="0" t="s">
        <v>149</v>
      </c>
      <c r="B664" s="0" t="n">
        <v>2015</v>
      </c>
      <c r="C664" s="0" t="s">
        <v>101</v>
      </c>
      <c r="D664" s="0" t="s">
        <v>79</v>
      </c>
      <c r="E664" s="0" t="n">
        <v>0</v>
      </c>
      <c r="F664" s="0" t="s">
        <v>45</v>
      </c>
      <c r="H664" s="0" t="s">
        <v>457</v>
      </c>
      <c r="I664" s="0" t="s">
        <v>457</v>
      </c>
      <c r="J664" s="0" t="s">
        <v>457</v>
      </c>
      <c r="K664" s="0" t="s">
        <v>457</v>
      </c>
      <c r="L664" s="0" t="s">
        <v>457</v>
      </c>
      <c r="M664" s="0" t="s">
        <v>457</v>
      </c>
      <c r="R664" s="0" t="s">
        <v>155</v>
      </c>
    </row>
    <row r="665" customFormat="false" ht="15" hidden="false" customHeight="false" outlineLevel="0" collapsed="false">
      <c r="A665" s="0" t="s">
        <v>149</v>
      </c>
      <c r="B665" s="0" t="n">
        <v>2015</v>
      </c>
      <c r="C665" s="0" t="s">
        <v>101</v>
      </c>
      <c r="D665" s="0" t="s">
        <v>79</v>
      </c>
      <c r="E665" s="0" t="n">
        <v>0</v>
      </c>
      <c r="F665" s="0" t="s">
        <v>71</v>
      </c>
      <c r="H665" s="0" t="s">
        <v>457</v>
      </c>
      <c r="I665" s="0" t="s">
        <v>457</v>
      </c>
      <c r="J665" s="0" t="s">
        <v>457</v>
      </c>
      <c r="K665" s="0" t="s">
        <v>457</v>
      </c>
      <c r="L665" s="0" t="s">
        <v>457</v>
      </c>
      <c r="M665" s="0" t="s">
        <v>457</v>
      </c>
      <c r="R665" s="0" t="s">
        <v>155</v>
      </c>
    </row>
    <row r="666" customFormat="false" ht="15" hidden="false" customHeight="false" outlineLevel="0" collapsed="false">
      <c r="A666" s="0" t="s">
        <v>149</v>
      </c>
      <c r="B666" s="0" t="n">
        <v>2015</v>
      </c>
      <c r="C666" s="0" t="s">
        <v>101</v>
      </c>
      <c r="D666" s="0" t="s">
        <v>79</v>
      </c>
      <c r="E666" s="0" t="n">
        <v>0</v>
      </c>
      <c r="F666" s="0" t="s">
        <v>31</v>
      </c>
      <c r="G666" s="0" t="n">
        <v>89.3421141278717</v>
      </c>
      <c r="H666" s="0" t="s">
        <v>437</v>
      </c>
      <c r="I666" s="0" t="s">
        <v>437</v>
      </c>
      <c r="J666" s="0" t="s">
        <v>437</v>
      </c>
      <c r="K666" s="0" t="s">
        <v>437</v>
      </c>
      <c r="L666" s="0" t="s">
        <v>437</v>
      </c>
      <c r="M666" s="0" t="s">
        <v>457</v>
      </c>
      <c r="R666" s="0" t="s">
        <v>155</v>
      </c>
    </row>
    <row r="667" customFormat="false" ht="15" hidden="false" customHeight="false" outlineLevel="0" collapsed="false">
      <c r="A667" s="0" t="s">
        <v>149</v>
      </c>
      <c r="B667" s="0" t="n">
        <v>2016</v>
      </c>
      <c r="C667" s="0" t="s">
        <v>101</v>
      </c>
      <c r="D667" s="0" t="s">
        <v>79</v>
      </c>
      <c r="E667" s="0" t="n">
        <v>0</v>
      </c>
      <c r="F667" s="0" t="s">
        <v>73</v>
      </c>
      <c r="H667" s="0" t="s">
        <v>457</v>
      </c>
      <c r="I667" s="0" t="s">
        <v>457</v>
      </c>
      <c r="J667" s="0" t="s">
        <v>457</v>
      </c>
      <c r="K667" s="0" t="s">
        <v>457</v>
      </c>
      <c r="L667" s="0" t="s">
        <v>457</v>
      </c>
      <c r="M667" s="0" t="s">
        <v>457</v>
      </c>
      <c r="R667" s="0" t="s">
        <v>157</v>
      </c>
    </row>
    <row r="668" customFormat="false" ht="15" hidden="false" customHeight="false" outlineLevel="0" collapsed="false">
      <c r="A668" s="0" t="s">
        <v>149</v>
      </c>
      <c r="B668" s="0" t="n">
        <v>2016</v>
      </c>
      <c r="C668" s="0" t="s">
        <v>101</v>
      </c>
      <c r="D668" s="0" t="s">
        <v>79</v>
      </c>
      <c r="E668" s="0" t="n">
        <v>0</v>
      </c>
      <c r="F668" s="0" t="s">
        <v>69</v>
      </c>
      <c r="H668" s="0" t="s">
        <v>457</v>
      </c>
      <c r="I668" s="0" t="s">
        <v>457</v>
      </c>
      <c r="J668" s="0" t="s">
        <v>457</v>
      </c>
      <c r="K668" s="0" t="s">
        <v>457</v>
      </c>
      <c r="L668" s="0" t="s">
        <v>457</v>
      </c>
      <c r="M668" s="0" t="s">
        <v>457</v>
      </c>
      <c r="R668" s="0" t="s">
        <v>157</v>
      </c>
    </row>
    <row r="669" customFormat="false" ht="15" hidden="false" customHeight="false" outlineLevel="0" collapsed="false">
      <c r="A669" s="0" t="s">
        <v>149</v>
      </c>
      <c r="B669" s="0" t="n">
        <v>2016</v>
      </c>
      <c r="C669" s="0" t="s">
        <v>101</v>
      </c>
      <c r="D669" s="0" t="s">
        <v>79</v>
      </c>
      <c r="E669" s="0" t="n">
        <v>0</v>
      </c>
      <c r="F669" s="0" t="s">
        <v>25</v>
      </c>
      <c r="H669" s="0" t="s">
        <v>457</v>
      </c>
      <c r="I669" s="0" t="s">
        <v>457</v>
      </c>
      <c r="J669" s="0" t="s">
        <v>457</v>
      </c>
      <c r="K669" s="0" t="s">
        <v>457</v>
      </c>
      <c r="L669" s="0" t="s">
        <v>457</v>
      </c>
      <c r="M669" s="0" t="s">
        <v>457</v>
      </c>
      <c r="R669" s="0" t="s">
        <v>157</v>
      </c>
    </row>
    <row r="670" customFormat="false" ht="15" hidden="false" customHeight="false" outlineLevel="0" collapsed="false">
      <c r="A670" s="0" t="s">
        <v>149</v>
      </c>
      <c r="B670" s="0" t="n">
        <v>2016</v>
      </c>
      <c r="C670" s="0" t="s">
        <v>101</v>
      </c>
      <c r="D670" s="0" t="s">
        <v>79</v>
      </c>
      <c r="E670" s="0" t="n">
        <v>0</v>
      </c>
      <c r="F670" s="0" t="s">
        <v>41</v>
      </c>
      <c r="G670" s="0" t="n">
        <v>1.59525435709817</v>
      </c>
      <c r="H670" s="0" t="s">
        <v>437</v>
      </c>
      <c r="I670" s="0" t="s">
        <v>437</v>
      </c>
      <c r="J670" s="0" t="s">
        <v>437</v>
      </c>
      <c r="K670" s="0" t="s">
        <v>437</v>
      </c>
      <c r="L670" s="0" t="s">
        <v>437</v>
      </c>
      <c r="M670" s="0" t="s">
        <v>457</v>
      </c>
      <c r="R670" s="0" t="s">
        <v>157</v>
      </c>
    </row>
    <row r="671" customFormat="false" ht="15" hidden="false" customHeight="false" outlineLevel="0" collapsed="false">
      <c r="A671" s="0" t="s">
        <v>149</v>
      </c>
      <c r="B671" s="0" t="n">
        <v>2016</v>
      </c>
      <c r="C671" s="0" t="s">
        <v>101</v>
      </c>
      <c r="D671" s="0" t="s">
        <v>79</v>
      </c>
      <c r="E671" s="0" t="n">
        <v>0</v>
      </c>
      <c r="F671" s="0" t="s">
        <v>27</v>
      </c>
      <c r="G671" s="0" t="n">
        <v>11.0002525763289</v>
      </c>
      <c r="H671" s="0" t="s">
        <v>437</v>
      </c>
      <c r="I671" s="0" t="s">
        <v>437</v>
      </c>
      <c r="J671" s="0" t="s">
        <v>437</v>
      </c>
      <c r="K671" s="0" t="s">
        <v>437</v>
      </c>
      <c r="L671" s="0" t="s">
        <v>437</v>
      </c>
      <c r="M671" s="0" t="s">
        <v>457</v>
      </c>
      <c r="R671" s="0" t="s">
        <v>157</v>
      </c>
    </row>
    <row r="672" customFormat="false" ht="15" hidden="false" customHeight="false" outlineLevel="0" collapsed="false">
      <c r="A672" s="0" t="s">
        <v>149</v>
      </c>
      <c r="B672" s="0" t="n">
        <v>2016</v>
      </c>
      <c r="C672" s="0" t="s">
        <v>101</v>
      </c>
      <c r="D672" s="0" t="s">
        <v>79</v>
      </c>
      <c r="E672" s="0" t="n">
        <v>0</v>
      </c>
      <c r="F672" s="0" t="s">
        <v>39</v>
      </c>
      <c r="H672" s="0" t="s">
        <v>457</v>
      </c>
      <c r="I672" s="0" t="s">
        <v>457</v>
      </c>
      <c r="J672" s="0" t="s">
        <v>457</v>
      </c>
      <c r="K672" s="0" t="s">
        <v>457</v>
      </c>
      <c r="L672" s="0" t="s">
        <v>457</v>
      </c>
      <c r="M672" s="0" t="s">
        <v>457</v>
      </c>
      <c r="R672" s="0" t="s">
        <v>157</v>
      </c>
    </row>
    <row r="673" customFormat="false" ht="15" hidden="false" customHeight="false" outlineLevel="0" collapsed="false">
      <c r="A673" s="0" t="s">
        <v>149</v>
      </c>
      <c r="B673" s="0" t="n">
        <v>2016</v>
      </c>
      <c r="C673" s="0" t="s">
        <v>101</v>
      </c>
      <c r="D673" s="0" t="s">
        <v>79</v>
      </c>
      <c r="E673" s="0" t="n">
        <v>0</v>
      </c>
      <c r="F673" s="0" t="s">
        <v>17</v>
      </c>
      <c r="H673" s="0" t="s">
        <v>457</v>
      </c>
      <c r="I673" s="0" t="s">
        <v>457</v>
      </c>
      <c r="J673" s="0" t="s">
        <v>457</v>
      </c>
      <c r="K673" s="0" t="s">
        <v>457</v>
      </c>
      <c r="L673" s="0" t="s">
        <v>457</v>
      </c>
      <c r="M673" s="0" t="s">
        <v>457</v>
      </c>
      <c r="R673" s="0" t="s">
        <v>157</v>
      </c>
    </row>
    <row r="674" customFormat="false" ht="15" hidden="false" customHeight="false" outlineLevel="0" collapsed="false">
      <c r="A674" s="0" t="s">
        <v>149</v>
      </c>
      <c r="B674" s="0" t="n">
        <v>2016</v>
      </c>
      <c r="C674" s="0" t="s">
        <v>101</v>
      </c>
      <c r="D674" s="0" t="s">
        <v>79</v>
      </c>
      <c r="E674" s="0" t="n">
        <v>0</v>
      </c>
      <c r="F674" s="0" t="s">
        <v>29</v>
      </c>
      <c r="G674" s="0" t="n">
        <v>2.10185110004092</v>
      </c>
      <c r="H674" s="0" t="s">
        <v>437</v>
      </c>
      <c r="I674" s="0" t="s">
        <v>437</v>
      </c>
      <c r="J674" s="0" t="s">
        <v>437</v>
      </c>
      <c r="K674" s="0" t="s">
        <v>437</v>
      </c>
      <c r="L674" s="0" t="s">
        <v>437</v>
      </c>
      <c r="M674" s="0" t="s">
        <v>457</v>
      </c>
      <c r="R674" s="0" t="s">
        <v>157</v>
      </c>
    </row>
    <row r="675" customFormat="false" ht="15" hidden="false" customHeight="false" outlineLevel="0" collapsed="false">
      <c r="A675" s="0" t="s">
        <v>149</v>
      </c>
      <c r="B675" s="0" t="n">
        <v>2016</v>
      </c>
      <c r="C675" s="0" t="s">
        <v>101</v>
      </c>
      <c r="D675" s="0" t="s">
        <v>79</v>
      </c>
      <c r="E675" s="0" t="n">
        <v>0</v>
      </c>
      <c r="F675" s="0" t="s">
        <v>37</v>
      </c>
      <c r="H675" s="0" t="s">
        <v>457</v>
      </c>
      <c r="I675" s="0" t="s">
        <v>457</v>
      </c>
      <c r="J675" s="0" t="s">
        <v>457</v>
      </c>
      <c r="K675" s="0" t="s">
        <v>457</v>
      </c>
      <c r="L675" s="0" t="s">
        <v>457</v>
      </c>
      <c r="M675" s="0" t="s">
        <v>457</v>
      </c>
      <c r="R675" s="0" t="s">
        <v>157</v>
      </c>
    </row>
    <row r="676" customFormat="false" ht="15" hidden="false" customHeight="false" outlineLevel="0" collapsed="false">
      <c r="A676" s="0" t="s">
        <v>149</v>
      </c>
      <c r="B676" s="0" t="n">
        <v>2016</v>
      </c>
      <c r="C676" s="0" t="s">
        <v>101</v>
      </c>
      <c r="D676" s="0" t="s">
        <v>79</v>
      </c>
      <c r="E676" s="0" t="n">
        <v>0</v>
      </c>
      <c r="F676" s="0" t="s">
        <v>23</v>
      </c>
      <c r="H676" s="0" t="s">
        <v>457</v>
      </c>
      <c r="I676" s="0" t="s">
        <v>457</v>
      </c>
      <c r="J676" s="0" t="s">
        <v>457</v>
      </c>
      <c r="K676" s="0" t="s">
        <v>457</v>
      </c>
      <c r="L676" s="0" t="s">
        <v>457</v>
      </c>
      <c r="M676" s="0" t="s">
        <v>457</v>
      </c>
      <c r="R676" s="0" t="s">
        <v>157</v>
      </c>
    </row>
    <row r="677" customFormat="false" ht="15" hidden="false" customHeight="false" outlineLevel="0" collapsed="false">
      <c r="A677" s="0" t="s">
        <v>149</v>
      </c>
      <c r="B677" s="0" t="n">
        <v>2016</v>
      </c>
      <c r="C677" s="0" t="s">
        <v>101</v>
      </c>
      <c r="D677" s="0" t="s">
        <v>79</v>
      </c>
      <c r="E677" s="0" t="n">
        <v>0</v>
      </c>
      <c r="F677" s="0" t="s">
        <v>45</v>
      </c>
      <c r="H677" s="0" t="s">
        <v>457</v>
      </c>
      <c r="I677" s="0" t="s">
        <v>457</v>
      </c>
      <c r="J677" s="0" t="s">
        <v>457</v>
      </c>
      <c r="K677" s="0" t="s">
        <v>457</v>
      </c>
      <c r="L677" s="0" t="s">
        <v>457</v>
      </c>
      <c r="M677" s="0" t="s">
        <v>457</v>
      </c>
      <c r="R677" s="0" t="s">
        <v>157</v>
      </c>
    </row>
    <row r="678" customFormat="false" ht="15" hidden="false" customHeight="false" outlineLevel="0" collapsed="false">
      <c r="A678" s="0" t="s">
        <v>149</v>
      </c>
      <c r="B678" s="0" t="n">
        <v>2016</v>
      </c>
      <c r="C678" s="0" t="s">
        <v>101</v>
      </c>
      <c r="D678" s="0" t="s">
        <v>79</v>
      </c>
      <c r="E678" s="0" t="n">
        <v>0</v>
      </c>
      <c r="F678" s="0" t="s">
        <v>71</v>
      </c>
      <c r="H678" s="0" t="s">
        <v>457</v>
      </c>
      <c r="I678" s="0" t="s">
        <v>457</v>
      </c>
      <c r="J678" s="0" t="s">
        <v>457</v>
      </c>
      <c r="K678" s="0" t="s">
        <v>457</v>
      </c>
      <c r="L678" s="0" t="s">
        <v>457</v>
      </c>
      <c r="M678" s="0" t="s">
        <v>457</v>
      </c>
      <c r="R678" s="0" t="s">
        <v>157</v>
      </c>
    </row>
    <row r="679" customFormat="false" ht="15" hidden="false" customHeight="false" outlineLevel="0" collapsed="false">
      <c r="A679" s="0" t="s">
        <v>149</v>
      </c>
      <c r="B679" s="0" t="n">
        <v>2016</v>
      </c>
      <c r="C679" s="0" t="s">
        <v>101</v>
      </c>
      <c r="D679" s="0" t="s">
        <v>79</v>
      </c>
      <c r="E679" s="0" t="n">
        <v>0</v>
      </c>
      <c r="F679" s="0" t="s">
        <v>31</v>
      </c>
      <c r="G679" s="0" t="n">
        <v>88.9997474236711</v>
      </c>
      <c r="H679" s="0" t="s">
        <v>437</v>
      </c>
      <c r="I679" s="0" t="s">
        <v>437</v>
      </c>
      <c r="J679" s="0" t="s">
        <v>437</v>
      </c>
      <c r="K679" s="0" t="s">
        <v>437</v>
      </c>
      <c r="L679" s="0" t="s">
        <v>437</v>
      </c>
      <c r="M679" s="0" t="s">
        <v>457</v>
      </c>
      <c r="R679" s="0" t="s">
        <v>157</v>
      </c>
    </row>
    <row r="680" customFormat="false" ht="15" hidden="false" customHeight="false" outlineLevel="0" collapsed="false">
      <c r="A680" s="0" t="s">
        <v>149</v>
      </c>
      <c r="B680" s="0" t="n">
        <v>2017</v>
      </c>
      <c r="C680" s="0" t="s">
        <v>101</v>
      </c>
      <c r="D680" s="0" t="s">
        <v>79</v>
      </c>
      <c r="E680" s="0" t="n">
        <v>0</v>
      </c>
      <c r="F680" s="0" t="s">
        <v>73</v>
      </c>
      <c r="H680" s="0" t="s">
        <v>457</v>
      </c>
      <c r="I680" s="0" t="s">
        <v>457</v>
      </c>
      <c r="J680" s="0" t="s">
        <v>457</v>
      </c>
      <c r="K680" s="0" t="s">
        <v>457</v>
      </c>
      <c r="L680" s="0" t="s">
        <v>457</v>
      </c>
      <c r="M680" s="0" t="s">
        <v>457</v>
      </c>
      <c r="R680" s="0" t="s">
        <v>159</v>
      </c>
    </row>
    <row r="681" customFormat="false" ht="15" hidden="false" customHeight="false" outlineLevel="0" collapsed="false">
      <c r="A681" s="0" t="s">
        <v>149</v>
      </c>
      <c r="B681" s="0" t="n">
        <v>2017</v>
      </c>
      <c r="C681" s="0" t="s">
        <v>101</v>
      </c>
      <c r="D681" s="0" t="s">
        <v>79</v>
      </c>
      <c r="E681" s="0" t="n">
        <v>0</v>
      </c>
      <c r="F681" s="0" t="s">
        <v>69</v>
      </c>
      <c r="H681" s="0" t="s">
        <v>457</v>
      </c>
      <c r="I681" s="0" t="s">
        <v>457</v>
      </c>
      <c r="J681" s="0" t="s">
        <v>457</v>
      </c>
      <c r="K681" s="0" t="s">
        <v>457</v>
      </c>
      <c r="L681" s="0" t="s">
        <v>457</v>
      </c>
      <c r="M681" s="0" t="s">
        <v>457</v>
      </c>
      <c r="R681" s="0" t="s">
        <v>159</v>
      </c>
    </row>
    <row r="682" customFormat="false" ht="15" hidden="false" customHeight="false" outlineLevel="0" collapsed="false">
      <c r="A682" s="0" t="s">
        <v>149</v>
      </c>
      <c r="B682" s="0" t="n">
        <v>2017</v>
      </c>
      <c r="C682" s="0" t="s">
        <v>101</v>
      </c>
      <c r="D682" s="0" t="s">
        <v>79</v>
      </c>
      <c r="E682" s="0" t="n">
        <v>0</v>
      </c>
      <c r="F682" s="0" t="s">
        <v>25</v>
      </c>
      <c r="H682" s="0" t="s">
        <v>457</v>
      </c>
      <c r="I682" s="0" t="s">
        <v>457</v>
      </c>
      <c r="J682" s="0" t="s">
        <v>457</v>
      </c>
      <c r="K682" s="0" t="s">
        <v>457</v>
      </c>
      <c r="L682" s="0" t="s">
        <v>457</v>
      </c>
      <c r="M682" s="0" t="s">
        <v>457</v>
      </c>
      <c r="R682" s="0" t="s">
        <v>159</v>
      </c>
    </row>
    <row r="683" customFormat="false" ht="15" hidden="false" customHeight="false" outlineLevel="0" collapsed="false">
      <c r="A683" s="0" t="s">
        <v>149</v>
      </c>
      <c r="B683" s="0" t="n">
        <v>2017</v>
      </c>
      <c r="C683" s="0" t="s">
        <v>101</v>
      </c>
      <c r="D683" s="0" t="s">
        <v>79</v>
      </c>
      <c r="E683" s="0" t="n">
        <v>0</v>
      </c>
      <c r="F683" s="0" t="s">
        <v>41</v>
      </c>
      <c r="G683" s="0" t="n">
        <v>2.4795093594128</v>
      </c>
      <c r="H683" s="0" t="s">
        <v>437</v>
      </c>
      <c r="I683" s="0" t="s">
        <v>437</v>
      </c>
      <c r="J683" s="0" t="s">
        <v>437</v>
      </c>
      <c r="K683" s="0" t="s">
        <v>437</v>
      </c>
      <c r="L683" s="0" t="s">
        <v>437</v>
      </c>
      <c r="M683" s="0" t="s">
        <v>457</v>
      </c>
      <c r="R683" s="0" t="s">
        <v>159</v>
      </c>
    </row>
    <row r="684" customFormat="false" ht="15" hidden="false" customHeight="false" outlineLevel="0" collapsed="false">
      <c r="A684" s="0" t="s">
        <v>149</v>
      </c>
      <c r="B684" s="0" t="n">
        <v>2017</v>
      </c>
      <c r="C684" s="0" t="s">
        <v>101</v>
      </c>
      <c r="D684" s="0" t="s">
        <v>79</v>
      </c>
      <c r="E684" s="0" t="n">
        <v>0</v>
      </c>
      <c r="F684" s="0" t="s">
        <v>27</v>
      </c>
      <c r="G684" s="0" t="n">
        <v>10.4076856293648</v>
      </c>
      <c r="H684" s="0" t="s">
        <v>437</v>
      </c>
      <c r="I684" s="0" t="s">
        <v>437</v>
      </c>
      <c r="J684" s="0" t="s">
        <v>437</v>
      </c>
      <c r="K684" s="0" t="s">
        <v>437</v>
      </c>
      <c r="L684" s="0" t="s">
        <v>437</v>
      </c>
      <c r="M684" s="0" t="s">
        <v>457</v>
      </c>
      <c r="R684" s="0" t="s">
        <v>159</v>
      </c>
    </row>
    <row r="685" customFormat="false" ht="15" hidden="false" customHeight="false" outlineLevel="0" collapsed="false">
      <c r="A685" s="0" t="s">
        <v>149</v>
      </c>
      <c r="B685" s="0" t="n">
        <v>2017</v>
      </c>
      <c r="C685" s="0" t="s">
        <v>101</v>
      </c>
      <c r="D685" s="0" t="s">
        <v>79</v>
      </c>
      <c r="E685" s="0" t="n">
        <v>0</v>
      </c>
      <c r="F685" s="0" t="s">
        <v>39</v>
      </c>
      <c r="H685" s="0" t="s">
        <v>457</v>
      </c>
      <c r="I685" s="0" t="s">
        <v>457</v>
      </c>
      <c r="J685" s="0" t="s">
        <v>457</v>
      </c>
      <c r="K685" s="0" t="s">
        <v>457</v>
      </c>
      <c r="L685" s="0" t="s">
        <v>457</v>
      </c>
      <c r="M685" s="0" t="s">
        <v>457</v>
      </c>
      <c r="R685" s="0" t="s">
        <v>159</v>
      </c>
    </row>
    <row r="686" customFormat="false" ht="15" hidden="false" customHeight="false" outlineLevel="0" collapsed="false">
      <c r="A686" s="0" t="s">
        <v>149</v>
      </c>
      <c r="B686" s="0" t="n">
        <v>2017</v>
      </c>
      <c r="C686" s="0" t="s">
        <v>101</v>
      </c>
      <c r="D686" s="0" t="s">
        <v>79</v>
      </c>
      <c r="E686" s="0" t="n">
        <v>0</v>
      </c>
      <c r="F686" s="0" t="s">
        <v>17</v>
      </c>
      <c r="H686" s="0" t="s">
        <v>457</v>
      </c>
      <c r="I686" s="0" t="s">
        <v>457</v>
      </c>
      <c r="J686" s="0" t="s">
        <v>457</v>
      </c>
      <c r="K686" s="0" t="s">
        <v>457</v>
      </c>
      <c r="L686" s="0" t="s">
        <v>457</v>
      </c>
      <c r="M686" s="0" t="s">
        <v>457</v>
      </c>
      <c r="R686" s="0" t="s">
        <v>159</v>
      </c>
    </row>
    <row r="687" customFormat="false" ht="15" hidden="false" customHeight="false" outlineLevel="0" collapsed="false">
      <c r="A687" s="0" t="s">
        <v>149</v>
      </c>
      <c r="B687" s="0" t="n">
        <v>2017</v>
      </c>
      <c r="C687" s="0" t="s">
        <v>101</v>
      </c>
      <c r="D687" s="0" t="s">
        <v>79</v>
      </c>
      <c r="E687" s="0" t="n">
        <v>0</v>
      </c>
      <c r="F687" s="0" t="s">
        <v>29</v>
      </c>
      <c r="G687" s="0" t="n">
        <v>2.19882154100621</v>
      </c>
      <c r="H687" s="0" t="s">
        <v>437</v>
      </c>
      <c r="I687" s="0" t="s">
        <v>437</v>
      </c>
      <c r="J687" s="0" t="s">
        <v>437</v>
      </c>
      <c r="K687" s="0" t="s">
        <v>437</v>
      </c>
      <c r="L687" s="0" t="s">
        <v>437</v>
      </c>
      <c r="M687" s="0" t="s">
        <v>457</v>
      </c>
      <c r="R687" s="0" t="s">
        <v>159</v>
      </c>
    </row>
    <row r="688" customFormat="false" ht="15" hidden="false" customHeight="false" outlineLevel="0" collapsed="false">
      <c r="A688" s="0" t="s">
        <v>149</v>
      </c>
      <c r="B688" s="0" t="n">
        <v>2017</v>
      </c>
      <c r="C688" s="0" t="s">
        <v>101</v>
      </c>
      <c r="D688" s="0" t="s">
        <v>79</v>
      </c>
      <c r="E688" s="0" t="n">
        <v>0</v>
      </c>
      <c r="F688" s="0" t="s">
        <v>37</v>
      </c>
      <c r="H688" s="0" t="s">
        <v>457</v>
      </c>
      <c r="I688" s="0" t="s">
        <v>457</v>
      </c>
      <c r="J688" s="0" t="s">
        <v>457</v>
      </c>
      <c r="K688" s="0" t="s">
        <v>457</v>
      </c>
      <c r="L688" s="0" t="s">
        <v>457</v>
      </c>
      <c r="M688" s="0" t="s">
        <v>457</v>
      </c>
      <c r="R688" s="0" t="s">
        <v>159</v>
      </c>
    </row>
    <row r="689" customFormat="false" ht="15" hidden="false" customHeight="false" outlineLevel="0" collapsed="false">
      <c r="A689" s="0" t="s">
        <v>149</v>
      </c>
      <c r="B689" s="0" t="n">
        <v>2017</v>
      </c>
      <c r="C689" s="0" t="s">
        <v>101</v>
      </c>
      <c r="D689" s="0" t="s">
        <v>79</v>
      </c>
      <c r="E689" s="0" t="n">
        <v>0</v>
      </c>
      <c r="F689" s="0" t="s">
        <v>23</v>
      </c>
      <c r="H689" s="0" t="s">
        <v>457</v>
      </c>
      <c r="I689" s="0" t="s">
        <v>457</v>
      </c>
      <c r="J689" s="0" t="s">
        <v>457</v>
      </c>
      <c r="K689" s="0" t="s">
        <v>457</v>
      </c>
      <c r="L689" s="0" t="s">
        <v>457</v>
      </c>
      <c r="M689" s="0" t="s">
        <v>457</v>
      </c>
      <c r="R689" s="0" t="s">
        <v>159</v>
      </c>
    </row>
    <row r="690" customFormat="false" ht="15" hidden="false" customHeight="false" outlineLevel="0" collapsed="false">
      <c r="A690" s="0" t="s">
        <v>149</v>
      </c>
      <c r="B690" s="0" t="n">
        <v>2017</v>
      </c>
      <c r="C690" s="0" t="s">
        <v>101</v>
      </c>
      <c r="D690" s="0" t="s">
        <v>79</v>
      </c>
      <c r="E690" s="0" t="n">
        <v>0</v>
      </c>
      <c r="F690" s="0" t="s">
        <v>45</v>
      </c>
      <c r="H690" s="0" t="s">
        <v>457</v>
      </c>
      <c r="I690" s="0" t="s">
        <v>457</v>
      </c>
      <c r="J690" s="0" t="s">
        <v>457</v>
      </c>
      <c r="K690" s="0" t="s">
        <v>457</v>
      </c>
      <c r="L690" s="0" t="s">
        <v>457</v>
      </c>
      <c r="M690" s="0" t="s">
        <v>457</v>
      </c>
      <c r="R690" s="0" t="s">
        <v>159</v>
      </c>
    </row>
    <row r="691" customFormat="false" ht="15" hidden="false" customHeight="false" outlineLevel="0" collapsed="false">
      <c r="A691" s="0" t="s">
        <v>149</v>
      </c>
      <c r="B691" s="0" t="n">
        <v>2017</v>
      </c>
      <c r="C691" s="0" t="s">
        <v>101</v>
      </c>
      <c r="D691" s="0" t="s">
        <v>79</v>
      </c>
      <c r="E691" s="0" t="n">
        <v>0</v>
      </c>
      <c r="F691" s="0" t="s">
        <v>71</v>
      </c>
      <c r="H691" s="0" t="s">
        <v>457</v>
      </c>
      <c r="I691" s="0" t="s">
        <v>457</v>
      </c>
      <c r="J691" s="0" t="s">
        <v>457</v>
      </c>
      <c r="K691" s="0" t="s">
        <v>457</v>
      </c>
      <c r="L691" s="0" t="s">
        <v>457</v>
      </c>
      <c r="M691" s="0" t="s">
        <v>457</v>
      </c>
      <c r="R691" s="0" t="s">
        <v>159</v>
      </c>
    </row>
    <row r="692" customFormat="false" ht="15" hidden="false" customHeight="false" outlineLevel="0" collapsed="false">
      <c r="A692" s="0" t="s">
        <v>149</v>
      </c>
      <c r="B692" s="0" t="n">
        <v>2017</v>
      </c>
      <c r="C692" s="0" t="s">
        <v>101</v>
      </c>
      <c r="D692" s="0" t="s">
        <v>79</v>
      </c>
      <c r="E692" s="0" t="n">
        <v>0</v>
      </c>
      <c r="F692" s="0" t="s">
        <v>31</v>
      </c>
      <c r="G692" s="0" t="n">
        <v>89.5923143706352</v>
      </c>
      <c r="H692" s="0" t="s">
        <v>437</v>
      </c>
      <c r="I692" s="0" t="s">
        <v>437</v>
      </c>
      <c r="J692" s="0" t="s">
        <v>437</v>
      </c>
      <c r="K692" s="0" t="s">
        <v>437</v>
      </c>
      <c r="L692" s="0" t="s">
        <v>437</v>
      </c>
      <c r="M692" s="0" t="s">
        <v>457</v>
      </c>
      <c r="R692" s="0" t="s">
        <v>159</v>
      </c>
    </row>
    <row r="693" customFormat="false" ht="15" hidden="false" customHeight="false" outlineLevel="0" collapsed="false">
      <c r="A693" s="0" t="s">
        <v>149</v>
      </c>
      <c r="B693" s="0" t="n">
        <v>2018</v>
      </c>
      <c r="C693" s="0" t="s">
        <v>101</v>
      </c>
      <c r="D693" s="0" t="s">
        <v>90</v>
      </c>
      <c r="E693" s="0" t="n">
        <v>1</v>
      </c>
      <c r="F693" s="0" t="s">
        <v>73</v>
      </c>
      <c r="G693" s="0" t="n">
        <v>0</v>
      </c>
      <c r="H693" s="0" t="s">
        <v>437</v>
      </c>
      <c r="I693" s="0" t="s">
        <v>437</v>
      </c>
      <c r="J693" s="0" t="s">
        <v>437</v>
      </c>
      <c r="K693" s="0" t="s">
        <v>457</v>
      </c>
      <c r="L693" s="0" t="s">
        <v>437</v>
      </c>
      <c r="M693" s="0" t="s">
        <v>457</v>
      </c>
      <c r="R693" s="0" t="s">
        <v>161</v>
      </c>
    </row>
    <row r="694" customFormat="false" ht="15" hidden="false" customHeight="false" outlineLevel="0" collapsed="false">
      <c r="A694" s="0" t="s">
        <v>149</v>
      </c>
      <c r="B694" s="0" t="n">
        <v>2018</v>
      </c>
      <c r="C694" s="0" t="s">
        <v>101</v>
      </c>
      <c r="D694" s="0" t="s">
        <v>90</v>
      </c>
      <c r="E694" s="0" t="n">
        <v>1</v>
      </c>
      <c r="F694" s="0" t="s">
        <v>69</v>
      </c>
      <c r="H694" s="0" t="s">
        <v>457</v>
      </c>
      <c r="I694" s="0" t="s">
        <v>457</v>
      </c>
      <c r="J694" s="0" t="s">
        <v>457</v>
      </c>
      <c r="K694" s="0" t="s">
        <v>457</v>
      </c>
      <c r="L694" s="0" t="s">
        <v>457</v>
      </c>
      <c r="M694" s="0" t="s">
        <v>457</v>
      </c>
      <c r="R694" s="0" t="s">
        <v>161</v>
      </c>
    </row>
    <row r="695" customFormat="false" ht="15" hidden="false" customHeight="false" outlineLevel="0" collapsed="false">
      <c r="A695" s="0" t="s">
        <v>149</v>
      </c>
      <c r="B695" s="0" t="n">
        <v>2018</v>
      </c>
      <c r="C695" s="0" t="s">
        <v>101</v>
      </c>
      <c r="D695" s="0" t="s">
        <v>90</v>
      </c>
      <c r="E695" s="0" t="n">
        <v>1</v>
      </c>
      <c r="F695" s="0" t="s">
        <v>25</v>
      </c>
      <c r="H695" s="0" t="s">
        <v>457</v>
      </c>
      <c r="I695" s="0" t="s">
        <v>457</v>
      </c>
      <c r="J695" s="0" t="s">
        <v>457</v>
      </c>
      <c r="K695" s="0" t="s">
        <v>457</v>
      </c>
      <c r="L695" s="0" t="s">
        <v>457</v>
      </c>
      <c r="M695" s="0" t="s">
        <v>457</v>
      </c>
      <c r="R695" s="0" t="s">
        <v>161</v>
      </c>
    </row>
    <row r="696" customFormat="false" ht="15" hidden="false" customHeight="false" outlineLevel="0" collapsed="false">
      <c r="A696" s="0" t="s">
        <v>149</v>
      </c>
      <c r="B696" s="0" t="n">
        <v>2018</v>
      </c>
      <c r="C696" s="0" t="s">
        <v>101</v>
      </c>
      <c r="D696" s="0" t="s">
        <v>90</v>
      </c>
      <c r="E696" s="0" t="n">
        <v>1</v>
      </c>
      <c r="F696" s="0" t="s">
        <v>41</v>
      </c>
      <c r="G696" s="0" t="n">
        <v>3.40467563083908</v>
      </c>
      <c r="H696" s="0" t="s">
        <v>437</v>
      </c>
      <c r="I696" s="0" t="s">
        <v>437</v>
      </c>
      <c r="J696" s="0" t="s">
        <v>437</v>
      </c>
      <c r="K696" s="0" t="s">
        <v>437</v>
      </c>
      <c r="L696" s="0" t="s">
        <v>437</v>
      </c>
      <c r="M696" s="0" t="s">
        <v>457</v>
      </c>
      <c r="R696" s="0" t="s">
        <v>161</v>
      </c>
    </row>
    <row r="697" customFormat="false" ht="15" hidden="false" customHeight="false" outlineLevel="0" collapsed="false">
      <c r="A697" s="0" t="s">
        <v>149</v>
      </c>
      <c r="B697" s="0" t="n">
        <v>2018</v>
      </c>
      <c r="C697" s="0" t="s">
        <v>101</v>
      </c>
      <c r="D697" s="0" t="s">
        <v>90</v>
      </c>
      <c r="E697" s="0" t="n">
        <v>1</v>
      </c>
      <c r="F697" s="0" t="s">
        <v>27</v>
      </c>
      <c r="G697" s="0" t="n">
        <v>10.6513386004021</v>
      </c>
      <c r="H697" s="0" t="s">
        <v>437</v>
      </c>
      <c r="I697" s="0" t="s">
        <v>437</v>
      </c>
      <c r="J697" s="0" t="s">
        <v>437</v>
      </c>
      <c r="K697" s="0" t="s">
        <v>437</v>
      </c>
      <c r="L697" s="0" t="s">
        <v>437</v>
      </c>
      <c r="M697" s="0" t="s">
        <v>457</v>
      </c>
      <c r="R697" s="0" t="s">
        <v>161</v>
      </c>
    </row>
    <row r="698" customFormat="false" ht="15" hidden="false" customHeight="false" outlineLevel="0" collapsed="false">
      <c r="A698" s="0" t="s">
        <v>149</v>
      </c>
      <c r="B698" s="0" t="n">
        <v>2018</v>
      </c>
      <c r="C698" s="0" t="s">
        <v>101</v>
      </c>
      <c r="D698" s="0" t="s">
        <v>90</v>
      </c>
      <c r="E698" s="0" t="n">
        <v>1</v>
      </c>
      <c r="F698" s="0" t="s">
        <v>39</v>
      </c>
      <c r="H698" s="0" t="s">
        <v>457</v>
      </c>
      <c r="I698" s="0" t="s">
        <v>457</v>
      </c>
      <c r="J698" s="0" t="s">
        <v>457</v>
      </c>
      <c r="K698" s="0" t="s">
        <v>457</v>
      </c>
      <c r="L698" s="0" t="s">
        <v>457</v>
      </c>
      <c r="M698" s="0" t="s">
        <v>457</v>
      </c>
      <c r="R698" s="0" t="s">
        <v>161</v>
      </c>
    </row>
    <row r="699" customFormat="false" ht="15" hidden="false" customHeight="false" outlineLevel="0" collapsed="false">
      <c r="A699" s="0" t="s">
        <v>149</v>
      </c>
      <c r="B699" s="0" t="n">
        <v>2018</v>
      </c>
      <c r="C699" s="0" t="s">
        <v>101</v>
      </c>
      <c r="D699" s="0" t="s">
        <v>90</v>
      </c>
      <c r="E699" s="0" t="n">
        <v>1</v>
      </c>
      <c r="F699" s="0" t="s">
        <v>17</v>
      </c>
      <c r="H699" s="0" t="s">
        <v>457</v>
      </c>
      <c r="I699" s="0" t="s">
        <v>457</v>
      </c>
      <c r="J699" s="0" t="s">
        <v>457</v>
      </c>
      <c r="K699" s="0" t="s">
        <v>457</v>
      </c>
      <c r="L699" s="0" t="s">
        <v>457</v>
      </c>
      <c r="M699" s="0" t="s">
        <v>457</v>
      </c>
      <c r="R699" s="0" t="s">
        <v>161</v>
      </c>
    </row>
    <row r="700" customFormat="false" ht="15" hidden="false" customHeight="false" outlineLevel="0" collapsed="false">
      <c r="A700" s="0" t="s">
        <v>149</v>
      </c>
      <c r="B700" s="0" t="n">
        <v>2018</v>
      </c>
      <c r="C700" s="0" t="s">
        <v>101</v>
      </c>
      <c r="D700" s="0" t="s">
        <v>90</v>
      </c>
      <c r="E700" s="0" t="n">
        <v>1</v>
      </c>
      <c r="F700" s="0" t="s">
        <v>29</v>
      </c>
      <c r="G700" s="0" t="n">
        <v>-0.203822142670043</v>
      </c>
      <c r="H700" s="0" t="s">
        <v>437</v>
      </c>
      <c r="I700" s="0" t="s">
        <v>437</v>
      </c>
      <c r="J700" s="0" t="s">
        <v>437</v>
      </c>
      <c r="K700" s="0" t="s">
        <v>437</v>
      </c>
      <c r="L700" s="0" t="s">
        <v>437</v>
      </c>
      <c r="M700" s="0" t="s">
        <v>457</v>
      </c>
      <c r="R700" s="0" t="s">
        <v>161</v>
      </c>
    </row>
    <row r="701" customFormat="false" ht="15" hidden="false" customHeight="false" outlineLevel="0" collapsed="false">
      <c r="A701" s="0" t="s">
        <v>149</v>
      </c>
      <c r="B701" s="0" t="n">
        <v>2018</v>
      </c>
      <c r="C701" s="0" t="s">
        <v>101</v>
      </c>
      <c r="D701" s="0" t="s">
        <v>90</v>
      </c>
      <c r="E701" s="0" t="n">
        <v>1</v>
      </c>
      <c r="F701" s="0" t="s">
        <v>37</v>
      </c>
      <c r="H701" s="0" t="s">
        <v>457</v>
      </c>
      <c r="I701" s="0" t="s">
        <v>457</v>
      </c>
      <c r="J701" s="0" t="s">
        <v>457</v>
      </c>
      <c r="K701" s="0" t="s">
        <v>457</v>
      </c>
      <c r="L701" s="0" t="s">
        <v>457</v>
      </c>
      <c r="M701" s="0" t="s">
        <v>457</v>
      </c>
      <c r="R701" s="0" t="s">
        <v>161</v>
      </c>
    </row>
    <row r="702" customFormat="false" ht="15" hidden="false" customHeight="false" outlineLevel="0" collapsed="false">
      <c r="A702" s="0" t="s">
        <v>149</v>
      </c>
      <c r="B702" s="0" t="n">
        <v>2018</v>
      </c>
      <c r="C702" s="0" t="s">
        <v>101</v>
      </c>
      <c r="D702" s="0" t="s">
        <v>90</v>
      </c>
      <c r="E702" s="0" t="n">
        <v>1</v>
      </c>
      <c r="F702" s="0" t="s">
        <v>23</v>
      </c>
      <c r="H702" s="0" t="s">
        <v>457</v>
      </c>
      <c r="I702" s="0" t="s">
        <v>457</v>
      </c>
      <c r="J702" s="0" t="s">
        <v>457</v>
      </c>
      <c r="K702" s="0" t="s">
        <v>457</v>
      </c>
      <c r="L702" s="0" t="s">
        <v>457</v>
      </c>
      <c r="M702" s="0" t="s">
        <v>457</v>
      </c>
      <c r="R702" s="0" t="s">
        <v>161</v>
      </c>
    </row>
    <row r="703" customFormat="false" ht="15" hidden="false" customHeight="false" outlineLevel="0" collapsed="false">
      <c r="A703" s="0" t="s">
        <v>149</v>
      </c>
      <c r="B703" s="0" t="n">
        <v>2018</v>
      </c>
      <c r="C703" s="0" t="s">
        <v>101</v>
      </c>
      <c r="D703" s="0" t="s">
        <v>90</v>
      </c>
      <c r="E703" s="0" t="n">
        <v>1</v>
      </c>
      <c r="F703" s="0" t="s">
        <v>45</v>
      </c>
      <c r="H703" s="0" t="s">
        <v>457</v>
      </c>
      <c r="I703" s="0" t="s">
        <v>457</v>
      </c>
      <c r="J703" s="0" t="s">
        <v>457</v>
      </c>
      <c r="K703" s="0" t="s">
        <v>457</v>
      </c>
      <c r="L703" s="0" t="s">
        <v>457</v>
      </c>
      <c r="M703" s="0" t="s">
        <v>457</v>
      </c>
      <c r="R703" s="0" t="s">
        <v>161</v>
      </c>
    </row>
    <row r="704" customFormat="false" ht="15" hidden="false" customHeight="false" outlineLevel="0" collapsed="false">
      <c r="A704" s="0" t="s">
        <v>149</v>
      </c>
      <c r="B704" s="0" t="n">
        <v>2018</v>
      </c>
      <c r="C704" s="0" t="s">
        <v>101</v>
      </c>
      <c r="D704" s="0" t="s">
        <v>90</v>
      </c>
      <c r="E704" s="0" t="n">
        <v>1</v>
      </c>
      <c r="F704" s="0" t="s">
        <v>71</v>
      </c>
      <c r="H704" s="0" t="s">
        <v>457</v>
      </c>
      <c r="I704" s="0" t="s">
        <v>457</v>
      </c>
      <c r="J704" s="0" t="s">
        <v>457</v>
      </c>
      <c r="K704" s="0" t="s">
        <v>457</v>
      </c>
      <c r="L704" s="0" t="s">
        <v>457</v>
      </c>
      <c r="M704" s="0" t="s">
        <v>457</v>
      </c>
      <c r="R704" s="0" t="s">
        <v>161</v>
      </c>
    </row>
    <row r="705" customFormat="false" ht="15" hidden="false" customHeight="false" outlineLevel="0" collapsed="false">
      <c r="A705" s="0" t="s">
        <v>149</v>
      </c>
      <c r="B705" s="0" t="n">
        <v>2018</v>
      </c>
      <c r="C705" s="0" t="s">
        <v>101</v>
      </c>
      <c r="D705" s="0" t="s">
        <v>90</v>
      </c>
      <c r="E705" s="0" t="n">
        <v>1</v>
      </c>
      <c r="F705" s="0" t="s">
        <v>31</v>
      </c>
      <c r="G705" s="0" t="n">
        <v>89.3486613995979</v>
      </c>
      <c r="H705" s="0" t="s">
        <v>437</v>
      </c>
      <c r="I705" s="0" t="s">
        <v>437</v>
      </c>
      <c r="J705" s="0" t="s">
        <v>437</v>
      </c>
      <c r="K705" s="0" t="s">
        <v>437</v>
      </c>
      <c r="L705" s="0" t="s">
        <v>437</v>
      </c>
      <c r="M705" s="0" t="s">
        <v>457</v>
      </c>
      <c r="R705" s="0" t="s">
        <v>161</v>
      </c>
    </row>
    <row r="706" customFormat="false" ht="15" hidden="false" customHeight="false" outlineLevel="0" collapsed="false">
      <c r="A706" s="0" t="s">
        <v>149</v>
      </c>
      <c r="B706" s="0" t="n">
        <v>2019</v>
      </c>
      <c r="C706" s="0" t="s">
        <v>101</v>
      </c>
      <c r="D706" s="0" t="s">
        <v>90</v>
      </c>
      <c r="E706" s="0" t="n">
        <v>1</v>
      </c>
      <c r="F706" s="0" t="s">
        <v>73</v>
      </c>
      <c r="G706" s="0" t="n">
        <v>0</v>
      </c>
      <c r="H706" s="0" t="s">
        <v>437</v>
      </c>
      <c r="I706" s="0" t="s">
        <v>437</v>
      </c>
      <c r="J706" s="0" t="s">
        <v>437</v>
      </c>
      <c r="K706" s="0" t="s">
        <v>437</v>
      </c>
      <c r="L706" s="0" t="s">
        <v>437</v>
      </c>
      <c r="M706" s="0" t="s">
        <v>457</v>
      </c>
      <c r="R706" s="0" t="s">
        <v>163</v>
      </c>
    </row>
    <row r="707" customFormat="false" ht="15" hidden="false" customHeight="false" outlineLevel="0" collapsed="false">
      <c r="A707" s="0" t="s">
        <v>149</v>
      </c>
      <c r="B707" s="0" t="n">
        <v>2019</v>
      </c>
      <c r="C707" s="0" t="s">
        <v>101</v>
      </c>
      <c r="D707" s="0" t="s">
        <v>90</v>
      </c>
      <c r="E707" s="0" t="n">
        <v>1</v>
      </c>
      <c r="F707" s="0" t="s">
        <v>69</v>
      </c>
      <c r="H707" s="0" t="s">
        <v>457</v>
      </c>
      <c r="I707" s="0" t="s">
        <v>457</v>
      </c>
      <c r="J707" s="0" t="s">
        <v>457</v>
      </c>
      <c r="K707" s="0" t="s">
        <v>457</v>
      </c>
      <c r="L707" s="0" t="s">
        <v>457</v>
      </c>
      <c r="M707" s="0" t="s">
        <v>457</v>
      </c>
      <c r="R707" s="0" t="s">
        <v>163</v>
      </c>
    </row>
    <row r="708" customFormat="false" ht="15" hidden="false" customHeight="false" outlineLevel="0" collapsed="false">
      <c r="A708" s="0" t="s">
        <v>149</v>
      </c>
      <c r="B708" s="0" t="n">
        <v>2019</v>
      </c>
      <c r="C708" s="0" t="s">
        <v>101</v>
      </c>
      <c r="D708" s="0" t="s">
        <v>90</v>
      </c>
      <c r="E708" s="0" t="n">
        <v>1</v>
      </c>
      <c r="F708" s="0" t="s">
        <v>25</v>
      </c>
      <c r="H708" s="0" t="s">
        <v>457</v>
      </c>
      <c r="I708" s="0" t="s">
        <v>457</v>
      </c>
      <c r="J708" s="0" t="s">
        <v>457</v>
      </c>
      <c r="K708" s="0" t="s">
        <v>457</v>
      </c>
      <c r="L708" s="0" t="s">
        <v>457</v>
      </c>
      <c r="M708" s="0" t="s">
        <v>457</v>
      </c>
      <c r="R708" s="0" t="s">
        <v>163</v>
      </c>
    </row>
    <row r="709" customFormat="false" ht="15" hidden="false" customHeight="false" outlineLevel="0" collapsed="false">
      <c r="A709" s="0" t="s">
        <v>149</v>
      </c>
      <c r="B709" s="0" t="n">
        <v>2019</v>
      </c>
      <c r="C709" s="0" t="s">
        <v>101</v>
      </c>
      <c r="D709" s="0" t="s">
        <v>90</v>
      </c>
      <c r="E709" s="0" t="n">
        <v>1</v>
      </c>
      <c r="F709" s="0" t="s">
        <v>41</v>
      </c>
      <c r="G709" s="0" t="n">
        <v>3.08335532416451</v>
      </c>
      <c r="H709" s="0" t="s">
        <v>437</v>
      </c>
      <c r="I709" s="0" t="s">
        <v>437</v>
      </c>
      <c r="J709" s="0" t="s">
        <v>437</v>
      </c>
      <c r="K709" s="0" t="s">
        <v>437</v>
      </c>
      <c r="L709" s="0" t="s">
        <v>437</v>
      </c>
      <c r="M709" s="0" t="s">
        <v>457</v>
      </c>
      <c r="R709" s="0" t="s">
        <v>163</v>
      </c>
    </row>
    <row r="710" customFormat="false" ht="15" hidden="false" customHeight="false" outlineLevel="0" collapsed="false">
      <c r="A710" s="0" t="s">
        <v>149</v>
      </c>
      <c r="B710" s="0" t="n">
        <v>2019</v>
      </c>
      <c r="C710" s="0" t="s">
        <v>101</v>
      </c>
      <c r="D710" s="0" t="s">
        <v>90</v>
      </c>
      <c r="E710" s="0" t="n">
        <v>1</v>
      </c>
      <c r="F710" s="0" t="s">
        <v>27</v>
      </c>
      <c r="G710" s="0" t="n">
        <v>11.2334850919479</v>
      </c>
      <c r="H710" s="0" t="s">
        <v>437</v>
      </c>
      <c r="I710" s="0" t="s">
        <v>437</v>
      </c>
      <c r="J710" s="0" t="s">
        <v>437</v>
      </c>
      <c r="K710" s="0" t="s">
        <v>437</v>
      </c>
      <c r="L710" s="0" t="s">
        <v>437</v>
      </c>
      <c r="M710" s="0" t="s">
        <v>457</v>
      </c>
      <c r="R710" s="0" t="s">
        <v>163</v>
      </c>
    </row>
    <row r="711" customFormat="false" ht="15" hidden="false" customHeight="false" outlineLevel="0" collapsed="false">
      <c r="A711" s="0" t="s">
        <v>149</v>
      </c>
      <c r="B711" s="0" t="n">
        <v>2019</v>
      </c>
      <c r="C711" s="0" t="s">
        <v>101</v>
      </c>
      <c r="D711" s="0" t="s">
        <v>90</v>
      </c>
      <c r="E711" s="0" t="n">
        <v>1</v>
      </c>
      <c r="F711" s="0" t="s">
        <v>39</v>
      </c>
      <c r="H711" s="0" t="s">
        <v>457</v>
      </c>
      <c r="I711" s="0" t="s">
        <v>457</v>
      </c>
      <c r="J711" s="0" t="s">
        <v>457</v>
      </c>
      <c r="K711" s="0" t="s">
        <v>457</v>
      </c>
      <c r="L711" s="0" t="s">
        <v>457</v>
      </c>
      <c r="M711" s="0" t="s">
        <v>457</v>
      </c>
      <c r="R711" s="0" t="s">
        <v>163</v>
      </c>
    </row>
    <row r="712" customFormat="false" ht="15" hidden="false" customHeight="false" outlineLevel="0" collapsed="false">
      <c r="A712" s="0" t="s">
        <v>149</v>
      </c>
      <c r="B712" s="0" t="n">
        <v>2019</v>
      </c>
      <c r="C712" s="0" t="s">
        <v>101</v>
      </c>
      <c r="D712" s="0" t="s">
        <v>90</v>
      </c>
      <c r="E712" s="0" t="n">
        <v>1</v>
      </c>
      <c r="F712" s="0" t="s">
        <v>17</v>
      </c>
      <c r="H712" s="0" t="s">
        <v>457</v>
      </c>
      <c r="I712" s="0" t="s">
        <v>457</v>
      </c>
      <c r="J712" s="0" t="s">
        <v>457</v>
      </c>
      <c r="K712" s="0" t="s">
        <v>457</v>
      </c>
      <c r="L712" s="0" t="s">
        <v>457</v>
      </c>
      <c r="M712" s="0" t="s">
        <v>457</v>
      </c>
      <c r="R712" s="0" t="s">
        <v>163</v>
      </c>
    </row>
    <row r="713" customFormat="false" ht="15" hidden="false" customHeight="false" outlineLevel="0" collapsed="false">
      <c r="A713" s="0" t="s">
        <v>149</v>
      </c>
      <c r="B713" s="0" t="n">
        <v>2019</v>
      </c>
      <c r="C713" s="0" t="s">
        <v>101</v>
      </c>
      <c r="D713" s="0" t="s">
        <v>90</v>
      </c>
      <c r="E713" s="0" t="n">
        <v>1</v>
      </c>
      <c r="F713" s="0" t="s">
        <v>29</v>
      </c>
      <c r="G713" s="0" t="n">
        <v>0.0981257914856416</v>
      </c>
      <c r="H713" s="0" t="s">
        <v>437</v>
      </c>
      <c r="I713" s="0" t="s">
        <v>437</v>
      </c>
      <c r="J713" s="0" t="s">
        <v>437</v>
      </c>
      <c r="K713" s="0" t="s">
        <v>437</v>
      </c>
      <c r="L713" s="0" t="s">
        <v>437</v>
      </c>
      <c r="M713" s="0" t="s">
        <v>457</v>
      </c>
      <c r="R713" s="0" t="s">
        <v>163</v>
      </c>
    </row>
    <row r="714" customFormat="false" ht="15" hidden="false" customHeight="false" outlineLevel="0" collapsed="false">
      <c r="A714" s="0" t="s">
        <v>149</v>
      </c>
      <c r="B714" s="0" t="n">
        <v>2019</v>
      </c>
      <c r="C714" s="0" t="s">
        <v>101</v>
      </c>
      <c r="D714" s="0" t="s">
        <v>90</v>
      </c>
      <c r="E714" s="0" t="n">
        <v>1</v>
      </c>
      <c r="F714" s="0" t="s">
        <v>37</v>
      </c>
      <c r="H714" s="0" t="s">
        <v>457</v>
      </c>
      <c r="I714" s="0" t="s">
        <v>457</v>
      </c>
      <c r="J714" s="0" t="s">
        <v>457</v>
      </c>
      <c r="K714" s="0" t="s">
        <v>457</v>
      </c>
      <c r="L714" s="0" t="s">
        <v>457</v>
      </c>
      <c r="M714" s="0" t="s">
        <v>457</v>
      </c>
      <c r="R714" s="0" t="s">
        <v>163</v>
      </c>
    </row>
    <row r="715" customFormat="false" ht="15" hidden="false" customHeight="false" outlineLevel="0" collapsed="false">
      <c r="A715" s="0" t="s">
        <v>149</v>
      </c>
      <c r="B715" s="0" t="n">
        <v>2019</v>
      </c>
      <c r="C715" s="0" t="s">
        <v>101</v>
      </c>
      <c r="D715" s="0" t="s">
        <v>90</v>
      </c>
      <c r="E715" s="0" t="n">
        <v>1</v>
      </c>
      <c r="F715" s="0" t="s">
        <v>23</v>
      </c>
      <c r="H715" s="0" t="s">
        <v>457</v>
      </c>
      <c r="I715" s="0" t="s">
        <v>457</v>
      </c>
      <c r="J715" s="0" t="s">
        <v>457</v>
      </c>
      <c r="K715" s="0" t="s">
        <v>457</v>
      </c>
      <c r="L715" s="0" t="s">
        <v>457</v>
      </c>
      <c r="M715" s="0" t="s">
        <v>457</v>
      </c>
      <c r="R715" s="0" t="s">
        <v>163</v>
      </c>
    </row>
    <row r="716" customFormat="false" ht="15" hidden="false" customHeight="false" outlineLevel="0" collapsed="false">
      <c r="A716" s="0" t="s">
        <v>149</v>
      </c>
      <c r="B716" s="0" t="n">
        <v>2019</v>
      </c>
      <c r="C716" s="0" t="s">
        <v>101</v>
      </c>
      <c r="D716" s="0" t="s">
        <v>90</v>
      </c>
      <c r="E716" s="0" t="n">
        <v>1</v>
      </c>
      <c r="F716" s="0" t="s">
        <v>45</v>
      </c>
      <c r="H716" s="0" t="s">
        <v>457</v>
      </c>
      <c r="I716" s="0" t="s">
        <v>457</v>
      </c>
      <c r="J716" s="0" t="s">
        <v>457</v>
      </c>
      <c r="K716" s="0" t="s">
        <v>457</v>
      </c>
      <c r="L716" s="0" t="s">
        <v>457</v>
      </c>
      <c r="M716" s="0" t="s">
        <v>457</v>
      </c>
      <c r="R716" s="0" t="s">
        <v>163</v>
      </c>
    </row>
    <row r="717" customFormat="false" ht="15" hidden="false" customHeight="false" outlineLevel="0" collapsed="false">
      <c r="A717" s="0" t="s">
        <v>149</v>
      </c>
      <c r="B717" s="0" t="n">
        <v>2019</v>
      </c>
      <c r="C717" s="0" t="s">
        <v>101</v>
      </c>
      <c r="D717" s="0" t="s">
        <v>90</v>
      </c>
      <c r="E717" s="0" t="n">
        <v>1</v>
      </c>
      <c r="F717" s="0" t="s">
        <v>71</v>
      </c>
      <c r="H717" s="0" t="s">
        <v>457</v>
      </c>
      <c r="I717" s="0" t="s">
        <v>457</v>
      </c>
      <c r="J717" s="0" t="s">
        <v>457</v>
      </c>
      <c r="K717" s="0" t="s">
        <v>457</v>
      </c>
      <c r="L717" s="0" t="s">
        <v>457</v>
      </c>
      <c r="M717" s="0" t="s">
        <v>457</v>
      </c>
      <c r="R717" s="0" t="s">
        <v>163</v>
      </c>
    </row>
    <row r="718" customFormat="false" ht="15" hidden="false" customHeight="false" outlineLevel="0" collapsed="false">
      <c r="A718" s="0" t="s">
        <v>149</v>
      </c>
      <c r="B718" s="0" t="n">
        <v>2019</v>
      </c>
      <c r="C718" s="0" t="s">
        <v>101</v>
      </c>
      <c r="D718" s="0" t="s">
        <v>90</v>
      </c>
      <c r="E718" s="0" t="n">
        <v>1</v>
      </c>
      <c r="F718" s="0" t="s">
        <v>31</v>
      </c>
      <c r="G718" s="0" t="n">
        <v>88.7665149080521</v>
      </c>
      <c r="H718" s="0" t="s">
        <v>437</v>
      </c>
      <c r="I718" s="0" t="s">
        <v>437</v>
      </c>
      <c r="J718" s="0" t="s">
        <v>437</v>
      </c>
      <c r="K718" s="0" t="s">
        <v>437</v>
      </c>
      <c r="L718" s="0" t="s">
        <v>437</v>
      </c>
      <c r="M718" s="0" t="s">
        <v>457</v>
      </c>
      <c r="R718" s="0" t="s">
        <v>163</v>
      </c>
    </row>
    <row r="719" customFormat="false" ht="15" hidden="false" customHeight="false" outlineLevel="0" collapsed="false">
      <c r="A719" s="0" t="s">
        <v>149</v>
      </c>
      <c r="B719" s="0" t="n">
        <v>2020</v>
      </c>
      <c r="C719" s="0" t="s">
        <v>101</v>
      </c>
      <c r="D719" s="0" t="s">
        <v>90</v>
      </c>
      <c r="E719" s="0" t="n">
        <v>1</v>
      </c>
      <c r="F719" s="0" t="s">
        <v>73</v>
      </c>
      <c r="H719" s="0" t="s">
        <v>457</v>
      </c>
      <c r="I719" s="0" t="s">
        <v>457</v>
      </c>
      <c r="J719" s="0" t="s">
        <v>457</v>
      </c>
      <c r="K719" s="0" t="s">
        <v>457</v>
      </c>
      <c r="L719" s="0" t="s">
        <v>457</v>
      </c>
      <c r="M719" s="0" t="s">
        <v>457</v>
      </c>
      <c r="R719" s="0" t="s">
        <v>165</v>
      </c>
    </row>
    <row r="720" customFormat="false" ht="15" hidden="false" customHeight="false" outlineLevel="0" collapsed="false">
      <c r="A720" s="0" t="s">
        <v>149</v>
      </c>
      <c r="B720" s="0" t="n">
        <v>2020</v>
      </c>
      <c r="C720" s="0" t="s">
        <v>101</v>
      </c>
      <c r="D720" s="0" t="s">
        <v>90</v>
      </c>
      <c r="E720" s="0" t="n">
        <v>1</v>
      </c>
      <c r="F720" s="0" t="s">
        <v>69</v>
      </c>
      <c r="G720" s="0" t="n">
        <v>19.4</v>
      </c>
      <c r="H720" s="0" t="s">
        <v>437</v>
      </c>
      <c r="I720" s="0" t="s">
        <v>437</v>
      </c>
      <c r="J720" s="0" t="s">
        <v>437</v>
      </c>
      <c r="K720" s="0" t="s">
        <v>457</v>
      </c>
      <c r="L720" s="0" t="s">
        <v>437</v>
      </c>
      <c r="M720" s="0" t="s">
        <v>457</v>
      </c>
      <c r="R720" s="0" t="s">
        <v>165</v>
      </c>
    </row>
    <row r="721" customFormat="false" ht="15" hidden="false" customHeight="false" outlineLevel="0" collapsed="false">
      <c r="A721" s="0" t="s">
        <v>149</v>
      </c>
      <c r="B721" s="0" t="n">
        <v>2020</v>
      </c>
      <c r="C721" s="0" t="s">
        <v>101</v>
      </c>
      <c r="D721" s="0" t="s">
        <v>90</v>
      </c>
      <c r="E721" s="0" t="n">
        <v>1</v>
      </c>
      <c r="F721" s="0" t="s">
        <v>25</v>
      </c>
      <c r="G721" s="0" t="n">
        <v>19.4150102245185</v>
      </c>
      <c r="H721" s="0" t="s">
        <v>437</v>
      </c>
      <c r="I721" s="0" t="s">
        <v>437</v>
      </c>
      <c r="J721" s="0" t="s">
        <v>437</v>
      </c>
      <c r="K721" s="0" t="s">
        <v>457</v>
      </c>
      <c r="L721" s="0" t="s">
        <v>457</v>
      </c>
      <c r="M721" s="0" t="s">
        <v>457</v>
      </c>
      <c r="N721" s="0" t="s">
        <v>2572</v>
      </c>
      <c r="O721" s="0" t="s">
        <v>2583</v>
      </c>
      <c r="P721" s="0" t="s">
        <v>2584</v>
      </c>
      <c r="R721" s="0" t="s">
        <v>165</v>
      </c>
    </row>
    <row r="722" customFormat="false" ht="15" hidden="false" customHeight="false" outlineLevel="0" collapsed="false">
      <c r="A722" s="0" t="s">
        <v>149</v>
      </c>
      <c r="B722" s="0" t="n">
        <v>2020</v>
      </c>
      <c r="C722" s="0" t="s">
        <v>101</v>
      </c>
      <c r="D722" s="0" t="s">
        <v>90</v>
      </c>
      <c r="E722" s="0" t="n">
        <v>1</v>
      </c>
      <c r="F722" s="0" t="s">
        <v>41</v>
      </c>
      <c r="H722" s="0" t="s">
        <v>457</v>
      </c>
      <c r="I722" s="0" t="s">
        <v>457</v>
      </c>
      <c r="J722" s="0" t="s">
        <v>457</v>
      </c>
      <c r="K722" s="0" t="s">
        <v>457</v>
      </c>
      <c r="L722" s="0" t="s">
        <v>457</v>
      </c>
      <c r="M722" s="0" t="s">
        <v>457</v>
      </c>
      <c r="R722" s="0" t="s">
        <v>165</v>
      </c>
    </row>
    <row r="723" customFormat="false" ht="15" hidden="false" customHeight="false" outlineLevel="0" collapsed="false">
      <c r="A723" s="0" t="s">
        <v>149</v>
      </c>
      <c r="B723" s="0" t="n">
        <v>2020</v>
      </c>
      <c r="C723" s="0" t="s">
        <v>101</v>
      </c>
      <c r="D723" s="0" t="s">
        <v>90</v>
      </c>
      <c r="E723" s="0" t="n">
        <v>1</v>
      </c>
      <c r="F723" s="0" t="s">
        <v>27</v>
      </c>
      <c r="G723" s="0" t="n">
        <v>10.2145803968786</v>
      </c>
      <c r="H723" s="0" t="s">
        <v>437</v>
      </c>
      <c r="I723" s="0" t="s">
        <v>437</v>
      </c>
      <c r="J723" s="0" t="s">
        <v>437</v>
      </c>
      <c r="K723" s="0" t="s">
        <v>437</v>
      </c>
      <c r="L723" s="0" t="s">
        <v>437</v>
      </c>
      <c r="M723" s="0" t="s">
        <v>457</v>
      </c>
      <c r="R723" s="0" t="s">
        <v>165</v>
      </c>
    </row>
    <row r="724" customFormat="false" ht="15" hidden="false" customHeight="false" outlineLevel="0" collapsed="false">
      <c r="A724" s="0" t="s">
        <v>149</v>
      </c>
      <c r="B724" s="0" t="n">
        <v>2020</v>
      </c>
      <c r="C724" s="0" t="s">
        <v>101</v>
      </c>
      <c r="D724" s="0" t="s">
        <v>90</v>
      </c>
      <c r="E724" s="0" t="n">
        <v>1</v>
      </c>
      <c r="F724" s="0" t="s">
        <v>39</v>
      </c>
      <c r="H724" s="0" t="s">
        <v>457</v>
      </c>
      <c r="I724" s="0" t="s">
        <v>457</v>
      </c>
      <c r="J724" s="0" t="s">
        <v>457</v>
      </c>
      <c r="K724" s="0" t="s">
        <v>457</v>
      </c>
      <c r="L724" s="0" t="s">
        <v>457</v>
      </c>
      <c r="M724" s="0" t="s">
        <v>457</v>
      </c>
      <c r="R724" s="0" t="s">
        <v>165</v>
      </c>
    </row>
    <row r="725" customFormat="false" ht="15" hidden="false" customHeight="false" outlineLevel="0" collapsed="false">
      <c r="A725" s="0" t="s">
        <v>149</v>
      </c>
      <c r="B725" s="0" t="n">
        <v>2020</v>
      </c>
      <c r="C725" s="0" t="s">
        <v>101</v>
      </c>
      <c r="D725" s="0" t="s">
        <v>90</v>
      </c>
      <c r="E725" s="0" t="n">
        <v>1</v>
      </c>
      <c r="F725" s="0" t="s">
        <v>17</v>
      </c>
      <c r="G725" s="0" t="n">
        <v>4.60146011243842</v>
      </c>
      <c r="H725" s="0" t="s">
        <v>437</v>
      </c>
      <c r="I725" s="0" t="s">
        <v>437</v>
      </c>
      <c r="J725" s="0" t="s">
        <v>437</v>
      </c>
      <c r="K725" s="0" t="s">
        <v>457</v>
      </c>
      <c r="L725" s="0" t="s">
        <v>437</v>
      </c>
      <c r="M725" s="0" t="s">
        <v>457</v>
      </c>
      <c r="R725" s="0" t="s">
        <v>165</v>
      </c>
    </row>
    <row r="726" customFormat="false" ht="15" hidden="false" customHeight="false" outlineLevel="0" collapsed="false">
      <c r="A726" s="0" t="s">
        <v>149</v>
      </c>
      <c r="B726" s="0" t="n">
        <v>2020</v>
      </c>
      <c r="C726" s="0" t="s">
        <v>101</v>
      </c>
      <c r="D726" s="0" t="s">
        <v>90</v>
      </c>
      <c r="E726" s="0" t="n">
        <v>1</v>
      </c>
      <c r="F726" s="0" t="s">
        <v>29</v>
      </c>
      <c r="H726" s="0" t="s">
        <v>457</v>
      </c>
      <c r="I726" s="0" t="s">
        <v>457</v>
      </c>
      <c r="J726" s="0" t="s">
        <v>457</v>
      </c>
      <c r="K726" s="0" t="s">
        <v>457</v>
      </c>
      <c r="L726" s="0" t="s">
        <v>457</v>
      </c>
      <c r="M726" s="0" t="s">
        <v>457</v>
      </c>
      <c r="O726" s="0" t="s">
        <v>2585</v>
      </c>
      <c r="P726" s="0" t="s">
        <v>2586</v>
      </c>
      <c r="R726" s="0" t="s">
        <v>165</v>
      </c>
    </row>
    <row r="727" customFormat="false" ht="15" hidden="false" customHeight="false" outlineLevel="0" collapsed="false">
      <c r="A727" s="0" t="s">
        <v>149</v>
      </c>
      <c r="B727" s="0" t="n">
        <v>2020</v>
      </c>
      <c r="C727" s="0" t="s">
        <v>101</v>
      </c>
      <c r="D727" s="0" t="s">
        <v>90</v>
      </c>
      <c r="E727" s="0" t="n">
        <v>1</v>
      </c>
      <c r="F727" s="0" t="s">
        <v>37</v>
      </c>
      <c r="H727" s="0" t="s">
        <v>457</v>
      </c>
      <c r="I727" s="0" t="s">
        <v>457</v>
      </c>
      <c r="J727" s="0" t="s">
        <v>457</v>
      </c>
      <c r="K727" s="0" t="s">
        <v>457</v>
      </c>
      <c r="L727" s="0" t="s">
        <v>457</v>
      </c>
      <c r="M727" s="0" t="s">
        <v>457</v>
      </c>
      <c r="R727" s="0" t="s">
        <v>165</v>
      </c>
    </row>
    <row r="728" customFormat="false" ht="15" hidden="false" customHeight="false" outlineLevel="0" collapsed="false">
      <c r="A728" s="0" t="s">
        <v>149</v>
      </c>
      <c r="B728" s="0" t="n">
        <v>2020</v>
      </c>
      <c r="C728" s="0" t="s">
        <v>101</v>
      </c>
      <c r="D728" s="0" t="s">
        <v>90</v>
      </c>
      <c r="E728" s="0" t="n">
        <v>1</v>
      </c>
      <c r="F728" s="0" t="s">
        <v>23</v>
      </c>
      <c r="H728" s="0" t="s">
        <v>457</v>
      </c>
      <c r="I728" s="0" t="s">
        <v>457</v>
      </c>
      <c r="J728" s="0" t="s">
        <v>457</v>
      </c>
      <c r="K728" s="0" t="s">
        <v>457</v>
      </c>
      <c r="L728" s="0" t="s">
        <v>457</v>
      </c>
      <c r="M728" s="0" t="s">
        <v>457</v>
      </c>
      <c r="R728" s="0" t="s">
        <v>165</v>
      </c>
    </row>
    <row r="729" customFormat="false" ht="15" hidden="false" customHeight="false" outlineLevel="0" collapsed="false">
      <c r="A729" s="0" t="s">
        <v>149</v>
      </c>
      <c r="B729" s="0" t="n">
        <v>2020</v>
      </c>
      <c r="C729" s="0" t="s">
        <v>101</v>
      </c>
      <c r="D729" s="0" t="s">
        <v>90</v>
      </c>
      <c r="E729" s="0" t="n">
        <v>1</v>
      </c>
      <c r="F729" s="0" t="s">
        <v>45</v>
      </c>
      <c r="H729" s="0" t="s">
        <v>457</v>
      </c>
      <c r="I729" s="0" t="s">
        <v>457</v>
      </c>
      <c r="J729" s="0" t="s">
        <v>457</v>
      </c>
      <c r="K729" s="0" t="s">
        <v>457</v>
      </c>
      <c r="L729" s="0" t="s">
        <v>457</v>
      </c>
      <c r="M729" s="0" t="s">
        <v>457</v>
      </c>
      <c r="R729" s="0" t="s">
        <v>165</v>
      </c>
    </row>
    <row r="730" customFormat="false" ht="15" hidden="false" customHeight="false" outlineLevel="0" collapsed="false">
      <c r="A730" s="0" t="s">
        <v>149</v>
      </c>
      <c r="B730" s="0" t="n">
        <v>2020</v>
      </c>
      <c r="C730" s="0" t="s">
        <v>101</v>
      </c>
      <c r="D730" s="0" t="s">
        <v>90</v>
      </c>
      <c r="E730" s="0" t="n">
        <v>1</v>
      </c>
      <c r="F730" s="0" t="s">
        <v>71</v>
      </c>
      <c r="H730" s="0" t="s">
        <v>457</v>
      </c>
      <c r="I730" s="0" t="s">
        <v>457</v>
      </c>
      <c r="J730" s="0" t="s">
        <v>457</v>
      </c>
      <c r="K730" s="0" t="s">
        <v>457</v>
      </c>
      <c r="L730" s="0" t="s">
        <v>457</v>
      </c>
      <c r="M730" s="0" t="s">
        <v>457</v>
      </c>
      <c r="R730" s="0" t="s">
        <v>165</v>
      </c>
    </row>
    <row r="731" customFormat="false" ht="15" hidden="false" customHeight="false" outlineLevel="0" collapsed="false">
      <c r="A731" s="0" t="s">
        <v>149</v>
      </c>
      <c r="B731" s="0" t="n">
        <v>2020</v>
      </c>
      <c r="C731" s="0" t="s">
        <v>101</v>
      </c>
      <c r="D731" s="0" t="s">
        <v>90</v>
      </c>
      <c r="E731" s="0" t="n">
        <v>1</v>
      </c>
      <c r="F731" s="0" t="s">
        <v>31</v>
      </c>
      <c r="G731" s="0" t="n">
        <v>89.7854196031214</v>
      </c>
      <c r="H731" s="0" t="s">
        <v>437</v>
      </c>
      <c r="I731" s="0" t="s">
        <v>437</v>
      </c>
      <c r="J731" s="0" t="s">
        <v>437</v>
      </c>
      <c r="K731" s="0" t="s">
        <v>437</v>
      </c>
      <c r="L731" s="0" t="s">
        <v>437</v>
      </c>
      <c r="M731" s="0" t="s">
        <v>457</v>
      </c>
      <c r="R731" s="0" t="s">
        <v>165</v>
      </c>
    </row>
    <row r="732" customFormat="false" ht="15" hidden="false" customHeight="false" outlineLevel="0" collapsed="false">
      <c r="A732" s="0" t="s">
        <v>149</v>
      </c>
      <c r="B732" s="0" t="n">
        <v>2021</v>
      </c>
      <c r="C732" s="0" t="s">
        <v>101</v>
      </c>
      <c r="D732" s="0" t="s">
        <v>90</v>
      </c>
      <c r="E732" s="0" t="n">
        <v>1</v>
      </c>
      <c r="F732" s="0" t="s">
        <v>73</v>
      </c>
      <c r="G732" s="0" t="n">
        <v>0</v>
      </c>
      <c r="H732" s="0" t="s">
        <v>437</v>
      </c>
      <c r="I732" s="0" t="s">
        <v>437</v>
      </c>
      <c r="J732" s="0" t="s">
        <v>437</v>
      </c>
      <c r="K732" s="0" t="s">
        <v>457</v>
      </c>
      <c r="L732" s="0" t="s">
        <v>437</v>
      </c>
      <c r="M732" s="0" t="s">
        <v>457</v>
      </c>
      <c r="R732" s="0" t="s">
        <v>166</v>
      </c>
    </row>
    <row r="733" customFormat="false" ht="15" hidden="false" customHeight="false" outlineLevel="0" collapsed="false">
      <c r="A733" s="0" t="s">
        <v>149</v>
      </c>
      <c r="B733" s="0" t="n">
        <v>2021</v>
      </c>
      <c r="C733" s="0" t="s">
        <v>101</v>
      </c>
      <c r="D733" s="0" t="s">
        <v>90</v>
      </c>
      <c r="E733" s="0" t="n">
        <v>1</v>
      </c>
      <c r="F733" s="0" t="s">
        <v>69</v>
      </c>
      <c r="G733" s="0" t="n">
        <v>16.1</v>
      </c>
      <c r="H733" s="0" t="s">
        <v>437</v>
      </c>
      <c r="I733" s="0" t="s">
        <v>437</v>
      </c>
      <c r="J733" s="0" t="s">
        <v>437</v>
      </c>
      <c r="K733" s="0" t="s">
        <v>437</v>
      </c>
      <c r="L733" s="0" t="s">
        <v>437</v>
      </c>
      <c r="M733" s="0" t="s">
        <v>457</v>
      </c>
      <c r="R733" s="0" t="s">
        <v>166</v>
      </c>
    </row>
    <row r="734" customFormat="false" ht="15" hidden="false" customHeight="false" outlineLevel="0" collapsed="false">
      <c r="A734" s="0" t="s">
        <v>149</v>
      </c>
      <c r="B734" s="0" t="n">
        <v>2021</v>
      </c>
      <c r="C734" s="0" t="s">
        <v>101</v>
      </c>
      <c r="D734" s="0" t="s">
        <v>90</v>
      </c>
      <c r="E734" s="0" t="n">
        <v>1</v>
      </c>
      <c r="F734" s="0" t="s">
        <v>25</v>
      </c>
      <c r="G734" s="0" t="n">
        <v>16.1415023816789</v>
      </c>
      <c r="H734" s="0" t="s">
        <v>437</v>
      </c>
      <c r="I734" s="0" t="s">
        <v>437</v>
      </c>
      <c r="J734" s="0" t="s">
        <v>437</v>
      </c>
      <c r="K734" s="0" t="s">
        <v>437</v>
      </c>
      <c r="L734" s="0" t="s">
        <v>437</v>
      </c>
      <c r="M734" s="0" t="s">
        <v>457</v>
      </c>
      <c r="R734" s="0" t="s">
        <v>166</v>
      </c>
    </row>
    <row r="735" customFormat="false" ht="15" hidden="false" customHeight="false" outlineLevel="0" collapsed="false">
      <c r="A735" s="0" t="s">
        <v>149</v>
      </c>
      <c r="B735" s="0" t="n">
        <v>2021</v>
      </c>
      <c r="C735" s="0" t="s">
        <v>101</v>
      </c>
      <c r="D735" s="0" t="s">
        <v>90</v>
      </c>
      <c r="E735" s="0" t="n">
        <v>1</v>
      </c>
      <c r="F735" s="0" t="s">
        <v>41</v>
      </c>
      <c r="G735" s="0" t="n">
        <v>1.18649379247473</v>
      </c>
      <c r="H735" s="0" t="s">
        <v>437</v>
      </c>
      <c r="I735" s="0" t="s">
        <v>437</v>
      </c>
      <c r="J735" s="0" t="s">
        <v>437</v>
      </c>
      <c r="K735" s="0" t="s">
        <v>457</v>
      </c>
      <c r="L735" s="0" t="s">
        <v>437</v>
      </c>
      <c r="M735" s="0" t="s">
        <v>457</v>
      </c>
      <c r="R735" s="0" t="s">
        <v>166</v>
      </c>
    </row>
    <row r="736" customFormat="false" ht="15" hidden="false" customHeight="false" outlineLevel="0" collapsed="false">
      <c r="A736" s="0" t="s">
        <v>149</v>
      </c>
      <c r="B736" s="0" t="n">
        <v>2021</v>
      </c>
      <c r="C736" s="0" t="s">
        <v>101</v>
      </c>
      <c r="D736" s="0" t="s">
        <v>90</v>
      </c>
      <c r="E736" s="0" t="n">
        <v>1</v>
      </c>
      <c r="F736" s="0" t="s">
        <v>27</v>
      </c>
      <c r="G736" s="0" t="n">
        <v>9.63146980188494</v>
      </c>
      <c r="H736" s="0" t="s">
        <v>437</v>
      </c>
      <c r="I736" s="0" t="s">
        <v>437</v>
      </c>
      <c r="J736" s="0" t="s">
        <v>437</v>
      </c>
      <c r="K736" s="0" t="s">
        <v>437</v>
      </c>
      <c r="L736" s="0" t="s">
        <v>437</v>
      </c>
      <c r="M736" s="0" t="s">
        <v>457</v>
      </c>
      <c r="R736" s="0" t="s">
        <v>166</v>
      </c>
    </row>
    <row r="737" customFormat="false" ht="15" hidden="false" customHeight="false" outlineLevel="0" collapsed="false">
      <c r="A737" s="0" t="s">
        <v>149</v>
      </c>
      <c r="B737" s="0" t="n">
        <v>2021</v>
      </c>
      <c r="C737" s="0" t="s">
        <v>101</v>
      </c>
      <c r="D737" s="0" t="s">
        <v>90</v>
      </c>
      <c r="E737" s="0" t="n">
        <v>1</v>
      </c>
      <c r="F737" s="0" t="s">
        <v>39</v>
      </c>
      <c r="G737" s="0" t="n">
        <v>2.23780673994279</v>
      </c>
      <c r="H737" s="0" t="s">
        <v>437</v>
      </c>
      <c r="I737" s="0" t="s">
        <v>437</v>
      </c>
      <c r="J737" s="0" t="s">
        <v>437</v>
      </c>
      <c r="K737" s="0" t="s">
        <v>457</v>
      </c>
      <c r="L737" s="0" t="s">
        <v>437</v>
      </c>
      <c r="M737" s="0" t="s">
        <v>457</v>
      </c>
      <c r="R737" s="0" t="s">
        <v>166</v>
      </c>
    </row>
    <row r="738" customFormat="false" ht="15" hidden="false" customHeight="false" outlineLevel="0" collapsed="false">
      <c r="A738" s="0" t="s">
        <v>149</v>
      </c>
      <c r="B738" s="0" t="n">
        <v>2021</v>
      </c>
      <c r="C738" s="0" t="s">
        <v>101</v>
      </c>
      <c r="D738" s="0" t="s">
        <v>90</v>
      </c>
      <c r="E738" s="0" t="n">
        <v>1</v>
      </c>
      <c r="F738" s="0" t="s">
        <v>17</v>
      </c>
      <c r="G738" s="0" t="n">
        <v>2.6647038495803</v>
      </c>
      <c r="H738" s="0" t="s">
        <v>437</v>
      </c>
      <c r="I738" s="0" t="s">
        <v>437</v>
      </c>
      <c r="J738" s="0" t="s">
        <v>437</v>
      </c>
      <c r="K738" s="0" t="s">
        <v>437</v>
      </c>
      <c r="L738" s="0" t="s">
        <v>437</v>
      </c>
      <c r="M738" s="0" t="s">
        <v>457</v>
      </c>
      <c r="R738" s="0" t="s">
        <v>166</v>
      </c>
    </row>
    <row r="739" customFormat="false" ht="15" hidden="false" customHeight="false" outlineLevel="0" collapsed="false">
      <c r="A739" s="0" t="s">
        <v>149</v>
      </c>
      <c r="B739" s="0" t="n">
        <v>2021</v>
      </c>
      <c r="C739" s="0" t="s">
        <v>101</v>
      </c>
      <c r="D739" s="0" t="s">
        <v>90</v>
      </c>
      <c r="E739" s="0" t="n">
        <v>1</v>
      </c>
      <c r="F739" s="0" t="s">
        <v>29</v>
      </c>
      <c r="G739" s="0" t="n">
        <v>-0.0484708996046492</v>
      </c>
      <c r="H739" s="0" t="s">
        <v>437</v>
      </c>
      <c r="I739" s="0" t="s">
        <v>437</v>
      </c>
      <c r="J739" s="0" t="s">
        <v>437</v>
      </c>
      <c r="K739" s="0" t="s">
        <v>457</v>
      </c>
      <c r="L739" s="0" t="s">
        <v>437</v>
      </c>
      <c r="M739" s="0" t="s">
        <v>457</v>
      </c>
      <c r="R739" s="0" t="s">
        <v>166</v>
      </c>
    </row>
    <row r="740" customFormat="false" ht="15" hidden="false" customHeight="false" outlineLevel="0" collapsed="false">
      <c r="A740" s="0" t="s">
        <v>149</v>
      </c>
      <c r="B740" s="0" t="n">
        <v>2021</v>
      </c>
      <c r="C740" s="0" t="s">
        <v>101</v>
      </c>
      <c r="D740" s="0" t="s">
        <v>90</v>
      </c>
      <c r="E740" s="0" t="n">
        <v>1</v>
      </c>
      <c r="F740" s="0" t="s">
        <v>37</v>
      </c>
      <c r="H740" s="0" t="s">
        <v>457</v>
      </c>
      <c r="I740" s="0" t="s">
        <v>457</v>
      </c>
      <c r="J740" s="0" t="s">
        <v>457</v>
      </c>
      <c r="K740" s="0" t="s">
        <v>457</v>
      </c>
      <c r="L740" s="0" t="s">
        <v>457</v>
      </c>
      <c r="M740" s="0" t="s">
        <v>457</v>
      </c>
      <c r="R740" s="0" t="s">
        <v>166</v>
      </c>
    </row>
    <row r="741" customFormat="false" ht="15" hidden="false" customHeight="false" outlineLevel="0" collapsed="false">
      <c r="A741" s="0" t="s">
        <v>149</v>
      </c>
      <c r="B741" s="0" t="n">
        <v>2021</v>
      </c>
      <c r="C741" s="0" t="s">
        <v>101</v>
      </c>
      <c r="D741" s="0" t="s">
        <v>90</v>
      </c>
      <c r="E741" s="0" t="n">
        <v>1</v>
      </c>
      <c r="F741" s="0" t="s">
        <v>23</v>
      </c>
      <c r="H741" s="0" t="s">
        <v>457</v>
      </c>
      <c r="I741" s="0" t="s">
        <v>457</v>
      </c>
      <c r="J741" s="0" t="s">
        <v>457</v>
      </c>
      <c r="K741" s="0" t="s">
        <v>457</v>
      </c>
      <c r="L741" s="0" t="s">
        <v>457</v>
      </c>
      <c r="M741" s="0" t="s">
        <v>457</v>
      </c>
      <c r="R741" s="0" t="s">
        <v>166</v>
      </c>
    </row>
    <row r="742" customFormat="false" ht="15" hidden="false" customHeight="false" outlineLevel="0" collapsed="false">
      <c r="A742" s="0" t="s">
        <v>149</v>
      </c>
      <c r="B742" s="0" t="n">
        <v>2021</v>
      </c>
      <c r="C742" s="0" t="s">
        <v>101</v>
      </c>
      <c r="D742" s="0" t="s">
        <v>90</v>
      </c>
      <c r="E742" s="0" t="n">
        <v>1</v>
      </c>
      <c r="F742" s="0" t="s">
        <v>45</v>
      </c>
      <c r="H742" s="0" t="s">
        <v>457</v>
      </c>
      <c r="I742" s="0" t="s">
        <v>457</v>
      </c>
      <c r="J742" s="0" t="s">
        <v>457</v>
      </c>
      <c r="K742" s="0" t="s">
        <v>457</v>
      </c>
      <c r="L742" s="0" t="s">
        <v>457</v>
      </c>
      <c r="M742" s="0" t="s">
        <v>457</v>
      </c>
      <c r="R742" s="0" t="s">
        <v>166</v>
      </c>
    </row>
    <row r="743" customFormat="false" ht="15" hidden="false" customHeight="false" outlineLevel="0" collapsed="false">
      <c r="A743" s="0" t="s">
        <v>149</v>
      </c>
      <c r="B743" s="0" t="n">
        <v>2021</v>
      </c>
      <c r="C743" s="0" t="s">
        <v>101</v>
      </c>
      <c r="D743" s="0" t="s">
        <v>90</v>
      </c>
      <c r="E743" s="0" t="n">
        <v>1</v>
      </c>
      <c r="F743" s="0" t="s">
        <v>71</v>
      </c>
      <c r="H743" s="0" t="s">
        <v>457</v>
      </c>
      <c r="I743" s="0" t="s">
        <v>457</v>
      </c>
      <c r="J743" s="0" t="s">
        <v>457</v>
      </c>
      <c r="K743" s="0" t="s">
        <v>457</v>
      </c>
      <c r="L743" s="0" t="s">
        <v>457</v>
      </c>
      <c r="M743" s="0" t="s">
        <v>457</v>
      </c>
      <c r="R743" s="0" t="s">
        <v>166</v>
      </c>
    </row>
    <row r="744" customFormat="false" ht="15" hidden="false" customHeight="false" outlineLevel="0" collapsed="false">
      <c r="A744" s="0" t="s">
        <v>149</v>
      </c>
      <c r="B744" s="0" t="n">
        <v>2021</v>
      </c>
      <c r="C744" s="0" t="s">
        <v>101</v>
      </c>
      <c r="D744" s="0" t="s">
        <v>90</v>
      </c>
      <c r="E744" s="0" t="n">
        <v>1</v>
      </c>
      <c r="F744" s="0" t="s">
        <v>31</v>
      </c>
      <c r="G744" s="0" t="n">
        <v>90.3685301981151</v>
      </c>
      <c r="H744" s="0" t="s">
        <v>437</v>
      </c>
      <c r="I744" s="0" t="s">
        <v>437</v>
      </c>
      <c r="J744" s="0" t="s">
        <v>437</v>
      </c>
      <c r="K744" s="0" t="s">
        <v>437</v>
      </c>
      <c r="L744" s="0" t="s">
        <v>437</v>
      </c>
      <c r="M744" s="0" t="s">
        <v>457</v>
      </c>
      <c r="R744" s="0" t="s">
        <v>166</v>
      </c>
    </row>
    <row r="745" customFormat="false" ht="15" hidden="false" customHeight="false" outlineLevel="0" collapsed="false">
      <c r="A745" s="0" t="s">
        <v>149</v>
      </c>
      <c r="B745" s="0" t="n">
        <v>2022</v>
      </c>
      <c r="C745" s="0" t="s">
        <v>101</v>
      </c>
      <c r="D745" s="0" t="s">
        <v>90</v>
      </c>
      <c r="E745" s="0" t="n">
        <v>1</v>
      </c>
      <c r="F745" s="0" t="s">
        <v>73</v>
      </c>
      <c r="G745" s="0" t="n">
        <v>0</v>
      </c>
      <c r="H745" s="0" t="s">
        <v>437</v>
      </c>
      <c r="I745" s="0" t="s">
        <v>437</v>
      </c>
      <c r="J745" s="0" t="s">
        <v>437</v>
      </c>
      <c r="K745" s="0" t="s">
        <v>437</v>
      </c>
      <c r="L745" s="0" t="s">
        <v>437</v>
      </c>
      <c r="M745" s="0" t="s">
        <v>457</v>
      </c>
      <c r="R745" s="0" t="s">
        <v>168</v>
      </c>
    </row>
    <row r="746" customFormat="false" ht="15" hidden="false" customHeight="false" outlineLevel="0" collapsed="false">
      <c r="A746" s="0" t="s">
        <v>149</v>
      </c>
      <c r="B746" s="0" t="n">
        <v>2022</v>
      </c>
      <c r="C746" s="0" t="s">
        <v>101</v>
      </c>
      <c r="D746" s="0" t="s">
        <v>90</v>
      </c>
      <c r="E746" s="0" t="n">
        <v>1</v>
      </c>
      <c r="F746" s="0" t="s">
        <v>69</v>
      </c>
      <c r="G746" s="0" t="n">
        <v>18.4</v>
      </c>
      <c r="H746" s="0" t="s">
        <v>437</v>
      </c>
      <c r="I746" s="0" t="s">
        <v>437</v>
      </c>
      <c r="J746" s="0" t="s">
        <v>437</v>
      </c>
      <c r="K746" s="0" t="s">
        <v>437</v>
      </c>
      <c r="L746" s="0" t="s">
        <v>437</v>
      </c>
      <c r="M746" s="0" t="s">
        <v>457</v>
      </c>
      <c r="R746" s="0" t="s">
        <v>168</v>
      </c>
    </row>
    <row r="747" customFormat="false" ht="15" hidden="false" customHeight="false" outlineLevel="0" collapsed="false">
      <c r="A747" s="0" t="s">
        <v>149</v>
      </c>
      <c r="B747" s="0" t="n">
        <v>2022</v>
      </c>
      <c r="C747" s="0" t="s">
        <v>101</v>
      </c>
      <c r="D747" s="0" t="s">
        <v>90</v>
      </c>
      <c r="E747" s="0" t="n">
        <v>1</v>
      </c>
      <c r="F747" s="0" t="s">
        <v>25</v>
      </c>
      <c r="G747" s="0" t="n">
        <v>18.4093502304356</v>
      </c>
      <c r="H747" s="0" t="s">
        <v>437</v>
      </c>
      <c r="I747" s="0" t="s">
        <v>437</v>
      </c>
      <c r="J747" s="0" t="s">
        <v>437</v>
      </c>
      <c r="K747" s="0" t="s">
        <v>437</v>
      </c>
      <c r="L747" s="0" t="s">
        <v>437</v>
      </c>
      <c r="M747" s="0" t="s">
        <v>457</v>
      </c>
      <c r="R747" s="0" t="s">
        <v>168</v>
      </c>
    </row>
    <row r="748" customFormat="false" ht="15" hidden="false" customHeight="false" outlineLevel="0" collapsed="false">
      <c r="A748" s="0" t="s">
        <v>149</v>
      </c>
      <c r="B748" s="0" t="n">
        <v>2022</v>
      </c>
      <c r="C748" s="0" t="s">
        <v>101</v>
      </c>
      <c r="D748" s="0" t="s">
        <v>90</v>
      </c>
      <c r="E748" s="0" t="n">
        <v>1</v>
      </c>
      <c r="F748" s="0" t="s">
        <v>41</v>
      </c>
      <c r="G748" s="0" t="n">
        <v>2.01697108362</v>
      </c>
      <c r="H748" s="0" t="s">
        <v>437</v>
      </c>
      <c r="I748" s="0" t="s">
        <v>437</v>
      </c>
      <c r="J748" s="0" t="s">
        <v>437</v>
      </c>
      <c r="K748" s="0" t="s">
        <v>437</v>
      </c>
      <c r="L748" s="0" t="s">
        <v>437</v>
      </c>
      <c r="M748" s="0" t="s">
        <v>457</v>
      </c>
      <c r="R748" s="0" t="s">
        <v>168</v>
      </c>
    </row>
    <row r="749" customFormat="false" ht="15" hidden="false" customHeight="false" outlineLevel="0" collapsed="false">
      <c r="A749" s="0" t="s">
        <v>149</v>
      </c>
      <c r="B749" s="0" t="n">
        <v>2022</v>
      </c>
      <c r="C749" s="0" t="s">
        <v>101</v>
      </c>
      <c r="D749" s="0" t="s">
        <v>90</v>
      </c>
      <c r="E749" s="0" t="n">
        <v>1</v>
      </c>
      <c r="F749" s="0" t="s">
        <v>27</v>
      </c>
      <c r="G749" s="0" t="n">
        <v>9.77775862679011</v>
      </c>
      <c r="H749" s="0" t="s">
        <v>437</v>
      </c>
      <c r="I749" s="0" t="s">
        <v>437</v>
      </c>
      <c r="J749" s="0" t="s">
        <v>437</v>
      </c>
      <c r="K749" s="0" t="s">
        <v>437</v>
      </c>
      <c r="L749" s="0" t="s">
        <v>437</v>
      </c>
      <c r="M749" s="0" t="s">
        <v>457</v>
      </c>
      <c r="R749" s="0" t="s">
        <v>168</v>
      </c>
    </row>
    <row r="750" customFormat="false" ht="15" hidden="false" customHeight="false" outlineLevel="0" collapsed="false">
      <c r="A750" s="0" t="s">
        <v>149</v>
      </c>
      <c r="B750" s="0" t="n">
        <v>2022</v>
      </c>
      <c r="C750" s="0" t="s">
        <v>101</v>
      </c>
      <c r="D750" s="0" t="s">
        <v>90</v>
      </c>
      <c r="E750" s="0" t="n">
        <v>1</v>
      </c>
      <c r="F750" s="0" t="s">
        <v>39</v>
      </c>
      <c r="G750" s="0" t="n">
        <v>-5.28073384832231</v>
      </c>
      <c r="H750" s="0" t="s">
        <v>437</v>
      </c>
      <c r="I750" s="0" t="s">
        <v>437</v>
      </c>
      <c r="J750" s="0" t="s">
        <v>437</v>
      </c>
      <c r="K750" s="0" t="s">
        <v>437</v>
      </c>
      <c r="L750" s="0" t="s">
        <v>437</v>
      </c>
      <c r="M750" s="0" t="s">
        <v>457</v>
      </c>
      <c r="R750" s="0" t="s">
        <v>168</v>
      </c>
    </row>
    <row r="751" customFormat="false" ht="15" hidden="false" customHeight="false" outlineLevel="0" collapsed="false">
      <c r="A751" s="0" t="s">
        <v>149</v>
      </c>
      <c r="B751" s="0" t="n">
        <v>2022</v>
      </c>
      <c r="C751" s="0" t="s">
        <v>101</v>
      </c>
      <c r="D751" s="0" t="s">
        <v>90</v>
      </c>
      <c r="E751" s="0" t="n">
        <v>1</v>
      </c>
      <c r="F751" s="0" t="s">
        <v>17</v>
      </c>
      <c r="G751" s="0" t="n">
        <v>2.69828258069206</v>
      </c>
      <c r="H751" s="0" t="s">
        <v>437</v>
      </c>
      <c r="I751" s="0" t="s">
        <v>437</v>
      </c>
      <c r="J751" s="0" t="s">
        <v>437</v>
      </c>
      <c r="K751" s="0" t="s">
        <v>437</v>
      </c>
      <c r="L751" s="0" t="s">
        <v>437</v>
      </c>
      <c r="M751" s="0" t="s">
        <v>457</v>
      </c>
      <c r="R751" s="0" t="s">
        <v>168</v>
      </c>
    </row>
    <row r="752" customFormat="false" ht="15" hidden="false" customHeight="false" outlineLevel="0" collapsed="false">
      <c r="A752" s="0" t="s">
        <v>149</v>
      </c>
      <c r="B752" s="0" t="n">
        <v>2022</v>
      </c>
      <c r="C752" s="0" t="s">
        <v>101</v>
      </c>
      <c r="D752" s="0" t="s">
        <v>90</v>
      </c>
      <c r="E752" s="0" t="n">
        <v>1</v>
      </c>
      <c r="F752" s="0" t="s">
        <v>29</v>
      </c>
      <c r="G752" s="0" t="n">
        <v>0.371100735911009</v>
      </c>
      <c r="H752" s="0" t="s">
        <v>437</v>
      </c>
      <c r="I752" s="0" t="s">
        <v>437</v>
      </c>
      <c r="J752" s="0" t="s">
        <v>437</v>
      </c>
      <c r="K752" s="0" t="s">
        <v>437</v>
      </c>
      <c r="L752" s="0" t="s">
        <v>437</v>
      </c>
      <c r="M752" s="0" t="s">
        <v>457</v>
      </c>
      <c r="R752" s="0" t="s">
        <v>168</v>
      </c>
    </row>
    <row r="753" customFormat="false" ht="15" hidden="false" customHeight="false" outlineLevel="0" collapsed="false">
      <c r="A753" s="0" t="s">
        <v>149</v>
      </c>
      <c r="B753" s="0" t="n">
        <v>2022</v>
      </c>
      <c r="C753" s="0" t="s">
        <v>101</v>
      </c>
      <c r="D753" s="0" t="s">
        <v>90</v>
      </c>
      <c r="E753" s="0" t="n">
        <v>1</v>
      </c>
      <c r="F753" s="0" t="s">
        <v>37</v>
      </c>
      <c r="H753" s="0" t="s">
        <v>457</v>
      </c>
      <c r="I753" s="0" t="s">
        <v>457</v>
      </c>
      <c r="J753" s="0" t="s">
        <v>457</v>
      </c>
      <c r="K753" s="0" t="s">
        <v>457</v>
      </c>
      <c r="L753" s="0" t="s">
        <v>457</v>
      </c>
      <c r="M753" s="0" t="s">
        <v>457</v>
      </c>
      <c r="R753" s="0" t="s">
        <v>168</v>
      </c>
    </row>
    <row r="754" customFormat="false" ht="15" hidden="false" customHeight="false" outlineLevel="0" collapsed="false">
      <c r="A754" s="0" t="s">
        <v>149</v>
      </c>
      <c r="B754" s="0" t="n">
        <v>2022</v>
      </c>
      <c r="C754" s="0" t="s">
        <v>101</v>
      </c>
      <c r="D754" s="0" t="s">
        <v>90</v>
      </c>
      <c r="E754" s="0" t="n">
        <v>1</v>
      </c>
      <c r="F754" s="0" t="s">
        <v>23</v>
      </c>
      <c r="H754" s="0" t="s">
        <v>457</v>
      </c>
      <c r="I754" s="0" t="s">
        <v>457</v>
      </c>
      <c r="J754" s="0" t="s">
        <v>457</v>
      </c>
      <c r="K754" s="0" t="s">
        <v>457</v>
      </c>
      <c r="L754" s="0" t="s">
        <v>457</v>
      </c>
      <c r="M754" s="0" t="s">
        <v>457</v>
      </c>
      <c r="R754" s="0" t="s">
        <v>168</v>
      </c>
    </row>
    <row r="755" customFormat="false" ht="15" hidden="false" customHeight="false" outlineLevel="0" collapsed="false">
      <c r="A755" s="0" t="s">
        <v>149</v>
      </c>
      <c r="B755" s="0" t="n">
        <v>2022</v>
      </c>
      <c r="C755" s="0" t="s">
        <v>101</v>
      </c>
      <c r="D755" s="0" t="s">
        <v>90</v>
      </c>
      <c r="E755" s="0" t="n">
        <v>1</v>
      </c>
      <c r="F755" s="0" t="s">
        <v>45</v>
      </c>
      <c r="H755" s="0" t="s">
        <v>457</v>
      </c>
      <c r="I755" s="0" t="s">
        <v>457</v>
      </c>
      <c r="J755" s="0" t="s">
        <v>457</v>
      </c>
      <c r="K755" s="0" t="s">
        <v>457</v>
      </c>
      <c r="L755" s="0" t="s">
        <v>457</v>
      </c>
      <c r="M755" s="0" t="s">
        <v>457</v>
      </c>
      <c r="R755" s="0" t="s">
        <v>168</v>
      </c>
    </row>
    <row r="756" customFormat="false" ht="15" hidden="false" customHeight="false" outlineLevel="0" collapsed="false">
      <c r="A756" s="0" t="s">
        <v>149</v>
      </c>
      <c r="B756" s="0" t="n">
        <v>2022</v>
      </c>
      <c r="C756" s="0" t="s">
        <v>101</v>
      </c>
      <c r="D756" s="0" t="s">
        <v>90</v>
      </c>
      <c r="E756" s="0" t="n">
        <v>1</v>
      </c>
      <c r="F756" s="0" t="s">
        <v>71</v>
      </c>
      <c r="H756" s="0" t="s">
        <v>457</v>
      </c>
      <c r="I756" s="0" t="s">
        <v>457</v>
      </c>
      <c r="J756" s="0" t="s">
        <v>457</v>
      </c>
      <c r="K756" s="0" t="s">
        <v>457</v>
      </c>
      <c r="L756" s="0" t="s">
        <v>457</v>
      </c>
      <c r="M756" s="0" t="s">
        <v>457</v>
      </c>
      <c r="R756" s="0" t="s">
        <v>168</v>
      </c>
    </row>
    <row r="757" customFormat="false" ht="15" hidden="false" customHeight="false" outlineLevel="0" collapsed="false">
      <c r="A757" s="0" t="s">
        <v>149</v>
      </c>
      <c r="B757" s="0" t="n">
        <v>2022</v>
      </c>
      <c r="C757" s="0" t="s">
        <v>101</v>
      </c>
      <c r="D757" s="0" t="s">
        <v>90</v>
      </c>
      <c r="E757" s="0" t="n">
        <v>1</v>
      </c>
      <c r="F757" s="0" t="s">
        <v>31</v>
      </c>
      <c r="G757" s="0" t="n">
        <v>90.2222413732099</v>
      </c>
      <c r="H757" s="0" t="s">
        <v>437</v>
      </c>
      <c r="I757" s="0" t="s">
        <v>437</v>
      </c>
      <c r="J757" s="0" t="s">
        <v>437</v>
      </c>
      <c r="K757" s="0" t="s">
        <v>437</v>
      </c>
      <c r="L757" s="0" t="s">
        <v>437</v>
      </c>
      <c r="M757" s="0" t="s">
        <v>457</v>
      </c>
      <c r="R757" s="0" t="s">
        <v>168</v>
      </c>
    </row>
    <row r="758" customFormat="false" ht="15" hidden="false" customHeight="false" outlineLevel="0" collapsed="false">
      <c r="A758" s="0" t="s">
        <v>169</v>
      </c>
      <c r="B758" s="0" t="n">
        <v>2013</v>
      </c>
      <c r="C758" s="0" t="s">
        <v>101</v>
      </c>
      <c r="D758" s="0" t="s">
        <v>79</v>
      </c>
      <c r="E758" s="0" t="n">
        <v>0</v>
      </c>
      <c r="F758" s="0" t="s">
        <v>73</v>
      </c>
      <c r="H758" s="0" t="s">
        <v>457</v>
      </c>
      <c r="I758" s="0" t="s">
        <v>457</v>
      </c>
      <c r="J758" s="0" t="s">
        <v>457</v>
      </c>
      <c r="K758" s="0" t="s">
        <v>457</v>
      </c>
      <c r="L758" s="0" t="s">
        <v>457</v>
      </c>
      <c r="M758" s="0" t="s">
        <v>457</v>
      </c>
      <c r="R758" s="0" t="s">
        <v>81</v>
      </c>
    </row>
    <row r="759" customFormat="false" ht="15" hidden="false" customHeight="false" outlineLevel="0" collapsed="false">
      <c r="A759" s="0" t="s">
        <v>169</v>
      </c>
      <c r="B759" s="0" t="n">
        <v>2013</v>
      </c>
      <c r="C759" s="0" t="s">
        <v>101</v>
      </c>
      <c r="D759" s="0" t="s">
        <v>79</v>
      </c>
      <c r="E759" s="0" t="n">
        <v>0</v>
      </c>
      <c r="F759" s="0" t="s">
        <v>69</v>
      </c>
      <c r="G759" s="0" t="n">
        <v>14</v>
      </c>
      <c r="H759" s="0" t="s">
        <v>437</v>
      </c>
      <c r="I759" s="0" t="s">
        <v>437</v>
      </c>
      <c r="J759" s="0" t="s">
        <v>437</v>
      </c>
      <c r="K759" s="0" t="s">
        <v>457</v>
      </c>
      <c r="L759" s="0" t="s">
        <v>437</v>
      </c>
      <c r="M759" s="0" t="s">
        <v>457</v>
      </c>
      <c r="R759" s="0" t="s">
        <v>81</v>
      </c>
    </row>
    <row r="760" customFormat="false" ht="15" hidden="false" customHeight="false" outlineLevel="0" collapsed="false">
      <c r="A760" s="0" t="s">
        <v>169</v>
      </c>
      <c r="B760" s="0" t="n">
        <v>2013</v>
      </c>
      <c r="C760" s="0" t="s">
        <v>101</v>
      </c>
      <c r="D760" s="0" t="s">
        <v>79</v>
      </c>
      <c r="E760" s="0" t="n">
        <v>0</v>
      </c>
      <c r="F760" s="0" t="s">
        <v>25</v>
      </c>
      <c r="H760" s="0" t="s">
        <v>457</v>
      </c>
      <c r="I760" s="0" t="s">
        <v>457</v>
      </c>
      <c r="J760" s="0" t="s">
        <v>457</v>
      </c>
      <c r="K760" s="0" t="s">
        <v>457</v>
      </c>
      <c r="L760" s="0" t="s">
        <v>457</v>
      </c>
      <c r="M760" s="0" t="s">
        <v>457</v>
      </c>
      <c r="R760" s="0" t="s">
        <v>81</v>
      </c>
    </row>
    <row r="761" customFormat="false" ht="15" hidden="false" customHeight="false" outlineLevel="0" collapsed="false">
      <c r="A761" s="0" t="s">
        <v>169</v>
      </c>
      <c r="B761" s="0" t="n">
        <v>2013</v>
      </c>
      <c r="C761" s="0" t="s">
        <v>101</v>
      </c>
      <c r="D761" s="0" t="s">
        <v>79</v>
      </c>
      <c r="E761" s="0" t="n">
        <v>0</v>
      </c>
      <c r="F761" s="0" t="s">
        <v>41</v>
      </c>
      <c r="H761" s="0" t="s">
        <v>457</v>
      </c>
      <c r="I761" s="0" t="s">
        <v>457</v>
      </c>
      <c r="J761" s="0" t="s">
        <v>457</v>
      </c>
      <c r="K761" s="0" t="s">
        <v>457</v>
      </c>
      <c r="L761" s="0" t="s">
        <v>457</v>
      </c>
      <c r="M761" s="0" t="s">
        <v>457</v>
      </c>
      <c r="R761" s="0" t="s">
        <v>81</v>
      </c>
    </row>
    <row r="762" customFormat="false" ht="15" hidden="false" customHeight="false" outlineLevel="0" collapsed="false">
      <c r="A762" s="0" t="s">
        <v>169</v>
      </c>
      <c r="B762" s="0" t="n">
        <v>2013</v>
      </c>
      <c r="C762" s="0" t="s">
        <v>101</v>
      </c>
      <c r="D762" s="0" t="s">
        <v>79</v>
      </c>
      <c r="E762" s="0" t="n">
        <v>0</v>
      </c>
      <c r="F762" s="0" t="s">
        <v>27</v>
      </c>
      <c r="G762" s="0" t="n">
        <v>8.96554799926506</v>
      </c>
      <c r="H762" s="0" t="s">
        <v>437</v>
      </c>
      <c r="I762" s="0" t="s">
        <v>437</v>
      </c>
      <c r="J762" s="0" t="s">
        <v>437</v>
      </c>
      <c r="K762" s="0" t="s">
        <v>457</v>
      </c>
      <c r="L762" s="0" t="s">
        <v>437</v>
      </c>
      <c r="M762" s="0" t="s">
        <v>457</v>
      </c>
      <c r="R762" s="0" t="s">
        <v>81</v>
      </c>
    </row>
    <row r="763" customFormat="false" ht="15" hidden="false" customHeight="false" outlineLevel="0" collapsed="false">
      <c r="A763" s="0" t="s">
        <v>169</v>
      </c>
      <c r="B763" s="0" t="n">
        <v>2013</v>
      </c>
      <c r="C763" s="0" t="s">
        <v>101</v>
      </c>
      <c r="D763" s="0" t="s">
        <v>79</v>
      </c>
      <c r="E763" s="0" t="n">
        <v>0</v>
      </c>
      <c r="F763" s="0" t="s">
        <v>39</v>
      </c>
      <c r="H763" s="0" t="s">
        <v>457</v>
      </c>
      <c r="I763" s="0" t="s">
        <v>457</v>
      </c>
      <c r="J763" s="0" t="s">
        <v>457</v>
      </c>
      <c r="K763" s="0" t="s">
        <v>457</v>
      </c>
      <c r="L763" s="0" t="s">
        <v>457</v>
      </c>
      <c r="M763" s="0" t="s">
        <v>457</v>
      </c>
      <c r="R763" s="0" t="s">
        <v>81</v>
      </c>
    </row>
    <row r="764" customFormat="false" ht="15" hidden="false" customHeight="false" outlineLevel="0" collapsed="false">
      <c r="A764" s="0" t="s">
        <v>169</v>
      </c>
      <c r="B764" s="0" t="n">
        <v>2013</v>
      </c>
      <c r="C764" s="0" t="s">
        <v>101</v>
      </c>
      <c r="D764" s="0" t="s">
        <v>79</v>
      </c>
      <c r="E764" s="0" t="n">
        <v>0</v>
      </c>
      <c r="F764" s="0" t="s">
        <v>17</v>
      </c>
      <c r="G764" s="0" t="n">
        <v>2.10583969135932</v>
      </c>
      <c r="H764" s="0" t="s">
        <v>437</v>
      </c>
      <c r="I764" s="0" t="s">
        <v>437</v>
      </c>
      <c r="J764" s="0" t="s">
        <v>437</v>
      </c>
      <c r="K764" s="0" t="s">
        <v>457</v>
      </c>
      <c r="L764" s="0" t="s">
        <v>437</v>
      </c>
      <c r="M764" s="0" t="s">
        <v>457</v>
      </c>
      <c r="R764" s="0" t="s">
        <v>81</v>
      </c>
    </row>
    <row r="765" customFormat="false" ht="15" hidden="false" customHeight="false" outlineLevel="0" collapsed="false">
      <c r="A765" s="0" t="s">
        <v>169</v>
      </c>
      <c r="B765" s="0" t="n">
        <v>2013</v>
      </c>
      <c r="C765" s="0" t="s">
        <v>101</v>
      </c>
      <c r="D765" s="0" t="s">
        <v>79</v>
      </c>
      <c r="E765" s="0" t="n">
        <v>0</v>
      </c>
      <c r="F765" s="0" t="s">
        <v>29</v>
      </c>
      <c r="H765" s="0" t="s">
        <v>457</v>
      </c>
      <c r="I765" s="0" t="s">
        <v>457</v>
      </c>
      <c r="J765" s="0" t="s">
        <v>457</v>
      </c>
      <c r="K765" s="0" t="s">
        <v>457</v>
      </c>
      <c r="L765" s="0" t="s">
        <v>457</v>
      </c>
      <c r="M765" s="0" t="s">
        <v>457</v>
      </c>
      <c r="R765" s="0" t="s">
        <v>81</v>
      </c>
    </row>
    <row r="766" customFormat="false" ht="15" hidden="false" customHeight="false" outlineLevel="0" collapsed="false">
      <c r="A766" s="0" t="s">
        <v>169</v>
      </c>
      <c r="B766" s="0" t="n">
        <v>2013</v>
      </c>
      <c r="C766" s="0" t="s">
        <v>101</v>
      </c>
      <c r="D766" s="0" t="s">
        <v>79</v>
      </c>
      <c r="E766" s="0" t="n">
        <v>0</v>
      </c>
      <c r="F766" s="0" t="s">
        <v>37</v>
      </c>
      <c r="H766" s="0" t="s">
        <v>457</v>
      </c>
      <c r="I766" s="0" t="s">
        <v>457</v>
      </c>
      <c r="J766" s="0" t="s">
        <v>457</v>
      </c>
      <c r="K766" s="0" t="s">
        <v>457</v>
      </c>
      <c r="L766" s="0" t="s">
        <v>457</v>
      </c>
      <c r="M766" s="0" t="s">
        <v>457</v>
      </c>
      <c r="R766" s="0" t="s">
        <v>81</v>
      </c>
    </row>
    <row r="767" customFormat="false" ht="15" hidden="false" customHeight="false" outlineLevel="0" collapsed="false">
      <c r="A767" s="0" t="s">
        <v>169</v>
      </c>
      <c r="B767" s="0" t="n">
        <v>2013</v>
      </c>
      <c r="C767" s="0" t="s">
        <v>101</v>
      </c>
      <c r="D767" s="0" t="s">
        <v>79</v>
      </c>
      <c r="E767" s="0" t="n">
        <v>0</v>
      </c>
      <c r="F767" s="0" t="s">
        <v>23</v>
      </c>
      <c r="H767" s="0" t="s">
        <v>457</v>
      </c>
      <c r="I767" s="0" t="s">
        <v>457</v>
      </c>
      <c r="J767" s="0" t="s">
        <v>457</v>
      </c>
      <c r="K767" s="0" t="s">
        <v>457</v>
      </c>
      <c r="L767" s="0" t="s">
        <v>457</v>
      </c>
      <c r="M767" s="0" t="s">
        <v>457</v>
      </c>
      <c r="R767" s="0" t="s">
        <v>81</v>
      </c>
    </row>
    <row r="768" customFormat="false" ht="15" hidden="false" customHeight="false" outlineLevel="0" collapsed="false">
      <c r="A768" s="0" t="s">
        <v>169</v>
      </c>
      <c r="B768" s="0" t="n">
        <v>2013</v>
      </c>
      <c r="C768" s="0" t="s">
        <v>101</v>
      </c>
      <c r="D768" s="0" t="s">
        <v>79</v>
      </c>
      <c r="E768" s="0" t="n">
        <v>0</v>
      </c>
      <c r="F768" s="0" t="s">
        <v>45</v>
      </c>
      <c r="H768" s="0" t="s">
        <v>457</v>
      </c>
      <c r="I768" s="0" t="s">
        <v>457</v>
      </c>
      <c r="J768" s="0" t="s">
        <v>457</v>
      </c>
      <c r="K768" s="0" t="s">
        <v>457</v>
      </c>
      <c r="L768" s="0" t="s">
        <v>457</v>
      </c>
      <c r="M768" s="0" t="s">
        <v>457</v>
      </c>
      <c r="R768" s="0" t="s">
        <v>81</v>
      </c>
    </row>
    <row r="769" customFormat="false" ht="15" hidden="false" customHeight="false" outlineLevel="0" collapsed="false">
      <c r="A769" s="0" t="s">
        <v>169</v>
      </c>
      <c r="B769" s="0" t="n">
        <v>2013</v>
      </c>
      <c r="C769" s="0" t="s">
        <v>101</v>
      </c>
      <c r="D769" s="0" t="s">
        <v>79</v>
      </c>
      <c r="E769" s="0" t="n">
        <v>0</v>
      </c>
      <c r="F769" s="0" t="s">
        <v>71</v>
      </c>
      <c r="H769" s="0" t="s">
        <v>457</v>
      </c>
      <c r="I769" s="0" t="s">
        <v>457</v>
      </c>
      <c r="J769" s="0" t="s">
        <v>457</v>
      </c>
      <c r="K769" s="0" t="s">
        <v>457</v>
      </c>
      <c r="L769" s="0" t="s">
        <v>457</v>
      </c>
      <c r="M769" s="0" t="s">
        <v>457</v>
      </c>
      <c r="R769" s="0" t="s">
        <v>81</v>
      </c>
    </row>
    <row r="770" customFormat="false" ht="15" hidden="false" customHeight="false" outlineLevel="0" collapsed="false">
      <c r="A770" s="0" t="s">
        <v>169</v>
      </c>
      <c r="B770" s="0" t="n">
        <v>2013</v>
      </c>
      <c r="C770" s="0" t="s">
        <v>101</v>
      </c>
      <c r="D770" s="0" t="s">
        <v>79</v>
      </c>
      <c r="E770" s="0" t="n">
        <v>0</v>
      </c>
      <c r="F770" s="0" t="s">
        <v>31</v>
      </c>
      <c r="G770" s="0" t="n">
        <v>91.0344520007349</v>
      </c>
      <c r="H770" s="0" t="s">
        <v>437</v>
      </c>
      <c r="I770" s="0" t="s">
        <v>437</v>
      </c>
      <c r="J770" s="0" t="s">
        <v>437</v>
      </c>
      <c r="K770" s="0" t="s">
        <v>457</v>
      </c>
      <c r="L770" s="0" t="s">
        <v>437</v>
      </c>
      <c r="M770" s="0" t="s">
        <v>457</v>
      </c>
      <c r="R770" s="0" t="s">
        <v>81</v>
      </c>
    </row>
    <row r="771" customFormat="false" ht="15" hidden="false" customHeight="false" outlineLevel="0" collapsed="false">
      <c r="A771" s="0" t="s">
        <v>169</v>
      </c>
      <c r="B771" s="0" t="n">
        <v>2014</v>
      </c>
      <c r="C771" s="0" t="s">
        <v>101</v>
      </c>
      <c r="D771" s="0" t="s">
        <v>79</v>
      </c>
      <c r="E771" s="0" t="n">
        <v>0</v>
      </c>
      <c r="F771" s="0" t="s">
        <v>73</v>
      </c>
      <c r="G771" s="0" t="n">
        <v>0</v>
      </c>
      <c r="H771" s="0" t="s">
        <v>437</v>
      </c>
      <c r="I771" s="0" t="s">
        <v>437</v>
      </c>
      <c r="J771" s="0" t="s">
        <v>437</v>
      </c>
      <c r="K771" s="0" t="s">
        <v>457</v>
      </c>
      <c r="L771" s="0" t="s">
        <v>437</v>
      </c>
      <c r="M771" s="0" t="s">
        <v>457</v>
      </c>
      <c r="R771" s="0" t="s">
        <v>81</v>
      </c>
    </row>
    <row r="772" customFormat="false" ht="15" hidden="false" customHeight="false" outlineLevel="0" collapsed="false">
      <c r="A772" s="0" t="s">
        <v>169</v>
      </c>
      <c r="B772" s="0" t="n">
        <v>2014</v>
      </c>
      <c r="C772" s="0" t="s">
        <v>101</v>
      </c>
      <c r="D772" s="0" t="s">
        <v>79</v>
      </c>
      <c r="E772" s="0" t="n">
        <v>0</v>
      </c>
      <c r="F772" s="0" t="s">
        <v>69</v>
      </c>
      <c r="G772" s="0" t="n">
        <v>14</v>
      </c>
      <c r="H772" s="0" t="s">
        <v>437</v>
      </c>
      <c r="I772" s="0" t="s">
        <v>437</v>
      </c>
      <c r="J772" s="0" t="s">
        <v>437</v>
      </c>
      <c r="K772" s="0" t="s">
        <v>437</v>
      </c>
      <c r="L772" s="0" t="s">
        <v>437</v>
      </c>
      <c r="M772" s="0" t="s">
        <v>457</v>
      </c>
      <c r="R772" s="0" t="s">
        <v>81</v>
      </c>
    </row>
    <row r="773" customFormat="false" ht="15" hidden="false" customHeight="false" outlineLevel="0" collapsed="false">
      <c r="A773" s="0" t="s">
        <v>169</v>
      </c>
      <c r="B773" s="0" t="n">
        <v>2014</v>
      </c>
      <c r="C773" s="0" t="s">
        <v>101</v>
      </c>
      <c r="D773" s="0" t="s">
        <v>79</v>
      </c>
      <c r="E773" s="0" t="n">
        <v>0</v>
      </c>
      <c r="F773" s="0" t="s">
        <v>25</v>
      </c>
      <c r="H773" s="0" t="s">
        <v>457</v>
      </c>
      <c r="I773" s="0" t="s">
        <v>457</v>
      </c>
      <c r="J773" s="0" t="s">
        <v>457</v>
      </c>
      <c r="K773" s="0" t="s">
        <v>457</v>
      </c>
      <c r="L773" s="0" t="s">
        <v>457</v>
      </c>
      <c r="M773" s="0" t="s">
        <v>457</v>
      </c>
      <c r="R773" s="0" t="s">
        <v>81</v>
      </c>
    </row>
    <row r="774" customFormat="false" ht="15" hidden="false" customHeight="false" outlineLevel="0" collapsed="false">
      <c r="A774" s="0" t="s">
        <v>169</v>
      </c>
      <c r="B774" s="0" t="n">
        <v>2014</v>
      </c>
      <c r="C774" s="0" t="s">
        <v>101</v>
      </c>
      <c r="D774" s="0" t="s">
        <v>79</v>
      </c>
      <c r="E774" s="0" t="n">
        <v>0</v>
      </c>
      <c r="F774" s="0" t="s">
        <v>41</v>
      </c>
      <c r="G774" s="0" t="n">
        <v>1.17532570309469</v>
      </c>
      <c r="H774" s="0" t="s">
        <v>437</v>
      </c>
      <c r="I774" s="0" t="s">
        <v>437</v>
      </c>
      <c r="J774" s="0" t="s">
        <v>437</v>
      </c>
      <c r="K774" s="0" t="s">
        <v>457</v>
      </c>
      <c r="L774" s="0" t="s">
        <v>437</v>
      </c>
      <c r="M774" s="0" t="s">
        <v>457</v>
      </c>
      <c r="R774" s="0" t="s">
        <v>81</v>
      </c>
    </row>
    <row r="775" customFormat="false" ht="15" hidden="false" customHeight="false" outlineLevel="0" collapsed="false">
      <c r="A775" s="0" t="s">
        <v>169</v>
      </c>
      <c r="B775" s="0" t="n">
        <v>2014</v>
      </c>
      <c r="C775" s="0" t="s">
        <v>101</v>
      </c>
      <c r="D775" s="0" t="s">
        <v>79</v>
      </c>
      <c r="E775" s="0" t="n">
        <v>0</v>
      </c>
      <c r="F775" s="0" t="s">
        <v>27</v>
      </c>
      <c r="G775" s="0" t="n">
        <v>10.274255217967</v>
      </c>
      <c r="H775" s="0" t="s">
        <v>437</v>
      </c>
      <c r="I775" s="0" t="s">
        <v>437</v>
      </c>
      <c r="J775" s="0" t="s">
        <v>437</v>
      </c>
      <c r="K775" s="0" t="s">
        <v>437</v>
      </c>
      <c r="L775" s="0" t="s">
        <v>437</v>
      </c>
      <c r="M775" s="0" t="s">
        <v>457</v>
      </c>
      <c r="R775" s="0" t="s">
        <v>81</v>
      </c>
    </row>
    <row r="776" customFormat="false" ht="15" hidden="false" customHeight="false" outlineLevel="0" collapsed="false">
      <c r="A776" s="0" t="s">
        <v>169</v>
      </c>
      <c r="B776" s="0" t="n">
        <v>2014</v>
      </c>
      <c r="C776" s="0" t="s">
        <v>101</v>
      </c>
      <c r="D776" s="0" t="s">
        <v>79</v>
      </c>
      <c r="E776" s="0" t="n">
        <v>0</v>
      </c>
      <c r="F776" s="0" t="s">
        <v>39</v>
      </c>
      <c r="G776" s="0" t="n">
        <v>-0.0985431003280861</v>
      </c>
      <c r="H776" s="0" t="s">
        <v>437</v>
      </c>
      <c r="I776" s="0" t="s">
        <v>437</v>
      </c>
      <c r="J776" s="0" t="s">
        <v>437</v>
      </c>
      <c r="K776" s="0" t="s">
        <v>457</v>
      </c>
      <c r="L776" s="0" t="s">
        <v>437</v>
      </c>
      <c r="M776" s="0" t="s">
        <v>457</v>
      </c>
      <c r="R776" s="0" t="s">
        <v>81</v>
      </c>
    </row>
    <row r="777" customFormat="false" ht="15" hidden="false" customHeight="false" outlineLevel="0" collapsed="false">
      <c r="A777" s="0" t="s">
        <v>169</v>
      </c>
      <c r="B777" s="0" t="n">
        <v>2014</v>
      </c>
      <c r="C777" s="0" t="s">
        <v>101</v>
      </c>
      <c r="D777" s="0" t="s">
        <v>79</v>
      </c>
      <c r="E777" s="0" t="n">
        <v>0</v>
      </c>
      <c r="F777" s="0" t="s">
        <v>17</v>
      </c>
      <c r="G777" s="0" t="n">
        <v>2.54069495154419</v>
      </c>
      <c r="H777" s="0" t="s">
        <v>437</v>
      </c>
      <c r="I777" s="0" t="s">
        <v>437</v>
      </c>
      <c r="J777" s="0" t="s">
        <v>437</v>
      </c>
      <c r="K777" s="0" t="s">
        <v>437</v>
      </c>
      <c r="L777" s="0" t="s">
        <v>437</v>
      </c>
      <c r="M777" s="0" t="s">
        <v>457</v>
      </c>
      <c r="R777" s="0" t="s">
        <v>81</v>
      </c>
    </row>
    <row r="778" customFormat="false" ht="15" hidden="false" customHeight="false" outlineLevel="0" collapsed="false">
      <c r="A778" s="0" t="s">
        <v>169</v>
      </c>
      <c r="B778" s="0" t="n">
        <v>2014</v>
      </c>
      <c r="C778" s="0" t="s">
        <v>101</v>
      </c>
      <c r="D778" s="0" t="s">
        <v>79</v>
      </c>
      <c r="E778" s="0" t="n">
        <v>0</v>
      </c>
      <c r="F778" s="0" t="s">
        <v>29</v>
      </c>
      <c r="G778" s="0" t="n">
        <v>0.964430265027272</v>
      </c>
      <c r="H778" s="0" t="s">
        <v>437</v>
      </c>
      <c r="I778" s="0" t="s">
        <v>437</v>
      </c>
      <c r="J778" s="0" t="s">
        <v>437</v>
      </c>
      <c r="K778" s="0" t="s">
        <v>457</v>
      </c>
      <c r="L778" s="0" t="s">
        <v>437</v>
      </c>
      <c r="M778" s="0" t="s">
        <v>457</v>
      </c>
      <c r="R778" s="0" t="s">
        <v>81</v>
      </c>
    </row>
    <row r="779" customFormat="false" ht="15" hidden="false" customHeight="false" outlineLevel="0" collapsed="false">
      <c r="A779" s="0" t="s">
        <v>169</v>
      </c>
      <c r="B779" s="0" t="n">
        <v>2014</v>
      </c>
      <c r="C779" s="0" t="s">
        <v>101</v>
      </c>
      <c r="D779" s="0" t="s">
        <v>79</v>
      </c>
      <c r="E779" s="0" t="n">
        <v>0</v>
      </c>
      <c r="F779" s="0" t="s">
        <v>37</v>
      </c>
      <c r="H779" s="0" t="s">
        <v>457</v>
      </c>
      <c r="I779" s="0" t="s">
        <v>457</v>
      </c>
      <c r="J779" s="0" t="s">
        <v>457</v>
      </c>
      <c r="K779" s="0" t="s">
        <v>457</v>
      </c>
      <c r="L779" s="0" t="s">
        <v>457</v>
      </c>
      <c r="M779" s="0" t="s">
        <v>457</v>
      </c>
      <c r="R779" s="0" t="s">
        <v>81</v>
      </c>
    </row>
    <row r="780" customFormat="false" ht="15" hidden="false" customHeight="false" outlineLevel="0" collapsed="false">
      <c r="A780" s="0" t="s">
        <v>169</v>
      </c>
      <c r="B780" s="0" t="n">
        <v>2014</v>
      </c>
      <c r="C780" s="0" t="s">
        <v>101</v>
      </c>
      <c r="D780" s="0" t="s">
        <v>79</v>
      </c>
      <c r="E780" s="0" t="n">
        <v>0</v>
      </c>
      <c r="F780" s="0" t="s">
        <v>23</v>
      </c>
      <c r="H780" s="0" t="s">
        <v>457</v>
      </c>
      <c r="I780" s="0" t="s">
        <v>457</v>
      </c>
      <c r="J780" s="0" t="s">
        <v>457</v>
      </c>
      <c r="K780" s="0" t="s">
        <v>457</v>
      </c>
      <c r="L780" s="0" t="s">
        <v>457</v>
      </c>
      <c r="M780" s="0" t="s">
        <v>457</v>
      </c>
      <c r="R780" s="0" t="s">
        <v>81</v>
      </c>
    </row>
    <row r="781" customFormat="false" ht="15" hidden="false" customHeight="false" outlineLevel="0" collapsed="false">
      <c r="A781" s="0" t="s">
        <v>169</v>
      </c>
      <c r="B781" s="0" t="n">
        <v>2014</v>
      </c>
      <c r="C781" s="0" t="s">
        <v>101</v>
      </c>
      <c r="D781" s="0" t="s">
        <v>79</v>
      </c>
      <c r="E781" s="0" t="n">
        <v>0</v>
      </c>
      <c r="F781" s="0" t="s">
        <v>45</v>
      </c>
      <c r="H781" s="0" t="s">
        <v>457</v>
      </c>
      <c r="I781" s="0" t="s">
        <v>457</v>
      </c>
      <c r="J781" s="0" t="s">
        <v>457</v>
      </c>
      <c r="K781" s="0" t="s">
        <v>457</v>
      </c>
      <c r="L781" s="0" t="s">
        <v>457</v>
      </c>
      <c r="M781" s="0" t="s">
        <v>457</v>
      </c>
      <c r="R781" s="0" t="s">
        <v>81</v>
      </c>
    </row>
    <row r="782" customFormat="false" ht="15" hidden="false" customHeight="false" outlineLevel="0" collapsed="false">
      <c r="A782" s="0" t="s">
        <v>169</v>
      </c>
      <c r="B782" s="0" t="n">
        <v>2014</v>
      </c>
      <c r="C782" s="0" t="s">
        <v>101</v>
      </c>
      <c r="D782" s="0" t="s">
        <v>79</v>
      </c>
      <c r="E782" s="0" t="n">
        <v>0</v>
      </c>
      <c r="F782" s="0" t="s">
        <v>71</v>
      </c>
      <c r="G782" s="0" t="n">
        <v>34</v>
      </c>
      <c r="H782" s="0" t="s">
        <v>437</v>
      </c>
      <c r="I782" s="0" t="s">
        <v>437</v>
      </c>
      <c r="J782" s="0" t="s">
        <v>437</v>
      </c>
      <c r="K782" s="0" t="s">
        <v>457</v>
      </c>
      <c r="L782" s="0" t="s">
        <v>437</v>
      </c>
      <c r="M782" s="0" t="s">
        <v>457</v>
      </c>
      <c r="R782" s="0" t="s">
        <v>81</v>
      </c>
    </row>
    <row r="783" customFormat="false" ht="15" hidden="false" customHeight="false" outlineLevel="0" collapsed="false">
      <c r="A783" s="0" t="s">
        <v>169</v>
      </c>
      <c r="B783" s="0" t="n">
        <v>2014</v>
      </c>
      <c r="C783" s="0" t="s">
        <v>101</v>
      </c>
      <c r="D783" s="0" t="s">
        <v>79</v>
      </c>
      <c r="E783" s="0" t="n">
        <v>0</v>
      </c>
      <c r="F783" s="0" t="s">
        <v>31</v>
      </c>
      <c r="G783" s="0" t="n">
        <v>89.725744782033</v>
      </c>
      <c r="H783" s="0" t="s">
        <v>437</v>
      </c>
      <c r="I783" s="0" t="s">
        <v>437</v>
      </c>
      <c r="J783" s="0" t="s">
        <v>437</v>
      </c>
      <c r="K783" s="0" t="s">
        <v>437</v>
      </c>
      <c r="L783" s="0" t="s">
        <v>437</v>
      </c>
      <c r="M783" s="0" t="s">
        <v>457</v>
      </c>
      <c r="R783" s="0" t="s">
        <v>81</v>
      </c>
    </row>
    <row r="784" customFormat="false" ht="15" hidden="false" customHeight="false" outlineLevel="0" collapsed="false">
      <c r="A784" s="0" t="s">
        <v>169</v>
      </c>
      <c r="B784" s="0" t="n">
        <v>2015</v>
      </c>
      <c r="C784" s="0" t="s">
        <v>101</v>
      </c>
      <c r="D784" s="0" t="s">
        <v>79</v>
      </c>
      <c r="E784" s="0" t="n">
        <v>0</v>
      </c>
      <c r="F784" s="0" t="s">
        <v>73</v>
      </c>
      <c r="G784" s="0" t="n">
        <v>0</v>
      </c>
      <c r="H784" s="0" t="s">
        <v>437</v>
      </c>
      <c r="I784" s="0" t="s">
        <v>437</v>
      </c>
      <c r="J784" s="0" t="s">
        <v>437</v>
      </c>
      <c r="K784" s="0" t="s">
        <v>437</v>
      </c>
      <c r="L784" s="0" t="s">
        <v>437</v>
      </c>
      <c r="M784" s="0" t="s">
        <v>457</v>
      </c>
      <c r="R784" s="0" t="s">
        <v>84</v>
      </c>
    </row>
    <row r="785" customFormat="false" ht="15" hidden="false" customHeight="false" outlineLevel="0" collapsed="false">
      <c r="A785" s="0" t="s">
        <v>169</v>
      </c>
      <c r="B785" s="0" t="n">
        <v>2015</v>
      </c>
      <c r="C785" s="0" t="s">
        <v>101</v>
      </c>
      <c r="D785" s="0" t="s">
        <v>79</v>
      </c>
      <c r="E785" s="0" t="n">
        <v>0</v>
      </c>
      <c r="F785" s="0" t="s">
        <v>69</v>
      </c>
      <c r="G785" s="0" t="n">
        <v>17.49</v>
      </c>
      <c r="H785" s="0" t="s">
        <v>437</v>
      </c>
      <c r="I785" s="0" t="s">
        <v>437</v>
      </c>
      <c r="J785" s="0" t="s">
        <v>437</v>
      </c>
      <c r="K785" s="0" t="s">
        <v>437</v>
      </c>
      <c r="L785" s="0" t="s">
        <v>437</v>
      </c>
      <c r="M785" s="0" t="s">
        <v>457</v>
      </c>
      <c r="R785" s="0" t="s">
        <v>84</v>
      </c>
    </row>
    <row r="786" customFormat="false" ht="15" hidden="false" customHeight="false" outlineLevel="0" collapsed="false">
      <c r="A786" s="0" t="s">
        <v>169</v>
      </c>
      <c r="B786" s="0" t="n">
        <v>2015</v>
      </c>
      <c r="C786" s="0" t="s">
        <v>101</v>
      </c>
      <c r="D786" s="0" t="s">
        <v>79</v>
      </c>
      <c r="E786" s="0" t="n">
        <v>0</v>
      </c>
      <c r="F786" s="0" t="s">
        <v>25</v>
      </c>
      <c r="G786" s="0" t="n">
        <v>17.4902201769128</v>
      </c>
      <c r="H786" s="0" t="s">
        <v>437</v>
      </c>
      <c r="I786" s="0" t="s">
        <v>437</v>
      </c>
      <c r="J786" s="0" t="s">
        <v>437</v>
      </c>
      <c r="K786" s="0" t="s">
        <v>457</v>
      </c>
      <c r="L786" s="0" t="s">
        <v>437</v>
      </c>
      <c r="M786" s="0" t="s">
        <v>457</v>
      </c>
      <c r="R786" s="0" t="s">
        <v>84</v>
      </c>
    </row>
    <row r="787" customFormat="false" ht="15" hidden="false" customHeight="false" outlineLevel="0" collapsed="false">
      <c r="A787" s="0" t="s">
        <v>169</v>
      </c>
      <c r="B787" s="0" t="n">
        <v>2015</v>
      </c>
      <c r="C787" s="0" t="s">
        <v>101</v>
      </c>
      <c r="D787" s="0" t="s">
        <v>79</v>
      </c>
      <c r="E787" s="0" t="n">
        <v>0</v>
      </c>
      <c r="F787" s="0" t="s">
        <v>41</v>
      </c>
      <c r="G787" s="0" t="n">
        <v>1.26756589107196</v>
      </c>
      <c r="H787" s="0" t="s">
        <v>437</v>
      </c>
      <c r="I787" s="0" t="s">
        <v>437</v>
      </c>
      <c r="J787" s="0" t="s">
        <v>437</v>
      </c>
      <c r="K787" s="0" t="s">
        <v>437</v>
      </c>
      <c r="L787" s="0" t="s">
        <v>437</v>
      </c>
      <c r="M787" s="0" t="s">
        <v>457</v>
      </c>
      <c r="R787" s="0" t="s">
        <v>84</v>
      </c>
    </row>
    <row r="788" customFormat="false" ht="15" hidden="false" customHeight="false" outlineLevel="0" collapsed="false">
      <c r="A788" s="0" t="s">
        <v>169</v>
      </c>
      <c r="B788" s="0" t="n">
        <v>2015</v>
      </c>
      <c r="C788" s="0" t="s">
        <v>101</v>
      </c>
      <c r="D788" s="0" t="s">
        <v>79</v>
      </c>
      <c r="E788" s="0" t="n">
        <v>0</v>
      </c>
      <c r="F788" s="0" t="s">
        <v>27</v>
      </c>
      <c r="G788" s="0" t="n">
        <v>11.9539155185461</v>
      </c>
      <c r="H788" s="0" t="s">
        <v>437</v>
      </c>
      <c r="I788" s="0" t="s">
        <v>437</v>
      </c>
      <c r="J788" s="0" t="s">
        <v>437</v>
      </c>
      <c r="K788" s="0" t="s">
        <v>437</v>
      </c>
      <c r="L788" s="0" t="s">
        <v>437</v>
      </c>
      <c r="M788" s="0" t="s">
        <v>457</v>
      </c>
      <c r="R788" s="0" t="s">
        <v>84</v>
      </c>
    </row>
    <row r="789" customFormat="false" ht="15" hidden="false" customHeight="false" outlineLevel="0" collapsed="false">
      <c r="A789" s="0" t="s">
        <v>169</v>
      </c>
      <c r="B789" s="0" t="n">
        <v>2015</v>
      </c>
      <c r="C789" s="0" t="s">
        <v>101</v>
      </c>
      <c r="D789" s="0" t="s">
        <v>79</v>
      </c>
      <c r="E789" s="0" t="n">
        <v>0</v>
      </c>
      <c r="F789" s="0" t="s">
        <v>39</v>
      </c>
      <c r="G789" s="0" t="n">
        <v>6.73550534299411</v>
      </c>
      <c r="H789" s="0" t="s">
        <v>437</v>
      </c>
      <c r="I789" s="0" t="s">
        <v>437</v>
      </c>
      <c r="J789" s="0" t="s">
        <v>437</v>
      </c>
      <c r="K789" s="0" t="s">
        <v>437</v>
      </c>
      <c r="L789" s="0" t="s">
        <v>437</v>
      </c>
      <c r="M789" s="0" t="s">
        <v>457</v>
      </c>
      <c r="R789" s="0" t="s">
        <v>84</v>
      </c>
    </row>
    <row r="790" customFormat="false" ht="15" hidden="false" customHeight="false" outlineLevel="0" collapsed="false">
      <c r="A790" s="0" t="s">
        <v>169</v>
      </c>
      <c r="B790" s="0" t="n">
        <v>2015</v>
      </c>
      <c r="C790" s="0" t="s">
        <v>101</v>
      </c>
      <c r="D790" s="0" t="s">
        <v>79</v>
      </c>
      <c r="E790" s="0" t="n">
        <v>0</v>
      </c>
      <c r="F790" s="0" t="s">
        <v>17</v>
      </c>
      <c r="G790" s="0" t="n">
        <v>4.44279325696376</v>
      </c>
      <c r="H790" s="0" t="s">
        <v>437</v>
      </c>
      <c r="I790" s="0" t="s">
        <v>437</v>
      </c>
      <c r="J790" s="0" t="s">
        <v>437</v>
      </c>
      <c r="K790" s="0" t="s">
        <v>437</v>
      </c>
      <c r="L790" s="0" t="s">
        <v>437</v>
      </c>
      <c r="M790" s="0" t="s">
        <v>457</v>
      </c>
      <c r="R790" s="0" t="s">
        <v>84</v>
      </c>
    </row>
    <row r="791" customFormat="false" ht="15" hidden="false" customHeight="false" outlineLevel="0" collapsed="false">
      <c r="A791" s="0" t="s">
        <v>169</v>
      </c>
      <c r="B791" s="0" t="n">
        <v>2015</v>
      </c>
      <c r="C791" s="0" t="s">
        <v>101</v>
      </c>
      <c r="D791" s="0" t="s">
        <v>79</v>
      </c>
      <c r="E791" s="0" t="n">
        <v>0</v>
      </c>
      <c r="F791" s="0" t="s">
        <v>29</v>
      </c>
      <c r="G791" s="0" t="n">
        <v>1.00386501994581</v>
      </c>
      <c r="H791" s="0" t="s">
        <v>437</v>
      </c>
      <c r="I791" s="0" t="s">
        <v>437</v>
      </c>
      <c r="J791" s="0" t="s">
        <v>437</v>
      </c>
      <c r="K791" s="0" t="s">
        <v>437</v>
      </c>
      <c r="L791" s="0" t="s">
        <v>437</v>
      </c>
      <c r="M791" s="0" t="s">
        <v>457</v>
      </c>
      <c r="R791" s="0" t="s">
        <v>84</v>
      </c>
    </row>
    <row r="792" customFormat="false" ht="15" hidden="false" customHeight="false" outlineLevel="0" collapsed="false">
      <c r="A792" s="0" t="s">
        <v>169</v>
      </c>
      <c r="B792" s="0" t="n">
        <v>2015</v>
      </c>
      <c r="C792" s="0" t="s">
        <v>101</v>
      </c>
      <c r="D792" s="0" t="s">
        <v>79</v>
      </c>
      <c r="E792" s="0" t="n">
        <v>0</v>
      </c>
      <c r="F792" s="0" t="s">
        <v>37</v>
      </c>
      <c r="H792" s="0" t="s">
        <v>457</v>
      </c>
      <c r="I792" s="0" t="s">
        <v>457</v>
      </c>
      <c r="J792" s="0" t="s">
        <v>457</v>
      </c>
      <c r="K792" s="0" t="s">
        <v>457</v>
      </c>
      <c r="L792" s="0" t="s">
        <v>457</v>
      </c>
      <c r="M792" s="0" t="s">
        <v>457</v>
      </c>
      <c r="R792" s="0" t="s">
        <v>84</v>
      </c>
    </row>
    <row r="793" customFormat="false" ht="15" hidden="false" customHeight="false" outlineLevel="0" collapsed="false">
      <c r="A793" s="0" t="s">
        <v>169</v>
      </c>
      <c r="B793" s="0" t="n">
        <v>2015</v>
      </c>
      <c r="C793" s="0" t="s">
        <v>101</v>
      </c>
      <c r="D793" s="0" t="s">
        <v>79</v>
      </c>
      <c r="E793" s="0" t="n">
        <v>0</v>
      </c>
      <c r="F793" s="0" t="s">
        <v>23</v>
      </c>
      <c r="H793" s="0" t="s">
        <v>457</v>
      </c>
      <c r="I793" s="0" t="s">
        <v>457</v>
      </c>
      <c r="J793" s="0" t="s">
        <v>457</v>
      </c>
      <c r="K793" s="0" t="s">
        <v>457</v>
      </c>
      <c r="L793" s="0" t="s">
        <v>457</v>
      </c>
      <c r="M793" s="0" t="s">
        <v>457</v>
      </c>
      <c r="R793" s="0" t="s">
        <v>84</v>
      </c>
    </row>
    <row r="794" customFormat="false" ht="15" hidden="false" customHeight="false" outlineLevel="0" collapsed="false">
      <c r="A794" s="0" t="s">
        <v>169</v>
      </c>
      <c r="B794" s="0" t="n">
        <v>2015</v>
      </c>
      <c r="C794" s="0" t="s">
        <v>101</v>
      </c>
      <c r="D794" s="0" t="s">
        <v>79</v>
      </c>
      <c r="E794" s="0" t="n">
        <v>0</v>
      </c>
      <c r="F794" s="0" t="s">
        <v>45</v>
      </c>
      <c r="H794" s="0" t="s">
        <v>457</v>
      </c>
      <c r="I794" s="0" t="s">
        <v>457</v>
      </c>
      <c r="J794" s="0" t="s">
        <v>457</v>
      </c>
      <c r="K794" s="0" t="s">
        <v>457</v>
      </c>
      <c r="L794" s="0" t="s">
        <v>457</v>
      </c>
      <c r="M794" s="0" t="s">
        <v>457</v>
      </c>
      <c r="R794" s="0" t="s">
        <v>84</v>
      </c>
    </row>
    <row r="795" customFormat="false" ht="15" hidden="false" customHeight="false" outlineLevel="0" collapsed="false">
      <c r="A795" s="0" t="s">
        <v>169</v>
      </c>
      <c r="B795" s="0" t="n">
        <v>2015</v>
      </c>
      <c r="C795" s="0" t="s">
        <v>101</v>
      </c>
      <c r="D795" s="0" t="s">
        <v>79</v>
      </c>
      <c r="E795" s="0" t="n">
        <v>0</v>
      </c>
      <c r="F795" s="0" t="s">
        <v>71</v>
      </c>
      <c r="H795" s="0" t="s">
        <v>457</v>
      </c>
      <c r="I795" s="0" t="s">
        <v>457</v>
      </c>
      <c r="J795" s="0" t="s">
        <v>457</v>
      </c>
      <c r="K795" s="0" t="s">
        <v>457</v>
      </c>
      <c r="L795" s="0" t="s">
        <v>457</v>
      </c>
      <c r="M795" s="0" t="s">
        <v>457</v>
      </c>
      <c r="R795" s="0" t="s">
        <v>84</v>
      </c>
    </row>
    <row r="796" customFormat="false" ht="15" hidden="false" customHeight="false" outlineLevel="0" collapsed="false">
      <c r="A796" s="0" t="s">
        <v>169</v>
      </c>
      <c r="B796" s="0" t="n">
        <v>2015</v>
      </c>
      <c r="C796" s="0" t="s">
        <v>101</v>
      </c>
      <c r="D796" s="0" t="s">
        <v>79</v>
      </c>
      <c r="E796" s="0" t="n">
        <v>0</v>
      </c>
      <c r="F796" s="0" t="s">
        <v>31</v>
      </c>
      <c r="G796" s="0" t="n">
        <v>88.0460844814539</v>
      </c>
      <c r="H796" s="0" t="s">
        <v>437</v>
      </c>
      <c r="I796" s="0" t="s">
        <v>437</v>
      </c>
      <c r="J796" s="0" t="s">
        <v>437</v>
      </c>
      <c r="K796" s="0" t="s">
        <v>437</v>
      </c>
      <c r="L796" s="0" t="s">
        <v>437</v>
      </c>
      <c r="M796" s="0" t="s">
        <v>457</v>
      </c>
      <c r="R796" s="0" t="s">
        <v>84</v>
      </c>
    </row>
    <row r="797" customFormat="false" ht="15" hidden="false" customHeight="false" outlineLevel="0" collapsed="false">
      <c r="A797" s="0" t="s">
        <v>169</v>
      </c>
      <c r="B797" s="0" t="n">
        <v>2016</v>
      </c>
      <c r="C797" s="0" t="s">
        <v>101</v>
      </c>
      <c r="D797" s="0" t="s">
        <v>79</v>
      </c>
      <c r="E797" s="0" t="n">
        <v>0</v>
      </c>
      <c r="F797" s="0" t="s">
        <v>73</v>
      </c>
      <c r="G797" s="0" t="n">
        <v>0</v>
      </c>
      <c r="H797" s="0" t="s">
        <v>437</v>
      </c>
      <c r="I797" s="0" t="s">
        <v>437</v>
      </c>
      <c r="J797" s="0" t="s">
        <v>437</v>
      </c>
      <c r="K797" s="0" t="s">
        <v>437</v>
      </c>
      <c r="L797" s="0" t="s">
        <v>437</v>
      </c>
      <c r="M797" s="0" t="s">
        <v>457</v>
      </c>
      <c r="R797" s="0" t="s">
        <v>87</v>
      </c>
    </row>
    <row r="798" customFormat="false" ht="15" hidden="false" customHeight="false" outlineLevel="0" collapsed="false">
      <c r="A798" s="0" t="s">
        <v>169</v>
      </c>
      <c r="B798" s="0" t="n">
        <v>2016</v>
      </c>
      <c r="C798" s="0" t="s">
        <v>101</v>
      </c>
      <c r="D798" s="0" t="s">
        <v>79</v>
      </c>
      <c r="E798" s="0" t="n">
        <v>0</v>
      </c>
      <c r="F798" s="0" t="s">
        <v>69</v>
      </c>
      <c r="G798" s="0" t="n">
        <v>10.66</v>
      </c>
      <c r="H798" s="0" t="s">
        <v>437</v>
      </c>
      <c r="I798" s="0" t="s">
        <v>437</v>
      </c>
      <c r="J798" s="0" t="s">
        <v>437</v>
      </c>
      <c r="K798" s="0" t="s">
        <v>437</v>
      </c>
      <c r="L798" s="0" t="s">
        <v>437</v>
      </c>
      <c r="M798" s="0" t="s">
        <v>457</v>
      </c>
      <c r="R798" s="0" t="s">
        <v>87</v>
      </c>
    </row>
    <row r="799" customFormat="false" ht="15" hidden="false" customHeight="false" outlineLevel="0" collapsed="false">
      <c r="A799" s="0" t="s">
        <v>169</v>
      </c>
      <c r="B799" s="0" t="n">
        <v>2016</v>
      </c>
      <c r="C799" s="0" t="s">
        <v>101</v>
      </c>
      <c r="D799" s="0" t="s">
        <v>79</v>
      </c>
      <c r="E799" s="0" t="n">
        <v>0</v>
      </c>
      <c r="F799" s="0" t="s">
        <v>25</v>
      </c>
      <c r="G799" s="0" t="n">
        <v>10.6590109197573</v>
      </c>
      <c r="H799" s="0" t="s">
        <v>437</v>
      </c>
      <c r="I799" s="0" t="s">
        <v>437</v>
      </c>
      <c r="J799" s="0" t="s">
        <v>437</v>
      </c>
      <c r="K799" s="0" t="s">
        <v>437</v>
      </c>
      <c r="L799" s="0" t="s">
        <v>437</v>
      </c>
      <c r="M799" s="0" t="s">
        <v>457</v>
      </c>
      <c r="R799" s="0" t="s">
        <v>87</v>
      </c>
    </row>
    <row r="800" customFormat="false" ht="15" hidden="false" customHeight="false" outlineLevel="0" collapsed="false">
      <c r="A800" s="0" t="s">
        <v>169</v>
      </c>
      <c r="B800" s="0" t="n">
        <v>2016</v>
      </c>
      <c r="C800" s="0" t="s">
        <v>101</v>
      </c>
      <c r="D800" s="0" t="s">
        <v>79</v>
      </c>
      <c r="E800" s="0" t="n">
        <v>0</v>
      </c>
      <c r="F800" s="0" t="s">
        <v>41</v>
      </c>
      <c r="G800" s="0" t="n">
        <v>0.635602199523013</v>
      </c>
      <c r="H800" s="0" t="s">
        <v>437</v>
      </c>
      <c r="I800" s="0" t="s">
        <v>437</v>
      </c>
      <c r="J800" s="0" t="s">
        <v>437</v>
      </c>
      <c r="K800" s="0" t="s">
        <v>437</v>
      </c>
      <c r="L800" s="0" t="s">
        <v>437</v>
      </c>
      <c r="M800" s="0" t="s">
        <v>457</v>
      </c>
      <c r="R800" s="0" t="s">
        <v>87</v>
      </c>
    </row>
    <row r="801" customFormat="false" ht="15" hidden="false" customHeight="false" outlineLevel="0" collapsed="false">
      <c r="A801" s="0" t="s">
        <v>169</v>
      </c>
      <c r="B801" s="0" t="n">
        <v>2016</v>
      </c>
      <c r="C801" s="0" t="s">
        <v>101</v>
      </c>
      <c r="D801" s="0" t="s">
        <v>79</v>
      </c>
      <c r="E801" s="0" t="n">
        <v>0</v>
      </c>
      <c r="F801" s="0" t="s">
        <v>27</v>
      </c>
      <c r="G801" s="0" t="n">
        <v>10.3127579013318</v>
      </c>
      <c r="H801" s="0" t="s">
        <v>437</v>
      </c>
      <c r="I801" s="0" t="s">
        <v>437</v>
      </c>
      <c r="J801" s="0" t="s">
        <v>437</v>
      </c>
      <c r="K801" s="0" t="s">
        <v>437</v>
      </c>
      <c r="L801" s="0" t="s">
        <v>437</v>
      </c>
      <c r="M801" s="0" t="s">
        <v>457</v>
      </c>
      <c r="R801" s="0" t="s">
        <v>87</v>
      </c>
    </row>
    <row r="802" customFormat="false" ht="15" hidden="false" customHeight="false" outlineLevel="0" collapsed="false">
      <c r="A802" s="0" t="s">
        <v>169</v>
      </c>
      <c r="B802" s="0" t="n">
        <v>2016</v>
      </c>
      <c r="C802" s="0" t="s">
        <v>101</v>
      </c>
      <c r="D802" s="0" t="s">
        <v>79</v>
      </c>
      <c r="E802" s="0" t="n">
        <v>0</v>
      </c>
      <c r="F802" s="0" t="s">
        <v>39</v>
      </c>
      <c r="G802" s="0" t="n">
        <v>-15.3218467186972</v>
      </c>
      <c r="H802" s="0" t="s">
        <v>437</v>
      </c>
      <c r="I802" s="0" t="s">
        <v>437</v>
      </c>
      <c r="J802" s="0" t="s">
        <v>437</v>
      </c>
      <c r="K802" s="0" t="s">
        <v>437</v>
      </c>
      <c r="L802" s="0" t="s">
        <v>437</v>
      </c>
      <c r="M802" s="0" t="s">
        <v>457</v>
      </c>
      <c r="R802" s="0" t="s">
        <v>87</v>
      </c>
    </row>
    <row r="803" customFormat="false" ht="15" hidden="false" customHeight="false" outlineLevel="0" collapsed="false">
      <c r="A803" s="0" t="s">
        <v>169</v>
      </c>
      <c r="B803" s="0" t="n">
        <v>2016</v>
      </c>
      <c r="C803" s="0" t="s">
        <v>101</v>
      </c>
      <c r="D803" s="0" t="s">
        <v>79</v>
      </c>
      <c r="E803" s="0" t="n">
        <v>0</v>
      </c>
      <c r="F803" s="0" t="s">
        <v>17</v>
      </c>
      <c r="G803" s="0" t="n">
        <v>1.77534283860335</v>
      </c>
      <c r="H803" s="0" t="s">
        <v>437</v>
      </c>
      <c r="I803" s="0" t="s">
        <v>437</v>
      </c>
      <c r="J803" s="0" t="s">
        <v>437</v>
      </c>
      <c r="K803" s="0" t="s">
        <v>437</v>
      </c>
      <c r="L803" s="0" t="s">
        <v>437</v>
      </c>
      <c r="M803" s="0" t="s">
        <v>457</v>
      </c>
      <c r="R803" s="0" t="s">
        <v>87</v>
      </c>
    </row>
    <row r="804" customFormat="false" ht="15" hidden="false" customHeight="false" outlineLevel="0" collapsed="false">
      <c r="A804" s="0" t="s">
        <v>169</v>
      </c>
      <c r="B804" s="0" t="n">
        <v>2016</v>
      </c>
      <c r="C804" s="0" t="s">
        <v>101</v>
      </c>
      <c r="D804" s="0" t="s">
        <v>79</v>
      </c>
      <c r="E804" s="0" t="n">
        <v>0</v>
      </c>
      <c r="F804" s="0" t="s">
        <v>29</v>
      </c>
      <c r="G804" s="0" t="n">
        <v>1.43707306708601</v>
      </c>
      <c r="H804" s="0" t="s">
        <v>437</v>
      </c>
      <c r="I804" s="0" t="s">
        <v>437</v>
      </c>
      <c r="J804" s="0" t="s">
        <v>437</v>
      </c>
      <c r="K804" s="0" t="s">
        <v>437</v>
      </c>
      <c r="L804" s="0" t="s">
        <v>437</v>
      </c>
      <c r="M804" s="0" t="s">
        <v>457</v>
      </c>
      <c r="R804" s="0" t="s">
        <v>87</v>
      </c>
    </row>
    <row r="805" customFormat="false" ht="15" hidden="false" customHeight="false" outlineLevel="0" collapsed="false">
      <c r="A805" s="0" t="s">
        <v>169</v>
      </c>
      <c r="B805" s="0" t="n">
        <v>2016</v>
      </c>
      <c r="C805" s="0" t="s">
        <v>101</v>
      </c>
      <c r="D805" s="0" t="s">
        <v>79</v>
      </c>
      <c r="E805" s="0" t="n">
        <v>0</v>
      </c>
      <c r="F805" s="0" t="s">
        <v>37</v>
      </c>
      <c r="H805" s="0" t="s">
        <v>457</v>
      </c>
      <c r="I805" s="0" t="s">
        <v>457</v>
      </c>
      <c r="J805" s="0" t="s">
        <v>457</v>
      </c>
      <c r="K805" s="0" t="s">
        <v>457</v>
      </c>
      <c r="L805" s="0" t="s">
        <v>457</v>
      </c>
      <c r="M805" s="0" t="s">
        <v>457</v>
      </c>
      <c r="R805" s="0" t="s">
        <v>87</v>
      </c>
    </row>
    <row r="806" customFormat="false" ht="15" hidden="false" customHeight="false" outlineLevel="0" collapsed="false">
      <c r="A806" s="0" t="s">
        <v>169</v>
      </c>
      <c r="B806" s="0" t="n">
        <v>2016</v>
      </c>
      <c r="C806" s="0" t="s">
        <v>101</v>
      </c>
      <c r="D806" s="0" t="s">
        <v>79</v>
      </c>
      <c r="E806" s="0" t="n">
        <v>0</v>
      </c>
      <c r="F806" s="0" t="s">
        <v>23</v>
      </c>
      <c r="H806" s="0" t="s">
        <v>457</v>
      </c>
      <c r="I806" s="0" t="s">
        <v>457</v>
      </c>
      <c r="J806" s="0" t="s">
        <v>457</v>
      </c>
      <c r="K806" s="0" t="s">
        <v>457</v>
      </c>
      <c r="L806" s="0" t="s">
        <v>457</v>
      </c>
      <c r="M806" s="0" t="s">
        <v>457</v>
      </c>
      <c r="R806" s="0" t="s">
        <v>87</v>
      </c>
    </row>
    <row r="807" customFormat="false" ht="15" hidden="false" customHeight="false" outlineLevel="0" collapsed="false">
      <c r="A807" s="0" t="s">
        <v>169</v>
      </c>
      <c r="B807" s="0" t="n">
        <v>2016</v>
      </c>
      <c r="C807" s="0" t="s">
        <v>101</v>
      </c>
      <c r="D807" s="0" t="s">
        <v>79</v>
      </c>
      <c r="E807" s="0" t="n">
        <v>0</v>
      </c>
      <c r="F807" s="0" t="s">
        <v>45</v>
      </c>
      <c r="H807" s="0" t="s">
        <v>457</v>
      </c>
      <c r="I807" s="0" t="s">
        <v>457</v>
      </c>
      <c r="J807" s="0" t="s">
        <v>457</v>
      </c>
      <c r="K807" s="0" t="s">
        <v>457</v>
      </c>
      <c r="L807" s="0" t="s">
        <v>457</v>
      </c>
      <c r="M807" s="0" t="s">
        <v>457</v>
      </c>
      <c r="R807" s="0" t="s">
        <v>87</v>
      </c>
    </row>
    <row r="808" customFormat="false" ht="15" hidden="false" customHeight="false" outlineLevel="0" collapsed="false">
      <c r="A808" s="0" t="s">
        <v>169</v>
      </c>
      <c r="B808" s="0" t="n">
        <v>2016</v>
      </c>
      <c r="C808" s="0" t="s">
        <v>101</v>
      </c>
      <c r="D808" s="0" t="s">
        <v>79</v>
      </c>
      <c r="E808" s="0" t="n">
        <v>0</v>
      </c>
      <c r="F808" s="0" t="s">
        <v>71</v>
      </c>
      <c r="H808" s="0" t="s">
        <v>457</v>
      </c>
      <c r="I808" s="0" t="s">
        <v>457</v>
      </c>
      <c r="J808" s="0" t="s">
        <v>457</v>
      </c>
      <c r="K808" s="0" t="s">
        <v>457</v>
      </c>
      <c r="L808" s="0" t="s">
        <v>457</v>
      </c>
      <c r="M808" s="0" t="s">
        <v>457</v>
      </c>
      <c r="R808" s="0" t="s">
        <v>87</v>
      </c>
    </row>
    <row r="809" customFormat="false" ht="15" hidden="false" customHeight="false" outlineLevel="0" collapsed="false">
      <c r="A809" s="0" t="s">
        <v>169</v>
      </c>
      <c r="B809" s="0" t="n">
        <v>2016</v>
      </c>
      <c r="C809" s="0" t="s">
        <v>101</v>
      </c>
      <c r="D809" s="0" t="s">
        <v>79</v>
      </c>
      <c r="E809" s="0" t="n">
        <v>0</v>
      </c>
      <c r="F809" s="0" t="s">
        <v>31</v>
      </c>
      <c r="G809" s="0" t="n">
        <v>89.6872420986682</v>
      </c>
      <c r="H809" s="0" t="s">
        <v>437</v>
      </c>
      <c r="I809" s="0" t="s">
        <v>437</v>
      </c>
      <c r="J809" s="0" t="s">
        <v>437</v>
      </c>
      <c r="K809" s="0" t="s">
        <v>437</v>
      </c>
      <c r="L809" s="0" t="s">
        <v>437</v>
      </c>
      <c r="M809" s="0" t="s">
        <v>457</v>
      </c>
      <c r="R809" s="0" t="s">
        <v>87</v>
      </c>
    </row>
    <row r="810" customFormat="false" ht="15" hidden="false" customHeight="false" outlineLevel="0" collapsed="false">
      <c r="A810" s="0" t="s">
        <v>169</v>
      </c>
      <c r="B810" s="0" t="n">
        <v>2017</v>
      </c>
      <c r="C810" s="0" t="s">
        <v>101</v>
      </c>
      <c r="D810" s="0" t="s">
        <v>79</v>
      </c>
      <c r="E810" s="0" t="n">
        <v>0</v>
      </c>
      <c r="F810" s="0" t="s">
        <v>73</v>
      </c>
      <c r="G810" s="0" t="n">
        <v>0</v>
      </c>
      <c r="H810" s="0" t="s">
        <v>437</v>
      </c>
      <c r="I810" s="0" t="s">
        <v>437</v>
      </c>
      <c r="J810" s="0" t="s">
        <v>437</v>
      </c>
      <c r="K810" s="0" t="s">
        <v>437</v>
      </c>
      <c r="L810" s="0" t="s">
        <v>437</v>
      </c>
      <c r="M810" s="0" t="s">
        <v>457</v>
      </c>
      <c r="R810" s="0" t="s">
        <v>89</v>
      </c>
    </row>
    <row r="811" customFormat="false" ht="15" hidden="false" customHeight="false" outlineLevel="0" collapsed="false">
      <c r="A811" s="0" t="s">
        <v>169</v>
      </c>
      <c r="B811" s="0" t="n">
        <v>2017</v>
      </c>
      <c r="C811" s="0" t="s">
        <v>101</v>
      </c>
      <c r="D811" s="0" t="s">
        <v>79</v>
      </c>
      <c r="E811" s="0" t="n">
        <v>0</v>
      </c>
      <c r="F811" s="0" t="s">
        <v>69</v>
      </c>
      <c r="G811" s="0" t="n">
        <v>11.73</v>
      </c>
      <c r="H811" s="0" t="s">
        <v>437</v>
      </c>
      <c r="I811" s="0" t="s">
        <v>437</v>
      </c>
      <c r="J811" s="0" t="s">
        <v>437</v>
      </c>
      <c r="K811" s="0" t="s">
        <v>437</v>
      </c>
      <c r="L811" s="0" t="s">
        <v>437</v>
      </c>
      <c r="M811" s="0" t="s">
        <v>457</v>
      </c>
      <c r="R811" s="0" t="s">
        <v>89</v>
      </c>
    </row>
    <row r="812" customFormat="false" ht="15" hidden="false" customHeight="false" outlineLevel="0" collapsed="false">
      <c r="A812" s="0" t="s">
        <v>169</v>
      </c>
      <c r="B812" s="0" t="n">
        <v>2017</v>
      </c>
      <c r="C812" s="0" t="s">
        <v>101</v>
      </c>
      <c r="D812" s="0" t="s">
        <v>79</v>
      </c>
      <c r="E812" s="0" t="n">
        <v>0</v>
      </c>
      <c r="F812" s="0" t="s">
        <v>25</v>
      </c>
      <c r="G812" s="0" t="n">
        <v>11.7320092527474</v>
      </c>
      <c r="H812" s="0" t="s">
        <v>437</v>
      </c>
      <c r="I812" s="0" t="s">
        <v>437</v>
      </c>
      <c r="J812" s="0" t="s">
        <v>437</v>
      </c>
      <c r="K812" s="0" t="s">
        <v>437</v>
      </c>
      <c r="L812" s="0" t="s">
        <v>437</v>
      </c>
      <c r="M812" s="0" t="s">
        <v>457</v>
      </c>
      <c r="R812" s="0" t="s">
        <v>89</v>
      </c>
    </row>
    <row r="813" customFormat="false" ht="15" hidden="false" customHeight="false" outlineLevel="0" collapsed="false">
      <c r="A813" s="0" t="s">
        <v>169</v>
      </c>
      <c r="B813" s="0" t="n">
        <v>2017</v>
      </c>
      <c r="C813" s="0" t="s">
        <v>101</v>
      </c>
      <c r="D813" s="0" t="s">
        <v>79</v>
      </c>
      <c r="E813" s="0" t="n">
        <v>0</v>
      </c>
      <c r="F813" s="0" t="s">
        <v>41</v>
      </c>
      <c r="G813" s="0" t="n">
        <v>0.890186002022528</v>
      </c>
      <c r="H813" s="0" t="s">
        <v>437</v>
      </c>
      <c r="I813" s="0" t="s">
        <v>437</v>
      </c>
      <c r="J813" s="0" t="s">
        <v>437</v>
      </c>
      <c r="K813" s="0" t="s">
        <v>437</v>
      </c>
      <c r="L813" s="0" t="s">
        <v>437</v>
      </c>
      <c r="M813" s="0" t="s">
        <v>457</v>
      </c>
      <c r="R813" s="0" t="s">
        <v>89</v>
      </c>
    </row>
    <row r="814" customFormat="false" ht="15" hidden="false" customHeight="false" outlineLevel="0" collapsed="false">
      <c r="A814" s="0" t="s">
        <v>169</v>
      </c>
      <c r="B814" s="0" t="n">
        <v>2017</v>
      </c>
      <c r="C814" s="0" t="s">
        <v>101</v>
      </c>
      <c r="D814" s="0" t="s">
        <v>79</v>
      </c>
      <c r="E814" s="0" t="n">
        <v>0</v>
      </c>
      <c r="F814" s="0" t="s">
        <v>27</v>
      </c>
      <c r="G814" s="0" t="n">
        <v>9.62698283492297</v>
      </c>
      <c r="H814" s="0" t="s">
        <v>437</v>
      </c>
      <c r="I814" s="0" t="s">
        <v>437</v>
      </c>
      <c r="J814" s="0" t="s">
        <v>437</v>
      </c>
      <c r="K814" s="0" t="s">
        <v>437</v>
      </c>
      <c r="L814" s="0" t="s">
        <v>437</v>
      </c>
      <c r="M814" s="0" t="s">
        <v>457</v>
      </c>
      <c r="R814" s="0" t="s">
        <v>89</v>
      </c>
    </row>
    <row r="815" customFormat="false" ht="15" hidden="false" customHeight="false" outlineLevel="0" collapsed="false">
      <c r="A815" s="0" t="s">
        <v>169</v>
      </c>
      <c r="B815" s="0" t="n">
        <v>2017</v>
      </c>
      <c r="C815" s="0" t="s">
        <v>101</v>
      </c>
      <c r="D815" s="0" t="s">
        <v>79</v>
      </c>
      <c r="E815" s="0" t="n">
        <v>0</v>
      </c>
      <c r="F815" s="0" t="s">
        <v>39</v>
      </c>
      <c r="G815" s="0" t="n">
        <v>-4.90018177482348</v>
      </c>
      <c r="H815" s="0" t="s">
        <v>437</v>
      </c>
      <c r="I815" s="0" t="s">
        <v>437</v>
      </c>
      <c r="J815" s="0" t="s">
        <v>437</v>
      </c>
      <c r="K815" s="0" t="s">
        <v>437</v>
      </c>
      <c r="L815" s="0" t="s">
        <v>437</v>
      </c>
      <c r="M815" s="0" t="s">
        <v>457</v>
      </c>
      <c r="R815" s="0" t="s">
        <v>89</v>
      </c>
    </row>
    <row r="816" customFormat="false" ht="15" hidden="false" customHeight="false" outlineLevel="0" collapsed="false">
      <c r="A816" s="0" t="s">
        <v>169</v>
      </c>
      <c r="B816" s="0" t="n">
        <v>2017</v>
      </c>
      <c r="C816" s="0" t="s">
        <v>101</v>
      </c>
      <c r="D816" s="0" t="s">
        <v>79</v>
      </c>
      <c r="E816" s="0" t="n">
        <v>0</v>
      </c>
      <c r="F816" s="0" t="s">
        <v>17</v>
      </c>
      <c r="G816" s="0" t="n">
        <v>3.15814870048593</v>
      </c>
      <c r="H816" s="0" t="s">
        <v>437</v>
      </c>
      <c r="I816" s="0" t="s">
        <v>437</v>
      </c>
      <c r="J816" s="0" t="s">
        <v>437</v>
      </c>
      <c r="K816" s="0" t="s">
        <v>437</v>
      </c>
      <c r="L816" s="0" t="s">
        <v>437</v>
      </c>
      <c r="M816" s="0" t="s">
        <v>457</v>
      </c>
      <c r="R816" s="0" t="s">
        <v>89</v>
      </c>
    </row>
    <row r="817" customFormat="false" ht="15" hidden="false" customHeight="false" outlineLevel="0" collapsed="false">
      <c r="A817" s="0" t="s">
        <v>169</v>
      </c>
      <c r="B817" s="0" t="n">
        <v>2017</v>
      </c>
      <c r="C817" s="0" t="s">
        <v>101</v>
      </c>
      <c r="D817" s="0" t="s">
        <v>79</v>
      </c>
      <c r="E817" s="0" t="n">
        <v>0</v>
      </c>
      <c r="F817" s="0" t="s">
        <v>29</v>
      </c>
      <c r="G817" s="0" t="n">
        <v>1.29153302032056</v>
      </c>
      <c r="H817" s="0" t="s">
        <v>437</v>
      </c>
      <c r="I817" s="0" t="s">
        <v>437</v>
      </c>
      <c r="J817" s="0" t="s">
        <v>437</v>
      </c>
      <c r="K817" s="0" t="s">
        <v>437</v>
      </c>
      <c r="L817" s="0" t="s">
        <v>437</v>
      </c>
      <c r="M817" s="0" t="s">
        <v>457</v>
      </c>
      <c r="R817" s="0" t="s">
        <v>89</v>
      </c>
    </row>
    <row r="818" customFormat="false" ht="15" hidden="false" customHeight="false" outlineLevel="0" collapsed="false">
      <c r="A818" s="0" t="s">
        <v>169</v>
      </c>
      <c r="B818" s="0" t="n">
        <v>2017</v>
      </c>
      <c r="C818" s="0" t="s">
        <v>101</v>
      </c>
      <c r="D818" s="0" t="s">
        <v>79</v>
      </c>
      <c r="E818" s="0" t="n">
        <v>0</v>
      </c>
      <c r="F818" s="0" t="s">
        <v>37</v>
      </c>
      <c r="H818" s="0" t="s">
        <v>457</v>
      </c>
      <c r="I818" s="0" t="s">
        <v>457</v>
      </c>
      <c r="J818" s="0" t="s">
        <v>457</v>
      </c>
      <c r="K818" s="0" t="s">
        <v>457</v>
      </c>
      <c r="L818" s="0" t="s">
        <v>457</v>
      </c>
      <c r="M818" s="0" t="s">
        <v>457</v>
      </c>
      <c r="R818" s="0" t="s">
        <v>89</v>
      </c>
    </row>
    <row r="819" customFormat="false" ht="15" hidden="false" customHeight="false" outlineLevel="0" collapsed="false">
      <c r="A819" s="0" t="s">
        <v>169</v>
      </c>
      <c r="B819" s="0" t="n">
        <v>2017</v>
      </c>
      <c r="C819" s="0" t="s">
        <v>101</v>
      </c>
      <c r="D819" s="0" t="s">
        <v>79</v>
      </c>
      <c r="E819" s="0" t="n">
        <v>0</v>
      </c>
      <c r="F819" s="0" t="s">
        <v>23</v>
      </c>
      <c r="H819" s="0" t="s">
        <v>457</v>
      </c>
      <c r="I819" s="0" t="s">
        <v>457</v>
      </c>
      <c r="J819" s="0" t="s">
        <v>457</v>
      </c>
      <c r="K819" s="0" t="s">
        <v>457</v>
      </c>
      <c r="L819" s="0" t="s">
        <v>457</v>
      </c>
      <c r="M819" s="0" t="s">
        <v>457</v>
      </c>
      <c r="R819" s="0" t="s">
        <v>89</v>
      </c>
    </row>
    <row r="820" customFormat="false" ht="15" hidden="false" customHeight="false" outlineLevel="0" collapsed="false">
      <c r="A820" s="0" t="s">
        <v>169</v>
      </c>
      <c r="B820" s="0" t="n">
        <v>2017</v>
      </c>
      <c r="C820" s="0" t="s">
        <v>101</v>
      </c>
      <c r="D820" s="0" t="s">
        <v>79</v>
      </c>
      <c r="E820" s="0" t="n">
        <v>0</v>
      </c>
      <c r="F820" s="0" t="s">
        <v>45</v>
      </c>
      <c r="H820" s="0" t="s">
        <v>457</v>
      </c>
      <c r="I820" s="0" t="s">
        <v>457</v>
      </c>
      <c r="J820" s="0" t="s">
        <v>457</v>
      </c>
      <c r="K820" s="0" t="s">
        <v>457</v>
      </c>
      <c r="L820" s="0" t="s">
        <v>457</v>
      </c>
      <c r="M820" s="0" t="s">
        <v>457</v>
      </c>
      <c r="R820" s="0" t="s">
        <v>89</v>
      </c>
    </row>
    <row r="821" customFormat="false" ht="15" hidden="false" customHeight="false" outlineLevel="0" collapsed="false">
      <c r="A821" s="0" t="s">
        <v>169</v>
      </c>
      <c r="B821" s="0" t="n">
        <v>2017</v>
      </c>
      <c r="C821" s="0" t="s">
        <v>101</v>
      </c>
      <c r="D821" s="0" t="s">
        <v>79</v>
      </c>
      <c r="E821" s="0" t="n">
        <v>0</v>
      </c>
      <c r="F821" s="0" t="s">
        <v>71</v>
      </c>
      <c r="H821" s="0" t="s">
        <v>457</v>
      </c>
      <c r="I821" s="0" t="s">
        <v>457</v>
      </c>
      <c r="J821" s="0" t="s">
        <v>457</v>
      </c>
      <c r="K821" s="0" t="s">
        <v>457</v>
      </c>
      <c r="L821" s="0" t="s">
        <v>457</v>
      </c>
      <c r="M821" s="0" t="s">
        <v>457</v>
      </c>
      <c r="R821" s="0" t="s">
        <v>89</v>
      </c>
    </row>
    <row r="822" customFormat="false" ht="15" hidden="false" customHeight="false" outlineLevel="0" collapsed="false">
      <c r="A822" s="0" t="s">
        <v>169</v>
      </c>
      <c r="B822" s="0" t="n">
        <v>2017</v>
      </c>
      <c r="C822" s="0" t="s">
        <v>101</v>
      </c>
      <c r="D822" s="0" t="s">
        <v>79</v>
      </c>
      <c r="E822" s="0" t="n">
        <v>0</v>
      </c>
      <c r="F822" s="0" t="s">
        <v>31</v>
      </c>
      <c r="G822" s="0" t="n">
        <v>90.373017165077</v>
      </c>
      <c r="H822" s="0" t="s">
        <v>437</v>
      </c>
      <c r="I822" s="0" t="s">
        <v>437</v>
      </c>
      <c r="J822" s="0" t="s">
        <v>437</v>
      </c>
      <c r="K822" s="0" t="s">
        <v>437</v>
      </c>
      <c r="L822" s="0" t="s">
        <v>437</v>
      </c>
      <c r="M822" s="0" t="s">
        <v>457</v>
      </c>
      <c r="R822" s="0" t="s">
        <v>89</v>
      </c>
    </row>
    <row r="823" customFormat="false" ht="15" hidden="false" customHeight="false" outlineLevel="0" collapsed="false">
      <c r="A823" s="0" t="s">
        <v>169</v>
      </c>
      <c r="B823" s="0" t="n">
        <v>2018</v>
      </c>
      <c r="C823" s="0" t="s">
        <v>101</v>
      </c>
      <c r="D823" s="0" t="s">
        <v>90</v>
      </c>
      <c r="E823" s="0" t="n">
        <v>1</v>
      </c>
      <c r="F823" s="0" t="s">
        <v>73</v>
      </c>
      <c r="H823" s="0" t="s">
        <v>457</v>
      </c>
      <c r="I823" s="0" t="s">
        <v>457</v>
      </c>
      <c r="J823" s="0" t="s">
        <v>457</v>
      </c>
      <c r="K823" s="0" t="s">
        <v>457</v>
      </c>
      <c r="L823" s="0" t="s">
        <v>457</v>
      </c>
      <c r="M823" s="0" t="s">
        <v>457</v>
      </c>
      <c r="R823" s="0" t="s">
        <v>81</v>
      </c>
    </row>
    <row r="824" customFormat="false" ht="15" hidden="false" customHeight="false" outlineLevel="0" collapsed="false">
      <c r="A824" s="0" t="s">
        <v>169</v>
      </c>
      <c r="B824" s="0" t="n">
        <v>2018</v>
      </c>
      <c r="C824" s="0" t="s">
        <v>101</v>
      </c>
      <c r="D824" s="0" t="s">
        <v>90</v>
      </c>
      <c r="E824" s="0" t="n">
        <v>1</v>
      </c>
      <c r="F824" s="0" t="s">
        <v>69</v>
      </c>
      <c r="G824" s="0" t="n">
        <v>12.86</v>
      </c>
      <c r="H824" s="0" t="s">
        <v>437</v>
      </c>
      <c r="I824" s="0" t="s">
        <v>437</v>
      </c>
      <c r="J824" s="0" t="s">
        <v>437</v>
      </c>
      <c r="K824" s="0" t="s">
        <v>437</v>
      </c>
      <c r="L824" s="0" t="s">
        <v>437</v>
      </c>
      <c r="M824" s="0" t="s">
        <v>457</v>
      </c>
      <c r="R824" s="0" t="s">
        <v>81</v>
      </c>
    </row>
    <row r="825" customFormat="false" ht="15" hidden="false" customHeight="false" outlineLevel="0" collapsed="false">
      <c r="A825" s="0" t="s">
        <v>169</v>
      </c>
      <c r="B825" s="0" t="n">
        <v>2018</v>
      </c>
      <c r="C825" s="0" t="s">
        <v>101</v>
      </c>
      <c r="D825" s="0" t="s">
        <v>90</v>
      </c>
      <c r="E825" s="0" t="n">
        <v>1</v>
      </c>
      <c r="F825" s="0" t="s">
        <v>25</v>
      </c>
      <c r="H825" s="0" t="s">
        <v>457</v>
      </c>
      <c r="I825" s="0" t="s">
        <v>457</v>
      </c>
      <c r="J825" s="0" t="s">
        <v>457</v>
      </c>
      <c r="K825" s="0" t="s">
        <v>457</v>
      </c>
      <c r="L825" s="0" t="s">
        <v>457</v>
      </c>
      <c r="M825" s="0" t="s">
        <v>457</v>
      </c>
      <c r="R825" s="0" t="s">
        <v>81</v>
      </c>
    </row>
    <row r="826" customFormat="false" ht="15" hidden="false" customHeight="false" outlineLevel="0" collapsed="false">
      <c r="A826" s="0" t="s">
        <v>169</v>
      </c>
      <c r="B826" s="0" t="n">
        <v>2018</v>
      </c>
      <c r="C826" s="0" t="s">
        <v>101</v>
      </c>
      <c r="D826" s="0" t="s">
        <v>90</v>
      </c>
      <c r="E826" s="0" t="n">
        <v>1</v>
      </c>
      <c r="F826" s="0" t="s">
        <v>41</v>
      </c>
      <c r="H826" s="0" t="s">
        <v>457</v>
      </c>
      <c r="I826" s="0" t="s">
        <v>457</v>
      </c>
      <c r="J826" s="0" t="s">
        <v>457</v>
      </c>
      <c r="K826" s="0" t="s">
        <v>457</v>
      </c>
      <c r="L826" s="0" t="s">
        <v>457</v>
      </c>
      <c r="M826" s="0" t="s">
        <v>457</v>
      </c>
      <c r="R826" s="0" t="s">
        <v>81</v>
      </c>
    </row>
    <row r="827" customFormat="false" ht="15" hidden="false" customHeight="false" outlineLevel="0" collapsed="false">
      <c r="A827" s="0" t="s">
        <v>169</v>
      </c>
      <c r="B827" s="0" t="n">
        <v>2018</v>
      </c>
      <c r="C827" s="0" t="s">
        <v>101</v>
      </c>
      <c r="D827" s="0" t="s">
        <v>90</v>
      </c>
      <c r="E827" s="0" t="n">
        <v>1</v>
      </c>
      <c r="F827" s="0" t="s">
        <v>27</v>
      </c>
      <c r="G827" s="0" t="n">
        <v>9.02580036762945</v>
      </c>
      <c r="H827" s="0" t="s">
        <v>437</v>
      </c>
      <c r="I827" s="0" t="s">
        <v>437</v>
      </c>
      <c r="J827" s="0" t="s">
        <v>437</v>
      </c>
      <c r="K827" s="0" t="s">
        <v>437</v>
      </c>
      <c r="L827" s="0" t="s">
        <v>437</v>
      </c>
      <c r="M827" s="0" t="s">
        <v>457</v>
      </c>
      <c r="R827" s="0" t="s">
        <v>81</v>
      </c>
    </row>
    <row r="828" customFormat="false" ht="15" hidden="false" customHeight="false" outlineLevel="0" collapsed="false">
      <c r="A828" s="0" t="s">
        <v>169</v>
      </c>
      <c r="B828" s="0" t="n">
        <v>2018</v>
      </c>
      <c r="C828" s="0" t="s">
        <v>101</v>
      </c>
      <c r="D828" s="0" t="s">
        <v>90</v>
      </c>
      <c r="E828" s="0" t="n">
        <v>1</v>
      </c>
      <c r="F828" s="0" t="s">
        <v>39</v>
      </c>
      <c r="H828" s="0" t="s">
        <v>457</v>
      </c>
      <c r="I828" s="0" t="s">
        <v>457</v>
      </c>
      <c r="J828" s="0" t="s">
        <v>457</v>
      </c>
      <c r="K828" s="0" t="s">
        <v>457</v>
      </c>
      <c r="L828" s="0" t="s">
        <v>457</v>
      </c>
      <c r="M828" s="0" t="s">
        <v>457</v>
      </c>
      <c r="R828" s="0" t="s">
        <v>81</v>
      </c>
    </row>
    <row r="829" customFormat="false" ht="15" hidden="false" customHeight="false" outlineLevel="0" collapsed="false">
      <c r="A829" s="0" t="s">
        <v>169</v>
      </c>
      <c r="B829" s="0" t="n">
        <v>2018</v>
      </c>
      <c r="C829" s="0" t="s">
        <v>101</v>
      </c>
      <c r="D829" s="0" t="s">
        <v>90</v>
      </c>
      <c r="E829" s="0" t="n">
        <v>1</v>
      </c>
      <c r="F829" s="0" t="s">
        <v>17</v>
      </c>
      <c r="G829" s="0" t="n">
        <v>3.0687802609111</v>
      </c>
      <c r="H829" s="0" t="s">
        <v>437</v>
      </c>
      <c r="I829" s="0" t="s">
        <v>437</v>
      </c>
      <c r="J829" s="0" t="s">
        <v>437</v>
      </c>
      <c r="K829" s="0" t="s">
        <v>437</v>
      </c>
      <c r="L829" s="0" t="s">
        <v>437</v>
      </c>
      <c r="M829" s="0" t="s">
        <v>457</v>
      </c>
      <c r="R829" s="0" t="s">
        <v>81</v>
      </c>
    </row>
    <row r="830" customFormat="false" ht="15" hidden="false" customHeight="false" outlineLevel="0" collapsed="false">
      <c r="A830" s="0" t="s">
        <v>169</v>
      </c>
      <c r="B830" s="0" t="n">
        <v>2018</v>
      </c>
      <c r="C830" s="0" t="s">
        <v>101</v>
      </c>
      <c r="D830" s="0" t="s">
        <v>90</v>
      </c>
      <c r="E830" s="0" t="n">
        <v>1</v>
      </c>
      <c r="F830" s="0" t="s">
        <v>29</v>
      </c>
      <c r="H830" s="0" t="s">
        <v>457</v>
      </c>
      <c r="I830" s="0" t="s">
        <v>457</v>
      </c>
      <c r="J830" s="0" t="s">
        <v>457</v>
      </c>
      <c r="K830" s="0" t="s">
        <v>457</v>
      </c>
      <c r="L830" s="0" t="s">
        <v>457</v>
      </c>
      <c r="M830" s="0" t="s">
        <v>457</v>
      </c>
      <c r="R830" s="0" t="s">
        <v>81</v>
      </c>
    </row>
    <row r="831" customFormat="false" ht="15" hidden="false" customHeight="false" outlineLevel="0" collapsed="false">
      <c r="A831" s="0" t="s">
        <v>169</v>
      </c>
      <c r="B831" s="0" t="n">
        <v>2018</v>
      </c>
      <c r="C831" s="0" t="s">
        <v>101</v>
      </c>
      <c r="D831" s="0" t="s">
        <v>90</v>
      </c>
      <c r="E831" s="0" t="n">
        <v>1</v>
      </c>
      <c r="F831" s="0" t="s">
        <v>37</v>
      </c>
      <c r="H831" s="0" t="s">
        <v>457</v>
      </c>
      <c r="I831" s="0" t="s">
        <v>457</v>
      </c>
      <c r="J831" s="0" t="s">
        <v>457</v>
      </c>
      <c r="K831" s="0" t="s">
        <v>457</v>
      </c>
      <c r="L831" s="0" t="s">
        <v>457</v>
      </c>
      <c r="M831" s="0" t="s">
        <v>457</v>
      </c>
      <c r="R831" s="0" t="s">
        <v>81</v>
      </c>
    </row>
    <row r="832" customFormat="false" ht="15" hidden="false" customHeight="false" outlineLevel="0" collapsed="false">
      <c r="A832" s="0" t="s">
        <v>169</v>
      </c>
      <c r="B832" s="0" t="n">
        <v>2018</v>
      </c>
      <c r="C832" s="0" t="s">
        <v>101</v>
      </c>
      <c r="D832" s="0" t="s">
        <v>90</v>
      </c>
      <c r="E832" s="0" t="n">
        <v>1</v>
      </c>
      <c r="F832" s="0" t="s">
        <v>23</v>
      </c>
      <c r="H832" s="0" t="s">
        <v>457</v>
      </c>
      <c r="I832" s="0" t="s">
        <v>457</v>
      </c>
      <c r="J832" s="0" t="s">
        <v>457</v>
      </c>
      <c r="K832" s="0" t="s">
        <v>457</v>
      </c>
      <c r="L832" s="0" t="s">
        <v>457</v>
      </c>
      <c r="M832" s="0" t="s">
        <v>457</v>
      </c>
      <c r="R832" s="0" t="s">
        <v>81</v>
      </c>
    </row>
    <row r="833" customFormat="false" ht="15" hidden="false" customHeight="false" outlineLevel="0" collapsed="false">
      <c r="A833" s="0" t="s">
        <v>169</v>
      </c>
      <c r="B833" s="0" t="n">
        <v>2018</v>
      </c>
      <c r="C833" s="0" t="s">
        <v>101</v>
      </c>
      <c r="D833" s="0" t="s">
        <v>90</v>
      </c>
      <c r="E833" s="0" t="n">
        <v>1</v>
      </c>
      <c r="F833" s="0" t="s">
        <v>45</v>
      </c>
      <c r="H833" s="0" t="s">
        <v>457</v>
      </c>
      <c r="I833" s="0" t="s">
        <v>457</v>
      </c>
      <c r="J833" s="0" t="s">
        <v>457</v>
      </c>
      <c r="K833" s="0" t="s">
        <v>457</v>
      </c>
      <c r="L833" s="0" t="s">
        <v>457</v>
      </c>
      <c r="M833" s="0" t="s">
        <v>457</v>
      </c>
      <c r="R833" s="0" t="s">
        <v>81</v>
      </c>
    </row>
    <row r="834" customFormat="false" ht="15" hidden="false" customHeight="false" outlineLevel="0" collapsed="false">
      <c r="A834" s="0" t="s">
        <v>169</v>
      </c>
      <c r="B834" s="0" t="n">
        <v>2018</v>
      </c>
      <c r="C834" s="0" t="s">
        <v>101</v>
      </c>
      <c r="D834" s="0" t="s">
        <v>90</v>
      </c>
      <c r="E834" s="0" t="n">
        <v>1</v>
      </c>
      <c r="F834" s="0" t="s">
        <v>71</v>
      </c>
      <c r="H834" s="0" t="s">
        <v>457</v>
      </c>
      <c r="I834" s="0" t="s">
        <v>457</v>
      </c>
      <c r="J834" s="0" t="s">
        <v>457</v>
      </c>
      <c r="K834" s="0" t="s">
        <v>457</v>
      </c>
      <c r="L834" s="0" t="s">
        <v>457</v>
      </c>
      <c r="M834" s="0" t="s">
        <v>457</v>
      </c>
      <c r="R834" s="0" t="s">
        <v>81</v>
      </c>
    </row>
    <row r="835" customFormat="false" ht="15" hidden="false" customHeight="false" outlineLevel="0" collapsed="false">
      <c r="A835" s="0" t="s">
        <v>169</v>
      </c>
      <c r="B835" s="0" t="n">
        <v>2018</v>
      </c>
      <c r="C835" s="0" t="s">
        <v>101</v>
      </c>
      <c r="D835" s="0" t="s">
        <v>90</v>
      </c>
      <c r="E835" s="0" t="n">
        <v>1</v>
      </c>
      <c r="F835" s="0" t="s">
        <v>31</v>
      </c>
      <c r="G835" s="0" t="n">
        <v>90.9741996323705</v>
      </c>
      <c r="H835" s="0" t="s">
        <v>437</v>
      </c>
      <c r="I835" s="0" t="s">
        <v>437</v>
      </c>
      <c r="J835" s="0" t="s">
        <v>437</v>
      </c>
      <c r="K835" s="0" t="s">
        <v>437</v>
      </c>
      <c r="L835" s="0" t="s">
        <v>437</v>
      </c>
      <c r="M835" s="0" t="s">
        <v>457</v>
      </c>
      <c r="R835" s="0" t="s">
        <v>81</v>
      </c>
    </row>
    <row r="836" customFormat="false" ht="15" hidden="false" customHeight="false" outlineLevel="0" collapsed="false">
      <c r="A836" s="0" t="s">
        <v>169</v>
      </c>
      <c r="B836" s="0" t="n">
        <v>2019</v>
      </c>
      <c r="C836" s="0" t="s">
        <v>101</v>
      </c>
      <c r="D836" s="0" t="s">
        <v>90</v>
      </c>
      <c r="E836" s="0" t="n">
        <v>1</v>
      </c>
      <c r="F836" s="0" t="s">
        <v>73</v>
      </c>
      <c r="G836" s="0" t="n">
        <v>0</v>
      </c>
      <c r="H836" s="0" t="s">
        <v>437</v>
      </c>
      <c r="I836" s="0" t="s">
        <v>437</v>
      </c>
      <c r="J836" s="0" t="s">
        <v>437</v>
      </c>
      <c r="K836" s="0" t="s">
        <v>457</v>
      </c>
      <c r="L836" s="0" t="s">
        <v>437</v>
      </c>
      <c r="M836" s="0" t="s">
        <v>457</v>
      </c>
      <c r="R836" s="0" t="s">
        <v>81</v>
      </c>
    </row>
    <row r="837" customFormat="false" ht="15" hidden="false" customHeight="false" outlineLevel="0" collapsed="false">
      <c r="A837" s="0" t="s">
        <v>169</v>
      </c>
      <c r="B837" s="0" t="n">
        <v>2019</v>
      </c>
      <c r="C837" s="0" t="s">
        <v>101</v>
      </c>
      <c r="D837" s="0" t="s">
        <v>90</v>
      </c>
      <c r="E837" s="0" t="n">
        <v>1</v>
      </c>
      <c r="F837" s="0" t="s">
        <v>69</v>
      </c>
      <c r="G837" s="0" t="n">
        <v>14.7</v>
      </c>
      <c r="H837" s="0" t="s">
        <v>437</v>
      </c>
      <c r="I837" s="0" t="s">
        <v>437</v>
      </c>
      <c r="J837" s="0" t="s">
        <v>437</v>
      </c>
      <c r="K837" s="0" t="s">
        <v>437</v>
      </c>
      <c r="L837" s="0" t="s">
        <v>437</v>
      </c>
      <c r="M837" s="0" t="s">
        <v>457</v>
      </c>
      <c r="R837" s="0" t="s">
        <v>81</v>
      </c>
    </row>
    <row r="838" customFormat="false" ht="15" hidden="false" customHeight="false" outlineLevel="0" collapsed="false">
      <c r="A838" s="0" t="s">
        <v>169</v>
      </c>
      <c r="B838" s="0" t="n">
        <v>2019</v>
      </c>
      <c r="C838" s="0" t="s">
        <v>101</v>
      </c>
      <c r="D838" s="0" t="s">
        <v>90</v>
      </c>
      <c r="E838" s="0" t="n">
        <v>1</v>
      </c>
      <c r="F838" s="0" t="s">
        <v>25</v>
      </c>
      <c r="H838" s="0" t="s">
        <v>457</v>
      </c>
      <c r="I838" s="0" t="s">
        <v>457</v>
      </c>
      <c r="J838" s="0" t="s">
        <v>457</v>
      </c>
      <c r="K838" s="0" t="s">
        <v>457</v>
      </c>
      <c r="L838" s="0" t="s">
        <v>457</v>
      </c>
      <c r="M838" s="0" t="s">
        <v>457</v>
      </c>
      <c r="R838" s="0" t="s">
        <v>81</v>
      </c>
    </row>
    <row r="839" customFormat="false" ht="15" hidden="false" customHeight="false" outlineLevel="0" collapsed="false">
      <c r="A839" s="0" t="s">
        <v>169</v>
      </c>
      <c r="B839" s="0" t="n">
        <v>2019</v>
      </c>
      <c r="C839" s="0" t="s">
        <v>101</v>
      </c>
      <c r="D839" s="0" t="s">
        <v>90</v>
      </c>
      <c r="E839" s="0" t="n">
        <v>1</v>
      </c>
      <c r="F839" s="0" t="s">
        <v>41</v>
      </c>
      <c r="G839" s="0" t="n">
        <v>0.902822040654975</v>
      </c>
      <c r="H839" s="0" t="s">
        <v>437</v>
      </c>
      <c r="I839" s="0" t="s">
        <v>437</v>
      </c>
      <c r="J839" s="0" t="s">
        <v>437</v>
      </c>
      <c r="K839" s="0" t="s">
        <v>457</v>
      </c>
      <c r="L839" s="0" t="s">
        <v>437</v>
      </c>
      <c r="M839" s="0" t="s">
        <v>457</v>
      </c>
      <c r="R839" s="0" t="s">
        <v>81</v>
      </c>
    </row>
    <row r="840" customFormat="false" ht="15" hidden="false" customHeight="false" outlineLevel="0" collapsed="false">
      <c r="A840" s="0" t="s">
        <v>169</v>
      </c>
      <c r="B840" s="0" t="n">
        <v>2019</v>
      </c>
      <c r="C840" s="0" t="s">
        <v>101</v>
      </c>
      <c r="D840" s="0" t="s">
        <v>90</v>
      </c>
      <c r="E840" s="0" t="n">
        <v>1</v>
      </c>
      <c r="F840" s="0" t="s">
        <v>27</v>
      </c>
      <c r="G840" s="0" t="n">
        <v>10.238273578325</v>
      </c>
      <c r="H840" s="0" t="s">
        <v>437</v>
      </c>
      <c r="I840" s="0" t="s">
        <v>437</v>
      </c>
      <c r="J840" s="0" t="s">
        <v>437</v>
      </c>
      <c r="K840" s="0" t="s">
        <v>437</v>
      </c>
      <c r="L840" s="0" t="s">
        <v>437</v>
      </c>
      <c r="M840" s="0" t="s">
        <v>457</v>
      </c>
      <c r="R840" s="0" t="s">
        <v>81</v>
      </c>
    </row>
    <row r="841" customFormat="false" ht="15" hidden="false" customHeight="false" outlineLevel="0" collapsed="false">
      <c r="A841" s="0" t="s">
        <v>169</v>
      </c>
      <c r="B841" s="0" t="n">
        <v>2019</v>
      </c>
      <c r="C841" s="0" t="s">
        <v>101</v>
      </c>
      <c r="D841" s="0" t="s">
        <v>90</v>
      </c>
      <c r="E841" s="0" t="n">
        <v>1</v>
      </c>
      <c r="F841" s="0" t="s">
        <v>39</v>
      </c>
      <c r="G841" s="0" t="n">
        <v>10.1638769024401</v>
      </c>
      <c r="H841" s="0" t="s">
        <v>437</v>
      </c>
      <c r="I841" s="0" t="s">
        <v>437</v>
      </c>
      <c r="J841" s="0" t="s">
        <v>437</v>
      </c>
      <c r="K841" s="0" t="s">
        <v>457</v>
      </c>
      <c r="L841" s="0" t="s">
        <v>437</v>
      </c>
      <c r="M841" s="0" t="s">
        <v>457</v>
      </c>
      <c r="R841" s="0" t="s">
        <v>81</v>
      </c>
    </row>
    <row r="842" customFormat="false" ht="15" hidden="false" customHeight="false" outlineLevel="0" collapsed="false">
      <c r="A842" s="0" t="s">
        <v>169</v>
      </c>
      <c r="B842" s="0" t="n">
        <v>2019</v>
      </c>
      <c r="C842" s="0" t="s">
        <v>101</v>
      </c>
      <c r="D842" s="0" t="s">
        <v>90</v>
      </c>
      <c r="E842" s="0" t="n">
        <v>1</v>
      </c>
      <c r="F842" s="0" t="s">
        <v>17</v>
      </c>
      <c r="G842" s="0" t="n">
        <v>2.05256309185719</v>
      </c>
      <c r="H842" s="0" t="s">
        <v>437</v>
      </c>
      <c r="I842" s="0" t="s">
        <v>437</v>
      </c>
      <c r="J842" s="0" t="s">
        <v>437</v>
      </c>
      <c r="K842" s="0" t="s">
        <v>437</v>
      </c>
      <c r="L842" s="0" t="s">
        <v>437</v>
      </c>
      <c r="M842" s="0" t="s">
        <v>457</v>
      </c>
      <c r="R842" s="0" t="s">
        <v>81</v>
      </c>
    </row>
    <row r="843" customFormat="false" ht="15" hidden="false" customHeight="false" outlineLevel="0" collapsed="false">
      <c r="A843" s="0" t="s">
        <v>169</v>
      </c>
      <c r="B843" s="0" t="n">
        <v>2019</v>
      </c>
      <c r="C843" s="0" t="s">
        <v>101</v>
      </c>
      <c r="D843" s="0" t="s">
        <v>90</v>
      </c>
      <c r="E843" s="0" t="n">
        <v>1</v>
      </c>
      <c r="F843" s="0" t="s">
        <v>29</v>
      </c>
      <c r="G843" s="0" t="n">
        <v>0.518969434370399</v>
      </c>
      <c r="H843" s="0" t="s">
        <v>437</v>
      </c>
      <c r="I843" s="0" t="s">
        <v>437</v>
      </c>
      <c r="J843" s="0" t="s">
        <v>437</v>
      </c>
      <c r="K843" s="0" t="s">
        <v>457</v>
      </c>
      <c r="L843" s="0" t="s">
        <v>437</v>
      </c>
      <c r="M843" s="0" t="s">
        <v>457</v>
      </c>
      <c r="R843" s="0" t="s">
        <v>81</v>
      </c>
    </row>
    <row r="844" customFormat="false" ht="15" hidden="false" customHeight="false" outlineLevel="0" collapsed="false">
      <c r="A844" s="0" t="s">
        <v>169</v>
      </c>
      <c r="B844" s="0" t="n">
        <v>2019</v>
      </c>
      <c r="C844" s="0" t="s">
        <v>101</v>
      </c>
      <c r="D844" s="0" t="s">
        <v>90</v>
      </c>
      <c r="E844" s="0" t="n">
        <v>1</v>
      </c>
      <c r="F844" s="0" t="s">
        <v>37</v>
      </c>
      <c r="H844" s="0" t="s">
        <v>457</v>
      </c>
      <c r="I844" s="0" t="s">
        <v>457</v>
      </c>
      <c r="J844" s="0" t="s">
        <v>457</v>
      </c>
      <c r="K844" s="0" t="s">
        <v>457</v>
      </c>
      <c r="L844" s="0" t="s">
        <v>457</v>
      </c>
      <c r="M844" s="0" t="s">
        <v>457</v>
      </c>
      <c r="R844" s="0" t="s">
        <v>81</v>
      </c>
    </row>
    <row r="845" customFormat="false" ht="15" hidden="false" customHeight="false" outlineLevel="0" collapsed="false">
      <c r="A845" s="0" t="s">
        <v>169</v>
      </c>
      <c r="B845" s="0" t="n">
        <v>2019</v>
      </c>
      <c r="C845" s="0" t="s">
        <v>101</v>
      </c>
      <c r="D845" s="0" t="s">
        <v>90</v>
      </c>
      <c r="E845" s="0" t="n">
        <v>1</v>
      </c>
      <c r="F845" s="0" t="s">
        <v>23</v>
      </c>
      <c r="H845" s="0" t="s">
        <v>457</v>
      </c>
      <c r="I845" s="0" t="s">
        <v>457</v>
      </c>
      <c r="J845" s="0" t="s">
        <v>457</v>
      </c>
      <c r="K845" s="0" t="s">
        <v>457</v>
      </c>
      <c r="L845" s="0" t="s">
        <v>457</v>
      </c>
      <c r="M845" s="0" t="s">
        <v>457</v>
      </c>
      <c r="R845" s="0" t="s">
        <v>81</v>
      </c>
    </row>
    <row r="846" customFormat="false" ht="15" hidden="false" customHeight="false" outlineLevel="0" collapsed="false">
      <c r="A846" s="0" t="s">
        <v>169</v>
      </c>
      <c r="B846" s="0" t="n">
        <v>2019</v>
      </c>
      <c r="C846" s="0" t="s">
        <v>101</v>
      </c>
      <c r="D846" s="0" t="s">
        <v>90</v>
      </c>
      <c r="E846" s="0" t="n">
        <v>1</v>
      </c>
      <c r="F846" s="0" t="s">
        <v>45</v>
      </c>
      <c r="H846" s="0" t="s">
        <v>457</v>
      </c>
      <c r="I846" s="0" t="s">
        <v>457</v>
      </c>
      <c r="J846" s="0" t="s">
        <v>457</v>
      </c>
      <c r="K846" s="0" t="s">
        <v>457</v>
      </c>
      <c r="L846" s="0" t="s">
        <v>457</v>
      </c>
      <c r="M846" s="0" t="s">
        <v>457</v>
      </c>
      <c r="R846" s="0" t="s">
        <v>81</v>
      </c>
    </row>
    <row r="847" customFormat="false" ht="15" hidden="false" customHeight="false" outlineLevel="0" collapsed="false">
      <c r="A847" s="0" t="s">
        <v>169</v>
      </c>
      <c r="B847" s="0" t="n">
        <v>2019</v>
      </c>
      <c r="C847" s="0" t="s">
        <v>101</v>
      </c>
      <c r="D847" s="0" t="s">
        <v>90</v>
      </c>
      <c r="E847" s="0" t="n">
        <v>1</v>
      </c>
      <c r="F847" s="0" t="s">
        <v>71</v>
      </c>
      <c r="H847" s="0" t="s">
        <v>457</v>
      </c>
      <c r="I847" s="0" t="s">
        <v>457</v>
      </c>
      <c r="J847" s="0" t="s">
        <v>457</v>
      </c>
      <c r="K847" s="0" t="s">
        <v>457</v>
      </c>
      <c r="L847" s="0" t="s">
        <v>457</v>
      </c>
      <c r="M847" s="0" t="s">
        <v>457</v>
      </c>
      <c r="R847" s="0" t="s">
        <v>81</v>
      </c>
    </row>
    <row r="848" customFormat="false" ht="15" hidden="false" customHeight="false" outlineLevel="0" collapsed="false">
      <c r="A848" s="0" t="s">
        <v>169</v>
      </c>
      <c r="B848" s="0" t="n">
        <v>2019</v>
      </c>
      <c r="C848" s="0" t="s">
        <v>101</v>
      </c>
      <c r="D848" s="0" t="s">
        <v>90</v>
      </c>
      <c r="E848" s="0" t="n">
        <v>1</v>
      </c>
      <c r="F848" s="0" t="s">
        <v>31</v>
      </c>
      <c r="G848" s="0" t="n">
        <v>89.761726421675</v>
      </c>
      <c r="H848" s="0" t="s">
        <v>437</v>
      </c>
      <c r="I848" s="0" t="s">
        <v>437</v>
      </c>
      <c r="J848" s="0" t="s">
        <v>437</v>
      </c>
      <c r="K848" s="0" t="s">
        <v>437</v>
      </c>
      <c r="L848" s="0" t="s">
        <v>437</v>
      </c>
      <c r="M848" s="0" t="s">
        <v>457</v>
      </c>
      <c r="R848" s="0" t="s">
        <v>81</v>
      </c>
    </row>
    <row r="849" customFormat="false" ht="15" hidden="false" customHeight="false" outlineLevel="0" collapsed="false">
      <c r="A849" s="0" t="s">
        <v>169</v>
      </c>
      <c r="B849" s="0" t="n">
        <v>2020</v>
      </c>
      <c r="C849" s="0" t="s">
        <v>101</v>
      </c>
      <c r="D849" s="0" t="s">
        <v>90</v>
      </c>
      <c r="E849" s="0" t="n">
        <v>1</v>
      </c>
      <c r="F849" s="0" t="s">
        <v>73</v>
      </c>
      <c r="G849" s="0" t="n">
        <v>0</v>
      </c>
      <c r="H849" s="0" t="s">
        <v>437</v>
      </c>
      <c r="I849" s="0" t="s">
        <v>437</v>
      </c>
      <c r="J849" s="0" t="s">
        <v>437</v>
      </c>
      <c r="K849" s="0" t="s">
        <v>437</v>
      </c>
      <c r="L849" s="0" t="s">
        <v>437</v>
      </c>
      <c r="M849" s="0" t="s">
        <v>457</v>
      </c>
      <c r="R849" s="0" t="s">
        <v>95</v>
      </c>
    </row>
    <row r="850" customFormat="false" ht="15" hidden="false" customHeight="false" outlineLevel="0" collapsed="false">
      <c r="A850" s="0" t="s">
        <v>169</v>
      </c>
      <c r="B850" s="0" t="n">
        <v>2020</v>
      </c>
      <c r="C850" s="0" t="s">
        <v>101</v>
      </c>
      <c r="D850" s="0" t="s">
        <v>90</v>
      </c>
      <c r="E850" s="0" t="n">
        <v>1</v>
      </c>
      <c r="F850" s="0" t="s">
        <v>69</v>
      </c>
      <c r="G850" s="0" t="n">
        <v>17.98</v>
      </c>
      <c r="H850" s="0" t="s">
        <v>437</v>
      </c>
      <c r="I850" s="0" t="s">
        <v>437</v>
      </c>
      <c r="J850" s="0" t="s">
        <v>437</v>
      </c>
      <c r="K850" s="0" t="s">
        <v>437</v>
      </c>
      <c r="L850" s="0" t="s">
        <v>437</v>
      </c>
      <c r="M850" s="0" t="s">
        <v>457</v>
      </c>
      <c r="R850" s="0" t="s">
        <v>95</v>
      </c>
    </row>
    <row r="851" customFormat="false" ht="15" hidden="false" customHeight="false" outlineLevel="0" collapsed="false">
      <c r="A851" s="0" t="s">
        <v>169</v>
      </c>
      <c r="B851" s="0" t="n">
        <v>2020</v>
      </c>
      <c r="C851" s="0" t="s">
        <v>101</v>
      </c>
      <c r="D851" s="0" t="s">
        <v>90</v>
      </c>
      <c r="E851" s="0" t="n">
        <v>1</v>
      </c>
      <c r="F851" s="0" t="s">
        <v>25</v>
      </c>
      <c r="G851" s="0" t="n">
        <v>17.9763267136434</v>
      </c>
      <c r="H851" s="0" t="s">
        <v>437</v>
      </c>
      <c r="I851" s="0" t="s">
        <v>437</v>
      </c>
      <c r="J851" s="0" t="s">
        <v>437</v>
      </c>
      <c r="K851" s="0" t="s">
        <v>457</v>
      </c>
      <c r="L851" s="0" t="s">
        <v>437</v>
      </c>
      <c r="M851" s="0" t="s">
        <v>457</v>
      </c>
      <c r="R851" s="0" t="s">
        <v>95</v>
      </c>
    </row>
    <row r="852" customFormat="false" ht="15" hidden="false" customHeight="false" outlineLevel="0" collapsed="false">
      <c r="A852" s="0" t="s">
        <v>169</v>
      </c>
      <c r="B852" s="0" t="n">
        <v>2020</v>
      </c>
      <c r="C852" s="0" t="s">
        <v>101</v>
      </c>
      <c r="D852" s="0" t="s">
        <v>90</v>
      </c>
      <c r="E852" s="0" t="n">
        <v>1</v>
      </c>
      <c r="F852" s="0" t="s">
        <v>41</v>
      </c>
      <c r="G852" s="0" t="n">
        <v>0.907924893118608</v>
      </c>
      <c r="H852" s="0" t="s">
        <v>437</v>
      </c>
      <c r="I852" s="0" t="s">
        <v>437</v>
      </c>
      <c r="J852" s="0" t="s">
        <v>437</v>
      </c>
      <c r="K852" s="0" t="s">
        <v>437</v>
      </c>
      <c r="L852" s="0" t="s">
        <v>437</v>
      </c>
      <c r="M852" s="0" t="s">
        <v>457</v>
      </c>
      <c r="R852" s="0" t="s">
        <v>95</v>
      </c>
    </row>
    <row r="853" customFormat="false" ht="15" hidden="false" customHeight="false" outlineLevel="0" collapsed="false">
      <c r="A853" s="0" t="s">
        <v>169</v>
      </c>
      <c r="B853" s="0" t="n">
        <v>2020</v>
      </c>
      <c r="C853" s="0" t="s">
        <v>101</v>
      </c>
      <c r="D853" s="0" t="s">
        <v>90</v>
      </c>
      <c r="E853" s="0" t="n">
        <v>1</v>
      </c>
      <c r="F853" s="0" t="s">
        <v>27</v>
      </c>
      <c r="G853" s="0" t="n">
        <v>10.5622430431493</v>
      </c>
      <c r="H853" s="0" t="s">
        <v>437</v>
      </c>
      <c r="I853" s="0" t="s">
        <v>437</v>
      </c>
      <c r="J853" s="0" t="s">
        <v>437</v>
      </c>
      <c r="K853" s="0" t="s">
        <v>437</v>
      </c>
      <c r="L853" s="0" t="s">
        <v>437</v>
      </c>
      <c r="M853" s="0" t="s">
        <v>457</v>
      </c>
      <c r="R853" s="0" t="s">
        <v>95</v>
      </c>
    </row>
    <row r="854" customFormat="false" ht="15" hidden="false" customHeight="false" outlineLevel="0" collapsed="false">
      <c r="A854" s="0" t="s">
        <v>169</v>
      </c>
      <c r="B854" s="0" t="n">
        <v>2020</v>
      </c>
      <c r="C854" s="0" t="s">
        <v>101</v>
      </c>
      <c r="D854" s="0" t="s">
        <v>90</v>
      </c>
      <c r="E854" s="0" t="n">
        <v>1</v>
      </c>
      <c r="F854" s="0" t="s">
        <v>39</v>
      </c>
      <c r="G854" s="0" t="n">
        <v>0.36006454357161</v>
      </c>
      <c r="H854" s="0" t="s">
        <v>437</v>
      </c>
      <c r="I854" s="0" t="s">
        <v>437</v>
      </c>
      <c r="J854" s="0" t="s">
        <v>437</v>
      </c>
      <c r="K854" s="0" t="s">
        <v>437</v>
      </c>
      <c r="L854" s="0" t="s">
        <v>437</v>
      </c>
      <c r="M854" s="0" t="s">
        <v>457</v>
      </c>
      <c r="R854" s="0" t="s">
        <v>95</v>
      </c>
    </row>
    <row r="855" customFormat="false" ht="15" hidden="false" customHeight="false" outlineLevel="0" collapsed="false">
      <c r="A855" s="0" t="s">
        <v>169</v>
      </c>
      <c r="B855" s="0" t="n">
        <v>2020</v>
      </c>
      <c r="C855" s="0" t="s">
        <v>101</v>
      </c>
      <c r="D855" s="0" t="s">
        <v>90</v>
      </c>
      <c r="E855" s="0" t="n">
        <v>1</v>
      </c>
      <c r="F855" s="0" t="s">
        <v>17</v>
      </c>
      <c r="G855" s="0" t="n">
        <v>2.69532198924284</v>
      </c>
      <c r="H855" s="0" t="s">
        <v>437</v>
      </c>
      <c r="I855" s="0" t="s">
        <v>437</v>
      </c>
      <c r="J855" s="0" t="s">
        <v>437</v>
      </c>
      <c r="K855" s="0" t="s">
        <v>437</v>
      </c>
      <c r="L855" s="0" t="s">
        <v>437</v>
      </c>
      <c r="M855" s="0" t="s">
        <v>457</v>
      </c>
      <c r="R855" s="0" t="s">
        <v>95</v>
      </c>
    </row>
    <row r="856" customFormat="false" ht="15" hidden="false" customHeight="false" outlineLevel="0" collapsed="false">
      <c r="A856" s="0" t="s">
        <v>169</v>
      </c>
      <c r="B856" s="0" t="n">
        <v>2020</v>
      </c>
      <c r="C856" s="0" t="s">
        <v>101</v>
      </c>
      <c r="D856" s="0" t="s">
        <v>90</v>
      </c>
      <c r="E856" s="0" t="n">
        <v>1</v>
      </c>
      <c r="F856" s="0" t="s">
        <v>29</v>
      </c>
      <c r="G856" s="0" t="n">
        <v>0.646661537286007</v>
      </c>
      <c r="H856" s="0" t="s">
        <v>437</v>
      </c>
      <c r="I856" s="0" t="s">
        <v>437</v>
      </c>
      <c r="J856" s="0" t="s">
        <v>437</v>
      </c>
      <c r="K856" s="0" t="s">
        <v>437</v>
      </c>
      <c r="L856" s="0" t="s">
        <v>437</v>
      </c>
      <c r="M856" s="0" t="s">
        <v>457</v>
      </c>
      <c r="R856" s="0" t="s">
        <v>95</v>
      </c>
    </row>
    <row r="857" customFormat="false" ht="15" hidden="false" customHeight="false" outlineLevel="0" collapsed="false">
      <c r="A857" s="0" t="s">
        <v>169</v>
      </c>
      <c r="B857" s="0" t="n">
        <v>2020</v>
      </c>
      <c r="C857" s="0" t="s">
        <v>101</v>
      </c>
      <c r="D857" s="0" t="s">
        <v>90</v>
      </c>
      <c r="E857" s="0" t="n">
        <v>1</v>
      </c>
      <c r="F857" s="0" t="s">
        <v>37</v>
      </c>
      <c r="H857" s="0" t="s">
        <v>457</v>
      </c>
      <c r="I857" s="0" t="s">
        <v>457</v>
      </c>
      <c r="J857" s="0" t="s">
        <v>457</v>
      </c>
      <c r="K857" s="0" t="s">
        <v>457</v>
      </c>
      <c r="L857" s="0" t="s">
        <v>457</v>
      </c>
      <c r="M857" s="0" t="s">
        <v>457</v>
      </c>
      <c r="R857" s="0" t="s">
        <v>95</v>
      </c>
    </row>
    <row r="858" customFormat="false" ht="15" hidden="false" customHeight="false" outlineLevel="0" collapsed="false">
      <c r="A858" s="0" t="s">
        <v>169</v>
      </c>
      <c r="B858" s="0" t="n">
        <v>2020</v>
      </c>
      <c r="C858" s="0" t="s">
        <v>101</v>
      </c>
      <c r="D858" s="0" t="s">
        <v>90</v>
      </c>
      <c r="E858" s="0" t="n">
        <v>1</v>
      </c>
      <c r="F858" s="0" t="s">
        <v>23</v>
      </c>
      <c r="H858" s="0" t="s">
        <v>457</v>
      </c>
      <c r="I858" s="0" t="s">
        <v>457</v>
      </c>
      <c r="J858" s="0" t="s">
        <v>457</v>
      </c>
      <c r="K858" s="0" t="s">
        <v>457</v>
      </c>
      <c r="L858" s="0" t="s">
        <v>457</v>
      </c>
      <c r="M858" s="0" t="s">
        <v>457</v>
      </c>
      <c r="R858" s="0" t="s">
        <v>95</v>
      </c>
    </row>
    <row r="859" customFormat="false" ht="15" hidden="false" customHeight="false" outlineLevel="0" collapsed="false">
      <c r="A859" s="0" t="s">
        <v>169</v>
      </c>
      <c r="B859" s="0" t="n">
        <v>2020</v>
      </c>
      <c r="C859" s="0" t="s">
        <v>101</v>
      </c>
      <c r="D859" s="0" t="s">
        <v>90</v>
      </c>
      <c r="E859" s="0" t="n">
        <v>1</v>
      </c>
      <c r="F859" s="0" t="s">
        <v>45</v>
      </c>
      <c r="H859" s="0" t="s">
        <v>457</v>
      </c>
      <c r="I859" s="0" t="s">
        <v>457</v>
      </c>
      <c r="J859" s="0" t="s">
        <v>457</v>
      </c>
      <c r="K859" s="0" t="s">
        <v>457</v>
      </c>
      <c r="L859" s="0" t="s">
        <v>457</v>
      </c>
      <c r="M859" s="0" t="s">
        <v>457</v>
      </c>
      <c r="R859" s="0" t="s">
        <v>95</v>
      </c>
    </row>
    <row r="860" customFormat="false" ht="15" hidden="false" customHeight="false" outlineLevel="0" collapsed="false">
      <c r="A860" s="0" t="s">
        <v>169</v>
      </c>
      <c r="B860" s="0" t="n">
        <v>2020</v>
      </c>
      <c r="C860" s="0" t="s">
        <v>101</v>
      </c>
      <c r="D860" s="0" t="s">
        <v>90</v>
      </c>
      <c r="E860" s="0" t="n">
        <v>1</v>
      </c>
      <c r="F860" s="0" t="s">
        <v>71</v>
      </c>
      <c r="H860" s="0" t="s">
        <v>457</v>
      </c>
      <c r="I860" s="0" t="s">
        <v>457</v>
      </c>
      <c r="J860" s="0" t="s">
        <v>457</v>
      </c>
      <c r="K860" s="0" t="s">
        <v>457</v>
      </c>
      <c r="L860" s="0" t="s">
        <v>457</v>
      </c>
      <c r="M860" s="0" t="s">
        <v>457</v>
      </c>
      <c r="R860" s="0" t="s">
        <v>95</v>
      </c>
    </row>
    <row r="861" customFormat="false" ht="15" hidden="false" customHeight="false" outlineLevel="0" collapsed="false">
      <c r="A861" s="0" t="s">
        <v>169</v>
      </c>
      <c r="B861" s="0" t="n">
        <v>2020</v>
      </c>
      <c r="C861" s="0" t="s">
        <v>101</v>
      </c>
      <c r="D861" s="0" t="s">
        <v>90</v>
      </c>
      <c r="E861" s="0" t="n">
        <v>1</v>
      </c>
      <c r="F861" s="0" t="s">
        <v>31</v>
      </c>
      <c r="G861" s="0" t="n">
        <v>89.4377569568508</v>
      </c>
      <c r="H861" s="0" t="s">
        <v>437</v>
      </c>
      <c r="I861" s="0" t="s">
        <v>437</v>
      </c>
      <c r="J861" s="0" t="s">
        <v>437</v>
      </c>
      <c r="K861" s="0" t="s">
        <v>437</v>
      </c>
      <c r="L861" s="0" t="s">
        <v>437</v>
      </c>
      <c r="M861" s="0" t="s">
        <v>457</v>
      </c>
      <c r="R861" s="0" t="s">
        <v>95</v>
      </c>
    </row>
    <row r="862" customFormat="false" ht="15" hidden="false" customHeight="false" outlineLevel="0" collapsed="false">
      <c r="A862" s="0" t="s">
        <v>169</v>
      </c>
      <c r="B862" s="0" t="n">
        <v>2021</v>
      </c>
      <c r="C862" s="0" t="s">
        <v>101</v>
      </c>
      <c r="D862" s="0" t="s">
        <v>90</v>
      </c>
      <c r="E862" s="0" t="n">
        <v>1</v>
      </c>
      <c r="F862" s="0" t="s">
        <v>73</v>
      </c>
      <c r="G862" s="0" t="n">
        <v>0</v>
      </c>
      <c r="H862" s="0" t="s">
        <v>437</v>
      </c>
      <c r="I862" s="0" t="s">
        <v>437</v>
      </c>
      <c r="J862" s="0" t="s">
        <v>437</v>
      </c>
      <c r="K862" s="0" t="s">
        <v>437</v>
      </c>
      <c r="L862" s="0" t="s">
        <v>437</v>
      </c>
      <c r="M862" s="0" t="s">
        <v>457</v>
      </c>
      <c r="R862" s="0" t="s">
        <v>97</v>
      </c>
    </row>
    <row r="863" customFormat="false" ht="15" hidden="false" customHeight="false" outlineLevel="0" collapsed="false">
      <c r="A863" s="0" t="s">
        <v>169</v>
      </c>
      <c r="B863" s="0" t="n">
        <v>2021</v>
      </c>
      <c r="C863" s="0" t="s">
        <v>101</v>
      </c>
      <c r="D863" s="0" t="s">
        <v>90</v>
      </c>
      <c r="E863" s="0" t="n">
        <v>1</v>
      </c>
      <c r="F863" s="0" t="s">
        <v>69</v>
      </c>
      <c r="G863" s="0" t="n">
        <v>14.82</v>
      </c>
      <c r="H863" s="0" t="s">
        <v>437</v>
      </c>
      <c r="I863" s="0" t="s">
        <v>437</v>
      </c>
      <c r="J863" s="0" t="s">
        <v>437</v>
      </c>
      <c r="K863" s="0" t="s">
        <v>437</v>
      </c>
      <c r="L863" s="0" t="s">
        <v>437</v>
      </c>
      <c r="M863" s="0" t="s">
        <v>457</v>
      </c>
      <c r="R863" s="0" t="s">
        <v>97</v>
      </c>
    </row>
    <row r="864" customFormat="false" ht="15" hidden="false" customHeight="false" outlineLevel="0" collapsed="false">
      <c r="A864" s="0" t="s">
        <v>169</v>
      </c>
      <c r="B864" s="0" t="n">
        <v>2021</v>
      </c>
      <c r="C864" s="0" t="s">
        <v>101</v>
      </c>
      <c r="D864" s="0" t="s">
        <v>90</v>
      </c>
      <c r="E864" s="0" t="n">
        <v>1</v>
      </c>
      <c r="F864" s="0" t="s">
        <v>25</v>
      </c>
      <c r="G864" s="0" t="n">
        <v>14.8155466959014</v>
      </c>
      <c r="H864" s="0" t="s">
        <v>437</v>
      </c>
      <c r="I864" s="0" t="s">
        <v>437</v>
      </c>
      <c r="J864" s="0" t="s">
        <v>437</v>
      </c>
      <c r="K864" s="0" t="s">
        <v>437</v>
      </c>
      <c r="L864" s="0" t="s">
        <v>437</v>
      </c>
      <c r="M864" s="0" t="s">
        <v>457</v>
      </c>
      <c r="R864" s="0" t="s">
        <v>97</v>
      </c>
    </row>
    <row r="865" customFormat="false" ht="15" hidden="false" customHeight="false" outlineLevel="0" collapsed="false">
      <c r="A865" s="0" t="s">
        <v>169</v>
      </c>
      <c r="B865" s="0" t="n">
        <v>2021</v>
      </c>
      <c r="C865" s="0" t="s">
        <v>101</v>
      </c>
      <c r="D865" s="0" t="s">
        <v>90</v>
      </c>
      <c r="E865" s="0" t="n">
        <v>1</v>
      </c>
      <c r="F865" s="0" t="s">
        <v>41</v>
      </c>
      <c r="G865" s="0" t="n">
        <v>0.926395996100331</v>
      </c>
      <c r="H865" s="0" t="s">
        <v>437</v>
      </c>
      <c r="I865" s="0" t="s">
        <v>437</v>
      </c>
      <c r="J865" s="0" t="s">
        <v>437</v>
      </c>
      <c r="K865" s="0" t="s">
        <v>437</v>
      </c>
      <c r="L865" s="0" t="s">
        <v>437</v>
      </c>
      <c r="M865" s="0" t="s">
        <v>457</v>
      </c>
      <c r="R865" s="0" t="s">
        <v>97</v>
      </c>
    </row>
    <row r="866" customFormat="false" ht="15" hidden="false" customHeight="false" outlineLevel="0" collapsed="false">
      <c r="A866" s="0" t="s">
        <v>169</v>
      </c>
      <c r="B866" s="0" t="n">
        <v>2021</v>
      </c>
      <c r="C866" s="0" t="s">
        <v>101</v>
      </c>
      <c r="D866" s="0" t="s">
        <v>90</v>
      </c>
      <c r="E866" s="0" t="n">
        <v>1</v>
      </c>
      <c r="F866" s="0" t="s">
        <v>27</v>
      </c>
      <c r="G866" s="0" t="n">
        <v>8.74925314053243</v>
      </c>
      <c r="H866" s="0" t="s">
        <v>437</v>
      </c>
      <c r="I866" s="0" t="s">
        <v>437</v>
      </c>
      <c r="J866" s="0" t="s">
        <v>437</v>
      </c>
      <c r="K866" s="0" t="s">
        <v>437</v>
      </c>
      <c r="L866" s="0" t="s">
        <v>437</v>
      </c>
      <c r="M866" s="0" t="s">
        <v>457</v>
      </c>
      <c r="R866" s="0" t="s">
        <v>97</v>
      </c>
    </row>
    <row r="867" customFormat="false" ht="15" hidden="false" customHeight="false" outlineLevel="0" collapsed="false">
      <c r="A867" s="0" t="s">
        <v>169</v>
      </c>
      <c r="B867" s="0" t="n">
        <v>2021</v>
      </c>
      <c r="C867" s="0" t="s">
        <v>101</v>
      </c>
      <c r="D867" s="0" t="s">
        <v>90</v>
      </c>
      <c r="E867" s="0" t="n">
        <v>1</v>
      </c>
      <c r="F867" s="0" t="s">
        <v>39</v>
      </c>
      <c r="G867" s="0" t="n">
        <v>10.024056713157</v>
      </c>
      <c r="H867" s="0" t="s">
        <v>437</v>
      </c>
      <c r="I867" s="0" t="s">
        <v>437</v>
      </c>
      <c r="J867" s="0" t="s">
        <v>437</v>
      </c>
      <c r="K867" s="0" t="s">
        <v>437</v>
      </c>
      <c r="L867" s="0" t="s">
        <v>437</v>
      </c>
      <c r="M867" s="0" t="s">
        <v>457</v>
      </c>
      <c r="R867" s="0" t="s">
        <v>97</v>
      </c>
    </row>
    <row r="868" customFormat="false" ht="15" hidden="false" customHeight="false" outlineLevel="0" collapsed="false">
      <c r="A868" s="0" t="s">
        <v>169</v>
      </c>
      <c r="B868" s="0" t="n">
        <v>2021</v>
      </c>
      <c r="C868" s="0" t="s">
        <v>101</v>
      </c>
      <c r="D868" s="0" t="s">
        <v>90</v>
      </c>
      <c r="E868" s="0" t="n">
        <v>1</v>
      </c>
      <c r="F868" s="0" t="s">
        <v>17</v>
      </c>
      <c r="G868" s="0" t="n">
        <v>1.95295284266197</v>
      </c>
      <c r="H868" s="0" t="s">
        <v>437</v>
      </c>
      <c r="I868" s="0" t="s">
        <v>437</v>
      </c>
      <c r="J868" s="0" t="s">
        <v>437</v>
      </c>
      <c r="K868" s="0" t="s">
        <v>437</v>
      </c>
      <c r="L868" s="0" t="s">
        <v>437</v>
      </c>
      <c r="M868" s="0" t="s">
        <v>457</v>
      </c>
      <c r="R868" s="0" t="s">
        <v>97</v>
      </c>
    </row>
    <row r="869" customFormat="false" ht="15" hidden="false" customHeight="false" outlineLevel="0" collapsed="false">
      <c r="A869" s="0" t="s">
        <v>169</v>
      </c>
      <c r="B869" s="0" t="n">
        <v>2021</v>
      </c>
      <c r="C869" s="0" t="s">
        <v>101</v>
      </c>
      <c r="D869" s="0" t="s">
        <v>90</v>
      </c>
      <c r="E869" s="0" t="n">
        <v>1</v>
      </c>
      <c r="F869" s="0" t="s">
        <v>29</v>
      </c>
      <c r="G869" s="0" t="n">
        <v>0.678882449727483</v>
      </c>
      <c r="H869" s="0" t="s">
        <v>437</v>
      </c>
      <c r="I869" s="0" t="s">
        <v>437</v>
      </c>
      <c r="J869" s="0" t="s">
        <v>437</v>
      </c>
      <c r="K869" s="0" t="s">
        <v>437</v>
      </c>
      <c r="L869" s="0" t="s">
        <v>437</v>
      </c>
      <c r="M869" s="0" t="s">
        <v>457</v>
      </c>
      <c r="R869" s="0" t="s">
        <v>97</v>
      </c>
    </row>
    <row r="870" customFormat="false" ht="15" hidden="false" customHeight="false" outlineLevel="0" collapsed="false">
      <c r="A870" s="0" t="s">
        <v>169</v>
      </c>
      <c r="B870" s="0" t="n">
        <v>2021</v>
      </c>
      <c r="C870" s="0" t="s">
        <v>101</v>
      </c>
      <c r="D870" s="0" t="s">
        <v>90</v>
      </c>
      <c r="E870" s="0" t="n">
        <v>1</v>
      </c>
      <c r="F870" s="0" t="s">
        <v>37</v>
      </c>
      <c r="H870" s="0" t="s">
        <v>457</v>
      </c>
      <c r="I870" s="0" t="s">
        <v>457</v>
      </c>
      <c r="J870" s="0" t="s">
        <v>457</v>
      </c>
      <c r="K870" s="0" t="s">
        <v>457</v>
      </c>
      <c r="L870" s="0" t="s">
        <v>457</v>
      </c>
      <c r="M870" s="0" t="s">
        <v>457</v>
      </c>
      <c r="R870" s="0" t="s">
        <v>97</v>
      </c>
    </row>
    <row r="871" customFormat="false" ht="15" hidden="false" customHeight="false" outlineLevel="0" collapsed="false">
      <c r="A871" s="0" t="s">
        <v>169</v>
      </c>
      <c r="B871" s="0" t="n">
        <v>2021</v>
      </c>
      <c r="C871" s="0" t="s">
        <v>101</v>
      </c>
      <c r="D871" s="0" t="s">
        <v>90</v>
      </c>
      <c r="E871" s="0" t="n">
        <v>1</v>
      </c>
      <c r="F871" s="0" t="s">
        <v>23</v>
      </c>
      <c r="H871" s="0" t="s">
        <v>457</v>
      </c>
      <c r="I871" s="0" t="s">
        <v>457</v>
      </c>
      <c r="J871" s="0" t="s">
        <v>457</v>
      </c>
      <c r="K871" s="0" t="s">
        <v>457</v>
      </c>
      <c r="L871" s="0" t="s">
        <v>457</v>
      </c>
      <c r="M871" s="0" t="s">
        <v>457</v>
      </c>
      <c r="R871" s="0" t="s">
        <v>97</v>
      </c>
    </row>
    <row r="872" customFormat="false" ht="15" hidden="false" customHeight="false" outlineLevel="0" collapsed="false">
      <c r="A872" s="0" t="s">
        <v>169</v>
      </c>
      <c r="B872" s="0" t="n">
        <v>2021</v>
      </c>
      <c r="C872" s="0" t="s">
        <v>101</v>
      </c>
      <c r="D872" s="0" t="s">
        <v>90</v>
      </c>
      <c r="E872" s="0" t="n">
        <v>1</v>
      </c>
      <c r="F872" s="0" t="s">
        <v>45</v>
      </c>
      <c r="H872" s="0" t="s">
        <v>457</v>
      </c>
      <c r="I872" s="0" t="s">
        <v>457</v>
      </c>
      <c r="J872" s="0" t="s">
        <v>457</v>
      </c>
      <c r="K872" s="0" t="s">
        <v>457</v>
      </c>
      <c r="L872" s="0" t="s">
        <v>457</v>
      </c>
      <c r="M872" s="0" t="s">
        <v>457</v>
      </c>
      <c r="R872" s="0" t="s">
        <v>97</v>
      </c>
    </row>
    <row r="873" customFormat="false" ht="15" hidden="false" customHeight="false" outlineLevel="0" collapsed="false">
      <c r="A873" s="0" t="s">
        <v>169</v>
      </c>
      <c r="B873" s="0" t="n">
        <v>2021</v>
      </c>
      <c r="C873" s="0" t="s">
        <v>101</v>
      </c>
      <c r="D873" s="0" t="s">
        <v>90</v>
      </c>
      <c r="E873" s="0" t="n">
        <v>1</v>
      </c>
      <c r="F873" s="0" t="s">
        <v>71</v>
      </c>
      <c r="H873" s="0" t="s">
        <v>457</v>
      </c>
      <c r="I873" s="0" t="s">
        <v>457</v>
      </c>
      <c r="J873" s="0" t="s">
        <v>457</v>
      </c>
      <c r="K873" s="0" t="s">
        <v>457</v>
      </c>
      <c r="L873" s="0" t="s">
        <v>457</v>
      </c>
      <c r="M873" s="0" t="s">
        <v>457</v>
      </c>
      <c r="R873" s="0" t="s">
        <v>97</v>
      </c>
    </row>
    <row r="874" customFormat="false" ht="15" hidden="false" customHeight="false" outlineLevel="0" collapsed="false">
      <c r="A874" s="0" t="s">
        <v>169</v>
      </c>
      <c r="B874" s="0" t="n">
        <v>2021</v>
      </c>
      <c r="C874" s="0" t="s">
        <v>101</v>
      </c>
      <c r="D874" s="0" t="s">
        <v>90</v>
      </c>
      <c r="E874" s="0" t="n">
        <v>1</v>
      </c>
      <c r="F874" s="0" t="s">
        <v>31</v>
      </c>
      <c r="G874" s="0" t="n">
        <v>91.2507468594676</v>
      </c>
      <c r="H874" s="0" t="s">
        <v>437</v>
      </c>
      <c r="I874" s="0" t="s">
        <v>437</v>
      </c>
      <c r="J874" s="0" t="s">
        <v>437</v>
      </c>
      <c r="K874" s="0" t="s">
        <v>437</v>
      </c>
      <c r="L874" s="0" t="s">
        <v>437</v>
      </c>
      <c r="M874" s="0" t="s">
        <v>457</v>
      </c>
      <c r="R874" s="0" t="s">
        <v>97</v>
      </c>
    </row>
    <row r="875" customFormat="false" ht="15" hidden="false" customHeight="false" outlineLevel="0" collapsed="false">
      <c r="A875" s="0" t="s">
        <v>169</v>
      </c>
      <c r="B875" s="0" t="n">
        <v>2022</v>
      </c>
      <c r="C875" s="0" t="s">
        <v>101</v>
      </c>
      <c r="D875" s="0" t="s">
        <v>90</v>
      </c>
      <c r="E875" s="0" t="n">
        <v>1</v>
      </c>
      <c r="F875" s="0" t="s">
        <v>73</v>
      </c>
      <c r="G875" s="0" t="n">
        <v>0</v>
      </c>
      <c r="H875" s="0" t="s">
        <v>437</v>
      </c>
      <c r="I875" s="0" t="s">
        <v>437</v>
      </c>
      <c r="J875" s="0" t="s">
        <v>437</v>
      </c>
      <c r="K875" s="0" t="s">
        <v>437</v>
      </c>
      <c r="L875" s="0" t="s">
        <v>437</v>
      </c>
      <c r="M875" s="0" t="s">
        <v>457</v>
      </c>
      <c r="R875" s="0" t="s">
        <v>114</v>
      </c>
    </row>
    <row r="876" customFormat="false" ht="15" hidden="false" customHeight="false" outlineLevel="0" collapsed="false">
      <c r="A876" s="0" t="s">
        <v>169</v>
      </c>
      <c r="B876" s="0" t="n">
        <v>2022</v>
      </c>
      <c r="C876" s="0" t="s">
        <v>101</v>
      </c>
      <c r="D876" s="0" t="s">
        <v>90</v>
      </c>
      <c r="E876" s="0" t="n">
        <v>1</v>
      </c>
      <c r="F876" s="0" t="s">
        <v>69</v>
      </c>
      <c r="G876" s="0" t="n">
        <v>14.67</v>
      </c>
      <c r="H876" s="0" t="s">
        <v>437</v>
      </c>
      <c r="I876" s="0" t="s">
        <v>437</v>
      </c>
      <c r="J876" s="0" t="s">
        <v>437</v>
      </c>
      <c r="K876" s="0" t="s">
        <v>457</v>
      </c>
      <c r="L876" s="0" t="s">
        <v>437</v>
      </c>
      <c r="M876" s="0" t="s">
        <v>457</v>
      </c>
      <c r="O876" s="0" t="s">
        <v>2587</v>
      </c>
      <c r="P876" s="0" t="s">
        <v>2588</v>
      </c>
      <c r="R876" s="0" t="s">
        <v>114</v>
      </c>
    </row>
    <row r="877" customFormat="false" ht="15" hidden="false" customHeight="false" outlineLevel="0" collapsed="false">
      <c r="A877" s="0" t="s">
        <v>169</v>
      </c>
      <c r="B877" s="0" t="n">
        <v>2022</v>
      </c>
      <c r="C877" s="0" t="s">
        <v>101</v>
      </c>
      <c r="D877" s="0" t="s">
        <v>90</v>
      </c>
      <c r="E877" s="0" t="n">
        <v>1</v>
      </c>
      <c r="F877" s="0" t="s">
        <v>25</v>
      </c>
      <c r="G877" s="0" t="n">
        <v>14.6742098293506</v>
      </c>
      <c r="H877" s="0" t="s">
        <v>437</v>
      </c>
      <c r="I877" s="0" t="s">
        <v>437</v>
      </c>
      <c r="J877" s="0" t="s">
        <v>437</v>
      </c>
      <c r="K877" s="0" t="s">
        <v>457</v>
      </c>
      <c r="L877" s="0" t="s">
        <v>437</v>
      </c>
      <c r="M877" s="0" t="s">
        <v>457</v>
      </c>
      <c r="O877" s="0" t="s">
        <v>2587</v>
      </c>
      <c r="P877" s="0" t="s">
        <v>2588</v>
      </c>
      <c r="R877" s="0" t="s">
        <v>114</v>
      </c>
    </row>
    <row r="878" customFormat="false" ht="15" hidden="false" customHeight="false" outlineLevel="0" collapsed="false">
      <c r="A878" s="0" t="s">
        <v>169</v>
      </c>
      <c r="B878" s="0" t="n">
        <v>2022</v>
      </c>
      <c r="C878" s="0" t="s">
        <v>101</v>
      </c>
      <c r="D878" s="0" t="s">
        <v>90</v>
      </c>
      <c r="E878" s="0" t="n">
        <v>1</v>
      </c>
      <c r="F878" s="0" t="s">
        <v>41</v>
      </c>
      <c r="G878" s="0" t="n">
        <v>1.1212117696199</v>
      </c>
      <c r="H878" s="0" t="s">
        <v>437</v>
      </c>
      <c r="I878" s="0" t="s">
        <v>437</v>
      </c>
      <c r="J878" s="0" t="s">
        <v>437</v>
      </c>
      <c r="K878" s="0" t="s">
        <v>457</v>
      </c>
      <c r="L878" s="0" t="s">
        <v>437</v>
      </c>
      <c r="M878" s="0" t="s">
        <v>457</v>
      </c>
      <c r="O878" s="0" t="s">
        <v>2587</v>
      </c>
      <c r="P878" s="0" t="s">
        <v>2588</v>
      </c>
      <c r="R878" s="0" t="s">
        <v>114</v>
      </c>
    </row>
    <row r="879" customFormat="false" ht="15" hidden="false" customHeight="false" outlineLevel="0" collapsed="false">
      <c r="A879" s="0" t="s">
        <v>169</v>
      </c>
      <c r="B879" s="0" t="n">
        <v>2022</v>
      </c>
      <c r="C879" s="0" t="s">
        <v>101</v>
      </c>
      <c r="D879" s="0" t="s">
        <v>90</v>
      </c>
      <c r="E879" s="0" t="n">
        <v>1</v>
      </c>
      <c r="F879" s="0" t="s">
        <v>27</v>
      </c>
      <c r="G879" s="0" t="n">
        <v>8.3423972983046</v>
      </c>
      <c r="H879" s="0" t="s">
        <v>437</v>
      </c>
      <c r="I879" s="0" t="s">
        <v>437</v>
      </c>
      <c r="J879" s="0" t="s">
        <v>437</v>
      </c>
      <c r="K879" s="0" t="s">
        <v>457</v>
      </c>
      <c r="L879" s="0" t="s">
        <v>437</v>
      </c>
      <c r="M879" s="0" t="s">
        <v>457</v>
      </c>
      <c r="O879" s="0" t="s">
        <v>2587</v>
      </c>
      <c r="P879" s="0" t="s">
        <v>2588</v>
      </c>
      <c r="R879" s="0" t="s">
        <v>114</v>
      </c>
    </row>
    <row r="880" customFormat="false" ht="15" hidden="false" customHeight="false" outlineLevel="0" collapsed="false">
      <c r="A880" s="0" t="s">
        <v>169</v>
      </c>
      <c r="B880" s="0" t="n">
        <v>2022</v>
      </c>
      <c r="C880" s="0" t="s">
        <v>101</v>
      </c>
      <c r="D880" s="0" t="s">
        <v>90</v>
      </c>
      <c r="E880" s="0" t="n">
        <v>1</v>
      </c>
      <c r="F880" s="0" t="s">
        <v>39</v>
      </c>
      <c r="G880" s="0" t="n">
        <v>4.10944679073653</v>
      </c>
      <c r="H880" s="0" t="s">
        <v>437</v>
      </c>
      <c r="I880" s="0" t="s">
        <v>437</v>
      </c>
      <c r="J880" s="0" t="s">
        <v>437</v>
      </c>
      <c r="K880" s="0" t="s">
        <v>457</v>
      </c>
      <c r="L880" s="0" t="s">
        <v>437</v>
      </c>
      <c r="M880" s="0" t="s">
        <v>457</v>
      </c>
      <c r="O880" s="0" t="s">
        <v>2587</v>
      </c>
      <c r="P880" s="0" t="s">
        <v>2588</v>
      </c>
      <c r="R880" s="0" t="s">
        <v>114</v>
      </c>
    </row>
    <row r="881" customFormat="false" ht="15" hidden="false" customHeight="false" outlineLevel="0" collapsed="false">
      <c r="A881" s="0" t="s">
        <v>169</v>
      </c>
      <c r="B881" s="0" t="n">
        <v>2022</v>
      </c>
      <c r="C881" s="0" t="s">
        <v>101</v>
      </c>
      <c r="D881" s="0" t="s">
        <v>90</v>
      </c>
      <c r="E881" s="0" t="n">
        <v>1</v>
      </c>
      <c r="F881" s="0" t="s">
        <v>17</v>
      </c>
      <c r="G881" s="0" t="n">
        <v>2.69697421334955</v>
      </c>
      <c r="H881" s="0" t="s">
        <v>437</v>
      </c>
      <c r="I881" s="0" t="s">
        <v>437</v>
      </c>
      <c r="J881" s="0" t="s">
        <v>437</v>
      </c>
      <c r="K881" s="0" t="s">
        <v>457</v>
      </c>
      <c r="L881" s="0" t="s">
        <v>437</v>
      </c>
      <c r="M881" s="0" t="s">
        <v>457</v>
      </c>
      <c r="O881" s="0" t="s">
        <v>2587</v>
      </c>
      <c r="P881" s="0" t="s">
        <v>2588</v>
      </c>
      <c r="R881" s="0" t="s">
        <v>114</v>
      </c>
    </row>
    <row r="882" customFormat="false" ht="15" hidden="false" customHeight="false" outlineLevel="0" collapsed="false">
      <c r="A882" s="0" t="s">
        <v>169</v>
      </c>
      <c r="B882" s="0" t="n">
        <v>2022</v>
      </c>
      <c r="C882" s="0" t="s">
        <v>101</v>
      </c>
      <c r="D882" s="0" t="s">
        <v>90</v>
      </c>
      <c r="E882" s="0" t="n">
        <v>1</v>
      </c>
      <c r="F882" s="0" t="s">
        <v>29</v>
      </c>
      <c r="G882" s="0" t="n">
        <v>0.526987515663433</v>
      </c>
      <c r="H882" s="0" t="s">
        <v>437</v>
      </c>
      <c r="I882" s="0" t="s">
        <v>437</v>
      </c>
      <c r="J882" s="0" t="s">
        <v>437</v>
      </c>
      <c r="K882" s="0" t="s">
        <v>457</v>
      </c>
      <c r="L882" s="0" t="s">
        <v>437</v>
      </c>
      <c r="M882" s="0" t="s">
        <v>457</v>
      </c>
      <c r="O882" s="0" t="s">
        <v>2587</v>
      </c>
      <c r="P882" s="0" t="s">
        <v>2588</v>
      </c>
      <c r="R882" s="0" t="s">
        <v>114</v>
      </c>
    </row>
    <row r="883" customFormat="false" ht="15" hidden="false" customHeight="false" outlineLevel="0" collapsed="false">
      <c r="A883" s="0" t="s">
        <v>169</v>
      </c>
      <c r="B883" s="0" t="n">
        <v>2022</v>
      </c>
      <c r="C883" s="0" t="s">
        <v>101</v>
      </c>
      <c r="D883" s="0" t="s">
        <v>90</v>
      </c>
      <c r="E883" s="0" t="n">
        <v>1</v>
      </c>
      <c r="F883" s="0" t="s">
        <v>37</v>
      </c>
      <c r="H883" s="0" t="s">
        <v>457</v>
      </c>
      <c r="I883" s="0" t="s">
        <v>457</v>
      </c>
      <c r="J883" s="0" t="s">
        <v>457</v>
      </c>
      <c r="K883" s="0" t="s">
        <v>457</v>
      </c>
      <c r="L883" s="0" t="s">
        <v>457</v>
      </c>
      <c r="M883" s="0" t="s">
        <v>457</v>
      </c>
      <c r="R883" s="0" t="s">
        <v>114</v>
      </c>
    </row>
    <row r="884" customFormat="false" ht="15" hidden="false" customHeight="false" outlineLevel="0" collapsed="false">
      <c r="A884" s="0" t="s">
        <v>169</v>
      </c>
      <c r="B884" s="0" t="n">
        <v>2022</v>
      </c>
      <c r="C884" s="0" t="s">
        <v>101</v>
      </c>
      <c r="D884" s="0" t="s">
        <v>90</v>
      </c>
      <c r="E884" s="0" t="n">
        <v>1</v>
      </c>
      <c r="F884" s="0" t="s">
        <v>23</v>
      </c>
      <c r="H884" s="0" t="s">
        <v>457</v>
      </c>
      <c r="I884" s="0" t="s">
        <v>457</v>
      </c>
      <c r="J884" s="0" t="s">
        <v>457</v>
      </c>
      <c r="K884" s="0" t="s">
        <v>457</v>
      </c>
      <c r="L884" s="0" t="s">
        <v>457</v>
      </c>
      <c r="M884" s="0" t="s">
        <v>457</v>
      </c>
      <c r="R884" s="0" t="s">
        <v>114</v>
      </c>
    </row>
    <row r="885" customFormat="false" ht="15" hidden="false" customHeight="false" outlineLevel="0" collapsed="false">
      <c r="A885" s="0" t="s">
        <v>169</v>
      </c>
      <c r="B885" s="0" t="n">
        <v>2022</v>
      </c>
      <c r="C885" s="0" t="s">
        <v>101</v>
      </c>
      <c r="D885" s="0" t="s">
        <v>90</v>
      </c>
      <c r="E885" s="0" t="n">
        <v>1</v>
      </c>
      <c r="F885" s="0" t="s">
        <v>45</v>
      </c>
      <c r="H885" s="0" t="s">
        <v>457</v>
      </c>
      <c r="I885" s="0" t="s">
        <v>457</v>
      </c>
      <c r="J885" s="0" t="s">
        <v>457</v>
      </c>
      <c r="K885" s="0" t="s">
        <v>457</v>
      </c>
      <c r="L885" s="0" t="s">
        <v>457</v>
      </c>
      <c r="M885" s="0" t="s">
        <v>457</v>
      </c>
      <c r="R885" s="0" t="s">
        <v>114</v>
      </c>
    </row>
    <row r="886" customFormat="false" ht="15" hidden="false" customHeight="false" outlineLevel="0" collapsed="false">
      <c r="A886" s="0" t="s">
        <v>169</v>
      </c>
      <c r="B886" s="0" t="n">
        <v>2022</v>
      </c>
      <c r="C886" s="0" t="s">
        <v>101</v>
      </c>
      <c r="D886" s="0" t="s">
        <v>90</v>
      </c>
      <c r="E886" s="0" t="n">
        <v>1</v>
      </c>
      <c r="F886" s="0" t="s">
        <v>71</v>
      </c>
      <c r="H886" s="0" t="s">
        <v>457</v>
      </c>
      <c r="I886" s="0" t="s">
        <v>457</v>
      </c>
      <c r="J886" s="0" t="s">
        <v>457</v>
      </c>
      <c r="K886" s="0" t="s">
        <v>457</v>
      </c>
      <c r="L886" s="0" t="s">
        <v>457</v>
      </c>
      <c r="M886" s="0" t="s">
        <v>457</v>
      </c>
      <c r="R886" s="0" t="s">
        <v>114</v>
      </c>
    </row>
    <row r="887" customFormat="false" ht="15" hidden="false" customHeight="false" outlineLevel="0" collapsed="false">
      <c r="A887" s="0" t="s">
        <v>169</v>
      </c>
      <c r="B887" s="0" t="n">
        <v>2022</v>
      </c>
      <c r="C887" s="0" t="s">
        <v>101</v>
      </c>
      <c r="D887" s="0" t="s">
        <v>90</v>
      </c>
      <c r="E887" s="0" t="n">
        <v>1</v>
      </c>
      <c r="F887" s="0" t="s">
        <v>31</v>
      </c>
      <c r="G887" s="0" t="n">
        <v>91.6576027016954</v>
      </c>
      <c r="H887" s="0" t="s">
        <v>437</v>
      </c>
      <c r="I887" s="0" t="s">
        <v>437</v>
      </c>
      <c r="J887" s="0" t="s">
        <v>437</v>
      </c>
      <c r="K887" s="0" t="s">
        <v>457</v>
      </c>
      <c r="L887" s="0" t="s">
        <v>437</v>
      </c>
      <c r="M887" s="0" t="s">
        <v>457</v>
      </c>
      <c r="O887" s="0" t="s">
        <v>2587</v>
      </c>
      <c r="P887" s="0" t="s">
        <v>2588</v>
      </c>
      <c r="R887" s="0" t="s">
        <v>114</v>
      </c>
    </row>
    <row r="888" customFormat="false" ht="15" hidden="false" customHeight="false" outlineLevel="0" collapsed="false">
      <c r="A888" s="0" t="s">
        <v>178</v>
      </c>
      <c r="B888" s="0" t="n">
        <v>2013</v>
      </c>
      <c r="C888" s="0" t="s">
        <v>78</v>
      </c>
      <c r="D888" s="0" t="s">
        <v>79</v>
      </c>
      <c r="E888" s="0" t="n">
        <v>0</v>
      </c>
      <c r="F888" s="0" t="s">
        <v>73</v>
      </c>
      <c r="H888" s="0" t="s">
        <v>457</v>
      </c>
      <c r="I888" s="0" t="s">
        <v>457</v>
      </c>
      <c r="J888" s="0" t="s">
        <v>457</v>
      </c>
      <c r="K888" s="0" t="s">
        <v>457</v>
      </c>
      <c r="L888" s="0" t="s">
        <v>457</v>
      </c>
      <c r="M888" s="0" t="s">
        <v>457</v>
      </c>
      <c r="R888" s="0" t="s">
        <v>81</v>
      </c>
    </row>
    <row r="889" customFormat="false" ht="15" hidden="false" customHeight="false" outlineLevel="0" collapsed="false">
      <c r="A889" s="0" t="s">
        <v>178</v>
      </c>
      <c r="B889" s="0" t="n">
        <v>2013</v>
      </c>
      <c r="C889" s="0" t="s">
        <v>78</v>
      </c>
      <c r="D889" s="0" t="s">
        <v>79</v>
      </c>
      <c r="E889" s="0" t="n">
        <v>0</v>
      </c>
      <c r="F889" s="0" t="s">
        <v>69</v>
      </c>
      <c r="G889" s="0" t="n">
        <v>20</v>
      </c>
      <c r="H889" s="0" t="s">
        <v>437</v>
      </c>
      <c r="I889" s="0" t="s">
        <v>437</v>
      </c>
      <c r="J889" s="0" t="s">
        <v>437</v>
      </c>
      <c r="K889" s="0" t="s">
        <v>457</v>
      </c>
      <c r="L889" s="0" t="s">
        <v>437</v>
      </c>
      <c r="M889" s="0" t="s">
        <v>457</v>
      </c>
      <c r="R889" s="0" t="s">
        <v>81</v>
      </c>
    </row>
    <row r="890" customFormat="false" ht="15" hidden="false" customHeight="false" outlineLevel="0" collapsed="false">
      <c r="A890" s="0" t="s">
        <v>178</v>
      </c>
      <c r="B890" s="0" t="n">
        <v>2013</v>
      </c>
      <c r="C890" s="0" t="s">
        <v>78</v>
      </c>
      <c r="D890" s="0" t="s">
        <v>79</v>
      </c>
      <c r="E890" s="0" t="n">
        <v>0</v>
      </c>
      <c r="F890" s="0" t="s">
        <v>25</v>
      </c>
      <c r="H890" s="0" t="s">
        <v>457</v>
      </c>
      <c r="I890" s="0" t="s">
        <v>457</v>
      </c>
      <c r="J890" s="0" t="s">
        <v>457</v>
      </c>
      <c r="K890" s="0" t="s">
        <v>457</v>
      </c>
      <c r="L890" s="0" t="s">
        <v>457</v>
      </c>
      <c r="M890" s="0" t="s">
        <v>457</v>
      </c>
      <c r="R890" s="0" t="s">
        <v>81</v>
      </c>
    </row>
    <row r="891" customFormat="false" ht="15" hidden="false" customHeight="false" outlineLevel="0" collapsed="false">
      <c r="A891" s="0" t="s">
        <v>178</v>
      </c>
      <c r="B891" s="0" t="n">
        <v>2013</v>
      </c>
      <c r="C891" s="0" t="s">
        <v>78</v>
      </c>
      <c r="D891" s="0" t="s">
        <v>79</v>
      </c>
      <c r="E891" s="0" t="n">
        <v>0</v>
      </c>
      <c r="F891" s="0" t="s">
        <v>41</v>
      </c>
      <c r="H891" s="0" t="s">
        <v>457</v>
      </c>
      <c r="I891" s="0" t="s">
        <v>457</v>
      </c>
      <c r="J891" s="0" t="s">
        <v>457</v>
      </c>
      <c r="K891" s="0" t="s">
        <v>457</v>
      </c>
      <c r="L891" s="0" t="s">
        <v>457</v>
      </c>
      <c r="M891" s="0" t="s">
        <v>457</v>
      </c>
      <c r="R891" s="0" t="s">
        <v>81</v>
      </c>
    </row>
    <row r="892" customFormat="false" ht="15" hidden="false" customHeight="false" outlineLevel="0" collapsed="false">
      <c r="A892" s="0" t="s">
        <v>178</v>
      </c>
      <c r="B892" s="0" t="n">
        <v>2013</v>
      </c>
      <c r="C892" s="0" t="s">
        <v>78</v>
      </c>
      <c r="D892" s="0" t="s">
        <v>79</v>
      </c>
      <c r="E892" s="0" t="n">
        <v>0</v>
      </c>
      <c r="F892" s="0" t="s">
        <v>27</v>
      </c>
      <c r="G892" s="0" t="n">
        <v>11.7045192672375</v>
      </c>
      <c r="H892" s="0" t="s">
        <v>437</v>
      </c>
      <c r="I892" s="0" t="s">
        <v>437</v>
      </c>
      <c r="J892" s="0" t="s">
        <v>437</v>
      </c>
      <c r="K892" s="0" t="s">
        <v>457</v>
      </c>
      <c r="L892" s="0" t="s">
        <v>437</v>
      </c>
      <c r="M892" s="0" t="s">
        <v>457</v>
      </c>
      <c r="R892" s="0" t="s">
        <v>81</v>
      </c>
    </row>
    <row r="893" customFormat="false" ht="15" hidden="false" customHeight="false" outlineLevel="0" collapsed="false">
      <c r="A893" s="0" t="s">
        <v>178</v>
      </c>
      <c r="B893" s="0" t="n">
        <v>2013</v>
      </c>
      <c r="C893" s="0" t="s">
        <v>78</v>
      </c>
      <c r="D893" s="0" t="s">
        <v>79</v>
      </c>
      <c r="E893" s="0" t="n">
        <v>0</v>
      </c>
      <c r="F893" s="0" t="s">
        <v>39</v>
      </c>
      <c r="H893" s="0" t="s">
        <v>457</v>
      </c>
      <c r="I893" s="0" t="s">
        <v>457</v>
      </c>
      <c r="J893" s="0" t="s">
        <v>457</v>
      </c>
      <c r="K893" s="0" t="s">
        <v>457</v>
      </c>
      <c r="L893" s="0" t="s">
        <v>457</v>
      </c>
      <c r="M893" s="0" t="s">
        <v>457</v>
      </c>
      <c r="R893" s="0" t="s">
        <v>81</v>
      </c>
    </row>
    <row r="894" customFormat="false" ht="15" hidden="false" customHeight="false" outlineLevel="0" collapsed="false">
      <c r="A894" s="0" t="s">
        <v>178</v>
      </c>
      <c r="B894" s="0" t="n">
        <v>2013</v>
      </c>
      <c r="C894" s="0" t="s">
        <v>78</v>
      </c>
      <c r="D894" s="0" t="s">
        <v>79</v>
      </c>
      <c r="E894" s="0" t="n">
        <v>0</v>
      </c>
      <c r="F894" s="0" t="s">
        <v>17</v>
      </c>
      <c r="G894" s="0" t="n">
        <v>1.03283539830042</v>
      </c>
      <c r="H894" s="0" t="s">
        <v>437</v>
      </c>
      <c r="I894" s="0" t="s">
        <v>437</v>
      </c>
      <c r="J894" s="0" t="s">
        <v>437</v>
      </c>
      <c r="K894" s="0" t="s">
        <v>457</v>
      </c>
      <c r="L894" s="0" t="s">
        <v>437</v>
      </c>
      <c r="M894" s="0" t="s">
        <v>457</v>
      </c>
      <c r="R894" s="0" t="s">
        <v>81</v>
      </c>
    </row>
    <row r="895" customFormat="false" ht="15" hidden="false" customHeight="false" outlineLevel="0" collapsed="false">
      <c r="A895" s="0" t="s">
        <v>178</v>
      </c>
      <c r="B895" s="0" t="n">
        <v>2013</v>
      </c>
      <c r="C895" s="0" t="s">
        <v>78</v>
      </c>
      <c r="D895" s="0" t="s">
        <v>79</v>
      </c>
      <c r="E895" s="0" t="n">
        <v>0</v>
      </c>
      <c r="F895" s="0" t="s">
        <v>29</v>
      </c>
      <c r="H895" s="0" t="s">
        <v>457</v>
      </c>
      <c r="I895" s="0" t="s">
        <v>457</v>
      </c>
      <c r="J895" s="0" t="s">
        <v>457</v>
      </c>
      <c r="K895" s="0" t="s">
        <v>457</v>
      </c>
      <c r="L895" s="0" t="s">
        <v>457</v>
      </c>
      <c r="M895" s="0" t="s">
        <v>457</v>
      </c>
      <c r="R895" s="0" t="s">
        <v>81</v>
      </c>
    </row>
    <row r="896" customFormat="false" ht="15" hidden="false" customHeight="false" outlineLevel="0" collapsed="false">
      <c r="A896" s="0" t="s">
        <v>178</v>
      </c>
      <c r="B896" s="0" t="n">
        <v>2013</v>
      </c>
      <c r="C896" s="0" t="s">
        <v>78</v>
      </c>
      <c r="D896" s="0" t="s">
        <v>79</v>
      </c>
      <c r="E896" s="0" t="n">
        <v>0</v>
      </c>
      <c r="F896" s="0" t="s">
        <v>37</v>
      </c>
      <c r="H896" s="0" t="s">
        <v>457</v>
      </c>
      <c r="I896" s="0" t="s">
        <v>457</v>
      </c>
      <c r="J896" s="0" t="s">
        <v>457</v>
      </c>
      <c r="K896" s="0" t="s">
        <v>457</v>
      </c>
      <c r="L896" s="0" t="s">
        <v>457</v>
      </c>
      <c r="M896" s="0" t="s">
        <v>457</v>
      </c>
      <c r="R896" s="0" t="s">
        <v>81</v>
      </c>
    </row>
    <row r="897" customFormat="false" ht="15" hidden="false" customHeight="false" outlineLevel="0" collapsed="false">
      <c r="A897" s="0" t="s">
        <v>178</v>
      </c>
      <c r="B897" s="0" t="n">
        <v>2013</v>
      </c>
      <c r="C897" s="0" t="s">
        <v>78</v>
      </c>
      <c r="D897" s="0" t="s">
        <v>79</v>
      </c>
      <c r="E897" s="0" t="n">
        <v>0</v>
      </c>
      <c r="F897" s="0" t="s">
        <v>23</v>
      </c>
      <c r="H897" s="0" t="s">
        <v>457</v>
      </c>
      <c r="I897" s="0" t="s">
        <v>457</v>
      </c>
      <c r="J897" s="0" t="s">
        <v>457</v>
      </c>
      <c r="K897" s="0" t="s">
        <v>457</v>
      </c>
      <c r="L897" s="0" t="s">
        <v>457</v>
      </c>
      <c r="M897" s="0" t="s">
        <v>457</v>
      </c>
      <c r="R897" s="0" t="s">
        <v>81</v>
      </c>
    </row>
    <row r="898" customFormat="false" ht="15" hidden="false" customHeight="false" outlineLevel="0" collapsed="false">
      <c r="A898" s="0" t="s">
        <v>178</v>
      </c>
      <c r="B898" s="0" t="n">
        <v>2013</v>
      </c>
      <c r="C898" s="0" t="s">
        <v>78</v>
      </c>
      <c r="D898" s="0" t="s">
        <v>79</v>
      </c>
      <c r="E898" s="0" t="n">
        <v>0</v>
      </c>
      <c r="F898" s="0" t="s">
        <v>45</v>
      </c>
      <c r="H898" s="0" t="s">
        <v>457</v>
      </c>
      <c r="I898" s="0" t="s">
        <v>457</v>
      </c>
      <c r="J898" s="0" t="s">
        <v>457</v>
      </c>
      <c r="K898" s="0" t="s">
        <v>457</v>
      </c>
      <c r="L898" s="0" t="s">
        <v>457</v>
      </c>
      <c r="M898" s="0" t="s">
        <v>457</v>
      </c>
      <c r="R898" s="0" t="s">
        <v>81</v>
      </c>
    </row>
    <row r="899" customFormat="false" ht="15" hidden="false" customHeight="false" outlineLevel="0" collapsed="false">
      <c r="A899" s="0" t="s">
        <v>178</v>
      </c>
      <c r="B899" s="0" t="n">
        <v>2013</v>
      </c>
      <c r="C899" s="0" t="s">
        <v>78</v>
      </c>
      <c r="D899" s="0" t="s">
        <v>79</v>
      </c>
      <c r="E899" s="0" t="n">
        <v>0</v>
      </c>
      <c r="F899" s="0" t="s">
        <v>71</v>
      </c>
      <c r="H899" s="0" t="s">
        <v>457</v>
      </c>
      <c r="I899" s="0" t="s">
        <v>457</v>
      </c>
      <c r="J899" s="0" t="s">
        <v>457</v>
      </c>
      <c r="K899" s="0" t="s">
        <v>457</v>
      </c>
      <c r="L899" s="0" t="s">
        <v>457</v>
      </c>
      <c r="M899" s="0" t="s">
        <v>457</v>
      </c>
      <c r="R899" s="0" t="s">
        <v>81</v>
      </c>
    </row>
    <row r="900" customFormat="false" ht="15" hidden="false" customHeight="false" outlineLevel="0" collapsed="false">
      <c r="A900" s="0" t="s">
        <v>178</v>
      </c>
      <c r="B900" s="0" t="n">
        <v>2013</v>
      </c>
      <c r="C900" s="0" t="s">
        <v>78</v>
      </c>
      <c r="D900" s="0" t="s">
        <v>79</v>
      </c>
      <c r="E900" s="0" t="n">
        <v>0</v>
      </c>
      <c r="F900" s="0" t="s">
        <v>31</v>
      </c>
      <c r="G900" s="0" t="n">
        <v>88.2954807327625</v>
      </c>
      <c r="H900" s="0" t="s">
        <v>437</v>
      </c>
      <c r="I900" s="0" t="s">
        <v>437</v>
      </c>
      <c r="J900" s="0" t="s">
        <v>437</v>
      </c>
      <c r="K900" s="0" t="s">
        <v>457</v>
      </c>
      <c r="L900" s="0" t="s">
        <v>437</v>
      </c>
      <c r="M900" s="0" t="s">
        <v>457</v>
      </c>
      <c r="R900" s="0" t="s">
        <v>81</v>
      </c>
    </row>
    <row r="901" customFormat="false" ht="15" hidden="false" customHeight="false" outlineLevel="0" collapsed="false">
      <c r="A901" s="0" t="s">
        <v>178</v>
      </c>
      <c r="B901" s="0" t="n">
        <v>2014</v>
      </c>
      <c r="C901" s="0" t="s">
        <v>78</v>
      </c>
      <c r="D901" s="0" t="s">
        <v>79</v>
      </c>
      <c r="E901" s="0" t="n">
        <v>0</v>
      </c>
      <c r="F901" s="0" t="s">
        <v>73</v>
      </c>
      <c r="H901" s="0" t="s">
        <v>457</v>
      </c>
      <c r="I901" s="0" t="s">
        <v>457</v>
      </c>
      <c r="J901" s="0" t="s">
        <v>457</v>
      </c>
      <c r="K901" s="0" t="s">
        <v>457</v>
      </c>
      <c r="L901" s="0" t="s">
        <v>457</v>
      </c>
      <c r="M901" s="0" t="s">
        <v>457</v>
      </c>
      <c r="R901" s="0" t="s">
        <v>81</v>
      </c>
    </row>
    <row r="902" customFormat="false" ht="15" hidden="false" customHeight="false" outlineLevel="0" collapsed="false">
      <c r="A902" s="0" t="s">
        <v>178</v>
      </c>
      <c r="B902" s="0" t="n">
        <v>2014</v>
      </c>
      <c r="C902" s="0" t="s">
        <v>78</v>
      </c>
      <c r="D902" s="0" t="s">
        <v>79</v>
      </c>
      <c r="E902" s="0" t="n">
        <v>0</v>
      </c>
      <c r="F902" s="0" t="s">
        <v>69</v>
      </c>
      <c r="G902" s="0" t="n">
        <v>17</v>
      </c>
      <c r="H902" s="0" t="s">
        <v>437</v>
      </c>
      <c r="I902" s="0" t="s">
        <v>437</v>
      </c>
      <c r="J902" s="0" t="s">
        <v>437</v>
      </c>
      <c r="K902" s="0" t="s">
        <v>437</v>
      </c>
      <c r="L902" s="0" t="s">
        <v>437</v>
      </c>
      <c r="M902" s="0" t="s">
        <v>457</v>
      </c>
      <c r="R902" s="0" t="s">
        <v>81</v>
      </c>
    </row>
    <row r="903" customFormat="false" ht="15" hidden="false" customHeight="false" outlineLevel="0" collapsed="false">
      <c r="A903" s="0" t="s">
        <v>178</v>
      </c>
      <c r="B903" s="0" t="n">
        <v>2014</v>
      </c>
      <c r="C903" s="0" t="s">
        <v>78</v>
      </c>
      <c r="D903" s="0" t="s">
        <v>79</v>
      </c>
      <c r="E903" s="0" t="n">
        <v>0</v>
      </c>
      <c r="F903" s="0" t="s">
        <v>25</v>
      </c>
      <c r="H903" s="0" t="s">
        <v>457</v>
      </c>
      <c r="I903" s="0" t="s">
        <v>457</v>
      </c>
      <c r="J903" s="0" t="s">
        <v>457</v>
      </c>
      <c r="K903" s="0" t="s">
        <v>457</v>
      </c>
      <c r="L903" s="0" t="s">
        <v>457</v>
      </c>
      <c r="M903" s="0" t="s">
        <v>457</v>
      </c>
      <c r="R903" s="0" t="s">
        <v>81</v>
      </c>
    </row>
    <row r="904" customFormat="false" ht="15" hidden="false" customHeight="false" outlineLevel="0" collapsed="false">
      <c r="A904" s="0" t="s">
        <v>178</v>
      </c>
      <c r="B904" s="0" t="n">
        <v>2014</v>
      </c>
      <c r="C904" s="0" t="s">
        <v>78</v>
      </c>
      <c r="D904" s="0" t="s">
        <v>79</v>
      </c>
      <c r="E904" s="0" t="n">
        <v>0</v>
      </c>
      <c r="F904" s="0" t="s">
        <v>41</v>
      </c>
      <c r="G904" s="0" t="n">
        <v>1.75946359690756</v>
      </c>
      <c r="H904" s="0" t="s">
        <v>437</v>
      </c>
      <c r="I904" s="0" t="s">
        <v>437</v>
      </c>
      <c r="J904" s="0" t="s">
        <v>437</v>
      </c>
      <c r="K904" s="0" t="s">
        <v>457</v>
      </c>
      <c r="L904" s="0" t="s">
        <v>437</v>
      </c>
      <c r="M904" s="0" t="s">
        <v>457</v>
      </c>
      <c r="R904" s="0" t="s">
        <v>81</v>
      </c>
    </row>
    <row r="905" customFormat="false" ht="15" hidden="false" customHeight="false" outlineLevel="0" collapsed="false">
      <c r="A905" s="0" t="s">
        <v>178</v>
      </c>
      <c r="B905" s="0" t="n">
        <v>2014</v>
      </c>
      <c r="C905" s="0" t="s">
        <v>78</v>
      </c>
      <c r="D905" s="0" t="s">
        <v>79</v>
      </c>
      <c r="E905" s="0" t="n">
        <v>0</v>
      </c>
      <c r="F905" s="0" t="s">
        <v>27</v>
      </c>
      <c r="G905" s="0" t="n">
        <v>12.0543017147685</v>
      </c>
      <c r="H905" s="0" t="s">
        <v>437</v>
      </c>
      <c r="I905" s="0" t="s">
        <v>437</v>
      </c>
      <c r="J905" s="0" t="s">
        <v>437</v>
      </c>
      <c r="K905" s="0" t="s">
        <v>437</v>
      </c>
      <c r="L905" s="0" t="s">
        <v>437</v>
      </c>
      <c r="M905" s="0" t="s">
        <v>457</v>
      </c>
      <c r="R905" s="0" t="s">
        <v>81</v>
      </c>
    </row>
    <row r="906" customFormat="false" ht="15" hidden="false" customHeight="false" outlineLevel="0" collapsed="false">
      <c r="A906" s="0" t="s">
        <v>178</v>
      </c>
      <c r="B906" s="0" t="n">
        <v>2014</v>
      </c>
      <c r="C906" s="0" t="s">
        <v>78</v>
      </c>
      <c r="D906" s="0" t="s">
        <v>79</v>
      </c>
      <c r="E906" s="0" t="n">
        <v>0</v>
      </c>
      <c r="F906" s="0" t="s">
        <v>39</v>
      </c>
      <c r="G906" s="0" t="n">
        <v>-4.06555793932544</v>
      </c>
      <c r="H906" s="0" t="s">
        <v>437</v>
      </c>
      <c r="I906" s="0" t="s">
        <v>437</v>
      </c>
      <c r="J906" s="0" t="s">
        <v>437</v>
      </c>
      <c r="K906" s="0" t="s">
        <v>457</v>
      </c>
      <c r="L906" s="0" t="s">
        <v>437</v>
      </c>
      <c r="M906" s="0" t="s">
        <v>457</v>
      </c>
      <c r="R906" s="0" t="s">
        <v>81</v>
      </c>
    </row>
    <row r="907" customFormat="false" ht="15" hidden="false" customHeight="false" outlineLevel="0" collapsed="false">
      <c r="A907" s="0" t="s">
        <v>178</v>
      </c>
      <c r="B907" s="0" t="n">
        <v>2014</v>
      </c>
      <c r="C907" s="0" t="s">
        <v>78</v>
      </c>
      <c r="D907" s="0" t="s">
        <v>79</v>
      </c>
      <c r="E907" s="0" t="n">
        <v>0</v>
      </c>
      <c r="F907" s="0" t="s">
        <v>17</v>
      </c>
      <c r="G907" s="0" t="n">
        <v>1.17549929673369</v>
      </c>
      <c r="H907" s="0" t="s">
        <v>437</v>
      </c>
      <c r="I907" s="0" t="s">
        <v>437</v>
      </c>
      <c r="J907" s="0" t="s">
        <v>437</v>
      </c>
      <c r="K907" s="0" t="s">
        <v>437</v>
      </c>
      <c r="L907" s="0" t="s">
        <v>437</v>
      </c>
      <c r="M907" s="0" t="s">
        <v>457</v>
      </c>
      <c r="R907" s="0" t="s">
        <v>81</v>
      </c>
    </row>
    <row r="908" customFormat="false" ht="15" hidden="false" customHeight="false" outlineLevel="0" collapsed="false">
      <c r="A908" s="0" t="s">
        <v>178</v>
      </c>
      <c r="B908" s="0" t="n">
        <v>2014</v>
      </c>
      <c r="C908" s="0" t="s">
        <v>78</v>
      </c>
      <c r="D908" s="0" t="s">
        <v>79</v>
      </c>
      <c r="E908" s="0" t="n">
        <v>0</v>
      </c>
      <c r="F908" s="0" t="s">
        <v>29</v>
      </c>
      <c r="G908" s="0" t="n">
        <v>0.134890892231044</v>
      </c>
      <c r="H908" s="0" t="s">
        <v>437</v>
      </c>
      <c r="I908" s="0" t="s">
        <v>437</v>
      </c>
      <c r="J908" s="0" t="s">
        <v>437</v>
      </c>
      <c r="K908" s="0" t="s">
        <v>457</v>
      </c>
      <c r="L908" s="0" t="s">
        <v>437</v>
      </c>
      <c r="M908" s="0" t="s">
        <v>457</v>
      </c>
      <c r="R908" s="0" t="s">
        <v>81</v>
      </c>
    </row>
    <row r="909" customFormat="false" ht="15" hidden="false" customHeight="false" outlineLevel="0" collapsed="false">
      <c r="A909" s="0" t="s">
        <v>178</v>
      </c>
      <c r="B909" s="0" t="n">
        <v>2014</v>
      </c>
      <c r="C909" s="0" t="s">
        <v>78</v>
      </c>
      <c r="D909" s="0" t="s">
        <v>79</v>
      </c>
      <c r="E909" s="0" t="n">
        <v>0</v>
      </c>
      <c r="F909" s="0" t="s">
        <v>37</v>
      </c>
      <c r="H909" s="0" t="s">
        <v>457</v>
      </c>
      <c r="I909" s="0" t="s">
        <v>457</v>
      </c>
      <c r="J909" s="0" t="s">
        <v>457</v>
      </c>
      <c r="K909" s="0" t="s">
        <v>457</v>
      </c>
      <c r="L909" s="0" t="s">
        <v>457</v>
      </c>
      <c r="M909" s="0" t="s">
        <v>457</v>
      </c>
      <c r="R909" s="0" t="s">
        <v>81</v>
      </c>
    </row>
    <row r="910" customFormat="false" ht="15" hidden="false" customHeight="false" outlineLevel="0" collapsed="false">
      <c r="A910" s="0" t="s">
        <v>178</v>
      </c>
      <c r="B910" s="0" t="n">
        <v>2014</v>
      </c>
      <c r="C910" s="0" t="s">
        <v>78</v>
      </c>
      <c r="D910" s="0" t="s">
        <v>79</v>
      </c>
      <c r="E910" s="0" t="n">
        <v>0</v>
      </c>
      <c r="F910" s="0" t="s">
        <v>23</v>
      </c>
      <c r="H910" s="0" t="s">
        <v>457</v>
      </c>
      <c r="I910" s="0" t="s">
        <v>457</v>
      </c>
      <c r="J910" s="0" t="s">
        <v>457</v>
      </c>
      <c r="K910" s="0" t="s">
        <v>457</v>
      </c>
      <c r="L910" s="0" t="s">
        <v>457</v>
      </c>
      <c r="M910" s="0" t="s">
        <v>457</v>
      </c>
      <c r="R910" s="0" t="s">
        <v>81</v>
      </c>
    </row>
    <row r="911" customFormat="false" ht="15" hidden="false" customHeight="false" outlineLevel="0" collapsed="false">
      <c r="A911" s="0" t="s">
        <v>178</v>
      </c>
      <c r="B911" s="0" t="n">
        <v>2014</v>
      </c>
      <c r="C911" s="0" t="s">
        <v>78</v>
      </c>
      <c r="D911" s="0" t="s">
        <v>79</v>
      </c>
      <c r="E911" s="0" t="n">
        <v>0</v>
      </c>
      <c r="F911" s="0" t="s">
        <v>45</v>
      </c>
      <c r="H911" s="0" t="s">
        <v>457</v>
      </c>
      <c r="I911" s="0" t="s">
        <v>457</v>
      </c>
      <c r="J911" s="0" t="s">
        <v>457</v>
      </c>
      <c r="K911" s="0" t="s">
        <v>457</v>
      </c>
      <c r="L911" s="0" t="s">
        <v>457</v>
      </c>
      <c r="M911" s="0" t="s">
        <v>457</v>
      </c>
      <c r="R911" s="0" t="s">
        <v>81</v>
      </c>
    </row>
    <row r="912" customFormat="false" ht="15" hidden="false" customHeight="false" outlineLevel="0" collapsed="false">
      <c r="A912" s="0" t="s">
        <v>178</v>
      </c>
      <c r="B912" s="0" t="n">
        <v>2014</v>
      </c>
      <c r="C912" s="0" t="s">
        <v>78</v>
      </c>
      <c r="D912" s="0" t="s">
        <v>79</v>
      </c>
      <c r="E912" s="0" t="n">
        <v>0</v>
      </c>
      <c r="F912" s="0" t="s">
        <v>71</v>
      </c>
      <c r="H912" s="0" t="s">
        <v>457</v>
      </c>
      <c r="I912" s="0" t="s">
        <v>457</v>
      </c>
      <c r="J912" s="0" t="s">
        <v>457</v>
      </c>
      <c r="K912" s="0" t="s">
        <v>457</v>
      </c>
      <c r="L912" s="0" t="s">
        <v>457</v>
      </c>
      <c r="M912" s="0" t="s">
        <v>457</v>
      </c>
      <c r="R912" s="0" t="s">
        <v>81</v>
      </c>
    </row>
    <row r="913" customFormat="false" ht="15" hidden="false" customHeight="false" outlineLevel="0" collapsed="false">
      <c r="A913" s="0" t="s">
        <v>178</v>
      </c>
      <c r="B913" s="0" t="n">
        <v>2014</v>
      </c>
      <c r="C913" s="0" t="s">
        <v>78</v>
      </c>
      <c r="D913" s="0" t="s">
        <v>79</v>
      </c>
      <c r="E913" s="0" t="n">
        <v>0</v>
      </c>
      <c r="F913" s="0" t="s">
        <v>31</v>
      </c>
      <c r="G913" s="0" t="n">
        <v>87.9456982852315</v>
      </c>
      <c r="H913" s="0" t="s">
        <v>437</v>
      </c>
      <c r="I913" s="0" t="s">
        <v>437</v>
      </c>
      <c r="J913" s="0" t="s">
        <v>437</v>
      </c>
      <c r="K913" s="0" t="s">
        <v>437</v>
      </c>
      <c r="L913" s="0" t="s">
        <v>437</v>
      </c>
      <c r="M913" s="0" t="s">
        <v>457</v>
      </c>
      <c r="R913" s="0" t="s">
        <v>81</v>
      </c>
    </row>
    <row r="914" customFormat="false" ht="15" hidden="false" customHeight="false" outlineLevel="0" collapsed="false">
      <c r="A914" s="0" t="s">
        <v>178</v>
      </c>
      <c r="B914" s="0" t="n">
        <v>2015</v>
      </c>
      <c r="C914" s="0" t="s">
        <v>78</v>
      </c>
      <c r="D914" s="0" t="s">
        <v>79</v>
      </c>
      <c r="E914" s="0" t="n">
        <v>0</v>
      </c>
      <c r="F914" s="0" t="s">
        <v>73</v>
      </c>
      <c r="H914" s="0" t="s">
        <v>457</v>
      </c>
      <c r="I914" s="0" t="s">
        <v>457</v>
      </c>
      <c r="J914" s="0" t="s">
        <v>457</v>
      </c>
      <c r="K914" s="0" t="s">
        <v>457</v>
      </c>
      <c r="L914" s="0" t="s">
        <v>457</v>
      </c>
      <c r="M914" s="0" t="s">
        <v>457</v>
      </c>
      <c r="R914" s="0" t="s">
        <v>181</v>
      </c>
    </row>
    <row r="915" customFormat="false" ht="15" hidden="false" customHeight="false" outlineLevel="0" collapsed="false">
      <c r="A915" s="0" t="s">
        <v>178</v>
      </c>
      <c r="B915" s="0" t="n">
        <v>2015</v>
      </c>
      <c r="C915" s="0" t="s">
        <v>78</v>
      </c>
      <c r="D915" s="0" t="s">
        <v>79</v>
      </c>
      <c r="E915" s="0" t="n">
        <v>0</v>
      </c>
      <c r="F915" s="0" t="s">
        <v>69</v>
      </c>
      <c r="G915" s="0" t="n">
        <v>20</v>
      </c>
      <c r="H915" s="0" t="s">
        <v>437</v>
      </c>
      <c r="I915" s="0" t="s">
        <v>437</v>
      </c>
      <c r="J915" s="0" t="s">
        <v>437</v>
      </c>
      <c r="K915" s="0" t="s">
        <v>437</v>
      </c>
      <c r="L915" s="0" t="s">
        <v>437</v>
      </c>
      <c r="M915" s="0" t="s">
        <v>457</v>
      </c>
      <c r="R915" s="0" t="s">
        <v>181</v>
      </c>
    </row>
    <row r="916" customFormat="false" ht="15" hidden="false" customHeight="false" outlineLevel="0" collapsed="false">
      <c r="A916" s="0" t="s">
        <v>178</v>
      </c>
      <c r="B916" s="0" t="n">
        <v>2015</v>
      </c>
      <c r="C916" s="0" t="s">
        <v>78</v>
      </c>
      <c r="D916" s="0" t="s">
        <v>79</v>
      </c>
      <c r="E916" s="0" t="n">
        <v>0</v>
      </c>
      <c r="F916" s="0" t="s">
        <v>25</v>
      </c>
      <c r="G916" s="0" t="n">
        <v>19.9517201656444</v>
      </c>
      <c r="H916" s="0" t="s">
        <v>437</v>
      </c>
      <c r="I916" s="0" t="s">
        <v>437</v>
      </c>
      <c r="J916" s="0" t="s">
        <v>437</v>
      </c>
      <c r="K916" s="0" t="s">
        <v>457</v>
      </c>
      <c r="L916" s="0" t="s">
        <v>437</v>
      </c>
      <c r="M916" s="0" t="s">
        <v>457</v>
      </c>
      <c r="R916" s="0" t="s">
        <v>181</v>
      </c>
    </row>
    <row r="917" customFormat="false" ht="15" hidden="false" customHeight="false" outlineLevel="0" collapsed="false">
      <c r="A917" s="0" t="s">
        <v>178</v>
      </c>
      <c r="B917" s="0" t="n">
        <v>2015</v>
      </c>
      <c r="C917" s="0" t="s">
        <v>78</v>
      </c>
      <c r="D917" s="0" t="s">
        <v>79</v>
      </c>
      <c r="E917" s="0" t="n">
        <v>0</v>
      </c>
      <c r="F917" s="0" t="s">
        <v>41</v>
      </c>
      <c r="G917" s="0" t="n">
        <v>2.09176555559092</v>
      </c>
      <c r="H917" s="0" t="s">
        <v>437</v>
      </c>
      <c r="I917" s="0" t="s">
        <v>437</v>
      </c>
      <c r="J917" s="0" t="s">
        <v>437</v>
      </c>
      <c r="K917" s="0" t="s">
        <v>437</v>
      </c>
      <c r="L917" s="0" t="s">
        <v>437</v>
      </c>
      <c r="M917" s="0" t="s">
        <v>457</v>
      </c>
      <c r="R917" s="0" t="s">
        <v>181</v>
      </c>
    </row>
    <row r="918" customFormat="false" ht="15" hidden="false" customHeight="false" outlineLevel="0" collapsed="false">
      <c r="A918" s="0" t="s">
        <v>178</v>
      </c>
      <c r="B918" s="0" t="n">
        <v>2015</v>
      </c>
      <c r="C918" s="0" t="s">
        <v>78</v>
      </c>
      <c r="D918" s="0" t="s">
        <v>79</v>
      </c>
      <c r="E918" s="0" t="n">
        <v>0</v>
      </c>
      <c r="F918" s="0" t="s">
        <v>27</v>
      </c>
      <c r="G918" s="0" t="n">
        <v>15.260810968729</v>
      </c>
      <c r="H918" s="0" t="s">
        <v>437</v>
      </c>
      <c r="I918" s="0" t="s">
        <v>437</v>
      </c>
      <c r="J918" s="0" t="s">
        <v>437</v>
      </c>
      <c r="K918" s="0" t="s">
        <v>437</v>
      </c>
      <c r="L918" s="0" t="s">
        <v>437</v>
      </c>
      <c r="M918" s="0" t="s">
        <v>457</v>
      </c>
      <c r="R918" s="0" t="s">
        <v>181</v>
      </c>
    </row>
    <row r="919" customFormat="false" ht="15" hidden="false" customHeight="false" outlineLevel="0" collapsed="false">
      <c r="A919" s="0" t="s">
        <v>178</v>
      </c>
      <c r="B919" s="0" t="n">
        <v>2015</v>
      </c>
      <c r="C919" s="0" t="s">
        <v>78</v>
      </c>
      <c r="D919" s="0" t="s">
        <v>79</v>
      </c>
      <c r="E919" s="0" t="n">
        <v>0</v>
      </c>
      <c r="F919" s="0" t="s">
        <v>39</v>
      </c>
      <c r="G919" s="0" t="n">
        <v>2.56445662589637</v>
      </c>
      <c r="H919" s="0" t="s">
        <v>437</v>
      </c>
      <c r="I919" s="0" t="s">
        <v>437</v>
      </c>
      <c r="J919" s="0" t="s">
        <v>437</v>
      </c>
      <c r="K919" s="0" t="s">
        <v>437</v>
      </c>
      <c r="L919" s="0" t="s">
        <v>437</v>
      </c>
      <c r="M919" s="0" t="s">
        <v>457</v>
      </c>
      <c r="R919" s="0" t="s">
        <v>181</v>
      </c>
    </row>
    <row r="920" customFormat="false" ht="15" hidden="false" customHeight="false" outlineLevel="0" collapsed="false">
      <c r="A920" s="0" t="s">
        <v>178</v>
      </c>
      <c r="B920" s="0" t="n">
        <v>2015</v>
      </c>
      <c r="C920" s="0" t="s">
        <v>78</v>
      </c>
      <c r="D920" s="0" t="s">
        <v>79</v>
      </c>
      <c r="E920" s="0" t="n">
        <v>0</v>
      </c>
      <c r="F920" s="0" t="s">
        <v>17</v>
      </c>
      <c r="G920" s="0" t="n">
        <v>1.56065843680488</v>
      </c>
      <c r="H920" s="0" t="s">
        <v>437</v>
      </c>
      <c r="I920" s="0" t="s">
        <v>437</v>
      </c>
      <c r="J920" s="0" t="s">
        <v>437</v>
      </c>
      <c r="K920" s="0" t="s">
        <v>437</v>
      </c>
      <c r="L920" s="0" t="s">
        <v>437</v>
      </c>
      <c r="M920" s="0" t="s">
        <v>457</v>
      </c>
      <c r="R920" s="0" t="s">
        <v>181</v>
      </c>
    </row>
    <row r="921" customFormat="false" ht="15" hidden="false" customHeight="false" outlineLevel="0" collapsed="false">
      <c r="A921" s="0" t="s">
        <v>178</v>
      </c>
      <c r="B921" s="0" t="n">
        <v>2015</v>
      </c>
      <c r="C921" s="0" t="s">
        <v>78</v>
      </c>
      <c r="D921" s="0" t="s">
        <v>79</v>
      </c>
      <c r="E921" s="0" t="n">
        <v>0</v>
      </c>
      <c r="F921" s="0" t="s">
        <v>29</v>
      </c>
      <c r="G921" s="0" t="n">
        <v>0.153275545832835</v>
      </c>
      <c r="H921" s="0" t="s">
        <v>437</v>
      </c>
      <c r="I921" s="0" t="s">
        <v>437</v>
      </c>
      <c r="J921" s="0" t="s">
        <v>437</v>
      </c>
      <c r="K921" s="0" t="s">
        <v>437</v>
      </c>
      <c r="L921" s="0" t="s">
        <v>437</v>
      </c>
      <c r="M921" s="0" t="s">
        <v>457</v>
      </c>
      <c r="R921" s="0" t="s">
        <v>181</v>
      </c>
    </row>
    <row r="922" customFormat="false" ht="15" hidden="false" customHeight="false" outlineLevel="0" collapsed="false">
      <c r="A922" s="0" t="s">
        <v>178</v>
      </c>
      <c r="B922" s="0" t="n">
        <v>2015</v>
      </c>
      <c r="C922" s="0" t="s">
        <v>78</v>
      </c>
      <c r="D922" s="0" t="s">
        <v>79</v>
      </c>
      <c r="E922" s="0" t="n">
        <v>0</v>
      </c>
      <c r="F922" s="0" t="s">
        <v>37</v>
      </c>
      <c r="H922" s="0" t="s">
        <v>457</v>
      </c>
      <c r="I922" s="0" t="s">
        <v>457</v>
      </c>
      <c r="J922" s="0" t="s">
        <v>457</v>
      </c>
      <c r="K922" s="0" t="s">
        <v>457</v>
      </c>
      <c r="L922" s="0" t="s">
        <v>457</v>
      </c>
      <c r="M922" s="0" t="s">
        <v>457</v>
      </c>
      <c r="R922" s="0" t="s">
        <v>181</v>
      </c>
    </row>
    <row r="923" customFormat="false" ht="15" hidden="false" customHeight="false" outlineLevel="0" collapsed="false">
      <c r="A923" s="0" t="s">
        <v>178</v>
      </c>
      <c r="B923" s="0" t="n">
        <v>2015</v>
      </c>
      <c r="C923" s="0" t="s">
        <v>78</v>
      </c>
      <c r="D923" s="0" t="s">
        <v>79</v>
      </c>
      <c r="E923" s="0" t="n">
        <v>0</v>
      </c>
      <c r="F923" s="0" t="s">
        <v>23</v>
      </c>
      <c r="H923" s="0" t="s">
        <v>457</v>
      </c>
      <c r="I923" s="0" t="s">
        <v>457</v>
      </c>
      <c r="J923" s="0" t="s">
        <v>457</v>
      </c>
      <c r="K923" s="0" t="s">
        <v>457</v>
      </c>
      <c r="L923" s="0" t="s">
        <v>457</v>
      </c>
      <c r="M923" s="0" t="s">
        <v>457</v>
      </c>
      <c r="R923" s="0" t="s">
        <v>181</v>
      </c>
    </row>
    <row r="924" customFormat="false" ht="15" hidden="false" customHeight="false" outlineLevel="0" collapsed="false">
      <c r="A924" s="0" t="s">
        <v>178</v>
      </c>
      <c r="B924" s="0" t="n">
        <v>2015</v>
      </c>
      <c r="C924" s="0" t="s">
        <v>78</v>
      </c>
      <c r="D924" s="0" t="s">
        <v>79</v>
      </c>
      <c r="E924" s="0" t="n">
        <v>0</v>
      </c>
      <c r="F924" s="0" t="s">
        <v>45</v>
      </c>
      <c r="H924" s="0" t="s">
        <v>457</v>
      </c>
      <c r="I924" s="0" t="s">
        <v>457</v>
      </c>
      <c r="J924" s="0" t="s">
        <v>457</v>
      </c>
      <c r="K924" s="0" t="s">
        <v>457</v>
      </c>
      <c r="L924" s="0" t="s">
        <v>457</v>
      </c>
      <c r="M924" s="0" t="s">
        <v>457</v>
      </c>
      <c r="R924" s="0" t="s">
        <v>181</v>
      </c>
    </row>
    <row r="925" customFormat="false" ht="15" hidden="false" customHeight="false" outlineLevel="0" collapsed="false">
      <c r="A925" s="0" t="s">
        <v>178</v>
      </c>
      <c r="B925" s="0" t="n">
        <v>2015</v>
      </c>
      <c r="C925" s="0" t="s">
        <v>78</v>
      </c>
      <c r="D925" s="0" t="s">
        <v>79</v>
      </c>
      <c r="E925" s="0" t="n">
        <v>0</v>
      </c>
      <c r="F925" s="0" t="s">
        <v>71</v>
      </c>
      <c r="G925" s="0" t="n">
        <v>52.57</v>
      </c>
      <c r="H925" s="0" t="s">
        <v>437</v>
      </c>
      <c r="I925" s="0" t="s">
        <v>437</v>
      </c>
      <c r="J925" s="0" t="s">
        <v>437</v>
      </c>
      <c r="K925" s="0" t="s">
        <v>457</v>
      </c>
      <c r="L925" s="0" t="s">
        <v>437</v>
      </c>
      <c r="M925" s="0" t="s">
        <v>457</v>
      </c>
      <c r="R925" s="0" t="s">
        <v>181</v>
      </c>
    </row>
    <row r="926" customFormat="false" ht="15" hidden="false" customHeight="false" outlineLevel="0" collapsed="false">
      <c r="A926" s="0" t="s">
        <v>178</v>
      </c>
      <c r="B926" s="0" t="n">
        <v>2015</v>
      </c>
      <c r="C926" s="0" t="s">
        <v>78</v>
      </c>
      <c r="D926" s="0" t="s">
        <v>79</v>
      </c>
      <c r="E926" s="0" t="n">
        <v>0</v>
      </c>
      <c r="F926" s="0" t="s">
        <v>31</v>
      </c>
      <c r="G926" s="0" t="n">
        <v>84.739189031271</v>
      </c>
      <c r="H926" s="0" t="s">
        <v>437</v>
      </c>
      <c r="I926" s="0" t="s">
        <v>437</v>
      </c>
      <c r="J926" s="0" t="s">
        <v>437</v>
      </c>
      <c r="K926" s="0" t="s">
        <v>437</v>
      </c>
      <c r="L926" s="0" t="s">
        <v>437</v>
      </c>
      <c r="M926" s="0" t="s">
        <v>457</v>
      </c>
      <c r="R926" s="0" t="s">
        <v>181</v>
      </c>
    </row>
    <row r="927" customFormat="false" ht="15" hidden="false" customHeight="false" outlineLevel="0" collapsed="false">
      <c r="A927" s="0" t="s">
        <v>178</v>
      </c>
      <c r="B927" s="0" t="n">
        <v>2016</v>
      </c>
      <c r="C927" s="0" t="s">
        <v>78</v>
      </c>
      <c r="D927" s="0" t="s">
        <v>79</v>
      </c>
      <c r="E927" s="0" t="n">
        <v>0</v>
      </c>
      <c r="F927" s="0" t="s">
        <v>73</v>
      </c>
      <c r="H927" s="0" t="s">
        <v>457</v>
      </c>
      <c r="I927" s="0" t="s">
        <v>457</v>
      </c>
      <c r="J927" s="0" t="s">
        <v>457</v>
      </c>
      <c r="K927" s="0" t="s">
        <v>457</v>
      </c>
      <c r="L927" s="0" t="s">
        <v>457</v>
      </c>
      <c r="M927" s="0" t="s">
        <v>457</v>
      </c>
      <c r="R927" s="0" t="s">
        <v>183</v>
      </c>
    </row>
    <row r="928" customFormat="false" ht="15" hidden="false" customHeight="false" outlineLevel="0" collapsed="false">
      <c r="A928" s="0" t="s">
        <v>178</v>
      </c>
      <c r="B928" s="0" t="n">
        <v>2016</v>
      </c>
      <c r="C928" s="0" t="s">
        <v>78</v>
      </c>
      <c r="D928" s="0" t="s">
        <v>79</v>
      </c>
      <c r="E928" s="0" t="n">
        <v>0</v>
      </c>
      <c r="F928" s="0" t="s">
        <v>69</v>
      </c>
      <c r="G928" s="0" t="n">
        <v>20</v>
      </c>
      <c r="H928" s="0" t="s">
        <v>437</v>
      </c>
      <c r="I928" s="0" t="s">
        <v>437</v>
      </c>
      <c r="J928" s="0" t="s">
        <v>437</v>
      </c>
      <c r="K928" s="0" t="s">
        <v>437</v>
      </c>
      <c r="L928" s="0" t="s">
        <v>437</v>
      </c>
      <c r="M928" s="0" t="s">
        <v>457</v>
      </c>
      <c r="R928" s="0" t="s">
        <v>183</v>
      </c>
    </row>
    <row r="929" customFormat="false" ht="15" hidden="false" customHeight="false" outlineLevel="0" collapsed="false">
      <c r="A929" s="0" t="s">
        <v>178</v>
      </c>
      <c r="B929" s="0" t="n">
        <v>2016</v>
      </c>
      <c r="C929" s="0" t="s">
        <v>78</v>
      </c>
      <c r="D929" s="0" t="s">
        <v>79</v>
      </c>
      <c r="E929" s="0" t="n">
        <v>0</v>
      </c>
      <c r="F929" s="0" t="s">
        <v>25</v>
      </c>
      <c r="G929" s="0" t="n">
        <v>19.7028908304746</v>
      </c>
      <c r="H929" s="0" t="s">
        <v>437</v>
      </c>
      <c r="I929" s="0" t="s">
        <v>437</v>
      </c>
      <c r="J929" s="0" t="s">
        <v>437</v>
      </c>
      <c r="K929" s="0" t="s">
        <v>437</v>
      </c>
      <c r="L929" s="0" t="s">
        <v>437</v>
      </c>
      <c r="M929" s="0" t="s">
        <v>457</v>
      </c>
      <c r="R929" s="0" t="s">
        <v>183</v>
      </c>
    </row>
    <row r="930" customFormat="false" ht="15" hidden="false" customHeight="false" outlineLevel="0" collapsed="false">
      <c r="A930" s="0" t="s">
        <v>178</v>
      </c>
      <c r="B930" s="0" t="n">
        <v>2016</v>
      </c>
      <c r="C930" s="0" t="s">
        <v>78</v>
      </c>
      <c r="D930" s="0" t="s">
        <v>79</v>
      </c>
      <c r="E930" s="0" t="n">
        <v>0</v>
      </c>
      <c r="F930" s="0" t="s">
        <v>41</v>
      </c>
      <c r="G930" s="0" t="n">
        <v>1.99923379735833</v>
      </c>
      <c r="H930" s="0" t="s">
        <v>437</v>
      </c>
      <c r="I930" s="0" t="s">
        <v>437</v>
      </c>
      <c r="J930" s="0" t="s">
        <v>437</v>
      </c>
      <c r="K930" s="0" t="s">
        <v>437</v>
      </c>
      <c r="L930" s="0" t="s">
        <v>437</v>
      </c>
      <c r="M930" s="0" t="s">
        <v>457</v>
      </c>
      <c r="R930" s="0" t="s">
        <v>183</v>
      </c>
    </row>
    <row r="931" customFormat="false" ht="15" hidden="false" customHeight="false" outlineLevel="0" collapsed="false">
      <c r="A931" s="0" t="s">
        <v>178</v>
      </c>
      <c r="B931" s="0" t="n">
        <v>2016</v>
      </c>
      <c r="C931" s="0" t="s">
        <v>78</v>
      </c>
      <c r="D931" s="0" t="s">
        <v>79</v>
      </c>
      <c r="E931" s="0" t="n">
        <v>0</v>
      </c>
      <c r="F931" s="0" t="s">
        <v>27</v>
      </c>
      <c r="G931" s="0" t="n">
        <v>15.3922786597023</v>
      </c>
      <c r="H931" s="0" t="s">
        <v>437</v>
      </c>
      <c r="I931" s="0" t="s">
        <v>437</v>
      </c>
      <c r="J931" s="0" t="s">
        <v>437</v>
      </c>
      <c r="K931" s="0" t="s">
        <v>437</v>
      </c>
      <c r="L931" s="0" t="s">
        <v>437</v>
      </c>
      <c r="M931" s="0" t="s">
        <v>457</v>
      </c>
      <c r="R931" s="0" t="s">
        <v>183</v>
      </c>
    </row>
    <row r="932" customFormat="false" ht="15" hidden="false" customHeight="false" outlineLevel="0" collapsed="false">
      <c r="A932" s="0" t="s">
        <v>178</v>
      </c>
      <c r="B932" s="0" t="n">
        <v>2016</v>
      </c>
      <c r="C932" s="0" t="s">
        <v>78</v>
      </c>
      <c r="D932" s="0" t="s">
        <v>79</v>
      </c>
      <c r="E932" s="0" t="n">
        <v>0</v>
      </c>
      <c r="F932" s="0" t="s">
        <v>39</v>
      </c>
      <c r="G932" s="0" t="n">
        <v>-8.97373842548301</v>
      </c>
      <c r="H932" s="0" t="s">
        <v>437</v>
      </c>
      <c r="I932" s="0" t="s">
        <v>437</v>
      </c>
      <c r="J932" s="0" t="s">
        <v>437</v>
      </c>
      <c r="K932" s="0" t="s">
        <v>437</v>
      </c>
      <c r="L932" s="0" t="s">
        <v>437</v>
      </c>
      <c r="M932" s="0" t="s">
        <v>457</v>
      </c>
      <c r="R932" s="0" t="s">
        <v>183</v>
      </c>
    </row>
    <row r="933" customFormat="false" ht="15" hidden="false" customHeight="false" outlineLevel="0" collapsed="false">
      <c r="A933" s="0" t="s">
        <v>178</v>
      </c>
      <c r="B933" s="0" t="n">
        <v>2016</v>
      </c>
      <c r="C933" s="0" t="s">
        <v>78</v>
      </c>
      <c r="D933" s="0" t="s">
        <v>79</v>
      </c>
      <c r="E933" s="0" t="n">
        <v>0</v>
      </c>
      <c r="F933" s="0" t="s">
        <v>17</v>
      </c>
      <c r="G933" s="0" t="n">
        <v>2.65521883838528</v>
      </c>
      <c r="H933" s="0" t="s">
        <v>437</v>
      </c>
      <c r="I933" s="0" t="s">
        <v>437</v>
      </c>
      <c r="J933" s="0" t="s">
        <v>437</v>
      </c>
      <c r="K933" s="0" t="s">
        <v>437</v>
      </c>
      <c r="L933" s="0" t="s">
        <v>437</v>
      </c>
      <c r="M933" s="0" t="s">
        <v>457</v>
      </c>
      <c r="R933" s="0" t="s">
        <v>183</v>
      </c>
    </row>
    <row r="934" customFormat="false" ht="15" hidden="false" customHeight="false" outlineLevel="0" collapsed="false">
      <c r="A934" s="0" t="s">
        <v>178</v>
      </c>
      <c r="B934" s="0" t="n">
        <v>2016</v>
      </c>
      <c r="C934" s="0" t="s">
        <v>78</v>
      </c>
      <c r="D934" s="0" t="s">
        <v>79</v>
      </c>
      <c r="E934" s="0" t="n">
        <v>0</v>
      </c>
      <c r="F934" s="0" t="s">
        <v>29</v>
      </c>
      <c r="G934" s="0" t="n">
        <v>1.07323038519135</v>
      </c>
      <c r="H934" s="0" t="s">
        <v>437</v>
      </c>
      <c r="I934" s="0" t="s">
        <v>437</v>
      </c>
      <c r="J934" s="0" t="s">
        <v>437</v>
      </c>
      <c r="K934" s="0" t="s">
        <v>437</v>
      </c>
      <c r="L934" s="0" t="s">
        <v>437</v>
      </c>
      <c r="M934" s="0" t="s">
        <v>457</v>
      </c>
      <c r="R934" s="0" t="s">
        <v>183</v>
      </c>
    </row>
    <row r="935" customFormat="false" ht="15" hidden="false" customHeight="false" outlineLevel="0" collapsed="false">
      <c r="A935" s="0" t="s">
        <v>178</v>
      </c>
      <c r="B935" s="0" t="n">
        <v>2016</v>
      </c>
      <c r="C935" s="0" t="s">
        <v>78</v>
      </c>
      <c r="D935" s="0" t="s">
        <v>79</v>
      </c>
      <c r="E935" s="0" t="n">
        <v>0</v>
      </c>
      <c r="F935" s="0" t="s">
        <v>37</v>
      </c>
      <c r="H935" s="0" t="s">
        <v>457</v>
      </c>
      <c r="I935" s="0" t="s">
        <v>457</v>
      </c>
      <c r="J935" s="0" t="s">
        <v>457</v>
      </c>
      <c r="K935" s="0" t="s">
        <v>457</v>
      </c>
      <c r="L935" s="0" t="s">
        <v>457</v>
      </c>
      <c r="M935" s="0" t="s">
        <v>457</v>
      </c>
      <c r="R935" s="0" t="s">
        <v>183</v>
      </c>
    </row>
    <row r="936" customFormat="false" ht="15" hidden="false" customHeight="false" outlineLevel="0" collapsed="false">
      <c r="A936" s="0" t="s">
        <v>178</v>
      </c>
      <c r="B936" s="0" t="n">
        <v>2016</v>
      </c>
      <c r="C936" s="0" t="s">
        <v>78</v>
      </c>
      <c r="D936" s="0" t="s">
        <v>79</v>
      </c>
      <c r="E936" s="0" t="n">
        <v>0</v>
      </c>
      <c r="F936" s="0" t="s">
        <v>23</v>
      </c>
      <c r="H936" s="0" t="s">
        <v>457</v>
      </c>
      <c r="I936" s="0" t="s">
        <v>457</v>
      </c>
      <c r="J936" s="0" t="s">
        <v>457</v>
      </c>
      <c r="K936" s="0" t="s">
        <v>457</v>
      </c>
      <c r="L936" s="0" t="s">
        <v>457</v>
      </c>
      <c r="M936" s="0" t="s">
        <v>457</v>
      </c>
      <c r="R936" s="0" t="s">
        <v>183</v>
      </c>
    </row>
    <row r="937" customFormat="false" ht="15" hidden="false" customHeight="false" outlineLevel="0" collapsed="false">
      <c r="A937" s="0" t="s">
        <v>178</v>
      </c>
      <c r="B937" s="0" t="n">
        <v>2016</v>
      </c>
      <c r="C937" s="0" t="s">
        <v>78</v>
      </c>
      <c r="D937" s="0" t="s">
        <v>79</v>
      </c>
      <c r="E937" s="0" t="n">
        <v>0</v>
      </c>
      <c r="F937" s="0" t="s">
        <v>45</v>
      </c>
      <c r="H937" s="0" t="s">
        <v>457</v>
      </c>
      <c r="I937" s="0" t="s">
        <v>457</v>
      </c>
      <c r="J937" s="0" t="s">
        <v>457</v>
      </c>
      <c r="K937" s="0" t="s">
        <v>457</v>
      </c>
      <c r="L937" s="0" t="s">
        <v>457</v>
      </c>
      <c r="M937" s="0" t="s">
        <v>457</v>
      </c>
      <c r="R937" s="0" t="s">
        <v>183</v>
      </c>
    </row>
    <row r="938" customFormat="false" ht="15" hidden="false" customHeight="false" outlineLevel="0" collapsed="false">
      <c r="A938" s="0" t="s">
        <v>178</v>
      </c>
      <c r="B938" s="0" t="n">
        <v>2016</v>
      </c>
      <c r="C938" s="0" t="s">
        <v>78</v>
      </c>
      <c r="D938" s="0" t="s">
        <v>79</v>
      </c>
      <c r="E938" s="0" t="n">
        <v>0</v>
      </c>
      <c r="F938" s="0" t="s">
        <v>71</v>
      </c>
      <c r="G938" s="0" t="n">
        <v>38.57</v>
      </c>
      <c r="H938" s="0" t="s">
        <v>437</v>
      </c>
      <c r="I938" s="0" t="s">
        <v>437</v>
      </c>
      <c r="J938" s="0" t="s">
        <v>437</v>
      </c>
      <c r="K938" s="0" t="s">
        <v>437</v>
      </c>
      <c r="L938" s="0" t="s">
        <v>437</v>
      </c>
      <c r="M938" s="0" t="s">
        <v>457</v>
      </c>
      <c r="R938" s="0" t="s">
        <v>183</v>
      </c>
    </row>
    <row r="939" customFormat="false" ht="15" hidden="false" customHeight="false" outlineLevel="0" collapsed="false">
      <c r="A939" s="0" t="s">
        <v>178</v>
      </c>
      <c r="B939" s="0" t="n">
        <v>2016</v>
      </c>
      <c r="C939" s="0" t="s">
        <v>78</v>
      </c>
      <c r="D939" s="0" t="s">
        <v>79</v>
      </c>
      <c r="E939" s="0" t="n">
        <v>0</v>
      </c>
      <c r="F939" s="0" t="s">
        <v>31</v>
      </c>
      <c r="G939" s="0" t="n">
        <v>84.6077213402977</v>
      </c>
      <c r="H939" s="0" t="s">
        <v>437</v>
      </c>
      <c r="I939" s="0" t="s">
        <v>437</v>
      </c>
      <c r="J939" s="0" t="s">
        <v>437</v>
      </c>
      <c r="K939" s="0" t="s">
        <v>437</v>
      </c>
      <c r="L939" s="0" t="s">
        <v>437</v>
      </c>
      <c r="M939" s="0" t="s">
        <v>457</v>
      </c>
      <c r="R939" s="0" t="s">
        <v>183</v>
      </c>
    </row>
    <row r="940" customFormat="false" ht="15" hidden="false" customHeight="false" outlineLevel="0" collapsed="false">
      <c r="A940" s="0" t="s">
        <v>178</v>
      </c>
      <c r="B940" s="0" t="n">
        <v>2017</v>
      </c>
      <c r="C940" s="0" t="s">
        <v>78</v>
      </c>
      <c r="D940" s="0" t="s">
        <v>79</v>
      </c>
      <c r="E940" s="0" t="n">
        <v>0</v>
      </c>
      <c r="F940" s="0" t="s">
        <v>73</v>
      </c>
      <c r="H940" s="0" t="s">
        <v>457</v>
      </c>
      <c r="I940" s="0" t="s">
        <v>457</v>
      </c>
      <c r="J940" s="0" t="s">
        <v>457</v>
      </c>
      <c r="K940" s="0" t="s">
        <v>457</v>
      </c>
      <c r="L940" s="0" t="s">
        <v>457</v>
      </c>
      <c r="M940" s="0" t="s">
        <v>457</v>
      </c>
      <c r="R940" s="0" t="s">
        <v>81</v>
      </c>
    </row>
    <row r="941" customFormat="false" ht="15" hidden="false" customHeight="false" outlineLevel="0" collapsed="false">
      <c r="A941" s="0" t="s">
        <v>178</v>
      </c>
      <c r="B941" s="0" t="n">
        <v>2017</v>
      </c>
      <c r="C941" s="0" t="s">
        <v>78</v>
      </c>
      <c r="D941" s="0" t="s">
        <v>79</v>
      </c>
      <c r="E941" s="0" t="n">
        <v>0</v>
      </c>
      <c r="F941" s="0" t="s">
        <v>69</v>
      </c>
      <c r="G941" s="0" t="n">
        <v>20</v>
      </c>
      <c r="H941" s="0" t="s">
        <v>437</v>
      </c>
      <c r="I941" s="0" t="s">
        <v>437</v>
      </c>
      <c r="J941" s="0" t="s">
        <v>437</v>
      </c>
      <c r="K941" s="0" t="s">
        <v>437</v>
      </c>
      <c r="L941" s="0" t="s">
        <v>437</v>
      </c>
      <c r="M941" s="0" t="s">
        <v>457</v>
      </c>
      <c r="R941" s="0" t="s">
        <v>81</v>
      </c>
    </row>
    <row r="942" customFormat="false" ht="15" hidden="false" customHeight="false" outlineLevel="0" collapsed="false">
      <c r="A942" s="0" t="s">
        <v>178</v>
      </c>
      <c r="B942" s="0" t="n">
        <v>2017</v>
      </c>
      <c r="C942" s="0" t="s">
        <v>78</v>
      </c>
      <c r="D942" s="0" t="s">
        <v>79</v>
      </c>
      <c r="E942" s="0" t="n">
        <v>0</v>
      </c>
      <c r="F942" s="0" t="s">
        <v>25</v>
      </c>
      <c r="G942" s="0" t="n">
        <v>20.1588507351668</v>
      </c>
      <c r="H942" s="0" t="s">
        <v>437</v>
      </c>
      <c r="I942" s="0" t="s">
        <v>437</v>
      </c>
      <c r="J942" s="0" t="s">
        <v>437</v>
      </c>
      <c r="K942" s="0" t="s">
        <v>437</v>
      </c>
      <c r="L942" s="0" t="s">
        <v>437</v>
      </c>
      <c r="M942" s="0" t="s">
        <v>457</v>
      </c>
      <c r="R942" s="0" t="s">
        <v>81</v>
      </c>
    </row>
    <row r="943" customFormat="false" ht="15" hidden="false" customHeight="false" outlineLevel="0" collapsed="false">
      <c r="A943" s="0" t="s">
        <v>178</v>
      </c>
      <c r="B943" s="0" t="n">
        <v>2017</v>
      </c>
      <c r="C943" s="0" t="s">
        <v>78</v>
      </c>
      <c r="D943" s="0" t="s">
        <v>79</v>
      </c>
      <c r="E943" s="0" t="n">
        <v>0</v>
      </c>
      <c r="F943" s="0" t="s">
        <v>41</v>
      </c>
      <c r="G943" s="0" t="n">
        <v>1.51317457233609</v>
      </c>
      <c r="H943" s="0" t="s">
        <v>437</v>
      </c>
      <c r="I943" s="0" t="s">
        <v>437</v>
      </c>
      <c r="J943" s="0" t="s">
        <v>437</v>
      </c>
      <c r="K943" s="0" t="s">
        <v>437</v>
      </c>
      <c r="L943" s="0" t="s">
        <v>437</v>
      </c>
      <c r="M943" s="0" t="s">
        <v>457</v>
      </c>
      <c r="R943" s="0" t="s">
        <v>81</v>
      </c>
    </row>
    <row r="944" customFormat="false" ht="15" hidden="false" customHeight="false" outlineLevel="0" collapsed="false">
      <c r="A944" s="0" t="s">
        <v>178</v>
      </c>
      <c r="B944" s="0" t="n">
        <v>2017</v>
      </c>
      <c r="C944" s="0" t="s">
        <v>78</v>
      </c>
      <c r="D944" s="0" t="s">
        <v>79</v>
      </c>
      <c r="E944" s="0" t="n">
        <v>0</v>
      </c>
      <c r="F944" s="0" t="s">
        <v>27</v>
      </c>
      <c r="G944" s="0" t="n">
        <v>13.6727077254926</v>
      </c>
      <c r="H944" s="0" t="s">
        <v>437</v>
      </c>
      <c r="I944" s="0" t="s">
        <v>437</v>
      </c>
      <c r="J944" s="0" t="s">
        <v>437</v>
      </c>
      <c r="K944" s="0" t="s">
        <v>437</v>
      </c>
      <c r="L944" s="0" t="s">
        <v>437</v>
      </c>
      <c r="M944" s="0" t="s">
        <v>457</v>
      </c>
      <c r="R944" s="0" t="s">
        <v>81</v>
      </c>
    </row>
    <row r="945" customFormat="false" ht="15" hidden="false" customHeight="false" outlineLevel="0" collapsed="false">
      <c r="A945" s="0" t="s">
        <v>178</v>
      </c>
      <c r="B945" s="0" t="n">
        <v>2017</v>
      </c>
      <c r="C945" s="0" t="s">
        <v>78</v>
      </c>
      <c r="D945" s="0" t="s">
        <v>79</v>
      </c>
      <c r="E945" s="0" t="n">
        <v>0</v>
      </c>
      <c r="F945" s="0" t="s">
        <v>39</v>
      </c>
      <c r="G945" s="0" t="n">
        <v>2.16218448952199</v>
      </c>
      <c r="H945" s="0" t="s">
        <v>437</v>
      </c>
      <c r="I945" s="0" t="s">
        <v>437</v>
      </c>
      <c r="J945" s="0" t="s">
        <v>437</v>
      </c>
      <c r="K945" s="0" t="s">
        <v>437</v>
      </c>
      <c r="L945" s="0" t="s">
        <v>437</v>
      </c>
      <c r="M945" s="0" t="s">
        <v>457</v>
      </c>
      <c r="R945" s="0" t="s">
        <v>81</v>
      </c>
    </row>
    <row r="946" customFormat="false" ht="15" hidden="false" customHeight="false" outlineLevel="0" collapsed="false">
      <c r="A946" s="0" t="s">
        <v>178</v>
      </c>
      <c r="B946" s="0" t="n">
        <v>2017</v>
      </c>
      <c r="C946" s="0" t="s">
        <v>78</v>
      </c>
      <c r="D946" s="0" t="s">
        <v>79</v>
      </c>
      <c r="E946" s="0" t="n">
        <v>0</v>
      </c>
      <c r="F946" s="0" t="s">
        <v>17</v>
      </c>
      <c r="G946" s="0" t="n">
        <v>2.5914418984645</v>
      </c>
      <c r="H946" s="0" t="s">
        <v>437</v>
      </c>
      <c r="I946" s="0" t="s">
        <v>437</v>
      </c>
      <c r="J946" s="0" t="s">
        <v>437</v>
      </c>
      <c r="K946" s="0" t="s">
        <v>437</v>
      </c>
      <c r="L946" s="0" t="s">
        <v>437</v>
      </c>
      <c r="M946" s="0" t="s">
        <v>457</v>
      </c>
      <c r="R946" s="0" t="s">
        <v>81</v>
      </c>
    </row>
    <row r="947" customFormat="false" ht="15" hidden="false" customHeight="false" outlineLevel="0" collapsed="false">
      <c r="A947" s="0" t="s">
        <v>178</v>
      </c>
      <c r="B947" s="0" t="n">
        <v>2017</v>
      </c>
      <c r="C947" s="0" t="s">
        <v>78</v>
      </c>
      <c r="D947" s="0" t="s">
        <v>79</v>
      </c>
      <c r="E947" s="0" t="n">
        <v>0</v>
      </c>
      <c r="F947" s="0" t="s">
        <v>29</v>
      </c>
      <c r="G947" s="0" t="n">
        <v>1.11243699294387</v>
      </c>
      <c r="H947" s="0" t="s">
        <v>437</v>
      </c>
      <c r="I947" s="0" t="s">
        <v>437</v>
      </c>
      <c r="J947" s="0" t="s">
        <v>437</v>
      </c>
      <c r="K947" s="0" t="s">
        <v>437</v>
      </c>
      <c r="L947" s="0" t="s">
        <v>437</v>
      </c>
      <c r="M947" s="0" t="s">
        <v>457</v>
      </c>
      <c r="R947" s="0" t="s">
        <v>81</v>
      </c>
    </row>
    <row r="948" customFormat="false" ht="15" hidden="false" customHeight="false" outlineLevel="0" collapsed="false">
      <c r="A948" s="0" t="s">
        <v>178</v>
      </c>
      <c r="B948" s="0" t="n">
        <v>2017</v>
      </c>
      <c r="C948" s="0" t="s">
        <v>78</v>
      </c>
      <c r="D948" s="0" t="s">
        <v>79</v>
      </c>
      <c r="E948" s="0" t="n">
        <v>0</v>
      </c>
      <c r="F948" s="0" t="s">
        <v>37</v>
      </c>
      <c r="H948" s="0" t="s">
        <v>457</v>
      </c>
      <c r="I948" s="0" t="s">
        <v>457</v>
      </c>
      <c r="J948" s="0" t="s">
        <v>457</v>
      </c>
      <c r="K948" s="0" t="s">
        <v>457</v>
      </c>
      <c r="L948" s="0" t="s">
        <v>457</v>
      </c>
      <c r="M948" s="0" t="s">
        <v>457</v>
      </c>
      <c r="R948" s="0" t="s">
        <v>81</v>
      </c>
    </row>
    <row r="949" customFormat="false" ht="15" hidden="false" customHeight="false" outlineLevel="0" collapsed="false">
      <c r="A949" s="0" t="s">
        <v>178</v>
      </c>
      <c r="B949" s="0" t="n">
        <v>2017</v>
      </c>
      <c r="C949" s="0" t="s">
        <v>78</v>
      </c>
      <c r="D949" s="0" t="s">
        <v>79</v>
      </c>
      <c r="E949" s="0" t="n">
        <v>0</v>
      </c>
      <c r="F949" s="0" t="s">
        <v>23</v>
      </c>
      <c r="H949" s="0" t="s">
        <v>457</v>
      </c>
      <c r="I949" s="0" t="s">
        <v>457</v>
      </c>
      <c r="J949" s="0" t="s">
        <v>457</v>
      </c>
      <c r="K949" s="0" t="s">
        <v>457</v>
      </c>
      <c r="L949" s="0" t="s">
        <v>457</v>
      </c>
      <c r="M949" s="0" t="s">
        <v>457</v>
      </c>
      <c r="R949" s="0" t="s">
        <v>81</v>
      </c>
    </row>
    <row r="950" customFormat="false" ht="15" hidden="false" customHeight="false" outlineLevel="0" collapsed="false">
      <c r="A950" s="0" t="s">
        <v>178</v>
      </c>
      <c r="B950" s="0" t="n">
        <v>2017</v>
      </c>
      <c r="C950" s="0" t="s">
        <v>78</v>
      </c>
      <c r="D950" s="0" t="s">
        <v>79</v>
      </c>
      <c r="E950" s="0" t="n">
        <v>0</v>
      </c>
      <c r="F950" s="0" t="s">
        <v>45</v>
      </c>
      <c r="H950" s="0" t="s">
        <v>457</v>
      </c>
      <c r="I950" s="0" t="s">
        <v>457</v>
      </c>
      <c r="J950" s="0" t="s">
        <v>457</v>
      </c>
      <c r="K950" s="0" t="s">
        <v>457</v>
      </c>
      <c r="L950" s="0" t="s">
        <v>457</v>
      </c>
      <c r="M950" s="0" t="s">
        <v>457</v>
      </c>
      <c r="R950" s="0" t="s">
        <v>81</v>
      </c>
    </row>
    <row r="951" customFormat="false" ht="15" hidden="false" customHeight="false" outlineLevel="0" collapsed="false">
      <c r="A951" s="0" t="s">
        <v>178</v>
      </c>
      <c r="B951" s="0" t="n">
        <v>2017</v>
      </c>
      <c r="C951" s="0" t="s">
        <v>78</v>
      </c>
      <c r="D951" s="0" t="s">
        <v>79</v>
      </c>
      <c r="E951" s="0" t="n">
        <v>0</v>
      </c>
      <c r="F951" s="0" t="s">
        <v>71</v>
      </c>
      <c r="G951" s="0" t="n">
        <v>49.69</v>
      </c>
      <c r="H951" s="0" t="s">
        <v>437</v>
      </c>
      <c r="I951" s="0" t="s">
        <v>437</v>
      </c>
      <c r="J951" s="0" t="s">
        <v>437</v>
      </c>
      <c r="K951" s="0" t="s">
        <v>437</v>
      </c>
      <c r="L951" s="0" t="s">
        <v>437</v>
      </c>
      <c r="M951" s="0" t="s">
        <v>457</v>
      </c>
      <c r="R951" s="0" t="s">
        <v>81</v>
      </c>
    </row>
    <row r="952" customFormat="false" ht="15" hidden="false" customHeight="false" outlineLevel="0" collapsed="false">
      <c r="A952" s="0" t="s">
        <v>178</v>
      </c>
      <c r="B952" s="0" t="n">
        <v>2017</v>
      </c>
      <c r="C952" s="0" t="s">
        <v>78</v>
      </c>
      <c r="D952" s="0" t="s">
        <v>79</v>
      </c>
      <c r="E952" s="0" t="n">
        <v>0</v>
      </c>
      <c r="F952" s="0" t="s">
        <v>31</v>
      </c>
      <c r="G952" s="0" t="n">
        <v>86.3272922745074</v>
      </c>
      <c r="H952" s="0" t="s">
        <v>437</v>
      </c>
      <c r="I952" s="0" t="s">
        <v>437</v>
      </c>
      <c r="J952" s="0" t="s">
        <v>437</v>
      </c>
      <c r="K952" s="0" t="s">
        <v>437</v>
      </c>
      <c r="L952" s="0" t="s">
        <v>437</v>
      </c>
      <c r="M952" s="0" t="s">
        <v>457</v>
      </c>
      <c r="R952" s="0" t="s">
        <v>81</v>
      </c>
    </row>
    <row r="953" customFormat="false" ht="15" hidden="false" customHeight="false" outlineLevel="0" collapsed="false">
      <c r="A953" s="0" t="s">
        <v>178</v>
      </c>
      <c r="B953" s="0" t="n">
        <v>2018</v>
      </c>
      <c r="C953" s="0" t="s">
        <v>78</v>
      </c>
      <c r="D953" s="0" t="s">
        <v>90</v>
      </c>
      <c r="E953" s="0" t="n">
        <v>1</v>
      </c>
      <c r="F953" s="0" t="s">
        <v>73</v>
      </c>
      <c r="H953" s="0" t="s">
        <v>457</v>
      </c>
      <c r="I953" s="0" t="s">
        <v>457</v>
      </c>
      <c r="J953" s="0" t="s">
        <v>457</v>
      </c>
      <c r="K953" s="0" t="s">
        <v>457</v>
      </c>
      <c r="L953" s="0" t="s">
        <v>457</v>
      </c>
      <c r="M953" s="0" t="s">
        <v>457</v>
      </c>
      <c r="R953" s="0" t="s">
        <v>81</v>
      </c>
    </row>
    <row r="954" customFormat="false" ht="15" hidden="false" customHeight="false" outlineLevel="0" collapsed="false">
      <c r="A954" s="0" t="s">
        <v>178</v>
      </c>
      <c r="B954" s="0" t="n">
        <v>2018</v>
      </c>
      <c r="C954" s="0" t="s">
        <v>78</v>
      </c>
      <c r="D954" s="0" t="s">
        <v>90</v>
      </c>
      <c r="E954" s="0" t="n">
        <v>1</v>
      </c>
      <c r="F954" s="0" t="s">
        <v>69</v>
      </c>
      <c r="G954" s="0" t="n">
        <v>20</v>
      </c>
      <c r="H954" s="0" t="s">
        <v>437</v>
      </c>
      <c r="I954" s="0" t="s">
        <v>437</v>
      </c>
      <c r="J954" s="0" t="s">
        <v>437</v>
      </c>
      <c r="K954" s="0" t="s">
        <v>437</v>
      </c>
      <c r="L954" s="0" t="s">
        <v>437</v>
      </c>
      <c r="M954" s="0" t="s">
        <v>457</v>
      </c>
      <c r="R954" s="0" t="s">
        <v>81</v>
      </c>
    </row>
    <row r="955" customFormat="false" ht="15" hidden="false" customHeight="false" outlineLevel="0" collapsed="false">
      <c r="A955" s="0" t="s">
        <v>178</v>
      </c>
      <c r="B955" s="0" t="n">
        <v>2018</v>
      </c>
      <c r="C955" s="0" t="s">
        <v>78</v>
      </c>
      <c r="D955" s="0" t="s">
        <v>90</v>
      </c>
      <c r="E955" s="0" t="n">
        <v>1</v>
      </c>
      <c r="F955" s="0" t="s">
        <v>25</v>
      </c>
      <c r="G955" s="0" t="n">
        <v>19.6620128489262</v>
      </c>
      <c r="H955" s="0" t="s">
        <v>437</v>
      </c>
      <c r="I955" s="0" t="s">
        <v>437</v>
      </c>
      <c r="J955" s="0" t="s">
        <v>437</v>
      </c>
      <c r="K955" s="0" t="s">
        <v>437</v>
      </c>
      <c r="L955" s="0" t="s">
        <v>437</v>
      </c>
      <c r="M955" s="0" t="s">
        <v>457</v>
      </c>
      <c r="R955" s="0" t="s">
        <v>81</v>
      </c>
    </row>
    <row r="956" customFormat="false" ht="15" hidden="false" customHeight="false" outlineLevel="0" collapsed="false">
      <c r="A956" s="0" t="s">
        <v>178</v>
      </c>
      <c r="B956" s="0" t="n">
        <v>2018</v>
      </c>
      <c r="C956" s="0" t="s">
        <v>78</v>
      </c>
      <c r="D956" s="0" t="s">
        <v>90</v>
      </c>
      <c r="E956" s="0" t="n">
        <v>1</v>
      </c>
      <c r="F956" s="0" t="s">
        <v>41</v>
      </c>
      <c r="G956" s="0" t="n">
        <v>1.25850607629986</v>
      </c>
      <c r="H956" s="0" t="s">
        <v>437</v>
      </c>
      <c r="I956" s="0" t="s">
        <v>437</v>
      </c>
      <c r="J956" s="0" t="s">
        <v>437</v>
      </c>
      <c r="K956" s="0" t="s">
        <v>437</v>
      </c>
      <c r="L956" s="0" t="s">
        <v>437</v>
      </c>
      <c r="M956" s="0" t="s">
        <v>457</v>
      </c>
      <c r="R956" s="0" t="s">
        <v>81</v>
      </c>
    </row>
    <row r="957" customFormat="false" ht="15" hidden="false" customHeight="false" outlineLevel="0" collapsed="false">
      <c r="A957" s="0" t="s">
        <v>178</v>
      </c>
      <c r="B957" s="0" t="n">
        <v>2018</v>
      </c>
      <c r="C957" s="0" t="s">
        <v>78</v>
      </c>
      <c r="D957" s="0" t="s">
        <v>90</v>
      </c>
      <c r="E957" s="0" t="n">
        <v>1</v>
      </c>
      <c r="F957" s="0" t="s">
        <v>27</v>
      </c>
      <c r="G957" s="0" t="n">
        <v>10.1522427084305</v>
      </c>
      <c r="H957" s="0" t="s">
        <v>437</v>
      </c>
      <c r="I957" s="0" t="s">
        <v>437</v>
      </c>
      <c r="J957" s="0" t="s">
        <v>437</v>
      </c>
      <c r="K957" s="0" t="s">
        <v>437</v>
      </c>
      <c r="L957" s="0" t="s">
        <v>437</v>
      </c>
      <c r="M957" s="0" t="s">
        <v>457</v>
      </c>
      <c r="R957" s="0" t="s">
        <v>81</v>
      </c>
    </row>
    <row r="958" customFormat="false" ht="15" hidden="false" customHeight="false" outlineLevel="0" collapsed="false">
      <c r="A958" s="0" t="s">
        <v>178</v>
      </c>
      <c r="B958" s="0" t="n">
        <v>2018</v>
      </c>
      <c r="C958" s="0" t="s">
        <v>78</v>
      </c>
      <c r="D958" s="0" t="s">
        <v>90</v>
      </c>
      <c r="E958" s="0" t="n">
        <v>1</v>
      </c>
      <c r="F958" s="0" t="s">
        <v>39</v>
      </c>
      <c r="G958" s="0" t="n">
        <v>14.981333350503</v>
      </c>
      <c r="H958" s="0" t="s">
        <v>437</v>
      </c>
      <c r="I958" s="0" t="s">
        <v>437</v>
      </c>
      <c r="J958" s="0" t="s">
        <v>437</v>
      </c>
      <c r="K958" s="0" t="s">
        <v>437</v>
      </c>
      <c r="L958" s="0" t="s">
        <v>437</v>
      </c>
      <c r="M958" s="0" t="s">
        <v>457</v>
      </c>
      <c r="R958" s="0" t="s">
        <v>81</v>
      </c>
    </row>
    <row r="959" customFormat="false" ht="15" hidden="false" customHeight="false" outlineLevel="0" collapsed="false">
      <c r="A959" s="0" t="s">
        <v>178</v>
      </c>
      <c r="B959" s="0" t="n">
        <v>2018</v>
      </c>
      <c r="C959" s="0" t="s">
        <v>78</v>
      </c>
      <c r="D959" s="0" t="s">
        <v>90</v>
      </c>
      <c r="E959" s="0" t="n">
        <v>1</v>
      </c>
      <c r="F959" s="0" t="s">
        <v>17</v>
      </c>
      <c r="G959" s="0" t="n">
        <v>4.73357130299377</v>
      </c>
      <c r="H959" s="0" t="s">
        <v>437</v>
      </c>
      <c r="I959" s="0" t="s">
        <v>437</v>
      </c>
      <c r="J959" s="0" t="s">
        <v>437</v>
      </c>
      <c r="K959" s="0" t="s">
        <v>437</v>
      </c>
      <c r="L959" s="0" t="s">
        <v>437</v>
      </c>
      <c r="M959" s="0" t="s">
        <v>457</v>
      </c>
      <c r="R959" s="0" t="s">
        <v>81</v>
      </c>
    </row>
    <row r="960" customFormat="false" ht="15" hidden="false" customHeight="false" outlineLevel="0" collapsed="false">
      <c r="A960" s="0" t="s">
        <v>178</v>
      </c>
      <c r="B960" s="0" t="n">
        <v>2018</v>
      </c>
      <c r="C960" s="0" t="s">
        <v>78</v>
      </c>
      <c r="D960" s="0" t="s">
        <v>90</v>
      </c>
      <c r="E960" s="0" t="n">
        <v>1</v>
      </c>
      <c r="F960" s="0" t="s">
        <v>29</v>
      </c>
      <c r="G960" s="0" t="n">
        <v>0.130520144390784</v>
      </c>
      <c r="H960" s="0" t="s">
        <v>437</v>
      </c>
      <c r="I960" s="0" t="s">
        <v>437</v>
      </c>
      <c r="J960" s="0" t="s">
        <v>437</v>
      </c>
      <c r="K960" s="0" t="s">
        <v>437</v>
      </c>
      <c r="L960" s="0" t="s">
        <v>437</v>
      </c>
      <c r="M960" s="0" t="s">
        <v>457</v>
      </c>
      <c r="R960" s="0" t="s">
        <v>81</v>
      </c>
    </row>
    <row r="961" customFormat="false" ht="15" hidden="false" customHeight="false" outlineLevel="0" collapsed="false">
      <c r="A961" s="0" t="s">
        <v>178</v>
      </c>
      <c r="B961" s="0" t="n">
        <v>2018</v>
      </c>
      <c r="C961" s="0" t="s">
        <v>78</v>
      </c>
      <c r="D961" s="0" t="s">
        <v>90</v>
      </c>
      <c r="E961" s="0" t="n">
        <v>1</v>
      </c>
      <c r="F961" s="0" t="s">
        <v>37</v>
      </c>
      <c r="H961" s="0" t="s">
        <v>457</v>
      </c>
      <c r="I961" s="0" t="s">
        <v>457</v>
      </c>
      <c r="J961" s="0" t="s">
        <v>457</v>
      </c>
      <c r="K961" s="0" t="s">
        <v>457</v>
      </c>
      <c r="L961" s="0" t="s">
        <v>457</v>
      </c>
      <c r="M961" s="0" t="s">
        <v>457</v>
      </c>
      <c r="R961" s="0" t="s">
        <v>81</v>
      </c>
    </row>
    <row r="962" customFormat="false" ht="15" hidden="false" customHeight="false" outlineLevel="0" collapsed="false">
      <c r="A962" s="0" t="s">
        <v>178</v>
      </c>
      <c r="B962" s="0" t="n">
        <v>2018</v>
      </c>
      <c r="C962" s="0" t="s">
        <v>78</v>
      </c>
      <c r="D962" s="0" t="s">
        <v>90</v>
      </c>
      <c r="E962" s="0" t="n">
        <v>1</v>
      </c>
      <c r="F962" s="0" t="s">
        <v>23</v>
      </c>
      <c r="H962" s="0" t="s">
        <v>457</v>
      </c>
      <c r="I962" s="0" t="s">
        <v>457</v>
      </c>
      <c r="J962" s="0" t="s">
        <v>457</v>
      </c>
      <c r="K962" s="0" t="s">
        <v>457</v>
      </c>
      <c r="L962" s="0" t="s">
        <v>457</v>
      </c>
      <c r="M962" s="0" t="s">
        <v>457</v>
      </c>
      <c r="R962" s="0" t="s">
        <v>81</v>
      </c>
    </row>
    <row r="963" customFormat="false" ht="15" hidden="false" customHeight="false" outlineLevel="0" collapsed="false">
      <c r="A963" s="0" t="s">
        <v>178</v>
      </c>
      <c r="B963" s="0" t="n">
        <v>2018</v>
      </c>
      <c r="C963" s="0" t="s">
        <v>78</v>
      </c>
      <c r="D963" s="0" t="s">
        <v>90</v>
      </c>
      <c r="E963" s="0" t="n">
        <v>1</v>
      </c>
      <c r="F963" s="0" t="s">
        <v>45</v>
      </c>
      <c r="H963" s="0" t="s">
        <v>457</v>
      </c>
      <c r="I963" s="0" t="s">
        <v>457</v>
      </c>
      <c r="J963" s="0" t="s">
        <v>457</v>
      </c>
      <c r="K963" s="0" t="s">
        <v>457</v>
      </c>
      <c r="L963" s="0" t="s">
        <v>457</v>
      </c>
      <c r="M963" s="0" t="s">
        <v>457</v>
      </c>
      <c r="R963" s="0" t="s">
        <v>81</v>
      </c>
    </row>
    <row r="964" customFormat="false" ht="15" hidden="false" customHeight="false" outlineLevel="0" collapsed="false">
      <c r="A964" s="0" t="s">
        <v>178</v>
      </c>
      <c r="B964" s="0" t="n">
        <v>2018</v>
      </c>
      <c r="C964" s="0" t="s">
        <v>78</v>
      </c>
      <c r="D964" s="0" t="s">
        <v>90</v>
      </c>
      <c r="E964" s="0" t="n">
        <v>1</v>
      </c>
      <c r="F964" s="0" t="s">
        <v>71</v>
      </c>
      <c r="G964" s="0" t="n">
        <v>55.84</v>
      </c>
      <c r="H964" s="0" t="s">
        <v>437</v>
      </c>
      <c r="I964" s="0" t="s">
        <v>437</v>
      </c>
      <c r="J964" s="0" t="s">
        <v>437</v>
      </c>
      <c r="K964" s="0" t="s">
        <v>437</v>
      </c>
      <c r="L964" s="0" t="s">
        <v>437</v>
      </c>
      <c r="M964" s="0" t="s">
        <v>457</v>
      </c>
      <c r="R964" s="0" t="s">
        <v>81</v>
      </c>
    </row>
    <row r="965" customFormat="false" ht="15" hidden="false" customHeight="false" outlineLevel="0" collapsed="false">
      <c r="A965" s="0" t="s">
        <v>178</v>
      </c>
      <c r="B965" s="0" t="n">
        <v>2018</v>
      </c>
      <c r="C965" s="0" t="s">
        <v>78</v>
      </c>
      <c r="D965" s="0" t="s">
        <v>90</v>
      </c>
      <c r="E965" s="0" t="n">
        <v>1</v>
      </c>
      <c r="F965" s="0" t="s">
        <v>31</v>
      </c>
      <c r="G965" s="0" t="n">
        <v>89.8477572915695</v>
      </c>
      <c r="H965" s="0" t="s">
        <v>437</v>
      </c>
      <c r="I965" s="0" t="s">
        <v>437</v>
      </c>
      <c r="J965" s="0" t="s">
        <v>437</v>
      </c>
      <c r="K965" s="0" t="s">
        <v>437</v>
      </c>
      <c r="L965" s="0" t="s">
        <v>437</v>
      </c>
      <c r="M965" s="0" t="s">
        <v>457</v>
      </c>
      <c r="R965" s="0" t="s">
        <v>81</v>
      </c>
    </row>
    <row r="966" customFormat="false" ht="15" hidden="false" customHeight="false" outlineLevel="0" collapsed="false">
      <c r="A966" s="0" t="s">
        <v>178</v>
      </c>
      <c r="B966" s="0" t="n">
        <v>2019</v>
      </c>
      <c r="C966" s="0" t="s">
        <v>78</v>
      </c>
      <c r="D966" s="0" t="s">
        <v>90</v>
      </c>
      <c r="E966" s="0" t="n">
        <v>1</v>
      </c>
      <c r="F966" s="0" t="s">
        <v>73</v>
      </c>
      <c r="H966" s="0" t="s">
        <v>457</v>
      </c>
      <c r="I966" s="0" t="s">
        <v>457</v>
      </c>
      <c r="J966" s="0" t="s">
        <v>457</v>
      </c>
      <c r="K966" s="0" t="s">
        <v>457</v>
      </c>
      <c r="L966" s="0" t="s">
        <v>457</v>
      </c>
      <c r="M966" s="0" t="s">
        <v>457</v>
      </c>
      <c r="R966" s="0" t="s">
        <v>81</v>
      </c>
    </row>
    <row r="967" customFormat="false" ht="15" hidden="false" customHeight="false" outlineLevel="0" collapsed="false">
      <c r="A967" s="0" t="s">
        <v>178</v>
      </c>
      <c r="B967" s="0" t="n">
        <v>2019</v>
      </c>
      <c r="C967" s="0" t="s">
        <v>78</v>
      </c>
      <c r="D967" s="0" t="s">
        <v>90</v>
      </c>
      <c r="E967" s="0" t="n">
        <v>1</v>
      </c>
      <c r="F967" s="0" t="s">
        <v>69</v>
      </c>
      <c r="G967" s="0" t="n">
        <v>22</v>
      </c>
      <c r="H967" s="0" t="s">
        <v>437</v>
      </c>
      <c r="I967" s="0" t="s">
        <v>437</v>
      </c>
      <c r="J967" s="0" t="s">
        <v>437</v>
      </c>
      <c r="K967" s="0" t="s">
        <v>437</v>
      </c>
      <c r="L967" s="0" t="s">
        <v>437</v>
      </c>
      <c r="M967" s="0" t="s">
        <v>457</v>
      </c>
      <c r="R967" s="0" t="s">
        <v>81</v>
      </c>
    </row>
    <row r="968" customFormat="false" ht="15" hidden="false" customHeight="false" outlineLevel="0" collapsed="false">
      <c r="A968" s="0" t="s">
        <v>178</v>
      </c>
      <c r="B968" s="0" t="n">
        <v>2019</v>
      </c>
      <c r="C968" s="0" t="s">
        <v>78</v>
      </c>
      <c r="D968" s="0" t="s">
        <v>90</v>
      </c>
      <c r="E968" s="0" t="n">
        <v>1</v>
      </c>
      <c r="F968" s="0" t="s">
        <v>25</v>
      </c>
      <c r="G968" s="0" t="n">
        <v>21.5071023037408</v>
      </c>
      <c r="H968" s="0" t="s">
        <v>437</v>
      </c>
      <c r="I968" s="0" t="s">
        <v>437</v>
      </c>
      <c r="J968" s="0" t="s">
        <v>437</v>
      </c>
      <c r="K968" s="0" t="s">
        <v>437</v>
      </c>
      <c r="L968" s="0" t="s">
        <v>437</v>
      </c>
      <c r="M968" s="0" t="s">
        <v>457</v>
      </c>
      <c r="R968" s="0" t="s">
        <v>81</v>
      </c>
    </row>
    <row r="969" customFormat="false" ht="15" hidden="false" customHeight="false" outlineLevel="0" collapsed="false">
      <c r="A969" s="0" t="s">
        <v>178</v>
      </c>
      <c r="B969" s="0" t="n">
        <v>2019</v>
      </c>
      <c r="C969" s="0" t="s">
        <v>78</v>
      </c>
      <c r="D969" s="0" t="s">
        <v>90</v>
      </c>
      <c r="E969" s="0" t="n">
        <v>1</v>
      </c>
      <c r="F969" s="0" t="s">
        <v>41</v>
      </c>
      <c r="G969" s="0" t="n">
        <v>1.62400725277757</v>
      </c>
      <c r="H969" s="0" t="s">
        <v>437</v>
      </c>
      <c r="I969" s="0" t="s">
        <v>437</v>
      </c>
      <c r="J969" s="0" t="s">
        <v>437</v>
      </c>
      <c r="K969" s="0" t="s">
        <v>437</v>
      </c>
      <c r="L969" s="0" t="s">
        <v>437</v>
      </c>
      <c r="M969" s="0" t="s">
        <v>457</v>
      </c>
      <c r="R969" s="0" t="s">
        <v>81</v>
      </c>
    </row>
    <row r="970" customFormat="false" ht="15" hidden="false" customHeight="false" outlineLevel="0" collapsed="false">
      <c r="A970" s="0" t="s">
        <v>178</v>
      </c>
      <c r="B970" s="0" t="n">
        <v>2019</v>
      </c>
      <c r="C970" s="0" t="s">
        <v>78</v>
      </c>
      <c r="D970" s="0" t="s">
        <v>90</v>
      </c>
      <c r="E970" s="0" t="n">
        <v>1</v>
      </c>
      <c r="F970" s="0" t="s">
        <v>27</v>
      </c>
      <c r="G970" s="0" t="n">
        <v>10.7946997613679</v>
      </c>
      <c r="H970" s="0" t="s">
        <v>437</v>
      </c>
      <c r="I970" s="0" t="s">
        <v>437</v>
      </c>
      <c r="J970" s="0" t="s">
        <v>437</v>
      </c>
      <c r="K970" s="0" t="s">
        <v>437</v>
      </c>
      <c r="L970" s="0" t="s">
        <v>437</v>
      </c>
      <c r="M970" s="0" t="s">
        <v>457</v>
      </c>
      <c r="R970" s="0" t="s">
        <v>81</v>
      </c>
    </row>
    <row r="971" customFormat="false" ht="15" hidden="false" customHeight="false" outlineLevel="0" collapsed="false">
      <c r="A971" s="0" t="s">
        <v>178</v>
      </c>
      <c r="B971" s="0" t="n">
        <v>2019</v>
      </c>
      <c r="C971" s="0" t="s">
        <v>78</v>
      </c>
      <c r="D971" s="0" t="s">
        <v>90</v>
      </c>
      <c r="E971" s="0" t="n">
        <v>1</v>
      </c>
      <c r="F971" s="0" t="s">
        <v>39</v>
      </c>
      <c r="G971" s="0" t="n">
        <v>-8.21587210224698</v>
      </c>
      <c r="H971" s="0" t="s">
        <v>437</v>
      </c>
      <c r="I971" s="0" t="s">
        <v>437</v>
      </c>
      <c r="J971" s="0" t="s">
        <v>437</v>
      </c>
      <c r="K971" s="0" t="s">
        <v>437</v>
      </c>
      <c r="L971" s="0" t="s">
        <v>437</v>
      </c>
      <c r="M971" s="0" t="s">
        <v>457</v>
      </c>
      <c r="R971" s="0" t="s">
        <v>81</v>
      </c>
    </row>
    <row r="972" customFormat="false" ht="15" hidden="false" customHeight="false" outlineLevel="0" collapsed="false">
      <c r="A972" s="0" t="s">
        <v>178</v>
      </c>
      <c r="B972" s="0" t="n">
        <v>2019</v>
      </c>
      <c r="C972" s="0" t="s">
        <v>78</v>
      </c>
      <c r="D972" s="0" t="s">
        <v>90</v>
      </c>
      <c r="E972" s="0" t="n">
        <v>1</v>
      </c>
      <c r="F972" s="0" t="s">
        <v>17</v>
      </c>
      <c r="G972" s="0" t="n">
        <v>3.4659981841041</v>
      </c>
      <c r="H972" s="0" t="s">
        <v>437</v>
      </c>
      <c r="I972" s="0" t="s">
        <v>437</v>
      </c>
      <c r="J972" s="0" t="s">
        <v>437</v>
      </c>
      <c r="K972" s="0" t="s">
        <v>437</v>
      </c>
      <c r="L972" s="0" t="s">
        <v>437</v>
      </c>
      <c r="M972" s="0" t="s">
        <v>457</v>
      </c>
      <c r="R972" s="0" t="s">
        <v>81</v>
      </c>
    </row>
    <row r="973" customFormat="false" ht="15" hidden="false" customHeight="false" outlineLevel="0" collapsed="false">
      <c r="A973" s="0" t="s">
        <v>178</v>
      </c>
      <c r="B973" s="0" t="n">
        <v>2019</v>
      </c>
      <c r="C973" s="0" t="s">
        <v>78</v>
      </c>
      <c r="D973" s="0" t="s">
        <v>90</v>
      </c>
      <c r="E973" s="0" t="n">
        <v>1</v>
      </c>
      <c r="F973" s="0" t="s">
        <v>29</v>
      </c>
      <c r="G973" s="0" t="n">
        <v>0.423639437780335</v>
      </c>
      <c r="H973" s="0" t="s">
        <v>437</v>
      </c>
      <c r="I973" s="0" t="s">
        <v>437</v>
      </c>
      <c r="J973" s="0" t="s">
        <v>437</v>
      </c>
      <c r="K973" s="0" t="s">
        <v>437</v>
      </c>
      <c r="L973" s="0" t="s">
        <v>437</v>
      </c>
      <c r="M973" s="0" t="s">
        <v>457</v>
      </c>
      <c r="R973" s="0" t="s">
        <v>81</v>
      </c>
    </row>
    <row r="974" customFormat="false" ht="15" hidden="false" customHeight="false" outlineLevel="0" collapsed="false">
      <c r="A974" s="0" t="s">
        <v>178</v>
      </c>
      <c r="B974" s="0" t="n">
        <v>2019</v>
      </c>
      <c r="C974" s="0" t="s">
        <v>78</v>
      </c>
      <c r="D974" s="0" t="s">
        <v>90</v>
      </c>
      <c r="E974" s="0" t="n">
        <v>1</v>
      </c>
      <c r="F974" s="0" t="s">
        <v>37</v>
      </c>
      <c r="H974" s="0" t="s">
        <v>457</v>
      </c>
      <c r="I974" s="0" t="s">
        <v>457</v>
      </c>
      <c r="J974" s="0" t="s">
        <v>457</v>
      </c>
      <c r="K974" s="0" t="s">
        <v>457</v>
      </c>
      <c r="L974" s="0" t="s">
        <v>457</v>
      </c>
      <c r="M974" s="0" t="s">
        <v>457</v>
      </c>
      <c r="R974" s="0" t="s">
        <v>81</v>
      </c>
    </row>
    <row r="975" customFormat="false" ht="15" hidden="false" customHeight="false" outlineLevel="0" collapsed="false">
      <c r="A975" s="0" t="s">
        <v>178</v>
      </c>
      <c r="B975" s="0" t="n">
        <v>2019</v>
      </c>
      <c r="C975" s="0" t="s">
        <v>78</v>
      </c>
      <c r="D975" s="0" t="s">
        <v>90</v>
      </c>
      <c r="E975" s="0" t="n">
        <v>1</v>
      </c>
      <c r="F975" s="0" t="s">
        <v>23</v>
      </c>
      <c r="H975" s="0" t="s">
        <v>457</v>
      </c>
      <c r="I975" s="0" t="s">
        <v>457</v>
      </c>
      <c r="J975" s="0" t="s">
        <v>457</v>
      </c>
      <c r="K975" s="0" t="s">
        <v>457</v>
      </c>
      <c r="L975" s="0" t="s">
        <v>457</v>
      </c>
      <c r="M975" s="0" t="s">
        <v>457</v>
      </c>
      <c r="R975" s="0" t="s">
        <v>81</v>
      </c>
    </row>
    <row r="976" customFormat="false" ht="15" hidden="false" customHeight="false" outlineLevel="0" collapsed="false">
      <c r="A976" s="0" t="s">
        <v>178</v>
      </c>
      <c r="B976" s="0" t="n">
        <v>2019</v>
      </c>
      <c r="C976" s="0" t="s">
        <v>78</v>
      </c>
      <c r="D976" s="0" t="s">
        <v>90</v>
      </c>
      <c r="E976" s="0" t="n">
        <v>1</v>
      </c>
      <c r="F976" s="0" t="s">
        <v>45</v>
      </c>
      <c r="H976" s="0" t="s">
        <v>457</v>
      </c>
      <c r="I976" s="0" t="s">
        <v>457</v>
      </c>
      <c r="J976" s="0" t="s">
        <v>457</v>
      </c>
      <c r="K976" s="0" t="s">
        <v>457</v>
      </c>
      <c r="L976" s="0" t="s">
        <v>457</v>
      </c>
      <c r="M976" s="0" t="s">
        <v>457</v>
      </c>
      <c r="R976" s="0" t="s">
        <v>81</v>
      </c>
    </row>
    <row r="977" customFormat="false" ht="15" hidden="false" customHeight="false" outlineLevel="0" collapsed="false">
      <c r="A977" s="0" t="s">
        <v>178</v>
      </c>
      <c r="B977" s="0" t="n">
        <v>2019</v>
      </c>
      <c r="C977" s="0" t="s">
        <v>78</v>
      </c>
      <c r="D977" s="0" t="s">
        <v>90</v>
      </c>
      <c r="E977" s="0" t="n">
        <v>1</v>
      </c>
      <c r="F977" s="0" t="s">
        <v>71</v>
      </c>
      <c r="G977" s="0" t="n">
        <v>43.99</v>
      </c>
      <c r="H977" s="0" t="s">
        <v>437</v>
      </c>
      <c r="I977" s="0" t="s">
        <v>437</v>
      </c>
      <c r="J977" s="0" t="s">
        <v>437</v>
      </c>
      <c r="K977" s="0" t="s">
        <v>437</v>
      </c>
      <c r="L977" s="0" t="s">
        <v>437</v>
      </c>
      <c r="M977" s="0" t="s">
        <v>457</v>
      </c>
      <c r="R977" s="0" t="s">
        <v>81</v>
      </c>
    </row>
    <row r="978" customFormat="false" ht="15" hidden="false" customHeight="false" outlineLevel="0" collapsed="false">
      <c r="A978" s="0" t="s">
        <v>178</v>
      </c>
      <c r="B978" s="0" t="n">
        <v>2019</v>
      </c>
      <c r="C978" s="0" t="s">
        <v>78</v>
      </c>
      <c r="D978" s="0" t="s">
        <v>90</v>
      </c>
      <c r="E978" s="0" t="n">
        <v>1</v>
      </c>
      <c r="F978" s="0" t="s">
        <v>31</v>
      </c>
      <c r="G978" s="0" t="n">
        <v>89.2053002386321</v>
      </c>
      <c r="H978" s="0" t="s">
        <v>437</v>
      </c>
      <c r="I978" s="0" t="s">
        <v>437</v>
      </c>
      <c r="J978" s="0" t="s">
        <v>437</v>
      </c>
      <c r="K978" s="0" t="s">
        <v>437</v>
      </c>
      <c r="L978" s="0" t="s">
        <v>437</v>
      </c>
      <c r="M978" s="0" t="s">
        <v>457</v>
      </c>
      <c r="R978" s="0" t="s">
        <v>81</v>
      </c>
    </row>
    <row r="979" customFormat="false" ht="15" hidden="false" customHeight="false" outlineLevel="0" collapsed="false">
      <c r="A979" s="0" t="s">
        <v>178</v>
      </c>
      <c r="B979" s="0" t="n">
        <v>2020</v>
      </c>
      <c r="C979" s="0" t="s">
        <v>78</v>
      </c>
      <c r="D979" s="0" t="s">
        <v>90</v>
      </c>
      <c r="E979" s="0" t="n">
        <v>1</v>
      </c>
      <c r="F979" s="0" t="s">
        <v>73</v>
      </c>
      <c r="H979" s="0" t="s">
        <v>457</v>
      </c>
      <c r="I979" s="0" t="s">
        <v>457</v>
      </c>
      <c r="J979" s="0" t="s">
        <v>457</v>
      </c>
      <c r="K979" s="0" t="s">
        <v>457</v>
      </c>
      <c r="L979" s="0" t="s">
        <v>457</v>
      </c>
      <c r="M979" s="0" t="s">
        <v>457</v>
      </c>
      <c r="R979" s="0" t="s">
        <v>81</v>
      </c>
    </row>
    <row r="980" customFormat="false" ht="15" hidden="false" customHeight="false" outlineLevel="0" collapsed="false">
      <c r="A980" s="0" t="s">
        <v>178</v>
      </c>
      <c r="B980" s="0" t="n">
        <v>2020</v>
      </c>
      <c r="C980" s="0" t="s">
        <v>78</v>
      </c>
      <c r="D980" s="0" t="s">
        <v>90</v>
      </c>
      <c r="E980" s="0" t="n">
        <v>1</v>
      </c>
      <c r="F980" s="0" t="s">
        <v>69</v>
      </c>
      <c r="G980" s="0" t="n">
        <v>20</v>
      </c>
      <c r="H980" s="0" t="s">
        <v>437</v>
      </c>
      <c r="I980" s="0" t="s">
        <v>437</v>
      </c>
      <c r="J980" s="0" t="s">
        <v>437</v>
      </c>
      <c r="K980" s="0" t="s">
        <v>437</v>
      </c>
      <c r="L980" s="0" t="s">
        <v>437</v>
      </c>
      <c r="M980" s="0" t="s">
        <v>457</v>
      </c>
      <c r="R980" s="0" t="s">
        <v>81</v>
      </c>
    </row>
    <row r="981" customFormat="false" ht="15" hidden="false" customHeight="false" outlineLevel="0" collapsed="false">
      <c r="A981" s="0" t="s">
        <v>178</v>
      </c>
      <c r="B981" s="0" t="n">
        <v>2020</v>
      </c>
      <c r="C981" s="0" t="s">
        <v>78</v>
      </c>
      <c r="D981" s="0" t="s">
        <v>90</v>
      </c>
      <c r="E981" s="0" t="n">
        <v>1</v>
      </c>
      <c r="F981" s="0" t="s">
        <v>25</v>
      </c>
      <c r="G981" s="0" t="n">
        <v>19.6952147431671</v>
      </c>
      <c r="H981" s="0" t="s">
        <v>437</v>
      </c>
      <c r="I981" s="0" t="s">
        <v>437</v>
      </c>
      <c r="J981" s="0" t="s">
        <v>437</v>
      </c>
      <c r="K981" s="0" t="s">
        <v>437</v>
      </c>
      <c r="L981" s="0" t="s">
        <v>437</v>
      </c>
      <c r="M981" s="0" t="s">
        <v>457</v>
      </c>
      <c r="R981" s="0" t="s">
        <v>81</v>
      </c>
    </row>
    <row r="982" customFormat="false" ht="15" hidden="false" customHeight="false" outlineLevel="0" collapsed="false">
      <c r="A982" s="0" t="s">
        <v>178</v>
      </c>
      <c r="B982" s="0" t="n">
        <v>2020</v>
      </c>
      <c r="C982" s="0" t="s">
        <v>78</v>
      </c>
      <c r="D982" s="0" t="s">
        <v>90</v>
      </c>
      <c r="E982" s="0" t="n">
        <v>1</v>
      </c>
      <c r="F982" s="0" t="s">
        <v>41</v>
      </c>
      <c r="G982" s="0" t="n">
        <v>1.21808678335923</v>
      </c>
      <c r="H982" s="0" t="s">
        <v>437</v>
      </c>
      <c r="I982" s="0" t="s">
        <v>437</v>
      </c>
      <c r="J982" s="0" t="s">
        <v>437</v>
      </c>
      <c r="K982" s="0" t="s">
        <v>437</v>
      </c>
      <c r="L982" s="0" t="s">
        <v>437</v>
      </c>
      <c r="M982" s="0" t="s">
        <v>457</v>
      </c>
      <c r="R982" s="0" t="s">
        <v>81</v>
      </c>
    </row>
    <row r="983" customFormat="false" ht="15" hidden="false" customHeight="false" outlineLevel="0" collapsed="false">
      <c r="A983" s="0" t="s">
        <v>178</v>
      </c>
      <c r="B983" s="0" t="n">
        <v>2020</v>
      </c>
      <c r="C983" s="0" t="s">
        <v>78</v>
      </c>
      <c r="D983" s="0" t="s">
        <v>90</v>
      </c>
      <c r="E983" s="0" t="n">
        <v>1</v>
      </c>
      <c r="F983" s="0" t="s">
        <v>27</v>
      </c>
      <c r="G983" s="0" t="n">
        <v>9.17732961099175</v>
      </c>
      <c r="H983" s="0" t="s">
        <v>437</v>
      </c>
      <c r="I983" s="0" t="s">
        <v>437</v>
      </c>
      <c r="J983" s="0" t="s">
        <v>437</v>
      </c>
      <c r="K983" s="0" t="s">
        <v>437</v>
      </c>
      <c r="L983" s="0" t="s">
        <v>437</v>
      </c>
      <c r="M983" s="0" t="s">
        <v>457</v>
      </c>
      <c r="R983" s="0" t="s">
        <v>81</v>
      </c>
    </row>
    <row r="984" customFormat="false" ht="15" hidden="false" customHeight="false" outlineLevel="0" collapsed="false">
      <c r="A984" s="0" t="s">
        <v>178</v>
      </c>
      <c r="B984" s="0" t="n">
        <v>2020</v>
      </c>
      <c r="C984" s="0" t="s">
        <v>78</v>
      </c>
      <c r="D984" s="0" t="s">
        <v>90</v>
      </c>
      <c r="E984" s="0" t="n">
        <v>1</v>
      </c>
      <c r="F984" s="0" t="s">
        <v>39</v>
      </c>
      <c r="G984" s="0" t="n">
        <v>15.7339116807355</v>
      </c>
      <c r="H984" s="0" t="s">
        <v>437</v>
      </c>
      <c r="I984" s="0" t="s">
        <v>437</v>
      </c>
      <c r="J984" s="0" t="s">
        <v>437</v>
      </c>
      <c r="K984" s="0" t="s">
        <v>437</v>
      </c>
      <c r="L984" s="0" t="s">
        <v>437</v>
      </c>
      <c r="M984" s="0" t="s">
        <v>457</v>
      </c>
      <c r="R984" s="0" t="s">
        <v>81</v>
      </c>
    </row>
    <row r="985" customFormat="false" ht="15" hidden="false" customHeight="false" outlineLevel="0" collapsed="false">
      <c r="A985" s="0" t="s">
        <v>178</v>
      </c>
      <c r="B985" s="0" t="n">
        <v>2020</v>
      </c>
      <c r="C985" s="0" t="s">
        <v>78</v>
      </c>
      <c r="D985" s="0" t="s">
        <v>90</v>
      </c>
      <c r="E985" s="0" t="n">
        <v>1</v>
      </c>
      <c r="F985" s="0" t="s">
        <v>17</v>
      </c>
      <c r="G985" s="0" t="n">
        <v>3.32409174454812</v>
      </c>
      <c r="H985" s="0" t="s">
        <v>437</v>
      </c>
      <c r="I985" s="0" t="s">
        <v>437</v>
      </c>
      <c r="J985" s="0" t="s">
        <v>437</v>
      </c>
      <c r="K985" s="0" t="s">
        <v>437</v>
      </c>
      <c r="L985" s="0" t="s">
        <v>437</v>
      </c>
      <c r="M985" s="0" t="s">
        <v>457</v>
      </c>
      <c r="R985" s="0" t="s">
        <v>81</v>
      </c>
    </row>
    <row r="986" customFormat="false" ht="15" hidden="false" customHeight="false" outlineLevel="0" collapsed="false">
      <c r="A986" s="0" t="s">
        <v>178</v>
      </c>
      <c r="B986" s="0" t="n">
        <v>2020</v>
      </c>
      <c r="C986" s="0" t="s">
        <v>78</v>
      </c>
      <c r="D986" s="0" t="s">
        <v>90</v>
      </c>
      <c r="E986" s="0" t="n">
        <v>1</v>
      </c>
      <c r="F986" s="0" t="s">
        <v>29</v>
      </c>
      <c r="G986" s="0" t="n">
        <v>0.467963125430341</v>
      </c>
      <c r="H986" s="0" t="s">
        <v>437</v>
      </c>
      <c r="I986" s="0" t="s">
        <v>437</v>
      </c>
      <c r="J986" s="0" t="s">
        <v>437</v>
      </c>
      <c r="K986" s="0" t="s">
        <v>437</v>
      </c>
      <c r="L986" s="0" t="s">
        <v>437</v>
      </c>
      <c r="M986" s="0" t="s">
        <v>457</v>
      </c>
      <c r="R986" s="0" t="s">
        <v>81</v>
      </c>
    </row>
    <row r="987" customFormat="false" ht="15" hidden="false" customHeight="false" outlineLevel="0" collapsed="false">
      <c r="A987" s="0" t="s">
        <v>178</v>
      </c>
      <c r="B987" s="0" t="n">
        <v>2020</v>
      </c>
      <c r="C987" s="0" t="s">
        <v>78</v>
      </c>
      <c r="D987" s="0" t="s">
        <v>90</v>
      </c>
      <c r="E987" s="0" t="n">
        <v>1</v>
      </c>
      <c r="F987" s="0" t="s">
        <v>37</v>
      </c>
      <c r="H987" s="0" t="s">
        <v>457</v>
      </c>
      <c r="I987" s="0" t="s">
        <v>457</v>
      </c>
      <c r="J987" s="0" t="s">
        <v>457</v>
      </c>
      <c r="K987" s="0" t="s">
        <v>457</v>
      </c>
      <c r="L987" s="0" t="s">
        <v>457</v>
      </c>
      <c r="M987" s="0" t="s">
        <v>457</v>
      </c>
      <c r="R987" s="0" t="s">
        <v>81</v>
      </c>
    </row>
    <row r="988" customFormat="false" ht="15" hidden="false" customHeight="false" outlineLevel="0" collapsed="false">
      <c r="A988" s="0" t="s">
        <v>178</v>
      </c>
      <c r="B988" s="0" t="n">
        <v>2020</v>
      </c>
      <c r="C988" s="0" t="s">
        <v>78</v>
      </c>
      <c r="D988" s="0" t="s">
        <v>90</v>
      </c>
      <c r="E988" s="0" t="n">
        <v>1</v>
      </c>
      <c r="F988" s="0" t="s">
        <v>23</v>
      </c>
      <c r="H988" s="0" t="s">
        <v>457</v>
      </c>
      <c r="I988" s="0" t="s">
        <v>457</v>
      </c>
      <c r="J988" s="0" t="s">
        <v>457</v>
      </c>
      <c r="K988" s="0" t="s">
        <v>457</v>
      </c>
      <c r="L988" s="0" t="s">
        <v>457</v>
      </c>
      <c r="M988" s="0" t="s">
        <v>457</v>
      </c>
      <c r="R988" s="0" t="s">
        <v>81</v>
      </c>
    </row>
    <row r="989" customFormat="false" ht="15" hidden="false" customHeight="false" outlineLevel="0" collapsed="false">
      <c r="A989" s="0" t="s">
        <v>178</v>
      </c>
      <c r="B989" s="0" t="n">
        <v>2020</v>
      </c>
      <c r="C989" s="0" t="s">
        <v>78</v>
      </c>
      <c r="D989" s="0" t="s">
        <v>90</v>
      </c>
      <c r="E989" s="0" t="n">
        <v>1</v>
      </c>
      <c r="F989" s="0" t="s">
        <v>45</v>
      </c>
      <c r="H989" s="0" t="s">
        <v>457</v>
      </c>
      <c r="I989" s="0" t="s">
        <v>457</v>
      </c>
      <c r="J989" s="0" t="s">
        <v>457</v>
      </c>
      <c r="K989" s="0" t="s">
        <v>457</v>
      </c>
      <c r="L989" s="0" t="s">
        <v>457</v>
      </c>
      <c r="M989" s="0" t="s">
        <v>457</v>
      </c>
      <c r="R989" s="0" t="s">
        <v>81</v>
      </c>
    </row>
    <row r="990" customFormat="false" ht="15" hidden="false" customHeight="false" outlineLevel="0" collapsed="false">
      <c r="A990" s="0" t="s">
        <v>178</v>
      </c>
      <c r="B990" s="0" t="n">
        <v>2020</v>
      </c>
      <c r="C990" s="0" t="s">
        <v>78</v>
      </c>
      <c r="D990" s="0" t="s">
        <v>90</v>
      </c>
      <c r="E990" s="0" t="n">
        <v>1</v>
      </c>
      <c r="F990" s="0" t="s">
        <v>71</v>
      </c>
      <c r="G990" s="0" t="n">
        <v>44.3</v>
      </c>
      <c r="H990" s="0" t="s">
        <v>437</v>
      </c>
      <c r="I990" s="0" t="s">
        <v>437</v>
      </c>
      <c r="J990" s="0" t="s">
        <v>437</v>
      </c>
      <c r="K990" s="0" t="s">
        <v>437</v>
      </c>
      <c r="L990" s="0" t="s">
        <v>437</v>
      </c>
      <c r="M990" s="0" t="s">
        <v>457</v>
      </c>
      <c r="R990" s="0" t="s">
        <v>81</v>
      </c>
    </row>
    <row r="991" customFormat="false" ht="15" hidden="false" customHeight="false" outlineLevel="0" collapsed="false">
      <c r="A991" s="0" t="s">
        <v>178</v>
      </c>
      <c r="B991" s="0" t="n">
        <v>2020</v>
      </c>
      <c r="C991" s="0" t="s">
        <v>78</v>
      </c>
      <c r="D991" s="0" t="s">
        <v>90</v>
      </c>
      <c r="E991" s="0" t="n">
        <v>1</v>
      </c>
      <c r="F991" s="0" t="s">
        <v>31</v>
      </c>
      <c r="G991" s="0" t="n">
        <v>90.8226703890083</v>
      </c>
      <c r="H991" s="0" t="s">
        <v>437</v>
      </c>
      <c r="I991" s="0" t="s">
        <v>437</v>
      </c>
      <c r="J991" s="0" t="s">
        <v>437</v>
      </c>
      <c r="K991" s="0" t="s">
        <v>437</v>
      </c>
      <c r="L991" s="0" t="s">
        <v>437</v>
      </c>
      <c r="M991" s="0" t="s">
        <v>457</v>
      </c>
      <c r="R991" s="0" t="s">
        <v>81</v>
      </c>
    </row>
    <row r="992" customFormat="false" ht="15" hidden="false" customHeight="false" outlineLevel="0" collapsed="false">
      <c r="A992" s="0" t="s">
        <v>178</v>
      </c>
      <c r="B992" s="0" t="n">
        <v>2021</v>
      </c>
      <c r="C992" s="0" t="s">
        <v>78</v>
      </c>
      <c r="D992" s="0" t="s">
        <v>90</v>
      </c>
      <c r="E992" s="0" t="n">
        <v>1</v>
      </c>
      <c r="F992" s="0" t="s">
        <v>73</v>
      </c>
      <c r="H992" s="0" t="s">
        <v>457</v>
      </c>
      <c r="I992" s="0" t="s">
        <v>457</v>
      </c>
      <c r="J992" s="0" t="s">
        <v>457</v>
      </c>
      <c r="K992" s="0" t="s">
        <v>457</v>
      </c>
      <c r="L992" s="0" t="s">
        <v>457</v>
      </c>
      <c r="M992" s="0" t="s">
        <v>457</v>
      </c>
      <c r="R992" s="0" t="s">
        <v>81</v>
      </c>
    </row>
    <row r="993" customFormat="false" ht="15" hidden="false" customHeight="false" outlineLevel="0" collapsed="false">
      <c r="A993" s="0" t="s">
        <v>178</v>
      </c>
      <c r="B993" s="0" t="n">
        <v>2021</v>
      </c>
      <c r="C993" s="0" t="s">
        <v>78</v>
      </c>
      <c r="D993" s="0" t="s">
        <v>90</v>
      </c>
      <c r="E993" s="0" t="n">
        <v>1</v>
      </c>
      <c r="F993" s="0" t="s">
        <v>69</v>
      </c>
      <c r="G993" s="0" t="n">
        <v>21.8</v>
      </c>
      <c r="H993" s="0" t="s">
        <v>437</v>
      </c>
      <c r="I993" s="0" t="s">
        <v>437</v>
      </c>
      <c r="J993" s="0" t="s">
        <v>437</v>
      </c>
      <c r="K993" s="0" t="s">
        <v>437</v>
      </c>
      <c r="L993" s="0" t="s">
        <v>437</v>
      </c>
      <c r="M993" s="0" t="s">
        <v>457</v>
      </c>
      <c r="R993" s="0" t="s">
        <v>81</v>
      </c>
    </row>
    <row r="994" customFormat="false" ht="15" hidden="false" customHeight="false" outlineLevel="0" collapsed="false">
      <c r="A994" s="0" t="s">
        <v>178</v>
      </c>
      <c r="B994" s="0" t="n">
        <v>2021</v>
      </c>
      <c r="C994" s="0" t="s">
        <v>78</v>
      </c>
      <c r="D994" s="0" t="s">
        <v>90</v>
      </c>
      <c r="E994" s="0" t="n">
        <v>1</v>
      </c>
      <c r="F994" s="0" t="s">
        <v>25</v>
      </c>
      <c r="G994" s="0" t="n">
        <v>21.8217914675852</v>
      </c>
      <c r="H994" s="0" t="s">
        <v>437</v>
      </c>
      <c r="I994" s="0" t="s">
        <v>437</v>
      </c>
      <c r="J994" s="0" t="s">
        <v>437</v>
      </c>
      <c r="K994" s="0" t="s">
        <v>437</v>
      </c>
      <c r="L994" s="0" t="s">
        <v>437</v>
      </c>
      <c r="M994" s="0" t="s">
        <v>457</v>
      </c>
      <c r="R994" s="0" t="s">
        <v>81</v>
      </c>
    </row>
    <row r="995" customFormat="false" ht="15" hidden="false" customHeight="false" outlineLevel="0" collapsed="false">
      <c r="A995" s="0" t="s">
        <v>178</v>
      </c>
      <c r="B995" s="0" t="n">
        <v>2021</v>
      </c>
      <c r="C995" s="0" t="s">
        <v>78</v>
      </c>
      <c r="D995" s="0" t="s">
        <v>90</v>
      </c>
      <c r="E995" s="0" t="n">
        <v>1</v>
      </c>
      <c r="F995" s="0" t="s">
        <v>41</v>
      </c>
      <c r="G995" s="0" t="n">
        <v>1.08819510760137</v>
      </c>
      <c r="H995" s="0" t="s">
        <v>437</v>
      </c>
      <c r="I995" s="0" t="s">
        <v>437</v>
      </c>
      <c r="J995" s="0" t="s">
        <v>437</v>
      </c>
      <c r="K995" s="0" t="s">
        <v>437</v>
      </c>
      <c r="L995" s="0" t="s">
        <v>437</v>
      </c>
      <c r="M995" s="0" t="s">
        <v>457</v>
      </c>
      <c r="R995" s="0" t="s">
        <v>81</v>
      </c>
    </row>
    <row r="996" customFormat="false" ht="15" hidden="false" customHeight="false" outlineLevel="0" collapsed="false">
      <c r="A996" s="0" t="s">
        <v>178</v>
      </c>
      <c r="B996" s="0" t="n">
        <v>2021</v>
      </c>
      <c r="C996" s="0" t="s">
        <v>78</v>
      </c>
      <c r="D996" s="0" t="s">
        <v>90</v>
      </c>
      <c r="E996" s="0" t="n">
        <v>1</v>
      </c>
      <c r="F996" s="0" t="s">
        <v>27</v>
      </c>
      <c r="G996" s="0" t="n">
        <v>8.99736608731589</v>
      </c>
      <c r="H996" s="0" t="s">
        <v>437</v>
      </c>
      <c r="I996" s="0" t="s">
        <v>437</v>
      </c>
      <c r="J996" s="0" t="s">
        <v>437</v>
      </c>
      <c r="K996" s="0" t="s">
        <v>437</v>
      </c>
      <c r="L996" s="0" t="s">
        <v>437</v>
      </c>
      <c r="M996" s="0" t="s">
        <v>457</v>
      </c>
      <c r="R996" s="0" t="s">
        <v>81</v>
      </c>
    </row>
    <row r="997" customFormat="false" ht="15" hidden="false" customHeight="false" outlineLevel="0" collapsed="false">
      <c r="A997" s="0" t="s">
        <v>178</v>
      </c>
      <c r="B997" s="0" t="n">
        <v>2021</v>
      </c>
      <c r="C997" s="0" t="s">
        <v>78</v>
      </c>
      <c r="D997" s="0" t="s">
        <v>90</v>
      </c>
      <c r="E997" s="0" t="n">
        <v>1</v>
      </c>
      <c r="F997" s="0" t="s">
        <v>39</v>
      </c>
      <c r="G997" s="0" t="n">
        <v>12.4572177806358</v>
      </c>
      <c r="H997" s="0" t="s">
        <v>437</v>
      </c>
      <c r="I997" s="0" t="s">
        <v>437</v>
      </c>
      <c r="J997" s="0" t="s">
        <v>437</v>
      </c>
      <c r="K997" s="0" t="s">
        <v>437</v>
      </c>
      <c r="L997" s="0" t="s">
        <v>437</v>
      </c>
      <c r="M997" s="0" t="s">
        <v>457</v>
      </c>
      <c r="R997" s="0" t="s">
        <v>81</v>
      </c>
    </row>
    <row r="998" customFormat="false" ht="15" hidden="false" customHeight="false" outlineLevel="0" collapsed="false">
      <c r="A998" s="0" t="s">
        <v>178</v>
      </c>
      <c r="B998" s="0" t="n">
        <v>2021</v>
      </c>
      <c r="C998" s="0" t="s">
        <v>78</v>
      </c>
      <c r="D998" s="0" t="s">
        <v>90</v>
      </c>
      <c r="E998" s="0" t="n">
        <v>1</v>
      </c>
      <c r="F998" s="0" t="s">
        <v>17</v>
      </c>
      <c r="G998" s="0" t="n">
        <v>3.41281998617124</v>
      </c>
      <c r="H998" s="0" t="s">
        <v>437</v>
      </c>
      <c r="I998" s="0" t="s">
        <v>437</v>
      </c>
      <c r="J998" s="0" t="s">
        <v>437</v>
      </c>
      <c r="K998" s="0" t="s">
        <v>437</v>
      </c>
      <c r="L998" s="0" t="s">
        <v>437</v>
      </c>
      <c r="M998" s="0" t="s">
        <v>457</v>
      </c>
      <c r="R998" s="0" t="s">
        <v>81</v>
      </c>
    </row>
    <row r="999" customFormat="false" ht="15" hidden="false" customHeight="false" outlineLevel="0" collapsed="false">
      <c r="A999" s="0" t="s">
        <v>178</v>
      </c>
      <c r="B999" s="0" t="n">
        <v>2021</v>
      </c>
      <c r="C999" s="0" t="s">
        <v>78</v>
      </c>
      <c r="D999" s="0" t="s">
        <v>90</v>
      </c>
      <c r="E999" s="0" t="n">
        <v>1</v>
      </c>
      <c r="F999" s="0" t="s">
        <v>29</v>
      </c>
      <c r="G999" s="0" t="n">
        <v>0.1808248666929</v>
      </c>
      <c r="H999" s="0" t="s">
        <v>437</v>
      </c>
      <c r="I999" s="0" t="s">
        <v>437</v>
      </c>
      <c r="J999" s="0" t="s">
        <v>437</v>
      </c>
      <c r="K999" s="0" t="s">
        <v>437</v>
      </c>
      <c r="L999" s="0" t="s">
        <v>437</v>
      </c>
      <c r="M999" s="0" t="s">
        <v>457</v>
      </c>
      <c r="R999" s="0" t="s">
        <v>81</v>
      </c>
    </row>
    <row r="1000" customFormat="false" ht="15" hidden="false" customHeight="false" outlineLevel="0" collapsed="false">
      <c r="A1000" s="0" t="s">
        <v>178</v>
      </c>
      <c r="B1000" s="0" t="n">
        <v>2021</v>
      </c>
      <c r="C1000" s="0" t="s">
        <v>78</v>
      </c>
      <c r="D1000" s="0" t="s">
        <v>90</v>
      </c>
      <c r="E1000" s="0" t="n">
        <v>1</v>
      </c>
      <c r="F1000" s="0" t="s">
        <v>37</v>
      </c>
      <c r="H1000" s="0" t="s">
        <v>457</v>
      </c>
      <c r="I1000" s="0" t="s">
        <v>457</v>
      </c>
      <c r="J1000" s="0" t="s">
        <v>457</v>
      </c>
      <c r="K1000" s="0" t="s">
        <v>457</v>
      </c>
      <c r="L1000" s="0" t="s">
        <v>457</v>
      </c>
      <c r="M1000" s="0" t="s">
        <v>457</v>
      </c>
      <c r="R1000" s="0" t="s">
        <v>81</v>
      </c>
    </row>
    <row r="1001" customFormat="false" ht="15" hidden="false" customHeight="false" outlineLevel="0" collapsed="false">
      <c r="A1001" s="0" t="s">
        <v>178</v>
      </c>
      <c r="B1001" s="0" t="n">
        <v>2021</v>
      </c>
      <c r="C1001" s="0" t="s">
        <v>78</v>
      </c>
      <c r="D1001" s="0" t="s">
        <v>90</v>
      </c>
      <c r="E1001" s="0" t="n">
        <v>1</v>
      </c>
      <c r="F1001" s="0" t="s">
        <v>23</v>
      </c>
      <c r="H1001" s="0" t="s">
        <v>457</v>
      </c>
      <c r="I1001" s="0" t="s">
        <v>457</v>
      </c>
      <c r="J1001" s="0" t="s">
        <v>457</v>
      </c>
      <c r="K1001" s="0" t="s">
        <v>457</v>
      </c>
      <c r="L1001" s="0" t="s">
        <v>457</v>
      </c>
      <c r="M1001" s="0" t="s">
        <v>457</v>
      </c>
      <c r="R1001" s="0" t="s">
        <v>81</v>
      </c>
    </row>
    <row r="1002" customFormat="false" ht="15" hidden="false" customHeight="false" outlineLevel="0" collapsed="false">
      <c r="A1002" s="0" t="s">
        <v>178</v>
      </c>
      <c r="B1002" s="0" t="n">
        <v>2021</v>
      </c>
      <c r="C1002" s="0" t="s">
        <v>78</v>
      </c>
      <c r="D1002" s="0" t="s">
        <v>90</v>
      </c>
      <c r="E1002" s="0" t="n">
        <v>1</v>
      </c>
      <c r="F1002" s="0" t="s">
        <v>45</v>
      </c>
      <c r="H1002" s="0" t="s">
        <v>457</v>
      </c>
      <c r="I1002" s="0" t="s">
        <v>457</v>
      </c>
      <c r="J1002" s="0" t="s">
        <v>457</v>
      </c>
      <c r="K1002" s="0" t="s">
        <v>457</v>
      </c>
      <c r="L1002" s="0" t="s">
        <v>457</v>
      </c>
      <c r="M1002" s="0" t="s">
        <v>457</v>
      </c>
      <c r="R1002" s="0" t="s">
        <v>81</v>
      </c>
    </row>
    <row r="1003" customFormat="false" ht="15" hidden="false" customHeight="false" outlineLevel="0" collapsed="false">
      <c r="A1003" s="0" t="s">
        <v>178</v>
      </c>
      <c r="B1003" s="0" t="n">
        <v>2021</v>
      </c>
      <c r="C1003" s="0" t="s">
        <v>78</v>
      </c>
      <c r="D1003" s="0" t="s">
        <v>90</v>
      </c>
      <c r="E1003" s="0" t="n">
        <v>1</v>
      </c>
      <c r="F1003" s="0" t="s">
        <v>71</v>
      </c>
      <c r="G1003" s="0" t="n">
        <v>47.56</v>
      </c>
      <c r="H1003" s="0" t="s">
        <v>437</v>
      </c>
      <c r="I1003" s="0" t="s">
        <v>437</v>
      </c>
      <c r="J1003" s="0" t="s">
        <v>437</v>
      </c>
      <c r="K1003" s="0" t="s">
        <v>437</v>
      </c>
      <c r="L1003" s="0" t="s">
        <v>437</v>
      </c>
      <c r="M1003" s="0" t="s">
        <v>457</v>
      </c>
      <c r="R1003" s="0" t="s">
        <v>81</v>
      </c>
    </row>
    <row r="1004" customFormat="false" ht="15" hidden="false" customHeight="false" outlineLevel="0" collapsed="false">
      <c r="A1004" s="0" t="s">
        <v>178</v>
      </c>
      <c r="B1004" s="0" t="n">
        <v>2021</v>
      </c>
      <c r="C1004" s="0" t="s">
        <v>78</v>
      </c>
      <c r="D1004" s="0" t="s">
        <v>90</v>
      </c>
      <c r="E1004" s="0" t="n">
        <v>1</v>
      </c>
      <c r="F1004" s="0" t="s">
        <v>31</v>
      </c>
      <c r="G1004" s="0" t="n">
        <v>91.0026339126841</v>
      </c>
      <c r="H1004" s="0" t="s">
        <v>437</v>
      </c>
      <c r="I1004" s="0" t="s">
        <v>437</v>
      </c>
      <c r="J1004" s="0" t="s">
        <v>437</v>
      </c>
      <c r="K1004" s="0" t="s">
        <v>437</v>
      </c>
      <c r="L1004" s="0" t="s">
        <v>437</v>
      </c>
      <c r="M1004" s="0" t="s">
        <v>457</v>
      </c>
      <c r="R1004" s="0" t="s">
        <v>81</v>
      </c>
    </row>
    <row r="1005" customFormat="false" ht="15" hidden="false" customHeight="false" outlineLevel="0" collapsed="false">
      <c r="A1005" s="0" t="s">
        <v>178</v>
      </c>
      <c r="B1005" s="0" t="n">
        <v>2022</v>
      </c>
      <c r="C1005" s="0" t="s">
        <v>78</v>
      </c>
      <c r="D1005" s="0" t="s">
        <v>90</v>
      </c>
      <c r="E1005" s="0" t="n">
        <v>1</v>
      </c>
      <c r="F1005" s="0" t="s">
        <v>73</v>
      </c>
      <c r="H1005" s="0" t="s">
        <v>457</v>
      </c>
      <c r="I1005" s="0" t="s">
        <v>457</v>
      </c>
      <c r="J1005" s="0" t="s">
        <v>457</v>
      </c>
      <c r="K1005" s="0" t="s">
        <v>457</v>
      </c>
      <c r="L1005" s="0" t="s">
        <v>457</v>
      </c>
      <c r="M1005" s="0" t="s">
        <v>457</v>
      </c>
      <c r="R1005" s="0" t="s">
        <v>81</v>
      </c>
    </row>
    <row r="1006" customFormat="false" ht="15" hidden="false" customHeight="false" outlineLevel="0" collapsed="false">
      <c r="A1006" s="0" t="s">
        <v>178</v>
      </c>
      <c r="B1006" s="0" t="n">
        <v>2022</v>
      </c>
      <c r="C1006" s="0" t="s">
        <v>78</v>
      </c>
      <c r="D1006" s="0" t="s">
        <v>90</v>
      </c>
      <c r="E1006" s="0" t="n">
        <v>1</v>
      </c>
      <c r="F1006" s="0" t="s">
        <v>69</v>
      </c>
      <c r="G1006" s="0" t="n">
        <v>21.9</v>
      </c>
      <c r="H1006" s="0" t="s">
        <v>437</v>
      </c>
      <c r="I1006" s="0" t="s">
        <v>437</v>
      </c>
      <c r="J1006" s="0" t="s">
        <v>437</v>
      </c>
      <c r="K1006" s="0" t="s">
        <v>437</v>
      </c>
      <c r="L1006" s="0" t="s">
        <v>437</v>
      </c>
      <c r="M1006" s="0" t="s">
        <v>457</v>
      </c>
      <c r="R1006" s="0" t="s">
        <v>81</v>
      </c>
    </row>
    <row r="1007" customFormat="false" ht="15" hidden="false" customHeight="false" outlineLevel="0" collapsed="false">
      <c r="A1007" s="0" t="s">
        <v>178</v>
      </c>
      <c r="B1007" s="0" t="n">
        <v>2022</v>
      </c>
      <c r="C1007" s="0" t="s">
        <v>78</v>
      </c>
      <c r="D1007" s="0" t="s">
        <v>90</v>
      </c>
      <c r="E1007" s="0" t="n">
        <v>1</v>
      </c>
      <c r="F1007" s="0" t="s">
        <v>25</v>
      </c>
      <c r="G1007" s="0" t="n">
        <v>21.8530631072842</v>
      </c>
      <c r="H1007" s="0" t="s">
        <v>437</v>
      </c>
      <c r="I1007" s="0" t="s">
        <v>437</v>
      </c>
      <c r="J1007" s="0" t="s">
        <v>437</v>
      </c>
      <c r="K1007" s="0" t="s">
        <v>437</v>
      </c>
      <c r="L1007" s="0" t="s">
        <v>437</v>
      </c>
      <c r="M1007" s="0" t="s">
        <v>457</v>
      </c>
      <c r="R1007" s="0" t="s">
        <v>81</v>
      </c>
    </row>
    <row r="1008" customFormat="false" ht="15" hidden="false" customHeight="false" outlineLevel="0" collapsed="false">
      <c r="A1008" s="0" t="s">
        <v>178</v>
      </c>
      <c r="B1008" s="0" t="n">
        <v>2022</v>
      </c>
      <c r="C1008" s="0" t="s">
        <v>78</v>
      </c>
      <c r="D1008" s="0" t="s">
        <v>90</v>
      </c>
      <c r="E1008" s="0" t="n">
        <v>1</v>
      </c>
      <c r="F1008" s="0" t="s">
        <v>41</v>
      </c>
      <c r="G1008" s="0" t="n">
        <v>2.06703452839436</v>
      </c>
      <c r="H1008" s="0" t="s">
        <v>437</v>
      </c>
      <c r="I1008" s="0" t="s">
        <v>437</v>
      </c>
      <c r="J1008" s="0" t="s">
        <v>437</v>
      </c>
      <c r="K1008" s="0" t="s">
        <v>437</v>
      </c>
      <c r="L1008" s="0" t="s">
        <v>437</v>
      </c>
      <c r="M1008" s="0" t="s">
        <v>457</v>
      </c>
      <c r="R1008" s="0" t="s">
        <v>81</v>
      </c>
    </row>
    <row r="1009" customFormat="false" ht="15" hidden="false" customHeight="false" outlineLevel="0" collapsed="false">
      <c r="A1009" s="0" t="s">
        <v>178</v>
      </c>
      <c r="B1009" s="0" t="n">
        <v>2022</v>
      </c>
      <c r="C1009" s="0" t="s">
        <v>78</v>
      </c>
      <c r="D1009" s="0" t="s">
        <v>90</v>
      </c>
      <c r="E1009" s="0" t="n">
        <v>1</v>
      </c>
      <c r="F1009" s="0" t="s">
        <v>27</v>
      </c>
      <c r="G1009" s="0" t="n">
        <v>7.94986417687491</v>
      </c>
      <c r="H1009" s="0" t="s">
        <v>437</v>
      </c>
      <c r="I1009" s="0" t="s">
        <v>437</v>
      </c>
      <c r="J1009" s="0" t="s">
        <v>437</v>
      </c>
      <c r="K1009" s="0" t="s">
        <v>437</v>
      </c>
      <c r="L1009" s="0" t="s">
        <v>437</v>
      </c>
      <c r="M1009" s="0" t="s">
        <v>457</v>
      </c>
      <c r="R1009" s="0" t="s">
        <v>81</v>
      </c>
    </row>
    <row r="1010" customFormat="false" ht="15" hidden="false" customHeight="false" outlineLevel="0" collapsed="false">
      <c r="A1010" s="0" t="s">
        <v>178</v>
      </c>
      <c r="B1010" s="0" t="n">
        <v>2022</v>
      </c>
      <c r="C1010" s="0" t="s">
        <v>78</v>
      </c>
      <c r="D1010" s="0" t="s">
        <v>90</v>
      </c>
      <c r="E1010" s="0" t="n">
        <v>1</v>
      </c>
      <c r="F1010" s="0" t="s">
        <v>39</v>
      </c>
      <c r="G1010" s="0" t="n">
        <v>16.4382553521099</v>
      </c>
      <c r="H1010" s="0" t="s">
        <v>437</v>
      </c>
      <c r="I1010" s="0" t="s">
        <v>437</v>
      </c>
      <c r="J1010" s="0" t="s">
        <v>437</v>
      </c>
      <c r="K1010" s="0" t="s">
        <v>437</v>
      </c>
      <c r="L1010" s="0" t="s">
        <v>437</v>
      </c>
      <c r="M1010" s="0" t="s">
        <v>457</v>
      </c>
      <c r="R1010" s="0" t="s">
        <v>81</v>
      </c>
    </row>
    <row r="1011" customFormat="false" ht="15" hidden="false" customHeight="false" outlineLevel="0" collapsed="false">
      <c r="A1011" s="0" t="s">
        <v>178</v>
      </c>
      <c r="B1011" s="0" t="n">
        <v>2022</v>
      </c>
      <c r="C1011" s="0" t="s">
        <v>78</v>
      </c>
      <c r="D1011" s="0" t="s">
        <v>90</v>
      </c>
      <c r="E1011" s="0" t="n">
        <v>1</v>
      </c>
      <c r="F1011" s="0" t="s">
        <v>17</v>
      </c>
      <c r="G1011" s="0" t="n">
        <v>2.37642537471624</v>
      </c>
      <c r="H1011" s="0" t="s">
        <v>437</v>
      </c>
      <c r="I1011" s="0" t="s">
        <v>437</v>
      </c>
      <c r="J1011" s="0" t="s">
        <v>437</v>
      </c>
      <c r="K1011" s="0" t="s">
        <v>437</v>
      </c>
      <c r="L1011" s="0" t="s">
        <v>437</v>
      </c>
      <c r="M1011" s="0" t="s">
        <v>457</v>
      </c>
      <c r="R1011" s="0" t="s">
        <v>81</v>
      </c>
    </row>
    <row r="1012" customFormat="false" ht="15" hidden="false" customHeight="false" outlineLevel="0" collapsed="false">
      <c r="A1012" s="0" t="s">
        <v>178</v>
      </c>
      <c r="B1012" s="0" t="n">
        <v>2022</v>
      </c>
      <c r="C1012" s="0" t="s">
        <v>78</v>
      </c>
      <c r="D1012" s="0" t="s">
        <v>90</v>
      </c>
      <c r="E1012" s="0" t="n">
        <v>1</v>
      </c>
      <c r="F1012" s="0" t="s">
        <v>29</v>
      </c>
      <c r="G1012" s="0" t="n">
        <v>0.163342357231977</v>
      </c>
      <c r="H1012" s="0" t="s">
        <v>437</v>
      </c>
      <c r="I1012" s="0" t="s">
        <v>437</v>
      </c>
      <c r="J1012" s="0" t="s">
        <v>437</v>
      </c>
      <c r="K1012" s="0" t="s">
        <v>437</v>
      </c>
      <c r="L1012" s="0" t="s">
        <v>437</v>
      </c>
      <c r="M1012" s="0" t="s">
        <v>457</v>
      </c>
      <c r="R1012" s="0" t="s">
        <v>81</v>
      </c>
    </row>
    <row r="1013" customFormat="false" ht="15" hidden="false" customHeight="false" outlineLevel="0" collapsed="false">
      <c r="A1013" s="0" t="s">
        <v>178</v>
      </c>
      <c r="B1013" s="0" t="n">
        <v>2022</v>
      </c>
      <c r="C1013" s="0" t="s">
        <v>78</v>
      </c>
      <c r="D1013" s="0" t="s">
        <v>90</v>
      </c>
      <c r="E1013" s="0" t="n">
        <v>1</v>
      </c>
      <c r="F1013" s="0" t="s">
        <v>37</v>
      </c>
      <c r="H1013" s="0" t="s">
        <v>457</v>
      </c>
      <c r="I1013" s="0" t="s">
        <v>457</v>
      </c>
      <c r="J1013" s="0" t="s">
        <v>457</v>
      </c>
      <c r="K1013" s="0" t="s">
        <v>457</v>
      </c>
      <c r="L1013" s="0" t="s">
        <v>457</v>
      </c>
      <c r="M1013" s="0" t="s">
        <v>457</v>
      </c>
      <c r="R1013" s="0" t="s">
        <v>81</v>
      </c>
    </row>
    <row r="1014" customFormat="false" ht="15" hidden="false" customHeight="false" outlineLevel="0" collapsed="false">
      <c r="A1014" s="0" t="s">
        <v>178</v>
      </c>
      <c r="B1014" s="0" t="n">
        <v>2022</v>
      </c>
      <c r="C1014" s="0" t="s">
        <v>78</v>
      </c>
      <c r="D1014" s="0" t="s">
        <v>90</v>
      </c>
      <c r="E1014" s="0" t="n">
        <v>1</v>
      </c>
      <c r="F1014" s="0" t="s">
        <v>23</v>
      </c>
      <c r="H1014" s="0" t="s">
        <v>457</v>
      </c>
      <c r="I1014" s="0" t="s">
        <v>457</v>
      </c>
      <c r="J1014" s="0" t="s">
        <v>457</v>
      </c>
      <c r="K1014" s="0" t="s">
        <v>457</v>
      </c>
      <c r="L1014" s="0" t="s">
        <v>457</v>
      </c>
      <c r="M1014" s="0" t="s">
        <v>457</v>
      </c>
      <c r="R1014" s="0" t="s">
        <v>81</v>
      </c>
    </row>
    <row r="1015" customFormat="false" ht="15" hidden="false" customHeight="false" outlineLevel="0" collapsed="false">
      <c r="A1015" s="0" t="s">
        <v>178</v>
      </c>
      <c r="B1015" s="0" t="n">
        <v>2022</v>
      </c>
      <c r="C1015" s="0" t="s">
        <v>78</v>
      </c>
      <c r="D1015" s="0" t="s">
        <v>90</v>
      </c>
      <c r="E1015" s="0" t="n">
        <v>1</v>
      </c>
      <c r="F1015" s="0" t="s">
        <v>45</v>
      </c>
      <c r="H1015" s="0" t="s">
        <v>457</v>
      </c>
      <c r="I1015" s="0" t="s">
        <v>457</v>
      </c>
      <c r="J1015" s="0" t="s">
        <v>457</v>
      </c>
      <c r="K1015" s="0" t="s">
        <v>457</v>
      </c>
      <c r="L1015" s="0" t="s">
        <v>457</v>
      </c>
      <c r="M1015" s="0" t="s">
        <v>457</v>
      </c>
      <c r="R1015" s="0" t="s">
        <v>81</v>
      </c>
    </row>
    <row r="1016" customFormat="false" ht="15" hidden="false" customHeight="false" outlineLevel="0" collapsed="false">
      <c r="A1016" s="0" t="s">
        <v>178</v>
      </c>
      <c r="B1016" s="0" t="n">
        <v>2022</v>
      </c>
      <c r="C1016" s="0" t="s">
        <v>78</v>
      </c>
      <c r="D1016" s="0" t="s">
        <v>90</v>
      </c>
      <c r="E1016" s="0" t="n">
        <v>1</v>
      </c>
      <c r="F1016" s="0" t="s">
        <v>71</v>
      </c>
      <c r="H1016" s="0" t="s">
        <v>457</v>
      </c>
      <c r="I1016" s="0" t="s">
        <v>457</v>
      </c>
      <c r="J1016" s="0" t="s">
        <v>457</v>
      </c>
      <c r="K1016" s="0" t="s">
        <v>457</v>
      </c>
      <c r="L1016" s="0" t="s">
        <v>457</v>
      </c>
      <c r="M1016" s="0" t="s">
        <v>457</v>
      </c>
      <c r="O1016" s="0" t="s">
        <v>2589</v>
      </c>
      <c r="P1016" s="0" t="s">
        <v>2590</v>
      </c>
      <c r="R1016" s="0" t="s">
        <v>81</v>
      </c>
    </row>
    <row r="1017" customFormat="false" ht="15" hidden="false" customHeight="false" outlineLevel="0" collapsed="false">
      <c r="A1017" s="0" t="s">
        <v>178</v>
      </c>
      <c r="B1017" s="0" t="n">
        <v>2022</v>
      </c>
      <c r="C1017" s="0" t="s">
        <v>78</v>
      </c>
      <c r="D1017" s="0" t="s">
        <v>90</v>
      </c>
      <c r="E1017" s="0" t="n">
        <v>1</v>
      </c>
      <c r="F1017" s="0" t="s">
        <v>31</v>
      </c>
      <c r="G1017" s="0" t="n">
        <v>92.0501358231251</v>
      </c>
      <c r="H1017" s="0" t="s">
        <v>437</v>
      </c>
      <c r="I1017" s="0" t="s">
        <v>437</v>
      </c>
      <c r="J1017" s="0" t="s">
        <v>437</v>
      </c>
      <c r="K1017" s="0" t="s">
        <v>437</v>
      </c>
      <c r="L1017" s="0" t="s">
        <v>437</v>
      </c>
      <c r="M1017" s="0" t="s">
        <v>457</v>
      </c>
      <c r="R1017" s="0" t="s">
        <v>81</v>
      </c>
    </row>
    <row r="1018" customFormat="false" ht="15" hidden="false" customHeight="false" outlineLevel="0" collapsed="false">
      <c r="A1018" s="0" t="s">
        <v>187</v>
      </c>
      <c r="B1018" s="0" t="n">
        <v>2013</v>
      </c>
      <c r="C1018" s="0" t="s">
        <v>101</v>
      </c>
      <c r="D1018" s="0" t="s">
        <v>79</v>
      </c>
      <c r="E1018" s="0" t="n">
        <v>0</v>
      </c>
      <c r="F1018" s="0" t="s">
        <v>73</v>
      </c>
      <c r="H1018" s="0" t="s">
        <v>457</v>
      </c>
      <c r="I1018" s="0" t="s">
        <v>457</v>
      </c>
      <c r="J1018" s="0" t="s">
        <v>457</v>
      </c>
      <c r="K1018" s="0" t="s">
        <v>457</v>
      </c>
      <c r="L1018" s="0" t="s">
        <v>457</v>
      </c>
      <c r="M1018" s="0" t="s">
        <v>457</v>
      </c>
      <c r="R1018" s="0" t="s">
        <v>81</v>
      </c>
    </row>
    <row r="1019" customFormat="false" ht="15" hidden="false" customHeight="false" outlineLevel="0" collapsed="false">
      <c r="A1019" s="0" t="s">
        <v>187</v>
      </c>
      <c r="B1019" s="0" t="n">
        <v>2013</v>
      </c>
      <c r="C1019" s="0" t="s">
        <v>101</v>
      </c>
      <c r="D1019" s="0" t="s">
        <v>79</v>
      </c>
      <c r="E1019" s="0" t="n">
        <v>0</v>
      </c>
      <c r="F1019" s="0" t="s">
        <v>69</v>
      </c>
      <c r="G1019" s="0" t="n">
        <v>24.8</v>
      </c>
      <c r="H1019" s="0" t="s">
        <v>437</v>
      </c>
      <c r="I1019" s="0" t="s">
        <v>437</v>
      </c>
      <c r="J1019" s="0" t="s">
        <v>437</v>
      </c>
      <c r="K1019" s="0" t="s">
        <v>457</v>
      </c>
      <c r="L1019" s="0" t="s">
        <v>437</v>
      </c>
      <c r="M1019" s="0" t="s">
        <v>457</v>
      </c>
      <c r="R1019" s="0" t="s">
        <v>81</v>
      </c>
    </row>
    <row r="1020" customFormat="false" ht="15" hidden="false" customHeight="false" outlineLevel="0" collapsed="false">
      <c r="A1020" s="0" t="s">
        <v>187</v>
      </c>
      <c r="B1020" s="0" t="n">
        <v>2013</v>
      </c>
      <c r="C1020" s="0" t="s">
        <v>101</v>
      </c>
      <c r="D1020" s="0" t="s">
        <v>79</v>
      </c>
      <c r="E1020" s="0" t="n">
        <v>0</v>
      </c>
      <c r="F1020" s="0" t="s">
        <v>25</v>
      </c>
      <c r="H1020" s="0" t="s">
        <v>457</v>
      </c>
      <c r="I1020" s="0" t="s">
        <v>457</v>
      </c>
      <c r="J1020" s="0" t="s">
        <v>457</v>
      </c>
      <c r="K1020" s="0" t="s">
        <v>457</v>
      </c>
      <c r="L1020" s="0" t="s">
        <v>457</v>
      </c>
      <c r="M1020" s="0" t="s">
        <v>457</v>
      </c>
      <c r="R1020" s="0" t="s">
        <v>81</v>
      </c>
    </row>
    <row r="1021" customFormat="false" ht="15" hidden="false" customHeight="false" outlineLevel="0" collapsed="false">
      <c r="A1021" s="0" t="s">
        <v>187</v>
      </c>
      <c r="B1021" s="0" t="n">
        <v>2013</v>
      </c>
      <c r="C1021" s="0" t="s">
        <v>101</v>
      </c>
      <c r="D1021" s="0" t="s">
        <v>79</v>
      </c>
      <c r="E1021" s="0" t="n">
        <v>0</v>
      </c>
      <c r="F1021" s="0" t="s">
        <v>41</v>
      </c>
      <c r="H1021" s="0" t="s">
        <v>457</v>
      </c>
      <c r="I1021" s="0" t="s">
        <v>457</v>
      </c>
      <c r="J1021" s="0" t="s">
        <v>457</v>
      </c>
      <c r="K1021" s="0" t="s">
        <v>457</v>
      </c>
      <c r="L1021" s="0" t="s">
        <v>457</v>
      </c>
      <c r="M1021" s="0" t="s">
        <v>457</v>
      </c>
      <c r="R1021" s="0" t="s">
        <v>81</v>
      </c>
    </row>
    <row r="1022" customFormat="false" ht="15" hidden="false" customHeight="false" outlineLevel="0" collapsed="false">
      <c r="A1022" s="0" t="s">
        <v>187</v>
      </c>
      <c r="B1022" s="0" t="n">
        <v>2013</v>
      </c>
      <c r="C1022" s="0" t="s">
        <v>101</v>
      </c>
      <c r="D1022" s="0" t="s">
        <v>79</v>
      </c>
      <c r="E1022" s="0" t="n">
        <v>0</v>
      </c>
      <c r="F1022" s="0" t="s">
        <v>27</v>
      </c>
      <c r="G1022" s="0" t="n">
        <v>21.2883617107869</v>
      </c>
      <c r="H1022" s="0" t="s">
        <v>437</v>
      </c>
      <c r="I1022" s="0" t="s">
        <v>437</v>
      </c>
      <c r="J1022" s="0" t="s">
        <v>437</v>
      </c>
      <c r="K1022" s="0" t="s">
        <v>457</v>
      </c>
      <c r="L1022" s="0" t="s">
        <v>437</v>
      </c>
      <c r="M1022" s="0" t="s">
        <v>457</v>
      </c>
      <c r="R1022" s="0" t="s">
        <v>81</v>
      </c>
    </row>
    <row r="1023" customFormat="false" ht="15" hidden="false" customHeight="false" outlineLevel="0" collapsed="false">
      <c r="A1023" s="0" t="s">
        <v>187</v>
      </c>
      <c r="B1023" s="0" t="n">
        <v>2013</v>
      </c>
      <c r="C1023" s="0" t="s">
        <v>101</v>
      </c>
      <c r="D1023" s="0" t="s">
        <v>79</v>
      </c>
      <c r="E1023" s="0" t="n">
        <v>0</v>
      </c>
      <c r="F1023" s="0" t="s">
        <v>39</v>
      </c>
      <c r="H1023" s="0" t="s">
        <v>457</v>
      </c>
      <c r="I1023" s="0" t="s">
        <v>457</v>
      </c>
      <c r="J1023" s="0" t="s">
        <v>457</v>
      </c>
      <c r="K1023" s="0" t="s">
        <v>457</v>
      </c>
      <c r="L1023" s="0" t="s">
        <v>457</v>
      </c>
      <c r="M1023" s="0" t="s">
        <v>457</v>
      </c>
      <c r="R1023" s="0" t="s">
        <v>81</v>
      </c>
    </row>
    <row r="1024" customFormat="false" ht="15" hidden="false" customHeight="false" outlineLevel="0" collapsed="false">
      <c r="A1024" s="0" t="s">
        <v>187</v>
      </c>
      <c r="B1024" s="0" t="n">
        <v>2013</v>
      </c>
      <c r="C1024" s="0" t="s">
        <v>101</v>
      </c>
      <c r="D1024" s="0" t="s">
        <v>79</v>
      </c>
      <c r="E1024" s="0" t="n">
        <v>0</v>
      </c>
      <c r="F1024" s="0" t="s">
        <v>17</v>
      </c>
      <c r="G1024" s="0" t="n">
        <v>8.92943828016644</v>
      </c>
      <c r="H1024" s="0" t="s">
        <v>437</v>
      </c>
      <c r="I1024" s="0" t="s">
        <v>437</v>
      </c>
      <c r="J1024" s="0" t="s">
        <v>437</v>
      </c>
      <c r="K1024" s="0" t="s">
        <v>457</v>
      </c>
      <c r="L1024" s="0" t="s">
        <v>437</v>
      </c>
      <c r="M1024" s="0" t="s">
        <v>457</v>
      </c>
      <c r="R1024" s="0" t="s">
        <v>81</v>
      </c>
    </row>
    <row r="1025" customFormat="false" ht="15" hidden="false" customHeight="false" outlineLevel="0" collapsed="false">
      <c r="A1025" s="0" t="s">
        <v>187</v>
      </c>
      <c r="B1025" s="0" t="n">
        <v>2013</v>
      </c>
      <c r="C1025" s="0" t="s">
        <v>101</v>
      </c>
      <c r="D1025" s="0" t="s">
        <v>79</v>
      </c>
      <c r="E1025" s="0" t="n">
        <v>0</v>
      </c>
      <c r="F1025" s="0" t="s">
        <v>29</v>
      </c>
      <c r="H1025" s="0" t="s">
        <v>457</v>
      </c>
      <c r="I1025" s="0" t="s">
        <v>457</v>
      </c>
      <c r="J1025" s="0" t="s">
        <v>457</v>
      </c>
      <c r="K1025" s="0" t="s">
        <v>457</v>
      </c>
      <c r="L1025" s="0" t="s">
        <v>457</v>
      </c>
      <c r="M1025" s="0" t="s">
        <v>457</v>
      </c>
      <c r="R1025" s="0" t="s">
        <v>81</v>
      </c>
    </row>
    <row r="1026" customFormat="false" ht="15" hidden="false" customHeight="false" outlineLevel="0" collapsed="false">
      <c r="A1026" s="0" t="s">
        <v>187</v>
      </c>
      <c r="B1026" s="0" t="n">
        <v>2013</v>
      </c>
      <c r="C1026" s="0" t="s">
        <v>101</v>
      </c>
      <c r="D1026" s="0" t="s">
        <v>79</v>
      </c>
      <c r="E1026" s="0" t="n">
        <v>0</v>
      </c>
      <c r="F1026" s="0" t="s">
        <v>37</v>
      </c>
      <c r="G1026" s="0" t="n">
        <v>5.91366158113731</v>
      </c>
      <c r="H1026" s="0" t="s">
        <v>437</v>
      </c>
      <c r="I1026" s="0" t="s">
        <v>437</v>
      </c>
      <c r="J1026" s="0" t="s">
        <v>437</v>
      </c>
      <c r="K1026" s="0" t="s">
        <v>457</v>
      </c>
      <c r="L1026" s="0" t="s">
        <v>437</v>
      </c>
      <c r="M1026" s="0" t="s">
        <v>457</v>
      </c>
      <c r="R1026" s="0" t="s">
        <v>81</v>
      </c>
    </row>
    <row r="1027" customFormat="false" ht="15" hidden="false" customHeight="false" outlineLevel="0" collapsed="false">
      <c r="A1027" s="0" t="s">
        <v>187</v>
      </c>
      <c r="B1027" s="0" t="n">
        <v>2013</v>
      </c>
      <c r="C1027" s="0" t="s">
        <v>101</v>
      </c>
      <c r="D1027" s="0" t="s">
        <v>79</v>
      </c>
      <c r="E1027" s="0" t="n">
        <v>0</v>
      </c>
      <c r="F1027" s="0" t="s">
        <v>23</v>
      </c>
      <c r="G1027" s="0" t="n">
        <v>150.996775139255</v>
      </c>
      <c r="H1027" s="0" t="s">
        <v>437</v>
      </c>
      <c r="I1027" s="0" t="s">
        <v>437</v>
      </c>
      <c r="J1027" s="0" t="s">
        <v>437</v>
      </c>
      <c r="K1027" s="0" t="s">
        <v>457</v>
      </c>
      <c r="L1027" s="0" t="s">
        <v>437</v>
      </c>
      <c r="M1027" s="0" t="s">
        <v>457</v>
      </c>
      <c r="R1027" s="0" t="s">
        <v>81</v>
      </c>
    </row>
    <row r="1028" customFormat="false" ht="15" hidden="false" customHeight="false" outlineLevel="0" collapsed="false">
      <c r="A1028" s="0" t="s">
        <v>187</v>
      </c>
      <c r="B1028" s="0" t="n">
        <v>2013</v>
      </c>
      <c r="C1028" s="0" t="s">
        <v>101</v>
      </c>
      <c r="D1028" s="0" t="s">
        <v>79</v>
      </c>
      <c r="E1028" s="0" t="n">
        <v>0</v>
      </c>
      <c r="F1028" s="0" t="s">
        <v>45</v>
      </c>
      <c r="H1028" s="0" t="s">
        <v>457</v>
      </c>
      <c r="I1028" s="0" t="s">
        <v>457</v>
      </c>
      <c r="J1028" s="0" t="s">
        <v>457</v>
      </c>
      <c r="K1028" s="0" t="s">
        <v>457</v>
      </c>
      <c r="L1028" s="0" t="s">
        <v>457</v>
      </c>
      <c r="M1028" s="0" t="s">
        <v>457</v>
      </c>
      <c r="R1028" s="0" t="s">
        <v>81</v>
      </c>
    </row>
    <row r="1029" customFormat="false" ht="15" hidden="false" customHeight="false" outlineLevel="0" collapsed="false">
      <c r="A1029" s="0" t="s">
        <v>187</v>
      </c>
      <c r="B1029" s="0" t="n">
        <v>2013</v>
      </c>
      <c r="C1029" s="0" t="s">
        <v>101</v>
      </c>
      <c r="D1029" s="0" t="s">
        <v>79</v>
      </c>
      <c r="E1029" s="0" t="n">
        <v>0</v>
      </c>
      <c r="F1029" s="0" t="s">
        <v>71</v>
      </c>
      <c r="H1029" s="0" t="s">
        <v>457</v>
      </c>
      <c r="I1029" s="0" t="s">
        <v>457</v>
      </c>
      <c r="J1029" s="0" t="s">
        <v>457</v>
      </c>
      <c r="K1029" s="0" t="s">
        <v>457</v>
      </c>
      <c r="L1029" s="0" t="s">
        <v>457</v>
      </c>
      <c r="M1029" s="0" t="s">
        <v>457</v>
      </c>
      <c r="R1029" s="0" t="s">
        <v>81</v>
      </c>
    </row>
    <row r="1030" customFormat="false" ht="15" hidden="false" customHeight="false" outlineLevel="0" collapsed="false">
      <c r="A1030" s="0" t="s">
        <v>187</v>
      </c>
      <c r="B1030" s="0" t="n">
        <v>2013</v>
      </c>
      <c r="C1030" s="0" t="s">
        <v>101</v>
      </c>
      <c r="D1030" s="0" t="s">
        <v>79</v>
      </c>
      <c r="E1030" s="0" t="n">
        <v>0</v>
      </c>
      <c r="F1030" s="0" t="s">
        <v>31</v>
      </c>
      <c r="G1030" s="0" t="n">
        <v>78.7116382892131</v>
      </c>
      <c r="H1030" s="0" t="s">
        <v>437</v>
      </c>
      <c r="I1030" s="0" t="s">
        <v>437</v>
      </c>
      <c r="J1030" s="0" t="s">
        <v>437</v>
      </c>
      <c r="K1030" s="0" t="s">
        <v>457</v>
      </c>
      <c r="L1030" s="0" t="s">
        <v>437</v>
      </c>
      <c r="M1030" s="0" t="s">
        <v>457</v>
      </c>
      <c r="R1030" s="0" t="s">
        <v>81</v>
      </c>
    </row>
    <row r="1031" customFormat="false" ht="15" hidden="false" customHeight="false" outlineLevel="0" collapsed="false">
      <c r="A1031" s="0" t="s">
        <v>187</v>
      </c>
      <c r="B1031" s="0" t="n">
        <v>2014</v>
      </c>
      <c r="C1031" s="0" t="s">
        <v>101</v>
      </c>
      <c r="D1031" s="0" t="s">
        <v>79</v>
      </c>
      <c r="E1031" s="0" t="n">
        <v>0</v>
      </c>
      <c r="F1031" s="0" t="s">
        <v>73</v>
      </c>
      <c r="H1031" s="0" t="s">
        <v>457</v>
      </c>
      <c r="I1031" s="0" t="s">
        <v>457</v>
      </c>
      <c r="J1031" s="0" t="s">
        <v>457</v>
      </c>
      <c r="K1031" s="0" t="s">
        <v>457</v>
      </c>
      <c r="L1031" s="0" t="s">
        <v>457</v>
      </c>
      <c r="M1031" s="0" t="s">
        <v>457</v>
      </c>
      <c r="R1031" s="0" t="s">
        <v>81</v>
      </c>
    </row>
    <row r="1032" customFormat="false" ht="15" hidden="false" customHeight="false" outlineLevel="0" collapsed="false">
      <c r="A1032" s="0" t="s">
        <v>187</v>
      </c>
      <c r="B1032" s="0" t="n">
        <v>2014</v>
      </c>
      <c r="C1032" s="0" t="s">
        <v>101</v>
      </c>
      <c r="D1032" s="0" t="s">
        <v>79</v>
      </c>
      <c r="E1032" s="0" t="n">
        <v>0</v>
      </c>
      <c r="F1032" s="0" t="s">
        <v>69</v>
      </c>
      <c r="G1032" s="0" t="n">
        <v>16.39</v>
      </c>
      <c r="H1032" s="0" t="s">
        <v>437</v>
      </c>
      <c r="I1032" s="0" t="s">
        <v>437</v>
      </c>
      <c r="J1032" s="0" t="s">
        <v>437</v>
      </c>
      <c r="K1032" s="0" t="s">
        <v>437</v>
      </c>
      <c r="L1032" s="0" t="s">
        <v>437</v>
      </c>
      <c r="M1032" s="0" t="s">
        <v>457</v>
      </c>
      <c r="R1032" s="0" t="s">
        <v>81</v>
      </c>
    </row>
    <row r="1033" customFormat="false" ht="15" hidden="false" customHeight="false" outlineLevel="0" collapsed="false">
      <c r="A1033" s="0" t="s">
        <v>187</v>
      </c>
      <c r="B1033" s="0" t="n">
        <v>2014</v>
      </c>
      <c r="C1033" s="0" t="s">
        <v>101</v>
      </c>
      <c r="D1033" s="0" t="s">
        <v>79</v>
      </c>
      <c r="E1033" s="0" t="n">
        <v>0</v>
      </c>
      <c r="F1033" s="0" t="s">
        <v>25</v>
      </c>
      <c r="H1033" s="0" t="s">
        <v>457</v>
      </c>
      <c r="I1033" s="0" t="s">
        <v>457</v>
      </c>
      <c r="J1033" s="0" t="s">
        <v>457</v>
      </c>
      <c r="K1033" s="0" t="s">
        <v>457</v>
      </c>
      <c r="L1033" s="0" t="s">
        <v>457</v>
      </c>
      <c r="M1033" s="0" t="s">
        <v>457</v>
      </c>
      <c r="R1033" s="0" t="s">
        <v>81</v>
      </c>
    </row>
    <row r="1034" customFormat="false" ht="15" hidden="false" customHeight="false" outlineLevel="0" collapsed="false">
      <c r="A1034" s="0" t="s">
        <v>187</v>
      </c>
      <c r="B1034" s="0" t="n">
        <v>2014</v>
      </c>
      <c r="C1034" s="0" t="s">
        <v>101</v>
      </c>
      <c r="D1034" s="0" t="s">
        <v>79</v>
      </c>
      <c r="E1034" s="0" t="n">
        <v>0</v>
      </c>
      <c r="F1034" s="0" t="s">
        <v>41</v>
      </c>
      <c r="G1034" s="0" t="n">
        <v>2.27239323961347</v>
      </c>
      <c r="H1034" s="0" t="s">
        <v>437</v>
      </c>
      <c r="I1034" s="0" t="s">
        <v>437</v>
      </c>
      <c r="J1034" s="0" t="s">
        <v>437</v>
      </c>
      <c r="K1034" s="0" t="s">
        <v>457</v>
      </c>
      <c r="L1034" s="0" t="s">
        <v>437</v>
      </c>
      <c r="M1034" s="0" t="s">
        <v>457</v>
      </c>
      <c r="R1034" s="0" t="s">
        <v>81</v>
      </c>
    </row>
    <row r="1035" customFormat="false" ht="15" hidden="false" customHeight="false" outlineLevel="0" collapsed="false">
      <c r="A1035" s="0" t="s">
        <v>187</v>
      </c>
      <c r="B1035" s="0" t="n">
        <v>2014</v>
      </c>
      <c r="C1035" s="0" t="s">
        <v>101</v>
      </c>
      <c r="D1035" s="0" t="s">
        <v>79</v>
      </c>
      <c r="E1035" s="0" t="n">
        <v>0</v>
      </c>
      <c r="F1035" s="0" t="s">
        <v>27</v>
      </c>
      <c r="G1035" s="0" t="n">
        <v>22.3657235681958</v>
      </c>
      <c r="H1035" s="0" t="s">
        <v>437</v>
      </c>
      <c r="I1035" s="0" t="s">
        <v>437</v>
      </c>
      <c r="J1035" s="0" t="s">
        <v>437</v>
      </c>
      <c r="K1035" s="0" t="s">
        <v>437</v>
      </c>
      <c r="L1035" s="0" t="s">
        <v>437</v>
      </c>
      <c r="M1035" s="0" t="s">
        <v>457</v>
      </c>
      <c r="R1035" s="0" t="s">
        <v>81</v>
      </c>
    </row>
    <row r="1036" customFormat="false" ht="15" hidden="false" customHeight="false" outlineLevel="0" collapsed="false">
      <c r="A1036" s="0" t="s">
        <v>187</v>
      </c>
      <c r="B1036" s="0" t="n">
        <v>2014</v>
      </c>
      <c r="C1036" s="0" t="s">
        <v>101</v>
      </c>
      <c r="D1036" s="0" t="s">
        <v>79</v>
      </c>
      <c r="E1036" s="0" t="n">
        <v>0</v>
      </c>
      <c r="F1036" s="0" t="s">
        <v>39</v>
      </c>
      <c r="G1036" s="0" t="n">
        <v>-13.5279831262101</v>
      </c>
      <c r="H1036" s="0" t="s">
        <v>437</v>
      </c>
      <c r="I1036" s="0" t="s">
        <v>437</v>
      </c>
      <c r="J1036" s="0" t="s">
        <v>437</v>
      </c>
      <c r="K1036" s="0" t="s">
        <v>457</v>
      </c>
      <c r="L1036" s="0" t="s">
        <v>437</v>
      </c>
      <c r="M1036" s="0" t="s">
        <v>457</v>
      </c>
      <c r="R1036" s="0" t="s">
        <v>81</v>
      </c>
    </row>
    <row r="1037" customFormat="false" ht="15" hidden="false" customHeight="false" outlineLevel="0" collapsed="false">
      <c r="A1037" s="0" t="s">
        <v>187</v>
      </c>
      <c r="B1037" s="0" t="n">
        <v>2014</v>
      </c>
      <c r="C1037" s="0" t="s">
        <v>101</v>
      </c>
      <c r="D1037" s="0" t="s">
        <v>79</v>
      </c>
      <c r="E1037" s="0" t="n">
        <v>0</v>
      </c>
      <c r="F1037" s="0" t="s">
        <v>17</v>
      </c>
      <c r="G1037" s="0" t="n">
        <v>7.17609931603571</v>
      </c>
      <c r="H1037" s="0" t="s">
        <v>437</v>
      </c>
      <c r="I1037" s="0" t="s">
        <v>437</v>
      </c>
      <c r="J1037" s="0" t="s">
        <v>437</v>
      </c>
      <c r="K1037" s="0" t="s">
        <v>437</v>
      </c>
      <c r="L1037" s="0" t="s">
        <v>437</v>
      </c>
      <c r="M1037" s="0" t="s">
        <v>457</v>
      </c>
      <c r="R1037" s="0" t="s">
        <v>81</v>
      </c>
    </row>
    <row r="1038" customFormat="false" ht="15" hidden="false" customHeight="false" outlineLevel="0" collapsed="false">
      <c r="A1038" s="0" t="s">
        <v>187</v>
      </c>
      <c r="B1038" s="0" t="n">
        <v>2014</v>
      </c>
      <c r="C1038" s="0" t="s">
        <v>101</v>
      </c>
      <c r="D1038" s="0" t="s">
        <v>79</v>
      </c>
      <c r="E1038" s="0" t="n">
        <v>0</v>
      </c>
      <c r="F1038" s="0" t="s">
        <v>29</v>
      </c>
      <c r="H1038" s="0" t="s">
        <v>457</v>
      </c>
      <c r="I1038" s="0" t="s">
        <v>457</v>
      </c>
      <c r="J1038" s="0" t="s">
        <v>457</v>
      </c>
      <c r="K1038" s="0" t="s">
        <v>457</v>
      </c>
      <c r="L1038" s="0" t="s">
        <v>457</v>
      </c>
      <c r="M1038" s="0" t="s">
        <v>457</v>
      </c>
      <c r="R1038" s="0" t="s">
        <v>81</v>
      </c>
    </row>
    <row r="1039" customFormat="false" ht="15" hidden="false" customHeight="false" outlineLevel="0" collapsed="false">
      <c r="A1039" s="0" t="s">
        <v>187</v>
      </c>
      <c r="B1039" s="0" t="n">
        <v>2014</v>
      </c>
      <c r="C1039" s="0" t="s">
        <v>101</v>
      </c>
      <c r="D1039" s="0" t="s">
        <v>79</v>
      </c>
      <c r="E1039" s="0" t="n">
        <v>0</v>
      </c>
      <c r="F1039" s="0" t="s">
        <v>37</v>
      </c>
      <c r="G1039" s="0" t="n">
        <v>5.14385353095031</v>
      </c>
      <c r="H1039" s="0" t="s">
        <v>437</v>
      </c>
      <c r="I1039" s="0" t="s">
        <v>437</v>
      </c>
      <c r="J1039" s="0" t="s">
        <v>437</v>
      </c>
      <c r="K1039" s="0" t="s">
        <v>437</v>
      </c>
      <c r="L1039" s="0" t="s">
        <v>437</v>
      </c>
      <c r="M1039" s="0" t="s">
        <v>457</v>
      </c>
      <c r="R1039" s="0" t="s">
        <v>81</v>
      </c>
    </row>
    <row r="1040" customFormat="false" ht="15" hidden="false" customHeight="false" outlineLevel="0" collapsed="false">
      <c r="A1040" s="0" t="s">
        <v>187</v>
      </c>
      <c r="B1040" s="0" t="n">
        <v>2014</v>
      </c>
      <c r="C1040" s="0" t="s">
        <v>101</v>
      </c>
      <c r="D1040" s="0" t="s">
        <v>79</v>
      </c>
      <c r="E1040" s="0" t="n">
        <v>0</v>
      </c>
      <c r="F1040" s="0" t="s">
        <v>23</v>
      </c>
      <c r="G1040" s="0" t="n">
        <v>139.508235855813</v>
      </c>
      <c r="H1040" s="0" t="s">
        <v>437</v>
      </c>
      <c r="I1040" s="0" t="s">
        <v>437</v>
      </c>
      <c r="J1040" s="0" t="s">
        <v>437</v>
      </c>
      <c r="K1040" s="0" t="s">
        <v>437</v>
      </c>
      <c r="L1040" s="0" t="s">
        <v>437</v>
      </c>
      <c r="M1040" s="0" t="s">
        <v>457</v>
      </c>
      <c r="R1040" s="0" t="s">
        <v>81</v>
      </c>
    </row>
    <row r="1041" customFormat="false" ht="15" hidden="false" customHeight="false" outlineLevel="0" collapsed="false">
      <c r="A1041" s="0" t="s">
        <v>187</v>
      </c>
      <c r="B1041" s="0" t="n">
        <v>2014</v>
      </c>
      <c r="C1041" s="0" t="s">
        <v>101</v>
      </c>
      <c r="D1041" s="0" t="s">
        <v>79</v>
      </c>
      <c r="E1041" s="0" t="n">
        <v>0</v>
      </c>
      <c r="F1041" s="0" t="s">
        <v>45</v>
      </c>
      <c r="H1041" s="0" t="s">
        <v>457</v>
      </c>
      <c r="I1041" s="0" t="s">
        <v>457</v>
      </c>
      <c r="J1041" s="0" t="s">
        <v>457</v>
      </c>
      <c r="K1041" s="0" t="s">
        <v>457</v>
      </c>
      <c r="L1041" s="0" t="s">
        <v>457</v>
      </c>
      <c r="M1041" s="0" t="s">
        <v>457</v>
      </c>
      <c r="R1041" s="0" t="s">
        <v>81</v>
      </c>
    </row>
    <row r="1042" customFormat="false" ht="15" hidden="false" customHeight="false" outlineLevel="0" collapsed="false">
      <c r="A1042" s="0" t="s">
        <v>187</v>
      </c>
      <c r="B1042" s="0" t="n">
        <v>2014</v>
      </c>
      <c r="C1042" s="0" t="s">
        <v>101</v>
      </c>
      <c r="D1042" s="0" t="s">
        <v>79</v>
      </c>
      <c r="E1042" s="0" t="n">
        <v>0</v>
      </c>
      <c r="F1042" s="0" t="s">
        <v>71</v>
      </c>
      <c r="H1042" s="0" t="s">
        <v>457</v>
      </c>
      <c r="I1042" s="0" t="s">
        <v>457</v>
      </c>
      <c r="J1042" s="0" t="s">
        <v>457</v>
      </c>
      <c r="K1042" s="0" t="s">
        <v>457</v>
      </c>
      <c r="L1042" s="0" t="s">
        <v>457</v>
      </c>
      <c r="M1042" s="0" t="s">
        <v>457</v>
      </c>
      <c r="R1042" s="0" t="s">
        <v>81</v>
      </c>
    </row>
    <row r="1043" customFormat="false" ht="15" hidden="false" customHeight="false" outlineLevel="0" collapsed="false">
      <c r="A1043" s="0" t="s">
        <v>187</v>
      </c>
      <c r="B1043" s="0" t="n">
        <v>2014</v>
      </c>
      <c r="C1043" s="0" t="s">
        <v>101</v>
      </c>
      <c r="D1043" s="0" t="s">
        <v>79</v>
      </c>
      <c r="E1043" s="0" t="n">
        <v>0</v>
      </c>
      <c r="F1043" s="0" t="s">
        <v>31</v>
      </c>
      <c r="G1043" s="0" t="n">
        <v>77.6342764318042</v>
      </c>
      <c r="H1043" s="0" t="s">
        <v>437</v>
      </c>
      <c r="I1043" s="0" t="s">
        <v>437</v>
      </c>
      <c r="J1043" s="0" t="s">
        <v>437</v>
      </c>
      <c r="K1043" s="0" t="s">
        <v>437</v>
      </c>
      <c r="L1043" s="0" t="s">
        <v>437</v>
      </c>
      <c r="M1043" s="0" t="s">
        <v>457</v>
      </c>
      <c r="R1043" s="0" t="s">
        <v>81</v>
      </c>
    </row>
    <row r="1044" customFormat="false" ht="15" hidden="false" customHeight="false" outlineLevel="0" collapsed="false">
      <c r="A1044" s="0" t="s">
        <v>187</v>
      </c>
      <c r="B1044" s="0" t="n">
        <v>2015</v>
      </c>
      <c r="C1044" s="0" t="s">
        <v>101</v>
      </c>
      <c r="D1044" s="0" t="s">
        <v>79</v>
      </c>
      <c r="E1044" s="0" t="n">
        <v>0</v>
      </c>
      <c r="F1044" s="0" t="s">
        <v>73</v>
      </c>
      <c r="H1044" s="0" t="s">
        <v>457</v>
      </c>
      <c r="I1044" s="0" t="s">
        <v>457</v>
      </c>
      <c r="J1044" s="0" t="s">
        <v>457</v>
      </c>
      <c r="K1044" s="0" t="s">
        <v>457</v>
      </c>
      <c r="L1044" s="0" t="s">
        <v>457</v>
      </c>
      <c r="M1044" s="0" t="s">
        <v>457</v>
      </c>
      <c r="O1044" s="0" t="s">
        <v>2570</v>
      </c>
      <c r="P1044" s="0" t="s">
        <v>2591</v>
      </c>
      <c r="Q1044" s="0" t="s">
        <v>1641</v>
      </c>
      <c r="R1044" s="0" t="s">
        <v>190</v>
      </c>
    </row>
    <row r="1045" customFormat="false" ht="15" hidden="false" customHeight="false" outlineLevel="0" collapsed="false">
      <c r="A1045" s="0" t="s">
        <v>187</v>
      </c>
      <c r="B1045" s="0" t="n">
        <v>2015</v>
      </c>
      <c r="C1045" s="0" t="s">
        <v>101</v>
      </c>
      <c r="D1045" s="0" t="s">
        <v>79</v>
      </c>
      <c r="E1045" s="0" t="n">
        <v>0</v>
      </c>
      <c r="F1045" s="0" t="s">
        <v>69</v>
      </c>
      <c r="G1045" s="0" t="n">
        <v>15.9</v>
      </c>
      <c r="H1045" s="0" t="s">
        <v>437</v>
      </c>
      <c r="I1045" s="0" t="s">
        <v>437</v>
      </c>
      <c r="J1045" s="0" t="s">
        <v>437</v>
      </c>
      <c r="K1045" s="0" t="s">
        <v>457</v>
      </c>
      <c r="L1045" s="0" t="s">
        <v>437</v>
      </c>
      <c r="M1045" s="0" t="s">
        <v>437</v>
      </c>
      <c r="O1045" s="0" t="s">
        <v>2570</v>
      </c>
      <c r="P1045" s="0" t="s">
        <v>2591</v>
      </c>
      <c r="Q1045" s="0" t="s">
        <v>1641</v>
      </c>
      <c r="R1045" s="0" t="s">
        <v>190</v>
      </c>
    </row>
    <row r="1046" customFormat="false" ht="15" hidden="false" customHeight="false" outlineLevel="0" collapsed="false">
      <c r="A1046" s="0" t="s">
        <v>187</v>
      </c>
      <c r="B1046" s="0" t="n">
        <v>2015</v>
      </c>
      <c r="C1046" s="0" t="s">
        <v>101</v>
      </c>
      <c r="D1046" s="0" t="s">
        <v>79</v>
      </c>
      <c r="E1046" s="0" t="n">
        <v>0</v>
      </c>
      <c r="F1046" s="0" t="s">
        <v>25</v>
      </c>
      <c r="G1046" s="0" t="n">
        <v>15.9480183484677</v>
      </c>
      <c r="H1046" s="0" t="s">
        <v>437</v>
      </c>
      <c r="I1046" s="0" t="s">
        <v>437</v>
      </c>
      <c r="J1046" s="0" t="s">
        <v>437</v>
      </c>
      <c r="K1046" s="0" t="s">
        <v>457</v>
      </c>
      <c r="L1046" s="0" t="s">
        <v>437</v>
      </c>
      <c r="M1046" s="0" t="s">
        <v>437</v>
      </c>
      <c r="O1046" s="0" t="s">
        <v>2570</v>
      </c>
      <c r="P1046" s="0" t="s">
        <v>2591</v>
      </c>
      <c r="Q1046" s="0" t="s">
        <v>1641</v>
      </c>
      <c r="R1046" s="0" t="s">
        <v>190</v>
      </c>
    </row>
    <row r="1047" customFormat="false" ht="15" hidden="false" customHeight="false" outlineLevel="0" collapsed="false">
      <c r="A1047" s="0" t="s">
        <v>187</v>
      </c>
      <c r="B1047" s="0" t="n">
        <v>2015</v>
      </c>
      <c r="C1047" s="0" t="s">
        <v>101</v>
      </c>
      <c r="D1047" s="0" t="s">
        <v>79</v>
      </c>
      <c r="E1047" s="0" t="n">
        <v>0</v>
      </c>
      <c r="F1047" s="0" t="s">
        <v>41</v>
      </c>
      <c r="G1047" s="0" t="n">
        <v>1.87500227422649</v>
      </c>
      <c r="H1047" s="0" t="s">
        <v>437</v>
      </c>
      <c r="I1047" s="0" t="s">
        <v>437</v>
      </c>
      <c r="J1047" s="0" t="s">
        <v>437</v>
      </c>
      <c r="K1047" s="0" t="s">
        <v>457</v>
      </c>
      <c r="L1047" s="0" t="s">
        <v>437</v>
      </c>
      <c r="M1047" s="0" t="s">
        <v>437</v>
      </c>
      <c r="O1047" s="0" t="s">
        <v>2570</v>
      </c>
      <c r="P1047" s="0" t="s">
        <v>2591</v>
      </c>
      <c r="Q1047" s="0" t="s">
        <v>1641</v>
      </c>
      <c r="R1047" s="0" t="s">
        <v>190</v>
      </c>
    </row>
    <row r="1048" customFormat="false" ht="15" hidden="false" customHeight="false" outlineLevel="0" collapsed="false">
      <c r="A1048" s="0" t="s">
        <v>187</v>
      </c>
      <c r="B1048" s="0" t="n">
        <v>2015</v>
      </c>
      <c r="C1048" s="0" t="s">
        <v>101</v>
      </c>
      <c r="D1048" s="0" t="s">
        <v>79</v>
      </c>
      <c r="E1048" s="0" t="n">
        <v>0</v>
      </c>
      <c r="F1048" s="0" t="s">
        <v>27</v>
      </c>
      <c r="G1048" s="0" t="n">
        <v>23.3279319384281</v>
      </c>
      <c r="H1048" s="0" t="s">
        <v>437</v>
      </c>
      <c r="I1048" s="0" t="s">
        <v>437</v>
      </c>
      <c r="J1048" s="0" t="s">
        <v>437</v>
      </c>
      <c r="K1048" s="0" t="s">
        <v>457</v>
      </c>
      <c r="L1048" s="0" t="s">
        <v>437</v>
      </c>
      <c r="M1048" s="0" t="s">
        <v>437</v>
      </c>
      <c r="O1048" s="0" t="s">
        <v>2570</v>
      </c>
      <c r="P1048" s="0" t="s">
        <v>2591</v>
      </c>
      <c r="Q1048" s="0" t="s">
        <v>1641</v>
      </c>
      <c r="R1048" s="0" t="s">
        <v>190</v>
      </c>
    </row>
    <row r="1049" customFormat="false" ht="15" hidden="false" customHeight="false" outlineLevel="0" collapsed="false">
      <c r="A1049" s="0" t="s">
        <v>187</v>
      </c>
      <c r="B1049" s="0" t="n">
        <v>2015</v>
      </c>
      <c r="C1049" s="0" t="s">
        <v>101</v>
      </c>
      <c r="D1049" s="0" t="s">
        <v>79</v>
      </c>
      <c r="E1049" s="0" t="n">
        <v>0</v>
      </c>
      <c r="F1049" s="0" t="s">
        <v>39</v>
      </c>
      <c r="G1049" s="0" t="n">
        <v>1.1410119190261</v>
      </c>
      <c r="H1049" s="0" t="s">
        <v>437</v>
      </c>
      <c r="I1049" s="0" t="s">
        <v>437</v>
      </c>
      <c r="J1049" s="0" t="s">
        <v>437</v>
      </c>
      <c r="K1049" s="0" t="s">
        <v>457</v>
      </c>
      <c r="L1049" s="0" t="s">
        <v>437</v>
      </c>
      <c r="M1049" s="0" t="s">
        <v>437</v>
      </c>
      <c r="O1049" s="0" t="s">
        <v>2570</v>
      </c>
      <c r="P1049" s="0" t="s">
        <v>2591</v>
      </c>
      <c r="Q1049" s="0" t="s">
        <v>1641</v>
      </c>
      <c r="R1049" s="0" t="s">
        <v>190</v>
      </c>
    </row>
    <row r="1050" customFormat="false" ht="15" hidden="false" customHeight="false" outlineLevel="0" collapsed="false">
      <c r="A1050" s="0" t="s">
        <v>187</v>
      </c>
      <c r="B1050" s="0" t="n">
        <v>2015</v>
      </c>
      <c r="C1050" s="0" t="s">
        <v>101</v>
      </c>
      <c r="D1050" s="0" t="s">
        <v>79</v>
      </c>
      <c r="E1050" s="0" t="n">
        <v>0</v>
      </c>
      <c r="F1050" s="0" t="s">
        <v>17</v>
      </c>
      <c r="G1050" s="0" t="n">
        <v>5.92129915433119</v>
      </c>
      <c r="H1050" s="0" t="s">
        <v>437</v>
      </c>
      <c r="I1050" s="0" t="s">
        <v>437</v>
      </c>
      <c r="J1050" s="0" t="s">
        <v>437</v>
      </c>
      <c r="K1050" s="0" t="s">
        <v>457</v>
      </c>
      <c r="L1050" s="0" t="s">
        <v>437</v>
      </c>
      <c r="M1050" s="0" t="s">
        <v>437</v>
      </c>
      <c r="O1050" s="0" t="s">
        <v>2570</v>
      </c>
      <c r="P1050" s="0" t="s">
        <v>2591</v>
      </c>
      <c r="Q1050" s="0" t="s">
        <v>1641</v>
      </c>
      <c r="R1050" s="0" t="s">
        <v>190</v>
      </c>
    </row>
    <row r="1051" customFormat="false" ht="15" hidden="false" customHeight="false" outlineLevel="0" collapsed="false">
      <c r="A1051" s="0" t="s">
        <v>187</v>
      </c>
      <c r="B1051" s="0" t="n">
        <v>2015</v>
      </c>
      <c r="C1051" s="0" t="s">
        <v>101</v>
      </c>
      <c r="D1051" s="0" t="s">
        <v>79</v>
      </c>
      <c r="E1051" s="0" t="n">
        <v>0</v>
      </c>
      <c r="F1051" s="0" t="s">
        <v>29</v>
      </c>
      <c r="G1051" s="0" t="n">
        <v>0.954083497120959</v>
      </c>
      <c r="H1051" s="0" t="s">
        <v>437</v>
      </c>
      <c r="I1051" s="0" t="s">
        <v>437</v>
      </c>
      <c r="J1051" s="0" t="s">
        <v>437</v>
      </c>
      <c r="K1051" s="0" t="s">
        <v>457</v>
      </c>
      <c r="L1051" s="0" t="s">
        <v>437</v>
      </c>
      <c r="M1051" s="0" t="s">
        <v>437</v>
      </c>
      <c r="O1051" s="0" t="s">
        <v>2570</v>
      </c>
      <c r="P1051" s="0" t="s">
        <v>2591</v>
      </c>
      <c r="Q1051" s="0" t="s">
        <v>1641</v>
      </c>
      <c r="R1051" s="0" t="s">
        <v>190</v>
      </c>
    </row>
    <row r="1052" customFormat="false" ht="15" hidden="false" customHeight="false" outlineLevel="0" collapsed="false">
      <c r="A1052" s="0" t="s">
        <v>187</v>
      </c>
      <c r="B1052" s="0" t="n">
        <v>2015</v>
      </c>
      <c r="C1052" s="0" t="s">
        <v>101</v>
      </c>
      <c r="D1052" s="0" t="s">
        <v>79</v>
      </c>
      <c r="E1052" s="0" t="n">
        <v>0</v>
      </c>
      <c r="F1052" s="0" t="s">
        <v>37</v>
      </c>
      <c r="H1052" s="0" t="s">
        <v>457</v>
      </c>
      <c r="I1052" s="0" t="s">
        <v>457</v>
      </c>
      <c r="J1052" s="0" t="s">
        <v>457</v>
      </c>
      <c r="K1052" s="0" t="s">
        <v>457</v>
      </c>
      <c r="L1052" s="0" t="s">
        <v>457</v>
      </c>
      <c r="M1052" s="0" t="s">
        <v>457</v>
      </c>
      <c r="O1052" s="0" t="s">
        <v>2570</v>
      </c>
      <c r="P1052" s="0" t="s">
        <v>2591</v>
      </c>
      <c r="Q1052" s="0" t="s">
        <v>1641</v>
      </c>
      <c r="R1052" s="0" t="s">
        <v>190</v>
      </c>
    </row>
    <row r="1053" customFormat="false" ht="15" hidden="false" customHeight="false" outlineLevel="0" collapsed="false">
      <c r="A1053" s="0" t="s">
        <v>187</v>
      </c>
      <c r="B1053" s="0" t="n">
        <v>2015</v>
      </c>
      <c r="C1053" s="0" t="s">
        <v>101</v>
      </c>
      <c r="D1053" s="0" t="s">
        <v>79</v>
      </c>
      <c r="E1053" s="0" t="n">
        <v>0</v>
      </c>
      <c r="F1053" s="0" t="s">
        <v>23</v>
      </c>
      <c r="H1053" s="0" t="s">
        <v>457</v>
      </c>
      <c r="I1053" s="0" t="s">
        <v>457</v>
      </c>
      <c r="J1053" s="0" t="s">
        <v>457</v>
      </c>
      <c r="K1053" s="0" t="s">
        <v>457</v>
      </c>
      <c r="L1053" s="0" t="s">
        <v>457</v>
      </c>
      <c r="M1053" s="0" t="s">
        <v>457</v>
      </c>
      <c r="O1053" s="0" t="s">
        <v>2570</v>
      </c>
      <c r="P1053" s="0" t="s">
        <v>2591</v>
      </c>
      <c r="Q1053" s="0" t="s">
        <v>1641</v>
      </c>
      <c r="R1053" s="0" t="s">
        <v>190</v>
      </c>
    </row>
    <row r="1054" customFormat="false" ht="15" hidden="false" customHeight="false" outlineLevel="0" collapsed="false">
      <c r="A1054" s="0" t="s">
        <v>187</v>
      </c>
      <c r="B1054" s="0" t="n">
        <v>2015</v>
      </c>
      <c r="C1054" s="0" t="s">
        <v>101</v>
      </c>
      <c r="D1054" s="0" t="s">
        <v>79</v>
      </c>
      <c r="E1054" s="0" t="n">
        <v>0</v>
      </c>
      <c r="F1054" s="0" t="s">
        <v>45</v>
      </c>
      <c r="H1054" s="0" t="s">
        <v>457</v>
      </c>
      <c r="I1054" s="0" t="s">
        <v>457</v>
      </c>
      <c r="J1054" s="0" t="s">
        <v>457</v>
      </c>
      <c r="K1054" s="0" t="s">
        <v>457</v>
      </c>
      <c r="L1054" s="0" t="s">
        <v>457</v>
      </c>
      <c r="M1054" s="0" t="s">
        <v>457</v>
      </c>
      <c r="O1054" s="0" t="s">
        <v>2570</v>
      </c>
      <c r="P1054" s="0" t="s">
        <v>2591</v>
      </c>
      <c r="Q1054" s="0" t="s">
        <v>1641</v>
      </c>
      <c r="R1054" s="0" t="s">
        <v>190</v>
      </c>
    </row>
    <row r="1055" customFormat="false" ht="15" hidden="false" customHeight="false" outlineLevel="0" collapsed="false">
      <c r="A1055" s="0" t="s">
        <v>187</v>
      </c>
      <c r="B1055" s="0" t="n">
        <v>2015</v>
      </c>
      <c r="C1055" s="0" t="s">
        <v>101</v>
      </c>
      <c r="D1055" s="0" t="s">
        <v>79</v>
      </c>
      <c r="E1055" s="0" t="n">
        <v>0</v>
      </c>
      <c r="F1055" s="0" t="s">
        <v>71</v>
      </c>
      <c r="H1055" s="0" t="s">
        <v>457</v>
      </c>
      <c r="I1055" s="0" t="s">
        <v>457</v>
      </c>
      <c r="J1055" s="0" t="s">
        <v>457</v>
      </c>
      <c r="K1055" s="0" t="s">
        <v>457</v>
      </c>
      <c r="L1055" s="0" t="s">
        <v>457</v>
      </c>
      <c r="M1055" s="0" t="s">
        <v>457</v>
      </c>
      <c r="O1055" s="0" t="s">
        <v>2570</v>
      </c>
      <c r="P1055" s="0" t="s">
        <v>2591</v>
      </c>
      <c r="Q1055" s="0" t="s">
        <v>1641</v>
      </c>
      <c r="R1055" s="0" t="s">
        <v>190</v>
      </c>
    </row>
    <row r="1056" customFormat="false" ht="15" hidden="false" customHeight="false" outlineLevel="0" collapsed="false">
      <c r="A1056" s="0" t="s">
        <v>187</v>
      </c>
      <c r="B1056" s="0" t="n">
        <v>2015</v>
      </c>
      <c r="C1056" s="0" t="s">
        <v>101</v>
      </c>
      <c r="D1056" s="0" t="s">
        <v>79</v>
      </c>
      <c r="E1056" s="0" t="n">
        <v>0</v>
      </c>
      <c r="F1056" s="0" t="s">
        <v>31</v>
      </c>
      <c r="G1056" s="0" t="n">
        <v>76.6720680615719</v>
      </c>
      <c r="H1056" s="0" t="s">
        <v>437</v>
      </c>
      <c r="I1056" s="0" t="s">
        <v>437</v>
      </c>
      <c r="J1056" s="0" t="s">
        <v>437</v>
      </c>
      <c r="K1056" s="0" t="s">
        <v>457</v>
      </c>
      <c r="L1056" s="0" t="s">
        <v>437</v>
      </c>
      <c r="M1056" s="0" t="s">
        <v>437</v>
      </c>
      <c r="O1056" s="0" t="s">
        <v>2570</v>
      </c>
      <c r="P1056" s="0" t="s">
        <v>2591</v>
      </c>
      <c r="Q1056" s="0" t="s">
        <v>1641</v>
      </c>
      <c r="R1056" s="0" t="s">
        <v>190</v>
      </c>
    </row>
    <row r="1057" customFormat="false" ht="15" hidden="false" customHeight="false" outlineLevel="0" collapsed="false">
      <c r="A1057" s="0" t="s">
        <v>187</v>
      </c>
      <c r="B1057" s="0" t="n">
        <v>2016</v>
      </c>
      <c r="C1057" s="0" t="s">
        <v>101</v>
      </c>
      <c r="D1057" s="0" t="s">
        <v>79</v>
      </c>
      <c r="E1057" s="0" t="n">
        <v>0</v>
      </c>
      <c r="F1057" s="0" t="s">
        <v>73</v>
      </c>
      <c r="G1057" s="0" t="n">
        <v>0</v>
      </c>
      <c r="H1057" s="0" t="s">
        <v>437</v>
      </c>
      <c r="I1057" s="0" t="s">
        <v>437</v>
      </c>
      <c r="J1057" s="0" t="s">
        <v>437</v>
      </c>
      <c r="K1057" s="0" t="s">
        <v>457</v>
      </c>
      <c r="L1057" s="0" t="s">
        <v>437</v>
      </c>
      <c r="M1057" s="0" t="s">
        <v>457</v>
      </c>
      <c r="R1057" s="0" t="s">
        <v>87</v>
      </c>
    </row>
    <row r="1058" customFormat="false" ht="15" hidden="false" customHeight="false" outlineLevel="0" collapsed="false">
      <c r="A1058" s="0" t="s">
        <v>187</v>
      </c>
      <c r="B1058" s="0" t="n">
        <v>2016</v>
      </c>
      <c r="C1058" s="0" t="s">
        <v>101</v>
      </c>
      <c r="D1058" s="0" t="s">
        <v>79</v>
      </c>
      <c r="E1058" s="0" t="n">
        <v>0</v>
      </c>
      <c r="F1058" s="0" t="s">
        <v>69</v>
      </c>
      <c r="G1058" s="0" t="n">
        <v>13.3</v>
      </c>
      <c r="H1058" s="0" t="s">
        <v>437</v>
      </c>
      <c r="I1058" s="0" t="s">
        <v>437</v>
      </c>
      <c r="J1058" s="0" t="s">
        <v>437</v>
      </c>
      <c r="K1058" s="0" t="s">
        <v>437</v>
      </c>
      <c r="L1058" s="0" t="s">
        <v>437</v>
      </c>
      <c r="M1058" s="0" t="s">
        <v>457</v>
      </c>
      <c r="R1058" s="0" t="s">
        <v>87</v>
      </c>
    </row>
    <row r="1059" customFormat="false" ht="15" hidden="false" customHeight="false" outlineLevel="0" collapsed="false">
      <c r="A1059" s="0" t="s">
        <v>187</v>
      </c>
      <c r="B1059" s="0" t="n">
        <v>2016</v>
      </c>
      <c r="C1059" s="0" t="s">
        <v>101</v>
      </c>
      <c r="D1059" s="0" t="s">
        <v>79</v>
      </c>
      <c r="E1059" s="0" t="n">
        <v>0</v>
      </c>
      <c r="F1059" s="0" t="s">
        <v>25</v>
      </c>
      <c r="G1059" s="0" t="n">
        <v>13.2902326608341</v>
      </c>
      <c r="H1059" s="0" t="s">
        <v>437</v>
      </c>
      <c r="I1059" s="0" t="s">
        <v>437</v>
      </c>
      <c r="J1059" s="0" t="s">
        <v>437</v>
      </c>
      <c r="K1059" s="0" t="s">
        <v>437</v>
      </c>
      <c r="L1059" s="0" t="s">
        <v>437</v>
      </c>
      <c r="M1059" s="0" t="s">
        <v>457</v>
      </c>
      <c r="R1059" s="0" t="s">
        <v>87</v>
      </c>
    </row>
    <row r="1060" customFormat="false" ht="15" hidden="false" customHeight="false" outlineLevel="0" collapsed="false">
      <c r="A1060" s="0" t="s">
        <v>187</v>
      </c>
      <c r="B1060" s="0" t="n">
        <v>2016</v>
      </c>
      <c r="C1060" s="0" t="s">
        <v>101</v>
      </c>
      <c r="D1060" s="0" t="s">
        <v>79</v>
      </c>
      <c r="E1060" s="0" t="n">
        <v>0</v>
      </c>
      <c r="F1060" s="0" t="s">
        <v>41</v>
      </c>
      <c r="G1060" s="0" t="n">
        <v>1.49543954484412</v>
      </c>
      <c r="H1060" s="0" t="s">
        <v>437</v>
      </c>
      <c r="I1060" s="0" t="s">
        <v>437</v>
      </c>
      <c r="J1060" s="0" t="s">
        <v>437</v>
      </c>
      <c r="K1060" s="0" t="s">
        <v>437</v>
      </c>
      <c r="L1060" s="0" t="s">
        <v>437</v>
      </c>
      <c r="M1060" s="0" t="s">
        <v>457</v>
      </c>
      <c r="R1060" s="0" t="s">
        <v>87</v>
      </c>
    </row>
    <row r="1061" customFormat="false" ht="15" hidden="false" customHeight="false" outlineLevel="0" collapsed="false">
      <c r="A1061" s="0" t="s">
        <v>187</v>
      </c>
      <c r="B1061" s="0" t="n">
        <v>2016</v>
      </c>
      <c r="C1061" s="0" t="s">
        <v>101</v>
      </c>
      <c r="D1061" s="0" t="s">
        <v>79</v>
      </c>
      <c r="E1061" s="0" t="n">
        <v>0</v>
      </c>
      <c r="F1061" s="0" t="s">
        <v>27</v>
      </c>
      <c r="G1061" s="0" t="n">
        <v>22.3714110493884</v>
      </c>
      <c r="H1061" s="0" t="s">
        <v>437</v>
      </c>
      <c r="I1061" s="0" t="s">
        <v>437</v>
      </c>
      <c r="J1061" s="0" t="s">
        <v>437</v>
      </c>
      <c r="K1061" s="0" t="s">
        <v>437</v>
      </c>
      <c r="L1061" s="0" t="s">
        <v>437</v>
      </c>
      <c r="M1061" s="0" t="s">
        <v>457</v>
      </c>
      <c r="R1061" s="0" t="s">
        <v>87</v>
      </c>
    </row>
    <row r="1062" customFormat="false" ht="15" hidden="false" customHeight="false" outlineLevel="0" collapsed="false">
      <c r="A1062" s="0" t="s">
        <v>187</v>
      </c>
      <c r="B1062" s="0" t="n">
        <v>2016</v>
      </c>
      <c r="C1062" s="0" t="s">
        <v>101</v>
      </c>
      <c r="D1062" s="0" t="s">
        <v>79</v>
      </c>
      <c r="E1062" s="0" t="n">
        <v>0</v>
      </c>
      <c r="F1062" s="0" t="s">
        <v>39</v>
      </c>
      <c r="G1062" s="0" t="n">
        <v>-6.60243384315725</v>
      </c>
      <c r="H1062" s="0" t="s">
        <v>437</v>
      </c>
      <c r="I1062" s="0" t="s">
        <v>437</v>
      </c>
      <c r="J1062" s="0" t="s">
        <v>437</v>
      </c>
      <c r="K1062" s="0" t="s">
        <v>437</v>
      </c>
      <c r="L1062" s="0" t="s">
        <v>437</v>
      </c>
      <c r="M1062" s="0" t="s">
        <v>457</v>
      </c>
      <c r="R1062" s="0" t="s">
        <v>87</v>
      </c>
    </row>
    <row r="1063" customFormat="false" ht="15" hidden="false" customHeight="false" outlineLevel="0" collapsed="false">
      <c r="A1063" s="0" t="s">
        <v>187</v>
      </c>
      <c r="B1063" s="0" t="n">
        <v>2016</v>
      </c>
      <c r="C1063" s="0" t="s">
        <v>101</v>
      </c>
      <c r="D1063" s="0" t="s">
        <v>79</v>
      </c>
      <c r="E1063" s="0" t="n">
        <v>0</v>
      </c>
      <c r="F1063" s="0" t="s">
        <v>17</v>
      </c>
      <c r="G1063" s="0" t="n">
        <v>5.49031636985892</v>
      </c>
      <c r="H1063" s="0" t="s">
        <v>437</v>
      </c>
      <c r="I1063" s="0" t="s">
        <v>437</v>
      </c>
      <c r="J1063" s="0" t="s">
        <v>437</v>
      </c>
      <c r="K1063" s="0" t="s">
        <v>437</v>
      </c>
      <c r="L1063" s="0" t="s">
        <v>437</v>
      </c>
      <c r="M1063" s="0" t="s">
        <v>457</v>
      </c>
      <c r="R1063" s="0" t="s">
        <v>87</v>
      </c>
    </row>
    <row r="1064" customFormat="false" ht="15" hidden="false" customHeight="false" outlineLevel="0" collapsed="false">
      <c r="A1064" s="0" t="s">
        <v>187</v>
      </c>
      <c r="B1064" s="0" t="n">
        <v>2016</v>
      </c>
      <c r="C1064" s="0" t="s">
        <v>101</v>
      </c>
      <c r="D1064" s="0" t="s">
        <v>79</v>
      </c>
      <c r="E1064" s="0" t="n">
        <v>0</v>
      </c>
      <c r="F1064" s="0" t="s">
        <v>29</v>
      </c>
      <c r="G1064" s="0" t="n">
        <v>1.48451911757299</v>
      </c>
      <c r="H1064" s="0" t="s">
        <v>437</v>
      </c>
      <c r="I1064" s="0" t="s">
        <v>437</v>
      </c>
      <c r="J1064" s="0" t="s">
        <v>437</v>
      </c>
      <c r="K1064" s="0" t="s">
        <v>437</v>
      </c>
      <c r="L1064" s="0" t="s">
        <v>437</v>
      </c>
      <c r="M1064" s="0" t="s">
        <v>457</v>
      </c>
      <c r="R1064" s="0" t="s">
        <v>87</v>
      </c>
    </row>
    <row r="1065" customFormat="false" ht="15" hidden="false" customHeight="false" outlineLevel="0" collapsed="false">
      <c r="A1065" s="0" t="s">
        <v>187</v>
      </c>
      <c r="B1065" s="0" t="n">
        <v>2016</v>
      </c>
      <c r="C1065" s="0" t="s">
        <v>101</v>
      </c>
      <c r="D1065" s="0" t="s">
        <v>79</v>
      </c>
      <c r="E1065" s="0" t="n">
        <v>0</v>
      </c>
      <c r="F1065" s="0" t="s">
        <v>37</v>
      </c>
      <c r="H1065" s="0" t="s">
        <v>457</v>
      </c>
      <c r="I1065" s="0" t="s">
        <v>457</v>
      </c>
      <c r="J1065" s="0" t="s">
        <v>457</v>
      </c>
      <c r="K1065" s="0" t="s">
        <v>457</v>
      </c>
      <c r="L1065" s="0" t="s">
        <v>457</v>
      </c>
      <c r="M1065" s="0" t="s">
        <v>457</v>
      </c>
      <c r="R1065" s="0" t="s">
        <v>87</v>
      </c>
    </row>
    <row r="1066" customFormat="false" ht="15" hidden="false" customHeight="false" outlineLevel="0" collapsed="false">
      <c r="A1066" s="0" t="s">
        <v>187</v>
      </c>
      <c r="B1066" s="0" t="n">
        <v>2016</v>
      </c>
      <c r="C1066" s="0" t="s">
        <v>101</v>
      </c>
      <c r="D1066" s="0" t="s">
        <v>79</v>
      </c>
      <c r="E1066" s="0" t="n">
        <v>0</v>
      </c>
      <c r="F1066" s="0" t="s">
        <v>23</v>
      </c>
      <c r="H1066" s="0" t="s">
        <v>457</v>
      </c>
      <c r="I1066" s="0" t="s">
        <v>457</v>
      </c>
      <c r="J1066" s="0" t="s">
        <v>457</v>
      </c>
      <c r="K1066" s="0" t="s">
        <v>457</v>
      </c>
      <c r="L1066" s="0" t="s">
        <v>457</v>
      </c>
      <c r="M1066" s="0" t="s">
        <v>457</v>
      </c>
      <c r="R1066" s="0" t="s">
        <v>87</v>
      </c>
    </row>
    <row r="1067" customFormat="false" ht="15" hidden="false" customHeight="false" outlineLevel="0" collapsed="false">
      <c r="A1067" s="0" t="s">
        <v>187</v>
      </c>
      <c r="B1067" s="0" t="n">
        <v>2016</v>
      </c>
      <c r="C1067" s="0" t="s">
        <v>101</v>
      </c>
      <c r="D1067" s="0" t="s">
        <v>79</v>
      </c>
      <c r="E1067" s="0" t="n">
        <v>0</v>
      </c>
      <c r="F1067" s="0" t="s">
        <v>45</v>
      </c>
      <c r="H1067" s="0" t="s">
        <v>457</v>
      </c>
      <c r="I1067" s="0" t="s">
        <v>457</v>
      </c>
      <c r="J1067" s="0" t="s">
        <v>457</v>
      </c>
      <c r="K1067" s="0" t="s">
        <v>457</v>
      </c>
      <c r="L1067" s="0" t="s">
        <v>457</v>
      </c>
      <c r="M1067" s="0" t="s">
        <v>457</v>
      </c>
      <c r="R1067" s="0" t="s">
        <v>87</v>
      </c>
    </row>
    <row r="1068" customFormat="false" ht="15" hidden="false" customHeight="false" outlineLevel="0" collapsed="false">
      <c r="A1068" s="0" t="s">
        <v>187</v>
      </c>
      <c r="B1068" s="0" t="n">
        <v>2016</v>
      </c>
      <c r="C1068" s="0" t="s">
        <v>101</v>
      </c>
      <c r="D1068" s="0" t="s">
        <v>79</v>
      </c>
      <c r="E1068" s="0" t="n">
        <v>0</v>
      </c>
      <c r="F1068" s="0" t="s">
        <v>71</v>
      </c>
      <c r="H1068" s="0" t="s">
        <v>457</v>
      </c>
      <c r="I1068" s="0" t="s">
        <v>457</v>
      </c>
      <c r="J1068" s="0" t="s">
        <v>457</v>
      </c>
      <c r="K1068" s="0" t="s">
        <v>457</v>
      </c>
      <c r="L1068" s="0" t="s">
        <v>457</v>
      </c>
      <c r="M1068" s="0" t="s">
        <v>457</v>
      </c>
      <c r="R1068" s="0" t="s">
        <v>87</v>
      </c>
    </row>
    <row r="1069" customFormat="false" ht="15" hidden="false" customHeight="false" outlineLevel="0" collapsed="false">
      <c r="A1069" s="0" t="s">
        <v>187</v>
      </c>
      <c r="B1069" s="0" t="n">
        <v>2016</v>
      </c>
      <c r="C1069" s="0" t="s">
        <v>101</v>
      </c>
      <c r="D1069" s="0" t="s">
        <v>79</v>
      </c>
      <c r="E1069" s="0" t="n">
        <v>0</v>
      </c>
      <c r="F1069" s="0" t="s">
        <v>31</v>
      </c>
      <c r="G1069" s="0" t="n">
        <v>77.6285889506116</v>
      </c>
      <c r="H1069" s="0" t="s">
        <v>437</v>
      </c>
      <c r="I1069" s="0" t="s">
        <v>437</v>
      </c>
      <c r="J1069" s="0" t="s">
        <v>437</v>
      </c>
      <c r="K1069" s="0" t="s">
        <v>437</v>
      </c>
      <c r="L1069" s="0" t="s">
        <v>437</v>
      </c>
      <c r="M1069" s="0" t="s">
        <v>457</v>
      </c>
      <c r="R1069" s="0" t="s">
        <v>87</v>
      </c>
    </row>
    <row r="1070" customFormat="false" ht="15" hidden="false" customHeight="false" outlineLevel="0" collapsed="false">
      <c r="A1070" s="0" t="s">
        <v>187</v>
      </c>
      <c r="B1070" s="0" t="n">
        <v>2017</v>
      </c>
      <c r="C1070" s="0" t="s">
        <v>101</v>
      </c>
      <c r="D1070" s="0" t="s">
        <v>79</v>
      </c>
      <c r="E1070" s="0" t="n">
        <v>0</v>
      </c>
      <c r="F1070" s="0" t="s">
        <v>73</v>
      </c>
      <c r="H1070" s="0" t="s">
        <v>457</v>
      </c>
      <c r="I1070" s="0" t="s">
        <v>457</v>
      </c>
      <c r="J1070" s="0" t="s">
        <v>457</v>
      </c>
      <c r="K1070" s="0" t="s">
        <v>457</v>
      </c>
      <c r="L1070" s="0" t="s">
        <v>457</v>
      </c>
      <c r="M1070" s="0" t="s">
        <v>457</v>
      </c>
      <c r="R1070" s="0" t="s">
        <v>192</v>
      </c>
    </row>
    <row r="1071" customFormat="false" ht="15" hidden="false" customHeight="false" outlineLevel="0" collapsed="false">
      <c r="A1071" s="0" t="s">
        <v>187</v>
      </c>
      <c r="B1071" s="0" t="n">
        <v>2017</v>
      </c>
      <c r="C1071" s="0" t="s">
        <v>101</v>
      </c>
      <c r="D1071" s="0" t="s">
        <v>79</v>
      </c>
      <c r="E1071" s="0" t="n">
        <v>0</v>
      </c>
      <c r="F1071" s="0" t="s">
        <v>69</v>
      </c>
      <c r="G1071" s="0" t="n">
        <v>17.8</v>
      </c>
      <c r="H1071" s="0" t="s">
        <v>437</v>
      </c>
      <c r="I1071" s="0" t="s">
        <v>437</v>
      </c>
      <c r="J1071" s="0" t="s">
        <v>437</v>
      </c>
      <c r="K1071" s="0" t="s">
        <v>437</v>
      </c>
      <c r="L1071" s="0" t="s">
        <v>437</v>
      </c>
      <c r="M1071" s="0" t="s">
        <v>457</v>
      </c>
      <c r="R1071" s="0" t="s">
        <v>192</v>
      </c>
    </row>
    <row r="1072" customFormat="false" ht="15" hidden="false" customHeight="false" outlineLevel="0" collapsed="false">
      <c r="A1072" s="0" t="s">
        <v>187</v>
      </c>
      <c r="B1072" s="0" t="n">
        <v>2017</v>
      </c>
      <c r="C1072" s="0" t="s">
        <v>101</v>
      </c>
      <c r="D1072" s="0" t="s">
        <v>79</v>
      </c>
      <c r="E1072" s="0" t="n">
        <v>0</v>
      </c>
      <c r="F1072" s="0" t="s">
        <v>25</v>
      </c>
      <c r="G1072" s="0" t="n">
        <v>17.801876572795</v>
      </c>
      <c r="H1072" s="0" t="s">
        <v>437</v>
      </c>
      <c r="I1072" s="0" t="s">
        <v>437</v>
      </c>
      <c r="J1072" s="0" t="s">
        <v>437</v>
      </c>
      <c r="K1072" s="0" t="s">
        <v>437</v>
      </c>
      <c r="L1072" s="0" t="s">
        <v>437</v>
      </c>
      <c r="M1072" s="0" t="s">
        <v>457</v>
      </c>
      <c r="R1072" s="0" t="s">
        <v>192</v>
      </c>
    </row>
    <row r="1073" customFormat="false" ht="15" hidden="false" customHeight="false" outlineLevel="0" collapsed="false">
      <c r="A1073" s="0" t="s">
        <v>187</v>
      </c>
      <c r="B1073" s="0" t="n">
        <v>2017</v>
      </c>
      <c r="C1073" s="0" t="s">
        <v>101</v>
      </c>
      <c r="D1073" s="0" t="s">
        <v>79</v>
      </c>
      <c r="E1073" s="0" t="n">
        <v>0</v>
      </c>
      <c r="F1073" s="0" t="s">
        <v>41</v>
      </c>
      <c r="G1073" s="0" t="n">
        <v>0.914333038833324</v>
      </c>
      <c r="H1073" s="0" t="s">
        <v>437</v>
      </c>
      <c r="I1073" s="0" t="s">
        <v>437</v>
      </c>
      <c r="J1073" s="0" t="s">
        <v>437</v>
      </c>
      <c r="K1073" s="0" t="s">
        <v>437</v>
      </c>
      <c r="L1073" s="0" t="s">
        <v>437</v>
      </c>
      <c r="M1073" s="0" t="s">
        <v>457</v>
      </c>
      <c r="R1073" s="0" t="s">
        <v>192</v>
      </c>
    </row>
    <row r="1074" customFormat="false" ht="15" hidden="false" customHeight="false" outlineLevel="0" collapsed="false">
      <c r="A1074" s="0" t="s">
        <v>187</v>
      </c>
      <c r="B1074" s="0" t="n">
        <v>2017</v>
      </c>
      <c r="C1074" s="0" t="s">
        <v>101</v>
      </c>
      <c r="D1074" s="0" t="s">
        <v>79</v>
      </c>
      <c r="E1074" s="0" t="n">
        <v>0</v>
      </c>
      <c r="F1074" s="0" t="s">
        <v>27</v>
      </c>
      <c r="G1074" s="0" t="n">
        <v>23.9054595740122</v>
      </c>
      <c r="H1074" s="0" t="s">
        <v>437</v>
      </c>
      <c r="I1074" s="0" t="s">
        <v>437</v>
      </c>
      <c r="J1074" s="0" t="s">
        <v>437</v>
      </c>
      <c r="K1074" s="0" t="s">
        <v>437</v>
      </c>
      <c r="L1074" s="0" t="s">
        <v>437</v>
      </c>
      <c r="M1074" s="0" t="s">
        <v>457</v>
      </c>
      <c r="R1074" s="0" t="s">
        <v>192</v>
      </c>
    </row>
    <row r="1075" customFormat="false" ht="15" hidden="false" customHeight="false" outlineLevel="0" collapsed="false">
      <c r="A1075" s="0" t="s">
        <v>187</v>
      </c>
      <c r="B1075" s="0" t="n">
        <v>2017</v>
      </c>
      <c r="C1075" s="0" t="s">
        <v>101</v>
      </c>
      <c r="D1075" s="0" t="s">
        <v>79</v>
      </c>
      <c r="E1075" s="0" t="n">
        <v>0</v>
      </c>
      <c r="F1075" s="0" t="s">
        <v>39</v>
      </c>
      <c r="G1075" s="0" t="n">
        <v>5.54506094197699</v>
      </c>
      <c r="H1075" s="0" t="s">
        <v>437</v>
      </c>
      <c r="I1075" s="0" t="s">
        <v>437</v>
      </c>
      <c r="J1075" s="0" t="s">
        <v>437</v>
      </c>
      <c r="K1075" s="0" t="s">
        <v>437</v>
      </c>
      <c r="L1075" s="0" t="s">
        <v>437</v>
      </c>
      <c r="M1075" s="0" t="s">
        <v>457</v>
      </c>
      <c r="R1075" s="0" t="s">
        <v>192</v>
      </c>
    </row>
    <row r="1076" customFormat="false" ht="15" hidden="false" customHeight="false" outlineLevel="0" collapsed="false">
      <c r="A1076" s="0" t="s">
        <v>187</v>
      </c>
      <c r="B1076" s="0" t="n">
        <v>2017</v>
      </c>
      <c r="C1076" s="0" t="s">
        <v>101</v>
      </c>
      <c r="D1076" s="0" t="s">
        <v>79</v>
      </c>
      <c r="E1076" s="0" t="n">
        <v>0</v>
      </c>
      <c r="F1076" s="0" t="s">
        <v>17</v>
      </c>
      <c r="G1076" s="0" t="n">
        <v>8.13302570293358</v>
      </c>
      <c r="H1076" s="0" t="s">
        <v>437</v>
      </c>
      <c r="I1076" s="0" t="s">
        <v>437</v>
      </c>
      <c r="J1076" s="0" t="s">
        <v>437</v>
      </c>
      <c r="K1076" s="0" t="s">
        <v>437</v>
      </c>
      <c r="L1076" s="0" t="s">
        <v>437</v>
      </c>
      <c r="M1076" s="0" t="s">
        <v>457</v>
      </c>
      <c r="R1076" s="0" t="s">
        <v>192</v>
      </c>
    </row>
    <row r="1077" customFormat="false" ht="15" hidden="false" customHeight="false" outlineLevel="0" collapsed="false">
      <c r="A1077" s="0" t="s">
        <v>187</v>
      </c>
      <c r="B1077" s="0" t="n">
        <v>2017</v>
      </c>
      <c r="C1077" s="0" t="s">
        <v>101</v>
      </c>
      <c r="D1077" s="0" t="s">
        <v>79</v>
      </c>
      <c r="E1077" s="0" t="n">
        <v>0</v>
      </c>
      <c r="F1077" s="0" t="s">
        <v>29</v>
      </c>
      <c r="G1077" s="0" t="n">
        <v>2.07272685856352</v>
      </c>
      <c r="H1077" s="0" t="s">
        <v>437</v>
      </c>
      <c r="I1077" s="0" t="s">
        <v>437</v>
      </c>
      <c r="J1077" s="0" t="s">
        <v>437</v>
      </c>
      <c r="K1077" s="0" t="s">
        <v>437</v>
      </c>
      <c r="L1077" s="0" t="s">
        <v>437</v>
      </c>
      <c r="M1077" s="0" t="s">
        <v>457</v>
      </c>
      <c r="R1077" s="0" t="s">
        <v>192</v>
      </c>
    </row>
    <row r="1078" customFormat="false" ht="15" hidden="false" customHeight="false" outlineLevel="0" collapsed="false">
      <c r="A1078" s="0" t="s">
        <v>187</v>
      </c>
      <c r="B1078" s="0" t="n">
        <v>2017</v>
      </c>
      <c r="C1078" s="0" t="s">
        <v>101</v>
      </c>
      <c r="D1078" s="0" t="s">
        <v>79</v>
      </c>
      <c r="E1078" s="0" t="n">
        <v>0</v>
      </c>
      <c r="F1078" s="0" t="s">
        <v>37</v>
      </c>
      <c r="G1078" s="0" t="n">
        <v>20.8130017092667</v>
      </c>
      <c r="H1078" s="0" t="s">
        <v>437</v>
      </c>
      <c r="I1078" s="0" t="s">
        <v>437</v>
      </c>
      <c r="J1078" s="0" t="s">
        <v>437</v>
      </c>
      <c r="K1078" s="0" t="s">
        <v>457</v>
      </c>
      <c r="L1078" s="0" t="s">
        <v>437</v>
      </c>
      <c r="M1078" s="0" t="s">
        <v>457</v>
      </c>
      <c r="R1078" s="0" t="s">
        <v>192</v>
      </c>
    </row>
    <row r="1079" customFormat="false" ht="15" hidden="false" customHeight="false" outlineLevel="0" collapsed="false">
      <c r="A1079" s="0" t="s">
        <v>187</v>
      </c>
      <c r="B1079" s="0" t="n">
        <v>2017</v>
      </c>
      <c r="C1079" s="0" t="s">
        <v>101</v>
      </c>
      <c r="D1079" s="0" t="s">
        <v>79</v>
      </c>
      <c r="E1079" s="0" t="n">
        <v>0</v>
      </c>
      <c r="F1079" s="0" t="s">
        <v>23</v>
      </c>
      <c r="G1079" s="0" t="n">
        <v>39.076658987216</v>
      </c>
      <c r="H1079" s="0" t="s">
        <v>437</v>
      </c>
      <c r="I1079" s="0" t="s">
        <v>437</v>
      </c>
      <c r="J1079" s="0" t="s">
        <v>437</v>
      </c>
      <c r="K1079" s="0" t="s">
        <v>457</v>
      </c>
      <c r="L1079" s="0" t="s">
        <v>437</v>
      </c>
      <c r="M1079" s="0" t="s">
        <v>457</v>
      </c>
      <c r="R1079" s="0" t="s">
        <v>192</v>
      </c>
    </row>
    <row r="1080" customFormat="false" ht="15" hidden="false" customHeight="false" outlineLevel="0" collapsed="false">
      <c r="A1080" s="0" t="s">
        <v>187</v>
      </c>
      <c r="B1080" s="0" t="n">
        <v>2017</v>
      </c>
      <c r="C1080" s="0" t="s">
        <v>101</v>
      </c>
      <c r="D1080" s="0" t="s">
        <v>79</v>
      </c>
      <c r="E1080" s="0" t="n">
        <v>0</v>
      </c>
      <c r="F1080" s="0" t="s">
        <v>45</v>
      </c>
      <c r="H1080" s="0" t="s">
        <v>457</v>
      </c>
      <c r="I1080" s="0" t="s">
        <v>457</v>
      </c>
      <c r="J1080" s="0" t="s">
        <v>457</v>
      </c>
      <c r="K1080" s="0" t="s">
        <v>457</v>
      </c>
      <c r="L1080" s="0" t="s">
        <v>457</v>
      </c>
      <c r="M1080" s="0" t="s">
        <v>457</v>
      </c>
      <c r="R1080" s="0" t="s">
        <v>192</v>
      </c>
    </row>
    <row r="1081" customFormat="false" ht="15" hidden="false" customHeight="false" outlineLevel="0" collapsed="false">
      <c r="A1081" s="0" t="s">
        <v>187</v>
      </c>
      <c r="B1081" s="0" t="n">
        <v>2017</v>
      </c>
      <c r="C1081" s="0" t="s">
        <v>101</v>
      </c>
      <c r="D1081" s="0" t="s">
        <v>79</v>
      </c>
      <c r="E1081" s="0" t="n">
        <v>0</v>
      </c>
      <c r="F1081" s="0" t="s">
        <v>71</v>
      </c>
      <c r="H1081" s="0" t="s">
        <v>457</v>
      </c>
      <c r="I1081" s="0" t="s">
        <v>457</v>
      </c>
      <c r="J1081" s="0" t="s">
        <v>457</v>
      </c>
      <c r="K1081" s="0" t="s">
        <v>457</v>
      </c>
      <c r="L1081" s="0" t="s">
        <v>457</v>
      </c>
      <c r="M1081" s="0" t="s">
        <v>457</v>
      </c>
      <c r="R1081" s="0" t="s">
        <v>192</v>
      </c>
    </row>
    <row r="1082" customFormat="false" ht="15" hidden="false" customHeight="false" outlineLevel="0" collapsed="false">
      <c r="A1082" s="0" t="s">
        <v>187</v>
      </c>
      <c r="B1082" s="0" t="n">
        <v>2017</v>
      </c>
      <c r="C1082" s="0" t="s">
        <v>101</v>
      </c>
      <c r="D1082" s="0" t="s">
        <v>79</v>
      </c>
      <c r="E1082" s="0" t="n">
        <v>0</v>
      </c>
      <c r="F1082" s="0" t="s">
        <v>31</v>
      </c>
      <c r="G1082" s="0" t="n">
        <v>76.0945404259878</v>
      </c>
      <c r="H1082" s="0" t="s">
        <v>437</v>
      </c>
      <c r="I1082" s="0" t="s">
        <v>437</v>
      </c>
      <c r="J1082" s="0" t="s">
        <v>437</v>
      </c>
      <c r="K1082" s="0" t="s">
        <v>437</v>
      </c>
      <c r="L1082" s="0" t="s">
        <v>437</v>
      </c>
      <c r="M1082" s="0" t="s">
        <v>457</v>
      </c>
      <c r="R1082" s="0" t="s">
        <v>192</v>
      </c>
    </row>
    <row r="1083" customFormat="false" ht="15" hidden="false" customHeight="false" outlineLevel="0" collapsed="false">
      <c r="A1083" s="0" t="s">
        <v>187</v>
      </c>
      <c r="B1083" s="0" t="n">
        <v>2018</v>
      </c>
      <c r="C1083" s="0" t="s">
        <v>101</v>
      </c>
      <c r="D1083" s="0" t="s">
        <v>90</v>
      </c>
      <c r="E1083" s="0" t="n">
        <v>1</v>
      </c>
      <c r="F1083" s="0" t="s">
        <v>73</v>
      </c>
      <c r="G1083" s="0" t="n">
        <v>0</v>
      </c>
      <c r="H1083" s="0" t="s">
        <v>437</v>
      </c>
      <c r="I1083" s="0" t="s">
        <v>437</v>
      </c>
      <c r="J1083" s="0" t="s">
        <v>437</v>
      </c>
      <c r="K1083" s="0" t="s">
        <v>457</v>
      </c>
      <c r="L1083" s="0" t="s">
        <v>437</v>
      </c>
      <c r="M1083" s="0" t="s">
        <v>457</v>
      </c>
      <c r="R1083" s="0" t="s">
        <v>194</v>
      </c>
    </row>
    <row r="1084" customFormat="false" ht="15" hidden="false" customHeight="false" outlineLevel="0" collapsed="false">
      <c r="A1084" s="0" t="s">
        <v>187</v>
      </c>
      <c r="B1084" s="0" t="n">
        <v>2018</v>
      </c>
      <c r="C1084" s="0" t="s">
        <v>101</v>
      </c>
      <c r="D1084" s="0" t="s">
        <v>90</v>
      </c>
      <c r="E1084" s="0" t="n">
        <v>1</v>
      </c>
      <c r="F1084" s="0" t="s">
        <v>69</v>
      </c>
      <c r="G1084" s="0" t="n">
        <v>11.5</v>
      </c>
      <c r="H1084" s="0" t="s">
        <v>437</v>
      </c>
      <c r="I1084" s="0" t="s">
        <v>437</v>
      </c>
      <c r="J1084" s="0" t="s">
        <v>437</v>
      </c>
      <c r="K1084" s="0" t="s">
        <v>437</v>
      </c>
      <c r="L1084" s="0" t="s">
        <v>437</v>
      </c>
      <c r="M1084" s="0" t="s">
        <v>457</v>
      </c>
      <c r="R1084" s="0" t="s">
        <v>194</v>
      </c>
    </row>
    <row r="1085" customFormat="false" ht="15" hidden="false" customHeight="false" outlineLevel="0" collapsed="false">
      <c r="A1085" s="0" t="s">
        <v>187</v>
      </c>
      <c r="B1085" s="0" t="n">
        <v>2018</v>
      </c>
      <c r="C1085" s="0" t="s">
        <v>101</v>
      </c>
      <c r="D1085" s="0" t="s">
        <v>90</v>
      </c>
      <c r="E1085" s="0" t="n">
        <v>1</v>
      </c>
      <c r="F1085" s="0" t="s">
        <v>25</v>
      </c>
      <c r="G1085" s="0" t="n">
        <v>11.4639800982065</v>
      </c>
      <c r="H1085" s="0" t="s">
        <v>437</v>
      </c>
      <c r="I1085" s="0" t="s">
        <v>437</v>
      </c>
      <c r="J1085" s="0" t="s">
        <v>437</v>
      </c>
      <c r="K1085" s="0" t="s">
        <v>437</v>
      </c>
      <c r="L1085" s="0" t="s">
        <v>437</v>
      </c>
      <c r="M1085" s="0" t="s">
        <v>457</v>
      </c>
      <c r="R1085" s="0" t="s">
        <v>194</v>
      </c>
    </row>
    <row r="1086" customFormat="false" ht="15" hidden="false" customHeight="false" outlineLevel="0" collapsed="false">
      <c r="A1086" s="0" t="s">
        <v>187</v>
      </c>
      <c r="B1086" s="0" t="n">
        <v>2018</v>
      </c>
      <c r="C1086" s="0" t="s">
        <v>101</v>
      </c>
      <c r="D1086" s="0" t="s">
        <v>90</v>
      </c>
      <c r="E1086" s="0" t="n">
        <v>1</v>
      </c>
      <c r="F1086" s="0" t="s">
        <v>41</v>
      </c>
      <c r="G1086" s="0" t="n">
        <v>1.3867234653195</v>
      </c>
      <c r="H1086" s="0" t="s">
        <v>437</v>
      </c>
      <c r="I1086" s="0" t="s">
        <v>437</v>
      </c>
      <c r="J1086" s="0" t="s">
        <v>437</v>
      </c>
      <c r="K1086" s="0" t="s">
        <v>437</v>
      </c>
      <c r="L1086" s="0" t="s">
        <v>437</v>
      </c>
      <c r="M1086" s="0" t="s">
        <v>457</v>
      </c>
      <c r="R1086" s="0" t="s">
        <v>194</v>
      </c>
    </row>
    <row r="1087" customFormat="false" ht="15" hidden="false" customHeight="false" outlineLevel="0" collapsed="false">
      <c r="A1087" s="0" t="s">
        <v>187</v>
      </c>
      <c r="B1087" s="0" t="n">
        <v>2018</v>
      </c>
      <c r="C1087" s="0" t="s">
        <v>101</v>
      </c>
      <c r="D1087" s="0" t="s">
        <v>90</v>
      </c>
      <c r="E1087" s="0" t="n">
        <v>1</v>
      </c>
      <c r="F1087" s="0" t="s">
        <v>27</v>
      </c>
      <c r="G1087" s="0" t="n">
        <v>15.1089219412262</v>
      </c>
      <c r="H1087" s="0" t="s">
        <v>437</v>
      </c>
      <c r="I1087" s="0" t="s">
        <v>437</v>
      </c>
      <c r="J1087" s="0" t="s">
        <v>437</v>
      </c>
      <c r="K1087" s="0" t="s">
        <v>437</v>
      </c>
      <c r="L1087" s="0" t="s">
        <v>437</v>
      </c>
      <c r="M1087" s="0" t="s">
        <v>457</v>
      </c>
      <c r="R1087" s="0" t="s">
        <v>194</v>
      </c>
    </row>
    <row r="1088" customFormat="false" ht="15" hidden="false" customHeight="false" outlineLevel="0" collapsed="false">
      <c r="A1088" s="0" t="s">
        <v>187</v>
      </c>
      <c r="B1088" s="0" t="n">
        <v>2018</v>
      </c>
      <c r="C1088" s="0" t="s">
        <v>101</v>
      </c>
      <c r="D1088" s="0" t="s">
        <v>90</v>
      </c>
      <c r="E1088" s="0" t="n">
        <v>1</v>
      </c>
      <c r="F1088" s="0" t="s">
        <v>39</v>
      </c>
      <c r="G1088" s="0" t="n">
        <v>2.8124057523678</v>
      </c>
      <c r="H1088" s="0" t="s">
        <v>437</v>
      </c>
      <c r="I1088" s="0" t="s">
        <v>437</v>
      </c>
      <c r="J1088" s="0" t="s">
        <v>437</v>
      </c>
      <c r="K1088" s="0" t="s">
        <v>437</v>
      </c>
      <c r="L1088" s="0" t="s">
        <v>437</v>
      </c>
      <c r="M1088" s="0" t="s">
        <v>457</v>
      </c>
      <c r="R1088" s="0" t="s">
        <v>194</v>
      </c>
    </row>
    <row r="1089" customFormat="false" ht="15" hidden="false" customHeight="false" outlineLevel="0" collapsed="false">
      <c r="A1089" s="0" t="s">
        <v>187</v>
      </c>
      <c r="B1089" s="0" t="n">
        <v>2018</v>
      </c>
      <c r="C1089" s="0" t="s">
        <v>101</v>
      </c>
      <c r="D1089" s="0" t="s">
        <v>90</v>
      </c>
      <c r="E1089" s="0" t="n">
        <v>1</v>
      </c>
      <c r="F1089" s="0" t="s">
        <v>17</v>
      </c>
      <c r="G1089" s="0" t="n">
        <v>9.58161877159925</v>
      </c>
      <c r="H1089" s="0" t="s">
        <v>437</v>
      </c>
      <c r="I1089" s="0" t="s">
        <v>437</v>
      </c>
      <c r="J1089" s="0" t="s">
        <v>457</v>
      </c>
      <c r="K1089" s="0" t="s">
        <v>457</v>
      </c>
      <c r="L1089" s="0" t="s">
        <v>457</v>
      </c>
      <c r="M1089" s="0" t="s">
        <v>457</v>
      </c>
      <c r="N1089" s="0" t="s">
        <v>2592</v>
      </c>
      <c r="O1089" s="0" t="s">
        <v>2593</v>
      </c>
      <c r="P1089" s="0" t="s">
        <v>2594</v>
      </c>
      <c r="R1089" s="0" t="s">
        <v>194</v>
      </c>
    </row>
    <row r="1090" customFormat="false" ht="15" hidden="false" customHeight="false" outlineLevel="0" collapsed="false">
      <c r="A1090" s="0" t="s">
        <v>187</v>
      </c>
      <c r="B1090" s="0" t="n">
        <v>2018</v>
      </c>
      <c r="C1090" s="0" t="s">
        <v>101</v>
      </c>
      <c r="D1090" s="0" t="s">
        <v>90</v>
      </c>
      <c r="E1090" s="0" t="n">
        <v>1</v>
      </c>
      <c r="F1090" s="0" t="s">
        <v>29</v>
      </c>
      <c r="G1090" s="0" t="n">
        <v>-0.264363433159673</v>
      </c>
      <c r="H1090" s="0" t="s">
        <v>437</v>
      </c>
      <c r="I1090" s="0" t="s">
        <v>437</v>
      </c>
      <c r="J1090" s="0" t="s">
        <v>437</v>
      </c>
      <c r="K1090" s="0" t="s">
        <v>437</v>
      </c>
      <c r="L1090" s="0" t="s">
        <v>437</v>
      </c>
      <c r="M1090" s="0" t="s">
        <v>457</v>
      </c>
      <c r="R1090" s="0" t="s">
        <v>194</v>
      </c>
    </row>
    <row r="1091" customFormat="false" ht="15" hidden="false" customHeight="false" outlineLevel="0" collapsed="false">
      <c r="A1091" s="0" t="s">
        <v>187</v>
      </c>
      <c r="B1091" s="0" t="n">
        <v>2018</v>
      </c>
      <c r="C1091" s="0" t="s">
        <v>101</v>
      </c>
      <c r="D1091" s="0" t="s">
        <v>90</v>
      </c>
      <c r="E1091" s="0" t="n">
        <v>1</v>
      </c>
      <c r="F1091" s="0" t="s">
        <v>37</v>
      </c>
      <c r="G1091" s="0" t="n">
        <v>8.13188113123051</v>
      </c>
      <c r="H1091" s="0" t="s">
        <v>437</v>
      </c>
      <c r="I1091" s="0" t="s">
        <v>437</v>
      </c>
      <c r="J1091" s="0" t="s">
        <v>437</v>
      </c>
      <c r="K1091" s="0" t="s">
        <v>437</v>
      </c>
      <c r="L1091" s="0" t="s">
        <v>437</v>
      </c>
      <c r="M1091" s="0" t="s">
        <v>457</v>
      </c>
      <c r="R1091" s="0" t="s">
        <v>194</v>
      </c>
    </row>
    <row r="1092" customFormat="false" ht="15" hidden="false" customHeight="false" outlineLevel="0" collapsed="false">
      <c r="A1092" s="0" t="s">
        <v>187</v>
      </c>
      <c r="B1092" s="0" t="n">
        <v>2018</v>
      </c>
      <c r="C1092" s="0" t="s">
        <v>101</v>
      </c>
      <c r="D1092" s="0" t="s">
        <v>90</v>
      </c>
      <c r="E1092" s="0" t="n">
        <v>1</v>
      </c>
      <c r="F1092" s="0" t="s">
        <v>23</v>
      </c>
      <c r="G1092" s="0" t="n">
        <v>117.827826267664</v>
      </c>
      <c r="H1092" s="0" t="s">
        <v>437</v>
      </c>
      <c r="I1092" s="0" t="s">
        <v>437</v>
      </c>
      <c r="J1092" s="0" t="s">
        <v>457</v>
      </c>
      <c r="K1092" s="0" t="s">
        <v>457</v>
      </c>
      <c r="L1092" s="0" t="s">
        <v>457</v>
      </c>
      <c r="M1092" s="0" t="s">
        <v>457</v>
      </c>
      <c r="N1092" s="0" t="s">
        <v>2592</v>
      </c>
      <c r="O1092" s="0" t="s">
        <v>2593</v>
      </c>
      <c r="P1092" s="0" t="s">
        <v>2594</v>
      </c>
      <c r="R1092" s="0" t="s">
        <v>194</v>
      </c>
    </row>
    <row r="1093" customFormat="false" ht="15" hidden="false" customHeight="false" outlineLevel="0" collapsed="false">
      <c r="A1093" s="0" t="s">
        <v>187</v>
      </c>
      <c r="B1093" s="0" t="n">
        <v>2018</v>
      </c>
      <c r="C1093" s="0" t="s">
        <v>101</v>
      </c>
      <c r="D1093" s="0" t="s">
        <v>90</v>
      </c>
      <c r="E1093" s="0" t="n">
        <v>1</v>
      </c>
      <c r="F1093" s="0" t="s">
        <v>45</v>
      </c>
      <c r="G1093" s="0" t="n">
        <v>24.4461922677737</v>
      </c>
      <c r="H1093" s="0" t="s">
        <v>437</v>
      </c>
      <c r="I1093" s="0" t="s">
        <v>437</v>
      </c>
      <c r="J1093" s="0" t="s">
        <v>437</v>
      </c>
      <c r="K1093" s="0" t="s">
        <v>457</v>
      </c>
      <c r="L1093" s="0" t="s">
        <v>437</v>
      </c>
      <c r="M1093" s="0" t="s">
        <v>457</v>
      </c>
      <c r="R1093" s="0" t="s">
        <v>194</v>
      </c>
    </row>
    <row r="1094" customFormat="false" ht="15" hidden="false" customHeight="false" outlineLevel="0" collapsed="false">
      <c r="A1094" s="0" t="s">
        <v>187</v>
      </c>
      <c r="B1094" s="0" t="n">
        <v>2018</v>
      </c>
      <c r="C1094" s="0" t="s">
        <v>101</v>
      </c>
      <c r="D1094" s="0" t="s">
        <v>90</v>
      </c>
      <c r="E1094" s="0" t="n">
        <v>1</v>
      </c>
      <c r="F1094" s="0" t="s">
        <v>71</v>
      </c>
      <c r="H1094" s="0" t="s">
        <v>457</v>
      </c>
      <c r="I1094" s="0" t="s">
        <v>457</v>
      </c>
      <c r="J1094" s="0" t="s">
        <v>457</v>
      </c>
      <c r="K1094" s="0" t="s">
        <v>457</v>
      </c>
      <c r="L1094" s="0" t="s">
        <v>457</v>
      </c>
      <c r="M1094" s="0" t="s">
        <v>457</v>
      </c>
      <c r="R1094" s="0" t="s">
        <v>194</v>
      </c>
    </row>
    <row r="1095" customFormat="false" ht="15" hidden="false" customHeight="false" outlineLevel="0" collapsed="false">
      <c r="A1095" s="0" t="s">
        <v>187</v>
      </c>
      <c r="B1095" s="0" t="n">
        <v>2018</v>
      </c>
      <c r="C1095" s="0" t="s">
        <v>101</v>
      </c>
      <c r="D1095" s="0" t="s">
        <v>90</v>
      </c>
      <c r="E1095" s="0" t="n">
        <v>1</v>
      </c>
      <c r="F1095" s="0" t="s">
        <v>31</v>
      </c>
      <c r="G1095" s="0" t="n">
        <v>84.8910780587738</v>
      </c>
      <c r="H1095" s="0" t="s">
        <v>437</v>
      </c>
      <c r="I1095" s="0" t="s">
        <v>437</v>
      </c>
      <c r="J1095" s="0" t="s">
        <v>437</v>
      </c>
      <c r="K1095" s="0" t="s">
        <v>437</v>
      </c>
      <c r="L1095" s="0" t="s">
        <v>437</v>
      </c>
      <c r="M1095" s="0" t="s">
        <v>457</v>
      </c>
      <c r="R1095" s="0" t="s">
        <v>194</v>
      </c>
    </row>
    <row r="1096" customFormat="false" ht="15" hidden="false" customHeight="false" outlineLevel="0" collapsed="false">
      <c r="A1096" s="0" t="s">
        <v>187</v>
      </c>
      <c r="B1096" s="0" t="n">
        <v>2019</v>
      </c>
      <c r="C1096" s="0" t="s">
        <v>101</v>
      </c>
      <c r="D1096" s="0" t="s">
        <v>90</v>
      </c>
      <c r="E1096" s="0" t="n">
        <v>1</v>
      </c>
      <c r="F1096" s="0" t="s">
        <v>73</v>
      </c>
      <c r="H1096" s="0" t="s">
        <v>457</v>
      </c>
      <c r="I1096" s="0" t="s">
        <v>457</v>
      </c>
      <c r="J1096" s="0" t="s">
        <v>457</v>
      </c>
      <c r="K1096" s="0" t="s">
        <v>457</v>
      </c>
      <c r="L1096" s="0" t="s">
        <v>457</v>
      </c>
      <c r="M1096" s="0" t="s">
        <v>457</v>
      </c>
      <c r="R1096" s="0" t="s">
        <v>196</v>
      </c>
    </row>
    <row r="1097" customFormat="false" ht="15" hidden="false" customHeight="false" outlineLevel="0" collapsed="false">
      <c r="A1097" s="0" t="s">
        <v>187</v>
      </c>
      <c r="B1097" s="0" t="n">
        <v>2019</v>
      </c>
      <c r="C1097" s="0" t="s">
        <v>101</v>
      </c>
      <c r="D1097" s="0" t="s">
        <v>90</v>
      </c>
      <c r="E1097" s="0" t="n">
        <v>1</v>
      </c>
      <c r="F1097" s="0" t="s">
        <v>69</v>
      </c>
      <c r="G1097" s="0" t="n">
        <v>15.91</v>
      </c>
      <c r="H1097" s="0" t="s">
        <v>437</v>
      </c>
      <c r="I1097" s="0" t="s">
        <v>437</v>
      </c>
      <c r="J1097" s="0" t="s">
        <v>437</v>
      </c>
      <c r="K1097" s="0" t="s">
        <v>437</v>
      </c>
      <c r="L1097" s="0" t="s">
        <v>437</v>
      </c>
      <c r="M1097" s="0" t="s">
        <v>457</v>
      </c>
      <c r="R1097" s="0" t="s">
        <v>196</v>
      </c>
    </row>
    <row r="1098" customFormat="false" ht="15" hidden="false" customHeight="false" outlineLevel="0" collapsed="false">
      <c r="A1098" s="0" t="s">
        <v>187</v>
      </c>
      <c r="B1098" s="0" t="n">
        <v>2019</v>
      </c>
      <c r="C1098" s="0" t="s">
        <v>101</v>
      </c>
      <c r="D1098" s="0" t="s">
        <v>90</v>
      </c>
      <c r="E1098" s="0" t="n">
        <v>1</v>
      </c>
      <c r="F1098" s="0" t="s">
        <v>25</v>
      </c>
      <c r="G1098" s="0" t="n">
        <v>15.9061110315789</v>
      </c>
      <c r="H1098" s="0" t="s">
        <v>437</v>
      </c>
      <c r="I1098" s="0" t="s">
        <v>437</v>
      </c>
      <c r="J1098" s="0" t="s">
        <v>437</v>
      </c>
      <c r="K1098" s="0" t="s">
        <v>437</v>
      </c>
      <c r="L1098" s="0" t="s">
        <v>437</v>
      </c>
      <c r="M1098" s="0" t="s">
        <v>457</v>
      </c>
      <c r="R1098" s="0" t="s">
        <v>196</v>
      </c>
    </row>
    <row r="1099" customFormat="false" ht="15" hidden="false" customHeight="false" outlineLevel="0" collapsed="false">
      <c r="A1099" s="0" t="s">
        <v>187</v>
      </c>
      <c r="B1099" s="0" t="n">
        <v>2019</v>
      </c>
      <c r="C1099" s="0" t="s">
        <v>101</v>
      </c>
      <c r="D1099" s="0" t="s">
        <v>90</v>
      </c>
      <c r="E1099" s="0" t="n">
        <v>1</v>
      </c>
      <c r="F1099" s="0" t="s">
        <v>41</v>
      </c>
      <c r="G1099" s="0" t="n">
        <v>1.60571218523101</v>
      </c>
      <c r="H1099" s="0" t="s">
        <v>437</v>
      </c>
      <c r="I1099" s="0" t="s">
        <v>437</v>
      </c>
      <c r="J1099" s="0" t="s">
        <v>437</v>
      </c>
      <c r="K1099" s="0" t="s">
        <v>437</v>
      </c>
      <c r="L1099" s="0" t="s">
        <v>437</v>
      </c>
      <c r="M1099" s="0" t="s">
        <v>457</v>
      </c>
      <c r="R1099" s="0" t="s">
        <v>196</v>
      </c>
    </row>
    <row r="1100" customFormat="false" ht="15" hidden="false" customHeight="false" outlineLevel="0" collapsed="false">
      <c r="A1100" s="0" t="s">
        <v>187</v>
      </c>
      <c r="B1100" s="0" t="n">
        <v>2019</v>
      </c>
      <c r="C1100" s="0" t="s">
        <v>101</v>
      </c>
      <c r="D1100" s="0" t="s">
        <v>90</v>
      </c>
      <c r="E1100" s="0" t="n">
        <v>1</v>
      </c>
      <c r="F1100" s="0" t="s">
        <v>27</v>
      </c>
      <c r="G1100" s="0" t="n">
        <v>13.5062646817067</v>
      </c>
      <c r="H1100" s="0" t="s">
        <v>437</v>
      </c>
      <c r="I1100" s="0" t="s">
        <v>437</v>
      </c>
      <c r="J1100" s="0" t="s">
        <v>437</v>
      </c>
      <c r="K1100" s="0" t="s">
        <v>437</v>
      </c>
      <c r="L1100" s="0" t="s">
        <v>437</v>
      </c>
      <c r="M1100" s="0" t="s">
        <v>457</v>
      </c>
      <c r="R1100" s="0" t="s">
        <v>196</v>
      </c>
    </row>
    <row r="1101" customFormat="false" ht="15" hidden="false" customHeight="false" outlineLevel="0" collapsed="false">
      <c r="A1101" s="0" t="s">
        <v>187</v>
      </c>
      <c r="B1101" s="0" t="n">
        <v>2019</v>
      </c>
      <c r="C1101" s="0" t="s">
        <v>101</v>
      </c>
      <c r="D1101" s="0" t="s">
        <v>90</v>
      </c>
      <c r="E1101" s="0" t="n">
        <v>1</v>
      </c>
      <c r="F1101" s="0" t="s">
        <v>39</v>
      </c>
      <c r="G1101" s="0" t="n">
        <v>13.6571503104706</v>
      </c>
      <c r="H1101" s="0" t="s">
        <v>437</v>
      </c>
      <c r="I1101" s="0" t="s">
        <v>437</v>
      </c>
      <c r="J1101" s="0" t="s">
        <v>437</v>
      </c>
      <c r="K1101" s="0" t="s">
        <v>437</v>
      </c>
      <c r="L1101" s="0" t="s">
        <v>437</v>
      </c>
      <c r="M1101" s="0" t="s">
        <v>457</v>
      </c>
      <c r="R1101" s="0" t="s">
        <v>196</v>
      </c>
    </row>
    <row r="1102" customFormat="false" ht="15" hidden="false" customHeight="false" outlineLevel="0" collapsed="false">
      <c r="A1102" s="0" t="s">
        <v>187</v>
      </c>
      <c r="B1102" s="0" t="n">
        <v>2019</v>
      </c>
      <c r="C1102" s="0" t="s">
        <v>101</v>
      </c>
      <c r="D1102" s="0" t="s">
        <v>90</v>
      </c>
      <c r="E1102" s="0" t="n">
        <v>1</v>
      </c>
      <c r="F1102" s="0" t="s">
        <v>17</v>
      </c>
      <c r="G1102" s="0" t="n">
        <v>7.50632456349593</v>
      </c>
      <c r="H1102" s="0" t="s">
        <v>437</v>
      </c>
      <c r="I1102" s="0" t="s">
        <v>437</v>
      </c>
      <c r="J1102" s="0" t="s">
        <v>437</v>
      </c>
      <c r="K1102" s="0" t="s">
        <v>457</v>
      </c>
      <c r="L1102" s="0" t="s">
        <v>437</v>
      </c>
      <c r="M1102" s="0" t="s">
        <v>457</v>
      </c>
      <c r="R1102" s="0" t="s">
        <v>196</v>
      </c>
    </row>
    <row r="1103" customFormat="false" ht="15" hidden="false" customHeight="false" outlineLevel="0" collapsed="false">
      <c r="A1103" s="0" t="s">
        <v>187</v>
      </c>
      <c r="B1103" s="0" t="n">
        <v>2019</v>
      </c>
      <c r="C1103" s="0" t="s">
        <v>101</v>
      </c>
      <c r="D1103" s="0" t="s">
        <v>90</v>
      </c>
      <c r="E1103" s="0" t="n">
        <v>1</v>
      </c>
      <c r="F1103" s="0" t="s">
        <v>29</v>
      </c>
      <c r="G1103" s="0" t="n">
        <v>-0.0332011873376996</v>
      </c>
      <c r="H1103" s="0" t="s">
        <v>437</v>
      </c>
      <c r="I1103" s="0" t="s">
        <v>437</v>
      </c>
      <c r="J1103" s="0" t="s">
        <v>437</v>
      </c>
      <c r="K1103" s="0" t="s">
        <v>437</v>
      </c>
      <c r="L1103" s="0" t="s">
        <v>437</v>
      </c>
      <c r="M1103" s="0" t="s">
        <v>457</v>
      </c>
      <c r="R1103" s="0" t="s">
        <v>196</v>
      </c>
    </row>
    <row r="1104" customFormat="false" ht="15" hidden="false" customHeight="false" outlineLevel="0" collapsed="false">
      <c r="A1104" s="0" t="s">
        <v>187</v>
      </c>
      <c r="B1104" s="0" t="n">
        <v>2019</v>
      </c>
      <c r="C1104" s="0" t="s">
        <v>101</v>
      </c>
      <c r="D1104" s="0" t="s">
        <v>90</v>
      </c>
      <c r="E1104" s="0" t="n">
        <v>1</v>
      </c>
      <c r="F1104" s="0" t="s">
        <v>37</v>
      </c>
      <c r="G1104" s="0" t="n">
        <v>5.83909235374552</v>
      </c>
      <c r="H1104" s="0" t="s">
        <v>437</v>
      </c>
      <c r="I1104" s="0" t="s">
        <v>437</v>
      </c>
      <c r="J1104" s="0" t="s">
        <v>437</v>
      </c>
      <c r="K1104" s="0" t="s">
        <v>437</v>
      </c>
      <c r="L1104" s="0" t="s">
        <v>437</v>
      </c>
      <c r="M1104" s="0" t="s">
        <v>457</v>
      </c>
      <c r="R1104" s="0" t="s">
        <v>196</v>
      </c>
    </row>
    <row r="1105" customFormat="false" ht="15" hidden="false" customHeight="false" outlineLevel="0" collapsed="false">
      <c r="A1105" s="0" t="s">
        <v>187</v>
      </c>
      <c r="B1105" s="0" t="n">
        <v>2019</v>
      </c>
      <c r="C1105" s="0" t="s">
        <v>101</v>
      </c>
      <c r="D1105" s="0" t="s">
        <v>90</v>
      </c>
      <c r="E1105" s="0" t="n">
        <v>1</v>
      </c>
      <c r="F1105" s="0" t="s">
        <v>23</v>
      </c>
      <c r="G1105" s="0" t="n">
        <v>128.552934407365</v>
      </c>
      <c r="H1105" s="0" t="s">
        <v>437</v>
      </c>
      <c r="I1105" s="0" t="s">
        <v>437</v>
      </c>
      <c r="J1105" s="0" t="s">
        <v>437</v>
      </c>
      <c r="K1105" s="0" t="s">
        <v>457</v>
      </c>
      <c r="L1105" s="0" t="s">
        <v>437</v>
      </c>
      <c r="M1105" s="0" t="s">
        <v>457</v>
      </c>
      <c r="R1105" s="0" t="s">
        <v>196</v>
      </c>
    </row>
    <row r="1106" customFormat="false" ht="15" hidden="false" customHeight="false" outlineLevel="0" collapsed="false">
      <c r="A1106" s="0" t="s">
        <v>187</v>
      </c>
      <c r="B1106" s="0" t="n">
        <v>2019</v>
      </c>
      <c r="C1106" s="0" t="s">
        <v>101</v>
      </c>
      <c r="D1106" s="0" t="s">
        <v>90</v>
      </c>
      <c r="E1106" s="0" t="n">
        <v>1</v>
      </c>
      <c r="F1106" s="0" t="s">
        <v>45</v>
      </c>
      <c r="G1106" s="0" t="n">
        <v>27.5621501131549</v>
      </c>
      <c r="H1106" s="0" t="s">
        <v>437</v>
      </c>
      <c r="I1106" s="0" t="s">
        <v>437</v>
      </c>
      <c r="J1106" s="0" t="s">
        <v>437</v>
      </c>
      <c r="K1106" s="0" t="s">
        <v>437</v>
      </c>
      <c r="L1106" s="0" t="s">
        <v>437</v>
      </c>
      <c r="M1106" s="0" t="s">
        <v>457</v>
      </c>
      <c r="R1106" s="0" t="s">
        <v>196</v>
      </c>
    </row>
    <row r="1107" customFormat="false" ht="15" hidden="false" customHeight="false" outlineLevel="0" collapsed="false">
      <c r="A1107" s="0" t="s">
        <v>187</v>
      </c>
      <c r="B1107" s="0" t="n">
        <v>2019</v>
      </c>
      <c r="C1107" s="0" t="s">
        <v>101</v>
      </c>
      <c r="D1107" s="0" t="s">
        <v>90</v>
      </c>
      <c r="E1107" s="0" t="n">
        <v>1</v>
      </c>
      <c r="F1107" s="0" t="s">
        <v>71</v>
      </c>
      <c r="H1107" s="0" t="s">
        <v>457</v>
      </c>
      <c r="I1107" s="0" t="s">
        <v>457</v>
      </c>
      <c r="J1107" s="0" t="s">
        <v>457</v>
      </c>
      <c r="K1107" s="0" t="s">
        <v>457</v>
      </c>
      <c r="L1107" s="0" t="s">
        <v>457</v>
      </c>
      <c r="M1107" s="0" t="s">
        <v>457</v>
      </c>
      <c r="R1107" s="0" t="s">
        <v>196</v>
      </c>
    </row>
    <row r="1108" customFormat="false" ht="15" hidden="false" customHeight="false" outlineLevel="0" collapsed="false">
      <c r="A1108" s="0" t="s">
        <v>187</v>
      </c>
      <c r="B1108" s="0" t="n">
        <v>2019</v>
      </c>
      <c r="C1108" s="0" t="s">
        <v>101</v>
      </c>
      <c r="D1108" s="0" t="s">
        <v>90</v>
      </c>
      <c r="E1108" s="0" t="n">
        <v>1</v>
      </c>
      <c r="F1108" s="0" t="s">
        <v>31</v>
      </c>
      <c r="G1108" s="0" t="n">
        <v>86.4937353182933</v>
      </c>
      <c r="H1108" s="0" t="s">
        <v>437</v>
      </c>
      <c r="I1108" s="0" t="s">
        <v>437</v>
      </c>
      <c r="J1108" s="0" t="s">
        <v>437</v>
      </c>
      <c r="K1108" s="0" t="s">
        <v>437</v>
      </c>
      <c r="L1108" s="0" t="s">
        <v>437</v>
      </c>
      <c r="M1108" s="0" t="s">
        <v>457</v>
      </c>
      <c r="R1108" s="0" t="s">
        <v>196</v>
      </c>
    </row>
    <row r="1109" customFormat="false" ht="15" hidden="false" customHeight="false" outlineLevel="0" collapsed="false">
      <c r="A1109" s="0" t="s">
        <v>187</v>
      </c>
      <c r="B1109" s="0" t="n">
        <v>2020</v>
      </c>
      <c r="C1109" s="0" t="s">
        <v>101</v>
      </c>
      <c r="D1109" s="0" t="s">
        <v>90</v>
      </c>
      <c r="E1109" s="0" t="n">
        <v>1</v>
      </c>
      <c r="F1109" s="0" t="s">
        <v>73</v>
      </c>
      <c r="G1109" s="0" t="n">
        <v>0</v>
      </c>
      <c r="H1109" s="0" t="s">
        <v>437</v>
      </c>
      <c r="I1109" s="0" t="s">
        <v>437</v>
      </c>
      <c r="J1109" s="0" t="s">
        <v>437</v>
      </c>
      <c r="K1109" s="0" t="s">
        <v>457</v>
      </c>
      <c r="L1109" s="0" t="s">
        <v>437</v>
      </c>
      <c r="M1109" s="0" t="s">
        <v>457</v>
      </c>
      <c r="R1109" s="0" t="s">
        <v>197</v>
      </c>
    </row>
    <row r="1110" customFormat="false" ht="15" hidden="false" customHeight="false" outlineLevel="0" collapsed="false">
      <c r="A1110" s="0" t="s">
        <v>187</v>
      </c>
      <c r="B1110" s="0" t="n">
        <v>2020</v>
      </c>
      <c r="C1110" s="0" t="s">
        <v>101</v>
      </c>
      <c r="D1110" s="0" t="s">
        <v>90</v>
      </c>
      <c r="E1110" s="0" t="n">
        <v>1</v>
      </c>
      <c r="F1110" s="0" t="s">
        <v>69</v>
      </c>
      <c r="G1110" s="0" t="n">
        <v>15.76</v>
      </c>
      <c r="H1110" s="0" t="s">
        <v>437</v>
      </c>
      <c r="I1110" s="0" t="s">
        <v>437</v>
      </c>
      <c r="J1110" s="0" t="s">
        <v>437</v>
      </c>
      <c r="K1110" s="0" t="s">
        <v>437</v>
      </c>
      <c r="L1110" s="0" t="s">
        <v>437</v>
      </c>
      <c r="M1110" s="0" t="s">
        <v>457</v>
      </c>
      <c r="R1110" s="0" t="s">
        <v>197</v>
      </c>
    </row>
    <row r="1111" customFormat="false" ht="15" hidden="false" customHeight="false" outlineLevel="0" collapsed="false">
      <c r="A1111" s="0" t="s">
        <v>187</v>
      </c>
      <c r="B1111" s="0" t="n">
        <v>2020</v>
      </c>
      <c r="C1111" s="0" t="s">
        <v>101</v>
      </c>
      <c r="D1111" s="0" t="s">
        <v>90</v>
      </c>
      <c r="E1111" s="0" t="n">
        <v>1</v>
      </c>
      <c r="F1111" s="0" t="s">
        <v>25</v>
      </c>
      <c r="G1111" s="0" t="n">
        <v>15.7592955503664</v>
      </c>
      <c r="H1111" s="0" t="s">
        <v>437</v>
      </c>
      <c r="I1111" s="0" t="s">
        <v>437</v>
      </c>
      <c r="J1111" s="0" t="s">
        <v>437</v>
      </c>
      <c r="K1111" s="0" t="s">
        <v>437</v>
      </c>
      <c r="L1111" s="0" t="s">
        <v>437</v>
      </c>
      <c r="M1111" s="0" t="s">
        <v>457</v>
      </c>
      <c r="R1111" s="0" t="s">
        <v>197</v>
      </c>
    </row>
    <row r="1112" customFormat="false" ht="15" hidden="false" customHeight="false" outlineLevel="0" collapsed="false">
      <c r="A1112" s="0" t="s">
        <v>187</v>
      </c>
      <c r="B1112" s="0" t="n">
        <v>2020</v>
      </c>
      <c r="C1112" s="0" t="s">
        <v>101</v>
      </c>
      <c r="D1112" s="0" t="s">
        <v>90</v>
      </c>
      <c r="E1112" s="0" t="n">
        <v>1</v>
      </c>
      <c r="F1112" s="0" t="s">
        <v>41</v>
      </c>
      <c r="G1112" s="0" t="n">
        <v>1.30249739994511</v>
      </c>
      <c r="H1112" s="0" t="s">
        <v>437</v>
      </c>
      <c r="I1112" s="0" t="s">
        <v>437</v>
      </c>
      <c r="J1112" s="0" t="s">
        <v>437</v>
      </c>
      <c r="K1112" s="0" t="s">
        <v>437</v>
      </c>
      <c r="L1112" s="0" t="s">
        <v>437</v>
      </c>
      <c r="M1112" s="0" t="s">
        <v>457</v>
      </c>
      <c r="R1112" s="0" t="s">
        <v>197</v>
      </c>
    </row>
    <row r="1113" customFormat="false" ht="15" hidden="false" customHeight="false" outlineLevel="0" collapsed="false">
      <c r="A1113" s="0" t="s">
        <v>187</v>
      </c>
      <c r="B1113" s="0" t="n">
        <v>2020</v>
      </c>
      <c r="C1113" s="0" t="s">
        <v>101</v>
      </c>
      <c r="D1113" s="0" t="s">
        <v>90</v>
      </c>
      <c r="E1113" s="0" t="n">
        <v>1</v>
      </c>
      <c r="F1113" s="0" t="s">
        <v>27</v>
      </c>
      <c r="G1113" s="0" t="n">
        <v>11.935867155184</v>
      </c>
      <c r="H1113" s="0" t="s">
        <v>437</v>
      </c>
      <c r="I1113" s="0" t="s">
        <v>437</v>
      </c>
      <c r="J1113" s="0" t="s">
        <v>437</v>
      </c>
      <c r="K1113" s="0" t="s">
        <v>437</v>
      </c>
      <c r="L1113" s="0" t="s">
        <v>437</v>
      </c>
      <c r="M1113" s="0" t="s">
        <v>457</v>
      </c>
      <c r="R1113" s="0" t="s">
        <v>197</v>
      </c>
    </row>
    <row r="1114" customFormat="false" ht="15" hidden="false" customHeight="false" outlineLevel="0" collapsed="false">
      <c r="A1114" s="0" t="s">
        <v>187</v>
      </c>
      <c r="B1114" s="0" t="n">
        <v>2020</v>
      </c>
      <c r="C1114" s="0" t="s">
        <v>101</v>
      </c>
      <c r="D1114" s="0" t="s">
        <v>90</v>
      </c>
      <c r="E1114" s="0" t="n">
        <v>1</v>
      </c>
      <c r="F1114" s="0" t="s">
        <v>39</v>
      </c>
      <c r="G1114" s="0" t="n">
        <v>-1.89734663638619</v>
      </c>
      <c r="H1114" s="0" t="s">
        <v>437</v>
      </c>
      <c r="I1114" s="0" t="s">
        <v>437</v>
      </c>
      <c r="J1114" s="0" t="s">
        <v>437</v>
      </c>
      <c r="K1114" s="0" t="s">
        <v>437</v>
      </c>
      <c r="L1114" s="0" t="s">
        <v>437</v>
      </c>
      <c r="M1114" s="0" t="s">
        <v>457</v>
      </c>
      <c r="R1114" s="0" t="s">
        <v>197</v>
      </c>
    </row>
    <row r="1115" customFormat="false" ht="15" hidden="false" customHeight="false" outlineLevel="0" collapsed="false">
      <c r="A1115" s="0" t="s">
        <v>187</v>
      </c>
      <c r="B1115" s="0" t="n">
        <v>2020</v>
      </c>
      <c r="C1115" s="0" t="s">
        <v>101</v>
      </c>
      <c r="D1115" s="0" t="s">
        <v>90</v>
      </c>
      <c r="E1115" s="0" t="n">
        <v>1</v>
      </c>
      <c r="F1115" s="0" t="s">
        <v>17</v>
      </c>
      <c r="G1115" s="0" t="n">
        <v>5.9601309602667</v>
      </c>
      <c r="H1115" s="0" t="s">
        <v>437</v>
      </c>
      <c r="I1115" s="0" t="s">
        <v>437</v>
      </c>
      <c r="J1115" s="0" t="s">
        <v>437</v>
      </c>
      <c r="K1115" s="0" t="s">
        <v>437</v>
      </c>
      <c r="L1115" s="0" t="s">
        <v>437</v>
      </c>
      <c r="M1115" s="0" t="s">
        <v>457</v>
      </c>
      <c r="R1115" s="0" t="s">
        <v>197</v>
      </c>
    </row>
    <row r="1116" customFormat="false" ht="15" hidden="false" customHeight="false" outlineLevel="0" collapsed="false">
      <c r="A1116" s="0" t="s">
        <v>187</v>
      </c>
      <c r="B1116" s="0" t="n">
        <v>2020</v>
      </c>
      <c r="C1116" s="0" t="s">
        <v>101</v>
      </c>
      <c r="D1116" s="0" t="s">
        <v>90</v>
      </c>
      <c r="E1116" s="0" t="n">
        <v>1</v>
      </c>
      <c r="F1116" s="0" t="s">
        <v>29</v>
      </c>
      <c r="G1116" s="0" t="n">
        <v>-0.135200212812215</v>
      </c>
      <c r="H1116" s="0" t="s">
        <v>437</v>
      </c>
      <c r="I1116" s="0" t="s">
        <v>437</v>
      </c>
      <c r="J1116" s="0" t="s">
        <v>437</v>
      </c>
      <c r="K1116" s="0" t="s">
        <v>437</v>
      </c>
      <c r="L1116" s="0" t="s">
        <v>437</v>
      </c>
      <c r="M1116" s="0" t="s">
        <v>457</v>
      </c>
      <c r="R1116" s="0" t="s">
        <v>197</v>
      </c>
    </row>
    <row r="1117" customFormat="false" ht="15" hidden="false" customHeight="false" outlineLevel="0" collapsed="false">
      <c r="A1117" s="0" t="s">
        <v>187</v>
      </c>
      <c r="B1117" s="0" t="n">
        <v>2020</v>
      </c>
      <c r="C1117" s="0" t="s">
        <v>101</v>
      </c>
      <c r="D1117" s="0" t="s">
        <v>90</v>
      </c>
      <c r="E1117" s="0" t="n">
        <v>1</v>
      </c>
      <c r="F1117" s="0" t="s">
        <v>37</v>
      </c>
      <c r="H1117" s="0" t="s">
        <v>457</v>
      </c>
      <c r="I1117" s="0" t="s">
        <v>457</v>
      </c>
      <c r="J1117" s="0" t="s">
        <v>457</v>
      </c>
      <c r="K1117" s="0" t="s">
        <v>457</v>
      </c>
      <c r="L1117" s="0" t="s">
        <v>457</v>
      </c>
      <c r="M1117" s="0" t="s">
        <v>457</v>
      </c>
      <c r="R1117" s="0" t="s">
        <v>197</v>
      </c>
    </row>
    <row r="1118" customFormat="false" ht="15" hidden="false" customHeight="false" outlineLevel="0" collapsed="false">
      <c r="A1118" s="0" t="s">
        <v>187</v>
      </c>
      <c r="B1118" s="0" t="n">
        <v>2020</v>
      </c>
      <c r="C1118" s="0" t="s">
        <v>101</v>
      </c>
      <c r="D1118" s="0" t="s">
        <v>90</v>
      </c>
      <c r="E1118" s="0" t="n">
        <v>1</v>
      </c>
      <c r="F1118" s="0" t="s">
        <v>23</v>
      </c>
      <c r="H1118" s="0" t="s">
        <v>457</v>
      </c>
      <c r="I1118" s="0" t="s">
        <v>457</v>
      </c>
      <c r="J1118" s="0" t="s">
        <v>457</v>
      </c>
      <c r="K1118" s="0" t="s">
        <v>457</v>
      </c>
      <c r="L1118" s="0" t="s">
        <v>457</v>
      </c>
      <c r="M1118" s="0" t="s">
        <v>457</v>
      </c>
      <c r="R1118" s="0" t="s">
        <v>197</v>
      </c>
    </row>
    <row r="1119" customFormat="false" ht="15" hidden="false" customHeight="false" outlineLevel="0" collapsed="false">
      <c r="A1119" s="0" t="s">
        <v>187</v>
      </c>
      <c r="B1119" s="0" t="n">
        <v>2020</v>
      </c>
      <c r="C1119" s="0" t="s">
        <v>101</v>
      </c>
      <c r="D1119" s="0" t="s">
        <v>90</v>
      </c>
      <c r="E1119" s="0" t="n">
        <v>1</v>
      </c>
      <c r="F1119" s="0" t="s">
        <v>45</v>
      </c>
      <c r="G1119" s="0" t="n">
        <v>36.4552871799015</v>
      </c>
      <c r="H1119" s="0" t="s">
        <v>437</v>
      </c>
      <c r="I1119" s="0" t="s">
        <v>437</v>
      </c>
      <c r="J1119" s="0" t="s">
        <v>437</v>
      </c>
      <c r="K1119" s="0" t="s">
        <v>437</v>
      </c>
      <c r="L1119" s="0" t="s">
        <v>437</v>
      </c>
      <c r="M1119" s="0" t="s">
        <v>457</v>
      </c>
      <c r="R1119" s="0" t="s">
        <v>197</v>
      </c>
    </row>
    <row r="1120" customFormat="false" ht="15" hidden="false" customHeight="false" outlineLevel="0" collapsed="false">
      <c r="A1120" s="0" t="s">
        <v>187</v>
      </c>
      <c r="B1120" s="0" t="n">
        <v>2020</v>
      </c>
      <c r="C1120" s="0" t="s">
        <v>101</v>
      </c>
      <c r="D1120" s="0" t="s">
        <v>90</v>
      </c>
      <c r="E1120" s="0" t="n">
        <v>1</v>
      </c>
      <c r="F1120" s="0" t="s">
        <v>71</v>
      </c>
      <c r="H1120" s="0" t="s">
        <v>457</v>
      </c>
      <c r="I1120" s="0" t="s">
        <v>457</v>
      </c>
      <c r="J1120" s="0" t="s">
        <v>457</v>
      </c>
      <c r="K1120" s="0" t="s">
        <v>457</v>
      </c>
      <c r="L1120" s="0" t="s">
        <v>457</v>
      </c>
      <c r="M1120" s="0" t="s">
        <v>457</v>
      </c>
      <c r="R1120" s="0" t="s">
        <v>197</v>
      </c>
    </row>
    <row r="1121" customFormat="false" ht="15" hidden="false" customHeight="false" outlineLevel="0" collapsed="false">
      <c r="A1121" s="0" t="s">
        <v>187</v>
      </c>
      <c r="B1121" s="0" t="n">
        <v>2020</v>
      </c>
      <c r="C1121" s="0" t="s">
        <v>101</v>
      </c>
      <c r="D1121" s="0" t="s">
        <v>90</v>
      </c>
      <c r="E1121" s="0" t="n">
        <v>1</v>
      </c>
      <c r="F1121" s="0" t="s">
        <v>31</v>
      </c>
      <c r="G1121" s="0" t="n">
        <v>88.064132844816</v>
      </c>
      <c r="H1121" s="0" t="s">
        <v>437</v>
      </c>
      <c r="I1121" s="0" t="s">
        <v>437</v>
      </c>
      <c r="J1121" s="0" t="s">
        <v>437</v>
      </c>
      <c r="K1121" s="0" t="s">
        <v>437</v>
      </c>
      <c r="L1121" s="0" t="s">
        <v>437</v>
      </c>
      <c r="M1121" s="0" t="s">
        <v>457</v>
      </c>
      <c r="R1121" s="0" t="s">
        <v>197</v>
      </c>
    </row>
    <row r="1122" customFormat="false" ht="15" hidden="false" customHeight="false" outlineLevel="0" collapsed="false">
      <c r="A1122" s="0" t="s">
        <v>187</v>
      </c>
      <c r="B1122" s="0" t="n">
        <v>2021</v>
      </c>
      <c r="C1122" s="0" t="s">
        <v>101</v>
      </c>
      <c r="D1122" s="0" t="s">
        <v>90</v>
      </c>
      <c r="E1122" s="0" t="n">
        <v>1</v>
      </c>
      <c r="F1122" s="0" t="s">
        <v>73</v>
      </c>
      <c r="H1122" s="0" t="s">
        <v>457</v>
      </c>
      <c r="I1122" s="0" t="s">
        <v>457</v>
      </c>
      <c r="J1122" s="0" t="s">
        <v>457</v>
      </c>
      <c r="K1122" s="0" t="s">
        <v>457</v>
      </c>
      <c r="L1122" s="0" t="s">
        <v>457</v>
      </c>
      <c r="M1122" s="0" t="s">
        <v>457</v>
      </c>
      <c r="R1122" s="0" t="s">
        <v>199</v>
      </c>
    </row>
    <row r="1123" customFormat="false" ht="15" hidden="false" customHeight="false" outlineLevel="0" collapsed="false">
      <c r="A1123" s="0" t="s">
        <v>187</v>
      </c>
      <c r="B1123" s="0" t="n">
        <v>2021</v>
      </c>
      <c r="C1123" s="0" t="s">
        <v>101</v>
      </c>
      <c r="D1123" s="0" t="s">
        <v>90</v>
      </c>
      <c r="E1123" s="0" t="n">
        <v>1</v>
      </c>
      <c r="F1123" s="0" t="s">
        <v>69</v>
      </c>
      <c r="G1123" s="0" t="n">
        <v>14.61</v>
      </c>
      <c r="H1123" s="0" t="s">
        <v>437</v>
      </c>
      <c r="I1123" s="0" t="s">
        <v>437</v>
      </c>
      <c r="J1123" s="0" t="s">
        <v>437</v>
      </c>
      <c r="K1123" s="0" t="s">
        <v>437</v>
      </c>
      <c r="L1123" s="0" t="s">
        <v>437</v>
      </c>
      <c r="M1123" s="0" t="s">
        <v>457</v>
      </c>
      <c r="R1123" s="0" t="s">
        <v>199</v>
      </c>
    </row>
    <row r="1124" customFormat="false" ht="15" hidden="false" customHeight="false" outlineLevel="0" collapsed="false">
      <c r="A1124" s="0" t="s">
        <v>187</v>
      </c>
      <c r="B1124" s="0" t="n">
        <v>2021</v>
      </c>
      <c r="C1124" s="0" t="s">
        <v>101</v>
      </c>
      <c r="D1124" s="0" t="s">
        <v>90</v>
      </c>
      <c r="E1124" s="0" t="n">
        <v>1</v>
      </c>
      <c r="F1124" s="0" t="s">
        <v>25</v>
      </c>
      <c r="G1124" s="0" t="n">
        <v>14.6086402935959</v>
      </c>
      <c r="H1124" s="0" t="s">
        <v>437</v>
      </c>
      <c r="I1124" s="0" t="s">
        <v>437</v>
      </c>
      <c r="J1124" s="0" t="s">
        <v>437</v>
      </c>
      <c r="K1124" s="0" t="s">
        <v>437</v>
      </c>
      <c r="L1124" s="0" t="s">
        <v>437</v>
      </c>
      <c r="M1124" s="0" t="s">
        <v>457</v>
      </c>
      <c r="R1124" s="0" t="s">
        <v>199</v>
      </c>
    </row>
    <row r="1125" customFormat="false" ht="15" hidden="false" customHeight="false" outlineLevel="0" collapsed="false">
      <c r="A1125" s="0" t="s">
        <v>187</v>
      </c>
      <c r="B1125" s="0" t="n">
        <v>2021</v>
      </c>
      <c r="C1125" s="0" t="s">
        <v>101</v>
      </c>
      <c r="D1125" s="0" t="s">
        <v>90</v>
      </c>
      <c r="E1125" s="0" t="n">
        <v>1</v>
      </c>
      <c r="F1125" s="0" t="s">
        <v>41</v>
      </c>
      <c r="G1125" s="0" t="n">
        <v>0.826510563326416</v>
      </c>
      <c r="H1125" s="0" t="s">
        <v>437</v>
      </c>
      <c r="I1125" s="0" t="s">
        <v>437</v>
      </c>
      <c r="J1125" s="0" t="s">
        <v>437</v>
      </c>
      <c r="K1125" s="0" t="s">
        <v>437</v>
      </c>
      <c r="L1125" s="0" t="s">
        <v>437</v>
      </c>
      <c r="M1125" s="0" t="s">
        <v>457</v>
      </c>
      <c r="R1125" s="0" t="s">
        <v>199</v>
      </c>
    </row>
    <row r="1126" customFormat="false" ht="15" hidden="false" customHeight="false" outlineLevel="0" collapsed="false">
      <c r="A1126" s="0" t="s">
        <v>187</v>
      </c>
      <c r="B1126" s="0" t="n">
        <v>2021</v>
      </c>
      <c r="C1126" s="0" t="s">
        <v>101</v>
      </c>
      <c r="D1126" s="0" t="s">
        <v>90</v>
      </c>
      <c r="E1126" s="0" t="n">
        <v>1</v>
      </c>
      <c r="F1126" s="0" t="s">
        <v>27</v>
      </c>
      <c r="G1126" s="0" t="n">
        <v>9.79523969586838</v>
      </c>
      <c r="H1126" s="0" t="s">
        <v>437</v>
      </c>
      <c r="I1126" s="0" t="s">
        <v>437</v>
      </c>
      <c r="J1126" s="0" t="s">
        <v>437</v>
      </c>
      <c r="K1126" s="0" t="s">
        <v>437</v>
      </c>
      <c r="L1126" s="0" t="s">
        <v>437</v>
      </c>
      <c r="M1126" s="0" t="s">
        <v>457</v>
      </c>
      <c r="R1126" s="0" t="s">
        <v>199</v>
      </c>
    </row>
    <row r="1127" customFormat="false" ht="15" hidden="false" customHeight="false" outlineLevel="0" collapsed="false">
      <c r="A1127" s="0" t="s">
        <v>187</v>
      </c>
      <c r="B1127" s="0" t="n">
        <v>2021</v>
      </c>
      <c r="C1127" s="0" t="s">
        <v>101</v>
      </c>
      <c r="D1127" s="0" t="s">
        <v>90</v>
      </c>
      <c r="E1127" s="0" t="n">
        <v>1</v>
      </c>
      <c r="F1127" s="0" t="s">
        <v>39</v>
      </c>
      <c r="G1127" s="0" t="n">
        <v>10.8652957996414</v>
      </c>
      <c r="H1127" s="0" t="s">
        <v>437</v>
      </c>
      <c r="I1127" s="0" t="s">
        <v>437</v>
      </c>
      <c r="J1127" s="0" t="s">
        <v>437</v>
      </c>
      <c r="K1127" s="0" t="s">
        <v>437</v>
      </c>
      <c r="L1127" s="0" t="s">
        <v>437</v>
      </c>
      <c r="M1127" s="0" t="s">
        <v>457</v>
      </c>
      <c r="R1127" s="0" t="s">
        <v>199</v>
      </c>
    </row>
    <row r="1128" customFormat="false" ht="15" hidden="false" customHeight="false" outlineLevel="0" collapsed="false">
      <c r="A1128" s="0" t="s">
        <v>187</v>
      </c>
      <c r="B1128" s="0" t="n">
        <v>2021</v>
      </c>
      <c r="C1128" s="0" t="s">
        <v>101</v>
      </c>
      <c r="D1128" s="0" t="s">
        <v>90</v>
      </c>
      <c r="E1128" s="0" t="n">
        <v>1</v>
      </c>
      <c r="F1128" s="0" t="s">
        <v>17</v>
      </c>
      <c r="G1128" s="0" t="n">
        <v>3.36623268001771</v>
      </c>
      <c r="H1128" s="0" t="s">
        <v>437</v>
      </c>
      <c r="I1128" s="0" t="s">
        <v>437</v>
      </c>
      <c r="J1128" s="0" t="s">
        <v>437</v>
      </c>
      <c r="K1128" s="0" t="s">
        <v>437</v>
      </c>
      <c r="L1128" s="0" t="s">
        <v>437</v>
      </c>
      <c r="M1128" s="0" t="s">
        <v>457</v>
      </c>
      <c r="R1128" s="0" t="s">
        <v>199</v>
      </c>
    </row>
    <row r="1129" customFormat="false" ht="15" hidden="false" customHeight="false" outlineLevel="0" collapsed="false">
      <c r="A1129" s="0" t="s">
        <v>187</v>
      </c>
      <c r="B1129" s="0" t="n">
        <v>2021</v>
      </c>
      <c r="C1129" s="0" t="s">
        <v>101</v>
      </c>
      <c r="D1129" s="0" t="s">
        <v>90</v>
      </c>
      <c r="E1129" s="0" t="n">
        <v>1</v>
      </c>
      <c r="F1129" s="0" t="s">
        <v>29</v>
      </c>
      <c r="G1129" s="0" t="n">
        <v>0.0123244015177975</v>
      </c>
      <c r="H1129" s="0" t="s">
        <v>437</v>
      </c>
      <c r="I1129" s="0" t="s">
        <v>437</v>
      </c>
      <c r="J1129" s="0" t="s">
        <v>437</v>
      </c>
      <c r="K1129" s="0" t="s">
        <v>437</v>
      </c>
      <c r="L1129" s="0" t="s">
        <v>437</v>
      </c>
      <c r="M1129" s="0" t="s">
        <v>457</v>
      </c>
      <c r="R1129" s="0" t="s">
        <v>199</v>
      </c>
    </row>
    <row r="1130" customFormat="false" ht="15" hidden="false" customHeight="false" outlineLevel="0" collapsed="false">
      <c r="A1130" s="0" t="s">
        <v>187</v>
      </c>
      <c r="B1130" s="0" t="n">
        <v>2021</v>
      </c>
      <c r="C1130" s="0" t="s">
        <v>101</v>
      </c>
      <c r="D1130" s="0" t="s">
        <v>90</v>
      </c>
      <c r="E1130" s="0" t="n">
        <v>1</v>
      </c>
      <c r="F1130" s="0" t="s">
        <v>37</v>
      </c>
      <c r="G1130" s="0" t="n">
        <v>4.29982671676087</v>
      </c>
      <c r="H1130" s="0" t="s">
        <v>437</v>
      </c>
      <c r="I1130" s="0" t="s">
        <v>437</v>
      </c>
      <c r="J1130" s="0" t="s">
        <v>437</v>
      </c>
      <c r="K1130" s="0" t="s">
        <v>457</v>
      </c>
      <c r="L1130" s="0" t="s">
        <v>437</v>
      </c>
      <c r="M1130" s="0" t="s">
        <v>457</v>
      </c>
      <c r="R1130" s="0" t="s">
        <v>199</v>
      </c>
    </row>
    <row r="1131" customFormat="false" ht="15" hidden="false" customHeight="false" outlineLevel="0" collapsed="false">
      <c r="A1131" s="0" t="s">
        <v>187</v>
      </c>
      <c r="B1131" s="0" t="n">
        <v>2021</v>
      </c>
      <c r="C1131" s="0" t="s">
        <v>101</v>
      </c>
      <c r="D1131" s="0" t="s">
        <v>90</v>
      </c>
      <c r="E1131" s="0" t="n">
        <v>1</v>
      </c>
      <c r="F1131" s="0" t="s">
        <v>23</v>
      </c>
      <c r="G1131" s="0" t="n">
        <v>78.2876357992757</v>
      </c>
      <c r="H1131" s="0" t="s">
        <v>437</v>
      </c>
      <c r="I1131" s="0" t="s">
        <v>437</v>
      </c>
      <c r="J1131" s="0" t="s">
        <v>437</v>
      </c>
      <c r="K1131" s="0" t="s">
        <v>457</v>
      </c>
      <c r="L1131" s="0" t="s">
        <v>437</v>
      </c>
      <c r="M1131" s="0" t="s">
        <v>457</v>
      </c>
      <c r="R1131" s="0" t="s">
        <v>199</v>
      </c>
    </row>
    <row r="1132" customFormat="false" ht="15" hidden="false" customHeight="false" outlineLevel="0" collapsed="false">
      <c r="A1132" s="0" t="s">
        <v>187</v>
      </c>
      <c r="B1132" s="0" t="n">
        <v>2021</v>
      </c>
      <c r="C1132" s="0" t="s">
        <v>101</v>
      </c>
      <c r="D1132" s="0" t="s">
        <v>90</v>
      </c>
      <c r="E1132" s="0" t="n">
        <v>1</v>
      </c>
      <c r="F1132" s="0" t="s">
        <v>45</v>
      </c>
      <c r="G1132" s="0" t="n">
        <v>21.3875998968806</v>
      </c>
      <c r="H1132" s="0" t="s">
        <v>437</v>
      </c>
      <c r="I1132" s="0" t="s">
        <v>437</v>
      </c>
      <c r="J1132" s="0" t="s">
        <v>437</v>
      </c>
      <c r="K1132" s="0" t="s">
        <v>437</v>
      </c>
      <c r="L1132" s="0" t="s">
        <v>437</v>
      </c>
      <c r="M1132" s="0" t="s">
        <v>457</v>
      </c>
      <c r="R1132" s="0" t="s">
        <v>199</v>
      </c>
    </row>
    <row r="1133" customFormat="false" ht="15" hidden="false" customHeight="false" outlineLevel="0" collapsed="false">
      <c r="A1133" s="0" t="s">
        <v>187</v>
      </c>
      <c r="B1133" s="0" t="n">
        <v>2021</v>
      </c>
      <c r="C1133" s="0" t="s">
        <v>101</v>
      </c>
      <c r="D1133" s="0" t="s">
        <v>90</v>
      </c>
      <c r="E1133" s="0" t="n">
        <v>1</v>
      </c>
      <c r="F1133" s="0" t="s">
        <v>71</v>
      </c>
      <c r="H1133" s="0" t="s">
        <v>457</v>
      </c>
      <c r="I1133" s="0" t="s">
        <v>457</v>
      </c>
      <c r="J1133" s="0" t="s">
        <v>457</v>
      </c>
      <c r="K1133" s="0" t="s">
        <v>457</v>
      </c>
      <c r="L1133" s="0" t="s">
        <v>457</v>
      </c>
      <c r="M1133" s="0" t="s">
        <v>457</v>
      </c>
      <c r="R1133" s="0" t="s">
        <v>199</v>
      </c>
    </row>
    <row r="1134" customFormat="false" ht="15" hidden="false" customHeight="false" outlineLevel="0" collapsed="false">
      <c r="A1134" s="0" t="s">
        <v>187</v>
      </c>
      <c r="B1134" s="0" t="n">
        <v>2021</v>
      </c>
      <c r="C1134" s="0" t="s">
        <v>101</v>
      </c>
      <c r="D1134" s="0" t="s">
        <v>90</v>
      </c>
      <c r="E1134" s="0" t="n">
        <v>1</v>
      </c>
      <c r="F1134" s="0" t="s">
        <v>31</v>
      </c>
      <c r="G1134" s="0" t="n">
        <v>90.2047603041316</v>
      </c>
      <c r="H1134" s="0" t="s">
        <v>437</v>
      </c>
      <c r="I1134" s="0" t="s">
        <v>437</v>
      </c>
      <c r="J1134" s="0" t="s">
        <v>437</v>
      </c>
      <c r="K1134" s="0" t="s">
        <v>437</v>
      </c>
      <c r="L1134" s="0" t="s">
        <v>437</v>
      </c>
      <c r="M1134" s="0" t="s">
        <v>457</v>
      </c>
      <c r="R1134" s="0" t="s">
        <v>199</v>
      </c>
    </row>
    <row r="1135" customFormat="false" ht="15" hidden="false" customHeight="false" outlineLevel="0" collapsed="false">
      <c r="A1135" s="0" t="s">
        <v>187</v>
      </c>
      <c r="B1135" s="0" t="n">
        <v>2022</v>
      </c>
      <c r="C1135" s="0" t="s">
        <v>101</v>
      </c>
      <c r="D1135" s="0" t="s">
        <v>90</v>
      </c>
      <c r="E1135" s="0" t="n">
        <v>1</v>
      </c>
      <c r="F1135" s="0" t="s">
        <v>73</v>
      </c>
      <c r="G1135" s="0" t="n">
        <v>0</v>
      </c>
      <c r="H1135" s="0" t="s">
        <v>437</v>
      </c>
      <c r="I1135" s="0" t="s">
        <v>437</v>
      </c>
      <c r="J1135" s="0" t="s">
        <v>437</v>
      </c>
      <c r="K1135" s="0" t="s">
        <v>457</v>
      </c>
      <c r="L1135" s="0" t="s">
        <v>437</v>
      </c>
      <c r="M1135" s="0" t="s">
        <v>457</v>
      </c>
      <c r="R1135" s="0" t="s">
        <v>200</v>
      </c>
    </row>
    <row r="1136" customFormat="false" ht="15" hidden="false" customHeight="false" outlineLevel="0" collapsed="false">
      <c r="A1136" s="0" t="s">
        <v>187</v>
      </c>
      <c r="B1136" s="0" t="n">
        <v>2022</v>
      </c>
      <c r="C1136" s="0" t="s">
        <v>101</v>
      </c>
      <c r="D1136" s="0" t="s">
        <v>90</v>
      </c>
      <c r="E1136" s="0" t="n">
        <v>1</v>
      </c>
      <c r="F1136" s="0" t="s">
        <v>69</v>
      </c>
      <c r="G1136" s="0" t="n">
        <v>14.42</v>
      </c>
      <c r="H1136" s="0" t="s">
        <v>437</v>
      </c>
      <c r="I1136" s="0" t="s">
        <v>437</v>
      </c>
      <c r="J1136" s="0" t="s">
        <v>437</v>
      </c>
      <c r="K1136" s="0" t="s">
        <v>437</v>
      </c>
      <c r="L1136" s="0" t="s">
        <v>437</v>
      </c>
      <c r="M1136" s="0" t="s">
        <v>457</v>
      </c>
      <c r="R1136" s="0" t="s">
        <v>200</v>
      </c>
    </row>
    <row r="1137" customFormat="false" ht="15" hidden="false" customHeight="false" outlineLevel="0" collapsed="false">
      <c r="A1137" s="0" t="s">
        <v>187</v>
      </c>
      <c r="B1137" s="0" t="n">
        <v>2022</v>
      </c>
      <c r="C1137" s="0" t="s">
        <v>101</v>
      </c>
      <c r="D1137" s="0" t="s">
        <v>90</v>
      </c>
      <c r="E1137" s="0" t="n">
        <v>1</v>
      </c>
      <c r="F1137" s="0" t="s">
        <v>25</v>
      </c>
      <c r="G1137" s="0" t="n">
        <v>14.4192901206231</v>
      </c>
      <c r="H1137" s="0" t="s">
        <v>437</v>
      </c>
      <c r="I1137" s="0" t="s">
        <v>437</v>
      </c>
      <c r="J1137" s="0" t="s">
        <v>437</v>
      </c>
      <c r="K1137" s="0" t="s">
        <v>437</v>
      </c>
      <c r="L1137" s="0" t="s">
        <v>437</v>
      </c>
      <c r="M1137" s="0" t="s">
        <v>457</v>
      </c>
      <c r="R1137" s="0" t="s">
        <v>200</v>
      </c>
    </row>
    <row r="1138" customFormat="false" ht="15" hidden="false" customHeight="false" outlineLevel="0" collapsed="false">
      <c r="A1138" s="0" t="s">
        <v>187</v>
      </c>
      <c r="B1138" s="0" t="n">
        <v>2022</v>
      </c>
      <c r="C1138" s="0" t="s">
        <v>101</v>
      </c>
      <c r="D1138" s="0" t="s">
        <v>90</v>
      </c>
      <c r="E1138" s="0" t="n">
        <v>1</v>
      </c>
      <c r="F1138" s="0" t="s">
        <v>41</v>
      </c>
      <c r="G1138" s="0" t="n">
        <v>1.0822002512537</v>
      </c>
      <c r="H1138" s="0" t="s">
        <v>437</v>
      </c>
      <c r="I1138" s="0" t="s">
        <v>437</v>
      </c>
      <c r="J1138" s="0" t="s">
        <v>437</v>
      </c>
      <c r="K1138" s="0" t="s">
        <v>437</v>
      </c>
      <c r="L1138" s="0" t="s">
        <v>437</v>
      </c>
      <c r="M1138" s="0" t="s">
        <v>457</v>
      </c>
      <c r="R1138" s="0" t="s">
        <v>200</v>
      </c>
    </row>
    <row r="1139" customFormat="false" ht="15" hidden="false" customHeight="false" outlineLevel="0" collapsed="false">
      <c r="A1139" s="0" t="s">
        <v>187</v>
      </c>
      <c r="B1139" s="0" t="n">
        <v>2022</v>
      </c>
      <c r="C1139" s="0" t="s">
        <v>101</v>
      </c>
      <c r="D1139" s="0" t="s">
        <v>90</v>
      </c>
      <c r="E1139" s="0" t="n">
        <v>1</v>
      </c>
      <c r="F1139" s="0" t="s">
        <v>27</v>
      </c>
      <c r="G1139" s="0" t="n">
        <v>10.3752263148814</v>
      </c>
      <c r="H1139" s="0" t="s">
        <v>437</v>
      </c>
      <c r="I1139" s="0" t="s">
        <v>437</v>
      </c>
      <c r="J1139" s="0" t="s">
        <v>437</v>
      </c>
      <c r="K1139" s="0" t="s">
        <v>437</v>
      </c>
      <c r="L1139" s="0" t="s">
        <v>437</v>
      </c>
      <c r="M1139" s="0" t="s">
        <v>457</v>
      </c>
      <c r="R1139" s="0" t="s">
        <v>200</v>
      </c>
    </row>
    <row r="1140" customFormat="false" ht="15" hidden="false" customHeight="false" outlineLevel="0" collapsed="false">
      <c r="A1140" s="0" t="s">
        <v>187</v>
      </c>
      <c r="B1140" s="0" t="n">
        <v>2022</v>
      </c>
      <c r="C1140" s="0" t="s">
        <v>101</v>
      </c>
      <c r="D1140" s="0" t="s">
        <v>90</v>
      </c>
      <c r="E1140" s="0" t="n">
        <v>1</v>
      </c>
      <c r="F1140" s="0" t="s">
        <v>39</v>
      </c>
      <c r="G1140" s="0" t="n">
        <v>2.99478746492101</v>
      </c>
      <c r="H1140" s="0" t="s">
        <v>437</v>
      </c>
      <c r="I1140" s="0" t="s">
        <v>437</v>
      </c>
      <c r="J1140" s="0" t="s">
        <v>437</v>
      </c>
      <c r="K1140" s="0" t="s">
        <v>437</v>
      </c>
      <c r="L1140" s="0" t="s">
        <v>437</v>
      </c>
      <c r="M1140" s="0" t="s">
        <v>457</v>
      </c>
      <c r="R1140" s="0" t="s">
        <v>200</v>
      </c>
    </row>
    <row r="1141" customFormat="false" ht="15" hidden="false" customHeight="false" outlineLevel="0" collapsed="false">
      <c r="A1141" s="0" t="s">
        <v>187</v>
      </c>
      <c r="B1141" s="0" t="n">
        <v>2022</v>
      </c>
      <c r="C1141" s="0" t="s">
        <v>101</v>
      </c>
      <c r="D1141" s="0" t="s">
        <v>90</v>
      </c>
      <c r="E1141" s="0" t="n">
        <v>1</v>
      </c>
      <c r="F1141" s="0" t="s">
        <v>17</v>
      </c>
      <c r="G1141" s="0" t="n">
        <v>3.19861165367673</v>
      </c>
      <c r="H1141" s="0" t="s">
        <v>437</v>
      </c>
      <c r="I1141" s="0" t="s">
        <v>437</v>
      </c>
      <c r="J1141" s="0" t="s">
        <v>437</v>
      </c>
      <c r="K1141" s="0" t="s">
        <v>437</v>
      </c>
      <c r="L1141" s="0" t="s">
        <v>437</v>
      </c>
      <c r="M1141" s="0" t="s">
        <v>457</v>
      </c>
      <c r="R1141" s="0" t="s">
        <v>200</v>
      </c>
    </row>
    <row r="1142" customFormat="false" ht="15" hidden="false" customHeight="false" outlineLevel="0" collapsed="false">
      <c r="A1142" s="0" t="s">
        <v>187</v>
      </c>
      <c r="B1142" s="0" t="n">
        <v>2022</v>
      </c>
      <c r="C1142" s="0" t="s">
        <v>101</v>
      </c>
      <c r="D1142" s="0" t="s">
        <v>90</v>
      </c>
      <c r="E1142" s="0" t="n">
        <v>1</v>
      </c>
      <c r="F1142" s="0" t="s">
        <v>29</v>
      </c>
      <c r="G1142" s="0" t="n">
        <v>0.166942884082882</v>
      </c>
      <c r="H1142" s="0" t="s">
        <v>437</v>
      </c>
      <c r="I1142" s="0" t="s">
        <v>437</v>
      </c>
      <c r="J1142" s="0" t="s">
        <v>437</v>
      </c>
      <c r="K1142" s="0" t="s">
        <v>437</v>
      </c>
      <c r="L1142" s="0" t="s">
        <v>437</v>
      </c>
      <c r="M1142" s="0" t="s">
        <v>457</v>
      </c>
      <c r="R1142" s="0" t="s">
        <v>200</v>
      </c>
    </row>
    <row r="1143" customFormat="false" ht="15" hidden="false" customHeight="false" outlineLevel="0" collapsed="false">
      <c r="A1143" s="0" t="s">
        <v>187</v>
      </c>
      <c r="B1143" s="0" t="n">
        <v>2022</v>
      </c>
      <c r="C1143" s="0" t="s">
        <v>101</v>
      </c>
      <c r="D1143" s="0" t="s">
        <v>90</v>
      </c>
      <c r="E1143" s="0" t="n">
        <v>1</v>
      </c>
      <c r="F1143" s="0" t="s">
        <v>37</v>
      </c>
      <c r="G1143" s="0" t="n">
        <v>4.02396635837838</v>
      </c>
      <c r="H1143" s="0" t="s">
        <v>437</v>
      </c>
      <c r="I1143" s="0" t="s">
        <v>437</v>
      </c>
      <c r="J1143" s="0" t="s">
        <v>437</v>
      </c>
      <c r="K1143" s="0" t="s">
        <v>437</v>
      </c>
      <c r="L1143" s="0" t="s">
        <v>437</v>
      </c>
      <c r="M1143" s="0" t="s">
        <v>457</v>
      </c>
      <c r="R1143" s="0" t="s">
        <v>200</v>
      </c>
    </row>
    <row r="1144" customFormat="false" ht="15" hidden="false" customHeight="false" outlineLevel="0" collapsed="false">
      <c r="A1144" s="0" t="s">
        <v>187</v>
      </c>
      <c r="B1144" s="0" t="n">
        <v>2022</v>
      </c>
      <c r="C1144" s="0" t="s">
        <v>101</v>
      </c>
      <c r="D1144" s="0" t="s">
        <v>90</v>
      </c>
      <c r="E1144" s="0" t="n">
        <v>1</v>
      </c>
      <c r="F1144" s="0" t="s">
        <v>23</v>
      </c>
      <c r="G1144" s="0" t="n">
        <v>79.4890257225147</v>
      </c>
      <c r="H1144" s="0" t="s">
        <v>437</v>
      </c>
      <c r="I1144" s="0" t="s">
        <v>437</v>
      </c>
      <c r="J1144" s="0" t="s">
        <v>437</v>
      </c>
      <c r="K1144" s="0" t="s">
        <v>437</v>
      </c>
      <c r="L1144" s="0" t="s">
        <v>437</v>
      </c>
      <c r="M1144" s="0" t="s">
        <v>457</v>
      </c>
      <c r="R1144" s="0" t="s">
        <v>200</v>
      </c>
    </row>
    <row r="1145" customFormat="false" ht="15" hidden="false" customHeight="false" outlineLevel="0" collapsed="false">
      <c r="A1145" s="0" t="s">
        <v>187</v>
      </c>
      <c r="B1145" s="0" t="n">
        <v>2022</v>
      </c>
      <c r="C1145" s="0" t="s">
        <v>101</v>
      </c>
      <c r="D1145" s="0" t="s">
        <v>90</v>
      </c>
      <c r="E1145" s="0" t="n">
        <v>1</v>
      </c>
      <c r="F1145" s="0" t="s">
        <v>45</v>
      </c>
      <c r="H1145" s="0" t="s">
        <v>457</v>
      </c>
      <c r="I1145" s="0" t="s">
        <v>457</v>
      </c>
      <c r="J1145" s="0" t="s">
        <v>457</v>
      </c>
      <c r="K1145" s="0" t="s">
        <v>457</v>
      </c>
      <c r="L1145" s="0" t="s">
        <v>457</v>
      </c>
      <c r="M1145" s="0" t="s">
        <v>457</v>
      </c>
      <c r="O1145" s="0" t="s">
        <v>2595</v>
      </c>
      <c r="P1145" s="0" t="s">
        <v>2596</v>
      </c>
      <c r="R1145" s="0" t="s">
        <v>200</v>
      </c>
    </row>
    <row r="1146" customFormat="false" ht="15" hidden="false" customHeight="false" outlineLevel="0" collapsed="false">
      <c r="A1146" s="0" t="s">
        <v>187</v>
      </c>
      <c r="B1146" s="0" t="n">
        <v>2022</v>
      </c>
      <c r="C1146" s="0" t="s">
        <v>101</v>
      </c>
      <c r="D1146" s="0" t="s">
        <v>90</v>
      </c>
      <c r="E1146" s="0" t="n">
        <v>1</v>
      </c>
      <c r="F1146" s="0" t="s">
        <v>71</v>
      </c>
      <c r="H1146" s="0" t="s">
        <v>457</v>
      </c>
      <c r="I1146" s="0" t="s">
        <v>457</v>
      </c>
      <c r="J1146" s="0" t="s">
        <v>457</v>
      </c>
      <c r="K1146" s="0" t="s">
        <v>457</v>
      </c>
      <c r="L1146" s="0" t="s">
        <v>457</v>
      </c>
      <c r="M1146" s="0" t="s">
        <v>457</v>
      </c>
      <c r="R1146" s="0" t="s">
        <v>200</v>
      </c>
    </row>
    <row r="1147" customFormat="false" ht="15" hidden="false" customHeight="false" outlineLevel="0" collapsed="false">
      <c r="A1147" s="0" t="s">
        <v>187</v>
      </c>
      <c r="B1147" s="0" t="n">
        <v>2022</v>
      </c>
      <c r="C1147" s="0" t="s">
        <v>101</v>
      </c>
      <c r="D1147" s="0" t="s">
        <v>90</v>
      </c>
      <c r="E1147" s="0" t="n">
        <v>1</v>
      </c>
      <c r="F1147" s="0" t="s">
        <v>31</v>
      </c>
      <c r="G1147" s="0" t="n">
        <v>89.6247736851186</v>
      </c>
      <c r="H1147" s="0" t="s">
        <v>437</v>
      </c>
      <c r="I1147" s="0" t="s">
        <v>437</v>
      </c>
      <c r="J1147" s="0" t="s">
        <v>437</v>
      </c>
      <c r="K1147" s="0" t="s">
        <v>437</v>
      </c>
      <c r="L1147" s="0" t="s">
        <v>437</v>
      </c>
      <c r="M1147" s="0" t="s">
        <v>457</v>
      </c>
      <c r="R1147" s="0" t="s">
        <v>200</v>
      </c>
    </row>
    <row r="1148" customFormat="false" ht="15" hidden="false" customHeight="false" outlineLevel="0" collapsed="false">
      <c r="A1148" s="0" t="s">
        <v>201</v>
      </c>
      <c r="B1148" s="0" t="n">
        <v>2013</v>
      </c>
      <c r="C1148" s="0" t="s">
        <v>101</v>
      </c>
      <c r="D1148" s="0" t="s">
        <v>79</v>
      </c>
      <c r="E1148" s="0" t="n">
        <v>0</v>
      </c>
      <c r="F1148" s="0" t="s">
        <v>73</v>
      </c>
      <c r="H1148" s="0" t="s">
        <v>457</v>
      </c>
      <c r="I1148" s="0" t="s">
        <v>457</v>
      </c>
      <c r="J1148" s="0" t="s">
        <v>457</v>
      </c>
      <c r="K1148" s="0" t="s">
        <v>457</v>
      </c>
      <c r="L1148" s="0" t="s">
        <v>457</v>
      </c>
      <c r="M1148" s="0" t="s">
        <v>457</v>
      </c>
      <c r="O1148" s="0" t="s">
        <v>2570</v>
      </c>
      <c r="P1148" s="0" t="s">
        <v>2597</v>
      </c>
      <c r="Q1148" s="0" t="s">
        <v>1658</v>
      </c>
      <c r="R1148" s="0" t="s">
        <v>203</v>
      </c>
    </row>
    <row r="1149" customFormat="false" ht="15" hidden="false" customHeight="false" outlineLevel="0" collapsed="false">
      <c r="A1149" s="0" t="s">
        <v>201</v>
      </c>
      <c r="B1149" s="0" t="n">
        <v>2013</v>
      </c>
      <c r="C1149" s="0" t="s">
        <v>101</v>
      </c>
      <c r="D1149" s="0" t="s">
        <v>79</v>
      </c>
      <c r="E1149" s="0" t="n">
        <v>0</v>
      </c>
      <c r="F1149" s="0" t="s">
        <v>69</v>
      </c>
      <c r="H1149" s="0" t="s">
        <v>457</v>
      </c>
      <c r="I1149" s="0" t="s">
        <v>457</v>
      </c>
      <c r="J1149" s="0" t="s">
        <v>457</v>
      </c>
      <c r="K1149" s="0" t="s">
        <v>457</v>
      </c>
      <c r="L1149" s="0" t="s">
        <v>457</v>
      </c>
      <c r="M1149" s="0" t="s">
        <v>457</v>
      </c>
      <c r="O1149" s="0" t="s">
        <v>2570</v>
      </c>
      <c r="P1149" s="0" t="s">
        <v>2597</v>
      </c>
      <c r="Q1149" s="0" t="s">
        <v>1658</v>
      </c>
      <c r="R1149" s="0" t="s">
        <v>203</v>
      </c>
    </row>
    <row r="1150" customFormat="false" ht="15" hidden="false" customHeight="false" outlineLevel="0" collapsed="false">
      <c r="A1150" s="0" t="s">
        <v>201</v>
      </c>
      <c r="B1150" s="0" t="n">
        <v>2013</v>
      </c>
      <c r="C1150" s="0" t="s">
        <v>101</v>
      </c>
      <c r="D1150" s="0" t="s">
        <v>79</v>
      </c>
      <c r="E1150" s="0" t="n">
        <v>0</v>
      </c>
      <c r="F1150" s="0" t="s">
        <v>25</v>
      </c>
      <c r="H1150" s="0" t="s">
        <v>457</v>
      </c>
      <c r="I1150" s="0" t="s">
        <v>457</v>
      </c>
      <c r="J1150" s="0" t="s">
        <v>457</v>
      </c>
      <c r="K1150" s="0" t="s">
        <v>457</v>
      </c>
      <c r="L1150" s="0" t="s">
        <v>457</v>
      </c>
      <c r="M1150" s="0" t="s">
        <v>457</v>
      </c>
      <c r="O1150" s="0" t="s">
        <v>2570</v>
      </c>
      <c r="P1150" s="0" t="s">
        <v>2597</v>
      </c>
      <c r="Q1150" s="0" t="s">
        <v>1658</v>
      </c>
      <c r="R1150" s="0" t="s">
        <v>203</v>
      </c>
    </row>
    <row r="1151" customFormat="false" ht="15" hidden="false" customHeight="false" outlineLevel="0" collapsed="false">
      <c r="A1151" s="0" t="s">
        <v>201</v>
      </c>
      <c r="B1151" s="0" t="n">
        <v>2013</v>
      </c>
      <c r="C1151" s="0" t="s">
        <v>101</v>
      </c>
      <c r="D1151" s="0" t="s">
        <v>79</v>
      </c>
      <c r="E1151" s="0" t="n">
        <v>0</v>
      </c>
      <c r="F1151" s="0" t="s">
        <v>41</v>
      </c>
      <c r="H1151" s="0" t="s">
        <v>457</v>
      </c>
      <c r="I1151" s="0" t="s">
        <v>457</v>
      </c>
      <c r="J1151" s="0" t="s">
        <v>457</v>
      </c>
      <c r="K1151" s="0" t="s">
        <v>457</v>
      </c>
      <c r="L1151" s="0" t="s">
        <v>457</v>
      </c>
      <c r="M1151" s="0" t="s">
        <v>457</v>
      </c>
      <c r="O1151" s="0" t="s">
        <v>2570</v>
      </c>
      <c r="P1151" s="0" t="s">
        <v>2597</v>
      </c>
      <c r="Q1151" s="0" t="s">
        <v>1658</v>
      </c>
      <c r="R1151" s="0" t="s">
        <v>203</v>
      </c>
    </row>
    <row r="1152" customFormat="false" ht="15" hidden="false" customHeight="false" outlineLevel="0" collapsed="false">
      <c r="A1152" s="0" t="s">
        <v>201</v>
      </c>
      <c r="B1152" s="0" t="n">
        <v>2013</v>
      </c>
      <c r="C1152" s="0" t="s">
        <v>101</v>
      </c>
      <c r="D1152" s="0" t="s">
        <v>79</v>
      </c>
      <c r="E1152" s="0" t="n">
        <v>0</v>
      </c>
      <c r="F1152" s="0" t="s">
        <v>27</v>
      </c>
      <c r="G1152" s="0" t="n">
        <v>6.98974026389413</v>
      </c>
      <c r="H1152" s="0" t="s">
        <v>437</v>
      </c>
      <c r="I1152" s="0" t="s">
        <v>437</v>
      </c>
      <c r="J1152" s="0" t="s">
        <v>437</v>
      </c>
      <c r="K1152" s="0" t="s">
        <v>457</v>
      </c>
      <c r="L1152" s="0" t="s">
        <v>437</v>
      </c>
      <c r="M1152" s="0" t="s">
        <v>437</v>
      </c>
      <c r="O1152" s="0" t="s">
        <v>2570</v>
      </c>
      <c r="P1152" s="0" t="s">
        <v>2597</v>
      </c>
      <c r="Q1152" s="0" t="s">
        <v>1658</v>
      </c>
      <c r="R1152" s="0" t="s">
        <v>203</v>
      </c>
    </row>
    <row r="1153" customFormat="false" ht="15" hidden="false" customHeight="false" outlineLevel="0" collapsed="false">
      <c r="A1153" s="0" t="s">
        <v>201</v>
      </c>
      <c r="B1153" s="0" t="n">
        <v>2013</v>
      </c>
      <c r="C1153" s="0" t="s">
        <v>101</v>
      </c>
      <c r="D1153" s="0" t="s">
        <v>79</v>
      </c>
      <c r="E1153" s="0" t="n">
        <v>0</v>
      </c>
      <c r="F1153" s="0" t="s">
        <v>39</v>
      </c>
      <c r="H1153" s="0" t="s">
        <v>457</v>
      </c>
      <c r="I1153" s="0" t="s">
        <v>457</v>
      </c>
      <c r="J1153" s="0" t="s">
        <v>457</v>
      </c>
      <c r="K1153" s="0" t="s">
        <v>457</v>
      </c>
      <c r="L1153" s="0" t="s">
        <v>457</v>
      </c>
      <c r="M1153" s="0" t="s">
        <v>457</v>
      </c>
      <c r="O1153" s="0" t="s">
        <v>2570</v>
      </c>
      <c r="P1153" s="0" t="s">
        <v>2597</v>
      </c>
      <c r="Q1153" s="0" t="s">
        <v>1658</v>
      </c>
      <c r="R1153" s="0" t="s">
        <v>203</v>
      </c>
    </row>
    <row r="1154" customFormat="false" ht="15" hidden="false" customHeight="false" outlineLevel="0" collapsed="false">
      <c r="A1154" s="0" t="s">
        <v>201</v>
      </c>
      <c r="B1154" s="0" t="n">
        <v>2013</v>
      </c>
      <c r="C1154" s="0" t="s">
        <v>101</v>
      </c>
      <c r="D1154" s="0" t="s">
        <v>79</v>
      </c>
      <c r="E1154" s="0" t="n">
        <v>0</v>
      </c>
      <c r="F1154" s="0" t="s">
        <v>17</v>
      </c>
      <c r="H1154" s="0" t="s">
        <v>457</v>
      </c>
      <c r="I1154" s="0" t="s">
        <v>457</v>
      </c>
      <c r="J1154" s="0" t="s">
        <v>457</v>
      </c>
      <c r="K1154" s="0" t="s">
        <v>457</v>
      </c>
      <c r="L1154" s="0" t="s">
        <v>457</v>
      </c>
      <c r="M1154" s="0" t="s">
        <v>457</v>
      </c>
      <c r="O1154" s="0" t="s">
        <v>2570</v>
      </c>
      <c r="P1154" s="0" t="s">
        <v>2597</v>
      </c>
      <c r="Q1154" s="0" t="s">
        <v>1658</v>
      </c>
      <c r="R1154" s="0" t="s">
        <v>203</v>
      </c>
    </row>
    <row r="1155" customFormat="false" ht="15" hidden="false" customHeight="false" outlineLevel="0" collapsed="false">
      <c r="A1155" s="0" t="s">
        <v>201</v>
      </c>
      <c r="B1155" s="0" t="n">
        <v>2013</v>
      </c>
      <c r="C1155" s="0" t="s">
        <v>101</v>
      </c>
      <c r="D1155" s="0" t="s">
        <v>79</v>
      </c>
      <c r="E1155" s="0" t="n">
        <v>0</v>
      </c>
      <c r="F1155" s="0" t="s">
        <v>29</v>
      </c>
      <c r="H1155" s="0" t="s">
        <v>457</v>
      </c>
      <c r="I1155" s="0" t="s">
        <v>457</v>
      </c>
      <c r="J1155" s="0" t="s">
        <v>457</v>
      </c>
      <c r="K1155" s="0" t="s">
        <v>457</v>
      </c>
      <c r="L1155" s="0" t="s">
        <v>457</v>
      </c>
      <c r="M1155" s="0" t="s">
        <v>457</v>
      </c>
      <c r="O1155" s="0" t="s">
        <v>2570</v>
      </c>
      <c r="P1155" s="0" t="s">
        <v>2597</v>
      </c>
      <c r="Q1155" s="0" t="s">
        <v>1658</v>
      </c>
      <c r="R1155" s="0" t="s">
        <v>203</v>
      </c>
    </row>
    <row r="1156" customFormat="false" ht="15" hidden="false" customHeight="false" outlineLevel="0" collapsed="false">
      <c r="A1156" s="0" t="s">
        <v>201</v>
      </c>
      <c r="B1156" s="0" t="n">
        <v>2013</v>
      </c>
      <c r="C1156" s="0" t="s">
        <v>101</v>
      </c>
      <c r="D1156" s="0" t="s">
        <v>79</v>
      </c>
      <c r="E1156" s="0" t="n">
        <v>0</v>
      </c>
      <c r="F1156" s="0" t="s">
        <v>37</v>
      </c>
      <c r="H1156" s="0" t="s">
        <v>457</v>
      </c>
      <c r="I1156" s="0" t="s">
        <v>457</v>
      </c>
      <c r="J1156" s="0" t="s">
        <v>457</v>
      </c>
      <c r="K1156" s="0" t="s">
        <v>457</v>
      </c>
      <c r="L1156" s="0" t="s">
        <v>457</v>
      </c>
      <c r="M1156" s="0" t="s">
        <v>457</v>
      </c>
      <c r="O1156" s="0" t="s">
        <v>2570</v>
      </c>
      <c r="P1156" s="0" t="s">
        <v>2597</v>
      </c>
      <c r="Q1156" s="0" t="s">
        <v>1658</v>
      </c>
      <c r="R1156" s="0" t="s">
        <v>203</v>
      </c>
    </row>
    <row r="1157" customFormat="false" ht="15" hidden="false" customHeight="false" outlineLevel="0" collapsed="false">
      <c r="A1157" s="0" t="s">
        <v>201</v>
      </c>
      <c r="B1157" s="0" t="n">
        <v>2013</v>
      </c>
      <c r="C1157" s="0" t="s">
        <v>101</v>
      </c>
      <c r="D1157" s="0" t="s">
        <v>79</v>
      </c>
      <c r="E1157" s="0" t="n">
        <v>0</v>
      </c>
      <c r="F1157" s="0" t="s">
        <v>23</v>
      </c>
      <c r="H1157" s="0" t="s">
        <v>457</v>
      </c>
      <c r="I1157" s="0" t="s">
        <v>457</v>
      </c>
      <c r="J1157" s="0" t="s">
        <v>457</v>
      </c>
      <c r="K1157" s="0" t="s">
        <v>457</v>
      </c>
      <c r="L1157" s="0" t="s">
        <v>457</v>
      </c>
      <c r="M1157" s="0" t="s">
        <v>457</v>
      </c>
      <c r="O1157" s="0" t="s">
        <v>2570</v>
      </c>
      <c r="P1157" s="0" t="s">
        <v>2597</v>
      </c>
      <c r="Q1157" s="0" t="s">
        <v>1658</v>
      </c>
      <c r="R1157" s="0" t="s">
        <v>203</v>
      </c>
    </row>
    <row r="1158" customFormat="false" ht="15" hidden="false" customHeight="false" outlineLevel="0" collapsed="false">
      <c r="A1158" s="0" t="s">
        <v>201</v>
      </c>
      <c r="B1158" s="0" t="n">
        <v>2013</v>
      </c>
      <c r="C1158" s="0" t="s">
        <v>101</v>
      </c>
      <c r="D1158" s="0" t="s">
        <v>79</v>
      </c>
      <c r="E1158" s="0" t="n">
        <v>0</v>
      </c>
      <c r="F1158" s="0" t="s">
        <v>45</v>
      </c>
      <c r="H1158" s="0" t="s">
        <v>457</v>
      </c>
      <c r="I1158" s="0" t="s">
        <v>457</v>
      </c>
      <c r="J1158" s="0" t="s">
        <v>457</v>
      </c>
      <c r="K1158" s="0" t="s">
        <v>457</v>
      </c>
      <c r="L1158" s="0" t="s">
        <v>457</v>
      </c>
      <c r="M1158" s="0" t="s">
        <v>457</v>
      </c>
      <c r="O1158" s="0" t="s">
        <v>2570</v>
      </c>
      <c r="P1158" s="0" t="s">
        <v>2597</v>
      </c>
      <c r="Q1158" s="0" t="s">
        <v>1658</v>
      </c>
      <c r="R1158" s="0" t="s">
        <v>203</v>
      </c>
    </row>
    <row r="1159" customFormat="false" ht="15" hidden="false" customHeight="false" outlineLevel="0" collapsed="false">
      <c r="A1159" s="0" t="s">
        <v>201</v>
      </c>
      <c r="B1159" s="0" t="n">
        <v>2013</v>
      </c>
      <c r="C1159" s="0" t="s">
        <v>101</v>
      </c>
      <c r="D1159" s="0" t="s">
        <v>79</v>
      </c>
      <c r="E1159" s="0" t="n">
        <v>0</v>
      </c>
      <c r="F1159" s="0" t="s">
        <v>71</v>
      </c>
      <c r="H1159" s="0" t="s">
        <v>457</v>
      </c>
      <c r="I1159" s="0" t="s">
        <v>457</v>
      </c>
      <c r="J1159" s="0" t="s">
        <v>457</v>
      </c>
      <c r="K1159" s="0" t="s">
        <v>457</v>
      </c>
      <c r="L1159" s="0" t="s">
        <v>457</v>
      </c>
      <c r="M1159" s="0" t="s">
        <v>457</v>
      </c>
      <c r="O1159" s="0" t="s">
        <v>2570</v>
      </c>
      <c r="P1159" s="0" t="s">
        <v>2597</v>
      </c>
      <c r="Q1159" s="0" t="s">
        <v>1658</v>
      </c>
      <c r="R1159" s="0" t="s">
        <v>203</v>
      </c>
    </row>
    <row r="1160" customFormat="false" ht="15" hidden="false" customHeight="false" outlineLevel="0" collapsed="false">
      <c r="A1160" s="0" t="s">
        <v>201</v>
      </c>
      <c r="B1160" s="0" t="n">
        <v>2013</v>
      </c>
      <c r="C1160" s="0" t="s">
        <v>101</v>
      </c>
      <c r="D1160" s="0" t="s">
        <v>79</v>
      </c>
      <c r="E1160" s="0" t="n">
        <v>0</v>
      </c>
      <c r="F1160" s="0" t="s">
        <v>31</v>
      </c>
      <c r="G1160" s="0" t="n">
        <v>93.0102594883538</v>
      </c>
      <c r="H1160" s="0" t="s">
        <v>437</v>
      </c>
      <c r="I1160" s="0" t="s">
        <v>437</v>
      </c>
      <c r="J1160" s="0" t="s">
        <v>437</v>
      </c>
      <c r="K1160" s="0" t="s">
        <v>457</v>
      </c>
      <c r="L1160" s="0" t="s">
        <v>437</v>
      </c>
      <c r="M1160" s="0" t="s">
        <v>437</v>
      </c>
      <c r="O1160" s="0" t="s">
        <v>2570</v>
      </c>
      <c r="P1160" s="0" t="s">
        <v>2597</v>
      </c>
      <c r="Q1160" s="0" t="s">
        <v>1658</v>
      </c>
      <c r="R1160" s="0" t="s">
        <v>203</v>
      </c>
    </row>
    <row r="1161" customFormat="false" ht="15" hidden="false" customHeight="false" outlineLevel="0" collapsed="false">
      <c r="A1161" s="0" t="s">
        <v>201</v>
      </c>
      <c r="B1161" s="0" t="n">
        <v>2014</v>
      </c>
      <c r="C1161" s="0" t="s">
        <v>101</v>
      </c>
      <c r="D1161" s="0" t="s">
        <v>79</v>
      </c>
      <c r="E1161" s="0" t="n">
        <v>0</v>
      </c>
      <c r="F1161" s="0" t="s">
        <v>73</v>
      </c>
      <c r="H1161" s="0" t="s">
        <v>457</v>
      </c>
      <c r="I1161" s="0" t="s">
        <v>457</v>
      </c>
      <c r="J1161" s="0" t="s">
        <v>457</v>
      </c>
      <c r="K1161" s="0" t="s">
        <v>457</v>
      </c>
      <c r="L1161" s="0" t="s">
        <v>457</v>
      </c>
      <c r="M1161" s="0" t="s">
        <v>457</v>
      </c>
      <c r="R1161" s="0" t="s">
        <v>105</v>
      </c>
    </row>
    <row r="1162" customFormat="false" ht="15" hidden="false" customHeight="false" outlineLevel="0" collapsed="false">
      <c r="A1162" s="0" t="s">
        <v>201</v>
      </c>
      <c r="B1162" s="0" t="n">
        <v>2014</v>
      </c>
      <c r="C1162" s="0" t="s">
        <v>101</v>
      </c>
      <c r="D1162" s="0" t="s">
        <v>79</v>
      </c>
      <c r="E1162" s="0" t="n">
        <v>0</v>
      </c>
      <c r="F1162" s="0" t="s">
        <v>69</v>
      </c>
      <c r="H1162" s="0" t="s">
        <v>457</v>
      </c>
      <c r="I1162" s="0" t="s">
        <v>457</v>
      </c>
      <c r="J1162" s="0" t="s">
        <v>457</v>
      </c>
      <c r="K1162" s="0" t="s">
        <v>457</v>
      </c>
      <c r="L1162" s="0" t="s">
        <v>457</v>
      </c>
      <c r="M1162" s="0" t="s">
        <v>457</v>
      </c>
      <c r="R1162" s="0" t="s">
        <v>105</v>
      </c>
    </row>
    <row r="1163" customFormat="false" ht="15" hidden="false" customHeight="false" outlineLevel="0" collapsed="false">
      <c r="A1163" s="0" t="s">
        <v>201</v>
      </c>
      <c r="B1163" s="0" t="n">
        <v>2014</v>
      </c>
      <c r="C1163" s="0" t="s">
        <v>101</v>
      </c>
      <c r="D1163" s="0" t="s">
        <v>79</v>
      </c>
      <c r="E1163" s="0" t="n">
        <v>0</v>
      </c>
      <c r="F1163" s="0" t="s">
        <v>25</v>
      </c>
      <c r="H1163" s="0" t="s">
        <v>457</v>
      </c>
      <c r="I1163" s="0" t="s">
        <v>457</v>
      </c>
      <c r="J1163" s="0" t="s">
        <v>457</v>
      </c>
      <c r="K1163" s="0" t="s">
        <v>457</v>
      </c>
      <c r="L1163" s="0" t="s">
        <v>457</v>
      </c>
      <c r="M1163" s="0" t="s">
        <v>457</v>
      </c>
      <c r="R1163" s="0" t="s">
        <v>105</v>
      </c>
    </row>
    <row r="1164" customFormat="false" ht="15" hidden="false" customHeight="false" outlineLevel="0" collapsed="false">
      <c r="A1164" s="0" t="s">
        <v>201</v>
      </c>
      <c r="B1164" s="0" t="n">
        <v>2014</v>
      </c>
      <c r="C1164" s="0" t="s">
        <v>101</v>
      </c>
      <c r="D1164" s="0" t="s">
        <v>79</v>
      </c>
      <c r="E1164" s="0" t="n">
        <v>0</v>
      </c>
      <c r="F1164" s="0" t="s">
        <v>41</v>
      </c>
      <c r="G1164" s="0" t="n">
        <v>2.61770736717941</v>
      </c>
      <c r="H1164" s="0" t="s">
        <v>437</v>
      </c>
      <c r="I1164" s="0" t="s">
        <v>437</v>
      </c>
      <c r="J1164" s="0" t="s">
        <v>437</v>
      </c>
      <c r="K1164" s="0" t="s">
        <v>457</v>
      </c>
      <c r="L1164" s="0" t="s">
        <v>437</v>
      </c>
      <c r="M1164" s="0" t="s">
        <v>457</v>
      </c>
      <c r="R1164" s="0" t="s">
        <v>105</v>
      </c>
    </row>
    <row r="1165" customFormat="false" ht="15" hidden="false" customHeight="false" outlineLevel="0" collapsed="false">
      <c r="A1165" s="0" t="s">
        <v>201</v>
      </c>
      <c r="B1165" s="0" t="n">
        <v>2014</v>
      </c>
      <c r="C1165" s="0" t="s">
        <v>101</v>
      </c>
      <c r="D1165" s="0" t="s">
        <v>79</v>
      </c>
      <c r="E1165" s="0" t="n">
        <v>0</v>
      </c>
      <c r="F1165" s="0" t="s">
        <v>27</v>
      </c>
      <c r="G1165" s="0" t="n">
        <v>18.4522264473037</v>
      </c>
      <c r="H1165" s="0" t="s">
        <v>437</v>
      </c>
      <c r="I1165" s="0" t="s">
        <v>437</v>
      </c>
      <c r="J1165" s="0" t="s">
        <v>437</v>
      </c>
      <c r="K1165" s="0" t="s">
        <v>437</v>
      </c>
      <c r="L1165" s="0" t="s">
        <v>437</v>
      </c>
      <c r="M1165" s="0" t="s">
        <v>457</v>
      </c>
      <c r="R1165" s="0" t="s">
        <v>105</v>
      </c>
    </row>
    <row r="1166" customFormat="false" ht="15" hidden="false" customHeight="false" outlineLevel="0" collapsed="false">
      <c r="A1166" s="0" t="s">
        <v>201</v>
      </c>
      <c r="B1166" s="0" t="n">
        <v>2014</v>
      </c>
      <c r="C1166" s="0" t="s">
        <v>101</v>
      </c>
      <c r="D1166" s="0" t="s">
        <v>79</v>
      </c>
      <c r="E1166" s="0" t="n">
        <v>0</v>
      </c>
      <c r="F1166" s="0" t="s">
        <v>39</v>
      </c>
      <c r="G1166" s="0" t="n">
        <v>-7.89509119961763</v>
      </c>
      <c r="H1166" s="0" t="s">
        <v>437</v>
      </c>
      <c r="I1166" s="0" t="s">
        <v>437</v>
      </c>
      <c r="J1166" s="0" t="s">
        <v>437</v>
      </c>
      <c r="K1166" s="0" t="s">
        <v>457</v>
      </c>
      <c r="L1166" s="0" t="s">
        <v>437</v>
      </c>
      <c r="M1166" s="0" t="s">
        <v>457</v>
      </c>
      <c r="R1166" s="0" t="s">
        <v>105</v>
      </c>
    </row>
    <row r="1167" customFormat="false" ht="15" hidden="false" customHeight="false" outlineLevel="0" collapsed="false">
      <c r="A1167" s="0" t="s">
        <v>201</v>
      </c>
      <c r="B1167" s="0" t="n">
        <v>2014</v>
      </c>
      <c r="C1167" s="0" t="s">
        <v>101</v>
      </c>
      <c r="D1167" s="0" t="s">
        <v>79</v>
      </c>
      <c r="E1167" s="0" t="n">
        <v>0</v>
      </c>
      <c r="F1167" s="0" t="s">
        <v>17</v>
      </c>
      <c r="H1167" s="0" t="s">
        <v>457</v>
      </c>
      <c r="I1167" s="0" t="s">
        <v>457</v>
      </c>
      <c r="J1167" s="0" t="s">
        <v>457</v>
      </c>
      <c r="K1167" s="0" t="s">
        <v>457</v>
      </c>
      <c r="L1167" s="0" t="s">
        <v>457</v>
      </c>
      <c r="M1167" s="0" t="s">
        <v>457</v>
      </c>
      <c r="R1167" s="0" t="s">
        <v>105</v>
      </c>
    </row>
    <row r="1168" customFormat="false" ht="15" hidden="false" customHeight="false" outlineLevel="0" collapsed="false">
      <c r="A1168" s="0" t="s">
        <v>201</v>
      </c>
      <c r="B1168" s="0" t="n">
        <v>2014</v>
      </c>
      <c r="C1168" s="0" t="s">
        <v>101</v>
      </c>
      <c r="D1168" s="0" t="s">
        <v>79</v>
      </c>
      <c r="E1168" s="0" t="n">
        <v>0</v>
      </c>
      <c r="F1168" s="0" t="s">
        <v>29</v>
      </c>
      <c r="G1168" s="0" t="n">
        <v>3.68554586061556</v>
      </c>
      <c r="H1168" s="0" t="s">
        <v>437</v>
      </c>
      <c r="I1168" s="0" t="s">
        <v>437</v>
      </c>
      <c r="J1168" s="0" t="s">
        <v>437</v>
      </c>
      <c r="K1168" s="0" t="s">
        <v>457</v>
      </c>
      <c r="L1168" s="0" t="s">
        <v>437</v>
      </c>
      <c r="M1168" s="0" t="s">
        <v>457</v>
      </c>
      <c r="R1168" s="0" t="s">
        <v>105</v>
      </c>
    </row>
    <row r="1169" customFormat="false" ht="15" hidden="false" customHeight="false" outlineLevel="0" collapsed="false">
      <c r="A1169" s="0" t="s">
        <v>201</v>
      </c>
      <c r="B1169" s="0" t="n">
        <v>2014</v>
      </c>
      <c r="C1169" s="0" t="s">
        <v>101</v>
      </c>
      <c r="D1169" s="0" t="s">
        <v>79</v>
      </c>
      <c r="E1169" s="0" t="n">
        <v>0</v>
      </c>
      <c r="F1169" s="0" t="s">
        <v>37</v>
      </c>
      <c r="H1169" s="0" t="s">
        <v>457</v>
      </c>
      <c r="I1169" s="0" t="s">
        <v>457</v>
      </c>
      <c r="J1169" s="0" t="s">
        <v>457</v>
      </c>
      <c r="K1169" s="0" t="s">
        <v>457</v>
      </c>
      <c r="L1169" s="0" t="s">
        <v>457</v>
      </c>
      <c r="M1169" s="0" t="s">
        <v>457</v>
      </c>
      <c r="R1169" s="0" t="s">
        <v>105</v>
      </c>
    </row>
    <row r="1170" customFormat="false" ht="15" hidden="false" customHeight="false" outlineLevel="0" collapsed="false">
      <c r="A1170" s="0" t="s">
        <v>201</v>
      </c>
      <c r="B1170" s="0" t="n">
        <v>2014</v>
      </c>
      <c r="C1170" s="0" t="s">
        <v>101</v>
      </c>
      <c r="D1170" s="0" t="s">
        <v>79</v>
      </c>
      <c r="E1170" s="0" t="n">
        <v>0</v>
      </c>
      <c r="F1170" s="0" t="s">
        <v>23</v>
      </c>
      <c r="H1170" s="0" t="s">
        <v>457</v>
      </c>
      <c r="I1170" s="0" t="s">
        <v>457</v>
      </c>
      <c r="J1170" s="0" t="s">
        <v>457</v>
      </c>
      <c r="K1170" s="0" t="s">
        <v>457</v>
      </c>
      <c r="L1170" s="0" t="s">
        <v>457</v>
      </c>
      <c r="M1170" s="0" t="s">
        <v>457</v>
      </c>
      <c r="R1170" s="0" t="s">
        <v>105</v>
      </c>
    </row>
    <row r="1171" customFormat="false" ht="15" hidden="false" customHeight="false" outlineLevel="0" collapsed="false">
      <c r="A1171" s="0" t="s">
        <v>201</v>
      </c>
      <c r="B1171" s="0" t="n">
        <v>2014</v>
      </c>
      <c r="C1171" s="0" t="s">
        <v>101</v>
      </c>
      <c r="D1171" s="0" t="s">
        <v>79</v>
      </c>
      <c r="E1171" s="0" t="n">
        <v>0</v>
      </c>
      <c r="F1171" s="0" t="s">
        <v>45</v>
      </c>
      <c r="H1171" s="0" t="s">
        <v>457</v>
      </c>
      <c r="I1171" s="0" t="s">
        <v>457</v>
      </c>
      <c r="J1171" s="0" t="s">
        <v>457</v>
      </c>
      <c r="K1171" s="0" t="s">
        <v>457</v>
      </c>
      <c r="L1171" s="0" t="s">
        <v>457</v>
      </c>
      <c r="M1171" s="0" t="s">
        <v>457</v>
      </c>
      <c r="R1171" s="0" t="s">
        <v>105</v>
      </c>
    </row>
    <row r="1172" customFormat="false" ht="15" hidden="false" customHeight="false" outlineLevel="0" collapsed="false">
      <c r="A1172" s="0" t="s">
        <v>201</v>
      </c>
      <c r="B1172" s="0" t="n">
        <v>2014</v>
      </c>
      <c r="C1172" s="0" t="s">
        <v>101</v>
      </c>
      <c r="D1172" s="0" t="s">
        <v>79</v>
      </c>
      <c r="E1172" s="0" t="n">
        <v>0</v>
      </c>
      <c r="F1172" s="0" t="s">
        <v>71</v>
      </c>
      <c r="H1172" s="0" t="s">
        <v>457</v>
      </c>
      <c r="I1172" s="0" t="s">
        <v>457</v>
      </c>
      <c r="J1172" s="0" t="s">
        <v>457</v>
      </c>
      <c r="K1172" s="0" t="s">
        <v>457</v>
      </c>
      <c r="L1172" s="0" t="s">
        <v>457</v>
      </c>
      <c r="M1172" s="0" t="s">
        <v>457</v>
      </c>
      <c r="R1172" s="0" t="s">
        <v>105</v>
      </c>
    </row>
    <row r="1173" customFormat="false" ht="15" hidden="false" customHeight="false" outlineLevel="0" collapsed="false">
      <c r="A1173" s="0" t="s">
        <v>201</v>
      </c>
      <c r="B1173" s="0" t="n">
        <v>2014</v>
      </c>
      <c r="C1173" s="0" t="s">
        <v>101</v>
      </c>
      <c r="D1173" s="0" t="s">
        <v>79</v>
      </c>
      <c r="E1173" s="0" t="n">
        <v>0</v>
      </c>
      <c r="F1173" s="0" t="s">
        <v>31</v>
      </c>
      <c r="G1173" s="0" t="n">
        <v>81.5477735526963</v>
      </c>
      <c r="H1173" s="0" t="s">
        <v>437</v>
      </c>
      <c r="I1173" s="0" t="s">
        <v>437</v>
      </c>
      <c r="J1173" s="0" t="s">
        <v>437</v>
      </c>
      <c r="K1173" s="0" t="s">
        <v>437</v>
      </c>
      <c r="L1173" s="0" t="s">
        <v>437</v>
      </c>
      <c r="M1173" s="0" t="s">
        <v>457</v>
      </c>
      <c r="R1173" s="0" t="s">
        <v>105</v>
      </c>
    </row>
    <row r="1174" customFormat="false" ht="15" hidden="false" customHeight="false" outlineLevel="0" collapsed="false">
      <c r="A1174" s="0" t="s">
        <v>201</v>
      </c>
      <c r="B1174" s="0" t="n">
        <v>2015</v>
      </c>
      <c r="C1174" s="0" t="s">
        <v>101</v>
      </c>
      <c r="D1174" s="0" t="s">
        <v>79</v>
      </c>
      <c r="E1174" s="0" t="n">
        <v>0</v>
      </c>
      <c r="F1174" s="0" t="s">
        <v>73</v>
      </c>
      <c r="G1174" s="0" t="n">
        <v>0</v>
      </c>
      <c r="H1174" s="0" t="s">
        <v>437</v>
      </c>
      <c r="I1174" s="0" t="s">
        <v>437</v>
      </c>
      <c r="J1174" s="0" t="s">
        <v>437</v>
      </c>
      <c r="K1174" s="0" t="s">
        <v>457</v>
      </c>
      <c r="L1174" s="0" t="s">
        <v>437</v>
      </c>
      <c r="M1174" s="0" t="s">
        <v>457</v>
      </c>
      <c r="R1174" s="0" t="s">
        <v>84</v>
      </c>
    </row>
    <row r="1175" customFormat="false" ht="15" hidden="false" customHeight="false" outlineLevel="0" collapsed="false">
      <c r="A1175" s="0" t="s">
        <v>201</v>
      </c>
      <c r="B1175" s="0" t="n">
        <v>2015</v>
      </c>
      <c r="C1175" s="0" t="s">
        <v>101</v>
      </c>
      <c r="D1175" s="0" t="s">
        <v>79</v>
      </c>
      <c r="E1175" s="0" t="n">
        <v>0</v>
      </c>
      <c r="F1175" s="0" t="s">
        <v>69</v>
      </c>
      <c r="H1175" s="0" t="s">
        <v>457</v>
      </c>
      <c r="I1175" s="0" t="s">
        <v>457</v>
      </c>
      <c r="J1175" s="0" t="s">
        <v>457</v>
      </c>
      <c r="K1175" s="0" t="s">
        <v>457</v>
      </c>
      <c r="L1175" s="0" t="s">
        <v>457</v>
      </c>
      <c r="M1175" s="0" t="s">
        <v>457</v>
      </c>
      <c r="R1175" s="0" t="s">
        <v>84</v>
      </c>
    </row>
    <row r="1176" customFormat="false" ht="15" hidden="false" customHeight="false" outlineLevel="0" collapsed="false">
      <c r="A1176" s="0" t="s">
        <v>201</v>
      </c>
      <c r="B1176" s="0" t="n">
        <v>2015</v>
      </c>
      <c r="C1176" s="0" t="s">
        <v>101</v>
      </c>
      <c r="D1176" s="0" t="s">
        <v>79</v>
      </c>
      <c r="E1176" s="0" t="n">
        <v>0</v>
      </c>
      <c r="F1176" s="0" t="s">
        <v>25</v>
      </c>
      <c r="H1176" s="0" t="s">
        <v>457</v>
      </c>
      <c r="I1176" s="0" t="s">
        <v>457</v>
      </c>
      <c r="J1176" s="0" t="s">
        <v>457</v>
      </c>
      <c r="K1176" s="0" t="s">
        <v>457</v>
      </c>
      <c r="L1176" s="0" t="s">
        <v>457</v>
      </c>
      <c r="M1176" s="0" t="s">
        <v>457</v>
      </c>
      <c r="R1176" s="0" t="s">
        <v>84</v>
      </c>
    </row>
    <row r="1177" customFormat="false" ht="15" hidden="false" customHeight="false" outlineLevel="0" collapsed="false">
      <c r="A1177" s="0" t="s">
        <v>201</v>
      </c>
      <c r="B1177" s="0" t="n">
        <v>2015</v>
      </c>
      <c r="C1177" s="0" t="s">
        <v>101</v>
      </c>
      <c r="D1177" s="0" t="s">
        <v>79</v>
      </c>
      <c r="E1177" s="0" t="n">
        <v>0</v>
      </c>
      <c r="F1177" s="0" t="s">
        <v>41</v>
      </c>
      <c r="G1177" s="0" t="n">
        <v>1.09479663860309</v>
      </c>
      <c r="H1177" s="0" t="s">
        <v>437</v>
      </c>
      <c r="I1177" s="0" t="s">
        <v>437</v>
      </c>
      <c r="J1177" s="0" t="s">
        <v>437</v>
      </c>
      <c r="K1177" s="0" t="s">
        <v>437</v>
      </c>
      <c r="L1177" s="0" t="s">
        <v>437</v>
      </c>
      <c r="M1177" s="0" t="s">
        <v>457</v>
      </c>
      <c r="R1177" s="0" t="s">
        <v>84</v>
      </c>
    </row>
    <row r="1178" customFormat="false" ht="15" hidden="false" customHeight="false" outlineLevel="0" collapsed="false">
      <c r="A1178" s="0" t="s">
        <v>201</v>
      </c>
      <c r="B1178" s="0" t="n">
        <v>2015</v>
      </c>
      <c r="C1178" s="0" t="s">
        <v>101</v>
      </c>
      <c r="D1178" s="0" t="s">
        <v>79</v>
      </c>
      <c r="E1178" s="0" t="n">
        <v>0</v>
      </c>
      <c r="F1178" s="0" t="s">
        <v>27</v>
      </c>
      <c r="G1178" s="0" t="n">
        <v>18.6263517326808</v>
      </c>
      <c r="H1178" s="0" t="s">
        <v>437</v>
      </c>
      <c r="I1178" s="0" t="s">
        <v>437</v>
      </c>
      <c r="J1178" s="0" t="s">
        <v>437</v>
      </c>
      <c r="K1178" s="0" t="s">
        <v>437</v>
      </c>
      <c r="L1178" s="0" t="s">
        <v>437</v>
      </c>
      <c r="M1178" s="0" t="s">
        <v>457</v>
      </c>
      <c r="R1178" s="0" t="s">
        <v>84</v>
      </c>
    </row>
    <row r="1179" customFormat="false" ht="15" hidden="false" customHeight="false" outlineLevel="0" collapsed="false">
      <c r="A1179" s="0" t="s">
        <v>201</v>
      </c>
      <c r="B1179" s="0" t="n">
        <v>2015</v>
      </c>
      <c r="C1179" s="0" t="s">
        <v>101</v>
      </c>
      <c r="D1179" s="0" t="s">
        <v>79</v>
      </c>
      <c r="E1179" s="0" t="n">
        <v>0</v>
      </c>
      <c r="F1179" s="0" t="s">
        <v>39</v>
      </c>
      <c r="G1179" s="0" t="n">
        <v>-8.5664373324277</v>
      </c>
      <c r="H1179" s="0" t="s">
        <v>437</v>
      </c>
      <c r="I1179" s="0" t="s">
        <v>437</v>
      </c>
      <c r="J1179" s="0" t="s">
        <v>437</v>
      </c>
      <c r="K1179" s="0" t="s">
        <v>437</v>
      </c>
      <c r="L1179" s="0" t="s">
        <v>437</v>
      </c>
      <c r="M1179" s="0" t="s">
        <v>457</v>
      </c>
      <c r="R1179" s="0" t="s">
        <v>84</v>
      </c>
    </row>
    <row r="1180" customFormat="false" ht="15" hidden="false" customHeight="false" outlineLevel="0" collapsed="false">
      <c r="A1180" s="0" t="s">
        <v>201</v>
      </c>
      <c r="B1180" s="0" t="n">
        <v>2015</v>
      </c>
      <c r="C1180" s="0" t="s">
        <v>101</v>
      </c>
      <c r="D1180" s="0" t="s">
        <v>79</v>
      </c>
      <c r="E1180" s="0" t="n">
        <v>0</v>
      </c>
      <c r="F1180" s="0" t="s">
        <v>17</v>
      </c>
      <c r="G1180" s="0" t="n">
        <v>21.082056794759</v>
      </c>
      <c r="H1180" s="0" t="s">
        <v>437</v>
      </c>
      <c r="I1180" s="0" t="s">
        <v>437</v>
      </c>
      <c r="J1180" s="0" t="s">
        <v>437</v>
      </c>
      <c r="K1180" s="0" t="s">
        <v>457</v>
      </c>
      <c r="L1180" s="0" t="s">
        <v>437</v>
      </c>
      <c r="M1180" s="0" t="s">
        <v>457</v>
      </c>
      <c r="R1180" s="0" t="s">
        <v>84</v>
      </c>
    </row>
    <row r="1181" customFormat="false" ht="15" hidden="false" customHeight="false" outlineLevel="0" collapsed="false">
      <c r="A1181" s="0" t="s">
        <v>201</v>
      </c>
      <c r="B1181" s="0" t="n">
        <v>2015</v>
      </c>
      <c r="C1181" s="0" t="s">
        <v>101</v>
      </c>
      <c r="D1181" s="0" t="s">
        <v>79</v>
      </c>
      <c r="E1181" s="0" t="n">
        <v>0</v>
      </c>
      <c r="F1181" s="0" t="s">
        <v>29</v>
      </c>
      <c r="G1181" s="0" t="n">
        <v>6.33232661759488</v>
      </c>
      <c r="H1181" s="0" t="s">
        <v>437</v>
      </c>
      <c r="I1181" s="0" t="s">
        <v>437</v>
      </c>
      <c r="J1181" s="0" t="s">
        <v>437</v>
      </c>
      <c r="K1181" s="0" t="s">
        <v>437</v>
      </c>
      <c r="L1181" s="0" t="s">
        <v>437</v>
      </c>
      <c r="M1181" s="0" t="s">
        <v>457</v>
      </c>
      <c r="R1181" s="0" t="s">
        <v>84</v>
      </c>
    </row>
    <row r="1182" customFormat="false" ht="15" hidden="false" customHeight="false" outlineLevel="0" collapsed="false">
      <c r="A1182" s="0" t="s">
        <v>201</v>
      </c>
      <c r="B1182" s="0" t="n">
        <v>2015</v>
      </c>
      <c r="C1182" s="0" t="s">
        <v>101</v>
      </c>
      <c r="D1182" s="0" t="s">
        <v>79</v>
      </c>
      <c r="E1182" s="0" t="n">
        <v>0</v>
      </c>
      <c r="F1182" s="0" t="s">
        <v>37</v>
      </c>
      <c r="H1182" s="0" t="s">
        <v>457</v>
      </c>
      <c r="I1182" s="0" t="s">
        <v>457</v>
      </c>
      <c r="J1182" s="0" t="s">
        <v>457</v>
      </c>
      <c r="K1182" s="0" t="s">
        <v>457</v>
      </c>
      <c r="L1182" s="0" t="s">
        <v>457</v>
      </c>
      <c r="M1182" s="0" t="s">
        <v>457</v>
      </c>
      <c r="R1182" s="0" t="s">
        <v>84</v>
      </c>
    </row>
    <row r="1183" customFormat="false" ht="15" hidden="false" customHeight="false" outlineLevel="0" collapsed="false">
      <c r="A1183" s="0" t="s">
        <v>201</v>
      </c>
      <c r="B1183" s="0" t="n">
        <v>2015</v>
      </c>
      <c r="C1183" s="0" t="s">
        <v>101</v>
      </c>
      <c r="D1183" s="0" t="s">
        <v>79</v>
      </c>
      <c r="E1183" s="0" t="n">
        <v>0</v>
      </c>
      <c r="F1183" s="0" t="s">
        <v>23</v>
      </c>
      <c r="H1183" s="0" t="s">
        <v>457</v>
      </c>
      <c r="I1183" s="0" t="s">
        <v>457</v>
      </c>
      <c r="J1183" s="0" t="s">
        <v>457</v>
      </c>
      <c r="K1183" s="0" t="s">
        <v>457</v>
      </c>
      <c r="L1183" s="0" t="s">
        <v>457</v>
      </c>
      <c r="M1183" s="0" t="s">
        <v>457</v>
      </c>
      <c r="R1183" s="0" t="s">
        <v>84</v>
      </c>
    </row>
    <row r="1184" customFormat="false" ht="15" hidden="false" customHeight="false" outlineLevel="0" collapsed="false">
      <c r="A1184" s="0" t="s">
        <v>201</v>
      </c>
      <c r="B1184" s="0" t="n">
        <v>2015</v>
      </c>
      <c r="C1184" s="0" t="s">
        <v>101</v>
      </c>
      <c r="D1184" s="0" t="s">
        <v>79</v>
      </c>
      <c r="E1184" s="0" t="n">
        <v>0</v>
      </c>
      <c r="F1184" s="0" t="s">
        <v>45</v>
      </c>
      <c r="H1184" s="0" t="s">
        <v>457</v>
      </c>
      <c r="I1184" s="0" t="s">
        <v>457</v>
      </c>
      <c r="J1184" s="0" t="s">
        <v>457</v>
      </c>
      <c r="K1184" s="0" t="s">
        <v>457</v>
      </c>
      <c r="L1184" s="0" t="s">
        <v>457</v>
      </c>
      <c r="M1184" s="0" t="s">
        <v>457</v>
      </c>
      <c r="R1184" s="0" t="s">
        <v>84</v>
      </c>
    </row>
    <row r="1185" customFormat="false" ht="15" hidden="false" customHeight="false" outlineLevel="0" collapsed="false">
      <c r="A1185" s="0" t="s">
        <v>201</v>
      </c>
      <c r="B1185" s="0" t="n">
        <v>2015</v>
      </c>
      <c r="C1185" s="0" t="s">
        <v>101</v>
      </c>
      <c r="D1185" s="0" t="s">
        <v>79</v>
      </c>
      <c r="E1185" s="0" t="n">
        <v>0</v>
      </c>
      <c r="F1185" s="0" t="s">
        <v>71</v>
      </c>
      <c r="H1185" s="0" t="s">
        <v>457</v>
      </c>
      <c r="I1185" s="0" t="s">
        <v>457</v>
      </c>
      <c r="J1185" s="0" t="s">
        <v>457</v>
      </c>
      <c r="K1185" s="0" t="s">
        <v>457</v>
      </c>
      <c r="L1185" s="0" t="s">
        <v>457</v>
      </c>
      <c r="M1185" s="0" t="s">
        <v>457</v>
      </c>
      <c r="R1185" s="0" t="s">
        <v>84</v>
      </c>
    </row>
    <row r="1186" customFormat="false" ht="15" hidden="false" customHeight="false" outlineLevel="0" collapsed="false">
      <c r="A1186" s="0" t="s">
        <v>201</v>
      </c>
      <c r="B1186" s="0" t="n">
        <v>2015</v>
      </c>
      <c r="C1186" s="0" t="s">
        <v>101</v>
      </c>
      <c r="D1186" s="0" t="s">
        <v>79</v>
      </c>
      <c r="E1186" s="0" t="n">
        <v>0</v>
      </c>
      <c r="F1186" s="0" t="s">
        <v>31</v>
      </c>
      <c r="G1186" s="0" t="n">
        <v>81.3736482673192</v>
      </c>
      <c r="H1186" s="0" t="s">
        <v>437</v>
      </c>
      <c r="I1186" s="0" t="s">
        <v>437</v>
      </c>
      <c r="J1186" s="0" t="s">
        <v>437</v>
      </c>
      <c r="K1186" s="0" t="s">
        <v>437</v>
      </c>
      <c r="L1186" s="0" t="s">
        <v>437</v>
      </c>
      <c r="M1186" s="0" t="s">
        <v>457</v>
      </c>
      <c r="R1186" s="0" t="s">
        <v>84</v>
      </c>
    </row>
    <row r="1187" customFormat="false" ht="15" hidden="false" customHeight="false" outlineLevel="0" collapsed="false">
      <c r="A1187" s="0" t="s">
        <v>201</v>
      </c>
      <c r="B1187" s="0" t="n">
        <v>2016</v>
      </c>
      <c r="C1187" s="0" t="s">
        <v>101</v>
      </c>
      <c r="D1187" s="0" t="s">
        <v>79</v>
      </c>
      <c r="E1187" s="0" t="n">
        <v>0</v>
      </c>
      <c r="F1187" s="0" t="s">
        <v>73</v>
      </c>
      <c r="G1187" s="0" t="n">
        <v>0</v>
      </c>
      <c r="H1187" s="0" t="s">
        <v>437</v>
      </c>
      <c r="I1187" s="0" t="s">
        <v>437</v>
      </c>
      <c r="J1187" s="0" t="s">
        <v>437</v>
      </c>
      <c r="K1187" s="0" t="s">
        <v>437</v>
      </c>
      <c r="L1187" s="0" t="s">
        <v>437</v>
      </c>
      <c r="M1187" s="0" t="s">
        <v>457</v>
      </c>
      <c r="R1187" s="0" t="s">
        <v>87</v>
      </c>
    </row>
    <row r="1188" customFormat="false" ht="15" hidden="false" customHeight="false" outlineLevel="0" collapsed="false">
      <c r="A1188" s="0" t="s">
        <v>201</v>
      </c>
      <c r="B1188" s="0" t="n">
        <v>2016</v>
      </c>
      <c r="C1188" s="0" t="s">
        <v>101</v>
      </c>
      <c r="D1188" s="0" t="s">
        <v>79</v>
      </c>
      <c r="E1188" s="0" t="n">
        <v>0</v>
      </c>
      <c r="F1188" s="0" t="s">
        <v>69</v>
      </c>
      <c r="G1188" s="0" t="n">
        <v>-46.98</v>
      </c>
      <c r="H1188" s="0" t="s">
        <v>437</v>
      </c>
      <c r="I1188" s="0" t="s">
        <v>437</v>
      </c>
      <c r="J1188" s="0" t="s">
        <v>437</v>
      </c>
      <c r="K1188" s="0" t="s">
        <v>457</v>
      </c>
      <c r="L1188" s="0" t="s">
        <v>437</v>
      </c>
      <c r="M1188" s="0" t="s">
        <v>457</v>
      </c>
      <c r="R1188" s="0" t="s">
        <v>87</v>
      </c>
    </row>
    <row r="1189" customFormat="false" ht="15" hidden="false" customHeight="false" outlineLevel="0" collapsed="false">
      <c r="A1189" s="0" t="s">
        <v>201</v>
      </c>
      <c r="B1189" s="0" t="n">
        <v>2016</v>
      </c>
      <c r="C1189" s="0" t="s">
        <v>101</v>
      </c>
      <c r="D1189" s="0" t="s">
        <v>79</v>
      </c>
      <c r="E1189" s="0" t="n">
        <v>0</v>
      </c>
      <c r="F1189" s="0" t="s">
        <v>25</v>
      </c>
      <c r="G1189" s="0" t="n">
        <v>-46.9765999648314</v>
      </c>
      <c r="H1189" s="0" t="s">
        <v>437</v>
      </c>
      <c r="I1189" s="0" t="s">
        <v>437</v>
      </c>
      <c r="J1189" s="0" t="s">
        <v>437</v>
      </c>
      <c r="K1189" s="0" t="s">
        <v>457</v>
      </c>
      <c r="L1189" s="0" t="s">
        <v>437</v>
      </c>
      <c r="M1189" s="0" t="s">
        <v>457</v>
      </c>
      <c r="R1189" s="0" t="s">
        <v>87</v>
      </c>
    </row>
    <row r="1190" customFormat="false" ht="15" hidden="false" customHeight="false" outlineLevel="0" collapsed="false">
      <c r="A1190" s="0" t="s">
        <v>201</v>
      </c>
      <c r="B1190" s="0" t="n">
        <v>2016</v>
      </c>
      <c r="C1190" s="0" t="s">
        <v>101</v>
      </c>
      <c r="D1190" s="0" t="s">
        <v>79</v>
      </c>
      <c r="E1190" s="0" t="n">
        <v>0</v>
      </c>
      <c r="F1190" s="0" t="s">
        <v>41</v>
      </c>
      <c r="G1190" s="0" t="n">
        <v>0.466622178687636</v>
      </c>
      <c r="H1190" s="0" t="s">
        <v>437</v>
      </c>
      <c r="I1190" s="0" t="s">
        <v>437</v>
      </c>
      <c r="J1190" s="0" t="s">
        <v>437</v>
      </c>
      <c r="K1190" s="0" t="s">
        <v>437</v>
      </c>
      <c r="L1190" s="0" t="s">
        <v>437</v>
      </c>
      <c r="M1190" s="0" t="s">
        <v>457</v>
      </c>
      <c r="R1190" s="0" t="s">
        <v>87</v>
      </c>
    </row>
    <row r="1191" customFormat="false" ht="15" hidden="false" customHeight="false" outlineLevel="0" collapsed="false">
      <c r="A1191" s="0" t="s">
        <v>201</v>
      </c>
      <c r="B1191" s="0" t="n">
        <v>2016</v>
      </c>
      <c r="C1191" s="0" t="s">
        <v>101</v>
      </c>
      <c r="D1191" s="0" t="s">
        <v>79</v>
      </c>
      <c r="E1191" s="0" t="n">
        <v>0</v>
      </c>
      <c r="F1191" s="0" t="s">
        <v>27</v>
      </c>
      <c r="G1191" s="0" t="n">
        <v>16.8682922341534</v>
      </c>
      <c r="H1191" s="0" t="s">
        <v>437</v>
      </c>
      <c r="I1191" s="0" t="s">
        <v>437</v>
      </c>
      <c r="J1191" s="0" t="s">
        <v>437</v>
      </c>
      <c r="K1191" s="0" t="s">
        <v>437</v>
      </c>
      <c r="L1191" s="0" t="s">
        <v>437</v>
      </c>
      <c r="M1191" s="0" t="s">
        <v>457</v>
      </c>
      <c r="R1191" s="0" t="s">
        <v>87</v>
      </c>
    </row>
    <row r="1192" customFormat="false" ht="15" hidden="false" customHeight="false" outlineLevel="0" collapsed="false">
      <c r="A1192" s="0" t="s">
        <v>201</v>
      </c>
      <c r="B1192" s="0" t="n">
        <v>2016</v>
      </c>
      <c r="C1192" s="0" t="s">
        <v>101</v>
      </c>
      <c r="D1192" s="0" t="s">
        <v>79</v>
      </c>
      <c r="E1192" s="0" t="n">
        <v>0</v>
      </c>
      <c r="F1192" s="0" t="s">
        <v>39</v>
      </c>
      <c r="G1192" s="0" t="n">
        <v>-4.98300422029036</v>
      </c>
      <c r="H1192" s="0" t="s">
        <v>437</v>
      </c>
      <c r="I1192" s="0" t="s">
        <v>437</v>
      </c>
      <c r="J1192" s="0" t="s">
        <v>437</v>
      </c>
      <c r="K1192" s="0" t="s">
        <v>437</v>
      </c>
      <c r="L1192" s="0" t="s">
        <v>437</v>
      </c>
      <c r="M1192" s="0" t="s">
        <v>457</v>
      </c>
      <c r="R1192" s="0" t="s">
        <v>87</v>
      </c>
    </row>
    <row r="1193" customFormat="false" ht="15" hidden="false" customHeight="false" outlineLevel="0" collapsed="false">
      <c r="A1193" s="0" t="s">
        <v>201</v>
      </c>
      <c r="B1193" s="0" t="n">
        <v>2016</v>
      </c>
      <c r="C1193" s="0" t="s">
        <v>101</v>
      </c>
      <c r="D1193" s="0" t="s">
        <v>79</v>
      </c>
      <c r="E1193" s="0" t="n">
        <v>0</v>
      </c>
      <c r="F1193" s="0" t="s">
        <v>17</v>
      </c>
      <c r="G1193" s="0" t="n">
        <v>26.8097092100607</v>
      </c>
      <c r="H1193" s="0" t="s">
        <v>437</v>
      </c>
      <c r="I1193" s="0" t="s">
        <v>437</v>
      </c>
      <c r="J1193" s="0" t="s">
        <v>437</v>
      </c>
      <c r="K1193" s="0" t="s">
        <v>437</v>
      </c>
      <c r="L1193" s="0" t="s">
        <v>437</v>
      </c>
      <c r="M1193" s="0" t="s">
        <v>457</v>
      </c>
      <c r="R1193" s="0" t="s">
        <v>87</v>
      </c>
    </row>
    <row r="1194" customFormat="false" ht="15" hidden="false" customHeight="false" outlineLevel="0" collapsed="false">
      <c r="A1194" s="0" t="s">
        <v>201</v>
      </c>
      <c r="B1194" s="0" t="n">
        <v>2016</v>
      </c>
      <c r="C1194" s="0" t="s">
        <v>101</v>
      </c>
      <c r="D1194" s="0" t="s">
        <v>79</v>
      </c>
      <c r="E1194" s="0" t="n">
        <v>0</v>
      </c>
      <c r="F1194" s="0" t="s">
        <v>29</v>
      </c>
      <c r="G1194" s="0" t="n">
        <v>7.68130211048898</v>
      </c>
      <c r="H1194" s="0" t="s">
        <v>437</v>
      </c>
      <c r="I1194" s="0" t="s">
        <v>437</v>
      </c>
      <c r="J1194" s="0" t="s">
        <v>437</v>
      </c>
      <c r="K1194" s="0" t="s">
        <v>437</v>
      </c>
      <c r="L1194" s="0" t="s">
        <v>437</v>
      </c>
      <c r="M1194" s="0" t="s">
        <v>457</v>
      </c>
      <c r="R1194" s="0" t="s">
        <v>87</v>
      </c>
    </row>
    <row r="1195" customFormat="false" ht="15" hidden="false" customHeight="false" outlineLevel="0" collapsed="false">
      <c r="A1195" s="0" t="s">
        <v>201</v>
      </c>
      <c r="B1195" s="0" t="n">
        <v>2016</v>
      </c>
      <c r="C1195" s="0" t="s">
        <v>101</v>
      </c>
      <c r="D1195" s="0" t="s">
        <v>79</v>
      </c>
      <c r="E1195" s="0" t="n">
        <v>0</v>
      </c>
      <c r="F1195" s="0" t="s">
        <v>37</v>
      </c>
      <c r="H1195" s="0" t="s">
        <v>457</v>
      </c>
      <c r="I1195" s="0" t="s">
        <v>457</v>
      </c>
      <c r="J1195" s="0" t="s">
        <v>457</v>
      </c>
      <c r="K1195" s="0" t="s">
        <v>457</v>
      </c>
      <c r="L1195" s="0" t="s">
        <v>457</v>
      </c>
      <c r="M1195" s="0" t="s">
        <v>457</v>
      </c>
      <c r="R1195" s="0" t="s">
        <v>87</v>
      </c>
    </row>
    <row r="1196" customFormat="false" ht="15" hidden="false" customHeight="false" outlineLevel="0" collapsed="false">
      <c r="A1196" s="0" t="s">
        <v>201</v>
      </c>
      <c r="B1196" s="0" t="n">
        <v>2016</v>
      </c>
      <c r="C1196" s="0" t="s">
        <v>101</v>
      </c>
      <c r="D1196" s="0" t="s">
        <v>79</v>
      </c>
      <c r="E1196" s="0" t="n">
        <v>0</v>
      </c>
      <c r="F1196" s="0" t="s">
        <v>23</v>
      </c>
      <c r="H1196" s="0" t="s">
        <v>457</v>
      </c>
      <c r="I1196" s="0" t="s">
        <v>457</v>
      </c>
      <c r="J1196" s="0" t="s">
        <v>457</v>
      </c>
      <c r="K1196" s="0" t="s">
        <v>457</v>
      </c>
      <c r="L1196" s="0" t="s">
        <v>457</v>
      </c>
      <c r="M1196" s="0" t="s">
        <v>457</v>
      </c>
      <c r="R1196" s="0" t="s">
        <v>87</v>
      </c>
    </row>
    <row r="1197" customFormat="false" ht="15" hidden="false" customHeight="false" outlineLevel="0" collapsed="false">
      <c r="A1197" s="0" t="s">
        <v>201</v>
      </c>
      <c r="B1197" s="0" t="n">
        <v>2016</v>
      </c>
      <c r="C1197" s="0" t="s">
        <v>101</v>
      </c>
      <c r="D1197" s="0" t="s">
        <v>79</v>
      </c>
      <c r="E1197" s="0" t="n">
        <v>0</v>
      </c>
      <c r="F1197" s="0" t="s">
        <v>45</v>
      </c>
      <c r="H1197" s="0" t="s">
        <v>457</v>
      </c>
      <c r="I1197" s="0" t="s">
        <v>457</v>
      </c>
      <c r="J1197" s="0" t="s">
        <v>457</v>
      </c>
      <c r="K1197" s="0" t="s">
        <v>457</v>
      </c>
      <c r="L1197" s="0" t="s">
        <v>457</v>
      </c>
      <c r="M1197" s="0" t="s">
        <v>457</v>
      </c>
      <c r="R1197" s="0" t="s">
        <v>87</v>
      </c>
    </row>
    <row r="1198" customFormat="false" ht="15" hidden="false" customHeight="false" outlineLevel="0" collapsed="false">
      <c r="A1198" s="0" t="s">
        <v>201</v>
      </c>
      <c r="B1198" s="0" t="n">
        <v>2016</v>
      </c>
      <c r="C1198" s="0" t="s">
        <v>101</v>
      </c>
      <c r="D1198" s="0" t="s">
        <v>79</v>
      </c>
      <c r="E1198" s="0" t="n">
        <v>0</v>
      </c>
      <c r="F1198" s="0" t="s">
        <v>71</v>
      </c>
      <c r="H1198" s="0" t="s">
        <v>457</v>
      </c>
      <c r="I1198" s="0" t="s">
        <v>457</v>
      </c>
      <c r="J1198" s="0" t="s">
        <v>457</v>
      </c>
      <c r="K1198" s="0" t="s">
        <v>457</v>
      </c>
      <c r="L1198" s="0" t="s">
        <v>457</v>
      </c>
      <c r="M1198" s="0" t="s">
        <v>457</v>
      </c>
      <c r="R1198" s="0" t="s">
        <v>87</v>
      </c>
    </row>
    <row r="1199" customFormat="false" ht="15" hidden="false" customHeight="false" outlineLevel="0" collapsed="false">
      <c r="A1199" s="0" t="s">
        <v>201</v>
      </c>
      <c r="B1199" s="0" t="n">
        <v>2016</v>
      </c>
      <c r="C1199" s="0" t="s">
        <v>101</v>
      </c>
      <c r="D1199" s="0" t="s">
        <v>79</v>
      </c>
      <c r="E1199" s="0" t="n">
        <v>0</v>
      </c>
      <c r="F1199" s="0" t="s">
        <v>31</v>
      </c>
      <c r="G1199" s="0" t="n">
        <v>83.1317077658466</v>
      </c>
      <c r="H1199" s="0" t="s">
        <v>437</v>
      </c>
      <c r="I1199" s="0" t="s">
        <v>437</v>
      </c>
      <c r="J1199" s="0" t="s">
        <v>437</v>
      </c>
      <c r="K1199" s="0" t="s">
        <v>437</v>
      </c>
      <c r="L1199" s="0" t="s">
        <v>437</v>
      </c>
      <c r="M1199" s="0" t="s">
        <v>457</v>
      </c>
      <c r="R1199" s="0" t="s">
        <v>87</v>
      </c>
    </row>
    <row r="1200" customFormat="false" ht="15" hidden="false" customHeight="false" outlineLevel="0" collapsed="false">
      <c r="A1200" s="0" t="s">
        <v>201</v>
      </c>
      <c r="B1200" s="0" t="n">
        <v>2017</v>
      </c>
      <c r="C1200" s="0" t="s">
        <v>101</v>
      </c>
      <c r="D1200" s="0" t="s">
        <v>79</v>
      </c>
      <c r="E1200" s="0" t="n">
        <v>0</v>
      </c>
      <c r="F1200" s="0" t="s">
        <v>73</v>
      </c>
      <c r="G1200" s="0" t="n">
        <v>0</v>
      </c>
      <c r="H1200" s="0" t="s">
        <v>437</v>
      </c>
      <c r="I1200" s="0" t="s">
        <v>437</v>
      </c>
      <c r="J1200" s="0" t="s">
        <v>437</v>
      </c>
      <c r="K1200" s="0" t="s">
        <v>437</v>
      </c>
      <c r="L1200" s="0" t="s">
        <v>437</v>
      </c>
      <c r="M1200" s="0" t="s">
        <v>457</v>
      </c>
      <c r="R1200" s="0" t="s">
        <v>89</v>
      </c>
    </row>
    <row r="1201" customFormat="false" ht="15" hidden="false" customHeight="false" outlineLevel="0" collapsed="false">
      <c r="A1201" s="0" t="s">
        <v>201</v>
      </c>
      <c r="B1201" s="0" t="n">
        <v>2017</v>
      </c>
      <c r="C1201" s="0" t="s">
        <v>101</v>
      </c>
      <c r="D1201" s="0" t="s">
        <v>79</v>
      </c>
      <c r="E1201" s="0" t="n">
        <v>0</v>
      </c>
      <c r="F1201" s="0" t="s">
        <v>69</v>
      </c>
      <c r="G1201" s="0" t="n">
        <v>-198.07</v>
      </c>
      <c r="H1201" s="0" t="s">
        <v>437</v>
      </c>
      <c r="I1201" s="0" t="s">
        <v>437</v>
      </c>
      <c r="J1201" s="0" t="s">
        <v>437</v>
      </c>
      <c r="K1201" s="0" t="s">
        <v>437</v>
      </c>
      <c r="L1201" s="0" t="s">
        <v>437</v>
      </c>
      <c r="M1201" s="0" t="s">
        <v>457</v>
      </c>
      <c r="R1201" s="0" t="s">
        <v>89</v>
      </c>
    </row>
    <row r="1202" customFormat="false" ht="15" hidden="false" customHeight="false" outlineLevel="0" collapsed="false">
      <c r="A1202" s="0" t="s">
        <v>201</v>
      </c>
      <c r="B1202" s="0" t="n">
        <v>2017</v>
      </c>
      <c r="C1202" s="0" t="s">
        <v>101</v>
      </c>
      <c r="D1202" s="0" t="s">
        <v>79</v>
      </c>
      <c r="E1202" s="0" t="n">
        <v>0</v>
      </c>
      <c r="F1202" s="0" t="s">
        <v>25</v>
      </c>
      <c r="G1202" s="0" t="n">
        <v>-198.073962444475</v>
      </c>
      <c r="H1202" s="0" t="s">
        <v>437</v>
      </c>
      <c r="I1202" s="0" t="s">
        <v>437</v>
      </c>
      <c r="J1202" s="0" t="s">
        <v>437</v>
      </c>
      <c r="K1202" s="0" t="s">
        <v>437</v>
      </c>
      <c r="L1202" s="0" t="s">
        <v>437</v>
      </c>
      <c r="M1202" s="0" t="s">
        <v>457</v>
      </c>
      <c r="R1202" s="0" t="s">
        <v>89</v>
      </c>
    </row>
    <row r="1203" customFormat="false" ht="15" hidden="false" customHeight="false" outlineLevel="0" collapsed="false">
      <c r="A1203" s="0" t="s">
        <v>201</v>
      </c>
      <c r="B1203" s="0" t="n">
        <v>2017</v>
      </c>
      <c r="C1203" s="0" t="s">
        <v>101</v>
      </c>
      <c r="D1203" s="0" t="s">
        <v>79</v>
      </c>
      <c r="E1203" s="0" t="n">
        <v>0</v>
      </c>
      <c r="F1203" s="0" t="s">
        <v>41</v>
      </c>
      <c r="G1203" s="0" t="n">
        <v>-4.59587501004774</v>
      </c>
      <c r="H1203" s="0" t="s">
        <v>437</v>
      </c>
      <c r="I1203" s="0" t="s">
        <v>437</v>
      </c>
      <c r="J1203" s="0" t="s">
        <v>437</v>
      </c>
      <c r="K1203" s="0" t="s">
        <v>437</v>
      </c>
      <c r="L1203" s="0" t="s">
        <v>437</v>
      </c>
      <c r="M1203" s="0" t="s">
        <v>457</v>
      </c>
      <c r="R1203" s="0" t="s">
        <v>89</v>
      </c>
    </row>
    <row r="1204" customFormat="false" ht="15" hidden="false" customHeight="false" outlineLevel="0" collapsed="false">
      <c r="A1204" s="0" t="s">
        <v>201</v>
      </c>
      <c r="B1204" s="0" t="n">
        <v>2017</v>
      </c>
      <c r="C1204" s="0" t="s">
        <v>101</v>
      </c>
      <c r="D1204" s="0" t="s">
        <v>79</v>
      </c>
      <c r="E1204" s="0" t="n">
        <v>0</v>
      </c>
      <c r="F1204" s="0" t="s">
        <v>27</v>
      </c>
      <c r="G1204" s="0" t="n">
        <v>-154.749578330623</v>
      </c>
      <c r="H1204" s="0" t="s">
        <v>437</v>
      </c>
      <c r="I1204" s="0" t="s">
        <v>437</v>
      </c>
      <c r="J1204" s="0" t="s">
        <v>437</v>
      </c>
      <c r="K1204" s="0" t="s">
        <v>437</v>
      </c>
      <c r="L1204" s="0" t="s">
        <v>437</v>
      </c>
      <c r="M1204" s="0" t="s">
        <v>457</v>
      </c>
      <c r="R1204" s="0" t="s">
        <v>89</v>
      </c>
    </row>
    <row r="1205" customFormat="false" ht="15" hidden="false" customHeight="false" outlineLevel="0" collapsed="false">
      <c r="A1205" s="0" t="s">
        <v>201</v>
      </c>
      <c r="B1205" s="0" t="n">
        <v>2017</v>
      </c>
      <c r="C1205" s="0" t="s">
        <v>101</v>
      </c>
      <c r="D1205" s="0" t="s">
        <v>79</v>
      </c>
      <c r="E1205" s="0" t="n">
        <v>0</v>
      </c>
      <c r="F1205" s="0" t="s">
        <v>39</v>
      </c>
      <c r="G1205" s="0" t="n">
        <v>-2.07792979265267</v>
      </c>
      <c r="H1205" s="0" t="s">
        <v>437</v>
      </c>
      <c r="I1205" s="0" t="s">
        <v>437</v>
      </c>
      <c r="J1205" s="0" t="s">
        <v>437</v>
      </c>
      <c r="K1205" s="0" t="s">
        <v>437</v>
      </c>
      <c r="L1205" s="0" t="s">
        <v>437</v>
      </c>
      <c r="M1205" s="0" t="s">
        <v>457</v>
      </c>
      <c r="R1205" s="0" t="s">
        <v>89</v>
      </c>
    </row>
    <row r="1206" customFormat="false" ht="15" hidden="false" customHeight="false" outlineLevel="0" collapsed="false">
      <c r="A1206" s="0" t="s">
        <v>201</v>
      </c>
      <c r="B1206" s="0" t="n">
        <v>2017</v>
      </c>
      <c r="C1206" s="0" t="s">
        <v>101</v>
      </c>
      <c r="D1206" s="0" t="s">
        <v>79</v>
      </c>
      <c r="E1206" s="0" t="n">
        <v>0</v>
      </c>
      <c r="F1206" s="0" t="s">
        <v>17</v>
      </c>
      <c r="G1206" s="0" t="n">
        <v>5.37685893862818</v>
      </c>
      <c r="H1206" s="0" t="s">
        <v>437</v>
      </c>
      <c r="I1206" s="0" t="s">
        <v>437</v>
      </c>
      <c r="J1206" s="0" t="s">
        <v>437</v>
      </c>
      <c r="K1206" s="0" t="s">
        <v>457</v>
      </c>
      <c r="L1206" s="0" t="s">
        <v>437</v>
      </c>
      <c r="M1206" s="0" t="s">
        <v>457</v>
      </c>
      <c r="O1206" s="0" t="s">
        <v>2598</v>
      </c>
      <c r="P1206" s="0" t="s">
        <v>2599</v>
      </c>
      <c r="R1206" s="0" t="s">
        <v>89</v>
      </c>
    </row>
    <row r="1207" customFormat="false" ht="15" hidden="false" customHeight="false" outlineLevel="0" collapsed="false">
      <c r="A1207" s="0" t="s">
        <v>201</v>
      </c>
      <c r="B1207" s="0" t="n">
        <v>2017</v>
      </c>
      <c r="C1207" s="0" t="s">
        <v>101</v>
      </c>
      <c r="D1207" s="0" t="s">
        <v>79</v>
      </c>
      <c r="E1207" s="0" t="n">
        <v>0</v>
      </c>
      <c r="F1207" s="0" t="s">
        <v>29</v>
      </c>
      <c r="G1207" s="0" t="n">
        <v>13.6339096552611</v>
      </c>
      <c r="H1207" s="0" t="s">
        <v>437</v>
      </c>
      <c r="I1207" s="0" t="s">
        <v>437</v>
      </c>
      <c r="J1207" s="0" t="s">
        <v>457</v>
      </c>
      <c r="K1207" s="0" t="s">
        <v>457</v>
      </c>
      <c r="L1207" s="0" t="s">
        <v>457</v>
      </c>
      <c r="M1207" s="0" t="s">
        <v>457</v>
      </c>
      <c r="N1207" s="0" t="s">
        <v>2592</v>
      </c>
      <c r="O1207" s="0" t="s">
        <v>2600</v>
      </c>
      <c r="P1207" s="0" t="s">
        <v>2601</v>
      </c>
      <c r="R1207" s="0" t="s">
        <v>89</v>
      </c>
    </row>
    <row r="1208" customFormat="false" ht="15" hidden="false" customHeight="false" outlineLevel="0" collapsed="false">
      <c r="A1208" s="0" t="s">
        <v>201</v>
      </c>
      <c r="B1208" s="0" t="n">
        <v>2017</v>
      </c>
      <c r="C1208" s="0" t="s">
        <v>101</v>
      </c>
      <c r="D1208" s="0" t="s">
        <v>79</v>
      </c>
      <c r="E1208" s="0" t="n">
        <v>0</v>
      </c>
      <c r="F1208" s="0" t="s">
        <v>37</v>
      </c>
      <c r="H1208" s="0" t="s">
        <v>457</v>
      </c>
      <c r="I1208" s="0" t="s">
        <v>457</v>
      </c>
      <c r="J1208" s="0" t="s">
        <v>457</v>
      </c>
      <c r="K1208" s="0" t="s">
        <v>457</v>
      </c>
      <c r="L1208" s="0" t="s">
        <v>457</v>
      </c>
      <c r="M1208" s="0" t="s">
        <v>457</v>
      </c>
      <c r="O1208" s="0" t="s">
        <v>2598</v>
      </c>
      <c r="P1208" s="0" t="s">
        <v>2599</v>
      </c>
      <c r="R1208" s="0" t="s">
        <v>89</v>
      </c>
    </row>
    <row r="1209" customFormat="false" ht="15" hidden="false" customHeight="false" outlineLevel="0" collapsed="false">
      <c r="A1209" s="0" t="s">
        <v>201</v>
      </c>
      <c r="B1209" s="0" t="n">
        <v>2017</v>
      </c>
      <c r="C1209" s="0" t="s">
        <v>101</v>
      </c>
      <c r="D1209" s="0" t="s">
        <v>79</v>
      </c>
      <c r="E1209" s="0" t="n">
        <v>0</v>
      </c>
      <c r="F1209" s="0" t="s">
        <v>23</v>
      </c>
      <c r="H1209" s="0" t="s">
        <v>457</v>
      </c>
      <c r="I1209" s="0" t="s">
        <v>457</v>
      </c>
      <c r="J1209" s="0" t="s">
        <v>457</v>
      </c>
      <c r="K1209" s="0" t="s">
        <v>457</v>
      </c>
      <c r="L1209" s="0" t="s">
        <v>457</v>
      </c>
      <c r="M1209" s="0" t="s">
        <v>457</v>
      </c>
      <c r="O1209" s="0" t="s">
        <v>2598</v>
      </c>
      <c r="P1209" s="0" t="s">
        <v>2599</v>
      </c>
      <c r="R1209" s="0" t="s">
        <v>89</v>
      </c>
    </row>
    <row r="1210" customFormat="false" ht="15" hidden="false" customHeight="false" outlineLevel="0" collapsed="false">
      <c r="A1210" s="0" t="s">
        <v>201</v>
      </c>
      <c r="B1210" s="0" t="n">
        <v>2017</v>
      </c>
      <c r="C1210" s="0" t="s">
        <v>101</v>
      </c>
      <c r="D1210" s="0" t="s">
        <v>79</v>
      </c>
      <c r="E1210" s="0" t="n">
        <v>0</v>
      </c>
      <c r="F1210" s="0" t="s">
        <v>45</v>
      </c>
      <c r="H1210" s="0" t="s">
        <v>457</v>
      </c>
      <c r="I1210" s="0" t="s">
        <v>457</v>
      </c>
      <c r="J1210" s="0" t="s">
        <v>457</v>
      </c>
      <c r="K1210" s="0" t="s">
        <v>457</v>
      </c>
      <c r="L1210" s="0" t="s">
        <v>457</v>
      </c>
      <c r="M1210" s="0" t="s">
        <v>457</v>
      </c>
      <c r="R1210" s="0" t="s">
        <v>89</v>
      </c>
    </row>
    <row r="1211" customFormat="false" ht="15" hidden="false" customHeight="false" outlineLevel="0" collapsed="false">
      <c r="A1211" s="0" t="s">
        <v>201</v>
      </c>
      <c r="B1211" s="0" t="n">
        <v>2017</v>
      </c>
      <c r="C1211" s="0" t="s">
        <v>101</v>
      </c>
      <c r="D1211" s="0" t="s">
        <v>79</v>
      </c>
      <c r="E1211" s="0" t="n">
        <v>0</v>
      </c>
      <c r="F1211" s="0" t="s">
        <v>71</v>
      </c>
      <c r="H1211" s="0" t="s">
        <v>457</v>
      </c>
      <c r="I1211" s="0" t="s">
        <v>457</v>
      </c>
      <c r="J1211" s="0" t="s">
        <v>457</v>
      </c>
      <c r="K1211" s="0" t="s">
        <v>457</v>
      </c>
      <c r="L1211" s="0" t="s">
        <v>457</v>
      </c>
      <c r="M1211" s="0" t="s">
        <v>457</v>
      </c>
      <c r="R1211" s="0" t="s">
        <v>89</v>
      </c>
    </row>
    <row r="1212" customFormat="false" ht="15" hidden="false" customHeight="false" outlineLevel="0" collapsed="false">
      <c r="A1212" s="0" t="s">
        <v>201</v>
      </c>
      <c r="B1212" s="0" t="n">
        <v>2017</v>
      </c>
      <c r="C1212" s="0" t="s">
        <v>101</v>
      </c>
      <c r="D1212" s="0" t="s">
        <v>79</v>
      </c>
      <c r="E1212" s="0" t="n">
        <v>0</v>
      </c>
      <c r="F1212" s="0" t="s">
        <v>31</v>
      </c>
      <c r="G1212" s="0" t="n">
        <v>254.749578330623</v>
      </c>
      <c r="H1212" s="0" t="s">
        <v>437</v>
      </c>
      <c r="I1212" s="0" t="s">
        <v>437</v>
      </c>
      <c r="J1212" s="0" t="s">
        <v>437</v>
      </c>
      <c r="K1212" s="0" t="s">
        <v>437</v>
      </c>
      <c r="L1212" s="0" t="s">
        <v>437</v>
      </c>
      <c r="M1212" s="0" t="s">
        <v>457</v>
      </c>
      <c r="R1212" s="0" t="s">
        <v>89</v>
      </c>
    </row>
    <row r="1213" customFormat="false" ht="15" hidden="false" customHeight="false" outlineLevel="0" collapsed="false">
      <c r="A1213" s="0" t="s">
        <v>201</v>
      </c>
      <c r="B1213" s="0" t="n">
        <v>2018</v>
      </c>
      <c r="C1213" s="0" t="s">
        <v>101</v>
      </c>
      <c r="D1213" s="0" t="s">
        <v>90</v>
      </c>
      <c r="E1213" s="0" t="n">
        <v>1</v>
      </c>
      <c r="F1213" s="0" t="s">
        <v>73</v>
      </c>
      <c r="H1213" s="0" t="s">
        <v>457</v>
      </c>
      <c r="I1213" s="0" t="s">
        <v>457</v>
      </c>
      <c r="J1213" s="0" t="s">
        <v>457</v>
      </c>
      <c r="K1213" s="0" t="s">
        <v>457</v>
      </c>
      <c r="L1213" s="0" t="s">
        <v>457</v>
      </c>
      <c r="M1213" s="0" t="s">
        <v>457</v>
      </c>
      <c r="R1213" s="0" t="s">
        <v>81</v>
      </c>
    </row>
    <row r="1214" customFormat="false" ht="15" hidden="false" customHeight="false" outlineLevel="0" collapsed="false">
      <c r="A1214" s="0" t="s">
        <v>201</v>
      </c>
      <c r="B1214" s="0" t="n">
        <v>2018</v>
      </c>
      <c r="C1214" s="0" t="s">
        <v>101</v>
      </c>
      <c r="D1214" s="0" t="s">
        <v>90</v>
      </c>
      <c r="E1214" s="0" t="n">
        <v>1</v>
      </c>
      <c r="F1214" s="0" t="s">
        <v>69</v>
      </c>
      <c r="G1214" s="0" t="n">
        <v>-214.8</v>
      </c>
      <c r="H1214" s="0" t="s">
        <v>437</v>
      </c>
      <c r="I1214" s="0" t="s">
        <v>437</v>
      </c>
      <c r="J1214" s="0" t="s">
        <v>437</v>
      </c>
      <c r="K1214" s="0" t="s">
        <v>437</v>
      </c>
      <c r="L1214" s="0" t="s">
        <v>437</v>
      </c>
      <c r="M1214" s="0" t="s">
        <v>457</v>
      </c>
      <c r="R1214" s="0" t="s">
        <v>81</v>
      </c>
    </row>
    <row r="1215" customFormat="false" ht="15" hidden="false" customHeight="false" outlineLevel="0" collapsed="false">
      <c r="A1215" s="0" t="s">
        <v>201</v>
      </c>
      <c r="B1215" s="0" t="n">
        <v>2018</v>
      </c>
      <c r="C1215" s="0" t="s">
        <v>101</v>
      </c>
      <c r="D1215" s="0" t="s">
        <v>90</v>
      </c>
      <c r="E1215" s="0" t="n">
        <v>1</v>
      </c>
      <c r="F1215" s="0" t="s">
        <v>25</v>
      </c>
      <c r="H1215" s="0" t="s">
        <v>457</v>
      </c>
      <c r="I1215" s="0" t="s">
        <v>457</v>
      </c>
      <c r="J1215" s="0" t="s">
        <v>457</v>
      </c>
      <c r="K1215" s="0" t="s">
        <v>457</v>
      </c>
      <c r="L1215" s="0" t="s">
        <v>457</v>
      </c>
      <c r="M1215" s="0" t="s">
        <v>457</v>
      </c>
      <c r="R1215" s="0" t="s">
        <v>81</v>
      </c>
    </row>
    <row r="1216" customFormat="false" ht="15" hidden="false" customHeight="false" outlineLevel="0" collapsed="false">
      <c r="A1216" s="0" t="s">
        <v>201</v>
      </c>
      <c r="B1216" s="0" t="n">
        <v>2018</v>
      </c>
      <c r="C1216" s="0" t="s">
        <v>101</v>
      </c>
      <c r="D1216" s="0" t="s">
        <v>90</v>
      </c>
      <c r="E1216" s="0" t="n">
        <v>1</v>
      </c>
      <c r="F1216" s="0" t="s">
        <v>41</v>
      </c>
      <c r="H1216" s="0" t="s">
        <v>457</v>
      </c>
      <c r="I1216" s="0" t="s">
        <v>457</v>
      </c>
      <c r="J1216" s="0" t="s">
        <v>457</v>
      </c>
      <c r="K1216" s="0" t="s">
        <v>457</v>
      </c>
      <c r="L1216" s="0" t="s">
        <v>457</v>
      </c>
      <c r="M1216" s="0" t="s">
        <v>457</v>
      </c>
      <c r="R1216" s="0" t="s">
        <v>81</v>
      </c>
    </row>
    <row r="1217" customFormat="false" ht="15" hidden="false" customHeight="false" outlineLevel="0" collapsed="false">
      <c r="A1217" s="0" t="s">
        <v>201</v>
      </c>
      <c r="B1217" s="0" t="n">
        <v>2018</v>
      </c>
      <c r="C1217" s="0" t="s">
        <v>101</v>
      </c>
      <c r="D1217" s="0" t="s">
        <v>90</v>
      </c>
      <c r="E1217" s="0" t="n">
        <v>1</v>
      </c>
      <c r="F1217" s="0" t="s">
        <v>27</v>
      </c>
      <c r="G1217" s="0" t="n">
        <v>-134.902049086227</v>
      </c>
      <c r="H1217" s="0" t="s">
        <v>437</v>
      </c>
      <c r="I1217" s="0" t="s">
        <v>437</v>
      </c>
      <c r="J1217" s="0" t="s">
        <v>437</v>
      </c>
      <c r="K1217" s="0" t="s">
        <v>437</v>
      </c>
      <c r="L1217" s="0" t="s">
        <v>437</v>
      </c>
      <c r="M1217" s="0" t="s">
        <v>457</v>
      </c>
      <c r="R1217" s="0" t="s">
        <v>81</v>
      </c>
    </row>
    <row r="1218" customFormat="false" ht="15" hidden="false" customHeight="false" outlineLevel="0" collapsed="false">
      <c r="A1218" s="0" t="s">
        <v>201</v>
      </c>
      <c r="B1218" s="0" t="n">
        <v>2018</v>
      </c>
      <c r="C1218" s="0" t="s">
        <v>101</v>
      </c>
      <c r="D1218" s="0" t="s">
        <v>90</v>
      </c>
      <c r="E1218" s="0" t="n">
        <v>1</v>
      </c>
      <c r="F1218" s="0" t="s">
        <v>39</v>
      </c>
      <c r="H1218" s="0" t="s">
        <v>457</v>
      </c>
      <c r="I1218" s="0" t="s">
        <v>457</v>
      </c>
      <c r="J1218" s="0" t="s">
        <v>457</v>
      </c>
      <c r="K1218" s="0" t="s">
        <v>457</v>
      </c>
      <c r="L1218" s="0" t="s">
        <v>457</v>
      </c>
      <c r="M1218" s="0" t="s">
        <v>457</v>
      </c>
      <c r="R1218" s="0" t="s">
        <v>81</v>
      </c>
    </row>
    <row r="1219" customFormat="false" ht="15" hidden="false" customHeight="false" outlineLevel="0" collapsed="false">
      <c r="A1219" s="0" t="s">
        <v>201</v>
      </c>
      <c r="B1219" s="0" t="n">
        <v>2018</v>
      </c>
      <c r="C1219" s="0" t="s">
        <v>101</v>
      </c>
      <c r="D1219" s="0" t="s">
        <v>90</v>
      </c>
      <c r="E1219" s="0" t="n">
        <v>1</v>
      </c>
      <c r="F1219" s="0" t="s">
        <v>17</v>
      </c>
      <c r="G1219" s="0" t="n">
        <v>1.65962938154404</v>
      </c>
      <c r="H1219" s="0" t="s">
        <v>437</v>
      </c>
      <c r="I1219" s="0" t="s">
        <v>437</v>
      </c>
      <c r="J1219" s="0" t="s">
        <v>437</v>
      </c>
      <c r="K1219" s="0" t="s">
        <v>437</v>
      </c>
      <c r="L1219" s="0" t="s">
        <v>437</v>
      </c>
      <c r="M1219" s="0" t="s">
        <v>457</v>
      </c>
      <c r="R1219" s="0" t="s">
        <v>81</v>
      </c>
    </row>
    <row r="1220" customFormat="false" ht="15" hidden="false" customHeight="false" outlineLevel="0" collapsed="false">
      <c r="A1220" s="0" t="s">
        <v>201</v>
      </c>
      <c r="B1220" s="0" t="n">
        <v>2018</v>
      </c>
      <c r="C1220" s="0" t="s">
        <v>101</v>
      </c>
      <c r="D1220" s="0" t="s">
        <v>90</v>
      </c>
      <c r="E1220" s="0" t="n">
        <v>1</v>
      </c>
      <c r="F1220" s="0" t="s">
        <v>29</v>
      </c>
      <c r="H1220" s="0" t="s">
        <v>457</v>
      </c>
      <c r="I1220" s="0" t="s">
        <v>457</v>
      </c>
      <c r="J1220" s="0" t="s">
        <v>457</v>
      </c>
      <c r="K1220" s="0" t="s">
        <v>457</v>
      </c>
      <c r="L1220" s="0" t="s">
        <v>457</v>
      </c>
      <c r="M1220" s="0" t="s">
        <v>457</v>
      </c>
      <c r="R1220" s="0" t="s">
        <v>81</v>
      </c>
    </row>
    <row r="1221" customFormat="false" ht="15" hidden="false" customHeight="false" outlineLevel="0" collapsed="false">
      <c r="A1221" s="0" t="s">
        <v>201</v>
      </c>
      <c r="B1221" s="0" t="n">
        <v>2018</v>
      </c>
      <c r="C1221" s="0" t="s">
        <v>101</v>
      </c>
      <c r="D1221" s="0" t="s">
        <v>90</v>
      </c>
      <c r="E1221" s="0" t="n">
        <v>1</v>
      </c>
      <c r="F1221" s="0" t="s">
        <v>37</v>
      </c>
      <c r="H1221" s="0" t="s">
        <v>457</v>
      </c>
      <c r="I1221" s="0" t="s">
        <v>457</v>
      </c>
      <c r="J1221" s="0" t="s">
        <v>457</v>
      </c>
      <c r="K1221" s="0" t="s">
        <v>457</v>
      </c>
      <c r="L1221" s="0" t="s">
        <v>457</v>
      </c>
      <c r="M1221" s="0" t="s">
        <v>457</v>
      </c>
      <c r="R1221" s="0" t="s">
        <v>81</v>
      </c>
    </row>
    <row r="1222" customFormat="false" ht="15" hidden="false" customHeight="false" outlineLevel="0" collapsed="false">
      <c r="A1222" s="0" t="s">
        <v>201</v>
      </c>
      <c r="B1222" s="0" t="n">
        <v>2018</v>
      </c>
      <c r="C1222" s="0" t="s">
        <v>101</v>
      </c>
      <c r="D1222" s="0" t="s">
        <v>90</v>
      </c>
      <c r="E1222" s="0" t="n">
        <v>1</v>
      </c>
      <c r="F1222" s="0" t="s">
        <v>23</v>
      </c>
      <c r="H1222" s="0" t="s">
        <v>457</v>
      </c>
      <c r="I1222" s="0" t="s">
        <v>457</v>
      </c>
      <c r="J1222" s="0" t="s">
        <v>457</v>
      </c>
      <c r="K1222" s="0" t="s">
        <v>457</v>
      </c>
      <c r="L1222" s="0" t="s">
        <v>457</v>
      </c>
      <c r="M1222" s="0" t="s">
        <v>457</v>
      </c>
      <c r="R1222" s="0" t="s">
        <v>81</v>
      </c>
    </row>
    <row r="1223" customFormat="false" ht="15" hidden="false" customHeight="false" outlineLevel="0" collapsed="false">
      <c r="A1223" s="0" t="s">
        <v>201</v>
      </c>
      <c r="B1223" s="0" t="n">
        <v>2018</v>
      </c>
      <c r="C1223" s="0" t="s">
        <v>101</v>
      </c>
      <c r="D1223" s="0" t="s">
        <v>90</v>
      </c>
      <c r="E1223" s="0" t="n">
        <v>1</v>
      </c>
      <c r="F1223" s="0" t="s">
        <v>45</v>
      </c>
      <c r="H1223" s="0" t="s">
        <v>457</v>
      </c>
      <c r="I1223" s="0" t="s">
        <v>457</v>
      </c>
      <c r="J1223" s="0" t="s">
        <v>457</v>
      </c>
      <c r="K1223" s="0" t="s">
        <v>457</v>
      </c>
      <c r="L1223" s="0" t="s">
        <v>457</v>
      </c>
      <c r="M1223" s="0" t="s">
        <v>457</v>
      </c>
      <c r="R1223" s="0" t="s">
        <v>81</v>
      </c>
    </row>
    <row r="1224" customFormat="false" ht="15" hidden="false" customHeight="false" outlineLevel="0" collapsed="false">
      <c r="A1224" s="0" t="s">
        <v>201</v>
      </c>
      <c r="B1224" s="0" t="n">
        <v>2018</v>
      </c>
      <c r="C1224" s="0" t="s">
        <v>101</v>
      </c>
      <c r="D1224" s="0" t="s">
        <v>90</v>
      </c>
      <c r="E1224" s="0" t="n">
        <v>1</v>
      </c>
      <c r="F1224" s="0" t="s">
        <v>71</v>
      </c>
      <c r="H1224" s="0" t="s">
        <v>457</v>
      </c>
      <c r="I1224" s="0" t="s">
        <v>457</v>
      </c>
      <c r="J1224" s="0" t="s">
        <v>457</v>
      </c>
      <c r="K1224" s="0" t="s">
        <v>457</v>
      </c>
      <c r="L1224" s="0" t="s">
        <v>457</v>
      </c>
      <c r="M1224" s="0" t="s">
        <v>457</v>
      </c>
      <c r="R1224" s="0" t="s">
        <v>81</v>
      </c>
    </row>
    <row r="1225" customFormat="false" ht="15" hidden="false" customHeight="false" outlineLevel="0" collapsed="false">
      <c r="A1225" s="0" t="s">
        <v>201</v>
      </c>
      <c r="B1225" s="0" t="n">
        <v>2018</v>
      </c>
      <c r="C1225" s="0" t="s">
        <v>101</v>
      </c>
      <c r="D1225" s="0" t="s">
        <v>90</v>
      </c>
      <c r="E1225" s="0" t="n">
        <v>1</v>
      </c>
      <c r="F1225" s="0" t="s">
        <v>31</v>
      </c>
      <c r="G1225" s="0" t="n">
        <v>234.902049086227</v>
      </c>
      <c r="H1225" s="0" t="s">
        <v>437</v>
      </c>
      <c r="I1225" s="0" t="s">
        <v>437</v>
      </c>
      <c r="J1225" s="0" t="s">
        <v>437</v>
      </c>
      <c r="K1225" s="0" t="s">
        <v>437</v>
      </c>
      <c r="L1225" s="0" t="s">
        <v>437</v>
      </c>
      <c r="M1225" s="0" t="s">
        <v>457</v>
      </c>
      <c r="R1225" s="0" t="s">
        <v>81</v>
      </c>
    </row>
    <row r="1226" customFormat="false" ht="15" hidden="false" customHeight="false" outlineLevel="0" collapsed="false">
      <c r="A1226" s="0" t="s">
        <v>201</v>
      </c>
      <c r="B1226" s="0" t="n">
        <v>2019</v>
      </c>
      <c r="C1226" s="0" t="s">
        <v>101</v>
      </c>
      <c r="D1226" s="0" t="s">
        <v>90</v>
      </c>
      <c r="E1226" s="0" t="n">
        <v>1</v>
      </c>
      <c r="F1226" s="0" t="s">
        <v>73</v>
      </c>
      <c r="G1226" s="0" t="n">
        <v>1</v>
      </c>
      <c r="H1226" s="0" t="s">
        <v>437</v>
      </c>
      <c r="I1226" s="0" t="s">
        <v>437</v>
      </c>
      <c r="J1226" s="0" t="s">
        <v>437</v>
      </c>
      <c r="K1226" s="0" t="s">
        <v>457</v>
      </c>
      <c r="L1226" s="0" t="s">
        <v>437</v>
      </c>
      <c r="M1226" s="0" t="s">
        <v>457</v>
      </c>
      <c r="R1226" s="0" t="s">
        <v>81</v>
      </c>
    </row>
    <row r="1227" customFormat="false" ht="15" hidden="false" customHeight="false" outlineLevel="0" collapsed="false">
      <c r="A1227" s="0" t="s">
        <v>201</v>
      </c>
      <c r="B1227" s="0" t="n">
        <v>2019</v>
      </c>
      <c r="C1227" s="0" t="s">
        <v>101</v>
      </c>
      <c r="D1227" s="0" t="s">
        <v>90</v>
      </c>
      <c r="E1227" s="0" t="n">
        <v>1</v>
      </c>
      <c r="F1227" s="0" t="s">
        <v>69</v>
      </c>
      <c r="G1227" s="0" t="n">
        <v>-201.59</v>
      </c>
      <c r="H1227" s="0" t="s">
        <v>437</v>
      </c>
      <c r="I1227" s="0" t="s">
        <v>437</v>
      </c>
      <c r="J1227" s="0" t="s">
        <v>437</v>
      </c>
      <c r="K1227" s="0" t="s">
        <v>437</v>
      </c>
      <c r="L1227" s="0" t="s">
        <v>437</v>
      </c>
      <c r="M1227" s="0" t="s">
        <v>457</v>
      </c>
      <c r="R1227" s="0" t="s">
        <v>81</v>
      </c>
    </row>
    <row r="1228" customFormat="false" ht="15" hidden="false" customHeight="false" outlineLevel="0" collapsed="false">
      <c r="A1228" s="0" t="s">
        <v>201</v>
      </c>
      <c r="B1228" s="0" t="n">
        <v>2019</v>
      </c>
      <c r="C1228" s="0" t="s">
        <v>101</v>
      </c>
      <c r="D1228" s="0" t="s">
        <v>90</v>
      </c>
      <c r="E1228" s="0" t="n">
        <v>1</v>
      </c>
      <c r="F1228" s="0" t="s">
        <v>25</v>
      </c>
      <c r="H1228" s="0" t="s">
        <v>457</v>
      </c>
      <c r="I1228" s="0" t="s">
        <v>457</v>
      </c>
      <c r="J1228" s="0" t="s">
        <v>457</v>
      </c>
      <c r="K1228" s="0" t="s">
        <v>457</v>
      </c>
      <c r="L1228" s="0" t="s">
        <v>457</v>
      </c>
      <c r="M1228" s="0" t="s">
        <v>457</v>
      </c>
      <c r="R1228" s="0" t="s">
        <v>81</v>
      </c>
    </row>
    <row r="1229" customFormat="false" ht="15" hidden="false" customHeight="false" outlineLevel="0" collapsed="false">
      <c r="A1229" s="0" t="s">
        <v>201</v>
      </c>
      <c r="B1229" s="0" t="n">
        <v>2019</v>
      </c>
      <c r="C1229" s="0" t="s">
        <v>101</v>
      </c>
      <c r="D1229" s="0" t="s">
        <v>90</v>
      </c>
      <c r="E1229" s="0" t="n">
        <v>1</v>
      </c>
      <c r="F1229" s="0" t="s">
        <v>41</v>
      </c>
      <c r="G1229" s="0" t="n">
        <v>1.34292724171638</v>
      </c>
      <c r="H1229" s="0" t="s">
        <v>437</v>
      </c>
      <c r="I1229" s="0" t="s">
        <v>437</v>
      </c>
      <c r="J1229" s="0" t="s">
        <v>437</v>
      </c>
      <c r="K1229" s="0" t="s">
        <v>457</v>
      </c>
      <c r="L1229" s="0" t="s">
        <v>437</v>
      </c>
      <c r="M1229" s="0" t="s">
        <v>457</v>
      </c>
      <c r="R1229" s="0" t="s">
        <v>81</v>
      </c>
    </row>
    <row r="1230" customFormat="false" ht="15" hidden="false" customHeight="false" outlineLevel="0" collapsed="false">
      <c r="A1230" s="0" t="s">
        <v>201</v>
      </c>
      <c r="B1230" s="0" t="n">
        <v>2019</v>
      </c>
      <c r="C1230" s="0" t="s">
        <v>101</v>
      </c>
      <c r="D1230" s="0" t="s">
        <v>90</v>
      </c>
      <c r="E1230" s="0" t="n">
        <v>1</v>
      </c>
      <c r="F1230" s="0" t="s">
        <v>27</v>
      </c>
      <c r="G1230" s="0" t="n">
        <v>-95.1557475775551</v>
      </c>
      <c r="H1230" s="0" t="s">
        <v>437</v>
      </c>
      <c r="I1230" s="0" t="s">
        <v>437</v>
      </c>
      <c r="J1230" s="0" t="s">
        <v>437</v>
      </c>
      <c r="K1230" s="0" t="s">
        <v>437</v>
      </c>
      <c r="L1230" s="0" t="s">
        <v>437</v>
      </c>
      <c r="M1230" s="0" t="s">
        <v>457</v>
      </c>
      <c r="R1230" s="0" t="s">
        <v>81</v>
      </c>
    </row>
    <row r="1231" customFormat="false" ht="15" hidden="false" customHeight="false" outlineLevel="0" collapsed="false">
      <c r="A1231" s="0" t="s">
        <v>201</v>
      </c>
      <c r="B1231" s="0" t="n">
        <v>2019</v>
      </c>
      <c r="C1231" s="0" t="s">
        <v>101</v>
      </c>
      <c r="D1231" s="0" t="s">
        <v>90</v>
      </c>
      <c r="E1231" s="0" t="n">
        <v>1</v>
      </c>
      <c r="F1231" s="0" t="s">
        <v>39</v>
      </c>
      <c r="G1231" s="0" t="n">
        <v>-15.650465101709</v>
      </c>
      <c r="H1231" s="0" t="s">
        <v>437</v>
      </c>
      <c r="I1231" s="0" t="s">
        <v>437</v>
      </c>
      <c r="J1231" s="0" t="s">
        <v>437</v>
      </c>
      <c r="K1231" s="0" t="s">
        <v>457</v>
      </c>
      <c r="L1231" s="0" t="s">
        <v>437</v>
      </c>
      <c r="M1231" s="0" t="s">
        <v>457</v>
      </c>
      <c r="R1231" s="0" t="s">
        <v>81</v>
      </c>
    </row>
    <row r="1232" customFormat="false" ht="15" hidden="false" customHeight="false" outlineLevel="0" collapsed="false">
      <c r="A1232" s="0" t="s">
        <v>201</v>
      </c>
      <c r="B1232" s="0" t="n">
        <v>2019</v>
      </c>
      <c r="C1232" s="0" t="s">
        <v>101</v>
      </c>
      <c r="D1232" s="0" t="s">
        <v>90</v>
      </c>
      <c r="E1232" s="0" t="n">
        <v>1</v>
      </c>
      <c r="F1232" s="0" t="s">
        <v>17</v>
      </c>
      <c r="G1232" s="0" t="n">
        <v>2.70880620448922</v>
      </c>
      <c r="H1232" s="0" t="s">
        <v>437</v>
      </c>
      <c r="I1232" s="0" t="s">
        <v>437</v>
      </c>
      <c r="J1232" s="0" t="s">
        <v>437</v>
      </c>
      <c r="K1232" s="0" t="s">
        <v>437</v>
      </c>
      <c r="L1232" s="0" t="s">
        <v>437</v>
      </c>
      <c r="M1232" s="0" t="s">
        <v>457</v>
      </c>
      <c r="R1232" s="0" t="s">
        <v>81</v>
      </c>
    </row>
    <row r="1233" customFormat="false" ht="15" hidden="false" customHeight="false" outlineLevel="0" collapsed="false">
      <c r="A1233" s="0" t="s">
        <v>201</v>
      </c>
      <c r="B1233" s="0" t="n">
        <v>2019</v>
      </c>
      <c r="C1233" s="0" t="s">
        <v>101</v>
      </c>
      <c r="D1233" s="0" t="s">
        <v>90</v>
      </c>
      <c r="E1233" s="0" t="n">
        <v>1</v>
      </c>
      <c r="F1233" s="0" t="s">
        <v>29</v>
      </c>
      <c r="G1233" s="0" t="n">
        <v>0.762890501589262</v>
      </c>
      <c r="H1233" s="0" t="s">
        <v>437</v>
      </c>
      <c r="I1233" s="0" t="s">
        <v>437</v>
      </c>
      <c r="J1233" s="0" t="s">
        <v>437</v>
      </c>
      <c r="K1233" s="0" t="s">
        <v>457</v>
      </c>
      <c r="L1233" s="0" t="s">
        <v>437</v>
      </c>
      <c r="M1233" s="0" t="s">
        <v>457</v>
      </c>
      <c r="R1233" s="0" t="s">
        <v>81</v>
      </c>
    </row>
    <row r="1234" customFormat="false" ht="15" hidden="false" customHeight="false" outlineLevel="0" collapsed="false">
      <c r="A1234" s="0" t="s">
        <v>201</v>
      </c>
      <c r="B1234" s="0" t="n">
        <v>2019</v>
      </c>
      <c r="C1234" s="0" t="s">
        <v>101</v>
      </c>
      <c r="D1234" s="0" t="s">
        <v>90</v>
      </c>
      <c r="E1234" s="0" t="n">
        <v>1</v>
      </c>
      <c r="F1234" s="0" t="s">
        <v>37</v>
      </c>
      <c r="H1234" s="0" t="s">
        <v>457</v>
      </c>
      <c r="I1234" s="0" t="s">
        <v>457</v>
      </c>
      <c r="J1234" s="0" t="s">
        <v>457</v>
      </c>
      <c r="K1234" s="0" t="s">
        <v>457</v>
      </c>
      <c r="L1234" s="0" t="s">
        <v>457</v>
      </c>
      <c r="M1234" s="0" t="s">
        <v>457</v>
      </c>
      <c r="R1234" s="0" t="s">
        <v>81</v>
      </c>
    </row>
    <row r="1235" customFormat="false" ht="15" hidden="false" customHeight="false" outlineLevel="0" collapsed="false">
      <c r="A1235" s="0" t="s">
        <v>201</v>
      </c>
      <c r="B1235" s="0" t="n">
        <v>2019</v>
      </c>
      <c r="C1235" s="0" t="s">
        <v>101</v>
      </c>
      <c r="D1235" s="0" t="s">
        <v>90</v>
      </c>
      <c r="E1235" s="0" t="n">
        <v>1</v>
      </c>
      <c r="F1235" s="0" t="s">
        <v>23</v>
      </c>
      <c r="H1235" s="0" t="s">
        <v>457</v>
      </c>
      <c r="I1235" s="0" t="s">
        <v>457</v>
      </c>
      <c r="J1235" s="0" t="s">
        <v>457</v>
      </c>
      <c r="K1235" s="0" t="s">
        <v>457</v>
      </c>
      <c r="L1235" s="0" t="s">
        <v>457</v>
      </c>
      <c r="M1235" s="0" t="s">
        <v>457</v>
      </c>
      <c r="R1235" s="0" t="s">
        <v>81</v>
      </c>
    </row>
    <row r="1236" customFormat="false" ht="15" hidden="false" customHeight="false" outlineLevel="0" collapsed="false">
      <c r="A1236" s="0" t="s">
        <v>201</v>
      </c>
      <c r="B1236" s="0" t="n">
        <v>2019</v>
      </c>
      <c r="C1236" s="0" t="s">
        <v>101</v>
      </c>
      <c r="D1236" s="0" t="s">
        <v>90</v>
      </c>
      <c r="E1236" s="0" t="n">
        <v>1</v>
      </c>
      <c r="F1236" s="0" t="s">
        <v>45</v>
      </c>
      <c r="H1236" s="0" t="s">
        <v>457</v>
      </c>
      <c r="I1236" s="0" t="s">
        <v>457</v>
      </c>
      <c r="J1236" s="0" t="s">
        <v>457</v>
      </c>
      <c r="K1236" s="0" t="s">
        <v>457</v>
      </c>
      <c r="L1236" s="0" t="s">
        <v>457</v>
      </c>
      <c r="M1236" s="0" t="s">
        <v>457</v>
      </c>
      <c r="R1236" s="0" t="s">
        <v>81</v>
      </c>
    </row>
    <row r="1237" customFormat="false" ht="15" hidden="false" customHeight="false" outlineLevel="0" collapsed="false">
      <c r="A1237" s="0" t="s">
        <v>201</v>
      </c>
      <c r="B1237" s="0" t="n">
        <v>2019</v>
      </c>
      <c r="C1237" s="0" t="s">
        <v>101</v>
      </c>
      <c r="D1237" s="0" t="s">
        <v>90</v>
      </c>
      <c r="E1237" s="0" t="n">
        <v>1</v>
      </c>
      <c r="F1237" s="0" t="s">
        <v>71</v>
      </c>
      <c r="H1237" s="0" t="s">
        <v>457</v>
      </c>
      <c r="I1237" s="0" t="s">
        <v>457</v>
      </c>
      <c r="J1237" s="0" t="s">
        <v>457</v>
      </c>
      <c r="K1237" s="0" t="s">
        <v>457</v>
      </c>
      <c r="L1237" s="0" t="s">
        <v>457</v>
      </c>
      <c r="M1237" s="0" t="s">
        <v>457</v>
      </c>
      <c r="R1237" s="0" t="s">
        <v>81</v>
      </c>
    </row>
    <row r="1238" customFormat="false" ht="15" hidden="false" customHeight="false" outlineLevel="0" collapsed="false">
      <c r="A1238" s="0" t="s">
        <v>201</v>
      </c>
      <c r="B1238" s="0" t="n">
        <v>2019</v>
      </c>
      <c r="C1238" s="0" t="s">
        <v>101</v>
      </c>
      <c r="D1238" s="0" t="s">
        <v>90</v>
      </c>
      <c r="E1238" s="0" t="n">
        <v>1</v>
      </c>
      <c r="F1238" s="0" t="s">
        <v>31</v>
      </c>
      <c r="G1238" s="0" t="n">
        <v>195.155747577555</v>
      </c>
      <c r="H1238" s="0" t="s">
        <v>437</v>
      </c>
      <c r="I1238" s="0" t="s">
        <v>437</v>
      </c>
      <c r="J1238" s="0" t="s">
        <v>437</v>
      </c>
      <c r="K1238" s="0" t="s">
        <v>437</v>
      </c>
      <c r="L1238" s="0" t="s">
        <v>437</v>
      </c>
      <c r="M1238" s="0" t="s">
        <v>457</v>
      </c>
      <c r="R1238" s="0" t="s">
        <v>81</v>
      </c>
    </row>
    <row r="1239" customFormat="false" ht="15" hidden="false" customHeight="false" outlineLevel="0" collapsed="false">
      <c r="A1239" s="0" t="s">
        <v>201</v>
      </c>
      <c r="B1239" s="0" t="n">
        <v>2020</v>
      </c>
      <c r="C1239" s="0" t="s">
        <v>101</v>
      </c>
      <c r="D1239" s="0" t="s">
        <v>90</v>
      </c>
      <c r="E1239" s="0" t="n">
        <v>1</v>
      </c>
      <c r="F1239" s="0" t="s">
        <v>73</v>
      </c>
      <c r="H1239" s="0" t="s">
        <v>457</v>
      </c>
      <c r="I1239" s="0" t="s">
        <v>457</v>
      </c>
      <c r="J1239" s="0" t="s">
        <v>457</v>
      </c>
      <c r="K1239" s="0" t="s">
        <v>457</v>
      </c>
      <c r="L1239" s="0" t="s">
        <v>457</v>
      </c>
      <c r="M1239" s="0" t="s">
        <v>457</v>
      </c>
      <c r="O1239" s="0" t="s">
        <v>2570</v>
      </c>
      <c r="P1239" s="0" t="s">
        <v>2602</v>
      </c>
      <c r="Q1239" s="0" t="s">
        <v>1658</v>
      </c>
      <c r="R1239" s="0" t="s">
        <v>209</v>
      </c>
    </row>
    <row r="1240" customFormat="false" ht="15" hidden="false" customHeight="false" outlineLevel="0" collapsed="false">
      <c r="A1240" s="0" t="s">
        <v>201</v>
      </c>
      <c r="B1240" s="0" t="n">
        <v>2020</v>
      </c>
      <c r="C1240" s="0" t="s">
        <v>101</v>
      </c>
      <c r="D1240" s="0" t="s">
        <v>90</v>
      </c>
      <c r="E1240" s="0" t="n">
        <v>1</v>
      </c>
      <c r="F1240" s="0" t="s">
        <v>69</v>
      </c>
      <c r="H1240" s="0" t="s">
        <v>457</v>
      </c>
      <c r="I1240" s="0" t="s">
        <v>457</v>
      </c>
      <c r="J1240" s="0" t="s">
        <v>457</v>
      </c>
      <c r="K1240" s="0" t="s">
        <v>457</v>
      </c>
      <c r="L1240" s="0" t="s">
        <v>457</v>
      </c>
      <c r="M1240" s="0" t="s">
        <v>457</v>
      </c>
      <c r="O1240" s="0" t="s">
        <v>2570</v>
      </c>
      <c r="P1240" s="0" t="s">
        <v>2602</v>
      </c>
      <c r="Q1240" s="0" t="s">
        <v>1658</v>
      </c>
      <c r="R1240" s="0" t="s">
        <v>209</v>
      </c>
    </row>
    <row r="1241" customFormat="false" ht="15" hidden="false" customHeight="false" outlineLevel="0" collapsed="false">
      <c r="A1241" s="0" t="s">
        <v>201</v>
      </c>
      <c r="B1241" s="0" t="n">
        <v>2020</v>
      </c>
      <c r="C1241" s="0" t="s">
        <v>101</v>
      </c>
      <c r="D1241" s="0" t="s">
        <v>90</v>
      </c>
      <c r="E1241" s="0" t="n">
        <v>1</v>
      </c>
      <c r="F1241" s="0" t="s">
        <v>25</v>
      </c>
      <c r="H1241" s="0" t="s">
        <v>457</v>
      </c>
      <c r="I1241" s="0" t="s">
        <v>457</v>
      </c>
      <c r="J1241" s="0" t="s">
        <v>457</v>
      </c>
      <c r="K1241" s="0" t="s">
        <v>457</v>
      </c>
      <c r="L1241" s="0" t="s">
        <v>457</v>
      </c>
      <c r="M1241" s="0" t="s">
        <v>457</v>
      </c>
      <c r="O1241" s="0" t="s">
        <v>2570</v>
      </c>
      <c r="P1241" s="0" t="s">
        <v>2602</v>
      </c>
      <c r="Q1241" s="0" t="s">
        <v>1658</v>
      </c>
      <c r="R1241" s="0" t="s">
        <v>209</v>
      </c>
    </row>
    <row r="1242" customFormat="false" ht="15" hidden="false" customHeight="false" outlineLevel="0" collapsed="false">
      <c r="A1242" s="0" t="s">
        <v>201</v>
      </c>
      <c r="B1242" s="0" t="n">
        <v>2020</v>
      </c>
      <c r="C1242" s="0" t="s">
        <v>101</v>
      </c>
      <c r="D1242" s="0" t="s">
        <v>90</v>
      </c>
      <c r="E1242" s="0" t="n">
        <v>1</v>
      </c>
      <c r="F1242" s="0" t="s">
        <v>41</v>
      </c>
      <c r="H1242" s="0" t="s">
        <v>457</v>
      </c>
      <c r="I1242" s="0" t="s">
        <v>457</v>
      </c>
      <c r="J1242" s="0" t="s">
        <v>457</v>
      </c>
      <c r="K1242" s="0" t="s">
        <v>457</v>
      </c>
      <c r="L1242" s="0" t="s">
        <v>457</v>
      </c>
      <c r="M1242" s="0" t="s">
        <v>457</v>
      </c>
      <c r="O1242" s="0" t="s">
        <v>2570</v>
      </c>
      <c r="P1242" s="0" t="s">
        <v>2602</v>
      </c>
      <c r="Q1242" s="0" t="s">
        <v>1658</v>
      </c>
      <c r="R1242" s="0" t="s">
        <v>209</v>
      </c>
    </row>
    <row r="1243" customFormat="false" ht="15" hidden="false" customHeight="false" outlineLevel="0" collapsed="false">
      <c r="A1243" s="0" t="s">
        <v>201</v>
      </c>
      <c r="B1243" s="0" t="n">
        <v>2020</v>
      </c>
      <c r="C1243" s="0" t="s">
        <v>101</v>
      </c>
      <c r="D1243" s="0" t="s">
        <v>90</v>
      </c>
      <c r="E1243" s="0" t="n">
        <v>1</v>
      </c>
      <c r="F1243" s="0" t="s">
        <v>27</v>
      </c>
      <c r="G1243" s="0" t="n">
        <v>-55.9752879641686</v>
      </c>
      <c r="H1243" s="0" t="s">
        <v>437</v>
      </c>
      <c r="I1243" s="0" t="s">
        <v>437</v>
      </c>
      <c r="J1243" s="0" t="s">
        <v>437</v>
      </c>
      <c r="K1243" s="0" t="s">
        <v>437</v>
      </c>
      <c r="L1243" s="0" t="s">
        <v>437</v>
      </c>
      <c r="M1243" s="0" t="s">
        <v>437</v>
      </c>
      <c r="O1243" s="0" t="s">
        <v>2570</v>
      </c>
      <c r="P1243" s="0" t="s">
        <v>2602</v>
      </c>
      <c r="Q1243" s="0" t="s">
        <v>1658</v>
      </c>
      <c r="R1243" s="0" t="s">
        <v>209</v>
      </c>
    </row>
    <row r="1244" customFormat="false" ht="15" hidden="false" customHeight="false" outlineLevel="0" collapsed="false">
      <c r="A1244" s="0" t="s">
        <v>201</v>
      </c>
      <c r="B1244" s="0" t="n">
        <v>2020</v>
      </c>
      <c r="C1244" s="0" t="s">
        <v>101</v>
      </c>
      <c r="D1244" s="0" t="s">
        <v>90</v>
      </c>
      <c r="E1244" s="0" t="n">
        <v>1</v>
      </c>
      <c r="F1244" s="0" t="s">
        <v>39</v>
      </c>
      <c r="H1244" s="0" t="s">
        <v>457</v>
      </c>
      <c r="I1244" s="0" t="s">
        <v>457</v>
      </c>
      <c r="J1244" s="0" t="s">
        <v>457</v>
      </c>
      <c r="K1244" s="0" t="s">
        <v>457</v>
      </c>
      <c r="L1244" s="0" t="s">
        <v>457</v>
      </c>
      <c r="M1244" s="0" t="s">
        <v>457</v>
      </c>
      <c r="O1244" s="0" t="s">
        <v>2570</v>
      </c>
      <c r="P1244" s="0" t="s">
        <v>2602</v>
      </c>
      <c r="Q1244" s="0" t="s">
        <v>1658</v>
      </c>
      <c r="R1244" s="0" t="s">
        <v>209</v>
      </c>
    </row>
    <row r="1245" customFormat="false" ht="15" hidden="false" customHeight="false" outlineLevel="0" collapsed="false">
      <c r="A1245" s="0" t="s">
        <v>201</v>
      </c>
      <c r="B1245" s="0" t="n">
        <v>2020</v>
      </c>
      <c r="C1245" s="0" t="s">
        <v>101</v>
      </c>
      <c r="D1245" s="0" t="s">
        <v>90</v>
      </c>
      <c r="E1245" s="0" t="n">
        <v>1</v>
      </c>
      <c r="F1245" s="0" t="s">
        <v>17</v>
      </c>
      <c r="G1245" s="0" t="n">
        <v>2.00028036103627</v>
      </c>
      <c r="H1245" s="0" t="s">
        <v>437</v>
      </c>
      <c r="I1245" s="0" t="s">
        <v>437</v>
      </c>
      <c r="J1245" s="0" t="s">
        <v>437</v>
      </c>
      <c r="K1245" s="0" t="s">
        <v>437</v>
      </c>
      <c r="L1245" s="0" t="s">
        <v>437</v>
      </c>
      <c r="M1245" s="0" t="s">
        <v>437</v>
      </c>
      <c r="O1245" s="0" t="s">
        <v>2570</v>
      </c>
      <c r="P1245" s="0" t="s">
        <v>2602</v>
      </c>
      <c r="Q1245" s="0" t="s">
        <v>1658</v>
      </c>
      <c r="R1245" s="0" t="s">
        <v>209</v>
      </c>
    </row>
    <row r="1246" customFormat="false" ht="15" hidden="false" customHeight="false" outlineLevel="0" collapsed="false">
      <c r="A1246" s="0" t="s">
        <v>201</v>
      </c>
      <c r="B1246" s="0" t="n">
        <v>2020</v>
      </c>
      <c r="C1246" s="0" t="s">
        <v>101</v>
      </c>
      <c r="D1246" s="0" t="s">
        <v>90</v>
      </c>
      <c r="E1246" s="0" t="n">
        <v>1</v>
      </c>
      <c r="F1246" s="0" t="s">
        <v>29</v>
      </c>
      <c r="H1246" s="0" t="s">
        <v>457</v>
      </c>
      <c r="I1246" s="0" t="s">
        <v>457</v>
      </c>
      <c r="J1246" s="0" t="s">
        <v>457</v>
      </c>
      <c r="K1246" s="0" t="s">
        <v>457</v>
      </c>
      <c r="L1246" s="0" t="s">
        <v>457</v>
      </c>
      <c r="M1246" s="0" t="s">
        <v>457</v>
      </c>
      <c r="O1246" s="0" t="s">
        <v>2570</v>
      </c>
      <c r="P1246" s="0" t="s">
        <v>2602</v>
      </c>
      <c r="Q1246" s="0" t="s">
        <v>1658</v>
      </c>
      <c r="R1246" s="0" t="s">
        <v>209</v>
      </c>
    </row>
    <row r="1247" customFormat="false" ht="15" hidden="false" customHeight="false" outlineLevel="0" collapsed="false">
      <c r="A1247" s="0" t="s">
        <v>201</v>
      </c>
      <c r="B1247" s="0" t="n">
        <v>2020</v>
      </c>
      <c r="C1247" s="0" t="s">
        <v>101</v>
      </c>
      <c r="D1247" s="0" t="s">
        <v>90</v>
      </c>
      <c r="E1247" s="0" t="n">
        <v>1</v>
      </c>
      <c r="F1247" s="0" t="s">
        <v>37</v>
      </c>
      <c r="H1247" s="0" t="s">
        <v>457</v>
      </c>
      <c r="I1247" s="0" t="s">
        <v>457</v>
      </c>
      <c r="J1247" s="0" t="s">
        <v>457</v>
      </c>
      <c r="K1247" s="0" t="s">
        <v>457</v>
      </c>
      <c r="L1247" s="0" t="s">
        <v>457</v>
      </c>
      <c r="M1247" s="0" t="s">
        <v>457</v>
      </c>
      <c r="O1247" s="0" t="s">
        <v>2570</v>
      </c>
      <c r="P1247" s="0" t="s">
        <v>2602</v>
      </c>
      <c r="Q1247" s="0" t="s">
        <v>1658</v>
      </c>
      <c r="R1247" s="0" t="s">
        <v>209</v>
      </c>
    </row>
    <row r="1248" customFormat="false" ht="15" hidden="false" customHeight="false" outlineLevel="0" collapsed="false">
      <c r="A1248" s="0" t="s">
        <v>201</v>
      </c>
      <c r="B1248" s="0" t="n">
        <v>2020</v>
      </c>
      <c r="C1248" s="0" t="s">
        <v>101</v>
      </c>
      <c r="D1248" s="0" t="s">
        <v>90</v>
      </c>
      <c r="E1248" s="0" t="n">
        <v>1</v>
      </c>
      <c r="F1248" s="0" t="s">
        <v>23</v>
      </c>
      <c r="H1248" s="0" t="s">
        <v>457</v>
      </c>
      <c r="I1248" s="0" t="s">
        <v>457</v>
      </c>
      <c r="J1248" s="0" t="s">
        <v>457</v>
      </c>
      <c r="K1248" s="0" t="s">
        <v>457</v>
      </c>
      <c r="L1248" s="0" t="s">
        <v>457</v>
      </c>
      <c r="M1248" s="0" t="s">
        <v>457</v>
      </c>
      <c r="O1248" s="0" t="s">
        <v>2570</v>
      </c>
      <c r="P1248" s="0" t="s">
        <v>2602</v>
      </c>
      <c r="Q1248" s="0" t="s">
        <v>1658</v>
      </c>
      <c r="R1248" s="0" t="s">
        <v>209</v>
      </c>
    </row>
    <row r="1249" customFormat="false" ht="15" hidden="false" customHeight="false" outlineLevel="0" collapsed="false">
      <c r="A1249" s="0" t="s">
        <v>201</v>
      </c>
      <c r="B1249" s="0" t="n">
        <v>2020</v>
      </c>
      <c r="C1249" s="0" t="s">
        <v>101</v>
      </c>
      <c r="D1249" s="0" t="s">
        <v>90</v>
      </c>
      <c r="E1249" s="0" t="n">
        <v>1</v>
      </c>
      <c r="F1249" s="0" t="s">
        <v>45</v>
      </c>
      <c r="H1249" s="0" t="s">
        <v>457</v>
      </c>
      <c r="I1249" s="0" t="s">
        <v>457</v>
      </c>
      <c r="J1249" s="0" t="s">
        <v>457</v>
      </c>
      <c r="K1249" s="0" t="s">
        <v>457</v>
      </c>
      <c r="L1249" s="0" t="s">
        <v>457</v>
      </c>
      <c r="M1249" s="0" t="s">
        <v>457</v>
      </c>
      <c r="O1249" s="0" t="s">
        <v>2570</v>
      </c>
      <c r="P1249" s="0" t="s">
        <v>2602</v>
      </c>
      <c r="Q1249" s="0" t="s">
        <v>1658</v>
      </c>
      <c r="R1249" s="0" t="s">
        <v>209</v>
      </c>
    </row>
    <row r="1250" customFormat="false" ht="15" hidden="false" customHeight="false" outlineLevel="0" collapsed="false">
      <c r="A1250" s="0" t="s">
        <v>201</v>
      </c>
      <c r="B1250" s="0" t="n">
        <v>2020</v>
      </c>
      <c r="C1250" s="0" t="s">
        <v>101</v>
      </c>
      <c r="D1250" s="0" t="s">
        <v>90</v>
      </c>
      <c r="E1250" s="0" t="n">
        <v>1</v>
      </c>
      <c r="F1250" s="0" t="s">
        <v>71</v>
      </c>
      <c r="H1250" s="0" t="s">
        <v>457</v>
      </c>
      <c r="I1250" s="0" t="s">
        <v>457</v>
      </c>
      <c r="J1250" s="0" t="s">
        <v>457</v>
      </c>
      <c r="K1250" s="0" t="s">
        <v>457</v>
      </c>
      <c r="L1250" s="0" t="s">
        <v>457</v>
      </c>
      <c r="M1250" s="0" t="s">
        <v>457</v>
      </c>
      <c r="O1250" s="0" t="s">
        <v>2570</v>
      </c>
      <c r="P1250" s="0" t="s">
        <v>2602</v>
      </c>
      <c r="Q1250" s="0" t="s">
        <v>1658</v>
      </c>
      <c r="R1250" s="0" t="s">
        <v>209</v>
      </c>
    </row>
    <row r="1251" customFormat="false" ht="15" hidden="false" customHeight="false" outlineLevel="0" collapsed="false">
      <c r="A1251" s="0" t="s">
        <v>201</v>
      </c>
      <c r="B1251" s="0" t="n">
        <v>2020</v>
      </c>
      <c r="C1251" s="0" t="s">
        <v>101</v>
      </c>
      <c r="D1251" s="0" t="s">
        <v>90</v>
      </c>
      <c r="E1251" s="0" t="n">
        <v>1</v>
      </c>
      <c r="F1251" s="0" t="s">
        <v>31</v>
      </c>
      <c r="G1251" s="0" t="n">
        <v>155.975287964169</v>
      </c>
      <c r="H1251" s="0" t="s">
        <v>437</v>
      </c>
      <c r="I1251" s="0" t="s">
        <v>437</v>
      </c>
      <c r="J1251" s="0" t="s">
        <v>437</v>
      </c>
      <c r="K1251" s="0" t="s">
        <v>437</v>
      </c>
      <c r="L1251" s="0" t="s">
        <v>437</v>
      </c>
      <c r="M1251" s="0" t="s">
        <v>437</v>
      </c>
      <c r="O1251" s="0" t="s">
        <v>2570</v>
      </c>
      <c r="P1251" s="0" t="s">
        <v>2602</v>
      </c>
      <c r="Q1251" s="0" t="s">
        <v>1658</v>
      </c>
      <c r="R1251" s="0" t="s">
        <v>209</v>
      </c>
    </row>
    <row r="1252" customFormat="false" ht="15" hidden="false" customHeight="false" outlineLevel="0" collapsed="false">
      <c r="A1252" s="0" t="s">
        <v>201</v>
      </c>
      <c r="B1252" s="0" t="n">
        <v>2021</v>
      </c>
      <c r="C1252" s="0" t="s">
        <v>101</v>
      </c>
      <c r="D1252" s="0" t="s">
        <v>90</v>
      </c>
      <c r="E1252" s="0" t="n">
        <v>1</v>
      </c>
      <c r="F1252" s="0" t="s">
        <v>73</v>
      </c>
      <c r="G1252" s="0" t="n">
        <v>1</v>
      </c>
      <c r="H1252" s="0" t="s">
        <v>437</v>
      </c>
      <c r="I1252" s="0" t="s">
        <v>437</v>
      </c>
      <c r="J1252" s="0" t="s">
        <v>437</v>
      </c>
      <c r="K1252" s="0" t="s">
        <v>457</v>
      </c>
      <c r="L1252" s="0" t="s">
        <v>437</v>
      </c>
      <c r="M1252" s="0" t="s">
        <v>457</v>
      </c>
      <c r="R1252" s="0" t="s">
        <v>97</v>
      </c>
    </row>
    <row r="1253" customFormat="false" ht="15" hidden="false" customHeight="false" outlineLevel="0" collapsed="false">
      <c r="A1253" s="0" t="s">
        <v>201</v>
      </c>
      <c r="B1253" s="0" t="n">
        <v>2021</v>
      </c>
      <c r="C1253" s="0" t="s">
        <v>101</v>
      </c>
      <c r="D1253" s="0" t="s">
        <v>90</v>
      </c>
      <c r="E1253" s="0" t="n">
        <v>1</v>
      </c>
      <c r="F1253" s="0" t="s">
        <v>69</v>
      </c>
      <c r="G1253" s="0" t="n">
        <v>-86.18</v>
      </c>
      <c r="H1253" s="0" t="s">
        <v>437</v>
      </c>
      <c r="I1253" s="0" t="s">
        <v>437</v>
      </c>
      <c r="J1253" s="0" t="s">
        <v>437</v>
      </c>
      <c r="K1253" s="0" t="s">
        <v>457</v>
      </c>
      <c r="L1253" s="0" t="s">
        <v>437</v>
      </c>
      <c r="M1253" s="0" t="s">
        <v>457</v>
      </c>
      <c r="R1253" s="0" t="s">
        <v>97</v>
      </c>
    </row>
    <row r="1254" customFormat="false" ht="15" hidden="false" customHeight="false" outlineLevel="0" collapsed="false">
      <c r="A1254" s="0" t="s">
        <v>201</v>
      </c>
      <c r="B1254" s="0" t="n">
        <v>2021</v>
      </c>
      <c r="C1254" s="0" t="s">
        <v>101</v>
      </c>
      <c r="D1254" s="0" t="s">
        <v>90</v>
      </c>
      <c r="E1254" s="0" t="n">
        <v>1</v>
      </c>
      <c r="F1254" s="0" t="s">
        <v>25</v>
      </c>
      <c r="G1254" s="0" t="n">
        <v>-86.1830547229477</v>
      </c>
      <c r="H1254" s="0" t="s">
        <v>437</v>
      </c>
      <c r="I1254" s="0" t="s">
        <v>437</v>
      </c>
      <c r="J1254" s="0" t="s">
        <v>437</v>
      </c>
      <c r="K1254" s="0" t="s">
        <v>457</v>
      </c>
      <c r="L1254" s="0" t="s">
        <v>437</v>
      </c>
      <c r="M1254" s="0" t="s">
        <v>457</v>
      </c>
      <c r="R1254" s="0" t="s">
        <v>97</v>
      </c>
    </row>
    <row r="1255" customFormat="false" ht="15" hidden="false" customHeight="false" outlineLevel="0" collapsed="false">
      <c r="A1255" s="0" t="s">
        <v>201</v>
      </c>
      <c r="B1255" s="0" t="n">
        <v>2021</v>
      </c>
      <c r="C1255" s="0" t="s">
        <v>101</v>
      </c>
      <c r="D1255" s="0" t="s">
        <v>90</v>
      </c>
      <c r="E1255" s="0" t="n">
        <v>1</v>
      </c>
      <c r="F1255" s="0" t="s">
        <v>41</v>
      </c>
      <c r="G1255" s="0" t="n">
        <v>0.615634416786588</v>
      </c>
      <c r="H1255" s="0" t="s">
        <v>437</v>
      </c>
      <c r="I1255" s="0" t="s">
        <v>437</v>
      </c>
      <c r="J1255" s="0" t="s">
        <v>437</v>
      </c>
      <c r="K1255" s="0" t="s">
        <v>457</v>
      </c>
      <c r="L1255" s="0" t="s">
        <v>437</v>
      </c>
      <c r="M1255" s="0" t="s">
        <v>457</v>
      </c>
      <c r="R1255" s="0" t="s">
        <v>97</v>
      </c>
    </row>
    <row r="1256" customFormat="false" ht="15" hidden="false" customHeight="false" outlineLevel="0" collapsed="false">
      <c r="A1256" s="0" t="s">
        <v>201</v>
      </c>
      <c r="B1256" s="0" t="n">
        <v>2021</v>
      </c>
      <c r="C1256" s="0" t="s">
        <v>101</v>
      </c>
      <c r="D1256" s="0" t="s">
        <v>90</v>
      </c>
      <c r="E1256" s="0" t="n">
        <v>1</v>
      </c>
      <c r="F1256" s="0" t="s">
        <v>27</v>
      </c>
      <c r="G1256" s="0" t="n">
        <v>-51.2468857096753</v>
      </c>
      <c r="H1256" s="0" t="s">
        <v>437</v>
      </c>
      <c r="I1256" s="0" t="s">
        <v>437</v>
      </c>
      <c r="J1256" s="0" t="s">
        <v>437</v>
      </c>
      <c r="K1256" s="0" t="s">
        <v>437</v>
      </c>
      <c r="L1256" s="0" t="s">
        <v>437</v>
      </c>
      <c r="M1256" s="0" t="s">
        <v>457</v>
      </c>
      <c r="R1256" s="0" t="s">
        <v>97</v>
      </c>
    </row>
    <row r="1257" customFormat="false" ht="15" hidden="false" customHeight="false" outlineLevel="0" collapsed="false">
      <c r="A1257" s="0" t="s">
        <v>201</v>
      </c>
      <c r="B1257" s="0" t="n">
        <v>2021</v>
      </c>
      <c r="C1257" s="0" t="s">
        <v>101</v>
      </c>
      <c r="D1257" s="0" t="s">
        <v>90</v>
      </c>
      <c r="E1257" s="0" t="n">
        <v>1</v>
      </c>
      <c r="F1257" s="0" t="s">
        <v>39</v>
      </c>
      <c r="G1257" s="0" t="n">
        <v>-12.5818682158051</v>
      </c>
      <c r="H1257" s="0" t="s">
        <v>437</v>
      </c>
      <c r="I1257" s="0" t="s">
        <v>437</v>
      </c>
      <c r="J1257" s="0" t="s">
        <v>437</v>
      </c>
      <c r="K1257" s="0" t="s">
        <v>457</v>
      </c>
      <c r="L1257" s="0" t="s">
        <v>437</v>
      </c>
      <c r="M1257" s="0" t="s">
        <v>457</v>
      </c>
      <c r="R1257" s="0" t="s">
        <v>97</v>
      </c>
    </row>
    <row r="1258" customFormat="false" ht="15" hidden="false" customHeight="false" outlineLevel="0" collapsed="false">
      <c r="A1258" s="0" t="s">
        <v>201</v>
      </c>
      <c r="B1258" s="0" t="n">
        <v>2021</v>
      </c>
      <c r="C1258" s="0" t="s">
        <v>101</v>
      </c>
      <c r="D1258" s="0" t="s">
        <v>90</v>
      </c>
      <c r="E1258" s="0" t="n">
        <v>1</v>
      </c>
      <c r="F1258" s="0" t="s">
        <v>17</v>
      </c>
      <c r="G1258" s="0" t="n">
        <v>1.17414648057081</v>
      </c>
      <c r="H1258" s="0" t="s">
        <v>437</v>
      </c>
      <c r="I1258" s="0" t="s">
        <v>437</v>
      </c>
      <c r="J1258" s="0" t="s">
        <v>437</v>
      </c>
      <c r="K1258" s="0" t="s">
        <v>437</v>
      </c>
      <c r="L1258" s="0" t="s">
        <v>437</v>
      </c>
      <c r="M1258" s="0" t="s">
        <v>457</v>
      </c>
      <c r="R1258" s="0" t="s">
        <v>97</v>
      </c>
    </row>
    <row r="1259" customFormat="false" ht="15" hidden="false" customHeight="false" outlineLevel="0" collapsed="false">
      <c r="A1259" s="0" t="s">
        <v>201</v>
      </c>
      <c r="B1259" s="0" t="n">
        <v>2021</v>
      </c>
      <c r="C1259" s="0" t="s">
        <v>101</v>
      </c>
      <c r="D1259" s="0" t="s">
        <v>90</v>
      </c>
      <c r="E1259" s="0" t="n">
        <v>1</v>
      </c>
      <c r="F1259" s="0" t="s">
        <v>29</v>
      </c>
      <c r="G1259" s="0" t="n">
        <v>-0.49742053530174</v>
      </c>
      <c r="H1259" s="0" t="s">
        <v>437</v>
      </c>
      <c r="I1259" s="0" t="s">
        <v>437</v>
      </c>
      <c r="J1259" s="0" t="s">
        <v>437</v>
      </c>
      <c r="K1259" s="0" t="s">
        <v>457</v>
      </c>
      <c r="L1259" s="0" t="s">
        <v>437</v>
      </c>
      <c r="M1259" s="0" t="s">
        <v>457</v>
      </c>
      <c r="R1259" s="0" t="s">
        <v>97</v>
      </c>
    </row>
    <row r="1260" customFormat="false" ht="15" hidden="false" customHeight="false" outlineLevel="0" collapsed="false">
      <c r="A1260" s="0" t="s">
        <v>201</v>
      </c>
      <c r="B1260" s="0" t="n">
        <v>2021</v>
      </c>
      <c r="C1260" s="0" t="s">
        <v>101</v>
      </c>
      <c r="D1260" s="0" t="s">
        <v>90</v>
      </c>
      <c r="E1260" s="0" t="n">
        <v>1</v>
      </c>
      <c r="F1260" s="0" t="s">
        <v>37</v>
      </c>
      <c r="H1260" s="0" t="s">
        <v>457</v>
      </c>
      <c r="I1260" s="0" t="s">
        <v>457</v>
      </c>
      <c r="J1260" s="0" t="s">
        <v>457</v>
      </c>
      <c r="K1260" s="0" t="s">
        <v>457</v>
      </c>
      <c r="L1260" s="0" t="s">
        <v>457</v>
      </c>
      <c r="M1260" s="0" t="s">
        <v>457</v>
      </c>
      <c r="R1260" s="0" t="s">
        <v>97</v>
      </c>
    </row>
    <row r="1261" customFormat="false" ht="15" hidden="false" customHeight="false" outlineLevel="0" collapsed="false">
      <c r="A1261" s="0" t="s">
        <v>201</v>
      </c>
      <c r="B1261" s="0" t="n">
        <v>2021</v>
      </c>
      <c r="C1261" s="0" t="s">
        <v>101</v>
      </c>
      <c r="D1261" s="0" t="s">
        <v>90</v>
      </c>
      <c r="E1261" s="0" t="n">
        <v>1</v>
      </c>
      <c r="F1261" s="0" t="s">
        <v>23</v>
      </c>
      <c r="H1261" s="0" t="s">
        <v>457</v>
      </c>
      <c r="I1261" s="0" t="s">
        <v>457</v>
      </c>
      <c r="J1261" s="0" t="s">
        <v>457</v>
      </c>
      <c r="K1261" s="0" t="s">
        <v>457</v>
      </c>
      <c r="L1261" s="0" t="s">
        <v>457</v>
      </c>
      <c r="M1261" s="0" t="s">
        <v>457</v>
      </c>
      <c r="R1261" s="0" t="s">
        <v>97</v>
      </c>
    </row>
    <row r="1262" customFormat="false" ht="15" hidden="false" customHeight="false" outlineLevel="0" collapsed="false">
      <c r="A1262" s="0" t="s">
        <v>201</v>
      </c>
      <c r="B1262" s="0" t="n">
        <v>2021</v>
      </c>
      <c r="C1262" s="0" t="s">
        <v>101</v>
      </c>
      <c r="D1262" s="0" t="s">
        <v>90</v>
      </c>
      <c r="E1262" s="0" t="n">
        <v>1</v>
      </c>
      <c r="F1262" s="0" t="s">
        <v>45</v>
      </c>
      <c r="G1262" s="0" t="n">
        <v>0.956033782379504</v>
      </c>
      <c r="H1262" s="0" t="s">
        <v>437</v>
      </c>
      <c r="I1262" s="0" t="s">
        <v>437</v>
      </c>
      <c r="J1262" s="0" t="s">
        <v>457</v>
      </c>
      <c r="K1262" s="0" t="s">
        <v>457</v>
      </c>
      <c r="L1262" s="0" t="s">
        <v>457</v>
      </c>
      <c r="M1262" s="0" t="s">
        <v>457</v>
      </c>
      <c r="N1262" s="0" t="s">
        <v>2592</v>
      </c>
      <c r="O1262" s="0" t="s">
        <v>2603</v>
      </c>
      <c r="P1262" s="0" t="s">
        <v>2604</v>
      </c>
      <c r="R1262" s="0" t="s">
        <v>97</v>
      </c>
    </row>
    <row r="1263" customFormat="false" ht="15" hidden="false" customHeight="false" outlineLevel="0" collapsed="false">
      <c r="A1263" s="0" t="s">
        <v>201</v>
      </c>
      <c r="B1263" s="0" t="n">
        <v>2021</v>
      </c>
      <c r="C1263" s="0" t="s">
        <v>101</v>
      </c>
      <c r="D1263" s="0" t="s">
        <v>90</v>
      </c>
      <c r="E1263" s="0" t="n">
        <v>1</v>
      </c>
      <c r="F1263" s="0" t="s">
        <v>71</v>
      </c>
      <c r="H1263" s="0" t="s">
        <v>457</v>
      </c>
      <c r="I1263" s="0" t="s">
        <v>457</v>
      </c>
      <c r="J1263" s="0" t="s">
        <v>457</v>
      </c>
      <c r="K1263" s="0" t="s">
        <v>457</v>
      </c>
      <c r="L1263" s="0" t="s">
        <v>457</v>
      </c>
      <c r="M1263" s="0" t="s">
        <v>457</v>
      </c>
      <c r="R1263" s="0" t="s">
        <v>97</v>
      </c>
    </row>
    <row r="1264" customFormat="false" ht="15" hidden="false" customHeight="false" outlineLevel="0" collapsed="false">
      <c r="A1264" s="0" t="s">
        <v>201</v>
      </c>
      <c r="B1264" s="0" t="n">
        <v>2021</v>
      </c>
      <c r="C1264" s="0" t="s">
        <v>101</v>
      </c>
      <c r="D1264" s="0" t="s">
        <v>90</v>
      </c>
      <c r="E1264" s="0" t="n">
        <v>1</v>
      </c>
      <c r="F1264" s="0" t="s">
        <v>31</v>
      </c>
      <c r="G1264" s="0" t="n">
        <v>151.246885709675</v>
      </c>
      <c r="H1264" s="0" t="s">
        <v>437</v>
      </c>
      <c r="I1264" s="0" t="s">
        <v>437</v>
      </c>
      <c r="J1264" s="0" t="s">
        <v>437</v>
      </c>
      <c r="K1264" s="0" t="s">
        <v>437</v>
      </c>
      <c r="L1264" s="0" t="s">
        <v>437</v>
      </c>
      <c r="M1264" s="0" t="s">
        <v>457</v>
      </c>
      <c r="R1264" s="0" t="s">
        <v>97</v>
      </c>
    </row>
    <row r="1265" customFormat="false" ht="15" hidden="false" customHeight="false" outlineLevel="0" collapsed="false">
      <c r="A1265" s="0" t="s">
        <v>201</v>
      </c>
      <c r="B1265" s="0" t="n">
        <v>2022</v>
      </c>
      <c r="C1265" s="0" t="s">
        <v>101</v>
      </c>
      <c r="D1265" s="0" t="s">
        <v>90</v>
      </c>
      <c r="E1265" s="0" t="n">
        <v>1</v>
      </c>
      <c r="F1265" s="0" t="s">
        <v>73</v>
      </c>
      <c r="G1265" s="0" t="n">
        <v>1</v>
      </c>
      <c r="H1265" s="0" t="s">
        <v>437</v>
      </c>
      <c r="I1265" s="0" t="s">
        <v>437</v>
      </c>
      <c r="J1265" s="0" t="s">
        <v>437</v>
      </c>
      <c r="K1265" s="0" t="s">
        <v>437</v>
      </c>
      <c r="L1265" s="0" t="s">
        <v>437</v>
      </c>
      <c r="M1265" s="0" t="s">
        <v>457</v>
      </c>
      <c r="R1265" s="0" t="s">
        <v>114</v>
      </c>
    </row>
    <row r="1266" customFormat="false" ht="15" hidden="false" customHeight="false" outlineLevel="0" collapsed="false">
      <c r="A1266" s="0" t="s">
        <v>201</v>
      </c>
      <c r="B1266" s="0" t="n">
        <v>2022</v>
      </c>
      <c r="C1266" s="0" t="s">
        <v>101</v>
      </c>
      <c r="D1266" s="0" t="s">
        <v>90</v>
      </c>
      <c r="E1266" s="0" t="n">
        <v>1</v>
      </c>
      <c r="F1266" s="0" t="s">
        <v>69</v>
      </c>
      <c r="G1266" s="0" t="n">
        <v>-89.69</v>
      </c>
      <c r="H1266" s="0" t="s">
        <v>437</v>
      </c>
      <c r="I1266" s="0" t="s">
        <v>437</v>
      </c>
      <c r="J1266" s="0" t="s">
        <v>437</v>
      </c>
      <c r="K1266" s="0" t="s">
        <v>437</v>
      </c>
      <c r="L1266" s="0" t="s">
        <v>437</v>
      </c>
      <c r="M1266" s="0" t="s">
        <v>457</v>
      </c>
      <c r="R1266" s="0" t="s">
        <v>114</v>
      </c>
    </row>
    <row r="1267" customFormat="false" ht="15" hidden="false" customHeight="false" outlineLevel="0" collapsed="false">
      <c r="A1267" s="0" t="s">
        <v>201</v>
      </c>
      <c r="B1267" s="0" t="n">
        <v>2022</v>
      </c>
      <c r="C1267" s="0" t="s">
        <v>101</v>
      </c>
      <c r="D1267" s="0" t="s">
        <v>90</v>
      </c>
      <c r="E1267" s="0" t="n">
        <v>1</v>
      </c>
      <c r="F1267" s="0" t="s">
        <v>25</v>
      </c>
      <c r="G1267" s="0" t="n">
        <v>-89.6860813850715</v>
      </c>
      <c r="H1267" s="0" t="s">
        <v>437</v>
      </c>
      <c r="I1267" s="0" t="s">
        <v>437</v>
      </c>
      <c r="J1267" s="0" t="s">
        <v>437</v>
      </c>
      <c r="K1267" s="0" t="s">
        <v>437</v>
      </c>
      <c r="L1267" s="0" t="s">
        <v>437</v>
      </c>
      <c r="M1267" s="0" t="s">
        <v>457</v>
      </c>
      <c r="R1267" s="0" t="s">
        <v>114</v>
      </c>
    </row>
    <row r="1268" customFormat="false" ht="15" hidden="false" customHeight="false" outlineLevel="0" collapsed="false">
      <c r="A1268" s="0" t="s">
        <v>201</v>
      </c>
      <c r="B1268" s="0" t="n">
        <v>2022</v>
      </c>
      <c r="C1268" s="0" t="s">
        <v>101</v>
      </c>
      <c r="D1268" s="0" t="s">
        <v>90</v>
      </c>
      <c r="E1268" s="0" t="n">
        <v>1</v>
      </c>
      <c r="F1268" s="0" t="s">
        <v>41</v>
      </c>
      <c r="G1268" s="0" t="n">
        <v>0.179478282110241</v>
      </c>
      <c r="H1268" s="0" t="s">
        <v>437</v>
      </c>
      <c r="I1268" s="0" t="s">
        <v>437</v>
      </c>
      <c r="J1268" s="0" t="s">
        <v>437</v>
      </c>
      <c r="K1268" s="0" t="s">
        <v>437</v>
      </c>
      <c r="L1268" s="0" t="s">
        <v>437</v>
      </c>
      <c r="M1268" s="0" t="s">
        <v>457</v>
      </c>
      <c r="R1268" s="0" t="s">
        <v>114</v>
      </c>
    </row>
    <row r="1269" customFormat="false" ht="15" hidden="false" customHeight="false" outlineLevel="0" collapsed="false">
      <c r="A1269" s="0" t="s">
        <v>201</v>
      </c>
      <c r="B1269" s="0" t="n">
        <v>2022</v>
      </c>
      <c r="C1269" s="0" t="s">
        <v>101</v>
      </c>
      <c r="D1269" s="0" t="s">
        <v>90</v>
      </c>
      <c r="E1269" s="0" t="n">
        <v>1</v>
      </c>
      <c r="F1269" s="0" t="s">
        <v>27</v>
      </c>
      <c r="G1269" s="0" t="n">
        <v>-53.8961918786536</v>
      </c>
      <c r="H1269" s="0" t="s">
        <v>437</v>
      </c>
      <c r="I1269" s="0" t="s">
        <v>437</v>
      </c>
      <c r="J1269" s="0" t="s">
        <v>437</v>
      </c>
      <c r="K1269" s="0" t="s">
        <v>437</v>
      </c>
      <c r="L1269" s="0" t="s">
        <v>437</v>
      </c>
      <c r="M1269" s="0" t="s">
        <v>457</v>
      </c>
      <c r="R1269" s="0" t="s">
        <v>114</v>
      </c>
    </row>
    <row r="1270" customFormat="false" ht="15" hidden="false" customHeight="false" outlineLevel="0" collapsed="false">
      <c r="A1270" s="0" t="s">
        <v>201</v>
      </c>
      <c r="B1270" s="0" t="n">
        <v>2022</v>
      </c>
      <c r="C1270" s="0" t="s">
        <v>101</v>
      </c>
      <c r="D1270" s="0" t="s">
        <v>90</v>
      </c>
      <c r="E1270" s="0" t="n">
        <v>1</v>
      </c>
      <c r="F1270" s="0" t="s">
        <v>39</v>
      </c>
      <c r="G1270" s="0" t="n">
        <v>-5.13510896767348</v>
      </c>
      <c r="H1270" s="0" t="s">
        <v>437</v>
      </c>
      <c r="I1270" s="0" t="s">
        <v>437</v>
      </c>
      <c r="J1270" s="0" t="s">
        <v>437</v>
      </c>
      <c r="K1270" s="0" t="s">
        <v>437</v>
      </c>
      <c r="L1270" s="0" t="s">
        <v>437</v>
      </c>
      <c r="M1270" s="0" t="s">
        <v>457</v>
      </c>
      <c r="R1270" s="0" t="s">
        <v>114</v>
      </c>
    </row>
    <row r="1271" customFormat="false" ht="15" hidden="false" customHeight="false" outlineLevel="0" collapsed="false">
      <c r="A1271" s="0" t="s">
        <v>201</v>
      </c>
      <c r="B1271" s="0" t="n">
        <v>2022</v>
      </c>
      <c r="C1271" s="0" t="s">
        <v>101</v>
      </c>
      <c r="D1271" s="0" t="s">
        <v>90</v>
      </c>
      <c r="E1271" s="0" t="n">
        <v>1</v>
      </c>
      <c r="F1271" s="0" t="s">
        <v>17</v>
      </c>
      <c r="G1271" s="0" t="n">
        <v>1.23321968044321</v>
      </c>
      <c r="H1271" s="0" t="s">
        <v>437</v>
      </c>
      <c r="I1271" s="0" t="s">
        <v>437</v>
      </c>
      <c r="J1271" s="0" t="s">
        <v>437</v>
      </c>
      <c r="K1271" s="0" t="s">
        <v>437</v>
      </c>
      <c r="L1271" s="0" t="s">
        <v>437</v>
      </c>
      <c r="M1271" s="0" t="s">
        <v>457</v>
      </c>
      <c r="R1271" s="0" t="s">
        <v>114</v>
      </c>
    </row>
    <row r="1272" customFormat="false" ht="15" hidden="false" customHeight="false" outlineLevel="0" collapsed="false">
      <c r="A1272" s="0" t="s">
        <v>201</v>
      </c>
      <c r="B1272" s="0" t="n">
        <v>2022</v>
      </c>
      <c r="C1272" s="0" t="s">
        <v>101</v>
      </c>
      <c r="D1272" s="0" t="s">
        <v>90</v>
      </c>
      <c r="E1272" s="0" t="n">
        <v>1</v>
      </c>
      <c r="F1272" s="0" t="s">
        <v>29</v>
      </c>
      <c r="G1272" s="0" t="n">
        <v>-0.229521908130542</v>
      </c>
      <c r="H1272" s="0" t="s">
        <v>437</v>
      </c>
      <c r="I1272" s="0" t="s">
        <v>437</v>
      </c>
      <c r="J1272" s="0" t="s">
        <v>437</v>
      </c>
      <c r="K1272" s="0" t="s">
        <v>437</v>
      </c>
      <c r="L1272" s="0" t="s">
        <v>437</v>
      </c>
      <c r="M1272" s="0" t="s">
        <v>457</v>
      </c>
      <c r="R1272" s="0" t="s">
        <v>114</v>
      </c>
    </row>
    <row r="1273" customFormat="false" ht="15" hidden="false" customHeight="false" outlineLevel="0" collapsed="false">
      <c r="A1273" s="0" t="s">
        <v>201</v>
      </c>
      <c r="B1273" s="0" t="n">
        <v>2022</v>
      </c>
      <c r="C1273" s="0" t="s">
        <v>101</v>
      </c>
      <c r="D1273" s="0" t="s">
        <v>90</v>
      </c>
      <c r="E1273" s="0" t="n">
        <v>1</v>
      </c>
      <c r="F1273" s="0" t="s">
        <v>37</v>
      </c>
      <c r="H1273" s="0" t="s">
        <v>457</v>
      </c>
      <c r="I1273" s="0" t="s">
        <v>457</v>
      </c>
      <c r="J1273" s="0" t="s">
        <v>457</v>
      </c>
      <c r="K1273" s="0" t="s">
        <v>457</v>
      </c>
      <c r="L1273" s="0" t="s">
        <v>457</v>
      </c>
      <c r="M1273" s="0" t="s">
        <v>457</v>
      </c>
      <c r="R1273" s="0" t="s">
        <v>114</v>
      </c>
    </row>
    <row r="1274" customFormat="false" ht="15" hidden="false" customHeight="false" outlineLevel="0" collapsed="false">
      <c r="A1274" s="0" t="s">
        <v>201</v>
      </c>
      <c r="B1274" s="0" t="n">
        <v>2022</v>
      </c>
      <c r="C1274" s="0" t="s">
        <v>101</v>
      </c>
      <c r="D1274" s="0" t="s">
        <v>90</v>
      </c>
      <c r="E1274" s="0" t="n">
        <v>1</v>
      </c>
      <c r="F1274" s="0" t="s">
        <v>23</v>
      </c>
      <c r="H1274" s="0" t="s">
        <v>457</v>
      </c>
      <c r="I1274" s="0" t="s">
        <v>457</v>
      </c>
      <c r="J1274" s="0" t="s">
        <v>457</v>
      </c>
      <c r="K1274" s="0" t="s">
        <v>457</v>
      </c>
      <c r="L1274" s="0" t="s">
        <v>457</v>
      </c>
      <c r="M1274" s="0" t="s">
        <v>457</v>
      </c>
      <c r="R1274" s="0" t="s">
        <v>114</v>
      </c>
    </row>
    <row r="1275" customFormat="false" ht="15" hidden="false" customHeight="false" outlineLevel="0" collapsed="false">
      <c r="A1275" s="0" t="s">
        <v>201</v>
      </c>
      <c r="B1275" s="0" t="n">
        <v>2022</v>
      </c>
      <c r="C1275" s="0" t="s">
        <v>101</v>
      </c>
      <c r="D1275" s="0" t="s">
        <v>90</v>
      </c>
      <c r="E1275" s="0" t="n">
        <v>1</v>
      </c>
      <c r="F1275" s="0" t="s">
        <v>45</v>
      </c>
      <c r="G1275" s="0" t="n">
        <v>25.7256006410785</v>
      </c>
      <c r="H1275" s="0" t="s">
        <v>437</v>
      </c>
      <c r="I1275" s="0" t="s">
        <v>437</v>
      </c>
      <c r="J1275" s="0" t="s">
        <v>437</v>
      </c>
      <c r="K1275" s="0" t="s">
        <v>457</v>
      </c>
      <c r="L1275" s="0" t="s">
        <v>437</v>
      </c>
      <c r="M1275" s="0" t="s">
        <v>457</v>
      </c>
      <c r="R1275" s="0" t="s">
        <v>114</v>
      </c>
    </row>
    <row r="1276" customFormat="false" ht="15" hidden="false" customHeight="false" outlineLevel="0" collapsed="false">
      <c r="A1276" s="0" t="s">
        <v>201</v>
      </c>
      <c r="B1276" s="0" t="n">
        <v>2022</v>
      </c>
      <c r="C1276" s="0" t="s">
        <v>101</v>
      </c>
      <c r="D1276" s="0" t="s">
        <v>90</v>
      </c>
      <c r="E1276" s="0" t="n">
        <v>1</v>
      </c>
      <c r="F1276" s="0" t="s">
        <v>71</v>
      </c>
      <c r="H1276" s="0" t="s">
        <v>457</v>
      </c>
      <c r="I1276" s="0" t="s">
        <v>457</v>
      </c>
      <c r="J1276" s="0" t="s">
        <v>457</v>
      </c>
      <c r="K1276" s="0" t="s">
        <v>457</v>
      </c>
      <c r="L1276" s="0" t="s">
        <v>457</v>
      </c>
      <c r="M1276" s="0" t="s">
        <v>457</v>
      </c>
      <c r="R1276" s="0" t="s">
        <v>114</v>
      </c>
    </row>
    <row r="1277" customFormat="false" ht="15" hidden="false" customHeight="false" outlineLevel="0" collapsed="false">
      <c r="A1277" s="0" t="s">
        <v>201</v>
      </c>
      <c r="B1277" s="0" t="n">
        <v>2022</v>
      </c>
      <c r="C1277" s="0" t="s">
        <v>101</v>
      </c>
      <c r="D1277" s="0" t="s">
        <v>90</v>
      </c>
      <c r="E1277" s="0" t="n">
        <v>1</v>
      </c>
      <c r="F1277" s="0" t="s">
        <v>31</v>
      </c>
      <c r="G1277" s="0" t="n">
        <v>153.896191878654</v>
      </c>
      <c r="H1277" s="0" t="s">
        <v>437</v>
      </c>
      <c r="I1277" s="0" t="s">
        <v>437</v>
      </c>
      <c r="J1277" s="0" t="s">
        <v>437</v>
      </c>
      <c r="K1277" s="0" t="s">
        <v>437</v>
      </c>
      <c r="L1277" s="0" t="s">
        <v>437</v>
      </c>
      <c r="M1277" s="0" t="s">
        <v>457</v>
      </c>
      <c r="R1277" s="0" t="s">
        <v>114</v>
      </c>
    </row>
    <row r="1278" customFormat="false" ht="15" hidden="false" customHeight="false" outlineLevel="0" collapsed="false">
      <c r="A1278" s="0" t="s">
        <v>211</v>
      </c>
      <c r="B1278" s="0" t="n">
        <v>2013</v>
      </c>
      <c r="C1278" s="0" t="s">
        <v>101</v>
      </c>
      <c r="D1278" s="0" t="s">
        <v>79</v>
      </c>
      <c r="E1278" s="0" t="n">
        <v>0</v>
      </c>
      <c r="F1278" s="0" t="s">
        <v>73</v>
      </c>
      <c r="H1278" s="0" t="s">
        <v>457</v>
      </c>
      <c r="I1278" s="0" t="s">
        <v>457</v>
      </c>
      <c r="J1278" s="0" t="s">
        <v>457</v>
      </c>
      <c r="K1278" s="0" t="s">
        <v>457</v>
      </c>
      <c r="L1278" s="0" t="s">
        <v>457</v>
      </c>
      <c r="M1278" s="0" t="s">
        <v>457</v>
      </c>
      <c r="R1278" s="0" t="s">
        <v>213</v>
      </c>
    </row>
    <row r="1279" customFormat="false" ht="15" hidden="false" customHeight="false" outlineLevel="0" collapsed="false">
      <c r="A1279" s="0" t="s">
        <v>211</v>
      </c>
      <c r="B1279" s="0" t="n">
        <v>2013</v>
      </c>
      <c r="C1279" s="0" t="s">
        <v>101</v>
      </c>
      <c r="D1279" s="0" t="s">
        <v>79</v>
      </c>
      <c r="E1279" s="0" t="n">
        <v>0</v>
      </c>
      <c r="F1279" s="0" t="s">
        <v>69</v>
      </c>
      <c r="H1279" s="0" t="s">
        <v>457</v>
      </c>
      <c r="I1279" s="0" t="s">
        <v>457</v>
      </c>
      <c r="J1279" s="0" t="s">
        <v>457</v>
      </c>
      <c r="K1279" s="0" t="s">
        <v>457</v>
      </c>
      <c r="L1279" s="0" t="s">
        <v>457</v>
      </c>
      <c r="M1279" s="0" t="s">
        <v>457</v>
      </c>
      <c r="R1279" s="0" t="s">
        <v>213</v>
      </c>
    </row>
    <row r="1280" customFormat="false" ht="15" hidden="false" customHeight="false" outlineLevel="0" collapsed="false">
      <c r="A1280" s="0" t="s">
        <v>211</v>
      </c>
      <c r="B1280" s="0" t="n">
        <v>2013</v>
      </c>
      <c r="C1280" s="0" t="s">
        <v>101</v>
      </c>
      <c r="D1280" s="0" t="s">
        <v>79</v>
      </c>
      <c r="E1280" s="0" t="n">
        <v>0</v>
      </c>
      <c r="F1280" s="0" t="s">
        <v>25</v>
      </c>
      <c r="H1280" s="0" t="s">
        <v>457</v>
      </c>
      <c r="I1280" s="0" t="s">
        <v>457</v>
      </c>
      <c r="J1280" s="0" t="s">
        <v>457</v>
      </c>
      <c r="K1280" s="0" t="s">
        <v>457</v>
      </c>
      <c r="L1280" s="0" t="s">
        <v>457</v>
      </c>
      <c r="M1280" s="0" t="s">
        <v>457</v>
      </c>
      <c r="R1280" s="0" t="s">
        <v>213</v>
      </c>
    </row>
    <row r="1281" customFormat="false" ht="15" hidden="false" customHeight="false" outlineLevel="0" collapsed="false">
      <c r="A1281" s="0" t="s">
        <v>211</v>
      </c>
      <c r="B1281" s="0" t="n">
        <v>2013</v>
      </c>
      <c r="C1281" s="0" t="s">
        <v>101</v>
      </c>
      <c r="D1281" s="0" t="s">
        <v>79</v>
      </c>
      <c r="E1281" s="0" t="n">
        <v>0</v>
      </c>
      <c r="F1281" s="0" t="s">
        <v>41</v>
      </c>
      <c r="G1281" s="0" t="n">
        <v>0.553796214775603</v>
      </c>
      <c r="H1281" s="0" t="s">
        <v>437</v>
      </c>
      <c r="I1281" s="0" t="s">
        <v>437</v>
      </c>
      <c r="J1281" s="0" t="s">
        <v>437</v>
      </c>
      <c r="K1281" s="0" t="s">
        <v>457</v>
      </c>
      <c r="L1281" s="0" t="s">
        <v>437</v>
      </c>
      <c r="M1281" s="0" t="s">
        <v>457</v>
      </c>
      <c r="R1281" s="0" t="s">
        <v>213</v>
      </c>
    </row>
    <row r="1282" customFormat="false" ht="15" hidden="false" customHeight="false" outlineLevel="0" collapsed="false">
      <c r="A1282" s="0" t="s">
        <v>211</v>
      </c>
      <c r="B1282" s="0" t="n">
        <v>2013</v>
      </c>
      <c r="C1282" s="0" t="s">
        <v>101</v>
      </c>
      <c r="D1282" s="0" t="s">
        <v>79</v>
      </c>
      <c r="E1282" s="0" t="n">
        <v>0</v>
      </c>
      <c r="F1282" s="0" t="s">
        <v>27</v>
      </c>
      <c r="G1282" s="0" t="n">
        <v>12.5109080167518</v>
      </c>
      <c r="H1282" s="0" t="s">
        <v>437</v>
      </c>
      <c r="I1282" s="0" t="s">
        <v>437</v>
      </c>
      <c r="J1282" s="0" t="s">
        <v>437</v>
      </c>
      <c r="K1282" s="0" t="s">
        <v>457</v>
      </c>
      <c r="L1282" s="0" t="s">
        <v>437</v>
      </c>
      <c r="M1282" s="0" t="s">
        <v>457</v>
      </c>
      <c r="R1282" s="0" t="s">
        <v>213</v>
      </c>
    </row>
    <row r="1283" customFormat="false" ht="15" hidden="false" customHeight="false" outlineLevel="0" collapsed="false">
      <c r="A1283" s="0" t="s">
        <v>211</v>
      </c>
      <c r="B1283" s="0" t="n">
        <v>2013</v>
      </c>
      <c r="C1283" s="0" t="s">
        <v>101</v>
      </c>
      <c r="D1283" s="0" t="s">
        <v>79</v>
      </c>
      <c r="E1283" s="0" t="n">
        <v>0</v>
      </c>
      <c r="F1283" s="0" t="s">
        <v>39</v>
      </c>
      <c r="G1283" s="0" t="n">
        <v>4.86058314854393</v>
      </c>
      <c r="H1283" s="0" t="s">
        <v>437</v>
      </c>
      <c r="I1283" s="0" t="s">
        <v>437</v>
      </c>
      <c r="J1283" s="0" t="s">
        <v>437</v>
      </c>
      <c r="K1283" s="0" t="s">
        <v>457</v>
      </c>
      <c r="L1283" s="0" t="s">
        <v>437</v>
      </c>
      <c r="M1283" s="0" t="s">
        <v>457</v>
      </c>
      <c r="R1283" s="0" t="s">
        <v>213</v>
      </c>
    </row>
    <row r="1284" customFormat="false" ht="15" hidden="false" customHeight="false" outlineLevel="0" collapsed="false">
      <c r="A1284" s="0" t="s">
        <v>211</v>
      </c>
      <c r="B1284" s="0" t="n">
        <v>2013</v>
      </c>
      <c r="C1284" s="0" t="s">
        <v>101</v>
      </c>
      <c r="D1284" s="0" t="s">
        <v>79</v>
      </c>
      <c r="E1284" s="0" t="n">
        <v>0</v>
      </c>
      <c r="F1284" s="0" t="s">
        <v>17</v>
      </c>
      <c r="H1284" s="0" t="s">
        <v>457</v>
      </c>
      <c r="I1284" s="0" t="s">
        <v>457</v>
      </c>
      <c r="J1284" s="0" t="s">
        <v>457</v>
      </c>
      <c r="K1284" s="0" t="s">
        <v>457</v>
      </c>
      <c r="L1284" s="0" t="s">
        <v>457</v>
      </c>
      <c r="M1284" s="0" t="s">
        <v>457</v>
      </c>
      <c r="R1284" s="0" t="s">
        <v>213</v>
      </c>
    </row>
    <row r="1285" customFormat="false" ht="15" hidden="false" customHeight="false" outlineLevel="0" collapsed="false">
      <c r="A1285" s="0" t="s">
        <v>211</v>
      </c>
      <c r="B1285" s="0" t="n">
        <v>2013</v>
      </c>
      <c r="C1285" s="0" t="s">
        <v>101</v>
      </c>
      <c r="D1285" s="0" t="s">
        <v>79</v>
      </c>
      <c r="E1285" s="0" t="n">
        <v>0</v>
      </c>
      <c r="F1285" s="0" t="s">
        <v>29</v>
      </c>
      <c r="G1285" s="0" t="n">
        <v>-0.461213969326897</v>
      </c>
      <c r="H1285" s="0" t="s">
        <v>437</v>
      </c>
      <c r="I1285" s="0" t="s">
        <v>437</v>
      </c>
      <c r="J1285" s="0" t="s">
        <v>437</v>
      </c>
      <c r="K1285" s="0" t="s">
        <v>457</v>
      </c>
      <c r="L1285" s="0" t="s">
        <v>437</v>
      </c>
      <c r="M1285" s="0" t="s">
        <v>457</v>
      </c>
      <c r="R1285" s="0" t="s">
        <v>213</v>
      </c>
    </row>
    <row r="1286" customFormat="false" ht="15" hidden="false" customHeight="false" outlineLevel="0" collapsed="false">
      <c r="A1286" s="0" t="s">
        <v>211</v>
      </c>
      <c r="B1286" s="0" t="n">
        <v>2013</v>
      </c>
      <c r="C1286" s="0" t="s">
        <v>101</v>
      </c>
      <c r="D1286" s="0" t="s">
        <v>79</v>
      </c>
      <c r="E1286" s="0" t="n">
        <v>0</v>
      </c>
      <c r="F1286" s="0" t="s">
        <v>37</v>
      </c>
      <c r="H1286" s="0" t="s">
        <v>457</v>
      </c>
      <c r="I1286" s="0" t="s">
        <v>457</v>
      </c>
      <c r="J1286" s="0" t="s">
        <v>457</v>
      </c>
      <c r="K1286" s="0" t="s">
        <v>457</v>
      </c>
      <c r="L1286" s="0" t="s">
        <v>457</v>
      </c>
      <c r="M1286" s="0" t="s">
        <v>457</v>
      </c>
      <c r="R1286" s="0" t="s">
        <v>213</v>
      </c>
    </row>
    <row r="1287" customFormat="false" ht="15" hidden="false" customHeight="false" outlineLevel="0" collapsed="false">
      <c r="A1287" s="0" t="s">
        <v>211</v>
      </c>
      <c r="B1287" s="0" t="n">
        <v>2013</v>
      </c>
      <c r="C1287" s="0" t="s">
        <v>101</v>
      </c>
      <c r="D1287" s="0" t="s">
        <v>79</v>
      </c>
      <c r="E1287" s="0" t="n">
        <v>0</v>
      </c>
      <c r="F1287" s="0" t="s">
        <v>23</v>
      </c>
      <c r="H1287" s="0" t="s">
        <v>457</v>
      </c>
      <c r="I1287" s="0" t="s">
        <v>457</v>
      </c>
      <c r="J1287" s="0" t="s">
        <v>457</v>
      </c>
      <c r="K1287" s="0" t="s">
        <v>457</v>
      </c>
      <c r="L1287" s="0" t="s">
        <v>457</v>
      </c>
      <c r="M1287" s="0" t="s">
        <v>457</v>
      </c>
      <c r="R1287" s="0" t="s">
        <v>213</v>
      </c>
    </row>
    <row r="1288" customFormat="false" ht="15" hidden="false" customHeight="false" outlineLevel="0" collapsed="false">
      <c r="A1288" s="0" t="s">
        <v>211</v>
      </c>
      <c r="B1288" s="0" t="n">
        <v>2013</v>
      </c>
      <c r="C1288" s="0" t="s">
        <v>101</v>
      </c>
      <c r="D1288" s="0" t="s">
        <v>79</v>
      </c>
      <c r="E1288" s="0" t="n">
        <v>0</v>
      </c>
      <c r="F1288" s="0" t="s">
        <v>45</v>
      </c>
      <c r="H1288" s="0" t="s">
        <v>457</v>
      </c>
      <c r="I1288" s="0" t="s">
        <v>457</v>
      </c>
      <c r="J1288" s="0" t="s">
        <v>457</v>
      </c>
      <c r="K1288" s="0" t="s">
        <v>457</v>
      </c>
      <c r="L1288" s="0" t="s">
        <v>457</v>
      </c>
      <c r="M1288" s="0" t="s">
        <v>457</v>
      </c>
      <c r="R1288" s="0" t="s">
        <v>213</v>
      </c>
    </row>
    <row r="1289" customFormat="false" ht="15" hidden="false" customHeight="false" outlineLevel="0" collapsed="false">
      <c r="A1289" s="0" t="s">
        <v>211</v>
      </c>
      <c r="B1289" s="0" t="n">
        <v>2013</v>
      </c>
      <c r="C1289" s="0" t="s">
        <v>101</v>
      </c>
      <c r="D1289" s="0" t="s">
        <v>79</v>
      </c>
      <c r="E1289" s="0" t="n">
        <v>0</v>
      </c>
      <c r="F1289" s="0" t="s">
        <v>71</v>
      </c>
      <c r="H1289" s="0" t="s">
        <v>457</v>
      </c>
      <c r="I1289" s="0" t="s">
        <v>457</v>
      </c>
      <c r="J1289" s="0" t="s">
        <v>457</v>
      </c>
      <c r="K1289" s="0" t="s">
        <v>457</v>
      </c>
      <c r="L1289" s="0" t="s">
        <v>457</v>
      </c>
      <c r="M1289" s="0" t="s">
        <v>457</v>
      </c>
      <c r="R1289" s="0" t="s">
        <v>213</v>
      </c>
    </row>
    <row r="1290" customFormat="false" ht="15" hidden="false" customHeight="false" outlineLevel="0" collapsed="false">
      <c r="A1290" s="0" t="s">
        <v>211</v>
      </c>
      <c r="B1290" s="0" t="n">
        <v>2013</v>
      </c>
      <c r="C1290" s="0" t="s">
        <v>101</v>
      </c>
      <c r="D1290" s="0" t="s">
        <v>79</v>
      </c>
      <c r="E1290" s="0" t="n">
        <v>0</v>
      </c>
      <c r="F1290" s="0" t="s">
        <v>31</v>
      </c>
      <c r="G1290" s="0" t="n">
        <v>87.4890919832482</v>
      </c>
      <c r="H1290" s="0" t="s">
        <v>437</v>
      </c>
      <c r="I1290" s="0" t="s">
        <v>437</v>
      </c>
      <c r="J1290" s="0" t="s">
        <v>437</v>
      </c>
      <c r="K1290" s="0" t="s">
        <v>457</v>
      </c>
      <c r="L1290" s="0" t="s">
        <v>437</v>
      </c>
      <c r="M1290" s="0" t="s">
        <v>457</v>
      </c>
      <c r="R1290" s="0" t="s">
        <v>213</v>
      </c>
    </row>
    <row r="1291" customFormat="false" ht="15" hidden="false" customHeight="false" outlineLevel="0" collapsed="false">
      <c r="A1291" s="0" t="s">
        <v>211</v>
      </c>
      <c r="B1291" s="0" t="n">
        <v>2014</v>
      </c>
      <c r="C1291" s="0" t="s">
        <v>101</v>
      </c>
      <c r="D1291" s="0" t="s">
        <v>79</v>
      </c>
      <c r="E1291" s="0" t="n">
        <v>0</v>
      </c>
      <c r="F1291" s="0" t="s">
        <v>73</v>
      </c>
      <c r="H1291" s="0" t="s">
        <v>457</v>
      </c>
      <c r="I1291" s="0" t="s">
        <v>457</v>
      </c>
      <c r="J1291" s="0" t="s">
        <v>457</v>
      </c>
      <c r="K1291" s="0" t="s">
        <v>457</v>
      </c>
      <c r="L1291" s="0" t="s">
        <v>457</v>
      </c>
      <c r="M1291" s="0" t="s">
        <v>457</v>
      </c>
      <c r="R1291" s="0" t="s">
        <v>81</v>
      </c>
    </row>
    <row r="1292" customFormat="false" ht="15" hidden="false" customHeight="false" outlineLevel="0" collapsed="false">
      <c r="A1292" s="0" t="s">
        <v>211</v>
      </c>
      <c r="B1292" s="0" t="n">
        <v>2014</v>
      </c>
      <c r="C1292" s="0" t="s">
        <v>101</v>
      </c>
      <c r="D1292" s="0" t="s">
        <v>79</v>
      </c>
      <c r="E1292" s="0" t="n">
        <v>0</v>
      </c>
      <c r="F1292" s="0" t="s">
        <v>69</v>
      </c>
      <c r="G1292" s="0" t="n">
        <v>18.22</v>
      </c>
      <c r="H1292" s="0" t="s">
        <v>437</v>
      </c>
      <c r="I1292" s="0" t="s">
        <v>437</v>
      </c>
      <c r="J1292" s="0" t="s">
        <v>437</v>
      </c>
      <c r="K1292" s="0" t="s">
        <v>457</v>
      </c>
      <c r="L1292" s="0" t="s">
        <v>437</v>
      </c>
      <c r="M1292" s="0" t="s">
        <v>457</v>
      </c>
      <c r="R1292" s="0" t="s">
        <v>81</v>
      </c>
    </row>
    <row r="1293" customFormat="false" ht="15" hidden="false" customHeight="false" outlineLevel="0" collapsed="false">
      <c r="A1293" s="0" t="s">
        <v>211</v>
      </c>
      <c r="B1293" s="0" t="n">
        <v>2014</v>
      </c>
      <c r="C1293" s="0" t="s">
        <v>101</v>
      </c>
      <c r="D1293" s="0" t="s">
        <v>79</v>
      </c>
      <c r="E1293" s="0" t="n">
        <v>0</v>
      </c>
      <c r="F1293" s="0" t="s">
        <v>25</v>
      </c>
      <c r="H1293" s="0" t="s">
        <v>457</v>
      </c>
      <c r="I1293" s="0" t="s">
        <v>457</v>
      </c>
      <c r="J1293" s="0" t="s">
        <v>457</v>
      </c>
      <c r="K1293" s="0" t="s">
        <v>457</v>
      </c>
      <c r="L1293" s="0" t="s">
        <v>457</v>
      </c>
      <c r="M1293" s="0" t="s">
        <v>457</v>
      </c>
      <c r="R1293" s="0" t="s">
        <v>81</v>
      </c>
    </row>
    <row r="1294" customFormat="false" ht="15" hidden="false" customHeight="false" outlineLevel="0" collapsed="false">
      <c r="A1294" s="0" t="s">
        <v>211</v>
      </c>
      <c r="B1294" s="0" t="n">
        <v>2014</v>
      </c>
      <c r="C1294" s="0" t="s">
        <v>101</v>
      </c>
      <c r="D1294" s="0" t="s">
        <v>79</v>
      </c>
      <c r="E1294" s="0" t="n">
        <v>0</v>
      </c>
      <c r="F1294" s="0" t="s">
        <v>41</v>
      </c>
      <c r="H1294" s="0" t="s">
        <v>457</v>
      </c>
      <c r="I1294" s="0" t="s">
        <v>457</v>
      </c>
      <c r="J1294" s="0" t="s">
        <v>457</v>
      </c>
      <c r="K1294" s="0" t="s">
        <v>457</v>
      </c>
      <c r="L1294" s="0" t="s">
        <v>457</v>
      </c>
      <c r="M1294" s="0" t="s">
        <v>457</v>
      </c>
      <c r="R1294" s="0" t="s">
        <v>81</v>
      </c>
    </row>
    <row r="1295" customFormat="false" ht="15" hidden="false" customHeight="false" outlineLevel="0" collapsed="false">
      <c r="A1295" s="0" t="s">
        <v>211</v>
      </c>
      <c r="B1295" s="0" t="n">
        <v>2014</v>
      </c>
      <c r="C1295" s="0" t="s">
        <v>101</v>
      </c>
      <c r="D1295" s="0" t="s">
        <v>79</v>
      </c>
      <c r="E1295" s="0" t="n">
        <v>0</v>
      </c>
      <c r="F1295" s="0" t="s">
        <v>27</v>
      </c>
      <c r="G1295" s="0" t="n">
        <v>11.4409202441248</v>
      </c>
      <c r="H1295" s="0" t="s">
        <v>437</v>
      </c>
      <c r="I1295" s="0" t="s">
        <v>437</v>
      </c>
      <c r="J1295" s="0" t="s">
        <v>437</v>
      </c>
      <c r="K1295" s="0" t="s">
        <v>437</v>
      </c>
      <c r="L1295" s="0" t="s">
        <v>437</v>
      </c>
      <c r="M1295" s="0" t="s">
        <v>457</v>
      </c>
      <c r="R1295" s="0" t="s">
        <v>81</v>
      </c>
    </row>
    <row r="1296" customFormat="false" ht="15" hidden="false" customHeight="false" outlineLevel="0" collapsed="false">
      <c r="A1296" s="0" t="s">
        <v>211</v>
      </c>
      <c r="B1296" s="0" t="n">
        <v>2014</v>
      </c>
      <c r="C1296" s="0" t="s">
        <v>101</v>
      </c>
      <c r="D1296" s="0" t="s">
        <v>79</v>
      </c>
      <c r="E1296" s="0" t="n">
        <v>0</v>
      </c>
      <c r="F1296" s="0" t="s">
        <v>39</v>
      </c>
      <c r="H1296" s="0" t="s">
        <v>457</v>
      </c>
      <c r="I1296" s="0" t="s">
        <v>457</v>
      </c>
      <c r="J1296" s="0" t="s">
        <v>457</v>
      </c>
      <c r="K1296" s="0" t="s">
        <v>457</v>
      </c>
      <c r="L1296" s="0" t="s">
        <v>457</v>
      </c>
      <c r="M1296" s="0" t="s">
        <v>457</v>
      </c>
      <c r="R1296" s="0" t="s">
        <v>81</v>
      </c>
    </row>
    <row r="1297" customFormat="false" ht="15" hidden="false" customHeight="false" outlineLevel="0" collapsed="false">
      <c r="A1297" s="0" t="s">
        <v>211</v>
      </c>
      <c r="B1297" s="0" t="n">
        <v>2014</v>
      </c>
      <c r="C1297" s="0" t="s">
        <v>101</v>
      </c>
      <c r="D1297" s="0" t="s">
        <v>79</v>
      </c>
      <c r="E1297" s="0" t="n">
        <v>0</v>
      </c>
      <c r="F1297" s="0" t="s">
        <v>17</v>
      </c>
      <c r="G1297" s="0" t="n">
        <v>1.96869546968697</v>
      </c>
      <c r="H1297" s="0" t="s">
        <v>437</v>
      </c>
      <c r="I1297" s="0" t="s">
        <v>437</v>
      </c>
      <c r="J1297" s="0" t="s">
        <v>437</v>
      </c>
      <c r="K1297" s="0" t="s">
        <v>457</v>
      </c>
      <c r="L1297" s="0" t="s">
        <v>437</v>
      </c>
      <c r="M1297" s="0" t="s">
        <v>457</v>
      </c>
      <c r="R1297" s="0" t="s">
        <v>81</v>
      </c>
    </row>
    <row r="1298" customFormat="false" ht="15" hidden="false" customHeight="false" outlineLevel="0" collapsed="false">
      <c r="A1298" s="0" t="s">
        <v>211</v>
      </c>
      <c r="B1298" s="0" t="n">
        <v>2014</v>
      </c>
      <c r="C1298" s="0" t="s">
        <v>101</v>
      </c>
      <c r="D1298" s="0" t="s">
        <v>79</v>
      </c>
      <c r="E1298" s="0" t="n">
        <v>0</v>
      </c>
      <c r="F1298" s="0" t="s">
        <v>29</v>
      </c>
      <c r="H1298" s="0" t="s">
        <v>457</v>
      </c>
      <c r="I1298" s="0" t="s">
        <v>457</v>
      </c>
      <c r="J1298" s="0" t="s">
        <v>457</v>
      </c>
      <c r="K1298" s="0" t="s">
        <v>457</v>
      </c>
      <c r="L1298" s="0" t="s">
        <v>457</v>
      </c>
      <c r="M1298" s="0" t="s">
        <v>457</v>
      </c>
      <c r="R1298" s="0" t="s">
        <v>81</v>
      </c>
    </row>
    <row r="1299" customFormat="false" ht="15" hidden="false" customHeight="false" outlineLevel="0" collapsed="false">
      <c r="A1299" s="0" t="s">
        <v>211</v>
      </c>
      <c r="B1299" s="0" t="n">
        <v>2014</v>
      </c>
      <c r="C1299" s="0" t="s">
        <v>101</v>
      </c>
      <c r="D1299" s="0" t="s">
        <v>79</v>
      </c>
      <c r="E1299" s="0" t="n">
        <v>0</v>
      </c>
      <c r="F1299" s="0" t="s">
        <v>37</v>
      </c>
      <c r="H1299" s="0" t="s">
        <v>457</v>
      </c>
      <c r="I1299" s="0" t="s">
        <v>457</v>
      </c>
      <c r="J1299" s="0" t="s">
        <v>457</v>
      </c>
      <c r="K1299" s="0" t="s">
        <v>457</v>
      </c>
      <c r="L1299" s="0" t="s">
        <v>457</v>
      </c>
      <c r="M1299" s="0" t="s">
        <v>457</v>
      </c>
      <c r="R1299" s="0" t="s">
        <v>81</v>
      </c>
    </row>
    <row r="1300" customFormat="false" ht="15" hidden="false" customHeight="false" outlineLevel="0" collapsed="false">
      <c r="A1300" s="0" t="s">
        <v>211</v>
      </c>
      <c r="B1300" s="0" t="n">
        <v>2014</v>
      </c>
      <c r="C1300" s="0" t="s">
        <v>101</v>
      </c>
      <c r="D1300" s="0" t="s">
        <v>79</v>
      </c>
      <c r="E1300" s="0" t="n">
        <v>0</v>
      </c>
      <c r="F1300" s="0" t="s">
        <v>23</v>
      </c>
      <c r="H1300" s="0" t="s">
        <v>457</v>
      </c>
      <c r="I1300" s="0" t="s">
        <v>457</v>
      </c>
      <c r="J1300" s="0" t="s">
        <v>457</v>
      </c>
      <c r="K1300" s="0" t="s">
        <v>457</v>
      </c>
      <c r="L1300" s="0" t="s">
        <v>457</v>
      </c>
      <c r="M1300" s="0" t="s">
        <v>457</v>
      </c>
      <c r="R1300" s="0" t="s">
        <v>81</v>
      </c>
    </row>
    <row r="1301" customFormat="false" ht="15" hidden="false" customHeight="false" outlineLevel="0" collapsed="false">
      <c r="A1301" s="0" t="s">
        <v>211</v>
      </c>
      <c r="B1301" s="0" t="n">
        <v>2014</v>
      </c>
      <c r="C1301" s="0" t="s">
        <v>101</v>
      </c>
      <c r="D1301" s="0" t="s">
        <v>79</v>
      </c>
      <c r="E1301" s="0" t="n">
        <v>0</v>
      </c>
      <c r="F1301" s="0" t="s">
        <v>45</v>
      </c>
      <c r="H1301" s="0" t="s">
        <v>457</v>
      </c>
      <c r="I1301" s="0" t="s">
        <v>457</v>
      </c>
      <c r="J1301" s="0" t="s">
        <v>457</v>
      </c>
      <c r="K1301" s="0" t="s">
        <v>457</v>
      </c>
      <c r="L1301" s="0" t="s">
        <v>457</v>
      </c>
      <c r="M1301" s="0" t="s">
        <v>457</v>
      </c>
      <c r="R1301" s="0" t="s">
        <v>81</v>
      </c>
    </row>
    <row r="1302" customFormat="false" ht="15" hidden="false" customHeight="false" outlineLevel="0" collapsed="false">
      <c r="A1302" s="0" t="s">
        <v>211</v>
      </c>
      <c r="B1302" s="0" t="n">
        <v>2014</v>
      </c>
      <c r="C1302" s="0" t="s">
        <v>101</v>
      </c>
      <c r="D1302" s="0" t="s">
        <v>79</v>
      </c>
      <c r="E1302" s="0" t="n">
        <v>0</v>
      </c>
      <c r="F1302" s="0" t="s">
        <v>71</v>
      </c>
      <c r="H1302" s="0" t="s">
        <v>457</v>
      </c>
      <c r="I1302" s="0" t="s">
        <v>457</v>
      </c>
      <c r="J1302" s="0" t="s">
        <v>457</v>
      </c>
      <c r="K1302" s="0" t="s">
        <v>457</v>
      </c>
      <c r="L1302" s="0" t="s">
        <v>457</v>
      </c>
      <c r="M1302" s="0" t="s">
        <v>457</v>
      </c>
      <c r="R1302" s="0" t="s">
        <v>81</v>
      </c>
    </row>
    <row r="1303" customFormat="false" ht="15" hidden="false" customHeight="false" outlineLevel="0" collapsed="false">
      <c r="A1303" s="0" t="s">
        <v>211</v>
      </c>
      <c r="B1303" s="0" t="n">
        <v>2014</v>
      </c>
      <c r="C1303" s="0" t="s">
        <v>101</v>
      </c>
      <c r="D1303" s="0" t="s">
        <v>79</v>
      </c>
      <c r="E1303" s="0" t="n">
        <v>0</v>
      </c>
      <c r="F1303" s="0" t="s">
        <v>31</v>
      </c>
      <c r="G1303" s="0" t="n">
        <v>88.5590797558752</v>
      </c>
      <c r="H1303" s="0" t="s">
        <v>437</v>
      </c>
      <c r="I1303" s="0" t="s">
        <v>437</v>
      </c>
      <c r="J1303" s="0" t="s">
        <v>437</v>
      </c>
      <c r="K1303" s="0" t="s">
        <v>437</v>
      </c>
      <c r="L1303" s="0" t="s">
        <v>437</v>
      </c>
      <c r="M1303" s="0" t="s">
        <v>457</v>
      </c>
      <c r="R1303" s="0" t="s">
        <v>81</v>
      </c>
    </row>
    <row r="1304" customFormat="false" ht="15" hidden="false" customHeight="false" outlineLevel="0" collapsed="false">
      <c r="A1304" s="0" t="s">
        <v>211</v>
      </c>
      <c r="B1304" s="0" t="n">
        <v>2015</v>
      </c>
      <c r="C1304" s="0" t="s">
        <v>101</v>
      </c>
      <c r="D1304" s="0" t="s">
        <v>79</v>
      </c>
      <c r="E1304" s="0" t="n">
        <v>0</v>
      </c>
      <c r="F1304" s="0" t="s">
        <v>73</v>
      </c>
      <c r="H1304" s="0" t="s">
        <v>457</v>
      </c>
      <c r="I1304" s="0" t="s">
        <v>457</v>
      </c>
      <c r="J1304" s="0" t="s">
        <v>457</v>
      </c>
      <c r="K1304" s="0" t="s">
        <v>457</v>
      </c>
      <c r="L1304" s="0" t="s">
        <v>457</v>
      </c>
      <c r="M1304" s="0" t="s">
        <v>457</v>
      </c>
      <c r="R1304" s="0" t="s">
        <v>81</v>
      </c>
    </row>
    <row r="1305" customFormat="false" ht="15" hidden="false" customHeight="false" outlineLevel="0" collapsed="false">
      <c r="A1305" s="0" t="s">
        <v>211</v>
      </c>
      <c r="B1305" s="0" t="n">
        <v>2015</v>
      </c>
      <c r="C1305" s="0" t="s">
        <v>101</v>
      </c>
      <c r="D1305" s="0" t="s">
        <v>79</v>
      </c>
      <c r="E1305" s="0" t="n">
        <v>0</v>
      </c>
      <c r="F1305" s="0" t="s">
        <v>69</v>
      </c>
      <c r="G1305" s="0" t="n">
        <v>15.09</v>
      </c>
      <c r="H1305" s="0" t="s">
        <v>437</v>
      </c>
      <c r="I1305" s="0" t="s">
        <v>437</v>
      </c>
      <c r="J1305" s="0" t="s">
        <v>437</v>
      </c>
      <c r="K1305" s="0" t="s">
        <v>437</v>
      </c>
      <c r="L1305" s="0" t="s">
        <v>437</v>
      </c>
      <c r="M1305" s="0" t="s">
        <v>457</v>
      </c>
      <c r="R1305" s="0" t="s">
        <v>81</v>
      </c>
    </row>
    <row r="1306" customFormat="false" ht="15" hidden="false" customHeight="false" outlineLevel="0" collapsed="false">
      <c r="A1306" s="0" t="s">
        <v>211</v>
      </c>
      <c r="B1306" s="0" t="n">
        <v>2015</v>
      </c>
      <c r="C1306" s="0" t="s">
        <v>101</v>
      </c>
      <c r="D1306" s="0" t="s">
        <v>79</v>
      </c>
      <c r="E1306" s="0" t="n">
        <v>0</v>
      </c>
      <c r="F1306" s="0" t="s">
        <v>25</v>
      </c>
      <c r="H1306" s="0" t="s">
        <v>457</v>
      </c>
      <c r="I1306" s="0" t="s">
        <v>457</v>
      </c>
      <c r="J1306" s="0" t="s">
        <v>457</v>
      </c>
      <c r="K1306" s="0" t="s">
        <v>457</v>
      </c>
      <c r="L1306" s="0" t="s">
        <v>457</v>
      </c>
      <c r="M1306" s="0" t="s">
        <v>457</v>
      </c>
      <c r="R1306" s="0" t="s">
        <v>81</v>
      </c>
    </row>
    <row r="1307" customFormat="false" ht="15" hidden="false" customHeight="false" outlineLevel="0" collapsed="false">
      <c r="A1307" s="0" t="s">
        <v>211</v>
      </c>
      <c r="B1307" s="0" t="n">
        <v>2015</v>
      </c>
      <c r="C1307" s="0" t="s">
        <v>101</v>
      </c>
      <c r="D1307" s="0" t="s">
        <v>79</v>
      </c>
      <c r="E1307" s="0" t="n">
        <v>0</v>
      </c>
      <c r="F1307" s="0" t="s">
        <v>41</v>
      </c>
      <c r="G1307" s="0" t="n">
        <v>0.583392426323893</v>
      </c>
      <c r="H1307" s="0" t="s">
        <v>437</v>
      </c>
      <c r="I1307" s="0" t="s">
        <v>437</v>
      </c>
      <c r="J1307" s="0" t="s">
        <v>437</v>
      </c>
      <c r="K1307" s="0" t="s">
        <v>457</v>
      </c>
      <c r="L1307" s="0" t="s">
        <v>437</v>
      </c>
      <c r="M1307" s="0" t="s">
        <v>457</v>
      </c>
      <c r="R1307" s="0" t="s">
        <v>81</v>
      </c>
    </row>
    <row r="1308" customFormat="false" ht="15" hidden="false" customHeight="false" outlineLevel="0" collapsed="false">
      <c r="A1308" s="0" t="s">
        <v>211</v>
      </c>
      <c r="B1308" s="0" t="n">
        <v>2015</v>
      </c>
      <c r="C1308" s="0" t="s">
        <v>101</v>
      </c>
      <c r="D1308" s="0" t="s">
        <v>79</v>
      </c>
      <c r="E1308" s="0" t="n">
        <v>0</v>
      </c>
      <c r="F1308" s="0" t="s">
        <v>27</v>
      </c>
      <c r="G1308" s="0" t="n">
        <v>11.6105573489261</v>
      </c>
      <c r="H1308" s="0" t="s">
        <v>437</v>
      </c>
      <c r="I1308" s="0" t="s">
        <v>437</v>
      </c>
      <c r="J1308" s="0" t="s">
        <v>437</v>
      </c>
      <c r="K1308" s="0" t="s">
        <v>437</v>
      </c>
      <c r="L1308" s="0" t="s">
        <v>437</v>
      </c>
      <c r="M1308" s="0" t="s">
        <v>457</v>
      </c>
      <c r="R1308" s="0" t="s">
        <v>81</v>
      </c>
    </row>
    <row r="1309" customFormat="false" ht="15" hidden="false" customHeight="false" outlineLevel="0" collapsed="false">
      <c r="A1309" s="0" t="s">
        <v>211</v>
      </c>
      <c r="B1309" s="0" t="n">
        <v>2015</v>
      </c>
      <c r="C1309" s="0" t="s">
        <v>101</v>
      </c>
      <c r="D1309" s="0" t="s">
        <v>79</v>
      </c>
      <c r="E1309" s="0" t="n">
        <v>0</v>
      </c>
      <c r="F1309" s="0" t="s">
        <v>39</v>
      </c>
      <c r="G1309" s="0" t="n">
        <v>3.76649994825009</v>
      </c>
      <c r="H1309" s="0" t="s">
        <v>437</v>
      </c>
      <c r="I1309" s="0" t="s">
        <v>437</v>
      </c>
      <c r="J1309" s="0" t="s">
        <v>437</v>
      </c>
      <c r="K1309" s="0" t="s">
        <v>457</v>
      </c>
      <c r="L1309" s="0" t="s">
        <v>437</v>
      </c>
      <c r="M1309" s="0" t="s">
        <v>457</v>
      </c>
      <c r="R1309" s="0" t="s">
        <v>81</v>
      </c>
    </row>
    <row r="1310" customFormat="false" ht="15" hidden="false" customHeight="false" outlineLevel="0" collapsed="false">
      <c r="A1310" s="0" t="s">
        <v>211</v>
      </c>
      <c r="B1310" s="0" t="n">
        <v>2015</v>
      </c>
      <c r="C1310" s="0" t="s">
        <v>101</v>
      </c>
      <c r="D1310" s="0" t="s">
        <v>79</v>
      </c>
      <c r="E1310" s="0" t="n">
        <v>0</v>
      </c>
      <c r="F1310" s="0" t="s">
        <v>17</v>
      </c>
      <c r="G1310" s="0" t="n">
        <v>1.29044478949221</v>
      </c>
      <c r="H1310" s="0" t="s">
        <v>437</v>
      </c>
      <c r="I1310" s="0" t="s">
        <v>437</v>
      </c>
      <c r="J1310" s="0" t="s">
        <v>437</v>
      </c>
      <c r="K1310" s="0" t="s">
        <v>437</v>
      </c>
      <c r="L1310" s="0" t="s">
        <v>437</v>
      </c>
      <c r="M1310" s="0" t="s">
        <v>457</v>
      </c>
      <c r="R1310" s="0" t="s">
        <v>81</v>
      </c>
    </row>
    <row r="1311" customFormat="false" ht="15" hidden="false" customHeight="false" outlineLevel="0" collapsed="false">
      <c r="A1311" s="0" t="s">
        <v>211</v>
      </c>
      <c r="B1311" s="0" t="n">
        <v>2015</v>
      </c>
      <c r="C1311" s="0" t="s">
        <v>101</v>
      </c>
      <c r="D1311" s="0" t="s">
        <v>79</v>
      </c>
      <c r="E1311" s="0" t="n">
        <v>0</v>
      </c>
      <c r="F1311" s="0" t="s">
        <v>29</v>
      </c>
      <c r="G1311" s="0" t="n">
        <v>-0.0199254303856392</v>
      </c>
      <c r="H1311" s="0" t="s">
        <v>437</v>
      </c>
      <c r="I1311" s="0" t="s">
        <v>437</v>
      </c>
      <c r="J1311" s="0" t="s">
        <v>437</v>
      </c>
      <c r="K1311" s="0" t="s">
        <v>457</v>
      </c>
      <c r="L1311" s="0" t="s">
        <v>437</v>
      </c>
      <c r="M1311" s="0" t="s">
        <v>457</v>
      </c>
      <c r="R1311" s="0" t="s">
        <v>81</v>
      </c>
    </row>
    <row r="1312" customFormat="false" ht="15" hidden="false" customHeight="false" outlineLevel="0" collapsed="false">
      <c r="A1312" s="0" t="s">
        <v>211</v>
      </c>
      <c r="B1312" s="0" t="n">
        <v>2015</v>
      </c>
      <c r="C1312" s="0" t="s">
        <v>101</v>
      </c>
      <c r="D1312" s="0" t="s">
        <v>79</v>
      </c>
      <c r="E1312" s="0" t="n">
        <v>0</v>
      </c>
      <c r="F1312" s="0" t="s">
        <v>37</v>
      </c>
      <c r="H1312" s="0" t="s">
        <v>457</v>
      </c>
      <c r="I1312" s="0" t="s">
        <v>457</v>
      </c>
      <c r="J1312" s="0" t="s">
        <v>457</v>
      </c>
      <c r="K1312" s="0" t="s">
        <v>457</v>
      </c>
      <c r="L1312" s="0" t="s">
        <v>457</v>
      </c>
      <c r="M1312" s="0" t="s">
        <v>457</v>
      </c>
      <c r="R1312" s="0" t="s">
        <v>81</v>
      </c>
    </row>
    <row r="1313" customFormat="false" ht="15" hidden="false" customHeight="false" outlineLevel="0" collapsed="false">
      <c r="A1313" s="0" t="s">
        <v>211</v>
      </c>
      <c r="B1313" s="0" t="n">
        <v>2015</v>
      </c>
      <c r="C1313" s="0" t="s">
        <v>101</v>
      </c>
      <c r="D1313" s="0" t="s">
        <v>79</v>
      </c>
      <c r="E1313" s="0" t="n">
        <v>0</v>
      </c>
      <c r="F1313" s="0" t="s">
        <v>23</v>
      </c>
      <c r="H1313" s="0" t="s">
        <v>457</v>
      </c>
      <c r="I1313" s="0" t="s">
        <v>457</v>
      </c>
      <c r="J1313" s="0" t="s">
        <v>457</v>
      </c>
      <c r="K1313" s="0" t="s">
        <v>457</v>
      </c>
      <c r="L1313" s="0" t="s">
        <v>457</v>
      </c>
      <c r="M1313" s="0" t="s">
        <v>457</v>
      </c>
      <c r="R1313" s="0" t="s">
        <v>81</v>
      </c>
    </row>
    <row r="1314" customFormat="false" ht="15" hidden="false" customHeight="false" outlineLevel="0" collapsed="false">
      <c r="A1314" s="0" t="s">
        <v>211</v>
      </c>
      <c r="B1314" s="0" t="n">
        <v>2015</v>
      </c>
      <c r="C1314" s="0" t="s">
        <v>101</v>
      </c>
      <c r="D1314" s="0" t="s">
        <v>79</v>
      </c>
      <c r="E1314" s="0" t="n">
        <v>0</v>
      </c>
      <c r="F1314" s="0" t="s">
        <v>45</v>
      </c>
      <c r="H1314" s="0" t="s">
        <v>457</v>
      </c>
      <c r="I1314" s="0" t="s">
        <v>457</v>
      </c>
      <c r="J1314" s="0" t="s">
        <v>457</v>
      </c>
      <c r="K1314" s="0" t="s">
        <v>457</v>
      </c>
      <c r="L1314" s="0" t="s">
        <v>457</v>
      </c>
      <c r="M1314" s="0" t="s">
        <v>457</v>
      </c>
      <c r="R1314" s="0" t="s">
        <v>81</v>
      </c>
    </row>
    <row r="1315" customFormat="false" ht="15" hidden="false" customHeight="false" outlineLevel="0" collapsed="false">
      <c r="A1315" s="0" t="s">
        <v>211</v>
      </c>
      <c r="B1315" s="0" t="n">
        <v>2015</v>
      </c>
      <c r="C1315" s="0" t="s">
        <v>101</v>
      </c>
      <c r="D1315" s="0" t="s">
        <v>79</v>
      </c>
      <c r="E1315" s="0" t="n">
        <v>0</v>
      </c>
      <c r="F1315" s="0" t="s">
        <v>71</v>
      </c>
      <c r="H1315" s="0" t="s">
        <v>457</v>
      </c>
      <c r="I1315" s="0" t="s">
        <v>457</v>
      </c>
      <c r="J1315" s="0" t="s">
        <v>457</v>
      </c>
      <c r="K1315" s="0" t="s">
        <v>457</v>
      </c>
      <c r="L1315" s="0" t="s">
        <v>457</v>
      </c>
      <c r="M1315" s="0" t="s">
        <v>457</v>
      </c>
      <c r="R1315" s="0" t="s">
        <v>81</v>
      </c>
    </row>
    <row r="1316" customFormat="false" ht="15" hidden="false" customHeight="false" outlineLevel="0" collapsed="false">
      <c r="A1316" s="0" t="s">
        <v>211</v>
      </c>
      <c r="B1316" s="0" t="n">
        <v>2015</v>
      </c>
      <c r="C1316" s="0" t="s">
        <v>101</v>
      </c>
      <c r="D1316" s="0" t="s">
        <v>79</v>
      </c>
      <c r="E1316" s="0" t="n">
        <v>0</v>
      </c>
      <c r="F1316" s="0" t="s">
        <v>31</v>
      </c>
      <c r="G1316" s="0" t="n">
        <v>88.3894426510739</v>
      </c>
      <c r="H1316" s="0" t="s">
        <v>437</v>
      </c>
      <c r="I1316" s="0" t="s">
        <v>437</v>
      </c>
      <c r="J1316" s="0" t="s">
        <v>437</v>
      </c>
      <c r="K1316" s="0" t="s">
        <v>437</v>
      </c>
      <c r="L1316" s="0" t="s">
        <v>437</v>
      </c>
      <c r="M1316" s="0" t="s">
        <v>457</v>
      </c>
      <c r="R1316" s="0" t="s">
        <v>81</v>
      </c>
    </row>
    <row r="1317" customFormat="false" ht="15" hidden="false" customHeight="false" outlineLevel="0" collapsed="false">
      <c r="A1317" s="0" t="s">
        <v>211</v>
      </c>
      <c r="B1317" s="0" t="n">
        <v>2016</v>
      </c>
      <c r="C1317" s="0" t="s">
        <v>101</v>
      </c>
      <c r="D1317" s="0" t="s">
        <v>79</v>
      </c>
      <c r="E1317" s="0" t="n">
        <v>0</v>
      </c>
      <c r="F1317" s="0" t="s">
        <v>73</v>
      </c>
      <c r="G1317" s="0" t="n">
        <v>0</v>
      </c>
      <c r="H1317" s="0" t="s">
        <v>437</v>
      </c>
      <c r="I1317" s="0" t="s">
        <v>437</v>
      </c>
      <c r="J1317" s="0" t="s">
        <v>437</v>
      </c>
      <c r="K1317" s="0" t="s">
        <v>457</v>
      </c>
      <c r="L1317" s="0" t="s">
        <v>437</v>
      </c>
      <c r="M1317" s="0" t="s">
        <v>457</v>
      </c>
      <c r="R1317" s="0" t="s">
        <v>81</v>
      </c>
    </row>
    <row r="1318" customFormat="false" ht="15" hidden="false" customHeight="false" outlineLevel="0" collapsed="false">
      <c r="A1318" s="0" t="s">
        <v>211</v>
      </c>
      <c r="B1318" s="0" t="n">
        <v>2016</v>
      </c>
      <c r="C1318" s="0" t="s">
        <v>101</v>
      </c>
      <c r="D1318" s="0" t="s">
        <v>79</v>
      </c>
      <c r="E1318" s="0" t="n">
        <v>0</v>
      </c>
      <c r="F1318" s="0" t="s">
        <v>69</v>
      </c>
      <c r="H1318" s="0" t="s">
        <v>457</v>
      </c>
      <c r="I1318" s="0" t="s">
        <v>457</v>
      </c>
      <c r="J1318" s="0" t="s">
        <v>457</v>
      </c>
      <c r="K1318" s="0" t="s">
        <v>457</v>
      </c>
      <c r="L1318" s="0" t="s">
        <v>457</v>
      </c>
      <c r="M1318" s="0" t="s">
        <v>457</v>
      </c>
      <c r="R1318" s="0" t="s">
        <v>81</v>
      </c>
    </row>
    <row r="1319" customFormat="false" ht="15" hidden="false" customHeight="false" outlineLevel="0" collapsed="false">
      <c r="A1319" s="0" t="s">
        <v>211</v>
      </c>
      <c r="B1319" s="0" t="n">
        <v>2016</v>
      </c>
      <c r="C1319" s="0" t="s">
        <v>101</v>
      </c>
      <c r="D1319" s="0" t="s">
        <v>79</v>
      </c>
      <c r="E1319" s="0" t="n">
        <v>0</v>
      </c>
      <c r="F1319" s="0" t="s">
        <v>25</v>
      </c>
      <c r="H1319" s="0" t="s">
        <v>457</v>
      </c>
      <c r="I1319" s="0" t="s">
        <v>457</v>
      </c>
      <c r="J1319" s="0" t="s">
        <v>457</v>
      </c>
      <c r="K1319" s="0" t="s">
        <v>457</v>
      </c>
      <c r="L1319" s="0" t="s">
        <v>457</v>
      </c>
      <c r="M1319" s="0" t="s">
        <v>457</v>
      </c>
      <c r="R1319" s="0" t="s">
        <v>81</v>
      </c>
    </row>
    <row r="1320" customFormat="false" ht="15" hidden="false" customHeight="false" outlineLevel="0" collapsed="false">
      <c r="A1320" s="0" t="s">
        <v>211</v>
      </c>
      <c r="B1320" s="0" t="n">
        <v>2016</v>
      </c>
      <c r="C1320" s="0" t="s">
        <v>101</v>
      </c>
      <c r="D1320" s="0" t="s">
        <v>79</v>
      </c>
      <c r="E1320" s="0" t="n">
        <v>0</v>
      </c>
      <c r="F1320" s="0" t="s">
        <v>41</v>
      </c>
      <c r="G1320" s="0" t="n">
        <v>0.633719550246903</v>
      </c>
      <c r="H1320" s="0" t="s">
        <v>437</v>
      </c>
      <c r="I1320" s="0" t="s">
        <v>437</v>
      </c>
      <c r="J1320" s="0" t="s">
        <v>437</v>
      </c>
      <c r="K1320" s="0" t="s">
        <v>437</v>
      </c>
      <c r="L1320" s="0" t="s">
        <v>437</v>
      </c>
      <c r="M1320" s="0" t="s">
        <v>457</v>
      </c>
      <c r="R1320" s="0" t="s">
        <v>81</v>
      </c>
    </row>
    <row r="1321" customFormat="false" ht="15" hidden="false" customHeight="false" outlineLevel="0" collapsed="false">
      <c r="A1321" s="0" t="s">
        <v>211</v>
      </c>
      <c r="B1321" s="0" t="n">
        <v>2016</v>
      </c>
      <c r="C1321" s="0" t="s">
        <v>101</v>
      </c>
      <c r="D1321" s="0" t="s">
        <v>79</v>
      </c>
      <c r="E1321" s="0" t="n">
        <v>0</v>
      </c>
      <c r="F1321" s="0" t="s">
        <v>27</v>
      </c>
      <c r="G1321" s="0" t="n">
        <v>11.5146086863525</v>
      </c>
      <c r="H1321" s="0" t="s">
        <v>437</v>
      </c>
      <c r="I1321" s="0" t="s">
        <v>437</v>
      </c>
      <c r="J1321" s="0" t="s">
        <v>437</v>
      </c>
      <c r="K1321" s="0" t="s">
        <v>437</v>
      </c>
      <c r="L1321" s="0" t="s">
        <v>437</v>
      </c>
      <c r="M1321" s="0" t="s">
        <v>457</v>
      </c>
      <c r="R1321" s="0" t="s">
        <v>81</v>
      </c>
    </row>
    <row r="1322" customFormat="false" ht="15" hidden="false" customHeight="false" outlineLevel="0" collapsed="false">
      <c r="A1322" s="0" t="s">
        <v>211</v>
      </c>
      <c r="B1322" s="0" t="n">
        <v>2016</v>
      </c>
      <c r="C1322" s="0" t="s">
        <v>101</v>
      </c>
      <c r="D1322" s="0" t="s">
        <v>79</v>
      </c>
      <c r="E1322" s="0" t="n">
        <v>0</v>
      </c>
      <c r="F1322" s="0" t="s">
        <v>39</v>
      </c>
      <c r="G1322" s="0" t="n">
        <v>3.88584832578584</v>
      </c>
      <c r="H1322" s="0" t="s">
        <v>437</v>
      </c>
      <c r="I1322" s="0" t="s">
        <v>437</v>
      </c>
      <c r="J1322" s="0" t="s">
        <v>437</v>
      </c>
      <c r="K1322" s="0" t="s">
        <v>437</v>
      </c>
      <c r="L1322" s="0" t="s">
        <v>437</v>
      </c>
      <c r="M1322" s="0" t="s">
        <v>457</v>
      </c>
      <c r="R1322" s="0" t="s">
        <v>81</v>
      </c>
    </row>
    <row r="1323" customFormat="false" ht="15" hidden="false" customHeight="false" outlineLevel="0" collapsed="false">
      <c r="A1323" s="0" t="s">
        <v>211</v>
      </c>
      <c r="B1323" s="0" t="n">
        <v>2016</v>
      </c>
      <c r="C1323" s="0" t="s">
        <v>101</v>
      </c>
      <c r="D1323" s="0" t="s">
        <v>79</v>
      </c>
      <c r="E1323" s="0" t="n">
        <v>0</v>
      </c>
      <c r="F1323" s="0" t="s">
        <v>17</v>
      </c>
      <c r="H1323" s="0" t="s">
        <v>457</v>
      </c>
      <c r="I1323" s="0" t="s">
        <v>457</v>
      </c>
      <c r="J1323" s="0" t="s">
        <v>457</v>
      </c>
      <c r="K1323" s="0" t="s">
        <v>457</v>
      </c>
      <c r="L1323" s="0" t="s">
        <v>457</v>
      </c>
      <c r="M1323" s="0" t="s">
        <v>457</v>
      </c>
      <c r="R1323" s="0" t="s">
        <v>81</v>
      </c>
    </row>
    <row r="1324" customFormat="false" ht="15" hidden="false" customHeight="false" outlineLevel="0" collapsed="false">
      <c r="A1324" s="0" t="s">
        <v>211</v>
      </c>
      <c r="B1324" s="0" t="n">
        <v>2016</v>
      </c>
      <c r="C1324" s="0" t="s">
        <v>101</v>
      </c>
      <c r="D1324" s="0" t="s">
        <v>79</v>
      </c>
      <c r="E1324" s="0" t="n">
        <v>0</v>
      </c>
      <c r="F1324" s="0" t="s">
        <v>29</v>
      </c>
      <c r="G1324" s="0" t="n">
        <v>0.100835934964647</v>
      </c>
      <c r="H1324" s="0" t="s">
        <v>437</v>
      </c>
      <c r="I1324" s="0" t="s">
        <v>437</v>
      </c>
      <c r="J1324" s="0" t="s">
        <v>437</v>
      </c>
      <c r="K1324" s="0" t="s">
        <v>437</v>
      </c>
      <c r="L1324" s="0" t="s">
        <v>437</v>
      </c>
      <c r="M1324" s="0" t="s">
        <v>457</v>
      </c>
      <c r="R1324" s="0" t="s">
        <v>81</v>
      </c>
    </row>
    <row r="1325" customFormat="false" ht="15" hidden="false" customHeight="false" outlineLevel="0" collapsed="false">
      <c r="A1325" s="0" t="s">
        <v>211</v>
      </c>
      <c r="B1325" s="0" t="n">
        <v>2016</v>
      </c>
      <c r="C1325" s="0" t="s">
        <v>101</v>
      </c>
      <c r="D1325" s="0" t="s">
        <v>79</v>
      </c>
      <c r="E1325" s="0" t="n">
        <v>0</v>
      </c>
      <c r="F1325" s="0" t="s">
        <v>37</v>
      </c>
      <c r="H1325" s="0" t="s">
        <v>457</v>
      </c>
      <c r="I1325" s="0" t="s">
        <v>457</v>
      </c>
      <c r="J1325" s="0" t="s">
        <v>457</v>
      </c>
      <c r="K1325" s="0" t="s">
        <v>457</v>
      </c>
      <c r="L1325" s="0" t="s">
        <v>457</v>
      </c>
      <c r="M1325" s="0" t="s">
        <v>457</v>
      </c>
      <c r="R1325" s="0" t="s">
        <v>81</v>
      </c>
    </row>
    <row r="1326" customFormat="false" ht="15" hidden="false" customHeight="false" outlineLevel="0" collapsed="false">
      <c r="A1326" s="0" t="s">
        <v>211</v>
      </c>
      <c r="B1326" s="0" t="n">
        <v>2016</v>
      </c>
      <c r="C1326" s="0" t="s">
        <v>101</v>
      </c>
      <c r="D1326" s="0" t="s">
        <v>79</v>
      </c>
      <c r="E1326" s="0" t="n">
        <v>0</v>
      </c>
      <c r="F1326" s="0" t="s">
        <v>23</v>
      </c>
      <c r="H1326" s="0" t="s">
        <v>457</v>
      </c>
      <c r="I1326" s="0" t="s">
        <v>457</v>
      </c>
      <c r="J1326" s="0" t="s">
        <v>457</v>
      </c>
      <c r="K1326" s="0" t="s">
        <v>457</v>
      </c>
      <c r="L1326" s="0" t="s">
        <v>457</v>
      </c>
      <c r="M1326" s="0" t="s">
        <v>457</v>
      </c>
      <c r="R1326" s="0" t="s">
        <v>81</v>
      </c>
    </row>
    <row r="1327" customFormat="false" ht="15" hidden="false" customHeight="false" outlineLevel="0" collapsed="false">
      <c r="A1327" s="0" t="s">
        <v>211</v>
      </c>
      <c r="B1327" s="0" t="n">
        <v>2016</v>
      </c>
      <c r="C1327" s="0" t="s">
        <v>101</v>
      </c>
      <c r="D1327" s="0" t="s">
        <v>79</v>
      </c>
      <c r="E1327" s="0" t="n">
        <v>0</v>
      </c>
      <c r="F1327" s="0" t="s">
        <v>45</v>
      </c>
      <c r="H1327" s="0" t="s">
        <v>457</v>
      </c>
      <c r="I1327" s="0" t="s">
        <v>457</v>
      </c>
      <c r="J1327" s="0" t="s">
        <v>457</v>
      </c>
      <c r="K1327" s="0" t="s">
        <v>457</v>
      </c>
      <c r="L1327" s="0" t="s">
        <v>457</v>
      </c>
      <c r="M1327" s="0" t="s">
        <v>457</v>
      </c>
      <c r="R1327" s="0" t="s">
        <v>81</v>
      </c>
    </row>
    <row r="1328" customFormat="false" ht="15" hidden="false" customHeight="false" outlineLevel="0" collapsed="false">
      <c r="A1328" s="0" t="s">
        <v>211</v>
      </c>
      <c r="B1328" s="0" t="n">
        <v>2016</v>
      </c>
      <c r="C1328" s="0" t="s">
        <v>101</v>
      </c>
      <c r="D1328" s="0" t="s">
        <v>79</v>
      </c>
      <c r="E1328" s="0" t="n">
        <v>0</v>
      </c>
      <c r="F1328" s="0" t="s">
        <v>71</v>
      </c>
      <c r="H1328" s="0" t="s">
        <v>457</v>
      </c>
      <c r="I1328" s="0" t="s">
        <v>457</v>
      </c>
      <c r="J1328" s="0" t="s">
        <v>457</v>
      </c>
      <c r="K1328" s="0" t="s">
        <v>457</v>
      </c>
      <c r="L1328" s="0" t="s">
        <v>457</v>
      </c>
      <c r="M1328" s="0" t="s">
        <v>457</v>
      </c>
      <c r="R1328" s="0" t="s">
        <v>81</v>
      </c>
    </row>
    <row r="1329" customFormat="false" ht="15" hidden="false" customHeight="false" outlineLevel="0" collapsed="false">
      <c r="A1329" s="0" t="s">
        <v>211</v>
      </c>
      <c r="B1329" s="0" t="n">
        <v>2016</v>
      </c>
      <c r="C1329" s="0" t="s">
        <v>101</v>
      </c>
      <c r="D1329" s="0" t="s">
        <v>79</v>
      </c>
      <c r="E1329" s="0" t="n">
        <v>0</v>
      </c>
      <c r="F1329" s="0" t="s">
        <v>31</v>
      </c>
      <c r="G1329" s="0" t="n">
        <v>88.4853913136475</v>
      </c>
      <c r="H1329" s="0" t="s">
        <v>437</v>
      </c>
      <c r="I1329" s="0" t="s">
        <v>437</v>
      </c>
      <c r="J1329" s="0" t="s">
        <v>437</v>
      </c>
      <c r="K1329" s="0" t="s">
        <v>437</v>
      </c>
      <c r="L1329" s="0" t="s">
        <v>437</v>
      </c>
      <c r="M1329" s="0" t="s">
        <v>457</v>
      </c>
      <c r="R1329" s="0" t="s">
        <v>81</v>
      </c>
    </row>
    <row r="1330" customFormat="false" ht="15" hidden="false" customHeight="false" outlineLevel="0" collapsed="false">
      <c r="A1330" s="0" t="s">
        <v>211</v>
      </c>
      <c r="B1330" s="0" t="n">
        <v>2017</v>
      </c>
      <c r="C1330" s="0" t="s">
        <v>101</v>
      </c>
      <c r="D1330" s="0" t="s">
        <v>79</v>
      </c>
      <c r="E1330" s="0" t="n">
        <v>0</v>
      </c>
      <c r="F1330" s="0" t="s">
        <v>73</v>
      </c>
      <c r="H1330" s="0" t="s">
        <v>457</v>
      </c>
      <c r="I1330" s="0" t="s">
        <v>457</v>
      </c>
      <c r="J1330" s="0" t="s">
        <v>457</v>
      </c>
      <c r="K1330" s="0" t="s">
        <v>457</v>
      </c>
      <c r="L1330" s="0" t="s">
        <v>457</v>
      </c>
      <c r="M1330" s="0" t="s">
        <v>457</v>
      </c>
      <c r="R1330" s="0" t="s">
        <v>81</v>
      </c>
    </row>
    <row r="1331" customFormat="false" ht="15" hidden="false" customHeight="false" outlineLevel="0" collapsed="false">
      <c r="A1331" s="0" t="s">
        <v>211</v>
      </c>
      <c r="B1331" s="0" t="n">
        <v>2017</v>
      </c>
      <c r="C1331" s="0" t="s">
        <v>101</v>
      </c>
      <c r="D1331" s="0" t="s">
        <v>79</v>
      </c>
      <c r="E1331" s="0" t="n">
        <v>0</v>
      </c>
      <c r="F1331" s="0" t="s">
        <v>69</v>
      </c>
      <c r="G1331" s="0" t="n">
        <v>14.32</v>
      </c>
      <c r="H1331" s="0" t="s">
        <v>437</v>
      </c>
      <c r="I1331" s="0" t="s">
        <v>437</v>
      </c>
      <c r="J1331" s="0" t="s">
        <v>437</v>
      </c>
      <c r="K1331" s="0" t="s">
        <v>457</v>
      </c>
      <c r="L1331" s="0" t="s">
        <v>437</v>
      </c>
      <c r="M1331" s="0" t="s">
        <v>457</v>
      </c>
      <c r="R1331" s="0" t="s">
        <v>81</v>
      </c>
    </row>
    <row r="1332" customFormat="false" ht="15" hidden="false" customHeight="false" outlineLevel="0" collapsed="false">
      <c r="A1332" s="0" t="s">
        <v>211</v>
      </c>
      <c r="B1332" s="0" t="n">
        <v>2017</v>
      </c>
      <c r="C1332" s="0" t="s">
        <v>101</v>
      </c>
      <c r="D1332" s="0" t="s">
        <v>79</v>
      </c>
      <c r="E1332" s="0" t="n">
        <v>0</v>
      </c>
      <c r="F1332" s="0" t="s">
        <v>25</v>
      </c>
      <c r="H1332" s="0" t="s">
        <v>457</v>
      </c>
      <c r="I1332" s="0" t="s">
        <v>457</v>
      </c>
      <c r="J1332" s="0" t="s">
        <v>457</v>
      </c>
      <c r="K1332" s="0" t="s">
        <v>457</v>
      </c>
      <c r="L1332" s="0" t="s">
        <v>457</v>
      </c>
      <c r="M1332" s="0" t="s">
        <v>457</v>
      </c>
      <c r="R1332" s="0" t="s">
        <v>81</v>
      </c>
    </row>
    <row r="1333" customFormat="false" ht="15" hidden="false" customHeight="false" outlineLevel="0" collapsed="false">
      <c r="A1333" s="0" t="s">
        <v>211</v>
      </c>
      <c r="B1333" s="0" t="n">
        <v>2017</v>
      </c>
      <c r="C1333" s="0" t="s">
        <v>101</v>
      </c>
      <c r="D1333" s="0" t="s">
        <v>79</v>
      </c>
      <c r="E1333" s="0" t="n">
        <v>0</v>
      </c>
      <c r="F1333" s="0" t="s">
        <v>41</v>
      </c>
      <c r="G1333" s="0" t="n">
        <v>0.57100634925513</v>
      </c>
      <c r="H1333" s="0" t="s">
        <v>437</v>
      </c>
      <c r="I1333" s="0" t="s">
        <v>437</v>
      </c>
      <c r="J1333" s="0" t="s">
        <v>437</v>
      </c>
      <c r="K1333" s="0" t="s">
        <v>437</v>
      </c>
      <c r="L1333" s="0" t="s">
        <v>437</v>
      </c>
      <c r="M1333" s="0" t="s">
        <v>457</v>
      </c>
      <c r="R1333" s="0" t="s">
        <v>81</v>
      </c>
    </row>
    <row r="1334" customFormat="false" ht="15" hidden="false" customHeight="false" outlineLevel="0" collapsed="false">
      <c r="A1334" s="0" t="s">
        <v>211</v>
      </c>
      <c r="B1334" s="0" t="n">
        <v>2017</v>
      </c>
      <c r="C1334" s="0" t="s">
        <v>101</v>
      </c>
      <c r="D1334" s="0" t="s">
        <v>79</v>
      </c>
      <c r="E1334" s="0" t="n">
        <v>0</v>
      </c>
      <c r="F1334" s="0" t="s">
        <v>27</v>
      </c>
      <c r="G1334" s="0" t="n">
        <v>12.9144354349425</v>
      </c>
      <c r="H1334" s="0" t="s">
        <v>437</v>
      </c>
      <c r="I1334" s="0" t="s">
        <v>437</v>
      </c>
      <c r="J1334" s="0" t="s">
        <v>437</v>
      </c>
      <c r="K1334" s="0" t="s">
        <v>437</v>
      </c>
      <c r="L1334" s="0" t="s">
        <v>437</v>
      </c>
      <c r="M1334" s="0" t="s">
        <v>457</v>
      </c>
      <c r="R1334" s="0" t="s">
        <v>81</v>
      </c>
    </row>
    <row r="1335" customFormat="false" ht="15" hidden="false" customHeight="false" outlineLevel="0" collapsed="false">
      <c r="A1335" s="0" t="s">
        <v>211</v>
      </c>
      <c r="B1335" s="0" t="n">
        <v>2017</v>
      </c>
      <c r="C1335" s="0" t="s">
        <v>101</v>
      </c>
      <c r="D1335" s="0" t="s">
        <v>79</v>
      </c>
      <c r="E1335" s="0" t="n">
        <v>0</v>
      </c>
      <c r="F1335" s="0" t="s">
        <v>39</v>
      </c>
      <c r="G1335" s="0" t="n">
        <v>-6.43943841026618</v>
      </c>
      <c r="H1335" s="0" t="s">
        <v>437</v>
      </c>
      <c r="I1335" s="0" t="s">
        <v>437</v>
      </c>
      <c r="J1335" s="0" t="s">
        <v>437</v>
      </c>
      <c r="K1335" s="0" t="s">
        <v>437</v>
      </c>
      <c r="L1335" s="0" t="s">
        <v>437</v>
      </c>
      <c r="M1335" s="0" t="s">
        <v>457</v>
      </c>
      <c r="R1335" s="0" t="s">
        <v>81</v>
      </c>
    </row>
    <row r="1336" customFormat="false" ht="15" hidden="false" customHeight="false" outlineLevel="0" collapsed="false">
      <c r="A1336" s="0" t="s">
        <v>211</v>
      </c>
      <c r="B1336" s="0" t="n">
        <v>2017</v>
      </c>
      <c r="C1336" s="0" t="s">
        <v>101</v>
      </c>
      <c r="D1336" s="0" t="s">
        <v>79</v>
      </c>
      <c r="E1336" s="0" t="n">
        <v>0</v>
      </c>
      <c r="F1336" s="0" t="s">
        <v>17</v>
      </c>
      <c r="G1336" s="0" t="n">
        <v>1.92478980139368</v>
      </c>
      <c r="H1336" s="0" t="s">
        <v>437</v>
      </c>
      <c r="I1336" s="0" t="s">
        <v>437</v>
      </c>
      <c r="J1336" s="0" t="s">
        <v>437</v>
      </c>
      <c r="K1336" s="0" t="s">
        <v>457</v>
      </c>
      <c r="L1336" s="0" t="s">
        <v>437</v>
      </c>
      <c r="M1336" s="0" t="s">
        <v>457</v>
      </c>
      <c r="R1336" s="0" t="s">
        <v>81</v>
      </c>
    </row>
    <row r="1337" customFormat="false" ht="15" hidden="false" customHeight="false" outlineLevel="0" collapsed="false">
      <c r="A1337" s="0" t="s">
        <v>211</v>
      </c>
      <c r="B1337" s="0" t="n">
        <v>2017</v>
      </c>
      <c r="C1337" s="0" t="s">
        <v>101</v>
      </c>
      <c r="D1337" s="0" t="s">
        <v>79</v>
      </c>
      <c r="E1337" s="0" t="n">
        <v>0</v>
      </c>
      <c r="F1337" s="0" t="s">
        <v>29</v>
      </c>
      <c r="G1337" s="0" t="n">
        <v>0.540892236905781</v>
      </c>
      <c r="H1337" s="0" t="s">
        <v>437</v>
      </c>
      <c r="I1337" s="0" t="s">
        <v>437</v>
      </c>
      <c r="J1337" s="0" t="s">
        <v>437</v>
      </c>
      <c r="K1337" s="0" t="s">
        <v>437</v>
      </c>
      <c r="L1337" s="0" t="s">
        <v>437</v>
      </c>
      <c r="M1337" s="0" t="s">
        <v>457</v>
      </c>
      <c r="R1337" s="0" t="s">
        <v>81</v>
      </c>
    </row>
    <row r="1338" customFormat="false" ht="15" hidden="false" customHeight="false" outlineLevel="0" collapsed="false">
      <c r="A1338" s="0" t="s">
        <v>211</v>
      </c>
      <c r="B1338" s="0" t="n">
        <v>2017</v>
      </c>
      <c r="C1338" s="0" t="s">
        <v>101</v>
      </c>
      <c r="D1338" s="0" t="s">
        <v>79</v>
      </c>
      <c r="E1338" s="0" t="n">
        <v>0</v>
      </c>
      <c r="F1338" s="0" t="s">
        <v>37</v>
      </c>
      <c r="H1338" s="0" t="s">
        <v>457</v>
      </c>
      <c r="I1338" s="0" t="s">
        <v>457</v>
      </c>
      <c r="J1338" s="0" t="s">
        <v>457</v>
      </c>
      <c r="K1338" s="0" t="s">
        <v>457</v>
      </c>
      <c r="L1338" s="0" t="s">
        <v>457</v>
      </c>
      <c r="M1338" s="0" t="s">
        <v>457</v>
      </c>
      <c r="R1338" s="0" t="s">
        <v>81</v>
      </c>
    </row>
    <row r="1339" customFormat="false" ht="15" hidden="false" customHeight="false" outlineLevel="0" collapsed="false">
      <c r="A1339" s="0" t="s">
        <v>211</v>
      </c>
      <c r="B1339" s="0" t="n">
        <v>2017</v>
      </c>
      <c r="C1339" s="0" t="s">
        <v>101</v>
      </c>
      <c r="D1339" s="0" t="s">
        <v>79</v>
      </c>
      <c r="E1339" s="0" t="n">
        <v>0</v>
      </c>
      <c r="F1339" s="0" t="s">
        <v>23</v>
      </c>
      <c r="H1339" s="0" t="s">
        <v>457</v>
      </c>
      <c r="I1339" s="0" t="s">
        <v>457</v>
      </c>
      <c r="J1339" s="0" t="s">
        <v>457</v>
      </c>
      <c r="K1339" s="0" t="s">
        <v>457</v>
      </c>
      <c r="L1339" s="0" t="s">
        <v>457</v>
      </c>
      <c r="M1339" s="0" t="s">
        <v>457</v>
      </c>
      <c r="R1339" s="0" t="s">
        <v>81</v>
      </c>
    </row>
    <row r="1340" customFormat="false" ht="15" hidden="false" customHeight="false" outlineLevel="0" collapsed="false">
      <c r="A1340" s="0" t="s">
        <v>211</v>
      </c>
      <c r="B1340" s="0" t="n">
        <v>2017</v>
      </c>
      <c r="C1340" s="0" t="s">
        <v>101</v>
      </c>
      <c r="D1340" s="0" t="s">
        <v>79</v>
      </c>
      <c r="E1340" s="0" t="n">
        <v>0</v>
      </c>
      <c r="F1340" s="0" t="s">
        <v>45</v>
      </c>
      <c r="H1340" s="0" t="s">
        <v>457</v>
      </c>
      <c r="I1340" s="0" t="s">
        <v>457</v>
      </c>
      <c r="J1340" s="0" t="s">
        <v>457</v>
      </c>
      <c r="K1340" s="0" t="s">
        <v>457</v>
      </c>
      <c r="L1340" s="0" t="s">
        <v>457</v>
      </c>
      <c r="M1340" s="0" t="s">
        <v>457</v>
      </c>
      <c r="R1340" s="0" t="s">
        <v>81</v>
      </c>
    </row>
    <row r="1341" customFormat="false" ht="15" hidden="false" customHeight="false" outlineLevel="0" collapsed="false">
      <c r="A1341" s="0" t="s">
        <v>211</v>
      </c>
      <c r="B1341" s="0" t="n">
        <v>2017</v>
      </c>
      <c r="C1341" s="0" t="s">
        <v>101</v>
      </c>
      <c r="D1341" s="0" t="s">
        <v>79</v>
      </c>
      <c r="E1341" s="0" t="n">
        <v>0</v>
      </c>
      <c r="F1341" s="0" t="s">
        <v>71</v>
      </c>
      <c r="G1341" s="0" t="n">
        <v>26.25</v>
      </c>
      <c r="H1341" s="0" t="s">
        <v>437</v>
      </c>
      <c r="I1341" s="0" t="s">
        <v>437</v>
      </c>
      <c r="J1341" s="0" t="s">
        <v>437</v>
      </c>
      <c r="K1341" s="0" t="s">
        <v>457</v>
      </c>
      <c r="L1341" s="0" t="s">
        <v>437</v>
      </c>
      <c r="M1341" s="0" t="s">
        <v>457</v>
      </c>
      <c r="R1341" s="0" t="s">
        <v>81</v>
      </c>
    </row>
    <row r="1342" customFormat="false" ht="15" hidden="false" customHeight="false" outlineLevel="0" collapsed="false">
      <c r="A1342" s="0" t="s">
        <v>211</v>
      </c>
      <c r="B1342" s="0" t="n">
        <v>2017</v>
      </c>
      <c r="C1342" s="0" t="s">
        <v>101</v>
      </c>
      <c r="D1342" s="0" t="s">
        <v>79</v>
      </c>
      <c r="E1342" s="0" t="n">
        <v>0</v>
      </c>
      <c r="F1342" s="0" t="s">
        <v>31</v>
      </c>
      <c r="G1342" s="0" t="n">
        <v>87.0855645650575</v>
      </c>
      <c r="H1342" s="0" t="s">
        <v>437</v>
      </c>
      <c r="I1342" s="0" t="s">
        <v>437</v>
      </c>
      <c r="J1342" s="0" t="s">
        <v>437</v>
      </c>
      <c r="K1342" s="0" t="s">
        <v>437</v>
      </c>
      <c r="L1342" s="0" t="s">
        <v>437</v>
      </c>
      <c r="M1342" s="0" t="s">
        <v>457</v>
      </c>
      <c r="R1342" s="0" t="s">
        <v>81</v>
      </c>
    </row>
    <row r="1343" customFormat="false" ht="15" hidden="false" customHeight="false" outlineLevel="0" collapsed="false">
      <c r="A1343" s="0" t="s">
        <v>211</v>
      </c>
      <c r="B1343" s="0" t="n">
        <v>2018</v>
      </c>
      <c r="C1343" s="0" t="s">
        <v>101</v>
      </c>
      <c r="D1343" s="0" t="s">
        <v>90</v>
      </c>
      <c r="E1343" s="0" t="n">
        <v>1</v>
      </c>
      <c r="F1343" s="0" t="s">
        <v>73</v>
      </c>
      <c r="G1343" s="0" t="n">
        <v>0</v>
      </c>
      <c r="H1343" s="0" t="s">
        <v>437</v>
      </c>
      <c r="I1343" s="0" t="s">
        <v>437</v>
      </c>
      <c r="J1343" s="0" t="s">
        <v>437</v>
      </c>
      <c r="K1343" s="0" t="s">
        <v>457</v>
      </c>
      <c r="L1343" s="0" t="s">
        <v>437</v>
      </c>
      <c r="M1343" s="0" t="s">
        <v>457</v>
      </c>
      <c r="R1343" s="0" t="s">
        <v>81</v>
      </c>
    </row>
    <row r="1344" customFormat="false" ht="15" hidden="false" customHeight="false" outlineLevel="0" collapsed="false">
      <c r="A1344" s="0" t="s">
        <v>211</v>
      </c>
      <c r="B1344" s="0" t="n">
        <v>2018</v>
      </c>
      <c r="C1344" s="0" t="s">
        <v>101</v>
      </c>
      <c r="D1344" s="0" t="s">
        <v>90</v>
      </c>
      <c r="E1344" s="0" t="n">
        <v>1</v>
      </c>
      <c r="F1344" s="0" t="s">
        <v>69</v>
      </c>
      <c r="G1344" s="0" t="n">
        <v>18.01</v>
      </c>
      <c r="H1344" s="0" t="s">
        <v>437</v>
      </c>
      <c r="I1344" s="0" t="s">
        <v>437</v>
      </c>
      <c r="J1344" s="0" t="s">
        <v>437</v>
      </c>
      <c r="K1344" s="0" t="s">
        <v>437</v>
      </c>
      <c r="L1344" s="0" t="s">
        <v>437</v>
      </c>
      <c r="M1344" s="0" t="s">
        <v>457</v>
      </c>
      <c r="R1344" s="0" t="s">
        <v>81</v>
      </c>
    </row>
    <row r="1345" customFormat="false" ht="15" hidden="false" customHeight="false" outlineLevel="0" collapsed="false">
      <c r="A1345" s="0" t="s">
        <v>211</v>
      </c>
      <c r="B1345" s="0" t="n">
        <v>2018</v>
      </c>
      <c r="C1345" s="0" t="s">
        <v>101</v>
      </c>
      <c r="D1345" s="0" t="s">
        <v>90</v>
      </c>
      <c r="E1345" s="0" t="n">
        <v>1</v>
      </c>
      <c r="F1345" s="0" t="s">
        <v>25</v>
      </c>
      <c r="H1345" s="0" t="s">
        <v>457</v>
      </c>
      <c r="I1345" s="0" t="s">
        <v>457</v>
      </c>
      <c r="J1345" s="0" t="s">
        <v>457</v>
      </c>
      <c r="K1345" s="0" t="s">
        <v>457</v>
      </c>
      <c r="L1345" s="0" t="s">
        <v>457</v>
      </c>
      <c r="M1345" s="0" t="s">
        <v>457</v>
      </c>
      <c r="R1345" s="0" t="s">
        <v>81</v>
      </c>
    </row>
    <row r="1346" customFormat="false" ht="15" hidden="false" customHeight="false" outlineLevel="0" collapsed="false">
      <c r="A1346" s="0" t="s">
        <v>211</v>
      </c>
      <c r="B1346" s="0" t="n">
        <v>2018</v>
      </c>
      <c r="C1346" s="0" t="s">
        <v>101</v>
      </c>
      <c r="D1346" s="0" t="s">
        <v>90</v>
      </c>
      <c r="E1346" s="0" t="n">
        <v>1</v>
      </c>
      <c r="F1346" s="0" t="s">
        <v>41</v>
      </c>
      <c r="G1346" s="0" t="n">
        <v>0.778782038717156</v>
      </c>
      <c r="H1346" s="0" t="s">
        <v>437</v>
      </c>
      <c r="I1346" s="0" t="s">
        <v>437</v>
      </c>
      <c r="J1346" s="0" t="s">
        <v>437</v>
      </c>
      <c r="K1346" s="0" t="s">
        <v>437</v>
      </c>
      <c r="L1346" s="0" t="s">
        <v>437</v>
      </c>
      <c r="M1346" s="0" t="s">
        <v>457</v>
      </c>
      <c r="R1346" s="0" t="s">
        <v>81</v>
      </c>
    </row>
    <row r="1347" customFormat="false" ht="15" hidden="false" customHeight="false" outlineLevel="0" collapsed="false">
      <c r="A1347" s="0" t="s">
        <v>211</v>
      </c>
      <c r="B1347" s="0" t="n">
        <v>2018</v>
      </c>
      <c r="C1347" s="0" t="s">
        <v>101</v>
      </c>
      <c r="D1347" s="0" t="s">
        <v>90</v>
      </c>
      <c r="E1347" s="0" t="n">
        <v>1</v>
      </c>
      <c r="F1347" s="0" t="s">
        <v>27</v>
      </c>
      <c r="G1347" s="0" t="n">
        <v>10.6711025643512</v>
      </c>
      <c r="H1347" s="0" t="s">
        <v>437</v>
      </c>
      <c r="I1347" s="0" t="s">
        <v>437</v>
      </c>
      <c r="J1347" s="0" t="s">
        <v>437</v>
      </c>
      <c r="K1347" s="0" t="s">
        <v>437</v>
      </c>
      <c r="L1347" s="0" t="s">
        <v>437</v>
      </c>
      <c r="M1347" s="0" t="s">
        <v>457</v>
      </c>
      <c r="R1347" s="0" t="s">
        <v>81</v>
      </c>
    </row>
    <row r="1348" customFormat="false" ht="15" hidden="false" customHeight="false" outlineLevel="0" collapsed="false">
      <c r="A1348" s="0" t="s">
        <v>211</v>
      </c>
      <c r="B1348" s="0" t="n">
        <v>2018</v>
      </c>
      <c r="C1348" s="0" t="s">
        <v>101</v>
      </c>
      <c r="D1348" s="0" t="s">
        <v>90</v>
      </c>
      <c r="E1348" s="0" t="n">
        <v>1</v>
      </c>
      <c r="F1348" s="0" t="s">
        <v>39</v>
      </c>
      <c r="G1348" s="0" t="n">
        <v>11.431421419258</v>
      </c>
      <c r="H1348" s="0" t="s">
        <v>437</v>
      </c>
      <c r="I1348" s="0" t="s">
        <v>437</v>
      </c>
      <c r="J1348" s="0" t="s">
        <v>437</v>
      </c>
      <c r="K1348" s="0" t="s">
        <v>437</v>
      </c>
      <c r="L1348" s="0" t="s">
        <v>437</v>
      </c>
      <c r="M1348" s="0" t="s">
        <v>457</v>
      </c>
      <c r="R1348" s="0" t="s">
        <v>81</v>
      </c>
    </row>
    <row r="1349" customFormat="false" ht="15" hidden="false" customHeight="false" outlineLevel="0" collapsed="false">
      <c r="A1349" s="0" t="s">
        <v>211</v>
      </c>
      <c r="B1349" s="0" t="n">
        <v>2018</v>
      </c>
      <c r="C1349" s="0" t="s">
        <v>101</v>
      </c>
      <c r="D1349" s="0" t="s">
        <v>90</v>
      </c>
      <c r="E1349" s="0" t="n">
        <v>1</v>
      </c>
      <c r="F1349" s="0" t="s">
        <v>17</v>
      </c>
      <c r="G1349" s="0" t="n">
        <v>3.59124409281383</v>
      </c>
      <c r="H1349" s="0" t="s">
        <v>437</v>
      </c>
      <c r="I1349" s="0" t="s">
        <v>437</v>
      </c>
      <c r="J1349" s="0" t="s">
        <v>437</v>
      </c>
      <c r="K1349" s="0" t="s">
        <v>437</v>
      </c>
      <c r="L1349" s="0" t="s">
        <v>437</v>
      </c>
      <c r="M1349" s="0" t="s">
        <v>457</v>
      </c>
      <c r="R1349" s="0" t="s">
        <v>81</v>
      </c>
    </row>
    <row r="1350" customFormat="false" ht="15" hidden="false" customHeight="false" outlineLevel="0" collapsed="false">
      <c r="A1350" s="0" t="s">
        <v>211</v>
      </c>
      <c r="B1350" s="0" t="n">
        <v>2018</v>
      </c>
      <c r="C1350" s="0" t="s">
        <v>101</v>
      </c>
      <c r="D1350" s="0" t="s">
        <v>90</v>
      </c>
      <c r="E1350" s="0" t="n">
        <v>1</v>
      </c>
      <c r="F1350" s="0" t="s">
        <v>29</v>
      </c>
      <c r="G1350" s="0" t="n">
        <v>0.813853043737327</v>
      </c>
      <c r="H1350" s="0" t="s">
        <v>437</v>
      </c>
      <c r="I1350" s="0" t="s">
        <v>437</v>
      </c>
      <c r="J1350" s="0" t="s">
        <v>437</v>
      </c>
      <c r="K1350" s="0" t="s">
        <v>437</v>
      </c>
      <c r="L1350" s="0" t="s">
        <v>437</v>
      </c>
      <c r="M1350" s="0" t="s">
        <v>457</v>
      </c>
      <c r="R1350" s="0" t="s">
        <v>81</v>
      </c>
    </row>
    <row r="1351" customFormat="false" ht="15" hidden="false" customHeight="false" outlineLevel="0" collapsed="false">
      <c r="A1351" s="0" t="s">
        <v>211</v>
      </c>
      <c r="B1351" s="0" t="n">
        <v>2018</v>
      </c>
      <c r="C1351" s="0" t="s">
        <v>101</v>
      </c>
      <c r="D1351" s="0" t="s">
        <v>90</v>
      </c>
      <c r="E1351" s="0" t="n">
        <v>1</v>
      </c>
      <c r="F1351" s="0" t="s">
        <v>37</v>
      </c>
      <c r="H1351" s="0" t="s">
        <v>457</v>
      </c>
      <c r="I1351" s="0" t="s">
        <v>457</v>
      </c>
      <c r="J1351" s="0" t="s">
        <v>457</v>
      </c>
      <c r="K1351" s="0" t="s">
        <v>457</v>
      </c>
      <c r="L1351" s="0" t="s">
        <v>457</v>
      </c>
      <c r="M1351" s="0" t="s">
        <v>457</v>
      </c>
      <c r="R1351" s="0" t="s">
        <v>81</v>
      </c>
    </row>
    <row r="1352" customFormat="false" ht="15" hidden="false" customHeight="false" outlineLevel="0" collapsed="false">
      <c r="A1352" s="0" t="s">
        <v>211</v>
      </c>
      <c r="B1352" s="0" t="n">
        <v>2018</v>
      </c>
      <c r="C1352" s="0" t="s">
        <v>101</v>
      </c>
      <c r="D1352" s="0" t="s">
        <v>90</v>
      </c>
      <c r="E1352" s="0" t="n">
        <v>1</v>
      </c>
      <c r="F1352" s="0" t="s">
        <v>23</v>
      </c>
      <c r="H1352" s="0" t="s">
        <v>457</v>
      </c>
      <c r="I1352" s="0" t="s">
        <v>457</v>
      </c>
      <c r="J1352" s="0" t="s">
        <v>457</v>
      </c>
      <c r="K1352" s="0" t="s">
        <v>457</v>
      </c>
      <c r="L1352" s="0" t="s">
        <v>457</v>
      </c>
      <c r="M1352" s="0" t="s">
        <v>457</v>
      </c>
      <c r="R1352" s="0" t="s">
        <v>81</v>
      </c>
    </row>
    <row r="1353" customFormat="false" ht="15" hidden="false" customHeight="false" outlineLevel="0" collapsed="false">
      <c r="A1353" s="0" t="s">
        <v>211</v>
      </c>
      <c r="B1353" s="0" t="n">
        <v>2018</v>
      </c>
      <c r="C1353" s="0" t="s">
        <v>101</v>
      </c>
      <c r="D1353" s="0" t="s">
        <v>90</v>
      </c>
      <c r="E1353" s="0" t="n">
        <v>1</v>
      </c>
      <c r="F1353" s="0" t="s">
        <v>45</v>
      </c>
      <c r="H1353" s="0" t="s">
        <v>457</v>
      </c>
      <c r="I1353" s="0" t="s">
        <v>457</v>
      </c>
      <c r="J1353" s="0" t="s">
        <v>457</v>
      </c>
      <c r="K1353" s="0" t="s">
        <v>457</v>
      </c>
      <c r="L1353" s="0" t="s">
        <v>457</v>
      </c>
      <c r="M1353" s="0" t="s">
        <v>457</v>
      </c>
      <c r="R1353" s="0" t="s">
        <v>81</v>
      </c>
    </row>
    <row r="1354" customFormat="false" ht="15" hidden="false" customHeight="false" outlineLevel="0" collapsed="false">
      <c r="A1354" s="0" t="s">
        <v>211</v>
      </c>
      <c r="B1354" s="0" t="n">
        <v>2018</v>
      </c>
      <c r="C1354" s="0" t="s">
        <v>101</v>
      </c>
      <c r="D1354" s="0" t="s">
        <v>90</v>
      </c>
      <c r="E1354" s="0" t="n">
        <v>1</v>
      </c>
      <c r="F1354" s="0" t="s">
        <v>71</v>
      </c>
      <c r="G1354" s="0" t="n">
        <v>34.64</v>
      </c>
      <c r="H1354" s="0" t="s">
        <v>437</v>
      </c>
      <c r="I1354" s="0" t="s">
        <v>437</v>
      </c>
      <c r="J1354" s="0" t="s">
        <v>437</v>
      </c>
      <c r="K1354" s="0" t="s">
        <v>437</v>
      </c>
      <c r="L1354" s="0" t="s">
        <v>437</v>
      </c>
      <c r="M1354" s="0" t="s">
        <v>457</v>
      </c>
      <c r="R1354" s="0" t="s">
        <v>81</v>
      </c>
    </row>
    <row r="1355" customFormat="false" ht="15" hidden="false" customHeight="false" outlineLevel="0" collapsed="false">
      <c r="A1355" s="0" t="s">
        <v>211</v>
      </c>
      <c r="B1355" s="0" t="n">
        <v>2018</v>
      </c>
      <c r="C1355" s="0" t="s">
        <v>101</v>
      </c>
      <c r="D1355" s="0" t="s">
        <v>90</v>
      </c>
      <c r="E1355" s="0" t="n">
        <v>1</v>
      </c>
      <c r="F1355" s="0" t="s">
        <v>31</v>
      </c>
      <c r="G1355" s="0" t="n">
        <v>89.3288974356488</v>
      </c>
      <c r="H1355" s="0" t="s">
        <v>437</v>
      </c>
      <c r="I1355" s="0" t="s">
        <v>437</v>
      </c>
      <c r="J1355" s="0" t="s">
        <v>437</v>
      </c>
      <c r="K1355" s="0" t="s">
        <v>437</v>
      </c>
      <c r="L1355" s="0" t="s">
        <v>437</v>
      </c>
      <c r="M1355" s="0" t="s">
        <v>457</v>
      </c>
      <c r="R1355" s="0" t="s">
        <v>81</v>
      </c>
    </row>
    <row r="1356" customFormat="false" ht="15" hidden="false" customHeight="false" outlineLevel="0" collapsed="false">
      <c r="A1356" s="0" t="s">
        <v>211</v>
      </c>
      <c r="B1356" s="0" t="n">
        <v>2019</v>
      </c>
      <c r="C1356" s="0" t="s">
        <v>101</v>
      </c>
      <c r="D1356" s="0" t="s">
        <v>90</v>
      </c>
      <c r="E1356" s="0" t="n">
        <v>1</v>
      </c>
      <c r="F1356" s="0" t="s">
        <v>73</v>
      </c>
      <c r="H1356" s="0" t="s">
        <v>457</v>
      </c>
      <c r="I1356" s="0" t="s">
        <v>457</v>
      </c>
      <c r="J1356" s="0" t="s">
        <v>457</v>
      </c>
      <c r="K1356" s="0" t="s">
        <v>457</v>
      </c>
      <c r="L1356" s="0" t="s">
        <v>457</v>
      </c>
      <c r="M1356" s="0" t="s">
        <v>457</v>
      </c>
      <c r="R1356" s="0" t="s">
        <v>81</v>
      </c>
    </row>
    <row r="1357" customFormat="false" ht="15" hidden="false" customHeight="false" outlineLevel="0" collapsed="false">
      <c r="A1357" s="0" t="s">
        <v>211</v>
      </c>
      <c r="B1357" s="0" t="n">
        <v>2019</v>
      </c>
      <c r="C1357" s="0" t="s">
        <v>101</v>
      </c>
      <c r="D1357" s="0" t="s">
        <v>90</v>
      </c>
      <c r="E1357" s="0" t="n">
        <v>1</v>
      </c>
      <c r="F1357" s="0" t="s">
        <v>69</v>
      </c>
      <c r="G1357" s="0" t="n">
        <v>13.6</v>
      </c>
      <c r="H1357" s="0" t="s">
        <v>437</v>
      </c>
      <c r="I1357" s="0" t="s">
        <v>437</v>
      </c>
      <c r="J1357" s="0" t="s">
        <v>437</v>
      </c>
      <c r="K1357" s="0" t="s">
        <v>437</v>
      </c>
      <c r="L1357" s="0" t="s">
        <v>437</v>
      </c>
      <c r="M1357" s="0" t="s">
        <v>457</v>
      </c>
      <c r="R1357" s="0" t="s">
        <v>81</v>
      </c>
    </row>
    <row r="1358" customFormat="false" ht="15" hidden="false" customHeight="false" outlineLevel="0" collapsed="false">
      <c r="A1358" s="0" t="s">
        <v>211</v>
      </c>
      <c r="B1358" s="0" t="n">
        <v>2019</v>
      </c>
      <c r="C1358" s="0" t="s">
        <v>101</v>
      </c>
      <c r="D1358" s="0" t="s">
        <v>90</v>
      </c>
      <c r="E1358" s="0" t="n">
        <v>1</v>
      </c>
      <c r="F1358" s="0" t="s">
        <v>25</v>
      </c>
      <c r="G1358" s="0" t="n">
        <v>13.5983703502456</v>
      </c>
      <c r="H1358" s="0" t="s">
        <v>437</v>
      </c>
      <c r="I1358" s="0" t="s">
        <v>437</v>
      </c>
      <c r="J1358" s="0" t="s">
        <v>437</v>
      </c>
      <c r="K1358" s="0" t="s">
        <v>457</v>
      </c>
      <c r="L1358" s="0" t="s">
        <v>437</v>
      </c>
      <c r="M1358" s="0" t="s">
        <v>457</v>
      </c>
      <c r="R1358" s="0" t="s">
        <v>81</v>
      </c>
    </row>
    <row r="1359" customFormat="false" ht="15" hidden="false" customHeight="false" outlineLevel="0" collapsed="false">
      <c r="A1359" s="0" t="s">
        <v>211</v>
      </c>
      <c r="B1359" s="0" t="n">
        <v>2019</v>
      </c>
      <c r="C1359" s="0" t="s">
        <v>101</v>
      </c>
      <c r="D1359" s="0" t="s">
        <v>90</v>
      </c>
      <c r="E1359" s="0" t="n">
        <v>1</v>
      </c>
      <c r="F1359" s="0" t="s">
        <v>41</v>
      </c>
      <c r="G1359" s="0" t="n">
        <v>0.881033768823748</v>
      </c>
      <c r="H1359" s="0" t="s">
        <v>437</v>
      </c>
      <c r="I1359" s="0" t="s">
        <v>437</v>
      </c>
      <c r="J1359" s="0" t="s">
        <v>437</v>
      </c>
      <c r="K1359" s="0" t="s">
        <v>437</v>
      </c>
      <c r="L1359" s="0" t="s">
        <v>437</v>
      </c>
      <c r="M1359" s="0" t="s">
        <v>457</v>
      </c>
      <c r="R1359" s="0" t="s">
        <v>81</v>
      </c>
    </row>
    <row r="1360" customFormat="false" ht="15" hidden="false" customHeight="false" outlineLevel="0" collapsed="false">
      <c r="A1360" s="0" t="s">
        <v>211</v>
      </c>
      <c r="B1360" s="0" t="n">
        <v>2019</v>
      </c>
      <c r="C1360" s="0" t="s">
        <v>101</v>
      </c>
      <c r="D1360" s="0" t="s">
        <v>90</v>
      </c>
      <c r="E1360" s="0" t="n">
        <v>1</v>
      </c>
      <c r="F1360" s="0" t="s">
        <v>27</v>
      </c>
      <c r="G1360" s="0" t="n">
        <v>7.85253010060475</v>
      </c>
      <c r="H1360" s="0" t="s">
        <v>437</v>
      </c>
      <c r="I1360" s="0" t="s">
        <v>437</v>
      </c>
      <c r="J1360" s="0" t="s">
        <v>437</v>
      </c>
      <c r="K1360" s="0" t="s">
        <v>437</v>
      </c>
      <c r="L1360" s="0" t="s">
        <v>437</v>
      </c>
      <c r="M1360" s="0" t="s">
        <v>457</v>
      </c>
      <c r="R1360" s="0" t="s">
        <v>81</v>
      </c>
    </row>
    <row r="1361" customFormat="false" ht="15" hidden="false" customHeight="false" outlineLevel="0" collapsed="false">
      <c r="A1361" s="0" t="s">
        <v>211</v>
      </c>
      <c r="B1361" s="0" t="n">
        <v>2019</v>
      </c>
      <c r="C1361" s="0" t="s">
        <v>101</v>
      </c>
      <c r="D1361" s="0" t="s">
        <v>90</v>
      </c>
      <c r="E1361" s="0" t="n">
        <v>1</v>
      </c>
      <c r="F1361" s="0" t="s">
        <v>39</v>
      </c>
      <c r="G1361" s="0" t="n">
        <v>18.1559596253843</v>
      </c>
      <c r="H1361" s="0" t="s">
        <v>437</v>
      </c>
      <c r="I1361" s="0" t="s">
        <v>437</v>
      </c>
      <c r="J1361" s="0" t="s">
        <v>437</v>
      </c>
      <c r="K1361" s="0" t="s">
        <v>437</v>
      </c>
      <c r="L1361" s="0" t="s">
        <v>437</v>
      </c>
      <c r="M1361" s="0" t="s">
        <v>457</v>
      </c>
      <c r="R1361" s="0" t="s">
        <v>81</v>
      </c>
    </row>
    <row r="1362" customFormat="false" ht="15" hidden="false" customHeight="false" outlineLevel="0" collapsed="false">
      <c r="A1362" s="0" t="s">
        <v>211</v>
      </c>
      <c r="B1362" s="0" t="n">
        <v>2019</v>
      </c>
      <c r="C1362" s="0" t="s">
        <v>101</v>
      </c>
      <c r="D1362" s="0" t="s">
        <v>90</v>
      </c>
      <c r="E1362" s="0" t="n">
        <v>1</v>
      </c>
      <c r="F1362" s="0" t="s">
        <v>17</v>
      </c>
      <c r="G1362" s="0" t="n">
        <v>4.02445510012529</v>
      </c>
      <c r="H1362" s="0" t="s">
        <v>437</v>
      </c>
      <c r="I1362" s="0" t="s">
        <v>437</v>
      </c>
      <c r="J1362" s="0" t="s">
        <v>437</v>
      </c>
      <c r="K1362" s="0" t="s">
        <v>437</v>
      </c>
      <c r="L1362" s="0" t="s">
        <v>437</v>
      </c>
      <c r="M1362" s="0" t="s">
        <v>457</v>
      </c>
      <c r="R1362" s="0" t="s">
        <v>81</v>
      </c>
    </row>
    <row r="1363" customFormat="false" ht="15" hidden="false" customHeight="false" outlineLevel="0" collapsed="false">
      <c r="A1363" s="0" t="s">
        <v>211</v>
      </c>
      <c r="B1363" s="0" t="n">
        <v>2019</v>
      </c>
      <c r="C1363" s="0" t="s">
        <v>101</v>
      </c>
      <c r="D1363" s="0" t="s">
        <v>90</v>
      </c>
      <c r="E1363" s="0" t="n">
        <v>1</v>
      </c>
      <c r="F1363" s="0" t="s">
        <v>29</v>
      </c>
      <c r="G1363" s="0" t="n">
        <v>1.03656243271616</v>
      </c>
      <c r="H1363" s="0" t="s">
        <v>437</v>
      </c>
      <c r="I1363" s="0" t="s">
        <v>437</v>
      </c>
      <c r="J1363" s="0" t="s">
        <v>437</v>
      </c>
      <c r="K1363" s="0" t="s">
        <v>437</v>
      </c>
      <c r="L1363" s="0" t="s">
        <v>437</v>
      </c>
      <c r="M1363" s="0" t="s">
        <v>457</v>
      </c>
      <c r="R1363" s="0" t="s">
        <v>81</v>
      </c>
    </row>
    <row r="1364" customFormat="false" ht="15" hidden="false" customHeight="false" outlineLevel="0" collapsed="false">
      <c r="A1364" s="0" t="s">
        <v>211</v>
      </c>
      <c r="B1364" s="0" t="n">
        <v>2019</v>
      </c>
      <c r="C1364" s="0" t="s">
        <v>101</v>
      </c>
      <c r="D1364" s="0" t="s">
        <v>90</v>
      </c>
      <c r="E1364" s="0" t="n">
        <v>1</v>
      </c>
      <c r="F1364" s="0" t="s">
        <v>37</v>
      </c>
      <c r="H1364" s="0" t="s">
        <v>457</v>
      </c>
      <c r="I1364" s="0" t="s">
        <v>457</v>
      </c>
      <c r="J1364" s="0" t="s">
        <v>457</v>
      </c>
      <c r="K1364" s="0" t="s">
        <v>457</v>
      </c>
      <c r="L1364" s="0" t="s">
        <v>457</v>
      </c>
      <c r="M1364" s="0" t="s">
        <v>457</v>
      </c>
      <c r="R1364" s="0" t="s">
        <v>81</v>
      </c>
    </row>
    <row r="1365" customFormat="false" ht="15" hidden="false" customHeight="false" outlineLevel="0" collapsed="false">
      <c r="A1365" s="0" t="s">
        <v>211</v>
      </c>
      <c r="B1365" s="0" t="n">
        <v>2019</v>
      </c>
      <c r="C1365" s="0" t="s">
        <v>101</v>
      </c>
      <c r="D1365" s="0" t="s">
        <v>90</v>
      </c>
      <c r="E1365" s="0" t="n">
        <v>1</v>
      </c>
      <c r="F1365" s="0" t="s">
        <v>23</v>
      </c>
      <c r="H1365" s="0" t="s">
        <v>457</v>
      </c>
      <c r="I1365" s="0" t="s">
        <v>457</v>
      </c>
      <c r="J1365" s="0" t="s">
        <v>457</v>
      </c>
      <c r="K1365" s="0" t="s">
        <v>457</v>
      </c>
      <c r="L1365" s="0" t="s">
        <v>457</v>
      </c>
      <c r="M1365" s="0" t="s">
        <v>457</v>
      </c>
      <c r="R1365" s="0" t="s">
        <v>81</v>
      </c>
    </row>
    <row r="1366" customFormat="false" ht="15" hidden="false" customHeight="false" outlineLevel="0" collapsed="false">
      <c r="A1366" s="0" t="s">
        <v>211</v>
      </c>
      <c r="B1366" s="0" t="n">
        <v>2019</v>
      </c>
      <c r="C1366" s="0" t="s">
        <v>101</v>
      </c>
      <c r="D1366" s="0" t="s">
        <v>90</v>
      </c>
      <c r="E1366" s="0" t="n">
        <v>1</v>
      </c>
      <c r="F1366" s="0" t="s">
        <v>45</v>
      </c>
      <c r="H1366" s="0" t="s">
        <v>457</v>
      </c>
      <c r="I1366" s="0" t="s">
        <v>457</v>
      </c>
      <c r="J1366" s="0" t="s">
        <v>457</v>
      </c>
      <c r="K1366" s="0" t="s">
        <v>457</v>
      </c>
      <c r="L1366" s="0" t="s">
        <v>457</v>
      </c>
      <c r="M1366" s="0" t="s">
        <v>457</v>
      </c>
      <c r="R1366" s="0" t="s">
        <v>81</v>
      </c>
    </row>
    <row r="1367" customFormat="false" ht="15" hidden="false" customHeight="false" outlineLevel="0" collapsed="false">
      <c r="A1367" s="0" t="s">
        <v>211</v>
      </c>
      <c r="B1367" s="0" t="n">
        <v>2019</v>
      </c>
      <c r="C1367" s="0" t="s">
        <v>101</v>
      </c>
      <c r="D1367" s="0" t="s">
        <v>90</v>
      </c>
      <c r="E1367" s="0" t="n">
        <v>1</v>
      </c>
      <c r="F1367" s="0" t="s">
        <v>71</v>
      </c>
      <c r="H1367" s="0" t="s">
        <v>457</v>
      </c>
      <c r="I1367" s="0" t="s">
        <v>457</v>
      </c>
      <c r="J1367" s="0" t="s">
        <v>457</v>
      </c>
      <c r="K1367" s="0" t="s">
        <v>457</v>
      </c>
      <c r="L1367" s="0" t="s">
        <v>457</v>
      </c>
      <c r="M1367" s="0" t="s">
        <v>457</v>
      </c>
      <c r="R1367" s="0" t="s">
        <v>81</v>
      </c>
    </row>
    <row r="1368" customFormat="false" ht="15" hidden="false" customHeight="false" outlineLevel="0" collapsed="false">
      <c r="A1368" s="0" t="s">
        <v>211</v>
      </c>
      <c r="B1368" s="0" t="n">
        <v>2019</v>
      </c>
      <c r="C1368" s="0" t="s">
        <v>101</v>
      </c>
      <c r="D1368" s="0" t="s">
        <v>90</v>
      </c>
      <c r="E1368" s="0" t="n">
        <v>1</v>
      </c>
      <c r="F1368" s="0" t="s">
        <v>31</v>
      </c>
      <c r="G1368" s="0" t="n">
        <v>92.1474698993953</v>
      </c>
      <c r="H1368" s="0" t="s">
        <v>437</v>
      </c>
      <c r="I1368" s="0" t="s">
        <v>437</v>
      </c>
      <c r="J1368" s="0" t="s">
        <v>437</v>
      </c>
      <c r="K1368" s="0" t="s">
        <v>437</v>
      </c>
      <c r="L1368" s="0" t="s">
        <v>437</v>
      </c>
      <c r="M1368" s="0" t="s">
        <v>457</v>
      </c>
      <c r="R1368" s="0" t="s">
        <v>81</v>
      </c>
    </row>
    <row r="1369" customFormat="false" ht="15" hidden="false" customHeight="false" outlineLevel="0" collapsed="false">
      <c r="A1369" s="0" t="s">
        <v>211</v>
      </c>
      <c r="B1369" s="0" t="n">
        <v>2020</v>
      </c>
      <c r="C1369" s="0" t="s">
        <v>101</v>
      </c>
      <c r="D1369" s="0" t="s">
        <v>90</v>
      </c>
      <c r="E1369" s="0" t="n">
        <v>1</v>
      </c>
      <c r="F1369" s="0" t="s">
        <v>73</v>
      </c>
      <c r="G1369" s="0" t="n">
        <v>0</v>
      </c>
      <c r="H1369" s="0" t="s">
        <v>437</v>
      </c>
      <c r="I1369" s="0" t="s">
        <v>437</v>
      </c>
      <c r="J1369" s="0" t="s">
        <v>437</v>
      </c>
      <c r="K1369" s="0" t="s">
        <v>457</v>
      </c>
      <c r="L1369" s="0" t="s">
        <v>437</v>
      </c>
      <c r="M1369" s="0" t="s">
        <v>457</v>
      </c>
      <c r="R1369" s="0" t="s">
        <v>81</v>
      </c>
    </row>
    <row r="1370" customFormat="false" ht="15" hidden="false" customHeight="false" outlineLevel="0" collapsed="false">
      <c r="A1370" s="0" t="s">
        <v>211</v>
      </c>
      <c r="B1370" s="0" t="n">
        <v>2020</v>
      </c>
      <c r="C1370" s="0" t="s">
        <v>101</v>
      </c>
      <c r="D1370" s="0" t="s">
        <v>90</v>
      </c>
      <c r="E1370" s="0" t="n">
        <v>1</v>
      </c>
      <c r="F1370" s="0" t="s">
        <v>69</v>
      </c>
      <c r="G1370" s="0" t="n">
        <v>15.01</v>
      </c>
      <c r="H1370" s="0" t="s">
        <v>437</v>
      </c>
      <c r="I1370" s="0" t="s">
        <v>437</v>
      </c>
      <c r="J1370" s="0" t="s">
        <v>437</v>
      </c>
      <c r="K1370" s="0" t="s">
        <v>437</v>
      </c>
      <c r="L1370" s="0" t="s">
        <v>437</v>
      </c>
      <c r="M1370" s="0" t="s">
        <v>457</v>
      </c>
      <c r="R1370" s="0" t="s">
        <v>81</v>
      </c>
    </row>
    <row r="1371" customFormat="false" ht="15" hidden="false" customHeight="false" outlineLevel="0" collapsed="false">
      <c r="A1371" s="0" t="s">
        <v>211</v>
      </c>
      <c r="B1371" s="0" t="n">
        <v>2020</v>
      </c>
      <c r="C1371" s="0" t="s">
        <v>101</v>
      </c>
      <c r="D1371" s="0" t="s">
        <v>90</v>
      </c>
      <c r="E1371" s="0" t="n">
        <v>1</v>
      </c>
      <c r="F1371" s="0" t="s">
        <v>25</v>
      </c>
      <c r="G1371" s="0" t="n">
        <v>15.0146762307801</v>
      </c>
      <c r="H1371" s="0" t="s">
        <v>437</v>
      </c>
      <c r="I1371" s="0" t="s">
        <v>437</v>
      </c>
      <c r="J1371" s="0" t="s">
        <v>437</v>
      </c>
      <c r="K1371" s="0" t="s">
        <v>437</v>
      </c>
      <c r="L1371" s="0" t="s">
        <v>437</v>
      </c>
      <c r="M1371" s="0" t="s">
        <v>457</v>
      </c>
      <c r="R1371" s="0" t="s">
        <v>81</v>
      </c>
    </row>
    <row r="1372" customFormat="false" ht="15" hidden="false" customHeight="false" outlineLevel="0" collapsed="false">
      <c r="A1372" s="0" t="s">
        <v>211</v>
      </c>
      <c r="B1372" s="0" t="n">
        <v>2020</v>
      </c>
      <c r="C1372" s="0" t="s">
        <v>101</v>
      </c>
      <c r="D1372" s="0" t="s">
        <v>90</v>
      </c>
      <c r="E1372" s="0" t="n">
        <v>1</v>
      </c>
      <c r="F1372" s="0" t="s">
        <v>41</v>
      </c>
      <c r="G1372" s="0" t="n">
        <v>0.548803535519781</v>
      </c>
      <c r="H1372" s="0" t="s">
        <v>437</v>
      </c>
      <c r="I1372" s="0" t="s">
        <v>437</v>
      </c>
      <c r="J1372" s="0" t="s">
        <v>437</v>
      </c>
      <c r="K1372" s="0" t="s">
        <v>437</v>
      </c>
      <c r="L1372" s="0" t="s">
        <v>437</v>
      </c>
      <c r="M1372" s="0" t="s">
        <v>457</v>
      </c>
      <c r="R1372" s="0" t="s">
        <v>81</v>
      </c>
    </row>
    <row r="1373" customFormat="false" ht="15" hidden="false" customHeight="false" outlineLevel="0" collapsed="false">
      <c r="A1373" s="0" t="s">
        <v>211</v>
      </c>
      <c r="B1373" s="0" t="n">
        <v>2020</v>
      </c>
      <c r="C1373" s="0" t="s">
        <v>101</v>
      </c>
      <c r="D1373" s="0" t="s">
        <v>90</v>
      </c>
      <c r="E1373" s="0" t="n">
        <v>1</v>
      </c>
      <c r="F1373" s="0" t="s">
        <v>27</v>
      </c>
      <c r="G1373" s="0" t="n">
        <v>6.12780620047067</v>
      </c>
      <c r="H1373" s="0" t="s">
        <v>437</v>
      </c>
      <c r="I1373" s="0" t="s">
        <v>437</v>
      </c>
      <c r="J1373" s="0" t="s">
        <v>437</v>
      </c>
      <c r="K1373" s="0" t="s">
        <v>437</v>
      </c>
      <c r="L1373" s="0" t="s">
        <v>437</v>
      </c>
      <c r="M1373" s="0" t="s">
        <v>457</v>
      </c>
      <c r="R1373" s="0" t="s">
        <v>81</v>
      </c>
    </row>
    <row r="1374" customFormat="false" ht="15" hidden="false" customHeight="false" outlineLevel="0" collapsed="false">
      <c r="A1374" s="0" t="s">
        <v>211</v>
      </c>
      <c r="B1374" s="0" t="n">
        <v>2020</v>
      </c>
      <c r="C1374" s="0" t="s">
        <v>101</v>
      </c>
      <c r="D1374" s="0" t="s">
        <v>90</v>
      </c>
      <c r="E1374" s="0" t="n">
        <v>1</v>
      </c>
      <c r="F1374" s="0" t="s">
        <v>39</v>
      </c>
      <c r="G1374" s="0" t="n">
        <v>5.59346208162597</v>
      </c>
      <c r="H1374" s="0" t="s">
        <v>437</v>
      </c>
      <c r="I1374" s="0" t="s">
        <v>437</v>
      </c>
      <c r="J1374" s="0" t="s">
        <v>437</v>
      </c>
      <c r="K1374" s="0" t="s">
        <v>437</v>
      </c>
      <c r="L1374" s="0" t="s">
        <v>437</v>
      </c>
      <c r="M1374" s="0" t="s">
        <v>457</v>
      </c>
      <c r="R1374" s="0" t="s">
        <v>81</v>
      </c>
    </row>
    <row r="1375" customFormat="false" ht="15" hidden="false" customHeight="false" outlineLevel="0" collapsed="false">
      <c r="A1375" s="0" t="s">
        <v>211</v>
      </c>
      <c r="B1375" s="0" t="n">
        <v>2020</v>
      </c>
      <c r="C1375" s="0" t="s">
        <v>101</v>
      </c>
      <c r="D1375" s="0" t="s">
        <v>90</v>
      </c>
      <c r="E1375" s="0" t="n">
        <v>1</v>
      </c>
      <c r="F1375" s="0" t="s">
        <v>17</v>
      </c>
      <c r="G1375" s="0" t="n">
        <v>3.98986551976858</v>
      </c>
      <c r="H1375" s="0" t="s">
        <v>437</v>
      </c>
      <c r="I1375" s="0" t="s">
        <v>437</v>
      </c>
      <c r="J1375" s="0" t="s">
        <v>437</v>
      </c>
      <c r="K1375" s="0" t="s">
        <v>437</v>
      </c>
      <c r="L1375" s="0" t="s">
        <v>437</v>
      </c>
      <c r="M1375" s="0" t="s">
        <v>457</v>
      </c>
      <c r="R1375" s="0" t="s">
        <v>81</v>
      </c>
    </row>
    <row r="1376" customFormat="false" ht="15" hidden="false" customHeight="false" outlineLevel="0" collapsed="false">
      <c r="A1376" s="0" t="s">
        <v>211</v>
      </c>
      <c r="B1376" s="0" t="n">
        <v>2020</v>
      </c>
      <c r="C1376" s="0" t="s">
        <v>101</v>
      </c>
      <c r="D1376" s="0" t="s">
        <v>90</v>
      </c>
      <c r="E1376" s="0" t="n">
        <v>1</v>
      </c>
      <c r="F1376" s="0" t="s">
        <v>29</v>
      </c>
      <c r="G1376" s="0" t="n">
        <v>0.673443453398941</v>
      </c>
      <c r="H1376" s="0" t="s">
        <v>437</v>
      </c>
      <c r="I1376" s="0" t="s">
        <v>437</v>
      </c>
      <c r="J1376" s="0" t="s">
        <v>437</v>
      </c>
      <c r="K1376" s="0" t="s">
        <v>437</v>
      </c>
      <c r="L1376" s="0" t="s">
        <v>437</v>
      </c>
      <c r="M1376" s="0" t="s">
        <v>457</v>
      </c>
      <c r="R1376" s="0" t="s">
        <v>81</v>
      </c>
    </row>
    <row r="1377" customFormat="false" ht="15" hidden="false" customHeight="false" outlineLevel="0" collapsed="false">
      <c r="A1377" s="0" t="s">
        <v>211</v>
      </c>
      <c r="B1377" s="0" t="n">
        <v>2020</v>
      </c>
      <c r="C1377" s="0" t="s">
        <v>101</v>
      </c>
      <c r="D1377" s="0" t="s">
        <v>90</v>
      </c>
      <c r="E1377" s="0" t="n">
        <v>1</v>
      </c>
      <c r="F1377" s="0" t="s">
        <v>37</v>
      </c>
      <c r="H1377" s="0" t="s">
        <v>457</v>
      </c>
      <c r="I1377" s="0" t="s">
        <v>457</v>
      </c>
      <c r="J1377" s="0" t="s">
        <v>457</v>
      </c>
      <c r="K1377" s="0" t="s">
        <v>457</v>
      </c>
      <c r="L1377" s="0" t="s">
        <v>457</v>
      </c>
      <c r="M1377" s="0" t="s">
        <v>457</v>
      </c>
      <c r="R1377" s="0" t="s">
        <v>81</v>
      </c>
    </row>
    <row r="1378" customFormat="false" ht="15" hidden="false" customHeight="false" outlineLevel="0" collapsed="false">
      <c r="A1378" s="0" t="s">
        <v>211</v>
      </c>
      <c r="B1378" s="0" t="n">
        <v>2020</v>
      </c>
      <c r="C1378" s="0" t="s">
        <v>101</v>
      </c>
      <c r="D1378" s="0" t="s">
        <v>90</v>
      </c>
      <c r="E1378" s="0" t="n">
        <v>1</v>
      </c>
      <c r="F1378" s="0" t="s">
        <v>23</v>
      </c>
      <c r="H1378" s="0" t="s">
        <v>457</v>
      </c>
      <c r="I1378" s="0" t="s">
        <v>457</v>
      </c>
      <c r="J1378" s="0" t="s">
        <v>457</v>
      </c>
      <c r="K1378" s="0" t="s">
        <v>457</v>
      </c>
      <c r="L1378" s="0" t="s">
        <v>457</v>
      </c>
      <c r="M1378" s="0" t="s">
        <v>457</v>
      </c>
      <c r="R1378" s="0" t="s">
        <v>81</v>
      </c>
    </row>
    <row r="1379" customFormat="false" ht="15" hidden="false" customHeight="false" outlineLevel="0" collapsed="false">
      <c r="A1379" s="0" t="s">
        <v>211</v>
      </c>
      <c r="B1379" s="0" t="n">
        <v>2020</v>
      </c>
      <c r="C1379" s="0" t="s">
        <v>101</v>
      </c>
      <c r="D1379" s="0" t="s">
        <v>90</v>
      </c>
      <c r="E1379" s="0" t="n">
        <v>1</v>
      </c>
      <c r="F1379" s="0" t="s">
        <v>45</v>
      </c>
      <c r="H1379" s="0" t="s">
        <v>457</v>
      </c>
      <c r="I1379" s="0" t="s">
        <v>457</v>
      </c>
      <c r="J1379" s="0" t="s">
        <v>457</v>
      </c>
      <c r="K1379" s="0" t="s">
        <v>457</v>
      </c>
      <c r="L1379" s="0" t="s">
        <v>457</v>
      </c>
      <c r="M1379" s="0" t="s">
        <v>457</v>
      </c>
      <c r="R1379" s="0" t="s">
        <v>81</v>
      </c>
    </row>
    <row r="1380" customFormat="false" ht="15" hidden="false" customHeight="false" outlineLevel="0" collapsed="false">
      <c r="A1380" s="0" t="s">
        <v>211</v>
      </c>
      <c r="B1380" s="0" t="n">
        <v>2020</v>
      </c>
      <c r="C1380" s="0" t="s">
        <v>101</v>
      </c>
      <c r="D1380" s="0" t="s">
        <v>90</v>
      </c>
      <c r="E1380" s="0" t="n">
        <v>1</v>
      </c>
      <c r="F1380" s="0" t="s">
        <v>71</v>
      </c>
      <c r="H1380" s="0" t="s">
        <v>457</v>
      </c>
      <c r="I1380" s="0" t="s">
        <v>457</v>
      </c>
      <c r="J1380" s="0" t="s">
        <v>457</v>
      </c>
      <c r="K1380" s="0" t="s">
        <v>457</v>
      </c>
      <c r="L1380" s="0" t="s">
        <v>457</v>
      </c>
      <c r="M1380" s="0" t="s">
        <v>457</v>
      </c>
      <c r="R1380" s="0" t="s">
        <v>81</v>
      </c>
    </row>
    <row r="1381" customFormat="false" ht="15" hidden="false" customHeight="false" outlineLevel="0" collapsed="false">
      <c r="A1381" s="0" t="s">
        <v>211</v>
      </c>
      <c r="B1381" s="0" t="n">
        <v>2020</v>
      </c>
      <c r="C1381" s="0" t="s">
        <v>101</v>
      </c>
      <c r="D1381" s="0" t="s">
        <v>90</v>
      </c>
      <c r="E1381" s="0" t="n">
        <v>1</v>
      </c>
      <c r="F1381" s="0" t="s">
        <v>31</v>
      </c>
      <c r="G1381" s="0" t="n">
        <v>93.8721937995293</v>
      </c>
      <c r="H1381" s="0" t="s">
        <v>437</v>
      </c>
      <c r="I1381" s="0" t="s">
        <v>437</v>
      </c>
      <c r="J1381" s="0" t="s">
        <v>437</v>
      </c>
      <c r="K1381" s="0" t="s">
        <v>437</v>
      </c>
      <c r="L1381" s="0" t="s">
        <v>437</v>
      </c>
      <c r="M1381" s="0" t="s">
        <v>457</v>
      </c>
      <c r="R1381" s="0" t="s">
        <v>81</v>
      </c>
    </row>
    <row r="1382" customFormat="false" ht="15" hidden="false" customHeight="false" outlineLevel="0" collapsed="false">
      <c r="A1382" s="0" t="s">
        <v>211</v>
      </c>
      <c r="B1382" s="0" t="n">
        <v>2021</v>
      </c>
      <c r="C1382" s="0" t="s">
        <v>101</v>
      </c>
      <c r="D1382" s="0" t="s">
        <v>90</v>
      </c>
      <c r="E1382" s="0" t="n">
        <v>1</v>
      </c>
      <c r="F1382" s="0" t="s">
        <v>73</v>
      </c>
      <c r="H1382" s="0" t="s">
        <v>457</v>
      </c>
      <c r="I1382" s="0" t="s">
        <v>457</v>
      </c>
      <c r="J1382" s="0" t="s">
        <v>457</v>
      </c>
      <c r="K1382" s="0" t="s">
        <v>457</v>
      </c>
      <c r="L1382" s="0" t="s">
        <v>457</v>
      </c>
      <c r="M1382" s="0" t="s">
        <v>457</v>
      </c>
      <c r="O1382" s="0" t="s">
        <v>2570</v>
      </c>
      <c r="P1382" s="0" t="s">
        <v>2605</v>
      </c>
      <c r="Q1382" s="0" t="s">
        <v>1658</v>
      </c>
      <c r="R1382" s="0" t="s">
        <v>220</v>
      </c>
    </row>
    <row r="1383" customFormat="false" ht="15" hidden="false" customHeight="false" outlineLevel="0" collapsed="false">
      <c r="A1383" s="0" t="s">
        <v>211</v>
      </c>
      <c r="B1383" s="0" t="n">
        <v>2021</v>
      </c>
      <c r="C1383" s="0" t="s">
        <v>101</v>
      </c>
      <c r="D1383" s="0" t="s">
        <v>90</v>
      </c>
      <c r="E1383" s="0" t="n">
        <v>1</v>
      </c>
      <c r="F1383" s="0" t="s">
        <v>69</v>
      </c>
      <c r="G1383" s="0" t="n">
        <v>11.71</v>
      </c>
      <c r="H1383" s="0" t="s">
        <v>437</v>
      </c>
      <c r="I1383" s="0" t="s">
        <v>437</v>
      </c>
      <c r="J1383" s="0" t="s">
        <v>437</v>
      </c>
      <c r="K1383" s="0" t="s">
        <v>437</v>
      </c>
      <c r="L1383" s="0" t="s">
        <v>457</v>
      </c>
      <c r="M1383" s="0" t="s">
        <v>437</v>
      </c>
      <c r="N1383" s="0" t="s">
        <v>2572</v>
      </c>
      <c r="O1383" s="0" t="s">
        <v>2606</v>
      </c>
      <c r="P1383" s="0" t="s">
        <v>2607</v>
      </c>
      <c r="Q1383" s="0" t="s">
        <v>1658</v>
      </c>
      <c r="R1383" s="0" t="s">
        <v>220</v>
      </c>
    </row>
    <row r="1384" customFormat="false" ht="15" hidden="false" customHeight="false" outlineLevel="0" collapsed="false">
      <c r="A1384" s="0" t="s">
        <v>211</v>
      </c>
      <c r="B1384" s="0" t="n">
        <v>2021</v>
      </c>
      <c r="C1384" s="0" t="s">
        <v>101</v>
      </c>
      <c r="D1384" s="0" t="s">
        <v>90</v>
      </c>
      <c r="E1384" s="0" t="n">
        <v>1</v>
      </c>
      <c r="F1384" s="0" t="s">
        <v>25</v>
      </c>
      <c r="G1384" s="0" t="n">
        <v>11.5630709206163</v>
      </c>
      <c r="H1384" s="0" t="s">
        <v>437</v>
      </c>
      <c r="I1384" s="0" t="s">
        <v>437</v>
      </c>
      <c r="J1384" s="0" t="s">
        <v>437</v>
      </c>
      <c r="K1384" s="0" t="s">
        <v>437</v>
      </c>
      <c r="L1384" s="0" t="s">
        <v>457</v>
      </c>
      <c r="M1384" s="0" t="s">
        <v>437</v>
      </c>
      <c r="N1384" s="0" t="s">
        <v>2572</v>
      </c>
      <c r="O1384" s="0" t="s">
        <v>2608</v>
      </c>
      <c r="P1384" s="0" t="s">
        <v>2609</v>
      </c>
      <c r="Q1384" s="0" t="s">
        <v>1658</v>
      </c>
      <c r="R1384" s="0" t="s">
        <v>220</v>
      </c>
    </row>
    <row r="1385" customFormat="false" ht="15" hidden="false" customHeight="false" outlineLevel="0" collapsed="false">
      <c r="A1385" s="0" t="s">
        <v>211</v>
      </c>
      <c r="B1385" s="0" t="n">
        <v>2021</v>
      </c>
      <c r="C1385" s="0" t="s">
        <v>101</v>
      </c>
      <c r="D1385" s="0" t="s">
        <v>90</v>
      </c>
      <c r="E1385" s="0" t="n">
        <v>1</v>
      </c>
      <c r="F1385" s="0" t="s">
        <v>41</v>
      </c>
      <c r="G1385" s="0" t="n">
        <v>0.837579317761261</v>
      </c>
      <c r="H1385" s="0" t="s">
        <v>437</v>
      </c>
      <c r="I1385" s="0" t="s">
        <v>437</v>
      </c>
      <c r="J1385" s="0" t="s">
        <v>437</v>
      </c>
      <c r="K1385" s="0" t="s">
        <v>437</v>
      </c>
      <c r="L1385" s="0" t="s">
        <v>437</v>
      </c>
      <c r="M1385" s="0" t="s">
        <v>437</v>
      </c>
      <c r="O1385" s="0" t="s">
        <v>2570</v>
      </c>
      <c r="P1385" s="0" t="s">
        <v>2605</v>
      </c>
      <c r="Q1385" s="0" t="s">
        <v>1658</v>
      </c>
      <c r="R1385" s="0" t="s">
        <v>220</v>
      </c>
    </row>
    <row r="1386" customFormat="false" ht="15" hidden="false" customHeight="false" outlineLevel="0" collapsed="false">
      <c r="A1386" s="0" t="s">
        <v>211</v>
      </c>
      <c r="B1386" s="0" t="n">
        <v>2021</v>
      </c>
      <c r="C1386" s="0" t="s">
        <v>101</v>
      </c>
      <c r="D1386" s="0" t="s">
        <v>90</v>
      </c>
      <c r="E1386" s="0" t="n">
        <v>1</v>
      </c>
      <c r="F1386" s="0" t="s">
        <v>27</v>
      </c>
      <c r="G1386" s="0" t="n">
        <v>6.04235848283873</v>
      </c>
      <c r="H1386" s="0" t="s">
        <v>437</v>
      </c>
      <c r="I1386" s="0" t="s">
        <v>437</v>
      </c>
      <c r="J1386" s="0" t="s">
        <v>437</v>
      </c>
      <c r="K1386" s="0" t="s">
        <v>437</v>
      </c>
      <c r="L1386" s="0" t="s">
        <v>437</v>
      </c>
      <c r="M1386" s="0" t="s">
        <v>437</v>
      </c>
      <c r="O1386" s="0" t="s">
        <v>2570</v>
      </c>
      <c r="P1386" s="0" t="s">
        <v>2605</v>
      </c>
      <c r="Q1386" s="0" t="s">
        <v>1658</v>
      </c>
      <c r="R1386" s="0" t="s">
        <v>220</v>
      </c>
    </row>
    <row r="1387" customFormat="false" ht="15" hidden="false" customHeight="false" outlineLevel="0" collapsed="false">
      <c r="A1387" s="0" t="s">
        <v>211</v>
      </c>
      <c r="B1387" s="0" t="n">
        <v>2021</v>
      </c>
      <c r="C1387" s="0" t="s">
        <v>101</v>
      </c>
      <c r="D1387" s="0" t="s">
        <v>90</v>
      </c>
      <c r="E1387" s="0" t="n">
        <v>1</v>
      </c>
      <c r="F1387" s="0" t="s">
        <v>39</v>
      </c>
      <c r="G1387" s="0" t="n">
        <v>0.923715553471236</v>
      </c>
      <c r="H1387" s="0" t="s">
        <v>437</v>
      </c>
      <c r="I1387" s="0" t="s">
        <v>437</v>
      </c>
      <c r="J1387" s="0" t="s">
        <v>437</v>
      </c>
      <c r="K1387" s="0" t="s">
        <v>437</v>
      </c>
      <c r="L1387" s="0" t="s">
        <v>437</v>
      </c>
      <c r="M1387" s="0" t="s">
        <v>437</v>
      </c>
      <c r="O1387" s="0" t="s">
        <v>2570</v>
      </c>
      <c r="P1387" s="0" t="s">
        <v>2605</v>
      </c>
      <c r="Q1387" s="0" t="s">
        <v>1658</v>
      </c>
      <c r="R1387" s="0" t="s">
        <v>220</v>
      </c>
    </row>
    <row r="1388" customFormat="false" ht="15" hidden="false" customHeight="false" outlineLevel="0" collapsed="false">
      <c r="A1388" s="0" t="s">
        <v>211</v>
      </c>
      <c r="B1388" s="0" t="n">
        <v>2021</v>
      </c>
      <c r="C1388" s="0" t="s">
        <v>101</v>
      </c>
      <c r="D1388" s="0" t="s">
        <v>90</v>
      </c>
      <c r="E1388" s="0" t="n">
        <v>1</v>
      </c>
      <c r="F1388" s="0" t="s">
        <v>17</v>
      </c>
      <c r="G1388" s="0" t="n">
        <v>3.83138387864166</v>
      </c>
      <c r="H1388" s="0" t="s">
        <v>437</v>
      </c>
      <c r="I1388" s="0" t="s">
        <v>437</v>
      </c>
      <c r="J1388" s="0" t="s">
        <v>437</v>
      </c>
      <c r="K1388" s="0" t="s">
        <v>437</v>
      </c>
      <c r="L1388" s="0" t="s">
        <v>437</v>
      </c>
      <c r="M1388" s="0" t="s">
        <v>437</v>
      </c>
      <c r="O1388" s="0" t="s">
        <v>2570</v>
      </c>
      <c r="P1388" s="0" t="s">
        <v>2605</v>
      </c>
      <c r="Q1388" s="0" t="s">
        <v>1658</v>
      </c>
      <c r="R1388" s="0" t="s">
        <v>220</v>
      </c>
    </row>
    <row r="1389" customFormat="false" ht="15" hidden="false" customHeight="false" outlineLevel="0" collapsed="false">
      <c r="A1389" s="0" t="s">
        <v>211</v>
      </c>
      <c r="B1389" s="0" t="n">
        <v>2021</v>
      </c>
      <c r="C1389" s="0" t="s">
        <v>101</v>
      </c>
      <c r="D1389" s="0" t="s">
        <v>90</v>
      </c>
      <c r="E1389" s="0" t="n">
        <v>1</v>
      </c>
      <c r="F1389" s="0" t="s">
        <v>29</v>
      </c>
      <c r="G1389" s="0" t="n">
        <v>0.197308429076335</v>
      </c>
      <c r="H1389" s="0" t="s">
        <v>437</v>
      </c>
      <c r="I1389" s="0" t="s">
        <v>437</v>
      </c>
      <c r="J1389" s="0" t="s">
        <v>457</v>
      </c>
      <c r="K1389" s="0" t="s">
        <v>457</v>
      </c>
      <c r="L1389" s="0" t="s">
        <v>457</v>
      </c>
      <c r="M1389" s="0" t="s">
        <v>437</v>
      </c>
      <c r="N1389" s="0" t="s">
        <v>2592</v>
      </c>
      <c r="O1389" s="0" t="s">
        <v>2610</v>
      </c>
      <c r="P1389" s="0" t="s">
        <v>2611</v>
      </c>
      <c r="Q1389" s="0" t="s">
        <v>1658</v>
      </c>
      <c r="R1389" s="0" t="s">
        <v>220</v>
      </c>
    </row>
    <row r="1390" customFormat="false" ht="15" hidden="false" customHeight="false" outlineLevel="0" collapsed="false">
      <c r="A1390" s="0" t="s">
        <v>211</v>
      </c>
      <c r="B1390" s="0" t="n">
        <v>2021</v>
      </c>
      <c r="C1390" s="0" t="s">
        <v>101</v>
      </c>
      <c r="D1390" s="0" t="s">
        <v>90</v>
      </c>
      <c r="E1390" s="0" t="n">
        <v>1</v>
      </c>
      <c r="F1390" s="0" t="s">
        <v>37</v>
      </c>
      <c r="G1390" s="0" t="n">
        <v>4.88192854487163</v>
      </c>
      <c r="H1390" s="0" t="s">
        <v>437</v>
      </c>
      <c r="I1390" s="0" t="s">
        <v>437</v>
      </c>
      <c r="J1390" s="0" t="s">
        <v>437</v>
      </c>
      <c r="K1390" s="0" t="s">
        <v>457</v>
      </c>
      <c r="L1390" s="0" t="s">
        <v>437</v>
      </c>
      <c r="M1390" s="0" t="s">
        <v>437</v>
      </c>
      <c r="O1390" s="0" t="s">
        <v>2570</v>
      </c>
      <c r="P1390" s="0" t="s">
        <v>2605</v>
      </c>
      <c r="Q1390" s="0" t="s">
        <v>1658</v>
      </c>
      <c r="R1390" s="0" t="s">
        <v>220</v>
      </c>
    </row>
    <row r="1391" customFormat="false" ht="15" hidden="false" customHeight="false" outlineLevel="0" collapsed="false">
      <c r="A1391" s="0" t="s">
        <v>211</v>
      </c>
      <c r="B1391" s="0" t="n">
        <v>2021</v>
      </c>
      <c r="C1391" s="0" t="s">
        <v>101</v>
      </c>
      <c r="D1391" s="0" t="s">
        <v>90</v>
      </c>
      <c r="E1391" s="0" t="n">
        <v>1</v>
      </c>
      <c r="F1391" s="0" t="s">
        <v>23</v>
      </c>
      <c r="G1391" s="0" t="n">
        <v>78.4809495556107</v>
      </c>
      <c r="H1391" s="0" t="s">
        <v>437</v>
      </c>
      <c r="I1391" s="0" t="s">
        <v>437</v>
      </c>
      <c r="J1391" s="0" t="s">
        <v>437</v>
      </c>
      <c r="K1391" s="0" t="s">
        <v>457</v>
      </c>
      <c r="L1391" s="0" t="s">
        <v>437</v>
      </c>
      <c r="M1391" s="0" t="s">
        <v>437</v>
      </c>
      <c r="O1391" s="0" t="s">
        <v>2570</v>
      </c>
      <c r="P1391" s="0" t="s">
        <v>2605</v>
      </c>
      <c r="Q1391" s="0" t="s">
        <v>1658</v>
      </c>
      <c r="R1391" s="0" t="s">
        <v>220</v>
      </c>
    </row>
    <row r="1392" customFormat="false" ht="15" hidden="false" customHeight="false" outlineLevel="0" collapsed="false">
      <c r="A1392" s="0" t="s">
        <v>211</v>
      </c>
      <c r="B1392" s="0" t="n">
        <v>2021</v>
      </c>
      <c r="C1392" s="0" t="s">
        <v>101</v>
      </c>
      <c r="D1392" s="0" t="s">
        <v>90</v>
      </c>
      <c r="E1392" s="0" t="n">
        <v>1</v>
      </c>
      <c r="F1392" s="0" t="s">
        <v>45</v>
      </c>
      <c r="H1392" s="0" t="s">
        <v>457</v>
      </c>
      <c r="I1392" s="0" t="s">
        <v>457</v>
      </c>
      <c r="J1392" s="0" t="s">
        <v>457</v>
      </c>
      <c r="K1392" s="0" t="s">
        <v>457</v>
      </c>
      <c r="L1392" s="0" t="s">
        <v>457</v>
      </c>
      <c r="M1392" s="0" t="s">
        <v>457</v>
      </c>
      <c r="O1392" s="0" t="s">
        <v>2570</v>
      </c>
      <c r="P1392" s="0" t="s">
        <v>2605</v>
      </c>
      <c r="Q1392" s="0" t="s">
        <v>1658</v>
      </c>
      <c r="R1392" s="0" t="s">
        <v>220</v>
      </c>
    </row>
    <row r="1393" customFormat="false" ht="15" hidden="false" customHeight="false" outlineLevel="0" collapsed="false">
      <c r="A1393" s="0" t="s">
        <v>211</v>
      </c>
      <c r="B1393" s="0" t="n">
        <v>2021</v>
      </c>
      <c r="C1393" s="0" t="s">
        <v>101</v>
      </c>
      <c r="D1393" s="0" t="s">
        <v>90</v>
      </c>
      <c r="E1393" s="0" t="n">
        <v>1</v>
      </c>
      <c r="F1393" s="0" t="s">
        <v>71</v>
      </c>
      <c r="H1393" s="0" t="s">
        <v>457</v>
      </c>
      <c r="I1393" s="0" t="s">
        <v>457</v>
      </c>
      <c r="J1393" s="0" t="s">
        <v>457</v>
      </c>
      <c r="K1393" s="0" t="s">
        <v>457</v>
      </c>
      <c r="L1393" s="0" t="s">
        <v>457</v>
      </c>
      <c r="M1393" s="0" t="s">
        <v>457</v>
      </c>
      <c r="O1393" s="0" t="s">
        <v>2570</v>
      </c>
      <c r="P1393" s="0" t="s">
        <v>2605</v>
      </c>
      <c r="Q1393" s="0" t="s">
        <v>1658</v>
      </c>
      <c r="R1393" s="0" t="s">
        <v>220</v>
      </c>
    </row>
    <row r="1394" customFormat="false" ht="15" hidden="false" customHeight="false" outlineLevel="0" collapsed="false">
      <c r="A1394" s="0" t="s">
        <v>211</v>
      </c>
      <c r="B1394" s="0" t="n">
        <v>2021</v>
      </c>
      <c r="C1394" s="0" t="s">
        <v>101</v>
      </c>
      <c r="D1394" s="0" t="s">
        <v>90</v>
      </c>
      <c r="E1394" s="0" t="n">
        <v>1</v>
      </c>
      <c r="F1394" s="0" t="s">
        <v>31</v>
      </c>
      <c r="G1394" s="0" t="n">
        <v>93.9576414312888</v>
      </c>
      <c r="H1394" s="0" t="s">
        <v>437</v>
      </c>
      <c r="I1394" s="0" t="s">
        <v>437</v>
      </c>
      <c r="J1394" s="0" t="s">
        <v>437</v>
      </c>
      <c r="K1394" s="0" t="s">
        <v>437</v>
      </c>
      <c r="L1394" s="0" t="s">
        <v>437</v>
      </c>
      <c r="M1394" s="0" t="s">
        <v>437</v>
      </c>
      <c r="O1394" s="0" t="s">
        <v>2570</v>
      </c>
      <c r="P1394" s="0" t="s">
        <v>2605</v>
      </c>
      <c r="Q1394" s="0" t="s">
        <v>1658</v>
      </c>
      <c r="R1394" s="0" t="s">
        <v>220</v>
      </c>
    </row>
    <row r="1395" customFormat="false" ht="15" hidden="false" customHeight="false" outlineLevel="0" collapsed="false">
      <c r="A1395" s="0" t="s">
        <v>211</v>
      </c>
      <c r="B1395" s="0" t="n">
        <v>2022</v>
      </c>
      <c r="C1395" s="0" t="s">
        <v>101</v>
      </c>
      <c r="D1395" s="0" t="s">
        <v>90</v>
      </c>
      <c r="E1395" s="0" t="n">
        <v>1</v>
      </c>
      <c r="F1395" s="0" t="s">
        <v>73</v>
      </c>
      <c r="G1395" s="0" t="n">
        <v>0</v>
      </c>
      <c r="H1395" s="0" t="s">
        <v>437</v>
      </c>
      <c r="I1395" s="0" t="s">
        <v>437</v>
      </c>
      <c r="J1395" s="0" t="s">
        <v>437</v>
      </c>
      <c r="K1395" s="0" t="s">
        <v>457</v>
      </c>
      <c r="L1395" s="0" t="s">
        <v>437</v>
      </c>
      <c r="M1395" s="0" t="s">
        <v>457</v>
      </c>
      <c r="R1395" s="0" t="s">
        <v>81</v>
      </c>
    </row>
    <row r="1396" customFormat="false" ht="15" hidden="false" customHeight="false" outlineLevel="0" collapsed="false">
      <c r="A1396" s="0" t="s">
        <v>211</v>
      </c>
      <c r="B1396" s="0" t="n">
        <v>2022</v>
      </c>
      <c r="C1396" s="0" t="s">
        <v>101</v>
      </c>
      <c r="D1396" s="0" t="s">
        <v>90</v>
      </c>
      <c r="E1396" s="0" t="n">
        <v>1</v>
      </c>
      <c r="F1396" s="0" t="s">
        <v>69</v>
      </c>
      <c r="G1396" s="0" t="n">
        <v>12.74</v>
      </c>
      <c r="H1396" s="0" t="s">
        <v>437</v>
      </c>
      <c r="I1396" s="0" t="s">
        <v>437</v>
      </c>
      <c r="J1396" s="0" t="s">
        <v>437</v>
      </c>
      <c r="K1396" s="0" t="s">
        <v>437</v>
      </c>
      <c r="L1396" s="0" t="s">
        <v>437</v>
      </c>
      <c r="M1396" s="0" t="s">
        <v>457</v>
      </c>
      <c r="R1396" s="0" t="s">
        <v>81</v>
      </c>
    </row>
    <row r="1397" customFormat="false" ht="15" hidden="false" customHeight="false" outlineLevel="0" collapsed="false">
      <c r="A1397" s="0" t="s">
        <v>211</v>
      </c>
      <c r="B1397" s="0" t="n">
        <v>2022</v>
      </c>
      <c r="C1397" s="0" t="s">
        <v>101</v>
      </c>
      <c r="D1397" s="0" t="s">
        <v>90</v>
      </c>
      <c r="E1397" s="0" t="n">
        <v>1</v>
      </c>
      <c r="F1397" s="0" t="s">
        <v>25</v>
      </c>
      <c r="G1397" s="0" t="n">
        <v>12.7374082051793</v>
      </c>
      <c r="H1397" s="0" t="s">
        <v>437</v>
      </c>
      <c r="I1397" s="0" t="s">
        <v>437</v>
      </c>
      <c r="J1397" s="0" t="s">
        <v>437</v>
      </c>
      <c r="K1397" s="0" t="s">
        <v>437</v>
      </c>
      <c r="L1397" s="0" t="s">
        <v>437</v>
      </c>
      <c r="M1397" s="0" t="s">
        <v>457</v>
      </c>
      <c r="R1397" s="0" t="s">
        <v>81</v>
      </c>
    </row>
    <row r="1398" customFormat="false" ht="15" hidden="false" customHeight="false" outlineLevel="0" collapsed="false">
      <c r="A1398" s="0" t="s">
        <v>211</v>
      </c>
      <c r="B1398" s="0" t="n">
        <v>2022</v>
      </c>
      <c r="C1398" s="0" t="s">
        <v>101</v>
      </c>
      <c r="D1398" s="0" t="s">
        <v>90</v>
      </c>
      <c r="E1398" s="0" t="n">
        <v>1</v>
      </c>
      <c r="F1398" s="0" t="s">
        <v>41</v>
      </c>
      <c r="H1398" s="0" t="s">
        <v>457</v>
      </c>
      <c r="I1398" s="0" t="s">
        <v>457</v>
      </c>
      <c r="J1398" s="0" t="s">
        <v>457</v>
      </c>
      <c r="K1398" s="0" t="s">
        <v>457</v>
      </c>
      <c r="L1398" s="0" t="s">
        <v>457</v>
      </c>
      <c r="M1398" s="0" t="s">
        <v>457</v>
      </c>
      <c r="R1398" s="0" t="s">
        <v>81</v>
      </c>
    </row>
    <row r="1399" customFormat="false" ht="15" hidden="false" customHeight="false" outlineLevel="0" collapsed="false">
      <c r="A1399" s="0" t="s">
        <v>211</v>
      </c>
      <c r="B1399" s="0" t="n">
        <v>2022</v>
      </c>
      <c r="C1399" s="0" t="s">
        <v>101</v>
      </c>
      <c r="D1399" s="0" t="s">
        <v>90</v>
      </c>
      <c r="E1399" s="0" t="n">
        <v>1</v>
      </c>
      <c r="F1399" s="0" t="s">
        <v>27</v>
      </c>
      <c r="G1399" s="0" t="n">
        <v>5.76288381871853</v>
      </c>
      <c r="H1399" s="0" t="s">
        <v>437</v>
      </c>
      <c r="I1399" s="0" t="s">
        <v>437</v>
      </c>
      <c r="J1399" s="0" t="s">
        <v>437</v>
      </c>
      <c r="K1399" s="0" t="s">
        <v>437</v>
      </c>
      <c r="L1399" s="0" t="s">
        <v>437</v>
      </c>
      <c r="M1399" s="0" t="s">
        <v>457</v>
      </c>
      <c r="R1399" s="0" t="s">
        <v>81</v>
      </c>
    </row>
    <row r="1400" customFormat="false" ht="15" hidden="false" customHeight="false" outlineLevel="0" collapsed="false">
      <c r="A1400" s="0" t="s">
        <v>211</v>
      </c>
      <c r="B1400" s="0" t="n">
        <v>2022</v>
      </c>
      <c r="C1400" s="0" t="s">
        <v>101</v>
      </c>
      <c r="D1400" s="0" t="s">
        <v>90</v>
      </c>
      <c r="E1400" s="0" t="n">
        <v>1</v>
      </c>
      <c r="F1400" s="0" t="s">
        <v>39</v>
      </c>
      <c r="H1400" s="0" t="s">
        <v>457</v>
      </c>
      <c r="I1400" s="0" t="s">
        <v>457</v>
      </c>
      <c r="J1400" s="0" t="s">
        <v>457</v>
      </c>
      <c r="K1400" s="0" t="s">
        <v>457</v>
      </c>
      <c r="L1400" s="0" t="s">
        <v>457</v>
      </c>
      <c r="M1400" s="0" t="s">
        <v>457</v>
      </c>
      <c r="R1400" s="0" t="s">
        <v>81</v>
      </c>
    </row>
    <row r="1401" customFormat="false" ht="15" hidden="false" customHeight="false" outlineLevel="0" collapsed="false">
      <c r="A1401" s="0" t="s">
        <v>211</v>
      </c>
      <c r="B1401" s="0" t="n">
        <v>2022</v>
      </c>
      <c r="C1401" s="0" t="s">
        <v>101</v>
      </c>
      <c r="D1401" s="0" t="s">
        <v>90</v>
      </c>
      <c r="E1401" s="0" t="n">
        <v>1</v>
      </c>
      <c r="F1401" s="0" t="s">
        <v>17</v>
      </c>
      <c r="G1401" s="0" t="n">
        <v>3.32633443478277</v>
      </c>
      <c r="H1401" s="0" t="s">
        <v>437</v>
      </c>
      <c r="I1401" s="0" t="s">
        <v>437</v>
      </c>
      <c r="J1401" s="0" t="s">
        <v>437</v>
      </c>
      <c r="K1401" s="0" t="s">
        <v>437</v>
      </c>
      <c r="L1401" s="0" t="s">
        <v>437</v>
      </c>
      <c r="M1401" s="0" t="s">
        <v>457</v>
      </c>
      <c r="R1401" s="0" t="s">
        <v>81</v>
      </c>
    </row>
    <row r="1402" customFormat="false" ht="15" hidden="false" customHeight="false" outlineLevel="0" collapsed="false">
      <c r="A1402" s="0" t="s">
        <v>211</v>
      </c>
      <c r="B1402" s="0" t="n">
        <v>2022</v>
      </c>
      <c r="C1402" s="0" t="s">
        <v>101</v>
      </c>
      <c r="D1402" s="0" t="s">
        <v>90</v>
      </c>
      <c r="E1402" s="0" t="n">
        <v>1</v>
      </c>
      <c r="F1402" s="0" t="s">
        <v>29</v>
      </c>
      <c r="H1402" s="0" t="s">
        <v>457</v>
      </c>
      <c r="I1402" s="0" t="s">
        <v>457</v>
      </c>
      <c r="J1402" s="0" t="s">
        <v>457</v>
      </c>
      <c r="K1402" s="0" t="s">
        <v>457</v>
      </c>
      <c r="L1402" s="0" t="s">
        <v>457</v>
      </c>
      <c r="M1402" s="0" t="s">
        <v>457</v>
      </c>
      <c r="O1402" s="0" t="s">
        <v>2612</v>
      </c>
      <c r="P1402" s="0" t="s">
        <v>2613</v>
      </c>
      <c r="R1402" s="0" t="s">
        <v>81</v>
      </c>
    </row>
    <row r="1403" customFormat="false" ht="15" hidden="false" customHeight="false" outlineLevel="0" collapsed="false">
      <c r="A1403" s="0" t="s">
        <v>211</v>
      </c>
      <c r="B1403" s="0" t="n">
        <v>2022</v>
      </c>
      <c r="C1403" s="0" t="s">
        <v>101</v>
      </c>
      <c r="D1403" s="0" t="s">
        <v>90</v>
      </c>
      <c r="E1403" s="0" t="n">
        <v>1</v>
      </c>
      <c r="F1403" s="0" t="s">
        <v>37</v>
      </c>
      <c r="H1403" s="0" t="s">
        <v>457</v>
      </c>
      <c r="I1403" s="0" t="s">
        <v>457</v>
      </c>
      <c r="J1403" s="0" t="s">
        <v>457</v>
      </c>
      <c r="K1403" s="0" t="s">
        <v>457</v>
      </c>
      <c r="L1403" s="0" t="s">
        <v>457</v>
      </c>
      <c r="M1403" s="0" t="s">
        <v>457</v>
      </c>
      <c r="R1403" s="0" t="s">
        <v>81</v>
      </c>
    </row>
    <row r="1404" customFormat="false" ht="15" hidden="false" customHeight="false" outlineLevel="0" collapsed="false">
      <c r="A1404" s="0" t="s">
        <v>211</v>
      </c>
      <c r="B1404" s="0" t="n">
        <v>2022</v>
      </c>
      <c r="C1404" s="0" t="s">
        <v>101</v>
      </c>
      <c r="D1404" s="0" t="s">
        <v>90</v>
      </c>
      <c r="E1404" s="0" t="n">
        <v>1</v>
      </c>
      <c r="F1404" s="0" t="s">
        <v>23</v>
      </c>
      <c r="H1404" s="0" t="s">
        <v>457</v>
      </c>
      <c r="I1404" s="0" t="s">
        <v>457</v>
      </c>
      <c r="J1404" s="0" t="s">
        <v>457</v>
      </c>
      <c r="K1404" s="0" t="s">
        <v>457</v>
      </c>
      <c r="L1404" s="0" t="s">
        <v>457</v>
      </c>
      <c r="M1404" s="0" t="s">
        <v>457</v>
      </c>
      <c r="R1404" s="0" t="s">
        <v>81</v>
      </c>
    </row>
    <row r="1405" customFormat="false" ht="15" hidden="false" customHeight="false" outlineLevel="0" collapsed="false">
      <c r="A1405" s="0" t="s">
        <v>211</v>
      </c>
      <c r="B1405" s="0" t="n">
        <v>2022</v>
      </c>
      <c r="C1405" s="0" t="s">
        <v>101</v>
      </c>
      <c r="D1405" s="0" t="s">
        <v>90</v>
      </c>
      <c r="E1405" s="0" t="n">
        <v>1</v>
      </c>
      <c r="F1405" s="0" t="s">
        <v>45</v>
      </c>
      <c r="H1405" s="0" t="s">
        <v>457</v>
      </c>
      <c r="I1405" s="0" t="s">
        <v>457</v>
      </c>
      <c r="J1405" s="0" t="s">
        <v>457</v>
      </c>
      <c r="K1405" s="0" t="s">
        <v>457</v>
      </c>
      <c r="L1405" s="0" t="s">
        <v>457</v>
      </c>
      <c r="M1405" s="0" t="s">
        <v>457</v>
      </c>
      <c r="R1405" s="0" t="s">
        <v>81</v>
      </c>
    </row>
    <row r="1406" customFormat="false" ht="15" hidden="false" customHeight="false" outlineLevel="0" collapsed="false">
      <c r="A1406" s="0" t="s">
        <v>211</v>
      </c>
      <c r="B1406" s="0" t="n">
        <v>2022</v>
      </c>
      <c r="C1406" s="0" t="s">
        <v>101</v>
      </c>
      <c r="D1406" s="0" t="s">
        <v>90</v>
      </c>
      <c r="E1406" s="0" t="n">
        <v>1</v>
      </c>
      <c r="F1406" s="0" t="s">
        <v>71</v>
      </c>
      <c r="H1406" s="0" t="s">
        <v>457</v>
      </c>
      <c r="I1406" s="0" t="s">
        <v>457</v>
      </c>
      <c r="J1406" s="0" t="s">
        <v>457</v>
      </c>
      <c r="K1406" s="0" t="s">
        <v>457</v>
      </c>
      <c r="L1406" s="0" t="s">
        <v>457</v>
      </c>
      <c r="M1406" s="0" t="s">
        <v>457</v>
      </c>
      <c r="R1406" s="0" t="s">
        <v>81</v>
      </c>
    </row>
    <row r="1407" customFormat="false" ht="15" hidden="false" customHeight="false" outlineLevel="0" collapsed="false">
      <c r="A1407" s="0" t="s">
        <v>211</v>
      </c>
      <c r="B1407" s="0" t="n">
        <v>2022</v>
      </c>
      <c r="C1407" s="0" t="s">
        <v>101</v>
      </c>
      <c r="D1407" s="0" t="s">
        <v>90</v>
      </c>
      <c r="E1407" s="0" t="n">
        <v>1</v>
      </c>
      <c r="F1407" s="0" t="s">
        <v>31</v>
      </c>
      <c r="G1407" s="0" t="n">
        <v>94.2371161812815</v>
      </c>
      <c r="H1407" s="0" t="s">
        <v>437</v>
      </c>
      <c r="I1407" s="0" t="s">
        <v>437</v>
      </c>
      <c r="J1407" s="0" t="s">
        <v>437</v>
      </c>
      <c r="K1407" s="0" t="s">
        <v>437</v>
      </c>
      <c r="L1407" s="0" t="s">
        <v>437</v>
      </c>
      <c r="M1407" s="0" t="s">
        <v>457</v>
      </c>
      <c r="R1407" s="0" t="s">
        <v>81</v>
      </c>
    </row>
    <row r="1408" customFormat="false" ht="15" hidden="false" customHeight="false" outlineLevel="0" collapsed="false">
      <c r="A1408" s="0" t="s">
        <v>222</v>
      </c>
      <c r="B1408" s="0" t="n">
        <v>2013</v>
      </c>
      <c r="C1408" s="0" t="s">
        <v>78</v>
      </c>
      <c r="D1408" s="0" t="s">
        <v>79</v>
      </c>
      <c r="E1408" s="0" t="n">
        <v>0</v>
      </c>
      <c r="F1408" s="0" t="s">
        <v>73</v>
      </c>
      <c r="G1408" s="0" t="n">
        <v>0</v>
      </c>
      <c r="H1408" s="0" t="s">
        <v>437</v>
      </c>
      <c r="I1408" s="0" t="s">
        <v>437</v>
      </c>
      <c r="J1408" s="0" t="s">
        <v>437</v>
      </c>
      <c r="K1408" s="0" t="s">
        <v>457</v>
      </c>
      <c r="L1408" s="0" t="s">
        <v>437</v>
      </c>
      <c r="M1408" s="0" t="s">
        <v>457</v>
      </c>
      <c r="R1408" s="0" t="s">
        <v>103</v>
      </c>
    </row>
    <row r="1409" customFormat="false" ht="15" hidden="false" customHeight="false" outlineLevel="0" collapsed="false">
      <c r="A1409" s="0" t="s">
        <v>222</v>
      </c>
      <c r="B1409" s="0" t="n">
        <v>2013</v>
      </c>
      <c r="C1409" s="0" t="s">
        <v>78</v>
      </c>
      <c r="D1409" s="0" t="s">
        <v>79</v>
      </c>
      <c r="E1409" s="0" t="n">
        <v>0</v>
      </c>
      <c r="F1409" s="0" t="s">
        <v>69</v>
      </c>
      <c r="G1409" s="0" t="n">
        <v>26</v>
      </c>
      <c r="H1409" s="0" t="s">
        <v>437</v>
      </c>
      <c r="I1409" s="0" t="s">
        <v>437</v>
      </c>
      <c r="J1409" s="0" t="s">
        <v>437</v>
      </c>
      <c r="K1409" s="0" t="s">
        <v>457</v>
      </c>
      <c r="L1409" s="0" t="s">
        <v>437</v>
      </c>
      <c r="M1409" s="0" t="s">
        <v>457</v>
      </c>
      <c r="R1409" s="0" t="s">
        <v>103</v>
      </c>
    </row>
    <row r="1410" customFormat="false" ht="15" hidden="false" customHeight="false" outlineLevel="0" collapsed="false">
      <c r="A1410" s="0" t="s">
        <v>222</v>
      </c>
      <c r="B1410" s="0" t="n">
        <v>2013</v>
      </c>
      <c r="C1410" s="0" t="s">
        <v>78</v>
      </c>
      <c r="D1410" s="0" t="s">
        <v>79</v>
      </c>
      <c r="E1410" s="0" t="n">
        <v>0</v>
      </c>
      <c r="F1410" s="0" t="s">
        <v>25</v>
      </c>
      <c r="G1410" s="0" t="n">
        <v>26.2189890423635</v>
      </c>
      <c r="H1410" s="0" t="s">
        <v>437</v>
      </c>
      <c r="I1410" s="0" t="s">
        <v>437</v>
      </c>
      <c r="J1410" s="0" t="s">
        <v>437</v>
      </c>
      <c r="K1410" s="0" t="s">
        <v>457</v>
      </c>
      <c r="L1410" s="0" t="s">
        <v>437</v>
      </c>
      <c r="M1410" s="0" t="s">
        <v>457</v>
      </c>
      <c r="R1410" s="0" t="s">
        <v>103</v>
      </c>
    </row>
    <row r="1411" customFormat="false" ht="15" hidden="false" customHeight="false" outlineLevel="0" collapsed="false">
      <c r="A1411" s="0" t="s">
        <v>222</v>
      </c>
      <c r="B1411" s="0" t="n">
        <v>2013</v>
      </c>
      <c r="C1411" s="0" t="s">
        <v>78</v>
      </c>
      <c r="D1411" s="0" t="s">
        <v>79</v>
      </c>
      <c r="E1411" s="0" t="n">
        <v>0</v>
      </c>
      <c r="F1411" s="0" t="s">
        <v>41</v>
      </c>
      <c r="G1411" s="0" t="n">
        <v>3.13847277972917</v>
      </c>
      <c r="H1411" s="0" t="s">
        <v>437</v>
      </c>
      <c r="I1411" s="0" t="s">
        <v>437</v>
      </c>
      <c r="J1411" s="0" t="s">
        <v>437</v>
      </c>
      <c r="K1411" s="0" t="s">
        <v>457</v>
      </c>
      <c r="L1411" s="0" t="s">
        <v>437</v>
      </c>
      <c r="M1411" s="0" t="s">
        <v>457</v>
      </c>
      <c r="R1411" s="0" t="s">
        <v>103</v>
      </c>
    </row>
    <row r="1412" customFormat="false" ht="15" hidden="false" customHeight="false" outlineLevel="0" collapsed="false">
      <c r="A1412" s="0" t="s">
        <v>222</v>
      </c>
      <c r="B1412" s="0" t="n">
        <v>2013</v>
      </c>
      <c r="C1412" s="0" t="s">
        <v>78</v>
      </c>
      <c r="D1412" s="0" t="s">
        <v>79</v>
      </c>
      <c r="E1412" s="0" t="n">
        <v>0</v>
      </c>
      <c r="F1412" s="0" t="s">
        <v>27</v>
      </c>
      <c r="G1412" s="0" t="n">
        <v>16.4179368901095</v>
      </c>
      <c r="H1412" s="0" t="s">
        <v>437</v>
      </c>
      <c r="I1412" s="0" t="s">
        <v>437</v>
      </c>
      <c r="J1412" s="0" t="s">
        <v>437</v>
      </c>
      <c r="K1412" s="0" t="s">
        <v>457</v>
      </c>
      <c r="L1412" s="0" t="s">
        <v>437</v>
      </c>
      <c r="M1412" s="0" t="s">
        <v>457</v>
      </c>
      <c r="R1412" s="0" t="s">
        <v>103</v>
      </c>
    </row>
    <row r="1413" customFormat="false" ht="15" hidden="false" customHeight="false" outlineLevel="0" collapsed="false">
      <c r="A1413" s="0" t="s">
        <v>222</v>
      </c>
      <c r="B1413" s="0" t="n">
        <v>2013</v>
      </c>
      <c r="C1413" s="0" t="s">
        <v>78</v>
      </c>
      <c r="D1413" s="0" t="s">
        <v>79</v>
      </c>
      <c r="E1413" s="0" t="n">
        <v>0</v>
      </c>
      <c r="F1413" s="0" t="s">
        <v>39</v>
      </c>
      <c r="G1413" s="0" t="n">
        <v>8.86522427754342</v>
      </c>
      <c r="H1413" s="0" t="s">
        <v>437</v>
      </c>
      <c r="I1413" s="0" t="s">
        <v>437</v>
      </c>
      <c r="J1413" s="0" t="s">
        <v>437</v>
      </c>
      <c r="K1413" s="0" t="s">
        <v>457</v>
      </c>
      <c r="L1413" s="0" t="s">
        <v>437</v>
      </c>
      <c r="M1413" s="0" t="s">
        <v>457</v>
      </c>
      <c r="R1413" s="0" t="s">
        <v>103</v>
      </c>
    </row>
    <row r="1414" customFormat="false" ht="15" hidden="false" customHeight="false" outlineLevel="0" collapsed="false">
      <c r="A1414" s="0" t="s">
        <v>222</v>
      </c>
      <c r="B1414" s="0" t="n">
        <v>2013</v>
      </c>
      <c r="C1414" s="0" t="s">
        <v>78</v>
      </c>
      <c r="D1414" s="0" t="s">
        <v>79</v>
      </c>
      <c r="E1414" s="0" t="n">
        <v>0</v>
      </c>
      <c r="F1414" s="0" t="s">
        <v>17</v>
      </c>
      <c r="G1414" s="0" t="n">
        <v>1.89998415155985</v>
      </c>
      <c r="H1414" s="0" t="s">
        <v>437</v>
      </c>
      <c r="I1414" s="0" t="s">
        <v>437</v>
      </c>
      <c r="J1414" s="0" t="s">
        <v>437</v>
      </c>
      <c r="K1414" s="0" t="s">
        <v>457</v>
      </c>
      <c r="L1414" s="0" t="s">
        <v>437</v>
      </c>
      <c r="M1414" s="0" t="s">
        <v>457</v>
      </c>
      <c r="R1414" s="0" t="s">
        <v>103</v>
      </c>
    </row>
    <row r="1415" customFormat="false" ht="15" hidden="false" customHeight="false" outlineLevel="0" collapsed="false">
      <c r="A1415" s="0" t="s">
        <v>222</v>
      </c>
      <c r="B1415" s="0" t="n">
        <v>2013</v>
      </c>
      <c r="C1415" s="0" t="s">
        <v>78</v>
      </c>
      <c r="D1415" s="0" t="s">
        <v>79</v>
      </c>
      <c r="E1415" s="0" t="n">
        <v>0</v>
      </c>
      <c r="F1415" s="0" t="s">
        <v>29</v>
      </c>
      <c r="G1415" s="0" t="n">
        <v>0.372753372680568</v>
      </c>
      <c r="H1415" s="0" t="s">
        <v>437</v>
      </c>
      <c r="I1415" s="0" t="s">
        <v>437</v>
      </c>
      <c r="J1415" s="0" t="s">
        <v>437</v>
      </c>
      <c r="K1415" s="0" t="s">
        <v>457</v>
      </c>
      <c r="L1415" s="0" t="s">
        <v>437</v>
      </c>
      <c r="M1415" s="0" t="s">
        <v>457</v>
      </c>
      <c r="R1415" s="0" t="s">
        <v>103</v>
      </c>
    </row>
    <row r="1416" customFormat="false" ht="15" hidden="false" customHeight="false" outlineLevel="0" collapsed="false">
      <c r="A1416" s="0" t="s">
        <v>222</v>
      </c>
      <c r="B1416" s="0" t="n">
        <v>2013</v>
      </c>
      <c r="C1416" s="0" t="s">
        <v>78</v>
      </c>
      <c r="D1416" s="0" t="s">
        <v>79</v>
      </c>
      <c r="E1416" s="0" t="n">
        <v>0</v>
      </c>
      <c r="F1416" s="0" t="s">
        <v>37</v>
      </c>
      <c r="H1416" s="0" t="s">
        <v>457</v>
      </c>
      <c r="I1416" s="0" t="s">
        <v>457</v>
      </c>
      <c r="J1416" s="0" t="s">
        <v>457</v>
      </c>
      <c r="K1416" s="0" t="s">
        <v>457</v>
      </c>
      <c r="L1416" s="0" t="s">
        <v>457</v>
      </c>
      <c r="M1416" s="0" t="s">
        <v>457</v>
      </c>
      <c r="R1416" s="0" t="s">
        <v>103</v>
      </c>
    </row>
    <row r="1417" customFormat="false" ht="15" hidden="false" customHeight="false" outlineLevel="0" collapsed="false">
      <c r="A1417" s="0" t="s">
        <v>222</v>
      </c>
      <c r="B1417" s="0" t="n">
        <v>2013</v>
      </c>
      <c r="C1417" s="0" t="s">
        <v>78</v>
      </c>
      <c r="D1417" s="0" t="s">
        <v>79</v>
      </c>
      <c r="E1417" s="0" t="n">
        <v>0</v>
      </c>
      <c r="F1417" s="0" t="s">
        <v>23</v>
      </c>
      <c r="H1417" s="0" t="s">
        <v>457</v>
      </c>
      <c r="I1417" s="0" t="s">
        <v>457</v>
      </c>
      <c r="J1417" s="0" t="s">
        <v>457</v>
      </c>
      <c r="K1417" s="0" t="s">
        <v>457</v>
      </c>
      <c r="L1417" s="0" t="s">
        <v>457</v>
      </c>
      <c r="M1417" s="0" t="s">
        <v>457</v>
      </c>
      <c r="R1417" s="0" t="s">
        <v>103</v>
      </c>
    </row>
    <row r="1418" customFormat="false" ht="15" hidden="false" customHeight="false" outlineLevel="0" collapsed="false">
      <c r="A1418" s="0" t="s">
        <v>222</v>
      </c>
      <c r="B1418" s="0" t="n">
        <v>2013</v>
      </c>
      <c r="C1418" s="0" t="s">
        <v>78</v>
      </c>
      <c r="D1418" s="0" t="s">
        <v>79</v>
      </c>
      <c r="E1418" s="0" t="n">
        <v>0</v>
      </c>
      <c r="F1418" s="0" t="s">
        <v>45</v>
      </c>
      <c r="H1418" s="0" t="s">
        <v>457</v>
      </c>
      <c r="I1418" s="0" t="s">
        <v>457</v>
      </c>
      <c r="J1418" s="0" t="s">
        <v>457</v>
      </c>
      <c r="K1418" s="0" t="s">
        <v>457</v>
      </c>
      <c r="L1418" s="0" t="s">
        <v>457</v>
      </c>
      <c r="M1418" s="0" t="s">
        <v>457</v>
      </c>
      <c r="R1418" s="0" t="s">
        <v>103</v>
      </c>
    </row>
    <row r="1419" customFormat="false" ht="15" hidden="false" customHeight="false" outlineLevel="0" collapsed="false">
      <c r="A1419" s="0" t="s">
        <v>222</v>
      </c>
      <c r="B1419" s="0" t="n">
        <v>2013</v>
      </c>
      <c r="C1419" s="0" t="s">
        <v>78</v>
      </c>
      <c r="D1419" s="0" t="s">
        <v>79</v>
      </c>
      <c r="E1419" s="0" t="n">
        <v>0</v>
      </c>
      <c r="F1419" s="0" t="s">
        <v>71</v>
      </c>
      <c r="H1419" s="0" t="s">
        <v>457</v>
      </c>
      <c r="I1419" s="0" t="s">
        <v>457</v>
      </c>
      <c r="J1419" s="0" t="s">
        <v>457</v>
      </c>
      <c r="K1419" s="0" t="s">
        <v>457</v>
      </c>
      <c r="L1419" s="0" t="s">
        <v>457</v>
      </c>
      <c r="M1419" s="0" t="s">
        <v>457</v>
      </c>
      <c r="R1419" s="0" t="s">
        <v>103</v>
      </c>
    </row>
    <row r="1420" customFormat="false" ht="15" hidden="false" customHeight="false" outlineLevel="0" collapsed="false">
      <c r="A1420" s="0" t="s">
        <v>222</v>
      </c>
      <c r="B1420" s="0" t="n">
        <v>2013</v>
      </c>
      <c r="C1420" s="0" t="s">
        <v>78</v>
      </c>
      <c r="D1420" s="0" t="s">
        <v>79</v>
      </c>
      <c r="E1420" s="0" t="n">
        <v>0</v>
      </c>
      <c r="F1420" s="0" t="s">
        <v>31</v>
      </c>
      <c r="G1420" s="0" t="n">
        <v>83.5820631098905</v>
      </c>
      <c r="H1420" s="0" t="s">
        <v>437</v>
      </c>
      <c r="I1420" s="0" t="s">
        <v>437</v>
      </c>
      <c r="J1420" s="0" t="s">
        <v>437</v>
      </c>
      <c r="K1420" s="0" t="s">
        <v>457</v>
      </c>
      <c r="L1420" s="0" t="s">
        <v>437</v>
      </c>
      <c r="M1420" s="0" t="s">
        <v>457</v>
      </c>
      <c r="R1420" s="0" t="s">
        <v>103</v>
      </c>
    </row>
    <row r="1421" customFormat="false" ht="15" hidden="false" customHeight="false" outlineLevel="0" collapsed="false">
      <c r="A1421" s="0" t="s">
        <v>222</v>
      </c>
      <c r="B1421" s="0" t="n">
        <v>2014</v>
      </c>
      <c r="C1421" s="0" t="s">
        <v>78</v>
      </c>
      <c r="D1421" s="0" t="s">
        <v>79</v>
      </c>
      <c r="E1421" s="0" t="n">
        <v>0</v>
      </c>
      <c r="F1421" s="0" t="s">
        <v>73</v>
      </c>
      <c r="H1421" s="0" t="s">
        <v>457</v>
      </c>
      <c r="I1421" s="0" t="s">
        <v>457</v>
      </c>
      <c r="J1421" s="0" t="s">
        <v>457</v>
      </c>
      <c r="K1421" s="0" t="s">
        <v>457</v>
      </c>
      <c r="L1421" s="0" t="s">
        <v>457</v>
      </c>
      <c r="M1421" s="0" t="s">
        <v>457</v>
      </c>
      <c r="R1421" s="0" t="s">
        <v>81</v>
      </c>
    </row>
    <row r="1422" customFormat="false" ht="15" hidden="false" customHeight="false" outlineLevel="0" collapsed="false">
      <c r="A1422" s="0" t="s">
        <v>222</v>
      </c>
      <c r="B1422" s="0" t="n">
        <v>2014</v>
      </c>
      <c r="C1422" s="0" t="s">
        <v>78</v>
      </c>
      <c r="D1422" s="0" t="s">
        <v>79</v>
      </c>
      <c r="E1422" s="0" t="n">
        <v>0</v>
      </c>
      <c r="F1422" s="0" t="s">
        <v>69</v>
      </c>
      <c r="G1422" s="0" t="n">
        <v>19</v>
      </c>
      <c r="H1422" s="0" t="s">
        <v>437</v>
      </c>
      <c r="I1422" s="0" t="s">
        <v>437</v>
      </c>
      <c r="J1422" s="0" t="s">
        <v>437</v>
      </c>
      <c r="K1422" s="0" t="s">
        <v>437</v>
      </c>
      <c r="L1422" s="0" t="s">
        <v>437</v>
      </c>
      <c r="M1422" s="0" t="s">
        <v>457</v>
      </c>
      <c r="R1422" s="0" t="s">
        <v>81</v>
      </c>
    </row>
    <row r="1423" customFormat="false" ht="15" hidden="false" customHeight="false" outlineLevel="0" collapsed="false">
      <c r="A1423" s="0" t="s">
        <v>222</v>
      </c>
      <c r="B1423" s="0" t="n">
        <v>2014</v>
      </c>
      <c r="C1423" s="0" t="s">
        <v>78</v>
      </c>
      <c r="D1423" s="0" t="s">
        <v>79</v>
      </c>
      <c r="E1423" s="0" t="n">
        <v>0</v>
      </c>
      <c r="F1423" s="0" t="s">
        <v>25</v>
      </c>
      <c r="H1423" s="0" t="s">
        <v>457</v>
      </c>
      <c r="I1423" s="0" t="s">
        <v>457</v>
      </c>
      <c r="J1423" s="0" t="s">
        <v>457</v>
      </c>
      <c r="K1423" s="0" t="s">
        <v>457</v>
      </c>
      <c r="L1423" s="0" t="s">
        <v>457</v>
      </c>
      <c r="M1423" s="0" t="s">
        <v>457</v>
      </c>
      <c r="R1423" s="0" t="s">
        <v>81</v>
      </c>
    </row>
    <row r="1424" customFormat="false" ht="15" hidden="false" customHeight="false" outlineLevel="0" collapsed="false">
      <c r="A1424" s="0" t="s">
        <v>222</v>
      </c>
      <c r="B1424" s="0" t="n">
        <v>2014</v>
      </c>
      <c r="C1424" s="0" t="s">
        <v>78</v>
      </c>
      <c r="D1424" s="0" t="s">
        <v>79</v>
      </c>
      <c r="E1424" s="0" t="n">
        <v>0</v>
      </c>
      <c r="F1424" s="0" t="s">
        <v>41</v>
      </c>
      <c r="H1424" s="0" t="s">
        <v>457</v>
      </c>
      <c r="I1424" s="0" t="s">
        <v>457</v>
      </c>
      <c r="J1424" s="0" t="s">
        <v>457</v>
      </c>
      <c r="K1424" s="0" t="s">
        <v>457</v>
      </c>
      <c r="L1424" s="0" t="s">
        <v>457</v>
      </c>
      <c r="M1424" s="0" t="s">
        <v>457</v>
      </c>
      <c r="R1424" s="0" t="s">
        <v>81</v>
      </c>
    </row>
    <row r="1425" customFormat="false" ht="15" hidden="false" customHeight="false" outlineLevel="0" collapsed="false">
      <c r="A1425" s="0" t="s">
        <v>222</v>
      </c>
      <c r="B1425" s="0" t="n">
        <v>2014</v>
      </c>
      <c r="C1425" s="0" t="s">
        <v>78</v>
      </c>
      <c r="D1425" s="0" t="s">
        <v>79</v>
      </c>
      <c r="E1425" s="0" t="n">
        <v>0</v>
      </c>
      <c r="F1425" s="0" t="s">
        <v>27</v>
      </c>
      <c r="G1425" s="0" t="n">
        <v>14.9747109879348</v>
      </c>
      <c r="H1425" s="0" t="s">
        <v>437</v>
      </c>
      <c r="I1425" s="0" t="s">
        <v>437</v>
      </c>
      <c r="J1425" s="0" t="s">
        <v>437</v>
      </c>
      <c r="K1425" s="0" t="s">
        <v>437</v>
      </c>
      <c r="L1425" s="0" t="s">
        <v>437</v>
      </c>
      <c r="M1425" s="0" t="s">
        <v>457</v>
      </c>
      <c r="R1425" s="0" t="s">
        <v>81</v>
      </c>
    </row>
    <row r="1426" customFormat="false" ht="15" hidden="false" customHeight="false" outlineLevel="0" collapsed="false">
      <c r="A1426" s="0" t="s">
        <v>222</v>
      </c>
      <c r="B1426" s="0" t="n">
        <v>2014</v>
      </c>
      <c r="C1426" s="0" t="s">
        <v>78</v>
      </c>
      <c r="D1426" s="0" t="s">
        <v>79</v>
      </c>
      <c r="E1426" s="0" t="n">
        <v>0</v>
      </c>
      <c r="F1426" s="0" t="s">
        <v>39</v>
      </c>
      <c r="H1426" s="0" t="s">
        <v>457</v>
      </c>
      <c r="I1426" s="0" t="s">
        <v>457</v>
      </c>
      <c r="J1426" s="0" t="s">
        <v>457</v>
      </c>
      <c r="K1426" s="0" t="s">
        <v>457</v>
      </c>
      <c r="L1426" s="0" t="s">
        <v>457</v>
      </c>
      <c r="M1426" s="0" t="s">
        <v>457</v>
      </c>
      <c r="R1426" s="0" t="s">
        <v>81</v>
      </c>
    </row>
    <row r="1427" customFormat="false" ht="15" hidden="false" customHeight="false" outlineLevel="0" collapsed="false">
      <c r="A1427" s="0" t="s">
        <v>222</v>
      </c>
      <c r="B1427" s="0" t="n">
        <v>2014</v>
      </c>
      <c r="C1427" s="0" t="s">
        <v>78</v>
      </c>
      <c r="D1427" s="0" t="s">
        <v>79</v>
      </c>
      <c r="E1427" s="0" t="n">
        <v>0</v>
      </c>
      <c r="F1427" s="0" t="s">
        <v>17</v>
      </c>
      <c r="G1427" s="0" t="n">
        <v>1.57768433981219</v>
      </c>
      <c r="H1427" s="0" t="s">
        <v>437</v>
      </c>
      <c r="I1427" s="0" t="s">
        <v>437</v>
      </c>
      <c r="J1427" s="0" t="s">
        <v>437</v>
      </c>
      <c r="K1427" s="0" t="s">
        <v>437</v>
      </c>
      <c r="L1427" s="0" t="s">
        <v>437</v>
      </c>
      <c r="M1427" s="0" t="s">
        <v>457</v>
      </c>
      <c r="R1427" s="0" t="s">
        <v>81</v>
      </c>
    </row>
    <row r="1428" customFormat="false" ht="15" hidden="false" customHeight="false" outlineLevel="0" collapsed="false">
      <c r="A1428" s="0" t="s">
        <v>222</v>
      </c>
      <c r="B1428" s="0" t="n">
        <v>2014</v>
      </c>
      <c r="C1428" s="0" t="s">
        <v>78</v>
      </c>
      <c r="D1428" s="0" t="s">
        <v>79</v>
      </c>
      <c r="E1428" s="0" t="n">
        <v>0</v>
      </c>
      <c r="F1428" s="0" t="s">
        <v>29</v>
      </c>
      <c r="H1428" s="0" t="s">
        <v>457</v>
      </c>
      <c r="I1428" s="0" t="s">
        <v>457</v>
      </c>
      <c r="J1428" s="0" t="s">
        <v>457</v>
      </c>
      <c r="K1428" s="0" t="s">
        <v>457</v>
      </c>
      <c r="L1428" s="0" t="s">
        <v>457</v>
      </c>
      <c r="M1428" s="0" t="s">
        <v>457</v>
      </c>
      <c r="R1428" s="0" t="s">
        <v>81</v>
      </c>
    </row>
    <row r="1429" customFormat="false" ht="15" hidden="false" customHeight="false" outlineLevel="0" collapsed="false">
      <c r="A1429" s="0" t="s">
        <v>222</v>
      </c>
      <c r="B1429" s="0" t="n">
        <v>2014</v>
      </c>
      <c r="C1429" s="0" t="s">
        <v>78</v>
      </c>
      <c r="D1429" s="0" t="s">
        <v>79</v>
      </c>
      <c r="E1429" s="0" t="n">
        <v>0</v>
      </c>
      <c r="F1429" s="0" t="s">
        <v>37</v>
      </c>
      <c r="G1429" s="0" t="n">
        <v>1.6447005787936</v>
      </c>
      <c r="H1429" s="0" t="s">
        <v>437</v>
      </c>
      <c r="I1429" s="0" t="s">
        <v>437</v>
      </c>
      <c r="J1429" s="0" t="s">
        <v>437</v>
      </c>
      <c r="K1429" s="0" t="s">
        <v>457</v>
      </c>
      <c r="L1429" s="0" t="s">
        <v>437</v>
      </c>
      <c r="M1429" s="0" t="s">
        <v>457</v>
      </c>
      <c r="R1429" s="0" t="s">
        <v>81</v>
      </c>
    </row>
    <row r="1430" customFormat="false" ht="15" hidden="false" customHeight="false" outlineLevel="0" collapsed="false">
      <c r="A1430" s="0" t="s">
        <v>222</v>
      </c>
      <c r="B1430" s="0" t="n">
        <v>2014</v>
      </c>
      <c r="C1430" s="0" t="s">
        <v>78</v>
      </c>
      <c r="D1430" s="0" t="s">
        <v>79</v>
      </c>
      <c r="E1430" s="0" t="n">
        <v>0</v>
      </c>
      <c r="F1430" s="0" t="s">
        <v>23</v>
      </c>
      <c r="G1430" s="0" t="n">
        <v>95.9253228310675</v>
      </c>
      <c r="H1430" s="0" t="s">
        <v>437</v>
      </c>
      <c r="I1430" s="0" t="s">
        <v>437</v>
      </c>
      <c r="J1430" s="0" t="s">
        <v>437</v>
      </c>
      <c r="K1430" s="0" t="s">
        <v>457</v>
      </c>
      <c r="L1430" s="0" t="s">
        <v>437</v>
      </c>
      <c r="M1430" s="0" t="s">
        <v>457</v>
      </c>
      <c r="R1430" s="0" t="s">
        <v>81</v>
      </c>
    </row>
    <row r="1431" customFormat="false" ht="15" hidden="false" customHeight="false" outlineLevel="0" collapsed="false">
      <c r="A1431" s="0" t="s">
        <v>222</v>
      </c>
      <c r="B1431" s="0" t="n">
        <v>2014</v>
      </c>
      <c r="C1431" s="0" t="s">
        <v>78</v>
      </c>
      <c r="D1431" s="0" t="s">
        <v>79</v>
      </c>
      <c r="E1431" s="0" t="n">
        <v>0</v>
      </c>
      <c r="F1431" s="0" t="s">
        <v>45</v>
      </c>
      <c r="H1431" s="0" t="s">
        <v>457</v>
      </c>
      <c r="I1431" s="0" t="s">
        <v>457</v>
      </c>
      <c r="J1431" s="0" t="s">
        <v>457</v>
      </c>
      <c r="K1431" s="0" t="s">
        <v>457</v>
      </c>
      <c r="L1431" s="0" t="s">
        <v>457</v>
      </c>
      <c r="M1431" s="0" t="s">
        <v>457</v>
      </c>
      <c r="R1431" s="0" t="s">
        <v>81</v>
      </c>
    </row>
    <row r="1432" customFormat="false" ht="15" hidden="false" customHeight="false" outlineLevel="0" collapsed="false">
      <c r="A1432" s="0" t="s">
        <v>222</v>
      </c>
      <c r="B1432" s="0" t="n">
        <v>2014</v>
      </c>
      <c r="C1432" s="0" t="s">
        <v>78</v>
      </c>
      <c r="D1432" s="0" t="s">
        <v>79</v>
      </c>
      <c r="E1432" s="0" t="n">
        <v>0</v>
      </c>
      <c r="F1432" s="0" t="s">
        <v>71</v>
      </c>
      <c r="H1432" s="0" t="s">
        <v>457</v>
      </c>
      <c r="I1432" s="0" t="s">
        <v>457</v>
      </c>
      <c r="J1432" s="0" t="s">
        <v>457</v>
      </c>
      <c r="K1432" s="0" t="s">
        <v>457</v>
      </c>
      <c r="L1432" s="0" t="s">
        <v>457</v>
      </c>
      <c r="M1432" s="0" t="s">
        <v>457</v>
      </c>
      <c r="R1432" s="0" t="s">
        <v>81</v>
      </c>
    </row>
    <row r="1433" customFormat="false" ht="15" hidden="false" customHeight="false" outlineLevel="0" collapsed="false">
      <c r="A1433" s="0" t="s">
        <v>222</v>
      </c>
      <c r="B1433" s="0" t="n">
        <v>2014</v>
      </c>
      <c r="C1433" s="0" t="s">
        <v>78</v>
      </c>
      <c r="D1433" s="0" t="s">
        <v>79</v>
      </c>
      <c r="E1433" s="0" t="n">
        <v>0</v>
      </c>
      <c r="F1433" s="0" t="s">
        <v>31</v>
      </c>
      <c r="G1433" s="0" t="n">
        <v>85.0252890120652</v>
      </c>
      <c r="H1433" s="0" t="s">
        <v>437</v>
      </c>
      <c r="I1433" s="0" t="s">
        <v>437</v>
      </c>
      <c r="J1433" s="0" t="s">
        <v>437</v>
      </c>
      <c r="K1433" s="0" t="s">
        <v>437</v>
      </c>
      <c r="L1433" s="0" t="s">
        <v>437</v>
      </c>
      <c r="M1433" s="0" t="s">
        <v>457</v>
      </c>
      <c r="R1433" s="0" t="s">
        <v>81</v>
      </c>
    </row>
    <row r="1434" customFormat="false" ht="15" hidden="false" customHeight="false" outlineLevel="0" collapsed="false">
      <c r="A1434" s="0" t="s">
        <v>222</v>
      </c>
      <c r="B1434" s="0" t="n">
        <v>2015</v>
      </c>
      <c r="C1434" s="0" t="s">
        <v>78</v>
      </c>
      <c r="D1434" s="0" t="s">
        <v>79</v>
      </c>
      <c r="E1434" s="0" t="n">
        <v>0</v>
      </c>
      <c r="F1434" s="0" t="s">
        <v>73</v>
      </c>
      <c r="H1434" s="0" t="s">
        <v>457</v>
      </c>
      <c r="I1434" s="0" t="s">
        <v>457</v>
      </c>
      <c r="J1434" s="0" t="s">
        <v>457</v>
      </c>
      <c r="K1434" s="0" t="s">
        <v>457</v>
      </c>
      <c r="L1434" s="0" t="s">
        <v>457</v>
      </c>
      <c r="M1434" s="0" t="s">
        <v>457</v>
      </c>
      <c r="R1434" s="0" t="s">
        <v>81</v>
      </c>
    </row>
    <row r="1435" customFormat="false" ht="15" hidden="false" customHeight="false" outlineLevel="0" collapsed="false">
      <c r="A1435" s="0" t="s">
        <v>222</v>
      </c>
      <c r="B1435" s="0" t="n">
        <v>2015</v>
      </c>
      <c r="C1435" s="0" t="s">
        <v>78</v>
      </c>
      <c r="D1435" s="0" t="s">
        <v>79</v>
      </c>
      <c r="E1435" s="0" t="n">
        <v>0</v>
      </c>
      <c r="F1435" s="0" t="s">
        <v>69</v>
      </c>
      <c r="G1435" s="0" t="n">
        <v>20</v>
      </c>
      <c r="H1435" s="0" t="s">
        <v>437</v>
      </c>
      <c r="I1435" s="0" t="s">
        <v>437</v>
      </c>
      <c r="J1435" s="0" t="s">
        <v>437</v>
      </c>
      <c r="K1435" s="0" t="s">
        <v>437</v>
      </c>
      <c r="L1435" s="0" t="s">
        <v>437</v>
      </c>
      <c r="M1435" s="0" t="s">
        <v>457</v>
      </c>
      <c r="R1435" s="0" t="s">
        <v>81</v>
      </c>
    </row>
    <row r="1436" customFormat="false" ht="15" hidden="false" customHeight="false" outlineLevel="0" collapsed="false">
      <c r="A1436" s="0" t="s">
        <v>222</v>
      </c>
      <c r="B1436" s="0" t="n">
        <v>2015</v>
      </c>
      <c r="C1436" s="0" t="s">
        <v>78</v>
      </c>
      <c r="D1436" s="0" t="s">
        <v>79</v>
      </c>
      <c r="E1436" s="0" t="n">
        <v>0</v>
      </c>
      <c r="F1436" s="0" t="s">
        <v>25</v>
      </c>
      <c r="H1436" s="0" t="s">
        <v>457</v>
      </c>
      <c r="I1436" s="0" t="s">
        <v>457</v>
      </c>
      <c r="J1436" s="0" t="s">
        <v>457</v>
      </c>
      <c r="K1436" s="0" t="s">
        <v>457</v>
      </c>
      <c r="L1436" s="0" t="s">
        <v>457</v>
      </c>
      <c r="M1436" s="0" t="s">
        <v>457</v>
      </c>
      <c r="R1436" s="0" t="s">
        <v>81</v>
      </c>
    </row>
    <row r="1437" customFormat="false" ht="15" hidden="false" customHeight="false" outlineLevel="0" collapsed="false">
      <c r="A1437" s="0" t="s">
        <v>222</v>
      </c>
      <c r="B1437" s="0" t="n">
        <v>2015</v>
      </c>
      <c r="C1437" s="0" t="s">
        <v>78</v>
      </c>
      <c r="D1437" s="0" t="s">
        <v>79</v>
      </c>
      <c r="E1437" s="0" t="n">
        <v>0</v>
      </c>
      <c r="F1437" s="0" t="s">
        <v>41</v>
      </c>
      <c r="G1437" s="0" t="n">
        <v>2.75388875553968</v>
      </c>
      <c r="H1437" s="0" t="s">
        <v>437</v>
      </c>
      <c r="I1437" s="0" t="s">
        <v>437</v>
      </c>
      <c r="J1437" s="0" t="s">
        <v>437</v>
      </c>
      <c r="K1437" s="0" t="s">
        <v>457</v>
      </c>
      <c r="L1437" s="0" t="s">
        <v>437</v>
      </c>
      <c r="M1437" s="0" t="s">
        <v>457</v>
      </c>
      <c r="R1437" s="0" t="s">
        <v>81</v>
      </c>
    </row>
    <row r="1438" customFormat="false" ht="15" hidden="false" customHeight="false" outlineLevel="0" collapsed="false">
      <c r="A1438" s="0" t="s">
        <v>222</v>
      </c>
      <c r="B1438" s="0" t="n">
        <v>2015</v>
      </c>
      <c r="C1438" s="0" t="s">
        <v>78</v>
      </c>
      <c r="D1438" s="0" t="s">
        <v>79</v>
      </c>
      <c r="E1438" s="0" t="n">
        <v>0</v>
      </c>
      <c r="F1438" s="0" t="s">
        <v>27</v>
      </c>
      <c r="G1438" s="0" t="n">
        <v>14.5839549457954</v>
      </c>
      <c r="H1438" s="0" t="s">
        <v>437</v>
      </c>
      <c r="I1438" s="0" t="s">
        <v>437</v>
      </c>
      <c r="J1438" s="0" t="s">
        <v>437</v>
      </c>
      <c r="K1438" s="0" t="s">
        <v>437</v>
      </c>
      <c r="L1438" s="0" t="s">
        <v>437</v>
      </c>
      <c r="M1438" s="0" t="s">
        <v>457</v>
      </c>
      <c r="R1438" s="0" t="s">
        <v>81</v>
      </c>
    </row>
    <row r="1439" customFormat="false" ht="15" hidden="false" customHeight="false" outlineLevel="0" collapsed="false">
      <c r="A1439" s="0" t="s">
        <v>222</v>
      </c>
      <c r="B1439" s="0" t="n">
        <v>2015</v>
      </c>
      <c r="C1439" s="0" t="s">
        <v>78</v>
      </c>
      <c r="D1439" s="0" t="s">
        <v>79</v>
      </c>
      <c r="E1439" s="0" t="n">
        <v>0</v>
      </c>
      <c r="F1439" s="0" t="s">
        <v>39</v>
      </c>
      <c r="G1439" s="0" t="n">
        <v>-11.580360923795</v>
      </c>
      <c r="H1439" s="0" t="s">
        <v>437</v>
      </c>
      <c r="I1439" s="0" t="s">
        <v>437</v>
      </c>
      <c r="J1439" s="0" t="s">
        <v>437</v>
      </c>
      <c r="K1439" s="0" t="s">
        <v>457</v>
      </c>
      <c r="L1439" s="0" t="s">
        <v>437</v>
      </c>
      <c r="M1439" s="0" t="s">
        <v>457</v>
      </c>
      <c r="R1439" s="0" t="s">
        <v>81</v>
      </c>
    </row>
    <row r="1440" customFormat="false" ht="15" hidden="false" customHeight="false" outlineLevel="0" collapsed="false">
      <c r="A1440" s="0" t="s">
        <v>222</v>
      </c>
      <c r="B1440" s="0" t="n">
        <v>2015</v>
      </c>
      <c r="C1440" s="0" t="s">
        <v>78</v>
      </c>
      <c r="D1440" s="0" t="s">
        <v>79</v>
      </c>
      <c r="E1440" s="0" t="n">
        <v>0</v>
      </c>
      <c r="F1440" s="0" t="s">
        <v>17</v>
      </c>
      <c r="G1440" s="0" t="n">
        <v>1.89480731757652</v>
      </c>
      <c r="H1440" s="0" t="s">
        <v>437</v>
      </c>
      <c r="I1440" s="0" t="s">
        <v>437</v>
      </c>
      <c r="J1440" s="0" t="s">
        <v>437</v>
      </c>
      <c r="K1440" s="0" t="s">
        <v>437</v>
      </c>
      <c r="L1440" s="0" t="s">
        <v>437</v>
      </c>
      <c r="M1440" s="0" t="s">
        <v>457</v>
      </c>
      <c r="R1440" s="0" t="s">
        <v>81</v>
      </c>
    </row>
    <row r="1441" customFormat="false" ht="15" hidden="false" customHeight="false" outlineLevel="0" collapsed="false">
      <c r="A1441" s="0" t="s">
        <v>222</v>
      </c>
      <c r="B1441" s="0" t="n">
        <v>2015</v>
      </c>
      <c r="C1441" s="0" t="s">
        <v>78</v>
      </c>
      <c r="D1441" s="0" t="s">
        <v>79</v>
      </c>
      <c r="E1441" s="0" t="n">
        <v>0</v>
      </c>
      <c r="F1441" s="0" t="s">
        <v>29</v>
      </c>
      <c r="G1441" s="0" t="n">
        <v>0.309193596004319</v>
      </c>
      <c r="H1441" s="0" t="s">
        <v>437</v>
      </c>
      <c r="I1441" s="0" t="s">
        <v>437</v>
      </c>
      <c r="J1441" s="0" t="s">
        <v>437</v>
      </c>
      <c r="K1441" s="0" t="s">
        <v>457</v>
      </c>
      <c r="L1441" s="0" t="s">
        <v>437</v>
      </c>
      <c r="M1441" s="0" t="s">
        <v>457</v>
      </c>
      <c r="R1441" s="0" t="s">
        <v>81</v>
      </c>
    </row>
    <row r="1442" customFormat="false" ht="15" hidden="false" customHeight="false" outlineLevel="0" collapsed="false">
      <c r="A1442" s="0" t="s">
        <v>222</v>
      </c>
      <c r="B1442" s="0" t="n">
        <v>2015</v>
      </c>
      <c r="C1442" s="0" t="s">
        <v>78</v>
      </c>
      <c r="D1442" s="0" t="s">
        <v>79</v>
      </c>
      <c r="E1442" s="0" t="n">
        <v>0</v>
      </c>
      <c r="F1442" s="0" t="s">
        <v>37</v>
      </c>
      <c r="G1442" s="0" t="n">
        <v>1.63777009466079</v>
      </c>
      <c r="H1442" s="0" t="s">
        <v>437</v>
      </c>
      <c r="I1442" s="0" t="s">
        <v>437</v>
      </c>
      <c r="J1442" s="0" t="s">
        <v>437</v>
      </c>
      <c r="K1442" s="0" t="s">
        <v>437</v>
      </c>
      <c r="L1442" s="0" t="s">
        <v>437</v>
      </c>
      <c r="M1442" s="0" t="s">
        <v>457</v>
      </c>
      <c r="R1442" s="0" t="s">
        <v>81</v>
      </c>
    </row>
    <row r="1443" customFormat="false" ht="15" hidden="false" customHeight="false" outlineLevel="0" collapsed="false">
      <c r="A1443" s="0" t="s">
        <v>222</v>
      </c>
      <c r="B1443" s="0" t="n">
        <v>2015</v>
      </c>
      <c r="C1443" s="0" t="s">
        <v>78</v>
      </c>
      <c r="D1443" s="0" t="s">
        <v>79</v>
      </c>
      <c r="E1443" s="0" t="n">
        <v>0</v>
      </c>
      <c r="F1443" s="0" t="s">
        <v>23</v>
      </c>
      <c r="G1443" s="0" t="n">
        <v>115.694340967251</v>
      </c>
      <c r="H1443" s="0" t="s">
        <v>437</v>
      </c>
      <c r="I1443" s="0" t="s">
        <v>437</v>
      </c>
      <c r="J1443" s="0" t="s">
        <v>437</v>
      </c>
      <c r="K1443" s="0" t="s">
        <v>437</v>
      </c>
      <c r="L1443" s="0" t="s">
        <v>437</v>
      </c>
      <c r="M1443" s="0" t="s">
        <v>457</v>
      </c>
      <c r="R1443" s="0" t="s">
        <v>81</v>
      </c>
    </row>
    <row r="1444" customFormat="false" ht="15" hidden="false" customHeight="false" outlineLevel="0" collapsed="false">
      <c r="A1444" s="0" t="s">
        <v>222</v>
      </c>
      <c r="B1444" s="0" t="n">
        <v>2015</v>
      </c>
      <c r="C1444" s="0" t="s">
        <v>78</v>
      </c>
      <c r="D1444" s="0" t="s">
        <v>79</v>
      </c>
      <c r="E1444" s="0" t="n">
        <v>0</v>
      </c>
      <c r="F1444" s="0" t="s">
        <v>45</v>
      </c>
      <c r="H1444" s="0" t="s">
        <v>457</v>
      </c>
      <c r="I1444" s="0" t="s">
        <v>457</v>
      </c>
      <c r="J1444" s="0" t="s">
        <v>457</v>
      </c>
      <c r="K1444" s="0" t="s">
        <v>457</v>
      </c>
      <c r="L1444" s="0" t="s">
        <v>457</v>
      </c>
      <c r="M1444" s="0" t="s">
        <v>457</v>
      </c>
      <c r="R1444" s="0" t="s">
        <v>81</v>
      </c>
    </row>
    <row r="1445" customFormat="false" ht="15" hidden="false" customHeight="false" outlineLevel="0" collapsed="false">
      <c r="A1445" s="0" t="s">
        <v>222</v>
      </c>
      <c r="B1445" s="0" t="n">
        <v>2015</v>
      </c>
      <c r="C1445" s="0" t="s">
        <v>78</v>
      </c>
      <c r="D1445" s="0" t="s">
        <v>79</v>
      </c>
      <c r="E1445" s="0" t="n">
        <v>0</v>
      </c>
      <c r="F1445" s="0" t="s">
        <v>71</v>
      </c>
      <c r="H1445" s="0" t="s">
        <v>457</v>
      </c>
      <c r="I1445" s="0" t="s">
        <v>457</v>
      </c>
      <c r="J1445" s="0" t="s">
        <v>457</v>
      </c>
      <c r="K1445" s="0" t="s">
        <v>457</v>
      </c>
      <c r="L1445" s="0" t="s">
        <v>457</v>
      </c>
      <c r="M1445" s="0" t="s">
        <v>457</v>
      </c>
      <c r="R1445" s="0" t="s">
        <v>81</v>
      </c>
    </row>
    <row r="1446" customFormat="false" ht="15" hidden="false" customHeight="false" outlineLevel="0" collapsed="false">
      <c r="A1446" s="0" t="s">
        <v>222</v>
      </c>
      <c r="B1446" s="0" t="n">
        <v>2015</v>
      </c>
      <c r="C1446" s="0" t="s">
        <v>78</v>
      </c>
      <c r="D1446" s="0" t="s">
        <v>79</v>
      </c>
      <c r="E1446" s="0" t="n">
        <v>0</v>
      </c>
      <c r="F1446" s="0" t="s">
        <v>31</v>
      </c>
      <c r="G1446" s="0" t="n">
        <v>85.4160450542046</v>
      </c>
      <c r="H1446" s="0" t="s">
        <v>437</v>
      </c>
      <c r="I1446" s="0" t="s">
        <v>437</v>
      </c>
      <c r="J1446" s="0" t="s">
        <v>437</v>
      </c>
      <c r="K1446" s="0" t="s">
        <v>437</v>
      </c>
      <c r="L1446" s="0" t="s">
        <v>437</v>
      </c>
      <c r="M1446" s="0" t="s">
        <v>457</v>
      </c>
      <c r="R1446" s="0" t="s">
        <v>81</v>
      </c>
    </row>
    <row r="1447" customFormat="false" ht="15" hidden="false" customHeight="false" outlineLevel="0" collapsed="false">
      <c r="A1447" s="0" t="s">
        <v>222</v>
      </c>
      <c r="B1447" s="0" t="n">
        <v>2016</v>
      </c>
      <c r="C1447" s="0" t="s">
        <v>78</v>
      </c>
      <c r="D1447" s="0" t="s">
        <v>79</v>
      </c>
      <c r="E1447" s="0" t="n">
        <v>0</v>
      </c>
      <c r="F1447" s="0" t="s">
        <v>73</v>
      </c>
      <c r="H1447" s="0" t="s">
        <v>457</v>
      </c>
      <c r="I1447" s="0" t="s">
        <v>457</v>
      </c>
      <c r="J1447" s="0" t="s">
        <v>457</v>
      </c>
      <c r="K1447" s="0" t="s">
        <v>457</v>
      </c>
      <c r="L1447" s="0" t="s">
        <v>457</v>
      </c>
      <c r="M1447" s="0" t="s">
        <v>457</v>
      </c>
      <c r="R1447" s="0" t="s">
        <v>226</v>
      </c>
    </row>
    <row r="1448" customFormat="false" ht="15" hidden="false" customHeight="false" outlineLevel="0" collapsed="false">
      <c r="A1448" s="0" t="s">
        <v>222</v>
      </c>
      <c r="B1448" s="0" t="n">
        <v>2016</v>
      </c>
      <c r="C1448" s="0" t="s">
        <v>78</v>
      </c>
      <c r="D1448" s="0" t="s">
        <v>79</v>
      </c>
      <c r="E1448" s="0" t="n">
        <v>0</v>
      </c>
      <c r="F1448" s="0" t="s">
        <v>69</v>
      </c>
      <c r="G1448" s="0" t="n">
        <v>22</v>
      </c>
      <c r="H1448" s="0" t="s">
        <v>437</v>
      </c>
      <c r="I1448" s="0" t="s">
        <v>437</v>
      </c>
      <c r="J1448" s="0" t="s">
        <v>437</v>
      </c>
      <c r="K1448" s="0" t="s">
        <v>437</v>
      </c>
      <c r="L1448" s="0" t="s">
        <v>437</v>
      </c>
      <c r="M1448" s="0" t="s">
        <v>457</v>
      </c>
      <c r="R1448" s="0" t="s">
        <v>226</v>
      </c>
    </row>
    <row r="1449" customFormat="false" ht="15" hidden="false" customHeight="false" outlineLevel="0" collapsed="false">
      <c r="A1449" s="0" t="s">
        <v>222</v>
      </c>
      <c r="B1449" s="0" t="n">
        <v>2016</v>
      </c>
      <c r="C1449" s="0" t="s">
        <v>78</v>
      </c>
      <c r="D1449" s="0" t="s">
        <v>79</v>
      </c>
      <c r="E1449" s="0" t="n">
        <v>0</v>
      </c>
      <c r="F1449" s="0" t="s">
        <v>25</v>
      </c>
      <c r="G1449" s="0" t="n">
        <v>21.5372909763347</v>
      </c>
      <c r="H1449" s="0" t="s">
        <v>437</v>
      </c>
      <c r="I1449" s="0" t="s">
        <v>437</v>
      </c>
      <c r="J1449" s="0" t="s">
        <v>437</v>
      </c>
      <c r="K1449" s="0" t="s">
        <v>457</v>
      </c>
      <c r="L1449" s="0" t="s">
        <v>437</v>
      </c>
      <c r="M1449" s="0" t="s">
        <v>457</v>
      </c>
      <c r="R1449" s="0" t="s">
        <v>226</v>
      </c>
    </row>
    <row r="1450" customFormat="false" ht="15" hidden="false" customHeight="false" outlineLevel="0" collapsed="false">
      <c r="A1450" s="0" t="s">
        <v>222</v>
      </c>
      <c r="B1450" s="0" t="n">
        <v>2016</v>
      </c>
      <c r="C1450" s="0" t="s">
        <v>78</v>
      </c>
      <c r="D1450" s="0" t="s">
        <v>79</v>
      </c>
      <c r="E1450" s="0" t="n">
        <v>0</v>
      </c>
      <c r="F1450" s="0" t="s">
        <v>41</v>
      </c>
      <c r="G1450" s="0" t="n">
        <v>2.96948131972577</v>
      </c>
      <c r="H1450" s="0" t="s">
        <v>437</v>
      </c>
      <c r="I1450" s="0" t="s">
        <v>437</v>
      </c>
      <c r="J1450" s="0" t="s">
        <v>437</v>
      </c>
      <c r="K1450" s="0" t="s">
        <v>437</v>
      </c>
      <c r="L1450" s="0" t="s">
        <v>437</v>
      </c>
      <c r="M1450" s="0" t="s">
        <v>457</v>
      </c>
      <c r="R1450" s="0" t="s">
        <v>226</v>
      </c>
    </row>
    <row r="1451" customFormat="false" ht="15" hidden="false" customHeight="false" outlineLevel="0" collapsed="false">
      <c r="A1451" s="0" t="s">
        <v>222</v>
      </c>
      <c r="B1451" s="0" t="n">
        <v>2016</v>
      </c>
      <c r="C1451" s="0" t="s">
        <v>78</v>
      </c>
      <c r="D1451" s="0" t="s">
        <v>79</v>
      </c>
      <c r="E1451" s="0" t="n">
        <v>0</v>
      </c>
      <c r="F1451" s="0" t="s">
        <v>27</v>
      </c>
      <c r="G1451" s="0" t="n">
        <v>14.3882115984739</v>
      </c>
      <c r="H1451" s="0" t="s">
        <v>437</v>
      </c>
      <c r="I1451" s="0" t="s">
        <v>437</v>
      </c>
      <c r="J1451" s="0" t="s">
        <v>437</v>
      </c>
      <c r="K1451" s="0" t="s">
        <v>437</v>
      </c>
      <c r="L1451" s="0" t="s">
        <v>437</v>
      </c>
      <c r="M1451" s="0" t="s">
        <v>457</v>
      </c>
      <c r="R1451" s="0" t="s">
        <v>226</v>
      </c>
    </row>
    <row r="1452" customFormat="false" ht="15" hidden="false" customHeight="false" outlineLevel="0" collapsed="false">
      <c r="A1452" s="0" t="s">
        <v>222</v>
      </c>
      <c r="B1452" s="0" t="n">
        <v>2016</v>
      </c>
      <c r="C1452" s="0" t="s">
        <v>78</v>
      </c>
      <c r="D1452" s="0" t="s">
        <v>79</v>
      </c>
      <c r="E1452" s="0" t="n">
        <v>0</v>
      </c>
      <c r="F1452" s="0" t="s">
        <v>39</v>
      </c>
      <c r="G1452" s="0" t="n">
        <v>-2.61180426391976</v>
      </c>
      <c r="H1452" s="0" t="s">
        <v>437</v>
      </c>
      <c r="I1452" s="0" t="s">
        <v>437</v>
      </c>
      <c r="J1452" s="0" t="s">
        <v>437</v>
      </c>
      <c r="K1452" s="0" t="s">
        <v>437</v>
      </c>
      <c r="L1452" s="0" t="s">
        <v>437</v>
      </c>
      <c r="M1452" s="0" t="s">
        <v>457</v>
      </c>
      <c r="R1452" s="0" t="s">
        <v>226</v>
      </c>
    </row>
    <row r="1453" customFormat="false" ht="15" hidden="false" customHeight="false" outlineLevel="0" collapsed="false">
      <c r="A1453" s="0" t="s">
        <v>222</v>
      </c>
      <c r="B1453" s="0" t="n">
        <v>2016</v>
      </c>
      <c r="C1453" s="0" t="s">
        <v>78</v>
      </c>
      <c r="D1453" s="0" t="s">
        <v>79</v>
      </c>
      <c r="E1453" s="0" t="n">
        <v>0</v>
      </c>
      <c r="F1453" s="0" t="s">
        <v>17</v>
      </c>
      <c r="G1453" s="0" t="n">
        <v>2.51191852724574</v>
      </c>
      <c r="H1453" s="0" t="s">
        <v>437</v>
      </c>
      <c r="I1453" s="0" t="s">
        <v>437</v>
      </c>
      <c r="J1453" s="0" t="s">
        <v>437</v>
      </c>
      <c r="K1453" s="0" t="s">
        <v>437</v>
      </c>
      <c r="L1453" s="0" t="s">
        <v>437</v>
      </c>
      <c r="M1453" s="0" t="s">
        <v>457</v>
      </c>
      <c r="R1453" s="0" t="s">
        <v>226</v>
      </c>
    </row>
    <row r="1454" customFormat="false" ht="15" hidden="false" customHeight="false" outlineLevel="0" collapsed="false">
      <c r="A1454" s="0" t="s">
        <v>222</v>
      </c>
      <c r="B1454" s="0" t="n">
        <v>2016</v>
      </c>
      <c r="C1454" s="0" t="s">
        <v>78</v>
      </c>
      <c r="D1454" s="0" t="s">
        <v>79</v>
      </c>
      <c r="E1454" s="0" t="n">
        <v>0</v>
      </c>
      <c r="F1454" s="0" t="s">
        <v>29</v>
      </c>
      <c r="G1454" s="0" t="n">
        <v>0.654587846771926</v>
      </c>
      <c r="H1454" s="0" t="s">
        <v>437</v>
      </c>
      <c r="I1454" s="0" t="s">
        <v>437</v>
      </c>
      <c r="J1454" s="0" t="s">
        <v>437</v>
      </c>
      <c r="K1454" s="0" t="s">
        <v>437</v>
      </c>
      <c r="L1454" s="0" t="s">
        <v>437</v>
      </c>
      <c r="M1454" s="0" t="s">
        <v>457</v>
      </c>
      <c r="R1454" s="0" t="s">
        <v>226</v>
      </c>
    </row>
    <row r="1455" customFormat="false" ht="15" hidden="false" customHeight="false" outlineLevel="0" collapsed="false">
      <c r="A1455" s="0" t="s">
        <v>222</v>
      </c>
      <c r="B1455" s="0" t="n">
        <v>2016</v>
      </c>
      <c r="C1455" s="0" t="s">
        <v>78</v>
      </c>
      <c r="D1455" s="0" t="s">
        <v>79</v>
      </c>
      <c r="E1455" s="0" t="n">
        <v>0</v>
      </c>
      <c r="F1455" s="0" t="s">
        <v>37</v>
      </c>
      <c r="G1455" s="0" t="n">
        <v>2.6252220475428</v>
      </c>
      <c r="H1455" s="0" t="s">
        <v>437</v>
      </c>
      <c r="I1455" s="0" t="s">
        <v>437</v>
      </c>
      <c r="J1455" s="0" t="s">
        <v>437</v>
      </c>
      <c r="K1455" s="0" t="s">
        <v>437</v>
      </c>
      <c r="L1455" s="0" t="s">
        <v>437</v>
      </c>
      <c r="M1455" s="0" t="s">
        <v>457</v>
      </c>
      <c r="R1455" s="0" t="s">
        <v>226</v>
      </c>
    </row>
    <row r="1456" customFormat="false" ht="15" hidden="false" customHeight="false" outlineLevel="0" collapsed="false">
      <c r="A1456" s="0" t="s">
        <v>222</v>
      </c>
      <c r="B1456" s="0" t="n">
        <v>2016</v>
      </c>
      <c r="C1456" s="0" t="s">
        <v>78</v>
      </c>
      <c r="D1456" s="0" t="s">
        <v>79</v>
      </c>
      <c r="E1456" s="0" t="n">
        <v>0</v>
      </c>
      <c r="F1456" s="0" t="s">
        <v>23</v>
      </c>
      <c r="G1456" s="0" t="n">
        <v>95.6840405022839</v>
      </c>
      <c r="H1456" s="0" t="s">
        <v>437</v>
      </c>
      <c r="I1456" s="0" t="s">
        <v>437</v>
      </c>
      <c r="J1456" s="0" t="s">
        <v>437</v>
      </c>
      <c r="K1456" s="0" t="s">
        <v>437</v>
      </c>
      <c r="L1456" s="0" t="s">
        <v>437</v>
      </c>
      <c r="M1456" s="0" t="s">
        <v>457</v>
      </c>
      <c r="R1456" s="0" t="s">
        <v>226</v>
      </c>
    </row>
    <row r="1457" customFormat="false" ht="15" hidden="false" customHeight="false" outlineLevel="0" collapsed="false">
      <c r="A1457" s="0" t="s">
        <v>222</v>
      </c>
      <c r="B1457" s="0" t="n">
        <v>2016</v>
      </c>
      <c r="C1457" s="0" t="s">
        <v>78</v>
      </c>
      <c r="D1457" s="0" t="s">
        <v>79</v>
      </c>
      <c r="E1457" s="0" t="n">
        <v>0</v>
      </c>
      <c r="F1457" s="0" t="s">
        <v>45</v>
      </c>
      <c r="H1457" s="0" t="s">
        <v>457</v>
      </c>
      <c r="I1457" s="0" t="s">
        <v>457</v>
      </c>
      <c r="J1457" s="0" t="s">
        <v>457</v>
      </c>
      <c r="K1457" s="0" t="s">
        <v>457</v>
      </c>
      <c r="L1457" s="0" t="s">
        <v>457</v>
      </c>
      <c r="M1457" s="0" t="s">
        <v>457</v>
      </c>
      <c r="R1457" s="0" t="s">
        <v>226</v>
      </c>
    </row>
    <row r="1458" customFormat="false" ht="15" hidden="false" customHeight="false" outlineLevel="0" collapsed="false">
      <c r="A1458" s="0" t="s">
        <v>222</v>
      </c>
      <c r="B1458" s="0" t="n">
        <v>2016</v>
      </c>
      <c r="C1458" s="0" t="s">
        <v>78</v>
      </c>
      <c r="D1458" s="0" t="s">
        <v>79</v>
      </c>
      <c r="E1458" s="0" t="n">
        <v>0</v>
      </c>
      <c r="F1458" s="0" t="s">
        <v>71</v>
      </c>
      <c r="H1458" s="0" t="s">
        <v>457</v>
      </c>
      <c r="I1458" s="0" t="s">
        <v>457</v>
      </c>
      <c r="J1458" s="0" t="s">
        <v>457</v>
      </c>
      <c r="K1458" s="0" t="s">
        <v>457</v>
      </c>
      <c r="L1458" s="0" t="s">
        <v>457</v>
      </c>
      <c r="M1458" s="0" t="s">
        <v>457</v>
      </c>
      <c r="R1458" s="0" t="s">
        <v>226</v>
      </c>
    </row>
    <row r="1459" customFormat="false" ht="15" hidden="false" customHeight="false" outlineLevel="0" collapsed="false">
      <c r="A1459" s="0" t="s">
        <v>222</v>
      </c>
      <c r="B1459" s="0" t="n">
        <v>2016</v>
      </c>
      <c r="C1459" s="0" t="s">
        <v>78</v>
      </c>
      <c r="D1459" s="0" t="s">
        <v>79</v>
      </c>
      <c r="E1459" s="0" t="n">
        <v>0</v>
      </c>
      <c r="F1459" s="0" t="s">
        <v>31</v>
      </c>
      <c r="G1459" s="0" t="n">
        <v>85.6117884015261</v>
      </c>
      <c r="H1459" s="0" t="s">
        <v>437</v>
      </c>
      <c r="I1459" s="0" t="s">
        <v>437</v>
      </c>
      <c r="J1459" s="0" t="s">
        <v>437</v>
      </c>
      <c r="K1459" s="0" t="s">
        <v>437</v>
      </c>
      <c r="L1459" s="0" t="s">
        <v>437</v>
      </c>
      <c r="M1459" s="0" t="s">
        <v>457</v>
      </c>
      <c r="R1459" s="0" t="s">
        <v>226</v>
      </c>
    </row>
    <row r="1460" customFormat="false" ht="15" hidden="false" customHeight="false" outlineLevel="0" collapsed="false">
      <c r="A1460" s="0" t="s">
        <v>222</v>
      </c>
      <c r="B1460" s="0" t="n">
        <v>2017</v>
      </c>
      <c r="C1460" s="0" t="s">
        <v>78</v>
      </c>
      <c r="D1460" s="0" t="s">
        <v>79</v>
      </c>
      <c r="E1460" s="0" t="n">
        <v>0</v>
      </c>
      <c r="F1460" s="0" t="s">
        <v>73</v>
      </c>
      <c r="H1460" s="0" t="s">
        <v>457</v>
      </c>
      <c r="I1460" s="0" t="s">
        <v>457</v>
      </c>
      <c r="J1460" s="0" t="s">
        <v>457</v>
      </c>
      <c r="K1460" s="0" t="s">
        <v>457</v>
      </c>
      <c r="L1460" s="0" t="s">
        <v>457</v>
      </c>
      <c r="M1460" s="0" t="s">
        <v>457</v>
      </c>
      <c r="R1460" s="0" t="s">
        <v>228</v>
      </c>
    </row>
    <row r="1461" customFormat="false" ht="15" hidden="false" customHeight="false" outlineLevel="0" collapsed="false">
      <c r="A1461" s="0" t="s">
        <v>222</v>
      </c>
      <c r="B1461" s="0" t="n">
        <v>2017</v>
      </c>
      <c r="C1461" s="0" t="s">
        <v>78</v>
      </c>
      <c r="D1461" s="0" t="s">
        <v>79</v>
      </c>
      <c r="E1461" s="0" t="n">
        <v>0</v>
      </c>
      <c r="F1461" s="0" t="s">
        <v>69</v>
      </c>
      <c r="G1461" s="0" t="n">
        <v>24</v>
      </c>
      <c r="H1461" s="0" t="s">
        <v>437</v>
      </c>
      <c r="I1461" s="0" t="s">
        <v>437</v>
      </c>
      <c r="J1461" s="0" t="s">
        <v>437</v>
      </c>
      <c r="K1461" s="0" t="s">
        <v>437</v>
      </c>
      <c r="L1461" s="0" t="s">
        <v>437</v>
      </c>
      <c r="M1461" s="0" t="s">
        <v>457</v>
      </c>
      <c r="R1461" s="0" t="s">
        <v>228</v>
      </c>
    </row>
    <row r="1462" customFormat="false" ht="15" hidden="false" customHeight="false" outlineLevel="0" collapsed="false">
      <c r="A1462" s="0" t="s">
        <v>222</v>
      </c>
      <c r="B1462" s="0" t="n">
        <v>2017</v>
      </c>
      <c r="C1462" s="0" t="s">
        <v>78</v>
      </c>
      <c r="D1462" s="0" t="s">
        <v>79</v>
      </c>
      <c r="E1462" s="0" t="n">
        <v>0</v>
      </c>
      <c r="F1462" s="0" t="s">
        <v>25</v>
      </c>
      <c r="G1462" s="0" t="n">
        <v>24.4260832701682</v>
      </c>
      <c r="H1462" s="0" t="s">
        <v>437</v>
      </c>
      <c r="I1462" s="0" t="s">
        <v>437</v>
      </c>
      <c r="J1462" s="0" t="s">
        <v>437</v>
      </c>
      <c r="K1462" s="0" t="s">
        <v>437</v>
      </c>
      <c r="L1462" s="0" t="s">
        <v>437</v>
      </c>
      <c r="M1462" s="0" t="s">
        <v>457</v>
      </c>
      <c r="R1462" s="0" t="s">
        <v>228</v>
      </c>
    </row>
    <row r="1463" customFormat="false" ht="15" hidden="false" customHeight="false" outlineLevel="0" collapsed="false">
      <c r="A1463" s="0" t="s">
        <v>222</v>
      </c>
      <c r="B1463" s="0" t="n">
        <v>2017</v>
      </c>
      <c r="C1463" s="0" t="s">
        <v>78</v>
      </c>
      <c r="D1463" s="0" t="s">
        <v>79</v>
      </c>
      <c r="E1463" s="0" t="n">
        <v>0</v>
      </c>
      <c r="F1463" s="0" t="s">
        <v>41</v>
      </c>
      <c r="G1463" s="0" t="n">
        <v>3.44714728792021</v>
      </c>
      <c r="H1463" s="0" t="s">
        <v>437</v>
      </c>
      <c r="I1463" s="0" t="s">
        <v>437</v>
      </c>
      <c r="J1463" s="0" t="s">
        <v>437</v>
      </c>
      <c r="K1463" s="0" t="s">
        <v>437</v>
      </c>
      <c r="L1463" s="0" t="s">
        <v>437</v>
      </c>
      <c r="M1463" s="0" t="s">
        <v>457</v>
      </c>
      <c r="R1463" s="0" t="s">
        <v>228</v>
      </c>
    </row>
    <row r="1464" customFormat="false" ht="15" hidden="false" customHeight="false" outlineLevel="0" collapsed="false">
      <c r="A1464" s="0" t="s">
        <v>222</v>
      </c>
      <c r="B1464" s="0" t="n">
        <v>2017</v>
      </c>
      <c r="C1464" s="0" t="s">
        <v>78</v>
      </c>
      <c r="D1464" s="0" t="s">
        <v>79</v>
      </c>
      <c r="E1464" s="0" t="n">
        <v>0</v>
      </c>
      <c r="F1464" s="0" t="s">
        <v>27</v>
      </c>
      <c r="G1464" s="0" t="n">
        <v>14.6374650420034</v>
      </c>
      <c r="H1464" s="0" t="s">
        <v>437</v>
      </c>
      <c r="I1464" s="0" t="s">
        <v>437</v>
      </c>
      <c r="J1464" s="0" t="s">
        <v>437</v>
      </c>
      <c r="K1464" s="0" t="s">
        <v>437</v>
      </c>
      <c r="L1464" s="0" t="s">
        <v>437</v>
      </c>
      <c r="M1464" s="0" t="s">
        <v>457</v>
      </c>
      <c r="R1464" s="0" t="s">
        <v>228</v>
      </c>
    </row>
    <row r="1465" customFormat="false" ht="15" hidden="false" customHeight="false" outlineLevel="0" collapsed="false">
      <c r="A1465" s="0" t="s">
        <v>222</v>
      </c>
      <c r="B1465" s="0" t="n">
        <v>2017</v>
      </c>
      <c r="C1465" s="0" t="s">
        <v>78</v>
      </c>
      <c r="D1465" s="0" t="s">
        <v>79</v>
      </c>
      <c r="E1465" s="0" t="n">
        <v>0</v>
      </c>
      <c r="F1465" s="0" t="s">
        <v>39</v>
      </c>
      <c r="G1465" s="0" t="n">
        <v>-5.61015570896684</v>
      </c>
      <c r="H1465" s="0" t="s">
        <v>437</v>
      </c>
      <c r="I1465" s="0" t="s">
        <v>437</v>
      </c>
      <c r="J1465" s="0" t="s">
        <v>437</v>
      </c>
      <c r="K1465" s="0" t="s">
        <v>437</v>
      </c>
      <c r="L1465" s="0" t="s">
        <v>437</v>
      </c>
      <c r="M1465" s="0" t="s">
        <v>457</v>
      </c>
      <c r="R1465" s="0" t="s">
        <v>228</v>
      </c>
    </row>
    <row r="1466" customFormat="false" ht="15" hidden="false" customHeight="false" outlineLevel="0" collapsed="false">
      <c r="A1466" s="0" t="s">
        <v>222</v>
      </c>
      <c r="B1466" s="0" t="n">
        <v>2017</v>
      </c>
      <c r="C1466" s="0" t="s">
        <v>78</v>
      </c>
      <c r="D1466" s="0" t="s">
        <v>79</v>
      </c>
      <c r="E1466" s="0" t="n">
        <v>0</v>
      </c>
      <c r="F1466" s="0" t="s">
        <v>17</v>
      </c>
      <c r="G1466" s="0" t="n">
        <v>6.45255303440748</v>
      </c>
      <c r="H1466" s="0" t="s">
        <v>437</v>
      </c>
      <c r="I1466" s="0" t="s">
        <v>437</v>
      </c>
      <c r="J1466" s="0" t="s">
        <v>437</v>
      </c>
      <c r="K1466" s="0" t="s">
        <v>437</v>
      </c>
      <c r="L1466" s="0" t="s">
        <v>437</v>
      </c>
      <c r="M1466" s="0" t="s">
        <v>457</v>
      </c>
      <c r="R1466" s="0" t="s">
        <v>228</v>
      </c>
    </row>
    <row r="1467" customFormat="false" ht="15" hidden="false" customHeight="false" outlineLevel="0" collapsed="false">
      <c r="A1467" s="0" t="s">
        <v>222</v>
      </c>
      <c r="B1467" s="0" t="n">
        <v>2017</v>
      </c>
      <c r="C1467" s="0" t="s">
        <v>78</v>
      </c>
      <c r="D1467" s="0" t="s">
        <v>79</v>
      </c>
      <c r="E1467" s="0" t="n">
        <v>0</v>
      </c>
      <c r="F1467" s="0" t="s">
        <v>29</v>
      </c>
      <c r="G1467" s="0" t="n">
        <v>2.08928121346955</v>
      </c>
      <c r="H1467" s="0" t="s">
        <v>437</v>
      </c>
      <c r="I1467" s="0" t="s">
        <v>437</v>
      </c>
      <c r="J1467" s="0" t="s">
        <v>437</v>
      </c>
      <c r="K1467" s="0" t="s">
        <v>437</v>
      </c>
      <c r="L1467" s="0" t="s">
        <v>437</v>
      </c>
      <c r="M1467" s="0" t="s">
        <v>457</v>
      </c>
      <c r="R1467" s="0" t="s">
        <v>228</v>
      </c>
    </row>
    <row r="1468" customFormat="false" ht="15" hidden="false" customHeight="false" outlineLevel="0" collapsed="false">
      <c r="A1468" s="0" t="s">
        <v>222</v>
      </c>
      <c r="B1468" s="0" t="n">
        <v>2017</v>
      </c>
      <c r="C1468" s="0" t="s">
        <v>78</v>
      </c>
      <c r="D1468" s="0" t="s">
        <v>79</v>
      </c>
      <c r="E1468" s="0" t="n">
        <v>0</v>
      </c>
      <c r="F1468" s="0" t="s">
        <v>37</v>
      </c>
      <c r="G1468" s="0" t="n">
        <v>4.333255080491</v>
      </c>
      <c r="H1468" s="0" t="s">
        <v>437</v>
      </c>
      <c r="I1468" s="0" t="s">
        <v>437</v>
      </c>
      <c r="J1468" s="0" t="s">
        <v>437</v>
      </c>
      <c r="K1468" s="0" t="s">
        <v>437</v>
      </c>
      <c r="L1468" s="0" t="s">
        <v>437</v>
      </c>
      <c r="M1468" s="0" t="s">
        <v>457</v>
      </c>
      <c r="R1468" s="0" t="s">
        <v>228</v>
      </c>
    </row>
    <row r="1469" customFormat="false" ht="15" hidden="false" customHeight="false" outlineLevel="0" collapsed="false">
      <c r="A1469" s="0" t="s">
        <v>222</v>
      </c>
      <c r="B1469" s="0" t="n">
        <v>2017</v>
      </c>
      <c r="C1469" s="0" t="s">
        <v>78</v>
      </c>
      <c r="D1469" s="0" t="s">
        <v>79</v>
      </c>
      <c r="E1469" s="0" t="n">
        <v>0</v>
      </c>
      <c r="F1469" s="0" t="s">
        <v>23</v>
      </c>
      <c r="G1469" s="0" t="n">
        <v>148.907759052955</v>
      </c>
      <c r="H1469" s="0" t="s">
        <v>437</v>
      </c>
      <c r="I1469" s="0" t="s">
        <v>437</v>
      </c>
      <c r="J1469" s="0" t="s">
        <v>437</v>
      </c>
      <c r="K1469" s="0" t="s">
        <v>437</v>
      </c>
      <c r="L1469" s="0" t="s">
        <v>437</v>
      </c>
      <c r="M1469" s="0" t="s">
        <v>457</v>
      </c>
      <c r="R1469" s="0" t="s">
        <v>228</v>
      </c>
    </row>
    <row r="1470" customFormat="false" ht="15" hidden="false" customHeight="false" outlineLevel="0" collapsed="false">
      <c r="A1470" s="0" t="s">
        <v>222</v>
      </c>
      <c r="B1470" s="0" t="n">
        <v>2017</v>
      </c>
      <c r="C1470" s="0" t="s">
        <v>78</v>
      </c>
      <c r="D1470" s="0" t="s">
        <v>79</v>
      </c>
      <c r="E1470" s="0" t="n">
        <v>0</v>
      </c>
      <c r="F1470" s="0" t="s">
        <v>45</v>
      </c>
      <c r="H1470" s="0" t="s">
        <v>457</v>
      </c>
      <c r="I1470" s="0" t="s">
        <v>457</v>
      </c>
      <c r="J1470" s="0" t="s">
        <v>457</v>
      </c>
      <c r="K1470" s="0" t="s">
        <v>457</v>
      </c>
      <c r="L1470" s="0" t="s">
        <v>457</v>
      </c>
      <c r="M1470" s="0" t="s">
        <v>457</v>
      </c>
      <c r="R1470" s="0" t="s">
        <v>228</v>
      </c>
    </row>
    <row r="1471" customFormat="false" ht="15" hidden="false" customHeight="false" outlineLevel="0" collapsed="false">
      <c r="A1471" s="0" t="s">
        <v>222</v>
      </c>
      <c r="B1471" s="0" t="n">
        <v>2017</v>
      </c>
      <c r="C1471" s="0" t="s">
        <v>78</v>
      </c>
      <c r="D1471" s="0" t="s">
        <v>79</v>
      </c>
      <c r="E1471" s="0" t="n">
        <v>0</v>
      </c>
      <c r="F1471" s="0" t="s">
        <v>71</v>
      </c>
      <c r="H1471" s="0" t="s">
        <v>457</v>
      </c>
      <c r="I1471" s="0" t="s">
        <v>457</v>
      </c>
      <c r="J1471" s="0" t="s">
        <v>457</v>
      </c>
      <c r="K1471" s="0" t="s">
        <v>457</v>
      </c>
      <c r="L1471" s="0" t="s">
        <v>457</v>
      </c>
      <c r="M1471" s="0" t="s">
        <v>457</v>
      </c>
      <c r="R1471" s="0" t="s">
        <v>228</v>
      </c>
    </row>
    <row r="1472" customFormat="false" ht="15" hidden="false" customHeight="false" outlineLevel="0" collapsed="false">
      <c r="A1472" s="0" t="s">
        <v>222</v>
      </c>
      <c r="B1472" s="0" t="n">
        <v>2017</v>
      </c>
      <c r="C1472" s="0" t="s">
        <v>78</v>
      </c>
      <c r="D1472" s="0" t="s">
        <v>79</v>
      </c>
      <c r="E1472" s="0" t="n">
        <v>0</v>
      </c>
      <c r="F1472" s="0" t="s">
        <v>31</v>
      </c>
      <c r="G1472" s="0" t="n">
        <v>85.3625349579966</v>
      </c>
      <c r="H1472" s="0" t="s">
        <v>437</v>
      </c>
      <c r="I1472" s="0" t="s">
        <v>437</v>
      </c>
      <c r="J1472" s="0" t="s">
        <v>437</v>
      </c>
      <c r="K1472" s="0" t="s">
        <v>437</v>
      </c>
      <c r="L1472" s="0" t="s">
        <v>437</v>
      </c>
      <c r="M1472" s="0" t="s">
        <v>457</v>
      </c>
      <c r="R1472" s="0" t="s">
        <v>228</v>
      </c>
    </row>
    <row r="1473" customFormat="false" ht="15" hidden="false" customHeight="false" outlineLevel="0" collapsed="false">
      <c r="A1473" s="0" t="s">
        <v>222</v>
      </c>
      <c r="B1473" s="0" t="n">
        <v>2018</v>
      </c>
      <c r="C1473" s="0" t="s">
        <v>78</v>
      </c>
      <c r="D1473" s="0" t="s">
        <v>90</v>
      </c>
      <c r="E1473" s="0" t="n">
        <v>1</v>
      </c>
      <c r="F1473" s="0" t="s">
        <v>73</v>
      </c>
      <c r="H1473" s="0" t="s">
        <v>457</v>
      </c>
      <c r="I1473" s="0" t="s">
        <v>457</v>
      </c>
      <c r="J1473" s="0" t="s">
        <v>457</v>
      </c>
      <c r="K1473" s="0" t="s">
        <v>457</v>
      </c>
      <c r="L1473" s="0" t="s">
        <v>457</v>
      </c>
      <c r="M1473" s="0" t="s">
        <v>457</v>
      </c>
      <c r="R1473" s="0" t="s">
        <v>230</v>
      </c>
    </row>
    <row r="1474" customFormat="false" ht="15" hidden="false" customHeight="false" outlineLevel="0" collapsed="false">
      <c r="A1474" s="0" t="s">
        <v>222</v>
      </c>
      <c r="B1474" s="0" t="n">
        <v>2018</v>
      </c>
      <c r="C1474" s="0" t="s">
        <v>78</v>
      </c>
      <c r="D1474" s="0" t="s">
        <v>90</v>
      </c>
      <c r="E1474" s="0" t="n">
        <v>1</v>
      </c>
      <c r="F1474" s="0" t="s">
        <v>69</v>
      </c>
      <c r="G1474" s="0" t="n">
        <v>24</v>
      </c>
      <c r="H1474" s="0" t="s">
        <v>437</v>
      </c>
      <c r="I1474" s="0" t="s">
        <v>437</v>
      </c>
      <c r="J1474" s="0" t="s">
        <v>437</v>
      </c>
      <c r="K1474" s="0" t="s">
        <v>437</v>
      </c>
      <c r="L1474" s="0" t="s">
        <v>437</v>
      </c>
      <c r="M1474" s="0" t="s">
        <v>457</v>
      </c>
      <c r="R1474" s="0" t="s">
        <v>230</v>
      </c>
    </row>
    <row r="1475" customFormat="false" ht="15" hidden="false" customHeight="false" outlineLevel="0" collapsed="false">
      <c r="A1475" s="0" t="s">
        <v>222</v>
      </c>
      <c r="B1475" s="0" t="n">
        <v>2018</v>
      </c>
      <c r="C1475" s="0" t="s">
        <v>78</v>
      </c>
      <c r="D1475" s="0" t="s">
        <v>90</v>
      </c>
      <c r="E1475" s="0" t="n">
        <v>1</v>
      </c>
      <c r="F1475" s="0" t="s">
        <v>25</v>
      </c>
      <c r="G1475" s="0" t="n">
        <v>23.8455594092767</v>
      </c>
      <c r="H1475" s="0" t="s">
        <v>437</v>
      </c>
      <c r="I1475" s="0" t="s">
        <v>437</v>
      </c>
      <c r="J1475" s="0" t="s">
        <v>437</v>
      </c>
      <c r="K1475" s="0" t="s">
        <v>437</v>
      </c>
      <c r="L1475" s="0" t="s">
        <v>437</v>
      </c>
      <c r="M1475" s="0" t="s">
        <v>457</v>
      </c>
      <c r="R1475" s="0" t="s">
        <v>230</v>
      </c>
    </row>
    <row r="1476" customFormat="false" ht="15" hidden="false" customHeight="false" outlineLevel="0" collapsed="false">
      <c r="A1476" s="0" t="s">
        <v>222</v>
      </c>
      <c r="B1476" s="0" t="n">
        <v>2018</v>
      </c>
      <c r="C1476" s="0" t="s">
        <v>78</v>
      </c>
      <c r="D1476" s="0" t="s">
        <v>90</v>
      </c>
      <c r="E1476" s="0" t="n">
        <v>1</v>
      </c>
      <c r="F1476" s="0" t="s">
        <v>41</v>
      </c>
      <c r="G1476" s="0" t="n">
        <v>3.38090221341016</v>
      </c>
      <c r="H1476" s="0" t="s">
        <v>437</v>
      </c>
      <c r="I1476" s="0" t="s">
        <v>437</v>
      </c>
      <c r="J1476" s="0" t="s">
        <v>437</v>
      </c>
      <c r="K1476" s="0" t="s">
        <v>437</v>
      </c>
      <c r="L1476" s="0" t="s">
        <v>437</v>
      </c>
      <c r="M1476" s="0" t="s">
        <v>457</v>
      </c>
      <c r="R1476" s="0" t="s">
        <v>230</v>
      </c>
    </row>
    <row r="1477" customFormat="false" ht="15" hidden="false" customHeight="false" outlineLevel="0" collapsed="false">
      <c r="A1477" s="0" t="s">
        <v>222</v>
      </c>
      <c r="B1477" s="0" t="n">
        <v>2018</v>
      </c>
      <c r="C1477" s="0" t="s">
        <v>78</v>
      </c>
      <c r="D1477" s="0" t="s">
        <v>90</v>
      </c>
      <c r="E1477" s="0" t="n">
        <v>1</v>
      </c>
      <c r="F1477" s="0" t="s">
        <v>27</v>
      </c>
      <c r="G1477" s="0" t="n">
        <v>13.6220258725503</v>
      </c>
      <c r="H1477" s="0" t="s">
        <v>437</v>
      </c>
      <c r="I1477" s="0" t="s">
        <v>437</v>
      </c>
      <c r="J1477" s="0" t="s">
        <v>437</v>
      </c>
      <c r="K1477" s="0" t="s">
        <v>437</v>
      </c>
      <c r="L1477" s="0" t="s">
        <v>437</v>
      </c>
      <c r="M1477" s="0" t="s">
        <v>457</v>
      </c>
      <c r="R1477" s="0" t="s">
        <v>230</v>
      </c>
    </row>
    <row r="1478" customFormat="false" ht="15" hidden="false" customHeight="false" outlineLevel="0" collapsed="false">
      <c r="A1478" s="0" t="s">
        <v>222</v>
      </c>
      <c r="B1478" s="0" t="n">
        <v>2018</v>
      </c>
      <c r="C1478" s="0" t="s">
        <v>78</v>
      </c>
      <c r="D1478" s="0" t="s">
        <v>90</v>
      </c>
      <c r="E1478" s="0" t="n">
        <v>1</v>
      </c>
      <c r="F1478" s="0" t="s">
        <v>39</v>
      </c>
      <c r="G1478" s="0" t="n">
        <v>3.76569742906986</v>
      </c>
      <c r="H1478" s="0" t="s">
        <v>437</v>
      </c>
      <c r="I1478" s="0" t="s">
        <v>437</v>
      </c>
      <c r="J1478" s="0" t="s">
        <v>437</v>
      </c>
      <c r="K1478" s="0" t="s">
        <v>437</v>
      </c>
      <c r="L1478" s="0" t="s">
        <v>437</v>
      </c>
      <c r="M1478" s="0" t="s">
        <v>457</v>
      </c>
      <c r="R1478" s="0" t="s">
        <v>230</v>
      </c>
    </row>
    <row r="1479" customFormat="false" ht="15" hidden="false" customHeight="false" outlineLevel="0" collapsed="false">
      <c r="A1479" s="0" t="s">
        <v>222</v>
      </c>
      <c r="B1479" s="0" t="n">
        <v>2018</v>
      </c>
      <c r="C1479" s="0" t="s">
        <v>78</v>
      </c>
      <c r="D1479" s="0" t="s">
        <v>90</v>
      </c>
      <c r="E1479" s="0" t="n">
        <v>1</v>
      </c>
      <c r="F1479" s="0" t="s">
        <v>17</v>
      </c>
      <c r="G1479" s="0" t="n">
        <v>9.62997588836187</v>
      </c>
      <c r="H1479" s="0" t="s">
        <v>437</v>
      </c>
      <c r="I1479" s="0" t="s">
        <v>437</v>
      </c>
      <c r="J1479" s="0" t="s">
        <v>437</v>
      </c>
      <c r="K1479" s="0" t="s">
        <v>437</v>
      </c>
      <c r="L1479" s="0" t="s">
        <v>437</v>
      </c>
      <c r="M1479" s="0" t="s">
        <v>457</v>
      </c>
      <c r="R1479" s="0" t="s">
        <v>230</v>
      </c>
    </row>
    <row r="1480" customFormat="false" ht="15" hidden="false" customHeight="false" outlineLevel="0" collapsed="false">
      <c r="A1480" s="0" t="s">
        <v>222</v>
      </c>
      <c r="B1480" s="0" t="n">
        <v>2018</v>
      </c>
      <c r="C1480" s="0" t="s">
        <v>78</v>
      </c>
      <c r="D1480" s="0" t="s">
        <v>90</v>
      </c>
      <c r="E1480" s="0" t="n">
        <v>1</v>
      </c>
      <c r="F1480" s="0" t="s">
        <v>29</v>
      </c>
      <c r="G1480" s="0" t="n">
        <v>0.312858083115481</v>
      </c>
      <c r="H1480" s="0" t="s">
        <v>437</v>
      </c>
      <c r="I1480" s="0" t="s">
        <v>437</v>
      </c>
      <c r="J1480" s="0" t="s">
        <v>437</v>
      </c>
      <c r="K1480" s="0" t="s">
        <v>437</v>
      </c>
      <c r="L1480" s="0" t="s">
        <v>437</v>
      </c>
      <c r="M1480" s="0" t="s">
        <v>457</v>
      </c>
      <c r="R1480" s="0" t="s">
        <v>230</v>
      </c>
    </row>
    <row r="1481" customFormat="false" ht="15" hidden="false" customHeight="false" outlineLevel="0" collapsed="false">
      <c r="A1481" s="0" t="s">
        <v>222</v>
      </c>
      <c r="B1481" s="0" t="n">
        <v>2018</v>
      </c>
      <c r="C1481" s="0" t="s">
        <v>78</v>
      </c>
      <c r="D1481" s="0" t="s">
        <v>90</v>
      </c>
      <c r="E1481" s="0" t="n">
        <v>1</v>
      </c>
      <c r="F1481" s="0" t="s">
        <v>37</v>
      </c>
      <c r="G1481" s="0" t="n">
        <v>4.82180708190878</v>
      </c>
      <c r="H1481" s="0" t="s">
        <v>437</v>
      </c>
      <c r="I1481" s="0" t="s">
        <v>437</v>
      </c>
      <c r="J1481" s="0" t="s">
        <v>437</v>
      </c>
      <c r="K1481" s="0" t="s">
        <v>437</v>
      </c>
      <c r="L1481" s="0" t="s">
        <v>437</v>
      </c>
      <c r="M1481" s="0" t="s">
        <v>457</v>
      </c>
      <c r="R1481" s="0" t="s">
        <v>230</v>
      </c>
    </row>
    <row r="1482" customFormat="false" ht="15" hidden="false" customHeight="false" outlineLevel="0" collapsed="false">
      <c r="A1482" s="0" t="s">
        <v>222</v>
      </c>
      <c r="B1482" s="0" t="n">
        <v>2018</v>
      </c>
      <c r="C1482" s="0" t="s">
        <v>78</v>
      </c>
      <c r="D1482" s="0" t="s">
        <v>90</v>
      </c>
      <c r="E1482" s="0" t="n">
        <v>1</v>
      </c>
      <c r="F1482" s="0" t="s">
        <v>23</v>
      </c>
      <c r="G1482" s="0" t="n">
        <v>199.717154269675</v>
      </c>
      <c r="H1482" s="0" t="s">
        <v>437</v>
      </c>
      <c r="I1482" s="0" t="s">
        <v>437</v>
      </c>
      <c r="J1482" s="0" t="s">
        <v>437</v>
      </c>
      <c r="K1482" s="0" t="s">
        <v>437</v>
      </c>
      <c r="L1482" s="0" t="s">
        <v>437</v>
      </c>
      <c r="M1482" s="0" t="s">
        <v>457</v>
      </c>
      <c r="R1482" s="0" t="s">
        <v>230</v>
      </c>
    </row>
    <row r="1483" customFormat="false" ht="15" hidden="false" customHeight="false" outlineLevel="0" collapsed="false">
      <c r="A1483" s="0" t="s">
        <v>222</v>
      </c>
      <c r="B1483" s="0" t="n">
        <v>2018</v>
      </c>
      <c r="C1483" s="0" t="s">
        <v>78</v>
      </c>
      <c r="D1483" s="0" t="s">
        <v>90</v>
      </c>
      <c r="E1483" s="0" t="n">
        <v>1</v>
      </c>
      <c r="F1483" s="0" t="s">
        <v>45</v>
      </c>
      <c r="H1483" s="0" t="s">
        <v>457</v>
      </c>
      <c r="I1483" s="0" t="s">
        <v>457</v>
      </c>
      <c r="J1483" s="0" t="s">
        <v>457</v>
      </c>
      <c r="K1483" s="0" t="s">
        <v>457</v>
      </c>
      <c r="L1483" s="0" t="s">
        <v>457</v>
      </c>
      <c r="M1483" s="0" t="s">
        <v>457</v>
      </c>
      <c r="R1483" s="0" t="s">
        <v>230</v>
      </c>
    </row>
    <row r="1484" customFormat="false" ht="15" hidden="false" customHeight="false" outlineLevel="0" collapsed="false">
      <c r="A1484" s="0" t="s">
        <v>222</v>
      </c>
      <c r="B1484" s="0" t="n">
        <v>2018</v>
      </c>
      <c r="C1484" s="0" t="s">
        <v>78</v>
      </c>
      <c r="D1484" s="0" t="s">
        <v>90</v>
      </c>
      <c r="E1484" s="0" t="n">
        <v>1</v>
      </c>
      <c r="F1484" s="0" t="s">
        <v>71</v>
      </c>
      <c r="H1484" s="0" t="s">
        <v>457</v>
      </c>
      <c r="I1484" s="0" t="s">
        <v>457</v>
      </c>
      <c r="J1484" s="0" t="s">
        <v>457</v>
      </c>
      <c r="K1484" s="0" t="s">
        <v>457</v>
      </c>
      <c r="L1484" s="0" t="s">
        <v>457</v>
      </c>
      <c r="M1484" s="0" t="s">
        <v>457</v>
      </c>
      <c r="R1484" s="0" t="s">
        <v>230</v>
      </c>
    </row>
    <row r="1485" customFormat="false" ht="15" hidden="false" customHeight="false" outlineLevel="0" collapsed="false">
      <c r="A1485" s="0" t="s">
        <v>222</v>
      </c>
      <c r="B1485" s="0" t="n">
        <v>2018</v>
      </c>
      <c r="C1485" s="0" t="s">
        <v>78</v>
      </c>
      <c r="D1485" s="0" t="s">
        <v>90</v>
      </c>
      <c r="E1485" s="0" t="n">
        <v>1</v>
      </c>
      <c r="F1485" s="0" t="s">
        <v>31</v>
      </c>
      <c r="G1485" s="0" t="n">
        <v>86.3779741274497</v>
      </c>
      <c r="H1485" s="0" t="s">
        <v>437</v>
      </c>
      <c r="I1485" s="0" t="s">
        <v>437</v>
      </c>
      <c r="J1485" s="0" t="s">
        <v>437</v>
      </c>
      <c r="K1485" s="0" t="s">
        <v>437</v>
      </c>
      <c r="L1485" s="0" t="s">
        <v>437</v>
      </c>
      <c r="M1485" s="0" t="s">
        <v>457</v>
      </c>
      <c r="R1485" s="0" t="s">
        <v>230</v>
      </c>
    </row>
    <row r="1486" customFormat="false" ht="15" hidden="false" customHeight="false" outlineLevel="0" collapsed="false">
      <c r="A1486" s="0" t="s">
        <v>222</v>
      </c>
      <c r="B1486" s="0" t="n">
        <v>2019</v>
      </c>
      <c r="C1486" s="0" t="s">
        <v>78</v>
      </c>
      <c r="D1486" s="0" t="s">
        <v>90</v>
      </c>
      <c r="E1486" s="0" t="n">
        <v>1</v>
      </c>
      <c r="F1486" s="0" t="s">
        <v>73</v>
      </c>
      <c r="G1486" s="0" t="n">
        <v>0</v>
      </c>
      <c r="H1486" s="0" t="s">
        <v>437</v>
      </c>
      <c r="I1486" s="0" t="s">
        <v>437</v>
      </c>
      <c r="J1486" s="0" t="s">
        <v>437</v>
      </c>
      <c r="K1486" s="0" t="s">
        <v>457</v>
      </c>
      <c r="L1486" s="0" t="s">
        <v>437</v>
      </c>
      <c r="M1486" s="0" t="s">
        <v>457</v>
      </c>
      <c r="R1486" s="0" t="s">
        <v>232</v>
      </c>
    </row>
    <row r="1487" customFormat="false" ht="15" hidden="false" customHeight="false" outlineLevel="0" collapsed="false">
      <c r="A1487" s="0" t="s">
        <v>222</v>
      </c>
      <c r="B1487" s="0" t="n">
        <v>2019</v>
      </c>
      <c r="C1487" s="0" t="s">
        <v>78</v>
      </c>
      <c r="D1487" s="0" t="s">
        <v>90</v>
      </c>
      <c r="E1487" s="0" t="n">
        <v>1</v>
      </c>
      <c r="F1487" s="0" t="s">
        <v>69</v>
      </c>
      <c r="G1487" s="0" t="n">
        <v>20</v>
      </c>
      <c r="H1487" s="0" t="s">
        <v>437</v>
      </c>
      <c r="I1487" s="0" t="s">
        <v>437</v>
      </c>
      <c r="J1487" s="0" t="s">
        <v>437</v>
      </c>
      <c r="K1487" s="0" t="s">
        <v>437</v>
      </c>
      <c r="L1487" s="0" t="s">
        <v>437</v>
      </c>
      <c r="M1487" s="0" t="s">
        <v>457</v>
      </c>
      <c r="R1487" s="0" t="s">
        <v>232</v>
      </c>
    </row>
    <row r="1488" customFormat="false" ht="15" hidden="false" customHeight="false" outlineLevel="0" collapsed="false">
      <c r="A1488" s="0" t="s">
        <v>222</v>
      </c>
      <c r="B1488" s="0" t="n">
        <v>2019</v>
      </c>
      <c r="C1488" s="0" t="s">
        <v>78</v>
      </c>
      <c r="D1488" s="0" t="s">
        <v>90</v>
      </c>
      <c r="E1488" s="0" t="n">
        <v>1</v>
      </c>
      <c r="F1488" s="0" t="s">
        <v>25</v>
      </c>
      <c r="G1488" s="0" t="n">
        <v>19.5645230476247</v>
      </c>
      <c r="H1488" s="0" t="s">
        <v>437</v>
      </c>
      <c r="I1488" s="0" t="s">
        <v>437</v>
      </c>
      <c r="J1488" s="0" t="s">
        <v>437</v>
      </c>
      <c r="K1488" s="0" t="s">
        <v>437</v>
      </c>
      <c r="L1488" s="0" t="s">
        <v>437</v>
      </c>
      <c r="M1488" s="0" t="s">
        <v>457</v>
      </c>
      <c r="R1488" s="0" t="s">
        <v>232</v>
      </c>
    </row>
    <row r="1489" customFormat="false" ht="15" hidden="false" customHeight="false" outlineLevel="0" collapsed="false">
      <c r="A1489" s="0" t="s">
        <v>222</v>
      </c>
      <c r="B1489" s="0" t="n">
        <v>2019</v>
      </c>
      <c r="C1489" s="0" t="s">
        <v>78</v>
      </c>
      <c r="D1489" s="0" t="s">
        <v>90</v>
      </c>
      <c r="E1489" s="0" t="n">
        <v>1</v>
      </c>
      <c r="F1489" s="0" t="s">
        <v>41</v>
      </c>
      <c r="G1489" s="0" t="n">
        <v>3.42625844062827</v>
      </c>
      <c r="H1489" s="0" t="s">
        <v>437</v>
      </c>
      <c r="I1489" s="0" t="s">
        <v>437</v>
      </c>
      <c r="J1489" s="0" t="s">
        <v>437</v>
      </c>
      <c r="K1489" s="0" t="s">
        <v>437</v>
      </c>
      <c r="L1489" s="0" t="s">
        <v>437</v>
      </c>
      <c r="M1489" s="0" t="s">
        <v>457</v>
      </c>
      <c r="R1489" s="0" t="s">
        <v>232</v>
      </c>
    </row>
    <row r="1490" customFormat="false" ht="15" hidden="false" customHeight="false" outlineLevel="0" collapsed="false">
      <c r="A1490" s="0" t="s">
        <v>222</v>
      </c>
      <c r="B1490" s="0" t="n">
        <v>2019</v>
      </c>
      <c r="C1490" s="0" t="s">
        <v>78</v>
      </c>
      <c r="D1490" s="0" t="s">
        <v>90</v>
      </c>
      <c r="E1490" s="0" t="n">
        <v>1</v>
      </c>
      <c r="F1490" s="0" t="s">
        <v>27</v>
      </c>
      <c r="G1490" s="0" t="n">
        <v>14.3327421729202</v>
      </c>
      <c r="H1490" s="0" t="s">
        <v>437</v>
      </c>
      <c r="I1490" s="0" t="s">
        <v>437</v>
      </c>
      <c r="J1490" s="0" t="s">
        <v>437</v>
      </c>
      <c r="K1490" s="0" t="s">
        <v>437</v>
      </c>
      <c r="L1490" s="0" t="s">
        <v>437</v>
      </c>
      <c r="M1490" s="0" t="s">
        <v>457</v>
      </c>
      <c r="R1490" s="0" t="s">
        <v>232</v>
      </c>
    </row>
    <row r="1491" customFormat="false" ht="15" hidden="false" customHeight="false" outlineLevel="0" collapsed="false">
      <c r="A1491" s="0" t="s">
        <v>222</v>
      </c>
      <c r="B1491" s="0" t="n">
        <v>2019</v>
      </c>
      <c r="C1491" s="0" t="s">
        <v>78</v>
      </c>
      <c r="D1491" s="0" t="s">
        <v>90</v>
      </c>
      <c r="E1491" s="0" t="n">
        <v>1</v>
      </c>
      <c r="F1491" s="0" t="s">
        <v>39</v>
      </c>
      <c r="G1491" s="0" t="n">
        <v>7.50863431447787</v>
      </c>
      <c r="H1491" s="0" t="s">
        <v>437</v>
      </c>
      <c r="I1491" s="0" t="s">
        <v>437</v>
      </c>
      <c r="J1491" s="0" t="s">
        <v>437</v>
      </c>
      <c r="K1491" s="0" t="s">
        <v>437</v>
      </c>
      <c r="L1491" s="0" t="s">
        <v>437</v>
      </c>
      <c r="M1491" s="0" t="s">
        <v>457</v>
      </c>
      <c r="R1491" s="0" t="s">
        <v>232</v>
      </c>
    </row>
    <row r="1492" customFormat="false" ht="15" hidden="false" customHeight="false" outlineLevel="0" collapsed="false">
      <c r="A1492" s="0" t="s">
        <v>222</v>
      </c>
      <c r="B1492" s="0" t="n">
        <v>2019</v>
      </c>
      <c r="C1492" s="0" t="s">
        <v>78</v>
      </c>
      <c r="D1492" s="0" t="s">
        <v>90</v>
      </c>
      <c r="E1492" s="0" t="n">
        <v>1</v>
      </c>
      <c r="F1492" s="0" t="s">
        <v>17</v>
      </c>
      <c r="G1492" s="0" t="n">
        <v>6.32375867493833</v>
      </c>
      <c r="H1492" s="0" t="s">
        <v>437</v>
      </c>
      <c r="I1492" s="0" t="s">
        <v>437</v>
      </c>
      <c r="J1492" s="0" t="s">
        <v>437</v>
      </c>
      <c r="K1492" s="0" t="s">
        <v>437</v>
      </c>
      <c r="L1492" s="0" t="s">
        <v>437</v>
      </c>
      <c r="M1492" s="0" t="s">
        <v>457</v>
      </c>
      <c r="R1492" s="0" t="s">
        <v>232</v>
      </c>
    </row>
    <row r="1493" customFormat="false" ht="15" hidden="false" customHeight="false" outlineLevel="0" collapsed="false">
      <c r="A1493" s="0" t="s">
        <v>222</v>
      </c>
      <c r="B1493" s="0" t="n">
        <v>2019</v>
      </c>
      <c r="C1493" s="0" t="s">
        <v>78</v>
      </c>
      <c r="D1493" s="0" t="s">
        <v>90</v>
      </c>
      <c r="E1493" s="0" t="n">
        <v>1</v>
      </c>
      <c r="F1493" s="0" t="s">
        <v>29</v>
      </c>
      <c r="G1493" s="0" t="n">
        <v>0.450275915021754</v>
      </c>
      <c r="H1493" s="0" t="s">
        <v>437</v>
      </c>
      <c r="I1493" s="0" t="s">
        <v>437</v>
      </c>
      <c r="J1493" s="0" t="s">
        <v>437</v>
      </c>
      <c r="K1493" s="0" t="s">
        <v>437</v>
      </c>
      <c r="L1493" s="0" t="s">
        <v>437</v>
      </c>
      <c r="M1493" s="0" t="s">
        <v>457</v>
      </c>
      <c r="R1493" s="0" t="s">
        <v>232</v>
      </c>
    </row>
    <row r="1494" customFormat="false" ht="15" hidden="false" customHeight="false" outlineLevel="0" collapsed="false">
      <c r="A1494" s="0" t="s">
        <v>222</v>
      </c>
      <c r="B1494" s="0" t="n">
        <v>2019</v>
      </c>
      <c r="C1494" s="0" t="s">
        <v>78</v>
      </c>
      <c r="D1494" s="0" t="s">
        <v>90</v>
      </c>
      <c r="E1494" s="0" t="n">
        <v>1</v>
      </c>
      <c r="F1494" s="0" t="s">
        <v>37</v>
      </c>
      <c r="G1494" s="0" t="n">
        <v>4.16024756436636</v>
      </c>
      <c r="H1494" s="0" t="s">
        <v>437</v>
      </c>
      <c r="I1494" s="0" t="s">
        <v>437</v>
      </c>
      <c r="J1494" s="0" t="s">
        <v>437</v>
      </c>
      <c r="K1494" s="0" t="s">
        <v>437</v>
      </c>
      <c r="L1494" s="0" t="s">
        <v>437</v>
      </c>
      <c r="M1494" s="0" t="s">
        <v>457</v>
      </c>
      <c r="R1494" s="0" t="s">
        <v>232</v>
      </c>
    </row>
    <row r="1495" customFormat="false" ht="15" hidden="false" customHeight="false" outlineLevel="0" collapsed="false">
      <c r="A1495" s="0" t="s">
        <v>222</v>
      </c>
      <c r="B1495" s="0" t="n">
        <v>2019</v>
      </c>
      <c r="C1495" s="0" t="s">
        <v>78</v>
      </c>
      <c r="D1495" s="0" t="s">
        <v>90</v>
      </c>
      <c r="E1495" s="0" t="n">
        <v>1</v>
      </c>
      <c r="F1495" s="0" t="s">
        <v>23</v>
      </c>
      <c r="G1495" s="0" t="n">
        <v>152.004383804056</v>
      </c>
      <c r="H1495" s="0" t="s">
        <v>437</v>
      </c>
      <c r="I1495" s="0" t="s">
        <v>437</v>
      </c>
      <c r="J1495" s="0" t="s">
        <v>437</v>
      </c>
      <c r="K1495" s="0" t="s">
        <v>437</v>
      </c>
      <c r="L1495" s="0" t="s">
        <v>437</v>
      </c>
      <c r="M1495" s="0" t="s">
        <v>457</v>
      </c>
      <c r="R1495" s="0" t="s">
        <v>232</v>
      </c>
    </row>
    <row r="1496" customFormat="false" ht="15" hidden="false" customHeight="false" outlineLevel="0" collapsed="false">
      <c r="A1496" s="0" t="s">
        <v>222</v>
      </c>
      <c r="B1496" s="0" t="n">
        <v>2019</v>
      </c>
      <c r="C1496" s="0" t="s">
        <v>78</v>
      </c>
      <c r="D1496" s="0" t="s">
        <v>90</v>
      </c>
      <c r="E1496" s="0" t="n">
        <v>1</v>
      </c>
      <c r="F1496" s="0" t="s">
        <v>45</v>
      </c>
      <c r="H1496" s="0" t="s">
        <v>457</v>
      </c>
      <c r="I1496" s="0" t="s">
        <v>457</v>
      </c>
      <c r="J1496" s="0" t="s">
        <v>457</v>
      </c>
      <c r="K1496" s="0" t="s">
        <v>457</v>
      </c>
      <c r="L1496" s="0" t="s">
        <v>457</v>
      </c>
      <c r="M1496" s="0" t="s">
        <v>457</v>
      </c>
      <c r="R1496" s="0" t="s">
        <v>232</v>
      </c>
    </row>
    <row r="1497" customFormat="false" ht="15" hidden="false" customHeight="false" outlineLevel="0" collapsed="false">
      <c r="A1497" s="0" t="s">
        <v>222</v>
      </c>
      <c r="B1497" s="0" t="n">
        <v>2019</v>
      </c>
      <c r="C1497" s="0" t="s">
        <v>78</v>
      </c>
      <c r="D1497" s="0" t="s">
        <v>90</v>
      </c>
      <c r="E1497" s="0" t="n">
        <v>1</v>
      </c>
      <c r="F1497" s="0" t="s">
        <v>71</v>
      </c>
      <c r="H1497" s="0" t="s">
        <v>457</v>
      </c>
      <c r="I1497" s="0" t="s">
        <v>457</v>
      </c>
      <c r="J1497" s="0" t="s">
        <v>457</v>
      </c>
      <c r="K1497" s="0" t="s">
        <v>457</v>
      </c>
      <c r="L1497" s="0" t="s">
        <v>457</v>
      </c>
      <c r="M1497" s="0" t="s">
        <v>457</v>
      </c>
      <c r="R1497" s="0" t="s">
        <v>232</v>
      </c>
    </row>
    <row r="1498" customFormat="false" ht="15" hidden="false" customHeight="false" outlineLevel="0" collapsed="false">
      <c r="A1498" s="0" t="s">
        <v>222</v>
      </c>
      <c r="B1498" s="0" t="n">
        <v>2019</v>
      </c>
      <c r="C1498" s="0" t="s">
        <v>78</v>
      </c>
      <c r="D1498" s="0" t="s">
        <v>90</v>
      </c>
      <c r="E1498" s="0" t="n">
        <v>1</v>
      </c>
      <c r="F1498" s="0" t="s">
        <v>31</v>
      </c>
      <c r="G1498" s="0" t="n">
        <v>85.6672578270798</v>
      </c>
      <c r="H1498" s="0" t="s">
        <v>437</v>
      </c>
      <c r="I1498" s="0" t="s">
        <v>437</v>
      </c>
      <c r="J1498" s="0" t="s">
        <v>437</v>
      </c>
      <c r="K1498" s="0" t="s">
        <v>437</v>
      </c>
      <c r="L1498" s="0" t="s">
        <v>437</v>
      </c>
      <c r="M1498" s="0" t="s">
        <v>457</v>
      </c>
      <c r="R1498" s="0" t="s">
        <v>232</v>
      </c>
    </row>
    <row r="1499" customFormat="false" ht="15" hidden="false" customHeight="false" outlineLevel="0" collapsed="false">
      <c r="A1499" s="0" t="s">
        <v>222</v>
      </c>
      <c r="B1499" s="0" t="n">
        <v>2020</v>
      </c>
      <c r="C1499" s="0" t="s">
        <v>78</v>
      </c>
      <c r="D1499" s="0" t="s">
        <v>90</v>
      </c>
      <c r="E1499" s="0" t="n">
        <v>1</v>
      </c>
      <c r="F1499" s="0" t="s">
        <v>73</v>
      </c>
      <c r="G1499" s="0" t="n">
        <v>0</v>
      </c>
      <c r="H1499" s="0" t="s">
        <v>437</v>
      </c>
      <c r="I1499" s="0" t="s">
        <v>437</v>
      </c>
      <c r="J1499" s="0" t="s">
        <v>437</v>
      </c>
      <c r="K1499" s="0" t="s">
        <v>437</v>
      </c>
      <c r="L1499" s="0" t="s">
        <v>437</v>
      </c>
      <c r="M1499" s="0" t="s">
        <v>457</v>
      </c>
      <c r="R1499" s="0" t="s">
        <v>234</v>
      </c>
    </row>
    <row r="1500" customFormat="false" ht="15" hidden="false" customHeight="false" outlineLevel="0" collapsed="false">
      <c r="A1500" s="0" t="s">
        <v>222</v>
      </c>
      <c r="B1500" s="0" t="n">
        <v>2020</v>
      </c>
      <c r="C1500" s="0" t="s">
        <v>78</v>
      </c>
      <c r="D1500" s="0" t="s">
        <v>90</v>
      </c>
      <c r="E1500" s="0" t="n">
        <v>1</v>
      </c>
      <c r="F1500" s="0" t="s">
        <v>69</v>
      </c>
      <c r="H1500" s="0" t="s">
        <v>457</v>
      </c>
      <c r="I1500" s="0" t="s">
        <v>457</v>
      </c>
      <c r="J1500" s="0" t="s">
        <v>457</v>
      </c>
      <c r="K1500" s="0" t="s">
        <v>457</v>
      </c>
      <c r="L1500" s="0" t="s">
        <v>457</v>
      </c>
      <c r="M1500" s="0" t="s">
        <v>457</v>
      </c>
      <c r="R1500" s="0" t="s">
        <v>234</v>
      </c>
    </row>
    <row r="1501" customFormat="false" ht="15" hidden="false" customHeight="false" outlineLevel="0" collapsed="false">
      <c r="A1501" s="0" t="s">
        <v>222</v>
      </c>
      <c r="B1501" s="0" t="n">
        <v>2020</v>
      </c>
      <c r="C1501" s="0" t="s">
        <v>78</v>
      </c>
      <c r="D1501" s="0" t="s">
        <v>90</v>
      </c>
      <c r="E1501" s="0" t="n">
        <v>1</v>
      </c>
      <c r="F1501" s="0" t="s">
        <v>25</v>
      </c>
      <c r="H1501" s="0" t="s">
        <v>457</v>
      </c>
      <c r="I1501" s="0" t="s">
        <v>457</v>
      </c>
      <c r="J1501" s="0" t="s">
        <v>457</v>
      </c>
      <c r="K1501" s="0" t="s">
        <v>457</v>
      </c>
      <c r="L1501" s="0" t="s">
        <v>457</v>
      </c>
      <c r="M1501" s="0" t="s">
        <v>457</v>
      </c>
      <c r="R1501" s="0" t="s">
        <v>234</v>
      </c>
    </row>
    <row r="1502" customFormat="false" ht="15" hidden="false" customHeight="false" outlineLevel="0" collapsed="false">
      <c r="A1502" s="0" t="s">
        <v>222</v>
      </c>
      <c r="B1502" s="0" t="n">
        <v>2020</v>
      </c>
      <c r="C1502" s="0" t="s">
        <v>78</v>
      </c>
      <c r="D1502" s="0" t="s">
        <v>90</v>
      </c>
      <c r="E1502" s="0" t="n">
        <v>1</v>
      </c>
      <c r="F1502" s="0" t="s">
        <v>41</v>
      </c>
      <c r="G1502" s="0" t="n">
        <v>3.15049450400715</v>
      </c>
      <c r="H1502" s="0" t="s">
        <v>437</v>
      </c>
      <c r="I1502" s="0" t="s">
        <v>437</v>
      </c>
      <c r="J1502" s="0" t="s">
        <v>437</v>
      </c>
      <c r="K1502" s="0" t="s">
        <v>437</v>
      </c>
      <c r="L1502" s="0" t="s">
        <v>437</v>
      </c>
      <c r="M1502" s="0" t="s">
        <v>457</v>
      </c>
      <c r="R1502" s="0" t="s">
        <v>234</v>
      </c>
    </row>
    <row r="1503" customFormat="false" ht="15" hidden="false" customHeight="false" outlineLevel="0" collapsed="false">
      <c r="A1503" s="0" t="s">
        <v>222</v>
      </c>
      <c r="B1503" s="0" t="n">
        <v>2020</v>
      </c>
      <c r="C1503" s="0" t="s">
        <v>78</v>
      </c>
      <c r="D1503" s="0" t="s">
        <v>90</v>
      </c>
      <c r="E1503" s="0" t="n">
        <v>1</v>
      </c>
      <c r="F1503" s="0" t="s">
        <v>27</v>
      </c>
      <c r="G1503" s="0" t="n">
        <v>12.7050337074299</v>
      </c>
      <c r="H1503" s="0" t="s">
        <v>437</v>
      </c>
      <c r="I1503" s="0" t="s">
        <v>437</v>
      </c>
      <c r="J1503" s="0" t="s">
        <v>437</v>
      </c>
      <c r="K1503" s="0" t="s">
        <v>437</v>
      </c>
      <c r="L1503" s="0" t="s">
        <v>437</v>
      </c>
      <c r="M1503" s="0" t="s">
        <v>457</v>
      </c>
      <c r="R1503" s="0" t="s">
        <v>234</v>
      </c>
    </row>
    <row r="1504" customFormat="false" ht="15" hidden="false" customHeight="false" outlineLevel="0" collapsed="false">
      <c r="A1504" s="0" t="s">
        <v>222</v>
      </c>
      <c r="B1504" s="0" t="n">
        <v>2020</v>
      </c>
      <c r="C1504" s="0" t="s">
        <v>78</v>
      </c>
      <c r="D1504" s="0" t="s">
        <v>90</v>
      </c>
      <c r="E1504" s="0" t="n">
        <v>1</v>
      </c>
      <c r="F1504" s="0" t="s">
        <v>39</v>
      </c>
      <c r="G1504" s="0" t="n">
        <v>1.04967651428417</v>
      </c>
      <c r="H1504" s="0" t="s">
        <v>437</v>
      </c>
      <c r="I1504" s="0" t="s">
        <v>437</v>
      </c>
      <c r="J1504" s="0" t="s">
        <v>437</v>
      </c>
      <c r="K1504" s="0" t="s">
        <v>437</v>
      </c>
      <c r="L1504" s="0" t="s">
        <v>437</v>
      </c>
      <c r="M1504" s="0" t="s">
        <v>457</v>
      </c>
      <c r="R1504" s="0" t="s">
        <v>234</v>
      </c>
    </row>
    <row r="1505" customFormat="false" ht="15" hidden="false" customHeight="false" outlineLevel="0" collapsed="false">
      <c r="A1505" s="0" t="s">
        <v>222</v>
      </c>
      <c r="B1505" s="0" t="n">
        <v>2020</v>
      </c>
      <c r="C1505" s="0" t="s">
        <v>78</v>
      </c>
      <c r="D1505" s="0" t="s">
        <v>90</v>
      </c>
      <c r="E1505" s="0" t="n">
        <v>1</v>
      </c>
      <c r="F1505" s="0" t="s">
        <v>17</v>
      </c>
      <c r="G1505" s="0" t="n">
        <v>4.79199960471215</v>
      </c>
      <c r="H1505" s="0" t="s">
        <v>437</v>
      </c>
      <c r="I1505" s="0" t="s">
        <v>437</v>
      </c>
      <c r="J1505" s="0" t="s">
        <v>437</v>
      </c>
      <c r="K1505" s="0" t="s">
        <v>437</v>
      </c>
      <c r="L1505" s="0" t="s">
        <v>437</v>
      </c>
      <c r="M1505" s="0" t="s">
        <v>457</v>
      </c>
      <c r="R1505" s="0" t="s">
        <v>234</v>
      </c>
    </row>
    <row r="1506" customFormat="false" ht="15" hidden="false" customHeight="false" outlineLevel="0" collapsed="false">
      <c r="A1506" s="0" t="s">
        <v>222</v>
      </c>
      <c r="B1506" s="0" t="n">
        <v>2020</v>
      </c>
      <c r="C1506" s="0" t="s">
        <v>78</v>
      </c>
      <c r="D1506" s="0" t="s">
        <v>90</v>
      </c>
      <c r="E1506" s="0" t="n">
        <v>1</v>
      </c>
      <c r="F1506" s="0" t="s">
        <v>29</v>
      </c>
      <c r="G1506" s="0" t="n">
        <v>0.592943027342226</v>
      </c>
      <c r="H1506" s="0" t="s">
        <v>437</v>
      </c>
      <c r="I1506" s="0" t="s">
        <v>437</v>
      </c>
      <c r="J1506" s="0" t="s">
        <v>437</v>
      </c>
      <c r="K1506" s="0" t="s">
        <v>437</v>
      </c>
      <c r="L1506" s="0" t="s">
        <v>437</v>
      </c>
      <c r="M1506" s="0" t="s">
        <v>457</v>
      </c>
      <c r="R1506" s="0" t="s">
        <v>234</v>
      </c>
    </row>
    <row r="1507" customFormat="false" ht="15" hidden="false" customHeight="false" outlineLevel="0" collapsed="false">
      <c r="A1507" s="0" t="s">
        <v>222</v>
      </c>
      <c r="B1507" s="0" t="n">
        <v>2020</v>
      </c>
      <c r="C1507" s="0" t="s">
        <v>78</v>
      </c>
      <c r="D1507" s="0" t="s">
        <v>90</v>
      </c>
      <c r="E1507" s="0" t="n">
        <v>1</v>
      </c>
      <c r="F1507" s="0" t="s">
        <v>37</v>
      </c>
      <c r="H1507" s="0" t="s">
        <v>457</v>
      </c>
      <c r="I1507" s="0" t="s">
        <v>457</v>
      </c>
      <c r="J1507" s="0" t="s">
        <v>457</v>
      </c>
      <c r="K1507" s="0" t="s">
        <v>457</v>
      </c>
      <c r="L1507" s="0" t="s">
        <v>457</v>
      </c>
      <c r="M1507" s="0" t="s">
        <v>457</v>
      </c>
      <c r="R1507" s="0" t="s">
        <v>234</v>
      </c>
    </row>
    <row r="1508" customFormat="false" ht="15" hidden="false" customHeight="false" outlineLevel="0" collapsed="false">
      <c r="A1508" s="0" t="s">
        <v>222</v>
      </c>
      <c r="B1508" s="0" t="n">
        <v>2020</v>
      </c>
      <c r="C1508" s="0" t="s">
        <v>78</v>
      </c>
      <c r="D1508" s="0" t="s">
        <v>90</v>
      </c>
      <c r="E1508" s="0" t="n">
        <v>1</v>
      </c>
      <c r="F1508" s="0" t="s">
        <v>23</v>
      </c>
      <c r="H1508" s="0" t="s">
        <v>457</v>
      </c>
      <c r="I1508" s="0" t="s">
        <v>457</v>
      </c>
      <c r="J1508" s="0" t="s">
        <v>457</v>
      </c>
      <c r="K1508" s="0" t="s">
        <v>457</v>
      </c>
      <c r="L1508" s="0" t="s">
        <v>457</v>
      </c>
      <c r="M1508" s="0" t="s">
        <v>457</v>
      </c>
      <c r="R1508" s="0" t="s">
        <v>234</v>
      </c>
    </row>
    <row r="1509" customFormat="false" ht="15" hidden="false" customHeight="false" outlineLevel="0" collapsed="false">
      <c r="A1509" s="0" t="s">
        <v>222</v>
      </c>
      <c r="B1509" s="0" t="n">
        <v>2020</v>
      </c>
      <c r="C1509" s="0" t="s">
        <v>78</v>
      </c>
      <c r="D1509" s="0" t="s">
        <v>90</v>
      </c>
      <c r="E1509" s="0" t="n">
        <v>1</v>
      </c>
      <c r="F1509" s="0" t="s">
        <v>45</v>
      </c>
      <c r="H1509" s="0" t="s">
        <v>457</v>
      </c>
      <c r="I1509" s="0" t="s">
        <v>457</v>
      </c>
      <c r="J1509" s="0" t="s">
        <v>457</v>
      </c>
      <c r="K1509" s="0" t="s">
        <v>457</v>
      </c>
      <c r="L1509" s="0" t="s">
        <v>457</v>
      </c>
      <c r="M1509" s="0" t="s">
        <v>457</v>
      </c>
      <c r="R1509" s="0" t="s">
        <v>234</v>
      </c>
    </row>
    <row r="1510" customFormat="false" ht="15" hidden="false" customHeight="false" outlineLevel="0" collapsed="false">
      <c r="A1510" s="0" t="s">
        <v>222</v>
      </c>
      <c r="B1510" s="0" t="n">
        <v>2020</v>
      </c>
      <c r="C1510" s="0" t="s">
        <v>78</v>
      </c>
      <c r="D1510" s="0" t="s">
        <v>90</v>
      </c>
      <c r="E1510" s="0" t="n">
        <v>1</v>
      </c>
      <c r="F1510" s="0" t="s">
        <v>71</v>
      </c>
      <c r="H1510" s="0" t="s">
        <v>457</v>
      </c>
      <c r="I1510" s="0" t="s">
        <v>457</v>
      </c>
      <c r="J1510" s="0" t="s">
        <v>457</v>
      </c>
      <c r="K1510" s="0" t="s">
        <v>457</v>
      </c>
      <c r="L1510" s="0" t="s">
        <v>457</v>
      </c>
      <c r="M1510" s="0" t="s">
        <v>457</v>
      </c>
      <c r="R1510" s="0" t="s">
        <v>234</v>
      </c>
    </row>
    <row r="1511" customFormat="false" ht="15" hidden="false" customHeight="false" outlineLevel="0" collapsed="false">
      <c r="A1511" s="0" t="s">
        <v>222</v>
      </c>
      <c r="B1511" s="0" t="n">
        <v>2020</v>
      </c>
      <c r="C1511" s="0" t="s">
        <v>78</v>
      </c>
      <c r="D1511" s="0" t="s">
        <v>90</v>
      </c>
      <c r="E1511" s="0" t="n">
        <v>1</v>
      </c>
      <c r="F1511" s="0" t="s">
        <v>31</v>
      </c>
      <c r="G1511" s="0" t="n">
        <v>87.2949662925701</v>
      </c>
      <c r="H1511" s="0" t="s">
        <v>437</v>
      </c>
      <c r="I1511" s="0" t="s">
        <v>437</v>
      </c>
      <c r="J1511" s="0" t="s">
        <v>437</v>
      </c>
      <c r="K1511" s="0" t="s">
        <v>437</v>
      </c>
      <c r="L1511" s="0" t="s">
        <v>437</v>
      </c>
      <c r="M1511" s="0" t="s">
        <v>457</v>
      </c>
      <c r="R1511" s="0" t="s">
        <v>234</v>
      </c>
    </row>
    <row r="1512" customFormat="false" ht="15" hidden="false" customHeight="false" outlineLevel="0" collapsed="false">
      <c r="A1512" s="0" t="s">
        <v>222</v>
      </c>
      <c r="B1512" s="0" t="n">
        <v>2021</v>
      </c>
      <c r="C1512" s="0" t="s">
        <v>78</v>
      </c>
      <c r="D1512" s="0" t="s">
        <v>90</v>
      </c>
      <c r="E1512" s="0" t="n">
        <v>1</v>
      </c>
      <c r="F1512" s="0" t="s">
        <v>73</v>
      </c>
      <c r="H1512" s="0" t="s">
        <v>457</v>
      </c>
      <c r="I1512" s="0" t="s">
        <v>457</v>
      </c>
      <c r="J1512" s="0" t="s">
        <v>457</v>
      </c>
      <c r="K1512" s="0" t="s">
        <v>457</v>
      </c>
      <c r="L1512" s="0" t="s">
        <v>457</v>
      </c>
      <c r="M1512" s="0" t="s">
        <v>457</v>
      </c>
      <c r="R1512" s="0" t="s">
        <v>81</v>
      </c>
    </row>
    <row r="1513" customFormat="false" ht="15" hidden="false" customHeight="false" outlineLevel="0" collapsed="false">
      <c r="A1513" s="0" t="s">
        <v>222</v>
      </c>
      <c r="B1513" s="0" t="n">
        <v>2021</v>
      </c>
      <c r="C1513" s="0" t="s">
        <v>78</v>
      </c>
      <c r="D1513" s="0" t="s">
        <v>90</v>
      </c>
      <c r="E1513" s="0" t="n">
        <v>1</v>
      </c>
      <c r="F1513" s="0" t="s">
        <v>69</v>
      </c>
      <c r="G1513" s="0" t="n">
        <v>20</v>
      </c>
      <c r="H1513" s="0" t="s">
        <v>437</v>
      </c>
      <c r="I1513" s="0" t="s">
        <v>437</v>
      </c>
      <c r="J1513" s="0" t="s">
        <v>437</v>
      </c>
      <c r="K1513" s="0" t="s">
        <v>457</v>
      </c>
      <c r="L1513" s="0" t="s">
        <v>437</v>
      </c>
      <c r="M1513" s="0" t="s">
        <v>457</v>
      </c>
      <c r="R1513" s="0" t="s">
        <v>81</v>
      </c>
    </row>
    <row r="1514" customFormat="false" ht="15" hidden="false" customHeight="false" outlineLevel="0" collapsed="false">
      <c r="A1514" s="0" t="s">
        <v>222</v>
      </c>
      <c r="B1514" s="0" t="n">
        <v>2021</v>
      </c>
      <c r="C1514" s="0" t="s">
        <v>78</v>
      </c>
      <c r="D1514" s="0" t="s">
        <v>90</v>
      </c>
      <c r="E1514" s="0" t="n">
        <v>1</v>
      </c>
      <c r="F1514" s="0" t="s">
        <v>25</v>
      </c>
      <c r="G1514" s="0" t="n">
        <v>19.5928118580614</v>
      </c>
      <c r="H1514" s="0" t="s">
        <v>437</v>
      </c>
      <c r="I1514" s="0" t="s">
        <v>437</v>
      </c>
      <c r="J1514" s="0" t="s">
        <v>437</v>
      </c>
      <c r="K1514" s="0" t="s">
        <v>457</v>
      </c>
      <c r="L1514" s="0" t="s">
        <v>437</v>
      </c>
      <c r="M1514" s="0" t="s">
        <v>457</v>
      </c>
      <c r="R1514" s="0" t="s">
        <v>81</v>
      </c>
    </row>
    <row r="1515" customFormat="false" ht="15" hidden="false" customHeight="false" outlineLevel="0" collapsed="false">
      <c r="A1515" s="0" t="s">
        <v>222</v>
      </c>
      <c r="B1515" s="0" t="n">
        <v>2021</v>
      </c>
      <c r="C1515" s="0" t="s">
        <v>78</v>
      </c>
      <c r="D1515" s="0" t="s">
        <v>90</v>
      </c>
      <c r="E1515" s="0" t="n">
        <v>1</v>
      </c>
      <c r="F1515" s="0" t="s">
        <v>41</v>
      </c>
      <c r="H1515" s="0" t="s">
        <v>457</v>
      </c>
      <c r="I1515" s="0" t="s">
        <v>457</v>
      </c>
      <c r="J1515" s="0" t="s">
        <v>457</v>
      </c>
      <c r="K1515" s="0" t="s">
        <v>457</v>
      </c>
      <c r="L1515" s="0" t="s">
        <v>457</v>
      </c>
      <c r="M1515" s="0" t="s">
        <v>457</v>
      </c>
      <c r="R1515" s="0" t="s">
        <v>81</v>
      </c>
    </row>
    <row r="1516" customFormat="false" ht="15" hidden="false" customHeight="false" outlineLevel="0" collapsed="false">
      <c r="A1516" s="0" t="s">
        <v>222</v>
      </c>
      <c r="B1516" s="0" t="n">
        <v>2021</v>
      </c>
      <c r="C1516" s="0" t="s">
        <v>78</v>
      </c>
      <c r="D1516" s="0" t="s">
        <v>90</v>
      </c>
      <c r="E1516" s="0" t="n">
        <v>1</v>
      </c>
      <c r="F1516" s="0" t="s">
        <v>27</v>
      </c>
      <c r="G1516" s="0" t="n">
        <v>13.3350617583799</v>
      </c>
      <c r="H1516" s="0" t="s">
        <v>437</v>
      </c>
      <c r="I1516" s="0" t="s">
        <v>437</v>
      </c>
      <c r="J1516" s="0" t="s">
        <v>437</v>
      </c>
      <c r="K1516" s="0" t="s">
        <v>437</v>
      </c>
      <c r="L1516" s="0" t="s">
        <v>437</v>
      </c>
      <c r="M1516" s="0" t="s">
        <v>457</v>
      </c>
      <c r="R1516" s="0" t="s">
        <v>81</v>
      </c>
    </row>
    <row r="1517" customFormat="false" ht="15" hidden="false" customHeight="false" outlineLevel="0" collapsed="false">
      <c r="A1517" s="0" t="s">
        <v>222</v>
      </c>
      <c r="B1517" s="0" t="n">
        <v>2021</v>
      </c>
      <c r="C1517" s="0" t="s">
        <v>78</v>
      </c>
      <c r="D1517" s="0" t="s">
        <v>90</v>
      </c>
      <c r="E1517" s="0" t="n">
        <v>1</v>
      </c>
      <c r="F1517" s="0" t="s">
        <v>39</v>
      </c>
      <c r="H1517" s="0" t="s">
        <v>457</v>
      </c>
      <c r="I1517" s="0" t="s">
        <v>457</v>
      </c>
      <c r="J1517" s="0" t="s">
        <v>457</v>
      </c>
      <c r="K1517" s="0" t="s">
        <v>457</v>
      </c>
      <c r="L1517" s="0" t="s">
        <v>457</v>
      </c>
      <c r="M1517" s="0" t="s">
        <v>457</v>
      </c>
      <c r="R1517" s="0" t="s">
        <v>81</v>
      </c>
    </row>
    <row r="1518" customFormat="false" ht="15" hidden="false" customHeight="false" outlineLevel="0" collapsed="false">
      <c r="A1518" s="0" t="s">
        <v>222</v>
      </c>
      <c r="B1518" s="0" t="n">
        <v>2021</v>
      </c>
      <c r="C1518" s="0" t="s">
        <v>78</v>
      </c>
      <c r="D1518" s="0" t="s">
        <v>90</v>
      </c>
      <c r="E1518" s="0" t="n">
        <v>1</v>
      </c>
      <c r="F1518" s="0" t="s">
        <v>17</v>
      </c>
      <c r="G1518" s="0" t="n">
        <v>4.27801590686519</v>
      </c>
      <c r="H1518" s="0" t="s">
        <v>437</v>
      </c>
      <c r="I1518" s="0" t="s">
        <v>437</v>
      </c>
      <c r="J1518" s="0" t="s">
        <v>437</v>
      </c>
      <c r="K1518" s="0" t="s">
        <v>437</v>
      </c>
      <c r="L1518" s="0" t="s">
        <v>437</v>
      </c>
      <c r="M1518" s="0" t="s">
        <v>457</v>
      </c>
      <c r="R1518" s="0" t="s">
        <v>81</v>
      </c>
    </row>
    <row r="1519" customFormat="false" ht="15" hidden="false" customHeight="false" outlineLevel="0" collapsed="false">
      <c r="A1519" s="0" t="s">
        <v>222</v>
      </c>
      <c r="B1519" s="0" t="n">
        <v>2021</v>
      </c>
      <c r="C1519" s="0" t="s">
        <v>78</v>
      </c>
      <c r="D1519" s="0" t="s">
        <v>90</v>
      </c>
      <c r="E1519" s="0" t="n">
        <v>1</v>
      </c>
      <c r="F1519" s="0" t="s">
        <v>29</v>
      </c>
      <c r="H1519" s="0" t="s">
        <v>457</v>
      </c>
      <c r="I1519" s="0" t="s">
        <v>457</v>
      </c>
      <c r="J1519" s="0" t="s">
        <v>457</v>
      </c>
      <c r="K1519" s="0" t="s">
        <v>457</v>
      </c>
      <c r="L1519" s="0" t="s">
        <v>457</v>
      </c>
      <c r="M1519" s="0" t="s">
        <v>457</v>
      </c>
      <c r="R1519" s="0" t="s">
        <v>81</v>
      </c>
    </row>
    <row r="1520" customFormat="false" ht="15" hidden="false" customHeight="false" outlineLevel="0" collapsed="false">
      <c r="A1520" s="0" t="s">
        <v>222</v>
      </c>
      <c r="B1520" s="0" t="n">
        <v>2021</v>
      </c>
      <c r="C1520" s="0" t="s">
        <v>78</v>
      </c>
      <c r="D1520" s="0" t="s">
        <v>90</v>
      </c>
      <c r="E1520" s="0" t="n">
        <v>1</v>
      </c>
      <c r="F1520" s="0" t="s">
        <v>37</v>
      </c>
      <c r="H1520" s="0" t="s">
        <v>457</v>
      </c>
      <c r="I1520" s="0" t="s">
        <v>457</v>
      </c>
      <c r="J1520" s="0" t="s">
        <v>457</v>
      </c>
      <c r="K1520" s="0" t="s">
        <v>457</v>
      </c>
      <c r="L1520" s="0" t="s">
        <v>457</v>
      </c>
      <c r="M1520" s="0" t="s">
        <v>457</v>
      </c>
      <c r="R1520" s="0" t="s">
        <v>81</v>
      </c>
    </row>
    <row r="1521" customFormat="false" ht="15" hidden="false" customHeight="false" outlineLevel="0" collapsed="false">
      <c r="A1521" s="0" t="s">
        <v>222</v>
      </c>
      <c r="B1521" s="0" t="n">
        <v>2021</v>
      </c>
      <c r="C1521" s="0" t="s">
        <v>78</v>
      </c>
      <c r="D1521" s="0" t="s">
        <v>90</v>
      </c>
      <c r="E1521" s="0" t="n">
        <v>1</v>
      </c>
      <c r="F1521" s="0" t="s">
        <v>23</v>
      </c>
      <c r="H1521" s="0" t="s">
        <v>457</v>
      </c>
      <c r="I1521" s="0" t="s">
        <v>457</v>
      </c>
      <c r="J1521" s="0" t="s">
        <v>457</v>
      </c>
      <c r="K1521" s="0" t="s">
        <v>457</v>
      </c>
      <c r="L1521" s="0" t="s">
        <v>457</v>
      </c>
      <c r="M1521" s="0" t="s">
        <v>457</v>
      </c>
      <c r="R1521" s="0" t="s">
        <v>81</v>
      </c>
    </row>
    <row r="1522" customFormat="false" ht="15" hidden="false" customHeight="false" outlineLevel="0" collapsed="false">
      <c r="A1522" s="0" t="s">
        <v>222</v>
      </c>
      <c r="B1522" s="0" t="n">
        <v>2021</v>
      </c>
      <c r="C1522" s="0" t="s">
        <v>78</v>
      </c>
      <c r="D1522" s="0" t="s">
        <v>90</v>
      </c>
      <c r="E1522" s="0" t="n">
        <v>1</v>
      </c>
      <c r="F1522" s="0" t="s">
        <v>45</v>
      </c>
      <c r="H1522" s="0" t="s">
        <v>457</v>
      </c>
      <c r="I1522" s="0" t="s">
        <v>457</v>
      </c>
      <c r="J1522" s="0" t="s">
        <v>457</v>
      </c>
      <c r="K1522" s="0" t="s">
        <v>457</v>
      </c>
      <c r="L1522" s="0" t="s">
        <v>457</v>
      </c>
      <c r="M1522" s="0" t="s">
        <v>457</v>
      </c>
      <c r="R1522" s="0" t="s">
        <v>81</v>
      </c>
    </row>
    <row r="1523" customFormat="false" ht="15" hidden="false" customHeight="false" outlineLevel="0" collapsed="false">
      <c r="A1523" s="0" t="s">
        <v>222</v>
      </c>
      <c r="B1523" s="0" t="n">
        <v>2021</v>
      </c>
      <c r="C1523" s="0" t="s">
        <v>78</v>
      </c>
      <c r="D1523" s="0" t="s">
        <v>90</v>
      </c>
      <c r="E1523" s="0" t="n">
        <v>1</v>
      </c>
      <c r="F1523" s="0" t="s">
        <v>71</v>
      </c>
      <c r="H1523" s="0" t="s">
        <v>457</v>
      </c>
      <c r="I1523" s="0" t="s">
        <v>457</v>
      </c>
      <c r="J1523" s="0" t="s">
        <v>457</v>
      </c>
      <c r="K1523" s="0" t="s">
        <v>457</v>
      </c>
      <c r="L1523" s="0" t="s">
        <v>457</v>
      </c>
      <c r="M1523" s="0" t="s">
        <v>457</v>
      </c>
      <c r="R1523" s="0" t="s">
        <v>81</v>
      </c>
    </row>
    <row r="1524" customFormat="false" ht="15" hidden="false" customHeight="false" outlineLevel="0" collapsed="false">
      <c r="A1524" s="0" t="s">
        <v>222</v>
      </c>
      <c r="B1524" s="0" t="n">
        <v>2021</v>
      </c>
      <c r="C1524" s="0" t="s">
        <v>78</v>
      </c>
      <c r="D1524" s="0" t="s">
        <v>90</v>
      </c>
      <c r="E1524" s="0" t="n">
        <v>1</v>
      </c>
      <c r="F1524" s="0" t="s">
        <v>31</v>
      </c>
      <c r="G1524" s="0" t="n">
        <v>86.6649382416201</v>
      </c>
      <c r="H1524" s="0" t="s">
        <v>437</v>
      </c>
      <c r="I1524" s="0" t="s">
        <v>437</v>
      </c>
      <c r="J1524" s="0" t="s">
        <v>437</v>
      </c>
      <c r="K1524" s="0" t="s">
        <v>437</v>
      </c>
      <c r="L1524" s="0" t="s">
        <v>437</v>
      </c>
      <c r="M1524" s="0" t="s">
        <v>457</v>
      </c>
      <c r="R1524" s="0" t="s">
        <v>81</v>
      </c>
    </row>
    <row r="1525" customFormat="false" ht="15" hidden="false" customHeight="false" outlineLevel="0" collapsed="false">
      <c r="A1525" s="0" t="s">
        <v>222</v>
      </c>
      <c r="B1525" s="0" t="n">
        <v>2022</v>
      </c>
      <c r="C1525" s="0" t="s">
        <v>78</v>
      </c>
      <c r="D1525" s="0" t="s">
        <v>90</v>
      </c>
      <c r="E1525" s="0" t="n">
        <v>1</v>
      </c>
      <c r="F1525" s="0" t="s">
        <v>73</v>
      </c>
      <c r="H1525" s="0" t="s">
        <v>457</v>
      </c>
      <c r="I1525" s="0" t="s">
        <v>457</v>
      </c>
      <c r="J1525" s="0" t="s">
        <v>457</v>
      </c>
      <c r="K1525" s="0" t="s">
        <v>457</v>
      </c>
      <c r="L1525" s="0" t="s">
        <v>457</v>
      </c>
      <c r="M1525" s="0" t="s">
        <v>457</v>
      </c>
      <c r="R1525" s="0" t="s">
        <v>81</v>
      </c>
    </row>
    <row r="1526" customFormat="false" ht="15" hidden="false" customHeight="false" outlineLevel="0" collapsed="false">
      <c r="A1526" s="0" t="s">
        <v>222</v>
      </c>
      <c r="B1526" s="0" t="n">
        <v>2022</v>
      </c>
      <c r="C1526" s="0" t="s">
        <v>78</v>
      </c>
      <c r="D1526" s="0" t="s">
        <v>90</v>
      </c>
      <c r="E1526" s="0" t="n">
        <v>1</v>
      </c>
      <c r="F1526" s="0" t="s">
        <v>69</v>
      </c>
      <c r="G1526" s="0" t="n">
        <v>19</v>
      </c>
      <c r="H1526" s="0" t="s">
        <v>437</v>
      </c>
      <c r="I1526" s="0" t="s">
        <v>437</v>
      </c>
      <c r="J1526" s="0" t="s">
        <v>437</v>
      </c>
      <c r="K1526" s="0" t="s">
        <v>437</v>
      </c>
      <c r="L1526" s="0" t="s">
        <v>437</v>
      </c>
      <c r="M1526" s="0" t="s">
        <v>457</v>
      </c>
      <c r="R1526" s="0" t="s">
        <v>81</v>
      </c>
    </row>
    <row r="1527" customFormat="false" ht="15" hidden="false" customHeight="false" outlineLevel="0" collapsed="false">
      <c r="A1527" s="0" t="s">
        <v>222</v>
      </c>
      <c r="B1527" s="0" t="n">
        <v>2022</v>
      </c>
      <c r="C1527" s="0" t="s">
        <v>78</v>
      </c>
      <c r="D1527" s="0" t="s">
        <v>90</v>
      </c>
      <c r="E1527" s="0" t="n">
        <v>1</v>
      </c>
      <c r="F1527" s="0" t="s">
        <v>25</v>
      </c>
      <c r="G1527" s="0" t="n">
        <v>18.9964452219655</v>
      </c>
      <c r="H1527" s="0" t="s">
        <v>437</v>
      </c>
      <c r="I1527" s="0" t="s">
        <v>437</v>
      </c>
      <c r="J1527" s="0" t="s">
        <v>437</v>
      </c>
      <c r="K1527" s="0" t="s">
        <v>437</v>
      </c>
      <c r="L1527" s="0" t="s">
        <v>437</v>
      </c>
      <c r="M1527" s="0" t="s">
        <v>457</v>
      </c>
      <c r="R1527" s="0" t="s">
        <v>81</v>
      </c>
    </row>
    <row r="1528" customFormat="false" ht="15" hidden="false" customHeight="false" outlineLevel="0" collapsed="false">
      <c r="A1528" s="0" t="s">
        <v>222</v>
      </c>
      <c r="B1528" s="0" t="n">
        <v>2022</v>
      </c>
      <c r="C1528" s="0" t="s">
        <v>78</v>
      </c>
      <c r="D1528" s="0" t="s">
        <v>90</v>
      </c>
      <c r="E1528" s="0" t="n">
        <v>1</v>
      </c>
      <c r="F1528" s="0" t="s">
        <v>41</v>
      </c>
      <c r="G1528" s="0" t="n">
        <v>2.54398288345098</v>
      </c>
      <c r="H1528" s="0" t="s">
        <v>437</v>
      </c>
      <c r="I1528" s="0" t="s">
        <v>437</v>
      </c>
      <c r="J1528" s="0" t="s">
        <v>437</v>
      </c>
      <c r="K1528" s="0" t="s">
        <v>457</v>
      </c>
      <c r="L1528" s="0" t="s">
        <v>437</v>
      </c>
      <c r="M1528" s="0" t="s">
        <v>457</v>
      </c>
      <c r="R1528" s="0" t="s">
        <v>81</v>
      </c>
    </row>
    <row r="1529" customFormat="false" ht="15" hidden="false" customHeight="false" outlineLevel="0" collapsed="false">
      <c r="A1529" s="0" t="s">
        <v>222</v>
      </c>
      <c r="B1529" s="0" t="n">
        <v>2022</v>
      </c>
      <c r="C1529" s="0" t="s">
        <v>78</v>
      </c>
      <c r="D1529" s="0" t="s">
        <v>90</v>
      </c>
      <c r="E1529" s="0" t="n">
        <v>1</v>
      </c>
      <c r="F1529" s="0" t="s">
        <v>27</v>
      </c>
      <c r="G1529" s="0" t="n">
        <v>11.3062473381556</v>
      </c>
      <c r="H1529" s="0" t="s">
        <v>437</v>
      </c>
      <c r="I1529" s="0" t="s">
        <v>437</v>
      </c>
      <c r="J1529" s="0" t="s">
        <v>437</v>
      </c>
      <c r="K1529" s="0" t="s">
        <v>437</v>
      </c>
      <c r="L1529" s="0" t="s">
        <v>437</v>
      </c>
      <c r="M1529" s="0" t="s">
        <v>457</v>
      </c>
      <c r="R1529" s="0" t="s">
        <v>81</v>
      </c>
    </row>
    <row r="1530" customFormat="false" ht="15" hidden="false" customHeight="false" outlineLevel="0" collapsed="false">
      <c r="A1530" s="0" t="s">
        <v>222</v>
      </c>
      <c r="B1530" s="0" t="n">
        <v>2022</v>
      </c>
      <c r="C1530" s="0" t="s">
        <v>78</v>
      </c>
      <c r="D1530" s="0" t="s">
        <v>90</v>
      </c>
      <c r="E1530" s="0" t="n">
        <v>1</v>
      </c>
      <c r="F1530" s="0" t="s">
        <v>39</v>
      </c>
      <c r="G1530" s="0" t="n">
        <v>13.8780033801497</v>
      </c>
      <c r="H1530" s="0" t="s">
        <v>437</v>
      </c>
      <c r="I1530" s="0" t="s">
        <v>437</v>
      </c>
      <c r="J1530" s="0" t="s">
        <v>437</v>
      </c>
      <c r="K1530" s="0" t="s">
        <v>457</v>
      </c>
      <c r="L1530" s="0" t="s">
        <v>437</v>
      </c>
      <c r="M1530" s="0" t="s">
        <v>457</v>
      </c>
      <c r="R1530" s="0" t="s">
        <v>81</v>
      </c>
    </row>
    <row r="1531" customFormat="false" ht="15" hidden="false" customHeight="false" outlineLevel="0" collapsed="false">
      <c r="A1531" s="0" t="s">
        <v>222</v>
      </c>
      <c r="B1531" s="0" t="n">
        <v>2022</v>
      </c>
      <c r="C1531" s="0" t="s">
        <v>78</v>
      </c>
      <c r="D1531" s="0" t="s">
        <v>90</v>
      </c>
      <c r="E1531" s="0" t="n">
        <v>1</v>
      </c>
      <c r="F1531" s="0" t="s">
        <v>17</v>
      </c>
      <c r="G1531" s="0" t="n">
        <v>2.68648707084627</v>
      </c>
      <c r="H1531" s="0" t="s">
        <v>437</v>
      </c>
      <c r="I1531" s="0" t="s">
        <v>437</v>
      </c>
      <c r="J1531" s="0" t="s">
        <v>437</v>
      </c>
      <c r="K1531" s="0" t="s">
        <v>437</v>
      </c>
      <c r="L1531" s="0" t="s">
        <v>437</v>
      </c>
      <c r="M1531" s="0" t="s">
        <v>457</v>
      </c>
      <c r="R1531" s="0" t="s">
        <v>81</v>
      </c>
    </row>
    <row r="1532" customFormat="false" ht="15" hidden="false" customHeight="false" outlineLevel="0" collapsed="false">
      <c r="A1532" s="0" t="s">
        <v>222</v>
      </c>
      <c r="B1532" s="0" t="n">
        <v>2022</v>
      </c>
      <c r="C1532" s="0" t="s">
        <v>78</v>
      </c>
      <c r="D1532" s="0" t="s">
        <v>90</v>
      </c>
      <c r="E1532" s="0" t="n">
        <v>1</v>
      </c>
      <c r="F1532" s="0" t="s">
        <v>29</v>
      </c>
      <c r="G1532" s="0" t="n">
        <v>0.671215102556692</v>
      </c>
      <c r="H1532" s="0" t="s">
        <v>437</v>
      </c>
      <c r="I1532" s="0" t="s">
        <v>437</v>
      </c>
      <c r="J1532" s="0" t="s">
        <v>437</v>
      </c>
      <c r="K1532" s="0" t="s">
        <v>457</v>
      </c>
      <c r="L1532" s="0" t="s">
        <v>437</v>
      </c>
      <c r="M1532" s="0" t="s">
        <v>457</v>
      </c>
      <c r="R1532" s="0" t="s">
        <v>81</v>
      </c>
    </row>
    <row r="1533" customFormat="false" ht="15" hidden="false" customHeight="false" outlineLevel="0" collapsed="false">
      <c r="A1533" s="0" t="s">
        <v>222</v>
      </c>
      <c r="B1533" s="0" t="n">
        <v>2022</v>
      </c>
      <c r="C1533" s="0" t="s">
        <v>78</v>
      </c>
      <c r="D1533" s="0" t="s">
        <v>90</v>
      </c>
      <c r="E1533" s="0" t="n">
        <v>1</v>
      </c>
      <c r="F1533" s="0" t="s">
        <v>37</v>
      </c>
      <c r="H1533" s="0" t="s">
        <v>457</v>
      </c>
      <c r="I1533" s="0" t="s">
        <v>457</v>
      </c>
      <c r="J1533" s="0" t="s">
        <v>457</v>
      </c>
      <c r="K1533" s="0" t="s">
        <v>457</v>
      </c>
      <c r="L1533" s="0" t="s">
        <v>457</v>
      </c>
      <c r="M1533" s="0" t="s">
        <v>457</v>
      </c>
      <c r="R1533" s="0" t="s">
        <v>81</v>
      </c>
    </row>
    <row r="1534" customFormat="false" ht="15" hidden="false" customHeight="false" outlineLevel="0" collapsed="false">
      <c r="A1534" s="0" t="s">
        <v>222</v>
      </c>
      <c r="B1534" s="0" t="n">
        <v>2022</v>
      </c>
      <c r="C1534" s="0" t="s">
        <v>78</v>
      </c>
      <c r="D1534" s="0" t="s">
        <v>90</v>
      </c>
      <c r="E1534" s="0" t="n">
        <v>1</v>
      </c>
      <c r="F1534" s="0" t="s">
        <v>23</v>
      </c>
      <c r="H1534" s="0" t="s">
        <v>457</v>
      </c>
      <c r="I1534" s="0" t="s">
        <v>457</v>
      </c>
      <c r="J1534" s="0" t="s">
        <v>457</v>
      </c>
      <c r="K1534" s="0" t="s">
        <v>457</v>
      </c>
      <c r="L1534" s="0" t="s">
        <v>457</v>
      </c>
      <c r="M1534" s="0" t="s">
        <v>457</v>
      </c>
      <c r="R1534" s="0" t="s">
        <v>81</v>
      </c>
    </row>
    <row r="1535" customFormat="false" ht="15" hidden="false" customHeight="false" outlineLevel="0" collapsed="false">
      <c r="A1535" s="0" t="s">
        <v>222</v>
      </c>
      <c r="B1535" s="0" t="n">
        <v>2022</v>
      </c>
      <c r="C1535" s="0" t="s">
        <v>78</v>
      </c>
      <c r="D1535" s="0" t="s">
        <v>90</v>
      </c>
      <c r="E1535" s="0" t="n">
        <v>1</v>
      </c>
      <c r="F1535" s="0" t="s">
        <v>45</v>
      </c>
      <c r="H1535" s="0" t="s">
        <v>457</v>
      </c>
      <c r="I1535" s="0" t="s">
        <v>457</v>
      </c>
      <c r="J1535" s="0" t="s">
        <v>457</v>
      </c>
      <c r="K1535" s="0" t="s">
        <v>457</v>
      </c>
      <c r="L1535" s="0" t="s">
        <v>457</v>
      </c>
      <c r="M1535" s="0" t="s">
        <v>457</v>
      </c>
      <c r="R1535" s="0" t="s">
        <v>81</v>
      </c>
    </row>
    <row r="1536" customFormat="false" ht="15" hidden="false" customHeight="false" outlineLevel="0" collapsed="false">
      <c r="A1536" s="0" t="s">
        <v>222</v>
      </c>
      <c r="B1536" s="0" t="n">
        <v>2022</v>
      </c>
      <c r="C1536" s="0" t="s">
        <v>78</v>
      </c>
      <c r="D1536" s="0" t="s">
        <v>90</v>
      </c>
      <c r="E1536" s="0" t="n">
        <v>1</v>
      </c>
      <c r="F1536" s="0" t="s">
        <v>71</v>
      </c>
      <c r="H1536" s="0" t="s">
        <v>457</v>
      </c>
      <c r="I1536" s="0" t="s">
        <v>457</v>
      </c>
      <c r="J1536" s="0" t="s">
        <v>457</v>
      </c>
      <c r="K1536" s="0" t="s">
        <v>457</v>
      </c>
      <c r="L1536" s="0" t="s">
        <v>457</v>
      </c>
      <c r="M1536" s="0" t="s">
        <v>457</v>
      </c>
      <c r="R1536" s="0" t="s">
        <v>81</v>
      </c>
    </row>
    <row r="1537" customFormat="false" ht="15" hidden="false" customHeight="false" outlineLevel="0" collapsed="false">
      <c r="A1537" s="0" t="s">
        <v>222</v>
      </c>
      <c r="B1537" s="0" t="n">
        <v>2022</v>
      </c>
      <c r="C1537" s="0" t="s">
        <v>78</v>
      </c>
      <c r="D1537" s="0" t="s">
        <v>90</v>
      </c>
      <c r="E1537" s="0" t="n">
        <v>1</v>
      </c>
      <c r="F1537" s="0" t="s">
        <v>31</v>
      </c>
      <c r="G1537" s="0" t="n">
        <v>88.6937526618444</v>
      </c>
      <c r="H1537" s="0" t="s">
        <v>437</v>
      </c>
      <c r="I1537" s="0" t="s">
        <v>437</v>
      </c>
      <c r="J1537" s="0" t="s">
        <v>437</v>
      </c>
      <c r="K1537" s="0" t="s">
        <v>437</v>
      </c>
      <c r="L1537" s="0" t="s">
        <v>437</v>
      </c>
      <c r="M1537" s="0" t="s">
        <v>457</v>
      </c>
      <c r="R1537"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5"/>
    <col collapsed="false" customWidth="true" hidden="false" outlineLevel="0" max="5" min="5" style="0" width="12"/>
    <col collapsed="false" customWidth="true" hidden="false" outlineLevel="0" max="10" min="6" style="0" width="10"/>
    <col collapsed="false" customWidth="true" hidden="false" outlineLevel="0" max="11" min="11" style="0" width="14"/>
    <col collapsed="false" customWidth="true" hidden="false" outlineLevel="0" max="12" min="12" style="0" width="29"/>
    <col collapsed="false" customWidth="true" hidden="false" outlineLevel="0" max="14" min="13" style="0" width="25"/>
    <col collapsed="false" customWidth="true" hidden="false" outlineLevel="0" max="15" min="15" style="0" width="19"/>
    <col collapsed="false" customWidth="true" hidden="false" outlineLevel="0" max="16" min="16" style="0" width="27"/>
    <col collapsed="false" customWidth="true" hidden="false" outlineLevel="0" max="17" min="17" style="0" width="22"/>
  </cols>
  <sheetData>
    <row r="1" customFormat="false" ht="15" hidden="false" customHeight="false" outlineLevel="0" collapsed="false">
      <c r="A1" s="2" t="s">
        <v>2614</v>
      </c>
    </row>
    <row r="3" customFormat="false" ht="15" hidden="false" customHeight="false" outlineLevel="0" collapsed="false">
      <c r="A3" s="3" t="s">
        <v>2615</v>
      </c>
      <c r="B3" s="3" t="s">
        <v>309</v>
      </c>
      <c r="C3" s="3" t="s">
        <v>311</v>
      </c>
      <c r="D3" s="3" t="s">
        <v>2616</v>
      </c>
      <c r="E3" s="3" t="s">
        <v>2617</v>
      </c>
      <c r="F3" s="3" t="s">
        <v>2618</v>
      </c>
      <c r="G3" s="3" t="s">
        <v>2619</v>
      </c>
      <c r="H3" s="3" t="s">
        <v>2620</v>
      </c>
      <c r="I3" s="3" t="s">
        <v>2621</v>
      </c>
      <c r="J3" s="3" t="s">
        <v>2622</v>
      </c>
      <c r="K3" s="3" t="s">
        <v>2623</v>
      </c>
      <c r="L3" s="3" t="s">
        <v>2624</v>
      </c>
      <c r="M3" s="3" t="s">
        <v>2625</v>
      </c>
      <c r="N3" s="3" t="s">
        <v>2626</v>
      </c>
      <c r="O3" s="3" t="s">
        <v>2627</v>
      </c>
      <c r="P3" s="3" t="s">
        <v>2628</v>
      </c>
      <c r="Q3" s="3" t="s">
        <v>2629</v>
      </c>
    </row>
    <row r="4" customFormat="false" ht="15" hidden="false" customHeight="false" outlineLevel="0" collapsed="false">
      <c r="A4" s="0" t="s">
        <v>2630</v>
      </c>
      <c r="B4" s="0" t="s">
        <v>73</v>
      </c>
      <c r="C4" s="0" t="s">
        <v>2631</v>
      </c>
      <c r="D4" s="0" t="n">
        <v>58</v>
      </c>
      <c r="E4" s="0" t="n">
        <v>58</v>
      </c>
      <c r="F4" s="0" t="n">
        <v>11</v>
      </c>
      <c r="G4" s="0" t="n">
        <v>23</v>
      </c>
      <c r="H4" s="0" t="n">
        <v>35</v>
      </c>
      <c r="I4" s="0" t="n">
        <v>17</v>
      </c>
      <c r="J4" s="0" t="n">
        <v>41</v>
      </c>
      <c r="K4" s="0" t="n">
        <v>30</v>
      </c>
      <c r="L4" s="0" t="n">
        <v>60</v>
      </c>
      <c r="M4" s="0" t="n">
        <v>72</v>
      </c>
      <c r="N4" s="0" t="n">
        <v>0</v>
      </c>
      <c r="P4" s="0" t="n">
        <v>0</v>
      </c>
      <c r="Q4" s="0" t="s">
        <v>2632</v>
      </c>
    </row>
    <row r="5" customFormat="false" ht="15" hidden="false" customHeight="false" outlineLevel="0" collapsed="false">
      <c r="A5" s="0" t="s">
        <v>69</v>
      </c>
      <c r="B5" s="0" t="s">
        <v>69</v>
      </c>
      <c r="C5" s="0" t="s">
        <v>2633</v>
      </c>
      <c r="D5" s="0" t="n">
        <v>89</v>
      </c>
      <c r="E5" s="0" t="n">
        <v>86</v>
      </c>
      <c r="F5" s="0" t="n">
        <v>12</v>
      </c>
      <c r="G5" s="0" t="n">
        <v>41</v>
      </c>
      <c r="H5" s="0" t="n">
        <v>45</v>
      </c>
      <c r="I5" s="0" t="n">
        <v>35</v>
      </c>
      <c r="J5" s="0" t="n">
        <v>51</v>
      </c>
      <c r="K5" s="0" t="n">
        <v>67</v>
      </c>
      <c r="L5" s="0" t="n">
        <v>29</v>
      </c>
      <c r="M5" s="0" t="n">
        <v>41</v>
      </c>
      <c r="N5" s="0" t="n">
        <v>3</v>
      </c>
      <c r="O5" s="0" t="s">
        <v>2634</v>
      </c>
      <c r="P5" s="0" t="n">
        <v>2</v>
      </c>
      <c r="Q5" s="0" t="s">
        <v>2632</v>
      </c>
    </row>
    <row r="6" customFormat="false" ht="15" hidden="false" customHeight="false" outlineLevel="0" collapsed="false">
      <c r="A6" s="0" t="s">
        <v>41</v>
      </c>
      <c r="B6" s="0" t="s">
        <v>41</v>
      </c>
      <c r="C6" s="0" t="s">
        <v>2635</v>
      </c>
      <c r="D6" s="0" t="n">
        <v>97</v>
      </c>
      <c r="E6" s="0" t="n">
        <v>97</v>
      </c>
      <c r="F6" s="0" t="n">
        <v>12</v>
      </c>
      <c r="G6" s="0" t="n">
        <v>49</v>
      </c>
      <c r="H6" s="0" t="n">
        <v>48</v>
      </c>
      <c r="I6" s="0" t="n">
        <v>39</v>
      </c>
      <c r="J6" s="0" t="n">
        <v>58</v>
      </c>
      <c r="K6" s="0" t="n">
        <v>70</v>
      </c>
      <c r="L6" s="0" t="n">
        <v>21</v>
      </c>
      <c r="M6" s="0" t="n">
        <v>33</v>
      </c>
      <c r="N6" s="0" t="n">
        <v>0</v>
      </c>
      <c r="P6" s="0" t="n">
        <v>3</v>
      </c>
      <c r="Q6" s="0" t="s">
        <v>2632</v>
      </c>
    </row>
    <row r="7" customFormat="false" ht="15" hidden="false" customHeight="false" outlineLevel="0" collapsed="false">
      <c r="A7" s="0" t="s">
        <v>2636</v>
      </c>
      <c r="B7" s="0" t="s">
        <v>27</v>
      </c>
      <c r="C7" s="0" t="s">
        <v>2637</v>
      </c>
      <c r="D7" s="0" t="n">
        <v>118</v>
      </c>
      <c r="E7" s="0" t="n">
        <v>118</v>
      </c>
      <c r="F7" s="0" t="n">
        <v>12</v>
      </c>
      <c r="G7" s="0" t="n">
        <v>60</v>
      </c>
      <c r="H7" s="0" t="n">
        <v>58</v>
      </c>
      <c r="I7" s="0" t="n">
        <v>48</v>
      </c>
      <c r="J7" s="0" t="n">
        <v>70</v>
      </c>
      <c r="K7" s="0" t="n">
        <v>101</v>
      </c>
      <c r="L7" s="0" t="n">
        <v>0</v>
      </c>
      <c r="M7" s="0" t="n">
        <v>12</v>
      </c>
      <c r="N7" s="0" t="n">
        <v>0</v>
      </c>
      <c r="P7" s="0" t="n">
        <v>8</v>
      </c>
      <c r="Q7" s="0" t="s">
        <v>2632</v>
      </c>
    </row>
    <row r="8" customFormat="false" ht="15" hidden="false" customHeight="false" outlineLevel="0" collapsed="false">
      <c r="A8" s="0" t="s">
        <v>2638</v>
      </c>
      <c r="B8" s="0" t="s">
        <v>39</v>
      </c>
      <c r="C8" s="0" t="s">
        <v>2639</v>
      </c>
      <c r="D8" s="0" t="n">
        <v>86</v>
      </c>
      <c r="E8" s="0" t="n">
        <v>86</v>
      </c>
      <c r="F8" s="0" t="n">
        <v>12</v>
      </c>
      <c r="G8" s="0" t="n">
        <v>41</v>
      </c>
      <c r="H8" s="0" t="n">
        <v>45</v>
      </c>
      <c r="I8" s="0" t="n">
        <v>37</v>
      </c>
      <c r="J8" s="0" t="n">
        <v>49</v>
      </c>
      <c r="K8" s="0" t="n">
        <v>60</v>
      </c>
      <c r="L8" s="0" t="n">
        <v>32</v>
      </c>
      <c r="M8" s="0" t="n">
        <v>44</v>
      </c>
      <c r="N8" s="0" t="n">
        <v>0</v>
      </c>
      <c r="P8" s="0" t="n">
        <v>3</v>
      </c>
      <c r="Q8" s="0" t="s">
        <v>2632</v>
      </c>
    </row>
    <row r="9" customFormat="false" ht="15" hidden="false" customHeight="false" outlineLevel="0" collapsed="false">
      <c r="A9" s="0" t="s">
        <v>2640</v>
      </c>
      <c r="B9" s="0" t="s">
        <v>17</v>
      </c>
      <c r="C9" s="0" t="s">
        <v>2641</v>
      </c>
      <c r="D9" s="0" t="n">
        <v>95</v>
      </c>
      <c r="E9" s="0" t="n">
        <v>93</v>
      </c>
      <c r="F9" s="0" t="n">
        <v>12</v>
      </c>
      <c r="G9" s="0" t="n">
        <v>45</v>
      </c>
      <c r="H9" s="0" t="n">
        <v>48</v>
      </c>
      <c r="I9" s="0" t="n">
        <v>39</v>
      </c>
      <c r="J9" s="0" t="n">
        <v>54</v>
      </c>
      <c r="K9" s="0" t="n">
        <v>72</v>
      </c>
      <c r="L9" s="0" t="n">
        <v>23</v>
      </c>
      <c r="M9" s="0" t="n">
        <v>35</v>
      </c>
      <c r="N9" s="0" t="n">
        <v>2</v>
      </c>
      <c r="O9" s="0" t="s">
        <v>2642</v>
      </c>
      <c r="P9" s="0" t="n">
        <v>5</v>
      </c>
      <c r="Q9" s="0" t="s">
        <v>2632</v>
      </c>
    </row>
    <row r="10" customFormat="false" ht="15" hidden="false" customHeight="false" outlineLevel="0" collapsed="false">
      <c r="A10" s="0" t="s">
        <v>2643</v>
      </c>
      <c r="B10" s="0" t="s">
        <v>29</v>
      </c>
      <c r="C10" s="0" t="s">
        <v>333</v>
      </c>
      <c r="D10" s="0" t="n">
        <v>92</v>
      </c>
      <c r="E10" s="0" t="n">
        <v>90</v>
      </c>
      <c r="F10" s="0" t="n">
        <v>12</v>
      </c>
      <c r="G10" s="0" t="n">
        <v>45</v>
      </c>
      <c r="H10" s="0" t="n">
        <v>45</v>
      </c>
      <c r="I10" s="0" t="n">
        <v>35</v>
      </c>
      <c r="J10" s="0" t="n">
        <v>55</v>
      </c>
      <c r="K10" s="0" t="n">
        <v>64</v>
      </c>
      <c r="L10" s="0" t="n">
        <v>26</v>
      </c>
      <c r="M10" s="0" t="n">
        <v>38</v>
      </c>
      <c r="N10" s="0" t="n">
        <v>2</v>
      </c>
      <c r="O10" s="0" t="s">
        <v>2644</v>
      </c>
      <c r="P10" s="0" t="n">
        <v>2</v>
      </c>
      <c r="Q10" s="0" t="s">
        <v>2632</v>
      </c>
    </row>
    <row r="11" customFormat="false" ht="15" hidden="false" customHeight="false" outlineLevel="0" collapsed="false">
      <c r="A11" s="0" t="s">
        <v>2645</v>
      </c>
      <c r="B11" s="0" t="s">
        <v>37</v>
      </c>
      <c r="C11" s="0" t="s">
        <v>330</v>
      </c>
      <c r="D11" s="0" t="n">
        <v>19</v>
      </c>
      <c r="E11" s="0" t="n">
        <v>19</v>
      </c>
      <c r="F11" s="0" t="n">
        <v>4</v>
      </c>
      <c r="G11" s="0" t="n">
        <v>7</v>
      </c>
      <c r="H11" s="0" t="n">
        <v>12</v>
      </c>
      <c r="I11" s="0" t="n">
        <v>6</v>
      </c>
      <c r="J11" s="0" t="n">
        <v>13</v>
      </c>
      <c r="K11" s="0" t="n">
        <v>13</v>
      </c>
      <c r="L11" s="0" t="n">
        <v>99</v>
      </c>
      <c r="M11" s="0" t="n">
        <v>111</v>
      </c>
      <c r="N11" s="0" t="n">
        <v>0</v>
      </c>
      <c r="P11" s="0" t="n">
        <v>1</v>
      </c>
      <c r="Q11" s="0" t="s">
        <v>2632</v>
      </c>
    </row>
    <row r="12" customFormat="false" ht="15" hidden="false" customHeight="false" outlineLevel="0" collapsed="false">
      <c r="A12" s="0" t="s">
        <v>2646</v>
      </c>
      <c r="B12" s="0" t="s">
        <v>23</v>
      </c>
      <c r="C12" s="0" t="s">
        <v>2647</v>
      </c>
      <c r="D12" s="0" t="n">
        <v>19</v>
      </c>
      <c r="E12" s="0" t="n">
        <v>18</v>
      </c>
      <c r="F12" s="0" t="n">
        <v>4</v>
      </c>
      <c r="G12" s="0" t="n">
        <v>7</v>
      </c>
      <c r="H12" s="0" t="n">
        <v>11</v>
      </c>
      <c r="I12" s="0" t="n">
        <v>6</v>
      </c>
      <c r="J12" s="0" t="n">
        <v>12</v>
      </c>
      <c r="K12" s="0" t="n">
        <v>11</v>
      </c>
      <c r="L12" s="0" t="n">
        <v>99</v>
      </c>
      <c r="M12" s="0" t="n">
        <v>111</v>
      </c>
      <c r="N12" s="0" t="n">
        <v>1</v>
      </c>
      <c r="O12" s="0" t="s">
        <v>2648</v>
      </c>
      <c r="P12" s="0" t="n">
        <v>1</v>
      </c>
      <c r="Q12" s="0" t="s">
        <v>2632</v>
      </c>
    </row>
    <row r="13" customFormat="false" ht="15" hidden="false" customHeight="false" outlineLevel="0" collapsed="false">
      <c r="A13" s="0" t="s">
        <v>45</v>
      </c>
      <c r="B13" s="0" t="s">
        <v>45</v>
      </c>
      <c r="C13" s="0" t="s">
        <v>2649</v>
      </c>
      <c r="D13" s="0" t="n">
        <v>6</v>
      </c>
      <c r="E13" s="0" t="n">
        <v>5</v>
      </c>
      <c r="F13" s="0" t="n">
        <v>2</v>
      </c>
      <c r="G13" s="0" t="n">
        <v>0</v>
      </c>
      <c r="H13" s="0" t="n">
        <v>5</v>
      </c>
      <c r="I13" s="0" t="n">
        <v>0</v>
      </c>
      <c r="J13" s="0" t="n">
        <v>5</v>
      </c>
      <c r="K13" s="0" t="n">
        <v>3</v>
      </c>
      <c r="L13" s="0" t="n">
        <v>112</v>
      </c>
      <c r="M13" s="0" t="n">
        <v>124</v>
      </c>
      <c r="N13" s="0" t="n">
        <v>1</v>
      </c>
      <c r="O13" s="0" t="s">
        <v>2650</v>
      </c>
      <c r="P13" s="0" t="n">
        <v>0</v>
      </c>
      <c r="Q13" s="0" t="s">
        <v>2632</v>
      </c>
    </row>
    <row r="14" customFormat="false" ht="15" hidden="false" customHeight="false" outlineLevel="0" collapsed="false">
      <c r="A14" s="0" t="s">
        <v>71</v>
      </c>
      <c r="B14" s="0" t="s">
        <v>71</v>
      </c>
      <c r="C14" s="0" t="s">
        <v>2651</v>
      </c>
      <c r="D14" s="0" t="n">
        <v>10</v>
      </c>
      <c r="E14" s="0" t="n">
        <v>10</v>
      </c>
      <c r="F14" s="0" t="n">
        <v>3</v>
      </c>
      <c r="G14" s="0" t="n">
        <v>5</v>
      </c>
      <c r="H14" s="0" t="n">
        <v>5</v>
      </c>
      <c r="I14" s="0" t="n">
        <v>7</v>
      </c>
      <c r="J14" s="0" t="n">
        <v>3</v>
      </c>
      <c r="K14" s="0" t="n">
        <v>7</v>
      </c>
      <c r="L14" s="0" t="n">
        <v>108</v>
      </c>
      <c r="M14" s="0" t="n">
        <v>120</v>
      </c>
      <c r="N14" s="0" t="n">
        <v>0</v>
      </c>
      <c r="P14" s="0" t="n">
        <v>0</v>
      </c>
      <c r="Q14" s="0" t="s">
        <v>2632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5" min="4" style="0" width="16"/>
    <col collapsed="false" customWidth="true" hidden="false" outlineLevel="0" max="6" min="6" style="0" width="17"/>
    <col collapsed="false" customWidth="true" hidden="false" outlineLevel="0" max="7" min="7" style="0" width="20"/>
    <col collapsed="false" customWidth="true" hidden="false" outlineLevel="0" max="8" min="8" style="0" width="19"/>
    <col collapsed="false" customWidth="true" hidden="false" outlineLevel="0" max="9" min="9" style="0" width="29"/>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3"/>
    <col collapsed="false" customWidth="true" hidden="false" outlineLevel="0" max="15" min="15" style="0" width="28"/>
  </cols>
  <sheetData>
    <row r="1" customFormat="false" ht="15" hidden="false" customHeight="false" outlineLevel="0" collapsed="false">
      <c r="A1" s="2" t="s">
        <v>2652</v>
      </c>
    </row>
    <row r="3" customFormat="false" ht="15" hidden="false" customHeight="false" outlineLevel="0" collapsed="false">
      <c r="A3" s="3" t="s">
        <v>50</v>
      </c>
      <c r="B3" s="3" t="s">
        <v>51</v>
      </c>
      <c r="C3" s="3" t="s">
        <v>2653</v>
      </c>
      <c r="D3" s="3" t="s">
        <v>2654</v>
      </c>
      <c r="E3" s="3" t="s">
        <v>2655</v>
      </c>
      <c r="F3" s="3" t="s">
        <v>2569</v>
      </c>
      <c r="G3" s="3" t="s">
        <v>2656</v>
      </c>
      <c r="H3" s="3" t="s">
        <v>2657</v>
      </c>
      <c r="I3" s="3" t="s">
        <v>2658</v>
      </c>
      <c r="J3" s="3" t="s">
        <v>2659</v>
      </c>
      <c r="K3" s="3" t="s">
        <v>2568</v>
      </c>
      <c r="L3" s="3" t="s">
        <v>2660</v>
      </c>
      <c r="M3" s="3" t="s">
        <v>2661</v>
      </c>
      <c r="N3" s="3" t="s">
        <v>2662</v>
      </c>
      <c r="O3" s="3" t="s">
        <v>2663</v>
      </c>
    </row>
    <row r="4" customFormat="false" ht="15" hidden="false" customHeight="false" outlineLevel="0" collapsed="false">
      <c r="A4" s="0" t="s">
        <v>77</v>
      </c>
      <c r="B4" s="0" t="n">
        <v>2013</v>
      </c>
      <c r="C4" s="0" t="s">
        <v>521</v>
      </c>
      <c r="E4" s="0" t="s">
        <v>2664</v>
      </c>
      <c r="F4" s="0" t="s">
        <v>81</v>
      </c>
      <c r="G4" s="0" t="s">
        <v>2665</v>
      </c>
      <c r="H4" s="0" t="s">
        <v>2351</v>
      </c>
      <c r="I4" s="0" t="s">
        <v>2351</v>
      </c>
      <c r="J4" s="0" t="s">
        <v>2666</v>
      </c>
      <c r="L4" s="0" t="n">
        <v>0</v>
      </c>
    </row>
    <row r="5" customFormat="false" ht="15" hidden="false" customHeight="false" outlineLevel="0" collapsed="false">
      <c r="A5" s="0" t="s">
        <v>77</v>
      </c>
      <c r="B5" s="0" t="n">
        <v>2014</v>
      </c>
      <c r="C5" s="0" t="s">
        <v>521</v>
      </c>
      <c r="E5" s="0" t="s">
        <v>2664</v>
      </c>
      <c r="F5" s="0" t="s">
        <v>81</v>
      </c>
      <c r="G5" s="0" t="s">
        <v>2665</v>
      </c>
      <c r="H5" s="0" t="s">
        <v>2351</v>
      </c>
      <c r="I5" s="0" t="s">
        <v>2351</v>
      </c>
      <c r="J5" s="0" t="s">
        <v>2666</v>
      </c>
      <c r="L5" s="0" t="n">
        <v>0</v>
      </c>
    </row>
    <row r="6" customFormat="false" ht="15" hidden="false" customHeight="false" outlineLevel="0" collapsed="false">
      <c r="A6" s="0" t="s">
        <v>77</v>
      </c>
      <c r="B6" s="0" t="n">
        <v>2015</v>
      </c>
      <c r="C6" s="0" t="s">
        <v>2667</v>
      </c>
      <c r="D6" s="0" t="s">
        <v>2025</v>
      </c>
      <c r="E6" s="0" t="s">
        <v>2668</v>
      </c>
      <c r="F6" s="0" t="s">
        <v>84</v>
      </c>
      <c r="G6" s="0" t="s">
        <v>2665</v>
      </c>
      <c r="H6" s="0" t="s">
        <v>2351</v>
      </c>
      <c r="I6" s="0" t="s">
        <v>2351</v>
      </c>
      <c r="J6" s="0" t="s">
        <v>2669</v>
      </c>
      <c r="L6" s="0" t="n">
        <v>0</v>
      </c>
    </row>
    <row r="7" customFormat="false" ht="15" hidden="false" customHeight="false" outlineLevel="0" collapsed="false">
      <c r="A7" s="0" t="s">
        <v>77</v>
      </c>
      <c r="B7" s="0" t="n">
        <v>2016</v>
      </c>
      <c r="C7" s="0" t="s">
        <v>2667</v>
      </c>
      <c r="D7" s="0" t="s">
        <v>2035</v>
      </c>
      <c r="E7" s="0" t="s">
        <v>2670</v>
      </c>
      <c r="F7" s="0" t="s">
        <v>87</v>
      </c>
      <c r="G7" s="0" t="s">
        <v>2665</v>
      </c>
      <c r="H7" s="0" t="s">
        <v>2351</v>
      </c>
      <c r="I7" s="0" t="s">
        <v>2351</v>
      </c>
      <c r="J7" s="0" t="s">
        <v>2669</v>
      </c>
      <c r="L7" s="0" t="n">
        <v>0</v>
      </c>
    </row>
    <row r="8" customFormat="false" ht="15" hidden="false" customHeight="false" outlineLevel="0" collapsed="false">
      <c r="A8" s="0" t="s">
        <v>77</v>
      </c>
      <c r="B8" s="0" t="n">
        <v>2017</v>
      </c>
      <c r="C8" s="0" t="s">
        <v>2667</v>
      </c>
      <c r="D8" s="0" t="s">
        <v>2044</v>
      </c>
      <c r="E8" s="0" t="s">
        <v>2671</v>
      </c>
      <c r="F8" s="0" t="s">
        <v>89</v>
      </c>
      <c r="G8" s="0" t="s">
        <v>2665</v>
      </c>
      <c r="H8" s="0" t="s">
        <v>2351</v>
      </c>
      <c r="I8" s="0" t="s">
        <v>2351</v>
      </c>
      <c r="J8" s="0" t="s">
        <v>2669</v>
      </c>
      <c r="L8" s="0" t="n">
        <v>0</v>
      </c>
    </row>
    <row r="9" customFormat="false" ht="15" hidden="false" customHeight="false" outlineLevel="0" collapsed="false">
      <c r="A9" s="0" t="s">
        <v>77</v>
      </c>
      <c r="B9" s="0" t="n">
        <v>2018</v>
      </c>
      <c r="C9" s="0" t="s">
        <v>2667</v>
      </c>
      <c r="D9" s="0" t="s">
        <v>2064</v>
      </c>
      <c r="E9" s="0" t="s">
        <v>2672</v>
      </c>
      <c r="F9" s="0" t="s">
        <v>92</v>
      </c>
      <c r="G9" s="0" t="s">
        <v>2673</v>
      </c>
      <c r="H9" s="0" t="s">
        <v>2351</v>
      </c>
      <c r="I9" s="0" t="s">
        <v>2345</v>
      </c>
      <c r="J9" s="0" t="s">
        <v>2674</v>
      </c>
      <c r="K9" s="0" t="s">
        <v>1658</v>
      </c>
      <c r="L9" s="0" t="n">
        <v>0</v>
      </c>
    </row>
    <row r="10" customFormat="false" ht="15" hidden="false" customHeight="false" outlineLevel="0" collapsed="false">
      <c r="A10" s="0" t="s">
        <v>77</v>
      </c>
      <c r="B10" s="0" t="n">
        <v>2019</v>
      </c>
      <c r="C10" s="0" t="s">
        <v>2667</v>
      </c>
      <c r="D10" s="0" t="s">
        <v>2064</v>
      </c>
      <c r="E10" s="0" t="s">
        <v>2672</v>
      </c>
      <c r="F10" s="0" t="s">
        <v>93</v>
      </c>
      <c r="G10" s="0" t="s">
        <v>2665</v>
      </c>
      <c r="H10" s="0" t="s">
        <v>2351</v>
      </c>
      <c r="I10" s="0" t="s">
        <v>2351</v>
      </c>
      <c r="J10" s="0" t="s">
        <v>2669</v>
      </c>
      <c r="L10" s="0" t="n">
        <v>0</v>
      </c>
    </row>
    <row r="11" customFormat="false" ht="15" hidden="false" customHeight="false" outlineLevel="0" collapsed="false">
      <c r="A11" s="0" t="s">
        <v>77</v>
      </c>
      <c r="B11" s="0" t="n">
        <v>2020</v>
      </c>
      <c r="C11" s="0" t="s">
        <v>2667</v>
      </c>
      <c r="D11" s="0" t="s">
        <v>2053</v>
      </c>
      <c r="E11" s="0" t="s">
        <v>2675</v>
      </c>
      <c r="F11" s="0" t="s">
        <v>95</v>
      </c>
      <c r="G11" s="0" t="s">
        <v>2665</v>
      </c>
      <c r="H11" s="0" t="s">
        <v>2351</v>
      </c>
      <c r="I11" s="0" t="s">
        <v>2351</v>
      </c>
      <c r="J11" s="0" t="s">
        <v>2669</v>
      </c>
      <c r="L11" s="0" t="n">
        <v>0</v>
      </c>
    </row>
    <row r="12" customFormat="false" ht="15" hidden="false" customHeight="false" outlineLevel="0" collapsed="false">
      <c r="A12" s="0" t="s">
        <v>77</v>
      </c>
      <c r="B12" s="0" t="n">
        <v>2021</v>
      </c>
      <c r="C12" s="0" t="s">
        <v>2667</v>
      </c>
      <c r="D12" s="0" t="s">
        <v>2074</v>
      </c>
      <c r="E12" s="0" t="s">
        <v>2676</v>
      </c>
      <c r="F12" s="0" t="s">
        <v>97</v>
      </c>
      <c r="G12" s="0" t="s">
        <v>2665</v>
      </c>
      <c r="H12" s="0" t="s">
        <v>2351</v>
      </c>
      <c r="I12" s="0" t="s">
        <v>2351</v>
      </c>
      <c r="J12" s="0" t="s">
        <v>2669</v>
      </c>
      <c r="L12" s="0" t="n">
        <v>0</v>
      </c>
    </row>
    <row r="13" customFormat="false" ht="15" hidden="false" customHeight="false" outlineLevel="0" collapsed="false">
      <c r="A13" s="0" t="s">
        <v>77</v>
      </c>
      <c r="B13" s="0" t="n">
        <v>2022</v>
      </c>
      <c r="C13" s="0" t="s">
        <v>2667</v>
      </c>
      <c r="D13" s="0" t="s">
        <v>2221</v>
      </c>
      <c r="E13" s="0" t="s">
        <v>2677</v>
      </c>
      <c r="F13" s="0" t="s">
        <v>99</v>
      </c>
      <c r="G13" s="0" t="s">
        <v>2665</v>
      </c>
      <c r="H13" s="0" t="s">
        <v>2351</v>
      </c>
      <c r="I13" s="0" t="s">
        <v>2351</v>
      </c>
      <c r="J13" s="0" t="s">
        <v>2669</v>
      </c>
      <c r="L13" s="0" t="n">
        <v>0</v>
      </c>
    </row>
    <row r="14" customFormat="false" ht="15" hidden="false" customHeight="false" outlineLevel="0" collapsed="false">
      <c r="A14" s="0" t="s">
        <v>100</v>
      </c>
      <c r="B14" s="0" t="n">
        <v>2013</v>
      </c>
      <c r="C14" s="0" t="s">
        <v>2667</v>
      </c>
      <c r="D14" s="0" t="s">
        <v>2233</v>
      </c>
      <c r="E14" s="0" t="s">
        <v>2678</v>
      </c>
      <c r="F14" s="0" t="s">
        <v>103</v>
      </c>
      <c r="G14" s="0" t="s">
        <v>2665</v>
      </c>
      <c r="H14" s="0" t="s">
        <v>2351</v>
      </c>
      <c r="I14" s="0" t="s">
        <v>2351</v>
      </c>
      <c r="J14" s="0" t="s">
        <v>2669</v>
      </c>
      <c r="L14" s="0" t="n">
        <v>0</v>
      </c>
    </row>
    <row r="15" customFormat="false" ht="15" hidden="false" customHeight="false" outlineLevel="0" collapsed="false">
      <c r="A15" s="0" t="s">
        <v>100</v>
      </c>
      <c r="B15" s="0" t="n">
        <v>2014</v>
      </c>
      <c r="C15" s="0" t="s">
        <v>2667</v>
      </c>
      <c r="D15" s="0" t="s">
        <v>2244</v>
      </c>
      <c r="E15" s="0" t="s">
        <v>2679</v>
      </c>
      <c r="F15" s="0" t="s">
        <v>105</v>
      </c>
      <c r="G15" s="0" t="s">
        <v>2665</v>
      </c>
      <c r="H15" s="0" t="s">
        <v>2351</v>
      </c>
      <c r="I15" s="0" t="s">
        <v>2351</v>
      </c>
      <c r="J15" s="0" t="s">
        <v>2669</v>
      </c>
      <c r="L15" s="0" t="n">
        <v>0</v>
      </c>
    </row>
    <row r="16" customFormat="false" ht="15" hidden="false" customHeight="false" outlineLevel="0" collapsed="false">
      <c r="A16" s="0" t="s">
        <v>100</v>
      </c>
      <c r="B16" s="0" t="n">
        <v>2015</v>
      </c>
      <c r="C16" s="0" t="s">
        <v>2667</v>
      </c>
      <c r="D16" s="0" t="s">
        <v>2248</v>
      </c>
      <c r="E16" s="0" t="s">
        <v>2680</v>
      </c>
      <c r="F16" s="0" t="s">
        <v>84</v>
      </c>
      <c r="G16" s="0" t="s">
        <v>2665</v>
      </c>
      <c r="H16" s="0" t="s">
        <v>2351</v>
      </c>
      <c r="I16" s="0" t="s">
        <v>2351</v>
      </c>
      <c r="J16" s="0" t="s">
        <v>2669</v>
      </c>
      <c r="L16" s="0" t="n">
        <v>0</v>
      </c>
    </row>
    <row r="17" customFormat="false" ht="15" hidden="false" customHeight="false" outlineLevel="0" collapsed="false">
      <c r="A17" s="0" t="s">
        <v>100</v>
      </c>
      <c r="B17" s="0" t="n">
        <v>2016</v>
      </c>
      <c r="C17" s="0" t="s">
        <v>521</v>
      </c>
      <c r="E17" s="0" t="s">
        <v>2681</v>
      </c>
      <c r="F17" s="0" t="s">
        <v>81</v>
      </c>
      <c r="G17" s="0" t="s">
        <v>2665</v>
      </c>
      <c r="H17" s="0" t="s">
        <v>2351</v>
      </c>
      <c r="I17" s="0" t="s">
        <v>2351</v>
      </c>
      <c r="J17" s="0" t="s">
        <v>2666</v>
      </c>
      <c r="L17" s="0" t="n">
        <v>0</v>
      </c>
    </row>
    <row r="18" customFormat="false" ht="15" hidden="false" customHeight="false" outlineLevel="0" collapsed="false">
      <c r="A18" s="0" t="s">
        <v>100</v>
      </c>
      <c r="B18" s="0" t="n">
        <v>2017</v>
      </c>
      <c r="C18" s="0" t="s">
        <v>521</v>
      </c>
      <c r="E18" s="0" t="s">
        <v>2681</v>
      </c>
      <c r="F18" s="0" t="s">
        <v>81</v>
      </c>
      <c r="G18" s="0" t="s">
        <v>2665</v>
      </c>
      <c r="H18" s="0" t="s">
        <v>2351</v>
      </c>
      <c r="I18" s="0" t="s">
        <v>2351</v>
      </c>
      <c r="J18" s="0" t="s">
        <v>2666</v>
      </c>
      <c r="L18" s="0" t="n">
        <v>0</v>
      </c>
    </row>
    <row r="19" customFormat="false" ht="15" hidden="false" customHeight="false" outlineLevel="0" collapsed="false">
      <c r="A19" s="0" t="s">
        <v>100</v>
      </c>
      <c r="B19" s="0" t="n">
        <v>2018</v>
      </c>
      <c r="C19" s="0" t="s">
        <v>2667</v>
      </c>
      <c r="D19" s="0" t="s">
        <v>2253</v>
      </c>
      <c r="E19" s="0" t="s">
        <v>2682</v>
      </c>
      <c r="F19" s="0" t="s">
        <v>109</v>
      </c>
      <c r="G19" s="0" t="s">
        <v>2665</v>
      </c>
      <c r="H19" s="0" t="s">
        <v>2351</v>
      </c>
      <c r="I19" s="0" t="s">
        <v>2351</v>
      </c>
      <c r="J19" s="0" t="s">
        <v>2669</v>
      </c>
      <c r="L19" s="0" t="n">
        <v>2</v>
      </c>
      <c r="M19" s="0" t="s">
        <v>2683</v>
      </c>
    </row>
    <row r="20" customFormat="false" ht="15" hidden="false" customHeight="false" outlineLevel="0" collapsed="false">
      <c r="A20" s="0" t="s">
        <v>100</v>
      </c>
      <c r="B20" s="0" t="n">
        <v>2019</v>
      </c>
      <c r="C20" s="0" t="s">
        <v>2667</v>
      </c>
      <c r="D20" s="0" t="s">
        <v>2258</v>
      </c>
      <c r="E20" s="0" t="s">
        <v>2684</v>
      </c>
      <c r="F20" s="0" t="s">
        <v>93</v>
      </c>
      <c r="G20" s="0" t="s">
        <v>2665</v>
      </c>
      <c r="H20" s="0" t="s">
        <v>2351</v>
      </c>
      <c r="I20" s="0" t="s">
        <v>2351</v>
      </c>
      <c r="J20" s="0" t="s">
        <v>2669</v>
      </c>
      <c r="L20" s="0" t="n">
        <v>0</v>
      </c>
    </row>
    <row r="21" customFormat="false" ht="15" hidden="false" customHeight="false" outlineLevel="0" collapsed="false">
      <c r="A21" s="0" t="s">
        <v>100</v>
      </c>
      <c r="B21" s="0" t="n">
        <v>2020</v>
      </c>
      <c r="C21" s="0" t="s">
        <v>2667</v>
      </c>
      <c r="D21" s="0" t="s">
        <v>2263</v>
      </c>
      <c r="E21" s="0" t="s">
        <v>2685</v>
      </c>
      <c r="F21" s="0" t="s">
        <v>95</v>
      </c>
      <c r="G21" s="0" t="s">
        <v>2665</v>
      </c>
      <c r="H21" s="0" t="s">
        <v>2351</v>
      </c>
      <c r="I21" s="0" t="s">
        <v>2351</v>
      </c>
      <c r="J21" s="0" t="s">
        <v>2669</v>
      </c>
      <c r="L21" s="0" t="n">
        <v>2</v>
      </c>
      <c r="M21" s="0" t="s">
        <v>2686</v>
      </c>
    </row>
    <row r="22" customFormat="false" ht="15" hidden="false" customHeight="false" outlineLevel="0" collapsed="false">
      <c r="A22" s="0" t="s">
        <v>100</v>
      </c>
      <c r="B22" s="0" t="n">
        <v>2021</v>
      </c>
      <c r="C22" s="0" t="s">
        <v>2667</v>
      </c>
      <c r="D22" s="0" t="s">
        <v>2269</v>
      </c>
      <c r="E22" s="0" t="s">
        <v>2687</v>
      </c>
      <c r="F22" s="0" t="s">
        <v>97</v>
      </c>
      <c r="G22" s="0" t="s">
        <v>2665</v>
      </c>
      <c r="H22" s="0" t="s">
        <v>2351</v>
      </c>
      <c r="I22" s="0" t="s">
        <v>2351</v>
      </c>
      <c r="J22" s="0" t="s">
        <v>2669</v>
      </c>
      <c r="L22" s="0" t="n">
        <v>1</v>
      </c>
      <c r="M22" s="0" t="s">
        <v>58</v>
      </c>
    </row>
    <row r="23" customFormat="false" ht="15" hidden="false" customHeight="false" outlineLevel="0" collapsed="false">
      <c r="A23" s="0" t="s">
        <v>100</v>
      </c>
      <c r="B23" s="0" t="n">
        <v>2022</v>
      </c>
      <c r="C23" s="0" t="s">
        <v>2667</v>
      </c>
      <c r="D23" s="0" t="s">
        <v>2275</v>
      </c>
      <c r="E23" s="0" t="s">
        <v>2688</v>
      </c>
      <c r="F23" s="0" t="s">
        <v>114</v>
      </c>
      <c r="G23" s="0" t="s">
        <v>2665</v>
      </c>
      <c r="H23" s="0" t="s">
        <v>2351</v>
      </c>
      <c r="I23" s="0" t="s">
        <v>2351</v>
      </c>
      <c r="J23" s="0" t="s">
        <v>2669</v>
      </c>
      <c r="L23" s="0" t="n">
        <v>0</v>
      </c>
    </row>
    <row r="24" customFormat="false" ht="15" hidden="false" customHeight="false" outlineLevel="0" collapsed="false">
      <c r="A24" s="0" t="s">
        <v>115</v>
      </c>
      <c r="B24" s="0" t="n">
        <v>2013</v>
      </c>
      <c r="C24" s="0" t="s">
        <v>521</v>
      </c>
      <c r="E24" s="0" t="s">
        <v>2689</v>
      </c>
      <c r="F24" s="0" t="s">
        <v>81</v>
      </c>
      <c r="G24" s="0" t="s">
        <v>2665</v>
      </c>
      <c r="H24" s="0" t="s">
        <v>2351</v>
      </c>
      <c r="I24" s="0" t="s">
        <v>2351</v>
      </c>
      <c r="J24" s="0" t="s">
        <v>2666</v>
      </c>
      <c r="L24" s="0" t="n">
        <v>0</v>
      </c>
    </row>
    <row r="25" customFormat="false" ht="15" hidden="false" customHeight="false" outlineLevel="0" collapsed="false">
      <c r="A25" s="0" t="s">
        <v>115</v>
      </c>
      <c r="B25" s="0" t="n">
        <v>2014</v>
      </c>
      <c r="C25" s="0" t="s">
        <v>2667</v>
      </c>
      <c r="D25" s="0" t="s">
        <v>1945</v>
      </c>
      <c r="E25" s="0" t="s">
        <v>2690</v>
      </c>
      <c r="F25" s="0" t="s">
        <v>105</v>
      </c>
      <c r="G25" s="0" t="s">
        <v>2665</v>
      </c>
      <c r="H25" s="0" t="s">
        <v>2351</v>
      </c>
      <c r="I25" s="0" t="s">
        <v>2351</v>
      </c>
      <c r="J25" s="0" t="s">
        <v>2669</v>
      </c>
      <c r="L25" s="0" t="n">
        <v>0</v>
      </c>
    </row>
    <row r="26" customFormat="false" ht="15" hidden="false" customHeight="false" outlineLevel="0" collapsed="false">
      <c r="A26" s="0" t="s">
        <v>115</v>
      </c>
      <c r="B26" s="0" t="n">
        <v>2015</v>
      </c>
      <c r="C26" s="0" t="s">
        <v>2667</v>
      </c>
      <c r="D26" s="0" t="s">
        <v>1956</v>
      </c>
      <c r="E26" s="0" t="s">
        <v>2691</v>
      </c>
      <c r="F26" s="0" t="s">
        <v>84</v>
      </c>
      <c r="G26" s="0" t="s">
        <v>2665</v>
      </c>
      <c r="H26" s="0" t="s">
        <v>2351</v>
      </c>
      <c r="I26" s="0" t="s">
        <v>2351</v>
      </c>
      <c r="J26" s="0" t="s">
        <v>2669</v>
      </c>
      <c r="L26" s="0" t="n">
        <v>0</v>
      </c>
    </row>
    <row r="27" customFormat="false" ht="15" hidden="false" customHeight="false" outlineLevel="0" collapsed="false">
      <c r="A27" s="0" t="s">
        <v>115</v>
      </c>
      <c r="B27" s="0" t="n">
        <v>2016</v>
      </c>
      <c r="C27" s="0" t="s">
        <v>2667</v>
      </c>
      <c r="D27" s="0" t="s">
        <v>1967</v>
      </c>
      <c r="E27" s="0" t="s">
        <v>2692</v>
      </c>
      <c r="F27" s="0" t="s">
        <v>87</v>
      </c>
      <c r="G27" s="0" t="s">
        <v>2665</v>
      </c>
      <c r="H27" s="0" t="s">
        <v>2351</v>
      </c>
      <c r="I27" s="0" t="s">
        <v>2351</v>
      </c>
      <c r="J27" s="0" t="s">
        <v>2669</v>
      </c>
      <c r="L27" s="0" t="n">
        <v>1</v>
      </c>
      <c r="M27" s="0" t="s">
        <v>69</v>
      </c>
    </row>
    <row r="28" customFormat="false" ht="15" hidden="false" customHeight="false" outlineLevel="0" collapsed="false">
      <c r="A28" s="0" t="s">
        <v>115</v>
      </c>
      <c r="B28" s="0" t="n">
        <v>2017</v>
      </c>
      <c r="C28" s="0" t="s">
        <v>2667</v>
      </c>
      <c r="D28" s="0" t="s">
        <v>1978</v>
      </c>
      <c r="E28" s="0" t="s">
        <v>2693</v>
      </c>
      <c r="F28" s="0" t="s">
        <v>89</v>
      </c>
      <c r="G28" s="0" t="s">
        <v>2665</v>
      </c>
      <c r="H28" s="0" t="s">
        <v>2351</v>
      </c>
      <c r="I28" s="0" t="s">
        <v>2351</v>
      </c>
      <c r="J28" s="0" t="s">
        <v>2669</v>
      </c>
      <c r="L28" s="0" t="n">
        <v>0</v>
      </c>
    </row>
    <row r="29" customFormat="false" ht="15" hidden="false" customHeight="false" outlineLevel="0" collapsed="false">
      <c r="A29" s="0" t="s">
        <v>115</v>
      </c>
      <c r="B29" s="0" t="n">
        <v>2018</v>
      </c>
      <c r="C29" s="0" t="s">
        <v>521</v>
      </c>
      <c r="E29" s="0" t="s">
        <v>2694</v>
      </c>
      <c r="F29" s="0" t="s">
        <v>81</v>
      </c>
      <c r="G29" s="0" t="s">
        <v>2665</v>
      </c>
      <c r="H29" s="0" t="s">
        <v>2351</v>
      </c>
      <c r="I29" s="0" t="s">
        <v>2351</v>
      </c>
      <c r="J29" s="0" t="s">
        <v>2666</v>
      </c>
      <c r="L29" s="0" t="n">
        <v>0</v>
      </c>
    </row>
    <row r="30" customFormat="false" ht="15" hidden="false" customHeight="false" outlineLevel="0" collapsed="false">
      <c r="A30" s="0" t="s">
        <v>115</v>
      </c>
      <c r="B30" s="0" t="n">
        <v>2019</v>
      </c>
      <c r="C30" s="0" t="s">
        <v>521</v>
      </c>
      <c r="E30" s="0" t="s">
        <v>2694</v>
      </c>
      <c r="F30" s="0" t="s">
        <v>81</v>
      </c>
      <c r="G30" s="0" t="s">
        <v>2665</v>
      </c>
      <c r="H30" s="0" t="s">
        <v>2351</v>
      </c>
      <c r="I30" s="0" t="s">
        <v>2351</v>
      </c>
      <c r="J30" s="0" t="s">
        <v>2666</v>
      </c>
      <c r="L30" s="0" t="n">
        <v>0</v>
      </c>
    </row>
    <row r="31" customFormat="false" ht="15" hidden="false" customHeight="false" outlineLevel="0" collapsed="false">
      <c r="A31" s="0" t="s">
        <v>115</v>
      </c>
      <c r="B31" s="0" t="n">
        <v>2020</v>
      </c>
      <c r="C31" s="0" t="s">
        <v>2667</v>
      </c>
      <c r="D31" s="0" t="s">
        <v>1989</v>
      </c>
      <c r="E31" s="0" t="s">
        <v>2695</v>
      </c>
      <c r="F31" s="0" t="s">
        <v>95</v>
      </c>
      <c r="G31" s="0" t="s">
        <v>2665</v>
      </c>
      <c r="H31" s="0" t="s">
        <v>2351</v>
      </c>
      <c r="I31" s="0" t="s">
        <v>2351</v>
      </c>
      <c r="J31" s="0" t="s">
        <v>2669</v>
      </c>
      <c r="L31" s="0" t="n">
        <v>0</v>
      </c>
    </row>
    <row r="32" customFormat="false" ht="15" hidden="false" customHeight="false" outlineLevel="0" collapsed="false">
      <c r="A32" s="0" t="s">
        <v>115</v>
      </c>
      <c r="B32" s="0" t="n">
        <v>2021</v>
      </c>
      <c r="C32" s="0" t="s">
        <v>2667</v>
      </c>
      <c r="D32" s="0" t="s">
        <v>1896</v>
      </c>
      <c r="E32" s="0" t="s">
        <v>1895</v>
      </c>
      <c r="F32" s="0" t="s">
        <v>124</v>
      </c>
      <c r="G32" s="0" t="s">
        <v>2673</v>
      </c>
      <c r="H32" s="0" t="s">
        <v>2345</v>
      </c>
      <c r="I32" s="0" t="s">
        <v>2345</v>
      </c>
      <c r="J32" s="0" t="s">
        <v>2674</v>
      </c>
      <c r="K32" s="0" t="s">
        <v>1641</v>
      </c>
      <c r="L32" s="0" t="n">
        <v>0</v>
      </c>
    </row>
    <row r="33" customFormat="false" ht="15" hidden="false" customHeight="false" outlineLevel="0" collapsed="false">
      <c r="A33" s="0" t="s">
        <v>115</v>
      </c>
      <c r="B33" s="0" t="n">
        <v>2022</v>
      </c>
      <c r="C33" s="0" t="s">
        <v>2667</v>
      </c>
      <c r="D33" s="0" t="s">
        <v>1896</v>
      </c>
      <c r="E33" s="0" t="s">
        <v>1895</v>
      </c>
      <c r="F33" s="0" t="s">
        <v>114</v>
      </c>
      <c r="G33" s="0" t="s">
        <v>2665</v>
      </c>
      <c r="H33" s="0" t="s">
        <v>2351</v>
      </c>
      <c r="I33" s="0" t="s">
        <v>2351</v>
      </c>
      <c r="J33" s="0" t="s">
        <v>2669</v>
      </c>
      <c r="L33" s="0" t="n">
        <v>0</v>
      </c>
    </row>
    <row r="34" customFormat="false" ht="15" hidden="false" customHeight="false" outlineLevel="0" collapsed="false">
      <c r="A34" s="0" t="s">
        <v>125</v>
      </c>
      <c r="B34" s="0" t="n">
        <v>2013</v>
      </c>
      <c r="C34" s="0" t="s">
        <v>521</v>
      </c>
      <c r="E34" s="0" t="s">
        <v>2696</v>
      </c>
      <c r="F34" s="0" t="s">
        <v>81</v>
      </c>
      <c r="G34" s="0" t="s">
        <v>2665</v>
      </c>
      <c r="H34" s="0" t="s">
        <v>2351</v>
      </c>
      <c r="I34" s="0" t="s">
        <v>2351</v>
      </c>
      <c r="J34" s="0" t="s">
        <v>2666</v>
      </c>
      <c r="L34" s="0" t="n">
        <v>0</v>
      </c>
    </row>
    <row r="35" customFormat="false" ht="15" hidden="false" customHeight="false" outlineLevel="0" collapsed="false">
      <c r="A35" s="0" t="s">
        <v>125</v>
      </c>
      <c r="B35" s="0" t="n">
        <v>2014</v>
      </c>
      <c r="C35" s="0" t="s">
        <v>521</v>
      </c>
      <c r="E35" s="0" t="s">
        <v>2696</v>
      </c>
      <c r="F35" s="0" t="s">
        <v>81</v>
      </c>
      <c r="G35" s="0" t="s">
        <v>2665</v>
      </c>
      <c r="H35" s="0" t="s">
        <v>2351</v>
      </c>
      <c r="I35" s="0" t="s">
        <v>2351</v>
      </c>
      <c r="J35" s="0" t="s">
        <v>2666</v>
      </c>
      <c r="L35" s="0" t="n">
        <v>0</v>
      </c>
    </row>
    <row r="36" customFormat="false" ht="15" hidden="false" customHeight="false" outlineLevel="0" collapsed="false">
      <c r="A36" s="0" t="s">
        <v>125</v>
      </c>
      <c r="B36" s="0" t="n">
        <v>2015</v>
      </c>
      <c r="C36" s="0" t="s">
        <v>2667</v>
      </c>
      <c r="D36" s="0" t="s">
        <v>2531</v>
      </c>
      <c r="E36" s="0" t="s">
        <v>2697</v>
      </c>
      <c r="F36" s="0" t="s">
        <v>84</v>
      </c>
      <c r="G36" s="0" t="s">
        <v>2665</v>
      </c>
      <c r="H36" s="0" t="s">
        <v>2351</v>
      </c>
      <c r="I36" s="0" t="s">
        <v>2351</v>
      </c>
      <c r="J36" s="0" t="s">
        <v>2669</v>
      </c>
      <c r="L36" s="0" t="n">
        <v>0</v>
      </c>
    </row>
    <row r="37" customFormat="false" ht="15" hidden="false" customHeight="false" outlineLevel="0" collapsed="false">
      <c r="A37" s="0" t="s">
        <v>125</v>
      </c>
      <c r="B37" s="0" t="n">
        <v>2016</v>
      </c>
      <c r="C37" s="0" t="s">
        <v>2667</v>
      </c>
      <c r="D37" s="0" t="s">
        <v>2429</v>
      </c>
      <c r="E37" s="0" t="s">
        <v>2698</v>
      </c>
      <c r="F37" s="0" t="s">
        <v>129</v>
      </c>
      <c r="G37" s="0" t="s">
        <v>2673</v>
      </c>
      <c r="H37" s="0" t="s">
        <v>2351</v>
      </c>
      <c r="I37" s="0" t="s">
        <v>2351</v>
      </c>
      <c r="J37" s="0" t="s">
        <v>2669</v>
      </c>
      <c r="L37" s="0" t="n">
        <v>2</v>
      </c>
      <c r="M37" s="0" t="s">
        <v>2699</v>
      </c>
    </row>
    <row r="38" customFormat="false" ht="15" hidden="false" customHeight="false" outlineLevel="0" collapsed="false">
      <c r="A38" s="0" t="s">
        <v>125</v>
      </c>
      <c r="B38" s="0" t="n">
        <v>2017</v>
      </c>
      <c r="C38" s="0" t="s">
        <v>2667</v>
      </c>
      <c r="D38" s="0" t="s">
        <v>2429</v>
      </c>
      <c r="E38" s="0" t="s">
        <v>2698</v>
      </c>
      <c r="F38" s="0" t="s">
        <v>130</v>
      </c>
      <c r="G38" s="0" t="s">
        <v>2665</v>
      </c>
      <c r="H38" s="0" t="s">
        <v>2351</v>
      </c>
      <c r="I38" s="0" t="s">
        <v>2351</v>
      </c>
      <c r="J38" s="0" t="s">
        <v>2669</v>
      </c>
      <c r="L38" s="0" t="n">
        <v>0</v>
      </c>
    </row>
    <row r="39" customFormat="false" ht="15" hidden="false" customHeight="false" outlineLevel="0" collapsed="false">
      <c r="A39" s="0" t="s">
        <v>125</v>
      </c>
      <c r="B39" s="0" t="n">
        <v>2018</v>
      </c>
      <c r="C39" s="0" t="s">
        <v>2667</v>
      </c>
      <c r="D39" s="0" t="s">
        <v>2313</v>
      </c>
      <c r="E39" s="0" t="s">
        <v>2700</v>
      </c>
      <c r="F39" s="0" t="s">
        <v>132</v>
      </c>
      <c r="G39" s="0" t="s">
        <v>2665</v>
      </c>
      <c r="H39" s="0" t="s">
        <v>2351</v>
      </c>
      <c r="I39" s="0" t="s">
        <v>2351</v>
      </c>
      <c r="J39" s="0" t="s">
        <v>2669</v>
      </c>
      <c r="L39" s="0" t="n">
        <v>2</v>
      </c>
      <c r="M39" s="0" t="s">
        <v>2701</v>
      </c>
    </row>
    <row r="40" customFormat="false" ht="15" hidden="false" customHeight="false" outlineLevel="0" collapsed="false">
      <c r="A40" s="0" t="s">
        <v>125</v>
      </c>
      <c r="B40" s="0" t="n">
        <v>2019</v>
      </c>
      <c r="C40" s="0" t="s">
        <v>2667</v>
      </c>
      <c r="D40" s="0" t="s">
        <v>2313</v>
      </c>
      <c r="E40" s="0" t="s">
        <v>2702</v>
      </c>
      <c r="F40" s="0" t="s">
        <v>133</v>
      </c>
      <c r="G40" s="0" t="s">
        <v>2665</v>
      </c>
      <c r="H40" s="0" t="s">
        <v>2351</v>
      </c>
      <c r="I40" s="0" t="s">
        <v>2351</v>
      </c>
      <c r="J40" s="0" t="s">
        <v>2669</v>
      </c>
      <c r="L40" s="0" t="n">
        <v>0</v>
      </c>
    </row>
    <row r="41" customFormat="false" ht="15" hidden="false" customHeight="false" outlineLevel="0" collapsed="false">
      <c r="A41" s="0" t="s">
        <v>125</v>
      </c>
      <c r="B41" s="0" t="n">
        <v>2022</v>
      </c>
      <c r="C41" s="0" t="s">
        <v>2667</v>
      </c>
      <c r="D41" s="0" t="s">
        <v>2327</v>
      </c>
      <c r="E41" s="0" t="s">
        <v>2703</v>
      </c>
      <c r="F41" s="0" t="s">
        <v>135</v>
      </c>
      <c r="G41" s="0" t="s">
        <v>2673</v>
      </c>
      <c r="H41" s="0" t="s">
        <v>2351</v>
      </c>
      <c r="I41" s="0" t="s">
        <v>2345</v>
      </c>
      <c r="J41" s="0" t="s">
        <v>2674</v>
      </c>
      <c r="K41" s="0" t="s">
        <v>1765</v>
      </c>
      <c r="L41" s="0" t="n">
        <v>0</v>
      </c>
    </row>
    <row r="42" customFormat="false" ht="15" hidden="false" customHeight="false" outlineLevel="0" collapsed="false">
      <c r="A42" s="0" t="s">
        <v>136</v>
      </c>
      <c r="B42" s="0" t="n">
        <v>2013</v>
      </c>
      <c r="C42" s="0" t="s">
        <v>521</v>
      </c>
      <c r="E42" s="0" t="s">
        <v>2704</v>
      </c>
      <c r="F42" s="0" t="s">
        <v>81</v>
      </c>
      <c r="G42" s="0" t="s">
        <v>2665</v>
      </c>
      <c r="H42" s="0" t="s">
        <v>2351</v>
      </c>
      <c r="I42" s="0" t="s">
        <v>2351</v>
      </c>
      <c r="J42" s="0" t="s">
        <v>2666</v>
      </c>
      <c r="L42" s="0" t="n">
        <v>0</v>
      </c>
    </row>
    <row r="43" customFormat="false" ht="15" hidden="false" customHeight="false" outlineLevel="0" collapsed="false">
      <c r="A43" s="0" t="s">
        <v>136</v>
      </c>
      <c r="B43" s="0" t="n">
        <v>2014</v>
      </c>
      <c r="C43" s="0" t="s">
        <v>521</v>
      </c>
      <c r="E43" s="0" t="s">
        <v>2704</v>
      </c>
      <c r="F43" s="0" t="s">
        <v>81</v>
      </c>
      <c r="G43" s="0" t="s">
        <v>2665</v>
      </c>
      <c r="H43" s="0" t="s">
        <v>2351</v>
      </c>
      <c r="I43" s="0" t="s">
        <v>2351</v>
      </c>
      <c r="J43" s="0" t="s">
        <v>2666</v>
      </c>
      <c r="L43" s="0" t="n">
        <v>0</v>
      </c>
    </row>
    <row r="44" customFormat="false" ht="15" hidden="false" customHeight="false" outlineLevel="0" collapsed="false">
      <c r="A44" s="0" t="s">
        <v>136</v>
      </c>
      <c r="B44" s="0" t="n">
        <v>2015</v>
      </c>
      <c r="C44" s="0" t="s">
        <v>2667</v>
      </c>
      <c r="D44" s="0" t="s">
        <v>2279</v>
      </c>
      <c r="E44" s="0" t="s">
        <v>2705</v>
      </c>
      <c r="F44" s="0" t="s">
        <v>84</v>
      </c>
      <c r="G44" s="0" t="s">
        <v>2665</v>
      </c>
      <c r="H44" s="0" t="s">
        <v>2351</v>
      </c>
      <c r="I44" s="0" t="s">
        <v>2351</v>
      </c>
      <c r="J44" s="0" t="s">
        <v>2669</v>
      </c>
      <c r="L44" s="0" t="n">
        <v>0</v>
      </c>
    </row>
    <row r="45" customFormat="false" ht="15" hidden="false" customHeight="false" outlineLevel="0" collapsed="false">
      <c r="A45" s="0" t="s">
        <v>136</v>
      </c>
      <c r="B45" s="0" t="n">
        <v>2016</v>
      </c>
      <c r="C45" s="0" t="s">
        <v>2667</v>
      </c>
      <c r="D45" s="0" t="s">
        <v>2286</v>
      </c>
      <c r="E45" s="0" t="s">
        <v>2706</v>
      </c>
      <c r="F45" s="0" t="s">
        <v>140</v>
      </c>
      <c r="G45" s="0" t="s">
        <v>2665</v>
      </c>
      <c r="H45" s="0" t="s">
        <v>2351</v>
      </c>
      <c r="I45" s="0" t="s">
        <v>2351</v>
      </c>
      <c r="J45" s="0" t="s">
        <v>2669</v>
      </c>
      <c r="L45" s="0" t="n">
        <v>0</v>
      </c>
    </row>
    <row r="46" customFormat="false" ht="15" hidden="false" customHeight="false" outlineLevel="0" collapsed="false">
      <c r="A46" s="0" t="s">
        <v>136</v>
      </c>
      <c r="B46" s="0" t="n">
        <v>2017</v>
      </c>
      <c r="C46" s="0" t="s">
        <v>2667</v>
      </c>
      <c r="D46" s="0" t="s">
        <v>1915</v>
      </c>
      <c r="E46" s="0" t="s">
        <v>1914</v>
      </c>
      <c r="F46" s="0" t="s">
        <v>142</v>
      </c>
      <c r="G46" s="0" t="s">
        <v>2673</v>
      </c>
      <c r="H46" s="0" t="s">
        <v>2345</v>
      </c>
      <c r="I46" s="0" t="s">
        <v>2345</v>
      </c>
      <c r="J46" s="0" t="s">
        <v>2674</v>
      </c>
      <c r="K46" s="0" t="s">
        <v>1641</v>
      </c>
      <c r="L46" s="0" t="n">
        <v>0</v>
      </c>
    </row>
    <row r="47" customFormat="false" ht="15" hidden="false" customHeight="false" outlineLevel="0" collapsed="false">
      <c r="A47" s="0" t="s">
        <v>136</v>
      </c>
      <c r="B47" s="0" t="n">
        <v>2018</v>
      </c>
      <c r="C47" s="0" t="s">
        <v>2667</v>
      </c>
      <c r="D47" s="0" t="s">
        <v>1915</v>
      </c>
      <c r="E47" s="0" t="s">
        <v>1914</v>
      </c>
      <c r="F47" s="0" t="s">
        <v>109</v>
      </c>
      <c r="G47" s="0" t="s">
        <v>2665</v>
      </c>
      <c r="H47" s="0" t="s">
        <v>2351</v>
      </c>
      <c r="I47" s="0" t="s">
        <v>2351</v>
      </c>
      <c r="J47" s="0" t="s">
        <v>2669</v>
      </c>
      <c r="L47" s="0" t="n">
        <v>1</v>
      </c>
      <c r="M47" s="0" t="s">
        <v>1630</v>
      </c>
    </row>
    <row r="48" customFormat="false" ht="15" hidden="false" customHeight="false" outlineLevel="0" collapsed="false">
      <c r="A48" s="0" t="s">
        <v>136</v>
      </c>
      <c r="B48" s="0" t="n">
        <v>2019</v>
      </c>
      <c r="C48" s="0" t="s">
        <v>2667</v>
      </c>
      <c r="D48" s="0" t="s">
        <v>1920</v>
      </c>
      <c r="E48" s="0" t="s">
        <v>1919</v>
      </c>
      <c r="F48" s="0" t="s">
        <v>93</v>
      </c>
      <c r="G48" s="0" t="s">
        <v>2665</v>
      </c>
      <c r="H48" s="0" t="s">
        <v>2351</v>
      </c>
      <c r="I48" s="0" t="s">
        <v>2351</v>
      </c>
      <c r="J48" s="0" t="s">
        <v>2669</v>
      </c>
      <c r="L48" s="0" t="n">
        <v>0</v>
      </c>
    </row>
    <row r="49" customFormat="false" ht="15" hidden="false" customHeight="false" outlineLevel="0" collapsed="false">
      <c r="A49" s="0" t="s">
        <v>136</v>
      </c>
      <c r="B49" s="0" t="n">
        <v>2020</v>
      </c>
      <c r="C49" s="0" t="s">
        <v>2667</v>
      </c>
      <c r="D49" s="0" t="s">
        <v>2201</v>
      </c>
      <c r="E49" s="0" t="s">
        <v>2707</v>
      </c>
      <c r="F49" s="0" t="s">
        <v>95</v>
      </c>
      <c r="G49" s="0" t="s">
        <v>2665</v>
      </c>
      <c r="H49" s="0" t="s">
        <v>2351</v>
      </c>
      <c r="I49" s="0" t="s">
        <v>2351</v>
      </c>
      <c r="J49" s="0" t="s">
        <v>2669</v>
      </c>
      <c r="L49" s="0" t="n">
        <v>0</v>
      </c>
    </row>
    <row r="50" customFormat="false" ht="15" hidden="false" customHeight="false" outlineLevel="0" collapsed="false">
      <c r="A50" s="0" t="s">
        <v>136</v>
      </c>
      <c r="B50" s="0" t="n">
        <v>2021</v>
      </c>
      <c r="C50" s="0" t="s">
        <v>2667</v>
      </c>
      <c r="D50" s="0" t="s">
        <v>2290</v>
      </c>
      <c r="E50" s="0" t="s">
        <v>2708</v>
      </c>
      <c r="F50" s="0" t="s">
        <v>146</v>
      </c>
      <c r="G50" s="0" t="s">
        <v>2665</v>
      </c>
      <c r="H50" s="0" t="s">
        <v>2351</v>
      </c>
      <c r="I50" s="0" t="s">
        <v>2351</v>
      </c>
      <c r="J50" s="0" t="s">
        <v>2669</v>
      </c>
      <c r="L50" s="0" t="n">
        <v>0</v>
      </c>
    </row>
    <row r="51" customFormat="false" ht="15" hidden="false" customHeight="false" outlineLevel="0" collapsed="false">
      <c r="A51" s="0" t="s">
        <v>136</v>
      </c>
      <c r="B51" s="0" t="n">
        <v>2022</v>
      </c>
      <c r="C51" s="0" t="s">
        <v>2667</v>
      </c>
      <c r="D51" s="0" t="s">
        <v>2294</v>
      </c>
      <c r="E51" s="0" t="s">
        <v>2709</v>
      </c>
      <c r="F51" s="0" t="s">
        <v>148</v>
      </c>
      <c r="G51" s="0" t="s">
        <v>2665</v>
      </c>
      <c r="H51" s="0" t="s">
        <v>2351</v>
      </c>
      <c r="I51" s="0" t="s">
        <v>2351</v>
      </c>
      <c r="J51" s="0" t="s">
        <v>2669</v>
      </c>
      <c r="L51" s="0" t="n">
        <v>0</v>
      </c>
    </row>
    <row r="52" customFormat="false" ht="15" hidden="false" customHeight="false" outlineLevel="0" collapsed="false">
      <c r="A52" s="0" t="s">
        <v>149</v>
      </c>
      <c r="B52" s="0" t="n">
        <v>2013</v>
      </c>
      <c r="C52" s="0" t="s">
        <v>2667</v>
      </c>
      <c r="D52" s="0" t="s">
        <v>2297</v>
      </c>
      <c r="E52" s="0" t="s">
        <v>2710</v>
      </c>
      <c r="F52" s="0" t="s">
        <v>151</v>
      </c>
      <c r="G52" s="0" t="s">
        <v>2665</v>
      </c>
      <c r="H52" s="0" t="s">
        <v>2351</v>
      </c>
      <c r="I52" s="0" t="s">
        <v>2351</v>
      </c>
      <c r="J52" s="0" t="s">
        <v>2669</v>
      </c>
      <c r="L52" s="0" t="n">
        <v>0</v>
      </c>
    </row>
    <row r="53" customFormat="false" ht="15" hidden="false" customHeight="false" outlineLevel="0" collapsed="false">
      <c r="A53" s="0" t="s">
        <v>149</v>
      </c>
      <c r="B53" s="0" t="n">
        <v>2014</v>
      </c>
      <c r="C53" s="0" t="s">
        <v>2667</v>
      </c>
      <c r="D53" s="0" t="s">
        <v>2309</v>
      </c>
      <c r="E53" s="0" t="s">
        <v>2711</v>
      </c>
      <c r="F53" s="0" t="s">
        <v>153</v>
      </c>
      <c r="G53" s="0" t="s">
        <v>2665</v>
      </c>
      <c r="H53" s="0" t="s">
        <v>2351</v>
      </c>
      <c r="I53" s="0" t="s">
        <v>2351</v>
      </c>
      <c r="J53" s="0" t="s">
        <v>2669</v>
      </c>
      <c r="L53" s="0" t="n">
        <v>1</v>
      </c>
      <c r="M53" s="0" t="s">
        <v>1755</v>
      </c>
    </row>
    <row r="54" customFormat="false" ht="15" hidden="false" customHeight="false" outlineLevel="0" collapsed="false">
      <c r="A54" s="0" t="s">
        <v>149</v>
      </c>
      <c r="B54" s="0" t="n">
        <v>2015</v>
      </c>
      <c r="C54" s="0" t="s">
        <v>2667</v>
      </c>
      <c r="D54" s="0" t="s">
        <v>2300</v>
      </c>
      <c r="E54" s="0" t="s">
        <v>2712</v>
      </c>
      <c r="F54" s="0" t="s">
        <v>155</v>
      </c>
      <c r="G54" s="0" t="s">
        <v>2665</v>
      </c>
      <c r="H54" s="0" t="s">
        <v>2351</v>
      </c>
      <c r="I54" s="0" t="s">
        <v>2351</v>
      </c>
      <c r="J54" s="0" t="s">
        <v>2669</v>
      </c>
      <c r="L54" s="0" t="n">
        <v>0</v>
      </c>
    </row>
    <row r="55" customFormat="false" ht="15" hidden="false" customHeight="false" outlineLevel="0" collapsed="false">
      <c r="A55" s="0" t="s">
        <v>149</v>
      </c>
      <c r="B55" s="0" t="n">
        <v>2016</v>
      </c>
      <c r="C55" s="0" t="s">
        <v>2667</v>
      </c>
      <c r="D55" s="0" t="s">
        <v>2303</v>
      </c>
      <c r="E55" s="0" t="s">
        <v>2713</v>
      </c>
      <c r="F55" s="0" t="s">
        <v>157</v>
      </c>
      <c r="G55" s="0" t="s">
        <v>2665</v>
      </c>
      <c r="H55" s="0" t="s">
        <v>2351</v>
      </c>
      <c r="I55" s="0" t="s">
        <v>2351</v>
      </c>
      <c r="J55" s="0" t="s">
        <v>2669</v>
      </c>
      <c r="L55" s="0" t="n">
        <v>0</v>
      </c>
    </row>
    <row r="56" customFormat="false" ht="15" hidden="false" customHeight="false" outlineLevel="0" collapsed="false">
      <c r="A56" s="0" t="s">
        <v>149</v>
      </c>
      <c r="B56" s="0" t="n">
        <v>2017</v>
      </c>
      <c r="C56" s="0" t="s">
        <v>2667</v>
      </c>
      <c r="D56" s="0" t="s">
        <v>2306</v>
      </c>
      <c r="E56" s="0" t="s">
        <v>2714</v>
      </c>
      <c r="F56" s="0" t="s">
        <v>159</v>
      </c>
      <c r="G56" s="0" t="s">
        <v>2665</v>
      </c>
      <c r="H56" s="0" t="s">
        <v>2351</v>
      </c>
      <c r="I56" s="0" t="s">
        <v>2351</v>
      </c>
      <c r="J56" s="0" t="s">
        <v>2669</v>
      </c>
      <c r="L56" s="0" t="n">
        <v>0</v>
      </c>
    </row>
    <row r="57" customFormat="false" ht="15" hidden="false" customHeight="false" outlineLevel="0" collapsed="false">
      <c r="A57" s="0" t="s">
        <v>149</v>
      </c>
      <c r="B57" s="0" t="n">
        <v>2018</v>
      </c>
      <c r="C57" s="0" t="s">
        <v>2667</v>
      </c>
      <c r="D57" s="0" t="s">
        <v>2001</v>
      </c>
      <c r="E57" s="0" t="s">
        <v>2715</v>
      </c>
      <c r="F57" s="0" t="s">
        <v>161</v>
      </c>
      <c r="G57" s="0" t="s">
        <v>2665</v>
      </c>
      <c r="H57" s="0" t="s">
        <v>2351</v>
      </c>
      <c r="I57" s="0" t="s">
        <v>2351</v>
      </c>
      <c r="J57" s="0" t="s">
        <v>2669</v>
      </c>
      <c r="L57" s="0" t="n">
        <v>0</v>
      </c>
    </row>
    <row r="58" customFormat="false" ht="15" hidden="false" customHeight="false" outlineLevel="0" collapsed="false">
      <c r="A58" s="0" t="s">
        <v>149</v>
      </c>
      <c r="B58" s="0" t="n">
        <v>2019</v>
      </c>
      <c r="C58" s="0" t="s">
        <v>2667</v>
      </c>
      <c r="D58" s="0" t="s">
        <v>2011</v>
      </c>
      <c r="E58" s="0" t="s">
        <v>2716</v>
      </c>
      <c r="F58" s="0" t="s">
        <v>163</v>
      </c>
      <c r="G58" s="0" t="s">
        <v>2665</v>
      </c>
      <c r="H58" s="0" t="s">
        <v>2351</v>
      </c>
      <c r="I58" s="0" t="s">
        <v>2351</v>
      </c>
      <c r="J58" s="0" t="s">
        <v>2669</v>
      </c>
      <c r="L58" s="0" t="n">
        <v>0</v>
      </c>
    </row>
    <row r="59" customFormat="false" ht="15" hidden="false" customHeight="false" outlineLevel="0" collapsed="false">
      <c r="A59" s="0" t="s">
        <v>149</v>
      </c>
      <c r="B59" s="0" t="n">
        <v>2020</v>
      </c>
      <c r="C59" s="0" t="s">
        <v>2667</v>
      </c>
      <c r="D59" s="0" t="s">
        <v>1837</v>
      </c>
      <c r="E59" s="0" t="s">
        <v>1836</v>
      </c>
      <c r="F59" s="0" t="s">
        <v>165</v>
      </c>
      <c r="G59" s="0" t="s">
        <v>2673</v>
      </c>
      <c r="H59" s="0" t="s">
        <v>2351</v>
      </c>
      <c r="I59" s="0" t="s">
        <v>2351</v>
      </c>
      <c r="J59" s="0" t="s">
        <v>2669</v>
      </c>
      <c r="L59" s="0" t="n">
        <v>6</v>
      </c>
      <c r="M59" s="0" t="s">
        <v>2717</v>
      </c>
    </row>
    <row r="60" customFormat="false" ht="15" hidden="false" customHeight="false" outlineLevel="0" collapsed="false">
      <c r="A60" s="0" t="s">
        <v>149</v>
      </c>
      <c r="B60" s="0" t="n">
        <v>2021</v>
      </c>
      <c r="C60" s="0" t="s">
        <v>2667</v>
      </c>
      <c r="D60" s="0" t="s">
        <v>1837</v>
      </c>
      <c r="E60" s="0" t="s">
        <v>1836</v>
      </c>
      <c r="F60" s="0" t="s">
        <v>166</v>
      </c>
      <c r="G60" s="0" t="s">
        <v>2665</v>
      </c>
      <c r="H60" s="0" t="s">
        <v>2351</v>
      </c>
      <c r="I60" s="0" t="s">
        <v>2351</v>
      </c>
      <c r="J60" s="0" t="s">
        <v>2669</v>
      </c>
      <c r="L60" s="0" t="n">
        <v>2</v>
      </c>
      <c r="M60" s="0" t="s">
        <v>65</v>
      </c>
    </row>
    <row r="61" customFormat="false" ht="15" hidden="false" customHeight="false" outlineLevel="0" collapsed="false">
      <c r="A61" s="0" t="s">
        <v>149</v>
      </c>
      <c r="B61" s="0" t="n">
        <v>2022</v>
      </c>
      <c r="C61" s="0" t="s">
        <v>2667</v>
      </c>
      <c r="D61" s="0" t="s">
        <v>1846</v>
      </c>
      <c r="E61" s="0" t="s">
        <v>1845</v>
      </c>
      <c r="F61" s="0" t="s">
        <v>168</v>
      </c>
      <c r="G61" s="0" t="s">
        <v>2665</v>
      </c>
      <c r="H61" s="0" t="s">
        <v>2351</v>
      </c>
      <c r="I61" s="0" t="s">
        <v>2351</v>
      </c>
      <c r="J61" s="0" t="s">
        <v>2669</v>
      </c>
      <c r="L61" s="0" t="n">
        <v>0</v>
      </c>
    </row>
    <row r="62" customFormat="false" ht="15" hidden="false" customHeight="false" outlineLevel="0" collapsed="false">
      <c r="A62" s="0" t="s">
        <v>169</v>
      </c>
      <c r="B62" s="0" t="n">
        <v>2013</v>
      </c>
      <c r="C62" s="0" t="s">
        <v>521</v>
      </c>
      <c r="E62" s="0" t="s">
        <v>2718</v>
      </c>
      <c r="F62" s="0" t="s">
        <v>81</v>
      </c>
      <c r="G62" s="0" t="s">
        <v>2665</v>
      </c>
      <c r="H62" s="0" t="s">
        <v>2351</v>
      </c>
      <c r="I62" s="0" t="s">
        <v>2351</v>
      </c>
      <c r="J62" s="0" t="s">
        <v>2666</v>
      </c>
      <c r="L62" s="0" t="n">
        <v>0</v>
      </c>
    </row>
    <row r="63" customFormat="false" ht="15" hidden="false" customHeight="false" outlineLevel="0" collapsed="false">
      <c r="A63" s="0" t="s">
        <v>169</v>
      </c>
      <c r="B63" s="0" t="n">
        <v>2014</v>
      </c>
      <c r="C63" s="0" t="s">
        <v>521</v>
      </c>
      <c r="E63" s="0" t="s">
        <v>2718</v>
      </c>
      <c r="F63" s="0" t="s">
        <v>81</v>
      </c>
      <c r="G63" s="0" t="s">
        <v>2665</v>
      </c>
      <c r="H63" s="0" t="s">
        <v>2351</v>
      </c>
      <c r="I63" s="0" t="s">
        <v>2351</v>
      </c>
      <c r="J63" s="0" t="s">
        <v>2666</v>
      </c>
      <c r="L63" s="0" t="n">
        <v>0</v>
      </c>
    </row>
    <row r="64" customFormat="false" ht="15" hidden="false" customHeight="false" outlineLevel="0" collapsed="false">
      <c r="A64" s="0" t="s">
        <v>169</v>
      </c>
      <c r="B64" s="0" t="n">
        <v>2015</v>
      </c>
      <c r="C64" s="0" t="s">
        <v>2667</v>
      </c>
      <c r="D64" s="0" t="s">
        <v>2120</v>
      </c>
      <c r="E64" s="0" t="s">
        <v>2719</v>
      </c>
      <c r="F64" s="0" t="s">
        <v>84</v>
      </c>
      <c r="G64" s="0" t="s">
        <v>2665</v>
      </c>
      <c r="H64" s="0" t="s">
        <v>2351</v>
      </c>
      <c r="I64" s="0" t="s">
        <v>2351</v>
      </c>
      <c r="J64" s="0" t="s">
        <v>2669</v>
      </c>
      <c r="L64" s="0" t="n">
        <v>0</v>
      </c>
    </row>
    <row r="65" customFormat="false" ht="15" hidden="false" customHeight="false" outlineLevel="0" collapsed="false">
      <c r="A65" s="0" t="s">
        <v>169</v>
      </c>
      <c r="B65" s="0" t="n">
        <v>2016</v>
      </c>
      <c r="C65" s="0" t="s">
        <v>2667</v>
      </c>
      <c r="D65" s="0" t="s">
        <v>2166</v>
      </c>
      <c r="E65" s="0" t="s">
        <v>2720</v>
      </c>
      <c r="F65" s="0" t="s">
        <v>87</v>
      </c>
      <c r="G65" s="0" t="s">
        <v>2665</v>
      </c>
      <c r="H65" s="0" t="s">
        <v>2351</v>
      </c>
      <c r="I65" s="0" t="s">
        <v>2351</v>
      </c>
      <c r="J65" s="0" t="s">
        <v>2669</v>
      </c>
      <c r="L65" s="0" t="n">
        <v>1</v>
      </c>
      <c r="M65" s="0" t="s">
        <v>1708</v>
      </c>
    </row>
    <row r="66" customFormat="false" ht="15" hidden="false" customHeight="false" outlineLevel="0" collapsed="false">
      <c r="A66" s="0" t="s">
        <v>169</v>
      </c>
      <c r="B66" s="0" t="n">
        <v>2017</v>
      </c>
      <c r="C66" s="0" t="s">
        <v>2667</v>
      </c>
      <c r="D66" s="0" t="s">
        <v>2175</v>
      </c>
      <c r="E66" s="0" t="s">
        <v>2721</v>
      </c>
      <c r="F66" s="0" t="s">
        <v>89</v>
      </c>
      <c r="G66" s="0" t="s">
        <v>2665</v>
      </c>
      <c r="H66" s="0" t="s">
        <v>2351</v>
      </c>
      <c r="I66" s="0" t="s">
        <v>2351</v>
      </c>
      <c r="J66" s="0" t="s">
        <v>2669</v>
      </c>
      <c r="L66" s="0" t="n">
        <v>0</v>
      </c>
    </row>
    <row r="67" customFormat="false" ht="15" hidden="false" customHeight="false" outlineLevel="0" collapsed="false">
      <c r="A67" s="0" t="s">
        <v>169</v>
      </c>
      <c r="B67" s="0" t="n">
        <v>2018</v>
      </c>
      <c r="C67" s="0" t="s">
        <v>521</v>
      </c>
      <c r="E67" s="0" t="s">
        <v>2722</v>
      </c>
      <c r="F67" s="0" t="s">
        <v>81</v>
      </c>
      <c r="G67" s="0" t="s">
        <v>2665</v>
      </c>
      <c r="H67" s="0" t="s">
        <v>2351</v>
      </c>
      <c r="I67" s="0" t="s">
        <v>2351</v>
      </c>
      <c r="J67" s="0" t="s">
        <v>2666</v>
      </c>
      <c r="L67" s="0" t="n">
        <v>0</v>
      </c>
    </row>
    <row r="68" customFormat="false" ht="15" hidden="false" customHeight="false" outlineLevel="0" collapsed="false">
      <c r="A68" s="0" t="s">
        <v>169</v>
      </c>
      <c r="B68" s="0" t="n">
        <v>2019</v>
      </c>
      <c r="C68" s="0" t="s">
        <v>521</v>
      </c>
      <c r="E68" s="0" t="s">
        <v>2722</v>
      </c>
      <c r="F68" s="0" t="s">
        <v>81</v>
      </c>
      <c r="G68" s="0" t="s">
        <v>2665</v>
      </c>
      <c r="H68" s="0" t="s">
        <v>2351</v>
      </c>
      <c r="I68" s="0" t="s">
        <v>2351</v>
      </c>
      <c r="J68" s="0" t="s">
        <v>2666</v>
      </c>
      <c r="L68" s="0" t="n">
        <v>0</v>
      </c>
    </row>
    <row r="69" customFormat="false" ht="15" hidden="false" customHeight="false" outlineLevel="0" collapsed="false">
      <c r="A69" s="0" t="s">
        <v>169</v>
      </c>
      <c r="B69" s="0" t="n">
        <v>2020</v>
      </c>
      <c r="C69" s="0" t="s">
        <v>2667</v>
      </c>
      <c r="D69" s="0" t="s">
        <v>2129</v>
      </c>
      <c r="E69" s="0" t="s">
        <v>2723</v>
      </c>
      <c r="F69" s="0" t="s">
        <v>95</v>
      </c>
      <c r="G69" s="0" t="s">
        <v>2665</v>
      </c>
      <c r="H69" s="0" t="s">
        <v>2351</v>
      </c>
      <c r="I69" s="0" t="s">
        <v>2351</v>
      </c>
      <c r="J69" s="0" t="s">
        <v>2669</v>
      </c>
      <c r="L69" s="0" t="n">
        <v>0</v>
      </c>
    </row>
    <row r="70" customFormat="false" ht="15" hidden="false" customHeight="false" outlineLevel="0" collapsed="false">
      <c r="A70" s="0" t="s">
        <v>169</v>
      </c>
      <c r="B70" s="0" t="n">
        <v>2021</v>
      </c>
      <c r="C70" s="0" t="s">
        <v>2667</v>
      </c>
      <c r="D70" s="0" t="s">
        <v>2140</v>
      </c>
      <c r="E70" s="0" t="s">
        <v>2724</v>
      </c>
      <c r="F70" s="0" t="s">
        <v>97</v>
      </c>
      <c r="G70" s="0" t="s">
        <v>2665</v>
      </c>
      <c r="H70" s="0" t="s">
        <v>2351</v>
      </c>
      <c r="I70" s="0" t="s">
        <v>2351</v>
      </c>
      <c r="J70" s="0" t="s">
        <v>2669</v>
      </c>
      <c r="L70" s="0" t="n">
        <v>1</v>
      </c>
      <c r="M70" s="0" t="s">
        <v>1701</v>
      </c>
    </row>
    <row r="71" customFormat="false" ht="15" hidden="false" customHeight="false" outlineLevel="0" collapsed="false">
      <c r="A71" s="0" t="s">
        <v>169</v>
      </c>
      <c r="B71" s="0" t="n">
        <v>2022</v>
      </c>
      <c r="C71" s="0" t="s">
        <v>2667</v>
      </c>
      <c r="D71" s="0" t="s">
        <v>2194</v>
      </c>
      <c r="E71" s="0" t="s">
        <v>2725</v>
      </c>
      <c r="F71" s="0" t="s">
        <v>114</v>
      </c>
      <c r="G71" s="0" t="s">
        <v>2665</v>
      </c>
      <c r="H71" s="0" t="s">
        <v>2351</v>
      </c>
      <c r="I71" s="0" t="s">
        <v>2351</v>
      </c>
      <c r="J71" s="0" t="s">
        <v>2669</v>
      </c>
      <c r="L71" s="0" t="n">
        <v>0</v>
      </c>
    </row>
    <row r="72" customFormat="false" ht="15" hidden="false" customHeight="false" outlineLevel="0" collapsed="false">
      <c r="A72" s="0" t="s">
        <v>178</v>
      </c>
      <c r="B72" s="0" t="n">
        <v>2013</v>
      </c>
      <c r="C72" s="0" t="s">
        <v>521</v>
      </c>
      <c r="E72" s="0" t="s">
        <v>2726</v>
      </c>
      <c r="F72" s="0" t="s">
        <v>81</v>
      </c>
      <c r="G72" s="0" t="s">
        <v>2665</v>
      </c>
      <c r="H72" s="0" t="s">
        <v>2351</v>
      </c>
      <c r="I72" s="0" t="s">
        <v>2351</v>
      </c>
      <c r="J72" s="0" t="s">
        <v>2666</v>
      </c>
      <c r="L72" s="0" t="n">
        <v>0</v>
      </c>
    </row>
    <row r="73" customFormat="false" ht="15" hidden="false" customHeight="false" outlineLevel="0" collapsed="false">
      <c r="A73" s="0" t="s">
        <v>178</v>
      </c>
      <c r="B73" s="0" t="n">
        <v>2014</v>
      </c>
      <c r="C73" s="0" t="s">
        <v>521</v>
      </c>
      <c r="E73" s="0" t="s">
        <v>2726</v>
      </c>
      <c r="F73" s="0" t="s">
        <v>81</v>
      </c>
      <c r="G73" s="0" t="s">
        <v>2665</v>
      </c>
      <c r="H73" s="0" t="s">
        <v>2351</v>
      </c>
      <c r="I73" s="0" t="s">
        <v>2351</v>
      </c>
      <c r="J73" s="0" t="s">
        <v>2666</v>
      </c>
      <c r="L73" s="0" t="n">
        <v>0</v>
      </c>
    </row>
    <row r="74" customFormat="false" ht="15" hidden="false" customHeight="false" outlineLevel="0" collapsed="false">
      <c r="A74" s="0" t="s">
        <v>178</v>
      </c>
      <c r="B74" s="0" t="n">
        <v>2015</v>
      </c>
      <c r="C74" s="0" t="s">
        <v>521</v>
      </c>
      <c r="D74" s="0" t="s">
        <v>2727</v>
      </c>
      <c r="E74" s="0" t="s">
        <v>2728</v>
      </c>
      <c r="F74" s="0" t="s">
        <v>181</v>
      </c>
      <c r="G74" s="0" t="s">
        <v>2673</v>
      </c>
      <c r="H74" s="0" t="s">
        <v>2351</v>
      </c>
      <c r="I74" s="0" t="s">
        <v>2351</v>
      </c>
      <c r="J74" s="0" t="s">
        <v>2666</v>
      </c>
      <c r="L74" s="0" t="n">
        <v>0</v>
      </c>
    </row>
    <row r="75" customFormat="false" ht="15" hidden="false" customHeight="false" outlineLevel="0" collapsed="false">
      <c r="A75" s="0" t="s">
        <v>178</v>
      </c>
      <c r="B75" s="0" t="n">
        <v>2016</v>
      </c>
      <c r="C75" s="0" t="s">
        <v>521</v>
      </c>
      <c r="D75" s="0" t="s">
        <v>2727</v>
      </c>
      <c r="E75" s="0" t="s">
        <v>2727</v>
      </c>
      <c r="F75" s="0" t="s">
        <v>183</v>
      </c>
      <c r="G75" s="0" t="s">
        <v>2665</v>
      </c>
      <c r="H75" s="0" t="s">
        <v>2351</v>
      </c>
      <c r="I75" s="0" t="s">
        <v>2351</v>
      </c>
      <c r="J75" s="0" t="s">
        <v>2666</v>
      </c>
      <c r="L75" s="0" t="n">
        <v>0</v>
      </c>
    </row>
    <row r="76" customFormat="false" ht="15" hidden="false" customHeight="false" outlineLevel="0" collapsed="false">
      <c r="A76" s="0" t="s">
        <v>178</v>
      </c>
      <c r="B76" s="0" t="n">
        <v>2017</v>
      </c>
      <c r="C76" s="0" t="s">
        <v>521</v>
      </c>
      <c r="E76" s="0" t="s">
        <v>2729</v>
      </c>
      <c r="F76" s="0" t="s">
        <v>81</v>
      </c>
      <c r="G76" s="0" t="s">
        <v>2665</v>
      </c>
      <c r="H76" s="0" t="s">
        <v>2351</v>
      </c>
      <c r="I76" s="0" t="s">
        <v>2351</v>
      </c>
      <c r="J76" s="0" t="s">
        <v>2666</v>
      </c>
      <c r="L76" s="0" t="n">
        <v>0</v>
      </c>
    </row>
    <row r="77" customFormat="false" ht="15" hidden="false" customHeight="false" outlineLevel="0" collapsed="false">
      <c r="A77" s="0" t="s">
        <v>178</v>
      </c>
      <c r="B77" s="0" t="n">
        <v>2018</v>
      </c>
      <c r="C77" s="0" t="s">
        <v>521</v>
      </c>
      <c r="E77" s="0" t="s">
        <v>2729</v>
      </c>
      <c r="F77" s="0" t="s">
        <v>81</v>
      </c>
      <c r="G77" s="0" t="s">
        <v>2665</v>
      </c>
      <c r="H77" s="0" t="s">
        <v>2351</v>
      </c>
      <c r="I77" s="0" t="s">
        <v>2351</v>
      </c>
      <c r="J77" s="0" t="s">
        <v>2666</v>
      </c>
      <c r="L77" s="0" t="n">
        <v>0</v>
      </c>
    </row>
    <row r="78" customFormat="false" ht="15" hidden="false" customHeight="false" outlineLevel="0" collapsed="false">
      <c r="A78" s="0" t="s">
        <v>178</v>
      </c>
      <c r="B78" s="0" t="n">
        <v>2019</v>
      </c>
      <c r="C78" s="0" t="s">
        <v>521</v>
      </c>
      <c r="E78" s="0" t="s">
        <v>2730</v>
      </c>
      <c r="F78" s="0" t="s">
        <v>81</v>
      </c>
      <c r="G78" s="0" t="s">
        <v>2665</v>
      </c>
      <c r="H78" s="0" t="s">
        <v>2351</v>
      </c>
      <c r="I78" s="0" t="s">
        <v>2351</v>
      </c>
      <c r="J78" s="0" t="s">
        <v>2666</v>
      </c>
      <c r="L78" s="0" t="n">
        <v>0</v>
      </c>
    </row>
    <row r="79" customFormat="false" ht="15" hidden="false" customHeight="false" outlineLevel="0" collapsed="false">
      <c r="A79" s="0" t="s">
        <v>178</v>
      </c>
      <c r="B79" s="0" t="n">
        <v>2020</v>
      </c>
      <c r="C79" s="0" t="s">
        <v>521</v>
      </c>
      <c r="E79" s="0" t="s">
        <v>2730</v>
      </c>
      <c r="F79" s="0" t="s">
        <v>81</v>
      </c>
      <c r="G79" s="0" t="s">
        <v>2665</v>
      </c>
      <c r="H79" s="0" t="s">
        <v>2351</v>
      </c>
      <c r="I79" s="0" t="s">
        <v>2351</v>
      </c>
      <c r="J79" s="0" t="s">
        <v>2666</v>
      </c>
      <c r="L79" s="0" t="n">
        <v>0</v>
      </c>
    </row>
    <row r="80" customFormat="false" ht="15" hidden="false" customHeight="false" outlineLevel="0" collapsed="false">
      <c r="A80" s="0" t="s">
        <v>178</v>
      </c>
      <c r="B80" s="0" t="n">
        <v>2021</v>
      </c>
      <c r="C80" s="0" t="s">
        <v>521</v>
      </c>
      <c r="E80" s="0" t="s">
        <v>2731</v>
      </c>
      <c r="F80" s="0" t="s">
        <v>81</v>
      </c>
      <c r="G80" s="0" t="s">
        <v>2665</v>
      </c>
      <c r="H80" s="0" t="s">
        <v>2351</v>
      </c>
      <c r="I80" s="0" t="s">
        <v>2351</v>
      </c>
      <c r="J80" s="0" t="s">
        <v>2666</v>
      </c>
      <c r="L80" s="0" t="n">
        <v>0</v>
      </c>
    </row>
    <row r="81" customFormat="false" ht="15" hidden="false" customHeight="false" outlineLevel="0" collapsed="false">
      <c r="A81" s="0" t="s">
        <v>178</v>
      </c>
      <c r="B81" s="0" t="n">
        <v>2022</v>
      </c>
      <c r="C81" s="0" t="s">
        <v>521</v>
      </c>
      <c r="E81" s="0" t="s">
        <v>2731</v>
      </c>
      <c r="F81" s="0" t="s">
        <v>81</v>
      </c>
      <c r="G81" s="0" t="s">
        <v>2665</v>
      </c>
      <c r="H81" s="0" t="s">
        <v>2351</v>
      </c>
      <c r="I81" s="0" t="s">
        <v>2351</v>
      </c>
      <c r="J81" s="0" t="s">
        <v>2666</v>
      </c>
      <c r="L81" s="0" t="n">
        <v>0</v>
      </c>
    </row>
    <row r="82" customFormat="false" ht="15" hidden="false" customHeight="false" outlineLevel="0" collapsed="false">
      <c r="A82" s="0" t="s">
        <v>187</v>
      </c>
      <c r="B82" s="0" t="n">
        <v>2013</v>
      </c>
      <c r="C82" s="0" t="s">
        <v>521</v>
      </c>
      <c r="E82" s="0" t="s">
        <v>2732</v>
      </c>
      <c r="F82" s="0" t="s">
        <v>81</v>
      </c>
      <c r="G82" s="0" t="s">
        <v>2665</v>
      </c>
      <c r="H82" s="0" t="s">
        <v>2351</v>
      </c>
      <c r="I82" s="0" t="s">
        <v>2351</v>
      </c>
      <c r="J82" s="0" t="s">
        <v>2666</v>
      </c>
      <c r="L82" s="0" t="n">
        <v>0</v>
      </c>
    </row>
    <row r="83" customFormat="false" ht="15" hidden="false" customHeight="false" outlineLevel="0" collapsed="false">
      <c r="A83" s="0" t="s">
        <v>187</v>
      </c>
      <c r="B83" s="0" t="n">
        <v>2014</v>
      </c>
      <c r="C83" s="0" t="s">
        <v>521</v>
      </c>
      <c r="E83" s="0" t="s">
        <v>2732</v>
      </c>
      <c r="F83" s="0" t="s">
        <v>81</v>
      </c>
      <c r="G83" s="0" t="s">
        <v>2665</v>
      </c>
      <c r="H83" s="0" t="s">
        <v>2351</v>
      </c>
      <c r="I83" s="0" t="s">
        <v>2351</v>
      </c>
      <c r="J83" s="0" t="s">
        <v>2666</v>
      </c>
      <c r="L83" s="0" t="n">
        <v>0</v>
      </c>
    </row>
    <row r="84" customFormat="false" ht="15" hidden="false" customHeight="false" outlineLevel="0" collapsed="false">
      <c r="A84" s="0" t="s">
        <v>187</v>
      </c>
      <c r="B84" s="0" t="n">
        <v>2015</v>
      </c>
      <c r="C84" s="0" t="s">
        <v>2667</v>
      </c>
      <c r="D84" s="0" t="s">
        <v>1822</v>
      </c>
      <c r="E84" s="0" t="s">
        <v>2733</v>
      </c>
      <c r="F84" s="0" t="s">
        <v>190</v>
      </c>
      <c r="G84" s="0" t="s">
        <v>2673</v>
      </c>
      <c r="H84" s="0" t="s">
        <v>2345</v>
      </c>
      <c r="I84" s="0" t="s">
        <v>2345</v>
      </c>
      <c r="J84" s="0" t="s">
        <v>2674</v>
      </c>
      <c r="K84" s="0" t="s">
        <v>1641</v>
      </c>
      <c r="L84" s="0" t="n">
        <v>0</v>
      </c>
    </row>
    <row r="85" customFormat="false" ht="15" hidden="false" customHeight="false" outlineLevel="0" collapsed="false">
      <c r="A85" s="0" t="s">
        <v>187</v>
      </c>
      <c r="B85" s="0" t="n">
        <v>2016</v>
      </c>
      <c r="C85" s="0" t="s">
        <v>2667</v>
      </c>
      <c r="D85" s="0" t="s">
        <v>1822</v>
      </c>
      <c r="E85" s="0" t="s">
        <v>2733</v>
      </c>
      <c r="F85" s="0" t="s">
        <v>87</v>
      </c>
      <c r="G85" s="0" t="s">
        <v>2665</v>
      </c>
      <c r="H85" s="0" t="s">
        <v>2351</v>
      </c>
      <c r="I85" s="0" t="s">
        <v>2351</v>
      </c>
      <c r="J85" s="0" t="s">
        <v>2669</v>
      </c>
      <c r="L85" s="0" t="n">
        <v>0</v>
      </c>
    </row>
    <row r="86" customFormat="false" ht="15" hidden="false" customHeight="false" outlineLevel="0" collapsed="false">
      <c r="A86" s="0" t="s">
        <v>187</v>
      </c>
      <c r="B86" s="0" t="n">
        <v>2017</v>
      </c>
      <c r="C86" s="0" t="s">
        <v>521</v>
      </c>
      <c r="D86" s="0" t="s">
        <v>2734</v>
      </c>
      <c r="E86" s="0" t="s">
        <v>2734</v>
      </c>
      <c r="F86" s="0" t="s">
        <v>192</v>
      </c>
      <c r="G86" s="0" t="s">
        <v>2665</v>
      </c>
      <c r="H86" s="0" t="s">
        <v>2345</v>
      </c>
      <c r="I86" s="0" t="s">
        <v>2351</v>
      </c>
      <c r="J86" s="0" t="s">
        <v>2666</v>
      </c>
      <c r="L86" s="0" t="n">
        <v>0</v>
      </c>
    </row>
    <row r="87" customFormat="false" ht="15" hidden="false" customHeight="false" outlineLevel="0" collapsed="false">
      <c r="A87" s="0" t="s">
        <v>187</v>
      </c>
      <c r="B87" s="0" t="n">
        <v>2018</v>
      </c>
      <c r="C87" s="0" t="s">
        <v>521</v>
      </c>
      <c r="D87" s="0" t="s">
        <v>2734</v>
      </c>
      <c r="E87" s="0" t="s">
        <v>2734</v>
      </c>
      <c r="F87" s="0" t="s">
        <v>194</v>
      </c>
      <c r="G87" s="0" t="s">
        <v>2665</v>
      </c>
      <c r="H87" s="0" t="s">
        <v>2351</v>
      </c>
      <c r="I87" s="0" t="s">
        <v>2351</v>
      </c>
      <c r="J87" s="0" t="s">
        <v>2666</v>
      </c>
      <c r="L87" s="0" t="n">
        <v>0</v>
      </c>
    </row>
    <row r="88" customFormat="false" ht="15" hidden="false" customHeight="false" outlineLevel="0" collapsed="false">
      <c r="A88" s="0" t="s">
        <v>187</v>
      </c>
      <c r="B88" s="0" t="n">
        <v>2019</v>
      </c>
      <c r="C88" s="0" t="s">
        <v>521</v>
      </c>
      <c r="D88" s="0" t="s">
        <v>2735</v>
      </c>
      <c r="E88" s="0" t="s">
        <v>2736</v>
      </c>
      <c r="F88" s="0" t="s">
        <v>196</v>
      </c>
      <c r="G88" s="0" t="s">
        <v>2673</v>
      </c>
      <c r="H88" s="0" t="s">
        <v>2351</v>
      </c>
      <c r="I88" s="0" t="s">
        <v>2351</v>
      </c>
      <c r="J88" s="0" t="s">
        <v>2666</v>
      </c>
      <c r="L88" s="0" t="n">
        <v>0</v>
      </c>
    </row>
    <row r="89" customFormat="false" ht="15" hidden="false" customHeight="false" outlineLevel="0" collapsed="false">
      <c r="A89" s="0" t="s">
        <v>187</v>
      </c>
      <c r="B89" s="0" t="n">
        <v>2020</v>
      </c>
      <c r="C89" s="0" t="s">
        <v>521</v>
      </c>
      <c r="D89" s="0" t="s">
        <v>2735</v>
      </c>
      <c r="E89" s="0" t="s">
        <v>2735</v>
      </c>
      <c r="F89" s="0" t="s">
        <v>197</v>
      </c>
      <c r="G89" s="0" t="s">
        <v>2665</v>
      </c>
      <c r="H89" s="0" t="s">
        <v>2351</v>
      </c>
      <c r="I89" s="0" t="s">
        <v>2351</v>
      </c>
      <c r="J89" s="0" t="s">
        <v>2666</v>
      </c>
      <c r="L89" s="0" t="n">
        <v>0</v>
      </c>
    </row>
    <row r="90" customFormat="false" ht="15" hidden="false" customHeight="false" outlineLevel="0" collapsed="false">
      <c r="A90" s="0" t="s">
        <v>187</v>
      </c>
      <c r="B90" s="0" t="n">
        <v>2021</v>
      </c>
      <c r="C90" s="0" t="s">
        <v>521</v>
      </c>
      <c r="D90" s="0" t="s">
        <v>2737</v>
      </c>
      <c r="E90" s="0" t="s">
        <v>2738</v>
      </c>
      <c r="F90" s="0" t="s">
        <v>199</v>
      </c>
      <c r="G90" s="0" t="s">
        <v>2673</v>
      </c>
      <c r="H90" s="0" t="s">
        <v>2351</v>
      </c>
      <c r="I90" s="0" t="s">
        <v>2351</v>
      </c>
      <c r="J90" s="0" t="s">
        <v>2666</v>
      </c>
      <c r="L90" s="0" t="n">
        <v>0</v>
      </c>
    </row>
    <row r="91" customFormat="false" ht="15" hidden="false" customHeight="false" outlineLevel="0" collapsed="false">
      <c r="A91" s="0" t="s">
        <v>187</v>
      </c>
      <c r="B91" s="0" t="n">
        <v>2022</v>
      </c>
      <c r="C91" s="0" t="s">
        <v>521</v>
      </c>
      <c r="D91" s="0" t="s">
        <v>2737</v>
      </c>
      <c r="E91" s="0" t="s">
        <v>2737</v>
      </c>
      <c r="F91" s="0" t="s">
        <v>200</v>
      </c>
      <c r="G91" s="0" t="s">
        <v>2665</v>
      </c>
      <c r="H91" s="0" t="s">
        <v>2351</v>
      </c>
      <c r="I91" s="0" t="s">
        <v>2351</v>
      </c>
      <c r="J91" s="0" t="s">
        <v>2666</v>
      </c>
      <c r="L91" s="0" t="n">
        <v>0</v>
      </c>
    </row>
    <row r="92" customFormat="false" ht="15" hidden="false" customHeight="false" outlineLevel="0" collapsed="false">
      <c r="A92" s="0" t="s">
        <v>201</v>
      </c>
      <c r="B92" s="0" t="n">
        <v>2013</v>
      </c>
      <c r="C92" s="0" t="s">
        <v>2667</v>
      </c>
      <c r="D92" s="0" t="s">
        <v>2498</v>
      </c>
      <c r="E92" s="0" t="s">
        <v>2739</v>
      </c>
      <c r="F92" s="0" t="s">
        <v>203</v>
      </c>
      <c r="G92" s="0" t="s">
        <v>2673</v>
      </c>
      <c r="H92" s="0" t="s">
        <v>2351</v>
      </c>
      <c r="I92" s="0" t="s">
        <v>2345</v>
      </c>
      <c r="J92" s="0" t="s">
        <v>2674</v>
      </c>
      <c r="K92" s="0" t="s">
        <v>1658</v>
      </c>
      <c r="L92" s="0" t="n">
        <v>0</v>
      </c>
    </row>
    <row r="93" customFormat="false" ht="15" hidden="false" customHeight="false" outlineLevel="0" collapsed="false">
      <c r="A93" s="0" t="s">
        <v>201</v>
      </c>
      <c r="B93" s="0" t="n">
        <v>2014</v>
      </c>
      <c r="C93" s="0" t="s">
        <v>2667</v>
      </c>
      <c r="D93" s="0" t="s">
        <v>2498</v>
      </c>
      <c r="E93" s="0" t="s">
        <v>2739</v>
      </c>
      <c r="F93" s="0" t="s">
        <v>105</v>
      </c>
      <c r="G93" s="0" t="s">
        <v>2665</v>
      </c>
      <c r="H93" s="0" t="s">
        <v>2351</v>
      </c>
      <c r="I93" s="0" t="s">
        <v>2351</v>
      </c>
      <c r="J93" s="0" t="s">
        <v>2669</v>
      </c>
      <c r="L93" s="0" t="n">
        <v>0</v>
      </c>
    </row>
    <row r="94" customFormat="false" ht="15" hidden="false" customHeight="false" outlineLevel="0" collapsed="false">
      <c r="A94" s="0" t="s">
        <v>201</v>
      </c>
      <c r="B94" s="0" t="n">
        <v>2015</v>
      </c>
      <c r="C94" s="0" t="s">
        <v>2667</v>
      </c>
      <c r="D94" s="0" t="s">
        <v>2084</v>
      </c>
      <c r="E94" s="0" t="s">
        <v>2740</v>
      </c>
      <c r="F94" s="0" t="s">
        <v>84</v>
      </c>
      <c r="G94" s="0" t="s">
        <v>2665</v>
      </c>
      <c r="H94" s="0" t="s">
        <v>2351</v>
      </c>
      <c r="I94" s="0" t="s">
        <v>2351</v>
      </c>
      <c r="J94" s="0" t="s">
        <v>2669</v>
      </c>
      <c r="L94" s="0" t="n">
        <v>0</v>
      </c>
    </row>
    <row r="95" customFormat="false" ht="15" hidden="false" customHeight="false" outlineLevel="0" collapsed="false">
      <c r="A95" s="0" t="s">
        <v>201</v>
      </c>
      <c r="B95" s="0" t="n">
        <v>2016</v>
      </c>
      <c r="C95" s="0" t="s">
        <v>2667</v>
      </c>
      <c r="D95" s="0" t="s">
        <v>2095</v>
      </c>
      <c r="E95" s="0" t="s">
        <v>2741</v>
      </c>
      <c r="F95" s="0" t="s">
        <v>87</v>
      </c>
      <c r="G95" s="0" t="s">
        <v>2665</v>
      </c>
      <c r="H95" s="0" t="s">
        <v>2351</v>
      </c>
      <c r="I95" s="0" t="s">
        <v>2351</v>
      </c>
      <c r="J95" s="0" t="s">
        <v>2669</v>
      </c>
      <c r="L95" s="0" t="n">
        <v>0</v>
      </c>
    </row>
    <row r="96" customFormat="false" ht="15" hidden="false" customHeight="false" outlineLevel="0" collapsed="false">
      <c r="A96" s="0" t="s">
        <v>201</v>
      </c>
      <c r="B96" s="0" t="n">
        <v>2017</v>
      </c>
      <c r="C96" s="0" t="s">
        <v>2667</v>
      </c>
      <c r="D96" s="0" t="s">
        <v>2148</v>
      </c>
      <c r="E96" s="0" t="s">
        <v>2742</v>
      </c>
      <c r="F96" s="0" t="s">
        <v>89</v>
      </c>
      <c r="G96" s="0" t="s">
        <v>2665</v>
      </c>
      <c r="H96" s="0" t="s">
        <v>2351</v>
      </c>
      <c r="I96" s="0" t="s">
        <v>2351</v>
      </c>
      <c r="J96" s="0" t="s">
        <v>2669</v>
      </c>
      <c r="L96" s="0" t="n">
        <v>0</v>
      </c>
    </row>
    <row r="97" customFormat="false" ht="15" hidden="false" customHeight="false" outlineLevel="0" collapsed="false">
      <c r="A97" s="0" t="s">
        <v>201</v>
      </c>
      <c r="B97" s="0" t="n">
        <v>2018</v>
      </c>
      <c r="C97" s="0" t="s">
        <v>521</v>
      </c>
      <c r="E97" s="0" t="s">
        <v>2743</v>
      </c>
      <c r="F97" s="0" t="s">
        <v>81</v>
      </c>
      <c r="G97" s="0" t="s">
        <v>2665</v>
      </c>
      <c r="H97" s="0" t="s">
        <v>2351</v>
      </c>
      <c r="I97" s="0" t="s">
        <v>2351</v>
      </c>
      <c r="J97" s="0" t="s">
        <v>2666</v>
      </c>
      <c r="L97" s="0" t="n">
        <v>0</v>
      </c>
    </row>
    <row r="98" customFormat="false" ht="15" hidden="false" customHeight="false" outlineLevel="0" collapsed="false">
      <c r="A98" s="0" t="s">
        <v>201</v>
      </c>
      <c r="B98" s="0" t="n">
        <v>2019</v>
      </c>
      <c r="C98" s="0" t="s">
        <v>521</v>
      </c>
      <c r="E98" s="0" t="s">
        <v>2743</v>
      </c>
      <c r="F98" s="0" t="s">
        <v>81</v>
      </c>
      <c r="G98" s="0" t="s">
        <v>2665</v>
      </c>
      <c r="H98" s="0" t="s">
        <v>2351</v>
      </c>
      <c r="I98" s="0" t="s">
        <v>2351</v>
      </c>
      <c r="J98" s="0" t="s">
        <v>2666</v>
      </c>
      <c r="L98" s="0" t="n">
        <v>0</v>
      </c>
    </row>
    <row r="99" customFormat="false" ht="15" hidden="false" customHeight="false" outlineLevel="0" collapsed="false">
      <c r="A99" s="0" t="s">
        <v>201</v>
      </c>
      <c r="B99" s="0" t="n">
        <v>2020</v>
      </c>
      <c r="C99" s="0" t="s">
        <v>2667</v>
      </c>
      <c r="D99" s="0" t="s">
        <v>2106</v>
      </c>
      <c r="E99" s="0" t="s">
        <v>2744</v>
      </c>
      <c r="F99" s="0" t="s">
        <v>209</v>
      </c>
      <c r="G99" s="0" t="s">
        <v>2673</v>
      </c>
      <c r="H99" s="0" t="s">
        <v>2351</v>
      </c>
      <c r="I99" s="0" t="s">
        <v>2345</v>
      </c>
      <c r="J99" s="0" t="s">
        <v>2674</v>
      </c>
      <c r="K99" s="0" t="s">
        <v>1658</v>
      </c>
      <c r="L99" s="0" t="n">
        <v>0</v>
      </c>
    </row>
    <row r="100" customFormat="false" ht="15" hidden="false" customHeight="false" outlineLevel="0" collapsed="false">
      <c r="A100" s="0" t="s">
        <v>201</v>
      </c>
      <c r="B100" s="0" t="n">
        <v>2021</v>
      </c>
      <c r="C100" s="0" t="s">
        <v>2667</v>
      </c>
      <c r="D100" s="0" t="s">
        <v>2106</v>
      </c>
      <c r="E100" s="0" t="s">
        <v>2744</v>
      </c>
      <c r="F100" s="0" t="s">
        <v>97</v>
      </c>
      <c r="G100" s="0" t="s">
        <v>2665</v>
      </c>
      <c r="H100" s="0" t="s">
        <v>2351</v>
      </c>
      <c r="I100" s="0" t="s">
        <v>2351</v>
      </c>
      <c r="J100" s="0" t="s">
        <v>2669</v>
      </c>
      <c r="L100" s="0" t="n">
        <v>0</v>
      </c>
    </row>
    <row r="101" customFormat="false" ht="15" hidden="false" customHeight="false" outlineLevel="0" collapsed="false">
      <c r="A101" s="0" t="s">
        <v>201</v>
      </c>
      <c r="B101" s="0" t="n">
        <v>2022</v>
      </c>
      <c r="C101" s="0" t="s">
        <v>2667</v>
      </c>
      <c r="D101" s="0" t="s">
        <v>2156</v>
      </c>
      <c r="E101" s="0" t="s">
        <v>2745</v>
      </c>
      <c r="F101" s="0" t="s">
        <v>114</v>
      </c>
      <c r="G101" s="0" t="s">
        <v>2665</v>
      </c>
      <c r="H101" s="0" t="s">
        <v>2351</v>
      </c>
      <c r="I101" s="0" t="s">
        <v>2351</v>
      </c>
      <c r="J101" s="0" t="s">
        <v>2669</v>
      </c>
      <c r="L101" s="0" t="n">
        <v>0</v>
      </c>
    </row>
    <row r="102" customFormat="false" ht="15" hidden="false" customHeight="false" outlineLevel="0" collapsed="false">
      <c r="A102" s="0" t="s">
        <v>211</v>
      </c>
      <c r="B102" s="0" t="n">
        <v>2013</v>
      </c>
      <c r="C102" s="0" t="s">
        <v>2667</v>
      </c>
      <c r="D102" s="0" t="s">
        <v>2466</v>
      </c>
      <c r="E102" s="0" t="s">
        <v>2746</v>
      </c>
      <c r="F102" s="0" t="s">
        <v>213</v>
      </c>
      <c r="G102" s="0" t="s">
        <v>2665</v>
      </c>
      <c r="H102" s="0" t="s">
        <v>2351</v>
      </c>
      <c r="I102" s="0" t="s">
        <v>2351</v>
      </c>
      <c r="J102" s="0" t="s">
        <v>2669</v>
      </c>
      <c r="L102" s="0" t="n">
        <v>0</v>
      </c>
    </row>
    <row r="103" customFormat="false" ht="15" hidden="false" customHeight="false" outlineLevel="0" collapsed="false">
      <c r="A103" s="0" t="s">
        <v>211</v>
      </c>
      <c r="B103" s="0" t="n">
        <v>2014</v>
      </c>
      <c r="C103" s="0" t="s">
        <v>521</v>
      </c>
      <c r="E103" s="0" t="s">
        <v>2747</v>
      </c>
      <c r="F103" s="0" t="s">
        <v>81</v>
      </c>
      <c r="G103" s="0" t="s">
        <v>2665</v>
      </c>
      <c r="H103" s="0" t="s">
        <v>2351</v>
      </c>
      <c r="I103" s="0" t="s">
        <v>2351</v>
      </c>
      <c r="J103" s="0" t="s">
        <v>2666</v>
      </c>
      <c r="L103" s="0" t="n">
        <v>0</v>
      </c>
    </row>
    <row r="104" customFormat="false" ht="15" hidden="false" customHeight="false" outlineLevel="0" collapsed="false">
      <c r="A104" s="0" t="s">
        <v>211</v>
      </c>
      <c r="B104" s="0" t="n">
        <v>2015</v>
      </c>
      <c r="C104" s="0" t="s">
        <v>521</v>
      </c>
      <c r="E104" s="0" t="s">
        <v>2748</v>
      </c>
      <c r="F104" s="0" t="s">
        <v>81</v>
      </c>
      <c r="G104" s="0" t="s">
        <v>2665</v>
      </c>
      <c r="H104" s="0" t="s">
        <v>2351</v>
      </c>
      <c r="I104" s="0" t="s">
        <v>2351</v>
      </c>
      <c r="J104" s="0" t="s">
        <v>2666</v>
      </c>
      <c r="L104" s="0" t="n">
        <v>0</v>
      </c>
    </row>
    <row r="105" customFormat="false" ht="15" hidden="false" customHeight="false" outlineLevel="0" collapsed="false">
      <c r="A105" s="0" t="s">
        <v>211</v>
      </c>
      <c r="B105" s="0" t="n">
        <v>2016</v>
      </c>
      <c r="C105" s="0" t="s">
        <v>521</v>
      </c>
      <c r="E105" s="0" t="s">
        <v>2749</v>
      </c>
      <c r="F105" s="0" t="s">
        <v>81</v>
      </c>
      <c r="G105" s="0" t="s">
        <v>2665</v>
      </c>
      <c r="H105" s="0" t="s">
        <v>2351</v>
      </c>
      <c r="I105" s="0" t="s">
        <v>2351</v>
      </c>
      <c r="J105" s="0" t="s">
        <v>2666</v>
      </c>
      <c r="L105" s="0" t="n">
        <v>0</v>
      </c>
    </row>
    <row r="106" customFormat="false" ht="15" hidden="false" customHeight="false" outlineLevel="0" collapsed="false">
      <c r="A106" s="0" t="s">
        <v>211</v>
      </c>
      <c r="B106" s="0" t="n">
        <v>2017</v>
      </c>
      <c r="C106" s="0" t="s">
        <v>521</v>
      </c>
      <c r="E106" s="0" t="s">
        <v>2750</v>
      </c>
      <c r="F106" s="0" t="s">
        <v>81</v>
      </c>
      <c r="G106" s="0" t="s">
        <v>2665</v>
      </c>
      <c r="H106" s="0" t="s">
        <v>2351</v>
      </c>
      <c r="I106" s="0" t="s">
        <v>2351</v>
      </c>
      <c r="J106" s="0" t="s">
        <v>2666</v>
      </c>
      <c r="L106" s="0" t="n">
        <v>0</v>
      </c>
    </row>
    <row r="107" customFormat="false" ht="15" hidden="false" customHeight="false" outlineLevel="0" collapsed="false">
      <c r="A107" s="0" t="s">
        <v>211</v>
      </c>
      <c r="B107" s="0" t="n">
        <v>2018</v>
      </c>
      <c r="C107" s="0" t="s">
        <v>521</v>
      </c>
      <c r="E107" s="0" t="s">
        <v>2750</v>
      </c>
      <c r="F107" s="0" t="s">
        <v>81</v>
      </c>
      <c r="G107" s="0" t="s">
        <v>2665</v>
      </c>
      <c r="H107" s="0" t="s">
        <v>2351</v>
      </c>
      <c r="I107" s="0" t="s">
        <v>2351</v>
      </c>
      <c r="J107" s="0" t="s">
        <v>2666</v>
      </c>
      <c r="L107" s="0" t="n">
        <v>0</v>
      </c>
    </row>
    <row r="108" customFormat="false" ht="15" hidden="false" customHeight="false" outlineLevel="0" collapsed="false">
      <c r="A108" s="0" t="s">
        <v>211</v>
      </c>
      <c r="B108" s="0" t="n">
        <v>2019</v>
      </c>
      <c r="C108" s="0" t="s">
        <v>521</v>
      </c>
      <c r="E108" s="0" t="s">
        <v>2751</v>
      </c>
      <c r="F108" s="0" t="s">
        <v>81</v>
      </c>
      <c r="G108" s="0" t="s">
        <v>2665</v>
      </c>
      <c r="H108" s="0" t="s">
        <v>2351</v>
      </c>
      <c r="I108" s="0" t="s">
        <v>2351</v>
      </c>
      <c r="J108" s="0" t="s">
        <v>2666</v>
      </c>
      <c r="L108" s="0" t="n">
        <v>0</v>
      </c>
    </row>
    <row r="109" customFormat="false" ht="15" hidden="false" customHeight="false" outlineLevel="0" collapsed="false">
      <c r="A109" s="0" t="s">
        <v>211</v>
      </c>
      <c r="B109" s="0" t="n">
        <v>2020</v>
      </c>
      <c r="C109" s="0" t="s">
        <v>521</v>
      </c>
      <c r="E109" s="0" t="s">
        <v>2751</v>
      </c>
      <c r="F109" s="0" t="s">
        <v>81</v>
      </c>
      <c r="G109" s="0" t="s">
        <v>2665</v>
      </c>
      <c r="H109" s="0" t="s">
        <v>2351</v>
      </c>
      <c r="I109" s="0" t="s">
        <v>2351</v>
      </c>
      <c r="J109" s="0" t="s">
        <v>2666</v>
      </c>
      <c r="L109" s="0" t="n">
        <v>0</v>
      </c>
    </row>
    <row r="110" customFormat="false" ht="15" hidden="false" customHeight="false" outlineLevel="0" collapsed="false">
      <c r="A110" s="0" t="s">
        <v>211</v>
      </c>
      <c r="B110" s="0" t="n">
        <v>2021</v>
      </c>
      <c r="C110" s="0" t="s">
        <v>2667</v>
      </c>
      <c r="D110" s="0" t="s">
        <v>1884</v>
      </c>
      <c r="E110" s="0" t="s">
        <v>1883</v>
      </c>
      <c r="F110" s="0" t="s">
        <v>220</v>
      </c>
      <c r="G110" s="0" t="s">
        <v>2673</v>
      </c>
      <c r="H110" s="0" t="s">
        <v>2351</v>
      </c>
      <c r="I110" s="0" t="s">
        <v>2345</v>
      </c>
      <c r="J110" s="0" t="s">
        <v>2674</v>
      </c>
      <c r="K110" s="0" t="s">
        <v>1658</v>
      </c>
      <c r="L110" s="0" t="n">
        <v>2</v>
      </c>
      <c r="M110" s="0" t="s">
        <v>2752</v>
      </c>
      <c r="N110" s="0" t="s">
        <v>2753</v>
      </c>
      <c r="O110" s="0" t="s">
        <v>2754</v>
      </c>
    </row>
    <row r="111" customFormat="false" ht="15" hidden="false" customHeight="false" outlineLevel="0" collapsed="false">
      <c r="A111" s="0" t="s">
        <v>211</v>
      </c>
      <c r="B111" s="0" t="n">
        <v>2022</v>
      </c>
      <c r="C111" s="0" t="s">
        <v>521</v>
      </c>
      <c r="E111" s="0" t="s">
        <v>2755</v>
      </c>
      <c r="F111" s="0" t="s">
        <v>81</v>
      </c>
      <c r="G111" s="0" t="s">
        <v>2665</v>
      </c>
      <c r="H111" s="0" t="s">
        <v>2351</v>
      </c>
      <c r="I111" s="0" t="s">
        <v>2351</v>
      </c>
      <c r="J111" s="0" t="s">
        <v>2666</v>
      </c>
      <c r="L111" s="0" t="n">
        <v>2</v>
      </c>
      <c r="M111" s="0" t="s">
        <v>63</v>
      </c>
    </row>
    <row r="112" customFormat="false" ht="15" hidden="false" customHeight="false" outlineLevel="0" collapsed="false">
      <c r="A112" s="0" t="s">
        <v>222</v>
      </c>
      <c r="B112" s="0" t="n">
        <v>2013</v>
      </c>
      <c r="C112" s="0" t="s">
        <v>2667</v>
      </c>
      <c r="D112" s="0" t="s">
        <v>2015</v>
      </c>
      <c r="E112" s="0" t="s">
        <v>2756</v>
      </c>
      <c r="F112" s="0" t="s">
        <v>103</v>
      </c>
      <c r="G112" s="0" t="s">
        <v>2665</v>
      </c>
      <c r="H112" s="0" t="s">
        <v>2351</v>
      </c>
      <c r="I112" s="0" t="s">
        <v>2351</v>
      </c>
      <c r="J112" s="0" t="s">
        <v>2669</v>
      </c>
      <c r="L112" s="0" t="n">
        <v>0</v>
      </c>
    </row>
    <row r="113" customFormat="false" ht="15" hidden="false" customHeight="false" outlineLevel="0" collapsed="false">
      <c r="A113" s="0" t="s">
        <v>222</v>
      </c>
      <c r="B113" s="0" t="n">
        <v>2014</v>
      </c>
      <c r="C113" s="0" t="s">
        <v>521</v>
      </c>
      <c r="E113" s="0" t="s">
        <v>2757</v>
      </c>
      <c r="F113" s="0" t="s">
        <v>81</v>
      </c>
      <c r="G113" s="0" t="s">
        <v>2665</v>
      </c>
      <c r="H113" s="0" t="s">
        <v>2351</v>
      </c>
      <c r="I113" s="0" t="s">
        <v>2351</v>
      </c>
      <c r="J113" s="0" t="s">
        <v>2666</v>
      </c>
      <c r="L113" s="0" t="n">
        <v>0</v>
      </c>
    </row>
    <row r="114" customFormat="false" ht="15" hidden="false" customHeight="false" outlineLevel="0" collapsed="false">
      <c r="A114" s="0" t="s">
        <v>222</v>
      </c>
      <c r="B114" s="0" t="n">
        <v>2015</v>
      </c>
      <c r="C114" s="0" t="s">
        <v>521</v>
      </c>
      <c r="E114" s="0" t="s">
        <v>2757</v>
      </c>
      <c r="F114" s="0" t="s">
        <v>81</v>
      </c>
      <c r="G114" s="0" t="s">
        <v>2665</v>
      </c>
      <c r="H114" s="0" t="s">
        <v>2351</v>
      </c>
      <c r="I114" s="0" t="s">
        <v>2351</v>
      </c>
      <c r="J114" s="0" t="s">
        <v>2666</v>
      </c>
      <c r="L114" s="0" t="n">
        <v>0</v>
      </c>
    </row>
    <row r="115" customFormat="false" ht="15" hidden="false" customHeight="false" outlineLevel="0" collapsed="false">
      <c r="A115" s="0" t="s">
        <v>222</v>
      </c>
      <c r="B115" s="0" t="n">
        <v>2016</v>
      </c>
      <c r="C115" s="0" t="s">
        <v>2667</v>
      </c>
      <c r="D115" s="0" t="s">
        <v>2422</v>
      </c>
      <c r="E115" s="0" t="s">
        <v>2758</v>
      </c>
      <c r="F115" s="0" t="s">
        <v>226</v>
      </c>
      <c r="G115" s="0" t="s">
        <v>2665</v>
      </c>
      <c r="H115" s="0" t="s">
        <v>2351</v>
      </c>
      <c r="I115" s="0" t="s">
        <v>2351</v>
      </c>
      <c r="J115" s="0" t="s">
        <v>2669</v>
      </c>
      <c r="L115" s="0" t="n">
        <v>0</v>
      </c>
    </row>
    <row r="116" customFormat="false" ht="15" hidden="false" customHeight="false" outlineLevel="0" collapsed="false">
      <c r="A116" s="0" t="s">
        <v>222</v>
      </c>
      <c r="B116" s="0" t="n">
        <v>2017</v>
      </c>
      <c r="C116" s="0" t="s">
        <v>2667</v>
      </c>
      <c r="D116" s="0" t="s">
        <v>2418</v>
      </c>
      <c r="E116" s="0" t="s">
        <v>2759</v>
      </c>
      <c r="F116" s="0" t="s">
        <v>228</v>
      </c>
      <c r="G116" s="0" t="s">
        <v>2665</v>
      </c>
      <c r="H116" s="0" t="s">
        <v>2351</v>
      </c>
      <c r="I116" s="0" t="s">
        <v>2351</v>
      </c>
      <c r="J116" s="0" t="s">
        <v>2669</v>
      </c>
      <c r="L116" s="0" t="n">
        <v>1</v>
      </c>
      <c r="M116" s="0" t="s">
        <v>1622</v>
      </c>
    </row>
    <row r="117" customFormat="false" ht="15" hidden="false" customHeight="false" outlineLevel="0" collapsed="false">
      <c r="A117" s="0" t="s">
        <v>222</v>
      </c>
      <c r="B117" s="0" t="n">
        <v>2018</v>
      </c>
      <c r="C117" s="0" t="s">
        <v>2667</v>
      </c>
      <c r="D117" s="0" t="s">
        <v>2435</v>
      </c>
      <c r="E117" s="0" t="s">
        <v>2760</v>
      </c>
      <c r="F117" s="0" t="s">
        <v>230</v>
      </c>
      <c r="G117" s="0" t="s">
        <v>2665</v>
      </c>
      <c r="H117" s="0" t="s">
        <v>2351</v>
      </c>
      <c r="I117" s="0" t="s">
        <v>2351</v>
      </c>
      <c r="J117" s="0" t="s">
        <v>2669</v>
      </c>
      <c r="L117" s="0" t="n">
        <v>0</v>
      </c>
    </row>
    <row r="118" customFormat="false" ht="15" hidden="false" customHeight="false" outlineLevel="0" collapsed="false">
      <c r="A118" s="0" t="s">
        <v>222</v>
      </c>
      <c r="B118" s="0" t="n">
        <v>2019</v>
      </c>
      <c r="C118" s="0" t="s">
        <v>2667</v>
      </c>
      <c r="D118" s="0" t="s">
        <v>1924</v>
      </c>
      <c r="E118" s="0" t="s">
        <v>1923</v>
      </c>
      <c r="F118" s="0" t="s">
        <v>232</v>
      </c>
      <c r="G118" s="0" t="s">
        <v>2665</v>
      </c>
      <c r="H118" s="0" t="s">
        <v>2351</v>
      </c>
      <c r="I118" s="0" t="s">
        <v>2351</v>
      </c>
      <c r="J118" s="0" t="s">
        <v>2669</v>
      </c>
      <c r="L118" s="0" t="n">
        <v>0</v>
      </c>
    </row>
    <row r="119" customFormat="false" ht="15" hidden="false" customHeight="false" outlineLevel="0" collapsed="false">
      <c r="A119" s="0" t="s">
        <v>222</v>
      </c>
      <c r="B119" s="0" t="n">
        <v>2020</v>
      </c>
      <c r="C119" s="0" t="s">
        <v>2667</v>
      </c>
      <c r="D119" s="0" t="s">
        <v>1928</v>
      </c>
      <c r="E119" s="0" t="s">
        <v>1927</v>
      </c>
      <c r="F119" s="0" t="s">
        <v>234</v>
      </c>
      <c r="G119" s="0" t="s">
        <v>2665</v>
      </c>
      <c r="H119" s="0" t="s">
        <v>2351</v>
      </c>
      <c r="I119" s="0" t="s">
        <v>2351</v>
      </c>
      <c r="J119" s="0" t="s">
        <v>2669</v>
      </c>
      <c r="L119" s="0" t="n">
        <v>0</v>
      </c>
    </row>
    <row r="120" customFormat="false" ht="15" hidden="false" customHeight="false" outlineLevel="0" collapsed="false">
      <c r="A120" s="0" t="s">
        <v>222</v>
      </c>
      <c r="B120" s="0" t="n">
        <v>2021</v>
      </c>
      <c r="C120" s="0" t="s">
        <v>521</v>
      </c>
      <c r="E120" s="0" t="s">
        <v>2761</v>
      </c>
      <c r="F120" s="0" t="s">
        <v>81</v>
      </c>
      <c r="G120" s="0" t="s">
        <v>2665</v>
      </c>
      <c r="H120" s="0" t="s">
        <v>2351</v>
      </c>
      <c r="I120" s="0" t="s">
        <v>2351</v>
      </c>
      <c r="J120" s="0" t="s">
        <v>2666</v>
      </c>
      <c r="L120" s="0" t="n">
        <v>0</v>
      </c>
    </row>
    <row r="121" customFormat="false" ht="15" hidden="false" customHeight="false" outlineLevel="0" collapsed="false">
      <c r="A121" s="0" t="s">
        <v>222</v>
      </c>
      <c r="B121" s="0" t="n">
        <v>2022</v>
      </c>
      <c r="C121" s="0" t="s">
        <v>521</v>
      </c>
      <c r="E121" s="0" t="s">
        <v>2761</v>
      </c>
      <c r="F121" s="0" t="s">
        <v>81</v>
      </c>
      <c r="G121" s="0" t="s">
        <v>2665</v>
      </c>
      <c r="H121" s="0" t="s">
        <v>2351</v>
      </c>
      <c r="I121" s="0" t="s">
        <v>2351</v>
      </c>
      <c r="J121" s="0" t="s">
        <v>2666</v>
      </c>
      <c r="L12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2762</v>
      </c>
    </row>
    <row r="3" customFormat="false" ht="15" hidden="false" customHeight="false" outlineLevel="0" collapsed="false">
      <c r="A3" s="3" t="s">
        <v>2763</v>
      </c>
      <c r="B3" s="3" t="s">
        <v>50</v>
      </c>
      <c r="C3" s="3" t="s">
        <v>51</v>
      </c>
      <c r="D3" s="3" t="s">
        <v>301</v>
      </c>
      <c r="E3" s="3" t="s">
        <v>2764</v>
      </c>
      <c r="F3" s="3" t="s">
        <v>2765</v>
      </c>
      <c r="G3" s="3" t="s">
        <v>433</v>
      </c>
      <c r="H3" s="3" t="s">
        <v>2766</v>
      </c>
    </row>
    <row r="4" customFormat="false" ht="15" hidden="false" customHeight="false" outlineLevel="0" collapsed="false">
      <c r="A4" s="0" t="s">
        <v>2767</v>
      </c>
      <c r="B4" s="0" t="s">
        <v>178</v>
      </c>
      <c r="C4" s="0" t="n">
        <v>2015</v>
      </c>
      <c r="D4" s="0" t="s">
        <v>61</v>
      </c>
      <c r="E4" s="0" t="n">
        <v>13043</v>
      </c>
      <c r="F4" s="0" t="n">
        <v>13043</v>
      </c>
      <c r="G4" s="0" t="s">
        <v>2768</v>
      </c>
      <c r="H4" s="0" t="s">
        <v>2769</v>
      </c>
    </row>
    <row r="5" customFormat="false" ht="15" hidden="false" customHeight="false" outlineLevel="0" collapsed="false">
      <c r="A5" s="0" t="s">
        <v>2770</v>
      </c>
      <c r="B5" s="0" t="s">
        <v>178</v>
      </c>
      <c r="C5" s="0" t="n">
        <v>2016</v>
      </c>
      <c r="D5" s="0" t="s">
        <v>61</v>
      </c>
      <c r="E5" s="0" t="n">
        <v>29741</v>
      </c>
      <c r="F5" s="0" t="n">
        <v>29741</v>
      </c>
      <c r="G5" s="0" t="s">
        <v>2768</v>
      </c>
      <c r="H5" s="0" t="s">
        <v>2771</v>
      </c>
    </row>
    <row r="6" customFormat="false" ht="15" hidden="false" customHeight="false" outlineLevel="0" collapsed="false">
      <c r="A6" s="0" t="s">
        <v>2772</v>
      </c>
      <c r="B6" s="0" t="s">
        <v>178</v>
      </c>
      <c r="C6" s="0" t="n">
        <v>2022</v>
      </c>
      <c r="D6" s="0" t="s">
        <v>72</v>
      </c>
      <c r="E6" s="0" t="n">
        <v>0</v>
      </c>
      <c r="F6" s="0" t="n">
        <v>0</v>
      </c>
      <c r="G6" s="0" t="s">
        <v>2768</v>
      </c>
      <c r="H6" s="0" t="s">
        <v>2773</v>
      </c>
    </row>
    <row r="7" customFormat="false" ht="15" hidden="false" customHeight="false" outlineLevel="0" collapsed="false">
      <c r="A7" s="0" t="s">
        <v>2774</v>
      </c>
      <c r="B7" s="0" t="s">
        <v>187</v>
      </c>
      <c r="C7" s="0" t="n">
        <v>2017</v>
      </c>
      <c r="D7" s="0" t="s">
        <v>54</v>
      </c>
      <c r="E7" s="0" t="n">
        <v>11239</v>
      </c>
      <c r="F7" s="0" t="n">
        <v>11239</v>
      </c>
      <c r="G7" s="0" t="s">
        <v>2768</v>
      </c>
      <c r="H7" s="0" t="s">
        <v>2775</v>
      </c>
    </row>
    <row r="8" customFormat="false" ht="15" hidden="false" customHeight="false" outlineLevel="0" collapsed="false">
      <c r="A8" s="0" t="s">
        <v>2776</v>
      </c>
      <c r="B8" s="0" t="s">
        <v>187</v>
      </c>
      <c r="C8" s="0" t="n">
        <v>2018</v>
      </c>
      <c r="D8" s="0" t="s">
        <v>61</v>
      </c>
      <c r="E8" s="0" t="n">
        <v>45359</v>
      </c>
      <c r="F8" s="0" t="n">
        <v>45359</v>
      </c>
      <c r="G8" s="0" t="s">
        <v>2768</v>
      </c>
      <c r="H8" s="0" t="s">
        <v>2777</v>
      </c>
    </row>
    <row r="9" customFormat="false" ht="15" hidden="false" customHeight="false" outlineLevel="0" collapsed="false">
      <c r="A9" s="0" t="s">
        <v>2778</v>
      </c>
      <c r="B9" s="0" t="s">
        <v>187</v>
      </c>
      <c r="C9" s="0" t="n">
        <v>2022</v>
      </c>
      <c r="D9" s="0" t="s">
        <v>45</v>
      </c>
      <c r="G9" s="0" t="s">
        <v>2779</v>
      </c>
      <c r="H9" s="0" t="s">
        <v>2780</v>
      </c>
    </row>
    <row r="10" customFormat="false" ht="15" hidden="false" customHeight="false" outlineLevel="0" collapsed="false">
      <c r="A10" s="0" t="s">
        <v>2781</v>
      </c>
      <c r="B10" s="0" t="s">
        <v>169</v>
      </c>
      <c r="C10" s="0" t="n">
        <v>2018</v>
      </c>
      <c r="D10" s="0" t="s">
        <v>2782</v>
      </c>
      <c r="G10" s="0" t="s">
        <v>2779</v>
      </c>
      <c r="H10" s="0" t="s">
        <v>2783</v>
      </c>
    </row>
    <row r="11" customFormat="false" ht="15" hidden="false" customHeight="false" outlineLevel="0" collapsed="false">
      <c r="A11" s="0" t="s">
        <v>2784</v>
      </c>
      <c r="B11" s="0" t="s">
        <v>211</v>
      </c>
      <c r="C11" s="0" t="n">
        <v>2015</v>
      </c>
      <c r="D11" s="0" t="s">
        <v>54</v>
      </c>
      <c r="F11" s="0" t="n">
        <v>2273.205</v>
      </c>
      <c r="G11" s="0" t="s">
        <v>2779</v>
      </c>
      <c r="H11" s="0" t="s">
        <v>2785</v>
      </c>
    </row>
    <row r="12" customFormat="false" ht="15" hidden="false" customHeight="false" outlineLevel="0" collapsed="false">
      <c r="A12" s="0" t="s">
        <v>2786</v>
      </c>
      <c r="B12" s="0" t="s">
        <v>187</v>
      </c>
      <c r="C12" s="0" t="s">
        <v>2787</v>
      </c>
      <c r="D12" s="0" t="s">
        <v>2788</v>
      </c>
      <c r="G12" s="0" t="s">
        <v>2789</v>
      </c>
      <c r="H12" s="0" t="s">
        <v>2790</v>
      </c>
    </row>
    <row r="13" customFormat="false" ht="15" hidden="false" customHeight="false" outlineLevel="0" collapsed="false">
      <c r="A13" s="0" t="s">
        <v>2791</v>
      </c>
      <c r="B13" s="0" t="s">
        <v>187</v>
      </c>
      <c r="C13" s="0" t="s">
        <v>2792</v>
      </c>
      <c r="D13" s="0" t="s">
        <v>2793</v>
      </c>
      <c r="G13" s="0" t="s">
        <v>2794</v>
      </c>
      <c r="H13" s="0" t="s">
        <v>2795</v>
      </c>
    </row>
    <row r="14" customFormat="false" ht="15" hidden="false" customHeight="false" outlineLevel="0" collapsed="false">
      <c r="A14" s="0" t="s">
        <v>2796</v>
      </c>
      <c r="B14" s="0" t="s">
        <v>187</v>
      </c>
      <c r="C14" s="0" t="s">
        <v>2797</v>
      </c>
      <c r="D14" s="0" t="s">
        <v>2798</v>
      </c>
      <c r="G14" s="0" t="s">
        <v>2799</v>
      </c>
      <c r="H14" s="0" t="s">
        <v>2800</v>
      </c>
    </row>
    <row r="15" customFormat="false" ht="15" hidden="false" customHeight="false" outlineLevel="0" collapsed="false">
      <c r="A15" s="0" t="s">
        <v>2801</v>
      </c>
      <c r="B15" s="0" t="s">
        <v>187</v>
      </c>
      <c r="C15" s="0" t="s">
        <v>2802</v>
      </c>
      <c r="D15" s="0" t="s">
        <v>2803</v>
      </c>
      <c r="G15" s="0" t="s">
        <v>2804</v>
      </c>
      <c r="H15" s="0" t="s">
        <v>2805</v>
      </c>
    </row>
    <row r="16" customFormat="false" ht="15" hidden="false" customHeight="false" outlineLevel="0" collapsed="false">
      <c r="A16" s="0" t="s">
        <v>2806</v>
      </c>
      <c r="B16" s="0" t="s">
        <v>187</v>
      </c>
      <c r="C16" s="0" t="s">
        <v>2807</v>
      </c>
      <c r="D16" s="0" t="s">
        <v>2808</v>
      </c>
      <c r="G16" s="0" t="s">
        <v>2809</v>
      </c>
      <c r="H16" s="0" t="s">
        <v>2810</v>
      </c>
    </row>
    <row r="17" customFormat="false" ht="15" hidden="false" customHeight="false" outlineLevel="0" collapsed="false">
      <c r="A17" s="0" t="s">
        <v>2811</v>
      </c>
      <c r="B17" s="0" t="s">
        <v>187</v>
      </c>
      <c r="C17" s="0" t="s">
        <v>2812</v>
      </c>
      <c r="D17" s="0" t="s">
        <v>2813</v>
      </c>
      <c r="G17" s="0" t="s">
        <v>2809</v>
      </c>
      <c r="H17" s="0" t="s">
        <v>2814</v>
      </c>
    </row>
    <row r="18" customFormat="false" ht="15" hidden="false" customHeight="false" outlineLevel="0" collapsed="false">
      <c r="A18" s="0" t="s">
        <v>2815</v>
      </c>
      <c r="B18" s="0" t="s">
        <v>187</v>
      </c>
      <c r="C18" s="0" t="s">
        <v>2816</v>
      </c>
      <c r="D18" s="0" t="s">
        <v>2817</v>
      </c>
      <c r="G18" s="0" t="s">
        <v>2818</v>
      </c>
      <c r="H18" s="0" t="s">
        <v>2819</v>
      </c>
    </row>
    <row r="19" customFormat="false" ht="15" hidden="false" customHeight="false" outlineLevel="0" collapsed="false">
      <c r="A19" s="0" t="s">
        <v>2820</v>
      </c>
      <c r="B19" s="0" t="s">
        <v>187</v>
      </c>
      <c r="C19" s="0" t="s">
        <v>2821</v>
      </c>
      <c r="D19" s="0" t="s">
        <v>2822</v>
      </c>
      <c r="G19" s="0" t="s">
        <v>2823</v>
      </c>
      <c r="H19" s="0" t="s">
        <v>2824</v>
      </c>
    </row>
    <row r="20" customFormat="false" ht="15" hidden="false" customHeight="false" outlineLevel="0" collapsed="false">
      <c r="A20" s="0" t="s">
        <v>2825</v>
      </c>
      <c r="B20" s="0" t="s">
        <v>187</v>
      </c>
      <c r="C20" s="0" t="s">
        <v>2826</v>
      </c>
      <c r="D20" s="0" t="s">
        <v>2827</v>
      </c>
      <c r="G20" s="0" t="s">
        <v>2809</v>
      </c>
      <c r="H20" s="0" t="s">
        <v>2828</v>
      </c>
    </row>
    <row r="21" customFormat="false" ht="15" hidden="false" customHeight="false" outlineLevel="0" collapsed="false">
      <c r="A21" s="0" t="s">
        <v>2829</v>
      </c>
      <c r="B21" s="0" t="s">
        <v>187</v>
      </c>
      <c r="C21" s="0" t="s">
        <v>2830</v>
      </c>
      <c r="D21" s="0" t="s">
        <v>2831</v>
      </c>
      <c r="G21" s="0" t="s">
        <v>2832</v>
      </c>
      <c r="H21" s="0" t="s">
        <v>2833</v>
      </c>
    </row>
    <row r="22" customFormat="false" ht="15" hidden="false" customHeight="false" outlineLevel="0" collapsed="false">
      <c r="A22" s="0" t="s">
        <v>2834</v>
      </c>
      <c r="B22" s="0" t="s">
        <v>187</v>
      </c>
      <c r="C22" s="0" t="s">
        <v>2835</v>
      </c>
      <c r="D22" s="0" t="s">
        <v>2836</v>
      </c>
      <c r="G22" s="0" t="s">
        <v>2809</v>
      </c>
      <c r="H22" s="0" t="s">
        <v>2837</v>
      </c>
    </row>
    <row r="23" customFormat="false" ht="15" hidden="false" customHeight="false" outlineLevel="0" collapsed="false">
      <c r="A23" s="0" t="s">
        <v>2838</v>
      </c>
      <c r="B23" s="0" t="s">
        <v>187</v>
      </c>
      <c r="C23" s="0" t="s">
        <v>2839</v>
      </c>
      <c r="D23" s="0" t="s">
        <v>2840</v>
      </c>
      <c r="G23" s="0" t="s">
        <v>2818</v>
      </c>
      <c r="H23" s="0" t="s">
        <v>2841</v>
      </c>
    </row>
    <row r="24" customFormat="false" ht="15" hidden="false" customHeight="false" outlineLevel="0" collapsed="false">
      <c r="A24" s="0" t="s">
        <v>2842</v>
      </c>
      <c r="B24" s="0" t="s">
        <v>187</v>
      </c>
      <c r="C24" s="0" t="s">
        <v>2839</v>
      </c>
      <c r="D24" s="0" t="s">
        <v>2843</v>
      </c>
      <c r="G24" s="0" t="s">
        <v>2818</v>
      </c>
      <c r="H24" s="0" t="s">
        <v>2844</v>
      </c>
    </row>
    <row r="25" customFormat="false" ht="15" hidden="false" customHeight="false" outlineLevel="0" collapsed="false">
      <c r="A25" s="0" t="s">
        <v>2845</v>
      </c>
      <c r="B25" s="0" t="s">
        <v>187</v>
      </c>
      <c r="C25" s="0" t="s">
        <v>2846</v>
      </c>
      <c r="D25" s="0" t="s">
        <v>2847</v>
      </c>
      <c r="G25" s="0" t="s">
        <v>2848</v>
      </c>
      <c r="H25" s="0" t="s">
        <v>2849</v>
      </c>
    </row>
    <row r="26" customFormat="false" ht="15" hidden="false" customHeight="false" outlineLevel="0" collapsed="false">
      <c r="A26" s="0" t="s">
        <v>2850</v>
      </c>
      <c r="B26" s="0" t="s">
        <v>187</v>
      </c>
      <c r="C26" s="0" t="s">
        <v>2851</v>
      </c>
      <c r="D26" s="0" t="s">
        <v>2852</v>
      </c>
      <c r="G26" s="0" t="s">
        <v>2853</v>
      </c>
      <c r="H26" s="0" t="s">
        <v>2854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2" t="s">
        <v>2855</v>
      </c>
    </row>
    <row r="3" customFormat="false" ht="15" hidden="false" customHeight="false" outlineLevel="0" collapsed="false">
      <c r="A3" s="3" t="s">
        <v>2856</v>
      </c>
      <c r="B3" s="3" t="s">
        <v>50</v>
      </c>
      <c r="C3" s="3" t="s">
        <v>51</v>
      </c>
      <c r="D3" s="3" t="s">
        <v>301</v>
      </c>
      <c r="E3" s="3" t="s">
        <v>2857</v>
      </c>
      <c r="F3" s="3" t="s">
        <v>2858</v>
      </c>
      <c r="G3" s="3" t="s">
        <v>2859</v>
      </c>
    </row>
    <row r="4" customFormat="false" ht="15" hidden="false" customHeight="false" outlineLevel="0" collapsed="false">
      <c r="A4" s="0" t="s">
        <v>699</v>
      </c>
      <c r="B4" s="0" t="s">
        <v>149</v>
      </c>
      <c r="C4" s="0" t="n">
        <v>2021</v>
      </c>
      <c r="D4" s="0" t="s">
        <v>65</v>
      </c>
      <c r="E4" s="0" t="n">
        <v>226940</v>
      </c>
      <c r="F4" s="0" t="n">
        <v>228300</v>
      </c>
      <c r="G4" s="0" t="s">
        <v>2860</v>
      </c>
    </row>
    <row r="5" customFormat="false" ht="15" hidden="false" customHeight="false" outlineLevel="0" collapsed="false">
      <c r="A5" s="0" t="s">
        <v>830</v>
      </c>
      <c r="B5" s="0" t="s">
        <v>211</v>
      </c>
      <c r="C5" s="0" t="n">
        <v>2021</v>
      </c>
      <c r="D5" s="0" t="s">
        <v>69</v>
      </c>
      <c r="E5" s="0" t="n">
        <v>11.71</v>
      </c>
      <c r="F5" s="0" t="n">
        <v>11.56</v>
      </c>
      <c r="G5" s="0" t="s">
        <v>505</v>
      </c>
    </row>
    <row r="6" customFormat="false" ht="15" hidden="false" customHeight="false" outlineLevel="0" collapsed="false">
      <c r="A6" s="0" t="s">
        <v>1502</v>
      </c>
      <c r="B6" s="0" t="s">
        <v>211</v>
      </c>
      <c r="C6" s="0" t="n">
        <v>2021</v>
      </c>
      <c r="D6" s="0" t="s">
        <v>64</v>
      </c>
      <c r="E6" s="0" t="n">
        <v>21263.336</v>
      </c>
      <c r="G6" s="0" t="s">
        <v>2861</v>
      </c>
    </row>
    <row r="7" customFormat="false" ht="15" hidden="false" customHeight="false" outlineLevel="0" collapsed="false">
      <c r="A7" s="0" t="s">
        <v>699</v>
      </c>
      <c r="B7" s="0" t="s">
        <v>187</v>
      </c>
      <c r="C7" s="0" t="n">
        <v>2015</v>
      </c>
      <c r="D7" s="0" t="s">
        <v>54</v>
      </c>
      <c r="E7" s="0" t="n">
        <v>18035</v>
      </c>
      <c r="F7" s="0" t="n">
        <v>17721</v>
      </c>
      <c r="G7" s="0" t="s">
        <v>2862</v>
      </c>
    </row>
    <row r="8" customFormat="false" ht="15" hidden="false" customHeight="false" outlineLevel="0" collapsed="false">
      <c r="A8" s="0" t="s">
        <v>1508</v>
      </c>
      <c r="B8" s="0" t="s">
        <v>211</v>
      </c>
      <c r="C8" s="0" t="n">
        <v>2022</v>
      </c>
      <c r="D8" s="0" t="s">
        <v>63</v>
      </c>
      <c r="E8" s="0" t="n">
        <v>4762.274</v>
      </c>
      <c r="F8" s="0" t="n">
        <v>4808.387</v>
      </c>
      <c r="G8" s="0" t="s">
        <v>2863</v>
      </c>
    </row>
    <row r="9" customFormat="false" ht="15" hidden="false" customHeight="false" outlineLevel="0" collapsed="false">
      <c r="A9" s="0" t="s">
        <v>830</v>
      </c>
      <c r="B9" s="0" t="s">
        <v>149</v>
      </c>
      <c r="C9" s="0" t="n">
        <v>2020</v>
      </c>
      <c r="D9" s="0" t="s">
        <v>65</v>
      </c>
      <c r="E9" s="0" t="n">
        <v>176542</v>
      </c>
      <c r="F9" s="0" t="n">
        <v>221408</v>
      </c>
      <c r="G9" s="0" t="s">
        <v>2864</v>
      </c>
    </row>
    <row r="10" customFormat="false" ht="15" hidden="false" customHeight="false" outlineLevel="0" collapsed="false">
      <c r="A10" s="0" t="s">
        <v>699</v>
      </c>
      <c r="B10" s="0" t="s">
        <v>222</v>
      </c>
      <c r="C10" s="0" t="n">
        <v>2017</v>
      </c>
      <c r="D10" s="0" t="s">
        <v>56</v>
      </c>
      <c r="E10" s="0" t="n">
        <v>4126133</v>
      </c>
      <c r="F10" s="0" t="n">
        <v>4135675</v>
      </c>
      <c r="G10" s="0" t="s">
        <v>2865</v>
      </c>
    </row>
    <row r="11" customFormat="false" ht="15" hidden="false" customHeight="false" outlineLevel="0" collapsed="false">
      <c r="A11" s="0" t="s">
        <v>699</v>
      </c>
      <c r="B11" s="0" t="s">
        <v>136</v>
      </c>
      <c r="C11" s="0" t="n">
        <v>2018</v>
      </c>
      <c r="D11" s="0" t="s">
        <v>57</v>
      </c>
      <c r="E11" s="0" t="n">
        <v>511842.259</v>
      </c>
      <c r="F11" s="0" t="n">
        <v>510185.839</v>
      </c>
      <c r="G11" s="0" t="s">
        <v>2866</v>
      </c>
    </row>
    <row r="12" customFormat="false" ht="15" hidden="false" customHeight="false" outlineLevel="0" collapsed="false">
      <c r="A12" s="0" t="s">
        <v>830</v>
      </c>
      <c r="B12" s="0" t="s">
        <v>115</v>
      </c>
      <c r="C12" s="0" t="n">
        <v>2016</v>
      </c>
      <c r="D12" s="0" t="s">
        <v>69</v>
      </c>
      <c r="E12" s="0" t="n">
        <v>17.22</v>
      </c>
      <c r="F12" s="0" t="n">
        <v>17.3</v>
      </c>
      <c r="G12" s="0" t="s">
        <v>2867</v>
      </c>
    </row>
    <row r="13" customFormat="false" ht="15" hidden="false" customHeight="false" outlineLevel="0" collapsed="false">
      <c r="A13" s="0" t="s">
        <v>1459</v>
      </c>
      <c r="B13" s="0" t="s">
        <v>201</v>
      </c>
      <c r="C13" s="0" t="n">
        <v>2021</v>
      </c>
      <c r="D13" s="0" t="s">
        <v>67</v>
      </c>
      <c r="E13" s="0" t="n">
        <v>105854</v>
      </c>
      <c r="F13" s="0" t="n">
        <v>966871</v>
      </c>
      <c r="G13" s="0" t="s">
        <v>2868</v>
      </c>
    </row>
    <row r="14" customFormat="false" ht="15" hidden="false" customHeight="false" outlineLevel="0" collapsed="false">
      <c r="A14" s="0" t="s">
        <v>699</v>
      </c>
      <c r="B14" s="0" t="s">
        <v>100</v>
      </c>
      <c r="C14" s="0" t="n">
        <v>2018</v>
      </c>
      <c r="D14" s="0" t="s">
        <v>54</v>
      </c>
      <c r="E14" s="0" t="n">
        <v>27155</v>
      </c>
      <c r="F14" s="0" t="n">
        <v>-1786</v>
      </c>
      <c r="G14" s="0" t="s">
        <v>2869</v>
      </c>
    </row>
    <row r="15" customFormat="false" ht="15" hidden="false" customHeight="false" outlineLevel="0" collapsed="false">
      <c r="A15" s="0" t="s">
        <v>699</v>
      </c>
      <c r="B15" s="0" t="s">
        <v>100</v>
      </c>
      <c r="C15" s="0" t="n">
        <v>2018</v>
      </c>
      <c r="D15" s="0" t="s">
        <v>69</v>
      </c>
      <c r="E15" s="0" t="n">
        <v>14.3</v>
      </c>
      <c r="F15" s="0" t="n">
        <v>11.13</v>
      </c>
      <c r="G15" s="0" t="s">
        <v>2870</v>
      </c>
    </row>
    <row r="16" customFormat="false" ht="15" hidden="false" customHeight="false" outlineLevel="0" collapsed="false">
      <c r="A16" s="0" t="s">
        <v>745</v>
      </c>
      <c r="B16" s="0" t="s">
        <v>100</v>
      </c>
      <c r="C16" s="0" t="n">
        <v>2020</v>
      </c>
      <c r="D16" s="0" t="s">
        <v>69</v>
      </c>
      <c r="E16" s="0" t="n">
        <v>21.44</v>
      </c>
      <c r="F16" s="0" t="n">
        <v>23.21</v>
      </c>
      <c r="G16" s="0" t="s">
        <v>2871</v>
      </c>
    </row>
    <row r="17" customFormat="false" ht="15" hidden="false" customHeight="false" outlineLevel="0" collapsed="false">
      <c r="A17" s="0" t="s">
        <v>745</v>
      </c>
      <c r="B17" s="0" t="s">
        <v>100</v>
      </c>
      <c r="C17" s="0" t="n">
        <v>2021</v>
      </c>
      <c r="D17" s="0" t="s">
        <v>58</v>
      </c>
      <c r="E17" s="0" t="n">
        <v>-86740</v>
      </c>
      <c r="F17" s="0" t="n">
        <v>-98241</v>
      </c>
      <c r="G17" s="0" t="s">
        <v>2872</v>
      </c>
    </row>
    <row r="18" customFormat="false" ht="15" hidden="false" customHeight="false" outlineLevel="0" collapsed="false">
      <c r="A18" s="0" t="s">
        <v>830</v>
      </c>
      <c r="B18" s="0" t="s">
        <v>136</v>
      </c>
      <c r="C18" s="0" t="n">
        <v>2015</v>
      </c>
      <c r="D18" s="0" t="s">
        <v>69</v>
      </c>
      <c r="E18" s="0" t="n">
        <v>18.17</v>
      </c>
      <c r="F18" s="0" t="n">
        <v>18.11</v>
      </c>
      <c r="G18" s="0" t="s">
        <v>2873</v>
      </c>
    </row>
    <row r="19" customFormat="false" ht="15" hidden="false" customHeight="false" outlineLevel="0" collapsed="false">
      <c r="A19" s="0" t="s">
        <v>745</v>
      </c>
      <c r="B19" s="0" t="s">
        <v>149</v>
      </c>
      <c r="C19" s="0" t="n">
        <v>2014</v>
      </c>
      <c r="D19" s="0" t="s">
        <v>54</v>
      </c>
      <c r="E19" s="0" t="n">
        <v>19456</v>
      </c>
      <c r="F19" s="0" t="n">
        <v>21851</v>
      </c>
      <c r="G19" s="0" t="s">
        <v>2874</v>
      </c>
    </row>
    <row r="20" customFormat="false" ht="15" hidden="false" customHeight="false" outlineLevel="0" collapsed="false">
      <c r="A20" s="0" t="s">
        <v>830</v>
      </c>
      <c r="B20" s="0" t="s">
        <v>125</v>
      </c>
      <c r="C20" s="0" t="n">
        <v>2018</v>
      </c>
      <c r="D20" s="0" t="s">
        <v>61</v>
      </c>
      <c r="E20" s="0" t="n">
        <v>277549</v>
      </c>
      <c r="F20" s="0" t="n">
        <v>277548</v>
      </c>
      <c r="G20" s="0" t="s">
        <v>2875</v>
      </c>
    </row>
    <row r="21" customFormat="false" ht="15" hidden="false" customHeight="false" outlineLevel="0" collapsed="false">
      <c r="A21" s="0" t="s">
        <v>2876</v>
      </c>
      <c r="B21" s="0" t="s">
        <v>77</v>
      </c>
      <c r="C21" s="0" t="n">
        <v>2015</v>
      </c>
      <c r="D21" s="0" t="s">
        <v>60</v>
      </c>
      <c r="E21" s="0" t="n">
        <v>1270121.392</v>
      </c>
      <c r="F21" s="0" t="n">
        <v>1243215</v>
      </c>
      <c r="G21" s="0" t="s">
        <v>2877</v>
      </c>
    </row>
    <row r="22" customFormat="false" ht="15" hidden="false" customHeight="false" outlineLevel="0" collapsed="false">
      <c r="A22" s="0" t="s">
        <v>2876</v>
      </c>
      <c r="B22" s="0" t="s">
        <v>77</v>
      </c>
      <c r="C22" s="0" t="n">
        <v>2015</v>
      </c>
      <c r="D22" s="0" t="s">
        <v>60</v>
      </c>
      <c r="E22" s="0" t="n">
        <v>1270121.392</v>
      </c>
      <c r="F22" s="0" t="n">
        <v>1243215</v>
      </c>
      <c r="G22" s="0" t="s">
        <v>2878</v>
      </c>
    </row>
    <row r="23" customFormat="false" ht="15" hidden="false" customHeight="false" outlineLevel="0" collapsed="false">
      <c r="A23" s="0" t="s">
        <v>2876</v>
      </c>
      <c r="B23" s="0" t="s">
        <v>77</v>
      </c>
      <c r="C23" s="0" t="n">
        <v>2016</v>
      </c>
      <c r="D23" s="0" t="s">
        <v>60</v>
      </c>
      <c r="E23" s="0" t="n">
        <v>1624837.859</v>
      </c>
      <c r="F23" s="0" t="n">
        <v>1594562</v>
      </c>
      <c r="G23" s="0" t="s">
        <v>2877</v>
      </c>
    </row>
    <row r="24" customFormat="false" ht="15" hidden="false" customHeight="false" outlineLevel="0" collapsed="false">
      <c r="A24" s="0" t="s">
        <v>2876</v>
      </c>
      <c r="B24" s="0" t="s">
        <v>77</v>
      </c>
      <c r="C24" s="0" t="n">
        <v>2016</v>
      </c>
      <c r="D24" s="0" t="s">
        <v>60</v>
      </c>
      <c r="E24" s="0" t="n">
        <v>1624837.859</v>
      </c>
      <c r="F24" s="0" t="n">
        <v>1594562</v>
      </c>
      <c r="G24" s="0" t="s">
        <v>2878</v>
      </c>
    </row>
    <row r="25" customFormat="false" ht="15" hidden="false" customHeight="false" outlineLevel="0" collapsed="false">
      <c r="A25" s="0" t="s">
        <v>2876</v>
      </c>
      <c r="B25" s="0" t="s">
        <v>77</v>
      </c>
      <c r="C25" s="0" t="n">
        <v>2017</v>
      </c>
      <c r="D25" s="0" t="s">
        <v>60</v>
      </c>
      <c r="E25" s="0" t="n">
        <v>1827572.14</v>
      </c>
      <c r="F25" s="0" t="n">
        <v>1827389</v>
      </c>
      <c r="G25" s="0" t="s">
        <v>2877</v>
      </c>
    </row>
    <row r="26" customFormat="false" ht="15" hidden="false" customHeight="false" outlineLevel="0" collapsed="false">
      <c r="A26" s="0" t="s">
        <v>2876</v>
      </c>
      <c r="B26" s="0" t="s">
        <v>77</v>
      </c>
      <c r="C26" s="0" t="n">
        <v>2017</v>
      </c>
      <c r="D26" s="0" t="s">
        <v>60</v>
      </c>
      <c r="E26" s="0" t="n">
        <v>1827572.14</v>
      </c>
      <c r="F26" s="0" t="n">
        <v>1827389</v>
      </c>
      <c r="G26" s="0" t="s">
        <v>2878</v>
      </c>
    </row>
    <row r="27" customFormat="false" ht="15" hidden="false" customHeight="false" outlineLevel="0" collapsed="false">
      <c r="A27" s="0" t="s">
        <v>2876</v>
      </c>
      <c r="B27" s="0" t="s">
        <v>77</v>
      </c>
      <c r="C27" s="0" t="n">
        <v>2017</v>
      </c>
      <c r="D27" s="0" t="s">
        <v>61</v>
      </c>
      <c r="E27" s="0" t="n">
        <v>56289.402</v>
      </c>
      <c r="F27" s="0" t="n">
        <v>56331</v>
      </c>
      <c r="G27" s="0" t="s">
        <v>2877</v>
      </c>
    </row>
    <row r="28" customFormat="false" ht="15" hidden="false" customHeight="false" outlineLevel="0" collapsed="false">
      <c r="A28" s="0" t="s">
        <v>2876</v>
      </c>
      <c r="B28" s="0" t="s">
        <v>77</v>
      </c>
      <c r="C28" s="0" t="n">
        <v>2017</v>
      </c>
      <c r="D28" s="0" t="s">
        <v>61</v>
      </c>
      <c r="E28" s="0" t="n">
        <v>56289.402</v>
      </c>
      <c r="F28" s="0" t="n">
        <v>56331</v>
      </c>
      <c r="G28" s="0" t="s">
        <v>2878</v>
      </c>
    </row>
    <row r="29" customFormat="false" ht="15" hidden="false" customHeight="false" outlineLevel="0" collapsed="false">
      <c r="A29" s="0" t="s">
        <v>2876</v>
      </c>
      <c r="B29" s="0" t="s">
        <v>77</v>
      </c>
      <c r="C29" s="0" t="n">
        <v>2020</v>
      </c>
      <c r="D29" s="0" t="s">
        <v>69</v>
      </c>
      <c r="E29" s="0" t="n">
        <v>15.87</v>
      </c>
      <c r="F29" s="0" t="n">
        <v>16.83</v>
      </c>
      <c r="G29" s="0" t="s">
        <v>2877</v>
      </c>
    </row>
    <row r="30" customFormat="false" ht="15" hidden="false" customHeight="false" outlineLevel="0" collapsed="false">
      <c r="A30" s="0" t="s">
        <v>2876</v>
      </c>
      <c r="B30" s="0" t="s">
        <v>77</v>
      </c>
      <c r="C30" s="0" t="n">
        <v>2020</v>
      </c>
      <c r="D30" s="0" t="s">
        <v>69</v>
      </c>
      <c r="E30" s="0" t="n">
        <v>15.87</v>
      </c>
      <c r="F30" s="0" t="n">
        <v>16.83</v>
      </c>
      <c r="G30" s="0" t="s">
        <v>2878</v>
      </c>
    </row>
    <row r="31" customFormat="false" ht="15" hidden="false" customHeight="false" outlineLevel="0" collapsed="false">
      <c r="A31" s="0" t="s">
        <v>2876</v>
      </c>
      <c r="B31" s="0" t="s">
        <v>77</v>
      </c>
      <c r="C31" s="0" t="n">
        <v>2020</v>
      </c>
      <c r="D31" s="0" t="s">
        <v>60</v>
      </c>
      <c r="E31" s="0" t="n">
        <v>2937918.27</v>
      </c>
      <c r="F31" s="0" t="n">
        <v>2829171</v>
      </c>
      <c r="G31" s="0" t="s">
        <v>2877</v>
      </c>
    </row>
    <row r="32" customFormat="false" ht="15" hidden="false" customHeight="false" outlineLevel="0" collapsed="false">
      <c r="A32" s="0" t="s">
        <v>2876</v>
      </c>
      <c r="B32" s="0" t="s">
        <v>77</v>
      </c>
      <c r="C32" s="0" t="n">
        <v>2020</v>
      </c>
      <c r="D32" s="0" t="s">
        <v>60</v>
      </c>
      <c r="E32" s="0" t="n">
        <v>2937918.27</v>
      </c>
      <c r="F32" s="0" t="n">
        <v>2829171</v>
      </c>
      <c r="G32" s="0" t="s">
        <v>2878</v>
      </c>
    </row>
    <row r="33" customFormat="false" ht="15" hidden="false" customHeight="false" outlineLevel="0" collapsed="false">
      <c r="A33" s="0" t="s">
        <v>2876</v>
      </c>
      <c r="B33" s="0" t="s">
        <v>77</v>
      </c>
      <c r="C33" s="0" t="n">
        <v>2020</v>
      </c>
      <c r="D33" s="0" t="s">
        <v>61</v>
      </c>
      <c r="E33" s="0" t="n">
        <v>119042.539</v>
      </c>
      <c r="F33" s="0" t="n">
        <v>116211</v>
      </c>
      <c r="G33" s="0" t="s">
        <v>2877</v>
      </c>
    </row>
    <row r="34" customFormat="false" ht="15" hidden="false" customHeight="false" outlineLevel="0" collapsed="false">
      <c r="A34" s="0" t="s">
        <v>2876</v>
      </c>
      <c r="B34" s="0" t="s">
        <v>77</v>
      </c>
      <c r="C34" s="0" t="n">
        <v>2020</v>
      </c>
      <c r="D34" s="0" t="s">
        <v>61</v>
      </c>
      <c r="E34" s="0" t="n">
        <v>119042.539</v>
      </c>
      <c r="F34" s="0" t="n">
        <v>116211</v>
      </c>
      <c r="G34" s="0" t="s">
        <v>2878</v>
      </c>
    </row>
    <row r="35" customFormat="false" ht="15" hidden="false" customHeight="false" outlineLevel="0" collapsed="false">
      <c r="A35" s="0" t="s">
        <v>2876</v>
      </c>
      <c r="B35" s="0" t="s">
        <v>77</v>
      </c>
      <c r="C35" s="0" t="n">
        <v>2022</v>
      </c>
      <c r="D35" s="0" t="s">
        <v>61</v>
      </c>
      <c r="E35" s="0" t="n">
        <v>65061</v>
      </c>
      <c r="F35" s="0" t="n">
        <v>65065</v>
      </c>
      <c r="G35" s="0" t="s">
        <v>2877</v>
      </c>
    </row>
    <row r="36" customFormat="false" ht="15" hidden="false" customHeight="false" outlineLevel="0" collapsed="false">
      <c r="A36" s="0" t="s">
        <v>2876</v>
      </c>
      <c r="B36" s="0" t="s">
        <v>77</v>
      </c>
      <c r="C36" s="0" t="n">
        <v>2022</v>
      </c>
      <c r="D36" s="0" t="s">
        <v>61</v>
      </c>
      <c r="E36" s="0" t="n">
        <v>65061</v>
      </c>
      <c r="F36" s="0" t="n">
        <v>65065</v>
      </c>
      <c r="G36" s="0" t="s">
        <v>2878</v>
      </c>
    </row>
    <row r="37" customFormat="false" ht="15" hidden="false" customHeight="false" outlineLevel="0" collapsed="false">
      <c r="A37" s="0" t="s">
        <v>2876</v>
      </c>
      <c r="B37" s="0" t="s">
        <v>100</v>
      </c>
      <c r="C37" s="0" t="n">
        <v>2015</v>
      </c>
      <c r="D37" s="0" t="s">
        <v>55</v>
      </c>
      <c r="E37" s="0" t="n">
        <v>1794348</v>
      </c>
      <c r="F37" s="0" t="n">
        <v>1160000</v>
      </c>
      <c r="G37" s="0" t="s">
        <v>2877</v>
      </c>
    </row>
    <row r="38" customFormat="false" ht="15" hidden="false" customHeight="false" outlineLevel="0" collapsed="false">
      <c r="A38" s="0" t="s">
        <v>2876</v>
      </c>
      <c r="B38" s="0" t="s">
        <v>100</v>
      </c>
      <c r="C38" s="0" t="n">
        <v>2015</v>
      </c>
      <c r="D38" s="0" t="s">
        <v>55</v>
      </c>
      <c r="E38" s="0" t="n">
        <v>1794348</v>
      </c>
      <c r="F38" s="0" t="n">
        <v>1160000</v>
      </c>
      <c r="G38" s="0" t="s">
        <v>2878</v>
      </c>
    </row>
    <row r="39" customFormat="false" ht="15" hidden="false" customHeight="false" outlineLevel="0" collapsed="false">
      <c r="A39" s="0" t="s">
        <v>2876</v>
      </c>
      <c r="B39" s="0" t="s">
        <v>100</v>
      </c>
      <c r="C39" s="0" t="n">
        <v>2015</v>
      </c>
      <c r="D39" s="0" t="s">
        <v>69</v>
      </c>
      <c r="E39" s="0" t="n">
        <v>19</v>
      </c>
      <c r="F39" s="0" t="n">
        <v>15</v>
      </c>
      <c r="G39" s="0" t="s">
        <v>2877</v>
      </c>
    </row>
    <row r="40" customFormat="false" ht="15" hidden="false" customHeight="false" outlineLevel="0" collapsed="false">
      <c r="A40" s="0" t="s">
        <v>2876</v>
      </c>
      <c r="B40" s="0" t="s">
        <v>100</v>
      </c>
      <c r="C40" s="0" t="n">
        <v>2015</v>
      </c>
      <c r="D40" s="0" t="s">
        <v>69</v>
      </c>
      <c r="E40" s="0" t="n">
        <v>19</v>
      </c>
      <c r="F40" s="0" t="n">
        <v>15</v>
      </c>
      <c r="G40" s="0" t="s">
        <v>2878</v>
      </c>
    </row>
    <row r="41" customFormat="false" ht="15" hidden="false" customHeight="false" outlineLevel="0" collapsed="false">
      <c r="A41" s="0" t="s">
        <v>2876</v>
      </c>
      <c r="B41" s="0" t="s">
        <v>100</v>
      </c>
      <c r="C41" s="0" t="n">
        <v>2015</v>
      </c>
      <c r="D41" s="0" t="s">
        <v>60</v>
      </c>
      <c r="E41" s="0" t="n">
        <v>885701</v>
      </c>
      <c r="F41" s="0" t="n">
        <v>730419</v>
      </c>
      <c r="G41" s="0" t="s">
        <v>2877</v>
      </c>
    </row>
    <row r="42" customFormat="false" ht="15" hidden="false" customHeight="false" outlineLevel="0" collapsed="false">
      <c r="A42" s="0" t="s">
        <v>2876</v>
      </c>
      <c r="B42" s="0" t="s">
        <v>100</v>
      </c>
      <c r="C42" s="0" t="n">
        <v>2015</v>
      </c>
      <c r="D42" s="0" t="s">
        <v>60</v>
      </c>
      <c r="E42" s="0" t="n">
        <v>885701</v>
      </c>
      <c r="F42" s="0" t="n">
        <v>730419</v>
      </c>
      <c r="G42" s="0" t="s">
        <v>2878</v>
      </c>
    </row>
    <row r="43" customFormat="false" ht="15" hidden="false" customHeight="false" outlineLevel="0" collapsed="false">
      <c r="A43" s="0" t="s">
        <v>2876</v>
      </c>
      <c r="B43" s="0" t="s">
        <v>100</v>
      </c>
      <c r="C43" s="0" t="n">
        <v>2015</v>
      </c>
      <c r="D43" s="0" t="s">
        <v>61</v>
      </c>
      <c r="E43" s="0" t="n">
        <v>68353</v>
      </c>
      <c r="F43" s="0" t="n">
        <v>38910</v>
      </c>
      <c r="G43" s="0" t="s">
        <v>2877</v>
      </c>
    </row>
    <row r="44" customFormat="false" ht="15" hidden="false" customHeight="false" outlineLevel="0" collapsed="false">
      <c r="A44" s="0" t="s">
        <v>2876</v>
      </c>
      <c r="B44" s="0" t="s">
        <v>100</v>
      </c>
      <c r="C44" s="0" t="n">
        <v>2015</v>
      </c>
      <c r="D44" s="0" t="s">
        <v>61</v>
      </c>
      <c r="E44" s="0" t="n">
        <v>68353</v>
      </c>
      <c r="F44" s="0" t="n">
        <v>38910</v>
      </c>
      <c r="G44" s="0" t="s">
        <v>2878</v>
      </c>
    </row>
    <row r="45" customFormat="false" ht="15" hidden="false" customHeight="false" outlineLevel="0" collapsed="false">
      <c r="A45" s="0" t="s">
        <v>2876</v>
      </c>
      <c r="B45" s="0" t="s">
        <v>100</v>
      </c>
      <c r="C45" s="0" t="n">
        <v>2015</v>
      </c>
      <c r="D45" s="0" t="s">
        <v>54</v>
      </c>
      <c r="E45" s="0" t="n">
        <v>11304</v>
      </c>
      <c r="F45" s="0" t="n">
        <v>5756</v>
      </c>
      <c r="G45" s="0" t="s">
        <v>2877</v>
      </c>
    </row>
    <row r="46" customFormat="false" ht="15" hidden="false" customHeight="false" outlineLevel="0" collapsed="false">
      <c r="A46" s="0" t="s">
        <v>2876</v>
      </c>
      <c r="B46" s="0" t="s">
        <v>100</v>
      </c>
      <c r="C46" s="0" t="n">
        <v>2015</v>
      </c>
      <c r="D46" s="0" t="s">
        <v>54</v>
      </c>
      <c r="E46" s="0" t="n">
        <v>11304</v>
      </c>
      <c r="F46" s="0" t="n">
        <v>5756</v>
      </c>
      <c r="G46" s="0" t="s">
        <v>2878</v>
      </c>
    </row>
    <row r="47" customFormat="false" ht="15" hidden="false" customHeight="false" outlineLevel="0" collapsed="false">
      <c r="A47" s="0" t="s">
        <v>2876</v>
      </c>
      <c r="B47" s="0" t="s">
        <v>100</v>
      </c>
      <c r="C47" s="0" t="n">
        <v>2015</v>
      </c>
      <c r="D47" s="0" t="s">
        <v>63</v>
      </c>
      <c r="E47" s="0" t="n">
        <v>55740</v>
      </c>
      <c r="F47" s="0" t="n">
        <v>45210</v>
      </c>
      <c r="G47" s="0" t="s">
        <v>2877</v>
      </c>
    </row>
    <row r="48" customFormat="false" ht="15" hidden="false" customHeight="false" outlineLevel="0" collapsed="false">
      <c r="A48" s="0" t="s">
        <v>2876</v>
      </c>
      <c r="B48" s="0" t="s">
        <v>100</v>
      </c>
      <c r="C48" s="0" t="n">
        <v>2015</v>
      </c>
      <c r="D48" s="0" t="s">
        <v>63</v>
      </c>
      <c r="E48" s="0" t="n">
        <v>55740</v>
      </c>
      <c r="F48" s="0" t="n">
        <v>45210</v>
      </c>
      <c r="G48" s="0" t="s">
        <v>2878</v>
      </c>
    </row>
    <row r="49" customFormat="false" ht="15" hidden="false" customHeight="false" outlineLevel="0" collapsed="false">
      <c r="A49" s="0" t="s">
        <v>2876</v>
      </c>
      <c r="B49" s="0" t="s">
        <v>100</v>
      </c>
      <c r="C49" s="0" t="n">
        <v>2018</v>
      </c>
      <c r="D49" s="0" t="s">
        <v>55</v>
      </c>
      <c r="E49" s="0" t="n">
        <v>1956830</v>
      </c>
      <c r="F49" s="0" t="n">
        <v>1661886</v>
      </c>
      <c r="G49" s="0" t="s">
        <v>2877</v>
      </c>
    </row>
    <row r="50" customFormat="false" ht="15" hidden="false" customHeight="false" outlineLevel="0" collapsed="false">
      <c r="A50" s="0" t="s">
        <v>2876</v>
      </c>
      <c r="B50" s="0" t="s">
        <v>100</v>
      </c>
      <c r="C50" s="0" t="n">
        <v>2018</v>
      </c>
      <c r="D50" s="0" t="s">
        <v>55</v>
      </c>
      <c r="E50" s="0" t="n">
        <v>1956830</v>
      </c>
      <c r="F50" s="0" t="n">
        <v>1661886</v>
      </c>
      <c r="G50" s="0" t="s">
        <v>2878</v>
      </c>
    </row>
    <row r="51" customFormat="false" ht="15" hidden="false" customHeight="false" outlineLevel="0" collapsed="false">
      <c r="A51" s="0" t="s">
        <v>2876</v>
      </c>
      <c r="B51" s="0" t="s">
        <v>100</v>
      </c>
      <c r="C51" s="0" t="n">
        <v>2018</v>
      </c>
      <c r="D51" s="0" t="s">
        <v>69</v>
      </c>
      <c r="E51" s="0" t="n">
        <v>14.3</v>
      </c>
      <c r="F51" s="0" t="n">
        <v>12.1</v>
      </c>
      <c r="G51" s="0" t="s">
        <v>2877</v>
      </c>
    </row>
    <row r="52" customFormat="false" ht="15" hidden="false" customHeight="false" outlineLevel="0" collapsed="false">
      <c r="A52" s="0" t="s">
        <v>2876</v>
      </c>
      <c r="B52" s="0" t="s">
        <v>100</v>
      </c>
      <c r="C52" s="0" t="n">
        <v>2018</v>
      </c>
      <c r="D52" s="0" t="s">
        <v>69</v>
      </c>
      <c r="E52" s="0" t="n">
        <v>14.3</v>
      </c>
      <c r="F52" s="0" t="n">
        <v>12.1</v>
      </c>
      <c r="G52" s="0" t="s">
        <v>2878</v>
      </c>
    </row>
    <row r="53" customFormat="false" ht="15" hidden="false" customHeight="false" outlineLevel="0" collapsed="false">
      <c r="A53" s="0" t="s">
        <v>2876</v>
      </c>
      <c r="B53" s="0" t="s">
        <v>100</v>
      </c>
      <c r="C53" s="0" t="n">
        <v>2018</v>
      </c>
      <c r="D53" s="0" t="s">
        <v>60</v>
      </c>
      <c r="E53" s="0" t="n">
        <v>926546</v>
      </c>
      <c r="F53" s="0" t="n">
        <v>691500</v>
      </c>
      <c r="G53" s="0" t="s">
        <v>2877</v>
      </c>
    </row>
    <row r="54" customFormat="false" ht="15" hidden="false" customHeight="false" outlineLevel="0" collapsed="false">
      <c r="A54" s="0" t="s">
        <v>2876</v>
      </c>
      <c r="B54" s="0" t="s">
        <v>100</v>
      </c>
      <c r="C54" s="0" t="n">
        <v>2018</v>
      </c>
      <c r="D54" s="0" t="s">
        <v>60</v>
      </c>
      <c r="E54" s="0" t="n">
        <v>926546</v>
      </c>
      <c r="F54" s="0" t="n">
        <v>691500</v>
      </c>
      <c r="G54" s="0" t="s">
        <v>2878</v>
      </c>
    </row>
    <row r="55" customFormat="false" ht="15" hidden="false" customHeight="false" outlineLevel="0" collapsed="false">
      <c r="A55" s="0" t="s">
        <v>2876</v>
      </c>
      <c r="B55" s="0" t="s">
        <v>100</v>
      </c>
      <c r="C55" s="0" t="n">
        <v>2018</v>
      </c>
      <c r="D55" s="0" t="s">
        <v>61</v>
      </c>
      <c r="E55" s="0" t="n">
        <v>84071</v>
      </c>
      <c r="F55" s="0" t="n">
        <v>102300</v>
      </c>
      <c r="G55" s="0" t="s">
        <v>2877</v>
      </c>
    </row>
    <row r="56" customFormat="false" ht="15" hidden="false" customHeight="false" outlineLevel="0" collapsed="false">
      <c r="A56" s="0" t="s">
        <v>2876</v>
      </c>
      <c r="B56" s="0" t="s">
        <v>100</v>
      </c>
      <c r="C56" s="0" t="n">
        <v>2018</v>
      </c>
      <c r="D56" s="0" t="s">
        <v>61</v>
      </c>
      <c r="E56" s="0" t="n">
        <v>84071</v>
      </c>
      <c r="F56" s="0" t="n">
        <v>102300</v>
      </c>
      <c r="G56" s="0" t="s">
        <v>2878</v>
      </c>
    </row>
    <row r="57" customFormat="false" ht="15" hidden="false" customHeight="false" outlineLevel="0" collapsed="false">
      <c r="A57" s="0" t="s">
        <v>2876</v>
      </c>
      <c r="B57" s="0" t="s">
        <v>100</v>
      </c>
      <c r="C57" s="0" t="n">
        <v>2018</v>
      </c>
      <c r="D57" s="0" t="s">
        <v>54</v>
      </c>
      <c r="E57" s="0" t="n">
        <v>27155</v>
      </c>
      <c r="F57" s="0" t="n">
        <v>27540</v>
      </c>
      <c r="G57" s="0" t="s">
        <v>2877</v>
      </c>
    </row>
    <row r="58" customFormat="false" ht="15" hidden="false" customHeight="false" outlineLevel="0" collapsed="false">
      <c r="A58" s="0" t="s">
        <v>2876</v>
      </c>
      <c r="B58" s="0" t="s">
        <v>100</v>
      </c>
      <c r="C58" s="0" t="n">
        <v>2018</v>
      </c>
      <c r="D58" s="0" t="s">
        <v>54</v>
      </c>
      <c r="E58" s="0" t="n">
        <v>27155</v>
      </c>
      <c r="F58" s="0" t="n">
        <v>27540</v>
      </c>
      <c r="G58" s="0" t="s">
        <v>2878</v>
      </c>
    </row>
    <row r="59" customFormat="false" ht="15" hidden="false" customHeight="false" outlineLevel="0" collapsed="false">
      <c r="A59" s="0" t="s">
        <v>2876</v>
      </c>
      <c r="B59" s="0" t="s">
        <v>100</v>
      </c>
      <c r="C59" s="0" t="n">
        <v>2018</v>
      </c>
      <c r="D59" s="0" t="s">
        <v>63</v>
      </c>
      <c r="E59" s="0" t="n">
        <v>27360</v>
      </c>
      <c r="F59" s="0" t="n">
        <v>24510</v>
      </c>
      <c r="G59" s="0" t="s">
        <v>2877</v>
      </c>
    </row>
    <row r="60" customFormat="false" ht="15" hidden="false" customHeight="false" outlineLevel="0" collapsed="false">
      <c r="A60" s="0" t="s">
        <v>2876</v>
      </c>
      <c r="B60" s="0" t="s">
        <v>100</v>
      </c>
      <c r="C60" s="0" t="n">
        <v>2018</v>
      </c>
      <c r="D60" s="0" t="s">
        <v>63</v>
      </c>
      <c r="E60" s="0" t="n">
        <v>27360</v>
      </c>
      <c r="F60" s="0" t="n">
        <v>24510</v>
      </c>
      <c r="G60" s="0" t="s">
        <v>2878</v>
      </c>
    </row>
    <row r="61" customFormat="false" ht="15" hidden="false" customHeight="false" outlineLevel="0" collapsed="false">
      <c r="A61" s="0" t="s">
        <v>2876</v>
      </c>
      <c r="B61" s="0" t="s">
        <v>100</v>
      </c>
      <c r="C61" s="0" t="n">
        <v>2019</v>
      </c>
      <c r="D61" s="0" t="s">
        <v>55</v>
      </c>
      <c r="E61" s="0" t="n">
        <v>1991040</v>
      </c>
      <c r="F61" s="0" t="n">
        <v>1832100</v>
      </c>
      <c r="G61" s="0" t="s">
        <v>2877</v>
      </c>
    </row>
    <row r="62" customFormat="false" ht="15" hidden="false" customHeight="false" outlineLevel="0" collapsed="false">
      <c r="A62" s="0" t="s">
        <v>2876</v>
      </c>
      <c r="B62" s="0" t="s">
        <v>100</v>
      </c>
      <c r="C62" s="0" t="n">
        <v>2019</v>
      </c>
      <c r="D62" s="0" t="s">
        <v>55</v>
      </c>
      <c r="E62" s="0" t="n">
        <v>1991040</v>
      </c>
      <c r="F62" s="0" t="n">
        <v>1832100</v>
      </c>
      <c r="G62" s="0" t="s">
        <v>2878</v>
      </c>
    </row>
    <row r="63" customFormat="false" ht="15" hidden="false" customHeight="false" outlineLevel="0" collapsed="false">
      <c r="A63" s="0" t="s">
        <v>2876</v>
      </c>
      <c r="B63" s="0" t="s">
        <v>100</v>
      </c>
      <c r="C63" s="0" t="n">
        <v>2019</v>
      </c>
      <c r="D63" s="0" t="s">
        <v>69</v>
      </c>
      <c r="E63" s="0" t="n">
        <v>16.31</v>
      </c>
      <c r="F63" s="0" t="n">
        <v>10.6</v>
      </c>
      <c r="G63" s="0" t="s">
        <v>2877</v>
      </c>
    </row>
    <row r="64" customFormat="false" ht="15" hidden="false" customHeight="false" outlineLevel="0" collapsed="false">
      <c r="A64" s="0" t="s">
        <v>2876</v>
      </c>
      <c r="B64" s="0" t="s">
        <v>100</v>
      </c>
      <c r="C64" s="0" t="n">
        <v>2019</v>
      </c>
      <c r="D64" s="0" t="s">
        <v>69</v>
      </c>
      <c r="E64" s="0" t="n">
        <v>16.31</v>
      </c>
      <c r="F64" s="0" t="n">
        <v>10.6</v>
      </c>
      <c r="G64" s="0" t="s">
        <v>2878</v>
      </c>
    </row>
    <row r="65" customFormat="false" ht="15" hidden="false" customHeight="false" outlineLevel="0" collapsed="false">
      <c r="A65" s="0" t="s">
        <v>2876</v>
      </c>
      <c r="B65" s="0" t="s">
        <v>100</v>
      </c>
      <c r="C65" s="0" t="n">
        <v>2019</v>
      </c>
      <c r="D65" s="0" t="s">
        <v>60</v>
      </c>
      <c r="E65" s="0" t="n">
        <v>913082</v>
      </c>
      <c r="F65" s="0" t="n">
        <v>765400</v>
      </c>
      <c r="G65" s="0" t="s">
        <v>2877</v>
      </c>
    </row>
    <row r="66" customFormat="false" ht="15" hidden="false" customHeight="false" outlineLevel="0" collapsed="false">
      <c r="A66" s="0" t="s">
        <v>2876</v>
      </c>
      <c r="B66" s="0" t="s">
        <v>100</v>
      </c>
      <c r="C66" s="0" t="n">
        <v>2019</v>
      </c>
      <c r="D66" s="0" t="s">
        <v>60</v>
      </c>
      <c r="E66" s="0" t="n">
        <v>913082</v>
      </c>
      <c r="F66" s="0" t="n">
        <v>765400</v>
      </c>
      <c r="G66" s="0" t="s">
        <v>2878</v>
      </c>
    </row>
    <row r="67" customFormat="false" ht="15" hidden="false" customHeight="false" outlineLevel="0" collapsed="false">
      <c r="A67" s="0" t="s">
        <v>2876</v>
      </c>
      <c r="B67" s="0" t="s">
        <v>100</v>
      </c>
      <c r="C67" s="0" t="n">
        <v>2019</v>
      </c>
      <c r="D67" s="0" t="s">
        <v>61</v>
      </c>
      <c r="E67" s="0" t="n">
        <v>101476</v>
      </c>
      <c r="F67" s="0" t="n">
        <v>115400</v>
      </c>
      <c r="G67" s="0" t="s">
        <v>2877</v>
      </c>
    </row>
    <row r="68" customFormat="false" ht="15" hidden="false" customHeight="false" outlineLevel="0" collapsed="false">
      <c r="A68" s="0" t="s">
        <v>2876</v>
      </c>
      <c r="B68" s="0" t="s">
        <v>100</v>
      </c>
      <c r="C68" s="0" t="n">
        <v>2019</v>
      </c>
      <c r="D68" s="0" t="s">
        <v>61</v>
      </c>
      <c r="E68" s="0" t="n">
        <v>101476</v>
      </c>
      <c r="F68" s="0" t="n">
        <v>115400</v>
      </c>
      <c r="G68" s="0" t="s">
        <v>2878</v>
      </c>
    </row>
    <row r="69" customFormat="false" ht="15" hidden="false" customHeight="false" outlineLevel="0" collapsed="false">
      <c r="A69" s="0" t="s">
        <v>2876</v>
      </c>
      <c r="B69" s="0" t="s">
        <v>100</v>
      </c>
      <c r="C69" s="0" t="n">
        <v>2019</v>
      </c>
      <c r="D69" s="0" t="s">
        <v>54</v>
      </c>
      <c r="E69" s="0" t="n">
        <v>1256</v>
      </c>
      <c r="F69" s="0" t="n">
        <v>32410</v>
      </c>
      <c r="G69" s="0" t="s">
        <v>2877</v>
      </c>
    </row>
    <row r="70" customFormat="false" ht="15" hidden="false" customHeight="false" outlineLevel="0" collapsed="false">
      <c r="A70" s="0" t="s">
        <v>2876</v>
      </c>
      <c r="B70" s="0" t="s">
        <v>100</v>
      </c>
      <c r="C70" s="0" t="n">
        <v>2019</v>
      </c>
      <c r="D70" s="0" t="s">
        <v>54</v>
      </c>
      <c r="E70" s="0" t="n">
        <v>1256</v>
      </c>
      <c r="F70" s="0" t="n">
        <v>32410</v>
      </c>
      <c r="G70" s="0" t="s">
        <v>2878</v>
      </c>
    </row>
    <row r="71" customFormat="false" ht="15" hidden="false" customHeight="false" outlineLevel="0" collapsed="false">
      <c r="A71" s="0" t="s">
        <v>2876</v>
      </c>
      <c r="B71" s="0" t="s">
        <v>100</v>
      </c>
      <c r="C71" s="0" t="n">
        <v>2019</v>
      </c>
      <c r="D71" s="0" t="s">
        <v>63</v>
      </c>
      <c r="E71" s="0" t="n">
        <v>2704</v>
      </c>
      <c r="F71" s="0" t="n">
        <v>14200</v>
      </c>
      <c r="G71" s="0" t="s">
        <v>2877</v>
      </c>
    </row>
    <row r="72" customFormat="false" ht="15" hidden="false" customHeight="false" outlineLevel="0" collapsed="false">
      <c r="A72" s="0" t="s">
        <v>2876</v>
      </c>
      <c r="B72" s="0" t="s">
        <v>100</v>
      </c>
      <c r="C72" s="0" t="n">
        <v>2019</v>
      </c>
      <c r="D72" s="0" t="s">
        <v>63</v>
      </c>
      <c r="E72" s="0" t="n">
        <v>2704</v>
      </c>
      <c r="F72" s="0" t="n">
        <v>14200</v>
      </c>
      <c r="G72" s="0" t="s">
        <v>2878</v>
      </c>
    </row>
    <row r="73" customFormat="false" ht="15" hidden="false" customHeight="false" outlineLevel="0" collapsed="false">
      <c r="A73" s="0" t="s">
        <v>2876</v>
      </c>
      <c r="B73" s="0" t="s">
        <v>100</v>
      </c>
      <c r="C73" s="0" t="n">
        <v>2020</v>
      </c>
      <c r="D73" s="0" t="s">
        <v>55</v>
      </c>
      <c r="E73" s="0" t="n">
        <v>2186712</v>
      </c>
      <c r="F73" s="0" t="n">
        <v>2186711</v>
      </c>
      <c r="G73" s="0" t="s">
        <v>2877</v>
      </c>
    </row>
    <row r="74" customFormat="false" ht="15" hidden="false" customHeight="false" outlineLevel="0" collapsed="false">
      <c r="A74" s="0" t="s">
        <v>2876</v>
      </c>
      <c r="B74" s="0" t="s">
        <v>100</v>
      </c>
      <c r="C74" s="0" t="n">
        <v>2020</v>
      </c>
      <c r="D74" s="0" t="s">
        <v>55</v>
      </c>
      <c r="E74" s="0" t="n">
        <v>2186712</v>
      </c>
      <c r="F74" s="0" t="n">
        <v>2186711</v>
      </c>
      <c r="G74" s="0" t="s">
        <v>2878</v>
      </c>
    </row>
    <row r="75" customFormat="false" ht="15" hidden="false" customHeight="false" outlineLevel="0" collapsed="false">
      <c r="A75" s="0" t="s">
        <v>2876</v>
      </c>
      <c r="B75" s="0" t="s">
        <v>100</v>
      </c>
      <c r="C75" s="0" t="n">
        <v>2020</v>
      </c>
      <c r="D75" s="0" t="s">
        <v>69</v>
      </c>
      <c r="E75" s="0" t="n">
        <v>21.44</v>
      </c>
      <c r="F75" s="0" t="n">
        <v>23.21</v>
      </c>
      <c r="G75" s="0" t="s">
        <v>2877</v>
      </c>
    </row>
    <row r="76" customFormat="false" ht="15" hidden="false" customHeight="false" outlineLevel="0" collapsed="false">
      <c r="A76" s="0" t="s">
        <v>2876</v>
      </c>
      <c r="B76" s="0" t="s">
        <v>100</v>
      </c>
      <c r="C76" s="0" t="n">
        <v>2020</v>
      </c>
      <c r="D76" s="0" t="s">
        <v>69</v>
      </c>
      <c r="E76" s="0" t="n">
        <v>21.44</v>
      </c>
      <c r="F76" s="0" t="n">
        <v>23.21</v>
      </c>
      <c r="G76" s="0" t="s">
        <v>2878</v>
      </c>
    </row>
    <row r="77" customFormat="false" ht="15" hidden="false" customHeight="false" outlineLevel="0" collapsed="false">
      <c r="A77" s="0" t="s">
        <v>2876</v>
      </c>
      <c r="B77" s="0" t="s">
        <v>115</v>
      </c>
      <c r="C77" s="0" t="n">
        <v>2017</v>
      </c>
      <c r="D77" s="0" t="s">
        <v>54</v>
      </c>
      <c r="E77" s="0" t="n">
        <v>18857</v>
      </c>
      <c r="F77" s="0" t="n">
        <v>17768</v>
      </c>
      <c r="G77" s="0" t="s">
        <v>2877</v>
      </c>
    </row>
    <row r="78" customFormat="false" ht="15" hidden="false" customHeight="false" outlineLevel="0" collapsed="false">
      <c r="A78" s="0" t="s">
        <v>2876</v>
      </c>
      <c r="B78" s="0" t="s">
        <v>115</v>
      </c>
      <c r="C78" s="0" t="n">
        <v>2017</v>
      </c>
      <c r="D78" s="0" t="s">
        <v>54</v>
      </c>
      <c r="E78" s="0" t="n">
        <v>18857</v>
      </c>
      <c r="F78" s="0" t="n">
        <v>17768</v>
      </c>
      <c r="G78" s="0" t="s">
        <v>2878</v>
      </c>
    </row>
    <row r="79" customFormat="false" ht="15" hidden="false" customHeight="false" outlineLevel="0" collapsed="false">
      <c r="A79" s="0" t="s">
        <v>2876</v>
      </c>
      <c r="B79" s="0" t="s">
        <v>125</v>
      </c>
      <c r="C79" s="0" t="n">
        <v>2015</v>
      </c>
      <c r="D79" s="0" t="s">
        <v>60</v>
      </c>
      <c r="E79" s="0" t="n">
        <v>1594936</v>
      </c>
      <c r="F79" s="0" t="n">
        <v>1457285</v>
      </c>
      <c r="G79" s="0" t="s">
        <v>2877</v>
      </c>
    </row>
    <row r="80" customFormat="false" ht="15" hidden="false" customHeight="false" outlineLevel="0" collapsed="false">
      <c r="A80" s="0" t="s">
        <v>2876</v>
      </c>
      <c r="B80" s="0" t="s">
        <v>125</v>
      </c>
      <c r="C80" s="0" t="n">
        <v>2015</v>
      </c>
      <c r="D80" s="0" t="s">
        <v>60</v>
      </c>
      <c r="E80" s="0" t="n">
        <v>1594936</v>
      </c>
      <c r="F80" s="0" t="n">
        <v>1457285</v>
      </c>
      <c r="G80" s="0" t="s">
        <v>2878</v>
      </c>
    </row>
    <row r="81" customFormat="false" ht="15" hidden="false" customHeight="false" outlineLevel="0" collapsed="false">
      <c r="A81" s="0" t="s">
        <v>2876</v>
      </c>
      <c r="B81" s="0" t="s">
        <v>125</v>
      </c>
      <c r="C81" s="0" t="n">
        <v>2015</v>
      </c>
      <c r="D81" s="0" t="s">
        <v>61</v>
      </c>
      <c r="E81" s="0" t="n">
        <v>137651</v>
      </c>
      <c r="F81" s="0" t="n">
        <v>187640</v>
      </c>
      <c r="G81" s="0" t="s">
        <v>2877</v>
      </c>
    </row>
    <row r="82" customFormat="false" ht="15" hidden="false" customHeight="false" outlineLevel="0" collapsed="false">
      <c r="A82" s="0" t="s">
        <v>2876</v>
      </c>
      <c r="B82" s="0" t="s">
        <v>125</v>
      </c>
      <c r="C82" s="0" t="n">
        <v>2015</v>
      </c>
      <c r="D82" s="0" t="s">
        <v>61</v>
      </c>
      <c r="E82" s="0" t="n">
        <v>137651</v>
      </c>
      <c r="F82" s="0" t="n">
        <v>187640</v>
      </c>
      <c r="G82" s="0" t="s">
        <v>2878</v>
      </c>
    </row>
    <row r="83" customFormat="false" ht="15" hidden="false" customHeight="false" outlineLevel="0" collapsed="false">
      <c r="A83" s="0" t="s">
        <v>2876</v>
      </c>
      <c r="B83" s="0" t="s">
        <v>125</v>
      </c>
      <c r="C83" s="0" t="n">
        <v>2016</v>
      </c>
      <c r="D83" s="0" t="s">
        <v>55</v>
      </c>
      <c r="E83" s="0" t="n">
        <v>3557782</v>
      </c>
      <c r="F83" s="0" t="n">
        <v>4514792</v>
      </c>
      <c r="G83" s="0" t="s">
        <v>2877</v>
      </c>
    </row>
    <row r="84" customFormat="false" ht="15" hidden="false" customHeight="false" outlineLevel="0" collapsed="false">
      <c r="A84" s="0" t="s">
        <v>2876</v>
      </c>
      <c r="B84" s="0" t="s">
        <v>125</v>
      </c>
      <c r="C84" s="0" t="n">
        <v>2016</v>
      </c>
      <c r="D84" s="0" t="s">
        <v>55</v>
      </c>
      <c r="E84" s="0" t="n">
        <v>3557782</v>
      </c>
      <c r="F84" s="0" t="n">
        <v>4514792</v>
      </c>
      <c r="G84" s="0" t="s">
        <v>2878</v>
      </c>
    </row>
    <row r="85" customFormat="false" ht="15" hidden="false" customHeight="false" outlineLevel="0" collapsed="false">
      <c r="A85" s="0" t="s">
        <v>2876</v>
      </c>
      <c r="B85" s="0" t="s">
        <v>125</v>
      </c>
      <c r="C85" s="0" t="n">
        <v>2016</v>
      </c>
      <c r="D85" s="0" t="s">
        <v>60</v>
      </c>
      <c r="E85" s="0" t="n">
        <v>1933407</v>
      </c>
      <c r="F85" s="0" t="n">
        <v>2086740</v>
      </c>
      <c r="G85" s="0" t="s">
        <v>2877</v>
      </c>
    </row>
    <row r="86" customFormat="false" ht="15" hidden="false" customHeight="false" outlineLevel="0" collapsed="false">
      <c r="A86" s="0" t="s">
        <v>2876</v>
      </c>
      <c r="B86" s="0" t="s">
        <v>125</v>
      </c>
      <c r="C86" s="0" t="n">
        <v>2016</v>
      </c>
      <c r="D86" s="0" t="s">
        <v>60</v>
      </c>
      <c r="E86" s="0" t="n">
        <v>1933407</v>
      </c>
      <c r="F86" s="0" t="n">
        <v>2086740</v>
      </c>
      <c r="G86" s="0" t="s">
        <v>2878</v>
      </c>
    </row>
    <row r="87" customFormat="false" ht="15" hidden="false" customHeight="false" outlineLevel="0" collapsed="false">
      <c r="A87" s="0" t="s">
        <v>2876</v>
      </c>
      <c r="B87" s="0" t="s">
        <v>125</v>
      </c>
      <c r="C87" s="0" t="n">
        <v>2016</v>
      </c>
      <c r="D87" s="0" t="s">
        <v>54</v>
      </c>
      <c r="E87" s="0" t="n">
        <v>50072</v>
      </c>
      <c r="F87" s="0" t="n">
        <v>11768</v>
      </c>
      <c r="G87" s="0" t="s">
        <v>2877</v>
      </c>
    </row>
    <row r="88" customFormat="false" ht="15" hidden="false" customHeight="false" outlineLevel="0" collapsed="false">
      <c r="A88" s="0" t="s">
        <v>2876</v>
      </c>
      <c r="B88" s="0" t="s">
        <v>125</v>
      </c>
      <c r="C88" s="0" t="n">
        <v>2016</v>
      </c>
      <c r="D88" s="0" t="s">
        <v>54</v>
      </c>
      <c r="E88" s="0" t="n">
        <v>50072</v>
      </c>
      <c r="F88" s="0" t="n">
        <v>11768</v>
      </c>
      <c r="G88" s="0" t="s">
        <v>2878</v>
      </c>
    </row>
    <row r="89" customFormat="false" ht="15" hidden="false" customHeight="false" outlineLevel="0" collapsed="false">
      <c r="A89" s="0" t="s">
        <v>2876</v>
      </c>
      <c r="B89" s="0" t="s">
        <v>125</v>
      </c>
      <c r="C89" s="0" t="n">
        <v>2017</v>
      </c>
      <c r="D89" s="0" t="s">
        <v>55</v>
      </c>
      <c r="E89" s="0" t="n">
        <v>3777039</v>
      </c>
      <c r="F89" s="0" t="n">
        <v>5014248</v>
      </c>
      <c r="G89" s="0" t="s">
        <v>2877</v>
      </c>
    </row>
    <row r="90" customFormat="false" ht="15" hidden="false" customHeight="false" outlineLevel="0" collapsed="false">
      <c r="A90" s="0" t="s">
        <v>2876</v>
      </c>
      <c r="B90" s="0" t="s">
        <v>125</v>
      </c>
      <c r="C90" s="0" t="n">
        <v>2017</v>
      </c>
      <c r="D90" s="0" t="s">
        <v>55</v>
      </c>
      <c r="E90" s="0" t="n">
        <v>3777039</v>
      </c>
      <c r="F90" s="0" t="n">
        <v>5014248</v>
      </c>
      <c r="G90" s="0" t="s">
        <v>2878</v>
      </c>
    </row>
    <row r="91" customFormat="false" ht="15" hidden="false" customHeight="false" outlineLevel="0" collapsed="false">
      <c r="A91" s="0" t="s">
        <v>2876</v>
      </c>
      <c r="B91" s="0" t="s">
        <v>125</v>
      </c>
      <c r="C91" s="0" t="n">
        <v>2017</v>
      </c>
      <c r="D91" s="0" t="s">
        <v>60</v>
      </c>
      <c r="E91" s="0" t="n">
        <v>1837515</v>
      </c>
      <c r="F91" s="0" t="n">
        <v>2026038</v>
      </c>
      <c r="G91" s="0" t="s">
        <v>2877</v>
      </c>
    </row>
    <row r="92" customFormat="false" ht="15" hidden="false" customHeight="false" outlineLevel="0" collapsed="false">
      <c r="A92" s="0" t="s">
        <v>2876</v>
      </c>
      <c r="B92" s="0" t="s">
        <v>125</v>
      </c>
      <c r="C92" s="0" t="n">
        <v>2017</v>
      </c>
      <c r="D92" s="0" t="s">
        <v>60</v>
      </c>
      <c r="E92" s="0" t="n">
        <v>1837515</v>
      </c>
      <c r="F92" s="0" t="n">
        <v>2026038</v>
      </c>
      <c r="G92" s="0" t="s">
        <v>2878</v>
      </c>
    </row>
    <row r="93" customFormat="false" ht="15" hidden="false" customHeight="false" outlineLevel="0" collapsed="false">
      <c r="A93" s="0" t="s">
        <v>2876</v>
      </c>
      <c r="B93" s="0" t="s">
        <v>125</v>
      </c>
      <c r="C93" s="0" t="n">
        <v>2017</v>
      </c>
      <c r="D93" s="0" t="s">
        <v>54</v>
      </c>
      <c r="E93" s="0" t="n">
        <v>46918</v>
      </c>
      <c r="F93" s="0" t="n">
        <v>51475</v>
      </c>
      <c r="G93" s="0" t="s">
        <v>2877</v>
      </c>
    </row>
    <row r="94" customFormat="false" ht="15" hidden="false" customHeight="false" outlineLevel="0" collapsed="false">
      <c r="A94" s="0" t="s">
        <v>2876</v>
      </c>
      <c r="B94" s="0" t="s">
        <v>125</v>
      </c>
      <c r="C94" s="0" t="n">
        <v>2017</v>
      </c>
      <c r="D94" s="0" t="s">
        <v>54</v>
      </c>
      <c r="E94" s="0" t="n">
        <v>46918</v>
      </c>
      <c r="F94" s="0" t="n">
        <v>51475</v>
      </c>
      <c r="G94" s="0" t="s">
        <v>2878</v>
      </c>
    </row>
    <row r="95" customFormat="false" ht="15" hidden="false" customHeight="false" outlineLevel="0" collapsed="false">
      <c r="A95" s="0" t="s">
        <v>2876</v>
      </c>
      <c r="B95" s="0" t="s">
        <v>125</v>
      </c>
      <c r="C95" s="0" t="n">
        <v>2018</v>
      </c>
      <c r="D95" s="0" t="s">
        <v>55</v>
      </c>
      <c r="E95" s="0" t="n">
        <v>3985907</v>
      </c>
      <c r="F95" s="0" t="n">
        <v>5303327</v>
      </c>
      <c r="G95" s="0" t="s">
        <v>2877</v>
      </c>
    </row>
    <row r="96" customFormat="false" ht="15" hidden="false" customHeight="false" outlineLevel="0" collapsed="false">
      <c r="A96" s="0" t="s">
        <v>2876</v>
      </c>
      <c r="B96" s="0" t="s">
        <v>125</v>
      </c>
      <c r="C96" s="0" t="n">
        <v>2018</v>
      </c>
      <c r="D96" s="0" t="s">
        <v>55</v>
      </c>
      <c r="E96" s="0" t="n">
        <v>3985907</v>
      </c>
      <c r="F96" s="0" t="n">
        <v>5303327</v>
      </c>
      <c r="G96" s="0" t="s">
        <v>2878</v>
      </c>
    </row>
    <row r="97" customFormat="false" ht="15" hidden="false" customHeight="false" outlineLevel="0" collapsed="false">
      <c r="A97" s="0" t="s">
        <v>2876</v>
      </c>
      <c r="B97" s="0" t="s">
        <v>125</v>
      </c>
      <c r="C97" s="0" t="n">
        <v>2018</v>
      </c>
      <c r="D97" s="0" t="s">
        <v>69</v>
      </c>
      <c r="E97" s="0" t="n">
        <v>10.66</v>
      </c>
      <c r="F97" s="0" t="n">
        <v>17.26</v>
      </c>
      <c r="G97" s="0" t="s">
        <v>2877</v>
      </c>
    </row>
    <row r="98" customFormat="false" ht="15" hidden="false" customHeight="false" outlineLevel="0" collapsed="false">
      <c r="A98" s="0" t="s">
        <v>2876</v>
      </c>
      <c r="B98" s="0" t="s">
        <v>125</v>
      </c>
      <c r="C98" s="0" t="n">
        <v>2018</v>
      </c>
      <c r="D98" s="0" t="s">
        <v>69</v>
      </c>
      <c r="E98" s="0" t="n">
        <v>10.66</v>
      </c>
      <c r="F98" s="0" t="n">
        <v>17.26</v>
      </c>
      <c r="G98" s="0" t="s">
        <v>2878</v>
      </c>
    </row>
    <row r="99" customFormat="false" ht="15" hidden="false" customHeight="false" outlineLevel="0" collapsed="false">
      <c r="A99" s="0" t="s">
        <v>2876</v>
      </c>
      <c r="B99" s="0" t="s">
        <v>125</v>
      </c>
      <c r="C99" s="0" t="n">
        <v>2018</v>
      </c>
      <c r="D99" s="0" t="s">
        <v>60</v>
      </c>
      <c r="E99" s="0" t="n">
        <v>1728964</v>
      </c>
      <c r="F99" s="0" t="n">
        <v>1694884</v>
      </c>
      <c r="G99" s="0" t="s">
        <v>2877</v>
      </c>
    </row>
    <row r="100" customFormat="false" ht="15" hidden="false" customHeight="false" outlineLevel="0" collapsed="false">
      <c r="A100" s="0" t="s">
        <v>2876</v>
      </c>
      <c r="B100" s="0" t="s">
        <v>125</v>
      </c>
      <c r="C100" s="0" t="n">
        <v>2018</v>
      </c>
      <c r="D100" s="0" t="s">
        <v>60</v>
      </c>
      <c r="E100" s="0" t="n">
        <v>1728964</v>
      </c>
      <c r="F100" s="0" t="n">
        <v>1694884</v>
      </c>
      <c r="G100" s="0" t="s">
        <v>2878</v>
      </c>
    </row>
    <row r="101" customFormat="false" ht="15" hidden="false" customHeight="false" outlineLevel="0" collapsed="false">
      <c r="A101" s="0" t="s">
        <v>2876</v>
      </c>
      <c r="B101" s="0" t="s">
        <v>125</v>
      </c>
      <c r="C101" s="0" t="n">
        <v>2018</v>
      </c>
      <c r="D101" s="0" t="s">
        <v>61</v>
      </c>
      <c r="E101" s="0" t="n">
        <v>277549</v>
      </c>
      <c r="F101" s="0" t="n">
        <v>166250</v>
      </c>
      <c r="G101" s="0" t="s">
        <v>2877</v>
      </c>
    </row>
    <row r="102" customFormat="false" ht="15" hidden="false" customHeight="false" outlineLevel="0" collapsed="false">
      <c r="A102" s="0" t="s">
        <v>2876</v>
      </c>
      <c r="B102" s="0" t="s">
        <v>125</v>
      </c>
      <c r="C102" s="0" t="n">
        <v>2018</v>
      </c>
      <c r="D102" s="0" t="s">
        <v>61</v>
      </c>
      <c r="E102" s="0" t="n">
        <v>277549</v>
      </c>
      <c r="F102" s="0" t="n">
        <v>166250</v>
      </c>
      <c r="G102" s="0" t="s">
        <v>2878</v>
      </c>
    </row>
    <row r="103" customFormat="false" ht="15" hidden="false" customHeight="false" outlineLevel="0" collapsed="false">
      <c r="A103" s="0" t="s">
        <v>2876</v>
      </c>
      <c r="B103" s="0" t="s">
        <v>125</v>
      </c>
      <c r="C103" s="0" t="n">
        <v>2018</v>
      </c>
      <c r="D103" s="0" t="s">
        <v>54</v>
      </c>
      <c r="E103" s="0" t="n">
        <v>56952</v>
      </c>
      <c r="F103" s="0" t="n">
        <v>38844</v>
      </c>
      <c r="G103" s="0" t="s">
        <v>2877</v>
      </c>
    </row>
    <row r="104" customFormat="false" ht="15" hidden="false" customHeight="false" outlineLevel="0" collapsed="false">
      <c r="A104" s="0" t="s">
        <v>2876</v>
      </c>
      <c r="B104" s="0" t="s">
        <v>125</v>
      </c>
      <c r="C104" s="0" t="n">
        <v>2018</v>
      </c>
      <c r="D104" s="0" t="s">
        <v>54</v>
      </c>
      <c r="E104" s="0" t="n">
        <v>56952</v>
      </c>
      <c r="F104" s="0" t="n">
        <v>38844</v>
      </c>
      <c r="G104" s="0" t="s">
        <v>2878</v>
      </c>
    </row>
    <row r="105" customFormat="false" ht="15" hidden="false" customHeight="false" outlineLevel="0" collapsed="false">
      <c r="A105" s="0" t="s">
        <v>2876</v>
      </c>
      <c r="B105" s="0" t="s">
        <v>125</v>
      </c>
      <c r="C105" s="0" t="n">
        <v>2018</v>
      </c>
      <c r="D105" s="0" t="s">
        <v>63</v>
      </c>
      <c r="E105" s="0" t="n">
        <v>61865</v>
      </c>
      <c r="F105" s="0" t="n">
        <v>92796</v>
      </c>
      <c r="G105" s="0" t="s">
        <v>2877</v>
      </c>
    </row>
    <row r="106" customFormat="false" ht="15" hidden="false" customHeight="false" outlineLevel="0" collapsed="false">
      <c r="A106" s="0" t="s">
        <v>2876</v>
      </c>
      <c r="B106" s="0" t="s">
        <v>125</v>
      </c>
      <c r="C106" s="0" t="n">
        <v>2018</v>
      </c>
      <c r="D106" s="0" t="s">
        <v>63</v>
      </c>
      <c r="E106" s="0" t="n">
        <v>61865</v>
      </c>
      <c r="F106" s="0" t="n">
        <v>92796</v>
      </c>
      <c r="G106" s="0" t="s">
        <v>2878</v>
      </c>
    </row>
    <row r="107" customFormat="false" ht="15" hidden="false" customHeight="false" outlineLevel="0" collapsed="false">
      <c r="A107" s="0" t="s">
        <v>2876</v>
      </c>
      <c r="B107" s="0" t="s">
        <v>125</v>
      </c>
      <c r="C107" s="0" t="n">
        <v>2019</v>
      </c>
      <c r="D107" s="0" t="s">
        <v>55</v>
      </c>
      <c r="E107" s="0" t="n">
        <v>4668279</v>
      </c>
      <c r="F107" s="0" t="n">
        <v>5869219</v>
      </c>
      <c r="G107" s="0" t="s">
        <v>2877</v>
      </c>
    </row>
    <row r="108" customFormat="false" ht="15" hidden="false" customHeight="false" outlineLevel="0" collapsed="false">
      <c r="A108" s="0" t="s">
        <v>2876</v>
      </c>
      <c r="B108" s="0" t="s">
        <v>125</v>
      </c>
      <c r="C108" s="0" t="n">
        <v>2019</v>
      </c>
      <c r="D108" s="0" t="s">
        <v>55</v>
      </c>
      <c r="E108" s="0" t="n">
        <v>4668279</v>
      </c>
      <c r="F108" s="0" t="n">
        <v>5869219</v>
      </c>
      <c r="G108" s="0" t="s">
        <v>2878</v>
      </c>
    </row>
    <row r="109" customFormat="false" ht="15" hidden="false" customHeight="false" outlineLevel="0" collapsed="false">
      <c r="A109" s="0" t="s">
        <v>2876</v>
      </c>
      <c r="B109" s="0" t="s">
        <v>125</v>
      </c>
      <c r="C109" s="0" t="n">
        <v>2019</v>
      </c>
      <c r="D109" s="0" t="s">
        <v>69</v>
      </c>
      <c r="E109" s="0" t="n">
        <v>11.16</v>
      </c>
      <c r="F109" s="0" t="n">
        <v>15.45</v>
      </c>
      <c r="G109" s="0" t="s">
        <v>2877</v>
      </c>
    </row>
    <row r="110" customFormat="false" ht="15" hidden="false" customHeight="false" outlineLevel="0" collapsed="false">
      <c r="A110" s="0" t="s">
        <v>2876</v>
      </c>
      <c r="B110" s="0" t="s">
        <v>125</v>
      </c>
      <c r="C110" s="0" t="n">
        <v>2019</v>
      </c>
      <c r="D110" s="0" t="s">
        <v>69</v>
      </c>
      <c r="E110" s="0" t="n">
        <v>11.16</v>
      </c>
      <c r="F110" s="0" t="n">
        <v>15.45</v>
      </c>
      <c r="G110" s="0" t="s">
        <v>2878</v>
      </c>
    </row>
    <row r="111" customFormat="false" ht="15" hidden="false" customHeight="false" outlineLevel="0" collapsed="false">
      <c r="A111" s="0" t="s">
        <v>2876</v>
      </c>
      <c r="B111" s="0" t="s">
        <v>125</v>
      </c>
      <c r="C111" s="0" t="n">
        <v>2019</v>
      </c>
      <c r="D111" s="0" t="s">
        <v>60</v>
      </c>
      <c r="E111" s="0" t="n">
        <v>1618817</v>
      </c>
      <c r="F111" s="0" t="n">
        <v>1866023</v>
      </c>
      <c r="G111" s="0" t="s">
        <v>2877</v>
      </c>
    </row>
    <row r="112" customFormat="false" ht="15" hidden="false" customHeight="false" outlineLevel="0" collapsed="false">
      <c r="A112" s="0" t="s">
        <v>2876</v>
      </c>
      <c r="B112" s="0" t="s">
        <v>125</v>
      </c>
      <c r="C112" s="0" t="n">
        <v>2019</v>
      </c>
      <c r="D112" s="0" t="s">
        <v>60</v>
      </c>
      <c r="E112" s="0" t="n">
        <v>1618817</v>
      </c>
      <c r="F112" s="0" t="n">
        <v>1866023</v>
      </c>
      <c r="G112" s="0" t="s">
        <v>2878</v>
      </c>
    </row>
    <row r="113" customFormat="false" ht="15" hidden="false" customHeight="false" outlineLevel="0" collapsed="false">
      <c r="A113" s="0" t="s">
        <v>2876</v>
      </c>
      <c r="B113" s="0" t="s">
        <v>125</v>
      </c>
      <c r="C113" s="0" t="n">
        <v>2019</v>
      </c>
      <c r="D113" s="0" t="s">
        <v>61</v>
      </c>
      <c r="E113" s="0" t="n">
        <v>59314</v>
      </c>
      <c r="F113" s="0" t="n">
        <v>158400</v>
      </c>
      <c r="G113" s="0" t="s">
        <v>2877</v>
      </c>
    </row>
    <row r="114" customFormat="false" ht="15" hidden="false" customHeight="false" outlineLevel="0" collapsed="false">
      <c r="A114" s="0" t="s">
        <v>2876</v>
      </c>
      <c r="B114" s="0" t="s">
        <v>125</v>
      </c>
      <c r="C114" s="0" t="n">
        <v>2019</v>
      </c>
      <c r="D114" s="0" t="s">
        <v>61</v>
      </c>
      <c r="E114" s="0" t="n">
        <v>59314</v>
      </c>
      <c r="F114" s="0" t="n">
        <v>158400</v>
      </c>
      <c r="G114" s="0" t="s">
        <v>2878</v>
      </c>
    </row>
    <row r="115" customFormat="false" ht="15" hidden="false" customHeight="false" outlineLevel="0" collapsed="false">
      <c r="A115" s="0" t="s">
        <v>2876</v>
      </c>
      <c r="B115" s="0" t="s">
        <v>125</v>
      </c>
      <c r="C115" s="0" t="n">
        <v>2019</v>
      </c>
      <c r="D115" s="0" t="s">
        <v>54</v>
      </c>
      <c r="E115" s="0" t="n">
        <v>43917</v>
      </c>
      <c r="F115" s="0" t="n">
        <v>62667</v>
      </c>
      <c r="G115" s="0" t="s">
        <v>2877</v>
      </c>
    </row>
    <row r="116" customFormat="false" ht="15" hidden="false" customHeight="false" outlineLevel="0" collapsed="false">
      <c r="A116" s="0" t="s">
        <v>2876</v>
      </c>
      <c r="B116" s="0" t="s">
        <v>125</v>
      </c>
      <c r="C116" s="0" t="n">
        <v>2019</v>
      </c>
      <c r="D116" s="0" t="s">
        <v>54</v>
      </c>
      <c r="E116" s="0" t="n">
        <v>43917</v>
      </c>
      <c r="F116" s="0" t="n">
        <v>62667</v>
      </c>
      <c r="G116" s="0" t="s">
        <v>2878</v>
      </c>
    </row>
    <row r="117" customFormat="false" ht="15" hidden="false" customHeight="false" outlineLevel="0" collapsed="false">
      <c r="A117" s="0" t="s">
        <v>2876</v>
      </c>
      <c r="B117" s="0" t="s">
        <v>125</v>
      </c>
      <c r="C117" s="0" t="n">
        <v>2019</v>
      </c>
      <c r="D117" s="0" t="s">
        <v>63</v>
      </c>
      <c r="E117" s="0" t="n">
        <v>46640</v>
      </c>
      <c r="F117" s="0" t="n">
        <v>50821</v>
      </c>
      <c r="G117" s="0" t="s">
        <v>2877</v>
      </c>
    </row>
    <row r="118" customFormat="false" ht="15" hidden="false" customHeight="false" outlineLevel="0" collapsed="false">
      <c r="A118" s="0" t="s">
        <v>2876</v>
      </c>
      <c r="B118" s="0" t="s">
        <v>125</v>
      </c>
      <c r="C118" s="0" t="n">
        <v>2019</v>
      </c>
      <c r="D118" s="0" t="s">
        <v>63</v>
      </c>
      <c r="E118" s="0" t="n">
        <v>46640</v>
      </c>
      <c r="F118" s="0" t="n">
        <v>50821</v>
      </c>
      <c r="G118" s="0" t="s">
        <v>2878</v>
      </c>
    </row>
    <row r="119" customFormat="false" ht="15" hidden="false" customHeight="false" outlineLevel="0" collapsed="false">
      <c r="A119" s="0" t="s">
        <v>2876</v>
      </c>
      <c r="B119" s="0" t="s">
        <v>125</v>
      </c>
      <c r="C119" s="0" t="n">
        <v>2022</v>
      </c>
      <c r="D119" s="0" t="s">
        <v>55</v>
      </c>
      <c r="E119" s="0" t="n">
        <v>8125060</v>
      </c>
      <c r="F119" s="0" t="n">
        <v>10089910</v>
      </c>
      <c r="G119" s="0" t="s">
        <v>2877</v>
      </c>
    </row>
    <row r="120" customFormat="false" ht="15" hidden="false" customHeight="false" outlineLevel="0" collapsed="false">
      <c r="A120" s="0" t="s">
        <v>2876</v>
      </c>
      <c r="B120" s="0" t="s">
        <v>125</v>
      </c>
      <c r="C120" s="0" t="n">
        <v>2022</v>
      </c>
      <c r="D120" s="0" t="s">
        <v>55</v>
      </c>
      <c r="E120" s="0" t="n">
        <v>8125060</v>
      </c>
      <c r="F120" s="0" t="n">
        <v>10089910</v>
      </c>
      <c r="G120" s="0" t="s">
        <v>2878</v>
      </c>
    </row>
    <row r="121" customFormat="false" ht="15" hidden="false" customHeight="false" outlineLevel="0" collapsed="false">
      <c r="A121" s="0" t="s">
        <v>2876</v>
      </c>
      <c r="B121" s="0" t="s">
        <v>125</v>
      </c>
      <c r="C121" s="0" t="n">
        <v>2022</v>
      </c>
      <c r="D121" s="0" t="s">
        <v>54</v>
      </c>
      <c r="E121" s="0" t="n">
        <v>91415</v>
      </c>
      <c r="F121" s="0" t="n">
        <v>129584</v>
      </c>
      <c r="G121" s="0" t="s">
        <v>2877</v>
      </c>
    </row>
    <row r="122" customFormat="false" ht="15" hidden="false" customHeight="false" outlineLevel="0" collapsed="false">
      <c r="A122" s="0" t="s">
        <v>2876</v>
      </c>
      <c r="B122" s="0" t="s">
        <v>125</v>
      </c>
      <c r="C122" s="0" t="n">
        <v>2022</v>
      </c>
      <c r="D122" s="0" t="s">
        <v>54</v>
      </c>
      <c r="E122" s="0" t="n">
        <v>91415</v>
      </c>
      <c r="F122" s="0" t="n">
        <v>129584</v>
      </c>
      <c r="G122" s="0" t="s">
        <v>2878</v>
      </c>
    </row>
    <row r="123" customFormat="false" ht="15" hidden="false" customHeight="false" outlineLevel="0" collapsed="false">
      <c r="A123" s="0" t="s">
        <v>2876</v>
      </c>
      <c r="B123" s="0" t="s">
        <v>125</v>
      </c>
      <c r="C123" s="0" t="n">
        <v>2022</v>
      </c>
      <c r="D123" s="0" t="s">
        <v>63</v>
      </c>
      <c r="E123" s="0" t="n">
        <v>49773</v>
      </c>
      <c r="F123" s="0" t="n">
        <v>66710</v>
      </c>
      <c r="G123" s="0" t="s">
        <v>2877</v>
      </c>
    </row>
    <row r="124" customFormat="false" ht="15" hidden="false" customHeight="false" outlineLevel="0" collapsed="false">
      <c r="A124" s="0" t="s">
        <v>2876</v>
      </c>
      <c r="B124" s="0" t="s">
        <v>125</v>
      </c>
      <c r="C124" s="0" t="n">
        <v>2022</v>
      </c>
      <c r="D124" s="0" t="s">
        <v>63</v>
      </c>
      <c r="E124" s="0" t="n">
        <v>49773</v>
      </c>
      <c r="F124" s="0" t="n">
        <v>66710</v>
      </c>
      <c r="G124" s="0" t="s">
        <v>2878</v>
      </c>
    </row>
    <row r="125" customFormat="false" ht="15" hidden="false" customHeight="false" outlineLevel="0" collapsed="false">
      <c r="A125" s="0" t="s">
        <v>2876</v>
      </c>
      <c r="B125" s="0" t="s">
        <v>136</v>
      </c>
      <c r="C125" s="0" t="n">
        <v>2015</v>
      </c>
      <c r="D125" s="0" t="s">
        <v>60</v>
      </c>
      <c r="E125" s="0" t="n">
        <v>1291516.228</v>
      </c>
      <c r="F125" s="0" t="n">
        <v>1265207</v>
      </c>
      <c r="G125" s="0" t="s">
        <v>2877</v>
      </c>
    </row>
    <row r="126" customFormat="false" ht="15" hidden="false" customHeight="false" outlineLevel="0" collapsed="false">
      <c r="A126" s="0" t="s">
        <v>2876</v>
      </c>
      <c r="B126" s="0" t="s">
        <v>136</v>
      </c>
      <c r="C126" s="0" t="n">
        <v>2015</v>
      </c>
      <c r="D126" s="0" t="s">
        <v>60</v>
      </c>
      <c r="E126" s="0" t="n">
        <v>1291516.228</v>
      </c>
      <c r="F126" s="0" t="n">
        <v>1265207</v>
      </c>
      <c r="G126" s="0" t="s">
        <v>2878</v>
      </c>
    </row>
    <row r="127" customFormat="false" ht="15" hidden="false" customHeight="false" outlineLevel="0" collapsed="false">
      <c r="A127" s="0" t="s">
        <v>2876</v>
      </c>
      <c r="B127" s="0" t="s">
        <v>136</v>
      </c>
      <c r="C127" s="0" t="n">
        <v>2016</v>
      </c>
      <c r="D127" s="0" t="s">
        <v>60</v>
      </c>
      <c r="E127" s="0" t="n">
        <v>1491117.716</v>
      </c>
      <c r="F127" s="0" t="n">
        <v>1417218</v>
      </c>
      <c r="G127" s="0" t="s">
        <v>2877</v>
      </c>
    </row>
    <row r="128" customFormat="false" ht="15" hidden="false" customHeight="false" outlineLevel="0" collapsed="false">
      <c r="A128" s="0" t="s">
        <v>2876</v>
      </c>
      <c r="B128" s="0" t="s">
        <v>136</v>
      </c>
      <c r="C128" s="0" t="n">
        <v>2016</v>
      </c>
      <c r="D128" s="0" t="s">
        <v>60</v>
      </c>
      <c r="E128" s="0" t="n">
        <v>1491117.716</v>
      </c>
      <c r="F128" s="0" t="n">
        <v>1417218</v>
      </c>
      <c r="G128" s="0" t="s">
        <v>2878</v>
      </c>
    </row>
    <row r="129" customFormat="false" ht="15" hidden="false" customHeight="false" outlineLevel="0" collapsed="false">
      <c r="A129" s="0" t="s">
        <v>2876</v>
      </c>
      <c r="B129" s="0" t="s">
        <v>136</v>
      </c>
      <c r="C129" s="0" t="n">
        <v>2016</v>
      </c>
      <c r="D129" s="0" t="s">
        <v>61</v>
      </c>
      <c r="E129" s="0" t="n">
        <v>73899.764</v>
      </c>
      <c r="F129" s="0" t="n">
        <v>71819</v>
      </c>
      <c r="G129" s="0" t="s">
        <v>2877</v>
      </c>
    </row>
    <row r="130" customFormat="false" ht="15" hidden="false" customHeight="false" outlineLevel="0" collapsed="false">
      <c r="A130" s="0" t="s">
        <v>2876</v>
      </c>
      <c r="B130" s="0" t="s">
        <v>136</v>
      </c>
      <c r="C130" s="0" t="n">
        <v>2016</v>
      </c>
      <c r="D130" s="0" t="s">
        <v>61</v>
      </c>
      <c r="E130" s="0" t="n">
        <v>73899.764</v>
      </c>
      <c r="F130" s="0" t="n">
        <v>71819</v>
      </c>
      <c r="G130" s="0" t="s">
        <v>2878</v>
      </c>
    </row>
    <row r="131" customFormat="false" ht="15" hidden="false" customHeight="false" outlineLevel="0" collapsed="false">
      <c r="A131" s="0" t="s">
        <v>2876</v>
      </c>
      <c r="B131" s="0" t="s">
        <v>136</v>
      </c>
      <c r="C131" s="0" t="n">
        <v>2017</v>
      </c>
      <c r="D131" s="0" t="s">
        <v>60</v>
      </c>
      <c r="E131" s="0" t="n">
        <v>1326250.395</v>
      </c>
      <c r="F131" s="0" t="n">
        <v>1163273</v>
      </c>
      <c r="G131" s="0" t="s">
        <v>2877</v>
      </c>
    </row>
    <row r="132" customFormat="false" ht="15" hidden="false" customHeight="false" outlineLevel="0" collapsed="false">
      <c r="A132" s="0" t="s">
        <v>2876</v>
      </c>
      <c r="B132" s="0" t="s">
        <v>136</v>
      </c>
      <c r="C132" s="0" t="n">
        <v>2017</v>
      </c>
      <c r="D132" s="0" t="s">
        <v>60</v>
      </c>
      <c r="E132" s="0" t="n">
        <v>1326250.395</v>
      </c>
      <c r="F132" s="0" t="n">
        <v>1163273</v>
      </c>
      <c r="G132" s="0" t="s">
        <v>2878</v>
      </c>
    </row>
    <row r="133" customFormat="false" ht="15" hidden="false" customHeight="false" outlineLevel="0" collapsed="false">
      <c r="A133" s="0" t="s">
        <v>2876</v>
      </c>
      <c r="B133" s="0" t="s">
        <v>136</v>
      </c>
      <c r="C133" s="0" t="n">
        <v>2017</v>
      </c>
      <c r="D133" s="0" t="s">
        <v>61</v>
      </c>
      <c r="E133" s="0" t="n">
        <v>60278.707</v>
      </c>
      <c r="F133" s="0" t="n">
        <v>57658</v>
      </c>
      <c r="G133" s="0" t="s">
        <v>2877</v>
      </c>
    </row>
    <row r="134" customFormat="false" ht="15" hidden="false" customHeight="false" outlineLevel="0" collapsed="false">
      <c r="A134" s="0" t="s">
        <v>2876</v>
      </c>
      <c r="B134" s="0" t="s">
        <v>136</v>
      </c>
      <c r="C134" s="0" t="n">
        <v>2017</v>
      </c>
      <c r="D134" s="0" t="s">
        <v>61</v>
      </c>
      <c r="E134" s="0" t="n">
        <v>60278.707</v>
      </c>
      <c r="F134" s="0" t="n">
        <v>57658</v>
      </c>
      <c r="G134" s="0" t="s">
        <v>2878</v>
      </c>
    </row>
    <row r="135" customFormat="false" ht="15" hidden="false" customHeight="false" outlineLevel="0" collapsed="false">
      <c r="A135" s="0" t="s">
        <v>2876</v>
      </c>
      <c r="B135" s="0" t="s">
        <v>136</v>
      </c>
      <c r="C135" s="0" t="n">
        <v>2017</v>
      </c>
      <c r="D135" s="0" t="s">
        <v>54</v>
      </c>
      <c r="E135" s="0" t="n">
        <v>158727.705</v>
      </c>
      <c r="F135" s="0" t="n">
        <v>161285</v>
      </c>
      <c r="G135" s="0" t="s">
        <v>2877</v>
      </c>
    </row>
    <row r="136" customFormat="false" ht="15" hidden="false" customHeight="false" outlineLevel="0" collapsed="false">
      <c r="A136" s="0" t="s">
        <v>2876</v>
      </c>
      <c r="B136" s="0" t="s">
        <v>136</v>
      </c>
      <c r="C136" s="0" t="n">
        <v>2017</v>
      </c>
      <c r="D136" s="0" t="s">
        <v>54</v>
      </c>
      <c r="E136" s="0" t="n">
        <v>158727.705</v>
      </c>
      <c r="F136" s="0" t="n">
        <v>161285</v>
      </c>
      <c r="G136" s="0" t="s">
        <v>2878</v>
      </c>
    </row>
    <row r="137" customFormat="false" ht="15" hidden="false" customHeight="false" outlineLevel="0" collapsed="false">
      <c r="A137" s="0" t="s">
        <v>2876</v>
      </c>
      <c r="B137" s="0" t="s">
        <v>136</v>
      </c>
      <c r="C137" s="0" t="n">
        <v>2017</v>
      </c>
      <c r="D137" s="0" t="s">
        <v>63</v>
      </c>
      <c r="E137" s="0" t="n">
        <v>11531.292</v>
      </c>
      <c r="F137" s="0" t="n">
        <v>10835</v>
      </c>
      <c r="G137" s="0" t="s">
        <v>2877</v>
      </c>
    </row>
    <row r="138" customFormat="false" ht="15" hidden="false" customHeight="false" outlineLevel="0" collapsed="false">
      <c r="A138" s="0" t="s">
        <v>2876</v>
      </c>
      <c r="B138" s="0" t="s">
        <v>136</v>
      </c>
      <c r="C138" s="0" t="n">
        <v>2017</v>
      </c>
      <c r="D138" s="0" t="s">
        <v>63</v>
      </c>
      <c r="E138" s="0" t="n">
        <v>11531.292</v>
      </c>
      <c r="F138" s="0" t="n">
        <v>10835</v>
      </c>
      <c r="G138" s="0" t="s">
        <v>2878</v>
      </c>
    </row>
    <row r="139" customFormat="false" ht="15" hidden="false" customHeight="false" outlineLevel="0" collapsed="false">
      <c r="A139" s="0" t="s">
        <v>2876</v>
      </c>
      <c r="B139" s="0" t="s">
        <v>136</v>
      </c>
      <c r="C139" s="0" t="n">
        <v>2018</v>
      </c>
      <c r="D139" s="0" t="s">
        <v>60</v>
      </c>
      <c r="E139" s="0" t="n">
        <v>1158980.803</v>
      </c>
      <c r="F139" s="0" t="n">
        <v>1159030</v>
      </c>
      <c r="G139" s="0" t="s">
        <v>2877</v>
      </c>
    </row>
    <row r="140" customFormat="false" ht="15" hidden="false" customHeight="false" outlineLevel="0" collapsed="false">
      <c r="A140" s="0" t="s">
        <v>2876</v>
      </c>
      <c r="B140" s="0" t="s">
        <v>136</v>
      </c>
      <c r="C140" s="0" t="n">
        <v>2018</v>
      </c>
      <c r="D140" s="0" t="s">
        <v>60</v>
      </c>
      <c r="E140" s="0" t="n">
        <v>1158980.803</v>
      </c>
      <c r="F140" s="0" t="n">
        <v>1159030</v>
      </c>
      <c r="G140" s="0" t="s">
        <v>2878</v>
      </c>
    </row>
    <row r="141" customFormat="false" ht="15" hidden="false" customHeight="false" outlineLevel="0" collapsed="false">
      <c r="A141" s="0" t="s">
        <v>2876</v>
      </c>
      <c r="B141" s="0" t="s">
        <v>136</v>
      </c>
      <c r="C141" s="0" t="n">
        <v>2018</v>
      </c>
      <c r="D141" s="0" t="s">
        <v>61</v>
      </c>
      <c r="E141" s="0" t="n">
        <v>90981.784</v>
      </c>
      <c r="F141" s="0" t="n">
        <v>90984</v>
      </c>
      <c r="G141" s="0" t="s">
        <v>2877</v>
      </c>
    </row>
    <row r="142" customFormat="false" ht="15" hidden="false" customHeight="false" outlineLevel="0" collapsed="false">
      <c r="A142" s="0" t="s">
        <v>2876</v>
      </c>
      <c r="B142" s="0" t="s">
        <v>136</v>
      </c>
      <c r="C142" s="0" t="n">
        <v>2018</v>
      </c>
      <c r="D142" s="0" t="s">
        <v>61</v>
      </c>
      <c r="E142" s="0" t="n">
        <v>90981.784</v>
      </c>
      <c r="F142" s="0" t="n">
        <v>90984</v>
      </c>
      <c r="G142" s="0" t="s">
        <v>2878</v>
      </c>
    </row>
    <row r="143" customFormat="false" ht="15" hidden="false" customHeight="false" outlineLevel="0" collapsed="false">
      <c r="A143" s="0" t="s">
        <v>2876</v>
      </c>
      <c r="B143" s="0" t="s">
        <v>136</v>
      </c>
      <c r="C143" s="0" t="n">
        <v>2018</v>
      </c>
      <c r="D143" s="0" t="s">
        <v>54</v>
      </c>
      <c r="E143" s="0" t="n">
        <v>166919.765</v>
      </c>
      <c r="F143" s="0" t="n">
        <v>166753</v>
      </c>
      <c r="G143" s="0" t="s">
        <v>2877</v>
      </c>
    </row>
    <row r="144" customFormat="false" ht="15" hidden="false" customHeight="false" outlineLevel="0" collapsed="false">
      <c r="A144" s="0" t="s">
        <v>2876</v>
      </c>
      <c r="B144" s="0" t="s">
        <v>136</v>
      </c>
      <c r="C144" s="0" t="n">
        <v>2018</v>
      </c>
      <c r="D144" s="0" t="s">
        <v>54</v>
      </c>
      <c r="E144" s="0" t="n">
        <v>166919.765</v>
      </c>
      <c r="F144" s="0" t="n">
        <v>166753</v>
      </c>
      <c r="G144" s="0" t="s">
        <v>2878</v>
      </c>
    </row>
    <row r="145" customFormat="false" ht="15" hidden="false" customHeight="false" outlineLevel="0" collapsed="false">
      <c r="A145" s="0" t="s">
        <v>2876</v>
      </c>
      <c r="B145" s="0" t="s">
        <v>136</v>
      </c>
      <c r="C145" s="0" t="n">
        <v>2018</v>
      </c>
      <c r="D145" s="0" t="s">
        <v>63</v>
      </c>
      <c r="E145" s="0" t="n">
        <v>1384.004</v>
      </c>
      <c r="F145" s="0" t="n">
        <v>1504</v>
      </c>
      <c r="G145" s="0" t="s">
        <v>2877</v>
      </c>
    </row>
    <row r="146" customFormat="false" ht="15" hidden="false" customHeight="false" outlineLevel="0" collapsed="false">
      <c r="A146" s="0" t="s">
        <v>2876</v>
      </c>
      <c r="B146" s="0" t="s">
        <v>136</v>
      </c>
      <c r="C146" s="0" t="n">
        <v>2018</v>
      </c>
      <c r="D146" s="0" t="s">
        <v>63</v>
      </c>
      <c r="E146" s="0" t="n">
        <v>1384.004</v>
      </c>
      <c r="F146" s="0" t="n">
        <v>1504</v>
      </c>
      <c r="G146" s="0" t="s">
        <v>2878</v>
      </c>
    </row>
    <row r="147" customFormat="false" ht="15" hidden="false" customHeight="false" outlineLevel="0" collapsed="false">
      <c r="A147" s="0" t="s">
        <v>2876</v>
      </c>
      <c r="B147" s="0" t="s">
        <v>136</v>
      </c>
      <c r="C147" s="0" t="n">
        <v>2019</v>
      </c>
      <c r="D147" s="0" t="s">
        <v>60</v>
      </c>
      <c r="E147" s="0" t="n">
        <v>1357066.246</v>
      </c>
      <c r="F147" s="0" t="n">
        <v>1357147</v>
      </c>
      <c r="G147" s="0" t="s">
        <v>2877</v>
      </c>
    </row>
    <row r="148" customFormat="false" ht="15" hidden="false" customHeight="false" outlineLevel="0" collapsed="false">
      <c r="A148" s="0" t="s">
        <v>2876</v>
      </c>
      <c r="B148" s="0" t="s">
        <v>136</v>
      </c>
      <c r="C148" s="0" t="n">
        <v>2019</v>
      </c>
      <c r="D148" s="0" t="s">
        <v>60</v>
      </c>
      <c r="E148" s="0" t="n">
        <v>1357066.246</v>
      </c>
      <c r="F148" s="0" t="n">
        <v>1357147</v>
      </c>
      <c r="G148" s="0" t="s">
        <v>2878</v>
      </c>
    </row>
    <row r="149" customFormat="false" ht="15" hidden="false" customHeight="false" outlineLevel="0" collapsed="false">
      <c r="A149" s="0" t="s">
        <v>2876</v>
      </c>
      <c r="B149" s="0" t="s">
        <v>136</v>
      </c>
      <c r="C149" s="0" t="n">
        <v>2019</v>
      </c>
      <c r="D149" s="0" t="s">
        <v>61</v>
      </c>
      <c r="E149" s="0" t="n">
        <v>56245.599</v>
      </c>
      <c r="F149" s="0" t="n">
        <v>56254</v>
      </c>
      <c r="G149" s="0" t="s">
        <v>2877</v>
      </c>
    </row>
    <row r="150" customFormat="false" ht="15" hidden="false" customHeight="false" outlineLevel="0" collapsed="false">
      <c r="A150" s="0" t="s">
        <v>2876</v>
      </c>
      <c r="B150" s="0" t="s">
        <v>136</v>
      </c>
      <c r="C150" s="0" t="n">
        <v>2019</v>
      </c>
      <c r="D150" s="0" t="s">
        <v>61</v>
      </c>
      <c r="E150" s="0" t="n">
        <v>56245.599</v>
      </c>
      <c r="F150" s="0" t="n">
        <v>56254</v>
      </c>
      <c r="G150" s="0" t="s">
        <v>2878</v>
      </c>
    </row>
    <row r="151" customFormat="false" ht="15" hidden="false" customHeight="false" outlineLevel="0" collapsed="false">
      <c r="A151" s="0" t="s">
        <v>2876</v>
      </c>
      <c r="B151" s="0" t="s">
        <v>136</v>
      </c>
      <c r="C151" s="0" t="n">
        <v>2019</v>
      </c>
      <c r="D151" s="0" t="s">
        <v>63</v>
      </c>
      <c r="E151" s="0" t="n">
        <v>1859.247</v>
      </c>
      <c r="F151" s="0" t="n">
        <v>2222</v>
      </c>
      <c r="G151" s="0" t="s">
        <v>2877</v>
      </c>
    </row>
    <row r="152" customFormat="false" ht="15" hidden="false" customHeight="false" outlineLevel="0" collapsed="false">
      <c r="A152" s="0" t="s">
        <v>2876</v>
      </c>
      <c r="B152" s="0" t="s">
        <v>136</v>
      </c>
      <c r="C152" s="0" t="n">
        <v>2019</v>
      </c>
      <c r="D152" s="0" t="s">
        <v>63</v>
      </c>
      <c r="E152" s="0" t="n">
        <v>1859.247</v>
      </c>
      <c r="F152" s="0" t="n">
        <v>2222</v>
      </c>
      <c r="G152" s="0" t="s">
        <v>2878</v>
      </c>
    </row>
    <row r="153" customFormat="false" ht="15" hidden="false" customHeight="false" outlineLevel="0" collapsed="false">
      <c r="A153" s="0" t="s">
        <v>2876</v>
      </c>
      <c r="B153" s="0" t="s">
        <v>136</v>
      </c>
      <c r="C153" s="0" t="n">
        <v>2020</v>
      </c>
      <c r="D153" s="0" t="s">
        <v>60</v>
      </c>
      <c r="E153" s="0" t="n">
        <v>1473498.356</v>
      </c>
      <c r="F153" s="0" t="n">
        <v>1473566</v>
      </c>
      <c r="G153" s="0" t="s">
        <v>2877</v>
      </c>
    </row>
    <row r="154" customFormat="false" ht="15" hidden="false" customHeight="false" outlineLevel="0" collapsed="false">
      <c r="A154" s="0" t="s">
        <v>2876</v>
      </c>
      <c r="B154" s="0" t="s">
        <v>136</v>
      </c>
      <c r="C154" s="0" t="n">
        <v>2020</v>
      </c>
      <c r="D154" s="0" t="s">
        <v>60</v>
      </c>
      <c r="E154" s="0" t="n">
        <v>1473498.356</v>
      </c>
      <c r="F154" s="0" t="n">
        <v>1473566</v>
      </c>
      <c r="G154" s="0" t="s">
        <v>2878</v>
      </c>
    </row>
    <row r="155" customFormat="false" ht="15" hidden="false" customHeight="false" outlineLevel="0" collapsed="false">
      <c r="A155" s="0" t="s">
        <v>2876</v>
      </c>
      <c r="B155" s="0" t="s">
        <v>136</v>
      </c>
      <c r="C155" s="0" t="n">
        <v>2020</v>
      </c>
      <c r="D155" s="0" t="s">
        <v>61</v>
      </c>
      <c r="E155" s="0" t="n">
        <v>62920.622</v>
      </c>
      <c r="F155" s="0" t="n">
        <v>62948</v>
      </c>
      <c r="G155" s="0" t="s">
        <v>2877</v>
      </c>
    </row>
    <row r="156" customFormat="false" ht="15" hidden="false" customHeight="false" outlineLevel="0" collapsed="false">
      <c r="A156" s="0" t="s">
        <v>2876</v>
      </c>
      <c r="B156" s="0" t="s">
        <v>136</v>
      </c>
      <c r="C156" s="0" t="n">
        <v>2020</v>
      </c>
      <c r="D156" s="0" t="s">
        <v>61</v>
      </c>
      <c r="E156" s="0" t="n">
        <v>62920.622</v>
      </c>
      <c r="F156" s="0" t="n">
        <v>62948</v>
      </c>
      <c r="G156" s="0" t="s">
        <v>2878</v>
      </c>
    </row>
    <row r="157" customFormat="false" ht="15" hidden="false" customHeight="false" outlineLevel="0" collapsed="false">
      <c r="A157" s="0" t="s">
        <v>2876</v>
      </c>
      <c r="B157" s="0" t="s">
        <v>136</v>
      </c>
      <c r="C157" s="0" t="n">
        <v>2020</v>
      </c>
      <c r="D157" s="0" t="s">
        <v>63</v>
      </c>
      <c r="E157" s="0" t="n">
        <v>10555.467</v>
      </c>
      <c r="F157" s="0" t="n">
        <v>13667</v>
      </c>
      <c r="G157" s="0" t="s">
        <v>2877</v>
      </c>
    </row>
    <row r="158" customFormat="false" ht="15" hidden="false" customHeight="false" outlineLevel="0" collapsed="false">
      <c r="A158" s="0" t="s">
        <v>2876</v>
      </c>
      <c r="B158" s="0" t="s">
        <v>136</v>
      </c>
      <c r="C158" s="0" t="n">
        <v>2020</v>
      </c>
      <c r="D158" s="0" t="s">
        <v>63</v>
      </c>
      <c r="E158" s="0" t="n">
        <v>10555.467</v>
      </c>
      <c r="F158" s="0" t="n">
        <v>13667</v>
      </c>
      <c r="G158" s="0" t="s">
        <v>2878</v>
      </c>
    </row>
    <row r="159" customFormat="false" ht="15" hidden="false" customHeight="false" outlineLevel="0" collapsed="false">
      <c r="A159" s="0" t="s">
        <v>2876</v>
      </c>
      <c r="B159" s="0" t="s">
        <v>149</v>
      </c>
      <c r="C159" s="0" t="n">
        <v>2015</v>
      </c>
      <c r="D159" s="0" t="s">
        <v>63</v>
      </c>
      <c r="E159" s="0" t="n">
        <v>14931</v>
      </c>
      <c r="F159" s="0" t="n">
        <v>15114</v>
      </c>
      <c r="G159" s="0" t="s">
        <v>2877</v>
      </c>
    </row>
    <row r="160" customFormat="false" ht="15" hidden="false" customHeight="false" outlineLevel="0" collapsed="false">
      <c r="A160" s="0" t="s">
        <v>2876</v>
      </c>
      <c r="B160" s="0" t="s">
        <v>149</v>
      </c>
      <c r="C160" s="0" t="n">
        <v>2015</v>
      </c>
      <c r="D160" s="0" t="s">
        <v>63</v>
      </c>
      <c r="E160" s="0" t="n">
        <v>14931</v>
      </c>
      <c r="F160" s="0" t="n">
        <v>15114</v>
      </c>
      <c r="G160" s="0" t="s">
        <v>2878</v>
      </c>
    </row>
    <row r="161" customFormat="false" ht="15" hidden="false" customHeight="false" outlineLevel="0" collapsed="false">
      <c r="A161" s="0" t="s">
        <v>2876</v>
      </c>
      <c r="B161" s="0" t="s">
        <v>149</v>
      </c>
      <c r="C161" s="0" t="n">
        <v>2016</v>
      </c>
      <c r="D161" s="0" t="s">
        <v>63</v>
      </c>
      <c r="E161" s="0" t="n">
        <v>19803</v>
      </c>
      <c r="F161" s="0" t="n">
        <v>20272</v>
      </c>
      <c r="G161" s="0" t="s">
        <v>2877</v>
      </c>
    </row>
    <row r="162" customFormat="false" ht="15" hidden="false" customHeight="false" outlineLevel="0" collapsed="false">
      <c r="A162" s="0" t="s">
        <v>2876</v>
      </c>
      <c r="B162" s="0" t="s">
        <v>149</v>
      </c>
      <c r="C162" s="0" t="n">
        <v>2016</v>
      </c>
      <c r="D162" s="0" t="s">
        <v>63</v>
      </c>
      <c r="E162" s="0" t="n">
        <v>19803</v>
      </c>
      <c r="F162" s="0" t="n">
        <v>20272</v>
      </c>
      <c r="G162" s="0" t="s">
        <v>2878</v>
      </c>
    </row>
    <row r="163" customFormat="false" ht="15" hidden="false" customHeight="false" outlineLevel="0" collapsed="false">
      <c r="A163" s="0" t="s">
        <v>2876</v>
      </c>
      <c r="B163" s="0" t="s">
        <v>149</v>
      </c>
      <c r="C163" s="0" t="n">
        <v>2017</v>
      </c>
      <c r="D163" s="0" t="s">
        <v>63</v>
      </c>
      <c r="E163" s="0" t="n">
        <v>25577</v>
      </c>
      <c r="F163" s="0" t="n">
        <v>-25577</v>
      </c>
      <c r="G163" s="0" t="s">
        <v>2877</v>
      </c>
    </row>
    <row r="164" customFormat="false" ht="15" hidden="false" customHeight="false" outlineLevel="0" collapsed="false">
      <c r="A164" s="0" t="s">
        <v>2876</v>
      </c>
      <c r="B164" s="0" t="s">
        <v>149</v>
      </c>
      <c r="C164" s="0" t="n">
        <v>2017</v>
      </c>
      <c r="D164" s="0" t="s">
        <v>63</v>
      </c>
      <c r="E164" s="0" t="n">
        <v>25577</v>
      </c>
      <c r="F164" s="0" t="n">
        <v>-25577</v>
      </c>
      <c r="G164" s="0" t="s">
        <v>2878</v>
      </c>
    </row>
    <row r="165" customFormat="false" ht="15" hidden="false" customHeight="false" outlineLevel="0" collapsed="false">
      <c r="A165" s="0" t="s">
        <v>2876</v>
      </c>
      <c r="B165" s="0" t="s">
        <v>149</v>
      </c>
      <c r="C165" s="0" t="n">
        <v>2018</v>
      </c>
      <c r="D165" s="0" t="s">
        <v>55</v>
      </c>
      <c r="E165" s="0" t="n">
        <v>1599245</v>
      </c>
      <c r="F165" s="0" t="n">
        <v>1613500</v>
      </c>
      <c r="G165" s="0" t="s">
        <v>2877</v>
      </c>
    </row>
    <row r="166" customFormat="false" ht="15" hidden="false" customHeight="false" outlineLevel="0" collapsed="false">
      <c r="A166" s="0" t="s">
        <v>2876</v>
      </c>
      <c r="B166" s="0" t="s">
        <v>149</v>
      </c>
      <c r="C166" s="0" t="n">
        <v>2018</v>
      </c>
      <c r="D166" s="0" t="s">
        <v>55</v>
      </c>
      <c r="E166" s="0" t="n">
        <v>1599245</v>
      </c>
      <c r="F166" s="0" t="n">
        <v>1613500</v>
      </c>
      <c r="G166" s="0" t="s">
        <v>2878</v>
      </c>
    </row>
    <row r="167" customFormat="false" ht="15" hidden="false" customHeight="false" outlineLevel="0" collapsed="false">
      <c r="A167" s="0" t="s">
        <v>2876</v>
      </c>
      <c r="B167" s="0" t="s">
        <v>149</v>
      </c>
      <c r="C167" s="0" t="n">
        <v>2018</v>
      </c>
      <c r="D167" s="0" t="s">
        <v>63</v>
      </c>
      <c r="E167" s="0" t="n">
        <v>-2988</v>
      </c>
      <c r="F167" s="0" t="n">
        <v>2988</v>
      </c>
      <c r="G167" s="0" t="s">
        <v>2877</v>
      </c>
    </row>
    <row r="168" customFormat="false" ht="15" hidden="false" customHeight="false" outlineLevel="0" collapsed="false">
      <c r="A168" s="0" t="s">
        <v>2876</v>
      </c>
      <c r="B168" s="0" t="s">
        <v>149</v>
      </c>
      <c r="C168" s="0" t="n">
        <v>2018</v>
      </c>
      <c r="D168" s="0" t="s">
        <v>63</v>
      </c>
      <c r="E168" s="0" t="n">
        <v>-2988</v>
      </c>
      <c r="F168" s="0" t="n">
        <v>2988</v>
      </c>
      <c r="G168" s="0" t="s">
        <v>2878</v>
      </c>
    </row>
    <row r="169" customFormat="false" ht="15" hidden="false" customHeight="false" outlineLevel="0" collapsed="false">
      <c r="A169" s="0" t="s">
        <v>2876</v>
      </c>
      <c r="B169" s="0" t="s">
        <v>149</v>
      </c>
      <c r="C169" s="0" t="n">
        <v>2019</v>
      </c>
      <c r="D169" s="0" t="s">
        <v>55</v>
      </c>
      <c r="E169" s="0" t="n">
        <v>1792320</v>
      </c>
      <c r="F169" s="0" t="n">
        <v>1850000</v>
      </c>
      <c r="G169" s="0" t="s">
        <v>2877</v>
      </c>
    </row>
    <row r="170" customFormat="false" ht="15" hidden="false" customHeight="false" outlineLevel="0" collapsed="false">
      <c r="A170" s="0" t="s">
        <v>2876</v>
      </c>
      <c r="B170" s="0" t="s">
        <v>149</v>
      </c>
      <c r="C170" s="0" t="n">
        <v>2019</v>
      </c>
      <c r="D170" s="0" t="s">
        <v>55</v>
      </c>
      <c r="E170" s="0" t="n">
        <v>1792320</v>
      </c>
      <c r="F170" s="0" t="n">
        <v>1850000</v>
      </c>
      <c r="G170" s="0" t="s">
        <v>2878</v>
      </c>
    </row>
    <row r="171" customFormat="false" ht="15" hidden="false" customHeight="false" outlineLevel="0" collapsed="false">
      <c r="A171" s="0" t="s">
        <v>2876</v>
      </c>
      <c r="B171" s="0" t="s">
        <v>149</v>
      </c>
      <c r="C171" s="0" t="n">
        <v>2019</v>
      </c>
      <c r="D171" s="0" t="s">
        <v>63</v>
      </c>
      <c r="E171" s="0" t="n">
        <v>1664</v>
      </c>
      <c r="F171" s="0" t="n">
        <v>-1664</v>
      </c>
      <c r="G171" s="0" t="s">
        <v>2877</v>
      </c>
    </row>
    <row r="172" customFormat="false" ht="15" hidden="false" customHeight="false" outlineLevel="0" collapsed="false">
      <c r="A172" s="0" t="s">
        <v>2876</v>
      </c>
      <c r="B172" s="0" t="s">
        <v>149</v>
      </c>
      <c r="C172" s="0" t="n">
        <v>2019</v>
      </c>
      <c r="D172" s="0" t="s">
        <v>63</v>
      </c>
      <c r="E172" s="0" t="n">
        <v>1664</v>
      </c>
      <c r="F172" s="0" t="n">
        <v>-1664</v>
      </c>
      <c r="G172" s="0" t="s">
        <v>2878</v>
      </c>
    </row>
    <row r="173" customFormat="false" ht="15" hidden="false" customHeight="false" outlineLevel="0" collapsed="false">
      <c r="A173" s="0" t="s">
        <v>2876</v>
      </c>
      <c r="B173" s="0" t="s">
        <v>149</v>
      </c>
      <c r="C173" s="0" t="n">
        <v>2020</v>
      </c>
      <c r="D173" s="0" t="s">
        <v>63</v>
      </c>
      <c r="E173" s="0" t="n">
        <v>10170</v>
      </c>
      <c r="F173" s="0" t="n">
        <v>-10170</v>
      </c>
      <c r="G173" s="0" t="s">
        <v>2877</v>
      </c>
    </row>
    <row r="174" customFormat="false" ht="15" hidden="false" customHeight="false" outlineLevel="0" collapsed="false">
      <c r="A174" s="0" t="s">
        <v>2876</v>
      </c>
      <c r="B174" s="0" t="s">
        <v>149</v>
      </c>
      <c r="C174" s="0" t="n">
        <v>2020</v>
      </c>
      <c r="D174" s="0" t="s">
        <v>63</v>
      </c>
      <c r="E174" s="0" t="n">
        <v>10170</v>
      </c>
      <c r="F174" s="0" t="n">
        <v>-10170</v>
      </c>
      <c r="G174" s="0" t="s">
        <v>2878</v>
      </c>
    </row>
    <row r="175" customFormat="false" ht="15" hidden="false" customHeight="false" outlineLevel="0" collapsed="false">
      <c r="A175" s="0" t="s">
        <v>2876</v>
      </c>
      <c r="B175" s="0" t="s">
        <v>149</v>
      </c>
      <c r="C175" s="0" t="n">
        <v>2021</v>
      </c>
      <c r="D175" s="0" t="s">
        <v>63</v>
      </c>
      <c r="E175" s="0" t="n">
        <v>-1208</v>
      </c>
      <c r="F175" s="0" t="n">
        <v>1208</v>
      </c>
      <c r="G175" s="0" t="s">
        <v>2877</v>
      </c>
    </row>
    <row r="176" customFormat="false" ht="15" hidden="false" customHeight="false" outlineLevel="0" collapsed="false">
      <c r="A176" s="0" t="s">
        <v>2876</v>
      </c>
      <c r="B176" s="0" t="s">
        <v>149</v>
      </c>
      <c r="C176" s="0" t="n">
        <v>2021</v>
      </c>
      <c r="D176" s="0" t="s">
        <v>63</v>
      </c>
      <c r="E176" s="0" t="n">
        <v>-1208</v>
      </c>
      <c r="F176" s="0" t="n">
        <v>1208</v>
      </c>
      <c r="G176" s="0" t="s">
        <v>2878</v>
      </c>
    </row>
    <row r="177" customFormat="false" ht="15" hidden="false" customHeight="false" outlineLevel="0" collapsed="false">
      <c r="A177" s="0" t="s">
        <v>2876</v>
      </c>
      <c r="B177" s="0" t="s">
        <v>149</v>
      </c>
      <c r="C177" s="0" t="n">
        <v>2022</v>
      </c>
      <c r="D177" s="0" t="s">
        <v>60</v>
      </c>
      <c r="E177" s="0" t="n">
        <v>1238195</v>
      </c>
      <c r="F177" s="0" t="n">
        <v>1241603</v>
      </c>
      <c r="G177" s="0" t="s">
        <v>2877</v>
      </c>
    </row>
    <row r="178" customFormat="false" ht="15" hidden="false" customHeight="false" outlineLevel="0" collapsed="false">
      <c r="A178" s="0" t="s">
        <v>2876</v>
      </c>
      <c r="B178" s="0" t="s">
        <v>149</v>
      </c>
      <c r="C178" s="0" t="n">
        <v>2022</v>
      </c>
      <c r="D178" s="0" t="s">
        <v>60</v>
      </c>
      <c r="E178" s="0" t="n">
        <v>1238195</v>
      </c>
      <c r="F178" s="0" t="n">
        <v>1241603</v>
      </c>
      <c r="G178" s="0" t="s">
        <v>2878</v>
      </c>
    </row>
    <row r="179" customFormat="false" ht="15" hidden="false" customHeight="false" outlineLevel="0" collapsed="false">
      <c r="A179" s="0" t="s">
        <v>2876</v>
      </c>
      <c r="B179" s="0" t="s">
        <v>149</v>
      </c>
      <c r="C179" s="0" t="n">
        <v>2022</v>
      </c>
      <c r="D179" s="0" t="s">
        <v>61</v>
      </c>
      <c r="E179" s="0" t="n">
        <v>33410</v>
      </c>
      <c r="F179" s="0" t="n">
        <v>33414</v>
      </c>
      <c r="G179" s="0" t="s">
        <v>2877</v>
      </c>
    </row>
    <row r="180" customFormat="false" ht="15" hidden="false" customHeight="false" outlineLevel="0" collapsed="false">
      <c r="A180" s="0" t="s">
        <v>2876</v>
      </c>
      <c r="B180" s="0" t="s">
        <v>149</v>
      </c>
      <c r="C180" s="0" t="n">
        <v>2022</v>
      </c>
      <c r="D180" s="0" t="s">
        <v>61</v>
      </c>
      <c r="E180" s="0" t="n">
        <v>33410</v>
      </c>
      <c r="F180" s="0" t="n">
        <v>33414</v>
      </c>
      <c r="G180" s="0" t="s">
        <v>2878</v>
      </c>
    </row>
    <row r="181" customFormat="false" ht="15" hidden="false" customHeight="false" outlineLevel="0" collapsed="false">
      <c r="A181" s="0" t="s">
        <v>2876</v>
      </c>
      <c r="B181" s="0" t="s">
        <v>169</v>
      </c>
      <c r="C181" s="0" t="n">
        <v>2016</v>
      </c>
      <c r="D181" s="0" t="s">
        <v>55</v>
      </c>
      <c r="E181" s="0" t="n">
        <v>830802.224</v>
      </c>
      <c r="F181" s="0" t="n">
        <v>834190</v>
      </c>
      <c r="G181" s="0" t="s">
        <v>2877</v>
      </c>
    </row>
    <row r="182" customFormat="false" ht="15" hidden="false" customHeight="false" outlineLevel="0" collapsed="false">
      <c r="A182" s="0" t="s">
        <v>2876</v>
      </c>
      <c r="B182" s="0" t="s">
        <v>169</v>
      </c>
      <c r="C182" s="0" t="n">
        <v>2016</v>
      </c>
      <c r="D182" s="0" t="s">
        <v>55</v>
      </c>
      <c r="E182" s="0" t="n">
        <v>830802.224</v>
      </c>
      <c r="F182" s="0" t="n">
        <v>834190</v>
      </c>
      <c r="G182" s="0" t="s">
        <v>2878</v>
      </c>
    </row>
    <row r="183" customFormat="false" ht="15" hidden="false" customHeight="false" outlineLevel="0" collapsed="false">
      <c r="A183" s="0" t="s">
        <v>2876</v>
      </c>
      <c r="B183" s="0" t="s">
        <v>169</v>
      </c>
      <c r="C183" s="0" t="n">
        <v>2016</v>
      </c>
      <c r="D183" s="0" t="s">
        <v>69</v>
      </c>
      <c r="E183" s="0" t="n">
        <v>10.66</v>
      </c>
      <c r="F183" s="0" t="n">
        <v>11.16</v>
      </c>
      <c r="G183" s="0" t="s">
        <v>2877</v>
      </c>
    </row>
    <row r="184" customFormat="false" ht="15" hidden="false" customHeight="false" outlineLevel="0" collapsed="false">
      <c r="A184" s="0" t="s">
        <v>2876</v>
      </c>
      <c r="B184" s="0" t="s">
        <v>169</v>
      </c>
      <c r="C184" s="0" t="n">
        <v>2016</v>
      </c>
      <c r="D184" s="0" t="s">
        <v>69</v>
      </c>
      <c r="E184" s="0" t="n">
        <v>10.66</v>
      </c>
      <c r="F184" s="0" t="n">
        <v>11.16</v>
      </c>
      <c r="G184" s="0" t="s">
        <v>2878</v>
      </c>
    </row>
    <row r="185" customFormat="false" ht="15" hidden="false" customHeight="false" outlineLevel="0" collapsed="false">
      <c r="A185" s="0" t="s">
        <v>2876</v>
      </c>
      <c r="B185" s="0" t="s">
        <v>169</v>
      </c>
      <c r="C185" s="0" t="n">
        <v>2018</v>
      </c>
      <c r="D185" s="0" t="s">
        <v>55</v>
      </c>
      <c r="E185" s="0" t="n">
        <v>1085876</v>
      </c>
      <c r="F185" s="0" t="n">
        <v>1102921</v>
      </c>
      <c r="G185" s="0" t="s">
        <v>2877</v>
      </c>
    </row>
    <row r="186" customFormat="false" ht="15" hidden="false" customHeight="false" outlineLevel="0" collapsed="false">
      <c r="A186" s="0" t="s">
        <v>2876</v>
      </c>
      <c r="B186" s="0" t="s">
        <v>169</v>
      </c>
      <c r="C186" s="0" t="n">
        <v>2018</v>
      </c>
      <c r="D186" s="0" t="s">
        <v>55</v>
      </c>
      <c r="E186" s="0" t="n">
        <v>1085876</v>
      </c>
      <c r="F186" s="0" t="n">
        <v>1102921</v>
      </c>
      <c r="G186" s="0" t="s">
        <v>2878</v>
      </c>
    </row>
    <row r="187" customFormat="false" ht="15" hidden="false" customHeight="false" outlineLevel="0" collapsed="false">
      <c r="A187" s="0" t="s">
        <v>2876</v>
      </c>
      <c r="B187" s="0" t="s">
        <v>169</v>
      </c>
      <c r="C187" s="0" t="n">
        <v>2018</v>
      </c>
      <c r="D187" s="0" t="s">
        <v>69</v>
      </c>
      <c r="E187" s="0" t="n">
        <v>12.86</v>
      </c>
      <c r="F187" s="0" t="n">
        <v>13.4</v>
      </c>
      <c r="G187" s="0" t="s">
        <v>2877</v>
      </c>
    </row>
    <row r="188" customFormat="false" ht="15" hidden="false" customHeight="false" outlineLevel="0" collapsed="false">
      <c r="A188" s="0" t="s">
        <v>2876</v>
      </c>
      <c r="B188" s="0" t="s">
        <v>169</v>
      </c>
      <c r="C188" s="0" t="n">
        <v>2018</v>
      </c>
      <c r="D188" s="0" t="s">
        <v>69</v>
      </c>
      <c r="E188" s="0" t="n">
        <v>12.86</v>
      </c>
      <c r="F188" s="0" t="n">
        <v>13.4</v>
      </c>
      <c r="G188" s="0" t="s">
        <v>2878</v>
      </c>
    </row>
    <row r="189" customFormat="false" ht="15" hidden="false" customHeight="false" outlineLevel="0" collapsed="false">
      <c r="A189" s="0" t="s">
        <v>2876</v>
      </c>
      <c r="B189" s="0" t="s">
        <v>169</v>
      </c>
      <c r="C189" s="0" t="n">
        <v>2018</v>
      </c>
      <c r="D189" s="0" t="s">
        <v>60</v>
      </c>
      <c r="E189" s="0" t="n">
        <v>640678</v>
      </c>
      <c r="F189" s="0" t="n">
        <v>646734</v>
      </c>
      <c r="G189" s="0" t="s">
        <v>2877</v>
      </c>
    </row>
    <row r="190" customFormat="false" ht="15" hidden="false" customHeight="false" outlineLevel="0" collapsed="false">
      <c r="A190" s="0" t="s">
        <v>2876</v>
      </c>
      <c r="B190" s="0" t="s">
        <v>169</v>
      </c>
      <c r="C190" s="0" t="n">
        <v>2018</v>
      </c>
      <c r="D190" s="0" t="s">
        <v>60</v>
      </c>
      <c r="E190" s="0" t="n">
        <v>640678</v>
      </c>
      <c r="F190" s="0" t="n">
        <v>646734</v>
      </c>
      <c r="G190" s="0" t="s">
        <v>2878</v>
      </c>
    </row>
    <row r="191" customFormat="false" ht="15" hidden="false" customHeight="false" outlineLevel="0" collapsed="false">
      <c r="A191" s="0" t="s">
        <v>2876</v>
      </c>
      <c r="B191" s="0" t="s">
        <v>169</v>
      </c>
      <c r="C191" s="0" t="n">
        <v>2018</v>
      </c>
      <c r="D191" s="0" t="s">
        <v>61</v>
      </c>
      <c r="E191" s="0" t="n">
        <v>19661</v>
      </c>
      <c r="F191" s="0" t="n">
        <v>25717</v>
      </c>
      <c r="G191" s="0" t="s">
        <v>2877</v>
      </c>
    </row>
    <row r="192" customFormat="false" ht="15" hidden="false" customHeight="false" outlineLevel="0" collapsed="false">
      <c r="A192" s="0" t="s">
        <v>2876</v>
      </c>
      <c r="B192" s="0" t="s">
        <v>169</v>
      </c>
      <c r="C192" s="0" t="n">
        <v>2018</v>
      </c>
      <c r="D192" s="0" t="s">
        <v>61</v>
      </c>
      <c r="E192" s="0" t="n">
        <v>19661</v>
      </c>
      <c r="F192" s="0" t="n">
        <v>25717</v>
      </c>
      <c r="G192" s="0" t="s">
        <v>2878</v>
      </c>
    </row>
    <row r="193" customFormat="false" ht="15" hidden="false" customHeight="false" outlineLevel="0" collapsed="false">
      <c r="A193" s="0" t="s">
        <v>2876</v>
      </c>
      <c r="B193" s="0" t="s">
        <v>169</v>
      </c>
      <c r="C193" s="0" t="n">
        <v>2018</v>
      </c>
      <c r="D193" s="0" t="s">
        <v>54</v>
      </c>
      <c r="E193" s="0" t="n">
        <v>9468</v>
      </c>
      <c r="F193" s="0" t="n">
        <v>9218</v>
      </c>
      <c r="G193" s="0" t="s">
        <v>2877</v>
      </c>
    </row>
    <row r="194" customFormat="false" ht="15" hidden="false" customHeight="false" outlineLevel="0" collapsed="false">
      <c r="A194" s="0" t="s">
        <v>2876</v>
      </c>
      <c r="B194" s="0" t="s">
        <v>169</v>
      </c>
      <c r="C194" s="0" t="n">
        <v>2018</v>
      </c>
      <c r="D194" s="0" t="s">
        <v>54</v>
      </c>
      <c r="E194" s="0" t="n">
        <v>9468</v>
      </c>
      <c r="F194" s="0" t="n">
        <v>9218</v>
      </c>
      <c r="G194" s="0" t="s">
        <v>2878</v>
      </c>
    </row>
    <row r="195" customFormat="false" ht="15" hidden="false" customHeight="false" outlineLevel="0" collapsed="false">
      <c r="A195" s="0" t="s">
        <v>2876</v>
      </c>
      <c r="B195" s="0" t="s">
        <v>169</v>
      </c>
      <c r="C195" s="0" t="n">
        <v>2018</v>
      </c>
      <c r="D195" s="0" t="s">
        <v>63</v>
      </c>
      <c r="E195" s="0" t="n">
        <v>5832</v>
      </c>
      <c r="F195" s="0" t="n">
        <v>-5843</v>
      </c>
      <c r="G195" s="0" t="s">
        <v>2877</v>
      </c>
    </row>
    <row r="196" customFormat="false" ht="15" hidden="false" customHeight="false" outlineLevel="0" collapsed="false">
      <c r="A196" s="0" t="s">
        <v>2876</v>
      </c>
      <c r="B196" s="0" t="s">
        <v>178</v>
      </c>
      <c r="C196" s="0" t="n">
        <v>2015</v>
      </c>
      <c r="D196" s="0" t="s">
        <v>61</v>
      </c>
      <c r="E196" s="0" t="n">
        <v>13043</v>
      </c>
      <c r="F196" s="0" t="n">
        <v>14104</v>
      </c>
      <c r="G196" s="0" t="s">
        <v>2877</v>
      </c>
    </row>
    <row r="197" customFormat="false" ht="15" hidden="false" customHeight="false" outlineLevel="0" collapsed="false">
      <c r="A197" s="0" t="s">
        <v>2876</v>
      </c>
      <c r="B197" s="0" t="s">
        <v>178</v>
      </c>
      <c r="C197" s="0" t="n">
        <v>2015</v>
      </c>
      <c r="D197" s="0" t="s">
        <v>61</v>
      </c>
      <c r="E197" s="0" t="n">
        <v>13043</v>
      </c>
      <c r="F197" s="0" t="n">
        <v>14104</v>
      </c>
      <c r="G197" s="0" t="s">
        <v>2878</v>
      </c>
    </row>
    <row r="198" customFormat="false" ht="15" hidden="false" customHeight="false" outlineLevel="0" collapsed="false">
      <c r="A198" s="0" t="s">
        <v>2876</v>
      </c>
      <c r="B198" s="0" t="s">
        <v>178</v>
      </c>
      <c r="C198" s="0" t="n">
        <v>2016</v>
      </c>
      <c r="D198" s="0" t="s">
        <v>61</v>
      </c>
      <c r="E198" s="0" t="n">
        <v>29741</v>
      </c>
      <c r="F198" s="0" t="n">
        <v>32295</v>
      </c>
      <c r="G198" s="0" t="s">
        <v>2877</v>
      </c>
    </row>
    <row r="199" customFormat="false" ht="15" hidden="false" customHeight="false" outlineLevel="0" collapsed="false">
      <c r="A199" s="0" t="s">
        <v>2876</v>
      </c>
      <c r="B199" s="0" t="s">
        <v>178</v>
      </c>
      <c r="C199" s="0" t="n">
        <v>2016</v>
      </c>
      <c r="D199" s="0" t="s">
        <v>61</v>
      </c>
      <c r="E199" s="0" t="n">
        <v>29741</v>
      </c>
      <c r="F199" s="0" t="n">
        <v>32295</v>
      </c>
      <c r="G199" s="0" t="s">
        <v>2878</v>
      </c>
    </row>
    <row r="200" customFormat="false" ht="15" hidden="false" customHeight="false" outlineLevel="0" collapsed="false">
      <c r="A200" s="0" t="s">
        <v>2876</v>
      </c>
      <c r="B200" s="0" t="s">
        <v>178</v>
      </c>
      <c r="C200" s="0" t="n">
        <v>2019</v>
      </c>
      <c r="D200" s="0" t="s">
        <v>69</v>
      </c>
      <c r="E200" s="0" t="n">
        <v>22</v>
      </c>
      <c r="F200" s="0" t="n">
        <v>20.39</v>
      </c>
      <c r="G200" s="0" t="s">
        <v>2877</v>
      </c>
    </row>
    <row r="201" customFormat="false" ht="15" hidden="false" customHeight="false" outlineLevel="0" collapsed="false">
      <c r="A201" s="0" t="s">
        <v>2876</v>
      </c>
      <c r="B201" s="0" t="s">
        <v>178</v>
      </c>
      <c r="C201" s="0" t="n">
        <v>2019</v>
      </c>
      <c r="D201" s="0" t="s">
        <v>69</v>
      </c>
      <c r="E201" s="0" t="n">
        <v>22</v>
      </c>
      <c r="F201" s="0" t="n">
        <v>20.39</v>
      </c>
      <c r="G201" s="0" t="s">
        <v>2878</v>
      </c>
    </row>
    <row r="202" customFormat="false" ht="15" hidden="false" customHeight="false" outlineLevel="0" collapsed="false">
      <c r="A202" s="0" t="s">
        <v>2876</v>
      </c>
      <c r="B202" s="0" t="s">
        <v>178</v>
      </c>
      <c r="C202" s="0" t="n">
        <v>2020</v>
      </c>
      <c r="D202" s="0" t="s">
        <v>69</v>
      </c>
      <c r="E202" s="0" t="n">
        <v>20</v>
      </c>
      <c r="F202" s="0" t="n">
        <v>19.7</v>
      </c>
      <c r="G202" s="0" t="s">
        <v>2877</v>
      </c>
    </row>
    <row r="203" customFormat="false" ht="15" hidden="false" customHeight="false" outlineLevel="0" collapsed="false">
      <c r="A203" s="0" t="s">
        <v>2876</v>
      </c>
      <c r="B203" s="0" t="s">
        <v>178</v>
      </c>
      <c r="C203" s="0" t="n">
        <v>2020</v>
      </c>
      <c r="D203" s="0" t="s">
        <v>69</v>
      </c>
      <c r="E203" s="0" t="n">
        <v>20</v>
      </c>
      <c r="F203" s="0" t="n">
        <v>19.7</v>
      </c>
      <c r="G203" s="0" t="s">
        <v>2878</v>
      </c>
    </row>
    <row r="204" customFormat="false" ht="15" hidden="false" customHeight="false" outlineLevel="0" collapsed="false">
      <c r="A204" s="0" t="s">
        <v>2876</v>
      </c>
      <c r="B204" s="0" t="s">
        <v>187</v>
      </c>
      <c r="C204" s="0" t="n">
        <v>2015</v>
      </c>
      <c r="D204" s="0" t="s">
        <v>55</v>
      </c>
      <c r="E204" s="0" t="n">
        <v>1000976</v>
      </c>
      <c r="F204" s="0" t="n">
        <v>998137</v>
      </c>
      <c r="G204" s="0" t="s">
        <v>2878</v>
      </c>
    </row>
    <row r="205" customFormat="false" ht="15" hidden="false" customHeight="false" outlineLevel="0" collapsed="false">
      <c r="A205" s="0" t="s">
        <v>2876</v>
      </c>
      <c r="B205" s="0" t="s">
        <v>187</v>
      </c>
      <c r="C205" s="0" t="n">
        <v>2015</v>
      </c>
      <c r="D205" s="0" t="s">
        <v>69</v>
      </c>
      <c r="E205" s="0" t="n">
        <v>15.9</v>
      </c>
      <c r="F205" s="0" t="n">
        <v>15.3</v>
      </c>
      <c r="G205" s="0" t="s">
        <v>2878</v>
      </c>
    </row>
    <row r="206" customFormat="false" ht="15" hidden="false" customHeight="false" outlineLevel="0" collapsed="false">
      <c r="A206" s="0" t="s">
        <v>2876</v>
      </c>
      <c r="B206" s="0" t="s">
        <v>187</v>
      </c>
      <c r="C206" s="0" t="n">
        <v>2015</v>
      </c>
      <c r="D206" s="0" t="s">
        <v>60</v>
      </c>
      <c r="E206" s="0" t="n">
        <v>370949</v>
      </c>
      <c r="F206" s="0" t="n">
        <v>370919</v>
      </c>
      <c r="G206" s="0" t="s">
        <v>2878</v>
      </c>
    </row>
    <row r="207" customFormat="false" ht="15" hidden="false" customHeight="false" outlineLevel="0" collapsed="false">
      <c r="A207" s="0" t="s">
        <v>2876</v>
      </c>
      <c r="B207" s="0" t="s">
        <v>187</v>
      </c>
      <c r="C207" s="0" t="n">
        <v>2015</v>
      </c>
      <c r="D207" s="0" t="s">
        <v>54</v>
      </c>
      <c r="E207" s="0" t="n">
        <v>18035</v>
      </c>
      <c r="F207" s="0" t="n">
        <v>17721</v>
      </c>
      <c r="G207" s="0" t="s">
        <v>2878</v>
      </c>
    </row>
    <row r="208" customFormat="false" ht="15" hidden="false" customHeight="false" outlineLevel="0" collapsed="false">
      <c r="A208" s="0" t="s">
        <v>2876</v>
      </c>
      <c r="B208" s="0" t="s">
        <v>187</v>
      </c>
      <c r="C208" s="0" t="n">
        <v>2015</v>
      </c>
      <c r="D208" s="0" t="s">
        <v>63</v>
      </c>
      <c r="E208" s="0" t="n">
        <v>9177</v>
      </c>
      <c r="F208" s="0" t="n">
        <v>9176</v>
      </c>
      <c r="G208" s="0" t="s">
        <v>2878</v>
      </c>
    </row>
    <row r="209" customFormat="false" ht="15" hidden="false" customHeight="false" outlineLevel="0" collapsed="false">
      <c r="A209" s="0" t="s">
        <v>2876</v>
      </c>
      <c r="B209" s="0" t="s">
        <v>187</v>
      </c>
      <c r="C209" s="0" t="n">
        <v>2017</v>
      </c>
      <c r="D209" s="0" t="s">
        <v>54</v>
      </c>
      <c r="E209" s="0" t="n">
        <v>11239</v>
      </c>
      <c r="F209" s="0" t="n">
        <v>12839</v>
      </c>
      <c r="G209" s="0" t="s">
        <v>2878</v>
      </c>
    </row>
    <row r="210" customFormat="false" ht="15" hidden="false" customHeight="false" outlineLevel="0" collapsed="false">
      <c r="A210" s="0" t="s">
        <v>2876</v>
      </c>
      <c r="B210" s="0" t="s">
        <v>187</v>
      </c>
      <c r="C210" s="0" t="n">
        <v>2018</v>
      </c>
      <c r="D210" s="0" t="s">
        <v>69</v>
      </c>
      <c r="E210" s="0" t="n">
        <v>11.5</v>
      </c>
      <c r="F210" s="0" t="n">
        <v>16.4</v>
      </c>
      <c r="G210" s="0" t="s">
        <v>2878</v>
      </c>
    </row>
    <row r="211" customFormat="false" ht="15" hidden="false" customHeight="false" outlineLevel="0" collapsed="false">
      <c r="A211" s="0" t="s">
        <v>2876</v>
      </c>
      <c r="B211" s="0" t="s">
        <v>187</v>
      </c>
      <c r="C211" s="0" t="n">
        <v>2019</v>
      </c>
      <c r="D211" s="0" t="s">
        <v>69</v>
      </c>
      <c r="E211" s="0" t="n">
        <v>15.91</v>
      </c>
      <c r="F211" s="0" t="n">
        <v>19.73</v>
      </c>
      <c r="G211" s="0" t="s">
        <v>2878</v>
      </c>
    </row>
    <row r="212" customFormat="false" ht="15" hidden="false" customHeight="false" outlineLevel="0" collapsed="false">
      <c r="A212" s="0" t="s">
        <v>2876</v>
      </c>
      <c r="B212" s="0" t="s">
        <v>187</v>
      </c>
      <c r="C212" s="0" t="n">
        <v>2019</v>
      </c>
      <c r="D212" s="0" t="s">
        <v>63</v>
      </c>
      <c r="E212" s="0" t="n">
        <v>-504</v>
      </c>
      <c r="F212" s="0" t="n">
        <v>504</v>
      </c>
      <c r="G212" s="0" t="s">
        <v>2878</v>
      </c>
    </row>
    <row r="213" customFormat="false" ht="15" hidden="false" customHeight="false" outlineLevel="0" collapsed="false">
      <c r="A213" s="0" t="s">
        <v>2876</v>
      </c>
      <c r="B213" s="0" t="s">
        <v>187</v>
      </c>
      <c r="C213" s="0" t="n">
        <v>2020</v>
      </c>
      <c r="D213" s="0" t="s">
        <v>69</v>
      </c>
      <c r="E213" s="0" t="n">
        <v>15.76</v>
      </c>
      <c r="F213" s="0" t="n">
        <v>17.46</v>
      </c>
      <c r="G213" s="0" t="s">
        <v>2878</v>
      </c>
    </row>
    <row r="214" customFormat="false" ht="15" hidden="false" customHeight="false" outlineLevel="0" collapsed="false">
      <c r="A214" s="0" t="s">
        <v>2876</v>
      </c>
      <c r="B214" s="0" t="s">
        <v>187</v>
      </c>
      <c r="C214" s="0" t="n">
        <v>2021</v>
      </c>
      <c r="D214" s="0" t="s">
        <v>60</v>
      </c>
      <c r="E214" s="0" t="n">
        <v>899106</v>
      </c>
      <c r="F214" s="0" t="n">
        <v>868840</v>
      </c>
      <c r="G214" s="0" t="s">
        <v>2878</v>
      </c>
    </row>
    <row r="215" customFormat="false" ht="15" hidden="false" customHeight="false" outlineLevel="0" collapsed="false">
      <c r="A215" s="0" t="s">
        <v>2876</v>
      </c>
      <c r="B215" s="0" t="s">
        <v>187</v>
      </c>
      <c r="C215" s="0" t="n">
        <v>2021</v>
      </c>
      <c r="D215" s="0" t="s">
        <v>61</v>
      </c>
      <c r="E215" s="0" t="n">
        <v>30266</v>
      </c>
      <c r="F215" s="0" t="n">
        <v>41537</v>
      </c>
      <c r="G215" s="0" t="s">
        <v>2878</v>
      </c>
    </row>
    <row r="216" customFormat="false" ht="15" hidden="false" customHeight="false" outlineLevel="0" collapsed="false">
      <c r="A216" s="0" t="s">
        <v>2876</v>
      </c>
      <c r="B216" s="0" t="s">
        <v>187</v>
      </c>
      <c r="C216" s="0" t="n">
        <v>2021</v>
      </c>
      <c r="D216" s="0" t="s">
        <v>63</v>
      </c>
      <c r="E216" s="0" t="n">
        <v>286</v>
      </c>
      <c r="F216" s="0" t="n">
        <v>34</v>
      </c>
      <c r="G216" s="0" t="s">
        <v>2878</v>
      </c>
    </row>
    <row r="217" customFormat="false" ht="15" hidden="false" customHeight="false" outlineLevel="0" collapsed="false">
      <c r="A217" s="0" t="s">
        <v>2876</v>
      </c>
      <c r="B217" s="0" t="s">
        <v>187</v>
      </c>
      <c r="C217" s="0" t="n">
        <v>2022</v>
      </c>
      <c r="D217" s="0" t="s">
        <v>61</v>
      </c>
      <c r="E217" s="0" t="n">
        <v>32015</v>
      </c>
      <c r="F217" s="0" t="n">
        <v>46628</v>
      </c>
      <c r="G217" s="0" t="s">
        <v>2878</v>
      </c>
    </row>
    <row r="218" customFormat="false" ht="15" hidden="false" customHeight="false" outlineLevel="0" collapsed="false">
      <c r="A218" s="0" t="s">
        <v>2876</v>
      </c>
      <c r="B218" s="0" t="s">
        <v>187</v>
      </c>
      <c r="C218" s="0" t="n">
        <v>2022</v>
      </c>
      <c r="D218" s="0" t="s">
        <v>63</v>
      </c>
      <c r="E218" s="0" t="n">
        <v>4475</v>
      </c>
      <c r="F218" s="0" t="n">
        <v>1749</v>
      </c>
      <c r="G218" s="0" t="s">
        <v>2878</v>
      </c>
    </row>
    <row r="219" customFormat="false" ht="15" hidden="false" customHeight="false" outlineLevel="0" collapsed="false">
      <c r="A219" s="0" t="s">
        <v>2876</v>
      </c>
      <c r="B219" s="0" t="s">
        <v>201</v>
      </c>
      <c r="C219" s="0" t="n">
        <v>2015</v>
      </c>
      <c r="D219" s="0" t="s">
        <v>55</v>
      </c>
      <c r="E219" s="0" t="n">
        <v>443321.012</v>
      </c>
      <c r="F219" s="0" t="n">
        <v>476586</v>
      </c>
      <c r="G219" s="0" t="s">
        <v>2877</v>
      </c>
    </row>
    <row r="220" customFormat="false" ht="15" hidden="false" customHeight="false" outlineLevel="0" collapsed="false">
      <c r="A220" s="0" t="s">
        <v>2876</v>
      </c>
      <c r="B220" s="0" t="s">
        <v>201</v>
      </c>
      <c r="C220" s="0" t="n">
        <v>2015</v>
      </c>
      <c r="D220" s="0" t="s">
        <v>55</v>
      </c>
      <c r="E220" s="0" t="n">
        <v>443321.012</v>
      </c>
      <c r="F220" s="0" t="n">
        <v>476586</v>
      </c>
      <c r="G220" s="0" t="s">
        <v>2878</v>
      </c>
    </row>
    <row r="221" customFormat="false" ht="15" hidden="false" customHeight="false" outlineLevel="0" collapsed="false">
      <c r="A221" s="0" t="s">
        <v>2876</v>
      </c>
      <c r="B221" s="0" t="s">
        <v>201</v>
      </c>
      <c r="C221" s="0" t="n">
        <v>2015</v>
      </c>
      <c r="D221" s="0" t="s">
        <v>60</v>
      </c>
      <c r="E221" s="0" t="n">
        <v>311897.547</v>
      </c>
      <c r="F221" s="0" t="n">
        <v>216221</v>
      </c>
      <c r="G221" s="0" t="s">
        <v>2877</v>
      </c>
    </row>
    <row r="222" customFormat="false" ht="15" hidden="false" customHeight="false" outlineLevel="0" collapsed="false">
      <c r="A222" s="0" t="s">
        <v>2876</v>
      </c>
      <c r="B222" s="0" t="s">
        <v>201</v>
      </c>
      <c r="C222" s="0" t="n">
        <v>2015</v>
      </c>
      <c r="D222" s="0" t="s">
        <v>60</v>
      </c>
      <c r="E222" s="0" t="n">
        <v>311897.547</v>
      </c>
      <c r="F222" s="0" t="n">
        <v>216221</v>
      </c>
      <c r="G222" s="0" t="s">
        <v>2878</v>
      </c>
    </row>
    <row r="223" customFormat="false" ht="15" hidden="false" customHeight="false" outlineLevel="0" collapsed="false">
      <c r="A223" s="0" t="s">
        <v>2876</v>
      </c>
      <c r="B223" s="0" t="s">
        <v>201</v>
      </c>
      <c r="C223" s="0" t="n">
        <v>2015</v>
      </c>
      <c r="D223" s="0" t="s">
        <v>61</v>
      </c>
      <c r="E223" s="0" t="n">
        <v>65754.418</v>
      </c>
      <c r="F223" s="0" t="n">
        <v>13450</v>
      </c>
      <c r="G223" s="0" t="s">
        <v>2877</v>
      </c>
    </row>
    <row r="224" customFormat="false" ht="15" hidden="false" customHeight="false" outlineLevel="0" collapsed="false">
      <c r="A224" s="0" t="s">
        <v>2876</v>
      </c>
      <c r="B224" s="0" t="s">
        <v>201</v>
      </c>
      <c r="C224" s="0" t="n">
        <v>2015</v>
      </c>
      <c r="D224" s="0" t="s">
        <v>61</v>
      </c>
      <c r="E224" s="0" t="n">
        <v>65754.418</v>
      </c>
      <c r="F224" s="0" t="n">
        <v>13450</v>
      </c>
      <c r="G224" s="0" t="s">
        <v>2878</v>
      </c>
    </row>
    <row r="225" customFormat="false" ht="15" hidden="false" customHeight="false" outlineLevel="0" collapsed="false">
      <c r="A225" s="0" t="s">
        <v>2876</v>
      </c>
      <c r="B225" s="0" t="s">
        <v>201</v>
      </c>
      <c r="C225" s="0" t="n">
        <v>2015</v>
      </c>
      <c r="D225" s="0" t="s">
        <v>54</v>
      </c>
      <c r="E225" s="0" t="n">
        <v>4689.157</v>
      </c>
      <c r="F225" s="0" t="n">
        <v>6255</v>
      </c>
      <c r="G225" s="0" t="s">
        <v>2877</v>
      </c>
    </row>
    <row r="226" customFormat="false" ht="15" hidden="false" customHeight="false" outlineLevel="0" collapsed="false">
      <c r="A226" s="0" t="s">
        <v>2876</v>
      </c>
      <c r="B226" s="0" t="s">
        <v>201</v>
      </c>
      <c r="C226" s="0" t="n">
        <v>2015</v>
      </c>
      <c r="D226" s="0" t="s">
        <v>54</v>
      </c>
      <c r="E226" s="0" t="n">
        <v>4689.157</v>
      </c>
      <c r="F226" s="0" t="n">
        <v>6255</v>
      </c>
      <c r="G226" s="0" t="s">
        <v>2878</v>
      </c>
    </row>
    <row r="227" customFormat="false" ht="15" hidden="false" customHeight="false" outlineLevel="0" collapsed="false">
      <c r="A227" s="0" t="s">
        <v>2876</v>
      </c>
      <c r="B227" s="0" t="s">
        <v>201</v>
      </c>
      <c r="C227" s="0" t="n">
        <v>2015</v>
      </c>
      <c r="D227" s="0" t="s">
        <v>63</v>
      </c>
      <c r="E227" s="0" t="n">
        <v>27122.182</v>
      </c>
      <c r="F227" s="0" t="n">
        <v>1800</v>
      </c>
      <c r="G227" s="0" t="s">
        <v>2877</v>
      </c>
    </row>
    <row r="228" customFormat="false" ht="15" hidden="false" customHeight="false" outlineLevel="0" collapsed="false">
      <c r="A228" s="0" t="s">
        <v>2876</v>
      </c>
      <c r="B228" s="0" t="s">
        <v>201</v>
      </c>
      <c r="C228" s="0" t="n">
        <v>2015</v>
      </c>
      <c r="D228" s="0" t="s">
        <v>63</v>
      </c>
      <c r="E228" s="0" t="n">
        <v>27122.182</v>
      </c>
      <c r="F228" s="0" t="n">
        <v>1800</v>
      </c>
      <c r="G228" s="0" t="s">
        <v>2878</v>
      </c>
    </row>
    <row r="229" customFormat="false" ht="15" hidden="false" customHeight="false" outlineLevel="0" collapsed="false">
      <c r="A229" s="0" t="s">
        <v>2876</v>
      </c>
      <c r="B229" s="0" t="s">
        <v>201</v>
      </c>
      <c r="C229" s="0" t="n">
        <v>2016</v>
      </c>
      <c r="D229" s="0" t="s">
        <v>55</v>
      </c>
      <c r="E229" s="0" t="n">
        <v>492681.647</v>
      </c>
      <c r="F229" s="0" t="n">
        <v>492021</v>
      </c>
      <c r="G229" s="0" t="s">
        <v>2877</v>
      </c>
    </row>
    <row r="230" customFormat="false" ht="15" hidden="false" customHeight="false" outlineLevel="0" collapsed="false">
      <c r="A230" s="0" t="s">
        <v>2876</v>
      </c>
      <c r="B230" s="0" t="s">
        <v>201</v>
      </c>
      <c r="C230" s="0" t="n">
        <v>2016</v>
      </c>
      <c r="D230" s="0" t="s">
        <v>55</v>
      </c>
      <c r="E230" s="0" t="n">
        <v>492681.647</v>
      </c>
      <c r="F230" s="0" t="n">
        <v>492021</v>
      </c>
      <c r="G230" s="0" t="s">
        <v>2878</v>
      </c>
    </row>
    <row r="231" customFormat="false" ht="15" hidden="false" customHeight="false" outlineLevel="0" collapsed="false">
      <c r="A231" s="0" t="s">
        <v>2876</v>
      </c>
      <c r="B231" s="0" t="s">
        <v>201</v>
      </c>
      <c r="C231" s="0" t="n">
        <v>2016</v>
      </c>
      <c r="D231" s="0" t="s">
        <v>69</v>
      </c>
      <c r="E231" s="0" t="n">
        <v>-46.98</v>
      </c>
      <c r="F231" s="0" t="n">
        <v>17</v>
      </c>
      <c r="G231" s="0" t="s">
        <v>2877</v>
      </c>
    </row>
    <row r="232" customFormat="false" ht="15" hidden="false" customHeight="false" outlineLevel="0" collapsed="false">
      <c r="A232" s="0" t="s">
        <v>2876</v>
      </c>
      <c r="B232" s="0" t="s">
        <v>201</v>
      </c>
      <c r="C232" s="0" t="n">
        <v>2016</v>
      </c>
      <c r="D232" s="0" t="s">
        <v>69</v>
      </c>
      <c r="E232" s="0" t="n">
        <v>-46.98</v>
      </c>
      <c r="F232" s="0" t="n">
        <v>17</v>
      </c>
      <c r="G232" s="0" t="s">
        <v>2878</v>
      </c>
    </row>
    <row r="233" customFormat="false" ht="15" hidden="false" customHeight="false" outlineLevel="0" collapsed="false">
      <c r="A233" s="0" t="s">
        <v>2876</v>
      </c>
      <c r="B233" s="0" t="s">
        <v>201</v>
      </c>
      <c r="C233" s="0" t="n">
        <v>2016</v>
      </c>
      <c r="D233" s="0" t="s">
        <v>60</v>
      </c>
      <c r="E233" s="0" t="n">
        <v>378758.599</v>
      </c>
      <c r="F233" s="0" t="n">
        <v>237996</v>
      </c>
      <c r="G233" s="0" t="s">
        <v>2877</v>
      </c>
    </row>
    <row r="234" customFormat="false" ht="15" hidden="false" customHeight="false" outlineLevel="0" collapsed="false">
      <c r="A234" s="0" t="s">
        <v>2876</v>
      </c>
      <c r="B234" s="0" t="s">
        <v>201</v>
      </c>
      <c r="C234" s="0" t="n">
        <v>2016</v>
      </c>
      <c r="D234" s="0" t="s">
        <v>60</v>
      </c>
      <c r="E234" s="0" t="n">
        <v>378758.599</v>
      </c>
      <c r="F234" s="0" t="n">
        <v>237996</v>
      </c>
      <c r="G234" s="0" t="s">
        <v>2878</v>
      </c>
    </row>
    <row r="235" customFormat="false" ht="15" hidden="false" customHeight="false" outlineLevel="0" collapsed="false">
      <c r="A235" s="0" t="s">
        <v>2876</v>
      </c>
      <c r="B235" s="0" t="s">
        <v>201</v>
      </c>
      <c r="C235" s="0" t="n">
        <v>2016</v>
      </c>
      <c r="D235" s="0" t="s">
        <v>61</v>
      </c>
      <c r="E235" s="0" t="n">
        <v>101544.079</v>
      </c>
      <c r="F235" s="0" t="n">
        <v>14650</v>
      </c>
      <c r="G235" s="0" t="s">
        <v>2877</v>
      </c>
    </row>
    <row r="236" customFormat="false" ht="15" hidden="false" customHeight="false" outlineLevel="0" collapsed="false">
      <c r="A236" s="0" t="s">
        <v>2876</v>
      </c>
      <c r="B236" s="0" t="s">
        <v>201</v>
      </c>
      <c r="C236" s="0" t="n">
        <v>2016</v>
      </c>
      <c r="D236" s="0" t="s">
        <v>61</v>
      </c>
      <c r="E236" s="0" t="n">
        <v>101544.079</v>
      </c>
      <c r="F236" s="0" t="n">
        <v>14650</v>
      </c>
      <c r="G236" s="0" t="s">
        <v>2878</v>
      </c>
    </row>
    <row r="237" customFormat="false" ht="15" hidden="false" customHeight="false" outlineLevel="0" collapsed="false">
      <c r="A237" s="0" t="s">
        <v>2876</v>
      </c>
      <c r="B237" s="0" t="s">
        <v>201</v>
      </c>
      <c r="C237" s="0" t="n">
        <v>2016</v>
      </c>
      <c r="D237" s="0" t="s">
        <v>54</v>
      </c>
      <c r="E237" s="0" t="n">
        <v>2183.798</v>
      </c>
      <c r="F237" s="0" t="n">
        <v>3200</v>
      </c>
      <c r="G237" s="0" t="s">
        <v>2877</v>
      </c>
    </row>
    <row r="238" customFormat="false" ht="15" hidden="false" customHeight="false" outlineLevel="0" collapsed="false">
      <c r="A238" s="0" t="s">
        <v>2876</v>
      </c>
      <c r="B238" s="0" t="s">
        <v>201</v>
      </c>
      <c r="C238" s="0" t="n">
        <v>2016</v>
      </c>
      <c r="D238" s="0" t="s">
        <v>54</v>
      </c>
      <c r="E238" s="0" t="n">
        <v>2183.798</v>
      </c>
      <c r="F238" s="0" t="n">
        <v>3200</v>
      </c>
      <c r="G238" s="0" t="s">
        <v>2878</v>
      </c>
    </row>
    <row r="239" customFormat="false" ht="15" hidden="false" customHeight="false" outlineLevel="0" collapsed="false">
      <c r="A239" s="0" t="s">
        <v>2876</v>
      </c>
      <c r="B239" s="0" t="s">
        <v>201</v>
      </c>
      <c r="C239" s="0" t="n">
        <v>2016</v>
      </c>
      <c r="D239" s="0" t="s">
        <v>63</v>
      </c>
      <c r="E239" s="0" t="n">
        <v>35948.596</v>
      </c>
      <c r="F239" s="0" t="n">
        <v>1200</v>
      </c>
      <c r="G239" s="0" t="s">
        <v>2877</v>
      </c>
    </row>
    <row r="240" customFormat="false" ht="15" hidden="false" customHeight="false" outlineLevel="0" collapsed="false">
      <c r="A240" s="0" t="s">
        <v>2876</v>
      </c>
      <c r="B240" s="0" t="s">
        <v>201</v>
      </c>
      <c r="C240" s="0" t="n">
        <v>2016</v>
      </c>
      <c r="D240" s="0" t="s">
        <v>63</v>
      </c>
      <c r="E240" s="0" t="n">
        <v>35948.596</v>
      </c>
      <c r="F240" s="0" t="n">
        <v>1200</v>
      </c>
      <c r="G240" s="0" t="s">
        <v>2878</v>
      </c>
    </row>
    <row r="241" customFormat="false" ht="15" hidden="false" customHeight="false" outlineLevel="0" collapsed="false">
      <c r="A241" s="0" t="s">
        <v>2876</v>
      </c>
      <c r="B241" s="0" t="s">
        <v>201</v>
      </c>
      <c r="C241" s="0" t="n">
        <v>2018</v>
      </c>
      <c r="D241" s="0" t="s">
        <v>55</v>
      </c>
      <c r="E241" s="0" t="n">
        <v>210800.841</v>
      </c>
      <c r="F241" s="0" t="n">
        <v>235976</v>
      </c>
      <c r="G241" s="0" t="s">
        <v>2877</v>
      </c>
    </row>
    <row r="242" customFormat="false" ht="15" hidden="false" customHeight="false" outlineLevel="0" collapsed="false">
      <c r="A242" s="0" t="s">
        <v>2876</v>
      </c>
      <c r="B242" s="0" t="s">
        <v>201</v>
      </c>
      <c r="C242" s="0" t="n">
        <v>2018</v>
      </c>
      <c r="D242" s="0" t="s">
        <v>55</v>
      </c>
      <c r="E242" s="0" t="n">
        <v>210800.841</v>
      </c>
      <c r="F242" s="0" t="n">
        <v>235976</v>
      </c>
      <c r="G242" s="0" t="s">
        <v>2878</v>
      </c>
    </row>
    <row r="243" customFormat="false" ht="15" hidden="false" customHeight="false" outlineLevel="0" collapsed="false">
      <c r="A243" s="0" t="s">
        <v>2876</v>
      </c>
      <c r="B243" s="0" t="s">
        <v>201</v>
      </c>
      <c r="C243" s="0" t="n">
        <v>2018</v>
      </c>
      <c r="D243" s="0" t="s">
        <v>69</v>
      </c>
      <c r="E243" s="0" t="n">
        <v>-214.8</v>
      </c>
      <c r="F243" s="0" t="n">
        <v>-198.56</v>
      </c>
      <c r="G243" s="0" t="s">
        <v>2877</v>
      </c>
    </row>
    <row r="244" customFormat="false" ht="15" hidden="false" customHeight="false" outlineLevel="0" collapsed="false">
      <c r="A244" s="0" t="s">
        <v>2876</v>
      </c>
      <c r="B244" s="0" t="s">
        <v>201</v>
      </c>
      <c r="C244" s="0" t="n">
        <v>2018</v>
      </c>
      <c r="D244" s="0" t="s">
        <v>69</v>
      </c>
      <c r="E244" s="0" t="n">
        <v>-214.8</v>
      </c>
      <c r="F244" s="0" t="n">
        <v>-198.56</v>
      </c>
      <c r="G244" s="0" t="s">
        <v>2878</v>
      </c>
    </row>
    <row r="245" customFormat="false" ht="15" hidden="false" customHeight="false" outlineLevel="0" collapsed="false">
      <c r="A245" s="0" t="s">
        <v>2876</v>
      </c>
      <c r="B245" s="0" t="s">
        <v>201</v>
      </c>
      <c r="C245" s="0" t="n">
        <v>2018</v>
      </c>
      <c r="D245" s="0" t="s">
        <v>60</v>
      </c>
      <c r="E245" s="0" t="n">
        <v>44841.156</v>
      </c>
      <c r="F245" s="0" t="n">
        <v>44402</v>
      </c>
      <c r="G245" s="0" t="s">
        <v>2877</v>
      </c>
    </row>
    <row r="246" customFormat="false" ht="15" hidden="false" customHeight="false" outlineLevel="0" collapsed="false">
      <c r="A246" s="0" t="s">
        <v>2876</v>
      </c>
      <c r="B246" s="0" t="s">
        <v>201</v>
      </c>
      <c r="C246" s="0" t="n">
        <v>2018</v>
      </c>
      <c r="D246" s="0" t="s">
        <v>60</v>
      </c>
      <c r="E246" s="0" t="n">
        <v>44841.156</v>
      </c>
      <c r="F246" s="0" t="n">
        <v>44402</v>
      </c>
      <c r="G246" s="0" t="s">
        <v>2878</v>
      </c>
    </row>
    <row r="247" customFormat="false" ht="15" hidden="false" customHeight="false" outlineLevel="0" collapsed="false">
      <c r="A247" s="0" t="s">
        <v>2876</v>
      </c>
      <c r="B247" s="0" t="s">
        <v>201</v>
      </c>
      <c r="C247" s="0" t="n">
        <v>2018</v>
      </c>
      <c r="D247" s="0" t="s">
        <v>54</v>
      </c>
      <c r="E247" s="0" t="n">
        <v>-7695.32</v>
      </c>
      <c r="F247" s="0" t="n">
        <v>1269</v>
      </c>
      <c r="G247" s="0" t="s">
        <v>2877</v>
      </c>
    </row>
    <row r="248" customFormat="false" ht="15" hidden="false" customHeight="false" outlineLevel="0" collapsed="false">
      <c r="A248" s="0" t="s">
        <v>2876</v>
      </c>
      <c r="B248" s="0" t="s">
        <v>201</v>
      </c>
      <c r="C248" s="0" t="n">
        <v>2018</v>
      </c>
      <c r="D248" s="0" t="s">
        <v>54</v>
      </c>
      <c r="E248" s="0" t="n">
        <v>-7695.32</v>
      </c>
      <c r="F248" s="0" t="n">
        <v>1269</v>
      </c>
      <c r="G248" s="0" t="s">
        <v>2878</v>
      </c>
    </row>
    <row r="249" customFormat="false" ht="15" hidden="false" customHeight="false" outlineLevel="0" collapsed="false">
      <c r="A249" s="0" t="s">
        <v>2876</v>
      </c>
      <c r="B249" s="0" t="s">
        <v>201</v>
      </c>
      <c r="C249" s="0" t="n">
        <v>2018</v>
      </c>
      <c r="D249" s="0" t="s">
        <v>63</v>
      </c>
      <c r="E249" s="0" t="n">
        <v>5958.492</v>
      </c>
      <c r="F249" s="0" t="n">
        <v>161</v>
      </c>
      <c r="G249" s="0" t="s">
        <v>2877</v>
      </c>
    </row>
    <row r="250" customFormat="false" ht="15" hidden="false" customHeight="false" outlineLevel="0" collapsed="false">
      <c r="A250" s="0" t="s">
        <v>2876</v>
      </c>
      <c r="B250" s="0" t="s">
        <v>201</v>
      </c>
      <c r="C250" s="0" t="n">
        <v>2018</v>
      </c>
      <c r="D250" s="0" t="s">
        <v>63</v>
      </c>
      <c r="E250" s="0" t="n">
        <v>5958.492</v>
      </c>
      <c r="F250" s="0" t="n">
        <v>161</v>
      </c>
      <c r="G250" s="0" t="s">
        <v>2878</v>
      </c>
    </row>
    <row r="251" customFormat="false" ht="15" hidden="false" customHeight="false" outlineLevel="0" collapsed="false">
      <c r="A251" s="0" t="s">
        <v>2876</v>
      </c>
      <c r="B251" s="0" t="s">
        <v>201</v>
      </c>
      <c r="C251" s="0" t="n">
        <v>2019</v>
      </c>
      <c r="D251" s="0" t="s">
        <v>61</v>
      </c>
      <c r="E251" s="0" t="n">
        <v>2896.088</v>
      </c>
      <c r="F251" s="0" t="n">
        <v>14841</v>
      </c>
      <c r="G251" s="0" t="s">
        <v>2877</v>
      </c>
    </row>
    <row r="252" customFormat="false" ht="15" hidden="false" customHeight="false" outlineLevel="0" collapsed="false">
      <c r="A252" s="0" t="s">
        <v>2876</v>
      </c>
      <c r="B252" s="0" t="s">
        <v>201</v>
      </c>
      <c r="C252" s="0" t="n">
        <v>2019</v>
      </c>
      <c r="D252" s="0" t="s">
        <v>61</v>
      </c>
      <c r="E252" s="0" t="n">
        <v>2896.088</v>
      </c>
      <c r="F252" s="0" t="n">
        <v>14841</v>
      </c>
      <c r="G252" s="0" t="s">
        <v>2878</v>
      </c>
    </row>
    <row r="253" customFormat="false" ht="15" hidden="false" customHeight="false" outlineLevel="0" collapsed="false">
      <c r="A253" s="0" t="s">
        <v>2876</v>
      </c>
      <c r="B253" s="0" t="s">
        <v>201</v>
      </c>
      <c r="C253" s="0" t="n">
        <v>2019</v>
      </c>
      <c r="D253" s="0" t="s">
        <v>63</v>
      </c>
      <c r="E253" s="0" t="n">
        <v>1921.923</v>
      </c>
      <c r="F253" s="0" t="n">
        <v>-1922</v>
      </c>
      <c r="G253" s="0" t="s">
        <v>2877</v>
      </c>
    </row>
    <row r="254" customFormat="false" ht="15" hidden="false" customHeight="false" outlineLevel="0" collapsed="false">
      <c r="A254" s="0" t="s">
        <v>2876</v>
      </c>
      <c r="B254" s="0" t="s">
        <v>201</v>
      </c>
      <c r="C254" s="0" t="n">
        <v>2020</v>
      </c>
      <c r="D254" s="0" t="s">
        <v>61</v>
      </c>
      <c r="E254" s="0" t="n">
        <v>4124.689</v>
      </c>
      <c r="F254" s="0" t="n">
        <v>11909</v>
      </c>
      <c r="G254" s="0" t="s">
        <v>2877</v>
      </c>
    </row>
    <row r="255" customFormat="false" ht="15" hidden="false" customHeight="false" outlineLevel="0" collapsed="false">
      <c r="A255" s="0" t="s">
        <v>2876</v>
      </c>
      <c r="B255" s="0" t="s">
        <v>201</v>
      </c>
      <c r="C255" s="0" t="n">
        <v>2020</v>
      </c>
      <c r="D255" s="0" t="s">
        <v>61</v>
      </c>
      <c r="E255" s="0" t="n">
        <v>4124.689</v>
      </c>
      <c r="F255" s="0" t="n">
        <v>11909</v>
      </c>
      <c r="G255" s="0" t="s">
        <v>2878</v>
      </c>
    </row>
    <row r="256" customFormat="false" ht="15" hidden="false" customHeight="false" outlineLevel="0" collapsed="false">
      <c r="A256" s="0" t="s">
        <v>2876</v>
      </c>
      <c r="B256" s="0" t="s">
        <v>201</v>
      </c>
      <c r="C256" s="0" t="n">
        <v>2020</v>
      </c>
      <c r="D256" s="0" t="s">
        <v>63</v>
      </c>
      <c r="E256" s="0" t="n">
        <v>-4127.332</v>
      </c>
      <c r="F256" s="0" t="n">
        <v>4127</v>
      </c>
      <c r="G256" s="0" t="s">
        <v>2877</v>
      </c>
    </row>
    <row r="257" customFormat="false" ht="15" hidden="false" customHeight="false" outlineLevel="0" collapsed="false">
      <c r="A257" s="0" t="s">
        <v>2876</v>
      </c>
      <c r="B257" s="0" t="s">
        <v>201</v>
      </c>
      <c r="C257" s="0" t="n">
        <v>2020</v>
      </c>
      <c r="D257" s="0" t="s">
        <v>63</v>
      </c>
      <c r="E257" s="0" t="n">
        <v>-4127.332</v>
      </c>
      <c r="F257" s="0" t="n">
        <v>4127</v>
      </c>
      <c r="G257" s="0" t="s">
        <v>2878</v>
      </c>
    </row>
    <row r="258" customFormat="false" ht="15" hidden="false" customHeight="false" outlineLevel="0" collapsed="false">
      <c r="A258" s="0" t="s">
        <v>2876</v>
      </c>
      <c r="B258" s="0" t="s">
        <v>201</v>
      </c>
      <c r="C258" s="0" t="n">
        <v>2021</v>
      </c>
      <c r="D258" s="0" t="s">
        <v>63</v>
      </c>
      <c r="E258" s="0" t="n">
        <v>-2563.927</v>
      </c>
      <c r="F258" s="0" t="n">
        <v>2564</v>
      </c>
      <c r="G258" s="0" t="s">
        <v>2877</v>
      </c>
    </row>
    <row r="259" customFormat="false" ht="15" hidden="false" customHeight="false" outlineLevel="0" collapsed="false">
      <c r="A259" s="0" t="s">
        <v>2876</v>
      </c>
      <c r="B259" s="0" t="s">
        <v>201</v>
      </c>
      <c r="C259" s="0" t="n">
        <v>2021</v>
      </c>
      <c r="D259" s="0" t="s">
        <v>63</v>
      </c>
      <c r="E259" s="0" t="n">
        <v>-2563.927</v>
      </c>
      <c r="F259" s="0" t="n">
        <v>2564</v>
      </c>
      <c r="G259" s="0" t="s">
        <v>2878</v>
      </c>
    </row>
    <row r="260" customFormat="false" ht="15" hidden="false" customHeight="false" outlineLevel="0" collapsed="false">
      <c r="A260" s="0" t="s">
        <v>2876</v>
      </c>
      <c r="B260" s="0" t="s">
        <v>201</v>
      </c>
      <c r="C260" s="0" t="n">
        <v>2022</v>
      </c>
      <c r="D260" s="0" t="s">
        <v>63</v>
      </c>
      <c r="E260" s="0" t="n">
        <v>-1203.857</v>
      </c>
      <c r="F260" s="0" t="n">
        <v>1204</v>
      </c>
      <c r="G260" s="0" t="s">
        <v>2877</v>
      </c>
    </row>
    <row r="261" customFormat="false" ht="15" hidden="false" customHeight="false" outlineLevel="0" collapsed="false">
      <c r="A261" s="0" t="s">
        <v>2876</v>
      </c>
      <c r="B261" s="0" t="s">
        <v>201</v>
      </c>
      <c r="C261" s="0" t="n">
        <v>2022</v>
      </c>
      <c r="D261" s="0" t="s">
        <v>63</v>
      </c>
      <c r="E261" s="0" t="n">
        <v>-1203.857</v>
      </c>
      <c r="F261" s="0" t="n">
        <v>1204</v>
      </c>
      <c r="G261" s="0" t="s">
        <v>2878</v>
      </c>
    </row>
    <row r="262" customFormat="false" ht="15" hidden="false" customHeight="false" outlineLevel="0" collapsed="false">
      <c r="A262" s="0" t="s">
        <v>2876</v>
      </c>
      <c r="B262" s="0" t="s">
        <v>211</v>
      </c>
      <c r="C262" s="0" t="n">
        <v>2017</v>
      </c>
      <c r="D262" s="0" t="s">
        <v>55</v>
      </c>
      <c r="E262" s="0" t="n">
        <v>384779.809</v>
      </c>
      <c r="F262" s="0" t="n">
        <v>385388.3</v>
      </c>
      <c r="G262" s="0" t="s">
        <v>2877</v>
      </c>
    </row>
    <row r="263" customFormat="false" ht="15" hidden="false" customHeight="false" outlineLevel="0" collapsed="false">
      <c r="A263" s="0" t="s">
        <v>2876</v>
      </c>
      <c r="B263" s="0" t="s">
        <v>211</v>
      </c>
      <c r="C263" s="0" t="n">
        <v>2017</v>
      </c>
      <c r="D263" s="0" t="s">
        <v>55</v>
      </c>
      <c r="E263" s="0" t="n">
        <v>384779.809</v>
      </c>
      <c r="F263" s="0" t="n">
        <v>385388</v>
      </c>
      <c r="G263" s="0" t="s">
        <v>2878</v>
      </c>
    </row>
    <row r="264" customFormat="false" ht="15" hidden="false" customHeight="false" outlineLevel="0" collapsed="false">
      <c r="A264" s="0" t="s">
        <v>2876</v>
      </c>
      <c r="B264" s="0" t="s">
        <v>211</v>
      </c>
      <c r="C264" s="0" t="n">
        <v>2022</v>
      </c>
      <c r="D264" s="0" t="s">
        <v>63</v>
      </c>
      <c r="E264" s="0" t="n">
        <v>4762.274</v>
      </c>
      <c r="F264" s="0" t="n">
        <v>4808</v>
      </c>
      <c r="G264" s="0" t="s">
        <v>2877</v>
      </c>
    </row>
    <row r="265" customFormat="false" ht="15" hidden="false" customHeight="false" outlineLevel="0" collapsed="false">
      <c r="A265" s="0" t="s">
        <v>2876</v>
      </c>
      <c r="B265" s="0" t="s">
        <v>211</v>
      </c>
      <c r="C265" s="0" t="n">
        <v>2022</v>
      </c>
      <c r="D265" s="0" t="s">
        <v>63</v>
      </c>
      <c r="E265" s="0" t="n">
        <v>4762.274</v>
      </c>
      <c r="F265" s="0" t="n">
        <v>4808</v>
      </c>
      <c r="G265" s="0" t="s">
        <v>2878</v>
      </c>
    </row>
    <row r="266" customFormat="false" ht="15" hidden="false" customHeight="false" outlineLevel="0" collapsed="false">
      <c r="A266" s="0" t="s">
        <v>2876</v>
      </c>
      <c r="B266" s="0" t="s">
        <v>222</v>
      </c>
      <c r="C266" s="0" t="n">
        <v>2015</v>
      </c>
      <c r="D266" s="0" t="s">
        <v>69</v>
      </c>
      <c r="E266" s="0" t="n">
        <v>20</v>
      </c>
      <c r="F266" s="0" t="n">
        <v>21</v>
      </c>
      <c r="G266" s="0" t="s">
        <v>2877</v>
      </c>
    </row>
    <row r="267" customFormat="false" ht="15" hidden="false" customHeight="false" outlineLevel="0" collapsed="false">
      <c r="A267" s="0" t="s">
        <v>2876</v>
      </c>
      <c r="B267" s="0" t="s">
        <v>222</v>
      </c>
      <c r="C267" s="0" t="n">
        <v>2015</v>
      </c>
      <c r="D267" s="0" t="s">
        <v>69</v>
      </c>
      <c r="E267" s="0" t="n">
        <v>20</v>
      </c>
      <c r="F267" s="0" t="n">
        <v>21</v>
      </c>
      <c r="G267" s="0" t="s">
        <v>2878</v>
      </c>
    </row>
    <row r="268" customFormat="false" ht="15" hidden="false" customHeight="false" outlineLevel="0" collapsed="false">
      <c r="A268" s="0" t="s">
        <v>2876</v>
      </c>
      <c r="B268" s="0" t="s">
        <v>222</v>
      </c>
      <c r="C268" s="0" t="n">
        <v>2015</v>
      </c>
      <c r="D268" s="0" t="s">
        <v>60</v>
      </c>
      <c r="E268" s="0" t="n">
        <v>1884941</v>
      </c>
      <c r="F268" s="0" t="n">
        <v>1849225</v>
      </c>
      <c r="G268" s="0" t="s">
        <v>2877</v>
      </c>
    </row>
    <row r="269" customFormat="false" ht="15" hidden="false" customHeight="false" outlineLevel="0" collapsed="false">
      <c r="A269" s="0" t="s">
        <v>2876</v>
      </c>
      <c r="B269" s="0" t="s">
        <v>222</v>
      </c>
      <c r="C269" s="0" t="n">
        <v>2015</v>
      </c>
      <c r="D269" s="0" t="s">
        <v>60</v>
      </c>
      <c r="E269" s="0" t="n">
        <v>1884941</v>
      </c>
      <c r="F269" s="0" t="n">
        <v>1849225</v>
      </c>
      <c r="G269" s="0" t="s">
        <v>2878</v>
      </c>
    </row>
    <row r="270" customFormat="false" ht="15" hidden="false" customHeight="false" outlineLevel="0" collapsed="false">
      <c r="A270" s="0" t="s">
        <v>2876</v>
      </c>
      <c r="B270" s="0" t="s">
        <v>222</v>
      </c>
      <c r="C270" s="0" t="n">
        <v>2015</v>
      </c>
      <c r="D270" s="0" t="s">
        <v>61</v>
      </c>
      <c r="E270" s="0" t="n">
        <v>35716</v>
      </c>
      <c r="F270" s="0" t="n">
        <v>49433</v>
      </c>
      <c r="G270" s="0" t="s">
        <v>2877</v>
      </c>
    </row>
    <row r="271" customFormat="false" ht="15" hidden="false" customHeight="false" outlineLevel="0" collapsed="false">
      <c r="A271" s="0" t="s">
        <v>2876</v>
      </c>
      <c r="B271" s="0" t="s">
        <v>222</v>
      </c>
      <c r="C271" s="0" t="n">
        <v>2015</v>
      </c>
      <c r="D271" s="0" t="s">
        <v>61</v>
      </c>
      <c r="E271" s="0" t="n">
        <v>35716</v>
      </c>
      <c r="F271" s="0" t="n">
        <v>49433</v>
      </c>
      <c r="G271" s="0" t="s">
        <v>2878</v>
      </c>
    </row>
    <row r="272" customFormat="false" ht="15" hidden="false" customHeight="false" outlineLevel="0" collapsed="false">
      <c r="A272" s="0" t="s">
        <v>2876</v>
      </c>
      <c r="B272" s="0" t="s">
        <v>222</v>
      </c>
      <c r="C272" s="0" t="n">
        <v>2018</v>
      </c>
      <c r="D272" s="0" t="s">
        <v>55</v>
      </c>
      <c r="E272" s="0" t="n">
        <v>4955445</v>
      </c>
      <c r="F272" s="0" t="n">
        <v>4981855</v>
      </c>
      <c r="G272" s="0" t="s">
        <v>2877</v>
      </c>
    </row>
    <row r="273" customFormat="false" ht="15" hidden="false" customHeight="false" outlineLevel="0" collapsed="false">
      <c r="A273" s="0" t="s">
        <v>2876</v>
      </c>
      <c r="B273" s="0" t="s">
        <v>222</v>
      </c>
      <c r="C273" s="0" t="n">
        <v>2018</v>
      </c>
      <c r="D273" s="0" t="s">
        <v>55</v>
      </c>
      <c r="E273" s="0" t="n">
        <v>4955445</v>
      </c>
      <c r="F273" s="0" t="n">
        <v>4981855</v>
      </c>
      <c r="G273" s="0" t="s">
        <v>2878</v>
      </c>
    </row>
    <row r="274" customFormat="false" ht="15" hidden="false" customHeight="false" outlineLevel="0" collapsed="false">
      <c r="A274" s="0" t="s">
        <v>2876</v>
      </c>
      <c r="B274" s="0" t="s">
        <v>222</v>
      </c>
      <c r="C274" s="0" t="n">
        <v>2018</v>
      </c>
      <c r="D274" s="0" t="s">
        <v>69</v>
      </c>
      <c r="E274" s="0" t="n">
        <v>24</v>
      </c>
      <c r="F274" s="0" t="n">
        <v>25</v>
      </c>
      <c r="G274" s="0" t="s">
        <v>2877</v>
      </c>
    </row>
    <row r="275" customFormat="false" ht="15" hidden="false" customHeight="false" outlineLevel="0" collapsed="false">
      <c r="A275" s="0" t="s">
        <v>2876</v>
      </c>
      <c r="B275" s="0" t="s">
        <v>222</v>
      </c>
      <c r="C275" s="0" t="n">
        <v>2018</v>
      </c>
      <c r="D275" s="0" t="s">
        <v>69</v>
      </c>
      <c r="E275" s="0" t="n">
        <v>24</v>
      </c>
      <c r="F275" s="0" t="n">
        <v>25</v>
      </c>
      <c r="G275" s="0" t="s">
        <v>2878</v>
      </c>
    </row>
    <row r="276" customFormat="false" ht="15" hidden="false" customHeight="false" outlineLevel="0" collapsed="false">
      <c r="A276" s="0" t="s">
        <v>2876</v>
      </c>
      <c r="B276" s="0" t="s">
        <v>222</v>
      </c>
      <c r="C276" s="0" t="n">
        <v>2018</v>
      </c>
      <c r="D276" s="0" t="s">
        <v>60</v>
      </c>
      <c r="E276" s="0" t="n">
        <v>1921064</v>
      </c>
      <c r="F276" s="0" t="n">
        <v>1823126</v>
      </c>
      <c r="G276" s="0" t="s">
        <v>2877</v>
      </c>
    </row>
    <row r="277" customFormat="false" ht="15" hidden="false" customHeight="false" outlineLevel="0" collapsed="false">
      <c r="A277" s="0" t="s">
        <v>2876</v>
      </c>
      <c r="B277" s="0" t="s">
        <v>222</v>
      </c>
      <c r="C277" s="0" t="n">
        <v>2018</v>
      </c>
      <c r="D277" s="0" t="s">
        <v>60</v>
      </c>
      <c r="E277" s="0" t="n">
        <v>1921064</v>
      </c>
      <c r="F277" s="0" t="n">
        <v>1823126</v>
      </c>
      <c r="G277" s="0" t="s">
        <v>2878</v>
      </c>
    </row>
    <row r="278" customFormat="false" ht="15" hidden="false" customHeight="false" outlineLevel="0" collapsed="false">
      <c r="A278" s="0" t="s">
        <v>2876</v>
      </c>
      <c r="B278" s="0" t="s">
        <v>222</v>
      </c>
      <c r="C278" s="0" t="n">
        <v>2018</v>
      </c>
      <c r="D278" s="0" t="s">
        <v>61</v>
      </c>
      <c r="E278" s="0" t="n">
        <v>184998</v>
      </c>
      <c r="F278" s="0" t="n">
        <v>144502</v>
      </c>
      <c r="G278" s="0" t="s">
        <v>2877</v>
      </c>
    </row>
    <row r="279" customFormat="false" ht="15" hidden="false" customHeight="false" outlineLevel="0" collapsed="false">
      <c r="A279" s="0" t="s">
        <v>2876</v>
      </c>
      <c r="B279" s="0" t="s">
        <v>222</v>
      </c>
      <c r="C279" s="0" t="n">
        <v>2018</v>
      </c>
      <c r="D279" s="0" t="s">
        <v>61</v>
      </c>
      <c r="E279" s="0" t="n">
        <v>184998</v>
      </c>
      <c r="F279" s="0" t="n">
        <v>144502</v>
      </c>
      <c r="G279" s="0" t="s">
        <v>2878</v>
      </c>
    </row>
    <row r="280" customFormat="false" ht="15" hidden="false" customHeight="false" outlineLevel="0" collapsed="false">
      <c r="A280" s="0" t="s">
        <v>2876</v>
      </c>
      <c r="B280" s="0" t="s">
        <v>222</v>
      </c>
      <c r="C280" s="0" t="n">
        <v>2018</v>
      </c>
      <c r="D280" s="0" t="s">
        <v>54</v>
      </c>
      <c r="E280" s="0" t="n">
        <v>165480</v>
      </c>
      <c r="F280" s="0" t="n">
        <v>160454</v>
      </c>
      <c r="G280" s="0" t="s">
        <v>2877</v>
      </c>
    </row>
    <row r="281" customFormat="false" ht="15" hidden="false" customHeight="false" outlineLevel="0" collapsed="false">
      <c r="A281" s="0" t="s">
        <v>2876</v>
      </c>
      <c r="B281" s="0" t="s">
        <v>222</v>
      </c>
      <c r="C281" s="0" t="n">
        <v>2018</v>
      </c>
      <c r="D281" s="0" t="s">
        <v>54</v>
      </c>
      <c r="E281" s="0" t="n">
        <v>165480</v>
      </c>
      <c r="F281" s="0" t="n">
        <v>160454</v>
      </c>
      <c r="G281" s="0" t="s">
        <v>2878</v>
      </c>
    </row>
    <row r="282" customFormat="false" ht="15" hidden="false" customHeight="false" outlineLevel="0" collapsed="false">
      <c r="A282" s="0" t="s">
        <v>2876</v>
      </c>
      <c r="B282" s="0" t="s">
        <v>222</v>
      </c>
      <c r="C282" s="0" t="n">
        <v>2018</v>
      </c>
      <c r="D282" s="0" t="s">
        <v>63</v>
      </c>
      <c r="E282" s="0" t="n">
        <v>15313</v>
      </c>
      <c r="F282" s="0" t="n">
        <v>15705</v>
      </c>
      <c r="G282" s="0" t="s">
        <v>2877</v>
      </c>
    </row>
    <row r="283" customFormat="false" ht="15" hidden="false" customHeight="false" outlineLevel="0" collapsed="false">
      <c r="A283" s="0" t="s">
        <v>2876</v>
      </c>
      <c r="B283" s="0" t="s">
        <v>222</v>
      </c>
      <c r="C283" s="0" t="n">
        <v>2018</v>
      </c>
      <c r="D283" s="0" t="s">
        <v>63</v>
      </c>
      <c r="E283" s="0" t="n">
        <v>15313</v>
      </c>
      <c r="F283" s="0" t="n">
        <v>15705</v>
      </c>
      <c r="G283" s="0" t="s">
        <v>2878</v>
      </c>
    </row>
    <row r="284" customFormat="false" ht="15" hidden="false" customHeight="false" outlineLevel="0" collapsed="false">
      <c r="A284" s="0" t="s">
        <v>2876</v>
      </c>
      <c r="B284" s="0" t="s">
        <v>222</v>
      </c>
      <c r="C284" s="0" t="n">
        <v>2019</v>
      </c>
      <c r="D284" s="0" t="s">
        <v>69</v>
      </c>
      <c r="E284" s="0" t="n">
        <v>20</v>
      </c>
      <c r="F284" s="0" t="n">
        <v>22</v>
      </c>
      <c r="G284" s="0" t="s">
        <v>2877</v>
      </c>
    </row>
    <row r="285" customFormat="false" ht="15" hidden="false" customHeight="false" outlineLevel="0" collapsed="false">
      <c r="A285" s="0" t="s">
        <v>2876</v>
      </c>
      <c r="B285" s="0" t="s">
        <v>222</v>
      </c>
      <c r="C285" s="0" t="n">
        <v>2019</v>
      </c>
      <c r="D285" s="0" t="s">
        <v>69</v>
      </c>
      <c r="E285" s="0" t="n">
        <v>20</v>
      </c>
      <c r="F285" s="0" t="n">
        <v>22</v>
      </c>
      <c r="G285" s="0" t="s">
        <v>2878</v>
      </c>
    </row>
    <row r="286" customFormat="false" ht="15" hidden="false" customHeight="false" outlineLevel="0" collapsed="false">
      <c r="A286" s="0" t="s">
        <v>2876</v>
      </c>
      <c r="B286" s="0" t="s">
        <v>222</v>
      </c>
      <c r="C286" s="0" t="n">
        <v>2019</v>
      </c>
      <c r="D286" s="0" t="s">
        <v>60</v>
      </c>
      <c r="E286" s="0" t="n">
        <v>2390651</v>
      </c>
      <c r="F286" s="0" t="n">
        <v>2239472</v>
      </c>
      <c r="G286" s="0" t="s">
        <v>2877</v>
      </c>
    </row>
    <row r="287" customFormat="false" ht="15" hidden="false" customHeight="false" outlineLevel="0" collapsed="false">
      <c r="A287" s="0" t="s">
        <v>2876</v>
      </c>
      <c r="B287" s="0" t="s">
        <v>222</v>
      </c>
      <c r="C287" s="0" t="n">
        <v>2019</v>
      </c>
      <c r="D287" s="0" t="s">
        <v>60</v>
      </c>
      <c r="E287" s="0" t="n">
        <v>2390651</v>
      </c>
      <c r="F287" s="0" t="n">
        <v>2239472</v>
      </c>
      <c r="G287" s="0" t="s">
        <v>2878</v>
      </c>
    </row>
    <row r="288" customFormat="false" ht="15" hidden="false" customHeight="false" outlineLevel="0" collapsed="false">
      <c r="A288" s="0" t="s">
        <v>2876</v>
      </c>
      <c r="B288" s="0" t="s">
        <v>222</v>
      </c>
      <c r="C288" s="0" t="n">
        <v>2019</v>
      </c>
      <c r="D288" s="0" t="s">
        <v>61</v>
      </c>
      <c r="E288" s="0" t="n">
        <v>151179</v>
      </c>
      <c r="F288" s="0" t="n">
        <v>137745</v>
      </c>
      <c r="G288" s="0" t="s">
        <v>2877</v>
      </c>
    </row>
    <row r="289" customFormat="false" ht="15" hidden="false" customHeight="false" outlineLevel="0" collapsed="false">
      <c r="A289" s="0" t="s">
        <v>2876</v>
      </c>
      <c r="B289" s="0" t="s">
        <v>222</v>
      </c>
      <c r="C289" s="0" t="n">
        <v>2019</v>
      </c>
      <c r="D289" s="0" t="s">
        <v>61</v>
      </c>
      <c r="E289" s="0" t="n">
        <v>151179</v>
      </c>
      <c r="F289" s="0" t="n">
        <v>137745</v>
      </c>
      <c r="G289" s="0" t="s">
        <v>2878</v>
      </c>
    </row>
    <row r="290" customFormat="false" ht="15" hidden="false" customHeight="false" outlineLevel="0" collapsed="false">
      <c r="A290" s="0" t="s">
        <v>2876</v>
      </c>
      <c r="B290" s="0" t="s">
        <v>222</v>
      </c>
      <c r="C290" s="0" t="n">
        <v>2020</v>
      </c>
      <c r="D290" s="0" t="s">
        <v>60</v>
      </c>
      <c r="E290" s="0" t="n">
        <v>2772663</v>
      </c>
      <c r="F290" s="0" t="n">
        <v>2639797</v>
      </c>
      <c r="G290" s="0" t="s">
        <v>2877</v>
      </c>
    </row>
    <row r="291" customFormat="false" ht="15" hidden="false" customHeight="false" outlineLevel="0" collapsed="false">
      <c r="A291" s="0" t="s">
        <v>2876</v>
      </c>
      <c r="B291" s="0" t="s">
        <v>222</v>
      </c>
      <c r="C291" s="0" t="n">
        <v>2020</v>
      </c>
      <c r="D291" s="0" t="s">
        <v>60</v>
      </c>
      <c r="E291" s="0" t="n">
        <v>2772663</v>
      </c>
      <c r="F291" s="0" t="n">
        <v>2639797</v>
      </c>
      <c r="G291" s="0" t="s">
        <v>2878</v>
      </c>
    </row>
    <row r="292" customFormat="false" ht="15" hidden="false" customHeight="false" outlineLevel="0" collapsed="false">
      <c r="A292" s="0" t="s">
        <v>2876</v>
      </c>
      <c r="B292" s="0" t="s">
        <v>222</v>
      </c>
      <c r="C292" s="0" t="n">
        <v>2020</v>
      </c>
      <c r="D292" s="0" t="s">
        <v>61</v>
      </c>
      <c r="E292" s="0" t="n">
        <v>132866</v>
      </c>
      <c r="F292" s="0" t="n">
        <v>161585</v>
      </c>
      <c r="G292" s="0" t="s">
        <v>2877</v>
      </c>
    </row>
    <row r="293" customFormat="false" ht="15" hidden="false" customHeight="false" outlineLevel="0" collapsed="false">
      <c r="A293" s="0" t="s">
        <v>2876</v>
      </c>
      <c r="B293" s="0" t="s">
        <v>222</v>
      </c>
      <c r="C293" s="0" t="n">
        <v>2020</v>
      </c>
      <c r="D293" s="0" t="s">
        <v>61</v>
      </c>
      <c r="E293" s="0" t="n">
        <v>132866</v>
      </c>
      <c r="F293" s="0" t="n">
        <v>161585</v>
      </c>
      <c r="G293" s="0" t="s">
        <v>2878</v>
      </c>
    </row>
    <row r="294" customFormat="false" ht="15" hidden="false" customHeight="false" outlineLevel="0" collapsed="false">
      <c r="A294" s="0" t="s">
        <v>2876</v>
      </c>
      <c r="B294" s="0" t="s">
        <v>222</v>
      </c>
      <c r="C294" s="0" t="n">
        <v>2021</v>
      </c>
      <c r="D294" s="0" t="s">
        <v>69</v>
      </c>
      <c r="E294" s="0" t="n">
        <v>20</v>
      </c>
      <c r="F294" s="0" t="n">
        <v>19.8</v>
      </c>
      <c r="G294" s="0" t="s">
        <v>2877</v>
      </c>
    </row>
    <row r="295" customFormat="false" ht="15" hidden="false" customHeight="false" outlineLevel="0" collapsed="false">
      <c r="A295" s="0" t="s">
        <v>2876</v>
      </c>
      <c r="B295" s="0" t="s">
        <v>222</v>
      </c>
      <c r="C295" s="0" t="n">
        <v>2021</v>
      </c>
      <c r="D295" s="0" t="s">
        <v>69</v>
      </c>
      <c r="E295" s="0" t="n">
        <v>20</v>
      </c>
      <c r="F295" s="0" t="n">
        <v>19.8</v>
      </c>
      <c r="G295" s="0" t="s">
        <v>2878</v>
      </c>
    </row>
    <row r="296" customFormat="false" ht="15" hidden="false" customHeight="false" outlineLevel="0" collapsed="false">
      <c r="A296" s="0" t="s">
        <v>2876</v>
      </c>
      <c r="B296" s="0" t="s">
        <v>222</v>
      </c>
      <c r="C296" s="0" t="n">
        <v>2021</v>
      </c>
      <c r="D296" s="0" t="s">
        <v>60</v>
      </c>
      <c r="E296" s="0" t="n">
        <v>3237973</v>
      </c>
      <c r="F296" s="0" t="n">
        <v>3099452</v>
      </c>
      <c r="G296" s="0" t="s">
        <v>2877</v>
      </c>
    </row>
    <row r="297" customFormat="false" ht="15" hidden="false" customHeight="false" outlineLevel="0" collapsed="false">
      <c r="A297" s="0" t="s">
        <v>2876</v>
      </c>
      <c r="B297" s="0" t="s">
        <v>222</v>
      </c>
      <c r="C297" s="0" t="n">
        <v>2021</v>
      </c>
      <c r="D297" s="0" t="s">
        <v>60</v>
      </c>
      <c r="E297" s="0" t="n">
        <v>3237973</v>
      </c>
      <c r="F297" s="0" t="n">
        <v>3099452</v>
      </c>
      <c r="G297" s="0" t="s">
        <v>2878</v>
      </c>
    </row>
    <row r="298" customFormat="false" ht="15" hidden="false" customHeight="false" outlineLevel="0" collapsed="false">
      <c r="A298" s="0" t="s">
        <v>2876</v>
      </c>
      <c r="B298" s="0" t="s">
        <v>222</v>
      </c>
      <c r="C298" s="0" t="n">
        <v>2021</v>
      </c>
      <c r="D298" s="0" t="s">
        <v>61</v>
      </c>
      <c r="E298" s="0" t="n">
        <v>138521</v>
      </c>
      <c r="F298" s="0" t="n">
        <v>184456</v>
      </c>
      <c r="G298" s="0" t="s">
        <v>2877</v>
      </c>
    </row>
    <row r="299" customFormat="false" ht="15" hidden="false" customHeight="false" outlineLevel="0" collapsed="false">
      <c r="A299" s="0" t="s">
        <v>2876</v>
      </c>
      <c r="B299" s="0" t="s">
        <v>222</v>
      </c>
      <c r="C299" s="0" t="n">
        <v>2021</v>
      </c>
      <c r="D299" s="0" t="s">
        <v>61</v>
      </c>
      <c r="E299" s="0" t="n">
        <v>138521</v>
      </c>
      <c r="F299" s="0" t="n">
        <v>184456</v>
      </c>
      <c r="G299" s="0" t="s">
        <v>2878</v>
      </c>
    </row>
    <row r="300" customFormat="false" ht="15" hidden="false" customHeight="false" outlineLevel="0" collapsed="false">
      <c r="A300" s="0" t="s">
        <v>2876</v>
      </c>
      <c r="B300" s="0" t="s">
        <v>222</v>
      </c>
      <c r="C300" s="0" t="n">
        <v>2022</v>
      </c>
      <c r="D300" s="0" t="s">
        <v>69</v>
      </c>
      <c r="E300" s="0" t="n">
        <v>19</v>
      </c>
      <c r="F300" s="0" t="n">
        <v>19.3</v>
      </c>
      <c r="G300" s="0" t="s">
        <v>2877</v>
      </c>
    </row>
    <row r="301" customFormat="false" ht="15" hidden="false" customHeight="false" outlineLevel="0" collapsed="false">
      <c r="A301" s="0" t="s">
        <v>2876</v>
      </c>
      <c r="B301" s="0" t="s">
        <v>222</v>
      </c>
      <c r="C301" s="0" t="n">
        <v>2022</v>
      </c>
      <c r="D301" s="0" t="s">
        <v>69</v>
      </c>
      <c r="E301" s="0" t="n">
        <v>19</v>
      </c>
      <c r="F301" s="0" t="n">
        <v>19.3</v>
      </c>
      <c r="G301" s="0" t="s">
        <v>2878</v>
      </c>
    </row>
    <row r="302" customFormat="false" ht="15" hidden="false" customHeight="false" outlineLevel="0" collapsed="false">
      <c r="A302" s="0" t="s">
        <v>2876</v>
      </c>
      <c r="B302" s="0" t="s">
        <v>222</v>
      </c>
      <c r="C302" s="0" t="n">
        <v>2022</v>
      </c>
      <c r="D302" s="0" t="s">
        <v>61</v>
      </c>
      <c r="E302" s="0" t="n">
        <v>103129</v>
      </c>
      <c r="F302" s="0" t="n">
        <v>231245</v>
      </c>
      <c r="G302" s="0" t="s">
        <v>2877</v>
      </c>
    </row>
    <row r="303" customFormat="false" ht="15" hidden="false" customHeight="false" outlineLevel="0" collapsed="false">
      <c r="A303" s="0" t="s">
        <v>2876</v>
      </c>
      <c r="B303" s="0" t="s">
        <v>222</v>
      </c>
      <c r="C303" s="0" t="n">
        <v>2022</v>
      </c>
      <c r="D303" s="0" t="s">
        <v>61</v>
      </c>
      <c r="E303" s="0" t="n">
        <v>103129</v>
      </c>
      <c r="F303" s="0" t="n">
        <v>231245</v>
      </c>
      <c r="G303" s="0" t="s">
        <v>2878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5"/>
    <col collapsed="false" customWidth="true" hidden="false" outlineLevel="0" max="7" min="7" style="0" width="14"/>
    <col collapsed="false" customWidth="true" hidden="false" outlineLevel="0" max="8" min="8" style="0" width="20"/>
    <col collapsed="false" customWidth="true" hidden="false" outlineLevel="0" max="9" min="9" style="0" width="13"/>
  </cols>
  <sheetData>
    <row r="1" customFormat="false" ht="15" hidden="false" customHeight="false" outlineLevel="0" collapsed="false">
      <c r="A1" s="2" t="s">
        <v>2879</v>
      </c>
    </row>
    <row r="3" customFormat="false" ht="15" hidden="false" customHeight="false" outlineLevel="0" collapsed="false">
      <c r="A3" s="3" t="s">
        <v>2880</v>
      </c>
      <c r="B3" s="3" t="s">
        <v>50</v>
      </c>
      <c r="C3" s="3" t="s">
        <v>51</v>
      </c>
      <c r="D3" s="3" t="s">
        <v>301</v>
      </c>
      <c r="E3" s="3" t="s">
        <v>2881</v>
      </c>
      <c r="F3" s="3" t="s">
        <v>2882</v>
      </c>
      <c r="G3" s="3" t="s">
        <v>2883</v>
      </c>
      <c r="H3" s="3" t="s">
        <v>2884</v>
      </c>
      <c r="I3" s="3" t="s">
        <v>2885</v>
      </c>
    </row>
    <row r="4" customFormat="false" ht="15" hidden="false" customHeight="false" outlineLevel="0" collapsed="false">
      <c r="A4" s="0" t="s">
        <v>2886</v>
      </c>
      <c r="B4" s="0" t="s">
        <v>2440</v>
      </c>
      <c r="C4" s="0" t="n">
        <v>2013</v>
      </c>
      <c r="D4" s="0" t="s">
        <v>2887</v>
      </c>
      <c r="E4" s="0" t="n">
        <v>4</v>
      </c>
      <c r="F4" s="0" t="s">
        <v>2888</v>
      </c>
      <c r="G4" s="0" t="s">
        <v>2889</v>
      </c>
      <c r="H4" s="0" t="s">
        <v>2890</v>
      </c>
      <c r="I4" s="0" t="s">
        <v>2891</v>
      </c>
    </row>
    <row r="5" customFormat="false" ht="15" hidden="false" customHeight="false" outlineLevel="0" collapsed="false">
      <c r="A5" s="0" t="s">
        <v>2886</v>
      </c>
      <c r="B5" s="0" t="s">
        <v>2440</v>
      </c>
      <c r="C5" s="0" t="n">
        <v>2014</v>
      </c>
      <c r="D5" s="0" t="s">
        <v>2887</v>
      </c>
      <c r="E5" s="0" t="n">
        <v>4</v>
      </c>
      <c r="F5" s="0" t="s">
        <v>2888</v>
      </c>
      <c r="G5" s="0" t="s">
        <v>2889</v>
      </c>
      <c r="H5" s="0" t="s">
        <v>2892</v>
      </c>
      <c r="I5" s="0" t="s">
        <v>2891</v>
      </c>
    </row>
    <row r="6" customFormat="false" ht="15" hidden="false" customHeight="false" outlineLevel="0" collapsed="false">
      <c r="A6" s="0" t="s">
        <v>2886</v>
      </c>
      <c r="B6" s="0" t="s">
        <v>2440</v>
      </c>
      <c r="C6" s="0" t="n">
        <v>2015</v>
      </c>
      <c r="D6" s="0" t="s">
        <v>2887</v>
      </c>
      <c r="E6" s="0" t="n">
        <v>4</v>
      </c>
      <c r="F6" s="0" t="s">
        <v>2893</v>
      </c>
      <c r="G6" s="0" t="s">
        <v>2889</v>
      </c>
      <c r="H6" s="0" t="s">
        <v>2894</v>
      </c>
      <c r="I6" s="0" t="s">
        <v>2895</v>
      </c>
    </row>
    <row r="7" customFormat="false" ht="15" hidden="false" customHeight="false" outlineLevel="0" collapsed="false">
      <c r="A7" s="0" t="s">
        <v>2886</v>
      </c>
      <c r="B7" s="0" t="s">
        <v>2440</v>
      </c>
      <c r="C7" s="0" t="n">
        <v>2016</v>
      </c>
      <c r="D7" s="0" t="s">
        <v>2887</v>
      </c>
      <c r="E7" s="0" t="n">
        <v>4</v>
      </c>
      <c r="F7" s="0" t="s">
        <v>2893</v>
      </c>
      <c r="G7" s="0" t="s">
        <v>2889</v>
      </c>
      <c r="H7" s="0" t="s">
        <v>2896</v>
      </c>
      <c r="I7" s="0" t="s">
        <v>2895</v>
      </c>
    </row>
    <row r="8" customFormat="false" ht="15" hidden="false" customHeight="false" outlineLevel="0" collapsed="false">
      <c r="A8" s="0" t="s">
        <v>2886</v>
      </c>
      <c r="B8" s="0" t="s">
        <v>2440</v>
      </c>
      <c r="C8" s="0" t="n">
        <v>2017</v>
      </c>
      <c r="D8" s="0" t="s">
        <v>2887</v>
      </c>
      <c r="E8" s="0" t="n">
        <v>4</v>
      </c>
      <c r="F8" s="0" t="s">
        <v>2893</v>
      </c>
      <c r="G8" s="0" t="s">
        <v>2889</v>
      </c>
      <c r="H8" s="0" t="s">
        <v>2897</v>
      </c>
      <c r="I8" s="0" t="s">
        <v>2895</v>
      </c>
    </row>
    <row r="9" customFormat="false" ht="15" hidden="false" customHeight="false" outlineLevel="0" collapsed="false">
      <c r="A9" s="0" t="s">
        <v>2886</v>
      </c>
      <c r="B9" s="0" t="s">
        <v>2440</v>
      </c>
      <c r="C9" s="0" t="n">
        <v>2018</v>
      </c>
      <c r="D9" s="0" t="s">
        <v>2887</v>
      </c>
      <c r="E9" s="0" t="n">
        <v>4</v>
      </c>
      <c r="F9" s="0" t="s">
        <v>2893</v>
      </c>
      <c r="G9" s="0" t="s">
        <v>2889</v>
      </c>
      <c r="H9" s="0" t="s">
        <v>2898</v>
      </c>
      <c r="I9" s="0" t="s">
        <v>2895</v>
      </c>
    </row>
    <row r="10" customFormat="false" ht="15" hidden="false" customHeight="false" outlineLevel="0" collapsed="false">
      <c r="A10" s="0" t="s">
        <v>2886</v>
      </c>
      <c r="B10" s="0" t="s">
        <v>2440</v>
      </c>
      <c r="C10" s="0" t="n">
        <v>2019</v>
      </c>
      <c r="D10" s="0" t="s">
        <v>2887</v>
      </c>
      <c r="E10" s="0" t="n">
        <v>4</v>
      </c>
      <c r="F10" s="0" t="s">
        <v>2893</v>
      </c>
      <c r="G10" s="0" t="s">
        <v>2889</v>
      </c>
      <c r="H10" s="0" t="s">
        <v>2899</v>
      </c>
      <c r="I10" s="0" t="s">
        <v>2895</v>
      </c>
    </row>
    <row r="11" customFormat="false" ht="15" hidden="false" customHeight="false" outlineLevel="0" collapsed="false">
      <c r="A11" s="0" t="s">
        <v>2886</v>
      </c>
      <c r="B11" s="0" t="s">
        <v>2440</v>
      </c>
      <c r="C11" s="0" t="n">
        <v>2020</v>
      </c>
      <c r="D11" s="0" t="s">
        <v>2887</v>
      </c>
      <c r="E11" s="0" t="n">
        <v>4</v>
      </c>
      <c r="F11" s="0" t="s">
        <v>2893</v>
      </c>
      <c r="G11" s="0" t="s">
        <v>2889</v>
      </c>
      <c r="H11" s="0" t="s">
        <v>2900</v>
      </c>
      <c r="I11" s="0" t="s">
        <v>2895</v>
      </c>
    </row>
    <row r="12" customFormat="false" ht="15" hidden="false" customHeight="false" outlineLevel="0" collapsed="false">
      <c r="A12" s="0" t="s">
        <v>2886</v>
      </c>
      <c r="B12" s="0" t="s">
        <v>2440</v>
      </c>
      <c r="C12" s="0" t="n">
        <v>2021</v>
      </c>
      <c r="D12" s="0" t="s">
        <v>2887</v>
      </c>
      <c r="E12" s="0" t="n">
        <v>4</v>
      </c>
      <c r="F12" s="0" t="s">
        <v>2893</v>
      </c>
      <c r="G12" s="0" t="s">
        <v>2889</v>
      </c>
      <c r="H12" s="0" t="s">
        <v>2901</v>
      </c>
      <c r="I12" s="0" t="s">
        <v>2895</v>
      </c>
    </row>
    <row r="13" customFormat="false" ht="15" hidden="false" customHeight="false" outlineLevel="0" collapsed="false">
      <c r="A13" s="0" t="s">
        <v>2886</v>
      </c>
      <c r="B13" s="0" t="s">
        <v>2440</v>
      </c>
      <c r="C13" s="0" t="n">
        <v>2022</v>
      </c>
      <c r="D13" s="0" t="s">
        <v>2887</v>
      </c>
      <c r="E13" s="0" t="n">
        <v>4</v>
      </c>
      <c r="F13" s="0" t="s">
        <v>2893</v>
      </c>
      <c r="G13" s="0" t="s">
        <v>2889</v>
      </c>
      <c r="H13" s="0" t="s">
        <v>2902</v>
      </c>
      <c r="I13" s="0" t="s">
        <v>2895</v>
      </c>
    </row>
    <row r="14" customFormat="false" ht="15" hidden="false" customHeight="false" outlineLevel="0" collapsed="false">
      <c r="A14" s="0" t="s">
        <v>2886</v>
      </c>
      <c r="B14" s="0" t="s">
        <v>125</v>
      </c>
      <c r="C14" s="0" t="n">
        <v>2020</v>
      </c>
      <c r="D14" s="0" t="s">
        <v>2887</v>
      </c>
      <c r="E14" s="0" t="n">
        <v>5</v>
      </c>
      <c r="F14" s="0" t="s">
        <v>2893</v>
      </c>
      <c r="G14" s="0" t="s">
        <v>2889</v>
      </c>
      <c r="H14" s="0" t="s">
        <v>2903</v>
      </c>
      <c r="I14" s="0" t="s">
        <v>2895</v>
      </c>
    </row>
    <row r="15" customFormat="false" ht="15" hidden="false" customHeight="false" outlineLevel="0" collapsed="false">
      <c r="A15" s="0" t="s">
        <v>2886</v>
      </c>
      <c r="B15" s="0" t="s">
        <v>125</v>
      </c>
      <c r="C15" s="0" t="n">
        <v>2021</v>
      </c>
      <c r="D15" s="0" t="s">
        <v>2887</v>
      </c>
      <c r="E15" s="0" t="n">
        <v>5</v>
      </c>
      <c r="F15" s="0" t="s">
        <v>2893</v>
      </c>
      <c r="G15" s="0" t="s">
        <v>2889</v>
      </c>
      <c r="H15" s="0" t="s">
        <v>2904</v>
      </c>
      <c r="I15" s="0" t="s">
        <v>2895</v>
      </c>
    </row>
    <row r="16" customFormat="false" ht="15" hidden="false" customHeight="false" outlineLevel="0" collapsed="false">
      <c r="A16" s="0" t="s">
        <v>2905</v>
      </c>
      <c r="B16" s="0" t="s">
        <v>77</v>
      </c>
      <c r="C16" s="0" t="n">
        <v>2013</v>
      </c>
      <c r="D16" s="0" t="s">
        <v>58</v>
      </c>
      <c r="E16" s="0" t="n">
        <v>6</v>
      </c>
      <c r="F16" s="0" t="s">
        <v>2906</v>
      </c>
      <c r="G16" s="0" t="s">
        <v>2907</v>
      </c>
      <c r="H16" s="0" t="s">
        <v>2908</v>
      </c>
      <c r="I16" s="0" t="s">
        <v>2909</v>
      </c>
    </row>
    <row r="17" customFormat="false" ht="15" hidden="false" customHeight="false" outlineLevel="0" collapsed="false">
      <c r="A17" s="0" t="s">
        <v>2905</v>
      </c>
      <c r="B17" s="0" t="s">
        <v>77</v>
      </c>
      <c r="C17" s="0" t="n">
        <v>2013</v>
      </c>
      <c r="D17" s="0" t="s">
        <v>59</v>
      </c>
      <c r="E17" s="0" t="n">
        <v>6</v>
      </c>
      <c r="F17" s="0" t="s">
        <v>2906</v>
      </c>
      <c r="G17" s="0" t="s">
        <v>2907</v>
      </c>
      <c r="H17" s="0" t="s">
        <v>2908</v>
      </c>
      <c r="I17" s="0" t="s">
        <v>2910</v>
      </c>
    </row>
    <row r="18" customFormat="false" ht="15" hidden="false" customHeight="false" outlineLevel="0" collapsed="false">
      <c r="A18" s="0" t="s">
        <v>2905</v>
      </c>
      <c r="B18" s="0" t="s">
        <v>77</v>
      </c>
      <c r="C18" s="0" t="n">
        <v>2013</v>
      </c>
      <c r="D18" s="0" t="s">
        <v>60</v>
      </c>
      <c r="E18" s="0" t="n">
        <v>6</v>
      </c>
      <c r="F18" s="0" t="s">
        <v>2906</v>
      </c>
      <c r="G18" s="0" t="s">
        <v>2907</v>
      </c>
      <c r="H18" s="0" t="s">
        <v>2908</v>
      </c>
      <c r="I18" s="0" t="s">
        <v>2909</v>
      </c>
    </row>
    <row r="19" customFormat="false" ht="15" hidden="false" customHeight="false" outlineLevel="0" collapsed="false">
      <c r="A19" s="0" t="s">
        <v>2905</v>
      </c>
      <c r="B19" s="0" t="s">
        <v>77</v>
      </c>
      <c r="C19" s="0" t="n">
        <v>2013</v>
      </c>
      <c r="D19" s="0" t="s">
        <v>62</v>
      </c>
      <c r="E19" s="0" t="n">
        <v>6</v>
      </c>
      <c r="F19" s="0" t="s">
        <v>2906</v>
      </c>
      <c r="G19" s="0" t="s">
        <v>2907</v>
      </c>
      <c r="H19" s="0" t="s">
        <v>2908</v>
      </c>
      <c r="I19" s="0" t="s">
        <v>2909</v>
      </c>
    </row>
    <row r="20" customFormat="false" ht="15" hidden="false" customHeight="false" outlineLevel="0" collapsed="false">
      <c r="A20" s="0" t="s">
        <v>2905</v>
      </c>
      <c r="B20" s="0" t="s">
        <v>77</v>
      </c>
      <c r="C20" s="0" t="n">
        <v>2013</v>
      </c>
      <c r="D20" s="0" t="s">
        <v>61</v>
      </c>
      <c r="E20" s="0" t="n">
        <v>6</v>
      </c>
      <c r="F20" s="0" t="s">
        <v>2906</v>
      </c>
      <c r="G20" s="0" t="s">
        <v>2907</v>
      </c>
      <c r="H20" s="0" t="s">
        <v>2908</v>
      </c>
      <c r="I20" s="0" t="s">
        <v>2909</v>
      </c>
    </row>
    <row r="21" customFormat="false" ht="15" hidden="false" customHeight="false" outlineLevel="0" collapsed="false">
      <c r="A21" s="0" t="s">
        <v>2905</v>
      </c>
      <c r="B21" s="0" t="s">
        <v>77</v>
      </c>
      <c r="C21" s="0" t="n">
        <v>2013</v>
      </c>
      <c r="D21" s="0" t="s">
        <v>307</v>
      </c>
      <c r="E21" s="0" t="n">
        <v>6</v>
      </c>
      <c r="F21" s="0" t="s">
        <v>2906</v>
      </c>
      <c r="G21" s="0" t="s">
        <v>2907</v>
      </c>
      <c r="H21" s="0" t="s">
        <v>2908</v>
      </c>
      <c r="I21" s="0" t="s">
        <v>2909</v>
      </c>
    </row>
    <row r="22" customFormat="false" ht="15" hidden="false" customHeight="false" outlineLevel="0" collapsed="false">
      <c r="A22" s="0" t="s">
        <v>2905</v>
      </c>
      <c r="B22" s="0" t="s">
        <v>77</v>
      </c>
      <c r="C22" s="0" t="n">
        <v>2013</v>
      </c>
      <c r="D22" s="0" t="s">
        <v>69</v>
      </c>
      <c r="E22" s="0" t="n">
        <v>6</v>
      </c>
      <c r="F22" s="0" t="s">
        <v>2906</v>
      </c>
      <c r="G22" s="0" t="s">
        <v>2907</v>
      </c>
      <c r="H22" s="0" t="s">
        <v>2908</v>
      </c>
      <c r="I22" s="0" t="s">
        <v>2909</v>
      </c>
    </row>
    <row r="23" customFormat="false" ht="15" hidden="false" customHeight="false" outlineLevel="0" collapsed="false">
      <c r="A23" s="0" t="s">
        <v>2905</v>
      </c>
      <c r="B23" s="0" t="s">
        <v>77</v>
      </c>
      <c r="C23" s="0" t="n">
        <v>2013</v>
      </c>
      <c r="D23" s="0" t="s">
        <v>65</v>
      </c>
      <c r="E23" s="0" t="n">
        <v>6</v>
      </c>
      <c r="F23" s="0" t="s">
        <v>2906</v>
      </c>
      <c r="G23" s="0" t="s">
        <v>2907</v>
      </c>
      <c r="H23" s="0" t="s">
        <v>2908</v>
      </c>
      <c r="I23" s="0" t="s">
        <v>2909</v>
      </c>
    </row>
    <row r="24" customFormat="false" ht="15" hidden="false" customHeight="false" outlineLevel="0" collapsed="false">
      <c r="A24" s="0" t="s">
        <v>2905</v>
      </c>
      <c r="B24" s="0" t="s">
        <v>77</v>
      </c>
      <c r="C24" s="0" t="n">
        <v>2013</v>
      </c>
      <c r="D24" s="0" t="s">
        <v>66</v>
      </c>
      <c r="E24" s="0" t="n">
        <v>6</v>
      </c>
      <c r="F24" s="0" t="s">
        <v>2906</v>
      </c>
      <c r="G24" s="0" t="s">
        <v>2907</v>
      </c>
      <c r="H24" s="0" t="s">
        <v>2908</v>
      </c>
      <c r="I24" s="0" t="s">
        <v>2909</v>
      </c>
    </row>
    <row r="25" customFormat="false" ht="15" hidden="false" customHeight="false" outlineLevel="0" collapsed="false">
      <c r="A25" s="0" t="s">
        <v>2905</v>
      </c>
      <c r="B25" s="0" t="s">
        <v>77</v>
      </c>
      <c r="C25" s="0" t="n">
        <v>2013</v>
      </c>
      <c r="D25" s="0" t="s">
        <v>70</v>
      </c>
      <c r="E25" s="0" t="n">
        <v>6</v>
      </c>
      <c r="F25" s="0" t="s">
        <v>2906</v>
      </c>
      <c r="G25" s="0" t="s">
        <v>2907</v>
      </c>
      <c r="H25" s="0" t="s">
        <v>2908</v>
      </c>
      <c r="I25" s="0" t="s">
        <v>2909</v>
      </c>
    </row>
    <row r="26" customFormat="false" ht="15" hidden="false" customHeight="false" outlineLevel="0" collapsed="false">
      <c r="A26" s="0" t="s">
        <v>2905</v>
      </c>
      <c r="B26" s="0" t="s">
        <v>77</v>
      </c>
      <c r="C26" s="0" t="n">
        <v>2013</v>
      </c>
      <c r="D26" s="0" t="s">
        <v>71</v>
      </c>
      <c r="E26" s="0" t="n">
        <v>6</v>
      </c>
      <c r="F26" s="0" t="s">
        <v>2906</v>
      </c>
      <c r="G26" s="0" t="s">
        <v>2907</v>
      </c>
      <c r="H26" s="0" t="s">
        <v>2908</v>
      </c>
      <c r="I26" s="0" t="s">
        <v>2909</v>
      </c>
    </row>
    <row r="27" customFormat="false" ht="15" hidden="false" customHeight="false" outlineLevel="0" collapsed="false">
      <c r="A27" s="0" t="s">
        <v>2905</v>
      </c>
      <c r="B27" s="0" t="s">
        <v>77</v>
      </c>
      <c r="C27" s="0" t="n">
        <v>2013</v>
      </c>
      <c r="D27" s="0" t="s">
        <v>73</v>
      </c>
      <c r="E27" s="0" t="n">
        <v>6</v>
      </c>
      <c r="F27" s="0" t="s">
        <v>2906</v>
      </c>
      <c r="G27" s="0" t="s">
        <v>2907</v>
      </c>
      <c r="H27" s="0" t="s">
        <v>2908</v>
      </c>
      <c r="I27" s="0" t="s">
        <v>2911</v>
      </c>
    </row>
    <row r="28" customFormat="false" ht="15" hidden="false" customHeight="false" outlineLevel="0" collapsed="false">
      <c r="A28" s="0" t="s">
        <v>2905</v>
      </c>
      <c r="B28" s="0" t="s">
        <v>77</v>
      </c>
      <c r="C28" s="0" t="n">
        <v>2014</v>
      </c>
      <c r="D28" s="0" t="s">
        <v>58</v>
      </c>
      <c r="E28" s="0" t="n">
        <v>6</v>
      </c>
      <c r="F28" s="0" t="s">
        <v>2906</v>
      </c>
      <c r="G28" s="0" t="s">
        <v>2907</v>
      </c>
      <c r="H28" s="0" t="s">
        <v>2908</v>
      </c>
      <c r="I28" s="0" t="s">
        <v>2909</v>
      </c>
    </row>
    <row r="29" customFormat="false" ht="15" hidden="false" customHeight="false" outlineLevel="0" collapsed="false">
      <c r="A29" s="0" t="s">
        <v>2905</v>
      </c>
      <c r="B29" s="0" t="s">
        <v>77</v>
      </c>
      <c r="C29" s="0" t="n">
        <v>2014</v>
      </c>
      <c r="D29" s="0" t="s">
        <v>60</v>
      </c>
      <c r="E29" s="0" t="n">
        <v>6</v>
      </c>
      <c r="F29" s="0" t="s">
        <v>2906</v>
      </c>
      <c r="G29" s="0" t="s">
        <v>2907</v>
      </c>
      <c r="H29" s="0" t="s">
        <v>2908</v>
      </c>
      <c r="I29" s="0" t="s">
        <v>2909</v>
      </c>
    </row>
    <row r="30" customFormat="false" ht="15" hidden="false" customHeight="false" outlineLevel="0" collapsed="false">
      <c r="A30" s="0" t="s">
        <v>2905</v>
      </c>
      <c r="B30" s="0" t="s">
        <v>77</v>
      </c>
      <c r="C30" s="0" t="n">
        <v>2014</v>
      </c>
      <c r="D30" s="0" t="s">
        <v>62</v>
      </c>
      <c r="E30" s="0" t="n">
        <v>6</v>
      </c>
      <c r="F30" s="0" t="s">
        <v>2906</v>
      </c>
      <c r="G30" s="0" t="s">
        <v>2907</v>
      </c>
      <c r="H30" s="0" t="s">
        <v>2908</v>
      </c>
      <c r="I30" s="0" t="s">
        <v>2909</v>
      </c>
    </row>
    <row r="31" customFormat="false" ht="15" hidden="false" customHeight="false" outlineLevel="0" collapsed="false">
      <c r="A31" s="0" t="s">
        <v>2905</v>
      </c>
      <c r="B31" s="0" t="s">
        <v>77</v>
      </c>
      <c r="C31" s="0" t="n">
        <v>2014</v>
      </c>
      <c r="D31" s="0" t="s">
        <v>61</v>
      </c>
      <c r="E31" s="0" t="n">
        <v>6</v>
      </c>
      <c r="F31" s="0" t="s">
        <v>2906</v>
      </c>
      <c r="G31" s="0" t="s">
        <v>2907</v>
      </c>
      <c r="H31" s="0" t="s">
        <v>2908</v>
      </c>
      <c r="I31" s="0" t="s">
        <v>2909</v>
      </c>
    </row>
    <row r="32" customFormat="false" ht="15" hidden="false" customHeight="false" outlineLevel="0" collapsed="false">
      <c r="A32" s="0" t="s">
        <v>2905</v>
      </c>
      <c r="B32" s="0" t="s">
        <v>77</v>
      </c>
      <c r="C32" s="0" t="n">
        <v>2014</v>
      </c>
      <c r="D32" s="0" t="s">
        <v>307</v>
      </c>
      <c r="E32" s="0" t="n">
        <v>6</v>
      </c>
      <c r="F32" s="0" t="s">
        <v>2906</v>
      </c>
      <c r="G32" s="0" t="s">
        <v>2907</v>
      </c>
      <c r="H32" s="0" t="s">
        <v>2908</v>
      </c>
      <c r="I32" s="0" t="s">
        <v>2909</v>
      </c>
    </row>
    <row r="33" customFormat="false" ht="15" hidden="false" customHeight="false" outlineLevel="0" collapsed="false">
      <c r="A33" s="0" t="s">
        <v>2905</v>
      </c>
      <c r="B33" s="0" t="s">
        <v>77</v>
      </c>
      <c r="C33" s="0" t="n">
        <v>2014</v>
      </c>
      <c r="D33" s="0" t="s">
        <v>69</v>
      </c>
      <c r="E33" s="0" t="n">
        <v>6</v>
      </c>
      <c r="F33" s="0" t="s">
        <v>2906</v>
      </c>
      <c r="G33" s="0" t="s">
        <v>2907</v>
      </c>
      <c r="H33" s="0" t="s">
        <v>2908</v>
      </c>
      <c r="I33" s="0" t="s">
        <v>2909</v>
      </c>
    </row>
    <row r="34" customFormat="false" ht="15" hidden="false" customHeight="false" outlineLevel="0" collapsed="false">
      <c r="A34" s="0" t="s">
        <v>2905</v>
      </c>
      <c r="B34" s="0" t="s">
        <v>77</v>
      </c>
      <c r="C34" s="0" t="n">
        <v>2014</v>
      </c>
      <c r="D34" s="0" t="s">
        <v>65</v>
      </c>
      <c r="E34" s="0" t="n">
        <v>6</v>
      </c>
      <c r="F34" s="0" t="s">
        <v>2906</v>
      </c>
      <c r="G34" s="0" t="s">
        <v>2907</v>
      </c>
      <c r="H34" s="0" t="s">
        <v>2908</v>
      </c>
      <c r="I34" s="0" t="s">
        <v>2909</v>
      </c>
    </row>
    <row r="35" customFormat="false" ht="15" hidden="false" customHeight="false" outlineLevel="0" collapsed="false">
      <c r="A35" s="0" t="s">
        <v>2905</v>
      </c>
      <c r="B35" s="0" t="s">
        <v>77</v>
      </c>
      <c r="C35" s="0" t="n">
        <v>2014</v>
      </c>
      <c r="D35" s="0" t="s">
        <v>66</v>
      </c>
      <c r="E35" s="0" t="n">
        <v>6</v>
      </c>
      <c r="F35" s="0" t="s">
        <v>2906</v>
      </c>
      <c r="G35" s="0" t="s">
        <v>2907</v>
      </c>
      <c r="H35" s="0" t="s">
        <v>2908</v>
      </c>
      <c r="I35" s="0" t="s">
        <v>2909</v>
      </c>
    </row>
    <row r="36" customFormat="false" ht="15" hidden="false" customHeight="false" outlineLevel="0" collapsed="false">
      <c r="A36" s="0" t="s">
        <v>2905</v>
      </c>
      <c r="B36" s="0" t="s">
        <v>77</v>
      </c>
      <c r="C36" s="0" t="n">
        <v>2014</v>
      </c>
      <c r="D36" s="0" t="s">
        <v>70</v>
      </c>
      <c r="E36" s="0" t="n">
        <v>6</v>
      </c>
      <c r="F36" s="0" t="s">
        <v>2906</v>
      </c>
      <c r="G36" s="0" t="s">
        <v>2907</v>
      </c>
      <c r="H36" s="0" t="s">
        <v>2908</v>
      </c>
      <c r="I36" s="0" t="s">
        <v>2909</v>
      </c>
    </row>
    <row r="37" customFormat="false" ht="15" hidden="false" customHeight="false" outlineLevel="0" collapsed="false">
      <c r="A37" s="0" t="s">
        <v>2905</v>
      </c>
      <c r="B37" s="0" t="s">
        <v>77</v>
      </c>
      <c r="C37" s="0" t="n">
        <v>2014</v>
      </c>
      <c r="D37" s="0" t="s">
        <v>71</v>
      </c>
      <c r="E37" s="0" t="n">
        <v>6</v>
      </c>
      <c r="F37" s="0" t="s">
        <v>2906</v>
      </c>
      <c r="G37" s="0" t="s">
        <v>2907</v>
      </c>
      <c r="H37" s="0" t="s">
        <v>2908</v>
      </c>
      <c r="I37" s="0" t="s">
        <v>2909</v>
      </c>
    </row>
    <row r="38" customFormat="false" ht="15" hidden="false" customHeight="false" outlineLevel="0" collapsed="false">
      <c r="A38" s="0" t="s">
        <v>2905</v>
      </c>
      <c r="B38" s="0" t="s">
        <v>77</v>
      </c>
      <c r="C38" s="0" t="n">
        <v>2014</v>
      </c>
      <c r="D38" s="0" t="s">
        <v>73</v>
      </c>
      <c r="E38" s="0" t="n">
        <v>6</v>
      </c>
      <c r="F38" s="0" t="s">
        <v>2906</v>
      </c>
      <c r="G38" s="0" t="s">
        <v>2907</v>
      </c>
      <c r="H38" s="0" t="s">
        <v>2908</v>
      </c>
      <c r="I38" s="0" t="s">
        <v>2911</v>
      </c>
    </row>
    <row r="39" customFormat="false" ht="15" hidden="false" customHeight="false" outlineLevel="0" collapsed="false">
      <c r="A39" s="0" t="s">
        <v>2905</v>
      </c>
      <c r="B39" s="0" t="s">
        <v>100</v>
      </c>
      <c r="C39" s="0" t="n">
        <v>2016</v>
      </c>
      <c r="D39" s="0" t="s">
        <v>58</v>
      </c>
      <c r="E39" s="0" t="n">
        <v>6</v>
      </c>
      <c r="F39" s="0" t="s">
        <v>2906</v>
      </c>
      <c r="G39" s="0" t="s">
        <v>2912</v>
      </c>
      <c r="H39" s="0" t="s">
        <v>2913</v>
      </c>
      <c r="I39" s="0" t="s">
        <v>2909</v>
      </c>
    </row>
    <row r="40" customFormat="false" ht="15" hidden="false" customHeight="false" outlineLevel="0" collapsed="false">
      <c r="A40" s="0" t="s">
        <v>2905</v>
      </c>
      <c r="B40" s="0" t="s">
        <v>100</v>
      </c>
      <c r="C40" s="0" t="n">
        <v>2016</v>
      </c>
      <c r="D40" s="0" t="s">
        <v>59</v>
      </c>
      <c r="E40" s="0" t="n">
        <v>6</v>
      </c>
      <c r="F40" s="0" t="s">
        <v>2906</v>
      </c>
      <c r="G40" s="0" t="s">
        <v>2912</v>
      </c>
      <c r="H40" s="0" t="s">
        <v>2913</v>
      </c>
      <c r="I40" s="0" t="s">
        <v>2910</v>
      </c>
    </row>
    <row r="41" customFormat="false" ht="15" hidden="false" customHeight="false" outlineLevel="0" collapsed="false">
      <c r="A41" s="0" t="s">
        <v>2905</v>
      </c>
      <c r="B41" s="0" t="s">
        <v>100</v>
      </c>
      <c r="C41" s="0" t="n">
        <v>2016</v>
      </c>
      <c r="D41" s="0" t="s">
        <v>60</v>
      </c>
      <c r="E41" s="0" t="n">
        <v>6</v>
      </c>
      <c r="F41" s="0" t="s">
        <v>2906</v>
      </c>
      <c r="G41" s="0" t="s">
        <v>2912</v>
      </c>
      <c r="H41" s="0" t="s">
        <v>2913</v>
      </c>
      <c r="I41" s="0" t="s">
        <v>2909</v>
      </c>
    </row>
    <row r="42" customFormat="false" ht="15" hidden="false" customHeight="false" outlineLevel="0" collapsed="false">
      <c r="A42" s="0" t="s">
        <v>2905</v>
      </c>
      <c r="B42" s="0" t="s">
        <v>100</v>
      </c>
      <c r="C42" s="0" t="n">
        <v>2016</v>
      </c>
      <c r="D42" s="0" t="s">
        <v>62</v>
      </c>
      <c r="E42" s="0" t="n">
        <v>6</v>
      </c>
      <c r="F42" s="0" t="s">
        <v>2906</v>
      </c>
      <c r="G42" s="0" t="s">
        <v>2912</v>
      </c>
      <c r="H42" s="0" t="s">
        <v>2913</v>
      </c>
      <c r="I42" s="0" t="s">
        <v>2909</v>
      </c>
    </row>
    <row r="43" customFormat="false" ht="15" hidden="false" customHeight="false" outlineLevel="0" collapsed="false">
      <c r="A43" s="0" t="s">
        <v>2905</v>
      </c>
      <c r="B43" s="0" t="s">
        <v>100</v>
      </c>
      <c r="C43" s="0" t="n">
        <v>2016</v>
      </c>
      <c r="D43" s="0" t="s">
        <v>61</v>
      </c>
      <c r="E43" s="0" t="n">
        <v>6</v>
      </c>
      <c r="F43" s="0" t="s">
        <v>2906</v>
      </c>
      <c r="G43" s="0" t="s">
        <v>2912</v>
      </c>
      <c r="H43" s="0" t="s">
        <v>2913</v>
      </c>
      <c r="I43" s="0" t="s">
        <v>2909</v>
      </c>
    </row>
    <row r="44" customFormat="false" ht="15" hidden="false" customHeight="false" outlineLevel="0" collapsed="false">
      <c r="A44" s="0" t="s">
        <v>2905</v>
      </c>
      <c r="B44" s="0" t="s">
        <v>100</v>
      </c>
      <c r="C44" s="0" t="n">
        <v>2016</v>
      </c>
      <c r="D44" s="0" t="s">
        <v>307</v>
      </c>
      <c r="E44" s="0" t="n">
        <v>6</v>
      </c>
      <c r="F44" s="0" t="s">
        <v>2906</v>
      </c>
      <c r="G44" s="0" t="s">
        <v>2912</v>
      </c>
      <c r="H44" s="0" t="s">
        <v>2913</v>
      </c>
      <c r="I44" s="0" t="s">
        <v>2909</v>
      </c>
    </row>
    <row r="45" customFormat="false" ht="15" hidden="false" customHeight="false" outlineLevel="0" collapsed="false">
      <c r="A45" s="0" t="s">
        <v>2905</v>
      </c>
      <c r="B45" s="0" t="s">
        <v>100</v>
      </c>
      <c r="C45" s="0" t="n">
        <v>2016</v>
      </c>
      <c r="D45" s="0" t="s">
        <v>64</v>
      </c>
      <c r="E45" s="0" t="n">
        <v>6</v>
      </c>
      <c r="F45" s="0" t="s">
        <v>2906</v>
      </c>
      <c r="G45" s="0" t="s">
        <v>2912</v>
      </c>
      <c r="H45" s="0" t="s">
        <v>2913</v>
      </c>
      <c r="I45" s="0" t="s">
        <v>2909</v>
      </c>
    </row>
    <row r="46" customFormat="false" ht="15" hidden="false" customHeight="false" outlineLevel="0" collapsed="false">
      <c r="A46" s="0" t="s">
        <v>2905</v>
      </c>
      <c r="B46" s="0" t="s">
        <v>100</v>
      </c>
      <c r="C46" s="0" t="n">
        <v>2016</v>
      </c>
      <c r="D46" s="0" t="s">
        <v>69</v>
      </c>
      <c r="E46" s="0" t="n">
        <v>6</v>
      </c>
      <c r="F46" s="0" t="s">
        <v>2906</v>
      </c>
      <c r="G46" s="0" t="s">
        <v>2912</v>
      </c>
      <c r="H46" s="0" t="s">
        <v>2913</v>
      </c>
      <c r="I46" s="0" t="s">
        <v>2909</v>
      </c>
    </row>
    <row r="47" customFormat="false" ht="15" hidden="false" customHeight="false" outlineLevel="0" collapsed="false">
      <c r="A47" s="0" t="s">
        <v>2905</v>
      </c>
      <c r="B47" s="0" t="s">
        <v>100</v>
      </c>
      <c r="C47" s="0" t="n">
        <v>2016</v>
      </c>
      <c r="D47" s="0" t="s">
        <v>65</v>
      </c>
      <c r="E47" s="0" t="n">
        <v>6</v>
      </c>
      <c r="F47" s="0" t="s">
        <v>2906</v>
      </c>
      <c r="G47" s="0" t="s">
        <v>2912</v>
      </c>
      <c r="H47" s="0" t="s">
        <v>2913</v>
      </c>
      <c r="I47" s="0" t="s">
        <v>2909</v>
      </c>
    </row>
    <row r="48" customFormat="false" ht="15" hidden="false" customHeight="false" outlineLevel="0" collapsed="false">
      <c r="A48" s="0" t="s">
        <v>2905</v>
      </c>
      <c r="B48" s="0" t="s">
        <v>100</v>
      </c>
      <c r="C48" s="0" t="n">
        <v>2016</v>
      </c>
      <c r="D48" s="0" t="s">
        <v>66</v>
      </c>
      <c r="E48" s="0" t="n">
        <v>6</v>
      </c>
      <c r="F48" s="0" t="s">
        <v>2906</v>
      </c>
      <c r="G48" s="0" t="s">
        <v>2912</v>
      </c>
      <c r="H48" s="0" t="s">
        <v>2913</v>
      </c>
      <c r="I48" s="0" t="s">
        <v>2909</v>
      </c>
    </row>
    <row r="49" customFormat="false" ht="15" hidden="false" customHeight="false" outlineLevel="0" collapsed="false">
      <c r="A49" s="0" t="s">
        <v>2905</v>
      </c>
      <c r="B49" s="0" t="s">
        <v>100</v>
      </c>
      <c r="C49" s="0" t="n">
        <v>2016</v>
      </c>
      <c r="D49" s="0" t="s">
        <v>70</v>
      </c>
      <c r="E49" s="0" t="n">
        <v>6</v>
      </c>
      <c r="F49" s="0" t="s">
        <v>2906</v>
      </c>
      <c r="G49" s="0" t="s">
        <v>2912</v>
      </c>
      <c r="H49" s="0" t="s">
        <v>2913</v>
      </c>
      <c r="I49" s="0" t="s">
        <v>2909</v>
      </c>
    </row>
    <row r="50" customFormat="false" ht="15" hidden="false" customHeight="false" outlineLevel="0" collapsed="false">
      <c r="A50" s="0" t="s">
        <v>2905</v>
      </c>
      <c r="B50" s="0" t="s">
        <v>100</v>
      </c>
      <c r="C50" s="0" t="n">
        <v>2016</v>
      </c>
      <c r="D50" s="0" t="s">
        <v>71</v>
      </c>
      <c r="E50" s="0" t="n">
        <v>6</v>
      </c>
      <c r="F50" s="0" t="s">
        <v>2906</v>
      </c>
      <c r="G50" s="0" t="s">
        <v>2912</v>
      </c>
      <c r="H50" s="0" t="s">
        <v>2913</v>
      </c>
      <c r="I50" s="0" t="s">
        <v>2909</v>
      </c>
    </row>
    <row r="51" customFormat="false" ht="15" hidden="false" customHeight="false" outlineLevel="0" collapsed="false">
      <c r="A51" s="0" t="s">
        <v>2905</v>
      </c>
      <c r="B51" s="0" t="s">
        <v>100</v>
      </c>
      <c r="C51" s="0" t="n">
        <v>2016</v>
      </c>
      <c r="D51" s="0" t="s">
        <v>73</v>
      </c>
      <c r="E51" s="0" t="n">
        <v>6</v>
      </c>
      <c r="F51" s="0" t="s">
        <v>2906</v>
      </c>
      <c r="G51" s="0" t="s">
        <v>2912</v>
      </c>
      <c r="H51" s="0" t="s">
        <v>2913</v>
      </c>
      <c r="I51" s="0" t="s">
        <v>2911</v>
      </c>
    </row>
    <row r="52" customFormat="false" ht="15" hidden="false" customHeight="false" outlineLevel="0" collapsed="false">
      <c r="A52" s="0" t="s">
        <v>2905</v>
      </c>
      <c r="B52" s="0" t="s">
        <v>100</v>
      </c>
      <c r="C52" s="0" t="n">
        <v>2017</v>
      </c>
      <c r="D52" s="0" t="s">
        <v>58</v>
      </c>
      <c r="E52" s="0" t="n">
        <v>6</v>
      </c>
      <c r="F52" s="0" t="s">
        <v>2906</v>
      </c>
      <c r="G52" s="0" t="s">
        <v>2912</v>
      </c>
      <c r="H52" s="0" t="s">
        <v>2913</v>
      </c>
      <c r="I52" s="0" t="s">
        <v>2909</v>
      </c>
    </row>
    <row r="53" customFormat="false" ht="15" hidden="false" customHeight="false" outlineLevel="0" collapsed="false">
      <c r="A53" s="0" t="s">
        <v>2905</v>
      </c>
      <c r="B53" s="0" t="s">
        <v>100</v>
      </c>
      <c r="C53" s="0" t="n">
        <v>2017</v>
      </c>
      <c r="D53" s="0" t="s">
        <v>60</v>
      </c>
      <c r="E53" s="0" t="n">
        <v>6</v>
      </c>
      <c r="F53" s="0" t="s">
        <v>2906</v>
      </c>
      <c r="G53" s="0" t="s">
        <v>2912</v>
      </c>
      <c r="H53" s="0" t="s">
        <v>2913</v>
      </c>
      <c r="I53" s="0" t="s">
        <v>2909</v>
      </c>
    </row>
    <row r="54" customFormat="false" ht="15" hidden="false" customHeight="false" outlineLevel="0" collapsed="false">
      <c r="A54" s="0" t="s">
        <v>2905</v>
      </c>
      <c r="B54" s="0" t="s">
        <v>100</v>
      </c>
      <c r="C54" s="0" t="n">
        <v>2017</v>
      </c>
      <c r="D54" s="0" t="s">
        <v>62</v>
      </c>
      <c r="E54" s="0" t="n">
        <v>6</v>
      </c>
      <c r="F54" s="0" t="s">
        <v>2906</v>
      </c>
      <c r="G54" s="0" t="s">
        <v>2912</v>
      </c>
      <c r="H54" s="0" t="s">
        <v>2913</v>
      </c>
      <c r="I54" s="0" t="s">
        <v>2909</v>
      </c>
    </row>
    <row r="55" customFormat="false" ht="15" hidden="false" customHeight="false" outlineLevel="0" collapsed="false">
      <c r="A55" s="0" t="s">
        <v>2905</v>
      </c>
      <c r="B55" s="0" t="s">
        <v>100</v>
      </c>
      <c r="C55" s="0" t="n">
        <v>2017</v>
      </c>
      <c r="D55" s="0" t="s">
        <v>61</v>
      </c>
      <c r="E55" s="0" t="n">
        <v>6</v>
      </c>
      <c r="F55" s="0" t="s">
        <v>2906</v>
      </c>
      <c r="G55" s="0" t="s">
        <v>2912</v>
      </c>
      <c r="H55" s="0" t="s">
        <v>2913</v>
      </c>
      <c r="I55" s="0" t="s">
        <v>2909</v>
      </c>
    </row>
    <row r="56" customFormat="false" ht="15" hidden="false" customHeight="false" outlineLevel="0" collapsed="false">
      <c r="A56" s="0" t="s">
        <v>2905</v>
      </c>
      <c r="B56" s="0" t="s">
        <v>100</v>
      </c>
      <c r="C56" s="0" t="n">
        <v>2017</v>
      </c>
      <c r="D56" s="0" t="s">
        <v>307</v>
      </c>
      <c r="E56" s="0" t="n">
        <v>6</v>
      </c>
      <c r="F56" s="0" t="s">
        <v>2906</v>
      </c>
      <c r="G56" s="0" t="s">
        <v>2912</v>
      </c>
      <c r="H56" s="0" t="s">
        <v>2913</v>
      </c>
      <c r="I56" s="0" t="s">
        <v>2909</v>
      </c>
    </row>
    <row r="57" customFormat="false" ht="15" hidden="false" customHeight="false" outlineLevel="0" collapsed="false">
      <c r="A57" s="0" t="s">
        <v>2905</v>
      </c>
      <c r="B57" s="0" t="s">
        <v>100</v>
      </c>
      <c r="C57" s="0" t="n">
        <v>2017</v>
      </c>
      <c r="D57" s="0" t="s">
        <v>64</v>
      </c>
      <c r="E57" s="0" t="n">
        <v>6</v>
      </c>
      <c r="F57" s="0" t="s">
        <v>2906</v>
      </c>
      <c r="G57" s="0" t="s">
        <v>2912</v>
      </c>
      <c r="H57" s="0" t="s">
        <v>2913</v>
      </c>
      <c r="I57" s="0" t="s">
        <v>2909</v>
      </c>
    </row>
    <row r="58" customFormat="false" ht="15" hidden="false" customHeight="false" outlineLevel="0" collapsed="false">
      <c r="A58" s="0" t="s">
        <v>2905</v>
      </c>
      <c r="B58" s="0" t="s">
        <v>100</v>
      </c>
      <c r="C58" s="0" t="n">
        <v>2017</v>
      </c>
      <c r="D58" s="0" t="s">
        <v>69</v>
      </c>
      <c r="E58" s="0" t="n">
        <v>6</v>
      </c>
      <c r="F58" s="0" t="s">
        <v>2906</v>
      </c>
      <c r="G58" s="0" t="s">
        <v>2912</v>
      </c>
      <c r="H58" s="0" t="s">
        <v>2913</v>
      </c>
      <c r="I58" s="0" t="s">
        <v>2909</v>
      </c>
    </row>
    <row r="59" customFormat="false" ht="15" hidden="false" customHeight="false" outlineLevel="0" collapsed="false">
      <c r="A59" s="0" t="s">
        <v>2905</v>
      </c>
      <c r="B59" s="0" t="s">
        <v>100</v>
      </c>
      <c r="C59" s="0" t="n">
        <v>2017</v>
      </c>
      <c r="D59" s="0" t="s">
        <v>65</v>
      </c>
      <c r="E59" s="0" t="n">
        <v>6</v>
      </c>
      <c r="F59" s="0" t="s">
        <v>2906</v>
      </c>
      <c r="G59" s="0" t="s">
        <v>2912</v>
      </c>
      <c r="H59" s="0" t="s">
        <v>2913</v>
      </c>
      <c r="I59" s="0" t="s">
        <v>2909</v>
      </c>
    </row>
    <row r="60" customFormat="false" ht="15" hidden="false" customHeight="false" outlineLevel="0" collapsed="false">
      <c r="A60" s="0" t="s">
        <v>2905</v>
      </c>
      <c r="B60" s="0" t="s">
        <v>100</v>
      </c>
      <c r="C60" s="0" t="n">
        <v>2017</v>
      </c>
      <c r="D60" s="0" t="s">
        <v>66</v>
      </c>
      <c r="E60" s="0" t="n">
        <v>6</v>
      </c>
      <c r="F60" s="0" t="s">
        <v>2906</v>
      </c>
      <c r="G60" s="0" t="s">
        <v>2912</v>
      </c>
      <c r="H60" s="0" t="s">
        <v>2913</v>
      </c>
      <c r="I60" s="0" t="s">
        <v>2909</v>
      </c>
    </row>
    <row r="61" customFormat="false" ht="15" hidden="false" customHeight="false" outlineLevel="0" collapsed="false">
      <c r="A61" s="0" t="s">
        <v>2905</v>
      </c>
      <c r="B61" s="0" t="s">
        <v>100</v>
      </c>
      <c r="C61" s="0" t="n">
        <v>2017</v>
      </c>
      <c r="D61" s="0" t="s">
        <v>70</v>
      </c>
      <c r="E61" s="0" t="n">
        <v>6</v>
      </c>
      <c r="F61" s="0" t="s">
        <v>2906</v>
      </c>
      <c r="G61" s="0" t="s">
        <v>2912</v>
      </c>
      <c r="H61" s="0" t="s">
        <v>2913</v>
      </c>
      <c r="I61" s="0" t="s">
        <v>2909</v>
      </c>
    </row>
    <row r="62" customFormat="false" ht="15" hidden="false" customHeight="false" outlineLevel="0" collapsed="false">
      <c r="A62" s="0" t="s">
        <v>2905</v>
      </c>
      <c r="B62" s="0" t="s">
        <v>100</v>
      </c>
      <c r="C62" s="0" t="n">
        <v>2017</v>
      </c>
      <c r="D62" s="0" t="s">
        <v>71</v>
      </c>
      <c r="E62" s="0" t="n">
        <v>6</v>
      </c>
      <c r="F62" s="0" t="s">
        <v>2906</v>
      </c>
      <c r="G62" s="0" t="s">
        <v>2912</v>
      </c>
      <c r="H62" s="0" t="s">
        <v>2913</v>
      </c>
      <c r="I62" s="0" t="s">
        <v>2909</v>
      </c>
    </row>
    <row r="63" customFormat="false" ht="15" hidden="false" customHeight="false" outlineLevel="0" collapsed="false">
      <c r="A63" s="0" t="s">
        <v>2905</v>
      </c>
      <c r="B63" s="0" t="s">
        <v>100</v>
      </c>
      <c r="C63" s="0" t="n">
        <v>2017</v>
      </c>
      <c r="D63" s="0" t="s">
        <v>73</v>
      </c>
      <c r="E63" s="0" t="n">
        <v>6</v>
      </c>
      <c r="F63" s="0" t="s">
        <v>2906</v>
      </c>
      <c r="G63" s="0" t="s">
        <v>2912</v>
      </c>
      <c r="H63" s="0" t="s">
        <v>2913</v>
      </c>
      <c r="I63" s="0" t="s">
        <v>2911</v>
      </c>
    </row>
    <row r="64" customFormat="false" ht="15" hidden="false" customHeight="false" outlineLevel="0" collapsed="false">
      <c r="A64" s="0" t="s">
        <v>2905</v>
      </c>
      <c r="B64" s="0" t="s">
        <v>115</v>
      </c>
      <c r="C64" s="0" t="n">
        <v>2013</v>
      </c>
      <c r="D64" s="0" t="s">
        <v>62</v>
      </c>
      <c r="E64" s="0" t="n">
        <v>6</v>
      </c>
      <c r="F64" s="0" t="s">
        <v>2906</v>
      </c>
      <c r="G64" s="0" t="s">
        <v>2912</v>
      </c>
      <c r="H64" s="0" t="s">
        <v>2914</v>
      </c>
      <c r="I64" s="0" t="s">
        <v>2909</v>
      </c>
    </row>
    <row r="65" customFormat="false" ht="15" hidden="false" customHeight="false" outlineLevel="0" collapsed="false">
      <c r="A65" s="0" t="s">
        <v>2905</v>
      </c>
      <c r="B65" s="0" t="s">
        <v>115</v>
      </c>
      <c r="C65" s="0" t="n">
        <v>2013</v>
      </c>
      <c r="D65" s="0" t="s">
        <v>64</v>
      </c>
      <c r="E65" s="0" t="n">
        <v>6</v>
      </c>
      <c r="F65" s="0" t="s">
        <v>2906</v>
      </c>
      <c r="G65" s="0" t="s">
        <v>2912</v>
      </c>
      <c r="H65" s="0" t="s">
        <v>2914</v>
      </c>
      <c r="I65" s="0" t="s">
        <v>2909</v>
      </c>
    </row>
    <row r="66" customFormat="false" ht="15" hidden="false" customHeight="false" outlineLevel="0" collapsed="false">
      <c r="A66" s="0" t="s">
        <v>2905</v>
      </c>
      <c r="B66" s="0" t="s">
        <v>115</v>
      </c>
      <c r="C66" s="0" t="n">
        <v>2013</v>
      </c>
      <c r="D66" s="0" t="s">
        <v>65</v>
      </c>
      <c r="E66" s="0" t="n">
        <v>6</v>
      </c>
      <c r="F66" s="0" t="s">
        <v>2906</v>
      </c>
      <c r="G66" s="0" t="s">
        <v>2912</v>
      </c>
      <c r="H66" s="0" t="s">
        <v>2914</v>
      </c>
      <c r="I66" s="0" t="s">
        <v>2909</v>
      </c>
    </row>
    <row r="67" customFormat="false" ht="15" hidden="false" customHeight="false" outlineLevel="0" collapsed="false">
      <c r="A67" s="0" t="s">
        <v>2905</v>
      </c>
      <c r="B67" s="0" t="s">
        <v>115</v>
      </c>
      <c r="C67" s="0" t="n">
        <v>2013</v>
      </c>
      <c r="D67" s="0" t="s">
        <v>66</v>
      </c>
      <c r="E67" s="0" t="n">
        <v>6</v>
      </c>
      <c r="F67" s="0" t="s">
        <v>2906</v>
      </c>
      <c r="G67" s="0" t="s">
        <v>2912</v>
      </c>
      <c r="H67" s="0" t="s">
        <v>2914</v>
      </c>
      <c r="I67" s="0" t="s">
        <v>2909</v>
      </c>
    </row>
    <row r="68" customFormat="false" ht="15" hidden="false" customHeight="false" outlineLevel="0" collapsed="false">
      <c r="A68" s="0" t="s">
        <v>2905</v>
      </c>
      <c r="B68" s="0" t="s">
        <v>115</v>
      </c>
      <c r="C68" s="0" t="n">
        <v>2013</v>
      </c>
      <c r="D68" s="0" t="s">
        <v>70</v>
      </c>
      <c r="E68" s="0" t="n">
        <v>6</v>
      </c>
      <c r="F68" s="0" t="s">
        <v>2906</v>
      </c>
      <c r="G68" s="0" t="s">
        <v>2912</v>
      </c>
      <c r="H68" s="0" t="s">
        <v>2914</v>
      </c>
      <c r="I68" s="0" t="s">
        <v>2909</v>
      </c>
    </row>
    <row r="69" customFormat="false" ht="15" hidden="false" customHeight="false" outlineLevel="0" collapsed="false">
      <c r="A69" s="0" t="s">
        <v>2905</v>
      </c>
      <c r="B69" s="0" t="s">
        <v>115</v>
      </c>
      <c r="C69" s="0" t="n">
        <v>2013</v>
      </c>
      <c r="D69" s="0" t="s">
        <v>71</v>
      </c>
      <c r="E69" s="0" t="n">
        <v>6</v>
      </c>
      <c r="F69" s="0" t="s">
        <v>2906</v>
      </c>
      <c r="G69" s="0" t="s">
        <v>2912</v>
      </c>
      <c r="H69" s="0" t="s">
        <v>2914</v>
      </c>
      <c r="I69" s="0" t="s">
        <v>2909</v>
      </c>
    </row>
    <row r="70" customFormat="false" ht="15" hidden="false" customHeight="false" outlineLevel="0" collapsed="false">
      <c r="A70" s="0" t="s">
        <v>2905</v>
      </c>
      <c r="B70" s="0" t="s">
        <v>115</v>
      </c>
      <c r="C70" s="0" t="n">
        <v>2013</v>
      </c>
      <c r="D70" s="0" t="s">
        <v>73</v>
      </c>
      <c r="E70" s="0" t="n">
        <v>6</v>
      </c>
      <c r="F70" s="0" t="s">
        <v>2906</v>
      </c>
      <c r="G70" s="0" t="s">
        <v>2912</v>
      </c>
      <c r="H70" s="0" t="s">
        <v>2914</v>
      </c>
      <c r="I70" s="0" t="s">
        <v>2911</v>
      </c>
    </row>
    <row r="71" customFormat="false" ht="15" hidden="false" customHeight="false" outlineLevel="0" collapsed="false">
      <c r="A71" s="0" t="s">
        <v>2905</v>
      </c>
      <c r="B71" s="0" t="s">
        <v>115</v>
      </c>
      <c r="C71" s="0" t="n">
        <v>2018</v>
      </c>
      <c r="D71" s="0" t="s">
        <v>58</v>
      </c>
      <c r="E71" s="0" t="n">
        <v>6</v>
      </c>
      <c r="F71" s="0" t="s">
        <v>2906</v>
      </c>
      <c r="G71" s="0" t="s">
        <v>2912</v>
      </c>
      <c r="H71" s="0" t="s">
        <v>2915</v>
      </c>
      <c r="I71" s="0" t="s">
        <v>2909</v>
      </c>
    </row>
    <row r="72" customFormat="false" ht="15" hidden="false" customHeight="false" outlineLevel="0" collapsed="false">
      <c r="A72" s="0" t="s">
        <v>2905</v>
      </c>
      <c r="B72" s="0" t="s">
        <v>115</v>
      </c>
      <c r="C72" s="0" t="n">
        <v>2018</v>
      </c>
      <c r="D72" s="0" t="s">
        <v>59</v>
      </c>
      <c r="E72" s="0" t="n">
        <v>6</v>
      </c>
      <c r="F72" s="0" t="s">
        <v>2906</v>
      </c>
      <c r="G72" s="0" t="s">
        <v>2912</v>
      </c>
      <c r="H72" s="0" t="s">
        <v>2915</v>
      </c>
      <c r="I72" s="0" t="s">
        <v>2910</v>
      </c>
    </row>
    <row r="73" customFormat="false" ht="15" hidden="false" customHeight="false" outlineLevel="0" collapsed="false">
      <c r="A73" s="0" t="s">
        <v>2905</v>
      </c>
      <c r="B73" s="0" t="s">
        <v>115</v>
      </c>
      <c r="C73" s="0" t="n">
        <v>2018</v>
      </c>
      <c r="D73" s="0" t="s">
        <v>60</v>
      </c>
      <c r="E73" s="0" t="n">
        <v>6</v>
      </c>
      <c r="F73" s="0" t="s">
        <v>2906</v>
      </c>
      <c r="G73" s="0" t="s">
        <v>2912</v>
      </c>
      <c r="H73" s="0" t="s">
        <v>2915</v>
      </c>
      <c r="I73" s="0" t="s">
        <v>2909</v>
      </c>
    </row>
    <row r="74" customFormat="false" ht="15" hidden="false" customHeight="false" outlineLevel="0" collapsed="false">
      <c r="A74" s="0" t="s">
        <v>2905</v>
      </c>
      <c r="B74" s="0" t="s">
        <v>115</v>
      </c>
      <c r="C74" s="0" t="n">
        <v>2018</v>
      </c>
      <c r="D74" s="0" t="s">
        <v>62</v>
      </c>
      <c r="E74" s="0" t="n">
        <v>6</v>
      </c>
      <c r="F74" s="0" t="s">
        <v>2906</v>
      </c>
      <c r="G74" s="0" t="s">
        <v>2912</v>
      </c>
      <c r="H74" s="0" t="s">
        <v>2915</v>
      </c>
      <c r="I74" s="0" t="s">
        <v>2909</v>
      </c>
    </row>
    <row r="75" customFormat="false" ht="15" hidden="false" customHeight="false" outlineLevel="0" collapsed="false">
      <c r="A75" s="0" t="s">
        <v>2905</v>
      </c>
      <c r="B75" s="0" t="s">
        <v>115</v>
      </c>
      <c r="C75" s="0" t="n">
        <v>2018</v>
      </c>
      <c r="D75" s="0" t="s">
        <v>61</v>
      </c>
      <c r="E75" s="0" t="n">
        <v>6</v>
      </c>
      <c r="F75" s="0" t="s">
        <v>2906</v>
      </c>
      <c r="G75" s="0" t="s">
        <v>2912</v>
      </c>
      <c r="H75" s="0" t="s">
        <v>2915</v>
      </c>
      <c r="I75" s="0" t="s">
        <v>2909</v>
      </c>
    </row>
    <row r="76" customFormat="false" ht="15" hidden="false" customHeight="false" outlineLevel="0" collapsed="false">
      <c r="A76" s="0" t="s">
        <v>2905</v>
      </c>
      <c r="B76" s="0" t="s">
        <v>115</v>
      </c>
      <c r="C76" s="0" t="n">
        <v>2018</v>
      </c>
      <c r="D76" s="0" t="s">
        <v>307</v>
      </c>
      <c r="E76" s="0" t="n">
        <v>6</v>
      </c>
      <c r="F76" s="0" t="s">
        <v>2906</v>
      </c>
      <c r="G76" s="0" t="s">
        <v>2912</v>
      </c>
      <c r="H76" s="0" t="s">
        <v>2915</v>
      </c>
      <c r="I76" s="0" t="s">
        <v>2909</v>
      </c>
    </row>
    <row r="77" customFormat="false" ht="15" hidden="false" customHeight="false" outlineLevel="0" collapsed="false">
      <c r="A77" s="0" t="s">
        <v>2905</v>
      </c>
      <c r="B77" s="0" t="s">
        <v>115</v>
      </c>
      <c r="C77" s="0" t="n">
        <v>2018</v>
      </c>
      <c r="D77" s="0" t="s">
        <v>64</v>
      </c>
      <c r="E77" s="0" t="n">
        <v>6</v>
      </c>
      <c r="F77" s="0" t="s">
        <v>2906</v>
      </c>
      <c r="G77" s="0" t="s">
        <v>2912</v>
      </c>
      <c r="H77" s="0" t="s">
        <v>2915</v>
      </c>
      <c r="I77" s="0" t="s">
        <v>2909</v>
      </c>
    </row>
    <row r="78" customFormat="false" ht="15" hidden="false" customHeight="false" outlineLevel="0" collapsed="false">
      <c r="A78" s="0" t="s">
        <v>2905</v>
      </c>
      <c r="B78" s="0" t="s">
        <v>115</v>
      </c>
      <c r="C78" s="0" t="n">
        <v>2018</v>
      </c>
      <c r="D78" s="0" t="s">
        <v>69</v>
      </c>
      <c r="E78" s="0" t="n">
        <v>6</v>
      </c>
      <c r="F78" s="0" t="s">
        <v>2906</v>
      </c>
      <c r="G78" s="0" t="s">
        <v>2912</v>
      </c>
      <c r="H78" s="0" t="s">
        <v>2915</v>
      </c>
      <c r="I78" s="0" t="s">
        <v>2909</v>
      </c>
    </row>
    <row r="79" customFormat="false" ht="15" hidden="false" customHeight="false" outlineLevel="0" collapsed="false">
      <c r="A79" s="0" t="s">
        <v>2905</v>
      </c>
      <c r="B79" s="0" t="s">
        <v>115</v>
      </c>
      <c r="C79" s="0" t="n">
        <v>2018</v>
      </c>
      <c r="D79" s="0" t="s">
        <v>65</v>
      </c>
      <c r="E79" s="0" t="n">
        <v>6</v>
      </c>
      <c r="F79" s="0" t="s">
        <v>2906</v>
      </c>
      <c r="G79" s="0" t="s">
        <v>2912</v>
      </c>
      <c r="H79" s="0" t="s">
        <v>2915</v>
      </c>
      <c r="I79" s="0" t="s">
        <v>2909</v>
      </c>
    </row>
    <row r="80" customFormat="false" ht="15" hidden="false" customHeight="false" outlineLevel="0" collapsed="false">
      <c r="A80" s="0" t="s">
        <v>2905</v>
      </c>
      <c r="B80" s="0" t="s">
        <v>115</v>
      </c>
      <c r="C80" s="0" t="n">
        <v>2018</v>
      </c>
      <c r="D80" s="0" t="s">
        <v>66</v>
      </c>
      <c r="E80" s="0" t="n">
        <v>6</v>
      </c>
      <c r="F80" s="0" t="s">
        <v>2906</v>
      </c>
      <c r="G80" s="0" t="s">
        <v>2912</v>
      </c>
      <c r="H80" s="0" t="s">
        <v>2915</v>
      </c>
      <c r="I80" s="0" t="s">
        <v>2909</v>
      </c>
    </row>
    <row r="81" customFormat="false" ht="15" hidden="false" customHeight="false" outlineLevel="0" collapsed="false">
      <c r="A81" s="0" t="s">
        <v>2905</v>
      </c>
      <c r="B81" s="0" t="s">
        <v>115</v>
      </c>
      <c r="C81" s="0" t="n">
        <v>2018</v>
      </c>
      <c r="D81" s="0" t="s">
        <v>70</v>
      </c>
      <c r="E81" s="0" t="n">
        <v>6</v>
      </c>
      <c r="F81" s="0" t="s">
        <v>2906</v>
      </c>
      <c r="G81" s="0" t="s">
        <v>2912</v>
      </c>
      <c r="H81" s="0" t="s">
        <v>2915</v>
      </c>
      <c r="I81" s="0" t="s">
        <v>2909</v>
      </c>
    </row>
    <row r="82" customFormat="false" ht="15" hidden="false" customHeight="false" outlineLevel="0" collapsed="false">
      <c r="A82" s="0" t="s">
        <v>2905</v>
      </c>
      <c r="B82" s="0" t="s">
        <v>115</v>
      </c>
      <c r="C82" s="0" t="n">
        <v>2018</v>
      </c>
      <c r="D82" s="0" t="s">
        <v>71</v>
      </c>
      <c r="E82" s="0" t="n">
        <v>6</v>
      </c>
      <c r="F82" s="0" t="s">
        <v>2906</v>
      </c>
      <c r="G82" s="0" t="s">
        <v>2912</v>
      </c>
      <c r="H82" s="0" t="s">
        <v>2915</v>
      </c>
      <c r="I82" s="0" t="s">
        <v>2909</v>
      </c>
    </row>
    <row r="83" customFormat="false" ht="15" hidden="false" customHeight="false" outlineLevel="0" collapsed="false">
      <c r="A83" s="0" t="s">
        <v>2905</v>
      </c>
      <c r="B83" s="0" t="s">
        <v>115</v>
      </c>
      <c r="C83" s="0" t="n">
        <v>2018</v>
      </c>
      <c r="D83" s="0" t="s">
        <v>73</v>
      </c>
      <c r="E83" s="0" t="n">
        <v>6</v>
      </c>
      <c r="F83" s="0" t="s">
        <v>2906</v>
      </c>
      <c r="G83" s="0" t="s">
        <v>2912</v>
      </c>
      <c r="H83" s="0" t="s">
        <v>2915</v>
      </c>
      <c r="I83" s="0" t="s">
        <v>2911</v>
      </c>
    </row>
    <row r="84" customFormat="false" ht="15" hidden="false" customHeight="false" outlineLevel="0" collapsed="false">
      <c r="A84" s="0" t="s">
        <v>2905</v>
      </c>
      <c r="B84" s="0" t="s">
        <v>115</v>
      </c>
      <c r="C84" s="0" t="n">
        <v>2018</v>
      </c>
      <c r="D84" s="0" t="s">
        <v>67</v>
      </c>
      <c r="E84" s="0" t="n">
        <v>6</v>
      </c>
      <c r="F84" s="0" t="s">
        <v>2906</v>
      </c>
      <c r="G84" s="0" t="s">
        <v>2912</v>
      </c>
      <c r="H84" s="0" t="s">
        <v>2915</v>
      </c>
      <c r="I84" s="0" t="s">
        <v>2916</v>
      </c>
    </row>
    <row r="85" customFormat="false" ht="15" hidden="false" customHeight="false" outlineLevel="0" collapsed="false">
      <c r="A85" s="0" t="s">
        <v>2905</v>
      </c>
      <c r="B85" s="0" t="s">
        <v>115</v>
      </c>
      <c r="C85" s="0" t="n">
        <v>2018</v>
      </c>
      <c r="D85" s="0" t="s">
        <v>68</v>
      </c>
      <c r="E85" s="0" t="n">
        <v>6</v>
      </c>
      <c r="F85" s="0" t="s">
        <v>2906</v>
      </c>
      <c r="G85" s="0" t="s">
        <v>2912</v>
      </c>
      <c r="H85" s="0" t="s">
        <v>2915</v>
      </c>
      <c r="I85" s="0" t="s">
        <v>2916</v>
      </c>
    </row>
    <row r="86" customFormat="false" ht="15" hidden="false" customHeight="false" outlineLevel="0" collapsed="false">
      <c r="A86" s="0" t="s">
        <v>2905</v>
      </c>
      <c r="B86" s="0" t="s">
        <v>115</v>
      </c>
      <c r="C86" s="0" t="n">
        <v>2019</v>
      </c>
      <c r="D86" s="0" t="s">
        <v>58</v>
      </c>
      <c r="E86" s="0" t="n">
        <v>6</v>
      </c>
      <c r="F86" s="0" t="s">
        <v>2906</v>
      </c>
      <c r="G86" s="0" t="s">
        <v>2912</v>
      </c>
      <c r="H86" s="0" t="s">
        <v>2915</v>
      </c>
      <c r="I86" s="0" t="s">
        <v>2909</v>
      </c>
    </row>
    <row r="87" customFormat="false" ht="15" hidden="false" customHeight="false" outlineLevel="0" collapsed="false">
      <c r="A87" s="0" t="s">
        <v>2905</v>
      </c>
      <c r="B87" s="0" t="s">
        <v>115</v>
      </c>
      <c r="C87" s="0" t="n">
        <v>2019</v>
      </c>
      <c r="D87" s="0" t="s">
        <v>60</v>
      </c>
      <c r="E87" s="0" t="n">
        <v>6</v>
      </c>
      <c r="F87" s="0" t="s">
        <v>2906</v>
      </c>
      <c r="G87" s="0" t="s">
        <v>2912</v>
      </c>
      <c r="H87" s="0" t="s">
        <v>2915</v>
      </c>
      <c r="I87" s="0" t="s">
        <v>2909</v>
      </c>
    </row>
    <row r="88" customFormat="false" ht="15" hidden="false" customHeight="false" outlineLevel="0" collapsed="false">
      <c r="A88" s="0" t="s">
        <v>2905</v>
      </c>
      <c r="B88" s="0" t="s">
        <v>115</v>
      </c>
      <c r="C88" s="0" t="n">
        <v>2019</v>
      </c>
      <c r="D88" s="0" t="s">
        <v>62</v>
      </c>
      <c r="E88" s="0" t="n">
        <v>6</v>
      </c>
      <c r="F88" s="0" t="s">
        <v>2906</v>
      </c>
      <c r="G88" s="0" t="s">
        <v>2912</v>
      </c>
      <c r="H88" s="0" t="s">
        <v>2915</v>
      </c>
      <c r="I88" s="0" t="s">
        <v>2909</v>
      </c>
    </row>
    <row r="89" customFormat="false" ht="15" hidden="false" customHeight="false" outlineLevel="0" collapsed="false">
      <c r="A89" s="0" t="s">
        <v>2905</v>
      </c>
      <c r="B89" s="0" t="s">
        <v>115</v>
      </c>
      <c r="C89" s="0" t="n">
        <v>2019</v>
      </c>
      <c r="D89" s="0" t="s">
        <v>61</v>
      </c>
      <c r="E89" s="0" t="n">
        <v>6</v>
      </c>
      <c r="F89" s="0" t="s">
        <v>2906</v>
      </c>
      <c r="G89" s="0" t="s">
        <v>2912</v>
      </c>
      <c r="H89" s="0" t="s">
        <v>2915</v>
      </c>
      <c r="I89" s="0" t="s">
        <v>2909</v>
      </c>
    </row>
    <row r="90" customFormat="false" ht="15" hidden="false" customHeight="false" outlineLevel="0" collapsed="false">
      <c r="A90" s="0" t="s">
        <v>2905</v>
      </c>
      <c r="B90" s="0" t="s">
        <v>115</v>
      </c>
      <c r="C90" s="0" t="n">
        <v>2019</v>
      </c>
      <c r="D90" s="0" t="s">
        <v>307</v>
      </c>
      <c r="E90" s="0" t="n">
        <v>6</v>
      </c>
      <c r="F90" s="0" t="s">
        <v>2906</v>
      </c>
      <c r="G90" s="0" t="s">
        <v>2912</v>
      </c>
      <c r="H90" s="0" t="s">
        <v>2915</v>
      </c>
      <c r="I90" s="0" t="s">
        <v>2909</v>
      </c>
    </row>
    <row r="91" customFormat="false" ht="15" hidden="false" customHeight="false" outlineLevel="0" collapsed="false">
      <c r="A91" s="0" t="s">
        <v>2905</v>
      </c>
      <c r="B91" s="0" t="s">
        <v>115</v>
      </c>
      <c r="C91" s="0" t="n">
        <v>2019</v>
      </c>
      <c r="D91" s="0" t="s">
        <v>64</v>
      </c>
      <c r="E91" s="0" t="n">
        <v>6</v>
      </c>
      <c r="F91" s="0" t="s">
        <v>2906</v>
      </c>
      <c r="G91" s="0" t="s">
        <v>2912</v>
      </c>
      <c r="H91" s="0" t="s">
        <v>2915</v>
      </c>
      <c r="I91" s="0" t="s">
        <v>2909</v>
      </c>
    </row>
    <row r="92" customFormat="false" ht="15" hidden="false" customHeight="false" outlineLevel="0" collapsed="false">
      <c r="A92" s="0" t="s">
        <v>2905</v>
      </c>
      <c r="B92" s="0" t="s">
        <v>115</v>
      </c>
      <c r="C92" s="0" t="n">
        <v>2019</v>
      </c>
      <c r="D92" s="0" t="s">
        <v>69</v>
      </c>
      <c r="E92" s="0" t="n">
        <v>6</v>
      </c>
      <c r="F92" s="0" t="s">
        <v>2906</v>
      </c>
      <c r="G92" s="0" t="s">
        <v>2912</v>
      </c>
      <c r="H92" s="0" t="s">
        <v>2915</v>
      </c>
      <c r="I92" s="0" t="s">
        <v>2909</v>
      </c>
    </row>
    <row r="93" customFormat="false" ht="15" hidden="false" customHeight="false" outlineLevel="0" collapsed="false">
      <c r="A93" s="0" t="s">
        <v>2905</v>
      </c>
      <c r="B93" s="0" t="s">
        <v>115</v>
      </c>
      <c r="C93" s="0" t="n">
        <v>2019</v>
      </c>
      <c r="D93" s="0" t="s">
        <v>65</v>
      </c>
      <c r="E93" s="0" t="n">
        <v>6</v>
      </c>
      <c r="F93" s="0" t="s">
        <v>2906</v>
      </c>
      <c r="G93" s="0" t="s">
        <v>2912</v>
      </c>
      <c r="H93" s="0" t="s">
        <v>2915</v>
      </c>
      <c r="I93" s="0" t="s">
        <v>2909</v>
      </c>
    </row>
    <row r="94" customFormat="false" ht="15" hidden="false" customHeight="false" outlineLevel="0" collapsed="false">
      <c r="A94" s="0" t="s">
        <v>2905</v>
      </c>
      <c r="B94" s="0" t="s">
        <v>115</v>
      </c>
      <c r="C94" s="0" t="n">
        <v>2019</v>
      </c>
      <c r="D94" s="0" t="s">
        <v>66</v>
      </c>
      <c r="E94" s="0" t="n">
        <v>6</v>
      </c>
      <c r="F94" s="0" t="s">
        <v>2906</v>
      </c>
      <c r="G94" s="0" t="s">
        <v>2912</v>
      </c>
      <c r="H94" s="0" t="s">
        <v>2915</v>
      </c>
      <c r="I94" s="0" t="s">
        <v>2909</v>
      </c>
    </row>
    <row r="95" customFormat="false" ht="15" hidden="false" customHeight="false" outlineLevel="0" collapsed="false">
      <c r="A95" s="0" t="s">
        <v>2905</v>
      </c>
      <c r="B95" s="0" t="s">
        <v>115</v>
      </c>
      <c r="C95" s="0" t="n">
        <v>2019</v>
      </c>
      <c r="D95" s="0" t="s">
        <v>70</v>
      </c>
      <c r="E95" s="0" t="n">
        <v>6</v>
      </c>
      <c r="F95" s="0" t="s">
        <v>2906</v>
      </c>
      <c r="G95" s="0" t="s">
        <v>2912</v>
      </c>
      <c r="H95" s="0" t="s">
        <v>2915</v>
      </c>
      <c r="I95" s="0" t="s">
        <v>2909</v>
      </c>
    </row>
    <row r="96" customFormat="false" ht="15" hidden="false" customHeight="false" outlineLevel="0" collapsed="false">
      <c r="A96" s="0" t="s">
        <v>2905</v>
      </c>
      <c r="B96" s="0" t="s">
        <v>115</v>
      </c>
      <c r="C96" s="0" t="n">
        <v>2019</v>
      </c>
      <c r="D96" s="0" t="s">
        <v>71</v>
      </c>
      <c r="E96" s="0" t="n">
        <v>6</v>
      </c>
      <c r="F96" s="0" t="s">
        <v>2906</v>
      </c>
      <c r="G96" s="0" t="s">
        <v>2912</v>
      </c>
      <c r="H96" s="0" t="s">
        <v>2915</v>
      </c>
      <c r="I96" s="0" t="s">
        <v>2909</v>
      </c>
    </row>
    <row r="97" customFormat="false" ht="15" hidden="false" customHeight="false" outlineLevel="0" collapsed="false">
      <c r="A97" s="0" t="s">
        <v>2905</v>
      </c>
      <c r="B97" s="0" t="s">
        <v>115</v>
      </c>
      <c r="C97" s="0" t="n">
        <v>2019</v>
      </c>
      <c r="D97" s="0" t="s">
        <v>67</v>
      </c>
      <c r="E97" s="0" t="n">
        <v>6</v>
      </c>
      <c r="F97" s="0" t="s">
        <v>2906</v>
      </c>
      <c r="G97" s="0" t="s">
        <v>2912</v>
      </c>
      <c r="H97" s="0" t="s">
        <v>2915</v>
      </c>
      <c r="I97" s="0" t="s">
        <v>2916</v>
      </c>
    </row>
    <row r="98" customFormat="false" ht="15" hidden="false" customHeight="false" outlineLevel="0" collapsed="false">
      <c r="A98" s="0" t="s">
        <v>2905</v>
      </c>
      <c r="B98" s="0" t="s">
        <v>115</v>
      </c>
      <c r="C98" s="0" t="n">
        <v>2019</v>
      </c>
      <c r="D98" s="0" t="s">
        <v>68</v>
      </c>
      <c r="E98" s="0" t="n">
        <v>6</v>
      </c>
      <c r="F98" s="0" t="s">
        <v>2906</v>
      </c>
      <c r="G98" s="0" t="s">
        <v>2912</v>
      </c>
      <c r="H98" s="0" t="s">
        <v>2915</v>
      </c>
      <c r="I98" s="0" t="s">
        <v>2916</v>
      </c>
    </row>
    <row r="99" customFormat="false" ht="15" hidden="false" customHeight="false" outlineLevel="0" collapsed="false">
      <c r="A99" s="0" t="s">
        <v>2905</v>
      </c>
      <c r="B99" s="0" t="s">
        <v>125</v>
      </c>
      <c r="C99" s="0" t="n">
        <v>2013</v>
      </c>
      <c r="D99" s="0" t="s">
        <v>59</v>
      </c>
      <c r="E99" s="0" t="n">
        <v>6</v>
      </c>
      <c r="F99" s="0" t="s">
        <v>2906</v>
      </c>
      <c r="G99" s="0" t="s">
        <v>2912</v>
      </c>
      <c r="H99" s="0" t="s">
        <v>2917</v>
      </c>
      <c r="I99" s="0" t="s">
        <v>2910</v>
      </c>
    </row>
    <row r="100" customFormat="false" ht="15" hidden="false" customHeight="false" outlineLevel="0" collapsed="false">
      <c r="A100" s="0" t="s">
        <v>2905</v>
      </c>
      <c r="B100" s="0" t="s">
        <v>125</v>
      </c>
      <c r="C100" s="0" t="n">
        <v>2013</v>
      </c>
      <c r="D100" s="0" t="s">
        <v>62</v>
      </c>
      <c r="E100" s="0" t="n">
        <v>6</v>
      </c>
      <c r="F100" s="0" t="s">
        <v>2906</v>
      </c>
      <c r="G100" s="0" t="s">
        <v>2912</v>
      </c>
      <c r="H100" s="0" t="s">
        <v>2917</v>
      </c>
      <c r="I100" s="0" t="s">
        <v>2909</v>
      </c>
    </row>
    <row r="101" customFormat="false" ht="15" hidden="false" customHeight="false" outlineLevel="0" collapsed="false">
      <c r="A101" s="0" t="s">
        <v>2905</v>
      </c>
      <c r="B101" s="0" t="s">
        <v>125</v>
      </c>
      <c r="C101" s="0" t="n">
        <v>2013</v>
      </c>
      <c r="D101" s="0" t="s">
        <v>307</v>
      </c>
      <c r="E101" s="0" t="n">
        <v>6</v>
      </c>
      <c r="F101" s="0" t="s">
        <v>2906</v>
      </c>
      <c r="G101" s="0" t="s">
        <v>2912</v>
      </c>
      <c r="H101" s="0" t="s">
        <v>2917</v>
      </c>
      <c r="I101" s="0" t="s">
        <v>2909</v>
      </c>
    </row>
    <row r="102" customFormat="false" ht="15" hidden="false" customHeight="false" outlineLevel="0" collapsed="false">
      <c r="A102" s="0" t="s">
        <v>2905</v>
      </c>
      <c r="B102" s="0" t="s">
        <v>125</v>
      </c>
      <c r="C102" s="0" t="n">
        <v>2013</v>
      </c>
      <c r="D102" s="0" t="s">
        <v>64</v>
      </c>
      <c r="E102" s="0" t="n">
        <v>6</v>
      </c>
      <c r="F102" s="0" t="s">
        <v>2906</v>
      </c>
      <c r="G102" s="0" t="s">
        <v>2912</v>
      </c>
      <c r="H102" s="0" t="s">
        <v>2917</v>
      </c>
      <c r="I102" s="0" t="s">
        <v>2909</v>
      </c>
    </row>
    <row r="103" customFormat="false" ht="15" hidden="false" customHeight="false" outlineLevel="0" collapsed="false">
      <c r="A103" s="0" t="s">
        <v>2905</v>
      </c>
      <c r="B103" s="0" t="s">
        <v>125</v>
      </c>
      <c r="C103" s="0" t="n">
        <v>2013</v>
      </c>
      <c r="D103" s="0" t="s">
        <v>65</v>
      </c>
      <c r="E103" s="0" t="n">
        <v>6</v>
      </c>
      <c r="F103" s="0" t="s">
        <v>2906</v>
      </c>
      <c r="G103" s="0" t="s">
        <v>2912</v>
      </c>
      <c r="H103" s="0" t="s">
        <v>2917</v>
      </c>
      <c r="I103" s="0" t="s">
        <v>2909</v>
      </c>
    </row>
    <row r="104" customFormat="false" ht="15" hidden="false" customHeight="false" outlineLevel="0" collapsed="false">
      <c r="A104" s="0" t="s">
        <v>2905</v>
      </c>
      <c r="B104" s="0" t="s">
        <v>125</v>
      </c>
      <c r="C104" s="0" t="n">
        <v>2013</v>
      </c>
      <c r="D104" s="0" t="s">
        <v>66</v>
      </c>
      <c r="E104" s="0" t="n">
        <v>6</v>
      </c>
      <c r="F104" s="0" t="s">
        <v>2906</v>
      </c>
      <c r="G104" s="0" t="s">
        <v>2912</v>
      </c>
      <c r="H104" s="0" t="s">
        <v>2917</v>
      </c>
      <c r="I104" s="0" t="s">
        <v>2909</v>
      </c>
    </row>
    <row r="105" customFormat="false" ht="15" hidden="false" customHeight="false" outlineLevel="0" collapsed="false">
      <c r="A105" s="0" t="s">
        <v>2905</v>
      </c>
      <c r="B105" s="0" t="s">
        <v>125</v>
      </c>
      <c r="C105" s="0" t="n">
        <v>2013</v>
      </c>
      <c r="D105" s="0" t="s">
        <v>70</v>
      </c>
      <c r="E105" s="0" t="n">
        <v>6</v>
      </c>
      <c r="F105" s="0" t="s">
        <v>2906</v>
      </c>
      <c r="G105" s="0" t="s">
        <v>2912</v>
      </c>
      <c r="H105" s="0" t="s">
        <v>2917</v>
      </c>
      <c r="I105" s="0" t="s">
        <v>2909</v>
      </c>
    </row>
    <row r="106" customFormat="false" ht="15" hidden="false" customHeight="false" outlineLevel="0" collapsed="false">
      <c r="A106" s="0" t="s">
        <v>2905</v>
      </c>
      <c r="B106" s="0" t="s">
        <v>125</v>
      </c>
      <c r="C106" s="0" t="n">
        <v>2013</v>
      </c>
      <c r="D106" s="0" t="s">
        <v>71</v>
      </c>
      <c r="E106" s="0" t="n">
        <v>6</v>
      </c>
      <c r="F106" s="0" t="s">
        <v>2906</v>
      </c>
      <c r="G106" s="0" t="s">
        <v>2912</v>
      </c>
      <c r="H106" s="0" t="s">
        <v>2917</v>
      </c>
      <c r="I106" s="0" t="s">
        <v>2909</v>
      </c>
    </row>
    <row r="107" customFormat="false" ht="15" hidden="false" customHeight="false" outlineLevel="0" collapsed="false">
      <c r="A107" s="0" t="s">
        <v>2905</v>
      </c>
      <c r="B107" s="0" t="s">
        <v>125</v>
      </c>
      <c r="C107" s="0" t="n">
        <v>2013</v>
      </c>
      <c r="D107" s="0" t="s">
        <v>73</v>
      </c>
      <c r="E107" s="0" t="n">
        <v>6</v>
      </c>
      <c r="F107" s="0" t="s">
        <v>2906</v>
      </c>
      <c r="G107" s="0" t="s">
        <v>2912</v>
      </c>
      <c r="H107" s="0" t="s">
        <v>2917</v>
      </c>
      <c r="I107" s="0" t="s">
        <v>2911</v>
      </c>
    </row>
    <row r="108" customFormat="false" ht="15" hidden="false" customHeight="false" outlineLevel="0" collapsed="false">
      <c r="A108" s="0" t="s">
        <v>2905</v>
      </c>
      <c r="B108" s="0" t="s">
        <v>125</v>
      </c>
      <c r="C108" s="0" t="n">
        <v>2014</v>
      </c>
      <c r="D108" s="0" t="s">
        <v>62</v>
      </c>
      <c r="E108" s="0" t="n">
        <v>6</v>
      </c>
      <c r="F108" s="0" t="s">
        <v>2906</v>
      </c>
      <c r="G108" s="0" t="s">
        <v>2912</v>
      </c>
      <c r="H108" s="0" t="s">
        <v>2917</v>
      </c>
      <c r="I108" s="0" t="s">
        <v>2909</v>
      </c>
    </row>
    <row r="109" customFormat="false" ht="15" hidden="false" customHeight="false" outlineLevel="0" collapsed="false">
      <c r="A109" s="0" t="s">
        <v>2905</v>
      </c>
      <c r="B109" s="0" t="s">
        <v>125</v>
      </c>
      <c r="C109" s="0" t="n">
        <v>2014</v>
      </c>
      <c r="D109" s="0" t="s">
        <v>307</v>
      </c>
      <c r="E109" s="0" t="n">
        <v>6</v>
      </c>
      <c r="F109" s="0" t="s">
        <v>2906</v>
      </c>
      <c r="G109" s="0" t="s">
        <v>2912</v>
      </c>
      <c r="H109" s="0" t="s">
        <v>2917</v>
      </c>
      <c r="I109" s="0" t="s">
        <v>2909</v>
      </c>
    </row>
    <row r="110" customFormat="false" ht="15" hidden="false" customHeight="false" outlineLevel="0" collapsed="false">
      <c r="A110" s="0" t="s">
        <v>2905</v>
      </c>
      <c r="B110" s="0" t="s">
        <v>125</v>
      </c>
      <c r="C110" s="0" t="n">
        <v>2014</v>
      </c>
      <c r="D110" s="0" t="s">
        <v>64</v>
      </c>
      <c r="E110" s="0" t="n">
        <v>6</v>
      </c>
      <c r="F110" s="0" t="s">
        <v>2906</v>
      </c>
      <c r="G110" s="0" t="s">
        <v>2912</v>
      </c>
      <c r="H110" s="0" t="s">
        <v>2917</v>
      </c>
      <c r="I110" s="0" t="s">
        <v>2909</v>
      </c>
    </row>
    <row r="111" customFormat="false" ht="15" hidden="false" customHeight="false" outlineLevel="0" collapsed="false">
      <c r="A111" s="0" t="s">
        <v>2905</v>
      </c>
      <c r="B111" s="0" t="s">
        <v>125</v>
      </c>
      <c r="C111" s="0" t="n">
        <v>2014</v>
      </c>
      <c r="D111" s="0" t="s">
        <v>65</v>
      </c>
      <c r="E111" s="0" t="n">
        <v>6</v>
      </c>
      <c r="F111" s="0" t="s">
        <v>2906</v>
      </c>
      <c r="G111" s="0" t="s">
        <v>2912</v>
      </c>
      <c r="H111" s="0" t="s">
        <v>2917</v>
      </c>
      <c r="I111" s="0" t="s">
        <v>2909</v>
      </c>
    </row>
    <row r="112" customFormat="false" ht="15" hidden="false" customHeight="false" outlineLevel="0" collapsed="false">
      <c r="A112" s="0" t="s">
        <v>2905</v>
      </c>
      <c r="B112" s="0" t="s">
        <v>125</v>
      </c>
      <c r="C112" s="0" t="n">
        <v>2014</v>
      </c>
      <c r="D112" s="0" t="s">
        <v>66</v>
      </c>
      <c r="E112" s="0" t="n">
        <v>6</v>
      </c>
      <c r="F112" s="0" t="s">
        <v>2906</v>
      </c>
      <c r="G112" s="0" t="s">
        <v>2912</v>
      </c>
      <c r="H112" s="0" t="s">
        <v>2917</v>
      </c>
      <c r="I112" s="0" t="s">
        <v>2909</v>
      </c>
    </row>
    <row r="113" customFormat="false" ht="15" hidden="false" customHeight="false" outlineLevel="0" collapsed="false">
      <c r="A113" s="0" t="s">
        <v>2905</v>
      </c>
      <c r="B113" s="0" t="s">
        <v>125</v>
      </c>
      <c r="C113" s="0" t="n">
        <v>2014</v>
      </c>
      <c r="D113" s="0" t="s">
        <v>70</v>
      </c>
      <c r="E113" s="0" t="n">
        <v>6</v>
      </c>
      <c r="F113" s="0" t="s">
        <v>2906</v>
      </c>
      <c r="G113" s="0" t="s">
        <v>2912</v>
      </c>
      <c r="H113" s="0" t="s">
        <v>2917</v>
      </c>
      <c r="I113" s="0" t="s">
        <v>2909</v>
      </c>
    </row>
    <row r="114" customFormat="false" ht="15" hidden="false" customHeight="false" outlineLevel="0" collapsed="false">
      <c r="A114" s="0" t="s">
        <v>2905</v>
      </c>
      <c r="B114" s="0" t="s">
        <v>125</v>
      </c>
      <c r="C114" s="0" t="n">
        <v>2014</v>
      </c>
      <c r="D114" s="0" t="s">
        <v>71</v>
      </c>
      <c r="E114" s="0" t="n">
        <v>6</v>
      </c>
      <c r="F114" s="0" t="s">
        <v>2906</v>
      </c>
      <c r="G114" s="0" t="s">
        <v>2912</v>
      </c>
      <c r="H114" s="0" t="s">
        <v>2917</v>
      </c>
      <c r="I114" s="0" t="s">
        <v>2909</v>
      </c>
    </row>
    <row r="115" customFormat="false" ht="15" hidden="false" customHeight="false" outlineLevel="0" collapsed="false">
      <c r="A115" s="0" t="s">
        <v>2905</v>
      </c>
      <c r="B115" s="0" t="s">
        <v>125</v>
      </c>
      <c r="C115" s="0" t="n">
        <v>2014</v>
      </c>
      <c r="D115" s="0" t="s">
        <v>73</v>
      </c>
      <c r="E115" s="0" t="n">
        <v>6</v>
      </c>
      <c r="F115" s="0" t="s">
        <v>2906</v>
      </c>
      <c r="G115" s="0" t="s">
        <v>2912</v>
      </c>
      <c r="H115" s="0" t="s">
        <v>2917</v>
      </c>
      <c r="I115" s="0" t="s">
        <v>2911</v>
      </c>
    </row>
    <row r="116" customFormat="false" ht="15" hidden="false" customHeight="false" outlineLevel="0" collapsed="false">
      <c r="A116" s="0" t="s">
        <v>2905</v>
      </c>
      <c r="B116" s="0" t="s">
        <v>136</v>
      </c>
      <c r="C116" s="0" t="n">
        <v>2013</v>
      </c>
      <c r="D116" s="0" t="s">
        <v>58</v>
      </c>
      <c r="E116" s="0" t="n">
        <v>6</v>
      </c>
      <c r="F116" s="0" t="s">
        <v>2906</v>
      </c>
      <c r="G116" s="0" t="s">
        <v>2912</v>
      </c>
      <c r="H116" s="0" t="s">
        <v>2918</v>
      </c>
      <c r="I116" s="0" t="s">
        <v>2909</v>
      </c>
    </row>
    <row r="117" customFormat="false" ht="15" hidden="false" customHeight="false" outlineLevel="0" collapsed="false">
      <c r="A117" s="0" t="s">
        <v>2905</v>
      </c>
      <c r="B117" s="0" t="s">
        <v>136</v>
      </c>
      <c r="C117" s="0" t="n">
        <v>2013</v>
      </c>
      <c r="D117" s="0" t="s">
        <v>59</v>
      </c>
      <c r="E117" s="0" t="n">
        <v>6</v>
      </c>
      <c r="F117" s="0" t="s">
        <v>2906</v>
      </c>
      <c r="G117" s="0" t="s">
        <v>2912</v>
      </c>
      <c r="H117" s="0" t="s">
        <v>2918</v>
      </c>
      <c r="I117" s="0" t="s">
        <v>2910</v>
      </c>
    </row>
    <row r="118" customFormat="false" ht="15" hidden="false" customHeight="false" outlineLevel="0" collapsed="false">
      <c r="A118" s="0" t="s">
        <v>2905</v>
      </c>
      <c r="B118" s="0" t="s">
        <v>136</v>
      </c>
      <c r="C118" s="0" t="n">
        <v>2013</v>
      </c>
      <c r="D118" s="0" t="s">
        <v>60</v>
      </c>
      <c r="E118" s="0" t="n">
        <v>6</v>
      </c>
      <c r="F118" s="0" t="s">
        <v>2906</v>
      </c>
      <c r="G118" s="0" t="s">
        <v>2912</v>
      </c>
      <c r="H118" s="0" t="s">
        <v>2918</v>
      </c>
      <c r="I118" s="0" t="s">
        <v>2909</v>
      </c>
    </row>
    <row r="119" customFormat="false" ht="15" hidden="false" customHeight="false" outlineLevel="0" collapsed="false">
      <c r="A119" s="0" t="s">
        <v>2905</v>
      </c>
      <c r="B119" s="0" t="s">
        <v>136</v>
      </c>
      <c r="C119" s="0" t="n">
        <v>2013</v>
      </c>
      <c r="D119" s="0" t="s">
        <v>62</v>
      </c>
      <c r="E119" s="0" t="n">
        <v>6</v>
      </c>
      <c r="F119" s="0" t="s">
        <v>2906</v>
      </c>
      <c r="G119" s="0" t="s">
        <v>2912</v>
      </c>
      <c r="H119" s="0" t="s">
        <v>2918</v>
      </c>
      <c r="I119" s="0" t="s">
        <v>2909</v>
      </c>
    </row>
    <row r="120" customFormat="false" ht="15" hidden="false" customHeight="false" outlineLevel="0" collapsed="false">
      <c r="A120" s="0" t="s">
        <v>2905</v>
      </c>
      <c r="B120" s="0" t="s">
        <v>136</v>
      </c>
      <c r="C120" s="0" t="n">
        <v>2013</v>
      </c>
      <c r="D120" s="0" t="s">
        <v>61</v>
      </c>
      <c r="E120" s="0" t="n">
        <v>6</v>
      </c>
      <c r="F120" s="0" t="s">
        <v>2906</v>
      </c>
      <c r="G120" s="0" t="s">
        <v>2912</v>
      </c>
      <c r="H120" s="0" t="s">
        <v>2918</v>
      </c>
      <c r="I120" s="0" t="s">
        <v>2909</v>
      </c>
    </row>
    <row r="121" customFormat="false" ht="15" hidden="false" customHeight="false" outlineLevel="0" collapsed="false">
      <c r="A121" s="0" t="s">
        <v>2905</v>
      </c>
      <c r="B121" s="0" t="s">
        <v>136</v>
      </c>
      <c r="C121" s="0" t="n">
        <v>2013</v>
      </c>
      <c r="D121" s="0" t="s">
        <v>63</v>
      </c>
      <c r="E121" s="0" t="n">
        <v>6</v>
      </c>
      <c r="F121" s="0" t="s">
        <v>2906</v>
      </c>
      <c r="G121" s="0" t="s">
        <v>2912</v>
      </c>
      <c r="H121" s="0" t="s">
        <v>2918</v>
      </c>
      <c r="I121" s="0" t="s">
        <v>2909</v>
      </c>
    </row>
    <row r="122" customFormat="false" ht="15" hidden="false" customHeight="false" outlineLevel="0" collapsed="false">
      <c r="A122" s="0" t="s">
        <v>2905</v>
      </c>
      <c r="B122" s="0" t="s">
        <v>136</v>
      </c>
      <c r="C122" s="0" t="n">
        <v>2013</v>
      </c>
      <c r="D122" s="0" t="s">
        <v>69</v>
      </c>
      <c r="E122" s="0" t="n">
        <v>6</v>
      </c>
      <c r="F122" s="0" t="s">
        <v>2906</v>
      </c>
      <c r="G122" s="0" t="s">
        <v>2912</v>
      </c>
      <c r="H122" s="0" t="s">
        <v>2918</v>
      </c>
      <c r="I122" s="0" t="s">
        <v>2909</v>
      </c>
    </row>
    <row r="123" customFormat="false" ht="15" hidden="false" customHeight="false" outlineLevel="0" collapsed="false">
      <c r="A123" s="0" t="s">
        <v>2905</v>
      </c>
      <c r="B123" s="0" t="s">
        <v>136</v>
      </c>
      <c r="C123" s="0" t="n">
        <v>2013</v>
      </c>
      <c r="D123" s="0" t="s">
        <v>65</v>
      </c>
      <c r="E123" s="0" t="n">
        <v>6</v>
      </c>
      <c r="F123" s="0" t="s">
        <v>2906</v>
      </c>
      <c r="G123" s="0" t="s">
        <v>2912</v>
      </c>
      <c r="H123" s="0" t="s">
        <v>2918</v>
      </c>
      <c r="I123" s="0" t="s">
        <v>2909</v>
      </c>
    </row>
    <row r="124" customFormat="false" ht="15" hidden="false" customHeight="false" outlineLevel="0" collapsed="false">
      <c r="A124" s="0" t="s">
        <v>2905</v>
      </c>
      <c r="B124" s="0" t="s">
        <v>136</v>
      </c>
      <c r="C124" s="0" t="n">
        <v>2013</v>
      </c>
      <c r="D124" s="0" t="s">
        <v>66</v>
      </c>
      <c r="E124" s="0" t="n">
        <v>6</v>
      </c>
      <c r="F124" s="0" t="s">
        <v>2906</v>
      </c>
      <c r="G124" s="0" t="s">
        <v>2912</v>
      </c>
      <c r="H124" s="0" t="s">
        <v>2918</v>
      </c>
      <c r="I124" s="0" t="s">
        <v>2909</v>
      </c>
    </row>
    <row r="125" customFormat="false" ht="15" hidden="false" customHeight="false" outlineLevel="0" collapsed="false">
      <c r="A125" s="0" t="s">
        <v>2905</v>
      </c>
      <c r="B125" s="0" t="s">
        <v>136</v>
      </c>
      <c r="C125" s="0" t="n">
        <v>2013</v>
      </c>
      <c r="D125" s="0" t="s">
        <v>70</v>
      </c>
      <c r="E125" s="0" t="n">
        <v>6</v>
      </c>
      <c r="F125" s="0" t="s">
        <v>2906</v>
      </c>
      <c r="G125" s="0" t="s">
        <v>2912</v>
      </c>
      <c r="H125" s="0" t="s">
        <v>2918</v>
      </c>
      <c r="I125" s="0" t="s">
        <v>2909</v>
      </c>
    </row>
    <row r="126" customFormat="false" ht="15" hidden="false" customHeight="false" outlineLevel="0" collapsed="false">
      <c r="A126" s="0" t="s">
        <v>2905</v>
      </c>
      <c r="B126" s="0" t="s">
        <v>136</v>
      </c>
      <c r="C126" s="0" t="n">
        <v>2013</v>
      </c>
      <c r="D126" s="0" t="s">
        <v>71</v>
      </c>
      <c r="E126" s="0" t="n">
        <v>6</v>
      </c>
      <c r="F126" s="0" t="s">
        <v>2906</v>
      </c>
      <c r="G126" s="0" t="s">
        <v>2912</v>
      </c>
      <c r="H126" s="0" t="s">
        <v>2918</v>
      </c>
      <c r="I126" s="0" t="s">
        <v>2909</v>
      </c>
    </row>
    <row r="127" customFormat="false" ht="15" hidden="false" customHeight="false" outlineLevel="0" collapsed="false">
      <c r="A127" s="0" t="s">
        <v>2905</v>
      </c>
      <c r="B127" s="0" t="s">
        <v>136</v>
      </c>
      <c r="C127" s="0" t="n">
        <v>2013</v>
      </c>
      <c r="D127" s="0" t="s">
        <v>73</v>
      </c>
      <c r="E127" s="0" t="n">
        <v>6</v>
      </c>
      <c r="F127" s="0" t="s">
        <v>2906</v>
      </c>
      <c r="G127" s="0" t="s">
        <v>2912</v>
      </c>
      <c r="H127" s="0" t="s">
        <v>2918</v>
      </c>
      <c r="I127" s="0" t="s">
        <v>2911</v>
      </c>
    </row>
    <row r="128" customFormat="false" ht="15" hidden="false" customHeight="false" outlineLevel="0" collapsed="false">
      <c r="A128" s="0" t="s">
        <v>2905</v>
      </c>
      <c r="B128" s="0" t="s">
        <v>136</v>
      </c>
      <c r="C128" s="0" t="n">
        <v>2014</v>
      </c>
      <c r="D128" s="0" t="s">
        <v>58</v>
      </c>
      <c r="E128" s="0" t="n">
        <v>6</v>
      </c>
      <c r="F128" s="0" t="s">
        <v>2906</v>
      </c>
      <c r="G128" s="0" t="s">
        <v>2912</v>
      </c>
      <c r="H128" s="0" t="s">
        <v>2918</v>
      </c>
      <c r="I128" s="0" t="s">
        <v>2909</v>
      </c>
    </row>
    <row r="129" customFormat="false" ht="15" hidden="false" customHeight="false" outlineLevel="0" collapsed="false">
      <c r="A129" s="0" t="s">
        <v>2905</v>
      </c>
      <c r="B129" s="0" t="s">
        <v>136</v>
      </c>
      <c r="C129" s="0" t="n">
        <v>2014</v>
      </c>
      <c r="D129" s="0" t="s">
        <v>60</v>
      </c>
      <c r="E129" s="0" t="n">
        <v>6</v>
      </c>
      <c r="F129" s="0" t="s">
        <v>2906</v>
      </c>
      <c r="G129" s="0" t="s">
        <v>2912</v>
      </c>
      <c r="H129" s="0" t="s">
        <v>2918</v>
      </c>
      <c r="I129" s="0" t="s">
        <v>2909</v>
      </c>
    </row>
    <row r="130" customFormat="false" ht="15" hidden="false" customHeight="false" outlineLevel="0" collapsed="false">
      <c r="A130" s="0" t="s">
        <v>2905</v>
      </c>
      <c r="B130" s="0" t="s">
        <v>136</v>
      </c>
      <c r="C130" s="0" t="n">
        <v>2014</v>
      </c>
      <c r="D130" s="0" t="s">
        <v>62</v>
      </c>
      <c r="E130" s="0" t="n">
        <v>6</v>
      </c>
      <c r="F130" s="0" t="s">
        <v>2906</v>
      </c>
      <c r="G130" s="0" t="s">
        <v>2912</v>
      </c>
      <c r="H130" s="0" t="s">
        <v>2918</v>
      </c>
      <c r="I130" s="0" t="s">
        <v>2909</v>
      </c>
    </row>
    <row r="131" customFormat="false" ht="15" hidden="false" customHeight="false" outlineLevel="0" collapsed="false">
      <c r="A131" s="0" t="s">
        <v>2905</v>
      </c>
      <c r="B131" s="0" t="s">
        <v>136</v>
      </c>
      <c r="C131" s="0" t="n">
        <v>2014</v>
      </c>
      <c r="D131" s="0" t="s">
        <v>61</v>
      </c>
      <c r="E131" s="0" t="n">
        <v>6</v>
      </c>
      <c r="F131" s="0" t="s">
        <v>2906</v>
      </c>
      <c r="G131" s="0" t="s">
        <v>2912</v>
      </c>
      <c r="H131" s="0" t="s">
        <v>2918</v>
      </c>
      <c r="I131" s="0" t="s">
        <v>2909</v>
      </c>
    </row>
    <row r="132" customFormat="false" ht="15" hidden="false" customHeight="false" outlineLevel="0" collapsed="false">
      <c r="A132" s="0" t="s">
        <v>2905</v>
      </c>
      <c r="B132" s="0" t="s">
        <v>136</v>
      </c>
      <c r="C132" s="0" t="n">
        <v>2014</v>
      </c>
      <c r="D132" s="0" t="s">
        <v>63</v>
      </c>
      <c r="E132" s="0" t="n">
        <v>6</v>
      </c>
      <c r="F132" s="0" t="s">
        <v>2906</v>
      </c>
      <c r="G132" s="0" t="s">
        <v>2912</v>
      </c>
      <c r="H132" s="0" t="s">
        <v>2918</v>
      </c>
      <c r="I132" s="0" t="s">
        <v>2909</v>
      </c>
    </row>
    <row r="133" customFormat="false" ht="15" hidden="false" customHeight="false" outlineLevel="0" collapsed="false">
      <c r="A133" s="0" t="s">
        <v>2905</v>
      </c>
      <c r="B133" s="0" t="s">
        <v>136</v>
      </c>
      <c r="C133" s="0" t="n">
        <v>2014</v>
      </c>
      <c r="D133" s="0" t="s">
        <v>69</v>
      </c>
      <c r="E133" s="0" t="n">
        <v>6</v>
      </c>
      <c r="F133" s="0" t="s">
        <v>2906</v>
      </c>
      <c r="G133" s="0" t="s">
        <v>2912</v>
      </c>
      <c r="H133" s="0" t="s">
        <v>2918</v>
      </c>
      <c r="I133" s="0" t="s">
        <v>2909</v>
      </c>
    </row>
    <row r="134" customFormat="false" ht="15" hidden="false" customHeight="false" outlineLevel="0" collapsed="false">
      <c r="A134" s="0" t="s">
        <v>2905</v>
      </c>
      <c r="B134" s="0" t="s">
        <v>136</v>
      </c>
      <c r="C134" s="0" t="n">
        <v>2014</v>
      </c>
      <c r="D134" s="0" t="s">
        <v>65</v>
      </c>
      <c r="E134" s="0" t="n">
        <v>6</v>
      </c>
      <c r="F134" s="0" t="s">
        <v>2906</v>
      </c>
      <c r="G134" s="0" t="s">
        <v>2912</v>
      </c>
      <c r="H134" s="0" t="s">
        <v>2918</v>
      </c>
      <c r="I134" s="0" t="s">
        <v>2909</v>
      </c>
    </row>
    <row r="135" customFormat="false" ht="15" hidden="false" customHeight="false" outlineLevel="0" collapsed="false">
      <c r="A135" s="0" t="s">
        <v>2905</v>
      </c>
      <c r="B135" s="0" t="s">
        <v>136</v>
      </c>
      <c r="C135" s="0" t="n">
        <v>2014</v>
      </c>
      <c r="D135" s="0" t="s">
        <v>66</v>
      </c>
      <c r="E135" s="0" t="n">
        <v>6</v>
      </c>
      <c r="F135" s="0" t="s">
        <v>2906</v>
      </c>
      <c r="G135" s="0" t="s">
        <v>2912</v>
      </c>
      <c r="H135" s="0" t="s">
        <v>2918</v>
      </c>
      <c r="I135" s="0" t="s">
        <v>2909</v>
      </c>
    </row>
    <row r="136" customFormat="false" ht="15" hidden="false" customHeight="false" outlineLevel="0" collapsed="false">
      <c r="A136" s="0" t="s">
        <v>2905</v>
      </c>
      <c r="B136" s="0" t="s">
        <v>136</v>
      </c>
      <c r="C136" s="0" t="n">
        <v>2014</v>
      </c>
      <c r="D136" s="0" t="s">
        <v>70</v>
      </c>
      <c r="E136" s="0" t="n">
        <v>6</v>
      </c>
      <c r="F136" s="0" t="s">
        <v>2906</v>
      </c>
      <c r="G136" s="0" t="s">
        <v>2912</v>
      </c>
      <c r="H136" s="0" t="s">
        <v>2918</v>
      </c>
      <c r="I136" s="0" t="s">
        <v>2909</v>
      </c>
    </row>
    <row r="137" customFormat="false" ht="15" hidden="false" customHeight="false" outlineLevel="0" collapsed="false">
      <c r="A137" s="0" t="s">
        <v>2905</v>
      </c>
      <c r="B137" s="0" t="s">
        <v>136</v>
      </c>
      <c r="C137" s="0" t="n">
        <v>2014</v>
      </c>
      <c r="D137" s="0" t="s">
        <v>71</v>
      </c>
      <c r="E137" s="0" t="n">
        <v>6</v>
      </c>
      <c r="F137" s="0" t="s">
        <v>2906</v>
      </c>
      <c r="G137" s="0" t="s">
        <v>2912</v>
      </c>
      <c r="H137" s="0" t="s">
        <v>2918</v>
      </c>
      <c r="I137" s="0" t="s">
        <v>2909</v>
      </c>
    </row>
    <row r="138" customFormat="false" ht="15" hidden="false" customHeight="false" outlineLevel="0" collapsed="false">
      <c r="A138" s="0" t="s">
        <v>2905</v>
      </c>
      <c r="B138" s="0" t="s">
        <v>136</v>
      </c>
      <c r="C138" s="0" t="n">
        <v>2014</v>
      </c>
      <c r="D138" s="0" t="s">
        <v>73</v>
      </c>
      <c r="E138" s="0" t="n">
        <v>6</v>
      </c>
      <c r="F138" s="0" t="s">
        <v>2906</v>
      </c>
      <c r="G138" s="0" t="s">
        <v>2912</v>
      </c>
      <c r="H138" s="0" t="s">
        <v>2918</v>
      </c>
      <c r="I138" s="0" t="s">
        <v>2911</v>
      </c>
    </row>
    <row r="139" customFormat="false" ht="15" hidden="false" customHeight="false" outlineLevel="0" collapsed="false">
      <c r="A139" s="0" t="s">
        <v>2905</v>
      </c>
      <c r="B139" s="0" t="s">
        <v>169</v>
      </c>
      <c r="C139" s="0" t="n">
        <v>2013</v>
      </c>
      <c r="D139" s="0" t="s">
        <v>59</v>
      </c>
      <c r="E139" s="0" t="n">
        <v>6</v>
      </c>
      <c r="F139" s="0" t="s">
        <v>2906</v>
      </c>
      <c r="G139" s="0" t="s">
        <v>2912</v>
      </c>
      <c r="H139" s="0" t="s">
        <v>2919</v>
      </c>
      <c r="I139" s="0" t="s">
        <v>2910</v>
      </c>
    </row>
    <row r="140" customFormat="false" ht="15" hidden="false" customHeight="false" outlineLevel="0" collapsed="false">
      <c r="A140" s="0" t="s">
        <v>2905</v>
      </c>
      <c r="B140" s="0" t="s">
        <v>169</v>
      </c>
      <c r="C140" s="0" t="n">
        <v>2013</v>
      </c>
      <c r="D140" s="0" t="s">
        <v>62</v>
      </c>
      <c r="E140" s="0" t="n">
        <v>6</v>
      </c>
      <c r="F140" s="0" t="s">
        <v>2906</v>
      </c>
      <c r="G140" s="0" t="s">
        <v>2912</v>
      </c>
      <c r="H140" s="0" t="s">
        <v>2919</v>
      </c>
      <c r="I140" s="0" t="s">
        <v>2909</v>
      </c>
    </row>
    <row r="141" customFormat="false" ht="15" hidden="false" customHeight="false" outlineLevel="0" collapsed="false">
      <c r="A141" s="0" t="s">
        <v>2905</v>
      </c>
      <c r="B141" s="0" t="s">
        <v>169</v>
      </c>
      <c r="C141" s="0" t="n">
        <v>2013</v>
      </c>
      <c r="D141" s="0" t="s">
        <v>307</v>
      </c>
      <c r="E141" s="0" t="n">
        <v>6</v>
      </c>
      <c r="F141" s="0" t="s">
        <v>2906</v>
      </c>
      <c r="G141" s="0" t="s">
        <v>2912</v>
      </c>
      <c r="H141" s="0" t="s">
        <v>2919</v>
      </c>
      <c r="I141" s="0" t="s">
        <v>2909</v>
      </c>
    </row>
    <row r="142" customFormat="false" ht="15" hidden="false" customHeight="false" outlineLevel="0" collapsed="false">
      <c r="A142" s="0" t="s">
        <v>2905</v>
      </c>
      <c r="B142" s="0" t="s">
        <v>169</v>
      </c>
      <c r="C142" s="0" t="n">
        <v>2013</v>
      </c>
      <c r="D142" s="0" t="s">
        <v>64</v>
      </c>
      <c r="E142" s="0" t="n">
        <v>6</v>
      </c>
      <c r="F142" s="0" t="s">
        <v>2906</v>
      </c>
      <c r="G142" s="0" t="s">
        <v>2912</v>
      </c>
      <c r="H142" s="0" t="s">
        <v>2919</v>
      </c>
      <c r="I142" s="0" t="s">
        <v>2909</v>
      </c>
    </row>
    <row r="143" customFormat="false" ht="15" hidden="false" customHeight="false" outlineLevel="0" collapsed="false">
      <c r="A143" s="0" t="s">
        <v>2905</v>
      </c>
      <c r="B143" s="0" t="s">
        <v>169</v>
      </c>
      <c r="C143" s="0" t="n">
        <v>2013</v>
      </c>
      <c r="D143" s="0" t="s">
        <v>65</v>
      </c>
      <c r="E143" s="0" t="n">
        <v>6</v>
      </c>
      <c r="F143" s="0" t="s">
        <v>2906</v>
      </c>
      <c r="G143" s="0" t="s">
        <v>2912</v>
      </c>
      <c r="H143" s="0" t="s">
        <v>2919</v>
      </c>
      <c r="I143" s="0" t="s">
        <v>2909</v>
      </c>
    </row>
    <row r="144" customFormat="false" ht="15" hidden="false" customHeight="false" outlineLevel="0" collapsed="false">
      <c r="A144" s="0" t="s">
        <v>2905</v>
      </c>
      <c r="B144" s="0" t="s">
        <v>169</v>
      </c>
      <c r="C144" s="0" t="n">
        <v>2013</v>
      </c>
      <c r="D144" s="0" t="s">
        <v>66</v>
      </c>
      <c r="E144" s="0" t="n">
        <v>6</v>
      </c>
      <c r="F144" s="0" t="s">
        <v>2906</v>
      </c>
      <c r="G144" s="0" t="s">
        <v>2912</v>
      </c>
      <c r="H144" s="0" t="s">
        <v>2919</v>
      </c>
      <c r="I144" s="0" t="s">
        <v>2909</v>
      </c>
    </row>
    <row r="145" customFormat="false" ht="15" hidden="false" customHeight="false" outlineLevel="0" collapsed="false">
      <c r="A145" s="0" t="s">
        <v>2905</v>
      </c>
      <c r="B145" s="0" t="s">
        <v>169</v>
      </c>
      <c r="C145" s="0" t="n">
        <v>2013</v>
      </c>
      <c r="D145" s="0" t="s">
        <v>70</v>
      </c>
      <c r="E145" s="0" t="n">
        <v>6</v>
      </c>
      <c r="F145" s="0" t="s">
        <v>2906</v>
      </c>
      <c r="G145" s="0" t="s">
        <v>2912</v>
      </c>
      <c r="H145" s="0" t="s">
        <v>2919</v>
      </c>
      <c r="I145" s="0" t="s">
        <v>2909</v>
      </c>
    </row>
    <row r="146" customFormat="false" ht="15" hidden="false" customHeight="false" outlineLevel="0" collapsed="false">
      <c r="A146" s="0" t="s">
        <v>2905</v>
      </c>
      <c r="B146" s="0" t="s">
        <v>169</v>
      </c>
      <c r="C146" s="0" t="n">
        <v>2013</v>
      </c>
      <c r="D146" s="0" t="s">
        <v>71</v>
      </c>
      <c r="E146" s="0" t="n">
        <v>6</v>
      </c>
      <c r="F146" s="0" t="s">
        <v>2906</v>
      </c>
      <c r="G146" s="0" t="s">
        <v>2912</v>
      </c>
      <c r="H146" s="0" t="s">
        <v>2919</v>
      </c>
      <c r="I146" s="0" t="s">
        <v>2909</v>
      </c>
    </row>
    <row r="147" customFormat="false" ht="15" hidden="false" customHeight="false" outlineLevel="0" collapsed="false">
      <c r="A147" s="0" t="s">
        <v>2905</v>
      </c>
      <c r="B147" s="0" t="s">
        <v>169</v>
      </c>
      <c r="C147" s="0" t="n">
        <v>2013</v>
      </c>
      <c r="D147" s="0" t="s">
        <v>73</v>
      </c>
      <c r="E147" s="0" t="n">
        <v>6</v>
      </c>
      <c r="F147" s="0" t="s">
        <v>2906</v>
      </c>
      <c r="G147" s="0" t="s">
        <v>2912</v>
      </c>
      <c r="H147" s="0" t="s">
        <v>2919</v>
      </c>
      <c r="I147" s="0" t="s">
        <v>2911</v>
      </c>
    </row>
    <row r="148" customFormat="false" ht="15" hidden="false" customHeight="false" outlineLevel="0" collapsed="false">
      <c r="A148" s="0" t="s">
        <v>2905</v>
      </c>
      <c r="B148" s="0" t="s">
        <v>169</v>
      </c>
      <c r="C148" s="0" t="n">
        <v>2014</v>
      </c>
      <c r="D148" s="0" t="s">
        <v>62</v>
      </c>
      <c r="E148" s="0" t="n">
        <v>6</v>
      </c>
      <c r="F148" s="0" t="s">
        <v>2906</v>
      </c>
      <c r="G148" s="0" t="s">
        <v>2912</v>
      </c>
      <c r="H148" s="0" t="s">
        <v>2919</v>
      </c>
      <c r="I148" s="0" t="s">
        <v>2909</v>
      </c>
    </row>
    <row r="149" customFormat="false" ht="15" hidden="false" customHeight="false" outlineLevel="0" collapsed="false">
      <c r="A149" s="0" t="s">
        <v>2905</v>
      </c>
      <c r="B149" s="0" t="s">
        <v>169</v>
      </c>
      <c r="C149" s="0" t="n">
        <v>2014</v>
      </c>
      <c r="D149" s="0" t="s">
        <v>307</v>
      </c>
      <c r="E149" s="0" t="n">
        <v>6</v>
      </c>
      <c r="F149" s="0" t="s">
        <v>2906</v>
      </c>
      <c r="G149" s="0" t="s">
        <v>2912</v>
      </c>
      <c r="H149" s="0" t="s">
        <v>2919</v>
      </c>
      <c r="I149" s="0" t="s">
        <v>2909</v>
      </c>
    </row>
    <row r="150" customFormat="false" ht="15" hidden="false" customHeight="false" outlineLevel="0" collapsed="false">
      <c r="A150" s="0" t="s">
        <v>2905</v>
      </c>
      <c r="B150" s="0" t="s">
        <v>169</v>
      </c>
      <c r="C150" s="0" t="n">
        <v>2014</v>
      </c>
      <c r="D150" s="0" t="s">
        <v>64</v>
      </c>
      <c r="E150" s="0" t="n">
        <v>6</v>
      </c>
      <c r="F150" s="0" t="s">
        <v>2906</v>
      </c>
      <c r="G150" s="0" t="s">
        <v>2912</v>
      </c>
      <c r="H150" s="0" t="s">
        <v>2919</v>
      </c>
      <c r="I150" s="0" t="s">
        <v>2909</v>
      </c>
    </row>
    <row r="151" customFormat="false" ht="15" hidden="false" customHeight="false" outlineLevel="0" collapsed="false">
      <c r="A151" s="0" t="s">
        <v>2905</v>
      </c>
      <c r="B151" s="0" t="s">
        <v>169</v>
      </c>
      <c r="C151" s="0" t="n">
        <v>2014</v>
      </c>
      <c r="D151" s="0" t="s">
        <v>65</v>
      </c>
      <c r="E151" s="0" t="n">
        <v>6</v>
      </c>
      <c r="F151" s="0" t="s">
        <v>2906</v>
      </c>
      <c r="G151" s="0" t="s">
        <v>2912</v>
      </c>
      <c r="H151" s="0" t="s">
        <v>2919</v>
      </c>
      <c r="I151" s="0" t="s">
        <v>2909</v>
      </c>
    </row>
    <row r="152" customFormat="false" ht="15" hidden="false" customHeight="false" outlineLevel="0" collapsed="false">
      <c r="A152" s="0" t="s">
        <v>2905</v>
      </c>
      <c r="B152" s="0" t="s">
        <v>169</v>
      </c>
      <c r="C152" s="0" t="n">
        <v>2014</v>
      </c>
      <c r="D152" s="0" t="s">
        <v>66</v>
      </c>
      <c r="E152" s="0" t="n">
        <v>6</v>
      </c>
      <c r="F152" s="0" t="s">
        <v>2906</v>
      </c>
      <c r="G152" s="0" t="s">
        <v>2912</v>
      </c>
      <c r="H152" s="0" t="s">
        <v>2919</v>
      </c>
      <c r="I152" s="0" t="s">
        <v>2909</v>
      </c>
    </row>
    <row r="153" customFormat="false" ht="15" hidden="false" customHeight="false" outlineLevel="0" collapsed="false">
      <c r="A153" s="0" t="s">
        <v>2905</v>
      </c>
      <c r="B153" s="0" t="s">
        <v>169</v>
      </c>
      <c r="C153" s="0" t="n">
        <v>2014</v>
      </c>
      <c r="D153" s="0" t="s">
        <v>70</v>
      </c>
      <c r="E153" s="0" t="n">
        <v>6</v>
      </c>
      <c r="F153" s="0" t="s">
        <v>2906</v>
      </c>
      <c r="G153" s="0" t="s">
        <v>2912</v>
      </c>
      <c r="H153" s="0" t="s">
        <v>2919</v>
      </c>
      <c r="I153" s="0" t="s">
        <v>2909</v>
      </c>
    </row>
    <row r="154" customFormat="false" ht="15" hidden="false" customHeight="false" outlineLevel="0" collapsed="false">
      <c r="A154" s="0" t="s">
        <v>2905</v>
      </c>
      <c r="B154" s="0" t="s">
        <v>169</v>
      </c>
      <c r="C154" s="0" t="n">
        <v>2018</v>
      </c>
      <c r="D154" s="0" t="s">
        <v>59</v>
      </c>
      <c r="E154" s="0" t="n">
        <v>6</v>
      </c>
      <c r="F154" s="0" t="s">
        <v>2906</v>
      </c>
      <c r="G154" s="0" t="s">
        <v>2912</v>
      </c>
      <c r="H154" s="0" t="s">
        <v>2920</v>
      </c>
      <c r="I154" s="0" t="s">
        <v>2910</v>
      </c>
    </row>
    <row r="155" customFormat="false" ht="15" hidden="false" customHeight="false" outlineLevel="0" collapsed="false">
      <c r="A155" s="0" t="s">
        <v>2905</v>
      </c>
      <c r="B155" s="0" t="s">
        <v>169</v>
      </c>
      <c r="C155" s="0" t="n">
        <v>2018</v>
      </c>
      <c r="D155" s="0" t="s">
        <v>62</v>
      </c>
      <c r="E155" s="0" t="n">
        <v>6</v>
      </c>
      <c r="F155" s="0" t="s">
        <v>2906</v>
      </c>
      <c r="G155" s="0" t="s">
        <v>2912</v>
      </c>
      <c r="H155" s="0" t="s">
        <v>2920</v>
      </c>
      <c r="I155" s="0" t="s">
        <v>2909</v>
      </c>
    </row>
    <row r="156" customFormat="false" ht="15" hidden="false" customHeight="false" outlineLevel="0" collapsed="false">
      <c r="A156" s="0" t="s">
        <v>2905</v>
      </c>
      <c r="B156" s="0" t="s">
        <v>169</v>
      </c>
      <c r="C156" s="0" t="n">
        <v>2018</v>
      </c>
      <c r="D156" s="0" t="s">
        <v>307</v>
      </c>
      <c r="E156" s="0" t="n">
        <v>6</v>
      </c>
      <c r="F156" s="0" t="s">
        <v>2906</v>
      </c>
      <c r="G156" s="0" t="s">
        <v>2912</v>
      </c>
      <c r="H156" s="0" t="s">
        <v>2920</v>
      </c>
      <c r="I156" s="0" t="s">
        <v>2909</v>
      </c>
    </row>
    <row r="157" customFormat="false" ht="15" hidden="false" customHeight="false" outlineLevel="0" collapsed="false">
      <c r="A157" s="0" t="s">
        <v>2905</v>
      </c>
      <c r="B157" s="0" t="s">
        <v>169</v>
      </c>
      <c r="C157" s="0" t="n">
        <v>2018</v>
      </c>
      <c r="D157" s="0" t="s">
        <v>64</v>
      </c>
      <c r="E157" s="0" t="n">
        <v>6</v>
      </c>
      <c r="F157" s="0" t="s">
        <v>2906</v>
      </c>
      <c r="G157" s="0" t="s">
        <v>2912</v>
      </c>
      <c r="H157" s="0" t="s">
        <v>2920</v>
      </c>
      <c r="I157" s="0" t="s">
        <v>2909</v>
      </c>
    </row>
    <row r="158" customFormat="false" ht="15" hidden="false" customHeight="false" outlineLevel="0" collapsed="false">
      <c r="A158" s="0" t="s">
        <v>2905</v>
      </c>
      <c r="B158" s="0" t="s">
        <v>169</v>
      </c>
      <c r="C158" s="0" t="n">
        <v>2018</v>
      </c>
      <c r="D158" s="0" t="s">
        <v>65</v>
      </c>
      <c r="E158" s="0" t="n">
        <v>6</v>
      </c>
      <c r="F158" s="0" t="s">
        <v>2906</v>
      </c>
      <c r="G158" s="0" t="s">
        <v>2912</v>
      </c>
      <c r="H158" s="0" t="s">
        <v>2920</v>
      </c>
      <c r="I158" s="0" t="s">
        <v>2909</v>
      </c>
    </row>
    <row r="159" customFormat="false" ht="15" hidden="false" customHeight="false" outlineLevel="0" collapsed="false">
      <c r="A159" s="0" t="s">
        <v>2905</v>
      </c>
      <c r="B159" s="0" t="s">
        <v>169</v>
      </c>
      <c r="C159" s="0" t="n">
        <v>2018</v>
      </c>
      <c r="D159" s="0" t="s">
        <v>66</v>
      </c>
      <c r="E159" s="0" t="n">
        <v>6</v>
      </c>
      <c r="F159" s="0" t="s">
        <v>2906</v>
      </c>
      <c r="G159" s="0" t="s">
        <v>2912</v>
      </c>
      <c r="H159" s="0" t="s">
        <v>2920</v>
      </c>
      <c r="I159" s="0" t="s">
        <v>2909</v>
      </c>
    </row>
    <row r="160" customFormat="false" ht="15" hidden="false" customHeight="false" outlineLevel="0" collapsed="false">
      <c r="A160" s="0" t="s">
        <v>2905</v>
      </c>
      <c r="B160" s="0" t="s">
        <v>169</v>
      </c>
      <c r="C160" s="0" t="n">
        <v>2018</v>
      </c>
      <c r="D160" s="0" t="s">
        <v>71</v>
      </c>
      <c r="E160" s="0" t="n">
        <v>6</v>
      </c>
      <c r="F160" s="0" t="s">
        <v>2906</v>
      </c>
      <c r="G160" s="0" t="s">
        <v>2912</v>
      </c>
      <c r="H160" s="0" t="s">
        <v>2920</v>
      </c>
      <c r="I160" s="0" t="s">
        <v>2909</v>
      </c>
    </row>
    <row r="161" customFormat="false" ht="15" hidden="false" customHeight="false" outlineLevel="0" collapsed="false">
      <c r="A161" s="0" t="s">
        <v>2905</v>
      </c>
      <c r="B161" s="0" t="s">
        <v>169</v>
      </c>
      <c r="C161" s="0" t="n">
        <v>2018</v>
      </c>
      <c r="D161" s="0" t="s">
        <v>73</v>
      </c>
      <c r="E161" s="0" t="n">
        <v>6</v>
      </c>
      <c r="F161" s="0" t="s">
        <v>2906</v>
      </c>
      <c r="G161" s="0" t="s">
        <v>2912</v>
      </c>
      <c r="H161" s="0" t="s">
        <v>2920</v>
      </c>
      <c r="I161" s="0" t="s">
        <v>2911</v>
      </c>
    </row>
    <row r="162" customFormat="false" ht="15" hidden="false" customHeight="false" outlineLevel="0" collapsed="false">
      <c r="A162" s="0" t="s">
        <v>2905</v>
      </c>
      <c r="B162" s="0" t="s">
        <v>169</v>
      </c>
      <c r="C162" s="0" t="n">
        <v>2018</v>
      </c>
      <c r="D162" s="0" t="s">
        <v>67</v>
      </c>
      <c r="E162" s="0" t="n">
        <v>6</v>
      </c>
      <c r="F162" s="0" t="s">
        <v>2906</v>
      </c>
      <c r="G162" s="0" t="s">
        <v>2912</v>
      </c>
      <c r="H162" s="0" t="s">
        <v>2920</v>
      </c>
      <c r="I162" s="0" t="s">
        <v>2916</v>
      </c>
    </row>
    <row r="163" customFormat="false" ht="15" hidden="false" customHeight="false" outlineLevel="0" collapsed="false">
      <c r="A163" s="0" t="s">
        <v>2905</v>
      </c>
      <c r="B163" s="0" t="s">
        <v>169</v>
      </c>
      <c r="C163" s="0" t="n">
        <v>2018</v>
      </c>
      <c r="D163" s="0" t="s">
        <v>68</v>
      </c>
      <c r="E163" s="0" t="n">
        <v>6</v>
      </c>
      <c r="F163" s="0" t="s">
        <v>2906</v>
      </c>
      <c r="G163" s="0" t="s">
        <v>2912</v>
      </c>
      <c r="H163" s="0" t="s">
        <v>2920</v>
      </c>
      <c r="I163" s="0" t="s">
        <v>2916</v>
      </c>
    </row>
    <row r="164" customFormat="false" ht="15" hidden="false" customHeight="false" outlineLevel="0" collapsed="false">
      <c r="A164" s="0" t="s">
        <v>2905</v>
      </c>
      <c r="B164" s="0" t="s">
        <v>169</v>
      </c>
      <c r="C164" s="0" t="n">
        <v>2019</v>
      </c>
      <c r="D164" s="0" t="s">
        <v>62</v>
      </c>
      <c r="E164" s="0" t="n">
        <v>6</v>
      </c>
      <c r="F164" s="0" t="s">
        <v>2906</v>
      </c>
      <c r="G164" s="0" t="s">
        <v>2912</v>
      </c>
      <c r="H164" s="0" t="s">
        <v>2920</v>
      </c>
      <c r="I164" s="0" t="s">
        <v>2909</v>
      </c>
    </row>
    <row r="165" customFormat="false" ht="15" hidden="false" customHeight="false" outlineLevel="0" collapsed="false">
      <c r="A165" s="0" t="s">
        <v>2905</v>
      </c>
      <c r="B165" s="0" t="s">
        <v>169</v>
      </c>
      <c r="C165" s="0" t="n">
        <v>2019</v>
      </c>
      <c r="D165" s="0" t="s">
        <v>307</v>
      </c>
      <c r="E165" s="0" t="n">
        <v>6</v>
      </c>
      <c r="F165" s="0" t="s">
        <v>2906</v>
      </c>
      <c r="G165" s="0" t="s">
        <v>2912</v>
      </c>
      <c r="H165" s="0" t="s">
        <v>2920</v>
      </c>
      <c r="I165" s="0" t="s">
        <v>2909</v>
      </c>
    </row>
    <row r="166" customFormat="false" ht="15" hidden="false" customHeight="false" outlineLevel="0" collapsed="false">
      <c r="A166" s="0" t="s">
        <v>2905</v>
      </c>
      <c r="B166" s="0" t="s">
        <v>169</v>
      </c>
      <c r="C166" s="0" t="n">
        <v>2019</v>
      </c>
      <c r="D166" s="0" t="s">
        <v>64</v>
      </c>
      <c r="E166" s="0" t="n">
        <v>6</v>
      </c>
      <c r="F166" s="0" t="s">
        <v>2906</v>
      </c>
      <c r="G166" s="0" t="s">
        <v>2912</v>
      </c>
      <c r="H166" s="0" t="s">
        <v>2920</v>
      </c>
      <c r="I166" s="0" t="s">
        <v>2909</v>
      </c>
    </row>
    <row r="167" customFormat="false" ht="15" hidden="false" customHeight="false" outlineLevel="0" collapsed="false">
      <c r="A167" s="0" t="s">
        <v>2905</v>
      </c>
      <c r="B167" s="0" t="s">
        <v>169</v>
      </c>
      <c r="C167" s="0" t="n">
        <v>2019</v>
      </c>
      <c r="D167" s="0" t="s">
        <v>65</v>
      </c>
      <c r="E167" s="0" t="n">
        <v>6</v>
      </c>
      <c r="F167" s="0" t="s">
        <v>2906</v>
      </c>
      <c r="G167" s="0" t="s">
        <v>2912</v>
      </c>
      <c r="H167" s="0" t="s">
        <v>2920</v>
      </c>
      <c r="I167" s="0" t="s">
        <v>2909</v>
      </c>
    </row>
    <row r="168" customFormat="false" ht="15" hidden="false" customHeight="false" outlineLevel="0" collapsed="false">
      <c r="A168" s="0" t="s">
        <v>2905</v>
      </c>
      <c r="B168" s="0" t="s">
        <v>169</v>
      </c>
      <c r="C168" s="0" t="n">
        <v>2019</v>
      </c>
      <c r="D168" s="0" t="s">
        <v>66</v>
      </c>
      <c r="E168" s="0" t="n">
        <v>6</v>
      </c>
      <c r="F168" s="0" t="s">
        <v>2906</v>
      </c>
      <c r="G168" s="0" t="s">
        <v>2912</v>
      </c>
      <c r="H168" s="0" t="s">
        <v>2920</v>
      </c>
      <c r="I168" s="0" t="s">
        <v>2909</v>
      </c>
    </row>
    <row r="169" customFormat="false" ht="15" hidden="false" customHeight="false" outlineLevel="0" collapsed="false">
      <c r="A169" s="0" t="s">
        <v>2905</v>
      </c>
      <c r="B169" s="0" t="s">
        <v>169</v>
      </c>
      <c r="C169" s="0" t="n">
        <v>2019</v>
      </c>
      <c r="D169" s="0" t="s">
        <v>71</v>
      </c>
      <c r="E169" s="0" t="n">
        <v>6</v>
      </c>
      <c r="F169" s="0" t="s">
        <v>2906</v>
      </c>
      <c r="G169" s="0" t="s">
        <v>2912</v>
      </c>
      <c r="H169" s="0" t="s">
        <v>2920</v>
      </c>
      <c r="I169" s="0" t="s">
        <v>2909</v>
      </c>
    </row>
    <row r="170" customFormat="false" ht="15" hidden="false" customHeight="false" outlineLevel="0" collapsed="false">
      <c r="A170" s="0" t="s">
        <v>2905</v>
      </c>
      <c r="B170" s="0" t="s">
        <v>169</v>
      </c>
      <c r="C170" s="0" t="n">
        <v>2019</v>
      </c>
      <c r="D170" s="0" t="s">
        <v>67</v>
      </c>
      <c r="E170" s="0" t="n">
        <v>6</v>
      </c>
      <c r="F170" s="0" t="s">
        <v>2906</v>
      </c>
      <c r="G170" s="0" t="s">
        <v>2912</v>
      </c>
      <c r="H170" s="0" t="s">
        <v>2920</v>
      </c>
      <c r="I170" s="0" t="s">
        <v>2916</v>
      </c>
    </row>
    <row r="171" customFormat="false" ht="15" hidden="false" customHeight="false" outlineLevel="0" collapsed="false">
      <c r="A171" s="0" t="s">
        <v>2905</v>
      </c>
      <c r="B171" s="0" t="s">
        <v>169</v>
      </c>
      <c r="C171" s="0" t="n">
        <v>2019</v>
      </c>
      <c r="D171" s="0" t="s">
        <v>68</v>
      </c>
      <c r="E171" s="0" t="n">
        <v>6</v>
      </c>
      <c r="F171" s="0" t="s">
        <v>2906</v>
      </c>
      <c r="G171" s="0" t="s">
        <v>2912</v>
      </c>
      <c r="H171" s="0" t="s">
        <v>2920</v>
      </c>
      <c r="I171" s="0" t="s">
        <v>2916</v>
      </c>
    </row>
    <row r="172" customFormat="false" ht="15" hidden="false" customHeight="false" outlineLevel="0" collapsed="false">
      <c r="A172" s="0" t="s">
        <v>2905</v>
      </c>
      <c r="B172" s="0" t="s">
        <v>178</v>
      </c>
      <c r="C172" s="0" t="n">
        <v>2013</v>
      </c>
      <c r="D172" s="0" t="s">
        <v>59</v>
      </c>
      <c r="E172" s="0" t="n">
        <v>6</v>
      </c>
      <c r="F172" s="0" t="s">
        <v>2906</v>
      </c>
      <c r="G172" s="0" t="s">
        <v>2912</v>
      </c>
      <c r="H172" s="0" t="s">
        <v>2921</v>
      </c>
      <c r="I172" s="0" t="s">
        <v>2910</v>
      </c>
    </row>
    <row r="173" customFormat="false" ht="15" hidden="false" customHeight="false" outlineLevel="0" collapsed="false">
      <c r="A173" s="0" t="s">
        <v>2905</v>
      </c>
      <c r="B173" s="0" t="s">
        <v>178</v>
      </c>
      <c r="C173" s="0" t="n">
        <v>2013</v>
      </c>
      <c r="D173" s="0" t="s">
        <v>62</v>
      </c>
      <c r="E173" s="0" t="n">
        <v>6</v>
      </c>
      <c r="F173" s="0" t="s">
        <v>2906</v>
      </c>
      <c r="G173" s="0" t="s">
        <v>2912</v>
      </c>
      <c r="H173" s="0" t="s">
        <v>2921</v>
      </c>
      <c r="I173" s="0" t="s">
        <v>2909</v>
      </c>
    </row>
    <row r="174" customFormat="false" ht="15" hidden="false" customHeight="false" outlineLevel="0" collapsed="false">
      <c r="A174" s="0" t="s">
        <v>2905</v>
      </c>
      <c r="B174" s="0" t="s">
        <v>178</v>
      </c>
      <c r="C174" s="0" t="n">
        <v>2013</v>
      </c>
      <c r="D174" s="0" t="s">
        <v>307</v>
      </c>
      <c r="E174" s="0" t="n">
        <v>6</v>
      </c>
      <c r="F174" s="0" t="s">
        <v>2906</v>
      </c>
      <c r="G174" s="0" t="s">
        <v>2912</v>
      </c>
      <c r="H174" s="0" t="s">
        <v>2921</v>
      </c>
      <c r="I174" s="0" t="s">
        <v>2909</v>
      </c>
    </row>
    <row r="175" customFormat="false" ht="15" hidden="false" customHeight="false" outlineLevel="0" collapsed="false">
      <c r="A175" s="0" t="s">
        <v>2905</v>
      </c>
      <c r="B175" s="0" t="s">
        <v>178</v>
      </c>
      <c r="C175" s="0" t="n">
        <v>2013</v>
      </c>
      <c r="D175" s="0" t="s">
        <v>64</v>
      </c>
      <c r="E175" s="0" t="n">
        <v>6</v>
      </c>
      <c r="F175" s="0" t="s">
        <v>2906</v>
      </c>
      <c r="G175" s="0" t="s">
        <v>2912</v>
      </c>
      <c r="H175" s="0" t="s">
        <v>2921</v>
      </c>
      <c r="I175" s="0" t="s">
        <v>2909</v>
      </c>
    </row>
    <row r="176" customFormat="false" ht="15" hidden="false" customHeight="false" outlineLevel="0" collapsed="false">
      <c r="A176" s="0" t="s">
        <v>2905</v>
      </c>
      <c r="B176" s="0" t="s">
        <v>178</v>
      </c>
      <c r="C176" s="0" t="n">
        <v>2013</v>
      </c>
      <c r="D176" s="0" t="s">
        <v>65</v>
      </c>
      <c r="E176" s="0" t="n">
        <v>6</v>
      </c>
      <c r="F176" s="0" t="s">
        <v>2906</v>
      </c>
      <c r="G176" s="0" t="s">
        <v>2912</v>
      </c>
      <c r="H176" s="0" t="s">
        <v>2921</v>
      </c>
      <c r="I176" s="0" t="s">
        <v>2909</v>
      </c>
    </row>
    <row r="177" customFormat="false" ht="15" hidden="false" customHeight="false" outlineLevel="0" collapsed="false">
      <c r="A177" s="0" t="s">
        <v>2905</v>
      </c>
      <c r="B177" s="0" t="s">
        <v>178</v>
      </c>
      <c r="C177" s="0" t="n">
        <v>2013</v>
      </c>
      <c r="D177" s="0" t="s">
        <v>66</v>
      </c>
      <c r="E177" s="0" t="n">
        <v>6</v>
      </c>
      <c r="F177" s="0" t="s">
        <v>2906</v>
      </c>
      <c r="G177" s="0" t="s">
        <v>2912</v>
      </c>
      <c r="H177" s="0" t="s">
        <v>2921</v>
      </c>
      <c r="I177" s="0" t="s">
        <v>2909</v>
      </c>
    </row>
    <row r="178" customFormat="false" ht="15" hidden="false" customHeight="false" outlineLevel="0" collapsed="false">
      <c r="A178" s="0" t="s">
        <v>2905</v>
      </c>
      <c r="B178" s="0" t="s">
        <v>178</v>
      </c>
      <c r="C178" s="0" t="n">
        <v>2013</v>
      </c>
      <c r="D178" s="0" t="s">
        <v>70</v>
      </c>
      <c r="E178" s="0" t="n">
        <v>6</v>
      </c>
      <c r="F178" s="0" t="s">
        <v>2906</v>
      </c>
      <c r="G178" s="0" t="s">
        <v>2912</v>
      </c>
      <c r="H178" s="0" t="s">
        <v>2921</v>
      </c>
      <c r="I178" s="0" t="s">
        <v>2909</v>
      </c>
    </row>
    <row r="179" customFormat="false" ht="15" hidden="false" customHeight="false" outlineLevel="0" collapsed="false">
      <c r="A179" s="0" t="s">
        <v>2905</v>
      </c>
      <c r="B179" s="0" t="s">
        <v>178</v>
      </c>
      <c r="C179" s="0" t="n">
        <v>2013</v>
      </c>
      <c r="D179" s="0" t="s">
        <v>71</v>
      </c>
      <c r="E179" s="0" t="n">
        <v>6</v>
      </c>
      <c r="F179" s="0" t="s">
        <v>2906</v>
      </c>
      <c r="G179" s="0" t="s">
        <v>2912</v>
      </c>
      <c r="H179" s="0" t="s">
        <v>2921</v>
      </c>
      <c r="I179" s="0" t="s">
        <v>2909</v>
      </c>
    </row>
    <row r="180" customFormat="false" ht="15" hidden="false" customHeight="false" outlineLevel="0" collapsed="false">
      <c r="A180" s="0" t="s">
        <v>2905</v>
      </c>
      <c r="B180" s="0" t="s">
        <v>178</v>
      </c>
      <c r="C180" s="0" t="n">
        <v>2013</v>
      </c>
      <c r="D180" s="0" t="s">
        <v>73</v>
      </c>
      <c r="E180" s="0" t="n">
        <v>6</v>
      </c>
      <c r="F180" s="0" t="s">
        <v>2906</v>
      </c>
      <c r="G180" s="0" t="s">
        <v>2912</v>
      </c>
      <c r="H180" s="0" t="s">
        <v>2921</v>
      </c>
      <c r="I180" s="0" t="s">
        <v>2911</v>
      </c>
    </row>
    <row r="181" customFormat="false" ht="15" hidden="false" customHeight="false" outlineLevel="0" collapsed="false">
      <c r="A181" s="0" t="s">
        <v>2905</v>
      </c>
      <c r="B181" s="0" t="s">
        <v>178</v>
      </c>
      <c r="C181" s="0" t="n">
        <v>2014</v>
      </c>
      <c r="D181" s="0" t="s">
        <v>62</v>
      </c>
      <c r="E181" s="0" t="n">
        <v>6</v>
      </c>
      <c r="F181" s="0" t="s">
        <v>2906</v>
      </c>
      <c r="G181" s="0" t="s">
        <v>2912</v>
      </c>
      <c r="H181" s="0" t="s">
        <v>2921</v>
      </c>
      <c r="I181" s="0" t="s">
        <v>2909</v>
      </c>
    </row>
    <row r="182" customFormat="false" ht="15" hidden="false" customHeight="false" outlineLevel="0" collapsed="false">
      <c r="A182" s="0" t="s">
        <v>2905</v>
      </c>
      <c r="B182" s="0" t="s">
        <v>178</v>
      </c>
      <c r="C182" s="0" t="n">
        <v>2014</v>
      </c>
      <c r="D182" s="0" t="s">
        <v>307</v>
      </c>
      <c r="E182" s="0" t="n">
        <v>6</v>
      </c>
      <c r="F182" s="0" t="s">
        <v>2906</v>
      </c>
      <c r="G182" s="0" t="s">
        <v>2912</v>
      </c>
      <c r="H182" s="0" t="s">
        <v>2921</v>
      </c>
      <c r="I182" s="0" t="s">
        <v>2909</v>
      </c>
    </row>
    <row r="183" customFormat="false" ht="15" hidden="false" customHeight="false" outlineLevel="0" collapsed="false">
      <c r="A183" s="0" t="s">
        <v>2905</v>
      </c>
      <c r="B183" s="0" t="s">
        <v>178</v>
      </c>
      <c r="C183" s="0" t="n">
        <v>2014</v>
      </c>
      <c r="D183" s="0" t="s">
        <v>64</v>
      </c>
      <c r="E183" s="0" t="n">
        <v>6</v>
      </c>
      <c r="F183" s="0" t="s">
        <v>2906</v>
      </c>
      <c r="G183" s="0" t="s">
        <v>2912</v>
      </c>
      <c r="H183" s="0" t="s">
        <v>2921</v>
      </c>
      <c r="I183" s="0" t="s">
        <v>2909</v>
      </c>
    </row>
    <row r="184" customFormat="false" ht="15" hidden="false" customHeight="false" outlineLevel="0" collapsed="false">
      <c r="A184" s="0" t="s">
        <v>2905</v>
      </c>
      <c r="B184" s="0" t="s">
        <v>178</v>
      </c>
      <c r="C184" s="0" t="n">
        <v>2014</v>
      </c>
      <c r="D184" s="0" t="s">
        <v>65</v>
      </c>
      <c r="E184" s="0" t="n">
        <v>6</v>
      </c>
      <c r="F184" s="0" t="s">
        <v>2906</v>
      </c>
      <c r="G184" s="0" t="s">
        <v>2912</v>
      </c>
      <c r="H184" s="0" t="s">
        <v>2921</v>
      </c>
      <c r="I184" s="0" t="s">
        <v>2909</v>
      </c>
    </row>
    <row r="185" customFormat="false" ht="15" hidden="false" customHeight="false" outlineLevel="0" collapsed="false">
      <c r="A185" s="0" t="s">
        <v>2905</v>
      </c>
      <c r="B185" s="0" t="s">
        <v>178</v>
      </c>
      <c r="C185" s="0" t="n">
        <v>2014</v>
      </c>
      <c r="D185" s="0" t="s">
        <v>66</v>
      </c>
      <c r="E185" s="0" t="n">
        <v>6</v>
      </c>
      <c r="F185" s="0" t="s">
        <v>2906</v>
      </c>
      <c r="G185" s="0" t="s">
        <v>2912</v>
      </c>
      <c r="H185" s="0" t="s">
        <v>2921</v>
      </c>
      <c r="I185" s="0" t="s">
        <v>2909</v>
      </c>
    </row>
    <row r="186" customFormat="false" ht="15" hidden="false" customHeight="false" outlineLevel="0" collapsed="false">
      <c r="A186" s="0" t="s">
        <v>2905</v>
      </c>
      <c r="B186" s="0" t="s">
        <v>178</v>
      </c>
      <c r="C186" s="0" t="n">
        <v>2014</v>
      </c>
      <c r="D186" s="0" t="s">
        <v>70</v>
      </c>
      <c r="E186" s="0" t="n">
        <v>6</v>
      </c>
      <c r="F186" s="0" t="s">
        <v>2906</v>
      </c>
      <c r="G186" s="0" t="s">
        <v>2912</v>
      </c>
      <c r="H186" s="0" t="s">
        <v>2921</v>
      </c>
      <c r="I186" s="0" t="s">
        <v>2909</v>
      </c>
    </row>
    <row r="187" customFormat="false" ht="15" hidden="false" customHeight="false" outlineLevel="0" collapsed="false">
      <c r="A187" s="0" t="s">
        <v>2905</v>
      </c>
      <c r="B187" s="0" t="s">
        <v>178</v>
      </c>
      <c r="C187" s="0" t="n">
        <v>2014</v>
      </c>
      <c r="D187" s="0" t="s">
        <v>71</v>
      </c>
      <c r="E187" s="0" t="n">
        <v>6</v>
      </c>
      <c r="F187" s="0" t="s">
        <v>2906</v>
      </c>
      <c r="G187" s="0" t="s">
        <v>2912</v>
      </c>
      <c r="H187" s="0" t="s">
        <v>2921</v>
      </c>
      <c r="I187" s="0" t="s">
        <v>2909</v>
      </c>
    </row>
    <row r="188" customFormat="false" ht="15" hidden="false" customHeight="false" outlineLevel="0" collapsed="false">
      <c r="A188" s="0" t="s">
        <v>2905</v>
      </c>
      <c r="B188" s="0" t="s">
        <v>178</v>
      </c>
      <c r="C188" s="0" t="n">
        <v>2014</v>
      </c>
      <c r="D188" s="0" t="s">
        <v>73</v>
      </c>
      <c r="E188" s="0" t="n">
        <v>6</v>
      </c>
      <c r="F188" s="0" t="s">
        <v>2906</v>
      </c>
      <c r="G188" s="0" t="s">
        <v>2912</v>
      </c>
      <c r="H188" s="0" t="s">
        <v>2921</v>
      </c>
      <c r="I188" s="0" t="s">
        <v>2911</v>
      </c>
    </row>
    <row r="189" customFormat="false" ht="15" hidden="false" customHeight="false" outlineLevel="0" collapsed="false">
      <c r="A189" s="0" t="s">
        <v>2905</v>
      </c>
      <c r="B189" s="0" t="s">
        <v>178</v>
      </c>
      <c r="C189" s="0" t="n">
        <v>2015</v>
      </c>
      <c r="D189" s="0" t="s">
        <v>307</v>
      </c>
      <c r="E189" s="0" t="n">
        <v>6</v>
      </c>
      <c r="F189" s="0" t="s">
        <v>2906</v>
      </c>
      <c r="G189" s="0" t="s">
        <v>2912</v>
      </c>
      <c r="H189" s="0" t="s">
        <v>2922</v>
      </c>
      <c r="I189" s="0" t="s">
        <v>2909</v>
      </c>
    </row>
    <row r="190" customFormat="false" ht="15" hidden="false" customHeight="false" outlineLevel="0" collapsed="false">
      <c r="A190" s="0" t="s">
        <v>2905</v>
      </c>
      <c r="B190" s="0" t="s">
        <v>178</v>
      </c>
      <c r="C190" s="0" t="n">
        <v>2015</v>
      </c>
      <c r="D190" s="0" t="s">
        <v>64</v>
      </c>
      <c r="E190" s="0" t="n">
        <v>6</v>
      </c>
      <c r="F190" s="0" t="s">
        <v>2906</v>
      </c>
      <c r="G190" s="0" t="s">
        <v>2912</v>
      </c>
      <c r="H190" s="0" t="s">
        <v>2922</v>
      </c>
      <c r="I190" s="0" t="s">
        <v>2909</v>
      </c>
    </row>
    <row r="191" customFormat="false" ht="15" hidden="false" customHeight="false" outlineLevel="0" collapsed="false">
      <c r="A191" s="0" t="s">
        <v>2905</v>
      </c>
      <c r="B191" s="0" t="s">
        <v>178</v>
      </c>
      <c r="C191" s="0" t="n">
        <v>2015</v>
      </c>
      <c r="D191" s="0" t="s">
        <v>70</v>
      </c>
      <c r="E191" s="0" t="n">
        <v>6</v>
      </c>
      <c r="F191" s="0" t="s">
        <v>2906</v>
      </c>
      <c r="G191" s="0" t="s">
        <v>2912</v>
      </c>
      <c r="H191" s="0" t="s">
        <v>2922</v>
      </c>
      <c r="I191" s="0" t="s">
        <v>2909</v>
      </c>
    </row>
    <row r="192" customFormat="false" ht="15" hidden="false" customHeight="false" outlineLevel="0" collapsed="false">
      <c r="A192" s="0" t="s">
        <v>2905</v>
      </c>
      <c r="B192" s="0" t="s">
        <v>178</v>
      </c>
      <c r="C192" s="0" t="n">
        <v>2015</v>
      </c>
      <c r="D192" s="0" t="s">
        <v>73</v>
      </c>
      <c r="E192" s="0" t="n">
        <v>6</v>
      </c>
      <c r="F192" s="0" t="s">
        <v>2906</v>
      </c>
      <c r="G192" s="0" t="s">
        <v>2912</v>
      </c>
      <c r="H192" s="0" t="s">
        <v>2922</v>
      </c>
      <c r="I192" s="0" t="s">
        <v>2911</v>
      </c>
    </row>
    <row r="193" customFormat="false" ht="15" hidden="false" customHeight="false" outlineLevel="0" collapsed="false">
      <c r="A193" s="0" t="s">
        <v>2905</v>
      </c>
      <c r="B193" s="0" t="s">
        <v>178</v>
      </c>
      <c r="C193" s="0" t="n">
        <v>2016</v>
      </c>
      <c r="D193" s="0" t="s">
        <v>307</v>
      </c>
      <c r="E193" s="0" t="n">
        <v>6</v>
      </c>
      <c r="F193" s="0" t="s">
        <v>2906</v>
      </c>
      <c r="G193" s="0" t="s">
        <v>2912</v>
      </c>
      <c r="H193" s="0" t="s">
        <v>2922</v>
      </c>
      <c r="I193" s="0" t="s">
        <v>2909</v>
      </c>
    </row>
    <row r="194" customFormat="false" ht="15" hidden="false" customHeight="false" outlineLevel="0" collapsed="false">
      <c r="A194" s="0" t="s">
        <v>2905</v>
      </c>
      <c r="B194" s="0" t="s">
        <v>178</v>
      </c>
      <c r="C194" s="0" t="n">
        <v>2016</v>
      </c>
      <c r="D194" s="0" t="s">
        <v>64</v>
      </c>
      <c r="E194" s="0" t="n">
        <v>6</v>
      </c>
      <c r="F194" s="0" t="s">
        <v>2906</v>
      </c>
      <c r="G194" s="0" t="s">
        <v>2912</v>
      </c>
      <c r="H194" s="0" t="s">
        <v>2922</v>
      </c>
      <c r="I194" s="0" t="s">
        <v>2909</v>
      </c>
    </row>
    <row r="195" customFormat="false" ht="15" hidden="false" customHeight="false" outlineLevel="0" collapsed="false">
      <c r="A195" s="0" t="s">
        <v>2905</v>
      </c>
      <c r="B195" s="0" t="s">
        <v>178</v>
      </c>
      <c r="C195" s="0" t="n">
        <v>2016</v>
      </c>
      <c r="D195" s="0" t="s">
        <v>73</v>
      </c>
      <c r="E195" s="0" t="n">
        <v>6</v>
      </c>
      <c r="F195" s="0" t="s">
        <v>2906</v>
      </c>
      <c r="G195" s="0" t="s">
        <v>2912</v>
      </c>
      <c r="H195" s="0" t="s">
        <v>2922</v>
      </c>
      <c r="I195" s="0" t="s">
        <v>2911</v>
      </c>
    </row>
    <row r="196" customFormat="false" ht="15" hidden="false" customHeight="false" outlineLevel="0" collapsed="false">
      <c r="A196" s="0" t="s">
        <v>2905</v>
      </c>
      <c r="B196" s="0" t="s">
        <v>178</v>
      </c>
      <c r="C196" s="0" t="n">
        <v>2017</v>
      </c>
      <c r="D196" s="0" t="s">
        <v>307</v>
      </c>
      <c r="E196" s="0" t="n">
        <v>6</v>
      </c>
      <c r="F196" s="0" t="s">
        <v>2906</v>
      </c>
      <c r="G196" s="0" t="s">
        <v>2912</v>
      </c>
      <c r="H196" s="0" t="s">
        <v>2923</v>
      </c>
      <c r="I196" s="0" t="s">
        <v>2909</v>
      </c>
    </row>
    <row r="197" customFormat="false" ht="15" hidden="false" customHeight="false" outlineLevel="0" collapsed="false">
      <c r="A197" s="0" t="s">
        <v>2905</v>
      </c>
      <c r="B197" s="0" t="s">
        <v>178</v>
      </c>
      <c r="C197" s="0" t="n">
        <v>2017</v>
      </c>
      <c r="D197" s="0" t="s">
        <v>64</v>
      </c>
      <c r="E197" s="0" t="n">
        <v>6</v>
      </c>
      <c r="F197" s="0" t="s">
        <v>2906</v>
      </c>
      <c r="G197" s="0" t="s">
        <v>2912</v>
      </c>
      <c r="H197" s="0" t="s">
        <v>2923</v>
      </c>
      <c r="I197" s="0" t="s">
        <v>2909</v>
      </c>
    </row>
    <row r="198" customFormat="false" ht="15" hidden="false" customHeight="false" outlineLevel="0" collapsed="false">
      <c r="A198" s="0" t="s">
        <v>2905</v>
      </c>
      <c r="B198" s="0" t="s">
        <v>178</v>
      </c>
      <c r="C198" s="0" t="n">
        <v>2017</v>
      </c>
      <c r="D198" s="0" t="s">
        <v>70</v>
      </c>
      <c r="E198" s="0" t="n">
        <v>6</v>
      </c>
      <c r="F198" s="0" t="s">
        <v>2906</v>
      </c>
      <c r="G198" s="0" t="s">
        <v>2912</v>
      </c>
      <c r="H198" s="0" t="s">
        <v>2923</v>
      </c>
      <c r="I198" s="0" t="s">
        <v>2909</v>
      </c>
    </row>
    <row r="199" customFormat="false" ht="15" hidden="false" customHeight="false" outlineLevel="0" collapsed="false">
      <c r="A199" s="0" t="s">
        <v>2905</v>
      </c>
      <c r="B199" s="0" t="s">
        <v>178</v>
      </c>
      <c r="C199" s="0" t="n">
        <v>2017</v>
      </c>
      <c r="D199" s="0" t="s">
        <v>73</v>
      </c>
      <c r="E199" s="0" t="n">
        <v>6</v>
      </c>
      <c r="F199" s="0" t="s">
        <v>2906</v>
      </c>
      <c r="G199" s="0" t="s">
        <v>2912</v>
      </c>
      <c r="H199" s="0" t="s">
        <v>2923</v>
      </c>
      <c r="I199" s="0" t="s">
        <v>2911</v>
      </c>
    </row>
    <row r="200" customFormat="false" ht="15" hidden="false" customHeight="false" outlineLevel="0" collapsed="false">
      <c r="A200" s="0" t="s">
        <v>2905</v>
      </c>
      <c r="B200" s="0" t="s">
        <v>178</v>
      </c>
      <c r="C200" s="0" t="n">
        <v>2018</v>
      </c>
      <c r="D200" s="0" t="s">
        <v>307</v>
      </c>
      <c r="E200" s="0" t="n">
        <v>6</v>
      </c>
      <c r="F200" s="0" t="s">
        <v>2906</v>
      </c>
      <c r="G200" s="0" t="s">
        <v>2912</v>
      </c>
      <c r="H200" s="0" t="s">
        <v>2923</v>
      </c>
      <c r="I200" s="0" t="s">
        <v>2909</v>
      </c>
    </row>
    <row r="201" customFormat="false" ht="15" hidden="false" customHeight="false" outlineLevel="0" collapsed="false">
      <c r="A201" s="0" t="s">
        <v>2905</v>
      </c>
      <c r="B201" s="0" t="s">
        <v>178</v>
      </c>
      <c r="C201" s="0" t="n">
        <v>2018</v>
      </c>
      <c r="D201" s="0" t="s">
        <v>64</v>
      </c>
      <c r="E201" s="0" t="n">
        <v>6</v>
      </c>
      <c r="F201" s="0" t="s">
        <v>2906</v>
      </c>
      <c r="G201" s="0" t="s">
        <v>2912</v>
      </c>
      <c r="H201" s="0" t="s">
        <v>2923</v>
      </c>
      <c r="I201" s="0" t="s">
        <v>2909</v>
      </c>
    </row>
    <row r="202" customFormat="false" ht="15" hidden="false" customHeight="false" outlineLevel="0" collapsed="false">
      <c r="A202" s="0" t="s">
        <v>2905</v>
      </c>
      <c r="B202" s="0" t="s">
        <v>178</v>
      </c>
      <c r="C202" s="0" t="n">
        <v>2018</v>
      </c>
      <c r="D202" s="0" t="s">
        <v>73</v>
      </c>
      <c r="E202" s="0" t="n">
        <v>6</v>
      </c>
      <c r="F202" s="0" t="s">
        <v>2906</v>
      </c>
      <c r="G202" s="0" t="s">
        <v>2912</v>
      </c>
      <c r="H202" s="0" t="s">
        <v>2923</v>
      </c>
      <c r="I202" s="0" t="s">
        <v>2911</v>
      </c>
    </row>
    <row r="203" customFormat="false" ht="15" hidden="false" customHeight="false" outlineLevel="0" collapsed="false">
      <c r="A203" s="0" t="s">
        <v>2905</v>
      </c>
      <c r="B203" s="0" t="s">
        <v>178</v>
      </c>
      <c r="C203" s="0" t="n">
        <v>2018</v>
      </c>
      <c r="D203" s="0" t="s">
        <v>67</v>
      </c>
      <c r="E203" s="0" t="n">
        <v>6</v>
      </c>
      <c r="F203" s="0" t="s">
        <v>2906</v>
      </c>
      <c r="G203" s="0" t="s">
        <v>2912</v>
      </c>
      <c r="H203" s="0" t="s">
        <v>2923</v>
      </c>
      <c r="I203" s="0" t="s">
        <v>2916</v>
      </c>
    </row>
    <row r="204" customFormat="false" ht="15" hidden="false" customHeight="false" outlineLevel="0" collapsed="false">
      <c r="A204" s="0" t="s">
        <v>2905</v>
      </c>
      <c r="B204" s="0" t="s">
        <v>178</v>
      </c>
      <c r="C204" s="0" t="n">
        <v>2019</v>
      </c>
      <c r="D204" s="0" t="s">
        <v>64</v>
      </c>
      <c r="E204" s="0" t="n">
        <v>6</v>
      </c>
      <c r="F204" s="0" t="s">
        <v>2906</v>
      </c>
      <c r="G204" s="0" t="s">
        <v>2912</v>
      </c>
      <c r="H204" s="0" t="s">
        <v>2924</v>
      </c>
      <c r="I204" s="0" t="s">
        <v>2909</v>
      </c>
    </row>
    <row r="205" customFormat="false" ht="15" hidden="false" customHeight="false" outlineLevel="0" collapsed="false">
      <c r="A205" s="0" t="s">
        <v>2905</v>
      </c>
      <c r="B205" s="0" t="s">
        <v>178</v>
      </c>
      <c r="C205" s="0" t="n">
        <v>2019</v>
      </c>
      <c r="D205" s="0" t="s">
        <v>70</v>
      </c>
      <c r="E205" s="0" t="n">
        <v>6</v>
      </c>
      <c r="F205" s="0" t="s">
        <v>2906</v>
      </c>
      <c r="G205" s="0" t="s">
        <v>2912</v>
      </c>
      <c r="H205" s="0" t="s">
        <v>2924</v>
      </c>
      <c r="I205" s="0" t="s">
        <v>2909</v>
      </c>
    </row>
    <row r="206" customFormat="false" ht="15" hidden="false" customHeight="false" outlineLevel="0" collapsed="false">
      <c r="A206" s="0" t="s">
        <v>2905</v>
      </c>
      <c r="B206" s="0" t="s">
        <v>178</v>
      </c>
      <c r="C206" s="0" t="n">
        <v>2019</v>
      </c>
      <c r="D206" s="0" t="s">
        <v>73</v>
      </c>
      <c r="E206" s="0" t="n">
        <v>6</v>
      </c>
      <c r="F206" s="0" t="s">
        <v>2906</v>
      </c>
      <c r="G206" s="0" t="s">
        <v>2912</v>
      </c>
      <c r="H206" s="0" t="s">
        <v>2924</v>
      </c>
      <c r="I206" s="0" t="s">
        <v>2911</v>
      </c>
    </row>
    <row r="207" customFormat="false" ht="15" hidden="false" customHeight="false" outlineLevel="0" collapsed="false">
      <c r="A207" s="0" t="s">
        <v>2905</v>
      </c>
      <c r="B207" s="0" t="s">
        <v>178</v>
      </c>
      <c r="C207" s="0" t="n">
        <v>2019</v>
      </c>
      <c r="D207" s="0" t="s">
        <v>67</v>
      </c>
      <c r="E207" s="0" t="n">
        <v>6</v>
      </c>
      <c r="F207" s="0" t="s">
        <v>2906</v>
      </c>
      <c r="G207" s="0" t="s">
        <v>2912</v>
      </c>
      <c r="H207" s="0" t="s">
        <v>2924</v>
      </c>
      <c r="I207" s="0" t="s">
        <v>2916</v>
      </c>
    </row>
    <row r="208" customFormat="false" ht="15" hidden="false" customHeight="false" outlineLevel="0" collapsed="false">
      <c r="A208" s="0" t="s">
        <v>2905</v>
      </c>
      <c r="B208" s="0" t="s">
        <v>178</v>
      </c>
      <c r="C208" s="0" t="n">
        <v>2020</v>
      </c>
      <c r="D208" s="0" t="s">
        <v>64</v>
      </c>
      <c r="E208" s="0" t="n">
        <v>6</v>
      </c>
      <c r="F208" s="0" t="s">
        <v>2906</v>
      </c>
      <c r="G208" s="0" t="s">
        <v>2912</v>
      </c>
      <c r="H208" s="0" t="s">
        <v>2924</v>
      </c>
      <c r="I208" s="0" t="s">
        <v>2909</v>
      </c>
    </row>
    <row r="209" customFormat="false" ht="15" hidden="false" customHeight="false" outlineLevel="0" collapsed="false">
      <c r="A209" s="0" t="s">
        <v>2905</v>
      </c>
      <c r="B209" s="0" t="s">
        <v>178</v>
      </c>
      <c r="C209" s="0" t="n">
        <v>2020</v>
      </c>
      <c r="D209" s="0" t="s">
        <v>73</v>
      </c>
      <c r="E209" s="0" t="n">
        <v>6</v>
      </c>
      <c r="F209" s="0" t="s">
        <v>2906</v>
      </c>
      <c r="G209" s="0" t="s">
        <v>2912</v>
      </c>
      <c r="H209" s="0" t="s">
        <v>2924</v>
      </c>
      <c r="I209" s="0" t="s">
        <v>2911</v>
      </c>
    </row>
    <row r="210" customFormat="false" ht="15" hidden="false" customHeight="false" outlineLevel="0" collapsed="false">
      <c r="A210" s="0" t="s">
        <v>2905</v>
      </c>
      <c r="B210" s="0" t="s">
        <v>178</v>
      </c>
      <c r="C210" s="0" t="n">
        <v>2020</v>
      </c>
      <c r="D210" s="0" t="s">
        <v>67</v>
      </c>
      <c r="E210" s="0" t="n">
        <v>6</v>
      </c>
      <c r="F210" s="0" t="s">
        <v>2906</v>
      </c>
      <c r="G210" s="0" t="s">
        <v>2912</v>
      </c>
      <c r="H210" s="0" t="s">
        <v>2924</v>
      </c>
      <c r="I210" s="0" t="s">
        <v>2916</v>
      </c>
    </row>
    <row r="211" customFormat="false" ht="15" hidden="false" customHeight="false" outlineLevel="0" collapsed="false">
      <c r="A211" s="0" t="s">
        <v>2905</v>
      </c>
      <c r="B211" s="0" t="s">
        <v>178</v>
      </c>
      <c r="C211" s="0" t="n">
        <v>2021</v>
      </c>
      <c r="D211" s="0" t="s">
        <v>64</v>
      </c>
      <c r="E211" s="0" t="n">
        <v>6</v>
      </c>
      <c r="F211" s="0" t="s">
        <v>2906</v>
      </c>
      <c r="G211" s="0" t="s">
        <v>2912</v>
      </c>
      <c r="H211" s="0" t="s">
        <v>2925</v>
      </c>
      <c r="I211" s="0" t="s">
        <v>2909</v>
      </c>
    </row>
    <row r="212" customFormat="false" ht="15" hidden="false" customHeight="false" outlineLevel="0" collapsed="false">
      <c r="A212" s="0" t="s">
        <v>2905</v>
      </c>
      <c r="B212" s="0" t="s">
        <v>178</v>
      </c>
      <c r="C212" s="0" t="n">
        <v>2021</v>
      </c>
      <c r="D212" s="0" t="s">
        <v>70</v>
      </c>
      <c r="E212" s="0" t="n">
        <v>6</v>
      </c>
      <c r="F212" s="0" t="s">
        <v>2906</v>
      </c>
      <c r="G212" s="0" t="s">
        <v>2912</v>
      </c>
      <c r="H212" s="0" t="s">
        <v>2925</v>
      </c>
      <c r="I212" s="0" t="s">
        <v>2909</v>
      </c>
    </row>
    <row r="213" customFormat="false" ht="15" hidden="false" customHeight="false" outlineLevel="0" collapsed="false">
      <c r="A213" s="0" t="s">
        <v>2905</v>
      </c>
      <c r="B213" s="0" t="s">
        <v>178</v>
      </c>
      <c r="C213" s="0" t="n">
        <v>2021</v>
      </c>
      <c r="D213" s="0" t="s">
        <v>73</v>
      </c>
      <c r="E213" s="0" t="n">
        <v>6</v>
      </c>
      <c r="F213" s="0" t="s">
        <v>2906</v>
      </c>
      <c r="G213" s="0" t="s">
        <v>2912</v>
      </c>
      <c r="H213" s="0" t="s">
        <v>2925</v>
      </c>
      <c r="I213" s="0" t="s">
        <v>2911</v>
      </c>
    </row>
    <row r="214" customFormat="false" ht="15" hidden="false" customHeight="false" outlineLevel="0" collapsed="false">
      <c r="A214" s="0" t="s">
        <v>2905</v>
      </c>
      <c r="B214" s="0" t="s">
        <v>178</v>
      </c>
      <c r="C214" s="0" t="n">
        <v>2021</v>
      </c>
      <c r="D214" s="0" t="s">
        <v>67</v>
      </c>
      <c r="E214" s="0" t="n">
        <v>6</v>
      </c>
      <c r="F214" s="0" t="s">
        <v>2906</v>
      </c>
      <c r="G214" s="0" t="s">
        <v>2912</v>
      </c>
      <c r="H214" s="0" t="s">
        <v>2925</v>
      </c>
      <c r="I214" s="0" t="s">
        <v>2916</v>
      </c>
    </row>
    <row r="215" customFormat="false" ht="15" hidden="false" customHeight="false" outlineLevel="0" collapsed="false">
      <c r="A215" s="0" t="s">
        <v>2905</v>
      </c>
      <c r="B215" s="0" t="s">
        <v>178</v>
      </c>
      <c r="C215" s="0" t="n">
        <v>2021</v>
      </c>
      <c r="D215" s="0" t="s">
        <v>68</v>
      </c>
      <c r="E215" s="0" t="n">
        <v>6</v>
      </c>
      <c r="F215" s="0" t="s">
        <v>2906</v>
      </c>
      <c r="G215" s="0" t="s">
        <v>2912</v>
      </c>
      <c r="H215" s="0" t="s">
        <v>2925</v>
      </c>
      <c r="I215" s="0" t="s">
        <v>2916</v>
      </c>
    </row>
    <row r="216" customFormat="false" ht="15" hidden="false" customHeight="false" outlineLevel="0" collapsed="false">
      <c r="A216" s="0" t="s">
        <v>2905</v>
      </c>
      <c r="B216" s="0" t="s">
        <v>178</v>
      </c>
      <c r="C216" s="0" t="n">
        <v>2022</v>
      </c>
      <c r="D216" s="0" t="s">
        <v>64</v>
      </c>
      <c r="E216" s="0" t="n">
        <v>6</v>
      </c>
      <c r="F216" s="0" t="s">
        <v>2906</v>
      </c>
      <c r="G216" s="0" t="s">
        <v>2912</v>
      </c>
      <c r="H216" s="0" t="s">
        <v>2925</v>
      </c>
      <c r="I216" s="0" t="s">
        <v>2909</v>
      </c>
    </row>
    <row r="217" customFormat="false" ht="15" hidden="false" customHeight="false" outlineLevel="0" collapsed="false">
      <c r="A217" s="0" t="s">
        <v>2905</v>
      </c>
      <c r="B217" s="0" t="s">
        <v>178</v>
      </c>
      <c r="C217" s="0" t="n">
        <v>2022</v>
      </c>
      <c r="D217" s="0" t="s">
        <v>73</v>
      </c>
      <c r="E217" s="0" t="n">
        <v>6</v>
      </c>
      <c r="F217" s="0" t="s">
        <v>2906</v>
      </c>
      <c r="G217" s="0" t="s">
        <v>2912</v>
      </c>
      <c r="H217" s="0" t="s">
        <v>2925</v>
      </c>
      <c r="I217" s="0" t="s">
        <v>2911</v>
      </c>
    </row>
    <row r="218" customFormat="false" ht="15" hidden="false" customHeight="false" outlineLevel="0" collapsed="false">
      <c r="A218" s="0" t="s">
        <v>2905</v>
      </c>
      <c r="B218" s="0" t="s">
        <v>178</v>
      </c>
      <c r="C218" s="0" t="n">
        <v>2022</v>
      </c>
      <c r="D218" s="0" t="s">
        <v>67</v>
      </c>
      <c r="E218" s="0" t="n">
        <v>6</v>
      </c>
      <c r="F218" s="0" t="s">
        <v>2906</v>
      </c>
      <c r="G218" s="0" t="s">
        <v>2912</v>
      </c>
      <c r="H218" s="0" t="s">
        <v>2925</v>
      </c>
      <c r="I218" s="0" t="s">
        <v>2916</v>
      </c>
    </row>
    <row r="219" customFormat="false" ht="15" hidden="false" customHeight="false" outlineLevel="0" collapsed="false">
      <c r="A219" s="0" t="s">
        <v>2905</v>
      </c>
      <c r="B219" s="0" t="s">
        <v>178</v>
      </c>
      <c r="C219" s="0" t="n">
        <v>2022</v>
      </c>
      <c r="D219" s="0" t="s">
        <v>68</v>
      </c>
      <c r="E219" s="0" t="n">
        <v>6</v>
      </c>
      <c r="F219" s="0" t="s">
        <v>2906</v>
      </c>
      <c r="G219" s="0" t="s">
        <v>2912</v>
      </c>
      <c r="H219" s="0" t="s">
        <v>2925</v>
      </c>
      <c r="I219" s="0" t="s">
        <v>2916</v>
      </c>
    </row>
    <row r="220" customFormat="false" ht="15" hidden="false" customHeight="false" outlineLevel="0" collapsed="false">
      <c r="A220" s="0" t="s">
        <v>2926</v>
      </c>
      <c r="B220" s="0" t="s">
        <v>178</v>
      </c>
      <c r="C220" s="0" t="n">
        <v>2022</v>
      </c>
      <c r="D220" s="0" t="s">
        <v>71</v>
      </c>
      <c r="E220" s="0" t="n">
        <v>6</v>
      </c>
      <c r="F220" s="0" t="s">
        <v>2906</v>
      </c>
      <c r="G220" s="0" t="s">
        <v>2912</v>
      </c>
      <c r="H220" s="0" t="s">
        <v>2925</v>
      </c>
      <c r="I220" s="0" t="s">
        <v>2927</v>
      </c>
    </row>
    <row r="221" customFormat="false" ht="15" hidden="false" customHeight="false" outlineLevel="0" collapsed="false">
      <c r="A221" s="0" t="s">
        <v>2905</v>
      </c>
      <c r="B221" s="0" t="s">
        <v>187</v>
      </c>
      <c r="C221" s="0" t="n">
        <v>2013</v>
      </c>
      <c r="D221" s="0" t="s">
        <v>59</v>
      </c>
      <c r="E221" s="0" t="n">
        <v>1</v>
      </c>
      <c r="F221" s="0" t="s">
        <v>2906</v>
      </c>
      <c r="G221" s="0" t="s">
        <v>2912</v>
      </c>
      <c r="H221" s="0" t="s">
        <v>2928</v>
      </c>
      <c r="I221" s="0" t="s">
        <v>2910</v>
      </c>
    </row>
    <row r="222" customFormat="false" ht="15" hidden="false" customHeight="false" outlineLevel="0" collapsed="false">
      <c r="A222" s="0" t="s">
        <v>2905</v>
      </c>
      <c r="B222" s="0" t="s">
        <v>187</v>
      </c>
      <c r="C222" s="0" t="n">
        <v>2013</v>
      </c>
      <c r="D222" s="0" t="s">
        <v>62</v>
      </c>
      <c r="E222" s="0" t="n">
        <v>1</v>
      </c>
      <c r="F222" s="0" t="s">
        <v>2906</v>
      </c>
      <c r="G222" s="0" t="s">
        <v>2912</v>
      </c>
      <c r="H222" s="0" t="s">
        <v>2928</v>
      </c>
      <c r="I222" s="0" t="s">
        <v>2909</v>
      </c>
    </row>
    <row r="223" customFormat="false" ht="15" hidden="false" customHeight="false" outlineLevel="0" collapsed="false">
      <c r="A223" s="0" t="s">
        <v>2905</v>
      </c>
      <c r="B223" s="0" t="s">
        <v>187</v>
      </c>
      <c r="C223" s="0" t="n">
        <v>2013</v>
      </c>
      <c r="D223" s="0" t="s">
        <v>63</v>
      </c>
      <c r="E223" s="0" t="n">
        <v>1</v>
      </c>
      <c r="F223" s="0" t="s">
        <v>2906</v>
      </c>
      <c r="G223" s="0" t="s">
        <v>2912</v>
      </c>
      <c r="H223" s="0" t="s">
        <v>2928</v>
      </c>
      <c r="I223" s="0" t="s">
        <v>2909</v>
      </c>
    </row>
    <row r="224" customFormat="false" ht="15" hidden="false" customHeight="false" outlineLevel="0" collapsed="false">
      <c r="A224" s="0" t="s">
        <v>2905</v>
      </c>
      <c r="B224" s="0" t="s">
        <v>187</v>
      </c>
      <c r="C224" s="0" t="n">
        <v>2013</v>
      </c>
      <c r="D224" s="0" t="s">
        <v>65</v>
      </c>
      <c r="E224" s="0" t="n">
        <v>1</v>
      </c>
      <c r="F224" s="0" t="s">
        <v>2906</v>
      </c>
      <c r="G224" s="0" t="s">
        <v>2912</v>
      </c>
      <c r="H224" s="0" t="s">
        <v>2928</v>
      </c>
      <c r="I224" s="0" t="s">
        <v>2909</v>
      </c>
    </row>
    <row r="225" customFormat="false" ht="15" hidden="false" customHeight="false" outlineLevel="0" collapsed="false">
      <c r="A225" s="0" t="s">
        <v>2905</v>
      </c>
      <c r="B225" s="0" t="s">
        <v>187</v>
      </c>
      <c r="C225" s="0" t="n">
        <v>2013</v>
      </c>
      <c r="D225" s="0" t="s">
        <v>66</v>
      </c>
      <c r="E225" s="0" t="n">
        <v>1</v>
      </c>
      <c r="F225" s="0" t="s">
        <v>2906</v>
      </c>
      <c r="G225" s="0" t="s">
        <v>2912</v>
      </c>
      <c r="H225" s="0" t="s">
        <v>2928</v>
      </c>
      <c r="I225" s="0" t="s">
        <v>2909</v>
      </c>
    </row>
    <row r="226" customFormat="false" ht="15" hidden="false" customHeight="false" outlineLevel="0" collapsed="false">
      <c r="A226" s="0" t="s">
        <v>2905</v>
      </c>
      <c r="B226" s="0" t="s">
        <v>187</v>
      </c>
      <c r="C226" s="0" t="n">
        <v>2013</v>
      </c>
      <c r="D226" s="0" t="s">
        <v>70</v>
      </c>
      <c r="E226" s="0" t="n">
        <v>1</v>
      </c>
      <c r="F226" s="0" t="s">
        <v>2906</v>
      </c>
      <c r="G226" s="0" t="s">
        <v>2912</v>
      </c>
      <c r="H226" s="0" t="s">
        <v>2928</v>
      </c>
      <c r="I226" s="0" t="s">
        <v>2909</v>
      </c>
    </row>
    <row r="227" customFormat="false" ht="15" hidden="false" customHeight="false" outlineLevel="0" collapsed="false">
      <c r="A227" s="0" t="s">
        <v>2905</v>
      </c>
      <c r="B227" s="0" t="s">
        <v>187</v>
      </c>
      <c r="C227" s="0" t="n">
        <v>2013</v>
      </c>
      <c r="D227" s="0" t="s">
        <v>71</v>
      </c>
      <c r="E227" s="0" t="n">
        <v>1</v>
      </c>
      <c r="F227" s="0" t="s">
        <v>2906</v>
      </c>
      <c r="G227" s="0" t="s">
        <v>2912</v>
      </c>
      <c r="H227" s="0" t="s">
        <v>2928</v>
      </c>
      <c r="I227" s="0" t="s">
        <v>2909</v>
      </c>
    </row>
    <row r="228" customFormat="false" ht="15" hidden="false" customHeight="false" outlineLevel="0" collapsed="false">
      <c r="A228" s="0" t="s">
        <v>2905</v>
      </c>
      <c r="B228" s="0" t="s">
        <v>187</v>
      </c>
      <c r="C228" s="0" t="n">
        <v>2013</v>
      </c>
      <c r="D228" s="0" t="s">
        <v>73</v>
      </c>
      <c r="E228" s="0" t="n">
        <v>1</v>
      </c>
      <c r="F228" s="0" t="s">
        <v>2906</v>
      </c>
      <c r="G228" s="0" t="s">
        <v>2912</v>
      </c>
      <c r="H228" s="0" t="s">
        <v>2928</v>
      </c>
      <c r="I228" s="0" t="s">
        <v>2911</v>
      </c>
    </row>
    <row r="229" customFormat="false" ht="15" hidden="false" customHeight="false" outlineLevel="0" collapsed="false">
      <c r="A229" s="0" t="s">
        <v>2905</v>
      </c>
      <c r="B229" s="0" t="s">
        <v>187</v>
      </c>
      <c r="C229" s="0" t="n">
        <v>2014</v>
      </c>
      <c r="D229" s="0" t="s">
        <v>62</v>
      </c>
      <c r="E229" s="0" t="n">
        <v>1</v>
      </c>
      <c r="F229" s="0" t="s">
        <v>2906</v>
      </c>
      <c r="G229" s="0" t="s">
        <v>2912</v>
      </c>
      <c r="H229" s="0" t="s">
        <v>2928</v>
      </c>
      <c r="I229" s="0" t="s">
        <v>2909</v>
      </c>
    </row>
    <row r="230" customFormat="false" ht="15" hidden="false" customHeight="false" outlineLevel="0" collapsed="false">
      <c r="A230" s="0" t="s">
        <v>2905</v>
      </c>
      <c r="B230" s="0" t="s">
        <v>187</v>
      </c>
      <c r="C230" s="0" t="n">
        <v>2014</v>
      </c>
      <c r="D230" s="0" t="s">
        <v>63</v>
      </c>
      <c r="E230" s="0" t="n">
        <v>1</v>
      </c>
      <c r="F230" s="0" t="s">
        <v>2906</v>
      </c>
      <c r="G230" s="0" t="s">
        <v>2912</v>
      </c>
      <c r="H230" s="0" t="s">
        <v>2928</v>
      </c>
      <c r="I230" s="0" t="s">
        <v>2909</v>
      </c>
    </row>
    <row r="231" customFormat="false" ht="15" hidden="false" customHeight="false" outlineLevel="0" collapsed="false">
      <c r="A231" s="0" t="s">
        <v>2905</v>
      </c>
      <c r="B231" s="0" t="s">
        <v>187</v>
      </c>
      <c r="C231" s="0" t="n">
        <v>2014</v>
      </c>
      <c r="D231" s="0" t="s">
        <v>65</v>
      </c>
      <c r="E231" s="0" t="n">
        <v>1</v>
      </c>
      <c r="F231" s="0" t="s">
        <v>2906</v>
      </c>
      <c r="G231" s="0" t="s">
        <v>2912</v>
      </c>
      <c r="H231" s="0" t="s">
        <v>2928</v>
      </c>
      <c r="I231" s="0" t="s">
        <v>2909</v>
      </c>
    </row>
    <row r="232" customFormat="false" ht="15" hidden="false" customHeight="false" outlineLevel="0" collapsed="false">
      <c r="A232" s="0" t="s">
        <v>2905</v>
      </c>
      <c r="B232" s="0" t="s">
        <v>187</v>
      </c>
      <c r="C232" s="0" t="n">
        <v>2014</v>
      </c>
      <c r="D232" s="0" t="s">
        <v>66</v>
      </c>
      <c r="E232" s="0" t="n">
        <v>1</v>
      </c>
      <c r="F232" s="0" t="s">
        <v>2906</v>
      </c>
      <c r="G232" s="0" t="s">
        <v>2912</v>
      </c>
      <c r="H232" s="0" t="s">
        <v>2928</v>
      </c>
      <c r="I232" s="0" t="s">
        <v>2909</v>
      </c>
    </row>
    <row r="233" customFormat="false" ht="15" hidden="false" customHeight="false" outlineLevel="0" collapsed="false">
      <c r="A233" s="0" t="s">
        <v>2905</v>
      </c>
      <c r="B233" s="0" t="s">
        <v>187</v>
      </c>
      <c r="C233" s="0" t="n">
        <v>2014</v>
      </c>
      <c r="D233" s="0" t="s">
        <v>70</v>
      </c>
      <c r="E233" s="0" t="n">
        <v>1</v>
      </c>
      <c r="F233" s="0" t="s">
        <v>2906</v>
      </c>
      <c r="G233" s="0" t="s">
        <v>2912</v>
      </c>
      <c r="H233" s="0" t="s">
        <v>2928</v>
      </c>
      <c r="I233" s="0" t="s">
        <v>2909</v>
      </c>
    </row>
    <row r="234" customFormat="false" ht="15" hidden="false" customHeight="false" outlineLevel="0" collapsed="false">
      <c r="A234" s="0" t="s">
        <v>2905</v>
      </c>
      <c r="B234" s="0" t="s">
        <v>187</v>
      </c>
      <c r="C234" s="0" t="n">
        <v>2014</v>
      </c>
      <c r="D234" s="0" t="s">
        <v>71</v>
      </c>
      <c r="E234" s="0" t="n">
        <v>1</v>
      </c>
      <c r="F234" s="0" t="s">
        <v>2906</v>
      </c>
      <c r="G234" s="0" t="s">
        <v>2912</v>
      </c>
      <c r="H234" s="0" t="s">
        <v>2928</v>
      </c>
      <c r="I234" s="0" t="s">
        <v>2909</v>
      </c>
    </row>
    <row r="235" customFormat="false" ht="15" hidden="false" customHeight="false" outlineLevel="0" collapsed="false">
      <c r="A235" s="0" t="s">
        <v>2905</v>
      </c>
      <c r="B235" s="0" t="s">
        <v>187</v>
      </c>
      <c r="C235" s="0" t="n">
        <v>2014</v>
      </c>
      <c r="D235" s="0" t="s">
        <v>73</v>
      </c>
      <c r="E235" s="0" t="n">
        <v>1</v>
      </c>
      <c r="F235" s="0" t="s">
        <v>2906</v>
      </c>
      <c r="G235" s="0" t="s">
        <v>2912</v>
      </c>
      <c r="H235" s="0" t="s">
        <v>2928</v>
      </c>
      <c r="I235" s="0" t="s">
        <v>2911</v>
      </c>
    </row>
    <row r="236" customFormat="false" ht="15" hidden="false" customHeight="false" outlineLevel="0" collapsed="false">
      <c r="A236" s="0" t="s">
        <v>2905</v>
      </c>
      <c r="B236" s="0" t="s">
        <v>187</v>
      </c>
      <c r="C236" s="0" t="n">
        <v>2017</v>
      </c>
      <c r="D236" s="0" t="s">
        <v>307</v>
      </c>
      <c r="E236" s="0" t="n">
        <v>1</v>
      </c>
      <c r="F236" s="0" t="s">
        <v>2906</v>
      </c>
      <c r="G236" s="0" t="s">
        <v>2912</v>
      </c>
      <c r="H236" s="0" t="s">
        <v>2929</v>
      </c>
      <c r="I236" s="0" t="s">
        <v>2909</v>
      </c>
    </row>
    <row r="237" customFormat="false" ht="15" hidden="false" customHeight="false" outlineLevel="0" collapsed="false">
      <c r="A237" s="0" t="s">
        <v>2905</v>
      </c>
      <c r="B237" s="0" t="s">
        <v>187</v>
      </c>
      <c r="C237" s="0" t="n">
        <v>2017</v>
      </c>
      <c r="D237" s="0" t="s">
        <v>71</v>
      </c>
      <c r="E237" s="0" t="n">
        <v>1</v>
      </c>
      <c r="F237" s="0" t="s">
        <v>2906</v>
      </c>
      <c r="G237" s="0" t="s">
        <v>2912</v>
      </c>
      <c r="H237" s="0" t="s">
        <v>2929</v>
      </c>
      <c r="I237" s="0" t="s">
        <v>2909</v>
      </c>
    </row>
    <row r="238" customFormat="false" ht="15" hidden="false" customHeight="false" outlineLevel="0" collapsed="false">
      <c r="A238" s="0" t="s">
        <v>2905</v>
      </c>
      <c r="B238" s="0" t="s">
        <v>187</v>
      </c>
      <c r="C238" s="0" t="n">
        <v>2017</v>
      </c>
      <c r="D238" s="0" t="s">
        <v>73</v>
      </c>
      <c r="E238" s="0" t="n">
        <v>1</v>
      </c>
      <c r="F238" s="0" t="s">
        <v>2906</v>
      </c>
      <c r="G238" s="0" t="s">
        <v>2912</v>
      </c>
      <c r="H238" s="0" t="s">
        <v>2929</v>
      </c>
      <c r="I238" s="0" t="s">
        <v>2911</v>
      </c>
    </row>
    <row r="239" customFormat="false" ht="15" hidden="false" customHeight="false" outlineLevel="0" collapsed="false">
      <c r="A239" s="0" t="s">
        <v>2905</v>
      </c>
      <c r="B239" s="0" t="s">
        <v>187</v>
      </c>
      <c r="C239" s="0" t="n">
        <v>2018</v>
      </c>
      <c r="D239" s="0" t="s">
        <v>71</v>
      </c>
      <c r="E239" s="0" t="n">
        <v>1</v>
      </c>
      <c r="F239" s="0" t="s">
        <v>2906</v>
      </c>
      <c r="G239" s="0" t="s">
        <v>2912</v>
      </c>
      <c r="H239" s="0" t="s">
        <v>2929</v>
      </c>
      <c r="I239" s="0" t="s">
        <v>2909</v>
      </c>
    </row>
    <row r="240" customFormat="false" ht="15" hidden="false" customHeight="false" outlineLevel="0" collapsed="false">
      <c r="A240" s="0" t="s">
        <v>2926</v>
      </c>
      <c r="B240" s="0" t="s">
        <v>187</v>
      </c>
      <c r="C240" s="0" t="n">
        <v>2018</v>
      </c>
      <c r="D240" s="0" t="s">
        <v>61</v>
      </c>
      <c r="E240" s="0" t="n">
        <v>1</v>
      </c>
      <c r="F240" s="0" t="s">
        <v>2906</v>
      </c>
      <c r="G240" s="0" t="s">
        <v>2912</v>
      </c>
      <c r="H240" s="0" t="s">
        <v>2929</v>
      </c>
      <c r="I240" s="0" t="s">
        <v>2930</v>
      </c>
    </row>
    <row r="241" customFormat="false" ht="15" hidden="false" customHeight="false" outlineLevel="0" collapsed="false">
      <c r="A241" s="0" t="s">
        <v>2905</v>
      </c>
      <c r="B241" s="0" t="s">
        <v>187</v>
      </c>
      <c r="C241" s="0" t="n">
        <v>2019</v>
      </c>
      <c r="D241" s="0" t="s">
        <v>307</v>
      </c>
      <c r="E241" s="0" t="n">
        <v>1</v>
      </c>
      <c r="F241" s="0" t="s">
        <v>2906</v>
      </c>
      <c r="G241" s="0" t="s">
        <v>2912</v>
      </c>
      <c r="H241" s="0" t="s">
        <v>2931</v>
      </c>
      <c r="I241" s="0" t="s">
        <v>2909</v>
      </c>
    </row>
    <row r="242" customFormat="false" ht="15" hidden="false" customHeight="false" outlineLevel="0" collapsed="false">
      <c r="A242" s="0" t="s">
        <v>2905</v>
      </c>
      <c r="B242" s="0" t="s">
        <v>187</v>
      </c>
      <c r="C242" s="0" t="n">
        <v>2019</v>
      </c>
      <c r="D242" s="0" t="s">
        <v>71</v>
      </c>
      <c r="E242" s="0" t="n">
        <v>1</v>
      </c>
      <c r="F242" s="0" t="s">
        <v>2906</v>
      </c>
      <c r="G242" s="0" t="s">
        <v>2912</v>
      </c>
      <c r="H242" s="0" t="s">
        <v>2931</v>
      </c>
      <c r="I242" s="0" t="s">
        <v>2909</v>
      </c>
    </row>
    <row r="243" customFormat="false" ht="15" hidden="false" customHeight="false" outlineLevel="0" collapsed="false">
      <c r="A243" s="0" t="s">
        <v>2905</v>
      </c>
      <c r="B243" s="0" t="s">
        <v>187</v>
      </c>
      <c r="C243" s="0" t="n">
        <v>2019</v>
      </c>
      <c r="D243" s="0" t="s">
        <v>73</v>
      </c>
      <c r="E243" s="0" t="n">
        <v>1</v>
      </c>
      <c r="F243" s="0" t="s">
        <v>2906</v>
      </c>
      <c r="G243" s="0" t="s">
        <v>2912</v>
      </c>
      <c r="H243" s="0" t="s">
        <v>2931</v>
      </c>
      <c r="I243" s="0" t="s">
        <v>2911</v>
      </c>
    </row>
    <row r="244" customFormat="false" ht="15" hidden="false" customHeight="false" outlineLevel="0" collapsed="false">
      <c r="A244" s="0" t="s">
        <v>2905</v>
      </c>
      <c r="B244" s="0" t="s">
        <v>187</v>
      </c>
      <c r="C244" s="0" t="n">
        <v>2020</v>
      </c>
      <c r="D244" s="0" t="s">
        <v>307</v>
      </c>
      <c r="E244" s="0" t="n">
        <v>1</v>
      </c>
      <c r="F244" s="0" t="s">
        <v>2906</v>
      </c>
      <c r="G244" s="0" t="s">
        <v>2912</v>
      </c>
      <c r="H244" s="0" t="s">
        <v>2931</v>
      </c>
      <c r="I244" s="0" t="s">
        <v>2909</v>
      </c>
    </row>
    <row r="245" customFormat="false" ht="15" hidden="false" customHeight="false" outlineLevel="0" collapsed="false">
      <c r="A245" s="0" t="s">
        <v>2905</v>
      </c>
      <c r="B245" s="0" t="s">
        <v>187</v>
      </c>
      <c r="C245" s="0" t="n">
        <v>2020</v>
      </c>
      <c r="D245" s="0" t="s">
        <v>64</v>
      </c>
      <c r="E245" s="0" t="n">
        <v>1</v>
      </c>
      <c r="F245" s="0" t="s">
        <v>2906</v>
      </c>
      <c r="G245" s="0" t="s">
        <v>2912</v>
      </c>
      <c r="H245" s="0" t="s">
        <v>2931</v>
      </c>
      <c r="I245" s="0" t="s">
        <v>2909</v>
      </c>
    </row>
    <row r="246" customFormat="false" ht="15" hidden="false" customHeight="false" outlineLevel="0" collapsed="false">
      <c r="A246" s="0" t="s">
        <v>2905</v>
      </c>
      <c r="B246" s="0" t="s">
        <v>187</v>
      </c>
      <c r="C246" s="0" t="n">
        <v>2020</v>
      </c>
      <c r="D246" s="0" t="s">
        <v>71</v>
      </c>
      <c r="E246" s="0" t="n">
        <v>1</v>
      </c>
      <c r="F246" s="0" t="s">
        <v>2906</v>
      </c>
      <c r="G246" s="0" t="s">
        <v>2912</v>
      </c>
      <c r="H246" s="0" t="s">
        <v>2931</v>
      </c>
      <c r="I246" s="0" t="s">
        <v>2909</v>
      </c>
    </row>
    <row r="247" customFormat="false" ht="15" hidden="false" customHeight="false" outlineLevel="0" collapsed="false">
      <c r="A247" s="0" t="s">
        <v>2905</v>
      </c>
      <c r="B247" s="0" t="s">
        <v>187</v>
      </c>
      <c r="C247" s="0" t="n">
        <v>2021</v>
      </c>
      <c r="D247" s="0" t="s">
        <v>307</v>
      </c>
      <c r="E247" s="0" t="n">
        <v>1</v>
      </c>
      <c r="F247" s="0" t="s">
        <v>2906</v>
      </c>
      <c r="G247" s="0" t="s">
        <v>2912</v>
      </c>
      <c r="H247" s="0" t="s">
        <v>2932</v>
      </c>
      <c r="I247" s="0" t="s">
        <v>2909</v>
      </c>
    </row>
    <row r="248" customFormat="false" ht="15" hidden="false" customHeight="false" outlineLevel="0" collapsed="false">
      <c r="A248" s="0" t="s">
        <v>2905</v>
      </c>
      <c r="B248" s="0" t="s">
        <v>187</v>
      </c>
      <c r="C248" s="0" t="n">
        <v>2021</v>
      </c>
      <c r="D248" s="0" t="s">
        <v>70</v>
      </c>
      <c r="E248" s="0" t="n">
        <v>1</v>
      </c>
      <c r="F248" s="0" t="s">
        <v>2906</v>
      </c>
      <c r="G248" s="0" t="s">
        <v>2912</v>
      </c>
      <c r="H248" s="0" t="s">
        <v>2932</v>
      </c>
      <c r="I248" s="0" t="s">
        <v>2909</v>
      </c>
    </row>
    <row r="249" customFormat="false" ht="15" hidden="false" customHeight="false" outlineLevel="0" collapsed="false">
      <c r="A249" s="0" t="s">
        <v>2905</v>
      </c>
      <c r="B249" s="0" t="s">
        <v>187</v>
      </c>
      <c r="C249" s="0" t="n">
        <v>2021</v>
      </c>
      <c r="D249" s="0" t="s">
        <v>71</v>
      </c>
      <c r="E249" s="0" t="n">
        <v>1</v>
      </c>
      <c r="F249" s="0" t="s">
        <v>2906</v>
      </c>
      <c r="G249" s="0" t="s">
        <v>2912</v>
      </c>
      <c r="H249" s="0" t="s">
        <v>2932</v>
      </c>
      <c r="I249" s="0" t="s">
        <v>2909</v>
      </c>
    </row>
    <row r="250" customFormat="false" ht="15" hidden="false" customHeight="false" outlineLevel="0" collapsed="false">
      <c r="A250" s="0" t="s">
        <v>2905</v>
      </c>
      <c r="B250" s="0" t="s">
        <v>187</v>
      </c>
      <c r="C250" s="0" t="n">
        <v>2021</v>
      </c>
      <c r="D250" s="0" t="s">
        <v>73</v>
      </c>
      <c r="E250" s="0" t="n">
        <v>1</v>
      </c>
      <c r="F250" s="0" t="s">
        <v>2906</v>
      </c>
      <c r="G250" s="0" t="s">
        <v>2912</v>
      </c>
      <c r="H250" s="0" t="s">
        <v>2932</v>
      </c>
      <c r="I250" s="0" t="s">
        <v>2911</v>
      </c>
    </row>
    <row r="251" customFormat="false" ht="15" hidden="false" customHeight="false" outlineLevel="0" collapsed="false">
      <c r="A251" s="0" t="s">
        <v>2905</v>
      </c>
      <c r="B251" s="0" t="s">
        <v>187</v>
      </c>
      <c r="C251" s="0" t="n">
        <v>2022</v>
      </c>
      <c r="D251" s="0" t="s">
        <v>307</v>
      </c>
      <c r="E251" s="0" t="n">
        <v>1</v>
      </c>
      <c r="F251" s="0" t="s">
        <v>2906</v>
      </c>
      <c r="G251" s="0" t="s">
        <v>2912</v>
      </c>
      <c r="H251" s="0" t="s">
        <v>2932</v>
      </c>
      <c r="I251" s="0" t="s">
        <v>2909</v>
      </c>
    </row>
    <row r="252" customFormat="false" ht="15" hidden="false" customHeight="false" outlineLevel="0" collapsed="false">
      <c r="A252" s="0" t="s">
        <v>2905</v>
      </c>
      <c r="B252" s="0" t="s">
        <v>187</v>
      </c>
      <c r="C252" s="0" t="n">
        <v>2022</v>
      </c>
      <c r="D252" s="0" t="s">
        <v>71</v>
      </c>
      <c r="E252" s="0" t="n">
        <v>1</v>
      </c>
      <c r="F252" s="0" t="s">
        <v>2906</v>
      </c>
      <c r="G252" s="0" t="s">
        <v>2912</v>
      </c>
      <c r="H252" s="0" t="s">
        <v>2932</v>
      </c>
      <c r="I252" s="0" t="s">
        <v>2909</v>
      </c>
    </row>
    <row r="253" customFormat="false" ht="15" hidden="false" customHeight="false" outlineLevel="0" collapsed="false">
      <c r="A253" s="0" t="s">
        <v>2905</v>
      </c>
      <c r="B253" s="0" t="s">
        <v>187</v>
      </c>
      <c r="C253" s="0" t="n">
        <v>2022</v>
      </c>
      <c r="D253" s="0" t="s">
        <v>68</v>
      </c>
      <c r="E253" s="0" t="n">
        <v>1</v>
      </c>
      <c r="F253" s="0" t="s">
        <v>2906</v>
      </c>
      <c r="G253" s="0" t="s">
        <v>2912</v>
      </c>
      <c r="H253" s="0" t="s">
        <v>2932</v>
      </c>
      <c r="I253" s="0" t="s">
        <v>2916</v>
      </c>
    </row>
    <row r="254" customFormat="false" ht="15" hidden="false" customHeight="false" outlineLevel="0" collapsed="false">
      <c r="A254" s="0" t="s">
        <v>2905</v>
      </c>
      <c r="B254" s="0" t="s">
        <v>201</v>
      </c>
      <c r="C254" s="0" t="n">
        <v>2018</v>
      </c>
      <c r="D254" s="0" t="s">
        <v>59</v>
      </c>
      <c r="E254" s="0" t="n">
        <v>6</v>
      </c>
      <c r="F254" s="0" t="s">
        <v>2906</v>
      </c>
      <c r="G254" s="0" t="s">
        <v>2912</v>
      </c>
      <c r="H254" s="0" t="s">
        <v>2933</v>
      </c>
      <c r="I254" s="0" t="s">
        <v>2910</v>
      </c>
    </row>
    <row r="255" customFormat="false" ht="15" hidden="false" customHeight="false" outlineLevel="0" collapsed="false">
      <c r="A255" s="0" t="s">
        <v>2905</v>
      </c>
      <c r="B255" s="0" t="s">
        <v>201</v>
      </c>
      <c r="C255" s="0" t="n">
        <v>2018</v>
      </c>
      <c r="D255" s="0" t="s">
        <v>62</v>
      </c>
      <c r="E255" s="0" t="n">
        <v>6</v>
      </c>
      <c r="F255" s="0" t="s">
        <v>2906</v>
      </c>
      <c r="G255" s="0" t="s">
        <v>2912</v>
      </c>
      <c r="H255" s="0" t="s">
        <v>2933</v>
      </c>
      <c r="I255" s="0" t="s">
        <v>2909</v>
      </c>
    </row>
    <row r="256" customFormat="false" ht="15" hidden="false" customHeight="false" outlineLevel="0" collapsed="false">
      <c r="A256" s="0" t="s">
        <v>2905</v>
      </c>
      <c r="B256" s="0" t="s">
        <v>201</v>
      </c>
      <c r="C256" s="0" t="n">
        <v>2018</v>
      </c>
      <c r="D256" s="0" t="s">
        <v>307</v>
      </c>
      <c r="E256" s="0" t="n">
        <v>6</v>
      </c>
      <c r="F256" s="0" t="s">
        <v>2906</v>
      </c>
      <c r="G256" s="0" t="s">
        <v>2912</v>
      </c>
      <c r="H256" s="0" t="s">
        <v>2933</v>
      </c>
      <c r="I256" s="0" t="s">
        <v>2909</v>
      </c>
    </row>
    <row r="257" customFormat="false" ht="15" hidden="false" customHeight="false" outlineLevel="0" collapsed="false">
      <c r="A257" s="0" t="s">
        <v>2905</v>
      </c>
      <c r="B257" s="0" t="s">
        <v>201</v>
      </c>
      <c r="C257" s="0" t="n">
        <v>2018</v>
      </c>
      <c r="D257" s="0" t="s">
        <v>64</v>
      </c>
      <c r="E257" s="0" t="n">
        <v>6</v>
      </c>
      <c r="F257" s="0" t="s">
        <v>2906</v>
      </c>
      <c r="G257" s="0" t="s">
        <v>2912</v>
      </c>
      <c r="H257" s="0" t="s">
        <v>2933</v>
      </c>
      <c r="I257" s="0" t="s">
        <v>2909</v>
      </c>
    </row>
    <row r="258" customFormat="false" ht="15" hidden="false" customHeight="false" outlineLevel="0" collapsed="false">
      <c r="A258" s="0" t="s">
        <v>2905</v>
      </c>
      <c r="B258" s="0" t="s">
        <v>201</v>
      </c>
      <c r="C258" s="0" t="n">
        <v>2018</v>
      </c>
      <c r="D258" s="0" t="s">
        <v>65</v>
      </c>
      <c r="E258" s="0" t="n">
        <v>6</v>
      </c>
      <c r="F258" s="0" t="s">
        <v>2906</v>
      </c>
      <c r="G258" s="0" t="s">
        <v>2912</v>
      </c>
      <c r="H258" s="0" t="s">
        <v>2933</v>
      </c>
      <c r="I258" s="0" t="s">
        <v>2909</v>
      </c>
    </row>
    <row r="259" customFormat="false" ht="15" hidden="false" customHeight="false" outlineLevel="0" collapsed="false">
      <c r="A259" s="0" t="s">
        <v>2905</v>
      </c>
      <c r="B259" s="0" t="s">
        <v>201</v>
      </c>
      <c r="C259" s="0" t="n">
        <v>2018</v>
      </c>
      <c r="D259" s="0" t="s">
        <v>66</v>
      </c>
      <c r="E259" s="0" t="n">
        <v>6</v>
      </c>
      <c r="F259" s="0" t="s">
        <v>2906</v>
      </c>
      <c r="G259" s="0" t="s">
        <v>2912</v>
      </c>
      <c r="H259" s="0" t="s">
        <v>2933</v>
      </c>
      <c r="I259" s="0" t="s">
        <v>2909</v>
      </c>
    </row>
    <row r="260" customFormat="false" ht="15" hidden="false" customHeight="false" outlineLevel="0" collapsed="false">
      <c r="A260" s="0" t="s">
        <v>2905</v>
      </c>
      <c r="B260" s="0" t="s">
        <v>201</v>
      </c>
      <c r="C260" s="0" t="n">
        <v>2018</v>
      </c>
      <c r="D260" s="0" t="s">
        <v>71</v>
      </c>
      <c r="E260" s="0" t="n">
        <v>6</v>
      </c>
      <c r="F260" s="0" t="s">
        <v>2906</v>
      </c>
      <c r="G260" s="0" t="s">
        <v>2912</v>
      </c>
      <c r="H260" s="0" t="s">
        <v>2933</v>
      </c>
      <c r="I260" s="0" t="s">
        <v>2909</v>
      </c>
    </row>
    <row r="261" customFormat="false" ht="15" hidden="false" customHeight="false" outlineLevel="0" collapsed="false">
      <c r="A261" s="0" t="s">
        <v>2905</v>
      </c>
      <c r="B261" s="0" t="s">
        <v>201</v>
      </c>
      <c r="C261" s="0" t="n">
        <v>2018</v>
      </c>
      <c r="D261" s="0" t="s">
        <v>73</v>
      </c>
      <c r="E261" s="0" t="n">
        <v>6</v>
      </c>
      <c r="F261" s="0" t="s">
        <v>2906</v>
      </c>
      <c r="G261" s="0" t="s">
        <v>2912</v>
      </c>
      <c r="H261" s="0" t="s">
        <v>2933</v>
      </c>
      <c r="I261" s="0" t="s">
        <v>2911</v>
      </c>
    </row>
    <row r="262" customFormat="false" ht="15" hidden="false" customHeight="false" outlineLevel="0" collapsed="false">
      <c r="A262" s="0" t="s">
        <v>2905</v>
      </c>
      <c r="B262" s="0" t="s">
        <v>201</v>
      </c>
      <c r="C262" s="0" t="n">
        <v>2018</v>
      </c>
      <c r="D262" s="0" t="s">
        <v>67</v>
      </c>
      <c r="E262" s="0" t="n">
        <v>6</v>
      </c>
      <c r="F262" s="0" t="s">
        <v>2906</v>
      </c>
      <c r="G262" s="0" t="s">
        <v>2912</v>
      </c>
      <c r="H262" s="0" t="s">
        <v>2933</v>
      </c>
      <c r="I262" s="0" t="s">
        <v>2916</v>
      </c>
    </row>
    <row r="263" customFormat="false" ht="15" hidden="false" customHeight="false" outlineLevel="0" collapsed="false">
      <c r="A263" s="0" t="s">
        <v>2905</v>
      </c>
      <c r="B263" s="0" t="s">
        <v>201</v>
      </c>
      <c r="C263" s="0" t="n">
        <v>2018</v>
      </c>
      <c r="D263" s="0" t="s">
        <v>68</v>
      </c>
      <c r="E263" s="0" t="n">
        <v>6</v>
      </c>
      <c r="F263" s="0" t="s">
        <v>2906</v>
      </c>
      <c r="G263" s="0" t="s">
        <v>2912</v>
      </c>
      <c r="H263" s="0" t="s">
        <v>2933</v>
      </c>
      <c r="I263" s="0" t="s">
        <v>2916</v>
      </c>
    </row>
    <row r="264" customFormat="false" ht="15" hidden="false" customHeight="false" outlineLevel="0" collapsed="false">
      <c r="A264" s="0" t="s">
        <v>2905</v>
      </c>
      <c r="B264" s="0" t="s">
        <v>201</v>
      </c>
      <c r="C264" s="0" t="n">
        <v>2019</v>
      </c>
      <c r="D264" s="0" t="s">
        <v>62</v>
      </c>
      <c r="E264" s="0" t="n">
        <v>6</v>
      </c>
      <c r="F264" s="0" t="s">
        <v>2906</v>
      </c>
      <c r="G264" s="0" t="s">
        <v>2912</v>
      </c>
      <c r="H264" s="0" t="s">
        <v>2933</v>
      </c>
      <c r="I264" s="0" t="s">
        <v>2909</v>
      </c>
    </row>
    <row r="265" customFormat="false" ht="15" hidden="false" customHeight="false" outlineLevel="0" collapsed="false">
      <c r="A265" s="0" t="s">
        <v>2905</v>
      </c>
      <c r="B265" s="0" t="s">
        <v>201</v>
      </c>
      <c r="C265" s="0" t="n">
        <v>2019</v>
      </c>
      <c r="D265" s="0" t="s">
        <v>307</v>
      </c>
      <c r="E265" s="0" t="n">
        <v>6</v>
      </c>
      <c r="F265" s="0" t="s">
        <v>2906</v>
      </c>
      <c r="G265" s="0" t="s">
        <v>2912</v>
      </c>
      <c r="H265" s="0" t="s">
        <v>2933</v>
      </c>
      <c r="I265" s="0" t="s">
        <v>2909</v>
      </c>
    </row>
    <row r="266" customFormat="false" ht="15" hidden="false" customHeight="false" outlineLevel="0" collapsed="false">
      <c r="A266" s="0" t="s">
        <v>2905</v>
      </c>
      <c r="B266" s="0" t="s">
        <v>201</v>
      </c>
      <c r="C266" s="0" t="n">
        <v>2019</v>
      </c>
      <c r="D266" s="0" t="s">
        <v>64</v>
      </c>
      <c r="E266" s="0" t="n">
        <v>6</v>
      </c>
      <c r="F266" s="0" t="s">
        <v>2906</v>
      </c>
      <c r="G266" s="0" t="s">
        <v>2912</v>
      </c>
      <c r="H266" s="0" t="s">
        <v>2933</v>
      </c>
      <c r="I266" s="0" t="s">
        <v>2909</v>
      </c>
    </row>
    <row r="267" customFormat="false" ht="15" hidden="false" customHeight="false" outlineLevel="0" collapsed="false">
      <c r="A267" s="0" t="s">
        <v>2905</v>
      </c>
      <c r="B267" s="0" t="s">
        <v>201</v>
      </c>
      <c r="C267" s="0" t="n">
        <v>2019</v>
      </c>
      <c r="D267" s="0" t="s">
        <v>65</v>
      </c>
      <c r="E267" s="0" t="n">
        <v>6</v>
      </c>
      <c r="F267" s="0" t="s">
        <v>2906</v>
      </c>
      <c r="G267" s="0" t="s">
        <v>2912</v>
      </c>
      <c r="H267" s="0" t="s">
        <v>2933</v>
      </c>
      <c r="I267" s="0" t="s">
        <v>2909</v>
      </c>
    </row>
    <row r="268" customFormat="false" ht="15" hidden="false" customHeight="false" outlineLevel="0" collapsed="false">
      <c r="A268" s="0" t="s">
        <v>2905</v>
      </c>
      <c r="B268" s="0" t="s">
        <v>201</v>
      </c>
      <c r="C268" s="0" t="n">
        <v>2019</v>
      </c>
      <c r="D268" s="0" t="s">
        <v>66</v>
      </c>
      <c r="E268" s="0" t="n">
        <v>6</v>
      </c>
      <c r="F268" s="0" t="s">
        <v>2906</v>
      </c>
      <c r="G268" s="0" t="s">
        <v>2912</v>
      </c>
      <c r="H268" s="0" t="s">
        <v>2933</v>
      </c>
      <c r="I268" s="0" t="s">
        <v>2909</v>
      </c>
    </row>
    <row r="269" customFormat="false" ht="15" hidden="false" customHeight="false" outlineLevel="0" collapsed="false">
      <c r="A269" s="0" t="s">
        <v>2905</v>
      </c>
      <c r="B269" s="0" t="s">
        <v>201</v>
      </c>
      <c r="C269" s="0" t="n">
        <v>2019</v>
      </c>
      <c r="D269" s="0" t="s">
        <v>71</v>
      </c>
      <c r="E269" s="0" t="n">
        <v>6</v>
      </c>
      <c r="F269" s="0" t="s">
        <v>2906</v>
      </c>
      <c r="G269" s="0" t="s">
        <v>2912</v>
      </c>
      <c r="H269" s="0" t="s">
        <v>2933</v>
      </c>
      <c r="I269" s="0" t="s">
        <v>2909</v>
      </c>
    </row>
    <row r="270" customFormat="false" ht="15" hidden="false" customHeight="false" outlineLevel="0" collapsed="false">
      <c r="A270" s="0" t="s">
        <v>2905</v>
      </c>
      <c r="B270" s="0" t="s">
        <v>201</v>
      </c>
      <c r="C270" s="0" t="n">
        <v>2019</v>
      </c>
      <c r="D270" s="0" t="s">
        <v>67</v>
      </c>
      <c r="E270" s="0" t="n">
        <v>6</v>
      </c>
      <c r="F270" s="0" t="s">
        <v>2906</v>
      </c>
      <c r="G270" s="0" t="s">
        <v>2912</v>
      </c>
      <c r="H270" s="0" t="s">
        <v>2933</v>
      </c>
      <c r="I270" s="0" t="s">
        <v>2916</v>
      </c>
    </row>
    <row r="271" customFormat="false" ht="15" hidden="false" customHeight="false" outlineLevel="0" collapsed="false">
      <c r="A271" s="0" t="s">
        <v>2905</v>
      </c>
      <c r="B271" s="0" t="s">
        <v>201</v>
      </c>
      <c r="C271" s="0" t="n">
        <v>2019</v>
      </c>
      <c r="D271" s="0" t="s">
        <v>68</v>
      </c>
      <c r="E271" s="0" t="n">
        <v>6</v>
      </c>
      <c r="F271" s="0" t="s">
        <v>2906</v>
      </c>
      <c r="G271" s="0" t="s">
        <v>2912</v>
      </c>
      <c r="H271" s="0" t="s">
        <v>2933</v>
      </c>
      <c r="I271" s="0" t="s">
        <v>2916</v>
      </c>
    </row>
    <row r="272" customFormat="false" ht="15" hidden="false" customHeight="false" outlineLevel="0" collapsed="false">
      <c r="A272" s="0" t="s">
        <v>2905</v>
      </c>
      <c r="B272" s="0" t="s">
        <v>211</v>
      </c>
      <c r="C272" s="0" t="n">
        <v>2014</v>
      </c>
      <c r="D272" s="0" t="s">
        <v>59</v>
      </c>
      <c r="E272" s="0" t="n">
        <v>1</v>
      </c>
      <c r="F272" s="0" t="s">
        <v>2906</v>
      </c>
      <c r="G272" s="0" t="s">
        <v>2912</v>
      </c>
      <c r="H272" s="0" t="s">
        <v>2934</v>
      </c>
      <c r="I272" s="0" t="s">
        <v>2910</v>
      </c>
    </row>
    <row r="273" customFormat="false" ht="15" hidden="false" customHeight="false" outlineLevel="0" collapsed="false">
      <c r="A273" s="0" t="s">
        <v>2905</v>
      </c>
      <c r="B273" s="0" t="s">
        <v>211</v>
      </c>
      <c r="C273" s="0" t="n">
        <v>2014</v>
      </c>
      <c r="D273" s="0" t="s">
        <v>62</v>
      </c>
      <c r="E273" s="0" t="n">
        <v>1</v>
      </c>
      <c r="F273" s="0" t="s">
        <v>2906</v>
      </c>
      <c r="G273" s="0" t="s">
        <v>2912</v>
      </c>
      <c r="H273" s="0" t="s">
        <v>2934</v>
      </c>
      <c r="I273" s="0" t="s">
        <v>2909</v>
      </c>
    </row>
    <row r="274" customFormat="false" ht="15" hidden="false" customHeight="false" outlineLevel="0" collapsed="false">
      <c r="A274" s="0" t="s">
        <v>2905</v>
      </c>
      <c r="B274" s="0" t="s">
        <v>211</v>
      </c>
      <c r="C274" s="0" t="n">
        <v>2014</v>
      </c>
      <c r="D274" s="0" t="s">
        <v>307</v>
      </c>
      <c r="E274" s="0" t="n">
        <v>1</v>
      </c>
      <c r="F274" s="0" t="s">
        <v>2906</v>
      </c>
      <c r="G274" s="0" t="s">
        <v>2912</v>
      </c>
      <c r="H274" s="0" t="s">
        <v>2934</v>
      </c>
      <c r="I274" s="0" t="s">
        <v>2909</v>
      </c>
    </row>
    <row r="275" customFormat="false" ht="15" hidden="false" customHeight="false" outlineLevel="0" collapsed="false">
      <c r="A275" s="0" t="s">
        <v>2905</v>
      </c>
      <c r="B275" s="0" t="s">
        <v>211</v>
      </c>
      <c r="C275" s="0" t="n">
        <v>2014</v>
      </c>
      <c r="D275" s="0" t="s">
        <v>64</v>
      </c>
      <c r="E275" s="0" t="n">
        <v>1</v>
      </c>
      <c r="F275" s="0" t="s">
        <v>2906</v>
      </c>
      <c r="G275" s="0" t="s">
        <v>2912</v>
      </c>
      <c r="H275" s="0" t="s">
        <v>2934</v>
      </c>
      <c r="I275" s="0" t="s">
        <v>2909</v>
      </c>
    </row>
    <row r="276" customFormat="false" ht="15" hidden="false" customHeight="false" outlineLevel="0" collapsed="false">
      <c r="A276" s="0" t="s">
        <v>2905</v>
      </c>
      <c r="B276" s="0" t="s">
        <v>211</v>
      </c>
      <c r="C276" s="0" t="n">
        <v>2014</v>
      </c>
      <c r="D276" s="0" t="s">
        <v>65</v>
      </c>
      <c r="E276" s="0" t="n">
        <v>1</v>
      </c>
      <c r="F276" s="0" t="s">
        <v>2906</v>
      </c>
      <c r="G276" s="0" t="s">
        <v>2912</v>
      </c>
      <c r="H276" s="0" t="s">
        <v>2934</v>
      </c>
      <c r="I276" s="0" t="s">
        <v>2909</v>
      </c>
    </row>
    <row r="277" customFormat="false" ht="15" hidden="false" customHeight="false" outlineLevel="0" collapsed="false">
      <c r="A277" s="0" t="s">
        <v>2905</v>
      </c>
      <c r="B277" s="0" t="s">
        <v>211</v>
      </c>
      <c r="C277" s="0" t="n">
        <v>2014</v>
      </c>
      <c r="D277" s="0" t="s">
        <v>66</v>
      </c>
      <c r="E277" s="0" t="n">
        <v>1</v>
      </c>
      <c r="F277" s="0" t="s">
        <v>2906</v>
      </c>
      <c r="G277" s="0" t="s">
        <v>2912</v>
      </c>
      <c r="H277" s="0" t="s">
        <v>2934</v>
      </c>
      <c r="I277" s="0" t="s">
        <v>2909</v>
      </c>
    </row>
    <row r="278" customFormat="false" ht="15" hidden="false" customHeight="false" outlineLevel="0" collapsed="false">
      <c r="A278" s="0" t="s">
        <v>2905</v>
      </c>
      <c r="B278" s="0" t="s">
        <v>211</v>
      </c>
      <c r="C278" s="0" t="n">
        <v>2014</v>
      </c>
      <c r="D278" s="0" t="s">
        <v>70</v>
      </c>
      <c r="E278" s="0" t="n">
        <v>1</v>
      </c>
      <c r="F278" s="0" t="s">
        <v>2906</v>
      </c>
      <c r="G278" s="0" t="s">
        <v>2912</v>
      </c>
      <c r="H278" s="0" t="s">
        <v>2934</v>
      </c>
      <c r="I278" s="0" t="s">
        <v>2909</v>
      </c>
    </row>
    <row r="279" customFormat="false" ht="15" hidden="false" customHeight="false" outlineLevel="0" collapsed="false">
      <c r="A279" s="0" t="s">
        <v>2905</v>
      </c>
      <c r="B279" s="0" t="s">
        <v>211</v>
      </c>
      <c r="C279" s="0" t="n">
        <v>2014</v>
      </c>
      <c r="D279" s="0" t="s">
        <v>71</v>
      </c>
      <c r="E279" s="0" t="n">
        <v>1</v>
      </c>
      <c r="F279" s="0" t="s">
        <v>2906</v>
      </c>
      <c r="G279" s="0" t="s">
        <v>2912</v>
      </c>
      <c r="H279" s="0" t="s">
        <v>2934</v>
      </c>
      <c r="I279" s="0" t="s">
        <v>2909</v>
      </c>
    </row>
    <row r="280" customFormat="false" ht="15" hidden="false" customHeight="false" outlineLevel="0" collapsed="false">
      <c r="A280" s="0" t="s">
        <v>2905</v>
      </c>
      <c r="B280" s="0" t="s">
        <v>211</v>
      </c>
      <c r="C280" s="0" t="n">
        <v>2014</v>
      </c>
      <c r="D280" s="0" t="s">
        <v>73</v>
      </c>
      <c r="E280" s="0" t="n">
        <v>1</v>
      </c>
      <c r="F280" s="0" t="s">
        <v>2906</v>
      </c>
      <c r="G280" s="0" t="s">
        <v>2912</v>
      </c>
      <c r="H280" s="0" t="s">
        <v>2934</v>
      </c>
      <c r="I280" s="0" t="s">
        <v>2911</v>
      </c>
    </row>
    <row r="281" customFormat="false" ht="15" hidden="false" customHeight="false" outlineLevel="0" collapsed="false">
      <c r="A281" s="0" t="s">
        <v>2905</v>
      </c>
      <c r="B281" s="0" t="s">
        <v>211</v>
      </c>
      <c r="C281" s="0" t="n">
        <v>2015</v>
      </c>
      <c r="D281" s="0" t="s">
        <v>62</v>
      </c>
      <c r="E281" s="0" t="n">
        <v>1</v>
      </c>
      <c r="F281" s="0" t="s">
        <v>2906</v>
      </c>
      <c r="G281" s="0" t="s">
        <v>2912</v>
      </c>
      <c r="H281" s="0" t="s">
        <v>2935</v>
      </c>
      <c r="I281" s="0" t="s">
        <v>2909</v>
      </c>
    </row>
    <row r="282" customFormat="false" ht="15" hidden="false" customHeight="false" outlineLevel="0" collapsed="false">
      <c r="A282" s="0" t="s">
        <v>2905</v>
      </c>
      <c r="B282" s="0" t="s">
        <v>211</v>
      </c>
      <c r="C282" s="0" t="n">
        <v>2015</v>
      </c>
      <c r="D282" s="0" t="s">
        <v>307</v>
      </c>
      <c r="E282" s="0" t="n">
        <v>1</v>
      </c>
      <c r="F282" s="0" t="s">
        <v>2906</v>
      </c>
      <c r="G282" s="0" t="s">
        <v>2912</v>
      </c>
      <c r="H282" s="0" t="s">
        <v>2935</v>
      </c>
      <c r="I282" s="0" t="s">
        <v>2909</v>
      </c>
    </row>
    <row r="283" customFormat="false" ht="15" hidden="false" customHeight="false" outlineLevel="0" collapsed="false">
      <c r="A283" s="0" t="s">
        <v>2905</v>
      </c>
      <c r="B283" s="0" t="s">
        <v>211</v>
      </c>
      <c r="C283" s="0" t="n">
        <v>2015</v>
      </c>
      <c r="D283" s="0" t="s">
        <v>64</v>
      </c>
      <c r="E283" s="0" t="n">
        <v>1</v>
      </c>
      <c r="F283" s="0" t="s">
        <v>2906</v>
      </c>
      <c r="G283" s="0" t="s">
        <v>2912</v>
      </c>
      <c r="H283" s="0" t="s">
        <v>2935</v>
      </c>
      <c r="I283" s="0" t="s">
        <v>2909</v>
      </c>
    </row>
    <row r="284" customFormat="false" ht="15" hidden="false" customHeight="false" outlineLevel="0" collapsed="false">
      <c r="A284" s="0" t="s">
        <v>2905</v>
      </c>
      <c r="B284" s="0" t="s">
        <v>211</v>
      </c>
      <c r="C284" s="0" t="n">
        <v>2015</v>
      </c>
      <c r="D284" s="0" t="s">
        <v>65</v>
      </c>
      <c r="E284" s="0" t="n">
        <v>1</v>
      </c>
      <c r="F284" s="0" t="s">
        <v>2906</v>
      </c>
      <c r="G284" s="0" t="s">
        <v>2912</v>
      </c>
      <c r="H284" s="0" t="s">
        <v>2935</v>
      </c>
      <c r="I284" s="0" t="s">
        <v>2909</v>
      </c>
    </row>
    <row r="285" customFormat="false" ht="15" hidden="false" customHeight="false" outlineLevel="0" collapsed="false">
      <c r="A285" s="0" t="s">
        <v>2905</v>
      </c>
      <c r="B285" s="0" t="s">
        <v>211</v>
      </c>
      <c r="C285" s="0" t="n">
        <v>2015</v>
      </c>
      <c r="D285" s="0" t="s">
        <v>66</v>
      </c>
      <c r="E285" s="0" t="n">
        <v>1</v>
      </c>
      <c r="F285" s="0" t="s">
        <v>2906</v>
      </c>
      <c r="G285" s="0" t="s">
        <v>2912</v>
      </c>
      <c r="H285" s="0" t="s">
        <v>2935</v>
      </c>
      <c r="I285" s="0" t="s">
        <v>2909</v>
      </c>
    </row>
    <row r="286" customFormat="false" ht="15" hidden="false" customHeight="false" outlineLevel="0" collapsed="false">
      <c r="A286" s="0" t="s">
        <v>2905</v>
      </c>
      <c r="B286" s="0" t="s">
        <v>211</v>
      </c>
      <c r="C286" s="0" t="n">
        <v>2015</v>
      </c>
      <c r="D286" s="0" t="s">
        <v>70</v>
      </c>
      <c r="E286" s="0" t="n">
        <v>1</v>
      </c>
      <c r="F286" s="0" t="s">
        <v>2906</v>
      </c>
      <c r="G286" s="0" t="s">
        <v>2912</v>
      </c>
      <c r="H286" s="0" t="s">
        <v>2935</v>
      </c>
      <c r="I286" s="0" t="s">
        <v>2909</v>
      </c>
    </row>
    <row r="287" customFormat="false" ht="15" hidden="false" customHeight="false" outlineLevel="0" collapsed="false">
      <c r="A287" s="0" t="s">
        <v>2905</v>
      </c>
      <c r="B287" s="0" t="s">
        <v>211</v>
      </c>
      <c r="C287" s="0" t="n">
        <v>2015</v>
      </c>
      <c r="D287" s="0" t="s">
        <v>71</v>
      </c>
      <c r="E287" s="0" t="n">
        <v>1</v>
      </c>
      <c r="F287" s="0" t="s">
        <v>2906</v>
      </c>
      <c r="G287" s="0" t="s">
        <v>2912</v>
      </c>
      <c r="H287" s="0" t="s">
        <v>2935</v>
      </c>
      <c r="I287" s="0" t="s">
        <v>2909</v>
      </c>
    </row>
    <row r="288" customFormat="false" ht="15" hidden="false" customHeight="false" outlineLevel="0" collapsed="false">
      <c r="A288" s="0" t="s">
        <v>2905</v>
      </c>
      <c r="B288" s="0" t="s">
        <v>211</v>
      </c>
      <c r="C288" s="0" t="n">
        <v>2015</v>
      </c>
      <c r="D288" s="0" t="s">
        <v>73</v>
      </c>
      <c r="E288" s="0" t="n">
        <v>1</v>
      </c>
      <c r="F288" s="0" t="s">
        <v>2906</v>
      </c>
      <c r="G288" s="0" t="s">
        <v>2912</v>
      </c>
      <c r="H288" s="0" t="s">
        <v>2935</v>
      </c>
      <c r="I288" s="0" t="s">
        <v>2911</v>
      </c>
    </row>
    <row r="289" customFormat="false" ht="15" hidden="false" customHeight="false" outlineLevel="0" collapsed="false">
      <c r="A289" s="0" t="s">
        <v>2905</v>
      </c>
      <c r="B289" s="0" t="s">
        <v>211</v>
      </c>
      <c r="C289" s="0" t="n">
        <v>2016</v>
      </c>
      <c r="D289" s="0" t="s">
        <v>60</v>
      </c>
      <c r="E289" s="0" t="n">
        <v>1</v>
      </c>
      <c r="F289" s="0" t="s">
        <v>2906</v>
      </c>
      <c r="G289" s="0" t="s">
        <v>2912</v>
      </c>
      <c r="H289" s="0" t="s">
        <v>2936</v>
      </c>
      <c r="I289" s="0" t="s">
        <v>2909</v>
      </c>
    </row>
    <row r="290" customFormat="false" ht="15" hidden="false" customHeight="false" outlineLevel="0" collapsed="false">
      <c r="A290" s="0" t="s">
        <v>2905</v>
      </c>
      <c r="B290" s="0" t="s">
        <v>211</v>
      </c>
      <c r="C290" s="0" t="n">
        <v>2016</v>
      </c>
      <c r="D290" s="0" t="s">
        <v>62</v>
      </c>
      <c r="E290" s="0" t="n">
        <v>1</v>
      </c>
      <c r="F290" s="0" t="s">
        <v>2906</v>
      </c>
      <c r="G290" s="0" t="s">
        <v>2912</v>
      </c>
      <c r="H290" s="0" t="s">
        <v>2936</v>
      </c>
      <c r="I290" s="0" t="s">
        <v>2909</v>
      </c>
    </row>
    <row r="291" customFormat="false" ht="15" hidden="false" customHeight="false" outlineLevel="0" collapsed="false">
      <c r="A291" s="0" t="s">
        <v>2905</v>
      </c>
      <c r="B291" s="0" t="s">
        <v>211</v>
      </c>
      <c r="C291" s="0" t="n">
        <v>2016</v>
      </c>
      <c r="D291" s="0" t="s">
        <v>61</v>
      </c>
      <c r="E291" s="0" t="n">
        <v>1</v>
      </c>
      <c r="F291" s="0" t="s">
        <v>2906</v>
      </c>
      <c r="G291" s="0" t="s">
        <v>2912</v>
      </c>
      <c r="H291" s="0" t="s">
        <v>2936</v>
      </c>
      <c r="I291" s="0" t="s">
        <v>2909</v>
      </c>
    </row>
    <row r="292" customFormat="false" ht="15" hidden="false" customHeight="false" outlineLevel="0" collapsed="false">
      <c r="A292" s="0" t="s">
        <v>2905</v>
      </c>
      <c r="B292" s="0" t="s">
        <v>211</v>
      </c>
      <c r="C292" s="0" t="n">
        <v>2016</v>
      </c>
      <c r="D292" s="0" t="s">
        <v>307</v>
      </c>
      <c r="E292" s="0" t="n">
        <v>1</v>
      </c>
      <c r="F292" s="0" t="s">
        <v>2906</v>
      </c>
      <c r="G292" s="0" t="s">
        <v>2912</v>
      </c>
      <c r="H292" s="0" t="s">
        <v>2936</v>
      </c>
      <c r="I292" s="0" t="s">
        <v>2909</v>
      </c>
    </row>
    <row r="293" customFormat="false" ht="15" hidden="false" customHeight="false" outlineLevel="0" collapsed="false">
      <c r="A293" s="0" t="s">
        <v>2905</v>
      </c>
      <c r="B293" s="0" t="s">
        <v>211</v>
      </c>
      <c r="C293" s="0" t="n">
        <v>2016</v>
      </c>
      <c r="D293" s="0" t="s">
        <v>64</v>
      </c>
      <c r="E293" s="0" t="n">
        <v>1</v>
      </c>
      <c r="F293" s="0" t="s">
        <v>2906</v>
      </c>
      <c r="G293" s="0" t="s">
        <v>2912</v>
      </c>
      <c r="H293" s="0" t="s">
        <v>2936</v>
      </c>
      <c r="I293" s="0" t="s">
        <v>2909</v>
      </c>
    </row>
    <row r="294" customFormat="false" ht="15" hidden="false" customHeight="false" outlineLevel="0" collapsed="false">
      <c r="A294" s="0" t="s">
        <v>2905</v>
      </c>
      <c r="B294" s="0" t="s">
        <v>211</v>
      </c>
      <c r="C294" s="0" t="n">
        <v>2016</v>
      </c>
      <c r="D294" s="0" t="s">
        <v>69</v>
      </c>
      <c r="E294" s="0" t="n">
        <v>1</v>
      </c>
      <c r="F294" s="0" t="s">
        <v>2906</v>
      </c>
      <c r="G294" s="0" t="s">
        <v>2912</v>
      </c>
      <c r="H294" s="0" t="s">
        <v>2936</v>
      </c>
      <c r="I294" s="0" t="s">
        <v>2909</v>
      </c>
    </row>
    <row r="295" customFormat="false" ht="15" hidden="false" customHeight="false" outlineLevel="0" collapsed="false">
      <c r="A295" s="0" t="s">
        <v>2905</v>
      </c>
      <c r="B295" s="0" t="s">
        <v>211</v>
      </c>
      <c r="C295" s="0" t="n">
        <v>2016</v>
      </c>
      <c r="D295" s="0" t="s">
        <v>65</v>
      </c>
      <c r="E295" s="0" t="n">
        <v>1</v>
      </c>
      <c r="F295" s="0" t="s">
        <v>2906</v>
      </c>
      <c r="G295" s="0" t="s">
        <v>2912</v>
      </c>
      <c r="H295" s="0" t="s">
        <v>2936</v>
      </c>
      <c r="I295" s="0" t="s">
        <v>2909</v>
      </c>
    </row>
    <row r="296" customFormat="false" ht="15" hidden="false" customHeight="false" outlineLevel="0" collapsed="false">
      <c r="A296" s="0" t="s">
        <v>2905</v>
      </c>
      <c r="B296" s="0" t="s">
        <v>211</v>
      </c>
      <c r="C296" s="0" t="n">
        <v>2016</v>
      </c>
      <c r="D296" s="0" t="s">
        <v>66</v>
      </c>
      <c r="E296" s="0" t="n">
        <v>1</v>
      </c>
      <c r="F296" s="0" t="s">
        <v>2906</v>
      </c>
      <c r="G296" s="0" t="s">
        <v>2912</v>
      </c>
      <c r="H296" s="0" t="s">
        <v>2936</v>
      </c>
      <c r="I296" s="0" t="s">
        <v>2909</v>
      </c>
    </row>
    <row r="297" customFormat="false" ht="15" hidden="false" customHeight="false" outlineLevel="0" collapsed="false">
      <c r="A297" s="0" t="s">
        <v>2905</v>
      </c>
      <c r="B297" s="0" t="s">
        <v>211</v>
      </c>
      <c r="C297" s="0" t="n">
        <v>2016</v>
      </c>
      <c r="D297" s="0" t="s">
        <v>70</v>
      </c>
      <c r="E297" s="0" t="n">
        <v>1</v>
      </c>
      <c r="F297" s="0" t="s">
        <v>2906</v>
      </c>
      <c r="G297" s="0" t="s">
        <v>2912</v>
      </c>
      <c r="H297" s="0" t="s">
        <v>2936</v>
      </c>
      <c r="I297" s="0" t="s">
        <v>2909</v>
      </c>
    </row>
    <row r="298" customFormat="false" ht="15" hidden="false" customHeight="false" outlineLevel="0" collapsed="false">
      <c r="A298" s="0" t="s">
        <v>2905</v>
      </c>
      <c r="B298" s="0" t="s">
        <v>211</v>
      </c>
      <c r="C298" s="0" t="n">
        <v>2016</v>
      </c>
      <c r="D298" s="0" t="s">
        <v>71</v>
      </c>
      <c r="E298" s="0" t="n">
        <v>1</v>
      </c>
      <c r="F298" s="0" t="s">
        <v>2906</v>
      </c>
      <c r="G298" s="0" t="s">
        <v>2912</v>
      </c>
      <c r="H298" s="0" t="s">
        <v>2936</v>
      </c>
      <c r="I298" s="0" t="s">
        <v>2909</v>
      </c>
    </row>
    <row r="299" customFormat="false" ht="15" hidden="false" customHeight="false" outlineLevel="0" collapsed="false">
      <c r="A299" s="0" t="s">
        <v>2905</v>
      </c>
      <c r="B299" s="0" t="s">
        <v>211</v>
      </c>
      <c r="C299" s="0" t="n">
        <v>2017</v>
      </c>
      <c r="D299" s="0" t="s">
        <v>62</v>
      </c>
      <c r="E299" s="0" t="n">
        <v>1</v>
      </c>
      <c r="F299" s="0" t="s">
        <v>2906</v>
      </c>
      <c r="G299" s="0" t="s">
        <v>2912</v>
      </c>
      <c r="H299" s="0" t="s">
        <v>2937</v>
      </c>
      <c r="I299" s="0" t="s">
        <v>2909</v>
      </c>
    </row>
    <row r="300" customFormat="false" ht="15" hidden="false" customHeight="false" outlineLevel="0" collapsed="false">
      <c r="A300" s="0" t="s">
        <v>2905</v>
      </c>
      <c r="B300" s="0" t="s">
        <v>211</v>
      </c>
      <c r="C300" s="0" t="n">
        <v>2017</v>
      </c>
      <c r="D300" s="0" t="s">
        <v>307</v>
      </c>
      <c r="E300" s="0" t="n">
        <v>1</v>
      </c>
      <c r="F300" s="0" t="s">
        <v>2906</v>
      </c>
      <c r="G300" s="0" t="s">
        <v>2912</v>
      </c>
      <c r="H300" s="0" t="s">
        <v>2937</v>
      </c>
      <c r="I300" s="0" t="s">
        <v>2909</v>
      </c>
    </row>
    <row r="301" customFormat="false" ht="15" hidden="false" customHeight="false" outlineLevel="0" collapsed="false">
      <c r="A301" s="0" t="s">
        <v>2905</v>
      </c>
      <c r="B301" s="0" t="s">
        <v>211</v>
      </c>
      <c r="C301" s="0" t="n">
        <v>2017</v>
      </c>
      <c r="D301" s="0" t="s">
        <v>64</v>
      </c>
      <c r="E301" s="0" t="n">
        <v>1</v>
      </c>
      <c r="F301" s="0" t="s">
        <v>2906</v>
      </c>
      <c r="G301" s="0" t="s">
        <v>2912</v>
      </c>
      <c r="H301" s="0" t="s">
        <v>2937</v>
      </c>
      <c r="I301" s="0" t="s">
        <v>2909</v>
      </c>
    </row>
    <row r="302" customFormat="false" ht="15" hidden="false" customHeight="false" outlineLevel="0" collapsed="false">
      <c r="A302" s="0" t="s">
        <v>2905</v>
      </c>
      <c r="B302" s="0" t="s">
        <v>211</v>
      </c>
      <c r="C302" s="0" t="n">
        <v>2017</v>
      </c>
      <c r="D302" s="0" t="s">
        <v>65</v>
      </c>
      <c r="E302" s="0" t="n">
        <v>1</v>
      </c>
      <c r="F302" s="0" t="s">
        <v>2906</v>
      </c>
      <c r="G302" s="0" t="s">
        <v>2912</v>
      </c>
      <c r="H302" s="0" t="s">
        <v>2937</v>
      </c>
      <c r="I302" s="0" t="s">
        <v>2909</v>
      </c>
    </row>
    <row r="303" customFormat="false" ht="15" hidden="false" customHeight="false" outlineLevel="0" collapsed="false">
      <c r="A303" s="0" t="s">
        <v>2905</v>
      </c>
      <c r="B303" s="0" t="s">
        <v>211</v>
      </c>
      <c r="C303" s="0" t="n">
        <v>2017</v>
      </c>
      <c r="D303" s="0" t="s">
        <v>66</v>
      </c>
      <c r="E303" s="0" t="n">
        <v>1</v>
      </c>
      <c r="F303" s="0" t="s">
        <v>2906</v>
      </c>
      <c r="G303" s="0" t="s">
        <v>2912</v>
      </c>
      <c r="H303" s="0" t="s">
        <v>2937</v>
      </c>
      <c r="I303" s="0" t="s">
        <v>2909</v>
      </c>
    </row>
    <row r="304" customFormat="false" ht="15" hidden="false" customHeight="false" outlineLevel="0" collapsed="false">
      <c r="A304" s="0" t="s">
        <v>2905</v>
      </c>
      <c r="B304" s="0" t="s">
        <v>211</v>
      </c>
      <c r="C304" s="0" t="n">
        <v>2017</v>
      </c>
      <c r="D304" s="0" t="s">
        <v>70</v>
      </c>
      <c r="E304" s="0" t="n">
        <v>1</v>
      </c>
      <c r="F304" s="0" t="s">
        <v>2906</v>
      </c>
      <c r="G304" s="0" t="s">
        <v>2912</v>
      </c>
      <c r="H304" s="0" t="s">
        <v>2937</v>
      </c>
      <c r="I304" s="0" t="s">
        <v>2909</v>
      </c>
    </row>
    <row r="305" customFormat="false" ht="15" hidden="false" customHeight="false" outlineLevel="0" collapsed="false">
      <c r="A305" s="0" t="s">
        <v>2905</v>
      </c>
      <c r="B305" s="0" t="s">
        <v>211</v>
      </c>
      <c r="C305" s="0" t="n">
        <v>2017</v>
      </c>
      <c r="D305" s="0" t="s">
        <v>73</v>
      </c>
      <c r="E305" s="0" t="n">
        <v>1</v>
      </c>
      <c r="F305" s="0" t="s">
        <v>2906</v>
      </c>
      <c r="G305" s="0" t="s">
        <v>2912</v>
      </c>
      <c r="H305" s="0" t="s">
        <v>2937</v>
      </c>
      <c r="I305" s="0" t="s">
        <v>2911</v>
      </c>
    </row>
    <row r="306" customFormat="false" ht="15" hidden="false" customHeight="false" outlineLevel="0" collapsed="false">
      <c r="A306" s="0" t="s">
        <v>2905</v>
      </c>
      <c r="B306" s="0" t="s">
        <v>211</v>
      </c>
      <c r="C306" s="0" t="n">
        <v>2018</v>
      </c>
      <c r="D306" s="0" t="s">
        <v>62</v>
      </c>
      <c r="E306" s="0" t="n">
        <v>1</v>
      </c>
      <c r="F306" s="0" t="s">
        <v>2906</v>
      </c>
      <c r="G306" s="0" t="s">
        <v>2912</v>
      </c>
      <c r="H306" s="0" t="s">
        <v>2937</v>
      </c>
      <c r="I306" s="0" t="s">
        <v>2909</v>
      </c>
    </row>
    <row r="307" customFormat="false" ht="15" hidden="false" customHeight="false" outlineLevel="0" collapsed="false">
      <c r="A307" s="0" t="s">
        <v>2905</v>
      </c>
      <c r="B307" s="0" t="s">
        <v>211</v>
      </c>
      <c r="C307" s="0" t="n">
        <v>2018</v>
      </c>
      <c r="D307" s="0" t="s">
        <v>307</v>
      </c>
      <c r="E307" s="0" t="n">
        <v>1</v>
      </c>
      <c r="F307" s="0" t="s">
        <v>2906</v>
      </c>
      <c r="G307" s="0" t="s">
        <v>2912</v>
      </c>
      <c r="H307" s="0" t="s">
        <v>2937</v>
      </c>
      <c r="I307" s="0" t="s">
        <v>2909</v>
      </c>
    </row>
    <row r="308" customFormat="false" ht="15" hidden="false" customHeight="false" outlineLevel="0" collapsed="false">
      <c r="A308" s="0" t="s">
        <v>2905</v>
      </c>
      <c r="B308" s="0" t="s">
        <v>211</v>
      </c>
      <c r="C308" s="0" t="n">
        <v>2018</v>
      </c>
      <c r="D308" s="0" t="s">
        <v>64</v>
      </c>
      <c r="E308" s="0" t="n">
        <v>1</v>
      </c>
      <c r="F308" s="0" t="s">
        <v>2906</v>
      </c>
      <c r="G308" s="0" t="s">
        <v>2912</v>
      </c>
      <c r="H308" s="0" t="s">
        <v>2937</v>
      </c>
      <c r="I308" s="0" t="s">
        <v>2909</v>
      </c>
    </row>
    <row r="309" customFormat="false" ht="15" hidden="false" customHeight="false" outlineLevel="0" collapsed="false">
      <c r="A309" s="0" t="s">
        <v>2905</v>
      </c>
      <c r="B309" s="0" t="s">
        <v>211</v>
      </c>
      <c r="C309" s="0" t="n">
        <v>2018</v>
      </c>
      <c r="D309" s="0" t="s">
        <v>65</v>
      </c>
      <c r="E309" s="0" t="n">
        <v>1</v>
      </c>
      <c r="F309" s="0" t="s">
        <v>2906</v>
      </c>
      <c r="G309" s="0" t="s">
        <v>2912</v>
      </c>
      <c r="H309" s="0" t="s">
        <v>2937</v>
      </c>
      <c r="I309" s="0" t="s">
        <v>2909</v>
      </c>
    </row>
    <row r="310" customFormat="false" ht="15" hidden="false" customHeight="false" outlineLevel="0" collapsed="false">
      <c r="A310" s="0" t="s">
        <v>2905</v>
      </c>
      <c r="B310" s="0" t="s">
        <v>211</v>
      </c>
      <c r="C310" s="0" t="n">
        <v>2018</v>
      </c>
      <c r="D310" s="0" t="s">
        <v>66</v>
      </c>
      <c r="E310" s="0" t="n">
        <v>1</v>
      </c>
      <c r="F310" s="0" t="s">
        <v>2906</v>
      </c>
      <c r="G310" s="0" t="s">
        <v>2912</v>
      </c>
      <c r="H310" s="0" t="s">
        <v>2937</v>
      </c>
      <c r="I310" s="0" t="s">
        <v>2909</v>
      </c>
    </row>
    <row r="311" customFormat="false" ht="15" hidden="false" customHeight="false" outlineLevel="0" collapsed="false">
      <c r="A311" s="0" t="s">
        <v>2905</v>
      </c>
      <c r="B311" s="0" t="s">
        <v>211</v>
      </c>
      <c r="C311" s="0" t="n">
        <v>2018</v>
      </c>
      <c r="D311" s="0" t="s">
        <v>70</v>
      </c>
      <c r="E311" s="0" t="n">
        <v>1</v>
      </c>
      <c r="F311" s="0" t="s">
        <v>2906</v>
      </c>
      <c r="G311" s="0" t="s">
        <v>2912</v>
      </c>
      <c r="H311" s="0" t="s">
        <v>2937</v>
      </c>
      <c r="I311" s="0" t="s">
        <v>2909</v>
      </c>
    </row>
    <row r="312" customFormat="false" ht="15" hidden="false" customHeight="false" outlineLevel="0" collapsed="false">
      <c r="A312" s="0" t="s">
        <v>2905</v>
      </c>
      <c r="B312" s="0" t="s">
        <v>211</v>
      </c>
      <c r="C312" s="0" t="n">
        <v>2018</v>
      </c>
      <c r="D312" s="0" t="s">
        <v>67</v>
      </c>
      <c r="E312" s="0" t="n">
        <v>1</v>
      </c>
      <c r="F312" s="0" t="s">
        <v>2906</v>
      </c>
      <c r="G312" s="0" t="s">
        <v>2912</v>
      </c>
      <c r="H312" s="0" t="s">
        <v>2937</v>
      </c>
      <c r="I312" s="0" t="s">
        <v>2916</v>
      </c>
    </row>
    <row r="313" customFormat="false" ht="15" hidden="false" customHeight="false" outlineLevel="0" collapsed="false">
      <c r="A313" s="0" t="s">
        <v>2905</v>
      </c>
      <c r="B313" s="0" t="s">
        <v>211</v>
      </c>
      <c r="C313" s="0" t="n">
        <v>2018</v>
      </c>
      <c r="D313" s="0" t="s">
        <v>68</v>
      </c>
      <c r="E313" s="0" t="n">
        <v>1</v>
      </c>
      <c r="F313" s="0" t="s">
        <v>2906</v>
      </c>
      <c r="G313" s="0" t="s">
        <v>2912</v>
      </c>
      <c r="H313" s="0" t="s">
        <v>2937</v>
      </c>
      <c r="I313" s="0" t="s">
        <v>2916</v>
      </c>
    </row>
    <row r="314" customFormat="false" ht="15" hidden="false" customHeight="false" outlineLevel="0" collapsed="false">
      <c r="A314" s="0" t="s">
        <v>2905</v>
      </c>
      <c r="B314" s="0" t="s">
        <v>211</v>
      </c>
      <c r="C314" s="0" t="n">
        <v>2019</v>
      </c>
      <c r="D314" s="0" t="s">
        <v>307</v>
      </c>
      <c r="E314" s="0" t="n">
        <v>1</v>
      </c>
      <c r="F314" s="0" t="s">
        <v>2906</v>
      </c>
      <c r="G314" s="0" t="s">
        <v>2912</v>
      </c>
      <c r="H314" s="0" t="s">
        <v>2938</v>
      </c>
      <c r="I314" s="0" t="s">
        <v>2909</v>
      </c>
    </row>
    <row r="315" customFormat="false" ht="15" hidden="false" customHeight="false" outlineLevel="0" collapsed="false">
      <c r="A315" s="0" t="s">
        <v>2905</v>
      </c>
      <c r="B315" s="0" t="s">
        <v>211</v>
      </c>
      <c r="C315" s="0" t="n">
        <v>2019</v>
      </c>
      <c r="D315" s="0" t="s">
        <v>64</v>
      </c>
      <c r="E315" s="0" t="n">
        <v>1</v>
      </c>
      <c r="F315" s="0" t="s">
        <v>2906</v>
      </c>
      <c r="G315" s="0" t="s">
        <v>2912</v>
      </c>
      <c r="H315" s="0" t="s">
        <v>2938</v>
      </c>
      <c r="I315" s="0" t="s">
        <v>2909</v>
      </c>
    </row>
    <row r="316" customFormat="false" ht="15" hidden="false" customHeight="false" outlineLevel="0" collapsed="false">
      <c r="A316" s="0" t="s">
        <v>2905</v>
      </c>
      <c r="B316" s="0" t="s">
        <v>211</v>
      </c>
      <c r="C316" s="0" t="n">
        <v>2019</v>
      </c>
      <c r="D316" s="0" t="s">
        <v>70</v>
      </c>
      <c r="E316" s="0" t="n">
        <v>1</v>
      </c>
      <c r="F316" s="0" t="s">
        <v>2906</v>
      </c>
      <c r="G316" s="0" t="s">
        <v>2912</v>
      </c>
      <c r="H316" s="0" t="s">
        <v>2938</v>
      </c>
      <c r="I316" s="0" t="s">
        <v>2909</v>
      </c>
    </row>
    <row r="317" customFormat="false" ht="15" hidden="false" customHeight="false" outlineLevel="0" collapsed="false">
      <c r="A317" s="0" t="s">
        <v>2905</v>
      </c>
      <c r="B317" s="0" t="s">
        <v>211</v>
      </c>
      <c r="C317" s="0" t="n">
        <v>2019</v>
      </c>
      <c r="D317" s="0" t="s">
        <v>71</v>
      </c>
      <c r="E317" s="0" t="n">
        <v>1</v>
      </c>
      <c r="F317" s="0" t="s">
        <v>2906</v>
      </c>
      <c r="G317" s="0" t="s">
        <v>2912</v>
      </c>
      <c r="H317" s="0" t="s">
        <v>2938</v>
      </c>
      <c r="I317" s="0" t="s">
        <v>2909</v>
      </c>
    </row>
    <row r="318" customFormat="false" ht="15" hidden="false" customHeight="false" outlineLevel="0" collapsed="false">
      <c r="A318" s="0" t="s">
        <v>2905</v>
      </c>
      <c r="B318" s="0" t="s">
        <v>211</v>
      </c>
      <c r="C318" s="0" t="n">
        <v>2019</v>
      </c>
      <c r="D318" s="0" t="s">
        <v>73</v>
      </c>
      <c r="E318" s="0" t="n">
        <v>1</v>
      </c>
      <c r="F318" s="0" t="s">
        <v>2906</v>
      </c>
      <c r="G318" s="0" t="s">
        <v>2912</v>
      </c>
      <c r="H318" s="0" t="s">
        <v>2938</v>
      </c>
      <c r="I318" s="0" t="s">
        <v>2911</v>
      </c>
    </row>
    <row r="319" customFormat="false" ht="15" hidden="false" customHeight="false" outlineLevel="0" collapsed="false">
      <c r="A319" s="0" t="s">
        <v>2905</v>
      </c>
      <c r="B319" s="0" t="s">
        <v>211</v>
      </c>
      <c r="C319" s="0" t="n">
        <v>2019</v>
      </c>
      <c r="D319" s="0" t="s">
        <v>67</v>
      </c>
      <c r="E319" s="0" t="n">
        <v>1</v>
      </c>
      <c r="F319" s="0" t="s">
        <v>2906</v>
      </c>
      <c r="G319" s="0" t="s">
        <v>2912</v>
      </c>
      <c r="H319" s="0" t="s">
        <v>2938</v>
      </c>
      <c r="I319" s="0" t="s">
        <v>2916</v>
      </c>
    </row>
    <row r="320" customFormat="false" ht="15" hidden="false" customHeight="false" outlineLevel="0" collapsed="false">
      <c r="A320" s="0" t="s">
        <v>2905</v>
      </c>
      <c r="B320" s="0" t="s">
        <v>211</v>
      </c>
      <c r="C320" s="0" t="n">
        <v>2020</v>
      </c>
      <c r="D320" s="0" t="s">
        <v>307</v>
      </c>
      <c r="E320" s="0" t="n">
        <v>1</v>
      </c>
      <c r="F320" s="0" t="s">
        <v>2906</v>
      </c>
      <c r="G320" s="0" t="s">
        <v>2912</v>
      </c>
      <c r="H320" s="0" t="s">
        <v>2938</v>
      </c>
      <c r="I320" s="0" t="s">
        <v>2909</v>
      </c>
    </row>
    <row r="321" customFormat="false" ht="15" hidden="false" customHeight="false" outlineLevel="0" collapsed="false">
      <c r="A321" s="0" t="s">
        <v>2905</v>
      </c>
      <c r="B321" s="0" t="s">
        <v>211</v>
      </c>
      <c r="C321" s="0" t="n">
        <v>2020</v>
      </c>
      <c r="D321" s="0" t="s">
        <v>64</v>
      </c>
      <c r="E321" s="0" t="n">
        <v>1</v>
      </c>
      <c r="F321" s="0" t="s">
        <v>2906</v>
      </c>
      <c r="G321" s="0" t="s">
        <v>2912</v>
      </c>
      <c r="H321" s="0" t="s">
        <v>2938</v>
      </c>
      <c r="I321" s="0" t="s">
        <v>2909</v>
      </c>
    </row>
    <row r="322" customFormat="false" ht="15" hidden="false" customHeight="false" outlineLevel="0" collapsed="false">
      <c r="A322" s="0" t="s">
        <v>2905</v>
      </c>
      <c r="B322" s="0" t="s">
        <v>211</v>
      </c>
      <c r="C322" s="0" t="n">
        <v>2020</v>
      </c>
      <c r="D322" s="0" t="s">
        <v>70</v>
      </c>
      <c r="E322" s="0" t="n">
        <v>1</v>
      </c>
      <c r="F322" s="0" t="s">
        <v>2906</v>
      </c>
      <c r="G322" s="0" t="s">
        <v>2912</v>
      </c>
      <c r="H322" s="0" t="s">
        <v>2938</v>
      </c>
      <c r="I322" s="0" t="s">
        <v>2909</v>
      </c>
    </row>
    <row r="323" customFormat="false" ht="15" hidden="false" customHeight="false" outlineLevel="0" collapsed="false">
      <c r="A323" s="0" t="s">
        <v>2905</v>
      </c>
      <c r="B323" s="0" t="s">
        <v>211</v>
      </c>
      <c r="C323" s="0" t="n">
        <v>2020</v>
      </c>
      <c r="D323" s="0" t="s">
        <v>71</v>
      </c>
      <c r="E323" s="0" t="n">
        <v>1</v>
      </c>
      <c r="F323" s="0" t="s">
        <v>2906</v>
      </c>
      <c r="G323" s="0" t="s">
        <v>2912</v>
      </c>
      <c r="H323" s="0" t="s">
        <v>2938</v>
      </c>
      <c r="I323" s="0" t="s">
        <v>2909</v>
      </c>
    </row>
    <row r="324" customFormat="false" ht="15" hidden="false" customHeight="false" outlineLevel="0" collapsed="false">
      <c r="A324" s="0" t="s">
        <v>2905</v>
      </c>
      <c r="B324" s="0" t="s">
        <v>211</v>
      </c>
      <c r="C324" s="0" t="n">
        <v>2020</v>
      </c>
      <c r="D324" s="0" t="s">
        <v>67</v>
      </c>
      <c r="E324" s="0" t="n">
        <v>1</v>
      </c>
      <c r="F324" s="0" t="s">
        <v>2906</v>
      </c>
      <c r="G324" s="0" t="s">
        <v>2912</v>
      </c>
      <c r="H324" s="0" t="s">
        <v>2938</v>
      </c>
      <c r="I324" s="0" t="s">
        <v>2916</v>
      </c>
    </row>
    <row r="325" customFormat="false" ht="15" hidden="false" customHeight="false" outlineLevel="0" collapsed="false">
      <c r="A325" s="0" t="s">
        <v>2905</v>
      </c>
      <c r="B325" s="0" t="s">
        <v>211</v>
      </c>
      <c r="C325" s="0" t="n">
        <v>2022</v>
      </c>
      <c r="D325" s="0" t="s">
        <v>59</v>
      </c>
      <c r="E325" s="0" t="n">
        <v>1</v>
      </c>
      <c r="F325" s="0" t="s">
        <v>2906</v>
      </c>
      <c r="G325" s="0" t="s">
        <v>2912</v>
      </c>
      <c r="H325" s="0" t="s">
        <v>2939</v>
      </c>
      <c r="I325" s="0" t="s">
        <v>2910</v>
      </c>
    </row>
    <row r="326" customFormat="false" ht="15" hidden="false" customHeight="false" outlineLevel="0" collapsed="false">
      <c r="A326" s="0" t="s">
        <v>2905</v>
      </c>
      <c r="B326" s="0" t="s">
        <v>211</v>
      </c>
      <c r="C326" s="0" t="n">
        <v>2022</v>
      </c>
      <c r="D326" s="0" t="s">
        <v>307</v>
      </c>
      <c r="E326" s="0" t="n">
        <v>1</v>
      </c>
      <c r="F326" s="0" t="s">
        <v>2906</v>
      </c>
      <c r="G326" s="0" t="s">
        <v>2912</v>
      </c>
      <c r="H326" s="0" t="s">
        <v>2939</v>
      </c>
      <c r="I326" s="0" t="s">
        <v>2909</v>
      </c>
    </row>
    <row r="327" customFormat="false" ht="15" hidden="false" customHeight="false" outlineLevel="0" collapsed="false">
      <c r="A327" s="0" t="s">
        <v>2905</v>
      </c>
      <c r="B327" s="0" t="s">
        <v>211</v>
      </c>
      <c r="C327" s="0" t="n">
        <v>2022</v>
      </c>
      <c r="D327" s="0" t="s">
        <v>64</v>
      </c>
      <c r="E327" s="0" t="n">
        <v>1</v>
      </c>
      <c r="F327" s="0" t="s">
        <v>2906</v>
      </c>
      <c r="G327" s="0" t="s">
        <v>2912</v>
      </c>
      <c r="H327" s="0" t="s">
        <v>2939</v>
      </c>
      <c r="I327" s="0" t="s">
        <v>2909</v>
      </c>
    </row>
    <row r="328" customFormat="false" ht="15" hidden="false" customHeight="false" outlineLevel="0" collapsed="false">
      <c r="A328" s="0" t="s">
        <v>2905</v>
      </c>
      <c r="B328" s="0" t="s">
        <v>211</v>
      </c>
      <c r="C328" s="0" t="n">
        <v>2022</v>
      </c>
      <c r="D328" s="0" t="s">
        <v>70</v>
      </c>
      <c r="E328" s="0" t="n">
        <v>1</v>
      </c>
      <c r="F328" s="0" t="s">
        <v>2906</v>
      </c>
      <c r="G328" s="0" t="s">
        <v>2912</v>
      </c>
      <c r="H328" s="0" t="s">
        <v>2939</v>
      </c>
      <c r="I328" s="0" t="s">
        <v>2909</v>
      </c>
    </row>
    <row r="329" customFormat="false" ht="15" hidden="false" customHeight="false" outlineLevel="0" collapsed="false">
      <c r="A329" s="0" t="s">
        <v>2905</v>
      </c>
      <c r="B329" s="0" t="s">
        <v>211</v>
      </c>
      <c r="C329" s="0" t="n">
        <v>2022</v>
      </c>
      <c r="D329" s="0" t="s">
        <v>71</v>
      </c>
      <c r="E329" s="0" t="n">
        <v>1</v>
      </c>
      <c r="F329" s="0" t="s">
        <v>2906</v>
      </c>
      <c r="G329" s="0" t="s">
        <v>2912</v>
      </c>
      <c r="H329" s="0" t="s">
        <v>2939</v>
      </c>
      <c r="I329" s="0" t="s">
        <v>2909</v>
      </c>
    </row>
    <row r="330" customFormat="false" ht="15" hidden="false" customHeight="false" outlineLevel="0" collapsed="false">
      <c r="A330" s="0" t="s">
        <v>2905</v>
      </c>
      <c r="B330" s="0" t="s">
        <v>211</v>
      </c>
      <c r="C330" s="0" t="n">
        <v>2022</v>
      </c>
      <c r="D330" s="0" t="s">
        <v>67</v>
      </c>
      <c r="E330" s="0" t="n">
        <v>1</v>
      </c>
      <c r="F330" s="0" t="s">
        <v>2906</v>
      </c>
      <c r="G330" s="0" t="s">
        <v>2912</v>
      </c>
      <c r="H330" s="0" t="s">
        <v>2939</v>
      </c>
      <c r="I330" s="0" t="s">
        <v>2916</v>
      </c>
    </row>
    <row r="331" customFormat="false" ht="15" hidden="false" customHeight="false" outlineLevel="0" collapsed="false">
      <c r="A331" s="0" t="s">
        <v>2905</v>
      </c>
      <c r="B331" s="0" t="s">
        <v>222</v>
      </c>
      <c r="C331" s="0" t="n">
        <v>2014</v>
      </c>
      <c r="D331" s="0" t="s">
        <v>59</v>
      </c>
      <c r="E331" s="0" t="n">
        <v>6</v>
      </c>
      <c r="F331" s="0" t="s">
        <v>2906</v>
      </c>
      <c r="G331" s="0" t="s">
        <v>2912</v>
      </c>
      <c r="H331" s="0" t="s">
        <v>2940</v>
      </c>
      <c r="I331" s="0" t="s">
        <v>2910</v>
      </c>
    </row>
    <row r="332" customFormat="false" ht="15" hidden="false" customHeight="false" outlineLevel="0" collapsed="false">
      <c r="A332" s="0" t="s">
        <v>2905</v>
      </c>
      <c r="B332" s="0" t="s">
        <v>222</v>
      </c>
      <c r="C332" s="0" t="n">
        <v>2014</v>
      </c>
      <c r="D332" s="0" t="s">
        <v>62</v>
      </c>
      <c r="E332" s="0" t="n">
        <v>6</v>
      </c>
      <c r="F332" s="0" t="s">
        <v>2906</v>
      </c>
      <c r="G332" s="0" t="s">
        <v>2912</v>
      </c>
      <c r="H332" s="0" t="s">
        <v>2940</v>
      </c>
      <c r="I332" s="0" t="s">
        <v>2909</v>
      </c>
    </row>
    <row r="333" customFormat="false" ht="15" hidden="false" customHeight="false" outlineLevel="0" collapsed="false">
      <c r="A333" s="0" t="s">
        <v>2905</v>
      </c>
      <c r="B333" s="0" t="s">
        <v>222</v>
      </c>
      <c r="C333" s="0" t="n">
        <v>2014</v>
      </c>
      <c r="D333" s="0" t="s">
        <v>307</v>
      </c>
      <c r="E333" s="0" t="n">
        <v>6</v>
      </c>
      <c r="F333" s="0" t="s">
        <v>2906</v>
      </c>
      <c r="G333" s="0" t="s">
        <v>2912</v>
      </c>
      <c r="H333" s="0" t="s">
        <v>2940</v>
      </c>
      <c r="I333" s="0" t="s">
        <v>2909</v>
      </c>
    </row>
    <row r="334" customFormat="false" ht="15" hidden="false" customHeight="false" outlineLevel="0" collapsed="false">
      <c r="A334" s="0" t="s">
        <v>2905</v>
      </c>
      <c r="B334" s="0" t="s">
        <v>222</v>
      </c>
      <c r="C334" s="0" t="n">
        <v>2014</v>
      </c>
      <c r="D334" s="0" t="s">
        <v>65</v>
      </c>
      <c r="E334" s="0" t="n">
        <v>6</v>
      </c>
      <c r="F334" s="0" t="s">
        <v>2906</v>
      </c>
      <c r="G334" s="0" t="s">
        <v>2912</v>
      </c>
      <c r="H334" s="0" t="s">
        <v>2940</v>
      </c>
      <c r="I334" s="0" t="s">
        <v>2909</v>
      </c>
    </row>
    <row r="335" customFormat="false" ht="15" hidden="false" customHeight="false" outlineLevel="0" collapsed="false">
      <c r="A335" s="0" t="s">
        <v>2905</v>
      </c>
      <c r="B335" s="0" t="s">
        <v>222</v>
      </c>
      <c r="C335" s="0" t="n">
        <v>2014</v>
      </c>
      <c r="D335" s="0" t="s">
        <v>66</v>
      </c>
      <c r="E335" s="0" t="n">
        <v>6</v>
      </c>
      <c r="F335" s="0" t="s">
        <v>2906</v>
      </c>
      <c r="G335" s="0" t="s">
        <v>2912</v>
      </c>
      <c r="H335" s="0" t="s">
        <v>2940</v>
      </c>
      <c r="I335" s="0" t="s">
        <v>2909</v>
      </c>
    </row>
    <row r="336" customFormat="false" ht="15" hidden="false" customHeight="false" outlineLevel="0" collapsed="false">
      <c r="A336" s="0" t="s">
        <v>2905</v>
      </c>
      <c r="B336" s="0" t="s">
        <v>222</v>
      </c>
      <c r="C336" s="0" t="n">
        <v>2014</v>
      </c>
      <c r="D336" s="0" t="s">
        <v>70</v>
      </c>
      <c r="E336" s="0" t="n">
        <v>6</v>
      </c>
      <c r="F336" s="0" t="s">
        <v>2906</v>
      </c>
      <c r="G336" s="0" t="s">
        <v>2912</v>
      </c>
      <c r="H336" s="0" t="s">
        <v>2940</v>
      </c>
      <c r="I336" s="0" t="s">
        <v>2909</v>
      </c>
    </row>
    <row r="337" customFormat="false" ht="15" hidden="false" customHeight="false" outlineLevel="0" collapsed="false">
      <c r="A337" s="0" t="s">
        <v>2905</v>
      </c>
      <c r="B337" s="0" t="s">
        <v>222</v>
      </c>
      <c r="C337" s="0" t="n">
        <v>2014</v>
      </c>
      <c r="D337" s="0" t="s">
        <v>71</v>
      </c>
      <c r="E337" s="0" t="n">
        <v>6</v>
      </c>
      <c r="F337" s="0" t="s">
        <v>2906</v>
      </c>
      <c r="G337" s="0" t="s">
        <v>2912</v>
      </c>
      <c r="H337" s="0" t="s">
        <v>2940</v>
      </c>
      <c r="I337" s="0" t="s">
        <v>2909</v>
      </c>
    </row>
    <row r="338" customFormat="false" ht="15" hidden="false" customHeight="false" outlineLevel="0" collapsed="false">
      <c r="A338" s="0" t="s">
        <v>2905</v>
      </c>
      <c r="B338" s="0" t="s">
        <v>222</v>
      </c>
      <c r="C338" s="0" t="n">
        <v>2014</v>
      </c>
      <c r="D338" s="0" t="s">
        <v>73</v>
      </c>
      <c r="E338" s="0" t="n">
        <v>6</v>
      </c>
      <c r="F338" s="0" t="s">
        <v>2906</v>
      </c>
      <c r="G338" s="0" t="s">
        <v>2912</v>
      </c>
      <c r="H338" s="0" t="s">
        <v>2940</v>
      </c>
      <c r="I338" s="0" t="s">
        <v>2911</v>
      </c>
    </row>
    <row r="339" customFormat="false" ht="15" hidden="false" customHeight="false" outlineLevel="0" collapsed="false">
      <c r="A339" s="0" t="s">
        <v>2905</v>
      </c>
      <c r="B339" s="0" t="s">
        <v>222</v>
      </c>
      <c r="C339" s="0" t="n">
        <v>2015</v>
      </c>
      <c r="D339" s="0" t="s">
        <v>62</v>
      </c>
      <c r="E339" s="0" t="n">
        <v>6</v>
      </c>
      <c r="F339" s="0" t="s">
        <v>2906</v>
      </c>
      <c r="G339" s="0" t="s">
        <v>2912</v>
      </c>
      <c r="H339" s="0" t="s">
        <v>2940</v>
      </c>
      <c r="I339" s="0" t="s">
        <v>2909</v>
      </c>
    </row>
    <row r="340" customFormat="false" ht="15" hidden="false" customHeight="false" outlineLevel="0" collapsed="false">
      <c r="A340" s="0" t="s">
        <v>2905</v>
      </c>
      <c r="B340" s="0" t="s">
        <v>222</v>
      </c>
      <c r="C340" s="0" t="n">
        <v>2015</v>
      </c>
      <c r="D340" s="0" t="s">
        <v>307</v>
      </c>
      <c r="E340" s="0" t="n">
        <v>6</v>
      </c>
      <c r="F340" s="0" t="s">
        <v>2906</v>
      </c>
      <c r="G340" s="0" t="s">
        <v>2912</v>
      </c>
      <c r="H340" s="0" t="s">
        <v>2940</v>
      </c>
      <c r="I340" s="0" t="s">
        <v>2909</v>
      </c>
    </row>
    <row r="341" customFormat="false" ht="15" hidden="false" customHeight="false" outlineLevel="0" collapsed="false">
      <c r="A341" s="0" t="s">
        <v>2905</v>
      </c>
      <c r="B341" s="0" t="s">
        <v>222</v>
      </c>
      <c r="C341" s="0" t="n">
        <v>2015</v>
      </c>
      <c r="D341" s="0" t="s">
        <v>65</v>
      </c>
      <c r="E341" s="0" t="n">
        <v>6</v>
      </c>
      <c r="F341" s="0" t="s">
        <v>2906</v>
      </c>
      <c r="G341" s="0" t="s">
        <v>2912</v>
      </c>
      <c r="H341" s="0" t="s">
        <v>2940</v>
      </c>
      <c r="I341" s="0" t="s">
        <v>2909</v>
      </c>
    </row>
    <row r="342" customFormat="false" ht="15" hidden="false" customHeight="false" outlineLevel="0" collapsed="false">
      <c r="A342" s="0" t="s">
        <v>2905</v>
      </c>
      <c r="B342" s="0" t="s">
        <v>222</v>
      </c>
      <c r="C342" s="0" t="n">
        <v>2015</v>
      </c>
      <c r="D342" s="0" t="s">
        <v>66</v>
      </c>
      <c r="E342" s="0" t="n">
        <v>6</v>
      </c>
      <c r="F342" s="0" t="s">
        <v>2906</v>
      </c>
      <c r="G342" s="0" t="s">
        <v>2912</v>
      </c>
      <c r="H342" s="0" t="s">
        <v>2940</v>
      </c>
      <c r="I342" s="0" t="s">
        <v>2909</v>
      </c>
    </row>
    <row r="343" customFormat="false" ht="15" hidden="false" customHeight="false" outlineLevel="0" collapsed="false">
      <c r="A343" s="0" t="s">
        <v>2905</v>
      </c>
      <c r="B343" s="0" t="s">
        <v>222</v>
      </c>
      <c r="C343" s="0" t="n">
        <v>2015</v>
      </c>
      <c r="D343" s="0" t="s">
        <v>70</v>
      </c>
      <c r="E343" s="0" t="n">
        <v>6</v>
      </c>
      <c r="F343" s="0" t="s">
        <v>2906</v>
      </c>
      <c r="G343" s="0" t="s">
        <v>2912</v>
      </c>
      <c r="H343" s="0" t="s">
        <v>2940</v>
      </c>
      <c r="I343" s="0" t="s">
        <v>2909</v>
      </c>
    </row>
    <row r="344" customFormat="false" ht="15" hidden="false" customHeight="false" outlineLevel="0" collapsed="false">
      <c r="A344" s="0" t="s">
        <v>2905</v>
      </c>
      <c r="B344" s="0" t="s">
        <v>222</v>
      </c>
      <c r="C344" s="0" t="n">
        <v>2015</v>
      </c>
      <c r="D344" s="0" t="s">
        <v>71</v>
      </c>
      <c r="E344" s="0" t="n">
        <v>6</v>
      </c>
      <c r="F344" s="0" t="s">
        <v>2906</v>
      </c>
      <c r="G344" s="0" t="s">
        <v>2912</v>
      </c>
      <c r="H344" s="0" t="s">
        <v>2940</v>
      </c>
      <c r="I344" s="0" t="s">
        <v>2909</v>
      </c>
    </row>
    <row r="345" customFormat="false" ht="15" hidden="false" customHeight="false" outlineLevel="0" collapsed="false">
      <c r="A345" s="0" t="s">
        <v>2905</v>
      </c>
      <c r="B345" s="0" t="s">
        <v>222</v>
      </c>
      <c r="C345" s="0" t="n">
        <v>2015</v>
      </c>
      <c r="D345" s="0" t="s">
        <v>73</v>
      </c>
      <c r="E345" s="0" t="n">
        <v>6</v>
      </c>
      <c r="F345" s="0" t="s">
        <v>2906</v>
      </c>
      <c r="G345" s="0" t="s">
        <v>2912</v>
      </c>
      <c r="H345" s="0" t="s">
        <v>2940</v>
      </c>
      <c r="I345" s="0" t="s">
        <v>2911</v>
      </c>
    </row>
    <row r="346" customFormat="false" ht="15" hidden="false" customHeight="false" outlineLevel="0" collapsed="false">
      <c r="A346" s="0" t="s">
        <v>2905</v>
      </c>
      <c r="B346" s="0" t="s">
        <v>222</v>
      </c>
      <c r="C346" s="0" t="n">
        <v>2021</v>
      </c>
      <c r="D346" s="0" t="s">
        <v>59</v>
      </c>
      <c r="E346" s="0" t="n">
        <v>6</v>
      </c>
      <c r="F346" s="0" t="s">
        <v>2906</v>
      </c>
      <c r="G346" s="0" t="s">
        <v>2912</v>
      </c>
      <c r="H346" s="0" t="s">
        <v>2941</v>
      </c>
      <c r="I346" s="0" t="s">
        <v>2910</v>
      </c>
    </row>
    <row r="347" customFormat="false" ht="15" hidden="false" customHeight="false" outlineLevel="0" collapsed="false">
      <c r="A347" s="0" t="s">
        <v>2905</v>
      </c>
      <c r="B347" s="0" t="s">
        <v>222</v>
      </c>
      <c r="C347" s="0" t="n">
        <v>2021</v>
      </c>
      <c r="D347" s="0" t="s">
        <v>307</v>
      </c>
      <c r="E347" s="0" t="n">
        <v>6</v>
      </c>
      <c r="F347" s="0" t="s">
        <v>2906</v>
      </c>
      <c r="G347" s="0" t="s">
        <v>2912</v>
      </c>
      <c r="H347" s="0" t="s">
        <v>2941</v>
      </c>
      <c r="I347" s="0" t="s">
        <v>2909</v>
      </c>
    </row>
    <row r="348" customFormat="false" ht="15" hidden="false" customHeight="false" outlineLevel="0" collapsed="false">
      <c r="A348" s="0" t="s">
        <v>2905</v>
      </c>
      <c r="B348" s="0" t="s">
        <v>222</v>
      </c>
      <c r="C348" s="0" t="n">
        <v>2021</v>
      </c>
      <c r="D348" s="0" t="s">
        <v>64</v>
      </c>
      <c r="E348" s="0" t="n">
        <v>6</v>
      </c>
      <c r="F348" s="0" t="s">
        <v>2906</v>
      </c>
      <c r="G348" s="0" t="s">
        <v>2912</v>
      </c>
      <c r="H348" s="0" t="s">
        <v>2941</v>
      </c>
      <c r="I348" s="0" t="s">
        <v>2909</v>
      </c>
    </row>
    <row r="349" customFormat="false" ht="15" hidden="false" customHeight="false" outlineLevel="0" collapsed="false">
      <c r="A349" s="0" t="s">
        <v>2905</v>
      </c>
      <c r="B349" s="0" t="s">
        <v>222</v>
      </c>
      <c r="C349" s="0" t="n">
        <v>2021</v>
      </c>
      <c r="D349" s="0" t="s">
        <v>70</v>
      </c>
      <c r="E349" s="0" t="n">
        <v>6</v>
      </c>
      <c r="F349" s="0" t="s">
        <v>2906</v>
      </c>
      <c r="G349" s="0" t="s">
        <v>2912</v>
      </c>
      <c r="H349" s="0" t="s">
        <v>2941</v>
      </c>
      <c r="I349" s="0" t="s">
        <v>2909</v>
      </c>
    </row>
    <row r="350" customFormat="false" ht="15" hidden="false" customHeight="false" outlineLevel="0" collapsed="false">
      <c r="A350" s="0" t="s">
        <v>2905</v>
      </c>
      <c r="B350" s="0" t="s">
        <v>222</v>
      </c>
      <c r="C350" s="0" t="n">
        <v>2021</v>
      </c>
      <c r="D350" s="0" t="s">
        <v>71</v>
      </c>
      <c r="E350" s="0" t="n">
        <v>6</v>
      </c>
      <c r="F350" s="0" t="s">
        <v>2906</v>
      </c>
      <c r="G350" s="0" t="s">
        <v>2912</v>
      </c>
      <c r="H350" s="0" t="s">
        <v>2941</v>
      </c>
      <c r="I350" s="0" t="s">
        <v>2909</v>
      </c>
    </row>
    <row r="351" customFormat="false" ht="15" hidden="false" customHeight="false" outlineLevel="0" collapsed="false">
      <c r="A351" s="0" t="s">
        <v>2905</v>
      </c>
      <c r="B351" s="0" t="s">
        <v>222</v>
      </c>
      <c r="C351" s="0" t="n">
        <v>2021</v>
      </c>
      <c r="D351" s="0" t="s">
        <v>73</v>
      </c>
      <c r="E351" s="0" t="n">
        <v>6</v>
      </c>
      <c r="F351" s="0" t="s">
        <v>2906</v>
      </c>
      <c r="G351" s="0" t="s">
        <v>2912</v>
      </c>
      <c r="H351" s="0" t="s">
        <v>2941</v>
      </c>
      <c r="I351" s="0" t="s">
        <v>2911</v>
      </c>
    </row>
    <row r="352" customFormat="false" ht="15" hidden="false" customHeight="false" outlineLevel="0" collapsed="false">
      <c r="A352" s="0" t="s">
        <v>2905</v>
      </c>
      <c r="B352" s="0" t="s">
        <v>222</v>
      </c>
      <c r="C352" s="0" t="n">
        <v>2021</v>
      </c>
      <c r="D352" s="0" t="s">
        <v>67</v>
      </c>
      <c r="E352" s="0" t="n">
        <v>6</v>
      </c>
      <c r="F352" s="0" t="s">
        <v>2906</v>
      </c>
      <c r="G352" s="0" t="s">
        <v>2912</v>
      </c>
      <c r="H352" s="0" t="s">
        <v>2941</v>
      </c>
      <c r="I352" s="0" t="s">
        <v>2916</v>
      </c>
    </row>
    <row r="353" customFormat="false" ht="15" hidden="false" customHeight="false" outlineLevel="0" collapsed="false">
      <c r="A353" s="0" t="s">
        <v>2905</v>
      </c>
      <c r="B353" s="0" t="s">
        <v>222</v>
      </c>
      <c r="C353" s="0" t="n">
        <v>2021</v>
      </c>
      <c r="D353" s="0" t="s">
        <v>68</v>
      </c>
      <c r="E353" s="0" t="n">
        <v>6</v>
      </c>
      <c r="F353" s="0" t="s">
        <v>2906</v>
      </c>
      <c r="G353" s="0" t="s">
        <v>2912</v>
      </c>
      <c r="H353" s="0" t="s">
        <v>2941</v>
      </c>
      <c r="I353" s="0" t="s">
        <v>2916</v>
      </c>
    </row>
    <row r="354" customFormat="false" ht="15" hidden="false" customHeight="false" outlineLevel="0" collapsed="false">
      <c r="A354" s="0" t="s">
        <v>2905</v>
      </c>
      <c r="B354" s="0" t="s">
        <v>222</v>
      </c>
      <c r="C354" s="0" t="n">
        <v>2022</v>
      </c>
      <c r="D354" s="0" t="s">
        <v>307</v>
      </c>
      <c r="E354" s="0" t="n">
        <v>6</v>
      </c>
      <c r="F354" s="0" t="s">
        <v>2906</v>
      </c>
      <c r="G354" s="0" t="s">
        <v>2912</v>
      </c>
      <c r="H354" s="0" t="s">
        <v>2941</v>
      </c>
      <c r="I354" s="0" t="s">
        <v>2909</v>
      </c>
    </row>
    <row r="355" customFormat="false" ht="15" hidden="false" customHeight="false" outlineLevel="0" collapsed="false">
      <c r="A355" s="0" t="s">
        <v>2905</v>
      </c>
      <c r="B355" s="0" t="s">
        <v>222</v>
      </c>
      <c r="C355" s="0" t="n">
        <v>2022</v>
      </c>
      <c r="D355" s="0" t="s">
        <v>64</v>
      </c>
      <c r="E355" s="0" t="n">
        <v>6</v>
      </c>
      <c r="F355" s="0" t="s">
        <v>2906</v>
      </c>
      <c r="G355" s="0" t="s">
        <v>2912</v>
      </c>
      <c r="H355" s="0" t="s">
        <v>2941</v>
      </c>
      <c r="I355" s="0" t="s">
        <v>2909</v>
      </c>
    </row>
    <row r="356" customFormat="false" ht="15" hidden="false" customHeight="false" outlineLevel="0" collapsed="false">
      <c r="A356" s="0" t="s">
        <v>2905</v>
      </c>
      <c r="B356" s="0" t="s">
        <v>222</v>
      </c>
      <c r="C356" s="0" t="n">
        <v>2022</v>
      </c>
      <c r="D356" s="0" t="s">
        <v>70</v>
      </c>
      <c r="E356" s="0" t="n">
        <v>6</v>
      </c>
      <c r="F356" s="0" t="s">
        <v>2906</v>
      </c>
      <c r="G356" s="0" t="s">
        <v>2912</v>
      </c>
      <c r="H356" s="0" t="s">
        <v>2941</v>
      </c>
      <c r="I356" s="0" t="s">
        <v>2909</v>
      </c>
    </row>
    <row r="357" customFormat="false" ht="15" hidden="false" customHeight="false" outlineLevel="0" collapsed="false">
      <c r="A357" s="0" t="s">
        <v>2905</v>
      </c>
      <c r="B357" s="0" t="s">
        <v>222</v>
      </c>
      <c r="C357" s="0" t="n">
        <v>2022</v>
      </c>
      <c r="D357" s="0" t="s">
        <v>71</v>
      </c>
      <c r="E357" s="0" t="n">
        <v>6</v>
      </c>
      <c r="F357" s="0" t="s">
        <v>2906</v>
      </c>
      <c r="G357" s="0" t="s">
        <v>2912</v>
      </c>
      <c r="H357" s="0" t="s">
        <v>2941</v>
      </c>
      <c r="I357" s="0" t="s">
        <v>2909</v>
      </c>
    </row>
    <row r="358" customFormat="false" ht="15" hidden="false" customHeight="false" outlineLevel="0" collapsed="false">
      <c r="A358" s="0" t="s">
        <v>2905</v>
      </c>
      <c r="B358" s="0" t="s">
        <v>222</v>
      </c>
      <c r="C358" s="0" t="n">
        <v>2022</v>
      </c>
      <c r="D358" s="0" t="s">
        <v>73</v>
      </c>
      <c r="E358" s="0" t="n">
        <v>6</v>
      </c>
      <c r="F358" s="0" t="s">
        <v>2906</v>
      </c>
      <c r="G358" s="0" t="s">
        <v>2912</v>
      </c>
      <c r="H358" s="0" t="s">
        <v>2941</v>
      </c>
      <c r="I358" s="0" t="s">
        <v>2911</v>
      </c>
    </row>
    <row r="359" customFormat="false" ht="15" hidden="false" customHeight="false" outlineLevel="0" collapsed="false">
      <c r="A359" s="0" t="s">
        <v>2905</v>
      </c>
      <c r="B359" s="0" t="s">
        <v>222</v>
      </c>
      <c r="C359" s="0" t="n">
        <v>2022</v>
      </c>
      <c r="D359" s="0" t="s">
        <v>67</v>
      </c>
      <c r="E359" s="0" t="n">
        <v>6</v>
      </c>
      <c r="F359" s="0" t="s">
        <v>2906</v>
      </c>
      <c r="G359" s="0" t="s">
        <v>2912</v>
      </c>
      <c r="H359" s="0" t="s">
        <v>2941</v>
      </c>
      <c r="I359" s="0" t="s">
        <v>2916</v>
      </c>
    </row>
    <row r="360" customFormat="false" ht="15" hidden="false" customHeight="false" outlineLevel="0" collapsed="false">
      <c r="A360" s="0" t="s">
        <v>2905</v>
      </c>
      <c r="B360" s="0" t="s">
        <v>222</v>
      </c>
      <c r="C360" s="0" t="n">
        <v>2022</v>
      </c>
      <c r="D360" s="0" t="s">
        <v>68</v>
      </c>
      <c r="E360" s="0" t="n">
        <v>6</v>
      </c>
      <c r="F360" s="0" t="s">
        <v>2906</v>
      </c>
      <c r="G360" s="0" t="s">
        <v>2912</v>
      </c>
      <c r="H360" s="0" t="s">
        <v>2941</v>
      </c>
      <c r="I360" s="0" t="s">
        <v>2916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11"/>
    <col collapsed="false" customWidth="true" hidden="false" outlineLevel="0" max="6" min="6" style="0" width="10"/>
    <col collapsed="false" customWidth="true" hidden="false" outlineLevel="0" max="7" min="7" style="0" width="11"/>
    <col collapsed="false" customWidth="true" hidden="false" outlineLevel="0" max="9" min="8" style="0" width="18"/>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6"/>
    <col collapsed="false" customWidth="true" hidden="false" outlineLevel="0" max="14" min="14" style="0" width="14"/>
  </cols>
  <sheetData>
    <row r="1" customFormat="false" ht="15" hidden="false" customHeight="false" outlineLevel="0" collapsed="false">
      <c r="A1" s="2" t="s">
        <v>2942</v>
      </c>
    </row>
    <row r="3" customFormat="false" ht="15" hidden="false" customHeight="false" outlineLevel="0" collapsed="false">
      <c r="A3" s="3" t="s">
        <v>2943</v>
      </c>
      <c r="B3" s="3" t="s">
        <v>2944</v>
      </c>
      <c r="C3" s="3" t="s">
        <v>50</v>
      </c>
      <c r="D3" s="3" t="s">
        <v>2945</v>
      </c>
      <c r="E3" s="3" t="s">
        <v>2946</v>
      </c>
      <c r="F3" s="3" t="s">
        <v>76</v>
      </c>
      <c r="G3" s="3" t="s">
        <v>2947</v>
      </c>
      <c r="H3" s="3" t="s">
        <v>2948</v>
      </c>
      <c r="I3" s="3" t="s">
        <v>2949</v>
      </c>
      <c r="J3" s="3" t="s">
        <v>2950</v>
      </c>
      <c r="K3" s="3" t="s">
        <v>2336</v>
      </c>
      <c r="L3" s="3" t="s">
        <v>2951</v>
      </c>
      <c r="M3" s="3" t="s">
        <v>2952</v>
      </c>
      <c r="N3" s="3" t="s">
        <v>2953</v>
      </c>
    </row>
    <row r="4" customFormat="false" ht="15" hidden="false" customHeight="false" outlineLevel="0" collapsed="false">
      <c r="A4" s="0" t="s">
        <v>80</v>
      </c>
      <c r="B4" s="0" t="s">
        <v>2664</v>
      </c>
      <c r="C4" s="0" t="s">
        <v>77</v>
      </c>
      <c r="D4" s="0" t="s">
        <v>2954</v>
      </c>
      <c r="F4" s="0" t="s">
        <v>2955</v>
      </c>
      <c r="G4" s="0" t="s">
        <v>2375</v>
      </c>
      <c r="H4" s="0" t="s">
        <v>2376</v>
      </c>
      <c r="I4" s="0" t="s">
        <v>2956</v>
      </c>
      <c r="J4" s="0" t="s">
        <v>80</v>
      </c>
      <c r="K4" s="0" t="n">
        <v>0</v>
      </c>
      <c r="N4" s="0" t="s">
        <v>2957</v>
      </c>
    </row>
    <row r="5" customFormat="false" ht="15" hidden="false" customHeight="false" outlineLevel="0" collapsed="false">
      <c r="A5" s="0" t="s">
        <v>107</v>
      </c>
      <c r="B5" s="0" t="s">
        <v>2681</v>
      </c>
      <c r="C5" s="0" t="s">
        <v>100</v>
      </c>
      <c r="D5" s="0" t="s">
        <v>2954</v>
      </c>
      <c r="F5" s="0" t="s">
        <v>2955</v>
      </c>
      <c r="G5" s="0" t="s">
        <v>2388</v>
      </c>
      <c r="H5" s="0" t="s">
        <v>2341</v>
      </c>
      <c r="J5" s="0" t="s">
        <v>107</v>
      </c>
      <c r="K5" s="0" t="n">
        <v>108693</v>
      </c>
      <c r="L5" s="0" t="s">
        <v>2390</v>
      </c>
      <c r="M5" s="0" t="s">
        <v>2958</v>
      </c>
      <c r="N5" s="0" t="s">
        <v>2959</v>
      </c>
    </row>
    <row r="6" customFormat="false" ht="15" hidden="false" customHeight="false" outlineLevel="0" collapsed="false">
      <c r="A6" s="0" t="s">
        <v>116</v>
      </c>
      <c r="B6" s="0" t="s">
        <v>2689</v>
      </c>
      <c r="C6" s="0" t="s">
        <v>115</v>
      </c>
      <c r="D6" s="0" t="s">
        <v>2954</v>
      </c>
      <c r="F6" s="0" t="s">
        <v>2955</v>
      </c>
      <c r="G6" s="0" t="s">
        <v>2353</v>
      </c>
      <c r="H6" s="0" t="s">
        <v>2341</v>
      </c>
      <c r="J6" s="0" t="s">
        <v>116</v>
      </c>
      <c r="K6" s="0" t="n">
        <v>2935700</v>
      </c>
      <c r="L6" s="0" t="s">
        <v>2354</v>
      </c>
      <c r="M6" s="0" t="s">
        <v>2960</v>
      </c>
      <c r="N6" s="0" t="s">
        <v>2961</v>
      </c>
    </row>
    <row r="7" customFormat="false" ht="15" hidden="false" customHeight="false" outlineLevel="0" collapsed="false">
      <c r="A7" s="0" t="s">
        <v>121</v>
      </c>
      <c r="B7" s="0" t="s">
        <v>2694</v>
      </c>
      <c r="C7" s="0" t="s">
        <v>115</v>
      </c>
      <c r="D7" s="0" t="s">
        <v>2954</v>
      </c>
      <c r="F7" s="0" t="s">
        <v>2955</v>
      </c>
      <c r="G7" s="0" t="s">
        <v>1888</v>
      </c>
      <c r="H7" s="0" t="s">
        <v>2341</v>
      </c>
      <c r="J7" s="0" t="s">
        <v>121</v>
      </c>
      <c r="K7" s="0" t="n">
        <v>5796360</v>
      </c>
      <c r="L7" s="0" t="s">
        <v>2374</v>
      </c>
      <c r="M7" s="0" t="s">
        <v>2962</v>
      </c>
      <c r="N7" s="0" t="s">
        <v>2961</v>
      </c>
    </row>
    <row r="8" customFormat="false" ht="15" hidden="false" customHeight="false" outlineLevel="0" collapsed="false">
      <c r="A8" s="0" t="s">
        <v>126</v>
      </c>
      <c r="B8" s="0" t="s">
        <v>2696</v>
      </c>
      <c r="C8" s="0" t="s">
        <v>125</v>
      </c>
      <c r="D8" s="0" t="s">
        <v>2954</v>
      </c>
      <c r="F8" s="0" t="s">
        <v>2955</v>
      </c>
      <c r="G8" s="0" t="s">
        <v>2393</v>
      </c>
      <c r="H8" s="0" t="s">
        <v>2341</v>
      </c>
      <c r="J8" s="0" t="s">
        <v>126</v>
      </c>
      <c r="K8" s="0" t="n">
        <v>6602892</v>
      </c>
      <c r="L8" s="0" t="s">
        <v>2395</v>
      </c>
      <c r="M8" s="0" t="s">
        <v>2963</v>
      </c>
      <c r="N8" s="0" t="s">
        <v>2964</v>
      </c>
    </row>
    <row r="9" customFormat="false" ht="15" hidden="false" customHeight="false" outlineLevel="0" collapsed="false">
      <c r="A9" s="0" t="s">
        <v>137</v>
      </c>
      <c r="B9" s="0" t="s">
        <v>2704</v>
      </c>
      <c r="C9" s="0" t="s">
        <v>136</v>
      </c>
      <c r="D9" s="0" t="s">
        <v>2954</v>
      </c>
      <c r="F9" s="0" t="s">
        <v>2955</v>
      </c>
      <c r="G9" s="0" t="s">
        <v>2360</v>
      </c>
      <c r="H9" s="0" t="s">
        <v>2341</v>
      </c>
      <c r="J9" s="0" t="s">
        <v>137</v>
      </c>
      <c r="K9" s="0" t="n">
        <v>2135241</v>
      </c>
      <c r="L9" s="0" t="s">
        <v>2362</v>
      </c>
      <c r="M9" s="0" t="s">
        <v>2965</v>
      </c>
      <c r="N9" s="0" t="s">
        <v>2966</v>
      </c>
    </row>
    <row r="10" customFormat="false" ht="15" hidden="false" customHeight="false" outlineLevel="0" collapsed="false">
      <c r="A10" s="0" t="s">
        <v>170</v>
      </c>
      <c r="B10" s="0" t="s">
        <v>2718</v>
      </c>
      <c r="C10" s="0" t="s">
        <v>169</v>
      </c>
      <c r="D10" s="0" t="s">
        <v>2954</v>
      </c>
      <c r="F10" s="0" t="s">
        <v>2955</v>
      </c>
      <c r="G10" s="0" t="s">
        <v>1903</v>
      </c>
      <c r="H10" s="0" t="s">
        <v>2341</v>
      </c>
      <c r="J10" s="0" t="s">
        <v>170</v>
      </c>
      <c r="K10" s="0" t="n">
        <v>2526321</v>
      </c>
      <c r="L10" s="0" t="s">
        <v>2398</v>
      </c>
      <c r="M10" s="0" t="s">
        <v>2967</v>
      </c>
      <c r="N10" s="0" t="s">
        <v>2968</v>
      </c>
    </row>
    <row r="11" customFormat="false" ht="15" hidden="false" customHeight="false" outlineLevel="0" collapsed="false">
      <c r="A11" s="0" t="s">
        <v>174</v>
      </c>
      <c r="B11" s="0" t="s">
        <v>2722</v>
      </c>
      <c r="C11" s="0" t="s">
        <v>169</v>
      </c>
      <c r="D11" s="0" t="s">
        <v>2954</v>
      </c>
      <c r="F11" s="0" t="s">
        <v>2955</v>
      </c>
      <c r="G11" s="0" t="s">
        <v>1910</v>
      </c>
      <c r="H11" s="0" t="s">
        <v>2341</v>
      </c>
      <c r="J11" s="0" t="s">
        <v>174</v>
      </c>
      <c r="K11" s="0" t="n">
        <v>6660620</v>
      </c>
      <c r="L11" s="0" t="s">
        <v>2405</v>
      </c>
      <c r="M11" s="0" t="s">
        <v>2969</v>
      </c>
      <c r="N11" s="0" t="s">
        <v>2970</v>
      </c>
    </row>
    <row r="12" customFormat="false" ht="15" hidden="false" customHeight="false" outlineLevel="0" collapsed="false">
      <c r="A12" s="0" t="s">
        <v>179</v>
      </c>
      <c r="B12" s="0" t="s">
        <v>2726</v>
      </c>
      <c r="C12" s="0" t="s">
        <v>178</v>
      </c>
      <c r="D12" s="0" t="s">
        <v>2954</v>
      </c>
      <c r="F12" s="0" t="s">
        <v>2955</v>
      </c>
      <c r="G12" s="0" t="s">
        <v>2406</v>
      </c>
      <c r="H12" s="0" t="s">
        <v>2341</v>
      </c>
      <c r="J12" s="0" t="s">
        <v>179</v>
      </c>
      <c r="K12" s="0" t="n">
        <v>4713072</v>
      </c>
      <c r="L12" s="0" t="s">
        <v>2407</v>
      </c>
      <c r="M12" s="0" t="s">
        <v>2971</v>
      </c>
      <c r="N12" s="0" t="s">
        <v>2970</v>
      </c>
    </row>
    <row r="13" customFormat="false" ht="15" hidden="false" customHeight="false" outlineLevel="0" collapsed="false">
      <c r="A13" s="0" t="s">
        <v>180</v>
      </c>
      <c r="B13" s="0" t="s">
        <v>2728</v>
      </c>
      <c r="C13" s="0" t="s">
        <v>178</v>
      </c>
      <c r="D13" s="0" t="s">
        <v>2954</v>
      </c>
      <c r="F13" s="0" t="s">
        <v>2955</v>
      </c>
      <c r="G13" s="0" t="s">
        <v>2399</v>
      </c>
      <c r="H13" s="0" t="s">
        <v>2341</v>
      </c>
      <c r="J13" s="0" t="s">
        <v>180</v>
      </c>
      <c r="K13" s="0" t="n">
        <v>5579693</v>
      </c>
      <c r="L13" s="0" t="s">
        <v>2400</v>
      </c>
      <c r="M13" s="0" t="s">
        <v>2972</v>
      </c>
      <c r="N13" s="0" t="s">
        <v>2973</v>
      </c>
    </row>
    <row r="14" customFormat="false" ht="15" hidden="false" customHeight="false" outlineLevel="0" collapsed="false">
      <c r="A14" s="0" t="s">
        <v>184</v>
      </c>
      <c r="B14" s="0" t="s">
        <v>2729</v>
      </c>
      <c r="C14" s="0" t="s">
        <v>178</v>
      </c>
      <c r="D14" s="0" t="s">
        <v>2954</v>
      </c>
      <c r="F14" s="0" t="s">
        <v>2955</v>
      </c>
      <c r="G14" s="0" t="s">
        <v>2386</v>
      </c>
      <c r="H14" s="0" t="s">
        <v>2341</v>
      </c>
      <c r="J14" s="0" t="s">
        <v>184</v>
      </c>
      <c r="K14" s="0" t="n">
        <v>7097382</v>
      </c>
      <c r="L14" s="0" t="s">
        <v>2387</v>
      </c>
      <c r="M14" s="0" t="s">
        <v>2974</v>
      </c>
      <c r="N14" s="0" t="s">
        <v>2975</v>
      </c>
    </row>
    <row r="15" customFormat="false" ht="15" hidden="false" customHeight="false" outlineLevel="0" collapsed="false">
      <c r="A15" s="0" t="s">
        <v>185</v>
      </c>
      <c r="B15" s="0" t="s">
        <v>2730</v>
      </c>
      <c r="C15" s="0" t="s">
        <v>178</v>
      </c>
      <c r="D15" s="0" t="s">
        <v>2954</v>
      </c>
      <c r="F15" s="0" t="s">
        <v>2955</v>
      </c>
      <c r="G15" s="0" t="s">
        <v>2355</v>
      </c>
      <c r="H15" s="0" t="s">
        <v>2341</v>
      </c>
      <c r="J15" s="0" t="s">
        <v>185</v>
      </c>
      <c r="K15" s="0" t="n">
        <v>3413675</v>
      </c>
      <c r="L15" s="0" t="s">
        <v>2357</v>
      </c>
      <c r="M15" s="0" t="s">
        <v>2976</v>
      </c>
      <c r="N15" s="0" t="s">
        <v>2977</v>
      </c>
    </row>
    <row r="16" customFormat="false" ht="15" hidden="false" customHeight="false" outlineLevel="0" collapsed="false">
      <c r="A16" s="0" t="s">
        <v>186</v>
      </c>
      <c r="B16" s="0" t="s">
        <v>2731</v>
      </c>
      <c r="C16" s="0" t="s">
        <v>178</v>
      </c>
      <c r="D16" s="0" t="s">
        <v>2954</v>
      </c>
      <c r="F16" s="0" t="s">
        <v>2955</v>
      </c>
      <c r="G16" s="0" t="s">
        <v>2379</v>
      </c>
      <c r="H16" s="0" t="s">
        <v>2341</v>
      </c>
      <c r="J16" s="0" t="s">
        <v>186</v>
      </c>
      <c r="K16" s="0" t="n">
        <v>1647377</v>
      </c>
      <c r="L16" s="0" t="s">
        <v>2380</v>
      </c>
      <c r="M16" s="0" t="s">
        <v>2978</v>
      </c>
      <c r="N16" s="0" t="s">
        <v>2979</v>
      </c>
    </row>
    <row r="17" customFormat="false" ht="15" hidden="false" customHeight="false" outlineLevel="0" collapsed="false">
      <c r="A17" s="0" t="s">
        <v>188</v>
      </c>
      <c r="B17" s="0" t="s">
        <v>2732</v>
      </c>
      <c r="C17" s="0" t="s">
        <v>187</v>
      </c>
      <c r="D17" s="0" t="s">
        <v>2954</v>
      </c>
      <c r="F17" s="0" t="s">
        <v>2955</v>
      </c>
      <c r="G17" s="0" t="s">
        <v>2381</v>
      </c>
      <c r="H17" s="0" t="s">
        <v>2341</v>
      </c>
      <c r="J17" s="0" t="s">
        <v>188</v>
      </c>
      <c r="K17" s="0" t="n">
        <v>3630147</v>
      </c>
      <c r="L17" s="0" t="s">
        <v>2382</v>
      </c>
      <c r="M17" s="0" t="s">
        <v>2980</v>
      </c>
      <c r="N17" s="0" t="s">
        <v>2981</v>
      </c>
    </row>
    <row r="18" customFormat="false" ht="15" hidden="false" customHeight="false" outlineLevel="0" collapsed="false">
      <c r="A18" s="0" t="s">
        <v>191</v>
      </c>
      <c r="B18" s="0" t="s">
        <v>2734</v>
      </c>
      <c r="C18" s="0" t="s">
        <v>187</v>
      </c>
      <c r="D18" s="0" t="s">
        <v>2954</v>
      </c>
      <c r="F18" s="0" t="s">
        <v>2955</v>
      </c>
      <c r="G18" s="0" t="s">
        <v>1851</v>
      </c>
      <c r="H18" s="0" t="s">
        <v>2341</v>
      </c>
      <c r="J18" s="0" t="s">
        <v>191</v>
      </c>
      <c r="K18" s="0" t="n">
        <v>7609185</v>
      </c>
      <c r="L18" s="0" t="s">
        <v>2410</v>
      </c>
      <c r="M18" s="0" t="s">
        <v>2982</v>
      </c>
      <c r="N18" s="0" t="s">
        <v>2983</v>
      </c>
    </row>
    <row r="19" customFormat="false" ht="15" hidden="false" customHeight="false" outlineLevel="0" collapsed="false">
      <c r="A19" s="0" t="s">
        <v>195</v>
      </c>
      <c r="B19" s="0" t="s">
        <v>2736</v>
      </c>
      <c r="C19" s="0" t="s">
        <v>187</v>
      </c>
      <c r="D19" s="0" t="s">
        <v>2954</v>
      </c>
      <c r="F19" s="0" t="s">
        <v>2955</v>
      </c>
      <c r="G19" s="0" t="s">
        <v>1859</v>
      </c>
      <c r="H19" s="0" t="s">
        <v>2341</v>
      </c>
      <c r="J19" s="0" t="s">
        <v>195</v>
      </c>
      <c r="K19" s="0" t="n">
        <v>2415232</v>
      </c>
      <c r="L19" s="0" t="s">
        <v>2378</v>
      </c>
      <c r="M19" s="0" t="s">
        <v>2984</v>
      </c>
      <c r="N19" s="0" t="s">
        <v>2983</v>
      </c>
    </row>
    <row r="20" customFormat="false" ht="15" hidden="false" customHeight="false" outlineLevel="0" collapsed="false">
      <c r="A20" s="0" t="s">
        <v>198</v>
      </c>
      <c r="B20" s="0" t="s">
        <v>2738</v>
      </c>
      <c r="C20" s="0" t="s">
        <v>187</v>
      </c>
      <c r="D20" s="0" t="s">
        <v>2954</v>
      </c>
      <c r="F20" s="0" t="s">
        <v>2955</v>
      </c>
      <c r="G20" s="0" t="s">
        <v>1866</v>
      </c>
      <c r="H20" s="0" t="s">
        <v>2341</v>
      </c>
      <c r="J20" s="0" t="s">
        <v>198</v>
      </c>
      <c r="K20" s="0" t="n">
        <v>4027041</v>
      </c>
      <c r="L20" s="0" t="s">
        <v>2369</v>
      </c>
      <c r="M20" s="0" t="s">
        <v>2985</v>
      </c>
      <c r="N20" s="0" t="s">
        <v>2986</v>
      </c>
    </row>
    <row r="21" customFormat="false" ht="15" hidden="false" customHeight="false" outlineLevel="0" collapsed="false">
      <c r="A21" s="0" t="s">
        <v>207</v>
      </c>
      <c r="B21" s="0" t="s">
        <v>2743</v>
      </c>
      <c r="C21" s="0" t="s">
        <v>201</v>
      </c>
      <c r="D21" s="0" t="s">
        <v>2954</v>
      </c>
      <c r="F21" s="0" t="s">
        <v>2955</v>
      </c>
      <c r="G21" s="0" t="s">
        <v>1932</v>
      </c>
      <c r="H21" s="0" t="s">
        <v>2341</v>
      </c>
      <c r="J21" s="0" t="s">
        <v>207</v>
      </c>
      <c r="K21" s="0" t="n">
        <v>2228390</v>
      </c>
      <c r="L21" s="0" t="s">
        <v>2408</v>
      </c>
      <c r="M21" s="0" t="s">
        <v>2987</v>
      </c>
      <c r="N21" s="0" t="s">
        <v>2988</v>
      </c>
    </row>
    <row r="22" customFormat="false" ht="15" hidden="false" customHeight="false" outlineLevel="0" collapsed="false">
      <c r="A22" s="0" t="s">
        <v>214</v>
      </c>
      <c r="B22" s="0" t="s">
        <v>2747</v>
      </c>
      <c r="C22" s="0" t="s">
        <v>211</v>
      </c>
      <c r="D22" s="0" t="s">
        <v>2954</v>
      </c>
      <c r="F22" s="0" t="s">
        <v>2955</v>
      </c>
      <c r="G22" s="0" t="s">
        <v>2346</v>
      </c>
      <c r="H22" s="0" t="s">
        <v>2341</v>
      </c>
      <c r="J22" s="0" t="s">
        <v>214</v>
      </c>
      <c r="K22" s="0" t="n">
        <v>3102438</v>
      </c>
      <c r="L22" s="0" t="s">
        <v>2348</v>
      </c>
      <c r="M22" s="0" t="s">
        <v>2989</v>
      </c>
      <c r="N22" s="0" t="s">
        <v>2990</v>
      </c>
    </row>
    <row r="23" customFormat="false" ht="15" hidden="false" customHeight="false" outlineLevel="0" collapsed="false">
      <c r="A23" s="0" t="s">
        <v>216</v>
      </c>
      <c r="B23" s="0" t="s">
        <v>2748</v>
      </c>
      <c r="C23" s="0" t="s">
        <v>211</v>
      </c>
      <c r="D23" s="0" t="s">
        <v>2954</v>
      </c>
      <c r="F23" s="0" t="s">
        <v>2955</v>
      </c>
      <c r="G23" s="0" t="s">
        <v>1871</v>
      </c>
      <c r="H23" s="0" t="s">
        <v>2341</v>
      </c>
      <c r="J23" s="0" t="s">
        <v>216</v>
      </c>
      <c r="K23" s="0" t="n">
        <v>5400358</v>
      </c>
      <c r="L23" s="0" t="s">
        <v>2411</v>
      </c>
      <c r="M23" s="0" t="s">
        <v>2991</v>
      </c>
      <c r="N23" s="0" t="s">
        <v>2990</v>
      </c>
    </row>
    <row r="24" customFormat="false" ht="15" hidden="false" customHeight="false" outlineLevel="0" collapsed="false">
      <c r="A24" s="0" t="s">
        <v>217</v>
      </c>
      <c r="B24" s="0" t="s">
        <v>2750</v>
      </c>
      <c r="C24" s="0" t="s">
        <v>211</v>
      </c>
      <c r="D24" s="0" t="s">
        <v>2954</v>
      </c>
      <c r="F24" s="0" t="s">
        <v>2955</v>
      </c>
      <c r="G24" s="0" t="s">
        <v>2365</v>
      </c>
      <c r="H24" s="0" t="s">
        <v>2341</v>
      </c>
      <c r="J24" s="0" t="s">
        <v>217</v>
      </c>
      <c r="K24" s="0" t="n">
        <v>8139641</v>
      </c>
      <c r="L24" s="0" t="s">
        <v>2367</v>
      </c>
      <c r="M24" s="0" t="s">
        <v>2992</v>
      </c>
      <c r="N24" s="0" t="s">
        <v>2993</v>
      </c>
    </row>
    <row r="25" customFormat="false" ht="15" hidden="false" customHeight="false" outlineLevel="0" collapsed="false">
      <c r="A25" s="0" t="s">
        <v>218</v>
      </c>
      <c r="B25" s="0" t="s">
        <v>2751</v>
      </c>
      <c r="C25" s="0" t="s">
        <v>211</v>
      </c>
      <c r="D25" s="0" t="s">
        <v>2954</v>
      </c>
      <c r="F25" s="0" t="s">
        <v>2955</v>
      </c>
      <c r="G25" s="0" t="s">
        <v>1877</v>
      </c>
      <c r="H25" s="0" t="s">
        <v>2341</v>
      </c>
      <c r="J25" s="0" t="s">
        <v>218</v>
      </c>
      <c r="K25" s="0" t="n">
        <v>3474978</v>
      </c>
      <c r="L25" s="0" t="s">
        <v>2396</v>
      </c>
      <c r="M25" s="0" t="s">
        <v>2994</v>
      </c>
      <c r="N25" s="0" t="s">
        <v>2995</v>
      </c>
    </row>
    <row r="26" customFormat="false" ht="15" hidden="false" customHeight="false" outlineLevel="0" collapsed="false">
      <c r="A26" s="0" t="s">
        <v>221</v>
      </c>
      <c r="B26" s="0" t="s">
        <v>2755</v>
      </c>
      <c r="C26" s="0" t="s">
        <v>211</v>
      </c>
      <c r="D26" s="0" t="s">
        <v>2954</v>
      </c>
      <c r="F26" s="0" t="s">
        <v>2955</v>
      </c>
      <c r="G26" s="0" t="s">
        <v>2401</v>
      </c>
      <c r="H26" s="0" t="s">
        <v>2341</v>
      </c>
      <c r="J26" s="0" t="s">
        <v>221</v>
      </c>
      <c r="K26" s="0" t="n">
        <v>2880789</v>
      </c>
      <c r="L26" s="0" t="s">
        <v>2402</v>
      </c>
      <c r="M26" s="0" t="s">
        <v>2996</v>
      </c>
      <c r="N26" s="0" t="s">
        <v>2997</v>
      </c>
    </row>
    <row r="27" customFormat="false" ht="15" hidden="false" customHeight="false" outlineLevel="0" collapsed="false">
      <c r="A27" s="0" t="s">
        <v>224</v>
      </c>
      <c r="B27" s="0" t="s">
        <v>2757</v>
      </c>
      <c r="C27" s="0" t="s">
        <v>222</v>
      </c>
      <c r="D27" s="0" t="s">
        <v>2954</v>
      </c>
      <c r="F27" s="0" t="s">
        <v>2955</v>
      </c>
      <c r="G27" s="0" t="s">
        <v>2383</v>
      </c>
      <c r="H27" s="0" t="s">
        <v>2341</v>
      </c>
      <c r="J27" s="0" t="s">
        <v>224</v>
      </c>
      <c r="K27" s="0" t="n">
        <v>3257266</v>
      </c>
      <c r="L27" s="0" t="s">
        <v>2385</v>
      </c>
      <c r="M27" s="0" t="s">
        <v>2998</v>
      </c>
      <c r="N27" s="0" t="s">
        <v>2966</v>
      </c>
    </row>
    <row r="28" customFormat="false" ht="15" hidden="false" customHeight="false" outlineLevel="0" collapsed="false">
      <c r="A28" s="0" t="s">
        <v>235</v>
      </c>
      <c r="B28" s="0" t="s">
        <v>2761</v>
      </c>
      <c r="C28" s="0" t="s">
        <v>222</v>
      </c>
      <c r="D28" s="0" t="s">
        <v>2954</v>
      </c>
      <c r="F28" s="0" t="s">
        <v>2955</v>
      </c>
      <c r="G28" s="0" t="s">
        <v>2403</v>
      </c>
      <c r="H28" s="0" t="s">
        <v>2341</v>
      </c>
      <c r="J28" s="0" t="s">
        <v>235</v>
      </c>
      <c r="K28" s="0" t="n">
        <v>8810170</v>
      </c>
      <c r="L28" s="0" t="s">
        <v>2404</v>
      </c>
      <c r="M28" s="0" t="s">
        <v>2999</v>
      </c>
      <c r="N28" s="0" t="s">
        <v>3000</v>
      </c>
    </row>
    <row r="29" customFormat="false" ht="15" hidden="false" customHeight="false" outlineLevel="0" collapsed="false">
      <c r="A29" s="0" t="s">
        <v>3001</v>
      </c>
      <c r="B29" s="0" t="s">
        <v>3002</v>
      </c>
      <c r="C29" s="0" t="s">
        <v>149</v>
      </c>
      <c r="D29" s="0" t="s">
        <v>3003</v>
      </c>
      <c r="F29" s="0" t="s">
        <v>2955</v>
      </c>
      <c r="G29" s="0" t="s">
        <v>3004</v>
      </c>
      <c r="H29" s="0" t="s">
        <v>3005</v>
      </c>
    </row>
    <row r="30" customFormat="false" ht="15" hidden="false" customHeight="false" outlineLevel="0" collapsed="false">
      <c r="A30" s="0" t="s">
        <v>167</v>
      </c>
      <c r="B30" s="0" t="s">
        <v>3006</v>
      </c>
      <c r="C30" s="0" t="s">
        <v>149</v>
      </c>
      <c r="D30" s="0" t="s">
        <v>3007</v>
      </c>
      <c r="E30" s="0" t="s">
        <v>3008</v>
      </c>
      <c r="F30" s="0" t="s">
        <v>2955</v>
      </c>
      <c r="G30" s="0" t="s">
        <v>1846</v>
      </c>
      <c r="H30" s="0" t="s">
        <v>2341</v>
      </c>
      <c r="J30" s="0" t="s">
        <v>167</v>
      </c>
      <c r="K30" s="0" t="n">
        <v>5416143</v>
      </c>
      <c r="L30" s="0" t="s">
        <v>2409</v>
      </c>
      <c r="M30" s="0" t="s">
        <v>3009</v>
      </c>
      <c r="N30" s="0" t="s">
        <v>3010</v>
      </c>
    </row>
    <row r="31" customFormat="false" ht="15" hidden="false" customHeight="false" outlineLevel="0" collapsed="false">
      <c r="A31" s="0" t="s">
        <v>164</v>
      </c>
      <c r="B31" s="0" t="s">
        <v>3011</v>
      </c>
      <c r="C31" s="0" t="s">
        <v>149</v>
      </c>
      <c r="D31" s="0" t="s">
        <v>3007</v>
      </c>
      <c r="E31" s="0" t="s">
        <v>3012</v>
      </c>
      <c r="F31" s="0" t="s">
        <v>2955</v>
      </c>
      <c r="G31" s="0" t="s">
        <v>1837</v>
      </c>
      <c r="H31" s="0" t="s">
        <v>2341</v>
      </c>
      <c r="J31" s="0" t="s">
        <v>164</v>
      </c>
      <c r="K31" s="0" t="n">
        <v>9736155</v>
      </c>
      <c r="L31" s="0" t="s">
        <v>2359</v>
      </c>
      <c r="M31" s="0" t="s">
        <v>3013</v>
      </c>
      <c r="N31" s="0" t="s">
        <v>3014</v>
      </c>
    </row>
    <row r="32" customFormat="false" ht="15" hidden="false" customHeight="false" outlineLevel="0" collapsed="false">
      <c r="A32" s="0" t="s">
        <v>160</v>
      </c>
      <c r="B32" s="0" t="s">
        <v>3015</v>
      </c>
      <c r="C32" s="0" t="s">
        <v>149</v>
      </c>
      <c r="D32" s="0" t="s">
        <v>3016</v>
      </c>
      <c r="F32" s="0" t="s">
        <v>2955</v>
      </c>
      <c r="G32" s="0" t="s">
        <v>2001</v>
      </c>
      <c r="H32" s="0" t="s">
        <v>2341</v>
      </c>
      <c r="J32" s="0" t="s">
        <v>160</v>
      </c>
      <c r="K32" s="0" t="n">
        <v>4096893</v>
      </c>
      <c r="L32" s="0" t="s">
        <v>2370</v>
      </c>
      <c r="M32" s="0" t="s">
        <v>3017</v>
      </c>
      <c r="N32" s="0" t="s">
        <v>3018</v>
      </c>
    </row>
    <row r="33" customFormat="false" ht="15" hidden="false" customHeight="false" outlineLevel="0" collapsed="false">
      <c r="A33" s="0" t="s">
        <v>162</v>
      </c>
      <c r="B33" s="0" t="s">
        <v>3019</v>
      </c>
      <c r="C33" s="0" t="s">
        <v>149</v>
      </c>
      <c r="D33" s="0" t="s">
        <v>3016</v>
      </c>
      <c r="F33" s="0" t="s">
        <v>2955</v>
      </c>
      <c r="G33" s="0" t="s">
        <v>2011</v>
      </c>
      <c r="H33" s="0" t="s">
        <v>2341</v>
      </c>
      <c r="J33" s="0" t="s">
        <v>162</v>
      </c>
      <c r="K33" s="0" t="n">
        <v>3734370</v>
      </c>
      <c r="L33" s="0" t="s">
        <v>2412</v>
      </c>
      <c r="M33" s="0" t="s">
        <v>3020</v>
      </c>
      <c r="N33" s="0" t="s">
        <v>3021</v>
      </c>
    </row>
    <row r="34" customFormat="false" ht="15" hidden="false" customHeight="false" outlineLevel="0" collapsed="false">
      <c r="A34" s="0" t="s">
        <v>123</v>
      </c>
      <c r="B34" s="0" t="s">
        <v>3022</v>
      </c>
      <c r="C34" s="0" t="s">
        <v>115</v>
      </c>
      <c r="D34" s="0" t="s">
        <v>3023</v>
      </c>
      <c r="F34" s="0" t="s">
        <v>2955</v>
      </c>
      <c r="G34" s="0" t="s">
        <v>1896</v>
      </c>
      <c r="H34" s="0" t="s">
        <v>2341</v>
      </c>
      <c r="J34" s="0" t="s">
        <v>123</v>
      </c>
      <c r="K34" s="0" t="n">
        <v>5562091</v>
      </c>
      <c r="L34" s="0" t="s">
        <v>2343</v>
      </c>
      <c r="M34" s="0" t="s">
        <v>3024</v>
      </c>
      <c r="N34" s="0" t="s">
        <v>3025</v>
      </c>
    </row>
    <row r="35" customFormat="false" ht="15" hidden="false" customHeight="false" outlineLevel="0" collapsed="false">
      <c r="A35" s="0" t="s">
        <v>219</v>
      </c>
      <c r="B35" s="0" t="s">
        <v>3026</v>
      </c>
      <c r="C35" s="0" t="s">
        <v>211</v>
      </c>
      <c r="D35" s="0" t="s">
        <v>3027</v>
      </c>
      <c r="F35" s="0" t="s">
        <v>2955</v>
      </c>
      <c r="G35" s="0" t="s">
        <v>1884</v>
      </c>
      <c r="H35" s="0" t="s">
        <v>2341</v>
      </c>
      <c r="J35" s="0" t="s">
        <v>219</v>
      </c>
      <c r="K35" s="0" t="n">
        <v>23893681</v>
      </c>
      <c r="L35" s="0" t="s">
        <v>2352</v>
      </c>
      <c r="M35" s="0" t="s">
        <v>3028</v>
      </c>
      <c r="N35" s="0" t="s">
        <v>3029</v>
      </c>
    </row>
    <row r="36" customFormat="false" ht="15" hidden="false" customHeight="false" outlineLevel="0" collapsed="false">
      <c r="A36" s="0" t="s">
        <v>3030</v>
      </c>
      <c r="B36" s="0" t="s">
        <v>3031</v>
      </c>
      <c r="C36" s="0" t="s">
        <v>187</v>
      </c>
      <c r="D36" s="0" t="s">
        <v>3032</v>
      </c>
      <c r="F36" s="0" t="s">
        <v>3033</v>
      </c>
      <c r="H36" s="0" t="s">
        <v>3005</v>
      </c>
    </row>
    <row r="37" customFormat="false" ht="15" hidden="false" customHeight="false" outlineLevel="0" collapsed="false">
      <c r="A37" s="0" t="s">
        <v>3034</v>
      </c>
      <c r="B37" s="0" t="s">
        <v>3035</v>
      </c>
      <c r="C37" s="0" t="s">
        <v>187</v>
      </c>
      <c r="D37" s="0" t="s">
        <v>3036</v>
      </c>
      <c r="F37" s="0" t="s">
        <v>3033</v>
      </c>
      <c r="H37" s="0" t="s">
        <v>3005</v>
      </c>
    </row>
    <row r="38" customFormat="false" ht="15" hidden="false" customHeight="false" outlineLevel="0" collapsed="false">
      <c r="A38" s="0" t="s">
        <v>3037</v>
      </c>
      <c r="B38" s="0" t="s">
        <v>3038</v>
      </c>
      <c r="C38" s="0" t="s">
        <v>187</v>
      </c>
      <c r="D38" s="0" t="s">
        <v>3039</v>
      </c>
      <c r="F38" s="0" t="s">
        <v>3033</v>
      </c>
      <c r="H38" s="0" t="s">
        <v>3005</v>
      </c>
    </row>
    <row r="39" customFormat="false" ht="15" hidden="false" customHeight="false" outlineLevel="0" collapsed="false">
      <c r="A39" s="0" t="s">
        <v>215</v>
      </c>
      <c r="B39" s="0" t="s">
        <v>2748</v>
      </c>
      <c r="C39" s="0" t="s">
        <v>211</v>
      </c>
      <c r="D39" s="0" t="s">
        <v>3040</v>
      </c>
      <c r="F39" s="0" t="s">
        <v>3041</v>
      </c>
      <c r="H39" s="0" t="s">
        <v>3005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9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13"/>
    <col collapsed="false" customWidth="true" hidden="false" outlineLevel="0" max="13" min="13" style="0" width="11"/>
    <col collapsed="false" customWidth="true" hidden="false" outlineLevel="0" max="15" min="14" style="0" width="12"/>
    <col collapsed="false" customWidth="true" hidden="false" outlineLevel="0" max="16" min="16" style="0" width="16"/>
    <col collapsed="false" customWidth="true" hidden="false" outlineLevel="0" max="17" min="17" style="0" width="18"/>
    <col collapsed="false" customWidth="true" hidden="false" outlineLevel="0" max="18" min="18" style="0" width="14"/>
    <col collapsed="false" customWidth="true" hidden="false" outlineLevel="0" max="19" min="19" style="0" width="13"/>
    <col collapsed="false" customWidth="true" hidden="false" outlineLevel="0" max="20" min="20" style="0" width="23"/>
    <col collapsed="false" customWidth="true" hidden="false" outlineLevel="0" max="21" min="21" style="0" width="25"/>
    <col collapsed="false" customWidth="true" hidden="false" outlineLevel="0" max="22" min="22" style="0" width="19"/>
    <col collapsed="false" customWidth="true" hidden="false" outlineLevel="0" max="23" min="23" style="0" width="22"/>
    <col collapsed="false" customWidth="true" hidden="false" outlineLevel="0" max="24" min="24" style="0" width="20"/>
    <col collapsed="false" customWidth="true" hidden="false" outlineLevel="0" max="25" min="25" style="0" width="10"/>
    <col collapsed="false" customWidth="true" hidden="false" outlineLevel="0" max="26" min="26" style="0" width="21"/>
    <col collapsed="false" customWidth="true" hidden="false" outlineLevel="0" max="27" min="27" style="0" width="15"/>
    <col collapsed="false" customWidth="true" hidden="false" outlineLevel="0" max="28" min="28" style="0" width="22"/>
    <col collapsed="false" customWidth="true" hidden="false" outlineLevel="0" max="29" min="29" style="0" width="17"/>
    <col collapsed="false" customWidth="true" hidden="false" outlineLevel="0" max="30" min="30" style="0" width="16"/>
    <col collapsed="false" customWidth="true" hidden="false" outlineLevel="0" max="31" min="31" style="0" width="14"/>
    <col collapsed="false" customWidth="true" hidden="false" outlineLevel="0" max="32" min="32" style="0" width="20"/>
    <col collapsed="false" customWidth="true" hidden="false" outlineLevel="0" max="33" min="33" style="0" width="23"/>
    <col collapsed="false" customWidth="true" hidden="false" outlineLevel="0" max="34" min="34" style="0" width="16"/>
    <col collapsed="false" customWidth="true" hidden="false" outlineLevel="0" max="35" min="35" style="0" width="13"/>
    <col collapsed="false" customWidth="true" hidden="false" outlineLevel="0" max="36" min="36" style="0" width="16"/>
    <col collapsed="false" customWidth="true" hidden="false" outlineLevel="0" max="37" min="37" style="0" width="15"/>
    <col collapsed="false" customWidth="true" hidden="false" outlineLevel="0" max="38" min="38" style="0" width="13"/>
  </cols>
  <sheetData>
    <row r="1" customFormat="false" ht="15" hidden="false" customHeight="false" outlineLevel="0" collapsed="false">
      <c r="A1" s="2" t="s">
        <v>3042</v>
      </c>
    </row>
    <row r="3" customFormat="false" ht="15" hidden="false" customHeight="false" outlineLevel="0" collapsed="false">
      <c r="A3" s="3" t="s">
        <v>519</v>
      </c>
      <c r="B3" s="3" t="s">
        <v>1781</v>
      </c>
      <c r="C3" s="3" t="s">
        <v>3043</v>
      </c>
      <c r="D3" s="3" t="s">
        <v>1782</v>
      </c>
      <c r="E3" s="3" t="s">
        <v>1783</v>
      </c>
      <c r="F3" s="3" t="s">
        <v>1784</v>
      </c>
      <c r="G3" s="3" t="s">
        <v>3044</v>
      </c>
      <c r="H3" s="3" t="s">
        <v>3045</v>
      </c>
      <c r="I3" s="3" t="s">
        <v>1785</v>
      </c>
      <c r="J3" s="3" t="s">
        <v>2782</v>
      </c>
      <c r="K3" s="3" t="s">
        <v>3046</v>
      </c>
      <c r="L3" s="3" t="s">
        <v>3047</v>
      </c>
      <c r="M3" s="3" t="s">
        <v>3048</v>
      </c>
      <c r="N3" s="3" t="s">
        <v>74</v>
      </c>
      <c r="O3" s="3" t="s">
        <v>2951</v>
      </c>
      <c r="P3" s="3" t="s">
        <v>2952</v>
      </c>
      <c r="Q3" s="3" t="s">
        <v>1786</v>
      </c>
      <c r="R3" s="3" t="s">
        <v>1787</v>
      </c>
      <c r="S3" s="3" t="s">
        <v>3049</v>
      </c>
      <c r="T3" s="3" t="s">
        <v>3050</v>
      </c>
      <c r="U3" s="3" t="s">
        <v>3051</v>
      </c>
      <c r="V3" s="3" t="s">
        <v>518</v>
      </c>
      <c r="W3" s="3" t="s">
        <v>3052</v>
      </c>
      <c r="X3" s="3" t="s">
        <v>3053</v>
      </c>
      <c r="Y3" s="3" t="s">
        <v>3054</v>
      </c>
      <c r="Z3" s="3" t="s">
        <v>1788</v>
      </c>
      <c r="AA3" s="3" t="s">
        <v>1789</v>
      </c>
      <c r="AB3" s="3" t="s">
        <v>3055</v>
      </c>
      <c r="AC3" s="3" t="s">
        <v>3056</v>
      </c>
      <c r="AD3" s="3" t="s">
        <v>3057</v>
      </c>
      <c r="AE3" s="3" t="s">
        <v>3058</v>
      </c>
      <c r="AF3" s="3" t="s">
        <v>3059</v>
      </c>
      <c r="AG3" s="3" t="s">
        <v>1809</v>
      </c>
      <c r="AH3" s="3" t="s">
        <v>3060</v>
      </c>
      <c r="AI3" s="3" t="s">
        <v>3061</v>
      </c>
      <c r="AJ3" s="3" t="s">
        <v>3062</v>
      </c>
      <c r="AK3" s="3" t="s">
        <v>3063</v>
      </c>
      <c r="AL3" s="3" t="s">
        <v>516</v>
      </c>
    </row>
    <row r="4" customFormat="false" ht="15" hidden="false" customHeight="false" outlineLevel="0" collapsed="false">
      <c r="A4" s="0" t="s">
        <v>3064</v>
      </c>
      <c r="B4" s="0" t="s">
        <v>77</v>
      </c>
      <c r="C4" s="0" t="s">
        <v>3065</v>
      </c>
      <c r="D4" s="0" t="n">
        <v>2013</v>
      </c>
      <c r="E4" s="0" t="s">
        <v>3066</v>
      </c>
      <c r="F4" s="0" t="n">
        <v>1217176792</v>
      </c>
      <c r="G4" s="0" t="s">
        <v>3067</v>
      </c>
      <c r="H4" s="0" t="s">
        <v>3068</v>
      </c>
      <c r="I4" s="0" t="n">
        <v>1217176.792</v>
      </c>
      <c r="J4" s="0" t="s">
        <v>3069</v>
      </c>
      <c r="M4" s="0" t="s">
        <v>2664</v>
      </c>
      <c r="N4" s="0" t="s">
        <v>80</v>
      </c>
      <c r="Q4" s="0" t="n">
        <v>1</v>
      </c>
      <c r="R4" s="0" t="n">
        <v>1</v>
      </c>
      <c r="U4" s="0" t="s">
        <v>3070</v>
      </c>
      <c r="V4" s="0" t="s">
        <v>3070</v>
      </c>
      <c r="Y4" s="0" t="s">
        <v>3071</v>
      </c>
      <c r="Z4" s="0" t="s">
        <v>3072</v>
      </c>
      <c r="AA4" s="0" t="s">
        <v>3073</v>
      </c>
      <c r="AC4" s="0" t="s">
        <v>3074</v>
      </c>
    </row>
    <row r="5" customFormat="false" ht="15" hidden="false" customHeight="false" outlineLevel="0" collapsed="false">
      <c r="A5" s="0" t="s">
        <v>3075</v>
      </c>
      <c r="B5" s="0" t="s">
        <v>77</v>
      </c>
      <c r="C5" s="0" t="s">
        <v>3065</v>
      </c>
      <c r="D5" s="0" t="n">
        <v>2013</v>
      </c>
      <c r="E5" s="0" t="s">
        <v>1327</v>
      </c>
      <c r="F5" s="0" t="n">
        <v>180230976</v>
      </c>
      <c r="G5" s="0" t="s">
        <v>3067</v>
      </c>
      <c r="H5" s="0" t="s">
        <v>3068</v>
      </c>
      <c r="I5" s="0" t="n">
        <v>180230.976</v>
      </c>
      <c r="J5" s="0" t="s">
        <v>3069</v>
      </c>
      <c r="M5" s="0" t="s">
        <v>2664</v>
      </c>
      <c r="N5" s="0" t="s">
        <v>80</v>
      </c>
      <c r="Q5" s="0" t="n">
        <v>1</v>
      </c>
      <c r="R5" s="0" t="n">
        <v>1</v>
      </c>
      <c r="U5" s="0" t="s">
        <v>3070</v>
      </c>
      <c r="V5" s="0" t="s">
        <v>3070</v>
      </c>
      <c r="Y5" s="0" t="s">
        <v>3071</v>
      </c>
      <c r="Z5" s="0" t="s">
        <v>3072</v>
      </c>
      <c r="AA5" s="0" t="s">
        <v>3073</v>
      </c>
      <c r="AC5" s="0" t="s">
        <v>3074</v>
      </c>
    </row>
    <row r="6" customFormat="false" ht="15" hidden="false" customHeight="false" outlineLevel="0" collapsed="false">
      <c r="A6" s="0" t="s">
        <v>3076</v>
      </c>
      <c r="B6" s="0" t="s">
        <v>77</v>
      </c>
      <c r="C6" s="0" t="s">
        <v>3065</v>
      </c>
      <c r="D6" s="0" t="n">
        <v>2013</v>
      </c>
      <c r="E6" s="0" t="s">
        <v>63</v>
      </c>
      <c r="F6" s="0" t="n">
        <v>-7508216</v>
      </c>
      <c r="G6" s="0" t="s">
        <v>3067</v>
      </c>
      <c r="H6" s="0" t="s">
        <v>3068</v>
      </c>
      <c r="I6" s="0" t="n">
        <v>-7508.216</v>
      </c>
      <c r="J6" s="0" t="s">
        <v>3069</v>
      </c>
      <c r="M6" s="0" t="s">
        <v>2664</v>
      </c>
      <c r="N6" s="0" t="s">
        <v>80</v>
      </c>
      <c r="Q6" s="0" t="n">
        <v>1</v>
      </c>
      <c r="R6" s="0" t="n">
        <v>1</v>
      </c>
      <c r="U6" s="0" t="s">
        <v>3070</v>
      </c>
      <c r="V6" s="0" t="s">
        <v>3070</v>
      </c>
      <c r="Y6" s="0" t="s">
        <v>3071</v>
      </c>
      <c r="Z6" s="0" t="s">
        <v>3072</v>
      </c>
      <c r="AA6" s="0" t="s">
        <v>3073</v>
      </c>
      <c r="AC6" s="0" t="s">
        <v>3074</v>
      </c>
    </row>
    <row r="7" customFormat="false" ht="15" hidden="false" customHeight="false" outlineLevel="0" collapsed="false">
      <c r="A7" s="0" t="s">
        <v>3077</v>
      </c>
      <c r="B7" s="0" t="s">
        <v>77</v>
      </c>
      <c r="C7" s="0" t="s">
        <v>3065</v>
      </c>
      <c r="D7" s="0" t="n">
        <v>2013</v>
      </c>
      <c r="E7" s="0" t="s">
        <v>64</v>
      </c>
      <c r="F7" s="0" t="n">
        <v>17924178</v>
      </c>
      <c r="G7" s="0" t="s">
        <v>3067</v>
      </c>
      <c r="H7" s="0" t="s">
        <v>3068</v>
      </c>
      <c r="I7" s="0" t="n">
        <v>17924.178</v>
      </c>
      <c r="J7" s="0" t="s">
        <v>3069</v>
      </c>
      <c r="M7" s="0" t="s">
        <v>2664</v>
      </c>
      <c r="N7" s="0" t="s">
        <v>80</v>
      </c>
      <c r="Q7" s="0" t="n">
        <v>1</v>
      </c>
      <c r="R7" s="0" t="n">
        <v>1</v>
      </c>
      <c r="U7" s="0" t="s">
        <v>3070</v>
      </c>
      <c r="V7" s="0" t="s">
        <v>3070</v>
      </c>
      <c r="Y7" s="0" t="s">
        <v>3071</v>
      </c>
      <c r="Z7" s="0" t="s">
        <v>3072</v>
      </c>
      <c r="AA7" s="0" t="s">
        <v>3073</v>
      </c>
      <c r="AC7" s="0" t="s">
        <v>3074</v>
      </c>
    </row>
    <row r="8" customFormat="false" ht="15" hidden="false" customHeight="false" outlineLevel="0" collapsed="false">
      <c r="A8" s="0" t="s">
        <v>3078</v>
      </c>
      <c r="B8" s="0" t="s">
        <v>77</v>
      </c>
      <c r="C8" s="0" t="s">
        <v>3065</v>
      </c>
      <c r="D8" s="0" t="n">
        <v>2013</v>
      </c>
      <c r="E8" s="0" t="s">
        <v>327</v>
      </c>
      <c r="F8" s="0" t="n">
        <v>2.35</v>
      </c>
      <c r="G8" s="0" t="s">
        <v>3079</v>
      </c>
      <c r="I8" s="0" t="n">
        <v>2.35</v>
      </c>
      <c r="J8" s="0" t="s">
        <v>3069</v>
      </c>
      <c r="M8" s="0" t="s">
        <v>2664</v>
      </c>
      <c r="N8" s="0" t="s">
        <v>80</v>
      </c>
      <c r="Q8" s="0" t="n">
        <v>1</v>
      </c>
      <c r="R8" s="0" t="n">
        <v>1</v>
      </c>
      <c r="U8" s="0" t="s">
        <v>3070</v>
      </c>
      <c r="V8" s="0" t="s">
        <v>3070</v>
      </c>
      <c r="Y8" s="0" t="s">
        <v>3071</v>
      </c>
      <c r="Z8" s="0" t="s">
        <v>3072</v>
      </c>
      <c r="AA8" s="0" t="s">
        <v>3080</v>
      </c>
      <c r="AC8" s="0" t="s">
        <v>3074</v>
      </c>
    </row>
    <row r="9" customFormat="false" ht="15" hidden="false" customHeight="false" outlineLevel="0" collapsed="false">
      <c r="A9" s="0" t="s">
        <v>3081</v>
      </c>
      <c r="B9" s="0" t="s">
        <v>77</v>
      </c>
      <c r="C9" s="0" t="s">
        <v>3065</v>
      </c>
      <c r="D9" s="0" t="n">
        <v>2013</v>
      </c>
      <c r="E9" s="0" t="s">
        <v>62</v>
      </c>
      <c r="F9" s="0" t="n">
        <v>735300741</v>
      </c>
      <c r="G9" s="0" t="s">
        <v>3067</v>
      </c>
      <c r="H9" s="0" t="s">
        <v>3068</v>
      </c>
      <c r="I9" s="0" t="n">
        <v>735300.741</v>
      </c>
      <c r="J9" s="0" t="s">
        <v>3069</v>
      </c>
      <c r="M9" s="0" t="s">
        <v>2664</v>
      </c>
      <c r="N9" s="0" t="s">
        <v>80</v>
      </c>
      <c r="Q9" s="0" t="n">
        <v>1</v>
      </c>
      <c r="R9" s="0" t="n">
        <v>1</v>
      </c>
      <c r="U9" s="0" t="s">
        <v>3070</v>
      </c>
      <c r="V9" s="0" t="s">
        <v>3070</v>
      </c>
      <c r="Y9" s="0" t="s">
        <v>3071</v>
      </c>
      <c r="Z9" s="0" t="s">
        <v>3072</v>
      </c>
      <c r="AA9" s="0" t="s">
        <v>3073</v>
      </c>
      <c r="AC9" s="0" t="s">
        <v>3074</v>
      </c>
    </row>
    <row r="10" customFormat="false" ht="15" hidden="false" customHeight="false" outlineLevel="0" collapsed="false">
      <c r="A10" s="0" t="s">
        <v>3082</v>
      </c>
      <c r="B10" s="0" t="s">
        <v>77</v>
      </c>
      <c r="C10" s="0" t="s">
        <v>3065</v>
      </c>
      <c r="D10" s="0" t="n">
        <v>2013</v>
      </c>
      <c r="E10" s="0" t="s">
        <v>54</v>
      </c>
      <c r="F10" s="0" t="n">
        <v>26211844</v>
      </c>
      <c r="G10" s="0" t="s">
        <v>3067</v>
      </c>
      <c r="H10" s="0" t="s">
        <v>3068</v>
      </c>
      <c r="I10" s="0" t="n">
        <v>26211.844</v>
      </c>
      <c r="J10" s="0" t="s">
        <v>3069</v>
      </c>
      <c r="M10" s="0" t="s">
        <v>2664</v>
      </c>
      <c r="N10" s="0" t="s">
        <v>80</v>
      </c>
      <c r="Q10" s="0" t="n">
        <v>1</v>
      </c>
      <c r="R10" s="0" t="n">
        <v>1</v>
      </c>
      <c r="U10" s="0" t="s">
        <v>3070</v>
      </c>
      <c r="V10" s="0" t="s">
        <v>3070</v>
      </c>
      <c r="Y10" s="0" t="s">
        <v>3071</v>
      </c>
      <c r="Z10" s="0" t="s">
        <v>3072</v>
      </c>
      <c r="AA10" s="0" t="s">
        <v>3073</v>
      </c>
      <c r="AC10" s="0" t="s">
        <v>3074</v>
      </c>
    </row>
    <row r="11" customFormat="false" ht="15" hidden="false" customHeight="false" outlineLevel="0" collapsed="false">
      <c r="A11" s="0" t="s">
        <v>3083</v>
      </c>
      <c r="B11" s="0" t="s">
        <v>77</v>
      </c>
      <c r="C11" s="0" t="s">
        <v>3065</v>
      </c>
      <c r="D11" s="0" t="n">
        <v>2013</v>
      </c>
      <c r="E11" s="0" t="s">
        <v>55</v>
      </c>
      <c r="F11" s="0" t="n">
        <v>1704094012</v>
      </c>
      <c r="G11" s="0" t="s">
        <v>3067</v>
      </c>
      <c r="H11" s="0" t="s">
        <v>3068</v>
      </c>
      <c r="I11" s="0" t="n">
        <v>1704094.012</v>
      </c>
      <c r="J11" s="0" t="s">
        <v>3069</v>
      </c>
      <c r="M11" s="0" t="s">
        <v>2664</v>
      </c>
      <c r="N11" s="0" t="s">
        <v>80</v>
      </c>
      <c r="Q11" s="0" t="n">
        <v>1</v>
      </c>
      <c r="R11" s="0" t="n">
        <v>1</v>
      </c>
      <c r="U11" s="0" t="s">
        <v>3070</v>
      </c>
      <c r="V11" s="0" t="s">
        <v>3070</v>
      </c>
      <c r="Y11" s="0" t="s">
        <v>3071</v>
      </c>
      <c r="Z11" s="0" t="s">
        <v>3072</v>
      </c>
      <c r="AA11" s="0" t="s">
        <v>3073</v>
      </c>
      <c r="AC11" s="0" t="s">
        <v>3074</v>
      </c>
    </row>
    <row r="12" customFormat="false" ht="15" hidden="false" customHeight="false" outlineLevel="0" collapsed="false">
      <c r="A12" s="0" t="s">
        <v>3084</v>
      </c>
      <c r="B12" s="0" t="s">
        <v>77</v>
      </c>
      <c r="C12" s="0" t="s">
        <v>3065</v>
      </c>
      <c r="D12" s="0" t="n">
        <v>2013</v>
      </c>
      <c r="E12" s="0" t="s">
        <v>57</v>
      </c>
      <c r="F12" s="0" t="n">
        <v>245181998</v>
      </c>
      <c r="G12" s="0" t="s">
        <v>3067</v>
      </c>
      <c r="H12" s="0" t="s">
        <v>3068</v>
      </c>
      <c r="I12" s="0" t="n">
        <v>245181.998</v>
      </c>
      <c r="J12" s="0" t="s">
        <v>3069</v>
      </c>
      <c r="M12" s="0" t="s">
        <v>2664</v>
      </c>
      <c r="N12" s="0" t="s">
        <v>80</v>
      </c>
      <c r="Q12" s="0" t="n">
        <v>1</v>
      </c>
      <c r="R12" s="0" t="n">
        <v>1</v>
      </c>
      <c r="U12" s="0" t="s">
        <v>3070</v>
      </c>
      <c r="V12" s="0" t="s">
        <v>3070</v>
      </c>
      <c r="Y12" s="0" t="s">
        <v>3071</v>
      </c>
      <c r="Z12" s="0" t="s">
        <v>3072</v>
      </c>
      <c r="AA12" s="0" t="s">
        <v>3073</v>
      </c>
      <c r="AC12" s="0" t="s">
        <v>3074</v>
      </c>
    </row>
    <row r="13" customFormat="false" ht="15" hidden="false" customHeight="false" outlineLevel="0" collapsed="false">
      <c r="A13" s="0" t="s">
        <v>3085</v>
      </c>
      <c r="B13" s="0" t="s">
        <v>77</v>
      </c>
      <c r="C13" s="0" t="s">
        <v>3065</v>
      </c>
      <c r="D13" s="0" t="n">
        <v>2013</v>
      </c>
      <c r="E13" s="0" t="s">
        <v>56</v>
      </c>
      <c r="F13" s="0" t="n">
        <v>1458912014</v>
      </c>
      <c r="G13" s="0" t="s">
        <v>3067</v>
      </c>
      <c r="H13" s="0" t="s">
        <v>3068</v>
      </c>
      <c r="I13" s="0" t="n">
        <v>1458912.014</v>
      </c>
      <c r="J13" s="0" t="s">
        <v>3069</v>
      </c>
      <c r="M13" s="0" t="s">
        <v>2664</v>
      </c>
      <c r="N13" s="0" t="s">
        <v>80</v>
      </c>
      <c r="Q13" s="0" t="n">
        <v>1</v>
      </c>
      <c r="R13" s="0" t="n">
        <v>1</v>
      </c>
      <c r="U13" s="0" t="s">
        <v>3070</v>
      </c>
      <c r="V13" s="0" t="s">
        <v>3070</v>
      </c>
      <c r="Y13" s="0" t="s">
        <v>3071</v>
      </c>
      <c r="Z13" s="0" t="s">
        <v>3072</v>
      </c>
      <c r="AA13" s="0" t="s">
        <v>3073</v>
      </c>
      <c r="AC13" s="0" t="s">
        <v>3074</v>
      </c>
    </row>
    <row r="14" customFormat="false" ht="15" hidden="false" customHeight="false" outlineLevel="0" collapsed="false">
      <c r="A14" s="0" t="s">
        <v>3086</v>
      </c>
      <c r="B14" s="0" t="s">
        <v>77</v>
      </c>
      <c r="C14" s="0" t="s">
        <v>3065</v>
      </c>
      <c r="D14" s="0" t="n">
        <v>2014</v>
      </c>
      <c r="E14" s="0" t="s">
        <v>3066</v>
      </c>
      <c r="F14" s="0" t="n">
        <v>1324800611</v>
      </c>
      <c r="G14" s="0" t="s">
        <v>3067</v>
      </c>
      <c r="H14" s="0" t="s">
        <v>3068</v>
      </c>
      <c r="I14" s="0" t="n">
        <v>1324800.611</v>
      </c>
      <c r="J14" s="0" t="s">
        <v>3069</v>
      </c>
      <c r="M14" s="0" t="s">
        <v>2664</v>
      </c>
      <c r="N14" s="0" t="s">
        <v>80</v>
      </c>
      <c r="Q14" s="0" t="n">
        <v>1</v>
      </c>
      <c r="R14" s="0" t="n">
        <v>1</v>
      </c>
      <c r="U14" s="0" t="s">
        <v>3087</v>
      </c>
      <c r="V14" s="0" t="s">
        <v>3087</v>
      </c>
      <c r="Y14" s="0" t="s">
        <v>3071</v>
      </c>
      <c r="Z14" s="0" t="s">
        <v>3072</v>
      </c>
      <c r="AA14" s="0" t="s">
        <v>3073</v>
      </c>
      <c r="AC14" s="0" t="s">
        <v>3074</v>
      </c>
    </row>
    <row r="15" customFormat="false" ht="15" hidden="false" customHeight="false" outlineLevel="0" collapsed="false">
      <c r="A15" s="0" t="s">
        <v>3088</v>
      </c>
      <c r="B15" s="0" t="s">
        <v>77</v>
      </c>
      <c r="C15" s="0" t="s">
        <v>3065</v>
      </c>
      <c r="D15" s="0" t="n">
        <v>2014</v>
      </c>
      <c r="E15" s="0" t="s">
        <v>1327</v>
      </c>
      <c r="F15" s="0" t="n">
        <v>221610769</v>
      </c>
      <c r="G15" s="0" t="s">
        <v>3067</v>
      </c>
      <c r="H15" s="0" t="s">
        <v>3068</v>
      </c>
      <c r="I15" s="0" t="n">
        <v>221610.769</v>
      </c>
      <c r="J15" s="0" t="s">
        <v>3069</v>
      </c>
      <c r="M15" s="0" t="s">
        <v>2664</v>
      </c>
      <c r="N15" s="0" t="s">
        <v>80</v>
      </c>
      <c r="Q15" s="0" t="n">
        <v>1</v>
      </c>
      <c r="R15" s="0" t="n">
        <v>1</v>
      </c>
      <c r="U15" s="0" t="s">
        <v>3087</v>
      </c>
      <c r="V15" s="0" t="s">
        <v>3087</v>
      </c>
      <c r="Y15" s="0" t="s">
        <v>3071</v>
      </c>
      <c r="Z15" s="0" t="s">
        <v>3072</v>
      </c>
      <c r="AA15" s="0" t="s">
        <v>3073</v>
      </c>
      <c r="AC15" s="0" t="s">
        <v>3074</v>
      </c>
    </row>
    <row r="16" customFormat="false" ht="15" hidden="false" customHeight="false" outlineLevel="0" collapsed="false">
      <c r="A16" s="0" t="s">
        <v>3089</v>
      </c>
      <c r="B16" s="0" t="s">
        <v>77</v>
      </c>
      <c r="C16" s="0" t="s">
        <v>3065</v>
      </c>
      <c r="D16" s="0" t="n">
        <v>2014</v>
      </c>
      <c r="E16" s="0" t="s">
        <v>63</v>
      </c>
      <c r="F16" s="0" t="n">
        <v>10609300</v>
      </c>
      <c r="G16" s="0" t="s">
        <v>3067</v>
      </c>
      <c r="H16" s="0" t="s">
        <v>3068</v>
      </c>
      <c r="I16" s="0" t="n">
        <v>10609.3</v>
      </c>
      <c r="J16" s="0" t="s">
        <v>3069</v>
      </c>
      <c r="M16" s="0" t="s">
        <v>2664</v>
      </c>
      <c r="N16" s="0" t="s">
        <v>80</v>
      </c>
      <c r="Q16" s="0" t="n">
        <v>1</v>
      </c>
      <c r="R16" s="0" t="n">
        <v>1</v>
      </c>
      <c r="U16" s="0" t="s">
        <v>3087</v>
      </c>
      <c r="V16" s="0" t="s">
        <v>3087</v>
      </c>
      <c r="Y16" s="0" t="s">
        <v>3071</v>
      </c>
      <c r="Z16" s="0" t="s">
        <v>3072</v>
      </c>
      <c r="AA16" s="0" t="s">
        <v>3073</v>
      </c>
      <c r="AC16" s="0" t="s">
        <v>3074</v>
      </c>
    </row>
    <row r="17" customFormat="false" ht="15" hidden="false" customHeight="false" outlineLevel="0" collapsed="false">
      <c r="A17" s="0" t="s">
        <v>3090</v>
      </c>
      <c r="B17" s="0" t="s">
        <v>77</v>
      </c>
      <c r="C17" s="0" t="s">
        <v>3065</v>
      </c>
      <c r="D17" s="0" t="n">
        <v>2014</v>
      </c>
      <c r="E17" s="0" t="s">
        <v>64</v>
      </c>
      <c r="F17" s="0" t="n">
        <v>19966521</v>
      </c>
      <c r="G17" s="0" t="s">
        <v>3067</v>
      </c>
      <c r="H17" s="0" t="s">
        <v>3068</v>
      </c>
      <c r="I17" s="0" t="n">
        <v>19966.521</v>
      </c>
      <c r="J17" s="0" t="s">
        <v>3069</v>
      </c>
      <c r="M17" s="0" t="s">
        <v>2664</v>
      </c>
      <c r="N17" s="0" t="s">
        <v>80</v>
      </c>
      <c r="Q17" s="0" t="n">
        <v>1</v>
      </c>
      <c r="R17" s="0" t="n">
        <v>1</v>
      </c>
      <c r="U17" s="0" t="s">
        <v>3087</v>
      </c>
      <c r="V17" s="0" t="s">
        <v>3087</v>
      </c>
      <c r="Y17" s="0" t="s">
        <v>3071</v>
      </c>
      <c r="Z17" s="0" t="s">
        <v>3072</v>
      </c>
      <c r="AA17" s="0" t="s">
        <v>3073</v>
      </c>
      <c r="AC17" s="0" t="s">
        <v>3074</v>
      </c>
    </row>
    <row r="18" customFormat="false" ht="15" hidden="false" customHeight="false" outlineLevel="0" collapsed="false">
      <c r="A18" s="0" t="s">
        <v>3091</v>
      </c>
      <c r="B18" s="0" t="s">
        <v>77</v>
      </c>
      <c r="C18" s="0" t="s">
        <v>3065</v>
      </c>
      <c r="D18" s="0" t="n">
        <v>2014</v>
      </c>
      <c r="E18" s="0" t="s">
        <v>327</v>
      </c>
      <c r="F18" s="0" t="n">
        <v>1.83</v>
      </c>
      <c r="G18" s="0" t="s">
        <v>3079</v>
      </c>
      <c r="I18" s="0" t="n">
        <v>1.83</v>
      </c>
      <c r="J18" s="0" t="s">
        <v>3069</v>
      </c>
      <c r="M18" s="0" t="s">
        <v>2664</v>
      </c>
      <c r="N18" s="0" t="s">
        <v>80</v>
      </c>
      <c r="Q18" s="0" t="n">
        <v>1</v>
      </c>
      <c r="R18" s="0" t="n">
        <v>1</v>
      </c>
      <c r="U18" s="0" t="s">
        <v>3087</v>
      </c>
      <c r="V18" s="0" t="s">
        <v>3087</v>
      </c>
      <c r="Y18" s="0" t="s">
        <v>3071</v>
      </c>
      <c r="Z18" s="0" t="s">
        <v>3072</v>
      </c>
      <c r="AA18" s="0" t="s">
        <v>3080</v>
      </c>
      <c r="AC18" s="0" t="s">
        <v>3074</v>
      </c>
    </row>
    <row r="19" customFormat="false" ht="15" hidden="false" customHeight="false" outlineLevel="0" collapsed="false">
      <c r="A19" s="0" t="s">
        <v>3092</v>
      </c>
      <c r="B19" s="0" t="s">
        <v>77</v>
      </c>
      <c r="C19" s="0" t="s">
        <v>3065</v>
      </c>
      <c r="D19" s="0" t="n">
        <v>2014</v>
      </c>
      <c r="E19" s="0" t="s">
        <v>62</v>
      </c>
      <c r="F19" s="0" t="n">
        <v>1019908848</v>
      </c>
      <c r="G19" s="0" t="s">
        <v>3067</v>
      </c>
      <c r="H19" s="0" t="s">
        <v>3068</v>
      </c>
      <c r="I19" s="0" t="n">
        <v>1019908.848</v>
      </c>
      <c r="J19" s="0" t="s">
        <v>3069</v>
      </c>
      <c r="M19" s="0" t="s">
        <v>2664</v>
      </c>
      <c r="N19" s="0" t="s">
        <v>80</v>
      </c>
      <c r="Q19" s="0" t="n">
        <v>1</v>
      </c>
      <c r="R19" s="0" t="n">
        <v>1</v>
      </c>
      <c r="U19" s="0" t="s">
        <v>3087</v>
      </c>
      <c r="V19" s="0" t="s">
        <v>3087</v>
      </c>
      <c r="Y19" s="0" t="s">
        <v>3071</v>
      </c>
      <c r="Z19" s="0" t="s">
        <v>3072</v>
      </c>
      <c r="AA19" s="0" t="s">
        <v>3073</v>
      </c>
      <c r="AC19" s="0" t="s">
        <v>3074</v>
      </c>
    </row>
    <row r="20" customFormat="false" ht="15" hidden="false" customHeight="false" outlineLevel="0" collapsed="false">
      <c r="A20" s="0" t="s">
        <v>3093</v>
      </c>
      <c r="B20" s="0" t="s">
        <v>77</v>
      </c>
      <c r="C20" s="0" t="s">
        <v>3065</v>
      </c>
      <c r="D20" s="0" t="n">
        <v>2014</v>
      </c>
      <c r="E20" s="0" t="s">
        <v>54</v>
      </c>
      <c r="F20" s="0" t="n">
        <v>39941126</v>
      </c>
      <c r="G20" s="0" t="s">
        <v>3067</v>
      </c>
      <c r="H20" s="0" t="s">
        <v>3068</v>
      </c>
      <c r="I20" s="0" t="n">
        <v>39941.126</v>
      </c>
      <c r="J20" s="0" t="s">
        <v>3069</v>
      </c>
      <c r="M20" s="0" t="s">
        <v>2664</v>
      </c>
      <c r="N20" s="0" t="s">
        <v>80</v>
      </c>
      <c r="Q20" s="0" t="n">
        <v>1</v>
      </c>
      <c r="R20" s="0" t="n">
        <v>1</v>
      </c>
      <c r="U20" s="0" t="s">
        <v>3087</v>
      </c>
      <c r="V20" s="0" t="s">
        <v>3087</v>
      </c>
      <c r="Y20" s="0" t="s">
        <v>3071</v>
      </c>
      <c r="Z20" s="0" t="s">
        <v>3072</v>
      </c>
      <c r="AA20" s="0" t="s">
        <v>3073</v>
      </c>
      <c r="AC20" s="0" t="s">
        <v>3074</v>
      </c>
    </row>
    <row r="21" customFormat="false" ht="15" hidden="false" customHeight="false" outlineLevel="0" collapsed="false">
      <c r="A21" s="0" t="s">
        <v>3094</v>
      </c>
      <c r="B21" s="0" t="s">
        <v>77</v>
      </c>
      <c r="C21" s="0" t="s">
        <v>3065</v>
      </c>
      <c r="D21" s="0" t="n">
        <v>2014</v>
      </c>
      <c r="E21" s="0" t="s">
        <v>55</v>
      </c>
      <c r="F21" s="0" t="n">
        <v>1981955730</v>
      </c>
      <c r="G21" s="0" t="s">
        <v>3067</v>
      </c>
      <c r="H21" s="0" t="s">
        <v>3068</v>
      </c>
      <c r="I21" s="0" t="n">
        <v>1981955.73</v>
      </c>
      <c r="J21" s="0" t="s">
        <v>3069</v>
      </c>
      <c r="M21" s="0" t="s">
        <v>2664</v>
      </c>
      <c r="N21" s="0" t="s">
        <v>80</v>
      </c>
      <c r="Q21" s="0" t="n">
        <v>1</v>
      </c>
      <c r="R21" s="0" t="n">
        <v>1</v>
      </c>
      <c r="U21" s="0" t="s">
        <v>3087</v>
      </c>
      <c r="V21" s="0" t="s">
        <v>3087</v>
      </c>
      <c r="Y21" s="0" t="s">
        <v>3071</v>
      </c>
      <c r="Z21" s="0" t="s">
        <v>3072</v>
      </c>
      <c r="AA21" s="0" t="s">
        <v>3073</v>
      </c>
      <c r="AC21" s="0" t="s">
        <v>3074</v>
      </c>
    </row>
    <row r="22" customFormat="false" ht="15" hidden="false" customHeight="false" outlineLevel="0" collapsed="false">
      <c r="A22" s="0" t="s">
        <v>3095</v>
      </c>
      <c r="B22" s="0" t="s">
        <v>77</v>
      </c>
      <c r="C22" s="0" t="s">
        <v>3065</v>
      </c>
      <c r="D22" s="0" t="n">
        <v>2014</v>
      </c>
      <c r="E22" s="0" t="s">
        <v>57</v>
      </c>
      <c r="F22" s="0" t="n">
        <v>274155785</v>
      </c>
      <c r="G22" s="0" t="s">
        <v>3067</v>
      </c>
      <c r="H22" s="0" t="s">
        <v>3068</v>
      </c>
      <c r="I22" s="0" t="n">
        <v>274155.785</v>
      </c>
      <c r="J22" s="0" t="s">
        <v>3069</v>
      </c>
      <c r="M22" s="0" t="s">
        <v>2664</v>
      </c>
      <c r="N22" s="0" t="s">
        <v>80</v>
      </c>
      <c r="Q22" s="0" t="n">
        <v>1</v>
      </c>
      <c r="R22" s="0" t="n">
        <v>1</v>
      </c>
      <c r="U22" s="0" t="s">
        <v>3087</v>
      </c>
      <c r="V22" s="0" t="s">
        <v>3087</v>
      </c>
      <c r="Y22" s="0" t="s">
        <v>3071</v>
      </c>
      <c r="Z22" s="0" t="s">
        <v>3072</v>
      </c>
      <c r="AA22" s="0" t="s">
        <v>3073</v>
      </c>
      <c r="AC22" s="0" t="s">
        <v>3074</v>
      </c>
    </row>
    <row r="23" customFormat="false" ht="15" hidden="false" customHeight="false" outlineLevel="0" collapsed="false">
      <c r="A23" s="0" t="s">
        <v>3096</v>
      </c>
      <c r="B23" s="0" t="s">
        <v>77</v>
      </c>
      <c r="C23" s="0" t="s">
        <v>3065</v>
      </c>
      <c r="D23" s="0" t="n">
        <v>2014</v>
      </c>
      <c r="E23" s="0" t="s">
        <v>56</v>
      </c>
      <c r="F23" s="0" t="n">
        <v>1707799944</v>
      </c>
      <c r="G23" s="0" t="s">
        <v>3067</v>
      </c>
      <c r="H23" s="0" t="s">
        <v>3068</v>
      </c>
      <c r="I23" s="0" t="n">
        <v>1707799.944</v>
      </c>
      <c r="J23" s="0" t="s">
        <v>3069</v>
      </c>
      <c r="M23" s="0" t="s">
        <v>2664</v>
      </c>
      <c r="N23" s="0" t="s">
        <v>80</v>
      </c>
      <c r="Q23" s="0" t="n">
        <v>1</v>
      </c>
      <c r="R23" s="0" t="n">
        <v>1</v>
      </c>
      <c r="U23" s="0" t="s">
        <v>3087</v>
      </c>
      <c r="V23" s="0" t="s">
        <v>3087</v>
      </c>
      <c r="Y23" s="0" t="s">
        <v>3071</v>
      </c>
      <c r="Z23" s="0" t="s">
        <v>3072</v>
      </c>
      <c r="AA23" s="0" t="s">
        <v>3073</v>
      </c>
      <c r="AC23" s="0" t="s">
        <v>3074</v>
      </c>
    </row>
    <row r="24" customFormat="false" ht="15" hidden="false" customHeight="false" outlineLevel="0" collapsed="false">
      <c r="A24" s="0" t="s">
        <v>3097</v>
      </c>
      <c r="B24" s="0" t="s">
        <v>178</v>
      </c>
      <c r="C24" s="0" t="s">
        <v>3098</v>
      </c>
      <c r="D24" s="0" t="n">
        <v>2013</v>
      </c>
      <c r="E24" s="0" t="s">
        <v>69</v>
      </c>
      <c r="F24" s="0" t="n">
        <v>20</v>
      </c>
      <c r="G24" s="0" t="s">
        <v>3079</v>
      </c>
      <c r="I24" s="0" t="n">
        <v>20</v>
      </c>
      <c r="J24" s="0" t="s">
        <v>3069</v>
      </c>
      <c r="M24" s="0" t="s">
        <v>2726</v>
      </c>
      <c r="N24" s="0" t="s">
        <v>179</v>
      </c>
      <c r="Q24" s="0" t="n">
        <v>117</v>
      </c>
      <c r="R24" s="0" t="n">
        <v>115</v>
      </c>
      <c r="U24" s="0" t="s">
        <v>3070</v>
      </c>
      <c r="V24" s="0" t="s">
        <v>3070</v>
      </c>
      <c r="Y24" s="0" t="s">
        <v>3071</v>
      </c>
      <c r="Z24" s="0" t="s">
        <v>3072</v>
      </c>
      <c r="AA24" s="0" t="s">
        <v>3099</v>
      </c>
      <c r="AC24" s="0" t="s">
        <v>3074</v>
      </c>
    </row>
    <row r="25" customFormat="false" ht="15" hidden="false" customHeight="false" outlineLevel="0" collapsed="false">
      <c r="A25" s="0" t="s">
        <v>3100</v>
      </c>
      <c r="B25" s="0" t="s">
        <v>178</v>
      </c>
      <c r="C25" s="0" t="s">
        <v>3098</v>
      </c>
      <c r="D25" s="0" t="n">
        <v>2013</v>
      </c>
      <c r="E25" s="0" t="s">
        <v>545</v>
      </c>
      <c r="F25" s="0" t="n">
        <v>6250</v>
      </c>
      <c r="G25" s="0" t="s">
        <v>3101</v>
      </c>
      <c r="H25" s="0" t="s">
        <v>3068</v>
      </c>
      <c r="I25" s="0" t="n">
        <v>6250</v>
      </c>
      <c r="J25" s="0" t="s">
        <v>3069</v>
      </c>
      <c r="M25" s="0" t="s">
        <v>2726</v>
      </c>
      <c r="N25" s="0" t="s">
        <v>179</v>
      </c>
      <c r="Q25" s="0" t="n">
        <v>141</v>
      </c>
      <c r="R25" s="0" t="n">
        <v>139</v>
      </c>
      <c r="U25" s="0" t="s">
        <v>3070</v>
      </c>
      <c r="V25" s="0" t="s">
        <v>3070</v>
      </c>
      <c r="Y25" s="0" t="s">
        <v>3071</v>
      </c>
      <c r="Z25" s="0" t="s">
        <v>3072</v>
      </c>
      <c r="AA25" s="0" t="s">
        <v>3102</v>
      </c>
      <c r="AC25" s="0" t="s">
        <v>3074</v>
      </c>
    </row>
    <row r="26" customFormat="false" ht="15" hidden="false" customHeight="false" outlineLevel="0" collapsed="false">
      <c r="A26" s="0" t="s">
        <v>3103</v>
      </c>
      <c r="B26" s="0" t="s">
        <v>178</v>
      </c>
      <c r="C26" s="0" t="s">
        <v>3098</v>
      </c>
      <c r="D26" s="0" t="n">
        <v>2013</v>
      </c>
      <c r="E26" s="0" t="s">
        <v>3066</v>
      </c>
      <c r="F26" s="0" t="n">
        <v>1797376</v>
      </c>
      <c r="G26" s="0" t="s">
        <v>3101</v>
      </c>
      <c r="H26" s="0" t="s">
        <v>3068</v>
      </c>
      <c r="I26" s="0" t="n">
        <v>1797376</v>
      </c>
      <c r="J26" s="0" t="s">
        <v>3069</v>
      </c>
      <c r="M26" s="0" t="s">
        <v>2726</v>
      </c>
      <c r="N26" s="0" t="s">
        <v>179</v>
      </c>
      <c r="Q26" s="0" t="n">
        <v>57</v>
      </c>
      <c r="R26" s="0" t="n">
        <v>55</v>
      </c>
      <c r="U26" s="0" t="s">
        <v>3070</v>
      </c>
      <c r="V26" s="0" t="s">
        <v>3070</v>
      </c>
      <c r="Y26" s="0" t="s">
        <v>3071</v>
      </c>
      <c r="Z26" s="0" t="s">
        <v>3072</v>
      </c>
      <c r="AA26" s="0" t="s">
        <v>3104</v>
      </c>
      <c r="AC26" s="0" t="s">
        <v>3074</v>
      </c>
    </row>
    <row r="27" customFormat="false" ht="15" hidden="false" customHeight="false" outlineLevel="0" collapsed="false">
      <c r="A27" s="0" t="s">
        <v>3105</v>
      </c>
      <c r="B27" s="0" t="s">
        <v>178</v>
      </c>
      <c r="C27" s="0" t="s">
        <v>3098</v>
      </c>
      <c r="D27" s="0" t="n">
        <v>2013</v>
      </c>
      <c r="E27" s="0" t="s">
        <v>60</v>
      </c>
      <c r="F27" s="0" t="n">
        <v>805259</v>
      </c>
      <c r="G27" s="0" t="s">
        <v>3101</v>
      </c>
      <c r="H27" s="0" t="s">
        <v>3068</v>
      </c>
      <c r="I27" s="0" t="n">
        <v>805259</v>
      </c>
      <c r="J27" s="0" t="s">
        <v>3069</v>
      </c>
      <c r="M27" s="0" t="s">
        <v>2726</v>
      </c>
      <c r="N27" s="0" t="s">
        <v>179</v>
      </c>
      <c r="Q27" s="0" t="n">
        <v>141</v>
      </c>
      <c r="R27" s="0" t="n">
        <v>139</v>
      </c>
      <c r="U27" s="0" t="s">
        <v>3070</v>
      </c>
      <c r="V27" s="0" t="s">
        <v>3070</v>
      </c>
      <c r="Y27" s="0" t="s">
        <v>3071</v>
      </c>
      <c r="Z27" s="0" t="s">
        <v>3072</v>
      </c>
      <c r="AA27" s="0" t="s">
        <v>3102</v>
      </c>
      <c r="AC27" s="0" t="s">
        <v>3074</v>
      </c>
    </row>
    <row r="28" customFormat="false" ht="15" hidden="false" customHeight="false" outlineLevel="0" collapsed="false">
      <c r="A28" s="0" t="s">
        <v>3106</v>
      </c>
      <c r="B28" s="0" t="s">
        <v>178</v>
      </c>
      <c r="C28" s="0" t="s">
        <v>3098</v>
      </c>
      <c r="D28" s="0" t="n">
        <v>2013</v>
      </c>
      <c r="E28" s="0" t="s">
        <v>1327</v>
      </c>
      <c r="F28" s="0" t="n">
        <v>214273</v>
      </c>
      <c r="G28" s="0" t="s">
        <v>3101</v>
      </c>
      <c r="H28" s="0" t="s">
        <v>3068</v>
      </c>
      <c r="I28" s="0" t="n">
        <v>214273</v>
      </c>
      <c r="J28" s="0" t="s">
        <v>3069</v>
      </c>
      <c r="M28" s="0" t="s">
        <v>2726</v>
      </c>
      <c r="N28" s="0" t="s">
        <v>179</v>
      </c>
      <c r="Q28" s="0" t="n">
        <v>56</v>
      </c>
      <c r="R28" s="0" t="n">
        <v>54</v>
      </c>
      <c r="U28" s="0" t="s">
        <v>3070</v>
      </c>
      <c r="V28" s="0" t="s">
        <v>3070</v>
      </c>
      <c r="Y28" s="0" t="s">
        <v>3071</v>
      </c>
      <c r="Z28" s="0" t="s">
        <v>3072</v>
      </c>
      <c r="AA28" s="0" t="s">
        <v>3104</v>
      </c>
      <c r="AC28" s="0" t="s">
        <v>3074</v>
      </c>
    </row>
    <row r="29" customFormat="false" ht="15" hidden="false" customHeight="false" outlineLevel="0" collapsed="false">
      <c r="A29" s="0" t="s">
        <v>3107</v>
      </c>
      <c r="B29" s="0" t="s">
        <v>178</v>
      </c>
      <c r="C29" s="0" t="s">
        <v>3098</v>
      </c>
      <c r="D29" s="0" t="n">
        <v>2013</v>
      </c>
      <c r="E29" s="0" t="s">
        <v>63</v>
      </c>
      <c r="F29" s="0" t="n">
        <v>181</v>
      </c>
      <c r="G29" s="0" t="s">
        <v>3101</v>
      </c>
      <c r="H29" s="0" t="s">
        <v>3068</v>
      </c>
      <c r="I29" s="0" t="n">
        <v>181</v>
      </c>
      <c r="J29" s="0" t="s">
        <v>3069</v>
      </c>
      <c r="M29" s="0" t="s">
        <v>2726</v>
      </c>
      <c r="N29" s="0" t="s">
        <v>179</v>
      </c>
      <c r="Q29" s="0" t="n">
        <v>56</v>
      </c>
      <c r="R29" s="0" t="n">
        <v>54</v>
      </c>
      <c r="U29" s="0" t="s">
        <v>3070</v>
      </c>
      <c r="V29" s="0" t="s">
        <v>3070</v>
      </c>
      <c r="Y29" s="0" t="s">
        <v>3071</v>
      </c>
      <c r="Z29" s="0" t="s">
        <v>3072</v>
      </c>
      <c r="AA29" s="0" t="s">
        <v>3104</v>
      </c>
      <c r="AC29" s="0" t="s">
        <v>3074</v>
      </c>
    </row>
    <row r="30" customFormat="false" ht="15" hidden="false" customHeight="false" outlineLevel="0" collapsed="false">
      <c r="A30" s="0" t="s">
        <v>3108</v>
      </c>
      <c r="B30" s="0" t="s">
        <v>178</v>
      </c>
      <c r="C30" s="0" t="s">
        <v>3098</v>
      </c>
      <c r="D30" s="0" t="n">
        <v>2013</v>
      </c>
      <c r="E30" s="0" t="s">
        <v>543</v>
      </c>
      <c r="F30" s="0" t="n">
        <v>2067</v>
      </c>
      <c r="G30" s="0" t="s">
        <v>3101</v>
      </c>
      <c r="H30" s="0" t="s">
        <v>3068</v>
      </c>
      <c r="I30" s="0" t="n">
        <v>2067</v>
      </c>
      <c r="J30" s="0" t="s">
        <v>3069</v>
      </c>
      <c r="M30" s="0" t="s">
        <v>2726</v>
      </c>
      <c r="N30" s="0" t="s">
        <v>179</v>
      </c>
      <c r="Q30" s="0" t="n">
        <v>141</v>
      </c>
      <c r="R30" s="0" t="n">
        <v>139</v>
      </c>
      <c r="U30" s="0" t="s">
        <v>3070</v>
      </c>
      <c r="V30" s="0" t="s">
        <v>3070</v>
      </c>
      <c r="Y30" s="0" t="s">
        <v>3071</v>
      </c>
      <c r="Z30" s="0" t="s">
        <v>3072</v>
      </c>
      <c r="AA30" s="0" t="s">
        <v>3102</v>
      </c>
      <c r="AC30" s="0" t="s">
        <v>3074</v>
      </c>
    </row>
    <row r="31" customFormat="false" ht="15" hidden="false" customHeight="false" outlineLevel="0" collapsed="false">
      <c r="A31" s="0" t="s">
        <v>3109</v>
      </c>
      <c r="B31" s="0" t="s">
        <v>178</v>
      </c>
      <c r="C31" s="0" t="s">
        <v>3098</v>
      </c>
      <c r="D31" s="0" t="n">
        <v>2013</v>
      </c>
      <c r="E31" s="0" t="s">
        <v>61</v>
      </c>
      <c r="F31" s="0" t="n">
        <v>8317</v>
      </c>
      <c r="G31" s="0" t="s">
        <v>3101</v>
      </c>
      <c r="H31" s="0" t="s">
        <v>3068</v>
      </c>
      <c r="I31" s="0" t="n">
        <v>8317</v>
      </c>
      <c r="J31" s="0" t="s">
        <v>3069</v>
      </c>
      <c r="M31" s="0" t="s">
        <v>2726</v>
      </c>
      <c r="N31" s="0" t="s">
        <v>179</v>
      </c>
      <c r="Q31" s="0" t="n">
        <v>141</v>
      </c>
      <c r="R31" s="0" t="n">
        <v>139</v>
      </c>
      <c r="U31" s="0" t="s">
        <v>3070</v>
      </c>
      <c r="V31" s="0" t="s">
        <v>3070</v>
      </c>
      <c r="Y31" s="0" t="s">
        <v>3071</v>
      </c>
      <c r="Z31" s="0" t="s">
        <v>3072</v>
      </c>
      <c r="AA31" s="0" t="s">
        <v>3102</v>
      </c>
      <c r="AC31" s="0" t="s">
        <v>3074</v>
      </c>
    </row>
    <row r="32" customFormat="false" ht="15" hidden="false" customHeight="false" outlineLevel="0" collapsed="false">
      <c r="A32" s="0" t="s">
        <v>3110</v>
      </c>
      <c r="B32" s="0" t="s">
        <v>178</v>
      </c>
      <c r="C32" s="0" t="s">
        <v>3098</v>
      </c>
      <c r="D32" s="0" t="n">
        <v>2013</v>
      </c>
      <c r="E32" s="0" t="s">
        <v>62</v>
      </c>
      <c r="F32" s="0" t="n">
        <v>796942</v>
      </c>
      <c r="G32" s="0" t="s">
        <v>3101</v>
      </c>
      <c r="H32" s="0" t="s">
        <v>3068</v>
      </c>
      <c r="I32" s="0" t="n">
        <v>796942</v>
      </c>
      <c r="J32" s="0" t="s">
        <v>3069</v>
      </c>
      <c r="M32" s="0" t="s">
        <v>2726</v>
      </c>
      <c r="N32" s="0" t="s">
        <v>179</v>
      </c>
      <c r="Q32" s="0" t="n">
        <v>57</v>
      </c>
      <c r="R32" s="0" t="n">
        <v>55</v>
      </c>
      <c r="U32" s="0" t="s">
        <v>3070</v>
      </c>
      <c r="V32" s="0" t="s">
        <v>3070</v>
      </c>
      <c r="Y32" s="0" t="s">
        <v>3071</v>
      </c>
      <c r="Z32" s="0" t="s">
        <v>3072</v>
      </c>
      <c r="AA32" s="0" t="s">
        <v>3104</v>
      </c>
      <c r="AC32" s="0" t="s">
        <v>3074</v>
      </c>
    </row>
    <row r="33" customFormat="false" ht="15" hidden="false" customHeight="false" outlineLevel="0" collapsed="false">
      <c r="A33" s="0" t="s">
        <v>3111</v>
      </c>
      <c r="B33" s="0" t="s">
        <v>178</v>
      </c>
      <c r="C33" s="0" t="s">
        <v>3098</v>
      </c>
      <c r="D33" s="0" t="n">
        <v>2013</v>
      </c>
      <c r="E33" s="0" t="s">
        <v>58</v>
      </c>
      <c r="F33" s="0" t="n">
        <v>-136104</v>
      </c>
      <c r="G33" s="0" t="s">
        <v>3101</v>
      </c>
      <c r="H33" s="0" t="s">
        <v>3068</v>
      </c>
      <c r="I33" s="0" t="n">
        <v>-136104</v>
      </c>
      <c r="J33" s="0" t="s">
        <v>3069</v>
      </c>
      <c r="M33" s="0" t="s">
        <v>2726</v>
      </c>
      <c r="N33" s="0" t="s">
        <v>179</v>
      </c>
      <c r="Q33" s="0" t="n">
        <v>62</v>
      </c>
      <c r="R33" s="0" t="n">
        <v>60</v>
      </c>
      <c r="U33" s="0" t="s">
        <v>3070</v>
      </c>
      <c r="V33" s="0" t="s">
        <v>3070</v>
      </c>
      <c r="Y33" s="0" t="s">
        <v>3071</v>
      </c>
      <c r="Z33" s="0" t="s">
        <v>3072</v>
      </c>
      <c r="AA33" s="0" t="s">
        <v>3104</v>
      </c>
      <c r="AC33" s="0" t="s">
        <v>3074</v>
      </c>
    </row>
    <row r="34" customFormat="false" ht="15" hidden="false" customHeight="false" outlineLevel="0" collapsed="false">
      <c r="A34" s="0" t="s">
        <v>3112</v>
      </c>
      <c r="B34" s="0" t="s">
        <v>178</v>
      </c>
      <c r="C34" s="0" t="s">
        <v>3098</v>
      </c>
      <c r="D34" s="0" t="n">
        <v>2013</v>
      </c>
      <c r="E34" s="0" t="s">
        <v>54</v>
      </c>
      <c r="F34" s="0" t="n">
        <v>46483</v>
      </c>
      <c r="G34" s="0" t="s">
        <v>3101</v>
      </c>
      <c r="H34" s="0" t="s">
        <v>3068</v>
      </c>
      <c r="I34" s="0" t="n">
        <v>46483</v>
      </c>
      <c r="J34" s="0" t="s">
        <v>3069</v>
      </c>
      <c r="M34" s="0" t="s">
        <v>2726</v>
      </c>
      <c r="N34" s="0" t="s">
        <v>179</v>
      </c>
      <c r="Q34" s="0" t="n">
        <v>56</v>
      </c>
      <c r="R34" s="0" t="n">
        <v>54</v>
      </c>
      <c r="U34" s="0" t="s">
        <v>3070</v>
      </c>
      <c r="V34" s="0" t="s">
        <v>3070</v>
      </c>
      <c r="Y34" s="0" t="s">
        <v>3071</v>
      </c>
      <c r="Z34" s="0" t="s">
        <v>3072</v>
      </c>
      <c r="AA34" s="0" t="s">
        <v>3104</v>
      </c>
      <c r="AC34" s="0" t="s">
        <v>3074</v>
      </c>
    </row>
    <row r="35" customFormat="false" ht="15" hidden="false" customHeight="false" outlineLevel="0" collapsed="false">
      <c r="A35" s="0" t="s">
        <v>3113</v>
      </c>
      <c r="B35" s="0" t="s">
        <v>178</v>
      </c>
      <c r="C35" s="0" t="s">
        <v>3098</v>
      </c>
      <c r="D35" s="0" t="n">
        <v>2013</v>
      </c>
      <c r="E35" s="0" t="s">
        <v>65</v>
      </c>
      <c r="F35" s="0" t="n">
        <v>239242</v>
      </c>
      <c r="G35" s="0" t="s">
        <v>3101</v>
      </c>
      <c r="H35" s="0" t="s">
        <v>3068</v>
      </c>
      <c r="I35" s="0" t="n">
        <v>239242</v>
      </c>
      <c r="J35" s="0" t="s">
        <v>3069</v>
      </c>
      <c r="M35" s="0" t="s">
        <v>2726</v>
      </c>
      <c r="N35" s="0" t="s">
        <v>179</v>
      </c>
      <c r="Q35" s="0" t="n">
        <v>117</v>
      </c>
      <c r="R35" s="0" t="n">
        <v>115</v>
      </c>
      <c r="U35" s="0" t="s">
        <v>3070</v>
      </c>
      <c r="V35" s="0" t="s">
        <v>3070</v>
      </c>
      <c r="Y35" s="0" t="s">
        <v>3071</v>
      </c>
      <c r="Z35" s="0" t="s">
        <v>3072</v>
      </c>
      <c r="AA35" s="0" t="s">
        <v>3114</v>
      </c>
      <c r="AC35" s="0" t="s">
        <v>3074</v>
      </c>
    </row>
    <row r="36" customFormat="false" ht="15" hidden="false" customHeight="false" outlineLevel="0" collapsed="false">
      <c r="A36" s="0" t="s">
        <v>3115</v>
      </c>
      <c r="B36" s="0" t="s">
        <v>178</v>
      </c>
      <c r="C36" s="0" t="s">
        <v>3098</v>
      </c>
      <c r="D36" s="0" t="n">
        <v>2013</v>
      </c>
      <c r="E36" s="0" t="s">
        <v>66</v>
      </c>
      <c r="F36" s="0" t="n">
        <v>1223479</v>
      </c>
      <c r="G36" s="0" t="s">
        <v>3101</v>
      </c>
      <c r="H36" s="0" t="s">
        <v>3068</v>
      </c>
      <c r="I36" s="0" t="n">
        <v>1223479</v>
      </c>
      <c r="J36" s="0" t="s">
        <v>3069</v>
      </c>
      <c r="M36" s="0" t="s">
        <v>2726</v>
      </c>
      <c r="N36" s="0" t="s">
        <v>179</v>
      </c>
      <c r="Q36" s="0" t="n">
        <v>117</v>
      </c>
      <c r="R36" s="0" t="n">
        <v>115</v>
      </c>
      <c r="U36" s="0" t="s">
        <v>3070</v>
      </c>
      <c r="V36" s="0" t="s">
        <v>3070</v>
      </c>
      <c r="Y36" s="0" t="s">
        <v>3071</v>
      </c>
      <c r="Z36" s="0" t="s">
        <v>3072</v>
      </c>
      <c r="AA36" s="0" t="s">
        <v>3114</v>
      </c>
      <c r="AC36" s="0" t="s">
        <v>3074</v>
      </c>
    </row>
    <row r="37" customFormat="false" ht="15" hidden="false" customHeight="false" outlineLevel="0" collapsed="false">
      <c r="A37" s="0" t="s">
        <v>3116</v>
      </c>
      <c r="B37" s="0" t="s">
        <v>178</v>
      </c>
      <c r="C37" s="0" t="s">
        <v>3098</v>
      </c>
      <c r="D37" s="0" t="n">
        <v>2013</v>
      </c>
      <c r="E37" s="0" t="s">
        <v>55</v>
      </c>
      <c r="F37" s="0" t="n">
        <v>2217417</v>
      </c>
      <c r="G37" s="0" t="s">
        <v>3101</v>
      </c>
      <c r="H37" s="0" t="s">
        <v>3068</v>
      </c>
      <c r="I37" s="0" t="n">
        <v>2217417</v>
      </c>
      <c r="J37" s="0" t="s">
        <v>3069</v>
      </c>
      <c r="M37" s="0" t="s">
        <v>2726</v>
      </c>
      <c r="N37" s="0" t="s">
        <v>179</v>
      </c>
      <c r="Q37" s="0" t="n">
        <v>57</v>
      </c>
      <c r="R37" s="0" t="n">
        <v>55</v>
      </c>
      <c r="U37" s="0" t="s">
        <v>3070</v>
      </c>
      <c r="V37" s="0" t="s">
        <v>3070</v>
      </c>
      <c r="Y37" s="0" t="s">
        <v>3071</v>
      </c>
      <c r="Z37" s="0" t="s">
        <v>3072</v>
      </c>
      <c r="AA37" s="0" t="s">
        <v>3104</v>
      </c>
      <c r="AC37" s="0" t="s">
        <v>3074</v>
      </c>
    </row>
    <row r="38" customFormat="false" ht="15" hidden="false" customHeight="false" outlineLevel="0" collapsed="false">
      <c r="A38" s="0" t="s">
        <v>3117</v>
      </c>
      <c r="B38" s="0" t="s">
        <v>178</v>
      </c>
      <c r="C38" s="0" t="s">
        <v>3098</v>
      </c>
      <c r="D38" s="0" t="n">
        <v>2013</v>
      </c>
      <c r="E38" s="0" t="s">
        <v>57</v>
      </c>
      <c r="F38" s="0" t="n">
        <v>259538</v>
      </c>
      <c r="G38" s="0" t="s">
        <v>3101</v>
      </c>
      <c r="H38" s="0" t="s">
        <v>3068</v>
      </c>
      <c r="I38" s="0" t="n">
        <v>259538</v>
      </c>
      <c r="J38" s="0" t="s">
        <v>3069</v>
      </c>
      <c r="M38" s="0" t="s">
        <v>2726</v>
      </c>
      <c r="N38" s="0" t="s">
        <v>179</v>
      </c>
      <c r="Q38" s="0" t="n">
        <v>57</v>
      </c>
      <c r="R38" s="0" t="n">
        <v>55</v>
      </c>
      <c r="U38" s="0" t="s">
        <v>3070</v>
      </c>
      <c r="V38" s="0" t="s">
        <v>3070</v>
      </c>
      <c r="Y38" s="0" t="s">
        <v>3071</v>
      </c>
      <c r="Z38" s="0" t="s">
        <v>3072</v>
      </c>
      <c r="AA38" s="0" t="s">
        <v>3104</v>
      </c>
      <c r="AC38" s="0" t="s">
        <v>3074</v>
      </c>
    </row>
    <row r="39" customFormat="false" ht="15" hidden="false" customHeight="false" outlineLevel="0" collapsed="false">
      <c r="A39" s="0" t="s">
        <v>3118</v>
      </c>
      <c r="B39" s="0" t="s">
        <v>178</v>
      </c>
      <c r="C39" s="0" t="s">
        <v>3098</v>
      </c>
      <c r="D39" s="0" t="n">
        <v>2013</v>
      </c>
      <c r="E39" s="0" t="s">
        <v>56</v>
      </c>
      <c r="F39" s="0" t="n">
        <v>1957879</v>
      </c>
      <c r="G39" s="0" t="s">
        <v>3101</v>
      </c>
      <c r="H39" s="0" t="s">
        <v>3068</v>
      </c>
      <c r="I39" s="0" t="n">
        <v>1957879</v>
      </c>
      <c r="J39" s="0" t="s">
        <v>3069</v>
      </c>
      <c r="M39" s="0" t="s">
        <v>2726</v>
      </c>
      <c r="N39" s="0" t="s">
        <v>179</v>
      </c>
      <c r="Q39" s="0" t="n">
        <v>57</v>
      </c>
      <c r="R39" s="0" t="n">
        <v>55</v>
      </c>
      <c r="U39" s="0" t="s">
        <v>3070</v>
      </c>
      <c r="V39" s="0" t="s">
        <v>3070</v>
      </c>
      <c r="Y39" s="0" t="s">
        <v>3071</v>
      </c>
      <c r="Z39" s="0" t="s">
        <v>3072</v>
      </c>
      <c r="AA39" s="0" t="s">
        <v>3104</v>
      </c>
      <c r="AC39" s="0" t="s">
        <v>3074</v>
      </c>
    </row>
    <row r="40" customFormat="false" ht="15" hidden="false" customHeight="false" outlineLevel="0" collapsed="false">
      <c r="A40" s="0" t="s">
        <v>3119</v>
      </c>
      <c r="B40" s="0" t="s">
        <v>178</v>
      </c>
      <c r="C40" s="0" t="s">
        <v>3098</v>
      </c>
      <c r="D40" s="0" t="n">
        <v>2014</v>
      </c>
      <c r="E40" s="0" t="s">
        <v>69</v>
      </c>
      <c r="F40" s="0" t="n">
        <v>17</v>
      </c>
      <c r="G40" s="0" t="s">
        <v>3079</v>
      </c>
      <c r="I40" s="0" t="n">
        <v>17</v>
      </c>
      <c r="J40" s="0" t="s">
        <v>3069</v>
      </c>
      <c r="M40" s="0" t="s">
        <v>2726</v>
      </c>
      <c r="N40" s="0" t="s">
        <v>179</v>
      </c>
      <c r="Q40" s="0" t="n">
        <v>117</v>
      </c>
      <c r="R40" s="0" t="n">
        <v>115</v>
      </c>
      <c r="U40" s="0" t="s">
        <v>3087</v>
      </c>
      <c r="V40" s="0" t="s">
        <v>3087</v>
      </c>
      <c r="Y40" s="0" t="s">
        <v>3071</v>
      </c>
      <c r="Z40" s="0" t="s">
        <v>3072</v>
      </c>
      <c r="AA40" s="0" t="s">
        <v>3099</v>
      </c>
      <c r="AC40" s="0" t="s">
        <v>3074</v>
      </c>
    </row>
    <row r="41" customFormat="false" ht="15" hidden="false" customHeight="false" outlineLevel="0" collapsed="false">
      <c r="A41" s="0" t="s">
        <v>3120</v>
      </c>
      <c r="B41" s="0" t="s">
        <v>178</v>
      </c>
      <c r="C41" s="0" t="s">
        <v>3098</v>
      </c>
      <c r="D41" s="0" t="n">
        <v>2014</v>
      </c>
      <c r="E41" s="0" t="s">
        <v>545</v>
      </c>
      <c r="F41" s="0" t="n">
        <v>6423</v>
      </c>
      <c r="G41" s="0" t="s">
        <v>3101</v>
      </c>
      <c r="H41" s="0" t="s">
        <v>3068</v>
      </c>
      <c r="I41" s="0" t="n">
        <v>6423</v>
      </c>
      <c r="J41" s="0" t="s">
        <v>3069</v>
      </c>
      <c r="M41" s="0" t="s">
        <v>2726</v>
      </c>
      <c r="N41" s="0" t="s">
        <v>179</v>
      </c>
      <c r="Q41" s="0" t="n">
        <v>140</v>
      </c>
      <c r="R41" s="0" t="n">
        <v>138</v>
      </c>
      <c r="U41" s="0" t="s">
        <v>3087</v>
      </c>
      <c r="V41" s="0" t="s">
        <v>3087</v>
      </c>
      <c r="Y41" s="0" t="s">
        <v>3071</v>
      </c>
      <c r="Z41" s="0" t="s">
        <v>3072</v>
      </c>
      <c r="AA41" s="0" t="s">
        <v>3102</v>
      </c>
      <c r="AC41" s="0" t="s">
        <v>3074</v>
      </c>
    </row>
    <row r="42" customFormat="false" ht="15" hidden="false" customHeight="false" outlineLevel="0" collapsed="false">
      <c r="A42" s="0" t="s">
        <v>3121</v>
      </c>
      <c r="B42" s="0" t="s">
        <v>178</v>
      </c>
      <c r="C42" s="0" t="s">
        <v>3098</v>
      </c>
      <c r="D42" s="0" t="n">
        <v>2014</v>
      </c>
      <c r="E42" s="0" t="s">
        <v>3066</v>
      </c>
      <c r="F42" s="0" t="n">
        <v>1812277</v>
      </c>
      <c r="G42" s="0" t="s">
        <v>3101</v>
      </c>
      <c r="H42" s="0" t="s">
        <v>3068</v>
      </c>
      <c r="I42" s="0" t="n">
        <v>1812277</v>
      </c>
      <c r="J42" s="0" t="s">
        <v>3069</v>
      </c>
      <c r="M42" s="0" t="s">
        <v>2726</v>
      </c>
      <c r="N42" s="0" t="s">
        <v>179</v>
      </c>
      <c r="Q42" s="0" t="n">
        <v>57</v>
      </c>
      <c r="R42" s="0" t="n">
        <v>55</v>
      </c>
      <c r="U42" s="0" t="s">
        <v>3087</v>
      </c>
      <c r="V42" s="0" t="s">
        <v>3087</v>
      </c>
      <c r="Y42" s="0" t="s">
        <v>3071</v>
      </c>
      <c r="Z42" s="0" t="s">
        <v>3072</v>
      </c>
      <c r="AA42" s="0" t="s">
        <v>3104</v>
      </c>
      <c r="AC42" s="0" t="s">
        <v>3074</v>
      </c>
    </row>
    <row r="43" customFormat="false" ht="15" hidden="false" customHeight="false" outlineLevel="0" collapsed="false">
      <c r="A43" s="0" t="s">
        <v>3122</v>
      </c>
      <c r="B43" s="0" t="s">
        <v>178</v>
      </c>
      <c r="C43" s="0" t="s">
        <v>3098</v>
      </c>
      <c r="D43" s="0" t="n">
        <v>2014</v>
      </c>
      <c r="E43" s="0" t="s">
        <v>60</v>
      </c>
      <c r="F43" s="0" t="n">
        <v>895109</v>
      </c>
      <c r="G43" s="0" t="s">
        <v>3101</v>
      </c>
      <c r="H43" s="0" t="s">
        <v>3068</v>
      </c>
      <c r="I43" s="0" t="n">
        <v>895109</v>
      </c>
      <c r="J43" s="0" t="s">
        <v>3069</v>
      </c>
      <c r="M43" s="0" t="s">
        <v>2726</v>
      </c>
      <c r="N43" s="0" t="s">
        <v>179</v>
      </c>
      <c r="Q43" s="0" t="n">
        <v>140</v>
      </c>
      <c r="R43" s="0" t="n">
        <v>138</v>
      </c>
      <c r="U43" s="0" t="s">
        <v>3087</v>
      </c>
      <c r="V43" s="0" t="s">
        <v>3087</v>
      </c>
      <c r="Y43" s="0" t="s">
        <v>3071</v>
      </c>
      <c r="Z43" s="0" t="s">
        <v>3072</v>
      </c>
      <c r="AA43" s="0" t="s">
        <v>3102</v>
      </c>
      <c r="AC43" s="0" t="s">
        <v>3074</v>
      </c>
    </row>
    <row r="44" customFormat="false" ht="15" hidden="false" customHeight="false" outlineLevel="0" collapsed="false">
      <c r="A44" s="0" t="s">
        <v>3123</v>
      </c>
      <c r="B44" s="0" t="s">
        <v>178</v>
      </c>
      <c r="C44" s="0" t="s">
        <v>3098</v>
      </c>
      <c r="D44" s="0" t="n">
        <v>2014</v>
      </c>
      <c r="E44" s="0" t="s">
        <v>1327</v>
      </c>
      <c r="F44" s="0" t="n">
        <v>228757</v>
      </c>
      <c r="G44" s="0" t="s">
        <v>3101</v>
      </c>
      <c r="H44" s="0" t="s">
        <v>3068</v>
      </c>
      <c r="I44" s="0" t="n">
        <v>228757</v>
      </c>
      <c r="J44" s="0" t="s">
        <v>3069</v>
      </c>
      <c r="M44" s="0" t="s">
        <v>2726</v>
      </c>
      <c r="N44" s="0" t="s">
        <v>179</v>
      </c>
      <c r="Q44" s="0" t="n">
        <v>56</v>
      </c>
      <c r="R44" s="0" t="n">
        <v>54</v>
      </c>
      <c r="U44" s="0" t="s">
        <v>3087</v>
      </c>
      <c r="V44" s="0" t="s">
        <v>3087</v>
      </c>
      <c r="Y44" s="0" t="s">
        <v>3071</v>
      </c>
      <c r="Z44" s="0" t="s">
        <v>3072</v>
      </c>
      <c r="AA44" s="0" t="s">
        <v>3104</v>
      </c>
      <c r="AC44" s="0" t="s">
        <v>3074</v>
      </c>
    </row>
    <row r="45" customFormat="false" ht="15" hidden="false" customHeight="false" outlineLevel="0" collapsed="false">
      <c r="A45" s="0" t="s">
        <v>3124</v>
      </c>
      <c r="B45" s="0" t="s">
        <v>178</v>
      </c>
      <c r="C45" s="0" t="s">
        <v>3098</v>
      </c>
      <c r="D45" s="0" t="n">
        <v>2014</v>
      </c>
      <c r="E45" s="0" t="s">
        <v>63</v>
      </c>
      <c r="F45" s="0" t="n">
        <v>3073</v>
      </c>
      <c r="G45" s="0" t="s">
        <v>3101</v>
      </c>
      <c r="H45" s="0" t="s">
        <v>3068</v>
      </c>
      <c r="I45" s="0" t="n">
        <v>3073</v>
      </c>
      <c r="J45" s="0" t="s">
        <v>3069</v>
      </c>
      <c r="M45" s="0" t="s">
        <v>2726</v>
      </c>
      <c r="N45" s="0" t="s">
        <v>179</v>
      </c>
      <c r="Q45" s="0" t="n">
        <v>56</v>
      </c>
      <c r="R45" s="0" t="n">
        <v>54</v>
      </c>
      <c r="U45" s="0" t="s">
        <v>3087</v>
      </c>
      <c r="V45" s="0" t="s">
        <v>3087</v>
      </c>
      <c r="Y45" s="0" t="s">
        <v>3071</v>
      </c>
      <c r="Z45" s="0" t="s">
        <v>3072</v>
      </c>
      <c r="AA45" s="0" t="s">
        <v>3104</v>
      </c>
      <c r="AC45" s="0" t="s">
        <v>3074</v>
      </c>
    </row>
    <row r="46" customFormat="false" ht="15" hidden="false" customHeight="false" outlineLevel="0" collapsed="false">
      <c r="A46" s="0" t="s">
        <v>3125</v>
      </c>
      <c r="B46" s="0" t="s">
        <v>178</v>
      </c>
      <c r="C46" s="0" t="s">
        <v>3098</v>
      </c>
      <c r="D46" s="0" t="n">
        <v>2014</v>
      </c>
      <c r="E46" s="0" t="s">
        <v>543</v>
      </c>
      <c r="F46" s="0" t="n">
        <v>4099</v>
      </c>
      <c r="G46" s="0" t="s">
        <v>3101</v>
      </c>
      <c r="H46" s="0" t="s">
        <v>3068</v>
      </c>
      <c r="I46" s="0" t="n">
        <v>4099</v>
      </c>
      <c r="J46" s="0" t="s">
        <v>3069</v>
      </c>
      <c r="M46" s="0" t="s">
        <v>2726</v>
      </c>
      <c r="N46" s="0" t="s">
        <v>179</v>
      </c>
      <c r="Q46" s="0" t="n">
        <v>140</v>
      </c>
      <c r="R46" s="0" t="n">
        <v>138</v>
      </c>
      <c r="U46" s="0" t="s">
        <v>3087</v>
      </c>
      <c r="V46" s="0" t="s">
        <v>3087</v>
      </c>
      <c r="Y46" s="0" t="s">
        <v>3071</v>
      </c>
      <c r="Z46" s="0" t="s">
        <v>3072</v>
      </c>
      <c r="AA46" s="0" t="s">
        <v>3102</v>
      </c>
      <c r="AC46" s="0" t="s">
        <v>3074</v>
      </c>
    </row>
    <row r="47" customFormat="false" ht="15" hidden="false" customHeight="false" outlineLevel="0" collapsed="false">
      <c r="A47" s="0" t="s">
        <v>3126</v>
      </c>
      <c r="B47" s="0" t="s">
        <v>178</v>
      </c>
      <c r="C47" s="0" t="s">
        <v>3098</v>
      </c>
      <c r="D47" s="0" t="n">
        <v>2014</v>
      </c>
      <c r="E47" s="0" t="s">
        <v>61</v>
      </c>
      <c r="F47" s="0" t="n">
        <v>10522</v>
      </c>
      <c r="G47" s="0" t="s">
        <v>3101</v>
      </c>
      <c r="H47" s="0" t="s">
        <v>3068</v>
      </c>
      <c r="I47" s="0" t="n">
        <v>10522</v>
      </c>
      <c r="J47" s="0" t="s">
        <v>3069</v>
      </c>
      <c r="M47" s="0" t="s">
        <v>2726</v>
      </c>
      <c r="N47" s="0" t="s">
        <v>179</v>
      </c>
      <c r="Q47" s="0" t="n">
        <v>140</v>
      </c>
      <c r="R47" s="0" t="n">
        <v>138</v>
      </c>
      <c r="U47" s="0" t="s">
        <v>3087</v>
      </c>
      <c r="V47" s="0" t="s">
        <v>3087</v>
      </c>
      <c r="Y47" s="0" t="s">
        <v>3071</v>
      </c>
      <c r="Z47" s="0" t="s">
        <v>3072</v>
      </c>
      <c r="AA47" s="0" t="s">
        <v>3102</v>
      </c>
      <c r="AC47" s="0" t="s">
        <v>3074</v>
      </c>
    </row>
    <row r="48" customFormat="false" ht="15" hidden="false" customHeight="false" outlineLevel="0" collapsed="false">
      <c r="A48" s="0" t="s">
        <v>3127</v>
      </c>
      <c r="B48" s="0" t="s">
        <v>178</v>
      </c>
      <c r="C48" s="0" t="s">
        <v>3098</v>
      </c>
      <c r="D48" s="0" t="n">
        <v>2014</v>
      </c>
      <c r="E48" s="0" t="s">
        <v>62</v>
      </c>
      <c r="F48" s="0" t="n">
        <v>884587</v>
      </c>
      <c r="G48" s="0" t="s">
        <v>3101</v>
      </c>
      <c r="H48" s="0" t="s">
        <v>3068</v>
      </c>
      <c r="I48" s="0" t="n">
        <v>884587</v>
      </c>
      <c r="J48" s="0" t="s">
        <v>3069</v>
      </c>
      <c r="M48" s="0" t="s">
        <v>2726</v>
      </c>
      <c r="N48" s="0" t="s">
        <v>179</v>
      </c>
      <c r="Q48" s="0" t="n">
        <v>57</v>
      </c>
      <c r="R48" s="0" t="n">
        <v>55</v>
      </c>
      <c r="U48" s="0" t="s">
        <v>3087</v>
      </c>
      <c r="V48" s="0" t="s">
        <v>3087</v>
      </c>
      <c r="Y48" s="0" t="s">
        <v>3071</v>
      </c>
      <c r="Z48" s="0" t="s">
        <v>3072</v>
      </c>
      <c r="AA48" s="0" t="s">
        <v>3104</v>
      </c>
      <c r="AC48" s="0" t="s">
        <v>3074</v>
      </c>
    </row>
    <row r="49" customFormat="false" ht="15" hidden="false" customHeight="false" outlineLevel="0" collapsed="false">
      <c r="A49" s="0" t="s">
        <v>3128</v>
      </c>
      <c r="B49" s="0" t="s">
        <v>178</v>
      </c>
      <c r="C49" s="0" t="s">
        <v>3098</v>
      </c>
      <c r="D49" s="0" t="n">
        <v>2014</v>
      </c>
      <c r="E49" s="0" t="s">
        <v>58</v>
      </c>
      <c r="F49" s="0" t="n">
        <v>-92619</v>
      </c>
      <c r="G49" s="0" t="s">
        <v>3101</v>
      </c>
      <c r="H49" s="0" t="s">
        <v>3068</v>
      </c>
      <c r="I49" s="0" t="n">
        <v>-92619</v>
      </c>
      <c r="J49" s="0" t="s">
        <v>3069</v>
      </c>
      <c r="M49" s="0" t="s">
        <v>2726</v>
      </c>
      <c r="N49" s="0" t="s">
        <v>179</v>
      </c>
      <c r="Q49" s="0" t="n">
        <v>62</v>
      </c>
      <c r="R49" s="0" t="n">
        <v>60</v>
      </c>
      <c r="U49" s="0" t="s">
        <v>3087</v>
      </c>
      <c r="V49" s="0" t="s">
        <v>3087</v>
      </c>
      <c r="Y49" s="0" t="s">
        <v>3071</v>
      </c>
      <c r="Z49" s="0" t="s">
        <v>3072</v>
      </c>
      <c r="AA49" s="0" t="s">
        <v>3104</v>
      </c>
      <c r="AC49" s="0" t="s">
        <v>3074</v>
      </c>
    </row>
    <row r="50" customFormat="false" ht="15" hidden="false" customHeight="false" outlineLevel="0" collapsed="false">
      <c r="A50" s="0" t="s">
        <v>3129</v>
      </c>
      <c r="B50" s="0" t="s">
        <v>178</v>
      </c>
      <c r="C50" s="0" t="s">
        <v>3098</v>
      </c>
      <c r="D50" s="0" t="n">
        <v>2014</v>
      </c>
      <c r="E50" s="0" t="s">
        <v>54</v>
      </c>
      <c r="F50" s="0" t="n">
        <v>40083</v>
      </c>
      <c r="G50" s="0" t="s">
        <v>3101</v>
      </c>
      <c r="H50" s="0" t="s">
        <v>3068</v>
      </c>
      <c r="I50" s="0" t="n">
        <v>40083</v>
      </c>
      <c r="J50" s="0" t="s">
        <v>3069</v>
      </c>
      <c r="M50" s="0" t="s">
        <v>2726</v>
      </c>
      <c r="N50" s="0" t="s">
        <v>179</v>
      </c>
      <c r="Q50" s="0" t="n">
        <v>56</v>
      </c>
      <c r="R50" s="0" t="n">
        <v>54</v>
      </c>
      <c r="U50" s="0" t="s">
        <v>3087</v>
      </c>
      <c r="V50" s="0" t="s">
        <v>3087</v>
      </c>
      <c r="Y50" s="0" t="s">
        <v>3071</v>
      </c>
      <c r="Z50" s="0" t="s">
        <v>3072</v>
      </c>
      <c r="AA50" s="0" t="s">
        <v>3104</v>
      </c>
      <c r="AC50" s="0" t="s">
        <v>3074</v>
      </c>
    </row>
    <row r="51" customFormat="false" ht="15" hidden="false" customHeight="false" outlineLevel="0" collapsed="false">
      <c r="A51" s="0" t="s">
        <v>3130</v>
      </c>
      <c r="B51" s="0" t="s">
        <v>178</v>
      </c>
      <c r="C51" s="0" t="s">
        <v>3098</v>
      </c>
      <c r="D51" s="0" t="n">
        <v>2014</v>
      </c>
      <c r="E51" s="0" t="s">
        <v>65</v>
      </c>
      <c r="F51" s="0" t="n">
        <v>265091</v>
      </c>
      <c r="G51" s="0" t="s">
        <v>3101</v>
      </c>
      <c r="H51" s="0" t="s">
        <v>3068</v>
      </c>
      <c r="I51" s="0" t="n">
        <v>265091</v>
      </c>
      <c r="J51" s="0" t="s">
        <v>3069</v>
      </c>
      <c r="M51" s="0" t="s">
        <v>2726</v>
      </c>
      <c r="N51" s="0" t="s">
        <v>179</v>
      </c>
      <c r="Q51" s="0" t="n">
        <v>117</v>
      </c>
      <c r="R51" s="0" t="n">
        <v>115</v>
      </c>
      <c r="U51" s="0" t="s">
        <v>3087</v>
      </c>
      <c r="V51" s="0" t="s">
        <v>3087</v>
      </c>
      <c r="Y51" s="0" t="s">
        <v>3071</v>
      </c>
      <c r="Z51" s="0" t="s">
        <v>3072</v>
      </c>
      <c r="AA51" s="0" t="s">
        <v>3114</v>
      </c>
      <c r="AC51" s="0" t="s">
        <v>3074</v>
      </c>
    </row>
    <row r="52" customFormat="false" ht="15" hidden="false" customHeight="false" outlineLevel="0" collapsed="false">
      <c r="A52" s="0" t="s">
        <v>3131</v>
      </c>
      <c r="B52" s="0" t="s">
        <v>178</v>
      </c>
      <c r="C52" s="0" t="s">
        <v>3098</v>
      </c>
      <c r="D52" s="0" t="n">
        <v>2014</v>
      </c>
      <c r="E52" s="0" t="s">
        <v>66</v>
      </c>
      <c r="F52" s="0" t="n">
        <v>1581019</v>
      </c>
      <c r="G52" s="0" t="s">
        <v>3101</v>
      </c>
      <c r="H52" s="0" t="s">
        <v>3068</v>
      </c>
      <c r="I52" s="0" t="n">
        <v>1581019</v>
      </c>
      <c r="J52" s="0" t="s">
        <v>3069</v>
      </c>
      <c r="M52" s="0" t="s">
        <v>2726</v>
      </c>
      <c r="N52" s="0" t="s">
        <v>179</v>
      </c>
      <c r="Q52" s="0" t="n">
        <v>117</v>
      </c>
      <c r="R52" s="0" t="n">
        <v>115</v>
      </c>
      <c r="U52" s="0" t="s">
        <v>3087</v>
      </c>
      <c r="V52" s="0" t="s">
        <v>3087</v>
      </c>
      <c r="Y52" s="0" t="s">
        <v>3071</v>
      </c>
      <c r="Z52" s="0" t="s">
        <v>3072</v>
      </c>
      <c r="AA52" s="0" t="s">
        <v>3114</v>
      </c>
      <c r="AC52" s="0" t="s">
        <v>3074</v>
      </c>
    </row>
    <row r="53" customFormat="false" ht="15" hidden="false" customHeight="false" outlineLevel="0" collapsed="false">
      <c r="A53" s="0" t="s">
        <v>3132</v>
      </c>
      <c r="B53" s="0" t="s">
        <v>178</v>
      </c>
      <c r="C53" s="0" t="s">
        <v>3098</v>
      </c>
      <c r="D53" s="0" t="n">
        <v>2014</v>
      </c>
      <c r="E53" s="0" t="s">
        <v>55</v>
      </c>
      <c r="F53" s="0" t="n">
        <v>2338858</v>
      </c>
      <c r="G53" s="0" t="s">
        <v>3101</v>
      </c>
      <c r="H53" s="0" t="s">
        <v>3068</v>
      </c>
      <c r="I53" s="0" t="n">
        <v>2338858</v>
      </c>
      <c r="J53" s="0" t="s">
        <v>3069</v>
      </c>
      <c r="M53" s="0" t="s">
        <v>2726</v>
      </c>
      <c r="N53" s="0" t="s">
        <v>179</v>
      </c>
      <c r="Q53" s="0" t="n">
        <v>57</v>
      </c>
      <c r="R53" s="0" t="n">
        <v>55</v>
      </c>
      <c r="U53" s="0" t="s">
        <v>3087</v>
      </c>
      <c r="V53" s="0" t="s">
        <v>3087</v>
      </c>
      <c r="Y53" s="0" t="s">
        <v>3071</v>
      </c>
      <c r="Z53" s="0" t="s">
        <v>3072</v>
      </c>
      <c r="AA53" s="0" t="s">
        <v>3104</v>
      </c>
      <c r="AC53" s="0" t="s">
        <v>3074</v>
      </c>
    </row>
    <row r="54" customFormat="false" ht="15" hidden="false" customHeight="false" outlineLevel="0" collapsed="false">
      <c r="A54" s="0" t="s">
        <v>3133</v>
      </c>
      <c r="B54" s="0" t="s">
        <v>178</v>
      </c>
      <c r="C54" s="0" t="s">
        <v>3098</v>
      </c>
      <c r="D54" s="0" t="n">
        <v>2014</v>
      </c>
      <c r="E54" s="0" t="s">
        <v>57</v>
      </c>
      <c r="F54" s="0" t="n">
        <v>281933</v>
      </c>
      <c r="G54" s="0" t="s">
        <v>3101</v>
      </c>
      <c r="H54" s="0" t="s">
        <v>3068</v>
      </c>
      <c r="I54" s="0" t="n">
        <v>281933</v>
      </c>
      <c r="J54" s="0" t="s">
        <v>3069</v>
      </c>
      <c r="M54" s="0" t="s">
        <v>2726</v>
      </c>
      <c r="N54" s="0" t="s">
        <v>179</v>
      </c>
      <c r="Q54" s="0" t="n">
        <v>57</v>
      </c>
      <c r="R54" s="0" t="n">
        <v>55</v>
      </c>
      <c r="U54" s="0" t="s">
        <v>3087</v>
      </c>
      <c r="V54" s="0" t="s">
        <v>3087</v>
      </c>
      <c r="Y54" s="0" t="s">
        <v>3071</v>
      </c>
      <c r="Z54" s="0" t="s">
        <v>3072</v>
      </c>
      <c r="AA54" s="0" t="s">
        <v>3104</v>
      </c>
      <c r="AC54" s="0" t="s">
        <v>3074</v>
      </c>
    </row>
    <row r="55" customFormat="false" ht="15" hidden="false" customHeight="false" outlineLevel="0" collapsed="false">
      <c r="A55" s="0" t="s">
        <v>3134</v>
      </c>
      <c r="B55" s="0" t="s">
        <v>178</v>
      </c>
      <c r="C55" s="0" t="s">
        <v>3098</v>
      </c>
      <c r="D55" s="0" t="n">
        <v>2014</v>
      </c>
      <c r="E55" s="0" t="s">
        <v>56</v>
      </c>
      <c r="F55" s="0" t="n">
        <v>2056925</v>
      </c>
      <c r="G55" s="0" t="s">
        <v>3101</v>
      </c>
      <c r="H55" s="0" t="s">
        <v>3068</v>
      </c>
      <c r="I55" s="0" t="n">
        <v>2056925</v>
      </c>
      <c r="J55" s="0" t="s">
        <v>3069</v>
      </c>
      <c r="M55" s="0" t="s">
        <v>2726</v>
      </c>
      <c r="N55" s="0" t="s">
        <v>179</v>
      </c>
      <c r="Q55" s="0" t="n">
        <v>57</v>
      </c>
      <c r="R55" s="0" t="n">
        <v>55</v>
      </c>
      <c r="U55" s="0" t="s">
        <v>3087</v>
      </c>
      <c r="V55" s="0" t="s">
        <v>3087</v>
      </c>
      <c r="Y55" s="0" t="s">
        <v>3071</v>
      </c>
      <c r="Z55" s="0" t="s">
        <v>3072</v>
      </c>
      <c r="AA55" s="0" t="s">
        <v>3104</v>
      </c>
      <c r="AC55" s="0" t="s">
        <v>3074</v>
      </c>
    </row>
    <row r="56" customFormat="false" ht="15" hidden="false" customHeight="false" outlineLevel="0" collapsed="false">
      <c r="A56" s="0" t="s">
        <v>3135</v>
      </c>
      <c r="B56" s="0" t="s">
        <v>136</v>
      </c>
      <c r="C56" s="0" t="s">
        <v>3136</v>
      </c>
      <c r="D56" s="0" t="n">
        <v>2013</v>
      </c>
      <c r="E56" s="0" t="s">
        <v>3066</v>
      </c>
      <c r="F56" s="0" t="n">
        <v>1261927</v>
      </c>
      <c r="G56" s="0" t="s">
        <v>3101</v>
      </c>
      <c r="H56" s="0" t="s">
        <v>3068</v>
      </c>
      <c r="I56" s="0" t="n">
        <v>1261927</v>
      </c>
      <c r="J56" s="0" t="s">
        <v>3069</v>
      </c>
      <c r="M56" s="0" t="s">
        <v>2704</v>
      </c>
      <c r="N56" s="0" t="s">
        <v>137</v>
      </c>
      <c r="Q56" s="0" t="n">
        <v>1</v>
      </c>
      <c r="R56" s="0" t="n">
        <v>1</v>
      </c>
      <c r="U56" s="0" t="s">
        <v>3070</v>
      </c>
      <c r="V56" s="0" t="s">
        <v>3070</v>
      </c>
      <c r="Y56" s="0" t="s">
        <v>3071</v>
      </c>
      <c r="Z56" s="0" t="s">
        <v>3072</v>
      </c>
      <c r="AA56" s="0" t="s">
        <v>3137</v>
      </c>
      <c r="AC56" s="0" t="s">
        <v>3074</v>
      </c>
    </row>
    <row r="57" customFormat="false" ht="15" hidden="false" customHeight="false" outlineLevel="0" collapsed="false">
      <c r="A57" s="0" t="s">
        <v>3138</v>
      </c>
      <c r="B57" s="0" t="s">
        <v>136</v>
      </c>
      <c r="C57" s="0" t="s">
        <v>3136</v>
      </c>
      <c r="D57" s="0" t="n">
        <v>2013</v>
      </c>
      <c r="E57" s="0" t="s">
        <v>1327</v>
      </c>
      <c r="F57" s="0" t="n">
        <v>221600</v>
      </c>
      <c r="G57" s="0" t="s">
        <v>3101</v>
      </c>
      <c r="H57" s="0" t="s">
        <v>3068</v>
      </c>
      <c r="I57" s="0" t="n">
        <v>221600</v>
      </c>
      <c r="J57" s="0" t="s">
        <v>3069</v>
      </c>
      <c r="M57" s="0" t="s">
        <v>2704</v>
      </c>
      <c r="N57" s="0" t="s">
        <v>137</v>
      </c>
      <c r="Q57" s="0" t="n">
        <v>1</v>
      </c>
      <c r="R57" s="0" t="n">
        <v>1</v>
      </c>
      <c r="U57" s="0" t="s">
        <v>3070</v>
      </c>
      <c r="V57" s="0" t="s">
        <v>3070</v>
      </c>
      <c r="Y57" s="0" t="s">
        <v>3071</v>
      </c>
      <c r="Z57" s="0" t="s">
        <v>3072</v>
      </c>
      <c r="AA57" s="0" t="s">
        <v>3137</v>
      </c>
      <c r="AC57" s="0" t="s">
        <v>3074</v>
      </c>
    </row>
    <row r="58" customFormat="false" ht="15" hidden="false" customHeight="false" outlineLevel="0" collapsed="false">
      <c r="A58" s="0" t="s">
        <v>3139</v>
      </c>
      <c r="B58" s="0" t="s">
        <v>136</v>
      </c>
      <c r="C58" s="0" t="s">
        <v>3136</v>
      </c>
      <c r="D58" s="0" t="n">
        <v>2013</v>
      </c>
      <c r="E58" s="0" t="s">
        <v>307</v>
      </c>
      <c r="F58" s="0" t="n">
        <v>2913</v>
      </c>
      <c r="G58" s="0" t="s">
        <v>3101</v>
      </c>
      <c r="H58" s="0" t="s">
        <v>3068</v>
      </c>
      <c r="I58" s="0" t="n">
        <v>2913</v>
      </c>
      <c r="J58" s="0" t="s">
        <v>3069</v>
      </c>
      <c r="M58" s="0" t="s">
        <v>2704</v>
      </c>
      <c r="N58" s="0" t="s">
        <v>137</v>
      </c>
      <c r="Q58" s="0" t="n">
        <v>1</v>
      </c>
      <c r="R58" s="0" t="n">
        <v>1</v>
      </c>
      <c r="U58" s="0" t="s">
        <v>3070</v>
      </c>
      <c r="V58" s="0" t="s">
        <v>3070</v>
      </c>
      <c r="Y58" s="0" t="s">
        <v>3071</v>
      </c>
      <c r="Z58" s="0" t="s">
        <v>3072</v>
      </c>
      <c r="AA58" s="0" t="s">
        <v>3137</v>
      </c>
      <c r="AC58" s="0" t="s">
        <v>3074</v>
      </c>
    </row>
    <row r="59" customFormat="false" ht="15" hidden="false" customHeight="false" outlineLevel="0" collapsed="false">
      <c r="A59" s="0" t="s">
        <v>3140</v>
      </c>
      <c r="B59" s="0" t="s">
        <v>136</v>
      </c>
      <c r="C59" s="0" t="s">
        <v>3136</v>
      </c>
      <c r="D59" s="0" t="n">
        <v>2013</v>
      </c>
      <c r="E59" s="0" t="s">
        <v>1038</v>
      </c>
      <c r="F59" s="0" t="n">
        <v>-119</v>
      </c>
      <c r="G59" s="0" t="s">
        <v>3101</v>
      </c>
      <c r="H59" s="0" t="s">
        <v>3068</v>
      </c>
      <c r="I59" s="0" t="n">
        <v>-119</v>
      </c>
      <c r="J59" s="0" t="s">
        <v>3069</v>
      </c>
      <c r="M59" s="0" t="s">
        <v>2704</v>
      </c>
      <c r="N59" s="0" t="s">
        <v>137</v>
      </c>
      <c r="Q59" s="0" t="n">
        <v>1</v>
      </c>
      <c r="R59" s="0" t="n">
        <v>1</v>
      </c>
      <c r="U59" s="0" t="s">
        <v>3070</v>
      </c>
      <c r="V59" s="0" t="s">
        <v>3070</v>
      </c>
      <c r="Y59" s="0" t="s">
        <v>3071</v>
      </c>
      <c r="Z59" s="0" t="s">
        <v>3072</v>
      </c>
      <c r="AA59" s="0" t="s">
        <v>3137</v>
      </c>
      <c r="AC59" s="0" t="s">
        <v>3074</v>
      </c>
    </row>
    <row r="60" customFormat="false" ht="15" hidden="false" customHeight="false" outlineLevel="0" collapsed="false">
      <c r="A60" s="0" t="s">
        <v>3141</v>
      </c>
      <c r="B60" s="0" t="s">
        <v>136</v>
      </c>
      <c r="C60" s="0" t="s">
        <v>3136</v>
      </c>
      <c r="D60" s="0" t="n">
        <v>2013</v>
      </c>
      <c r="E60" s="0" t="s">
        <v>64</v>
      </c>
      <c r="F60" s="0" t="n">
        <v>27707</v>
      </c>
      <c r="G60" s="0" t="s">
        <v>3101</v>
      </c>
      <c r="H60" s="0" t="s">
        <v>3068</v>
      </c>
      <c r="I60" s="0" t="n">
        <v>27707</v>
      </c>
      <c r="J60" s="0" t="s">
        <v>3069</v>
      </c>
      <c r="M60" s="0" t="s">
        <v>2704</v>
      </c>
      <c r="N60" s="0" t="s">
        <v>137</v>
      </c>
      <c r="Q60" s="0" t="n">
        <v>1</v>
      </c>
      <c r="R60" s="0" t="n">
        <v>1</v>
      </c>
      <c r="U60" s="0" t="s">
        <v>3070</v>
      </c>
      <c r="V60" s="0" t="s">
        <v>3070</v>
      </c>
      <c r="Y60" s="0" t="s">
        <v>3071</v>
      </c>
      <c r="Z60" s="0" t="s">
        <v>3072</v>
      </c>
      <c r="AA60" s="0" t="s">
        <v>3137</v>
      </c>
      <c r="AC60" s="0" t="s">
        <v>3074</v>
      </c>
    </row>
    <row r="61" customFormat="false" ht="15" hidden="false" customHeight="false" outlineLevel="0" collapsed="false">
      <c r="A61" s="0" t="s">
        <v>3142</v>
      </c>
      <c r="B61" s="0" t="s">
        <v>136</v>
      </c>
      <c r="C61" s="0" t="s">
        <v>3136</v>
      </c>
      <c r="D61" s="0" t="n">
        <v>2013</v>
      </c>
      <c r="E61" s="0" t="s">
        <v>327</v>
      </c>
      <c r="F61" s="0" t="n">
        <v>2.93</v>
      </c>
      <c r="G61" s="0" t="s">
        <v>3143</v>
      </c>
      <c r="I61" s="0" t="n">
        <v>2.93</v>
      </c>
      <c r="J61" s="0" t="s">
        <v>3069</v>
      </c>
      <c r="M61" s="0" t="s">
        <v>2704</v>
      </c>
      <c r="N61" s="0" t="s">
        <v>137</v>
      </c>
      <c r="Q61" s="0" t="n">
        <v>1</v>
      </c>
      <c r="R61" s="0" t="n">
        <v>1</v>
      </c>
      <c r="U61" s="0" t="s">
        <v>3070</v>
      </c>
      <c r="V61" s="0" t="s">
        <v>3070</v>
      </c>
      <c r="Y61" s="0" t="s">
        <v>3071</v>
      </c>
      <c r="Z61" s="0" t="s">
        <v>3072</v>
      </c>
      <c r="AA61" s="0" t="s">
        <v>3144</v>
      </c>
      <c r="AC61" s="0" t="s">
        <v>3074</v>
      </c>
    </row>
    <row r="62" customFormat="false" ht="15" hidden="false" customHeight="false" outlineLevel="0" collapsed="false">
      <c r="A62" s="0" t="s">
        <v>3145</v>
      </c>
      <c r="B62" s="0" t="s">
        <v>136</v>
      </c>
      <c r="C62" s="0" t="s">
        <v>3136</v>
      </c>
      <c r="D62" s="0" t="n">
        <v>2013</v>
      </c>
      <c r="E62" s="0" t="s">
        <v>62</v>
      </c>
      <c r="F62" s="0" t="n">
        <v>926967</v>
      </c>
      <c r="G62" s="0" t="s">
        <v>3101</v>
      </c>
      <c r="H62" s="0" t="s">
        <v>3068</v>
      </c>
      <c r="I62" s="0" t="n">
        <v>926967</v>
      </c>
      <c r="J62" s="0" t="s">
        <v>3069</v>
      </c>
      <c r="M62" s="0" t="s">
        <v>2704</v>
      </c>
      <c r="N62" s="0" t="s">
        <v>137</v>
      </c>
      <c r="Q62" s="0" t="n">
        <v>1</v>
      </c>
      <c r="R62" s="0" t="n">
        <v>1</v>
      </c>
      <c r="U62" s="0" t="s">
        <v>3070</v>
      </c>
      <c r="V62" s="0" t="s">
        <v>3070</v>
      </c>
      <c r="Y62" s="0" t="s">
        <v>3071</v>
      </c>
      <c r="Z62" s="0" t="s">
        <v>3072</v>
      </c>
      <c r="AA62" s="0" t="s">
        <v>3137</v>
      </c>
      <c r="AC62" s="0" t="s">
        <v>3074</v>
      </c>
    </row>
    <row r="63" customFormat="false" ht="15" hidden="false" customHeight="false" outlineLevel="0" collapsed="false">
      <c r="A63" s="0" t="s">
        <v>3146</v>
      </c>
      <c r="B63" s="0" t="s">
        <v>136</v>
      </c>
      <c r="C63" s="0" t="s">
        <v>3136</v>
      </c>
      <c r="D63" s="0" t="n">
        <v>2013</v>
      </c>
      <c r="E63" s="0" t="s">
        <v>54</v>
      </c>
      <c r="F63" s="0" t="n">
        <v>85546</v>
      </c>
      <c r="G63" s="0" t="s">
        <v>3101</v>
      </c>
      <c r="H63" s="0" t="s">
        <v>3068</v>
      </c>
      <c r="I63" s="0" t="n">
        <v>85546</v>
      </c>
      <c r="J63" s="0" t="s">
        <v>3069</v>
      </c>
      <c r="M63" s="0" t="s">
        <v>2704</v>
      </c>
      <c r="N63" s="0" t="s">
        <v>137</v>
      </c>
      <c r="Q63" s="0" t="n">
        <v>1</v>
      </c>
      <c r="R63" s="0" t="n">
        <v>1</v>
      </c>
      <c r="U63" s="0" t="s">
        <v>3070</v>
      </c>
      <c r="V63" s="0" t="s">
        <v>3070</v>
      </c>
      <c r="Y63" s="0" t="s">
        <v>3071</v>
      </c>
      <c r="Z63" s="0" t="s">
        <v>3072</v>
      </c>
      <c r="AA63" s="0" t="s">
        <v>3137</v>
      </c>
      <c r="AC63" s="0" t="s">
        <v>3074</v>
      </c>
    </row>
    <row r="64" customFormat="false" ht="15" hidden="false" customHeight="false" outlineLevel="0" collapsed="false">
      <c r="A64" s="0" t="s">
        <v>3147</v>
      </c>
      <c r="B64" s="0" t="s">
        <v>136</v>
      </c>
      <c r="C64" s="0" t="s">
        <v>3136</v>
      </c>
      <c r="D64" s="0" t="n">
        <v>2013</v>
      </c>
      <c r="E64" s="0" t="s">
        <v>55</v>
      </c>
      <c r="F64" s="0" t="n">
        <v>1904366</v>
      </c>
      <c r="G64" s="0" t="s">
        <v>3101</v>
      </c>
      <c r="H64" s="0" t="s">
        <v>3068</v>
      </c>
      <c r="I64" s="0" t="n">
        <v>1904366</v>
      </c>
      <c r="J64" s="0" t="s">
        <v>3069</v>
      </c>
      <c r="M64" s="0" t="s">
        <v>2704</v>
      </c>
      <c r="N64" s="0" t="s">
        <v>137</v>
      </c>
      <c r="Q64" s="0" t="n">
        <v>1</v>
      </c>
      <c r="R64" s="0" t="n">
        <v>1</v>
      </c>
      <c r="U64" s="0" t="s">
        <v>3070</v>
      </c>
      <c r="V64" s="0" t="s">
        <v>3070</v>
      </c>
      <c r="Y64" s="0" t="s">
        <v>3071</v>
      </c>
      <c r="Z64" s="0" t="s">
        <v>3072</v>
      </c>
      <c r="AA64" s="0" t="s">
        <v>3137</v>
      </c>
      <c r="AC64" s="0" t="s">
        <v>3074</v>
      </c>
    </row>
    <row r="65" customFormat="false" ht="15" hidden="false" customHeight="false" outlineLevel="0" collapsed="false">
      <c r="A65" s="0" t="s">
        <v>3148</v>
      </c>
      <c r="B65" s="0" t="s">
        <v>136</v>
      </c>
      <c r="C65" s="0" t="s">
        <v>3136</v>
      </c>
      <c r="D65" s="0" t="n">
        <v>2013</v>
      </c>
      <c r="E65" s="0" t="s">
        <v>57</v>
      </c>
      <c r="F65" s="0" t="n">
        <v>329647</v>
      </c>
      <c r="G65" s="0" t="s">
        <v>3101</v>
      </c>
      <c r="H65" s="0" t="s">
        <v>3068</v>
      </c>
      <c r="I65" s="0" t="n">
        <v>329647</v>
      </c>
      <c r="J65" s="0" t="s">
        <v>3069</v>
      </c>
      <c r="M65" s="0" t="s">
        <v>2704</v>
      </c>
      <c r="N65" s="0" t="s">
        <v>137</v>
      </c>
      <c r="Q65" s="0" t="n">
        <v>1</v>
      </c>
      <c r="R65" s="0" t="n">
        <v>1</v>
      </c>
      <c r="U65" s="0" t="s">
        <v>3070</v>
      </c>
      <c r="V65" s="0" t="s">
        <v>3070</v>
      </c>
      <c r="Y65" s="0" t="s">
        <v>3071</v>
      </c>
      <c r="Z65" s="0" t="s">
        <v>3072</v>
      </c>
      <c r="AA65" s="0" t="s">
        <v>3137</v>
      </c>
      <c r="AC65" s="0" t="s">
        <v>3074</v>
      </c>
    </row>
    <row r="66" customFormat="false" ht="15" hidden="false" customHeight="false" outlineLevel="0" collapsed="false">
      <c r="A66" s="0" t="s">
        <v>3149</v>
      </c>
      <c r="B66" s="0" t="s">
        <v>136</v>
      </c>
      <c r="C66" s="0" t="s">
        <v>3136</v>
      </c>
      <c r="D66" s="0" t="n">
        <v>2013</v>
      </c>
      <c r="E66" s="0" t="s">
        <v>56</v>
      </c>
      <c r="F66" s="0" t="n">
        <v>1574719</v>
      </c>
      <c r="G66" s="0" t="s">
        <v>3101</v>
      </c>
      <c r="H66" s="0" t="s">
        <v>3068</v>
      </c>
      <c r="I66" s="0" t="n">
        <v>1574719</v>
      </c>
      <c r="J66" s="0" t="s">
        <v>3069</v>
      </c>
      <c r="M66" s="0" t="s">
        <v>2704</v>
      </c>
      <c r="N66" s="0" t="s">
        <v>137</v>
      </c>
      <c r="Q66" s="0" t="n">
        <v>1</v>
      </c>
      <c r="R66" s="0" t="n">
        <v>1</v>
      </c>
      <c r="U66" s="0" t="s">
        <v>3070</v>
      </c>
      <c r="V66" s="0" t="s">
        <v>3070</v>
      </c>
      <c r="Y66" s="0" t="s">
        <v>3071</v>
      </c>
      <c r="Z66" s="0" t="s">
        <v>3072</v>
      </c>
      <c r="AA66" s="0" t="s">
        <v>3137</v>
      </c>
      <c r="AC66" s="0" t="s">
        <v>3074</v>
      </c>
    </row>
    <row r="67" customFormat="false" ht="15" hidden="false" customHeight="false" outlineLevel="0" collapsed="false">
      <c r="A67" s="0" t="s">
        <v>3150</v>
      </c>
      <c r="B67" s="0" t="s">
        <v>136</v>
      </c>
      <c r="C67" s="0" t="s">
        <v>3136</v>
      </c>
      <c r="D67" s="0" t="n">
        <v>2014</v>
      </c>
      <c r="E67" s="0" t="s">
        <v>3066</v>
      </c>
      <c r="F67" s="0" t="n">
        <v>1439522</v>
      </c>
      <c r="G67" s="0" t="s">
        <v>3101</v>
      </c>
      <c r="H67" s="0" t="s">
        <v>3068</v>
      </c>
      <c r="I67" s="0" t="n">
        <v>1439522</v>
      </c>
      <c r="J67" s="0" t="s">
        <v>3069</v>
      </c>
      <c r="M67" s="0" t="s">
        <v>2704</v>
      </c>
      <c r="N67" s="0" t="s">
        <v>137</v>
      </c>
      <c r="Q67" s="0" t="n">
        <v>1</v>
      </c>
      <c r="R67" s="0" t="n">
        <v>1</v>
      </c>
      <c r="U67" s="0" t="s">
        <v>3087</v>
      </c>
      <c r="V67" s="0" t="s">
        <v>3087</v>
      </c>
      <c r="Y67" s="0" t="s">
        <v>3071</v>
      </c>
      <c r="Z67" s="0" t="s">
        <v>3072</v>
      </c>
      <c r="AA67" s="0" t="s">
        <v>3137</v>
      </c>
      <c r="AC67" s="0" t="s">
        <v>3074</v>
      </c>
    </row>
    <row r="68" customFormat="false" ht="15" hidden="false" customHeight="false" outlineLevel="0" collapsed="false">
      <c r="A68" s="0" t="s">
        <v>3151</v>
      </c>
      <c r="B68" s="0" t="s">
        <v>136</v>
      </c>
      <c r="C68" s="0" t="s">
        <v>3136</v>
      </c>
      <c r="D68" s="0" t="n">
        <v>2014</v>
      </c>
      <c r="E68" s="0" t="s">
        <v>1327</v>
      </c>
      <c r="F68" s="0" t="n">
        <v>249008</v>
      </c>
      <c r="G68" s="0" t="s">
        <v>3101</v>
      </c>
      <c r="H68" s="0" t="s">
        <v>3068</v>
      </c>
      <c r="I68" s="0" t="n">
        <v>249008</v>
      </c>
      <c r="J68" s="0" t="s">
        <v>3069</v>
      </c>
      <c r="M68" s="0" t="s">
        <v>2704</v>
      </c>
      <c r="N68" s="0" t="s">
        <v>137</v>
      </c>
      <c r="Q68" s="0" t="n">
        <v>1</v>
      </c>
      <c r="R68" s="0" t="n">
        <v>1</v>
      </c>
      <c r="U68" s="0" t="s">
        <v>3087</v>
      </c>
      <c r="V68" s="0" t="s">
        <v>3087</v>
      </c>
      <c r="Y68" s="0" t="s">
        <v>3071</v>
      </c>
      <c r="Z68" s="0" t="s">
        <v>3072</v>
      </c>
      <c r="AA68" s="0" t="s">
        <v>3137</v>
      </c>
      <c r="AC68" s="0" t="s">
        <v>3074</v>
      </c>
    </row>
    <row r="69" customFormat="false" ht="15" hidden="false" customHeight="false" outlineLevel="0" collapsed="false">
      <c r="A69" s="0" t="s">
        <v>3152</v>
      </c>
      <c r="B69" s="0" t="s">
        <v>136</v>
      </c>
      <c r="C69" s="0" t="s">
        <v>3136</v>
      </c>
      <c r="D69" s="0" t="n">
        <v>2014</v>
      </c>
      <c r="E69" s="0" t="s">
        <v>307</v>
      </c>
      <c r="F69" s="0" t="n">
        <v>6184</v>
      </c>
      <c r="G69" s="0" t="s">
        <v>3101</v>
      </c>
      <c r="H69" s="0" t="s">
        <v>3068</v>
      </c>
      <c r="I69" s="0" t="n">
        <v>6184</v>
      </c>
      <c r="J69" s="0" t="s">
        <v>3069</v>
      </c>
      <c r="M69" s="0" t="s">
        <v>2704</v>
      </c>
      <c r="N69" s="0" t="s">
        <v>137</v>
      </c>
      <c r="Q69" s="0" t="n">
        <v>1</v>
      </c>
      <c r="R69" s="0" t="n">
        <v>1</v>
      </c>
      <c r="U69" s="0" t="s">
        <v>3087</v>
      </c>
      <c r="V69" s="0" t="s">
        <v>3087</v>
      </c>
      <c r="Y69" s="0" t="s">
        <v>3071</v>
      </c>
      <c r="Z69" s="0" t="s">
        <v>3072</v>
      </c>
      <c r="AA69" s="0" t="s">
        <v>3137</v>
      </c>
      <c r="AC69" s="0" t="s">
        <v>3074</v>
      </c>
    </row>
    <row r="70" customFormat="false" ht="15" hidden="false" customHeight="false" outlineLevel="0" collapsed="false">
      <c r="A70" s="0" t="s">
        <v>3153</v>
      </c>
      <c r="B70" s="0" t="s">
        <v>136</v>
      </c>
      <c r="C70" s="0" t="s">
        <v>3136</v>
      </c>
      <c r="D70" s="0" t="n">
        <v>2014</v>
      </c>
      <c r="E70" s="0" t="s">
        <v>1038</v>
      </c>
      <c r="F70" s="0" t="n">
        <v>274</v>
      </c>
      <c r="G70" s="0" t="s">
        <v>3101</v>
      </c>
      <c r="H70" s="0" t="s">
        <v>3068</v>
      </c>
      <c r="I70" s="0" t="n">
        <v>274</v>
      </c>
      <c r="J70" s="0" t="s">
        <v>3069</v>
      </c>
      <c r="M70" s="0" t="s">
        <v>2704</v>
      </c>
      <c r="N70" s="0" t="s">
        <v>137</v>
      </c>
      <c r="Q70" s="0" t="n">
        <v>1</v>
      </c>
      <c r="R70" s="0" t="n">
        <v>1</v>
      </c>
      <c r="U70" s="0" t="s">
        <v>3087</v>
      </c>
      <c r="V70" s="0" t="s">
        <v>3087</v>
      </c>
      <c r="Y70" s="0" t="s">
        <v>3071</v>
      </c>
      <c r="Z70" s="0" t="s">
        <v>3072</v>
      </c>
      <c r="AA70" s="0" t="s">
        <v>3137</v>
      </c>
      <c r="AC70" s="0" t="s">
        <v>3074</v>
      </c>
    </row>
    <row r="71" customFormat="false" ht="15" hidden="false" customHeight="false" outlineLevel="0" collapsed="false">
      <c r="A71" s="0" t="s">
        <v>3154</v>
      </c>
      <c r="B71" s="0" t="s">
        <v>136</v>
      </c>
      <c r="C71" s="0" t="s">
        <v>3136</v>
      </c>
      <c r="D71" s="0" t="n">
        <v>2014</v>
      </c>
      <c r="E71" s="0" t="s">
        <v>64</v>
      </c>
      <c r="F71" s="0" t="n">
        <v>32616</v>
      </c>
      <c r="G71" s="0" t="s">
        <v>3101</v>
      </c>
      <c r="H71" s="0" t="s">
        <v>3068</v>
      </c>
      <c r="I71" s="0" t="n">
        <v>32616</v>
      </c>
      <c r="J71" s="0" t="s">
        <v>3069</v>
      </c>
      <c r="M71" s="0" t="s">
        <v>2704</v>
      </c>
      <c r="N71" s="0" t="s">
        <v>137</v>
      </c>
      <c r="Q71" s="0" t="n">
        <v>1</v>
      </c>
      <c r="R71" s="0" t="n">
        <v>1</v>
      </c>
      <c r="U71" s="0" t="s">
        <v>3087</v>
      </c>
      <c r="V71" s="0" t="s">
        <v>3087</v>
      </c>
      <c r="Y71" s="0" t="s">
        <v>3071</v>
      </c>
      <c r="Z71" s="0" t="s">
        <v>3072</v>
      </c>
      <c r="AA71" s="0" t="s">
        <v>3137</v>
      </c>
      <c r="AC71" s="0" t="s">
        <v>3074</v>
      </c>
    </row>
    <row r="72" customFormat="false" ht="15" hidden="false" customHeight="false" outlineLevel="0" collapsed="false">
      <c r="A72" s="0" t="s">
        <v>3155</v>
      </c>
      <c r="B72" s="0" t="s">
        <v>136</v>
      </c>
      <c r="C72" s="0" t="s">
        <v>3136</v>
      </c>
      <c r="D72" s="0" t="n">
        <v>2014</v>
      </c>
      <c r="E72" s="0" t="s">
        <v>327</v>
      </c>
      <c r="F72" s="0" t="n">
        <v>2.7</v>
      </c>
      <c r="G72" s="0" t="s">
        <v>3143</v>
      </c>
      <c r="I72" s="0" t="n">
        <v>2.7</v>
      </c>
      <c r="J72" s="0" t="s">
        <v>3069</v>
      </c>
      <c r="M72" s="0" t="s">
        <v>2704</v>
      </c>
      <c r="N72" s="0" t="s">
        <v>137</v>
      </c>
      <c r="Q72" s="0" t="n">
        <v>1</v>
      </c>
      <c r="R72" s="0" t="n">
        <v>1</v>
      </c>
      <c r="U72" s="0" t="s">
        <v>3087</v>
      </c>
      <c r="V72" s="0" t="s">
        <v>3087</v>
      </c>
      <c r="Y72" s="0" t="s">
        <v>3071</v>
      </c>
      <c r="Z72" s="0" t="s">
        <v>3072</v>
      </c>
      <c r="AA72" s="0" t="s">
        <v>3144</v>
      </c>
      <c r="AC72" s="0" t="s">
        <v>3074</v>
      </c>
    </row>
    <row r="73" customFormat="false" ht="15" hidden="false" customHeight="false" outlineLevel="0" collapsed="false">
      <c r="A73" s="0" t="s">
        <v>3156</v>
      </c>
      <c r="B73" s="0" t="s">
        <v>136</v>
      </c>
      <c r="C73" s="0" t="s">
        <v>3136</v>
      </c>
      <c r="D73" s="0" t="n">
        <v>2014</v>
      </c>
      <c r="E73" s="0" t="s">
        <v>62</v>
      </c>
      <c r="F73" s="0" t="n">
        <v>1182394</v>
      </c>
      <c r="G73" s="0" t="s">
        <v>3101</v>
      </c>
      <c r="H73" s="0" t="s">
        <v>3068</v>
      </c>
      <c r="I73" s="0" t="n">
        <v>1182394</v>
      </c>
      <c r="J73" s="0" t="s">
        <v>3069</v>
      </c>
      <c r="M73" s="0" t="s">
        <v>2704</v>
      </c>
      <c r="N73" s="0" t="s">
        <v>137</v>
      </c>
      <c r="Q73" s="0" t="n">
        <v>1</v>
      </c>
      <c r="R73" s="0" t="n">
        <v>1</v>
      </c>
      <c r="U73" s="0" t="s">
        <v>3087</v>
      </c>
      <c r="V73" s="0" t="s">
        <v>3087</v>
      </c>
      <c r="Y73" s="0" t="s">
        <v>3071</v>
      </c>
      <c r="Z73" s="0" t="s">
        <v>3072</v>
      </c>
      <c r="AA73" s="0" t="s">
        <v>3137</v>
      </c>
      <c r="AC73" s="0" t="s">
        <v>3074</v>
      </c>
    </row>
    <row r="74" customFormat="false" ht="15" hidden="false" customHeight="false" outlineLevel="0" collapsed="false">
      <c r="A74" s="0" t="s">
        <v>3157</v>
      </c>
      <c r="B74" s="0" t="s">
        <v>136</v>
      </c>
      <c r="C74" s="0" t="s">
        <v>3136</v>
      </c>
      <c r="D74" s="0" t="n">
        <v>2014</v>
      </c>
      <c r="E74" s="0" t="s">
        <v>54</v>
      </c>
      <c r="F74" s="0" t="n">
        <v>93432</v>
      </c>
      <c r="G74" s="0" t="s">
        <v>3101</v>
      </c>
      <c r="H74" s="0" t="s">
        <v>3068</v>
      </c>
      <c r="I74" s="0" t="n">
        <v>93432</v>
      </c>
      <c r="J74" s="0" t="s">
        <v>3069</v>
      </c>
      <c r="M74" s="0" t="s">
        <v>2704</v>
      </c>
      <c r="N74" s="0" t="s">
        <v>137</v>
      </c>
      <c r="Q74" s="0" t="n">
        <v>1</v>
      </c>
      <c r="R74" s="0" t="n">
        <v>1</v>
      </c>
      <c r="U74" s="0" t="s">
        <v>3087</v>
      </c>
      <c r="V74" s="0" t="s">
        <v>3087</v>
      </c>
      <c r="Y74" s="0" t="s">
        <v>3071</v>
      </c>
      <c r="Z74" s="0" t="s">
        <v>3072</v>
      </c>
      <c r="AA74" s="0" t="s">
        <v>3137</v>
      </c>
      <c r="AC74" s="0" t="s">
        <v>3074</v>
      </c>
    </row>
    <row r="75" customFormat="false" ht="15" hidden="false" customHeight="false" outlineLevel="0" collapsed="false">
      <c r="A75" s="0" t="s">
        <v>3158</v>
      </c>
      <c r="B75" s="0" t="s">
        <v>136</v>
      </c>
      <c r="C75" s="0" t="s">
        <v>3136</v>
      </c>
      <c r="D75" s="0" t="n">
        <v>2014</v>
      </c>
      <c r="E75" s="0" t="s">
        <v>55</v>
      </c>
      <c r="F75" s="0" t="n">
        <v>2126608</v>
      </c>
      <c r="G75" s="0" t="s">
        <v>3101</v>
      </c>
      <c r="H75" s="0" t="s">
        <v>3068</v>
      </c>
      <c r="I75" s="0" t="n">
        <v>2126608</v>
      </c>
      <c r="J75" s="0" t="s">
        <v>3069</v>
      </c>
      <c r="M75" s="0" t="s">
        <v>2704</v>
      </c>
      <c r="N75" s="0" t="s">
        <v>137</v>
      </c>
      <c r="Q75" s="0" t="n">
        <v>1</v>
      </c>
      <c r="R75" s="0" t="n">
        <v>1</v>
      </c>
      <c r="U75" s="0" t="s">
        <v>3087</v>
      </c>
      <c r="V75" s="0" t="s">
        <v>3087</v>
      </c>
      <c r="Y75" s="0" t="s">
        <v>3071</v>
      </c>
      <c r="Z75" s="0" t="s">
        <v>3072</v>
      </c>
      <c r="AA75" s="0" t="s">
        <v>3137</v>
      </c>
      <c r="AC75" s="0" t="s">
        <v>3074</v>
      </c>
    </row>
    <row r="76" customFormat="false" ht="15" hidden="false" customHeight="false" outlineLevel="0" collapsed="false">
      <c r="A76" s="0" t="s">
        <v>3159</v>
      </c>
      <c r="B76" s="0" t="s">
        <v>136</v>
      </c>
      <c r="C76" s="0" t="s">
        <v>3136</v>
      </c>
      <c r="D76" s="0" t="n">
        <v>2014</v>
      </c>
      <c r="E76" s="0" t="s">
        <v>57</v>
      </c>
      <c r="F76" s="0" t="n">
        <v>369530</v>
      </c>
      <c r="G76" s="0" t="s">
        <v>3101</v>
      </c>
      <c r="H76" s="0" t="s">
        <v>3068</v>
      </c>
      <c r="I76" s="0" t="n">
        <v>369530</v>
      </c>
      <c r="J76" s="0" t="s">
        <v>3069</v>
      </c>
      <c r="M76" s="0" t="s">
        <v>2704</v>
      </c>
      <c r="N76" s="0" t="s">
        <v>137</v>
      </c>
      <c r="Q76" s="0" t="n">
        <v>1</v>
      </c>
      <c r="R76" s="0" t="n">
        <v>1</v>
      </c>
      <c r="U76" s="0" t="s">
        <v>3087</v>
      </c>
      <c r="V76" s="0" t="s">
        <v>3087</v>
      </c>
      <c r="Y76" s="0" t="s">
        <v>3071</v>
      </c>
      <c r="Z76" s="0" t="s">
        <v>3072</v>
      </c>
      <c r="AA76" s="0" t="s">
        <v>3137</v>
      </c>
      <c r="AC76" s="0" t="s">
        <v>3074</v>
      </c>
    </row>
    <row r="77" customFormat="false" ht="15" hidden="false" customHeight="false" outlineLevel="0" collapsed="false">
      <c r="A77" s="0" t="s">
        <v>3160</v>
      </c>
      <c r="B77" s="0" t="s">
        <v>136</v>
      </c>
      <c r="C77" s="0" t="s">
        <v>3136</v>
      </c>
      <c r="D77" s="0" t="n">
        <v>2014</v>
      </c>
      <c r="E77" s="0" t="s">
        <v>56</v>
      </c>
      <c r="F77" s="0" t="n">
        <v>1757078</v>
      </c>
      <c r="G77" s="0" t="s">
        <v>3101</v>
      </c>
      <c r="H77" s="0" t="s">
        <v>3068</v>
      </c>
      <c r="I77" s="0" t="n">
        <v>1757078</v>
      </c>
      <c r="J77" s="0" t="s">
        <v>3069</v>
      </c>
      <c r="M77" s="0" t="s">
        <v>2704</v>
      </c>
      <c r="N77" s="0" t="s">
        <v>137</v>
      </c>
      <c r="Q77" s="0" t="n">
        <v>1</v>
      </c>
      <c r="R77" s="0" t="n">
        <v>1</v>
      </c>
      <c r="U77" s="0" t="s">
        <v>3087</v>
      </c>
      <c r="V77" s="0" t="s">
        <v>3087</v>
      </c>
      <c r="Y77" s="0" t="s">
        <v>3071</v>
      </c>
      <c r="Z77" s="0" t="s">
        <v>3072</v>
      </c>
      <c r="AA77" s="0" t="s">
        <v>3137</v>
      </c>
      <c r="AC77" s="0" t="s">
        <v>3074</v>
      </c>
    </row>
    <row r="78" customFormat="false" ht="15" hidden="false" customHeight="false" outlineLevel="0" collapsed="false">
      <c r="A78" s="0" t="s">
        <v>3161</v>
      </c>
      <c r="B78" s="0" t="s">
        <v>115</v>
      </c>
      <c r="C78" s="0" t="s">
        <v>3162</v>
      </c>
      <c r="D78" s="0" t="n">
        <v>2013</v>
      </c>
      <c r="E78" s="0" t="s">
        <v>69</v>
      </c>
      <c r="F78" s="0" t="n">
        <v>26</v>
      </c>
      <c r="G78" s="0" t="s">
        <v>3143</v>
      </c>
      <c r="I78" s="0" t="n">
        <v>26</v>
      </c>
      <c r="J78" s="0" t="s">
        <v>3069</v>
      </c>
      <c r="M78" s="0" t="s">
        <v>2689</v>
      </c>
      <c r="N78" s="0" t="s">
        <v>116</v>
      </c>
      <c r="Q78" s="0" t="n">
        <v>112</v>
      </c>
      <c r="R78" s="0" t="n">
        <v>112</v>
      </c>
      <c r="U78" s="0" t="s">
        <v>3163</v>
      </c>
      <c r="V78" s="0" t="s">
        <v>3163</v>
      </c>
      <c r="Y78" s="0" t="s">
        <v>3071</v>
      </c>
      <c r="Z78" s="0" t="s">
        <v>3072</v>
      </c>
      <c r="AA78" s="0" t="s">
        <v>3164</v>
      </c>
      <c r="AC78" s="0" t="s">
        <v>3074</v>
      </c>
    </row>
    <row r="79" customFormat="false" ht="15" hidden="false" customHeight="false" outlineLevel="0" collapsed="false">
      <c r="A79" s="0" t="s">
        <v>3165</v>
      </c>
      <c r="B79" s="0" t="s">
        <v>115</v>
      </c>
      <c r="C79" s="0" t="s">
        <v>3162</v>
      </c>
      <c r="D79" s="0" t="n">
        <v>2013</v>
      </c>
      <c r="E79" s="0" t="s">
        <v>545</v>
      </c>
      <c r="F79" s="0" t="n">
        <v>6503</v>
      </c>
      <c r="G79" s="0" t="s">
        <v>3101</v>
      </c>
      <c r="H79" s="0" t="s">
        <v>3068</v>
      </c>
      <c r="I79" s="0" t="n">
        <v>6503</v>
      </c>
      <c r="J79" s="0" t="s">
        <v>3069</v>
      </c>
      <c r="M79" s="0" t="s">
        <v>2689</v>
      </c>
      <c r="N79" s="0" t="s">
        <v>116</v>
      </c>
      <c r="Q79" s="0" t="n">
        <v>119</v>
      </c>
      <c r="R79" s="0" t="n">
        <v>119</v>
      </c>
      <c r="U79" s="0" t="s">
        <v>3163</v>
      </c>
      <c r="V79" s="0" t="s">
        <v>3163</v>
      </c>
      <c r="Y79" s="0" t="s">
        <v>3071</v>
      </c>
      <c r="Z79" s="0" t="s">
        <v>3072</v>
      </c>
      <c r="AA79" s="0" t="s">
        <v>3166</v>
      </c>
      <c r="AC79" s="0" t="s">
        <v>3074</v>
      </c>
    </row>
    <row r="80" customFormat="false" ht="15" hidden="false" customHeight="false" outlineLevel="0" collapsed="false">
      <c r="A80" s="0" t="s">
        <v>3167</v>
      </c>
      <c r="B80" s="0" t="s">
        <v>115</v>
      </c>
      <c r="C80" s="0" t="s">
        <v>3162</v>
      </c>
      <c r="D80" s="0" t="n">
        <v>2013</v>
      </c>
      <c r="E80" s="0" t="s">
        <v>3066</v>
      </c>
      <c r="F80" s="0" t="n">
        <v>806320</v>
      </c>
      <c r="G80" s="0" t="s">
        <v>3101</v>
      </c>
      <c r="H80" s="0" t="s">
        <v>3068</v>
      </c>
      <c r="I80" s="0" t="n">
        <v>806320</v>
      </c>
      <c r="J80" s="0" t="s">
        <v>3069</v>
      </c>
      <c r="M80" s="0" t="s">
        <v>2689</v>
      </c>
      <c r="N80" s="0" t="s">
        <v>116</v>
      </c>
      <c r="Q80" s="0" t="n">
        <v>68</v>
      </c>
      <c r="R80" s="0" t="n">
        <v>68</v>
      </c>
      <c r="U80" s="0" t="s">
        <v>3163</v>
      </c>
      <c r="V80" s="0" t="s">
        <v>3163</v>
      </c>
      <c r="Y80" s="0" t="s">
        <v>3071</v>
      </c>
      <c r="Z80" s="0" t="s">
        <v>3072</v>
      </c>
      <c r="AA80" s="0" t="s">
        <v>3168</v>
      </c>
      <c r="AC80" s="0" t="s">
        <v>3074</v>
      </c>
    </row>
    <row r="81" customFormat="false" ht="15" hidden="false" customHeight="false" outlineLevel="0" collapsed="false">
      <c r="A81" s="0" t="s">
        <v>3169</v>
      </c>
      <c r="B81" s="0" t="s">
        <v>115</v>
      </c>
      <c r="C81" s="0" t="s">
        <v>3162</v>
      </c>
      <c r="D81" s="0" t="n">
        <v>2013</v>
      </c>
      <c r="E81" s="0" t="s">
        <v>60</v>
      </c>
      <c r="F81" s="0" t="n">
        <v>442649</v>
      </c>
      <c r="G81" s="0" t="s">
        <v>3101</v>
      </c>
      <c r="H81" s="0" t="s">
        <v>3068</v>
      </c>
      <c r="I81" s="0" t="n">
        <v>442649</v>
      </c>
      <c r="J81" s="0" t="s">
        <v>3069</v>
      </c>
      <c r="M81" s="0" t="s">
        <v>2689</v>
      </c>
      <c r="N81" s="0" t="s">
        <v>116</v>
      </c>
      <c r="Q81" s="0" t="n">
        <v>119</v>
      </c>
      <c r="R81" s="0" t="n">
        <v>119</v>
      </c>
      <c r="U81" s="0" t="s">
        <v>3163</v>
      </c>
      <c r="V81" s="0" t="s">
        <v>3163</v>
      </c>
      <c r="Y81" s="0" t="s">
        <v>3071</v>
      </c>
      <c r="Z81" s="0" t="s">
        <v>3072</v>
      </c>
      <c r="AA81" s="0" t="s">
        <v>3166</v>
      </c>
      <c r="AC81" s="0" t="s">
        <v>3074</v>
      </c>
    </row>
    <row r="82" customFormat="false" ht="15" hidden="false" customHeight="false" outlineLevel="0" collapsed="false">
      <c r="A82" s="0" t="s">
        <v>3170</v>
      </c>
      <c r="B82" s="0" t="s">
        <v>115</v>
      </c>
      <c r="C82" s="0" t="s">
        <v>3162</v>
      </c>
      <c r="D82" s="0" t="n">
        <v>2013</v>
      </c>
      <c r="E82" s="0" t="s">
        <v>1327</v>
      </c>
      <c r="F82" s="0" t="n">
        <v>126918</v>
      </c>
      <c r="G82" s="0" t="s">
        <v>3101</v>
      </c>
      <c r="H82" s="0" t="s">
        <v>3068</v>
      </c>
      <c r="I82" s="0" t="n">
        <v>126918</v>
      </c>
      <c r="J82" s="0" t="s">
        <v>3069</v>
      </c>
      <c r="M82" s="0" t="s">
        <v>2689</v>
      </c>
      <c r="N82" s="0" t="s">
        <v>116</v>
      </c>
      <c r="Q82" s="0" t="n">
        <v>66</v>
      </c>
      <c r="R82" s="0" t="n">
        <v>66</v>
      </c>
      <c r="U82" s="0" t="s">
        <v>3163</v>
      </c>
      <c r="V82" s="0" t="s">
        <v>3163</v>
      </c>
      <c r="Y82" s="0" t="s">
        <v>3071</v>
      </c>
      <c r="Z82" s="0" t="s">
        <v>3072</v>
      </c>
      <c r="AA82" s="0" t="s">
        <v>3168</v>
      </c>
      <c r="AC82" s="0" t="s">
        <v>3074</v>
      </c>
    </row>
    <row r="83" customFormat="false" ht="15" hidden="false" customHeight="false" outlineLevel="0" collapsed="false">
      <c r="A83" s="0" t="s">
        <v>3171</v>
      </c>
      <c r="B83" s="0" t="s">
        <v>115</v>
      </c>
      <c r="C83" s="0" t="s">
        <v>3162</v>
      </c>
      <c r="D83" s="0" t="n">
        <v>2013</v>
      </c>
      <c r="E83" s="0" t="s">
        <v>307</v>
      </c>
      <c r="F83" s="0" t="n">
        <v>3190</v>
      </c>
      <c r="G83" s="0" t="s">
        <v>3101</v>
      </c>
      <c r="H83" s="0" t="s">
        <v>3068</v>
      </c>
      <c r="I83" s="0" t="n">
        <v>3190</v>
      </c>
      <c r="J83" s="0" t="s">
        <v>3069</v>
      </c>
      <c r="M83" s="0" t="s">
        <v>2689</v>
      </c>
      <c r="N83" s="0" t="s">
        <v>116</v>
      </c>
      <c r="Q83" s="0" t="n">
        <v>119</v>
      </c>
      <c r="R83" s="0" t="n">
        <v>119</v>
      </c>
      <c r="U83" s="0" t="s">
        <v>3163</v>
      </c>
      <c r="V83" s="0" t="s">
        <v>3163</v>
      </c>
      <c r="Y83" s="0" t="s">
        <v>3071</v>
      </c>
      <c r="Z83" s="0" t="s">
        <v>3072</v>
      </c>
      <c r="AA83" s="0" t="s">
        <v>3172</v>
      </c>
      <c r="AC83" s="0" t="s">
        <v>3074</v>
      </c>
    </row>
    <row r="84" customFormat="false" ht="15" hidden="false" customHeight="false" outlineLevel="0" collapsed="false">
      <c r="A84" s="0" t="s">
        <v>3173</v>
      </c>
      <c r="B84" s="0" t="s">
        <v>115</v>
      </c>
      <c r="C84" s="0" t="s">
        <v>3162</v>
      </c>
      <c r="D84" s="0" t="n">
        <v>2013</v>
      </c>
      <c r="E84" s="0" t="s">
        <v>63</v>
      </c>
      <c r="F84" s="0" t="n">
        <v>7630</v>
      </c>
      <c r="G84" s="0" t="s">
        <v>3101</v>
      </c>
      <c r="H84" s="0" t="s">
        <v>3068</v>
      </c>
      <c r="I84" s="0" t="n">
        <v>7630</v>
      </c>
      <c r="J84" s="0" t="s">
        <v>3069</v>
      </c>
      <c r="M84" s="0" t="s">
        <v>2689</v>
      </c>
      <c r="N84" s="0" t="s">
        <v>116</v>
      </c>
      <c r="Q84" s="0" t="n">
        <v>66</v>
      </c>
      <c r="R84" s="0" t="n">
        <v>66</v>
      </c>
      <c r="U84" s="0" t="s">
        <v>3163</v>
      </c>
      <c r="V84" s="0" t="s">
        <v>3163</v>
      </c>
      <c r="Y84" s="0" t="s">
        <v>3071</v>
      </c>
      <c r="Z84" s="0" t="s">
        <v>3072</v>
      </c>
      <c r="AA84" s="0" t="s">
        <v>3168</v>
      </c>
      <c r="AC84" s="0" t="s">
        <v>3074</v>
      </c>
    </row>
    <row r="85" customFormat="false" ht="15" hidden="false" customHeight="false" outlineLevel="0" collapsed="false">
      <c r="A85" s="0" t="s">
        <v>3174</v>
      </c>
      <c r="B85" s="0" t="s">
        <v>115</v>
      </c>
      <c r="C85" s="0" t="s">
        <v>3162</v>
      </c>
      <c r="D85" s="0" t="n">
        <v>2013</v>
      </c>
      <c r="E85" s="0" t="s">
        <v>543</v>
      </c>
      <c r="F85" s="0" t="n">
        <v>10070</v>
      </c>
      <c r="G85" s="0" t="s">
        <v>3101</v>
      </c>
      <c r="H85" s="0" t="s">
        <v>3068</v>
      </c>
      <c r="I85" s="0" t="n">
        <v>10070</v>
      </c>
      <c r="J85" s="0" t="s">
        <v>3069</v>
      </c>
      <c r="M85" s="0" t="s">
        <v>2689</v>
      </c>
      <c r="N85" s="0" t="s">
        <v>116</v>
      </c>
      <c r="Q85" s="0" t="n">
        <v>119</v>
      </c>
      <c r="R85" s="0" t="n">
        <v>119</v>
      </c>
      <c r="U85" s="0" t="s">
        <v>3163</v>
      </c>
      <c r="V85" s="0" t="s">
        <v>3163</v>
      </c>
      <c r="Y85" s="0" t="s">
        <v>3071</v>
      </c>
      <c r="Z85" s="0" t="s">
        <v>3072</v>
      </c>
      <c r="AA85" s="0" t="s">
        <v>3166</v>
      </c>
      <c r="AC85" s="0" t="s">
        <v>3074</v>
      </c>
    </row>
    <row r="86" customFormat="false" ht="15" hidden="false" customHeight="false" outlineLevel="0" collapsed="false">
      <c r="A86" s="0" t="s">
        <v>3175</v>
      </c>
      <c r="B86" s="0" t="s">
        <v>115</v>
      </c>
      <c r="C86" s="0" t="s">
        <v>3162</v>
      </c>
      <c r="D86" s="0" t="n">
        <v>2013</v>
      </c>
      <c r="E86" s="0" t="s">
        <v>61</v>
      </c>
      <c r="F86" s="0" t="n">
        <v>16573</v>
      </c>
      <c r="G86" s="0" t="s">
        <v>3101</v>
      </c>
      <c r="H86" s="0" t="s">
        <v>3068</v>
      </c>
      <c r="I86" s="0" t="n">
        <v>16573</v>
      </c>
      <c r="J86" s="0" t="s">
        <v>3069</v>
      </c>
      <c r="M86" s="0" t="s">
        <v>2689</v>
      </c>
      <c r="N86" s="0" t="s">
        <v>116</v>
      </c>
      <c r="Q86" s="0" t="n">
        <v>119</v>
      </c>
      <c r="R86" s="0" t="n">
        <v>119</v>
      </c>
      <c r="U86" s="0" t="s">
        <v>3163</v>
      </c>
      <c r="V86" s="0" t="s">
        <v>3163</v>
      </c>
      <c r="Y86" s="0" t="s">
        <v>3071</v>
      </c>
      <c r="Z86" s="0" t="s">
        <v>3072</v>
      </c>
      <c r="AA86" s="0" t="s">
        <v>3166</v>
      </c>
      <c r="AC86" s="0" t="s">
        <v>3074</v>
      </c>
    </row>
    <row r="87" customFormat="false" ht="15" hidden="false" customHeight="false" outlineLevel="0" collapsed="false">
      <c r="A87" s="0" t="s">
        <v>3176</v>
      </c>
      <c r="B87" s="0" t="s">
        <v>115</v>
      </c>
      <c r="C87" s="0" t="s">
        <v>3162</v>
      </c>
      <c r="D87" s="0" t="n">
        <v>2013</v>
      </c>
      <c r="E87" s="0" t="s">
        <v>62</v>
      </c>
      <c r="F87" s="0" t="n">
        <v>426076</v>
      </c>
      <c r="G87" s="0" t="s">
        <v>3101</v>
      </c>
      <c r="H87" s="0" t="s">
        <v>3068</v>
      </c>
      <c r="I87" s="0" t="n">
        <v>426076</v>
      </c>
      <c r="J87" s="0" t="s">
        <v>3069</v>
      </c>
      <c r="M87" s="0" t="s">
        <v>2689</v>
      </c>
      <c r="N87" s="0" t="s">
        <v>116</v>
      </c>
      <c r="Q87" s="0" t="n">
        <v>68</v>
      </c>
      <c r="R87" s="0" t="n">
        <v>68</v>
      </c>
      <c r="U87" s="0" t="s">
        <v>3163</v>
      </c>
      <c r="V87" s="0" t="s">
        <v>3163</v>
      </c>
      <c r="Y87" s="0" t="s">
        <v>3071</v>
      </c>
      <c r="Z87" s="0" t="s">
        <v>3072</v>
      </c>
      <c r="AA87" s="0" t="s">
        <v>3168</v>
      </c>
      <c r="AC87" s="0" t="s">
        <v>3074</v>
      </c>
    </row>
    <row r="88" customFormat="false" ht="15" hidden="false" customHeight="false" outlineLevel="0" collapsed="false">
      <c r="A88" s="0" t="s">
        <v>3177</v>
      </c>
      <c r="B88" s="0" t="s">
        <v>115</v>
      </c>
      <c r="C88" s="0" t="s">
        <v>3162</v>
      </c>
      <c r="D88" s="0" t="n">
        <v>2013</v>
      </c>
      <c r="E88" s="0" t="s">
        <v>59</v>
      </c>
      <c r="F88" s="0" t="n">
        <v>914360</v>
      </c>
      <c r="G88" s="0" t="s">
        <v>3101</v>
      </c>
      <c r="H88" s="0" t="s">
        <v>3068</v>
      </c>
      <c r="I88" s="0" t="n">
        <v>914360</v>
      </c>
      <c r="J88" s="0" t="s">
        <v>3069</v>
      </c>
      <c r="M88" s="0" t="s">
        <v>2689</v>
      </c>
      <c r="N88" s="0" t="s">
        <v>116</v>
      </c>
      <c r="Q88" s="0" t="n">
        <v>68</v>
      </c>
      <c r="R88" s="0" t="n">
        <v>68</v>
      </c>
      <c r="U88" s="0" t="s">
        <v>3163</v>
      </c>
      <c r="V88" s="0" t="s">
        <v>3163</v>
      </c>
      <c r="Y88" s="0" t="s">
        <v>3071</v>
      </c>
      <c r="Z88" s="0" t="s">
        <v>3072</v>
      </c>
      <c r="AA88" s="0" t="s">
        <v>3168</v>
      </c>
      <c r="AC88" s="0" t="s">
        <v>3074</v>
      </c>
    </row>
    <row r="89" customFormat="false" ht="15" hidden="false" customHeight="false" outlineLevel="0" collapsed="false">
      <c r="A89" s="0" t="s">
        <v>3178</v>
      </c>
      <c r="B89" s="0" t="s">
        <v>115</v>
      </c>
      <c r="C89" s="0" t="s">
        <v>3162</v>
      </c>
      <c r="D89" s="0" t="n">
        <v>2013</v>
      </c>
      <c r="E89" s="0" t="s">
        <v>58</v>
      </c>
      <c r="F89" s="0" t="n">
        <v>15048</v>
      </c>
      <c r="G89" s="0" t="s">
        <v>3101</v>
      </c>
      <c r="H89" s="0" t="s">
        <v>3068</v>
      </c>
      <c r="I89" s="0" t="n">
        <v>15048</v>
      </c>
      <c r="J89" s="0" t="s">
        <v>3069</v>
      </c>
      <c r="M89" s="0" t="s">
        <v>2689</v>
      </c>
      <c r="N89" s="0" t="s">
        <v>116</v>
      </c>
      <c r="Q89" s="0" t="n">
        <v>70</v>
      </c>
      <c r="R89" s="0" t="n">
        <v>70</v>
      </c>
      <c r="U89" s="0" t="s">
        <v>3163</v>
      </c>
      <c r="V89" s="0" t="s">
        <v>3163</v>
      </c>
      <c r="Y89" s="0" t="s">
        <v>3071</v>
      </c>
      <c r="Z89" s="0" t="s">
        <v>3072</v>
      </c>
      <c r="AA89" s="0" t="s">
        <v>3168</v>
      </c>
      <c r="AC89" s="0" t="s">
        <v>3074</v>
      </c>
    </row>
    <row r="90" customFormat="false" ht="15" hidden="false" customHeight="false" outlineLevel="0" collapsed="false">
      <c r="A90" s="0" t="s">
        <v>3179</v>
      </c>
      <c r="B90" s="0" t="s">
        <v>115</v>
      </c>
      <c r="C90" s="0" t="s">
        <v>3162</v>
      </c>
      <c r="D90" s="0" t="n">
        <v>2013</v>
      </c>
      <c r="E90" s="0" t="s">
        <v>54</v>
      </c>
      <c r="F90" s="0" t="n">
        <v>7721</v>
      </c>
      <c r="G90" s="0" t="s">
        <v>3101</v>
      </c>
      <c r="H90" s="0" t="s">
        <v>3068</v>
      </c>
      <c r="I90" s="0" t="n">
        <v>7721</v>
      </c>
      <c r="J90" s="0" t="s">
        <v>3069</v>
      </c>
      <c r="M90" s="0" t="s">
        <v>2689</v>
      </c>
      <c r="N90" s="0" t="s">
        <v>116</v>
      </c>
      <c r="Q90" s="0" t="n">
        <v>66</v>
      </c>
      <c r="R90" s="0" t="n">
        <v>66</v>
      </c>
      <c r="U90" s="0" t="s">
        <v>3163</v>
      </c>
      <c r="V90" s="0" t="s">
        <v>3163</v>
      </c>
      <c r="Y90" s="0" t="s">
        <v>3071</v>
      </c>
      <c r="Z90" s="0" t="s">
        <v>3072</v>
      </c>
      <c r="AA90" s="0" t="s">
        <v>3168</v>
      </c>
      <c r="AC90" s="0" t="s">
        <v>3074</v>
      </c>
    </row>
    <row r="91" customFormat="false" ht="15" hidden="false" customHeight="false" outlineLevel="0" collapsed="false">
      <c r="A91" s="0" t="s">
        <v>3180</v>
      </c>
      <c r="B91" s="0" t="s">
        <v>115</v>
      </c>
      <c r="C91" s="0" t="s">
        <v>3162</v>
      </c>
      <c r="D91" s="0" t="n">
        <v>2013</v>
      </c>
      <c r="E91" s="0" t="s">
        <v>65</v>
      </c>
      <c r="F91" s="0" t="n">
        <v>163454</v>
      </c>
      <c r="G91" s="0" t="s">
        <v>3101</v>
      </c>
      <c r="H91" s="0" t="s">
        <v>3068</v>
      </c>
      <c r="I91" s="0" t="n">
        <v>163454</v>
      </c>
      <c r="J91" s="0" t="s">
        <v>3069</v>
      </c>
      <c r="M91" s="0" t="s">
        <v>2689</v>
      </c>
      <c r="N91" s="0" t="s">
        <v>116</v>
      </c>
      <c r="Q91" s="0" t="n">
        <v>112</v>
      </c>
      <c r="R91" s="0" t="n">
        <v>112</v>
      </c>
      <c r="U91" s="0" t="s">
        <v>3163</v>
      </c>
      <c r="V91" s="0" t="s">
        <v>3163</v>
      </c>
      <c r="Y91" s="0" t="s">
        <v>3071</v>
      </c>
      <c r="Z91" s="0" t="s">
        <v>3072</v>
      </c>
      <c r="AA91" s="0" t="s">
        <v>3166</v>
      </c>
      <c r="AC91" s="0" t="s">
        <v>3074</v>
      </c>
    </row>
    <row r="92" customFormat="false" ht="15" hidden="false" customHeight="false" outlineLevel="0" collapsed="false">
      <c r="A92" s="0" t="s">
        <v>3181</v>
      </c>
      <c r="B92" s="0" t="s">
        <v>115</v>
      </c>
      <c r="C92" s="0" t="s">
        <v>3162</v>
      </c>
      <c r="D92" s="0" t="n">
        <v>2013</v>
      </c>
      <c r="E92" s="0" t="s">
        <v>66</v>
      </c>
      <c r="F92" s="0" t="n">
        <v>632278</v>
      </c>
      <c r="G92" s="0" t="s">
        <v>3101</v>
      </c>
      <c r="H92" s="0" t="s">
        <v>3068</v>
      </c>
      <c r="I92" s="0" t="n">
        <v>632278</v>
      </c>
      <c r="J92" s="0" t="s">
        <v>3069</v>
      </c>
      <c r="M92" s="0" t="s">
        <v>2689</v>
      </c>
      <c r="N92" s="0" t="s">
        <v>116</v>
      </c>
      <c r="Q92" s="0" t="n">
        <v>112</v>
      </c>
      <c r="R92" s="0" t="n">
        <v>112</v>
      </c>
      <c r="U92" s="0" t="s">
        <v>3163</v>
      </c>
      <c r="V92" s="0" t="s">
        <v>3163</v>
      </c>
      <c r="Y92" s="0" t="s">
        <v>3071</v>
      </c>
      <c r="Z92" s="0" t="s">
        <v>3072</v>
      </c>
      <c r="AA92" s="0" t="s">
        <v>3166</v>
      </c>
      <c r="AC92" s="0" t="s">
        <v>3074</v>
      </c>
    </row>
    <row r="93" customFormat="false" ht="15" hidden="false" customHeight="false" outlineLevel="0" collapsed="false">
      <c r="A93" s="0" t="s">
        <v>3182</v>
      </c>
      <c r="B93" s="0" t="s">
        <v>115</v>
      </c>
      <c r="C93" s="0" t="s">
        <v>3162</v>
      </c>
      <c r="D93" s="0" t="n">
        <v>2013</v>
      </c>
      <c r="E93" s="0" t="s">
        <v>55</v>
      </c>
      <c r="F93" s="0" t="n">
        <v>1081217</v>
      </c>
      <c r="G93" s="0" t="s">
        <v>3101</v>
      </c>
      <c r="H93" s="0" t="s">
        <v>3068</v>
      </c>
      <c r="I93" s="0" t="n">
        <v>1081217</v>
      </c>
      <c r="J93" s="0" t="s">
        <v>3069</v>
      </c>
      <c r="M93" s="0" t="s">
        <v>2689</v>
      </c>
      <c r="N93" s="0" t="s">
        <v>116</v>
      </c>
      <c r="Q93" s="0" t="n">
        <v>68</v>
      </c>
      <c r="R93" s="0" t="n">
        <v>68</v>
      </c>
      <c r="U93" s="0" t="s">
        <v>3163</v>
      </c>
      <c r="V93" s="0" t="s">
        <v>3163</v>
      </c>
      <c r="Y93" s="0" t="s">
        <v>3071</v>
      </c>
      <c r="Z93" s="0" t="s">
        <v>3072</v>
      </c>
      <c r="AA93" s="0" t="s">
        <v>3168</v>
      </c>
      <c r="AC93" s="0" t="s">
        <v>3074</v>
      </c>
    </row>
    <row r="94" customFormat="false" ht="15" hidden="false" customHeight="false" outlineLevel="0" collapsed="false">
      <c r="A94" s="0" t="s">
        <v>3183</v>
      </c>
      <c r="B94" s="0" t="s">
        <v>115</v>
      </c>
      <c r="C94" s="0" t="s">
        <v>3162</v>
      </c>
      <c r="D94" s="0" t="n">
        <v>2013</v>
      </c>
      <c r="E94" s="0" t="s">
        <v>57</v>
      </c>
      <c r="F94" s="0" t="n">
        <v>163455</v>
      </c>
      <c r="G94" s="0" t="s">
        <v>3101</v>
      </c>
      <c r="H94" s="0" t="s">
        <v>3068</v>
      </c>
      <c r="I94" s="0" t="n">
        <v>163455</v>
      </c>
      <c r="J94" s="0" t="s">
        <v>3069</v>
      </c>
      <c r="M94" s="0" t="s">
        <v>2689</v>
      </c>
      <c r="N94" s="0" t="s">
        <v>116</v>
      </c>
      <c r="Q94" s="0" t="n">
        <v>68</v>
      </c>
      <c r="R94" s="0" t="n">
        <v>68</v>
      </c>
      <c r="U94" s="0" t="s">
        <v>3163</v>
      </c>
      <c r="V94" s="0" t="s">
        <v>3163</v>
      </c>
      <c r="Y94" s="0" t="s">
        <v>3071</v>
      </c>
      <c r="Z94" s="0" t="s">
        <v>3072</v>
      </c>
      <c r="AA94" s="0" t="s">
        <v>3168</v>
      </c>
      <c r="AC94" s="0" t="s">
        <v>3074</v>
      </c>
    </row>
    <row r="95" customFormat="false" ht="15" hidden="false" customHeight="false" outlineLevel="0" collapsed="false">
      <c r="A95" s="0" t="s">
        <v>3184</v>
      </c>
      <c r="B95" s="0" t="s">
        <v>115</v>
      </c>
      <c r="C95" s="0" t="s">
        <v>3162</v>
      </c>
      <c r="D95" s="0" t="n">
        <v>2013</v>
      </c>
      <c r="E95" s="0" t="s">
        <v>56</v>
      </c>
      <c r="F95" s="0" t="n">
        <v>917762</v>
      </c>
      <c r="G95" s="0" t="s">
        <v>3101</v>
      </c>
      <c r="H95" s="0" t="s">
        <v>3068</v>
      </c>
      <c r="I95" s="0" t="n">
        <v>917762</v>
      </c>
      <c r="J95" s="0" t="s">
        <v>3069</v>
      </c>
      <c r="M95" s="0" t="s">
        <v>2689</v>
      </c>
      <c r="N95" s="0" t="s">
        <v>116</v>
      </c>
      <c r="Q95" s="0" t="n">
        <v>68</v>
      </c>
      <c r="R95" s="0" t="n">
        <v>68</v>
      </c>
      <c r="U95" s="0" t="s">
        <v>3163</v>
      </c>
      <c r="V95" s="0" t="s">
        <v>3163</v>
      </c>
      <c r="Y95" s="0" t="s">
        <v>3071</v>
      </c>
      <c r="Z95" s="0" t="s">
        <v>3072</v>
      </c>
      <c r="AA95" s="0" t="s">
        <v>3168</v>
      </c>
      <c r="AC95" s="0" t="s">
        <v>3074</v>
      </c>
    </row>
    <row r="96" customFormat="false" ht="15" hidden="false" customHeight="false" outlineLevel="0" collapsed="false">
      <c r="A96" s="0" t="s">
        <v>3185</v>
      </c>
      <c r="B96" s="0" t="s">
        <v>115</v>
      </c>
      <c r="C96" s="0" t="s">
        <v>3162</v>
      </c>
      <c r="D96" s="0" t="n">
        <v>2018</v>
      </c>
      <c r="E96" s="0" t="s">
        <v>3066</v>
      </c>
      <c r="F96" s="0" t="n">
        <v>979413</v>
      </c>
      <c r="G96" s="0" t="s">
        <v>3101</v>
      </c>
      <c r="H96" s="0" t="s">
        <v>3068</v>
      </c>
      <c r="I96" s="0" t="n">
        <v>979413</v>
      </c>
      <c r="J96" s="0" t="s">
        <v>3069</v>
      </c>
      <c r="M96" s="0" t="s">
        <v>2694</v>
      </c>
      <c r="N96" s="0" t="s">
        <v>121</v>
      </c>
      <c r="Q96" s="0" t="n">
        <v>61</v>
      </c>
      <c r="R96" s="0" t="n">
        <v>121</v>
      </c>
      <c r="U96" s="0" t="s">
        <v>3186</v>
      </c>
      <c r="V96" s="0" t="s">
        <v>3186</v>
      </c>
      <c r="Y96" s="0" t="s">
        <v>3071</v>
      </c>
      <c r="Z96" s="0" t="s">
        <v>3072</v>
      </c>
      <c r="AA96" s="0" t="s">
        <v>3187</v>
      </c>
      <c r="AC96" s="0" t="s">
        <v>3074</v>
      </c>
    </row>
    <row r="97" customFormat="false" ht="15" hidden="false" customHeight="false" outlineLevel="0" collapsed="false">
      <c r="A97" s="0" t="s">
        <v>3188</v>
      </c>
      <c r="B97" s="0" t="s">
        <v>115</v>
      </c>
      <c r="C97" s="0" t="s">
        <v>3162</v>
      </c>
      <c r="D97" s="0" t="n">
        <v>2018</v>
      </c>
      <c r="E97" s="0" t="s">
        <v>1327</v>
      </c>
      <c r="F97" s="0" t="n">
        <v>189005</v>
      </c>
      <c r="G97" s="0" t="s">
        <v>3101</v>
      </c>
      <c r="H97" s="0" t="s">
        <v>3068</v>
      </c>
      <c r="I97" s="0" t="n">
        <v>189005</v>
      </c>
      <c r="J97" s="0" t="s">
        <v>3069</v>
      </c>
      <c r="M97" s="0" t="s">
        <v>2694</v>
      </c>
      <c r="N97" s="0" t="s">
        <v>121</v>
      </c>
      <c r="Q97" s="0" t="n">
        <v>61</v>
      </c>
      <c r="R97" s="0" t="n">
        <v>120</v>
      </c>
      <c r="U97" s="0" t="s">
        <v>3186</v>
      </c>
      <c r="V97" s="0" t="s">
        <v>3186</v>
      </c>
      <c r="Y97" s="0" t="s">
        <v>3071</v>
      </c>
      <c r="Z97" s="0" t="s">
        <v>3072</v>
      </c>
      <c r="AA97" s="0" t="s">
        <v>3187</v>
      </c>
      <c r="AC97" s="0" t="s">
        <v>3074</v>
      </c>
    </row>
    <row r="98" customFormat="false" ht="15" hidden="false" customHeight="false" outlineLevel="0" collapsed="false">
      <c r="A98" s="0" t="s">
        <v>3189</v>
      </c>
      <c r="B98" s="0" t="s">
        <v>115</v>
      </c>
      <c r="C98" s="0" t="s">
        <v>3162</v>
      </c>
      <c r="D98" s="0" t="n">
        <v>2018</v>
      </c>
      <c r="E98" s="0" t="s">
        <v>63</v>
      </c>
      <c r="F98" s="0" t="n">
        <v>4215</v>
      </c>
      <c r="G98" s="0" t="s">
        <v>3101</v>
      </c>
      <c r="H98" s="0" t="s">
        <v>3068</v>
      </c>
      <c r="I98" s="0" t="n">
        <v>4215</v>
      </c>
      <c r="J98" s="0" t="s">
        <v>3069</v>
      </c>
      <c r="M98" s="0" t="s">
        <v>2694</v>
      </c>
      <c r="N98" s="0" t="s">
        <v>121</v>
      </c>
      <c r="Q98" s="0" t="n">
        <v>61</v>
      </c>
      <c r="R98" s="0" t="n">
        <v>120</v>
      </c>
      <c r="U98" s="0" t="s">
        <v>3186</v>
      </c>
      <c r="V98" s="0" t="s">
        <v>3186</v>
      </c>
      <c r="Y98" s="0" t="s">
        <v>3071</v>
      </c>
      <c r="Z98" s="0" t="s">
        <v>3072</v>
      </c>
      <c r="AA98" s="0" t="s">
        <v>3187</v>
      </c>
      <c r="AC98" s="0" t="s">
        <v>3074</v>
      </c>
    </row>
    <row r="99" customFormat="false" ht="15" hidden="false" customHeight="false" outlineLevel="0" collapsed="false">
      <c r="A99" s="0" t="s">
        <v>3190</v>
      </c>
      <c r="B99" s="0" t="s">
        <v>115</v>
      </c>
      <c r="C99" s="0" t="s">
        <v>3162</v>
      </c>
      <c r="D99" s="0" t="n">
        <v>2018</v>
      </c>
      <c r="E99" s="0" t="s">
        <v>62</v>
      </c>
      <c r="F99" s="0" t="n">
        <v>849880</v>
      </c>
      <c r="G99" s="0" t="s">
        <v>3101</v>
      </c>
      <c r="H99" s="0" t="s">
        <v>3068</v>
      </c>
      <c r="I99" s="0" t="n">
        <v>849880</v>
      </c>
      <c r="J99" s="0" t="s">
        <v>3069</v>
      </c>
      <c r="M99" s="0" t="s">
        <v>2694</v>
      </c>
      <c r="N99" s="0" t="s">
        <v>121</v>
      </c>
      <c r="Q99" s="0" t="n">
        <v>61</v>
      </c>
      <c r="R99" s="0" t="n">
        <v>121</v>
      </c>
      <c r="U99" s="0" t="s">
        <v>3186</v>
      </c>
      <c r="V99" s="0" t="s">
        <v>3186</v>
      </c>
      <c r="Y99" s="0" t="s">
        <v>3071</v>
      </c>
      <c r="Z99" s="0" t="s">
        <v>3072</v>
      </c>
      <c r="AA99" s="0" t="s">
        <v>3187</v>
      </c>
      <c r="AC99" s="0" t="s">
        <v>3074</v>
      </c>
    </row>
    <row r="100" customFormat="false" ht="15" hidden="false" customHeight="false" outlineLevel="0" collapsed="false">
      <c r="A100" s="0" t="s">
        <v>3191</v>
      </c>
      <c r="B100" s="0" t="s">
        <v>115</v>
      </c>
      <c r="C100" s="0" t="s">
        <v>3162</v>
      </c>
      <c r="D100" s="0" t="n">
        <v>2018</v>
      </c>
      <c r="E100" s="0" t="s">
        <v>54</v>
      </c>
      <c r="F100" s="0" t="n">
        <v>22926</v>
      </c>
      <c r="G100" s="0" t="s">
        <v>3101</v>
      </c>
      <c r="H100" s="0" t="s">
        <v>3068</v>
      </c>
      <c r="I100" s="0" t="n">
        <v>22926</v>
      </c>
      <c r="J100" s="0" t="s">
        <v>3069</v>
      </c>
      <c r="M100" s="0" t="s">
        <v>2694</v>
      </c>
      <c r="N100" s="0" t="s">
        <v>121</v>
      </c>
      <c r="Q100" s="0" t="n">
        <v>61</v>
      </c>
      <c r="R100" s="0" t="n">
        <v>120</v>
      </c>
      <c r="U100" s="0" t="s">
        <v>3186</v>
      </c>
      <c r="V100" s="0" t="s">
        <v>3186</v>
      </c>
      <c r="Y100" s="0" t="s">
        <v>3071</v>
      </c>
      <c r="Z100" s="0" t="s">
        <v>3072</v>
      </c>
      <c r="AA100" s="0" t="s">
        <v>3187</v>
      </c>
      <c r="AC100" s="0" t="s">
        <v>3074</v>
      </c>
    </row>
    <row r="101" customFormat="false" ht="15" hidden="false" customHeight="false" outlineLevel="0" collapsed="false">
      <c r="A101" s="0" t="s">
        <v>3192</v>
      </c>
      <c r="B101" s="0" t="s">
        <v>115</v>
      </c>
      <c r="C101" s="0" t="s">
        <v>3162</v>
      </c>
      <c r="D101" s="0" t="n">
        <v>2018</v>
      </c>
      <c r="E101" s="0" t="s">
        <v>55</v>
      </c>
      <c r="F101" s="0" t="n">
        <v>1719883</v>
      </c>
      <c r="G101" s="0" t="s">
        <v>3101</v>
      </c>
      <c r="H101" s="0" t="s">
        <v>3068</v>
      </c>
      <c r="I101" s="0" t="n">
        <v>1719883</v>
      </c>
      <c r="J101" s="0" t="s">
        <v>3069</v>
      </c>
      <c r="M101" s="0" t="s">
        <v>2694</v>
      </c>
      <c r="N101" s="0" t="s">
        <v>121</v>
      </c>
      <c r="Q101" s="0" t="n">
        <v>61</v>
      </c>
      <c r="R101" s="0" t="n">
        <v>121</v>
      </c>
      <c r="U101" s="0" t="s">
        <v>3186</v>
      </c>
      <c r="V101" s="0" t="s">
        <v>3186</v>
      </c>
      <c r="Y101" s="0" t="s">
        <v>3071</v>
      </c>
      <c r="Z101" s="0" t="s">
        <v>3072</v>
      </c>
      <c r="AA101" s="0" t="s">
        <v>3187</v>
      </c>
      <c r="AC101" s="0" t="s">
        <v>3074</v>
      </c>
    </row>
    <row r="102" customFormat="false" ht="15" hidden="false" customHeight="false" outlineLevel="0" collapsed="false">
      <c r="A102" s="0" t="s">
        <v>3193</v>
      </c>
      <c r="B102" s="0" t="s">
        <v>115</v>
      </c>
      <c r="C102" s="0" t="s">
        <v>3162</v>
      </c>
      <c r="D102" s="0" t="n">
        <v>2018</v>
      </c>
      <c r="E102" s="0" t="s">
        <v>57</v>
      </c>
      <c r="F102" s="0" t="n">
        <v>194416</v>
      </c>
      <c r="G102" s="0" t="s">
        <v>3101</v>
      </c>
      <c r="H102" s="0" t="s">
        <v>3068</v>
      </c>
      <c r="I102" s="0" t="n">
        <v>194416</v>
      </c>
      <c r="J102" s="0" t="s">
        <v>3069</v>
      </c>
      <c r="M102" s="0" t="s">
        <v>2694</v>
      </c>
      <c r="N102" s="0" t="s">
        <v>121</v>
      </c>
      <c r="Q102" s="0" t="n">
        <v>61</v>
      </c>
      <c r="R102" s="0" t="n">
        <v>121</v>
      </c>
      <c r="U102" s="0" t="s">
        <v>3186</v>
      </c>
      <c r="V102" s="0" t="s">
        <v>3186</v>
      </c>
      <c r="Y102" s="0" t="s">
        <v>3071</v>
      </c>
      <c r="Z102" s="0" t="s">
        <v>3072</v>
      </c>
      <c r="AA102" s="0" t="s">
        <v>3187</v>
      </c>
      <c r="AC102" s="0" t="s">
        <v>3074</v>
      </c>
    </row>
    <row r="103" customFormat="false" ht="15" hidden="false" customHeight="false" outlineLevel="0" collapsed="false">
      <c r="A103" s="0" t="s">
        <v>3194</v>
      </c>
      <c r="B103" s="0" t="s">
        <v>115</v>
      </c>
      <c r="C103" s="0" t="s">
        <v>3162</v>
      </c>
      <c r="D103" s="0" t="n">
        <v>2018</v>
      </c>
      <c r="E103" s="0" t="s">
        <v>56</v>
      </c>
      <c r="F103" s="0" t="n">
        <v>1525467</v>
      </c>
      <c r="G103" s="0" t="s">
        <v>3101</v>
      </c>
      <c r="H103" s="0" t="s">
        <v>3068</v>
      </c>
      <c r="I103" s="0" t="n">
        <v>1525467</v>
      </c>
      <c r="J103" s="0" t="s">
        <v>3069</v>
      </c>
      <c r="M103" s="0" t="s">
        <v>2694</v>
      </c>
      <c r="N103" s="0" t="s">
        <v>121</v>
      </c>
      <c r="Q103" s="0" t="n">
        <v>61</v>
      </c>
      <c r="R103" s="0" t="n">
        <v>121</v>
      </c>
      <c r="U103" s="0" t="s">
        <v>3186</v>
      </c>
      <c r="V103" s="0" t="s">
        <v>3186</v>
      </c>
      <c r="Y103" s="0" t="s">
        <v>3071</v>
      </c>
      <c r="Z103" s="0" t="s">
        <v>3072</v>
      </c>
      <c r="AA103" s="0" t="s">
        <v>3187</v>
      </c>
      <c r="AC103" s="0" t="s">
        <v>3074</v>
      </c>
    </row>
    <row r="104" customFormat="false" ht="15" hidden="false" customHeight="false" outlineLevel="0" collapsed="false">
      <c r="A104" s="0" t="s">
        <v>3195</v>
      </c>
      <c r="B104" s="0" t="s">
        <v>115</v>
      </c>
      <c r="C104" s="0" t="s">
        <v>3162</v>
      </c>
      <c r="D104" s="0" t="n">
        <v>2019</v>
      </c>
      <c r="E104" s="0" t="s">
        <v>3066</v>
      </c>
      <c r="F104" s="0" t="n">
        <v>1225213</v>
      </c>
      <c r="G104" s="0" t="s">
        <v>3101</v>
      </c>
      <c r="H104" s="0" t="s">
        <v>3068</v>
      </c>
      <c r="I104" s="0" t="n">
        <v>1225213</v>
      </c>
      <c r="J104" s="0" t="s">
        <v>3069</v>
      </c>
      <c r="M104" s="0" t="s">
        <v>2694</v>
      </c>
      <c r="N104" s="0" t="s">
        <v>121</v>
      </c>
      <c r="Q104" s="0" t="n">
        <v>61</v>
      </c>
      <c r="R104" s="0" t="n">
        <v>121</v>
      </c>
      <c r="U104" s="0" t="s">
        <v>3196</v>
      </c>
      <c r="V104" s="0" t="s">
        <v>3196</v>
      </c>
      <c r="Y104" s="0" t="s">
        <v>3071</v>
      </c>
      <c r="Z104" s="0" t="s">
        <v>3072</v>
      </c>
      <c r="AA104" s="0" t="s">
        <v>3187</v>
      </c>
      <c r="AC104" s="0" t="s">
        <v>3074</v>
      </c>
    </row>
    <row r="105" customFormat="false" ht="15" hidden="false" customHeight="false" outlineLevel="0" collapsed="false">
      <c r="A105" s="0" t="s">
        <v>3197</v>
      </c>
      <c r="B105" s="0" t="s">
        <v>115</v>
      </c>
      <c r="C105" s="0" t="s">
        <v>3162</v>
      </c>
      <c r="D105" s="0" t="n">
        <v>2019</v>
      </c>
      <c r="E105" s="0" t="s">
        <v>1327</v>
      </c>
      <c r="F105" s="0" t="n">
        <v>215514</v>
      </c>
      <c r="G105" s="0" t="s">
        <v>3101</v>
      </c>
      <c r="H105" s="0" t="s">
        <v>3068</v>
      </c>
      <c r="I105" s="0" t="n">
        <v>215514</v>
      </c>
      <c r="J105" s="0" t="s">
        <v>3069</v>
      </c>
      <c r="M105" s="0" t="s">
        <v>2694</v>
      </c>
      <c r="N105" s="0" t="s">
        <v>121</v>
      </c>
      <c r="Q105" s="0" t="n">
        <v>61</v>
      </c>
      <c r="R105" s="0" t="n">
        <v>120</v>
      </c>
      <c r="U105" s="0" t="s">
        <v>3196</v>
      </c>
      <c r="V105" s="0" t="s">
        <v>3196</v>
      </c>
      <c r="Y105" s="0" t="s">
        <v>3071</v>
      </c>
      <c r="Z105" s="0" t="s">
        <v>3072</v>
      </c>
      <c r="AA105" s="0" t="s">
        <v>3187</v>
      </c>
      <c r="AC105" s="0" t="s">
        <v>3074</v>
      </c>
    </row>
    <row r="106" customFormat="false" ht="15" hidden="false" customHeight="false" outlineLevel="0" collapsed="false">
      <c r="A106" s="0" t="s">
        <v>3198</v>
      </c>
      <c r="B106" s="0" t="s">
        <v>115</v>
      </c>
      <c r="C106" s="0" t="s">
        <v>3162</v>
      </c>
      <c r="D106" s="0" t="n">
        <v>2019</v>
      </c>
      <c r="E106" s="0" t="s">
        <v>63</v>
      </c>
      <c r="F106" s="0" t="n">
        <v>-5292</v>
      </c>
      <c r="G106" s="0" t="s">
        <v>3101</v>
      </c>
      <c r="H106" s="0" t="s">
        <v>3068</v>
      </c>
      <c r="I106" s="0" t="n">
        <v>-5292</v>
      </c>
      <c r="J106" s="0" t="s">
        <v>3069</v>
      </c>
      <c r="M106" s="0" t="s">
        <v>2694</v>
      </c>
      <c r="N106" s="0" t="s">
        <v>121</v>
      </c>
      <c r="Q106" s="0" t="n">
        <v>61</v>
      </c>
      <c r="R106" s="0" t="n">
        <v>120</v>
      </c>
      <c r="U106" s="0" t="s">
        <v>3196</v>
      </c>
      <c r="V106" s="0" t="s">
        <v>3196</v>
      </c>
      <c r="Y106" s="0" t="s">
        <v>3071</v>
      </c>
      <c r="Z106" s="0" t="s">
        <v>3072</v>
      </c>
      <c r="AA106" s="0" t="s">
        <v>3187</v>
      </c>
      <c r="AC106" s="0" t="s">
        <v>3074</v>
      </c>
    </row>
    <row r="107" customFormat="false" ht="15" hidden="false" customHeight="false" outlineLevel="0" collapsed="false">
      <c r="A107" s="0" t="s">
        <v>3199</v>
      </c>
      <c r="B107" s="0" t="s">
        <v>115</v>
      </c>
      <c r="C107" s="0" t="s">
        <v>3162</v>
      </c>
      <c r="D107" s="0" t="n">
        <v>2019</v>
      </c>
      <c r="E107" s="0" t="s">
        <v>62</v>
      </c>
      <c r="F107" s="0" t="n">
        <v>1126974</v>
      </c>
      <c r="G107" s="0" t="s">
        <v>3101</v>
      </c>
      <c r="H107" s="0" t="s">
        <v>3068</v>
      </c>
      <c r="I107" s="0" t="n">
        <v>1126974</v>
      </c>
      <c r="J107" s="0" t="s">
        <v>3069</v>
      </c>
      <c r="M107" s="0" t="s">
        <v>2694</v>
      </c>
      <c r="N107" s="0" t="s">
        <v>121</v>
      </c>
      <c r="Q107" s="0" t="n">
        <v>61</v>
      </c>
      <c r="R107" s="0" t="n">
        <v>121</v>
      </c>
      <c r="U107" s="0" t="s">
        <v>3196</v>
      </c>
      <c r="V107" s="0" t="s">
        <v>3196</v>
      </c>
      <c r="Y107" s="0" t="s">
        <v>3071</v>
      </c>
      <c r="Z107" s="0" t="s">
        <v>3072</v>
      </c>
      <c r="AA107" s="0" t="s">
        <v>3187</v>
      </c>
      <c r="AC107" s="0" t="s">
        <v>3074</v>
      </c>
    </row>
    <row r="108" customFormat="false" ht="15" hidden="false" customHeight="false" outlineLevel="0" collapsed="false">
      <c r="A108" s="0" t="s">
        <v>3200</v>
      </c>
      <c r="B108" s="0" t="s">
        <v>115</v>
      </c>
      <c r="C108" s="0" t="s">
        <v>3162</v>
      </c>
      <c r="D108" s="0" t="n">
        <v>2019</v>
      </c>
      <c r="E108" s="0" t="s">
        <v>54</v>
      </c>
      <c r="F108" s="0" t="n">
        <v>28425</v>
      </c>
      <c r="G108" s="0" t="s">
        <v>3101</v>
      </c>
      <c r="H108" s="0" t="s">
        <v>3068</v>
      </c>
      <c r="I108" s="0" t="n">
        <v>28425</v>
      </c>
      <c r="J108" s="0" t="s">
        <v>3069</v>
      </c>
      <c r="M108" s="0" t="s">
        <v>2694</v>
      </c>
      <c r="N108" s="0" t="s">
        <v>121</v>
      </c>
      <c r="Q108" s="0" t="n">
        <v>61</v>
      </c>
      <c r="R108" s="0" t="n">
        <v>120</v>
      </c>
      <c r="U108" s="0" t="s">
        <v>3196</v>
      </c>
      <c r="V108" s="0" t="s">
        <v>3196</v>
      </c>
      <c r="Y108" s="0" t="s">
        <v>3071</v>
      </c>
      <c r="Z108" s="0" t="s">
        <v>3072</v>
      </c>
      <c r="AA108" s="0" t="s">
        <v>3187</v>
      </c>
      <c r="AC108" s="0" t="s">
        <v>3074</v>
      </c>
    </row>
    <row r="109" customFormat="false" ht="15" hidden="false" customHeight="false" outlineLevel="0" collapsed="false">
      <c r="A109" s="0" t="s">
        <v>3201</v>
      </c>
      <c r="B109" s="0" t="s">
        <v>115</v>
      </c>
      <c r="C109" s="0" t="s">
        <v>3162</v>
      </c>
      <c r="D109" s="0" t="n">
        <v>2019</v>
      </c>
      <c r="E109" s="0" t="s">
        <v>55</v>
      </c>
      <c r="F109" s="0" t="n">
        <v>2114037</v>
      </c>
      <c r="G109" s="0" t="s">
        <v>3101</v>
      </c>
      <c r="H109" s="0" t="s">
        <v>3068</v>
      </c>
      <c r="I109" s="0" t="n">
        <v>2114037</v>
      </c>
      <c r="J109" s="0" t="s">
        <v>3069</v>
      </c>
      <c r="M109" s="0" t="s">
        <v>2694</v>
      </c>
      <c r="N109" s="0" t="s">
        <v>121</v>
      </c>
      <c r="Q109" s="0" t="n">
        <v>61</v>
      </c>
      <c r="R109" s="0" t="n">
        <v>121</v>
      </c>
      <c r="U109" s="0" t="s">
        <v>3196</v>
      </c>
      <c r="V109" s="0" t="s">
        <v>3196</v>
      </c>
      <c r="Y109" s="0" t="s">
        <v>3071</v>
      </c>
      <c r="Z109" s="0" t="s">
        <v>3072</v>
      </c>
      <c r="AA109" s="0" t="s">
        <v>3187</v>
      </c>
      <c r="AC109" s="0" t="s">
        <v>3074</v>
      </c>
    </row>
    <row r="110" customFormat="false" ht="15" hidden="false" customHeight="false" outlineLevel="0" collapsed="false">
      <c r="A110" s="0" t="s">
        <v>3202</v>
      </c>
      <c r="B110" s="0" t="s">
        <v>115</v>
      </c>
      <c r="C110" s="0" t="s">
        <v>3162</v>
      </c>
      <c r="D110" s="0" t="n">
        <v>2019</v>
      </c>
      <c r="E110" s="0" t="s">
        <v>57</v>
      </c>
      <c r="F110" s="0" t="n">
        <v>234030</v>
      </c>
      <c r="G110" s="0" t="s">
        <v>3101</v>
      </c>
      <c r="H110" s="0" t="s">
        <v>3068</v>
      </c>
      <c r="I110" s="0" t="n">
        <v>234030</v>
      </c>
      <c r="J110" s="0" t="s">
        <v>3069</v>
      </c>
      <c r="M110" s="0" t="s">
        <v>2694</v>
      </c>
      <c r="N110" s="0" t="s">
        <v>121</v>
      </c>
      <c r="Q110" s="0" t="n">
        <v>61</v>
      </c>
      <c r="R110" s="0" t="n">
        <v>121</v>
      </c>
      <c r="U110" s="0" t="s">
        <v>3196</v>
      </c>
      <c r="V110" s="0" t="s">
        <v>3196</v>
      </c>
      <c r="Y110" s="0" t="s">
        <v>3071</v>
      </c>
      <c r="Z110" s="0" t="s">
        <v>3072</v>
      </c>
      <c r="AA110" s="0" t="s">
        <v>3187</v>
      </c>
      <c r="AC110" s="0" t="s">
        <v>3074</v>
      </c>
    </row>
    <row r="111" customFormat="false" ht="15" hidden="false" customHeight="false" outlineLevel="0" collapsed="false">
      <c r="A111" s="0" t="s">
        <v>3203</v>
      </c>
      <c r="B111" s="0" t="s">
        <v>115</v>
      </c>
      <c r="C111" s="0" t="s">
        <v>3162</v>
      </c>
      <c r="D111" s="0" t="n">
        <v>2019</v>
      </c>
      <c r="E111" s="0" t="s">
        <v>56</v>
      </c>
      <c r="F111" s="0" t="n">
        <v>1880007</v>
      </c>
      <c r="G111" s="0" t="s">
        <v>3101</v>
      </c>
      <c r="H111" s="0" t="s">
        <v>3068</v>
      </c>
      <c r="I111" s="0" t="n">
        <v>1880007</v>
      </c>
      <c r="J111" s="0" t="s">
        <v>3069</v>
      </c>
      <c r="M111" s="0" t="s">
        <v>2694</v>
      </c>
      <c r="N111" s="0" t="s">
        <v>121</v>
      </c>
      <c r="Q111" s="0" t="n">
        <v>61</v>
      </c>
      <c r="R111" s="0" t="n">
        <v>121</v>
      </c>
      <c r="U111" s="0" t="s">
        <v>3196</v>
      </c>
      <c r="V111" s="0" t="s">
        <v>3196</v>
      </c>
      <c r="Y111" s="0" t="s">
        <v>3071</v>
      </c>
      <c r="Z111" s="0" t="s">
        <v>3072</v>
      </c>
      <c r="AA111" s="0" t="s">
        <v>3187</v>
      </c>
      <c r="AC111" s="0" t="s">
        <v>3074</v>
      </c>
    </row>
    <row r="112" customFormat="false" ht="15" hidden="false" customHeight="false" outlineLevel="0" collapsed="false">
      <c r="A112" s="0" t="s">
        <v>3204</v>
      </c>
      <c r="B112" s="0" t="s">
        <v>169</v>
      </c>
      <c r="C112" s="0" t="s">
        <v>3205</v>
      </c>
      <c r="D112" s="0" t="n">
        <v>2013</v>
      </c>
      <c r="E112" s="0" t="s">
        <v>69</v>
      </c>
      <c r="F112" s="0" t="n">
        <v>14</v>
      </c>
      <c r="G112" s="0" t="s">
        <v>3079</v>
      </c>
      <c r="I112" s="0" t="n">
        <v>14</v>
      </c>
      <c r="J112" s="0" t="s">
        <v>3069</v>
      </c>
      <c r="M112" s="0" t="s">
        <v>2718</v>
      </c>
      <c r="N112" s="0" t="s">
        <v>170</v>
      </c>
      <c r="Q112" s="0" t="n">
        <v>132</v>
      </c>
      <c r="R112" s="0" t="n">
        <v>130</v>
      </c>
      <c r="U112" s="0" t="s">
        <v>3070</v>
      </c>
      <c r="V112" s="0" t="s">
        <v>3070</v>
      </c>
      <c r="Y112" s="0" t="s">
        <v>3071</v>
      </c>
      <c r="Z112" s="0" t="s">
        <v>3072</v>
      </c>
      <c r="AA112" s="0" t="s">
        <v>3206</v>
      </c>
      <c r="AC112" s="0" t="s">
        <v>3074</v>
      </c>
    </row>
    <row r="113" customFormat="false" ht="15" hidden="false" customHeight="false" outlineLevel="0" collapsed="false">
      <c r="A113" s="0" t="s">
        <v>3207</v>
      </c>
      <c r="B113" s="0" t="s">
        <v>169</v>
      </c>
      <c r="C113" s="0" t="s">
        <v>3205</v>
      </c>
      <c r="D113" s="0" t="n">
        <v>2013</v>
      </c>
      <c r="E113" s="0" t="s">
        <v>545</v>
      </c>
      <c r="F113" s="0" t="n">
        <v>2529130</v>
      </c>
      <c r="G113" s="0" t="s">
        <v>3067</v>
      </c>
      <c r="H113" s="0" t="s">
        <v>3068</v>
      </c>
      <c r="I113" s="0" t="n">
        <v>2529.13</v>
      </c>
      <c r="J113" s="0" t="s">
        <v>3069</v>
      </c>
      <c r="M113" s="0" t="s">
        <v>2718</v>
      </c>
      <c r="N113" s="0" t="s">
        <v>170</v>
      </c>
      <c r="Q113" s="0" t="n">
        <v>89</v>
      </c>
      <c r="R113" s="0" t="n">
        <v>87</v>
      </c>
      <c r="U113" s="0" t="s">
        <v>3070</v>
      </c>
      <c r="V113" s="0" t="s">
        <v>3070</v>
      </c>
      <c r="Y113" s="0" t="s">
        <v>3071</v>
      </c>
      <c r="Z113" s="0" t="s">
        <v>3072</v>
      </c>
      <c r="AA113" s="0" t="s">
        <v>3208</v>
      </c>
      <c r="AC113" s="0" t="s">
        <v>3074</v>
      </c>
    </row>
    <row r="114" customFormat="false" ht="15" hidden="false" customHeight="false" outlineLevel="0" collapsed="false">
      <c r="A114" s="0" t="s">
        <v>3209</v>
      </c>
      <c r="B114" s="0" t="s">
        <v>169</v>
      </c>
      <c r="C114" s="0" t="s">
        <v>3205</v>
      </c>
      <c r="D114" s="0" t="n">
        <v>2013</v>
      </c>
      <c r="E114" s="0" t="s">
        <v>3066</v>
      </c>
      <c r="F114" s="0" t="n">
        <v>570511097</v>
      </c>
      <c r="G114" s="0" t="s">
        <v>3067</v>
      </c>
      <c r="H114" s="0" t="s">
        <v>3068</v>
      </c>
      <c r="I114" s="0" t="n">
        <v>570511.097</v>
      </c>
      <c r="J114" s="0" t="s">
        <v>3069</v>
      </c>
      <c r="M114" s="0" t="s">
        <v>2718</v>
      </c>
      <c r="N114" s="0" t="s">
        <v>170</v>
      </c>
      <c r="Q114" s="0" t="n">
        <v>57</v>
      </c>
      <c r="R114" s="0" t="n">
        <v>55</v>
      </c>
      <c r="U114" s="0" t="s">
        <v>3070</v>
      </c>
      <c r="V114" s="0" t="s">
        <v>3070</v>
      </c>
      <c r="Y114" s="0" t="s">
        <v>3071</v>
      </c>
      <c r="Z114" s="0" t="s">
        <v>3072</v>
      </c>
      <c r="AA114" s="0" t="s">
        <v>3166</v>
      </c>
      <c r="AC114" s="0" t="s">
        <v>3074</v>
      </c>
    </row>
    <row r="115" customFormat="false" ht="15" hidden="false" customHeight="false" outlineLevel="0" collapsed="false">
      <c r="A115" s="0" t="s">
        <v>3210</v>
      </c>
      <c r="B115" s="0" t="s">
        <v>169</v>
      </c>
      <c r="C115" s="0" t="s">
        <v>3205</v>
      </c>
      <c r="D115" s="0" t="n">
        <v>2013</v>
      </c>
      <c r="E115" s="0" t="s">
        <v>60</v>
      </c>
      <c r="F115" s="0" t="n">
        <v>328664904</v>
      </c>
      <c r="G115" s="0" t="s">
        <v>3067</v>
      </c>
      <c r="H115" s="0" t="s">
        <v>3068</v>
      </c>
      <c r="I115" s="0" t="n">
        <v>328664.904</v>
      </c>
      <c r="J115" s="0" t="s">
        <v>3069</v>
      </c>
      <c r="M115" s="0" t="s">
        <v>2718</v>
      </c>
      <c r="N115" s="0" t="s">
        <v>170</v>
      </c>
      <c r="Q115" s="0" t="n">
        <v>90</v>
      </c>
      <c r="R115" s="0" t="n">
        <v>88</v>
      </c>
      <c r="U115" s="0" t="s">
        <v>3070</v>
      </c>
      <c r="V115" s="0" t="s">
        <v>3070</v>
      </c>
      <c r="Y115" s="0" t="s">
        <v>3071</v>
      </c>
      <c r="Z115" s="0" t="s">
        <v>3072</v>
      </c>
      <c r="AA115" s="0" t="s">
        <v>3211</v>
      </c>
      <c r="AC115" s="0" t="s">
        <v>3074</v>
      </c>
    </row>
    <row r="116" customFormat="false" ht="15" hidden="false" customHeight="false" outlineLevel="0" collapsed="false">
      <c r="A116" s="0" t="s">
        <v>3212</v>
      </c>
      <c r="B116" s="0" t="s">
        <v>169</v>
      </c>
      <c r="C116" s="0" t="s">
        <v>3205</v>
      </c>
      <c r="D116" s="0" t="n">
        <v>2013</v>
      </c>
      <c r="E116" s="0" t="s">
        <v>63</v>
      </c>
      <c r="F116" s="0" t="n">
        <v>8259094</v>
      </c>
      <c r="G116" s="0" t="s">
        <v>3067</v>
      </c>
      <c r="H116" s="0" t="s">
        <v>3068</v>
      </c>
      <c r="I116" s="0" t="n">
        <v>8259.094</v>
      </c>
      <c r="J116" s="0" t="s">
        <v>3069</v>
      </c>
      <c r="M116" s="0" t="s">
        <v>2718</v>
      </c>
      <c r="N116" s="0" t="s">
        <v>170</v>
      </c>
      <c r="Q116" s="0" t="n">
        <v>56</v>
      </c>
      <c r="R116" s="0" t="n">
        <v>54</v>
      </c>
      <c r="U116" s="0" t="s">
        <v>3070</v>
      </c>
      <c r="V116" s="0" t="s">
        <v>3070</v>
      </c>
      <c r="Y116" s="0" t="s">
        <v>3071</v>
      </c>
      <c r="Z116" s="0" t="s">
        <v>3072</v>
      </c>
      <c r="AA116" s="0" t="s">
        <v>3213</v>
      </c>
      <c r="AC116" s="0" t="s">
        <v>3074</v>
      </c>
    </row>
    <row r="117" customFormat="false" ht="15" hidden="false" customHeight="false" outlineLevel="0" collapsed="false">
      <c r="A117" s="0" t="s">
        <v>3214</v>
      </c>
      <c r="B117" s="0" t="s">
        <v>169</v>
      </c>
      <c r="C117" s="0" t="s">
        <v>3205</v>
      </c>
      <c r="D117" s="0" t="n">
        <v>2013</v>
      </c>
      <c r="E117" s="0" t="s">
        <v>543</v>
      </c>
      <c r="F117" s="0" t="n">
        <v>4392026</v>
      </c>
      <c r="G117" s="0" t="s">
        <v>3067</v>
      </c>
      <c r="H117" s="0" t="s">
        <v>3068</v>
      </c>
      <c r="I117" s="0" t="n">
        <v>4392.026</v>
      </c>
      <c r="J117" s="0" t="s">
        <v>3069</v>
      </c>
      <c r="M117" s="0" t="s">
        <v>2718</v>
      </c>
      <c r="N117" s="0" t="s">
        <v>170</v>
      </c>
      <c r="Q117" s="0" t="n">
        <v>89</v>
      </c>
      <c r="R117" s="0" t="n">
        <v>87</v>
      </c>
      <c r="U117" s="0" t="s">
        <v>3070</v>
      </c>
      <c r="V117" s="0" t="s">
        <v>3070</v>
      </c>
      <c r="Y117" s="0" t="s">
        <v>3071</v>
      </c>
      <c r="Z117" s="0" t="s">
        <v>3072</v>
      </c>
      <c r="AA117" s="0" t="s">
        <v>3208</v>
      </c>
      <c r="AC117" s="0" t="s">
        <v>3074</v>
      </c>
    </row>
    <row r="118" customFormat="false" ht="15" hidden="false" customHeight="false" outlineLevel="0" collapsed="false">
      <c r="A118" s="0" t="s">
        <v>3215</v>
      </c>
      <c r="B118" s="0" t="s">
        <v>169</v>
      </c>
      <c r="C118" s="0" t="s">
        <v>3205</v>
      </c>
      <c r="D118" s="0" t="n">
        <v>2013</v>
      </c>
      <c r="E118" s="0" t="s">
        <v>3216</v>
      </c>
      <c r="F118" s="0" t="n">
        <v>5466815</v>
      </c>
      <c r="G118" s="0" t="s">
        <v>3067</v>
      </c>
      <c r="H118" s="0" t="s">
        <v>3068</v>
      </c>
      <c r="I118" s="0" t="n">
        <v>5466.815</v>
      </c>
      <c r="J118" s="0" t="s">
        <v>3069</v>
      </c>
      <c r="M118" s="0" t="s">
        <v>2718</v>
      </c>
      <c r="N118" s="0" t="s">
        <v>170</v>
      </c>
      <c r="Q118" s="0" t="n">
        <v>90</v>
      </c>
      <c r="R118" s="0" t="n">
        <v>88</v>
      </c>
      <c r="U118" s="0" t="s">
        <v>3070</v>
      </c>
      <c r="V118" s="0" t="s">
        <v>3070</v>
      </c>
      <c r="Y118" s="0" t="s">
        <v>3071</v>
      </c>
      <c r="Z118" s="0" t="s">
        <v>3072</v>
      </c>
      <c r="AA118" s="0" t="s">
        <v>3217</v>
      </c>
      <c r="AC118" s="0" t="s">
        <v>3074</v>
      </c>
    </row>
    <row r="119" customFormat="false" ht="15" hidden="false" customHeight="false" outlineLevel="0" collapsed="false">
      <c r="A119" s="0" t="s">
        <v>3218</v>
      </c>
      <c r="B119" s="0" t="s">
        <v>169</v>
      </c>
      <c r="C119" s="0" t="s">
        <v>3205</v>
      </c>
      <c r="D119" s="0" t="n">
        <v>2013</v>
      </c>
      <c r="E119" s="0" t="s">
        <v>62</v>
      </c>
      <c r="F119" s="0" t="n">
        <v>321743748</v>
      </c>
      <c r="G119" s="0" t="s">
        <v>3067</v>
      </c>
      <c r="H119" s="0" t="s">
        <v>3068</v>
      </c>
      <c r="I119" s="0" t="n">
        <v>321743.748</v>
      </c>
      <c r="J119" s="0" t="s">
        <v>3069</v>
      </c>
      <c r="M119" s="0" t="s">
        <v>2718</v>
      </c>
      <c r="N119" s="0" t="s">
        <v>170</v>
      </c>
      <c r="Q119" s="0" t="n">
        <v>57</v>
      </c>
      <c r="R119" s="0" t="n">
        <v>55</v>
      </c>
      <c r="U119" s="0" t="s">
        <v>3070</v>
      </c>
      <c r="V119" s="0" t="s">
        <v>3070</v>
      </c>
      <c r="Y119" s="0" t="s">
        <v>3071</v>
      </c>
      <c r="Z119" s="0" t="s">
        <v>3072</v>
      </c>
      <c r="AA119" s="0" t="s">
        <v>3166</v>
      </c>
      <c r="AC119" s="0" t="s">
        <v>3074</v>
      </c>
    </row>
    <row r="120" customFormat="false" ht="15" hidden="false" customHeight="false" outlineLevel="0" collapsed="false">
      <c r="A120" s="0" t="s">
        <v>3219</v>
      </c>
      <c r="B120" s="0" t="s">
        <v>169</v>
      </c>
      <c r="C120" s="0" t="s">
        <v>3205</v>
      </c>
      <c r="D120" s="0" t="n">
        <v>2013</v>
      </c>
      <c r="E120" s="0" t="s">
        <v>58</v>
      </c>
      <c r="F120" s="0" t="n">
        <v>-41953972</v>
      </c>
      <c r="G120" s="0" t="s">
        <v>3067</v>
      </c>
      <c r="H120" s="0" t="s">
        <v>3068</v>
      </c>
      <c r="I120" s="0" t="n">
        <v>-41953.972</v>
      </c>
      <c r="J120" s="0" t="s">
        <v>3069</v>
      </c>
      <c r="M120" s="0" t="s">
        <v>2718</v>
      </c>
      <c r="N120" s="0" t="s">
        <v>170</v>
      </c>
      <c r="Q120" s="0" t="n">
        <v>60</v>
      </c>
      <c r="R120" s="0" t="n">
        <v>58</v>
      </c>
      <c r="U120" s="0" t="s">
        <v>3070</v>
      </c>
      <c r="V120" s="0" t="s">
        <v>3070</v>
      </c>
      <c r="Y120" s="0" t="s">
        <v>3071</v>
      </c>
      <c r="Z120" s="0" t="s">
        <v>3072</v>
      </c>
      <c r="AA120" s="0" t="s">
        <v>3166</v>
      </c>
      <c r="AC120" s="0" t="s">
        <v>3074</v>
      </c>
    </row>
    <row r="121" customFormat="false" ht="15" hidden="false" customHeight="false" outlineLevel="0" collapsed="false">
      <c r="A121" s="0" t="s">
        <v>3220</v>
      </c>
      <c r="B121" s="0" t="s">
        <v>169</v>
      </c>
      <c r="C121" s="0" t="s">
        <v>3205</v>
      </c>
      <c r="D121" s="0" t="n">
        <v>2013</v>
      </c>
      <c r="E121" s="0" t="s">
        <v>54</v>
      </c>
      <c r="F121" s="0" t="n">
        <v>8274864</v>
      </c>
      <c r="G121" s="0" t="s">
        <v>3067</v>
      </c>
      <c r="H121" s="0" t="s">
        <v>3068</v>
      </c>
      <c r="I121" s="0" t="n">
        <v>8274.864</v>
      </c>
      <c r="J121" s="0" t="s">
        <v>3069</v>
      </c>
      <c r="M121" s="0" t="s">
        <v>2718</v>
      </c>
      <c r="N121" s="0" t="s">
        <v>170</v>
      </c>
      <c r="Q121" s="0" t="n">
        <v>56</v>
      </c>
      <c r="R121" s="0" t="n">
        <v>54</v>
      </c>
      <c r="U121" s="0" t="s">
        <v>3070</v>
      </c>
      <c r="V121" s="0" t="s">
        <v>3070</v>
      </c>
      <c r="Y121" s="0" t="s">
        <v>3071</v>
      </c>
      <c r="Z121" s="0" t="s">
        <v>3072</v>
      </c>
      <c r="AA121" s="0" t="s">
        <v>3166</v>
      </c>
      <c r="AC121" s="0" t="s">
        <v>3074</v>
      </c>
    </row>
    <row r="122" customFormat="false" ht="15" hidden="false" customHeight="false" outlineLevel="0" collapsed="false">
      <c r="A122" s="0" t="s">
        <v>3221</v>
      </c>
      <c r="B122" s="0" t="s">
        <v>169</v>
      </c>
      <c r="C122" s="0" t="s">
        <v>3205</v>
      </c>
      <c r="D122" s="0" t="n">
        <v>2013</v>
      </c>
      <c r="E122" s="0" t="s">
        <v>65</v>
      </c>
      <c r="F122" s="0" t="n">
        <v>62978088</v>
      </c>
      <c r="G122" s="0" t="s">
        <v>3067</v>
      </c>
      <c r="H122" s="0" t="s">
        <v>3068</v>
      </c>
      <c r="I122" s="0" t="n">
        <v>62978.088</v>
      </c>
      <c r="J122" s="0" t="s">
        <v>3069</v>
      </c>
      <c r="M122" s="0" t="s">
        <v>2718</v>
      </c>
      <c r="N122" s="0" t="s">
        <v>170</v>
      </c>
      <c r="Q122" s="0" t="n">
        <v>132</v>
      </c>
      <c r="R122" s="0" t="n">
        <v>130</v>
      </c>
      <c r="U122" s="0" t="s">
        <v>3070</v>
      </c>
      <c r="V122" s="0" t="s">
        <v>3070</v>
      </c>
      <c r="Y122" s="0" t="s">
        <v>3071</v>
      </c>
      <c r="Z122" s="0" t="s">
        <v>3072</v>
      </c>
      <c r="AA122" s="0" t="s">
        <v>3208</v>
      </c>
      <c r="AC122" s="0" t="s">
        <v>3074</v>
      </c>
    </row>
    <row r="123" customFormat="false" ht="15" hidden="false" customHeight="false" outlineLevel="0" collapsed="false">
      <c r="A123" s="0" t="s">
        <v>3222</v>
      </c>
      <c r="B123" s="0" t="s">
        <v>169</v>
      </c>
      <c r="C123" s="0" t="s">
        <v>3205</v>
      </c>
      <c r="D123" s="0" t="n">
        <v>2013</v>
      </c>
      <c r="E123" s="0" t="s">
        <v>66</v>
      </c>
      <c r="F123" s="0" t="n">
        <v>448520341</v>
      </c>
      <c r="G123" s="0" t="s">
        <v>3067</v>
      </c>
      <c r="H123" s="0" t="s">
        <v>3068</v>
      </c>
      <c r="I123" s="0" t="n">
        <v>448520.341</v>
      </c>
      <c r="J123" s="0" t="s">
        <v>3069</v>
      </c>
      <c r="M123" s="0" t="s">
        <v>2718</v>
      </c>
      <c r="N123" s="0" t="s">
        <v>170</v>
      </c>
      <c r="Q123" s="0" t="n">
        <v>132</v>
      </c>
      <c r="R123" s="0" t="n">
        <v>130</v>
      </c>
      <c r="U123" s="0" t="s">
        <v>3070</v>
      </c>
      <c r="V123" s="0" t="s">
        <v>3070</v>
      </c>
      <c r="Y123" s="0" t="s">
        <v>3071</v>
      </c>
      <c r="Z123" s="0" t="s">
        <v>3072</v>
      </c>
      <c r="AA123" s="0" t="s">
        <v>3208</v>
      </c>
      <c r="AC123" s="0" t="s">
        <v>3074</v>
      </c>
    </row>
    <row r="124" customFormat="false" ht="15" hidden="false" customHeight="false" outlineLevel="0" collapsed="false">
      <c r="A124" s="0" t="s">
        <v>3223</v>
      </c>
      <c r="B124" s="0" t="s">
        <v>169</v>
      </c>
      <c r="C124" s="0" t="s">
        <v>3205</v>
      </c>
      <c r="D124" s="0" t="n">
        <v>2013</v>
      </c>
      <c r="E124" s="0" t="s">
        <v>55</v>
      </c>
      <c r="F124" s="0" t="n">
        <v>707797181</v>
      </c>
      <c r="G124" s="0" t="s">
        <v>3067</v>
      </c>
      <c r="H124" s="0" t="s">
        <v>3068</v>
      </c>
      <c r="I124" s="0" t="n">
        <v>707797.181</v>
      </c>
      <c r="J124" s="0" t="s">
        <v>3069</v>
      </c>
      <c r="M124" s="0" t="s">
        <v>2718</v>
      </c>
      <c r="N124" s="0" t="s">
        <v>170</v>
      </c>
      <c r="Q124" s="0" t="n">
        <v>57</v>
      </c>
      <c r="R124" s="0" t="n">
        <v>55</v>
      </c>
      <c r="U124" s="0" t="s">
        <v>3070</v>
      </c>
      <c r="V124" s="0" t="s">
        <v>3070</v>
      </c>
      <c r="Y124" s="0" t="s">
        <v>3071</v>
      </c>
      <c r="Z124" s="0" t="s">
        <v>3072</v>
      </c>
      <c r="AA124" s="0" t="s">
        <v>3166</v>
      </c>
      <c r="AC124" s="0" t="s">
        <v>3074</v>
      </c>
    </row>
    <row r="125" customFormat="false" ht="15" hidden="false" customHeight="false" outlineLevel="0" collapsed="false">
      <c r="A125" s="0" t="s">
        <v>3224</v>
      </c>
      <c r="B125" s="0" t="s">
        <v>169</v>
      </c>
      <c r="C125" s="0" t="s">
        <v>3205</v>
      </c>
      <c r="D125" s="0" t="n">
        <v>2013</v>
      </c>
      <c r="E125" s="0" t="s">
        <v>57</v>
      </c>
      <c r="F125" s="0" t="n">
        <v>63457896</v>
      </c>
      <c r="G125" s="0" t="s">
        <v>3067</v>
      </c>
      <c r="H125" s="0" t="s">
        <v>3068</v>
      </c>
      <c r="I125" s="0" t="n">
        <v>63457.896</v>
      </c>
      <c r="J125" s="0" t="s">
        <v>3069</v>
      </c>
      <c r="M125" s="0" t="s">
        <v>2718</v>
      </c>
      <c r="N125" s="0" t="s">
        <v>170</v>
      </c>
      <c r="Q125" s="0" t="n">
        <v>57</v>
      </c>
      <c r="R125" s="0" t="n">
        <v>55</v>
      </c>
      <c r="U125" s="0" t="s">
        <v>3070</v>
      </c>
      <c r="V125" s="0" t="s">
        <v>3070</v>
      </c>
      <c r="Y125" s="0" t="s">
        <v>3071</v>
      </c>
      <c r="Z125" s="0" t="s">
        <v>3072</v>
      </c>
      <c r="AA125" s="0" t="s">
        <v>3166</v>
      </c>
      <c r="AC125" s="0" t="s">
        <v>3074</v>
      </c>
    </row>
    <row r="126" customFormat="false" ht="15" hidden="false" customHeight="false" outlineLevel="0" collapsed="false">
      <c r="A126" s="0" t="s">
        <v>3225</v>
      </c>
      <c r="B126" s="0" t="s">
        <v>169</v>
      </c>
      <c r="C126" s="0" t="s">
        <v>3205</v>
      </c>
      <c r="D126" s="0" t="n">
        <v>2013</v>
      </c>
      <c r="E126" s="0" t="s">
        <v>56</v>
      </c>
      <c r="F126" s="0" t="n">
        <v>644339285</v>
      </c>
      <c r="G126" s="0" t="s">
        <v>3067</v>
      </c>
      <c r="H126" s="0" t="s">
        <v>3068</v>
      </c>
      <c r="I126" s="0" t="n">
        <v>644339.285</v>
      </c>
      <c r="J126" s="0" t="s">
        <v>3069</v>
      </c>
      <c r="M126" s="0" t="s">
        <v>2718</v>
      </c>
      <c r="N126" s="0" t="s">
        <v>170</v>
      </c>
      <c r="Q126" s="0" t="n">
        <v>57</v>
      </c>
      <c r="R126" s="0" t="n">
        <v>55</v>
      </c>
      <c r="U126" s="0" t="s">
        <v>3070</v>
      </c>
      <c r="V126" s="0" t="s">
        <v>3070</v>
      </c>
      <c r="Y126" s="0" t="s">
        <v>3071</v>
      </c>
      <c r="Z126" s="0" t="s">
        <v>3072</v>
      </c>
      <c r="AA126" s="0" t="s">
        <v>3166</v>
      </c>
      <c r="AC126" s="0" t="s">
        <v>3074</v>
      </c>
    </row>
    <row r="127" customFormat="false" ht="15" hidden="false" customHeight="false" outlineLevel="0" collapsed="false">
      <c r="A127" s="0" t="s">
        <v>3226</v>
      </c>
      <c r="B127" s="0" t="s">
        <v>169</v>
      </c>
      <c r="C127" s="0" t="s">
        <v>3205</v>
      </c>
      <c r="D127" s="0" t="n">
        <v>2014</v>
      </c>
      <c r="E127" s="0" t="s">
        <v>69</v>
      </c>
      <c r="F127" s="0" t="n">
        <v>14</v>
      </c>
      <c r="G127" s="0" t="s">
        <v>3079</v>
      </c>
      <c r="I127" s="0" t="n">
        <v>14</v>
      </c>
      <c r="J127" s="0" t="s">
        <v>3069</v>
      </c>
      <c r="M127" s="0" t="s">
        <v>2718</v>
      </c>
      <c r="N127" s="0" t="s">
        <v>170</v>
      </c>
      <c r="Q127" s="0" t="n">
        <v>132</v>
      </c>
      <c r="R127" s="0" t="n">
        <v>130</v>
      </c>
      <c r="U127" s="0" t="s">
        <v>3087</v>
      </c>
      <c r="V127" s="0" t="s">
        <v>3087</v>
      </c>
      <c r="Y127" s="0" t="s">
        <v>3071</v>
      </c>
      <c r="Z127" s="0" t="s">
        <v>3072</v>
      </c>
      <c r="AA127" s="0" t="s">
        <v>3206</v>
      </c>
      <c r="AC127" s="0" t="s">
        <v>3074</v>
      </c>
    </row>
    <row r="128" customFormat="false" ht="15" hidden="false" customHeight="false" outlineLevel="0" collapsed="false">
      <c r="A128" s="0" t="s">
        <v>3227</v>
      </c>
      <c r="B128" s="0" t="s">
        <v>169</v>
      </c>
      <c r="C128" s="0" t="s">
        <v>3205</v>
      </c>
      <c r="D128" s="0" t="n">
        <v>2014</v>
      </c>
      <c r="E128" s="0" t="s">
        <v>545</v>
      </c>
      <c r="F128" s="0" t="n">
        <v>3146674</v>
      </c>
      <c r="G128" s="0" t="s">
        <v>3067</v>
      </c>
      <c r="H128" s="0" t="s">
        <v>3068</v>
      </c>
      <c r="I128" s="0" t="n">
        <v>3146.674</v>
      </c>
      <c r="J128" s="0" t="s">
        <v>3069</v>
      </c>
      <c r="M128" s="0" t="s">
        <v>2718</v>
      </c>
      <c r="N128" s="0" t="s">
        <v>170</v>
      </c>
      <c r="Q128" s="0" t="n">
        <v>89</v>
      </c>
      <c r="R128" s="0" t="n">
        <v>87</v>
      </c>
      <c r="U128" s="0" t="s">
        <v>3087</v>
      </c>
      <c r="V128" s="0" t="s">
        <v>3087</v>
      </c>
      <c r="Y128" s="0" t="s">
        <v>3071</v>
      </c>
      <c r="Z128" s="0" t="s">
        <v>3072</v>
      </c>
      <c r="AA128" s="0" t="s">
        <v>3208</v>
      </c>
      <c r="AC128" s="0" t="s">
        <v>3074</v>
      </c>
    </row>
    <row r="129" customFormat="false" ht="15" hidden="false" customHeight="false" outlineLevel="0" collapsed="false">
      <c r="A129" s="0" t="s">
        <v>3228</v>
      </c>
      <c r="B129" s="0" t="s">
        <v>169</v>
      </c>
      <c r="C129" s="0" t="s">
        <v>3205</v>
      </c>
      <c r="D129" s="0" t="n">
        <v>2014</v>
      </c>
      <c r="E129" s="0" t="s">
        <v>3066</v>
      </c>
      <c r="F129" s="0" t="n">
        <v>655944127</v>
      </c>
      <c r="G129" s="0" t="s">
        <v>3067</v>
      </c>
      <c r="H129" s="0" t="s">
        <v>3068</v>
      </c>
      <c r="I129" s="0" t="n">
        <v>655944.127</v>
      </c>
      <c r="J129" s="0" t="s">
        <v>3069</v>
      </c>
      <c r="M129" s="0" t="s">
        <v>2718</v>
      </c>
      <c r="N129" s="0" t="s">
        <v>170</v>
      </c>
      <c r="Q129" s="0" t="n">
        <v>57</v>
      </c>
      <c r="R129" s="0" t="n">
        <v>55</v>
      </c>
      <c r="U129" s="0" t="s">
        <v>3087</v>
      </c>
      <c r="V129" s="0" t="s">
        <v>3087</v>
      </c>
      <c r="Y129" s="0" t="s">
        <v>3071</v>
      </c>
      <c r="Z129" s="0" t="s">
        <v>3072</v>
      </c>
      <c r="AA129" s="0" t="s">
        <v>3166</v>
      </c>
      <c r="AC129" s="0" t="s">
        <v>3074</v>
      </c>
    </row>
    <row r="130" customFormat="false" ht="15" hidden="false" customHeight="false" outlineLevel="0" collapsed="false">
      <c r="A130" s="0" t="s">
        <v>3229</v>
      </c>
      <c r="B130" s="0" t="s">
        <v>169</v>
      </c>
      <c r="C130" s="0" t="s">
        <v>3205</v>
      </c>
      <c r="D130" s="0" t="n">
        <v>2014</v>
      </c>
      <c r="E130" s="0" t="s">
        <v>60</v>
      </c>
      <c r="F130" s="0" t="n">
        <v>380924400</v>
      </c>
      <c r="G130" s="0" t="s">
        <v>3067</v>
      </c>
      <c r="H130" s="0" t="s">
        <v>3068</v>
      </c>
      <c r="I130" s="0" t="n">
        <v>380924.4</v>
      </c>
      <c r="J130" s="0" t="s">
        <v>3069</v>
      </c>
      <c r="M130" s="0" t="s">
        <v>2718</v>
      </c>
      <c r="N130" s="0" t="s">
        <v>170</v>
      </c>
      <c r="Q130" s="0" t="n">
        <v>90</v>
      </c>
      <c r="R130" s="0" t="n">
        <v>88</v>
      </c>
      <c r="U130" s="0" t="s">
        <v>3087</v>
      </c>
      <c r="V130" s="0" t="s">
        <v>3087</v>
      </c>
      <c r="Y130" s="0" t="s">
        <v>3071</v>
      </c>
      <c r="Z130" s="0" t="s">
        <v>3072</v>
      </c>
      <c r="AA130" s="0" t="s">
        <v>3211</v>
      </c>
      <c r="AC130" s="0" t="s">
        <v>3074</v>
      </c>
    </row>
    <row r="131" customFormat="false" ht="15" hidden="false" customHeight="false" outlineLevel="0" collapsed="false">
      <c r="A131" s="0" t="s">
        <v>3230</v>
      </c>
      <c r="B131" s="0" t="s">
        <v>169</v>
      </c>
      <c r="C131" s="0" t="s">
        <v>3205</v>
      </c>
      <c r="D131" s="0" t="n">
        <v>2014</v>
      </c>
      <c r="E131" s="0" t="s">
        <v>63</v>
      </c>
      <c r="F131" s="0" t="n">
        <v>7389159</v>
      </c>
      <c r="G131" s="0" t="s">
        <v>3067</v>
      </c>
      <c r="H131" s="0" t="s">
        <v>3068</v>
      </c>
      <c r="I131" s="0" t="n">
        <v>7389.159</v>
      </c>
      <c r="J131" s="0" t="s">
        <v>3069</v>
      </c>
      <c r="M131" s="0" t="s">
        <v>2718</v>
      </c>
      <c r="N131" s="0" t="s">
        <v>170</v>
      </c>
      <c r="Q131" s="0" t="n">
        <v>56</v>
      </c>
      <c r="R131" s="0" t="n">
        <v>54</v>
      </c>
      <c r="U131" s="0" t="s">
        <v>3087</v>
      </c>
      <c r="V131" s="0" t="s">
        <v>3087</v>
      </c>
      <c r="Y131" s="0" t="s">
        <v>3071</v>
      </c>
      <c r="Z131" s="0" t="s">
        <v>3072</v>
      </c>
      <c r="AA131" s="0" t="s">
        <v>3213</v>
      </c>
      <c r="AC131" s="0" t="s">
        <v>3074</v>
      </c>
    </row>
    <row r="132" customFormat="false" ht="15" hidden="false" customHeight="false" outlineLevel="0" collapsed="false">
      <c r="A132" s="0" t="s">
        <v>3231</v>
      </c>
      <c r="B132" s="0" t="s">
        <v>169</v>
      </c>
      <c r="C132" s="0" t="s">
        <v>3205</v>
      </c>
      <c r="D132" s="0" t="n">
        <v>2014</v>
      </c>
      <c r="E132" s="0" t="s">
        <v>543</v>
      </c>
      <c r="F132" s="0" t="n">
        <v>6531453</v>
      </c>
      <c r="G132" s="0" t="s">
        <v>3067</v>
      </c>
      <c r="H132" s="0" t="s">
        <v>3068</v>
      </c>
      <c r="I132" s="0" t="n">
        <v>6531.453</v>
      </c>
      <c r="J132" s="0" t="s">
        <v>3069</v>
      </c>
      <c r="M132" s="0" t="s">
        <v>2718</v>
      </c>
      <c r="N132" s="0" t="s">
        <v>170</v>
      </c>
      <c r="Q132" s="0" t="n">
        <v>89</v>
      </c>
      <c r="R132" s="0" t="n">
        <v>87</v>
      </c>
      <c r="U132" s="0" t="s">
        <v>3087</v>
      </c>
      <c r="V132" s="0" t="s">
        <v>3087</v>
      </c>
      <c r="Y132" s="0" t="s">
        <v>3071</v>
      </c>
      <c r="Z132" s="0" t="s">
        <v>3072</v>
      </c>
      <c r="AA132" s="0" t="s">
        <v>3208</v>
      </c>
      <c r="AC132" s="0" t="s">
        <v>3074</v>
      </c>
    </row>
    <row r="133" customFormat="false" ht="15" hidden="false" customHeight="false" outlineLevel="0" collapsed="false">
      <c r="A133" s="0" t="s">
        <v>3232</v>
      </c>
      <c r="B133" s="0" t="s">
        <v>169</v>
      </c>
      <c r="C133" s="0" t="s">
        <v>3205</v>
      </c>
      <c r="D133" s="0" t="n">
        <v>2014</v>
      </c>
      <c r="E133" s="0" t="s">
        <v>3216</v>
      </c>
      <c r="F133" s="0" t="n">
        <v>9853890</v>
      </c>
      <c r="G133" s="0" t="s">
        <v>3067</v>
      </c>
      <c r="H133" s="0" t="s">
        <v>3068</v>
      </c>
      <c r="I133" s="0" t="n">
        <v>9853.89</v>
      </c>
      <c r="J133" s="0" t="s">
        <v>3069</v>
      </c>
      <c r="M133" s="0" t="s">
        <v>2718</v>
      </c>
      <c r="N133" s="0" t="s">
        <v>170</v>
      </c>
      <c r="Q133" s="0" t="n">
        <v>90</v>
      </c>
      <c r="R133" s="0" t="n">
        <v>88</v>
      </c>
      <c r="U133" s="0" t="s">
        <v>3087</v>
      </c>
      <c r="V133" s="0" t="s">
        <v>3087</v>
      </c>
      <c r="Y133" s="0" t="s">
        <v>3071</v>
      </c>
      <c r="Z133" s="0" t="s">
        <v>3072</v>
      </c>
      <c r="AA133" s="0" t="s">
        <v>3217</v>
      </c>
      <c r="AC133" s="0" t="s">
        <v>3074</v>
      </c>
    </row>
    <row r="134" customFormat="false" ht="15" hidden="false" customHeight="false" outlineLevel="0" collapsed="false">
      <c r="A134" s="0" t="s">
        <v>3233</v>
      </c>
      <c r="B134" s="0" t="s">
        <v>169</v>
      </c>
      <c r="C134" s="0" t="s">
        <v>3205</v>
      </c>
      <c r="D134" s="0" t="n">
        <v>2014</v>
      </c>
      <c r="E134" s="0" t="s">
        <v>71</v>
      </c>
      <c r="F134" s="0" t="n">
        <v>34</v>
      </c>
      <c r="G134" s="0" t="s">
        <v>3079</v>
      </c>
      <c r="I134" s="0" t="n">
        <v>34</v>
      </c>
      <c r="J134" s="0" t="s">
        <v>3069</v>
      </c>
      <c r="M134" s="0" t="s">
        <v>2718</v>
      </c>
      <c r="N134" s="0" t="s">
        <v>170</v>
      </c>
      <c r="Q134" s="0" t="n">
        <v>32</v>
      </c>
      <c r="R134" s="0" t="n">
        <v>30</v>
      </c>
      <c r="U134" s="0" t="s">
        <v>3087</v>
      </c>
      <c r="V134" s="0" t="s">
        <v>3087</v>
      </c>
      <c r="Y134" s="0" t="s">
        <v>3071</v>
      </c>
      <c r="Z134" s="0" t="s">
        <v>3072</v>
      </c>
      <c r="AA134" s="0" t="s">
        <v>3234</v>
      </c>
      <c r="AC134" s="0" t="s">
        <v>3074</v>
      </c>
    </row>
    <row r="135" customFormat="false" ht="15" hidden="false" customHeight="false" outlineLevel="0" collapsed="false">
      <c r="A135" s="0" t="s">
        <v>3235</v>
      </c>
      <c r="B135" s="0" t="s">
        <v>169</v>
      </c>
      <c r="C135" s="0" t="s">
        <v>3205</v>
      </c>
      <c r="D135" s="0" t="n">
        <v>2014</v>
      </c>
      <c r="E135" s="0" t="s">
        <v>62</v>
      </c>
      <c r="F135" s="0" t="n">
        <v>371246273</v>
      </c>
      <c r="G135" s="0" t="s">
        <v>3067</v>
      </c>
      <c r="H135" s="0" t="s">
        <v>3068</v>
      </c>
      <c r="I135" s="0" t="n">
        <v>371246.273</v>
      </c>
      <c r="J135" s="0" t="s">
        <v>3069</v>
      </c>
      <c r="M135" s="0" t="s">
        <v>2718</v>
      </c>
      <c r="N135" s="0" t="s">
        <v>170</v>
      </c>
      <c r="Q135" s="0" t="n">
        <v>57</v>
      </c>
      <c r="R135" s="0" t="n">
        <v>55</v>
      </c>
      <c r="U135" s="0" t="s">
        <v>3087</v>
      </c>
      <c r="V135" s="0" t="s">
        <v>3087</v>
      </c>
      <c r="Y135" s="0" t="s">
        <v>3071</v>
      </c>
      <c r="Z135" s="0" t="s">
        <v>3072</v>
      </c>
      <c r="AA135" s="0" t="s">
        <v>3166</v>
      </c>
      <c r="AC135" s="0" t="s">
        <v>3074</v>
      </c>
    </row>
    <row r="136" customFormat="false" ht="15" hidden="false" customHeight="false" outlineLevel="0" collapsed="false">
      <c r="A136" s="0" t="s">
        <v>3236</v>
      </c>
      <c r="B136" s="0" t="s">
        <v>169</v>
      </c>
      <c r="C136" s="0" t="s">
        <v>3205</v>
      </c>
      <c r="D136" s="0" t="n">
        <v>2014</v>
      </c>
      <c r="E136" s="0" t="s">
        <v>58</v>
      </c>
      <c r="F136" s="0" t="n">
        <v>-755006</v>
      </c>
      <c r="G136" s="0" t="s">
        <v>3067</v>
      </c>
      <c r="H136" s="0" t="s">
        <v>3068</v>
      </c>
      <c r="I136" s="0" t="n">
        <v>-755.006</v>
      </c>
      <c r="J136" s="0" t="s">
        <v>3069</v>
      </c>
      <c r="M136" s="0" t="s">
        <v>2718</v>
      </c>
      <c r="N136" s="0" t="s">
        <v>170</v>
      </c>
      <c r="Q136" s="0" t="n">
        <v>60</v>
      </c>
      <c r="R136" s="0" t="n">
        <v>58</v>
      </c>
      <c r="U136" s="0" t="s">
        <v>3087</v>
      </c>
      <c r="V136" s="0" t="s">
        <v>3087</v>
      </c>
      <c r="Y136" s="0" t="s">
        <v>3071</v>
      </c>
      <c r="Z136" s="0" t="s">
        <v>3072</v>
      </c>
      <c r="AA136" s="0" t="s">
        <v>3166</v>
      </c>
      <c r="AC136" s="0" t="s">
        <v>3074</v>
      </c>
    </row>
    <row r="137" customFormat="false" ht="15" hidden="false" customHeight="false" outlineLevel="0" collapsed="false">
      <c r="A137" s="0" t="s">
        <v>3237</v>
      </c>
      <c r="B137" s="0" t="s">
        <v>169</v>
      </c>
      <c r="C137" s="0" t="s">
        <v>3205</v>
      </c>
      <c r="D137" s="0" t="n">
        <v>2014</v>
      </c>
      <c r="E137" s="0" t="s">
        <v>54</v>
      </c>
      <c r="F137" s="0" t="n">
        <v>9004973</v>
      </c>
      <c r="G137" s="0" t="s">
        <v>3067</v>
      </c>
      <c r="H137" s="0" t="s">
        <v>3068</v>
      </c>
      <c r="I137" s="0" t="n">
        <v>9004.973</v>
      </c>
      <c r="J137" s="0" t="s">
        <v>3069</v>
      </c>
      <c r="M137" s="0" t="s">
        <v>2718</v>
      </c>
      <c r="N137" s="0" t="s">
        <v>170</v>
      </c>
      <c r="Q137" s="0" t="n">
        <v>56</v>
      </c>
      <c r="R137" s="0" t="n">
        <v>54</v>
      </c>
      <c r="U137" s="0" t="s">
        <v>3087</v>
      </c>
      <c r="V137" s="0" t="s">
        <v>3087</v>
      </c>
      <c r="Y137" s="0" t="s">
        <v>3071</v>
      </c>
      <c r="Z137" s="0" t="s">
        <v>3072</v>
      </c>
      <c r="AA137" s="0" t="s">
        <v>3166</v>
      </c>
      <c r="AC137" s="0" t="s">
        <v>3074</v>
      </c>
    </row>
    <row r="138" customFormat="false" ht="15" hidden="false" customHeight="false" outlineLevel="0" collapsed="false">
      <c r="A138" s="0" t="s">
        <v>3238</v>
      </c>
      <c r="B138" s="0" t="s">
        <v>169</v>
      </c>
      <c r="C138" s="0" t="s">
        <v>3205</v>
      </c>
      <c r="D138" s="0" t="n">
        <v>2014</v>
      </c>
      <c r="E138" s="0" t="s">
        <v>65</v>
      </c>
      <c r="F138" s="0" t="n">
        <v>78426986</v>
      </c>
      <c r="G138" s="0" t="s">
        <v>3067</v>
      </c>
      <c r="H138" s="0" t="s">
        <v>3068</v>
      </c>
      <c r="I138" s="0" t="n">
        <v>78426.986</v>
      </c>
      <c r="J138" s="0" t="s">
        <v>3069</v>
      </c>
      <c r="M138" s="0" t="s">
        <v>2718</v>
      </c>
      <c r="N138" s="0" t="s">
        <v>170</v>
      </c>
      <c r="Q138" s="0" t="n">
        <v>132</v>
      </c>
      <c r="R138" s="0" t="n">
        <v>130</v>
      </c>
      <c r="U138" s="0" t="s">
        <v>3087</v>
      </c>
      <c r="V138" s="0" t="s">
        <v>3087</v>
      </c>
      <c r="Y138" s="0" t="s">
        <v>3071</v>
      </c>
      <c r="Z138" s="0" t="s">
        <v>3072</v>
      </c>
      <c r="AA138" s="0" t="s">
        <v>3208</v>
      </c>
      <c r="AC138" s="0" t="s">
        <v>3074</v>
      </c>
    </row>
    <row r="139" customFormat="false" ht="15" hidden="false" customHeight="false" outlineLevel="0" collapsed="false">
      <c r="A139" s="0" t="s">
        <v>3239</v>
      </c>
      <c r="B139" s="0" t="s">
        <v>169</v>
      </c>
      <c r="C139" s="0" t="s">
        <v>3205</v>
      </c>
      <c r="D139" s="0" t="n">
        <v>2014</v>
      </c>
      <c r="E139" s="0" t="s">
        <v>66</v>
      </c>
      <c r="F139" s="0" t="n">
        <v>566686606</v>
      </c>
      <c r="G139" s="0" t="s">
        <v>3067</v>
      </c>
      <c r="H139" s="0" t="s">
        <v>3068</v>
      </c>
      <c r="I139" s="0" t="n">
        <v>566686.606</v>
      </c>
      <c r="J139" s="0" t="s">
        <v>3069</v>
      </c>
      <c r="M139" s="0" t="s">
        <v>2718</v>
      </c>
      <c r="N139" s="0" t="s">
        <v>170</v>
      </c>
      <c r="Q139" s="0" t="n">
        <v>132</v>
      </c>
      <c r="R139" s="0" t="n">
        <v>130</v>
      </c>
      <c r="U139" s="0" t="s">
        <v>3087</v>
      </c>
      <c r="V139" s="0" t="s">
        <v>3087</v>
      </c>
      <c r="Y139" s="0" t="s">
        <v>3071</v>
      </c>
      <c r="Z139" s="0" t="s">
        <v>3072</v>
      </c>
      <c r="AA139" s="0" t="s">
        <v>3208</v>
      </c>
      <c r="AC139" s="0" t="s">
        <v>3074</v>
      </c>
    </row>
    <row r="140" customFormat="false" ht="15" hidden="false" customHeight="false" outlineLevel="0" collapsed="false">
      <c r="A140" s="0" t="s">
        <v>3240</v>
      </c>
      <c r="B140" s="0" t="s">
        <v>169</v>
      </c>
      <c r="C140" s="0" t="s">
        <v>3205</v>
      </c>
      <c r="D140" s="0" t="n">
        <v>2014</v>
      </c>
      <c r="E140" s="0" t="s">
        <v>55</v>
      </c>
      <c r="F140" s="0" t="n">
        <v>824539426</v>
      </c>
      <c r="G140" s="0" t="s">
        <v>3067</v>
      </c>
      <c r="H140" s="0" t="s">
        <v>3068</v>
      </c>
      <c r="I140" s="0" t="n">
        <v>824539.426</v>
      </c>
      <c r="J140" s="0" t="s">
        <v>3069</v>
      </c>
      <c r="M140" s="0" t="s">
        <v>2718</v>
      </c>
      <c r="N140" s="0" t="s">
        <v>170</v>
      </c>
      <c r="Q140" s="0" t="n">
        <v>57</v>
      </c>
      <c r="R140" s="0" t="n">
        <v>55</v>
      </c>
      <c r="U140" s="0" t="s">
        <v>3087</v>
      </c>
      <c r="V140" s="0" t="s">
        <v>3087</v>
      </c>
      <c r="Y140" s="0" t="s">
        <v>3071</v>
      </c>
      <c r="Z140" s="0" t="s">
        <v>3072</v>
      </c>
      <c r="AA140" s="0" t="s">
        <v>3166</v>
      </c>
      <c r="AC140" s="0" t="s">
        <v>3074</v>
      </c>
    </row>
    <row r="141" customFormat="false" ht="15" hidden="false" customHeight="false" outlineLevel="0" collapsed="false">
      <c r="A141" s="0" t="s">
        <v>3241</v>
      </c>
      <c r="B141" s="0" t="s">
        <v>169</v>
      </c>
      <c r="C141" s="0" t="s">
        <v>3205</v>
      </c>
      <c r="D141" s="0" t="n">
        <v>2014</v>
      </c>
      <c r="E141" s="0" t="s">
        <v>57</v>
      </c>
      <c r="F141" s="0" t="n">
        <v>84715285</v>
      </c>
      <c r="G141" s="0" t="s">
        <v>3067</v>
      </c>
      <c r="H141" s="0" t="s">
        <v>3068</v>
      </c>
      <c r="I141" s="0" t="n">
        <v>84715.285</v>
      </c>
      <c r="J141" s="0" t="s">
        <v>3069</v>
      </c>
      <c r="M141" s="0" t="s">
        <v>2718</v>
      </c>
      <c r="N141" s="0" t="s">
        <v>170</v>
      </c>
      <c r="Q141" s="0" t="n">
        <v>57</v>
      </c>
      <c r="R141" s="0" t="n">
        <v>55</v>
      </c>
      <c r="U141" s="0" t="s">
        <v>3087</v>
      </c>
      <c r="V141" s="0" t="s">
        <v>3087</v>
      </c>
      <c r="Y141" s="0" t="s">
        <v>3071</v>
      </c>
      <c r="Z141" s="0" t="s">
        <v>3072</v>
      </c>
      <c r="AA141" s="0" t="s">
        <v>3166</v>
      </c>
      <c r="AC141" s="0" t="s">
        <v>3074</v>
      </c>
    </row>
    <row r="142" customFormat="false" ht="15" hidden="false" customHeight="false" outlineLevel="0" collapsed="false">
      <c r="A142" s="0" t="s">
        <v>3242</v>
      </c>
      <c r="B142" s="0" t="s">
        <v>169</v>
      </c>
      <c r="C142" s="0" t="s">
        <v>3205</v>
      </c>
      <c r="D142" s="0" t="n">
        <v>2014</v>
      </c>
      <c r="E142" s="0" t="s">
        <v>56</v>
      </c>
      <c r="F142" s="0" t="n">
        <v>739824141</v>
      </c>
      <c r="G142" s="0" t="s">
        <v>3067</v>
      </c>
      <c r="H142" s="0" t="s">
        <v>3068</v>
      </c>
      <c r="I142" s="0" t="n">
        <v>739824.141</v>
      </c>
      <c r="J142" s="0" t="s">
        <v>3069</v>
      </c>
      <c r="M142" s="0" t="s">
        <v>2718</v>
      </c>
      <c r="N142" s="0" t="s">
        <v>170</v>
      </c>
      <c r="Q142" s="0" t="n">
        <v>57</v>
      </c>
      <c r="R142" s="0" t="n">
        <v>55</v>
      </c>
      <c r="U142" s="0" t="s">
        <v>3087</v>
      </c>
      <c r="V142" s="0" t="s">
        <v>3087</v>
      </c>
      <c r="Y142" s="0" t="s">
        <v>3071</v>
      </c>
      <c r="Z142" s="0" t="s">
        <v>3072</v>
      </c>
      <c r="AA142" s="0" t="s">
        <v>3166</v>
      </c>
      <c r="AC142" s="0" t="s">
        <v>3074</v>
      </c>
    </row>
    <row r="143" customFormat="false" ht="15" hidden="false" customHeight="false" outlineLevel="0" collapsed="false">
      <c r="A143" s="0" t="s">
        <v>3243</v>
      </c>
      <c r="B143" s="0" t="s">
        <v>169</v>
      </c>
      <c r="C143" s="0" t="s">
        <v>3205</v>
      </c>
      <c r="D143" s="0" t="n">
        <v>2018</v>
      </c>
      <c r="E143" s="0" t="s">
        <v>70</v>
      </c>
      <c r="F143" s="0" t="n">
        <v>10</v>
      </c>
      <c r="G143" s="0" t="s">
        <v>3143</v>
      </c>
      <c r="I143" s="0" t="n">
        <v>10</v>
      </c>
      <c r="J143" s="0" t="s">
        <v>3069</v>
      </c>
      <c r="M143" s="0" t="s">
        <v>2722</v>
      </c>
      <c r="N143" s="0" t="s">
        <v>174</v>
      </c>
      <c r="Q143" s="0" t="n">
        <v>184</v>
      </c>
      <c r="R143" s="0" t="n">
        <v>183</v>
      </c>
      <c r="U143" s="0" t="s">
        <v>3244</v>
      </c>
      <c r="V143" s="0" t="s">
        <v>3244</v>
      </c>
      <c r="Y143" s="0" t="s">
        <v>3071</v>
      </c>
      <c r="Z143" s="0" t="s">
        <v>3072</v>
      </c>
      <c r="AA143" s="0" t="s">
        <v>3245</v>
      </c>
      <c r="AC143" s="0" t="s">
        <v>3074</v>
      </c>
    </row>
    <row r="144" customFormat="false" ht="15" hidden="false" customHeight="false" outlineLevel="0" collapsed="false">
      <c r="A144" s="0" t="s">
        <v>3246</v>
      </c>
      <c r="B144" s="0" t="s">
        <v>169</v>
      </c>
      <c r="C144" s="0" t="s">
        <v>3205</v>
      </c>
      <c r="D144" s="0" t="n">
        <v>2018</v>
      </c>
      <c r="E144" s="0" t="s">
        <v>69</v>
      </c>
      <c r="F144" s="0" t="n">
        <v>12.86</v>
      </c>
      <c r="G144" s="0" t="s">
        <v>3143</v>
      </c>
      <c r="I144" s="0" t="n">
        <v>12.86</v>
      </c>
      <c r="J144" s="0" t="s">
        <v>3069</v>
      </c>
      <c r="M144" s="0" t="s">
        <v>2722</v>
      </c>
      <c r="N144" s="0" t="s">
        <v>174</v>
      </c>
      <c r="Q144" s="0" t="n">
        <v>185</v>
      </c>
      <c r="R144" s="0" t="n">
        <v>184</v>
      </c>
      <c r="U144" s="0" t="s">
        <v>3244</v>
      </c>
      <c r="V144" s="0" t="s">
        <v>3244</v>
      </c>
      <c r="Y144" s="0" t="s">
        <v>3071</v>
      </c>
      <c r="Z144" s="0" t="s">
        <v>3072</v>
      </c>
      <c r="AA144" s="0" t="s">
        <v>3247</v>
      </c>
      <c r="AC144" s="0" t="s">
        <v>3074</v>
      </c>
    </row>
    <row r="145" customFormat="false" ht="15" hidden="false" customHeight="false" outlineLevel="0" collapsed="false">
      <c r="A145" s="0" t="s">
        <v>3248</v>
      </c>
      <c r="B145" s="0" t="s">
        <v>169</v>
      </c>
      <c r="C145" s="0" t="s">
        <v>3205</v>
      </c>
      <c r="D145" s="0" t="n">
        <v>2018</v>
      </c>
      <c r="E145" s="0" t="s">
        <v>3249</v>
      </c>
      <c r="F145" s="0" t="n">
        <v>17991</v>
      </c>
      <c r="G145" s="0" t="s">
        <v>3101</v>
      </c>
      <c r="H145" s="0" t="s">
        <v>3068</v>
      </c>
      <c r="I145" s="0" t="n">
        <v>17991</v>
      </c>
      <c r="J145" s="0" t="s">
        <v>3069</v>
      </c>
      <c r="M145" s="0" t="s">
        <v>2722</v>
      </c>
      <c r="N145" s="0" t="s">
        <v>174</v>
      </c>
      <c r="Q145" s="0" t="n">
        <v>87</v>
      </c>
      <c r="R145" s="0" t="n">
        <v>86</v>
      </c>
      <c r="U145" s="0" t="s">
        <v>3244</v>
      </c>
      <c r="V145" s="0" t="s">
        <v>3244</v>
      </c>
      <c r="Y145" s="0" t="s">
        <v>3071</v>
      </c>
      <c r="Z145" s="0" t="s">
        <v>3072</v>
      </c>
      <c r="AA145" s="0" t="s">
        <v>3250</v>
      </c>
      <c r="AC145" s="0" t="s">
        <v>3074</v>
      </c>
    </row>
    <row r="146" customFormat="false" ht="15" hidden="false" customHeight="false" outlineLevel="0" collapsed="false">
      <c r="A146" s="0" t="s">
        <v>3251</v>
      </c>
      <c r="B146" s="0" t="s">
        <v>169</v>
      </c>
      <c r="C146" s="0" t="s">
        <v>3205</v>
      </c>
      <c r="D146" s="0" t="n">
        <v>2018</v>
      </c>
      <c r="E146" s="0" t="s">
        <v>3066</v>
      </c>
      <c r="F146" s="0" t="n">
        <v>760608</v>
      </c>
      <c r="G146" s="0" t="s">
        <v>3101</v>
      </c>
      <c r="H146" s="0" t="s">
        <v>3068</v>
      </c>
      <c r="I146" s="0" t="n">
        <v>760608</v>
      </c>
      <c r="J146" s="0" t="s">
        <v>3069</v>
      </c>
      <c r="M146" s="0" t="s">
        <v>2722</v>
      </c>
      <c r="N146" s="0" t="s">
        <v>174</v>
      </c>
      <c r="Q146" s="0" t="n">
        <v>33</v>
      </c>
      <c r="R146" s="0" t="n">
        <v>32</v>
      </c>
      <c r="U146" s="0" t="s">
        <v>3244</v>
      </c>
      <c r="V146" s="0" t="s">
        <v>3244</v>
      </c>
      <c r="Y146" s="0" t="s">
        <v>3071</v>
      </c>
      <c r="Z146" s="0" t="s">
        <v>3072</v>
      </c>
      <c r="AA146" s="0" t="s">
        <v>3250</v>
      </c>
      <c r="AC146" s="0" t="s">
        <v>3074</v>
      </c>
    </row>
    <row r="147" customFormat="false" ht="15" hidden="false" customHeight="false" outlineLevel="0" collapsed="false">
      <c r="A147" s="0" t="s">
        <v>3252</v>
      </c>
      <c r="B147" s="0" t="s">
        <v>169</v>
      </c>
      <c r="C147" s="0" t="s">
        <v>3205</v>
      </c>
      <c r="D147" s="0" t="n">
        <v>2018</v>
      </c>
      <c r="E147" s="0" t="s">
        <v>60</v>
      </c>
      <c r="F147" s="0" t="n">
        <v>640678</v>
      </c>
      <c r="G147" s="0" t="s">
        <v>3101</v>
      </c>
      <c r="H147" s="0" t="s">
        <v>3068</v>
      </c>
      <c r="I147" s="0" t="n">
        <v>640678</v>
      </c>
      <c r="J147" s="0" t="s">
        <v>3069</v>
      </c>
      <c r="M147" s="0" t="s">
        <v>2722</v>
      </c>
      <c r="N147" s="0" t="s">
        <v>174</v>
      </c>
      <c r="Q147" s="0" t="n">
        <v>87</v>
      </c>
      <c r="R147" s="0" t="n">
        <v>86</v>
      </c>
      <c r="U147" s="0" t="s">
        <v>3244</v>
      </c>
      <c r="V147" s="0" t="s">
        <v>3244</v>
      </c>
      <c r="Y147" s="0" t="s">
        <v>3071</v>
      </c>
      <c r="Z147" s="0" t="s">
        <v>3072</v>
      </c>
      <c r="AA147" s="0" t="s">
        <v>3250</v>
      </c>
      <c r="AC147" s="0" t="s">
        <v>3074</v>
      </c>
    </row>
    <row r="148" customFormat="false" ht="15" hidden="false" customHeight="false" outlineLevel="0" collapsed="false">
      <c r="A148" s="0" t="s">
        <v>3253</v>
      </c>
      <c r="B148" s="0" t="s">
        <v>169</v>
      </c>
      <c r="C148" s="0" t="s">
        <v>3205</v>
      </c>
      <c r="D148" s="0" t="n">
        <v>2018</v>
      </c>
      <c r="E148" s="0" t="s">
        <v>1327</v>
      </c>
      <c r="F148" s="0" t="n">
        <v>147791</v>
      </c>
      <c r="G148" s="0" t="s">
        <v>3101</v>
      </c>
      <c r="H148" s="0" t="s">
        <v>3068</v>
      </c>
      <c r="I148" s="0" t="n">
        <v>147791</v>
      </c>
      <c r="J148" s="0" t="s">
        <v>3069</v>
      </c>
      <c r="M148" s="0" t="s">
        <v>2722</v>
      </c>
      <c r="N148" s="0" t="s">
        <v>174</v>
      </c>
      <c r="Q148" s="0" t="n">
        <v>200</v>
      </c>
      <c r="R148" s="0" t="n">
        <v>199</v>
      </c>
      <c r="U148" s="0" t="s">
        <v>3244</v>
      </c>
      <c r="V148" s="0" t="s">
        <v>3244</v>
      </c>
      <c r="Y148" s="0" t="s">
        <v>3071</v>
      </c>
      <c r="Z148" s="0" t="s">
        <v>3072</v>
      </c>
      <c r="AA148" s="0" t="s">
        <v>3250</v>
      </c>
      <c r="AC148" s="0" t="s">
        <v>3074</v>
      </c>
    </row>
    <row r="149" customFormat="false" ht="15" hidden="false" customHeight="false" outlineLevel="0" collapsed="false">
      <c r="A149" s="0" t="s">
        <v>3254</v>
      </c>
      <c r="B149" s="0" t="s">
        <v>169</v>
      </c>
      <c r="C149" s="0" t="s">
        <v>3205</v>
      </c>
      <c r="D149" s="0" t="n">
        <v>2018</v>
      </c>
      <c r="E149" s="0" t="s">
        <v>63</v>
      </c>
      <c r="F149" s="0" t="n">
        <v>5832</v>
      </c>
      <c r="G149" s="0" t="s">
        <v>3101</v>
      </c>
      <c r="H149" s="0" t="s">
        <v>3068</v>
      </c>
      <c r="I149" s="0" t="n">
        <v>5832</v>
      </c>
      <c r="J149" s="0" t="s">
        <v>3069</v>
      </c>
      <c r="M149" s="0" t="s">
        <v>2722</v>
      </c>
      <c r="N149" s="0" t="s">
        <v>174</v>
      </c>
      <c r="Q149" s="0" t="n">
        <v>32</v>
      </c>
      <c r="R149" s="0" t="n">
        <v>31</v>
      </c>
      <c r="U149" s="0" t="s">
        <v>3244</v>
      </c>
      <c r="V149" s="0" t="s">
        <v>3244</v>
      </c>
      <c r="Y149" s="0" t="s">
        <v>3071</v>
      </c>
      <c r="Z149" s="0" t="s">
        <v>3072</v>
      </c>
      <c r="AA149" s="0" t="s">
        <v>3250</v>
      </c>
      <c r="AC149" s="0" t="s">
        <v>3074</v>
      </c>
    </row>
    <row r="150" customFormat="false" ht="15" hidden="false" customHeight="false" outlineLevel="0" collapsed="false">
      <c r="A150" s="0" t="s">
        <v>3255</v>
      </c>
      <c r="B150" s="0" t="s">
        <v>169</v>
      </c>
      <c r="C150" s="0" t="s">
        <v>3205</v>
      </c>
      <c r="D150" s="0" t="n">
        <v>2018</v>
      </c>
      <c r="E150" s="0" t="s">
        <v>62</v>
      </c>
      <c r="F150" s="0" t="n">
        <v>621017</v>
      </c>
      <c r="G150" s="0" t="s">
        <v>3101</v>
      </c>
      <c r="H150" s="0" t="s">
        <v>3068</v>
      </c>
      <c r="I150" s="0" t="n">
        <v>621017</v>
      </c>
      <c r="J150" s="0" t="s">
        <v>3069</v>
      </c>
      <c r="M150" s="0" t="s">
        <v>2722</v>
      </c>
      <c r="N150" s="0" t="s">
        <v>174</v>
      </c>
      <c r="Q150" s="0" t="n">
        <v>33</v>
      </c>
      <c r="R150" s="0" t="n">
        <v>32</v>
      </c>
      <c r="U150" s="0" t="s">
        <v>3244</v>
      </c>
      <c r="V150" s="0" t="s">
        <v>3244</v>
      </c>
      <c r="Y150" s="0" t="s">
        <v>3071</v>
      </c>
      <c r="Z150" s="0" t="s">
        <v>3072</v>
      </c>
      <c r="AA150" s="0" t="s">
        <v>3250</v>
      </c>
      <c r="AC150" s="0" t="s">
        <v>3074</v>
      </c>
    </row>
    <row r="151" customFormat="false" ht="15" hidden="false" customHeight="false" outlineLevel="0" collapsed="false">
      <c r="A151" s="0" t="s">
        <v>3256</v>
      </c>
      <c r="B151" s="0" t="s">
        <v>169</v>
      </c>
      <c r="C151" s="0" t="s">
        <v>3205</v>
      </c>
      <c r="D151" s="0" t="n">
        <v>2018</v>
      </c>
      <c r="E151" s="0" t="s">
        <v>58</v>
      </c>
      <c r="F151" s="0" t="n">
        <v>35086</v>
      </c>
      <c r="G151" s="0" t="s">
        <v>3101</v>
      </c>
      <c r="H151" s="0" t="s">
        <v>3068</v>
      </c>
      <c r="I151" s="0" t="n">
        <v>35086</v>
      </c>
      <c r="J151" s="0" t="s">
        <v>3069</v>
      </c>
      <c r="M151" s="0" t="s">
        <v>2722</v>
      </c>
      <c r="N151" s="0" t="s">
        <v>174</v>
      </c>
      <c r="Q151" s="0" t="n">
        <v>38</v>
      </c>
      <c r="R151" s="0" t="n">
        <v>37</v>
      </c>
      <c r="U151" s="0" t="s">
        <v>3244</v>
      </c>
      <c r="V151" s="0" t="s">
        <v>3244</v>
      </c>
      <c r="Y151" s="0" t="s">
        <v>3071</v>
      </c>
      <c r="Z151" s="0" t="s">
        <v>3072</v>
      </c>
      <c r="AA151" s="0" t="s">
        <v>3250</v>
      </c>
      <c r="AC151" s="0" t="s">
        <v>3074</v>
      </c>
    </row>
    <row r="152" customFormat="false" ht="15" hidden="false" customHeight="false" outlineLevel="0" collapsed="false">
      <c r="A152" s="0" t="s">
        <v>3257</v>
      </c>
      <c r="B152" s="0" t="s">
        <v>169</v>
      </c>
      <c r="C152" s="0" t="s">
        <v>3205</v>
      </c>
      <c r="D152" s="0" t="n">
        <v>2018</v>
      </c>
      <c r="E152" s="0" t="s">
        <v>54</v>
      </c>
      <c r="F152" s="0" t="n">
        <v>9468</v>
      </c>
      <c r="G152" s="0" t="s">
        <v>3101</v>
      </c>
      <c r="H152" s="0" t="s">
        <v>3068</v>
      </c>
      <c r="I152" s="0" t="n">
        <v>9468</v>
      </c>
      <c r="J152" s="0" t="s">
        <v>3069</v>
      </c>
      <c r="M152" s="0" t="s">
        <v>2722</v>
      </c>
      <c r="N152" s="0" t="s">
        <v>174</v>
      </c>
      <c r="Q152" s="0" t="n">
        <v>32</v>
      </c>
      <c r="R152" s="0" t="n">
        <v>31</v>
      </c>
      <c r="U152" s="0" t="s">
        <v>3244</v>
      </c>
      <c r="V152" s="0" t="s">
        <v>3244</v>
      </c>
      <c r="Y152" s="0" t="s">
        <v>3071</v>
      </c>
      <c r="Z152" s="0" t="s">
        <v>3072</v>
      </c>
      <c r="AA152" s="0" t="s">
        <v>3250</v>
      </c>
      <c r="AC152" s="0" t="s">
        <v>3074</v>
      </c>
    </row>
    <row r="153" customFormat="false" ht="15" hidden="false" customHeight="false" outlineLevel="0" collapsed="false">
      <c r="A153" s="0" t="s">
        <v>3258</v>
      </c>
      <c r="B153" s="0" t="s">
        <v>169</v>
      </c>
      <c r="C153" s="0" t="s">
        <v>3205</v>
      </c>
      <c r="D153" s="0" t="n">
        <v>2018</v>
      </c>
      <c r="E153" s="0" t="s">
        <v>65</v>
      </c>
      <c r="F153" s="0" t="n">
        <v>91610</v>
      </c>
      <c r="G153" s="0" t="s">
        <v>3101</v>
      </c>
      <c r="H153" s="0" t="s">
        <v>3068</v>
      </c>
      <c r="I153" s="0" t="n">
        <v>91610</v>
      </c>
      <c r="J153" s="0" t="s">
        <v>3069</v>
      </c>
      <c r="M153" s="0" t="s">
        <v>2722</v>
      </c>
      <c r="N153" s="0" t="s">
        <v>174</v>
      </c>
      <c r="Q153" s="0" t="n">
        <v>185</v>
      </c>
      <c r="R153" s="0" t="n">
        <v>184</v>
      </c>
      <c r="U153" s="0" t="s">
        <v>3244</v>
      </c>
      <c r="V153" s="0" t="s">
        <v>3244</v>
      </c>
      <c r="Y153" s="0" t="s">
        <v>3071</v>
      </c>
      <c r="Z153" s="0" t="s">
        <v>3072</v>
      </c>
      <c r="AA153" s="0" t="s">
        <v>3250</v>
      </c>
      <c r="AC153" s="0" t="s">
        <v>3074</v>
      </c>
    </row>
    <row r="154" customFormat="false" ht="15" hidden="false" customHeight="false" outlineLevel="0" collapsed="false">
      <c r="A154" s="0" t="s">
        <v>3259</v>
      </c>
      <c r="B154" s="0" t="s">
        <v>169</v>
      </c>
      <c r="C154" s="0" t="s">
        <v>3205</v>
      </c>
      <c r="D154" s="0" t="n">
        <v>2018</v>
      </c>
      <c r="E154" s="0" t="s">
        <v>3260</v>
      </c>
      <c r="F154" s="0" t="n">
        <v>1670</v>
      </c>
      <c r="G154" s="0" t="s">
        <v>3101</v>
      </c>
      <c r="H154" s="0" t="s">
        <v>3068</v>
      </c>
      <c r="I154" s="0" t="n">
        <v>1670</v>
      </c>
      <c r="J154" s="0" t="s">
        <v>3069</v>
      </c>
      <c r="M154" s="0" t="s">
        <v>2722</v>
      </c>
      <c r="N154" s="0" t="s">
        <v>174</v>
      </c>
      <c r="Q154" s="0" t="n">
        <v>87</v>
      </c>
      <c r="R154" s="0" t="n">
        <v>86</v>
      </c>
      <c r="U154" s="0" t="s">
        <v>3244</v>
      </c>
      <c r="V154" s="0" t="s">
        <v>3244</v>
      </c>
      <c r="Y154" s="0" t="s">
        <v>3071</v>
      </c>
      <c r="Z154" s="0" t="s">
        <v>3072</v>
      </c>
      <c r="AA154" s="0" t="s">
        <v>3250</v>
      </c>
      <c r="AC154" s="0" t="s">
        <v>3074</v>
      </c>
    </row>
    <row r="155" customFormat="false" ht="15" hidden="false" customHeight="false" outlineLevel="0" collapsed="false">
      <c r="A155" s="0" t="s">
        <v>3261</v>
      </c>
      <c r="B155" s="0" t="s">
        <v>169</v>
      </c>
      <c r="C155" s="0" t="s">
        <v>3205</v>
      </c>
      <c r="D155" s="0" t="n">
        <v>2018</v>
      </c>
      <c r="E155" s="0" t="s">
        <v>66</v>
      </c>
      <c r="F155" s="0" t="n">
        <v>712253</v>
      </c>
      <c r="G155" s="0" t="s">
        <v>3101</v>
      </c>
      <c r="H155" s="0" t="s">
        <v>3068</v>
      </c>
      <c r="I155" s="0" t="n">
        <v>712253</v>
      </c>
      <c r="J155" s="0" t="s">
        <v>3069</v>
      </c>
      <c r="M155" s="0" t="s">
        <v>2722</v>
      </c>
      <c r="N155" s="0" t="s">
        <v>174</v>
      </c>
      <c r="Q155" s="0" t="n">
        <v>185</v>
      </c>
      <c r="R155" s="0" t="n">
        <v>184</v>
      </c>
      <c r="U155" s="0" t="s">
        <v>3244</v>
      </c>
      <c r="V155" s="0" t="s">
        <v>3244</v>
      </c>
      <c r="Y155" s="0" t="s">
        <v>3071</v>
      </c>
      <c r="Z155" s="0" t="s">
        <v>3072</v>
      </c>
      <c r="AA155" s="0" t="s">
        <v>3250</v>
      </c>
      <c r="AC155" s="0" t="s">
        <v>3074</v>
      </c>
    </row>
    <row r="156" customFormat="false" ht="15" hidden="false" customHeight="false" outlineLevel="0" collapsed="false">
      <c r="A156" s="0" t="s">
        <v>3262</v>
      </c>
      <c r="B156" s="0" t="s">
        <v>169</v>
      </c>
      <c r="C156" s="0" t="s">
        <v>3205</v>
      </c>
      <c r="D156" s="0" t="n">
        <v>2018</v>
      </c>
      <c r="E156" s="0" t="s">
        <v>55</v>
      </c>
      <c r="F156" s="0" t="n">
        <v>1085876</v>
      </c>
      <c r="G156" s="0" t="s">
        <v>3101</v>
      </c>
      <c r="H156" s="0" t="s">
        <v>3068</v>
      </c>
      <c r="I156" s="0" t="n">
        <v>1085876</v>
      </c>
      <c r="J156" s="0" t="s">
        <v>3069</v>
      </c>
      <c r="M156" s="0" t="s">
        <v>2722</v>
      </c>
      <c r="N156" s="0" t="s">
        <v>174</v>
      </c>
      <c r="Q156" s="0" t="n">
        <v>33</v>
      </c>
      <c r="R156" s="0" t="n">
        <v>32</v>
      </c>
      <c r="U156" s="0" t="s">
        <v>3244</v>
      </c>
      <c r="V156" s="0" t="s">
        <v>3244</v>
      </c>
      <c r="Y156" s="0" t="s">
        <v>3071</v>
      </c>
      <c r="Z156" s="0" t="s">
        <v>3072</v>
      </c>
      <c r="AA156" s="0" t="s">
        <v>3250</v>
      </c>
      <c r="AC156" s="0" t="s">
        <v>3074</v>
      </c>
    </row>
    <row r="157" customFormat="false" ht="15" hidden="false" customHeight="false" outlineLevel="0" collapsed="false">
      <c r="A157" s="0" t="s">
        <v>3263</v>
      </c>
      <c r="B157" s="0" t="s">
        <v>169</v>
      </c>
      <c r="C157" s="0" t="s">
        <v>3205</v>
      </c>
      <c r="D157" s="0" t="n">
        <v>2018</v>
      </c>
      <c r="E157" s="0" t="s">
        <v>57</v>
      </c>
      <c r="F157" s="0" t="n">
        <v>98009</v>
      </c>
      <c r="G157" s="0" t="s">
        <v>3101</v>
      </c>
      <c r="H157" s="0" t="s">
        <v>3068</v>
      </c>
      <c r="I157" s="0" t="n">
        <v>98009</v>
      </c>
      <c r="J157" s="0" t="s">
        <v>3069</v>
      </c>
      <c r="M157" s="0" t="s">
        <v>2722</v>
      </c>
      <c r="N157" s="0" t="s">
        <v>174</v>
      </c>
      <c r="Q157" s="0" t="n">
        <v>33</v>
      </c>
      <c r="R157" s="0" t="n">
        <v>32</v>
      </c>
      <c r="U157" s="0" t="s">
        <v>3244</v>
      </c>
      <c r="V157" s="0" t="s">
        <v>3244</v>
      </c>
      <c r="Y157" s="0" t="s">
        <v>3071</v>
      </c>
      <c r="Z157" s="0" t="s">
        <v>3072</v>
      </c>
      <c r="AA157" s="0" t="s">
        <v>3250</v>
      </c>
      <c r="AC157" s="0" t="s">
        <v>3074</v>
      </c>
    </row>
    <row r="158" customFormat="false" ht="15" hidden="false" customHeight="false" outlineLevel="0" collapsed="false">
      <c r="A158" s="0" t="s">
        <v>3264</v>
      </c>
      <c r="B158" s="0" t="s">
        <v>169</v>
      </c>
      <c r="C158" s="0" t="s">
        <v>3205</v>
      </c>
      <c r="D158" s="0" t="n">
        <v>2018</v>
      </c>
      <c r="E158" s="0" t="s">
        <v>56</v>
      </c>
      <c r="F158" s="0" t="n">
        <v>987867</v>
      </c>
      <c r="G158" s="0" t="s">
        <v>3101</v>
      </c>
      <c r="H158" s="0" t="s">
        <v>3068</v>
      </c>
      <c r="I158" s="0" t="n">
        <v>987867</v>
      </c>
      <c r="J158" s="0" t="s">
        <v>3069</v>
      </c>
      <c r="M158" s="0" t="s">
        <v>2722</v>
      </c>
      <c r="N158" s="0" t="s">
        <v>174</v>
      </c>
      <c r="Q158" s="0" t="n">
        <v>33</v>
      </c>
      <c r="R158" s="0" t="n">
        <v>32</v>
      </c>
      <c r="U158" s="0" t="s">
        <v>3244</v>
      </c>
      <c r="V158" s="0" t="s">
        <v>3244</v>
      </c>
      <c r="Y158" s="0" t="s">
        <v>3071</v>
      </c>
      <c r="Z158" s="0" t="s">
        <v>3072</v>
      </c>
      <c r="AA158" s="0" t="s">
        <v>3250</v>
      </c>
      <c r="AC158" s="0" t="s">
        <v>3074</v>
      </c>
    </row>
    <row r="159" customFormat="false" ht="15" hidden="false" customHeight="false" outlineLevel="0" collapsed="false">
      <c r="A159" s="0" t="s">
        <v>3265</v>
      </c>
      <c r="B159" s="0" t="s">
        <v>169</v>
      </c>
      <c r="C159" s="0" t="s">
        <v>3205</v>
      </c>
      <c r="D159" s="0" t="n">
        <v>2019</v>
      </c>
      <c r="E159" s="0" t="s">
        <v>70</v>
      </c>
      <c r="F159" s="0" t="n">
        <v>10</v>
      </c>
      <c r="G159" s="0" t="s">
        <v>3143</v>
      </c>
      <c r="I159" s="0" t="n">
        <v>10</v>
      </c>
      <c r="J159" s="0" t="s">
        <v>3069</v>
      </c>
      <c r="M159" s="0" t="s">
        <v>2722</v>
      </c>
      <c r="N159" s="0" t="s">
        <v>174</v>
      </c>
      <c r="Q159" s="0" t="n">
        <v>184</v>
      </c>
      <c r="R159" s="0" t="n">
        <v>183</v>
      </c>
      <c r="U159" s="0" t="s">
        <v>3196</v>
      </c>
      <c r="V159" s="0" t="s">
        <v>3196</v>
      </c>
      <c r="Y159" s="0" t="s">
        <v>3071</v>
      </c>
      <c r="Z159" s="0" t="s">
        <v>3072</v>
      </c>
      <c r="AA159" s="0" t="s">
        <v>3245</v>
      </c>
      <c r="AC159" s="0" t="s">
        <v>3074</v>
      </c>
    </row>
    <row r="160" customFormat="false" ht="15" hidden="false" customHeight="false" outlineLevel="0" collapsed="false">
      <c r="A160" s="0" t="s">
        <v>3266</v>
      </c>
      <c r="B160" s="0" t="s">
        <v>169</v>
      </c>
      <c r="C160" s="0" t="s">
        <v>3205</v>
      </c>
      <c r="D160" s="0" t="n">
        <v>2019</v>
      </c>
      <c r="E160" s="0" t="s">
        <v>69</v>
      </c>
      <c r="F160" s="0" t="n">
        <v>14.7</v>
      </c>
      <c r="G160" s="0" t="s">
        <v>3143</v>
      </c>
      <c r="I160" s="0" t="n">
        <v>14.7</v>
      </c>
      <c r="J160" s="0" t="s">
        <v>3069</v>
      </c>
      <c r="M160" s="0" t="s">
        <v>2722</v>
      </c>
      <c r="N160" s="0" t="s">
        <v>174</v>
      </c>
      <c r="Q160" s="0" t="n">
        <v>185</v>
      </c>
      <c r="R160" s="0" t="n">
        <v>184</v>
      </c>
      <c r="U160" s="0" t="s">
        <v>3196</v>
      </c>
      <c r="V160" s="0" t="s">
        <v>3196</v>
      </c>
      <c r="Y160" s="0" t="s">
        <v>3071</v>
      </c>
      <c r="Z160" s="0" t="s">
        <v>3072</v>
      </c>
      <c r="AA160" s="0" t="s">
        <v>3247</v>
      </c>
      <c r="AC160" s="0" t="s">
        <v>3074</v>
      </c>
    </row>
    <row r="161" customFormat="false" ht="15" hidden="false" customHeight="false" outlineLevel="0" collapsed="false">
      <c r="A161" s="0" t="s">
        <v>3267</v>
      </c>
      <c r="B161" s="0" t="s">
        <v>169</v>
      </c>
      <c r="C161" s="0" t="s">
        <v>3205</v>
      </c>
      <c r="D161" s="0" t="n">
        <v>2019</v>
      </c>
      <c r="E161" s="0" t="s">
        <v>3249</v>
      </c>
      <c r="F161" s="0" t="n">
        <v>11119</v>
      </c>
      <c r="G161" s="0" t="s">
        <v>3101</v>
      </c>
      <c r="H161" s="0" t="s">
        <v>3068</v>
      </c>
      <c r="I161" s="0" t="n">
        <v>11119</v>
      </c>
      <c r="J161" s="0" t="s">
        <v>3069</v>
      </c>
      <c r="M161" s="0" t="s">
        <v>2722</v>
      </c>
      <c r="N161" s="0" t="s">
        <v>174</v>
      </c>
      <c r="Q161" s="0" t="n">
        <v>87</v>
      </c>
      <c r="R161" s="0" t="n">
        <v>86</v>
      </c>
      <c r="U161" s="0" t="s">
        <v>3196</v>
      </c>
      <c r="V161" s="0" t="s">
        <v>3196</v>
      </c>
      <c r="Y161" s="0" t="s">
        <v>3071</v>
      </c>
      <c r="Z161" s="0" t="s">
        <v>3072</v>
      </c>
      <c r="AA161" s="0" t="s">
        <v>3250</v>
      </c>
      <c r="AC161" s="0" t="s">
        <v>3074</v>
      </c>
    </row>
    <row r="162" customFormat="false" ht="15" hidden="false" customHeight="false" outlineLevel="0" collapsed="false">
      <c r="A162" s="0" t="s">
        <v>3268</v>
      </c>
      <c r="B162" s="0" t="s">
        <v>169</v>
      </c>
      <c r="C162" s="0" t="s">
        <v>3205</v>
      </c>
      <c r="D162" s="0" t="n">
        <v>2019</v>
      </c>
      <c r="E162" s="0" t="s">
        <v>3066</v>
      </c>
      <c r="F162" s="0" t="n">
        <v>892660</v>
      </c>
      <c r="G162" s="0" t="s">
        <v>3101</v>
      </c>
      <c r="H162" s="0" t="s">
        <v>3068</v>
      </c>
      <c r="I162" s="0" t="n">
        <v>892660</v>
      </c>
      <c r="J162" s="0" t="s">
        <v>3069</v>
      </c>
      <c r="M162" s="0" t="s">
        <v>2722</v>
      </c>
      <c r="N162" s="0" t="s">
        <v>174</v>
      </c>
      <c r="Q162" s="0" t="n">
        <v>33</v>
      </c>
      <c r="R162" s="0" t="n">
        <v>32</v>
      </c>
      <c r="U162" s="0" t="s">
        <v>3196</v>
      </c>
      <c r="V162" s="0" t="s">
        <v>3196</v>
      </c>
      <c r="Y162" s="0" t="s">
        <v>3071</v>
      </c>
      <c r="Z162" s="0" t="s">
        <v>3072</v>
      </c>
      <c r="AA162" s="0" t="s">
        <v>3250</v>
      </c>
      <c r="AC162" s="0" t="s">
        <v>3074</v>
      </c>
    </row>
    <row r="163" customFormat="false" ht="15" hidden="false" customHeight="false" outlineLevel="0" collapsed="false">
      <c r="A163" s="0" t="s">
        <v>3269</v>
      </c>
      <c r="B163" s="0" t="s">
        <v>169</v>
      </c>
      <c r="C163" s="0" t="s">
        <v>3205</v>
      </c>
      <c r="D163" s="0" t="n">
        <v>2019</v>
      </c>
      <c r="E163" s="0" t="s">
        <v>60</v>
      </c>
      <c r="F163" s="0" t="n">
        <v>631698</v>
      </c>
      <c r="G163" s="0" t="s">
        <v>3101</v>
      </c>
      <c r="H163" s="0" t="s">
        <v>3068</v>
      </c>
      <c r="I163" s="0" t="n">
        <v>631698</v>
      </c>
      <c r="J163" s="0" t="s">
        <v>3069</v>
      </c>
      <c r="M163" s="0" t="s">
        <v>2722</v>
      </c>
      <c r="N163" s="0" t="s">
        <v>174</v>
      </c>
      <c r="Q163" s="0" t="n">
        <v>87</v>
      </c>
      <c r="R163" s="0" t="n">
        <v>86</v>
      </c>
      <c r="U163" s="0" t="s">
        <v>3196</v>
      </c>
      <c r="V163" s="0" t="s">
        <v>3196</v>
      </c>
      <c r="Y163" s="0" t="s">
        <v>3071</v>
      </c>
      <c r="Z163" s="0" t="s">
        <v>3072</v>
      </c>
      <c r="AA163" s="0" t="s">
        <v>3250</v>
      </c>
      <c r="AC163" s="0" t="s">
        <v>3074</v>
      </c>
    </row>
    <row r="164" customFormat="false" ht="15" hidden="false" customHeight="false" outlineLevel="0" collapsed="false">
      <c r="A164" s="0" t="s">
        <v>3270</v>
      </c>
      <c r="B164" s="0" t="s">
        <v>169</v>
      </c>
      <c r="C164" s="0" t="s">
        <v>3205</v>
      </c>
      <c r="D164" s="0" t="n">
        <v>2019</v>
      </c>
      <c r="E164" s="0" t="s">
        <v>1327</v>
      </c>
      <c r="F164" s="0" t="n">
        <v>147439</v>
      </c>
      <c r="G164" s="0" t="s">
        <v>3101</v>
      </c>
      <c r="H164" s="0" t="s">
        <v>3068</v>
      </c>
      <c r="I164" s="0" t="n">
        <v>147439</v>
      </c>
      <c r="J164" s="0" t="s">
        <v>3069</v>
      </c>
      <c r="M164" s="0" t="s">
        <v>2722</v>
      </c>
      <c r="N164" s="0" t="s">
        <v>174</v>
      </c>
      <c r="Q164" s="0" t="n">
        <v>200</v>
      </c>
      <c r="R164" s="0" t="n">
        <v>199</v>
      </c>
      <c r="U164" s="0" t="s">
        <v>3196</v>
      </c>
      <c r="V164" s="0" t="s">
        <v>3196</v>
      </c>
      <c r="Y164" s="0" t="s">
        <v>3071</v>
      </c>
      <c r="Z164" s="0" t="s">
        <v>3072</v>
      </c>
      <c r="AA164" s="0" t="s">
        <v>3250</v>
      </c>
      <c r="AC164" s="0" t="s">
        <v>3074</v>
      </c>
    </row>
    <row r="165" customFormat="false" ht="15" hidden="false" customHeight="false" outlineLevel="0" collapsed="false">
      <c r="A165" s="0" t="s">
        <v>3271</v>
      </c>
      <c r="B165" s="0" t="s">
        <v>169</v>
      </c>
      <c r="C165" s="0" t="s">
        <v>3205</v>
      </c>
      <c r="D165" s="0" t="n">
        <v>2019</v>
      </c>
      <c r="E165" s="0" t="s">
        <v>63</v>
      </c>
      <c r="F165" s="0" t="n">
        <v>5842</v>
      </c>
      <c r="G165" s="0" t="s">
        <v>3101</v>
      </c>
      <c r="H165" s="0" t="s">
        <v>3068</v>
      </c>
      <c r="I165" s="0" t="n">
        <v>5842</v>
      </c>
      <c r="J165" s="0" t="s">
        <v>3069</v>
      </c>
      <c r="M165" s="0" t="s">
        <v>2722</v>
      </c>
      <c r="N165" s="0" t="s">
        <v>174</v>
      </c>
      <c r="Q165" s="0" t="n">
        <v>32</v>
      </c>
      <c r="R165" s="0" t="n">
        <v>31</v>
      </c>
      <c r="U165" s="0" t="s">
        <v>3196</v>
      </c>
      <c r="V165" s="0" t="s">
        <v>3196</v>
      </c>
      <c r="Y165" s="0" t="s">
        <v>3071</v>
      </c>
      <c r="Z165" s="0" t="s">
        <v>3072</v>
      </c>
      <c r="AA165" s="0" t="s">
        <v>3250</v>
      </c>
      <c r="AC165" s="0" t="s">
        <v>3074</v>
      </c>
    </row>
    <row r="166" customFormat="false" ht="15" hidden="false" customHeight="false" outlineLevel="0" collapsed="false">
      <c r="A166" s="0" t="s">
        <v>3272</v>
      </c>
      <c r="B166" s="0" t="s">
        <v>169</v>
      </c>
      <c r="C166" s="0" t="s">
        <v>3205</v>
      </c>
      <c r="D166" s="0" t="n">
        <v>2019</v>
      </c>
      <c r="E166" s="0" t="s">
        <v>62</v>
      </c>
      <c r="F166" s="0" t="n">
        <v>618732</v>
      </c>
      <c r="G166" s="0" t="s">
        <v>3101</v>
      </c>
      <c r="H166" s="0" t="s">
        <v>3068</v>
      </c>
      <c r="I166" s="0" t="n">
        <v>618732</v>
      </c>
      <c r="J166" s="0" t="s">
        <v>3069</v>
      </c>
      <c r="M166" s="0" t="s">
        <v>2722</v>
      </c>
      <c r="N166" s="0" t="s">
        <v>174</v>
      </c>
      <c r="Q166" s="0" t="n">
        <v>33</v>
      </c>
      <c r="R166" s="0" t="n">
        <v>32</v>
      </c>
      <c r="U166" s="0" t="s">
        <v>3196</v>
      </c>
      <c r="V166" s="0" t="s">
        <v>3196</v>
      </c>
      <c r="Y166" s="0" t="s">
        <v>3071</v>
      </c>
      <c r="Z166" s="0" t="s">
        <v>3072</v>
      </c>
      <c r="AA166" s="0" t="s">
        <v>3250</v>
      </c>
      <c r="AC166" s="0" t="s">
        <v>3074</v>
      </c>
    </row>
    <row r="167" customFormat="false" ht="15" hidden="false" customHeight="false" outlineLevel="0" collapsed="false">
      <c r="A167" s="0" t="s">
        <v>3273</v>
      </c>
      <c r="B167" s="0" t="s">
        <v>169</v>
      </c>
      <c r="C167" s="0" t="s">
        <v>3205</v>
      </c>
      <c r="D167" s="0" t="n">
        <v>2019</v>
      </c>
      <c r="E167" s="0" t="s">
        <v>58</v>
      </c>
      <c r="F167" s="0" t="n">
        <v>114414</v>
      </c>
      <c r="G167" s="0" t="s">
        <v>3101</v>
      </c>
      <c r="H167" s="0" t="s">
        <v>3068</v>
      </c>
      <c r="I167" s="0" t="n">
        <v>114414</v>
      </c>
      <c r="J167" s="0" t="s">
        <v>3069</v>
      </c>
      <c r="M167" s="0" t="s">
        <v>2722</v>
      </c>
      <c r="N167" s="0" t="s">
        <v>174</v>
      </c>
      <c r="Q167" s="0" t="n">
        <v>38</v>
      </c>
      <c r="R167" s="0" t="n">
        <v>37</v>
      </c>
      <c r="U167" s="0" t="s">
        <v>3196</v>
      </c>
      <c r="V167" s="0" t="s">
        <v>3196</v>
      </c>
      <c r="Y167" s="0" t="s">
        <v>3071</v>
      </c>
      <c r="Z167" s="0" t="s">
        <v>3072</v>
      </c>
      <c r="AA167" s="0" t="s">
        <v>3250</v>
      </c>
      <c r="AC167" s="0" t="s">
        <v>3074</v>
      </c>
    </row>
    <row r="168" customFormat="false" ht="15" hidden="false" customHeight="false" outlineLevel="0" collapsed="false">
      <c r="A168" s="0" t="s">
        <v>3274</v>
      </c>
      <c r="B168" s="0" t="s">
        <v>169</v>
      </c>
      <c r="C168" s="0" t="s">
        <v>3205</v>
      </c>
      <c r="D168" s="0" t="n">
        <v>2019</v>
      </c>
      <c r="E168" s="0" t="s">
        <v>54</v>
      </c>
      <c r="F168" s="0" t="n">
        <v>10163</v>
      </c>
      <c r="G168" s="0" t="s">
        <v>3101</v>
      </c>
      <c r="H168" s="0" t="s">
        <v>3068</v>
      </c>
      <c r="I168" s="0" t="n">
        <v>10163</v>
      </c>
      <c r="J168" s="0" t="s">
        <v>3069</v>
      </c>
      <c r="M168" s="0" t="s">
        <v>2722</v>
      </c>
      <c r="N168" s="0" t="s">
        <v>174</v>
      </c>
      <c r="Q168" s="0" t="n">
        <v>32</v>
      </c>
      <c r="R168" s="0" t="n">
        <v>31</v>
      </c>
      <c r="U168" s="0" t="s">
        <v>3196</v>
      </c>
      <c r="V168" s="0" t="s">
        <v>3196</v>
      </c>
      <c r="Y168" s="0" t="s">
        <v>3071</v>
      </c>
      <c r="Z168" s="0" t="s">
        <v>3072</v>
      </c>
      <c r="AA168" s="0" t="s">
        <v>3250</v>
      </c>
      <c r="AC168" s="0" t="s">
        <v>3074</v>
      </c>
    </row>
    <row r="169" customFormat="false" ht="15" hidden="false" customHeight="false" outlineLevel="0" collapsed="false">
      <c r="A169" s="0" t="s">
        <v>3275</v>
      </c>
      <c r="B169" s="0" t="s">
        <v>169</v>
      </c>
      <c r="C169" s="0" t="s">
        <v>3205</v>
      </c>
      <c r="D169" s="0" t="n">
        <v>2019</v>
      </c>
      <c r="E169" s="0" t="s">
        <v>65</v>
      </c>
      <c r="F169" s="0" t="n">
        <v>109992</v>
      </c>
      <c r="G169" s="0" t="s">
        <v>3101</v>
      </c>
      <c r="H169" s="0" t="s">
        <v>3068</v>
      </c>
      <c r="I169" s="0" t="n">
        <v>109992</v>
      </c>
      <c r="J169" s="0" t="s">
        <v>3069</v>
      </c>
      <c r="M169" s="0" t="s">
        <v>2722</v>
      </c>
      <c r="N169" s="0" t="s">
        <v>174</v>
      </c>
      <c r="Q169" s="0" t="n">
        <v>185</v>
      </c>
      <c r="R169" s="0" t="n">
        <v>184</v>
      </c>
      <c r="U169" s="0" t="s">
        <v>3196</v>
      </c>
      <c r="V169" s="0" t="s">
        <v>3196</v>
      </c>
      <c r="Y169" s="0" t="s">
        <v>3071</v>
      </c>
      <c r="Z169" s="0" t="s">
        <v>3072</v>
      </c>
      <c r="AA169" s="0" t="s">
        <v>3250</v>
      </c>
      <c r="AC169" s="0" t="s">
        <v>3074</v>
      </c>
    </row>
    <row r="170" customFormat="false" ht="15" hidden="false" customHeight="false" outlineLevel="0" collapsed="false">
      <c r="A170" s="0" t="s">
        <v>3276</v>
      </c>
      <c r="B170" s="0" t="s">
        <v>169</v>
      </c>
      <c r="C170" s="0" t="s">
        <v>3205</v>
      </c>
      <c r="D170" s="0" t="n">
        <v>2019</v>
      </c>
      <c r="E170" s="0" t="s">
        <v>3260</v>
      </c>
      <c r="F170" s="0" t="n">
        <v>1847</v>
      </c>
      <c r="G170" s="0" t="s">
        <v>3101</v>
      </c>
      <c r="H170" s="0" t="s">
        <v>3068</v>
      </c>
      <c r="I170" s="0" t="n">
        <v>1847</v>
      </c>
      <c r="J170" s="0" t="s">
        <v>3069</v>
      </c>
      <c r="M170" s="0" t="s">
        <v>2722</v>
      </c>
      <c r="N170" s="0" t="s">
        <v>174</v>
      </c>
      <c r="Q170" s="0" t="n">
        <v>87</v>
      </c>
      <c r="R170" s="0" t="n">
        <v>86</v>
      </c>
      <c r="U170" s="0" t="s">
        <v>3196</v>
      </c>
      <c r="V170" s="0" t="s">
        <v>3196</v>
      </c>
      <c r="Y170" s="0" t="s">
        <v>3071</v>
      </c>
      <c r="Z170" s="0" t="s">
        <v>3072</v>
      </c>
      <c r="AA170" s="0" t="s">
        <v>3250</v>
      </c>
      <c r="AC170" s="0" t="s">
        <v>3074</v>
      </c>
    </row>
    <row r="171" customFormat="false" ht="15" hidden="false" customHeight="false" outlineLevel="0" collapsed="false">
      <c r="A171" s="0" t="s">
        <v>3277</v>
      </c>
      <c r="B171" s="0" t="s">
        <v>169</v>
      </c>
      <c r="C171" s="0" t="s">
        <v>3205</v>
      </c>
      <c r="D171" s="0" t="n">
        <v>2019</v>
      </c>
      <c r="E171" s="0" t="s">
        <v>66</v>
      </c>
      <c r="F171" s="0" t="n">
        <v>748119</v>
      </c>
      <c r="G171" s="0" t="s">
        <v>3101</v>
      </c>
      <c r="H171" s="0" t="s">
        <v>3068</v>
      </c>
      <c r="I171" s="0" t="n">
        <v>748119</v>
      </c>
      <c r="J171" s="0" t="s">
        <v>3069</v>
      </c>
      <c r="M171" s="0" t="s">
        <v>2722</v>
      </c>
      <c r="N171" s="0" t="s">
        <v>174</v>
      </c>
      <c r="Q171" s="0" t="n">
        <v>185</v>
      </c>
      <c r="R171" s="0" t="n">
        <v>184</v>
      </c>
      <c r="U171" s="0" t="s">
        <v>3196</v>
      </c>
      <c r="V171" s="0" t="s">
        <v>3196</v>
      </c>
      <c r="Y171" s="0" t="s">
        <v>3071</v>
      </c>
      <c r="Z171" s="0" t="s">
        <v>3072</v>
      </c>
      <c r="AA171" s="0" t="s">
        <v>3250</v>
      </c>
      <c r="AC171" s="0" t="s">
        <v>3074</v>
      </c>
    </row>
    <row r="172" customFormat="false" ht="15" hidden="false" customHeight="false" outlineLevel="0" collapsed="false">
      <c r="A172" s="0" t="s">
        <v>3278</v>
      </c>
      <c r="B172" s="0" t="s">
        <v>169</v>
      </c>
      <c r="C172" s="0" t="s">
        <v>3205</v>
      </c>
      <c r="D172" s="0" t="n">
        <v>2019</v>
      </c>
      <c r="E172" s="0" t="s">
        <v>55</v>
      </c>
      <c r="F172" s="0" t="n">
        <v>1165509</v>
      </c>
      <c r="G172" s="0" t="s">
        <v>3101</v>
      </c>
      <c r="H172" s="0" t="s">
        <v>3068</v>
      </c>
      <c r="I172" s="0" t="n">
        <v>1165509</v>
      </c>
      <c r="J172" s="0" t="s">
        <v>3069</v>
      </c>
      <c r="M172" s="0" t="s">
        <v>2722</v>
      </c>
      <c r="N172" s="0" t="s">
        <v>174</v>
      </c>
      <c r="Q172" s="0" t="n">
        <v>33</v>
      </c>
      <c r="R172" s="0" t="n">
        <v>32</v>
      </c>
      <c r="U172" s="0" t="s">
        <v>3196</v>
      </c>
      <c r="V172" s="0" t="s">
        <v>3196</v>
      </c>
      <c r="Y172" s="0" t="s">
        <v>3071</v>
      </c>
      <c r="Z172" s="0" t="s">
        <v>3072</v>
      </c>
      <c r="AA172" s="0" t="s">
        <v>3250</v>
      </c>
      <c r="AC172" s="0" t="s">
        <v>3074</v>
      </c>
    </row>
    <row r="173" customFormat="false" ht="15" hidden="false" customHeight="false" outlineLevel="0" collapsed="false">
      <c r="A173" s="0" t="s">
        <v>3279</v>
      </c>
      <c r="B173" s="0" t="s">
        <v>169</v>
      </c>
      <c r="C173" s="0" t="s">
        <v>3205</v>
      </c>
      <c r="D173" s="0" t="n">
        <v>2019</v>
      </c>
      <c r="E173" s="0" t="s">
        <v>57</v>
      </c>
      <c r="F173" s="0" t="n">
        <v>119328</v>
      </c>
      <c r="G173" s="0" t="s">
        <v>3101</v>
      </c>
      <c r="H173" s="0" t="s">
        <v>3068</v>
      </c>
      <c r="I173" s="0" t="n">
        <v>119328</v>
      </c>
      <c r="J173" s="0" t="s">
        <v>3069</v>
      </c>
      <c r="M173" s="0" t="s">
        <v>2722</v>
      </c>
      <c r="N173" s="0" t="s">
        <v>174</v>
      </c>
      <c r="Q173" s="0" t="n">
        <v>33</v>
      </c>
      <c r="R173" s="0" t="n">
        <v>32</v>
      </c>
      <c r="U173" s="0" t="s">
        <v>3196</v>
      </c>
      <c r="V173" s="0" t="s">
        <v>3196</v>
      </c>
      <c r="Y173" s="0" t="s">
        <v>3071</v>
      </c>
      <c r="Z173" s="0" t="s">
        <v>3072</v>
      </c>
      <c r="AA173" s="0" t="s">
        <v>3250</v>
      </c>
      <c r="AC173" s="0" t="s">
        <v>3074</v>
      </c>
    </row>
    <row r="174" customFormat="false" ht="15" hidden="false" customHeight="false" outlineLevel="0" collapsed="false">
      <c r="A174" s="0" t="s">
        <v>3280</v>
      </c>
      <c r="B174" s="0" t="s">
        <v>169</v>
      </c>
      <c r="C174" s="0" t="s">
        <v>3205</v>
      </c>
      <c r="D174" s="0" t="n">
        <v>2019</v>
      </c>
      <c r="E174" s="0" t="s">
        <v>56</v>
      </c>
      <c r="F174" s="0" t="n">
        <v>1046181</v>
      </c>
      <c r="G174" s="0" t="s">
        <v>3101</v>
      </c>
      <c r="H174" s="0" t="s">
        <v>3068</v>
      </c>
      <c r="I174" s="0" t="n">
        <v>1046181</v>
      </c>
      <c r="J174" s="0" t="s">
        <v>3069</v>
      </c>
      <c r="M174" s="0" t="s">
        <v>2722</v>
      </c>
      <c r="N174" s="0" t="s">
        <v>174</v>
      </c>
      <c r="Q174" s="0" t="n">
        <v>33</v>
      </c>
      <c r="R174" s="0" t="n">
        <v>32</v>
      </c>
      <c r="U174" s="0" t="s">
        <v>3196</v>
      </c>
      <c r="V174" s="0" t="s">
        <v>3196</v>
      </c>
      <c r="Y174" s="0" t="s">
        <v>3071</v>
      </c>
      <c r="Z174" s="0" t="s">
        <v>3072</v>
      </c>
      <c r="AA174" s="0" t="s">
        <v>3250</v>
      </c>
      <c r="AC174" s="0" t="s">
        <v>3074</v>
      </c>
    </row>
    <row r="175" customFormat="false" ht="15" hidden="false" customHeight="false" outlineLevel="0" collapsed="false">
      <c r="A175" s="0" t="s">
        <v>3281</v>
      </c>
      <c r="B175" s="0" t="s">
        <v>211</v>
      </c>
      <c r="C175" s="0" t="s">
        <v>3282</v>
      </c>
      <c r="D175" s="0" t="n">
        <v>2015</v>
      </c>
      <c r="E175" s="0" t="s">
        <v>3066</v>
      </c>
      <c r="F175" s="0" t="n">
        <v>284977836</v>
      </c>
      <c r="G175" s="0" t="s">
        <v>3067</v>
      </c>
      <c r="H175" s="0" t="s">
        <v>3068</v>
      </c>
      <c r="I175" s="0" t="n">
        <v>284977.836</v>
      </c>
      <c r="J175" s="0" t="s">
        <v>3069</v>
      </c>
      <c r="M175" s="0" t="s">
        <v>2749</v>
      </c>
      <c r="N175" s="0" t="s">
        <v>216</v>
      </c>
      <c r="Q175" s="0" t="n">
        <v>66</v>
      </c>
      <c r="R175" s="0" t="n">
        <v>66</v>
      </c>
      <c r="U175" s="0" t="s">
        <v>3283</v>
      </c>
      <c r="V175" s="0" t="s">
        <v>3283</v>
      </c>
      <c r="Y175" s="0" t="s">
        <v>3071</v>
      </c>
      <c r="Z175" s="0" t="s">
        <v>3072</v>
      </c>
      <c r="AA175" s="0" t="s">
        <v>3284</v>
      </c>
      <c r="AC175" s="0" t="s">
        <v>3074</v>
      </c>
    </row>
    <row r="176" customFormat="false" ht="15" hidden="false" customHeight="false" outlineLevel="0" collapsed="false">
      <c r="A176" s="0" t="s">
        <v>3285</v>
      </c>
      <c r="B176" s="0" t="s">
        <v>211</v>
      </c>
      <c r="C176" s="0" t="s">
        <v>3282</v>
      </c>
      <c r="D176" s="0" t="n">
        <v>2015</v>
      </c>
      <c r="E176" s="0" t="s">
        <v>63</v>
      </c>
      <c r="F176" s="0" t="n">
        <v>-77640</v>
      </c>
      <c r="G176" s="0" t="s">
        <v>3067</v>
      </c>
      <c r="H176" s="0" t="s">
        <v>3068</v>
      </c>
      <c r="I176" s="0" t="n">
        <v>-77.64</v>
      </c>
      <c r="J176" s="0" t="s">
        <v>3069</v>
      </c>
      <c r="M176" s="0" t="s">
        <v>2749</v>
      </c>
      <c r="N176" s="0" t="s">
        <v>216</v>
      </c>
      <c r="Q176" s="0" t="n">
        <v>65</v>
      </c>
      <c r="R176" s="0" t="n">
        <v>65</v>
      </c>
      <c r="U176" s="0" t="s">
        <v>3283</v>
      </c>
      <c r="V176" s="0" t="s">
        <v>3283</v>
      </c>
      <c r="Y176" s="0" t="s">
        <v>3071</v>
      </c>
      <c r="Z176" s="0" t="s">
        <v>3072</v>
      </c>
      <c r="AA176" s="0" t="s">
        <v>3286</v>
      </c>
      <c r="AC176" s="0" t="s">
        <v>3074</v>
      </c>
    </row>
    <row r="177" customFormat="false" ht="15" hidden="false" customHeight="false" outlineLevel="0" collapsed="false">
      <c r="A177" s="0" t="s">
        <v>3287</v>
      </c>
      <c r="B177" s="0" t="s">
        <v>211</v>
      </c>
      <c r="C177" s="0" t="s">
        <v>3282</v>
      </c>
      <c r="D177" s="0" t="n">
        <v>2015</v>
      </c>
      <c r="E177" s="0" t="s">
        <v>62</v>
      </c>
      <c r="F177" s="0" t="n">
        <v>185596590</v>
      </c>
      <c r="G177" s="0" t="s">
        <v>3067</v>
      </c>
      <c r="H177" s="0" t="s">
        <v>3068</v>
      </c>
      <c r="I177" s="0" t="n">
        <v>185596.59</v>
      </c>
      <c r="J177" s="0" t="s">
        <v>3069</v>
      </c>
      <c r="M177" s="0" t="s">
        <v>2749</v>
      </c>
      <c r="N177" s="0" t="s">
        <v>216</v>
      </c>
      <c r="Q177" s="0" t="n">
        <v>66</v>
      </c>
      <c r="R177" s="0" t="n">
        <v>66</v>
      </c>
      <c r="U177" s="0" t="s">
        <v>3283</v>
      </c>
      <c r="V177" s="0" t="s">
        <v>3283</v>
      </c>
      <c r="Y177" s="0" t="s">
        <v>3071</v>
      </c>
      <c r="Z177" s="0" t="s">
        <v>3072</v>
      </c>
      <c r="AA177" s="0" t="s">
        <v>3284</v>
      </c>
      <c r="AC177" s="0" t="s">
        <v>3074</v>
      </c>
    </row>
    <row r="178" customFormat="false" ht="15" hidden="false" customHeight="false" outlineLevel="0" collapsed="false">
      <c r="A178" s="0" t="s">
        <v>3288</v>
      </c>
      <c r="B178" s="0" t="s">
        <v>211</v>
      </c>
      <c r="C178" s="0" t="s">
        <v>3282</v>
      </c>
      <c r="D178" s="0" t="n">
        <v>2015</v>
      </c>
      <c r="E178" s="0" t="s">
        <v>58</v>
      </c>
      <c r="F178" s="0" t="n">
        <v>14676273</v>
      </c>
      <c r="G178" s="0" t="s">
        <v>3067</v>
      </c>
      <c r="H178" s="0" t="s">
        <v>3068</v>
      </c>
      <c r="I178" s="0" t="n">
        <v>14676.273</v>
      </c>
      <c r="J178" s="0" t="s">
        <v>3069</v>
      </c>
      <c r="M178" s="0" t="s">
        <v>2749</v>
      </c>
      <c r="N178" s="0" t="s">
        <v>216</v>
      </c>
      <c r="Q178" s="0" t="n">
        <v>70</v>
      </c>
      <c r="R178" s="0" t="n">
        <v>70</v>
      </c>
      <c r="U178" s="0" t="s">
        <v>3283</v>
      </c>
      <c r="V178" s="0" t="s">
        <v>3283</v>
      </c>
      <c r="Y178" s="0" t="s">
        <v>3071</v>
      </c>
      <c r="Z178" s="0" t="s">
        <v>3072</v>
      </c>
      <c r="AA178" s="0" t="s">
        <v>3284</v>
      </c>
      <c r="AC178" s="0" t="s">
        <v>3074</v>
      </c>
    </row>
    <row r="179" customFormat="false" ht="15" hidden="false" customHeight="false" outlineLevel="0" collapsed="false">
      <c r="A179" s="0" t="s">
        <v>3289</v>
      </c>
      <c r="B179" s="0" t="s">
        <v>211</v>
      </c>
      <c r="C179" s="0" t="s">
        <v>3282</v>
      </c>
      <c r="D179" s="0" t="n">
        <v>2015</v>
      </c>
      <c r="E179" s="0" t="s">
        <v>54</v>
      </c>
      <c r="F179" s="0" t="n">
        <v>2273205</v>
      </c>
      <c r="G179" s="0" t="s">
        <v>3067</v>
      </c>
      <c r="H179" s="0" t="s">
        <v>3068</v>
      </c>
      <c r="I179" s="0" t="n">
        <v>2273.205</v>
      </c>
      <c r="J179" s="0" t="s">
        <v>3069</v>
      </c>
      <c r="M179" s="0" t="s">
        <v>2749</v>
      </c>
      <c r="N179" s="0" t="s">
        <v>216</v>
      </c>
      <c r="Q179" s="0" t="n">
        <v>65</v>
      </c>
      <c r="R179" s="0" t="n">
        <v>65</v>
      </c>
      <c r="U179" s="0" t="s">
        <v>3283</v>
      </c>
      <c r="V179" s="0" t="s">
        <v>3283</v>
      </c>
      <c r="Y179" s="0" t="s">
        <v>3071</v>
      </c>
      <c r="Z179" s="0" t="s">
        <v>3072</v>
      </c>
      <c r="AA179" s="0" t="s">
        <v>3284</v>
      </c>
      <c r="AC179" s="0" t="s">
        <v>3074</v>
      </c>
    </row>
    <row r="180" customFormat="false" ht="15" hidden="false" customHeight="false" outlineLevel="0" collapsed="false">
      <c r="A180" s="0" t="s">
        <v>3290</v>
      </c>
      <c r="B180" s="0" t="s">
        <v>211</v>
      </c>
      <c r="C180" s="0" t="s">
        <v>3282</v>
      </c>
      <c r="D180" s="0" t="n">
        <v>2015</v>
      </c>
      <c r="E180" s="0" t="s">
        <v>55</v>
      </c>
      <c r="F180" s="0" t="n">
        <v>396743314</v>
      </c>
      <c r="G180" s="0" t="s">
        <v>3067</v>
      </c>
      <c r="H180" s="0" t="s">
        <v>3068</v>
      </c>
      <c r="I180" s="0" t="n">
        <v>396743.314</v>
      </c>
      <c r="J180" s="0" t="s">
        <v>3069</v>
      </c>
      <c r="M180" s="0" t="s">
        <v>2749</v>
      </c>
      <c r="N180" s="0" t="s">
        <v>216</v>
      </c>
      <c r="Q180" s="0" t="n">
        <v>66</v>
      </c>
      <c r="R180" s="0" t="n">
        <v>66</v>
      </c>
      <c r="U180" s="0" t="s">
        <v>3283</v>
      </c>
      <c r="V180" s="0" t="s">
        <v>3283</v>
      </c>
      <c r="Y180" s="0" t="s">
        <v>3071</v>
      </c>
      <c r="Z180" s="0" t="s">
        <v>3072</v>
      </c>
      <c r="AA180" s="0" t="s">
        <v>3284</v>
      </c>
      <c r="AC180" s="0" t="s">
        <v>3074</v>
      </c>
    </row>
    <row r="181" customFormat="false" ht="15" hidden="false" customHeight="false" outlineLevel="0" collapsed="false">
      <c r="A181" s="0" t="s">
        <v>3291</v>
      </c>
      <c r="B181" s="0" t="s">
        <v>211</v>
      </c>
      <c r="C181" s="0" t="s">
        <v>3282</v>
      </c>
      <c r="D181" s="0" t="n">
        <v>2015</v>
      </c>
      <c r="E181" s="0" t="s">
        <v>57</v>
      </c>
      <c r="F181" s="0" t="n">
        <v>46064110</v>
      </c>
      <c r="G181" s="0" t="s">
        <v>3067</v>
      </c>
      <c r="H181" s="0" t="s">
        <v>3068</v>
      </c>
      <c r="I181" s="0" t="n">
        <v>46064.11</v>
      </c>
      <c r="J181" s="0" t="s">
        <v>3069</v>
      </c>
      <c r="M181" s="0" t="s">
        <v>2749</v>
      </c>
      <c r="N181" s="0" t="s">
        <v>216</v>
      </c>
      <c r="Q181" s="0" t="n">
        <v>66</v>
      </c>
      <c r="R181" s="0" t="n">
        <v>66</v>
      </c>
      <c r="U181" s="0" t="s">
        <v>3283</v>
      </c>
      <c r="V181" s="0" t="s">
        <v>3283</v>
      </c>
      <c r="Y181" s="0" t="s">
        <v>3071</v>
      </c>
      <c r="Z181" s="0" t="s">
        <v>3072</v>
      </c>
      <c r="AA181" s="0" t="s">
        <v>3284</v>
      </c>
      <c r="AC181" s="0" t="s">
        <v>3074</v>
      </c>
    </row>
    <row r="182" customFormat="false" ht="15" hidden="false" customHeight="false" outlineLevel="0" collapsed="false">
      <c r="A182" s="0" t="s">
        <v>3292</v>
      </c>
      <c r="B182" s="0" t="s">
        <v>211</v>
      </c>
      <c r="C182" s="0" t="s">
        <v>3282</v>
      </c>
      <c r="D182" s="0" t="n">
        <v>2015</v>
      </c>
      <c r="E182" s="0" t="s">
        <v>56</v>
      </c>
      <c r="F182" s="0" t="n">
        <v>350679204</v>
      </c>
      <c r="G182" s="0" t="s">
        <v>3067</v>
      </c>
      <c r="H182" s="0" t="s">
        <v>3068</v>
      </c>
      <c r="I182" s="0" t="n">
        <v>350679.204</v>
      </c>
      <c r="J182" s="0" t="s">
        <v>3069</v>
      </c>
      <c r="M182" s="0" t="s">
        <v>2749</v>
      </c>
      <c r="N182" s="0" t="s">
        <v>216</v>
      </c>
      <c r="Q182" s="0" t="n">
        <v>66</v>
      </c>
      <c r="R182" s="0" t="n">
        <v>66</v>
      </c>
      <c r="U182" s="0" t="s">
        <v>3283</v>
      </c>
      <c r="V182" s="0" t="s">
        <v>3283</v>
      </c>
      <c r="Y182" s="0" t="s">
        <v>3071</v>
      </c>
      <c r="Z182" s="0" t="s">
        <v>3072</v>
      </c>
      <c r="AA182" s="0" t="s">
        <v>3284</v>
      </c>
      <c r="AC182" s="0" t="s">
        <v>3074</v>
      </c>
    </row>
    <row r="183" customFormat="false" ht="15" hidden="false" customHeight="false" outlineLevel="0" collapsed="false">
      <c r="A183" s="0" t="s">
        <v>3293</v>
      </c>
      <c r="B183" s="0" t="s">
        <v>211</v>
      </c>
      <c r="C183" s="0" t="s">
        <v>3282</v>
      </c>
      <c r="D183" s="0" t="n">
        <v>2016</v>
      </c>
      <c r="E183" s="0" t="s">
        <v>3066</v>
      </c>
      <c r="F183" s="0" t="n">
        <v>283328215</v>
      </c>
      <c r="G183" s="0" t="s">
        <v>3067</v>
      </c>
      <c r="H183" s="0" t="s">
        <v>3068</v>
      </c>
      <c r="I183" s="0" t="n">
        <v>283328.215</v>
      </c>
      <c r="J183" s="0" t="s">
        <v>3069</v>
      </c>
      <c r="M183" s="0" t="s">
        <v>2749</v>
      </c>
      <c r="N183" s="0" t="s">
        <v>216</v>
      </c>
      <c r="Q183" s="0" t="n">
        <v>66</v>
      </c>
      <c r="R183" s="0" t="n">
        <v>66</v>
      </c>
      <c r="U183" s="0" t="s">
        <v>3294</v>
      </c>
      <c r="V183" s="0" t="s">
        <v>3294</v>
      </c>
      <c r="Y183" s="0" t="s">
        <v>3071</v>
      </c>
      <c r="Z183" s="0" t="s">
        <v>3072</v>
      </c>
      <c r="AA183" s="0" t="s">
        <v>3284</v>
      </c>
      <c r="AC183" s="0" t="s">
        <v>3074</v>
      </c>
    </row>
    <row r="184" customFormat="false" ht="15" hidden="false" customHeight="false" outlineLevel="0" collapsed="false">
      <c r="A184" s="0" t="s">
        <v>3295</v>
      </c>
      <c r="B184" s="0" t="s">
        <v>211</v>
      </c>
      <c r="C184" s="0" t="s">
        <v>3282</v>
      </c>
      <c r="D184" s="0" t="n">
        <v>2016</v>
      </c>
      <c r="E184" s="0" t="s">
        <v>63</v>
      </c>
      <c r="F184" s="0" t="n">
        <v>412401</v>
      </c>
      <c r="G184" s="0" t="s">
        <v>3067</v>
      </c>
      <c r="H184" s="0" t="s">
        <v>3068</v>
      </c>
      <c r="I184" s="0" t="n">
        <v>412.401</v>
      </c>
      <c r="J184" s="0" t="s">
        <v>3069</v>
      </c>
      <c r="M184" s="0" t="s">
        <v>2749</v>
      </c>
      <c r="N184" s="0" t="s">
        <v>216</v>
      </c>
      <c r="Q184" s="0" t="n">
        <v>65</v>
      </c>
      <c r="R184" s="0" t="n">
        <v>65</v>
      </c>
      <c r="U184" s="0" t="s">
        <v>3294</v>
      </c>
      <c r="V184" s="0" t="s">
        <v>3294</v>
      </c>
      <c r="Y184" s="0" t="s">
        <v>3071</v>
      </c>
      <c r="Z184" s="0" t="s">
        <v>3072</v>
      </c>
      <c r="AA184" s="0" t="s">
        <v>3286</v>
      </c>
      <c r="AC184" s="0" t="s">
        <v>3074</v>
      </c>
    </row>
    <row r="185" customFormat="false" ht="15" hidden="false" customHeight="false" outlineLevel="0" collapsed="false">
      <c r="A185" s="0" t="s">
        <v>3296</v>
      </c>
      <c r="B185" s="0" t="s">
        <v>211</v>
      </c>
      <c r="C185" s="0" t="s">
        <v>3282</v>
      </c>
      <c r="D185" s="0" t="n">
        <v>2016</v>
      </c>
      <c r="E185" s="0" t="s">
        <v>62</v>
      </c>
      <c r="F185" s="0" t="n">
        <v>227008550</v>
      </c>
      <c r="G185" s="0" t="s">
        <v>3067</v>
      </c>
      <c r="H185" s="0" t="s">
        <v>3068</v>
      </c>
      <c r="I185" s="0" t="n">
        <v>227008.55</v>
      </c>
      <c r="J185" s="0" t="s">
        <v>3069</v>
      </c>
      <c r="M185" s="0" t="s">
        <v>2749</v>
      </c>
      <c r="N185" s="0" t="s">
        <v>216</v>
      </c>
      <c r="Q185" s="0" t="n">
        <v>66</v>
      </c>
      <c r="R185" s="0" t="n">
        <v>66</v>
      </c>
      <c r="U185" s="0" t="s">
        <v>3294</v>
      </c>
      <c r="V185" s="0" t="s">
        <v>3294</v>
      </c>
      <c r="Y185" s="0" t="s">
        <v>3071</v>
      </c>
      <c r="Z185" s="0" t="s">
        <v>3072</v>
      </c>
      <c r="AA185" s="0" t="s">
        <v>3284</v>
      </c>
      <c r="AC185" s="0" t="s">
        <v>3074</v>
      </c>
    </row>
    <row r="186" customFormat="false" ht="15" hidden="false" customHeight="false" outlineLevel="0" collapsed="false">
      <c r="A186" s="0" t="s">
        <v>3297</v>
      </c>
      <c r="B186" s="0" t="s">
        <v>211</v>
      </c>
      <c r="C186" s="0" t="s">
        <v>3282</v>
      </c>
      <c r="D186" s="0" t="n">
        <v>2016</v>
      </c>
      <c r="E186" s="0" t="s">
        <v>58</v>
      </c>
      <c r="F186" s="0" t="n">
        <v>15892427</v>
      </c>
      <c r="G186" s="0" t="s">
        <v>3067</v>
      </c>
      <c r="H186" s="0" t="s">
        <v>3068</v>
      </c>
      <c r="I186" s="0" t="n">
        <v>15892.427</v>
      </c>
      <c r="J186" s="0" t="s">
        <v>3069</v>
      </c>
      <c r="M186" s="0" t="s">
        <v>2749</v>
      </c>
      <c r="N186" s="0" t="s">
        <v>216</v>
      </c>
      <c r="Q186" s="0" t="n">
        <v>70</v>
      </c>
      <c r="R186" s="0" t="n">
        <v>70</v>
      </c>
      <c r="U186" s="0" t="s">
        <v>3294</v>
      </c>
      <c r="V186" s="0" t="s">
        <v>3294</v>
      </c>
      <c r="Y186" s="0" t="s">
        <v>3071</v>
      </c>
      <c r="Z186" s="0" t="s">
        <v>3072</v>
      </c>
      <c r="AA186" s="0" t="s">
        <v>3284</v>
      </c>
      <c r="AC186" s="0" t="s">
        <v>3074</v>
      </c>
    </row>
    <row r="187" customFormat="false" ht="15" hidden="false" customHeight="false" outlineLevel="0" collapsed="false">
      <c r="A187" s="0" t="s">
        <v>3298</v>
      </c>
      <c r="B187" s="0" t="s">
        <v>211</v>
      </c>
      <c r="C187" s="0" t="s">
        <v>3282</v>
      </c>
      <c r="D187" s="0" t="n">
        <v>2016</v>
      </c>
      <c r="E187" s="0" t="s">
        <v>54</v>
      </c>
      <c r="F187" s="0" t="n">
        <v>2591800</v>
      </c>
      <c r="G187" s="0" t="s">
        <v>3067</v>
      </c>
      <c r="H187" s="0" t="s">
        <v>3068</v>
      </c>
      <c r="I187" s="0" t="n">
        <v>2591.8</v>
      </c>
      <c r="J187" s="0" t="s">
        <v>3069</v>
      </c>
      <c r="M187" s="0" t="s">
        <v>2749</v>
      </c>
      <c r="N187" s="0" t="s">
        <v>216</v>
      </c>
      <c r="Q187" s="0" t="n">
        <v>65</v>
      </c>
      <c r="R187" s="0" t="n">
        <v>65</v>
      </c>
      <c r="U187" s="0" t="s">
        <v>3294</v>
      </c>
      <c r="V187" s="0" t="s">
        <v>3294</v>
      </c>
      <c r="Y187" s="0" t="s">
        <v>3071</v>
      </c>
      <c r="Z187" s="0" t="s">
        <v>3072</v>
      </c>
      <c r="AA187" s="0" t="s">
        <v>3284</v>
      </c>
      <c r="AC187" s="0" t="s">
        <v>3074</v>
      </c>
    </row>
    <row r="188" customFormat="false" ht="15" hidden="false" customHeight="false" outlineLevel="0" collapsed="false">
      <c r="A188" s="0" t="s">
        <v>3299</v>
      </c>
      <c r="B188" s="0" t="s">
        <v>211</v>
      </c>
      <c r="C188" s="0" t="s">
        <v>3282</v>
      </c>
      <c r="D188" s="0" t="n">
        <v>2016</v>
      </c>
      <c r="E188" s="0" t="s">
        <v>55</v>
      </c>
      <c r="F188" s="0" t="n">
        <v>421221036</v>
      </c>
      <c r="G188" s="0" t="s">
        <v>3067</v>
      </c>
      <c r="H188" s="0" t="s">
        <v>3068</v>
      </c>
      <c r="I188" s="0" t="n">
        <v>421221.036</v>
      </c>
      <c r="J188" s="0" t="s">
        <v>3069</v>
      </c>
      <c r="M188" s="0" t="s">
        <v>2749</v>
      </c>
      <c r="N188" s="0" t="s">
        <v>216</v>
      </c>
      <c r="Q188" s="0" t="n">
        <v>66</v>
      </c>
      <c r="R188" s="0" t="n">
        <v>66</v>
      </c>
      <c r="U188" s="0" t="s">
        <v>3294</v>
      </c>
      <c r="V188" s="0" t="s">
        <v>3294</v>
      </c>
      <c r="Y188" s="0" t="s">
        <v>3071</v>
      </c>
      <c r="Z188" s="0" t="s">
        <v>3072</v>
      </c>
      <c r="AA188" s="0" t="s">
        <v>3284</v>
      </c>
      <c r="AC188" s="0" t="s">
        <v>3074</v>
      </c>
    </row>
    <row r="189" customFormat="false" ht="15" hidden="false" customHeight="false" outlineLevel="0" collapsed="false">
      <c r="A189" s="0" t="s">
        <v>3300</v>
      </c>
      <c r="B189" s="0" t="s">
        <v>211</v>
      </c>
      <c r="C189" s="0" t="s">
        <v>3282</v>
      </c>
      <c r="D189" s="0" t="n">
        <v>2016</v>
      </c>
      <c r="E189" s="0" t="s">
        <v>57</v>
      </c>
      <c r="F189" s="0" t="n">
        <v>48501954</v>
      </c>
      <c r="G189" s="0" t="s">
        <v>3067</v>
      </c>
      <c r="H189" s="0" t="s">
        <v>3068</v>
      </c>
      <c r="I189" s="0" t="n">
        <v>48501.954</v>
      </c>
      <c r="J189" s="0" t="s">
        <v>3069</v>
      </c>
      <c r="M189" s="0" t="s">
        <v>2749</v>
      </c>
      <c r="N189" s="0" t="s">
        <v>216</v>
      </c>
      <c r="Q189" s="0" t="n">
        <v>66</v>
      </c>
      <c r="R189" s="0" t="n">
        <v>66</v>
      </c>
      <c r="U189" s="0" t="s">
        <v>3294</v>
      </c>
      <c r="V189" s="0" t="s">
        <v>3294</v>
      </c>
      <c r="Y189" s="0" t="s">
        <v>3071</v>
      </c>
      <c r="Z189" s="0" t="s">
        <v>3072</v>
      </c>
      <c r="AA189" s="0" t="s">
        <v>3284</v>
      </c>
      <c r="AC189" s="0" t="s">
        <v>3074</v>
      </c>
    </row>
    <row r="190" customFormat="false" ht="15" hidden="false" customHeight="false" outlineLevel="0" collapsed="false">
      <c r="A190" s="0" t="s">
        <v>3301</v>
      </c>
      <c r="B190" s="0" t="s">
        <v>211</v>
      </c>
      <c r="C190" s="0" t="s">
        <v>3282</v>
      </c>
      <c r="D190" s="0" t="n">
        <v>2016</v>
      </c>
      <c r="E190" s="0" t="s">
        <v>56</v>
      </c>
      <c r="F190" s="0" t="n">
        <v>372719082</v>
      </c>
      <c r="G190" s="0" t="s">
        <v>3067</v>
      </c>
      <c r="H190" s="0" t="s">
        <v>3068</v>
      </c>
      <c r="I190" s="0" t="n">
        <v>372719.082</v>
      </c>
      <c r="J190" s="0" t="s">
        <v>3069</v>
      </c>
      <c r="M190" s="0" t="s">
        <v>2749</v>
      </c>
      <c r="N190" s="0" t="s">
        <v>216</v>
      </c>
      <c r="Q190" s="0" t="n">
        <v>66</v>
      </c>
      <c r="R190" s="0" t="n">
        <v>66</v>
      </c>
      <c r="U190" s="0" t="s">
        <v>3294</v>
      </c>
      <c r="V190" s="0" t="s">
        <v>3294</v>
      </c>
      <c r="Y190" s="0" t="s">
        <v>3071</v>
      </c>
      <c r="Z190" s="0" t="s">
        <v>3072</v>
      </c>
      <c r="AA190" s="0" t="s">
        <v>3284</v>
      </c>
      <c r="AC190" s="0" t="s">
        <v>3074</v>
      </c>
    </row>
    <row r="191" customFormat="false" ht="15" hidden="false" customHeight="false" outlineLevel="0" collapsed="false">
      <c r="A191" s="0" t="s">
        <v>3302</v>
      </c>
      <c r="B191" s="0" t="s">
        <v>211</v>
      </c>
      <c r="C191" s="0" t="s">
        <v>3282</v>
      </c>
      <c r="D191" s="0" t="n">
        <v>2017</v>
      </c>
      <c r="E191" s="0" t="s">
        <v>69</v>
      </c>
      <c r="F191" s="0" t="n">
        <v>14.32</v>
      </c>
      <c r="G191" s="0" t="s">
        <v>3079</v>
      </c>
      <c r="I191" s="0" t="n">
        <v>14.32</v>
      </c>
      <c r="J191" s="0" t="s">
        <v>3069</v>
      </c>
      <c r="M191" s="0" t="s">
        <v>2750</v>
      </c>
      <c r="N191" s="0" t="s">
        <v>217</v>
      </c>
      <c r="Q191" s="0" t="n">
        <v>176</v>
      </c>
      <c r="R191" s="0" t="n">
        <v>174</v>
      </c>
      <c r="U191" s="0" t="s">
        <v>3303</v>
      </c>
      <c r="V191" s="0" t="s">
        <v>3303</v>
      </c>
      <c r="Y191" s="0" t="s">
        <v>3071</v>
      </c>
      <c r="Z191" s="0" t="s">
        <v>3072</v>
      </c>
      <c r="AA191" s="0" t="s">
        <v>3304</v>
      </c>
      <c r="AC191" s="0" t="s">
        <v>3074</v>
      </c>
    </row>
    <row r="192" customFormat="false" ht="15" hidden="false" customHeight="false" outlineLevel="0" collapsed="false">
      <c r="A192" s="0" t="s">
        <v>3305</v>
      </c>
      <c r="B192" s="0" t="s">
        <v>211</v>
      </c>
      <c r="C192" s="0" t="s">
        <v>3282</v>
      </c>
      <c r="D192" s="0" t="n">
        <v>2017</v>
      </c>
      <c r="E192" s="0" t="s">
        <v>3066</v>
      </c>
      <c r="F192" s="0" t="n">
        <v>254487050</v>
      </c>
      <c r="G192" s="0" t="s">
        <v>3067</v>
      </c>
      <c r="H192" s="0" t="s">
        <v>3068</v>
      </c>
      <c r="I192" s="0" t="n">
        <v>254487.05</v>
      </c>
      <c r="J192" s="0" t="s">
        <v>3069</v>
      </c>
      <c r="M192" s="0" t="s">
        <v>2750</v>
      </c>
      <c r="N192" s="0" t="s">
        <v>217</v>
      </c>
      <c r="Q192" s="0" t="n">
        <v>53</v>
      </c>
      <c r="R192" s="0" t="n">
        <v>51</v>
      </c>
      <c r="U192" s="0" t="s">
        <v>3303</v>
      </c>
      <c r="V192" s="0" t="s">
        <v>3303</v>
      </c>
      <c r="Y192" s="0" t="s">
        <v>3071</v>
      </c>
      <c r="Z192" s="0" t="s">
        <v>3072</v>
      </c>
      <c r="AA192" s="0" t="s">
        <v>3306</v>
      </c>
      <c r="AC192" s="0" t="s">
        <v>3074</v>
      </c>
    </row>
    <row r="193" customFormat="false" ht="15" hidden="false" customHeight="false" outlineLevel="0" collapsed="false">
      <c r="A193" s="0" t="s">
        <v>3307</v>
      </c>
      <c r="B193" s="0" t="s">
        <v>211</v>
      </c>
      <c r="C193" s="0" t="s">
        <v>3282</v>
      </c>
      <c r="D193" s="0" t="n">
        <v>2017</v>
      </c>
      <c r="E193" s="0" t="s">
        <v>60</v>
      </c>
      <c r="F193" s="0" t="n">
        <v>220076031</v>
      </c>
      <c r="G193" s="0" t="s">
        <v>3067</v>
      </c>
      <c r="H193" s="0" t="s">
        <v>3068</v>
      </c>
      <c r="I193" s="0" t="n">
        <v>220076.031</v>
      </c>
      <c r="J193" s="0" t="s">
        <v>3069</v>
      </c>
      <c r="M193" s="0" t="s">
        <v>2750</v>
      </c>
      <c r="N193" s="0" t="s">
        <v>217</v>
      </c>
      <c r="Q193" s="0" t="n">
        <v>109</v>
      </c>
      <c r="R193" s="0" t="n">
        <v>107</v>
      </c>
      <c r="U193" s="0" t="s">
        <v>3303</v>
      </c>
      <c r="V193" s="0" t="s">
        <v>3303</v>
      </c>
      <c r="Y193" s="0" t="s">
        <v>3071</v>
      </c>
      <c r="Z193" s="0" t="s">
        <v>3072</v>
      </c>
      <c r="AA193" s="0" t="s">
        <v>3306</v>
      </c>
      <c r="AC193" s="0" t="s">
        <v>3074</v>
      </c>
    </row>
    <row r="194" customFormat="false" ht="15" hidden="false" customHeight="false" outlineLevel="0" collapsed="false">
      <c r="A194" s="0" t="s">
        <v>3308</v>
      </c>
      <c r="B194" s="0" t="s">
        <v>211</v>
      </c>
      <c r="C194" s="0" t="s">
        <v>3282</v>
      </c>
      <c r="D194" s="0" t="n">
        <v>2017</v>
      </c>
      <c r="E194" s="0" t="s">
        <v>1327</v>
      </c>
      <c r="F194" s="0" t="n">
        <v>64858369</v>
      </c>
      <c r="G194" s="0" t="s">
        <v>3067</v>
      </c>
      <c r="H194" s="0" t="s">
        <v>3068</v>
      </c>
      <c r="I194" s="0" t="n">
        <v>64858.369</v>
      </c>
      <c r="J194" s="0" t="s">
        <v>3069</v>
      </c>
      <c r="M194" s="0" t="s">
        <v>2750</v>
      </c>
      <c r="N194" s="0" t="s">
        <v>217</v>
      </c>
      <c r="Q194" s="0" t="n">
        <v>38</v>
      </c>
      <c r="R194" s="0" t="n">
        <v>36</v>
      </c>
      <c r="U194" s="0" t="s">
        <v>3303</v>
      </c>
      <c r="V194" s="0" t="s">
        <v>3303</v>
      </c>
      <c r="Y194" s="0" t="s">
        <v>3071</v>
      </c>
      <c r="Z194" s="0" t="s">
        <v>3072</v>
      </c>
      <c r="AA194" s="0" t="s">
        <v>3309</v>
      </c>
      <c r="AC194" s="0" t="s">
        <v>3074</v>
      </c>
    </row>
    <row r="195" customFormat="false" ht="15" hidden="false" customHeight="false" outlineLevel="0" collapsed="false">
      <c r="A195" s="0" t="s">
        <v>3310</v>
      </c>
      <c r="B195" s="0" t="s">
        <v>211</v>
      </c>
      <c r="C195" s="0" t="s">
        <v>3282</v>
      </c>
      <c r="D195" s="0" t="n">
        <v>2017</v>
      </c>
      <c r="E195" s="0" t="s">
        <v>63</v>
      </c>
      <c r="F195" s="0" t="n">
        <v>2179798</v>
      </c>
      <c r="G195" s="0" t="s">
        <v>3067</v>
      </c>
      <c r="H195" s="0" t="s">
        <v>3068</v>
      </c>
      <c r="I195" s="0" t="n">
        <v>2179.798</v>
      </c>
      <c r="J195" s="0" t="s">
        <v>3069</v>
      </c>
      <c r="M195" s="0" t="s">
        <v>2750</v>
      </c>
      <c r="N195" s="0" t="s">
        <v>217</v>
      </c>
      <c r="Q195" s="0" t="n">
        <v>52</v>
      </c>
      <c r="R195" s="0" t="n">
        <v>50</v>
      </c>
      <c r="U195" s="0" t="s">
        <v>3303</v>
      </c>
      <c r="V195" s="0" t="s">
        <v>3303</v>
      </c>
      <c r="Y195" s="0" t="s">
        <v>3071</v>
      </c>
      <c r="Z195" s="0" t="s">
        <v>3072</v>
      </c>
      <c r="AA195" s="0" t="s">
        <v>3306</v>
      </c>
      <c r="AC195" s="0" t="s">
        <v>3074</v>
      </c>
    </row>
    <row r="196" customFormat="false" ht="15" hidden="false" customHeight="false" outlineLevel="0" collapsed="false">
      <c r="A196" s="0" t="s">
        <v>3311</v>
      </c>
      <c r="B196" s="0" t="s">
        <v>211</v>
      </c>
      <c r="C196" s="0" t="s">
        <v>3282</v>
      </c>
      <c r="D196" s="0" t="n">
        <v>2017</v>
      </c>
      <c r="E196" s="0" t="s">
        <v>71</v>
      </c>
      <c r="F196" s="0" t="n">
        <v>26.25</v>
      </c>
      <c r="G196" s="0" t="s">
        <v>3079</v>
      </c>
      <c r="I196" s="0" t="n">
        <v>26.25</v>
      </c>
      <c r="J196" s="0" t="s">
        <v>3069</v>
      </c>
      <c r="M196" s="0" t="s">
        <v>2750</v>
      </c>
      <c r="N196" s="0" t="s">
        <v>217</v>
      </c>
      <c r="Q196" s="0" t="n">
        <v>158</v>
      </c>
      <c r="R196" s="0" t="n">
        <v>156</v>
      </c>
      <c r="U196" s="0" t="s">
        <v>3303</v>
      </c>
      <c r="V196" s="0" t="s">
        <v>3303</v>
      </c>
      <c r="Y196" s="0" t="s">
        <v>3071</v>
      </c>
      <c r="Z196" s="0" t="s">
        <v>3072</v>
      </c>
      <c r="AA196" s="0" t="s">
        <v>3312</v>
      </c>
      <c r="AC196" s="0" t="s">
        <v>3074</v>
      </c>
    </row>
    <row r="197" customFormat="false" ht="15" hidden="false" customHeight="false" outlineLevel="0" collapsed="false">
      <c r="A197" s="0" t="s">
        <v>3313</v>
      </c>
      <c r="B197" s="0" t="s">
        <v>211</v>
      </c>
      <c r="C197" s="0" t="s">
        <v>3282</v>
      </c>
      <c r="D197" s="0" t="n">
        <v>2017</v>
      </c>
      <c r="E197" s="0" t="s">
        <v>61</v>
      </c>
      <c r="F197" s="0" t="n">
        <v>4236001</v>
      </c>
      <c r="G197" s="0" t="s">
        <v>3067</v>
      </c>
      <c r="H197" s="0" t="s">
        <v>3068</v>
      </c>
      <c r="I197" s="0" t="n">
        <v>4236.001</v>
      </c>
      <c r="J197" s="0" t="s">
        <v>3069</v>
      </c>
      <c r="M197" s="0" t="s">
        <v>2750</v>
      </c>
      <c r="N197" s="0" t="s">
        <v>217</v>
      </c>
      <c r="Q197" s="0" t="n">
        <v>109</v>
      </c>
      <c r="R197" s="0" t="n">
        <v>107</v>
      </c>
      <c r="U197" s="0" t="s">
        <v>3303</v>
      </c>
      <c r="V197" s="0" t="s">
        <v>3303</v>
      </c>
      <c r="Y197" s="0" t="s">
        <v>3071</v>
      </c>
      <c r="Z197" s="0" t="s">
        <v>3072</v>
      </c>
      <c r="AA197" s="0" t="s">
        <v>3306</v>
      </c>
      <c r="AC197" s="0" t="s">
        <v>3074</v>
      </c>
    </row>
    <row r="198" customFormat="false" ht="15" hidden="false" customHeight="false" outlineLevel="0" collapsed="false">
      <c r="A198" s="0" t="s">
        <v>3314</v>
      </c>
      <c r="B198" s="0" t="s">
        <v>211</v>
      </c>
      <c r="C198" s="0" t="s">
        <v>3282</v>
      </c>
      <c r="D198" s="0" t="n">
        <v>2017</v>
      </c>
      <c r="E198" s="0" t="s">
        <v>327</v>
      </c>
      <c r="F198" s="0" t="n">
        <v>3.52</v>
      </c>
      <c r="G198" s="0" t="s">
        <v>3079</v>
      </c>
      <c r="I198" s="0" t="n">
        <v>3.52</v>
      </c>
      <c r="J198" s="0" t="s">
        <v>3069</v>
      </c>
      <c r="M198" s="0" t="s">
        <v>2750</v>
      </c>
      <c r="N198" s="0" t="s">
        <v>217</v>
      </c>
      <c r="Q198" s="0" t="n">
        <v>38</v>
      </c>
      <c r="R198" s="0" t="n">
        <v>36</v>
      </c>
      <c r="U198" s="0" t="s">
        <v>3303</v>
      </c>
      <c r="V198" s="0" t="s">
        <v>3303</v>
      </c>
      <c r="Y198" s="0" t="s">
        <v>3071</v>
      </c>
      <c r="Z198" s="0" t="s">
        <v>3072</v>
      </c>
      <c r="AA198" s="0" t="s">
        <v>3315</v>
      </c>
      <c r="AC198" s="0" t="s">
        <v>3074</v>
      </c>
    </row>
    <row r="199" customFormat="false" ht="15" hidden="false" customHeight="false" outlineLevel="0" collapsed="false">
      <c r="A199" s="0" t="s">
        <v>3316</v>
      </c>
      <c r="B199" s="0" t="s">
        <v>211</v>
      </c>
      <c r="C199" s="0" t="s">
        <v>3282</v>
      </c>
      <c r="D199" s="0" t="n">
        <v>2017</v>
      </c>
      <c r="E199" s="0" t="s">
        <v>62</v>
      </c>
      <c r="F199" s="0" t="n">
        <v>215840031</v>
      </c>
      <c r="G199" s="0" t="s">
        <v>3067</v>
      </c>
      <c r="H199" s="0" t="s">
        <v>3068</v>
      </c>
      <c r="I199" s="0" t="n">
        <v>215840.031</v>
      </c>
      <c r="J199" s="0" t="s">
        <v>3069</v>
      </c>
      <c r="M199" s="0" t="s">
        <v>2750</v>
      </c>
      <c r="N199" s="0" t="s">
        <v>217</v>
      </c>
      <c r="Q199" s="0" t="n">
        <v>53</v>
      </c>
      <c r="R199" s="0" t="n">
        <v>51</v>
      </c>
      <c r="U199" s="0" t="s">
        <v>3303</v>
      </c>
      <c r="V199" s="0" t="s">
        <v>3303</v>
      </c>
      <c r="Y199" s="0" t="s">
        <v>3071</v>
      </c>
      <c r="Z199" s="0" t="s">
        <v>3072</v>
      </c>
      <c r="AA199" s="0" t="s">
        <v>3306</v>
      </c>
      <c r="AC199" s="0" t="s">
        <v>3074</v>
      </c>
    </row>
    <row r="200" customFormat="false" ht="15" hidden="false" customHeight="false" outlineLevel="0" collapsed="false">
      <c r="A200" s="0" t="s">
        <v>3317</v>
      </c>
      <c r="B200" s="0" t="s">
        <v>211</v>
      </c>
      <c r="C200" s="0" t="s">
        <v>3282</v>
      </c>
      <c r="D200" s="0" t="n">
        <v>2017</v>
      </c>
      <c r="E200" s="0" t="s">
        <v>58</v>
      </c>
      <c r="F200" s="0" t="n">
        <v>-25950964</v>
      </c>
      <c r="G200" s="0" t="s">
        <v>3067</v>
      </c>
      <c r="H200" s="0" t="s">
        <v>3068</v>
      </c>
      <c r="I200" s="0" t="n">
        <v>-25950.964</v>
      </c>
      <c r="J200" s="0" t="s">
        <v>3069</v>
      </c>
      <c r="M200" s="0" t="s">
        <v>2750</v>
      </c>
      <c r="N200" s="0" t="s">
        <v>217</v>
      </c>
      <c r="Q200" s="0" t="n">
        <v>59</v>
      </c>
      <c r="R200" s="0" t="n">
        <v>57</v>
      </c>
      <c r="U200" s="0" t="s">
        <v>3303</v>
      </c>
      <c r="V200" s="0" t="s">
        <v>3303</v>
      </c>
      <c r="Y200" s="0" t="s">
        <v>3071</v>
      </c>
      <c r="Z200" s="0" t="s">
        <v>3072</v>
      </c>
      <c r="AA200" s="0" t="s">
        <v>3306</v>
      </c>
      <c r="AC200" s="0" t="s">
        <v>3074</v>
      </c>
    </row>
    <row r="201" customFormat="false" ht="15" hidden="false" customHeight="false" outlineLevel="0" collapsed="false">
      <c r="A201" s="0" t="s">
        <v>3318</v>
      </c>
      <c r="B201" s="0" t="s">
        <v>211</v>
      </c>
      <c r="C201" s="0" t="s">
        <v>3282</v>
      </c>
      <c r="D201" s="0" t="n">
        <v>2017</v>
      </c>
      <c r="E201" s="0" t="s">
        <v>54</v>
      </c>
      <c r="F201" s="0" t="n">
        <v>2301158</v>
      </c>
      <c r="G201" s="0" t="s">
        <v>3067</v>
      </c>
      <c r="H201" s="0" t="s">
        <v>3068</v>
      </c>
      <c r="I201" s="0" t="n">
        <v>2301.158</v>
      </c>
      <c r="J201" s="0" t="s">
        <v>3069</v>
      </c>
      <c r="M201" s="0" t="s">
        <v>2750</v>
      </c>
      <c r="N201" s="0" t="s">
        <v>217</v>
      </c>
      <c r="Q201" s="0" t="n">
        <v>52</v>
      </c>
      <c r="R201" s="0" t="n">
        <v>50</v>
      </c>
      <c r="U201" s="0" t="s">
        <v>3303</v>
      </c>
      <c r="V201" s="0" t="s">
        <v>3303</v>
      </c>
      <c r="Y201" s="0" t="s">
        <v>3071</v>
      </c>
      <c r="Z201" s="0" t="s">
        <v>3072</v>
      </c>
      <c r="AA201" s="0" t="s">
        <v>3306</v>
      </c>
      <c r="AC201" s="0" t="s">
        <v>3074</v>
      </c>
    </row>
    <row r="202" customFormat="false" ht="15" hidden="false" customHeight="false" outlineLevel="0" collapsed="false">
      <c r="A202" s="0" t="s">
        <v>3319</v>
      </c>
      <c r="B202" s="0" t="s">
        <v>211</v>
      </c>
      <c r="C202" s="0" t="s">
        <v>3282</v>
      </c>
      <c r="D202" s="0" t="n">
        <v>2017</v>
      </c>
      <c r="E202" s="0" t="s">
        <v>65</v>
      </c>
      <c r="F202" s="0" t="n">
        <v>25172806</v>
      </c>
      <c r="G202" s="0" t="s">
        <v>3067</v>
      </c>
      <c r="H202" s="0" t="s">
        <v>3068</v>
      </c>
      <c r="I202" s="0" t="n">
        <v>25172.806</v>
      </c>
      <c r="J202" s="0" t="s">
        <v>3069</v>
      </c>
      <c r="M202" s="0" t="s">
        <v>2750</v>
      </c>
      <c r="N202" s="0" t="s">
        <v>217</v>
      </c>
      <c r="Q202" s="0" t="n">
        <v>176</v>
      </c>
      <c r="R202" s="0" t="n">
        <v>174</v>
      </c>
      <c r="U202" s="0" t="s">
        <v>3303</v>
      </c>
      <c r="V202" s="0" t="s">
        <v>3303</v>
      </c>
      <c r="Y202" s="0" t="s">
        <v>3071</v>
      </c>
      <c r="Z202" s="0" t="s">
        <v>3072</v>
      </c>
      <c r="AA202" s="0" t="s">
        <v>3166</v>
      </c>
      <c r="AC202" s="0" t="s">
        <v>3074</v>
      </c>
    </row>
    <row r="203" customFormat="false" ht="15" hidden="false" customHeight="false" outlineLevel="0" collapsed="false">
      <c r="A203" s="0" t="s">
        <v>3320</v>
      </c>
      <c r="B203" s="0" t="s">
        <v>211</v>
      </c>
      <c r="C203" s="0" t="s">
        <v>3282</v>
      </c>
      <c r="D203" s="0" t="n">
        <v>2017</v>
      </c>
      <c r="E203" s="0" t="s">
        <v>66</v>
      </c>
      <c r="F203" s="0" t="n">
        <v>174776788</v>
      </c>
      <c r="G203" s="0" t="s">
        <v>3067</v>
      </c>
      <c r="H203" s="0" t="s">
        <v>3068</v>
      </c>
      <c r="I203" s="0" t="n">
        <v>174776.788</v>
      </c>
      <c r="J203" s="0" t="s">
        <v>3069</v>
      </c>
      <c r="M203" s="0" t="s">
        <v>2750</v>
      </c>
      <c r="N203" s="0" t="s">
        <v>217</v>
      </c>
      <c r="Q203" s="0" t="n">
        <v>176</v>
      </c>
      <c r="R203" s="0" t="n">
        <v>174</v>
      </c>
      <c r="U203" s="0" t="s">
        <v>3303</v>
      </c>
      <c r="V203" s="0" t="s">
        <v>3303</v>
      </c>
      <c r="Y203" s="0" t="s">
        <v>3071</v>
      </c>
      <c r="Z203" s="0" t="s">
        <v>3072</v>
      </c>
      <c r="AA203" s="0" t="s">
        <v>3166</v>
      </c>
      <c r="AC203" s="0" t="s">
        <v>3074</v>
      </c>
    </row>
    <row r="204" customFormat="false" ht="15" hidden="false" customHeight="false" outlineLevel="0" collapsed="false">
      <c r="A204" s="0" t="s">
        <v>3321</v>
      </c>
      <c r="B204" s="0" t="s">
        <v>211</v>
      </c>
      <c r="C204" s="0" t="s">
        <v>3282</v>
      </c>
      <c r="D204" s="0" t="n">
        <v>2017</v>
      </c>
      <c r="E204" s="0" t="s">
        <v>55</v>
      </c>
      <c r="F204" s="0" t="n">
        <v>384779809</v>
      </c>
      <c r="G204" s="0" t="s">
        <v>3067</v>
      </c>
      <c r="H204" s="0" t="s">
        <v>3068</v>
      </c>
      <c r="I204" s="0" t="n">
        <v>384779.809</v>
      </c>
      <c r="J204" s="0" t="s">
        <v>3069</v>
      </c>
      <c r="M204" s="0" t="s">
        <v>2750</v>
      </c>
      <c r="N204" s="0" t="s">
        <v>217</v>
      </c>
      <c r="Q204" s="0" t="n">
        <v>53</v>
      </c>
      <c r="R204" s="0" t="n">
        <v>51</v>
      </c>
      <c r="U204" s="0" t="s">
        <v>3303</v>
      </c>
      <c r="V204" s="0" t="s">
        <v>3303</v>
      </c>
      <c r="Y204" s="0" t="s">
        <v>3071</v>
      </c>
      <c r="Z204" s="0" t="s">
        <v>3072</v>
      </c>
      <c r="AA204" s="0" t="s">
        <v>3306</v>
      </c>
      <c r="AC204" s="0" t="s">
        <v>3074</v>
      </c>
    </row>
    <row r="205" customFormat="false" ht="15" hidden="false" customHeight="false" outlineLevel="0" collapsed="false">
      <c r="A205" s="0" t="s">
        <v>3322</v>
      </c>
      <c r="B205" s="0" t="s">
        <v>211</v>
      </c>
      <c r="C205" s="0" t="s">
        <v>3282</v>
      </c>
      <c r="D205" s="0" t="n">
        <v>2017</v>
      </c>
      <c r="E205" s="0" t="s">
        <v>57</v>
      </c>
      <c r="F205" s="0" t="n">
        <v>49692140</v>
      </c>
      <c r="G205" s="0" t="s">
        <v>3067</v>
      </c>
      <c r="H205" s="0" t="s">
        <v>3068</v>
      </c>
      <c r="I205" s="0" t="n">
        <v>49692.14</v>
      </c>
      <c r="J205" s="0" t="s">
        <v>3069</v>
      </c>
      <c r="M205" s="0" t="s">
        <v>2750</v>
      </c>
      <c r="N205" s="0" t="s">
        <v>217</v>
      </c>
      <c r="Q205" s="0" t="n">
        <v>53</v>
      </c>
      <c r="R205" s="0" t="n">
        <v>51</v>
      </c>
      <c r="U205" s="0" t="s">
        <v>3303</v>
      </c>
      <c r="V205" s="0" t="s">
        <v>3303</v>
      </c>
      <c r="Y205" s="0" t="s">
        <v>3071</v>
      </c>
      <c r="Z205" s="0" t="s">
        <v>3072</v>
      </c>
      <c r="AA205" s="0" t="s">
        <v>3306</v>
      </c>
      <c r="AC205" s="0" t="s">
        <v>3074</v>
      </c>
    </row>
    <row r="206" customFormat="false" ht="15" hidden="false" customHeight="false" outlineLevel="0" collapsed="false">
      <c r="A206" s="0" t="s">
        <v>3323</v>
      </c>
      <c r="B206" s="0" t="s">
        <v>211</v>
      </c>
      <c r="C206" s="0" t="s">
        <v>3282</v>
      </c>
      <c r="D206" s="0" t="n">
        <v>2017</v>
      </c>
      <c r="E206" s="0" t="s">
        <v>56</v>
      </c>
      <c r="F206" s="0" t="n">
        <v>335087669</v>
      </c>
      <c r="G206" s="0" t="s">
        <v>3067</v>
      </c>
      <c r="H206" s="0" t="s">
        <v>3068</v>
      </c>
      <c r="I206" s="0" t="n">
        <v>335087.669</v>
      </c>
      <c r="J206" s="0" t="s">
        <v>3069</v>
      </c>
      <c r="M206" s="0" t="s">
        <v>2750</v>
      </c>
      <c r="N206" s="0" t="s">
        <v>217</v>
      </c>
      <c r="Q206" s="0" t="n">
        <v>53</v>
      </c>
      <c r="R206" s="0" t="n">
        <v>51</v>
      </c>
      <c r="U206" s="0" t="s">
        <v>3303</v>
      </c>
      <c r="V206" s="0" t="s">
        <v>3303</v>
      </c>
      <c r="Y206" s="0" t="s">
        <v>3071</v>
      </c>
      <c r="Z206" s="0" t="s">
        <v>3072</v>
      </c>
      <c r="AA206" s="0" t="s">
        <v>3306</v>
      </c>
      <c r="AC206" s="0" t="s">
        <v>3074</v>
      </c>
    </row>
    <row r="207" customFormat="false" ht="15" hidden="false" customHeight="false" outlineLevel="0" collapsed="false">
      <c r="A207" s="0" t="s">
        <v>3324</v>
      </c>
      <c r="B207" s="0" t="s">
        <v>211</v>
      </c>
      <c r="C207" s="0" t="s">
        <v>3282</v>
      </c>
      <c r="D207" s="0" t="n">
        <v>2018</v>
      </c>
      <c r="E207" s="0" t="s">
        <v>3325</v>
      </c>
      <c r="F207" s="0" t="s">
        <v>1878</v>
      </c>
      <c r="G207" s="0" t="s">
        <v>3326</v>
      </c>
      <c r="I207" s="0" t="s">
        <v>1878</v>
      </c>
      <c r="J207" s="0" t="s">
        <v>3069</v>
      </c>
      <c r="M207" s="0" t="s">
        <v>2750</v>
      </c>
      <c r="N207" s="0" t="s">
        <v>217</v>
      </c>
      <c r="Q207" s="0" t="n">
        <v>50</v>
      </c>
      <c r="R207" s="0" t="n">
        <v>49</v>
      </c>
      <c r="U207" s="0" t="s">
        <v>3327</v>
      </c>
      <c r="V207" s="0" t="s">
        <v>3327</v>
      </c>
      <c r="Y207" s="0" t="s">
        <v>3071</v>
      </c>
      <c r="Z207" s="0" t="s">
        <v>3072</v>
      </c>
      <c r="AA207" s="0" t="s">
        <v>3328</v>
      </c>
      <c r="AC207" s="0" t="s">
        <v>3074</v>
      </c>
    </row>
    <row r="208" customFormat="false" ht="15" hidden="false" customHeight="false" outlineLevel="0" collapsed="false">
      <c r="A208" s="0" t="s">
        <v>3329</v>
      </c>
      <c r="B208" s="0" t="s">
        <v>211</v>
      </c>
      <c r="C208" s="0" t="s">
        <v>3282</v>
      </c>
      <c r="D208" s="0" t="n">
        <v>2018</v>
      </c>
      <c r="E208" s="0" t="s">
        <v>69</v>
      </c>
      <c r="F208" s="0" t="n">
        <v>18.01</v>
      </c>
      <c r="G208" s="0" t="s">
        <v>3079</v>
      </c>
      <c r="I208" s="0" t="n">
        <v>18.01</v>
      </c>
      <c r="J208" s="0" t="s">
        <v>3069</v>
      </c>
      <c r="M208" s="0" t="s">
        <v>2750</v>
      </c>
      <c r="N208" s="0" t="s">
        <v>217</v>
      </c>
      <c r="Q208" s="0" t="n">
        <v>176</v>
      </c>
      <c r="R208" s="0" t="n">
        <v>174</v>
      </c>
      <c r="U208" s="0" t="s">
        <v>3327</v>
      </c>
      <c r="V208" s="0" t="s">
        <v>3327</v>
      </c>
      <c r="Y208" s="0" t="s">
        <v>3071</v>
      </c>
      <c r="Z208" s="0" t="s">
        <v>3072</v>
      </c>
      <c r="AA208" s="0" t="s">
        <v>3304</v>
      </c>
      <c r="AC208" s="0" t="s">
        <v>3074</v>
      </c>
    </row>
    <row r="209" customFormat="false" ht="15" hidden="false" customHeight="false" outlineLevel="0" collapsed="false">
      <c r="A209" s="0" t="s">
        <v>3330</v>
      </c>
      <c r="B209" s="0" t="s">
        <v>211</v>
      </c>
      <c r="C209" s="0" t="s">
        <v>3282</v>
      </c>
      <c r="D209" s="0" t="n">
        <v>2018</v>
      </c>
      <c r="E209" s="0" t="s">
        <v>3066</v>
      </c>
      <c r="F209" s="0" t="n">
        <v>369314164</v>
      </c>
      <c r="G209" s="0" t="s">
        <v>3067</v>
      </c>
      <c r="H209" s="0" t="s">
        <v>3068</v>
      </c>
      <c r="I209" s="0" t="n">
        <v>369314.164</v>
      </c>
      <c r="J209" s="0" t="s">
        <v>3069</v>
      </c>
      <c r="M209" s="0" t="s">
        <v>2750</v>
      </c>
      <c r="N209" s="0" t="s">
        <v>217</v>
      </c>
      <c r="Q209" s="0" t="n">
        <v>53</v>
      </c>
      <c r="R209" s="0" t="n">
        <v>51</v>
      </c>
      <c r="U209" s="0" t="s">
        <v>3327</v>
      </c>
      <c r="V209" s="0" t="s">
        <v>3327</v>
      </c>
      <c r="Y209" s="0" t="s">
        <v>3071</v>
      </c>
      <c r="Z209" s="0" t="s">
        <v>3072</v>
      </c>
      <c r="AA209" s="0" t="s">
        <v>3306</v>
      </c>
      <c r="AC209" s="0" t="s">
        <v>3074</v>
      </c>
    </row>
    <row r="210" customFormat="false" ht="15" hidden="false" customHeight="false" outlineLevel="0" collapsed="false">
      <c r="A210" s="0" t="s">
        <v>3331</v>
      </c>
      <c r="B210" s="0" t="s">
        <v>211</v>
      </c>
      <c r="C210" s="0" t="s">
        <v>3282</v>
      </c>
      <c r="D210" s="0" t="n">
        <v>2018</v>
      </c>
      <c r="E210" s="0" t="s">
        <v>73</v>
      </c>
      <c r="F210" s="0" t="n">
        <v>0</v>
      </c>
      <c r="G210" s="0" t="s">
        <v>3332</v>
      </c>
      <c r="I210" s="0" t="n">
        <v>0</v>
      </c>
      <c r="J210" s="0" t="s">
        <v>3069</v>
      </c>
      <c r="M210" s="0" t="s">
        <v>2750</v>
      </c>
      <c r="N210" s="0" t="s">
        <v>217</v>
      </c>
      <c r="Q210" s="0" t="n">
        <v>45</v>
      </c>
      <c r="R210" s="0" t="s">
        <v>3333</v>
      </c>
      <c r="U210" s="0" t="s">
        <v>3327</v>
      </c>
      <c r="V210" s="0" t="s">
        <v>3327</v>
      </c>
      <c r="Y210" s="0" t="s">
        <v>3071</v>
      </c>
      <c r="Z210" s="0" t="s">
        <v>3072</v>
      </c>
      <c r="AA210" s="0" t="s">
        <v>3334</v>
      </c>
      <c r="AC210" s="0" t="s">
        <v>3074</v>
      </c>
    </row>
    <row r="211" customFormat="false" ht="15" hidden="false" customHeight="false" outlineLevel="0" collapsed="false">
      <c r="A211" s="0" t="s">
        <v>3335</v>
      </c>
      <c r="B211" s="0" t="s">
        <v>211</v>
      </c>
      <c r="C211" s="0" t="s">
        <v>3282</v>
      </c>
      <c r="D211" s="0" t="n">
        <v>2018</v>
      </c>
      <c r="E211" s="0" t="s">
        <v>60</v>
      </c>
      <c r="F211" s="0" t="n">
        <v>261583723</v>
      </c>
      <c r="G211" s="0" t="s">
        <v>3067</v>
      </c>
      <c r="H211" s="0" t="s">
        <v>3068</v>
      </c>
      <c r="I211" s="0" t="n">
        <v>261583.723</v>
      </c>
      <c r="J211" s="0" t="s">
        <v>3069</v>
      </c>
      <c r="M211" s="0" t="s">
        <v>2750</v>
      </c>
      <c r="N211" s="0" t="s">
        <v>217</v>
      </c>
      <c r="Q211" s="0" t="n">
        <v>109</v>
      </c>
      <c r="R211" s="0" t="n">
        <v>107</v>
      </c>
      <c r="U211" s="0" t="s">
        <v>3327</v>
      </c>
      <c r="V211" s="0" t="s">
        <v>3327</v>
      </c>
      <c r="Y211" s="0" t="s">
        <v>3071</v>
      </c>
      <c r="Z211" s="0" t="s">
        <v>3072</v>
      </c>
      <c r="AA211" s="0" t="s">
        <v>3336</v>
      </c>
      <c r="AC211" s="0" t="s">
        <v>3074</v>
      </c>
    </row>
    <row r="212" customFormat="false" ht="15" hidden="false" customHeight="false" outlineLevel="0" collapsed="false">
      <c r="A212" s="0" t="s">
        <v>3337</v>
      </c>
      <c r="B212" s="0" t="s">
        <v>211</v>
      </c>
      <c r="C212" s="0" t="s">
        <v>3282</v>
      </c>
      <c r="D212" s="0" t="n">
        <v>2018</v>
      </c>
      <c r="E212" s="0" t="s">
        <v>1327</v>
      </c>
      <c r="F212" s="0" t="n">
        <v>70907759</v>
      </c>
      <c r="G212" s="0" t="s">
        <v>3067</v>
      </c>
      <c r="H212" s="0" t="s">
        <v>3068</v>
      </c>
      <c r="I212" s="0" t="n">
        <v>70907.759</v>
      </c>
      <c r="J212" s="0" t="s">
        <v>3069</v>
      </c>
      <c r="M212" s="0" t="s">
        <v>2750</v>
      </c>
      <c r="N212" s="0" t="s">
        <v>217</v>
      </c>
      <c r="Q212" s="0" t="n">
        <v>38</v>
      </c>
      <c r="R212" s="0" t="n">
        <v>36</v>
      </c>
      <c r="U212" s="0" t="s">
        <v>3327</v>
      </c>
      <c r="V212" s="0" t="s">
        <v>3327</v>
      </c>
      <c r="Y212" s="0" t="s">
        <v>3071</v>
      </c>
      <c r="Z212" s="0" t="s">
        <v>3072</v>
      </c>
      <c r="AA212" s="0" t="s">
        <v>3309</v>
      </c>
      <c r="AC212" s="0" t="s">
        <v>3074</v>
      </c>
    </row>
    <row r="213" customFormat="false" ht="15" hidden="false" customHeight="false" outlineLevel="0" collapsed="false">
      <c r="A213" s="0" t="s">
        <v>3338</v>
      </c>
      <c r="B213" s="0" t="s">
        <v>211</v>
      </c>
      <c r="C213" s="0" t="s">
        <v>3282</v>
      </c>
      <c r="D213" s="0" t="n">
        <v>2018</v>
      </c>
      <c r="E213" s="0" t="s">
        <v>63</v>
      </c>
      <c r="F213" s="0" t="n">
        <v>3510537</v>
      </c>
      <c r="G213" s="0" t="s">
        <v>3067</v>
      </c>
      <c r="H213" s="0" t="s">
        <v>3068</v>
      </c>
      <c r="I213" s="0" t="n">
        <v>3510.537</v>
      </c>
      <c r="J213" s="0" t="s">
        <v>3069</v>
      </c>
      <c r="M213" s="0" t="s">
        <v>2750</v>
      </c>
      <c r="N213" s="0" t="s">
        <v>217</v>
      </c>
      <c r="Q213" s="0" t="n">
        <v>52</v>
      </c>
      <c r="R213" s="0" t="n">
        <v>50</v>
      </c>
      <c r="U213" s="0" t="s">
        <v>3327</v>
      </c>
      <c r="V213" s="0" t="s">
        <v>3327</v>
      </c>
      <c r="Y213" s="0" t="s">
        <v>3071</v>
      </c>
      <c r="Z213" s="0" t="s">
        <v>3072</v>
      </c>
      <c r="AA213" s="0" t="s">
        <v>3306</v>
      </c>
      <c r="AC213" s="0" t="s">
        <v>3074</v>
      </c>
    </row>
    <row r="214" customFormat="false" ht="15" hidden="false" customHeight="false" outlineLevel="0" collapsed="false">
      <c r="A214" s="0" t="s">
        <v>3339</v>
      </c>
      <c r="B214" s="0" t="s">
        <v>211</v>
      </c>
      <c r="C214" s="0" t="s">
        <v>3282</v>
      </c>
      <c r="D214" s="0" t="n">
        <v>2018</v>
      </c>
      <c r="E214" s="0" t="s">
        <v>71</v>
      </c>
      <c r="F214" s="0" t="n">
        <v>34.64</v>
      </c>
      <c r="G214" s="0" t="s">
        <v>3079</v>
      </c>
      <c r="I214" s="0" t="n">
        <v>34.64</v>
      </c>
      <c r="J214" s="0" t="s">
        <v>3069</v>
      </c>
      <c r="M214" s="0" t="s">
        <v>2750</v>
      </c>
      <c r="N214" s="0" t="s">
        <v>217</v>
      </c>
      <c r="Q214" s="0" t="n">
        <v>158</v>
      </c>
      <c r="R214" s="0" t="n">
        <v>156</v>
      </c>
      <c r="U214" s="0" t="s">
        <v>3327</v>
      </c>
      <c r="V214" s="0" t="s">
        <v>3327</v>
      </c>
      <c r="Y214" s="0" t="s">
        <v>3071</v>
      </c>
      <c r="Z214" s="0" t="s">
        <v>3072</v>
      </c>
      <c r="AA214" s="0" t="s">
        <v>3312</v>
      </c>
      <c r="AC214" s="0" t="s">
        <v>3074</v>
      </c>
    </row>
    <row r="215" customFormat="false" ht="15" hidden="false" customHeight="false" outlineLevel="0" collapsed="false">
      <c r="A215" s="0" t="s">
        <v>3340</v>
      </c>
      <c r="B215" s="0" t="s">
        <v>211</v>
      </c>
      <c r="C215" s="0" t="s">
        <v>3282</v>
      </c>
      <c r="D215" s="0" t="n">
        <v>2018</v>
      </c>
      <c r="E215" s="0" t="s">
        <v>61</v>
      </c>
      <c r="F215" s="0" t="n">
        <v>9394110</v>
      </c>
      <c r="G215" s="0" t="s">
        <v>3067</v>
      </c>
      <c r="H215" s="0" t="s">
        <v>3068</v>
      </c>
      <c r="I215" s="0" t="n">
        <v>9394.11</v>
      </c>
      <c r="J215" s="0" t="s">
        <v>3069</v>
      </c>
      <c r="M215" s="0" t="s">
        <v>2750</v>
      </c>
      <c r="N215" s="0" t="s">
        <v>217</v>
      </c>
      <c r="Q215" s="0" t="n">
        <v>109</v>
      </c>
      <c r="R215" s="0" t="n">
        <v>107</v>
      </c>
      <c r="U215" s="0" t="s">
        <v>3327</v>
      </c>
      <c r="V215" s="0" t="s">
        <v>3327</v>
      </c>
      <c r="Y215" s="0" t="s">
        <v>3071</v>
      </c>
      <c r="Z215" s="0" t="s">
        <v>3072</v>
      </c>
      <c r="AA215" s="0" t="s">
        <v>3306</v>
      </c>
      <c r="AC215" s="0" t="s">
        <v>3074</v>
      </c>
    </row>
    <row r="216" customFormat="false" ht="15" hidden="false" customHeight="false" outlineLevel="0" collapsed="false">
      <c r="A216" s="0" t="s">
        <v>3341</v>
      </c>
      <c r="B216" s="0" t="s">
        <v>211</v>
      </c>
      <c r="C216" s="0" t="s">
        <v>3282</v>
      </c>
      <c r="D216" s="0" t="n">
        <v>2018</v>
      </c>
      <c r="E216" s="0" t="s">
        <v>327</v>
      </c>
      <c r="F216" s="0" t="n">
        <v>4.98</v>
      </c>
      <c r="G216" s="0" t="s">
        <v>3079</v>
      </c>
      <c r="I216" s="0" t="n">
        <v>4.98</v>
      </c>
      <c r="J216" s="0" t="s">
        <v>3069</v>
      </c>
      <c r="M216" s="0" t="s">
        <v>2750</v>
      </c>
      <c r="N216" s="0" t="s">
        <v>217</v>
      </c>
      <c r="Q216" s="0" t="n">
        <v>38</v>
      </c>
      <c r="R216" s="0" t="n">
        <v>36</v>
      </c>
      <c r="U216" s="0" t="s">
        <v>3327</v>
      </c>
      <c r="V216" s="0" t="s">
        <v>3327</v>
      </c>
      <c r="Y216" s="0" t="s">
        <v>3071</v>
      </c>
      <c r="Z216" s="0" t="s">
        <v>3072</v>
      </c>
      <c r="AA216" s="0" t="s">
        <v>3315</v>
      </c>
      <c r="AC216" s="0" t="s">
        <v>3074</v>
      </c>
    </row>
    <row r="217" customFormat="false" ht="15" hidden="false" customHeight="false" outlineLevel="0" collapsed="false">
      <c r="A217" s="0" t="s">
        <v>3342</v>
      </c>
      <c r="B217" s="0" t="s">
        <v>211</v>
      </c>
      <c r="C217" s="0" t="s">
        <v>3282</v>
      </c>
      <c r="D217" s="0" t="n">
        <v>2018</v>
      </c>
      <c r="E217" s="0" t="s">
        <v>62</v>
      </c>
      <c r="F217" s="0" t="n">
        <v>252189613</v>
      </c>
      <c r="G217" s="0" t="s">
        <v>3067</v>
      </c>
      <c r="H217" s="0" t="s">
        <v>3068</v>
      </c>
      <c r="I217" s="0" t="n">
        <v>252189.613</v>
      </c>
      <c r="J217" s="0" t="s">
        <v>3069</v>
      </c>
      <c r="M217" s="0" t="s">
        <v>2750</v>
      </c>
      <c r="N217" s="0" t="s">
        <v>217</v>
      </c>
      <c r="Q217" s="0" t="n">
        <v>53</v>
      </c>
      <c r="R217" s="0" t="n">
        <v>51</v>
      </c>
      <c r="U217" s="0" t="s">
        <v>3327</v>
      </c>
      <c r="V217" s="0" t="s">
        <v>3327</v>
      </c>
      <c r="Y217" s="0" t="s">
        <v>3071</v>
      </c>
      <c r="Z217" s="0" t="s">
        <v>3072</v>
      </c>
      <c r="AA217" s="0" t="s">
        <v>3306</v>
      </c>
      <c r="AC217" s="0" t="s">
        <v>3074</v>
      </c>
    </row>
    <row r="218" customFormat="false" ht="15" hidden="false" customHeight="false" outlineLevel="0" collapsed="false">
      <c r="A218" s="0" t="s">
        <v>3343</v>
      </c>
      <c r="B218" s="0" t="s">
        <v>211</v>
      </c>
      <c r="C218" s="0" t="s">
        <v>3282</v>
      </c>
      <c r="D218" s="0" t="n">
        <v>2018</v>
      </c>
      <c r="E218" s="0" t="s">
        <v>58</v>
      </c>
      <c r="F218" s="0" t="n">
        <v>49309182</v>
      </c>
      <c r="G218" s="0" t="s">
        <v>3067</v>
      </c>
      <c r="H218" s="0" t="s">
        <v>3068</v>
      </c>
      <c r="I218" s="0" t="n">
        <v>49309.182</v>
      </c>
      <c r="J218" s="0" t="s">
        <v>3069</v>
      </c>
      <c r="M218" s="0" t="s">
        <v>2750</v>
      </c>
      <c r="N218" s="0" t="s">
        <v>217</v>
      </c>
      <c r="Q218" s="0" t="n">
        <v>59</v>
      </c>
      <c r="R218" s="0" t="n">
        <v>57</v>
      </c>
      <c r="U218" s="0" t="s">
        <v>3327</v>
      </c>
      <c r="V218" s="0" t="s">
        <v>3327</v>
      </c>
      <c r="Y218" s="0" t="s">
        <v>3071</v>
      </c>
      <c r="Z218" s="0" t="s">
        <v>3072</v>
      </c>
      <c r="AA218" s="0" t="s">
        <v>3306</v>
      </c>
      <c r="AC218" s="0" t="s">
        <v>3074</v>
      </c>
    </row>
    <row r="219" customFormat="false" ht="15" hidden="false" customHeight="false" outlineLevel="0" collapsed="false">
      <c r="A219" s="0" t="s">
        <v>3344</v>
      </c>
      <c r="B219" s="0" t="s">
        <v>211</v>
      </c>
      <c r="C219" s="0" t="s">
        <v>3282</v>
      </c>
      <c r="D219" s="0" t="n">
        <v>2018</v>
      </c>
      <c r="E219" s="0" t="s">
        <v>54</v>
      </c>
      <c r="F219" s="0" t="n">
        <v>3359259</v>
      </c>
      <c r="G219" s="0" t="s">
        <v>3067</v>
      </c>
      <c r="H219" s="0" t="s">
        <v>3068</v>
      </c>
      <c r="I219" s="0" t="n">
        <v>3359.259</v>
      </c>
      <c r="J219" s="0" t="s">
        <v>3069</v>
      </c>
      <c r="M219" s="0" t="s">
        <v>2750</v>
      </c>
      <c r="N219" s="0" t="s">
        <v>217</v>
      </c>
      <c r="Q219" s="0" t="n">
        <v>52</v>
      </c>
      <c r="R219" s="0" t="n">
        <v>50</v>
      </c>
      <c r="U219" s="0" t="s">
        <v>3327</v>
      </c>
      <c r="V219" s="0" t="s">
        <v>3327</v>
      </c>
      <c r="Y219" s="0" t="s">
        <v>3071</v>
      </c>
      <c r="Z219" s="0" t="s">
        <v>3072</v>
      </c>
      <c r="AA219" s="0" t="s">
        <v>3306</v>
      </c>
      <c r="AC219" s="0" t="s">
        <v>3074</v>
      </c>
    </row>
    <row r="220" customFormat="false" ht="15" hidden="false" customHeight="false" outlineLevel="0" collapsed="false">
      <c r="A220" s="0" t="s">
        <v>3345</v>
      </c>
      <c r="B220" s="0" t="s">
        <v>211</v>
      </c>
      <c r="C220" s="0" t="s">
        <v>3282</v>
      </c>
      <c r="D220" s="0" t="n">
        <v>2018</v>
      </c>
      <c r="E220" s="0" t="s">
        <v>65</v>
      </c>
      <c r="F220" s="0" t="n">
        <v>34136938</v>
      </c>
      <c r="G220" s="0" t="s">
        <v>3067</v>
      </c>
      <c r="H220" s="0" t="s">
        <v>3068</v>
      </c>
      <c r="I220" s="0" t="n">
        <v>34136.938</v>
      </c>
      <c r="J220" s="0" t="s">
        <v>3069</v>
      </c>
      <c r="M220" s="0" t="s">
        <v>2750</v>
      </c>
      <c r="N220" s="0" t="s">
        <v>217</v>
      </c>
      <c r="Q220" s="0" t="n">
        <v>176</v>
      </c>
      <c r="R220" s="0" t="n">
        <v>174</v>
      </c>
      <c r="U220" s="0" t="s">
        <v>3327</v>
      </c>
      <c r="V220" s="0" t="s">
        <v>3327</v>
      </c>
      <c r="Y220" s="0" t="s">
        <v>3071</v>
      </c>
      <c r="Z220" s="0" t="s">
        <v>3072</v>
      </c>
      <c r="AA220" s="0" t="s">
        <v>3166</v>
      </c>
      <c r="AC220" s="0" t="s">
        <v>3074</v>
      </c>
    </row>
    <row r="221" customFormat="false" ht="15" hidden="false" customHeight="false" outlineLevel="0" collapsed="false">
      <c r="A221" s="0" t="s">
        <v>3346</v>
      </c>
      <c r="B221" s="0" t="s">
        <v>211</v>
      </c>
      <c r="C221" s="0" t="s">
        <v>3282</v>
      </c>
      <c r="D221" s="0" t="n">
        <v>2018</v>
      </c>
      <c r="E221" s="0" t="s">
        <v>66</v>
      </c>
      <c r="F221" s="0" t="n">
        <v>189521657</v>
      </c>
      <c r="G221" s="0" t="s">
        <v>3067</v>
      </c>
      <c r="H221" s="0" t="s">
        <v>3068</v>
      </c>
      <c r="I221" s="0" t="n">
        <v>189521.657</v>
      </c>
      <c r="J221" s="0" t="s">
        <v>3069</v>
      </c>
      <c r="M221" s="0" t="s">
        <v>2750</v>
      </c>
      <c r="N221" s="0" t="s">
        <v>217</v>
      </c>
      <c r="Q221" s="0" t="n">
        <v>176</v>
      </c>
      <c r="R221" s="0" t="n">
        <v>174</v>
      </c>
      <c r="U221" s="0" t="s">
        <v>3327</v>
      </c>
      <c r="V221" s="0" t="s">
        <v>3327</v>
      </c>
      <c r="Y221" s="0" t="s">
        <v>3071</v>
      </c>
      <c r="Z221" s="0" t="s">
        <v>3072</v>
      </c>
      <c r="AA221" s="0" t="s">
        <v>3166</v>
      </c>
      <c r="AC221" s="0" t="s">
        <v>3074</v>
      </c>
    </row>
    <row r="222" customFormat="false" ht="15" hidden="false" customHeight="false" outlineLevel="0" collapsed="false">
      <c r="A222" s="0" t="s">
        <v>3347</v>
      </c>
      <c r="B222" s="0" t="s">
        <v>211</v>
      </c>
      <c r="C222" s="0" t="s">
        <v>3282</v>
      </c>
      <c r="D222" s="0" t="n">
        <v>2018</v>
      </c>
      <c r="E222" s="0" t="s">
        <v>67</v>
      </c>
      <c r="F222" s="0" t="n">
        <v>13115753</v>
      </c>
      <c r="G222" s="0" t="s">
        <v>3067</v>
      </c>
      <c r="H222" s="0" t="s">
        <v>3068</v>
      </c>
      <c r="I222" s="0" t="n">
        <v>13115.753</v>
      </c>
      <c r="J222" s="0" t="s">
        <v>3069</v>
      </c>
      <c r="M222" s="0" t="s">
        <v>2750</v>
      </c>
      <c r="N222" s="0" t="s">
        <v>217</v>
      </c>
      <c r="Q222" s="0" t="n">
        <v>109</v>
      </c>
      <c r="R222" s="0" t="n">
        <v>107</v>
      </c>
      <c r="U222" s="0" t="s">
        <v>3327</v>
      </c>
      <c r="V222" s="0" t="s">
        <v>3327</v>
      </c>
      <c r="Y222" s="0" t="s">
        <v>3071</v>
      </c>
      <c r="Z222" s="0" t="s">
        <v>3072</v>
      </c>
      <c r="AA222" s="0" t="s">
        <v>3348</v>
      </c>
      <c r="AC222" s="0" t="s">
        <v>3074</v>
      </c>
    </row>
    <row r="223" customFormat="false" ht="15" hidden="false" customHeight="false" outlineLevel="0" collapsed="false">
      <c r="A223" s="0" t="s">
        <v>3349</v>
      </c>
      <c r="B223" s="0" t="s">
        <v>211</v>
      </c>
      <c r="C223" s="0" t="s">
        <v>3282</v>
      </c>
      <c r="D223" s="0" t="n">
        <v>2018</v>
      </c>
      <c r="E223" s="0" t="s">
        <v>68</v>
      </c>
      <c r="F223" s="0" t="n">
        <v>7698510</v>
      </c>
      <c r="G223" s="0" t="s">
        <v>3067</v>
      </c>
      <c r="H223" s="0" t="s">
        <v>3068</v>
      </c>
      <c r="I223" s="0" t="n">
        <v>7698.51</v>
      </c>
      <c r="J223" s="0" t="s">
        <v>3069</v>
      </c>
      <c r="M223" s="0" t="s">
        <v>2750</v>
      </c>
      <c r="N223" s="0" t="s">
        <v>217</v>
      </c>
      <c r="Q223" s="0" t="n">
        <v>109</v>
      </c>
      <c r="R223" s="0" t="n">
        <v>107</v>
      </c>
      <c r="U223" s="0" t="s">
        <v>3327</v>
      </c>
      <c r="V223" s="0" t="s">
        <v>3327</v>
      </c>
      <c r="Y223" s="0" t="s">
        <v>3071</v>
      </c>
      <c r="Z223" s="0" t="s">
        <v>3072</v>
      </c>
      <c r="AA223" s="0" t="s">
        <v>3350</v>
      </c>
      <c r="AC223" s="0" t="s">
        <v>3074</v>
      </c>
    </row>
    <row r="224" customFormat="false" ht="15" hidden="false" customHeight="false" outlineLevel="0" collapsed="false">
      <c r="A224" s="0" t="s">
        <v>3351</v>
      </c>
      <c r="B224" s="0" t="s">
        <v>211</v>
      </c>
      <c r="C224" s="0" t="s">
        <v>3282</v>
      </c>
      <c r="D224" s="0" t="n">
        <v>2018</v>
      </c>
      <c r="E224" s="0" t="s">
        <v>55</v>
      </c>
      <c r="F224" s="0" t="n">
        <v>477915742</v>
      </c>
      <c r="G224" s="0" t="s">
        <v>3067</v>
      </c>
      <c r="H224" s="0" t="s">
        <v>3068</v>
      </c>
      <c r="I224" s="0" t="n">
        <v>477915.742</v>
      </c>
      <c r="J224" s="0" t="s">
        <v>3069</v>
      </c>
      <c r="M224" s="0" t="s">
        <v>2750</v>
      </c>
      <c r="N224" s="0" t="s">
        <v>217</v>
      </c>
      <c r="Q224" s="0" t="n">
        <v>53</v>
      </c>
      <c r="R224" s="0" t="n">
        <v>51</v>
      </c>
      <c r="U224" s="0" t="s">
        <v>3327</v>
      </c>
      <c r="V224" s="0" t="s">
        <v>3327</v>
      </c>
      <c r="Y224" s="0" t="s">
        <v>3071</v>
      </c>
      <c r="Z224" s="0" t="s">
        <v>3072</v>
      </c>
      <c r="AA224" s="0" t="s">
        <v>3306</v>
      </c>
      <c r="AC224" s="0" t="s">
        <v>3074</v>
      </c>
    </row>
    <row r="225" customFormat="false" ht="15" hidden="false" customHeight="false" outlineLevel="0" collapsed="false">
      <c r="A225" s="0" t="s">
        <v>3352</v>
      </c>
      <c r="B225" s="0" t="s">
        <v>211</v>
      </c>
      <c r="C225" s="0" t="s">
        <v>3282</v>
      </c>
      <c r="D225" s="0" t="n">
        <v>2018</v>
      </c>
      <c r="E225" s="0" t="s">
        <v>57</v>
      </c>
      <c r="F225" s="0" t="n">
        <v>50998879</v>
      </c>
      <c r="G225" s="0" t="s">
        <v>3067</v>
      </c>
      <c r="H225" s="0" t="s">
        <v>3068</v>
      </c>
      <c r="I225" s="0" t="n">
        <v>50998.879</v>
      </c>
      <c r="J225" s="0" t="s">
        <v>3069</v>
      </c>
      <c r="M225" s="0" t="s">
        <v>2750</v>
      </c>
      <c r="N225" s="0" t="s">
        <v>217</v>
      </c>
      <c r="Q225" s="0" t="n">
        <v>53</v>
      </c>
      <c r="R225" s="0" t="n">
        <v>51</v>
      </c>
      <c r="U225" s="0" t="s">
        <v>3327</v>
      </c>
      <c r="V225" s="0" t="s">
        <v>3327</v>
      </c>
      <c r="Y225" s="0" t="s">
        <v>3071</v>
      </c>
      <c r="Z225" s="0" t="s">
        <v>3072</v>
      </c>
      <c r="AA225" s="0" t="s">
        <v>3306</v>
      </c>
      <c r="AC225" s="0" t="s">
        <v>3074</v>
      </c>
    </row>
    <row r="226" customFormat="false" ht="15" hidden="false" customHeight="false" outlineLevel="0" collapsed="false">
      <c r="A226" s="0" t="s">
        <v>3353</v>
      </c>
      <c r="B226" s="0" t="s">
        <v>211</v>
      </c>
      <c r="C226" s="0" t="s">
        <v>3282</v>
      </c>
      <c r="D226" s="0" t="n">
        <v>2018</v>
      </c>
      <c r="E226" s="0" t="s">
        <v>56</v>
      </c>
      <c r="F226" s="0" t="n">
        <v>426916863</v>
      </c>
      <c r="G226" s="0" t="s">
        <v>3067</v>
      </c>
      <c r="H226" s="0" t="s">
        <v>3068</v>
      </c>
      <c r="I226" s="0" t="n">
        <v>426916.863</v>
      </c>
      <c r="J226" s="0" t="s">
        <v>3069</v>
      </c>
      <c r="M226" s="0" t="s">
        <v>2750</v>
      </c>
      <c r="N226" s="0" t="s">
        <v>217</v>
      </c>
      <c r="Q226" s="0" t="n">
        <v>53</v>
      </c>
      <c r="R226" s="0" t="n">
        <v>51</v>
      </c>
      <c r="U226" s="0" t="s">
        <v>3327</v>
      </c>
      <c r="V226" s="0" t="s">
        <v>3327</v>
      </c>
      <c r="Y226" s="0" t="s">
        <v>3071</v>
      </c>
      <c r="Z226" s="0" t="s">
        <v>3072</v>
      </c>
      <c r="AA226" s="0" t="s">
        <v>3306</v>
      </c>
      <c r="AC226" s="0" t="s">
        <v>3074</v>
      </c>
    </row>
    <row r="227" customFormat="false" ht="15" hidden="false" customHeight="false" outlineLevel="0" collapsed="false">
      <c r="A227" s="0" t="s">
        <v>3354</v>
      </c>
      <c r="B227" s="0" t="s">
        <v>201</v>
      </c>
      <c r="C227" s="0" t="s">
        <v>3355</v>
      </c>
      <c r="D227" s="0" t="n">
        <v>2018</v>
      </c>
      <c r="E227" s="0" t="s">
        <v>3356</v>
      </c>
      <c r="F227" s="0" t="n">
        <v>-214.8</v>
      </c>
      <c r="G227" s="0" t="s">
        <v>3143</v>
      </c>
      <c r="I227" s="0" t="n">
        <v>-214.8</v>
      </c>
      <c r="J227" s="0" t="s">
        <v>3069</v>
      </c>
      <c r="M227" s="0" t="s">
        <v>2743</v>
      </c>
      <c r="N227" s="0" t="s">
        <v>207</v>
      </c>
      <c r="Q227" s="0" t="n">
        <v>83</v>
      </c>
      <c r="R227" s="0" t="n">
        <v>81</v>
      </c>
      <c r="U227" s="0" t="s">
        <v>3357</v>
      </c>
      <c r="V227" s="0" t="s">
        <v>3357</v>
      </c>
      <c r="Y227" s="0" t="s">
        <v>3071</v>
      </c>
      <c r="Z227" s="0" t="s">
        <v>3072</v>
      </c>
      <c r="AA227" s="0" t="s">
        <v>3358</v>
      </c>
      <c r="AC227" s="0" t="s">
        <v>3074</v>
      </c>
    </row>
    <row r="228" customFormat="false" ht="15" hidden="false" customHeight="false" outlineLevel="0" collapsed="false">
      <c r="A228" s="0" t="s">
        <v>3359</v>
      </c>
      <c r="B228" s="0" t="s">
        <v>201</v>
      </c>
      <c r="C228" s="0" t="s">
        <v>3355</v>
      </c>
      <c r="D228" s="0" t="n">
        <v>2018</v>
      </c>
      <c r="E228" s="0" t="s">
        <v>70</v>
      </c>
      <c r="F228" s="0" t="n">
        <v>10</v>
      </c>
      <c r="G228" s="0" t="s">
        <v>3143</v>
      </c>
      <c r="I228" s="0" t="n">
        <v>10</v>
      </c>
      <c r="J228" s="0" t="s">
        <v>3069</v>
      </c>
      <c r="M228" s="0" t="s">
        <v>2743</v>
      </c>
      <c r="N228" s="0" t="s">
        <v>207</v>
      </c>
      <c r="Q228" s="0" t="n">
        <v>82</v>
      </c>
      <c r="R228" s="0" t="n">
        <v>80</v>
      </c>
      <c r="U228" s="0" t="s">
        <v>3357</v>
      </c>
      <c r="V228" s="0" t="s">
        <v>3357</v>
      </c>
      <c r="Y228" s="0" t="s">
        <v>3071</v>
      </c>
      <c r="Z228" s="0" t="s">
        <v>3072</v>
      </c>
      <c r="AA228" s="0" t="s">
        <v>3360</v>
      </c>
      <c r="AC228" s="0" t="s">
        <v>3074</v>
      </c>
    </row>
    <row r="229" customFormat="false" ht="15" hidden="false" customHeight="false" outlineLevel="0" collapsed="false">
      <c r="A229" s="0" t="s">
        <v>3361</v>
      </c>
      <c r="B229" s="0" t="s">
        <v>201</v>
      </c>
      <c r="C229" s="0" t="s">
        <v>3355</v>
      </c>
      <c r="D229" s="0" t="n">
        <v>2018</v>
      </c>
      <c r="E229" s="0" t="s">
        <v>614</v>
      </c>
      <c r="F229" s="0" t="n">
        <v>-213.68</v>
      </c>
      <c r="G229" s="0" t="s">
        <v>3143</v>
      </c>
      <c r="I229" s="0" t="n">
        <v>-213.68</v>
      </c>
      <c r="J229" s="0" t="s">
        <v>3069</v>
      </c>
      <c r="M229" s="0" t="s">
        <v>2743</v>
      </c>
      <c r="N229" s="0" t="s">
        <v>207</v>
      </c>
      <c r="Q229" s="0" t="n">
        <v>83</v>
      </c>
      <c r="R229" s="0" t="n">
        <v>81</v>
      </c>
      <c r="U229" s="0" t="s">
        <v>3357</v>
      </c>
      <c r="V229" s="0" t="s">
        <v>3357</v>
      </c>
      <c r="Y229" s="0" t="s">
        <v>3071</v>
      </c>
      <c r="Z229" s="0" t="s">
        <v>3072</v>
      </c>
      <c r="AA229" s="0" t="s">
        <v>3358</v>
      </c>
      <c r="AC229" s="0" t="s">
        <v>3074</v>
      </c>
    </row>
    <row r="230" customFormat="false" ht="15" hidden="false" customHeight="false" outlineLevel="0" collapsed="false">
      <c r="A230" s="0" t="s">
        <v>3362</v>
      </c>
      <c r="B230" s="0" t="s">
        <v>201</v>
      </c>
      <c r="C230" s="0" t="s">
        <v>3355</v>
      </c>
      <c r="D230" s="0" t="n">
        <v>2018</v>
      </c>
      <c r="E230" s="0" t="s">
        <v>3066</v>
      </c>
      <c r="F230" s="0" t="n">
        <v>247630264</v>
      </c>
      <c r="G230" s="0" t="s">
        <v>3067</v>
      </c>
      <c r="H230" s="0" t="s">
        <v>3068</v>
      </c>
      <c r="I230" s="0" t="n">
        <v>247630.264</v>
      </c>
      <c r="J230" s="0" t="s">
        <v>3069</v>
      </c>
      <c r="M230" s="0" t="s">
        <v>2743</v>
      </c>
      <c r="N230" s="0" t="s">
        <v>207</v>
      </c>
      <c r="Q230" s="0" t="n">
        <v>24</v>
      </c>
      <c r="R230" s="0" t="n">
        <v>22</v>
      </c>
      <c r="U230" s="0" t="s">
        <v>3357</v>
      </c>
      <c r="V230" s="0" t="s">
        <v>3357</v>
      </c>
      <c r="Y230" s="0" t="s">
        <v>3071</v>
      </c>
      <c r="Z230" s="0" t="s">
        <v>3072</v>
      </c>
      <c r="AA230" s="0" t="s">
        <v>3363</v>
      </c>
      <c r="AC230" s="0" t="s">
        <v>3074</v>
      </c>
    </row>
    <row r="231" customFormat="false" ht="15" hidden="false" customHeight="false" outlineLevel="0" collapsed="false">
      <c r="A231" s="0" t="s">
        <v>3364</v>
      </c>
      <c r="B231" s="0" t="s">
        <v>201</v>
      </c>
      <c r="C231" s="0" t="s">
        <v>3355</v>
      </c>
      <c r="D231" s="0" t="n">
        <v>2018</v>
      </c>
      <c r="E231" s="0" t="s">
        <v>60</v>
      </c>
      <c r="F231" s="0" t="n">
        <v>44841156</v>
      </c>
      <c r="G231" s="0" t="s">
        <v>3067</v>
      </c>
      <c r="H231" s="0" t="s">
        <v>3068</v>
      </c>
      <c r="I231" s="0" t="n">
        <v>44841.156</v>
      </c>
      <c r="J231" s="0" t="s">
        <v>3069</v>
      </c>
      <c r="M231" s="0" t="s">
        <v>2743</v>
      </c>
      <c r="N231" s="0" t="s">
        <v>207</v>
      </c>
      <c r="Q231" s="0" t="n">
        <v>65</v>
      </c>
      <c r="R231" s="0" t="n">
        <v>63</v>
      </c>
      <c r="U231" s="0" t="s">
        <v>3357</v>
      </c>
      <c r="V231" s="0" t="s">
        <v>3357</v>
      </c>
      <c r="Y231" s="0" t="s">
        <v>3071</v>
      </c>
      <c r="Z231" s="0" t="s">
        <v>3072</v>
      </c>
      <c r="AA231" s="0" t="s">
        <v>3365</v>
      </c>
      <c r="AC231" s="0" t="s">
        <v>3074</v>
      </c>
    </row>
    <row r="232" customFormat="false" ht="15" hidden="false" customHeight="false" outlineLevel="0" collapsed="false">
      <c r="A232" s="0" t="s">
        <v>3366</v>
      </c>
      <c r="B232" s="0" t="s">
        <v>201</v>
      </c>
      <c r="C232" s="0" t="s">
        <v>3355</v>
      </c>
      <c r="D232" s="0" t="n">
        <v>2018</v>
      </c>
      <c r="E232" s="0" t="s">
        <v>1327</v>
      </c>
      <c r="F232" s="0" t="n">
        <v>34653783</v>
      </c>
      <c r="G232" s="0" t="s">
        <v>3067</v>
      </c>
      <c r="H232" s="0" t="s">
        <v>3068</v>
      </c>
      <c r="I232" s="0" t="n">
        <v>34653.783</v>
      </c>
      <c r="J232" s="0" t="s">
        <v>3069</v>
      </c>
      <c r="M232" s="0" t="s">
        <v>2743</v>
      </c>
      <c r="N232" s="0" t="s">
        <v>207</v>
      </c>
      <c r="Q232" s="0" t="n">
        <v>23</v>
      </c>
      <c r="R232" s="0" t="n">
        <v>21</v>
      </c>
      <c r="U232" s="0" t="s">
        <v>3357</v>
      </c>
      <c r="V232" s="0" t="s">
        <v>3357</v>
      </c>
      <c r="Y232" s="0" t="s">
        <v>3071</v>
      </c>
      <c r="Z232" s="0" t="s">
        <v>3072</v>
      </c>
      <c r="AA232" s="0" t="s">
        <v>3363</v>
      </c>
      <c r="AC232" s="0" t="s">
        <v>3074</v>
      </c>
    </row>
    <row r="233" customFormat="false" ht="15" hidden="false" customHeight="false" outlineLevel="0" collapsed="false">
      <c r="A233" s="0" t="s">
        <v>3367</v>
      </c>
      <c r="B233" s="0" t="s">
        <v>201</v>
      </c>
      <c r="C233" s="0" t="s">
        <v>3355</v>
      </c>
      <c r="D233" s="0" t="n">
        <v>2018</v>
      </c>
      <c r="E233" s="0" t="s">
        <v>1367</v>
      </c>
      <c r="F233" s="0" t="n">
        <v>1489021</v>
      </c>
      <c r="G233" s="0" t="s">
        <v>3067</v>
      </c>
      <c r="H233" s="0" t="s">
        <v>3068</v>
      </c>
      <c r="I233" s="0" t="n">
        <v>1489.021</v>
      </c>
      <c r="J233" s="0" t="s">
        <v>3069</v>
      </c>
      <c r="M233" s="0" t="s">
        <v>2743</v>
      </c>
      <c r="N233" s="0" t="s">
        <v>207</v>
      </c>
      <c r="Q233" s="0" t="n">
        <v>83</v>
      </c>
      <c r="R233" s="0" t="n">
        <v>81</v>
      </c>
      <c r="U233" s="0" t="s">
        <v>3357</v>
      </c>
      <c r="V233" s="0" t="s">
        <v>3357</v>
      </c>
      <c r="Y233" s="0" t="s">
        <v>3071</v>
      </c>
      <c r="Z233" s="0" t="s">
        <v>3072</v>
      </c>
      <c r="AA233" s="0" t="s">
        <v>3368</v>
      </c>
      <c r="AC233" s="0" t="s">
        <v>3074</v>
      </c>
    </row>
    <row r="234" customFormat="false" ht="15" hidden="false" customHeight="false" outlineLevel="0" collapsed="false">
      <c r="A234" s="0" t="s">
        <v>3369</v>
      </c>
      <c r="B234" s="0" t="s">
        <v>201</v>
      </c>
      <c r="C234" s="0" t="s">
        <v>3355</v>
      </c>
      <c r="D234" s="0" t="n">
        <v>2018</v>
      </c>
      <c r="E234" s="0" t="s">
        <v>63</v>
      </c>
      <c r="F234" s="0" t="n">
        <v>5958492</v>
      </c>
      <c r="G234" s="0" t="s">
        <v>3067</v>
      </c>
      <c r="H234" s="0" t="s">
        <v>3068</v>
      </c>
      <c r="I234" s="0" t="n">
        <v>5958.492</v>
      </c>
      <c r="J234" s="0" t="s">
        <v>3069</v>
      </c>
      <c r="M234" s="0" t="s">
        <v>2743</v>
      </c>
      <c r="N234" s="0" t="s">
        <v>207</v>
      </c>
      <c r="Q234" s="0" t="n">
        <v>23</v>
      </c>
      <c r="R234" s="0" t="n">
        <v>21</v>
      </c>
      <c r="U234" s="0" t="s">
        <v>3357</v>
      </c>
      <c r="V234" s="0" t="s">
        <v>3357</v>
      </c>
      <c r="Y234" s="0" t="s">
        <v>3071</v>
      </c>
      <c r="Z234" s="0" t="s">
        <v>3072</v>
      </c>
      <c r="AA234" s="0" t="s">
        <v>3363</v>
      </c>
      <c r="AC234" s="0" t="s">
        <v>3074</v>
      </c>
    </row>
    <row r="235" customFormat="false" ht="15" hidden="false" customHeight="false" outlineLevel="0" collapsed="false">
      <c r="A235" s="0" t="s">
        <v>3370</v>
      </c>
      <c r="B235" s="0" t="s">
        <v>201</v>
      </c>
      <c r="C235" s="0" t="s">
        <v>3355</v>
      </c>
      <c r="D235" s="0" t="n">
        <v>2018</v>
      </c>
      <c r="E235" s="0" t="s">
        <v>61</v>
      </c>
      <c r="F235" s="0" t="n">
        <v>744197</v>
      </c>
      <c r="G235" s="0" t="s">
        <v>3067</v>
      </c>
      <c r="H235" s="0" t="s">
        <v>3068</v>
      </c>
      <c r="I235" s="0" t="n">
        <v>744.197</v>
      </c>
      <c r="J235" s="0" t="s">
        <v>3069</v>
      </c>
      <c r="M235" s="0" t="s">
        <v>2743</v>
      </c>
      <c r="N235" s="0" t="s">
        <v>207</v>
      </c>
      <c r="Q235" s="0" t="n">
        <v>65</v>
      </c>
      <c r="R235" s="0" t="n">
        <v>63</v>
      </c>
      <c r="U235" s="0" t="s">
        <v>3357</v>
      </c>
      <c r="V235" s="0" t="s">
        <v>3357</v>
      </c>
      <c r="Y235" s="0" t="s">
        <v>3071</v>
      </c>
      <c r="Z235" s="0" t="s">
        <v>3072</v>
      </c>
      <c r="AA235" s="0" t="s">
        <v>3365</v>
      </c>
      <c r="AC235" s="0" t="s">
        <v>3074</v>
      </c>
    </row>
    <row r="236" customFormat="false" ht="15" hidden="false" customHeight="false" outlineLevel="0" collapsed="false">
      <c r="A236" s="0" t="s">
        <v>3371</v>
      </c>
      <c r="B236" s="0" t="s">
        <v>201</v>
      </c>
      <c r="C236" s="0" t="s">
        <v>3355</v>
      </c>
      <c r="D236" s="0" t="n">
        <v>2018</v>
      </c>
      <c r="E236" s="0" t="s">
        <v>62</v>
      </c>
      <c r="F236" s="0" t="n">
        <v>44096959</v>
      </c>
      <c r="G236" s="0" t="s">
        <v>3067</v>
      </c>
      <c r="H236" s="0" t="s">
        <v>3068</v>
      </c>
      <c r="I236" s="0" t="n">
        <v>44096.959</v>
      </c>
      <c r="J236" s="0" t="s">
        <v>3069</v>
      </c>
      <c r="M236" s="0" t="s">
        <v>2743</v>
      </c>
      <c r="N236" s="0" t="s">
        <v>207</v>
      </c>
      <c r="Q236" s="0" t="n">
        <v>24</v>
      </c>
      <c r="R236" s="0" t="n">
        <v>22</v>
      </c>
      <c r="U236" s="0" t="s">
        <v>3357</v>
      </c>
      <c r="V236" s="0" t="s">
        <v>3357</v>
      </c>
      <c r="Y236" s="0" t="s">
        <v>3071</v>
      </c>
      <c r="Z236" s="0" t="s">
        <v>3072</v>
      </c>
      <c r="AA236" s="0" t="s">
        <v>3363</v>
      </c>
      <c r="AC236" s="0" t="s">
        <v>3074</v>
      </c>
    </row>
    <row r="237" customFormat="false" ht="15" hidden="false" customHeight="false" outlineLevel="0" collapsed="false">
      <c r="A237" s="0" t="s">
        <v>3372</v>
      </c>
      <c r="B237" s="0" t="s">
        <v>201</v>
      </c>
      <c r="C237" s="0" t="s">
        <v>3355</v>
      </c>
      <c r="D237" s="0" t="n">
        <v>2018</v>
      </c>
      <c r="E237" s="0" t="s">
        <v>3373</v>
      </c>
      <c r="F237" s="0" t="n">
        <v>134957181</v>
      </c>
      <c r="G237" s="0" t="s">
        <v>3067</v>
      </c>
      <c r="H237" s="0" t="s">
        <v>3068</v>
      </c>
      <c r="I237" s="0" t="n">
        <v>134957.181</v>
      </c>
      <c r="J237" s="0" t="s">
        <v>3069</v>
      </c>
      <c r="M237" s="0" t="s">
        <v>2743</v>
      </c>
      <c r="N237" s="0" t="s">
        <v>207</v>
      </c>
      <c r="Q237" s="0" t="n">
        <v>24</v>
      </c>
      <c r="R237" s="0" t="n">
        <v>22</v>
      </c>
      <c r="U237" s="0" t="s">
        <v>3357</v>
      </c>
      <c r="V237" s="0" t="s">
        <v>3357</v>
      </c>
      <c r="Y237" s="0" t="s">
        <v>3071</v>
      </c>
      <c r="Z237" s="0" t="s">
        <v>3072</v>
      </c>
      <c r="AA237" s="0" t="s">
        <v>3374</v>
      </c>
      <c r="AC237" s="0" t="s">
        <v>3074</v>
      </c>
    </row>
    <row r="238" customFormat="false" ht="15" hidden="false" customHeight="false" outlineLevel="0" collapsed="false">
      <c r="A238" s="0" t="s">
        <v>3375</v>
      </c>
      <c r="B238" s="0" t="s">
        <v>201</v>
      </c>
      <c r="C238" s="0" t="s">
        <v>3355</v>
      </c>
      <c r="D238" s="0" t="n">
        <v>2018</v>
      </c>
      <c r="E238" s="0" t="s">
        <v>3376</v>
      </c>
      <c r="F238" s="0" t="n">
        <v>-270916087</v>
      </c>
      <c r="G238" s="0" t="s">
        <v>3067</v>
      </c>
      <c r="H238" s="0" t="s">
        <v>3068</v>
      </c>
      <c r="I238" s="0" t="n">
        <v>-270916.087</v>
      </c>
      <c r="J238" s="0" t="s">
        <v>3069</v>
      </c>
      <c r="M238" s="0" t="s">
        <v>2743</v>
      </c>
      <c r="N238" s="0" t="s">
        <v>207</v>
      </c>
      <c r="Q238" s="0" t="n">
        <v>24</v>
      </c>
      <c r="R238" s="0" t="n">
        <v>22</v>
      </c>
      <c r="U238" s="0" t="s">
        <v>3357</v>
      </c>
      <c r="V238" s="0" t="s">
        <v>3357</v>
      </c>
      <c r="Y238" s="0" t="s">
        <v>3071</v>
      </c>
      <c r="Z238" s="0" t="s">
        <v>3072</v>
      </c>
      <c r="AA238" s="0" t="s">
        <v>3374</v>
      </c>
      <c r="AC238" s="0" t="s">
        <v>3074</v>
      </c>
    </row>
    <row r="239" customFormat="false" ht="15" hidden="false" customHeight="false" outlineLevel="0" collapsed="false">
      <c r="A239" s="0" t="s">
        <v>3377</v>
      </c>
      <c r="B239" s="0" t="s">
        <v>201</v>
      </c>
      <c r="C239" s="0" t="s">
        <v>3355</v>
      </c>
      <c r="D239" s="0" t="n">
        <v>2018</v>
      </c>
      <c r="E239" s="0" t="s">
        <v>58</v>
      </c>
      <c r="F239" s="0" t="n">
        <v>-442603</v>
      </c>
      <c r="G239" s="0" t="s">
        <v>3067</v>
      </c>
      <c r="H239" s="0" t="s">
        <v>3068</v>
      </c>
      <c r="I239" s="0" t="n">
        <v>-442.603</v>
      </c>
      <c r="J239" s="0" t="s">
        <v>3069</v>
      </c>
      <c r="M239" s="0" t="s">
        <v>2743</v>
      </c>
      <c r="N239" s="0" t="s">
        <v>207</v>
      </c>
      <c r="Q239" s="0" t="n">
        <v>26</v>
      </c>
      <c r="R239" s="0" t="n">
        <v>24</v>
      </c>
      <c r="U239" s="0" t="s">
        <v>3357</v>
      </c>
      <c r="V239" s="0" t="s">
        <v>3357</v>
      </c>
      <c r="Y239" s="0" t="s">
        <v>3071</v>
      </c>
      <c r="Z239" s="0" t="s">
        <v>3072</v>
      </c>
      <c r="AA239" s="0" t="s">
        <v>3363</v>
      </c>
      <c r="AC239" s="0" t="s">
        <v>3074</v>
      </c>
    </row>
    <row r="240" customFormat="false" ht="15" hidden="false" customHeight="false" outlineLevel="0" collapsed="false">
      <c r="A240" s="0" t="s">
        <v>3378</v>
      </c>
      <c r="B240" s="0" t="s">
        <v>201</v>
      </c>
      <c r="C240" s="0" t="s">
        <v>3355</v>
      </c>
      <c r="D240" s="0" t="n">
        <v>2018</v>
      </c>
      <c r="E240" s="0" t="s">
        <v>54</v>
      </c>
      <c r="F240" s="0" t="n">
        <v>-7695320</v>
      </c>
      <c r="G240" s="0" t="s">
        <v>3067</v>
      </c>
      <c r="H240" s="0" t="s">
        <v>3068</v>
      </c>
      <c r="I240" s="0" t="n">
        <v>-7695.32</v>
      </c>
      <c r="J240" s="0" t="s">
        <v>3069</v>
      </c>
      <c r="M240" s="0" t="s">
        <v>2743</v>
      </c>
      <c r="N240" s="0" t="s">
        <v>207</v>
      </c>
      <c r="Q240" s="0" t="n">
        <v>23</v>
      </c>
      <c r="R240" s="0" t="n">
        <v>21</v>
      </c>
      <c r="U240" s="0" t="s">
        <v>3357</v>
      </c>
      <c r="V240" s="0" t="s">
        <v>3357</v>
      </c>
      <c r="Y240" s="0" t="s">
        <v>3071</v>
      </c>
      <c r="Z240" s="0" t="s">
        <v>3072</v>
      </c>
      <c r="AA240" s="0" t="s">
        <v>3363</v>
      </c>
      <c r="AC240" s="0" t="s">
        <v>3074</v>
      </c>
    </row>
    <row r="241" customFormat="false" ht="15" hidden="false" customHeight="false" outlineLevel="0" collapsed="false">
      <c r="A241" s="0" t="s">
        <v>3379</v>
      </c>
      <c r="B241" s="0" t="s">
        <v>201</v>
      </c>
      <c r="C241" s="0" t="s">
        <v>3355</v>
      </c>
      <c r="D241" s="0" t="n">
        <v>2018</v>
      </c>
      <c r="E241" s="0" t="s">
        <v>3380</v>
      </c>
      <c r="F241" s="0" t="n">
        <v>1269435</v>
      </c>
      <c r="G241" s="0" t="s">
        <v>3067</v>
      </c>
      <c r="H241" s="0" t="s">
        <v>3068</v>
      </c>
      <c r="I241" s="0" t="n">
        <v>1269.435</v>
      </c>
      <c r="J241" s="0" t="s">
        <v>3069</v>
      </c>
      <c r="M241" s="0" t="s">
        <v>2743</v>
      </c>
      <c r="N241" s="0" t="s">
        <v>207</v>
      </c>
      <c r="Q241" s="0" t="n">
        <v>85</v>
      </c>
      <c r="R241" s="0" t="n">
        <v>83</v>
      </c>
      <c r="U241" s="0" t="s">
        <v>3357</v>
      </c>
      <c r="V241" s="0" t="s">
        <v>3357</v>
      </c>
      <c r="Y241" s="0" t="s">
        <v>3071</v>
      </c>
      <c r="Z241" s="0" t="s">
        <v>3072</v>
      </c>
      <c r="AA241" s="0" t="s">
        <v>3381</v>
      </c>
      <c r="AC241" s="0" t="s">
        <v>3074</v>
      </c>
    </row>
    <row r="242" customFormat="false" ht="15" hidden="false" customHeight="false" outlineLevel="0" collapsed="false">
      <c r="A242" s="0" t="s">
        <v>3382</v>
      </c>
      <c r="B242" s="0" t="s">
        <v>201</v>
      </c>
      <c r="C242" s="0" t="s">
        <v>3355</v>
      </c>
      <c r="D242" s="0" t="n">
        <v>2018</v>
      </c>
      <c r="E242" s="0" t="s">
        <v>3383</v>
      </c>
      <c r="F242" s="0" t="n">
        <v>-8964755</v>
      </c>
      <c r="G242" s="0" t="s">
        <v>3067</v>
      </c>
      <c r="H242" s="0" t="s">
        <v>3068</v>
      </c>
      <c r="I242" s="0" t="n">
        <v>-8964.755</v>
      </c>
      <c r="J242" s="0" t="s">
        <v>3069</v>
      </c>
      <c r="M242" s="0" t="s">
        <v>2743</v>
      </c>
      <c r="N242" s="0" t="s">
        <v>207</v>
      </c>
      <c r="Q242" s="0" t="n">
        <v>85</v>
      </c>
      <c r="R242" s="0" t="n">
        <v>83</v>
      </c>
      <c r="U242" s="0" t="s">
        <v>3357</v>
      </c>
      <c r="V242" s="0" t="s">
        <v>3357</v>
      </c>
      <c r="Y242" s="0" t="s">
        <v>3071</v>
      </c>
      <c r="Z242" s="0" t="s">
        <v>3072</v>
      </c>
      <c r="AA242" s="0" t="s">
        <v>3381</v>
      </c>
      <c r="AC242" s="0" t="s">
        <v>3074</v>
      </c>
    </row>
    <row r="243" customFormat="false" ht="15" hidden="false" customHeight="false" outlineLevel="0" collapsed="false">
      <c r="A243" s="0" t="s">
        <v>3384</v>
      </c>
      <c r="B243" s="0" t="s">
        <v>201</v>
      </c>
      <c r="C243" s="0" t="s">
        <v>3355</v>
      </c>
      <c r="D243" s="0" t="n">
        <v>2018</v>
      </c>
      <c r="E243" s="0" t="s">
        <v>3385</v>
      </c>
      <c r="F243" s="0" t="n">
        <v>-284423546</v>
      </c>
      <c r="G243" s="0" t="s">
        <v>3067</v>
      </c>
      <c r="H243" s="0" t="s">
        <v>3068</v>
      </c>
      <c r="I243" s="0" t="n">
        <v>-284423.546</v>
      </c>
      <c r="J243" s="0" t="s">
        <v>3069</v>
      </c>
      <c r="M243" s="0" t="s">
        <v>2743</v>
      </c>
      <c r="N243" s="0" t="s">
        <v>207</v>
      </c>
      <c r="Q243" s="0" t="n">
        <v>83</v>
      </c>
      <c r="R243" s="0" t="n">
        <v>81</v>
      </c>
      <c r="U243" s="0" t="s">
        <v>3357</v>
      </c>
      <c r="V243" s="0" t="s">
        <v>3357</v>
      </c>
      <c r="Y243" s="0" t="s">
        <v>3071</v>
      </c>
      <c r="Z243" s="0" t="s">
        <v>3072</v>
      </c>
      <c r="AA243" s="0" t="s">
        <v>3368</v>
      </c>
      <c r="AC243" s="0" t="s">
        <v>3074</v>
      </c>
    </row>
    <row r="244" customFormat="false" ht="15" hidden="false" customHeight="false" outlineLevel="0" collapsed="false">
      <c r="A244" s="0" t="s">
        <v>3386</v>
      </c>
      <c r="B244" s="0" t="s">
        <v>201</v>
      </c>
      <c r="C244" s="0" t="s">
        <v>3355</v>
      </c>
      <c r="D244" s="0" t="n">
        <v>2018</v>
      </c>
      <c r="E244" s="0" t="s">
        <v>619</v>
      </c>
      <c r="F244" s="0" t="n">
        <v>-282934524</v>
      </c>
      <c r="G244" s="0" t="s">
        <v>3067</v>
      </c>
      <c r="H244" s="0" t="s">
        <v>3068</v>
      </c>
      <c r="I244" s="0" t="n">
        <v>-282934.524</v>
      </c>
      <c r="J244" s="0" t="s">
        <v>3069</v>
      </c>
      <c r="M244" s="0" t="s">
        <v>2743</v>
      </c>
      <c r="N244" s="0" t="s">
        <v>207</v>
      </c>
      <c r="Q244" s="0" t="n">
        <v>83</v>
      </c>
      <c r="R244" s="0" t="n">
        <v>81</v>
      </c>
      <c r="U244" s="0" t="s">
        <v>3357</v>
      </c>
      <c r="V244" s="0" t="s">
        <v>3357</v>
      </c>
      <c r="Y244" s="0" t="s">
        <v>3071</v>
      </c>
      <c r="Z244" s="0" t="s">
        <v>3072</v>
      </c>
      <c r="AA244" s="0" t="s">
        <v>3368</v>
      </c>
      <c r="AC244" s="0" t="s">
        <v>3074</v>
      </c>
    </row>
    <row r="245" customFormat="false" ht="15" hidden="false" customHeight="false" outlineLevel="0" collapsed="false">
      <c r="A245" s="0" t="s">
        <v>3387</v>
      </c>
      <c r="B245" s="0" t="s">
        <v>201</v>
      </c>
      <c r="C245" s="0" t="s">
        <v>3355</v>
      </c>
      <c r="D245" s="0" t="n">
        <v>2018</v>
      </c>
      <c r="E245" s="0" t="s">
        <v>66</v>
      </c>
      <c r="F245" s="0" t="n">
        <v>132410592</v>
      </c>
      <c r="G245" s="0" t="s">
        <v>3067</v>
      </c>
      <c r="H245" s="0" t="s">
        <v>3068</v>
      </c>
      <c r="I245" s="0" t="n">
        <v>132410.592</v>
      </c>
      <c r="J245" s="0" t="s">
        <v>3069</v>
      </c>
      <c r="M245" s="0" t="s">
        <v>2743</v>
      </c>
      <c r="N245" s="0" t="s">
        <v>207</v>
      </c>
      <c r="Q245" s="0" t="n">
        <v>83</v>
      </c>
      <c r="R245" s="0" t="n">
        <v>81</v>
      </c>
      <c r="U245" s="0" t="s">
        <v>3357</v>
      </c>
      <c r="V245" s="0" t="s">
        <v>3357</v>
      </c>
      <c r="Y245" s="0" t="s">
        <v>3071</v>
      </c>
      <c r="Z245" s="0" t="s">
        <v>3072</v>
      </c>
      <c r="AA245" s="0" t="s">
        <v>3368</v>
      </c>
      <c r="AC245" s="0" t="s">
        <v>3074</v>
      </c>
    </row>
    <row r="246" customFormat="false" ht="15" hidden="false" customHeight="false" outlineLevel="0" collapsed="false">
      <c r="A246" s="0" t="s">
        <v>3388</v>
      </c>
      <c r="B246" s="0" t="s">
        <v>201</v>
      </c>
      <c r="C246" s="0" t="s">
        <v>3355</v>
      </c>
      <c r="D246" s="0" t="n">
        <v>2018</v>
      </c>
      <c r="E246" s="0" t="s">
        <v>55</v>
      </c>
      <c r="F246" s="0" t="n">
        <v>210800841</v>
      </c>
      <c r="G246" s="0" t="s">
        <v>3067</v>
      </c>
      <c r="H246" s="0" t="s">
        <v>3068</v>
      </c>
      <c r="I246" s="0" t="n">
        <v>210800.841</v>
      </c>
      <c r="J246" s="0" t="s">
        <v>3069</v>
      </c>
      <c r="M246" s="0" t="s">
        <v>2743</v>
      </c>
      <c r="N246" s="0" t="s">
        <v>207</v>
      </c>
      <c r="Q246" s="0" t="n">
        <v>24</v>
      </c>
      <c r="R246" s="0" t="n">
        <v>22</v>
      </c>
      <c r="U246" s="0" t="s">
        <v>3357</v>
      </c>
      <c r="V246" s="0" t="s">
        <v>3357</v>
      </c>
      <c r="Y246" s="0" t="s">
        <v>3071</v>
      </c>
      <c r="Z246" s="0" t="s">
        <v>3072</v>
      </c>
      <c r="AA246" s="0" t="s">
        <v>3363</v>
      </c>
      <c r="AC246" s="0" t="s">
        <v>3074</v>
      </c>
    </row>
    <row r="247" customFormat="false" ht="15" hidden="false" customHeight="false" outlineLevel="0" collapsed="false">
      <c r="A247" s="0" t="s">
        <v>3389</v>
      </c>
      <c r="B247" s="0" t="s">
        <v>201</v>
      </c>
      <c r="C247" s="0" t="s">
        <v>3355</v>
      </c>
      <c r="D247" s="0" t="n">
        <v>2018</v>
      </c>
      <c r="E247" s="0" t="s">
        <v>57</v>
      </c>
      <c r="F247" s="0" t="n">
        <v>-284374654</v>
      </c>
      <c r="G247" s="0" t="s">
        <v>3067</v>
      </c>
      <c r="H247" s="0" t="s">
        <v>3068</v>
      </c>
      <c r="I247" s="0" t="n">
        <v>-284374.654</v>
      </c>
      <c r="J247" s="0" t="s">
        <v>3069</v>
      </c>
      <c r="M247" s="0" t="s">
        <v>2743</v>
      </c>
      <c r="N247" s="0" t="s">
        <v>207</v>
      </c>
      <c r="Q247" s="0" t="n">
        <v>24</v>
      </c>
      <c r="R247" s="0" t="n">
        <v>22</v>
      </c>
      <c r="U247" s="0" t="s">
        <v>3357</v>
      </c>
      <c r="V247" s="0" t="s">
        <v>3357</v>
      </c>
      <c r="Y247" s="0" t="s">
        <v>3071</v>
      </c>
      <c r="Z247" s="0" t="s">
        <v>3072</v>
      </c>
      <c r="AA247" s="0" t="s">
        <v>3363</v>
      </c>
      <c r="AC247" s="0" t="s">
        <v>3074</v>
      </c>
    </row>
    <row r="248" customFormat="false" ht="15" hidden="false" customHeight="false" outlineLevel="0" collapsed="false">
      <c r="A248" s="0" t="s">
        <v>3390</v>
      </c>
      <c r="B248" s="0" t="s">
        <v>201</v>
      </c>
      <c r="C248" s="0" t="s">
        <v>3355</v>
      </c>
      <c r="D248" s="0" t="n">
        <v>2018</v>
      </c>
      <c r="E248" s="0" t="s">
        <v>56</v>
      </c>
      <c r="F248" s="0" t="n">
        <v>495175495</v>
      </c>
      <c r="G248" s="0" t="s">
        <v>3067</v>
      </c>
      <c r="H248" s="0" t="s">
        <v>3068</v>
      </c>
      <c r="I248" s="0" t="n">
        <v>495175.495</v>
      </c>
      <c r="J248" s="0" t="s">
        <v>3069</v>
      </c>
      <c r="M248" s="0" t="s">
        <v>2743</v>
      </c>
      <c r="N248" s="0" t="s">
        <v>207</v>
      </c>
      <c r="Q248" s="0" t="n">
        <v>24</v>
      </c>
      <c r="R248" s="0" t="n">
        <v>22</v>
      </c>
      <c r="U248" s="0" t="s">
        <v>3357</v>
      </c>
      <c r="V248" s="0" t="s">
        <v>3357</v>
      </c>
      <c r="Y248" s="0" t="s">
        <v>3071</v>
      </c>
      <c r="Z248" s="0" t="s">
        <v>3072</v>
      </c>
      <c r="AA248" s="0" t="s">
        <v>3363</v>
      </c>
      <c r="AC248" s="0" t="s">
        <v>3074</v>
      </c>
    </row>
    <row r="249" customFormat="false" ht="15" hidden="false" customHeight="false" outlineLevel="0" collapsed="false">
      <c r="A249" s="0" t="s">
        <v>3391</v>
      </c>
      <c r="B249" s="0" t="s">
        <v>201</v>
      </c>
      <c r="C249" s="0" t="s">
        <v>3355</v>
      </c>
      <c r="D249" s="0" t="n">
        <v>2019</v>
      </c>
      <c r="E249" s="0" t="s">
        <v>3325</v>
      </c>
      <c r="F249" s="0" t="s">
        <v>3392</v>
      </c>
      <c r="G249" s="0" t="s">
        <v>3393</v>
      </c>
      <c r="I249" s="0" t="s">
        <v>3392</v>
      </c>
      <c r="J249" s="0" t="s">
        <v>3069</v>
      </c>
      <c r="M249" s="0" t="s">
        <v>2743</v>
      </c>
      <c r="N249" s="0" t="s">
        <v>207</v>
      </c>
      <c r="Q249" s="0" t="n">
        <v>18</v>
      </c>
      <c r="R249" s="0" t="n">
        <v>16</v>
      </c>
      <c r="U249" s="0" t="s">
        <v>3196</v>
      </c>
      <c r="V249" s="0" t="s">
        <v>3196</v>
      </c>
      <c r="Y249" s="0" t="s">
        <v>3071</v>
      </c>
      <c r="Z249" s="0" t="s">
        <v>3072</v>
      </c>
      <c r="AA249" s="0" t="s">
        <v>3394</v>
      </c>
      <c r="AC249" s="0" t="s">
        <v>3074</v>
      </c>
    </row>
    <row r="250" customFormat="false" ht="15" hidden="false" customHeight="false" outlineLevel="0" collapsed="false">
      <c r="A250" s="0" t="s">
        <v>3395</v>
      </c>
      <c r="B250" s="0" t="s">
        <v>201</v>
      </c>
      <c r="C250" s="0" t="s">
        <v>3355</v>
      </c>
      <c r="D250" s="0" t="n">
        <v>2019</v>
      </c>
      <c r="E250" s="0" t="s">
        <v>3356</v>
      </c>
      <c r="F250" s="0" t="n">
        <v>-201.59</v>
      </c>
      <c r="G250" s="0" t="s">
        <v>3143</v>
      </c>
      <c r="I250" s="0" t="n">
        <v>-201.59</v>
      </c>
      <c r="J250" s="0" t="s">
        <v>3069</v>
      </c>
      <c r="M250" s="0" t="s">
        <v>2743</v>
      </c>
      <c r="N250" s="0" t="s">
        <v>207</v>
      </c>
      <c r="Q250" s="0" t="n">
        <v>83</v>
      </c>
      <c r="R250" s="0" t="n">
        <v>81</v>
      </c>
      <c r="U250" s="0" t="s">
        <v>3196</v>
      </c>
      <c r="V250" s="0" t="s">
        <v>3196</v>
      </c>
      <c r="Y250" s="0" t="s">
        <v>3071</v>
      </c>
      <c r="Z250" s="0" t="s">
        <v>3072</v>
      </c>
      <c r="AA250" s="0" t="s">
        <v>3358</v>
      </c>
      <c r="AC250" s="0" t="s">
        <v>3074</v>
      </c>
    </row>
    <row r="251" customFormat="false" ht="15" hidden="false" customHeight="false" outlineLevel="0" collapsed="false">
      <c r="A251" s="0" t="s">
        <v>3396</v>
      </c>
      <c r="B251" s="0" t="s">
        <v>201</v>
      </c>
      <c r="C251" s="0" t="s">
        <v>3355</v>
      </c>
      <c r="D251" s="0" t="n">
        <v>2019</v>
      </c>
      <c r="E251" s="0" t="s">
        <v>70</v>
      </c>
      <c r="F251" s="0" t="n">
        <v>10</v>
      </c>
      <c r="G251" s="0" t="s">
        <v>3143</v>
      </c>
      <c r="I251" s="0" t="n">
        <v>10</v>
      </c>
      <c r="J251" s="0" t="s">
        <v>3069</v>
      </c>
      <c r="M251" s="0" t="s">
        <v>2743</v>
      </c>
      <c r="N251" s="0" t="s">
        <v>207</v>
      </c>
      <c r="Q251" s="0" t="n">
        <v>82</v>
      </c>
      <c r="R251" s="0" t="n">
        <v>80</v>
      </c>
      <c r="U251" s="0" t="s">
        <v>3196</v>
      </c>
      <c r="V251" s="0" t="s">
        <v>3196</v>
      </c>
      <c r="Y251" s="0" t="s">
        <v>3071</v>
      </c>
      <c r="Z251" s="0" t="s">
        <v>3072</v>
      </c>
      <c r="AA251" s="0" t="s">
        <v>3360</v>
      </c>
      <c r="AC251" s="0" t="s">
        <v>3074</v>
      </c>
    </row>
    <row r="252" customFormat="false" ht="15" hidden="false" customHeight="false" outlineLevel="0" collapsed="false">
      <c r="A252" s="0" t="s">
        <v>3397</v>
      </c>
      <c r="B252" s="0" t="s">
        <v>201</v>
      </c>
      <c r="C252" s="0" t="s">
        <v>3355</v>
      </c>
      <c r="D252" s="0" t="n">
        <v>2019</v>
      </c>
      <c r="E252" s="0" t="s">
        <v>614</v>
      </c>
      <c r="F252" s="0" t="n">
        <v>-200.88</v>
      </c>
      <c r="G252" s="0" t="s">
        <v>3143</v>
      </c>
      <c r="I252" s="0" t="n">
        <v>-200.88</v>
      </c>
      <c r="J252" s="0" t="s">
        <v>3069</v>
      </c>
      <c r="M252" s="0" t="s">
        <v>2743</v>
      </c>
      <c r="N252" s="0" t="s">
        <v>207</v>
      </c>
      <c r="Q252" s="0" t="n">
        <v>83</v>
      </c>
      <c r="R252" s="0" t="n">
        <v>81</v>
      </c>
      <c r="U252" s="0" t="s">
        <v>3196</v>
      </c>
      <c r="V252" s="0" t="s">
        <v>3196</v>
      </c>
      <c r="Y252" s="0" t="s">
        <v>3071</v>
      </c>
      <c r="Z252" s="0" t="s">
        <v>3072</v>
      </c>
      <c r="AA252" s="0" t="s">
        <v>3358</v>
      </c>
      <c r="AC252" s="0" t="s">
        <v>3074</v>
      </c>
    </row>
    <row r="253" customFormat="false" ht="15" hidden="false" customHeight="false" outlineLevel="0" collapsed="false">
      <c r="A253" s="0" t="s">
        <v>3398</v>
      </c>
      <c r="B253" s="0" t="s">
        <v>201</v>
      </c>
      <c r="C253" s="0" t="s">
        <v>3355</v>
      </c>
      <c r="D253" s="0" t="n">
        <v>2019</v>
      </c>
      <c r="E253" s="0" t="s">
        <v>3066</v>
      </c>
      <c r="F253" s="0" t="n">
        <v>257691182</v>
      </c>
      <c r="G253" s="0" t="s">
        <v>3067</v>
      </c>
      <c r="H253" s="0" t="s">
        <v>3068</v>
      </c>
      <c r="I253" s="0" t="n">
        <v>257691.182</v>
      </c>
      <c r="J253" s="0" t="s">
        <v>3069</v>
      </c>
      <c r="M253" s="0" t="s">
        <v>2743</v>
      </c>
      <c r="N253" s="0" t="s">
        <v>207</v>
      </c>
      <c r="Q253" s="0" t="n">
        <v>24</v>
      </c>
      <c r="R253" s="0" t="n">
        <v>22</v>
      </c>
      <c r="U253" s="0" t="s">
        <v>3196</v>
      </c>
      <c r="V253" s="0" t="s">
        <v>3196</v>
      </c>
      <c r="Y253" s="0" t="s">
        <v>3071</v>
      </c>
      <c r="Z253" s="0" t="s">
        <v>3072</v>
      </c>
      <c r="AA253" s="0" t="s">
        <v>3363</v>
      </c>
      <c r="AC253" s="0" t="s">
        <v>3074</v>
      </c>
    </row>
    <row r="254" customFormat="false" ht="15" hidden="false" customHeight="false" outlineLevel="0" collapsed="false">
      <c r="A254" s="0" t="s">
        <v>3399</v>
      </c>
      <c r="B254" s="0" t="s">
        <v>201</v>
      </c>
      <c r="C254" s="0" t="s">
        <v>3355</v>
      </c>
      <c r="D254" s="0" t="n">
        <v>2019</v>
      </c>
      <c r="E254" s="0" t="s">
        <v>73</v>
      </c>
      <c r="F254" s="0" t="n">
        <v>1</v>
      </c>
      <c r="G254" s="0" t="s">
        <v>3400</v>
      </c>
      <c r="I254" s="0" t="n">
        <v>1</v>
      </c>
      <c r="J254" s="0" t="s">
        <v>3069</v>
      </c>
      <c r="M254" s="0" t="s">
        <v>2743</v>
      </c>
      <c r="N254" s="0" t="s">
        <v>207</v>
      </c>
      <c r="Q254" s="0" t="n">
        <v>18</v>
      </c>
      <c r="R254" s="0" t="n">
        <v>16</v>
      </c>
      <c r="U254" s="0" t="s">
        <v>3196</v>
      </c>
      <c r="V254" s="0" t="s">
        <v>3196</v>
      </c>
      <c r="Y254" s="0" t="s">
        <v>3071</v>
      </c>
      <c r="Z254" s="0" t="s">
        <v>3072</v>
      </c>
      <c r="AA254" s="0" t="s">
        <v>3401</v>
      </c>
      <c r="AC254" s="0" t="s">
        <v>3074</v>
      </c>
    </row>
    <row r="255" customFormat="false" ht="15" hidden="false" customHeight="false" outlineLevel="0" collapsed="false">
      <c r="A255" s="0" t="s">
        <v>3402</v>
      </c>
      <c r="B255" s="0" t="s">
        <v>201</v>
      </c>
      <c r="C255" s="0" t="s">
        <v>3355</v>
      </c>
      <c r="D255" s="0" t="n">
        <v>2019</v>
      </c>
      <c r="E255" s="0" t="s">
        <v>60</v>
      </c>
      <c r="F255" s="0" t="n">
        <v>106913813</v>
      </c>
      <c r="G255" s="0" t="s">
        <v>3067</v>
      </c>
      <c r="H255" s="0" t="s">
        <v>3068</v>
      </c>
      <c r="I255" s="0" t="n">
        <v>106913.813</v>
      </c>
      <c r="J255" s="0" t="s">
        <v>3069</v>
      </c>
      <c r="M255" s="0" t="s">
        <v>2743</v>
      </c>
      <c r="N255" s="0" t="s">
        <v>207</v>
      </c>
      <c r="Q255" s="0" t="n">
        <v>65</v>
      </c>
      <c r="R255" s="0" t="n">
        <v>63</v>
      </c>
      <c r="U255" s="0" t="s">
        <v>3196</v>
      </c>
      <c r="V255" s="0" t="s">
        <v>3196</v>
      </c>
      <c r="Y255" s="0" t="s">
        <v>3071</v>
      </c>
      <c r="Z255" s="0" t="s">
        <v>3072</v>
      </c>
      <c r="AA255" s="0" t="s">
        <v>3365</v>
      </c>
      <c r="AC255" s="0" t="s">
        <v>3074</v>
      </c>
    </row>
    <row r="256" customFormat="false" ht="15" hidden="false" customHeight="false" outlineLevel="0" collapsed="false">
      <c r="A256" s="0" t="s">
        <v>3403</v>
      </c>
      <c r="B256" s="0" t="s">
        <v>201</v>
      </c>
      <c r="C256" s="0" t="s">
        <v>3355</v>
      </c>
      <c r="D256" s="0" t="n">
        <v>2019</v>
      </c>
      <c r="E256" s="0" t="s">
        <v>1327</v>
      </c>
      <c r="F256" s="0" t="n">
        <v>44587271</v>
      </c>
      <c r="G256" s="0" t="s">
        <v>3067</v>
      </c>
      <c r="H256" s="0" t="s">
        <v>3068</v>
      </c>
      <c r="I256" s="0" t="n">
        <v>44587.271</v>
      </c>
      <c r="J256" s="0" t="s">
        <v>3069</v>
      </c>
      <c r="M256" s="0" t="s">
        <v>2743</v>
      </c>
      <c r="N256" s="0" t="s">
        <v>207</v>
      </c>
      <c r="Q256" s="0" t="n">
        <v>23</v>
      </c>
      <c r="R256" s="0" t="n">
        <v>21</v>
      </c>
      <c r="U256" s="0" t="s">
        <v>3196</v>
      </c>
      <c r="V256" s="0" t="s">
        <v>3196</v>
      </c>
      <c r="Y256" s="0" t="s">
        <v>3071</v>
      </c>
      <c r="Z256" s="0" t="s">
        <v>3072</v>
      </c>
      <c r="AA256" s="0" t="s">
        <v>3363</v>
      </c>
      <c r="AC256" s="0" t="s">
        <v>3074</v>
      </c>
    </row>
    <row r="257" customFormat="false" ht="15" hidden="false" customHeight="false" outlineLevel="0" collapsed="false">
      <c r="A257" s="0" t="s">
        <v>3404</v>
      </c>
      <c r="B257" s="0" t="s">
        <v>201</v>
      </c>
      <c r="C257" s="0" t="s">
        <v>3355</v>
      </c>
      <c r="D257" s="0" t="n">
        <v>2019</v>
      </c>
      <c r="E257" s="0" t="s">
        <v>1367</v>
      </c>
      <c r="F257" s="0" t="n">
        <v>992681</v>
      </c>
      <c r="G257" s="0" t="s">
        <v>3067</v>
      </c>
      <c r="H257" s="0" t="s">
        <v>3068</v>
      </c>
      <c r="I257" s="0" t="n">
        <v>992.681</v>
      </c>
      <c r="J257" s="0" t="s">
        <v>3069</v>
      </c>
      <c r="M257" s="0" t="s">
        <v>2743</v>
      </c>
      <c r="N257" s="0" t="s">
        <v>207</v>
      </c>
      <c r="Q257" s="0" t="n">
        <v>83</v>
      </c>
      <c r="R257" s="0" t="n">
        <v>81</v>
      </c>
      <c r="U257" s="0" t="s">
        <v>3196</v>
      </c>
      <c r="V257" s="0" t="s">
        <v>3196</v>
      </c>
      <c r="Y257" s="0" t="s">
        <v>3071</v>
      </c>
      <c r="Z257" s="0" t="s">
        <v>3072</v>
      </c>
      <c r="AA257" s="0" t="s">
        <v>3368</v>
      </c>
      <c r="AC257" s="0" t="s">
        <v>3074</v>
      </c>
    </row>
    <row r="258" customFormat="false" ht="15" hidden="false" customHeight="false" outlineLevel="0" collapsed="false">
      <c r="A258" s="0" t="s">
        <v>3405</v>
      </c>
      <c r="B258" s="0" t="s">
        <v>201</v>
      </c>
      <c r="C258" s="0" t="s">
        <v>3355</v>
      </c>
      <c r="D258" s="0" t="n">
        <v>2019</v>
      </c>
      <c r="E258" s="0" t="s">
        <v>63</v>
      </c>
      <c r="F258" s="0" t="n">
        <v>1921923</v>
      </c>
      <c r="G258" s="0" t="s">
        <v>3067</v>
      </c>
      <c r="H258" s="0" t="s">
        <v>3068</v>
      </c>
      <c r="I258" s="0" t="n">
        <v>1921.923</v>
      </c>
      <c r="J258" s="0" t="s">
        <v>3069</v>
      </c>
      <c r="M258" s="0" t="s">
        <v>2743</v>
      </c>
      <c r="N258" s="0" t="s">
        <v>207</v>
      </c>
      <c r="Q258" s="0" t="n">
        <v>23</v>
      </c>
      <c r="R258" s="0" t="n">
        <v>21</v>
      </c>
      <c r="U258" s="0" t="s">
        <v>3196</v>
      </c>
      <c r="V258" s="0" t="s">
        <v>3196</v>
      </c>
      <c r="Y258" s="0" t="s">
        <v>3071</v>
      </c>
      <c r="Z258" s="0" t="s">
        <v>3072</v>
      </c>
      <c r="AA258" s="0" t="s">
        <v>3363</v>
      </c>
      <c r="AC258" s="0" t="s">
        <v>3074</v>
      </c>
    </row>
    <row r="259" customFormat="false" ht="15" hidden="false" customHeight="false" outlineLevel="0" collapsed="false">
      <c r="A259" s="0" t="s">
        <v>3406</v>
      </c>
      <c r="B259" s="0" t="s">
        <v>201</v>
      </c>
      <c r="C259" s="0" t="s">
        <v>3355</v>
      </c>
      <c r="D259" s="0" t="n">
        <v>2019</v>
      </c>
      <c r="E259" s="0" t="s">
        <v>61</v>
      </c>
      <c r="F259" s="0" t="n">
        <v>2896088</v>
      </c>
      <c r="G259" s="0" t="s">
        <v>3067</v>
      </c>
      <c r="H259" s="0" t="s">
        <v>3068</v>
      </c>
      <c r="I259" s="0" t="n">
        <v>2896.088</v>
      </c>
      <c r="J259" s="0" t="s">
        <v>3069</v>
      </c>
      <c r="M259" s="0" t="s">
        <v>2743</v>
      </c>
      <c r="N259" s="0" t="s">
        <v>207</v>
      </c>
      <c r="Q259" s="0" t="n">
        <v>65</v>
      </c>
      <c r="R259" s="0" t="n">
        <v>63</v>
      </c>
      <c r="U259" s="0" t="s">
        <v>3196</v>
      </c>
      <c r="V259" s="0" t="s">
        <v>3196</v>
      </c>
      <c r="Y259" s="0" t="s">
        <v>3071</v>
      </c>
      <c r="Z259" s="0" t="s">
        <v>3072</v>
      </c>
      <c r="AA259" s="0" t="s">
        <v>3365</v>
      </c>
      <c r="AC259" s="0" t="s">
        <v>3074</v>
      </c>
    </row>
    <row r="260" customFormat="false" ht="15" hidden="false" customHeight="false" outlineLevel="0" collapsed="false">
      <c r="A260" s="0" t="s">
        <v>3407</v>
      </c>
      <c r="B260" s="0" t="s">
        <v>201</v>
      </c>
      <c r="C260" s="0" t="s">
        <v>3355</v>
      </c>
      <c r="D260" s="0" t="n">
        <v>2019</v>
      </c>
      <c r="E260" s="0" t="s">
        <v>62</v>
      </c>
      <c r="F260" s="0" t="n">
        <v>104017725</v>
      </c>
      <c r="G260" s="0" t="s">
        <v>3067</v>
      </c>
      <c r="H260" s="0" t="s">
        <v>3068</v>
      </c>
      <c r="I260" s="0" t="n">
        <v>104017.725</v>
      </c>
      <c r="J260" s="0" t="s">
        <v>3069</v>
      </c>
      <c r="M260" s="0" t="s">
        <v>2743</v>
      </c>
      <c r="N260" s="0" t="s">
        <v>207</v>
      </c>
      <c r="Q260" s="0" t="n">
        <v>24</v>
      </c>
      <c r="R260" s="0" t="n">
        <v>22</v>
      </c>
      <c r="U260" s="0" t="s">
        <v>3196</v>
      </c>
      <c r="V260" s="0" t="s">
        <v>3196</v>
      </c>
      <c r="Y260" s="0" t="s">
        <v>3071</v>
      </c>
      <c r="Z260" s="0" t="s">
        <v>3072</v>
      </c>
      <c r="AA260" s="0" t="s">
        <v>3363</v>
      </c>
      <c r="AC260" s="0" t="s">
        <v>3074</v>
      </c>
    </row>
    <row r="261" customFormat="false" ht="15" hidden="false" customHeight="false" outlineLevel="0" collapsed="false">
      <c r="A261" s="0" t="s">
        <v>3408</v>
      </c>
      <c r="B261" s="0" t="s">
        <v>201</v>
      </c>
      <c r="C261" s="0" t="s">
        <v>3355</v>
      </c>
      <c r="D261" s="0" t="n">
        <v>2019</v>
      </c>
      <c r="E261" s="0" t="s">
        <v>58</v>
      </c>
      <c r="F261" s="0" t="n">
        <v>-39427662</v>
      </c>
      <c r="G261" s="0" t="s">
        <v>3067</v>
      </c>
      <c r="H261" s="0" t="s">
        <v>3068</v>
      </c>
      <c r="I261" s="0" t="n">
        <v>-39427.662</v>
      </c>
      <c r="J261" s="0" t="s">
        <v>3069</v>
      </c>
      <c r="M261" s="0" t="s">
        <v>2743</v>
      </c>
      <c r="N261" s="0" t="s">
        <v>207</v>
      </c>
      <c r="Q261" s="0" t="n">
        <v>26</v>
      </c>
      <c r="R261" s="0" t="n">
        <v>24</v>
      </c>
      <c r="U261" s="0" t="s">
        <v>3196</v>
      </c>
      <c r="V261" s="0" t="s">
        <v>3196</v>
      </c>
      <c r="Y261" s="0" t="s">
        <v>3071</v>
      </c>
      <c r="Z261" s="0" t="s">
        <v>3072</v>
      </c>
      <c r="AA261" s="0" t="s">
        <v>3363</v>
      </c>
      <c r="AC261" s="0" t="s">
        <v>3074</v>
      </c>
    </row>
    <row r="262" customFormat="false" ht="15" hidden="false" customHeight="false" outlineLevel="0" collapsed="false">
      <c r="A262" s="0" t="s">
        <v>3409</v>
      </c>
      <c r="B262" s="0" t="s">
        <v>201</v>
      </c>
      <c r="C262" s="0" t="s">
        <v>3355</v>
      </c>
      <c r="D262" s="0" t="n">
        <v>2019</v>
      </c>
      <c r="E262" s="0" t="s">
        <v>54</v>
      </c>
      <c r="F262" s="0" t="n">
        <v>3383189</v>
      </c>
      <c r="G262" s="0" t="s">
        <v>3067</v>
      </c>
      <c r="H262" s="0" t="s">
        <v>3068</v>
      </c>
      <c r="I262" s="0" t="n">
        <v>3383.189</v>
      </c>
      <c r="J262" s="0" t="s">
        <v>3069</v>
      </c>
      <c r="M262" s="0" t="s">
        <v>2743</v>
      </c>
      <c r="N262" s="0" t="s">
        <v>207</v>
      </c>
      <c r="Q262" s="0" t="n">
        <v>23</v>
      </c>
      <c r="R262" s="0" t="n">
        <v>21</v>
      </c>
      <c r="U262" s="0" t="s">
        <v>3196</v>
      </c>
      <c r="V262" s="0" t="s">
        <v>3196</v>
      </c>
      <c r="Y262" s="0" t="s">
        <v>3071</v>
      </c>
      <c r="Z262" s="0" t="s">
        <v>3072</v>
      </c>
      <c r="AA262" s="0" t="s">
        <v>3363</v>
      </c>
      <c r="AC262" s="0" t="s">
        <v>3074</v>
      </c>
    </row>
    <row r="263" customFormat="false" ht="15" hidden="false" customHeight="false" outlineLevel="0" collapsed="false">
      <c r="A263" s="0" t="s">
        <v>3410</v>
      </c>
      <c r="B263" s="0" t="s">
        <v>201</v>
      </c>
      <c r="C263" s="0" t="s">
        <v>3355</v>
      </c>
      <c r="D263" s="0" t="n">
        <v>2019</v>
      </c>
      <c r="E263" s="0" t="s">
        <v>3385</v>
      </c>
      <c r="F263" s="0" t="n">
        <v>-281095692</v>
      </c>
      <c r="G263" s="0" t="s">
        <v>3067</v>
      </c>
      <c r="H263" s="0" t="s">
        <v>3068</v>
      </c>
      <c r="I263" s="0" t="n">
        <v>-281095.692</v>
      </c>
      <c r="J263" s="0" t="s">
        <v>3069</v>
      </c>
      <c r="M263" s="0" t="s">
        <v>2743</v>
      </c>
      <c r="N263" s="0" t="s">
        <v>207</v>
      </c>
      <c r="Q263" s="0" t="n">
        <v>83</v>
      </c>
      <c r="R263" s="0" t="n">
        <v>81</v>
      </c>
      <c r="U263" s="0" t="s">
        <v>3196</v>
      </c>
      <c r="V263" s="0" t="s">
        <v>3196</v>
      </c>
      <c r="Y263" s="0" t="s">
        <v>3071</v>
      </c>
      <c r="Z263" s="0" t="s">
        <v>3072</v>
      </c>
      <c r="AA263" s="0" t="s">
        <v>3368</v>
      </c>
      <c r="AC263" s="0" t="s">
        <v>3074</v>
      </c>
    </row>
    <row r="264" customFormat="false" ht="15" hidden="false" customHeight="false" outlineLevel="0" collapsed="false">
      <c r="A264" s="0" t="s">
        <v>3411</v>
      </c>
      <c r="B264" s="0" t="s">
        <v>201</v>
      </c>
      <c r="C264" s="0" t="s">
        <v>3355</v>
      </c>
      <c r="D264" s="0" t="n">
        <v>2019</v>
      </c>
      <c r="E264" s="0" t="s">
        <v>619</v>
      </c>
      <c r="F264" s="0" t="n">
        <v>-280103011</v>
      </c>
      <c r="G264" s="0" t="s">
        <v>3067</v>
      </c>
      <c r="H264" s="0" t="s">
        <v>3068</v>
      </c>
      <c r="I264" s="0" t="n">
        <v>-280103.011</v>
      </c>
      <c r="J264" s="0" t="s">
        <v>3069</v>
      </c>
      <c r="M264" s="0" t="s">
        <v>2743</v>
      </c>
      <c r="N264" s="0" t="s">
        <v>207</v>
      </c>
      <c r="Q264" s="0" t="n">
        <v>83</v>
      </c>
      <c r="R264" s="0" t="n">
        <v>81</v>
      </c>
      <c r="U264" s="0" t="s">
        <v>3196</v>
      </c>
      <c r="V264" s="0" t="s">
        <v>3196</v>
      </c>
      <c r="Y264" s="0" t="s">
        <v>3071</v>
      </c>
      <c r="Z264" s="0" t="s">
        <v>3072</v>
      </c>
      <c r="AA264" s="0" t="s">
        <v>3368</v>
      </c>
      <c r="AC264" s="0" t="s">
        <v>3074</v>
      </c>
    </row>
    <row r="265" customFormat="false" ht="15" hidden="false" customHeight="false" outlineLevel="0" collapsed="false">
      <c r="A265" s="0" t="s">
        <v>3412</v>
      </c>
      <c r="B265" s="0" t="s">
        <v>201</v>
      </c>
      <c r="C265" s="0" t="s">
        <v>3355</v>
      </c>
      <c r="D265" s="0" t="n">
        <v>2019</v>
      </c>
      <c r="E265" s="0" t="s">
        <v>66</v>
      </c>
      <c r="F265" s="0" t="n">
        <v>139438437</v>
      </c>
      <c r="G265" s="0" t="s">
        <v>3067</v>
      </c>
      <c r="H265" s="0" t="s">
        <v>3068</v>
      </c>
      <c r="I265" s="0" t="n">
        <v>139438.437</v>
      </c>
      <c r="J265" s="0" t="s">
        <v>3069</v>
      </c>
      <c r="M265" s="0" t="s">
        <v>2743</v>
      </c>
      <c r="N265" s="0" t="s">
        <v>207</v>
      </c>
      <c r="Q265" s="0" t="n">
        <v>83</v>
      </c>
      <c r="R265" s="0" t="n">
        <v>81</v>
      </c>
      <c r="U265" s="0" t="s">
        <v>3196</v>
      </c>
      <c r="V265" s="0" t="s">
        <v>3196</v>
      </c>
      <c r="Y265" s="0" t="s">
        <v>3071</v>
      </c>
      <c r="Z265" s="0" t="s">
        <v>3072</v>
      </c>
      <c r="AA265" s="0" t="s">
        <v>3368</v>
      </c>
      <c r="AC265" s="0" t="s">
        <v>3074</v>
      </c>
    </row>
    <row r="266" customFormat="false" ht="15" hidden="false" customHeight="false" outlineLevel="0" collapsed="false">
      <c r="A266" s="0" t="s">
        <v>3413</v>
      </c>
      <c r="B266" s="0" t="s">
        <v>201</v>
      </c>
      <c r="C266" s="0" t="s">
        <v>3355</v>
      </c>
      <c r="D266" s="0" t="n">
        <v>2019</v>
      </c>
      <c r="E266" s="0" t="s">
        <v>55</v>
      </c>
      <c r="F266" s="0" t="n">
        <v>293052070</v>
      </c>
      <c r="G266" s="0" t="s">
        <v>3067</v>
      </c>
      <c r="H266" s="0" t="s">
        <v>3068</v>
      </c>
      <c r="I266" s="0" t="n">
        <v>293052.07</v>
      </c>
      <c r="J266" s="0" t="s">
        <v>3069</v>
      </c>
      <c r="M266" s="0" t="s">
        <v>2743</v>
      </c>
      <c r="N266" s="0" t="s">
        <v>207</v>
      </c>
      <c r="Q266" s="0" t="n">
        <v>24</v>
      </c>
      <c r="R266" s="0" t="n">
        <v>22</v>
      </c>
      <c r="U266" s="0" t="s">
        <v>3196</v>
      </c>
      <c r="V266" s="0" t="s">
        <v>3196</v>
      </c>
      <c r="Y266" s="0" t="s">
        <v>3071</v>
      </c>
      <c r="Z266" s="0" t="s">
        <v>3072</v>
      </c>
      <c r="AA266" s="0" t="s">
        <v>3363</v>
      </c>
      <c r="AC266" s="0" t="s">
        <v>3074</v>
      </c>
    </row>
    <row r="267" customFormat="false" ht="15" hidden="false" customHeight="false" outlineLevel="0" collapsed="false">
      <c r="A267" s="0" t="s">
        <v>3414</v>
      </c>
      <c r="B267" s="0" t="s">
        <v>201</v>
      </c>
      <c r="C267" s="0" t="s">
        <v>3355</v>
      </c>
      <c r="D267" s="0" t="n">
        <v>2019</v>
      </c>
      <c r="E267" s="0" t="s">
        <v>57</v>
      </c>
      <c r="F267" s="0" t="n">
        <v>-278855888</v>
      </c>
      <c r="G267" s="0" t="s">
        <v>3067</v>
      </c>
      <c r="H267" s="0" t="s">
        <v>3068</v>
      </c>
      <c r="I267" s="0" t="n">
        <v>-278855.888</v>
      </c>
      <c r="J267" s="0" t="s">
        <v>3069</v>
      </c>
      <c r="M267" s="0" t="s">
        <v>2743</v>
      </c>
      <c r="N267" s="0" t="s">
        <v>207</v>
      </c>
      <c r="Q267" s="0" t="n">
        <v>24</v>
      </c>
      <c r="R267" s="0" t="n">
        <v>22</v>
      </c>
      <c r="U267" s="0" t="s">
        <v>3196</v>
      </c>
      <c r="V267" s="0" t="s">
        <v>3196</v>
      </c>
      <c r="Y267" s="0" t="s">
        <v>3071</v>
      </c>
      <c r="Z267" s="0" t="s">
        <v>3072</v>
      </c>
      <c r="AA267" s="0" t="s">
        <v>3363</v>
      </c>
      <c r="AC267" s="0" t="s">
        <v>3074</v>
      </c>
    </row>
    <row r="268" customFormat="false" ht="15" hidden="false" customHeight="false" outlineLevel="0" collapsed="false">
      <c r="A268" s="0" t="s">
        <v>3415</v>
      </c>
      <c r="B268" s="0" t="s">
        <v>201</v>
      </c>
      <c r="C268" s="0" t="s">
        <v>3355</v>
      </c>
      <c r="D268" s="0" t="n">
        <v>2019</v>
      </c>
      <c r="E268" s="0" t="s">
        <v>56</v>
      </c>
      <c r="F268" s="0" t="n">
        <v>571907958</v>
      </c>
      <c r="G268" s="0" t="s">
        <v>3067</v>
      </c>
      <c r="H268" s="0" t="s">
        <v>3068</v>
      </c>
      <c r="I268" s="0" t="n">
        <v>571907.958</v>
      </c>
      <c r="J268" s="0" t="s">
        <v>3069</v>
      </c>
      <c r="M268" s="0" t="s">
        <v>2743</v>
      </c>
      <c r="N268" s="0" t="s">
        <v>207</v>
      </c>
      <c r="Q268" s="0" t="n">
        <v>24</v>
      </c>
      <c r="R268" s="0" t="n">
        <v>22</v>
      </c>
      <c r="U268" s="0" t="s">
        <v>3196</v>
      </c>
      <c r="V268" s="0" t="s">
        <v>3196</v>
      </c>
      <c r="Y268" s="0" t="s">
        <v>3071</v>
      </c>
      <c r="Z268" s="0" t="s">
        <v>3072</v>
      </c>
      <c r="AA268" s="0" t="s">
        <v>3363</v>
      </c>
      <c r="AC268" s="0" t="s">
        <v>3074</v>
      </c>
    </row>
    <row r="269" customFormat="false" ht="15" hidden="false" customHeight="false" outlineLevel="0" collapsed="false">
      <c r="A269" s="0" t="s">
        <v>3416</v>
      </c>
      <c r="B269" s="0" t="s">
        <v>169</v>
      </c>
      <c r="C269" s="0" t="s">
        <v>3205</v>
      </c>
      <c r="D269" s="0" t="n">
        <v>2014</v>
      </c>
      <c r="E269" s="0" t="s">
        <v>1327</v>
      </c>
      <c r="F269" s="0" t="n">
        <v>103679220</v>
      </c>
      <c r="G269" s="0" t="s">
        <v>3067</v>
      </c>
      <c r="H269" s="0" t="s">
        <v>3068</v>
      </c>
      <c r="I269" s="0" t="n">
        <v>103679.22</v>
      </c>
      <c r="J269" s="0" t="s">
        <v>3069</v>
      </c>
      <c r="M269" s="0" t="s">
        <v>2718</v>
      </c>
      <c r="N269" s="0" t="s">
        <v>170</v>
      </c>
      <c r="Q269" s="0" t="n">
        <v>39</v>
      </c>
      <c r="R269" s="0" t="n">
        <v>37</v>
      </c>
      <c r="U269" s="0" t="s">
        <v>3087</v>
      </c>
      <c r="V269" s="0" t="s">
        <v>3087</v>
      </c>
      <c r="Y269" s="0" t="s">
        <v>3071</v>
      </c>
      <c r="Z269" s="0" t="s">
        <v>3072</v>
      </c>
      <c r="AA269" s="0" t="s">
        <v>3417</v>
      </c>
      <c r="AC269" s="0" t="s">
        <v>3074</v>
      </c>
    </row>
    <row r="270" customFormat="false" ht="15" hidden="false" customHeight="false" outlineLevel="0" collapsed="false">
      <c r="A270" s="0" t="s">
        <v>3418</v>
      </c>
      <c r="B270" s="0" t="s">
        <v>169</v>
      </c>
      <c r="C270" s="0" t="s">
        <v>3205</v>
      </c>
      <c r="D270" s="0" t="n">
        <v>2014</v>
      </c>
      <c r="E270" s="0" t="s">
        <v>327</v>
      </c>
      <c r="F270" s="0" t="n">
        <v>3.1</v>
      </c>
      <c r="G270" s="0" t="s">
        <v>3143</v>
      </c>
      <c r="I270" s="0" t="n">
        <v>3.1</v>
      </c>
      <c r="J270" s="0" t="s">
        <v>3069</v>
      </c>
      <c r="M270" s="0" t="s">
        <v>2718</v>
      </c>
      <c r="N270" s="0" t="s">
        <v>170</v>
      </c>
      <c r="Q270" s="0" t="n">
        <v>39</v>
      </c>
      <c r="R270" s="0" t="n">
        <v>37</v>
      </c>
      <c r="U270" s="0" t="s">
        <v>3087</v>
      </c>
      <c r="V270" s="0" t="s">
        <v>3087</v>
      </c>
      <c r="Y270" s="0" t="s">
        <v>3071</v>
      </c>
      <c r="Z270" s="0" t="s">
        <v>3072</v>
      </c>
      <c r="AA270" s="0" t="s">
        <v>3419</v>
      </c>
      <c r="AC270" s="0" t="s">
        <v>3074</v>
      </c>
    </row>
    <row r="271" customFormat="false" ht="15" hidden="false" customHeight="false" outlineLevel="0" collapsed="false">
      <c r="A271" s="0" t="s">
        <v>3420</v>
      </c>
      <c r="B271" s="0" t="s">
        <v>169</v>
      </c>
      <c r="C271" s="0" t="s">
        <v>3205</v>
      </c>
      <c r="D271" s="0" t="n">
        <v>2013</v>
      </c>
      <c r="E271" s="0" t="s">
        <v>1327</v>
      </c>
      <c r="F271" s="0" t="n">
        <v>91742770</v>
      </c>
      <c r="G271" s="0" t="s">
        <v>3067</v>
      </c>
      <c r="H271" s="0" t="s">
        <v>3068</v>
      </c>
      <c r="I271" s="0" t="n">
        <v>91742.77</v>
      </c>
      <c r="J271" s="0" t="s">
        <v>3069</v>
      </c>
      <c r="M271" s="0" t="s">
        <v>2718</v>
      </c>
      <c r="N271" s="0" t="s">
        <v>170</v>
      </c>
      <c r="Q271" s="0" t="n">
        <v>39</v>
      </c>
      <c r="R271" s="0" t="n">
        <v>37</v>
      </c>
      <c r="U271" s="0" t="s">
        <v>3070</v>
      </c>
      <c r="V271" s="0" t="s">
        <v>3070</v>
      </c>
      <c r="Y271" s="0" t="s">
        <v>3071</v>
      </c>
      <c r="Z271" s="0" t="s">
        <v>3072</v>
      </c>
      <c r="AA271" s="0" t="s">
        <v>3417</v>
      </c>
      <c r="AC271" s="0" t="s">
        <v>3074</v>
      </c>
    </row>
    <row r="272" customFormat="false" ht="15" hidden="false" customHeight="false" outlineLevel="0" collapsed="false">
      <c r="A272" s="0" t="s">
        <v>3421</v>
      </c>
      <c r="B272" s="0" t="s">
        <v>169</v>
      </c>
      <c r="C272" s="0" t="s">
        <v>3205</v>
      </c>
      <c r="D272" s="0" t="n">
        <v>2013</v>
      </c>
      <c r="E272" s="0" t="s">
        <v>327</v>
      </c>
      <c r="F272" s="0" t="n">
        <v>2.1</v>
      </c>
      <c r="G272" s="0" t="s">
        <v>3143</v>
      </c>
      <c r="I272" s="0" t="n">
        <v>2.1</v>
      </c>
      <c r="J272" s="0" t="s">
        <v>3069</v>
      </c>
      <c r="M272" s="0" t="s">
        <v>2718</v>
      </c>
      <c r="N272" s="0" t="s">
        <v>170</v>
      </c>
      <c r="Q272" s="0" t="n">
        <v>39</v>
      </c>
      <c r="R272" s="0" t="n">
        <v>37</v>
      </c>
      <c r="U272" s="0" t="s">
        <v>3070</v>
      </c>
      <c r="V272" s="0" t="s">
        <v>3070</v>
      </c>
      <c r="Y272" s="0" t="s">
        <v>3071</v>
      </c>
      <c r="Z272" s="0" t="s">
        <v>3072</v>
      </c>
      <c r="AA272" s="0" t="s">
        <v>3419</v>
      </c>
      <c r="AC272" s="0" t="s">
        <v>3074</v>
      </c>
    </row>
    <row r="273" customFormat="false" ht="15" hidden="false" customHeight="false" outlineLevel="0" collapsed="false">
      <c r="A273" s="0" t="s">
        <v>3422</v>
      </c>
      <c r="B273" s="0" t="s">
        <v>125</v>
      </c>
      <c r="C273" s="0" t="s">
        <v>3423</v>
      </c>
      <c r="D273" s="0" t="n">
        <v>2014</v>
      </c>
      <c r="E273" s="0" t="s">
        <v>54</v>
      </c>
      <c r="F273" s="0" t="n">
        <v>79351</v>
      </c>
      <c r="G273" s="0" t="s">
        <v>3101</v>
      </c>
      <c r="H273" s="0" t="s">
        <v>3068</v>
      </c>
      <c r="I273" s="0" t="n">
        <v>79351</v>
      </c>
      <c r="J273" s="0" t="s">
        <v>3424</v>
      </c>
      <c r="M273" s="0" t="s">
        <v>2696</v>
      </c>
      <c r="N273" s="0" t="s">
        <v>126</v>
      </c>
      <c r="Q273" s="0" t="n">
        <v>150</v>
      </c>
      <c r="R273" s="0" t="n">
        <v>150</v>
      </c>
      <c r="U273" s="0" t="s">
        <v>3425</v>
      </c>
      <c r="V273" s="0" t="s">
        <v>3425</v>
      </c>
      <c r="Y273" s="0" t="s">
        <v>3071</v>
      </c>
      <c r="Z273" s="0" t="s">
        <v>3072</v>
      </c>
      <c r="AA273" s="0" t="s">
        <v>3426</v>
      </c>
      <c r="AC273" s="0" t="s">
        <v>3074</v>
      </c>
    </row>
    <row r="274" customFormat="false" ht="15" hidden="false" customHeight="false" outlineLevel="0" collapsed="false">
      <c r="A274" s="0" t="s">
        <v>3427</v>
      </c>
      <c r="B274" s="0" t="s">
        <v>125</v>
      </c>
      <c r="C274" s="0" t="s">
        <v>3423</v>
      </c>
      <c r="D274" s="0" t="n">
        <v>2014</v>
      </c>
      <c r="E274" s="0" t="s">
        <v>3428</v>
      </c>
      <c r="F274" s="0" t="n">
        <v>75175</v>
      </c>
      <c r="G274" s="0" t="s">
        <v>3101</v>
      </c>
      <c r="H274" s="0" t="s">
        <v>3068</v>
      </c>
      <c r="I274" s="0" t="n">
        <v>75175</v>
      </c>
      <c r="J274" s="0" t="s">
        <v>3424</v>
      </c>
      <c r="M274" s="0" t="s">
        <v>2696</v>
      </c>
      <c r="N274" s="0" t="s">
        <v>126</v>
      </c>
      <c r="Q274" s="0" t="n">
        <v>150</v>
      </c>
      <c r="R274" s="0" t="n">
        <v>150</v>
      </c>
      <c r="U274" s="0" t="s">
        <v>3425</v>
      </c>
      <c r="V274" s="0" t="s">
        <v>3425</v>
      </c>
      <c r="Y274" s="0" t="s">
        <v>3071</v>
      </c>
      <c r="Z274" s="0" t="s">
        <v>3072</v>
      </c>
      <c r="AA274" s="0" t="s">
        <v>3429</v>
      </c>
      <c r="AC274" s="0" t="s">
        <v>3074</v>
      </c>
    </row>
    <row r="275" customFormat="false" ht="15" hidden="false" customHeight="false" outlineLevel="0" collapsed="false">
      <c r="A275" s="0" t="s">
        <v>3430</v>
      </c>
      <c r="B275" s="0" t="s">
        <v>125</v>
      </c>
      <c r="C275" s="0" t="s">
        <v>3423</v>
      </c>
      <c r="D275" s="0" t="n">
        <v>2014</v>
      </c>
      <c r="E275" s="0" t="s">
        <v>63</v>
      </c>
      <c r="F275" s="0" t="n">
        <v>20924</v>
      </c>
      <c r="G275" s="0" t="s">
        <v>3101</v>
      </c>
      <c r="H275" s="0" t="s">
        <v>3068</v>
      </c>
      <c r="I275" s="0" t="n">
        <v>20924</v>
      </c>
      <c r="J275" s="0" t="s">
        <v>3424</v>
      </c>
      <c r="M275" s="0" t="s">
        <v>2696</v>
      </c>
      <c r="N275" s="0" t="s">
        <v>126</v>
      </c>
      <c r="Q275" s="0" t="n">
        <v>150</v>
      </c>
      <c r="R275" s="0" t="n">
        <v>150</v>
      </c>
      <c r="U275" s="0" t="s">
        <v>3425</v>
      </c>
      <c r="V275" s="0" t="s">
        <v>3425</v>
      </c>
      <c r="Y275" s="0" t="s">
        <v>3071</v>
      </c>
      <c r="Z275" s="0" t="s">
        <v>3072</v>
      </c>
      <c r="AA275" s="0" t="s">
        <v>3431</v>
      </c>
      <c r="AC275" s="0" t="s">
        <v>3074</v>
      </c>
    </row>
    <row r="276" customFormat="false" ht="15" hidden="false" customHeight="false" outlineLevel="0" collapsed="false">
      <c r="A276" s="0" t="s">
        <v>3432</v>
      </c>
      <c r="B276" s="0" t="s">
        <v>125</v>
      </c>
      <c r="C276" s="0" t="s">
        <v>3423</v>
      </c>
      <c r="D276" s="0" t="n">
        <v>2014</v>
      </c>
      <c r="E276" s="0" t="s">
        <v>55</v>
      </c>
      <c r="F276" s="0" t="n">
        <v>3490871</v>
      </c>
      <c r="G276" s="0" t="s">
        <v>3101</v>
      </c>
      <c r="H276" s="0" t="s">
        <v>3068</v>
      </c>
      <c r="I276" s="0" t="n">
        <v>3490871</v>
      </c>
      <c r="J276" s="0" t="s">
        <v>3424</v>
      </c>
      <c r="M276" s="0" t="s">
        <v>2696</v>
      </c>
      <c r="N276" s="0" t="s">
        <v>126</v>
      </c>
      <c r="Q276" s="0" t="n">
        <v>152</v>
      </c>
      <c r="R276" s="0" t="n">
        <v>152</v>
      </c>
      <c r="U276" s="0" t="s">
        <v>3425</v>
      </c>
      <c r="V276" s="0" t="s">
        <v>3425</v>
      </c>
      <c r="Y276" s="0" t="s">
        <v>3071</v>
      </c>
      <c r="Z276" s="0" t="s">
        <v>3072</v>
      </c>
      <c r="AA276" s="0" t="s">
        <v>3433</v>
      </c>
      <c r="AC276" s="0" t="s">
        <v>3074</v>
      </c>
    </row>
    <row r="277" customFormat="false" ht="15" hidden="false" customHeight="false" outlineLevel="0" collapsed="false">
      <c r="A277" s="0" t="s">
        <v>3434</v>
      </c>
      <c r="B277" s="0" t="s">
        <v>125</v>
      </c>
      <c r="C277" s="0" t="s">
        <v>3423</v>
      </c>
      <c r="D277" s="0" t="n">
        <v>2014</v>
      </c>
      <c r="E277" s="0" t="s">
        <v>56</v>
      </c>
      <c r="F277" s="0" t="n">
        <v>3067824</v>
      </c>
      <c r="G277" s="0" t="s">
        <v>3101</v>
      </c>
      <c r="H277" s="0" t="s">
        <v>3068</v>
      </c>
      <c r="I277" s="0" t="n">
        <v>3067824</v>
      </c>
      <c r="J277" s="0" t="s">
        <v>3424</v>
      </c>
      <c r="M277" s="0" t="s">
        <v>2696</v>
      </c>
      <c r="N277" s="0" t="s">
        <v>126</v>
      </c>
      <c r="Q277" s="0" t="n">
        <v>152</v>
      </c>
      <c r="R277" s="0" t="n">
        <v>152</v>
      </c>
      <c r="U277" s="0" t="s">
        <v>3425</v>
      </c>
      <c r="V277" s="0" t="s">
        <v>3425</v>
      </c>
      <c r="Y277" s="0" t="s">
        <v>3071</v>
      </c>
      <c r="Z277" s="0" t="s">
        <v>3072</v>
      </c>
      <c r="AA277" s="0" t="s">
        <v>3433</v>
      </c>
      <c r="AC277" s="0" t="s">
        <v>3074</v>
      </c>
    </row>
    <row r="278" customFormat="false" ht="15" hidden="false" customHeight="false" outlineLevel="0" collapsed="false">
      <c r="A278" s="0" t="s">
        <v>3435</v>
      </c>
      <c r="B278" s="0" t="s">
        <v>125</v>
      </c>
      <c r="C278" s="0" t="s">
        <v>3423</v>
      </c>
      <c r="D278" s="0" t="n">
        <v>2014</v>
      </c>
      <c r="E278" s="0" t="s">
        <v>57</v>
      </c>
      <c r="F278" s="0" t="n">
        <v>423047</v>
      </c>
      <c r="G278" s="0" t="s">
        <v>3101</v>
      </c>
      <c r="H278" s="0" t="s">
        <v>3068</v>
      </c>
      <c r="I278" s="0" t="n">
        <v>423047</v>
      </c>
      <c r="J278" s="0" t="s">
        <v>3424</v>
      </c>
      <c r="M278" s="0" t="s">
        <v>2696</v>
      </c>
      <c r="N278" s="0" t="s">
        <v>126</v>
      </c>
      <c r="Q278" s="0" t="n">
        <v>153</v>
      </c>
      <c r="R278" s="0" t="n">
        <v>153</v>
      </c>
      <c r="U278" s="0" t="s">
        <v>3425</v>
      </c>
      <c r="V278" s="0" t="s">
        <v>3425</v>
      </c>
      <c r="Y278" s="0" t="s">
        <v>3071</v>
      </c>
      <c r="Z278" s="0" t="s">
        <v>3072</v>
      </c>
      <c r="AA278" s="0" t="s">
        <v>3433</v>
      </c>
      <c r="AC278" s="0" t="s">
        <v>3074</v>
      </c>
    </row>
    <row r="279" customFormat="false" ht="15" hidden="false" customHeight="false" outlineLevel="0" collapsed="false">
      <c r="A279" s="0" t="s">
        <v>3436</v>
      </c>
      <c r="B279" s="0" t="s">
        <v>125</v>
      </c>
      <c r="C279" s="0" t="s">
        <v>3423</v>
      </c>
      <c r="D279" s="0" t="n">
        <v>2014</v>
      </c>
      <c r="E279" s="0" t="s">
        <v>62</v>
      </c>
      <c r="F279" s="0" t="n">
        <v>1794037</v>
      </c>
      <c r="G279" s="0" t="s">
        <v>3101</v>
      </c>
      <c r="H279" s="0" t="s">
        <v>3068</v>
      </c>
      <c r="I279" s="0" t="n">
        <v>1794037</v>
      </c>
      <c r="J279" s="0" t="s">
        <v>3424</v>
      </c>
      <c r="M279" s="0" t="s">
        <v>2696</v>
      </c>
      <c r="N279" s="0" t="s">
        <v>126</v>
      </c>
      <c r="Q279" s="0" t="n">
        <v>152</v>
      </c>
      <c r="R279" s="0" t="n">
        <v>152</v>
      </c>
      <c r="U279" s="0" t="s">
        <v>3425</v>
      </c>
      <c r="V279" s="0" t="s">
        <v>3425</v>
      </c>
      <c r="Y279" s="0" t="s">
        <v>3071</v>
      </c>
      <c r="Z279" s="0" t="s">
        <v>3072</v>
      </c>
      <c r="AA279" s="0" t="s">
        <v>3437</v>
      </c>
      <c r="AC279" s="0" t="s">
        <v>3074</v>
      </c>
    </row>
    <row r="280" customFormat="false" ht="15" hidden="false" customHeight="false" outlineLevel="0" collapsed="false">
      <c r="A280" s="0" t="s">
        <v>3438</v>
      </c>
      <c r="B280" s="0" t="s">
        <v>125</v>
      </c>
      <c r="C280" s="0" t="s">
        <v>3423</v>
      </c>
      <c r="D280" s="0" t="n">
        <v>2014</v>
      </c>
      <c r="E280" s="0" t="s">
        <v>58</v>
      </c>
      <c r="F280" s="0" t="n">
        <v>-506665</v>
      </c>
      <c r="G280" s="0" t="s">
        <v>3101</v>
      </c>
      <c r="H280" s="0" t="s">
        <v>3068</v>
      </c>
      <c r="I280" s="0" t="n">
        <v>-506665</v>
      </c>
      <c r="J280" s="0" t="s">
        <v>3424</v>
      </c>
      <c r="M280" s="0" t="s">
        <v>2696</v>
      </c>
      <c r="N280" s="0" t="s">
        <v>126</v>
      </c>
      <c r="Q280" s="0" t="n">
        <v>156</v>
      </c>
      <c r="R280" s="0" t="n">
        <v>156</v>
      </c>
      <c r="U280" s="0" t="s">
        <v>3425</v>
      </c>
      <c r="V280" s="0" t="s">
        <v>3425</v>
      </c>
      <c r="Y280" s="0" t="s">
        <v>3071</v>
      </c>
      <c r="Z280" s="0" t="s">
        <v>3072</v>
      </c>
      <c r="AA280" s="0" t="s">
        <v>3439</v>
      </c>
      <c r="AC280" s="0" t="s">
        <v>3074</v>
      </c>
    </row>
    <row r="281" customFormat="false" ht="15" hidden="false" customHeight="false" outlineLevel="0" collapsed="false">
      <c r="A281" s="0" t="s">
        <v>3440</v>
      </c>
      <c r="B281" s="0" t="s">
        <v>125</v>
      </c>
      <c r="C281" s="0" t="s">
        <v>3423</v>
      </c>
      <c r="D281" s="0" t="n">
        <v>2013</v>
      </c>
      <c r="E281" s="0" t="s">
        <v>54</v>
      </c>
      <c r="F281" s="0" t="n">
        <v>59365</v>
      </c>
      <c r="G281" s="0" t="s">
        <v>3101</v>
      </c>
      <c r="H281" s="0" t="s">
        <v>3068</v>
      </c>
      <c r="I281" s="0" t="n">
        <v>59365</v>
      </c>
      <c r="J281" s="0" t="s">
        <v>3424</v>
      </c>
      <c r="M281" s="0" t="s">
        <v>2696</v>
      </c>
      <c r="N281" s="0" t="s">
        <v>126</v>
      </c>
      <c r="Q281" s="0" t="n">
        <v>150</v>
      </c>
      <c r="R281" s="0" t="n">
        <v>150</v>
      </c>
      <c r="U281" s="0" t="s">
        <v>3441</v>
      </c>
      <c r="V281" s="0" t="s">
        <v>3441</v>
      </c>
      <c r="Y281" s="0" t="s">
        <v>3071</v>
      </c>
      <c r="Z281" s="0" t="s">
        <v>3072</v>
      </c>
      <c r="AA281" s="0" t="s">
        <v>3426</v>
      </c>
      <c r="AC281" s="0" t="s">
        <v>3074</v>
      </c>
    </row>
    <row r="282" customFormat="false" ht="15" hidden="false" customHeight="false" outlineLevel="0" collapsed="false">
      <c r="A282" s="0" t="s">
        <v>3442</v>
      </c>
      <c r="B282" s="0" t="s">
        <v>125</v>
      </c>
      <c r="C282" s="0" t="s">
        <v>3423</v>
      </c>
      <c r="D282" s="0" t="n">
        <v>2013</v>
      </c>
      <c r="E282" s="0" t="s">
        <v>3428</v>
      </c>
      <c r="F282" s="0" t="n">
        <v>59365</v>
      </c>
      <c r="G282" s="0" t="s">
        <v>3101</v>
      </c>
      <c r="H282" s="0" t="s">
        <v>3068</v>
      </c>
      <c r="I282" s="0" t="n">
        <v>59365</v>
      </c>
      <c r="J282" s="0" t="s">
        <v>3424</v>
      </c>
      <c r="M282" s="0" t="s">
        <v>2696</v>
      </c>
      <c r="N282" s="0" t="s">
        <v>126</v>
      </c>
      <c r="Q282" s="0" t="n">
        <v>150</v>
      </c>
      <c r="R282" s="0" t="n">
        <v>150</v>
      </c>
      <c r="U282" s="0" t="s">
        <v>3441</v>
      </c>
      <c r="V282" s="0" t="s">
        <v>3441</v>
      </c>
      <c r="Y282" s="0" t="s">
        <v>3071</v>
      </c>
      <c r="Z282" s="0" t="s">
        <v>3072</v>
      </c>
      <c r="AA282" s="0" t="s">
        <v>3429</v>
      </c>
      <c r="AC282" s="0" t="s">
        <v>3074</v>
      </c>
    </row>
    <row r="283" customFormat="false" ht="15" hidden="false" customHeight="false" outlineLevel="0" collapsed="false">
      <c r="A283" s="0" t="s">
        <v>3443</v>
      </c>
      <c r="B283" s="0" t="s">
        <v>125</v>
      </c>
      <c r="C283" s="0" t="s">
        <v>3423</v>
      </c>
      <c r="D283" s="0" t="n">
        <v>2013</v>
      </c>
      <c r="E283" s="0" t="s">
        <v>63</v>
      </c>
      <c r="F283" s="0" t="n">
        <v>19838</v>
      </c>
      <c r="G283" s="0" t="s">
        <v>3101</v>
      </c>
      <c r="H283" s="0" t="s">
        <v>3068</v>
      </c>
      <c r="I283" s="0" t="n">
        <v>19838</v>
      </c>
      <c r="J283" s="0" t="s">
        <v>3424</v>
      </c>
      <c r="M283" s="0" t="s">
        <v>2696</v>
      </c>
      <c r="N283" s="0" t="s">
        <v>126</v>
      </c>
      <c r="Q283" s="0" t="n">
        <v>150</v>
      </c>
      <c r="R283" s="0" t="n">
        <v>150</v>
      </c>
      <c r="U283" s="0" t="s">
        <v>3441</v>
      </c>
      <c r="V283" s="0" t="s">
        <v>3441</v>
      </c>
      <c r="Y283" s="0" t="s">
        <v>3071</v>
      </c>
      <c r="Z283" s="0" t="s">
        <v>3072</v>
      </c>
      <c r="AA283" s="0" t="s">
        <v>3431</v>
      </c>
      <c r="AC283" s="0" t="s">
        <v>3074</v>
      </c>
    </row>
    <row r="284" customFormat="false" ht="15" hidden="false" customHeight="false" outlineLevel="0" collapsed="false">
      <c r="A284" s="0" t="s">
        <v>3444</v>
      </c>
      <c r="B284" s="0" t="s">
        <v>125</v>
      </c>
      <c r="C284" s="0" t="s">
        <v>3423</v>
      </c>
      <c r="D284" s="0" t="n">
        <v>2013</v>
      </c>
      <c r="E284" s="0" t="s">
        <v>55</v>
      </c>
      <c r="F284" s="0" t="n">
        <v>3246579</v>
      </c>
      <c r="G284" s="0" t="s">
        <v>3101</v>
      </c>
      <c r="H284" s="0" t="s">
        <v>3068</v>
      </c>
      <c r="I284" s="0" t="n">
        <v>3246579</v>
      </c>
      <c r="J284" s="0" t="s">
        <v>3424</v>
      </c>
      <c r="M284" s="0" t="s">
        <v>2696</v>
      </c>
      <c r="N284" s="0" t="s">
        <v>126</v>
      </c>
      <c r="Q284" s="0" t="n">
        <v>152</v>
      </c>
      <c r="R284" s="0" t="n">
        <v>152</v>
      </c>
      <c r="U284" s="0" t="s">
        <v>3441</v>
      </c>
      <c r="V284" s="0" t="s">
        <v>3441</v>
      </c>
      <c r="Y284" s="0" t="s">
        <v>3071</v>
      </c>
      <c r="Z284" s="0" t="s">
        <v>3072</v>
      </c>
      <c r="AA284" s="0" t="s">
        <v>3433</v>
      </c>
      <c r="AC284" s="0" t="s">
        <v>3074</v>
      </c>
    </row>
    <row r="285" customFormat="false" ht="15" hidden="false" customHeight="false" outlineLevel="0" collapsed="false">
      <c r="A285" s="0" t="s">
        <v>3445</v>
      </c>
      <c r="B285" s="0" t="s">
        <v>125</v>
      </c>
      <c r="C285" s="0" t="s">
        <v>3423</v>
      </c>
      <c r="D285" s="0" t="n">
        <v>2013</v>
      </c>
      <c r="E285" s="0" t="s">
        <v>56</v>
      </c>
      <c r="F285" s="0" t="n">
        <v>2895870</v>
      </c>
      <c r="G285" s="0" t="s">
        <v>3101</v>
      </c>
      <c r="H285" s="0" t="s">
        <v>3068</v>
      </c>
      <c r="I285" s="0" t="n">
        <v>2895870</v>
      </c>
      <c r="J285" s="0" t="s">
        <v>3424</v>
      </c>
      <c r="M285" s="0" t="s">
        <v>2696</v>
      </c>
      <c r="N285" s="0" t="s">
        <v>126</v>
      </c>
      <c r="Q285" s="0" t="n">
        <v>152</v>
      </c>
      <c r="R285" s="0" t="n">
        <v>152</v>
      </c>
      <c r="U285" s="0" t="s">
        <v>3441</v>
      </c>
      <c r="V285" s="0" t="s">
        <v>3441</v>
      </c>
      <c r="Y285" s="0" t="s">
        <v>3071</v>
      </c>
      <c r="Z285" s="0" t="s">
        <v>3072</v>
      </c>
      <c r="AA285" s="0" t="s">
        <v>3433</v>
      </c>
      <c r="AC285" s="0" t="s">
        <v>3074</v>
      </c>
    </row>
    <row r="286" customFormat="false" ht="15" hidden="false" customHeight="false" outlineLevel="0" collapsed="false">
      <c r="A286" s="0" t="s">
        <v>3446</v>
      </c>
      <c r="B286" s="0" t="s">
        <v>125</v>
      </c>
      <c r="C286" s="0" t="s">
        <v>3423</v>
      </c>
      <c r="D286" s="0" t="n">
        <v>2013</v>
      </c>
      <c r="E286" s="0" t="s">
        <v>57</v>
      </c>
      <c r="F286" s="0" t="n">
        <v>350709</v>
      </c>
      <c r="G286" s="0" t="s">
        <v>3101</v>
      </c>
      <c r="H286" s="0" t="s">
        <v>3068</v>
      </c>
      <c r="I286" s="0" t="n">
        <v>350709</v>
      </c>
      <c r="J286" s="0" t="s">
        <v>3424</v>
      </c>
      <c r="M286" s="0" t="s">
        <v>2696</v>
      </c>
      <c r="N286" s="0" t="s">
        <v>126</v>
      </c>
      <c r="Q286" s="0" t="n">
        <v>153</v>
      </c>
      <c r="R286" s="0" t="n">
        <v>153</v>
      </c>
      <c r="U286" s="0" t="s">
        <v>3441</v>
      </c>
      <c r="V286" s="0" t="s">
        <v>3441</v>
      </c>
      <c r="Y286" s="0" t="s">
        <v>3071</v>
      </c>
      <c r="Z286" s="0" t="s">
        <v>3072</v>
      </c>
      <c r="AA286" s="0" t="s">
        <v>3433</v>
      </c>
      <c r="AC286" s="0" t="s">
        <v>3074</v>
      </c>
    </row>
    <row r="287" customFormat="false" ht="15" hidden="false" customHeight="false" outlineLevel="0" collapsed="false">
      <c r="A287" s="0" t="s">
        <v>3447</v>
      </c>
      <c r="B287" s="0" t="s">
        <v>125</v>
      </c>
      <c r="C287" s="0" t="s">
        <v>3423</v>
      </c>
      <c r="D287" s="0" t="n">
        <v>2013</v>
      </c>
      <c r="E287" s="0" t="s">
        <v>62</v>
      </c>
      <c r="F287" s="0" t="n">
        <v>1473839</v>
      </c>
      <c r="G287" s="0" t="s">
        <v>3101</v>
      </c>
      <c r="H287" s="0" t="s">
        <v>3068</v>
      </c>
      <c r="I287" s="0" t="n">
        <v>1473839</v>
      </c>
      <c r="J287" s="0" t="s">
        <v>3424</v>
      </c>
      <c r="M287" s="0" t="s">
        <v>2696</v>
      </c>
      <c r="N287" s="0" t="s">
        <v>126</v>
      </c>
      <c r="Q287" s="0" t="n">
        <v>152</v>
      </c>
      <c r="R287" s="0" t="n">
        <v>152</v>
      </c>
      <c r="U287" s="0" t="s">
        <v>3441</v>
      </c>
      <c r="V287" s="0" t="s">
        <v>3441</v>
      </c>
      <c r="Y287" s="0" t="s">
        <v>3071</v>
      </c>
      <c r="Z287" s="0" t="s">
        <v>3072</v>
      </c>
      <c r="AA287" s="0" t="s">
        <v>3437</v>
      </c>
      <c r="AC287" s="0" t="s">
        <v>3074</v>
      </c>
    </row>
    <row r="288" customFormat="false" ht="15" hidden="false" customHeight="false" outlineLevel="0" collapsed="false">
      <c r="A288" s="0" t="s">
        <v>3448</v>
      </c>
      <c r="B288" s="0" t="s">
        <v>125</v>
      </c>
      <c r="C288" s="0" t="s">
        <v>3423</v>
      </c>
      <c r="D288" s="0" t="n">
        <v>2013</v>
      </c>
      <c r="E288" s="0" t="s">
        <v>58</v>
      </c>
      <c r="F288" s="0" t="n">
        <v>179950</v>
      </c>
      <c r="G288" s="0" t="s">
        <v>3101</v>
      </c>
      <c r="H288" s="0" t="s">
        <v>3068</v>
      </c>
      <c r="I288" s="0" t="n">
        <v>179950</v>
      </c>
      <c r="J288" s="0" t="s">
        <v>3424</v>
      </c>
      <c r="M288" s="0" t="s">
        <v>2696</v>
      </c>
      <c r="N288" s="0" t="s">
        <v>126</v>
      </c>
      <c r="Q288" s="0" t="n">
        <v>156</v>
      </c>
      <c r="R288" s="0" t="n">
        <v>156</v>
      </c>
      <c r="U288" s="0" t="s">
        <v>3441</v>
      </c>
      <c r="V288" s="0" t="s">
        <v>3441</v>
      </c>
      <c r="Y288" s="0" t="s">
        <v>3071</v>
      </c>
      <c r="Z288" s="0" t="s">
        <v>3072</v>
      </c>
      <c r="AA288" s="0" t="s">
        <v>3439</v>
      </c>
      <c r="AC288" s="0" t="s">
        <v>3074</v>
      </c>
    </row>
    <row r="289" customFormat="false" ht="15" hidden="false" customHeight="false" outlineLevel="0" collapsed="false">
      <c r="A289" s="0" t="s">
        <v>3449</v>
      </c>
      <c r="B289" s="0" t="s">
        <v>211</v>
      </c>
      <c r="C289" s="0" t="s">
        <v>3282</v>
      </c>
      <c r="D289" s="0" t="n">
        <v>2014</v>
      </c>
      <c r="E289" s="0" t="s">
        <v>54</v>
      </c>
      <c r="F289" s="0" t="n">
        <v>2372445</v>
      </c>
      <c r="G289" s="0" t="s">
        <v>3067</v>
      </c>
      <c r="H289" s="0" t="s">
        <v>3068</v>
      </c>
      <c r="I289" s="0" t="n">
        <v>2372.445</v>
      </c>
      <c r="J289" s="0" t="s">
        <v>3424</v>
      </c>
      <c r="M289" s="0" t="s">
        <v>2747</v>
      </c>
      <c r="N289" s="0" t="s">
        <v>214</v>
      </c>
      <c r="Q289" s="0" t="n">
        <v>64</v>
      </c>
      <c r="R289" s="0" t="n">
        <v>64</v>
      </c>
      <c r="U289" s="0" t="s">
        <v>3450</v>
      </c>
      <c r="V289" s="0" t="s">
        <v>3450</v>
      </c>
      <c r="Y289" s="0" t="s">
        <v>3071</v>
      </c>
      <c r="Z289" s="0" t="s">
        <v>3072</v>
      </c>
      <c r="AA289" s="0" t="s">
        <v>3433</v>
      </c>
      <c r="AC289" s="0" t="s">
        <v>3074</v>
      </c>
    </row>
    <row r="290" customFormat="false" ht="15" hidden="false" customHeight="false" outlineLevel="0" collapsed="false">
      <c r="A290" s="0" t="s">
        <v>3451</v>
      </c>
      <c r="B290" s="0" t="s">
        <v>211</v>
      </c>
      <c r="C290" s="0" t="s">
        <v>3282</v>
      </c>
      <c r="D290" s="0" t="n">
        <v>2014</v>
      </c>
      <c r="E290" s="0" t="s">
        <v>63</v>
      </c>
      <c r="F290" s="0" t="n">
        <v>88173</v>
      </c>
      <c r="G290" s="0" t="s">
        <v>3067</v>
      </c>
      <c r="H290" s="0" t="s">
        <v>3068</v>
      </c>
      <c r="I290" s="0" t="n">
        <v>88.173</v>
      </c>
      <c r="J290" s="0" t="s">
        <v>3424</v>
      </c>
      <c r="M290" s="0" t="s">
        <v>2747</v>
      </c>
      <c r="N290" s="0" t="s">
        <v>214</v>
      </c>
      <c r="Q290" s="0" t="n">
        <v>64</v>
      </c>
      <c r="R290" s="0" t="n">
        <v>64</v>
      </c>
      <c r="U290" s="0" t="s">
        <v>3450</v>
      </c>
      <c r="V290" s="0" t="s">
        <v>3450</v>
      </c>
      <c r="Y290" s="0" t="s">
        <v>3071</v>
      </c>
      <c r="Z290" s="0" t="s">
        <v>3072</v>
      </c>
      <c r="AA290" s="0" t="s">
        <v>3452</v>
      </c>
      <c r="AC290" s="0" t="s">
        <v>3074</v>
      </c>
    </row>
    <row r="291" customFormat="false" ht="15" hidden="false" customHeight="false" outlineLevel="0" collapsed="false">
      <c r="A291" s="0" t="s">
        <v>3453</v>
      </c>
      <c r="B291" s="0" t="s">
        <v>211</v>
      </c>
      <c r="C291" s="0" t="s">
        <v>3282</v>
      </c>
      <c r="D291" s="0" t="n">
        <v>2014</v>
      </c>
      <c r="E291" s="0" t="s">
        <v>55</v>
      </c>
      <c r="F291" s="0" t="n">
        <v>382562312</v>
      </c>
      <c r="G291" s="0" t="s">
        <v>3067</v>
      </c>
      <c r="H291" s="0" t="s">
        <v>3068</v>
      </c>
      <c r="I291" s="0" t="n">
        <v>382562.312</v>
      </c>
      <c r="J291" s="0" t="s">
        <v>3424</v>
      </c>
      <c r="M291" s="0" t="s">
        <v>2747</v>
      </c>
      <c r="N291" s="0" t="s">
        <v>214</v>
      </c>
      <c r="Q291" s="0" t="n">
        <v>65</v>
      </c>
      <c r="R291" s="0" t="n">
        <v>65</v>
      </c>
      <c r="U291" s="0" t="s">
        <v>3450</v>
      </c>
      <c r="V291" s="0" t="s">
        <v>3450</v>
      </c>
      <c r="Y291" s="0" t="s">
        <v>3071</v>
      </c>
      <c r="Z291" s="0" t="s">
        <v>3072</v>
      </c>
      <c r="AA291" s="0" t="s">
        <v>3433</v>
      </c>
      <c r="AC291" s="0" t="s">
        <v>3074</v>
      </c>
    </row>
    <row r="292" customFormat="false" ht="15" hidden="false" customHeight="false" outlineLevel="0" collapsed="false">
      <c r="A292" s="0" t="s">
        <v>3454</v>
      </c>
      <c r="B292" s="0" t="s">
        <v>211</v>
      </c>
      <c r="C292" s="0" t="s">
        <v>3282</v>
      </c>
      <c r="D292" s="0" t="n">
        <v>2014</v>
      </c>
      <c r="E292" s="0" t="s">
        <v>56</v>
      </c>
      <c r="F292" s="0" t="n">
        <v>338793663</v>
      </c>
      <c r="G292" s="0" t="s">
        <v>3067</v>
      </c>
      <c r="H292" s="0" t="s">
        <v>3068</v>
      </c>
      <c r="I292" s="0" t="n">
        <v>338793.663</v>
      </c>
      <c r="J292" s="0" t="s">
        <v>3424</v>
      </c>
      <c r="M292" s="0" t="s">
        <v>2747</v>
      </c>
      <c r="N292" s="0" t="s">
        <v>214</v>
      </c>
      <c r="Q292" s="0" t="n">
        <v>65</v>
      </c>
      <c r="R292" s="0" t="n">
        <v>65</v>
      </c>
      <c r="U292" s="0" t="s">
        <v>3450</v>
      </c>
      <c r="V292" s="0" t="s">
        <v>3450</v>
      </c>
      <c r="Y292" s="0" t="s">
        <v>3071</v>
      </c>
      <c r="Z292" s="0" t="s">
        <v>3072</v>
      </c>
      <c r="AA292" s="0" t="s">
        <v>3433</v>
      </c>
      <c r="AC292" s="0" t="s">
        <v>3074</v>
      </c>
    </row>
    <row r="293" customFormat="false" ht="15" hidden="false" customHeight="false" outlineLevel="0" collapsed="false">
      <c r="A293" s="0" t="s">
        <v>3455</v>
      </c>
      <c r="B293" s="0" t="s">
        <v>211</v>
      </c>
      <c r="C293" s="0" t="s">
        <v>3282</v>
      </c>
      <c r="D293" s="0" t="n">
        <v>2014</v>
      </c>
      <c r="E293" s="0" t="s">
        <v>57</v>
      </c>
      <c r="F293" s="0" t="n">
        <v>43768649</v>
      </c>
      <c r="G293" s="0" t="s">
        <v>3067</v>
      </c>
      <c r="H293" s="0" t="s">
        <v>3068</v>
      </c>
      <c r="I293" s="0" t="n">
        <v>43768.649</v>
      </c>
      <c r="J293" s="0" t="s">
        <v>3424</v>
      </c>
      <c r="M293" s="0" t="s">
        <v>2747</v>
      </c>
      <c r="N293" s="0" t="s">
        <v>214</v>
      </c>
      <c r="Q293" s="0" t="n">
        <v>65</v>
      </c>
      <c r="R293" s="0" t="n">
        <v>65</v>
      </c>
      <c r="U293" s="0" t="s">
        <v>3450</v>
      </c>
      <c r="V293" s="0" t="s">
        <v>3450</v>
      </c>
      <c r="Y293" s="0" t="s">
        <v>3071</v>
      </c>
      <c r="Z293" s="0" t="s">
        <v>3072</v>
      </c>
      <c r="AA293" s="0" t="s">
        <v>3433</v>
      </c>
      <c r="AC293" s="0" t="s">
        <v>3074</v>
      </c>
    </row>
    <row r="294" customFormat="false" ht="15" hidden="false" customHeight="false" outlineLevel="0" collapsed="false">
      <c r="A294" s="0" t="s">
        <v>3456</v>
      </c>
      <c r="B294" s="0" t="s">
        <v>211</v>
      </c>
      <c r="C294" s="0" t="s">
        <v>3282</v>
      </c>
      <c r="D294" s="0" t="n">
        <v>2014</v>
      </c>
      <c r="E294" s="0" t="s">
        <v>62</v>
      </c>
      <c r="F294" s="0" t="n">
        <v>149293849</v>
      </c>
      <c r="G294" s="0" t="s">
        <v>3067</v>
      </c>
      <c r="H294" s="0" t="s">
        <v>3068</v>
      </c>
      <c r="I294" s="0" t="n">
        <v>149293.849</v>
      </c>
      <c r="J294" s="0" t="s">
        <v>3424</v>
      </c>
      <c r="M294" s="0" t="s">
        <v>2747</v>
      </c>
      <c r="N294" s="0" t="s">
        <v>214</v>
      </c>
      <c r="Q294" s="0" t="n">
        <v>65</v>
      </c>
      <c r="R294" s="0" t="n">
        <v>65</v>
      </c>
      <c r="U294" s="0" t="s">
        <v>3450</v>
      </c>
      <c r="V294" s="0" t="s">
        <v>3450</v>
      </c>
      <c r="Y294" s="0" t="s">
        <v>3071</v>
      </c>
      <c r="Z294" s="0" t="s">
        <v>3072</v>
      </c>
      <c r="AA294" s="0" t="s">
        <v>3457</v>
      </c>
      <c r="AC294" s="0" t="s">
        <v>3074</v>
      </c>
    </row>
    <row r="295" customFormat="false" ht="15" hidden="false" customHeight="false" outlineLevel="0" collapsed="false">
      <c r="A295" s="0" t="s">
        <v>3458</v>
      </c>
      <c r="B295" s="0" t="s">
        <v>211</v>
      </c>
      <c r="C295" s="0" t="s">
        <v>3282</v>
      </c>
      <c r="D295" s="0" t="n">
        <v>2014</v>
      </c>
      <c r="E295" s="0" t="s">
        <v>58</v>
      </c>
      <c r="F295" s="0" t="n">
        <v>-40148459</v>
      </c>
      <c r="G295" s="0" t="s">
        <v>3067</v>
      </c>
      <c r="H295" s="0" t="s">
        <v>3068</v>
      </c>
      <c r="I295" s="0" t="n">
        <v>-40148.459</v>
      </c>
      <c r="J295" s="0" t="s">
        <v>3424</v>
      </c>
      <c r="M295" s="0" t="s">
        <v>2747</v>
      </c>
      <c r="N295" s="0" t="s">
        <v>214</v>
      </c>
      <c r="Q295" s="0" t="n">
        <v>68</v>
      </c>
      <c r="R295" s="0" t="n">
        <v>68</v>
      </c>
      <c r="U295" s="0" t="s">
        <v>3450</v>
      </c>
      <c r="V295" s="0" t="s">
        <v>3450</v>
      </c>
      <c r="Y295" s="0" t="s">
        <v>3071</v>
      </c>
      <c r="Z295" s="0" t="s">
        <v>3072</v>
      </c>
      <c r="AA295" s="0" t="s">
        <v>3459</v>
      </c>
      <c r="AC295" s="0" t="s">
        <v>3074</v>
      </c>
    </row>
    <row r="296" customFormat="false" ht="15" hidden="false" customHeight="false" outlineLevel="0" collapsed="false">
      <c r="A296" s="0" t="s">
        <v>3460</v>
      </c>
      <c r="B296" s="0" t="s">
        <v>125</v>
      </c>
      <c r="C296" s="0" t="s">
        <v>3423</v>
      </c>
      <c r="D296" s="0" t="n">
        <v>2014</v>
      </c>
      <c r="E296" s="0" t="s">
        <v>3461</v>
      </c>
      <c r="F296" s="0" t="n">
        <v>407882</v>
      </c>
      <c r="G296" s="0" t="s">
        <v>3101</v>
      </c>
      <c r="H296" s="0" t="s">
        <v>3068</v>
      </c>
      <c r="I296" s="0" t="n">
        <v>407882</v>
      </c>
      <c r="J296" s="0" t="s">
        <v>3424</v>
      </c>
      <c r="M296" s="0" t="s">
        <v>2696</v>
      </c>
      <c r="N296" s="0" t="s">
        <v>126</v>
      </c>
      <c r="Q296" s="0" t="n">
        <v>218</v>
      </c>
      <c r="R296" s="0" t="n">
        <v>218</v>
      </c>
      <c r="U296" s="0" t="s">
        <v>3462</v>
      </c>
      <c r="V296" s="0" t="s">
        <v>3462</v>
      </c>
      <c r="Y296" s="0" t="s">
        <v>3071</v>
      </c>
      <c r="Z296" s="0" t="s">
        <v>3072</v>
      </c>
      <c r="AA296" s="0" t="s">
        <v>3433</v>
      </c>
      <c r="AC296" s="0" t="s">
        <v>3074</v>
      </c>
    </row>
    <row r="297" customFormat="false" ht="15" hidden="false" customHeight="false" outlineLevel="0" collapsed="false">
      <c r="A297" s="0" t="s">
        <v>3463</v>
      </c>
      <c r="B297" s="0" t="s">
        <v>125</v>
      </c>
      <c r="C297" s="0" t="s">
        <v>3423</v>
      </c>
      <c r="D297" s="0" t="n">
        <v>2014</v>
      </c>
      <c r="E297" s="0" t="s">
        <v>3464</v>
      </c>
      <c r="F297" s="0" t="n">
        <v>2585214</v>
      </c>
      <c r="G297" s="0" t="s">
        <v>3101</v>
      </c>
      <c r="H297" s="0" t="s">
        <v>3068</v>
      </c>
      <c r="I297" s="0" t="n">
        <v>2585214</v>
      </c>
      <c r="J297" s="0" t="s">
        <v>3424</v>
      </c>
      <c r="M297" s="0" t="s">
        <v>2696</v>
      </c>
      <c r="N297" s="0" t="s">
        <v>126</v>
      </c>
      <c r="Q297" s="0" t="n">
        <v>218</v>
      </c>
      <c r="R297" s="0" t="n">
        <v>218</v>
      </c>
      <c r="U297" s="0" t="s">
        <v>3462</v>
      </c>
      <c r="V297" s="0" t="s">
        <v>3462</v>
      </c>
      <c r="Y297" s="0" t="s">
        <v>3071</v>
      </c>
      <c r="Z297" s="0" t="s">
        <v>3072</v>
      </c>
      <c r="AA297" s="0" t="s">
        <v>3433</v>
      </c>
      <c r="AC297" s="0" t="s">
        <v>3074</v>
      </c>
    </row>
    <row r="298" customFormat="false" ht="15" hidden="false" customHeight="false" outlineLevel="0" collapsed="false">
      <c r="A298" s="0" t="s">
        <v>3465</v>
      </c>
      <c r="B298" s="0" t="s">
        <v>125</v>
      </c>
      <c r="C298" s="0" t="s">
        <v>3423</v>
      </c>
      <c r="D298" s="0" t="n">
        <v>2014</v>
      </c>
      <c r="E298" s="0" t="s">
        <v>3466</v>
      </c>
      <c r="F298" s="0" t="n">
        <v>15.78</v>
      </c>
      <c r="G298" s="0" t="s">
        <v>3143</v>
      </c>
      <c r="I298" s="0" t="n">
        <v>15.78</v>
      </c>
      <c r="J298" s="0" t="s">
        <v>3424</v>
      </c>
      <c r="M298" s="0" t="s">
        <v>2696</v>
      </c>
      <c r="N298" s="0" t="s">
        <v>126</v>
      </c>
      <c r="Q298" s="0" t="n">
        <v>218</v>
      </c>
      <c r="R298" s="0" t="n">
        <v>218</v>
      </c>
      <c r="U298" s="0" t="s">
        <v>3467</v>
      </c>
      <c r="V298" s="0" t="s">
        <v>3467</v>
      </c>
      <c r="Y298" s="0" t="s">
        <v>3071</v>
      </c>
      <c r="Z298" s="0" t="s">
        <v>3072</v>
      </c>
      <c r="AA298" s="0" t="s">
        <v>3468</v>
      </c>
      <c r="AC298" s="0" t="s">
        <v>3074</v>
      </c>
    </row>
    <row r="299" customFormat="false" ht="15" hidden="false" customHeight="false" outlineLevel="0" collapsed="false">
      <c r="A299" s="0" t="s">
        <v>3469</v>
      </c>
      <c r="B299" s="0" t="s">
        <v>125</v>
      </c>
      <c r="C299" s="0" t="s">
        <v>3423</v>
      </c>
      <c r="D299" s="0" t="n">
        <v>2013</v>
      </c>
      <c r="E299" s="0" t="s">
        <v>3461</v>
      </c>
      <c r="F299" s="0" t="n">
        <v>328255</v>
      </c>
      <c r="G299" s="0" t="s">
        <v>3101</v>
      </c>
      <c r="H299" s="0" t="s">
        <v>3068</v>
      </c>
      <c r="I299" s="0" t="n">
        <v>328255</v>
      </c>
      <c r="J299" s="0" t="s">
        <v>3424</v>
      </c>
      <c r="M299" s="0" t="s">
        <v>2696</v>
      </c>
      <c r="N299" s="0" t="s">
        <v>126</v>
      </c>
      <c r="Q299" s="0" t="n">
        <v>218</v>
      </c>
      <c r="R299" s="0" t="n">
        <v>218</v>
      </c>
      <c r="U299" s="0" t="s">
        <v>3462</v>
      </c>
      <c r="V299" s="0" t="s">
        <v>3462</v>
      </c>
      <c r="Y299" s="0" t="s">
        <v>3071</v>
      </c>
      <c r="Z299" s="0" t="s">
        <v>3072</v>
      </c>
      <c r="AA299" s="0" t="s">
        <v>3433</v>
      </c>
      <c r="AC299" s="0" t="s">
        <v>3074</v>
      </c>
    </row>
    <row r="300" customFormat="false" ht="15" hidden="false" customHeight="false" outlineLevel="0" collapsed="false">
      <c r="A300" s="0" t="s">
        <v>3470</v>
      </c>
      <c r="B300" s="0" t="s">
        <v>125</v>
      </c>
      <c r="C300" s="0" t="s">
        <v>3423</v>
      </c>
      <c r="D300" s="0" t="n">
        <v>2013</v>
      </c>
      <c r="E300" s="0" t="s">
        <v>3464</v>
      </c>
      <c r="F300" s="0" t="n">
        <v>2424481</v>
      </c>
      <c r="G300" s="0" t="s">
        <v>3101</v>
      </c>
      <c r="H300" s="0" t="s">
        <v>3068</v>
      </c>
      <c r="I300" s="0" t="n">
        <v>2424481</v>
      </c>
      <c r="J300" s="0" t="s">
        <v>3424</v>
      </c>
      <c r="M300" s="0" t="s">
        <v>2696</v>
      </c>
      <c r="N300" s="0" t="s">
        <v>126</v>
      </c>
      <c r="Q300" s="0" t="n">
        <v>218</v>
      </c>
      <c r="R300" s="0" t="n">
        <v>218</v>
      </c>
      <c r="U300" s="0" t="s">
        <v>3462</v>
      </c>
      <c r="V300" s="0" t="s">
        <v>3462</v>
      </c>
      <c r="Y300" s="0" t="s">
        <v>3071</v>
      </c>
      <c r="Z300" s="0" t="s">
        <v>3072</v>
      </c>
      <c r="AA300" s="0" t="s">
        <v>3433</v>
      </c>
      <c r="AC300" s="0" t="s">
        <v>3074</v>
      </c>
    </row>
    <row r="301" customFormat="false" ht="15" hidden="false" customHeight="false" outlineLevel="0" collapsed="false">
      <c r="A301" s="0" t="s">
        <v>3471</v>
      </c>
      <c r="B301" s="0" t="s">
        <v>125</v>
      </c>
      <c r="C301" s="0" t="s">
        <v>3423</v>
      </c>
      <c r="D301" s="0" t="n">
        <v>2013</v>
      </c>
      <c r="E301" s="0" t="s">
        <v>3466</v>
      </c>
      <c r="F301" s="0" t="n">
        <v>13.54</v>
      </c>
      <c r="G301" s="0" t="s">
        <v>3143</v>
      </c>
      <c r="I301" s="0" t="n">
        <v>13.54</v>
      </c>
      <c r="J301" s="0" t="s">
        <v>3424</v>
      </c>
      <c r="M301" s="0" t="s">
        <v>2696</v>
      </c>
      <c r="N301" s="0" t="s">
        <v>126</v>
      </c>
      <c r="Q301" s="0" t="n">
        <v>218</v>
      </c>
      <c r="R301" s="0" t="n">
        <v>218</v>
      </c>
      <c r="U301" s="0" t="s">
        <v>3467</v>
      </c>
      <c r="V301" s="0" t="s">
        <v>3467</v>
      </c>
      <c r="Y301" s="0" t="s">
        <v>3071</v>
      </c>
      <c r="Z301" s="0" t="s">
        <v>3072</v>
      </c>
      <c r="AA301" s="0" t="s">
        <v>3468</v>
      </c>
      <c r="AC301" s="0" t="s">
        <v>3074</v>
      </c>
    </row>
    <row r="302" customFormat="false" ht="15" hidden="false" customHeight="false" outlineLevel="0" collapsed="false">
      <c r="A302" s="0" t="s">
        <v>3472</v>
      </c>
      <c r="B302" s="0" t="s">
        <v>125</v>
      </c>
      <c r="C302" s="0" t="s">
        <v>3423</v>
      </c>
      <c r="D302" s="0" t="n">
        <v>2013</v>
      </c>
      <c r="E302" s="0" t="s">
        <v>3473</v>
      </c>
      <c r="F302" s="0" t="n">
        <v>16.76</v>
      </c>
      <c r="G302" s="0" t="s">
        <v>3143</v>
      </c>
      <c r="I302" s="0" t="n">
        <v>16.76</v>
      </c>
      <c r="J302" s="0" t="s">
        <v>3424</v>
      </c>
      <c r="M302" s="0" t="s">
        <v>2696</v>
      </c>
      <c r="N302" s="0" t="s">
        <v>126</v>
      </c>
      <c r="Q302" s="0" t="n">
        <v>218</v>
      </c>
      <c r="R302" s="0" t="n">
        <v>218</v>
      </c>
      <c r="U302" s="0" t="s">
        <v>3474</v>
      </c>
      <c r="V302" s="0" t="s">
        <v>3474</v>
      </c>
      <c r="Y302" s="0" t="s">
        <v>3071</v>
      </c>
      <c r="Z302" s="0" t="s">
        <v>3072</v>
      </c>
      <c r="AA302" s="0" t="s">
        <v>3475</v>
      </c>
      <c r="AC302" s="0" t="s">
        <v>3074</v>
      </c>
    </row>
    <row r="303" customFormat="false" ht="15" hidden="false" customHeight="false" outlineLevel="0" collapsed="false">
      <c r="A303" s="0" t="s">
        <v>3476</v>
      </c>
      <c r="B303" s="0" t="s">
        <v>222</v>
      </c>
      <c r="C303" s="0" t="s">
        <v>3477</v>
      </c>
      <c r="D303" s="0" t="n">
        <v>2014</v>
      </c>
      <c r="E303" s="0" t="s">
        <v>54</v>
      </c>
      <c r="F303" s="0" t="n">
        <v>92479</v>
      </c>
      <c r="G303" s="0" t="s">
        <v>3101</v>
      </c>
      <c r="H303" s="0" t="s">
        <v>3068</v>
      </c>
      <c r="I303" s="0" t="n">
        <v>92479</v>
      </c>
      <c r="J303" s="0" t="s">
        <v>3424</v>
      </c>
      <c r="M303" s="0" t="s">
        <v>2757</v>
      </c>
      <c r="N303" s="0" t="s">
        <v>224</v>
      </c>
      <c r="Q303" s="0" t="n">
        <v>24</v>
      </c>
      <c r="R303" s="0" t="n">
        <v>23</v>
      </c>
      <c r="U303" s="0" t="s">
        <v>3462</v>
      </c>
      <c r="V303" s="0" t="s">
        <v>3462</v>
      </c>
      <c r="Y303" s="0" t="s">
        <v>3071</v>
      </c>
      <c r="Z303" s="0" t="s">
        <v>3072</v>
      </c>
      <c r="AA303" s="0" t="s">
        <v>3433</v>
      </c>
      <c r="AC303" s="0" t="s">
        <v>3074</v>
      </c>
    </row>
    <row r="304" customFormat="false" ht="15" hidden="false" customHeight="false" outlineLevel="0" collapsed="false">
      <c r="A304" s="0" t="s">
        <v>3478</v>
      </c>
      <c r="B304" s="0" t="s">
        <v>222</v>
      </c>
      <c r="C304" s="0" t="s">
        <v>3477</v>
      </c>
      <c r="D304" s="0" t="n">
        <v>2014</v>
      </c>
      <c r="E304" s="0" t="s">
        <v>1327</v>
      </c>
      <c r="F304" s="0" t="n">
        <v>372015</v>
      </c>
      <c r="G304" s="0" t="s">
        <v>3101</v>
      </c>
      <c r="H304" s="0" t="s">
        <v>3068</v>
      </c>
      <c r="I304" s="0" t="n">
        <v>372015</v>
      </c>
      <c r="J304" s="0" t="s">
        <v>3424</v>
      </c>
      <c r="M304" s="0" t="s">
        <v>2757</v>
      </c>
      <c r="N304" s="0" t="s">
        <v>224</v>
      </c>
      <c r="Q304" s="0" t="n">
        <v>24</v>
      </c>
      <c r="R304" s="0" t="n">
        <v>23</v>
      </c>
      <c r="U304" s="0" t="s">
        <v>3462</v>
      </c>
      <c r="V304" s="0" t="s">
        <v>3462</v>
      </c>
      <c r="Y304" s="0" t="s">
        <v>3071</v>
      </c>
      <c r="Z304" s="0" t="s">
        <v>3072</v>
      </c>
      <c r="AA304" s="0" t="s">
        <v>3433</v>
      </c>
      <c r="AC304" s="0" t="s">
        <v>3074</v>
      </c>
    </row>
    <row r="305" customFormat="false" ht="15" hidden="false" customHeight="false" outlineLevel="0" collapsed="false">
      <c r="A305" s="0" t="s">
        <v>3479</v>
      </c>
      <c r="B305" s="0" t="s">
        <v>222</v>
      </c>
      <c r="C305" s="0" t="s">
        <v>3477</v>
      </c>
      <c r="D305" s="0" t="n">
        <v>2014</v>
      </c>
      <c r="E305" s="0" t="s">
        <v>63</v>
      </c>
      <c r="F305" s="0" t="n">
        <v>12392</v>
      </c>
      <c r="G305" s="0" t="s">
        <v>3101</v>
      </c>
      <c r="H305" s="0" t="s">
        <v>3068</v>
      </c>
      <c r="I305" s="0" t="n">
        <v>12392</v>
      </c>
      <c r="J305" s="0" t="s">
        <v>3424</v>
      </c>
      <c r="M305" s="0" t="s">
        <v>2757</v>
      </c>
      <c r="N305" s="0" t="s">
        <v>224</v>
      </c>
      <c r="Q305" s="0" t="n">
        <v>24</v>
      </c>
      <c r="R305" s="0" t="n">
        <v>23</v>
      </c>
      <c r="U305" s="0" t="s">
        <v>3462</v>
      </c>
      <c r="V305" s="0" t="s">
        <v>3462</v>
      </c>
      <c r="Y305" s="0" t="s">
        <v>3071</v>
      </c>
      <c r="Z305" s="0" t="s">
        <v>3072</v>
      </c>
      <c r="AA305" s="0" t="s">
        <v>3480</v>
      </c>
      <c r="AC305" s="0" t="s">
        <v>3074</v>
      </c>
    </row>
    <row r="306" customFormat="false" ht="15" hidden="false" customHeight="false" outlineLevel="0" collapsed="false">
      <c r="A306" s="0" t="s">
        <v>3481</v>
      </c>
      <c r="B306" s="0" t="s">
        <v>222</v>
      </c>
      <c r="C306" s="0" t="s">
        <v>3477</v>
      </c>
      <c r="D306" s="0" t="n">
        <v>2014</v>
      </c>
      <c r="E306" s="0" t="s">
        <v>55</v>
      </c>
      <c r="F306" s="0" t="n">
        <v>3423819</v>
      </c>
      <c r="G306" s="0" t="s">
        <v>3101</v>
      </c>
      <c r="H306" s="0" t="s">
        <v>3068</v>
      </c>
      <c r="I306" s="0" t="n">
        <v>3423819</v>
      </c>
      <c r="J306" s="0" t="s">
        <v>3424</v>
      </c>
      <c r="M306" s="0" t="s">
        <v>2757</v>
      </c>
      <c r="N306" s="0" t="s">
        <v>224</v>
      </c>
      <c r="Q306" s="0" t="n">
        <v>25</v>
      </c>
      <c r="R306" s="0" t="n">
        <v>24</v>
      </c>
      <c r="U306" s="0" t="s">
        <v>3462</v>
      </c>
      <c r="V306" s="0" t="s">
        <v>3462</v>
      </c>
      <c r="Y306" s="0" t="s">
        <v>3071</v>
      </c>
      <c r="Z306" s="0" t="s">
        <v>3072</v>
      </c>
      <c r="AA306" s="0" t="s">
        <v>3433</v>
      </c>
      <c r="AC306" s="0" t="s">
        <v>3074</v>
      </c>
    </row>
    <row r="307" customFormat="false" ht="15" hidden="false" customHeight="false" outlineLevel="0" collapsed="false">
      <c r="A307" s="0" t="s">
        <v>3482</v>
      </c>
      <c r="B307" s="0" t="s">
        <v>222</v>
      </c>
      <c r="C307" s="0" t="s">
        <v>3477</v>
      </c>
      <c r="D307" s="0" t="n">
        <v>2014</v>
      </c>
      <c r="E307" s="0" t="s">
        <v>56</v>
      </c>
      <c r="F307" s="0" t="n">
        <v>2911112</v>
      </c>
      <c r="G307" s="0" t="s">
        <v>3101</v>
      </c>
      <c r="H307" s="0" t="s">
        <v>3068</v>
      </c>
      <c r="I307" s="0" t="n">
        <v>2911112</v>
      </c>
      <c r="J307" s="0" t="s">
        <v>3424</v>
      </c>
      <c r="M307" s="0" t="s">
        <v>2757</v>
      </c>
      <c r="N307" s="0" t="s">
        <v>224</v>
      </c>
      <c r="Q307" s="0" t="n">
        <v>25</v>
      </c>
      <c r="R307" s="0" t="n">
        <v>24</v>
      </c>
      <c r="U307" s="0" t="s">
        <v>3462</v>
      </c>
      <c r="V307" s="0" t="s">
        <v>3462</v>
      </c>
      <c r="Y307" s="0" t="s">
        <v>3071</v>
      </c>
      <c r="Z307" s="0" t="s">
        <v>3072</v>
      </c>
      <c r="AA307" s="0" t="s">
        <v>3433</v>
      </c>
      <c r="AC307" s="0" t="s">
        <v>3074</v>
      </c>
    </row>
    <row r="308" customFormat="false" ht="15" hidden="false" customHeight="false" outlineLevel="0" collapsed="false">
      <c r="A308" s="0" t="s">
        <v>3483</v>
      </c>
      <c r="B308" s="0" t="s">
        <v>222</v>
      </c>
      <c r="C308" s="0" t="s">
        <v>3477</v>
      </c>
      <c r="D308" s="0" t="n">
        <v>2014</v>
      </c>
      <c r="E308" s="0" t="s">
        <v>57</v>
      </c>
      <c r="F308" s="0" t="n">
        <v>512707</v>
      </c>
      <c r="G308" s="0" t="s">
        <v>3101</v>
      </c>
      <c r="H308" s="0" t="s">
        <v>3068</v>
      </c>
      <c r="I308" s="0" t="n">
        <v>512707</v>
      </c>
      <c r="J308" s="0" t="s">
        <v>3424</v>
      </c>
      <c r="M308" s="0" t="s">
        <v>2757</v>
      </c>
      <c r="N308" s="0" t="s">
        <v>224</v>
      </c>
      <c r="Q308" s="0" t="n">
        <v>25</v>
      </c>
      <c r="R308" s="0" t="n">
        <v>24</v>
      </c>
      <c r="U308" s="0" t="s">
        <v>3462</v>
      </c>
      <c r="V308" s="0" t="s">
        <v>3462</v>
      </c>
      <c r="Y308" s="0" t="s">
        <v>3071</v>
      </c>
      <c r="Z308" s="0" t="s">
        <v>3072</v>
      </c>
      <c r="AA308" s="0" t="s">
        <v>3433</v>
      </c>
      <c r="AC308" s="0" t="s">
        <v>3074</v>
      </c>
    </row>
    <row r="309" customFormat="false" ht="15" hidden="false" customHeight="false" outlineLevel="0" collapsed="false">
      <c r="A309" s="0" t="s">
        <v>3484</v>
      </c>
      <c r="B309" s="0" t="s">
        <v>222</v>
      </c>
      <c r="C309" s="0" t="s">
        <v>3477</v>
      </c>
      <c r="D309" s="0" t="n">
        <v>2014</v>
      </c>
      <c r="E309" s="0" t="s">
        <v>62</v>
      </c>
      <c r="F309" s="0" t="n">
        <v>1580250</v>
      </c>
      <c r="G309" s="0" t="s">
        <v>3101</v>
      </c>
      <c r="H309" s="0" t="s">
        <v>3068</v>
      </c>
      <c r="I309" s="0" t="n">
        <v>1580250</v>
      </c>
      <c r="J309" s="0" t="s">
        <v>3424</v>
      </c>
      <c r="M309" s="0" t="s">
        <v>2757</v>
      </c>
      <c r="N309" s="0" t="s">
        <v>224</v>
      </c>
      <c r="Q309" s="0" t="n">
        <v>25</v>
      </c>
      <c r="R309" s="0" t="n">
        <v>24</v>
      </c>
      <c r="U309" s="0" t="s">
        <v>3462</v>
      </c>
      <c r="V309" s="0" t="s">
        <v>3462</v>
      </c>
      <c r="Y309" s="0" t="s">
        <v>3071</v>
      </c>
      <c r="Z309" s="0" t="s">
        <v>3072</v>
      </c>
      <c r="AA309" s="0" t="s">
        <v>3433</v>
      </c>
      <c r="AC309" s="0" t="s">
        <v>3074</v>
      </c>
    </row>
    <row r="310" customFormat="false" ht="15" hidden="false" customHeight="false" outlineLevel="0" collapsed="false">
      <c r="A310" s="0" t="s">
        <v>3485</v>
      </c>
      <c r="B310" s="0" t="s">
        <v>222</v>
      </c>
      <c r="C310" s="0" t="s">
        <v>3477</v>
      </c>
      <c r="D310" s="0" t="n">
        <v>2014</v>
      </c>
      <c r="E310" s="0" t="s">
        <v>3066</v>
      </c>
      <c r="F310" s="0" t="n">
        <v>2265262</v>
      </c>
      <c r="G310" s="0" t="s">
        <v>3101</v>
      </c>
      <c r="H310" s="0" t="s">
        <v>3068</v>
      </c>
      <c r="I310" s="0" t="n">
        <v>2265262</v>
      </c>
      <c r="J310" s="0" t="s">
        <v>3424</v>
      </c>
      <c r="M310" s="0" t="s">
        <v>2757</v>
      </c>
      <c r="N310" s="0" t="s">
        <v>224</v>
      </c>
      <c r="Q310" s="0" t="n">
        <v>25</v>
      </c>
      <c r="R310" s="0" t="n">
        <v>24</v>
      </c>
      <c r="U310" s="0" t="s">
        <v>3462</v>
      </c>
      <c r="V310" s="0" t="s">
        <v>3462</v>
      </c>
      <c r="Y310" s="0" t="s">
        <v>3071</v>
      </c>
      <c r="Z310" s="0" t="s">
        <v>3072</v>
      </c>
      <c r="AA310" s="0" t="s">
        <v>3433</v>
      </c>
      <c r="AC310" s="0" t="s">
        <v>3074</v>
      </c>
    </row>
    <row r="311" customFormat="false" ht="15" hidden="false" customHeight="false" outlineLevel="0" collapsed="false">
      <c r="A311" s="0" t="s">
        <v>3486</v>
      </c>
      <c r="B311" s="0" t="s">
        <v>222</v>
      </c>
      <c r="C311" s="0" t="s">
        <v>3477</v>
      </c>
      <c r="D311" s="0" t="n">
        <v>2014</v>
      </c>
      <c r="E311" s="0" t="s">
        <v>58</v>
      </c>
      <c r="F311" s="0" t="n">
        <v>-145986</v>
      </c>
      <c r="G311" s="0" t="s">
        <v>3101</v>
      </c>
      <c r="H311" s="0" t="s">
        <v>3068</v>
      </c>
      <c r="I311" s="0" t="n">
        <v>-145986</v>
      </c>
      <c r="J311" s="0" t="s">
        <v>3424</v>
      </c>
      <c r="M311" s="0" t="s">
        <v>2757</v>
      </c>
      <c r="N311" s="0" t="s">
        <v>224</v>
      </c>
      <c r="Q311" s="0" t="n">
        <v>28</v>
      </c>
      <c r="R311" s="0" t="n">
        <v>27</v>
      </c>
      <c r="U311" s="0" t="s">
        <v>3462</v>
      </c>
      <c r="V311" s="0" t="s">
        <v>3462</v>
      </c>
      <c r="Y311" s="0" t="s">
        <v>3071</v>
      </c>
      <c r="Z311" s="0" t="s">
        <v>3072</v>
      </c>
      <c r="AA311" s="0" t="s">
        <v>3433</v>
      </c>
      <c r="AC311" s="0" t="s">
        <v>3074</v>
      </c>
    </row>
    <row r="312" customFormat="false" ht="15" hidden="false" customHeight="false" outlineLevel="0" collapsed="false">
      <c r="A312" s="0" t="s">
        <v>3487</v>
      </c>
      <c r="B312" s="0" t="s">
        <v>222</v>
      </c>
      <c r="C312" s="0" t="s">
        <v>3477</v>
      </c>
      <c r="D312" s="0" t="n">
        <v>2014</v>
      </c>
      <c r="E312" s="0" t="s">
        <v>60</v>
      </c>
      <c r="F312" s="0" t="n">
        <v>1605581</v>
      </c>
      <c r="G312" s="0" t="s">
        <v>3101</v>
      </c>
      <c r="H312" s="0" t="s">
        <v>3068</v>
      </c>
      <c r="I312" s="0" t="n">
        <v>1605581</v>
      </c>
      <c r="J312" s="0" t="s">
        <v>3424</v>
      </c>
      <c r="M312" s="0" t="s">
        <v>2757</v>
      </c>
      <c r="N312" s="0" t="s">
        <v>224</v>
      </c>
      <c r="Q312" s="0" t="n">
        <v>104</v>
      </c>
      <c r="R312" s="0" t="n">
        <v>103</v>
      </c>
      <c r="U312" s="0" t="s">
        <v>3462</v>
      </c>
      <c r="V312" s="0" t="s">
        <v>3462</v>
      </c>
      <c r="Y312" s="0" t="s">
        <v>3071</v>
      </c>
      <c r="Z312" s="0" t="s">
        <v>3072</v>
      </c>
      <c r="AA312" s="0" t="s">
        <v>3488</v>
      </c>
      <c r="AC312" s="0" t="s">
        <v>3074</v>
      </c>
    </row>
    <row r="313" customFormat="false" ht="15" hidden="false" customHeight="false" outlineLevel="0" collapsed="false">
      <c r="A313" s="0" t="s">
        <v>3489</v>
      </c>
      <c r="B313" s="0" t="s">
        <v>222</v>
      </c>
      <c r="C313" s="0" t="s">
        <v>3477</v>
      </c>
      <c r="D313" s="0" t="n">
        <v>2014</v>
      </c>
      <c r="E313" s="0" t="s">
        <v>61</v>
      </c>
      <c r="F313" s="0" t="n">
        <v>25331</v>
      </c>
      <c r="G313" s="0" t="s">
        <v>3101</v>
      </c>
      <c r="H313" s="0" t="s">
        <v>3068</v>
      </c>
      <c r="I313" s="0" t="n">
        <v>25331</v>
      </c>
      <c r="J313" s="0" t="s">
        <v>3424</v>
      </c>
      <c r="M313" s="0" t="s">
        <v>2757</v>
      </c>
      <c r="N313" s="0" t="s">
        <v>224</v>
      </c>
      <c r="Q313" s="0" t="n">
        <v>104</v>
      </c>
      <c r="R313" s="0" t="n">
        <v>103</v>
      </c>
      <c r="U313" s="0" t="s">
        <v>3462</v>
      </c>
      <c r="V313" s="0" t="s">
        <v>3462</v>
      </c>
      <c r="Y313" s="0" t="s">
        <v>3071</v>
      </c>
      <c r="Z313" s="0" t="s">
        <v>3072</v>
      </c>
      <c r="AA313" s="0" t="s">
        <v>3433</v>
      </c>
      <c r="AC313" s="0" t="s">
        <v>3074</v>
      </c>
    </row>
    <row r="314" customFormat="false" ht="15" hidden="false" customHeight="false" outlineLevel="0" collapsed="false">
      <c r="A314" s="0" t="s">
        <v>3490</v>
      </c>
      <c r="B314" s="0" t="s">
        <v>222</v>
      </c>
      <c r="C314" s="0" t="s">
        <v>3477</v>
      </c>
      <c r="D314" s="0" t="n">
        <v>2014</v>
      </c>
      <c r="E314" s="0" t="s">
        <v>543</v>
      </c>
      <c r="F314" s="0" t="n">
        <v>7480</v>
      </c>
      <c r="G314" s="0" t="s">
        <v>3101</v>
      </c>
      <c r="H314" s="0" t="s">
        <v>3068</v>
      </c>
      <c r="I314" s="0" t="n">
        <v>7480</v>
      </c>
      <c r="J314" s="0" t="s">
        <v>3424</v>
      </c>
      <c r="M314" s="0" t="s">
        <v>2757</v>
      </c>
      <c r="N314" s="0" t="s">
        <v>224</v>
      </c>
      <c r="Q314" s="0" t="n">
        <v>104</v>
      </c>
      <c r="R314" s="0" t="n">
        <v>103</v>
      </c>
      <c r="U314" s="0" t="s">
        <v>3462</v>
      </c>
      <c r="V314" s="0" t="s">
        <v>3462</v>
      </c>
      <c r="Y314" s="0" t="s">
        <v>3071</v>
      </c>
      <c r="Z314" s="0" t="s">
        <v>3072</v>
      </c>
      <c r="AA314" s="0" t="s">
        <v>3433</v>
      </c>
      <c r="AC314" s="0" t="s">
        <v>3074</v>
      </c>
    </row>
    <row r="315" customFormat="false" ht="15" hidden="false" customHeight="false" outlineLevel="0" collapsed="false">
      <c r="A315" s="0" t="s">
        <v>3491</v>
      </c>
      <c r="B315" s="0" t="s">
        <v>222</v>
      </c>
      <c r="C315" s="0" t="s">
        <v>3477</v>
      </c>
      <c r="D315" s="0" t="n">
        <v>2014</v>
      </c>
      <c r="E315" s="0" t="s">
        <v>545</v>
      </c>
      <c r="F315" s="0" t="n">
        <v>17851</v>
      </c>
      <c r="G315" s="0" t="s">
        <v>3101</v>
      </c>
      <c r="H315" s="0" t="s">
        <v>3068</v>
      </c>
      <c r="I315" s="0" t="n">
        <v>17851</v>
      </c>
      <c r="J315" s="0" t="s">
        <v>3424</v>
      </c>
      <c r="M315" s="0" t="s">
        <v>2757</v>
      </c>
      <c r="N315" s="0" t="s">
        <v>224</v>
      </c>
      <c r="Q315" s="0" t="n">
        <v>104</v>
      </c>
      <c r="R315" s="0" t="n">
        <v>103</v>
      </c>
      <c r="U315" s="0" t="s">
        <v>3462</v>
      </c>
      <c r="V315" s="0" t="s">
        <v>3462</v>
      </c>
      <c r="Y315" s="0" t="s">
        <v>3071</v>
      </c>
      <c r="Z315" s="0" t="s">
        <v>3072</v>
      </c>
      <c r="AA315" s="0" t="s">
        <v>3433</v>
      </c>
      <c r="AC315" s="0" t="s">
        <v>3074</v>
      </c>
    </row>
    <row r="316" customFormat="false" ht="15" hidden="false" customHeight="false" outlineLevel="0" collapsed="false">
      <c r="A316" s="0" t="s">
        <v>3492</v>
      </c>
      <c r="B316" s="0" t="s">
        <v>222</v>
      </c>
      <c r="C316" s="0" t="s">
        <v>3477</v>
      </c>
      <c r="D316" s="0" t="n">
        <v>2014</v>
      </c>
      <c r="E316" s="0" t="s">
        <v>64</v>
      </c>
      <c r="F316" s="0" t="n">
        <v>26407</v>
      </c>
      <c r="G316" s="0" t="s">
        <v>3101</v>
      </c>
      <c r="H316" s="0" t="s">
        <v>3068</v>
      </c>
      <c r="I316" s="0" t="n">
        <v>26407</v>
      </c>
      <c r="J316" s="0" t="s">
        <v>3424</v>
      </c>
      <c r="M316" s="0" t="s">
        <v>2757</v>
      </c>
      <c r="N316" s="0" t="s">
        <v>224</v>
      </c>
      <c r="Q316" s="0" t="n">
        <v>57</v>
      </c>
      <c r="R316" s="0" t="n">
        <v>56</v>
      </c>
      <c r="U316" s="0" t="s">
        <v>3462</v>
      </c>
      <c r="V316" s="0" t="s">
        <v>3462</v>
      </c>
      <c r="Y316" s="0" t="s">
        <v>3071</v>
      </c>
      <c r="Z316" s="0" t="s">
        <v>3072</v>
      </c>
      <c r="AA316" s="0" t="s">
        <v>3433</v>
      </c>
      <c r="AC316" s="0" t="s">
        <v>3074</v>
      </c>
    </row>
    <row r="317" customFormat="false" ht="15" hidden="false" customHeight="false" outlineLevel="0" collapsed="false">
      <c r="A317" s="0" t="s">
        <v>3493</v>
      </c>
      <c r="B317" s="0" t="s">
        <v>222</v>
      </c>
      <c r="C317" s="0" t="s">
        <v>3477</v>
      </c>
      <c r="D317" s="0" t="n">
        <v>2014</v>
      </c>
      <c r="E317" s="0" t="s">
        <v>69</v>
      </c>
      <c r="F317" s="0" t="n">
        <v>19</v>
      </c>
      <c r="G317" s="0" t="s">
        <v>3143</v>
      </c>
      <c r="I317" s="0" t="n">
        <v>19</v>
      </c>
      <c r="J317" s="0" t="s">
        <v>3424</v>
      </c>
      <c r="M317" s="0" t="s">
        <v>2757</v>
      </c>
      <c r="N317" s="0" t="s">
        <v>224</v>
      </c>
      <c r="Q317" s="0" t="n">
        <v>84</v>
      </c>
      <c r="R317" s="0" t="n">
        <v>83</v>
      </c>
      <c r="U317" s="0" t="s">
        <v>3462</v>
      </c>
      <c r="V317" s="0" t="s">
        <v>3462</v>
      </c>
      <c r="Y317" s="0" t="s">
        <v>3071</v>
      </c>
      <c r="Z317" s="0" t="s">
        <v>3072</v>
      </c>
      <c r="AA317" s="0" t="s">
        <v>3494</v>
      </c>
      <c r="AC317" s="0" t="s">
        <v>3074</v>
      </c>
    </row>
    <row r="318" customFormat="false" ht="15" hidden="false" customHeight="false" outlineLevel="0" collapsed="false">
      <c r="A318" s="0" t="s">
        <v>3495</v>
      </c>
      <c r="B318" s="0" t="s">
        <v>222</v>
      </c>
      <c r="C318" s="0" t="s">
        <v>3477</v>
      </c>
      <c r="D318" s="0" t="n">
        <v>2014</v>
      </c>
      <c r="E318" s="0" t="s">
        <v>65</v>
      </c>
      <c r="F318" s="0" t="n">
        <v>463128</v>
      </c>
      <c r="G318" s="0" t="s">
        <v>3101</v>
      </c>
      <c r="H318" s="0" t="s">
        <v>3068</v>
      </c>
      <c r="I318" s="0" t="n">
        <v>463128</v>
      </c>
      <c r="J318" s="0" t="s">
        <v>3424</v>
      </c>
      <c r="M318" s="0" t="s">
        <v>2757</v>
      </c>
      <c r="N318" s="0" t="s">
        <v>224</v>
      </c>
      <c r="Q318" s="0" t="n">
        <v>84</v>
      </c>
      <c r="R318" s="0" t="n">
        <v>83</v>
      </c>
      <c r="U318" s="0" t="s">
        <v>3462</v>
      </c>
      <c r="V318" s="0" t="s">
        <v>3462</v>
      </c>
      <c r="Y318" s="0" t="s">
        <v>3071</v>
      </c>
      <c r="Z318" s="0" t="s">
        <v>3072</v>
      </c>
      <c r="AA318" s="0" t="s">
        <v>3433</v>
      </c>
      <c r="AC318" s="0" t="s">
        <v>3074</v>
      </c>
    </row>
    <row r="319" customFormat="false" ht="15" hidden="false" customHeight="false" outlineLevel="0" collapsed="false">
      <c r="A319" s="0" t="s">
        <v>3496</v>
      </c>
      <c r="B319" s="0" t="s">
        <v>222</v>
      </c>
      <c r="C319" s="0" t="s">
        <v>3477</v>
      </c>
      <c r="D319" s="0" t="n">
        <v>2014</v>
      </c>
      <c r="E319" s="0" t="s">
        <v>66</v>
      </c>
      <c r="F319" s="0" t="n">
        <v>2433162</v>
      </c>
      <c r="G319" s="0" t="s">
        <v>3101</v>
      </c>
      <c r="H319" s="0" t="s">
        <v>3068</v>
      </c>
      <c r="I319" s="0" t="n">
        <v>2433162</v>
      </c>
      <c r="J319" s="0" t="s">
        <v>3424</v>
      </c>
      <c r="M319" s="0" t="s">
        <v>2757</v>
      </c>
      <c r="N319" s="0" t="s">
        <v>224</v>
      </c>
      <c r="Q319" s="0" t="n">
        <v>84</v>
      </c>
      <c r="R319" s="0" t="n">
        <v>83</v>
      </c>
      <c r="U319" s="0" t="s">
        <v>3462</v>
      </c>
      <c r="V319" s="0" t="s">
        <v>3462</v>
      </c>
      <c r="Y319" s="0" t="s">
        <v>3071</v>
      </c>
      <c r="Z319" s="0" t="s">
        <v>3072</v>
      </c>
      <c r="AA319" s="0" t="s">
        <v>3433</v>
      </c>
      <c r="AC319" s="0" t="s">
        <v>3074</v>
      </c>
    </row>
    <row r="320" customFormat="false" ht="15" hidden="false" customHeight="false" outlineLevel="0" collapsed="false">
      <c r="A320" s="0" t="s">
        <v>3497</v>
      </c>
      <c r="B320" s="0" t="s">
        <v>222</v>
      </c>
      <c r="C320" s="0" t="s">
        <v>3477</v>
      </c>
      <c r="D320" s="0" t="n">
        <v>2015</v>
      </c>
      <c r="E320" s="0" t="s">
        <v>54</v>
      </c>
      <c r="F320" s="0" t="n">
        <v>98784</v>
      </c>
      <c r="G320" s="0" t="s">
        <v>3101</v>
      </c>
      <c r="H320" s="0" t="s">
        <v>3068</v>
      </c>
      <c r="I320" s="0" t="n">
        <v>98784</v>
      </c>
      <c r="J320" s="0" t="s">
        <v>3424</v>
      </c>
      <c r="M320" s="0" t="s">
        <v>2757</v>
      </c>
      <c r="N320" s="0" t="s">
        <v>224</v>
      </c>
      <c r="Q320" s="0" t="n">
        <v>24</v>
      </c>
      <c r="R320" s="0" t="n">
        <v>23</v>
      </c>
      <c r="U320" s="0" t="s">
        <v>3462</v>
      </c>
      <c r="V320" s="0" t="s">
        <v>3462</v>
      </c>
      <c r="Y320" s="0" t="s">
        <v>3071</v>
      </c>
      <c r="Z320" s="0" t="s">
        <v>3072</v>
      </c>
      <c r="AA320" s="0" t="s">
        <v>3433</v>
      </c>
      <c r="AC320" s="0" t="s">
        <v>3074</v>
      </c>
    </row>
    <row r="321" customFormat="false" ht="15" hidden="false" customHeight="false" outlineLevel="0" collapsed="false">
      <c r="A321" s="0" t="s">
        <v>3498</v>
      </c>
      <c r="B321" s="0" t="s">
        <v>222</v>
      </c>
      <c r="C321" s="0" t="s">
        <v>3477</v>
      </c>
      <c r="D321" s="0" t="n">
        <v>2015</v>
      </c>
      <c r="E321" s="0" t="s">
        <v>1327</v>
      </c>
      <c r="F321" s="0" t="n">
        <v>396653</v>
      </c>
      <c r="G321" s="0" t="s">
        <v>3101</v>
      </c>
      <c r="H321" s="0" t="s">
        <v>3068</v>
      </c>
      <c r="I321" s="0" t="n">
        <v>396653</v>
      </c>
      <c r="J321" s="0" t="s">
        <v>3424</v>
      </c>
      <c r="M321" s="0" t="s">
        <v>2757</v>
      </c>
      <c r="N321" s="0" t="s">
        <v>224</v>
      </c>
      <c r="Q321" s="0" t="n">
        <v>24</v>
      </c>
      <c r="R321" s="0" t="n">
        <v>23</v>
      </c>
      <c r="U321" s="0" t="s">
        <v>3462</v>
      </c>
      <c r="V321" s="0" t="s">
        <v>3462</v>
      </c>
      <c r="Y321" s="0" t="s">
        <v>3071</v>
      </c>
      <c r="Z321" s="0" t="s">
        <v>3072</v>
      </c>
      <c r="AA321" s="0" t="s">
        <v>3433</v>
      </c>
      <c r="AC321" s="0" t="s">
        <v>3074</v>
      </c>
    </row>
    <row r="322" customFormat="false" ht="15" hidden="false" customHeight="false" outlineLevel="0" collapsed="false">
      <c r="A322" s="0" t="s">
        <v>3499</v>
      </c>
      <c r="B322" s="0" t="s">
        <v>222</v>
      </c>
      <c r="C322" s="0" t="s">
        <v>3477</v>
      </c>
      <c r="D322" s="0" t="n">
        <v>2015</v>
      </c>
      <c r="E322" s="0" t="s">
        <v>63</v>
      </c>
      <c r="F322" s="0" t="n">
        <v>11091</v>
      </c>
      <c r="G322" s="0" t="s">
        <v>3101</v>
      </c>
      <c r="H322" s="0" t="s">
        <v>3068</v>
      </c>
      <c r="I322" s="0" t="n">
        <v>11091</v>
      </c>
      <c r="J322" s="0" t="s">
        <v>3424</v>
      </c>
      <c r="M322" s="0" t="s">
        <v>2757</v>
      </c>
      <c r="N322" s="0" t="s">
        <v>224</v>
      </c>
      <c r="Q322" s="0" t="n">
        <v>24</v>
      </c>
      <c r="R322" s="0" t="n">
        <v>23</v>
      </c>
      <c r="U322" s="0" t="s">
        <v>3462</v>
      </c>
      <c r="V322" s="0" t="s">
        <v>3462</v>
      </c>
      <c r="Y322" s="0" t="s">
        <v>3071</v>
      </c>
      <c r="Z322" s="0" t="s">
        <v>3072</v>
      </c>
      <c r="AA322" s="0" t="s">
        <v>3480</v>
      </c>
      <c r="AC322" s="0" t="s">
        <v>3074</v>
      </c>
    </row>
    <row r="323" customFormat="false" ht="15" hidden="false" customHeight="false" outlineLevel="0" collapsed="false">
      <c r="A323" s="0" t="s">
        <v>3500</v>
      </c>
      <c r="B323" s="0" t="s">
        <v>222</v>
      </c>
      <c r="C323" s="0" t="s">
        <v>3477</v>
      </c>
      <c r="D323" s="0" t="n">
        <v>2015</v>
      </c>
      <c r="E323" s="0" t="s">
        <v>55</v>
      </c>
      <c r="F323" s="0" t="n">
        <v>3750327</v>
      </c>
      <c r="G323" s="0" t="s">
        <v>3101</v>
      </c>
      <c r="H323" s="0" t="s">
        <v>3068</v>
      </c>
      <c r="I323" s="0" t="n">
        <v>3750327</v>
      </c>
      <c r="J323" s="0" t="s">
        <v>3424</v>
      </c>
      <c r="M323" s="0" t="s">
        <v>2757</v>
      </c>
      <c r="N323" s="0" t="s">
        <v>224</v>
      </c>
      <c r="Q323" s="0" t="n">
        <v>25</v>
      </c>
      <c r="R323" s="0" t="n">
        <v>24</v>
      </c>
      <c r="U323" s="0" t="s">
        <v>3462</v>
      </c>
      <c r="V323" s="0" t="s">
        <v>3462</v>
      </c>
      <c r="Y323" s="0" t="s">
        <v>3071</v>
      </c>
      <c r="Z323" s="0" t="s">
        <v>3072</v>
      </c>
      <c r="AA323" s="0" t="s">
        <v>3433</v>
      </c>
      <c r="AC323" s="0" t="s">
        <v>3074</v>
      </c>
    </row>
    <row r="324" customFormat="false" ht="15" hidden="false" customHeight="false" outlineLevel="0" collapsed="false">
      <c r="A324" s="0" t="s">
        <v>3501</v>
      </c>
      <c r="B324" s="0" t="s">
        <v>222</v>
      </c>
      <c r="C324" s="0" t="s">
        <v>3477</v>
      </c>
      <c r="D324" s="0" t="n">
        <v>2015</v>
      </c>
      <c r="E324" s="0" t="s">
        <v>56</v>
      </c>
      <c r="F324" s="0" t="n">
        <v>3203381</v>
      </c>
      <c r="G324" s="0" t="s">
        <v>3101</v>
      </c>
      <c r="H324" s="0" t="s">
        <v>3068</v>
      </c>
      <c r="I324" s="0" t="n">
        <v>3203381</v>
      </c>
      <c r="J324" s="0" t="s">
        <v>3424</v>
      </c>
      <c r="M324" s="0" t="s">
        <v>2757</v>
      </c>
      <c r="N324" s="0" t="s">
        <v>224</v>
      </c>
      <c r="Q324" s="0" t="n">
        <v>25</v>
      </c>
      <c r="R324" s="0" t="n">
        <v>24</v>
      </c>
      <c r="U324" s="0" t="s">
        <v>3462</v>
      </c>
      <c r="V324" s="0" t="s">
        <v>3462</v>
      </c>
      <c r="Y324" s="0" t="s">
        <v>3071</v>
      </c>
      <c r="Z324" s="0" t="s">
        <v>3072</v>
      </c>
      <c r="AA324" s="0" t="s">
        <v>3433</v>
      </c>
      <c r="AC324" s="0" t="s">
        <v>3074</v>
      </c>
    </row>
    <row r="325" customFormat="false" ht="15" hidden="false" customHeight="false" outlineLevel="0" collapsed="false">
      <c r="A325" s="0" t="s">
        <v>3502</v>
      </c>
      <c r="B325" s="0" t="s">
        <v>222</v>
      </c>
      <c r="C325" s="0" t="s">
        <v>3477</v>
      </c>
      <c r="D325" s="0" t="n">
        <v>2015</v>
      </c>
      <c r="E325" s="0" t="s">
        <v>57</v>
      </c>
      <c r="F325" s="0" t="n">
        <v>546946</v>
      </c>
      <c r="G325" s="0" t="s">
        <v>3101</v>
      </c>
      <c r="H325" s="0" t="s">
        <v>3068</v>
      </c>
      <c r="I325" s="0" t="n">
        <v>546946</v>
      </c>
      <c r="J325" s="0" t="s">
        <v>3424</v>
      </c>
      <c r="M325" s="0" t="s">
        <v>2757</v>
      </c>
      <c r="N325" s="0" t="s">
        <v>224</v>
      </c>
      <c r="Q325" s="0" t="n">
        <v>25</v>
      </c>
      <c r="R325" s="0" t="n">
        <v>24</v>
      </c>
      <c r="U325" s="0" t="s">
        <v>3462</v>
      </c>
      <c r="V325" s="0" t="s">
        <v>3462</v>
      </c>
      <c r="Y325" s="0" t="s">
        <v>3071</v>
      </c>
      <c r="Z325" s="0" t="s">
        <v>3072</v>
      </c>
      <c r="AA325" s="0" t="s">
        <v>3433</v>
      </c>
      <c r="AC325" s="0" t="s">
        <v>3074</v>
      </c>
    </row>
    <row r="326" customFormat="false" ht="15" hidden="false" customHeight="false" outlineLevel="0" collapsed="false">
      <c r="A326" s="0" t="s">
        <v>3503</v>
      </c>
      <c r="B326" s="0" t="s">
        <v>222</v>
      </c>
      <c r="C326" s="0" t="s">
        <v>3477</v>
      </c>
      <c r="D326" s="0" t="n">
        <v>2015</v>
      </c>
      <c r="E326" s="0" t="s">
        <v>62</v>
      </c>
      <c r="F326" s="0" t="n">
        <v>1849225</v>
      </c>
      <c r="G326" s="0" t="s">
        <v>3101</v>
      </c>
      <c r="H326" s="0" t="s">
        <v>3068</v>
      </c>
      <c r="I326" s="0" t="n">
        <v>1849225</v>
      </c>
      <c r="J326" s="0" t="s">
        <v>3424</v>
      </c>
      <c r="M326" s="0" t="s">
        <v>2757</v>
      </c>
      <c r="N326" s="0" t="s">
        <v>224</v>
      </c>
      <c r="Q326" s="0" t="n">
        <v>25</v>
      </c>
      <c r="R326" s="0" t="n">
        <v>24</v>
      </c>
      <c r="U326" s="0" t="s">
        <v>3462</v>
      </c>
      <c r="V326" s="0" t="s">
        <v>3462</v>
      </c>
      <c r="Y326" s="0" t="s">
        <v>3071</v>
      </c>
      <c r="Z326" s="0" t="s">
        <v>3072</v>
      </c>
      <c r="AA326" s="0" t="s">
        <v>3433</v>
      </c>
      <c r="AC326" s="0" t="s">
        <v>3074</v>
      </c>
    </row>
    <row r="327" customFormat="false" ht="15" hidden="false" customHeight="false" outlineLevel="0" collapsed="false">
      <c r="A327" s="0" t="s">
        <v>3504</v>
      </c>
      <c r="B327" s="0" t="s">
        <v>222</v>
      </c>
      <c r="C327" s="0" t="s">
        <v>3477</v>
      </c>
      <c r="D327" s="0" t="n">
        <v>2015</v>
      </c>
      <c r="E327" s="0" t="s">
        <v>3066</v>
      </c>
      <c r="F327" s="0" t="n">
        <v>2333017</v>
      </c>
      <c r="G327" s="0" t="s">
        <v>3101</v>
      </c>
      <c r="H327" s="0" t="s">
        <v>3068</v>
      </c>
      <c r="I327" s="0" t="n">
        <v>2333017</v>
      </c>
      <c r="J327" s="0" t="s">
        <v>3424</v>
      </c>
      <c r="M327" s="0" t="s">
        <v>2757</v>
      </c>
      <c r="N327" s="0" t="s">
        <v>224</v>
      </c>
      <c r="Q327" s="0" t="n">
        <v>25</v>
      </c>
      <c r="R327" s="0" t="n">
        <v>24</v>
      </c>
      <c r="U327" s="0" t="s">
        <v>3462</v>
      </c>
      <c r="V327" s="0" t="s">
        <v>3462</v>
      </c>
      <c r="Y327" s="0" t="s">
        <v>3071</v>
      </c>
      <c r="Z327" s="0" t="s">
        <v>3072</v>
      </c>
      <c r="AA327" s="0" t="s">
        <v>3433</v>
      </c>
      <c r="AC327" s="0" t="s">
        <v>3074</v>
      </c>
    </row>
    <row r="328" customFormat="false" ht="15" hidden="false" customHeight="false" outlineLevel="0" collapsed="false">
      <c r="A328" s="0" t="s">
        <v>3505</v>
      </c>
      <c r="B328" s="0" t="s">
        <v>222</v>
      </c>
      <c r="C328" s="0" t="s">
        <v>3477</v>
      </c>
      <c r="D328" s="0" t="n">
        <v>2015</v>
      </c>
      <c r="E328" s="0" t="s">
        <v>58</v>
      </c>
      <c r="F328" s="0" t="n">
        <v>-415396</v>
      </c>
      <c r="G328" s="0" t="s">
        <v>3101</v>
      </c>
      <c r="H328" s="0" t="s">
        <v>3068</v>
      </c>
      <c r="I328" s="0" t="n">
        <v>-415396</v>
      </c>
      <c r="J328" s="0" t="s">
        <v>3424</v>
      </c>
      <c r="M328" s="0" t="s">
        <v>2757</v>
      </c>
      <c r="N328" s="0" t="s">
        <v>224</v>
      </c>
      <c r="Q328" s="0" t="n">
        <v>28</v>
      </c>
      <c r="R328" s="0" t="n">
        <v>27</v>
      </c>
      <c r="U328" s="0" t="s">
        <v>3462</v>
      </c>
      <c r="V328" s="0" t="s">
        <v>3462</v>
      </c>
      <c r="Y328" s="0" t="s">
        <v>3071</v>
      </c>
      <c r="Z328" s="0" t="s">
        <v>3072</v>
      </c>
      <c r="AA328" s="0" t="s">
        <v>3433</v>
      </c>
      <c r="AC328" s="0" t="s">
        <v>3074</v>
      </c>
    </row>
    <row r="329" customFormat="false" ht="15" hidden="false" customHeight="false" outlineLevel="0" collapsed="false">
      <c r="A329" s="0" t="s">
        <v>3506</v>
      </c>
      <c r="B329" s="0" t="s">
        <v>222</v>
      </c>
      <c r="C329" s="0" t="s">
        <v>3477</v>
      </c>
      <c r="D329" s="0" t="n">
        <v>2015</v>
      </c>
      <c r="E329" s="0" t="s">
        <v>60</v>
      </c>
      <c r="F329" s="0" t="n">
        <v>1884941</v>
      </c>
      <c r="G329" s="0" t="s">
        <v>3101</v>
      </c>
      <c r="H329" s="0" t="s">
        <v>3068</v>
      </c>
      <c r="I329" s="0" t="n">
        <v>1884941</v>
      </c>
      <c r="J329" s="0" t="s">
        <v>3424</v>
      </c>
      <c r="M329" s="0" t="s">
        <v>2757</v>
      </c>
      <c r="N329" s="0" t="s">
        <v>224</v>
      </c>
      <c r="Q329" s="0" t="n">
        <v>104</v>
      </c>
      <c r="R329" s="0" t="n">
        <v>103</v>
      </c>
      <c r="U329" s="0" t="s">
        <v>3462</v>
      </c>
      <c r="V329" s="0" t="s">
        <v>3462</v>
      </c>
      <c r="Y329" s="0" t="s">
        <v>3071</v>
      </c>
      <c r="Z329" s="0" t="s">
        <v>3072</v>
      </c>
      <c r="AA329" s="0" t="s">
        <v>3488</v>
      </c>
      <c r="AC329" s="0" t="s">
        <v>3074</v>
      </c>
    </row>
    <row r="330" customFormat="false" ht="15" hidden="false" customHeight="false" outlineLevel="0" collapsed="false">
      <c r="A330" s="0" t="s">
        <v>3507</v>
      </c>
      <c r="B330" s="0" t="s">
        <v>222</v>
      </c>
      <c r="C330" s="0" t="s">
        <v>3477</v>
      </c>
      <c r="D330" s="0" t="n">
        <v>2015</v>
      </c>
      <c r="E330" s="0" t="s">
        <v>61</v>
      </c>
      <c r="F330" s="0" t="n">
        <v>35716</v>
      </c>
      <c r="G330" s="0" t="s">
        <v>3101</v>
      </c>
      <c r="H330" s="0" t="s">
        <v>3068</v>
      </c>
      <c r="I330" s="0" t="n">
        <v>35716</v>
      </c>
      <c r="J330" s="0" t="s">
        <v>3424</v>
      </c>
      <c r="M330" s="0" t="s">
        <v>2757</v>
      </c>
      <c r="N330" s="0" t="s">
        <v>224</v>
      </c>
      <c r="Q330" s="0" t="n">
        <v>104</v>
      </c>
      <c r="R330" s="0" t="n">
        <v>103</v>
      </c>
      <c r="U330" s="0" t="s">
        <v>3462</v>
      </c>
      <c r="V330" s="0" t="s">
        <v>3462</v>
      </c>
      <c r="Y330" s="0" t="s">
        <v>3071</v>
      </c>
      <c r="Z330" s="0" t="s">
        <v>3072</v>
      </c>
      <c r="AA330" s="0" t="s">
        <v>3433</v>
      </c>
      <c r="AC330" s="0" t="s">
        <v>3074</v>
      </c>
    </row>
    <row r="331" customFormat="false" ht="15" hidden="false" customHeight="false" outlineLevel="0" collapsed="false">
      <c r="A331" s="0" t="s">
        <v>3508</v>
      </c>
      <c r="B331" s="0" t="s">
        <v>222</v>
      </c>
      <c r="C331" s="0" t="s">
        <v>3477</v>
      </c>
      <c r="D331" s="0" t="n">
        <v>2015</v>
      </c>
      <c r="E331" s="0" t="s">
        <v>543</v>
      </c>
      <c r="F331" s="0" t="n">
        <v>16116</v>
      </c>
      <c r="G331" s="0" t="s">
        <v>3101</v>
      </c>
      <c r="H331" s="0" t="s">
        <v>3068</v>
      </c>
      <c r="I331" s="0" t="n">
        <v>16116</v>
      </c>
      <c r="J331" s="0" t="s">
        <v>3424</v>
      </c>
      <c r="M331" s="0" t="s">
        <v>2757</v>
      </c>
      <c r="N331" s="0" t="s">
        <v>224</v>
      </c>
      <c r="Q331" s="0" t="n">
        <v>104</v>
      </c>
      <c r="R331" s="0" t="n">
        <v>103</v>
      </c>
      <c r="U331" s="0" t="s">
        <v>3462</v>
      </c>
      <c r="V331" s="0" t="s">
        <v>3462</v>
      </c>
      <c r="Y331" s="0" t="s">
        <v>3071</v>
      </c>
      <c r="Z331" s="0" t="s">
        <v>3072</v>
      </c>
      <c r="AA331" s="0" t="s">
        <v>3433</v>
      </c>
      <c r="AC331" s="0" t="s">
        <v>3074</v>
      </c>
    </row>
    <row r="332" customFormat="false" ht="15" hidden="false" customHeight="false" outlineLevel="0" collapsed="false">
      <c r="A332" s="0" t="s">
        <v>3509</v>
      </c>
      <c r="B332" s="0" t="s">
        <v>222</v>
      </c>
      <c r="C332" s="0" t="s">
        <v>3477</v>
      </c>
      <c r="D332" s="0" t="n">
        <v>2015</v>
      </c>
      <c r="E332" s="0" t="s">
        <v>545</v>
      </c>
      <c r="F332" s="0" t="n">
        <v>19600</v>
      </c>
      <c r="G332" s="0" t="s">
        <v>3101</v>
      </c>
      <c r="H332" s="0" t="s">
        <v>3068</v>
      </c>
      <c r="I332" s="0" t="n">
        <v>19600</v>
      </c>
      <c r="J332" s="0" t="s">
        <v>3424</v>
      </c>
      <c r="M332" s="0" t="s">
        <v>2757</v>
      </c>
      <c r="N332" s="0" t="s">
        <v>224</v>
      </c>
      <c r="Q332" s="0" t="n">
        <v>104</v>
      </c>
      <c r="R332" s="0" t="n">
        <v>103</v>
      </c>
      <c r="U332" s="0" t="s">
        <v>3462</v>
      </c>
      <c r="V332" s="0" t="s">
        <v>3462</v>
      </c>
      <c r="Y332" s="0" t="s">
        <v>3071</v>
      </c>
      <c r="Z332" s="0" t="s">
        <v>3072</v>
      </c>
      <c r="AA332" s="0" t="s">
        <v>3433</v>
      </c>
      <c r="AC332" s="0" t="s">
        <v>3074</v>
      </c>
    </row>
    <row r="333" customFormat="false" ht="15" hidden="false" customHeight="false" outlineLevel="0" collapsed="false">
      <c r="A333" s="0" t="s">
        <v>3510</v>
      </c>
      <c r="B333" s="0" t="s">
        <v>222</v>
      </c>
      <c r="C333" s="0" t="s">
        <v>3477</v>
      </c>
      <c r="D333" s="0" t="n">
        <v>2015</v>
      </c>
      <c r="E333" s="0" t="s">
        <v>64</v>
      </c>
      <c r="F333" s="0" t="n">
        <v>30871</v>
      </c>
      <c r="G333" s="0" t="s">
        <v>3101</v>
      </c>
      <c r="H333" s="0" t="s">
        <v>3068</v>
      </c>
      <c r="I333" s="0" t="n">
        <v>30871</v>
      </c>
      <c r="J333" s="0" t="s">
        <v>3424</v>
      </c>
      <c r="M333" s="0" t="s">
        <v>2757</v>
      </c>
      <c r="N333" s="0" t="s">
        <v>224</v>
      </c>
      <c r="Q333" s="0" t="n">
        <v>57</v>
      </c>
      <c r="R333" s="0" t="n">
        <v>56</v>
      </c>
      <c r="U333" s="0" t="s">
        <v>3462</v>
      </c>
      <c r="V333" s="0" t="s">
        <v>3462</v>
      </c>
      <c r="Y333" s="0" t="s">
        <v>3071</v>
      </c>
      <c r="Z333" s="0" t="s">
        <v>3072</v>
      </c>
      <c r="AA333" s="0" t="s">
        <v>3433</v>
      </c>
      <c r="AC333" s="0" t="s">
        <v>3074</v>
      </c>
    </row>
    <row r="334" customFormat="false" ht="15" hidden="false" customHeight="false" outlineLevel="0" collapsed="false">
      <c r="A334" s="0" t="s">
        <v>3511</v>
      </c>
      <c r="B334" s="0" t="s">
        <v>222</v>
      </c>
      <c r="C334" s="0" t="s">
        <v>3477</v>
      </c>
      <c r="D334" s="0" t="n">
        <v>2015</v>
      </c>
      <c r="E334" s="0" t="s">
        <v>69</v>
      </c>
      <c r="F334" s="0" t="n">
        <v>20</v>
      </c>
      <c r="G334" s="0" t="s">
        <v>3143</v>
      </c>
      <c r="I334" s="0" t="n">
        <v>20</v>
      </c>
      <c r="J334" s="0" t="s">
        <v>3424</v>
      </c>
      <c r="M334" s="0" t="s">
        <v>2757</v>
      </c>
      <c r="N334" s="0" t="s">
        <v>224</v>
      </c>
      <c r="Q334" s="0" t="n">
        <v>84</v>
      </c>
      <c r="R334" s="0" t="n">
        <v>83</v>
      </c>
      <c r="U334" s="0" t="s">
        <v>3462</v>
      </c>
      <c r="V334" s="0" t="s">
        <v>3462</v>
      </c>
      <c r="Y334" s="0" t="s">
        <v>3071</v>
      </c>
      <c r="Z334" s="0" t="s">
        <v>3072</v>
      </c>
      <c r="AA334" s="0" t="s">
        <v>3494</v>
      </c>
      <c r="AC334" s="0" t="s">
        <v>3074</v>
      </c>
    </row>
    <row r="335" customFormat="false" ht="15" hidden="false" customHeight="false" outlineLevel="0" collapsed="false">
      <c r="A335" s="0" t="s">
        <v>3512</v>
      </c>
      <c r="B335" s="0" t="s">
        <v>222</v>
      </c>
      <c r="C335" s="0" t="s">
        <v>3477</v>
      </c>
      <c r="D335" s="0" t="n">
        <v>2015</v>
      </c>
      <c r="E335" s="0" t="s">
        <v>65</v>
      </c>
      <c r="F335" s="0" t="n">
        <v>484709</v>
      </c>
      <c r="G335" s="0" t="s">
        <v>3101</v>
      </c>
      <c r="H335" s="0" t="s">
        <v>3068</v>
      </c>
      <c r="I335" s="0" t="n">
        <v>484709</v>
      </c>
      <c r="J335" s="0" t="s">
        <v>3424</v>
      </c>
      <c r="M335" s="0" t="s">
        <v>2757</v>
      </c>
      <c r="N335" s="0" t="s">
        <v>224</v>
      </c>
      <c r="Q335" s="0" t="n">
        <v>84</v>
      </c>
      <c r="R335" s="0" t="n">
        <v>83</v>
      </c>
      <c r="U335" s="0" t="s">
        <v>3462</v>
      </c>
      <c r="V335" s="0" t="s">
        <v>3462</v>
      </c>
      <c r="Y335" s="0" t="s">
        <v>3071</v>
      </c>
      <c r="Z335" s="0" t="s">
        <v>3072</v>
      </c>
      <c r="AA335" s="0" t="s">
        <v>3433</v>
      </c>
      <c r="AC335" s="0" t="s">
        <v>3074</v>
      </c>
    </row>
    <row r="336" customFormat="false" ht="15" hidden="false" customHeight="false" outlineLevel="0" collapsed="false">
      <c r="A336" s="0" t="s">
        <v>3513</v>
      </c>
      <c r="B336" s="0" t="s">
        <v>222</v>
      </c>
      <c r="C336" s="0" t="s">
        <v>3477</v>
      </c>
      <c r="D336" s="0" t="n">
        <v>2015</v>
      </c>
      <c r="E336" s="0" t="s">
        <v>66</v>
      </c>
      <c r="F336" s="0" t="n">
        <v>2392856</v>
      </c>
      <c r="G336" s="0" t="s">
        <v>3101</v>
      </c>
      <c r="H336" s="0" t="s">
        <v>3068</v>
      </c>
      <c r="I336" s="0" t="n">
        <v>2392856</v>
      </c>
      <c r="J336" s="0" t="s">
        <v>3424</v>
      </c>
      <c r="M336" s="0" t="s">
        <v>2757</v>
      </c>
      <c r="N336" s="0" t="s">
        <v>224</v>
      </c>
      <c r="Q336" s="0" t="n">
        <v>84</v>
      </c>
      <c r="R336" s="0" t="n">
        <v>83</v>
      </c>
      <c r="U336" s="0" t="s">
        <v>3462</v>
      </c>
      <c r="V336" s="0" t="s">
        <v>3462</v>
      </c>
      <c r="Y336" s="0" t="s">
        <v>3071</v>
      </c>
      <c r="Z336" s="0" t="s">
        <v>3072</v>
      </c>
      <c r="AA336" s="0" t="s">
        <v>3433</v>
      </c>
      <c r="AC336" s="0" t="s">
        <v>3074</v>
      </c>
    </row>
    <row r="337" customFormat="false" ht="15" hidden="false" customHeight="false" outlineLevel="0" collapsed="false">
      <c r="A337" s="0" t="s">
        <v>3514</v>
      </c>
      <c r="B337" s="0" t="s">
        <v>125</v>
      </c>
      <c r="C337" s="0" t="s">
        <v>3423</v>
      </c>
      <c r="D337" s="0" t="n">
        <v>2014</v>
      </c>
      <c r="E337" s="0" t="s">
        <v>60</v>
      </c>
      <c r="F337" s="0" t="n">
        <v>1832107</v>
      </c>
      <c r="G337" s="0" t="s">
        <v>3101</v>
      </c>
      <c r="H337" s="0" t="s">
        <v>3068</v>
      </c>
      <c r="I337" s="0" t="n">
        <v>1832107</v>
      </c>
      <c r="J337" s="0" t="s">
        <v>3424</v>
      </c>
      <c r="M337" s="0" t="s">
        <v>2696</v>
      </c>
      <c r="N337" s="0" t="s">
        <v>126</v>
      </c>
      <c r="Q337" s="0" t="n">
        <v>229</v>
      </c>
      <c r="R337" s="0" t="n">
        <v>229</v>
      </c>
      <c r="U337" s="0" t="s">
        <v>3462</v>
      </c>
      <c r="V337" s="0" t="s">
        <v>3462</v>
      </c>
      <c r="Y337" s="0" t="s">
        <v>3071</v>
      </c>
      <c r="Z337" s="0" t="s">
        <v>3072</v>
      </c>
      <c r="AA337" s="0" t="s">
        <v>3515</v>
      </c>
      <c r="AC337" s="0" t="s">
        <v>3074</v>
      </c>
    </row>
    <row r="338" customFormat="false" ht="15" hidden="false" customHeight="false" outlineLevel="0" collapsed="false">
      <c r="A338" s="0" t="s">
        <v>3516</v>
      </c>
      <c r="B338" s="0" t="s">
        <v>125</v>
      </c>
      <c r="C338" s="0" t="s">
        <v>3423</v>
      </c>
      <c r="D338" s="0" t="n">
        <v>2014</v>
      </c>
      <c r="E338" s="0" t="s">
        <v>61</v>
      </c>
      <c r="F338" s="0" t="n">
        <v>38070</v>
      </c>
      <c r="G338" s="0" t="s">
        <v>3101</v>
      </c>
      <c r="H338" s="0" t="s">
        <v>3068</v>
      </c>
      <c r="I338" s="0" t="n">
        <v>38070</v>
      </c>
      <c r="J338" s="0" t="s">
        <v>3424</v>
      </c>
      <c r="M338" s="0" t="s">
        <v>2696</v>
      </c>
      <c r="N338" s="0" t="s">
        <v>126</v>
      </c>
      <c r="Q338" s="0" t="n">
        <v>229</v>
      </c>
      <c r="R338" s="0" t="n">
        <v>229</v>
      </c>
      <c r="U338" s="0" t="s">
        <v>3462</v>
      </c>
      <c r="V338" s="0" t="s">
        <v>3462</v>
      </c>
      <c r="Y338" s="0" t="s">
        <v>3071</v>
      </c>
      <c r="Z338" s="0" t="s">
        <v>3072</v>
      </c>
      <c r="AA338" s="0" t="s">
        <v>3515</v>
      </c>
      <c r="AC338" s="0" t="s">
        <v>3074</v>
      </c>
    </row>
    <row r="339" customFormat="false" ht="15" hidden="false" customHeight="false" outlineLevel="0" collapsed="false">
      <c r="A339" s="0" t="s">
        <v>3517</v>
      </c>
      <c r="B339" s="0" t="s">
        <v>125</v>
      </c>
      <c r="C339" s="0" t="s">
        <v>3423</v>
      </c>
      <c r="D339" s="0" t="n">
        <v>2014</v>
      </c>
      <c r="E339" s="0" t="s">
        <v>543</v>
      </c>
      <c r="F339" s="0" t="n">
        <v>26156</v>
      </c>
      <c r="G339" s="0" t="s">
        <v>3101</v>
      </c>
      <c r="H339" s="0" t="s">
        <v>3068</v>
      </c>
      <c r="I339" s="0" t="n">
        <v>26156</v>
      </c>
      <c r="J339" s="0" t="s">
        <v>3424</v>
      </c>
      <c r="M339" s="0" t="s">
        <v>2696</v>
      </c>
      <c r="N339" s="0" t="s">
        <v>126</v>
      </c>
      <c r="Q339" s="0" t="n">
        <v>229</v>
      </c>
      <c r="R339" s="0" t="n">
        <v>229</v>
      </c>
      <c r="U339" s="0" t="s">
        <v>3462</v>
      </c>
      <c r="V339" s="0" t="s">
        <v>3462</v>
      </c>
      <c r="Y339" s="0" t="s">
        <v>3071</v>
      </c>
      <c r="Z339" s="0" t="s">
        <v>3072</v>
      </c>
      <c r="AA339" s="0" t="s">
        <v>3515</v>
      </c>
      <c r="AC339" s="0" t="s">
        <v>3074</v>
      </c>
    </row>
    <row r="340" customFormat="false" ht="15" hidden="false" customHeight="false" outlineLevel="0" collapsed="false">
      <c r="A340" s="0" t="s">
        <v>3518</v>
      </c>
      <c r="B340" s="0" t="s">
        <v>125</v>
      </c>
      <c r="C340" s="0" t="s">
        <v>3423</v>
      </c>
      <c r="D340" s="0" t="n">
        <v>2014</v>
      </c>
      <c r="E340" s="0" t="s">
        <v>545</v>
      </c>
      <c r="F340" s="0" t="n">
        <v>11914</v>
      </c>
      <c r="G340" s="0" t="s">
        <v>3101</v>
      </c>
      <c r="H340" s="0" t="s">
        <v>3068</v>
      </c>
      <c r="I340" s="0" t="n">
        <v>11914</v>
      </c>
      <c r="J340" s="0" t="s">
        <v>3424</v>
      </c>
      <c r="M340" s="0" t="s">
        <v>2696</v>
      </c>
      <c r="N340" s="0" t="s">
        <v>126</v>
      </c>
      <c r="Q340" s="0" t="n">
        <v>229</v>
      </c>
      <c r="R340" s="0" t="n">
        <v>229</v>
      </c>
      <c r="U340" s="0" t="s">
        <v>3462</v>
      </c>
      <c r="V340" s="0" t="s">
        <v>3462</v>
      </c>
      <c r="Y340" s="0" t="s">
        <v>3071</v>
      </c>
      <c r="Z340" s="0" t="s">
        <v>3072</v>
      </c>
      <c r="AA340" s="0" t="s">
        <v>3515</v>
      </c>
      <c r="AC340" s="0" t="s">
        <v>3074</v>
      </c>
    </row>
    <row r="341" customFormat="false" ht="15" hidden="false" customHeight="false" outlineLevel="0" collapsed="false">
      <c r="A341" s="0" t="s">
        <v>3519</v>
      </c>
      <c r="B341" s="0" t="s">
        <v>125</v>
      </c>
      <c r="C341" s="0" t="s">
        <v>3423</v>
      </c>
      <c r="D341" s="0" t="n">
        <v>2013</v>
      </c>
      <c r="E341" s="0" t="s">
        <v>60</v>
      </c>
      <c r="F341" s="0" t="n">
        <v>1515288</v>
      </c>
      <c r="G341" s="0" t="s">
        <v>3101</v>
      </c>
      <c r="H341" s="0" t="s">
        <v>3068</v>
      </c>
      <c r="I341" s="0" t="n">
        <v>1515288</v>
      </c>
      <c r="J341" s="0" t="s">
        <v>3424</v>
      </c>
      <c r="M341" s="0" t="s">
        <v>2696</v>
      </c>
      <c r="N341" s="0" t="s">
        <v>126</v>
      </c>
      <c r="Q341" s="0" t="n">
        <v>229</v>
      </c>
      <c r="R341" s="0" t="n">
        <v>229</v>
      </c>
      <c r="U341" s="0" t="s">
        <v>3462</v>
      </c>
      <c r="V341" s="0" t="s">
        <v>3462</v>
      </c>
      <c r="Y341" s="0" t="s">
        <v>3071</v>
      </c>
      <c r="Z341" s="0" t="s">
        <v>3072</v>
      </c>
      <c r="AA341" s="0" t="s">
        <v>3515</v>
      </c>
      <c r="AC341" s="0" t="s">
        <v>3074</v>
      </c>
    </row>
    <row r="342" customFormat="false" ht="15" hidden="false" customHeight="false" outlineLevel="0" collapsed="false">
      <c r="A342" s="0" t="s">
        <v>3520</v>
      </c>
      <c r="B342" s="0" t="s">
        <v>125</v>
      </c>
      <c r="C342" s="0" t="s">
        <v>3423</v>
      </c>
      <c r="D342" s="0" t="n">
        <v>2013</v>
      </c>
      <c r="E342" s="0" t="s">
        <v>61</v>
      </c>
      <c r="F342" s="0" t="n">
        <v>41449</v>
      </c>
      <c r="G342" s="0" t="s">
        <v>3101</v>
      </c>
      <c r="H342" s="0" t="s">
        <v>3068</v>
      </c>
      <c r="I342" s="0" t="n">
        <v>41449</v>
      </c>
      <c r="J342" s="0" t="s">
        <v>3424</v>
      </c>
      <c r="M342" s="0" t="s">
        <v>2696</v>
      </c>
      <c r="N342" s="0" t="s">
        <v>126</v>
      </c>
      <c r="Q342" s="0" t="n">
        <v>229</v>
      </c>
      <c r="R342" s="0" t="n">
        <v>229</v>
      </c>
      <c r="U342" s="0" t="s">
        <v>3462</v>
      </c>
      <c r="V342" s="0" t="s">
        <v>3462</v>
      </c>
      <c r="Y342" s="0" t="s">
        <v>3071</v>
      </c>
      <c r="Z342" s="0" t="s">
        <v>3072</v>
      </c>
      <c r="AA342" s="0" t="s">
        <v>3515</v>
      </c>
      <c r="AC342" s="0" t="s">
        <v>3074</v>
      </c>
    </row>
    <row r="343" customFormat="false" ht="15" hidden="false" customHeight="false" outlineLevel="0" collapsed="false">
      <c r="A343" s="0" t="s">
        <v>3521</v>
      </c>
      <c r="B343" s="0" t="s">
        <v>125</v>
      </c>
      <c r="C343" s="0" t="s">
        <v>3423</v>
      </c>
      <c r="D343" s="0" t="n">
        <v>2013</v>
      </c>
      <c r="E343" s="0" t="s">
        <v>543</v>
      </c>
      <c r="F343" s="0" t="n">
        <v>18015</v>
      </c>
      <c r="G343" s="0" t="s">
        <v>3101</v>
      </c>
      <c r="H343" s="0" t="s">
        <v>3068</v>
      </c>
      <c r="I343" s="0" t="n">
        <v>18015</v>
      </c>
      <c r="J343" s="0" t="s">
        <v>3424</v>
      </c>
      <c r="M343" s="0" t="s">
        <v>2696</v>
      </c>
      <c r="N343" s="0" t="s">
        <v>126</v>
      </c>
      <c r="Q343" s="0" t="n">
        <v>229</v>
      </c>
      <c r="R343" s="0" t="n">
        <v>229</v>
      </c>
      <c r="U343" s="0" t="s">
        <v>3462</v>
      </c>
      <c r="V343" s="0" t="s">
        <v>3462</v>
      </c>
      <c r="Y343" s="0" t="s">
        <v>3071</v>
      </c>
      <c r="Z343" s="0" t="s">
        <v>3072</v>
      </c>
      <c r="AA343" s="0" t="s">
        <v>3515</v>
      </c>
      <c r="AC343" s="0" t="s">
        <v>3074</v>
      </c>
    </row>
    <row r="344" customFormat="false" ht="15" hidden="false" customHeight="false" outlineLevel="0" collapsed="false">
      <c r="A344" s="0" t="s">
        <v>3522</v>
      </c>
      <c r="B344" s="0" t="s">
        <v>125</v>
      </c>
      <c r="C344" s="0" t="s">
        <v>3423</v>
      </c>
      <c r="D344" s="0" t="n">
        <v>2013</v>
      </c>
      <c r="E344" s="0" t="s">
        <v>545</v>
      </c>
      <c r="F344" s="0" t="n">
        <v>23433</v>
      </c>
      <c r="G344" s="0" t="s">
        <v>3101</v>
      </c>
      <c r="H344" s="0" t="s">
        <v>3068</v>
      </c>
      <c r="I344" s="0" t="n">
        <v>23433</v>
      </c>
      <c r="J344" s="0" t="s">
        <v>3424</v>
      </c>
      <c r="M344" s="0" t="s">
        <v>2696</v>
      </c>
      <c r="N344" s="0" t="s">
        <v>126</v>
      </c>
      <c r="Q344" s="0" t="n">
        <v>229</v>
      </c>
      <c r="R344" s="0" t="n">
        <v>229</v>
      </c>
      <c r="U344" s="0" t="s">
        <v>3462</v>
      </c>
      <c r="V344" s="0" t="s">
        <v>3462</v>
      </c>
      <c r="Y344" s="0" t="s">
        <v>3071</v>
      </c>
      <c r="Z344" s="0" t="s">
        <v>3072</v>
      </c>
      <c r="AA344" s="0" t="s">
        <v>3515</v>
      </c>
      <c r="AC344" s="0" t="s">
        <v>3074</v>
      </c>
    </row>
    <row r="345" customFormat="false" ht="15" hidden="false" customHeight="false" outlineLevel="0" collapsed="false">
      <c r="A345" s="0" t="s">
        <v>3523</v>
      </c>
      <c r="B345" s="0" t="s">
        <v>187</v>
      </c>
      <c r="C345" s="0" t="s">
        <v>3524</v>
      </c>
      <c r="D345" s="0" t="n">
        <v>2014</v>
      </c>
      <c r="E345" s="0" t="s">
        <v>54</v>
      </c>
      <c r="F345" s="0" t="n">
        <v>20486</v>
      </c>
      <c r="G345" s="0" t="s">
        <v>3101</v>
      </c>
      <c r="H345" s="0" t="s">
        <v>3068</v>
      </c>
      <c r="I345" s="0" t="n">
        <v>20486</v>
      </c>
      <c r="J345" s="0" t="s">
        <v>3424</v>
      </c>
      <c r="M345" s="0" t="s">
        <v>2732</v>
      </c>
      <c r="N345" s="0" t="s">
        <v>188</v>
      </c>
      <c r="Q345" s="0" t="n">
        <v>30</v>
      </c>
      <c r="R345" s="0" t="n">
        <v>29</v>
      </c>
      <c r="U345" s="0" t="s">
        <v>3462</v>
      </c>
      <c r="V345" s="0" t="s">
        <v>3462</v>
      </c>
      <c r="Y345" s="0" t="s">
        <v>3071</v>
      </c>
      <c r="Z345" s="0" t="s">
        <v>3072</v>
      </c>
      <c r="AA345" s="0" t="s">
        <v>3433</v>
      </c>
      <c r="AC345" s="0" t="s">
        <v>3074</v>
      </c>
    </row>
    <row r="346" customFormat="false" ht="15" hidden="false" customHeight="false" outlineLevel="0" collapsed="false">
      <c r="A346" s="0" t="s">
        <v>3525</v>
      </c>
      <c r="B346" s="0" t="s">
        <v>187</v>
      </c>
      <c r="C346" s="0" t="s">
        <v>3524</v>
      </c>
      <c r="D346" s="0" t="n">
        <v>2014</v>
      </c>
      <c r="E346" s="0" t="s">
        <v>1327</v>
      </c>
      <c r="F346" s="0" t="n">
        <v>109821</v>
      </c>
      <c r="G346" s="0" t="s">
        <v>3101</v>
      </c>
      <c r="H346" s="0" t="s">
        <v>3068</v>
      </c>
      <c r="I346" s="0" t="n">
        <v>109821</v>
      </c>
      <c r="J346" s="0" t="s">
        <v>3424</v>
      </c>
      <c r="M346" s="0" t="s">
        <v>2732</v>
      </c>
      <c r="N346" s="0" t="s">
        <v>188</v>
      </c>
      <c r="Q346" s="0" t="n">
        <v>30</v>
      </c>
      <c r="R346" s="0" t="n">
        <v>29</v>
      </c>
      <c r="U346" s="0" t="s">
        <v>3462</v>
      </c>
      <c r="V346" s="0" t="s">
        <v>3462</v>
      </c>
      <c r="Y346" s="0" t="s">
        <v>3071</v>
      </c>
      <c r="Z346" s="0" t="s">
        <v>3072</v>
      </c>
      <c r="AA346" s="0" t="s">
        <v>3433</v>
      </c>
      <c r="AC346" s="0" t="s">
        <v>3074</v>
      </c>
    </row>
    <row r="347" customFormat="false" ht="15" hidden="false" customHeight="false" outlineLevel="0" collapsed="false">
      <c r="A347" s="0" t="s">
        <v>3526</v>
      </c>
      <c r="B347" s="0" t="s">
        <v>187</v>
      </c>
      <c r="C347" s="0" t="s">
        <v>3524</v>
      </c>
      <c r="D347" s="0" t="n">
        <v>2014</v>
      </c>
      <c r="E347" s="0" t="s">
        <v>307</v>
      </c>
      <c r="F347" s="0" t="n">
        <v>3307</v>
      </c>
      <c r="G347" s="0" t="s">
        <v>3101</v>
      </c>
      <c r="H347" s="0" t="s">
        <v>3068</v>
      </c>
      <c r="I347" s="0" t="n">
        <v>3307</v>
      </c>
      <c r="J347" s="0" t="s">
        <v>3424</v>
      </c>
      <c r="M347" s="0" t="s">
        <v>2732</v>
      </c>
      <c r="N347" s="0" t="s">
        <v>188</v>
      </c>
      <c r="Q347" s="0" t="n">
        <v>30</v>
      </c>
      <c r="R347" s="0" t="n">
        <v>29</v>
      </c>
      <c r="U347" s="0" t="s">
        <v>3462</v>
      </c>
      <c r="V347" s="0" t="s">
        <v>3462</v>
      </c>
      <c r="Y347" s="0" t="s">
        <v>3071</v>
      </c>
      <c r="Z347" s="0" t="s">
        <v>3072</v>
      </c>
      <c r="AA347" s="0" t="s">
        <v>3527</v>
      </c>
      <c r="AC347" s="0" t="s">
        <v>3074</v>
      </c>
    </row>
    <row r="348" customFormat="false" ht="15" hidden="false" customHeight="false" outlineLevel="0" collapsed="false">
      <c r="A348" s="0" t="s">
        <v>3528</v>
      </c>
      <c r="B348" s="0" t="s">
        <v>187</v>
      </c>
      <c r="C348" s="0" t="s">
        <v>3524</v>
      </c>
      <c r="D348" s="0" t="n">
        <v>2014</v>
      </c>
      <c r="E348" s="0" t="s">
        <v>1038</v>
      </c>
      <c r="F348" s="0" t="n">
        <v>4364</v>
      </c>
      <c r="G348" s="0" t="s">
        <v>3101</v>
      </c>
      <c r="H348" s="0" t="s">
        <v>3068</v>
      </c>
      <c r="I348" s="0" t="n">
        <v>4364</v>
      </c>
      <c r="J348" s="0" t="s">
        <v>3424</v>
      </c>
      <c r="M348" s="0" t="s">
        <v>2732</v>
      </c>
      <c r="N348" s="0" t="s">
        <v>188</v>
      </c>
      <c r="Q348" s="0" t="n">
        <v>30</v>
      </c>
      <c r="R348" s="0" t="n">
        <v>29</v>
      </c>
      <c r="U348" s="0" t="s">
        <v>3462</v>
      </c>
      <c r="V348" s="0" t="s">
        <v>3462</v>
      </c>
      <c r="Y348" s="0" t="s">
        <v>3071</v>
      </c>
      <c r="Z348" s="0" t="s">
        <v>3072</v>
      </c>
      <c r="AA348" s="0" t="s">
        <v>3527</v>
      </c>
      <c r="AC348" s="0" t="s">
        <v>3074</v>
      </c>
    </row>
    <row r="349" customFormat="false" ht="15" hidden="false" customHeight="false" outlineLevel="0" collapsed="false">
      <c r="A349" s="0" t="s">
        <v>3529</v>
      </c>
      <c r="B349" s="0" t="s">
        <v>187</v>
      </c>
      <c r="C349" s="0" t="s">
        <v>3524</v>
      </c>
      <c r="D349" s="0" t="n">
        <v>2014</v>
      </c>
      <c r="E349" s="0" t="s">
        <v>55</v>
      </c>
      <c r="F349" s="0" t="n">
        <v>920936</v>
      </c>
      <c r="G349" s="0" t="s">
        <v>3101</v>
      </c>
      <c r="H349" s="0" t="s">
        <v>3068</v>
      </c>
      <c r="I349" s="0" t="n">
        <v>920936</v>
      </c>
      <c r="J349" s="0" t="s">
        <v>3424</v>
      </c>
      <c r="M349" s="0" t="s">
        <v>2732</v>
      </c>
      <c r="N349" s="0" t="s">
        <v>188</v>
      </c>
      <c r="Q349" s="0" t="n">
        <v>32</v>
      </c>
      <c r="R349" s="0" t="n">
        <v>31</v>
      </c>
      <c r="U349" s="0" t="s">
        <v>3462</v>
      </c>
      <c r="V349" s="0" t="s">
        <v>3462</v>
      </c>
      <c r="Y349" s="0" t="s">
        <v>3071</v>
      </c>
      <c r="Z349" s="0" t="s">
        <v>3072</v>
      </c>
      <c r="AA349" s="0" t="s">
        <v>3433</v>
      </c>
      <c r="AC349" s="0" t="s">
        <v>3074</v>
      </c>
    </row>
    <row r="350" customFormat="false" ht="15" hidden="false" customHeight="false" outlineLevel="0" collapsed="false">
      <c r="A350" s="0" t="s">
        <v>3530</v>
      </c>
      <c r="B350" s="0" t="s">
        <v>187</v>
      </c>
      <c r="C350" s="0" t="s">
        <v>3524</v>
      </c>
      <c r="D350" s="0" t="n">
        <v>2014</v>
      </c>
      <c r="E350" s="0" t="s">
        <v>56</v>
      </c>
      <c r="F350" s="0" t="n">
        <v>714962</v>
      </c>
      <c r="G350" s="0" t="s">
        <v>3101</v>
      </c>
      <c r="H350" s="0" t="s">
        <v>3068</v>
      </c>
      <c r="I350" s="0" t="n">
        <v>714962</v>
      </c>
      <c r="J350" s="0" t="s">
        <v>3424</v>
      </c>
      <c r="M350" s="0" t="s">
        <v>2732</v>
      </c>
      <c r="N350" s="0" t="s">
        <v>188</v>
      </c>
      <c r="Q350" s="0" t="n">
        <v>32</v>
      </c>
      <c r="R350" s="0" t="n">
        <v>31</v>
      </c>
      <c r="U350" s="0" t="s">
        <v>3462</v>
      </c>
      <c r="V350" s="0" t="s">
        <v>3462</v>
      </c>
      <c r="Y350" s="0" t="s">
        <v>3071</v>
      </c>
      <c r="Z350" s="0" t="s">
        <v>3072</v>
      </c>
      <c r="AA350" s="0" t="s">
        <v>3433</v>
      </c>
      <c r="AC350" s="0" t="s">
        <v>3074</v>
      </c>
    </row>
    <row r="351" customFormat="false" ht="15" hidden="false" customHeight="false" outlineLevel="0" collapsed="false">
      <c r="A351" s="0" t="s">
        <v>3531</v>
      </c>
      <c r="B351" s="0" t="s">
        <v>187</v>
      </c>
      <c r="C351" s="0" t="s">
        <v>3524</v>
      </c>
      <c r="D351" s="0" t="n">
        <v>2014</v>
      </c>
      <c r="E351" s="0" t="s">
        <v>57</v>
      </c>
      <c r="F351" s="0" t="n">
        <v>205974</v>
      </c>
      <c r="G351" s="0" t="s">
        <v>3101</v>
      </c>
      <c r="H351" s="0" t="s">
        <v>3068</v>
      </c>
      <c r="I351" s="0" t="n">
        <v>205974</v>
      </c>
      <c r="J351" s="0" t="s">
        <v>3424</v>
      </c>
      <c r="M351" s="0" t="s">
        <v>2732</v>
      </c>
      <c r="N351" s="0" t="s">
        <v>188</v>
      </c>
      <c r="Q351" s="0" t="n">
        <v>32</v>
      </c>
      <c r="R351" s="0" t="n">
        <v>31</v>
      </c>
      <c r="U351" s="0" t="s">
        <v>3462</v>
      </c>
      <c r="V351" s="0" t="s">
        <v>3462</v>
      </c>
      <c r="Y351" s="0" t="s">
        <v>3071</v>
      </c>
      <c r="Z351" s="0" t="s">
        <v>3072</v>
      </c>
      <c r="AA351" s="0" t="s">
        <v>3433</v>
      </c>
      <c r="AC351" s="0" t="s">
        <v>3074</v>
      </c>
    </row>
    <row r="352" customFormat="false" ht="15" hidden="false" customHeight="false" outlineLevel="0" collapsed="false">
      <c r="A352" s="0" t="s">
        <v>3532</v>
      </c>
      <c r="B352" s="0" t="s">
        <v>187</v>
      </c>
      <c r="C352" s="0" t="s">
        <v>3524</v>
      </c>
      <c r="D352" s="0" t="n">
        <v>2014</v>
      </c>
      <c r="E352" s="0" t="s">
        <v>3066</v>
      </c>
      <c r="F352" s="0" t="n">
        <v>507431</v>
      </c>
      <c r="G352" s="0" t="s">
        <v>3101</v>
      </c>
      <c r="H352" s="0" t="s">
        <v>3068</v>
      </c>
      <c r="I352" s="0" t="n">
        <v>507431</v>
      </c>
      <c r="J352" s="0" t="s">
        <v>3424</v>
      </c>
      <c r="M352" s="0" t="s">
        <v>2732</v>
      </c>
      <c r="N352" s="0" t="s">
        <v>188</v>
      </c>
      <c r="Q352" s="0" t="n">
        <v>32</v>
      </c>
      <c r="R352" s="0" t="n">
        <v>31</v>
      </c>
      <c r="U352" s="0" t="s">
        <v>3462</v>
      </c>
      <c r="V352" s="0" t="s">
        <v>3462</v>
      </c>
      <c r="Y352" s="0" t="s">
        <v>3071</v>
      </c>
      <c r="Z352" s="0" t="s">
        <v>3072</v>
      </c>
      <c r="AA352" s="0" t="s">
        <v>3433</v>
      </c>
      <c r="AC352" s="0" t="s">
        <v>3074</v>
      </c>
    </row>
    <row r="353" customFormat="false" ht="15" hidden="false" customHeight="false" outlineLevel="0" collapsed="false">
      <c r="A353" s="0" t="s">
        <v>3533</v>
      </c>
      <c r="B353" s="0" t="s">
        <v>187</v>
      </c>
      <c r="C353" s="0" t="s">
        <v>3524</v>
      </c>
      <c r="D353" s="0" t="n">
        <v>2014</v>
      </c>
      <c r="E353" s="0" t="s">
        <v>62</v>
      </c>
      <c r="F353" s="0" t="n">
        <v>302372</v>
      </c>
      <c r="G353" s="0" t="s">
        <v>3101</v>
      </c>
      <c r="H353" s="0" t="s">
        <v>3068</v>
      </c>
      <c r="I353" s="0" t="n">
        <v>302372</v>
      </c>
      <c r="J353" s="0" t="s">
        <v>3424</v>
      </c>
      <c r="M353" s="0" t="s">
        <v>2732</v>
      </c>
      <c r="N353" s="0" t="s">
        <v>188</v>
      </c>
      <c r="Q353" s="0" t="n">
        <v>32</v>
      </c>
      <c r="R353" s="0" t="n">
        <v>31</v>
      </c>
      <c r="U353" s="0" t="s">
        <v>3462</v>
      </c>
      <c r="V353" s="0" t="s">
        <v>3462</v>
      </c>
      <c r="Y353" s="0" t="s">
        <v>3071</v>
      </c>
      <c r="Z353" s="0" t="s">
        <v>3072</v>
      </c>
      <c r="AA353" s="0" t="s">
        <v>3433</v>
      </c>
      <c r="AC353" s="0" t="s">
        <v>3074</v>
      </c>
    </row>
    <row r="354" customFormat="false" ht="15" hidden="false" customHeight="false" outlineLevel="0" collapsed="false">
      <c r="A354" s="0" t="s">
        <v>3534</v>
      </c>
      <c r="B354" s="0" t="s">
        <v>187</v>
      </c>
      <c r="C354" s="0" t="s">
        <v>3524</v>
      </c>
      <c r="D354" s="0" t="n">
        <v>2014</v>
      </c>
      <c r="E354" s="0" t="s">
        <v>58</v>
      </c>
      <c r="F354" s="0" t="n">
        <v>-121957</v>
      </c>
      <c r="G354" s="0" t="s">
        <v>3101</v>
      </c>
      <c r="H354" s="0" t="s">
        <v>3068</v>
      </c>
      <c r="I354" s="0" t="n">
        <v>-121957</v>
      </c>
      <c r="J354" s="0" t="s">
        <v>3424</v>
      </c>
      <c r="M354" s="0" t="s">
        <v>2732</v>
      </c>
      <c r="N354" s="0" t="s">
        <v>188</v>
      </c>
      <c r="Q354" s="0" t="n">
        <v>35</v>
      </c>
      <c r="R354" s="0" t="n">
        <v>34</v>
      </c>
      <c r="U354" s="0" t="s">
        <v>3462</v>
      </c>
      <c r="V354" s="0" t="s">
        <v>3462</v>
      </c>
      <c r="Y354" s="0" t="s">
        <v>3071</v>
      </c>
      <c r="Z354" s="0" t="s">
        <v>3072</v>
      </c>
      <c r="AA354" s="0" t="s">
        <v>3433</v>
      </c>
      <c r="AC354" s="0" t="s">
        <v>3074</v>
      </c>
    </row>
    <row r="355" customFormat="false" ht="15" hidden="false" customHeight="false" outlineLevel="0" collapsed="false">
      <c r="A355" s="0" t="s">
        <v>3535</v>
      </c>
      <c r="B355" s="0" t="s">
        <v>187</v>
      </c>
      <c r="C355" s="0" t="s">
        <v>3524</v>
      </c>
      <c r="D355" s="0" t="n">
        <v>2014</v>
      </c>
      <c r="E355" s="0" t="s">
        <v>60</v>
      </c>
      <c r="F355" s="0" t="n">
        <v>325748</v>
      </c>
      <c r="G355" s="0" t="s">
        <v>3101</v>
      </c>
      <c r="H355" s="0" t="s">
        <v>3068</v>
      </c>
      <c r="I355" s="0" t="n">
        <v>325748</v>
      </c>
      <c r="J355" s="0" t="s">
        <v>3424</v>
      </c>
      <c r="M355" s="0" t="s">
        <v>2732</v>
      </c>
      <c r="N355" s="0" t="s">
        <v>188</v>
      </c>
      <c r="Q355" s="0" t="n">
        <v>80</v>
      </c>
      <c r="R355" s="0" t="n">
        <v>79</v>
      </c>
      <c r="U355" s="0" t="s">
        <v>3462</v>
      </c>
      <c r="V355" s="0" t="s">
        <v>3462</v>
      </c>
      <c r="Y355" s="0" t="s">
        <v>3071</v>
      </c>
      <c r="Z355" s="0" t="s">
        <v>3072</v>
      </c>
      <c r="AA355" s="0" t="s">
        <v>3433</v>
      </c>
      <c r="AC355" s="0" t="s">
        <v>3074</v>
      </c>
    </row>
    <row r="356" customFormat="false" ht="15" hidden="false" customHeight="false" outlineLevel="0" collapsed="false">
      <c r="A356" s="0" t="s">
        <v>3536</v>
      </c>
      <c r="B356" s="0" t="s">
        <v>187</v>
      </c>
      <c r="C356" s="0" t="s">
        <v>3524</v>
      </c>
      <c r="D356" s="0" t="n">
        <v>2014</v>
      </c>
      <c r="E356" s="0" t="s">
        <v>61</v>
      </c>
      <c r="F356" s="0" t="n">
        <v>23376</v>
      </c>
      <c r="G356" s="0" t="s">
        <v>3101</v>
      </c>
      <c r="H356" s="0" t="s">
        <v>3068</v>
      </c>
      <c r="I356" s="0" t="n">
        <v>23376</v>
      </c>
      <c r="J356" s="0" t="s">
        <v>3424</v>
      </c>
      <c r="M356" s="0" t="s">
        <v>2732</v>
      </c>
      <c r="N356" s="0" t="s">
        <v>188</v>
      </c>
      <c r="Q356" s="0" t="n">
        <v>80</v>
      </c>
      <c r="R356" s="0" t="n">
        <v>79</v>
      </c>
      <c r="U356" s="0" t="s">
        <v>3462</v>
      </c>
      <c r="V356" s="0" t="s">
        <v>3462</v>
      </c>
      <c r="Y356" s="0" t="s">
        <v>3071</v>
      </c>
      <c r="Z356" s="0" t="s">
        <v>3072</v>
      </c>
      <c r="AA356" s="0" t="s">
        <v>3433</v>
      </c>
      <c r="AC356" s="0" t="s">
        <v>3074</v>
      </c>
    </row>
    <row r="357" customFormat="false" ht="15" hidden="false" customHeight="false" outlineLevel="0" collapsed="false">
      <c r="A357" s="0" t="s">
        <v>3537</v>
      </c>
      <c r="B357" s="0" t="s">
        <v>187</v>
      </c>
      <c r="C357" s="0" t="s">
        <v>3524</v>
      </c>
      <c r="D357" s="0" t="n">
        <v>2014</v>
      </c>
      <c r="E357" s="0" t="s">
        <v>543</v>
      </c>
      <c r="F357" s="0" t="n">
        <v>9753</v>
      </c>
      <c r="G357" s="0" t="s">
        <v>3101</v>
      </c>
      <c r="H357" s="0" t="s">
        <v>3068</v>
      </c>
      <c r="I357" s="0" t="n">
        <v>9753</v>
      </c>
      <c r="J357" s="0" t="s">
        <v>3424</v>
      </c>
      <c r="M357" s="0" t="s">
        <v>2732</v>
      </c>
      <c r="N357" s="0" t="s">
        <v>188</v>
      </c>
      <c r="Q357" s="0" t="n">
        <v>80</v>
      </c>
      <c r="R357" s="0" t="n">
        <v>79</v>
      </c>
      <c r="U357" s="0" t="s">
        <v>3462</v>
      </c>
      <c r="V357" s="0" t="s">
        <v>3462</v>
      </c>
      <c r="Y357" s="0" t="s">
        <v>3071</v>
      </c>
      <c r="Z357" s="0" t="s">
        <v>3072</v>
      </c>
      <c r="AA357" s="0" t="s">
        <v>3433</v>
      </c>
      <c r="AC357" s="0" t="s">
        <v>3074</v>
      </c>
    </row>
    <row r="358" customFormat="false" ht="15" hidden="false" customHeight="false" outlineLevel="0" collapsed="false">
      <c r="A358" s="0" t="s">
        <v>3538</v>
      </c>
      <c r="B358" s="0" t="s">
        <v>187</v>
      </c>
      <c r="C358" s="0" t="s">
        <v>3524</v>
      </c>
      <c r="D358" s="0" t="n">
        <v>2014</v>
      </c>
      <c r="E358" s="0" t="s">
        <v>545</v>
      </c>
      <c r="F358" s="0" t="n">
        <v>13623</v>
      </c>
      <c r="G358" s="0" t="s">
        <v>3101</v>
      </c>
      <c r="H358" s="0" t="s">
        <v>3068</v>
      </c>
      <c r="I358" s="0" t="n">
        <v>13623</v>
      </c>
      <c r="J358" s="0" t="s">
        <v>3424</v>
      </c>
      <c r="M358" s="0" t="s">
        <v>2732</v>
      </c>
      <c r="N358" s="0" t="s">
        <v>188</v>
      </c>
      <c r="Q358" s="0" t="n">
        <v>80</v>
      </c>
      <c r="R358" s="0" t="n">
        <v>79</v>
      </c>
      <c r="U358" s="0" t="s">
        <v>3462</v>
      </c>
      <c r="V358" s="0" t="s">
        <v>3462</v>
      </c>
      <c r="Y358" s="0" t="s">
        <v>3071</v>
      </c>
      <c r="Z358" s="0" t="s">
        <v>3072</v>
      </c>
      <c r="AA358" s="0" t="s">
        <v>3433</v>
      </c>
      <c r="AC358" s="0" t="s">
        <v>3074</v>
      </c>
    </row>
    <row r="359" customFormat="false" ht="15" hidden="false" customHeight="false" outlineLevel="0" collapsed="false">
      <c r="A359" s="0" t="s">
        <v>3539</v>
      </c>
      <c r="B359" s="0" t="s">
        <v>187</v>
      </c>
      <c r="C359" s="0" t="s">
        <v>3524</v>
      </c>
      <c r="D359" s="0" t="n">
        <v>2014</v>
      </c>
      <c r="E359" s="0" t="s">
        <v>64</v>
      </c>
      <c r="F359" s="0" t="n">
        <v>16756</v>
      </c>
      <c r="G359" s="0" t="s">
        <v>3101</v>
      </c>
      <c r="H359" s="0" t="s">
        <v>3068</v>
      </c>
      <c r="I359" s="0" t="n">
        <v>16756</v>
      </c>
      <c r="J359" s="0" t="s">
        <v>3424</v>
      </c>
      <c r="M359" s="0" t="s">
        <v>2732</v>
      </c>
      <c r="N359" s="0" t="s">
        <v>188</v>
      </c>
      <c r="Q359" s="0" t="n">
        <v>17</v>
      </c>
      <c r="R359" s="0" t="n">
        <v>16</v>
      </c>
      <c r="U359" s="0" t="s">
        <v>3462</v>
      </c>
      <c r="V359" s="0" t="s">
        <v>3462</v>
      </c>
      <c r="Y359" s="0" t="s">
        <v>3071</v>
      </c>
      <c r="Z359" s="0" t="s">
        <v>3072</v>
      </c>
      <c r="AA359" s="0" t="s">
        <v>3433</v>
      </c>
      <c r="AC359" s="0" t="s">
        <v>3074</v>
      </c>
    </row>
    <row r="360" customFormat="false" ht="15" hidden="false" customHeight="false" outlineLevel="0" collapsed="false">
      <c r="A360" s="0" t="s">
        <v>3540</v>
      </c>
      <c r="B360" s="0" t="s">
        <v>187</v>
      </c>
      <c r="C360" s="0" t="s">
        <v>3524</v>
      </c>
      <c r="D360" s="0" t="n">
        <v>2014</v>
      </c>
      <c r="E360" s="0" t="s">
        <v>327</v>
      </c>
      <c r="F360" s="0" t="n">
        <v>5.14</v>
      </c>
      <c r="G360" s="0" t="s">
        <v>3143</v>
      </c>
      <c r="I360" s="0" t="n">
        <v>5.14</v>
      </c>
      <c r="J360" s="0" t="s">
        <v>3424</v>
      </c>
      <c r="M360" s="0" t="s">
        <v>2732</v>
      </c>
      <c r="N360" s="0" t="s">
        <v>188</v>
      </c>
      <c r="Q360" s="0" t="n">
        <v>17</v>
      </c>
      <c r="R360" s="0" t="n">
        <v>16</v>
      </c>
      <c r="U360" s="0" t="s">
        <v>3462</v>
      </c>
      <c r="V360" s="0" t="s">
        <v>3462</v>
      </c>
      <c r="Y360" s="0" t="s">
        <v>3071</v>
      </c>
      <c r="Z360" s="0" t="s">
        <v>3072</v>
      </c>
      <c r="AA360" s="0" t="s">
        <v>3433</v>
      </c>
      <c r="AC360" s="0" t="s">
        <v>3074</v>
      </c>
    </row>
    <row r="361" customFormat="false" ht="15" hidden="false" customHeight="false" outlineLevel="0" collapsed="false">
      <c r="A361" s="0" t="s">
        <v>3541</v>
      </c>
      <c r="B361" s="0" t="s">
        <v>187</v>
      </c>
      <c r="C361" s="0" t="s">
        <v>3524</v>
      </c>
      <c r="D361" s="0" t="n">
        <v>2014</v>
      </c>
      <c r="E361" s="0" t="s">
        <v>69</v>
      </c>
      <c r="F361" s="0" t="n">
        <v>16.39</v>
      </c>
      <c r="G361" s="0" t="s">
        <v>3143</v>
      </c>
      <c r="I361" s="0" t="n">
        <v>16.39</v>
      </c>
      <c r="J361" s="0" t="s">
        <v>3424</v>
      </c>
      <c r="M361" s="0" t="s">
        <v>2732</v>
      </c>
      <c r="N361" s="0" t="s">
        <v>188</v>
      </c>
      <c r="Q361" s="0" t="n">
        <v>68</v>
      </c>
      <c r="R361" s="0" t="n">
        <v>67</v>
      </c>
      <c r="U361" s="0" t="s">
        <v>3462</v>
      </c>
      <c r="V361" s="0" t="s">
        <v>3462</v>
      </c>
      <c r="Y361" s="0" t="s">
        <v>3071</v>
      </c>
      <c r="Z361" s="0" t="s">
        <v>3072</v>
      </c>
      <c r="AA361" s="0" t="s">
        <v>3542</v>
      </c>
      <c r="AC361" s="0" t="s">
        <v>3074</v>
      </c>
    </row>
    <row r="362" customFormat="false" ht="15" hidden="false" customHeight="false" outlineLevel="0" collapsed="false">
      <c r="A362" s="0" t="s">
        <v>3543</v>
      </c>
      <c r="B362" s="0" t="s">
        <v>187</v>
      </c>
      <c r="C362" s="0" t="s">
        <v>3524</v>
      </c>
      <c r="D362" s="0" t="n">
        <v>2014</v>
      </c>
      <c r="E362" s="0" t="s">
        <v>65</v>
      </c>
      <c r="F362" s="0" t="n">
        <v>90989</v>
      </c>
      <c r="G362" s="0" t="s">
        <v>3101</v>
      </c>
      <c r="H362" s="0" t="s">
        <v>3068</v>
      </c>
      <c r="I362" s="0" t="n">
        <v>90989</v>
      </c>
      <c r="J362" s="0" t="s">
        <v>3424</v>
      </c>
      <c r="M362" s="0" t="s">
        <v>2732</v>
      </c>
      <c r="N362" s="0" t="s">
        <v>188</v>
      </c>
      <c r="Q362" s="0" t="n">
        <v>68</v>
      </c>
      <c r="R362" s="0" t="n">
        <v>67</v>
      </c>
      <c r="U362" s="0" t="s">
        <v>3462</v>
      </c>
      <c r="V362" s="0" t="s">
        <v>3462</v>
      </c>
      <c r="Y362" s="0" t="s">
        <v>3071</v>
      </c>
      <c r="Z362" s="0" t="s">
        <v>3072</v>
      </c>
      <c r="AA362" s="0" t="s">
        <v>3542</v>
      </c>
      <c r="AC362" s="0" t="s">
        <v>3074</v>
      </c>
    </row>
    <row r="363" customFormat="false" ht="15" hidden="false" customHeight="false" outlineLevel="0" collapsed="false">
      <c r="A363" s="0" t="s">
        <v>3544</v>
      </c>
      <c r="B363" s="0" t="s">
        <v>187</v>
      </c>
      <c r="C363" s="0" t="s">
        <v>3524</v>
      </c>
      <c r="D363" s="0" t="n">
        <v>2014</v>
      </c>
      <c r="E363" s="0" t="s">
        <v>66</v>
      </c>
      <c r="F363" s="0" t="n">
        <v>555197</v>
      </c>
      <c r="G363" s="0" t="s">
        <v>3101</v>
      </c>
      <c r="H363" s="0" t="s">
        <v>3068</v>
      </c>
      <c r="I363" s="0" t="n">
        <v>555197</v>
      </c>
      <c r="J363" s="0" t="s">
        <v>3424</v>
      </c>
      <c r="M363" s="0" t="s">
        <v>2732</v>
      </c>
      <c r="N363" s="0" t="s">
        <v>188</v>
      </c>
      <c r="Q363" s="0" t="n">
        <v>68</v>
      </c>
      <c r="R363" s="0" t="n">
        <v>67</v>
      </c>
      <c r="U363" s="0" t="s">
        <v>3462</v>
      </c>
      <c r="V363" s="0" t="s">
        <v>3462</v>
      </c>
      <c r="Y363" s="0" t="s">
        <v>3071</v>
      </c>
      <c r="Z363" s="0" t="s">
        <v>3072</v>
      </c>
      <c r="AA363" s="0" t="s">
        <v>3542</v>
      </c>
      <c r="AC363" s="0" t="s">
        <v>3074</v>
      </c>
    </row>
    <row r="364" customFormat="false" ht="15" hidden="false" customHeight="false" outlineLevel="0" collapsed="false">
      <c r="A364" s="0" t="s">
        <v>3545</v>
      </c>
      <c r="B364" s="0" t="s">
        <v>187</v>
      </c>
      <c r="C364" s="0" t="s">
        <v>3524</v>
      </c>
      <c r="D364" s="0" t="n">
        <v>2013</v>
      </c>
      <c r="E364" s="0" t="s">
        <v>54</v>
      </c>
      <c r="F364" s="0" t="n">
        <v>5121</v>
      </c>
      <c r="G364" s="0" t="s">
        <v>3101</v>
      </c>
      <c r="H364" s="0" t="s">
        <v>3068</v>
      </c>
      <c r="I364" s="0" t="n">
        <v>5121</v>
      </c>
      <c r="J364" s="0" t="s">
        <v>3424</v>
      </c>
      <c r="M364" s="0" t="s">
        <v>2732</v>
      </c>
      <c r="N364" s="0" t="s">
        <v>188</v>
      </c>
      <c r="Q364" s="0" t="n">
        <v>30</v>
      </c>
      <c r="R364" s="0" t="n">
        <v>29</v>
      </c>
      <c r="U364" s="0" t="s">
        <v>3462</v>
      </c>
      <c r="V364" s="0" t="s">
        <v>3462</v>
      </c>
      <c r="Y364" s="0" t="s">
        <v>3071</v>
      </c>
      <c r="Z364" s="0" t="s">
        <v>3072</v>
      </c>
      <c r="AA364" s="0" t="s">
        <v>3433</v>
      </c>
      <c r="AC364" s="0" t="s">
        <v>3074</v>
      </c>
    </row>
    <row r="365" customFormat="false" ht="15" hidden="false" customHeight="false" outlineLevel="0" collapsed="false">
      <c r="A365" s="0" t="s">
        <v>3546</v>
      </c>
      <c r="B365" s="0" t="s">
        <v>187</v>
      </c>
      <c r="C365" s="0" t="s">
        <v>3524</v>
      </c>
      <c r="D365" s="0" t="n">
        <v>2013</v>
      </c>
      <c r="E365" s="0" t="s">
        <v>1327</v>
      </c>
      <c r="F365" s="0" t="n">
        <v>103225</v>
      </c>
      <c r="G365" s="0" t="s">
        <v>3101</v>
      </c>
      <c r="H365" s="0" t="s">
        <v>3068</v>
      </c>
      <c r="I365" s="0" t="n">
        <v>103225</v>
      </c>
      <c r="J365" s="0" t="s">
        <v>3424</v>
      </c>
      <c r="M365" s="0" t="s">
        <v>2732</v>
      </c>
      <c r="N365" s="0" t="s">
        <v>188</v>
      </c>
      <c r="Q365" s="0" t="n">
        <v>30</v>
      </c>
      <c r="R365" s="0" t="n">
        <v>29</v>
      </c>
      <c r="U365" s="0" t="s">
        <v>3462</v>
      </c>
      <c r="V365" s="0" t="s">
        <v>3462</v>
      </c>
      <c r="Y365" s="0" t="s">
        <v>3071</v>
      </c>
      <c r="Z365" s="0" t="s">
        <v>3072</v>
      </c>
      <c r="AA365" s="0" t="s">
        <v>3433</v>
      </c>
      <c r="AC365" s="0" t="s">
        <v>3074</v>
      </c>
    </row>
    <row r="366" customFormat="false" ht="15" hidden="false" customHeight="false" outlineLevel="0" collapsed="false">
      <c r="A366" s="0" t="s">
        <v>3547</v>
      </c>
      <c r="B366" s="0" t="s">
        <v>187</v>
      </c>
      <c r="C366" s="0" t="s">
        <v>3524</v>
      </c>
      <c r="D366" s="0" t="n">
        <v>2013</v>
      </c>
      <c r="E366" s="0" t="s">
        <v>307</v>
      </c>
      <c r="F366" s="0" t="n">
        <v>13255</v>
      </c>
      <c r="G366" s="0" t="s">
        <v>3101</v>
      </c>
      <c r="H366" s="0" t="s">
        <v>3068</v>
      </c>
      <c r="I366" s="0" t="n">
        <v>13255</v>
      </c>
      <c r="J366" s="0" t="s">
        <v>3424</v>
      </c>
      <c r="M366" s="0" t="s">
        <v>2732</v>
      </c>
      <c r="N366" s="0" t="s">
        <v>188</v>
      </c>
      <c r="Q366" s="0" t="n">
        <v>30</v>
      </c>
      <c r="R366" s="0" t="n">
        <v>29</v>
      </c>
      <c r="U366" s="0" t="s">
        <v>3462</v>
      </c>
      <c r="V366" s="0" t="s">
        <v>3462</v>
      </c>
      <c r="Y366" s="0" t="s">
        <v>3071</v>
      </c>
      <c r="Z366" s="0" t="s">
        <v>3072</v>
      </c>
      <c r="AA366" s="0" t="s">
        <v>3527</v>
      </c>
      <c r="AC366" s="0" t="s">
        <v>3074</v>
      </c>
    </row>
    <row r="367" customFormat="false" ht="15" hidden="false" customHeight="false" outlineLevel="0" collapsed="false">
      <c r="A367" s="0" t="s">
        <v>3548</v>
      </c>
      <c r="B367" s="0" t="s">
        <v>187</v>
      </c>
      <c r="C367" s="0" t="s">
        <v>3524</v>
      </c>
      <c r="D367" s="0" t="n">
        <v>2013</v>
      </c>
      <c r="E367" s="0" t="s">
        <v>1038</v>
      </c>
      <c r="F367" s="0" t="n">
        <v>5165</v>
      </c>
      <c r="G367" s="0" t="s">
        <v>3101</v>
      </c>
      <c r="H367" s="0" t="s">
        <v>3068</v>
      </c>
      <c r="I367" s="0" t="n">
        <v>5165</v>
      </c>
      <c r="J367" s="0" t="s">
        <v>3424</v>
      </c>
      <c r="M367" s="0" t="s">
        <v>2732</v>
      </c>
      <c r="N367" s="0" t="s">
        <v>188</v>
      </c>
      <c r="Q367" s="0" t="n">
        <v>30</v>
      </c>
      <c r="R367" s="0" t="n">
        <v>29</v>
      </c>
      <c r="U367" s="0" t="s">
        <v>3462</v>
      </c>
      <c r="V367" s="0" t="s">
        <v>3462</v>
      </c>
      <c r="Y367" s="0" t="s">
        <v>3071</v>
      </c>
      <c r="Z367" s="0" t="s">
        <v>3072</v>
      </c>
      <c r="AA367" s="0" t="s">
        <v>3527</v>
      </c>
      <c r="AC367" s="0" t="s">
        <v>3074</v>
      </c>
    </row>
    <row r="368" customFormat="false" ht="15" hidden="false" customHeight="false" outlineLevel="0" collapsed="false">
      <c r="A368" s="0" t="s">
        <v>3549</v>
      </c>
      <c r="B368" s="0" t="s">
        <v>187</v>
      </c>
      <c r="C368" s="0" t="s">
        <v>3524</v>
      </c>
      <c r="D368" s="0" t="n">
        <v>2013</v>
      </c>
      <c r="E368" s="0" t="s">
        <v>55</v>
      </c>
      <c r="F368" s="0" t="n">
        <v>882097</v>
      </c>
      <c r="G368" s="0" t="s">
        <v>3101</v>
      </c>
      <c r="H368" s="0" t="s">
        <v>3068</v>
      </c>
      <c r="I368" s="0" t="n">
        <v>882097</v>
      </c>
      <c r="J368" s="0" t="s">
        <v>3424</v>
      </c>
      <c r="M368" s="0" t="s">
        <v>2732</v>
      </c>
      <c r="N368" s="0" t="s">
        <v>188</v>
      </c>
      <c r="Q368" s="0" t="n">
        <v>32</v>
      </c>
      <c r="R368" s="0" t="n">
        <v>31</v>
      </c>
      <c r="U368" s="0" t="s">
        <v>3462</v>
      </c>
      <c r="V368" s="0" t="s">
        <v>3462</v>
      </c>
      <c r="Y368" s="0" t="s">
        <v>3071</v>
      </c>
      <c r="Z368" s="0" t="s">
        <v>3072</v>
      </c>
      <c r="AA368" s="0" t="s">
        <v>3433</v>
      </c>
      <c r="AC368" s="0" t="s">
        <v>3074</v>
      </c>
    </row>
    <row r="369" customFormat="false" ht="15" hidden="false" customHeight="false" outlineLevel="0" collapsed="false">
      <c r="A369" s="0" t="s">
        <v>3550</v>
      </c>
      <c r="B369" s="0" t="s">
        <v>187</v>
      </c>
      <c r="C369" s="0" t="s">
        <v>3524</v>
      </c>
      <c r="D369" s="0" t="n">
        <v>2013</v>
      </c>
      <c r="E369" s="0" t="s">
        <v>56</v>
      </c>
      <c r="F369" s="0" t="n">
        <v>694313</v>
      </c>
      <c r="G369" s="0" t="s">
        <v>3101</v>
      </c>
      <c r="H369" s="0" t="s">
        <v>3068</v>
      </c>
      <c r="I369" s="0" t="n">
        <v>694313</v>
      </c>
      <c r="J369" s="0" t="s">
        <v>3424</v>
      </c>
      <c r="M369" s="0" t="s">
        <v>2732</v>
      </c>
      <c r="N369" s="0" t="s">
        <v>188</v>
      </c>
      <c r="Q369" s="0" t="n">
        <v>32</v>
      </c>
      <c r="R369" s="0" t="n">
        <v>31</v>
      </c>
      <c r="U369" s="0" t="s">
        <v>3462</v>
      </c>
      <c r="V369" s="0" t="s">
        <v>3462</v>
      </c>
      <c r="Y369" s="0" t="s">
        <v>3071</v>
      </c>
      <c r="Z369" s="0" t="s">
        <v>3072</v>
      </c>
      <c r="AA369" s="0" t="s">
        <v>3433</v>
      </c>
      <c r="AC369" s="0" t="s">
        <v>3074</v>
      </c>
    </row>
    <row r="370" customFormat="false" ht="15" hidden="false" customHeight="false" outlineLevel="0" collapsed="false">
      <c r="A370" s="0" t="s">
        <v>3551</v>
      </c>
      <c r="B370" s="0" t="s">
        <v>187</v>
      </c>
      <c r="C370" s="0" t="s">
        <v>3524</v>
      </c>
      <c r="D370" s="0" t="n">
        <v>2013</v>
      </c>
      <c r="E370" s="0" t="s">
        <v>57</v>
      </c>
      <c r="F370" s="0" t="n">
        <v>187784</v>
      </c>
      <c r="G370" s="0" t="s">
        <v>3101</v>
      </c>
      <c r="H370" s="0" t="s">
        <v>3068</v>
      </c>
      <c r="I370" s="0" t="n">
        <v>187784</v>
      </c>
      <c r="J370" s="0" t="s">
        <v>3424</v>
      </c>
      <c r="M370" s="0" t="s">
        <v>2732</v>
      </c>
      <c r="N370" s="0" t="s">
        <v>188</v>
      </c>
      <c r="Q370" s="0" t="n">
        <v>32</v>
      </c>
      <c r="R370" s="0" t="n">
        <v>31</v>
      </c>
      <c r="U370" s="0" t="s">
        <v>3462</v>
      </c>
      <c r="V370" s="0" t="s">
        <v>3462</v>
      </c>
      <c r="Y370" s="0" t="s">
        <v>3071</v>
      </c>
      <c r="Z370" s="0" t="s">
        <v>3072</v>
      </c>
      <c r="AA370" s="0" t="s">
        <v>3433</v>
      </c>
      <c r="AC370" s="0" t="s">
        <v>3074</v>
      </c>
    </row>
    <row r="371" customFormat="false" ht="15" hidden="false" customHeight="false" outlineLevel="0" collapsed="false">
      <c r="A371" s="0" t="s">
        <v>3552</v>
      </c>
      <c r="B371" s="0" t="s">
        <v>187</v>
      </c>
      <c r="C371" s="0" t="s">
        <v>3524</v>
      </c>
      <c r="D371" s="0" t="n">
        <v>2013</v>
      </c>
      <c r="E371" s="0" t="s">
        <v>3066</v>
      </c>
      <c r="F371" s="0" t="n">
        <v>479956</v>
      </c>
      <c r="G371" s="0" t="s">
        <v>3101</v>
      </c>
      <c r="H371" s="0" t="s">
        <v>3068</v>
      </c>
      <c r="I371" s="0" t="n">
        <v>479956</v>
      </c>
      <c r="J371" s="0" t="s">
        <v>3424</v>
      </c>
      <c r="M371" s="0" t="s">
        <v>2732</v>
      </c>
      <c r="N371" s="0" t="s">
        <v>188</v>
      </c>
      <c r="Q371" s="0" t="n">
        <v>32</v>
      </c>
      <c r="R371" s="0" t="n">
        <v>31</v>
      </c>
      <c r="U371" s="0" t="s">
        <v>3462</v>
      </c>
      <c r="V371" s="0" t="s">
        <v>3462</v>
      </c>
      <c r="Y371" s="0" t="s">
        <v>3071</v>
      </c>
      <c r="Z371" s="0" t="s">
        <v>3072</v>
      </c>
      <c r="AA371" s="0" t="s">
        <v>3433</v>
      </c>
      <c r="AC371" s="0" t="s">
        <v>3074</v>
      </c>
    </row>
    <row r="372" customFormat="false" ht="15" hidden="false" customHeight="false" outlineLevel="0" collapsed="false">
      <c r="A372" s="0" t="s">
        <v>3553</v>
      </c>
      <c r="B372" s="0" t="s">
        <v>187</v>
      </c>
      <c r="C372" s="0" t="s">
        <v>3524</v>
      </c>
      <c r="D372" s="0" t="n">
        <v>2013</v>
      </c>
      <c r="E372" s="0" t="s">
        <v>62</v>
      </c>
      <c r="F372" s="0" t="n">
        <v>210118</v>
      </c>
      <c r="G372" s="0" t="s">
        <v>3101</v>
      </c>
      <c r="H372" s="0" t="s">
        <v>3068</v>
      </c>
      <c r="I372" s="0" t="n">
        <v>210118</v>
      </c>
      <c r="J372" s="0" t="s">
        <v>3424</v>
      </c>
      <c r="M372" s="0" t="s">
        <v>2732</v>
      </c>
      <c r="N372" s="0" t="s">
        <v>188</v>
      </c>
      <c r="Q372" s="0" t="n">
        <v>32</v>
      </c>
      <c r="R372" s="0" t="n">
        <v>31</v>
      </c>
      <c r="U372" s="0" t="s">
        <v>3462</v>
      </c>
      <c r="V372" s="0" t="s">
        <v>3462</v>
      </c>
      <c r="Y372" s="0" t="s">
        <v>3071</v>
      </c>
      <c r="Z372" s="0" t="s">
        <v>3072</v>
      </c>
      <c r="AA372" s="0" t="s">
        <v>3433</v>
      </c>
      <c r="AC372" s="0" t="s">
        <v>3074</v>
      </c>
    </row>
    <row r="373" customFormat="false" ht="15" hidden="false" customHeight="false" outlineLevel="0" collapsed="false">
      <c r="A373" s="0" t="s">
        <v>3554</v>
      </c>
      <c r="B373" s="0" t="s">
        <v>187</v>
      </c>
      <c r="C373" s="0" t="s">
        <v>3524</v>
      </c>
      <c r="D373" s="0" t="n">
        <v>2013</v>
      </c>
      <c r="E373" s="0" t="s">
        <v>58</v>
      </c>
      <c r="F373" s="0" t="n">
        <v>-93031</v>
      </c>
      <c r="G373" s="0" t="s">
        <v>3101</v>
      </c>
      <c r="H373" s="0" t="s">
        <v>3068</v>
      </c>
      <c r="I373" s="0" t="n">
        <v>-93031</v>
      </c>
      <c r="J373" s="0" t="s">
        <v>3424</v>
      </c>
      <c r="M373" s="0" t="s">
        <v>2732</v>
      </c>
      <c r="N373" s="0" t="s">
        <v>188</v>
      </c>
      <c r="Q373" s="0" t="n">
        <v>35</v>
      </c>
      <c r="R373" s="0" t="n">
        <v>34</v>
      </c>
      <c r="U373" s="0" t="s">
        <v>3462</v>
      </c>
      <c r="V373" s="0" t="s">
        <v>3462</v>
      </c>
      <c r="Y373" s="0" t="s">
        <v>3071</v>
      </c>
      <c r="Z373" s="0" t="s">
        <v>3072</v>
      </c>
      <c r="AA373" s="0" t="s">
        <v>3433</v>
      </c>
      <c r="AC373" s="0" t="s">
        <v>3074</v>
      </c>
    </row>
    <row r="374" customFormat="false" ht="15" hidden="false" customHeight="false" outlineLevel="0" collapsed="false">
      <c r="A374" s="0" t="s">
        <v>3555</v>
      </c>
      <c r="B374" s="0" t="s">
        <v>187</v>
      </c>
      <c r="C374" s="0" t="s">
        <v>3524</v>
      </c>
      <c r="D374" s="0" t="n">
        <v>2013</v>
      </c>
      <c r="E374" s="0" t="s">
        <v>60</v>
      </c>
      <c r="F374" s="0" t="n">
        <v>230720</v>
      </c>
      <c r="G374" s="0" t="s">
        <v>3101</v>
      </c>
      <c r="H374" s="0" t="s">
        <v>3068</v>
      </c>
      <c r="I374" s="0" t="n">
        <v>230720</v>
      </c>
      <c r="J374" s="0" t="s">
        <v>3424</v>
      </c>
      <c r="M374" s="0" t="s">
        <v>2732</v>
      </c>
      <c r="N374" s="0" t="s">
        <v>188</v>
      </c>
      <c r="Q374" s="0" t="n">
        <v>80</v>
      </c>
      <c r="R374" s="0" t="n">
        <v>79</v>
      </c>
      <c r="U374" s="0" t="s">
        <v>3462</v>
      </c>
      <c r="V374" s="0" t="s">
        <v>3462</v>
      </c>
      <c r="Y374" s="0" t="s">
        <v>3071</v>
      </c>
      <c r="Z374" s="0" t="s">
        <v>3072</v>
      </c>
      <c r="AA374" s="0" t="s">
        <v>3433</v>
      </c>
      <c r="AC374" s="0" t="s">
        <v>3074</v>
      </c>
    </row>
    <row r="375" customFormat="false" ht="15" hidden="false" customHeight="false" outlineLevel="0" collapsed="false">
      <c r="A375" s="0" t="s">
        <v>3556</v>
      </c>
      <c r="B375" s="0" t="s">
        <v>187</v>
      </c>
      <c r="C375" s="0" t="s">
        <v>3524</v>
      </c>
      <c r="D375" s="0" t="n">
        <v>2013</v>
      </c>
      <c r="E375" s="0" t="s">
        <v>61</v>
      </c>
      <c r="F375" s="0" t="n">
        <v>20602</v>
      </c>
      <c r="G375" s="0" t="s">
        <v>3101</v>
      </c>
      <c r="H375" s="0" t="s">
        <v>3068</v>
      </c>
      <c r="I375" s="0" t="n">
        <v>20602</v>
      </c>
      <c r="J375" s="0" t="s">
        <v>3424</v>
      </c>
      <c r="M375" s="0" t="s">
        <v>2732</v>
      </c>
      <c r="N375" s="0" t="s">
        <v>188</v>
      </c>
      <c r="Q375" s="0" t="n">
        <v>80</v>
      </c>
      <c r="R375" s="0" t="n">
        <v>79</v>
      </c>
      <c r="U375" s="0" t="s">
        <v>3462</v>
      </c>
      <c r="V375" s="0" t="s">
        <v>3462</v>
      </c>
      <c r="Y375" s="0" t="s">
        <v>3071</v>
      </c>
      <c r="Z375" s="0" t="s">
        <v>3072</v>
      </c>
      <c r="AA375" s="0" t="s">
        <v>3433</v>
      </c>
      <c r="AC375" s="0" t="s">
        <v>3074</v>
      </c>
    </row>
    <row r="376" customFormat="false" ht="15" hidden="false" customHeight="false" outlineLevel="0" collapsed="false">
      <c r="A376" s="0" t="s">
        <v>3557</v>
      </c>
      <c r="B376" s="0" t="s">
        <v>187</v>
      </c>
      <c r="C376" s="0" t="s">
        <v>3524</v>
      </c>
      <c r="D376" s="0" t="n">
        <v>2013</v>
      </c>
      <c r="E376" s="0" t="s">
        <v>543</v>
      </c>
      <c r="F376" s="0" t="n">
        <v>9929</v>
      </c>
      <c r="G376" s="0" t="s">
        <v>3101</v>
      </c>
      <c r="H376" s="0" t="s">
        <v>3068</v>
      </c>
      <c r="I376" s="0" t="n">
        <v>9929</v>
      </c>
      <c r="J376" s="0" t="s">
        <v>3424</v>
      </c>
      <c r="M376" s="0" t="s">
        <v>2732</v>
      </c>
      <c r="N376" s="0" t="s">
        <v>188</v>
      </c>
      <c r="Q376" s="0" t="n">
        <v>80</v>
      </c>
      <c r="R376" s="0" t="n">
        <v>79</v>
      </c>
      <c r="U376" s="0" t="s">
        <v>3462</v>
      </c>
      <c r="V376" s="0" t="s">
        <v>3462</v>
      </c>
      <c r="Y376" s="0" t="s">
        <v>3071</v>
      </c>
      <c r="Z376" s="0" t="s">
        <v>3072</v>
      </c>
      <c r="AA376" s="0" t="s">
        <v>3433</v>
      </c>
      <c r="AC376" s="0" t="s">
        <v>3074</v>
      </c>
    </row>
    <row r="377" customFormat="false" ht="15" hidden="false" customHeight="false" outlineLevel="0" collapsed="false">
      <c r="A377" s="0" t="s">
        <v>3558</v>
      </c>
      <c r="B377" s="0" t="s">
        <v>187</v>
      </c>
      <c r="C377" s="0" t="s">
        <v>3524</v>
      </c>
      <c r="D377" s="0" t="n">
        <v>2013</v>
      </c>
      <c r="E377" s="0" t="s">
        <v>545</v>
      </c>
      <c r="F377" s="0" t="n">
        <v>10673</v>
      </c>
      <c r="G377" s="0" t="s">
        <v>3101</v>
      </c>
      <c r="H377" s="0" t="s">
        <v>3068</v>
      </c>
      <c r="I377" s="0" t="n">
        <v>10673</v>
      </c>
      <c r="J377" s="0" t="s">
        <v>3424</v>
      </c>
      <c r="M377" s="0" t="s">
        <v>2732</v>
      </c>
      <c r="N377" s="0" t="s">
        <v>188</v>
      </c>
      <c r="Q377" s="0" t="n">
        <v>80</v>
      </c>
      <c r="R377" s="0" t="n">
        <v>79</v>
      </c>
      <c r="U377" s="0" t="s">
        <v>3462</v>
      </c>
      <c r="V377" s="0" t="s">
        <v>3462</v>
      </c>
      <c r="Y377" s="0" t="s">
        <v>3071</v>
      </c>
      <c r="Z377" s="0" t="s">
        <v>3072</v>
      </c>
      <c r="AA377" s="0" t="s">
        <v>3433</v>
      </c>
      <c r="AC377" s="0" t="s">
        <v>3074</v>
      </c>
    </row>
    <row r="378" customFormat="false" ht="15" hidden="false" customHeight="false" outlineLevel="0" collapsed="false">
      <c r="A378" s="0" t="s">
        <v>3559</v>
      </c>
      <c r="B378" s="0" t="s">
        <v>187</v>
      </c>
      <c r="C378" s="0" t="s">
        <v>3524</v>
      </c>
      <c r="D378" s="0" t="n">
        <v>2013</v>
      </c>
      <c r="E378" s="0" t="s">
        <v>64</v>
      </c>
      <c r="F378" s="0" t="n">
        <v>13644</v>
      </c>
      <c r="G378" s="0" t="s">
        <v>3101</v>
      </c>
      <c r="H378" s="0" t="s">
        <v>3068</v>
      </c>
      <c r="I378" s="0" t="n">
        <v>13644</v>
      </c>
      <c r="J378" s="0" t="s">
        <v>3424</v>
      </c>
      <c r="M378" s="0" t="s">
        <v>2732</v>
      </c>
      <c r="N378" s="0" t="s">
        <v>188</v>
      </c>
      <c r="Q378" s="0" t="n">
        <v>17</v>
      </c>
      <c r="R378" s="0" t="n">
        <v>16</v>
      </c>
      <c r="U378" s="0" t="s">
        <v>3462</v>
      </c>
      <c r="V378" s="0" t="s">
        <v>3462</v>
      </c>
      <c r="Y378" s="0" t="s">
        <v>3071</v>
      </c>
      <c r="Z378" s="0" t="s">
        <v>3072</v>
      </c>
      <c r="AA378" s="0" t="s">
        <v>3433</v>
      </c>
      <c r="AC378" s="0" t="s">
        <v>3074</v>
      </c>
    </row>
    <row r="379" customFormat="false" ht="15" hidden="false" customHeight="false" outlineLevel="0" collapsed="false">
      <c r="A379" s="0" t="s">
        <v>3560</v>
      </c>
      <c r="B379" s="0" t="s">
        <v>187</v>
      </c>
      <c r="C379" s="0" t="s">
        <v>3524</v>
      </c>
      <c r="D379" s="0" t="n">
        <v>2013</v>
      </c>
      <c r="E379" s="0" t="s">
        <v>327</v>
      </c>
      <c r="F379" s="0" t="n">
        <v>5.91</v>
      </c>
      <c r="G379" s="0" t="s">
        <v>3143</v>
      </c>
      <c r="I379" s="0" t="n">
        <v>5.91</v>
      </c>
      <c r="J379" s="0" t="s">
        <v>3424</v>
      </c>
      <c r="M379" s="0" t="s">
        <v>2732</v>
      </c>
      <c r="N379" s="0" t="s">
        <v>188</v>
      </c>
      <c r="Q379" s="0" t="n">
        <v>17</v>
      </c>
      <c r="R379" s="0" t="n">
        <v>16</v>
      </c>
      <c r="U379" s="0" t="s">
        <v>3462</v>
      </c>
      <c r="V379" s="0" t="s">
        <v>3462</v>
      </c>
      <c r="Y379" s="0" t="s">
        <v>3071</v>
      </c>
      <c r="Z379" s="0" t="s">
        <v>3072</v>
      </c>
      <c r="AA379" s="0" t="s">
        <v>3433</v>
      </c>
      <c r="AC379" s="0" t="s">
        <v>3074</v>
      </c>
    </row>
    <row r="380" customFormat="false" ht="15" hidden="false" customHeight="false" outlineLevel="0" collapsed="false">
      <c r="A380" s="0" t="s">
        <v>3561</v>
      </c>
      <c r="B380" s="0" t="s">
        <v>187</v>
      </c>
      <c r="C380" s="0" t="s">
        <v>3524</v>
      </c>
      <c r="D380" s="0" t="n">
        <v>2013</v>
      </c>
      <c r="E380" s="0" t="s">
        <v>69</v>
      </c>
      <c r="F380" s="0" t="n">
        <v>24.8</v>
      </c>
      <c r="G380" s="0" t="s">
        <v>3143</v>
      </c>
      <c r="I380" s="0" t="n">
        <v>24.8</v>
      </c>
      <c r="J380" s="0" t="s">
        <v>3424</v>
      </c>
      <c r="M380" s="0" t="s">
        <v>2732</v>
      </c>
      <c r="N380" s="0" t="s">
        <v>188</v>
      </c>
      <c r="Q380" s="0" t="n">
        <v>68</v>
      </c>
      <c r="R380" s="0" t="n">
        <v>67</v>
      </c>
      <c r="U380" s="0" t="s">
        <v>3462</v>
      </c>
      <c r="V380" s="0" t="s">
        <v>3462</v>
      </c>
      <c r="Y380" s="0" t="s">
        <v>3071</v>
      </c>
      <c r="Z380" s="0" t="s">
        <v>3072</v>
      </c>
      <c r="AA380" s="0" t="s">
        <v>3542</v>
      </c>
      <c r="AC380" s="0" t="s">
        <v>3074</v>
      </c>
    </row>
    <row r="381" customFormat="false" ht="15" hidden="false" customHeight="false" outlineLevel="0" collapsed="false">
      <c r="A381" s="0" t="s">
        <v>3562</v>
      </c>
      <c r="B381" s="0" t="s">
        <v>187</v>
      </c>
      <c r="C381" s="0" t="s">
        <v>3524</v>
      </c>
      <c r="D381" s="0" t="n">
        <v>2013</v>
      </c>
      <c r="E381" s="0" t="s">
        <v>65</v>
      </c>
      <c r="F381" s="0" t="n">
        <v>88989</v>
      </c>
      <c r="G381" s="0" t="s">
        <v>3101</v>
      </c>
      <c r="H381" s="0" t="s">
        <v>3068</v>
      </c>
      <c r="I381" s="0" t="n">
        <v>88989</v>
      </c>
      <c r="J381" s="0" t="s">
        <v>3424</v>
      </c>
      <c r="M381" s="0" t="s">
        <v>2732</v>
      </c>
      <c r="N381" s="0" t="s">
        <v>188</v>
      </c>
      <c r="Q381" s="0" t="n">
        <v>68</v>
      </c>
      <c r="R381" s="0" t="n">
        <v>67</v>
      </c>
      <c r="U381" s="0" t="s">
        <v>3462</v>
      </c>
      <c r="V381" s="0" t="s">
        <v>3462</v>
      </c>
      <c r="Y381" s="0" t="s">
        <v>3071</v>
      </c>
      <c r="Z381" s="0" t="s">
        <v>3072</v>
      </c>
      <c r="AA381" s="0" t="s">
        <v>3542</v>
      </c>
      <c r="AC381" s="0" t="s">
        <v>3074</v>
      </c>
    </row>
    <row r="382" customFormat="false" ht="15" hidden="false" customHeight="false" outlineLevel="0" collapsed="false">
      <c r="A382" s="0" t="s">
        <v>3563</v>
      </c>
      <c r="B382" s="0" t="s">
        <v>187</v>
      </c>
      <c r="C382" s="0" t="s">
        <v>3524</v>
      </c>
      <c r="D382" s="0" t="n">
        <v>2013</v>
      </c>
      <c r="E382" s="0" t="s">
        <v>66</v>
      </c>
      <c r="F382" s="0" t="n">
        <v>358796</v>
      </c>
      <c r="G382" s="0" t="s">
        <v>3101</v>
      </c>
      <c r="H382" s="0" t="s">
        <v>3068</v>
      </c>
      <c r="I382" s="0" t="n">
        <v>358796</v>
      </c>
      <c r="J382" s="0" t="s">
        <v>3424</v>
      </c>
      <c r="M382" s="0" t="s">
        <v>2732</v>
      </c>
      <c r="N382" s="0" t="s">
        <v>188</v>
      </c>
      <c r="Q382" s="0" t="n">
        <v>68</v>
      </c>
      <c r="R382" s="0" t="n">
        <v>67</v>
      </c>
      <c r="U382" s="0" t="s">
        <v>3462</v>
      </c>
      <c r="V382" s="0" t="s">
        <v>3462</v>
      </c>
      <c r="Y382" s="0" t="s">
        <v>3071</v>
      </c>
      <c r="Z382" s="0" t="s">
        <v>3072</v>
      </c>
      <c r="AA382" s="0" t="s">
        <v>3542</v>
      </c>
      <c r="AC382" s="0" t="s">
        <v>3074</v>
      </c>
    </row>
    <row r="383" customFormat="false" ht="15" hidden="false" customHeight="false" outlineLevel="0" collapsed="false">
      <c r="A383" s="0" t="s">
        <v>3564</v>
      </c>
      <c r="B383" s="0" t="s">
        <v>211</v>
      </c>
      <c r="C383" s="0" t="s">
        <v>3282</v>
      </c>
      <c r="D383" s="0" t="n">
        <v>2014</v>
      </c>
      <c r="E383" s="0" t="s">
        <v>60</v>
      </c>
      <c r="F383" s="0" t="n">
        <v>152292015</v>
      </c>
      <c r="G383" s="0" t="s">
        <v>3067</v>
      </c>
      <c r="H383" s="0" t="s">
        <v>3068</v>
      </c>
      <c r="I383" s="0" t="n">
        <v>152292.015</v>
      </c>
      <c r="J383" s="0" t="s">
        <v>3424</v>
      </c>
      <c r="M383" s="0" t="s">
        <v>2747</v>
      </c>
      <c r="N383" s="0" t="s">
        <v>214</v>
      </c>
      <c r="Q383" s="0" t="n">
        <v>106</v>
      </c>
      <c r="R383" s="0" t="n">
        <v>106</v>
      </c>
      <c r="U383" s="0" t="s">
        <v>3462</v>
      </c>
      <c r="V383" s="0" t="s">
        <v>3462</v>
      </c>
      <c r="Y383" s="0" t="s">
        <v>3071</v>
      </c>
      <c r="Z383" s="0" t="s">
        <v>3072</v>
      </c>
      <c r="AA383" s="0" t="s">
        <v>3565</v>
      </c>
      <c r="AC383" s="0" t="s">
        <v>3074</v>
      </c>
    </row>
    <row r="384" customFormat="false" ht="15" hidden="false" customHeight="false" outlineLevel="0" collapsed="false">
      <c r="A384" s="0" t="s">
        <v>3566</v>
      </c>
      <c r="B384" s="0" t="s">
        <v>211</v>
      </c>
      <c r="C384" s="0" t="s">
        <v>3282</v>
      </c>
      <c r="D384" s="0" t="n">
        <v>2014</v>
      </c>
      <c r="E384" s="0" t="s">
        <v>61</v>
      </c>
      <c r="F384" s="0" t="n">
        <v>2998166</v>
      </c>
      <c r="G384" s="0" t="s">
        <v>3067</v>
      </c>
      <c r="H384" s="0" t="s">
        <v>3068</v>
      </c>
      <c r="I384" s="0" t="n">
        <v>2998.166</v>
      </c>
      <c r="J384" s="0" t="s">
        <v>3424</v>
      </c>
      <c r="M384" s="0" t="s">
        <v>2747</v>
      </c>
      <c r="N384" s="0" t="s">
        <v>214</v>
      </c>
      <c r="Q384" s="0" t="n">
        <v>106</v>
      </c>
      <c r="R384" s="0" t="n">
        <v>106</v>
      </c>
      <c r="U384" s="0" t="s">
        <v>3462</v>
      </c>
      <c r="V384" s="0" t="s">
        <v>3462</v>
      </c>
      <c r="Y384" s="0" t="s">
        <v>3071</v>
      </c>
      <c r="Z384" s="0" t="s">
        <v>3072</v>
      </c>
      <c r="AA384" s="0" t="s">
        <v>3565</v>
      </c>
      <c r="AC384" s="0" t="s">
        <v>3074</v>
      </c>
    </row>
    <row r="385" customFormat="false" ht="15" hidden="false" customHeight="false" outlineLevel="0" collapsed="false">
      <c r="A385" s="0" t="s">
        <v>3567</v>
      </c>
      <c r="B385" s="0" t="s">
        <v>211</v>
      </c>
      <c r="C385" s="0" t="s">
        <v>3282</v>
      </c>
      <c r="D385" s="0" t="n">
        <v>2014</v>
      </c>
      <c r="E385" s="0" t="s">
        <v>543</v>
      </c>
      <c r="F385" s="0" t="n">
        <v>913326</v>
      </c>
      <c r="G385" s="0" t="s">
        <v>3067</v>
      </c>
      <c r="H385" s="0" t="s">
        <v>3068</v>
      </c>
      <c r="I385" s="0" t="n">
        <v>913.326</v>
      </c>
      <c r="J385" s="0" t="s">
        <v>3424</v>
      </c>
      <c r="M385" s="0" t="s">
        <v>2747</v>
      </c>
      <c r="N385" s="0" t="s">
        <v>214</v>
      </c>
      <c r="Q385" s="0" t="n">
        <v>106</v>
      </c>
      <c r="R385" s="0" t="n">
        <v>106</v>
      </c>
      <c r="U385" s="0" t="s">
        <v>3462</v>
      </c>
      <c r="V385" s="0" t="s">
        <v>3462</v>
      </c>
      <c r="Y385" s="0" t="s">
        <v>3071</v>
      </c>
      <c r="Z385" s="0" t="s">
        <v>3072</v>
      </c>
      <c r="AA385" s="0" t="s">
        <v>3565</v>
      </c>
      <c r="AC385" s="0" t="s">
        <v>3074</v>
      </c>
    </row>
    <row r="386" customFormat="false" ht="15" hidden="false" customHeight="false" outlineLevel="0" collapsed="false">
      <c r="A386" s="0" t="s">
        <v>3568</v>
      </c>
      <c r="B386" s="0" t="s">
        <v>211</v>
      </c>
      <c r="C386" s="0" t="s">
        <v>3282</v>
      </c>
      <c r="D386" s="0" t="n">
        <v>2014</v>
      </c>
      <c r="E386" s="0" t="s">
        <v>545</v>
      </c>
      <c r="F386" s="0" t="n">
        <v>2084840</v>
      </c>
      <c r="G386" s="0" t="s">
        <v>3067</v>
      </c>
      <c r="H386" s="0" t="s">
        <v>3068</v>
      </c>
      <c r="I386" s="0" t="n">
        <v>2084.84</v>
      </c>
      <c r="J386" s="0" t="s">
        <v>3424</v>
      </c>
      <c r="M386" s="0" t="s">
        <v>2747</v>
      </c>
      <c r="N386" s="0" t="s">
        <v>214</v>
      </c>
      <c r="Q386" s="0" t="n">
        <v>106</v>
      </c>
      <c r="R386" s="0" t="n">
        <v>106</v>
      </c>
      <c r="U386" s="0" t="s">
        <v>3462</v>
      </c>
      <c r="V386" s="0" t="s">
        <v>3462</v>
      </c>
      <c r="Y386" s="0" t="s">
        <v>3071</v>
      </c>
      <c r="Z386" s="0" t="s">
        <v>3072</v>
      </c>
      <c r="AA386" s="0" t="s">
        <v>3565</v>
      </c>
      <c r="AC386" s="0" t="s">
        <v>3074</v>
      </c>
    </row>
    <row r="387" customFormat="false" ht="15" hidden="false" customHeight="false" outlineLevel="0" collapsed="false">
      <c r="A387" s="0" t="s">
        <v>3569</v>
      </c>
      <c r="B387" s="0" t="s">
        <v>211</v>
      </c>
      <c r="C387" s="0" t="s">
        <v>3282</v>
      </c>
      <c r="D387" s="0" t="n">
        <v>2014</v>
      </c>
      <c r="E387" s="0" t="s">
        <v>3570</v>
      </c>
      <c r="F387" s="0" t="n">
        <v>1533745</v>
      </c>
      <c r="G387" s="0" t="s">
        <v>3067</v>
      </c>
      <c r="H387" s="0" t="s">
        <v>3068</v>
      </c>
      <c r="I387" s="0" t="n">
        <v>1533.745</v>
      </c>
      <c r="J387" s="0" t="s">
        <v>3424</v>
      </c>
      <c r="M387" s="0" t="s">
        <v>2747</v>
      </c>
      <c r="N387" s="0" t="s">
        <v>214</v>
      </c>
      <c r="Q387" s="0" t="n">
        <v>109</v>
      </c>
      <c r="R387" s="0" t="n">
        <v>109</v>
      </c>
      <c r="U387" s="0" t="s">
        <v>3462</v>
      </c>
      <c r="V387" s="0" t="s">
        <v>3462</v>
      </c>
      <c r="Y387" s="0" t="s">
        <v>3071</v>
      </c>
      <c r="Z387" s="0" t="s">
        <v>3072</v>
      </c>
      <c r="AA387" s="0" t="s">
        <v>3571</v>
      </c>
      <c r="AC387" s="0" t="s">
        <v>3074</v>
      </c>
    </row>
    <row r="388" customFormat="false" ht="15" hidden="false" customHeight="false" outlineLevel="0" collapsed="false">
      <c r="A388" s="0" t="s">
        <v>3572</v>
      </c>
      <c r="B388" s="0" t="s">
        <v>211</v>
      </c>
      <c r="C388" s="0" t="s">
        <v>3282</v>
      </c>
      <c r="D388" s="0" t="n">
        <v>2015</v>
      </c>
      <c r="E388" s="0" t="s">
        <v>60</v>
      </c>
      <c r="F388" s="0" t="n">
        <v>188022922</v>
      </c>
      <c r="G388" s="0" t="s">
        <v>3067</v>
      </c>
      <c r="H388" s="0" t="s">
        <v>3068</v>
      </c>
      <c r="I388" s="0" t="n">
        <v>188022.922</v>
      </c>
      <c r="J388" s="0" t="s">
        <v>3424</v>
      </c>
      <c r="M388" s="0" t="s">
        <v>2747</v>
      </c>
      <c r="N388" s="0" t="s">
        <v>214</v>
      </c>
      <c r="Q388" s="0" t="n">
        <v>106</v>
      </c>
      <c r="R388" s="0" t="n">
        <v>106</v>
      </c>
      <c r="U388" s="0" t="s">
        <v>3462</v>
      </c>
      <c r="V388" s="0" t="s">
        <v>3462</v>
      </c>
      <c r="Y388" s="0" t="s">
        <v>3071</v>
      </c>
      <c r="Z388" s="0" t="s">
        <v>3072</v>
      </c>
      <c r="AA388" s="0" t="s">
        <v>3565</v>
      </c>
      <c r="AC388" s="0" t="s">
        <v>3074</v>
      </c>
    </row>
    <row r="389" customFormat="false" ht="15" hidden="false" customHeight="false" outlineLevel="0" collapsed="false">
      <c r="A389" s="0" t="s">
        <v>3573</v>
      </c>
      <c r="B389" s="0" t="s">
        <v>211</v>
      </c>
      <c r="C389" s="0" t="s">
        <v>3282</v>
      </c>
      <c r="D389" s="0" t="n">
        <v>2015</v>
      </c>
      <c r="E389" s="0" t="s">
        <v>61</v>
      </c>
      <c r="F389" s="0" t="n">
        <v>2426332</v>
      </c>
      <c r="G389" s="0" t="s">
        <v>3067</v>
      </c>
      <c r="H389" s="0" t="s">
        <v>3068</v>
      </c>
      <c r="I389" s="0" t="n">
        <v>2426.332</v>
      </c>
      <c r="J389" s="0" t="s">
        <v>3424</v>
      </c>
      <c r="M389" s="0" t="s">
        <v>2747</v>
      </c>
      <c r="N389" s="0" t="s">
        <v>214</v>
      </c>
      <c r="Q389" s="0" t="n">
        <v>106</v>
      </c>
      <c r="R389" s="0" t="n">
        <v>106</v>
      </c>
      <c r="U389" s="0" t="s">
        <v>3462</v>
      </c>
      <c r="V389" s="0" t="s">
        <v>3462</v>
      </c>
      <c r="Y389" s="0" t="s">
        <v>3071</v>
      </c>
      <c r="Z389" s="0" t="s">
        <v>3072</v>
      </c>
      <c r="AA389" s="0" t="s">
        <v>3565</v>
      </c>
      <c r="AC389" s="0" t="s">
        <v>3074</v>
      </c>
    </row>
    <row r="390" customFormat="false" ht="15" hidden="false" customHeight="false" outlineLevel="0" collapsed="false">
      <c r="A390" s="0" t="s">
        <v>3574</v>
      </c>
      <c r="B390" s="0" t="s">
        <v>211</v>
      </c>
      <c r="C390" s="0" t="s">
        <v>3282</v>
      </c>
      <c r="D390" s="0" t="n">
        <v>2015</v>
      </c>
      <c r="E390" s="0" t="s">
        <v>543</v>
      </c>
      <c r="F390" s="0" t="n">
        <v>1327916</v>
      </c>
      <c r="G390" s="0" t="s">
        <v>3067</v>
      </c>
      <c r="H390" s="0" t="s">
        <v>3068</v>
      </c>
      <c r="I390" s="0" t="n">
        <v>1327.916</v>
      </c>
      <c r="J390" s="0" t="s">
        <v>3424</v>
      </c>
      <c r="M390" s="0" t="s">
        <v>2747</v>
      </c>
      <c r="N390" s="0" t="s">
        <v>214</v>
      </c>
      <c r="Q390" s="0" t="n">
        <v>106</v>
      </c>
      <c r="R390" s="0" t="n">
        <v>106</v>
      </c>
      <c r="U390" s="0" t="s">
        <v>3462</v>
      </c>
      <c r="V390" s="0" t="s">
        <v>3462</v>
      </c>
      <c r="Y390" s="0" t="s">
        <v>3071</v>
      </c>
      <c r="Z390" s="0" t="s">
        <v>3072</v>
      </c>
      <c r="AA390" s="0" t="s">
        <v>3565</v>
      </c>
      <c r="AC390" s="0" t="s">
        <v>3074</v>
      </c>
    </row>
    <row r="391" customFormat="false" ht="15" hidden="false" customHeight="false" outlineLevel="0" collapsed="false">
      <c r="A391" s="0" t="s">
        <v>3575</v>
      </c>
      <c r="B391" s="0" t="s">
        <v>211</v>
      </c>
      <c r="C391" s="0" t="s">
        <v>3282</v>
      </c>
      <c r="D391" s="0" t="n">
        <v>2015</v>
      </c>
      <c r="E391" s="0" t="s">
        <v>545</v>
      </c>
      <c r="F391" s="0" t="n">
        <v>1098416</v>
      </c>
      <c r="G391" s="0" t="s">
        <v>3067</v>
      </c>
      <c r="H391" s="0" t="s">
        <v>3068</v>
      </c>
      <c r="I391" s="0" t="n">
        <v>1098.416</v>
      </c>
      <c r="J391" s="0" t="s">
        <v>3424</v>
      </c>
      <c r="M391" s="0" t="s">
        <v>2747</v>
      </c>
      <c r="N391" s="0" t="s">
        <v>214</v>
      </c>
      <c r="Q391" s="0" t="n">
        <v>106</v>
      </c>
      <c r="R391" s="0" t="n">
        <v>106</v>
      </c>
      <c r="U391" s="0" t="s">
        <v>3462</v>
      </c>
      <c r="V391" s="0" t="s">
        <v>3462</v>
      </c>
      <c r="Y391" s="0" t="s">
        <v>3071</v>
      </c>
      <c r="Z391" s="0" t="s">
        <v>3072</v>
      </c>
      <c r="AA391" s="0" t="s">
        <v>3565</v>
      </c>
      <c r="AC391" s="0" t="s">
        <v>3074</v>
      </c>
    </row>
    <row r="392" customFormat="false" ht="15" hidden="false" customHeight="false" outlineLevel="0" collapsed="false">
      <c r="A392" s="0" t="s">
        <v>3576</v>
      </c>
      <c r="B392" s="0" t="s">
        <v>211</v>
      </c>
      <c r="C392" s="0" t="s">
        <v>3282</v>
      </c>
      <c r="D392" s="0" t="n">
        <v>2015</v>
      </c>
      <c r="E392" s="0" t="s">
        <v>3570</v>
      </c>
      <c r="F392" s="0" t="n">
        <v>2618694</v>
      </c>
      <c r="G392" s="0" t="s">
        <v>3067</v>
      </c>
      <c r="H392" s="0" t="s">
        <v>3068</v>
      </c>
      <c r="I392" s="0" t="n">
        <v>2618.694</v>
      </c>
      <c r="J392" s="0" t="s">
        <v>3424</v>
      </c>
      <c r="M392" s="0" t="s">
        <v>2747</v>
      </c>
      <c r="N392" s="0" t="s">
        <v>214</v>
      </c>
      <c r="Q392" s="0" t="n">
        <v>108</v>
      </c>
      <c r="R392" s="0" t="n">
        <v>108</v>
      </c>
      <c r="U392" s="0" t="s">
        <v>3462</v>
      </c>
      <c r="V392" s="0" t="s">
        <v>3462</v>
      </c>
      <c r="Y392" s="0" t="s">
        <v>3071</v>
      </c>
      <c r="Z392" s="0" t="s">
        <v>3072</v>
      </c>
      <c r="AA392" s="0" t="s">
        <v>3571</v>
      </c>
      <c r="AC392" s="0" t="s">
        <v>3074</v>
      </c>
    </row>
    <row r="393" customFormat="false" ht="15" hidden="false" customHeight="false" outlineLevel="0" collapsed="false">
      <c r="A393" s="0" t="s">
        <v>3577</v>
      </c>
      <c r="B393" s="0" t="s">
        <v>211</v>
      </c>
      <c r="C393" s="0" t="s">
        <v>3282</v>
      </c>
      <c r="D393" s="0" t="n">
        <v>2014</v>
      </c>
      <c r="E393" s="0" t="s">
        <v>69</v>
      </c>
      <c r="F393" s="0" t="n">
        <v>18.22</v>
      </c>
      <c r="G393" s="0" t="s">
        <v>3143</v>
      </c>
      <c r="I393" s="0" t="n">
        <v>18.22</v>
      </c>
      <c r="J393" s="0" t="s">
        <v>3424</v>
      </c>
      <c r="M393" s="0" t="s">
        <v>2747</v>
      </c>
      <c r="N393" s="0" t="s">
        <v>214</v>
      </c>
      <c r="Q393" s="0" t="n">
        <v>145</v>
      </c>
      <c r="R393" s="0" t="n">
        <v>145</v>
      </c>
      <c r="U393" s="0" t="s">
        <v>3462</v>
      </c>
      <c r="V393" s="0" t="s">
        <v>3462</v>
      </c>
      <c r="Y393" s="0" t="s">
        <v>3071</v>
      </c>
      <c r="Z393" s="0" t="s">
        <v>3072</v>
      </c>
      <c r="AA393" s="0" t="s">
        <v>3578</v>
      </c>
      <c r="AC393" s="0" t="s">
        <v>3074</v>
      </c>
    </row>
    <row r="394" customFormat="false" ht="15" hidden="false" customHeight="false" outlineLevel="0" collapsed="false">
      <c r="A394" s="0" t="s">
        <v>3579</v>
      </c>
      <c r="B394" s="0" t="s">
        <v>211</v>
      </c>
      <c r="C394" s="0" t="s">
        <v>3282</v>
      </c>
      <c r="D394" s="0" t="n">
        <v>2014</v>
      </c>
      <c r="E394" s="0" t="s">
        <v>66</v>
      </c>
      <c r="F394" s="0" t="n">
        <v>120969415</v>
      </c>
      <c r="G394" s="0" t="s">
        <v>3067</v>
      </c>
      <c r="H394" s="0" t="s">
        <v>3068</v>
      </c>
      <c r="I394" s="0" t="n">
        <v>120969.415</v>
      </c>
      <c r="J394" s="0" t="s">
        <v>3424</v>
      </c>
      <c r="M394" s="0" t="s">
        <v>2747</v>
      </c>
      <c r="N394" s="0" t="s">
        <v>214</v>
      </c>
      <c r="Q394" s="0" t="n">
        <v>145</v>
      </c>
      <c r="R394" s="0" t="n">
        <v>145</v>
      </c>
      <c r="U394" s="0" t="s">
        <v>3462</v>
      </c>
      <c r="V394" s="0" t="s">
        <v>3462</v>
      </c>
      <c r="Y394" s="0" t="s">
        <v>3071</v>
      </c>
      <c r="Z394" s="0" t="s">
        <v>3072</v>
      </c>
      <c r="AA394" s="0" t="s">
        <v>3580</v>
      </c>
      <c r="AC394" s="0" t="s">
        <v>3074</v>
      </c>
    </row>
    <row r="395" customFormat="false" ht="15" hidden="false" customHeight="false" outlineLevel="0" collapsed="false">
      <c r="A395" s="0" t="s">
        <v>3581</v>
      </c>
      <c r="B395" s="0" t="s">
        <v>211</v>
      </c>
      <c r="C395" s="0" t="s">
        <v>3282</v>
      </c>
      <c r="D395" s="0" t="n">
        <v>2014</v>
      </c>
      <c r="E395" s="0" t="s">
        <v>327</v>
      </c>
      <c r="F395" s="0" t="n">
        <v>2.49</v>
      </c>
      <c r="G395" s="0" t="s">
        <v>3143</v>
      </c>
      <c r="I395" s="0" t="n">
        <v>2.49</v>
      </c>
      <c r="J395" s="0" t="s">
        <v>3424</v>
      </c>
      <c r="M395" s="0" t="s">
        <v>2747</v>
      </c>
      <c r="N395" s="0" t="s">
        <v>214</v>
      </c>
      <c r="Q395" s="0" t="n">
        <v>6</v>
      </c>
      <c r="R395" s="0" t="n">
        <v>6</v>
      </c>
      <c r="U395" s="0" t="s">
        <v>3462</v>
      </c>
      <c r="V395" s="0" t="s">
        <v>3462</v>
      </c>
      <c r="Y395" s="0" t="s">
        <v>3071</v>
      </c>
      <c r="Z395" s="0" t="s">
        <v>3072</v>
      </c>
      <c r="AA395" s="0" t="s">
        <v>3582</v>
      </c>
      <c r="AC395" s="0" t="s">
        <v>3074</v>
      </c>
    </row>
    <row r="396" customFormat="false" ht="15" hidden="false" customHeight="false" outlineLevel="0" collapsed="false">
      <c r="A396" s="0" t="s">
        <v>3583</v>
      </c>
      <c r="B396" s="0" t="s">
        <v>211</v>
      </c>
      <c r="C396" s="0" t="s">
        <v>3282</v>
      </c>
      <c r="D396" s="0" t="n">
        <v>2015</v>
      </c>
      <c r="E396" s="0" t="s">
        <v>69</v>
      </c>
      <c r="F396" s="0" t="n">
        <v>15.09</v>
      </c>
      <c r="G396" s="0" t="s">
        <v>3143</v>
      </c>
      <c r="I396" s="0" t="n">
        <v>15.09</v>
      </c>
      <c r="J396" s="0" t="s">
        <v>3424</v>
      </c>
      <c r="M396" s="0" t="s">
        <v>2747</v>
      </c>
      <c r="N396" s="0" t="s">
        <v>214</v>
      </c>
      <c r="Q396" s="0" t="n">
        <v>145</v>
      </c>
      <c r="R396" s="0" t="n">
        <v>145</v>
      </c>
      <c r="U396" s="0" t="s">
        <v>3462</v>
      </c>
      <c r="V396" s="0" t="s">
        <v>3462</v>
      </c>
      <c r="Y396" s="0" t="s">
        <v>3071</v>
      </c>
      <c r="Z396" s="0" t="s">
        <v>3072</v>
      </c>
      <c r="AA396" s="0" t="s">
        <v>3578</v>
      </c>
      <c r="AC396" s="0" t="s">
        <v>3074</v>
      </c>
    </row>
    <row r="397" customFormat="false" ht="15" hidden="false" customHeight="false" outlineLevel="0" collapsed="false">
      <c r="A397" s="0" t="s">
        <v>3584</v>
      </c>
      <c r="B397" s="0" t="s">
        <v>211</v>
      </c>
      <c r="C397" s="0" t="s">
        <v>3282</v>
      </c>
      <c r="D397" s="0" t="n">
        <v>2015</v>
      </c>
      <c r="E397" s="0" t="s">
        <v>66</v>
      </c>
      <c r="F397" s="0" t="n">
        <v>170851205</v>
      </c>
      <c r="G397" s="0" t="s">
        <v>3067</v>
      </c>
      <c r="H397" s="0" t="s">
        <v>3068</v>
      </c>
      <c r="I397" s="0" t="n">
        <v>170851.205</v>
      </c>
      <c r="J397" s="0" t="s">
        <v>3424</v>
      </c>
      <c r="M397" s="0" t="s">
        <v>2747</v>
      </c>
      <c r="N397" s="0" t="s">
        <v>214</v>
      </c>
      <c r="Q397" s="0" t="n">
        <v>145</v>
      </c>
      <c r="R397" s="0" t="n">
        <v>145</v>
      </c>
      <c r="U397" s="0" t="s">
        <v>3462</v>
      </c>
      <c r="V397" s="0" t="s">
        <v>3462</v>
      </c>
      <c r="Y397" s="0" t="s">
        <v>3071</v>
      </c>
      <c r="Z397" s="0" t="s">
        <v>3072</v>
      </c>
      <c r="AA397" s="0" t="s">
        <v>3580</v>
      </c>
      <c r="AC397" s="0" t="s">
        <v>3074</v>
      </c>
    </row>
    <row r="398" customFormat="false" ht="15" hidden="false" customHeight="false" outlineLevel="0" collapsed="false">
      <c r="A398" s="0" t="s">
        <v>3585</v>
      </c>
      <c r="B398" s="0" t="s">
        <v>211</v>
      </c>
      <c r="C398" s="0" t="s">
        <v>3282</v>
      </c>
      <c r="D398" s="0" t="n">
        <v>2015</v>
      </c>
      <c r="E398" s="0" t="s">
        <v>327</v>
      </c>
      <c r="F398" s="0" t="n">
        <v>2.67</v>
      </c>
      <c r="G398" s="0" t="s">
        <v>3143</v>
      </c>
      <c r="I398" s="0" t="n">
        <v>2.67</v>
      </c>
      <c r="J398" s="0" t="s">
        <v>3424</v>
      </c>
      <c r="M398" s="0" t="s">
        <v>2747</v>
      </c>
      <c r="N398" s="0" t="s">
        <v>214</v>
      </c>
      <c r="Q398" s="0" t="n">
        <v>6</v>
      </c>
      <c r="R398" s="0" t="n">
        <v>6</v>
      </c>
      <c r="U398" s="0" t="s">
        <v>3462</v>
      </c>
      <c r="V398" s="0" t="s">
        <v>3462</v>
      </c>
      <c r="Y398" s="0" t="s">
        <v>3071</v>
      </c>
      <c r="Z398" s="0" t="s">
        <v>3072</v>
      </c>
      <c r="AA398" s="0" t="s">
        <v>3582</v>
      </c>
      <c r="AC398" s="0" t="s">
        <v>3074</v>
      </c>
    </row>
    <row r="399" customFormat="false" ht="15" hidden="false" customHeight="false" outlineLevel="0" collapsed="false">
      <c r="A399" s="0" t="s">
        <v>3586</v>
      </c>
      <c r="B399" s="0" t="s">
        <v>100</v>
      </c>
      <c r="C399" s="0" t="s">
        <v>3587</v>
      </c>
      <c r="D399" s="0" t="n">
        <v>2017</v>
      </c>
      <c r="E399" s="0" t="s">
        <v>54</v>
      </c>
      <c r="F399" s="0" t="n">
        <v>20204</v>
      </c>
      <c r="G399" s="0" t="s">
        <v>3101</v>
      </c>
      <c r="H399" s="0" t="s">
        <v>3068</v>
      </c>
      <c r="I399" s="0" t="n">
        <v>20204</v>
      </c>
      <c r="J399" s="0" t="s">
        <v>3424</v>
      </c>
      <c r="M399" s="0" t="s">
        <v>2681</v>
      </c>
      <c r="N399" s="0" t="s">
        <v>107</v>
      </c>
      <c r="Q399" s="0" t="n">
        <v>1</v>
      </c>
      <c r="R399" s="0" t="s">
        <v>3588</v>
      </c>
      <c r="U399" s="0" t="s">
        <v>3462</v>
      </c>
      <c r="V399" s="0" t="s">
        <v>3462</v>
      </c>
      <c r="Y399" s="0" t="s">
        <v>3071</v>
      </c>
      <c r="Z399" s="0" t="s">
        <v>3072</v>
      </c>
      <c r="AA399" s="0" t="s">
        <v>3589</v>
      </c>
      <c r="AC399" s="0" t="s">
        <v>3074</v>
      </c>
    </row>
    <row r="400" customFormat="false" ht="15" hidden="false" customHeight="false" outlineLevel="0" collapsed="false">
      <c r="A400" s="0" t="s">
        <v>3590</v>
      </c>
      <c r="B400" s="0" t="s">
        <v>100</v>
      </c>
      <c r="C400" s="0" t="s">
        <v>3587</v>
      </c>
      <c r="D400" s="0" t="n">
        <v>2017</v>
      </c>
      <c r="E400" s="0" t="s">
        <v>1327</v>
      </c>
      <c r="F400" s="0" t="n">
        <v>251061</v>
      </c>
      <c r="G400" s="0" t="s">
        <v>3101</v>
      </c>
      <c r="H400" s="0" t="s">
        <v>3068</v>
      </c>
      <c r="I400" s="0" t="n">
        <v>251061</v>
      </c>
      <c r="J400" s="0" t="s">
        <v>3424</v>
      </c>
      <c r="M400" s="0" t="s">
        <v>2681</v>
      </c>
      <c r="N400" s="0" t="s">
        <v>107</v>
      </c>
      <c r="Q400" s="0" t="n">
        <v>1</v>
      </c>
      <c r="R400" s="0" t="s">
        <v>3588</v>
      </c>
      <c r="U400" s="0" t="s">
        <v>3462</v>
      </c>
      <c r="V400" s="0" t="s">
        <v>3462</v>
      </c>
      <c r="Y400" s="0" t="s">
        <v>3071</v>
      </c>
      <c r="Z400" s="0" t="s">
        <v>3072</v>
      </c>
      <c r="AA400" s="0" t="s">
        <v>3589</v>
      </c>
      <c r="AC400" s="0" t="s">
        <v>3074</v>
      </c>
    </row>
    <row r="401" customFormat="false" ht="15" hidden="false" customHeight="false" outlineLevel="0" collapsed="false">
      <c r="A401" s="0" t="s">
        <v>3591</v>
      </c>
      <c r="B401" s="0" t="s">
        <v>100</v>
      </c>
      <c r="C401" s="0" t="s">
        <v>3587</v>
      </c>
      <c r="D401" s="0" t="n">
        <v>2017</v>
      </c>
      <c r="E401" s="0" t="s">
        <v>63</v>
      </c>
      <c r="F401" s="0" t="n">
        <v>59901</v>
      </c>
      <c r="G401" s="0" t="s">
        <v>3101</v>
      </c>
      <c r="H401" s="0" t="s">
        <v>3068</v>
      </c>
      <c r="I401" s="0" t="n">
        <v>59901</v>
      </c>
      <c r="J401" s="0" t="s">
        <v>3424</v>
      </c>
      <c r="M401" s="0" t="s">
        <v>2681</v>
      </c>
      <c r="N401" s="0" t="s">
        <v>107</v>
      </c>
      <c r="Q401" s="0" t="n">
        <v>1</v>
      </c>
      <c r="R401" s="0" t="s">
        <v>3588</v>
      </c>
      <c r="U401" s="0" t="s">
        <v>3462</v>
      </c>
      <c r="V401" s="0" t="s">
        <v>3462</v>
      </c>
      <c r="Y401" s="0" t="s">
        <v>3071</v>
      </c>
      <c r="Z401" s="0" t="s">
        <v>3072</v>
      </c>
      <c r="AA401" s="0" t="s">
        <v>3589</v>
      </c>
      <c r="AC401" s="0" t="s">
        <v>3074</v>
      </c>
    </row>
    <row r="402" customFormat="false" ht="15" hidden="false" customHeight="false" outlineLevel="0" collapsed="false">
      <c r="A402" s="0" t="s">
        <v>3592</v>
      </c>
      <c r="B402" s="0" t="s">
        <v>100</v>
      </c>
      <c r="C402" s="0" t="s">
        <v>3587</v>
      </c>
      <c r="D402" s="0" t="n">
        <v>2017</v>
      </c>
      <c r="E402" s="0" t="s">
        <v>55</v>
      </c>
      <c r="F402" s="0" t="n">
        <v>1829761</v>
      </c>
      <c r="G402" s="0" t="s">
        <v>3101</v>
      </c>
      <c r="H402" s="0" t="s">
        <v>3068</v>
      </c>
      <c r="I402" s="0" t="n">
        <v>1829761</v>
      </c>
      <c r="J402" s="0" t="s">
        <v>3424</v>
      </c>
      <c r="M402" s="0" t="s">
        <v>2681</v>
      </c>
      <c r="N402" s="0" t="s">
        <v>107</v>
      </c>
      <c r="Q402" s="0" t="n">
        <v>1</v>
      </c>
      <c r="R402" s="0" t="s">
        <v>3588</v>
      </c>
      <c r="U402" s="0" t="s">
        <v>3462</v>
      </c>
      <c r="V402" s="0" t="s">
        <v>3462</v>
      </c>
      <c r="Y402" s="0" t="s">
        <v>3071</v>
      </c>
      <c r="Z402" s="0" t="s">
        <v>3072</v>
      </c>
      <c r="AA402" s="0" t="s">
        <v>3589</v>
      </c>
      <c r="AC402" s="0" t="s">
        <v>3074</v>
      </c>
    </row>
    <row r="403" customFormat="false" ht="15" hidden="false" customHeight="false" outlineLevel="0" collapsed="false">
      <c r="A403" s="0" t="s">
        <v>3593</v>
      </c>
      <c r="B403" s="0" t="s">
        <v>100</v>
      </c>
      <c r="C403" s="0" t="s">
        <v>3587</v>
      </c>
      <c r="D403" s="0" t="n">
        <v>2017</v>
      </c>
      <c r="E403" s="0" t="s">
        <v>56</v>
      </c>
      <c r="F403" s="0" t="n">
        <v>1562432</v>
      </c>
      <c r="G403" s="0" t="s">
        <v>3101</v>
      </c>
      <c r="H403" s="0" t="s">
        <v>3068</v>
      </c>
      <c r="I403" s="0" t="n">
        <v>1562432</v>
      </c>
      <c r="J403" s="0" t="s">
        <v>3424</v>
      </c>
      <c r="M403" s="0" t="s">
        <v>2681</v>
      </c>
      <c r="N403" s="0" t="s">
        <v>107</v>
      </c>
      <c r="Q403" s="0" t="n">
        <v>1</v>
      </c>
      <c r="R403" s="0" t="s">
        <v>3588</v>
      </c>
      <c r="U403" s="0" t="s">
        <v>3462</v>
      </c>
      <c r="V403" s="0" t="s">
        <v>3462</v>
      </c>
      <c r="Y403" s="0" t="s">
        <v>3071</v>
      </c>
      <c r="Z403" s="0" t="s">
        <v>3072</v>
      </c>
      <c r="AA403" s="0" t="s">
        <v>3589</v>
      </c>
      <c r="AC403" s="0" t="s">
        <v>3074</v>
      </c>
    </row>
    <row r="404" customFormat="false" ht="15" hidden="false" customHeight="false" outlineLevel="0" collapsed="false">
      <c r="A404" s="0" t="s">
        <v>3594</v>
      </c>
      <c r="B404" s="0" t="s">
        <v>100</v>
      </c>
      <c r="C404" s="0" t="s">
        <v>3587</v>
      </c>
      <c r="D404" s="0" t="n">
        <v>2017</v>
      </c>
      <c r="E404" s="0" t="s">
        <v>57</v>
      </c>
      <c r="F404" s="0" t="n">
        <v>267329</v>
      </c>
      <c r="G404" s="0" t="s">
        <v>3101</v>
      </c>
      <c r="H404" s="0" t="s">
        <v>3068</v>
      </c>
      <c r="I404" s="0" t="n">
        <v>267329</v>
      </c>
      <c r="J404" s="0" t="s">
        <v>3424</v>
      </c>
      <c r="M404" s="0" t="s">
        <v>2681</v>
      </c>
      <c r="N404" s="0" t="s">
        <v>107</v>
      </c>
      <c r="Q404" s="0" t="n">
        <v>1</v>
      </c>
      <c r="R404" s="0" t="s">
        <v>3588</v>
      </c>
      <c r="U404" s="0" t="s">
        <v>3462</v>
      </c>
      <c r="V404" s="0" t="s">
        <v>3462</v>
      </c>
      <c r="Y404" s="0" t="s">
        <v>3071</v>
      </c>
      <c r="Z404" s="0" t="s">
        <v>3072</v>
      </c>
      <c r="AA404" s="0" t="s">
        <v>3589</v>
      </c>
      <c r="AC404" s="0" t="s">
        <v>3074</v>
      </c>
    </row>
    <row r="405" customFormat="false" ht="15" hidden="false" customHeight="false" outlineLevel="0" collapsed="false">
      <c r="A405" s="0" t="s">
        <v>3595</v>
      </c>
      <c r="B405" s="0" t="s">
        <v>100</v>
      </c>
      <c r="C405" s="0" t="s">
        <v>3587</v>
      </c>
      <c r="D405" s="0" t="n">
        <v>2017</v>
      </c>
      <c r="E405" s="0" t="s">
        <v>62</v>
      </c>
      <c r="F405" s="0" t="n">
        <v>831573</v>
      </c>
      <c r="G405" s="0" t="s">
        <v>3101</v>
      </c>
      <c r="H405" s="0" t="s">
        <v>3068</v>
      </c>
      <c r="I405" s="0" t="n">
        <v>831573</v>
      </c>
      <c r="J405" s="0" t="s">
        <v>3424</v>
      </c>
      <c r="M405" s="0" t="s">
        <v>2681</v>
      </c>
      <c r="N405" s="0" t="s">
        <v>107</v>
      </c>
      <c r="Q405" s="0" t="n">
        <v>1</v>
      </c>
      <c r="R405" s="0" t="s">
        <v>3588</v>
      </c>
      <c r="U405" s="0" t="s">
        <v>3462</v>
      </c>
      <c r="V405" s="0" t="s">
        <v>3462</v>
      </c>
      <c r="Y405" s="0" t="s">
        <v>3071</v>
      </c>
      <c r="Z405" s="0" t="s">
        <v>3072</v>
      </c>
      <c r="AA405" s="0" t="s">
        <v>3589</v>
      </c>
      <c r="AC405" s="0" t="s">
        <v>3074</v>
      </c>
    </row>
    <row r="406" customFormat="false" ht="15" hidden="false" customHeight="false" outlineLevel="0" collapsed="false">
      <c r="A406" s="0" t="s">
        <v>3596</v>
      </c>
      <c r="B406" s="0" t="s">
        <v>100</v>
      </c>
      <c r="C406" s="0" t="s">
        <v>3587</v>
      </c>
      <c r="D406" s="0" t="n">
        <v>2017</v>
      </c>
      <c r="E406" s="0" t="s">
        <v>3066</v>
      </c>
      <c r="F406" s="0" t="n">
        <v>1098302</v>
      </c>
      <c r="G406" s="0" t="s">
        <v>3101</v>
      </c>
      <c r="H406" s="0" t="s">
        <v>3068</v>
      </c>
      <c r="I406" s="0" t="n">
        <v>1098302</v>
      </c>
      <c r="J406" s="0" t="s">
        <v>3424</v>
      </c>
      <c r="M406" s="0" t="s">
        <v>2681</v>
      </c>
      <c r="N406" s="0" t="s">
        <v>107</v>
      </c>
      <c r="Q406" s="0" t="n">
        <v>1</v>
      </c>
      <c r="R406" s="0" t="s">
        <v>3588</v>
      </c>
      <c r="U406" s="0" t="s">
        <v>3462</v>
      </c>
      <c r="V406" s="0" t="s">
        <v>3462</v>
      </c>
      <c r="Y406" s="0" t="s">
        <v>3071</v>
      </c>
      <c r="Z406" s="0" t="s">
        <v>3072</v>
      </c>
      <c r="AA406" s="0" t="s">
        <v>3589</v>
      </c>
      <c r="AC406" s="0" t="s">
        <v>3074</v>
      </c>
    </row>
    <row r="407" customFormat="false" ht="15" hidden="false" customHeight="false" outlineLevel="0" collapsed="false">
      <c r="A407" s="0" t="s">
        <v>3597</v>
      </c>
      <c r="B407" s="0" t="s">
        <v>100</v>
      </c>
      <c r="C407" s="0" t="s">
        <v>3587</v>
      </c>
      <c r="D407" s="0" t="n">
        <v>2017</v>
      </c>
      <c r="E407" s="0" t="s">
        <v>327</v>
      </c>
      <c r="F407" s="0" t="n">
        <v>14.5</v>
      </c>
      <c r="G407" s="0" t="s">
        <v>3143</v>
      </c>
      <c r="I407" s="0" t="n">
        <v>14.5</v>
      </c>
      <c r="J407" s="0" t="s">
        <v>3424</v>
      </c>
      <c r="M407" s="0" t="s">
        <v>2681</v>
      </c>
      <c r="N407" s="0" t="s">
        <v>107</v>
      </c>
      <c r="Q407" s="0" t="n">
        <v>1</v>
      </c>
      <c r="R407" s="0" t="s">
        <v>3588</v>
      </c>
      <c r="U407" s="0" t="s">
        <v>3462</v>
      </c>
      <c r="V407" s="0" t="s">
        <v>3462</v>
      </c>
      <c r="Y407" s="0" t="s">
        <v>3071</v>
      </c>
      <c r="Z407" s="0" t="s">
        <v>3072</v>
      </c>
      <c r="AA407" s="0" t="s">
        <v>3589</v>
      </c>
      <c r="AC407" s="0" t="s">
        <v>3074</v>
      </c>
    </row>
    <row r="408" customFormat="false" ht="15" hidden="false" customHeight="false" outlineLevel="0" collapsed="false">
      <c r="A408" s="0" t="s">
        <v>3598</v>
      </c>
      <c r="B408" s="0" t="s">
        <v>100</v>
      </c>
      <c r="C408" s="0" t="s">
        <v>3587</v>
      </c>
      <c r="D408" s="0" t="n">
        <v>2016</v>
      </c>
      <c r="E408" s="0" t="s">
        <v>54</v>
      </c>
      <c r="F408" s="0" t="n">
        <v>5780</v>
      </c>
      <c r="G408" s="0" t="s">
        <v>3101</v>
      </c>
      <c r="H408" s="0" t="s">
        <v>3068</v>
      </c>
      <c r="I408" s="0" t="n">
        <v>5780</v>
      </c>
      <c r="J408" s="0" t="s">
        <v>3424</v>
      </c>
      <c r="M408" s="0" t="s">
        <v>2681</v>
      </c>
      <c r="N408" s="0" t="s">
        <v>107</v>
      </c>
      <c r="Q408" s="0" t="n">
        <v>1</v>
      </c>
      <c r="R408" s="0" t="s">
        <v>3588</v>
      </c>
      <c r="U408" s="0" t="s">
        <v>3462</v>
      </c>
      <c r="V408" s="0" t="s">
        <v>3462</v>
      </c>
      <c r="Y408" s="0" t="s">
        <v>3071</v>
      </c>
      <c r="Z408" s="0" t="s">
        <v>3072</v>
      </c>
      <c r="AA408" s="0" t="s">
        <v>3589</v>
      </c>
      <c r="AC408" s="0" t="s">
        <v>3074</v>
      </c>
    </row>
    <row r="409" customFormat="false" ht="15" hidden="false" customHeight="false" outlineLevel="0" collapsed="false">
      <c r="A409" s="0" t="s">
        <v>3599</v>
      </c>
      <c r="B409" s="0" t="s">
        <v>100</v>
      </c>
      <c r="C409" s="0" t="s">
        <v>3587</v>
      </c>
      <c r="D409" s="0" t="n">
        <v>2016</v>
      </c>
      <c r="E409" s="0" t="s">
        <v>1327</v>
      </c>
      <c r="F409" s="0" t="n">
        <v>259584</v>
      </c>
      <c r="G409" s="0" t="s">
        <v>3101</v>
      </c>
      <c r="H409" s="0" t="s">
        <v>3068</v>
      </c>
      <c r="I409" s="0" t="n">
        <v>259584</v>
      </c>
      <c r="J409" s="0" t="s">
        <v>3424</v>
      </c>
      <c r="M409" s="0" t="s">
        <v>2681</v>
      </c>
      <c r="N409" s="0" t="s">
        <v>107</v>
      </c>
      <c r="Q409" s="0" t="n">
        <v>1</v>
      </c>
      <c r="R409" s="0" t="s">
        <v>3588</v>
      </c>
      <c r="U409" s="0" t="s">
        <v>3462</v>
      </c>
      <c r="V409" s="0" t="s">
        <v>3462</v>
      </c>
      <c r="Y409" s="0" t="s">
        <v>3071</v>
      </c>
      <c r="Z409" s="0" t="s">
        <v>3072</v>
      </c>
      <c r="AA409" s="0" t="s">
        <v>3589</v>
      </c>
      <c r="AC409" s="0" t="s">
        <v>3074</v>
      </c>
    </row>
    <row r="410" customFormat="false" ht="15" hidden="false" customHeight="false" outlineLevel="0" collapsed="false">
      <c r="A410" s="0" t="s">
        <v>3600</v>
      </c>
      <c r="B410" s="0" t="s">
        <v>100</v>
      </c>
      <c r="C410" s="0" t="s">
        <v>3587</v>
      </c>
      <c r="D410" s="0" t="n">
        <v>2016</v>
      </c>
      <c r="E410" s="0" t="s">
        <v>63</v>
      </c>
      <c r="F410" s="0" t="n">
        <v>82783</v>
      </c>
      <c r="G410" s="0" t="s">
        <v>3101</v>
      </c>
      <c r="H410" s="0" t="s">
        <v>3068</v>
      </c>
      <c r="I410" s="0" t="n">
        <v>82783</v>
      </c>
      <c r="J410" s="0" t="s">
        <v>3424</v>
      </c>
      <c r="M410" s="0" t="s">
        <v>2681</v>
      </c>
      <c r="N410" s="0" t="s">
        <v>107</v>
      </c>
      <c r="Q410" s="0" t="n">
        <v>1</v>
      </c>
      <c r="R410" s="0" t="s">
        <v>3588</v>
      </c>
      <c r="U410" s="0" t="s">
        <v>3462</v>
      </c>
      <c r="V410" s="0" t="s">
        <v>3462</v>
      </c>
      <c r="Y410" s="0" t="s">
        <v>3071</v>
      </c>
      <c r="Z410" s="0" t="s">
        <v>3072</v>
      </c>
      <c r="AA410" s="0" t="s">
        <v>3589</v>
      </c>
      <c r="AC410" s="0" t="s">
        <v>3074</v>
      </c>
    </row>
    <row r="411" customFormat="false" ht="15" hidden="false" customHeight="false" outlineLevel="0" collapsed="false">
      <c r="A411" s="0" t="s">
        <v>3601</v>
      </c>
      <c r="B411" s="0" t="s">
        <v>100</v>
      </c>
      <c r="C411" s="0" t="s">
        <v>3587</v>
      </c>
      <c r="D411" s="0" t="n">
        <v>2016</v>
      </c>
      <c r="E411" s="0" t="s">
        <v>55</v>
      </c>
      <c r="F411" s="0" t="n">
        <v>1808503</v>
      </c>
      <c r="G411" s="0" t="s">
        <v>3101</v>
      </c>
      <c r="H411" s="0" t="s">
        <v>3068</v>
      </c>
      <c r="I411" s="0" t="n">
        <v>1808503</v>
      </c>
      <c r="J411" s="0" t="s">
        <v>3424</v>
      </c>
      <c r="M411" s="0" t="s">
        <v>2681</v>
      </c>
      <c r="N411" s="0" t="s">
        <v>107</v>
      </c>
      <c r="Q411" s="0" t="n">
        <v>1</v>
      </c>
      <c r="R411" s="0" t="s">
        <v>3588</v>
      </c>
      <c r="U411" s="0" t="s">
        <v>3462</v>
      </c>
      <c r="V411" s="0" t="s">
        <v>3462</v>
      </c>
      <c r="Y411" s="0" t="s">
        <v>3071</v>
      </c>
      <c r="Z411" s="0" t="s">
        <v>3072</v>
      </c>
      <c r="AA411" s="0" t="s">
        <v>3589</v>
      </c>
      <c r="AC411" s="0" t="s">
        <v>3074</v>
      </c>
    </row>
    <row r="412" customFormat="false" ht="15" hidden="false" customHeight="false" outlineLevel="0" collapsed="false">
      <c r="A412" s="0" t="s">
        <v>3602</v>
      </c>
      <c r="B412" s="0" t="s">
        <v>100</v>
      </c>
      <c r="C412" s="0" t="s">
        <v>3587</v>
      </c>
      <c r="D412" s="0" t="n">
        <v>2016</v>
      </c>
      <c r="E412" s="0" t="s">
        <v>56</v>
      </c>
      <c r="F412" s="0" t="n">
        <v>1587728</v>
      </c>
      <c r="G412" s="0" t="s">
        <v>3101</v>
      </c>
      <c r="H412" s="0" t="s">
        <v>3068</v>
      </c>
      <c r="I412" s="0" t="n">
        <v>1587728</v>
      </c>
      <c r="J412" s="0" t="s">
        <v>3424</v>
      </c>
      <c r="M412" s="0" t="s">
        <v>2681</v>
      </c>
      <c r="N412" s="0" t="s">
        <v>107</v>
      </c>
      <c r="Q412" s="0" t="n">
        <v>1</v>
      </c>
      <c r="R412" s="0" t="s">
        <v>3588</v>
      </c>
      <c r="U412" s="0" t="s">
        <v>3462</v>
      </c>
      <c r="V412" s="0" t="s">
        <v>3462</v>
      </c>
      <c r="Y412" s="0" t="s">
        <v>3071</v>
      </c>
      <c r="Z412" s="0" t="s">
        <v>3072</v>
      </c>
      <c r="AA412" s="0" t="s">
        <v>3589</v>
      </c>
      <c r="AC412" s="0" t="s">
        <v>3074</v>
      </c>
    </row>
    <row r="413" customFormat="false" ht="15" hidden="false" customHeight="false" outlineLevel="0" collapsed="false">
      <c r="A413" s="0" t="s">
        <v>3603</v>
      </c>
      <c r="B413" s="0" t="s">
        <v>100</v>
      </c>
      <c r="C413" s="0" t="s">
        <v>3587</v>
      </c>
      <c r="D413" s="0" t="n">
        <v>2016</v>
      </c>
      <c r="E413" s="0" t="s">
        <v>57</v>
      </c>
      <c r="F413" s="0" t="n">
        <v>220775</v>
      </c>
      <c r="G413" s="0" t="s">
        <v>3101</v>
      </c>
      <c r="H413" s="0" t="s">
        <v>3068</v>
      </c>
      <c r="I413" s="0" t="n">
        <v>220775</v>
      </c>
      <c r="J413" s="0" t="s">
        <v>3424</v>
      </c>
      <c r="M413" s="0" t="s">
        <v>2681</v>
      </c>
      <c r="N413" s="0" t="s">
        <v>107</v>
      </c>
      <c r="Q413" s="0" t="n">
        <v>1</v>
      </c>
      <c r="R413" s="0" t="s">
        <v>3588</v>
      </c>
      <c r="U413" s="0" t="s">
        <v>3462</v>
      </c>
      <c r="V413" s="0" t="s">
        <v>3462</v>
      </c>
      <c r="Y413" s="0" t="s">
        <v>3071</v>
      </c>
      <c r="Z413" s="0" t="s">
        <v>3072</v>
      </c>
      <c r="AA413" s="0" t="s">
        <v>3589</v>
      </c>
      <c r="AC413" s="0" t="s">
        <v>3074</v>
      </c>
    </row>
    <row r="414" customFormat="false" ht="15" hidden="false" customHeight="false" outlineLevel="0" collapsed="false">
      <c r="A414" s="0" t="s">
        <v>3604</v>
      </c>
      <c r="B414" s="0" t="s">
        <v>100</v>
      </c>
      <c r="C414" s="0" t="s">
        <v>3587</v>
      </c>
      <c r="D414" s="0" t="n">
        <v>2016</v>
      </c>
      <c r="E414" s="0" t="s">
        <v>62</v>
      </c>
      <c r="F414" s="0" t="n">
        <v>869872</v>
      </c>
      <c r="G414" s="0" t="s">
        <v>3101</v>
      </c>
      <c r="H414" s="0" t="s">
        <v>3068</v>
      </c>
      <c r="I414" s="0" t="n">
        <v>869872</v>
      </c>
      <c r="J414" s="0" t="s">
        <v>3424</v>
      </c>
      <c r="M414" s="0" t="s">
        <v>2681</v>
      </c>
      <c r="N414" s="0" t="s">
        <v>107</v>
      </c>
      <c r="Q414" s="0" t="n">
        <v>1</v>
      </c>
      <c r="R414" s="0" t="s">
        <v>3588</v>
      </c>
      <c r="U414" s="0" t="s">
        <v>3462</v>
      </c>
      <c r="V414" s="0" t="s">
        <v>3462</v>
      </c>
      <c r="Y414" s="0" t="s">
        <v>3071</v>
      </c>
      <c r="Z414" s="0" t="s">
        <v>3072</v>
      </c>
      <c r="AA414" s="0" t="s">
        <v>3589</v>
      </c>
      <c r="AC414" s="0" t="s">
        <v>3074</v>
      </c>
    </row>
    <row r="415" customFormat="false" ht="15" hidden="false" customHeight="false" outlineLevel="0" collapsed="false">
      <c r="A415" s="0" t="s">
        <v>3605</v>
      </c>
      <c r="B415" s="0" t="s">
        <v>100</v>
      </c>
      <c r="C415" s="0" t="s">
        <v>3587</v>
      </c>
      <c r="D415" s="0" t="n">
        <v>2016</v>
      </c>
      <c r="E415" s="0" t="s">
        <v>3066</v>
      </c>
      <c r="F415" s="0" t="n">
        <v>1125868</v>
      </c>
      <c r="G415" s="0" t="s">
        <v>3101</v>
      </c>
      <c r="H415" s="0" t="s">
        <v>3068</v>
      </c>
      <c r="I415" s="0" t="n">
        <v>1125868</v>
      </c>
      <c r="J415" s="0" t="s">
        <v>3424</v>
      </c>
      <c r="M415" s="0" t="s">
        <v>2681</v>
      </c>
      <c r="N415" s="0" t="s">
        <v>107</v>
      </c>
      <c r="Q415" s="0" t="n">
        <v>1</v>
      </c>
      <c r="R415" s="0" t="s">
        <v>3588</v>
      </c>
      <c r="U415" s="0" t="s">
        <v>3462</v>
      </c>
      <c r="V415" s="0" t="s">
        <v>3462</v>
      </c>
      <c r="Y415" s="0" t="s">
        <v>3071</v>
      </c>
      <c r="Z415" s="0" t="s">
        <v>3072</v>
      </c>
      <c r="AA415" s="0" t="s">
        <v>3589</v>
      </c>
      <c r="AC415" s="0" t="s">
        <v>3074</v>
      </c>
    </row>
    <row r="416" customFormat="false" ht="15" hidden="false" customHeight="false" outlineLevel="0" collapsed="false">
      <c r="A416" s="0" t="s">
        <v>3606</v>
      </c>
      <c r="B416" s="0" t="s">
        <v>100</v>
      </c>
      <c r="C416" s="0" t="s">
        <v>3587</v>
      </c>
      <c r="D416" s="0" t="n">
        <v>2016</v>
      </c>
      <c r="E416" s="0" t="s">
        <v>327</v>
      </c>
      <c r="F416" s="0" t="n">
        <v>9.1</v>
      </c>
      <c r="G416" s="0" t="s">
        <v>3143</v>
      </c>
      <c r="I416" s="0" t="n">
        <v>9.1</v>
      </c>
      <c r="J416" s="0" t="s">
        <v>3424</v>
      </c>
      <c r="M416" s="0" t="s">
        <v>2681</v>
      </c>
      <c r="N416" s="0" t="s">
        <v>107</v>
      </c>
      <c r="Q416" s="0" t="n">
        <v>1</v>
      </c>
      <c r="R416" s="0" t="s">
        <v>3588</v>
      </c>
      <c r="U416" s="0" t="s">
        <v>3462</v>
      </c>
      <c r="V416" s="0" t="s">
        <v>3462</v>
      </c>
      <c r="Y416" s="0" t="s">
        <v>3071</v>
      </c>
      <c r="Z416" s="0" t="s">
        <v>3072</v>
      </c>
      <c r="AA416" s="0" t="s">
        <v>3589</v>
      </c>
      <c r="AC416" s="0" t="s">
        <v>3074</v>
      </c>
    </row>
    <row r="417" customFormat="false" ht="15" hidden="false" customHeight="false" outlineLevel="0" collapsed="false">
      <c r="A417" s="0" t="s">
        <v>3607</v>
      </c>
      <c r="B417" s="0" t="s">
        <v>211</v>
      </c>
      <c r="C417" s="0" t="s">
        <v>3282</v>
      </c>
      <c r="D417" s="0" t="n">
        <v>2018</v>
      </c>
      <c r="E417" s="0" t="s">
        <v>3608</v>
      </c>
      <c r="F417" s="0" t="n">
        <v>-2877639</v>
      </c>
      <c r="G417" s="0" t="s">
        <v>3067</v>
      </c>
      <c r="H417" s="0" t="s">
        <v>3068</v>
      </c>
      <c r="I417" s="0" t="n">
        <v>-2877.639</v>
      </c>
      <c r="J417" s="0" t="s">
        <v>3424</v>
      </c>
      <c r="M417" s="0" t="s">
        <v>2750</v>
      </c>
      <c r="N417" s="0" t="s">
        <v>217</v>
      </c>
      <c r="Q417" s="0" t="n">
        <v>56</v>
      </c>
      <c r="R417" s="0" t="n">
        <v>54</v>
      </c>
      <c r="U417" s="0" t="s">
        <v>3609</v>
      </c>
      <c r="V417" s="0" t="s">
        <v>3609</v>
      </c>
      <c r="Y417" s="0" t="s">
        <v>3071</v>
      </c>
      <c r="Z417" s="0" t="s">
        <v>3072</v>
      </c>
      <c r="AA417" s="0" t="s">
        <v>3610</v>
      </c>
      <c r="AC417" s="0" t="s">
        <v>3074</v>
      </c>
    </row>
    <row r="418" customFormat="false" ht="15" hidden="false" customHeight="false" outlineLevel="0" collapsed="false">
      <c r="A418" s="0" t="s">
        <v>3611</v>
      </c>
      <c r="B418" s="0" t="s">
        <v>211</v>
      </c>
      <c r="C418" s="0" t="s">
        <v>3282</v>
      </c>
      <c r="D418" s="0" t="n">
        <v>2018</v>
      </c>
      <c r="E418" s="0" t="s">
        <v>3612</v>
      </c>
      <c r="F418" s="0" t="n">
        <v>824918</v>
      </c>
      <c r="G418" s="0" t="s">
        <v>3067</v>
      </c>
      <c r="H418" s="0" t="s">
        <v>3068</v>
      </c>
      <c r="I418" s="0" t="n">
        <v>824.918</v>
      </c>
      <c r="J418" s="0" t="s">
        <v>3424</v>
      </c>
      <c r="M418" s="0" t="s">
        <v>2750</v>
      </c>
      <c r="N418" s="0" t="s">
        <v>217</v>
      </c>
      <c r="Q418" s="0" t="n">
        <v>56</v>
      </c>
      <c r="R418" s="0" t="n">
        <v>54</v>
      </c>
      <c r="U418" s="0" t="s">
        <v>3609</v>
      </c>
      <c r="V418" s="0" t="s">
        <v>3609</v>
      </c>
      <c r="Y418" s="0" t="s">
        <v>3071</v>
      </c>
      <c r="Z418" s="0" t="s">
        <v>3072</v>
      </c>
      <c r="AA418" s="0" t="s">
        <v>3613</v>
      </c>
      <c r="AC418" s="0" t="s">
        <v>3074</v>
      </c>
    </row>
    <row r="419" customFormat="false" ht="15" hidden="false" customHeight="false" outlineLevel="0" collapsed="false">
      <c r="A419" s="0" t="s">
        <v>3614</v>
      </c>
      <c r="B419" s="0" t="s">
        <v>211</v>
      </c>
      <c r="C419" s="0" t="s">
        <v>3282</v>
      </c>
      <c r="D419" s="0" t="n">
        <v>2018</v>
      </c>
      <c r="E419" s="0" t="s">
        <v>3615</v>
      </c>
      <c r="F419" s="0" t="n">
        <v>47639419</v>
      </c>
      <c r="G419" s="0" t="s">
        <v>3067</v>
      </c>
      <c r="H419" s="0" t="s">
        <v>3068</v>
      </c>
      <c r="I419" s="0" t="n">
        <v>47639.419</v>
      </c>
      <c r="J419" s="0" t="s">
        <v>3424</v>
      </c>
      <c r="M419" s="0" t="s">
        <v>2750</v>
      </c>
      <c r="N419" s="0" t="s">
        <v>217</v>
      </c>
      <c r="Q419" s="0" t="n">
        <v>56</v>
      </c>
      <c r="R419" s="0" t="n">
        <v>54</v>
      </c>
      <c r="U419" s="0" t="s">
        <v>3609</v>
      </c>
      <c r="V419" s="0" t="s">
        <v>3609</v>
      </c>
      <c r="Y419" s="0" t="s">
        <v>3071</v>
      </c>
      <c r="Z419" s="0" t="s">
        <v>3072</v>
      </c>
      <c r="AA419" s="0" t="s">
        <v>3616</v>
      </c>
      <c r="AC419" s="0" t="s">
        <v>3074</v>
      </c>
    </row>
    <row r="420" customFormat="false" ht="15" hidden="false" customHeight="false" outlineLevel="0" collapsed="false">
      <c r="A420" s="0" t="s">
        <v>3617</v>
      </c>
      <c r="B420" s="0" t="s">
        <v>211</v>
      </c>
      <c r="C420" s="0" t="s">
        <v>3282</v>
      </c>
      <c r="D420" s="0" t="n">
        <v>2018</v>
      </c>
      <c r="E420" s="0" t="s">
        <v>3618</v>
      </c>
      <c r="F420" s="0" t="n">
        <v>2633426</v>
      </c>
      <c r="G420" s="0" t="s">
        <v>3067</v>
      </c>
      <c r="H420" s="0" t="s">
        <v>3068</v>
      </c>
      <c r="I420" s="0" t="n">
        <v>2633.426</v>
      </c>
      <c r="J420" s="0" t="s">
        <v>3424</v>
      </c>
      <c r="M420" s="0" t="s">
        <v>2750</v>
      </c>
      <c r="N420" s="0" t="s">
        <v>217</v>
      </c>
      <c r="Q420" s="0" t="n">
        <v>120</v>
      </c>
      <c r="R420" s="0" t="n">
        <v>118</v>
      </c>
      <c r="U420" s="0" t="s">
        <v>3609</v>
      </c>
      <c r="V420" s="0" t="s">
        <v>3609</v>
      </c>
      <c r="Y420" s="0" t="s">
        <v>3071</v>
      </c>
      <c r="Z420" s="0" t="s">
        <v>3072</v>
      </c>
      <c r="AA420" s="0" t="s">
        <v>3619</v>
      </c>
      <c r="AC420" s="0" t="s">
        <v>3074</v>
      </c>
    </row>
    <row r="421" customFormat="false" ht="15" hidden="false" customHeight="false" outlineLevel="0" collapsed="false">
      <c r="A421" s="0" t="s">
        <v>3620</v>
      </c>
      <c r="B421" s="0" t="s">
        <v>211</v>
      </c>
      <c r="C421" s="0" t="s">
        <v>3282</v>
      </c>
      <c r="D421" s="0" t="n">
        <v>2018</v>
      </c>
      <c r="E421" s="0" t="s">
        <v>3621</v>
      </c>
      <c r="F421" s="0" t="n">
        <v>241936</v>
      </c>
      <c r="G421" s="0" t="s">
        <v>3067</v>
      </c>
      <c r="H421" s="0" t="s">
        <v>3068</v>
      </c>
      <c r="I421" s="0" t="n">
        <v>241.936</v>
      </c>
      <c r="J421" s="0" t="s">
        <v>3424</v>
      </c>
      <c r="M421" s="0" t="s">
        <v>2750</v>
      </c>
      <c r="N421" s="0" t="s">
        <v>217</v>
      </c>
      <c r="Q421" s="0" t="n">
        <v>120</v>
      </c>
      <c r="R421" s="0" t="n">
        <v>118</v>
      </c>
      <c r="U421" s="0" t="s">
        <v>3609</v>
      </c>
      <c r="V421" s="0" t="s">
        <v>3609</v>
      </c>
      <c r="Y421" s="0" t="s">
        <v>3071</v>
      </c>
      <c r="Z421" s="0" t="s">
        <v>3072</v>
      </c>
      <c r="AA421" s="0" t="s">
        <v>3622</v>
      </c>
      <c r="AC421" s="0" t="s">
        <v>3074</v>
      </c>
    </row>
    <row r="422" customFormat="false" ht="15" hidden="false" customHeight="false" outlineLevel="0" collapsed="false">
      <c r="A422" s="0" t="s">
        <v>3623</v>
      </c>
      <c r="B422" s="0" t="s">
        <v>211</v>
      </c>
      <c r="C422" s="0" t="s">
        <v>3282</v>
      </c>
      <c r="D422" s="0" t="n">
        <v>2018</v>
      </c>
      <c r="E422" s="0" t="s">
        <v>3624</v>
      </c>
      <c r="F422" s="0" t="n">
        <v>2277</v>
      </c>
      <c r="G422" s="0" t="s">
        <v>3067</v>
      </c>
      <c r="H422" s="0" t="s">
        <v>3068</v>
      </c>
      <c r="I422" s="0" t="n">
        <v>2.277</v>
      </c>
      <c r="J422" s="0" t="s">
        <v>3424</v>
      </c>
      <c r="M422" s="0" t="s">
        <v>2750</v>
      </c>
      <c r="N422" s="0" t="s">
        <v>217</v>
      </c>
      <c r="Q422" s="0" t="n">
        <v>120</v>
      </c>
      <c r="R422" s="0" t="n">
        <v>118</v>
      </c>
      <c r="U422" s="0" t="s">
        <v>3609</v>
      </c>
      <c r="V422" s="0" t="s">
        <v>3609</v>
      </c>
      <c r="Y422" s="0" t="s">
        <v>3071</v>
      </c>
      <c r="Z422" s="0" t="s">
        <v>3072</v>
      </c>
      <c r="AA422" s="0" t="s">
        <v>3625</v>
      </c>
      <c r="AC422" s="0" t="s">
        <v>3074</v>
      </c>
    </row>
    <row r="423" customFormat="false" ht="15" hidden="false" customHeight="false" outlineLevel="0" collapsed="false">
      <c r="A423" s="0" t="s">
        <v>3626</v>
      </c>
      <c r="B423" s="0" t="s">
        <v>211</v>
      </c>
      <c r="C423" s="0" t="s">
        <v>3282</v>
      </c>
      <c r="D423" s="0" t="n">
        <v>2018</v>
      </c>
      <c r="E423" s="0" t="s">
        <v>3627</v>
      </c>
      <c r="F423" s="0" t="n">
        <v>5846943</v>
      </c>
      <c r="G423" s="0" t="s">
        <v>3067</v>
      </c>
      <c r="H423" s="0" t="s">
        <v>3068</v>
      </c>
      <c r="I423" s="0" t="n">
        <v>5846.943</v>
      </c>
      <c r="J423" s="0" t="s">
        <v>3424</v>
      </c>
      <c r="M423" s="0" t="s">
        <v>2750</v>
      </c>
      <c r="N423" s="0" t="s">
        <v>217</v>
      </c>
      <c r="Q423" s="0" t="n">
        <v>56</v>
      </c>
      <c r="R423" s="0" t="n">
        <v>54</v>
      </c>
      <c r="U423" s="0" t="s">
        <v>3609</v>
      </c>
      <c r="V423" s="0" t="s">
        <v>3609</v>
      </c>
      <c r="Y423" s="0" t="s">
        <v>3071</v>
      </c>
      <c r="Z423" s="0" t="s">
        <v>3072</v>
      </c>
      <c r="AA423" s="0" t="s">
        <v>3628</v>
      </c>
      <c r="AC423" s="0" t="s">
        <v>3074</v>
      </c>
    </row>
    <row r="424" customFormat="false" ht="15" hidden="false" customHeight="false" outlineLevel="0" collapsed="false">
      <c r="A424" s="0" t="s">
        <v>3629</v>
      </c>
      <c r="B424" s="0" t="s">
        <v>211</v>
      </c>
      <c r="C424" s="0" t="s">
        <v>3282</v>
      </c>
      <c r="D424" s="0" t="n">
        <v>2018</v>
      </c>
      <c r="E424" s="0" t="s">
        <v>3630</v>
      </c>
      <c r="F424" s="0" t="n">
        <v>2969304</v>
      </c>
      <c r="G424" s="0" t="s">
        <v>3067</v>
      </c>
      <c r="H424" s="0" t="s">
        <v>3068</v>
      </c>
      <c r="I424" s="0" t="n">
        <v>2969.304</v>
      </c>
      <c r="J424" s="0" t="s">
        <v>3424</v>
      </c>
      <c r="M424" s="0" t="s">
        <v>2750</v>
      </c>
      <c r="N424" s="0" t="s">
        <v>217</v>
      </c>
      <c r="Q424" s="0" t="n">
        <v>56</v>
      </c>
      <c r="R424" s="0" t="n">
        <v>54</v>
      </c>
      <c r="U424" s="0" t="s">
        <v>3609</v>
      </c>
      <c r="V424" s="0" t="s">
        <v>3609</v>
      </c>
      <c r="Y424" s="0" t="s">
        <v>3071</v>
      </c>
      <c r="Z424" s="0" t="s">
        <v>3072</v>
      </c>
      <c r="AA424" s="0" t="s">
        <v>3631</v>
      </c>
      <c r="AC424" s="0" t="s">
        <v>3074</v>
      </c>
    </row>
    <row r="425" customFormat="false" ht="15" hidden="false" customHeight="false" outlineLevel="0" collapsed="false">
      <c r="A425" s="0" t="s">
        <v>3632</v>
      </c>
      <c r="B425" s="0" t="s">
        <v>211</v>
      </c>
      <c r="C425" s="0" t="s">
        <v>3282</v>
      </c>
      <c r="D425" s="0" t="n">
        <v>2018</v>
      </c>
      <c r="E425" s="0" t="s">
        <v>3633</v>
      </c>
      <c r="F425" s="0" t="n">
        <v>200</v>
      </c>
      <c r="G425" s="0" t="s">
        <v>3067</v>
      </c>
      <c r="H425" s="0" t="s">
        <v>3068</v>
      </c>
      <c r="I425" s="0" t="n">
        <v>0.2</v>
      </c>
      <c r="J425" s="0" t="s">
        <v>3424</v>
      </c>
      <c r="M425" s="0" t="s">
        <v>2750</v>
      </c>
      <c r="N425" s="0" t="s">
        <v>217</v>
      </c>
      <c r="Q425" s="0" t="n">
        <v>56</v>
      </c>
      <c r="R425" s="0" t="n">
        <v>54</v>
      </c>
      <c r="U425" s="0" t="s">
        <v>3609</v>
      </c>
      <c r="V425" s="0" t="s">
        <v>3609</v>
      </c>
      <c r="Y425" s="0" t="s">
        <v>3071</v>
      </c>
      <c r="Z425" s="0" t="s">
        <v>3072</v>
      </c>
      <c r="AA425" s="0" t="s">
        <v>3634</v>
      </c>
      <c r="AC425" s="0" t="s">
        <v>3074</v>
      </c>
    </row>
    <row r="426" customFormat="false" ht="15" hidden="false" customHeight="false" outlineLevel="0" collapsed="false">
      <c r="A426" s="0" t="s">
        <v>3635</v>
      </c>
      <c r="B426" s="0" t="s">
        <v>201</v>
      </c>
      <c r="C426" s="0" t="s">
        <v>3355</v>
      </c>
      <c r="D426" s="0" t="n">
        <v>2019</v>
      </c>
      <c r="E426" s="0" t="s">
        <v>3636</v>
      </c>
      <c r="F426" s="0" t="n">
        <v>1</v>
      </c>
      <c r="G426" s="0" t="s">
        <v>3332</v>
      </c>
      <c r="I426" s="0" t="n">
        <v>1</v>
      </c>
      <c r="J426" s="0" t="s">
        <v>3424</v>
      </c>
      <c r="M426" s="0" t="s">
        <v>2743</v>
      </c>
      <c r="N426" s="0" t="s">
        <v>207</v>
      </c>
      <c r="Q426" s="0" t="n">
        <v>18</v>
      </c>
      <c r="R426" s="0" t="n">
        <v>16</v>
      </c>
      <c r="U426" s="0" t="s">
        <v>3637</v>
      </c>
      <c r="V426" s="0" t="s">
        <v>3637</v>
      </c>
      <c r="Y426" s="0" t="s">
        <v>3071</v>
      </c>
      <c r="Z426" s="0" t="s">
        <v>3072</v>
      </c>
      <c r="AA426" s="0" t="s">
        <v>3638</v>
      </c>
      <c r="AC426" s="0" t="s">
        <v>3074</v>
      </c>
    </row>
    <row r="427" customFormat="false" ht="15" hidden="false" customHeight="false" outlineLevel="0" collapsed="false">
      <c r="A427" s="0" t="s">
        <v>3639</v>
      </c>
      <c r="B427" s="0" t="s">
        <v>178</v>
      </c>
      <c r="C427" s="0" t="s">
        <v>3098</v>
      </c>
      <c r="D427" s="0" t="n">
        <v>2018</v>
      </c>
      <c r="E427" s="0" t="s">
        <v>54</v>
      </c>
      <c r="F427" s="0" t="n">
        <v>41047</v>
      </c>
      <c r="G427" s="0" t="s">
        <v>3101</v>
      </c>
      <c r="H427" s="0" t="s">
        <v>3068</v>
      </c>
      <c r="I427" s="0" t="n">
        <v>41047</v>
      </c>
      <c r="J427" s="0" t="s">
        <v>3640</v>
      </c>
      <c r="M427" s="0" t="s">
        <v>2729</v>
      </c>
      <c r="N427" s="0" t="s">
        <v>184</v>
      </c>
      <c r="Q427" s="0" t="n">
        <v>74</v>
      </c>
      <c r="R427" s="0" t="n">
        <v>74</v>
      </c>
      <c r="U427" s="0" t="s">
        <v>3641</v>
      </c>
      <c r="V427" s="0" t="s">
        <v>3641</v>
      </c>
      <c r="Y427" s="0" t="s">
        <v>3071</v>
      </c>
      <c r="Z427" s="0" t="s">
        <v>3072</v>
      </c>
      <c r="AA427" s="0" t="s">
        <v>3642</v>
      </c>
      <c r="AC427" s="0" t="s">
        <v>3643</v>
      </c>
    </row>
    <row r="428" customFormat="false" ht="15" hidden="false" customHeight="false" outlineLevel="0" collapsed="false">
      <c r="A428" s="0" t="s">
        <v>3644</v>
      </c>
      <c r="B428" s="0" t="s">
        <v>178</v>
      </c>
      <c r="C428" s="0" t="s">
        <v>3098</v>
      </c>
      <c r="D428" s="0" t="n">
        <v>2018</v>
      </c>
      <c r="E428" s="0" t="s">
        <v>541</v>
      </c>
      <c r="F428" s="0" t="n">
        <v>55350</v>
      </c>
      <c r="G428" s="0" t="s">
        <v>3101</v>
      </c>
      <c r="H428" s="0" t="s">
        <v>3068</v>
      </c>
      <c r="I428" s="0" t="n">
        <v>55350</v>
      </c>
      <c r="J428" s="0" t="s">
        <v>3640</v>
      </c>
      <c r="M428" s="0" t="s">
        <v>2729</v>
      </c>
      <c r="N428" s="0" t="s">
        <v>184</v>
      </c>
      <c r="Q428" s="0" t="n">
        <v>74</v>
      </c>
      <c r="R428" s="0" t="n">
        <v>74</v>
      </c>
      <c r="U428" s="0" t="s">
        <v>3641</v>
      </c>
      <c r="V428" s="0" t="s">
        <v>3641</v>
      </c>
      <c r="Y428" s="0" t="s">
        <v>3071</v>
      </c>
      <c r="Z428" s="0" t="s">
        <v>3072</v>
      </c>
      <c r="AA428" s="0" t="s">
        <v>3642</v>
      </c>
      <c r="AC428" s="0" t="s">
        <v>3643</v>
      </c>
    </row>
    <row r="429" customFormat="false" ht="15" hidden="false" customHeight="false" outlineLevel="0" collapsed="false">
      <c r="A429" s="0" t="s">
        <v>3645</v>
      </c>
      <c r="B429" s="0" t="s">
        <v>178</v>
      </c>
      <c r="C429" s="0" t="s">
        <v>3098</v>
      </c>
      <c r="D429" s="0" t="n">
        <v>2018</v>
      </c>
      <c r="E429" s="0" t="s">
        <v>63</v>
      </c>
      <c r="F429" s="0" t="n">
        <v>4257</v>
      </c>
      <c r="G429" s="0" t="s">
        <v>3101</v>
      </c>
      <c r="H429" s="0" t="s">
        <v>3068</v>
      </c>
      <c r="I429" s="0" t="n">
        <v>4257</v>
      </c>
      <c r="J429" s="0" t="s">
        <v>3640</v>
      </c>
      <c r="M429" s="0" t="s">
        <v>2729</v>
      </c>
      <c r="N429" s="0" t="s">
        <v>184</v>
      </c>
      <c r="Q429" s="0" t="n">
        <v>74</v>
      </c>
      <c r="R429" s="0" t="n">
        <v>74</v>
      </c>
      <c r="U429" s="0" t="s">
        <v>3641</v>
      </c>
      <c r="V429" s="0" t="s">
        <v>3641</v>
      </c>
      <c r="Y429" s="0" t="s">
        <v>3071</v>
      </c>
      <c r="Z429" s="0" t="s">
        <v>3072</v>
      </c>
      <c r="AA429" s="0" t="s">
        <v>3642</v>
      </c>
      <c r="AC429" s="0" t="s">
        <v>3643</v>
      </c>
    </row>
    <row r="430" customFormat="false" ht="15" hidden="false" customHeight="false" outlineLevel="0" collapsed="false">
      <c r="A430" s="0" t="s">
        <v>3646</v>
      </c>
      <c r="B430" s="0" t="s">
        <v>178</v>
      </c>
      <c r="C430" s="0" t="s">
        <v>3098</v>
      </c>
      <c r="D430" s="0" t="n">
        <v>2017</v>
      </c>
      <c r="E430" s="0" t="s">
        <v>54</v>
      </c>
      <c r="F430" s="0" t="n">
        <v>41396</v>
      </c>
      <c r="G430" s="0" t="s">
        <v>3101</v>
      </c>
      <c r="H430" s="0" t="s">
        <v>3068</v>
      </c>
      <c r="I430" s="0" t="n">
        <v>41396</v>
      </c>
      <c r="J430" s="0" t="s">
        <v>3640</v>
      </c>
      <c r="M430" s="0" t="s">
        <v>2729</v>
      </c>
      <c r="N430" s="0" t="s">
        <v>184</v>
      </c>
      <c r="Q430" s="0" t="n">
        <v>74</v>
      </c>
      <c r="R430" s="0" t="n">
        <v>74</v>
      </c>
      <c r="U430" s="0" t="s">
        <v>3647</v>
      </c>
      <c r="V430" s="0" t="s">
        <v>3647</v>
      </c>
      <c r="Y430" s="0" t="s">
        <v>3071</v>
      </c>
      <c r="Z430" s="0" t="s">
        <v>3072</v>
      </c>
      <c r="AA430" s="0" t="s">
        <v>3648</v>
      </c>
      <c r="AC430" s="0" t="s">
        <v>3643</v>
      </c>
    </row>
    <row r="431" customFormat="false" ht="15" hidden="false" customHeight="false" outlineLevel="0" collapsed="false">
      <c r="A431" s="0" t="s">
        <v>3649</v>
      </c>
      <c r="B431" s="0" t="s">
        <v>178</v>
      </c>
      <c r="C431" s="0" t="s">
        <v>3098</v>
      </c>
      <c r="D431" s="0" t="n">
        <v>2017</v>
      </c>
      <c r="E431" s="0" t="s">
        <v>541</v>
      </c>
      <c r="F431" s="0" t="n">
        <v>52795</v>
      </c>
      <c r="G431" s="0" t="s">
        <v>3101</v>
      </c>
      <c r="H431" s="0" t="s">
        <v>3068</v>
      </c>
      <c r="I431" s="0" t="n">
        <v>52795</v>
      </c>
      <c r="J431" s="0" t="s">
        <v>3640</v>
      </c>
      <c r="M431" s="0" t="s">
        <v>2729</v>
      </c>
      <c r="N431" s="0" t="s">
        <v>184</v>
      </c>
      <c r="Q431" s="0" t="n">
        <v>74</v>
      </c>
      <c r="R431" s="0" t="n">
        <v>74</v>
      </c>
      <c r="U431" s="0" t="s">
        <v>3647</v>
      </c>
      <c r="V431" s="0" t="s">
        <v>3647</v>
      </c>
      <c r="Y431" s="0" t="s">
        <v>3071</v>
      </c>
      <c r="Z431" s="0" t="s">
        <v>3072</v>
      </c>
      <c r="AA431" s="0" t="s">
        <v>3648</v>
      </c>
      <c r="AC431" s="0" t="s">
        <v>3643</v>
      </c>
    </row>
    <row r="432" customFormat="false" ht="15" hidden="false" customHeight="false" outlineLevel="0" collapsed="false">
      <c r="A432" s="0" t="s">
        <v>3650</v>
      </c>
      <c r="B432" s="0" t="s">
        <v>178</v>
      </c>
      <c r="C432" s="0" t="s">
        <v>3098</v>
      </c>
      <c r="D432" s="0" t="n">
        <v>2017</v>
      </c>
      <c r="E432" s="0" t="s">
        <v>63</v>
      </c>
      <c r="F432" s="0" t="n">
        <v>30433</v>
      </c>
      <c r="G432" s="0" t="s">
        <v>3101</v>
      </c>
      <c r="H432" s="0" t="s">
        <v>3068</v>
      </c>
      <c r="I432" s="0" t="n">
        <v>30433</v>
      </c>
      <c r="J432" s="0" t="s">
        <v>3640</v>
      </c>
      <c r="M432" s="0" t="s">
        <v>2729</v>
      </c>
      <c r="N432" s="0" t="s">
        <v>184</v>
      </c>
      <c r="Q432" s="0" t="n">
        <v>74</v>
      </c>
      <c r="R432" s="0" t="n">
        <v>74</v>
      </c>
      <c r="U432" s="0" t="s">
        <v>3647</v>
      </c>
      <c r="V432" s="0" t="s">
        <v>3647</v>
      </c>
      <c r="Y432" s="0" t="s">
        <v>3071</v>
      </c>
      <c r="Z432" s="0" t="s">
        <v>3072</v>
      </c>
      <c r="AA432" s="0" t="s">
        <v>3648</v>
      </c>
      <c r="AC432" s="0" t="s">
        <v>3643</v>
      </c>
    </row>
    <row r="433" customFormat="false" ht="15" hidden="false" customHeight="false" outlineLevel="0" collapsed="false">
      <c r="A433" s="0" t="s">
        <v>3651</v>
      </c>
      <c r="B433" s="0" t="s">
        <v>178</v>
      </c>
      <c r="C433" s="0" t="s">
        <v>3098</v>
      </c>
      <c r="D433" s="0" t="n">
        <v>2018</v>
      </c>
      <c r="E433" s="0" t="s">
        <v>55</v>
      </c>
      <c r="F433" s="0" t="n">
        <v>3591305</v>
      </c>
      <c r="G433" s="0" t="s">
        <v>3101</v>
      </c>
      <c r="H433" s="0" t="s">
        <v>3068</v>
      </c>
      <c r="I433" s="0" t="n">
        <v>3591305</v>
      </c>
      <c r="J433" s="0" t="s">
        <v>3640</v>
      </c>
      <c r="M433" s="0" t="s">
        <v>2729</v>
      </c>
      <c r="N433" s="0" t="s">
        <v>184</v>
      </c>
      <c r="Q433" s="0" t="n">
        <v>75</v>
      </c>
      <c r="R433" s="0" t="n">
        <v>75</v>
      </c>
      <c r="U433" s="0" t="s">
        <v>3641</v>
      </c>
      <c r="V433" s="0" t="s">
        <v>3641</v>
      </c>
      <c r="Y433" s="0" t="s">
        <v>3071</v>
      </c>
      <c r="Z433" s="0" t="s">
        <v>3072</v>
      </c>
      <c r="AA433" s="0" t="s">
        <v>3652</v>
      </c>
      <c r="AC433" s="0" t="s">
        <v>3643</v>
      </c>
    </row>
    <row r="434" customFormat="false" ht="15" hidden="false" customHeight="false" outlineLevel="0" collapsed="false">
      <c r="A434" s="0" t="s">
        <v>3653</v>
      </c>
      <c r="B434" s="0" t="s">
        <v>178</v>
      </c>
      <c r="C434" s="0" t="s">
        <v>3098</v>
      </c>
      <c r="D434" s="0" t="n">
        <v>2018</v>
      </c>
      <c r="E434" s="0" t="s">
        <v>56</v>
      </c>
      <c r="F434" s="0" t="n">
        <v>3226707</v>
      </c>
      <c r="G434" s="0" t="s">
        <v>3101</v>
      </c>
      <c r="H434" s="0" t="s">
        <v>3068</v>
      </c>
      <c r="I434" s="0" t="n">
        <v>3226707</v>
      </c>
      <c r="J434" s="0" t="s">
        <v>3640</v>
      </c>
      <c r="M434" s="0" t="s">
        <v>2729</v>
      </c>
      <c r="N434" s="0" t="s">
        <v>184</v>
      </c>
      <c r="Q434" s="0" t="n">
        <v>75</v>
      </c>
      <c r="R434" s="0" t="n">
        <v>75</v>
      </c>
      <c r="U434" s="0" t="s">
        <v>3641</v>
      </c>
      <c r="V434" s="0" t="s">
        <v>3641</v>
      </c>
      <c r="Y434" s="0" t="s">
        <v>3071</v>
      </c>
      <c r="Z434" s="0" t="s">
        <v>3072</v>
      </c>
      <c r="AA434" s="0" t="s">
        <v>3652</v>
      </c>
      <c r="AC434" s="0" t="s">
        <v>3643</v>
      </c>
    </row>
    <row r="435" customFormat="false" ht="15" hidden="false" customHeight="false" outlineLevel="0" collapsed="false">
      <c r="A435" s="0" t="s">
        <v>3654</v>
      </c>
      <c r="B435" s="0" t="s">
        <v>178</v>
      </c>
      <c r="C435" s="0" t="s">
        <v>3098</v>
      </c>
      <c r="D435" s="0" t="n">
        <v>2018</v>
      </c>
      <c r="E435" s="0" t="s">
        <v>57</v>
      </c>
      <c r="F435" s="0" t="n">
        <v>364598</v>
      </c>
      <c r="G435" s="0" t="s">
        <v>3101</v>
      </c>
      <c r="H435" s="0" t="s">
        <v>3068</v>
      </c>
      <c r="I435" s="0" t="n">
        <v>364598</v>
      </c>
      <c r="J435" s="0" t="s">
        <v>3640</v>
      </c>
      <c r="M435" s="0" t="s">
        <v>2729</v>
      </c>
      <c r="N435" s="0" t="s">
        <v>184</v>
      </c>
      <c r="Q435" s="0" t="n">
        <v>75</v>
      </c>
      <c r="R435" s="0" t="n">
        <v>75</v>
      </c>
      <c r="U435" s="0" t="s">
        <v>3641</v>
      </c>
      <c r="V435" s="0" t="s">
        <v>3641</v>
      </c>
      <c r="Y435" s="0" t="s">
        <v>3071</v>
      </c>
      <c r="Z435" s="0" t="s">
        <v>3072</v>
      </c>
      <c r="AA435" s="0" t="s">
        <v>3652</v>
      </c>
      <c r="AC435" s="0" t="s">
        <v>3643</v>
      </c>
    </row>
    <row r="436" customFormat="false" ht="15" hidden="false" customHeight="false" outlineLevel="0" collapsed="false">
      <c r="A436" s="0" t="s">
        <v>3655</v>
      </c>
      <c r="B436" s="0" t="s">
        <v>178</v>
      </c>
      <c r="C436" s="0" t="s">
        <v>3098</v>
      </c>
      <c r="D436" s="0" t="n">
        <v>2018</v>
      </c>
      <c r="E436" s="0" t="s">
        <v>62</v>
      </c>
      <c r="F436" s="0" t="n">
        <v>1213801</v>
      </c>
      <c r="G436" s="0" t="s">
        <v>3101</v>
      </c>
      <c r="H436" s="0" t="s">
        <v>3068</v>
      </c>
      <c r="I436" s="0" t="n">
        <v>1213801</v>
      </c>
      <c r="J436" s="0" t="s">
        <v>3640</v>
      </c>
      <c r="M436" s="0" t="s">
        <v>2729</v>
      </c>
      <c r="N436" s="0" t="s">
        <v>184</v>
      </c>
      <c r="Q436" s="0" t="n">
        <v>75</v>
      </c>
      <c r="R436" s="0" t="n">
        <v>75</v>
      </c>
      <c r="U436" s="0" t="s">
        <v>3641</v>
      </c>
      <c r="V436" s="0" t="s">
        <v>3641</v>
      </c>
      <c r="Y436" s="0" t="s">
        <v>3071</v>
      </c>
      <c r="Z436" s="0" t="s">
        <v>3072</v>
      </c>
      <c r="AA436" s="0" t="s">
        <v>3652</v>
      </c>
      <c r="AC436" s="0" t="s">
        <v>3643</v>
      </c>
    </row>
    <row r="437" customFormat="false" ht="15" hidden="false" customHeight="false" outlineLevel="0" collapsed="false">
      <c r="A437" s="0" t="s">
        <v>3656</v>
      </c>
      <c r="B437" s="0" t="s">
        <v>178</v>
      </c>
      <c r="C437" s="0" t="s">
        <v>3098</v>
      </c>
      <c r="D437" s="0" t="n">
        <v>2017</v>
      </c>
      <c r="E437" s="0" t="s">
        <v>55</v>
      </c>
      <c r="F437" s="0" t="n">
        <v>2931826</v>
      </c>
      <c r="G437" s="0" t="s">
        <v>3101</v>
      </c>
      <c r="H437" s="0" t="s">
        <v>3068</v>
      </c>
      <c r="I437" s="0" t="n">
        <v>2931826</v>
      </c>
      <c r="J437" s="0" t="s">
        <v>3640</v>
      </c>
      <c r="M437" s="0" t="s">
        <v>2729</v>
      </c>
      <c r="N437" s="0" t="s">
        <v>184</v>
      </c>
      <c r="Q437" s="0" t="n">
        <v>75</v>
      </c>
      <c r="R437" s="0" t="n">
        <v>75</v>
      </c>
      <c r="U437" s="0" t="s">
        <v>3647</v>
      </c>
      <c r="V437" s="0" t="s">
        <v>3647</v>
      </c>
      <c r="Y437" s="0" t="s">
        <v>3071</v>
      </c>
      <c r="Z437" s="0" t="s">
        <v>3072</v>
      </c>
      <c r="AA437" s="0" t="s">
        <v>3657</v>
      </c>
      <c r="AC437" s="0" t="s">
        <v>3643</v>
      </c>
    </row>
    <row r="438" customFormat="false" ht="15" hidden="false" customHeight="false" outlineLevel="0" collapsed="false">
      <c r="A438" s="0" t="s">
        <v>3658</v>
      </c>
      <c r="B438" s="0" t="s">
        <v>178</v>
      </c>
      <c r="C438" s="0" t="s">
        <v>3098</v>
      </c>
      <c r="D438" s="0" t="n">
        <v>2017</v>
      </c>
      <c r="E438" s="0" t="s">
        <v>56</v>
      </c>
      <c r="F438" s="0" t="n">
        <v>2530966</v>
      </c>
      <c r="G438" s="0" t="s">
        <v>3101</v>
      </c>
      <c r="H438" s="0" t="s">
        <v>3068</v>
      </c>
      <c r="I438" s="0" t="n">
        <v>2530966</v>
      </c>
      <c r="J438" s="0" t="s">
        <v>3640</v>
      </c>
      <c r="M438" s="0" t="s">
        <v>2729</v>
      </c>
      <c r="N438" s="0" t="s">
        <v>184</v>
      </c>
      <c r="Q438" s="0" t="n">
        <v>75</v>
      </c>
      <c r="R438" s="0" t="n">
        <v>75</v>
      </c>
      <c r="U438" s="0" t="s">
        <v>3647</v>
      </c>
      <c r="V438" s="0" t="s">
        <v>3647</v>
      </c>
      <c r="Y438" s="0" t="s">
        <v>3071</v>
      </c>
      <c r="Z438" s="0" t="s">
        <v>3072</v>
      </c>
      <c r="AA438" s="0" t="s">
        <v>3657</v>
      </c>
      <c r="AC438" s="0" t="s">
        <v>3643</v>
      </c>
    </row>
    <row r="439" customFormat="false" ht="15" hidden="false" customHeight="false" outlineLevel="0" collapsed="false">
      <c r="A439" s="0" t="s">
        <v>3659</v>
      </c>
      <c r="B439" s="0" t="s">
        <v>178</v>
      </c>
      <c r="C439" s="0" t="s">
        <v>3098</v>
      </c>
      <c r="D439" s="0" t="n">
        <v>2017</v>
      </c>
      <c r="E439" s="0" t="s">
        <v>57</v>
      </c>
      <c r="F439" s="0" t="n">
        <v>400860</v>
      </c>
      <c r="G439" s="0" t="s">
        <v>3101</v>
      </c>
      <c r="H439" s="0" t="s">
        <v>3068</v>
      </c>
      <c r="I439" s="0" t="n">
        <v>400860</v>
      </c>
      <c r="J439" s="0" t="s">
        <v>3640</v>
      </c>
      <c r="M439" s="0" t="s">
        <v>2729</v>
      </c>
      <c r="N439" s="0" t="s">
        <v>184</v>
      </c>
      <c r="Q439" s="0" t="n">
        <v>75</v>
      </c>
      <c r="R439" s="0" t="n">
        <v>75</v>
      </c>
      <c r="U439" s="0" t="s">
        <v>3647</v>
      </c>
      <c r="V439" s="0" t="s">
        <v>3647</v>
      </c>
      <c r="Y439" s="0" t="s">
        <v>3071</v>
      </c>
      <c r="Z439" s="0" t="s">
        <v>3072</v>
      </c>
      <c r="AA439" s="0" t="s">
        <v>3657</v>
      </c>
      <c r="AC439" s="0" t="s">
        <v>3643</v>
      </c>
    </row>
    <row r="440" customFormat="false" ht="15" hidden="false" customHeight="false" outlineLevel="0" collapsed="false">
      <c r="A440" s="0" t="s">
        <v>3660</v>
      </c>
      <c r="B440" s="0" t="s">
        <v>178</v>
      </c>
      <c r="C440" s="0" t="s">
        <v>3098</v>
      </c>
      <c r="D440" s="0" t="n">
        <v>2017</v>
      </c>
      <c r="E440" s="0" t="s">
        <v>62</v>
      </c>
      <c r="F440" s="0" t="n">
        <v>1173214</v>
      </c>
      <c r="G440" s="0" t="s">
        <v>3101</v>
      </c>
      <c r="H440" s="0" t="s">
        <v>3068</v>
      </c>
      <c r="I440" s="0" t="n">
        <v>1173214</v>
      </c>
      <c r="J440" s="0" t="s">
        <v>3640</v>
      </c>
      <c r="M440" s="0" t="s">
        <v>2729</v>
      </c>
      <c r="N440" s="0" t="s">
        <v>184</v>
      </c>
      <c r="Q440" s="0" t="n">
        <v>75</v>
      </c>
      <c r="R440" s="0" t="n">
        <v>75</v>
      </c>
      <c r="U440" s="0" t="s">
        <v>3647</v>
      </c>
      <c r="V440" s="0" t="s">
        <v>3647</v>
      </c>
      <c r="Y440" s="0" t="s">
        <v>3071</v>
      </c>
      <c r="Z440" s="0" t="s">
        <v>3072</v>
      </c>
      <c r="AA440" s="0" t="s">
        <v>3657</v>
      </c>
      <c r="AC440" s="0" t="s">
        <v>3643</v>
      </c>
    </row>
    <row r="441" customFormat="false" ht="15" hidden="false" customHeight="false" outlineLevel="0" collapsed="false">
      <c r="A441" s="0" t="s">
        <v>3661</v>
      </c>
      <c r="B441" s="0" t="s">
        <v>178</v>
      </c>
      <c r="C441" s="0" t="s">
        <v>3098</v>
      </c>
      <c r="D441" s="0" t="n">
        <v>2017</v>
      </c>
      <c r="E441" s="0" t="s">
        <v>59</v>
      </c>
      <c r="F441" s="0" t="n">
        <v>2539585</v>
      </c>
      <c r="G441" s="0" t="s">
        <v>3101</v>
      </c>
      <c r="H441" s="0" t="s">
        <v>3068</v>
      </c>
      <c r="I441" s="0" t="n">
        <v>2539585</v>
      </c>
      <c r="J441" s="0" t="s">
        <v>3640</v>
      </c>
      <c r="M441" s="0" t="s">
        <v>2729</v>
      </c>
      <c r="N441" s="0" t="s">
        <v>184</v>
      </c>
      <c r="Q441" s="0" t="n">
        <v>75</v>
      </c>
      <c r="R441" s="0" t="n">
        <v>75</v>
      </c>
      <c r="U441" s="0" t="s">
        <v>3647</v>
      </c>
      <c r="V441" s="0" t="s">
        <v>3647</v>
      </c>
      <c r="Y441" s="0" t="s">
        <v>3071</v>
      </c>
      <c r="Z441" s="0" t="s">
        <v>3072</v>
      </c>
      <c r="AA441" s="0" t="s">
        <v>3657</v>
      </c>
      <c r="AC441" s="0" t="s">
        <v>3643</v>
      </c>
    </row>
    <row r="442" customFormat="false" ht="15" hidden="false" customHeight="false" outlineLevel="0" collapsed="false">
      <c r="A442" s="0" t="s">
        <v>3662</v>
      </c>
      <c r="B442" s="0" t="s">
        <v>178</v>
      </c>
      <c r="C442" s="0" t="s">
        <v>3098</v>
      </c>
      <c r="D442" s="0" t="n">
        <v>2018</v>
      </c>
      <c r="E442" s="0" t="s">
        <v>58</v>
      </c>
      <c r="F442" s="0" t="n">
        <v>488626</v>
      </c>
      <c r="G442" s="0" t="s">
        <v>3101</v>
      </c>
      <c r="H442" s="0" t="s">
        <v>3068</v>
      </c>
      <c r="I442" s="0" t="n">
        <v>488626</v>
      </c>
      <c r="J442" s="0" t="s">
        <v>3640</v>
      </c>
      <c r="M442" s="0" t="s">
        <v>2729</v>
      </c>
      <c r="N442" s="0" t="s">
        <v>184</v>
      </c>
      <c r="Q442" s="0" t="n">
        <v>78</v>
      </c>
      <c r="R442" s="0" t="n">
        <v>78</v>
      </c>
      <c r="U442" s="0" t="s">
        <v>3641</v>
      </c>
      <c r="V442" s="0" t="s">
        <v>3641</v>
      </c>
      <c r="Y442" s="0" t="s">
        <v>3071</v>
      </c>
      <c r="Z442" s="0" t="s">
        <v>3072</v>
      </c>
      <c r="AA442" s="0" t="s">
        <v>3652</v>
      </c>
      <c r="AC442" s="0" t="s">
        <v>3643</v>
      </c>
    </row>
    <row r="443" customFormat="false" ht="15" hidden="false" customHeight="false" outlineLevel="0" collapsed="false">
      <c r="A443" s="0" t="s">
        <v>3663</v>
      </c>
      <c r="B443" s="0" t="s">
        <v>178</v>
      </c>
      <c r="C443" s="0" t="s">
        <v>3098</v>
      </c>
      <c r="D443" s="0" t="n">
        <v>2017</v>
      </c>
      <c r="E443" s="0" t="s">
        <v>58</v>
      </c>
      <c r="F443" s="0" t="n">
        <v>59151</v>
      </c>
      <c r="G443" s="0" t="s">
        <v>3101</v>
      </c>
      <c r="H443" s="0" t="s">
        <v>3068</v>
      </c>
      <c r="I443" s="0" t="n">
        <v>59151</v>
      </c>
      <c r="J443" s="0" t="s">
        <v>3640</v>
      </c>
      <c r="M443" s="0" t="s">
        <v>2729</v>
      </c>
      <c r="N443" s="0" t="s">
        <v>184</v>
      </c>
      <c r="Q443" s="0" t="n">
        <v>78</v>
      </c>
      <c r="R443" s="0" t="n">
        <v>78</v>
      </c>
      <c r="U443" s="0" t="s">
        <v>3647</v>
      </c>
      <c r="V443" s="0" t="s">
        <v>3647</v>
      </c>
      <c r="Y443" s="0" t="s">
        <v>3071</v>
      </c>
      <c r="Z443" s="0" t="s">
        <v>3072</v>
      </c>
      <c r="AA443" s="0" t="s">
        <v>3652</v>
      </c>
      <c r="AC443" s="0" t="s">
        <v>3643</v>
      </c>
    </row>
    <row r="444" customFormat="false" ht="15" hidden="false" customHeight="false" outlineLevel="0" collapsed="false">
      <c r="A444" s="0" t="s">
        <v>3664</v>
      </c>
      <c r="B444" s="0" t="s">
        <v>178</v>
      </c>
      <c r="C444" s="0" t="s">
        <v>3098</v>
      </c>
      <c r="D444" s="0" t="n">
        <v>2020</v>
      </c>
      <c r="E444" s="0" t="s">
        <v>54</v>
      </c>
      <c r="F444" s="0" t="n">
        <v>56911</v>
      </c>
      <c r="G444" s="0" t="s">
        <v>3101</v>
      </c>
      <c r="H444" s="0" t="s">
        <v>3068</v>
      </c>
      <c r="I444" s="0" t="n">
        <v>56911</v>
      </c>
      <c r="J444" s="0" t="s">
        <v>3640</v>
      </c>
      <c r="M444" s="0" t="s">
        <v>2730</v>
      </c>
      <c r="N444" s="0" t="s">
        <v>185</v>
      </c>
      <c r="Q444" s="0" t="n">
        <v>27</v>
      </c>
      <c r="R444" s="0" t="n">
        <v>27</v>
      </c>
      <c r="U444" s="0" t="s">
        <v>3665</v>
      </c>
      <c r="V444" s="0" t="s">
        <v>3665</v>
      </c>
      <c r="Y444" s="0" t="s">
        <v>3071</v>
      </c>
      <c r="Z444" s="0" t="s">
        <v>3072</v>
      </c>
      <c r="AA444" s="0" t="s">
        <v>3666</v>
      </c>
      <c r="AC444" s="0" t="s">
        <v>3643</v>
      </c>
    </row>
    <row r="445" customFormat="false" ht="15" hidden="false" customHeight="false" outlineLevel="0" collapsed="false">
      <c r="A445" s="0" t="s">
        <v>3667</v>
      </c>
      <c r="B445" s="0" t="s">
        <v>178</v>
      </c>
      <c r="C445" s="0" t="s">
        <v>3098</v>
      </c>
      <c r="D445" s="0" t="n">
        <v>2020</v>
      </c>
      <c r="E445" s="0" t="s">
        <v>541</v>
      </c>
      <c r="F445" s="0" t="n">
        <v>58360</v>
      </c>
      <c r="G445" s="0" t="s">
        <v>3101</v>
      </c>
      <c r="H445" s="0" t="s">
        <v>3068</v>
      </c>
      <c r="I445" s="0" t="n">
        <v>58360</v>
      </c>
      <c r="J445" s="0" t="s">
        <v>3640</v>
      </c>
      <c r="M445" s="0" t="s">
        <v>2730</v>
      </c>
      <c r="N445" s="0" t="s">
        <v>185</v>
      </c>
      <c r="Q445" s="0" t="n">
        <v>27</v>
      </c>
      <c r="R445" s="0" t="n">
        <v>27</v>
      </c>
      <c r="U445" s="0" t="s">
        <v>3665</v>
      </c>
      <c r="V445" s="0" t="s">
        <v>3665</v>
      </c>
      <c r="Y445" s="0" t="s">
        <v>3071</v>
      </c>
      <c r="Z445" s="0" t="s">
        <v>3072</v>
      </c>
      <c r="AA445" s="0" t="s">
        <v>3666</v>
      </c>
      <c r="AC445" s="0" t="s">
        <v>3643</v>
      </c>
    </row>
    <row r="446" customFormat="false" ht="15" hidden="false" customHeight="false" outlineLevel="0" collapsed="false">
      <c r="A446" s="0" t="s">
        <v>3668</v>
      </c>
      <c r="B446" s="0" t="s">
        <v>178</v>
      </c>
      <c r="C446" s="0" t="s">
        <v>3098</v>
      </c>
      <c r="D446" s="0" t="n">
        <v>2020</v>
      </c>
      <c r="E446" s="0" t="s">
        <v>307</v>
      </c>
      <c r="F446" s="0" t="n">
        <v>14146</v>
      </c>
      <c r="G446" s="0" t="s">
        <v>3101</v>
      </c>
      <c r="H446" s="0" t="s">
        <v>3068</v>
      </c>
      <c r="I446" s="0" t="n">
        <v>14146</v>
      </c>
      <c r="J446" s="0" t="s">
        <v>3640</v>
      </c>
      <c r="M446" s="0" t="s">
        <v>2730</v>
      </c>
      <c r="N446" s="0" t="s">
        <v>185</v>
      </c>
      <c r="Q446" s="0" t="n">
        <v>27</v>
      </c>
      <c r="R446" s="0" t="n">
        <v>27</v>
      </c>
      <c r="U446" s="0" t="s">
        <v>3665</v>
      </c>
      <c r="V446" s="0" t="s">
        <v>3665</v>
      </c>
      <c r="Y446" s="0" t="s">
        <v>3071</v>
      </c>
      <c r="Z446" s="0" t="s">
        <v>3072</v>
      </c>
      <c r="AA446" s="0" t="s">
        <v>3666</v>
      </c>
      <c r="AC446" s="0" t="s">
        <v>3643</v>
      </c>
    </row>
    <row r="447" customFormat="false" ht="15" hidden="false" customHeight="false" outlineLevel="0" collapsed="false">
      <c r="A447" s="0" t="s">
        <v>3669</v>
      </c>
      <c r="B447" s="0" t="s">
        <v>178</v>
      </c>
      <c r="C447" s="0" t="s">
        <v>3098</v>
      </c>
      <c r="D447" s="0" t="n">
        <v>2020</v>
      </c>
      <c r="E447" s="0" t="s">
        <v>1038</v>
      </c>
      <c r="F447" s="0" t="n">
        <v>7718</v>
      </c>
      <c r="G447" s="0" t="s">
        <v>3101</v>
      </c>
      <c r="H447" s="0" t="s">
        <v>3068</v>
      </c>
      <c r="I447" s="0" t="n">
        <v>7718</v>
      </c>
      <c r="J447" s="0" t="s">
        <v>3640</v>
      </c>
      <c r="M447" s="0" t="s">
        <v>2730</v>
      </c>
      <c r="N447" s="0" t="s">
        <v>185</v>
      </c>
      <c r="Q447" s="0" t="n">
        <v>27</v>
      </c>
      <c r="R447" s="0" t="n">
        <v>27</v>
      </c>
      <c r="U447" s="0" t="s">
        <v>3665</v>
      </c>
      <c r="V447" s="0" t="s">
        <v>3665</v>
      </c>
      <c r="Y447" s="0" t="s">
        <v>3071</v>
      </c>
      <c r="Z447" s="0" t="s">
        <v>3072</v>
      </c>
      <c r="AA447" s="0" t="s">
        <v>3666</v>
      </c>
      <c r="AC447" s="0" t="s">
        <v>3643</v>
      </c>
    </row>
    <row r="448" customFormat="false" ht="15" hidden="false" customHeight="false" outlineLevel="0" collapsed="false">
      <c r="A448" s="0" t="s">
        <v>3670</v>
      </c>
      <c r="B448" s="0" t="s">
        <v>178</v>
      </c>
      <c r="C448" s="0" t="s">
        <v>3098</v>
      </c>
      <c r="D448" s="0" t="n">
        <v>2019</v>
      </c>
      <c r="E448" s="0" t="s">
        <v>54</v>
      </c>
      <c r="F448" s="0" t="n">
        <v>62750</v>
      </c>
      <c r="G448" s="0" t="s">
        <v>3101</v>
      </c>
      <c r="H448" s="0" t="s">
        <v>3068</v>
      </c>
      <c r="I448" s="0" t="n">
        <v>62750</v>
      </c>
      <c r="J448" s="0" t="s">
        <v>3640</v>
      </c>
      <c r="M448" s="0" t="s">
        <v>2730</v>
      </c>
      <c r="N448" s="0" t="s">
        <v>185</v>
      </c>
      <c r="Q448" s="0" t="n">
        <v>27</v>
      </c>
      <c r="R448" s="0" t="n">
        <v>27</v>
      </c>
      <c r="U448" s="0" t="s">
        <v>3671</v>
      </c>
      <c r="V448" s="0" t="s">
        <v>3671</v>
      </c>
      <c r="Y448" s="0" t="s">
        <v>3071</v>
      </c>
      <c r="Z448" s="0" t="s">
        <v>3072</v>
      </c>
      <c r="AA448" s="0" t="s">
        <v>3652</v>
      </c>
      <c r="AC448" s="0" t="s">
        <v>3643</v>
      </c>
    </row>
    <row r="449" customFormat="false" ht="15" hidden="false" customHeight="false" outlineLevel="0" collapsed="false">
      <c r="A449" s="0" t="s">
        <v>3672</v>
      </c>
      <c r="B449" s="0" t="s">
        <v>178</v>
      </c>
      <c r="C449" s="0" t="s">
        <v>3098</v>
      </c>
      <c r="D449" s="0" t="n">
        <v>2019</v>
      </c>
      <c r="E449" s="0" t="s">
        <v>541</v>
      </c>
      <c r="F449" s="0" t="n">
        <v>70063</v>
      </c>
      <c r="G449" s="0" t="s">
        <v>3101</v>
      </c>
      <c r="H449" s="0" t="s">
        <v>3068</v>
      </c>
      <c r="I449" s="0" t="n">
        <v>70063</v>
      </c>
      <c r="J449" s="0" t="s">
        <v>3640</v>
      </c>
      <c r="M449" s="0" t="s">
        <v>2730</v>
      </c>
      <c r="N449" s="0" t="s">
        <v>185</v>
      </c>
      <c r="Q449" s="0" t="n">
        <v>27</v>
      </c>
      <c r="R449" s="0" t="n">
        <v>27</v>
      </c>
      <c r="U449" s="0" t="s">
        <v>3671</v>
      </c>
      <c r="V449" s="0" t="s">
        <v>3671</v>
      </c>
      <c r="Y449" s="0" t="s">
        <v>3071</v>
      </c>
      <c r="Z449" s="0" t="s">
        <v>3072</v>
      </c>
      <c r="AA449" s="0" t="s">
        <v>3652</v>
      </c>
      <c r="AC449" s="0" t="s">
        <v>3643</v>
      </c>
    </row>
    <row r="450" customFormat="false" ht="15" hidden="false" customHeight="false" outlineLevel="0" collapsed="false">
      <c r="A450" s="0" t="s">
        <v>3673</v>
      </c>
      <c r="B450" s="0" t="s">
        <v>178</v>
      </c>
      <c r="C450" s="0" t="s">
        <v>3098</v>
      </c>
      <c r="D450" s="0" t="n">
        <v>2019</v>
      </c>
      <c r="E450" s="0" t="s">
        <v>307</v>
      </c>
      <c r="F450" s="0" t="n">
        <v>14695</v>
      </c>
      <c r="G450" s="0" t="s">
        <v>3101</v>
      </c>
      <c r="H450" s="0" t="s">
        <v>3068</v>
      </c>
      <c r="I450" s="0" t="n">
        <v>14695</v>
      </c>
      <c r="J450" s="0" t="s">
        <v>3640</v>
      </c>
      <c r="M450" s="0" t="s">
        <v>2730</v>
      </c>
      <c r="N450" s="0" t="s">
        <v>185</v>
      </c>
      <c r="Q450" s="0" t="n">
        <v>27</v>
      </c>
      <c r="R450" s="0" t="n">
        <v>27</v>
      </c>
      <c r="U450" s="0" t="s">
        <v>3671</v>
      </c>
      <c r="V450" s="0" t="s">
        <v>3671</v>
      </c>
      <c r="Y450" s="0" t="s">
        <v>3071</v>
      </c>
      <c r="Z450" s="0" t="s">
        <v>3072</v>
      </c>
      <c r="AA450" s="0" t="s">
        <v>3652</v>
      </c>
      <c r="AC450" s="0" t="s">
        <v>3643</v>
      </c>
    </row>
    <row r="451" customFormat="false" ht="15" hidden="false" customHeight="false" outlineLevel="0" collapsed="false">
      <c r="A451" s="0" t="s">
        <v>3674</v>
      </c>
      <c r="B451" s="0" t="s">
        <v>178</v>
      </c>
      <c r="C451" s="0" t="s">
        <v>3098</v>
      </c>
      <c r="D451" s="0" t="n">
        <v>2019</v>
      </c>
      <c r="E451" s="0" t="s">
        <v>1038</v>
      </c>
      <c r="F451" s="0" t="n">
        <v>1674</v>
      </c>
      <c r="G451" s="0" t="s">
        <v>3101</v>
      </c>
      <c r="H451" s="0" t="s">
        <v>3068</v>
      </c>
      <c r="I451" s="0" t="n">
        <v>1674</v>
      </c>
      <c r="J451" s="0" t="s">
        <v>3640</v>
      </c>
      <c r="M451" s="0" t="s">
        <v>2730</v>
      </c>
      <c r="N451" s="0" t="s">
        <v>185</v>
      </c>
      <c r="Q451" s="0" t="n">
        <v>27</v>
      </c>
      <c r="R451" s="0" t="n">
        <v>27</v>
      </c>
      <c r="U451" s="0" t="s">
        <v>3671</v>
      </c>
      <c r="V451" s="0" t="s">
        <v>3671</v>
      </c>
      <c r="Y451" s="0" t="s">
        <v>3071</v>
      </c>
      <c r="Z451" s="0" t="s">
        <v>3072</v>
      </c>
      <c r="AA451" s="0" t="s">
        <v>3652</v>
      </c>
      <c r="AC451" s="0" t="s">
        <v>3643</v>
      </c>
    </row>
    <row r="452" customFormat="false" ht="15" hidden="false" customHeight="false" outlineLevel="0" collapsed="false">
      <c r="A452" s="0" t="s">
        <v>3675</v>
      </c>
      <c r="B452" s="0" t="s">
        <v>178</v>
      </c>
      <c r="C452" s="0" t="s">
        <v>3098</v>
      </c>
      <c r="D452" s="0" t="n">
        <v>2020</v>
      </c>
      <c r="E452" s="0" t="s">
        <v>55</v>
      </c>
      <c r="F452" s="0" t="n">
        <v>5207833</v>
      </c>
      <c r="G452" s="0" t="s">
        <v>3101</v>
      </c>
      <c r="H452" s="0" t="s">
        <v>3068</v>
      </c>
      <c r="I452" s="0" t="n">
        <v>5207833</v>
      </c>
      <c r="J452" s="0" t="s">
        <v>3640</v>
      </c>
      <c r="M452" s="0" t="s">
        <v>2730</v>
      </c>
      <c r="N452" s="0" t="s">
        <v>185</v>
      </c>
      <c r="Q452" s="0" t="n">
        <v>28</v>
      </c>
      <c r="R452" s="0" t="n">
        <v>28</v>
      </c>
      <c r="U452" s="0" t="s">
        <v>3665</v>
      </c>
      <c r="V452" s="0" t="s">
        <v>3665</v>
      </c>
      <c r="Y452" s="0" t="s">
        <v>3071</v>
      </c>
      <c r="Z452" s="0" t="s">
        <v>3072</v>
      </c>
      <c r="AA452" s="0" t="s">
        <v>3652</v>
      </c>
      <c r="AC452" s="0" t="s">
        <v>3643</v>
      </c>
    </row>
    <row r="453" customFormat="false" ht="15" hidden="false" customHeight="false" outlineLevel="0" collapsed="false">
      <c r="A453" s="0" t="s">
        <v>3676</v>
      </c>
      <c r="B453" s="0" t="s">
        <v>178</v>
      </c>
      <c r="C453" s="0" t="s">
        <v>3098</v>
      </c>
      <c r="D453" s="0" t="n">
        <v>2020</v>
      </c>
      <c r="E453" s="0" t="s">
        <v>56</v>
      </c>
      <c r="F453" s="0" t="n">
        <v>4729893</v>
      </c>
      <c r="G453" s="0" t="s">
        <v>3101</v>
      </c>
      <c r="H453" s="0" t="s">
        <v>3068</v>
      </c>
      <c r="I453" s="0" t="n">
        <v>4729893</v>
      </c>
      <c r="J453" s="0" t="s">
        <v>3640</v>
      </c>
      <c r="M453" s="0" t="s">
        <v>2730</v>
      </c>
      <c r="N453" s="0" t="s">
        <v>185</v>
      </c>
      <c r="Q453" s="0" t="n">
        <v>28</v>
      </c>
      <c r="R453" s="0" t="n">
        <v>28</v>
      </c>
      <c r="U453" s="0" t="s">
        <v>3665</v>
      </c>
      <c r="V453" s="0" t="s">
        <v>3665</v>
      </c>
      <c r="Y453" s="0" t="s">
        <v>3071</v>
      </c>
      <c r="Z453" s="0" t="s">
        <v>3072</v>
      </c>
      <c r="AA453" s="0" t="s">
        <v>3652</v>
      </c>
      <c r="AC453" s="0" t="s">
        <v>3643</v>
      </c>
    </row>
    <row r="454" customFormat="false" ht="15" hidden="false" customHeight="false" outlineLevel="0" collapsed="false">
      <c r="A454" s="0" t="s">
        <v>3677</v>
      </c>
      <c r="B454" s="0" t="s">
        <v>178</v>
      </c>
      <c r="C454" s="0" t="s">
        <v>3098</v>
      </c>
      <c r="D454" s="0" t="n">
        <v>2020</v>
      </c>
      <c r="E454" s="0" t="s">
        <v>57</v>
      </c>
      <c r="F454" s="0" t="n">
        <v>477940</v>
      </c>
      <c r="G454" s="0" t="s">
        <v>3101</v>
      </c>
      <c r="H454" s="0" t="s">
        <v>3068</v>
      </c>
      <c r="I454" s="0" t="n">
        <v>477940</v>
      </c>
      <c r="J454" s="0" t="s">
        <v>3640</v>
      </c>
      <c r="M454" s="0" t="s">
        <v>2730</v>
      </c>
      <c r="N454" s="0" t="s">
        <v>185</v>
      </c>
      <c r="Q454" s="0" t="n">
        <v>28</v>
      </c>
      <c r="R454" s="0" t="n">
        <v>28</v>
      </c>
      <c r="U454" s="0" t="s">
        <v>3665</v>
      </c>
      <c r="V454" s="0" t="s">
        <v>3665</v>
      </c>
      <c r="Y454" s="0" t="s">
        <v>3071</v>
      </c>
      <c r="Z454" s="0" t="s">
        <v>3072</v>
      </c>
      <c r="AA454" s="0" t="s">
        <v>3652</v>
      </c>
      <c r="AC454" s="0" t="s">
        <v>3643</v>
      </c>
    </row>
    <row r="455" customFormat="false" ht="15" hidden="false" customHeight="false" outlineLevel="0" collapsed="false">
      <c r="A455" s="0" t="s">
        <v>3678</v>
      </c>
      <c r="B455" s="0" t="s">
        <v>178</v>
      </c>
      <c r="C455" s="0" t="s">
        <v>3098</v>
      </c>
      <c r="D455" s="0" t="n">
        <v>2020</v>
      </c>
      <c r="E455" s="0" t="s">
        <v>62</v>
      </c>
      <c r="F455" s="0" t="n">
        <v>1812536</v>
      </c>
      <c r="G455" s="0" t="s">
        <v>3101</v>
      </c>
      <c r="H455" s="0" t="s">
        <v>3068</v>
      </c>
      <c r="I455" s="0" t="n">
        <v>1812536</v>
      </c>
      <c r="J455" s="0" t="s">
        <v>3640</v>
      </c>
      <c r="M455" s="0" t="s">
        <v>2730</v>
      </c>
      <c r="N455" s="0" t="s">
        <v>185</v>
      </c>
      <c r="Q455" s="0" t="n">
        <v>28</v>
      </c>
      <c r="R455" s="0" t="n">
        <v>28</v>
      </c>
      <c r="U455" s="0" t="s">
        <v>3665</v>
      </c>
      <c r="V455" s="0" t="s">
        <v>3665</v>
      </c>
      <c r="Y455" s="0" t="s">
        <v>3071</v>
      </c>
      <c r="Z455" s="0" t="s">
        <v>3072</v>
      </c>
      <c r="AA455" s="0" t="s">
        <v>3652</v>
      </c>
      <c r="AC455" s="0" t="s">
        <v>3643</v>
      </c>
    </row>
    <row r="456" customFormat="false" ht="15" hidden="false" customHeight="false" outlineLevel="0" collapsed="false">
      <c r="A456" s="0" t="s">
        <v>3679</v>
      </c>
      <c r="B456" s="0" t="s">
        <v>178</v>
      </c>
      <c r="C456" s="0" t="s">
        <v>3098</v>
      </c>
      <c r="D456" s="0" t="n">
        <v>2019</v>
      </c>
      <c r="E456" s="0" t="s">
        <v>55</v>
      </c>
      <c r="F456" s="0" t="n">
        <v>4136493</v>
      </c>
      <c r="G456" s="0" t="s">
        <v>3101</v>
      </c>
      <c r="H456" s="0" t="s">
        <v>3068</v>
      </c>
      <c r="I456" s="0" t="n">
        <v>4136493</v>
      </c>
      <c r="J456" s="0" t="s">
        <v>3640</v>
      </c>
      <c r="M456" s="0" t="s">
        <v>2730</v>
      </c>
      <c r="N456" s="0" t="s">
        <v>185</v>
      </c>
      <c r="Q456" s="0" t="n">
        <v>28</v>
      </c>
      <c r="R456" s="0" t="n">
        <v>28</v>
      </c>
      <c r="U456" s="0" t="s">
        <v>3671</v>
      </c>
      <c r="V456" s="0" t="s">
        <v>3671</v>
      </c>
      <c r="Y456" s="0" t="s">
        <v>3071</v>
      </c>
      <c r="Z456" s="0" t="s">
        <v>3072</v>
      </c>
      <c r="AA456" s="0" t="s">
        <v>3652</v>
      </c>
      <c r="AC456" s="0" t="s">
        <v>3643</v>
      </c>
    </row>
    <row r="457" customFormat="false" ht="15" hidden="false" customHeight="false" outlineLevel="0" collapsed="false">
      <c r="A457" s="0" t="s">
        <v>3680</v>
      </c>
      <c r="B457" s="0" t="s">
        <v>178</v>
      </c>
      <c r="C457" s="0" t="s">
        <v>3098</v>
      </c>
      <c r="D457" s="0" t="n">
        <v>2019</v>
      </c>
      <c r="E457" s="0" t="s">
        <v>56</v>
      </c>
      <c r="F457" s="0" t="n">
        <v>3689971</v>
      </c>
      <c r="G457" s="0" t="s">
        <v>3101</v>
      </c>
      <c r="H457" s="0" t="s">
        <v>3068</v>
      </c>
      <c r="I457" s="0" t="n">
        <v>3689971</v>
      </c>
      <c r="J457" s="0" t="s">
        <v>3640</v>
      </c>
      <c r="M457" s="0" t="s">
        <v>2730</v>
      </c>
      <c r="N457" s="0" t="s">
        <v>185</v>
      </c>
      <c r="Q457" s="0" t="n">
        <v>28</v>
      </c>
      <c r="R457" s="0" t="n">
        <v>28</v>
      </c>
      <c r="U457" s="0" t="s">
        <v>3671</v>
      </c>
      <c r="V457" s="0" t="s">
        <v>3671</v>
      </c>
      <c r="Y457" s="0" t="s">
        <v>3071</v>
      </c>
      <c r="Z457" s="0" t="s">
        <v>3072</v>
      </c>
      <c r="AA457" s="0" t="s">
        <v>3652</v>
      </c>
      <c r="AC457" s="0" t="s">
        <v>3643</v>
      </c>
    </row>
    <row r="458" customFormat="false" ht="15" hidden="false" customHeight="false" outlineLevel="0" collapsed="false">
      <c r="A458" s="0" t="s">
        <v>3681</v>
      </c>
      <c r="B458" s="0" t="s">
        <v>178</v>
      </c>
      <c r="C458" s="0" t="s">
        <v>3098</v>
      </c>
      <c r="D458" s="0" t="n">
        <v>2019</v>
      </c>
      <c r="E458" s="0" t="s">
        <v>57</v>
      </c>
      <c r="F458" s="0" t="n">
        <v>446522</v>
      </c>
      <c r="G458" s="0" t="s">
        <v>3101</v>
      </c>
      <c r="H458" s="0" t="s">
        <v>3068</v>
      </c>
      <c r="I458" s="0" t="n">
        <v>446522</v>
      </c>
      <c r="J458" s="0" t="s">
        <v>3640</v>
      </c>
      <c r="M458" s="0" t="s">
        <v>2730</v>
      </c>
      <c r="N458" s="0" t="s">
        <v>185</v>
      </c>
      <c r="Q458" s="0" t="n">
        <v>28</v>
      </c>
      <c r="R458" s="0" t="n">
        <v>28</v>
      </c>
      <c r="U458" s="0" t="s">
        <v>3671</v>
      </c>
      <c r="V458" s="0" t="s">
        <v>3671</v>
      </c>
      <c r="Y458" s="0" t="s">
        <v>3071</v>
      </c>
      <c r="Z458" s="0" t="s">
        <v>3072</v>
      </c>
      <c r="AA458" s="0" t="s">
        <v>3652</v>
      </c>
      <c r="AC458" s="0" t="s">
        <v>3643</v>
      </c>
    </row>
    <row r="459" customFormat="false" ht="15" hidden="false" customHeight="false" outlineLevel="0" collapsed="false">
      <c r="A459" s="0" t="s">
        <v>3682</v>
      </c>
      <c r="B459" s="0" t="s">
        <v>178</v>
      </c>
      <c r="C459" s="0" t="s">
        <v>3098</v>
      </c>
      <c r="D459" s="0" t="n">
        <v>2019</v>
      </c>
      <c r="E459" s="0" t="s">
        <v>62</v>
      </c>
      <c r="F459" s="0" t="n">
        <v>1503380</v>
      </c>
      <c r="G459" s="0" t="s">
        <v>3101</v>
      </c>
      <c r="H459" s="0" t="s">
        <v>3068</v>
      </c>
      <c r="I459" s="0" t="n">
        <v>1503380</v>
      </c>
      <c r="J459" s="0" t="s">
        <v>3640</v>
      </c>
      <c r="M459" s="0" t="s">
        <v>2730</v>
      </c>
      <c r="N459" s="0" t="s">
        <v>185</v>
      </c>
      <c r="Q459" s="0" t="n">
        <v>28</v>
      </c>
      <c r="R459" s="0" t="n">
        <v>28</v>
      </c>
      <c r="U459" s="0" t="s">
        <v>3671</v>
      </c>
      <c r="V459" s="0" t="s">
        <v>3671</v>
      </c>
      <c r="Y459" s="0" t="s">
        <v>3071</v>
      </c>
      <c r="Z459" s="0" t="s">
        <v>3072</v>
      </c>
      <c r="AA459" s="0" t="s">
        <v>3652</v>
      </c>
      <c r="AC459" s="0" t="s">
        <v>3643</v>
      </c>
    </row>
    <row r="460" customFormat="false" ht="15" hidden="false" customHeight="false" outlineLevel="0" collapsed="false">
      <c r="A460" s="0" t="s">
        <v>3683</v>
      </c>
      <c r="B460" s="0" t="s">
        <v>178</v>
      </c>
      <c r="C460" s="0" t="s">
        <v>3098</v>
      </c>
      <c r="D460" s="0" t="n">
        <v>2020</v>
      </c>
      <c r="E460" s="0" t="s">
        <v>58</v>
      </c>
      <c r="F460" s="0" t="n">
        <v>735114</v>
      </c>
      <c r="G460" s="0" t="s">
        <v>3101</v>
      </c>
      <c r="H460" s="0" t="s">
        <v>3068</v>
      </c>
      <c r="I460" s="0" t="n">
        <v>735114</v>
      </c>
      <c r="J460" s="0" t="s">
        <v>3640</v>
      </c>
      <c r="M460" s="0" t="s">
        <v>2730</v>
      </c>
      <c r="N460" s="0" t="s">
        <v>185</v>
      </c>
      <c r="Q460" s="0" t="n">
        <v>31</v>
      </c>
      <c r="R460" s="0" t="n">
        <v>31</v>
      </c>
      <c r="U460" s="0" t="s">
        <v>3665</v>
      </c>
      <c r="V460" s="0" t="s">
        <v>3665</v>
      </c>
      <c r="Y460" s="0" t="s">
        <v>3071</v>
      </c>
      <c r="Z460" s="0" t="s">
        <v>3072</v>
      </c>
      <c r="AA460" s="0" t="s">
        <v>3652</v>
      </c>
      <c r="AC460" s="0" t="s">
        <v>3643</v>
      </c>
    </row>
    <row r="461" customFormat="false" ht="15" hidden="false" customHeight="false" outlineLevel="0" collapsed="false">
      <c r="A461" s="0" t="s">
        <v>3684</v>
      </c>
      <c r="B461" s="0" t="s">
        <v>178</v>
      </c>
      <c r="C461" s="0" t="s">
        <v>3098</v>
      </c>
      <c r="D461" s="0" t="n">
        <v>2019</v>
      </c>
      <c r="E461" s="0" t="s">
        <v>58</v>
      </c>
      <c r="F461" s="0" t="n">
        <v>-317453</v>
      </c>
      <c r="G461" s="0" t="s">
        <v>3101</v>
      </c>
      <c r="H461" s="0" t="s">
        <v>3068</v>
      </c>
      <c r="I461" s="0" t="n">
        <v>-317453</v>
      </c>
      <c r="J461" s="0" t="s">
        <v>3640</v>
      </c>
      <c r="M461" s="0" t="s">
        <v>2730</v>
      </c>
      <c r="N461" s="0" t="s">
        <v>185</v>
      </c>
      <c r="Q461" s="0" t="n">
        <v>31</v>
      </c>
      <c r="R461" s="0" t="n">
        <v>31</v>
      </c>
      <c r="U461" s="0" t="s">
        <v>3671</v>
      </c>
      <c r="V461" s="0" t="s">
        <v>3671</v>
      </c>
      <c r="Y461" s="0" t="s">
        <v>3071</v>
      </c>
      <c r="Z461" s="0" t="s">
        <v>3072</v>
      </c>
      <c r="AA461" s="0" t="s">
        <v>3652</v>
      </c>
      <c r="AC461" s="0" t="s">
        <v>3643</v>
      </c>
    </row>
    <row r="462" customFormat="false" ht="15" hidden="false" customHeight="false" outlineLevel="0" collapsed="false">
      <c r="A462" s="0" t="s">
        <v>3685</v>
      </c>
      <c r="B462" s="0" t="s">
        <v>178</v>
      </c>
      <c r="C462" s="0" t="s">
        <v>3098</v>
      </c>
      <c r="D462" s="0" t="n">
        <v>2022</v>
      </c>
      <c r="E462" s="0" t="s">
        <v>54</v>
      </c>
      <c r="F462" s="0" t="n">
        <v>133696</v>
      </c>
      <c r="G462" s="0" t="s">
        <v>3101</v>
      </c>
      <c r="H462" s="0" t="s">
        <v>3068</v>
      </c>
      <c r="I462" s="0" t="n">
        <v>133696</v>
      </c>
      <c r="J462" s="0" t="s">
        <v>3640</v>
      </c>
      <c r="M462" s="0" t="s">
        <v>2731</v>
      </c>
      <c r="N462" s="0" t="s">
        <v>186</v>
      </c>
      <c r="Q462" s="0" t="n">
        <v>30</v>
      </c>
      <c r="R462" s="0" t="n">
        <v>30</v>
      </c>
      <c r="U462" s="0" t="s">
        <v>3686</v>
      </c>
      <c r="V462" s="0" t="s">
        <v>3686</v>
      </c>
      <c r="Y462" s="0" t="s">
        <v>3071</v>
      </c>
      <c r="Z462" s="0" t="s">
        <v>3072</v>
      </c>
      <c r="AA462" s="0" t="s">
        <v>3652</v>
      </c>
      <c r="AC462" s="0" t="s">
        <v>3643</v>
      </c>
    </row>
    <row r="463" customFormat="false" ht="15" hidden="false" customHeight="false" outlineLevel="0" collapsed="false">
      <c r="A463" s="0" t="s">
        <v>3687</v>
      </c>
      <c r="B463" s="0" t="s">
        <v>178</v>
      </c>
      <c r="C463" s="0" t="s">
        <v>3098</v>
      </c>
      <c r="D463" s="0" t="n">
        <v>2022</v>
      </c>
      <c r="E463" s="0" t="s">
        <v>541</v>
      </c>
      <c r="F463" s="0" t="n">
        <v>141317</v>
      </c>
      <c r="G463" s="0" t="s">
        <v>3101</v>
      </c>
      <c r="H463" s="0" t="s">
        <v>3068</v>
      </c>
      <c r="I463" s="0" t="n">
        <v>141317</v>
      </c>
      <c r="J463" s="0" t="s">
        <v>3640</v>
      </c>
      <c r="M463" s="0" t="s">
        <v>2731</v>
      </c>
      <c r="N463" s="0" t="s">
        <v>186</v>
      </c>
      <c r="Q463" s="0" t="n">
        <v>30</v>
      </c>
      <c r="R463" s="0" t="n">
        <v>30</v>
      </c>
      <c r="U463" s="0" t="s">
        <v>3686</v>
      </c>
      <c r="V463" s="0" t="s">
        <v>3686</v>
      </c>
      <c r="Y463" s="0" t="s">
        <v>3071</v>
      </c>
      <c r="Z463" s="0" t="s">
        <v>3072</v>
      </c>
      <c r="AA463" s="0" t="s">
        <v>3652</v>
      </c>
      <c r="AC463" s="0" t="s">
        <v>3643</v>
      </c>
    </row>
    <row r="464" customFormat="false" ht="15" hidden="false" customHeight="false" outlineLevel="0" collapsed="false">
      <c r="A464" s="0" t="s">
        <v>3688</v>
      </c>
      <c r="B464" s="0" t="s">
        <v>178</v>
      </c>
      <c r="C464" s="0" t="s">
        <v>3098</v>
      </c>
      <c r="D464" s="0" t="n">
        <v>2022</v>
      </c>
      <c r="E464" s="0" t="s">
        <v>307</v>
      </c>
      <c r="F464" s="0" t="n">
        <v>5669</v>
      </c>
      <c r="G464" s="0" t="s">
        <v>3101</v>
      </c>
      <c r="H464" s="0" t="s">
        <v>3068</v>
      </c>
      <c r="I464" s="0" t="n">
        <v>5669</v>
      </c>
      <c r="J464" s="0" t="s">
        <v>3640</v>
      </c>
      <c r="M464" s="0" t="s">
        <v>2731</v>
      </c>
      <c r="N464" s="0" t="s">
        <v>186</v>
      </c>
      <c r="Q464" s="0" t="n">
        <v>30</v>
      </c>
      <c r="R464" s="0" t="n">
        <v>30</v>
      </c>
      <c r="U464" s="0" t="s">
        <v>3686</v>
      </c>
      <c r="V464" s="0" t="s">
        <v>3686</v>
      </c>
      <c r="Y464" s="0" t="s">
        <v>3071</v>
      </c>
      <c r="Z464" s="0" t="s">
        <v>3072</v>
      </c>
      <c r="AA464" s="0" t="s">
        <v>3652</v>
      </c>
      <c r="AC464" s="0" t="s">
        <v>3643</v>
      </c>
    </row>
    <row r="465" customFormat="false" ht="15" hidden="false" customHeight="false" outlineLevel="0" collapsed="false">
      <c r="A465" s="0" t="s">
        <v>3689</v>
      </c>
      <c r="B465" s="0" t="s">
        <v>178</v>
      </c>
      <c r="C465" s="0" t="s">
        <v>3098</v>
      </c>
      <c r="D465" s="0" t="n">
        <v>2022</v>
      </c>
      <c r="E465" s="0" t="s">
        <v>1038</v>
      </c>
      <c r="F465" s="0" t="n">
        <v>4896</v>
      </c>
      <c r="G465" s="0" t="s">
        <v>3101</v>
      </c>
      <c r="H465" s="0" t="s">
        <v>3068</v>
      </c>
      <c r="I465" s="0" t="n">
        <v>4896</v>
      </c>
      <c r="J465" s="0" t="s">
        <v>3640</v>
      </c>
      <c r="M465" s="0" t="s">
        <v>2731</v>
      </c>
      <c r="N465" s="0" t="s">
        <v>186</v>
      </c>
      <c r="Q465" s="0" t="n">
        <v>30</v>
      </c>
      <c r="R465" s="0" t="n">
        <v>30</v>
      </c>
      <c r="U465" s="0" t="s">
        <v>3686</v>
      </c>
      <c r="V465" s="0" t="s">
        <v>3686</v>
      </c>
      <c r="Y465" s="0" t="s">
        <v>3071</v>
      </c>
      <c r="Z465" s="0" t="s">
        <v>3072</v>
      </c>
      <c r="AA465" s="0" t="s">
        <v>3652</v>
      </c>
      <c r="AC465" s="0" t="s">
        <v>3643</v>
      </c>
    </row>
    <row r="466" customFormat="false" ht="15" hidden="false" customHeight="false" outlineLevel="0" collapsed="false">
      <c r="A466" s="0" t="s">
        <v>3690</v>
      </c>
      <c r="B466" s="0" t="s">
        <v>178</v>
      </c>
      <c r="C466" s="0" t="s">
        <v>3098</v>
      </c>
      <c r="D466" s="0" t="n">
        <v>2021</v>
      </c>
      <c r="E466" s="0" t="s">
        <v>54</v>
      </c>
      <c r="F466" s="0" t="n">
        <v>58669</v>
      </c>
      <c r="G466" s="0" t="s">
        <v>3101</v>
      </c>
      <c r="H466" s="0" t="s">
        <v>3068</v>
      </c>
      <c r="I466" s="0" t="n">
        <v>58669</v>
      </c>
      <c r="J466" s="0" t="s">
        <v>3640</v>
      </c>
      <c r="M466" s="0" t="s">
        <v>2731</v>
      </c>
      <c r="N466" s="0" t="s">
        <v>186</v>
      </c>
      <c r="Q466" s="0" t="n">
        <v>30</v>
      </c>
      <c r="R466" s="0" t="n">
        <v>30</v>
      </c>
      <c r="U466" s="0" t="s">
        <v>3691</v>
      </c>
      <c r="V466" s="0" t="s">
        <v>3691</v>
      </c>
      <c r="Y466" s="0" t="s">
        <v>3071</v>
      </c>
      <c r="Z466" s="0" t="s">
        <v>3072</v>
      </c>
      <c r="AA466" s="0" t="s">
        <v>3652</v>
      </c>
      <c r="AC466" s="0" t="s">
        <v>3643</v>
      </c>
    </row>
    <row r="467" customFormat="false" ht="15" hidden="false" customHeight="false" outlineLevel="0" collapsed="false">
      <c r="A467" s="0" t="s">
        <v>3692</v>
      </c>
      <c r="B467" s="0" t="s">
        <v>178</v>
      </c>
      <c r="C467" s="0" t="s">
        <v>3098</v>
      </c>
      <c r="D467" s="0" t="n">
        <v>2021</v>
      </c>
      <c r="E467" s="0" t="s">
        <v>541</v>
      </c>
      <c r="F467" s="0" t="n">
        <v>60519</v>
      </c>
      <c r="G467" s="0" t="s">
        <v>3101</v>
      </c>
      <c r="H467" s="0" t="s">
        <v>3068</v>
      </c>
      <c r="I467" s="0" t="n">
        <v>60519</v>
      </c>
      <c r="J467" s="0" t="s">
        <v>3640</v>
      </c>
      <c r="M467" s="0" t="s">
        <v>2731</v>
      </c>
      <c r="N467" s="0" t="s">
        <v>186</v>
      </c>
      <c r="Q467" s="0" t="n">
        <v>30</v>
      </c>
      <c r="R467" s="0" t="n">
        <v>30</v>
      </c>
      <c r="U467" s="0" t="s">
        <v>3691</v>
      </c>
      <c r="V467" s="0" t="s">
        <v>3691</v>
      </c>
      <c r="Y467" s="0" t="s">
        <v>3071</v>
      </c>
      <c r="Z467" s="0" t="s">
        <v>3072</v>
      </c>
      <c r="AA467" s="0" t="s">
        <v>3652</v>
      </c>
      <c r="AC467" s="0" t="s">
        <v>3643</v>
      </c>
    </row>
    <row r="468" customFormat="false" ht="15" hidden="false" customHeight="false" outlineLevel="0" collapsed="false">
      <c r="A468" s="0" t="s">
        <v>3693</v>
      </c>
      <c r="B468" s="0" t="s">
        <v>178</v>
      </c>
      <c r="C468" s="0" t="s">
        <v>3098</v>
      </c>
      <c r="D468" s="0" t="n">
        <v>2021</v>
      </c>
      <c r="E468" s="0" t="s">
        <v>307</v>
      </c>
      <c r="F468" s="0" t="n">
        <v>9049</v>
      </c>
      <c r="G468" s="0" t="s">
        <v>3101</v>
      </c>
      <c r="H468" s="0" t="s">
        <v>3068</v>
      </c>
      <c r="I468" s="0" t="n">
        <v>9049</v>
      </c>
      <c r="J468" s="0" t="s">
        <v>3640</v>
      </c>
      <c r="M468" s="0" t="s">
        <v>2731</v>
      </c>
      <c r="N468" s="0" t="s">
        <v>186</v>
      </c>
      <c r="Q468" s="0" t="n">
        <v>30</v>
      </c>
      <c r="R468" s="0" t="n">
        <v>30</v>
      </c>
      <c r="U468" s="0" t="s">
        <v>3691</v>
      </c>
      <c r="V468" s="0" t="s">
        <v>3691</v>
      </c>
      <c r="Y468" s="0" t="s">
        <v>3071</v>
      </c>
      <c r="Z468" s="0" t="s">
        <v>3072</v>
      </c>
      <c r="AA468" s="0" t="s">
        <v>3652</v>
      </c>
      <c r="AC468" s="0" t="s">
        <v>3643</v>
      </c>
    </row>
    <row r="469" customFormat="false" ht="15" hidden="false" customHeight="false" outlineLevel="0" collapsed="false">
      <c r="A469" s="0" t="s">
        <v>3694</v>
      </c>
      <c r="B469" s="0" t="s">
        <v>178</v>
      </c>
      <c r="C469" s="0" t="s">
        <v>3098</v>
      </c>
      <c r="D469" s="0" t="n">
        <v>2021</v>
      </c>
      <c r="E469" s="0" t="s">
        <v>1038</v>
      </c>
      <c r="F469" s="0" t="n">
        <v>700</v>
      </c>
      <c r="G469" s="0" t="s">
        <v>3101</v>
      </c>
      <c r="H469" s="0" t="s">
        <v>3068</v>
      </c>
      <c r="I469" s="0" t="n">
        <v>700</v>
      </c>
      <c r="J469" s="0" t="s">
        <v>3640</v>
      </c>
      <c r="M469" s="0" t="s">
        <v>2731</v>
      </c>
      <c r="N469" s="0" t="s">
        <v>186</v>
      </c>
      <c r="Q469" s="0" t="n">
        <v>30</v>
      </c>
      <c r="R469" s="0" t="n">
        <v>30</v>
      </c>
      <c r="U469" s="0" t="s">
        <v>3691</v>
      </c>
      <c r="V469" s="0" t="s">
        <v>3691</v>
      </c>
      <c r="Y469" s="0" t="s">
        <v>3071</v>
      </c>
      <c r="Z469" s="0" t="s">
        <v>3072</v>
      </c>
      <c r="AA469" s="0" t="s">
        <v>3652</v>
      </c>
      <c r="AC469" s="0" t="s">
        <v>3643</v>
      </c>
    </row>
    <row r="470" customFormat="false" ht="15" hidden="false" customHeight="false" outlineLevel="0" collapsed="false">
      <c r="A470" s="0" t="s">
        <v>3695</v>
      </c>
      <c r="B470" s="0" t="s">
        <v>178</v>
      </c>
      <c r="C470" s="0" t="s">
        <v>3098</v>
      </c>
      <c r="D470" s="0" t="n">
        <v>2022</v>
      </c>
      <c r="E470" s="0" t="s">
        <v>55</v>
      </c>
      <c r="F470" s="0" t="n">
        <v>7361044</v>
      </c>
      <c r="G470" s="0" t="s">
        <v>3101</v>
      </c>
      <c r="H470" s="0" t="s">
        <v>3068</v>
      </c>
      <c r="I470" s="0" t="n">
        <v>7361044</v>
      </c>
      <c r="J470" s="0" t="s">
        <v>3640</v>
      </c>
      <c r="M470" s="0" t="s">
        <v>2731</v>
      </c>
      <c r="N470" s="0" t="s">
        <v>186</v>
      </c>
      <c r="Q470" s="0" t="n">
        <v>31</v>
      </c>
      <c r="R470" s="0" t="n">
        <v>31</v>
      </c>
      <c r="U470" s="0" t="s">
        <v>3686</v>
      </c>
      <c r="V470" s="0" t="s">
        <v>3686</v>
      </c>
      <c r="Y470" s="0" t="s">
        <v>3071</v>
      </c>
      <c r="Z470" s="0" t="s">
        <v>3072</v>
      </c>
      <c r="AA470" s="0" t="s">
        <v>3652</v>
      </c>
      <c r="AC470" s="0" t="s">
        <v>3643</v>
      </c>
    </row>
    <row r="471" customFormat="false" ht="15" hidden="false" customHeight="false" outlineLevel="0" collapsed="false">
      <c r="A471" s="0" t="s">
        <v>3696</v>
      </c>
      <c r="B471" s="0" t="s">
        <v>178</v>
      </c>
      <c r="C471" s="0" t="s">
        <v>3098</v>
      </c>
      <c r="D471" s="0" t="n">
        <v>2022</v>
      </c>
      <c r="E471" s="0" t="s">
        <v>56</v>
      </c>
      <c r="F471" s="0" t="n">
        <v>6775851</v>
      </c>
      <c r="G471" s="0" t="s">
        <v>3101</v>
      </c>
      <c r="H471" s="0" t="s">
        <v>3068</v>
      </c>
      <c r="I471" s="0" t="n">
        <v>6775851</v>
      </c>
      <c r="J471" s="0" t="s">
        <v>3640</v>
      </c>
      <c r="M471" s="0" t="s">
        <v>2731</v>
      </c>
      <c r="N471" s="0" t="s">
        <v>186</v>
      </c>
      <c r="Q471" s="0" t="n">
        <v>31</v>
      </c>
      <c r="R471" s="0" t="n">
        <v>31</v>
      </c>
      <c r="U471" s="0" t="s">
        <v>3686</v>
      </c>
      <c r="V471" s="0" t="s">
        <v>3686</v>
      </c>
      <c r="Y471" s="0" t="s">
        <v>3071</v>
      </c>
      <c r="Z471" s="0" t="s">
        <v>3072</v>
      </c>
      <c r="AA471" s="0" t="s">
        <v>3652</v>
      </c>
      <c r="AC471" s="0" t="s">
        <v>3643</v>
      </c>
    </row>
    <row r="472" customFormat="false" ht="15" hidden="false" customHeight="false" outlineLevel="0" collapsed="false">
      <c r="A472" s="0" t="s">
        <v>3697</v>
      </c>
      <c r="B472" s="0" t="s">
        <v>178</v>
      </c>
      <c r="C472" s="0" t="s">
        <v>3098</v>
      </c>
      <c r="D472" s="0" t="n">
        <v>2022</v>
      </c>
      <c r="E472" s="0" t="s">
        <v>57</v>
      </c>
      <c r="F472" s="0" t="n">
        <v>585193</v>
      </c>
      <c r="G472" s="0" t="s">
        <v>3101</v>
      </c>
      <c r="H472" s="0" t="s">
        <v>3068</v>
      </c>
      <c r="I472" s="0" t="n">
        <v>585193</v>
      </c>
      <c r="J472" s="0" t="s">
        <v>3640</v>
      </c>
      <c r="M472" s="0" t="s">
        <v>2731</v>
      </c>
      <c r="N472" s="0" t="s">
        <v>186</v>
      </c>
      <c r="Q472" s="0" t="n">
        <v>31</v>
      </c>
      <c r="R472" s="0" t="n">
        <v>31</v>
      </c>
      <c r="U472" s="0" t="s">
        <v>3686</v>
      </c>
      <c r="V472" s="0" t="s">
        <v>3686</v>
      </c>
      <c r="Y472" s="0" t="s">
        <v>3071</v>
      </c>
      <c r="Z472" s="0" t="s">
        <v>3072</v>
      </c>
      <c r="AA472" s="0" t="s">
        <v>3652</v>
      </c>
      <c r="AC472" s="0" t="s">
        <v>3643</v>
      </c>
    </row>
    <row r="473" customFormat="false" ht="15" hidden="false" customHeight="false" outlineLevel="0" collapsed="false">
      <c r="A473" s="0" t="s">
        <v>3698</v>
      </c>
      <c r="B473" s="0" t="s">
        <v>178</v>
      </c>
      <c r="C473" s="0" t="s">
        <v>3098</v>
      </c>
      <c r="D473" s="0" t="n">
        <v>2022</v>
      </c>
      <c r="E473" s="0" t="s">
        <v>62</v>
      </c>
      <c r="F473" s="0" t="n">
        <v>2123097</v>
      </c>
      <c r="G473" s="0" t="s">
        <v>3101</v>
      </c>
      <c r="H473" s="0" t="s">
        <v>3068</v>
      </c>
      <c r="I473" s="0" t="n">
        <v>2123097</v>
      </c>
      <c r="J473" s="0" t="s">
        <v>3640</v>
      </c>
      <c r="M473" s="0" t="s">
        <v>2731</v>
      </c>
      <c r="N473" s="0" t="s">
        <v>186</v>
      </c>
      <c r="Q473" s="0" t="n">
        <v>31</v>
      </c>
      <c r="R473" s="0" t="n">
        <v>31</v>
      </c>
      <c r="U473" s="0" t="s">
        <v>3686</v>
      </c>
      <c r="V473" s="0" t="s">
        <v>3686</v>
      </c>
      <c r="Y473" s="0" t="s">
        <v>3071</v>
      </c>
      <c r="Z473" s="0" t="s">
        <v>3072</v>
      </c>
      <c r="AA473" s="0" t="s">
        <v>3652</v>
      </c>
      <c r="AC473" s="0" t="s">
        <v>3643</v>
      </c>
    </row>
    <row r="474" customFormat="false" ht="15" hidden="false" customHeight="false" outlineLevel="0" collapsed="false">
      <c r="A474" s="0" t="s">
        <v>3699</v>
      </c>
      <c r="B474" s="0" t="s">
        <v>178</v>
      </c>
      <c r="C474" s="0" t="s">
        <v>3098</v>
      </c>
      <c r="D474" s="0" t="n">
        <v>2021</v>
      </c>
      <c r="E474" s="0" t="s">
        <v>55</v>
      </c>
      <c r="F474" s="0" t="n">
        <v>5574976</v>
      </c>
      <c r="G474" s="0" t="s">
        <v>3101</v>
      </c>
      <c r="H474" s="0" t="s">
        <v>3068</v>
      </c>
      <c r="I474" s="0" t="n">
        <v>5574976</v>
      </c>
      <c r="J474" s="0" t="s">
        <v>3640</v>
      </c>
      <c r="M474" s="0" t="s">
        <v>2731</v>
      </c>
      <c r="N474" s="0" t="s">
        <v>186</v>
      </c>
      <c r="Q474" s="0" t="n">
        <v>31</v>
      </c>
      <c r="R474" s="0" t="n">
        <v>31</v>
      </c>
      <c r="U474" s="0" t="s">
        <v>3691</v>
      </c>
      <c r="V474" s="0" t="s">
        <v>3691</v>
      </c>
      <c r="Y474" s="0" t="s">
        <v>3071</v>
      </c>
      <c r="Z474" s="0" t="s">
        <v>3072</v>
      </c>
      <c r="AA474" s="0" t="s">
        <v>3652</v>
      </c>
      <c r="AC474" s="0" t="s">
        <v>3643</v>
      </c>
    </row>
    <row r="475" customFormat="false" ht="15" hidden="false" customHeight="false" outlineLevel="0" collapsed="false">
      <c r="A475" s="0" t="s">
        <v>3700</v>
      </c>
      <c r="B475" s="0" t="s">
        <v>178</v>
      </c>
      <c r="C475" s="0" t="s">
        <v>3098</v>
      </c>
      <c r="D475" s="0" t="n">
        <v>2021</v>
      </c>
      <c r="E475" s="0" t="s">
        <v>56</v>
      </c>
      <c r="F475" s="0" t="n">
        <v>5073375</v>
      </c>
      <c r="G475" s="0" t="s">
        <v>3101</v>
      </c>
      <c r="H475" s="0" t="s">
        <v>3068</v>
      </c>
      <c r="I475" s="0" t="n">
        <v>5073375</v>
      </c>
      <c r="J475" s="0" t="s">
        <v>3640</v>
      </c>
      <c r="M475" s="0" t="s">
        <v>2731</v>
      </c>
      <c r="N475" s="0" t="s">
        <v>186</v>
      </c>
      <c r="Q475" s="0" t="n">
        <v>31</v>
      </c>
      <c r="R475" s="0" t="n">
        <v>31</v>
      </c>
      <c r="U475" s="0" t="s">
        <v>3691</v>
      </c>
      <c r="V475" s="0" t="s">
        <v>3691</v>
      </c>
      <c r="Y475" s="0" t="s">
        <v>3071</v>
      </c>
      <c r="Z475" s="0" t="s">
        <v>3072</v>
      </c>
      <c r="AA475" s="0" t="s">
        <v>3652</v>
      </c>
      <c r="AC475" s="0" t="s">
        <v>3643</v>
      </c>
    </row>
    <row r="476" customFormat="false" ht="15" hidden="false" customHeight="false" outlineLevel="0" collapsed="false">
      <c r="A476" s="0" t="s">
        <v>3701</v>
      </c>
      <c r="B476" s="0" t="s">
        <v>178</v>
      </c>
      <c r="C476" s="0" t="s">
        <v>3098</v>
      </c>
      <c r="D476" s="0" t="n">
        <v>2021</v>
      </c>
      <c r="E476" s="0" t="s">
        <v>57</v>
      </c>
      <c r="F476" s="0" t="n">
        <v>501601</v>
      </c>
      <c r="G476" s="0" t="s">
        <v>3101</v>
      </c>
      <c r="H476" s="0" t="s">
        <v>3068</v>
      </c>
      <c r="I476" s="0" t="n">
        <v>501601</v>
      </c>
      <c r="J476" s="0" t="s">
        <v>3640</v>
      </c>
      <c r="M476" s="0" t="s">
        <v>2731</v>
      </c>
      <c r="N476" s="0" t="s">
        <v>186</v>
      </c>
      <c r="Q476" s="0" t="n">
        <v>31</v>
      </c>
      <c r="R476" s="0" t="n">
        <v>31</v>
      </c>
      <c r="U476" s="0" t="s">
        <v>3691</v>
      </c>
      <c r="V476" s="0" t="s">
        <v>3691</v>
      </c>
      <c r="Y476" s="0" t="s">
        <v>3071</v>
      </c>
      <c r="Z476" s="0" t="s">
        <v>3072</v>
      </c>
      <c r="AA476" s="0" t="s">
        <v>3652</v>
      </c>
      <c r="AC476" s="0" t="s">
        <v>3643</v>
      </c>
    </row>
    <row r="477" customFormat="false" ht="15" hidden="false" customHeight="false" outlineLevel="0" collapsed="false">
      <c r="A477" s="0" t="s">
        <v>3702</v>
      </c>
      <c r="B477" s="0" t="s">
        <v>178</v>
      </c>
      <c r="C477" s="0" t="s">
        <v>3098</v>
      </c>
      <c r="D477" s="0" t="n">
        <v>2021</v>
      </c>
      <c r="E477" s="0" t="s">
        <v>62</v>
      </c>
      <c r="F477" s="0" t="n">
        <v>1848102</v>
      </c>
      <c r="G477" s="0" t="s">
        <v>3101</v>
      </c>
      <c r="H477" s="0" t="s">
        <v>3068</v>
      </c>
      <c r="I477" s="0" t="n">
        <v>1848102</v>
      </c>
      <c r="J477" s="0" t="s">
        <v>3640</v>
      </c>
      <c r="M477" s="0" t="s">
        <v>2731</v>
      </c>
      <c r="N477" s="0" t="s">
        <v>186</v>
      </c>
      <c r="Q477" s="0" t="n">
        <v>31</v>
      </c>
      <c r="R477" s="0" t="n">
        <v>31</v>
      </c>
      <c r="U477" s="0" t="s">
        <v>3691</v>
      </c>
      <c r="V477" s="0" t="s">
        <v>3691</v>
      </c>
      <c r="Y477" s="0" t="s">
        <v>3071</v>
      </c>
      <c r="Z477" s="0" t="s">
        <v>3072</v>
      </c>
      <c r="AA477" s="0" t="s">
        <v>3652</v>
      </c>
      <c r="AC477" s="0" t="s">
        <v>3643</v>
      </c>
    </row>
    <row r="478" customFormat="false" ht="15" hidden="false" customHeight="false" outlineLevel="0" collapsed="false">
      <c r="A478" s="0" t="s">
        <v>3703</v>
      </c>
      <c r="B478" s="0" t="s">
        <v>178</v>
      </c>
      <c r="C478" s="0" t="s">
        <v>3098</v>
      </c>
      <c r="D478" s="0" t="n">
        <v>2022</v>
      </c>
      <c r="E478" s="0" t="s">
        <v>58</v>
      </c>
      <c r="F478" s="0" t="n">
        <v>1063228</v>
      </c>
      <c r="G478" s="0" t="s">
        <v>3101</v>
      </c>
      <c r="H478" s="0" t="s">
        <v>3068</v>
      </c>
      <c r="I478" s="0" t="n">
        <v>1063228</v>
      </c>
      <c r="J478" s="0" t="s">
        <v>3640</v>
      </c>
      <c r="M478" s="0" t="s">
        <v>2731</v>
      </c>
      <c r="N478" s="0" t="s">
        <v>186</v>
      </c>
      <c r="Q478" s="0" t="n">
        <v>34</v>
      </c>
      <c r="R478" s="0" t="n">
        <v>34</v>
      </c>
      <c r="U478" s="0" t="s">
        <v>3686</v>
      </c>
      <c r="V478" s="0" t="s">
        <v>3686</v>
      </c>
      <c r="Y478" s="0" t="s">
        <v>3071</v>
      </c>
      <c r="Z478" s="0" t="s">
        <v>3072</v>
      </c>
      <c r="AA478" s="0" t="s">
        <v>3652</v>
      </c>
      <c r="AC478" s="0" t="s">
        <v>3643</v>
      </c>
    </row>
    <row r="479" customFormat="false" ht="15" hidden="false" customHeight="false" outlineLevel="0" collapsed="false">
      <c r="A479" s="0" t="s">
        <v>3704</v>
      </c>
      <c r="B479" s="0" t="s">
        <v>178</v>
      </c>
      <c r="C479" s="0" t="s">
        <v>3098</v>
      </c>
      <c r="D479" s="0" t="n">
        <v>2021</v>
      </c>
      <c r="E479" s="0" t="s">
        <v>58</v>
      </c>
      <c r="F479" s="0" t="n">
        <v>671619</v>
      </c>
      <c r="G479" s="0" t="s">
        <v>3101</v>
      </c>
      <c r="H479" s="0" t="s">
        <v>3068</v>
      </c>
      <c r="I479" s="0" t="n">
        <v>671619</v>
      </c>
      <c r="J479" s="0" t="s">
        <v>3640</v>
      </c>
      <c r="M479" s="0" t="s">
        <v>2731</v>
      </c>
      <c r="N479" s="0" t="s">
        <v>186</v>
      </c>
      <c r="Q479" s="0" t="n">
        <v>34</v>
      </c>
      <c r="R479" s="0" t="n">
        <v>34</v>
      </c>
      <c r="U479" s="0" t="s">
        <v>3691</v>
      </c>
      <c r="V479" s="0" t="s">
        <v>3691</v>
      </c>
      <c r="Y479" s="0" t="s">
        <v>3071</v>
      </c>
      <c r="Z479" s="0" t="s">
        <v>3072</v>
      </c>
      <c r="AA479" s="0" t="s">
        <v>3652</v>
      </c>
      <c r="AC479" s="0" t="s">
        <v>3643</v>
      </c>
    </row>
    <row r="480" customFormat="false" ht="15" hidden="false" customHeight="false" outlineLevel="0" collapsed="false">
      <c r="A480" s="0" t="s">
        <v>3705</v>
      </c>
      <c r="B480" s="0" t="s">
        <v>178</v>
      </c>
      <c r="C480" s="0" t="s">
        <v>3098</v>
      </c>
      <c r="D480" s="0" t="n">
        <v>2018</v>
      </c>
      <c r="E480" s="0" t="s">
        <v>60</v>
      </c>
      <c r="F480" s="0" t="n">
        <v>1274112</v>
      </c>
      <c r="G480" s="0" t="s">
        <v>3101</v>
      </c>
      <c r="H480" s="0" t="s">
        <v>3068</v>
      </c>
      <c r="I480" s="0" t="n">
        <v>1274112</v>
      </c>
      <c r="J480" s="0" t="s">
        <v>3640</v>
      </c>
      <c r="M480" s="0" t="s">
        <v>2729</v>
      </c>
      <c r="N480" s="0" t="s">
        <v>184</v>
      </c>
      <c r="Q480" s="0" t="n">
        <v>175</v>
      </c>
      <c r="R480" s="0" t="n">
        <v>175</v>
      </c>
      <c r="U480" s="0" t="s">
        <v>3641</v>
      </c>
      <c r="V480" s="0" t="s">
        <v>3641</v>
      </c>
      <c r="Y480" s="0" t="s">
        <v>3071</v>
      </c>
      <c r="Z480" s="0" t="s">
        <v>3072</v>
      </c>
      <c r="AA480" s="0" t="s">
        <v>3652</v>
      </c>
      <c r="AC480" s="0" t="s">
        <v>3643</v>
      </c>
    </row>
    <row r="481" customFormat="false" ht="15" hidden="false" customHeight="false" outlineLevel="0" collapsed="false">
      <c r="A481" s="0" t="s">
        <v>3706</v>
      </c>
      <c r="B481" s="0" t="s">
        <v>178</v>
      </c>
      <c r="C481" s="0" t="s">
        <v>3098</v>
      </c>
      <c r="D481" s="0" t="n">
        <v>2018</v>
      </c>
      <c r="E481" s="0" t="s">
        <v>61</v>
      </c>
      <c r="F481" s="0" t="n">
        <v>60311</v>
      </c>
      <c r="G481" s="0" t="s">
        <v>3101</v>
      </c>
      <c r="H481" s="0" t="s">
        <v>3068</v>
      </c>
      <c r="I481" s="0" t="n">
        <v>60311</v>
      </c>
      <c r="J481" s="0" t="s">
        <v>3640</v>
      </c>
      <c r="M481" s="0" t="s">
        <v>2729</v>
      </c>
      <c r="N481" s="0" t="s">
        <v>184</v>
      </c>
      <c r="Q481" s="0" t="n">
        <v>175</v>
      </c>
      <c r="R481" s="0" t="n">
        <v>175</v>
      </c>
      <c r="U481" s="0" t="s">
        <v>3641</v>
      </c>
      <c r="V481" s="0" t="s">
        <v>3641</v>
      </c>
      <c r="Y481" s="0" t="s">
        <v>3071</v>
      </c>
      <c r="Z481" s="0" t="s">
        <v>3072</v>
      </c>
      <c r="AA481" s="0" t="s">
        <v>3652</v>
      </c>
      <c r="AC481" s="0" t="s">
        <v>3643</v>
      </c>
    </row>
    <row r="482" customFormat="false" ht="15" hidden="false" customHeight="false" outlineLevel="0" collapsed="false">
      <c r="A482" s="0" t="s">
        <v>3707</v>
      </c>
      <c r="B482" s="0" t="s">
        <v>178</v>
      </c>
      <c r="C482" s="0" t="s">
        <v>3098</v>
      </c>
      <c r="D482" s="0" t="n">
        <v>2018</v>
      </c>
      <c r="E482" s="0" t="s">
        <v>68</v>
      </c>
      <c r="F482" s="0" t="n">
        <v>36951</v>
      </c>
      <c r="G482" s="0" t="s">
        <v>3101</v>
      </c>
      <c r="H482" s="0" t="s">
        <v>3068</v>
      </c>
      <c r="I482" s="0" t="n">
        <v>36951</v>
      </c>
      <c r="J482" s="0" t="s">
        <v>3640</v>
      </c>
      <c r="M482" s="0" t="s">
        <v>2729</v>
      </c>
      <c r="N482" s="0" t="s">
        <v>184</v>
      </c>
      <c r="Q482" s="0" t="n">
        <v>175</v>
      </c>
      <c r="R482" s="0" t="n">
        <v>175</v>
      </c>
      <c r="U482" s="0" t="s">
        <v>3641</v>
      </c>
      <c r="V482" s="0" t="s">
        <v>3641</v>
      </c>
      <c r="Y482" s="0" t="s">
        <v>3071</v>
      </c>
      <c r="Z482" s="0" t="s">
        <v>3072</v>
      </c>
      <c r="AA482" s="0" t="s">
        <v>3652</v>
      </c>
      <c r="AC482" s="0" t="s">
        <v>3643</v>
      </c>
    </row>
    <row r="483" customFormat="false" ht="15" hidden="false" customHeight="false" outlineLevel="0" collapsed="false">
      <c r="A483" s="0" t="s">
        <v>3708</v>
      </c>
      <c r="B483" s="0" t="s">
        <v>178</v>
      </c>
      <c r="C483" s="0" t="s">
        <v>3098</v>
      </c>
      <c r="D483" s="0" t="n">
        <v>2017</v>
      </c>
      <c r="E483" s="0" t="s">
        <v>60</v>
      </c>
      <c r="F483" s="0" t="n">
        <v>1204426</v>
      </c>
      <c r="G483" s="0" t="s">
        <v>3101</v>
      </c>
      <c r="H483" s="0" t="s">
        <v>3068</v>
      </c>
      <c r="I483" s="0" t="n">
        <v>1204426</v>
      </c>
      <c r="J483" s="0" t="s">
        <v>3640</v>
      </c>
      <c r="M483" s="0" t="s">
        <v>2729</v>
      </c>
      <c r="N483" s="0" t="s">
        <v>184</v>
      </c>
      <c r="Q483" s="0" t="n">
        <v>175</v>
      </c>
      <c r="R483" s="0" t="n">
        <v>175</v>
      </c>
      <c r="U483" s="0" t="s">
        <v>3647</v>
      </c>
      <c r="V483" s="0" t="s">
        <v>3647</v>
      </c>
      <c r="Y483" s="0" t="s">
        <v>3071</v>
      </c>
      <c r="Z483" s="0" t="s">
        <v>3072</v>
      </c>
      <c r="AA483" s="0" t="s">
        <v>3709</v>
      </c>
      <c r="AC483" s="0" t="s">
        <v>3643</v>
      </c>
    </row>
    <row r="484" customFormat="false" ht="15" hidden="false" customHeight="false" outlineLevel="0" collapsed="false">
      <c r="A484" s="0" t="s">
        <v>3710</v>
      </c>
      <c r="B484" s="0" t="s">
        <v>178</v>
      </c>
      <c r="C484" s="0" t="s">
        <v>3098</v>
      </c>
      <c r="D484" s="0" t="n">
        <v>2017</v>
      </c>
      <c r="E484" s="0" t="s">
        <v>543</v>
      </c>
      <c r="F484" s="0" t="n">
        <v>18658</v>
      </c>
      <c r="G484" s="0" t="s">
        <v>3101</v>
      </c>
      <c r="H484" s="0" t="s">
        <v>3068</v>
      </c>
      <c r="I484" s="0" t="n">
        <v>18658</v>
      </c>
      <c r="J484" s="0" t="s">
        <v>3640</v>
      </c>
      <c r="M484" s="0" t="s">
        <v>2729</v>
      </c>
      <c r="N484" s="0" t="s">
        <v>184</v>
      </c>
      <c r="Q484" s="0" t="n">
        <v>175</v>
      </c>
      <c r="R484" s="0" t="n">
        <v>175</v>
      </c>
      <c r="U484" s="0" t="s">
        <v>3647</v>
      </c>
      <c r="V484" s="0" t="s">
        <v>3647</v>
      </c>
      <c r="Y484" s="0" t="s">
        <v>3071</v>
      </c>
      <c r="Z484" s="0" t="s">
        <v>3072</v>
      </c>
      <c r="AA484" s="0" t="s">
        <v>3709</v>
      </c>
      <c r="AC484" s="0" t="s">
        <v>3643</v>
      </c>
    </row>
    <row r="485" customFormat="false" ht="15" hidden="false" customHeight="false" outlineLevel="0" collapsed="false">
      <c r="A485" s="0" t="s">
        <v>3711</v>
      </c>
      <c r="B485" s="0" t="s">
        <v>178</v>
      </c>
      <c r="C485" s="0" t="s">
        <v>3098</v>
      </c>
      <c r="D485" s="0" t="n">
        <v>2017</v>
      </c>
      <c r="E485" s="0" t="s">
        <v>545</v>
      </c>
      <c r="F485" s="0" t="n">
        <v>12554</v>
      </c>
      <c r="G485" s="0" t="s">
        <v>3101</v>
      </c>
      <c r="H485" s="0" t="s">
        <v>3068</v>
      </c>
      <c r="I485" s="0" t="n">
        <v>12554</v>
      </c>
      <c r="J485" s="0" t="s">
        <v>3640</v>
      </c>
      <c r="M485" s="0" t="s">
        <v>2729</v>
      </c>
      <c r="N485" s="0" t="s">
        <v>184</v>
      </c>
      <c r="Q485" s="0" t="n">
        <v>175</v>
      </c>
      <c r="R485" s="0" t="n">
        <v>175</v>
      </c>
      <c r="U485" s="0" t="s">
        <v>3647</v>
      </c>
      <c r="V485" s="0" t="s">
        <v>3647</v>
      </c>
      <c r="Y485" s="0" t="s">
        <v>3071</v>
      </c>
      <c r="Z485" s="0" t="s">
        <v>3072</v>
      </c>
      <c r="AA485" s="0" t="s">
        <v>3709</v>
      </c>
      <c r="AC485" s="0" t="s">
        <v>3643</v>
      </c>
    </row>
    <row r="486" customFormat="false" ht="15" hidden="false" customHeight="false" outlineLevel="0" collapsed="false">
      <c r="A486" s="0" t="s">
        <v>3712</v>
      </c>
      <c r="B486" s="0" t="s">
        <v>178</v>
      </c>
      <c r="C486" s="0" t="s">
        <v>3098</v>
      </c>
      <c r="D486" s="0" t="n">
        <v>2020</v>
      </c>
      <c r="E486" s="0" t="s">
        <v>60</v>
      </c>
      <c r="F486" s="0" t="n">
        <v>1874858</v>
      </c>
      <c r="G486" s="0" t="s">
        <v>3101</v>
      </c>
      <c r="H486" s="0" t="s">
        <v>3068</v>
      </c>
      <c r="I486" s="0" t="n">
        <v>1874858</v>
      </c>
      <c r="J486" s="0" t="s">
        <v>3640</v>
      </c>
      <c r="M486" s="0" t="s">
        <v>2730</v>
      </c>
      <c r="N486" s="0" t="s">
        <v>185</v>
      </c>
      <c r="Q486" s="0" t="n">
        <v>109</v>
      </c>
      <c r="R486" s="0" t="n">
        <v>109</v>
      </c>
      <c r="U486" s="0" t="s">
        <v>3665</v>
      </c>
      <c r="V486" s="0" t="s">
        <v>3665</v>
      </c>
      <c r="Y486" s="0" t="s">
        <v>3071</v>
      </c>
      <c r="Z486" s="0" t="s">
        <v>3072</v>
      </c>
      <c r="AA486" s="0" t="s">
        <v>3652</v>
      </c>
      <c r="AC486" s="0" t="s">
        <v>3643</v>
      </c>
    </row>
    <row r="487" customFormat="false" ht="15" hidden="false" customHeight="false" outlineLevel="0" collapsed="false">
      <c r="A487" s="0" t="s">
        <v>3713</v>
      </c>
      <c r="B487" s="0" t="s">
        <v>178</v>
      </c>
      <c r="C487" s="0" t="s">
        <v>3098</v>
      </c>
      <c r="D487" s="0" t="n">
        <v>2020</v>
      </c>
      <c r="E487" s="0" t="s">
        <v>61</v>
      </c>
      <c r="F487" s="0" t="n">
        <v>62322</v>
      </c>
      <c r="G487" s="0" t="s">
        <v>3101</v>
      </c>
      <c r="H487" s="0" t="s">
        <v>3068</v>
      </c>
      <c r="I487" s="0" t="n">
        <v>62322</v>
      </c>
      <c r="J487" s="0" t="s">
        <v>3640</v>
      </c>
      <c r="M487" s="0" t="s">
        <v>2730</v>
      </c>
      <c r="N487" s="0" t="s">
        <v>185</v>
      </c>
      <c r="Q487" s="0" t="n">
        <v>109</v>
      </c>
      <c r="R487" s="0" t="n">
        <v>109</v>
      </c>
      <c r="U487" s="0" t="s">
        <v>3665</v>
      </c>
      <c r="V487" s="0" t="s">
        <v>3665</v>
      </c>
      <c r="Y487" s="0" t="s">
        <v>3071</v>
      </c>
      <c r="Z487" s="0" t="s">
        <v>3072</v>
      </c>
      <c r="AA487" s="0" t="s">
        <v>3652</v>
      </c>
      <c r="AC487" s="0" t="s">
        <v>3643</v>
      </c>
    </row>
    <row r="488" customFormat="false" ht="15" hidden="false" customHeight="false" outlineLevel="0" collapsed="false">
      <c r="A488" s="0" t="s">
        <v>3714</v>
      </c>
      <c r="B488" s="0" t="s">
        <v>178</v>
      </c>
      <c r="C488" s="0" t="s">
        <v>3098</v>
      </c>
      <c r="D488" s="0" t="n">
        <v>2020</v>
      </c>
      <c r="E488" s="0" t="s">
        <v>68</v>
      </c>
      <c r="F488" s="0" t="n">
        <v>21933</v>
      </c>
      <c r="G488" s="0" t="s">
        <v>3101</v>
      </c>
      <c r="H488" s="0" t="s">
        <v>3068</v>
      </c>
      <c r="I488" s="0" t="n">
        <v>21933</v>
      </c>
      <c r="J488" s="0" t="s">
        <v>3640</v>
      </c>
      <c r="M488" s="0" t="s">
        <v>2730</v>
      </c>
      <c r="N488" s="0" t="s">
        <v>185</v>
      </c>
      <c r="Q488" s="0" t="n">
        <v>109</v>
      </c>
      <c r="R488" s="0" t="n">
        <v>109</v>
      </c>
      <c r="U488" s="0" t="s">
        <v>3665</v>
      </c>
      <c r="V488" s="0" t="s">
        <v>3665</v>
      </c>
      <c r="Y488" s="0" t="s">
        <v>3071</v>
      </c>
      <c r="Z488" s="0" t="s">
        <v>3072</v>
      </c>
      <c r="AA488" s="0" t="s">
        <v>3652</v>
      </c>
      <c r="AC488" s="0" t="s">
        <v>3643</v>
      </c>
    </row>
    <row r="489" customFormat="false" ht="15" hidden="false" customHeight="false" outlineLevel="0" collapsed="false">
      <c r="A489" s="0" t="s">
        <v>3715</v>
      </c>
      <c r="B489" s="0" t="s">
        <v>178</v>
      </c>
      <c r="C489" s="0" t="s">
        <v>3098</v>
      </c>
      <c r="D489" s="0" t="n">
        <v>2019</v>
      </c>
      <c r="E489" s="0" t="s">
        <v>60</v>
      </c>
      <c r="F489" s="0" t="n">
        <v>1557358</v>
      </c>
      <c r="G489" s="0" t="s">
        <v>3101</v>
      </c>
      <c r="H489" s="0" t="s">
        <v>3068</v>
      </c>
      <c r="I489" s="0" t="n">
        <v>1557358</v>
      </c>
      <c r="J489" s="0" t="s">
        <v>3640</v>
      </c>
      <c r="M489" s="0" t="s">
        <v>2730</v>
      </c>
      <c r="N489" s="0" t="s">
        <v>185</v>
      </c>
      <c r="Q489" s="0" t="n">
        <v>109</v>
      </c>
      <c r="R489" s="0" t="n">
        <v>109</v>
      </c>
      <c r="U489" s="0" t="s">
        <v>3671</v>
      </c>
      <c r="V489" s="0" t="s">
        <v>3671</v>
      </c>
      <c r="Y489" s="0" t="s">
        <v>3071</v>
      </c>
      <c r="Z489" s="0" t="s">
        <v>3072</v>
      </c>
      <c r="AA489" s="0" t="s">
        <v>3652</v>
      </c>
      <c r="AC489" s="0" t="s">
        <v>3643</v>
      </c>
    </row>
    <row r="490" customFormat="false" ht="15" hidden="false" customHeight="false" outlineLevel="0" collapsed="false">
      <c r="A490" s="0" t="s">
        <v>3716</v>
      </c>
      <c r="B490" s="0" t="s">
        <v>178</v>
      </c>
      <c r="C490" s="0" t="s">
        <v>3098</v>
      </c>
      <c r="D490" s="0" t="n">
        <v>2019</v>
      </c>
      <c r="E490" s="0" t="s">
        <v>61</v>
      </c>
      <c r="F490" s="0" t="n">
        <v>53978</v>
      </c>
      <c r="G490" s="0" t="s">
        <v>3101</v>
      </c>
      <c r="H490" s="0" t="s">
        <v>3068</v>
      </c>
      <c r="I490" s="0" t="n">
        <v>53978</v>
      </c>
      <c r="J490" s="0" t="s">
        <v>3640</v>
      </c>
      <c r="M490" s="0" t="s">
        <v>2730</v>
      </c>
      <c r="N490" s="0" t="s">
        <v>185</v>
      </c>
      <c r="Q490" s="0" t="n">
        <v>109</v>
      </c>
      <c r="R490" s="0" t="n">
        <v>109</v>
      </c>
      <c r="U490" s="0" t="s">
        <v>3671</v>
      </c>
      <c r="V490" s="0" t="s">
        <v>3671</v>
      </c>
      <c r="Y490" s="0" t="s">
        <v>3071</v>
      </c>
      <c r="Z490" s="0" t="s">
        <v>3072</v>
      </c>
      <c r="AA490" s="0" t="s">
        <v>3652</v>
      </c>
      <c r="AC490" s="0" t="s">
        <v>3643</v>
      </c>
    </row>
    <row r="491" customFormat="false" ht="15" hidden="false" customHeight="false" outlineLevel="0" collapsed="false">
      <c r="A491" s="0" t="s">
        <v>3717</v>
      </c>
      <c r="B491" s="0" t="s">
        <v>178</v>
      </c>
      <c r="C491" s="0" t="s">
        <v>3098</v>
      </c>
      <c r="D491" s="0" t="n">
        <v>2019</v>
      </c>
      <c r="E491" s="0" t="s">
        <v>68</v>
      </c>
      <c r="F491" s="0" t="n">
        <v>21215</v>
      </c>
      <c r="G491" s="0" t="s">
        <v>3101</v>
      </c>
      <c r="H491" s="0" t="s">
        <v>3068</v>
      </c>
      <c r="I491" s="0" t="n">
        <v>21215</v>
      </c>
      <c r="J491" s="0" t="s">
        <v>3640</v>
      </c>
      <c r="M491" s="0" t="s">
        <v>2730</v>
      </c>
      <c r="N491" s="0" t="s">
        <v>185</v>
      </c>
      <c r="Q491" s="0" t="n">
        <v>109</v>
      </c>
      <c r="R491" s="0" t="n">
        <v>109</v>
      </c>
      <c r="U491" s="0" t="s">
        <v>3671</v>
      </c>
      <c r="V491" s="0" t="s">
        <v>3671</v>
      </c>
      <c r="Y491" s="0" t="s">
        <v>3071</v>
      </c>
      <c r="Z491" s="0" t="s">
        <v>3072</v>
      </c>
      <c r="AA491" s="0" t="s">
        <v>3652</v>
      </c>
      <c r="AC491" s="0" t="s">
        <v>3643</v>
      </c>
    </row>
    <row r="492" customFormat="false" ht="15" hidden="false" customHeight="false" outlineLevel="0" collapsed="false">
      <c r="A492" s="0" t="s">
        <v>3718</v>
      </c>
      <c r="B492" s="0" t="s">
        <v>178</v>
      </c>
      <c r="C492" s="0" t="s">
        <v>3098</v>
      </c>
      <c r="D492" s="0" t="n">
        <v>2022</v>
      </c>
      <c r="E492" s="0" t="s">
        <v>60</v>
      </c>
      <c r="F492" s="0" t="n">
        <v>2174779</v>
      </c>
      <c r="G492" s="0" t="s">
        <v>3101</v>
      </c>
      <c r="H492" s="0" t="s">
        <v>3068</v>
      </c>
      <c r="I492" s="0" t="n">
        <v>2174779</v>
      </c>
      <c r="J492" s="0" t="s">
        <v>3640</v>
      </c>
      <c r="M492" s="0" t="s">
        <v>2731</v>
      </c>
      <c r="N492" s="0" t="s">
        <v>186</v>
      </c>
      <c r="Q492" s="0" t="n">
        <v>106</v>
      </c>
      <c r="R492" s="0" t="n">
        <v>106</v>
      </c>
      <c r="U492" s="0" t="s">
        <v>3686</v>
      </c>
      <c r="V492" s="0" t="s">
        <v>3686</v>
      </c>
      <c r="Y492" s="0" t="s">
        <v>3071</v>
      </c>
      <c r="Z492" s="0" t="s">
        <v>3072</v>
      </c>
      <c r="AA492" s="0" t="s">
        <v>3652</v>
      </c>
      <c r="AC492" s="0" t="s">
        <v>3643</v>
      </c>
    </row>
    <row r="493" customFormat="false" ht="15" hidden="false" customHeight="false" outlineLevel="0" collapsed="false">
      <c r="A493" s="0" t="s">
        <v>3719</v>
      </c>
      <c r="B493" s="0" t="s">
        <v>178</v>
      </c>
      <c r="C493" s="0" t="s">
        <v>3098</v>
      </c>
      <c r="D493" s="0" t="n">
        <v>2022</v>
      </c>
      <c r="E493" s="0" t="s">
        <v>61</v>
      </c>
      <c r="F493" s="0" t="n">
        <v>51682</v>
      </c>
      <c r="G493" s="0" t="s">
        <v>3101</v>
      </c>
      <c r="H493" s="0" t="s">
        <v>3068</v>
      </c>
      <c r="I493" s="0" t="n">
        <v>51682</v>
      </c>
      <c r="J493" s="0" t="s">
        <v>3640</v>
      </c>
      <c r="M493" s="0" t="s">
        <v>2731</v>
      </c>
      <c r="N493" s="0" t="s">
        <v>186</v>
      </c>
      <c r="Q493" s="0" t="n">
        <v>106</v>
      </c>
      <c r="R493" s="0" t="n">
        <v>106</v>
      </c>
      <c r="U493" s="0" t="s">
        <v>3686</v>
      </c>
      <c r="V493" s="0" t="s">
        <v>3686</v>
      </c>
      <c r="Y493" s="0" t="s">
        <v>3071</v>
      </c>
      <c r="Z493" s="0" t="s">
        <v>3072</v>
      </c>
      <c r="AA493" s="0" t="s">
        <v>3652</v>
      </c>
      <c r="AC493" s="0" t="s">
        <v>3643</v>
      </c>
    </row>
    <row r="494" customFormat="false" ht="15" hidden="false" customHeight="false" outlineLevel="0" collapsed="false">
      <c r="A494" s="0" t="s">
        <v>3720</v>
      </c>
      <c r="B494" s="0" t="s">
        <v>178</v>
      </c>
      <c r="C494" s="0" t="s">
        <v>3098</v>
      </c>
      <c r="D494" s="0" t="n">
        <v>2021</v>
      </c>
      <c r="E494" s="0" t="s">
        <v>60</v>
      </c>
      <c r="F494" s="0" t="n">
        <v>1913403</v>
      </c>
      <c r="G494" s="0" t="s">
        <v>3101</v>
      </c>
      <c r="H494" s="0" t="s">
        <v>3068</v>
      </c>
      <c r="I494" s="0" t="n">
        <v>1913403</v>
      </c>
      <c r="J494" s="0" t="s">
        <v>3640</v>
      </c>
      <c r="M494" s="0" t="s">
        <v>2731</v>
      </c>
      <c r="N494" s="0" t="s">
        <v>186</v>
      </c>
      <c r="Q494" s="0" t="n">
        <v>106</v>
      </c>
      <c r="R494" s="0" t="n">
        <v>106</v>
      </c>
      <c r="U494" s="0" t="s">
        <v>3691</v>
      </c>
      <c r="V494" s="0" t="s">
        <v>3691</v>
      </c>
      <c r="Y494" s="0" t="s">
        <v>3071</v>
      </c>
      <c r="Z494" s="0" t="s">
        <v>3072</v>
      </c>
      <c r="AA494" s="0" t="s">
        <v>3652</v>
      </c>
      <c r="AC494" s="0" t="s">
        <v>3643</v>
      </c>
    </row>
    <row r="495" customFormat="false" ht="15" hidden="false" customHeight="false" outlineLevel="0" collapsed="false">
      <c r="A495" s="0" t="s">
        <v>3721</v>
      </c>
      <c r="B495" s="0" t="s">
        <v>178</v>
      </c>
      <c r="C495" s="0" t="s">
        <v>3098</v>
      </c>
      <c r="D495" s="0" t="n">
        <v>2021</v>
      </c>
      <c r="E495" s="0" t="s">
        <v>61</v>
      </c>
      <c r="F495" s="0" t="n">
        <v>65301</v>
      </c>
      <c r="G495" s="0" t="s">
        <v>3101</v>
      </c>
      <c r="H495" s="0" t="s">
        <v>3068</v>
      </c>
      <c r="I495" s="0" t="n">
        <v>65301</v>
      </c>
      <c r="J495" s="0" t="s">
        <v>3640</v>
      </c>
      <c r="M495" s="0" t="s">
        <v>2731</v>
      </c>
      <c r="N495" s="0" t="s">
        <v>186</v>
      </c>
      <c r="Q495" s="0" t="n">
        <v>106</v>
      </c>
      <c r="R495" s="0" t="n">
        <v>106</v>
      </c>
      <c r="U495" s="0" t="s">
        <v>3691</v>
      </c>
      <c r="V495" s="0" t="s">
        <v>3691</v>
      </c>
      <c r="Y495" s="0" t="s">
        <v>3071</v>
      </c>
      <c r="Z495" s="0" t="s">
        <v>3072</v>
      </c>
      <c r="AA495" s="0" t="s">
        <v>3652</v>
      </c>
      <c r="AC495" s="0" t="s">
        <v>3643</v>
      </c>
    </row>
    <row r="496" customFormat="false" ht="15" hidden="false" customHeight="false" outlineLevel="0" collapsed="false">
      <c r="A496" s="0" t="s">
        <v>3722</v>
      </c>
      <c r="B496" s="0" t="s">
        <v>178</v>
      </c>
      <c r="C496" s="0" t="s">
        <v>3098</v>
      </c>
      <c r="D496" s="0" t="n">
        <v>2018</v>
      </c>
      <c r="E496" s="0" t="s">
        <v>65</v>
      </c>
      <c r="F496" s="0" t="n">
        <v>245482</v>
      </c>
      <c r="G496" s="0" t="s">
        <v>3101</v>
      </c>
      <c r="H496" s="0" t="s">
        <v>3068</v>
      </c>
      <c r="I496" s="0" t="n">
        <v>245482</v>
      </c>
      <c r="J496" s="0" t="s">
        <v>3640</v>
      </c>
      <c r="M496" s="0" t="s">
        <v>2729</v>
      </c>
      <c r="N496" s="0" t="s">
        <v>184</v>
      </c>
      <c r="Q496" s="0" t="n">
        <v>151</v>
      </c>
      <c r="R496" s="0" t="n">
        <v>151</v>
      </c>
      <c r="U496" s="0" t="s">
        <v>3641</v>
      </c>
      <c r="V496" s="0" t="s">
        <v>3641</v>
      </c>
      <c r="Y496" s="0" t="s">
        <v>3071</v>
      </c>
      <c r="Z496" s="0" t="s">
        <v>3072</v>
      </c>
      <c r="AA496" s="0" t="s">
        <v>3723</v>
      </c>
      <c r="AC496" s="0" t="s">
        <v>3643</v>
      </c>
    </row>
    <row r="497" customFormat="false" ht="15" hidden="false" customHeight="false" outlineLevel="0" collapsed="false">
      <c r="A497" s="0" t="s">
        <v>3724</v>
      </c>
      <c r="B497" s="0" t="s">
        <v>178</v>
      </c>
      <c r="C497" s="0" t="s">
        <v>3098</v>
      </c>
      <c r="D497" s="0" t="n">
        <v>2018</v>
      </c>
      <c r="E497" s="0" t="s">
        <v>66</v>
      </c>
      <c r="F497" s="0" t="n">
        <v>1248509</v>
      </c>
      <c r="G497" s="0" t="s">
        <v>3101</v>
      </c>
      <c r="H497" s="0" t="s">
        <v>3068</v>
      </c>
      <c r="I497" s="0" t="n">
        <v>1248509</v>
      </c>
      <c r="J497" s="0" t="s">
        <v>3640</v>
      </c>
      <c r="M497" s="0" t="s">
        <v>2729</v>
      </c>
      <c r="N497" s="0" t="s">
        <v>184</v>
      </c>
      <c r="Q497" s="0" t="n">
        <v>151</v>
      </c>
      <c r="R497" s="0" t="n">
        <v>151</v>
      </c>
      <c r="U497" s="0" t="s">
        <v>3641</v>
      </c>
      <c r="V497" s="0" t="s">
        <v>3641</v>
      </c>
      <c r="Y497" s="0" t="s">
        <v>3071</v>
      </c>
      <c r="Z497" s="0" t="s">
        <v>3072</v>
      </c>
      <c r="AA497" s="0" t="s">
        <v>3723</v>
      </c>
      <c r="AC497" s="0" t="s">
        <v>3643</v>
      </c>
    </row>
    <row r="498" customFormat="false" ht="15" hidden="false" customHeight="false" outlineLevel="0" collapsed="false">
      <c r="A498" s="0" t="s">
        <v>3725</v>
      </c>
      <c r="B498" s="0" t="s">
        <v>178</v>
      </c>
      <c r="C498" s="0" t="s">
        <v>3098</v>
      </c>
      <c r="D498" s="0" t="n">
        <v>2018</v>
      </c>
      <c r="E498" s="0" t="s">
        <v>69</v>
      </c>
      <c r="F498" s="0" t="n">
        <v>20</v>
      </c>
      <c r="G498" s="0" t="s">
        <v>3143</v>
      </c>
      <c r="I498" s="0" t="n">
        <v>20</v>
      </c>
      <c r="J498" s="0" t="s">
        <v>3640</v>
      </c>
      <c r="M498" s="0" t="s">
        <v>2729</v>
      </c>
      <c r="N498" s="0" t="s">
        <v>184</v>
      </c>
      <c r="Q498" s="0" t="n">
        <v>151</v>
      </c>
      <c r="R498" s="0" t="n">
        <v>151</v>
      </c>
      <c r="U498" s="0" t="s">
        <v>3641</v>
      </c>
      <c r="V498" s="0" t="s">
        <v>3641</v>
      </c>
      <c r="Y498" s="0" t="s">
        <v>3071</v>
      </c>
      <c r="Z498" s="0" t="s">
        <v>3072</v>
      </c>
      <c r="AA498" s="0" t="s">
        <v>3723</v>
      </c>
      <c r="AC498" s="0" t="s">
        <v>3643</v>
      </c>
    </row>
    <row r="499" customFormat="false" ht="15" hidden="false" customHeight="false" outlineLevel="0" collapsed="false">
      <c r="A499" s="0" t="s">
        <v>3726</v>
      </c>
      <c r="B499" s="0" t="s">
        <v>178</v>
      </c>
      <c r="C499" s="0" t="s">
        <v>3098</v>
      </c>
      <c r="D499" s="0" t="n">
        <v>2018</v>
      </c>
      <c r="E499" s="0" t="s">
        <v>614</v>
      </c>
      <c r="F499" s="0" t="n">
        <v>22.08</v>
      </c>
      <c r="G499" s="0" t="s">
        <v>3143</v>
      </c>
      <c r="I499" s="0" t="n">
        <v>22.08</v>
      </c>
      <c r="J499" s="0" t="s">
        <v>3640</v>
      </c>
      <c r="M499" s="0" t="s">
        <v>2729</v>
      </c>
      <c r="N499" s="0" t="s">
        <v>184</v>
      </c>
      <c r="Q499" s="0" t="n">
        <v>151</v>
      </c>
      <c r="R499" s="0" t="n">
        <v>151</v>
      </c>
      <c r="U499" s="0" t="s">
        <v>3641</v>
      </c>
      <c r="V499" s="0" t="s">
        <v>3641</v>
      </c>
      <c r="Y499" s="0" t="s">
        <v>3071</v>
      </c>
      <c r="Z499" s="0" t="s">
        <v>3072</v>
      </c>
      <c r="AA499" s="0" t="s">
        <v>3723</v>
      </c>
      <c r="AC499" s="0" t="s">
        <v>3643</v>
      </c>
    </row>
    <row r="500" customFormat="false" ht="15" hidden="false" customHeight="false" outlineLevel="0" collapsed="false">
      <c r="A500" s="0" t="s">
        <v>3727</v>
      </c>
      <c r="B500" s="0" t="s">
        <v>178</v>
      </c>
      <c r="C500" s="0" t="s">
        <v>3098</v>
      </c>
      <c r="D500" s="0" t="n">
        <v>2018</v>
      </c>
      <c r="E500" s="0" t="s">
        <v>70</v>
      </c>
      <c r="F500" s="0" t="n">
        <v>16</v>
      </c>
      <c r="G500" s="0" t="s">
        <v>3143</v>
      </c>
      <c r="I500" s="0" t="n">
        <v>16</v>
      </c>
      <c r="J500" s="0" t="s">
        <v>3640</v>
      </c>
      <c r="M500" s="0" t="s">
        <v>2729</v>
      </c>
      <c r="N500" s="0" t="s">
        <v>184</v>
      </c>
      <c r="Q500" s="0" t="n">
        <v>151</v>
      </c>
      <c r="R500" s="0" t="n">
        <v>151</v>
      </c>
      <c r="U500" s="0" t="s">
        <v>3641</v>
      </c>
      <c r="V500" s="0" t="s">
        <v>3641</v>
      </c>
      <c r="Y500" s="0" t="s">
        <v>3071</v>
      </c>
      <c r="Z500" s="0" t="s">
        <v>3072</v>
      </c>
      <c r="AA500" s="0" t="s">
        <v>3723</v>
      </c>
      <c r="AC500" s="0" t="s">
        <v>3643</v>
      </c>
    </row>
    <row r="501" customFormat="false" ht="15" hidden="false" customHeight="false" outlineLevel="0" collapsed="false">
      <c r="A501" s="0" t="s">
        <v>3728</v>
      </c>
      <c r="B501" s="0" t="s">
        <v>178</v>
      </c>
      <c r="C501" s="0" t="s">
        <v>3098</v>
      </c>
      <c r="D501" s="0" t="n">
        <v>2017</v>
      </c>
      <c r="E501" s="0" t="s">
        <v>65</v>
      </c>
      <c r="F501" s="0" t="n">
        <v>255027</v>
      </c>
      <c r="G501" s="0" t="s">
        <v>3101</v>
      </c>
      <c r="H501" s="0" t="s">
        <v>3068</v>
      </c>
      <c r="I501" s="0" t="n">
        <v>255027</v>
      </c>
      <c r="J501" s="0" t="s">
        <v>3640</v>
      </c>
      <c r="M501" s="0" t="s">
        <v>2729</v>
      </c>
      <c r="N501" s="0" t="s">
        <v>184</v>
      </c>
      <c r="Q501" s="0" t="n">
        <v>151</v>
      </c>
      <c r="R501" s="0" t="n">
        <v>151</v>
      </c>
      <c r="U501" s="0" t="s">
        <v>3647</v>
      </c>
      <c r="V501" s="0" t="s">
        <v>3647</v>
      </c>
      <c r="Y501" s="0" t="s">
        <v>3071</v>
      </c>
      <c r="Z501" s="0" t="s">
        <v>3072</v>
      </c>
      <c r="AA501" s="0" t="s">
        <v>3729</v>
      </c>
      <c r="AC501" s="0" t="s">
        <v>3643</v>
      </c>
    </row>
    <row r="502" customFormat="false" ht="15" hidden="false" customHeight="false" outlineLevel="0" collapsed="false">
      <c r="A502" s="0" t="s">
        <v>3730</v>
      </c>
      <c r="B502" s="0" t="s">
        <v>178</v>
      </c>
      <c r="C502" s="0" t="s">
        <v>3098</v>
      </c>
      <c r="D502" s="0" t="n">
        <v>2017</v>
      </c>
      <c r="E502" s="0" t="s">
        <v>66</v>
      </c>
      <c r="F502" s="0" t="n">
        <v>1265087</v>
      </c>
      <c r="G502" s="0" t="s">
        <v>3101</v>
      </c>
      <c r="H502" s="0" t="s">
        <v>3068</v>
      </c>
      <c r="I502" s="0" t="n">
        <v>1265087</v>
      </c>
      <c r="J502" s="0" t="s">
        <v>3640</v>
      </c>
      <c r="M502" s="0" t="s">
        <v>2729</v>
      </c>
      <c r="N502" s="0" t="s">
        <v>184</v>
      </c>
      <c r="Q502" s="0" t="n">
        <v>151</v>
      </c>
      <c r="R502" s="0" t="n">
        <v>151</v>
      </c>
      <c r="U502" s="0" t="s">
        <v>3647</v>
      </c>
      <c r="V502" s="0" t="s">
        <v>3647</v>
      </c>
      <c r="Y502" s="0" t="s">
        <v>3071</v>
      </c>
      <c r="Z502" s="0" t="s">
        <v>3072</v>
      </c>
      <c r="AA502" s="0" t="s">
        <v>3729</v>
      </c>
      <c r="AC502" s="0" t="s">
        <v>3643</v>
      </c>
    </row>
    <row r="503" customFormat="false" ht="15" hidden="false" customHeight="false" outlineLevel="0" collapsed="false">
      <c r="A503" s="0" t="s">
        <v>3731</v>
      </c>
      <c r="B503" s="0" t="s">
        <v>178</v>
      </c>
      <c r="C503" s="0" t="s">
        <v>3098</v>
      </c>
      <c r="D503" s="0" t="n">
        <v>2017</v>
      </c>
      <c r="E503" s="0" t="s">
        <v>69</v>
      </c>
      <c r="F503" s="0" t="n">
        <v>20</v>
      </c>
      <c r="G503" s="0" t="s">
        <v>3143</v>
      </c>
      <c r="I503" s="0" t="n">
        <v>20</v>
      </c>
      <c r="J503" s="0" t="s">
        <v>3640</v>
      </c>
      <c r="M503" s="0" t="s">
        <v>2729</v>
      </c>
      <c r="N503" s="0" t="s">
        <v>184</v>
      </c>
      <c r="Q503" s="0" t="n">
        <v>151</v>
      </c>
      <c r="R503" s="0" t="n">
        <v>151</v>
      </c>
      <c r="U503" s="0" t="s">
        <v>3647</v>
      </c>
      <c r="V503" s="0" t="s">
        <v>3647</v>
      </c>
      <c r="Y503" s="0" t="s">
        <v>3071</v>
      </c>
      <c r="Z503" s="0" t="s">
        <v>3072</v>
      </c>
      <c r="AA503" s="0" t="s">
        <v>3729</v>
      </c>
      <c r="AC503" s="0" t="s">
        <v>3643</v>
      </c>
    </row>
    <row r="504" customFormat="false" ht="15" hidden="false" customHeight="false" outlineLevel="0" collapsed="false">
      <c r="A504" s="0" t="s">
        <v>3732</v>
      </c>
      <c r="B504" s="0" t="s">
        <v>178</v>
      </c>
      <c r="C504" s="0" t="s">
        <v>3098</v>
      </c>
      <c r="D504" s="0" t="n">
        <v>2020</v>
      </c>
      <c r="E504" s="0" t="s">
        <v>65</v>
      </c>
      <c r="F504" s="0" t="n">
        <v>276315</v>
      </c>
      <c r="G504" s="0" t="s">
        <v>3101</v>
      </c>
      <c r="H504" s="0" t="s">
        <v>3068</v>
      </c>
      <c r="I504" s="0" t="n">
        <v>276315</v>
      </c>
      <c r="J504" s="0" t="s">
        <v>3640</v>
      </c>
      <c r="M504" s="0" t="s">
        <v>2730</v>
      </c>
      <c r="N504" s="0" t="s">
        <v>185</v>
      </c>
      <c r="Q504" s="0" t="n">
        <v>88</v>
      </c>
      <c r="R504" s="0" t="n">
        <v>88</v>
      </c>
      <c r="U504" s="0" t="s">
        <v>3665</v>
      </c>
      <c r="V504" s="0" t="s">
        <v>3665</v>
      </c>
      <c r="Y504" s="0" t="s">
        <v>3071</v>
      </c>
      <c r="Z504" s="0" t="s">
        <v>3072</v>
      </c>
      <c r="AA504" s="0" t="s">
        <v>3733</v>
      </c>
      <c r="AC504" s="0" t="s">
        <v>3643</v>
      </c>
    </row>
    <row r="505" customFormat="false" ht="15" hidden="false" customHeight="false" outlineLevel="0" collapsed="false">
      <c r="A505" s="0" t="s">
        <v>3734</v>
      </c>
      <c r="B505" s="0" t="s">
        <v>178</v>
      </c>
      <c r="C505" s="0" t="s">
        <v>3098</v>
      </c>
      <c r="D505" s="0" t="n">
        <v>2020</v>
      </c>
      <c r="E505" s="0" t="s">
        <v>66</v>
      </c>
      <c r="F505" s="0" t="n">
        <v>1402955</v>
      </c>
      <c r="G505" s="0" t="s">
        <v>3101</v>
      </c>
      <c r="H505" s="0" t="s">
        <v>3068</v>
      </c>
      <c r="I505" s="0" t="n">
        <v>1402955</v>
      </c>
      <c r="J505" s="0" t="s">
        <v>3640</v>
      </c>
      <c r="M505" s="0" t="s">
        <v>2730</v>
      </c>
      <c r="N505" s="0" t="s">
        <v>185</v>
      </c>
      <c r="Q505" s="0" t="n">
        <v>88</v>
      </c>
      <c r="R505" s="0" t="n">
        <v>88</v>
      </c>
      <c r="U505" s="0" t="s">
        <v>3665</v>
      </c>
      <c r="V505" s="0" t="s">
        <v>3665</v>
      </c>
      <c r="Y505" s="0" t="s">
        <v>3071</v>
      </c>
      <c r="Z505" s="0" t="s">
        <v>3072</v>
      </c>
      <c r="AA505" s="0" t="s">
        <v>3733</v>
      </c>
      <c r="AC505" s="0" t="s">
        <v>3643</v>
      </c>
    </row>
    <row r="506" customFormat="false" ht="15" hidden="false" customHeight="false" outlineLevel="0" collapsed="false">
      <c r="A506" s="0" t="s">
        <v>3735</v>
      </c>
      <c r="B506" s="0" t="s">
        <v>178</v>
      </c>
      <c r="C506" s="0" t="s">
        <v>3098</v>
      </c>
      <c r="D506" s="0" t="n">
        <v>2020</v>
      </c>
      <c r="E506" s="0" t="s">
        <v>69</v>
      </c>
      <c r="F506" s="0" t="n">
        <v>20</v>
      </c>
      <c r="G506" s="0" t="s">
        <v>3143</v>
      </c>
      <c r="I506" s="0" t="n">
        <v>20</v>
      </c>
      <c r="J506" s="0" t="s">
        <v>3640</v>
      </c>
      <c r="M506" s="0" t="s">
        <v>2730</v>
      </c>
      <c r="N506" s="0" t="s">
        <v>185</v>
      </c>
      <c r="Q506" s="0" t="n">
        <v>88</v>
      </c>
      <c r="R506" s="0" t="n">
        <v>88</v>
      </c>
      <c r="U506" s="0" t="s">
        <v>3665</v>
      </c>
      <c r="V506" s="0" t="s">
        <v>3665</v>
      </c>
      <c r="Y506" s="0" t="s">
        <v>3071</v>
      </c>
      <c r="Z506" s="0" t="s">
        <v>3072</v>
      </c>
      <c r="AA506" s="0" t="s">
        <v>3733</v>
      </c>
      <c r="AC506" s="0" t="s">
        <v>3643</v>
      </c>
    </row>
    <row r="507" customFormat="false" ht="15" hidden="false" customHeight="false" outlineLevel="0" collapsed="false">
      <c r="A507" s="0" t="s">
        <v>3736</v>
      </c>
      <c r="B507" s="0" t="s">
        <v>178</v>
      </c>
      <c r="C507" s="0" t="s">
        <v>3098</v>
      </c>
      <c r="D507" s="0" t="n">
        <v>2020</v>
      </c>
      <c r="E507" s="0" t="s">
        <v>70</v>
      </c>
      <c r="F507" s="0" t="n">
        <v>15</v>
      </c>
      <c r="G507" s="0" t="s">
        <v>3143</v>
      </c>
      <c r="I507" s="0" t="n">
        <v>15</v>
      </c>
      <c r="J507" s="0" t="s">
        <v>3640</v>
      </c>
      <c r="M507" s="0" t="s">
        <v>2730</v>
      </c>
      <c r="N507" s="0" t="s">
        <v>185</v>
      </c>
      <c r="Q507" s="0" t="n">
        <v>88</v>
      </c>
      <c r="R507" s="0" t="n">
        <v>88</v>
      </c>
      <c r="U507" s="0" t="s">
        <v>3665</v>
      </c>
      <c r="V507" s="0" t="s">
        <v>3665</v>
      </c>
      <c r="Y507" s="0" t="s">
        <v>3071</v>
      </c>
      <c r="Z507" s="0" t="s">
        <v>3072</v>
      </c>
      <c r="AA507" s="0" t="s">
        <v>3733</v>
      </c>
      <c r="AC507" s="0" t="s">
        <v>3643</v>
      </c>
    </row>
    <row r="508" customFormat="false" ht="15" hidden="false" customHeight="false" outlineLevel="0" collapsed="false">
      <c r="A508" s="0" t="s">
        <v>3737</v>
      </c>
      <c r="B508" s="0" t="s">
        <v>178</v>
      </c>
      <c r="C508" s="0" t="s">
        <v>3098</v>
      </c>
      <c r="D508" s="0" t="n">
        <v>2019</v>
      </c>
      <c r="E508" s="0" t="s">
        <v>65</v>
      </c>
      <c r="F508" s="0" t="n">
        <v>285664</v>
      </c>
      <c r="G508" s="0" t="s">
        <v>3101</v>
      </c>
      <c r="H508" s="0" t="s">
        <v>3068</v>
      </c>
      <c r="I508" s="0" t="n">
        <v>285664</v>
      </c>
      <c r="J508" s="0" t="s">
        <v>3640</v>
      </c>
      <c r="M508" s="0" t="s">
        <v>2730</v>
      </c>
      <c r="N508" s="0" t="s">
        <v>185</v>
      </c>
      <c r="Q508" s="0" t="n">
        <v>88</v>
      </c>
      <c r="R508" s="0" t="n">
        <v>88</v>
      </c>
      <c r="U508" s="0" t="s">
        <v>3671</v>
      </c>
      <c r="V508" s="0" t="s">
        <v>3671</v>
      </c>
      <c r="Y508" s="0" t="s">
        <v>3071</v>
      </c>
      <c r="Z508" s="0" t="s">
        <v>3072</v>
      </c>
      <c r="AA508" s="0" t="s">
        <v>3738</v>
      </c>
      <c r="AC508" s="0" t="s">
        <v>3643</v>
      </c>
    </row>
    <row r="509" customFormat="false" ht="15" hidden="false" customHeight="false" outlineLevel="0" collapsed="false">
      <c r="A509" s="0" t="s">
        <v>3739</v>
      </c>
      <c r="B509" s="0" t="s">
        <v>178</v>
      </c>
      <c r="C509" s="0" t="s">
        <v>3098</v>
      </c>
      <c r="D509" s="0" t="n">
        <v>2019</v>
      </c>
      <c r="E509" s="0" t="s">
        <v>66</v>
      </c>
      <c r="F509" s="0" t="n">
        <v>1328231</v>
      </c>
      <c r="G509" s="0" t="s">
        <v>3101</v>
      </c>
      <c r="H509" s="0" t="s">
        <v>3068</v>
      </c>
      <c r="I509" s="0" t="n">
        <v>1328231</v>
      </c>
      <c r="J509" s="0" t="s">
        <v>3640</v>
      </c>
      <c r="M509" s="0" t="s">
        <v>2730</v>
      </c>
      <c r="N509" s="0" t="s">
        <v>185</v>
      </c>
      <c r="Q509" s="0" t="n">
        <v>88</v>
      </c>
      <c r="R509" s="0" t="n">
        <v>88</v>
      </c>
      <c r="U509" s="0" t="s">
        <v>3671</v>
      </c>
      <c r="V509" s="0" t="s">
        <v>3671</v>
      </c>
      <c r="Y509" s="0" t="s">
        <v>3071</v>
      </c>
      <c r="Z509" s="0" t="s">
        <v>3072</v>
      </c>
      <c r="AA509" s="0" t="s">
        <v>3738</v>
      </c>
      <c r="AC509" s="0" t="s">
        <v>3643</v>
      </c>
    </row>
    <row r="510" customFormat="false" ht="15" hidden="false" customHeight="false" outlineLevel="0" collapsed="false">
      <c r="A510" s="0" t="s">
        <v>3740</v>
      </c>
      <c r="B510" s="0" t="s">
        <v>178</v>
      </c>
      <c r="C510" s="0" t="s">
        <v>3098</v>
      </c>
      <c r="D510" s="0" t="n">
        <v>2019</v>
      </c>
      <c r="E510" s="0" t="s">
        <v>69</v>
      </c>
      <c r="F510" s="0" t="n">
        <v>22</v>
      </c>
      <c r="G510" s="0" t="s">
        <v>3143</v>
      </c>
      <c r="I510" s="0" t="n">
        <v>22</v>
      </c>
      <c r="J510" s="0" t="s">
        <v>3640</v>
      </c>
      <c r="M510" s="0" t="s">
        <v>2730</v>
      </c>
      <c r="N510" s="0" t="s">
        <v>185</v>
      </c>
      <c r="Q510" s="0" t="n">
        <v>88</v>
      </c>
      <c r="R510" s="0" t="n">
        <v>88</v>
      </c>
      <c r="U510" s="0" t="s">
        <v>3671</v>
      </c>
      <c r="V510" s="0" t="s">
        <v>3671</v>
      </c>
      <c r="Y510" s="0" t="s">
        <v>3071</v>
      </c>
      <c r="Z510" s="0" t="s">
        <v>3072</v>
      </c>
      <c r="AA510" s="0" t="s">
        <v>3738</v>
      </c>
      <c r="AC510" s="0" t="s">
        <v>3643</v>
      </c>
    </row>
    <row r="511" customFormat="false" ht="15" hidden="false" customHeight="false" outlineLevel="0" collapsed="false">
      <c r="A511" s="0" t="s">
        <v>3741</v>
      </c>
      <c r="B511" s="0" t="s">
        <v>178</v>
      </c>
      <c r="C511" s="0" t="s">
        <v>3098</v>
      </c>
      <c r="D511" s="0" t="n">
        <v>2022</v>
      </c>
      <c r="E511" s="0" t="s">
        <v>65</v>
      </c>
      <c r="F511" s="0" t="n">
        <v>369520</v>
      </c>
      <c r="G511" s="0" t="s">
        <v>3101</v>
      </c>
      <c r="H511" s="0" t="s">
        <v>3068</v>
      </c>
      <c r="I511" s="0" t="n">
        <v>369520</v>
      </c>
      <c r="J511" s="0" t="s">
        <v>3640</v>
      </c>
      <c r="M511" s="0" t="s">
        <v>2731</v>
      </c>
      <c r="N511" s="0" t="s">
        <v>186</v>
      </c>
      <c r="Q511" s="0" t="n">
        <v>88</v>
      </c>
      <c r="R511" s="0" t="n">
        <v>88</v>
      </c>
      <c r="U511" s="0" t="s">
        <v>3686</v>
      </c>
      <c r="V511" s="0" t="s">
        <v>3686</v>
      </c>
      <c r="Y511" s="0" t="s">
        <v>3071</v>
      </c>
      <c r="Z511" s="0" t="s">
        <v>3072</v>
      </c>
      <c r="AA511" s="0" t="s">
        <v>3652</v>
      </c>
      <c r="AC511" s="0" t="s">
        <v>3643</v>
      </c>
    </row>
    <row r="512" customFormat="false" ht="15" hidden="false" customHeight="false" outlineLevel="0" collapsed="false">
      <c r="A512" s="0" t="s">
        <v>3742</v>
      </c>
      <c r="B512" s="0" t="s">
        <v>178</v>
      </c>
      <c r="C512" s="0" t="s">
        <v>3098</v>
      </c>
      <c r="D512" s="0" t="n">
        <v>2022</v>
      </c>
      <c r="E512" s="0" t="s">
        <v>66</v>
      </c>
      <c r="F512" s="0" t="n">
        <v>1690930</v>
      </c>
      <c r="G512" s="0" t="s">
        <v>3101</v>
      </c>
      <c r="H512" s="0" t="s">
        <v>3068</v>
      </c>
      <c r="I512" s="0" t="n">
        <v>1690930</v>
      </c>
      <c r="J512" s="0" t="s">
        <v>3640</v>
      </c>
      <c r="M512" s="0" t="s">
        <v>2731</v>
      </c>
      <c r="N512" s="0" t="s">
        <v>186</v>
      </c>
      <c r="Q512" s="0" t="n">
        <v>88</v>
      </c>
      <c r="R512" s="0" t="n">
        <v>88</v>
      </c>
      <c r="U512" s="0" t="s">
        <v>3686</v>
      </c>
      <c r="V512" s="0" t="s">
        <v>3686</v>
      </c>
      <c r="Y512" s="0" t="s">
        <v>3071</v>
      </c>
      <c r="Z512" s="0" t="s">
        <v>3072</v>
      </c>
      <c r="AA512" s="0" t="s">
        <v>3652</v>
      </c>
      <c r="AC512" s="0" t="s">
        <v>3643</v>
      </c>
    </row>
    <row r="513" customFormat="false" ht="15" hidden="false" customHeight="false" outlineLevel="0" collapsed="false">
      <c r="A513" s="0" t="s">
        <v>3743</v>
      </c>
      <c r="B513" s="0" t="s">
        <v>178</v>
      </c>
      <c r="C513" s="0" t="s">
        <v>3098</v>
      </c>
      <c r="D513" s="0" t="n">
        <v>2022</v>
      </c>
      <c r="E513" s="0" t="s">
        <v>69</v>
      </c>
      <c r="F513" s="0" t="n">
        <v>21.9</v>
      </c>
      <c r="G513" s="0" t="s">
        <v>3143</v>
      </c>
      <c r="I513" s="0" t="n">
        <v>21.9</v>
      </c>
      <c r="J513" s="0" t="s">
        <v>3640</v>
      </c>
      <c r="M513" s="0" t="s">
        <v>2731</v>
      </c>
      <c r="N513" s="0" t="s">
        <v>186</v>
      </c>
      <c r="Q513" s="0" t="n">
        <v>88</v>
      </c>
      <c r="R513" s="0" t="n">
        <v>88</v>
      </c>
      <c r="U513" s="0" t="s">
        <v>3686</v>
      </c>
      <c r="V513" s="0" t="s">
        <v>3686</v>
      </c>
      <c r="Y513" s="0" t="s">
        <v>3071</v>
      </c>
      <c r="Z513" s="0" t="s">
        <v>3072</v>
      </c>
      <c r="AA513" s="0" t="s">
        <v>3652</v>
      </c>
      <c r="AC513" s="0" t="s">
        <v>3643</v>
      </c>
    </row>
    <row r="514" customFormat="false" ht="15" hidden="false" customHeight="false" outlineLevel="0" collapsed="false">
      <c r="A514" s="0" t="s">
        <v>3744</v>
      </c>
      <c r="B514" s="0" t="s">
        <v>178</v>
      </c>
      <c r="C514" s="0" t="s">
        <v>3098</v>
      </c>
      <c r="D514" s="0" t="n">
        <v>2021</v>
      </c>
      <c r="E514" s="0" t="s">
        <v>65</v>
      </c>
      <c r="F514" s="0" t="n">
        <v>336784</v>
      </c>
      <c r="G514" s="0" t="s">
        <v>3101</v>
      </c>
      <c r="H514" s="0" t="s">
        <v>3068</v>
      </c>
      <c r="I514" s="0" t="n">
        <v>336784</v>
      </c>
      <c r="J514" s="0" t="s">
        <v>3640</v>
      </c>
      <c r="M514" s="0" t="s">
        <v>2731</v>
      </c>
      <c r="N514" s="0" t="s">
        <v>186</v>
      </c>
      <c r="Q514" s="0" t="n">
        <v>88</v>
      </c>
      <c r="R514" s="0" t="n">
        <v>88</v>
      </c>
      <c r="U514" s="0" t="s">
        <v>3691</v>
      </c>
      <c r="V514" s="0" t="s">
        <v>3691</v>
      </c>
      <c r="Y514" s="0" t="s">
        <v>3071</v>
      </c>
      <c r="Z514" s="0" t="s">
        <v>3072</v>
      </c>
      <c r="AA514" s="0" t="s">
        <v>3652</v>
      </c>
      <c r="AC514" s="0" t="s">
        <v>3643</v>
      </c>
    </row>
    <row r="515" customFormat="false" ht="15" hidden="false" customHeight="false" outlineLevel="0" collapsed="false">
      <c r="A515" s="0" t="s">
        <v>3745</v>
      </c>
      <c r="B515" s="0" t="s">
        <v>178</v>
      </c>
      <c r="C515" s="0" t="s">
        <v>3098</v>
      </c>
      <c r="D515" s="0" t="n">
        <v>2021</v>
      </c>
      <c r="E515" s="0" t="s">
        <v>66</v>
      </c>
      <c r="F515" s="0" t="n">
        <v>1543338</v>
      </c>
      <c r="G515" s="0" t="s">
        <v>3101</v>
      </c>
      <c r="H515" s="0" t="s">
        <v>3068</v>
      </c>
      <c r="I515" s="0" t="n">
        <v>1543338</v>
      </c>
      <c r="J515" s="0" t="s">
        <v>3640</v>
      </c>
      <c r="M515" s="0" t="s">
        <v>2731</v>
      </c>
      <c r="N515" s="0" t="s">
        <v>186</v>
      </c>
      <c r="Q515" s="0" t="n">
        <v>88</v>
      </c>
      <c r="R515" s="0" t="n">
        <v>88</v>
      </c>
      <c r="U515" s="0" t="s">
        <v>3691</v>
      </c>
      <c r="V515" s="0" t="s">
        <v>3691</v>
      </c>
      <c r="Y515" s="0" t="s">
        <v>3071</v>
      </c>
      <c r="Z515" s="0" t="s">
        <v>3072</v>
      </c>
      <c r="AA515" s="0" t="s">
        <v>3652</v>
      </c>
      <c r="AC515" s="0" t="s">
        <v>3643</v>
      </c>
    </row>
    <row r="516" customFormat="false" ht="15" hidden="false" customHeight="false" outlineLevel="0" collapsed="false">
      <c r="A516" s="0" t="s">
        <v>3746</v>
      </c>
      <c r="B516" s="0" t="s">
        <v>178</v>
      </c>
      <c r="C516" s="0" t="s">
        <v>3098</v>
      </c>
      <c r="D516" s="0" t="n">
        <v>2021</v>
      </c>
      <c r="E516" s="0" t="s">
        <v>69</v>
      </c>
      <c r="F516" s="0" t="n">
        <v>21.8</v>
      </c>
      <c r="G516" s="0" t="s">
        <v>3143</v>
      </c>
      <c r="I516" s="0" t="n">
        <v>21.8</v>
      </c>
      <c r="J516" s="0" t="s">
        <v>3640</v>
      </c>
      <c r="M516" s="0" t="s">
        <v>2731</v>
      </c>
      <c r="N516" s="0" t="s">
        <v>186</v>
      </c>
      <c r="Q516" s="0" t="n">
        <v>88</v>
      </c>
      <c r="R516" s="0" t="n">
        <v>88</v>
      </c>
      <c r="U516" s="0" t="s">
        <v>3691</v>
      </c>
      <c r="V516" s="0" t="s">
        <v>3691</v>
      </c>
      <c r="Y516" s="0" t="s">
        <v>3071</v>
      </c>
      <c r="Z516" s="0" t="s">
        <v>3072</v>
      </c>
      <c r="AA516" s="0" t="s">
        <v>3652</v>
      </c>
      <c r="AC516" s="0" t="s">
        <v>3643</v>
      </c>
    </row>
    <row r="517" customFormat="false" ht="15" hidden="false" customHeight="false" outlineLevel="0" collapsed="false">
      <c r="A517" s="0" t="s">
        <v>3747</v>
      </c>
      <c r="B517" s="0" t="s">
        <v>178</v>
      </c>
      <c r="C517" s="0" t="s">
        <v>3098</v>
      </c>
      <c r="D517" s="0" t="n">
        <v>2022</v>
      </c>
      <c r="E517" s="0" t="s">
        <v>70</v>
      </c>
      <c r="F517" s="0" t="n">
        <v>17</v>
      </c>
      <c r="G517" s="0" t="s">
        <v>3143</v>
      </c>
      <c r="I517" s="0" t="n">
        <v>17</v>
      </c>
      <c r="J517" s="0" t="s">
        <v>3640</v>
      </c>
      <c r="M517" s="0" t="s">
        <v>2731</v>
      </c>
      <c r="N517" s="0" t="s">
        <v>186</v>
      </c>
      <c r="Q517" s="0" t="n">
        <v>87</v>
      </c>
      <c r="R517" s="0" t="n">
        <v>87</v>
      </c>
      <c r="U517" s="0" t="s">
        <v>3686</v>
      </c>
      <c r="V517" s="0" t="s">
        <v>3686</v>
      </c>
      <c r="Y517" s="0" t="s">
        <v>3071</v>
      </c>
      <c r="Z517" s="0" t="s">
        <v>3072</v>
      </c>
      <c r="AA517" s="0" t="s">
        <v>3748</v>
      </c>
      <c r="AC517" s="0" t="s">
        <v>3643</v>
      </c>
    </row>
    <row r="518" customFormat="false" ht="15" hidden="false" customHeight="false" outlineLevel="0" collapsed="false">
      <c r="A518" s="0" t="s">
        <v>3749</v>
      </c>
      <c r="B518" s="0" t="s">
        <v>178</v>
      </c>
      <c r="C518" s="0" t="s">
        <v>3098</v>
      </c>
      <c r="D518" s="0" t="n">
        <v>2022</v>
      </c>
      <c r="E518" s="0" t="s">
        <v>71</v>
      </c>
      <c r="F518" s="0" t="n">
        <v>59.03</v>
      </c>
      <c r="G518" s="0" t="s">
        <v>3143</v>
      </c>
      <c r="I518" s="0" t="n">
        <v>59.03</v>
      </c>
      <c r="J518" s="0" t="s">
        <v>3640</v>
      </c>
      <c r="M518" s="0" t="s">
        <v>2731</v>
      </c>
      <c r="N518" s="0" t="s">
        <v>186</v>
      </c>
      <c r="Q518" s="0" t="n">
        <v>75</v>
      </c>
      <c r="R518" s="0" t="n">
        <v>75</v>
      </c>
      <c r="U518" s="0" t="s">
        <v>3686</v>
      </c>
      <c r="V518" s="0" t="s">
        <v>3686</v>
      </c>
      <c r="Y518" s="0" t="s">
        <v>3071</v>
      </c>
      <c r="Z518" s="0" t="s">
        <v>3072</v>
      </c>
      <c r="AA518" s="0" t="s">
        <v>3750</v>
      </c>
      <c r="AC518" s="0" t="s">
        <v>3643</v>
      </c>
    </row>
    <row r="519" customFormat="false" ht="15" hidden="false" customHeight="false" outlineLevel="0" collapsed="false">
      <c r="A519" s="0" t="s">
        <v>3751</v>
      </c>
      <c r="B519" s="0" t="s">
        <v>178</v>
      </c>
      <c r="C519" s="0" t="s">
        <v>3098</v>
      </c>
      <c r="D519" s="0" t="n">
        <v>2022</v>
      </c>
      <c r="E519" s="0" t="s">
        <v>3752</v>
      </c>
      <c r="F519" s="0" t="n">
        <v>47.99</v>
      </c>
      <c r="G519" s="0" t="s">
        <v>3143</v>
      </c>
      <c r="I519" s="0" t="n">
        <v>47.99</v>
      </c>
      <c r="J519" s="0" t="s">
        <v>3640</v>
      </c>
      <c r="M519" s="0" t="s">
        <v>2731</v>
      </c>
      <c r="N519" s="0" t="s">
        <v>186</v>
      </c>
      <c r="Q519" s="0" t="n">
        <v>75</v>
      </c>
      <c r="R519" s="0" t="n">
        <v>75</v>
      </c>
      <c r="U519" s="0" t="s">
        <v>3686</v>
      </c>
      <c r="V519" s="0" t="s">
        <v>3686</v>
      </c>
      <c r="Y519" s="0" t="s">
        <v>3071</v>
      </c>
      <c r="Z519" s="0" t="s">
        <v>3072</v>
      </c>
      <c r="AA519" s="0" t="s">
        <v>3750</v>
      </c>
      <c r="AC519" s="0" t="s">
        <v>3643</v>
      </c>
    </row>
    <row r="520" customFormat="false" ht="15" hidden="false" customHeight="false" outlineLevel="0" collapsed="false">
      <c r="A520" s="0" t="s">
        <v>3753</v>
      </c>
      <c r="B520" s="0" t="s">
        <v>178</v>
      </c>
      <c r="C520" s="0" t="s">
        <v>3098</v>
      </c>
      <c r="D520" s="0" t="n">
        <v>2022</v>
      </c>
      <c r="E520" s="0" t="s">
        <v>3754</v>
      </c>
      <c r="F520" s="0" t="n">
        <v>53.98</v>
      </c>
      <c r="G520" s="0" t="s">
        <v>3143</v>
      </c>
      <c r="I520" s="0" t="n">
        <v>53.98</v>
      </c>
      <c r="J520" s="0" t="s">
        <v>3640</v>
      </c>
      <c r="M520" s="0" t="s">
        <v>2731</v>
      </c>
      <c r="N520" s="0" t="s">
        <v>186</v>
      </c>
      <c r="Q520" s="0" t="n">
        <v>75</v>
      </c>
      <c r="R520" s="0" t="n">
        <v>75</v>
      </c>
      <c r="U520" s="0" t="s">
        <v>3686</v>
      </c>
      <c r="V520" s="0" t="s">
        <v>3686</v>
      </c>
      <c r="Y520" s="0" t="s">
        <v>3071</v>
      </c>
      <c r="Z520" s="0" t="s">
        <v>3072</v>
      </c>
      <c r="AA520" s="0" t="s">
        <v>3750</v>
      </c>
      <c r="AC520" s="0" t="s">
        <v>3643</v>
      </c>
    </row>
    <row r="521" customFormat="false" ht="15" hidden="false" customHeight="false" outlineLevel="0" collapsed="false">
      <c r="A521" s="0" t="s">
        <v>3755</v>
      </c>
      <c r="B521" s="0" t="s">
        <v>178</v>
      </c>
      <c r="C521" s="0" t="s">
        <v>3098</v>
      </c>
      <c r="D521" s="0" t="n">
        <v>2022</v>
      </c>
      <c r="E521" s="0" t="s">
        <v>3756</v>
      </c>
      <c r="F521" s="0" t="n">
        <v>40.6</v>
      </c>
      <c r="G521" s="0" t="s">
        <v>3143</v>
      </c>
      <c r="I521" s="0" t="n">
        <v>40.6</v>
      </c>
      <c r="J521" s="0" t="s">
        <v>3640</v>
      </c>
      <c r="M521" s="0" t="s">
        <v>2731</v>
      </c>
      <c r="N521" s="0" t="s">
        <v>186</v>
      </c>
      <c r="Q521" s="0" t="n">
        <v>75</v>
      </c>
      <c r="R521" s="0" t="n">
        <v>75</v>
      </c>
      <c r="U521" s="0" t="s">
        <v>3686</v>
      </c>
      <c r="V521" s="0" t="s">
        <v>3686</v>
      </c>
      <c r="Y521" s="0" t="s">
        <v>3071</v>
      </c>
      <c r="Z521" s="0" t="s">
        <v>3072</v>
      </c>
      <c r="AA521" s="0" t="s">
        <v>3750</v>
      </c>
      <c r="AC521" s="0" t="s">
        <v>3643</v>
      </c>
    </row>
    <row r="522" customFormat="false" ht="15" hidden="false" customHeight="false" outlineLevel="0" collapsed="false">
      <c r="A522" s="0" t="s">
        <v>3757</v>
      </c>
      <c r="B522" s="0" t="s">
        <v>178</v>
      </c>
      <c r="C522" s="0" t="s">
        <v>3098</v>
      </c>
      <c r="D522" s="0" t="n">
        <v>2021</v>
      </c>
      <c r="E522" s="0" t="s">
        <v>71</v>
      </c>
      <c r="F522" s="0" t="n">
        <v>47.56</v>
      </c>
      <c r="G522" s="0" t="s">
        <v>3143</v>
      </c>
      <c r="I522" s="0" t="n">
        <v>47.56</v>
      </c>
      <c r="J522" s="0" t="s">
        <v>3640</v>
      </c>
      <c r="M522" s="0" t="s">
        <v>2731</v>
      </c>
      <c r="N522" s="0" t="s">
        <v>186</v>
      </c>
      <c r="Q522" s="0" t="n">
        <v>75</v>
      </c>
      <c r="R522" s="0" t="n">
        <v>75</v>
      </c>
      <c r="U522" s="0" t="s">
        <v>3691</v>
      </c>
      <c r="V522" s="0" t="s">
        <v>3691</v>
      </c>
      <c r="Y522" s="0" t="s">
        <v>3071</v>
      </c>
      <c r="Z522" s="0" t="s">
        <v>3072</v>
      </c>
      <c r="AA522" s="0" t="s">
        <v>3758</v>
      </c>
      <c r="AC522" s="0" t="s">
        <v>3643</v>
      </c>
    </row>
    <row r="523" customFormat="false" ht="15" hidden="false" customHeight="false" outlineLevel="0" collapsed="false">
      <c r="A523" s="0" t="s">
        <v>3759</v>
      </c>
      <c r="B523" s="0" t="s">
        <v>178</v>
      </c>
      <c r="C523" s="0" t="s">
        <v>3098</v>
      </c>
      <c r="D523" s="0" t="n">
        <v>2021</v>
      </c>
      <c r="E523" s="0" t="s">
        <v>3752</v>
      </c>
      <c r="F523" s="0" t="n">
        <v>44.86</v>
      </c>
      <c r="G523" s="0" t="s">
        <v>3143</v>
      </c>
      <c r="I523" s="0" t="n">
        <v>44.86</v>
      </c>
      <c r="J523" s="0" t="s">
        <v>3640</v>
      </c>
      <c r="M523" s="0" t="s">
        <v>2731</v>
      </c>
      <c r="N523" s="0" t="s">
        <v>186</v>
      </c>
      <c r="Q523" s="0" t="n">
        <v>75</v>
      </c>
      <c r="R523" s="0" t="n">
        <v>75</v>
      </c>
      <c r="U523" s="0" t="s">
        <v>3691</v>
      </c>
      <c r="V523" s="0" t="s">
        <v>3691</v>
      </c>
      <c r="Y523" s="0" t="s">
        <v>3071</v>
      </c>
      <c r="Z523" s="0" t="s">
        <v>3072</v>
      </c>
      <c r="AA523" s="0" t="s">
        <v>3758</v>
      </c>
      <c r="AC523" s="0" t="s">
        <v>3643</v>
      </c>
    </row>
    <row r="524" customFormat="false" ht="15" hidden="false" customHeight="false" outlineLevel="0" collapsed="false">
      <c r="A524" s="0" t="s">
        <v>3760</v>
      </c>
      <c r="B524" s="0" t="s">
        <v>178</v>
      </c>
      <c r="C524" s="0" t="s">
        <v>3098</v>
      </c>
      <c r="D524" s="0" t="n">
        <v>2021</v>
      </c>
      <c r="E524" s="0" t="s">
        <v>3754</v>
      </c>
      <c r="F524" s="0" t="n">
        <v>51.53</v>
      </c>
      <c r="G524" s="0" t="s">
        <v>3143</v>
      </c>
      <c r="I524" s="0" t="n">
        <v>51.53</v>
      </c>
      <c r="J524" s="0" t="s">
        <v>3640</v>
      </c>
      <c r="M524" s="0" t="s">
        <v>2731</v>
      </c>
      <c r="N524" s="0" t="s">
        <v>186</v>
      </c>
      <c r="Q524" s="0" t="n">
        <v>75</v>
      </c>
      <c r="R524" s="0" t="n">
        <v>75</v>
      </c>
      <c r="U524" s="0" t="s">
        <v>3691</v>
      </c>
      <c r="V524" s="0" t="s">
        <v>3691</v>
      </c>
      <c r="Y524" s="0" t="s">
        <v>3071</v>
      </c>
      <c r="Z524" s="0" t="s">
        <v>3072</v>
      </c>
      <c r="AA524" s="0" t="s">
        <v>3758</v>
      </c>
      <c r="AC524" s="0" t="s">
        <v>3643</v>
      </c>
    </row>
    <row r="525" customFormat="false" ht="15" hidden="false" customHeight="false" outlineLevel="0" collapsed="false">
      <c r="A525" s="0" t="s">
        <v>3761</v>
      </c>
      <c r="B525" s="0" t="s">
        <v>178</v>
      </c>
      <c r="C525" s="0" t="s">
        <v>3098</v>
      </c>
      <c r="D525" s="0" t="n">
        <v>2021</v>
      </c>
      <c r="E525" s="0" t="s">
        <v>3756</v>
      </c>
      <c r="F525" s="0" t="n">
        <v>37.43</v>
      </c>
      <c r="G525" s="0" t="s">
        <v>3143</v>
      </c>
      <c r="I525" s="0" t="n">
        <v>37.43</v>
      </c>
      <c r="J525" s="0" t="s">
        <v>3640</v>
      </c>
      <c r="M525" s="0" t="s">
        <v>2731</v>
      </c>
      <c r="N525" s="0" t="s">
        <v>186</v>
      </c>
      <c r="Q525" s="0" t="n">
        <v>75</v>
      </c>
      <c r="R525" s="0" t="n">
        <v>75</v>
      </c>
      <c r="U525" s="0" t="s">
        <v>3691</v>
      </c>
      <c r="V525" s="0" t="s">
        <v>3691</v>
      </c>
      <c r="Y525" s="0" t="s">
        <v>3071</v>
      </c>
      <c r="Z525" s="0" t="s">
        <v>3072</v>
      </c>
      <c r="AA525" s="0" t="s">
        <v>3758</v>
      </c>
      <c r="AC525" s="0" t="s">
        <v>3643</v>
      </c>
    </row>
    <row r="526" customFormat="false" ht="15" hidden="false" customHeight="false" outlineLevel="0" collapsed="false">
      <c r="A526" s="0" t="s">
        <v>3762</v>
      </c>
      <c r="B526" s="0" t="s">
        <v>178</v>
      </c>
      <c r="C526" s="0" t="s">
        <v>3098</v>
      </c>
      <c r="D526" s="0" t="n">
        <v>2018</v>
      </c>
      <c r="E526" s="0" t="s">
        <v>3763</v>
      </c>
      <c r="F526" s="0" t="n">
        <v>400860</v>
      </c>
      <c r="G526" s="0" t="s">
        <v>3101</v>
      </c>
      <c r="H526" s="0" t="s">
        <v>3068</v>
      </c>
      <c r="I526" s="0" t="n">
        <v>400860</v>
      </c>
      <c r="J526" s="0" t="s">
        <v>3640</v>
      </c>
      <c r="M526" s="0" t="s">
        <v>2729</v>
      </c>
      <c r="N526" s="0" t="s">
        <v>184</v>
      </c>
      <c r="Q526" s="0" t="n">
        <v>100</v>
      </c>
      <c r="R526" s="0" t="n">
        <v>100</v>
      </c>
      <c r="U526" s="0" t="s">
        <v>3641</v>
      </c>
      <c r="V526" s="0" t="s">
        <v>3641</v>
      </c>
      <c r="Y526" s="0" t="s">
        <v>3071</v>
      </c>
      <c r="Z526" s="0" t="s">
        <v>3072</v>
      </c>
      <c r="AA526" s="0" t="s">
        <v>3764</v>
      </c>
      <c r="AC526" s="0" t="s">
        <v>3643</v>
      </c>
    </row>
    <row r="527" customFormat="false" ht="15" hidden="false" customHeight="false" outlineLevel="0" collapsed="false">
      <c r="A527" s="0" t="s">
        <v>3765</v>
      </c>
      <c r="B527" s="0" t="s">
        <v>178</v>
      </c>
      <c r="C527" s="0" t="s">
        <v>3098</v>
      </c>
      <c r="D527" s="0" t="n">
        <v>2018</v>
      </c>
      <c r="E527" s="0" t="s">
        <v>3766</v>
      </c>
      <c r="F527" s="0" t="n">
        <v>-43441</v>
      </c>
      <c r="G527" s="0" t="s">
        <v>3101</v>
      </c>
      <c r="H527" s="0" t="s">
        <v>3068</v>
      </c>
      <c r="I527" s="0" t="n">
        <v>-43441</v>
      </c>
      <c r="J527" s="0" t="s">
        <v>3640</v>
      </c>
      <c r="M527" s="0" t="s">
        <v>2729</v>
      </c>
      <c r="N527" s="0" t="s">
        <v>184</v>
      </c>
      <c r="Q527" s="0" t="n">
        <v>100</v>
      </c>
      <c r="R527" s="0" t="n">
        <v>100</v>
      </c>
      <c r="U527" s="0" t="s">
        <v>3641</v>
      </c>
      <c r="V527" s="0" t="s">
        <v>3641</v>
      </c>
      <c r="Y527" s="0" t="s">
        <v>3071</v>
      </c>
      <c r="Z527" s="0" t="s">
        <v>3072</v>
      </c>
      <c r="AA527" s="0" t="s">
        <v>3764</v>
      </c>
      <c r="AC527" s="0" t="s">
        <v>3643</v>
      </c>
    </row>
    <row r="528" customFormat="false" ht="15" hidden="false" customHeight="false" outlineLevel="0" collapsed="false">
      <c r="A528" s="0" t="s">
        <v>3767</v>
      </c>
      <c r="B528" s="0" t="s">
        <v>178</v>
      </c>
      <c r="C528" s="0" t="s">
        <v>3098</v>
      </c>
      <c r="D528" s="0" t="n">
        <v>2018</v>
      </c>
      <c r="E528" s="0" t="s">
        <v>3768</v>
      </c>
      <c r="F528" s="0" t="n">
        <v>7211</v>
      </c>
      <c r="G528" s="0" t="s">
        <v>3101</v>
      </c>
      <c r="H528" s="0" t="s">
        <v>3068</v>
      </c>
      <c r="I528" s="0" t="n">
        <v>7211</v>
      </c>
      <c r="J528" s="0" t="s">
        <v>3640</v>
      </c>
      <c r="M528" s="0" t="s">
        <v>2729</v>
      </c>
      <c r="N528" s="0" t="s">
        <v>184</v>
      </c>
      <c r="Q528" s="0" t="n">
        <v>100</v>
      </c>
      <c r="R528" s="0" t="n">
        <v>100</v>
      </c>
      <c r="U528" s="0" t="s">
        <v>3641</v>
      </c>
      <c r="V528" s="0" t="s">
        <v>3641</v>
      </c>
      <c r="Y528" s="0" t="s">
        <v>3071</v>
      </c>
      <c r="Z528" s="0" t="s">
        <v>3072</v>
      </c>
      <c r="AA528" s="0" t="s">
        <v>3764</v>
      </c>
      <c r="AC528" s="0" t="s">
        <v>3643</v>
      </c>
    </row>
    <row r="529" customFormat="false" ht="15" hidden="false" customHeight="false" outlineLevel="0" collapsed="false">
      <c r="A529" s="0" t="s">
        <v>3769</v>
      </c>
      <c r="B529" s="0" t="s">
        <v>178</v>
      </c>
      <c r="C529" s="0" t="s">
        <v>3098</v>
      </c>
      <c r="D529" s="0" t="n">
        <v>2018</v>
      </c>
      <c r="E529" s="0" t="s">
        <v>3770</v>
      </c>
      <c r="F529" s="0" t="n">
        <v>364630</v>
      </c>
      <c r="G529" s="0" t="s">
        <v>3101</v>
      </c>
      <c r="H529" s="0" t="s">
        <v>3068</v>
      </c>
      <c r="I529" s="0" t="n">
        <v>364630</v>
      </c>
      <c r="J529" s="0" t="s">
        <v>3640</v>
      </c>
      <c r="M529" s="0" t="s">
        <v>2729</v>
      </c>
      <c r="N529" s="0" t="s">
        <v>184</v>
      </c>
      <c r="Q529" s="0" t="n">
        <v>100</v>
      </c>
      <c r="R529" s="0" t="n">
        <v>100</v>
      </c>
      <c r="U529" s="0" t="s">
        <v>3641</v>
      </c>
      <c r="V529" s="0" t="s">
        <v>3641</v>
      </c>
      <c r="Y529" s="0" t="s">
        <v>3071</v>
      </c>
      <c r="Z529" s="0" t="s">
        <v>3072</v>
      </c>
      <c r="AA529" s="0" t="s">
        <v>3764</v>
      </c>
      <c r="AC529" s="0" t="s">
        <v>3643</v>
      </c>
    </row>
    <row r="530" customFormat="false" ht="15" hidden="false" customHeight="false" outlineLevel="0" collapsed="false">
      <c r="A530" s="0" t="s">
        <v>3771</v>
      </c>
      <c r="B530" s="0" t="s">
        <v>178</v>
      </c>
      <c r="C530" s="0" t="s">
        <v>3098</v>
      </c>
      <c r="D530" s="0" t="n">
        <v>2018</v>
      </c>
      <c r="E530" s="0" t="s">
        <v>3772</v>
      </c>
      <c r="F530" s="0" t="n">
        <v>-41812</v>
      </c>
      <c r="G530" s="0" t="s">
        <v>3101</v>
      </c>
      <c r="H530" s="0" t="s">
        <v>3068</v>
      </c>
      <c r="I530" s="0" t="n">
        <v>-41812</v>
      </c>
      <c r="J530" s="0" t="s">
        <v>3640</v>
      </c>
      <c r="M530" s="0" t="s">
        <v>2729</v>
      </c>
      <c r="N530" s="0" t="s">
        <v>184</v>
      </c>
      <c r="Q530" s="0" t="n">
        <v>100</v>
      </c>
      <c r="R530" s="0" t="n">
        <v>100</v>
      </c>
      <c r="U530" s="0" t="s">
        <v>3641</v>
      </c>
      <c r="V530" s="0" t="s">
        <v>3641</v>
      </c>
      <c r="Y530" s="0" t="s">
        <v>3071</v>
      </c>
      <c r="Z530" s="0" t="s">
        <v>3072</v>
      </c>
      <c r="AA530" s="0" t="s">
        <v>3764</v>
      </c>
      <c r="AC530" s="0" t="s">
        <v>3643</v>
      </c>
    </row>
    <row r="531" customFormat="false" ht="15" hidden="false" customHeight="false" outlineLevel="0" collapsed="false">
      <c r="A531" s="0" t="s">
        <v>3773</v>
      </c>
      <c r="B531" s="0" t="s">
        <v>178</v>
      </c>
      <c r="C531" s="0" t="s">
        <v>3098</v>
      </c>
      <c r="D531" s="0" t="n">
        <v>2018</v>
      </c>
      <c r="E531" s="0" t="s">
        <v>3774</v>
      </c>
      <c r="F531" s="0" t="n">
        <v>1629</v>
      </c>
      <c r="G531" s="0" t="s">
        <v>3101</v>
      </c>
      <c r="H531" s="0" t="s">
        <v>3068</v>
      </c>
      <c r="I531" s="0" t="n">
        <v>1629</v>
      </c>
      <c r="J531" s="0" t="s">
        <v>3640</v>
      </c>
      <c r="M531" s="0" t="s">
        <v>2729</v>
      </c>
      <c r="N531" s="0" t="s">
        <v>184</v>
      </c>
      <c r="Q531" s="0" t="n">
        <v>100</v>
      </c>
      <c r="R531" s="0" t="n">
        <v>100</v>
      </c>
      <c r="U531" s="0" t="s">
        <v>3641</v>
      </c>
      <c r="V531" s="0" t="s">
        <v>3641</v>
      </c>
      <c r="Y531" s="0" t="s">
        <v>3071</v>
      </c>
      <c r="Z531" s="0" t="s">
        <v>3072</v>
      </c>
      <c r="AA531" s="0" t="s">
        <v>3764</v>
      </c>
      <c r="AC531" s="0" t="s">
        <v>3643</v>
      </c>
    </row>
    <row r="532" customFormat="false" ht="15" hidden="false" customHeight="false" outlineLevel="0" collapsed="false">
      <c r="A532" s="0" t="s">
        <v>3775</v>
      </c>
      <c r="B532" s="0" t="s">
        <v>178</v>
      </c>
      <c r="C532" s="0" t="s">
        <v>3098</v>
      </c>
      <c r="D532" s="0" t="n">
        <v>2018</v>
      </c>
      <c r="E532" s="0" t="s">
        <v>3776</v>
      </c>
      <c r="F532" s="0" t="n">
        <v>363630</v>
      </c>
      <c r="G532" s="0" t="s">
        <v>3101</v>
      </c>
      <c r="H532" s="0" t="s">
        <v>3068</v>
      </c>
      <c r="I532" s="0" t="n">
        <v>363630</v>
      </c>
      <c r="J532" s="0" t="s">
        <v>3640</v>
      </c>
      <c r="M532" s="0" t="s">
        <v>2729</v>
      </c>
      <c r="N532" s="0" t="s">
        <v>184</v>
      </c>
      <c r="Q532" s="0" t="n">
        <v>77</v>
      </c>
      <c r="R532" s="0" t="n">
        <v>77</v>
      </c>
      <c r="U532" s="0" t="s">
        <v>3641</v>
      </c>
      <c r="V532" s="0" t="s">
        <v>3641</v>
      </c>
      <c r="Y532" s="0" t="s">
        <v>3071</v>
      </c>
      <c r="Z532" s="0" t="s">
        <v>3072</v>
      </c>
      <c r="AA532" s="0" t="s">
        <v>3777</v>
      </c>
      <c r="AC532" s="0" t="s">
        <v>3643</v>
      </c>
    </row>
    <row r="533" customFormat="false" ht="15" hidden="false" customHeight="false" outlineLevel="0" collapsed="false">
      <c r="A533" s="0" t="s">
        <v>3778</v>
      </c>
      <c r="B533" s="0" t="s">
        <v>222</v>
      </c>
      <c r="C533" s="0" t="s">
        <v>3477</v>
      </c>
      <c r="D533" s="0" t="n">
        <v>2022</v>
      </c>
      <c r="E533" s="0" t="s">
        <v>54</v>
      </c>
      <c r="F533" s="0" t="n">
        <v>234593</v>
      </c>
      <c r="G533" s="0" t="s">
        <v>3101</v>
      </c>
      <c r="H533" s="0" t="s">
        <v>3068</v>
      </c>
      <c r="I533" s="0" t="n">
        <v>234593</v>
      </c>
      <c r="J533" s="0" t="s">
        <v>3640</v>
      </c>
      <c r="M533" s="0" t="s">
        <v>2761</v>
      </c>
      <c r="N533" s="0" t="s">
        <v>235</v>
      </c>
      <c r="Q533" s="0" t="n">
        <v>94</v>
      </c>
      <c r="R533" s="0" t="n">
        <v>94</v>
      </c>
      <c r="U533" s="0" t="s">
        <v>3686</v>
      </c>
      <c r="V533" s="0" t="s">
        <v>3686</v>
      </c>
      <c r="Y533" s="0" t="s">
        <v>3071</v>
      </c>
      <c r="Z533" s="0" t="s">
        <v>3072</v>
      </c>
      <c r="AA533" s="0" t="s">
        <v>3652</v>
      </c>
      <c r="AC533" s="0" t="s">
        <v>3643</v>
      </c>
    </row>
    <row r="534" customFormat="false" ht="15" hidden="false" customHeight="false" outlineLevel="0" collapsed="false">
      <c r="A534" s="0" t="s">
        <v>3779</v>
      </c>
      <c r="B534" s="0" t="s">
        <v>222</v>
      </c>
      <c r="C534" s="0" t="s">
        <v>3477</v>
      </c>
      <c r="D534" s="0" t="n">
        <v>2022</v>
      </c>
      <c r="E534" s="0" t="s">
        <v>541</v>
      </c>
      <c r="F534" s="0" t="n">
        <v>294050</v>
      </c>
      <c r="G534" s="0" t="s">
        <v>3101</v>
      </c>
      <c r="H534" s="0" t="s">
        <v>3068</v>
      </c>
      <c r="I534" s="0" t="n">
        <v>294050</v>
      </c>
      <c r="J534" s="0" t="s">
        <v>3640</v>
      </c>
      <c r="M534" s="0" t="s">
        <v>2761</v>
      </c>
      <c r="N534" s="0" t="s">
        <v>235</v>
      </c>
      <c r="Q534" s="0" t="n">
        <v>94</v>
      </c>
      <c r="R534" s="0" t="n">
        <v>94</v>
      </c>
      <c r="U534" s="0" t="s">
        <v>3686</v>
      </c>
      <c r="V534" s="0" t="s">
        <v>3686</v>
      </c>
      <c r="Y534" s="0" t="s">
        <v>3071</v>
      </c>
      <c r="Z534" s="0" t="s">
        <v>3072</v>
      </c>
      <c r="AA534" s="0" t="s">
        <v>3652</v>
      </c>
      <c r="AC534" s="0" t="s">
        <v>3643</v>
      </c>
    </row>
    <row r="535" customFormat="false" ht="15" hidden="false" customHeight="false" outlineLevel="0" collapsed="false">
      <c r="A535" s="0" t="s">
        <v>3780</v>
      </c>
      <c r="B535" s="0" t="s">
        <v>222</v>
      </c>
      <c r="C535" s="0" t="s">
        <v>3477</v>
      </c>
      <c r="D535" s="0" t="n">
        <v>2022</v>
      </c>
      <c r="E535" s="0" t="s">
        <v>63</v>
      </c>
      <c r="F535" s="0" t="n">
        <v>61896</v>
      </c>
      <c r="G535" s="0" t="s">
        <v>3101</v>
      </c>
      <c r="H535" s="0" t="s">
        <v>3068</v>
      </c>
      <c r="I535" s="0" t="n">
        <v>61896</v>
      </c>
      <c r="J535" s="0" t="s">
        <v>3640</v>
      </c>
      <c r="M535" s="0" t="s">
        <v>2761</v>
      </c>
      <c r="N535" s="0" t="s">
        <v>235</v>
      </c>
      <c r="Q535" s="0" t="n">
        <v>94</v>
      </c>
      <c r="R535" s="0" t="n">
        <v>94</v>
      </c>
      <c r="U535" s="0" t="s">
        <v>3686</v>
      </c>
      <c r="V535" s="0" t="s">
        <v>3686</v>
      </c>
      <c r="Y535" s="0" t="s">
        <v>3071</v>
      </c>
      <c r="Z535" s="0" t="s">
        <v>3072</v>
      </c>
      <c r="AA535" s="0" t="s">
        <v>3652</v>
      </c>
      <c r="AC535" s="0" t="s">
        <v>3643</v>
      </c>
    </row>
    <row r="536" customFormat="false" ht="15" hidden="false" customHeight="false" outlineLevel="0" collapsed="false">
      <c r="A536" s="0" t="s">
        <v>3781</v>
      </c>
      <c r="B536" s="0" t="s">
        <v>222</v>
      </c>
      <c r="C536" s="0" t="s">
        <v>3477</v>
      </c>
      <c r="D536" s="0" t="n">
        <v>2021</v>
      </c>
      <c r="E536" s="0" t="s">
        <v>54</v>
      </c>
      <c r="F536" s="0" t="n">
        <v>233133</v>
      </c>
      <c r="G536" s="0" t="s">
        <v>3101</v>
      </c>
      <c r="H536" s="0" t="s">
        <v>3068</v>
      </c>
      <c r="I536" s="0" t="n">
        <v>233133</v>
      </c>
      <c r="J536" s="0" t="s">
        <v>3640</v>
      </c>
      <c r="M536" s="0" t="s">
        <v>2761</v>
      </c>
      <c r="N536" s="0" t="s">
        <v>235</v>
      </c>
      <c r="Q536" s="0" t="n">
        <v>94</v>
      </c>
      <c r="R536" s="0" t="n">
        <v>94</v>
      </c>
      <c r="U536" s="0" t="s">
        <v>3691</v>
      </c>
      <c r="V536" s="0" t="s">
        <v>3691</v>
      </c>
      <c r="Y536" s="0" t="s">
        <v>3071</v>
      </c>
      <c r="Z536" s="0" t="s">
        <v>3072</v>
      </c>
      <c r="AA536" s="0" t="s">
        <v>3652</v>
      </c>
      <c r="AC536" s="0" t="s">
        <v>3643</v>
      </c>
    </row>
    <row r="537" customFormat="false" ht="15" hidden="false" customHeight="false" outlineLevel="0" collapsed="false">
      <c r="A537" s="0" t="s">
        <v>3782</v>
      </c>
      <c r="B537" s="0" t="s">
        <v>222</v>
      </c>
      <c r="C537" s="0" t="s">
        <v>3477</v>
      </c>
      <c r="D537" s="0" t="n">
        <v>2021</v>
      </c>
      <c r="E537" s="0" t="s">
        <v>541</v>
      </c>
      <c r="F537" s="0" t="n">
        <v>257167</v>
      </c>
      <c r="G537" s="0" t="s">
        <v>3101</v>
      </c>
      <c r="H537" s="0" t="s">
        <v>3068</v>
      </c>
      <c r="I537" s="0" t="n">
        <v>257167</v>
      </c>
      <c r="J537" s="0" t="s">
        <v>3640</v>
      </c>
      <c r="M537" s="0" t="s">
        <v>2761</v>
      </c>
      <c r="N537" s="0" t="s">
        <v>235</v>
      </c>
      <c r="Q537" s="0" t="n">
        <v>94</v>
      </c>
      <c r="R537" s="0" t="n">
        <v>94</v>
      </c>
      <c r="U537" s="0" t="s">
        <v>3691</v>
      </c>
      <c r="V537" s="0" t="s">
        <v>3691</v>
      </c>
      <c r="Y537" s="0" t="s">
        <v>3071</v>
      </c>
      <c r="Z537" s="0" t="s">
        <v>3072</v>
      </c>
      <c r="AA537" s="0" t="s">
        <v>3652</v>
      </c>
      <c r="AC537" s="0" t="s">
        <v>3643</v>
      </c>
    </row>
    <row r="538" customFormat="false" ht="15" hidden="false" customHeight="false" outlineLevel="0" collapsed="false">
      <c r="A538" s="0" t="s">
        <v>3783</v>
      </c>
      <c r="B538" s="0" t="s">
        <v>222</v>
      </c>
      <c r="C538" s="0" t="s">
        <v>3477</v>
      </c>
      <c r="D538" s="0" t="n">
        <v>2021</v>
      </c>
      <c r="E538" s="0" t="s">
        <v>63</v>
      </c>
      <c r="F538" s="0" t="n">
        <v>56175</v>
      </c>
      <c r="G538" s="0" t="s">
        <v>3101</v>
      </c>
      <c r="H538" s="0" t="s">
        <v>3068</v>
      </c>
      <c r="I538" s="0" t="n">
        <v>56175</v>
      </c>
      <c r="J538" s="0" t="s">
        <v>3640</v>
      </c>
      <c r="M538" s="0" t="s">
        <v>2761</v>
      </c>
      <c r="N538" s="0" t="s">
        <v>235</v>
      </c>
      <c r="Q538" s="0" t="n">
        <v>94</v>
      </c>
      <c r="R538" s="0" t="n">
        <v>94</v>
      </c>
      <c r="U538" s="0" t="s">
        <v>3691</v>
      </c>
      <c r="V538" s="0" t="s">
        <v>3691</v>
      </c>
      <c r="Y538" s="0" t="s">
        <v>3071</v>
      </c>
      <c r="Z538" s="0" t="s">
        <v>3072</v>
      </c>
      <c r="AA538" s="0" t="s">
        <v>3652</v>
      </c>
      <c r="AC538" s="0" t="s">
        <v>3643</v>
      </c>
    </row>
    <row r="539" customFormat="false" ht="15" hidden="false" customHeight="false" outlineLevel="0" collapsed="false">
      <c r="A539" s="0" t="s">
        <v>3784</v>
      </c>
      <c r="B539" s="0" t="s">
        <v>222</v>
      </c>
      <c r="C539" s="0" t="s">
        <v>3477</v>
      </c>
      <c r="D539" s="0" t="n">
        <v>2022</v>
      </c>
      <c r="E539" s="0" t="s">
        <v>55</v>
      </c>
      <c r="F539" s="0" t="n">
        <v>10570678</v>
      </c>
      <c r="G539" s="0" t="s">
        <v>3101</v>
      </c>
      <c r="H539" s="0" t="s">
        <v>3068</v>
      </c>
      <c r="I539" s="0" t="n">
        <v>10570678</v>
      </c>
      <c r="J539" s="0" t="s">
        <v>3640</v>
      </c>
      <c r="M539" s="0" t="s">
        <v>2761</v>
      </c>
      <c r="N539" s="0" t="s">
        <v>235</v>
      </c>
      <c r="Q539" s="0" t="n">
        <v>95</v>
      </c>
      <c r="R539" s="0" t="n">
        <v>95</v>
      </c>
      <c r="U539" s="0" t="s">
        <v>3686</v>
      </c>
      <c r="V539" s="0" t="s">
        <v>3686</v>
      </c>
      <c r="Y539" s="0" t="s">
        <v>3071</v>
      </c>
      <c r="Z539" s="0" t="s">
        <v>3072</v>
      </c>
      <c r="AA539" s="0" t="s">
        <v>3652</v>
      </c>
      <c r="AC539" s="0" t="s">
        <v>3643</v>
      </c>
    </row>
    <row r="540" customFormat="false" ht="15" hidden="false" customHeight="false" outlineLevel="0" collapsed="false">
      <c r="A540" s="0" t="s">
        <v>3785</v>
      </c>
      <c r="B540" s="0" t="s">
        <v>222</v>
      </c>
      <c r="C540" s="0" t="s">
        <v>3477</v>
      </c>
      <c r="D540" s="0" t="n">
        <v>2022</v>
      </c>
      <c r="E540" s="0" t="s">
        <v>56</v>
      </c>
      <c r="F540" s="0" t="n">
        <v>9375531</v>
      </c>
      <c r="G540" s="0" t="s">
        <v>3101</v>
      </c>
      <c r="H540" s="0" t="s">
        <v>3068</v>
      </c>
      <c r="I540" s="0" t="n">
        <v>9375531</v>
      </c>
      <c r="J540" s="0" t="s">
        <v>3640</v>
      </c>
      <c r="M540" s="0" t="s">
        <v>2761</v>
      </c>
      <c r="N540" s="0" t="s">
        <v>235</v>
      </c>
      <c r="Q540" s="0" t="n">
        <v>95</v>
      </c>
      <c r="R540" s="0" t="n">
        <v>95</v>
      </c>
      <c r="U540" s="0" t="s">
        <v>3686</v>
      </c>
      <c r="V540" s="0" t="s">
        <v>3686</v>
      </c>
      <c r="Y540" s="0" t="s">
        <v>3071</v>
      </c>
      <c r="Z540" s="0" t="s">
        <v>3072</v>
      </c>
      <c r="AA540" s="0" t="s">
        <v>3652</v>
      </c>
      <c r="AC540" s="0" t="s">
        <v>3643</v>
      </c>
    </row>
    <row r="541" customFormat="false" ht="15" hidden="false" customHeight="false" outlineLevel="0" collapsed="false">
      <c r="A541" s="0" t="s">
        <v>3786</v>
      </c>
      <c r="B541" s="0" t="s">
        <v>222</v>
      </c>
      <c r="C541" s="0" t="s">
        <v>3477</v>
      </c>
      <c r="D541" s="0" t="n">
        <v>2022</v>
      </c>
      <c r="E541" s="0" t="s">
        <v>57</v>
      </c>
      <c r="F541" s="0" t="n">
        <v>1195147</v>
      </c>
      <c r="G541" s="0" t="s">
        <v>3101</v>
      </c>
      <c r="H541" s="0" t="s">
        <v>3068</v>
      </c>
      <c r="I541" s="0" t="n">
        <v>1195147</v>
      </c>
      <c r="J541" s="0" t="s">
        <v>3640</v>
      </c>
      <c r="M541" s="0" t="s">
        <v>2761</v>
      </c>
      <c r="N541" s="0" t="s">
        <v>235</v>
      </c>
      <c r="Q541" s="0" t="n">
        <v>95</v>
      </c>
      <c r="R541" s="0" t="n">
        <v>95</v>
      </c>
      <c r="U541" s="0" t="s">
        <v>3686</v>
      </c>
      <c r="V541" s="0" t="s">
        <v>3686</v>
      </c>
      <c r="Y541" s="0" t="s">
        <v>3071</v>
      </c>
      <c r="Z541" s="0" t="s">
        <v>3072</v>
      </c>
      <c r="AA541" s="0" t="s">
        <v>3652</v>
      </c>
      <c r="AC541" s="0" t="s">
        <v>3643</v>
      </c>
    </row>
    <row r="542" customFormat="false" ht="15" hidden="false" customHeight="false" outlineLevel="0" collapsed="false">
      <c r="A542" s="0" t="s">
        <v>3787</v>
      </c>
      <c r="B542" s="0" t="s">
        <v>222</v>
      </c>
      <c r="C542" s="0" t="s">
        <v>3477</v>
      </c>
      <c r="D542" s="0" t="n">
        <v>2022</v>
      </c>
      <c r="E542" s="0" t="s">
        <v>62</v>
      </c>
      <c r="F542" s="0" t="n">
        <v>3735676</v>
      </c>
      <c r="G542" s="0" t="s">
        <v>3101</v>
      </c>
      <c r="H542" s="0" t="s">
        <v>3068</v>
      </c>
      <c r="I542" s="0" t="n">
        <v>3735676</v>
      </c>
      <c r="J542" s="0" t="s">
        <v>3640</v>
      </c>
      <c r="M542" s="0" t="s">
        <v>2761</v>
      </c>
      <c r="N542" s="0" t="s">
        <v>235</v>
      </c>
      <c r="Q542" s="0" t="n">
        <v>95</v>
      </c>
      <c r="R542" s="0" t="n">
        <v>95</v>
      </c>
      <c r="U542" s="0" t="s">
        <v>3686</v>
      </c>
      <c r="V542" s="0" t="s">
        <v>3686</v>
      </c>
      <c r="Y542" s="0" t="s">
        <v>3071</v>
      </c>
      <c r="Z542" s="0" t="s">
        <v>3072</v>
      </c>
      <c r="AA542" s="0" t="s">
        <v>3652</v>
      </c>
      <c r="AC542" s="0" t="s">
        <v>3643</v>
      </c>
    </row>
    <row r="543" customFormat="false" ht="15" hidden="false" customHeight="false" outlineLevel="0" collapsed="false">
      <c r="A543" s="0" t="s">
        <v>3788</v>
      </c>
      <c r="B543" s="0" t="s">
        <v>222</v>
      </c>
      <c r="C543" s="0" t="s">
        <v>3477</v>
      </c>
      <c r="D543" s="0" t="n">
        <v>2021</v>
      </c>
      <c r="E543" s="0" t="s">
        <v>55</v>
      </c>
      <c r="F543" s="0" t="n">
        <v>7872292</v>
      </c>
      <c r="G543" s="0" t="s">
        <v>3101</v>
      </c>
      <c r="H543" s="0" t="s">
        <v>3068</v>
      </c>
      <c r="I543" s="0" t="n">
        <v>7872292</v>
      </c>
      <c r="J543" s="0" t="s">
        <v>3640</v>
      </c>
      <c r="M543" s="0" t="s">
        <v>2761</v>
      </c>
      <c r="N543" s="0" t="s">
        <v>235</v>
      </c>
      <c r="Q543" s="0" t="n">
        <v>95</v>
      </c>
      <c r="R543" s="0" t="n">
        <v>95</v>
      </c>
      <c r="U543" s="0" t="s">
        <v>3691</v>
      </c>
      <c r="V543" s="0" t="s">
        <v>3691</v>
      </c>
      <c r="Y543" s="0" t="s">
        <v>3071</v>
      </c>
      <c r="Z543" s="0" t="s">
        <v>3072</v>
      </c>
      <c r="AA543" s="0" t="s">
        <v>3652</v>
      </c>
      <c r="AC543" s="0" t="s">
        <v>3643</v>
      </c>
    </row>
    <row r="544" customFormat="false" ht="15" hidden="false" customHeight="false" outlineLevel="0" collapsed="false">
      <c r="A544" s="0" t="s">
        <v>3789</v>
      </c>
      <c r="B544" s="0" t="s">
        <v>222</v>
      </c>
      <c r="C544" s="0" t="s">
        <v>3477</v>
      </c>
      <c r="D544" s="0" t="n">
        <v>2021</v>
      </c>
      <c r="E544" s="0" t="s">
        <v>56</v>
      </c>
      <c r="F544" s="0" t="n">
        <v>6822517</v>
      </c>
      <c r="G544" s="0" t="s">
        <v>3101</v>
      </c>
      <c r="H544" s="0" t="s">
        <v>3068</v>
      </c>
      <c r="I544" s="0" t="n">
        <v>6822517</v>
      </c>
      <c r="J544" s="0" t="s">
        <v>3640</v>
      </c>
      <c r="M544" s="0" t="s">
        <v>2761</v>
      </c>
      <c r="N544" s="0" t="s">
        <v>235</v>
      </c>
      <c r="Q544" s="0" t="n">
        <v>95</v>
      </c>
      <c r="R544" s="0" t="n">
        <v>95</v>
      </c>
      <c r="U544" s="0" t="s">
        <v>3691</v>
      </c>
      <c r="V544" s="0" t="s">
        <v>3691</v>
      </c>
      <c r="Y544" s="0" t="s">
        <v>3071</v>
      </c>
      <c r="Z544" s="0" t="s">
        <v>3072</v>
      </c>
      <c r="AA544" s="0" t="s">
        <v>3652</v>
      </c>
      <c r="AC544" s="0" t="s">
        <v>3643</v>
      </c>
    </row>
    <row r="545" customFormat="false" ht="15" hidden="false" customHeight="false" outlineLevel="0" collapsed="false">
      <c r="A545" s="0" t="s">
        <v>3790</v>
      </c>
      <c r="B545" s="0" t="s">
        <v>222</v>
      </c>
      <c r="C545" s="0" t="s">
        <v>3477</v>
      </c>
      <c r="D545" s="0" t="n">
        <v>2021</v>
      </c>
      <c r="E545" s="0" t="s">
        <v>57</v>
      </c>
      <c r="F545" s="0" t="n">
        <v>1049775</v>
      </c>
      <c r="G545" s="0" t="s">
        <v>3101</v>
      </c>
      <c r="H545" s="0" t="s">
        <v>3068</v>
      </c>
      <c r="I545" s="0" t="n">
        <v>1049775</v>
      </c>
      <c r="J545" s="0" t="s">
        <v>3640</v>
      </c>
      <c r="M545" s="0" t="s">
        <v>2761</v>
      </c>
      <c r="N545" s="0" t="s">
        <v>235</v>
      </c>
      <c r="Q545" s="0" t="n">
        <v>95</v>
      </c>
      <c r="R545" s="0" t="n">
        <v>95</v>
      </c>
      <c r="U545" s="0" t="s">
        <v>3691</v>
      </c>
      <c r="V545" s="0" t="s">
        <v>3691</v>
      </c>
      <c r="Y545" s="0" t="s">
        <v>3071</v>
      </c>
      <c r="Z545" s="0" t="s">
        <v>3072</v>
      </c>
      <c r="AA545" s="0" t="s">
        <v>3652</v>
      </c>
      <c r="AC545" s="0" t="s">
        <v>3643</v>
      </c>
    </row>
    <row r="546" customFormat="false" ht="15" hidden="false" customHeight="false" outlineLevel="0" collapsed="false">
      <c r="A546" s="0" t="s">
        <v>3791</v>
      </c>
      <c r="B546" s="0" t="s">
        <v>222</v>
      </c>
      <c r="C546" s="0" t="s">
        <v>3477</v>
      </c>
      <c r="D546" s="0" t="n">
        <v>2021</v>
      </c>
      <c r="E546" s="0" t="s">
        <v>62</v>
      </c>
      <c r="F546" s="0" t="n">
        <v>3099452</v>
      </c>
      <c r="G546" s="0" t="s">
        <v>3101</v>
      </c>
      <c r="H546" s="0" t="s">
        <v>3068</v>
      </c>
      <c r="I546" s="0" t="n">
        <v>3099452</v>
      </c>
      <c r="J546" s="0" t="s">
        <v>3640</v>
      </c>
      <c r="M546" s="0" t="s">
        <v>2761</v>
      </c>
      <c r="N546" s="0" t="s">
        <v>235</v>
      </c>
      <c r="Q546" s="0" t="n">
        <v>95</v>
      </c>
      <c r="R546" s="0" t="n">
        <v>95</v>
      </c>
      <c r="U546" s="0" t="s">
        <v>3691</v>
      </c>
      <c r="V546" s="0" t="s">
        <v>3691</v>
      </c>
      <c r="Y546" s="0" t="s">
        <v>3071</v>
      </c>
      <c r="Z546" s="0" t="s">
        <v>3072</v>
      </c>
      <c r="AA546" s="0" t="s">
        <v>3652</v>
      </c>
      <c r="AC546" s="0" t="s">
        <v>3643</v>
      </c>
    </row>
    <row r="547" customFormat="false" ht="15" hidden="false" customHeight="false" outlineLevel="0" collapsed="false">
      <c r="A547" s="0" t="s">
        <v>3792</v>
      </c>
      <c r="B547" s="0" t="s">
        <v>222</v>
      </c>
      <c r="C547" s="0" t="s">
        <v>3477</v>
      </c>
      <c r="D547" s="0" t="n">
        <v>2022</v>
      </c>
      <c r="E547" s="0" t="s">
        <v>58</v>
      </c>
      <c r="F547" s="0" t="n">
        <v>1279758</v>
      </c>
      <c r="G547" s="0" t="s">
        <v>3101</v>
      </c>
      <c r="H547" s="0" t="s">
        <v>3068</v>
      </c>
      <c r="I547" s="0" t="n">
        <v>1279758</v>
      </c>
      <c r="J547" s="0" t="s">
        <v>3640</v>
      </c>
      <c r="M547" s="0" t="s">
        <v>2761</v>
      </c>
      <c r="N547" s="0" t="s">
        <v>235</v>
      </c>
      <c r="Q547" s="0" t="n">
        <v>99</v>
      </c>
      <c r="R547" s="0" t="n">
        <v>99</v>
      </c>
      <c r="U547" s="0" t="s">
        <v>3686</v>
      </c>
      <c r="V547" s="0" t="s">
        <v>3686</v>
      </c>
      <c r="Y547" s="0" t="s">
        <v>3071</v>
      </c>
      <c r="Z547" s="0" t="s">
        <v>3072</v>
      </c>
      <c r="AA547" s="0" t="s">
        <v>3652</v>
      </c>
      <c r="AC547" s="0" t="s">
        <v>3643</v>
      </c>
    </row>
    <row r="548" customFormat="false" ht="15" hidden="false" customHeight="false" outlineLevel="0" collapsed="false">
      <c r="A548" s="0" t="s">
        <v>3793</v>
      </c>
      <c r="B548" s="0" t="s">
        <v>222</v>
      </c>
      <c r="C548" s="0" t="s">
        <v>3477</v>
      </c>
      <c r="D548" s="0" t="n">
        <v>2021</v>
      </c>
      <c r="E548" s="0" t="s">
        <v>58</v>
      </c>
      <c r="F548" s="0" t="n">
        <v>457857</v>
      </c>
      <c r="G548" s="0" t="s">
        <v>3101</v>
      </c>
      <c r="H548" s="0" t="s">
        <v>3068</v>
      </c>
      <c r="I548" s="0" t="n">
        <v>457857</v>
      </c>
      <c r="J548" s="0" t="s">
        <v>3640</v>
      </c>
      <c r="M548" s="0" t="s">
        <v>2761</v>
      </c>
      <c r="N548" s="0" t="s">
        <v>235</v>
      </c>
      <c r="Q548" s="0" t="n">
        <v>99</v>
      </c>
      <c r="R548" s="0" t="n">
        <v>99</v>
      </c>
      <c r="U548" s="0" t="s">
        <v>3691</v>
      </c>
      <c r="V548" s="0" t="s">
        <v>3691</v>
      </c>
      <c r="Y548" s="0" t="s">
        <v>3071</v>
      </c>
      <c r="Z548" s="0" t="s">
        <v>3072</v>
      </c>
      <c r="AA548" s="0" t="s">
        <v>3652</v>
      </c>
      <c r="AC548" s="0" t="s">
        <v>3643</v>
      </c>
    </row>
    <row r="549" customFormat="false" ht="15" hidden="false" customHeight="false" outlineLevel="0" collapsed="false">
      <c r="A549" s="0" t="s">
        <v>3794</v>
      </c>
      <c r="B549" s="0" t="s">
        <v>222</v>
      </c>
      <c r="C549" s="0" t="s">
        <v>3477</v>
      </c>
      <c r="D549" s="0" t="n">
        <v>2022</v>
      </c>
      <c r="E549" s="0" t="s">
        <v>60</v>
      </c>
      <c r="F549" s="0" t="n">
        <v>3838805</v>
      </c>
      <c r="G549" s="0" t="s">
        <v>3101</v>
      </c>
      <c r="H549" s="0" t="s">
        <v>3068</v>
      </c>
      <c r="I549" s="0" t="n">
        <v>3838805</v>
      </c>
      <c r="J549" s="0" t="s">
        <v>3640</v>
      </c>
      <c r="M549" s="0" t="s">
        <v>2761</v>
      </c>
      <c r="N549" s="0" t="s">
        <v>235</v>
      </c>
      <c r="Q549" s="0" t="n">
        <v>204</v>
      </c>
      <c r="R549" s="0" t="n">
        <v>204</v>
      </c>
      <c r="U549" s="0" t="s">
        <v>3686</v>
      </c>
      <c r="V549" s="0" t="s">
        <v>3686</v>
      </c>
      <c r="Y549" s="0" t="s">
        <v>3071</v>
      </c>
      <c r="Z549" s="0" t="s">
        <v>3072</v>
      </c>
      <c r="AA549" s="0" t="s">
        <v>3652</v>
      </c>
      <c r="AC549" s="0" t="s">
        <v>3643</v>
      </c>
    </row>
    <row r="550" customFormat="false" ht="15" hidden="false" customHeight="false" outlineLevel="0" collapsed="false">
      <c r="A550" s="0" t="s">
        <v>3795</v>
      </c>
      <c r="B550" s="0" t="s">
        <v>222</v>
      </c>
      <c r="C550" s="0" t="s">
        <v>3477</v>
      </c>
      <c r="D550" s="0" t="n">
        <v>2022</v>
      </c>
      <c r="E550" s="0" t="s">
        <v>61</v>
      </c>
      <c r="F550" s="0" t="n">
        <v>103129</v>
      </c>
      <c r="G550" s="0" t="s">
        <v>3101</v>
      </c>
      <c r="H550" s="0" t="s">
        <v>3068</v>
      </c>
      <c r="I550" s="0" t="n">
        <v>103129</v>
      </c>
      <c r="J550" s="0" t="s">
        <v>3640</v>
      </c>
      <c r="M550" s="0" t="s">
        <v>2761</v>
      </c>
      <c r="N550" s="0" t="s">
        <v>235</v>
      </c>
      <c r="Q550" s="0" t="n">
        <v>204</v>
      </c>
      <c r="R550" s="0" t="n">
        <v>204</v>
      </c>
      <c r="U550" s="0" t="s">
        <v>3686</v>
      </c>
      <c r="V550" s="0" t="s">
        <v>3686</v>
      </c>
      <c r="Y550" s="0" t="s">
        <v>3071</v>
      </c>
      <c r="Z550" s="0" t="s">
        <v>3072</v>
      </c>
      <c r="AA550" s="0" t="s">
        <v>3652</v>
      </c>
      <c r="AC550" s="0" t="s">
        <v>3643</v>
      </c>
    </row>
    <row r="551" customFormat="false" ht="15" hidden="false" customHeight="false" outlineLevel="0" collapsed="false">
      <c r="A551" s="0" t="s">
        <v>3796</v>
      </c>
      <c r="B551" s="0" t="s">
        <v>222</v>
      </c>
      <c r="C551" s="0" t="s">
        <v>3477</v>
      </c>
      <c r="D551" s="0" t="n">
        <v>2021</v>
      </c>
      <c r="E551" s="0" t="s">
        <v>60</v>
      </c>
      <c r="F551" s="0" t="n">
        <v>3237973</v>
      </c>
      <c r="G551" s="0" t="s">
        <v>3101</v>
      </c>
      <c r="H551" s="0" t="s">
        <v>3068</v>
      </c>
      <c r="I551" s="0" t="n">
        <v>3237973</v>
      </c>
      <c r="J551" s="0" t="s">
        <v>3640</v>
      </c>
      <c r="M551" s="0" t="s">
        <v>2761</v>
      </c>
      <c r="N551" s="0" t="s">
        <v>235</v>
      </c>
      <c r="Q551" s="0" t="n">
        <v>204</v>
      </c>
      <c r="R551" s="0" t="n">
        <v>204</v>
      </c>
      <c r="U551" s="0" t="s">
        <v>3691</v>
      </c>
      <c r="V551" s="0" t="s">
        <v>3691</v>
      </c>
      <c r="Y551" s="0" t="s">
        <v>3071</v>
      </c>
      <c r="Z551" s="0" t="s">
        <v>3072</v>
      </c>
      <c r="AA551" s="0" t="s">
        <v>3652</v>
      </c>
      <c r="AC551" s="0" t="s">
        <v>3643</v>
      </c>
    </row>
    <row r="552" customFormat="false" ht="15" hidden="false" customHeight="false" outlineLevel="0" collapsed="false">
      <c r="A552" s="0" t="s">
        <v>3797</v>
      </c>
      <c r="B552" s="0" t="s">
        <v>222</v>
      </c>
      <c r="C552" s="0" t="s">
        <v>3477</v>
      </c>
      <c r="D552" s="0" t="n">
        <v>2021</v>
      </c>
      <c r="E552" s="0" t="s">
        <v>61</v>
      </c>
      <c r="F552" s="0" t="n">
        <v>138521</v>
      </c>
      <c r="G552" s="0" t="s">
        <v>3101</v>
      </c>
      <c r="H552" s="0" t="s">
        <v>3068</v>
      </c>
      <c r="I552" s="0" t="n">
        <v>138521</v>
      </c>
      <c r="J552" s="0" t="s">
        <v>3640</v>
      </c>
      <c r="M552" s="0" t="s">
        <v>2761</v>
      </c>
      <c r="N552" s="0" t="s">
        <v>235</v>
      </c>
      <c r="Q552" s="0" t="n">
        <v>204</v>
      </c>
      <c r="R552" s="0" t="n">
        <v>204</v>
      </c>
      <c r="U552" s="0" t="s">
        <v>3691</v>
      </c>
      <c r="V552" s="0" t="s">
        <v>3691</v>
      </c>
      <c r="Y552" s="0" t="s">
        <v>3071</v>
      </c>
      <c r="Z552" s="0" t="s">
        <v>3072</v>
      </c>
      <c r="AA552" s="0" t="s">
        <v>3652</v>
      </c>
      <c r="AC552" s="0" t="s">
        <v>3643</v>
      </c>
    </row>
    <row r="553" customFormat="false" ht="15" hidden="false" customHeight="false" outlineLevel="0" collapsed="false">
      <c r="A553" s="0" t="s">
        <v>3798</v>
      </c>
      <c r="B553" s="0" t="s">
        <v>211</v>
      </c>
      <c r="C553" s="0" t="s">
        <v>3282</v>
      </c>
      <c r="D553" s="0" t="n">
        <v>2020</v>
      </c>
      <c r="E553" s="0" t="s">
        <v>54</v>
      </c>
      <c r="F553" s="0" t="n">
        <v>4592217</v>
      </c>
      <c r="G553" s="0" t="s">
        <v>3067</v>
      </c>
      <c r="H553" s="0" t="s">
        <v>3068</v>
      </c>
      <c r="I553" s="0" t="n">
        <v>4592.217</v>
      </c>
      <c r="J553" s="0" t="s">
        <v>3640</v>
      </c>
      <c r="M553" s="0" t="s">
        <v>2751</v>
      </c>
      <c r="N553" s="0" t="s">
        <v>218</v>
      </c>
      <c r="Q553" s="0" t="n">
        <v>33</v>
      </c>
      <c r="R553" s="0" t="n">
        <v>29</v>
      </c>
      <c r="U553" s="0" t="s">
        <v>3665</v>
      </c>
      <c r="V553" s="0" t="s">
        <v>3665</v>
      </c>
      <c r="Y553" s="0" t="s">
        <v>3071</v>
      </c>
      <c r="Z553" s="0" t="s">
        <v>3072</v>
      </c>
      <c r="AA553" s="0" t="s">
        <v>3652</v>
      </c>
      <c r="AC553" s="0" t="s">
        <v>3643</v>
      </c>
    </row>
    <row r="554" customFormat="false" ht="15" hidden="false" customHeight="false" outlineLevel="0" collapsed="false">
      <c r="A554" s="0" t="s">
        <v>3799</v>
      </c>
      <c r="B554" s="0" t="s">
        <v>211</v>
      </c>
      <c r="C554" s="0" t="s">
        <v>3282</v>
      </c>
      <c r="D554" s="0" t="n">
        <v>2020</v>
      </c>
      <c r="E554" s="0" t="s">
        <v>541</v>
      </c>
      <c r="F554" s="0" t="n">
        <v>5946523</v>
      </c>
      <c r="G554" s="0" t="s">
        <v>3067</v>
      </c>
      <c r="H554" s="0" t="s">
        <v>3068</v>
      </c>
      <c r="I554" s="0" t="n">
        <v>5946.523</v>
      </c>
      <c r="J554" s="0" t="s">
        <v>3640</v>
      </c>
      <c r="M554" s="0" t="s">
        <v>2751</v>
      </c>
      <c r="N554" s="0" t="s">
        <v>218</v>
      </c>
      <c r="Q554" s="0" t="n">
        <v>33</v>
      </c>
      <c r="R554" s="0" t="n">
        <v>29</v>
      </c>
      <c r="U554" s="0" t="s">
        <v>3665</v>
      </c>
      <c r="V554" s="0" t="s">
        <v>3665</v>
      </c>
      <c r="Y554" s="0" t="s">
        <v>3071</v>
      </c>
      <c r="Z554" s="0" t="s">
        <v>3072</v>
      </c>
      <c r="AA554" s="0" t="s">
        <v>3652</v>
      </c>
      <c r="AC554" s="0" t="s">
        <v>3643</v>
      </c>
    </row>
    <row r="555" customFormat="false" ht="15" hidden="false" customHeight="false" outlineLevel="0" collapsed="false">
      <c r="A555" s="0" t="s">
        <v>3800</v>
      </c>
      <c r="B555" s="0" t="s">
        <v>211</v>
      </c>
      <c r="C555" s="0" t="s">
        <v>3282</v>
      </c>
      <c r="D555" s="0" t="n">
        <v>2020</v>
      </c>
      <c r="E555" s="0" t="s">
        <v>63</v>
      </c>
      <c r="F555" s="0" t="n">
        <v>5635165</v>
      </c>
      <c r="G555" s="0" t="s">
        <v>3067</v>
      </c>
      <c r="H555" s="0" t="s">
        <v>3068</v>
      </c>
      <c r="I555" s="0" t="n">
        <v>5635.165</v>
      </c>
      <c r="J555" s="0" t="s">
        <v>3640</v>
      </c>
      <c r="M555" s="0" t="s">
        <v>2751</v>
      </c>
      <c r="N555" s="0" t="s">
        <v>218</v>
      </c>
      <c r="Q555" s="0" t="n">
        <v>33</v>
      </c>
      <c r="R555" s="0" t="n">
        <v>29</v>
      </c>
      <c r="U555" s="0" t="s">
        <v>3665</v>
      </c>
      <c r="V555" s="0" t="s">
        <v>3665</v>
      </c>
      <c r="Y555" s="0" t="s">
        <v>3071</v>
      </c>
      <c r="Z555" s="0" t="s">
        <v>3072</v>
      </c>
      <c r="AA555" s="0" t="s">
        <v>3652</v>
      </c>
      <c r="AC555" s="0" t="s">
        <v>3643</v>
      </c>
    </row>
    <row r="556" customFormat="false" ht="15" hidden="false" customHeight="false" outlineLevel="0" collapsed="false">
      <c r="A556" s="0" t="s">
        <v>3801</v>
      </c>
      <c r="B556" s="0" t="s">
        <v>211</v>
      </c>
      <c r="C556" s="0" t="s">
        <v>3282</v>
      </c>
      <c r="D556" s="0" t="n">
        <v>2019</v>
      </c>
      <c r="E556" s="0" t="s">
        <v>54</v>
      </c>
      <c r="F556" s="0" t="n">
        <v>5210748</v>
      </c>
      <c r="G556" s="0" t="s">
        <v>3067</v>
      </c>
      <c r="H556" s="0" t="s">
        <v>3068</v>
      </c>
      <c r="I556" s="0" t="n">
        <v>5210.748</v>
      </c>
      <c r="J556" s="0" t="s">
        <v>3640</v>
      </c>
      <c r="M556" s="0" t="s">
        <v>2751</v>
      </c>
      <c r="N556" s="0" t="s">
        <v>218</v>
      </c>
      <c r="Q556" s="0" t="n">
        <v>33</v>
      </c>
      <c r="R556" s="0" t="n">
        <v>29</v>
      </c>
      <c r="U556" s="0" t="s">
        <v>3671</v>
      </c>
      <c r="V556" s="0" t="s">
        <v>3671</v>
      </c>
      <c r="Y556" s="0" t="s">
        <v>3071</v>
      </c>
      <c r="Z556" s="0" t="s">
        <v>3072</v>
      </c>
      <c r="AA556" s="0" t="s">
        <v>3652</v>
      </c>
      <c r="AC556" s="0" t="s">
        <v>3643</v>
      </c>
    </row>
    <row r="557" customFormat="false" ht="15" hidden="false" customHeight="false" outlineLevel="0" collapsed="false">
      <c r="A557" s="0" t="s">
        <v>3802</v>
      </c>
      <c r="B557" s="0" t="s">
        <v>211</v>
      </c>
      <c r="C557" s="0" t="s">
        <v>3282</v>
      </c>
      <c r="D557" s="0" t="n">
        <v>2019</v>
      </c>
      <c r="E557" s="0" t="s">
        <v>541</v>
      </c>
      <c r="F557" s="0" t="n">
        <v>6770828</v>
      </c>
      <c r="G557" s="0" t="s">
        <v>3067</v>
      </c>
      <c r="H557" s="0" t="s">
        <v>3068</v>
      </c>
      <c r="I557" s="0" t="n">
        <v>6770.828</v>
      </c>
      <c r="J557" s="0" t="s">
        <v>3640</v>
      </c>
      <c r="M557" s="0" t="s">
        <v>2751</v>
      </c>
      <c r="N557" s="0" t="s">
        <v>218</v>
      </c>
      <c r="Q557" s="0" t="n">
        <v>33</v>
      </c>
      <c r="R557" s="0" t="n">
        <v>29</v>
      </c>
      <c r="U557" s="0" t="s">
        <v>3671</v>
      </c>
      <c r="V557" s="0" t="s">
        <v>3671</v>
      </c>
      <c r="Y557" s="0" t="s">
        <v>3071</v>
      </c>
      <c r="Z557" s="0" t="s">
        <v>3072</v>
      </c>
      <c r="AA557" s="0" t="s">
        <v>3652</v>
      </c>
      <c r="AC557" s="0" t="s">
        <v>3643</v>
      </c>
    </row>
    <row r="558" customFormat="false" ht="15" hidden="false" customHeight="false" outlineLevel="0" collapsed="false">
      <c r="A558" s="0" t="s">
        <v>3803</v>
      </c>
      <c r="B558" s="0" t="s">
        <v>211</v>
      </c>
      <c r="C558" s="0" t="s">
        <v>3282</v>
      </c>
      <c r="D558" s="0" t="n">
        <v>2019</v>
      </c>
      <c r="E558" s="0" t="s">
        <v>63</v>
      </c>
      <c r="F558" s="0" t="n">
        <v>6130600</v>
      </c>
      <c r="G558" s="0" t="s">
        <v>3067</v>
      </c>
      <c r="H558" s="0" t="s">
        <v>3068</v>
      </c>
      <c r="I558" s="0" t="n">
        <v>6130.6</v>
      </c>
      <c r="J558" s="0" t="s">
        <v>3640</v>
      </c>
      <c r="M558" s="0" t="s">
        <v>2751</v>
      </c>
      <c r="N558" s="0" t="s">
        <v>218</v>
      </c>
      <c r="Q558" s="0" t="n">
        <v>33</v>
      </c>
      <c r="R558" s="0" t="n">
        <v>29</v>
      </c>
      <c r="U558" s="0" t="s">
        <v>3671</v>
      </c>
      <c r="V558" s="0" t="s">
        <v>3671</v>
      </c>
      <c r="Y558" s="0" t="s">
        <v>3071</v>
      </c>
      <c r="Z558" s="0" t="s">
        <v>3072</v>
      </c>
      <c r="AA558" s="0" t="s">
        <v>3652</v>
      </c>
      <c r="AC558" s="0" t="s">
        <v>3643</v>
      </c>
    </row>
    <row r="559" customFormat="false" ht="15" hidden="false" customHeight="false" outlineLevel="0" collapsed="false">
      <c r="A559" s="0" t="s">
        <v>3804</v>
      </c>
      <c r="B559" s="0" t="s">
        <v>211</v>
      </c>
      <c r="C559" s="0" t="s">
        <v>3282</v>
      </c>
      <c r="D559" s="0" t="n">
        <v>2020</v>
      </c>
      <c r="E559" s="0" t="s">
        <v>55</v>
      </c>
      <c r="F559" s="0" t="n">
        <v>968582084</v>
      </c>
      <c r="G559" s="0" t="s">
        <v>3067</v>
      </c>
      <c r="H559" s="0" t="s">
        <v>3068</v>
      </c>
      <c r="I559" s="0" t="n">
        <v>968582.084</v>
      </c>
      <c r="J559" s="0" t="s">
        <v>3640</v>
      </c>
      <c r="M559" s="0" t="s">
        <v>2751</v>
      </c>
      <c r="N559" s="0" t="s">
        <v>218</v>
      </c>
      <c r="Q559" s="0" t="n">
        <v>34</v>
      </c>
      <c r="R559" s="0" t="n">
        <v>30</v>
      </c>
      <c r="U559" s="0" t="s">
        <v>3665</v>
      </c>
      <c r="V559" s="0" t="s">
        <v>3665</v>
      </c>
      <c r="Y559" s="0" t="s">
        <v>3071</v>
      </c>
      <c r="Z559" s="0" t="s">
        <v>3072</v>
      </c>
      <c r="AA559" s="0" t="s">
        <v>3652</v>
      </c>
      <c r="AC559" s="0" t="s">
        <v>3643</v>
      </c>
    </row>
    <row r="560" customFormat="false" ht="15" hidden="false" customHeight="false" outlineLevel="0" collapsed="false">
      <c r="A560" s="0" t="s">
        <v>3805</v>
      </c>
      <c r="B560" s="0" t="s">
        <v>211</v>
      </c>
      <c r="C560" s="0" t="s">
        <v>3282</v>
      </c>
      <c r="D560" s="0" t="n">
        <v>2020</v>
      </c>
      <c r="E560" s="0" t="s">
        <v>56</v>
      </c>
      <c r="F560" s="0" t="n">
        <v>909229251</v>
      </c>
      <c r="G560" s="0" t="s">
        <v>3067</v>
      </c>
      <c r="H560" s="0" t="s">
        <v>3068</v>
      </c>
      <c r="I560" s="0" t="n">
        <v>909229.251</v>
      </c>
      <c r="J560" s="0" t="s">
        <v>3640</v>
      </c>
      <c r="M560" s="0" t="s">
        <v>2751</v>
      </c>
      <c r="N560" s="0" t="s">
        <v>218</v>
      </c>
      <c r="Q560" s="0" t="n">
        <v>34</v>
      </c>
      <c r="R560" s="0" t="n">
        <v>30</v>
      </c>
      <c r="U560" s="0" t="s">
        <v>3665</v>
      </c>
      <c r="V560" s="0" t="s">
        <v>3665</v>
      </c>
      <c r="Y560" s="0" t="s">
        <v>3071</v>
      </c>
      <c r="Z560" s="0" t="s">
        <v>3072</v>
      </c>
      <c r="AA560" s="0" t="s">
        <v>3652</v>
      </c>
      <c r="AC560" s="0" t="s">
        <v>3643</v>
      </c>
    </row>
    <row r="561" customFormat="false" ht="15" hidden="false" customHeight="false" outlineLevel="0" collapsed="false">
      <c r="A561" s="0" t="s">
        <v>3806</v>
      </c>
      <c r="B561" s="0" t="s">
        <v>211</v>
      </c>
      <c r="C561" s="0" t="s">
        <v>3282</v>
      </c>
      <c r="D561" s="0" t="n">
        <v>2020</v>
      </c>
      <c r="E561" s="0" t="s">
        <v>57</v>
      </c>
      <c r="F561" s="0" t="n">
        <v>59352833</v>
      </c>
      <c r="G561" s="0" t="s">
        <v>3067</v>
      </c>
      <c r="H561" s="0" t="s">
        <v>3068</v>
      </c>
      <c r="I561" s="0" t="n">
        <v>59352.833</v>
      </c>
      <c r="J561" s="0" t="s">
        <v>3640</v>
      </c>
      <c r="M561" s="0" t="s">
        <v>2751</v>
      </c>
      <c r="N561" s="0" t="s">
        <v>218</v>
      </c>
      <c r="Q561" s="0" t="n">
        <v>34</v>
      </c>
      <c r="R561" s="0" t="n">
        <v>30</v>
      </c>
      <c r="U561" s="0" t="s">
        <v>3665</v>
      </c>
      <c r="V561" s="0" t="s">
        <v>3665</v>
      </c>
      <c r="Y561" s="0" t="s">
        <v>3071</v>
      </c>
      <c r="Z561" s="0" t="s">
        <v>3072</v>
      </c>
      <c r="AA561" s="0" t="s">
        <v>3652</v>
      </c>
      <c r="AC561" s="0" t="s">
        <v>3643</v>
      </c>
    </row>
    <row r="562" customFormat="false" ht="15" hidden="false" customHeight="false" outlineLevel="0" collapsed="false">
      <c r="A562" s="0" t="s">
        <v>3807</v>
      </c>
      <c r="B562" s="0" t="s">
        <v>211</v>
      </c>
      <c r="C562" s="0" t="s">
        <v>3282</v>
      </c>
      <c r="D562" s="0" t="n">
        <v>2020</v>
      </c>
      <c r="E562" s="0" t="s">
        <v>62</v>
      </c>
      <c r="F562" s="0" t="n">
        <v>360076079</v>
      </c>
      <c r="G562" s="0" t="s">
        <v>3067</v>
      </c>
      <c r="H562" s="0" t="s">
        <v>3068</v>
      </c>
      <c r="I562" s="0" t="n">
        <v>360076.079</v>
      </c>
      <c r="J562" s="0" t="s">
        <v>3640</v>
      </c>
      <c r="M562" s="0" t="s">
        <v>2751</v>
      </c>
      <c r="N562" s="0" t="s">
        <v>218</v>
      </c>
      <c r="Q562" s="0" t="n">
        <v>34</v>
      </c>
      <c r="R562" s="0" t="n">
        <v>30</v>
      </c>
      <c r="U562" s="0" t="s">
        <v>3665</v>
      </c>
      <c r="V562" s="0" t="s">
        <v>3665</v>
      </c>
      <c r="Y562" s="0" t="s">
        <v>3071</v>
      </c>
      <c r="Z562" s="0" t="s">
        <v>3072</v>
      </c>
      <c r="AA562" s="0" t="s">
        <v>3652</v>
      </c>
      <c r="AC562" s="0" t="s">
        <v>3643</v>
      </c>
    </row>
    <row r="563" customFormat="false" ht="15" hidden="false" customHeight="false" outlineLevel="0" collapsed="false">
      <c r="A563" s="0" t="s">
        <v>3808</v>
      </c>
      <c r="B563" s="0" t="s">
        <v>211</v>
      </c>
      <c r="C563" s="0" t="s">
        <v>3282</v>
      </c>
      <c r="D563" s="0" t="n">
        <v>2019</v>
      </c>
      <c r="E563" s="0" t="s">
        <v>55</v>
      </c>
      <c r="F563" s="0" t="n">
        <v>704955604</v>
      </c>
      <c r="G563" s="0" t="s">
        <v>3067</v>
      </c>
      <c r="H563" s="0" t="s">
        <v>3068</v>
      </c>
      <c r="I563" s="0" t="n">
        <v>704955.604</v>
      </c>
      <c r="J563" s="0" t="s">
        <v>3640</v>
      </c>
      <c r="M563" s="0" t="s">
        <v>2751</v>
      </c>
      <c r="N563" s="0" t="s">
        <v>218</v>
      </c>
      <c r="Q563" s="0" t="n">
        <v>34</v>
      </c>
      <c r="R563" s="0" t="n">
        <v>30</v>
      </c>
      <c r="U563" s="0" t="s">
        <v>3671</v>
      </c>
      <c r="V563" s="0" t="s">
        <v>3671</v>
      </c>
      <c r="Y563" s="0" t="s">
        <v>3071</v>
      </c>
      <c r="Z563" s="0" t="s">
        <v>3072</v>
      </c>
      <c r="AA563" s="0" t="s">
        <v>3652</v>
      </c>
      <c r="AC563" s="0" t="s">
        <v>3643</v>
      </c>
    </row>
    <row r="564" customFormat="false" ht="15" hidden="false" customHeight="false" outlineLevel="0" collapsed="false">
      <c r="A564" s="0" t="s">
        <v>3809</v>
      </c>
      <c r="B564" s="0" t="s">
        <v>211</v>
      </c>
      <c r="C564" s="0" t="s">
        <v>3282</v>
      </c>
      <c r="D564" s="0" t="n">
        <v>2019</v>
      </c>
      <c r="E564" s="0" t="s">
        <v>56</v>
      </c>
      <c r="F564" s="0" t="n">
        <v>649598753</v>
      </c>
      <c r="G564" s="0" t="s">
        <v>3067</v>
      </c>
      <c r="H564" s="0" t="s">
        <v>3068</v>
      </c>
      <c r="I564" s="0" t="n">
        <v>649598.753</v>
      </c>
      <c r="J564" s="0" t="s">
        <v>3640</v>
      </c>
      <c r="M564" s="0" t="s">
        <v>2751</v>
      </c>
      <c r="N564" s="0" t="s">
        <v>218</v>
      </c>
      <c r="Q564" s="0" t="n">
        <v>34</v>
      </c>
      <c r="R564" s="0" t="n">
        <v>30</v>
      </c>
      <c r="U564" s="0" t="s">
        <v>3671</v>
      </c>
      <c r="V564" s="0" t="s">
        <v>3671</v>
      </c>
      <c r="Y564" s="0" t="s">
        <v>3071</v>
      </c>
      <c r="Z564" s="0" t="s">
        <v>3072</v>
      </c>
      <c r="AA564" s="0" t="s">
        <v>3652</v>
      </c>
      <c r="AC564" s="0" t="s">
        <v>3643</v>
      </c>
    </row>
    <row r="565" customFormat="false" ht="15" hidden="false" customHeight="false" outlineLevel="0" collapsed="false">
      <c r="A565" s="0" t="s">
        <v>3810</v>
      </c>
      <c r="B565" s="0" t="s">
        <v>211</v>
      </c>
      <c r="C565" s="0" t="s">
        <v>3282</v>
      </c>
      <c r="D565" s="0" t="n">
        <v>2019</v>
      </c>
      <c r="E565" s="0" t="s">
        <v>57</v>
      </c>
      <c r="F565" s="0" t="n">
        <v>55356851</v>
      </c>
      <c r="G565" s="0" t="s">
        <v>3067</v>
      </c>
      <c r="H565" s="0" t="s">
        <v>3068</v>
      </c>
      <c r="I565" s="0" t="n">
        <v>55356.851</v>
      </c>
      <c r="J565" s="0" t="s">
        <v>3640</v>
      </c>
      <c r="M565" s="0" t="s">
        <v>2751</v>
      </c>
      <c r="N565" s="0" t="s">
        <v>218</v>
      </c>
      <c r="Q565" s="0" t="n">
        <v>34</v>
      </c>
      <c r="R565" s="0" t="n">
        <v>30</v>
      </c>
      <c r="U565" s="0" t="s">
        <v>3671</v>
      </c>
      <c r="V565" s="0" t="s">
        <v>3671</v>
      </c>
      <c r="Y565" s="0" t="s">
        <v>3071</v>
      </c>
      <c r="Z565" s="0" t="s">
        <v>3072</v>
      </c>
      <c r="AA565" s="0" t="s">
        <v>3652</v>
      </c>
      <c r="AC565" s="0" t="s">
        <v>3643</v>
      </c>
    </row>
    <row r="566" customFormat="false" ht="15" hidden="false" customHeight="false" outlineLevel="0" collapsed="false">
      <c r="A566" s="0" t="s">
        <v>3811</v>
      </c>
      <c r="B566" s="0" t="s">
        <v>211</v>
      </c>
      <c r="C566" s="0" t="s">
        <v>3282</v>
      </c>
      <c r="D566" s="0" t="n">
        <v>2019</v>
      </c>
      <c r="E566" s="0" t="s">
        <v>62</v>
      </c>
      <c r="F566" s="0" t="n">
        <v>289239870</v>
      </c>
      <c r="G566" s="0" t="s">
        <v>3067</v>
      </c>
      <c r="H566" s="0" t="s">
        <v>3068</v>
      </c>
      <c r="I566" s="0" t="n">
        <v>289239.87</v>
      </c>
      <c r="J566" s="0" t="s">
        <v>3640</v>
      </c>
      <c r="M566" s="0" t="s">
        <v>2751</v>
      </c>
      <c r="N566" s="0" t="s">
        <v>218</v>
      </c>
      <c r="Q566" s="0" t="n">
        <v>34</v>
      </c>
      <c r="R566" s="0" t="n">
        <v>30</v>
      </c>
      <c r="U566" s="0" t="s">
        <v>3671</v>
      </c>
      <c r="V566" s="0" t="s">
        <v>3671</v>
      </c>
      <c r="Y566" s="0" t="s">
        <v>3071</v>
      </c>
      <c r="Z566" s="0" t="s">
        <v>3072</v>
      </c>
      <c r="AA566" s="0" t="s">
        <v>3652</v>
      </c>
      <c r="AC566" s="0" t="s">
        <v>3643</v>
      </c>
    </row>
    <row r="567" customFormat="false" ht="15" hidden="false" customHeight="false" outlineLevel="0" collapsed="false">
      <c r="A567" s="0" t="s">
        <v>3812</v>
      </c>
      <c r="B567" s="0" t="s">
        <v>211</v>
      </c>
      <c r="C567" s="0" t="s">
        <v>3282</v>
      </c>
      <c r="D567" s="0" t="n">
        <v>2020</v>
      </c>
      <c r="E567" s="0" t="s">
        <v>58</v>
      </c>
      <c r="F567" s="0" t="n">
        <v>46804348</v>
      </c>
      <c r="G567" s="0" t="s">
        <v>3067</v>
      </c>
      <c r="H567" s="0" t="s">
        <v>3068</v>
      </c>
      <c r="I567" s="0" t="n">
        <v>46804.348</v>
      </c>
      <c r="J567" s="0" t="s">
        <v>3640</v>
      </c>
      <c r="M567" s="0" t="s">
        <v>2751</v>
      </c>
      <c r="N567" s="0" t="s">
        <v>218</v>
      </c>
      <c r="Q567" s="0" t="n">
        <v>38</v>
      </c>
      <c r="R567" s="0" t="n">
        <v>34</v>
      </c>
      <c r="U567" s="0" t="s">
        <v>3665</v>
      </c>
      <c r="V567" s="0" t="s">
        <v>3665</v>
      </c>
      <c r="Y567" s="0" t="s">
        <v>3071</v>
      </c>
      <c r="Z567" s="0" t="s">
        <v>3072</v>
      </c>
      <c r="AA567" s="0" t="s">
        <v>3652</v>
      </c>
      <c r="AC567" s="0" t="s">
        <v>3643</v>
      </c>
    </row>
    <row r="568" customFormat="false" ht="15" hidden="false" customHeight="false" outlineLevel="0" collapsed="false">
      <c r="A568" s="0" t="s">
        <v>3813</v>
      </c>
      <c r="B568" s="0" t="s">
        <v>211</v>
      </c>
      <c r="C568" s="0" t="s">
        <v>3282</v>
      </c>
      <c r="D568" s="0" t="n">
        <v>2019</v>
      </c>
      <c r="E568" s="0" t="s">
        <v>58</v>
      </c>
      <c r="F568" s="0" t="n">
        <v>107380822</v>
      </c>
      <c r="G568" s="0" t="s">
        <v>3067</v>
      </c>
      <c r="H568" s="0" t="s">
        <v>3068</v>
      </c>
      <c r="I568" s="0" t="n">
        <v>107380.822</v>
      </c>
      <c r="J568" s="0" t="s">
        <v>3640</v>
      </c>
      <c r="M568" s="0" t="s">
        <v>2751</v>
      </c>
      <c r="N568" s="0" t="s">
        <v>218</v>
      </c>
      <c r="Q568" s="0" t="n">
        <v>38</v>
      </c>
      <c r="R568" s="0" t="n">
        <v>34</v>
      </c>
      <c r="U568" s="0" t="s">
        <v>3671</v>
      </c>
      <c r="V568" s="0" t="s">
        <v>3671</v>
      </c>
      <c r="Y568" s="0" t="s">
        <v>3071</v>
      </c>
      <c r="Z568" s="0" t="s">
        <v>3072</v>
      </c>
      <c r="AA568" s="0" t="s">
        <v>3652</v>
      </c>
      <c r="AC568" s="0" t="s">
        <v>3643</v>
      </c>
    </row>
    <row r="569" customFormat="false" ht="15" hidden="false" customHeight="false" outlineLevel="0" collapsed="false">
      <c r="A569" s="0" t="s">
        <v>3814</v>
      </c>
      <c r="B569" s="0" t="s">
        <v>211</v>
      </c>
      <c r="C569" s="0" t="s">
        <v>3282</v>
      </c>
      <c r="D569" s="0" t="n">
        <v>2022</v>
      </c>
      <c r="E569" s="0" t="s">
        <v>54</v>
      </c>
      <c r="F569" s="0" t="n">
        <v>11214027</v>
      </c>
      <c r="G569" s="0" t="s">
        <v>3067</v>
      </c>
      <c r="H569" s="0" t="s">
        <v>3068</v>
      </c>
      <c r="I569" s="0" t="n">
        <v>11214.027</v>
      </c>
      <c r="J569" s="0" t="s">
        <v>3640</v>
      </c>
      <c r="M569" s="0" t="s">
        <v>2755</v>
      </c>
      <c r="N569" s="0" t="s">
        <v>221</v>
      </c>
      <c r="Q569" s="0" t="n">
        <v>71</v>
      </c>
      <c r="R569" s="0" t="n">
        <v>153</v>
      </c>
      <c r="U569" s="0" t="s">
        <v>3815</v>
      </c>
      <c r="V569" s="0" t="s">
        <v>3815</v>
      </c>
      <c r="Y569" s="0" t="s">
        <v>3071</v>
      </c>
      <c r="Z569" s="0" t="s">
        <v>3072</v>
      </c>
      <c r="AA569" s="0" t="s">
        <v>3816</v>
      </c>
      <c r="AC569" s="0" t="s">
        <v>3643</v>
      </c>
    </row>
    <row r="570" customFormat="false" ht="15" hidden="false" customHeight="false" outlineLevel="0" collapsed="false">
      <c r="A570" s="0" t="s">
        <v>3817</v>
      </c>
      <c r="B570" s="0" t="s">
        <v>211</v>
      </c>
      <c r="C570" s="0" t="s">
        <v>3282</v>
      </c>
      <c r="D570" s="0" t="n">
        <v>2022</v>
      </c>
      <c r="E570" s="0" t="s">
        <v>541</v>
      </c>
      <c r="F570" s="0" t="n">
        <v>14746008</v>
      </c>
      <c r="G570" s="0" t="s">
        <v>3067</v>
      </c>
      <c r="H570" s="0" t="s">
        <v>3068</v>
      </c>
      <c r="I570" s="0" t="n">
        <v>14746.008</v>
      </c>
      <c r="J570" s="0" t="s">
        <v>3640</v>
      </c>
      <c r="M570" s="0" t="s">
        <v>2755</v>
      </c>
      <c r="N570" s="0" t="s">
        <v>221</v>
      </c>
      <c r="Q570" s="0" t="n">
        <v>71</v>
      </c>
      <c r="R570" s="0" t="n">
        <v>153</v>
      </c>
      <c r="U570" s="0" t="s">
        <v>3815</v>
      </c>
      <c r="V570" s="0" t="s">
        <v>3815</v>
      </c>
      <c r="Y570" s="0" t="s">
        <v>3071</v>
      </c>
      <c r="Z570" s="0" t="s">
        <v>3072</v>
      </c>
      <c r="AA570" s="0" t="s">
        <v>3816</v>
      </c>
      <c r="AC570" s="0" t="s">
        <v>3643</v>
      </c>
    </row>
    <row r="571" customFormat="false" ht="15" hidden="false" customHeight="false" outlineLevel="0" collapsed="false">
      <c r="A571" s="0" t="s">
        <v>3818</v>
      </c>
      <c r="B571" s="0" t="s">
        <v>211</v>
      </c>
      <c r="C571" s="0" t="s">
        <v>3282</v>
      </c>
      <c r="D571" s="0" t="n">
        <v>2022</v>
      </c>
      <c r="E571" s="0" t="s">
        <v>63</v>
      </c>
      <c r="F571" s="0" t="n">
        <v>4762274</v>
      </c>
      <c r="G571" s="0" t="s">
        <v>3067</v>
      </c>
      <c r="H571" s="0" t="s">
        <v>3068</v>
      </c>
      <c r="I571" s="0" t="n">
        <v>4762.274</v>
      </c>
      <c r="J571" s="0" t="s">
        <v>3640</v>
      </c>
      <c r="M571" s="0" t="s">
        <v>2755</v>
      </c>
      <c r="N571" s="0" t="s">
        <v>221</v>
      </c>
      <c r="Q571" s="0" t="n">
        <v>71</v>
      </c>
      <c r="R571" s="0" t="n">
        <v>153</v>
      </c>
      <c r="U571" s="0" t="s">
        <v>3815</v>
      </c>
      <c r="V571" s="0" t="s">
        <v>3815</v>
      </c>
      <c r="Y571" s="0" t="s">
        <v>3071</v>
      </c>
      <c r="Z571" s="0" t="s">
        <v>3072</v>
      </c>
      <c r="AA571" s="0" t="s">
        <v>3816</v>
      </c>
      <c r="AC571" s="0" t="s">
        <v>3643</v>
      </c>
    </row>
    <row r="572" customFormat="false" ht="15" hidden="false" customHeight="false" outlineLevel="0" collapsed="false">
      <c r="A572" s="0" t="s">
        <v>3819</v>
      </c>
      <c r="B572" s="0" t="s">
        <v>211</v>
      </c>
      <c r="C572" s="0" t="s">
        <v>3282</v>
      </c>
      <c r="D572" s="0" t="n">
        <v>2022</v>
      </c>
      <c r="E572" s="0" t="s">
        <v>55</v>
      </c>
      <c r="F572" s="0" t="n">
        <v>1433703656</v>
      </c>
      <c r="G572" s="0" t="s">
        <v>3067</v>
      </c>
      <c r="H572" s="0" t="s">
        <v>3068</v>
      </c>
      <c r="I572" s="0" t="n">
        <v>1433703.656</v>
      </c>
      <c r="J572" s="0" t="s">
        <v>3640</v>
      </c>
      <c r="M572" s="0" t="s">
        <v>2755</v>
      </c>
      <c r="N572" s="0" t="s">
        <v>221</v>
      </c>
      <c r="Q572" s="0" t="n">
        <v>72</v>
      </c>
      <c r="R572" s="0" t="n">
        <v>154</v>
      </c>
      <c r="U572" s="0" t="s">
        <v>3815</v>
      </c>
      <c r="V572" s="0" t="s">
        <v>3815</v>
      </c>
      <c r="Y572" s="0" t="s">
        <v>3071</v>
      </c>
      <c r="Z572" s="0" t="s">
        <v>3072</v>
      </c>
      <c r="AA572" s="0" t="s">
        <v>3652</v>
      </c>
      <c r="AC572" s="0" t="s">
        <v>3643</v>
      </c>
    </row>
    <row r="573" customFormat="false" ht="15" hidden="false" customHeight="false" outlineLevel="0" collapsed="false">
      <c r="A573" s="0" t="s">
        <v>3820</v>
      </c>
      <c r="B573" s="0" t="s">
        <v>211</v>
      </c>
      <c r="C573" s="0" t="s">
        <v>3282</v>
      </c>
      <c r="D573" s="0" t="n">
        <v>2022</v>
      </c>
      <c r="E573" s="0" t="s">
        <v>56</v>
      </c>
      <c r="F573" s="0" t="n">
        <v>1351080980</v>
      </c>
      <c r="G573" s="0" t="s">
        <v>3067</v>
      </c>
      <c r="H573" s="0" t="s">
        <v>3068</v>
      </c>
      <c r="I573" s="0" t="n">
        <v>1351080.98</v>
      </c>
      <c r="J573" s="0" t="s">
        <v>3640</v>
      </c>
      <c r="M573" s="0" t="s">
        <v>2755</v>
      </c>
      <c r="N573" s="0" t="s">
        <v>221</v>
      </c>
      <c r="Q573" s="0" t="n">
        <v>72</v>
      </c>
      <c r="R573" s="0" t="n">
        <v>154</v>
      </c>
      <c r="U573" s="0" t="s">
        <v>3815</v>
      </c>
      <c r="V573" s="0" t="s">
        <v>3815</v>
      </c>
      <c r="Y573" s="0" t="s">
        <v>3071</v>
      </c>
      <c r="Z573" s="0" t="s">
        <v>3072</v>
      </c>
      <c r="AA573" s="0" t="s">
        <v>3652</v>
      </c>
      <c r="AC573" s="0" t="s">
        <v>3643</v>
      </c>
    </row>
    <row r="574" customFormat="false" ht="15" hidden="false" customHeight="false" outlineLevel="0" collapsed="false">
      <c r="A574" s="0" t="s">
        <v>3821</v>
      </c>
      <c r="B574" s="0" t="s">
        <v>211</v>
      </c>
      <c r="C574" s="0" t="s">
        <v>3282</v>
      </c>
      <c r="D574" s="0" t="n">
        <v>2022</v>
      </c>
      <c r="E574" s="0" t="s">
        <v>57</v>
      </c>
      <c r="F574" s="0" t="n">
        <v>82622676</v>
      </c>
      <c r="G574" s="0" t="s">
        <v>3067</v>
      </c>
      <c r="H574" s="0" t="s">
        <v>3068</v>
      </c>
      <c r="I574" s="0" t="n">
        <v>82622.676</v>
      </c>
      <c r="J574" s="0" t="s">
        <v>3640</v>
      </c>
      <c r="M574" s="0" t="s">
        <v>2755</v>
      </c>
      <c r="N574" s="0" t="s">
        <v>221</v>
      </c>
      <c r="Q574" s="0" t="n">
        <v>72</v>
      </c>
      <c r="R574" s="0" t="n">
        <v>154</v>
      </c>
      <c r="U574" s="0" t="s">
        <v>3815</v>
      </c>
      <c r="V574" s="0" t="s">
        <v>3815</v>
      </c>
      <c r="Y574" s="0" t="s">
        <v>3071</v>
      </c>
      <c r="Z574" s="0" t="s">
        <v>3072</v>
      </c>
      <c r="AA574" s="0" t="s">
        <v>3652</v>
      </c>
      <c r="AC574" s="0" t="s">
        <v>3643</v>
      </c>
    </row>
    <row r="575" customFormat="false" ht="15" hidden="false" customHeight="false" outlineLevel="0" collapsed="false">
      <c r="A575" s="0" t="s">
        <v>3822</v>
      </c>
      <c r="B575" s="0" t="s">
        <v>211</v>
      </c>
      <c r="C575" s="0" t="s">
        <v>3282</v>
      </c>
      <c r="D575" s="0" t="n">
        <v>2022</v>
      </c>
      <c r="E575" s="0" t="s">
        <v>62</v>
      </c>
      <c r="F575" s="0" t="n">
        <v>521430696</v>
      </c>
      <c r="G575" s="0" t="s">
        <v>3067</v>
      </c>
      <c r="H575" s="0" t="s">
        <v>3068</v>
      </c>
      <c r="I575" s="0" t="n">
        <v>521430.696</v>
      </c>
      <c r="J575" s="0" t="s">
        <v>3640</v>
      </c>
      <c r="M575" s="0" t="s">
        <v>2755</v>
      </c>
      <c r="N575" s="0" t="s">
        <v>221</v>
      </c>
      <c r="Q575" s="0" t="n">
        <v>72</v>
      </c>
      <c r="R575" s="0" t="n">
        <v>154</v>
      </c>
      <c r="U575" s="0" t="s">
        <v>3815</v>
      </c>
      <c r="V575" s="0" t="s">
        <v>3815</v>
      </c>
      <c r="Y575" s="0" t="s">
        <v>3071</v>
      </c>
      <c r="Z575" s="0" t="s">
        <v>3072</v>
      </c>
      <c r="AA575" s="0" t="s">
        <v>3652</v>
      </c>
      <c r="AC575" s="0" t="s">
        <v>3643</v>
      </c>
    </row>
    <row r="576" customFormat="false" ht="15" hidden="false" customHeight="false" outlineLevel="0" collapsed="false">
      <c r="A576" s="0" t="s">
        <v>3823</v>
      </c>
      <c r="B576" s="0" t="s">
        <v>211</v>
      </c>
      <c r="C576" s="0" t="s">
        <v>3282</v>
      </c>
      <c r="D576" s="0" t="n">
        <v>2022</v>
      </c>
      <c r="E576" s="0" t="s">
        <v>58</v>
      </c>
      <c r="F576" s="0" t="n">
        <v>179324770</v>
      </c>
      <c r="G576" s="0" t="s">
        <v>3067</v>
      </c>
      <c r="H576" s="0" t="s">
        <v>3068</v>
      </c>
      <c r="I576" s="0" t="n">
        <v>179324.77</v>
      </c>
      <c r="J576" s="0" t="s">
        <v>3640</v>
      </c>
      <c r="M576" s="0" t="s">
        <v>2755</v>
      </c>
      <c r="N576" s="0" t="s">
        <v>221</v>
      </c>
      <c r="Q576" s="0" t="n">
        <v>75</v>
      </c>
      <c r="R576" s="0" t="n">
        <v>157</v>
      </c>
      <c r="U576" s="0" t="s">
        <v>3815</v>
      </c>
      <c r="V576" s="0" t="s">
        <v>3815</v>
      </c>
      <c r="Y576" s="0" t="s">
        <v>3071</v>
      </c>
      <c r="Z576" s="0" t="s">
        <v>3072</v>
      </c>
      <c r="AA576" s="0" t="s">
        <v>3652</v>
      </c>
      <c r="AC576" s="0" t="s">
        <v>3643</v>
      </c>
    </row>
    <row r="577" customFormat="false" ht="15" hidden="false" customHeight="false" outlineLevel="0" collapsed="false">
      <c r="A577" s="0" t="s">
        <v>3824</v>
      </c>
      <c r="B577" s="0" t="s">
        <v>178</v>
      </c>
      <c r="C577" s="0" t="s">
        <v>3098</v>
      </c>
      <c r="D577" s="0" t="n">
        <v>2018</v>
      </c>
      <c r="E577" s="0" t="s">
        <v>71</v>
      </c>
      <c r="F577" s="0" t="n">
        <v>55.84</v>
      </c>
      <c r="G577" s="0" t="s">
        <v>3143</v>
      </c>
      <c r="I577" s="0" t="n">
        <v>55.84</v>
      </c>
      <c r="J577" s="0" t="s">
        <v>3640</v>
      </c>
      <c r="M577" s="0" t="s">
        <v>2729</v>
      </c>
      <c r="N577" s="0" t="s">
        <v>184</v>
      </c>
      <c r="Q577" s="0" t="n">
        <v>133</v>
      </c>
      <c r="R577" s="0" t="n">
        <v>133</v>
      </c>
      <c r="U577" s="0" t="s">
        <v>3641</v>
      </c>
      <c r="V577" s="0" t="s">
        <v>3641</v>
      </c>
      <c r="Y577" s="0" t="s">
        <v>3071</v>
      </c>
      <c r="Z577" s="0" t="s">
        <v>3072</v>
      </c>
      <c r="AA577" s="0" t="s">
        <v>3825</v>
      </c>
      <c r="AC577" s="0" t="s">
        <v>3643</v>
      </c>
    </row>
    <row r="578" customFormat="false" ht="15" hidden="false" customHeight="false" outlineLevel="0" collapsed="false">
      <c r="A578" s="0" t="s">
        <v>3826</v>
      </c>
      <c r="B578" s="0" t="s">
        <v>178</v>
      </c>
      <c r="C578" s="0" t="s">
        <v>3098</v>
      </c>
      <c r="D578" s="0" t="n">
        <v>2017</v>
      </c>
      <c r="E578" s="0" t="s">
        <v>71</v>
      </c>
      <c r="F578" s="0" t="n">
        <v>49.69</v>
      </c>
      <c r="G578" s="0" t="s">
        <v>3143</v>
      </c>
      <c r="I578" s="0" t="n">
        <v>49.69</v>
      </c>
      <c r="J578" s="0" t="s">
        <v>3640</v>
      </c>
      <c r="M578" s="0" t="s">
        <v>2729</v>
      </c>
      <c r="N578" s="0" t="s">
        <v>184</v>
      </c>
      <c r="Q578" s="0" t="n">
        <v>133</v>
      </c>
      <c r="R578" s="0" t="n">
        <v>133</v>
      </c>
      <c r="U578" s="0" t="s">
        <v>3647</v>
      </c>
      <c r="V578" s="0" t="s">
        <v>3647</v>
      </c>
      <c r="Y578" s="0" t="s">
        <v>3071</v>
      </c>
      <c r="Z578" s="0" t="s">
        <v>3072</v>
      </c>
      <c r="AA578" s="0" t="s">
        <v>3825</v>
      </c>
      <c r="AC578" s="0" t="s">
        <v>3643</v>
      </c>
    </row>
    <row r="579" customFormat="false" ht="15" hidden="false" customHeight="false" outlineLevel="0" collapsed="false">
      <c r="A579" s="0" t="s">
        <v>3827</v>
      </c>
      <c r="B579" s="0" t="s">
        <v>178</v>
      </c>
      <c r="C579" s="0" t="s">
        <v>3098</v>
      </c>
      <c r="D579" s="0" t="n">
        <v>2020</v>
      </c>
      <c r="E579" s="0" t="s">
        <v>71</v>
      </c>
      <c r="F579" s="0" t="n">
        <v>44.3</v>
      </c>
      <c r="G579" s="0" t="s">
        <v>3143</v>
      </c>
      <c r="I579" s="0" t="n">
        <v>44.3</v>
      </c>
      <c r="J579" s="0" t="s">
        <v>3640</v>
      </c>
      <c r="M579" s="0" t="s">
        <v>2730</v>
      </c>
      <c r="N579" s="0" t="s">
        <v>185</v>
      </c>
      <c r="Q579" s="0" t="n">
        <v>71</v>
      </c>
      <c r="R579" s="0" t="n">
        <v>71</v>
      </c>
      <c r="U579" s="0" t="s">
        <v>3665</v>
      </c>
      <c r="V579" s="0" t="s">
        <v>3665</v>
      </c>
      <c r="Y579" s="0" t="s">
        <v>3071</v>
      </c>
      <c r="Z579" s="0" t="s">
        <v>3072</v>
      </c>
      <c r="AA579" s="0" t="s">
        <v>3825</v>
      </c>
      <c r="AC579" s="0" t="s">
        <v>3643</v>
      </c>
    </row>
    <row r="580" customFormat="false" ht="15" hidden="false" customHeight="false" outlineLevel="0" collapsed="false">
      <c r="A580" s="0" t="s">
        <v>3828</v>
      </c>
      <c r="B580" s="0" t="s">
        <v>178</v>
      </c>
      <c r="C580" s="0" t="s">
        <v>3098</v>
      </c>
      <c r="D580" s="0" t="n">
        <v>2019</v>
      </c>
      <c r="E580" s="0" t="s">
        <v>71</v>
      </c>
      <c r="F580" s="0" t="n">
        <v>43.99</v>
      </c>
      <c r="G580" s="0" t="s">
        <v>3143</v>
      </c>
      <c r="I580" s="0" t="n">
        <v>43.99</v>
      </c>
      <c r="J580" s="0" t="s">
        <v>3640</v>
      </c>
      <c r="M580" s="0" t="s">
        <v>2730</v>
      </c>
      <c r="N580" s="0" t="s">
        <v>185</v>
      </c>
      <c r="Q580" s="0" t="n">
        <v>71</v>
      </c>
      <c r="R580" s="0" t="n">
        <v>71</v>
      </c>
      <c r="U580" s="0" t="s">
        <v>3671</v>
      </c>
      <c r="V580" s="0" t="s">
        <v>3671</v>
      </c>
      <c r="Y580" s="0" t="s">
        <v>3071</v>
      </c>
      <c r="Z580" s="0" t="s">
        <v>3072</v>
      </c>
      <c r="AA580" s="0" t="s">
        <v>3825</v>
      </c>
      <c r="AC580" s="0" t="s">
        <v>3643</v>
      </c>
    </row>
    <row r="581" customFormat="false" ht="15" hidden="false" customHeight="false" outlineLevel="0" collapsed="false">
      <c r="A581" s="0" t="s">
        <v>3829</v>
      </c>
      <c r="B581" s="0" t="s">
        <v>222</v>
      </c>
      <c r="C581" s="0" t="s">
        <v>3477</v>
      </c>
      <c r="D581" s="0" t="n">
        <v>2022</v>
      </c>
      <c r="E581" s="0" t="s">
        <v>65</v>
      </c>
      <c r="F581" s="0" t="n">
        <v>1042652</v>
      </c>
      <c r="G581" s="0" t="s">
        <v>3101</v>
      </c>
      <c r="H581" s="0" t="s">
        <v>3068</v>
      </c>
      <c r="I581" s="0" t="n">
        <v>1042652</v>
      </c>
      <c r="J581" s="0" t="s">
        <v>3640</v>
      </c>
      <c r="M581" s="0" t="s">
        <v>2761</v>
      </c>
      <c r="N581" s="0" t="s">
        <v>235</v>
      </c>
      <c r="Q581" s="0" t="n">
        <v>188</v>
      </c>
      <c r="R581" s="0" t="n">
        <v>188</v>
      </c>
      <c r="U581" s="0" t="s">
        <v>3686</v>
      </c>
      <c r="V581" s="0" t="s">
        <v>3686</v>
      </c>
      <c r="Y581" s="0" t="s">
        <v>3071</v>
      </c>
      <c r="Z581" s="0" t="s">
        <v>3072</v>
      </c>
      <c r="AA581" s="0" t="s">
        <v>3830</v>
      </c>
      <c r="AC581" s="0" t="s">
        <v>3643</v>
      </c>
    </row>
    <row r="582" customFormat="false" ht="15" hidden="false" customHeight="false" outlineLevel="0" collapsed="false">
      <c r="A582" s="0" t="s">
        <v>3831</v>
      </c>
      <c r="B582" s="0" t="s">
        <v>222</v>
      </c>
      <c r="C582" s="0" t="s">
        <v>3477</v>
      </c>
      <c r="D582" s="0" t="n">
        <v>2022</v>
      </c>
      <c r="E582" s="0" t="s">
        <v>66</v>
      </c>
      <c r="F582" s="0" t="n">
        <v>5488669</v>
      </c>
      <c r="G582" s="0" t="s">
        <v>3101</v>
      </c>
      <c r="H582" s="0" t="s">
        <v>3068</v>
      </c>
      <c r="I582" s="0" t="n">
        <v>5488669</v>
      </c>
      <c r="J582" s="0" t="s">
        <v>3640</v>
      </c>
      <c r="M582" s="0" t="s">
        <v>2761</v>
      </c>
      <c r="N582" s="0" t="s">
        <v>235</v>
      </c>
      <c r="Q582" s="0" t="n">
        <v>188</v>
      </c>
      <c r="R582" s="0" t="n">
        <v>188</v>
      </c>
      <c r="U582" s="0" t="s">
        <v>3686</v>
      </c>
      <c r="V582" s="0" t="s">
        <v>3686</v>
      </c>
      <c r="Y582" s="0" t="s">
        <v>3071</v>
      </c>
      <c r="Z582" s="0" t="s">
        <v>3072</v>
      </c>
      <c r="AA582" s="0" t="s">
        <v>3830</v>
      </c>
      <c r="AC582" s="0" t="s">
        <v>3643</v>
      </c>
    </row>
    <row r="583" customFormat="false" ht="15" hidden="false" customHeight="false" outlineLevel="0" collapsed="false">
      <c r="A583" s="0" t="s">
        <v>3832</v>
      </c>
      <c r="B583" s="0" t="s">
        <v>222</v>
      </c>
      <c r="C583" s="0" t="s">
        <v>3477</v>
      </c>
      <c r="D583" s="0" t="n">
        <v>2022</v>
      </c>
      <c r="E583" s="0" t="s">
        <v>69</v>
      </c>
      <c r="F583" s="0" t="n">
        <v>19</v>
      </c>
      <c r="G583" s="0" t="s">
        <v>3143</v>
      </c>
      <c r="I583" s="0" t="n">
        <v>19</v>
      </c>
      <c r="J583" s="0" t="s">
        <v>3640</v>
      </c>
      <c r="M583" s="0" t="s">
        <v>2761</v>
      </c>
      <c r="N583" s="0" t="s">
        <v>235</v>
      </c>
      <c r="Q583" s="0" t="n">
        <v>188</v>
      </c>
      <c r="R583" s="0" t="n">
        <v>188</v>
      </c>
      <c r="U583" s="0" t="s">
        <v>3686</v>
      </c>
      <c r="V583" s="0" t="s">
        <v>3686</v>
      </c>
      <c r="Y583" s="0" t="s">
        <v>3071</v>
      </c>
      <c r="Z583" s="0" t="s">
        <v>3072</v>
      </c>
      <c r="AA583" s="0" t="s">
        <v>3830</v>
      </c>
      <c r="AC583" s="0" t="s">
        <v>3643</v>
      </c>
    </row>
    <row r="584" customFormat="false" ht="15" hidden="false" customHeight="false" outlineLevel="0" collapsed="false">
      <c r="A584" s="0" t="s">
        <v>3833</v>
      </c>
      <c r="B584" s="0" t="s">
        <v>222</v>
      </c>
      <c r="C584" s="0" t="s">
        <v>3477</v>
      </c>
      <c r="D584" s="0" t="n">
        <v>2021</v>
      </c>
      <c r="E584" s="0" t="s">
        <v>65</v>
      </c>
      <c r="F584" s="0" t="n">
        <v>985934</v>
      </c>
      <c r="G584" s="0" t="s">
        <v>3101</v>
      </c>
      <c r="H584" s="0" t="s">
        <v>3068</v>
      </c>
      <c r="I584" s="0" t="n">
        <v>985934</v>
      </c>
      <c r="J584" s="0" t="s">
        <v>3640</v>
      </c>
      <c r="M584" s="0" t="s">
        <v>2761</v>
      </c>
      <c r="N584" s="0" t="s">
        <v>235</v>
      </c>
      <c r="Q584" s="0" t="n">
        <v>188</v>
      </c>
      <c r="R584" s="0" t="n">
        <v>188</v>
      </c>
      <c r="U584" s="0" t="s">
        <v>3691</v>
      </c>
      <c r="V584" s="0" t="s">
        <v>3691</v>
      </c>
      <c r="Y584" s="0" t="s">
        <v>3071</v>
      </c>
      <c r="Z584" s="0" t="s">
        <v>3072</v>
      </c>
      <c r="AA584" s="0" t="s">
        <v>3830</v>
      </c>
      <c r="AC584" s="0" t="s">
        <v>3643</v>
      </c>
    </row>
    <row r="585" customFormat="false" ht="15" hidden="false" customHeight="false" outlineLevel="0" collapsed="false">
      <c r="A585" s="0" t="s">
        <v>3834</v>
      </c>
      <c r="B585" s="0" t="s">
        <v>222</v>
      </c>
      <c r="C585" s="0" t="s">
        <v>3477</v>
      </c>
      <c r="D585" s="0" t="n">
        <v>2021</v>
      </c>
      <c r="E585" s="0" t="s">
        <v>66</v>
      </c>
      <c r="F585" s="0" t="n">
        <v>5032121</v>
      </c>
      <c r="G585" s="0" t="s">
        <v>3101</v>
      </c>
      <c r="H585" s="0" t="s">
        <v>3068</v>
      </c>
      <c r="I585" s="0" t="n">
        <v>5032121</v>
      </c>
      <c r="J585" s="0" t="s">
        <v>3640</v>
      </c>
      <c r="M585" s="0" t="s">
        <v>2761</v>
      </c>
      <c r="N585" s="0" t="s">
        <v>235</v>
      </c>
      <c r="Q585" s="0" t="n">
        <v>188</v>
      </c>
      <c r="R585" s="0" t="n">
        <v>188</v>
      </c>
      <c r="U585" s="0" t="s">
        <v>3691</v>
      </c>
      <c r="V585" s="0" t="s">
        <v>3691</v>
      </c>
      <c r="Y585" s="0" t="s">
        <v>3071</v>
      </c>
      <c r="Z585" s="0" t="s">
        <v>3072</v>
      </c>
      <c r="AA585" s="0" t="s">
        <v>3830</v>
      </c>
      <c r="AC585" s="0" t="s">
        <v>3643</v>
      </c>
    </row>
    <row r="586" customFormat="false" ht="15" hidden="false" customHeight="false" outlineLevel="0" collapsed="false">
      <c r="A586" s="0" t="s">
        <v>3835</v>
      </c>
      <c r="B586" s="0" t="s">
        <v>222</v>
      </c>
      <c r="C586" s="0" t="s">
        <v>3477</v>
      </c>
      <c r="D586" s="0" t="n">
        <v>2021</v>
      </c>
      <c r="E586" s="0" t="s">
        <v>69</v>
      </c>
      <c r="F586" s="0" t="n">
        <v>20</v>
      </c>
      <c r="G586" s="0" t="s">
        <v>3143</v>
      </c>
      <c r="I586" s="0" t="n">
        <v>20</v>
      </c>
      <c r="J586" s="0" t="s">
        <v>3640</v>
      </c>
      <c r="M586" s="0" t="s">
        <v>2761</v>
      </c>
      <c r="N586" s="0" t="s">
        <v>235</v>
      </c>
      <c r="Q586" s="0" t="n">
        <v>188</v>
      </c>
      <c r="R586" s="0" t="n">
        <v>188</v>
      </c>
      <c r="U586" s="0" t="s">
        <v>3691</v>
      </c>
      <c r="V586" s="0" t="s">
        <v>3691</v>
      </c>
      <c r="Y586" s="0" t="s">
        <v>3071</v>
      </c>
      <c r="Z586" s="0" t="s">
        <v>3072</v>
      </c>
      <c r="AA586" s="0" t="s">
        <v>3830</v>
      </c>
      <c r="AC586" s="0" t="s">
        <v>3643</v>
      </c>
    </row>
    <row r="587" customFormat="false" ht="15" hidden="false" customHeight="false" outlineLevel="0" collapsed="false">
      <c r="A587" s="0" t="s">
        <v>3836</v>
      </c>
      <c r="B587" s="0" t="s">
        <v>211</v>
      </c>
      <c r="C587" s="0" t="s">
        <v>3282</v>
      </c>
      <c r="D587" s="0" t="n">
        <v>2020</v>
      </c>
      <c r="E587" s="0" t="s">
        <v>60</v>
      </c>
      <c r="F587" s="0" t="n">
        <v>375039658</v>
      </c>
      <c r="G587" s="0" t="s">
        <v>3067</v>
      </c>
      <c r="H587" s="0" t="s">
        <v>3068</v>
      </c>
      <c r="I587" s="0" t="n">
        <v>375039.658</v>
      </c>
      <c r="J587" s="0" t="s">
        <v>3640</v>
      </c>
      <c r="M587" s="0" t="s">
        <v>2751</v>
      </c>
      <c r="N587" s="0" t="s">
        <v>218</v>
      </c>
      <c r="Q587" s="0" t="n">
        <v>70</v>
      </c>
      <c r="R587" s="0" t="n">
        <v>66</v>
      </c>
      <c r="U587" s="0" t="s">
        <v>3665</v>
      </c>
      <c r="V587" s="0" t="s">
        <v>3665</v>
      </c>
      <c r="Y587" s="0" t="s">
        <v>3071</v>
      </c>
      <c r="Z587" s="0" t="s">
        <v>3072</v>
      </c>
      <c r="AA587" s="0" t="s">
        <v>3837</v>
      </c>
      <c r="AC587" s="0" t="s">
        <v>3643</v>
      </c>
    </row>
    <row r="588" customFormat="false" ht="15" hidden="false" customHeight="false" outlineLevel="0" collapsed="false">
      <c r="A588" s="0" t="s">
        <v>3838</v>
      </c>
      <c r="B588" s="0" t="s">
        <v>211</v>
      </c>
      <c r="C588" s="0" t="s">
        <v>3282</v>
      </c>
      <c r="D588" s="0" t="n">
        <v>2020</v>
      </c>
      <c r="E588" s="0" t="s">
        <v>61</v>
      </c>
      <c r="F588" s="0" t="n">
        <v>14963578</v>
      </c>
      <c r="G588" s="0" t="s">
        <v>3067</v>
      </c>
      <c r="H588" s="0" t="s">
        <v>3068</v>
      </c>
      <c r="I588" s="0" t="n">
        <v>14963.578</v>
      </c>
      <c r="J588" s="0" t="s">
        <v>3640</v>
      </c>
      <c r="M588" s="0" t="s">
        <v>2751</v>
      </c>
      <c r="N588" s="0" t="s">
        <v>218</v>
      </c>
      <c r="Q588" s="0" t="n">
        <v>70</v>
      </c>
      <c r="R588" s="0" t="n">
        <v>66</v>
      </c>
      <c r="U588" s="0" t="s">
        <v>3665</v>
      </c>
      <c r="V588" s="0" t="s">
        <v>3665</v>
      </c>
      <c r="Y588" s="0" t="s">
        <v>3071</v>
      </c>
      <c r="Z588" s="0" t="s">
        <v>3072</v>
      </c>
      <c r="AA588" s="0" t="s">
        <v>3837</v>
      </c>
      <c r="AC588" s="0" t="s">
        <v>3643</v>
      </c>
    </row>
    <row r="589" customFormat="false" ht="15" hidden="false" customHeight="false" outlineLevel="0" collapsed="false">
      <c r="A589" s="0" t="s">
        <v>3839</v>
      </c>
      <c r="B589" s="0" t="s">
        <v>211</v>
      </c>
      <c r="C589" s="0" t="s">
        <v>3282</v>
      </c>
      <c r="D589" s="0" t="n">
        <v>2020</v>
      </c>
      <c r="E589" s="0" t="s">
        <v>68</v>
      </c>
      <c r="F589" s="0" t="n">
        <v>5411370</v>
      </c>
      <c r="G589" s="0" t="s">
        <v>3067</v>
      </c>
      <c r="H589" s="0" t="s">
        <v>3068</v>
      </c>
      <c r="I589" s="0" t="n">
        <v>5411.37</v>
      </c>
      <c r="J589" s="0" t="s">
        <v>3640</v>
      </c>
      <c r="M589" s="0" t="s">
        <v>2751</v>
      </c>
      <c r="N589" s="0" t="s">
        <v>218</v>
      </c>
      <c r="Q589" s="0" t="n">
        <v>70</v>
      </c>
      <c r="R589" s="0" t="n">
        <v>66</v>
      </c>
      <c r="U589" s="0" t="s">
        <v>3665</v>
      </c>
      <c r="V589" s="0" t="s">
        <v>3665</v>
      </c>
      <c r="Y589" s="0" t="s">
        <v>3071</v>
      </c>
      <c r="Z589" s="0" t="s">
        <v>3072</v>
      </c>
      <c r="AA589" s="0" t="s">
        <v>3837</v>
      </c>
      <c r="AC589" s="0" t="s">
        <v>3643</v>
      </c>
    </row>
    <row r="590" customFormat="false" ht="15" hidden="false" customHeight="false" outlineLevel="0" collapsed="false">
      <c r="A590" s="0" t="s">
        <v>3840</v>
      </c>
      <c r="B590" s="0" t="s">
        <v>211</v>
      </c>
      <c r="C590" s="0" t="s">
        <v>3282</v>
      </c>
      <c r="D590" s="0" t="n">
        <v>2019</v>
      </c>
      <c r="E590" s="0" t="s">
        <v>60</v>
      </c>
      <c r="F590" s="0" t="n">
        <v>301368302</v>
      </c>
      <c r="G590" s="0" t="s">
        <v>3067</v>
      </c>
      <c r="H590" s="0" t="s">
        <v>3068</v>
      </c>
      <c r="I590" s="0" t="n">
        <v>301368.302</v>
      </c>
      <c r="J590" s="0" t="s">
        <v>3640</v>
      </c>
      <c r="M590" s="0" t="s">
        <v>2751</v>
      </c>
      <c r="N590" s="0" t="s">
        <v>218</v>
      </c>
      <c r="Q590" s="0" t="n">
        <v>70</v>
      </c>
      <c r="R590" s="0" t="n">
        <v>66</v>
      </c>
      <c r="U590" s="0" t="s">
        <v>3671</v>
      </c>
      <c r="V590" s="0" t="s">
        <v>3671</v>
      </c>
      <c r="Y590" s="0" t="s">
        <v>3071</v>
      </c>
      <c r="Z590" s="0" t="s">
        <v>3072</v>
      </c>
      <c r="AA590" s="0" t="s">
        <v>3652</v>
      </c>
      <c r="AC590" s="0" t="s">
        <v>3643</v>
      </c>
    </row>
    <row r="591" customFormat="false" ht="15" hidden="false" customHeight="false" outlineLevel="0" collapsed="false">
      <c r="A591" s="0" t="s">
        <v>3841</v>
      </c>
      <c r="B591" s="0" t="s">
        <v>211</v>
      </c>
      <c r="C591" s="0" t="s">
        <v>3282</v>
      </c>
      <c r="D591" s="0" t="n">
        <v>2019</v>
      </c>
      <c r="E591" s="0" t="s">
        <v>61</v>
      </c>
      <c r="F591" s="0" t="n">
        <v>12128432</v>
      </c>
      <c r="G591" s="0" t="s">
        <v>3067</v>
      </c>
      <c r="H591" s="0" t="s">
        <v>3068</v>
      </c>
      <c r="I591" s="0" t="n">
        <v>12128.432</v>
      </c>
      <c r="J591" s="0" t="s">
        <v>3640</v>
      </c>
      <c r="M591" s="0" t="s">
        <v>2751</v>
      </c>
      <c r="N591" s="0" t="s">
        <v>218</v>
      </c>
      <c r="Q591" s="0" t="n">
        <v>70</v>
      </c>
      <c r="R591" s="0" t="n">
        <v>66</v>
      </c>
      <c r="U591" s="0" t="s">
        <v>3671</v>
      </c>
      <c r="V591" s="0" t="s">
        <v>3671</v>
      </c>
      <c r="Y591" s="0" t="s">
        <v>3071</v>
      </c>
      <c r="Z591" s="0" t="s">
        <v>3072</v>
      </c>
      <c r="AA591" s="0" t="s">
        <v>3652</v>
      </c>
      <c r="AC591" s="0" t="s">
        <v>3643</v>
      </c>
    </row>
    <row r="592" customFormat="false" ht="15" hidden="false" customHeight="false" outlineLevel="0" collapsed="false">
      <c r="A592" s="0" t="s">
        <v>3842</v>
      </c>
      <c r="B592" s="0" t="s">
        <v>211</v>
      </c>
      <c r="C592" s="0" t="s">
        <v>3282</v>
      </c>
      <c r="D592" s="0" t="n">
        <v>2019</v>
      </c>
      <c r="E592" s="0" t="s">
        <v>68</v>
      </c>
      <c r="F592" s="0" t="n">
        <v>4646110</v>
      </c>
      <c r="G592" s="0" t="s">
        <v>3067</v>
      </c>
      <c r="H592" s="0" t="s">
        <v>3068</v>
      </c>
      <c r="I592" s="0" t="n">
        <v>4646.11</v>
      </c>
      <c r="J592" s="0" t="s">
        <v>3640</v>
      </c>
      <c r="M592" s="0" t="s">
        <v>2751</v>
      </c>
      <c r="N592" s="0" t="s">
        <v>218</v>
      </c>
      <c r="Q592" s="0" t="n">
        <v>70</v>
      </c>
      <c r="R592" s="0" t="n">
        <v>66</v>
      </c>
      <c r="U592" s="0" t="s">
        <v>3671</v>
      </c>
      <c r="V592" s="0" t="s">
        <v>3671</v>
      </c>
      <c r="Y592" s="0" t="s">
        <v>3071</v>
      </c>
      <c r="Z592" s="0" t="s">
        <v>3072</v>
      </c>
      <c r="AA592" s="0" t="s">
        <v>3652</v>
      </c>
      <c r="AC592" s="0" t="s">
        <v>3643</v>
      </c>
    </row>
    <row r="593" customFormat="false" ht="15" hidden="false" customHeight="false" outlineLevel="0" collapsed="false">
      <c r="A593" s="0" t="s">
        <v>3843</v>
      </c>
      <c r="B593" s="0" t="s">
        <v>211</v>
      </c>
      <c r="C593" s="0" t="s">
        <v>3282</v>
      </c>
      <c r="D593" s="0" t="n">
        <v>2022</v>
      </c>
      <c r="E593" s="0" t="s">
        <v>60</v>
      </c>
      <c r="F593" s="0" t="n">
        <v>539372013</v>
      </c>
      <c r="G593" s="0" t="s">
        <v>3067</v>
      </c>
      <c r="H593" s="0" t="s">
        <v>3068</v>
      </c>
      <c r="I593" s="0" t="n">
        <v>539372.013</v>
      </c>
      <c r="J593" s="0" t="s">
        <v>3640</v>
      </c>
      <c r="M593" s="0" t="s">
        <v>2755</v>
      </c>
      <c r="N593" s="0" t="s">
        <v>221</v>
      </c>
      <c r="Q593" s="0" t="n">
        <v>123</v>
      </c>
      <c r="R593" s="0" t="n">
        <v>205</v>
      </c>
      <c r="U593" s="0" t="s">
        <v>3815</v>
      </c>
      <c r="V593" s="0" t="s">
        <v>3815</v>
      </c>
      <c r="Y593" s="0" t="s">
        <v>3071</v>
      </c>
      <c r="Z593" s="0" t="s">
        <v>3072</v>
      </c>
      <c r="AA593" s="0" t="s">
        <v>3652</v>
      </c>
      <c r="AC593" s="0" t="s">
        <v>3643</v>
      </c>
    </row>
    <row r="594" customFormat="false" ht="15" hidden="false" customHeight="false" outlineLevel="0" collapsed="false">
      <c r="A594" s="0" t="s">
        <v>3844</v>
      </c>
      <c r="B594" s="0" t="s">
        <v>211</v>
      </c>
      <c r="C594" s="0" t="s">
        <v>3282</v>
      </c>
      <c r="D594" s="0" t="n">
        <v>2022</v>
      </c>
      <c r="E594" s="0" t="s">
        <v>61</v>
      </c>
      <c r="F594" s="0" t="n">
        <v>17941317</v>
      </c>
      <c r="G594" s="0" t="s">
        <v>3067</v>
      </c>
      <c r="H594" s="0" t="s">
        <v>3068</v>
      </c>
      <c r="I594" s="0" t="n">
        <v>17941.317</v>
      </c>
      <c r="J594" s="0" t="s">
        <v>3640</v>
      </c>
      <c r="M594" s="0" t="s">
        <v>2755</v>
      </c>
      <c r="N594" s="0" t="s">
        <v>221</v>
      </c>
      <c r="Q594" s="0" t="n">
        <v>123</v>
      </c>
      <c r="R594" s="0" t="n">
        <v>205</v>
      </c>
      <c r="U594" s="0" t="s">
        <v>3815</v>
      </c>
      <c r="V594" s="0" t="s">
        <v>3815</v>
      </c>
      <c r="Y594" s="0" t="s">
        <v>3071</v>
      </c>
      <c r="Z594" s="0" t="s">
        <v>3072</v>
      </c>
      <c r="AA594" s="0" t="s">
        <v>3652</v>
      </c>
      <c r="AC594" s="0" t="s">
        <v>3643</v>
      </c>
    </row>
    <row r="595" customFormat="false" ht="15" hidden="false" customHeight="false" outlineLevel="0" collapsed="false">
      <c r="A595" s="0" t="s">
        <v>3845</v>
      </c>
      <c r="B595" s="0" t="s">
        <v>211</v>
      </c>
      <c r="C595" s="0" t="s">
        <v>3282</v>
      </c>
      <c r="D595" s="0" t="n">
        <v>2022</v>
      </c>
      <c r="E595" s="0" t="s">
        <v>68</v>
      </c>
      <c r="F595" s="0" t="n">
        <v>12600451</v>
      </c>
      <c r="G595" s="0" t="s">
        <v>3067</v>
      </c>
      <c r="H595" s="0" t="s">
        <v>3068</v>
      </c>
      <c r="I595" s="0" t="n">
        <v>12600.451</v>
      </c>
      <c r="J595" s="0" t="s">
        <v>3640</v>
      </c>
      <c r="M595" s="0" t="s">
        <v>2755</v>
      </c>
      <c r="N595" s="0" t="s">
        <v>221</v>
      </c>
      <c r="Q595" s="0" t="n">
        <v>123</v>
      </c>
      <c r="R595" s="0" t="n">
        <v>205</v>
      </c>
      <c r="U595" s="0" t="s">
        <v>3815</v>
      </c>
      <c r="V595" s="0" t="s">
        <v>3815</v>
      </c>
      <c r="Y595" s="0" t="s">
        <v>3071</v>
      </c>
      <c r="Z595" s="0" t="s">
        <v>3072</v>
      </c>
      <c r="AA595" s="0" t="s">
        <v>3652</v>
      </c>
      <c r="AC595" s="0" t="s">
        <v>3643</v>
      </c>
    </row>
    <row r="596" customFormat="false" ht="15" hidden="false" customHeight="false" outlineLevel="0" collapsed="false">
      <c r="A596" s="0" t="s">
        <v>3846</v>
      </c>
      <c r="B596" s="0" t="s">
        <v>211</v>
      </c>
      <c r="C596" s="0" t="s">
        <v>3282</v>
      </c>
      <c r="D596" s="0" t="n">
        <v>2020</v>
      </c>
      <c r="E596" s="0" t="s">
        <v>65</v>
      </c>
      <c r="F596" s="0" t="n">
        <v>41760881</v>
      </c>
      <c r="G596" s="0" t="s">
        <v>3067</v>
      </c>
      <c r="H596" s="0" t="s">
        <v>3068</v>
      </c>
      <c r="I596" s="0" t="n">
        <v>41760.881</v>
      </c>
      <c r="J596" s="0" t="s">
        <v>3640</v>
      </c>
      <c r="M596" s="0" t="s">
        <v>2751</v>
      </c>
      <c r="N596" s="0" t="s">
        <v>218</v>
      </c>
      <c r="Q596" s="0" t="n">
        <v>127</v>
      </c>
      <c r="R596" s="0" t="n">
        <v>123</v>
      </c>
      <c r="U596" s="0" t="s">
        <v>3665</v>
      </c>
      <c r="V596" s="0" t="s">
        <v>3665</v>
      </c>
      <c r="Y596" s="0" t="s">
        <v>3071</v>
      </c>
      <c r="Z596" s="0" t="s">
        <v>3072</v>
      </c>
      <c r="AA596" s="0" t="s">
        <v>3847</v>
      </c>
      <c r="AC596" s="0" t="s">
        <v>3643</v>
      </c>
    </row>
    <row r="597" customFormat="false" ht="15" hidden="false" customHeight="false" outlineLevel="0" collapsed="false">
      <c r="A597" s="0" t="s">
        <v>3848</v>
      </c>
      <c r="B597" s="0" t="s">
        <v>211</v>
      </c>
      <c r="C597" s="0" t="s">
        <v>3282</v>
      </c>
      <c r="D597" s="0" t="n">
        <v>2020</v>
      </c>
      <c r="E597" s="0" t="s">
        <v>66</v>
      </c>
      <c r="F597" s="0" t="n">
        <v>278133743</v>
      </c>
      <c r="G597" s="0" t="s">
        <v>3067</v>
      </c>
      <c r="H597" s="0" t="s">
        <v>3068</v>
      </c>
      <c r="I597" s="0" t="n">
        <v>278133.743</v>
      </c>
      <c r="J597" s="0" t="s">
        <v>3640</v>
      </c>
      <c r="M597" s="0" t="s">
        <v>2751</v>
      </c>
      <c r="N597" s="0" t="s">
        <v>218</v>
      </c>
      <c r="Q597" s="0" t="n">
        <v>127</v>
      </c>
      <c r="R597" s="0" t="n">
        <v>123</v>
      </c>
      <c r="U597" s="0" t="s">
        <v>3665</v>
      </c>
      <c r="V597" s="0" t="s">
        <v>3665</v>
      </c>
      <c r="Y597" s="0" t="s">
        <v>3071</v>
      </c>
      <c r="Z597" s="0" t="s">
        <v>3072</v>
      </c>
      <c r="AA597" s="0" t="s">
        <v>3847</v>
      </c>
      <c r="AC597" s="0" t="s">
        <v>3643</v>
      </c>
    </row>
    <row r="598" customFormat="false" ht="15" hidden="false" customHeight="false" outlineLevel="0" collapsed="false">
      <c r="A598" s="0" t="s">
        <v>3849</v>
      </c>
      <c r="B598" s="0" t="s">
        <v>211</v>
      </c>
      <c r="C598" s="0" t="s">
        <v>3282</v>
      </c>
      <c r="D598" s="0" t="n">
        <v>2020</v>
      </c>
      <c r="E598" s="0" t="s">
        <v>69</v>
      </c>
      <c r="F598" s="0" t="n">
        <v>15.01</v>
      </c>
      <c r="G598" s="0" t="s">
        <v>3143</v>
      </c>
      <c r="I598" s="0" t="n">
        <v>15.01</v>
      </c>
      <c r="J598" s="0" t="s">
        <v>3640</v>
      </c>
      <c r="M598" s="0" t="s">
        <v>2751</v>
      </c>
      <c r="N598" s="0" t="s">
        <v>218</v>
      </c>
      <c r="Q598" s="0" t="n">
        <v>127</v>
      </c>
      <c r="R598" s="0" t="n">
        <v>123</v>
      </c>
      <c r="U598" s="0" t="s">
        <v>3665</v>
      </c>
      <c r="V598" s="0" t="s">
        <v>3665</v>
      </c>
      <c r="Y598" s="0" t="s">
        <v>3071</v>
      </c>
      <c r="Z598" s="0" t="s">
        <v>3072</v>
      </c>
      <c r="AA598" s="0" t="s">
        <v>3847</v>
      </c>
      <c r="AC598" s="0" t="s">
        <v>3643</v>
      </c>
    </row>
    <row r="599" customFormat="false" ht="15" hidden="false" customHeight="false" outlineLevel="0" collapsed="false">
      <c r="A599" s="0" t="s">
        <v>3850</v>
      </c>
      <c r="B599" s="0" t="s">
        <v>211</v>
      </c>
      <c r="C599" s="0" t="s">
        <v>3282</v>
      </c>
      <c r="D599" s="0" t="n">
        <v>2019</v>
      </c>
      <c r="E599" s="0" t="s">
        <v>65</v>
      </c>
      <c r="F599" s="0" t="n">
        <v>33853301</v>
      </c>
      <c r="G599" s="0" t="s">
        <v>3067</v>
      </c>
      <c r="H599" s="0" t="s">
        <v>3068</v>
      </c>
      <c r="I599" s="0" t="n">
        <v>33853.301</v>
      </c>
      <c r="J599" s="0" t="s">
        <v>3640</v>
      </c>
      <c r="M599" s="0" t="s">
        <v>2751</v>
      </c>
      <c r="N599" s="0" t="s">
        <v>218</v>
      </c>
      <c r="Q599" s="0" t="n">
        <v>127</v>
      </c>
      <c r="R599" s="0" t="n">
        <v>123</v>
      </c>
      <c r="U599" s="0" t="s">
        <v>3671</v>
      </c>
      <c r="V599" s="0" t="s">
        <v>3671</v>
      </c>
      <c r="Y599" s="0" t="s">
        <v>3071</v>
      </c>
      <c r="Z599" s="0" t="s">
        <v>3072</v>
      </c>
      <c r="AA599" s="0" t="s">
        <v>3652</v>
      </c>
      <c r="AC599" s="0" t="s">
        <v>3643</v>
      </c>
    </row>
    <row r="600" customFormat="false" ht="15" hidden="false" customHeight="false" outlineLevel="0" collapsed="false">
      <c r="A600" s="0" t="s">
        <v>3851</v>
      </c>
      <c r="B600" s="0" t="s">
        <v>211</v>
      </c>
      <c r="C600" s="0" t="s">
        <v>3282</v>
      </c>
      <c r="D600" s="0" t="n">
        <v>2019</v>
      </c>
      <c r="E600" s="0" t="s">
        <v>66</v>
      </c>
      <c r="F600" s="0" t="n">
        <v>248951162</v>
      </c>
      <c r="G600" s="0" t="s">
        <v>3067</v>
      </c>
      <c r="H600" s="0" t="s">
        <v>3068</v>
      </c>
      <c r="I600" s="0" t="n">
        <v>248951.162</v>
      </c>
      <c r="J600" s="0" t="s">
        <v>3640</v>
      </c>
      <c r="M600" s="0" t="s">
        <v>2751</v>
      </c>
      <c r="N600" s="0" t="s">
        <v>218</v>
      </c>
      <c r="Q600" s="0" t="n">
        <v>127</v>
      </c>
      <c r="R600" s="0" t="n">
        <v>123</v>
      </c>
      <c r="U600" s="0" t="s">
        <v>3671</v>
      </c>
      <c r="V600" s="0" t="s">
        <v>3671</v>
      </c>
      <c r="Y600" s="0" t="s">
        <v>3071</v>
      </c>
      <c r="Z600" s="0" t="s">
        <v>3072</v>
      </c>
      <c r="AA600" s="0" t="s">
        <v>3652</v>
      </c>
      <c r="AC600" s="0" t="s">
        <v>3643</v>
      </c>
    </row>
    <row r="601" customFormat="false" ht="15" hidden="false" customHeight="false" outlineLevel="0" collapsed="false">
      <c r="A601" s="0" t="s">
        <v>3852</v>
      </c>
      <c r="B601" s="0" t="s">
        <v>211</v>
      </c>
      <c r="C601" s="0" t="s">
        <v>3282</v>
      </c>
      <c r="D601" s="0" t="n">
        <v>2019</v>
      </c>
      <c r="E601" s="0" t="s">
        <v>69</v>
      </c>
      <c r="F601" s="0" t="n">
        <v>13.6</v>
      </c>
      <c r="G601" s="0" t="s">
        <v>3143</v>
      </c>
      <c r="I601" s="0" t="n">
        <v>13.6</v>
      </c>
      <c r="J601" s="0" t="s">
        <v>3640</v>
      </c>
      <c r="M601" s="0" t="s">
        <v>2751</v>
      </c>
      <c r="N601" s="0" t="s">
        <v>218</v>
      </c>
      <c r="Q601" s="0" t="n">
        <v>127</v>
      </c>
      <c r="R601" s="0" t="n">
        <v>123</v>
      </c>
      <c r="U601" s="0" t="s">
        <v>3671</v>
      </c>
      <c r="V601" s="0" t="s">
        <v>3671</v>
      </c>
      <c r="Y601" s="0" t="s">
        <v>3071</v>
      </c>
      <c r="Z601" s="0" t="s">
        <v>3072</v>
      </c>
      <c r="AA601" s="0" t="s">
        <v>3652</v>
      </c>
      <c r="AC601" s="0" t="s">
        <v>3643</v>
      </c>
    </row>
    <row r="602" customFormat="false" ht="15" hidden="false" customHeight="false" outlineLevel="0" collapsed="false">
      <c r="A602" s="0" t="s">
        <v>3853</v>
      </c>
      <c r="B602" s="0" t="s">
        <v>211</v>
      </c>
      <c r="C602" s="0" t="s">
        <v>3282</v>
      </c>
      <c r="D602" s="0" t="n">
        <v>2022</v>
      </c>
      <c r="E602" s="0" t="s">
        <v>65</v>
      </c>
      <c r="F602" s="0" t="n">
        <v>59144646</v>
      </c>
      <c r="G602" s="0" t="s">
        <v>3067</v>
      </c>
      <c r="H602" s="0" t="s">
        <v>3068</v>
      </c>
      <c r="I602" s="0" t="n">
        <v>59144.646</v>
      </c>
      <c r="J602" s="0" t="s">
        <v>3640</v>
      </c>
      <c r="M602" s="0" t="s">
        <v>2755</v>
      </c>
      <c r="N602" s="0" t="s">
        <v>221</v>
      </c>
      <c r="Q602" s="0" t="n">
        <v>187</v>
      </c>
      <c r="R602" s="0" t="n">
        <v>269</v>
      </c>
      <c r="U602" s="0" t="s">
        <v>3815</v>
      </c>
      <c r="V602" s="0" t="s">
        <v>3815</v>
      </c>
      <c r="Y602" s="0" t="s">
        <v>3071</v>
      </c>
      <c r="Z602" s="0" t="s">
        <v>3072</v>
      </c>
      <c r="AA602" s="0" t="s">
        <v>3854</v>
      </c>
      <c r="AC602" s="0" t="s">
        <v>3643</v>
      </c>
    </row>
    <row r="603" customFormat="false" ht="15" hidden="false" customHeight="false" outlineLevel="0" collapsed="false">
      <c r="A603" s="0" t="s">
        <v>3855</v>
      </c>
      <c r="B603" s="0" t="s">
        <v>211</v>
      </c>
      <c r="C603" s="0" t="s">
        <v>3282</v>
      </c>
      <c r="D603" s="0" t="n">
        <v>2022</v>
      </c>
      <c r="E603" s="0" t="s">
        <v>66</v>
      </c>
      <c r="F603" s="0" t="n">
        <v>464338153</v>
      </c>
      <c r="G603" s="0" t="s">
        <v>3067</v>
      </c>
      <c r="H603" s="0" t="s">
        <v>3068</v>
      </c>
      <c r="I603" s="0" t="n">
        <v>464338.153</v>
      </c>
      <c r="J603" s="0" t="s">
        <v>3640</v>
      </c>
      <c r="M603" s="0" t="s">
        <v>2755</v>
      </c>
      <c r="N603" s="0" t="s">
        <v>221</v>
      </c>
      <c r="Q603" s="0" t="n">
        <v>187</v>
      </c>
      <c r="R603" s="0" t="n">
        <v>269</v>
      </c>
      <c r="U603" s="0" t="s">
        <v>3815</v>
      </c>
      <c r="V603" s="0" t="s">
        <v>3815</v>
      </c>
      <c r="Y603" s="0" t="s">
        <v>3071</v>
      </c>
      <c r="Z603" s="0" t="s">
        <v>3072</v>
      </c>
      <c r="AA603" s="0" t="s">
        <v>3854</v>
      </c>
      <c r="AC603" s="0" t="s">
        <v>3643</v>
      </c>
    </row>
    <row r="604" customFormat="false" ht="15" hidden="false" customHeight="false" outlineLevel="0" collapsed="false">
      <c r="A604" s="0" t="s">
        <v>3856</v>
      </c>
      <c r="B604" s="0" t="s">
        <v>211</v>
      </c>
      <c r="C604" s="0" t="s">
        <v>3282</v>
      </c>
      <c r="D604" s="0" t="n">
        <v>2022</v>
      </c>
      <c r="E604" s="0" t="s">
        <v>69</v>
      </c>
      <c r="F604" s="0" t="n">
        <v>12.74</v>
      </c>
      <c r="G604" s="0" t="s">
        <v>3143</v>
      </c>
      <c r="I604" s="0" t="n">
        <v>12.74</v>
      </c>
      <c r="J604" s="0" t="s">
        <v>3640</v>
      </c>
      <c r="M604" s="0" t="s">
        <v>2755</v>
      </c>
      <c r="N604" s="0" t="s">
        <v>221</v>
      </c>
      <c r="Q604" s="0" t="n">
        <v>187</v>
      </c>
      <c r="R604" s="0" t="n">
        <v>269</v>
      </c>
      <c r="U604" s="0" t="s">
        <v>3815</v>
      </c>
      <c r="V604" s="0" t="s">
        <v>3815</v>
      </c>
      <c r="Y604" s="0" t="s">
        <v>3071</v>
      </c>
      <c r="Z604" s="0" t="s">
        <v>3072</v>
      </c>
      <c r="AA604" s="0" t="s">
        <v>3854</v>
      </c>
      <c r="AC604" s="0" t="s">
        <v>3643</v>
      </c>
    </row>
    <row r="605" customFormat="false" ht="15" hidden="false" customHeight="false" outlineLevel="0" collapsed="false">
      <c r="A605" s="0" t="s">
        <v>3857</v>
      </c>
      <c r="B605" s="0" t="s">
        <v>187</v>
      </c>
      <c r="C605" s="0" t="s">
        <v>3524</v>
      </c>
      <c r="D605" s="0" t="n">
        <v>2017</v>
      </c>
      <c r="E605" s="0" t="s">
        <v>54</v>
      </c>
      <c r="F605" s="0" t="n">
        <v>11239</v>
      </c>
      <c r="G605" s="0" t="s">
        <v>3101</v>
      </c>
      <c r="H605" s="0" t="s">
        <v>3068</v>
      </c>
      <c r="I605" s="0" t="n">
        <v>11239</v>
      </c>
      <c r="J605" s="0" t="s">
        <v>3858</v>
      </c>
      <c r="L605" s="0" t="n">
        <v>2018</v>
      </c>
      <c r="M605" s="0" t="s">
        <v>2734</v>
      </c>
      <c r="N605" s="0" t="s">
        <v>191</v>
      </c>
      <c r="Q605" s="0" t="s">
        <v>3859</v>
      </c>
      <c r="R605" s="0" t="s">
        <v>3860</v>
      </c>
      <c r="U605" s="0" t="s">
        <v>192</v>
      </c>
      <c r="V605" s="0" t="s">
        <v>192</v>
      </c>
      <c r="Y605" s="0" t="s">
        <v>3071</v>
      </c>
      <c r="Z605" s="0" t="s">
        <v>3072</v>
      </c>
      <c r="AA605" s="0" t="s">
        <v>3861</v>
      </c>
      <c r="AC605" s="0" t="s">
        <v>3862</v>
      </c>
    </row>
    <row r="606" customFormat="false" ht="15" hidden="false" customHeight="false" outlineLevel="0" collapsed="false">
      <c r="A606" s="0" t="s">
        <v>3863</v>
      </c>
      <c r="B606" s="0" t="s">
        <v>187</v>
      </c>
      <c r="C606" s="0" t="s">
        <v>3524</v>
      </c>
      <c r="D606" s="0" t="n">
        <v>2017</v>
      </c>
      <c r="E606" s="0" t="s">
        <v>55</v>
      </c>
      <c r="F606" s="0" t="n">
        <v>1334921</v>
      </c>
      <c r="G606" s="0" t="s">
        <v>3101</v>
      </c>
      <c r="H606" s="0" t="s">
        <v>3068</v>
      </c>
      <c r="I606" s="0" t="n">
        <v>1334921</v>
      </c>
      <c r="J606" s="0" t="s">
        <v>3858</v>
      </c>
      <c r="L606" s="0" t="n">
        <v>2018</v>
      </c>
      <c r="M606" s="0" t="s">
        <v>2734</v>
      </c>
      <c r="N606" s="0" t="s">
        <v>191</v>
      </c>
      <c r="Q606" s="0" t="n">
        <v>66</v>
      </c>
      <c r="R606" s="0" t="n">
        <v>64</v>
      </c>
      <c r="U606" s="0" t="s">
        <v>192</v>
      </c>
      <c r="V606" s="0" t="s">
        <v>192</v>
      </c>
      <c r="Y606" s="0" t="s">
        <v>3071</v>
      </c>
      <c r="Z606" s="0" t="s">
        <v>3072</v>
      </c>
      <c r="AA606" s="0" t="s">
        <v>3861</v>
      </c>
      <c r="AC606" s="0" t="s">
        <v>3862</v>
      </c>
    </row>
    <row r="607" customFormat="false" ht="15" hidden="false" customHeight="false" outlineLevel="0" collapsed="false">
      <c r="A607" s="0" t="s">
        <v>3864</v>
      </c>
      <c r="B607" s="0" t="s">
        <v>187</v>
      </c>
      <c r="C607" s="0" t="s">
        <v>3524</v>
      </c>
      <c r="D607" s="0" t="n">
        <v>2017</v>
      </c>
      <c r="E607" s="0" t="s">
        <v>56</v>
      </c>
      <c r="F607" s="0" t="n">
        <v>1015802</v>
      </c>
      <c r="G607" s="0" t="s">
        <v>3101</v>
      </c>
      <c r="H607" s="0" t="s">
        <v>3068</v>
      </c>
      <c r="I607" s="0" t="n">
        <v>1015802</v>
      </c>
      <c r="J607" s="0" t="s">
        <v>3858</v>
      </c>
      <c r="L607" s="0" t="n">
        <v>2018</v>
      </c>
      <c r="M607" s="0" t="s">
        <v>2734</v>
      </c>
      <c r="N607" s="0" t="s">
        <v>191</v>
      </c>
      <c r="Q607" s="0" t="n">
        <v>66</v>
      </c>
      <c r="R607" s="0" t="n">
        <v>64</v>
      </c>
      <c r="U607" s="0" t="s">
        <v>192</v>
      </c>
      <c r="V607" s="0" t="s">
        <v>192</v>
      </c>
      <c r="Y607" s="0" t="s">
        <v>3071</v>
      </c>
      <c r="Z607" s="0" t="s">
        <v>3072</v>
      </c>
      <c r="AA607" s="0" t="s">
        <v>3861</v>
      </c>
      <c r="AC607" s="0" t="s">
        <v>3862</v>
      </c>
    </row>
    <row r="608" customFormat="false" ht="15" hidden="false" customHeight="false" outlineLevel="0" collapsed="false">
      <c r="A608" s="0" t="s">
        <v>3865</v>
      </c>
      <c r="B608" s="0" t="s">
        <v>187</v>
      </c>
      <c r="C608" s="0" t="s">
        <v>3524</v>
      </c>
      <c r="D608" s="0" t="n">
        <v>2017</v>
      </c>
      <c r="E608" s="0" t="s">
        <v>57</v>
      </c>
      <c r="F608" s="0" t="n">
        <v>319119</v>
      </c>
      <c r="G608" s="0" t="s">
        <v>3101</v>
      </c>
      <c r="H608" s="0" t="s">
        <v>3068</v>
      </c>
      <c r="I608" s="0" t="n">
        <v>319119</v>
      </c>
      <c r="J608" s="0" t="s">
        <v>3858</v>
      </c>
      <c r="L608" s="0" t="n">
        <v>2018</v>
      </c>
      <c r="M608" s="0" t="s">
        <v>2734</v>
      </c>
      <c r="N608" s="0" t="s">
        <v>191</v>
      </c>
      <c r="Q608" s="0" t="n">
        <v>66</v>
      </c>
      <c r="R608" s="0" t="n">
        <v>64</v>
      </c>
      <c r="U608" s="0" t="s">
        <v>192</v>
      </c>
      <c r="V608" s="0" t="s">
        <v>192</v>
      </c>
      <c r="Y608" s="0" t="s">
        <v>3071</v>
      </c>
      <c r="Z608" s="0" t="s">
        <v>3072</v>
      </c>
      <c r="AA608" s="0" t="s">
        <v>3861</v>
      </c>
      <c r="AC608" s="0" t="s">
        <v>3862</v>
      </c>
    </row>
    <row r="609" customFormat="false" ht="15" hidden="false" customHeight="false" outlineLevel="0" collapsed="false">
      <c r="A609" s="0" t="s">
        <v>3866</v>
      </c>
      <c r="B609" s="0" t="s">
        <v>187</v>
      </c>
      <c r="C609" s="0" t="s">
        <v>3524</v>
      </c>
      <c r="D609" s="0" t="n">
        <v>2017</v>
      </c>
      <c r="E609" s="0" t="s">
        <v>58</v>
      </c>
      <c r="F609" s="0" t="n">
        <v>68160</v>
      </c>
      <c r="G609" s="0" t="s">
        <v>3101</v>
      </c>
      <c r="H609" s="0" t="s">
        <v>3068</v>
      </c>
      <c r="I609" s="0" t="n">
        <v>68160</v>
      </c>
      <c r="J609" s="0" t="s">
        <v>3858</v>
      </c>
      <c r="L609" s="0" t="n">
        <v>2018</v>
      </c>
      <c r="M609" s="0" t="s">
        <v>2734</v>
      </c>
      <c r="N609" s="0" t="s">
        <v>191</v>
      </c>
      <c r="Q609" s="0" t="n">
        <v>69</v>
      </c>
      <c r="R609" s="0" t="n">
        <v>67</v>
      </c>
      <c r="U609" s="0" t="s">
        <v>192</v>
      </c>
      <c r="V609" s="0" t="s">
        <v>192</v>
      </c>
      <c r="Y609" s="0" t="s">
        <v>3071</v>
      </c>
      <c r="Z609" s="0" t="s">
        <v>3072</v>
      </c>
      <c r="AA609" s="0" t="s">
        <v>3861</v>
      </c>
      <c r="AC609" s="0" t="s">
        <v>3862</v>
      </c>
    </row>
    <row r="610" customFormat="false" ht="15" hidden="false" customHeight="false" outlineLevel="0" collapsed="false">
      <c r="A610" s="0" t="s">
        <v>3867</v>
      </c>
      <c r="B610" s="0" t="s">
        <v>187</v>
      </c>
      <c r="C610" s="0" t="s">
        <v>3524</v>
      </c>
      <c r="D610" s="0" t="n">
        <v>2017</v>
      </c>
      <c r="E610" s="0" t="s">
        <v>59</v>
      </c>
      <c r="F610" s="0" t="n">
        <v>1123483</v>
      </c>
      <c r="G610" s="0" t="s">
        <v>3101</v>
      </c>
      <c r="H610" s="0" t="s">
        <v>3068</v>
      </c>
      <c r="I610" s="0" t="n">
        <v>1123483</v>
      </c>
      <c r="J610" s="0" t="s">
        <v>3858</v>
      </c>
      <c r="L610" s="0" t="n">
        <v>2018</v>
      </c>
      <c r="M610" s="0" t="s">
        <v>2734</v>
      </c>
      <c r="N610" s="0" t="s">
        <v>191</v>
      </c>
      <c r="Q610" s="0" t="n">
        <v>66</v>
      </c>
      <c r="R610" s="0" t="n">
        <v>64</v>
      </c>
      <c r="U610" s="0" t="s">
        <v>192</v>
      </c>
      <c r="V610" s="0" t="s">
        <v>192</v>
      </c>
      <c r="Y610" s="0" t="s">
        <v>3071</v>
      </c>
      <c r="Z610" s="0" t="s">
        <v>3072</v>
      </c>
      <c r="AA610" s="0" t="s">
        <v>3868</v>
      </c>
      <c r="AC610" s="0" t="s">
        <v>3862</v>
      </c>
    </row>
    <row r="611" customFormat="false" ht="15" hidden="false" customHeight="false" outlineLevel="0" collapsed="false">
      <c r="A611" s="0" t="s">
        <v>3869</v>
      </c>
      <c r="B611" s="0" t="s">
        <v>187</v>
      </c>
      <c r="C611" s="0" t="s">
        <v>3524</v>
      </c>
      <c r="D611" s="0" t="n">
        <v>2017</v>
      </c>
      <c r="E611" s="0" t="s">
        <v>60</v>
      </c>
      <c r="F611" s="0" t="n">
        <v>531807</v>
      </c>
      <c r="G611" s="0" t="s">
        <v>3101</v>
      </c>
      <c r="H611" s="0" t="s">
        <v>3068</v>
      </c>
      <c r="I611" s="0" t="n">
        <v>531807</v>
      </c>
      <c r="J611" s="0" t="s">
        <v>3858</v>
      </c>
      <c r="L611" s="0" t="n">
        <v>2018</v>
      </c>
      <c r="M611" s="0" t="s">
        <v>2734</v>
      </c>
      <c r="N611" s="0" t="s">
        <v>191</v>
      </c>
      <c r="Q611" s="0" t="n">
        <v>149</v>
      </c>
      <c r="R611" s="0" t="n">
        <v>149</v>
      </c>
      <c r="U611" s="0" t="s">
        <v>192</v>
      </c>
      <c r="V611" s="0" t="s">
        <v>192</v>
      </c>
      <c r="Y611" s="0" t="s">
        <v>3071</v>
      </c>
      <c r="Z611" s="0" t="s">
        <v>3072</v>
      </c>
      <c r="AA611" s="0" t="s">
        <v>3861</v>
      </c>
      <c r="AC611" s="0" t="s">
        <v>3862</v>
      </c>
    </row>
    <row r="612" customFormat="false" ht="15" hidden="false" customHeight="false" outlineLevel="0" collapsed="false">
      <c r="A612" s="0" t="s">
        <v>3870</v>
      </c>
      <c r="B612" s="0" t="s">
        <v>187</v>
      </c>
      <c r="C612" s="0" t="s">
        <v>3524</v>
      </c>
      <c r="D612" s="0" t="n">
        <v>2017</v>
      </c>
      <c r="E612" s="0" t="s">
        <v>61</v>
      </c>
      <c r="F612" s="0" t="n">
        <v>43252</v>
      </c>
      <c r="G612" s="0" t="s">
        <v>3101</v>
      </c>
      <c r="H612" s="0" t="s">
        <v>3068</v>
      </c>
      <c r="I612" s="0" t="n">
        <v>43252</v>
      </c>
      <c r="J612" s="0" t="s">
        <v>3858</v>
      </c>
      <c r="L612" s="0" t="n">
        <v>2018</v>
      </c>
      <c r="M612" s="0" t="s">
        <v>2734</v>
      </c>
      <c r="N612" s="0" t="s">
        <v>191</v>
      </c>
      <c r="Q612" s="0" t="n">
        <v>149</v>
      </c>
      <c r="R612" s="0" t="n">
        <v>149</v>
      </c>
      <c r="U612" s="0" t="s">
        <v>192</v>
      </c>
      <c r="V612" s="0" t="s">
        <v>192</v>
      </c>
      <c r="Y612" s="0" t="s">
        <v>3071</v>
      </c>
      <c r="Z612" s="0" t="s">
        <v>3072</v>
      </c>
      <c r="AA612" s="0" t="s">
        <v>3861</v>
      </c>
      <c r="AC612" s="0" t="s">
        <v>3862</v>
      </c>
    </row>
    <row r="613" customFormat="false" ht="15" hidden="false" customHeight="false" outlineLevel="0" collapsed="false">
      <c r="A613" s="0" t="s">
        <v>3871</v>
      </c>
      <c r="B613" s="0" t="s">
        <v>187</v>
      </c>
      <c r="C613" s="0" t="s">
        <v>3524</v>
      </c>
      <c r="D613" s="0" t="n">
        <v>2017</v>
      </c>
      <c r="E613" s="0" t="s">
        <v>62</v>
      </c>
      <c r="F613" s="0" t="n">
        <v>488555</v>
      </c>
      <c r="G613" s="0" t="s">
        <v>3101</v>
      </c>
      <c r="H613" s="0" t="s">
        <v>3068</v>
      </c>
      <c r="I613" s="0" t="n">
        <v>488555</v>
      </c>
      <c r="J613" s="0" t="s">
        <v>3858</v>
      </c>
      <c r="L613" s="0" t="n">
        <v>2018</v>
      </c>
      <c r="M613" s="0" t="s">
        <v>2734</v>
      </c>
      <c r="N613" s="0" t="s">
        <v>191</v>
      </c>
      <c r="Q613" s="0" t="n">
        <v>149</v>
      </c>
      <c r="R613" s="0" t="n">
        <v>149</v>
      </c>
      <c r="U613" s="0" t="s">
        <v>192</v>
      </c>
      <c r="V613" s="0" t="s">
        <v>192</v>
      </c>
      <c r="Y613" s="0" t="s">
        <v>3071</v>
      </c>
      <c r="Z613" s="0" t="s">
        <v>3072</v>
      </c>
      <c r="AA613" s="0" t="s">
        <v>3861</v>
      </c>
      <c r="AC613" s="0" t="s">
        <v>3862</v>
      </c>
    </row>
    <row r="614" customFormat="false" ht="15" hidden="false" customHeight="false" outlineLevel="0" collapsed="false">
      <c r="A614" s="0" t="s">
        <v>3872</v>
      </c>
      <c r="B614" s="0" t="s">
        <v>187</v>
      </c>
      <c r="C614" s="0" t="s">
        <v>3524</v>
      </c>
      <c r="D614" s="0" t="n">
        <v>2017</v>
      </c>
      <c r="E614" s="0" t="s">
        <v>541</v>
      </c>
      <c r="F614" s="0" t="n">
        <v>11576</v>
      </c>
      <c r="G614" s="0" t="s">
        <v>3101</v>
      </c>
      <c r="H614" s="0" t="s">
        <v>3068</v>
      </c>
      <c r="I614" s="0" t="n">
        <v>11576</v>
      </c>
      <c r="J614" s="0" t="s">
        <v>3858</v>
      </c>
      <c r="L614" s="0" t="n">
        <v>2018</v>
      </c>
      <c r="M614" s="0" t="s">
        <v>2734</v>
      </c>
      <c r="N614" s="0" t="s">
        <v>191</v>
      </c>
      <c r="Q614" s="0" t="s">
        <v>3859</v>
      </c>
      <c r="R614" s="0" t="s">
        <v>3860</v>
      </c>
      <c r="U614" s="0" t="s">
        <v>192</v>
      </c>
      <c r="V614" s="0" t="s">
        <v>192</v>
      </c>
      <c r="Y614" s="0" t="s">
        <v>3071</v>
      </c>
      <c r="Z614" s="0" t="s">
        <v>3072</v>
      </c>
      <c r="AA614" s="0" t="s">
        <v>3861</v>
      </c>
      <c r="AC614" s="0" t="s">
        <v>3862</v>
      </c>
    </row>
    <row r="615" customFormat="false" ht="15" hidden="false" customHeight="false" outlineLevel="0" collapsed="false">
      <c r="A615" s="0" t="s">
        <v>3873</v>
      </c>
      <c r="B615" s="0" t="s">
        <v>187</v>
      </c>
      <c r="C615" s="0" t="s">
        <v>3524</v>
      </c>
      <c r="D615" s="0" t="n">
        <v>2017</v>
      </c>
      <c r="E615" s="0" t="s">
        <v>1327</v>
      </c>
      <c r="F615" s="0" t="n">
        <v>157566</v>
      </c>
      <c r="G615" s="0" t="s">
        <v>3101</v>
      </c>
      <c r="H615" s="0" t="s">
        <v>3068</v>
      </c>
      <c r="I615" s="0" t="n">
        <v>157566</v>
      </c>
      <c r="J615" s="0" t="s">
        <v>3858</v>
      </c>
      <c r="L615" s="0" t="n">
        <v>2018</v>
      </c>
      <c r="M615" s="0" t="s">
        <v>2734</v>
      </c>
      <c r="N615" s="0" t="s">
        <v>191</v>
      </c>
      <c r="Q615" s="0" t="s">
        <v>3859</v>
      </c>
      <c r="R615" s="0" t="s">
        <v>3860</v>
      </c>
      <c r="U615" s="0" t="s">
        <v>192</v>
      </c>
      <c r="V615" s="0" t="s">
        <v>192</v>
      </c>
      <c r="Y615" s="0" t="s">
        <v>3071</v>
      </c>
      <c r="Z615" s="0" t="s">
        <v>3072</v>
      </c>
      <c r="AA615" s="0" t="s">
        <v>3861</v>
      </c>
      <c r="AC615" s="0" t="s">
        <v>3862</v>
      </c>
    </row>
    <row r="616" customFormat="false" ht="15" hidden="false" customHeight="false" outlineLevel="0" collapsed="false">
      <c r="A616" s="0" t="s">
        <v>3874</v>
      </c>
      <c r="B616" s="0" t="s">
        <v>187</v>
      </c>
      <c r="C616" s="0" t="s">
        <v>3524</v>
      </c>
      <c r="D616" s="0" t="n">
        <v>2017</v>
      </c>
      <c r="E616" s="0" t="s">
        <v>63</v>
      </c>
      <c r="F616" s="0" t="n">
        <v>25478</v>
      </c>
      <c r="G616" s="0" t="s">
        <v>3101</v>
      </c>
      <c r="H616" s="0" t="s">
        <v>3068</v>
      </c>
      <c r="I616" s="0" t="n">
        <v>25478</v>
      </c>
      <c r="J616" s="0" t="s">
        <v>3858</v>
      </c>
      <c r="L616" s="0" t="n">
        <v>2018</v>
      </c>
      <c r="M616" s="0" t="s">
        <v>2734</v>
      </c>
      <c r="N616" s="0" t="s">
        <v>191</v>
      </c>
      <c r="Q616" s="0" t="s">
        <v>3859</v>
      </c>
      <c r="R616" s="0" t="s">
        <v>3860</v>
      </c>
      <c r="U616" s="0" t="s">
        <v>192</v>
      </c>
      <c r="V616" s="0" t="s">
        <v>192</v>
      </c>
      <c r="Y616" s="0" t="s">
        <v>3071</v>
      </c>
      <c r="Z616" s="0" t="s">
        <v>3072</v>
      </c>
      <c r="AA616" s="0" t="s">
        <v>3875</v>
      </c>
      <c r="AC616" s="0" t="s">
        <v>3862</v>
      </c>
    </row>
    <row r="617" customFormat="false" ht="15" hidden="false" customHeight="false" outlineLevel="0" collapsed="false">
      <c r="A617" s="0" t="s">
        <v>3876</v>
      </c>
      <c r="B617" s="0" t="s">
        <v>187</v>
      </c>
      <c r="C617" s="0" t="s">
        <v>3524</v>
      </c>
      <c r="D617" s="0" t="n">
        <v>2017</v>
      </c>
      <c r="E617" s="0" t="s">
        <v>1366</v>
      </c>
      <c r="F617" s="0" t="n">
        <v>25510</v>
      </c>
      <c r="G617" s="0" t="s">
        <v>3101</v>
      </c>
      <c r="H617" s="0" t="s">
        <v>3068</v>
      </c>
      <c r="I617" s="0" t="n">
        <v>25510</v>
      </c>
      <c r="J617" s="0" t="s">
        <v>3858</v>
      </c>
      <c r="L617" s="0" t="n">
        <v>2018</v>
      </c>
      <c r="M617" s="0" t="s">
        <v>2734</v>
      </c>
      <c r="N617" s="0" t="s">
        <v>191</v>
      </c>
      <c r="Q617" s="0" t="s">
        <v>3859</v>
      </c>
      <c r="R617" s="0" t="s">
        <v>3860</v>
      </c>
      <c r="U617" s="0" t="s">
        <v>192</v>
      </c>
      <c r="V617" s="0" t="s">
        <v>192</v>
      </c>
      <c r="Y617" s="0" t="s">
        <v>3071</v>
      </c>
      <c r="Z617" s="0" t="s">
        <v>3072</v>
      </c>
      <c r="AA617" s="0" t="s">
        <v>3861</v>
      </c>
      <c r="AC617" s="0" t="s">
        <v>3862</v>
      </c>
    </row>
    <row r="618" customFormat="false" ht="15" hidden="false" customHeight="false" outlineLevel="0" collapsed="false">
      <c r="A618" s="0" t="s">
        <v>3877</v>
      </c>
      <c r="B618" s="0" t="s">
        <v>187</v>
      </c>
      <c r="C618" s="0" t="s">
        <v>3524</v>
      </c>
      <c r="D618" s="0" t="n">
        <v>2017</v>
      </c>
      <c r="E618" s="0" t="s">
        <v>1038</v>
      </c>
      <c r="F618" s="0" t="n">
        <v>-32</v>
      </c>
      <c r="G618" s="0" t="s">
        <v>3101</v>
      </c>
      <c r="H618" s="0" t="s">
        <v>3068</v>
      </c>
      <c r="I618" s="0" t="n">
        <v>-32</v>
      </c>
      <c r="J618" s="0" t="s">
        <v>3858</v>
      </c>
      <c r="L618" s="0" t="n">
        <v>2018</v>
      </c>
      <c r="M618" s="0" t="s">
        <v>2734</v>
      </c>
      <c r="N618" s="0" t="s">
        <v>191</v>
      </c>
      <c r="Q618" s="0" t="s">
        <v>3859</v>
      </c>
      <c r="R618" s="0" t="s">
        <v>3860</v>
      </c>
      <c r="U618" s="0" t="s">
        <v>192</v>
      </c>
      <c r="V618" s="0" t="s">
        <v>192</v>
      </c>
      <c r="Y618" s="0" t="s">
        <v>3071</v>
      </c>
      <c r="Z618" s="0" t="s">
        <v>3072</v>
      </c>
      <c r="AA618" s="0" t="s">
        <v>3861</v>
      </c>
      <c r="AC618" s="0" t="s">
        <v>3862</v>
      </c>
    </row>
    <row r="619" customFormat="false" ht="15" hidden="false" customHeight="false" outlineLevel="0" collapsed="false">
      <c r="A619" s="0" t="s">
        <v>3878</v>
      </c>
      <c r="B619" s="0" t="s">
        <v>187</v>
      </c>
      <c r="C619" s="0" t="s">
        <v>3524</v>
      </c>
      <c r="D619" s="0" t="n">
        <v>2017</v>
      </c>
      <c r="E619" s="0" t="s">
        <v>69</v>
      </c>
      <c r="F619" s="0" t="n">
        <v>17.8</v>
      </c>
      <c r="G619" s="0" t="s">
        <v>3143</v>
      </c>
      <c r="I619" s="0" t="n">
        <v>17.8</v>
      </c>
      <c r="J619" s="0" t="s">
        <v>3858</v>
      </c>
      <c r="L619" s="0" t="n">
        <v>2018</v>
      </c>
      <c r="M619" s="0" t="s">
        <v>2734</v>
      </c>
      <c r="N619" s="0" t="s">
        <v>191</v>
      </c>
      <c r="Q619" s="0" t="n">
        <v>127</v>
      </c>
      <c r="R619" s="0" t="n">
        <v>127</v>
      </c>
      <c r="U619" s="0" t="s">
        <v>192</v>
      </c>
      <c r="V619" s="0" t="s">
        <v>192</v>
      </c>
      <c r="Y619" s="0" t="s">
        <v>3071</v>
      </c>
      <c r="Z619" s="0" t="s">
        <v>3072</v>
      </c>
      <c r="AA619" s="0" t="s">
        <v>3861</v>
      </c>
      <c r="AC619" s="0" t="s">
        <v>3862</v>
      </c>
    </row>
    <row r="620" customFormat="false" ht="15" hidden="false" customHeight="false" outlineLevel="0" collapsed="false">
      <c r="A620" s="0" t="s">
        <v>3879</v>
      </c>
      <c r="B620" s="0" t="s">
        <v>187</v>
      </c>
      <c r="C620" s="0" t="s">
        <v>3524</v>
      </c>
      <c r="D620" s="0" t="n">
        <v>2017</v>
      </c>
      <c r="E620" s="0" t="s">
        <v>65</v>
      </c>
      <c r="F620" s="0" t="n">
        <v>137875</v>
      </c>
      <c r="G620" s="0" t="s">
        <v>3101</v>
      </c>
      <c r="H620" s="0" t="s">
        <v>3068</v>
      </c>
      <c r="I620" s="0" t="n">
        <v>137875</v>
      </c>
      <c r="J620" s="0" t="s">
        <v>3858</v>
      </c>
      <c r="L620" s="0" t="n">
        <v>2018</v>
      </c>
      <c r="M620" s="0" t="s">
        <v>2734</v>
      </c>
      <c r="N620" s="0" t="s">
        <v>191</v>
      </c>
      <c r="Q620" s="0" t="n">
        <v>127</v>
      </c>
      <c r="R620" s="0" t="n">
        <v>127</v>
      </c>
      <c r="U620" s="0" t="s">
        <v>192</v>
      </c>
      <c r="V620" s="0" t="s">
        <v>192</v>
      </c>
      <c r="Y620" s="0" t="s">
        <v>3071</v>
      </c>
      <c r="Z620" s="0" t="s">
        <v>3072</v>
      </c>
      <c r="AA620" s="0" t="s">
        <v>3861</v>
      </c>
      <c r="AC620" s="0" t="s">
        <v>3862</v>
      </c>
    </row>
    <row r="621" customFormat="false" ht="15" hidden="false" customHeight="false" outlineLevel="0" collapsed="false">
      <c r="A621" s="0" t="s">
        <v>3880</v>
      </c>
      <c r="B621" s="0" t="s">
        <v>187</v>
      </c>
      <c r="C621" s="0" t="s">
        <v>3524</v>
      </c>
      <c r="D621" s="0" t="n">
        <v>2017</v>
      </c>
      <c r="E621" s="0" t="s">
        <v>66</v>
      </c>
      <c r="F621" s="0" t="n">
        <v>774497</v>
      </c>
      <c r="G621" s="0" t="s">
        <v>3101</v>
      </c>
      <c r="H621" s="0" t="s">
        <v>3068</v>
      </c>
      <c r="I621" s="0" t="n">
        <v>774497</v>
      </c>
      <c r="J621" s="0" t="s">
        <v>3858</v>
      </c>
      <c r="L621" s="0" t="n">
        <v>2018</v>
      </c>
      <c r="M621" s="0" t="s">
        <v>2734</v>
      </c>
      <c r="N621" s="0" t="s">
        <v>191</v>
      </c>
      <c r="Q621" s="0" t="n">
        <v>127</v>
      </c>
      <c r="R621" s="0" t="n">
        <v>127</v>
      </c>
      <c r="U621" s="0" t="s">
        <v>192</v>
      </c>
      <c r="V621" s="0" t="s">
        <v>192</v>
      </c>
      <c r="Y621" s="0" t="s">
        <v>3071</v>
      </c>
      <c r="Z621" s="0" t="s">
        <v>3072</v>
      </c>
      <c r="AA621" s="0" t="s">
        <v>3861</v>
      </c>
      <c r="AC621" s="0" t="s">
        <v>3862</v>
      </c>
    </row>
    <row r="622" customFormat="false" ht="15" hidden="false" customHeight="false" outlineLevel="0" collapsed="false">
      <c r="A622" s="0" t="s">
        <v>3881</v>
      </c>
      <c r="B622" s="0" t="s">
        <v>187</v>
      </c>
      <c r="C622" s="0" t="s">
        <v>3524</v>
      </c>
      <c r="D622" s="0" t="n">
        <v>2017</v>
      </c>
      <c r="E622" s="0" t="s">
        <v>70</v>
      </c>
      <c r="F622" s="0" t="n">
        <v>15</v>
      </c>
      <c r="G622" s="0" t="s">
        <v>3143</v>
      </c>
      <c r="I622" s="0" t="n">
        <v>15</v>
      </c>
      <c r="J622" s="0" t="s">
        <v>3858</v>
      </c>
      <c r="L622" s="0" t="n">
        <v>2018</v>
      </c>
      <c r="M622" s="0" t="s">
        <v>2734</v>
      </c>
      <c r="N622" s="0" t="s">
        <v>191</v>
      </c>
      <c r="Q622" s="0" t="n">
        <v>127</v>
      </c>
      <c r="R622" s="0" t="n">
        <v>127</v>
      </c>
      <c r="U622" s="0" t="s">
        <v>192</v>
      </c>
      <c r="V622" s="0" t="s">
        <v>192</v>
      </c>
      <c r="Y622" s="0" t="s">
        <v>3071</v>
      </c>
      <c r="Z622" s="0" t="s">
        <v>3072</v>
      </c>
      <c r="AA622" s="0" t="s">
        <v>3861</v>
      </c>
      <c r="AC622" s="0" t="s">
        <v>3862</v>
      </c>
    </row>
    <row r="623" customFormat="false" ht="15" hidden="false" customHeight="false" outlineLevel="0" collapsed="false">
      <c r="A623" s="0" t="s">
        <v>3882</v>
      </c>
      <c r="B623" s="0" t="s">
        <v>187</v>
      </c>
      <c r="C623" s="0" t="s">
        <v>3524</v>
      </c>
      <c r="D623" s="0" t="n">
        <v>2017</v>
      </c>
      <c r="E623" s="0" t="s">
        <v>64</v>
      </c>
      <c r="F623" s="0" t="n">
        <v>110685</v>
      </c>
      <c r="G623" s="0" t="s">
        <v>3101</v>
      </c>
      <c r="H623" s="0" t="s">
        <v>3068</v>
      </c>
      <c r="I623" s="0" t="n">
        <v>110685</v>
      </c>
      <c r="J623" s="0" t="s">
        <v>3858</v>
      </c>
      <c r="L623" s="0" t="n">
        <v>2018</v>
      </c>
      <c r="M623" s="0" t="s">
        <v>2734</v>
      </c>
      <c r="N623" s="0" t="s">
        <v>191</v>
      </c>
      <c r="Q623" s="0" t="n">
        <v>103</v>
      </c>
      <c r="R623" s="0" t="n">
        <v>103</v>
      </c>
      <c r="U623" s="0" t="s">
        <v>192</v>
      </c>
      <c r="V623" s="0" t="s">
        <v>192</v>
      </c>
      <c r="Y623" s="0" t="s">
        <v>3071</v>
      </c>
      <c r="Z623" s="0" t="s">
        <v>3072</v>
      </c>
      <c r="AA623" s="0" t="s">
        <v>3861</v>
      </c>
      <c r="AC623" s="0" t="s">
        <v>3862</v>
      </c>
    </row>
    <row r="624" customFormat="false" ht="15" hidden="false" customHeight="false" outlineLevel="0" collapsed="false">
      <c r="A624" s="0" t="s">
        <v>3883</v>
      </c>
      <c r="B624" s="0" t="s">
        <v>187</v>
      </c>
      <c r="C624" s="0" t="s">
        <v>3524</v>
      </c>
      <c r="D624" s="0" t="n">
        <v>2017</v>
      </c>
      <c r="E624" s="0" t="s">
        <v>543</v>
      </c>
      <c r="F624" s="0" t="n">
        <v>36232</v>
      </c>
      <c r="G624" s="0" t="s">
        <v>3101</v>
      </c>
      <c r="H624" s="0" t="s">
        <v>3068</v>
      </c>
      <c r="I624" s="0" t="n">
        <v>36232</v>
      </c>
      <c r="J624" s="0" t="s">
        <v>3858</v>
      </c>
      <c r="L624" s="0" t="n">
        <v>2018</v>
      </c>
      <c r="M624" s="0" t="s">
        <v>2734</v>
      </c>
      <c r="N624" s="0" t="s">
        <v>191</v>
      </c>
      <c r="Q624" s="0" t="n">
        <v>149</v>
      </c>
      <c r="R624" s="0" t="n">
        <v>149</v>
      </c>
      <c r="U624" s="0" t="s">
        <v>192</v>
      </c>
      <c r="V624" s="0" t="s">
        <v>192</v>
      </c>
      <c r="Y624" s="0" t="s">
        <v>3071</v>
      </c>
      <c r="Z624" s="0" t="s">
        <v>3072</v>
      </c>
      <c r="AA624" s="0" t="s">
        <v>3861</v>
      </c>
      <c r="AC624" s="0" t="s">
        <v>3862</v>
      </c>
    </row>
    <row r="625" customFormat="false" ht="15" hidden="false" customHeight="false" outlineLevel="0" collapsed="false">
      <c r="A625" s="0" t="s">
        <v>3884</v>
      </c>
      <c r="B625" s="0" t="s">
        <v>187</v>
      </c>
      <c r="C625" s="0" t="s">
        <v>3524</v>
      </c>
      <c r="D625" s="0" t="n">
        <v>2017</v>
      </c>
      <c r="E625" s="0" t="s">
        <v>545</v>
      </c>
      <c r="F625" s="0" t="n">
        <v>7020</v>
      </c>
      <c r="G625" s="0" t="s">
        <v>3101</v>
      </c>
      <c r="H625" s="0" t="s">
        <v>3068</v>
      </c>
      <c r="I625" s="0" t="n">
        <v>7020</v>
      </c>
      <c r="J625" s="0" t="s">
        <v>3858</v>
      </c>
      <c r="L625" s="0" t="n">
        <v>2018</v>
      </c>
      <c r="M625" s="0" t="s">
        <v>2734</v>
      </c>
      <c r="N625" s="0" t="s">
        <v>191</v>
      </c>
      <c r="Q625" s="0" t="n">
        <v>149</v>
      </c>
      <c r="R625" s="0" t="n">
        <v>149</v>
      </c>
      <c r="U625" s="0" t="s">
        <v>192</v>
      </c>
      <c r="V625" s="0" t="s">
        <v>192</v>
      </c>
      <c r="Y625" s="0" t="s">
        <v>3071</v>
      </c>
      <c r="Z625" s="0" t="s">
        <v>3072</v>
      </c>
      <c r="AA625" s="0" t="s">
        <v>3861</v>
      </c>
      <c r="AC625" s="0" t="s">
        <v>3862</v>
      </c>
    </row>
    <row r="626" customFormat="false" ht="15" hidden="false" customHeight="false" outlineLevel="0" collapsed="false">
      <c r="A626" s="0" t="s">
        <v>3885</v>
      </c>
      <c r="B626" s="0" t="s">
        <v>187</v>
      </c>
      <c r="C626" s="0" t="s">
        <v>3524</v>
      </c>
      <c r="D626" s="0" t="n">
        <v>2018</v>
      </c>
      <c r="E626" s="0" t="s">
        <v>54</v>
      </c>
      <c r="F626" s="0" t="n">
        <v>18438</v>
      </c>
      <c r="G626" s="0" t="s">
        <v>3101</v>
      </c>
      <c r="H626" s="0" t="s">
        <v>3068</v>
      </c>
      <c r="I626" s="0" t="n">
        <v>18438</v>
      </c>
      <c r="J626" s="0" t="s">
        <v>3858</v>
      </c>
      <c r="L626" s="0" t="n">
        <v>2018</v>
      </c>
      <c r="M626" s="0" t="s">
        <v>2734</v>
      </c>
      <c r="N626" s="0" t="s">
        <v>191</v>
      </c>
      <c r="Q626" s="0" t="s">
        <v>3859</v>
      </c>
      <c r="R626" s="0" t="s">
        <v>3860</v>
      </c>
      <c r="U626" s="0" t="s">
        <v>194</v>
      </c>
      <c r="V626" s="0" t="s">
        <v>194</v>
      </c>
      <c r="Y626" s="0" t="s">
        <v>3071</v>
      </c>
      <c r="Z626" s="0" t="s">
        <v>3072</v>
      </c>
      <c r="AA626" s="0" t="s">
        <v>3861</v>
      </c>
      <c r="AC626" s="0" t="s">
        <v>3862</v>
      </c>
    </row>
    <row r="627" customFormat="false" ht="15" hidden="false" customHeight="false" outlineLevel="0" collapsed="false">
      <c r="A627" s="0" t="s">
        <v>3886</v>
      </c>
      <c r="B627" s="0" t="s">
        <v>187</v>
      </c>
      <c r="C627" s="0" t="s">
        <v>3524</v>
      </c>
      <c r="D627" s="0" t="n">
        <v>2018</v>
      </c>
      <c r="E627" s="0" t="s">
        <v>55</v>
      </c>
      <c r="F627" s="0" t="n">
        <v>1324297</v>
      </c>
      <c r="G627" s="0" t="s">
        <v>3101</v>
      </c>
      <c r="H627" s="0" t="s">
        <v>3068</v>
      </c>
      <c r="I627" s="0" t="n">
        <v>1324297</v>
      </c>
      <c r="J627" s="0" t="s">
        <v>3858</v>
      </c>
      <c r="L627" s="0" t="n">
        <v>2018</v>
      </c>
      <c r="M627" s="0" t="s">
        <v>2734</v>
      </c>
      <c r="N627" s="0" t="s">
        <v>191</v>
      </c>
      <c r="Q627" s="0" t="n">
        <v>66</v>
      </c>
      <c r="R627" s="0" t="n">
        <v>64</v>
      </c>
      <c r="U627" s="0" t="s">
        <v>194</v>
      </c>
      <c r="V627" s="0" t="s">
        <v>194</v>
      </c>
      <c r="Y627" s="0" t="s">
        <v>3071</v>
      </c>
      <c r="Z627" s="0" t="s">
        <v>3072</v>
      </c>
      <c r="AA627" s="0" t="s">
        <v>3861</v>
      </c>
      <c r="AC627" s="0" t="s">
        <v>3862</v>
      </c>
    </row>
    <row r="628" customFormat="false" ht="15" hidden="false" customHeight="false" outlineLevel="0" collapsed="false">
      <c r="A628" s="0" t="s">
        <v>3887</v>
      </c>
      <c r="B628" s="0" t="s">
        <v>187</v>
      </c>
      <c r="C628" s="0" t="s">
        <v>3524</v>
      </c>
      <c r="D628" s="0" t="n">
        <v>2018</v>
      </c>
      <c r="E628" s="0" t="s">
        <v>56</v>
      </c>
      <c r="F628" s="0" t="n">
        <v>1124210</v>
      </c>
      <c r="G628" s="0" t="s">
        <v>3101</v>
      </c>
      <c r="H628" s="0" t="s">
        <v>3068</v>
      </c>
      <c r="I628" s="0" t="n">
        <v>1124210</v>
      </c>
      <c r="J628" s="0" t="s">
        <v>3858</v>
      </c>
      <c r="L628" s="0" t="n">
        <v>2018</v>
      </c>
      <c r="M628" s="0" t="s">
        <v>2734</v>
      </c>
      <c r="N628" s="0" t="s">
        <v>191</v>
      </c>
      <c r="Q628" s="0" t="n">
        <v>66</v>
      </c>
      <c r="R628" s="0" t="n">
        <v>64</v>
      </c>
      <c r="U628" s="0" t="s">
        <v>194</v>
      </c>
      <c r="V628" s="0" t="s">
        <v>194</v>
      </c>
      <c r="Y628" s="0" t="s">
        <v>3071</v>
      </c>
      <c r="Z628" s="0" t="s">
        <v>3072</v>
      </c>
      <c r="AA628" s="0" t="s">
        <v>3861</v>
      </c>
      <c r="AC628" s="0" t="s">
        <v>3862</v>
      </c>
    </row>
    <row r="629" customFormat="false" ht="15" hidden="false" customHeight="false" outlineLevel="0" collapsed="false">
      <c r="A629" s="0" t="s">
        <v>3888</v>
      </c>
      <c r="B629" s="0" t="s">
        <v>187</v>
      </c>
      <c r="C629" s="0" t="s">
        <v>3524</v>
      </c>
      <c r="D629" s="0" t="n">
        <v>2018</v>
      </c>
      <c r="E629" s="0" t="s">
        <v>57</v>
      </c>
      <c r="F629" s="0" t="n">
        <v>200087</v>
      </c>
      <c r="G629" s="0" t="s">
        <v>3101</v>
      </c>
      <c r="H629" s="0" t="s">
        <v>3068</v>
      </c>
      <c r="I629" s="0" t="n">
        <v>200087</v>
      </c>
      <c r="J629" s="0" t="s">
        <v>3858</v>
      </c>
      <c r="L629" s="0" t="n">
        <v>2018</v>
      </c>
      <c r="M629" s="0" t="s">
        <v>2734</v>
      </c>
      <c r="N629" s="0" t="s">
        <v>191</v>
      </c>
      <c r="Q629" s="0" t="n">
        <v>66</v>
      </c>
      <c r="R629" s="0" t="n">
        <v>64</v>
      </c>
      <c r="U629" s="0" t="s">
        <v>194</v>
      </c>
      <c r="V629" s="0" t="s">
        <v>194</v>
      </c>
      <c r="Y629" s="0" t="s">
        <v>3071</v>
      </c>
      <c r="Z629" s="0" t="s">
        <v>3072</v>
      </c>
      <c r="AA629" s="0" t="s">
        <v>3861</v>
      </c>
      <c r="AC629" s="0" t="s">
        <v>3862</v>
      </c>
    </row>
    <row r="630" customFormat="false" ht="15" hidden="false" customHeight="false" outlineLevel="0" collapsed="false">
      <c r="A630" s="0" t="s">
        <v>3889</v>
      </c>
      <c r="B630" s="0" t="s">
        <v>187</v>
      </c>
      <c r="C630" s="0" t="s">
        <v>3524</v>
      </c>
      <c r="D630" s="0" t="n">
        <v>2018</v>
      </c>
      <c r="E630" s="0" t="s">
        <v>58</v>
      </c>
      <c r="F630" s="0" t="n">
        <v>37394</v>
      </c>
      <c r="G630" s="0" t="s">
        <v>3101</v>
      </c>
      <c r="H630" s="0" t="s">
        <v>3068</v>
      </c>
      <c r="I630" s="0" t="n">
        <v>37394</v>
      </c>
      <c r="J630" s="0" t="s">
        <v>3858</v>
      </c>
      <c r="L630" s="0" t="n">
        <v>2018</v>
      </c>
      <c r="M630" s="0" t="s">
        <v>2734</v>
      </c>
      <c r="N630" s="0" t="s">
        <v>191</v>
      </c>
      <c r="Q630" s="0" t="n">
        <v>69</v>
      </c>
      <c r="R630" s="0" t="n">
        <v>67</v>
      </c>
      <c r="U630" s="0" t="s">
        <v>194</v>
      </c>
      <c r="V630" s="0" t="s">
        <v>194</v>
      </c>
      <c r="Y630" s="0" t="s">
        <v>3071</v>
      </c>
      <c r="Z630" s="0" t="s">
        <v>3072</v>
      </c>
      <c r="AA630" s="0" t="s">
        <v>3861</v>
      </c>
      <c r="AC630" s="0" t="s">
        <v>3862</v>
      </c>
    </row>
    <row r="631" customFormat="false" ht="15" hidden="false" customHeight="false" outlineLevel="0" collapsed="false">
      <c r="A631" s="0" t="s">
        <v>3890</v>
      </c>
      <c r="B631" s="0" t="s">
        <v>187</v>
      </c>
      <c r="C631" s="0" t="s">
        <v>3524</v>
      </c>
      <c r="D631" s="0" t="n">
        <v>2018</v>
      </c>
      <c r="E631" s="0" t="s">
        <v>59</v>
      </c>
      <c r="F631" s="0" t="n">
        <v>1334921</v>
      </c>
      <c r="G631" s="0" t="s">
        <v>3101</v>
      </c>
      <c r="H631" s="0" t="s">
        <v>3068</v>
      </c>
      <c r="I631" s="0" t="n">
        <v>1334921</v>
      </c>
      <c r="J631" s="0" t="s">
        <v>3858</v>
      </c>
      <c r="L631" s="0" t="n">
        <v>2018</v>
      </c>
      <c r="M631" s="0" t="s">
        <v>2734</v>
      </c>
      <c r="N631" s="0" t="s">
        <v>191</v>
      </c>
      <c r="Q631" s="0" t="n">
        <v>66</v>
      </c>
      <c r="R631" s="0" t="n">
        <v>64</v>
      </c>
      <c r="U631" s="0" t="s">
        <v>194</v>
      </c>
      <c r="V631" s="0" t="s">
        <v>194</v>
      </c>
      <c r="Y631" s="0" t="s">
        <v>3071</v>
      </c>
      <c r="Z631" s="0" t="s">
        <v>3072</v>
      </c>
      <c r="AA631" s="0" t="s">
        <v>3868</v>
      </c>
      <c r="AC631" s="0" t="s">
        <v>3862</v>
      </c>
    </row>
    <row r="632" customFormat="false" ht="15" hidden="false" customHeight="false" outlineLevel="0" collapsed="false">
      <c r="A632" s="0" t="s">
        <v>3891</v>
      </c>
      <c r="B632" s="0" t="s">
        <v>187</v>
      </c>
      <c r="C632" s="0" t="s">
        <v>3524</v>
      </c>
      <c r="D632" s="0" t="n">
        <v>2018</v>
      </c>
      <c r="E632" s="0" t="s">
        <v>60</v>
      </c>
      <c r="F632" s="0" t="n">
        <v>473396</v>
      </c>
      <c r="G632" s="0" t="s">
        <v>3101</v>
      </c>
      <c r="H632" s="0" t="s">
        <v>3068</v>
      </c>
      <c r="I632" s="0" t="n">
        <v>473396</v>
      </c>
      <c r="J632" s="0" t="s">
        <v>3858</v>
      </c>
      <c r="L632" s="0" t="n">
        <v>2018</v>
      </c>
      <c r="M632" s="0" t="s">
        <v>2734</v>
      </c>
      <c r="N632" s="0" t="s">
        <v>191</v>
      </c>
      <c r="Q632" s="0" t="n">
        <v>149</v>
      </c>
      <c r="R632" s="0" t="n">
        <v>149</v>
      </c>
      <c r="U632" s="0" t="s">
        <v>194</v>
      </c>
      <c r="V632" s="0" t="s">
        <v>194</v>
      </c>
      <c r="Y632" s="0" t="s">
        <v>3071</v>
      </c>
      <c r="Z632" s="0" t="s">
        <v>3072</v>
      </c>
      <c r="AA632" s="0" t="s">
        <v>3892</v>
      </c>
      <c r="AC632" s="0" t="s">
        <v>3862</v>
      </c>
    </row>
    <row r="633" customFormat="false" ht="15" hidden="false" customHeight="false" outlineLevel="0" collapsed="false">
      <c r="A633" s="0" t="s">
        <v>3893</v>
      </c>
      <c r="B633" s="0" t="s">
        <v>187</v>
      </c>
      <c r="C633" s="0" t="s">
        <v>3524</v>
      </c>
      <c r="D633" s="0" t="n">
        <v>2018</v>
      </c>
      <c r="E633" s="0" t="s">
        <v>61</v>
      </c>
      <c r="F633" s="0" t="n">
        <v>45359</v>
      </c>
      <c r="G633" s="0" t="s">
        <v>3101</v>
      </c>
      <c r="H633" s="0" t="s">
        <v>3068</v>
      </c>
      <c r="I633" s="0" t="n">
        <v>45359</v>
      </c>
      <c r="J633" s="0" t="s">
        <v>3858</v>
      </c>
      <c r="L633" s="0" t="n">
        <v>2018</v>
      </c>
      <c r="M633" s="0" t="s">
        <v>2734</v>
      </c>
      <c r="N633" s="0" t="s">
        <v>191</v>
      </c>
      <c r="Q633" s="0" t="n">
        <v>149</v>
      </c>
      <c r="R633" s="0" t="n">
        <v>149</v>
      </c>
      <c r="U633" s="0" t="s">
        <v>194</v>
      </c>
      <c r="V633" s="0" t="s">
        <v>194</v>
      </c>
      <c r="Y633" s="0" t="s">
        <v>3071</v>
      </c>
      <c r="Z633" s="0" t="s">
        <v>3072</v>
      </c>
      <c r="AA633" s="0" t="s">
        <v>3892</v>
      </c>
      <c r="AC633" s="0" t="s">
        <v>3862</v>
      </c>
    </row>
    <row r="634" customFormat="false" ht="15" hidden="false" customHeight="false" outlineLevel="0" collapsed="false">
      <c r="A634" s="0" t="s">
        <v>3894</v>
      </c>
      <c r="B634" s="0" t="s">
        <v>187</v>
      </c>
      <c r="C634" s="0" t="s">
        <v>3524</v>
      </c>
      <c r="D634" s="0" t="n">
        <v>2018</v>
      </c>
      <c r="E634" s="0" t="s">
        <v>62</v>
      </c>
      <c r="F634" s="0" t="n">
        <v>428037</v>
      </c>
      <c r="G634" s="0" t="s">
        <v>3101</v>
      </c>
      <c r="H634" s="0" t="s">
        <v>3068</v>
      </c>
      <c r="I634" s="0" t="n">
        <v>428037</v>
      </c>
      <c r="J634" s="0" t="s">
        <v>3858</v>
      </c>
      <c r="L634" s="0" t="n">
        <v>2018</v>
      </c>
      <c r="M634" s="0" t="s">
        <v>2734</v>
      </c>
      <c r="N634" s="0" t="s">
        <v>191</v>
      </c>
      <c r="Q634" s="0" t="n">
        <v>149</v>
      </c>
      <c r="R634" s="0" t="n">
        <v>149</v>
      </c>
      <c r="U634" s="0" t="s">
        <v>194</v>
      </c>
      <c r="V634" s="0" t="s">
        <v>194</v>
      </c>
      <c r="Y634" s="0" t="s">
        <v>3071</v>
      </c>
      <c r="Z634" s="0" t="s">
        <v>3072</v>
      </c>
      <c r="AA634" s="0" t="s">
        <v>3861</v>
      </c>
      <c r="AC634" s="0" t="s">
        <v>3862</v>
      </c>
    </row>
    <row r="635" customFormat="false" ht="15" hidden="false" customHeight="false" outlineLevel="0" collapsed="false">
      <c r="A635" s="0" t="s">
        <v>3895</v>
      </c>
      <c r="B635" s="0" t="s">
        <v>187</v>
      </c>
      <c r="C635" s="0" t="s">
        <v>3524</v>
      </c>
      <c r="D635" s="0" t="n">
        <v>2018</v>
      </c>
      <c r="E635" s="0" t="s">
        <v>541</v>
      </c>
      <c r="F635" s="0" t="n">
        <v>18660</v>
      </c>
      <c r="G635" s="0" t="s">
        <v>3101</v>
      </c>
      <c r="H635" s="0" t="s">
        <v>3068</v>
      </c>
      <c r="I635" s="0" t="n">
        <v>18660</v>
      </c>
      <c r="J635" s="0" t="s">
        <v>3858</v>
      </c>
      <c r="L635" s="0" t="n">
        <v>2018</v>
      </c>
      <c r="M635" s="0" t="s">
        <v>2734</v>
      </c>
      <c r="N635" s="0" t="s">
        <v>191</v>
      </c>
      <c r="Q635" s="0" t="s">
        <v>3859</v>
      </c>
      <c r="R635" s="0" t="s">
        <v>3860</v>
      </c>
      <c r="U635" s="0" t="s">
        <v>194</v>
      </c>
      <c r="V635" s="0" t="s">
        <v>194</v>
      </c>
      <c r="Y635" s="0" t="s">
        <v>3071</v>
      </c>
      <c r="Z635" s="0" t="s">
        <v>3072</v>
      </c>
      <c r="AA635" s="0" t="s">
        <v>3861</v>
      </c>
      <c r="AC635" s="0" t="s">
        <v>3862</v>
      </c>
    </row>
    <row r="636" customFormat="false" ht="15" hidden="false" customHeight="false" outlineLevel="0" collapsed="false">
      <c r="A636" s="0" t="s">
        <v>3896</v>
      </c>
      <c r="B636" s="0" t="s">
        <v>187</v>
      </c>
      <c r="C636" s="0" t="s">
        <v>3524</v>
      </c>
      <c r="D636" s="0" t="n">
        <v>2018</v>
      </c>
      <c r="E636" s="0" t="s">
        <v>1327</v>
      </c>
      <c r="F636" s="0" t="n">
        <v>140066</v>
      </c>
      <c r="G636" s="0" t="s">
        <v>3101</v>
      </c>
      <c r="H636" s="0" t="s">
        <v>3068</v>
      </c>
      <c r="I636" s="0" t="n">
        <v>140066</v>
      </c>
      <c r="J636" s="0" t="s">
        <v>3858</v>
      </c>
      <c r="L636" s="0" t="n">
        <v>2018</v>
      </c>
      <c r="M636" s="0" t="s">
        <v>2734</v>
      </c>
      <c r="N636" s="0" t="s">
        <v>191</v>
      </c>
      <c r="Q636" s="0" t="s">
        <v>3859</v>
      </c>
      <c r="R636" s="0" t="s">
        <v>3860</v>
      </c>
      <c r="U636" s="0" t="s">
        <v>194</v>
      </c>
      <c r="V636" s="0" t="s">
        <v>194</v>
      </c>
      <c r="Y636" s="0" t="s">
        <v>3071</v>
      </c>
      <c r="Z636" s="0" t="s">
        <v>3072</v>
      </c>
      <c r="AA636" s="0" t="s">
        <v>3861</v>
      </c>
      <c r="AC636" s="0" t="s">
        <v>3862</v>
      </c>
    </row>
    <row r="637" customFormat="false" ht="15" hidden="false" customHeight="false" outlineLevel="0" collapsed="false">
      <c r="A637" s="0" t="s">
        <v>3897</v>
      </c>
      <c r="B637" s="0" t="s">
        <v>187</v>
      </c>
      <c r="C637" s="0" t="s">
        <v>3524</v>
      </c>
      <c r="D637" s="0" t="n">
        <v>2018</v>
      </c>
      <c r="E637" s="0" t="s">
        <v>63</v>
      </c>
      <c r="F637" s="0" t="n">
        <v>-3515</v>
      </c>
      <c r="G637" s="0" t="s">
        <v>3101</v>
      </c>
      <c r="H637" s="0" t="s">
        <v>3068</v>
      </c>
      <c r="I637" s="0" t="n">
        <v>-3515</v>
      </c>
      <c r="J637" s="0" t="s">
        <v>3858</v>
      </c>
      <c r="L637" s="0" t="n">
        <v>2018</v>
      </c>
      <c r="M637" s="0" t="s">
        <v>2734</v>
      </c>
      <c r="N637" s="0" t="s">
        <v>191</v>
      </c>
      <c r="Q637" s="0" t="s">
        <v>3859</v>
      </c>
      <c r="R637" s="0" t="s">
        <v>3860</v>
      </c>
      <c r="U637" s="0" t="s">
        <v>194</v>
      </c>
      <c r="V637" s="0" t="s">
        <v>194</v>
      </c>
      <c r="Y637" s="0" t="s">
        <v>3071</v>
      </c>
      <c r="Z637" s="0" t="s">
        <v>3072</v>
      </c>
      <c r="AA637" s="0" t="s">
        <v>3875</v>
      </c>
      <c r="AC637" s="0" t="s">
        <v>3862</v>
      </c>
    </row>
    <row r="638" customFormat="false" ht="15" hidden="false" customHeight="false" outlineLevel="0" collapsed="false">
      <c r="A638" s="0" t="s">
        <v>3898</v>
      </c>
      <c r="B638" s="0" t="s">
        <v>187</v>
      </c>
      <c r="C638" s="0" t="s">
        <v>3524</v>
      </c>
      <c r="D638" s="0" t="n">
        <v>2018</v>
      </c>
      <c r="E638" s="0" t="s">
        <v>1366</v>
      </c>
      <c r="F638" s="0" t="n">
        <v>-3897</v>
      </c>
      <c r="G638" s="0" t="s">
        <v>3101</v>
      </c>
      <c r="H638" s="0" t="s">
        <v>3068</v>
      </c>
      <c r="I638" s="0" t="n">
        <v>-3897</v>
      </c>
      <c r="J638" s="0" t="s">
        <v>3858</v>
      </c>
      <c r="L638" s="0" t="n">
        <v>2018</v>
      </c>
      <c r="M638" s="0" t="s">
        <v>2734</v>
      </c>
      <c r="N638" s="0" t="s">
        <v>191</v>
      </c>
      <c r="Q638" s="0" t="s">
        <v>3859</v>
      </c>
      <c r="R638" s="0" t="s">
        <v>3860</v>
      </c>
      <c r="U638" s="0" t="s">
        <v>194</v>
      </c>
      <c r="V638" s="0" t="s">
        <v>194</v>
      </c>
      <c r="Y638" s="0" t="s">
        <v>3071</v>
      </c>
      <c r="Z638" s="0" t="s">
        <v>3072</v>
      </c>
      <c r="AA638" s="0" t="s">
        <v>3861</v>
      </c>
      <c r="AC638" s="0" t="s">
        <v>3862</v>
      </c>
    </row>
    <row r="639" customFormat="false" ht="15" hidden="false" customHeight="false" outlineLevel="0" collapsed="false">
      <c r="A639" s="0" t="s">
        <v>3899</v>
      </c>
      <c r="B639" s="0" t="s">
        <v>187</v>
      </c>
      <c r="C639" s="0" t="s">
        <v>3524</v>
      </c>
      <c r="D639" s="0" t="n">
        <v>2018</v>
      </c>
      <c r="E639" s="0" t="s">
        <v>1038</v>
      </c>
      <c r="F639" s="0" t="n">
        <v>382</v>
      </c>
      <c r="G639" s="0" t="s">
        <v>3101</v>
      </c>
      <c r="H639" s="0" t="s">
        <v>3068</v>
      </c>
      <c r="I639" s="0" t="n">
        <v>382</v>
      </c>
      <c r="J639" s="0" t="s">
        <v>3858</v>
      </c>
      <c r="L639" s="0" t="n">
        <v>2018</v>
      </c>
      <c r="M639" s="0" t="s">
        <v>2734</v>
      </c>
      <c r="N639" s="0" t="s">
        <v>191</v>
      </c>
      <c r="Q639" s="0" t="s">
        <v>3859</v>
      </c>
      <c r="R639" s="0" t="s">
        <v>3860</v>
      </c>
      <c r="U639" s="0" t="s">
        <v>194</v>
      </c>
      <c r="V639" s="0" t="s">
        <v>194</v>
      </c>
      <c r="Y639" s="0" t="s">
        <v>3071</v>
      </c>
      <c r="Z639" s="0" t="s">
        <v>3072</v>
      </c>
      <c r="AA639" s="0" t="s">
        <v>3861</v>
      </c>
      <c r="AC639" s="0" t="s">
        <v>3862</v>
      </c>
    </row>
    <row r="640" customFormat="false" ht="15" hidden="false" customHeight="false" outlineLevel="0" collapsed="false">
      <c r="A640" s="0" t="s">
        <v>3900</v>
      </c>
      <c r="B640" s="0" t="s">
        <v>187</v>
      </c>
      <c r="C640" s="0" t="s">
        <v>3524</v>
      </c>
      <c r="D640" s="0" t="n">
        <v>2018</v>
      </c>
      <c r="E640" s="0" t="s">
        <v>307</v>
      </c>
      <c r="F640" s="0" t="n">
        <v>-3732</v>
      </c>
      <c r="G640" s="0" t="s">
        <v>3101</v>
      </c>
      <c r="H640" s="0" t="s">
        <v>3068</v>
      </c>
      <c r="I640" s="0" t="n">
        <v>-3732</v>
      </c>
      <c r="J640" s="0" t="s">
        <v>3858</v>
      </c>
      <c r="L640" s="0" t="n">
        <v>2018</v>
      </c>
      <c r="M640" s="0" t="s">
        <v>2734</v>
      </c>
      <c r="N640" s="0" t="s">
        <v>191</v>
      </c>
      <c r="Q640" s="0" t="n">
        <v>149</v>
      </c>
      <c r="R640" s="0" t="n">
        <v>149</v>
      </c>
      <c r="U640" s="0" t="s">
        <v>194</v>
      </c>
      <c r="V640" s="0" t="s">
        <v>194</v>
      </c>
      <c r="Y640" s="0" t="s">
        <v>3071</v>
      </c>
      <c r="Z640" s="0" t="s">
        <v>3072</v>
      </c>
      <c r="AA640" s="0" t="s">
        <v>3861</v>
      </c>
      <c r="AC640" s="0" t="s">
        <v>3862</v>
      </c>
    </row>
    <row r="641" customFormat="false" ht="15" hidden="false" customHeight="false" outlineLevel="0" collapsed="false">
      <c r="A641" s="0" t="s">
        <v>3901</v>
      </c>
      <c r="B641" s="0" t="s">
        <v>187</v>
      </c>
      <c r="C641" s="0" t="s">
        <v>3524</v>
      </c>
      <c r="D641" s="0" t="n">
        <v>2018</v>
      </c>
      <c r="E641" s="0" t="s">
        <v>69</v>
      </c>
      <c r="F641" s="0" t="n">
        <v>11.5</v>
      </c>
      <c r="G641" s="0" t="s">
        <v>3143</v>
      </c>
      <c r="I641" s="0" t="n">
        <v>11.5</v>
      </c>
      <c r="J641" s="0" t="s">
        <v>3858</v>
      </c>
      <c r="L641" s="0" t="n">
        <v>2018</v>
      </c>
      <c r="M641" s="0" t="s">
        <v>2734</v>
      </c>
      <c r="N641" s="0" t="s">
        <v>191</v>
      </c>
      <c r="Q641" s="0" t="n">
        <v>127</v>
      </c>
      <c r="R641" s="0" t="n">
        <v>127</v>
      </c>
      <c r="U641" s="0" t="s">
        <v>194</v>
      </c>
      <c r="V641" s="0" t="s">
        <v>194</v>
      </c>
      <c r="Y641" s="0" t="s">
        <v>3071</v>
      </c>
      <c r="Z641" s="0" t="s">
        <v>3072</v>
      </c>
      <c r="AA641" s="0" t="s">
        <v>3902</v>
      </c>
      <c r="AC641" s="0" t="s">
        <v>3862</v>
      </c>
    </row>
    <row r="642" customFormat="false" ht="15" hidden="false" customHeight="false" outlineLevel="0" collapsed="false">
      <c r="A642" s="0" t="s">
        <v>3903</v>
      </c>
      <c r="B642" s="0" t="s">
        <v>187</v>
      </c>
      <c r="C642" s="0" t="s">
        <v>3524</v>
      </c>
      <c r="D642" s="0" t="n">
        <v>2018</v>
      </c>
      <c r="E642" s="0" t="s">
        <v>65</v>
      </c>
      <c r="F642" s="0" t="n">
        <v>88017</v>
      </c>
      <c r="G642" s="0" t="s">
        <v>3101</v>
      </c>
      <c r="H642" s="0" t="s">
        <v>3068</v>
      </c>
      <c r="I642" s="0" t="n">
        <v>88017</v>
      </c>
      <c r="J642" s="0" t="s">
        <v>3858</v>
      </c>
      <c r="L642" s="0" t="n">
        <v>2018</v>
      </c>
      <c r="M642" s="0" t="s">
        <v>2734</v>
      </c>
      <c r="N642" s="0" t="s">
        <v>191</v>
      </c>
      <c r="Q642" s="0" t="n">
        <v>127</v>
      </c>
      <c r="R642" s="0" t="n">
        <v>127</v>
      </c>
      <c r="U642" s="0" t="s">
        <v>194</v>
      </c>
      <c r="V642" s="0" t="s">
        <v>194</v>
      </c>
      <c r="Y642" s="0" t="s">
        <v>3071</v>
      </c>
      <c r="Z642" s="0" t="s">
        <v>3072</v>
      </c>
      <c r="AA642" s="0" t="s">
        <v>3861</v>
      </c>
      <c r="AC642" s="0" t="s">
        <v>3862</v>
      </c>
    </row>
    <row r="643" customFormat="false" ht="15" hidden="false" customHeight="false" outlineLevel="0" collapsed="false">
      <c r="A643" s="0" t="s">
        <v>3904</v>
      </c>
      <c r="B643" s="0" t="s">
        <v>187</v>
      </c>
      <c r="C643" s="0" t="s">
        <v>3524</v>
      </c>
      <c r="D643" s="0" t="n">
        <v>2018</v>
      </c>
      <c r="E643" s="0" t="s">
        <v>66</v>
      </c>
      <c r="F643" s="0" t="n">
        <v>767770</v>
      </c>
      <c r="G643" s="0" t="s">
        <v>3101</v>
      </c>
      <c r="H643" s="0" t="s">
        <v>3068</v>
      </c>
      <c r="I643" s="0" t="n">
        <v>767770</v>
      </c>
      <c r="J643" s="0" t="s">
        <v>3858</v>
      </c>
      <c r="L643" s="0" t="n">
        <v>2018</v>
      </c>
      <c r="M643" s="0" t="s">
        <v>2734</v>
      </c>
      <c r="N643" s="0" t="s">
        <v>191</v>
      </c>
      <c r="Q643" s="0" t="n">
        <v>127</v>
      </c>
      <c r="R643" s="0" t="n">
        <v>127</v>
      </c>
      <c r="U643" s="0" t="s">
        <v>194</v>
      </c>
      <c r="V643" s="0" t="s">
        <v>194</v>
      </c>
      <c r="Y643" s="0" t="s">
        <v>3071</v>
      </c>
      <c r="Z643" s="0" t="s">
        <v>3072</v>
      </c>
      <c r="AA643" s="0" t="s">
        <v>3861</v>
      </c>
      <c r="AC643" s="0" t="s">
        <v>3862</v>
      </c>
    </row>
    <row r="644" customFormat="false" ht="15" hidden="false" customHeight="false" outlineLevel="0" collapsed="false">
      <c r="A644" s="0" t="s">
        <v>3905</v>
      </c>
      <c r="B644" s="0" t="s">
        <v>187</v>
      </c>
      <c r="C644" s="0" t="s">
        <v>3524</v>
      </c>
      <c r="D644" s="0" t="n">
        <v>2018</v>
      </c>
      <c r="E644" s="0" t="s">
        <v>614</v>
      </c>
      <c r="F644" s="0" t="n">
        <v>16.4</v>
      </c>
      <c r="G644" s="0" t="s">
        <v>3143</v>
      </c>
      <c r="I644" s="0" t="n">
        <v>16.4</v>
      </c>
      <c r="J644" s="0" t="s">
        <v>3858</v>
      </c>
      <c r="L644" s="0" t="n">
        <v>2018</v>
      </c>
      <c r="M644" s="0" t="s">
        <v>2734</v>
      </c>
      <c r="N644" s="0" t="s">
        <v>191</v>
      </c>
      <c r="Q644" s="0" t="n">
        <v>127</v>
      </c>
      <c r="R644" s="0" t="n">
        <v>127</v>
      </c>
      <c r="U644" s="0" t="s">
        <v>194</v>
      </c>
      <c r="V644" s="0" t="s">
        <v>194</v>
      </c>
      <c r="Y644" s="0" t="s">
        <v>3071</v>
      </c>
      <c r="Z644" s="0" t="s">
        <v>3072</v>
      </c>
      <c r="AA644" s="0" t="s">
        <v>3861</v>
      </c>
      <c r="AC644" s="0" t="s">
        <v>3862</v>
      </c>
    </row>
    <row r="645" customFormat="false" ht="15" hidden="false" customHeight="false" outlineLevel="0" collapsed="false">
      <c r="A645" s="0" t="s">
        <v>3906</v>
      </c>
      <c r="B645" s="0" t="s">
        <v>187</v>
      </c>
      <c r="C645" s="0" t="s">
        <v>3524</v>
      </c>
      <c r="D645" s="0" t="n">
        <v>2018</v>
      </c>
      <c r="E645" s="0" t="s">
        <v>619</v>
      </c>
      <c r="F645" s="0" t="n">
        <v>125859</v>
      </c>
      <c r="G645" s="0" t="s">
        <v>3101</v>
      </c>
      <c r="H645" s="0" t="s">
        <v>3068</v>
      </c>
      <c r="I645" s="0" t="n">
        <v>125859</v>
      </c>
      <c r="J645" s="0" t="s">
        <v>3858</v>
      </c>
      <c r="L645" s="0" t="n">
        <v>2018</v>
      </c>
      <c r="M645" s="0" t="s">
        <v>2734</v>
      </c>
      <c r="N645" s="0" t="s">
        <v>191</v>
      </c>
      <c r="Q645" s="0" t="n">
        <v>127</v>
      </c>
      <c r="R645" s="0" t="n">
        <v>127</v>
      </c>
      <c r="U645" s="0" t="s">
        <v>194</v>
      </c>
      <c r="V645" s="0" t="s">
        <v>194</v>
      </c>
      <c r="Y645" s="0" t="s">
        <v>3071</v>
      </c>
      <c r="Z645" s="0" t="s">
        <v>3072</v>
      </c>
      <c r="AA645" s="0" t="s">
        <v>3861</v>
      </c>
      <c r="AC645" s="0" t="s">
        <v>3862</v>
      </c>
    </row>
    <row r="646" customFormat="false" ht="15" hidden="false" customHeight="false" outlineLevel="0" collapsed="false">
      <c r="A646" s="0" t="s">
        <v>3907</v>
      </c>
      <c r="B646" s="0" t="s">
        <v>187</v>
      </c>
      <c r="C646" s="0" t="s">
        <v>3524</v>
      </c>
      <c r="D646" s="0" t="n">
        <v>2018</v>
      </c>
      <c r="E646" s="0" t="s">
        <v>1367</v>
      </c>
      <c r="F646" s="0" t="n">
        <v>37842</v>
      </c>
      <c r="G646" s="0" t="s">
        <v>3101</v>
      </c>
      <c r="H646" s="0" t="s">
        <v>3068</v>
      </c>
      <c r="I646" s="0" t="n">
        <v>37842</v>
      </c>
      <c r="J646" s="0" t="s">
        <v>3858</v>
      </c>
      <c r="L646" s="0" t="n">
        <v>2018</v>
      </c>
      <c r="M646" s="0" t="s">
        <v>2734</v>
      </c>
      <c r="N646" s="0" t="s">
        <v>191</v>
      </c>
      <c r="Q646" s="0" t="n">
        <v>127</v>
      </c>
      <c r="R646" s="0" t="n">
        <v>127</v>
      </c>
      <c r="U646" s="0" t="s">
        <v>194</v>
      </c>
      <c r="V646" s="0" t="s">
        <v>194</v>
      </c>
      <c r="Y646" s="0" t="s">
        <v>3071</v>
      </c>
      <c r="Z646" s="0" t="s">
        <v>3072</v>
      </c>
      <c r="AA646" s="0" t="s">
        <v>3861</v>
      </c>
      <c r="AC646" s="0" t="s">
        <v>3862</v>
      </c>
    </row>
    <row r="647" customFormat="false" ht="15" hidden="false" customHeight="false" outlineLevel="0" collapsed="false">
      <c r="A647" s="0" t="s">
        <v>3908</v>
      </c>
      <c r="B647" s="0" t="s">
        <v>187</v>
      </c>
      <c r="C647" s="0" t="s">
        <v>3524</v>
      </c>
      <c r="D647" s="0" t="n">
        <v>2018</v>
      </c>
      <c r="E647" s="0" t="s">
        <v>70</v>
      </c>
      <c r="F647" s="0" t="n">
        <v>15</v>
      </c>
      <c r="G647" s="0" t="s">
        <v>3143</v>
      </c>
      <c r="I647" s="0" t="n">
        <v>15</v>
      </c>
      <c r="J647" s="0" t="s">
        <v>3858</v>
      </c>
      <c r="L647" s="0" t="n">
        <v>2018</v>
      </c>
      <c r="M647" s="0" t="s">
        <v>2734</v>
      </c>
      <c r="N647" s="0" t="s">
        <v>191</v>
      </c>
      <c r="Q647" s="0" t="n">
        <v>127</v>
      </c>
      <c r="R647" s="0" t="n">
        <v>127</v>
      </c>
      <c r="U647" s="0" t="s">
        <v>194</v>
      </c>
      <c r="V647" s="0" t="s">
        <v>194</v>
      </c>
      <c r="Y647" s="0" t="s">
        <v>3071</v>
      </c>
      <c r="Z647" s="0" t="s">
        <v>3072</v>
      </c>
      <c r="AA647" s="0" t="s">
        <v>3861</v>
      </c>
      <c r="AC647" s="0" t="s">
        <v>3862</v>
      </c>
    </row>
    <row r="648" customFormat="false" ht="15" hidden="false" customHeight="false" outlineLevel="0" collapsed="false">
      <c r="A648" s="0" t="s">
        <v>3909</v>
      </c>
      <c r="B648" s="0" t="s">
        <v>187</v>
      </c>
      <c r="C648" s="0" t="s">
        <v>3524</v>
      </c>
      <c r="D648" s="0" t="n">
        <v>2018</v>
      </c>
      <c r="E648" s="0" t="s">
        <v>64</v>
      </c>
      <c r="F648" s="0" t="n">
        <v>38496</v>
      </c>
      <c r="G648" s="0" t="s">
        <v>3101</v>
      </c>
      <c r="H648" s="0" t="s">
        <v>3068</v>
      </c>
      <c r="I648" s="0" t="n">
        <v>38496</v>
      </c>
      <c r="J648" s="0" t="s">
        <v>3858</v>
      </c>
      <c r="L648" s="0" t="n">
        <v>2018</v>
      </c>
      <c r="M648" s="0" t="s">
        <v>2734</v>
      </c>
      <c r="N648" s="0" t="s">
        <v>191</v>
      </c>
      <c r="Q648" s="0" t="n">
        <v>103</v>
      </c>
      <c r="R648" s="0" t="n">
        <v>103</v>
      </c>
      <c r="U648" s="0" t="s">
        <v>194</v>
      </c>
      <c r="V648" s="0" t="s">
        <v>194</v>
      </c>
      <c r="Y648" s="0" t="s">
        <v>3071</v>
      </c>
      <c r="Z648" s="0" t="s">
        <v>3072</v>
      </c>
      <c r="AA648" s="0" t="s">
        <v>3861</v>
      </c>
      <c r="AC648" s="0" t="s">
        <v>3862</v>
      </c>
    </row>
    <row r="649" customFormat="false" ht="15" hidden="false" customHeight="false" outlineLevel="0" collapsed="false">
      <c r="A649" s="0" t="s">
        <v>3910</v>
      </c>
      <c r="B649" s="0" t="s">
        <v>187</v>
      </c>
      <c r="C649" s="0" t="s">
        <v>3524</v>
      </c>
      <c r="D649" s="0" t="n">
        <v>2018</v>
      </c>
      <c r="E649" s="0" t="s">
        <v>67</v>
      </c>
      <c r="F649" s="0" t="n">
        <v>123328</v>
      </c>
      <c r="G649" s="0" t="s">
        <v>3101</v>
      </c>
      <c r="H649" s="0" t="s">
        <v>3068</v>
      </c>
      <c r="I649" s="0" t="n">
        <v>123328</v>
      </c>
      <c r="J649" s="0" t="s">
        <v>3858</v>
      </c>
      <c r="L649" s="0" t="n">
        <v>2018</v>
      </c>
      <c r="M649" s="0" t="s">
        <v>2734</v>
      </c>
      <c r="N649" s="0" t="s">
        <v>191</v>
      </c>
      <c r="Q649" s="0" t="n">
        <v>149</v>
      </c>
      <c r="R649" s="0" t="n">
        <v>149</v>
      </c>
      <c r="U649" s="0" t="s">
        <v>194</v>
      </c>
      <c r="V649" s="0" t="s">
        <v>194</v>
      </c>
      <c r="Y649" s="0" t="s">
        <v>3071</v>
      </c>
      <c r="Z649" s="0" t="s">
        <v>3072</v>
      </c>
      <c r="AA649" s="0" t="s">
        <v>3861</v>
      </c>
      <c r="AC649" s="0" t="s">
        <v>3862</v>
      </c>
    </row>
    <row r="650" customFormat="false" ht="15" hidden="false" customHeight="false" outlineLevel="0" collapsed="false">
      <c r="A650" s="0" t="s">
        <v>3911</v>
      </c>
      <c r="B650" s="0" t="s">
        <v>187</v>
      </c>
      <c r="C650" s="0" t="s">
        <v>3524</v>
      </c>
      <c r="D650" s="0" t="n">
        <v>2018</v>
      </c>
      <c r="E650" s="0" t="s">
        <v>68</v>
      </c>
      <c r="F650" s="0" t="n">
        <v>30149</v>
      </c>
      <c r="G650" s="0" t="s">
        <v>3101</v>
      </c>
      <c r="H650" s="0" t="s">
        <v>3068</v>
      </c>
      <c r="I650" s="0" t="n">
        <v>30149</v>
      </c>
      <c r="J650" s="0" t="s">
        <v>3858</v>
      </c>
      <c r="L650" s="0" t="n">
        <v>2018</v>
      </c>
      <c r="M650" s="0" t="s">
        <v>2734</v>
      </c>
      <c r="N650" s="0" t="s">
        <v>191</v>
      </c>
      <c r="Q650" s="0" t="n">
        <v>149</v>
      </c>
      <c r="R650" s="0" t="n">
        <v>149</v>
      </c>
      <c r="U650" s="0" t="s">
        <v>194</v>
      </c>
      <c r="V650" s="0" t="s">
        <v>194</v>
      </c>
      <c r="Y650" s="0" t="s">
        <v>3071</v>
      </c>
      <c r="Z650" s="0" t="s">
        <v>3072</v>
      </c>
      <c r="AA650" s="0" t="s">
        <v>3861</v>
      </c>
      <c r="AC650" s="0" t="s">
        <v>3862</v>
      </c>
    </row>
    <row r="651" customFormat="false" ht="15" hidden="false" customHeight="false" outlineLevel="0" collapsed="false">
      <c r="A651" s="0" t="s">
        <v>3912</v>
      </c>
      <c r="B651" s="0" t="s">
        <v>187</v>
      </c>
      <c r="C651" s="0" t="s">
        <v>3524</v>
      </c>
      <c r="D651" s="0" t="n">
        <v>2018</v>
      </c>
      <c r="E651" s="0" t="s">
        <v>3913</v>
      </c>
      <c r="F651" s="0" t="n">
        <v>84832</v>
      </c>
      <c r="G651" s="0" t="s">
        <v>3101</v>
      </c>
      <c r="H651" s="0" t="s">
        <v>3068</v>
      </c>
      <c r="I651" s="0" t="n">
        <v>84832</v>
      </c>
      <c r="J651" s="0" t="s">
        <v>3858</v>
      </c>
      <c r="L651" s="0" t="n">
        <v>2018</v>
      </c>
      <c r="M651" s="0" t="s">
        <v>2734</v>
      </c>
      <c r="N651" s="0" t="s">
        <v>191</v>
      </c>
      <c r="Q651" s="0" t="n">
        <v>103</v>
      </c>
      <c r="R651" s="0" t="n">
        <v>103</v>
      </c>
      <c r="U651" s="0" t="s">
        <v>194</v>
      </c>
      <c r="V651" s="0" t="s">
        <v>194</v>
      </c>
      <c r="Y651" s="0" t="s">
        <v>3071</v>
      </c>
      <c r="Z651" s="0" t="s">
        <v>3072</v>
      </c>
      <c r="AA651" s="0" t="s">
        <v>3861</v>
      </c>
      <c r="AC651" s="0" t="s">
        <v>3862</v>
      </c>
    </row>
    <row r="652" customFormat="false" ht="15" hidden="false" customHeight="false" outlineLevel="0" collapsed="false">
      <c r="A652" s="0" t="s">
        <v>3914</v>
      </c>
      <c r="B652" s="0" t="s">
        <v>187</v>
      </c>
      <c r="C652" s="0" t="s">
        <v>3524</v>
      </c>
      <c r="D652" s="0" t="n">
        <v>2019</v>
      </c>
      <c r="E652" s="0" t="s">
        <v>54</v>
      </c>
      <c r="F652" s="0" t="n">
        <v>24375</v>
      </c>
      <c r="G652" s="0" t="s">
        <v>3101</v>
      </c>
      <c r="H652" s="0" t="s">
        <v>3068</v>
      </c>
      <c r="I652" s="0" t="n">
        <v>24375</v>
      </c>
      <c r="J652" s="0" t="s">
        <v>3858</v>
      </c>
      <c r="L652" s="0" t="n">
        <v>2020</v>
      </c>
      <c r="M652" s="0" t="s">
        <v>2735</v>
      </c>
      <c r="N652" s="0" t="s">
        <v>195</v>
      </c>
      <c r="Q652" s="0" t="n">
        <v>52</v>
      </c>
      <c r="R652" s="0" t="n">
        <v>50</v>
      </c>
      <c r="U652" s="0" t="s">
        <v>196</v>
      </c>
      <c r="V652" s="0" t="s">
        <v>196</v>
      </c>
      <c r="Y652" s="0" t="s">
        <v>3071</v>
      </c>
      <c r="Z652" s="0" t="s">
        <v>3072</v>
      </c>
      <c r="AA652" s="0" t="s">
        <v>3861</v>
      </c>
      <c r="AC652" s="0" t="s">
        <v>3862</v>
      </c>
    </row>
    <row r="653" customFormat="false" ht="15" hidden="false" customHeight="false" outlineLevel="0" collapsed="false">
      <c r="A653" s="0" t="s">
        <v>3915</v>
      </c>
      <c r="B653" s="0" t="s">
        <v>187</v>
      </c>
      <c r="C653" s="0" t="s">
        <v>3524</v>
      </c>
      <c r="D653" s="0" t="n">
        <v>2019</v>
      </c>
      <c r="E653" s="0" t="s">
        <v>55</v>
      </c>
      <c r="F653" s="0" t="n">
        <v>1711739</v>
      </c>
      <c r="G653" s="0" t="s">
        <v>3101</v>
      </c>
      <c r="H653" s="0" t="s">
        <v>3068</v>
      </c>
      <c r="I653" s="0" t="n">
        <v>1711739</v>
      </c>
      <c r="J653" s="0" t="s">
        <v>3858</v>
      </c>
      <c r="L653" s="0" t="n">
        <v>2020</v>
      </c>
      <c r="M653" s="0" t="s">
        <v>2735</v>
      </c>
      <c r="N653" s="0" t="s">
        <v>195</v>
      </c>
      <c r="Q653" s="0" t="n">
        <v>54</v>
      </c>
      <c r="R653" s="0" t="n">
        <v>52</v>
      </c>
      <c r="U653" s="0" t="s">
        <v>196</v>
      </c>
      <c r="V653" s="0" t="s">
        <v>196</v>
      </c>
      <c r="Y653" s="0" t="s">
        <v>3071</v>
      </c>
      <c r="Z653" s="0" t="s">
        <v>3072</v>
      </c>
      <c r="AA653" s="0" t="s">
        <v>3861</v>
      </c>
      <c r="AC653" s="0" t="s">
        <v>3862</v>
      </c>
    </row>
    <row r="654" customFormat="false" ht="15" hidden="false" customHeight="false" outlineLevel="0" collapsed="false">
      <c r="A654" s="0" t="s">
        <v>3916</v>
      </c>
      <c r="B654" s="0" t="s">
        <v>187</v>
      </c>
      <c r="C654" s="0" t="s">
        <v>3524</v>
      </c>
      <c r="D654" s="0" t="n">
        <v>2019</v>
      </c>
      <c r="E654" s="0" t="s">
        <v>56</v>
      </c>
      <c r="F654" s="0" t="n">
        <v>1480547</v>
      </c>
      <c r="G654" s="0" t="s">
        <v>3101</v>
      </c>
      <c r="H654" s="0" t="s">
        <v>3068</v>
      </c>
      <c r="I654" s="0" t="n">
        <v>1480547</v>
      </c>
      <c r="J654" s="0" t="s">
        <v>3858</v>
      </c>
      <c r="L654" s="0" t="n">
        <v>2020</v>
      </c>
      <c r="M654" s="0" t="s">
        <v>2735</v>
      </c>
      <c r="N654" s="0" t="s">
        <v>195</v>
      </c>
      <c r="Q654" s="0" t="n">
        <v>54</v>
      </c>
      <c r="R654" s="0" t="n">
        <v>52</v>
      </c>
      <c r="U654" s="0" t="s">
        <v>196</v>
      </c>
      <c r="V654" s="0" t="s">
        <v>196</v>
      </c>
      <c r="Y654" s="0" t="s">
        <v>3071</v>
      </c>
      <c r="Z654" s="0" t="s">
        <v>3072</v>
      </c>
      <c r="AA654" s="0" t="s">
        <v>3861</v>
      </c>
      <c r="AC654" s="0" t="s">
        <v>3862</v>
      </c>
    </row>
    <row r="655" customFormat="false" ht="15" hidden="false" customHeight="false" outlineLevel="0" collapsed="false">
      <c r="A655" s="0" t="s">
        <v>3917</v>
      </c>
      <c r="B655" s="0" t="s">
        <v>187</v>
      </c>
      <c r="C655" s="0" t="s">
        <v>3524</v>
      </c>
      <c r="D655" s="0" t="n">
        <v>2019</v>
      </c>
      <c r="E655" s="0" t="s">
        <v>57</v>
      </c>
      <c r="F655" s="0" t="n">
        <v>231192</v>
      </c>
      <c r="G655" s="0" t="s">
        <v>3101</v>
      </c>
      <c r="H655" s="0" t="s">
        <v>3068</v>
      </c>
      <c r="I655" s="0" t="n">
        <v>231192</v>
      </c>
      <c r="J655" s="0" t="s">
        <v>3858</v>
      </c>
      <c r="L655" s="0" t="n">
        <v>2020</v>
      </c>
      <c r="M655" s="0" t="s">
        <v>2735</v>
      </c>
      <c r="N655" s="0" t="s">
        <v>195</v>
      </c>
      <c r="Q655" s="0" t="n">
        <v>54</v>
      </c>
      <c r="R655" s="0" t="n">
        <v>52</v>
      </c>
      <c r="U655" s="0" t="s">
        <v>196</v>
      </c>
      <c r="V655" s="0" t="s">
        <v>196</v>
      </c>
      <c r="Y655" s="0" t="s">
        <v>3071</v>
      </c>
      <c r="Z655" s="0" t="s">
        <v>3072</v>
      </c>
      <c r="AA655" s="0" t="s">
        <v>3861</v>
      </c>
      <c r="AC655" s="0" t="s">
        <v>3862</v>
      </c>
    </row>
    <row r="656" customFormat="false" ht="15" hidden="false" customHeight="false" outlineLevel="0" collapsed="false">
      <c r="A656" s="0" t="s">
        <v>3918</v>
      </c>
      <c r="B656" s="0" t="s">
        <v>187</v>
      </c>
      <c r="C656" s="0" t="s">
        <v>3524</v>
      </c>
      <c r="D656" s="0" t="n">
        <v>2019</v>
      </c>
      <c r="E656" s="0" t="s">
        <v>58</v>
      </c>
      <c r="F656" s="0" t="n">
        <v>207318</v>
      </c>
      <c r="G656" s="0" t="s">
        <v>3101</v>
      </c>
      <c r="H656" s="0" t="s">
        <v>3068</v>
      </c>
      <c r="I656" s="0" t="n">
        <v>207318</v>
      </c>
      <c r="J656" s="0" t="s">
        <v>3858</v>
      </c>
      <c r="L656" s="0" t="n">
        <v>2020</v>
      </c>
      <c r="M656" s="0" t="s">
        <v>2735</v>
      </c>
      <c r="N656" s="0" t="s">
        <v>195</v>
      </c>
      <c r="Q656" s="0" t="n">
        <v>59</v>
      </c>
      <c r="R656" s="0" t="n">
        <v>57</v>
      </c>
      <c r="U656" s="0" t="s">
        <v>196</v>
      </c>
      <c r="V656" s="0" t="s">
        <v>196</v>
      </c>
      <c r="Y656" s="0" t="s">
        <v>3071</v>
      </c>
      <c r="Z656" s="0" t="s">
        <v>3072</v>
      </c>
      <c r="AA656" s="0" t="s">
        <v>3861</v>
      </c>
      <c r="AC656" s="0" t="s">
        <v>3862</v>
      </c>
    </row>
    <row r="657" customFormat="false" ht="15" hidden="false" customHeight="false" outlineLevel="0" collapsed="false">
      <c r="A657" s="0" t="s">
        <v>3919</v>
      </c>
      <c r="B657" s="0" t="s">
        <v>187</v>
      </c>
      <c r="C657" s="0" t="s">
        <v>3524</v>
      </c>
      <c r="D657" s="0" t="n">
        <v>2019</v>
      </c>
      <c r="E657" s="0" t="s">
        <v>59</v>
      </c>
      <c r="F657" s="0" t="n">
        <v>1324297</v>
      </c>
      <c r="G657" s="0" t="s">
        <v>3101</v>
      </c>
      <c r="H657" s="0" t="s">
        <v>3068</v>
      </c>
      <c r="I657" s="0" t="n">
        <v>1324297</v>
      </c>
      <c r="J657" s="0" t="s">
        <v>3858</v>
      </c>
      <c r="L657" s="0" t="n">
        <v>2018</v>
      </c>
      <c r="M657" s="0" t="s">
        <v>2734</v>
      </c>
      <c r="N657" s="0" t="s">
        <v>191</v>
      </c>
      <c r="Q657" s="0" t="n">
        <v>66</v>
      </c>
      <c r="R657" s="0" t="n">
        <v>64</v>
      </c>
      <c r="U657" s="0" t="s">
        <v>196</v>
      </c>
      <c r="V657" s="0" t="s">
        <v>196</v>
      </c>
      <c r="Y657" s="0" t="s">
        <v>3071</v>
      </c>
      <c r="Z657" s="0" t="s">
        <v>3072</v>
      </c>
      <c r="AA657" s="0" t="s">
        <v>3868</v>
      </c>
      <c r="AC657" s="0" t="s">
        <v>3862</v>
      </c>
    </row>
    <row r="658" customFormat="false" ht="15" hidden="false" customHeight="false" outlineLevel="0" collapsed="false">
      <c r="A658" s="0" t="s">
        <v>3920</v>
      </c>
      <c r="B658" s="0" t="s">
        <v>187</v>
      </c>
      <c r="C658" s="0" t="s">
        <v>3524</v>
      </c>
      <c r="D658" s="0" t="n">
        <v>2019</v>
      </c>
      <c r="E658" s="0" t="s">
        <v>60</v>
      </c>
      <c r="F658" s="0" t="n">
        <v>595298</v>
      </c>
      <c r="G658" s="0" t="s">
        <v>3101</v>
      </c>
      <c r="H658" s="0" t="s">
        <v>3068</v>
      </c>
      <c r="I658" s="0" t="n">
        <v>595298</v>
      </c>
      <c r="J658" s="0" t="s">
        <v>3858</v>
      </c>
      <c r="L658" s="0" t="n">
        <v>2020</v>
      </c>
      <c r="M658" s="0" t="s">
        <v>2735</v>
      </c>
      <c r="N658" s="0" t="s">
        <v>195</v>
      </c>
      <c r="Q658" s="0" t="s">
        <v>3921</v>
      </c>
      <c r="R658" s="0" t="s">
        <v>3922</v>
      </c>
      <c r="U658" s="0" t="s">
        <v>196</v>
      </c>
      <c r="V658" s="0" t="s">
        <v>196</v>
      </c>
      <c r="Y658" s="0" t="s">
        <v>3071</v>
      </c>
      <c r="Z658" s="0" t="s">
        <v>3072</v>
      </c>
      <c r="AA658" s="0" t="s">
        <v>3861</v>
      </c>
      <c r="AC658" s="0" t="s">
        <v>3862</v>
      </c>
    </row>
    <row r="659" customFormat="false" ht="15" hidden="false" customHeight="false" outlineLevel="0" collapsed="false">
      <c r="A659" s="0" t="s">
        <v>3923</v>
      </c>
      <c r="B659" s="0" t="s">
        <v>187</v>
      </c>
      <c r="C659" s="0" t="s">
        <v>3524</v>
      </c>
      <c r="D659" s="0" t="n">
        <v>2019</v>
      </c>
      <c r="E659" s="0" t="s">
        <v>61</v>
      </c>
      <c r="F659" s="0" t="n">
        <v>44685</v>
      </c>
      <c r="G659" s="0" t="s">
        <v>3101</v>
      </c>
      <c r="H659" s="0" t="s">
        <v>3068</v>
      </c>
      <c r="I659" s="0" t="n">
        <v>44685</v>
      </c>
      <c r="J659" s="0" t="s">
        <v>3858</v>
      </c>
      <c r="L659" s="0" t="n">
        <v>2020</v>
      </c>
      <c r="M659" s="0" t="s">
        <v>2735</v>
      </c>
      <c r="N659" s="0" t="s">
        <v>195</v>
      </c>
      <c r="Q659" s="0" t="s">
        <v>3921</v>
      </c>
      <c r="R659" s="0" t="s">
        <v>3922</v>
      </c>
      <c r="U659" s="0" t="s">
        <v>196</v>
      </c>
      <c r="V659" s="0" t="s">
        <v>196</v>
      </c>
      <c r="Y659" s="0" t="s">
        <v>3071</v>
      </c>
      <c r="Z659" s="0" t="s">
        <v>3072</v>
      </c>
      <c r="AA659" s="0" t="s">
        <v>3861</v>
      </c>
      <c r="AC659" s="0" t="s">
        <v>3862</v>
      </c>
    </row>
    <row r="660" customFormat="false" ht="15" hidden="false" customHeight="false" outlineLevel="0" collapsed="false">
      <c r="A660" s="0" t="s">
        <v>3924</v>
      </c>
      <c r="B660" s="0" t="s">
        <v>187</v>
      </c>
      <c r="C660" s="0" t="s">
        <v>3524</v>
      </c>
      <c r="D660" s="0" t="n">
        <v>2019</v>
      </c>
      <c r="E660" s="0" t="s">
        <v>62</v>
      </c>
      <c r="F660" s="0" t="n">
        <v>550613</v>
      </c>
      <c r="G660" s="0" t="s">
        <v>3101</v>
      </c>
      <c r="H660" s="0" t="s">
        <v>3068</v>
      </c>
      <c r="I660" s="0" t="n">
        <v>550613</v>
      </c>
      <c r="J660" s="0" t="s">
        <v>3858</v>
      </c>
      <c r="L660" s="0" t="n">
        <v>2020</v>
      </c>
      <c r="M660" s="0" t="s">
        <v>2735</v>
      </c>
      <c r="N660" s="0" t="s">
        <v>195</v>
      </c>
      <c r="Q660" s="0" t="s">
        <v>3921</v>
      </c>
      <c r="R660" s="0" t="s">
        <v>3922</v>
      </c>
      <c r="U660" s="0" t="s">
        <v>196</v>
      </c>
      <c r="V660" s="0" t="s">
        <v>196</v>
      </c>
      <c r="Y660" s="0" t="s">
        <v>3071</v>
      </c>
      <c r="Z660" s="0" t="s">
        <v>3072</v>
      </c>
      <c r="AA660" s="0" t="s">
        <v>3861</v>
      </c>
      <c r="AC660" s="0" t="s">
        <v>3862</v>
      </c>
    </row>
    <row r="661" customFormat="false" ht="15" hidden="false" customHeight="false" outlineLevel="0" collapsed="false">
      <c r="A661" s="0" t="s">
        <v>3925</v>
      </c>
      <c r="B661" s="0" t="s">
        <v>187</v>
      </c>
      <c r="C661" s="0" t="s">
        <v>3524</v>
      </c>
      <c r="D661" s="0" t="n">
        <v>2019</v>
      </c>
      <c r="E661" s="0" t="s">
        <v>541</v>
      </c>
      <c r="F661" s="0" t="n">
        <v>24746</v>
      </c>
      <c r="G661" s="0" t="s">
        <v>3101</v>
      </c>
      <c r="H661" s="0" t="s">
        <v>3068</v>
      </c>
      <c r="I661" s="0" t="n">
        <v>24746</v>
      </c>
      <c r="J661" s="0" t="s">
        <v>3858</v>
      </c>
      <c r="L661" s="0" t="n">
        <v>2020</v>
      </c>
      <c r="M661" s="0" t="s">
        <v>2735</v>
      </c>
      <c r="N661" s="0" t="s">
        <v>195</v>
      </c>
      <c r="Q661" s="0" t="n">
        <v>52</v>
      </c>
      <c r="R661" s="0" t="n">
        <v>50</v>
      </c>
      <c r="U661" s="0" t="s">
        <v>196</v>
      </c>
      <c r="V661" s="0" t="s">
        <v>196</v>
      </c>
      <c r="Y661" s="0" t="s">
        <v>3071</v>
      </c>
      <c r="Z661" s="0" t="s">
        <v>3072</v>
      </c>
      <c r="AA661" s="0" t="s">
        <v>3861</v>
      </c>
      <c r="AC661" s="0" t="s">
        <v>3862</v>
      </c>
    </row>
    <row r="662" customFormat="false" ht="15" hidden="false" customHeight="false" outlineLevel="0" collapsed="false">
      <c r="A662" s="0" t="s">
        <v>3926</v>
      </c>
      <c r="B662" s="0" t="s">
        <v>187</v>
      </c>
      <c r="C662" s="0" t="s">
        <v>3524</v>
      </c>
      <c r="D662" s="0" t="n">
        <v>2019</v>
      </c>
      <c r="E662" s="0" t="s">
        <v>1327</v>
      </c>
      <c r="F662" s="0" t="n">
        <v>159861</v>
      </c>
      <c r="G662" s="0" t="s">
        <v>3101</v>
      </c>
      <c r="H662" s="0" t="s">
        <v>3068</v>
      </c>
      <c r="I662" s="0" t="n">
        <v>159861</v>
      </c>
      <c r="J662" s="0" t="s">
        <v>3858</v>
      </c>
      <c r="L662" s="0" t="n">
        <v>2020</v>
      </c>
      <c r="M662" s="0" t="s">
        <v>2735</v>
      </c>
      <c r="N662" s="0" t="s">
        <v>195</v>
      </c>
      <c r="Q662" s="0" t="n">
        <v>52</v>
      </c>
      <c r="R662" s="0" t="n">
        <v>50</v>
      </c>
      <c r="U662" s="0" t="s">
        <v>196</v>
      </c>
      <c r="V662" s="0" t="s">
        <v>196</v>
      </c>
      <c r="Y662" s="0" t="s">
        <v>3071</v>
      </c>
      <c r="Z662" s="0" t="s">
        <v>3072</v>
      </c>
      <c r="AA662" s="0" t="s">
        <v>3861</v>
      </c>
      <c r="AC662" s="0" t="s">
        <v>3862</v>
      </c>
    </row>
    <row r="663" customFormat="false" ht="15" hidden="false" customHeight="false" outlineLevel="0" collapsed="false">
      <c r="A663" s="0" t="s">
        <v>3927</v>
      </c>
      <c r="B663" s="0" t="s">
        <v>187</v>
      </c>
      <c r="C663" s="0" t="s">
        <v>3524</v>
      </c>
      <c r="D663" s="0" t="n">
        <v>2019</v>
      </c>
      <c r="E663" s="0" t="s">
        <v>63</v>
      </c>
      <c r="F663" s="0" t="n">
        <v>-504</v>
      </c>
      <c r="G663" s="0" t="s">
        <v>3101</v>
      </c>
      <c r="H663" s="0" t="s">
        <v>3068</v>
      </c>
      <c r="I663" s="0" t="n">
        <v>-504</v>
      </c>
      <c r="J663" s="0" t="s">
        <v>3858</v>
      </c>
      <c r="L663" s="0" t="n">
        <v>2020</v>
      </c>
      <c r="M663" s="0" t="s">
        <v>2735</v>
      </c>
      <c r="N663" s="0" t="s">
        <v>195</v>
      </c>
      <c r="Q663" s="0" t="n">
        <v>52</v>
      </c>
      <c r="R663" s="0" t="n">
        <v>50</v>
      </c>
      <c r="U663" s="0" t="s">
        <v>196</v>
      </c>
      <c r="V663" s="0" t="s">
        <v>196</v>
      </c>
      <c r="Y663" s="0" t="s">
        <v>3071</v>
      </c>
      <c r="Z663" s="0" t="s">
        <v>3072</v>
      </c>
      <c r="AA663" s="0" t="s">
        <v>3875</v>
      </c>
      <c r="AC663" s="0" t="s">
        <v>3862</v>
      </c>
    </row>
    <row r="664" customFormat="false" ht="15" hidden="false" customHeight="false" outlineLevel="0" collapsed="false">
      <c r="A664" s="0" t="s">
        <v>3928</v>
      </c>
      <c r="B664" s="0" t="s">
        <v>187</v>
      </c>
      <c r="C664" s="0" t="s">
        <v>3524</v>
      </c>
      <c r="D664" s="0" t="n">
        <v>2019</v>
      </c>
      <c r="E664" s="0" t="s">
        <v>1366</v>
      </c>
      <c r="F664" s="0" t="n">
        <v>184</v>
      </c>
      <c r="G664" s="0" t="s">
        <v>3101</v>
      </c>
      <c r="H664" s="0" t="s">
        <v>3068</v>
      </c>
      <c r="I664" s="0" t="n">
        <v>184</v>
      </c>
      <c r="J664" s="0" t="s">
        <v>3858</v>
      </c>
      <c r="L664" s="0" t="n">
        <v>2020</v>
      </c>
      <c r="M664" s="0" t="s">
        <v>2735</v>
      </c>
      <c r="N664" s="0" t="s">
        <v>195</v>
      </c>
      <c r="Q664" s="0" t="n">
        <v>52</v>
      </c>
      <c r="R664" s="0" t="n">
        <v>50</v>
      </c>
      <c r="U664" s="0" t="s">
        <v>196</v>
      </c>
      <c r="V664" s="0" t="s">
        <v>196</v>
      </c>
      <c r="Y664" s="0" t="s">
        <v>3071</v>
      </c>
      <c r="Z664" s="0" t="s">
        <v>3072</v>
      </c>
      <c r="AA664" s="0" t="s">
        <v>3861</v>
      </c>
      <c r="AC664" s="0" t="s">
        <v>3862</v>
      </c>
    </row>
    <row r="665" customFormat="false" ht="15" hidden="false" customHeight="false" outlineLevel="0" collapsed="false">
      <c r="A665" s="0" t="s">
        <v>3929</v>
      </c>
      <c r="B665" s="0" t="s">
        <v>187</v>
      </c>
      <c r="C665" s="0" t="s">
        <v>3524</v>
      </c>
      <c r="D665" s="0" t="n">
        <v>2019</v>
      </c>
      <c r="E665" s="0" t="s">
        <v>1038</v>
      </c>
      <c r="F665" s="0" t="n">
        <v>-688</v>
      </c>
      <c r="G665" s="0" t="s">
        <v>3101</v>
      </c>
      <c r="H665" s="0" t="s">
        <v>3068</v>
      </c>
      <c r="I665" s="0" t="n">
        <v>-688</v>
      </c>
      <c r="J665" s="0" t="s">
        <v>3858</v>
      </c>
      <c r="L665" s="0" t="n">
        <v>2020</v>
      </c>
      <c r="M665" s="0" t="s">
        <v>2735</v>
      </c>
      <c r="N665" s="0" t="s">
        <v>195</v>
      </c>
      <c r="Q665" s="0" t="n">
        <v>52</v>
      </c>
      <c r="R665" s="0" t="n">
        <v>50</v>
      </c>
      <c r="U665" s="0" t="s">
        <v>196</v>
      </c>
      <c r="V665" s="0" t="s">
        <v>196</v>
      </c>
      <c r="Y665" s="0" t="s">
        <v>3071</v>
      </c>
      <c r="Z665" s="0" t="s">
        <v>3072</v>
      </c>
      <c r="AA665" s="0" t="s">
        <v>3861</v>
      </c>
      <c r="AC665" s="0" t="s">
        <v>3862</v>
      </c>
    </row>
    <row r="666" customFormat="false" ht="15" hidden="false" customHeight="false" outlineLevel="0" collapsed="false">
      <c r="A666" s="0" t="s">
        <v>3930</v>
      </c>
      <c r="B666" s="0" t="s">
        <v>187</v>
      </c>
      <c r="C666" s="0" t="s">
        <v>3524</v>
      </c>
      <c r="D666" s="0" t="n">
        <v>2019</v>
      </c>
      <c r="E666" s="0" t="s">
        <v>69</v>
      </c>
      <c r="F666" s="0" t="n">
        <v>15.91</v>
      </c>
      <c r="G666" s="0" t="s">
        <v>3143</v>
      </c>
      <c r="I666" s="0" t="n">
        <v>15.91</v>
      </c>
      <c r="J666" s="0" t="s">
        <v>3858</v>
      </c>
      <c r="L666" s="0" t="n">
        <v>2020</v>
      </c>
      <c r="M666" s="0" t="s">
        <v>2735</v>
      </c>
      <c r="N666" s="0" t="s">
        <v>195</v>
      </c>
      <c r="Q666" s="0" t="s">
        <v>3931</v>
      </c>
      <c r="R666" s="0" t="s">
        <v>3932</v>
      </c>
      <c r="U666" s="0" t="s">
        <v>196</v>
      </c>
      <c r="V666" s="0" t="s">
        <v>196</v>
      </c>
      <c r="Y666" s="0" t="s">
        <v>3071</v>
      </c>
      <c r="Z666" s="0" t="s">
        <v>3072</v>
      </c>
      <c r="AA666" s="0" t="s">
        <v>3902</v>
      </c>
      <c r="AC666" s="0" t="s">
        <v>3862</v>
      </c>
    </row>
    <row r="667" customFormat="false" ht="15" hidden="false" customHeight="false" outlineLevel="0" collapsed="false">
      <c r="A667" s="0" t="s">
        <v>3933</v>
      </c>
      <c r="B667" s="0" t="s">
        <v>187</v>
      </c>
      <c r="C667" s="0" t="s">
        <v>3524</v>
      </c>
      <c r="D667" s="0" t="n">
        <v>2019</v>
      </c>
      <c r="E667" s="0" t="s">
        <v>65</v>
      </c>
      <c r="F667" s="0" t="n">
        <v>139997</v>
      </c>
      <c r="G667" s="0" t="s">
        <v>3101</v>
      </c>
      <c r="H667" s="0" t="s">
        <v>3068</v>
      </c>
      <c r="I667" s="0" t="n">
        <v>139997</v>
      </c>
      <c r="J667" s="0" t="s">
        <v>3858</v>
      </c>
      <c r="L667" s="0" t="n">
        <v>2020</v>
      </c>
      <c r="M667" s="0" t="s">
        <v>2735</v>
      </c>
      <c r="N667" s="0" t="s">
        <v>195</v>
      </c>
      <c r="Q667" s="0" t="s">
        <v>3931</v>
      </c>
      <c r="R667" s="0" t="s">
        <v>3932</v>
      </c>
      <c r="U667" s="0" t="s">
        <v>196</v>
      </c>
      <c r="V667" s="0" t="s">
        <v>196</v>
      </c>
      <c r="Y667" s="0" t="s">
        <v>3071</v>
      </c>
      <c r="Z667" s="0" t="s">
        <v>3072</v>
      </c>
      <c r="AA667" s="0" t="s">
        <v>3861</v>
      </c>
      <c r="AC667" s="0" t="s">
        <v>3862</v>
      </c>
    </row>
    <row r="668" customFormat="false" ht="15" hidden="false" customHeight="false" outlineLevel="0" collapsed="false">
      <c r="A668" s="0" t="s">
        <v>3934</v>
      </c>
      <c r="B668" s="0" t="s">
        <v>187</v>
      </c>
      <c r="C668" s="0" t="s">
        <v>3524</v>
      </c>
      <c r="D668" s="0" t="n">
        <v>2019</v>
      </c>
      <c r="E668" s="0" t="s">
        <v>66</v>
      </c>
      <c r="F668" s="0" t="n">
        <v>880146</v>
      </c>
      <c r="G668" s="0" t="s">
        <v>3101</v>
      </c>
      <c r="H668" s="0" t="s">
        <v>3068</v>
      </c>
      <c r="I668" s="0" t="n">
        <v>880146</v>
      </c>
      <c r="J668" s="0" t="s">
        <v>3858</v>
      </c>
      <c r="L668" s="0" t="n">
        <v>2020</v>
      </c>
      <c r="M668" s="0" t="s">
        <v>2735</v>
      </c>
      <c r="N668" s="0" t="s">
        <v>195</v>
      </c>
      <c r="Q668" s="0" t="s">
        <v>3931</v>
      </c>
      <c r="R668" s="0" t="s">
        <v>3932</v>
      </c>
      <c r="U668" s="0" t="s">
        <v>196</v>
      </c>
      <c r="V668" s="0" t="s">
        <v>196</v>
      </c>
      <c r="Y668" s="0" t="s">
        <v>3071</v>
      </c>
      <c r="Z668" s="0" t="s">
        <v>3072</v>
      </c>
      <c r="AA668" s="0" t="s">
        <v>3861</v>
      </c>
      <c r="AC668" s="0" t="s">
        <v>3862</v>
      </c>
    </row>
    <row r="669" customFormat="false" ht="15" hidden="false" customHeight="false" outlineLevel="0" collapsed="false">
      <c r="A669" s="0" t="s">
        <v>3935</v>
      </c>
      <c r="B669" s="0" t="s">
        <v>187</v>
      </c>
      <c r="C669" s="0" t="s">
        <v>3524</v>
      </c>
      <c r="D669" s="0" t="n">
        <v>2019</v>
      </c>
      <c r="E669" s="0" t="s">
        <v>614</v>
      </c>
      <c r="F669" s="0" t="n">
        <v>19.73</v>
      </c>
      <c r="G669" s="0" t="s">
        <v>3143</v>
      </c>
      <c r="I669" s="0" t="n">
        <v>19.73</v>
      </c>
      <c r="J669" s="0" t="s">
        <v>3858</v>
      </c>
      <c r="L669" s="0" t="n">
        <v>2020</v>
      </c>
      <c r="M669" s="0" t="s">
        <v>2735</v>
      </c>
      <c r="N669" s="0" t="s">
        <v>195</v>
      </c>
      <c r="Q669" s="0" t="s">
        <v>3931</v>
      </c>
      <c r="R669" s="0" t="s">
        <v>3932</v>
      </c>
      <c r="U669" s="0" t="s">
        <v>196</v>
      </c>
      <c r="V669" s="0" t="s">
        <v>196</v>
      </c>
      <c r="Y669" s="0" t="s">
        <v>3071</v>
      </c>
      <c r="Z669" s="0" t="s">
        <v>3072</v>
      </c>
      <c r="AA669" s="0" t="s">
        <v>3861</v>
      </c>
      <c r="AC669" s="0" t="s">
        <v>3862</v>
      </c>
    </row>
    <row r="670" customFormat="false" ht="15" hidden="false" customHeight="false" outlineLevel="0" collapsed="false">
      <c r="A670" s="0" t="s">
        <v>3936</v>
      </c>
      <c r="B670" s="0" t="s">
        <v>187</v>
      </c>
      <c r="C670" s="0" t="s">
        <v>3524</v>
      </c>
      <c r="D670" s="0" t="n">
        <v>2019</v>
      </c>
      <c r="E670" s="0" t="s">
        <v>619</v>
      </c>
      <c r="F670" s="0" t="n">
        <v>173634</v>
      </c>
      <c r="G670" s="0" t="s">
        <v>3101</v>
      </c>
      <c r="H670" s="0" t="s">
        <v>3068</v>
      </c>
      <c r="I670" s="0" t="n">
        <v>173634</v>
      </c>
      <c r="J670" s="0" t="s">
        <v>3858</v>
      </c>
      <c r="L670" s="0" t="n">
        <v>2020</v>
      </c>
      <c r="M670" s="0" t="s">
        <v>2735</v>
      </c>
      <c r="N670" s="0" t="s">
        <v>195</v>
      </c>
      <c r="Q670" s="0" t="s">
        <v>3931</v>
      </c>
      <c r="R670" s="0" t="s">
        <v>3932</v>
      </c>
      <c r="U670" s="0" t="s">
        <v>196</v>
      </c>
      <c r="V670" s="0" t="s">
        <v>196</v>
      </c>
      <c r="Y670" s="0" t="s">
        <v>3071</v>
      </c>
      <c r="Z670" s="0" t="s">
        <v>3072</v>
      </c>
      <c r="AA670" s="0" t="s">
        <v>3861</v>
      </c>
      <c r="AC670" s="0" t="s">
        <v>3862</v>
      </c>
    </row>
    <row r="671" customFormat="false" ht="15" hidden="false" customHeight="false" outlineLevel="0" collapsed="false">
      <c r="A671" s="0" t="s">
        <v>3937</v>
      </c>
      <c r="B671" s="0" t="s">
        <v>187</v>
      </c>
      <c r="C671" s="0" t="s">
        <v>3524</v>
      </c>
      <c r="D671" s="0" t="n">
        <v>2019</v>
      </c>
      <c r="E671" s="0" t="s">
        <v>1367</v>
      </c>
      <c r="F671" s="0" t="n">
        <v>33637</v>
      </c>
      <c r="G671" s="0" t="s">
        <v>3101</v>
      </c>
      <c r="H671" s="0" t="s">
        <v>3068</v>
      </c>
      <c r="I671" s="0" t="n">
        <v>33637</v>
      </c>
      <c r="J671" s="0" t="s">
        <v>3858</v>
      </c>
      <c r="L671" s="0" t="n">
        <v>2020</v>
      </c>
      <c r="M671" s="0" t="s">
        <v>2735</v>
      </c>
      <c r="N671" s="0" t="s">
        <v>195</v>
      </c>
      <c r="Q671" s="0" t="s">
        <v>3931</v>
      </c>
      <c r="R671" s="0" t="s">
        <v>3932</v>
      </c>
      <c r="U671" s="0" t="s">
        <v>196</v>
      </c>
      <c r="V671" s="0" t="s">
        <v>196</v>
      </c>
      <c r="Y671" s="0" t="s">
        <v>3071</v>
      </c>
      <c r="Z671" s="0" t="s">
        <v>3072</v>
      </c>
      <c r="AA671" s="0" t="s">
        <v>3861</v>
      </c>
      <c r="AC671" s="0" t="s">
        <v>3862</v>
      </c>
    </row>
    <row r="672" customFormat="false" ht="15" hidden="false" customHeight="false" outlineLevel="0" collapsed="false">
      <c r="A672" s="0" t="s">
        <v>3938</v>
      </c>
      <c r="B672" s="0" t="s">
        <v>187</v>
      </c>
      <c r="C672" s="0" t="s">
        <v>3524</v>
      </c>
      <c r="D672" s="0" t="n">
        <v>2019</v>
      </c>
      <c r="E672" s="0" t="s">
        <v>70</v>
      </c>
      <c r="F672" s="0" t="n">
        <v>15</v>
      </c>
      <c r="G672" s="0" t="s">
        <v>3143</v>
      </c>
      <c r="I672" s="0" t="n">
        <v>15</v>
      </c>
      <c r="J672" s="0" t="s">
        <v>3858</v>
      </c>
      <c r="L672" s="0" t="n">
        <v>2020</v>
      </c>
      <c r="M672" s="0" t="s">
        <v>2735</v>
      </c>
      <c r="N672" s="0" t="s">
        <v>195</v>
      </c>
      <c r="Q672" s="0" t="s">
        <v>3931</v>
      </c>
      <c r="R672" s="0" t="s">
        <v>3932</v>
      </c>
      <c r="U672" s="0" t="s">
        <v>196</v>
      </c>
      <c r="V672" s="0" t="s">
        <v>196</v>
      </c>
      <c r="Y672" s="0" t="s">
        <v>3071</v>
      </c>
      <c r="Z672" s="0" t="s">
        <v>3072</v>
      </c>
      <c r="AA672" s="0" t="s">
        <v>3861</v>
      </c>
      <c r="AC672" s="0" t="s">
        <v>3862</v>
      </c>
    </row>
    <row r="673" customFormat="false" ht="15" hidden="false" customHeight="false" outlineLevel="0" collapsed="false">
      <c r="A673" s="0" t="s">
        <v>3939</v>
      </c>
      <c r="B673" s="0" t="s">
        <v>187</v>
      </c>
      <c r="C673" s="0" t="s">
        <v>3524</v>
      </c>
      <c r="D673" s="0" t="n">
        <v>2019</v>
      </c>
      <c r="E673" s="0" t="s">
        <v>64</v>
      </c>
      <c r="F673" s="0" t="n">
        <v>34760</v>
      </c>
      <c r="G673" s="0" t="s">
        <v>3101</v>
      </c>
      <c r="H673" s="0" t="s">
        <v>3068</v>
      </c>
      <c r="I673" s="0" t="n">
        <v>34760</v>
      </c>
      <c r="J673" s="0" t="s">
        <v>3858</v>
      </c>
      <c r="L673" s="0" t="n">
        <v>2019</v>
      </c>
      <c r="M673" s="0" t="s">
        <v>3031</v>
      </c>
      <c r="N673" s="0" t="s">
        <v>3030</v>
      </c>
      <c r="Q673" s="0" t="n">
        <v>97</v>
      </c>
      <c r="R673" s="0" t="n">
        <v>96</v>
      </c>
      <c r="U673" s="0" t="s">
        <v>196</v>
      </c>
      <c r="V673" s="0" t="s">
        <v>196</v>
      </c>
      <c r="Y673" s="0" t="s">
        <v>3071</v>
      </c>
      <c r="Z673" s="0" t="s">
        <v>3072</v>
      </c>
      <c r="AA673" s="0" t="s">
        <v>3861</v>
      </c>
      <c r="AC673" s="0" t="s">
        <v>3862</v>
      </c>
    </row>
    <row r="674" customFormat="false" ht="15" hidden="false" customHeight="false" outlineLevel="0" collapsed="false">
      <c r="A674" s="0" t="s">
        <v>3940</v>
      </c>
      <c r="B674" s="0" t="s">
        <v>187</v>
      </c>
      <c r="C674" s="0" t="s">
        <v>3524</v>
      </c>
      <c r="D674" s="0" t="n">
        <v>2019</v>
      </c>
      <c r="E674" s="0" t="s">
        <v>67</v>
      </c>
      <c r="F674" s="0" t="n">
        <v>58769</v>
      </c>
      <c r="G674" s="0" t="s">
        <v>3101</v>
      </c>
      <c r="H674" s="0" t="s">
        <v>3068</v>
      </c>
      <c r="I674" s="0" t="n">
        <v>58769</v>
      </c>
      <c r="J674" s="0" t="s">
        <v>3858</v>
      </c>
      <c r="L674" s="0" t="n">
        <v>2019</v>
      </c>
      <c r="M674" s="0" t="s">
        <v>3031</v>
      </c>
      <c r="N674" s="0" t="s">
        <v>3030</v>
      </c>
      <c r="Q674" s="0" t="n">
        <v>144</v>
      </c>
      <c r="R674" s="0" t="n">
        <v>143</v>
      </c>
      <c r="U674" s="0" t="s">
        <v>196</v>
      </c>
      <c r="V674" s="0" t="s">
        <v>196</v>
      </c>
      <c r="Y674" s="0" t="s">
        <v>3071</v>
      </c>
      <c r="Z674" s="0" t="s">
        <v>3072</v>
      </c>
      <c r="AA674" s="0" t="s">
        <v>3861</v>
      </c>
      <c r="AC674" s="0" t="s">
        <v>3862</v>
      </c>
    </row>
    <row r="675" customFormat="false" ht="15" hidden="false" customHeight="false" outlineLevel="0" collapsed="false">
      <c r="A675" s="0" t="s">
        <v>3941</v>
      </c>
      <c r="B675" s="0" t="s">
        <v>187</v>
      </c>
      <c r="C675" s="0" t="s">
        <v>3524</v>
      </c>
      <c r="D675" s="0" t="n">
        <v>2019</v>
      </c>
      <c r="E675" s="0" t="s">
        <v>68</v>
      </c>
      <c r="F675" s="0" t="n">
        <v>16198</v>
      </c>
      <c r="G675" s="0" t="s">
        <v>3101</v>
      </c>
      <c r="H675" s="0" t="s">
        <v>3068</v>
      </c>
      <c r="I675" s="0" t="n">
        <v>16198</v>
      </c>
      <c r="J675" s="0" t="s">
        <v>3858</v>
      </c>
      <c r="L675" s="0" t="n">
        <v>2019</v>
      </c>
      <c r="M675" s="0" t="s">
        <v>3031</v>
      </c>
      <c r="N675" s="0" t="s">
        <v>3030</v>
      </c>
      <c r="Q675" s="0" t="n">
        <v>144</v>
      </c>
      <c r="R675" s="0" t="n">
        <v>143</v>
      </c>
      <c r="U675" s="0" t="s">
        <v>196</v>
      </c>
      <c r="V675" s="0" t="s">
        <v>196</v>
      </c>
      <c r="Y675" s="0" t="s">
        <v>3071</v>
      </c>
      <c r="Z675" s="0" t="s">
        <v>3072</v>
      </c>
      <c r="AA675" s="0" t="s">
        <v>3861</v>
      </c>
      <c r="AC675" s="0" t="s">
        <v>3862</v>
      </c>
    </row>
    <row r="676" customFormat="false" ht="15" hidden="false" customHeight="false" outlineLevel="0" collapsed="false">
      <c r="A676" s="0" t="s">
        <v>3942</v>
      </c>
      <c r="B676" s="0" t="s">
        <v>187</v>
      </c>
      <c r="C676" s="0" t="s">
        <v>3524</v>
      </c>
      <c r="D676" s="0" t="n">
        <v>2019</v>
      </c>
      <c r="E676" s="0" t="s">
        <v>3913</v>
      </c>
      <c r="F676" s="0" t="n">
        <v>24009</v>
      </c>
      <c r="G676" s="0" t="s">
        <v>3101</v>
      </c>
      <c r="H676" s="0" t="s">
        <v>3068</v>
      </c>
      <c r="I676" s="0" t="n">
        <v>24009</v>
      </c>
      <c r="J676" s="0" t="s">
        <v>3858</v>
      </c>
      <c r="L676" s="0" t="n">
        <v>2019</v>
      </c>
      <c r="M676" s="0" t="s">
        <v>3031</v>
      </c>
      <c r="N676" s="0" t="s">
        <v>3030</v>
      </c>
      <c r="Q676" s="0" t="n">
        <v>97</v>
      </c>
      <c r="R676" s="0" t="n">
        <v>96</v>
      </c>
      <c r="U676" s="0" t="s">
        <v>196</v>
      </c>
      <c r="V676" s="0" t="s">
        <v>196</v>
      </c>
      <c r="Y676" s="0" t="s">
        <v>3071</v>
      </c>
      <c r="Z676" s="0" t="s">
        <v>3072</v>
      </c>
      <c r="AA676" s="0" t="s">
        <v>3861</v>
      </c>
      <c r="AC676" s="0" t="s">
        <v>3862</v>
      </c>
    </row>
    <row r="677" customFormat="false" ht="15" hidden="false" customHeight="false" outlineLevel="0" collapsed="false">
      <c r="A677" s="0" t="s">
        <v>3943</v>
      </c>
      <c r="B677" s="0" t="s">
        <v>187</v>
      </c>
      <c r="C677" s="0" t="s">
        <v>3524</v>
      </c>
      <c r="D677" s="0" t="n">
        <v>2020</v>
      </c>
      <c r="E677" s="0" t="s">
        <v>54</v>
      </c>
      <c r="F677" s="0" t="n">
        <v>24653</v>
      </c>
      <c r="G677" s="0" t="s">
        <v>3101</v>
      </c>
      <c r="H677" s="0" t="s">
        <v>3068</v>
      </c>
      <c r="I677" s="0" t="n">
        <v>24653</v>
      </c>
      <c r="J677" s="0" t="s">
        <v>3858</v>
      </c>
      <c r="L677" s="0" t="n">
        <v>2020</v>
      </c>
      <c r="M677" s="0" t="s">
        <v>2735</v>
      </c>
      <c r="N677" s="0" t="s">
        <v>195</v>
      </c>
      <c r="Q677" s="0" t="n">
        <v>52</v>
      </c>
      <c r="R677" s="0" t="n">
        <v>50</v>
      </c>
      <c r="U677" s="0" t="s">
        <v>197</v>
      </c>
      <c r="V677" s="0" t="s">
        <v>197</v>
      </c>
      <c r="Y677" s="0" t="s">
        <v>3071</v>
      </c>
      <c r="Z677" s="0" t="s">
        <v>3072</v>
      </c>
      <c r="AA677" s="0" t="s">
        <v>3861</v>
      </c>
      <c r="AC677" s="0" t="s">
        <v>3862</v>
      </c>
    </row>
    <row r="678" customFormat="false" ht="15" hidden="false" customHeight="false" outlineLevel="0" collapsed="false">
      <c r="A678" s="0" t="s">
        <v>3944</v>
      </c>
      <c r="B678" s="0" t="s">
        <v>187</v>
      </c>
      <c r="C678" s="0" t="s">
        <v>3524</v>
      </c>
      <c r="D678" s="0" t="n">
        <v>2020</v>
      </c>
      <c r="E678" s="0" t="s">
        <v>55</v>
      </c>
      <c r="F678" s="0" t="n">
        <v>2073758</v>
      </c>
      <c r="G678" s="0" t="s">
        <v>3101</v>
      </c>
      <c r="H678" s="0" t="s">
        <v>3068</v>
      </c>
      <c r="I678" s="0" t="n">
        <v>2073758</v>
      </c>
      <c r="J678" s="0" t="s">
        <v>3858</v>
      </c>
      <c r="L678" s="0" t="n">
        <v>2020</v>
      </c>
      <c r="M678" s="0" t="s">
        <v>2735</v>
      </c>
      <c r="N678" s="0" t="s">
        <v>195</v>
      </c>
      <c r="Q678" s="0" t="n">
        <v>54</v>
      </c>
      <c r="R678" s="0" t="n">
        <v>52</v>
      </c>
      <c r="U678" s="0" t="s">
        <v>197</v>
      </c>
      <c r="V678" s="0" t="s">
        <v>197</v>
      </c>
      <c r="Y678" s="0" t="s">
        <v>3071</v>
      </c>
      <c r="Z678" s="0" t="s">
        <v>3072</v>
      </c>
      <c r="AA678" s="0" t="s">
        <v>3861</v>
      </c>
      <c r="AC678" s="0" t="s">
        <v>3862</v>
      </c>
    </row>
    <row r="679" customFormat="false" ht="15" hidden="false" customHeight="false" outlineLevel="0" collapsed="false">
      <c r="A679" s="0" t="s">
        <v>3945</v>
      </c>
      <c r="B679" s="0" t="s">
        <v>187</v>
      </c>
      <c r="C679" s="0" t="s">
        <v>3524</v>
      </c>
      <c r="D679" s="0" t="n">
        <v>2020</v>
      </c>
      <c r="E679" s="0" t="s">
        <v>56</v>
      </c>
      <c r="F679" s="0" t="n">
        <v>1826237</v>
      </c>
      <c r="G679" s="0" t="s">
        <v>3101</v>
      </c>
      <c r="H679" s="0" t="s">
        <v>3068</v>
      </c>
      <c r="I679" s="0" t="n">
        <v>1826237</v>
      </c>
      <c r="J679" s="0" t="s">
        <v>3858</v>
      </c>
      <c r="L679" s="0" t="n">
        <v>2020</v>
      </c>
      <c r="M679" s="0" t="s">
        <v>2735</v>
      </c>
      <c r="N679" s="0" t="s">
        <v>195</v>
      </c>
      <c r="Q679" s="0" t="n">
        <v>54</v>
      </c>
      <c r="R679" s="0" t="n">
        <v>52</v>
      </c>
      <c r="U679" s="0" t="s">
        <v>197</v>
      </c>
      <c r="V679" s="0" t="s">
        <v>197</v>
      </c>
      <c r="Y679" s="0" t="s">
        <v>3071</v>
      </c>
      <c r="Z679" s="0" t="s">
        <v>3072</v>
      </c>
      <c r="AA679" s="0" t="s">
        <v>3861</v>
      </c>
      <c r="AC679" s="0" t="s">
        <v>3862</v>
      </c>
    </row>
    <row r="680" customFormat="false" ht="15" hidden="false" customHeight="false" outlineLevel="0" collapsed="false">
      <c r="A680" s="0" t="s">
        <v>3946</v>
      </c>
      <c r="B680" s="0" t="s">
        <v>187</v>
      </c>
      <c r="C680" s="0" t="s">
        <v>3524</v>
      </c>
      <c r="D680" s="0" t="n">
        <v>2020</v>
      </c>
      <c r="E680" s="0" t="s">
        <v>57</v>
      </c>
      <c r="F680" s="0" t="n">
        <v>247521</v>
      </c>
      <c r="G680" s="0" t="s">
        <v>3101</v>
      </c>
      <c r="H680" s="0" t="s">
        <v>3068</v>
      </c>
      <c r="I680" s="0" t="n">
        <v>247521</v>
      </c>
      <c r="J680" s="0" t="s">
        <v>3858</v>
      </c>
      <c r="L680" s="0" t="n">
        <v>2020</v>
      </c>
      <c r="M680" s="0" t="s">
        <v>2735</v>
      </c>
      <c r="N680" s="0" t="s">
        <v>195</v>
      </c>
      <c r="Q680" s="0" t="n">
        <v>54</v>
      </c>
      <c r="R680" s="0" t="n">
        <v>52</v>
      </c>
      <c r="U680" s="0" t="s">
        <v>197</v>
      </c>
      <c r="V680" s="0" t="s">
        <v>197</v>
      </c>
      <c r="Y680" s="0" t="s">
        <v>3071</v>
      </c>
      <c r="Z680" s="0" t="s">
        <v>3072</v>
      </c>
      <c r="AA680" s="0" t="s">
        <v>3861</v>
      </c>
      <c r="AC680" s="0" t="s">
        <v>3862</v>
      </c>
    </row>
    <row r="681" customFormat="false" ht="15" hidden="false" customHeight="false" outlineLevel="0" collapsed="false">
      <c r="A681" s="0" t="s">
        <v>3947</v>
      </c>
      <c r="B681" s="0" t="s">
        <v>187</v>
      </c>
      <c r="C681" s="0" t="s">
        <v>3524</v>
      </c>
      <c r="D681" s="0" t="n">
        <v>2020</v>
      </c>
      <c r="E681" s="0" t="s">
        <v>58</v>
      </c>
      <c r="F681" s="0" t="n">
        <v>-35912</v>
      </c>
      <c r="G681" s="0" t="s">
        <v>3101</v>
      </c>
      <c r="H681" s="0" t="s">
        <v>3068</v>
      </c>
      <c r="I681" s="0" t="n">
        <v>-35912</v>
      </c>
      <c r="J681" s="0" t="s">
        <v>3858</v>
      </c>
      <c r="L681" s="0" t="n">
        <v>2020</v>
      </c>
      <c r="M681" s="0" t="s">
        <v>2735</v>
      </c>
      <c r="N681" s="0" t="s">
        <v>195</v>
      </c>
      <c r="Q681" s="0" t="n">
        <v>59</v>
      </c>
      <c r="R681" s="0" t="n">
        <v>57</v>
      </c>
      <c r="U681" s="0" t="s">
        <v>197</v>
      </c>
      <c r="V681" s="0" t="s">
        <v>197</v>
      </c>
      <c r="Y681" s="0" t="s">
        <v>3071</v>
      </c>
      <c r="Z681" s="0" t="s">
        <v>3072</v>
      </c>
      <c r="AA681" s="0" t="s">
        <v>3861</v>
      </c>
      <c r="AC681" s="0" t="s">
        <v>3862</v>
      </c>
    </row>
    <row r="682" customFormat="false" ht="15" hidden="false" customHeight="false" outlineLevel="0" collapsed="false">
      <c r="A682" s="0" t="s">
        <v>3948</v>
      </c>
      <c r="B682" s="0" t="s">
        <v>187</v>
      </c>
      <c r="C682" s="0" t="s">
        <v>3524</v>
      </c>
      <c r="D682" s="0" t="n">
        <v>2020</v>
      </c>
      <c r="E682" s="0" t="s">
        <v>59</v>
      </c>
      <c r="F682" s="0" t="n">
        <v>1711739</v>
      </c>
      <c r="G682" s="0" t="s">
        <v>3101</v>
      </c>
      <c r="H682" s="0" t="s">
        <v>3068</v>
      </c>
      <c r="I682" s="0" t="n">
        <v>1711739</v>
      </c>
      <c r="J682" s="0" t="s">
        <v>3858</v>
      </c>
      <c r="L682" s="0" t="n">
        <v>2020</v>
      </c>
      <c r="M682" s="0" t="s">
        <v>2735</v>
      </c>
      <c r="N682" s="0" t="s">
        <v>195</v>
      </c>
      <c r="Q682" s="0" t="n">
        <v>54</v>
      </c>
      <c r="R682" s="0" t="n">
        <v>52</v>
      </c>
      <c r="U682" s="0" t="s">
        <v>197</v>
      </c>
      <c r="V682" s="0" t="s">
        <v>197</v>
      </c>
      <c r="Y682" s="0" t="s">
        <v>3071</v>
      </c>
      <c r="Z682" s="0" t="s">
        <v>3072</v>
      </c>
      <c r="AA682" s="0" t="s">
        <v>3868</v>
      </c>
      <c r="AC682" s="0" t="s">
        <v>3862</v>
      </c>
    </row>
    <row r="683" customFormat="false" ht="15" hidden="false" customHeight="false" outlineLevel="0" collapsed="false">
      <c r="A683" s="0" t="s">
        <v>3949</v>
      </c>
      <c r="B683" s="0" t="s">
        <v>187</v>
      </c>
      <c r="C683" s="0" t="s">
        <v>3524</v>
      </c>
      <c r="D683" s="0" t="n">
        <v>2020</v>
      </c>
      <c r="E683" s="0" t="s">
        <v>60</v>
      </c>
      <c r="F683" s="0" t="n">
        <v>736712</v>
      </c>
      <c r="G683" s="0" t="s">
        <v>3101</v>
      </c>
      <c r="H683" s="0" t="s">
        <v>3068</v>
      </c>
      <c r="I683" s="0" t="n">
        <v>736712</v>
      </c>
      <c r="J683" s="0" t="s">
        <v>3858</v>
      </c>
      <c r="L683" s="0" t="n">
        <v>2020</v>
      </c>
      <c r="M683" s="0" t="s">
        <v>2735</v>
      </c>
      <c r="N683" s="0" t="s">
        <v>195</v>
      </c>
      <c r="Q683" s="0" t="s">
        <v>3921</v>
      </c>
      <c r="R683" s="0" t="s">
        <v>3922</v>
      </c>
      <c r="U683" s="0" t="s">
        <v>197</v>
      </c>
      <c r="V683" s="0" t="s">
        <v>197</v>
      </c>
      <c r="Y683" s="0" t="s">
        <v>3071</v>
      </c>
      <c r="Z683" s="0" t="s">
        <v>3072</v>
      </c>
      <c r="AA683" s="0" t="s">
        <v>3861</v>
      </c>
      <c r="AC683" s="0" t="s">
        <v>3862</v>
      </c>
    </row>
    <row r="684" customFormat="false" ht="15" hidden="false" customHeight="false" outlineLevel="0" collapsed="false">
      <c r="A684" s="0" t="s">
        <v>3950</v>
      </c>
      <c r="B684" s="0" t="s">
        <v>187</v>
      </c>
      <c r="C684" s="0" t="s">
        <v>3524</v>
      </c>
      <c r="D684" s="0" t="n">
        <v>2020</v>
      </c>
      <c r="E684" s="0" t="s">
        <v>61</v>
      </c>
      <c r="F684" s="0" t="n">
        <v>43909</v>
      </c>
      <c r="G684" s="0" t="s">
        <v>3101</v>
      </c>
      <c r="H684" s="0" t="s">
        <v>3068</v>
      </c>
      <c r="I684" s="0" t="n">
        <v>43909</v>
      </c>
      <c r="J684" s="0" t="s">
        <v>3858</v>
      </c>
      <c r="L684" s="0" t="n">
        <v>2020</v>
      </c>
      <c r="M684" s="0" t="s">
        <v>2735</v>
      </c>
      <c r="N684" s="0" t="s">
        <v>195</v>
      </c>
      <c r="Q684" s="0" t="s">
        <v>3921</v>
      </c>
      <c r="R684" s="0" t="s">
        <v>3922</v>
      </c>
      <c r="U684" s="0" t="s">
        <v>197</v>
      </c>
      <c r="V684" s="0" t="s">
        <v>197</v>
      </c>
      <c r="Y684" s="0" t="s">
        <v>3071</v>
      </c>
      <c r="Z684" s="0" t="s">
        <v>3072</v>
      </c>
      <c r="AA684" s="0" t="s">
        <v>3861</v>
      </c>
      <c r="AC684" s="0" t="s">
        <v>3862</v>
      </c>
    </row>
    <row r="685" customFormat="false" ht="15" hidden="false" customHeight="false" outlineLevel="0" collapsed="false">
      <c r="A685" s="0" t="s">
        <v>3951</v>
      </c>
      <c r="B685" s="0" t="s">
        <v>187</v>
      </c>
      <c r="C685" s="0" t="s">
        <v>3524</v>
      </c>
      <c r="D685" s="0" t="n">
        <v>2020</v>
      </c>
      <c r="E685" s="0" t="s">
        <v>62</v>
      </c>
      <c r="F685" s="0" t="n">
        <v>692803</v>
      </c>
      <c r="G685" s="0" t="s">
        <v>3101</v>
      </c>
      <c r="H685" s="0" t="s">
        <v>3068</v>
      </c>
      <c r="I685" s="0" t="n">
        <v>692803</v>
      </c>
      <c r="J685" s="0" t="s">
        <v>3858</v>
      </c>
      <c r="L685" s="0" t="n">
        <v>2020</v>
      </c>
      <c r="M685" s="0" t="s">
        <v>2735</v>
      </c>
      <c r="N685" s="0" t="s">
        <v>195</v>
      </c>
      <c r="Q685" s="0" t="s">
        <v>3921</v>
      </c>
      <c r="R685" s="0" t="s">
        <v>3922</v>
      </c>
      <c r="U685" s="0" t="s">
        <v>197</v>
      </c>
      <c r="V685" s="0" t="s">
        <v>197</v>
      </c>
      <c r="Y685" s="0" t="s">
        <v>3071</v>
      </c>
      <c r="Z685" s="0" t="s">
        <v>3072</v>
      </c>
      <c r="AA685" s="0" t="s">
        <v>3861</v>
      </c>
      <c r="AC685" s="0" t="s">
        <v>3862</v>
      </c>
    </row>
    <row r="686" customFormat="false" ht="15" hidden="false" customHeight="false" outlineLevel="0" collapsed="false">
      <c r="A686" s="0" t="s">
        <v>3952</v>
      </c>
      <c r="B686" s="0" t="s">
        <v>187</v>
      </c>
      <c r="C686" s="0" t="s">
        <v>3524</v>
      </c>
      <c r="D686" s="0" t="n">
        <v>2020</v>
      </c>
      <c r="E686" s="0" t="s">
        <v>541</v>
      </c>
      <c r="F686" s="0" t="n">
        <v>25425</v>
      </c>
      <c r="G686" s="0" t="s">
        <v>3101</v>
      </c>
      <c r="H686" s="0" t="s">
        <v>3068</v>
      </c>
      <c r="I686" s="0" t="n">
        <v>25425</v>
      </c>
      <c r="J686" s="0" t="s">
        <v>3858</v>
      </c>
      <c r="L686" s="0" t="n">
        <v>2020</v>
      </c>
      <c r="M686" s="0" t="s">
        <v>2735</v>
      </c>
      <c r="N686" s="0" t="s">
        <v>195</v>
      </c>
      <c r="Q686" s="0" t="n">
        <v>52</v>
      </c>
      <c r="R686" s="0" t="n">
        <v>50</v>
      </c>
      <c r="U686" s="0" t="s">
        <v>197</v>
      </c>
      <c r="V686" s="0" t="s">
        <v>197</v>
      </c>
      <c r="Y686" s="0" t="s">
        <v>3071</v>
      </c>
      <c r="Z686" s="0" t="s">
        <v>3072</v>
      </c>
      <c r="AA686" s="0" t="s">
        <v>3861</v>
      </c>
      <c r="AC686" s="0" t="s">
        <v>3862</v>
      </c>
    </row>
    <row r="687" customFormat="false" ht="15" hidden="false" customHeight="false" outlineLevel="0" collapsed="false">
      <c r="A687" s="0" t="s">
        <v>3953</v>
      </c>
      <c r="B687" s="0" t="s">
        <v>187</v>
      </c>
      <c r="C687" s="0" t="s">
        <v>3524</v>
      </c>
      <c r="D687" s="0" t="n">
        <v>2020</v>
      </c>
      <c r="E687" s="0" t="s">
        <v>1327</v>
      </c>
      <c r="F687" s="0" t="n">
        <v>156885</v>
      </c>
      <c r="G687" s="0" t="s">
        <v>3101</v>
      </c>
      <c r="H687" s="0" t="s">
        <v>3068</v>
      </c>
      <c r="I687" s="0" t="n">
        <v>156885</v>
      </c>
      <c r="J687" s="0" t="s">
        <v>3858</v>
      </c>
      <c r="L687" s="0" t="n">
        <v>2020</v>
      </c>
      <c r="M687" s="0" t="s">
        <v>2735</v>
      </c>
      <c r="N687" s="0" t="s">
        <v>195</v>
      </c>
      <c r="Q687" s="0" t="n">
        <v>52</v>
      </c>
      <c r="R687" s="0" t="n">
        <v>50</v>
      </c>
      <c r="U687" s="0" t="s">
        <v>197</v>
      </c>
      <c r="V687" s="0" t="s">
        <v>197</v>
      </c>
      <c r="Y687" s="0" t="s">
        <v>3071</v>
      </c>
      <c r="Z687" s="0" t="s">
        <v>3072</v>
      </c>
      <c r="AA687" s="0" t="s">
        <v>3861</v>
      </c>
      <c r="AC687" s="0" t="s">
        <v>3862</v>
      </c>
    </row>
    <row r="688" customFormat="false" ht="15" hidden="false" customHeight="false" outlineLevel="0" collapsed="false">
      <c r="A688" s="0" t="s">
        <v>3954</v>
      </c>
      <c r="B688" s="0" t="s">
        <v>187</v>
      </c>
      <c r="C688" s="0" t="s">
        <v>3524</v>
      </c>
      <c r="D688" s="0" t="n">
        <v>2020</v>
      </c>
      <c r="E688" s="0" t="s">
        <v>63</v>
      </c>
      <c r="F688" s="0" t="n">
        <v>-2559</v>
      </c>
      <c r="G688" s="0" t="s">
        <v>3101</v>
      </c>
      <c r="H688" s="0" t="s">
        <v>3068</v>
      </c>
      <c r="I688" s="0" t="n">
        <v>-2559</v>
      </c>
      <c r="J688" s="0" t="s">
        <v>3858</v>
      </c>
      <c r="L688" s="0" t="n">
        <v>2020</v>
      </c>
      <c r="M688" s="0" t="s">
        <v>2735</v>
      </c>
      <c r="N688" s="0" t="s">
        <v>195</v>
      </c>
      <c r="Q688" s="0" t="n">
        <v>52</v>
      </c>
      <c r="R688" s="0" t="n">
        <v>50</v>
      </c>
      <c r="U688" s="0" t="s">
        <v>197</v>
      </c>
      <c r="V688" s="0" t="s">
        <v>197</v>
      </c>
      <c r="Y688" s="0" t="s">
        <v>3071</v>
      </c>
      <c r="Z688" s="0" t="s">
        <v>3072</v>
      </c>
      <c r="AA688" s="0" t="s">
        <v>3875</v>
      </c>
      <c r="AC688" s="0" t="s">
        <v>3862</v>
      </c>
    </row>
    <row r="689" customFormat="false" ht="15" hidden="false" customHeight="false" outlineLevel="0" collapsed="false">
      <c r="A689" s="0" t="s">
        <v>3955</v>
      </c>
      <c r="B689" s="0" t="s">
        <v>187</v>
      </c>
      <c r="C689" s="0" t="s">
        <v>3524</v>
      </c>
      <c r="D689" s="0" t="n">
        <v>2020</v>
      </c>
      <c r="E689" s="0" t="s">
        <v>1366</v>
      </c>
      <c r="F689" s="0" t="n">
        <v>-2253</v>
      </c>
      <c r="G689" s="0" t="s">
        <v>3101</v>
      </c>
      <c r="H689" s="0" t="s">
        <v>3068</v>
      </c>
      <c r="I689" s="0" t="n">
        <v>-2253</v>
      </c>
      <c r="J689" s="0" t="s">
        <v>3858</v>
      </c>
      <c r="L689" s="0" t="n">
        <v>2020</v>
      </c>
      <c r="M689" s="0" t="s">
        <v>2735</v>
      </c>
      <c r="N689" s="0" t="s">
        <v>195</v>
      </c>
      <c r="Q689" s="0" t="n">
        <v>52</v>
      </c>
      <c r="R689" s="0" t="n">
        <v>50</v>
      </c>
      <c r="U689" s="0" t="s">
        <v>197</v>
      </c>
      <c r="V689" s="0" t="s">
        <v>197</v>
      </c>
      <c r="Y689" s="0" t="s">
        <v>3071</v>
      </c>
      <c r="Z689" s="0" t="s">
        <v>3072</v>
      </c>
      <c r="AA689" s="0" t="s">
        <v>3861</v>
      </c>
      <c r="AC689" s="0" t="s">
        <v>3862</v>
      </c>
    </row>
    <row r="690" customFormat="false" ht="15" hidden="false" customHeight="false" outlineLevel="0" collapsed="false">
      <c r="A690" s="0" t="s">
        <v>3956</v>
      </c>
      <c r="B690" s="0" t="s">
        <v>187</v>
      </c>
      <c r="C690" s="0" t="s">
        <v>3524</v>
      </c>
      <c r="D690" s="0" t="n">
        <v>2020</v>
      </c>
      <c r="E690" s="0" t="s">
        <v>1038</v>
      </c>
      <c r="F690" s="0" t="n">
        <v>-306</v>
      </c>
      <c r="G690" s="0" t="s">
        <v>3101</v>
      </c>
      <c r="H690" s="0" t="s">
        <v>3068</v>
      </c>
      <c r="I690" s="0" t="n">
        <v>-306</v>
      </c>
      <c r="J690" s="0" t="s">
        <v>3858</v>
      </c>
      <c r="L690" s="0" t="n">
        <v>2020</v>
      </c>
      <c r="M690" s="0" t="s">
        <v>2735</v>
      </c>
      <c r="N690" s="0" t="s">
        <v>195</v>
      </c>
      <c r="Q690" s="0" t="n">
        <v>52</v>
      </c>
      <c r="R690" s="0" t="n">
        <v>50</v>
      </c>
      <c r="U690" s="0" t="s">
        <v>197</v>
      </c>
      <c r="V690" s="0" t="s">
        <v>197</v>
      </c>
      <c r="Y690" s="0" t="s">
        <v>3071</v>
      </c>
      <c r="Z690" s="0" t="s">
        <v>3072</v>
      </c>
      <c r="AA690" s="0" t="s">
        <v>3861</v>
      </c>
      <c r="AC690" s="0" t="s">
        <v>3862</v>
      </c>
    </row>
    <row r="691" customFormat="false" ht="15" hidden="false" customHeight="false" outlineLevel="0" collapsed="false">
      <c r="A691" s="0" t="s">
        <v>3957</v>
      </c>
      <c r="B691" s="0" t="s">
        <v>187</v>
      </c>
      <c r="C691" s="0" t="s">
        <v>3524</v>
      </c>
      <c r="D691" s="0" t="n">
        <v>2020</v>
      </c>
      <c r="E691" s="0" t="s">
        <v>69</v>
      </c>
      <c r="F691" s="0" t="n">
        <v>15.76</v>
      </c>
      <c r="G691" s="0" t="s">
        <v>3143</v>
      </c>
      <c r="I691" s="0" t="n">
        <v>15.76</v>
      </c>
      <c r="J691" s="0" t="s">
        <v>3858</v>
      </c>
      <c r="L691" s="0" t="n">
        <v>2020</v>
      </c>
      <c r="M691" s="0" t="s">
        <v>2735</v>
      </c>
      <c r="N691" s="0" t="s">
        <v>195</v>
      </c>
      <c r="Q691" s="0" t="s">
        <v>3931</v>
      </c>
      <c r="R691" s="0" t="s">
        <v>3932</v>
      </c>
      <c r="U691" s="0" t="s">
        <v>197</v>
      </c>
      <c r="V691" s="0" t="s">
        <v>197</v>
      </c>
      <c r="Y691" s="0" t="s">
        <v>3071</v>
      </c>
      <c r="Z691" s="0" t="s">
        <v>3072</v>
      </c>
      <c r="AA691" s="0" t="s">
        <v>3902</v>
      </c>
      <c r="AC691" s="0" t="s">
        <v>3862</v>
      </c>
    </row>
    <row r="692" customFormat="false" ht="15" hidden="false" customHeight="false" outlineLevel="0" collapsed="false">
      <c r="A692" s="0" t="s">
        <v>3958</v>
      </c>
      <c r="B692" s="0" t="s">
        <v>187</v>
      </c>
      <c r="C692" s="0" t="s">
        <v>3524</v>
      </c>
      <c r="D692" s="0" t="n">
        <v>2020</v>
      </c>
      <c r="E692" s="0" t="s">
        <v>65</v>
      </c>
      <c r="F692" s="0" t="n">
        <v>156168</v>
      </c>
      <c r="G692" s="0" t="s">
        <v>3101</v>
      </c>
      <c r="H692" s="0" t="s">
        <v>3068</v>
      </c>
      <c r="I692" s="0" t="n">
        <v>156168</v>
      </c>
      <c r="J692" s="0" t="s">
        <v>3858</v>
      </c>
      <c r="L692" s="0" t="n">
        <v>2020</v>
      </c>
      <c r="M692" s="0" t="s">
        <v>2735</v>
      </c>
      <c r="N692" s="0" t="s">
        <v>195</v>
      </c>
      <c r="Q692" s="0" t="s">
        <v>3931</v>
      </c>
      <c r="R692" s="0" t="s">
        <v>3932</v>
      </c>
      <c r="U692" s="0" t="s">
        <v>197</v>
      </c>
      <c r="V692" s="0" t="s">
        <v>197</v>
      </c>
      <c r="Y692" s="0" t="s">
        <v>3071</v>
      </c>
      <c r="Z692" s="0" t="s">
        <v>3072</v>
      </c>
      <c r="AA692" s="0" t="s">
        <v>3861</v>
      </c>
      <c r="AC692" s="0" t="s">
        <v>3862</v>
      </c>
    </row>
    <row r="693" customFormat="false" ht="15" hidden="false" customHeight="false" outlineLevel="0" collapsed="false">
      <c r="A693" s="0" t="s">
        <v>3959</v>
      </c>
      <c r="B693" s="0" t="s">
        <v>187</v>
      </c>
      <c r="C693" s="0" t="s">
        <v>3524</v>
      </c>
      <c r="D693" s="0" t="n">
        <v>2020</v>
      </c>
      <c r="E693" s="0" t="s">
        <v>66</v>
      </c>
      <c r="F693" s="0" t="n">
        <v>990958</v>
      </c>
      <c r="G693" s="0" t="s">
        <v>3101</v>
      </c>
      <c r="H693" s="0" t="s">
        <v>3068</v>
      </c>
      <c r="I693" s="0" t="n">
        <v>990958</v>
      </c>
      <c r="J693" s="0" t="s">
        <v>3858</v>
      </c>
      <c r="L693" s="0" t="n">
        <v>2020</v>
      </c>
      <c r="M693" s="0" t="s">
        <v>2735</v>
      </c>
      <c r="N693" s="0" t="s">
        <v>195</v>
      </c>
      <c r="Q693" s="0" t="s">
        <v>3931</v>
      </c>
      <c r="R693" s="0" t="s">
        <v>3932</v>
      </c>
      <c r="U693" s="0" t="s">
        <v>197</v>
      </c>
      <c r="V693" s="0" t="s">
        <v>197</v>
      </c>
      <c r="Y693" s="0" t="s">
        <v>3071</v>
      </c>
      <c r="Z693" s="0" t="s">
        <v>3072</v>
      </c>
      <c r="AA693" s="0" t="s">
        <v>3861</v>
      </c>
      <c r="AC693" s="0" t="s">
        <v>3862</v>
      </c>
    </row>
    <row r="694" customFormat="false" ht="15" hidden="false" customHeight="false" outlineLevel="0" collapsed="false">
      <c r="A694" s="0" t="s">
        <v>3960</v>
      </c>
      <c r="B694" s="0" t="s">
        <v>187</v>
      </c>
      <c r="C694" s="0" t="s">
        <v>3524</v>
      </c>
      <c r="D694" s="0" t="n">
        <v>2020</v>
      </c>
      <c r="E694" s="0" t="s">
        <v>614</v>
      </c>
      <c r="F694" s="0" t="n">
        <v>17.46</v>
      </c>
      <c r="G694" s="0" t="s">
        <v>3143</v>
      </c>
      <c r="I694" s="0" t="n">
        <v>17.46</v>
      </c>
      <c r="J694" s="0" t="s">
        <v>3858</v>
      </c>
      <c r="L694" s="0" t="n">
        <v>2020</v>
      </c>
      <c r="M694" s="0" t="s">
        <v>2735</v>
      </c>
      <c r="N694" s="0" t="s">
        <v>195</v>
      </c>
      <c r="Q694" s="0" t="s">
        <v>3931</v>
      </c>
      <c r="R694" s="0" t="s">
        <v>3932</v>
      </c>
      <c r="U694" s="0" t="s">
        <v>197</v>
      </c>
      <c r="V694" s="0" t="s">
        <v>197</v>
      </c>
      <c r="Y694" s="0" t="s">
        <v>3071</v>
      </c>
      <c r="Z694" s="0" t="s">
        <v>3072</v>
      </c>
      <c r="AA694" s="0" t="s">
        <v>3861</v>
      </c>
      <c r="AC694" s="0" t="s">
        <v>3862</v>
      </c>
    </row>
    <row r="695" customFormat="false" ht="15" hidden="false" customHeight="false" outlineLevel="0" collapsed="false">
      <c r="A695" s="0" t="s">
        <v>3961</v>
      </c>
      <c r="B695" s="0" t="s">
        <v>187</v>
      </c>
      <c r="C695" s="0" t="s">
        <v>3524</v>
      </c>
      <c r="D695" s="0" t="n">
        <v>2020</v>
      </c>
      <c r="E695" s="0" t="s">
        <v>619</v>
      </c>
      <c r="F695" s="0" t="n">
        <v>172986</v>
      </c>
      <c r="G695" s="0" t="s">
        <v>3101</v>
      </c>
      <c r="H695" s="0" t="s">
        <v>3068</v>
      </c>
      <c r="I695" s="0" t="n">
        <v>172986</v>
      </c>
      <c r="J695" s="0" t="s">
        <v>3858</v>
      </c>
      <c r="L695" s="0" t="n">
        <v>2020</v>
      </c>
      <c r="M695" s="0" t="s">
        <v>2735</v>
      </c>
      <c r="N695" s="0" t="s">
        <v>195</v>
      </c>
      <c r="Q695" s="0" t="s">
        <v>3931</v>
      </c>
      <c r="R695" s="0" t="s">
        <v>3932</v>
      </c>
      <c r="U695" s="0" t="s">
        <v>197</v>
      </c>
      <c r="V695" s="0" t="s">
        <v>197</v>
      </c>
      <c r="Y695" s="0" t="s">
        <v>3071</v>
      </c>
      <c r="Z695" s="0" t="s">
        <v>3072</v>
      </c>
      <c r="AA695" s="0" t="s">
        <v>3861</v>
      </c>
      <c r="AC695" s="0" t="s">
        <v>3862</v>
      </c>
    </row>
    <row r="696" customFormat="false" ht="15" hidden="false" customHeight="false" outlineLevel="0" collapsed="false">
      <c r="A696" s="0" t="s">
        <v>3962</v>
      </c>
      <c r="B696" s="0" t="s">
        <v>187</v>
      </c>
      <c r="C696" s="0" t="s">
        <v>3524</v>
      </c>
      <c r="D696" s="0" t="n">
        <v>2020</v>
      </c>
      <c r="E696" s="0" t="s">
        <v>1367</v>
      </c>
      <c r="F696" s="0" t="n">
        <v>16818</v>
      </c>
      <c r="G696" s="0" t="s">
        <v>3101</v>
      </c>
      <c r="H696" s="0" t="s">
        <v>3068</v>
      </c>
      <c r="I696" s="0" t="n">
        <v>16818</v>
      </c>
      <c r="J696" s="0" t="s">
        <v>3858</v>
      </c>
      <c r="L696" s="0" t="n">
        <v>2020</v>
      </c>
      <c r="M696" s="0" t="s">
        <v>2735</v>
      </c>
      <c r="N696" s="0" t="s">
        <v>195</v>
      </c>
      <c r="Q696" s="0" t="s">
        <v>3931</v>
      </c>
      <c r="R696" s="0" t="s">
        <v>3932</v>
      </c>
      <c r="U696" s="0" t="s">
        <v>197</v>
      </c>
      <c r="V696" s="0" t="s">
        <v>197</v>
      </c>
      <c r="Y696" s="0" t="s">
        <v>3071</v>
      </c>
      <c r="Z696" s="0" t="s">
        <v>3072</v>
      </c>
      <c r="AA696" s="0" t="s">
        <v>3861</v>
      </c>
      <c r="AC696" s="0" t="s">
        <v>3862</v>
      </c>
    </row>
    <row r="697" customFormat="false" ht="15" hidden="false" customHeight="false" outlineLevel="0" collapsed="false">
      <c r="A697" s="0" t="s">
        <v>3963</v>
      </c>
      <c r="B697" s="0" t="s">
        <v>187</v>
      </c>
      <c r="C697" s="0" t="s">
        <v>3524</v>
      </c>
      <c r="D697" s="0" t="n">
        <v>2020</v>
      </c>
      <c r="E697" s="0" t="s">
        <v>70</v>
      </c>
      <c r="F697" s="0" t="n">
        <v>15</v>
      </c>
      <c r="G697" s="0" t="s">
        <v>3143</v>
      </c>
      <c r="I697" s="0" t="n">
        <v>15</v>
      </c>
      <c r="J697" s="0" t="s">
        <v>3858</v>
      </c>
      <c r="L697" s="0" t="n">
        <v>2020</v>
      </c>
      <c r="M697" s="0" t="s">
        <v>2735</v>
      </c>
      <c r="N697" s="0" t="s">
        <v>195</v>
      </c>
      <c r="Q697" s="0" t="s">
        <v>3931</v>
      </c>
      <c r="R697" s="0" t="s">
        <v>3932</v>
      </c>
      <c r="U697" s="0" t="s">
        <v>197</v>
      </c>
      <c r="V697" s="0" t="s">
        <v>197</v>
      </c>
      <c r="Y697" s="0" t="s">
        <v>3071</v>
      </c>
      <c r="Z697" s="0" t="s">
        <v>3072</v>
      </c>
      <c r="AA697" s="0" t="s">
        <v>3861</v>
      </c>
      <c r="AC697" s="0" t="s">
        <v>3862</v>
      </c>
    </row>
    <row r="698" customFormat="false" ht="15" hidden="false" customHeight="false" outlineLevel="0" collapsed="false">
      <c r="A698" s="0" t="s">
        <v>3964</v>
      </c>
      <c r="B698" s="0" t="s">
        <v>187</v>
      </c>
      <c r="C698" s="0" t="s">
        <v>3524</v>
      </c>
      <c r="D698" s="0" t="n">
        <v>2020</v>
      </c>
      <c r="E698" s="0" t="s">
        <v>67</v>
      </c>
      <c r="F698" s="0" t="n">
        <v>61895</v>
      </c>
      <c r="G698" s="0" t="s">
        <v>3101</v>
      </c>
      <c r="H698" s="0" t="s">
        <v>3068</v>
      </c>
      <c r="I698" s="0" t="n">
        <v>61895</v>
      </c>
      <c r="J698" s="0" t="s">
        <v>3858</v>
      </c>
      <c r="L698" s="0" t="n">
        <v>2020</v>
      </c>
      <c r="M698" s="0" t="s">
        <v>2735</v>
      </c>
      <c r="N698" s="0" t="s">
        <v>195</v>
      </c>
      <c r="Q698" s="0" t="s">
        <v>3921</v>
      </c>
      <c r="R698" s="0" t="s">
        <v>3922</v>
      </c>
      <c r="U698" s="0" t="s">
        <v>197</v>
      </c>
      <c r="V698" s="0" t="s">
        <v>197</v>
      </c>
      <c r="Y698" s="0" t="s">
        <v>3071</v>
      </c>
      <c r="Z698" s="0" t="s">
        <v>3072</v>
      </c>
      <c r="AA698" s="0" t="s">
        <v>3861</v>
      </c>
      <c r="AC698" s="0" t="s">
        <v>3862</v>
      </c>
    </row>
    <row r="699" customFormat="false" ht="15" hidden="false" customHeight="false" outlineLevel="0" collapsed="false">
      <c r="A699" s="0" t="s">
        <v>3965</v>
      </c>
      <c r="B699" s="0" t="s">
        <v>187</v>
      </c>
      <c r="C699" s="0" t="s">
        <v>3524</v>
      </c>
      <c r="D699" s="0" t="n">
        <v>2020</v>
      </c>
      <c r="E699" s="0" t="s">
        <v>68</v>
      </c>
      <c r="F699" s="0" t="n">
        <v>22564</v>
      </c>
      <c r="G699" s="0" t="s">
        <v>3101</v>
      </c>
      <c r="H699" s="0" t="s">
        <v>3068</v>
      </c>
      <c r="I699" s="0" t="n">
        <v>22564</v>
      </c>
      <c r="J699" s="0" t="s">
        <v>3858</v>
      </c>
      <c r="L699" s="0" t="n">
        <v>2020</v>
      </c>
      <c r="M699" s="0" t="s">
        <v>2735</v>
      </c>
      <c r="N699" s="0" t="s">
        <v>195</v>
      </c>
      <c r="Q699" s="0" t="s">
        <v>3921</v>
      </c>
      <c r="R699" s="0" t="s">
        <v>3922</v>
      </c>
      <c r="U699" s="0" t="s">
        <v>197</v>
      </c>
      <c r="V699" s="0" t="s">
        <v>197</v>
      </c>
      <c r="Y699" s="0" t="s">
        <v>3071</v>
      </c>
      <c r="Z699" s="0" t="s">
        <v>3072</v>
      </c>
      <c r="AA699" s="0" t="s">
        <v>3861</v>
      </c>
      <c r="AC699" s="0" t="s">
        <v>3862</v>
      </c>
    </row>
    <row r="700" customFormat="false" ht="15" hidden="false" customHeight="false" outlineLevel="0" collapsed="false">
      <c r="A700" s="0" t="s">
        <v>3966</v>
      </c>
      <c r="B700" s="0" t="s">
        <v>187</v>
      </c>
      <c r="C700" s="0" t="s">
        <v>3524</v>
      </c>
      <c r="D700" s="0" t="n">
        <v>2021</v>
      </c>
      <c r="E700" s="0" t="s">
        <v>54</v>
      </c>
      <c r="F700" s="0" t="n">
        <v>19180</v>
      </c>
      <c r="G700" s="0" t="s">
        <v>3101</v>
      </c>
      <c r="H700" s="0" t="s">
        <v>3068</v>
      </c>
      <c r="I700" s="0" t="n">
        <v>19180</v>
      </c>
      <c r="J700" s="0" t="s">
        <v>3858</v>
      </c>
      <c r="L700" s="0" t="n">
        <v>2022</v>
      </c>
      <c r="M700" s="0" t="s">
        <v>2737</v>
      </c>
      <c r="N700" s="0" t="s">
        <v>198</v>
      </c>
      <c r="Q700" s="0" t="n">
        <v>58</v>
      </c>
      <c r="R700" s="0" t="n">
        <v>58</v>
      </c>
      <c r="U700" s="0" t="s">
        <v>199</v>
      </c>
      <c r="V700" s="0" t="s">
        <v>199</v>
      </c>
      <c r="Y700" s="0" t="s">
        <v>3071</v>
      </c>
      <c r="Z700" s="0" t="s">
        <v>3072</v>
      </c>
      <c r="AA700" s="0" t="s">
        <v>3861</v>
      </c>
      <c r="AC700" s="0" t="s">
        <v>3862</v>
      </c>
    </row>
    <row r="701" customFormat="false" ht="15" hidden="false" customHeight="false" outlineLevel="0" collapsed="false">
      <c r="A701" s="0" t="s">
        <v>3967</v>
      </c>
      <c r="B701" s="0" t="s">
        <v>187</v>
      </c>
      <c r="C701" s="0" t="s">
        <v>3524</v>
      </c>
      <c r="D701" s="0" t="n">
        <v>2021</v>
      </c>
      <c r="E701" s="0" t="s">
        <v>55</v>
      </c>
      <c r="F701" s="0" t="n">
        <v>2567441</v>
      </c>
      <c r="G701" s="0" t="s">
        <v>3101</v>
      </c>
      <c r="H701" s="0" t="s">
        <v>3068</v>
      </c>
      <c r="I701" s="0" t="n">
        <v>2567441</v>
      </c>
      <c r="J701" s="0" t="s">
        <v>3858</v>
      </c>
      <c r="L701" s="0" t="n">
        <v>2022</v>
      </c>
      <c r="M701" s="0" t="s">
        <v>2737</v>
      </c>
      <c r="N701" s="0" t="s">
        <v>198</v>
      </c>
      <c r="Q701" s="0" t="n">
        <v>60</v>
      </c>
      <c r="R701" s="0" t="n">
        <v>60</v>
      </c>
      <c r="U701" s="0" t="s">
        <v>199</v>
      </c>
      <c r="V701" s="0" t="s">
        <v>199</v>
      </c>
      <c r="Y701" s="0" t="s">
        <v>3071</v>
      </c>
      <c r="Z701" s="0" t="s">
        <v>3072</v>
      </c>
      <c r="AA701" s="0" t="s">
        <v>3861</v>
      </c>
      <c r="AC701" s="0" t="s">
        <v>3862</v>
      </c>
    </row>
    <row r="702" customFormat="false" ht="15" hidden="false" customHeight="false" outlineLevel="0" collapsed="false">
      <c r="A702" s="0" t="s">
        <v>3968</v>
      </c>
      <c r="B702" s="0" t="s">
        <v>187</v>
      </c>
      <c r="C702" s="0" t="s">
        <v>3524</v>
      </c>
      <c r="D702" s="0" t="n">
        <v>2021</v>
      </c>
      <c r="E702" s="0" t="s">
        <v>56</v>
      </c>
      <c r="F702" s="0" t="n">
        <v>2315954</v>
      </c>
      <c r="G702" s="0" t="s">
        <v>3101</v>
      </c>
      <c r="H702" s="0" t="s">
        <v>3068</v>
      </c>
      <c r="I702" s="0" t="n">
        <v>2315954</v>
      </c>
      <c r="J702" s="0" t="s">
        <v>3858</v>
      </c>
      <c r="L702" s="0" t="n">
        <v>2022</v>
      </c>
      <c r="M702" s="0" t="s">
        <v>2737</v>
      </c>
      <c r="N702" s="0" t="s">
        <v>198</v>
      </c>
      <c r="Q702" s="0" t="n">
        <v>60</v>
      </c>
      <c r="R702" s="0" t="n">
        <v>60</v>
      </c>
      <c r="U702" s="0" t="s">
        <v>199</v>
      </c>
      <c r="V702" s="0" t="s">
        <v>199</v>
      </c>
      <c r="Y702" s="0" t="s">
        <v>3071</v>
      </c>
      <c r="Z702" s="0" t="s">
        <v>3072</v>
      </c>
      <c r="AA702" s="0" t="s">
        <v>3861</v>
      </c>
      <c r="AC702" s="0" t="s">
        <v>3862</v>
      </c>
    </row>
    <row r="703" customFormat="false" ht="15" hidden="false" customHeight="false" outlineLevel="0" collapsed="false">
      <c r="A703" s="0" t="s">
        <v>3969</v>
      </c>
      <c r="B703" s="0" t="s">
        <v>187</v>
      </c>
      <c r="C703" s="0" t="s">
        <v>3524</v>
      </c>
      <c r="D703" s="0" t="n">
        <v>2021</v>
      </c>
      <c r="E703" s="0" t="s">
        <v>57</v>
      </c>
      <c r="F703" s="0" t="n">
        <v>251487</v>
      </c>
      <c r="G703" s="0" t="s">
        <v>3101</v>
      </c>
      <c r="H703" s="0" t="s">
        <v>3068</v>
      </c>
      <c r="I703" s="0" t="n">
        <v>251487</v>
      </c>
      <c r="J703" s="0" t="s">
        <v>3858</v>
      </c>
      <c r="L703" s="0" t="n">
        <v>2022</v>
      </c>
      <c r="M703" s="0" t="s">
        <v>2737</v>
      </c>
      <c r="N703" s="0" t="s">
        <v>198</v>
      </c>
      <c r="Q703" s="0" t="n">
        <v>60</v>
      </c>
      <c r="R703" s="0" t="n">
        <v>60</v>
      </c>
      <c r="U703" s="0" t="s">
        <v>199</v>
      </c>
      <c r="V703" s="0" t="s">
        <v>199</v>
      </c>
      <c r="Y703" s="0" t="s">
        <v>3071</v>
      </c>
      <c r="Z703" s="0" t="s">
        <v>3072</v>
      </c>
      <c r="AA703" s="0" t="s">
        <v>3861</v>
      </c>
      <c r="AC703" s="0" t="s">
        <v>3862</v>
      </c>
    </row>
    <row r="704" customFormat="false" ht="15" hidden="false" customHeight="false" outlineLevel="0" collapsed="false">
      <c r="A704" s="0" t="s">
        <v>3970</v>
      </c>
      <c r="B704" s="0" t="s">
        <v>187</v>
      </c>
      <c r="C704" s="0" t="s">
        <v>3524</v>
      </c>
      <c r="D704" s="0" t="n">
        <v>2021</v>
      </c>
      <c r="E704" s="0" t="s">
        <v>58</v>
      </c>
      <c r="F704" s="0" t="n">
        <v>252140</v>
      </c>
      <c r="G704" s="0" t="s">
        <v>3101</v>
      </c>
      <c r="H704" s="0" t="s">
        <v>3068</v>
      </c>
      <c r="I704" s="0" t="n">
        <v>252140</v>
      </c>
      <c r="J704" s="0" t="s">
        <v>3858</v>
      </c>
      <c r="L704" s="0" t="n">
        <v>2022</v>
      </c>
      <c r="M704" s="0" t="s">
        <v>2737</v>
      </c>
      <c r="N704" s="0" t="s">
        <v>198</v>
      </c>
      <c r="Q704" s="0" t="n">
        <v>65</v>
      </c>
      <c r="R704" s="0" t="n">
        <v>65</v>
      </c>
      <c r="U704" s="0" t="s">
        <v>199</v>
      </c>
      <c r="V704" s="0" t="s">
        <v>199</v>
      </c>
      <c r="Y704" s="0" t="s">
        <v>3071</v>
      </c>
      <c r="Z704" s="0" t="s">
        <v>3072</v>
      </c>
      <c r="AA704" s="0" t="s">
        <v>3861</v>
      </c>
      <c r="AC704" s="0" t="s">
        <v>3862</v>
      </c>
    </row>
    <row r="705" customFormat="false" ht="15" hidden="false" customHeight="false" outlineLevel="0" collapsed="false">
      <c r="A705" s="0" t="s">
        <v>3971</v>
      </c>
      <c r="B705" s="0" t="s">
        <v>187</v>
      </c>
      <c r="C705" s="0" t="s">
        <v>3524</v>
      </c>
      <c r="D705" s="0" t="n">
        <v>2021</v>
      </c>
      <c r="E705" s="0" t="s">
        <v>59</v>
      </c>
      <c r="F705" s="0" t="n">
        <v>2073758</v>
      </c>
      <c r="G705" s="0" t="s">
        <v>3101</v>
      </c>
      <c r="H705" s="0" t="s">
        <v>3068</v>
      </c>
      <c r="I705" s="0" t="n">
        <v>2073758</v>
      </c>
      <c r="J705" s="0" t="s">
        <v>3858</v>
      </c>
      <c r="L705" s="0" t="n">
        <v>2020</v>
      </c>
      <c r="M705" s="0" t="s">
        <v>2735</v>
      </c>
      <c r="N705" s="0" t="s">
        <v>195</v>
      </c>
      <c r="Q705" s="0" t="n">
        <v>54</v>
      </c>
      <c r="R705" s="0" t="n">
        <v>52</v>
      </c>
      <c r="U705" s="0" t="s">
        <v>199</v>
      </c>
      <c r="V705" s="0" t="s">
        <v>199</v>
      </c>
      <c r="Y705" s="0" t="s">
        <v>3071</v>
      </c>
      <c r="Z705" s="0" t="s">
        <v>3072</v>
      </c>
      <c r="AA705" s="0" t="s">
        <v>3868</v>
      </c>
      <c r="AC705" s="0" t="s">
        <v>3862</v>
      </c>
    </row>
    <row r="706" customFormat="false" ht="15" hidden="false" customHeight="false" outlineLevel="0" collapsed="false">
      <c r="A706" s="0" t="s">
        <v>3972</v>
      </c>
      <c r="B706" s="0" t="s">
        <v>187</v>
      </c>
      <c r="C706" s="0" t="s">
        <v>3524</v>
      </c>
      <c r="D706" s="0" t="n">
        <v>2021</v>
      </c>
      <c r="E706" s="0" t="s">
        <v>60</v>
      </c>
      <c r="F706" s="0" t="n">
        <v>899106</v>
      </c>
      <c r="G706" s="0" t="s">
        <v>3101</v>
      </c>
      <c r="H706" s="0" t="s">
        <v>3068</v>
      </c>
      <c r="I706" s="0" t="n">
        <v>899106</v>
      </c>
      <c r="J706" s="0" t="s">
        <v>3858</v>
      </c>
      <c r="L706" s="0" t="n">
        <v>2022</v>
      </c>
      <c r="M706" s="0" t="s">
        <v>2737</v>
      </c>
      <c r="N706" s="0" t="s">
        <v>198</v>
      </c>
      <c r="Q706" s="0" t="s">
        <v>3973</v>
      </c>
      <c r="R706" s="0" t="s">
        <v>3973</v>
      </c>
      <c r="U706" s="0" t="s">
        <v>199</v>
      </c>
      <c r="V706" s="0" t="s">
        <v>199</v>
      </c>
      <c r="Y706" s="0" t="s">
        <v>3071</v>
      </c>
      <c r="Z706" s="0" t="s">
        <v>3072</v>
      </c>
      <c r="AA706" s="0" t="s">
        <v>3861</v>
      </c>
      <c r="AC706" s="0" t="s">
        <v>3862</v>
      </c>
    </row>
    <row r="707" customFormat="false" ht="15" hidden="false" customHeight="false" outlineLevel="0" collapsed="false">
      <c r="A707" s="0" t="s">
        <v>3974</v>
      </c>
      <c r="B707" s="0" t="s">
        <v>187</v>
      </c>
      <c r="C707" s="0" t="s">
        <v>3524</v>
      </c>
      <c r="D707" s="0" t="n">
        <v>2021</v>
      </c>
      <c r="E707" s="0" t="s">
        <v>61</v>
      </c>
      <c r="F707" s="0" t="n">
        <v>30266</v>
      </c>
      <c r="G707" s="0" t="s">
        <v>3101</v>
      </c>
      <c r="H707" s="0" t="s">
        <v>3068</v>
      </c>
      <c r="I707" s="0" t="n">
        <v>30266</v>
      </c>
      <c r="J707" s="0" t="s">
        <v>3858</v>
      </c>
      <c r="L707" s="0" t="n">
        <v>2022</v>
      </c>
      <c r="M707" s="0" t="s">
        <v>2737</v>
      </c>
      <c r="N707" s="0" t="s">
        <v>198</v>
      </c>
      <c r="Q707" s="0" t="s">
        <v>3973</v>
      </c>
      <c r="R707" s="0" t="s">
        <v>3973</v>
      </c>
      <c r="U707" s="0" t="s">
        <v>199</v>
      </c>
      <c r="V707" s="0" t="s">
        <v>199</v>
      </c>
      <c r="Y707" s="0" t="s">
        <v>3071</v>
      </c>
      <c r="Z707" s="0" t="s">
        <v>3072</v>
      </c>
      <c r="AA707" s="0" t="s">
        <v>3861</v>
      </c>
      <c r="AC707" s="0" t="s">
        <v>3862</v>
      </c>
    </row>
    <row r="708" customFormat="false" ht="15" hidden="false" customHeight="false" outlineLevel="0" collapsed="false">
      <c r="A708" s="0" t="s">
        <v>3975</v>
      </c>
      <c r="B708" s="0" t="s">
        <v>187</v>
      </c>
      <c r="C708" s="0" t="s">
        <v>3524</v>
      </c>
      <c r="D708" s="0" t="n">
        <v>2021</v>
      </c>
      <c r="E708" s="0" t="s">
        <v>62</v>
      </c>
      <c r="F708" s="0" t="n">
        <v>868840</v>
      </c>
      <c r="G708" s="0" t="s">
        <v>3101</v>
      </c>
      <c r="H708" s="0" t="s">
        <v>3068</v>
      </c>
      <c r="I708" s="0" t="n">
        <v>868840</v>
      </c>
      <c r="J708" s="0" t="s">
        <v>3858</v>
      </c>
      <c r="L708" s="0" t="n">
        <v>2022</v>
      </c>
      <c r="M708" s="0" t="s">
        <v>2737</v>
      </c>
      <c r="N708" s="0" t="s">
        <v>198</v>
      </c>
      <c r="Q708" s="0" t="s">
        <v>3973</v>
      </c>
      <c r="R708" s="0" t="s">
        <v>3973</v>
      </c>
      <c r="U708" s="0" t="s">
        <v>199</v>
      </c>
      <c r="V708" s="0" t="s">
        <v>199</v>
      </c>
      <c r="Y708" s="0" t="s">
        <v>3071</v>
      </c>
      <c r="Z708" s="0" t="s">
        <v>3072</v>
      </c>
      <c r="AA708" s="0" t="s">
        <v>3861</v>
      </c>
      <c r="AC708" s="0" t="s">
        <v>3862</v>
      </c>
    </row>
    <row r="709" customFormat="false" ht="15" hidden="false" customHeight="false" outlineLevel="0" collapsed="false">
      <c r="A709" s="0" t="s">
        <v>3976</v>
      </c>
      <c r="B709" s="0" t="s">
        <v>187</v>
      </c>
      <c r="C709" s="0" t="s">
        <v>3524</v>
      </c>
      <c r="D709" s="0" t="n">
        <v>2021</v>
      </c>
      <c r="E709" s="0" t="s">
        <v>541</v>
      </c>
      <c r="F709" s="0" t="n">
        <v>20532</v>
      </c>
      <c r="G709" s="0" t="s">
        <v>3101</v>
      </c>
      <c r="H709" s="0" t="s">
        <v>3068</v>
      </c>
      <c r="I709" s="0" t="n">
        <v>20532</v>
      </c>
      <c r="J709" s="0" t="s">
        <v>3858</v>
      </c>
      <c r="L709" s="0" t="n">
        <v>2022</v>
      </c>
      <c r="M709" s="0" t="s">
        <v>2737</v>
      </c>
      <c r="N709" s="0" t="s">
        <v>198</v>
      </c>
      <c r="Q709" s="0" t="n">
        <v>58</v>
      </c>
      <c r="R709" s="0" t="n">
        <v>58</v>
      </c>
      <c r="U709" s="0" t="s">
        <v>199</v>
      </c>
      <c r="V709" s="0" t="s">
        <v>199</v>
      </c>
      <c r="Y709" s="0" t="s">
        <v>3071</v>
      </c>
      <c r="Z709" s="0" t="s">
        <v>3072</v>
      </c>
      <c r="AA709" s="0" t="s">
        <v>3861</v>
      </c>
      <c r="AC709" s="0" t="s">
        <v>3862</v>
      </c>
    </row>
    <row r="710" customFormat="false" ht="15" hidden="false" customHeight="false" outlineLevel="0" collapsed="false">
      <c r="A710" s="0" t="s">
        <v>3977</v>
      </c>
      <c r="B710" s="0" t="s">
        <v>187</v>
      </c>
      <c r="C710" s="0" t="s">
        <v>3524</v>
      </c>
      <c r="D710" s="0" t="n">
        <v>2021</v>
      </c>
      <c r="E710" s="0" t="s">
        <v>1327</v>
      </c>
      <c r="F710" s="0" t="n">
        <v>175006</v>
      </c>
      <c r="G710" s="0" t="s">
        <v>3101</v>
      </c>
      <c r="H710" s="0" t="s">
        <v>3068</v>
      </c>
      <c r="I710" s="0" t="n">
        <v>175006</v>
      </c>
      <c r="J710" s="0" t="s">
        <v>3858</v>
      </c>
      <c r="L710" s="0" t="n">
        <v>2022</v>
      </c>
      <c r="M710" s="0" t="s">
        <v>2737</v>
      </c>
      <c r="N710" s="0" t="s">
        <v>198</v>
      </c>
      <c r="Q710" s="0" t="n">
        <v>58</v>
      </c>
      <c r="R710" s="0" t="n">
        <v>58</v>
      </c>
      <c r="U710" s="0" t="s">
        <v>199</v>
      </c>
      <c r="V710" s="0" t="s">
        <v>199</v>
      </c>
      <c r="Y710" s="0" t="s">
        <v>3071</v>
      </c>
      <c r="Z710" s="0" t="s">
        <v>3072</v>
      </c>
      <c r="AA710" s="0" t="s">
        <v>3861</v>
      </c>
      <c r="AC710" s="0" t="s">
        <v>3862</v>
      </c>
    </row>
    <row r="711" customFormat="false" ht="15" hidden="false" customHeight="false" outlineLevel="0" collapsed="false">
      <c r="A711" s="0" t="s">
        <v>3978</v>
      </c>
      <c r="B711" s="0" t="s">
        <v>187</v>
      </c>
      <c r="C711" s="0" t="s">
        <v>3524</v>
      </c>
      <c r="D711" s="0" t="n">
        <v>2021</v>
      </c>
      <c r="E711" s="0" t="s">
        <v>63</v>
      </c>
      <c r="F711" s="0" t="n">
        <v>286</v>
      </c>
      <c r="G711" s="0" t="s">
        <v>3101</v>
      </c>
      <c r="H711" s="0" t="s">
        <v>3068</v>
      </c>
      <c r="I711" s="0" t="n">
        <v>286</v>
      </c>
      <c r="J711" s="0" t="s">
        <v>3858</v>
      </c>
      <c r="L711" s="0" t="n">
        <v>2022</v>
      </c>
      <c r="M711" s="0" t="s">
        <v>2737</v>
      </c>
      <c r="N711" s="0" t="s">
        <v>198</v>
      </c>
      <c r="Q711" s="0" t="n">
        <v>58</v>
      </c>
      <c r="R711" s="0" t="n">
        <v>58</v>
      </c>
      <c r="U711" s="0" t="s">
        <v>199</v>
      </c>
      <c r="V711" s="0" t="s">
        <v>199</v>
      </c>
      <c r="Y711" s="0" t="s">
        <v>3071</v>
      </c>
      <c r="Z711" s="0" t="s">
        <v>3072</v>
      </c>
      <c r="AA711" s="0" t="s">
        <v>3875</v>
      </c>
      <c r="AC711" s="0" t="s">
        <v>3862</v>
      </c>
    </row>
    <row r="712" customFormat="false" ht="15" hidden="false" customHeight="false" outlineLevel="0" collapsed="false">
      <c r="A712" s="0" t="s">
        <v>3979</v>
      </c>
      <c r="B712" s="0" t="s">
        <v>187</v>
      </c>
      <c r="C712" s="0" t="s">
        <v>3524</v>
      </c>
      <c r="D712" s="0" t="n">
        <v>2021</v>
      </c>
      <c r="E712" s="0" t="s">
        <v>1366</v>
      </c>
      <c r="F712" s="0" t="n">
        <v>-34</v>
      </c>
      <c r="G712" s="0" t="s">
        <v>3101</v>
      </c>
      <c r="H712" s="0" t="s">
        <v>3068</v>
      </c>
      <c r="I712" s="0" t="n">
        <v>-34</v>
      </c>
      <c r="J712" s="0" t="s">
        <v>3858</v>
      </c>
      <c r="L712" s="0" t="n">
        <v>2022</v>
      </c>
      <c r="M712" s="0" t="s">
        <v>2737</v>
      </c>
      <c r="N712" s="0" t="s">
        <v>198</v>
      </c>
      <c r="Q712" s="0" t="n">
        <v>58</v>
      </c>
      <c r="R712" s="0" t="n">
        <v>58</v>
      </c>
      <c r="U712" s="0" t="s">
        <v>199</v>
      </c>
      <c r="V712" s="0" t="s">
        <v>199</v>
      </c>
      <c r="Y712" s="0" t="s">
        <v>3071</v>
      </c>
      <c r="Z712" s="0" t="s">
        <v>3072</v>
      </c>
      <c r="AA712" s="0" t="s">
        <v>3861</v>
      </c>
      <c r="AC712" s="0" t="s">
        <v>3862</v>
      </c>
    </row>
    <row r="713" customFormat="false" ht="15" hidden="false" customHeight="false" outlineLevel="0" collapsed="false">
      <c r="A713" s="0" t="s">
        <v>3980</v>
      </c>
      <c r="B713" s="0" t="s">
        <v>187</v>
      </c>
      <c r="C713" s="0" t="s">
        <v>3524</v>
      </c>
      <c r="D713" s="0" t="n">
        <v>2021</v>
      </c>
      <c r="E713" s="0" t="s">
        <v>1038</v>
      </c>
      <c r="F713" s="0" t="n">
        <v>320</v>
      </c>
      <c r="G713" s="0" t="s">
        <v>3101</v>
      </c>
      <c r="H713" s="0" t="s">
        <v>3068</v>
      </c>
      <c r="I713" s="0" t="n">
        <v>320</v>
      </c>
      <c r="J713" s="0" t="s">
        <v>3858</v>
      </c>
      <c r="L713" s="0" t="n">
        <v>2022</v>
      </c>
      <c r="M713" s="0" t="s">
        <v>2737</v>
      </c>
      <c r="N713" s="0" t="s">
        <v>198</v>
      </c>
      <c r="Q713" s="0" t="n">
        <v>58</v>
      </c>
      <c r="R713" s="0" t="n">
        <v>58</v>
      </c>
      <c r="U713" s="0" t="s">
        <v>199</v>
      </c>
      <c r="V713" s="0" t="s">
        <v>199</v>
      </c>
      <c r="Y713" s="0" t="s">
        <v>3071</v>
      </c>
      <c r="Z713" s="0" t="s">
        <v>3072</v>
      </c>
      <c r="AA713" s="0" t="s">
        <v>3861</v>
      </c>
      <c r="AC713" s="0" t="s">
        <v>3862</v>
      </c>
    </row>
    <row r="714" customFormat="false" ht="15" hidden="false" customHeight="false" outlineLevel="0" collapsed="false">
      <c r="A714" s="0" t="s">
        <v>3981</v>
      </c>
      <c r="B714" s="0" t="s">
        <v>187</v>
      </c>
      <c r="C714" s="0" t="s">
        <v>3524</v>
      </c>
      <c r="D714" s="0" t="n">
        <v>2021</v>
      </c>
      <c r="E714" s="0" t="s">
        <v>69</v>
      </c>
      <c r="F714" s="0" t="n">
        <v>14.61</v>
      </c>
      <c r="G714" s="0" t="s">
        <v>3143</v>
      </c>
      <c r="I714" s="0" t="n">
        <v>14.61</v>
      </c>
      <c r="J714" s="0" t="s">
        <v>3858</v>
      </c>
      <c r="L714" s="0" t="n">
        <v>2022</v>
      </c>
      <c r="M714" s="0" t="s">
        <v>2737</v>
      </c>
      <c r="N714" s="0" t="s">
        <v>198</v>
      </c>
      <c r="Q714" s="0" t="s">
        <v>3982</v>
      </c>
      <c r="R714" s="0" t="s">
        <v>3982</v>
      </c>
      <c r="U714" s="0" t="s">
        <v>199</v>
      </c>
      <c r="V714" s="0" t="s">
        <v>199</v>
      </c>
      <c r="Y714" s="0" t="s">
        <v>3071</v>
      </c>
      <c r="Z714" s="0" t="s">
        <v>3072</v>
      </c>
      <c r="AA714" s="0" t="s">
        <v>3861</v>
      </c>
      <c r="AC714" s="0" t="s">
        <v>3862</v>
      </c>
    </row>
    <row r="715" customFormat="false" ht="15" hidden="false" customHeight="false" outlineLevel="0" collapsed="false">
      <c r="A715" s="0" t="s">
        <v>3983</v>
      </c>
      <c r="B715" s="0" t="s">
        <v>187</v>
      </c>
      <c r="C715" s="0" t="s">
        <v>3524</v>
      </c>
      <c r="D715" s="0" t="n">
        <v>2021</v>
      </c>
      <c r="E715" s="0" t="s">
        <v>65</v>
      </c>
      <c r="F715" s="0" t="n">
        <v>156040</v>
      </c>
      <c r="G715" s="0" t="s">
        <v>3101</v>
      </c>
      <c r="H715" s="0" t="s">
        <v>3068</v>
      </c>
      <c r="I715" s="0" t="n">
        <v>156040</v>
      </c>
      <c r="J715" s="0" t="s">
        <v>3858</v>
      </c>
      <c r="L715" s="0" t="n">
        <v>2022</v>
      </c>
      <c r="M715" s="0" t="s">
        <v>2737</v>
      </c>
      <c r="N715" s="0" t="s">
        <v>198</v>
      </c>
      <c r="Q715" s="0" t="s">
        <v>3982</v>
      </c>
      <c r="R715" s="0" t="s">
        <v>3982</v>
      </c>
      <c r="U715" s="0" t="s">
        <v>199</v>
      </c>
      <c r="V715" s="0" t="s">
        <v>199</v>
      </c>
      <c r="Y715" s="0" t="s">
        <v>3071</v>
      </c>
      <c r="Z715" s="0" t="s">
        <v>3072</v>
      </c>
      <c r="AA715" s="0" t="s">
        <v>3861</v>
      </c>
      <c r="AC715" s="0" t="s">
        <v>3862</v>
      </c>
    </row>
    <row r="716" customFormat="false" ht="15" hidden="false" customHeight="false" outlineLevel="0" collapsed="false">
      <c r="A716" s="0" t="s">
        <v>3984</v>
      </c>
      <c r="B716" s="0" t="s">
        <v>187</v>
      </c>
      <c r="C716" s="0" t="s">
        <v>3524</v>
      </c>
      <c r="D716" s="0" t="n">
        <v>2021</v>
      </c>
      <c r="E716" s="0" t="s">
        <v>66</v>
      </c>
      <c r="F716" s="0" t="n">
        <v>1068135</v>
      </c>
      <c r="G716" s="0" t="s">
        <v>3101</v>
      </c>
      <c r="H716" s="0" t="s">
        <v>3068</v>
      </c>
      <c r="I716" s="0" t="n">
        <v>1068135</v>
      </c>
      <c r="J716" s="0" t="s">
        <v>3858</v>
      </c>
      <c r="L716" s="0" t="n">
        <v>2022</v>
      </c>
      <c r="M716" s="0" t="s">
        <v>2737</v>
      </c>
      <c r="N716" s="0" t="s">
        <v>198</v>
      </c>
      <c r="Q716" s="0" t="s">
        <v>3982</v>
      </c>
      <c r="R716" s="0" t="s">
        <v>3982</v>
      </c>
      <c r="U716" s="0" t="s">
        <v>199</v>
      </c>
      <c r="V716" s="0" t="s">
        <v>199</v>
      </c>
      <c r="Y716" s="0" t="s">
        <v>3071</v>
      </c>
      <c r="Z716" s="0" t="s">
        <v>3072</v>
      </c>
      <c r="AA716" s="0" t="s">
        <v>3861</v>
      </c>
      <c r="AC716" s="0" t="s">
        <v>3862</v>
      </c>
    </row>
    <row r="717" customFormat="false" ht="15" hidden="false" customHeight="false" outlineLevel="0" collapsed="false">
      <c r="A717" s="0" t="s">
        <v>3985</v>
      </c>
      <c r="B717" s="0" t="s">
        <v>187</v>
      </c>
      <c r="C717" s="0" t="s">
        <v>3524</v>
      </c>
      <c r="D717" s="0" t="n">
        <v>2021</v>
      </c>
      <c r="E717" s="0" t="s">
        <v>64</v>
      </c>
      <c r="F717" s="0" t="n">
        <v>38660</v>
      </c>
      <c r="G717" s="0" t="s">
        <v>3101</v>
      </c>
      <c r="H717" s="0" t="s">
        <v>3068</v>
      </c>
      <c r="I717" s="0" t="n">
        <v>38660</v>
      </c>
      <c r="J717" s="0" t="s">
        <v>3858</v>
      </c>
      <c r="L717" s="0" t="n">
        <v>2022</v>
      </c>
      <c r="M717" s="0" t="s">
        <v>2737</v>
      </c>
      <c r="N717" s="0" t="s">
        <v>198</v>
      </c>
      <c r="Q717" s="0" t="n">
        <v>113</v>
      </c>
      <c r="R717" s="0" t="n">
        <v>113</v>
      </c>
      <c r="U717" s="0" t="s">
        <v>199</v>
      </c>
      <c r="V717" s="0" t="s">
        <v>199</v>
      </c>
      <c r="Y717" s="0" t="s">
        <v>3071</v>
      </c>
      <c r="Z717" s="0" t="s">
        <v>3072</v>
      </c>
      <c r="AA717" s="0" t="s">
        <v>3861</v>
      </c>
      <c r="AC717" s="0" t="s">
        <v>3862</v>
      </c>
    </row>
    <row r="718" customFormat="false" ht="15" hidden="false" customHeight="false" outlineLevel="0" collapsed="false">
      <c r="A718" s="0" t="s">
        <v>3986</v>
      </c>
      <c r="B718" s="0" t="s">
        <v>187</v>
      </c>
      <c r="C718" s="0" t="s">
        <v>3524</v>
      </c>
      <c r="D718" s="0" t="n">
        <v>2021</v>
      </c>
      <c r="E718" s="0" t="s">
        <v>67</v>
      </c>
      <c r="F718" s="0" t="n">
        <v>62064</v>
      </c>
      <c r="G718" s="0" t="s">
        <v>3101</v>
      </c>
      <c r="H718" s="0" t="s">
        <v>3068</v>
      </c>
      <c r="I718" s="0" t="n">
        <v>62064</v>
      </c>
      <c r="J718" s="0" t="s">
        <v>3858</v>
      </c>
      <c r="L718" s="0" t="n">
        <v>2022</v>
      </c>
      <c r="M718" s="0" t="s">
        <v>2737</v>
      </c>
      <c r="N718" s="0" t="s">
        <v>198</v>
      </c>
      <c r="Q718" s="0" t="s">
        <v>3973</v>
      </c>
      <c r="R718" s="0" t="s">
        <v>3973</v>
      </c>
      <c r="U718" s="0" t="s">
        <v>199</v>
      </c>
      <c r="V718" s="0" t="s">
        <v>199</v>
      </c>
      <c r="Y718" s="0" t="s">
        <v>3071</v>
      </c>
      <c r="Z718" s="0" t="s">
        <v>3072</v>
      </c>
      <c r="AA718" s="0" t="s">
        <v>3861</v>
      </c>
      <c r="AC718" s="0" t="s">
        <v>3862</v>
      </c>
    </row>
    <row r="719" customFormat="false" ht="15" hidden="false" customHeight="false" outlineLevel="0" collapsed="false">
      <c r="A719" s="0" t="s">
        <v>3987</v>
      </c>
      <c r="B719" s="0" t="s">
        <v>187</v>
      </c>
      <c r="C719" s="0" t="s">
        <v>3524</v>
      </c>
      <c r="D719" s="0" t="n">
        <v>2021</v>
      </c>
      <c r="E719" s="0" t="s">
        <v>68</v>
      </c>
      <c r="F719" s="0" t="n">
        <v>13274</v>
      </c>
      <c r="G719" s="0" t="s">
        <v>3101</v>
      </c>
      <c r="H719" s="0" t="s">
        <v>3068</v>
      </c>
      <c r="I719" s="0" t="n">
        <v>13274</v>
      </c>
      <c r="J719" s="0" t="s">
        <v>3858</v>
      </c>
      <c r="L719" s="0" t="n">
        <v>2022</v>
      </c>
      <c r="M719" s="0" t="s">
        <v>2737</v>
      </c>
      <c r="N719" s="0" t="s">
        <v>198</v>
      </c>
      <c r="Q719" s="0" t="s">
        <v>3973</v>
      </c>
      <c r="R719" s="0" t="s">
        <v>3973</v>
      </c>
      <c r="U719" s="0" t="s">
        <v>199</v>
      </c>
      <c r="V719" s="0" t="s">
        <v>199</v>
      </c>
      <c r="Y719" s="0" t="s">
        <v>3071</v>
      </c>
      <c r="Z719" s="0" t="s">
        <v>3072</v>
      </c>
      <c r="AA719" s="0" t="s">
        <v>3861</v>
      </c>
      <c r="AC719" s="0" t="s">
        <v>3862</v>
      </c>
    </row>
    <row r="720" customFormat="false" ht="15" hidden="false" customHeight="false" outlineLevel="0" collapsed="false">
      <c r="A720" s="0" t="s">
        <v>3988</v>
      </c>
      <c r="B720" s="0" t="s">
        <v>187</v>
      </c>
      <c r="C720" s="0" t="s">
        <v>3524</v>
      </c>
      <c r="D720" s="0" t="n">
        <v>2021</v>
      </c>
      <c r="E720" s="0" t="s">
        <v>3913</v>
      </c>
      <c r="F720" s="0" t="n">
        <v>23404</v>
      </c>
      <c r="G720" s="0" t="s">
        <v>3101</v>
      </c>
      <c r="H720" s="0" t="s">
        <v>3068</v>
      </c>
      <c r="I720" s="0" t="n">
        <v>23404</v>
      </c>
      <c r="J720" s="0" t="s">
        <v>3858</v>
      </c>
      <c r="L720" s="0" t="n">
        <v>2022</v>
      </c>
      <c r="M720" s="0" t="s">
        <v>2737</v>
      </c>
      <c r="N720" s="0" t="s">
        <v>198</v>
      </c>
      <c r="Q720" s="0" t="n">
        <v>113</v>
      </c>
      <c r="R720" s="0" t="n">
        <v>113</v>
      </c>
      <c r="U720" s="0" t="s">
        <v>199</v>
      </c>
      <c r="V720" s="0" t="s">
        <v>199</v>
      </c>
      <c r="Y720" s="0" t="s">
        <v>3071</v>
      </c>
      <c r="Z720" s="0" t="s">
        <v>3072</v>
      </c>
      <c r="AA720" s="0" t="s">
        <v>3861</v>
      </c>
      <c r="AC720" s="0" t="s">
        <v>3862</v>
      </c>
    </row>
    <row r="721" customFormat="false" ht="15" hidden="false" customHeight="false" outlineLevel="0" collapsed="false">
      <c r="A721" s="0" t="s">
        <v>3989</v>
      </c>
      <c r="B721" s="0" t="s">
        <v>187</v>
      </c>
      <c r="C721" s="0" t="s">
        <v>3524</v>
      </c>
      <c r="D721" s="0" t="n">
        <v>2022</v>
      </c>
      <c r="E721" s="0" t="s">
        <v>54</v>
      </c>
      <c r="F721" s="0" t="n">
        <v>29009</v>
      </c>
      <c r="G721" s="0" t="s">
        <v>3101</v>
      </c>
      <c r="H721" s="0" t="s">
        <v>3068</v>
      </c>
      <c r="I721" s="0" t="n">
        <v>29009</v>
      </c>
      <c r="J721" s="0" t="s">
        <v>3858</v>
      </c>
      <c r="L721" s="0" t="n">
        <v>2022</v>
      </c>
      <c r="M721" s="0" t="s">
        <v>2737</v>
      </c>
      <c r="N721" s="0" t="s">
        <v>198</v>
      </c>
      <c r="Q721" s="0" t="n">
        <v>58</v>
      </c>
      <c r="R721" s="0" t="n">
        <v>58</v>
      </c>
      <c r="U721" s="0" t="s">
        <v>200</v>
      </c>
      <c r="V721" s="0" t="s">
        <v>200</v>
      </c>
      <c r="Y721" s="0" t="s">
        <v>3071</v>
      </c>
      <c r="Z721" s="0" t="s">
        <v>3072</v>
      </c>
      <c r="AA721" s="0" t="s">
        <v>3861</v>
      </c>
      <c r="AC721" s="0" t="s">
        <v>3862</v>
      </c>
    </row>
    <row r="722" customFormat="false" ht="15" hidden="false" customHeight="false" outlineLevel="0" collapsed="false">
      <c r="A722" s="0" t="s">
        <v>3990</v>
      </c>
      <c r="B722" s="0" t="s">
        <v>187</v>
      </c>
      <c r="C722" s="0" t="s">
        <v>3524</v>
      </c>
      <c r="D722" s="0" t="n">
        <v>2022</v>
      </c>
      <c r="E722" s="0" t="s">
        <v>55</v>
      </c>
      <c r="F722" s="0" t="n">
        <v>2793674</v>
      </c>
      <c r="G722" s="0" t="s">
        <v>3101</v>
      </c>
      <c r="H722" s="0" t="s">
        <v>3068</v>
      </c>
      <c r="I722" s="0" t="n">
        <v>2793674</v>
      </c>
      <c r="J722" s="0" t="s">
        <v>3858</v>
      </c>
      <c r="L722" s="0" t="n">
        <v>2022</v>
      </c>
      <c r="M722" s="0" t="s">
        <v>2737</v>
      </c>
      <c r="N722" s="0" t="s">
        <v>198</v>
      </c>
      <c r="Q722" s="0" t="n">
        <v>60</v>
      </c>
      <c r="R722" s="0" t="n">
        <v>60</v>
      </c>
      <c r="U722" s="0" t="s">
        <v>200</v>
      </c>
      <c r="V722" s="0" t="s">
        <v>200</v>
      </c>
      <c r="Y722" s="0" t="s">
        <v>3071</v>
      </c>
      <c r="Z722" s="0" t="s">
        <v>3072</v>
      </c>
      <c r="AA722" s="0" t="s">
        <v>3861</v>
      </c>
      <c r="AC722" s="0" t="s">
        <v>3862</v>
      </c>
    </row>
    <row r="723" customFormat="false" ht="15" hidden="false" customHeight="false" outlineLevel="0" collapsed="false">
      <c r="A723" s="0" t="s">
        <v>3991</v>
      </c>
      <c r="B723" s="0" t="s">
        <v>187</v>
      </c>
      <c r="C723" s="0" t="s">
        <v>3524</v>
      </c>
      <c r="D723" s="0" t="n">
        <v>2022</v>
      </c>
      <c r="E723" s="0" t="s">
        <v>56</v>
      </c>
      <c r="F723" s="0" t="n">
        <v>2503824</v>
      </c>
      <c r="G723" s="0" t="s">
        <v>3101</v>
      </c>
      <c r="H723" s="0" t="s">
        <v>3068</v>
      </c>
      <c r="I723" s="0" t="n">
        <v>2503824</v>
      </c>
      <c r="J723" s="0" t="s">
        <v>3858</v>
      </c>
      <c r="L723" s="0" t="n">
        <v>2022</v>
      </c>
      <c r="M723" s="0" t="s">
        <v>2737</v>
      </c>
      <c r="N723" s="0" t="s">
        <v>198</v>
      </c>
      <c r="Q723" s="0" t="n">
        <v>60</v>
      </c>
      <c r="R723" s="0" t="n">
        <v>60</v>
      </c>
      <c r="U723" s="0" t="s">
        <v>200</v>
      </c>
      <c r="V723" s="0" t="s">
        <v>200</v>
      </c>
      <c r="Y723" s="0" t="s">
        <v>3071</v>
      </c>
      <c r="Z723" s="0" t="s">
        <v>3072</v>
      </c>
      <c r="AA723" s="0" t="s">
        <v>3861</v>
      </c>
      <c r="AC723" s="0" t="s">
        <v>3862</v>
      </c>
    </row>
    <row r="724" customFormat="false" ht="15" hidden="false" customHeight="false" outlineLevel="0" collapsed="false">
      <c r="A724" s="0" t="s">
        <v>3992</v>
      </c>
      <c r="B724" s="0" t="s">
        <v>187</v>
      </c>
      <c r="C724" s="0" t="s">
        <v>3524</v>
      </c>
      <c r="D724" s="0" t="n">
        <v>2022</v>
      </c>
      <c r="E724" s="0" t="s">
        <v>57</v>
      </c>
      <c r="F724" s="0" t="n">
        <v>289850</v>
      </c>
      <c r="G724" s="0" t="s">
        <v>3101</v>
      </c>
      <c r="H724" s="0" t="s">
        <v>3068</v>
      </c>
      <c r="I724" s="0" t="n">
        <v>289850</v>
      </c>
      <c r="J724" s="0" t="s">
        <v>3858</v>
      </c>
      <c r="L724" s="0" t="n">
        <v>2022</v>
      </c>
      <c r="M724" s="0" t="s">
        <v>2737</v>
      </c>
      <c r="N724" s="0" t="s">
        <v>198</v>
      </c>
      <c r="Q724" s="0" t="n">
        <v>60</v>
      </c>
      <c r="R724" s="0" t="n">
        <v>60</v>
      </c>
      <c r="U724" s="0" t="s">
        <v>200</v>
      </c>
      <c r="V724" s="0" t="s">
        <v>200</v>
      </c>
      <c r="Y724" s="0" t="s">
        <v>3071</v>
      </c>
      <c r="Z724" s="0" t="s">
        <v>3072</v>
      </c>
      <c r="AA724" s="0" t="s">
        <v>3861</v>
      </c>
      <c r="AC724" s="0" t="s">
        <v>3862</v>
      </c>
    </row>
    <row r="725" customFormat="false" ht="15" hidden="false" customHeight="false" outlineLevel="0" collapsed="false">
      <c r="A725" s="0" t="s">
        <v>3993</v>
      </c>
      <c r="B725" s="0" t="s">
        <v>187</v>
      </c>
      <c r="C725" s="0" t="s">
        <v>3524</v>
      </c>
      <c r="D725" s="0" t="n">
        <v>2022</v>
      </c>
      <c r="E725" s="0" t="s">
        <v>58</v>
      </c>
      <c r="F725" s="0" t="n">
        <v>80277</v>
      </c>
      <c r="G725" s="0" t="s">
        <v>3101</v>
      </c>
      <c r="H725" s="0" t="s">
        <v>3068</v>
      </c>
      <c r="I725" s="0" t="n">
        <v>80277</v>
      </c>
      <c r="J725" s="0" t="s">
        <v>3858</v>
      </c>
      <c r="L725" s="0" t="n">
        <v>2022</v>
      </c>
      <c r="M725" s="0" t="s">
        <v>2737</v>
      </c>
      <c r="N725" s="0" t="s">
        <v>198</v>
      </c>
      <c r="Q725" s="0" t="n">
        <v>65</v>
      </c>
      <c r="R725" s="0" t="n">
        <v>65</v>
      </c>
      <c r="U725" s="0" t="s">
        <v>200</v>
      </c>
      <c r="V725" s="0" t="s">
        <v>200</v>
      </c>
      <c r="Y725" s="0" t="s">
        <v>3071</v>
      </c>
      <c r="Z725" s="0" t="s">
        <v>3072</v>
      </c>
      <c r="AA725" s="0" t="s">
        <v>3861</v>
      </c>
      <c r="AC725" s="0" t="s">
        <v>3862</v>
      </c>
    </row>
    <row r="726" customFormat="false" ht="15" hidden="false" customHeight="false" outlineLevel="0" collapsed="false">
      <c r="A726" s="0" t="s">
        <v>3994</v>
      </c>
      <c r="B726" s="0" t="s">
        <v>187</v>
      </c>
      <c r="C726" s="0" t="s">
        <v>3524</v>
      </c>
      <c r="D726" s="0" t="n">
        <v>2022</v>
      </c>
      <c r="E726" s="0" t="s">
        <v>59</v>
      </c>
      <c r="F726" s="0" t="n">
        <v>2567441</v>
      </c>
      <c r="G726" s="0" t="s">
        <v>3101</v>
      </c>
      <c r="H726" s="0" t="s">
        <v>3068</v>
      </c>
      <c r="I726" s="0" t="n">
        <v>2567441</v>
      </c>
      <c r="J726" s="0" t="s">
        <v>3858</v>
      </c>
      <c r="L726" s="0" t="n">
        <v>2022</v>
      </c>
      <c r="M726" s="0" t="s">
        <v>2737</v>
      </c>
      <c r="N726" s="0" t="s">
        <v>198</v>
      </c>
      <c r="Q726" s="0" t="n">
        <v>60</v>
      </c>
      <c r="R726" s="0" t="n">
        <v>60</v>
      </c>
      <c r="U726" s="0" t="s">
        <v>200</v>
      </c>
      <c r="V726" s="0" t="s">
        <v>200</v>
      </c>
      <c r="Y726" s="0" t="s">
        <v>3071</v>
      </c>
      <c r="Z726" s="0" t="s">
        <v>3072</v>
      </c>
      <c r="AA726" s="0" t="s">
        <v>3868</v>
      </c>
      <c r="AC726" s="0" t="s">
        <v>3862</v>
      </c>
    </row>
    <row r="727" customFormat="false" ht="15" hidden="false" customHeight="false" outlineLevel="0" collapsed="false">
      <c r="A727" s="0" t="s">
        <v>3995</v>
      </c>
      <c r="B727" s="0" t="s">
        <v>187</v>
      </c>
      <c r="C727" s="0" t="s">
        <v>3524</v>
      </c>
      <c r="D727" s="0" t="n">
        <v>2022</v>
      </c>
      <c r="E727" s="0" t="s">
        <v>60</v>
      </c>
      <c r="F727" s="0" t="n">
        <v>1000903</v>
      </c>
      <c r="G727" s="0" t="s">
        <v>3101</v>
      </c>
      <c r="H727" s="0" t="s">
        <v>3068</v>
      </c>
      <c r="I727" s="0" t="n">
        <v>1000903</v>
      </c>
      <c r="J727" s="0" t="s">
        <v>3858</v>
      </c>
      <c r="L727" s="0" t="n">
        <v>2022</v>
      </c>
      <c r="M727" s="0" t="s">
        <v>2737</v>
      </c>
      <c r="N727" s="0" t="s">
        <v>198</v>
      </c>
      <c r="Q727" s="0" t="s">
        <v>3973</v>
      </c>
      <c r="R727" s="0" t="s">
        <v>3973</v>
      </c>
      <c r="U727" s="0" t="s">
        <v>200</v>
      </c>
      <c r="V727" s="0" t="s">
        <v>200</v>
      </c>
      <c r="Y727" s="0" t="s">
        <v>3071</v>
      </c>
      <c r="Z727" s="0" t="s">
        <v>3072</v>
      </c>
      <c r="AA727" s="0" t="s">
        <v>3861</v>
      </c>
      <c r="AC727" s="0" t="s">
        <v>3862</v>
      </c>
    </row>
    <row r="728" customFormat="false" ht="15" hidden="false" customHeight="false" outlineLevel="0" collapsed="false">
      <c r="A728" s="0" t="s">
        <v>3996</v>
      </c>
      <c r="B728" s="0" t="s">
        <v>187</v>
      </c>
      <c r="C728" s="0" t="s">
        <v>3524</v>
      </c>
      <c r="D728" s="0" t="n">
        <v>2022</v>
      </c>
      <c r="E728" s="0" t="s">
        <v>61</v>
      </c>
      <c r="F728" s="0" t="n">
        <v>32015</v>
      </c>
      <c r="G728" s="0" t="s">
        <v>3101</v>
      </c>
      <c r="H728" s="0" t="s">
        <v>3068</v>
      </c>
      <c r="I728" s="0" t="n">
        <v>32015</v>
      </c>
      <c r="J728" s="0" t="s">
        <v>3858</v>
      </c>
      <c r="L728" s="0" t="n">
        <v>2022</v>
      </c>
      <c r="M728" s="0" t="s">
        <v>2737</v>
      </c>
      <c r="N728" s="0" t="s">
        <v>198</v>
      </c>
      <c r="Q728" s="0" t="s">
        <v>3973</v>
      </c>
      <c r="R728" s="0" t="s">
        <v>3973</v>
      </c>
      <c r="U728" s="0" t="s">
        <v>200</v>
      </c>
      <c r="V728" s="0" t="s">
        <v>200</v>
      </c>
      <c r="Y728" s="0" t="s">
        <v>3071</v>
      </c>
      <c r="Z728" s="0" t="s">
        <v>3072</v>
      </c>
      <c r="AA728" s="0" t="s">
        <v>3861</v>
      </c>
      <c r="AC728" s="0" t="s">
        <v>3862</v>
      </c>
    </row>
    <row r="729" customFormat="false" ht="15" hidden="false" customHeight="false" outlineLevel="0" collapsed="false">
      <c r="A729" s="0" t="s">
        <v>3997</v>
      </c>
      <c r="B729" s="0" t="s">
        <v>187</v>
      </c>
      <c r="C729" s="0" t="s">
        <v>3524</v>
      </c>
      <c r="D729" s="0" t="n">
        <v>2022</v>
      </c>
      <c r="E729" s="0" t="s">
        <v>62</v>
      </c>
      <c r="F729" s="0" t="n">
        <v>968888</v>
      </c>
      <c r="G729" s="0" t="s">
        <v>3101</v>
      </c>
      <c r="H729" s="0" t="s">
        <v>3068</v>
      </c>
      <c r="I729" s="0" t="n">
        <v>968888</v>
      </c>
      <c r="J729" s="0" t="s">
        <v>3858</v>
      </c>
      <c r="L729" s="0" t="n">
        <v>2022</v>
      </c>
      <c r="M729" s="0" t="s">
        <v>2737</v>
      </c>
      <c r="N729" s="0" t="s">
        <v>198</v>
      </c>
      <c r="Q729" s="0" t="s">
        <v>3973</v>
      </c>
      <c r="R729" s="0" t="s">
        <v>3973</v>
      </c>
      <c r="U729" s="0" t="s">
        <v>200</v>
      </c>
      <c r="V729" s="0" t="s">
        <v>200</v>
      </c>
      <c r="Y729" s="0" t="s">
        <v>3071</v>
      </c>
      <c r="Z729" s="0" t="s">
        <v>3072</v>
      </c>
      <c r="AA729" s="0" t="s">
        <v>3861</v>
      </c>
      <c r="AC729" s="0" t="s">
        <v>3862</v>
      </c>
    </row>
    <row r="730" customFormat="false" ht="15" hidden="false" customHeight="false" outlineLevel="0" collapsed="false">
      <c r="A730" s="0" t="s">
        <v>3998</v>
      </c>
      <c r="B730" s="0" t="s">
        <v>187</v>
      </c>
      <c r="C730" s="0" t="s">
        <v>3524</v>
      </c>
      <c r="D730" s="0" t="n">
        <v>2022</v>
      </c>
      <c r="E730" s="0" t="s">
        <v>541</v>
      </c>
      <c r="F730" s="0" t="n">
        <v>30206</v>
      </c>
      <c r="G730" s="0" t="s">
        <v>3101</v>
      </c>
      <c r="H730" s="0" t="s">
        <v>3068</v>
      </c>
      <c r="I730" s="0" t="n">
        <v>30206</v>
      </c>
      <c r="J730" s="0" t="s">
        <v>3858</v>
      </c>
      <c r="L730" s="0" t="n">
        <v>2022</v>
      </c>
      <c r="M730" s="0" t="s">
        <v>2737</v>
      </c>
      <c r="N730" s="0" t="s">
        <v>198</v>
      </c>
      <c r="Q730" s="0" t="n">
        <v>58</v>
      </c>
      <c r="R730" s="0" t="n">
        <v>58</v>
      </c>
      <c r="U730" s="0" t="s">
        <v>200</v>
      </c>
      <c r="V730" s="0" t="s">
        <v>200</v>
      </c>
      <c r="Y730" s="0" t="s">
        <v>3071</v>
      </c>
      <c r="Z730" s="0" t="s">
        <v>3072</v>
      </c>
      <c r="AA730" s="0" t="s">
        <v>3861</v>
      </c>
      <c r="AC730" s="0" t="s">
        <v>3862</v>
      </c>
    </row>
    <row r="731" customFormat="false" ht="15" hidden="false" customHeight="false" outlineLevel="0" collapsed="false">
      <c r="A731" s="0" t="s">
        <v>3999</v>
      </c>
      <c r="B731" s="0" t="s">
        <v>187</v>
      </c>
      <c r="C731" s="0" t="s">
        <v>3524</v>
      </c>
      <c r="D731" s="0" t="n">
        <v>2022</v>
      </c>
      <c r="E731" s="0" t="s">
        <v>1327</v>
      </c>
      <c r="F731" s="0" t="n">
        <v>208171</v>
      </c>
      <c r="G731" s="0" t="s">
        <v>3101</v>
      </c>
      <c r="H731" s="0" t="s">
        <v>3068</v>
      </c>
      <c r="I731" s="0" t="n">
        <v>208171</v>
      </c>
      <c r="J731" s="0" t="s">
        <v>3858</v>
      </c>
      <c r="L731" s="0" t="n">
        <v>2022</v>
      </c>
      <c r="M731" s="0" t="s">
        <v>2737</v>
      </c>
      <c r="N731" s="0" t="s">
        <v>198</v>
      </c>
      <c r="Q731" s="0" t="n">
        <v>58</v>
      </c>
      <c r="R731" s="0" t="n">
        <v>58</v>
      </c>
      <c r="U731" s="0" t="s">
        <v>200</v>
      </c>
      <c r="V731" s="0" t="s">
        <v>200</v>
      </c>
      <c r="Y731" s="0" t="s">
        <v>3071</v>
      </c>
      <c r="Z731" s="0" t="s">
        <v>3072</v>
      </c>
      <c r="AA731" s="0" t="s">
        <v>3861</v>
      </c>
      <c r="AC731" s="0" t="s">
        <v>3862</v>
      </c>
    </row>
    <row r="732" customFormat="false" ht="15" hidden="false" customHeight="false" outlineLevel="0" collapsed="false">
      <c r="A732" s="0" t="s">
        <v>4000</v>
      </c>
      <c r="B732" s="0" t="s">
        <v>187</v>
      </c>
      <c r="C732" s="0" t="s">
        <v>3524</v>
      </c>
      <c r="D732" s="0" t="n">
        <v>2022</v>
      </c>
      <c r="E732" s="0" t="s">
        <v>63</v>
      </c>
      <c r="F732" s="0" t="n">
        <v>4475</v>
      </c>
      <c r="G732" s="0" t="s">
        <v>3101</v>
      </c>
      <c r="H732" s="0" t="s">
        <v>3068</v>
      </c>
      <c r="I732" s="0" t="n">
        <v>4475</v>
      </c>
      <c r="J732" s="0" t="s">
        <v>3858</v>
      </c>
      <c r="L732" s="0" t="n">
        <v>2022</v>
      </c>
      <c r="M732" s="0" t="s">
        <v>2737</v>
      </c>
      <c r="N732" s="0" t="s">
        <v>198</v>
      </c>
      <c r="Q732" s="0" t="n">
        <v>58</v>
      </c>
      <c r="R732" s="0" t="n">
        <v>58</v>
      </c>
      <c r="U732" s="0" t="s">
        <v>200</v>
      </c>
      <c r="V732" s="0" t="s">
        <v>200</v>
      </c>
      <c r="Y732" s="0" t="s">
        <v>3071</v>
      </c>
      <c r="Z732" s="0" t="s">
        <v>3072</v>
      </c>
      <c r="AA732" s="0" t="s">
        <v>3875</v>
      </c>
      <c r="AC732" s="0" t="s">
        <v>3862</v>
      </c>
    </row>
    <row r="733" customFormat="false" ht="15" hidden="false" customHeight="false" outlineLevel="0" collapsed="false">
      <c r="A733" s="0" t="s">
        <v>4001</v>
      </c>
      <c r="B733" s="0" t="s">
        <v>187</v>
      </c>
      <c r="C733" s="0" t="s">
        <v>3524</v>
      </c>
      <c r="D733" s="0" t="n">
        <v>2022</v>
      </c>
      <c r="E733" s="0" t="s">
        <v>1366</v>
      </c>
      <c r="F733" s="0" t="n">
        <v>3209</v>
      </c>
      <c r="G733" s="0" t="s">
        <v>3101</v>
      </c>
      <c r="H733" s="0" t="s">
        <v>3068</v>
      </c>
      <c r="I733" s="0" t="n">
        <v>3209</v>
      </c>
      <c r="J733" s="0" t="s">
        <v>3858</v>
      </c>
      <c r="L733" s="0" t="n">
        <v>2022</v>
      </c>
      <c r="M733" s="0" t="s">
        <v>2737</v>
      </c>
      <c r="N733" s="0" t="s">
        <v>198</v>
      </c>
      <c r="Q733" s="0" t="n">
        <v>58</v>
      </c>
      <c r="R733" s="0" t="n">
        <v>58</v>
      </c>
      <c r="U733" s="0" t="s">
        <v>200</v>
      </c>
      <c r="V733" s="0" t="s">
        <v>200</v>
      </c>
      <c r="Y733" s="0" t="s">
        <v>3071</v>
      </c>
      <c r="Z733" s="0" t="s">
        <v>3072</v>
      </c>
      <c r="AA733" s="0" t="s">
        <v>3861</v>
      </c>
      <c r="AC733" s="0" t="s">
        <v>3862</v>
      </c>
    </row>
    <row r="734" customFormat="false" ht="15" hidden="false" customHeight="false" outlineLevel="0" collapsed="false">
      <c r="A734" s="0" t="s">
        <v>4002</v>
      </c>
      <c r="B734" s="0" t="s">
        <v>187</v>
      </c>
      <c r="C734" s="0" t="s">
        <v>3524</v>
      </c>
      <c r="D734" s="0" t="n">
        <v>2022</v>
      </c>
      <c r="E734" s="0" t="s">
        <v>1038</v>
      </c>
      <c r="F734" s="0" t="n">
        <v>1266</v>
      </c>
      <c r="G734" s="0" t="s">
        <v>3101</v>
      </c>
      <c r="H734" s="0" t="s">
        <v>3068</v>
      </c>
      <c r="I734" s="0" t="n">
        <v>1266</v>
      </c>
      <c r="J734" s="0" t="s">
        <v>3858</v>
      </c>
      <c r="L734" s="0" t="n">
        <v>2022</v>
      </c>
      <c r="M734" s="0" t="s">
        <v>2737</v>
      </c>
      <c r="N734" s="0" t="s">
        <v>198</v>
      </c>
      <c r="Q734" s="0" t="n">
        <v>58</v>
      </c>
      <c r="R734" s="0" t="n">
        <v>58</v>
      </c>
      <c r="U734" s="0" t="s">
        <v>200</v>
      </c>
      <c r="V734" s="0" t="s">
        <v>200</v>
      </c>
      <c r="Y734" s="0" t="s">
        <v>3071</v>
      </c>
      <c r="Z734" s="0" t="s">
        <v>3072</v>
      </c>
      <c r="AA734" s="0" t="s">
        <v>3861</v>
      </c>
      <c r="AC734" s="0" t="s">
        <v>3862</v>
      </c>
    </row>
    <row r="735" customFormat="false" ht="15" hidden="false" customHeight="false" outlineLevel="0" collapsed="false">
      <c r="A735" s="0" t="s">
        <v>4003</v>
      </c>
      <c r="B735" s="0" t="s">
        <v>187</v>
      </c>
      <c r="C735" s="0" t="s">
        <v>3524</v>
      </c>
      <c r="D735" s="0" t="n">
        <v>2022</v>
      </c>
      <c r="E735" s="0" t="s">
        <v>69</v>
      </c>
      <c r="F735" s="0" t="n">
        <v>14.42</v>
      </c>
      <c r="G735" s="0" t="s">
        <v>3143</v>
      </c>
      <c r="I735" s="0" t="n">
        <v>14.42</v>
      </c>
      <c r="J735" s="0" t="s">
        <v>3858</v>
      </c>
      <c r="L735" s="0" t="n">
        <v>2022</v>
      </c>
      <c r="M735" s="0" t="s">
        <v>2737</v>
      </c>
      <c r="N735" s="0" t="s">
        <v>198</v>
      </c>
      <c r="Q735" s="0" t="s">
        <v>3982</v>
      </c>
      <c r="R735" s="0" t="s">
        <v>3982</v>
      </c>
      <c r="U735" s="0" t="s">
        <v>200</v>
      </c>
      <c r="V735" s="0" t="s">
        <v>200</v>
      </c>
      <c r="Y735" s="0" t="s">
        <v>3071</v>
      </c>
      <c r="Z735" s="0" t="s">
        <v>3072</v>
      </c>
      <c r="AA735" s="0" t="s">
        <v>3861</v>
      </c>
      <c r="AC735" s="0" t="s">
        <v>3862</v>
      </c>
    </row>
    <row r="736" customFormat="false" ht="15" hidden="false" customHeight="false" outlineLevel="0" collapsed="false">
      <c r="A736" s="0" t="s">
        <v>4004</v>
      </c>
      <c r="B736" s="0" t="s">
        <v>187</v>
      </c>
      <c r="C736" s="0" t="s">
        <v>3524</v>
      </c>
      <c r="D736" s="0" t="n">
        <v>2022</v>
      </c>
      <c r="E736" s="0" t="s">
        <v>65</v>
      </c>
      <c r="F736" s="0" t="n">
        <v>180613</v>
      </c>
      <c r="G736" s="0" t="s">
        <v>3101</v>
      </c>
      <c r="H736" s="0" t="s">
        <v>3068</v>
      </c>
      <c r="I736" s="0" t="n">
        <v>180613</v>
      </c>
      <c r="J736" s="0" t="s">
        <v>3858</v>
      </c>
      <c r="L736" s="0" t="n">
        <v>2022</v>
      </c>
      <c r="M736" s="0" t="s">
        <v>2737</v>
      </c>
      <c r="N736" s="0" t="s">
        <v>198</v>
      </c>
      <c r="Q736" s="0" t="s">
        <v>3982</v>
      </c>
      <c r="R736" s="0" t="s">
        <v>3982</v>
      </c>
      <c r="U736" s="0" t="s">
        <v>200</v>
      </c>
      <c r="V736" s="0" t="s">
        <v>200</v>
      </c>
      <c r="Y736" s="0" t="s">
        <v>3071</v>
      </c>
      <c r="Z736" s="0" t="s">
        <v>3072</v>
      </c>
      <c r="AA736" s="0" t="s">
        <v>3861</v>
      </c>
      <c r="AC736" s="0" t="s">
        <v>3862</v>
      </c>
    </row>
    <row r="737" customFormat="false" ht="15" hidden="false" customHeight="false" outlineLevel="0" collapsed="false">
      <c r="A737" s="0" t="s">
        <v>4005</v>
      </c>
      <c r="B737" s="0" t="s">
        <v>187</v>
      </c>
      <c r="C737" s="0" t="s">
        <v>3524</v>
      </c>
      <c r="D737" s="0" t="n">
        <v>2022</v>
      </c>
      <c r="E737" s="0" t="s">
        <v>66</v>
      </c>
      <c r="F737" s="0" t="n">
        <v>1252579</v>
      </c>
      <c r="G737" s="0" t="s">
        <v>3101</v>
      </c>
      <c r="H737" s="0" t="s">
        <v>3068</v>
      </c>
      <c r="I737" s="0" t="n">
        <v>1252579</v>
      </c>
      <c r="J737" s="0" t="s">
        <v>3858</v>
      </c>
      <c r="L737" s="0" t="n">
        <v>2022</v>
      </c>
      <c r="M737" s="0" t="s">
        <v>2737</v>
      </c>
      <c r="N737" s="0" t="s">
        <v>198</v>
      </c>
      <c r="Q737" s="0" t="s">
        <v>3982</v>
      </c>
      <c r="R737" s="0" t="s">
        <v>3982</v>
      </c>
      <c r="U737" s="0" t="s">
        <v>200</v>
      </c>
      <c r="V737" s="0" t="s">
        <v>200</v>
      </c>
      <c r="Y737" s="0" t="s">
        <v>3071</v>
      </c>
      <c r="Z737" s="0" t="s">
        <v>3072</v>
      </c>
      <c r="AA737" s="0" t="s">
        <v>3861</v>
      </c>
      <c r="AC737" s="0" t="s">
        <v>3862</v>
      </c>
    </row>
    <row r="738" customFormat="false" ht="15" hidden="false" customHeight="false" outlineLevel="0" collapsed="false">
      <c r="A738" s="0" t="s">
        <v>4006</v>
      </c>
      <c r="B738" s="0" t="s">
        <v>187</v>
      </c>
      <c r="C738" s="0" t="s">
        <v>3524</v>
      </c>
      <c r="D738" s="0" t="n">
        <v>2022</v>
      </c>
      <c r="E738" s="0" t="s">
        <v>70</v>
      </c>
      <c r="F738" s="0" t="n">
        <v>10</v>
      </c>
      <c r="G738" s="0" t="s">
        <v>3143</v>
      </c>
      <c r="I738" s="0" t="n">
        <v>10</v>
      </c>
      <c r="J738" s="0" t="s">
        <v>3858</v>
      </c>
      <c r="L738" s="0" t="n">
        <v>2022</v>
      </c>
      <c r="M738" s="0" t="s">
        <v>2737</v>
      </c>
      <c r="N738" s="0" t="s">
        <v>198</v>
      </c>
      <c r="Q738" s="0" t="s">
        <v>3982</v>
      </c>
      <c r="R738" s="0" t="s">
        <v>3982</v>
      </c>
      <c r="U738" s="0" t="s">
        <v>200</v>
      </c>
      <c r="V738" s="0" t="s">
        <v>200</v>
      </c>
      <c r="Y738" s="0" t="s">
        <v>3071</v>
      </c>
      <c r="Z738" s="0" t="s">
        <v>3072</v>
      </c>
      <c r="AA738" s="0" t="s">
        <v>4007</v>
      </c>
      <c r="AC738" s="0" t="s">
        <v>3862</v>
      </c>
    </row>
    <row r="739" customFormat="false" ht="15" hidden="false" customHeight="false" outlineLevel="0" collapsed="false">
      <c r="A739" s="0" t="s">
        <v>4008</v>
      </c>
      <c r="B739" s="0" t="s">
        <v>187</v>
      </c>
      <c r="C739" s="0" t="s">
        <v>3524</v>
      </c>
      <c r="D739" s="0" t="n">
        <v>2022</v>
      </c>
      <c r="E739" s="0" t="s">
        <v>64</v>
      </c>
      <c r="F739" s="0" t="n">
        <v>40276</v>
      </c>
      <c r="G739" s="0" t="s">
        <v>3101</v>
      </c>
      <c r="H739" s="0" t="s">
        <v>3068</v>
      </c>
      <c r="I739" s="0" t="n">
        <v>40276</v>
      </c>
      <c r="J739" s="0" t="s">
        <v>3858</v>
      </c>
      <c r="L739" s="0" t="n">
        <v>2022</v>
      </c>
      <c r="M739" s="0" t="s">
        <v>2737</v>
      </c>
      <c r="N739" s="0" t="s">
        <v>198</v>
      </c>
      <c r="Q739" s="0" t="n">
        <v>113</v>
      </c>
      <c r="R739" s="0" t="n">
        <v>113</v>
      </c>
      <c r="U739" s="0" t="s">
        <v>200</v>
      </c>
      <c r="V739" s="0" t="s">
        <v>200</v>
      </c>
      <c r="Y739" s="0" t="s">
        <v>3071</v>
      </c>
      <c r="Z739" s="0" t="s">
        <v>3072</v>
      </c>
      <c r="AA739" s="0" t="s">
        <v>3861</v>
      </c>
      <c r="AC739" s="0" t="s">
        <v>3862</v>
      </c>
    </row>
    <row r="740" customFormat="false" ht="15" hidden="false" customHeight="false" outlineLevel="0" collapsed="false">
      <c r="A740" s="0" t="s">
        <v>4009</v>
      </c>
      <c r="B740" s="0" t="s">
        <v>187</v>
      </c>
      <c r="C740" s="0" t="s">
        <v>3524</v>
      </c>
      <c r="D740" s="0" t="n">
        <v>2022</v>
      </c>
      <c r="E740" s="0" t="s">
        <v>67</v>
      </c>
      <c r="F740" s="0" t="n">
        <v>74070</v>
      </c>
      <c r="G740" s="0" t="s">
        <v>3101</v>
      </c>
      <c r="H740" s="0" t="s">
        <v>3068</v>
      </c>
      <c r="I740" s="0" t="n">
        <v>74070</v>
      </c>
      <c r="J740" s="0" t="s">
        <v>3858</v>
      </c>
      <c r="L740" s="0" t="n">
        <v>2022</v>
      </c>
      <c r="M740" s="0" t="s">
        <v>2737</v>
      </c>
      <c r="N740" s="0" t="s">
        <v>198</v>
      </c>
      <c r="Q740" s="0" t="s">
        <v>3973</v>
      </c>
      <c r="R740" s="0" t="s">
        <v>3973</v>
      </c>
      <c r="U740" s="0" t="s">
        <v>200</v>
      </c>
      <c r="V740" s="0" t="s">
        <v>200</v>
      </c>
      <c r="Y740" s="0" t="s">
        <v>3071</v>
      </c>
      <c r="Z740" s="0" t="s">
        <v>3072</v>
      </c>
      <c r="AA740" s="0" t="s">
        <v>3861</v>
      </c>
      <c r="AC740" s="0" t="s">
        <v>3862</v>
      </c>
    </row>
    <row r="741" customFormat="false" ht="15" hidden="false" customHeight="false" outlineLevel="0" collapsed="false">
      <c r="A741" s="0" t="s">
        <v>4010</v>
      </c>
      <c r="B741" s="0" t="s">
        <v>187</v>
      </c>
      <c r="C741" s="0" t="s">
        <v>3524</v>
      </c>
      <c r="D741" s="0" t="n">
        <v>2017</v>
      </c>
      <c r="E741" s="0" t="s">
        <v>4011</v>
      </c>
      <c r="F741" s="0" t="n">
        <v>12839</v>
      </c>
      <c r="G741" s="0" t="s">
        <v>3101</v>
      </c>
      <c r="H741" s="0" t="s">
        <v>3068</v>
      </c>
      <c r="I741" s="0" t="n">
        <v>12839</v>
      </c>
      <c r="J741" s="0" t="s">
        <v>3858</v>
      </c>
      <c r="L741" s="0" t="n">
        <v>2018</v>
      </c>
      <c r="M741" s="0" t="s">
        <v>2734</v>
      </c>
      <c r="N741" s="0" t="s">
        <v>191</v>
      </c>
      <c r="Q741" s="0" t="n">
        <v>98</v>
      </c>
      <c r="R741" s="0" t="n">
        <v>96</v>
      </c>
      <c r="Y741" s="0" t="s">
        <v>3071</v>
      </c>
      <c r="Z741" s="0" t="s">
        <v>3072</v>
      </c>
      <c r="AA741" s="0" t="s">
        <v>4012</v>
      </c>
      <c r="AC741" s="0" t="s">
        <v>3862</v>
      </c>
    </row>
    <row r="742" customFormat="false" ht="15" hidden="false" customHeight="false" outlineLevel="0" collapsed="false">
      <c r="A742" s="0" t="s">
        <v>4013</v>
      </c>
      <c r="B742" s="0" t="s">
        <v>187</v>
      </c>
      <c r="C742" s="0" t="s">
        <v>3524</v>
      </c>
      <c r="D742" s="0" t="n">
        <v>2017</v>
      </c>
      <c r="E742" s="0" t="s">
        <v>4014</v>
      </c>
      <c r="F742" s="0" t="n">
        <v>-1600</v>
      </c>
      <c r="G742" s="0" t="s">
        <v>3101</v>
      </c>
      <c r="H742" s="0" t="s">
        <v>3068</v>
      </c>
      <c r="I742" s="0" t="n">
        <v>-1600</v>
      </c>
      <c r="J742" s="0" t="s">
        <v>3858</v>
      </c>
      <c r="L742" s="0" t="n">
        <v>2018</v>
      </c>
      <c r="M742" s="0" t="s">
        <v>2734</v>
      </c>
      <c r="N742" s="0" t="s">
        <v>191</v>
      </c>
      <c r="Q742" s="0" t="n">
        <v>98</v>
      </c>
      <c r="R742" s="0" t="n">
        <v>96</v>
      </c>
      <c r="Y742" s="0" t="s">
        <v>3071</v>
      </c>
      <c r="Z742" s="0" t="s">
        <v>3072</v>
      </c>
      <c r="AA742" s="0" t="s">
        <v>4015</v>
      </c>
      <c r="AC742" s="0" t="s">
        <v>3862</v>
      </c>
    </row>
    <row r="743" customFormat="false" ht="15" hidden="false" customHeight="false" outlineLevel="0" collapsed="false">
      <c r="A743" s="0" t="s">
        <v>4016</v>
      </c>
      <c r="B743" s="0" t="s">
        <v>187</v>
      </c>
      <c r="C743" s="0" t="s">
        <v>3524</v>
      </c>
      <c r="D743" s="0" t="n">
        <v>2017</v>
      </c>
      <c r="E743" s="0" t="s">
        <v>4017</v>
      </c>
      <c r="F743" s="0" t="n">
        <v>321388</v>
      </c>
      <c r="G743" s="0" t="s">
        <v>3101</v>
      </c>
      <c r="H743" s="0" t="s">
        <v>3068</v>
      </c>
      <c r="I743" s="0" t="n">
        <v>321388</v>
      </c>
      <c r="J743" s="0" t="s">
        <v>3858</v>
      </c>
      <c r="L743" s="0" t="n">
        <v>2018</v>
      </c>
      <c r="M743" s="0" t="s">
        <v>2734</v>
      </c>
      <c r="N743" s="0" t="s">
        <v>191</v>
      </c>
      <c r="Q743" s="0" t="n">
        <v>99</v>
      </c>
      <c r="R743" s="0" t="n">
        <v>97</v>
      </c>
      <c r="Y743" s="0" t="s">
        <v>3071</v>
      </c>
      <c r="Z743" s="0" t="s">
        <v>3072</v>
      </c>
      <c r="AA743" s="0" t="s">
        <v>4018</v>
      </c>
      <c r="AC743" s="0" t="s">
        <v>3862</v>
      </c>
    </row>
    <row r="744" customFormat="false" ht="15" hidden="false" customHeight="false" outlineLevel="0" collapsed="false">
      <c r="A744" s="0" t="s">
        <v>4019</v>
      </c>
      <c r="B744" s="0" t="s">
        <v>187</v>
      </c>
      <c r="C744" s="0" t="s">
        <v>3524</v>
      </c>
      <c r="D744" s="0" t="n">
        <v>2017</v>
      </c>
      <c r="E744" s="0" t="s">
        <v>4020</v>
      </c>
      <c r="F744" s="0" t="n">
        <v>319119</v>
      </c>
      <c r="G744" s="0" t="s">
        <v>3101</v>
      </c>
      <c r="H744" s="0" t="s">
        <v>3068</v>
      </c>
      <c r="I744" s="0" t="n">
        <v>319119</v>
      </c>
      <c r="J744" s="0" t="s">
        <v>3858</v>
      </c>
      <c r="L744" s="0" t="n">
        <v>2018</v>
      </c>
      <c r="M744" s="0" t="s">
        <v>2734</v>
      </c>
      <c r="N744" s="0" t="s">
        <v>191</v>
      </c>
      <c r="Q744" s="0" t="n">
        <v>99</v>
      </c>
      <c r="R744" s="0" t="n">
        <v>97</v>
      </c>
      <c r="Y744" s="0" t="s">
        <v>3071</v>
      </c>
      <c r="Z744" s="0" t="s">
        <v>3072</v>
      </c>
      <c r="AA744" s="0" t="s">
        <v>4021</v>
      </c>
      <c r="AC744" s="0" t="s">
        <v>3862</v>
      </c>
    </row>
    <row r="745" customFormat="false" ht="15" hidden="false" customHeight="false" outlineLevel="0" collapsed="false">
      <c r="A745" s="0" t="s">
        <v>4022</v>
      </c>
      <c r="B745" s="0" t="s">
        <v>187</v>
      </c>
      <c r="C745" s="0" t="s">
        <v>3524</v>
      </c>
      <c r="D745" s="0" t="n">
        <v>2018</v>
      </c>
      <c r="E745" s="0" t="s">
        <v>4023</v>
      </c>
      <c r="F745" s="0" t="n">
        <v>43252</v>
      </c>
      <c r="G745" s="0" t="s">
        <v>3101</v>
      </c>
      <c r="H745" s="0" t="s">
        <v>3068</v>
      </c>
      <c r="I745" s="0" t="n">
        <v>43252</v>
      </c>
      <c r="J745" s="0" t="s">
        <v>3858</v>
      </c>
      <c r="L745" s="0" t="n">
        <v>2018</v>
      </c>
      <c r="M745" s="0" t="s">
        <v>2734</v>
      </c>
      <c r="N745" s="0" t="s">
        <v>191</v>
      </c>
      <c r="Q745" s="0" t="n">
        <v>149</v>
      </c>
      <c r="R745" s="0" t="n">
        <v>149</v>
      </c>
      <c r="Y745" s="0" t="s">
        <v>3071</v>
      </c>
      <c r="Z745" s="0" t="s">
        <v>3072</v>
      </c>
      <c r="AA745" s="0" t="s">
        <v>4024</v>
      </c>
      <c r="AC745" s="0" t="s">
        <v>3862</v>
      </c>
    </row>
    <row r="746" customFormat="false" ht="15" hidden="false" customHeight="false" outlineLevel="0" collapsed="false">
      <c r="A746" s="0" t="s">
        <v>4025</v>
      </c>
      <c r="B746" s="0" t="s">
        <v>187</v>
      </c>
      <c r="C746" s="0" t="s">
        <v>3524</v>
      </c>
      <c r="D746" s="0" t="n">
        <v>2018</v>
      </c>
      <c r="E746" s="0" t="s">
        <v>4026</v>
      </c>
      <c r="F746" s="0" t="n">
        <v>133685</v>
      </c>
      <c r="G746" s="0" t="s">
        <v>3101</v>
      </c>
      <c r="H746" s="0" t="s">
        <v>3068</v>
      </c>
      <c r="I746" s="0" t="n">
        <v>133685</v>
      </c>
      <c r="J746" s="0" t="s">
        <v>3858</v>
      </c>
      <c r="L746" s="0" t="n">
        <v>2018</v>
      </c>
      <c r="M746" s="0" t="s">
        <v>2734</v>
      </c>
      <c r="N746" s="0" t="s">
        <v>191</v>
      </c>
      <c r="Q746" s="0" t="n">
        <v>149</v>
      </c>
      <c r="R746" s="0" t="n">
        <v>149</v>
      </c>
      <c r="Y746" s="0" t="s">
        <v>3071</v>
      </c>
      <c r="Z746" s="0" t="s">
        <v>3072</v>
      </c>
      <c r="AA746" s="0" t="s">
        <v>4027</v>
      </c>
      <c r="AC746" s="0" t="s">
        <v>3862</v>
      </c>
    </row>
    <row r="747" customFormat="false" ht="15" hidden="false" customHeight="false" outlineLevel="0" collapsed="false">
      <c r="A747" s="0" t="s">
        <v>4028</v>
      </c>
      <c r="B747" s="0" t="s">
        <v>187</v>
      </c>
      <c r="C747" s="0" t="s">
        <v>3524</v>
      </c>
      <c r="D747" s="0" t="n">
        <v>2018</v>
      </c>
      <c r="E747" s="0" t="s">
        <v>4029</v>
      </c>
      <c r="F747" s="0" t="n">
        <v>176937</v>
      </c>
      <c r="G747" s="0" t="s">
        <v>3101</v>
      </c>
      <c r="H747" s="0" t="s">
        <v>3068</v>
      </c>
      <c r="I747" s="0" t="n">
        <v>176937</v>
      </c>
      <c r="J747" s="0" t="s">
        <v>3858</v>
      </c>
      <c r="L747" s="0" t="n">
        <v>2018</v>
      </c>
      <c r="M747" s="0" t="s">
        <v>2734</v>
      </c>
      <c r="N747" s="0" t="s">
        <v>191</v>
      </c>
      <c r="Q747" s="0" t="n">
        <v>149</v>
      </c>
      <c r="R747" s="0" t="n">
        <v>149</v>
      </c>
      <c r="Y747" s="0" t="s">
        <v>3071</v>
      </c>
      <c r="Z747" s="0" t="s">
        <v>3072</v>
      </c>
      <c r="AA747" s="0" t="s">
        <v>4030</v>
      </c>
      <c r="AC747" s="0" t="s">
        <v>3862</v>
      </c>
    </row>
    <row r="748" customFormat="false" ht="15" hidden="false" customHeight="false" outlineLevel="0" collapsed="false">
      <c r="A748" s="0" t="s">
        <v>4031</v>
      </c>
      <c r="B748" s="0" t="s">
        <v>187</v>
      </c>
      <c r="C748" s="0" t="s">
        <v>3524</v>
      </c>
      <c r="D748" s="0" t="n">
        <v>2018</v>
      </c>
      <c r="E748" s="0" t="s">
        <v>4032</v>
      </c>
      <c r="F748" s="0" t="n">
        <v>-3732</v>
      </c>
      <c r="G748" s="0" t="s">
        <v>3101</v>
      </c>
      <c r="H748" s="0" t="s">
        <v>3068</v>
      </c>
      <c r="I748" s="0" t="n">
        <v>-3732</v>
      </c>
      <c r="J748" s="0" t="s">
        <v>3858</v>
      </c>
      <c r="L748" s="0" t="n">
        <v>2018</v>
      </c>
      <c r="M748" s="0" t="s">
        <v>2734</v>
      </c>
      <c r="N748" s="0" t="s">
        <v>191</v>
      </c>
      <c r="Q748" s="0" t="n">
        <v>149</v>
      </c>
      <c r="R748" s="0" t="n">
        <v>149</v>
      </c>
      <c r="Y748" s="0" t="s">
        <v>3071</v>
      </c>
      <c r="Z748" s="0" t="s">
        <v>3072</v>
      </c>
      <c r="AA748" s="0" t="s">
        <v>4033</v>
      </c>
      <c r="AC748" s="0" t="s">
        <v>3862</v>
      </c>
    </row>
    <row r="749" customFormat="false" ht="15" hidden="false" customHeight="false" outlineLevel="0" collapsed="false">
      <c r="A749" s="0" t="s">
        <v>4034</v>
      </c>
      <c r="B749" s="0" t="s">
        <v>187</v>
      </c>
      <c r="C749" s="0" t="s">
        <v>3524</v>
      </c>
      <c r="D749" s="0" t="n">
        <v>2018</v>
      </c>
      <c r="E749" s="0" t="s">
        <v>4035</v>
      </c>
      <c r="F749" s="0" t="n">
        <v>-132598</v>
      </c>
      <c r="G749" s="0" t="s">
        <v>3101</v>
      </c>
      <c r="H749" s="0" t="s">
        <v>3068</v>
      </c>
      <c r="I749" s="0" t="n">
        <v>-132598</v>
      </c>
      <c r="J749" s="0" t="s">
        <v>3858</v>
      </c>
      <c r="L749" s="0" t="n">
        <v>2018</v>
      </c>
      <c r="M749" s="0" t="s">
        <v>2734</v>
      </c>
      <c r="N749" s="0" t="s">
        <v>191</v>
      </c>
      <c r="Q749" s="0" t="n">
        <v>149</v>
      </c>
      <c r="R749" s="0" t="n">
        <v>149</v>
      </c>
      <c r="Y749" s="0" t="s">
        <v>3071</v>
      </c>
      <c r="Z749" s="0" t="s">
        <v>3072</v>
      </c>
      <c r="AA749" s="0" t="s">
        <v>4036</v>
      </c>
      <c r="AC749" s="0" t="s">
        <v>3862</v>
      </c>
    </row>
    <row r="750" customFormat="false" ht="15" hidden="false" customHeight="false" outlineLevel="0" collapsed="false">
      <c r="A750" s="0" t="s">
        <v>4037</v>
      </c>
      <c r="B750" s="0" t="s">
        <v>187</v>
      </c>
      <c r="C750" s="0" t="s">
        <v>3524</v>
      </c>
      <c r="D750" s="0" t="n">
        <v>2018</v>
      </c>
      <c r="E750" s="0" t="s">
        <v>4038</v>
      </c>
      <c r="F750" s="0" t="n">
        <v>4386</v>
      </c>
      <c r="G750" s="0" t="s">
        <v>3101</v>
      </c>
      <c r="H750" s="0" t="s">
        <v>3068</v>
      </c>
      <c r="I750" s="0" t="n">
        <v>4386</v>
      </c>
      <c r="J750" s="0" t="s">
        <v>3858</v>
      </c>
      <c r="L750" s="0" t="n">
        <v>2018</v>
      </c>
      <c r="M750" s="0" t="s">
        <v>2734</v>
      </c>
      <c r="N750" s="0" t="s">
        <v>191</v>
      </c>
      <c r="Q750" s="0" t="n">
        <v>149</v>
      </c>
      <c r="R750" s="0" t="n">
        <v>149</v>
      </c>
      <c r="Y750" s="0" t="s">
        <v>3071</v>
      </c>
      <c r="Z750" s="0" t="s">
        <v>3072</v>
      </c>
      <c r="AA750" s="0" t="s">
        <v>4039</v>
      </c>
      <c r="AC750" s="0" t="s">
        <v>3862</v>
      </c>
    </row>
    <row r="751" customFormat="false" ht="15" hidden="false" customHeight="false" outlineLevel="0" collapsed="false">
      <c r="A751" s="0" t="s">
        <v>4040</v>
      </c>
      <c r="B751" s="0" t="s">
        <v>187</v>
      </c>
      <c r="C751" s="0" t="s">
        <v>3524</v>
      </c>
      <c r="D751" s="0" t="n">
        <v>2018</v>
      </c>
      <c r="E751" s="0" t="s">
        <v>4041</v>
      </c>
      <c r="F751" s="0" t="n">
        <v>366</v>
      </c>
      <c r="G751" s="0" t="s">
        <v>3101</v>
      </c>
      <c r="H751" s="0" t="s">
        <v>3068</v>
      </c>
      <c r="I751" s="0" t="n">
        <v>366</v>
      </c>
      <c r="J751" s="0" t="s">
        <v>3858</v>
      </c>
      <c r="L751" s="0" t="n">
        <v>2018</v>
      </c>
      <c r="M751" s="0" t="s">
        <v>2734</v>
      </c>
      <c r="N751" s="0" t="s">
        <v>191</v>
      </c>
      <c r="Q751" s="0" t="n">
        <v>149</v>
      </c>
      <c r="R751" s="0" t="n">
        <v>149</v>
      </c>
      <c r="Y751" s="0" t="s">
        <v>3071</v>
      </c>
      <c r="Z751" s="0" t="s">
        <v>3072</v>
      </c>
      <c r="AA751" s="0" t="s">
        <v>4042</v>
      </c>
      <c r="AC751" s="0" t="s">
        <v>3862</v>
      </c>
    </row>
    <row r="752" customFormat="false" ht="15" hidden="false" customHeight="false" outlineLevel="0" collapsed="false">
      <c r="A752" s="0" t="s">
        <v>4043</v>
      </c>
      <c r="B752" s="0" t="s">
        <v>187</v>
      </c>
      <c r="C752" s="0" t="s">
        <v>3524</v>
      </c>
      <c r="D752" s="0" t="n">
        <v>2018</v>
      </c>
      <c r="E752" s="0" t="s">
        <v>4044</v>
      </c>
      <c r="F752" s="0" t="n">
        <v>496630</v>
      </c>
      <c r="G752" s="0" t="s">
        <v>3101</v>
      </c>
      <c r="H752" s="0" t="s">
        <v>3068</v>
      </c>
      <c r="I752" s="0" t="n">
        <v>496630</v>
      </c>
      <c r="J752" s="0" t="s">
        <v>3858</v>
      </c>
      <c r="L752" s="0" t="n">
        <v>2019</v>
      </c>
      <c r="M752" s="0" t="s">
        <v>3031</v>
      </c>
      <c r="N752" s="0" t="s">
        <v>3030</v>
      </c>
      <c r="Q752" s="0" t="n">
        <v>91</v>
      </c>
      <c r="R752" s="0" t="n">
        <v>90</v>
      </c>
      <c r="Y752" s="0" t="s">
        <v>3071</v>
      </c>
      <c r="Z752" s="0" t="s">
        <v>3072</v>
      </c>
      <c r="AA752" s="0" t="s">
        <v>4045</v>
      </c>
      <c r="AC752" s="0" t="s">
        <v>3862</v>
      </c>
    </row>
    <row r="753" customFormat="false" ht="15" hidden="false" customHeight="false" outlineLevel="0" collapsed="false">
      <c r="A753" s="0" t="s">
        <v>4046</v>
      </c>
      <c r="B753" s="0" t="s">
        <v>187</v>
      </c>
      <c r="C753" s="0" t="s">
        <v>3524</v>
      </c>
      <c r="D753" s="0" t="n">
        <v>2018</v>
      </c>
      <c r="E753" s="0" t="s">
        <v>4047</v>
      </c>
      <c r="F753" s="0" t="n">
        <v>68593</v>
      </c>
      <c r="G753" s="0" t="s">
        <v>3101</v>
      </c>
      <c r="H753" s="0" t="s">
        <v>3068</v>
      </c>
      <c r="I753" s="0" t="n">
        <v>68593</v>
      </c>
      <c r="J753" s="0" t="s">
        <v>3858</v>
      </c>
      <c r="L753" s="0" t="n">
        <v>2019</v>
      </c>
      <c r="M753" s="0" t="s">
        <v>3031</v>
      </c>
      <c r="N753" s="0" t="s">
        <v>3030</v>
      </c>
      <c r="Q753" s="0" t="n">
        <v>91</v>
      </c>
      <c r="R753" s="0" t="n">
        <v>90</v>
      </c>
      <c r="Y753" s="0" t="s">
        <v>3071</v>
      </c>
      <c r="Z753" s="0" t="s">
        <v>3072</v>
      </c>
      <c r="AA753" s="0" t="s">
        <v>4045</v>
      </c>
      <c r="AC753" s="0" t="s">
        <v>3862</v>
      </c>
    </row>
    <row r="754" customFormat="false" ht="15" hidden="false" customHeight="false" outlineLevel="0" collapsed="false">
      <c r="A754" s="0" t="s">
        <v>4048</v>
      </c>
      <c r="B754" s="0" t="s">
        <v>187</v>
      </c>
      <c r="C754" s="0" t="s">
        <v>3524</v>
      </c>
      <c r="D754" s="0" t="n">
        <v>2018</v>
      </c>
      <c r="E754" s="0" t="s">
        <v>4049</v>
      </c>
      <c r="F754" s="0" t="n">
        <v>23234</v>
      </c>
      <c r="G754" s="0" t="s">
        <v>3101</v>
      </c>
      <c r="H754" s="0" t="s">
        <v>3068</v>
      </c>
      <c r="I754" s="0" t="n">
        <v>23234</v>
      </c>
      <c r="J754" s="0" t="s">
        <v>3858</v>
      </c>
      <c r="L754" s="0" t="n">
        <v>2019</v>
      </c>
      <c r="M754" s="0" t="s">
        <v>3031</v>
      </c>
      <c r="N754" s="0" t="s">
        <v>3030</v>
      </c>
      <c r="Q754" s="0" t="n">
        <v>91</v>
      </c>
      <c r="R754" s="0" t="n">
        <v>90</v>
      </c>
      <c r="Y754" s="0" t="s">
        <v>3071</v>
      </c>
      <c r="Z754" s="0" t="s">
        <v>3072</v>
      </c>
      <c r="AA754" s="0" t="s">
        <v>4050</v>
      </c>
      <c r="AC754" s="0" t="s">
        <v>3862</v>
      </c>
    </row>
    <row r="755" customFormat="false" ht="15" hidden="false" customHeight="false" outlineLevel="0" collapsed="false">
      <c r="A755" s="0" t="s">
        <v>4051</v>
      </c>
      <c r="B755" s="0" t="s">
        <v>187</v>
      </c>
      <c r="C755" s="0" t="s">
        <v>3524</v>
      </c>
      <c r="D755" s="0" t="n">
        <v>2018</v>
      </c>
      <c r="E755" s="0" t="s">
        <v>4052</v>
      </c>
      <c r="F755" s="0" t="n">
        <v>496820</v>
      </c>
      <c r="G755" s="0" t="s">
        <v>3101</v>
      </c>
      <c r="H755" s="0" t="s">
        <v>3068</v>
      </c>
      <c r="I755" s="0" t="n">
        <v>496820</v>
      </c>
      <c r="J755" s="0" t="s">
        <v>3858</v>
      </c>
      <c r="L755" s="0" t="n">
        <v>2019</v>
      </c>
      <c r="M755" s="0" t="s">
        <v>3031</v>
      </c>
      <c r="N755" s="0" t="s">
        <v>3030</v>
      </c>
      <c r="Q755" s="0" t="n">
        <v>144</v>
      </c>
      <c r="R755" s="0" t="n">
        <v>143</v>
      </c>
      <c r="Y755" s="0" t="s">
        <v>3071</v>
      </c>
      <c r="Z755" s="0" t="s">
        <v>3072</v>
      </c>
      <c r="AA755" s="0" t="s">
        <v>4053</v>
      </c>
      <c r="AC755" s="0" t="s">
        <v>3862</v>
      </c>
    </row>
    <row r="756" customFormat="false" ht="15" hidden="false" customHeight="false" outlineLevel="0" collapsed="false">
      <c r="A756" s="0" t="s">
        <v>4054</v>
      </c>
      <c r="B756" s="0" t="s">
        <v>187</v>
      </c>
      <c r="C756" s="0" t="s">
        <v>3524</v>
      </c>
      <c r="D756" s="0" t="n">
        <v>2018</v>
      </c>
      <c r="E756" s="0" t="s">
        <v>4055</v>
      </c>
      <c r="F756" s="0" t="n">
        <v>68783</v>
      </c>
      <c r="G756" s="0" t="s">
        <v>3101</v>
      </c>
      <c r="H756" s="0" t="s">
        <v>3068</v>
      </c>
      <c r="I756" s="0" t="n">
        <v>68783</v>
      </c>
      <c r="J756" s="0" t="s">
        <v>3858</v>
      </c>
      <c r="L756" s="0" t="n">
        <v>2019</v>
      </c>
      <c r="M756" s="0" t="s">
        <v>3031</v>
      </c>
      <c r="N756" s="0" t="s">
        <v>3030</v>
      </c>
      <c r="Q756" s="0" t="n">
        <v>144</v>
      </c>
      <c r="R756" s="0" t="n">
        <v>143</v>
      </c>
      <c r="Y756" s="0" t="s">
        <v>3071</v>
      </c>
      <c r="Z756" s="0" t="s">
        <v>3072</v>
      </c>
      <c r="AA756" s="0" t="s">
        <v>4053</v>
      </c>
      <c r="AC756" s="0" t="s">
        <v>3862</v>
      </c>
    </row>
    <row r="757" customFormat="false" ht="15" hidden="false" customHeight="false" outlineLevel="0" collapsed="false">
      <c r="A757" s="0" t="s">
        <v>4056</v>
      </c>
      <c r="B757" s="0" t="s">
        <v>187</v>
      </c>
      <c r="C757" s="0" t="s">
        <v>3524</v>
      </c>
      <c r="D757" s="0" t="n">
        <v>2018</v>
      </c>
      <c r="E757" s="0" t="s">
        <v>4057</v>
      </c>
      <c r="F757" s="0" t="n">
        <v>260044</v>
      </c>
      <c r="G757" s="0" t="s">
        <v>3101</v>
      </c>
      <c r="H757" s="0" t="s">
        <v>3068</v>
      </c>
      <c r="I757" s="0" t="n">
        <v>260044</v>
      </c>
      <c r="J757" s="0" t="s">
        <v>3858</v>
      </c>
      <c r="L757" s="0" t="n">
        <v>2018</v>
      </c>
      <c r="M757" s="0" t="s">
        <v>2734</v>
      </c>
      <c r="N757" s="0" t="s">
        <v>191</v>
      </c>
      <c r="Q757" s="0" t="n">
        <v>149</v>
      </c>
      <c r="R757" s="0" t="n">
        <v>149</v>
      </c>
      <c r="Y757" s="0" t="s">
        <v>3071</v>
      </c>
      <c r="Z757" s="0" t="s">
        <v>3072</v>
      </c>
      <c r="AA757" s="0" t="s">
        <v>4058</v>
      </c>
      <c r="AC757" s="0" t="s">
        <v>3862</v>
      </c>
    </row>
    <row r="758" customFormat="false" ht="15" hidden="false" customHeight="false" outlineLevel="0" collapsed="false">
      <c r="A758" s="0" t="s">
        <v>4059</v>
      </c>
      <c r="B758" s="0" t="s">
        <v>187</v>
      </c>
      <c r="C758" s="0" t="s">
        <v>3524</v>
      </c>
      <c r="D758" s="0" t="n">
        <v>2018</v>
      </c>
      <c r="E758" s="0" t="s">
        <v>4060</v>
      </c>
      <c r="F758" s="0" t="n">
        <v>90024</v>
      </c>
      <c r="G758" s="0" t="s">
        <v>3101</v>
      </c>
      <c r="H758" s="0" t="s">
        <v>3068</v>
      </c>
      <c r="I758" s="0" t="n">
        <v>90024</v>
      </c>
      <c r="J758" s="0" t="s">
        <v>3858</v>
      </c>
      <c r="L758" s="0" t="n">
        <v>2018</v>
      </c>
      <c r="M758" s="0" t="s">
        <v>2734</v>
      </c>
      <c r="N758" s="0" t="s">
        <v>191</v>
      </c>
      <c r="Q758" s="0" t="n">
        <v>149</v>
      </c>
      <c r="R758" s="0" t="n">
        <v>149</v>
      </c>
      <c r="Y758" s="0" t="s">
        <v>3071</v>
      </c>
      <c r="Z758" s="0" t="s">
        <v>3072</v>
      </c>
      <c r="AA758" s="0" t="s">
        <v>4058</v>
      </c>
      <c r="AC758" s="0" t="s">
        <v>3862</v>
      </c>
    </row>
    <row r="759" customFormat="false" ht="15" hidden="false" customHeight="false" outlineLevel="0" collapsed="false">
      <c r="A759" s="0" t="s">
        <v>4061</v>
      </c>
      <c r="B759" s="0" t="s">
        <v>187</v>
      </c>
      <c r="C759" s="0" t="s">
        <v>3524</v>
      </c>
      <c r="D759" s="0" t="n">
        <v>2018</v>
      </c>
      <c r="E759" s="0" t="s">
        <v>4062</v>
      </c>
      <c r="F759" s="0" t="n">
        <v>8822</v>
      </c>
      <c r="G759" s="0" t="s">
        <v>3101</v>
      </c>
      <c r="H759" s="0" t="s">
        <v>3068</v>
      </c>
      <c r="I759" s="0" t="n">
        <v>8822</v>
      </c>
      <c r="J759" s="0" t="s">
        <v>3858</v>
      </c>
      <c r="L759" s="0" t="n">
        <v>2018</v>
      </c>
      <c r="M759" s="0" t="s">
        <v>2734</v>
      </c>
      <c r="N759" s="0" t="s">
        <v>191</v>
      </c>
      <c r="Q759" s="0" t="n">
        <v>149</v>
      </c>
      <c r="R759" s="0" t="n">
        <v>149</v>
      </c>
      <c r="Y759" s="0" t="s">
        <v>3071</v>
      </c>
      <c r="Z759" s="0" t="s">
        <v>3072</v>
      </c>
      <c r="AA759" s="0" t="s">
        <v>4058</v>
      </c>
      <c r="AC759" s="0" t="s">
        <v>3862</v>
      </c>
    </row>
    <row r="760" customFormat="false" ht="15" hidden="false" customHeight="false" outlineLevel="0" collapsed="false">
      <c r="A760" s="0" t="s">
        <v>4063</v>
      </c>
      <c r="B760" s="0" t="s">
        <v>187</v>
      </c>
      <c r="C760" s="0" t="s">
        <v>3524</v>
      </c>
      <c r="D760" s="0" t="n">
        <v>2018</v>
      </c>
      <c r="E760" s="0" t="s">
        <v>4064</v>
      </c>
      <c r="F760" s="0" t="n">
        <v>6388</v>
      </c>
      <c r="G760" s="0" t="s">
        <v>3101</v>
      </c>
      <c r="H760" s="0" t="s">
        <v>3068</v>
      </c>
      <c r="I760" s="0" t="n">
        <v>6388</v>
      </c>
      <c r="J760" s="0" t="s">
        <v>3858</v>
      </c>
      <c r="L760" s="0" t="n">
        <v>2018</v>
      </c>
      <c r="M760" s="0" t="s">
        <v>2734</v>
      </c>
      <c r="N760" s="0" t="s">
        <v>191</v>
      </c>
      <c r="Q760" s="0" t="n">
        <v>149</v>
      </c>
      <c r="R760" s="0" t="n">
        <v>149</v>
      </c>
      <c r="Y760" s="0" t="s">
        <v>3071</v>
      </c>
      <c r="Z760" s="0" t="s">
        <v>3072</v>
      </c>
      <c r="AA760" s="0" t="s">
        <v>4058</v>
      </c>
      <c r="AC760" s="0" t="s">
        <v>3862</v>
      </c>
    </row>
    <row r="761" customFormat="false" ht="15" hidden="false" customHeight="false" outlineLevel="0" collapsed="false">
      <c r="A761" s="0" t="s">
        <v>4065</v>
      </c>
      <c r="B761" s="0" t="s">
        <v>187</v>
      </c>
      <c r="C761" s="0" t="s">
        <v>3524</v>
      </c>
      <c r="D761" s="0" t="n">
        <v>2019</v>
      </c>
      <c r="E761" s="0" t="s">
        <v>4066</v>
      </c>
      <c r="F761" s="0" t="n">
        <v>-9342</v>
      </c>
      <c r="G761" s="0" t="s">
        <v>3101</v>
      </c>
      <c r="H761" s="0" t="s">
        <v>3068</v>
      </c>
      <c r="I761" s="0" t="n">
        <v>-9342</v>
      </c>
      <c r="J761" s="0" t="s">
        <v>3858</v>
      </c>
      <c r="L761" s="0" t="n">
        <v>2020</v>
      </c>
      <c r="M761" s="0" t="s">
        <v>2735</v>
      </c>
      <c r="N761" s="0" t="s">
        <v>195</v>
      </c>
      <c r="Q761" s="0" t="n">
        <v>59</v>
      </c>
      <c r="R761" s="0" t="n">
        <v>57</v>
      </c>
      <c r="Y761" s="0" t="s">
        <v>3071</v>
      </c>
      <c r="Z761" s="0" t="s">
        <v>3072</v>
      </c>
      <c r="AA761" s="0" t="s">
        <v>4067</v>
      </c>
      <c r="AC761" s="0" t="s">
        <v>3862</v>
      </c>
    </row>
    <row r="762" customFormat="false" ht="15" hidden="false" customHeight="false" outlineLevel="0" collapsed="false">
      <c r="A762" s="0" t="s">
        <v>4068</v>
      </c>
      <c r="B762" s="0" t="s">
        <v>187</v>
      </c>
      <c r="C762" s="0" t="s">
        <v>3524</v>
      </c>
      <c r="D762" s="0" t="n">
        <v>2019</v>
      </c>
      <c r="E762" s="0" t="s">
        <v>4069</v>
      </c>
      <c r="F762" s="0" t="n">
        <v>9480</v>
      </c>
      <c r="G762" s="0" t="s">
        <v>3101</v>
      </c>
      <c r="H762" s="0" t="s">
        <v>3068</v>
      </c>
      <c r="I762" s="0" t="n">
        <v>9480</v>
      </c>
      <c r="J762" s="0" t="s">
        <v>3858</v>
      </c>
      <c r="L762" s="0" t="n">
        <v>2020</v>
      </c>
      <c r="M762" s="0" t="s">
        <v>2735</v>
      </c>
      <c r="N762" s="0" t="s">
        <v>195</v>
      </c>
      <c r="Q762" s="0" t="n">
        <v>59</v>
      </c>
      <c r="R762" s="0" t="n">
        <v>57</v>
      </c>
      <c r="Y762" s="0" t="s">
        <v>3071</v>
      </c>
      <c r="Z762" s="0" t="s">
        <v>3072</v>
      </c>
      <c r="AA762" s="0" t="s">
        <v>4070</v>
      </c>
      <c r="AC762" s="0" t="s">
        <v>3862</v>
      </c>
    </row>
    <row r="763" customFormat="false" ht="15" hidden="false" customHeight="false" outlineLevel="0" collapsed="false">
      <c r="A763" s="0" t="s">
        <v>4071</v>
      </c>
      <c r="B763" s="0" t="s">
        <v>187</v>
      </c>
      <c r="C763" s="0" t="s">
        <v>3524</v>
      </c>
      <c r="D763" s="0" t="n">
        <v>2020</v>
      </c>
      <c r="E763" s="0" t="s">
        <v>4066</v>
      </c>
      <c r="F763" s="0" t="n">
        <v>-2401</v>
      </c>
      <c r="G763" s="0" t="s">
        <v>3101</v>
      </c>
      <c r="H763" s="0" t="s">
        <v>3068</v>
      </c>
      <c r="I763" s="0" t="n">
        <v>-2401</v>
      </c>
      <c r="J763" s="0" t="s">
        <v>3858</v>
      </c>
      <c r="L763" s="0" t="n">
        <v>2020</v>
      </c>
      <c r="M763" s="0" t="s">
        <v>2735</v>
      </c>
      <c r="N763" s="0" t="s">
        <v>195</v>
      </c>
      <c r="Q763" s="0" t="n">
        <v>59</v>
      </c>
      <c r="R763" s="0" t="n">
        <v>57</v>
      </c>
      <c r="Y763" s="0" t="s">
        <v>3071</v>
      </c>
      <c r="Z763" s="0" t="s">
        <v>3072</v>
      </c>
      <c r="AA763" s="0" t="s">
        <v>4072</v>
      </c>
      <c r="AC763" s="0" t="s">
        <v>3862</v>
      </c>
    </row>
    <row r="764" customFormat="false" ht="15" hidden="false" customHeight="false" outlineLevel="0" collapsed="false">
      <c r="A764" s="0" t="s">
        <v>4073</v>
      </c>
      <c r="B764" s="0" t="s">
        <v>187</v>
      </c>
      <c r="C764" s="0" t="s">
        <v>3524</v>
      </c>
      <c r="D764" s="0" t="n">
        <v>2020</v>
      </c>
      <c r="E764" s="0" t="s">
        <v>4074</v>
      </c>
      <c r="F764" s="0" t="n">
        <v>-2335</v>
      </c>
      <c r="G764" s="0" t="s">
        <v>3101</v>
      </c>
      <c r="H764" s="0" t="s">
        <v>3068</v>
      </c>
      <c r="I764" s="0" t="n">
        <v>-2335</v>
      </c>
      <c r="J764" s="0" t="s">
        <v>3858</v>
      </c>
      <c r="L764" s="0" t="n">
        <v>2020</v>
      </c>
      <c r="M764" s="0" t="s">
        <v>2735</v>
      </c>
      <c r="N764" s="0" t="s">
        <v>195</v>
      </c>
      <c r="Q764" s="0" t="n">
        <v>143</v>
      </c>
      <c r="R764" s="0" t="n">
        <v>141</v>
      </c>
      <c r="Y764" s="0" t="s">
        <v>3071</v>
      </c>
      <c r="Z764" s="0" t="s">
        <v>3072</v>
      </c>
      <c r="AA764" s="0" t="s">
        <v>4075</v>
      </c>
      <c r="AC764" s="0" t="s">
        <v>3862</v>
      </c>
    </row>
    <row r="765" customFormat="false" ht="15" hidden="false" customHeight="false" outlineLevel="0" collapsed="false">
      <c r="A765" s="0" t="s">
        <v>4076</v>
      </c>
      <c r="B765" s="0" t="s">
        <v>187</v>
      </c>
      <c r="C765" s="0" t="s">
        <v>3524</v>
      </c>
      <c r="D765" s="0" t="n">
        <v>2021</v>
      </c>
      <c r="E765" s="0" t="s">
        <v>4066</v>
      </c>
      <c r="F765" s="0" t="n">
        <v>157</v>
      </c>
      <c r="G765" s="0" t="s">
        <v>3101</v>
      </c>
      <c r="H765" s="0" t="s">
        <v>3068</v>
      </c>
      <c r="I765" s="0" t="n">
        <v>157</v>
      </c>
      <c r="J765" s="0" t="s">
        <v>3858</v>
      </c>
      <c r="L765" s="0" t="n">
        <v>2022</v>
      </c>
      <c r="M765" s="0" t="s">
        <v>2737</v>
      </c>
      <c r="N765" s="0" t="s">
        <v>198</v>
      </c>
      <c r="Q765" s="0" t="n">
        <v>65</v>
      </c>
      <c r="R765" s="0" t="n">
        <v>65</v>
      </c>
      <c r="Y765" s="0" t="s">
        <v>3071</v>
      </c>
      <c r="Z765" s="0" t="s">
        <v>3072</v>
      </c>
      <c r="AA765" s="0" t="s">
        <v>4077</v>
      </c>
      <c r="AC765" s="0" t="s">
        <v>3862</v>
      </c>
    </row>
    <row r="766" customFormat="false" ht="15" hidden="false" customHeight="false" outlineLevel="0" collapsed="false">
      <c r="A766" s="0" t="s">
        <v>4078</v>
      </c>
      <c r="B766" s="0" t="s">
        <v>187</v>
      </c>
      <c r="C766" s="0" t="s">
        <v>3524</v>
      </c>
      <c r="D766" s="0" t="n">
        <v>2021</v>
      </c>
      <c r="E766" s="0" t="s">
        <v>4079</v>
      </c>
      <c r="F766" s="0" t="n">
        <v>156</v>
      </c>
      <c r="G766" s="0" t="s">
        <v>3101</v>
      </c>
      <c r="H766" s="0" t="s">
        <v>3068</v>
      </c>
      <c r="I766" s="0" t="n">
        <v>156</v>
      </c>
      <c r="J766" s="0" t="s">
        <v>3858</v>
      </c>
      <c r="L766" s="0" t="n">
        <v>2022</v>
      </c>
      <c r="M766" s="0" t="s">
        <v>2737</v>
      </c>
      <c r="N766" s="0" t="s">
        <v>198</v>
      </c>
      <c r="Q766" s="0" t="n">
        <v>160</v>
      </c>
      <c r="R766" s="0" t="n">
        <v>160</v>
      </c>
      <c r="Y766" s="0" t="s">
        <v>3071</v>
      </c>
      <c r="Z766" s="0" t="s">
        <v>3072</v>
      </c>
      <c r="AA766" s="0" t="s">
        <v>4080</v>
      </c>
      <c r="AC766" s="0" t="s">
        <v>3862</v>
      </c>
    </row>
    <row r="767" customFormat="false" ht="15" hidden="false" customHeight="false" outlineLevel="0" collapsed="false">
      <c r="A767" s="0" t="s">
        <v>4081</v>
      </c>
      <c r="B767" s="0" t="s">
        <v>187</v>
      </c>
      <c r="C767" s="0" t="s">
        <v>3524</v>
      </c>
      <c r="D767" s="0" t="n">
        <v>2022</v>
      </c>
      <c r="E767" s="0" t="s">
        <v>4066</v>
      </c>
      <c r="F767" s="0" t="n">
        <v>3205</v>
      </c>
      <c r="G767" s="0" t="s">
        <v>3101</v>
      </c>
      <c r="H767" s="0" t="s">
        <v>3068</v>
      </c>
      <c r="I767" s="0" t="n">
        <v>3205</v>
      </c>
      <c r="J767" s="0" t="s">
        <v>3858</v>
      </c>
      <c r="L767" s="0" t="n">
        <v>2022</v>
      </c>
      <c r="M767" s="0" t="s">
        <v>2737</v>
      </c>
      <c r="N767" s="0" t="s">
        <v>198</v>
      </c>
      <c r="Q767" s="0" t="n">
        <v>65</v>
      </c>
      <c r="R767" s="0" t="n">
        <v>65</v>
      </c>
      <c r="Y767" s="0" t="s">
        <v>3071</v>
      </c>
      <c r="Z767" s="0" t="s">
        <v>3072</v>
      </c>
      <c r="AA767" s="0" t="s">
        <v>4082</v>
      </c>
      <c r="AC767" s="0" t="s">
        <v>3862</v>
      </c>
    </row>
    <row r="768" customFormat="false" ht="15" hidden="false" customHeight="false" outlineLevel="0" collapsed="false">
      <c r="A768" s="0" t="s">
        <v>4083</v>
      </c>
      <c r="B768" s="0" t="s">
        <v>187</v>
      </c>
      <c r="C768" s="0" t="s">
        <v>3524</v>
      </c>
      <c r="D768" s="0" t="n">
        <v>2022</v>
      </c>
      <c r="E768" s="0" t="s">
        <v>4079</v>
      </c>
      <c r="F768" s="0" t="n">
        <v>3210</v>
      </c>
      <c r="G768" s="0" t="s">
        <v>3101</v>
      </c>
      <c r="H768" s="0" t="s">
        <v>3068</v>
      </c>
      <c r="I768" s="0" t="n">
        <v>3210</v>
      </c>
      <c r="J768" s="0" t="s">
        <v>3858</v>
      </c>
      <c r="L768" s="0" t="n">
        <v>2022</v>
      </c>
      <c r="M768" s="0" t="s">
        <v>2737</v>
      </c>
      <c r="N768" s="0" t="s">
        <v>198</v>
      </c>
      <c r="Q768" s="0" t="n">
        <v>160</v>
      </c>
      <c r="R768" s="0" t="n">
        <v>160</v>
      </c>
      <c r="Y768" s="0" t="s">
        <v>3071</v>
      </c>
      <c r="Z768" s="0" t="s">
        <v>3072</v>
      </c>
      <c r="AA768" s="0" t="s">
        <v>4084</v>
      </c>
      <c r="AC768" s="0" t="s">
        <v>3862</v>
      </c>
    </row>
    <row r="769" customFormat="false" ht="15" hidden="false" customHeight="false" outlineLevel="0" collapsed="false">
      <c r="A769" s="0" t="s">
        <v>4085</v>
      </c>
      <c r="B769" s="0" t="s">
        <v>187</v>
      </c>
      <c r="C769" s="0" t="s">
        <v>3524</v>
      </c>
      <c r="D769" s="0" t="n">
        <v>2022</v>
      </c>
      <c r="E769" s="0" t="s">
        <v>4086</v>
      </c>
      <c r="F769" s="0" t="n">
        <v>22610</v>
      </c>
      <c r="G769" s="0" t="s">
        <v>3101</v>
      </c>
      <c r="H769" s="0" t="s">
        <v>3068</v>
      </c>
      <c r="I769" s="0" t="n">
        <v>22610</v>
      </c>
      <c r="J769" s="0" t="s">
        <v>3858</v>
      </c>
      <c r="L769" s="0" t="n">
        <v>2022</v>
      </c>
      <c r="M769" s="0" t="s">
        <v>2737</v>
      </c>
      <c r="N769" s="0" t="s">
        <v>198</v>
      </c>
      <c r="Q769" s="0" t="n">
        <v>161</v>
      </c>
      <c r="R769" s="0" t="n">
        <v>161</v>
      </c>
      <c r="Y769" s="0" t="s">
        <v>3071</v>
      </c>
      <c r="Z769" s="0" t="s">
        <v>3072</v>
      </c>
      <c r="AA769" s="0" t="s">
        <v>4087</v>
      </c>
      <c r="AC769" s="0" t="s">
        <v>3862</v>
      </c>
    </row>
    <row r="770" customFormat="false" ht="15" hidden="false" customHeight="false" outlineLevel="0" collapsed="false">
      <c r="A770" s="0" t="s">
        <v>4088</v>
      </c>
      <c r="B770" s="0" t="s">
        <v>187</v>
      </c>
      <c r="C770" s="0" t="s">
        <v>3524</v>
      </c>
      <c r="D770" s="0" t="n">
        <v>2022</v>
      </c>
      <c r="E770" s="0" t="s">
        <v>4089</v>
      </c>
      <c r="F770" s="0" t="n">
        <v>22496</v>
      </c>
      <c r="G770" s="0" t="s">
        <v>3101</v>
      </c>
      <c r="H770" s="0" t="s">
        <v>3068</v>
      </c>
      <c r="I770" s="0" t="n">
        <v>22496</v>
      </c>
      <c r="J770" s="0" t="s">
        <v>3858</v>
      </c>
      <c r="L770" s="0" t="n">
        <v>2022</v>
      </c>
      <c r="M770" s="0" t="s">
        <v>2737</v>
      </c>
      <c r="N770" s="0" t="s">
        <v>198</v>
      </c>
      <c r="Q770" s="0" t="n">
        <v>160</v>
      </c>
      <c r="R770" s="0" t="n">
        <v>160</v>
      </c>
      <c r="Y770" s="0" t="s">
        <v>3071</v>
      </c>
      <c r="Z770" s="0" t="s">
        <v>3072</v>
      </c>
      <c r="AA770" s="0" t="s">
        <v>4090</v>
      </c>
      <c r="AC770" s="0" t="s">
        <v>3862</v>
      </c>
    </row>
    <row r="771" customFormat="false" ht="15" hidden="false" customHeight="false" outlineLevel="0" collapsed="false">
      <c r="A771" s="0" t="s">
        <v>4091</v>
      </c>
      <c r="B771" s="0" t="s">
        <v>187</v>
      </c>
      <c r="C771" s="0" t="s">
        <v>3524</v>
      </c>
      <c r="D771" s="0" t="n">
        <v>2022</v>
      </c>
      <c r="E771" s="0" t="s">
        <v>4092</v>
      </c>
      <c r="F771" s="0" t="n">
        <v>16470</v>
      </c>
      <c r="G771" s="0" t="s">
        <v>3101</v>
      </c>
      <c r="H771" s="0" t="s">
        <v>3068</v>
      </c>
      <c r="I771" s="0" t="n">
        <v>16470</v>
      </c>
      <c r="J771" s="0" t="s">
        <v>3858</v>
      </c>
      <c r="L771" s="0" t="n">
        <v>2022</v>
      </c>
      <c r="M771" s="0" t="s">
        <v>2737</v>
      </c>
      <c r="N771" s="0" t="s">
        <v>198</v>
      </c>
      <c r="Q771" s="0" t="n">
        <v>135</v>
      </c>
      <c r="R771" s="0" t="n">
        <v>135</v>
      </c>
      <c r="Y771" s="0" t="s">
        <v>3071</v>
      </c>
      <c r="Z771" s="0" t="s">
        <v>3072</v>
      </c>
      <c r="AA771" s="0" t="s">
        <v>4093</v>
      </c>
      <c r="AC771" s="0" t="s">
        <v>3862</v>
      </c>
    </row>
    <row r="772" customFormat="false" ht="15" hidden="false" customHeight="false" outlineLevel="0" collapsed="false">
      <c r="A772" s="0" t="s">
        <v>4094</v>
      </c>
      <c r="B772" s="0" t="s">
        <v>187</v>
      </c>
      <c r="C772" s="0" t="s">
        <v>3524</v>
      </c>
      <c r="D772" s="0" t="n">
        <v>2019</v>
      </c>
      <c r="E772" s="0" t="s">
        <v>4095</v>
      </c>
      <c r="F772" s="0" t="n">
        <v>51</v>
      </c>
      <c r="G772" s="0" t="s">
        <v>3143</v>
      </c>
      <c r="I772" s="0" t="n">
        <v>51</v>
      </c>
      <c r="J772" s="0" t="s">
        <v>4096</v>
      </c>
      <c r="L772" s="0" t="n">
        <v>2020</v>
      </c>
      <c r="M772" s="0" t="s">
        <v>2735</v>
      </c>
      <c r="N772" s="0" t="s">
        <v>195</v>
      </c>
      <c r="Q772" s="0" t="n">
        <v>103</v>
      </c>
      <c r="R772" s="0" t="n">
        <v>101</v>
      </c>
      <c r="Y772" s="0" t="s">
        <v>3071</v>
      </c>
      <c r="Z772" s="0" t="s">
        <v>3072</v>
      </c>
      <c r="AA772" s="0" t="s">
        <v>4097</v>
      </c>
      <c r="AC772" s="0" t="s">
        <v>3862</v>
      </c>
    </row>
    <row r="773" customFormat="false" ht="15" hidden="false" customHeight="false" outlineLevel="0" collapsed="false">
      <c r="A773" s="0" t="s">
        <v>4098</v>
      </c>
      <c r="B773" s="0" t="s">
        <v>187</v>
      </c>
      <c r="C773" s="0" t="s">
        <v>3524</v>
      </c>
      <c r="D773" s="0" t="n">
        <v>2020</v>
      </c>
      <c r="E773" s="0" t="s">
        <v>4095</v>
      </c>
      <c r="F773" s="0" t="n">
        <v>41</v>
      </c>
      <c r="G773" s="0" t="s">
        <v>3143</v>
      </c>
      <c r="I773" s="0" t="n">
        <v>41</v>
      </c>
      <c r="J773" s="0" t="s">
        <v>4096</v>
      </c>
      <c r="L773" s="0" t="n">
        <v>2020</v>
      </c>
      <c r="M773" s="0" t="s">
        <v>2735</v>
      </c>
      <c r="N773" s="0" t="s">
        <v>195</v>
      </c>
      <c r="Q773" s="0" t="n">
        <v>103</v>
      </c>
      <c r="R773" s="0" t="n">
        <v>101</v>
      </c>
      <c r="Y773" s="0" t="s">
        <v>3071</v>
      </c>
      <c r="Z773" s="0" t="s">
        <v>3072</v>
      </c>
      <c r="AA773" s="0" t="s">
        <v>4097</v>
      </c>
      <c r="AC773" s="0" t="s">
        <v>3862</v>
      </c>
    </row>
    <row r="774" customFormat="false" ht="15" hidden="false" customHeight="false" outlineLevel="0" collapsed="false">
      <c r="A774" s="0" t="s">
        <v>4099</v>
      </c>
      <c r="B774" s="0" t="s">
        <v>187</v>
      </c>
      <c r="C774" s="0" t="s">
        <v>3524</v>
      </c>
      <c r="D774" s="0" t="n">
        <v>2021</v>
      </c>
      <c r="E774" s="0" t="s">
        <v>4095</v>
      </c>
      <c r="F774" s="0" t="n">
        <v>35</v>
      </c>
      <c r="G774" s="0" t="s">
        <v>3143</v>
      </c>
      <c r="I774" s="0" t="n">
        <v>35</v>
      </c>
      <c r="J774" s="0" t="s">
        <v>4096</v>
      </c>
      <c r="L774" s="0" t="n">
        <v>2022</v>
      </c>
      <c r="M774" s="0" t="s">
        <v>2737</v>
      </c>
      <c r="N774" s="0" t="s">
        <v>198</v>
      </c>
      <c r="Q774" s="0" t="n">
        <v>122</v>
      </c>
      <c r="R774" s="0" t="n">
        <v>122</v>
      </c>
      <c r="Y774" s="0" t="s">
        <v>3071</v>
      </c>
      <c r="Z774" s="0" t="s">
        <v>3072</v>
      </c>
      <c r="AA774" s="0" t="s">
        <v>4097</v>
      </c>
      <c r="AC774" s="0" t="s">
        <v>3862</v>
      </c>
    </row>
    <row r="775" customFormat="false" ht="15" hidden="false" customHeight="false" outlineLevel="0" collapsed="false">
      <c r="A775" s="0" t="s">
        <v>4100</v>
      </c>
      <c r="B775" s="0" t="s">
        <v>187</v>
      </c>
      <c r="C775" s="0" t="s">
        <v>3524</v>
      </c>
      <c r="D775" s="0" t="n">
        <v>2022</v>
      </c>
      <c r="E775" s="0" t="s">
        <v>4095</v>
      </c>
      <c r="F775" s="0" t="n">
        <v>39</v>
      </c>
      <c r="G775" s="0" t="s">
        <v>3143</v>
      </c>
      <c r="I775" s="0" t="n">
        <v>39</v>
      </c>
      <c r="J775" s="0" t="s">
        <v>4096</v>
      </c>
      <c r="L775" s="0" t="n">
        <v>2022</v>
      </c>
      <c r="M775" s="0" t="s">
        <v>2737</v>
      </c>
      <c r="N775" s="0" t="s">
        <v>198</v>
      </c>
      <c r="Q775" s="0" t="n">
        <v>122</v>
      </c>
      <c r="R775" s="0" t="n">
        <v>122</v>
      </c>
      <c r="Y775" s="0" t="s">
        <v>3071</v>
      </c>
      <c r="Z775" s="0" t="s">
        <v>3072</v>
      </c>
      <c r="AA775" s="0" t="s">
        <v>4097</v>
      </c>
      <c r="AC775" s="0" t="s">
        <v>3862</v>
      </c>
    </row>
    <row r="776" customFormat="false" ht="15" hidden="false" customHeight="false" outlineLevel="0" collapsed="false">
      <c r="A776" s="0" t="s">
        <v>4101</v>
      </c>
      <c r="B776" s="0" t="s">
        <v>178</v>
      </c>
      <c r="C776" s="0" t="s">
        <v>3098</v>
      </c>
      <c r="D776" s="0" t="n">
        <v>2015</v>
      </c>
      <c r="E776" s="0" t="s">
        <v>54</v>
      </c>
      <c r="F776" s="0" t="n">
        <v>47642</v>
      </c>
      <c r="G776" s="0" t="s">
        <v>3101</v>
      </c>
      <c r="H776" s="0" t="s">
        <v>3068</v>
      </c>
      <c r="I776" s="0" t="n">
        <v>47642</v>
      </c>
      <c r="J776" s="0" t="s">
        <v>4102</v>
      </c>
      <c r="L776" s="0" t="n">
        <v>2016</v>
      </c>
      <c r="M776" s="0" t="s">
        <v>2727</v>
      </c>
      <c r="N776" s="0" t="s">
        <v>180</v>
      </c>
      <c r="Q776" s="0" t="n">
        <v>76</v>
      </c>
      <c r="R776" s="0" t="n">
        <v>74</v>
      </c>
      <c r="U776" s="0" t="s">
        <v>4103</v>
      </c>
      <c r="V776" s="0" t="s">
        <v>4103</v>
      </c>
      <c r="Y776" s="0" t="s">
        <v>3071</v>
      </c>
      <c r="Z776" s="0" t="s">
        <v>3072</v>
      </c>
      <c r="AA776" s="0" t="s">
        <v>4104</v>
      </c>
      <c r="AC776" s="0" t="s">
        <v>4105</v>
      </c>
    </row>
    <row r="777" customFormat="false" ht="15" hidden="false" customHeight="false" outlineLevel="0" collapsed="false">
      <c r="A777" s="0" t="s">
        <v>4106</v>
      </c>
      <c r="B777" s="0" t="s">
        <v>178</v>
      </c>
      <c r="C777" s="0" t="s">
        <v>3098</v>
      </c>
      <c r="D777" s="0" t="n">
        <v>2015</v>
      </c>
      <c r="E777" s="0" t="s">
        <v>1327</v>
      </c>
      <c r="F777" s="0" t="n">
        <v>247378</v>
      </c>
      <c r="G777" s="0" t="s">
        <v>3101</v>
      </c>
      <c r="H777" s="0" t="s">
        <v>3068</v>
      </c>
      <c r="I777" s="0" t="n">
        <v>247378</v>
      </c>
      <c r="J777" s="0" t="s">
        <v>4102</v>
      </c>
      <c r="L777" s="0" t="n">
        <v>2016</v>
      </c>
      <c r="M777" s="0" t="s">
        <v>2727</v>
      </c>
      <c r="N777" s="0" t="s">
        <v>180</v>
      </c>
      <c r="Q777" s="0" t="n">
        <v>76</v>
      </c>
      <c r="R777" s="0" t="n">
        <v>74</v>
      </c>
      <c r="U777" s="0" t="s">
        <v>4103</v>
      </c>
      <c r="V777" s="0" t="s">
        <v>4103</v>
      </c>
      <c r="Y777" s="0" t="s">
        <v>3071</v>
      </c>
      <c r="Z777" s="0" t="s">
        <v>3072</v>
      </c>
      <c r="AA777" s="0" t="s">
        <v>4104</v>
      </c>
      <c r="AC777" s="0" t="s">
        <v>4105</v>
      </c>
    </row>
    <row r="778" customFormat="false" ht="15" hidden="false" customHeight="false" outlineLevel="0" collapsed="false">
      <c r="A778" s="0" t="s">
        <v>4107</v>
      </c>
      <c r="B778" s="0" t="s">
        <v>178</v>
      </c>
      <c r="C778" s="0" t="s">
        <v>3098</v>
      </c>
      <c r="D778" s="0" t="n">
        <v>2015</v>
      </c>
      <c r="E778" s="0" t="s">
        <v>541</v>
      </c>
      <c r="F778" s="0" t="n">
        <v>50735</v>
      </c>
      <c r="G778" s="0" t="s">
        <v>3101</v>
      </c>
      <c r="H778" s="0" t="s">
        <v>3068</v>
      </c>
      <c r="I778" s="0" t="n">
        <v>50735</v>
      </c>
      <c r="J778" s="0" t="s">
        <v>4102</v>
      </c>
      <c r="L778" s="0" t="n">
        <v>2016</v>
      </c>
      <c r="M778" s="0" t="s">
        <v>2727</v>
      </c>
      <c r="N778" s="0" t="s">
        <v>180</v>
      </c>
      <c r="Q778" s="0" t="n">
        <v>76</v>
      </c>
      <c r="R778" s="0" t="n">
        <v>74</v>
      </c>
      <c r="U778" s="0" t="s">
        <v>4103</v>
      </c>
      <c r="V778" s="0" t="s">
        <v>4103</v>
      </c>
      <c r="Y778" s="0" t="s">
        <v>3071</v>
      </c>
      <c r="Z778" s="0" t="s">
        <v>3072</v>
      </c>
      <c r="AA778" s="0" t="s">
        <v>4104</v>
      </c>
      <c r="AC778" s="0" t="s">
        <v>4105</v>
      </c>
    </row>
    <row r="779" customFormat="false" ht="15" hidden="false" customHeight="false" outlineLevel="0" collapsed="false">
      <c r="A779" s="0" t="s">
        <v>4108</v>
      </c>
      <c r="B779" s="0" t="s">
        <v>178</v>
      </c>
      <c r="C779" s="0" t="s">
        <v>3098</v>
      </c>
      <c r="D779" s="0" t="n">
        <v>2015</v>
      </c>
      <c r="E779" s="0" t="s">
        <v>63</v>
      </c>
      <c r="F779" s="0" t="n">
        <v>3491</v>
      </c>
      <c r="G779" s="0" t="s">
        <v>3101</v>
      </c>
      <c r="H779" s="0" t="s">
        <v>3068</v>
      </c>
      <c r="I779" s="0" t="n">
        <v>3491</v>
      </c>
      <c r="J779" s="0" t="s">
        <v>4102</v>
      </c>
      <c r="L779" s="0" t="n">
        <v>2016</v>
      </c>
      <c r="M779" s="0" t="s">
        <v>2727</v>
      </c>
      <c r="N779" s="0" t="s">
        <v>180</v>
      </c>
      <c r="Q779" s="0" t="n">
        <v>76</v>
      </c>
      <c r="R779" s="0" t="n">
        <v>74</v>
      </c>
      <c r="U779" s="0" t="s">
        <v>4103</v>
      </c>
      <c r="V779" s="0" t="s">
        <v>4103</v>
      </c>
      <c r="Y779" s="0" t="s">
        <v>3071</v>
      </c>
      <c r="Z779" s="0" t="s">
        <v>3072</v>
      </c>
      <c r="AA779" s="0" t="s">
        <v>4109</v>
      </c>
      <c r="AC779" s="0" t="s">
        <v>4105</v>
      </c>
    </row>
    <row r="780" customFormat="false" ht="15" hidden="false" customHeight="false" outlineLevel="0" collapsed="false">
      <c r="A780" s="0" t="s">
        <v>4110</v>
      </c>
      <c r="B780" s="0" t="s">
        <v>178</v>
      </c>
      <c r="C780" s="0" t="s">
        <v>3098</v>
      </c>
      <c r="D780" s="0" t="n">
        <v>2015</v>
      </c>
      <c r="E780" s="0" t="s">
        <v>55</v>
      </c>
      <c r="F780" s="0" t="n">
        <v>2216337</v>
      </c>
      <c r="G780" s="0" t="s">
        <v>3101</v>
      </c>
      <c r="H780" s="0" t="s">
        <v>3068</v>
      </c>
      <c r="I780" s="0" t="n">
        <v>2216337</v>
      </c>
      <c r="J780" s="0" t="s">
        <v>4102</v>
      </c>
      <c r="L780" s="0" t="n">
        <v>2016</v>
      </c>
      <c r="M780" s="0" t="s">
        <v>2727</v>
      </c>
      <c r="N780" s="0" t="s">
        <v>180</v>
      </c>
      <c r="Q780" s="0" t="n">
        <v>77</v>
      </c>
      <c r="R780" s="0" t="n">
        <v>75</v>
      </c>
      <c r="U780" s="0" t="s">
        <v>4103</v>
      </c>
      <c r="V780" s="0" t="s">
        <v>4103</v>
      </c>
      <c r="Y780" s="0" t="s">
        <v>3071</v>
      </c>
      <c r="Z780" s="0" t="s">
        <v>3072</v>
      </c>
      <c r="AA780" s="0" t="s">
        <v>4111</v>
      </c>
      <c r="AC780" s="0" t="s">
        <v>4105</v>
      </c>
    </row>
    <row r="781" customFormat="false" ht="15" hidden="false" customHeight="false" outlineLevel="0" collapsed="false">
      <c r="A781" s="0" t="s">
        <v>4112</v>
      </c>
      <c r="B781" s="0" t="s">
        <v>178</v>
      </c>
      <c r="C781" s="0" t="s">
        <v>3098</v>
      </c>
      <c r="D781" s="0" t="n">
        <v>2015</v>
      </c>
      <c r="E781" s="0" t="s">
        <v>56</v>
      </c>
      <c r="F781" s="0" t="n">
        <v>1878106</v>
      </c>
      <c r="G781" s="0" t="s">
        <v>3101</v>
      </c>
      <c r="H781" s="0" t="s">
        <v>3068</v>
      </c>
      <c r="I781" s="0" t="n">
        <v>1878106</v>
      </c>
      <c r="J781" s="0" t="s">
        <v>4102</v>
      </c>
      <c r="L781" s="0" t="n">
        <v>2016</v>
      </c>
      <c r="M781" s="0" t="s">
        <v>2727</v>
      </c>
      <c r="N781" s="0" t="s">
        <v>180</v>
      </c>
      <c r="Q781" s="0" t="n">
        <v>77</v>
      </c>
      <c r="R781" s="0" t="n">
        <v>75</v>
      </c>
      <c r="U781" s="0" t="s">
        <v>4103</v>
      </c>
      <c r="V781" s="0" t="s">
        <v>4103</v>
      </c>
      <c r="Y781" s="0" t="s">
        <v>3071</v>
      </c>
      <c r="Z781" s="0" t="s">
        <v>3072</v>
      </c>
      <c r="AA781" s="0" t="s">
        <v>4111</v>
      </c>
      <c r="AC781" s="0" t="s">
        <v>4105</v>
      </c>
    </row>
    <row r="782" customFormat="false" ht="15" hidden="false" customHeight="false" outlineLevel="0" collapsed="false">
      <c r="A782" s="0" t="s">
        <v>4113</v>
      </c>
      <c r="B782" s="0" t="s">
        <v>178</v>
      </c>
      <c r="C782" s="0" t="s">
        <v>3098</v>
      </c>
      <c r="D782" s="0" t="n">
        <v>2015</v>
      </c>
      <c r="E782" s="0" t="s">
        <v>57</v>
      </c>
      <c r="F782" s="0" t="n">
        <v>338231</v>
      </c>
      <c r="G782" s="0" t="s">
        <v>3101</v>
      </c>
      <c r="H782" s="0" t="s">
        <v>3068</v>
      </c>
      <c r="I782" s="0" t="n">
        <v>338231</v>
      </c>
      <c r="J782" s="0" t="s">
        <v>4102</v>
      </c>
      <c r="L782" s="0" t="n">
        <v>2016</v>
      </c>
      <c r="M782" s="0" t="s">
        <v>2727</v>
      </c>
      <c r="N782" s="0" t="s">
        <v>180</v>
      </c>
      <c r="Q782" s="0" t="n">
        <v>77</v>
      </c>
      <c r="R782" s="0" t="n">
        <v>75</v>
      </c>
      <c r="U782" s="0" t="s">
        <v>4103</v>
      </c>
      <c r="V782" s="0" t="s">
        <v>4103</v>
      </c>
      <c r="Y782" s="0" t="s">
        <v>3071</v>
      </c>
      <c r="Z782" s="0" t="s">
        <v>3072</v>
      </c>
      <c r="AA782" s="0" t="s">
        <v>4111</v>
      </c>
      <c r="AC782" s="0" t="s">
        <v>4105</v>
      </c>
    </row>
    <row r="783" customFormat="false" ht="15" hidden="false" customHeight="false" outlineLevel="0" collapsed="false">
      <c r="A783" s="0" t="s">
        <v>4114</v>
      </c>
      <c r="B783" s="0" t="s">
        <v>178</v>
      </c>
      <c r="C783" s="0" t="s">
        <v>3098</v>
      </c>
      <c r="D783" s="0" t="n">
        <v>2015</v>
      </c>
      <c r="E783" s="0" t="s">
        <v>58</v>
      </c>
      <c r="F783" s="0" t="n">
        <v>58408</v>
      </c>
      <c r="G783" s="0" t="s">
        <v>3101</v>
      </c>
      <c r="H783" s="0" t="s">
        <v>3068</v>
      </c>
      <c r="I783" s="0" t="n">
        <v>58408</v>
      </c>
      <c r="J783" s="0" t="s">
        <v>4102</v>
      </c>
      <c r="L783" s="0" t="n">
        <v>2016</v>
      </c>
      <c r="M783" s="0" t="s">
        <v>2727</v>
      </c>
      <c r="N783" s="0" t="s">
        <v>180</v>
      </c>
      <c r="Q783" s="0" t="n">
        <v>80</v>
      </c>
      <c r="R783" s="0" t="n">
        <v>78</v>
      </c>
      <c r="U783" s="0" t="s">
        <v>4103</v>
      </c>
      <c r="V783" s="0" t="s">
        <v>4103</v>
      </c>
      <c r="Y783" s="0" t="s">
        <v>3071</v>
      </c>
      <c r="Z783" s="0" t="s">
        <v>3072</v>
      </c>
      <c r="AA783" s="0" t="s">
        <v>4115</v>
      </c>
      <c r="AC783" s="0" t="s">
        <v>4105</v>
      </c>
    </row>
    <row r="784" customFormat="false" ht="15" hidden="false" customHeight="false" outlineLevel="0" collapsed="false">
      <c r="A784" s="0" t="s">
        <v>4116</v>
      </c>
      <c r="B784" s="0" t="s">
        <v>178</v>
      </c>
      <c r="C784" s="0" t="s">
        <v>3098</v>
      </c>
      <c r="D784" s="0" t="n">
        <v>2015</v>
      </c>
      <c r="E784" s="0" t="s">
        <v>65</v>
      </c>
      <c r="F784" s="0" t="n">
        <v>241091</v>
      </c>
      <c r="G784" s="0" t="s">
        <v>3101</v>
      </c>
      <c r="H784" s="0" t="s">
        <v>3068</v>
      </c>
      <c r="I784" s="0" t="n">
        <v>241091</v>
      </c>
      <c r="J784" s="0" t="s">
        <v>4102</v>
      </c>
      <c r="L784" s="0" t="n">
        <v>2016</v>
      </c>
      <c r="M784" s="0" t="s">
        <v>2727</v>
      </c>
      <c r="N784" s="0" t="s">
        <v>180</v>
      </c>
      <c r="Q784" s="0" t="n">
        <v>150</v>
      </c>
      <c r="R784" s="0" t="n">
        <v>148</v>
      </c>
      <c r="U784" s="0" t="s">
        <v>4103</v>
      </c>
      <c r="V784" s="0" t="s">
        <v>4103</v>
      </c>
      <c r="Y784" s="0" t="s">
        <v>3071</v>
      </c>
      <c r="Z784" s="0" t="s">
        <v>3072</v>
      </c>
      <c r="AA784" s="0" t="s">
        <v>4117</v>
      </c>
      <c r="AC784" s="0" t="s">
        <v>4105</v>
      </c>
    </row>
    <row r="785" customFormat="false" ht="15" hidden="false" customHeight="false" outlineLevel="0" collapsed="false">
      <c r="A785" s="0" t="s">
        <v>4118</v>
      </c>
      <c r="B785" s="0" t="s">
        <v>178</v>
      </c>
      <c r="C785" s="0" t="s">
        <v>3098</v>
      </c>
      <c r="D785" s="0" t="n">
        <v>2015</v>
      </c>
      <c r="E785" s="0" t="s">
        <v>66</v>
      </c>
      <c r="F785" s="0" t="n">
        <v>1208372</v>
      </c>
      <c r="G785" s="0" t="s">
        <v>3101</v>
      </c>
      <c r="H785" s="0" t="s">
        <v>3068</v>
      </c>
      <c r="I785" s="0" t="n">
        <v>1208372</v>
      </c>
      <c r="J785" s="0" t="s">
        <v>4102</v>
      </c>
      <c r="L785" s="0" t="n">
        <v>2016</v>
      </c>
      <c r="M785" s="0" t="s">
        <v>2727</v>
      </c>
      <c r="N785" s="0" t="s">
        <v>180</v>
      </c>
      <c r="Q785" s="0" t="n">
        <v>150</v>
      </c>
      <c r="R785" s="0" t="n">
        <v>148</v>
      </c>
      <c r="U785" s="0" t="s">
        <v>4103</v>
      </c>
      <c r="V785" s="0" t="s">
        <v>4103</v>
      </c>
      <c r="Y785" s="0" t="s">
        <v>3071</v>
      </c>
      <c r="Z785" s="0" t="s">
        <v>3072</v>
      </c>
      <c r="AA785" s="0" t="s">
        <v>4117</v>
      </c>
      <c r="AC785" s="0" t="s">
        <v>4105</v>
      </c>
    </row>
    <row r="786" customFormat="false" ht="15" hidden="false" customHeight="false" outlineLevel="0" collapsed="false">
      <c r="A786" s="0" t="s">
        <v>4119</v>
      </c>
      <c r="B786" s="0" t="s">
        <v>178</v>
      </c>
      <c r="C786" s="0" t="s">
        <v>3098</v>
      </c>
      <c r="D786" s="0" t="n">
        <v>2015</v>
      </c>
      <c r="E786" s="0" t="s">
        <v>69</v>
      </c>
      <c r="F786" s="0" t="n">
        <v>20</v>
      </c>
      <c r="G786" s="0" t="s">
        <v>3143</v>
      </c>
      <c r="I786" s="0" t="n">
        <v>20</v>
      </c>
      <c r="J786" s="0" t="s">
        <v>4102</v>
      </c>
      <c r="L786" s="0" t="n">
        <v>2016</v>
      </c>
      <c r="M786" s="0" t="s">
        <v>2727</v>
      </c>
      <c r="N786" s="0" t="s">
        <v>180</v>
      </c>
      <c r="Q786" s="0" t="n">
        <v>150</v>
      </c>
      <c r="R786" s="0" t="n">
        <v>148</v>
      </c>
      <c r="U786" s="0" t="s">
        <v>4103</v>
      </c>
      <c r="V786" s="0" t="s">
        <v>4103</v>
      </c>
      <c r="Y786" s="0" t="s">
        <v>3071</v>
      </c>
      <c r="Z786" s="0" t="s">
        <v>3072</v>
      </c>
      <c r="AA786" s="0" t="s">
        <v>4117</v>
      </c>
      <c r="AC786" s="0" t="s">
        <v>4105</v>
      </c>
    </row>
    <row r="787" customFormat="false" ht="15" hidden="false" customHeight="false" outlineLevel="0" collapsed="false">
      <c r="A787" s="0" t="s">
        <v>4120</v>
      </c>
      <c r="B787" s="0" t="s">
        <v>178</v>
      </c>
      <c r="C787" s="0" t="s">
        <v>3098</v>
      </c>
      <c r="D787" s="0" t="n">
        <v>2015</v>
      </c>
      <c r="E787" s="0" t="s">
        <v>71</v>
      </c>
      <c r="F787" s="0" t="n">
        <v>52.57</v>
      </c>
      <c r="G787" s="0" t="s">
        <v>3143</v>
      </c>
      <c r="I787" s="0" t="n">
        <v>52.57</v>
      </c>
      <c r="J787" s="0" t="s">
        <v>4102</v>
      </c>
      <c r="L787" s="0" t="n">
        <v>2016</v>
      </c>
      <c r="M787" s="0" t="s">
        <v>2727</v>
      </c>
      <c r="N787" s="0" t="s">
        <v>180</v>
      </c>
      <c r="Q787" s="0" t="n">
        <v>130</v>
      </c>
      <c r="R787" s="0" t="n">
        <v>128</v>
      </c>
      <c r="U787" s="0" t="s">
        <v>4103</v>
      </c>
      <c r="V787" s="0" t="s">
        <v>4103</v>
      </c>
      <c r="Y787" s="0" t="s">
        <v>3071</v>
      </c>
      <c r="Z787" s="0" t="s">
        <v>3072</v>
      </c>
      <c r="AA787" s="0" t="s">
        <v>4121</v>
      </c>
      <c r="AC787" s="0" t="s">
        <v>4105</v>
      </c>
    </row>
    <row r="788" customFormat="false" ht="15" hidden="false" customHeight="false" outlineLevel="0" collapsed="false">
      <c r="A788" s="0" t="s">
        <v>4122</v>
      </c>
      <c r="B788" s="0" t="s">
        <v>178</v>
      </c>
      <c r="C788" s="0" t="s">
        <v>3098</v>
      </c>
      <c r="D788" s="0" t="n">
        <v>2015</v>
      </c>
      <c r="E788" s="0" t="s">
        <v>3752</v>
      </c>
      <c r="F788" s="0" t="n">
        <v>42.61</v>
      </c>
      <c r="G788" s="0" t="s">
        <v>3143</v>
      </c>
      <c r="I788" s="0" t="n">
        <v>42.61</v>
      </c>
      <c r="J788" s="0" t="s">
        <v>4102</v>
      </c>
      <c r="L788" s="0" t="n">
        <v>2016</v>
      </c>
      <c r="M788" s="0" t="s">
        <v>2727</v>
      </c>
      <c r="N788" s="0" t="s">
        <v>180</v>
      </c>
      <c r="Q788" s="0" t="n">
        <v>130</v>
      </c>
      <c r="R788" s="0" t="n">
        <v>128</v>
      </c>
      <c r="U788" s="0" t="s">
        <v>4103</v>
      </c>
      <c r="V788" s="0" t="s">
        <v>4103</v>
      </c>
      <c r="Y788" s="0" t="s">
        <v>3071</v>
      </c>
      <c r="Z788" s="0" t="s">
        <v>3072</v>
      </c>
      <c r="AA788" s="0" t="s">
        <v>4121</v>
      </c>
      <c r="AC788" s="0" t="s">
        <v>4105</v>
      </c>
    </row>
    <row r="789" customFormat="false" ht="15" hidden="false" customHeight="false" outlineLevel="0" collapsed="false">
      <c r="A789" s="0" t="s">
        <v>4123</v>
      </c>
      <c r="B789" s="0" t="s">
        <v>178</v>
      </c>
      <c r="C789" s="0" t="s">
        <v>3098</v>
      </c>
      <c r="D789" s="0" t="n">
        <v>2015</v>
      </c>
      <c r="E789" s="0" t="s">
        <v>3754</v>
      </c>
      <c r="F789" s="0" t="n">
        <v>52.57</v>
      </c>
      <c r="G789" s="0" t="s">
        <v>3143</v>
      </c>
      <c r="I789" s="0" t="n">
        <v>52.57</v>
      </c>
      <c r="J789" s="0" t="s">
        <v>4102</v>
      </c>
      <c r="L789" s="0" t="n">
        <v>2016</v>
      </c>
      <c r="M789" s="0" t="s">
        <v>2727</v>
      </c>
      <c r="N789" s="0" t="s">
        <v>180</v>
      </c>
      <c r="Q789" s="0" t="n">
        <v>130</v>
      </c>
      <c r="R789" s="0" t="n">
        <v>128</v>
      </c>
      <c r="U789" s="0" t="s">
        <v>4103</v>
      </c>
      <c r="V789" s="0" t="s">
        <v>4103</v>
      </c>
      <c r="Y789" s="0" t="s">
        <v>3071</v>
      </c>
      <c r="Z789" s="0" t="s">
        <v>3072</v>
      </c>
      <c r="AA789" s="0" t="s">
        <v>4121</v>
      </c>
      <c r="AC789" s="0" t="s">
        <v>4105</v>
      </c>
    </row>
    <row r="790" customFormat="false" ht="15" hidden="false" customHeight="false" outlineLevel="0" collapsed="false">
      <c r="A790" s="0" t="s">
        <v>4124</v>
      </c>
      <c r="B790" s="0" t="s">
        <v>178</v>
      </c>
      <c r="C790" s="0" t="s">
        <v>3098</v>
      </c>
      <c r="D790" s="0" t="n">
        <v>2015</v>
      </c>
      <c r="E790" s="0" t="s">
        <v>3756</v>
      </c>
      <c r="F790" s="0" t="n">
        <v>35.7</v>
      </c>
      <c r="G790" s="0" t="s">
        <v>3143</v>
      </c>
      <c r="I790" s="0" t="n">
        <v>35.7</v>
      </c>
      <c r="J790" s="0" t="s">
        <v>4102</v>
      </c>
      <c r="L790" s="0" t="n">
        <v>2016</v>
      </c>
      <c r="M790" s="0" t="s">
        <v>2727</v>
      </c>
      <c r="N790" s="0" t="s">
        <v>180</v>
      </c>
      <c r="Q790" s="0" t="n">
        <v>130</v>
      </c>
      <c r="R790" s="0" t="n">
        <v>128</v>
      </c>
      <c r="U790" s="0" t="s">
        <v>4103</v>
      </c>
      <c r="V790" s="0" t="s">
        <v>4103</v>
      </c>
      <c r="Y790" s="0" t="s">
        <v>3071</v>
      </c>
      <c r="Z790" s="0" t="s">
        <v>3072</v>
      </c>
      <c r="AA790" s="0" t="s">
        <v>4121</v>
      </c>
      <c r="AC790" s="0" t="s">
        <v>4105</v>
      </c>
    </row>
    <row r="791" customFormat="false" ht="15" hidden="false" customHeight="false" outlineLevel="0" collapsed="false">
      <c r="A791" s="0" t="s">
        <v>4125</v>
      </c>
      <c r="B791" s="0" t="s">
        <v>178</v>
      </c>
      <c r="C791" s="0" t="s">
        <v>3098</v>
      </c>
      <c r="D791" s="0" t="n">
        <v>2015</v>
      </c>
      <c r="E791" s="0" t="s">
        <v>60</v>
      </c>
      <c r="F791" s="0" t="n">
        <v>835737</v>
      </c>
      <c r="G791" s="0" t="s">
        <v>3101</v>
      </c>
      <c r="H791" s="0" t="s">
        <v>3068</v>
      </c>
      <c r="I791" s="0" t="n">
        <v>835737</v>
      </c>
      <c r="J791" s="0" t="s">
        <v>4102</v>
      </c>
      <c r="L791" s="0" t="n">
        <v>2016</v>
      </c>
      <c r="M791" s="0" t="s">
        <v>2727</v>
      </c>
      <c r="N791" s="0" t="s">
        <v>180</v>
      </c>
      <c r="Q791" s="0" t="n">
        <v>172</v>
      </c>
      <c r="R791" s="0" t="n">
        <v>170</v>
      </c>
      <c r="U791" s="0" t="s">
        <v>4103</v>
      </c>
      <c r="V791" s="0" t="s">
        <v>4103</v>
      </c>
      <c r="Y791" s="0" t="s">
        <v>3071</v>
      </c>
      <c r="Z791" s="0" t="s">
        <v>3072</v>
      </c>
      <c r="AA791" s="0" t="s">
        <v>4126</v>
      </c>
      <c r="AC791" s="0" t="s">
        <v>4105</v>
      </c>
    </row>
    <row r="792" customFormat="false" ht="15" hidden="false" customHeight="false" outlineLevel="0" collapsed="false">
      <c r="A792" s="0" t="s">
        <v>4127</v>
      </c>
      <c r="B792" s="0" t="s">
        <v>178</v>
      </c>
      <c r="C792" s="0" t="s">
        <v>3098</v>
      </c>
      <c r="D792" s="0" t="n">
        <v>2015</v>
      </c>
      <c r="E792" s="0" t="s">
        <v>61</v>
      </c>
      <c r="F792" s="0" t="n">
        <v>13043</v>
      </c>
      <c r="G792" s="0" t="s">
        <v>3101</v>
      </c>
      <c r="H792" s="0" t="s">
        <v>3068</v>
      </c>
      <c r="I792" s="0" t="n">
        <v>13043</v>
      </c>
      <c r="J792" s="0" t="s">
        <v>4102</v>
      </c>
      <c r="L792" s="0" t="n">
        <v>2016</v>
      </c>
      <c r="M792" s="0" t="s">
        <v>2727</v>
      </c>
      <c r="N792" s="0" t="s">
        <v>180</v>
      </c>
      <c r="Q792" s="0" t="n">
        <v>172</v>
      </c>
      <c r="R792" s="0" t="n">
        <v>170</v>
      </c>
      <c r="U792" s="0" t="s">
        <v>4103</v>
      </c>
      <c r="V792" s="0" t="s">
        <v>4103</v>
      </c>
      <c r="Y792" s="0" t="s">
        <v>3071</v>
      </c>
      <c r="Z792" s="0" t="s">
        <v>3072</v>
      </c>
      <c r="AA792" s="0" t="s">
        <v>4126</v>
      </c>
      <c r="AC792" s="0" t="s">
        <v>4105</v>
      </c>
    </row>
    <row r="793" customFormat="false" ht="15" hidden="false" customHeight="false" outlineLevel="0" collapsed="false">
      <c r="A793" s="0" t="s">
        <v>4128</v>
      </c>
      <c r="B793" s="0" t="s">
        <v>178</v>
      </c>
      <c r="C793" s="0" t="s">
        <v>3098</v>
      </c>
      <c r="D793" s="0" t="n">
        <v>2015</v>
      </c>
      <c r="E793" s="0" t="s">
        <v>543</v>
      </c>
      <c r="F793" s="0" t="n">
        <v>6031</v>
      </c>
      <c r="G793" s="0" t="s">
        <v>3101</v>
      </c>
      <c r="H793" s="0" t="s">
        <v>3068</v>
      </c>
      <c r="I793" s="0" t="n">
        <v>6031</v>
      </c>
      <c r="J793" s="0" t="s">
        <v>4102</v>
      </c>
      <c r="L793" s="0" t="n">
        <v>2016</v>
      </c>
      <c r="M793" s="0" t="s">
        <v>2727</v>
      </c>
      <c r="N793" s="0" t="s">
        <v>180</v>
      </c>
      <c r="Q793" s="0" t="n">
        <v>172</v>
      </c>
      <c r="R793" s="0" t="n">
        <v>170</v>
      </c>
      <c r="U793" s="0" t="s">
        <v>4103</v>
      </c>
      <c r="V793" s="0" t="s">
        <v>4103</v>
      </c>
      <c r="Y793" s="0" t="s">
        <v>3071</v>
      </c>
      <c r="Z793" s="0" t="s">
        <v>3072</v>
      </c>
      <c r="AA793" s="0" t="s">
        <v>4126</v>
      </c>
      <c r="AC793" s="0" t="s">
        <v>4105</v>
      </c>
    </row>
    <row r="794" customFormat="false" ht="15" hidden="false" customHeight="false" outlineLevel="0" collapsed="false">
      <c r="A794" s="0" t="s">
        <v>4129</v>
      </c>
      <c r="B794" s="0" t="s">
        <v>178</v>
      </c>
      <c r="C794" s="0" t="s">
        <v>3098</v>
      </c>
      <c r="D794" s="0" t="n">
        <v>2015</v>
      </c>
      <c r="E794" s="0" t="s">
        <v>545</v>
      </c>
      <c r="F794" s="0" t="n">
        <v>7012</v>
      </c>
      <c r="G794" s="0" t="s">
        <v>3101</v>
      </c>
      <c r="H794" s="0" t="s">
        <v>3068</v>
      </c>
      <c r="I794" s="0" t="n">
        <v>7012</v>
      </c>
      <c r="J794" s="0" t="s">
        <v>4102</v>
      </c>
      <c r="L794" s="0" t="n">
        <v>2016</v>
      </c>
      <c r="M794" s="0" t="s">
        <v>2727</v>
      </c>
      <c r="N794" s="0" t="s">
        <v>180</v>
      </c>
      <c r="Q794" s="0" t="n">
        <v>172</v>
      </c>
      <c r="R794" s="0" t="n">
        <v>170</v>
      </c>
      <c r="U794" s="0" t="s">
        <v>4103</v>
      </c>
      <c r="V794" s="0" t="s">
        <v>4103</v>
      </c>
      <c r="Y794" s="0" t="s">
        <v>3071</v>
      </c>
      <c r="Z794" s="0" t="s">
        <v>3072</v>
      </c>
      <c r="AA794" s="0" t="s">
        <v>4126</v>
      </c>
      <c r="AC794" s="0" t="s">
        <v>4105</v>
      </c>
    </row>
    <row r="795" customFormat="false" ht="15" hidden="false" customHeight="false" outlineLevel="0" collapsed="false">
      <c r="A795" s="0" t="s">
        <v>4130</v>
      </c>
      <c r="B795" s="0" t="s">
        <v>178</v>
      </c>
      <c r="C795" s="0" t="s">
        <v>3098</v>
      </c>
      <c r="D795" s="0" t="n">
        <v>2015</v>
      </c>
      <c r="E795" s="0" t="s">
        <v>62</v>
      </c>
      <c r="F795" s="0" t="n">
        <v>822694</v>
      </c>
      <c r="G795" s="0" t="s">
        <v>3101</v>
      </c>
      <c r="H795" s="0" t="s">
        <v>3068</v>
      </c>
      <c r="I795" s="0" t="n">
        <v>822694</v>
      </c>
      <c r="J795" s="0" t="s">
        <v>4102</v>
      </c>
      <c r="L795" s="0" t="n">
        <v>2016</v>
      </c>
      <c r="M795" s="0" t="s">
        <v>2727</v>
      </c>
      <c r="N795" s="0" t="s">
        <v>180</v>
      </c>
      <c r="Q795" s="0" t="n">
        <v>172</v>
      </c>
      <c r="R795" s="0" t="n">
        <v>170</v>
      </c>
      <c r="U795" s="0" t="s">
        <v>4103</v>
      </c>
      <c r="V795" s="0" t="s">
        <v>4103</v>
      </c>
      <c r="Y795" s="0" t="s">
        <v>3071</v>
      </c>
      <c r="Z795" s="0" t="s">
        <v>3072</v>
      </c>
      <c r="AA795" s="0" t="s">
        <v>4126</v>
      </c>
      <c r="AC795" s="0" t="s">
        <v>4105</v>
      </c>
    </row>
    <row r="796" customFormat="false" ht="15" hidden="false" customHeight="false" outlineLevel="0" collapsed="false">
      <c r="A796" s="0" t="s">
        <v>4131</v>
      </c>
      <c r="B796" s="0" t="s">
        <v>178</v>
      </c>
      <c r="C796" s="0" t="s">
        <v>3098</v>
      </c>
      <c r="D796" s="0" t="n">
        <v>2016</v>
      </c>
      <c r="E796" s="0" t="s">
        <v>54</v>
      </c>
      <c r="F796" s="0" t="n">
        <v>47541</v>
      </c>
      <c r="G796" s="0" t="s">
        <v>3101</v>
      </c>
      <c r="H796" s="0" t="s">
        <v>3068</v>
      </c>
      <c r="I796" s="0" t="n">
        <v>47541</v>
      </c>
      <c r="J796" s="0" t="s">
        <v>4102</v>
      </c>
      <c r="L796" s="0" t="n">
        <v>2016</v>
      </c>
      <c r="M796" s="0" t="s">
        <v>2727</v>
      </c>
      <c r="N796" s="0" t="s">
        <v>180</v>
      </c>
      <c r="Q796" s="0" t="n">
        <v>76</v>
      </c>
      <c r="R796" s="0" t="n">
        <v>74</v>
      </c>
      <c r="U796" s="0" t="s">
        <v>4132</v>
      </c>
      <c r="V796" s="0" t="s">
        <v>4132</v>
      </c>
      <c r="Y796" s="0" t="s">
        <v>3071</v>
      </c>
      <c r="Z796" s="0" t="s">
        <v>3072</v>
      </c>
      <c r="AA796" s="0" t="s">
        <v>4104</v>
      </c>
      <c r="AC796" s="0" t="s">
        <v>4105</v>
      </c>
    </row>
    <row r="797" customFormat="false" ht="15" hidden="false" customHeight="false" outlineLevel="0" collapsed="false">
      <c r="A797" s="0" t="s">
        <v>4133</v>
      </c>
      <c r="B797" s="0" t="s">
        <v>178</v>
      </c>
      <c r="C797" s="0" t="s">
        <v>3098</v>
      </c>
      <c r="D797" s="0" t="n">
        <v>2016</v>
      </c>
      <c r="E797" s="0" t="s">
        <v>1327</v>
      </c>
      <c r="F797" s="0" t="n">
        <v>269895</v>
      </c>
      <c r="G797" s="0" t="s">
        <v>3101</v>
      </c>
      <c r="H797" s="0" t="s">
        <v>3068</v>
      </c>
      <c r="I797" s="0" t="n">
        <v>269895</v>
      </c>
      <c r="J797" s="0" t="s">
        <v>4102</v>
      </c>
      <c r="L797" s="0" t="n">
        <v>2016</v>
      </c>
      <c r="M797" s="0" t="s">
        <v>2727</v>
      </c>
      <c r="N797" s="0" t="s">
        <v>180</v>
      </c>
      <c r="Q797" s="0" t="n">
        <v>76</v>
      </c>
      <c r="R797" s="0" t="n">
        <v>74</v>
      </c>
      <c r="U797" s="0" t="s">
        <v>4132</v>
      </c>
      <c r="V797" s="0" t="s">
        <v>4132</v>
      </c>
      <c r="Y797" s="0" t="s">
        <v>3071</v>
      </c>
      <c r="Z797" s="0" t="s">
        <v>3072</v>
      </c>
      <c r="AA797" s="0" t="s">
        <v>4104</v>
      </c>
      <c r="AC797" s="0" t="s">
        <v>4105</v>
      </c>
    </row>
    <row r="798" customFormat="false" ht="15" hidden="false" customHeight="false" outlineLevel="0" collapsed="false">
      <c r="A798" s="0" t="s">
        <v>4134</v>
      </c>
      <c r="B798" s="0" t="s">
        <v>178</v>
      </c>
      <c r="C798" s="0" t="s">
        <v>3098</v>
      </c>
      <c r="D798" s="0" t="n">
        <v>2016</v>
      </c>
      <c r="E798" s="0" t="s">
        <v>541</v>
      </c>
      <c r="F798" s="0" t="n">
        <v>57649</v>
      </c>
      <c r="G798" s="0" t="s">
        <v>3101</v>
      </c>
      <c r="H798" s="0" t="s">
        <v>3068</v>
      </c>
      <c r="I798" s="0" t="n">
        <v>57649</v>
      </c>
      <c r="J798" s="0" t="s">
        <v>4102</v>
      </c>
      <c r="L798" s="0" t="n">
        <v>2016</v>
      </c>
      <c r="M798" s="0" t="s">
        <v>2727</v>
      </c>
      <c r="N798" s="0" t="s">
        <v>180</v>
      </c>
      <c r="Q798" s="0" t="n">
        <v>76</v>
      </c>
      <c r="R798" s="0" t="n">
        <v>74</v>
      </c>
      <c r="U798" s="0" t="s">
        <v>4132</v>
      </c>
      <c r="V798" s="0" t="s">
        <v>4132</v>
      </c>
      <c r="Y798" s="0" t="s">
        <v>3071</v>
      </c>
      <c r="Z798" s="0" t="s">
        <v>3072</v>
      </c>
      <c r="AA798" s="0" t="s">
        <v>4104</v>
      </c>
      <c r="AC798" s="0" t="s">
        <v>4105</v>
      </c>
    </row>
    <row r="799" customFormat="false" ht="15" hidden="false" customHeight="false" outlineLevel="0" collapsed="false">
      <c r="A799" s="0" t="s">
        <v>4135</v>
      </c>
      <c r="B799" s="0" t="s">
        <v>178</v>
      </c>
      <c r="C799" s="0" t="s">
        <v>3098</v>
      </c>
      <c r="D799" s="0" t="n">
        <v>2016</v>
      </c>
      <c r="E799" s="0" t="s">
        <v>63</v>
      </c>
      <c r="F799" s="0" t="n">
        <v>25521</v>
      </c>
      <c r="G799" s="0" t="s">
        <v>3101</v>
      </c>
      <c r="H799" s="0" t="s">
        <v>3068</v>
      </c>
      <c r="I799" s="0" t="n">
        <v>25521</v>
      </c>
      <c r="J799" s="0" t="s">
        <v>4102</v>
      </c>
      <c r="L799" s="0" t="n">
        <v>2016</v>
      </c>
      <c r="M799" s="0" t="s">
        <v>2727</v>
      </c>
      <c r="N799" s="0" t="s">
        <v>180</v>
      </c>
      <c r="Q799" s="0" t="n">
        <v>76</v>
      </c>
      <c r="R799" s="0" t="n">
        <v>74</v>
      </c>
      <c r="U799" s="0" t="s">
        <v>4132</v>
      </c>
      <c r="V799" s="0" t="s">
        <v>4132</v>
      </c>
      <c r="Y799" s="0" t="s">
        <v>3071</v>
      </c>
      <c r="Z799" s="0" t="s">
        <v>3072</v>
      </c>
      <c r="AA799" s="0" t="s">
        <v>4109</v>
      </c>
      <c r="AC799" s="0" t="s">
        <v>4105</v>
      </c>
    </row>
    <row r="800" customFormat="false" ht="15" hidden="false" customHeight="false" outlineLevel="0" collapsed="false">
      <c r="A800" s="0" t="s">
        <v>4136</v>
      </c>
      <c r="B800" s="0" t="s">
        <v>178</v>
      </c>
      <c r="C800" s="0" t="s">
        <v>3098</v>
      </c>
      <c r="D800" s="0" t="n">
        <v>2016</v>
      </c>
      <c r="E800" s="0" t="s">
        <v>55</v>
      </c>
      <c r="F800" s="0" t="n">
        <v>2539585</v>
      </c>
      <c r="G800" s="0" t="s">
        <v>3101</v>
      </c>
      <c r="H800" s="0" t="s">
        <v>3068</v>
      </c>
      <c r="I800" s="0" t="n">
        <v>2539585</v>
      </c>
      <c r="J800" s="0" t="s">
        <v>4102</v>
      </c>
      <c r="L800" s="0" t="n">
        <v>2016</v>
      </c>
      <c r="M800" s="0" t="s">
        <v>2727</v>
      </c>
      <c r="N800" s="0" t="s">
        <v>180</v>
      </c>
      <c r="Q800" s="0" t="n">
        <v>77</v>
      </c>
      <c r="R800" s="0" t="n">
        <v>75</v>
      </c>
      <c r="U800" s="0" t="s">
        <v>4132</v>
      </c>
      <c r="V800" s="0" t="s">
        <v>4132</v>
      </c>
      <c r="Y800" s="0" t="s">
        <v>3071</v>
      </c>
      <c r="Z800" s="0" t="s">
        <v>3072</v>
      </c>
      <c r="AA800" s="0" t="s">
        <v>4111</v>
      </c>
      <c r="AC800" s="0" t="s">
        <v>4105</v>
      </c>
    </row>
    <row r="801" customFormat="false" ht="15" hidden="false" customHeight="false" outlineLevel="0" collapsed="false">
      <c r="A801" s="0" t="s">
        <v>4137</v>
      </c>
      <c r="B801" s="0" t="s">
        <v>178</v>
      </c>
      <c r="C801" s="0" t="s">
        <v>3098</v>
      </c>
      <c r="D801" s="0" t="n">
        <v>2016</v>
      </c>
      <c r="E801" s="0" t="s">
        <v>56</v>
      </c>
      <c r="F801" s="0" t="n">
        <v>2148685</v>
      </c>
      <c r="G801" s="0" t="s">
        <v>3101</v>
      </c>
      <c r="H801" s="0" t="s">
        <v>3068</v>
      </c>
      <c r="I801" s="0" t="n">
        <v>2148685</v>
      </c>
      <c r="J801" s="0" t="s">
        <v>4102</v>
      </c>
      <c r="L801" s="0" t="n">
        <v>2016</v>
      </c>
      <c r="M801" s="0" t="s">
        <v>2727</v>
      </c>
      <c r="N801" s="0" t="s">
        <v>180</v>
      </c>
      <c r="Q801" s="0" t="n">
        <v>77</v>
      </c>
      <c r="R801" s="0" t="n">
        <v>75</v>
      </c>
      <c r="U801" s="0" t="s">
        <v>4132</v>
      </c>
      <c r="V801" s="0" t="s">
        <v>4132</v>
      </c>
      <c r="Y801" s="0" t="s">
        <v>3071</v>
      </c>
      <c r="Z801" s="0" t="s">
        <v>3072</v>
      </c>
      <c r="AA801" s="0" t="s">
        <v>4111</v>
      </c>
      <c r="AC801" s="0" t="s">
        <v>4105</v>
      </c>
    </row>
    <row r="802" customFormat="false" ht="15" hidden="false" customHeight="false" outlineLevel="0" collapsed="false">
      <c r="A802" s="0" t="s">
        <v>4138</v>
      </c>
      <c r="B802" s="0" t="s">
        <v>178</v>
      </c>
      <c r="C802" s="0" t="s">
        <v>3098</v>
      </c>
      <c r="D802" s="0" t="n">
        <v>2016</v>
      </c>
      <c r="E802" s="0" t="s">
        <v>57</v>
      </c>
      <c r="F802" s="0" t="n">
        <v>390900</v>
      </c>
      <c r="G802" s="0" t="s">
        <v>3101</v>
      </c>
      <c r="H802" s="0" t="s">
        <v>3068</v>
      </c>
      <c r="I802" s="0" t="n">
        <v>390900</v>
      </c>
      <c r="J802" s="0" t="s">
        <v>4102</v>
      </c>
      <c r="L802" s="0" t="n">
        <v>2016</v>
      </c>
      <c r="M802" s="0" t="s">
        <v>2727</v>
      </c>
      <c r="N802" s="0" t="s">
        <v>180</v>
      </c>
      <c r="Q802" s="0" t="n">
        <v>77</v>
      </c>
      <c r="R802" s="0" t="n">
        <v>75</v>
      </c>
      <c r="U802" s="0" t="s">
        <v>4132</v>
      </c>
      <c r="V802" s="0" t="s">
        <v>4132</v>
      </c>
      <c r="Y802" s="0" t="s">
        <v>3071</v>
      </c>
      <c r="Z802" s="0" t="s">
        <v>3072</v>
      </c>
      <c r="AA802" s="0" t="s">
        <v>4111</v>
      </c>
      <c r="AC802" s="0" t="s">
        <v>4105</v>
      </c>
    </row>
    <row r="803" customFormat="false" ht="15" hidden="false" customHeight="false" outlineLevel="0" collapsed="false">
      <c r="A803" s="0" t="s">
        <v>4139</v>
      </c>
      <c r="B803" s="0" t="s">
        <v>178</v>
      </c>
      <c r="C803" s="0" t="s">
        <v>3098</v>
      </c>
      <c r="D803" s="0" t="n">
        <v>2016</v>
      </c>
      <c r="E803" s="0" t="s">
        <v>58</v>
      </c>
      <c r="F803" s="0" t="n">
        <v>-213392</v>
      </c>
      <c r="G803" s="0" t="s">
        <v>3101</v>
      </c>
      <c r="H803" s="0" t="s">
        <v>3068</v>
      </c>
      <c r="I803" s="0" t="n">
        <v>-213392</v>
      </c>
      <c r="J803" s="0" t="s">
        <v>4102</v>
      </c>
      <c r="L803" s="0" t="n">
        <v>2016</v>
      </c>
      <c r="M803" s="0" t="s">
        <v>2727</v>
      </c>
      <c r="N803" s="0" t="s">
        <v>180</v>
      </c>
      <c r="Q803" s="0" t="n">
        <v>80</v>
      </c>
      <c r="R803" s="0" t="n">
        <v>78</v>
      </c>
      <c r="U803" s="0" t="s">
        <v>4132</v>
      </c>
      <c r="V803" s="0" t="s">
        <v>4132</v>
      </c>
      <c r="Y803" s="0" t="s">
        <v>3071</v>
      </c>
      <c r="Z803" s="0" t="s">
        <v>3072</v>
      </c>
      <c r="AA803" s="0" t="s">
        <v>4115</v>
      </c>
      <c r="AC803" s="0" t="s">
        <v>4105</v>
      </c>
    </row>
    <row r="804" customFormat="false" ht="15" hidden="false" customHeight="false" outlineLevel="0" collapsed="false">
      <c r="A804" s="0" t="s">
        <v>4140</v>
      </c>
      <c r="B804" s="0" t="s">
        <v>178</v>
      </c>
      <c r="C804" s="0" t="s">
        <v>3098</v>
      </c>
      <c r="D804" s="0" t="n">
        <v>2016</v>
      </c>
      <c r="E804" s="0" t="s">
        <v>65</v>
      </c>
      <c r="F804" s="0" t="n">
        <v>262423</v>
      </c>
      <c r="G804" s="0" t="s">
        <v>3101</v>
      </c>
      <c r="H804" s="0" t="s">
        <v>3068</v>
      </c>
      <c r="I804" s="0" t="n">
        <v>262423</v>
      </c>
      <c r="J804" s="0" t="s">
        <v>4102</v>
      </c>
      <c r="L804" s="0" t="n">
        <v>2016</v>
      </c>
      <c r="M804" s="0" t="s">
        <v>2727</v>
      </c>
      <c r="N804" s="0" t="s">
        <v>180</v>
      </c>
      <c r="Q804" s="0" t="n">
        <v>150</v>
      </c>
      <c r="R804" s="0" t="n">
        <v>148</v>
      </c>
      <c r="U804" s="0" t="s">
        <v>4132</v>
      </c>
      <c r="V804" s="0" t="s">
        <v>4132</v>
      </c>
      <c r="Y804" s="0" t="s">
        <v>3071</v>
      </c>
      <c r="Z804" s="0" t="s">
        <v>3072</v>
      </c>
      <c r="AA804" s="0" t="s">
        <v>4117</v>
      </c>
      <c r="AC804" s="0" t="s">
        <v>4105</v>
      </c>
    </row>
    <row r="805" customFormat="false" ht="15" hidden="false" customHeight="false" outlineLevel="0" collapsed="false">
      <c r="A805" s="0" t="s">
        <v>4141</v>
      </c>
      <c r="B805" s="0" t="s">
        <v>178</v>
      </c>
      <c r="C805" s="0" t="s">
        <v>3098</v>
      </c>
      <c r="D805" s="0" t="n">
        <v>2016</v>
      </c>
      <c r="E805" s="0" t="s">
        <v>66</v>
      </c>
      <c r="F805" s="0" t="n">
        <v>1331901</v>
      </c>
      <c r="G805" s="0" t="s">
        <v>3101</v>
      </c>
      <c r="H805" s="0" t="s">
        <v>3068</v>
      </c>
      <c r="I805" s="0" t="n">
        <v>1331901</v>
      </c>
      <c r="J805" s="0" t="s">
        <v>4102</v>
      </c>
      <c r="L805" s="0" t="n">
        <v>2016</v>
      </c>
      <c r="M805" s="0" t="s">
        <v>2727</v>
      </c>
      <c r="N805" s="0" t="s">
        <v>180</v>
      </c>
      <c r="Q805" s="0" t="n">
        <v>150</v>
      </c>
      <c r="R805" s="0" t="n">
        <v>148</v>
      </c>
      <c r="U805" s="0" t="s">
        <v>4132</v>
      </c>
      <c r="V805" s="0" t="s">
        <v>4132</v>
      </c>
      <c r="Y805" s="0" t="s">
        <v>3071</v>
      </c>
      <c r="Z805" s="0" t="s">
        <v>3072</v>
      </c>
      <c r="AA805" s="0" t="s">
        <v>4117</v>
      </c>
      <c r="AC805" s="0" t="s">
        <v>4105</v>
      </c>
    </row>
    <row r="806" customFormat="false" ht="15" hidden="false" customHeight="false" outlineLevel="0" collapsed="false">
      <c r="A806" s="0" t="s">
        <v>4142</v>
      </c>
      <c r="B806" s="0" t="s">
        <v>178</v>
      </c>
      <c r="C806" s="0" t="s">
        <v>3098</v>
      </c>
      <c r="D806" s="0" t="n">
        <v>2016</v>
      </c>
      <c r="E806" s="0" t="s">
        <v>69</v>
      </c>
      <c r="F806" s="0" t="n">
        <v>20</v>
      </c>
      <c r="G806" s="0" t="s">
        <v>3143</v>
      </c>
      <c r="I806" s="0" t="n">
        <v>20</v>
      </c>
      <c r="J806" s="0" t="s">
        <v>4102</v>
      </c>
      <c r="L806" s="0" t="n">
        <v>2016</v>
      </c>
      <c r="M806" s="0" t="s">
        <v>2727</v>
      </c>
      <c r="N806" s="0" t="s">
        <v>180</v>
      </c>
      <c r="Q806" s="0" t="n">
        <v>150</v>
      </c>
      <c r="R806" s="0" t="n">
        <v>148</v>
      </c>
      <c r="U806" s="0" t="s">
        <v>4132</v>
      </c>
      <c r="V806" s="0" t="s">
        <v>4132</v>
      </c>
      <c r="Y806" s="0" t="s">
        <v>3071</v>
      </c>
      <c r="Z806" s="0" t="s">
        <v>3072</v>
      </c>
      <c r="AA806" s="0" t="s">
        <v>4117</v>
      </c>
      <c r="AC806" s="0" t="s">
        <v>4105</v>
      </c>
    </row>
    <row r="807" customFormat="false" ht="15" hidden="false" customHeight="false" outlineLevel="0" collapsed="false">
      <c r="A807" s="0" t="s">
        <v>4143</v>
      </c>
      <c r="B807" s="0" t="s">
        <v>178</v>
      </c>
      <c r="C807" s="0" t="s">
        <v>3098</v>
      </c>
      <c r="D807" s="0" t="n">
        <v>2016</v>
      </c>
      <c r="E807" s="0" t="s">
        <v>70</v>
      </c>
      <c r="F807" s="0" t="n">
        <v>15</v>
      </c>
      <c r="G807" s="0" t="s">
        <v>3143</v>
      </c>
      <c r="I807" s="0" t="n">
        <v>15</v>
      </c>
      <c r="J807" s="0" t="s">
        <v>4102</v>
      </c>
      <c r="L807" s="0" t="n">
        <v>2016</v>
      </c>
      <c r="M807" s="0" t="s">
        <v>2727</v>
      </c>
      <c r="N807" s="0" t="s">
        <v>180</v>
      </c>
      <c r="Q807" s="0" t="n">
        <v>149</v>
      </c>
      <c r="R807" s="0" t="n">
        <v>147</v>
      </c>
      <c r="U807" s="0" t="s">
        <v>4132</v>
      </c>
      <c r="V807" s="0" t="s">
        <v>4132</v>
      </c>
      <c r="Y807" s="0" t="s">
        <v>3071</v>
      </c>
      <c r="Z807" s="0" t="s">
        <v>3072</v>
      </c>
      <c r="AA807" s="0" t="s">
        <v>4117</v>
      </c>
      <c r="AC807" s="0" t="s">
        <v>4105</v>
      </c>
    </row>
    <row r="808" customFormat="false" ht="15" hidden="false" customHeight="false" outlineLevel="0" collapsed="false">
      <c r="A808" s="0" t="s">
        <v>4144</v>
      </c>
      <c r="B808" s="0" t="s">
        <v>178</v>
      </c>
      <c r="C808" s="0" t="s">
        <v>3098</v>
      </c>
      <c r="D808" s="0" t="n">
        <v>2016</v>
      </c>
      <c r="E808" s="0" t="s">
        <v>71</v>
      </c>
      <c r="F808" s="0" t="n">
        <v>38.57</v>
      </c>
      <c r="G808" s="0" t="s">
        <v>3143</v>
      </c>
      <c r="I808" s="0" t="n">
        <v>38.57</v>
      </c>
      <c r="J808" s="0" t="s">
        <v>4102</v>
      </c>
      <c r="L808" s="0" t="n">
        <v>2016</v>
      </c>
      <c r="M808" s="0" t="s">
        <v>2727</v>
      </c>
      <c r="N808" s="0" t="s">
        <v>180</v>
      </c>
      <c r="Q808" s="0" t="n">
        <v>130</v>
      </c>
      <c r="R808" s="0" t="n">
        <v>128</v>
      </c>
      <c r="U808" s="0" t="s">
        <v>4132</v>
      </c>
      <c r="V808" s="0" t="s">
        <v>4132</v>
      </c>
      <c r="Y808" s="0" t="s">
        <v>3071</v>
      </c>
      <c r="Z808" s="0" t="s">
        <v>3072</v>
      </c>
      <c r="AA808" s="0" t="s">
        <v>4121</v>
      </c>
      <c r="AC808" s="0" t="s">
        <v>4105</v>
      </c>
    </row>
    <row r="809" customFormat="false" ht="15" hidden="false" customHeight="false" outlineLevel="0" collapsed="false">
      <c r="A809" s="0" t="s">
        <v>4145</v>
      </c>
      <c r="B809" s="0" t="s">
        <v>178</v>
      </c>
      <c r="C809" s="0" t="s">
        <v>3098</v>
      </c>
      <c r="D809" s="0" t="n">
        <v>2016</v>
      </c>
      <c r="E809" s="0" t="s">
        <v>3752</v>
      </c>
      <c r="F809" s="0" t="n">
        <v>41.97</v>
      </c>
      <c r="G809" s="0" t="s">
        <v>3143</v>
      </c>
      <c r="I809" s="0" t="n">
        <v>41.97</v>
      </c>
      <c r="J809" s="0" t="s">
        <v>4102</v>
      </c>
      <c r="L809" s="0" t="n">
        <v>2016</v>
      </c>
      <c r="M809" s="0" t="s">
        <v>2727</v>
      </c>
      <c r="N809" s="0" t="s">
        <v>180</v>
      </c>
      <c r="Q809" s="0" t="n">
        <v>130</v>
      </c>
      <c r="R809" s="0" t="n">
        <v>128</v>
      </c>
      <c r="U809" s="0" t="s">
        <v>4132</v>
      </c>
      <c r="V809" s="0" t="s">
        <v>4132</v>
      </c>
      <c r="Y809" s="0" t="s">
        <v>3071</v>
      </c>
      <c r="Z809" s="0" t="s">
        <v>3072</v>
      </c>
      <c r="AA809" s="0" t="s">
        <v>4121</v>
      </c>
      <c r="AC809" s="0" t="s">
        <v>4105</v>
      </c>
    </row>
    <row r="810" customFormat="false" ht="15" hidden="false" customHeight="false" outlineLevel="0" collapsed="false">
      <c r="A810" s="0" t="s">
        <v>4146</v>
      </c>
      <c r="B810" s="0" t="s">
        <v>178</v>
      </c>
      <c r="C810" s="0" t="s">
        <v>3098</v>
      </c>
      <c r="D810" s="0" t="n">
        <v>2016</v>
      </c>
      <c r="E810" s="0" t="s">
        <v>3754</v>
      </c>
      <c r="F810" s="0" t="n">
        <v>46.72</v>
      </c>
      <c r="G810" s="0" t="s">
        <v>3143</v>
      </c>
      <c r="I810" s="0" t="n">
        <v>46.72</v>
      </c>
      <c r="J810" s="0" t="s">
        <v>4102</v>
      </c>
      <c r="L810" s="0" t="n">
        <v>2016</v>
      </c>
      <c r="M810" s="0" t="s">
        <v>2727</v>
      </c>
      <c r="N810" s="0" t="s">
        <v>180</v>
      </c>
      <c r="Q810" s="0" t="n">
        <v>130</v>
      </c>
      <c r="R810" s="0" t="n">
        <v>128</v>
      </c>
      <c r="U810" s="0" t="s">
        <v>4132</v>
      </c>
      <c r="V810" s="0" t="s">
        <v>4132</v>
      </c>
      <c r="Y810" s="0" t="s">
        <v>3071</v>
      </c>
      <c r="Z810" s="0" t="s">
        <v>3072</v>
      </c>
      <c r="AA810" s="0" t="s">
        <v>4121</v>
      </c>
      <c r="AC810" s="0" t="s">
        <v>4105</v>
      </c>
    </row>
    <row r="811" customFormat="false" ht="15" hidden="false" customHeight="false" outlineLevel="0" collapsed="false">
      <c r="A811" s="0" t="s">
        <v>4147</v>
      </c>
      <c r="B811" s="0" t="s">
        <v>178</v>
      </c>
      <c r="C811" s="0" t="s">
        <v>3098</v>
      </c>
      <c r="D811" s="0" t="n">
        <v>2016</v>
      </c>
      <c r="E811" s="0" t="s">
        <v>3756</v>
      </c>
      <c r="F811" s="0" t="n">
        <v>35.52</v>
      </c>
      <c r="G811" s="0" t="s">
        <v>3143</v>
      </c>
      <c r="I811" s="0" t="n">
        <v>35.52</v>
      </c>
      <c r="J811" s="0" t="s">
        <v>4102</v>
      </c>
      <c r="L811" s="0" t="n">
        <v>2016</v>
      </c>
      <c r="M811" s="0" t="s">
        <v>2727</v>
      </c>
      <c r="N811" s="0" t="s">
        <v>180</v>
      </c>
      <c r="Q811" s="0" t="n">
        <v>130</v>
      </c>
      <c r="R811" s="0" t="n">
        <v>128</v>
      </c>
      <c r="U811" s="0" t="s">
        <v>4132</v>
      </c>
      <c r="V811" s="0" t="s">
        <v>4132</v>
      </c>
      <c r="Y811" s="0" t="s">
        <v>3071</v>
      </c>
      <c r="Z811" s="0" t="s">
        <v>3072</v>
      </c>
      <c r="AA811" s="0" t="s">
        <v>4121</v>
      </c>
      <c r="AC811" s="0" t="s">
        <v>4105</v>
      </c>
    </row>
    <row r="812" customFormat="false" ht="15" hidden="false" customHeight="false" outlineLevel="0" collapsed="false">
      <c r="A812" s="0" t="s">
        <v>4148</v>
      </c>
      <c r="B812" s="0" t="s">
        <v>178</v>
      </c>
      <c r="C812" s="0" t="s">
        <v>3098</v>
      </c>
      <c r="D812" s="0" t="n">
        <v>2016</v>
      </c>
      <c r="E812" s="0" t="s">
        <v>60</v>
      </c>
      <c r="F812" s="0" t="n">
        <v>1120096</v>
      </c>
      <c r="G812" s="0" t="s">
        <v>3101</v>
      </c>
      <c r="H812" s="0" t="s">
        <v>3068</v>
      </c>
      <c r="I812" s="0" t="n">
        <v>1120096</v>
      </c>
      <c r="J812" s="0" t="s">
        <v>4102</v>
      </c>
      <c r="L812" s="0" t="n">
        <v>2016</v>
      </c>
      <c r="M812" s="0" t="s">
        <v>2727</v>
      </c>
      <c r="N812" s="0" t="s">
        <v>180</v>
      </c>
      <c r="Q812" s="0" t="n">
        <v>171</v>
      </c>
      <c r="R812" s="0" t="n">
        <v>169</v>
      </c>
      <c r="U812" s="0" t="s">
        <v>4132</v>
      </c>
      <c r="V812" s="0" t="s">
        <v>4132</v>
      </c>
      <c r="Y812" s="0" t="s">
        <v>3071</v>
      </c>
      <c r="Z812" s="0" t="s">
        <v>3072</v>
      </c>
      <c r="AA812" s="0" t="s">
        <v>4149</v>
      </c>
      <c r="AC812" s="0" t="s">
        <v>4105</v>
      </c>
    </row>
    <row r="813" customFormat="false" ht="15" hidden="false" customHeight="false" outlineLevel="0" collapsed="false">
      <c r="A813" s="0" t="s">
        <v>4150</v>
      </c>
      <c r="B813" s="0" t="s">
        <v>178</v>
      </c>
      <c r="C813" s="0" t="s">
        <v>3098</v>
      </c>
      <c r="D813" s="0" t="n">
        <v>2016</v>
      </c>
      <c r="E813" s="0" t="s">
        <v>61</v>
      </c>
      <c r="F813" s="0" t="n">
        <v>29741</v>
      </c>
      <c r="G813" s="0" t="s">
        <v>3101</v>
      </c>
      <c r="H813" s="0" t="s">
        <v>3068</v>
      </c>
      <c r="I813" s="0" t="n">
        <v>29741</v>
      </c>
      <c r="J813" s="0" t="s">
        <v>4102</v>
      </c>
      <c r="L813" s="0" t="n">
        <v>2016</v>
      </c>
      <c r="M813" s="0" t="s">
        <v>2727</v>
      </c>
      <c r="N813" s="0" t="s">
        <v>180</v>
      </c>
      <c r="Q813" s="0" t="n">
        <v>171</v>
      </c>
      <c r="R813" s="0" t="n">
        <v>169</v>
      </c>
      <c r="U813" s="0" t="s">
        <v>4132</v>
      </c>
      <c r="V813" s="0" t="s">
        <v>4132</v>
      </c>
      <c r="Y813" s="0" t="s">
        <v>3071</v>
      </c>
      <c r="Z813" s="0" t="s">
        <v>3072</v>
      </c>
      <c r="AA813" s="0" t="s">
        <v>4149</v>
      </c>
      <c r="AC813" s="0" t="s">
        <v>4105</v>
      </c>
    </row>
    <row r="814" customFormat="false" ht="15" hidden="false" customHeight="false" outlineLevel="0" collapsed="false">
      <c r="A814" s="0" t="s">
        <v>4151</v>
      </c>
      <c r="B814" s="0" t="s">
        <v>178</v>
      </c>
      <c r="C814" s="0" t="s">
        <v>3098</v>
      </c>
      <c r="D814" s="0" t="n">
        <v>2016</v>
      </c>
      <c r="E814" s="0" t="s">
        <v>543</v>
      </c>
      <c r="F814" s="0" t="n">
        <v>17107</v>
      </c>
      <c r="G814" s="0" t="s">
        <v>3101</v>
      </c>
      <c r="H814" s="0" t="s">
        <v>3068</v>
      </c>
      <c r="I814" s="0" t="n">
        <v>17107</v>
      </c>
      <c r="J814" s="0" t="s">
        <v>4102</v>
      </c>
      <c r="L814" s="0" t="n">
        <v>2016</v>
      </c>
      <c r="M814" s="0" t="s">
        <v>2727</v>
      </c>
      <c r="N814" s="0" t="s">
        <v>180</v>
      </c>
      <c r="Q814" s="0" t="n">
        <v>171</v>
      </c>
      <c r="R814" s="0" t="n">
        <v>169</v>
      </c>
      <c r="U814" s="0" t="s">
        <v>4132</v>
      </c>
      <c r="V814" s="0" t="s">
        <v>4132</v>
      </c>
      <c r="Y814" s="0" t="s">
        <v>3071</v>
      </c>
      <c r="Z814" s="0" t="s">
        <v>3072</v>
      </c>
      <c r="AA814" s="0" t="s">
        <v>4149</v>
      </c>
      <c r="AC814" s="0" t="s">
        <v>4105</v>
      </c>
    </row>
    <row r="815" customFormat="false" ht="15" hidden="false" customHeight="false" outlineLevel="0" collapsed="false">
      <c r="A815" s="0" t="s">
        <v>4152</v>
      </c>
      <c r="B815" s="0" t="s">
        <v>178</v>
      </c>
      <c r="C815" s="0" t="s">
        <v>3098</v>
      </c>
      <c r="D815" s="0" t="n">
        <v>2016</v>
      </c>
      <c r="E815" s="0" t="s">
        <v>545</v>
      </c>
      <c r="F815" s="0" t="n">
        <v>12634</v>
      </c>
      <c r="G815" s="0" t="s">
        <v>3101</v>
      </c>
      <c r="H815" s="0" t="s">
        <v>3068</v>
      </c>
      <c r="I815" s="0" t="n">
        <v>12634</v>
      </c>
      <c r="J815" s="0" t="s">
        <v>4102</v>
      </c>
      <c r="L815" s="0" t="n">
        <v>2016</v>
      </c>
      <c r="M815" s="0" t="s">
        <v>2727</v>
      </c>
      <c r="N815" s="0" t="s">
        <v>180</v>
      </c>
      <c r="Q815" s="0" t="n">
        <v>171</v>
      </c>
      <c r="R815" s="0" t="n">
        <v>169</v>
      </c>
      <c r="U815" s="0" t="s">
        <v>4132</v>
      </c>
      <c r="V815" s="0" t="s">
        <v>4132</v>
      </c>
      <c r="Y815" s="0" t="s">
        <v>3071</v>
      </c>
      <c r="Z815" s="0" t="s">
        <v>3072</v>
      </c>
      <c r="AA815" s="0" t="s">
        <v>4149</v>
      </c>
      <c r="AC815" s="0" t="s">
        <v>4105</v>
      </c>
    </row>
    <row r="816" customFormat="false" ht="15" hidden="false" customHeight="false" outlineLevel="0" collapsed="false">
      <c r="A816" s="0" t="s">
        <v>4153</v>
      </c>
      <c r="B816" s="0" t="s">
        <v>178</v>
      </c>
      <c r="C816" s="0" t="s">
        <v>3098</v>
      </c>
      <c r="D816" s="0" t="n">
        <v>2016</v>
      </c>
      <c r="E816" s="0" t="s">
        <v>62</v>
      </c>
      <c r="F816" s="0" t="n">
        <v>1090355</v>
      </c>
      <c r="G816" s="0" t="s">
        <v>3101</v>
      </c>
      <c r="H816" s="0" t="s">
        <v>3068</v>
      </c>
      <c r="I816" s="0" t="n">
        <v>1090355</v>
      </c>
      <c r="J816" s="0" t="s">
        <v>4102</v>
      </c>
      <c r="L816" s="0" t="n">
        <v>2016</v>
      </c>
      <c r="M816" s="0" t="s">
        <v>2727</v>
      </c>
      <c r="N816" s="0" t="s">
        <v>180</v>
      </c>
      <c r="Q816" s="0" t="n">
        <v>171</v>
      </c>
      <c r="R816" s="0" t="n">
        <v>169</v>
      </c>
      <c r="U816" s="0" t="s">
        <v>4132</v>
      </c>
      <c r="V816" s="0" t="s">
        <v>4132</v>
      </c>
      <c r="Y816" s="0" t="s">
        <v>3071</v>
      </c>
      <c r="Z816" s="0" t="s">
        <v>3072</v>
      </c>
      <c r="AA816" s="0" t="s">
        <v>4149</v>
      </c>
      <c r="AC816" s="0" t="s">
        <v>4105</v>
      </c>
    </row>
    <row r="817" customFormat="false" ht="15" hidden="false" customHeight="false" outlineLevel="0" collapsed="false">
      <c r="A817" s="0" t="s">
        <v>1492</v>
      </c>
      <c r="B817" s="0" t="s">
        <v>211</v>
      </c>
      <c r="C817" s="0" t="s">
        <v>4154</v>
      </c>
      <c r="D817" s="0" t="n">
        <v>2021</v>
      </c>
      <c r="E817" s="0" t="s">
        <v>55</v>
      </c>
      <c r="F817" s="0" t="n">
        <v>1164517865</v>
      </c>
      <c r="G817" s="0" t="s">
        <v>3067</v>
      </c>
      <c r="H817" s="0" t="s">
        <v>3068</v>
      </c>
      <c r="I817" s="0" t="n">
        <v>1164517.865</v>
      </c>
      <c r="J817" s="0" t="s">
        <v>4155</v>
      </c>
      <c r="K817" s="0" t="s">
        <v>1883</v>
      </c>
      <c r="L817" s="0" t="n">
        <v>2022</v>
      </c>
      <c r="M817" s="0" t="s">
        <v>1884</v>
      </c>
      <c r="N817" s="0" t="s">
        <v>219</v>
      </c>
      <c r="O817" s="0" t="s">
        <v>2352</v>
      </c>
      <c r="P817" s="0" t="s">
        <v>3028</v>
      </c>
      <c r="Q817" s="0" t="n">
        <v>115</v>
      </c>
      <c r="R817" s="0" t="n">
        <v>110</v>
      </c>
      <c r="T817" s="0" t="s">
        <v>4156</v>
      </c>
      <c r="U817" s="0" t="s">
        <v>2673</v>
      </c>
      <c r="V817" s="0" t="s">
        <v>220</v>
      </c>
      <c r="W817" s="0" t="s">
        <v>4157</v>
      </c>
      <c r="X817" s="0" t="s">
        <v>4158</v>
      </c>
      <c r="Y817" s="0" t="s">
        <v>4159</v>
      </c>
      <c r="Z817" s="0" t="s">
        <v>4160</v>
      </c>
      <c r="AA817" s="0" t="s">
        <v>4161</v>
      </c>
      <c r="AB817" s="0" t="s">
        <v>3029</v>
      </c>
      <c r="AC817" s="0" t="s">
        <v>4162</v>
      </c>
      <c r="AD817" s="0" t="s">
        <v>4163</v>
      </c>
      <c r="AE817" s="0" t="s">
        <v>4164</v>
      </c>
      <c r="AF817" s="0" t="s">
        <v>4165</v>
      </c>
      <c r="AH817" s="0" t="s">
        <v>2239</v>
      </c>
      <c r="AL817" s="0" t="s">
        <v>523</v>
      </c>
    </row>
    <row r="818" customFormat="false" ht="15" hidden="false" customHeight="false" outlineLevel="0" collapsed="false">
      <c r="A818" s="0" t="s">
        <v>1493</v>
      </c>
      <c r="B818" s="0" t="s">
        <v>211</v>
      </c>
      <c r="C818" s="0" t="s">
        <v>4154</v>
      </c>
      <c r="D818" s="0" t="n">
        <v>2021</v>
      </c>
      <c r="E818" s="0" t="s">
        <v>56</v>
      </c>
      <c r="F818" s="0" t="n">
        <v>1094153520</v>
      </c>
      <c r="G818" s="0" t="s">
        <v>3067</v>
      </c>
      <c r="H818" s="0" t="s">
        <v>3068</v>
      </c>
      <c r="I818" s="0" t="n">
        <v>1094153.52</v>
      </c>
      <c r="J818" s="0" t="s">
        <v>4155</v>
      </c>
      <c r="K818" s="0" t="s">
        <v>1883</v>
      </c>
      <c r="L818" s="0" t="n">
        <v>2022</v>
      </c>
      <c r="M818" s="0" t="s">
        <v>1884</v>
      </c>
      <c r="N818" s="0" t="s">
        <v>219</v>
      </c>
      <c r="O818" s="0" t="s">
        <v>2352</v>
      </c>
      <c r="P818" s="0" t="s">
        <v>3028</v>
      </c>
      <c r="Q818" s="0" t="n">
        <v>115</v>
      </c>
      <c r="R818" s="0" t="n">
        <v>110</v>
      </c>
      <c r="T818" s="0" t="s">
        <v>4156</v>
      </c>
      <c r="U818" s="0" t="s">
        <v>2673</v>
      </c>
      <c r="V818" s="0" t="s">
        <v>220</v>
      </c>
      <c r="W818" s="0" t="s">
        <v>4166</v>
      </c>
      <c r="X818" s="0" t="s">
        <v>4158</v>
      </c>
      <c r="Y818" s="0" t="s">
        <v>4159</v>
      </c>
      <c r="Z818" s="0" t="s">
        <v>4160</v>
      </c>
      <c r="AB818" s="0" t="s">
        <v>3029</v>
      </c>
      <c r="AC818" s="0" t="s">
        <v>4162</v>
      </c>
      <c r="AD818" s="0" t="s">
        <v>4163</v>
      </c>
      <c r="AE818" s="0" t="s">
        <v>4164</v>
      </c>
      <c r="AF818" s="0" t="s">
        <v>4165</v>
      </c>
      <c r="AH818" s="0" t="s">
        <v>2239</v>
      </c>
      <c r="AL818" s="0" t="s">
        <v>523</v>
      </c>
    </row>
    <row r="819" customFormat="false" ht="15" hidden="false" customHeight="false" outlineLevel="0" collapsed="false">
      <c r="A819" s="0" t="s">
        <v>1494</v>
      </c>
      <c r="B819" s="0" t="s">
        <v>211</v>
      </c>
      <c r="C819" s="0" t="s">
        <v>4154</v>
      </c>
      <c r="D819" s="0" t="n">
        <v>2021</v>
      </c>
      <c r="E819" s="0" t="s">
        <v>57</v>
      </c>
      <c r="F819" s="0" t="n">
        <v>70364344</v>
      </c>
      <c r="G819" s="0" t="s">
        <v>3067</v>
      </c>
      <c r="H819" s="0" t="s">
        <v>3068</v>
      </c>
      <c r="I819" s="0" t="n">
        <v>70364.344</v>
      </c>
      <c r="J819" s="0" t="s">
        <v>4155</v>
      </c>
      <c r="K819" s="0" t="s">
        <v>1883</v>
      </c>
      <c r="L819" s="0" t="n">
        <v>2022</v>
      </c>
      <c r="M819" s="0" t="s">
        <v>1884</v>
      </c>
      <c r="N819" s="0" t="s">
        <v>219</v>
      </c>
      <c r="O819" s="0" t="s">
        <v>2352</v>
      </c>
      <c r="P819" s="0" t="s">
        <v>3028</v>
      </c>
      <c r="Q819" s="0" t="n">
        <v>115</v>
      </c>
      <c r="R819" s="0" t="n">
        <v>110</v>
      </c>
      <c r="T819" s="0" t="s">
        <v>4156</v>
      </c>
      <c r="U819" s="0" t="s">
        <v>2673</v>
      </c>
      <c r="V819" s="0" t="s">
        <v>220</v>
      </c>
      <c r="W819" s="0" t="s">
        <v>4167</v>
      </c>
      <c r="X819" s="0" t="s">
        <v>4158</v>
      </c>
      <c r="Y819" s="0" t="s">
        <v>4159</v>
      </c>
      <c r="Z819" s="0" t="s">
        <v>4160</v>
      </c>
      <c r="AA819" s="0" t="s">
        <v>4168</v>
      </c>
      <c r="AB819" s="0" t="s">
        <v>3029</v>
      </c>
      <c r="AC819" s="0" t="s">
        <v>4162</v>
      </c>
      <c r="AD819" s="0" t="s">
        <v>4163</v>
      </c>
      <c r="AE819" s="0" t="s">
        <v>4164</v>
      </c>
      <c r="AF819" s="0" t="s">
        <v>4165</v>
      </c>
      <c r="AH819" s="0" t="s">
        <v>2239</v>
      </c>
      <c r="AL819" s="0" t="s">
        <v>523</v>
      </c>
    </row>
    <row r="820" customFormat="false" ht="15" hidden="false" customHeight="false" outlineLevel="0" collapsed="false">
      <c r="A820" s="0" t="s">
        <v>1491</v>
      </c>
      <c r="B820" s="0" t="s">
        <v>211</v>
      </c>
      <c r="C820" s="0" t="s">
        <v>4154</v>
      </c>
      <c r="D820" s="0" t="n">
        <v>2021</v>
      </c>
      <c r="E820" s="0" t="s">
        <v>54</v>
      </c>
      <c r="F820" s="0" t="n">
        <v>8933202</v>
      </c>
      <c r="G820" s="0" t="s">
        <v>3067</v>
      </c>
      <c r="H820" s="0" t="s">
        <v>3068</v>
      </c>
      <c r="I820" s="0" t="n">
        <v>8933.202</v>
      </c>
      <c r="J820" s="0" t="s">
        <v>4155</v>
      </c>
      <c r="K820" s="0" t="s">
        <v>1883</v>
      </c>
      <c r="L820" s="0" t="n">
        <v>2022</v>
      </c>
      <c r="M820" s="0" t="s">
        <v>1884</v>
      </c>
      <c r="N820" s="0" t="s">
        <v>219</v>
      </c>
      <c r="O820" s="0" t="s">
        <v>2352</v>
      </c>
      <c r="P820" s="0" t="s">
        <v>3028</v>
      </c>
      <c r="Q820" s="0" t="n">
        <v>114</v>
      </c>
      <c r="R820" s="0" t="n">
        <v>109</v>
      </c>
      <c r="T820" s="0" t="s">
        <v>4156</v>
      </c>
      <c r="U820" s="0" t="s">
        <v>2673</v>
      </c>
      <c r="V820" s="0" t="s">
        <v>220</v>
      </c>
      <c r="W820" s="0" t="s">
        <v>4169</v>
      </c>
      <c r="X820" s="0" t="s">
        <v>4170</v>
      </c>
      <c r="Y820" s="0" t="s">
        <v>4159</v>
      </c>
      <c r="Z820" s="0" t="s">
        <v>4160</v>
      </c>
      <c r="AB820" s="0" t="s">
        <v>3029</v>
      </c>
      <c r="AC820" s="0" t="s">
        <v>4162</v>
      </c>
      <c r="AD820" s="0" t="s">
        <v>4163</v>
      </c>
      <c r="AE820" s="0" t="s">
        <v>4164</v>
      </c>
      <c r="AF820" s="0" t="s">
        <v>4165</v>
      </c>
      <c r="AH820" s="0" t="s">
        <v>2239</v>
      </c>
      <c r="AL820" s="0" t="s">
        <v>523</v>
      </c>
    </row>
    <row r="821" customFormat="false" ht="15" hidden="false" customHeight="false" outlineLevel="0" collapsed="false">
      <c r="A821" s="0" t="s">
        <v>1507</v>
      </c>
      <c r="B821" s="0" t="s">
        <v>211</v>
      </c>
      <c r="C821" s="0" t="s">
        <v>4154</v>
      </c>
      <c r="D821" s="0" t="n">
        <v>2021</v>
      </c>
      <c r="E821" s="0" t="s">
        <v>541</v>
      </c>
      <c r="F821" s="0" t="n">
        <v>12384142</v>
      </c>
      <c r="G821" s="0" t="s">
        <v>3067</v>
      </c>
      <c r="H821" s="0" t="s">
        <v>3068</v>
      </c>
      <c r="I821" s="0" t="n">
        <v>12384.142</v>
      </c>
      <c r="J821" s="0" t="s">
        <v>4155</v>
      </c>
      <c r="K821" s="0" t="s">
        <v>1883</v>
      </c>
      <c r="L821" s="0" t="n">
        <v>2022</v>
      </c>
      <c r="M821" s="0" t="s">
        <v>1884</v>
      </c>
      <c r="N821" s="0" t="s">
        <v>219</v>
      </c>
      <c r="O821" s="0" t="s">
        <v>2352</v>
      </c>
      <c r="P821" s="0" t="s">
        <v>3028</v>
      </c>
      <c r="Q821" s="0" t="n">
        <v>114</v>
      </c>
      <c r="R821" s="0" t="n">
        <v>109</v>
      </c>
      <c r="T821" s="0" t="s">
        <v>4156</v>
      </c>
      <c r="U821" s="0" t="s">
        <v>2673</v>
      </c>
      <c r="V821" s="0" t="s">
        <v>220</v>
      </c>
      <c r="W821" s="0" t="s">
        <v>4171</v>
      </c>
      <c r="X821" s="0" t="s">
        <v>4170</v>
      </c>
      <c r="Y821" s="0" t="s">
        <v>4159</v>
      </c>
      <c r="Z821" s="0" t="s">
        <v>4160</v>
      </c>
      <c r="AB821" s="0" t="s">
        <v>3029</v>
      </c>
      <c r="AC821" s="0" t="s">
        <v>4162</v>
      </c>
      <c r="AD821" s="0" t="s">
        <v>4163</v>
      </c>
      <c r="AE821" s="0" t="s">
        <v>4164</v>
      </c>
      <c r="AF821" s="0" t="s">
        <v>4165</v>
      </c>
      <c r="AH821" s="0" t="s">
        <v>2239</v>
      </c>
      <c r="AL821" s="0" t="s">
        <v>523</v>
      </c>
    </row>
    <row r="822" customFormat="false" ht="15" hidden="false" customHeight="false" outlineLevel="0" collapsed="false">
      <c r="A822" s="0" t="s">
        <v>1500</v>
      </c>
      <c r="B822" s="0" t="s">
        <v>211</v>
      </c>
      <c r="C822" s="0" t="s">
        <v>4154</v>
      </c>
      <c r="D822" s="0" t="n">
        <v>2021</v>
      </c>
      <c r="E822" s="0" t="s">
        <v>63</v>
      </c>
      <c r="F822" s="0" t="n">
        <v>-2104393</v>
      </c>
      <c r="G822" s="0" t="s">
        <v>3067</v>
      </c>
      <c r="H822" s="0" t="s">
        <v>3068</v>
      </c>
      <c r="I822" s="0" t="n">
        <v>2104.393</v>
      </c>
      <c r="J822" s="0" t="s">
        <v>4155</v>
      </c>
      <c r="K822" s="0" t="s">
        <v>1883</v>
      </c>
      <c r="L822" s="0" t="n">
        <v>2022</v>
      </c>
      <c r="M822" s="0" t="s">
        <v>1884</v>
      </c>
      <c r="N822" s="0" t="s">
        <v>219</v>
      </c>
      <c r="O822" s="0" t="s">
        <v>2352</v>
      </c>
      <c r="P822" s="0" t="s">
        <v>3028</v>
      </c>
      <c r="Q822" s="0" t="n">
        <v>114</v>
      </c>
      <c r="R822" s="0" t="n">
        <v>109</v>
      </c>
      <c r="S822" s="0" t="n">
        <v>11</v>
      </c>
      <c r="T822" s="0" t="s">
        <v>4156</v>
      </c>
      <c r="U822" s="0" t="s">
        <v>2673</v>
      </c>
      <c r="V822" s="0" t="s">
        <v>220</v>
      </c>
      <c r="W822" s="0" t="s">
        <v>4172</v>
      </c>
      <c r="X822" s="0" t="s">
        <v>4170</v>
      </c>
      <c r="Y822" s="0" t="s">
        <v>4159</v>
      </c>
      <c r="Z822" s="0" t="s">
        <v>4160</v>
      </c>
      <c r="AA822" s="0" t="s">
        <v>4173</v>
      </c>
      <c r="AB822" s="0" t="s">
        <v>3029</v>
      </c>
      <c r="AC822" s="0" t="s">
        <v>4162</v>
      </c>
      <c r="AD822" s="0" t="s">
        <v>4163</v>
      </c>
      <c r="AE822" s="0" t="s">
        <v>4164</v>
      </c>
      <c r="AF822" s="0" t="s">
        <v>4165</v>
      </c>
      <c r="AH822" s="0" t="s">
        <v>4174</v>
      </c>
      <c r="AI822" s="0" t="s">
        <v>4175</v>
      </c>
      <c r="AL822" s="0" t="s">
        <v>523</v>
      </c>
    </row>
    <row r="823" customFormat="false" ht="15" hidden="false" customHeight="false" outlineLevel="0" collapsed="false">
      <c r="A823" s="0" t="s">
        <v>1495</v>
      </c>
      <c r="B823" s="0" t="s">
        <v>211</v>
      </c>
      <c r="C823" s="0" t="s">
        <v>4154</v>
      </c>
      <c r="D823" s="0" t="n">
        <v>2021</v>
      </c>
      <c r="E823" s="0" t="s">
        <v>58</v>
      </c>
      <c r="F823" s="0" t="n">
        <v>9851888</v>
      </c>
      <c r="G823" s="0" t="s">
        <v>3067</v>
      </c>
      <c r="H823" s="0" t="s">
        <v>3068</v>
      </c>
      <c r="I823" s="0" t="n">
        <v>9851.888</v>
      </c>
      <c r="J823" s="0" t="s">
        <v>4155</v>
      </c>
      <c r="K823" s="0" t="s">
        <v>1883</v>
      </c>
      <c r="L823" s="0" t="n">
        <v>2022</v>
      </c>
      <c r="M823" s="0" t="s">
        <v>1884</v>
      </c>
      <c r="N823" s="0" t="s">
        <v>219</v>
      </c>
      <c r="O823" s="0" t="s">
        <v>2352</v>
      </c>
      <c r="P823" s="0" t="s">
        <v>3028</v>
      </c>
      <c r="Q823" s="0" t="n">
        <v>118</v>
      </c>
      <c r="R823" s="0" t="n">
        <v>113</v>
      </c>
      <c r="T823" s="0" t="s">
        <v>4176</v>
      </c>
      <c r="U823" s="0" t="s">
        <v>2673</v>
      </c>
      <c r="V823" s="0" t="s">
        <v>220</v>
      </c>
      <c r="W823" s="0" t="s">
        <v>4177</v>
      </c>
      <c r="X823" s="0" t="s">
        <v>4178</v>
      </c>
      <c r="Y823" s="0" t="s">
        <v>4159</v>
      </c>
      <c r="Z823" s="0" t="s">
        <v>4160</v>
      </c>
      <c r="AB823" s="0" t="s">
        <v>3029</v>
      </c>
      <c r="AC823" s="0" t="s">
        <v>4162</v>
      </c>
      <c r="AD823" s="0" t="s">
        <v>4163</v>
      </c>
      <c r="AE823" s="0" t="s">
        <v>4164</v>
      </c>
      <c r="AF823" s="0" t="s">
        <v>4165</v>
      </c>
      <c r="AH823" s="0" t="s">
        <v>2239</v>
      </c>
      <c r="AL823" s="0" t="s">
        <v>523</v>
      </c>
    </row>
    <row r="824" customFormat="false" ht="15" hidden="false" customHeight="false" outlineLevel="0" collapsed="false">
      <c r="A824" s="0" t="s">
        <v>1497</v>
      </c>
      <c r="B824" s="0" t="s">
        <v>211</v>
      </c>
      <c r="C824" s="0" t="s">
        <v>4154</v>
      </c>
      <c r="D824" s="0" t="n">
        <v>2021</v>
      </c>
      <c r="E824" s="0" t="s">
        <v>60</v>
      </c>
      <c r="F824" s="0" t="n">
        <v>435551971</v>
      </c>
      <c r="G824" s="0" t="s">
        <v>3067</v>
      </c>
      <c r="H824" s="0" t="s">
        <v>3068</v>
      </c>
      <c r="I824" s="0" t="n">
        <v>435551.971</v>
      </c>
      <c r="J824" s="0" t="s">
        <v>4155</v>
      </c>
      <c r="K824" s="0" t="s">
        <v>1883</v>
      </c>
      <c r="L824" s="0" t="n">
        <v>2022</v>
      </c>
      <c r="M824" s="0" t="s">
        <v>1884</v>
      </c>
      <c r="N824" s="0" t="s">
        <v>219</v>
      </c>
      <c r="O824" s="0" t="s">
        <v>2352</v>
      </c>
      <c r="P824" s="0" t="s">
        <v>3028</v>
      </c>
      <c r="Q824" s="0" t="n">
        <v>152</v>
      </c>
      <c r="R824" s="0" t="n">
        <v>147</v>
      </c>
      <c r="S824" s="0" t="n">
        <v>18</v>
      </c>
      <c r="T824" s="0" t="s">
        <v>4156</v>
      </c>
      <c r="U824" s="0" t="s">
        <v>2673</v>
      </c>
      <c r="V824" s="0" t="s">
        <v>220</v>
      </c>
      <c r="W824" s="0" t="s">
        <v>4179</v>
      </c>
      <c r="X824" s="0" t="s">
        <v>4180</v>
      </c>
      <c r="Y824" s="0" t="s">
        <v>4159</v>
      </c>
      <c r="Z824" s="0" t="s">
        <v>4160</v>
      </c>
      <c r="AA824" s="0" t="s">
        <v>4181</v>
      </c>
      <c r="AB824" s="0" t="s">
        <v>3029</v>
      </c>
      <c r="AC824" s="0" t="s">
        <v>4162</v>
      </c>
      <c r="AD824" s="0" t="s">
        <v>4163</v>
      </c>
      <c r="AE824" s="0" t="s">
        <v>4164</v>
      </c>
      <c r="AF824" s="0" t="s">
        <v>4165</v>
      </c>
      <c r="AH824" s="0" t="s">
        <v>2239</v>
      </c>
      <c r="AL824" s="0" t="s">
        <v>523</v>
      </c>
    </row>
    <row r="825" customFormat="false" ht="15" hidden="false" customHeight="false" outlineLevel="0" collapsed="false">
      <c r="A825" s="0" t="s">
        <v>1498</v>
      </c>
      <c r="B825" s="0" t="s">
        <v>211</v>
      </c>
      <c r="C825" s="0" t="s">
        <v>4154</v>
      </c>
      <c r="D825" s="0" t="n">
        <v>2021</v>
      </c>
      <c r="E825" s="0" t="s">
        <v>61</v>
      </c>
      <c r="F825" s="0" t="n">
        <v>-16687668</v>
      </c>
      <c r="G825" s="0" t="s">
        <v>3067</v>
      </c>
      <c r="H825" s="0" t="s">
        <v>3068</v>
      </c>
      <c r="I825" s="0" t="n">
        <v>16687.668</v>
      </c>
      <c r="J825" s="0" t="s">
        <v>4155</v>
      </c>
      <c r="K825" s="0" t="s">
        <v>1883</v>
      </c>
      <c r="L825" s="0" t="n">
        <v>2022</v>
      </c>
      <c r="M825" s="0" t="s">
        <v>1884</v>
      </c>
      <c r="N825" s="0" t="s">
        <v>219</v>
      </c>
      <c r="O825" s="0" t="s">
        <v>2352</v>
      </c>
      <c r="P825" s="0" t="s">
        <v>3028</v>
      </c>
      <c r="Q825" s="0" t="n">
        <v>152</v>
      </c>
      <c r="R825" s="0" t="n">
        <v>147</v>
      </c>
      <c r="S825" s="0" t="n">
        <v>18</v>
      </c>
      <c r="T825" s="0" t="s">
        <v>4156</v>
      </c>
      <c r="U825" s="0" t="s">
        <v>2673</v>
      </c>
      <c r="V825" s="0" t="s">
        <v>220</v>
      </c>
      <c r="W825" s="0" t="s">
        <v>4182</v>
      </c>
      <c r="X825" s="0" t="s">
        <v>4180</v>
      </c>
      <c r="Y825" s="0" t="s">
        <v>4159</v>
      </c>
      <c r="Z825" s="0" t="s">
        <v>4160</v>
      </c>
      <c r="AA825" s="0" t="s">
        <v>4183</v>
      </c>
      <c r="AB825" s="0" t="s">
        <v>3029</v>
      </c>
      <c r="AC825" s="0" t="s">
        <v>4162</v>
      </c>
      <c r="AD825" s="0" t="s">
        <v>4163</v>
      </c>
      <c r="AE825" s="0" t="s">
        <v>4164</v>
      </c>
      <c r="AF825" s="0" t="s">
        <v>4165</v>
      </c>
      <c r="AH825" s="0" t="s">
        <v>4174</v>
      </c>
      <c r="AI825" s="0" t="s">
        <v>4184</v>
      </c>
      <c r="AL825" s="0" t="s">
        <v>523</v>
      </c>
    </row>
    <row r="826" customFormat="false" ht="15" hidden="false" customHeight="false" outlineLevel="0" collapsed="false">
      <c r="A826" s="0" t="s">
        <v>1499</v>
      </c>
      <c r="B826" s="0" t="s">
        <v>211</v>
      </c>
      <c r="C826" s="0" t="s">
        <v>4154</v>
      </c>
      <c r="D826" s="0" t="n">
        <v>2021</v>
      </c>
      <c r="E826" s="0" t="s">
        <v>62</v>
      </c>
      <c r="F826" s="0" t="n">
        <v>418864303</v>
      </c>
      <c r="G826" s="0" t="s">
        <v>3067</v>
      </c>
      <c r="H826" s="0" t="s">
        <v>3068</v>
      </c>
      <c r="I826" s="0" t="n">
        <v>418864.303</v>
      </c>
      <c r="J826" s="0" t="s">
        <v>4155</v>
      </c>
      <c r="K826" s="0" t="s">
        <v>1883</v>
      </c>
      <c r="L826" s="0" t="n">
        <v>2022</v>
      </c>
      <c r="M826" s="0" t="s">
        <v>1884</v>
      </c>
      <c r="N826" s="0" t="s">
        <v>219</v>
      </c>
      <c r="O826" s="0" t="s">
        <v>2352</v>
      </c>
      <c r="P826" s="0" t="s">
        <v>3028</v>
      </c>
      <c r="Q826" s="0" t="n">
        <v>152</v>
      </c>
      <c r="R826" s="0" t="n">
        <v>147</v>
      </c>
      <c r="S826" s="0" t="n">
        <v>18</v>
      </c>
      <c r="T826" s="0" t="s">
        <v>4156</v>
      </c>
      <c r="U826" s="0" t="s">
        <v>2673</v>
      </c>
      <c r="V826" s="0" t="s">
        <v>220</v>
      </c>
      <c r="W826" s="0" t="s">
        <v>4185</v>
      </c>
      <c r="X826" s="0" t="s">
        <v>4180</v>
      </c>
      <c r="Y826" s="0" t="s">
        <v>4159</v>
      </c>
      <c r="Z826" s="0" t="s">
        <v>4160</v>
      </c>
      <c r="AB826" s="0" t="s">
        <v>3029</v>
      </c>
      <c r="AC826" s="0" t="s">
        <v>4162</v>
      </c>
      <c r="AD826" s="0" t="s">
        <v>4163</v>
      </c>
      <c r="AE826" s="0" t="s">
        <v>4164</v>
      </c>
      <c r="AF826" s="0" t="s">
        <v>4165</v>
      </c>
      <c r="AH826" s="0" t="s">
        <v>2239</v>
      </c>
      <c r="AL826" s="0" t="s">
        <v>523</v>
      </c>
    </row>
    <row r="827" customFormat="false" ht="15" hidden="false" customHeight="false" outlineLevel="0" collapsed="false">
      <c r="A827" s="0" t="s">
        <v>1506</v>
      </c>
      <c r="B827" s="0" t="s">
        <v>211</v>
      </c>
      <c r="C827" s="0" t="s">
        <v>4154</v>
      </c>
      <c r="D827" s="0" t="n">
        <v>2021</v>
      </c>
      <c r="E827" s="0" t="s">
        <v>68</v>
      </c>
      <c r="F827" s="0" t="n">
        <v>-11225979</v>
      </c>
      <c r="G827" s="0" t="s">
        <v>3067</v>
      </c>
      <c r="H827" s="0" t="s">
        <v>3068</v>
      </c>
      <c r="I827" s="0" t="n">
        <v>11225.979</v>
      </c>
      <c r="J827" s="0" t="s">
        <v>4155</v>
      </c>
      <c r="K827" s="0" t="s">
        <v>1883</v>
      </c>
      <c r="L827" s="0" t="n">
        <v>2022</v>
      </c>
      <c r="M827" s="0" t="s">
        <v>1884</v>
      </c>
      <c r="N827" s="0" t="s">
        <v>219</v>
      </c>
      <c r="O827" s="0" t="s">
        <v>2352</v>
      </c>
      <c r="P827" s="0" t="s">
        <v>3028</v>
      </c>
      <c r="Q827" s="0" t="n">
        <v>152</v>
      </c>
      <c r="R827" s="0" t="n">
        <v>147</v>
      </c>
      <c r="S827" s="0" t="n">
        <v>18</v>
      </c>
      <c r="T827" s="0" t="s">
        <v>4156</v>
      </c>
      <c r="U827" s="0" t="s">
        <v>2673</v>
      </c>
      <c r="V827" s="0" t="s">
        <v>220</v>
      </c>
      <c r="W827" s="0" t="s">
        <v>4186</v>
      </c>
      <c r="X827" s="0" t="s">
        <v>4180</v>
      </c>
      <c r="Y827" s="0" t="s">
        <v>4159</v>
      </c>
      <c r="Z827" s="0" t="s">
        <v>4160</v>
      </c>
      <c r="AA827" s="0" t="s">
        <v>4187</v>
      </c>
      <c r="AB827" s="0" t="s">
        <v>3029</v>
      </c>
      <c r="AC827" s="0" t="s">
        <v>4162</v>
      </c>
      <c r="AD827" s="0" t="s">
        <v>4163</v>
      </c>
      <c r="AE827" s="0" t="s">
        <v>4164</v>
      </c>
      <c r="AF827" s="0" t="s">
        <v>4165</v>
      </c>
      <c r="AH827" s="0" t="s">
        <v>4174</v>
      </c>
      <c r="AI827" s="0" t="s">
        <v>4184</v>
      </c>
      <c r="AL827" s="0" t="s">
        <v>523</v>
      </c>
    </row>
    <row r="828" customFormat="false" ht="15" hidden="false" customHeight="false" outlineLevel="0" collapsed="false">
      <c r="A828" s="0" t="s">
        <v>1501</v>
      </c>
      <c r="B828" s="0" t="s">
        <v>211</v>
      </c>
      <c r="C828" s="0" t="s">
        <v>4154</v>
      </c>
      <c r="D828" s="0" t="n">
        <v>2021</v>
      </c>
      <c r="E828" s="0" t="s">
        <v>64</v>
      </c>
      <c r="F828" s="0" t="n">
        <v>21263336</v>
      </c>
      <c r="G828" s="0" t="s">
        <v>3067</v>
      </c>
      <c r="H828" s="0" t="s">
        <v>3068</v>
      </c>
      <c r="I828" s="0" t="n">
        <v>21263.336</v>
      </c>
      <c r="J828" s="0" t="s">
        <v>4155</v>
      </c>
      <c r="K828" s="0" t="s">
        <v>1883</v>
      </c>
      <c r="L828" s="0" t="n">
        <v>2022</v>
      </c>
      <c r="M828" s="0" t="s">
        <v>1884</v>
      </c>
      <c r="N828" s="0" t="s">
        <v>219</v>
      </c>
      <c r="O828" s="0" t="s">
        <v>2352</v>
      </c>
      <c r="P828" s="0" t="s">
        <v>3028</v>
      </c>
      <c r="Q828" s="0" t="n">
        <v>182</v>
      </c>
      <c r="R828" s="0" t="n">
        <v>177</v>
      </c>
      <c r="T828" s="0" t="s">
        <v>4188</v>
      </c>
      <c r="U828" s="0" t="s">
        <v>2673</v>
      </c>
      <c r="V828" s="0" t="s">
        <v>220</v>
      </c>
      <c r="W828" s="0" t="s">
        <v>4189</v>
      </c>
      <c r="X828" s="0" t="s">
        <v>4190</v>
      </c>
      <c r="Y828" s="0" t="s">
        <v>4159</v>
      </c>
      <c r="Z828" s="0" t="s">
        <v>4160</v>
      </c>
      <c r="AA828" s="0" t="s">
        <v>4191</v>
      </c>
      <c r="AB828" s="0" t="s">
        <v>3029</v>
      </c>
      <c r="AC828" s="0" t="s">
        <v>4162</v>
      </c>
      <c r="AD828" s="0" t="s">
        <v>4163</v>
      </c>
      <c r="AE828" s="0" t="s">
        <v>4164</v>
      </c>
      <c r="AF828" s="0" t="s">
        <v>4165</v>
      </c>
      <c r="AH828" s="0" t="s">
        <v>2239</v>
      </c>
      <c r="AL828" s="0" t="s">
        <v>523</v>
      </c>
    </row>
    <row r="829" customFormat="false" ht="15" hidden="false" customHeight="false" outlineLevel="0" collapsed="false">
      <c r="A829" s="0" t="s">
        <v>1504</v>
      </c>
      <c r="B829" s="0" t="s">
        <v>211</v>
      </c>
      <c r="C829" s="0" t="s">
        <v>4154</v>
      </c>
      <c r="D829" s="0" t="n">
        <v>2021</v>
      </c>
      <c r="E829" s="0" t="s">
        <v>65</v>
      </c>
      <c r="F829" s="0" t="n">
        <v>40009725</v>
      </c>
      <c r="G829" s="0" t="s">
        <v>3067</v>
      </c>
      <c r="H829" s="0" t="s">
        <v>3068</v>
      </c>
      <c r="I829" s="0" t="n">
        <v>40009.725</v>
      </c>
      <c r="J829" s="0" t="s">
        <v>4155</v>
      </c>
      <c r="K829" s="0" t="s">
        <v>1883</v>
      </c>
      <c r="L829" s="0" t="n">
        <v>2022</v>
      </c>
      <c r="M829" s="0" t="s">
        <v>1884</v>
      </c>
      <c r="N829" s="0" t="s">
        <v>219</v>
      </c>
      <c r="O829" s="0" t="s">
        <v>2352</v>
      </c>
      <c r="P829" s="0" t="s">
        <v>3028</v>
      </c>
      <c r="Q829" s="0" t="n">
        <v>215</v>
      </c>
      <c r="R829" s="0" t="n">
        <v>210</v>
      </c>
      <c r="T829" s="0" t="s">
        <v>4192</v>
      </c>
      <c r="U829" s="0" t="s">
        <v>2673</v>
      </c>
      <c r="V829" s="0" t="s">
        <v>220</v>
      </c>
      <c r="W829" s="0" t="s">
        <v>4193</v>
      </c>
      <c r="X829" s="0" t="s">
        <v>4194</v>
      </c>
      <c r="Y829" s="0" t="s">
        <v>4159</v>
      </c>
      <c r="Z829" s="0" t="s">
        <v>4160</v>
      </c>
      <c r="AA829" s="0" t="s">
        <v>4195</v>
      </c>
      <c r="AB829" s="0" t="s">
        <v>3029</v>
      </c>
      <c r="AC829" s="0" t="s">
        <v>4162</v>
      </c>
      <c r="AD829" s="0" t="s">
        <v>4163</v>
      </c>
      <c r="AE829" s="0" t="s">
        <v>4164</v>
      </c>
      <c r="AF829" s="0" t="s">
        <v>4165</v>
      </c>
      <c r="AH829" s="0" t="s">
        <v>2239</v>
      </c>
      <c r="AL829" s="0" t="s">
        <v>523</v>
      </c>
    </row>
    <row r="830" customFormat="false" ht="15" hidden="false" customHeight="false" outlineLevel="0" collapsed="false">
      <c r="A830" s="0" t="s">
        <v>1505</v>
      </c>
      <c r="B830" s="0" t="s">
        <v>211</v>
      </c>
      <c r="C830" s="0" t="s">
        <v>4154</v>
      </c>
      <c r="D830" s="0" t="n">
        <v>2021</v>
      </c>
      <c r="E830" s="0" t="s">
        <v>66</v>
      </c>
      <c r="F830" s="0" t="n">
        <v>346012969</v>
      </c>
      <c r="G830" s="0" t="s">
        <v>3067</v>
      </c>
      <c r="H830" s="0" t="s">
        <v>3068</v>
      </c>
      <c r="I830" s="0" t="n">
        <v>346012.969</v>
      </c>
      <c r="J830" s="0" t="s">
        <v>4155</v>
      </c>
      <c r="K830" s="0" t="s">
        <v>1883</v>
      </c>
      <c r="L830" s="0" t="n">
        <v>2022</v>
      </c>
      <c r="M830" s="0" t="s">
        <v>1884</v>
      </c>
      <c r="N830" s="0" t="s">
        <v>219</v>
      </c>
      <c r="O830" s="0" t="s">
        <v>2352</v>
      </c>
      <c r="P830" s="0" t="s">
        <v>3028</v>
      </c>
      <c r="Q830" s="0" t="n">
        <v>215</v>
      </c>
      <c r="R830" s="0" t="n">
        <v>210</v>
      </c>
      <c r="T830" s="0" t="s">
        <v>4192</v>
      </c>
      <c r="U830" s="0" t="s">
        <v>2673</v>
      </c>
      <c r="V830" s="0" t="s">
        <v>220</v>
      </c>
      <c r="W830" s="0" t="s">
        <v>4196</v>
      </c>
      <c r="X830" s="0" t="s">
        <v>4194</v>
      </c>
      <c r="Y830" s="0" t="s">
        <v>4159</v>
      </c>
      <c r="Z830" s="0" t="s">
        <v>4160</v>
      </c>
      <c r="AB830" s="0" t="s">
        <v>3029</v>
      </c>
      <c r="AC830" s="0" t="s">
        <v>4162</v>
      </c>
      <c r="AD830" s="0" t="s">
        <v>4163</v>
      </c>
      <c r="AE830" s="0" t="s">
        <v>4164</v>
      </c>
      <c r="AF830" s="0" t="s">
        <v>4165</v>
      </c>
      <c r="AH830" s="0" t="s">
        <v>2239</v>
      </c>
      <c r="AL830" s="0" t="s">
        <v>523</v>
      </c>
    </row>
    <row r="831" customFormat="false" ht="15" hidden="false" customHeight="false" outlineLevel="0" collapsed="false">
      <c r="A831" s="0" t="s">
        <v>1503</v>
      </c>
      <c r="B831" s="0" t="s">
        <v>211</v>
      </c>
      <c r="C831" s="0" t="s">
        <v>4154</v>
      </c>
      <c r="D831" s="0" t="n">
        <v>2021</v>
      </c>
      <c r="E831" s="0" t="s">
        <v>69</v>
      </c>
      <c r="F831" s="0" t="s">
        <v>4197</v>
      </c>
      <c r="G831" s="0" t="s">
        <v>3143</v>
      </c>
      <c r="I831" s="0" t="n">
        <v>11.71</v>
      </c>
      <c r="J831" s="0" t="s">
        <v>4155</v>
      </c>
      <c r="K831" s="0" t="s">
        <v>1883</v>
      </c>
      <c r="L831" s="0" t="n">
        <v>2022</v>
      </c>
      <c r="M831" s="0" t="s">
        <v>1884</v>
      </c>
      <c r="N831" s="0" t="s">
        <v>219</v>
      </c>
      <c r="O831" s="0" t="s">
        <v>2352</v>
      </c>
      <c r="P831" s="0" t="s">
        <v>3028</v>
      </c>
      <c r="Q831" s="0" t="n">
        <v>215</v>
      </c>
      <c r="R831" s="0" t="n">
        <v>210</v>
      </c>
      <c r="T831" s="0" t="s">
        <v>4192</v>
      </c>
      <c r="U831" s="0" t="s">
        <v>2673</v>
      </c>
      <c r="V831" s="0" t="s">
        <v>220</v>
      </c>
      <c r="W831" s="0" t="s">
        <v>4198</v>
      </c>
      <c r="X831" s="0" t="s">
        <v>4194</v>
      </c>
      <c r="Y831" s="0" t="s">
        <v>4159</v>
      </c>
      <c r="Z831" s="0" t="s">
        <v>4160</v>
      </c>
      <c r="AA831" s="0" t="s">
        <v>4199</v>
      </c>
      <c r="AB831" s="0" t="s">
        <v>3029</v>
      </c>
      <c r="AC831" s="0" t="s">
        <v>4162</v>
      </c>
      <c r="AD831" s="0" t="s">
        <v>4163</v>
      </c>
      <c r="AE831" s="0" t="s">
        <v>4164</v>
      </c>
      <c r="AF831" s="0" t="s">
        <v>4165</v>
      </c>
      <c r="AH831" s="0" t="s">
        <v>2239</v>
      </c>
      <c r="AL831" s="0" t="s">
        <v>523</v>
      </c>
    </row>
    <row r="832" customFormat="false" ht="15" hidden="false" customHeight="false" outlineLevel="0" collapsed="false">
      <c r="A832" s="0" t="s">
        <v>1496</v>
      </c>
      <c r="B832" s="0" t="s">
        <v>211</v>
      </c>
      <c r="C832" s="0" t="s">
        <v>4154</v>
      </c>
      <c r="D832" s="0" t="n">
        <v>2021</v>
      </c>
      <c r="E832" s="0" t="s">
        <v>59</v>
      </c>
      <c r="F832" s="0" t="n">
        <v>968582084</v>
      </c>
      <c r="G832" s="0" t="s">
        <v>3067</v>
      </c>
      <c r="H832" s="0" t="s">
        <v>3068</v>
      </c>
      <c r="I832" s="0" t="n">
        <v>968582.084</v>
      </c>
      <c r="J832" s="0" t="s">
        <v>4155</v>
      </c>
      <c r="K832" s="0" t="s">
        <v>1876</v>
      </c>
      <c r="L832" s="0" t="n">
        <v>2020</v>
      </c>
      <c r="M832" s="0" t="s">
        <v>1877</v>
      </c>
      <c r="N832" s="0" t="s">
        <v>218</v>
      </c>
      <c r="O832" s="0" t="s">
        <v>2396</v>
      </c>
      <c r="P832" s="0" t="s">
        <v>2994</v>
      </c>
      <c r="Q832" s="0" t="n">
        <v>34</v>
      </c>
      <c r="R832" s="0" t="n">
        <v>30</v>
      </c>
      <c r="T832" s="0" t="s">
        <v>4200</v>
      </c>
      <c r="U832" s="0" t="s">
        <v>4201</v>
      </c>
      <c r="V832" s="0" t="s">
        <v>95</v>
      </c>
      <c r="W832" s="0" t="s">
        <v>4202</v>
      </c>
      <c r="X832" s="0" t="s">
        <v>4203</v>
      </c>
      <c r="Y832" s="0" t="s">
        <v>4159</v>
      </c>
      <c r="Z832" s="0" t="s">
        <v>4160</v>
      </c>
      <c r="AA832" s="0" t="s">
        <v>4204</v>
      </c>
      <c r="AB832" s="0" t="s">
        <v>2995</v>
      </c>
      <c r="AC832" s="0" t="s">
        <v>4162</v>
      </c>
      <c r="AD832" s="0" t="s">
        <v>4163</v>
      </c>
      <c r="AE832" s="0" t="s">
        <v>4164</v>
      </c>
      <c r="AF832" s="0" t="s">
        <v>4205</v>
      </c>
      <c r="AH832" s="0" t="s">
        <v>2239</v>
      </c>
      <c r="AL832" s="0" t="s">
        <v>523</v>
      </c>
    </row>
    <row r="833" customFormat="false" ht="15" hidden="false" customHeight="false" outlineLevel="0" collapsed="false">
      <c r="A833" s="0" t="s">
        <v>1347</v>
      </c>
      <c r="B833" s="0" t="s">
        <v>187</v>
      </c>
      <c r="C833" s="0" t="s">
        <v>4206</v>
      </c>
      <c r="D833" s="0" t="n">
        <v>2016</v>
      </c>
      <c r="E833" s="0" t="s">
        <v>55</v>
      </c>
      <c r="F833" s="0" t="n">
        <v>1123483</v>
      </c>
      <c r="G833" s="0" t="s">
        <v>3101</v>
      </c>
      <c r="H833" s="0" t="s">
        <v>3068</v>
      </c>
      <c r="I833" s="0" t="n">
        <v>1123483</v>
      </c>
      <c r="J833" s="0" t="s">
        <v>4155</v>
      </c>
      <c r="K833" s="0" t="s">
        <v>2733</v>
      </c>
      <c r="L833" s="0" t="n">
        <v>2016</v>
      </c>
      <c r="M833" s="0" t="s">
        <v>1822</v>
      </c>
      <c r="N833" s="0" t="s">
        <v>189</v>
      </c>
      <c r="O833" s="0" t="s">
        <v>2416</v>
      </c>
      <c r="P833" s="0" t="s">
        <v>4207</v>
      </c>
      <c r="Q833" s="0" t="n">
        <v>42</v>
      </c>
      <c r="R833" s="0" t="n">
        <v>41</v>
      </c>
      <c r="T833" s="0" t="s">
        <v>4208</v>
      </c>
      <c r="U833" s="0" t="s">
        <v>4209</v>
      </c>
      <c r="V833" s="0" t="s">
        <v>87</v>
      </c>
      <c r="W833" s="0" t="s">
        <v>4210</v>
      </c>
      <c r="X833" s="0" t="s">
        <v>4211</v>
      </c>
      <c r="Y833" s="0" t="s">
        <v>4212</v>
      </c>
      <c r="Z833" s="0" t="s">
        <v>4160</v>
      </c>
      <c r="AA833" s="0" t="s">
        <v>4213</v>
      </c>
      <c r="AB833" s="0" t="s">
        <v>4214</v>
      </c>
      <c r="AC833" s="0" t="s">
        <v>4162</v>
      </c>
      <c r="AD833" s="0" t="s">
        <v>4163</v>
      </c>
      <c r="AE833" s="0" t="s">
        <v>4164</v>
      </c>
      <c r="AF833" s="0" t="s">
        <v>4215</v>
      </c>
      <c r="AH833" s="0" t="s">
        <v>2239</v>
      </c>
      <c r="AL833" s="0" t="s">
        <v>539</v>
      </c>
    </row>
    <row r="834" customFormat="false" ht="15" hidden="false" customHeight="false" outlineLevel="0" collapsed="false">
      <c r="A834" s="0" t="s">
        <v>1348</v>
      </c>
      <c r="B834" s="0" t="s">
        <v>187</v>
      </c>
      <c r="C834" s="0" t="s">
        <v>4206</v>
      </c>
      <c r="D834" s="0" t="n">
        <v>2016</v>
      </c>
      <c r="E834" s="0" t="s">
        <v>56</v>
      </c>
      <c r="F834" s="0" t="n">
        <v>872144</v>
      </c>
      <c r="G834" s="0" t="s">
        <v>3101</v>
      </c>
      <c r="H834" s="0" t="s">
        <v>3068</v>
      </c>
      <c r="I834" s="0" t="n">
        <v>872144</v>
      </c>
      <c r="J834" s="0" t="s">
        <v>4155</v>
      </c>
      <c r="K834" s="0" t="s">
        <v>2733</v>
      </c>
      <c r="L834" s="0" t="n">
        <v>2016</v>
      </c>
      <c r="M834" s="0" t="s">
        <v>1822</v>
      </c>
      <c r="N834" s="0" t="s">
        <v>189</v>
      </c>
      <c r="O834" s="0" t="s">
        <v>2416</v>
      </c>
      <c r="P834" s="0" t="s">
        <v>4207</v>
      </c>
      <c r="Q834" s="0" t="n">
        <v>42</v>
      </c>
      <c r="R834" s="0" t="n">
        <v>41</v>
      </c>
      <c r="T834" s="0" t="s">
        <v>4208</v>
      </c>
      <c r="U834" s="0" t="s">
        <v>4209</v>
      </c>
      <c r="V834" s="0" t="s">
        <v>87</v>
      </c>
      <c r="W834" s="0" t="s">
        <v>4216</v>
      </c>
      <c r="X834" s="0" t="s">
        <v>4211</v>
      </c>
      <c r="Y834" s="0" t="s">
        <v>4212</v>
      </c>
      <c r="Z834" s="0" t="s">
        <v>4160</v>
      </c>
      <c r="AA834" s="0" t="s">
        <v>4213</v>
      </c>
      <c r="AB834" s="0" t="s">
        <v>4214</v>
      </c>
      <c r="AC834" s="0" t="s">
        <v>4162</v>
      </c>
      <c r="AD834" s="0" t="s">
        <v>4163</v>
      </c>
      <c r="AE834" s="0" t="s">
        <v>4164</v>
      </c>
      <c r="AF834" s="0" t="s">
        <v>4215</v>
      </c>
      <c r="AH834" s="0" t="s">
        <v>2239</v>
      </c>
      <c r="AL834" s="0" t="s">
        <v>539</v>
      </c>
    </row>
    <row r="835" customFormat="false" ht="15" hidden="false" customHeight="false" outlineLevel="0" collapsed="false">
      <c r="A835" s="0" t="s">
        <v>1349</v>
      </c>
      <c r="B835" s="0" t="s">
        <v>187</v>
      </c>
      <c r="C835" s="0" t="s">
        <v>4206</v>
      </c>
      <c r="D835" s="0" t="n">
        <v>2016</v>
      </c>
      <c r="E835" s="0" t="s">
        <v>57</v>
      </c>
      <c r="F835" s="0" t="n">
        <v>251339</v>
      </c>
      <c r="G835" s="0" t="s">
        <v>3101</v>
      </c>
      <c r="H835" s="0" t="s">
        <v>3068</v>
      </c>
      <c r="I835" s="0" t="n">
        <v>251339</v>
      </c>
      <c r="J835" s="0" t="s">
        <v>4155</v>
      </c>
      <c r="K835" s="0" t="s">
        <v>2733</v>
      </c>
      <c r="L835" s="0" t="n">
        <v>2016</v>
      </c>
      <c r="M835" s="0" t="s">
        <v>1822</v>
      </c>
      <c r="N835" s="0" t="s">
        <v>189</v>
      </c>
      <c r="O835" s="0" t="s">
        <v>2416</v>
      </c>
      <c r="P835" s="0" t="s">
        <v>4207</v>
      </c>
      <c r="Q835" s="0" t="n">
        <v>42</v>
      </c>
      <c r="R835" s="0" t="n">
        <v>41</v>
      </c>
      <c r="T835" s="0" t="s">
        <v>4208</v>
      </c>
      <c r="U835" s="0" t="s">
        <v>4209</v>
      </c>
      <c r="V835" s="0" t="s">
        <v>87</v>
      </c>
      <c r="W835" s="0" t="s">
        <v>4217</v>
      </c>
      <c r="X835" s="0" t="s">
        <v>4211</v>
      </c>
      <c r="Y835" s="0" t="s">
        <v>4212</v>
      </c>
      <c r="Z835" s="0" t="s">
        <v>4160</v>
      </c>
      <c r="AA835" s="0" t="s">
        <v>4213</v>
      </c>
      <c r="AB835" s="0" t="s">
        <v>4214</v>
      </c>
      <c r="AC835" s="0" t="s">
        <v>4162</v>
      </c>
      <c r="AD835" s="0" t="s">
        <v>4163</v>
      </c>
      <c r="AE835" s="0" t="s">
        <v>4164</v>
      </c>
      <c r="AF835" s="0" t="s">
        <v>4215</v>
      </c>
      <c r="AH835" s="0" t="s">
        <v>2239</v>
      </c>
      <c r="AL835" s="0" t="s">
        <v>539</v>
      </c>
    </row>
    <row r="836" customFormat="false" ht="15" hidden="false" customHeight="false" outlineLevel="0" collapsed="false">
      <c r="A836" s="0" t="s">
        <v>1351</v>
      </c>
      <c r="B836" s="0" t="s">
        <v>187</v>
      </c>
      <c r="C836" s="0" t="s">
        <v>4206</v>
      </c>
      <c r="D836" s="0" t="n">
        <v>2016</v>
      </c>
      <c r="E836" s="0" t="s">
        <v>59</v>
      </c>
      <c r="F836" s="0" t="n">
        <v>1000976</v>
      </c>
      <c r="G836" s="0" t="s">
        <v>3101</v>
      </c>
      <c r="H836" s="0" t="s">
        <v>3068</v>
      </c>
      <c r="I836" s="0" t="n">
        <v>1000976</v>
      </c>
      <c r="J836" s="0" t="s">
        <v>4155</v>
      </c>
      <c r="K836" s="0" t="s">
        <v>2733</v>
      </c>
      <c r="L836" s="0" t="n">
        <v>2016</v>
      </c>
      <c r="M836" s="0" t="s">
        <v>1822</v>
      </c>
      <c r="N836" s="0" t="s">
        <v>189</v>
      </c>
      <c r="O836" s="0" t="s">
        <v>2416</v>
      </c>
      <c r="P836" s="0" t="s">
        <v>4207</v>
      </c>
      <c r="Q836" s="0" t="n">
        <v>42</v>
      </c>
      <c r="R836" s="0" t="n">
        <v>41</v>
      </c>
      <c r="T836" s="0" t="s">
        <v>4218</v>
      </c>
      <c r="U836" s="0" t="s">
        <v>4209</v>
      </c>
      <c r="V836" s="0" t="s">
        <v>87</v>
      </c>
      <c r="W836" s="0" t="s">
        <v>4210</v>
      </c>
      <c r="X836" s="0" t="s">
        <v>4211</v>
      </c>
      <c r="Y836" s="0" t="s">
        <v>4212</v>
      </c>
      <c r="Z836" s="0" t="s">
        <v>4160</v>
      </c>
      <c r="AA836" s="0" t="s">
        <v>4219</v>
      </c>
      <c r="AB836" s="0" t="s">
        <v>4214</v>
      </c>
      <c r="AC836" s="0" t="s">
        <v>4162</v>
      </c>
      <c r="AD836" s="0" t="s">
        <v>4163</v>
      </c>
      <c r="AE836" s="0" t="s">
        <v>4164</v>
      </c>
      <c r="AF836" s="0" t="s">
        <v>4215</v>
      </c>
      <c r="AH836" s="0" t="s">
        <v>2239</v>
      </c>
      <c r="AL836" s="0" t="s">
        <v>539</v>
      </c>
    </row>
    <row r="837" customFormat="false" ht="15" hidden="false" customHeight="false" outlineLevel="0" collapsed="false">
      <c r="A837" s="0" t="s">
        <v>1329</v>
      </c>
      <c r="B837" s="0" t="s">
        <v>187</v>
      </c>
      <c r="C837" s="0" t="s">
        <v>4206</v>
      </c>
      <c r="D837" s="0" t="n">
        <v>2015</v>
      </c>
      <c r="E837" s="0" t="s">
        <v>55</v>
      </c>
      <c r="F837" s="0" t="n">
        <v>1000976</v>
      </c>
      <c r="G837" s="0" t="s">
        <v>3101</v>
      </c>
      <c r="H837" s="0" t="s">
        <v>3068</v>
      </c>
      <c r="I837" s="0" t="n">
        <v>1000976</v>
      </c>
      <c r="J837" s="0" t="s">
        <v>4155</v>
      </c>
      <c r="K837" s="0" t="s">
        <v>2733</v>
      </c>
      <c r="L837" s="0" t="n">
        <v>2016</v>
      </c>
      <c r="M837" s="0" t="s">
        <v>1822</v>
      </c>
      <c r="N837" s="0" t="s">
        <v>189</v>
      </c>
      <c r="O837" s="0" t="s">
        <v>2416</v>
      </c>
      <c r="P837" s="0" t="s">
        <v>4207</v>
      </c>
      <c r="Q837" s="0" t="n">
        <v>42</v>
      </c>
      <c r="R837" s="0" t="n">
        <v>41</v>
      </c>
      <c r="T837" s="0" t="s">
        <v>4218</v>
      </c>
      <c r="U837" s="0" t="s">
        <v>4220</v>
      </c>
      <c r="V837" s="0" t="s">
        <v>190</v>
      </c>
      <c r="W837" s="0" t="s">
        <v>4210</v>
      </c>
      <c r="X837" s="0" t="s">
        <v>4211</v>
      </c>
      <c r="Y837" s="0" t="s">
        <v>4212</v>
      </c>
      <c r="Z837" s="0" t="s">
        <v>4160</v>
      </c>
      <c r="AA837" s="0" t="s">
        <v>4213</v>
      </c>
      <c r="AB837" s="0" t="s">
        <v>4214</v>
      </c>
      <c r="AC837" s="0" t="s">
        <v>4162</v>
      </c>
      <c r="AD837" s="0" t="s">
        <v>4163</v>
      </c>
      <c r="AE837" s="0" t="s">
        <v>4164</v>
      </c>
      <c r="AF837" s="0" t="s">
        <v>4215</v>
      </c>
      <c r="AH837" s="0" t="s">
        <v>2239</v>
      </c>
      <c r="AL837" s="0" t="s">
        <v>539</v>
      </c>
    </row>
    <row r="838" customFormat="false" ht="15" hidden="false" customHeight="false" outlineLevel="0" collapsed="false">
      <c r="A838" s="0" t="s">
        <v>1330</v>
      </c>
      <c r="B838" s="0" t="s">
        <v>187</v>
      </c>
      <c r="C838" s="0" t="s">
        <v>4206</v>
      </c>
      <c r="D838" s="0" t="n">
        <v>2015</v>
      </c>
      <c r="E838" s="0" t="s">
        <v>56</v>
      </c>
      <c r="F838" s="0" t="n">
        <v>767469</v>
      </c>
      <c r="G838" s="0" t="s">
        <v>3101</v>
      </c>
      <c r="H838" s="0" t="s">
        <v>3068</v>
      </c>
      <c r="I838" s="0" t="n">
        <v>767469</v>
      </c>
      <c r="J838" s="0" t="s">
        <v>4155</v>
      </c>
      <c r="K838" s="0" t="s">
        <v>2733</v>
      </c>
      <c r="L838" s="0" t="n">
        <v>2016</v>
      </c>
      <c r="M838" s="0" t="s">
        <v>1822</v>
      </c>
      <c r="N838" s="0" t="s">
        <v>189</v>
      </c>
      <c r="O838" s="0" t="s">
        <v>2416</v>
      </c>
      <c r="P838" s="0" t="s">
        <v>4207</v>
      </c>
      <c r="Q838" s="0" t="n">
        <v>42</v>
      </c>
      <c r="R838" s="0" t="n">
        <v>41</v>
      </c>
      <c r="T838" s="0" t="s">
        <v>4218</v>
      </c>
      <c r="U838" s="0" t="s">
        <v>4220</v>
      </c>
      <c r="V838" s="0" t="s">
        <v>190</v>
      </c>
      <c r="W838" s="0" t="s">
        <v>4216</v>
      </c>
      <c r="X838" s="0" t="s">
        <v>4211</v>
      </c>
      <c r="Y838" s="0" t="s">
        <v>4212</v>
      </c>
      <c r="Z838" s="0" t="s">
        <v>4160</v>
      </c>
      <c r="AA838" s="0" t="s">
        <v>4213</v>
      </c>
      <c r="AB838" s="0" t="s">
        <v>4214</v>
      </c>
      <c r="AC838" s="0" t="s">
        <v>4162</v>
      </c>
      <c r="AD838" s="0" t="s">
        <v>4163</v>
      </c>
      <c r="AE838" s="0" t="s">
        <v>4164</v>
      </c>
      <c r="AF838" s="0" t="s">
        <v>4215</v>
      </c>
      <c r="AH838" s="0" t="s">
        <v>2239</v>
      </c>
      <c r="AL838" s="0" t="s">
        <v>539</v>
      </c>
    </row>
    <row r="839" customFormat="false" ht="15" hidden="false" customHeight="false" outlineLevel="0" collapsed="false">
      <c r="A839" s="0" t="s">
        <v>1331</v>
      </c>
      <c r="B839" s="0" t="s">
        <v>187</v>
      </c>
      <c r="C839" s="0" t="s">
        <v>4206</v>
      </c>
      <c r="D839" s="0" t="n">
        <v>2015</v>
      </c>
      <c r="E839" s="0" t="s">
        <v>57</v>
      </c>
      <c r="F839" s="0" t="n">
        <v>233507</v>
      </c>
      <c r="G839" s="0" t="s">
        <v>3101</v>
      </c>
      <c r="H839" s="0" t="s">
        <v>3068</v>
      </c>
      <c r="I839" s="0" t="n">
        <v>233507</v>
      </c>
      <c r="J839" s="0" t="s">
        <v>4155</v>
      </c>
      <c r="K839" s="0" t="s">
        <v>2733</v>
      </c>
      <c r="L839" s="0" t="n">
        <v>2016</v>
      </c>
      <c r="M839" s="0" t="s">
        <v>1822</v>
      </c>
      <c r="N839" s="0" t="s">
        <v>189</v>
      </c>
      <c r="O839" s="0" t="s">
        <v>2416</v>
      </c>
      <c r="P839" s="0" t="s">
        <v>4207</v>
      </c>
      <c r="Q839" s="0" t="n">
        <v>42</v>
      </c>
      <c r="R839" s="0" t="n">
        <v>41</v>
      </c>
      <c r="T839" s="0" t="s">
        <v>4218</v>
      </c>
      <c r="U839" s="0" t="s">
        <v>4220</v>
      </c>
      <c r="V839" s="0" t="s">
        <v>190</v>
      </c>
      <c r="W839" s="0" t="s">
        <v>4217</v>
      </c>
      <c r="X839" s="0" t="s">
        <v>4211</v>
      </c>
      <c r="Y839" s="0" t="s">
        <v>4212</v>
      </c>
      <c r="Z839" s="0" t="s">
        <v>4160</v>
      </c>
      <c r="AA839" s="0" t="s">
        <v>4213</v>
      </c>
      <c r="AB839" s="0" t="s">
        <v>4214</v>
      </c>
      <c r="AC839" s="0" t="s">
        <v>4162</v>
      </c>
      <c r="AD839" s="0" t="s">
        <v>4163</v>
      </c>
      <c r="AE839" s="0" t="s">
        <v>4164</v>
      </c>
      <c r="AF839" s="0" t="s">
        <v>4215</v>
      </c>
      <c r="AH839" s="0" t="s">
        <v>2239</v>
      </c>
      <c r="AL839" s="0" t="s">
        <v>539</v>
      </c>
    </row>
    <row r="840" customFormat="false" ht="15" hidden="false" customHeight="false" outlineLevel="0" collapsed="false">
      <c r="A840" s="0" t="s">
        <v>1333</v>
      </c>
      <c r="B840" s="0" t="s">
        <v>187</v>
      </c>
      <c r="C840" s="0" t="s">
        <v>4206</v>
      </c>
      <c r="D840" s="0" t="n">
        <v>2015</v>
      </c>
      <c r="E840" s="0" t="s">
        <v>59</v>
      </c>
      <c r="F840" s="0" t="n">
        <v>922755</v>
      </c>
      <c r="G840" s="0" t="s">
        <v>3101</v>
      </c>
      <c r="H840" s="0" t="s">
        <v>3068</v>
      </c>
      <c r="I840" s="0" t="n">
        <v>922755</v>
      </c>
      <c r="J840" s="0" t="s">
        <v>4155</v>
      </c>
      <c r="K840" s="0" t="s">
        <v>2733</v>
      </c>
      <c r="L840" s="0" t="n">
        <v>2016</v>
      </c>
      <c r="M840" s="0" t="s">
        <v>1822</v>
      </c>
      <c r="N840" s="0" t="s">
        <v>189</v>
      </c>
      <c r="O840" s="0" t="s">
        <v>2416</v>
      </c>
      <c r="P840" s="0" t="s">
        <v>4207</v>
      </c>
      <c r="Q840" s="0" t="n">
        <v>42</v>
      </c>
      <c r="R840" s="0" t="n">
        <v>41</v>
      </c>
      <c r="T840" s="0" t="s">
        <v>4221</v>
      </c>
      <c r="U840" s="0" t="s">
        <v>4220</v>
      </c>
      <c r="V840" s="0" t="s">
        <v>190</v>
      </c>
      <c r="W840" s="0" t="s">
        <v>4210</v>
      </c>
      <c r="X840" s="0" t="s">
        <v>4211</v>
      </c>
      <c r="Y840" s="0" t="s">
        <v>4212</v>
      </c>
      <c r="Z840" s="0" t="s">
        <v>4160</v>
      </c>
      <c r="AA840" s="0" t="s">
        <v>4219</v>
      </c>
      <c r="AB840" s="0" t="s">
        <v>4214</v>
      </c>
      <c r="AC840" s="0" t="s">
        <v>4162</v>
      </c>
      <c r="AD840" s="0" t="s">
        <v>4163</v>
      </c>
      <c r="AE840" s="0" t="s">
        <v>4164</v>
      </c>
      <c r="AF840" s="0" t="s">
        <v>4215</v>
      </c>
      <c r="AH840" s="0" t="s">
        <v>2239</v>
      </c>
      <c r="AL840" s="0" t="s">
        <v>539</v>
      </c>
    </row>
    <row r="841" customFormat="false" ht="15" hidden="false" customHeight="false" outlineLevel="0" collapsed="false">
      <c r="A841" s="0" t="s">
        <v>1346</v>
      </c>
      <c r="B841" s="0" t="s">
        <v>187</v>
      </c>
      <c r="C841" s="0" t="s">
        <v>4206</v>
      </c>
      <c r="D841" s="0" t="n">
        <v>2016</v>
      </c>
      <c r="E841" s="0" t="s">
        <v>54</v>
      </c>
      <c r="F841" s="0" t="n">
        <v>15885</v>
      </c>
      <c r="G841" s="0" t="s">
        <v>3101</v>
      </c>
      <c r="H841" s="0" t="s">
        <v>3068</v>
      </c>
      <c r="I841" s="0" t="n">
        <v>15885</v>
      </c>
      <c r="J841" s="0" t="s">
        <v>4155</v>
      </c>
      <c r="K841" s="0" t="s">
        <v>2733</v>
      </c>
      <c r="L841" s="0" t="n">
        <v>2016</v>
      </c>
      <c r="M841" s="0" t="s">
        <v>1822</v>
      </c>
      <c r="N841" s="0" t="s">
        <v>189</v>
      </c>
      <c r="O841" s="0" t="s">
        <v>2416</v>
      </c>
      <c r="P841" s="0" t="s">
        <v>4207</v>
      </c>
      <c r="Q841" s="0" t="n">
        <v>40</v>
      </c>
      <c r="R841" s="0" t="n">
        <v>39</v>
      </c>
      <c r="T841" s="0" t="s">
        <v>4208</v>
      </c>
      <c r="U841" s="0" t="s">
        <v>4209</v>
      </c>
      <c r="V841" s="0" t="s">
        <v>87</v>
      </c>
      <c r="W841" s="0" t="s">
        <v>4222</v>
      </c>
      <c r="X841" s="0" t="s">
        <v>4223</v>
      </c>
      <c r="Y841" s="0" t="s">
        <v>4159</v>
      </c>
      <c r="Z841" s="0" t="s">
        <v>4160</v>
      </c>
      <c r="AA841" s="0" t="s">
        <v>4224</v>
      </c>
      <c r="AB841" s="0" t="s">
        <v>4214</v>
      </c>
      <c r="AC841" s="0" t="s">
        <v>4162</v>
      </c>
      <c r="AD841" s="0" t="s">
        <v>4163</v>
      </c>
      <c r="AE841" s="0" t="s">
        <v>4164</v>
      </c>
      <c r="AF841" s="0" t="s">
        <v>4215</v>
      </c>
      <c r="AH841" s="0" t="s">
        <v>2239</v>
      </c>
      <c r="AL841" s="0" t="s">
        <v>523</v>
      </c>
    </row>
    <row r="842" customFormat="false" ht="15" hidden="false" customHeight="false" outlineLevel="0" collapsed="false">
      <c r="A842" s="0" t="s">
        <v>1363</v>
      </c>
      <c r="B842" s="0" t="s">
        <v>187</v>
      </c>
      <c r="C842" s="0" t="s">
        <v>4206</v>
      </c>
      <c r="D842" s="0" t="n">
        <v>2016</v>
      </c>
      <c r="E842" s="0" t="s">
        <v>541</v>
      </c>
      <c r="F842" s="0" t="n">
        <v>16053</v>
      </c>
      <c r="G842" s="0" t="s">
        <v>3101</v>
      </c>
      <c r="H842" s="0" t="s">
        <v>3068</v>
      </c>
      <c r="I842" s="0" t="n">
        <v>16053</v>
      </c>
      <c r="J842" s="0" t="s">
        <v>4155</v>
      </c>
      <c r="K842" s="0" t="s">
        <v>2733</v>
      </c>
      <c r="L842" s="0" t="n">
        <v>2016</v>
      </c>
      <c r="M842" s="0" t="s">
        <v>1822</v>
      </c>
      <c r="N842" s="0" t="s">
        <v>189</v>
      </c>
      <c r="O842" s="0" t="s">
        <v>2416</v>
      </c>
      <c r="P842" s="0" t="s">
        <v>4207</v>
      </c>
      <c r="Q842" s="0" t="n">
        <v>40</v>
      </c>
      <c r="R842" s="0" t="n">
        <v>39</v>
      </c>
      <c r="T842" s="0" t="s">
        <v>4208</v>
      </c>
      <c r="U842" s="0" t="s">
        <v>4209</v>
      </c>
      <c r="V842" s="0" t="s">
        <v>87</v>
      </c>
      <c r="W842" s="0" t="s">
        <v>4225</v>
      </c>
      <c r="X842" s="0" t="s">
        <v>4223</v>
      </c>
      <c r="Y842" s="0" t="s">
        <v>4159</v>
      </c>
      <c r="Z842" s="0" t="s">
        <v>4160</v>
      </c>
      <c r="AB842" s="0" t="s">
        <v>4214</v>
      </c>
      <c r="AC842" s="0" t="s">
        <v>4162</v>
      </c>
      <c r="AD842" s="0" t="s">
        <v>4163</v>
      </c>
      <c r="AE842" s="0" t="s">
        <v>4164</v>
      </c>
      <c r="AF842" s="0" t="s">
        <v>4215</v>
      </c>
      <c r="AH842" s="0" t="s">
        <v>2239</v>
      </c>
      <c r="AL842" s="0" t="s">
        <v>523</v>
      </c>
    </row>
    <row r="843" customFormat="false" ht="15" hidden="false" customHeight="false" outlineLevel="0" collapsed="false">
      <c r="A843" s="0" t="s">
        <v>1356</v>
      </c>
      <c r="B843" s="0" t="s">
        <v>187</v>
      </c>
      <c r="C843" s="0" t="s">
        <v>4206</v>
      </c>
      <c r="D843" s="0" t="n">
        <v>2016</v>
      </c>
      <c r="E843" s="0" t="s">
        <v>307</v>
      </c>
      <c r="F843" s="0" t="n">
        <v>-16486</v>
      </c>
      <c r="G843" s="0" t="s">
        <v>3101</v>
      </c>
      <c r="H843" s="0" t="s">
        <v>3068</v>
      </c>
      <c r="I843" s="0" t="n">
        <v>16486</v>
      </c>
      <c r="J843" s="0" t="s">
        <v>4155</v>
      </c>
      <c r="K843" s="0" t="s">
        <v>2733</v>
      </c>
      <c r="L843" s="0" t="n">
        <v>2016</v>
      </c>
      <c r="M843" s="0" t="s">
        <v>1822</v>
      </c>
      <c r="N843" s="0" t="s">
        <v>189</v>
      </c>
      <c r="O843" s="0" t="s">
        <v>2416</v>
      </c>
      <c r="P843" s="0" t="s">
        <v>4207</v>
      </c>
      <c r="Q843" s="0" t="n">
        <v>40</v>
      </c>
      <c r="R843" s="0" t="n">
        <v>39</v>
      </c>
      <c r="S843" s="0" t="s">
        <v>4226</v>
      </c>
      <c r="T843" s="0" t="s">
        <v>4208</v>
      </c>
      <c r="U843" s="0" t="s">
        <v>4209</v>
      </c>
      <c r="V843" s="0" t="s">
        <v>87</v>
      </c>
      <c r="W843" s="0" t="s">
        <v>4227</v>
      </c>
      <c r="X843" s="0" t="s">
        <v>4223</v>
      </c>
      <c r="Y843" s="0" t="s">
        <v>4159</v>
      </c>
      <c r="Z843" s="0" t="s">
        <v>4160</v>
      </c>
      <c r="AA843" s="0" t="s">
        <v>4228</v>
      </c>
      <c r="AB843" s="0" t="s">
        <v>4214</v>
      </c>
      <c r="AC843" s="0" t="s">
        <v>4162</v>
      </c>
      <c r="AD843" s="0" t="s">
        <v>4163</v>
      </c>
      <c r="AE843" s="0" t="s">
        <v>4164</v>
      </c>
      <c r="AF843" s="0" t="s">
        <v>4215</v>
      </c>
      <c r="AH843" s="0" t="s">
        <v>4174</v>
      </c>
      <c r="AI843" s="0" t="s">
        <v>4175</v>
      </c>
      <c r="AL843" s="0" t="s">
        <v>523</v>
      </c>
    </row>
    <row r="844" customFormat="false" ht="15" hidden="false" customHeight="false" outlineLevel="0" collapsed="false">
      <c r="A844" s="0" t="s">
        <v>1357</v>
      </c>
      <c r="B844" s="0" t="s">
        <v>187</v>
      </c>
      <c r="C844" s="0" t="s">
        <v>4206</v>
      </c>
      <c r="D844" s="0" t="n">
        <v>2016</v>
      </c>
      <c r="E844" s="0" t="s">
        <v>1038</v>
      </c>
      <c r="F844" s="0" t="n">
        <v>717</v>
      </c>
      <c r="G844" s="0" t="s">
        <v>3101</v>
      </c>
      <c r="H844" s="0" t="s">
        <v>3068</v>
      </c>
      <c r="I844" s="0" t="n">
        <v>-717</v>
      </c>
      <c r="J844" s="0" t="s">
        <v>4155</v>
      </c>
      <c r="K844" s="0" t="s">
        <v>2733</v>
      </c>
      <c r="L844" s="0" t="n">
        <v>2016</v>
      </c>
      <c r="M844" s="0" t="s">
        <v>1822</v>
      </c>
      <c r="N844" s="0" t="s">
        <v>189</v>
      </c>
      <c r="O844" s="0" t="s">
        <v>2416</v>
      </c>
      <c r="P844" s="0" t="s">
        <v>4207</v>
      </c>
      <c r="Q844" s="0" t="n">
        <v>40</v>
      </c>
      <c r="R844" s="0" t="n">
        <v>39</v>
      </c>
      <c r="S844" s="0" t="s">
        <v>4229</v>
      </c>
      <c r="T844" s="0" t="s">
        <v>4208</v>
      </c>
      <c r="U844" s="0" t="s">
        <v>4209</v>
      </c>
      <c r="V844" s="0" t="s">
        <v>87</v>
      </c>
      <c r="W844" s="0" t="s">
        <v>4230</v>
      </c>
      <c r="X844" s="0" t="s">
        <v>4223</v>
      </c>
      <c r="Y844" s="0" t="s">
        <v>4159</v>
      </c>
      <c r="Z844" s="0" t="s">
        <v>4160</v>
      </c>
      <c r="AA844" s="0" t="s">
        <v>4231</v>
      </c>
      <c r="AB844" s="0" t="s">
        <v>4214</v>
      </c>
      <c r="AC844" s="0" t="s">
        <v>4162</v>
      </c>
      <c r="AD844" s="0" t="s">
        <v>4163</v>
      </c>
      <c r="AE844" s="0" t="s">
        <v>4164</v>
      </c>
      <c r="AF844" s="0" t="s">
        <v>4215</v>
      </c>
      <c r="AH844" s="0" t="s">
        <v>4174</v>
      </c>
      <c r="AI844" s="0" t="s">
        <v>4175</v>
      </c>
      <c r="AL844" s="0" t="s">
        <v>523</v>
      </c>
    </row>
    <row r="845" customFormat="false" ht="15" hidden="false" customHeight="false" outlineLevel="0" collapsed="false">
      <c r="A845" s="0" t="s">
        <v>1328</v>
      </c>
      <c r="B845" s="0" t="s">
        <v>187</v>
      </c>
      <c r="C845" s="0" t="s">
        <v>4206</v>
      </c>
      <c r="D845" s="0" t="n">
        <v>2015</v>
      </c>
      <c r="E845" s="0" t="s">
        <v>54</v>
      </c>
      <c r="F845" s="0" t="n">
        <v>18035</v>
      </c>
      <c r="G845" s="0" t="s">
        <v>3101</v>
      </c>
      <c r="H845" s="0" t="s">
        <v>3068</v>
      </c>
      <c r="I845" s="0" t="n">
        <v>18035</v>
      </c>
      <c r="J845" s="0" t="s">
        <v>4155</v>
      </c>
      <c r="K845" s="0" t="s">
        <v>2733</v>
      </c>
      <c r="L845" s="0" t="n">
        <v>2016</v>
      </c>
      <c r="M845" s="0" t="s">
        <v>1822</v>
      </c>
      <c r="N845" s="0" t="s">
        <v>189</v>
      </c>
      <c r="O845" s="0" t="s">
        <v>2416</v>
      </c>
      <c r="P845" s="0" t="s">
        <v>4207</v>
      </c>
      <c r="Q845" s="0" t="n">
        <v>40</v>
      </c>
      <c r="R845" s="0" t="n">
        <v>39</v>
      </c>
      <c r="T845" s="0" t="s">
        <v>4218</v>
      </c>
      <c r="U845" s="0" t="s">
        <v>4220</v>
      </c>
      <c r="V845" s="0" t="s">
        <v>190</v>
      </c>
      <c r="W845" s="0" t="s">
        <v>4222</v>
      </c>
      <c r="X845" s="0" t="s">
        <v>4223</v>
      </c>
      <c r="Y845" s="0" t="s">
        <v>4159</v>
      </c>
      <c r="Z845" s="0" t="s">
        <v>4160</v>
      </c>
      <c r="AA845" s="0" t="s">
        <v>4224</v>
      </c>
      <c r="AB845" s="0" t="s">
        <v>4214</v>
      </c>
      <c r="AC845" s="0" t="s">
        <v>4162</v>
      </c>
      <c r="AD845" s="0" t="s">
        <v>4163</v>
      </c>
      <c r="AE845" s="0" t="s">
        <v>4164</v>
      </c>
      <c r="AF845" s="0" t="s">
        <v>4215</v>
      </c>
      <c r="AH845" s="0" t="s">
        <v>2239</v>
      </c>
      <c r="AL845" s="0" t="s">
        <v>523</v>
      </c>
    </row>
    <row r="846" customFormat="false" ht="15" hidden="false" customHeight="false" outlineLevel="0" collapsed="false">
      <c r="A846" s="0" t="s">
        <v>1343</v>
      </c>
      <c r="B846" s="0" t="s">
        <v>187</v>
      </c>
      <c r="C846" s="0" t="s">
        <v>4206</v>
      </c>
      <c r="D846" s="0" t="n">
        <v>2015</v>
      </c>
      <c r="E846" s="0" t="s">
        <v>541</v>
      </c>
      <c r="F846" s="0" t="n">
        <v>18455</v>
      </c>
      <c r="G846" s="0" t="s">
        <v>3101</v>
      </c>
      <c r="H846" s="0" t="s">
        <v>3068</v>
      </c>
      <c r="I846" s="0" t="n">
        <v>18455</v>
      </c>
      <c r="J846" s="0" t="s">
        <v>4155</v>
      </c>
      <c r="K846" s="0" t="s">
        <v>2733</v>
      </c>
      <c r="L846" s="0" t="n">
        <v>2016</v>
      </c>
      <c r="M846" s="0" t="s">
        <v>1822</v>
      </c>
      <c r="N846" s="0" t="s">
        <v>189</v>
      </c>
      <c r="O846" s="0" t="s">
        <v>2416</v>
      </c>
      <c r="P846" s="0" t="s">
        <v>4207</v>
      </c>
      <c r="Q846" s="0" t="n">
        <v>40</v>
      </c>
      <c r="R846" s="0" t="n">
        <v>39</v>
      </c>
      <c r="T846" s="0" t="s">
        <v>4218</v>
      </c>
      <c r="U846" s="0" t="s">
        <v>4220</v>
      </c>
      <c r="V846" s="0" t="s">
        <v>190</v>
      </c>
      <c r="W846" s="0" t="s">
        <v>4225</v>
      </c>
      <c r="X846" s="0" t="s">
        <v>4223</v>
      </c>
      <c r="Y846" s="0" t="s">
        <v>4159</v>
      </c>
      <c r="Z846" s="0" t="s">
        <v>4160</v>
      </c>
      <c r="AB846" s="0" t="s">
        <v>4214</v>
      </c>
      <c r="AC846" s="0" t="s">
        <v>4162</v>
      </c>
      <c r="AD846" s="0" t="s">
        <v>4163</v>
      </c>
      <c r="AE846" s="0" t="s">
        <v>4164</v>
      </c>
      <c r="AF846" s="0" t="s">
        <v>4215</v>
      </c>
      <c r="AH846" s="0" t="s">
        <v>2239</v>
      </c>
      <c r="AL846" s="0" t="s">
        <v>523</v>
      </c>
    </row>
    <row r="847" customFormat="false" ht="15" hidden="false" customHeight="false" outlineLevel="0" collapsed="false">
      <c r="A847" s="0" t="s">
        <v>1338</v>
      </c>
      <c r="B847" s="0" t="s">
        <v>187</v>
      </c>
      <c r="C847" s="0" t="s">
        <v>4206</v>
      </c>
      <c r="D847" s="0" t="n">
        <v>2015</v>
      </c>
      <c r="E847" s="0" t="s">
        <v>307</v>
      </c>
      <c r="F847" s="0" t="n">
        <v>-9881</v>
      </c>
      <c r="G847" s="0" t="s">
        <v>3101</v>
      </c>
      <c r="H847" s="0" t="s">
        <v>3068</v>
      </c>
      <c r="I847" s="0" t="n">
        <v>9881</v>
      </c>
      <c r="J847" s="0" t="s">
        <v>4155</v>
      </c>
      <c r="K847" s="0" t="s">
        <v>2733</v>
      </c>
      <c r="L847" s="0" t="n">
        <v>2016</v>
      </c>
      <c r="M847" s="0" t="s">
        <v>1822</v>
      </c>
      <c r="N847" s="0" t="s">
        <v>189</v>
      </c>
      <c r="O847" s="0" t="s">
        <v>2416</v>
      </c>
      <c r="P847" s="0" t="s">
        <v>4207</v>
      </c>
      <c r="Q847" s="0" t="n">
        <v>40</v>
      </c>
      <c r="R847" s="0" t="n">
        <v>39</v>
      </c>
      <c r="S847" s="0" t="s">
        <v>4226</v>
      </c>
      <c r="T847" s="0" t="s">
        <v>4218</v>
      </c>
      <c r="U847" s="0" t="s">
        <v>4220</v>
      </c>
      <c r="V847" s="0" t="s">
        <v>190</v>
      </c>
      <c r="W847" s="0" t="s">
        <v>4227</v>
      </c>
      <c r="X847" s="0" t="s">
        <v>4223</v>
      </c>
      <c r="Y847" s="0" t="s">
        <v>4159</v>
      </c>
      <c r="Z847" s="0" t="s">
        <v>4160</v>
      </c>
      <c r="AA847" s="0" t="s">
        <v>4228</v>
      </c>
      <c r="AB847" s="0" t="s">
        <v>4214</v>
      </c>
      <c r="AC847" s="0" t="s">
        <v>4162</v>
      </c>
      <c r="AD847" s="0" t="s">
        <v>4163</v>
      </c>
      <c r="AE847" s="0" t="s">
        <v>4164</v>
      </c>
      <c r="AF847" s="0" t="s">
        <v>4215</v>
      </c>
      <c r="AH847" s="0" t="s">
        <v>4174</v>
      </c>
      <c r="AI847" s="0" t="s">
        <v>4175</v>
      </c>
      <c r="AL847" s="0" t="s">
        <v>523</v>
      </c>
    </row>
    <row r="848" customFormat="false" ht="15" hidden="false" customHeight="false" outlineLevel="0" collapsed="false">
      <c r="A848" s="0" t="s">
        <v>1339</v>
      </c>
      <c r="B848" s="0" t="s">
        <v>187</v>
      </c>
      <c r="C848" s="0" t="s">
        <v>4206</v>
      </c>
      <c r="D848" s="0" t="n">
        <v>2015</v>
      </c>
      <c r="E848" s="0" t="s">
        <v>1038</v>
      </c>
      <c r="F848" s="0" t="n">
        <v>704</v>
      </c>
      <c r="G848" s="0" t="s">
        <v>3101</v>
      </c>
      <c r="H848" s="0" t="s">
        <v>3068</v>
      </c>
      <c r="I848" s="0" t="n">
        <v>-704</v>
      </c>
      <c r="J848" s="0" t="s">
        <v>4155</v>
      </c>
      <c r="K848" s="0" t="s">
        <v>2733</v>
      </c>
      <c r="L848" s="0" t="n">
        <v>2016</v>
      </c>
      <c r="M848" s="0" t="s">
        <v>1822</v>
      </c>
      <c r="N848" s="0" t="s">
        <v>189</v>
      </c>
      <c r="O848" s="0" t="s">
        <v>2416</v>
      </c>
      <c r="P848" s="0" t="s">
        <v>4207</v>
      </c>
      <c r="Q848" s="0" t="n">
        <v>40</v>
      </c>
      <c r="R848" s="0" t="n">
        <v>39</v>
      </c>
      <c r="S848" s="0" t="s">
        <v>4229</v>
      </c>
      <c r="T848" s="0" t="s">
        <v>4218</v>
      </c>
      <c r="U848" s="0" t="s">
        <v>4220</v>
      </c>
      <c r="V848" s="0" t="s">
        <v>190</v>
      </c>
      <c r="W848" s="0" t="s">
        <v>4230</v>
      </c>
      <c r="X848" s="0" t="s">
        <v>4223</v>
      </c>
      <c r="Y848" s="0" t="s">
        <v>4159</v>
      </c>
      <c r="Z848" s="0" t="s">
        <v>4160</v>
      </c>
      <c r="AA848" s="0" t="s">
        <v>4231</v>
      </c>
      <c r="AB848" s="0" t="s">
        <v>4214</v>
      </c>
      <c r="AC848" s="0" t="s">
        <v>4162</v>
      </c>
      <c r="AD848" s="0" t="s">
        <v>4163</v>
      </c>
      <c r="AE848" s="0" t="s">
        <v>4164</v>
      </c>
      <c r="AF848" s="0" t="s">
        <v>4215</v>
      </c>
      <c r="AH848" s="0" t="s">
        <v>4174</v>
      </c>
      <c r="AI848" s="0" t="s">
        <v>4175</v>
      </c>
      <c r="AL848" s="0" t="s">
        <v>523</v>
      </c>
    </row>
    <row r="849" customFormat="false" ht="15" hidden="false" customHeight="false" outlineLevel="0" collapsed="false">
      <c r="A849" s="0" t="s">
        <v>1350</v>
      </c>
      <c r="B849" s="0" t="s">
        <v>187</v>
      </c>
      <c r="C849" s="0" t="s">
        <v>4206</v>
      </c>
      <c r="D849" s="0" t="n">
        <v>2016</v>
      </c>
      <c r="E849" s="0" t="s">
        <v>58</v>
      </c>
      <c r="F849" s="0" t="n">
        <v>-70133</v>
      </c>
      <c r="G849" s="0" t="s">
        <v>3101</v>
      </c>
      <c r="H849" s="0" t="s">
        <v>3068</v>
      </c>
      <c r="I849" s="0" t="n">
        <v>-70133</v>
      </c>
      <c r="J849" s="0" t="s">
        <v>4155</v>
      </c>
      <c r="K849" s="0" t="s">
        <v>2733</v>
      </c>
      <c r="L849" s="0" t="n">
        <v>2016</v>
      </c>
      <c r="M849" s="0" t="s">
        <v>1822</v>
      </c>
      <c r="N849" s="0" t="s">
        <v>189</v>
      </c>
      <c r="O849" s="0" t="s">
        <v>2416</v>
      </c>
      <c r="P849" s="0" t="s">
        <v>4207</v>
      </c>
      <c r="Q849" s="0" t="n">
        <v>45</v>
      </c>
      <c r="R849" s="0" t="n">
        <v>44</v>
      </c>
      <c r="T849" s="0" t="s">
        <v>4208</v>
      </c>
      <c r="U849" s="0" t="s">
        <v>4209</v>
      </c>
      <c r="V849" s="0" t="s">
        <v>87</v>
      </c>
      <c r="W849" s="0" t="s">
        <v>4232</v>
      </c>
      <c r="X849" s="0" t="s">
        <v>4233</v>
      </c>
      <c r="Y849" s="0" t="s">
        <v>4159</v>
      </c>
      <c r="Z849" s="0" t="s">
        <v>4160</v>
      </c>
      <c r="AB849" s="0" t="s">
        <v>4214</v>
      </c>
      <c r="AC849" s="0" t="s">
        <v>4162</v>
      </c>
      <c r="AD849" s="0" t="s">
        <v>4163</v>
      </c>
      <c r="AE849" s="0" t="s">
        <v>4164</v>
      </c>
      <c r="AF849" s="0" t="s">
        <v>4215</v>
      </c>
      <c r="AH849" s="0" t="s">
        <v>2239</v>
      </c>
      <c r="AL849" s="0" t="s">
        <v>523</v>
      </c>
    </row>
    <row r="850" customFormat="false" ht="15" hidden="false" customHeight="false" outlineLevel="0" collapsed="false">
      <c r="A850" s="0" t="s">
        <v>1332</v>
      </c>
      <c r="B850" s="0" t="s">
        <v>187</v>
      </c>
      <c r="C850" s="0" t="s">
        <v>4206</v>
      </c>
      <c r="D850" s="0" t="n">
        <v>2015</v>
      </c>
      <c r="E850" s="0" t="s">
        <v>58</v>
      </c>
      <c r="F850" s="0" t="n">
        <v>10975</v>
      </c>
      <c r="G850" s="0" t="s">
        <v>3101</v>
      </c>
      <c r="H850" s="0" t="s">
        <v>3068</v>
      </c>
      <c r="I850" s="0" t="n">
        <v>10975</v>
      </c>
      <c r="J850" s="0" t="s">
        <v>4155</v>
      </c>
      <c r="K850" s="0" t="s">
        <v>2733</v>
      </c>
      <c r="L850" s="0" t="n">
        <v>2016</v>
      </c>
      <c r="M850" s="0" t="s">
        <v>1822</v>
      </c>
      <c r="N850" s="0" t="s">
        <v>189</v>
      </c>
      <c r="O850" s="0" t="s">
        <v>2416</v>
      </c>
      <c r="P850" s="0" t="s">
        <v>4207</v>
      </c>
      <c r="Q850" s="0" t="n">
        <v>45</v>
      </c>
      <c r="R850" s="0" t="n">
        <v>44</v>
      </c>
      <c r="T850" s="0" t="s">
        <v>4234</v>
      </c>
      <c r="U850" s="0" t="s">
        <v>4220</v>
      </c>
      <c r="V850" s="0" t="s">
        <v>190</v>
      </c>
      <c r="W850" s="0" t="s">
        <v>4232</v>
      </c>
      <c r="X850" s="0" t="s">
        <v>4233</v>
      </c>
      <c r="Y850" s="0" t="s">
        <v>4159</v>
      </c>
      <c r="Z850" s="0" t="s">
        <v>4160</v>
      </c>
      <c r="AB850" s="0" t="s">
        <v>4214</v>
      </c>
      <c r="AC850" s="0" t="s">
        <v>4162</v>
      </c>
      <c r="AD850" s="0" t="s">
        <v>4163</v>
      </c>
      <c r="AE850" s="0" t="s">
        <v>4164</v>
      </c>
      <c r="AF850" s="0" t="s">
        <v>4215</v>
      </c>
      <c r="AH850" s="0" t="s">
        <v>2239</v>
      </c>
      <c r="AL850" s="0" t="s">
        <v>523</v>
      </c>
    </row>
    <row r="851" customFormat="false" ht="15" hidden="false" customHeight="false" outlineLevel="0" collapsed="false">
      <c r="A851" s="0" t="s">
        <v>1352</v>
      </c>
      <c r="B851" s="0" t="s">
        <v>187</v>
      </c>
      <c r="C851" s="0" t="s">
        <v>4206</v>
      </c>
      <c r="D851" s="0" t="n">
        <v>2016</v>
      </c>
      <c r="E851" s="0" t="s">
        <v>60</v>
      </c>
      <c r="F851" s="0" t="n">
        <v>518349</v>
      </c>
      <c r="G851" s="0" t="s">
        <v>3101</v>
      </c>
      <c r="H851" s="0" t="s">
        <v>3068</v>
      </c>
      <c r="I851" s="0" t="n">
        <v>518349</v>
      </c>
      <c r="J851" s="0" t="s">
        <v>4155</v>
      </c>
      <c r="K851" s="0" t="s">
        <v>2733</v>
      </c>
      <c r="L851" s="0" t="n">
        <v>2016</v>
      </c>
      <c r="M851" s="0" t="s">
        <v>1822</v>
      </c>
      <c r="N851" s="0" t="s">
        <v>189</v>
      </c>
      <c r="O851" s="0" t="s">
        <v>2416</v>
      </c>
      <c r="P851" s="0" t="s">
        <v>4207</v>
      </c>
      <c r="Q851" s="0" t="n">
        <v>103</v>
      </c>
      <c r="R851" s="0" t="n">
        <v>102</v>
      </c>
      <c r="S851" s="0" t="s">
        <v>4235</v>
      </c>
      <c r="T851" s="0" t="s">
        <v>4208</v>
      </c>
      <c r="U851" s="0" t="s">
        <v>4209</v>
      </c>
      <c r="V851" s="0" t="s">
        <v>87</v>
      </c>
      <c r="W851" s="0" t="s">
        <v>4236</v>
      </c>
      <c r="X851" s="0" t="s">
        <v>4237</v>
      </c>
      <c r="Y851" s="0" t="s">
        <v>4159</v>
      </c>
      <c r="Z851" s="0" t="s">
        <v>4160</v>
      </c>
      <c r="AB851" s="0" t="s">
        <v>4214</v>
      </c>
      <c r="AC851" s="0" t="s">
        <v>4162</v>
      </c>
      <c r="AD851" s="0" t="s">
        <v>4163</v>
      </c>
      <c r="AE851" s="0" t="s">
        <v>4164</v>
      </c>
      <c r="AF851" s="0" t="s">
        <v>4215</v>
      </c>
      <c r="AH851" s="0" t="s">
        <v>2239</v>
      </c>
      <c r="AL851" s="0" t="s">
        <v>523</v>
      </c>
    </row>
    <row r="852" customFormat="false" ht="15" hidden="false" customHeight="false" outlineLevel="0" collapsed="false">
      <c r="A852" s="0" t="s">
        <v>1353</v>
      </c>
      <c r="B852" s="0" t="s">
        <v>187</v>
      </c>
      <c r="C852" s="0" t="s">
        <v>4206</v>
      </c>
      <c r="D852" s="0" t="n">
        <v>2016</v>
      </c>
      <c r="E852" s="0" t="s">
        <v>61</v>
      </c>
      <c r="F852" s="0" t="n">
        <v>-28459</v>
      </c>
      <c r="G852" s="0" t="s">
        <v>3101</v>
      </c>
      <c r="H852" s="0" t="s">
        <v>3068</v>
      </c>
      <c r="I852" s="0" t="n">
        <v>28459</v>
      </c>
      <c r="J852" s="0" t="s">
        <v>4155</v>
      </c>
      <c r="K852" s="0" t="s">
        <v>2733</v>
      </c>
      <c r="L852" s="0" t="n">
        <v>2016</v>
      </c>
      <c r="M852" s="0" t="s">
        <v>1822</v>
      </c>
      <c r="N852" s="0" t="s">
        <v>189</v>
      </c>
      <c r="O852" s="0" t="s">
        <v>2416</v>
      </c>
      <c r="P852" s="0" t="s">
        <v>4207</v>
      </c>
      <c r="Q852" s="0" t="n">
        <v>103</v>
      </c>
      <c r="R852" s="0" t="n">
        <v>102</v>
      </c>
      <c r="S852" s="0" t="s">
        <v>4235</v>
      </c>
      <c r="T852" s="0" t="s">
        <v>4208</v>
      </c>
      <c r="U852" s="0" t="s">
        <v>4209</v>
      </c>
      <c r="V852" s="0" t="s">
        <v>87</v>
      </c>
      <c r="W852" s="0" t="s">
        <v>4238</v>
      </c>
      <c r="X852" s="0" t="s">
        <v>4237</v>
      </c>
      <c r="Y852" s="0" t="s">
        <v>4159</v>
      </c>
      <c r="Z852" s="0" t="s">
        <v>4160</v>
      </c>
      <c r="AA852" s="0" t="s">
        <v>4239</v>
      </c>
      <c r="AB852" s="0" t="s">
        <v>4214</v>
      </c>
      <c r="AC852" s="0" t="s">
        <v>4162</v>
      </c>
      <c r="AD852" s="0" t="s">
        <v>4163</v>
      </c>
      <c r="AE852" s="0" t="s">
        <v>4164</v>
      </c>
      <c r="AF852" s="0" t="s">
        <v>4215</v>
      </c>
      <c r="AH852" s="0" t="s">
        <v>4174</v>
      </c>
      <c r="AI852" s="0" t="s">
        <v>4184</v>
      </c>
      <c r="AL852" s="0" t="s">
        <v>523</v>
      </c>
    </row>
    <row r="853" customFormat="false" ht="15" hidden="false" customHeight="false" outlineLevel="0" collapsed="false">
      <c r="A853" s="0" t="s">
        <v>1354</v>
      </c>
      <c r="B853" s="0" t="s">
        <v>187</v>
      </c>
      <c r="C853" s="0" t="s">
        <v>4206</v>
      </c>
      <c r="D853" s="0" t="n">
        <v>2016</v>
      </c>
      <c r="E853" s="0" t="s">
        <v>62</v>
      </c>
      <c r="F853" s="0" t="n">
        <v>489890</v>
      </c>
      <c r="G853" s="0" t="s">
        <v>3101</v>
      </c>
      <c r="H853" s="0" t="s">
        <v>3068</v>
      </c>
      <c r="I853" s="0" t="n">
        <v>489890</v>
      </c>
      <c r="J853" s="0" t="s">
        <v>4155</v>
      </c>
      <c r="K853" s="0" t="s">
        <v>2733</v>
      </c>
      <c r="L853" s="0" t="n">
        <v>2016</v>
      </c>
      <c r="M853" s="0" t="s">
        <v>1822</v>
      </c>
      <c r="N853" s="0" t="s">
        <v>189</v>
      </c>
      <c r="O853" s="0" t="s">
        <v>2416</v>
      </c>
      <c r="P853" s="0" t="s">
        <v>4207</v>
      </c>
      <c r="Q853" s="0" t="n">
        <v>103</v>
      </c>
      <c r="R853" s="0" t="n">
        <v>102</v>
      </c>
      <c r="S853" s="0" t="s">
        <v>4235</v>
      </c>
      <c r="T853" s="0" t="s">
        <v>4208</v>
      </c>
      <c r="U853" s="0" t="s">
        <v>4209</v>
      </c>
      <c r="V853" s="0" t="s">
        <v>87</v>
      </c>
      <c r="W853" s="0" t="s">
        <v>4240</v>
      </c>
      <c r="X853" s="0" t="s">
        <v>4237</v>
      </c>
      <c r="Y853" s="0" t="s">
        <v>4159</v>
      </c>
      <c r="Z853" s="0" t="s">
        <v>4160</v>
      </c>
      <c r="AB853" s="0" t="s">
        <v>4214</v>
      </c>
      <c r="AC853" s="0" t="s">
        <v>4162</v>
      </c>
      <c r="AD853" s="0" t="s">
        <v>4163</v>
      </c>
      <c r="AE853" s="0" t="s">
        <v>4164</v>
      </c>
      <c r="AF853" s="0" t="s">
        <v>4215</v>
      </c>
      <c r="AH853" s="0" t="s">
        <v>2239</v>
      </c>
      <c r="AL853" s="0" t="s">
        <v>523</v>
      </c>
    </row>
    <row r="854" customFormat="false" ht="15" hidden="false" customHeight="false" outlineLevel="0" collapsed="false">
      <c r="A854" s="0" t="s">
        <v>1364</v>
      </c>
      <c r="B854" s="0" t="s">
        <v>187</v>
      </c>
      <c r="C854" s="0" t="s">
        <v>4206</v>
      </c>
      <c r="D854" s="0" t="n">
        <v>2016</v>
      </c>
      <c r="E854" s="0" t="s">
        <v>543</v>
      </c>
      <c r="F854" s="0" t="n">
        <v>-14887</v>
      </c>
      <c r="G854" s="0" t="s">
        <v>3101</v>
      </c>
      <c r="H854" s="0" t="s">
        <v>3068</v>
      </c>
      <c r="I854" s="0" t="n">
        <v>14887</v>
      </c>
      <c r="J854" s="0" t="s">
        <v>4155</v>
      </c>
      <c r="K854" s="0" t="s">
        <v>2733</v>
      </c>
      <c r="L854" s="0" t="n">
        <v>2016</v>
      </c>
      <c r="M854" s="0" t="s">
        <v>1822</v>
      </c>
      <c r="N854" s="0" t="s">
        <v>189</v>
      </c>
      <c r="O854" s="0" t="s">
        <v>2416</v>
      </c>
      <c r="P854" s="0" t="s">
        <v>4207</v>
      </c>
      <c r="Q854" s="0" t="n">
        <v>103</v>
      </c>
      <c r="R854" s="0" t="n">
        <v>102</v>
      </c>
      <c r="S854" s="0" t="s">
        <v>4235</v>
      </c>
      <c r="T854" s="0" t="s">
        <v>4208</v>
      </c>
      <c r="U854" s="0" t="s">
        <v>4209</v>
      </c>
      <c r="V854" s="0" t="s">
        <v>87</v>
      </c>
      <c r="W854" s="0" t="s">
        <v>4241</v>
      </c>
      <c r="X854" s="0" t="s">
        <v>4237</v>
      </c>
      <c r="Y854" s="0" t="s">
        <v>4159</v>
      </c>
      <c r="Z854" s="0" t="s">
        <v>4160</v>
      </c>
      <c r="AA854" s="0" t="s">
        <v>4242</v>
      </c>
      <c r="AB854" s="0" t="s">
        <v>4214</v>
      </c>
      <c r="AC854" s="0" t="s">
        <v>4162</v>
      </c>
      <c r="AD854" s="0" t="s">
        <v>4163</v>
      </c>
      <c r="AE854" s="0" t="s">
        <v>4164</v>
      </c>
      <c r="AF854" s="0" t="s">
        <v>4215</v>
      </c>
      <c r="AH854" s="0" t="s">
        <v>4174</v>
      </c>
      <c r="AI854" s="0" t="s">
        <v>4184</v>
      </c>
      <c r="AL854" s="0" t="s">
        <v>523</v>
      </c>
    </row>
    <row r="855" customFormat="false" ht="15" hidden="false" customHeight="false" outlineLevel="0" collapsed="false">
      <c r="A855" s="0" t="s">
        <v>1365</v>
      </c>
      <c r="B855" s="0" t="s">
        <v>187</v>
      </c>
      <c r="C855" s="0" t="s">
        <v>4206</v>
      </c>
      <c r="D855" s="0" t="n">
        <v>2016</v>
      </c>
      <c r="E855" s="0" t="s">
        <v>545</v>
      </c>
      <c r="F855" s="0" t="n">
        <v>-13572</v>
      </c>
      <c r="G855" s="0" t="s">
        <v>3101</v>
      </c>
      <c r="H855" s="0" t="s">
        <v>3068</v>
      </c>
      <c r="I855" s="0" t="n">
        <v>13572</v>
      </c>
      <c r="J855" s="0" t="s">
        <v>4155</v>
      </c>
      <c r="K855" s="0" t="s">
        <v>2733</v>
      </c>
      <c r="L855" s="0" t="n">
        <v>2016</v>
      </c>
      <c r="M855" s="0" t="s">
        <v>1822</v>
      </c>
      <c r="N855" s="0" t="s">
        <v>189</v>
      </c>
      <c r="O855" s="0" t="s">
        <v>2416</v>
      </c>
      <c r="P855" s="0" t="s">
        <v>4207</v>
      </c>
      <c r="Q855" s="0" t="n">
        <v>103</v>
      </c>
      <c r="R855" s="0" t="n">
        <v>102</v>
      </c>
      <c r="S855" s="0" t="s">
        <v>4235</v>
      </c>
      <c r="T855" s="0" t="s">
        <v>4208</v>
      </c>
      <c r="U855" s="0" t="s">
        <v>4209</v>
      </c>
      <c r="V855" s="0" t="s">
        <v>87</v>
      </c>
      <c r="W855" s="0" t="s">
        <v>4243</v>
      </c>
      <c r="X855" s="0" t="s">
        <v>4237</v>
      </c>
      <c r="Y855" s="0" t="s">
        <v>4159</v>
      </c>
      <c r="Z855" s="0" t="s">
        <v>4160</v>
      </c>
      <c r="AA855" s="0" t="s">
        <v>4242</v>
      </c>
      <c r="AB855" s="0" t="s">
        <v>4214</v>
      </c>
      <c r="AC855" s="0" t="s">
        <v>4162</v>
      </c>
      <c r="AD855" s="0" t="s">
        <v>4163</v>
      </c>
      <c r="AE855" s="0" t="s">
        <v>4164</v>
      </c>
      <c r="AF855" s="0" t="s">
        <v>4215</v>
      </c>
      <c r="AH855" s="0" t="s">
        <v>4174</v>
      </c>
      <c r="AI855" s="0" t="s">
        <v>4184</v>
      </c>
      <c r="AL855" s="0" t="s">
        <v>523</v>
      </c>
    </row>
    <row r="856" customFormat="false" ht="15" hidden="false" customHeight="false" outlineLevel="0" collapsed="false">
      <c r="A856" s="0" t="s">
        <v>1334</v>
      </c>
      <c r="B856" s="0" t="s">
        <v>187</v>
      </c>
      <c r="C856" s="0" t="s">
        <v>4206</v>
      </c>
      <c r="D856" s="0" t="n">
        <v>2015</v>
      </c>
      <c r="E856" s="0" t="s">
        <v>60</v>
      </c>
      <c r="F856" s="0" t="n">
        <v>370949</v>
      </c>
      <c r="G856" s="0" t="s">
        <v>3101</v>
      </c>
      <c r="H856" s="0" t="s">
        <v>3068</v>
      </c>
      <c r="I856" s="0" t="n">
        <v>370949</v>
      </c>
      <c r="J856" s="0" t="s">
        <v>4155</v>
      </c>
      <c r="K856" s="0" t="s">
        <v>2733</v>
      </c>
      <c r="L856" s="0" t="n">
        <v>2016</v>
      </c>
      <c r="M856" s="0" t="s">
        <v>1822</v>
      </c>
      <c r="N856" s="0" t="s">
        <v>189</v>
      </c>
      <c r="O856" s="0" t="s">
        <v>2416</v>
      </c>
      <c r="P856" s="0" t="s">
        <v>4207</v>
      </c>
      <c r="Q856" s="0" t="n">
        <v>103</v>
      </c>
      <c r="R856" s="0" t="n">
        <v>102</v>
      </c>
      <c r="S856" s="0" t="s">
        <v>4235</v>
      </c>
      <c r="T856" s="0" t="s">
        <v>4234</v>
      </c>
      <c r="U856" s="0" t="s">
        <v>4220</v>
      </c>
      <c r="V856" s="0" t="s">
        <v>190</v>
      </c>
      <c r="W856" s="0" t="s">
        <v>4236</v>
      </c>
      <c r="X856" s="0" t="s">
        <v>4237</v>
      </c>
      <c r="Y856" s="0" t="s">
        <v>4159</v>
      </c>
      <c r="Z856" s="0" t="s">
        <v>4160</v>
      </c>
      <c r="AB856" s="0" t="s">
        <v>4214</v>
      </c>
      <c r="AC856" s="0" t="s">
        <v>4162</v>
      </c>
      <c r="AD856" s="0" t="s">
        <v>4163</v>
      </c>
      <c r="AE856" s="0" t="s">
        <v>4164</v>
      </c>
      <c r="AF856" s="0" t="s">
        <v>4215</v>
      </c>
      <c r="AH856" s="0" t="s">
        <v>2239</v>
      </c>
      <c r="AL856" s="0" t="s">
        <v>523</v>
      </c>
    </row>
    <row r="857" customFormat="false" ht="15" hidden="false" customHeight="false" outlineLevel="0" collapsed="false">
      <c r="A857" s="0" t="s">
        <v>1335</v>
      </c>
      <c r="B857" s="0" t="s">
        <v>187</v>
      </c>
      <c r="C857" s="0" t="s">
        <v>4206</v>
      </c>
      <c r="D857" s="0" t="n">
        <v>2015</v>
      </c>
      <c r="E857" s="0" t="s">
        <v>61</v>
      </c>
      <c r="F857" s="0" t="n">
        <v>-21965</v>
      </c>
      <c r="G857" s="0" t="s">
        <v>3101</v>
      </c>
      <c r="H857" s="0" t="s">
        <v>3068</v>
      </c>
      <c r="I857" s="0" t="n">
        <v>21965</v>
      </c>
      <c r="J857" s="0" t="s">
        <v>4155</v>
      </c>
      <c r="K857" s="0" t="s">
        <v>2733</v>
      </c>
      <c r="L857" s="0" t="n">
        <v>2016</v>
      </c>
      <c r="M857" s="0" t="s">
        <v>1822</v>
      </c>
      <c r="N857" s="0" t="s">
        <v>189</v>
      </c>
      <c r="O857" s="0" t="s">
        <v>2416</v>
      </c>
      <c r="P857" s="0" t="s">
        <v>4207</v>
      </c>
      <c r="Q857" s="0" t="n">
        <v>103</v>
      </c>
      <c r="R857" s="0" t="n">
        <v>102</v>
      </c>
      <c r="S857" s="0" t="s">
        <v>4235</v>
      </c>
      <c r="T857" s="0" t="s">
        <v>4234</v>
      </c>
      <c r="U857" s="0" t="s">
        <v>4220</v>
      </c>
      <c r="V857" s="0" t="s">
        <v>190</v>
      </c>
      <c r="W857" s="0" t="s">
        <v>4238</v>
      </c>
      <c r="X857" s="0" t="s">
        <v>4237</v>
      </c>
      <c r="Y857" s="0" t="s">
        <v>4159</v>
      </c>
      <c r="Z857" s="0" t="s">
        <v>4160</v>
      </c>
      <c r="AA857" s="0" t="s">
        <v>4239</v>
      </c>
      <c r="AB857" s="0" t="s">
        <v>4214</v>
      </c>
      <c r="AC857" s="0" t="s">
        <v>4162</v>
      </c>
      <c r="AD857" s="0" t="s">
        <v>4163</v>
      </c>
      <c r="AE857" s="0" t="s">
        <v>4164</v>
      </c>
      <c r="AF857" s="0" t="s">
        <v>4215</v>
      </c>
      <c r="AH857" s="0" t="s">
        <v>4174</v>
      </c>
      <c r="AI857" s="0" t="s">
        <v>4184</v>
      </c>
      <c r="AL857" s="0" t="s">
        <v>523</v>
      </c>
    </row>
    <row r="858" customFormat="false" ht="15" hidden="false" customHeight="false" outlineLevel="0" collapsed="false">
      <c r="A858" s="0" t="s">
        <v>1336</v>
      </c>
      <c r="B858" s="0" t="s">
        <v>187</v>
      </c>
      <c r="C858" s="0" t="s">
        <v>4206</v>
      </c>
      <c r="D858" s="0" t="n">
        <v>2015</v>
      </c>
      <c r="E858" s="0" t="s">
        <v>62</v>
      </c>
      <c r="F858" s="0" t="n">
        <v>348984</v>
      </c>
      <c r="G858" s="0" t="s">
        <v>3101</v>
      </c>
      <c r="H858" s="0" t="s">
        <v>3068</v>
      </c>
      <c r="I858" s="0" t="n">
        <v>348984</v>
      </c>
      <c r="J858" s="0" t="s">
        <v>4155</v>
      </c>
      <c r="K858" s="0" t="s">
        <v>2733</v>
      </c>
      <c r="L858" s="0" t="n">
        <v>2016</v>
      </c>
      <c r="M858" s="0" t="s">
        <v>1822</v>
      </c>
      <c r="N858" s="0" t="s">
        <v>189</v>
      </c>
      <c r="O858" s="0" t="s">
        <v>2416</v>
      </c>
      <c r="P858" s="0" t="s">
        <v>4207</v>
      </c>
      <c r="Q858" s="0" t="n">
        <v>103</v>
      </c>
      <c r="R858" s="0" t="n">
        <v>102</v>
      </c>
      <c r="S858" s="0" t="s">
        <v>4235</v>
      </c>
      <c r="T858" s="0" t="s">
        <v>4234</v>
      </c>
      <c r="U858" s="0" t="s">
        <v>4220</v>
      </c>
      <c r="V858" s="0" t="s">
        <v>190</v>
      </c>
      <c r="W858" s="0" t="s">
        <v>4240</v>
      </c>
      <c r="X858" s="0" t="s">
        <v>4237</v>
      </c>
      <c r="Y858" s="0" t="s">
        <v>4159</v>
      </c>
      <c r="Z858" s="0" t="s">
        <v>4160</v>
      </c>
      <c r="AB858" s="0" t="s">
        <v>4214</v>
      </c>
      <c r="AC858" s="0" t="s">
        <v>4162</v>
      </c>
      <c r="AD858" s="0" t="s">
        <v>4163</v>
      </c>
      <c r="AE858" s="0" t="s">
        <v>4164</v>
      </c>
      <c r="AF858" s="0" t="s">
        <v>4215</v>
      </c>
      <c r="AH858" s="0" t="s">
        <v>2239</v>
      </c>
      <c r="AL858" s="0" t="s">
        <v>523</v>
      </c>
    </row>
    <row r="859" customFormat="false" ht="15" hidden="false" customHeight="false" outlineLevel="0" collapsed="false">
      <c r="A859" s="0" t="s">
        <v>1344</v>
      </c>
      <c r="B859" s="0" t="s">
        <v>187</v>
      </c>
      <c r="C859" s="0" t="s">
        <v>4206</v>
      </c>
      <c r="D859" s="0" t="n">
        <v>2015</v>
      </c>
      <c r="E859" s="0" t="s">
        <v>543</v>
      </c>
      <c r="F859" s="0" t="n">
        <v>-11565</v>
      </c>
      <c r="G859" s="0" t="s">
        <v>3101</v>
      </c>
      <c r="H859" s="0" t="s">
        <v>3068</v>
      </c>
      <c r="I859" s="0" t="n">
        <v>11565</v>
      </c>
      <c r="J859" s="0" t="s">
        <v>4155</v>
      </c>
      <c r="K859" s="0" t="s">
        <v>2733</v>
      </c>
      <c r="L859" s="0" t="n">
        <v>2016</v>
      </c>
      <c r="M859" s="0" t="s">
        <v>1822</v>
      </c>
      <c r="N859" s="0" t="s">
        <v>189</v>
      </c>
      <c r="O859" s="0" t="s">
        <v>2416</v>
      </c>
      <c r="P859" s="0" t="s">
        <v>4207</v>
      </c>
      <c r="Q859" s="0" t="n">
        <v>103</v>
      </c>
      <c r="R859" s="0" t="n">
        <v>102</v>
      </c>
      <c r="S859" s="0" t="s">
        <v>4235</v>
      </c>
      <c r="T859" s="0" t="s">
        <v>4234</v>
      </c>
      <c r="U859" s="0" t="s">
        <v>4220</v>
      </c>
      <c r="V859" s="0" t="s">
        <v>190</v>
      </c>
      <c r="W859" s="0" t="s">
        <v>4241</v>
      </c>
      <c r="X859" s="0" t="s">
        <v>4237</v>
      </c>
      <c r="Y859" s="0" t="s">
        <v>4159</v>
      </c>
      <c r="Z859" s="0" t="s">
        <v>4160</v>
      </c>
      <c r="AA859" s="0" t="s">
        <v>4242</v>
      </c>
      <c r="AB859" s="0" t="s">
        <v>4214</v>
      </c>
      <c r="AC859" s="0" t="s">
        <v>4162</v>
      </c>
      <c r="AD859" s="0" t="s">
        <v>4163</v>
      </c>
      <c r="AE859" s="0" t="s">
        <v>4164</v>
      </c>
      <c r="AF859" s="0" t="s">
        <v>4215</v>
      </c>
      <c r="AH859" s="0" t="s">
        <v>4174</v>
      </c>
      <c r="AI859" s="0" t="s">
        <v>4184</v>
      </c>
      <c r="AL859" s="0" t="s">
        <v>523</v>
      </c>
    </row>
    <row r="860" customFormat="false" ht="15" hidden="false" customHeight="false" outlineLevel="0" collapsed="false">
      <c r="A860" s="0" t="s">
        <v>1345</v>
      </c>
      <c r="B860" s="0" t="s">
        <v>187</v>
      </c>
      <c r="C860" s="0" t="s">
        <v>4206</v>
      </c>
      <c r="D860" s="0" t="n">
        <v>2015</v>
      </c>
      <c r="E860" s="0" t="s">
        <v>545</v>
      </c>
      <c r="F860" s="0" t="n">
        <v>-10400</v>
      </c>
      <c r="G860" s="0" t="s">
        <v>3101</v>
      </c>
      <c r="H860" s="0" t="s">
        <v>3068</v>
      </c>
      <c r="I860" s="0" t="n">
        <v>10400</v>
      </c>
      <c r="J860" s="0" t="s">
        <v>4155</v>
      </c>
      <c r="K860" s="0" t="s">
        <v>2733</v>
      </c>
      <c r="L860" s="0" t="n">
        <v>2016</v>
      </c>
      <c r="M860" s="0" t="s">
        <v>1822</v>
      </c>
      <c r="N860" s="0" t="s">
        <v>189</v>
      </c>
      <c r="O860" s="0" t="s">
        <v>2416</v>
      </c>
      <c r="P860" s="0" t="s">
        <v>4207</v>
      </c>
      <c r="Q860" s="0" t="n">
        <v>103</v>
      </c>
      <c r="R860" s="0" t="n">
        <v>102</v>
      </c>
      <c r="S860" s="0" t="s">
        <v>4235</v>
      </c>
      <c r="T860" s="0" t="s">
        <v>4234</v>
      </c>
      <c r="U860" s="0" t="s">
        <v>4220</v>
      </c>
      <c r="V860" s="0" t="s">
        <v>190</v>
      </c>
      <c r="W860" s="0" t="s">
        <v>4243</v>
      </c>
      <c r="X860" s="0" t="s">
        <v>4237</v>
      </c>
      <c r="Y860" s="0" t="s">
        <v>4159</v>
      </c>
      <c r="Z860" s="0" t="s">
        <v>4160</v>
      </c>
      <c r="AA860" s="0" t="s">
        <v>4242</v>
      </c>
      <c r="AB860" s="0" t="s">
        <v>4214</v>
      </c>
      <c r="AC860" s="0" t="s">
        <v>4162</v>
      </c>
      <c r="AD860" s="0" t="s">
        <v>4163</v>
      </c>
      <c r="AE860" s="0" t="s">
        <v>4164</v>
      </c>
      <c r="AF860" s="0" t="s">
        <v>4215</v>
      </c>
      <c r="AH860" s="0" t="s">
        <v>4174</v>
      </c>
      <c r="AI860" s="0" t="s">
        <v>4184</v>
      </c>
      <c r="AL860" s="0" t="s">
        <v>523</v>
      </c>
    </row>
    <row r="861" customFormat="false" ht="15" hidden="false" customHeight="false" outlineLevel="0" collapsed="false">
      <c r="A861" s="0" t="s">
        <v>1360</v>
      </c>
      <c r="B861" s="0" t="s">
        <v>187</v>
      </c>
      <c r="C861" s="0" t="s">
        <v>4206</v>
      </c>
      <c r="D861" s="0" t="n">
        <v>2016</v>
      </c>
      <c r="E861" s="0" t="s">
        <v>65</v>
      </c>
      <c r="F861" s="0" t="n">
        <v>96309</v>
      </c>
      <c r="G861" s="0" t="s">
        <v>3101</v>
      </c>
      <c r="H861" s="0" t="s">
        <v>3068</v>
      </c>
      <c r="I861" s="0" t="n">
        <v>96309</v>
      </c>
      <c r="J861" s="0" t="s">
        <v>4155</v>
      </c>
      <c r="K861" s="0" t="s">
        <v>2733</v>
      </c>
      <c r="L861" s="0" t="n">
        <v>2016</v>
      </c>
      <c r="M861" s="0" t="s">
        <v>1822</v>
      </c>
      <c r="N861" s="0" t="s">
        <v>189</v>
      </c>
      <c r="O861" s="0" t="s">
        <v>2416</v>
      </c>
      <c r="P861" s="0" t="s">
        <v>4207</v>
      </c>
      <c r="Q861" s="0" t="n">
        <v>87</v>
      </c>
      <c r="R861" s="0" t="n">
        <v>86</v>
      </c>
      <c r="T861" s="0" t="s">
        <v>4244</v>
      </c>
      <c r="U861" s="0" t="s">
        <v>4209</v>
      </c>
      <c r="V861" s="0" t="s">
        <v>87</v>
      </c>
      <c r="W861" s="0" t="s">
        <v>4245</v>
      </c>
      <c r="X861" s="0" t="s">
        <v>4246</v>
      </c>
      <c r="Y861" s="0" t="s">
        <v>4159</v>
      </c>
      <c r="Z861" s="0" t="s">
        <v>4160</v>
      </c>
      <c r="AA861" s="0" t="s">
        <v>4247</v>
      </c>
      <c r="AB861" s="0" t="s">
        <v>4214</v>
      </c>
      <c r="AC861" s="0" t="s">
        <v>4162</v>
      </c>
      <c r="AD861" s="0" t="s">
        <v>4163</v>
      </c>
      <c r="AE861" s="0" t="s">
        <v>4164</v>
      </c>
      <c r="AF861" s="0" t="s">
        <v>4215</v>
      </c>
      <c r="AH861" s="0" t="s">
        <v>2239</v>
      </c>
      <c r="AL861" s="0" t="s">
        <v>523</v>
      </c>
    </row>
    <row r="862" customFormat="false" ht="15" hidden="false" customHeight="false" outlineLevel="0" collapsed="false">
      <c r="A862" s="0" t="s">
        <v>1361</v>
      </c>
      <c r="B862" s="0" t="s">
        <v>187</v>
      </c>
      <c r="C862" s="0" t="s">
        <v>4206</v>
      </c>
      <c r="D862" s="0" t="n">
        <v>2016</v>
      </c>
      <c r="E862" s="0" t="s">
        <v>66</v>
      </c>
      <c r="F862" s="0" t="n">
        <v>724660</v>
      </c>
      <c r="G862" s="0" t="s">
        <v>3101</v>
      </c>
      <c r="H862" s="0" t="s">
        <v>3068</v>
      </c>
      <c r="I862" s="0" t="n">
        <v>724660</v>
      </c>
      <c r="J862" s="0" t="s">
        <v>4155</v>
      </c>
      <c r="K862" s="0" t="s">
        <v>2733</v>
      </c>
      <c r="L862" s="0" t="n">
        <v>2016</v>
      </c>
      <c r="M862" s="0" t="s">
        <v>1822</v>
      </c>
      <c r="N862" s="0" t="s">
        <v>189</v>
      </c>
      <c r="O862" s="0" t="s">
        <v>2416</v>
      </c>
      <c r="P862" s="0" t="s">
        <v>4207</v>
      </c>
      <c r="Q862" s="0" t="n">
        <v>87</v>
      </c>
      <c r="R862" s="0" t="n">
        <v>86</v>
      </c>
      <c r="T862" s="0" t="s">
        <v>4244</v>
      </c>
      <c r="U862" s="0" t="s">
        <v>4209</v>
      </c>
      <c r="V862" s="0" t="s">
        <v>87</v>
      </c>
      <c r="W862" s="0" t="s">
        <v>4248</v>
      </c>
      <c r="X862" s="0" t="s">
        <v>4246</v>
      </c>
      <c r="Y862" s="0" t="s">
        <v>4159</v>
      </c>
      <c r="Z862" s="0" t="s">
        <v>4160</v>
      </c>
      <c r="AB862" s="0" t="s">
        <v>4214</v>
      </c>
      <c r="AC862" s="0" t="s">
        <v>4162</v>
      </c>
      <c r="AD862" s="0" t="s">
        <v>4163</v>
      </c>
      <c r="AE862" s="0" t="s">
        <v>4164</v>
      </c>
      <c r="AF862" s="0" t="s">
        <v>4215</v>
      </c>
      <c r="AH862" s="0" t="s">
        <v>2239</v>
      </c>
      <c r="AL862" s="0" t="s">
        <v>523</v>
      </c>
    </row>
    <row r="863" customFormat="false" ht="15" hidden="false" customHeight="false" outlineLevel="0" collapsed="false">
      <c r="A863" s="0" t="s">
        <v>1358</v>
      </c>
      <c r="B863" s="0" t="s">
        <v>187</v>
      </c>
      <c r="C863" s="0" t="s">
        <v>4206</v>
      </c>
      <c r="D863" s="0" t="n">
        <v>2016</v>
      </c>
      <c r="E863" s="0" t="s">
        <v>69</v>
      </c>
      <c r="F863" s="0" t="s">
        <v>4249</v>
      </c>
      <c r="G863" s="0" t="s">
        <v>3143</v>
      </c>
      <c r="I863" s="0" t="n">
        <v>13.3</v>
      </c>
      <c r="J863" s="0" t="s">
        <v>4155</v>
      </c>
      <c r="K863" s="0" t="s">
        <v>2733</v>
      </c>
      <c r="L863" s="0" t="n">
        <v>2016</v>
      </c>
      <c r="M863" s="0" t="s">
        <v>1822</v>
      </c>
      <c r="N863" s="0" t="s">
        <v>189</v>
      </c>
      <c r="O863" s="0" t="s">
        <v>2416</v>
      </c>
      <c r="P863" s="0" t="s">
        <v>4207</v>
      </c>
      <c r="Q863" s="0" t="n">
        <v>87</v>
      </c>
      <c r="R863" s="0" t="n">
        <v>86</v>
      </c>
      <c r="T863" s="0" t="s">
        <v>4244</v>
      </c>
      <c r="U863" s="0" t="s">
        <v>4209</v>
      </c>
      <c r="V863" s="0" t="s">
        <v>87</v>
      </c>
      <c r="W863" s="0" t="s">
        <v>4250</v>
      </c>
      <c r="X863" s="0" t="s">
        <v>4246</v>
      </c>
      <c r="Y863" s="0" t="s">
        <v>4159</v>
      </c>
      <c r="Z863" s="0" t="s">
        <v>4160</v>
      </c>
      <c r="AB863" s="0" t="s">
        <v>4214</v>
      </c>
      <c r="AC863" s="0" t="s">
        <v>4162</v>
      </c>
      <c r="AD863" s="0" t="s">
        <v>4163</v>
      </c>
      <c r="AE863" s="0" t="s">
        <v>4164</v>
      </c>
      <c r="AF863" s="0" t="s">
        <v>4215</v>
      </c>
      <c r="AH863" s="0" t="s">
        <v>2239</v>
      </c>
      <c r="AL863" s="0" t="s">
        <v>523</v>
      </c>
    </row>
    <row r="864" customFormat="false" ht="15" hidden="false" customHeight="false" outlineLevel="0" collapsed="false">
      <c r="A864" s="0" t="s">
        <v>1341</v>
      </c>
      <c r="B864" s="0" t="s">
        <v>187</v>
      </c>
      <c r="C864" s="0" t="s">
        <v>4206</v>
      </c>
      <c r="D864" s="0" t="n">
        <v>2015</v>
      </c>
      <c r="E864" s="0" t="s">
        <v>65</v>
      </c>
      <c r="F864" s="0" t="n">
        <v>93697</v>
      </c>
      <c r="G864" s="0" t="s">
        <v>3101</v>
      </c>
      <c r="H864" s="0" t="s">
        <v>3068</v>
      </c>
      <c r="I864" s="0" t="n">
        <v>93697</v>
      </c>
      <c r="J864" s="0" t="s">
        <v>4155</v>
      </c>
      <c r="K864" s="0" t="s">
        <v>2733</v>
      </c>
      <c r="L864" s="0" t="n">
        <v>2016</v>
      </c>
      <c r="M864" s="0" t="s">
        <v>1822</v>
      </c>
      <c r="N864" s="0" t="s">
        <v>189</v>
      </c>
      <c r="O864" s="0" t="s">
        <v>2416</v>
      </c>
      <c r="P864" s="0" t="s">
        <v>4207</v>
      </c>
      <c r="Q864" s="0" t="n">
        <v>87</v>
      </c>
      <c r="R864" s="0" t="n">
        <v>86</v>
      </c>
      <c r="T864" s="0" t="s">
        <v>4251</v>
      </c>
      <c r="U864" s="0" t="s">
        <v>4220</v>
      </c>
      <c r="V864" s="0" t="s">
        <v>190</v>
      </c>
      <c r="W864" s="0" t="s">
        <v>4245</v>
      </c>
      <c r="X864" s="0" t="s">
        <v>4246</v>
      </c>
      <c r="Y864" s="0" t="s">
        <v>4159</v>
      </c>
      <c r="Z864" s="0" t="s">
        <v>4160</v>
      </c>
      <c r="AA864" s="0" t="s">
        <v>4247</v>
      </c>
      <c r="AB864" s="0" t="s">
        <v>4214</v>
      </c>
      <c r="AC864" s="0" t="s">
        <v>4162</v>
      </c>
      <c r="AD864" s="0" t="s">
        <v>4163</v>
      </c>
      <c r="AE864" s="0" t="s">
        <v>4164</v>
      </c>
      <c r="AF864" s="0" t="s">
        <v>4215</v>
      </c>
      <c r="AH864" s="0" t="s">
        <v>2239</v>
      </c>
      <c r="AL864" s="0" t="s">
        <v>523</v>
      </c>
    </row>
    <row r="865" customFormat="false" ht="15" hidden="false" customHeight="false" outlineLevel="0" collapsed="false">
      <c r="A865" s="0" t="s">
        <v>1342</v>
      </c>
      <c r="B865" s="0" t="s">
        <v>187</v>
      </c>
      <c r="C865" s="0" t="s">
        <v>4206</v>
      </c>
      <c r="D865" s="0" t="n">
        <v>2015</v>
      </c>
      <c r="E865" s="0" t="s">
        <v>66</v>
      </c>
      <c r="F865" s="0" t="n">
        <v>587515</v>
      </c>
      <c r="G865" s="0" t="s">
        <v>3101</v>
      </c>
      <c r="H865" s="0" t="s">
        <v>3068</v>
      </c>
      <c r="I865" s="0" t="n">
        <v>587515</v>
      </c>
      <c r="J865" s="0" t="s">
        <v>4155</v>
      </c>
      <c r="K865" s="0" t="s">
        <v>2733</v>
      </c>
      <c r="L865" s="0" t="n">
        <v>2016</v>
      </c>
      <c r="M865" s="0" t="s">
        <v>1822</v>
      </c>
      <c r="N865" s="0" t="s">
        <v>189</v>
      </c>
      <c r="O865" s="0" t="s">
        <v>2416</v>
      </c>
      <c r="P865" s="0" t="s">
        <v>4207</v>
      </c>
      <c r="Q865" s="0" t="n">
        <v>87</v>
      </c>
      <c r="R865" s="0" t="n">
        <v>86</v>
      </c>
      <c r="T865" s="0" t="s">
        <v>4251</v>
      </c>
      <c r="U865" s="0" t="s">
        <v>4220</v>
      </c>
      <c r="V865" s="0" t="s">
        <v>190</v>
      </c>
      <c r="W865" s="0" t="s">
        <v>4248</v>
      </c>
      <c r="X865" s="0" t="s">
        <v>4246</v>
      </c>
      <c r="Y865" s="0" t="s">
        <v>4159</v>
      </c>
      <c r="Z865" s="0" t="s">
        <v>4160</v>
      </c>
      <c r="AB865" s="0" t="s">
        <v>4214</v>
      </c>
      <c r="AC865" s="0" t="s">
        <v>4162</v>
      </c>
      <c r="AD865" s="0" t="s">
        <v>4163</v>
      </c>
      <c r="AE865" s="0" t="s">
        <v>4164</v>
      </c>
      <c r="AF865" s="0" t="s">
        <v>4215</v>
      </c>
      <c r="AH865" s="0" t="s">
        <v>2239</v>
      </c>
      <c r="AL865" s="0" t="s">
        <v>523</v>
      </c>
    </row>
    <row r="866" customFormat="false" ht="15" hidden="false" customHeight="false" outlineLevel="0" collapsed="false">
      <c r="A866" s="0" t="s">
        <v>1340</v>
      </c>
      <c r="B866" s="0" t="s">
        <v>187</v>
      </c>
      <c r="C866" s="0" t="s">
        <v>4206</v>
      </c>
      <c r="D866" s="0" t="n">
        <v>2015</v>
      </c>
      <c r="E866" s="0" t="s">
        <v>69</v>
      </c>
      <c r="F866" s="0" t="s">
        <v>4252</v>
      </c>
      <c r="G866" s="0" t="s">
        <v>3143</v>
      </c>
      <c r="I866" s="0" t="n">
        <v>15.9</v>
      </c>
      <c r="J866" s="0" t="s">
        <v>4155</v>
      </c>
      <c r="K866" s="0" t="s">
        <v>2733</v>
      </c>
      <c r="L866" s="0" t="n">
        <v>2016</v>
      </c>
      <c r="M866" s="0" t="s">
        <v>1822</v>
      </c>
      <c r="N866" s="0" t="s">
        <v>189</v>
      </c>
      <c r="O866" s="0" t="s">
        <v>2416</v>
      </c>
      <c r="P866" s="0" t="s">
        <v>4207</v>
      </c>
      <c r="Q866" s="0" t="n">
        <v>87</v>
      </c>
      <c r="R866" s="0" t="n">
        <v>86</v>
      </c>
      <c r="T866" s="0" t="s">
        <v>4251</v>
      </c>
      <c r="U866" s="0" t="s">
        <v>4220</v>
      </c>
      <c r="V866" s="0" t="s">
        <v>190</v>
      </c>
      <c r="W866" s="0" t="s">
        <v>4250</v>
      </c>
      <c r="X866" s="0" t="s">
        <v>4246</v>
      </c>
      <c r="Y866" s="0" t="s">
        <v>4159</v>
      </c>
      <c r="Z866" s="0" t="s">
        <v>4160</v>
      </c>
      <c r="AB866" s="0" t="s">
        <v>4214</v>
      </c>
      <c r="AC866" s="0" t="s">
        <v>4162</v>
      </c>
      <c r="AD866" s="0" t="s">
        <v>4163</v>
      </c>
      <c r="AE866" s="0" t="s">
        <v>4164</v>
      </c>
      <c r="AF866" s="0" t="s">
        <v>4215</v>
      </c>
      <c r="AH866" s="0" t="s">
        <v>2239</v>
      </c>
      <c r="AL866" s="0" t="s">
        <v>523</v>
      </c>
    </row>
    <row r="867" customFormat="false" ht="15" hidden="false" customHeight="false" outlineLevel="0" collapsed="false">
      <c r="A867" s="0" t="s">
        <v>1359</v>
      </c>
      <c r="B867" s="0" t="s">
        <v>187</v>
      </c>
      <c r="C867" s="0" t="s">
        <v>4206</v>
      </c>
      <c r="D867" s="0" t="n">
        <v>2016</v>
      </c>
      <c r="E867" s="0" t="s">
        <v>70</v>
      </c>
      <c r="F867" s="0" t="s">
        <v>4253</v>
      </c>
      <c r="G867" s="0" t="s">
        <v>3143</v>
      </c>
      <c r="I867" s="0" t="n">
        <v>15</v>
      </c>
      <c r="J867" s="0" t="s">
        <v>4155</v>
      </c>
      <c r="K867" s="0" t="s">
        <v>2733</v>
      </c>
      <c r="L867" s="0" t="n">
        <v>2016</v>
      </c>
      <c r="M867" s="0" t="s">
        <v>1822</v>
      </c>
      <c r="N867" s="0" t="s">
        <v>189</v>
      </c>
      <c r="O867" s="0" t="s">
        <v>2416</v>
      </c>
      <c r="P867" s="0" t="s">
        <v>4207</v>
      </c>
      <c r="Q867" s="0" t="n">
        <v>87</v>
      </c>
      <c r="R867" s="0" t="n">
        <v>86</v>
      </c>
      <c r="T867" s="0" t="s">
        <v>4254</v>
      </c>
      <c r="U867" s="0" t="s">
        <v>4209</v>
      </c>
      <c r="V867" s="0" t="s">
        <v>87</v>
      </c>
      <c r="W867" s="0" t="s">
        <v>4255</v>
      </c>
      <c r="X867" s="0" t="s">
        <v>4246</v>
      </c>
      <c r="Y867" s="0" t="s">
        <v>4159</v>
      </c>
      <c r="Z867" s="0" t="s">
        <v>4160</v>
      </c>
      <c r="AA867" s="0" t="s">
        <v>4256</v>
      </c>
      <c r="AB867" s="0" t="s">
        <v>4214</v>
      </c>
      <c r="AC867" s="0" t="s">
        <v>4162</v>
      </c>
      <c r="AD867" s="0" t="s">
        <v>4163</v>
      </c>
      <c r="AE867" s="0" t="s">
        <v>4164</v>
      </c>
      <c r="AF867" s="0" t="s">
        <v>4215</v>
      </c>
      <c r="AH867" s="0" t="s">
        <v>2239</v>
      </c>
      <c r="AL867" s="0" t="s">
        <v>523</v>
      </c>
    </row>
    <row r="868" customFormat="false" ht="15" hidden="false" customHeight="false" outlineLevel="0" collapsed="false">
      <c r="A868" s="0" t="s">
        <v>1362</v>
      </c>
      <c r="B868" s="0" t="s">
        <v>187</v>
      </c>
      <c r="C868" s="0" t="s">
        <v>4206</v>
      </c>
      <c r="D868" s="0" t="n">
        <v>2016</v>
      </c>
      <c r="E868" s="0" t="s">
        <v>73</v>
      </c>
      <c r="F868" s="0" t="n">
        <v>0</v>
      </c>
      <c r="G868" s="0" t="s">
        <v>4257</v>
      </c>
      <c r="I868" s="0" t="n">
        <v>0</v>
      </c>
      <c r="J868" s="0" t="s">
        <v>4258</v>
      </c>
      <c r="K868" s="0" t="s">
        <v>2733</v>
      </c>
      <c r="L868" s="0" t="n">
        <v>2016</v>
      </c>
      <c r="M868" s="0" t="s">
        <v>1822</v>
      </c>
      <c r="N868" s="0" t="s">
        <v>189</v>
      </c>
      <c r="O868" s="0" t="s">
        <v>2416</v>
      </c>
      <c r="P868" s="0" t="s">
        <v>4207</v>
      </c>
      <c r="Q868" s="0" t="n">
        <v>34</v>
      </c>
      <c r="R868" s="0" t="n">
        <v>33</v>
      </c>
      <c r="T868" s="0" t="s">
        <v>4259</v>
      </c>
      <c r="U868" s="0" t="s">
        <v>4209</v>
      </c>
      <c r="V868" s="0" t="s">
        <v>87</v>
      </c>
      <c r="W868" s="0" t="s">
        <v>4260</v>
      </c>
      <c r="X868" s="0" t="s">
        <v>4261</v>
      </c>
      <c r="Y868" s="0" t="s">
        <v>4212</v>
      </c>
      <c r="Z868" s="0" t="s">
        <v>4160</v>
      </c>
      <c r="AA868" s="0" t="s">
        <v>4262</v>
      </c>
      <c r="AB868" s="0" t="s">
        <v>4214</v>
      </c>
      <c r="AC868" s="0" t="s">
        <v>4162</v>
      </c>
      <c r="AD868" s="0" t="s">
        <v>4163</v>
      </c>
      <c r="AG868" s="0" t="s">
        <v>1828</v>
      </c>
      <c r="AH868" s="0" t="s">
        <v>2239</v>
      </c>
      <c r="AL868" s="0" t="s">
        <v>539</v>
      </c>
    </row>
    <row r="869" customFormat="false" ht="15" hidden="false" customHeight="false" outlineLevel="0" collapsed="false">
      <c r="A869" s="0" t="s">
        <v>1207</v>
      </c>
      <c r="B869" s="0" t="s">
        <v>149</v>
      </c>
      <c r="C869" s="0" t="s">
        <v>4263</v>
      </c>
      <c r="D869" s="0" t="n">
        <v>2022</v>
      </c>
      <c r="E869" s="0" t="s">
        <v>55</v>
      </c>
      <c r="F869" s="0" t="n">
        <v>2854509</v>
      </c>
      <c r="G869" s="0" t="s">
        <v>3101</v>
      </c>
      <c r="H869" s="0" t="s">
        <v>3068</v>
      </c>
      <c r="I869" s="0" t="n">
        <v>2854509</v>
      </c>
      <c r="J869" s="0" t="s">
        <v>4155</v>
      </c>
      <c r="K869" s="0" t="s">
        <v>1845</v>
      </c>
      <c r="L869" s="0" t="n">
        <v>2022</v>
      </c>
      <c r="M869" s="0" t="s">
        <v>1846</v>
      </c>
      <c r="N869" s="0" t="s">
        <v>167</v>
      </c>
      <c r="O869" s="0" t="s">
        <v>2409</v>
      </c>
      <c r="P869" s="0" t="s">
        <v>3009</v>
      </c>
      <c r="Q869" s="0" t="n">
        <v>31</v>
      </c>
      <c r="R869" s="0" t="n">
        <v>1</v>
      </c>
      <c r="T869" s="0" t="s">
        <v>4264</v>
      </c>
      <c r="U869" s="0" t="s">
        <v>4265</v>
      </c>
      <c r="V869" s="0" t="s">
        <v>168</v>
      </c>
      <c r="W869" s="0" t="s">
        <v>4266</v>
      </c>
      <c r="X869" s="0" t="s">
        <v>4267</v>
      </c>
      <c r="Y869" s="0" t="s">
        <v>4159</v>
      </c>
      <c r="Z869" s="0" t="s">
        <v>4160</v>
      </c>
      <c r="AA869" s="0" t="s">
        <v>4268</v>
      </c>
      <c r="AB869" s="0" t="s">
        <v>3010</v>
      </c>
      <c r="AC869" s="0" t="s">
        <v>4162</v>
      </c>
      <c r="AD869" s="0" t="s">
        <v>4163</v>
      </c>
      <c r="AE869" s="0" t="s">
        <v>4164</v>
      </c>
      <c r="AF869" s="0" t="s">
        <v>4269</v>
      </c>
      <c r="AH869" s="0" t="s">
        <v>2239</v>
      </c>
      <c r="AL869" s="0" t="s">
        <v>523</v>
      </c>
    </row>
    <row r="870" customFormat="false" ht="15" hidden="false" customHeight="false" outlineLevel="0" collapsed="false">
      <c r="A870" s="0" t="s">
        <v>1208</v>
      </c>
      <c r="B870" s="0" t="s">
        <v>149</v>
      </c>
      <c r="C870" s="0" t="s">
        <v>4263</v>
      </c>
      <c r="D870" s="0" t="n">
        <v>2022</v>
      </c>
      <c r="E870" s="0" t="s">
        <v>56</v>
      </c>
      <c r="F870" s="0" t="n">
        <v>2575402</v>
      </c>
      <c r="G870" s="0" t="s">
        <v>3101</v>
      </c>
      <c r="H870" s="0" t="s">
        <v>3068</v>
      </c>
      <c r="I870" s="0" t="n">
        <v>2575402</v>
      </c>
      <c r="J870" s="0" t="s">
        <v>4155</v>
      </c>
      <c r="K870" s="0" t="s">
        <v>1845</v>
      </c>
      <c r="L870" s="0" t="n">
        <v>2022</v>
      </c>
      <c r="M870" s="0" t="s">
        <v>1846</v>
      </c>
      <c r="N870" s="0" t="s">
        <v>167</v>
      </c>
      <c r="O870" s="0" t="s">
        <v>2409</v>
      </c>
      <c r="P870" s="0" t="s">
        <v>3009</v>
      </c>
      <c r="Q870" s="0" t="n">
        <v>31</v>
      </c>
      <c r="R870" s="0" t="n">
        <v>1</v>
      </c>
      <c r="T870" s="0" t="s">
        <v>4264</v>
      </c>
      <c r="U870" s="0" t="s">
        <v>4265</v>
      </c>
      <c r="V870" s="0" t="s">
        <v>168</v>
      </c>
      <c r="W870" s="0" t="s">
        <v>4270</v>
      </c>
      <c r="X870" s="0" t="s">
        <v>4267</v>
      </c>
      <c r="Y870" s="0" t="s">
        <v>4159</v>
      </c>
      <c r="Z870" s="0" t="s">
        <v>4160</v>
      </c>
      <c r="AA870" s="0" t="s">
        <v>4271</v>
      </c>
      <c r="AB870" s="0" t="s">
        <v>3010</v>
      </c>
      <c r="AC870" s="0" t="s">
        <v>4162</v>
      </c>
      <c r="AD870" s="0" t="s">
        <v>4163</v>
      </c>
      <c r="AE870" s="0" t="s">
        <v>4164</v>
      </c>
      <c r="AF870" s="0" t="s">
        <v>4269</v>
      </c>
      <c r="AH870" s="0" t="s">
        <v>2239</v>
      </c>
      <c r="AL870" s="0" t="s">
        <v>523</v>
      </c>
    </row>
    <row r="871" customFormat="false" ht="15" hidden="false" customHeight="false" outlineLevel="0" collapsed="false">
      <c r="A871" s="0" t="s">
        <v>1209</v>
      </c>
      <c r="B871" s="0" t="s">
        <v>149</v>
      </c>
      <c r="C871" s="0" t="s">
        <v>4263</v>
      </c>
      <c r="D871" s="0" t="n">
        <v>2022</v>
      </c>
      <c r="E871" s="0" t="s">
        <v>57</v>
      </c>
      <c r="F871" s="0" t="n">
        <v>279107</v>
      </c>
      <c r="G871" s="0" t="s">
        <v>3101</v>
      </c>
      <c r="H871" s="0" t="s">
        <v>3068</v>
      </c>
      <c r="I871" s="0" t="n">
        <v>279107</v>
      </c>
      <c r="J871" s="0" t="s">
        <v>4155</v>
      </c>
      <c r="K871" s="0" t="s">
        <v>1845</v>
      </c>
      <c r="L871" s="0" t="n">
        <v>2022</v>
      </c>
      <c r="M871" s="0" t="s">
        <v>1846</v>
      </c>
      <c r="N871" s="0" t="s">
        <v>167</v>
      </c>
      <c r="O871" s="0" t="s">
        <v>2409</v>
      </c>
      <c r="P871" s="0" t="s">
        <v>3009</v>
      </c>
      <c r="Q871" s="0" t="n">
        <v>31</v>
      </c>
      <c r="R871" s="0" t="n">
        <v>1</v>
      </c>
      <c r="T871" s="0" t="s">
        <v>4264</v>
      </c>
      <c r="U871" s="0" t="s">
        <v>4265</v>
      </c>
      <c r="V871" s="0" t="s">
        <v>168</v>
      </c>
      <c r="W871" s="0" t="s">
        <v>4272</v>
      </c>
      <c r="X871" s="0" t="s">
        <v>4267</v>
      </c>
      <c r="Y871" s="0" t="s">
        <v>4159</v>
      </c>
      <c r="Z871" s="0" t="s">
        <v>4160</v>
      </c>
      <c r="AB871" s="0" t="s">
        <v>3010</v>
      </c>
      <c r="AC871" s="0" t="s">
        <v>4162</v>
      </c>
      <c r="AD871" s="0" t="s">
        <v>4163</v>
      </c>
      <c r="AE871" s="0" t="s">
        <v>4164</v>
      </c>
      <c r="AF871" s="0" t="s">
        <v>4269</v>
      </c>
      <c r="AH871" s="0" t="s">
        <v>2239</v>
      </c>
      <c r="AL871" s="0" t="s">
        <v>523</v>
      </c>
    </row>
    <row r="872" customFormat="false" ht="15" hidden="false" customHeight="false" outlineLevel="0" collapsed="false">
      <c r="A872" s="0" t="s">
        <v>1211</v>
      </c>
      <c r="B872" s="0" t="s">
        <v>149</v>
      </c>
      <c r="C872" s="0" t="s">
        <v>4263</v>
      </c>
      <c r="D872" s="0" t="n">
        <v>2022</v>
      </c>
      <c r="E872" s="0" t="s">
        <v>59</v>
      </c>
      <c r="F872" s="0" t="n">
        <v>2614087</v>
      </c>
      <c r="G872" s="0" t="s">
        <v>3101</v>
      </c>
      <c r="H872" s="0" t="s">
        <v>3068</v>
      </c>
      <c r="I872" s="0" t="n">
        <v>2614087</v>
      </c>
      <c r="J872" s="0" t="s">
        <v>4155</v>
      </c>
      <c r="K872" s="0" t="s">
        <v>1845</v>
      </c>
      <c r="L872" s="0" t="n">
        <v>2022</v>
      </c>
      <c r="M872" s="0" t="s">
        <v>1846</v>
      </c>
      <c r="N872" s="0" t="s">
        <v>167</v>
      </c>
      <c r="O872" s="0" t="s">
        <v>2409</v>
      </c>
      <c r="P872" s="0" t="s">
        <v>3009</v>
      </c>
      <c r="Q872" s="0" t="n">
        <v>31</v>
      </c>
      <c r="R872" s="0" t="n">
        <v>1</v>
      </c>
      <c r="T872" s="0" t="s">
        <v>4273</v>
      </c>
      <c r="U872" s="0" t="s">
        <v>4265</v>
      </c>
      <c r="V872" s="0" t="s">
        <v>168</v>
      </c>
      <c r="W872" s="0" t="s">
        <v>4266</v>
      </c>
      <c r="X872" s="0" t="s">
        <v>4267</v>
      </c>
      <c r="Y872" s="0" t="s">
        <v>4159</v>
      </c>
      <c r="Z872" s="0" t="s">
        <v>4160</v>
      </c>
      <c r="AA872" s="0" t="s">
        <v>4274</v>
      </c>
      <c r="AB872" s="0" t="s">
        <v>3010</v>
      </c>
      <c r="AC872" s="0" t="s">
        <v>4162</v>
      </c>
      <c r="AD872" s="0" t="s">
        <v>4163</v>
      </c>
      <c r="AE872" s="0" t="s">
        <v>4164</v>
      </c>
      <c r="AF872" s="0" t="s">
        <v>4269</v>
      </c>
      <c r="AH872" s="0" t="s">
        <v>2239</v>
      </c>
      <c r="AL872" s="0" t="s">
        <v>523</v>
      </c>
    </row>
    <row r="873" customFormat="false" ht="15" hidden="false" customHeight="false" outlineLevel="0" collapsed="false">
      <c r="A873" s="0" t="s">
        <v>1206</v>
      </c>
      <c r="B873" s="0" t="s">
        <v>149</v>
      </c>
      <c r="C873" s="0" t="s">
        <v>4263</v>
      </c>
      <c r="D873" s="0" t="n">
        <v>2022</v>
      </c>
      <c r="E873" s="0" t="s">
        <v>54</v>
      </c>
      <c r="F873" s="0" t="n">
        <v>55150</v>
      </c>
      <c r="G873" s="0" t="s">
        <v>3101</v>
      </c>
      <c r="H873" s="0" t="s">
        <v>3068</v>
      </c>
      <c r="I873" s="0" t="n">
        <v>55150</v>
      </c>
      <c r="J873" s="0" t="s">
        <v>4155</v>
      </c>
      <c r="K873" s="0" t="s">
        <v>1845</v>
      </c>
      <c r="L873" s="0" t="n">
        <v>2022</v>
      </c>
      <c r="M873" s="0" t="s">
        <v>1846</v>
      </c>
      <c r="N873" s="0" t="s">
        <v>167</v>
      </c>
      <c r="O873" s="0" t="s">
        <v>2409</v>
      </c>
      <c r="P873" s="0" t="s">
        <v>3009</v>
      </c>
      <c r="Q873" s="0" t="n">
        <v>32</v>
      </c>
      <c r="R873" s="0" t="n">
        <v>2</v>
      </c>
      <c r="T873" s="0" t="s">
        <v>4275</v>
      </c>
      <c r="U873" s="0" t="s">
        <v>4265</v>
      </c>
      <c r="V873" s="0" t="s">
        <v>168</v>
      </c>
      <c r="W873" s="0" t="s">
        <v>4276</v>
      </c>
      <c r="X873" s="0" t="s">
        <v>4277</v>
      </c>
      <c r="Y873" s="0" t="s">
        <v>4159</v>
      </c>
      <c r="Z873" s="0" t="s">
        <v>4160</v>
      </c>
      <c r="AB873" s="0" t="s">
        <v>3010</v>
      </c>
      <c r="AC873" s="0" t="s">
        <v>4162</v>
      </c>
      <c r="AD873" s="0" t="s">
        <v>4163</v>
      </c>
      <c r="AE873" s="0" t="s">
        <v>4164</v>
      </c>
      <c r="AF873" s="0" t="s">
        <v>4269</v>
      </c>
      <c r="AH873" s="0" t="s">
        <v>2239</v>
      </c>
      <c r="AL873" s="0" t="s">
        <v>523</v>
      </c>
    </row>
    <row r="874" customFormat="false" ht="15" hidden="false" customHeight="false" outlineLevel="0" collapsed="false">
      <c r="A874" s="0" t="s">
        <v>1223</v>
      </c>
      <c r="B874" s="0" t="s">
        <v>149</v>
      </c>
      <c r="C874" s="0" t="s">
        <v>4263</v>
      </c>
      <c r="D874" s="0" t="n">
        <v>2022</v>
      </c>
      <c r="E874" s="0" t="s">
        <v>541</v>
      </c>
      <c r="F874" s="0" t="n">
        <v>59732</v>
      </c>
      <c r="G874" s="0" t="s">
        <v>3101</v>
      </c>
      <c r="H874" s="0" t="s">
        <v>3068</v>
      </c>
      <c r="I874" s="0" t="n">
        <v>59732</v>
      </c>
      <c r="J874" s="0" t="s">
        <v>4155</v>
      </c>
      <c r="K874" s="0" t="s">
        <v>1845</v>
      </c>
      <c r="L874" s="0" t="n">
        <v>2022</v>
      </c>
      <c r="M874" s="0" t="s">
        <v>1846</v>
      </c>
      <c r="N874" s="0" t="s">
        <v>167</v>
      </c>
      <c r="O874" s="0" t="s">
        <v>2409</v>
      </c>
      <c r="P874" s="0" t="s">
        <v>3009</v>
      </c>
      <c r="Q874" s="0" t="n">
        <v>32</v>
      </c>
      <c r="R874" s="0" t="n">
        <v>2</v>
      </c>
      <c r="T874" s="0" t="s">
        <v>4275</v>
      </c>
      <c r="U874" s="0" t="s">
        <v>4265</v>
      </c>
      <c r="V874" s="0" t="s">
        <v>168</v>
      </c>
      <c r="W874" s="0" t="s">
        <v>4278</v>
      </c>
      <c r="X874" s="0" t="s">
        <v>4277</v>
      </c>
      <c r="Y874" s="0" t="s">
        <v>4159</v>
      </c>
      <c r="Z874" s="0" t="s">
        <v>4160</v>
      </c>
      <c r="AB874" s="0" t="s">
        <v>3010</v>
      </c>
      <c r="AC874" s="0" t="s">
        <v>4162</v>
      </c>
      <c r="AD874" s="0" t="s">
        <v>4163</v>
      </c>
      <c r="AE874" s="0" t="s">
        <v>4164</v>
      </c>
      <c r="AF874" s="0" t="s">
        <v>4269</v>
      </c>
      <c r="AH874" s="0" t="s">
        <v>2239</v>
      </c>
      <c r="AL874" s="0" t="s">
        <v>523</v>
      </c>
    </row>
    <row r="875" customFormat="false" ht="15" hidden="false" customHeight="false" outlineLevel="0" collapsed="false">
      <c r="A875" s="0" t="s">
        <v>1215</v>
      </c>
      <c r="B875" s="0" t="s">
        <v>149</v>
      </c>
      <c r="C875" s="0" t="s">
        <v>4263</v>
      </c>
      <c r="D875" s="0" t="n">
        <v>2022</v>
      </c>
      <c r="E875" s="0" t="s">
        <v>63</v>
      </c>
      <c r="F875" s="0" t="n">
        <v>-10147</v>
      </c>
      <c r="G875" s="0" t="s">
        <v>3101</v>
      </c>
      <c r="H875" s="0" t="s">
        <v>3068</v>
      </c>
      <c r="I875" s="0" t="n">
        <v>10147</v>
      </c>
      <c r="J875" s="0" t="s">
        <v>4155</v>
      </c>
      <c r="K875" s="0" t="s">
        <v>1845</v>
      </c>
      <c r="L875" s="0" t="n">
        <v>2022</v>
      </c>
      <c r="M875" s="0" t="s">
        <v>1846</v>
      </c>
      <c r="N875" s="0" t="s">
        <v>167</v>
      </c>
      <c r="O875" s="0" t="s">
        <v>2409</v>
      </c>
      <c r="P875" s="0" t="s">
        <v>3009</v>
      </c>
      <c r="Q875" s="0" t="n">
        <v>32</v>
      </c>
      <c r="R875" s="0" t="n">
        <v>2</v>
      </c>
      <c r="S875" s="0" t="n">
        <v>31.6</v>
      </c>
      <c r="T875" s="0" t="s">
        <v>4275</v>
      </c>
      <c r="U875" s="0" t="s">
        <v>4265</v>
      </c>
      <c r="V875" s="0" t="s">
        <v>168</v>
      </c>
      <c r="W875" s="0" t="s">
        <v>4279</v>
      </c>
      <c r="X875" s="0" t="s">
        <v>4277</v>
      </c>
      <c r="Y875" s="0" t="s">
        <v>4159</v>
      </c>
      <c r="Z875" s="0" t="s">
        <v>4160</v>
      </c>
      <c r="AA875" s="0" t="s">
        <v>4280</v>
      </c>
      <c r="AB875" s="0" t="s">
        <v>3010</v>
      </c>
      <c r="AC875" s="0" t="s">
        <v>4162</v>
      </c>
      <c r="AD875" s="0" t="s">
        <v>4163</v>
      </c>
      <c r="AE875" s="0" t="s">
        <v>4164</v>
      </c>
      <c r="AF875" s="0" t="s">
        <v>4269</v>
      </c>
      <c r="AH875" s="0" t="s">
        <v>4174</v>
      </c>
      <c r="AI875" s="0" t="s">
        <v>4175</v>
      </c>
      <c r="AL875" s="0" t="s">
        <v>523</v>
      </c>
    </row>
    <row r="876" customFormat="false" ht="15" hidden="false" customHeight="false" outlineLevel="0" collapsed="false">
      <c r="A876" s="0" t="s">
        <v>1210</v>
      </c>
      <c r="B876" s="0" t="s">
        <v>149</v>
      </c>
      <c r="C876" s="0" t="s">
        <v>4263</v>
      </c>
      <c r="D876" s="0" t="n">
        <v>2022</v>
      </c>
      <c r="E876" s="0" t="s">
        <v>58</v>
      </c>
      <c r="F876" s="0" t="n">
        <v>-144391</v>
      </c>
      <c r="G876" s="0" t="s">
        <v>3101</v>
      </c>
      <c r="H876" s="0" t="s">
        <v>3068</v>
      </c>
      <c r="I876" s="0" t="n">
        <v>-144391</v>
      </c>
      <c r="J876" s="0" t="s">
        <v>4155</v>
      </c>
      <c r="K876" s="0" t="s">
        <v>1845</v>
      </c>
      <c r="L876" s="0" t="n">
        <v>2022</v>
      </c>
      <c r="M876" s="0" t="s">
        <v>1846</v>
      </c>
      <c r="N876" s="0" t="s">
        <v>167</v>
      </c>
      <c r="O876" s="0" t="s">
        <v>2409</v>
      </c>
      <c r="P876" s="0" t="s">
        <v>3009</v>
      </c>
      <c r="Q876" s="0" t="n">
        <v>36</v>
      </c>
      <c r="R876" s="0" t="n">
        <v>6</v>
      </c>
      <c r="T876" s="0" t="s">
        <v>4264</v>
      </c>
      <c r="U876" s="0" t="s">
        <v>4265</v>
      </c>
      <c r="V876" s="0" t="s">
        <v>168</v>
      </c>
      <c r="W876" s="0" t="s">
        <v>4281</v>
      </c>
      <c r="X876" s="0" t="s">
        <v>4282</v>
      </c>
      <c r="Y876" s="0" t="s">
        <v>4159</v>
      </c>
      <c r="Z876" s="0" t="s">
        <v>4160</v>
      </c>
      <c r="AB876" s="0" t="s">
        <v>3010</v>
      </c>
      <c r="AC876" s="0" t="s">
        <v>4162</v>
      </c>
      <c r="AD876" s="0" t="s">
        <v>4163</v>
      </c>
      <c r="AE876" s="0" t="s">
        <v>4164</v>
      </c>
      <c r="AF876" s="0" t="s">
        <v>4269</v>
      </c>
      <c r="AH876" s="0" t="s">
        <v>2239</v>
      </c>
      <c r="AL876" s="0" t="s">
        <v>523</v>
      </c>
    </row>
    <row r="877" customFormat="false" ht="15" hidden="false" customHeight="false" outlineLevel="0" collapsed="false">
      <c r="A877" s="0" t="s">
        <v>1212</v>
      </c>
      <c r="B877" s="0" t="s">
        <v>149</v>
      </c>
      <c r="C877" s="0" t="s">
        <v>4263</v>
      </c>
      <c r="D877" s="0" t="n">
        <v>2022</v>
      </c>
      <c r="E877" s="0" t="s">
        <v>60</v>
      </c>
      <c r="F877" s="0" t="n">
        <v>1238195</v>
      </c>
      <c r="G877" s="0" t="s">
        <v>3101</v>
      </c>
      <c r="H877" s="0" t="s">
        <v>3068</v>
      </c>
      <c r="I877" s="0" t="n">
        <v>1238195</v>
      </c>
      <c r="J877" s="0" t="s">
        <v>4155</v>
      </c>
      <c r="K877" s="0" t="s">
        <v>1845</v>
      </c>
      <c r="L877" s="0" t="n">
        <v>2022</v>
      </c>
      <c r="M877" s="0" t="s">
        <v>1846</v>
      </c>
      <c r="N877" s="0" t="s">
        <v>167</v>
      </c>
      <c r="O877" s="0" t="s">
        <v>2409</v>
      </c>
      <c r="P877" s="0" t="s">
        <v>3009</v>
      </c>
      <c r="Q877" s="0" t="n">
        <v>70</v>
      </c>
      <c r="R877" s="0" t="n">
        <v>40</v>
      </c>
      <c r="S877" s="0" t="s">
        <v>4283</v>
      </c>
      <c r="T877" s="0" t="s">
        <v>4264</v>
      </c>
      <c r="U877" s="0" t="s">
        <v>4265</v>
      </c>
      <c r="V877" s="0" t="s">
        <v>168</v>
      </c>
      <c r="W877" s="0" t="s">
        <v>4284</v>
      </c>
      <c r="X877" s="0" t="s">
        <v>4285</v>
      </c>
      <c r="Y877" s="0" t="s">
        <v>4159</v>
      </c>
      <c r="Z877" s="0" t="s">
        <v>4160</v>
      </c>
      <c r="AA877" s="0" t="s">
        <v>4286</v>
      </c>
      <c r="AB877" s="0" t="s">
        <v>3010</v>
      </c>
      <c r="AC877" s="0" t="s">
        <v>4162</v>
      </c>
      <c r="AD877" s="0" t="s">
        <v>4163</v>
      </c>
      <c r="AE877" s="0" t="s">
        <v>4164</v>
      </c>
      <c r="AF877" s="0" t="s">
        <v>4269</v>
      </c>
      <c r="AH877" s="0" t="s">
        <v>2239</v>
      </c>
      <c r="AL877" s="0" t="s">
        <v>523</v>
      </c>
    </row>
    <row r="878" customFormat="false" ht="15" hidden="false" customHeight="false" outlineLevel="0" collapsed="false">
      <c r="A878" s="0" t="s">
        <v>1213</v>
      </c>
      <c r="B878" s="0" t="s">
        <v>149</v>
      </c>
      <c r="C878" s="0" t="s">
        <v>4263</v>
      </c>
      <c r="D878" s="0" t="n">
        <v>2022</v>
      </c>
      <c r="E878" s="0" t="s">
        <v>61</v>
      </c>
      <c r="F878" s="0" t="n">
        <v>-33410</v>
      </c>
      <c r="G878" s="0" t="s">
        <v>3101</v>
      </c>
      <c r="H878" s="0" t="s">
        <v>3068</v>
      </c>
      <c r="I878" s="0" t="n">
        <v>33410</v>
      </c>
      <c r="J878" s="0" t="s">
        <v>4155</v>
      </c>
      <c r="K878" s="0" t="s">
        <v>1845</v>
      </c>
      <c r="L878" s="0" t="n">
        <v>2022</v>
      </c>
      <c r="M878" s="0" t="s">
        <v>1846</v>
      </c>
      <c r="N878" s="0" t="s">
        <v>167</v>
      </c>
      <c r="O878" s="0" t="s">
        <v>2409</v>
      </c>
      <c r="P878" s="0" t="s">
        <v>3009</v>
      </c>
      <c r="Q878" s="0" t="n">
        <v>70</v>
      </c>
      <c r="R878" s="0" t="n">
        <v>40</v>
      </c>
      <c r="S878" s="0" t="s">
        <v>4283</v>
      </c>
      <c r="T878" s="0" t="s">
        <v>4264</v>
      </c>
      <c r="U878" s="0" t="s">
        <v>4265</v>
      </c>
      <c r="V878" s="0" t="s">
        <v>168</v>
      </c>
      <c r="W878" s="0" t="s">
        <v>4287</v>
      </c>
      <c r="X878" s="0" t="s">
        <v>4285</v>
      </c>
      <c r="Y878" s="0" t="s">
        <v>4159</v>
      </c>
      <c r="Z878" s="0" t="s">
        <v>4160</v>
      </c>
      <c r="AA878" s="0" t="s">
        <v>4288</v>
      </c>
      <c r="AB878" s="0" t="s">
        <v>3010</v>
      </c>
      <c r="AC878" s="0" t="s">
        <v>4162</v>
      </c>
      <c r="AD878" s="0" t="s">
        <v>4163</v>
      </c>
      <c r="AE878" s="0" t="s">
        <v>4164</v>
      </c>
      <c r="AF878" s="0" t="s">
        <v>4269</v>
      </c>
      <c r="AH878" s="0" t="s">
        <v>4174</v>
      </c>
      <c r="AI878" s="0" t="s">
        <v>4184</v>
      </c>
      <c r="AL878" s="0" t="s">
        <v>523</v>
      </c>
    </row>
    <row r="879" customFormat="false" ht="15" hidden="false" customHeight="false" outlineLevel="0" collapsed="false">
      <c r="A879" s="0" t="s">
        <v>1214</v>
      </c>
      <c r="B879" s="0" t="s">
        <v>149</v>
      </c>
      <c r="C879" s="0" t="s">
        <v>4263</v>
      </c>
      <c r="D879" s="0" t="n">
        <v>2022</v>
      </c>
      <c r="E879" s="0" t="s">
        <v>62</v>
      </c>
      <c r="F879" s="0" t="n">
        <v>1204785</v>
      </c>
      <c r="G879" s="0" t="s">
        <v>3101</v>
      </c>
      <c r="H879" s="0" t="s">
        <v>3068</v>
      </c>
      <c r="I879" s="0" t="n">
        <v>1204785</v>
      </c>
      <c r="J879" s="0" t="s">
        <v>4155</v>
      </c>
      <c r="K879" s="0" t="s">
        <v>1845</v>
      </c>
      <c r="L879" s="0" t="n">
        <v>2022</v>
      </c>
      <c r="M879" s="0" t="s">
        <v>1846</v>
      </c>
      <c r="N879" s="0" t="s">
        <v>167</v>
      </c>
      <c r="O879" s="0" t="s">
        <v>2409</v>
      </c>
      <c r="P879" s="0" t="s">
        <v>3009</v>
      </c>
      <c r="Q879" s="0" t="n">
        <v>70</v>
      </c>
      <c r="R879" s="0" t="n">
        <v>40</v>
      </c>
      <c r="S879" s="0" t="s">
        <v>4283</v>
      </c>
      <c r="T879" s="0" t="s">
        <v>4264</v>
      </c>
      <c r="U879" s="0" t="s">
        <v>4265</v>
      </c>
      <c r="V879" s="0" t="s">
        <v>168</v>
      </c>
      <c r="W879" s="0" t="s">
        <v>4289</v>
      </c>
      <c r="X879" s="0" t="s">
        <v>4285</v>
      </c>
      <c r="Y879" s="0" t="s">
        <v>4159</v>
      </c>
      <c r="Z879" s="0" t="s">
        <v>4160</v>
      </c>
      <c r="AB879" s="0" t="s">
        <v>3010</v>
      </c>
      <c r="AC879" s="0" t="s">
        <v>4162</v>
      </c>
      <c r="AD879" s="0" t="s">
        <v>4163</v>
      </c>
      <c r="AE879" s="0" t="s">
        <v>4164</v>
      </c>
      <c r="AF879" s="0" t="s">
        <v>4269</v>
      </c>
      <c r="AH879" s="0" t="s">
        <v>2239</v>
      </c>
      <c r="AL879" s="0" t="s">
        <v>523</v>
      </c>
    </row>
    <row r="880" customFormat="false" ht="15" hidden="false" customHeight="false" outlineLevel="0" collapsed="false">
      <c r="A880" s="0" t="s">
        <v>1222</v>
      </c>
      <c r="B880" s="0" t="s">
        <v>149</v>
      </c>
      <c r="C880" s="0" t="s">
        <v>4263</v>
      </c>
      <c r="D880" s="0" t="n">
        <v>2022</v>
      </c>
      <c r="E880" s="0" t="s">
        <v>68</v>
      </c>
      <c r="F880" s="0" t="n">
        <v>-20616</v>
      </c>
      <c r="G880" s="0" t="s">
        <v>3101</v>
      </c>
      <c r="H880" s="0" t="s">
        <v>3068</v>
      </c>
      <c r="I880" s="0" t="n">
        <v>20616</v>
      </c>
      <c r="J880" s="0" t="s">
        <v>4155</v>
      </c>
      <c r="K880" s="0" t="s">
        <v>1845</v>
      </c>
      <c r="L880" s="0" t="n">
        <v>2022</v>
      </c>
      <c r="M880" s="0" t="s">
        <v>1846</v>
      </c>
      <c r="N880" s="0" t="s">
        <v>167</v>
      </c>
      <c r="O880" s="0" t="s">
        <v>2409</v>
      </c>
      <c r="P880" s="0" t="s">
        <v>3009</v>
      </c>
      <c r="Q880" s="0" t="n">
        <v>70</v>
      </c>
      <c r="R880" s="0" t="n">
        <v>40</v>
      </c>
      <c r="S880" s="0" t="s">
        <v>4283</v>
      </c>
      <c r="T880" s="0" t="s">
        <v>4264</v>
      </c>
      <c r="U880" s="0" t="s">
        <v>4265</v>
      </c>
      <c r="V880" s="0" t="s">
        <v>168</v>
      </c>
      <c r="W880" s="0" t="s">
        <v>4290</v>
      </c>
      <c r="X880" s="0" t="s">
        <v>4285</v>
      </c>
      <c r="Y880" s="0" t="s">
        <v>4159</v>
      </c>
      <c r="Z880" s="0" t="s">
        <v>4160</v>
      </c>
      <c r="AA880" s="0" t="s">
        <v>4242</v>
      </c>
      <c r="AB880" s="0" t="s">
        <v>3010</v>
      </c>
      <c r="AC880" s="0" t="s">
        <v>4162</v>
      </c>
      <c r="AD880" s="0" t="s">
        <v>4163</v>
      </c>
      <c r="AE880" s="0" t="s">
        <v>4164</v>
      </c>
      <c r="AF880" s="0" t="s">
        <v>4269</v>
      </c>
      <c r="AH880" s="0" t="s">
        <v>4174</v>
      </c>
      <c r="AI880" s="0" t="s">
        <v>4184</v>
      </c>
      <c r="AL880" s="0" t="s">
        <v>523</v>
      </c>
    </row>
    <row r="881" customFormat="false" ht="15" hidden="false" customHeight="false" outlineLevel="0" collapsed="false">
      <c r="A881" s="0" t="s">
        <v>1219</v>
      </c>
      <c r="B881" s="0" t="s">
        <v>149</v>
      </c>
      <c r="C881" s="0" t="s">
        <v>4263</v>
      </c>
      <c r="D881" s="0" t="n">
        <v>2022</v>
      </c>
      <c r="E881" s="0" t="s">
        <v>65</v>
      </c>
      <c r="F881" s="0" t="n">
        <v>284446</v>
      </c>
      <c r="G881" s="0" t="s">
        <v>3101</v>
      </c>
      <c r="H881" s="0" t="s">
        <v>3068</v>
      </c>
      <c r="I881" s="0" t="n">
        <v>284446</v>
      </c>
      <c r="J881" s="0" t="s">
        <v>4155</v>
      </c>
      <c r="K881" s="0" t="s">
        <v>1845</v>
      </c>
      <c r="L881" s="0" t="n">
        <v>2022</v>
      </c>
      <c r="M881" s="0" t="s">
        <v>1846</v>
      </c>
      <c r="N881" s="0" t="s">
        <v>167</v>
      </c>
      <c r="O881" s="0" t="s">
        <v>2409</v>
      </c>
      <c r="P881" s="0" t="s">
        <v>3009</v>
      </c>
      <c r="Q881" s="0" t="n">
        <v>143</v>
      </c>
      <c r="R881" s="0" t="n">
        <v>113</v>
      </c>
      <c r="T881" s="0" t="s">
        <v>4291</v>
      </c>
      <c r="U881" s="0" t="s">
        <v>4265</v>
      </c>
      <c r="V881" s="0" t="s">
        <v>168</v>
      </c>
      <c r="W881" s="0" t="s">
        <v>4292</v>
      </c>
      <c r="X881" s="0" t="s">
        <v>4293</v>
      </c>
      <c r="Y881" s="0" t="s">
        <v>4159</v>
      </c>
      <c r="Z881" s="0" t="s">
        <v>4160</v>
      </c>
      <c r="AA881" s="0" t="s">
        <v>4294</v>
      </c>
      <c r="AB881" s="0" t="s">
        <v>3010</v>
      </c>
      <c r="AC881" s="0" t="s">
        <v>4162</v>
      </c>
      <c r="AD881" s="0" t="s">
        <v>4163</v>
      </c>
      <c r="AE881" s="0" t="s">
        <v>4164</v>
      </c>
      <c r="AF881" s="0" t="s">
        <v>4269</v>
      </c>
      <c r="AH881" s="0" t="s">
        <v>2239</v>
      </c>
      <c r="AL881" s="0" t="s">
        <v>523</v>
      </c>
    </row>
    <row r="882" customFormat="false" ht="15" hidden="false" customHeight="false" outlineLevel="0" collapsed="false">
      <c r="A882" s="0" t="s">
        <v>1220</v>
      </c>
      <c r="B882" s="0" t="s">
        <v>149</v>
      </c>
      <c r="C882" s="0" t="s">
        <v>4263</v>
      </c>
      <c r="D882" s="0" t="n">
        <v>2022</v>
      </c>
      <c r="E882" s="0" t="s">
        <v>66</v>
      </c>
      <c r="F882" s="0" t="n">
        <v>1545117</v>
      </c>
      <c r="G882" s="0" t="s">
        <v>3101</v>
      </c>
      <c r="H882" s="0" t="s">
        <v>3068</v>
      </c>
      <c r="I882" s="0" t="n">
        <v>1545117</v>
      </c>
      <c r="J882" s="0" t="s">
        <v>4155</v>
      </c>
      <c r="K882" s="0" t="s">
        <v>1845</v>
      </c>
      <c r="L882" s="0" t="n">
        <v>2022</v>
      </c>
      <c r="M882" s="0" t="s">
        <v>1846</v>
      </c>
      <c r="N882" s="0" t="s">
        <v>167</v>
      </c>
      <c r="O882" s="0" t="s">
        <v>2409</v>
      </c>
      <c r="P882" s="0" t="s">
        <v>3009</v>
      </c>
      <c r="Q882" s="0" t="n">
        <v>143</v>
      </c>
      <c r="R882" s="0" t="n">
        <v>113</v>
      </c>
      <c r="T882" s="0" t="s">
        <v>4291</v>
      </c>
      <c r="U882" s="0" t="s">
        <v>4265</v>
      </c>
      <c r="V882" s="0" t="s">
        <v>168</v>
      </c>
      <c r="W882" s="0" t="s">
        <v>4295</v>
      </c>
      <c r="X882" s="0" t="s">
        <v>4293</v>
      </c>
      <c r="Y882" s="0" t="s">
        <v>4159</v>
      </c>
      <c r="Z882" s="0" t="s">
        <v>4160</v>
      </c>
      <c r="AB882" s="0" t="s">
        <v>3010</v>
      </c>
      <c r="AC882" s="0" t="s">
        <v>4162</v>
      </c>
      <c r="AD882" s="0" t="s">
        <v>4163</v>
      </c>
      <c r="AE882" s="0" t="s">
        <v>4164</v>
      </c>
      <c r="AF882" s="0" t="s">
        <v>4269</v>
      </c>
      <c r="AH882" s="0" t="s">
        <v>2239</v>
      </c>
      <c r="AL882" s="0" t="s">
        <v>523</v>
      </c>
    </row>
    <row r="883" customFormat="false" ht="15" hidden="false" customHeight="false" outlineLevel="0" collapsed="false">
      <c r="A883" s="0" t="s">
        <v>1216</v>
      </c>
      <c r="B883" s="0" t="s">
        <v>149</v>
      </c>
      <c r="C883" s="0" t="s">
        <v>4263</v>
      </c>
      <c r="D883" s="0" t="n">
        <v>2022</v>
      </c>
      <c r="E883" s="0" t="s">
        <v>69</v>
      </c>
      <c r="F883" s="0" t="s">
        <v>4296</v>
      </c>
      <c r="G883" s="0" t="s">
        <v>3143</v>
      </c>
      <c r="I883" s="0" t="n">
        <v>18.4</v>
      </c>
      <c r="J883" s="0" t="s">
        <v>4155</v>
      </c>
      <c r="K883" s="0" t="s">
        <v>1845</v>
      </c>
      <c r="L883" s="0" t="n">
        <v>2022</v>
      </c>
      <c r="M883" s="0" t="s">
        <v>1846</v>
      </c>
      <c r="N883" s="0" t="s">
        <v>167</v>
      </c>
      <c r="O883" s="0" t="s">
        <v>2409</v>
      </c>
      <c r="P883" s="0" t="s">
        <v>3009</v>
      </c>
      <c r="Q883" s="0" t="n">
        <v>143</v>
      </c>
      <c r="R883" s="0" t="n">
        <v>113</v>
      </c>
      <c r="T883" s="0" t="s">
        <v>4291</v>
      </c>
      <c r="U883" s="0" t="s">
        <v>4265</v>
      </c>
      <c r="V883" s="0" t="s">
        <v>168</v>
      </c>
      <c r="W883" s="0" t="s">
        <v>4297</v>
      </c>
      <c r="X883" s="0" t="s">
        <v>4293</v>
      </c>
      <c r="Y883" s="0" t="s">
        <v>4159</v>
      </c>
      <c r="Z883" s="0" t="s">
        <v>4160</v>
      </c>
      <c r="AB883" s="0" t="s">
        <v>3010</v>
      </c>
      <c r="AC883" s="0" t="s">
        <v>4162</v>
      </c>
      <c r="AD883" s="0" t="s">
        <v>4163</v>
      </c>
      <c r="AE883" s="0" t="s">
        <v>4164</v>
      </c>
      <c r="AF883" s="0" t="s">
        <v>4269</v>
      </c>
      <c r="AH883" s="0" t="s">
        <v>2239</v>
      </c>
      <c r="AL883" s="0" t="s">
        <v>523</v>
      </c>
    </row>
    <row r="884" customFormat="false" ht="15" hidden="false" customHeight="false" outlineLevel="0" collapsed="false">
      <c r="A884" s="0" t="s">
        <v>1217</v>
      </c>
      <c r="B884" s="0" t="s">
        <v>149</v>
      </c>
      <c r="C884" s="0" t="s">
        <v>4263</v>
      </c>
      <c r="D884" s="0" t="n">
        <v>2022</v>
      </c>
      <c r="E884" s="0" t="s">
        <v>614</v>
      </c>
      <c r="F884" s="0" t="s">
        <v>4296</v>
      </c>
      <c r="G884" s="0" t="s">
        <v>3143</v>
      </c>
      <c r="I884" s="0" t="n">
        <v>18.4</v>
      </c>
      <c r="J884" s="0" t="s">
        <v>4155</v>
      </c>
      <c r="K884" s="0" t="s">
        <v>1845</v>
      </c>
      <c r="L884" s="0" t="n">
        <v>2022</v>
      </c>
      <c r="M884" s="0" t="s">
        <v>1846</v>
      </c>
      <c r="N884" s="0" t="s">
        <v>167</v>
      </c>
      <c r="O884" s="0" t="s">
        <v>2409</v>
      </c>
      <c r="P884" s="0" t="s">
        <v>3009</v>
      </c>
      <c r="Q884" s="0" t="n">
        <v>143</v>
      </c>
      <c r="R884" s="0" t="n">
        <v>113</v>
      </c>
      <c r="T884" s="0" t="s">
        <v>4298</v>
      </c>
      <c r="U884" s="0" t="s">
        <v>4265</v>
      </c>
      <c r="V884" s="0" t="s">
        <v>168</v>
      </c>
      <c r="W884" s="0" t="s">
        <v>4297</v>
      </c>
      <c r="X884" s="0" t="s">
        <v>4293</v>
      </c>
      <c r="Y884" s="0" t="s">
        <v>4159</v>
      </c>
      <c r="Z884" s="0" t="s">
        <v>4160</v>
      </c>
      <c r="AB884" s="0" t="s">
        <v>3010</v>
      </c>
      <c r="AC884" s="0" t="s">
        <v>4162</v>
      </c>
      <c r="AD884" s="0" t="s">
        <v>4163</v>
      </c>
      <c r="AE884" s="0" t="s">
        <v>4164</v>
      </c>
      <c r="AF884" s="0" t="s">
        <v>4269</v>
      </c>
      <c r="AH884" s="0" t="s">
        <v>2239</v>
      </c>
      <c r="AL884" s="0" t="s">
        <v>523</v>
      </c>
    </row>
    <row r="885" customFormat="false" ht="15" hidden="false" customHeight="false" outlineLevel="0" collapsed="false">
      <c r="A885" s="0" t="s">
        <v>1218</v>
      </c>
      <c r="B885" s="0" t="s">
        <v>149</v>
      </c>
      <c r="C885" s="0" t="s">
        <v>4263</v>
      </c>
      <c r="D885" s="0" t="n">
        <v>2022</v>
      </c>
      <c r="E885" s="0" t="s">
        <v>70</v>
      </c>
      <c r="F885" s="0" t="s">
        <v>4299</v>
      </c>
      <c r="G885" s="0" t="s">
        <v>3143</v>
      </c>
      <c r="I885" s="0" t="n">
        <v>10</v>
      </c>
      <c r="J885" s="0" t="s">
        <v>4155</v>
      </c>
      <c r="K885" s="0" t="s">
        <v>1845</v>
      </c>
      <c r="L885" s="0" t="n">
        <v>2022</v>
      </c>
      <c r="M885" s="0" t="s">
        <v>1846</v>
      </c>
      <c r="N885" s="0" t="s">
        <v>167</v>
      </c>
      <c r="O885" s="0" t="s">
        <v>2409</v>
      </c>
      <c r="P885" s="0" t="s">
        <v>3009</v>
      </c>
      <c r="Q885" s="0" t="n">
        <v>142</v>
      </c>
      <c r="R885" s="0" t="n">
        <v>112</v>
      </c>
      <c r="T885" s="0" t="s">
        <v>4254</v>
      </c>
      <c r="U885" s="0" t="s">
        <v>4265</v>
      </c>
      <c r="V885" s="0" t="s">
        <v>168</v>
      </c>
      <c r="W885" s="0" t="s">
        <v>4300</v>
      </c>
      <c r="X885" s="0" t="s">
        <v>4301</v>
      </c>
      <c r="Y885" s="0" t="s">
        <v>4159</v>
      </c>
      <c r="Z885" s="0" t="s">
        <v>4160</v>
      </c>
      <c r="AA885" s="0" t="s">
        <v>4302</v>
      </c>
      <c r="AB885" s="0" t="s">
        <v>3010</v>
      </c>
      <c r="AC885" s="0" t="s">
        <v>4162</v>
      </c>
      <c r="AD885" s="0" t="s">
        <v>4163</v>
      </c>
      <c r="AE885" s="0" t="s">
        <v>4164</v>
      </c>
      <c r="AF885" s="0" t="s">
        <v>4269</v>
      </c>
      <c r="AH885" s="0" t="s">
        <v>2239</v>
      </c>
      <c r="AL885" s="0" t="s">
        <v>523</v>
      </c>
    </row>
    <row r="886" customFormat="false" ht="15" hidden="false" customHeight="false" outlineLevel="0" collapsed="false">
      <c r="A886" s="0" t="s">
        <v>1190</v>
      </c>
      <c r="B886" s="0" t="s">
        <v>149</v>
      </c>
      <c r="C886" s="0" t="s">
        <v>4263</v>
      </c>
      <c r="D886" s="0" t="n">
        <v>2021</v>
      </c>
      <c r="E886" s="0" t="s">
        <v>55</v>
      </c>
      <c r="F886" s="0" t="n">
        <v>2614087</v>
      </c>
      <c r="G886" s="0" t="s">
        <v>3101</v>
      </c>
      <c r="H886" s="0" t="s">
        <v>3068</v>
      </c>
      <c r="I886" s="0" t="n">
        <v>2614087</v>
      </c>
      <c r="J886" s="0" t="s">
        <v>4155</v>
      </c>
      <c r="K886" s="0" t="s">
        <v>1836</v>
      </c>
      <c r="L886" s="0" t="n">
        <v>2021</v>
      </c>
      <c r="M886" s="0" t="s">
        <v>1837</v>
      </c>
      <c r="N886" s="0" t="s">
        <v>164</v>
      </c>
      <c r="O886" s="0" t="s">
        <v>2359</v>
      </c>
      <c r="P886" s="0" t="s">
        <v>3013</v>
      </c>
      <c r="Q886" s="0" t="n">
        <v>32</v>
      </c>
      <c r="R886" s="0" t="n">
        <v>1</v>
      </c>
      <c r="T886" s="0" t="s">
        <v>4273</v>
      </c>
      <c r="U886" s="0" t="s">
        <v>4303</v>
      </c>
      <c r="V886" s="0" t="s">
        <v>166</v>
      </c>
      <c r="W886" s="0" t="s">
        <v>4304</v>
      </c>
      <c r="X886" s="0" t="s">
        <v>4305</v>
      </c>
      <c r="Y886" s="0" t="s">
        <v>4159</v>
      </c>
      <c r="Z886" s="0" t="s">
        <v>4160</v>
      </c>
      <c r="AB886" s="0" t="s">
        <v>3014</v>
      </c>
      <c r="AC886" s="0" t="s">
        <v>4162</v>
      </c>
      <c r="AD886" s="0" t="s">
        <v>4163</v>
      </c>
      <c r="AE886" s="0" t="s">
        <v>4164</v>
      </c>
      <c r="AF886" s="0" t="s">
        <v>4269</v>
      </c>
      <c r="AH886" s="0" t="s">
        <v>2239</v>
      </c>
      <c r="AL886" s="0" t="s">
        <v>523</v>
      </c>
    </row>
    <row r="887" customFormat="false" ht="15" hidden="false" customHeight="false" outlineLevel="0" collapsed="false">
      <c r="A887" s="0" t="s">
        <v>1191</v>
      </c>
      <c r="B887" s="0" t="s">
        <v>149</v>
      </c>
      <c r="C887" s="0" t="s">
        <v>4263</v>
      </c>
      <c r="D887" s="0" t="n">
        <v>2021</v>
      </c>
      <c r="E887" s="0" t="s">
        <v>56</v>
      </c>
      <c r="F887" s="0" t="n">
        <v>2362312</v>
      </c>
      <c r="G887" s="0" t="s">
        <v>3101</v>
      </c>
      <c r="H887" s="0" t="s">
        <v>3068</v>
      </c>
      <c r="I887" s="0" t="n">
        <v>2362312</v>
      </c>
      <c r="J887" s="0" t="s">
        <v>4155</v>
      </c>
      <c r="K887" s="0" t="s">
        <v>1836</v>
      </c>
      <c r="L887" s="0" t="n">
        <v>2021</v>
      </c>
      <c r="M887" s="0" t="s">
        <v>1837</v>
      </c>
      <c r="N887" s="0" t="s">
        <v>164</v>
      </c>
      <c r="O887" s="0" t="s">
        <v>2359</v>
      </c>
      <c r="P887" s="0" t="s">
        <v>3013</v>
      </c>
      <c r="Q887" s="0" t="n">
        <v>32</v>
      </c>
      <c r="R887" s="0" t="n">
        <v>1</v>
      </c>
      <c r="T887" s="0" t="s">
        <v>4273</v>
      </c>
      <c r="U887" s="0" t="s">
        <v>4303</v>
      </c>
      <c r="V887" s="0" t="s">
        <v>166</v>
      </c>
      <c r="W887" s="0" t="s">
        <v>4306</v>
      </c>
      <c r="X887" s="0" t="s">
        <v>4305</v>
      </c>
      <c r="Y887" s="0" t="s">
        <v>4159</v>
      </c>
      <c r="Z887" s="0" t="s">
        <v>4160</v>
      </c>
      <c r="AB887" s="0" t="s">
        <v>3014</v>
      </c>
      <c r="AC887" s="0" t="s">
        <v>4162</v>
      </c>
      <c r="AD887" s="0" t="s">
        <v>4163</v>
      </c>
      <c r="AE887" s="0" t="s">
        <v>4164</v>
      </c>
      <c r="AF887" s="0" t="s">
        <v>4269</v>
      </c>
      <c r="AH887" s="0" t="s">
        <v>2239</v>
      </c>
      <c r="AL887" s="0" t="s">
        <v>523</v>
      </c>
    </row>
    <row r="888" customFormat="false" ht="15" hidden="false" customHeight="false" outlineLevel="0" collapsed="false">
      <c r="A888" s="0" t="s">
        <v>1192</v>
      </c>
      <c r="B888" s="0" t="s">
        <v>149</v>
      </c>
      <c r="C888" s="0" t="s">
        <v>4263</v>
      </c>
      <c r="D888" s="0" t="n">
        <v>2021</v>
      </c>
      <c r="E888" s="0" t="s">
        <v>57</v>
      </c>
      <c r="F888" s="0" t="n">
        <v>251775</v>
      </c>
      <c r="G888" s="0" t="s">
        <v>3101</v>
      </c>
      <c r="H888" s="0" t="s">
        <v>3068</v>
      </c>
      <c r="I888" s="0" t="n">
        <v>251775</v>
      </c>
      <c r="J888" s="0" t="s">
        <v>4155</v>
      </c>
      <c r="K888" s="0" t="s">
        <v>1836</v>
      </c>
      <c r="L888" s="0" t="n">
        <v>2021</v>
      </c>
      <c r="M888" s="0" t="s">
        <v>1837</v>
      </c>
      <c r="N888" s="0" t="s">
        <v>164</v>
      </c>
      <c r="O888" s="0" t="s">
        <v>2359</v>
      </c>
      <c r="P888" s="0" t="s">
        <v>3013</v>
      </c>
      <c r="Q888" s="0" t="n">
        <v>32</v>
      </c>
      <c r="R888" s="0" t="n">
        <v>1</v>
      </c>
      <c r="T888" s="0" t="s">
        <v>4273</v>
      </c>
      <c r="U888" s="0" t="s">
        <v>4303</v>
      </c>
      <c r="V888" s="0" t="s">
        <v>166</v>
      </c>
      <c r="W888" s="0" t="s">
        <v>4307</v>
      </c>
      <c r="X888" s="0" t="s">
        <v>4305</v>
      </c>
      <c r="Y888" s="0" t="s">
        <v>4159</v>
      </c>
      <c r="Z888" s="0" t="s">
        <v>4160</v>
      </c>
      <c r="AB888" s="0" t="s">
        <v>3014</v>
      </c>
      <c r="AC888" s="0" t="s">
        <v>4162</v>
      </c>
      <c r="AD888" s="0" t="s">
        <v>4163</v>
      </c>
      <c r="AE888" s="0" t="s">
        <v>4164</v>
      </c>
      <c r="AF888" s="0" t="s">
        <v>4269</v>
      </c>
      <c r="AH888" s="0" t="s">
        <v>2239</v>
      </c>
      <c r="AL888" s="0" t="s">
        <v>523</v>
      </c>
    </row>
    <row r="889" customFormat="false" ht="15" hidden="false" customHeight="false" outlineLevel="0" collapsed="false">
      <c r="A889" s="0" t="s">
        <v>1194</v>
      </c>
      <c r="B889" s="0" t="s">
        <v>149</v>
      </c>
      <c r="C889" s="0" t="s">
        <v>4263</v>
      </c>
      <c r="D889" s="0" t="n">
        <v>2021</v>
      </c>
      <c r="E889" s="0" t="s">
        <v>59</v>
      </c>
      <c r="F889" s="0" t="n">
        <v>2370347</v>
      </c>
      <c r="G889" s="0" t="s">
        <v>3101</v>
      </c>
      <c r="H889" s="0" t="s">
        <v>3068</v>
      </c>
      <c r="I889" s="0" t="n">
        <v>2370347</v>
      </c>
      <c r="J889" s="0" t="s">
        <v>4155</v>
      </c>
      <c r="K889" s="0" t="s">
        <v>1836</v>
      </c>
      <c r="L889" s="0" t="n">
        <v>2021</v>
      </c>
      <c r="M889" s="0" t="s">
        <v>1837</v>
      </c>
      <c r="N889" s="0" t="s">
        <v>164</v>
      </c>
      <c r="O889" s="0" t="s">
        <v>2359</v>
      </c>
      <c r="P889" s="0" t="s">
        <v>3013</v>
      </c>
      <c r="Q889" s="0" t="n">
        <v>32</v>
      </c>
      <c r="R889" s="0" t="n">
        <v>1</v>
      </c>
      <c r="T889" s="0" t="s">
        <v>4308</v>
      </c>
      <c r="U889" s="0" t="s">
        <v>4303</v>
      </c>
      <c r="V889" s="0" t="s">
        <v>166</v>
      </c>
      <c r="W889" s="0" t="s">
        <v>4304</v>
      </c>
      <c r="X889" s="0" t="s">
        <v>4305</v>
      </c>
      <c r="Y889" s="0" t="s">
        <v>4159</v>
      </c>
      <c r="Z889" s="0" t="s">
        <v>4160</v>
      </c>
      <c r="AA889" s="0" t="s">
        <v>4309</v>
      </c>
      <c r="AB889" s="0" t="s">
        <v>3014</v>
      </c>
      <c r="AC889" s="0" t="s">
        <v>4162</v>
      </c>
      <c r="AD889" s="0" t="s">
        <v>4163</v>
      </c>
      <c r="AE889" s="0" t="s">
        <v>4164</v>
      </c>
      <c r="AF889" s="0" t="s">
        <v>4269</v>
      </c>
      <c r="AH889" s="0" t="s">
        <v>2239</v>
      </c>
      <c r="AL889" s="0" t="s">
        <v>523</v>
      </c>
    </row>
    <row r="890" customFormat="false" ht="15" hidden="false" customHeight="false" outlineLevel="0" collapsed="false">
      <c r="A890" s="0" t="s">
        <v>1189</v>
      </c>
      <c r="B890" s="0" t="s">
        <v>149</v>
      </c>
      <c r="C890" s="0" t="s">
        <v>4263</v>
      </c>
      <c r="D890" s="0" t="n">
        <v>2021</v>
      </c>
      <c r="E890" s="0" t="s">
        <v>54</v>
      </c>
      <c r="F890" s="0" t="n">
        <v>29570</v>
      </c>
      <c r="G890" s="0" t="s">
        <v>3101</v>
      </c>
      <c r="H890" s="0" t="s">
        <v>3068</v>
      </c>
      <c r="I890" s="0" t="n">
        <v>29570</v>
      </c>
      <c r="J890" s="0" t="s">
        <v>4155</v>
      </c>
      <c r="K890" s="0" t="s">
        <v>1836</v>
      </c>
      <c r="L890" s="0" t="n">
        <v>2021</v>
      </c>
      <c r="M890" s="0" t="s">
        <v>1837</v>
      </c>
      <c r="N890" s="0" t="s">
        <v>164</v>
      </c>
      <c r="O890" s="0" t="s">
        <v>2359</v>
      </c>
      <c r="P890" s="0" t="s">
        <v>3013</v>
      </c>
      <c r="Q890" s="0" t="n">
        <v>33</v>
      </c>
      <c r="R890" s="0" t="n">
        <v>2</v>
      </c>
      <c r="T890" s="0" t="s">
        <v>4156</v>
      </c>
      <c r="U890" s="0" t="s">
        <v>4303</v>
      </c>
      <c r="V890" s="0" t="s">
        <v>166</v>
      </c>
      <c r="W890" s="0" t="s">
        <v>4310</v>
      </c>
      <c r="X890" s="0" t="s">
        <v>4311</v>
      </c>
      <c r="Y890" s="0" t="s">
        <v>4159</v>
      </c>
      <c r="Z890" s="0" t="s">
        <v>4160</v>
      </c>
      <c r="AB890" s="0" t="s">
        <v>3014</v>
      </c>
      <c r="AC890" s="0" t="s">
        <v>4162</v>
      </c>
      <c r="AD890" s="0" t="s">
        <v>4163</v>
      </c>
      <c r="AE890" s="0" t="s">
        <v>4164</v>
      </c>
      <c r="AF890" s="0" t="s">
        <v>4269</v>
      </c>
      <c r="AH890" s="0" t="s">
        <v>2239</v>
      </c>
      <c r="AL890" s="0" t="s">
        <v>523</v>
      </c>
    </row>
    <row r="891" customFormat="false" ht="15" hidden="false" customHeight="false" outlineLevel="0" collapsed="false">
      <c r="A891" s="0" t="s">
        <v>1205</v>
      </c>
      <c r="B891" s="0" t="s">
        <v>149</v>
      </c>
      <c r="C891" s="0" t="s">
        <v>4263</v>
      </c>
      <c r="D891" s="0" t="n">
        <v>2021</v>
      </c>
      <c r="E891" s="0" t="s">
        <v>541</v>
      </c>
      <c r="F891" s="0" t="n">
        <v>23433</v>
      </c>
      <c r="G891" s="0" t="s">
        <v>3101</v>
      </c>
      <c r="H891" s="0" t="s">
        <v>3068</v>
      </c>
      <c r="I891" s="0" t="n">
        <v>23433</v>
      </c>
      <c r="J891" s="0" t="s">
        <v>4155</v>
      </c>
      <c r="K891" s="0" t="s">
        <v>1836</v>
      </c>
      <c r="L891" s="0" t="n">
        <v>2021</v>
      </c>
      <c r="M891" s="0" t="s">
        <v>1837</v>
      </c>
      <c r="N891" s="0" t="s">
        <v>164</v>
      </c>
      <c r="O891" s="0" t="s">
        <v>2359</v>
      </c>
      <c r="P891" s="0" t="s">
        <v>3013</v>
      </c>
      <c r="Q891" s="0" t="n">
        <v>33</v>
      </c>
      <c r="R891" s="0" t="n">
        <v>2</v>
      </c>
      <c r="T891" s="0" t="s">
        <v>4156</v>
      </c>
      <c r="U891" s="0" t="s">
        <v>4303</v>
      </c>
      <c r="V891" s="0" t="s">
        <v>166</v>
      </c>
      <c r="W891" s="0" t="s">
        <v>4312</v>
      </c>
      <c r="X891" s="0" t="s">
        <v>4311</v>
      </c>
      <c r="Y891" s="0" t="s">
        <v>4159</v>
      </c>
      <c r="Z891" s="0" t="s">
        <v>4160</v>
      </c>
      <c r="AB891" s="0" t="s">
        <v>3014</v>
      </c>
      <c r="AC891" s="0" t="s">
        <v>4162</v>
      </c>
      <c r="AD891" s="0" t="s">
        <v>4163</v>
      </c>
      <c r="AE891" s="0" t="s">
        <v>4164</v>
      </c>
      <c r="AF891" s="0" t="s">
        <v>4269</v>
      </c>
      <c r="AH891" s="0" t="s">
        <v>2239</v>
      </c>
      <c r="AL891" s="0" t="s">
        <v>523</v>
      </c>
    </row>
    <row r="892" customFormat="false" ht="15" hidden="false" customHeight="false" outlineLevel="0" collapsed="false">
      <c r="A892" s="0" t="s">
        <v>1198</v>
      </c>
      <c r="B892" s="0" t="s">
        <v>149</v>
      </c>
      <c r="C892" s="0" t="s">
        <v>4263</v>
      </c>
      <c r="D892" s="0" t="n">
        <v>2021</v>
      </c>
      <c r="E892" s="0" t="s">
        <v>63</v>
      </c>
      <c r="F892" s="0" t="n">
        <v>1208</v>
      </c>
      <c r="G892" s="0" t="s">
        <v>3101</v>
      </c>
      <c r="H892" s="0" t="s">
        <v>3068</v>
      </c>
      <c r="I892" s="0" t="n">
        <v>-1208</v>
      </c>
      <c r="J892" s="0" t="s">
        <v>4155</v>
      </c>
      <c r="K892" s="0" t="s">
        <v>1836</v>
      </c>
      <c r="L892" s="0" t="n">
        <v>2021</v>
      </c>
      <c r="M892" s="0" t="s">
        <v>1837</v>
      </c>
      <c r="N892" s="0" t="s">
        <v>164</v>
      </c>
      <c r="O892" s="0" t="s">
        <v>2359</v>
      </c>
      <c r="P892" s="0" t="s">
        <v>3013</v>
      </c>
      <c r="Q892" s="0" t="n">
        <v>33</v>
      </c>
      <c r="R892" s="0" t="n">
        <v>2</v>
      </c>
      <c r="S892" s="0" t="n">
        <v>31.6</v>
      </c>
      <c r="T892" s="0" t="s">
        <v>4156</v>
      </c>
      <c r="U892" s="0" t="s">
        <v>4303</v>
      </c>
      <c r="V892" s="0" t="s">
        <v>166</v>
      </c>
      <c r="W892" s="0" t="s">
        <v>4313</v>
      </c>
      <c r="X892" s="0" t="s">
        <v>4311</v>
      </c>
      <c r="Y892" s="0" t="s">
        <v>4159</v>
      </c>
      <c r="Z892" s="0" t="s">
        <v>4160</v>
      </c>
      <c r="AA892" s="0" t="s">
        <v>4314</v>
      </c>
      <c r="AB892" s="0" t="s">
        <v>3014</v>
      </c>
      <c r="AC892" s="0" t="s">
        <v>4162</v>
      </c>
      <c r="AD892" s="0" t="s">
        <v>4163</v>
      </c>
      <c r="AE892" s="0" t="s">
        <v>4164</v>
      </c>
      <c r="AF892" s="0" t="s">
        <v>4269</v>
      </c>
      <c r="AH892" s="0" t="s">
        <v>4174</v>
      </c>
      <c r="AI892" s="0" t="s">
        <v>4175</v>
      </c>
      <c r="AL892" s="0" t="s">
        <v>523</v>
      </c>
    </row>
    <row r="893" customFormat="false" ht="15" hidden="false" customHeight="false" outlineLevel="0" collapsed="false">
      <c r="A893" s="0" t="s">
        <v>1193</v>
      </c>
      <c r="B893" s="0" t="s">
        <v>149</v>
      </c>
      <c r="C893" s="0" t="s">
        <v>4263</v>
      </c>
      <c r="D893" s="0" t="n">
        <v>2021</v>
      </c>
      <c r="E893" s="0" t="s">
        <v>58</v>
      </c>
      <c r="F893" s="0" t="n">
        <v>55771</v>
      </c>
      <c r="G893" s="0" t="s">
        <v>3101</v>
      </c>
      <c r="H893" s="0" t="s">
        <v>3068</v>
      </c>
      <c r="I893" s="0" t="n">
        <v>55771</v>
      </c>
      <c r="J893" s="0" t="s">
        <v>4155</v>
      </c>
      <c r="K893" s="0" t="s">
        <v>1836</v>
      </c>
      <c r="L893" s="0" t="n">
        <v>2021</v>
      </c>
      <c r="M893" s="0" t="s">
        <v>1837</v>
      </c>
      <c r="N893" s="0" t="s">
        <v>164</v>
      </c>
      <c r="O893" s="0" t="s">
        <v>2359</v>
      </c>
      <c r="P893" s="0" t="s">
        <v>3013</v>
      </c>
      <c r="Q893" s="0" t="n">
        <v>37</v>
      </c>
      <c r="R893" s="0" t="n">
        <v>6</v>
      </c>
      <c r="T893" s="0" t="s">
        <v>4273</v>
      </c>
      <c r="U893" s="0" t="s">
        <v>4303</v>
      </c>
      <c r="V893" s="0" t="s">
        <v>166</v>
      </c>
      <c r="W893" s="0" t="s">
        <v>4315</v>
      </c>
      <c r="X893" s="0" t="s">
        <v>4316</v>
      </c>
      <c r="Y893" s="0" t="s">
        <v>4159</v>
      </c>
      <c r="Z893" s="0" t="s">
        <v>4160</v>
      </c>
      <c r="AB893" s="0" t="s">
        <v>3014</v>
      </c>
      <c r="AC893" s="0" t="s">
        <v>4162</v>
      </c>
      <c r="AD893" s="0" t="s">
        <v>4163</v>
      </c>
      <c r="AE893" s="0" t="s">
        <v>4164</v>
      </c>
      <c r="AF893" s="0" t="s">
        <v>4269</v>
      </c>
      <c r="AH893" s="0" t="s">
        <v>2239</v>
      </c>
      <c r="AL893" s="0" t="s">
        <v>523</v>
      </c>
    </row>
    <row r="894" customFormat="false" ht="15" hidden="false" customHeight="false" outlineLevel="0" collapsed="false">
      <c r="A894" s="0" t="s">
        <v>1195</v>
      </c>
      <c r="B894" s="0" t="s">
        <v>149</v>
      </c>
      <c r="C894" s="0" t="s">
        <v>4263</v>
      </c>
      <c r="D894" s="0" t="n">
        <v>2021</v>
      </c>
      <c r="E894" s="0" t="s">
        <v>60</v>
      </c>
      <c r="F894" s="0" t="n">
        <v>946259</v>
      </c>
      <c r="G894" s="0" t="s">
        <v>3101</v>
      </c>
      <c r="H894" s="0" t="s">
        <v>3068</v>
      </c>
      <c r="I894" s="0" t="n">
        <v>946259</v>
      </c>
      <c r="J894" s="0" t="s">
        <v>4155</v>
      </c>
      <c r="K894" s="0" t="s">
        <v>1836</v>
      </c>
      <c r="L894" s="0" t="n">
        <v>2021</v>
      </c>
      <c r="M894" s="0" t="s">
        <v>1837</v>
      </c>
      <c r="N894" s="0" t="s">
        <v>164</v>
      </c>
      <c r="O894" s="0" t="s">
        <v>2359</v>
      </c>
      <c r="P894" s="0" t="s">
        <v>3013</v>
      </c>
      <c r="Q894" s="0" t="n">
        <v>71</v>
      </c>
      <c r="R894" s="0" t="n">
        <v>40</v>
      </c>
      <c r="S894" s="0" t="s">
        <v>4283</v>
      </c>
      <c r="T894" s="0" t="s">
        <v>4273</v>
      </c>
      <c r="U894" s="0" t="s">
        <v>4303</v>
      </c>
      <c r="V894" s="0" t="s">
        <v>166</v>
      </c>
      <c r="W894" s="0" t="s">
        <v>4317</v>
      </c>
      <c r="X894" s="0" t="s">
        <v>4318</v>
      </c>
      <c r="Y894" s="0" t="s">
        <v>4159</v>
      </c>
      <c r="Z894" s="0" t="s">
        <v>4160</v>
      </c>
      <c r="AB894" s="0" t="s">
        <v>3014</v>
      </c>
      <c r="AC894" s="0" t="s">
        <v>4162</v>
      </c>
      <c r="AD894" s="0" t="s">
        <v>4163</v>
      </c>
      <c r="AE894" s="0" t="s">
        <v>4164</v>
      </c>
      <c r="AF894" s="0" t="s">
        <v>4269</v>
      </c>
      <c r="AH894" s="0" t="s">
        <v>2239</v>
      </c>
      <c r="AL894" s="0" t="s">
        <v>523</v>
      </c>
    </row>
    <row r="895" customFormat="false" ht="15" hidden="false" customHeight="false" outlineLevel="0" collapsed="false">
      <c r="A895" s="0" t="s">
        <v>1196</v>
      </c>
      <c r="B895" s="0" t="s">
        <v>149</v>
      </c>
      <c r="C895" s="0" t="s">
        <v>4263</v>
      </c>
      <c r="D895" s="0" t="n">
        <v>2021</v>
      </c>
      <c r="E895" s="0" t="s">
        <v>61</v>
      </c>
      <c r="F895" s="0" t="n">
        <v>-25215</v>
      </c>
      <c r="G895" s="0" t="s">
        <v>3101</v>
      </c>
      <c r="H895" s="0" t="s">
        <v>3068</v>
      </c>
      <c r="I895" s="0" t="n">
        <v>25215</v>
      </c>
      <c r="J895" s="0" t="s">
        <v>4155</v>
      </c>
      <c r="K895" s="0" t="s">
        <v>1836</v>
      </c>
      <c r="L895" s="0" t="n">
        <v>2021</v>
      </c>
      <c r="M895" s="0" t="s">
        <v>1837</v>
      </c>
      <c r="N895" s="0" t="s">
        <v>164</v>
      </c>
      <c r="O895" s="0" t="s">
        <v>2359</v>
      </c>
      <c r="P895" s="0" t="s">
        <v>3013</v>
      </c>
      <c r="Q895" s="0" t="n">
        <v>71</v>
      </c>
      <c r="R895" s="0" t="n">
        <v>40</v>
      </c>
      <c r="S895" s="0" t="s">
        <v>4283</v>
      </c>
      <c r="T895" s="0" t="s">
        <v>4273</v>
      </c>
      <c r="U895" s="0" t="s">
        <v>4303</v>
      </c>
      <c r="V895" s="0" t="s">
        <v>166</v>
      </c>
      <c r="W895" s="0" t="s">
        <v>4319</v>
      </c>
      <c r="X895" s="0" t="s">
        <v>4318</v>
      </c>
      <c r="Y895" s="0" t="s">
        <v>4159</v>
      </c>
      <c r="Z895" s="0" t="s">
        <v>4160</v>
      </c>
      <c r="AA895" s="0" t="s">
        <v>4242</v>
      </c>
      <c r="AB895" s="0" t="s">
        <v>3014</v>
      </c>
      <c r="AC895" s="0" t="s">
        <v>4162</v>
      </c>
      <c r="AD895" s="0" t="s">
        <v>4163</v>
      </c>
      <c r="AE895" s="0" t="s">
        <v>4164</v>
      </c>
      <c r="AF895" s="0" t="s">
        <v>4269</v>
      </c>
      <c r="AH895" s="0" t="s">
        <v>4174</v>
      </c>
      <c r="AI895" s="0" t="s">
        <v>4184</v>
      </c>
      <c r="AL895" s="0" t="s">
        <v>523</v>
      </c>
    </row>
    <row r="896" customFormat="false" ht="15" hidden="false" customHeight="false" outlineLevel="0" collapsed="false">
      <c r="A896" s="0" t="s">
        <v>1197</v>
      </c>
      <c r="B896" s="0" t="s">
        <v>149</v>
      </c>
      <c r="C896" s="0" t="s">
        <v>4263</v>
      </c>
      <c r="D896" s="0" t="n">
        <v>2021</v>
      </c>
      <c r="E896" s="0" t="s">
        <v>62</v>
      </c>
      <c r="F896" s="0" t="n">
        <v>921044</v>
      </c>
      <c r="G896" s="0" t="s">
        <v>3101</v>
      </c>
      <c r="H896" s="0" t="s">
        <v>3068</v>
      </c>
      <c r="I896" s="0" t="n">
        <v>921044</v>
      </c>
      <c r="J896" s="0" t="s">
        <v>4155</v>
      </c>
      <c r="K896" s="0" t="s">
        <v>1836</v>
      </c>
      <c r="L896" s="0" t="n">
        <v>2021</v>
      </c>
      <c r="M896" s="0" t="s">
        <v>1837</v>
      </c>
      <c r="N896" s="0" t="s">
        <v>164</v>
      </c>
      <c r="O896" s="0" t="s">
        <v>2359</v>
      </c>
      <c r="P896" s="0" t="s">
        <v>3013</v>
      </c>
      <c r="Q896" s="0" t="n">
        <v>71</v>
      </c>
      <c r="R896" s="0" t="n">
        <v>40</v>
      </c>
      <c r="S896" s="0" t="s">
        <v>4283</v>
      </c>
      <c r="T896" s="0" t="s">
        <v>4273</v>
      </c>
      <c r="U896" s="0" t="s">
        <v>4303</v>
      </c>
      <c r="V896" s="0" t="s">
        <v>166</v>
      </c>
      <c r="W896" s="0" t="s">
        <v>4320</v>
      </c>
      <c r="X896" s="0" t="s">
        <v>4318</v>
      </c>
      <c r="Y896" s="0" t="s">
        <v>4159</v>
      </c>
      <c r="Z896" s="0" t="s">
        <v>4160</v>
      </c>
      <c r="AB896" s="0" t="s">
        <v>3014</v>
      </c>
      <c r="AC896" s="0" t="s">
        <v>4162</v>
      </c>
      <c r="AD896" s="0" t="s">
        <v>4163</v>
      </c>
      <c r="AE896" s="0" t="s">
        <v>4164</v>
      </c>
      <c r="AF896" s="0" t="s">
        <v>4269</v>
      </c>
      <c r="AH896" s="0" t="s">
        <v>2239</v>
      </c>
      <c r="AL896" s="0" t="s">
        <v>523</v>
      </c>
    </row>
    <row r="897" customFormat="false" ht="15" hidden="false" customHeight="false" outlineLevel="0" collapsed="false">
      <c r="A897" s="0" t="s">
        <v>1204</v>
      </c>
      <c r="B897" s="0" t="s">
        <v>149</v>
      </c>
      <c r="C897" s="0" t="s">
        <v>4263</v>
      </c>
      <c r="D897" s="0" t="n">
        <v>2021</v>
      </c>
      <c r="E897" s="0" t="s">
        <v>68</v>
      </c>
      <c r="F897" s="0" t="n">
        <v>-15907</v>
      </c>
      <c r="G897" s="0" t="s">
        <v>3101</v>
      </c>
      <c r="H897" s="0" t="s">
        <v>3068</v>
      </c>
      <c r="I897" s="0" t="n">
        <v>15907</v>
      </c>
      <c r="J897" s="0" t="s">
        <v>4155</v>
      </c>
      <c r="K897" s="0" t="s">
        <v>1836</v>
      </c>
      <c r="L897" s="0" t="n">
        <v>2021</v>
      </c>
      <c r="M897" s="0" t="s">
        <v>1837</v>
      </c>
      <c r="N897" s="0" t="s">
        <v>164</v>
      </c>
      <c r="O897" s="0" t="s">
        <v>2359</v>
      </c>
      <c r="P897" s="0" t="s">
        <v>3013</v>
      </c>
      <c r="Q897" s="0" t="n">
        <v>71</v>
      </c>
      <c r="R897" s="0" t="n">
        <v>40</v>
      </c>
      <c r="S897" s="0" t="s">
        <v>4283</v>
      </c>
      <c r="T897" s="0" t="s">
        <v>4273</v>
      </c>
      <c r="U897" s="0" t="s">
        <v>4303</v>
      </c>
      <c r="V897" s="0" t="s">
        <v>166</v>
      </c>
      <c r="W897" s="0" t="s">
        <v>4321</v>
      </c>
      <c r="X897" s="0" t="s">
        <v>4318</v>
      </c>
      <c r="Y897" s="0" t="s">
        <v>4159</v>
      </c>
      <c r="Z897" s="0" t="s">
        <v>4160</v>
      </c>
      <c r="AA897" s="0" t="s">
        <v>4242</v>
      </c>
      <c r="AB897" s="0" t="s">
        <v>3014</v>
      </c>
      <c r="AC897" s="0" t="s">
        <v>4162</v>
      </c>
      <c r="AD897" s="0" t="s">
        <v>4163</v>
      </c>
      <c r="AE897" s="0" t="s">
        <v>4164</v>
      </c>
      <c r="AF897" s="0" t="s">
        <v>4269</v>
      </c>
      <c r="AH897" s="0" t="s">
        <v>4174</v>
      </c>
      <c r="AI897" s="0" t="s">
        <v>4184</v>
      </c>
      <c r="AL897" s="0" t="s">
        <v>523</v>
      </c>
    </row>
    <row r="898" customFormat="false" ht="15" hidden="false" customHeight="false" outlineLevel="0" collapsed="false">
      <c r="A898" s="0" t="s">
        <v>1201</v>
      </c>
      <c r="B898" s="0" t="s">
        <v>149</v>
      </c>
      <c r="C898" s="0" t="s">
        <v>4263</v>
      </c>
      <c r="D898" s="0" t="n">
        <v>2021</v>
      </c>
      <c r="E898" s="0" t="s">
        <v>65</v>
      </c>
      <c r="F898" s="0" t="n">
        <v>226940</v>
      </c>
      <c r="G898" s="0" t="s">
        <v>3101</v>
      </c>
      <c r="H898" s="0" t="s">
        <v>3068</v>
      </c>
      <c r="I898" s="0" t="n">
        <v>226940</v>
      </c>
      <c r="J898" s="0" t="s">
        <v>4155</v>
      </c>
      <c r="K898" s="0" t="s">
        <v>1836</v>
      </c>
      <c r="L898" s="0" t="n">
        <v>2021</v>
      </c>
      <c r="M898" s="0" t="s">
        <v>1837</v>
      </c>
      <c r="N898" s="0" t="s">
        <v>164</v>
      </c>
      <c r="O898" s="0" t="s">
        <v>2359</v>
      </c>
      <c r="P898" s="0" t="s">
        <v>3013</v>
      </c>
      <c r="Q898" s="0" t="n">
        <v>144</v>
      </c>
      <c r="R898" s="0" t="n">
        <v>113</v>
      </c>
      <c r="T898" s="0" t="s">
        <v>4322</v>
      </c>
      <c r="U898" s="0" t="s">
        <v>4303</v>
      </c>
      <c r="V898" s="0" t="s">
        <v>166</v>
      </c>
      <c r="W898" s="0" t="s">
        <v>4323</v>
      </c>
      <c r="X898" s="0" t="s">
        <v>4324</v>
      </c>
      <c r="Y898" s="0" t="s">
        <v>4159</v>
      </c>
      <c r="Z898" s="0" t="s">
        <v>4160</v>
      </c>
      <c r="AA898" s="0" t="s">
        <v>4325</v>
      </c>
      <c r="AB898" s="0" t="s">
        <v>3014</v>
      </c>
      <c r="AC898" s="0" t="s">
        <v>4162</v>
      </c>
      <c r="AD898" s="0" t="s">
        <v>4163</v>
      </c>
      <c r="AE898" s="0" t="s">
        <v>4164</v>
      </c>
      <c r="AF898" s="0" t="s">
        <v>4269</v>
      </c>
      <c r="AH898" s="0" t="s">
        <v>2239</v>
      </c>
      <c r="AL898" s="0" t="s">
        <v>523</v>
      </c>
    </row>
    <row r="899" customFormat="false" ht="15" hidden="false" customHeight="false" outlineLevel="0" collapsed="false">
      <c r="A899" s="0" t="s">
        <v>1202</v>
      </c>
      <c r="B899" s="0" t="s">
        <v>149</v>
      </c>
      <c r="C899" s="0" t="s">
        <v>4263</v>
      </c>
      <c r="D899" s="0" t="n">
        <v>2021</v>
      </c>
      <c r="E899" s="0" t="s">
        <v>66</v>
      </c>
      <c r="F899" s="0" t="n">
        <v>1405941</v>
      </c>
      <c r="G899" s="0" t="s">
        <v>3101</v>
      </c>
      <c r="H899" s="0" t="s">
        <v>3068</v>
      </c>
      <c r="I899" s="0" t="n">
        <v>1405941</v>
      </c>
      <c r="J899" s="0" t="s">
        <v>4155</v>
      </c>
      <c r="K899" s="0" t="s">
        <v>1836</v>
      </c>
      <c r="L899" s="0" t="n">
        <v>2021</v>
      </c>
      <c r="M899" s="0" t="s">
        <v>1837</v>
      </c>
      <c r="N899" s="0" t="s">
        <v>164</v>
      </c>
      <c r="O899" s="0" t="s">
        <v>2359</v>
      </c>
      <c r="P899" s="0" t="s">
        <v>3013</v>
      </c>
      <c r="Q899" s="0" t="n">
        <v>144</v>
      </c>
      <c r="R899" s="0" t="n">
        <v>113</v>
      </c>
      <c r="T899" s="0" t="s">
        <v>4322</v>
      </c>
      <c r="U899" s="0" t="s">
        <v>4303</v>
      </c>
      <c r="V899" s="0" t="s">
        <v>166</v>
      </c>
      <c r="W899" s="0" t="s">
        <v>4326</v>
      </c>
      <c r="X899" s="0" t="s">
        <v>4324</v>
      </c>
      <c r="Y899" s="0" t="s">
        <v>4159</v>
      </c>
      <c r="Z899" s="0" t="s">
        <v>4160</v>
      </c>
      <c r="AB899" s="0" t="s">
        <v>3014</v>
      </c>
      <c r="AC899" s="0" t="s">
        <v>4162</v>
      </c>
      <c r="AD899" s="0" t="s">
        <v>4163</v>
      </c>
      <c r="AE899" s="0" t="s">
        <v>4164</v>
      </c>
      <c r="AF899" s="0" t="s">
        <v>4269</v>
      </c>
      <c r="AH899" s="0" t="s">
        <v>2239</v>
      </c>
      <c r="AL899" s="0" t="s">
        <v>523</v>
      </c>
    </row>
    <row r="900" customFormat="false" ht="15" hidden="false" customHeight="false" outlineLevel="0" collapsed="false">
      <c r="A900" s="0" t="s">
        <v>1199</v>
      </c>
      <c r="B900" s="0" t="s">
        <v>149</v>
      </c>
      <c r="C900" s="0" t="s">
        <v>4263</v>
      </c>
      <c r="D900" s="0" t="n">
        <v>2021</v>
      </c>
      <c r="E900" s="0" t="s">
        <v>69</v>
      </c>
      <c r="F900" s="0" t="s">
        <v>4327</v>
      </c>
      <c r="G900" s="0" t="s">
        <v>3143</v>
      </c>
      <c r="I900" s="0" t="n">
        <v>16.1</v>
      </c>
      <c r="J900" s="0" t="s">
        <v>4155</v>
      </c>
      <c r="K900" s="0" t="s">
        <v>1836</v>
      </c>
      <c r="L900" s="0" t="n">
        <v>2021</v>
      </c>
      <c r="M900" s="0" t="s">
        <v>1837</v>
      </c>
      <c r="N900" s="0" t="s">
        <v>164</v>
      </c>
      <c r="O900" s="0" t="s">
        <v>2359</v>
      </c>
      <c r="P900" s="0" t="s">
        <v>3013</v>
      </c>
      <c r="Q900" s="0" t="n">
        <v>144</v>
      </c>
      <c r="R900" s="0" t="n">
        <v>113</v>
      </c>
      <c r="T900" s="0" t="s">
        <v>4322</v>
      </c>
      <c r="U900" s="0" t="s">
        <v>4303</v>
      </c>
      <c r="V900" s="0" t="s">
        <v>166</v>
      </c>
      <c r="W900" s="0" t="s">
        <v>4328</v>
      </c>
      <c r="X900" s="0" t="s">
        <v>4324</v>
      </c>
      <c r="Y900" s="0" t="s">
        <v>4159</v>
      </c>
      <c r="Z900" s="0" t="s">
        <v>4160</v>
      </c>
      <c r="AB900" s="0" t="s">
        <v>3014</v>
      </c>
      <c r="AC900" s="0" t="s">
        <v>4162</v>
      </c>
      <c r="AD900" s="0" t="s">
        <v>4163</v>
      </c>
      <c r="AE900" s="0" t="s">
        <v>4164</v>
      </c>
      <c r="AF900" s="0" t="s">
        <v>4269</v>
      </c>
      <c r="AH900" s="0" t="s">
        <v>2239</v>
      </c>
      <c r="AL900" s="0" t="s">
        <v>523</v>
      </c>
    </row>
    <row r="901" customFormat="false" ht="15" hidden="false" customHeight="false" outlineLevel="0" collapsed="false">
      <c r="A901" s="0" t="s">
        <v>1200</v>
      </c>
      <c r="B901" s="0" t="s">
        <v>149</v>
      </c>
      <c r="C901" s="0" t="s">
        <v>4263</v>
      </c>
      <c r="D901" s="0" t="n">
        <v>2021</v>
      </c>
      <c r="E901" s="0" t="s">
        <v>614</v>
      </c>
      <c r="F901" s="0" t="s">
        <v>4327</v>
      </c>
      <c r="G901" s="0" t="s">
        <v>3143</v>
      </c>
      <c r="I901" s="0" t="n">
        <v>16.1</v>
      </c>
      <c r="J901" s="0" t="s">
        <v>4155</v>
      </c>
      <c r="K901" s="0" t="s">
        <v>1836</v>
      </c>
      <c r="L901" s="0" t="n">
        <v>2021</v>
      </c>
      <c r="M901" s="0" t="s">
        <v>1837</v>
      </c>
      <c r="N901" s="0" t="s">
        <v>164</v>
      </c>
      <c r="O901" s="0" t="s">
        <v>2359</v>
      </c>
      <c r="P901" s="0" t="s">
        <v>3013</v>
      </c>
      <c r="Q901" s="0" t="n">
        <v>144</v>
      </c>
      <c r="R901" s="0" t="n">
        <v>113</v>
      </c>
      <c r="T901" s="0" t="s">
        <v>4329</v>
      </c>
      <c r="U901" s="0" t="s">
        <v>4303</v>
      </c>
      <c r="V901" s="0" t="s">
        <v>166</v>
      </c>
      <c r="W901" s="0" t="s">
        <v>4328</v>
      </c>
      <c r="X901" s="0" t="s">
        <v>4324</v>
      </c>
      <c r="Y901" s="0" t="s">
        <v>4159</v>
      </c>
      <c r="Z901" s="0" t="s">
        <v>4160</v>
      </c>
      <c r="AB901" s="0" t="s">
        <v>3014</v>
      </c>
      <c r="AC901" s="0" t="s">
        <v>4162</v>
      </c>
      <c r="AD901" s="0" t="s">
        <v>4163</v>
      </c>
      <c r="AE901" s="0" t="s">
        <v>4164</v>
      </c>
      <c r="AF901" s="0" t="s">
        <v>4269</v>
      </c>
      <c r="AH901" s="0" t="s">
        <v>2239</v>
      </c>
      <c r="AL901" s="0" t="s">
        <v>523</v>
      </c>
    </row>
    <row r="902" customFormat="false" ht="15" hidden="false" customHeight="false" outlineLevel="0" collapsed="false">
      <c r="A902" s="0" t="s">
        <v>1174</v>
      </c>
      <c r="B902" s="0" t="s">
        <v>149</v>
      </c>
      <c r="C902" s="0" t="s">
        <v>4263</v>
      </c>
      <c r="D902" s="0" t="n">
        <v>2020</v>
      </c>
      <c r="E902" s="0" t="s">
        <v>55</v>
      </c>
      <c r="F902" s="0" t="n">
        <v>2370347</v>
      </c>
      <c r="G902" s="0" t="s">
        <v>3101</v>
      </c>
      <c r="H902" s="0" t="s">
        <v>3068</v>
      </c>
      <c r="I902" s="0" t="n">
        <v>2370347</v>
      </c>
      <c r="J902" s="0" t="s">
        <v>4155</v>
      </c>
      <c r="K902" s="0" t="s">
        <v>1836</v>
      </c>
      <c r="L902" s="0" t="n">
        <v>2021</v>
      </c>
      <c r="M902" s="0" t="s">
        <v>1837</v>
      </c>
      <c r="N902" s="0" t="s">
        <v>164</v>
      </c>
      <c r="O902" s="0" t="s">
        <v>2359</v>
      </c>
      <c r="P902" s="0" t="s">
        <v>3013</v>
      </c>
      <c r="Q902" s="0" t="n">
        <v>32</v>
      </c>
      <c r="R902" s="0" t="n">
        <v>1</v>
      </c>
      <c r="T902" s="0" t="s">
        <v>4308</v>
      </c>
      <c r="U902" s="0" t="s">
        <v>2673</v>
      </c>
      <c r="V902" s="0" t="s">
        <v>165</v>
      </c>
      <c r="W902" s="0" t="s">
        <v>4304</v>
      </c>
      <c r="X902" s="0" t="s">
        <v>4305</v>
      </c>
      <c r="Y902" s="0" t="s">
        <v>4159</v>
      </c>
      <c r="Z902" s="0" t="s">
        <v>4160</v>
      </c>
      <c r="AB902" s="0" t="s">
        <v>3014</v>
      </c>
      <c r="AC902" s="0" t="s">
        <v>4162</v>
      </c>
      <c r="AD902" s="0" t="s">
        <v>4163</v>
      </c>
      <c r="AE902" s="0" t="s">
        <v>4164</v>
      </c>
      <c r="AF902" s="0" t="s">
        <v>4269</v>
      </c>
      <c r="AH902" s="0" t="s">
        <v>2239</v>
      </c>
      <c r="AL902" s="0" t="s">
        <v>523</v>
      </c>
    </row>
    <row r="903" customFormat="false" ht="15" hidden="false" customHeight="false" outlineLevel="0" collapsed="false">
      <c r="A903" s="0" t="s">
        <v>1175</v>
      </c>
      <c r="B903" s="0" t="s">
        <v>149</v>
      </c>
      <c r="C903" s="0" t="s">
        <v>4263</v>
      </c>
      <c r="D903" s="0" t="n">
        <v>2020</v>
      </c>
      <c r="E903" s="0" t="s">
        <v>56</v>
      </c>
      <c r="F903" s="0" t="n">
        <v>2128226</v>
      </c>
      <c r="G903" s="0" t="s">
        <v>3101</v>
      </c>
      <c r="H903" s="0" t="s">
        <v>3068</v>
      </c>
      <c r="I903" s="0" t="n">
        <v>2128226</v>
      </c>
      <c r="J903" s="0" t="s">
        <v>4155</v>
      </c>
      <c r="K903" s="0" t="s">
        <v>1836</v>
      </c>
      <c r="L903" s="0" t="n">
        <v>2021</v>
      </c>
      <c r="M903" s="0" t="s">
        <v>1837</v>
      </c>
      <c r="N903" s="0" t="s">
        <v>164</v>
      </c>
      <c r="O903" s="0" t="s">
        <v>2359</v>
      </c>
      <c r="P903" s="0" t="s">
        <v>3013</v>
      </c>
      <c r="Q903" s="0" t="n">
        <v>32</v>
      </c>
      <c r="R903" s="0" t="n">
        <v>1</v>
      </c>
      <c r="T903" s="0" t="s">
        <v>4308</v>
      </c>
      <c r="U903" s="0" t="s">
        <v>2673</v>
      </c>
      <c r="V903" s="0" t="s">
        <v>165</v>
      </c>
      <c r="W903" s="0" t="s">
        <v>4306</v>
      </c>
      <c r="X903" s="0" t="s">
        <v>4305</v>
      </c>
      <c r="Y903" s="0" t="s">
        <v>4159</v>
      </c>
      <c r="Z903" s="0" t="s">
        <v>4160</v>
      </c>
      <c r="AB903" s="0" t="s">
        <v>3014</v>
      </c>
      <c r="AC903" s="0" t="s">
        <v>4162</v>
      </c>
      <c r="AD903" s="0" t="s">
        <v>4163</v>
      </c>
      <c r="AE903" s="0" t="s">
        <v>4164</v>
      </c>
      <c r="AF903" s="0" t="s">
        <v>4269</v>
      </c>
      <c r="AH903" s="0" t="s">
        <v>2239</v>
      </c>
      <c r="AL903" s="0" t="s">
        <v>523</v>
      </c>
    </row>
    <row r="904" customFormat="false" ht="15" hidden="false" customHeight="false" outlineLevel="0" collapsed="false">
      <c r="A904" s="0" t="s">
        <v>1176</v>
      </c>
      <c r="B904" s="0" t="s">
        <v>149</v>
      </c>
      <c r="C904" s="0" t="s">
        <v>4263</v>
      </c>
      <c r="D904" s="0" t="n">
        <v>2020</v>
      </c>
      <c r="E904" s="0" t="s">
        <v>57</v>
      </c>
      <c r="F904" s="0" t="n">
        <v>242121</v>
      </c>
      <c r="G904" s="0" t="s">
        <v>3101</v>
      </c>
      <c r="H904" s="0" t="s">
        <v>3068</v>
      </c>
      <c r="I904" s="0" t="n">
        <v>242121</v>
      </c>
      <c r="J904" s="0" t="s">
        <v>4155</v>
      </c>
      <c r="K904" s="0" t="s">
        <v>1836</v>
      </c>
      <c r="L904" s="0" t="n">
        <v>2021</v>
      </c>
      <c r="M904" s="0" t="s">
        <v>1837</v>
      </c>
      <c r="N904" s="0" t="s">
        <v>164</v>
      </c>
      <c r="O904" s="0" t="s">
        <v>2359</v>
      </c>
      <c r="P904" s="0" t="s">
        <v>3013</v>
      </c>
      <c r="Q904" s="0" t="n">
        <v>32</v>
      </c>
      <c r="R904" s="0" t="n">
        <v>1</v>
      </c>
      <c r="T904" s="0" t="s">
        <v>4308</v>
      </c>
      <c r="U904" s="0" t="s">
        <v>2673</v>
      </c>
      <c r="V904" s="0" t="s">
        <v>165</v>
      </c>
      <c r="W904" s="0" t="s">
        <v>4307</v>
      </c>
      <c r="X904" s="0" t="s">
        <v>4305</v>
      </c>
      <c r="Y904" s="0" t="s">
        <v>4159</v>
      </c>
      <c r="Z904" s="0" t="s">
        <v>4160</v>
      </c>
      <c r="AB904" s="0" t="s">
        <v>3014</v>
      </c>
      <c r="AC904" s="0" t="s">
        <v>4162</v>
      </c>
      <c r="AD904" s="0" t="s">
        <v>4163</v>
      </c>
      <c r="AE904" s="0" t="s">
        <v>4164</v>
      </c>
      <c r="AF904" s="0" t="s">
        <v>4269</v>
      </c>
      <c r="AH904" s="0" t="s">
        <v>2239</v>
      </c>
      <c r="AL904" s="0" t="s">
        <v>523</v>
      </c>
    </row>
    <row r="905" customFormat="false" ht="15" hidden="false" customHeight="false" outlineLevel="0" collapsed="false">
      <c r="A905" s="0" t="s">
        <v>1173</v>
      </c>
      <c r="B905" s="0" t="s">
        <v>149</v>
      </c>
      <c r="C905" s="0" t="s">
        <v>4263</v>
      </c>
      <c r="D905" s="0" t="n">
        <v>2020</v>
      </c>
      <c r="E905" s="0" t="s">
        <v>54</v>
      </c>
      <c r="F905" s="0" t="n">
        <v>59489</v>
      </c>
      <c r="G905" s="0" t="s">
        <v>3101</v>
      </c>
      <c r="H905" s="0" t="s">
        <v>3068</v>
      </c>
      <c r="I905" s="0" t="n">
        <v>59489</v>
      </c>
      <c r="J905" s="0" t="s">
        <v>4155</v>
      </c>
      <c r="K905" s="0" t="s">
        <v>1836</v>
      </c>
      <c r="L905" s="0" t="n">
        <v>2021</v>
      </c>
      <c r="M905" s="0" t="s">
        <v>1837</v>
      </c>
      <c r="N905" s="0" t="s">
        <v>164</v>
      </c>
      <c r="O905" s="0" t="s">
        <v>2359</v>
      </c>
      <c r="P905" s="0" t="s">
        <v>3013</v>
      </c>
      <c r="Q905" s="0" t="n">
        <v>33</v>
      </c>
      <c r="R905" s="0" t="n">
        <v>2</v>
      </c>
      <c r="T905" s="0" t="s">
        <v>4200</v>
      </c>
      <c r="U905" s="0" t="s">
        <v>2673</v>
      </c>
      <c r="V905" s="0" t="s">
        <v>165</v>
      </c>
      <c r="W905" s="0" t="s">
        <v>4310</v>
      </c>
      <c r="X905" s="0" t="s">
        <v>4311</v>
      </c>
      <c r="Y905" s="0" t="s">
        <v>4159</v>
      </c>
      <c r="Z905" s="0" t="s">
        <v>4160</v>
      </c>
      <c r="AB905" s="0" t="s">
        <v>3014</v>
      </c>
      <c r="AC905" s="0" t="s">
        <v>4162</v>
      </c>
      <c r="AD905" s="0" t="s">
        <v>4163</v>
      </c>
      <c r="AE905" s="0" t="s">
        <v>4164</v>
      </c>
      <c r="AF905" s="0" t="s">
        <v>4269</v>
      </c>
      <c r="AH905" s="0" t="s">
        <v>2239</v>
      </c>
      <c r="AL905" s="0" t="s">
        <v>523</v>
      </c>
    </row>
    <row r="906" customFormat="false" ht="15" hidden="false" customHeight="false" outlineLevel="0" collapsed="false">
      <c r="A906" s="0" t="s">
        <v>1188</v>
      </c>
      <c r="B906" s="0" t="s">
        <v>149</v>
      </c>
      <c r="C906" s="0" t="s">
        <v>4263</v>
      </c>
      <c r="D906" s="0" t="n">
        <v>2020</v>
      </c>
      <c r="E906" s="0" t="s">
        <v>541</v>
      </c>
      <c r="F906" s="0" t="n">
        <v>58306</v>
      </c>
      <c r="G906" s="0" t="s">
        <v>3101</v>
      </c>
      <c r="H906" s="0" t="s">
        <v>3068</v>
      </c>
      <c r="I906" s="0" t="n">
        <v>58306</v>
      </c>
      <c r="J906" s="0" t="s">
        <v>4155</v>
      </c>
      <c r="K906" s="0" t="s">
        <v>1836</v>
      </c>
      <c r="L906" s="0" t="n">
        <v>2021</v>
      </c>
      <c r="M906" s="0" t="s">
        <v>1837</v>
      </c>
      <c r="N906" s="0" t="s">
        <v>164</v>
      </c>
      <c r="O906" s="0" t="s">
        <v>2359</v>
      </c>
      <c r="P906" s="0" t="s">
        <v>3013</v>
      </c>
      <c r="Q906" s="0" t="n">
        <v>33</v>
      </c>
      <c r="R906" s="0" t="n">
        <v>2</v>
      </c>
      <c r="T906" s="0" t="s">
        <v>4200</v>
      </c>
      <c r="U906" s="0" t="s">
        <v>2673</v>
      </c>
      <c r="V906" s="0" t="s">
        <v>165</v>
      </c>
      <c r="W906" s="0" t="s">
        <v>4312</v>
      </c>
      <c r="X906" s="0" t="s">
        <v>4311</v>
      </c>
      <c r="Y906" s="0" t="s">
        <v>4159</v>
      </c>
      <c r="Z906" s="0" t="s">
        <v>4160</v>
      </c>
      <c r="AB906" s="0" t="s">
        <v>3014</v>
      </c>
      <c r="AC906" s="0" t="s">
        <v>4162</v>
      </c>
      <c r="AD906" s="0" t="s">
        <v>4163</v>
      </c>
      <c r="AE906" s="0" t="s">
        <v>4164</v>
      </c>
      <c r="AF906" s="0" t="s">
        <v>4269</v>
      </c>
      <c r="AH906" s="0" t="s">
        <v>2239</v>
      </c>
      <c r="AL906" s="0" t="s">
        <v>523</v>
      </c>
    </row>
    <row r="907" customFormat="false" ht="15" hidden="false" customHeight="false" outlineLevel="0" collapsed="false">
      <c r="A907" s="0" t="s">
        <v>1181</v>
      </c>
      <c r="B907" s="0" t="s">
        <v>149</v>
      </c>
      <c r="C907" s="0" t="s">
        <v>4263</v>
      </c>
      <c r="D907" s="0" t="n">
        <v>2020</v>
      </c>
      <c r="E907" s="0" t="s">
        <v>63</v>
      </c>
      <c r="F907" s="0" t="n">
        <v>-10170</v>
      </c>
      <c r="G907" s="0" t="s">
        <v>3101</v>
      </c>
      <c r="H907" s="0" t="s">
        <v>3068</v>
      </c>
      <c r="I907" s="0" t="n">
        <v>10170</v>
      </c>
      <c r="J907" s="0" t="s">
        <v>4155</v>
      </c>
      <c r="K907" s="0" t="s">
        <v>1836</v>
      </c>
      <c r="L907" s="0" t="n">
        <v>2021</v>
      </c>
      <c r="M907" s="0" t="s">
        <v>1837</v>
      </c>
      <c r="N907" s="0" t="s">
        <v>164</v>
      </c>
      <c r="O907" s="0" t="s">
        <v>2359</v>
      </c>
      <c r="P907" s="0" t="s">
        <v>3013</v>
      </c>
      <c r="Q907" s="0" t="n">
        <v>33</v>
      </c>
      <c r="R907" s="0" t="n">
        <v>2</v>
      </c>
      <c r="S907" s="0" t="n">
        <v>31.6</v>
      </c>
      <c r="T907" s="0" t="s">
        <v>4200</v>
      </c>
      <c r="U907" s="0" t="s">
        <v>2673</v>
      </c>
      <c r="V907" s="0" t="s">
        <v>165</v>
      </c>
      <c r="W907" s="0" t="s">
        <v>4313</v>
      </c>
      <c r="X907" s="0" t="s">
        <v>4311</v>
      </c>
      <c r="Y907" s="0" t="s">
        <v>4159</v>
      </c>
      <c r="Z907" s="0" t="s">
        <v>4160</v>
      </c>
      <c r="AA907" s="0" t="s">
        <v>4330</v>
      </c>
      <c r="AB907" s="0" t="s">
        <v>3014</v>
      </c>
      <c r="AC907" s="0" t="s">
        <v>4162</v>
      </c>
      <c r="AD907" s="0" t="s">
        <v>4163</v>
      </c>
      <c r="AE907" s="0" t="s">
        <v>4164</v>
      </c>
      <c r="AF907" s="0" t="s">
        <v>4269</v>
      </c>
      <c r="AH907" s="0" t="s">
        <v>4174</v>
      </c>
      <c r="AI907" s="0" t="s">
        <v>4175</v>
      </c>
      <c r="AL907" s="0" t="s">
        <v>523</v>
      </c>
    </row>
    <row r="908" customFormat="false" ht="15" hidden="false" customHeight="false" outlineLevel="0" collapsed="false">
      <c r="A908" s="0" t="s">
        <v>1177</v>
      </c>
      <c r="B908" s="0" t="s">
        <v>149</v>
      </c>
      <c r="C908" s="0" t="s">
        <v>4263</v>
      </c>
      <c r="D908" s="0" t="n">
        <v>2020</v>
      </c>
      <c r="E908" s="0" t="s">
        <v>58</v>
      </c>
      <c r="F908" s="0" t="n">
        <v>465539</v>
      </c>
      <c r="G908" s="0" t="s">
        <v>3101</v>
      </c>
      <c r="H908" s="0" t="s">
        <v>3068</v>
      </c>
      <c r="I908" s="0" t="n">
        <v>465539</v>
      </c>
      <c r="J908" s="0" t="s">
        <v>4155</v>
      </c>
      <c r="K908" s="0" t="s">
        <v>1836</v>
      </c>
      <c r="L908" s="0" t="n">
        <v>2021</v>
      </c>
      <c r="M908" s="0" t="s">
        <v>1837</v>
      </c>
      <c r="N908" s="0" t="s">
        <v>164</v>
      </c>
      <c r="O908" s="0" t="s">
        <v>2359</v>
      </c>
      <c r="P908" s="0" t="s">
        <v>3013</v>
      </c>
      <c r="Q908" s="0" t="n">
        <v>37</v>
      </c>
      <c r="R908" s="0" t="n">
        <v>6</v>
      </c>
      <c r="T908" s="0" t="s">
        <v>4308</v>
      </c>
      <c r="U908" s="0" t="s">
        <v>2673</v>
      </c>
      <c r="V908" s="0" t="s">
        <v>165</v>
      </c>
      <c r="W908" s="0" t="s">
        <v>4315</v>
      </c>
      <c r="X908" s="0" t="s">
        <v>4316</v>
      </c>
      <c r="Y908" s="0" t="s">
        <v>4159</v>
      </c>
      <c r="Z908" s="0" t="s">
        <v>4160</v>
      </c>
      <c r="AB908" s="0" t="s">
        <v>3014</v>
      </c>
      <c r="AC908" s="0" t="s">
        <v>4162</v>
      </c>
      <c r="AD908" s="0" t="s">
        <v>4163</v>
      </c>
      <c r="AE908" s="0" t="s">
        <v>4164</v>
      </c>
      <c r="AF908" s="0" t="s">
        <v>4269</v>
      </c>
      <c r="AH908" s="0" t="s">
        <v>2239</v>
      </c>
      <c r="AL908" s="0" t="s">
        <v>523</v>
      </c>
    </row>
    <row r="909" customFormat="false" ht="15" hidden="false" customHeight="false" outlineLevel="0" collapsed="false">
      <c r="A909" s="0" t="s">
        <v>1178</v>
      </c>
      <c r="B909" s="0" t="s">
        <v>149</v>
      </c>
      <c r="C909" s="0" t="s">
        <v>4263</v>
      </c>
      <c r="D909" s="0" t="n">
        <v>2020</v>
      </c>
      <c r="E909" s="0" t="s">
        <v>60</v>
      </c>
      <c r="F909" s="0" t="n">
        <v>655292</v>
      </c>
      <c r="G909" s="0" t="s">
        <v>3101</v>
      </c>
      <c r="H909" s="0" t="s">
        <v>3068</v>
      </c>
      <c r="I909" s="0" t="n">
        <v>655292</v>
      </c>
      <c r="J909" s="0" t="s">
        <v>4155</v>
      </c>
      <c r="K909" s="0" t="s">
        <v>1836</v>
      </c>
      <c r="L909" s="0" t="n">
        <v>2021</v>
      </c>
      <c r="M909" s="0" t="s">
        <v>1837</v>
      </c>
      <c r="N909" s="0" t="s">
        <v>164</v>
      </c>
      <c r="O909" s="0" t="s">
        <v>2359</v>
      </c>
      <c r="P909" s="0" t="s">
        <v>3013</v>
      </c>
      <c r="Q909" s="0" t="n">
        <v>71</v>
      </c>
      <c r="R909" s="0" t="n">
        <v>40</v>
      </c>
      <c r="S909" s="0" t="s">
        <v>4283</v>
      </c>
      <c r="T909" s="0" t="s">
        <v>4308</v>
      </c>
      <c r="U909" s="0" t="s">
        <v>2673</v>
      </c>
      <c r="V909" s="0" t="s">
        <v>165</v>
      </c>
      <c r="W909" s="0" t="s">
        <v>4317</v>
      </c>
      <c r="X909" s="0" t="s">
        <v>4318</v>
      </c>
      <c r="Y909" s="0" t="s">
        <v>4159</v>
      </c>
      <c r="Z909" s="0" t="s">
        <v>4160</v>
      </c>
      <c r="AB909" s="0" t="s">
        <v>3014</v>
      </c>
      <c r="AC909" s="0" t="s">
        <v>4162</v>
      </c>
      <c r="AD909" s="0" t="s">
        <v>4163</v>
      </c>
      <c r="AE909" s="0" t="s">
        <v>4164</v>
      </c>
      <c r="AF909" s="0" t="s">
        <v>4269</v>
      </c>
      <c r="AH909" s="0" t="s">
        <v>2239</v>
      </c>
      <c r="AL909" s="0" t="s">
        <v>523</v>
      </c>
    </row>
    <row r="910" customFormat="false" ht="15" hidden="false" customHeight="false" outlineLevel="0" collapsed="false">
      <c r="A910" s="0" t="s">
        <v>1179</v>
      </c>
      <c r="B910" s="0" t="s">
        <v>149</v>
      </c>
      <c r="C910" s="0" t="s">
        <v>4263</v>
      </c>
      <c r="D910" s="0" t="n">
        <v>2020</v>
      </c>
      <c r="E910" s="0" t="s">
        <v>61</v>
      </c>
      <c r="F910" s="0" t="n">
        <v>-30153</v>
      </c>
      <c r="G910" s="0" t="s">
        <v>3101</v>
      </c>
      <c r="H910" s="0" t="s">
        <v>3068</v>
      </c>
      <c r="I910" s="0" t="n">
        <v>30153</v>
      </c>
      <c r="J910" s="0" t="s">
        <v>4155</v>
      </c>
      <c r="K910" s="0" t="s">
        <v>1836</v>
      </c>
      <c r="L910" s="0" t="n">
        <v>2021</v>
      </c>
      <c r="M910" s="0" t="s">
        <v>1837</v>
      </c>
      <c r="N910" s="0" t="s">
        <v>164</v>
      </c>
      <c r="O910" s="0" t="s">
        <v>2359</v>
      </c>
      <c r="P910" s="0" t="s">
        <v>3013</v>
      </c>
      <c r="Q910" s="0" t="n">
        <v>71</v>
      </c>
      <c r="R910" s="0" t="n">
        <v>40</v>
      </c>
      <c r="S910" s="0" t="s">
        <v>4283</v>
      </c>
      <c r="T910" s="0" t="s">
        <v>4308</v>
      </c>
      <c r="U910" s="0" t="s">
        <v>2673</v>
      </c>
      <c r="V910" s="0" t="s">
        <v>165</v>
      </c>
      <c r="W910" s="0" t="s">
        <v>4319</v>
      </c>
      <c r="X910" s="0" t="s">
        <v>4318</v>
      </c>
      <c r="Y910" s="0" t="s">
        <v>4159</v>
      </c>
      <c r="Z910" s="0" t="s">
        <v>4160</v>
      </c>
      <c r="AA910" s="0" t="s">
        <v>4242</v>
      </c>
      <c r="AB910" s="0" t="s">
        <v>3014</v>
      </c>
      <c r="AC910" s="0" t="s">
        <v>4162</v>
      </c>
      <c r="AD910" s="0" t="s">
        <v>4163</v>
      </c>
      <c r="AE910" s="0" t="s">
        <v>4164</v>
      </c>
      <c r="AF910" s="0" t="s">
        <v>4269</v>
      </c>
      <c r="AH910" s="0" t="s">
        <v>4174</v>
      </c>
      <c r="AI910" s="0" t="s">
        <v>4184</v>
      </c>
      <c r="AL910" s="0" t="s">
        <v>523</v>
      </c>
    </row>
    <row r="911" customFormat="false" ht="15" hidden="false" customHeight="false" outlineLevel="0" collapsed="false">
      <c r="A911" s="0" t="s">
        <v>1180</v>
      </c>
      <c r="B911" s="0" t="s">
        <v>149</v>
      </c>
      <c r="C911" s="0" t="s">
        <v>4263</v>
      </c>
      <c r="D911" s="0" t="n">
        <v>2020</v>
      </c>
      <c r="E911" s="0" t="s">
        <v>62</v>
      </c>
      <c r="F911" s="0" t="n">
        <v>625139</v>
      </c>
      <c r="G911" s="0" t="s">
        <v>3101</v>
      </c>
      <c r="H911" s="0" t="s">
        <v>3068</v>
      </c>
      <c r="I911" s="0" t="n">
        <v>625139</v>
      </c>
      <c r="J911" s="0" t="s">
        <v>4155</v>
      </c>
      <c r="K911" s="0" t="s">
        <v>1836</v>
      </c>
      <c r="L911" s="0" t="n">
        <v>2021</v>
      </c>
      <c r="M911" s="0" t="s">
        <v>1837</v>
      </c>
      <c r="N911" s="0" t="s">
        <v>164</v>
      </c>
      <c r="O911" s="0" t="s">
        <v>2359</v>
      </c>
      <c r="P911" s="0" t="s">
        <v>3013</v>
      </c>
      <c r="Q911" s="0" t="n">
        <v>71</v>
      </c>
      <c r="R911" s="0" t="n">
        <v>40</v>
      </c>
      <c r="S911" s="0" t="s">
        <v>4283</v>
      </c>
      <c r="T911" s="0" t="s">
        <v>4308</v>
      </c>
      <c r="U911" s="0" t="s">
        <v>2673</v>
      </c>
      <c r="V911" s="0" t="s">
        <v>165</v>
      </c>
      <c r="W911" s="0" t="s">
        <v>4320</v>
      </c>
      <c r="X911" s="0" t="s">
        <v>4318</v>
      </c>
      <c r="Y911" s="0" t="s">
        <v>4159</v>
      </c>
      <c r="Z911" s="0" t="s">
        <v>4160</v>
      </c>
      <c r="AB911" s="0" t="s">
        <v>3014</v>
      </c>
      <c r="AC911" s="0" t="s">
        <v>4162</v>
      </c>
      <c r="AD911" s="0" t="s">
        <v>4163</v>
      </c>
      <c r="AE911" s="0" t="s">
        <v>4164</v>
      </c>
      <c r="AF911" s="0" t="s">
        <v>4269</v>
      </c>
      <c r="AH911" s="0" t="s">
        <v>2239</v>
      </c>
      <c r="AL911" s="0" t="s">
        <v>523</v>
      </c>
    </row>
    <row r="912" customFormat="false" ht="15" hidden="false" customHeight="false" outlineLevel="0" collapsed="false">
      <c r="A912" s="0" t="s">
        <v>1187</v>
      </c>
      <c r="B912" s="0" t="s">
        <v>149</v>
      </c>
      <c r="C912" s="0" t="s">
        <v>4263</v>
      </c>
      <c r="D912" s="0" t="n">
        <v>2020</v>
      </c>
      <c r="E912" s="0" t="s">
        <v>68</v>
      </c>
      <c r="F912" s="0" t="n">
        <v>-21963</v>
      </c>
      <c r="G912" s="0" t="s">
        <v>3101</v>
      </c>
      <c r="H912" s="0" t="s">
        <v>3068</v>
      </c>
      <c r="I912" s="0" t="n">
        <v>21963</v>
      </c>
      <c r="J912" s="0" t="s">
        <v>4155</v>
      </c>
      <c r="K912" s="0" t="s">
        <v>1836</v>
      </c>
      <c r="L912" s="0" t="n">
        <v>2021</v>
      </c>
      <c r="M912" s="0" t="s">
        <v>1837</v>
      </c>
      <c r="N912" s="0" t="s">
        <v>164</v>
      </c>
      <c r="O912" s="0" t="s">
        <v>2359</v>
      </c>
      <c r="P912" s="0" t="s">
        <v>3013</v>
      </c>
      <c r="Q912" s="0" t="n">
        <v>71</v>
      </c>
      <c r="R912" s="0" t="n">
        <v>40</v>
      </c>
      <c r="S912" s="0" t="s">
        <v>4283</v>
      </c>
      <c r="T912" s="0" t="s">
        <v>4308</v>
      </c>
      <c r="U912" s="0" t="s">
        <v>2673</v>
      </c>
      <c r="V912" s="0" t="s">
        <v>165</v>
      </c>
      <c r="W912" s="0" t="s">
        <v>4321</v>
      </c>
      <c r="X912" s="0" t="s">
        <v>4318</v>
      </c>
      <c r="Y912" s="0" t="s">
        <v>4159</v>
      </c>
      <c r="Z912" s="0" t="s">
        <v>4160</v>
      </c>
      <c r="AA912" s="0" t="s">
        <v>4242</v>
      </c>
      <c r="AB912" s="0" t="s">
        <v>3014</v>
      </c>
      <c r="AC912" s="0" t="s">
        <v>4162</v>
      </c>
      <c r="AD912" s="0" t="s">
        <v>4163</v>
      </c>
      <c r="AE912" s="0" t="s">
        <v>4164</v>
      </c>
      <c r="AF912" s="0" t="s">
        <v>4269</v>
      </c>
      <c r="AH912" s="0" t="s">
        <v>4174</v>
      </c>
      <c r="AI912" s="0" t="s">
        <v>4184</v>
      </c>
      <c r="AL912" s="0" t="s">
        <v>523</v>
      </c>
    </row>
    <row r="913" customFormat="false" ht="15" hidden="false" customHeight="false" outlineLevel="0" collapsed="false">
      <c r="A913" s="0" t="s">
        <v>4331</v>
      </c>
      <c r="B913" s="0" t="s">
        <v>149</v>
      </c>
      <c r="C913" s="0" t="s">
        <v>4263</v>
      </c>
      <c r="D913" s="0" t="n">
        <v>2020</v>
      </c>
      <c r="E913" s="0" t="s">
        <v>4332</v>
      </c>
      <c r="F913" s="0" t="n">
        <v>202809</v>
      </c>
      <c r="G913" s="0" t="s">
        <v>3101</v>
      </c>
      <c r="H913" s="0" t="s">
        <v>3068</v>
      </c>
      <c r="I913" s="0" t="n">
        <v>202809</v>
      </c>
      <c r="J913" s="0" t="s">
        <v>4155</v>
      </c>
      <c r="K913" s="0" t="s">
        <v>1836</v>
      </c>
      <c r="L913" s="0" t="n">
        <v>2021</v>
      </c>
      <c r="M913" s="0" t="s">
        <v>1837</v>
      </c>
      <c r="N913" s="0" t="s">
        <v>164</v>
      </c>
      <c r="O913" s="0" t="s">
        <v>2359</v>
      </c>
      <c r="P913" s="0" t="s">
        <v>3013</v>
      </c>
      <c r="Q913" s="0" t="n">
        <v>144</v>
      </c>
      <c r="R913" s="0" t="n">
        <v>113</v>
      </c>
      <c r="T913" s="0" t="s">
        <v>4333</v>
      </c>
      <c r="U913" s="0" t="s">
        <v>2673</v>
      </c>
      <c r="V913" s="0" t="s">
        <v>165</v>
      </c>
      <c r="W913" s="0" t="s">
        <v>4334</v>
      </c>
      <c r="X913" s="0" t="s">
        <v>4324</v>
      </c>
      <c r="Y913" s="0" t="s">
        <v>4159</v>
      </c>
      <c r="Z913" s="0" t="s">
        <v>4160</v>
      </c>
      <c r="AA913" s="0" t="s">
        <v>4335</v>
      </c>
      <c r="AB913" s="0" t="s">
        <v>3014</v>
      </c>
      <c r="AC913" s="0" t="s">
        <v>4162</v>
      </c>
      <c r="AD913" s="0" t="s">
        <v>4163</v>
      </c>
      <c r="AE913" s="0" t="s">
        <v>4164</v>
      </c>
      <c r="AF913" s="0" t="s">
        <v>4269</v>
      </c>
      <c r="AH913" s="0" t="s">
        <v>2239</v>
      </c>
      <c r="AL913" s="0" t="s">
        <v>523</v>
      </c>
    </row>
    <row r="914" customFormat="false" ht="15" hidden="false" customHeight="false" outlineLevel="0" collapsed="false">
      <c r="A914" s="0" t="s">
        <v>4336</v>
      </c>
      <c r="B914" s="0" t="s">
        <v>149</v>
      </c>
      <c r="C914" s="0" t="s">
        <v>4263</v>
      </c>
      <c r="D914" s="0" t="n">
        <v>2020</v>
      </c>
      <c r="E914" s="0" t="s">
        <v>4337</v>
      </c>
      <c r="F914" s="0" t="n">
        <v>18599</v>
      </c>
      <c r="G914" s="0" t="s">
        <v>3101</v>
      </c>
      <c r="H914" s="0" t="s">
        <v>3068</v>
      </c>
      <c r="I914" s="0" t="n">
        <v>18599</v>
      </c>
      <c r="J914" s="0" t="s">
        <v>4155</v>
      </c>
      <c r="K914" s="0" t="s">
        <v>1836</v>
      </c>
      <c r="L914" s="0" t="n">
        <v>2021</v>
      </c>
      <c r="M914" s="0" t="s">
        <v>1837</v>
      </c>
      <c r="N914" s="0" t="s">
        <v>164</v>
      </c>
      <c r="O914" s="0" t="s">
        <v>2359</v>
      </c>
      <c r="P914" s="0" t="s">
        <v>3013</v>
      </c>
      <c r="Q914" s="0" t="n">
        <v>144</v>
      </c>
      <c r="R914" s="0" t="n">
        <v>113</v>
      </c>
      <c r="T914" s="0" t="s">
        <v>4333</v>
      </c>
      <c r="U914" s="0" t="s">
        <v>2673</v>
      </c>
      <c r="V914" s="0" t="s">
        <v>165</v>
      </c>
      <c r="W914" s="0" t="s">
        <v>4338</v>
      </c>
      <c r="X914" s="0" t="s">
        <v>4324</v>
      </c>
      <c r="Y914" s="0" t="s">
        <v>4159</v>
      </c>
      <c r="Z914" s="0" t="s">
        <v>4160</v>
      </c>
      <c r="AA914" s="0" t="s">
        <v>4339</v>
      </c>
      <c r="AB914" s="0" t="s">
        <v>3014</v>
      </c>
      <c r="AC914" s="0" t="s">
        <v>4162</v>
      </c>
      <c r="AD914" s="0" t="s">
        <v>4163</v>
      </c>
      <c r="AE914" s="0" t="s">
        <v>4164</v>
      </c>
      <c r="AF914" s="0" t="s">
        <v>4269</v>
      </c>
      <c r="AH914" s="0" t="s">
        <v>2239</v>
      </c>
      <c r="AL914" s="0" t="s">
        <v>523</v>
      </c>
    </row>
    <row r="915" customFormat="false" ht="15" hidden="false" customHeight="false" outlineLevel="0" collapsed="false">
      <c r="A915" s="0" t="s">
        <v>4340</v>
      </c>
      <c r="B915" s="0" t="s">
        <v>149</v>
      </c>
      <c r="C915" s="0" t="s">
        <v>4263</v>
      </c>
      <c r="D915" s="0" t="n">
        <v>2020</v>
      </c>
      <c r="E915" s="0" t="s">
        <v>4341</v>
      </c>
      <c r="F915" s="0" t="n">
        <v>204868</v>
      </c>
      <c r="G915" s="0" t="s">
        <v>3101</v>
      </c>
      <c r="H915" s="0" t="s">
        <v>3068</v>
      </c>
      <c r="I915" s="0" t="n">
        <v>204868</v>
      </c>
      <c r="J915" s="0" t="s">
        <v>4155</v>
      </c>
      <c r="K915" s="0" t="s">
        <v>1836</v>
      </c>
      <c r="L915" s="0" t="n">
        <v>2021</v>
      </c>
      <c r="M915" s="0" t="s">
        <v>1837</v>
      </c>
      <c r="N915" s="0" t="s">
        <v>164</v>
      </c>
      <c r="O915" s="0" t="s">
        <v>2359</v>
      </c>
      <c r="P915" s="0" t="s">
        <v>3013</v>
      </c>
      <c r="Q915" s="0" t="n">
        <v>144</v>
      </c>
      <c r="R915" s="0" t="n">
        <v>113</v>
      </c>
      <c r="T915" s="0" t="s">
        <v>4342</v>
      </c>
      <c r="U915" s="0" t="s">
        <v>2673</v>
      </c>
      <c r="V915" s="0" t="s">
        <v>165</v>
      </c>
      <c r="W915" s="0" t="s">
        <v>4334</v>
      </c>
      <c r="X915" s="0" t="s">
        <v>4324</v>
      </c>
      <c r="Y915" s="0" t="s">
        <v>4159</v>
      </c>
      <c r="Z915" s="0" t="s">
        <v>4160</v>
      </c>
      <c r="AA915" s="0" t="s">
        <v>4335</v>
      </c>
      <c r="AB915" s="0" t="s">
        <v>3014</v>
      </c>
      <c r="AC915" s="0" t="s">
        <v>4162</v>
      </c>
      <c r="AD915" s="0" t="s">
        <v>4163</v>
      </c>
      <c r="AE915" s="0" t="s">
        <v>4164</v>
      </c>
      <c r="AF915" s="0" t="s">
        <v>4269</v>
      </c>
      <c r="AH915" s="0" t="s">
        <v>2239</v>
      </c>
      <c r="AL915" s="0" t="s">
        <v>523</v>
      </c>
    </row>
    <row r="916" customFormat="false" ht="15" hidden="false" customHeight="false" outlineLevel="0" collapsed="false">
      <c r="A916" s="0" t="s">
        <v>4343</v>
      </c>
      <c r="B916" s="0" t="s">
        <v>149</v>
      </c>
      <c r="C916" s="0" t="s">
        <v>4263</v>
      </c>
      <c r="D916" s="0" t="n">
        <v>2020</v>
      </c>
      <c r="E916" s="0" t="s">
        <v>4344</v>
      </c>
      <c r="F916" s="0" t="n">
        <v>18600</v>
      </c>
      <c r="G916" s="0" t="s">
        <v>3101</v>
      </c>
      <c r="H916" s="0" t="s">
        <v>3068</v>
      </c>
      <c r="I916" s="0" t="n">
        <v>18600</v>
      </c>
      <c r="J916" s="0" t="s">
        <v>4155</v>
      </c>
      <c r="K916" s="0" t="s">
        <v>1836</v>
      </c>
      <c r="L916" s="0" t="n">
        <v>2021</v>
      </c>
      <c r="M916" s="0" t="s">
        <v>1837</v>
      </c>
      <c r="N916" s="0" t="s">
        <v>164</v>
      </c>
      <c r="O916" s="0" t="s">
        <v>2359</v>
      </c>
      <c r="P916" s="0" t="s">
        <v>3013</v>
      </c>
      <c r="Q916" s="0" t="n">
        <v>144</v>
      </c>
      <c r="R916" s="0" t="n">
        <v>113</v>
      </c>
      <c r="T916" s="0" t="s">
        <v>4342</v>
      </c>
      <c r="U916" s="0" t="s">
        <v>2673</v>
      </c>
      <c r="V916" s="0" t="s">
        <v>165</v>
      </c>
      <c r="W916" s="0" t="s">
        <v>4338</v>
      </c>
      <c r="X916" s="0" t="s">
        <v>4324</v>
      </c>
      <c r="Y916" s="0" t="s">
        <v>4159</v>
      </c>
      <c r="Z916" s="0" t="s">
        <v>4160</v>
      </c>
      <c r="AA916" s="0" t="s">
        <v>4339</v>
      </c>
      <c r="AB916" s="0" t="s">
        <v>3014</v>
      </c>
      <c r="AC916" s="0" t="s">
        <v>4162</v>
      </c>
      <c r="AD916" s="0" t="s">
        <v>4163</v>
      </c>
      <c r="AE916" s="0" t="s">
        <v>4164</v>
      </c>
      <c r="AF916" s="0" t="s">
        <v>4269</v>
      </c>
      <c r="AH916" s="0" t="s">
        <v>2239</v>
      </c>
      <c r="AL916" s="0" t="s">
        <v>523</v>
      </c>
    </row>
    <row r="917" customFormat="false" ht="15" hidden="false" customHeight="false" outlineLevel="0" collapsed="false">
      <c r="A917" s="0" t="s">
        <v>1185</v>
      </c>
      <c r="B917" s="0" t="s">
        <v>149</v>
      </c>
      <c r="C917" s="0" t="s">
        <v>4263</v>
      </c>
      <c r="D917" s="0" t="n">
        <v>2020</v>
      </c>
      <c r="E917" s="0" t="s">
        <v>66</v>
      </c>
      <c r="F917" s="0" t="n">
        <v>1140396</v>
      </c>
      <c r="G917" s="0" t="s">
        <v>3101</v>
      </c>
      <c r="H917" s="0" t="s">
        <v>3068</v>
      </c>
      <c r="I917" s="0" t="n">
        <v>1140396</v>
      </c>
      <c r="J917" s="0" t="s">
        <v>4155</v>
      </c>
      <c r="K917" s="0" t="s">
        <v>1836</v>
      </c>
      <c r="L917" s="0" t="n">
        <v>2021</v>
      </c>
      <c r="M917" s="0" t="s">
        <v>1837</v>
      </c>
      <c r="N917" s="0" t="s">
        <v>164</v>
      </c>
      <c r="O917" s="0" t="s">
        <v>2359</v>
      </c>
      <c r="P917" s="0" t="s">
        <v>3013</v>
      </c>
      <c r="Q917" s="0" t="n">
        <v>144</v>
      </c>
      <c r="R917" s="0" t="n">
        <v>113</v>
      </c>
      <c r="T917" s="0" t="s">
        <v>4333</v>
      </c>
      <c r="U917" s="0" t="s">
        <v>2673</v>
      </c>
      <c r="V917" s="0" t="s">
        <v>165</v>
      </c>
      <c r="W917" s="0" t="s">
        <v>4326</v>
      </c>
      <c r="X917" s="0" t="s">
        <v>4324</v>
      </c>
      <c r="Y917" s="0" t="s">
        <v>4159</v>
      </c>
      <c r="Z917" s="0" t="s">
        <v>4160</v>
      </c>
      <c r="AB917" s="0" t="s">
        <v>3014</v>
      </c>
      <c r="AC917" s="0" t="s">
        <v>4162</v>
      </c>
      <c r="AD917" s="0" t="s">
        <v>4163</v>
      </c>
      <c r="AE917" s="0" t="s">
        <v>4164</v>
      </c>
      <c r="AF917" s="0" t="s">
        <v>4269</v>
      </c>
      <c r="AH917" s="0" t="s">
        <v>2239</v>
      </c>
      <c r="AL917" s="0" t="s">
        <v>523</v>
      </c>
    </row>
    <row r="918" customFormat="false" ht="15" hidden="false" customHeight="false" outlineLevel="0" collapsed="false">
      <c r="A918" s="0" t="s">
        <v>1182</v>
      </c>
      <c r="B918" s="0" t="s">
        <v>149</v>
      </c>
      <c r="C918" s="0" t="s">
        <v>4263</v>
      </c>
      <c r="D918" s="0" t="n">
        <v>2020</v>
      </c>
      <c r="E918" s="0" t="s">
        <v>69</v>
      </c>
      <c r="F918" s="0" t="s">
        <v>4345</v>
      </c>
      <c r="G918" s="0" t="s">
        <v>3143</v>
      </c>
      <c r="I918" s="0" t="n">
        <v>19.4</v>
      </c>
      <c r="J918" s="0" t="s">
        <v>4155</v>
      </c>
      <c r="K918" s="0" t="s">
        <v>1836</v>
      </c>
      <c r="L918" s="0" t="n">
        <v>2021</v>
      </c>
      <c r="M918" s="0" t="s">
        <v>1837</v>
      </c>
      <c r="N918" s="0" t="s">
        <v>164</v>
      </c>
      <c r="O918" s="0" t="s">
        <v>2359</v>
      </c>
      <c r="P918" s="0" t="s">
        <v>3013</v>
      </c>
      <c r="Q918" s="0" t="n">
        <v>144</v>
      </c>
      <c r="R918" s="0" t="n">
        <v>113</v>
      </c>
      <c r="T918" s="0" t="s">
        <v>4333</v>
      </c>
      <c r="U918" s="0" t="s">
        <v>2673</v>
      </c>
      <c r="V918" s="0" t="s">
        <v>165</v>
      </c>
      <c r="W918" s="0" t="s">
        <v>4328</v>
      </c>
      <c r="X918" s="0" t="s">
        <v>4324</v>
      </c>
      <c r="Y918" s="0" t="s">
        <v>4159</v>
      </c>
      <c r="Z918" s="0" t="s">
        <v>4160</v>
      </c>
      <c r="AA918" s="0" t="s">
        <v>4346</v>
      </c>
      <c r="AB918" s="0" t="s">
        <v>3014</v>
      </c>
      <c r="AC918" s="0" t="s">
        <v>4162</v>
      </c>
      <c r="AD918" s="0" t="s">
        <v>4163</v>
      </c>
      <c r="AE918" s="0" t="s">
        <v>4164</v>
      </c>
      <c r="AF918" s="0" t="s">
        <v>4269</v>
      </c>
      <c r="AH918" s="0" t="s">
        <v>2239</v>
      </c>
      <c r="AL918" s="0" t="s">
        <v>523</v>
      </c>
    </row>
    <row r="919" customFormat="false" ht="15" hidden="false" customHeight="false" outlineLevel="0" collapsed="false">
      <c r="A919" s="0" t="s">
        <v>1183</v>
      </c>
      <c r="B919" s="0" t="s">
        <v>149</v>
      </c>
      <c r="C919" s="0" t="s">
        <v>4263</v>
      </c>
      <c r="D919" s="0" t="n">
        <v>2020</v>
      </c>
      <c r="E919" s="0" t="s">
        <v>614</v>
      </c>
      <c r="F919" s="0" t="s">
        <v>4347</v>
      </c>
      <c r="G919" s="0" t="s">
        <v>3143</v>
      </c>
      <c r="I919" s="0" t="n">
        <v>19.6</v>
      </c>
      <c r="J919" s="0" t="s">
        <v>4155</v>
      </c>
      <c r="K919" s="0" t="s">
        <v>1836</v>
      </c>
      <c r="L919" s="0" t="n">
        <v>2021</v>
      </c>
      <c r="M919" s="0" t="s">
        <v>1837</v>
      </c>
      <c r="N919" s="0" t="s">
        <v>164</v>
      </c>
      <c r="O919" s="0" t="s">
        <v>2359</v>
      </c>
      <c r="P919" s="0" t="s">
        <v>3013</v>
      </c>
      <c r="Q919" s="0" t="n">
        <v>144</v>
      </c>
      <c r="R919" s="0" t="n">
        <v>113</v>
      </c>
      <c r="T919" s="0" t="s">
        <v>4342</v>
      </c>
      <c r="U919" s="0" t="s">
        <v>2673</v>
      </c>
      <c r="V919" s="0" t="s">
        <v>165</v>
      </c>
      <c r="W919" s="0" t="s">
        <v>4328</v>
      </c>
      <c r="X919" s="0" t="s">
        <v>4324</v>
      </c>
      <c r="Y919" s="0" t="s">
        <v>4159</v>
      </c>
      <c r="Z919" s="0" t="s">
        <v>4160</v>
      </c>
      <c r="AA919" s="0" t="s">
        <v>4348</v>
      </c>
      <c r="AB919" s="0" t="s">
        <v>3014</v>
      </c>
      <c r="AC919" s="0" t="s">
        <v>4162</v>
      </c>
      <c r="AD919" s="0" t="s">
        <v>4163</v>
      </c>
      <c r="AE919" s="0" t="s">
        <v>4164</v>
      </c>
      <c r="AF919" s="0" t="s">
        <v>4269</v>
      </c>
      <c r="AH919" s="0" t="s">
        <v>2239</v>
      </c>
      <c r="AL919" s="0" t="s">
        <v>523</v>
      </c>
    </row>
    <row r="920" customFormat="false" ht="15" hidden="false" customHeight="false" outlineLevel="0" collapsed="false">
      <c r="A920" s="0" t="s">
        <v>1203</v>
      </c>
      <c r="B920" s="0" t="s">
        <v>149</v>
      </c>
      <c r="C920" s="0" t="s">
        <v>4263</v>
      </c>
      <c r="D920" s="0" t="n">
        <v>2021</v>
      </c>
      <c r="E920" s="0" t="s">
        <v>73</v>
      </c>
      <c r="F920" s="0" t="n">
        <v>0</v>
      </c>
      <c r="G920" s="0" t="s">
        <v>4257</v>
      </c>
      <c r="I920" s="0" t="n">
        <v>0</v>
      </c>
      <c r="J920" s="0" t="s">
        <v>4258</v>
      </c>
      <c r="K920" s="0" t="s">
        <v>1836</v>
      </c>
      <c r="L920" s="0" t="n">
        <v>2021</v>
      </c>
      <c r="M920" s="0" t="s">
        <v>1837</v>
      </c>
      <c r="N920" s="0" t="s">
        <v>164</v>
      </c>
      <c r="O920" s="0" t="s">
        <v>2359</v>
      </c>
      <c r="P920" s="0" t="s">
        <v>3013</v>
      </c>
      <c r="Q920" s="0" t="n">
        <v>26</v>
      </c>
      <c r="S920" s="0" t="s">
        <v>4349</v>
      </c>
      <c r="T920" s="0" t="s">
        <v>4350</v>
      </c>
      <c r="U920" s="0" t="s">
        <v>4303</v>
      </c>
      <c r="V920" s="0" t="s">
        <v>166</v>
      </c>
      <c r="W920" s="0" t="s">
        <v>4351</v>
      </c>
      <c r="X920" s="0" t="s">
        <v>4352</v>
      </c>
      <c r="Y920" s="0" t="s">
        <v>4212</v>
      </c>
      <c r="Z920" s="0" t="s">
        <v>4160</v>
      </c>
      <c r="AA920" s="0" t="s">
        <v>4353</v>
      </c>
      <c r="AB920" s="0" t="s">
        <v>3014</v>
      </c>
      <c r="AC920" s="0" t="s">
        <v>4162</v>
      </c>
      <c r="AD920" s="0" t="s">
        <v>4163</v>
      </c>
      <c r="AG920" s="0" t="s">
        <v>1828</v>
      </c>
      <c r="AH920" s="0" t="s">
        <v>2239</v>
      </c>
      <c r="AL920" s="0" t="s">
        <v>539</v>
      </c>
    </row>
    <row r="921" customFormat="false" ht="15" hidden="false" customHeight="false" outlineLevel="0" collapsed="false">
      <c r="A921" s="0" t="s">
        <v>1221</v>
      </c>
      <c r="B921" s="0" t="s">
        <v>149</v>
      </c>
      <c r="C921" s="0" t="s">
        <v>4263</v>
      </c>
      <c r="D921" s="0" t="n">
        <v>2022</v>
      </c>
      <c r="E921" s="0" t="s">
        <v>73</v>
      </c>
      <c r="F921" s="0" t="n">
        <v>0</v>
      </c>
      <c r="G921" s="0" t="s">
        <v>4257</v>
      </c>
      <c r="I921" s="0" t="n">
        <v>0</v>
      </c>
      <c r="J921" s="0" t="s">
        <v>4258</v>
      </c>
      <c r="K921" s="0" t="s">
        <v>1845</v>
      </c>
      <c r="L921" s="0" t="n">
        <v>2022</v>
      </c>
      <c r="M921" s="0" t="s">
        <v>1846</v>
      </c>
      <c r="N921" s="0" t="s">
        <v>167</v>
      </c>
      <c r="O921" s="0" t="s">
        <v>2409</v>
      </c>
      <c r="P921" s="0" t="s">
        <v>3009</v>
      </c>
      <c r="Q921" s="0" t="n">
        <v>26</v>
      </c>
      <c r="S921" s="0" t="s">
        <v>4349</v>
      </c>
      <c r="T921" s="0" t="s">
        <v>4354</v>
      </c>
      <c r="U921" s="0" t="s">
        <v>4265</v>
      </c>
      <c r="V921" s="0" t="s">
        <v>168</v>
      </c>
      <c r="W921" s="0" t="s">
        <v>4351</v>
      </c>
      <c r="X921" s="0" t="s">
        <v>4355</v>
      </c>
      <c r="Y921" s="0" t="s">
        <v>4212</v>
      </c>
      <c r="Z921" s="0" t="s">
        <v>4160</v>
      </c>
      <c r="AA921" s="0" t="s">
        <v>4356</v>
      </c>
      <c r="AB921" s="0" t="s">
        <v>3010</v>
      </c>
      <c r="AC921" s="0" t="s">
        <v>4162</v>
      </c>
      <c r="AD921" s="0" t="s">
        <v>4163</v>
      </c>
      <c r="AG921" s="0" t="s">
        <v>1828</v>
      </c>
      <c r="AH921" s="0" t="s">
        <v>2239</v>
      </c>
      <c r="AL921" s="0" t="s">
        <v>539</v>
      </c>
    </row>
    <row r="922" customFormat="false" ht="15" hidden="false" customHeight="false" outlineLevel="0" collapsed="false">
      <c r="A922" s="0" t="s">
        <v>1526</v>
      </c>
      <c r="B922" s="0" t="s">
        <v>222</v>
      </c>
      <c r="C922" s="0" t="s">
        <v>4357</v>
      </c>
      <c r="D922" s="0" t="n">
        <v>2016</v>
      </c>
      <c r="E922" s="0" t="s">
        <v>54</v>
      </c>
      <c r="F922" s="0" t="n">
        <v>119285</v>
      </c>
      <c r="G922" s="0" t="s">
        <v>3101</v>
      </c>
      <c r="H922" s="0" t="s">
        <v>3068</v>
      </c>
      <c r="I922" s="0" t="n">
        <v>119285</v>
      </c>
      <c r="J922" s="0" t="s">
        <v>4155</v>
      </c>
      <c r="K922" s="0" t="s">
        <v>2758</v>
      </c>
      <c r="L922" s="0" t="n">
        <v>2016</v>
      </c>
      <c r="M922" s="0" t="s">
        <v>2422</v>
      </c>
      <c r="N922" s="0" t="s">
        <v>225</v>
      </c>
      <c r="O922" s="0" t="s">
        <v>2423</v>
      </c>
      <c r="P922" s="0" t="s">
        <v>4358</v>
      </c>
      <c r="Q922" s="0" t="n">
        <v>32</v>
      </c>
      <c r="R922" s="0" t="n">
        <v>31</v>
      </c>
      <c r="T922" s="0" t="s">
        <v>4359</v>
      </c>
      <c r="U922" s="0" t="s">
        <v>4209</v>
      </c>
      <c r="V922" s="0" t="s">
        <v>226</v>
      </c>
      <c r="W922" s="0" t="s">
        <v>4360</v>
      </c>
      <c r="X922" s="0" t="s">
        <v>4361</v>
      </c>
      <c r="Y922" s="0" t="s">
        <v>4159</v>
      </c>
      <c r="Z922" s="0" t="s">
        <v>4160</v>
      </c>
      <c r="AB922" s="0" t="s">
        <v>4362</v>
      </c>
      <c r="AC922" s="0" t="s">
        <v>4162</v>
      </c>
      <c r="AD922" s="0" t="s">
        <v>4163</v>
      </c>
      <c r="AE922" s="0" t="s">
        <v>4164</v>
      </c>
      <c r="AF922" s="0" t="s">
        <v>4363</v>
      </c>
      <c r="AH922" s="0" t="s">
        <v>2239</v>
      </c>
      <c r="AL922" s="0" t="s">
        <v>523</v>
      </c>
    </row>
    <row r="923" customFormat="false" ht="15" hidden="false" customHeight="false" outlineLevel="0" collapsed="false">
      <c r="A923" s="0" t="s">
        <v>1540</v>
      </c>
      <c r="B923" s="0" t="s">
        <v>222</v>
      </c>
      <c r="C923" s="0" t="s">
        <v>4357</v>
      </c>
      <c r="D923" s="0" t="n">
        <v>2016</v>
      </c>
      <c r="E923" s="0" t="s">
        <v>541</v>
      </c>
      <c r="F923" s="0" t="n">
        <v>139927</v>
      </c>
      <c r="G923" s="0" t="s">
        <v>3101</v>
      </c>
      <c r="H923" s="0" t="s">
        <v>3068</v>
      </c>
      <c r="I923" s="0" t="n">
        <v>139927</v>
      </c>
      <c r="J923" s="0" t="s">
        <v>4155</v>
      </c>
      <c r="K923" s="0" t="s">
        <v>2758</v>
      </c>
      <c r="L923" s="0" t="n">
        <v>2016</v>
      </c>
      <c r="M923" s="0" t="s">
        <v>2422</v>
      </c>
      <c r="N923" s="0" t="s">
        <v>225</v>
      </c>
      <c r="O923" s="0" t="s">
        <v>2423</v>
      </c>
      <c r="P923" s="0" t="s">
        <v>4358</v>
      </c>
      <c r="Q923" s="0" t="n">
        <v>32</v>
      </c>
      <c r="R923" s="0" t="n">
        <v>31</v>
      </c>
      <c r="T923" s="0" t="s">
        <v>4359</v>
      </c>
      <c r="U923" s="0" t="s">
        <v>4209</v>
      </c>
      <c r="V923" s="0" t="s">
        <v>226</v>
      </c>
      <c r="W923" s="0" t="s">
        <v>4364</v>
      </c>
      <c r="X923" s="0" t="s">
        <v>4361</v>
      </c>
      <c r="Y923" s="0" t="s">
        <v>4159</v>
      </c>
      <c r="Z923" s="0" t="s">
        <v>4160</v>
      </c>
      <c r="AB923" s="0" t="s">
        <v>4362</v>
      </c>
      <c r="AC923" s="0" t="s">
        <v>4162</v>
      </c>
      <c r="AD923" s="0" t="s">
        <v>4163</v>
      </c>
      <c r="AE923" s="0" t="s">
        <v>4164</v>
      </c>
      <c r="AF923" s="0" t="s">
        <v>4363</v>
      </c>
      <c r="AH923" s="0" t="s">
        <v>2239</v>
      </c>
      <c r="AL923" s="0" t="s">
        <v>523</v>
      </c>
    </row>
    <row r="924" customFormat="false" ht="15" hidden="false" customHeight="false" outlineLevel="0" collapsed="false">
      <c r="A924" s="0" t="s">
        <v>1535</v>
      </c>
      <c r="B924" s="0" t="s">
        <v>222</v>
      </c>
      <c r="C924" s="0" t="s">
        <v>4357</v>
      </c>
      <c r="D924" s="0" t="n">
        <v>2016</v>
      </c>
      <c r="E924" s="0" t="s">
        <v>63</v>
      </c>
      <c r="F924" s="0" t="n">
        <v>-26295</v>
      </c>
      <c r="G924" s="0" t="s">
        <v>3101</v>
      </c>
      <c r="H924" s="0" t="s">
        <v>3068</v>
      </c>
      <c r="I924" s="0" t="n">
        <v>26295</v>
      </c>
      <c r="J924" s="0" t="s">
        <v>4155</v>
      </c>
      <c r="K924" s="0" t="s">
        <v>2758</v>
      </c>
      <c r="L924" s="0" t="n">
        <v>2016</v>
      </c>
      <c r="M924" s="0" t="s">
        <v>2422</v>
      </c>
      <c r="N924" s="0" t="s">
        <v>225</v>
      </c>
      <c r="O924" s="0" t="s">
        <v>2423</v>
      </c>
      <c r="P924" s="0" t="s">
        <v>4358</v>
      </c>
      <c r="Q924" s="0" t="n">
        <v>32</v>
      </c>
      <c r="R924" s="0" t="n">
        <v>31</v>
      </c>
      <c r="S924" s="0" t="n">
        <v>8</v>
      </c>
      <c r="T924" s="0" t="s">
        <v>4359</v>
      </c>
      <c r="U924" s="0" t="s">
        <v>4209</v>
      </c>
      <c r="V924" s="0" t="s">
        <v>226</v>
      </c>
      <c r="W924" s="0" t="s">
        <v>4365</v>
      </c>
      <c r="X924" s="0" t="s">
        <v>4361</v>
      </c>
      <c r="Y924" s="0" t="s">
        <v>4159</v>
      </c>
      <c r="Z924" s="0" t="s">
        <v>4160</v>
      </c>
      <c r="AA924" s="0" t="s">
        <v>4366</v>
      </c>
      <c r="AB924" s="0" t="s">
        <v>4362</v>
      </c>
      <c r="AC924" s="0" t="s">
        <v>4162</v>
      </c>
      <c r="AD924" s="0" t="s">
        <v>4163</v>
      </c>
      <c r="AE924" s="0" t="s">
        <v>4164</v>
      </c>
      <c r="AF924" s="0" t="s">
        <v>4363</v>
      </c>
      <c r="AH924" s="0" t="s">
        <v>4174</v>
      </c>
      <c r="AI924" s="0" t="s">
        <v>4175</v>
      </c>
      <c r="AL924" s="0" t="s">
        <v>523</v>
      </c>
    </row>
    <row r="925" customFormat="false" ht="15" hidden="false" customHeight="false" outlineLevel="0" collapsed="false">
      <c r="A925" s="0" t="s">
        <v>1527</v>
      </c>
      <c r="B925" s="0" t="s">
        <v>222</v>
      </c>
      <c r="C925" s="0" t="s">
        <v>4357</v>
      </c>
      <c r="D925" s="0" t="n">
        <v>2016</v>
      </c>
      <c r="E925" s="0" t="s">
        <v>55</v>
      </c>
      <c r="F925" s="0" t="n">
        <v>4283736</v>
      </c>
      <c r="G925" s="0" t="s">
        <v>3101</v>
      </c>
      <c r="H925" s="0" t="s">
        <v>3068</v>
      </c>
      <c r="I925" s="0" t="n">
        <v>4283736</v>
      </c>
      <c r="J925" s="0" t="s">
        <v>4155</v>
      </c>
      <c r="K925" s="0" t="s">
        <v>2758</v>
      </c>
      <c r="L925" s="0" t="n">
        <v>2016</v>
      </c>
      <c r="M925" s="0" t="s">
        <v>2422</v>
      </c>
      <c r="N925" s="0" t="s">
        <v>225</v>
      </c>
      <c r="O925" s="0" t="s">
        <v>2423</v>
      </c>
      <c r="P925" s="0" t="s">
        <v>4358</v>
      </c>
      <c r="Q925" s="0" t="n">
        <v>33</v>
      </c>
      <c r="R925" s="0" t="n">
        <v>32</v>
      </c>
      <c r="T925" s="0" t="s">
        <v>4367</v>
      </c>
      <c r="U925" s="0" t="s">
        <v>4209</v>
      </c>
      <c r="V925" s="0" t="s">
        <v>226</v>
      </c>
      <c r="W925" s="0" t="s">
        <v>4368</v>
      </c>
      <c r="X925" s="0" t="s">
        <v>4369</v>
      </c>
      <c r="Y925" s="0" t="s">
        <v>4159</v>
      </c>
      <c r="Z925" s="0" t="s">
        <v>4160</v>
      </c>
      <c r="AB925" s="0" t="s">
        <v>4362</v>
      </c>
      <c r="AC925" s="0" t="s">
        <v>4162</v>
      </c>
      <c r="AD925" s="0" t="s">
        <v>4163</v>
      </c>
      <c r="AE925" s="0" t="s">
        <v>4164</v>
      </c>
      <c r="AF925" s="0" t="s">
        <v>4363</v>
      </c>
      <c r="AH925" s="0" t="s">
        <v>2239</v>
      </c>
      <c r="AL925" s="0" t="s">
        <v>523</v>
      </c>
    </row>
    <row r="926" customFormat="false" ht="15" hidden="false" customHeight="false" outlineLevel="0" collapsed="false">
      <c r="A926" s="0" t="s">
        <v>1528</v>
      </c>
      <c r="B926" s="0" t="s">
        <v>222</v>
      </c>
      <c r="C926" s="0" t="s">
        <v>4357</v>
      </c>
      <c r="D926" s="0" t="n">
        <v>2016</v>
      </c>
      <c r="E926" s="0" t="s">
        <v>56</v>
      </c>
      <c r="F926" s="0" t="n">
        <v>3667383</v>
      </c>
      <c r="G926" s="0" t="s">
        <v>3101</v>
      </c>
      <c r="H926" s="0" t="s">
        <v>3068</v>
      </c>
      <c r="I926" s="0" t="n">
        <v>3667383</v>
      </c>
      <c r="J926" s="0" t="s">
        <v>4155</v>
      </c>
      <c r="K926" s="0" t="s">
        <v>2758</v>
      </c>
      <c r="L926" s="0" t="n">
        <v>2016</v>
      </c>
      <c r="M926" s="0" t="s">
        <v>2422</v>
      </c>
      <c r="N926" s="0" t="s">
        <v>225</v>
      </c>
      <c r="O926" s="0" t="s">
        <v>2423</v>
      </c>
      <c r="P926" s="0" t="s">
        <v>4358</v>
      </c>
      <c r="Q926" s="0" t="n">
        <v>33</v>
      </c>
      <c r="R926" s="0" t="n">
        <v>32</v>
      </c>
      <c r="T926" s="0" t="s">
        <v>4367</v>
      </c>
      <c r="U926" s="0" t="s">
        <v>4209</v>
      </c>
      <c r="V926" s="0" t="s">
        <v>226</v>
      </c>
      <c r="W926" s="0" t="s">
        <v>4370</v>
      </c>
      <c r="X926" s="0" t="s">
        <v>4369</v>
      </c>
      <c r="Y926" s="0" t="s">
        <v>4159</v>
      </c>
      <c r="Z926" s="0" t="s">
        <v>4160</v>
      </c>
      <c r="AB926" s="0" t="s">
        <v>4362</v>
      </c>
      <c r="AC926" s="0" t="s">
        <v>4162</v>
      </c>
      <c r="AD926" s="0" t="s">
        <v>4163</v>
      </c>
      <c r="AE926" s="0" t="s">
        <v>4164</v>
      </c>
      <c r="AF926" s="0" t="s">
        <v>4363</v>
      </c>
      <c r="AH926" s="0" t="s">
        <v>2239</v>
      </c>
      <c r="AL926" s="0" t="s">
        <v>523</v>
      </c>
    </row>
    <row r="927" customFormat="false" ht="15" hidden="false" customHeight="false" outlineLevel="0" collapsed="false">
      <c r="A927" s="0" t="s">
        <v>1529</v>
      </c>
      <c r="B927" s="0" t="s">
        <v>222</v>
      </c>
      <c r="C927" s="0" t="s">
        <v>4357</v>
      </c>
      <c r="D927" s="0" t="n">
        <v>2016</v>
      </c>
      <c r="E927" s="0" t="s">
        <v>57</v>
      </c>
      <c r="F927" s="0" t="n">
        <v>616353</v>
      </c>
      <c r="G927" s="0" t="s">
        <v>3101</v>
      </c>
      <c r="H927" s="0" t="s">
        <v>3068</v>
      </c>
      <c r="I927" s="0" t="n">
        <v>616353</v>
      </c>
      <c r="J927" s="0" t="s">
        <v>4155</v>
      </c>
      <c r="K927" s="0" t="s">
        <v>2758</v>
      </c>
      <c r="L927" s="0" t="n">
        <v>2016</v>
      </c>
      <c r="M927" s="0" t="s">
        <v>2422</v>
      </c>
      <c r="N927" s="0" t="s">
        <v>225</v>
      </c>
      <c r="O927" s="0" t="s">
        <v>2423</v>
      </c>
      <c r="P927" s="0" t="s">
        <v>4358</v>
      </c>
      <c r="Q927" s="0" t="n">
        <v>33</v>
      </c>
      <c r="R927" s="0" t="n">
        <v>32</v>
      </c>
      <c r="T927" s="0" t="s">
        <v>4367</v>
      </c>
      <c r="U927" s="0" t="s">
        <v>4209</v>
      </c>
      <c r="V927" s="0" t="s">
        <v>226</v>
      </c>
      <c r="W927" s="0" t="s">
        <v>4371</v>
      </c>
      <c r="X927" s="0" t="s">
        <v>4369</v>
      </c>
      <c r="Y927" s="0" t="s">
        <v>4159</v>
      </c>
      <c r="Z927" s="0" t="s">
        <v>4160</v>
      </c>
      <c r="AB927" s="0" t="s">
        <v>4362</v>
      </c>
      <c r="AC927" s="0" t="s">
        <v>4162</v>
      </c>
      <c r="AD927" s="0" t="s">
        <v>4163</v>
      </c>
      <c r="AE927" s="0" t="s">
        <v>4164</v>
      </c>
      <c r="AF927" s="0" t="s">
        <v>4363</v>
      </c>
      <c r="AH927" s="0" t="s">
        <v>2239</v>
      </c>
      <c r="AL927" s="0" t="s">
        <v>523</v>
      </c>
    </row>
    <row r="928" customFormat="false" ht="15" hidden="false" customHeight="false" outlineLevel="0" collapsed="false">
      <c r="A928" s="0" t="s">
        <v>1531</v>
      </c>
      <c r="B928" s="0" t="s">
        <v>222</v>
      </c>
      <c r="C928" s="0" t="s">
        <v>4357</v>
      </c>
      <c r="D928" s="0" t="n">
        <v>2016</v>
      </c>
      <c r="E928" s="0" t="s">
        <v>59</v>
      </c>
      <c r="F928" s="0" t="n">
        <v>3750327</v>
      </c>
      <c r="G928" s="0" t="s">
        <v>3101</v>
      </c>
      <c r="H928" s="0" t="s">
        <v>3068</v>
      </c>
      <c r="I928" s="0" t="n">
        <v>3750327</v>
      </c>
      <c r="J928" s="0" t="s">
        <v>4155</v>
      </c>
      <c r="K928" s="0" t="s">
        <v>2758</v>
      </c>
      <c r="L928" s="0" t="n">
        <v>2016</v>
      </c>
      <c r="M928" s="0" t="s">
        <v>2422</v>
      </c>
      <c r="N928" s="0" t="s">
        <v>225</v>
      </c>
      <c r="O928" s="0" t="s">
        <v>2423</v>
      </c>
      <c r="P928" s="0" t="s">
        <v>4358</v>
      </c>
      <c r="Q928" s="0" t="n">
        <v>33</v>
      </c>
      <c r="R928" s="0" t="n">
        <v>32</v>
      </c>
      <c r="T928" s="0" t="s">
        <v>4372</v>
      </c>
      <c r="U928" s="0" t="s">
        <v>4209</v>
      </c>
      <c r="V928" s="0" t="s">
        <v>226</v>
      </c>
      <c r="W928" s="0" t="s">
        <v>4368</v>
      </c>
      <c r="X928" s="0" t="s">
        <v>4369</v>
      </c>
      <c r="Y928" s="0" t="s">
        <v>4159</v>
      </c>
      <c r="Z928" s="0" t="s">
        <v>4160</v>
      </c>
      <c r="AA928" s="0" t="s">
        <v>4373</v>
      </c>
      <c r="AB928" s="0" t="s">
        <v>4362</v>
      </c>
      <c r="AC928" s="0" t="s">
        <v>4162</v>
      </c>
      <c r="AD928" s="0" t="s">
        <v>4163</v>
      </c>
      <c r="AE928" s="0" t="s">
        <v>4164</v>
      </c>
      <c r="AF928" s="0" t="s">
        <v>4363</v>
      </c>
      <c r="AH928" s="0" t="s">
        <v>2239</v>
      </c>
      <c r="AL928" s="0" t="s">
        <v>523</v>
      </c>
    </row>
    <row r="929" customFormat="false" ht="15" hidden="false" customHeight="false" outlineLevel="0" collapsed="false">
      <c r="A929" s="0" t="s">
        <v>1530</v>
      </c>
      <c r="B929" s="0" t="s">
        <v>222</v>
      </c>
      <c r="C929" s="0" t="s">
        <v>4357</v>
      </c>
      <c r="D929" s="0" t="n">
        <v>2016</v>
      </c>
      <c r="E929" s="0" t="s">
        <v>58</v>
      </c>
      <c r="F929" s="0" t="n">
        <v>-104917</v>
      </c>
      <c r="G929" s="0" t="s">
        <v>3101</v>
      </c>
      <c r="H929" s="0" t="s">
        <v>3068</v>
      </c>
      <c r="I929" s="0" t="n">
        <v>-104917</v>
      </c>
      <c r="J929" s="0" t="s">
        <v>4155</v>
      </c>
      <c r="K929" s="0" t="s">
        <v>2758</v>
      </c>
      <c r="L929" s="0" t="n">
        <v>2016</v>
      </c>
      <c r="M929" s="0" t="s">
        <v>2422</v>
      </c>
      <c r="N929" s="0" t="s">
        <v>225</v>
      </c>
      <c r="O929" s="0" t="s">
        <v>2423</v>
      </c>
      <c r="P929" s="0" t="s">
        <v>4358</v>
      </c>
      <c r="Q929" s="0" t="n">
        <v>36</v>
      </c>
      <c r="R929" s="0" t="n">
        <v>35</v>
      </c>
      <c r="T929" s="0" t="s">
        <v>4374</v>
      </c>
      <c r="U929" s="0" t="s">
        <v>4209</v>
      </c>
      <c r="V929" s="0" t="s">
        <v>226</v>
      </c>
      <c r="W929" s="0" t="s">
        <v>4375</v>
      </c>
      <c r="X929" s="0" t="s">
        <v>4376</v>
      </c>
      <c r="Y929" s="0" t="s">
        <v>4159</v>
      </c>
      <c r="Z929" s="0" t="s">
        <v>4160</v>
      </c>
      <c r="AA929" s="0" t="s">
        <v>4377</v>
      </c>
      <c r="AB929" s="0" t="s">
        <v>4362</v>
      </c>
      <c r="AC929" s="0" t="s">
        <v>4162</v>
      </c>
      <c r="AD929" s="0" t="s">
        <v>4163</v>
      </c>
      <c r="AE929" s="0" t="s">
        <v>4164</v>
      </c>
      <c r="AF929" s="0" t="s">
        <v>4363</v>
      </c>
      <c r="AH929" s="0" t="s">
        <v>2239</v>
      </c>
      <c r="AL929" s="0" t="s">
        <v>523</v>
      </c>
    </row>
    <row r="930" customFormat="false" ht="15" hidden="false" customHeight="false" outlineLevel="0" collapsed="false">
      <c r="A930" s="0" t="s">
        <v>1532</v>
      </c>
      <c r="B930" s="0" t="s">
        <v>222</v>
      </c>
      <c r="C930" s="0" t="s">
        <v>4357</v>
      </c>
      <c r="D930" s="0" t="n">
        <v>2016</v>
      </c>
      <c r="E930" s="0" t="s">
        <v>60</v>
      </c>
      <c r="F930" s="0" t="n">
        <v>2193224</v>
      </c>
      <c r="G930" s="0" t="s">
        <v>3101</v>
      </c>
      <c r="H930" s="0" t="s">
        <v>3068</v>
      </c>
      <c r="I930" s="0" t="n">
        <v>2193224</v>
      </c>
      <c r="J930" s="0" t="s">
        <v>4155</v>
      </c>
      <c r="K930" s="0" t="s">
        <v>2758</v>
      </c>
      <c r="L930" s="0" t="n">
        <v>2016</v>
      </c>
      <c r="M930" s="0" t="s">
        <v>2422</v>
      </c>
      <c r="N930" s="0" t="s">
        <v>225</v>
      </c>
      <c r="O930" s="0" t="s">
        <v>2423</v>
      </c>
      <c r="P930" s="0" t="s">
        <v>4358</v>
      </c>
      <c r="Q930" s="0" t="n">
        <v>65</v>
      </c>
      <c r="R930" s="0" t="n">
        <v>64</v>
      </c>
      <c r="S930" s="0" t="s">
        <v>4378</v>
      </c>
      <c r="T930" s="0" t="s">
        <v>4379</v>
      </c>
      <c r="U930" s="0" t="s">
        <v>4209</v>
      </c>
      <c r="V930" s="0" t="s">
        <v>226</v>
      </c>
      <c r="W930" s="0" t="s">
        <v>4380</v>
      </c>
      <c r="X930" s="0" t="s">
        <v>4381</v>
      </c>
      <c r="Y930" s="0" t="s">
        <v>4159</v>
      </c>
      <c r="Z930" s="0" t="s">
        <v>4160</v>
      </c>
      <c r="AA930" s="0" t="s">
        <v>4382</v>
      </c>
      <c r="AB930" s="0" t="s">
        <v>4362</v>
      </c>
      <c r="AC930" s="0" t="s">
        <v>4162</v>
      </c>
      <c r="AD930" s="0" t="s">
        <v>4163</v>
      </c>
      <c r="AE930" s="0" t="s">
        <v>4164</v>
      </c>
      <c r="AF930" s="0" t="s">
        <v>4363</v>
      </c>
      <c r="AH930" s="0" t="s">
        <v>2239</v>
      </c>
      <c r="AL930" s="0" t="s">
        <v>523</v>
      </c>
    </row>
    <row r="931" customFormat="false" ht="15" hidden="false" customHeight="false" outlineLevel="0" collapsed="false">
      <c r="A931" s="0" t="s">
        <v>1536</v>
      </c>
      <c r="B931" s="0" t="s">
        <v>222</v>
      </c>
      <c r="C931" s="0" t="s">
        <v>4357</v>
      </c>
      <c r="D931" s="0" t="n">
        <v>2016</v>
      </c>
      <c r="E931" s="0" t="s">
        <v>64</v>
      </c>
      <c r="F931" s="0" t="n">
        <v>57577</v>
      </c>
      <c r="G931" s="0" t="s">
        <v>3101</v>
      </c>
      <c r="H931" s="0" t="s">
        <v>3068</v>
      </c>
      <c r="I931" s="0" t="n">
        <v>57577</v>
      </c>
      <c r="J931" s="0" t="s">
        <v>4155</v>
      </c>
      <c r="K931" s="0" t="s">
        <v>2758</v>
      </c>
      <c r="L931" s="0" t="n">
        <v>2016</v>
      </c>
      <c r="M931" s="0" t="s">
        <v>2422</v>
      </c>
      <c r="N931" s="0" t="s">
        <v>225</v>
      </c>
      <c r="O931" s="0" t="s">
        <v>2423</v>
      </c>
      <c r="P931" s="0" t="s">
        <v>4358</v>
      </c>
      <c r="Q931" s="0" t="n">
        <v>65</v>
      </c>
      <c r="R931" s="0" t="n">
        <v>64</v>
      </c>
      <c r="S931" s="0" t="s">
        <v>4378</v>
      </c>
      <c r="T931" s="0" t="s">
        <v>4383</v>
      </c>
      <c r="U931" s="0" t="s">
        <v>4209</v>
      </c>
      <c r="V931" s="0" t="s">
        <v>226</v>
      </c>
      <c r="W931" s="0" t="s">
        <v>4380</v>
      </c>
      <c r="X931" s="0" t="s">
        <v>4381</v>
      </c>
      <c r="Y931" s="0" t="s">
        <v>4159</v>
      </c>
      <c r="Z931" s="0" t="s">
        <v>4160</v>
      </c>
      <c r="AA931" s="0" t="s">
        <v>4384</v>
      </c>
      <c r="AB931" s="0" t="s">
        <v>4362</v>
      </c>
      <c r="AC931" s="0" t="s">
        <v>4162</v>
      </c>
      <c r="AD931" s="0" t="s">
        <v>4163</v>
      </c>
      <c r="AE931" s="0" t="s">
        <v>4164</v>
      </c>
      <c r="AF931" s="0" t="s">
        <v>4363</v>
      </c>
      <c r="AH931" s="0" t="s">
        <v>2239</v>
      </c>
      <c r="AL931" s="0" t="s">
        <v>523</v>
      </c>
    </row>
    <row r="932" customFormat="false" ht="15" hidden="false" customHeight="false" outlineLevel="0" collapsed="false">
      <c r="A932" s="0" t="s">
        <v>1542</v>
      </c>
      <c r="B932" s="0" t="s">
        <v>222</v>
      </c>
      <c r="C932" s="0" t="s">
        <v>4357</v>
      </c>
      <c r="D932" s="0" t="n">
        <v>2016</v>
      </c>
      <c r="E932" s="0" t="s">
        <v>545</v>
      </c>
      <c r="F932" s="0" t="n">
        <v>37485</v>
      </c>
      <c r="G932" s="0" t="s">
        <v>3101</v>
      </c>
      <c r="H932" s="0" t="s">
        <v>3068</v>
      </c>
      <c r="I932" s="0" t="n">
        <v>37485</v>
      </c>
      <c r="J932" s="0" t="s">
        <v>4155</v>
      </c>
      <c r="K932" s="0" t="s">
        <v>2758</v>
      </c>
      <c r="L932" s="0" t="n">
        <v>2016</v>
      </c>
      <c r="M932" s="0" t="s">
        <v>2422</v>
      </c>
      <c r="N932" s="0" t="s">
        <v>225</v>
      </c>
      <c r="O932" s="0" t="s">
        <v>2423</v>
      </c>
      <c r="P932" s="0" t="s">
        <v>4358</v>
      </c>
      <c r="Q932" s="0" t="n">
        <v>65</v>
      </c>
      <c r="R932" s="0" t="n">
        <v>64</v>
      </c>
      <c r="S932" s="0" t="s">
        <v>4378</v>
      </c>
      <c r="T932" s="0" t="s">
        <v>4385</v>
      </c>
      <c r="U932" s="0" t="s">
        <v>4209</v>
      </c>
      <c r="V932" s="0" t="s">
        <v>226</v>
      </c>
      <c r="W932" s="0" t="s">
        <v>4380</v>
      </c>
      <c r="X932" s="0" t="s">
        <v>4381</v>
      </c>
      <c r="Y932" s="0" t="s">
        <v>4159</v>
      </c>
      <c r="Z932" s="0" t="s">
        <v>4160</v>
      </c>
      <c r="AB932" s="0" t="s">
        <v>4362</v>
      </c>
      <c r="AC932" s="0" t="s">
        <v>4162</v>
      </c>
      <c r="AD932" s="0" t="s">
        <v>4163</v>
      </c>
      <c r="AE932" s="0" t="s">
        <v>4164</v>
      </c>
      <c r="AF932" s="0" t="s">
        <v>4363</v>
      </c>
      <c r="AH932" s="0" t="s">
        <v>2239</v>
      </c>
      <c r="AL932" s="0" t="s">
        <v>523</v>
      </c>
    </row>
    <row r="933" customFormat="false" ht="15" hidden="false" customHeight="false" outlineLevel="0" collapsed="false">
      <c r="A933" s="0" t="s">
        <v>1541</v>
      </c>
      <c r="B933" s="0" t="s">
        <v>222</v>
      </c>
      <c r="C933" s="0" t="s">
        <v>4357</v>
      </c>
      <c r="D933" s="0" t="n">
        <v>2016</v>
      </c>
      <c r="E933" s="0" t="s">
        <v>543</v>
      </c>
      <c r="F933" s="0" t="n">
        <v>17607</v>
      </c>
      <c r="G933" s="0" t="s">
        <v>3101</v>
      </c>
      <c r="H933" s="0" t="s">
        <v>3068</v>
      </c>
      <c r="I933" s="0" t="n">
        <v>17607</v>
      </c>
      <c r="J933" s="0" t="s">
        <v>4155</v>
      </c>
      <c r="K933" s="0" t="s">
        <v>2758</v>
      </c>
      <c r="L933" s="0" t="n">
        <v>2016</v>
      </c>
      <c r="M933" s="0" t="s">
        <v>2422</v>
      </c>
      <c r="N933" s="0" t="s">
        <v>225</v>
      </c>
      <c r="O933" s="0" t="s">
        <v>2423</v>
      </c>
      <c r="P933" s="0" t="s">
        <v>4358</v>
      </c>
      <c r="Q933" s="0" t="n">
        <v>65</v>
      </c>
      <c r="R933" s="0" t="n">
        <v>64</v>
      </c>
      <c r="S933" s="0" t="s">
        <v>4378</v>
      </c>
      <c r="T933" s="0" t="s">
        <v>4386</v>
      </c>
      <c r="U933" s="0" t="s">
        <v>4209</v>
      </c>
      <c r="V933" s="0" t="s">
        <v>226</v>
      </c>
      <c r="W933" s="0" t="s">
        <v>4380</v>
      </c>
      <c r="X933" s="0" t="s">
        <v>4381</v>
      </c>
      <c r="Y933" s="0" t="s">
        <v>4159</v>
      </c>
      <c r="Z933" s="0" t="s">
        <v>4160</v>
      </c>
      <c r="AB933" s="0" t="s">
        <v>4362</v>
      </c>
      <c r="AC933" s="0" t="s">
        <v>4162</v>
      </c>
      <c r="AD933" s="0" t="s">
        <v>4163</v>
      </c>
      <c r="AE933" s="0" t="s">
        <v>4164</v>
      </c>
      <c r="AF933" s="0" t="s">
        <v>4363</v>
      </c>
      <c r="AH933" s="0" t="s">
        <v>2239</v>
      </c>
      <c r="AL933" s="0" t="s">
        <v>523</v>
      </c>
    </row>
    <row r="934" customFormat="false" ht="15" hidden="false" customHeight="false" outlineLevel="0" collapsed="false">
      <c r="A934" s="0" t="s">
        <v>1534</v>
      </c>
      <c r="B934" s="0" t="s">
        <v>222</v>
      </c>
      <c r="C934" s="0" t="s">
        <v>4357</v>
      </c>
      <c r="D934" s="0" t="n">
        <v>2016</v>
      </c>
      <c r="E934" s="0" t="s">
        <v>62</v>
      </c>
      <c r="F934" s="0" t="n">
        <v>2138132</v>
      </c>
      <c r="G934" s="0" t="s">
        <v>3101</v>
      </c>
      <c r="H934" s="0" t="s">
        <v>3068</v>
      </c>
      <c r="I934" s="0" t="n">
        <v>2138132</v>
      </c>
      <c r="J934" s="0" t="s">
        <v>4155</v>
      </c>
      <c r="K934" s="0" t="s">
        <v>2758</v>
      </c>
      <c r="L934" s="0" t="n">
        <v>2016</v>
      </c>
      <c r="M934" s="0" t="s">
        <v>2422</v>
      </c>
      <c r="N934" s="0" t="s">
        <v>225</v>
      </c>
      <c r="O934" s="0" t="s">
        <v>2423</v>
      </c>
      <c r="P934" s="0" t="s">
        <v>4358</v>
      </c>
      <c r="Q934" s="0" t="n">
        <v>65</v>
      </c>
      <c r="R934" s="0" t="n">
        <v>64</v>
      </c>
      <c r="S934" s="0" t="s">
        <v>4378</v>
      </c>
      <c r="T934" s="0" t="s">
        <v>4387</v>
      </c>
      <c r="U934" s="0" t="s">
        <v>4209</v>
      </c>
      <c r="V934" s="0" t="s">
        <v>226</v>
      </c>
      <c r="W934" s="0" t="s">
        <v>4380</v>
      </c>
      <c r="X934" s="0" t="s">
        <v>4381</v>
      </c>
      <c r="Y934" s="0" t="s">
        <v>4159</v>
      </c>
      <c r="Z934" s="0" t="s">
        <v>4160</v>
      </c>
      <c r="AB934" s="0" t="s">
        <v>4362</v>
      </c>
      <c r="AC934" s="0" t="s">
        <v>4162</v>
      </c>
      <c r="AD934" s="0" t="s">
        <v>4163</v>
      </c>
      <c r="AE934" s="0" t="s">
        <v>4164</v>
      </c>
      <c r="AF934" s="0" t="s">
        <v>4363</v>
      </c>
      <c r="AH934" s="0" t="s">
        <v>2239</v>
      </c>
      <c r="AL934" s="0" t="s">
        <v>523</v>
      </c>
    </row>
    <row r="935" customFormat="false" ht="15" hidden="false" customHeight="false" outlineLevel="0" collapsed="false">
      <c r="A935" s="0" t="s">
        <v>1538</v>
      </c>
      <c r="B935" s="0" t="s">
        <v>222</v>
      </c>
      <c r="C935" s="0" t="s">
        <v>4357</v>
      </c>
      <c r="D935" s="0" t="n">
        <v>2016</v>
      </c>
      <c r="E935" s="0" t="s">
        <v>65</v>
      </c>
      <c r="F935" s="0" t="n">
        <v>565277</v>
      </c>
      <c r="G935" s="0" t="s">
        <v>3101</v>
      </c>
      <c r="H935" s="0" t="s">
        <v>3068</v>
      </c>
      <c r="I935" s="0" t="n">
        <v>565277</v>
      </c>
      <c r="J935" s="0" t="s">
        <v>4155</v>
      </c>
      <c r="K935" s="0" t="s">
        <v>2758</v>
      </c>
      <c r="L935" s="0" t="n">
        <v>2016</v>
      </c>
      <c r="M935" s="0" t="s">
        <v>2422</v>
      </c>
      <c r="N935" s="0" t="s">
        <v>225</v>
      </c>
      <c r="O935" s="0" t="s">
        <v>2423</v>
      </c>
      <c r="P935" s="0" t="s">
        <v>4358</v>
      </c>
      <c r="Q935" s="0" t="n">
        <v>96</v>
      </c>
      <c r="R935" s="0" t="n">
        <v>95</v>
      </c>
      <c r="T935" s="0" t="s">
        <v>4388</v>
      </c>
      <c r="U935" s="0" t="s">
        <v>4209</v>
      </c>
      <c r="V935" s="0" t="s">
        <v>226</v>
      </c>
      <c r="W935" s="0" t="s">
        <v>4389</v>
      </c>
      <c r="X935" s="0" t="s">
        <v>4390</v>
      </c>
      <c r="Y935" s="0" t="s">
        <v>4159</v>
      </c>
      <c r="Z935" s="0" t="s">
        <v>4160</v>
      </c>
      <c r="AB935" s="0" t="s">
        <v>4362</v>
      </c>
      <c r="AC935" s="0" t="s">
        <v>4162</v>
      </c>
      <c r="AD935" s="0" t="s">
        <v>4163</v>
      </c>
      <c r="AE935" s="0" t="s">
        <v>4164</v>
      </c>
      <c r="AF935" s="0" t="s">
        <v>4363</v>
      </c>
      <c r="AH935" s="0" t="s">
        <v>2239</v>
      </c>
      <c r="AL935" s="0" t="s">
        <v>523</v>
      </c>
    </row>
    <row r="936" customFormat="false" ht="15" hidden="false" customHeight="false" outlineLevel="0" collapsed="false">
      <c r="A936" s="0" t="s">
        <v>1539</v>
      </c>
      <c r="B936" s="0" t="s">
        <v>222</v>
      </c>
      <c r="C936" s="0" t="s">
        <v>4357</v>
      </c>
      <c r="D936" s="0" t="n">
        <v>2016</v>
      </c>
      <c r="E936" s="0" t="s">
        <v>66</v>
      </c>
      <c r="F936" s="0" t="n">
        <v>2624643</v>
      </c>
      <c r="G936" s="0" t="s">
        <v>3101</v>
      </c>
      <c r="H936" s="0" t="s">
        <v>3068</v>
      </c>
      <c r="I936" s="0" t="n">
        <v>2624643</v>
      </c>
      <c r="J936" s="0" t="s">
        <v>4155</v>
      </c>
      <c r="K936" s="0" t="s">
        <v>2758</v>
      </c>
      <c r="L936" s="0" t="n">
        <v>2016</v>
      </c>
      <c r="M936" s="0" t="s">
        <v>2422</v>
      </c>
      <c r="N936" s="0" t="s">
        <v>225</v>
      </c>
      <c r="O936" s="0" t="s">
        <v>2423</v>
      </c>
      <c r="P936" s="0" t="s">
        <v>4358</v>
      </c>
      <c r="Q936" s="0" t="n">
        <v>96</v>
      </c>
      <c r="R936" s="0" t="n">
        <v>95</v>
      </c>
      <c r="T936" s="0" t="s">
        <v>4388</v>
      </c>
      <c r="U936" s="0" t="s">
        <v>4209</v>
      </c>
      <c r="V936" s="0" t="s">
        <v>226</v>
      </c>
      <c r="W936" s="0" t="s">
        <v>4391</v>
      </c>
      <c r="X936" s="0" t="s">
        <v>4390</v>
      </c>
      <c r="Y936" s="0" t="s">
        <v>4159</v>
      </c>
      <c r="Z936" s="0" t="s">
        <v>4160</v>
      </c>
      <c r="AB936" s="0" t="s">
        <v>4362</v>
      </c>
      <c r="AC936" s="0" t="s">
        <v>4162</v>
      </c>
      <c r="AD936" s="0" t="s">
        <v>4163</v>
      </c>
      <c r="AE936" s="0" t="s">
        <v>4164</v>
      </c>
      <c r="AF936" s="0" t="s">
        <v>4363</v>
      </c>
      <c r="AH936" s="0" t="s">
        <v>2239</v>
      </c>
      <c r="AL936" s="0" t="s">
        <v>523</v>
      </c>
    </row>
    <row r="937" customFormat="false" ht="15" hidden="false" customHeight="false" outlineLevel="0" collapsed="false">
      <c r="A937" s="0" t="s">
        <v>1537</v>
      </c>
      <c r="B937" s="0" t="s">
        <v>222</v>
      </c>
      <c r="C937" s="0" t="s">
        <v>4357</v>
      </c>
      <c r="D937" s="0" t="n">
        <v>2016</v>
      </c>
      <c r="E937" s="0" t="s">
        <v>69</v>
      </c>
      <c r="F937" s="0" t="n">
        <v>22</v>
      </c>
      <c r="G937" s="0" t="s">
        <v>3143</v>
      </c>
      <c r="I937" s="0" t="n">
        <v>22</v>
      </c>
      <c r="J937" s="0" t="s">
        <v>4155</v>
      </c>
      <c r="K937" s="0" t="s">
        <v>2758</v>
      </c>
      <c r="L937" s="0" t="n">
        <v>2016</v>
      </c>
      <c r="M937" s="0" t="s">
        <v>2422</v>
      </c>
      <c r="N937" s="0" t="s">
        <v>225</v>
      </c>
      <c r="O937" s="0" t="s">
        <v>2423</v>
      </c>
      <c r="P937" s="0" t="s">
        <v>4358</v>
      </c>
      <c r="Q937" s="0" t="n">
        <v>96</v>
      </c>
      <c r="R937" s="0" t="n">
        <v>95</v>
      </c>
      <c r="T937" s="0" t="s">
        <v>4388</v>
      </c>
      <c r="U937" s="0" t="s">
        <v>4209</v>
      </c>
      <c r="V937" s="0" t="s">
        <v>226</v>
      </c>
      <c r="W937" s="0" t="s">
        <v>4392</v>
      </c>
      <c r="X937" s="0" t="s">
        <v>4390</v>
      </c>
      <c r="Y937" s="0" t="s">
        <v>4159</v>
      </c>
      <c r="Z937" s="0" t="s">
        <v>4160</v>
      </c>
      <c r="AA937" s="0" t="s">
        <v>4393</v>
      </c>
      <c r="AB937" s="0" t="s">
        <v>4362</v>
      </c>
      <c r="AC937" s="0" t="s">
        <v>4162</v>
      </c>
      <c r="AD937" s="0" t="s">
        <v>4163</v>
      </c>
      <c r="AE937" s="0" t="s">
        <v>4164</v>
      </c>
      <c r="AF937" s="0" t="s">
        <v>4363</v>
      </c>
      <c r="AH937" s="0" t="s">
        <v>2239</v>
      </c>
      <c r="AL937" s="0" t="s">
        <v>523</v>
      </c>
    </row>
    <row r="938" customFormat="false" ht="15" hidden="false" customHeight="false" outlineLevel="0" collapsed="false">
      <c r="A938" s="0" t="s">
        <v>1543</v>
      </c>
      <c r="B938" s="0" t="s">
        <v>222</v>
      </c>
      <c r="C938" s="0" t="s">
        <v>4357</v>
      </c>
      <c r="D938" s="0" t="n">
        <v>2017</v>
      </c>
      <c r="E938" s="0" t="s">
        <v>54</v>
      </c>
      <c r="F938" s="0" t="n">
        <v>157145</v>
      </c>
      <c r="G938" s="0" t="s">
        <v>3101</v>
      </c>
      <c r="H938" s="0" t="s">
        <v>3068</v>
      </c>
      <c r="I938" s="0" t="n">
        <v>157145</v>
      </c>
      <c r="J938" s="0" t="s">
        <v>4155</v>
      </c>
      <c r="K938" s="0" t="s">
        <v>2759</v>
      </c>
      <c r="L938" s="0" t="n">
        <v>2017</v>
      </c>
      <c r="M938" s="0" t="s">
        <v>2418</v>
      </c>
      <c r="N938" s="0" t="s">
        <v>227</v>
      </c>
      <c r="O938" s="0" t="s">
        <v>2419</v>
      </c>
      <c r="P938" s="0" t="s">
        <v>4394</v>
      </c>
      <c r="Q938" s="0" t="n">
        <v>29</v>
      </c>
      <c r="R938" s="0" t="n">
        <v>28</v>
      </c>
      <c r="T938" s="0" t="s">
        <v>4395</v>
      </c>
      <c r="U938" s="0" t="s">
        <v>4396</v>
      </c>
      <c r="V938" s="0" t="s">
        <v>228</v>
      </c>
      <c r="W938" s="0" t="s">
        <v>4397</v>
      </c>
      <c r="X938" s="0" t="s">
        <v>4398</v>
      </c>
      <c r="Y938" s="0" t="s">
        <v>4159</v>
      </c>
      <c r="Z938" s="0" t="s">
        <v>4160</v>
      </c>
      <c r="AB938" s="0" t="s">
        <v>4399</v>
      </c>
      <c r="AC938" s="0" t="s">
        <v>4162</v>
      </c>
      <c r="AD938" s="0" t="s">
        <v>4163</v>
      </c>
      <c r="AE938" s="0" t="s">
        <v>4164</v>
      </c>
      <c r="AF938" s="0" t="s">
        <v>4363</v>
      </c>
      <c r="AH938" s="0" t="s">
        <v>2239</v>
      </c>
      <c r="AL938" s="0" t="s">
        <v>523</v>
      </c>
    </row>
    <row r="939" customFormat="false" ht="15" hidden="false" customHeight="false" outlineLevel="0" collapsed="false">
      <c r="A939" s="0" t="s">
        <v>1557</v>
      </c>
      <c r="B939" s="0" t="s">
        <v>222</v>
      </c>
      <c r="C939" s="0" t="s">
        <v>4357</v>
      </c>
      <c r="D939" s="0" t="n">
        <v>2017</v>
      </c>
      <c r="E939" s="0" t="s">
        <v>541</v>
      </c>
      <c r="F939" s="0" t="n">
        <v>173563</v>
      </c>
      <c r="G939" s="0" t="s">
        <v>3101</v>
      </c>
      <c r="H939" s="0" t="s">
        <v>3068</v>
      </c>
      <c r="I939" s="0" t="n">
        <v>173563</v>
      </c>
      <c r="J939" s="0" t="s">
        <v>4155</v>
      </c>
      <c r="K939" s="0" t="s">
        <v>2759</v>
      </c>
      <c r="L939" s="0" t="n">
        <v>2017</v>
      </c>
      <c r="M939" s="0" t="s">
        <v>2418</v>
      </c>
      <c r="N939" s="0" t="s">
        <v>227</v>
      </c>
      <c r="O939" s="0" t="s">
        <v>2419</v>
      </c>
      <c r="P939" s="0" t="s">
        <v>4394</v>
      </c>
      <c r="Q939" s="0" t="n">
        <v>29</v>
      </c>
      <c r="R939" s="0" t="n">
        <v>28</v>
      </c>
      <c r="T939" s="0" t="s">
        <v>4395</v>
      </c>
      <c r="U939" s="0" t="s">
        <v>4396</v>
      </c>
      <c r="V939" s="0" t="s">
        <v>228</v>
      </c>
      <c r="W939" s="0" t="s">
        <v>4400</v>
      </c>
      <c r="X939" s="0" t="s">
        <v>4398</v>
      </c>
      <c r="Y939" s="0" t="s">
        <v>4159</v>
      </c>
      <c r="Z939" s="0" t="s">
        <v>4160</v>
      </c>
      <c r="AB939" s="0" t="s">
        <v>4399</v>
      </c>
      <c r="AC939" s="0" t="s">
        <v>4162</v>
      </c>
      <c r="AD939" s="0" t="s">
        <v>4163</v>
      </c>
      <c r="AE939" s="0" t="s">
        <v>4164</v>
      </c>
      <c r="AF939" s="0" t="s">
        <v>4363</v>
      </c>
      <c r="AH939" s="0" t="s">
        <v>2239</v>
      </c>
      <c r="AL939" s="0" t="s">
        <v>523</v>
      </c>
    </row>
    <row r="940" customFormat="false" ht="15" hidden="false" customHeight="false" outlineLevel="0" collapsed="false">
      <c r="A940" s="0" t="s">
        <v>1552</v>
      </c>
      <c r="B940" s="0" t="s">
        <v>222</v>
      </c>
      <c r="C940" s="0" t="s">
        <v>4357</v>
      </c>
      <c r="D940" s="0" t="n">
        <v>2017</v>
      </c>
      <c r="E940" s="0" t="s">
        <v>63</v>
      </c>
      <c r="F940" s="0" t="n">
        <v>-95244</v>
      </c>
      <c r="G940" s="0" t="s">
        <v>3101</v>
      </c>
      <c r="H940" s="0" t="s">
        <v>3068</v>
      </c>
      <c r="I940" s="0" t="n">
        <v>95244</v>
      </c>
      <c r="J940" s="0" t="s">
        <v>4155</v>
      </c>
      <c r="K940" s="0" t="s">
        <v>2759</v>
      </c>
      <c r="L940" s="0" t="n">
        <v>2017</v>
      </c>
      <c r="M940" s="0" t="s">
        <v>2418</v>
      </c>
      <c r="N940" s="0" t="s">
        <v>227</v>
      </c>
      <c r="O940" s="0" t="s">
        <v>2419</v>
      </c>
      <c r="P940" s="0" t="s">
        <v>4394</v>
      </c>
      <c r="Q940" s="0" t="n">
        <v>29</v>
      </c>
      <c r="R940" s="0" t="n">
        <v>28</v>
      </c>
      <c r="S940" s="0" t="n">
        <v>8</v>
      </c>
      <c r="T940" s="0" t="s">
        <v>4395</v>
      </c>
      <c r="U940" s="0" t="s">
        <v>4396</v>
      </c>
      <c r="V940" s="0" t="s">
        <v>228</v>
      </c>
      <c r="W940" s="0" t="s">
        <v>4401</v>
      </c>
      <c r="X940" s="0" t="s">
        <v>4398</v>
      </c>
      <c r="Y940" s="0" t="s">
        <v>4159</v>
      </c>
      <c r="Z940" s="0" t="s">
        <v>4160</v>
      </c>
      <c r="AA940" s="0" t="s">
        <v>4366</v>
      </c>
      <c r="AB940" s="0" t="s">
        <v>4399</v>
      </c>
      <c r="AC940" s="0" t="s">
        <v>4162</v>
      </c>
      <c r="AD940" s="0" t="s">
        <v>4163</v>
      </c>
      <c r="AE940" s="0" t="s">
        <v>4164</v>
      </c>
      <c r="AF940" s="0" t="s">
        <v>4363</v>
      </c>
      <c r="AH940" s="0" t="s">
        <v>4174</v>
      </c>
      <c r="AI940" s="0" t="s">
        <v>4175</v>
      </c>
      <c r="AL940" s="0" t="s">
        <v>523</v>
      </c>
    </row>
    <row r="941" customFormat="false" ht="15" hidden="false" customHeight="false" outlineLevel="0" collapsed="false">
      <c r="A941" s="0" t="s">
        <v>1544</v>
      </c>
      <c r="B941" s="0" t="s">
        <v>222</v>
      </c>
      <c r="C941" s="0" t="s">
        <v>4357</v>
      </c>
      <c r="D941" s="0" t="n">
        <v>2017</v>
      </c>
      <c r="E941" s="0" t="s">
        <v>55</v>
      </c>
      <c r="F941" s="0" t="n">
        <v>4833658</v>
      </c>
      <c r="G941" s="0" t="s">
        <v>3101</v>
      </c>
      <c r="H941" s="0" t="s">
        <v>3068</v>
      </c>
      <c r="I941" s="0" t="n">
        <v>4833658</v>
      </c>
      <c r="J941" s="0" t="s">
        <v>4155</v>
      </c>
      <c r="K941" s="0" t="s">
        <v>2759</v>
      </c>
      <c r="L941" s="0" t="n">
        <v>2017</v>
      </c>
      <c r="M941" s="0" t="s">
        <v>2418</v>
      </c>
      <c r="N941" s="0" t="s">
        <v>227</v>
      </c>
      <c r="O941" s="0" t="s">
        <v>2419</v>
      </c>
      <c r="P941" s="0" t="s">
        <v>4394</v>
      </c>
      <c r="Q941" s="0" t="n">
        <v>30</v>
      </c>
      <c r="R941" s="0" t="n">
        <v>29</v>
      </c>
      <c r="T941" s="0" t="s">
        <v>4402</v>
      </c>
      <c r="U941" s="0" t="s">
        <v>4396</v>
      </c>
      <c r="V941" s="0" t="s">
        <v>228</v>
      </c>
      <c r="W941" s="0" t="s">
        <v>4403</v>
      </c>
      <c r="X941" s="0" t="s">
        <v>4404</v>
      </c>
      <c r="Y941" s="0" t="s">
        <v>4212</v>
      </c>
      <c r="Z941" s="0" t="s">
        <v>4160</v>
      </c>
      <c r="AA941" s="0" t="s">
        <v>4405</v>
      </c>
      <c r="AB941" s="0" t="s">
        <v>4399</v>
      </c>
      <c r="AC941" s="0" t="s">
        <v>4162</v>
      </c>
      <c r="AD941" s="0" t="s">
        <v>4163</v>
      </c>
      <c r="AE941" s="0" t="s">
        <v>4164</v>
      </c>
      <c r="AF941" s="0" t="s">
        <v>4363</v>
      </c>
      <c r="AH941" s="0" t="s">
        <v>2239</v>
      </c>
      <c r="AL941" s="0" t="s">
        <v>539</v>
      </c>
    </row>
    <row r="942" customFormat="false" ht="15" hidden="false" customHeight="false" outlineLevel="0" collapsed="false">
      <c r="A942" s="0" t="s">
        <v>1545</v>
      </c>
      <c r="B942" s="0" t="s">
        <v>222</v>
      </c>
      <c r="C942" s="0" t="s">
        <v>4357</v>
      </c>
      <c r="D942" s="0" t="n">
        <v>2017</v>
      </c>
      <c r="E942" s="0" t="s">
        <v>56</v>
      </c>
      <c r="F942" s="0" t="n">
        <v>4126133</v>
      </c>
      <c r="G942" s="0" t="s">
        <v>3101</v>
      </c>
      <c r="H942" s="0" t="s">
        <v>3068</v>
      </c>
      <c r="I942" s="0" t="n">
        <v>4126133</v>
      </c>
      <c r="J942" s="0" t="s">
        <v>4155</v>
      </c>
      <c r="K942" s="0" t="s">
        <v>2759</v>
      </c>
      <c r="L942" s="0" t="n">
        <v>2017</v>
      </c>
      <c r="M942" s="0" t="s">
        <v>2418</v>
      </c>
      <c r="N942" s="0" t="s">
        <v>227</v>
      </c>
      <c r="O942" s="0" t="s">
        <v>2419</v>
      </c>
      <c r="P942" s="0" t="s">
        <v>4394</v>
      </c>
      <c r="Q942" s="0" t="n">
        <v>30</v>
      </c>
      <c r="R942" s="0" t="n">
        <v>29</v>
      </c>
      <c r="T942" s="0" t="s">
        <v>4402</v>
      </c>
      <c r="U942" s="0" t="s">
        <v>4396</v>
      </c>
      <c r="V942" s="0" t="s">
        <v>228</v>
      </c>
      <c r="W942" s="0" t="s">
        <v>4406</v>
      </c>
      <c r="X942" s="0" t="s">
        <v>4404</v>
      </c>
      <c r="Y942" s="0" t="s">
        <v>4212</v>
      </c>
      <c r="Z942" s="0" t="s">
        <v>4160</v>
      </c>
      <c r="AA942" s="0" t="s">
        <v>4407</v>
      </c>
      <c r="AB942" s="0" t="s">
        <v>4399</v>
      </c>
      <c r="AC942" s="0" t="s">
        <v>4162</v>
      </c>
      <c r="AD942" s="0" t="s">
        <v>4163</v>
      </c>
      <c r="AE942" s="0" t="s">
        <v>4164</v>
      </c>
      <c r="AF942" s="0" t="s">
        <v>4363</v>
      </c>
      <c r="AH942" s="0" t="s">
        <v>2239</v>
      </c>
      <c r="AL942" s="0" t="s">
        <v>539</v>
      </c>
    </row>
    <row r="943" customFormat="false" ht="15" hidden="false" customHeight="false" outlineLevel="0" collapsed="false">
      <c r="A943" s="0" t="s">
        <v>1546</v>
      </c>
      <c r="B943" s="0" t="s">
        <v>222</v>
      </c>
      <c r="C943" s="0" t="s">
        <v>4357</v>
      </c>
      <c r="D943" s="0" t="n">
        <v>2017</v>
      </c>
      <c r="E943" s="0" t="s">
        <v>57</v>
      </c>
      <c r="F943" s="0" t="n">
        <v>707525</v>
      </c>
      <c r="G943" s="0" t="s">
        <v>3101</v>
      </c>
      <c r="H943" s="0" t="s">
        <v>3068</v>
      </c>
      <c r="I943" s="0" t="n">
        <v>707525</v>
      </c>
      <c r="J943" s="0" t="s">
        <v>4155</v>
      </c>
      <c r="K943" s="0" t="s">
        <v>2759</v>
      </c>
      <c r="L943" s="0" t="n">
        <v>2017</v>
      </c>
      <c r="M943" s="0" t="s">
        <v>2418</v>
      </c>
      <c r="N943" s="0" t="s">
        <v>227</v>
      </c>
      <c r="O943" s="0" t="s">
        <v>2419</v>
      </c>
      <c r="P943" s="0" t="s">
        <v>4394</v>
      </c>
      <c r="Q943" s="0" t="n">
        <v>30</v>
      </c>
      <c r="R943" s="0" t="n">
        <v>29</v>
      </c>
      <c r="T943" s="0" t="s">
        <v>4402</v>
      </c>
      <c r="U943" s="0" t="s">
        <v>4396</v>
      </c>
      <c r="V943" s="0" t="s">
        <v>228</v>
      </c>
      <c r="W943" s="0" t="s">
        <v>4408</v>
      </c>
      <c r="X943" s="0" t="s">
        <v>4404</v>
      </c>
      <c r="Y943" s="0" t="s">
        <v>4212</v>
      </c>
      <c r="Z943" s="0" t="s">
        <v>4160</v>
      </c>
      <c r="AA943" s="0" t="s">
        <v>4409</v>
      </c>
      <c r="AB943" s="0" t="s">
        <v>4399</v>
      </c>
      <c r="AC943" s="0" t="s">
        <v>4162</v>
      </c>
      <c r="AD943" s="0" t="s">
        <v>4163</v>
      </c>
      <c r="AE943" s="0" t="s">
        <v>4164</v>
      </c>
      <c r="AF943" s="0" t="s">
        <v>4363</v>
      </c>
      <c r="AH943" s="0" t="s">
        <v>2239</v>
      </c>
      <c r="AL943" s="0" t="s">
        <v>539</v>
      </c>
    </row>
    <row r="944" customFormat="false" ht="15" hidden="false" customHeight="false" outlineLevel="0" collapsed="false">
      <c r="A944" s="0" t="s">
        <v>1548</v>
      </c>
      <c r="B944" s="0" t="s">
        <v>222</v>
      </c>
      <c r="C944" s="0" t="s">
        <v>4357</v>
      </c>
      <c r="D944" s="0" t="n">
        <v>2017</v>
      </c>
      <c r="E944" s="0" t="s">
        <v>59</v>
      </c>
      <c r="F944" s="0" t="n">
        <v>4283736</v>
      </c>
      <c r="G944" s="0" t="s">
        <v>3101</v>
      </c>
      <c r="H944" s="0" t="s">
        <v>3068</v>
      </c>
      <c r="I944" s="0" t="n">
        <v>4283736</v>
      </c>
      <c r="J944" s="0" t="s">
        <v>4155</v>
      </c>
      <c r="K944" s="0" t="s">
        <v>2759</v>
      </c>
      <c r="L944" s="0" t="n">
        <v>2017</v>
      </c>
      <c r="M944" s="0" t="s">
        <v>2418</v>
      </c>
      <c r="N944" s="0" t="s">
        <v>227</v>
      </c>
      <c r="O944" s="0" t="s">
        <v>2419</v>
      </c>
      <c r="P944" s="0" t="s">
        <v>4394</v>
      </c>
      <c r="Q944" s="0" t="n">
        <v>30</v>
      </c>
      <c r="R944" s="0" t="n">
        <v>29</v>
      </c>
      <c r="T944" s="0" t="s">
        <v>4410</v>
      </c>
      <c r="U944" s="0" t="s">
        <v>4396</v>
      </c>
      <c r="V944" s="0" t="s">
        <v>228</v>
      </c>
      <c r="W944" s="0" t="s">
        <v>4403</v>
      </c>
      <c r="X944" s="0" t="s">
        <v>4404</v>
      </c>
      <c r="Y944" s="0" t="s">
        <v>4212</v>
      </c>
      <c r="Z944" s="0" t="s">
        <v>4160</v>
      </c>
      <c r="AA944" s="0" t="s">
        <v>4405</v>
      </c>
      <c r="AB944" s="0" t="s">
        <v>4399</v>
      </c>
      <c r="AC944" s="0" t="s">
        <v>4162</v>
      </c>
      <c r="AD944" s="0" t="s">
        <v>4163</v>
      </c>
      <c r="AE944" s="0" t="s">
        <v>4164</v>
      </c>
      <c r="AF944" s="0" t="s">
        <v>4363</v>
      </c>
      <c r="AH944" s="0" t="s">
        <v>2239</v>
      </c>
      <c r="AL944" s="0" t="s">
        <v>539</v>
      </c>
    </row>
    <row r="945" customFormat="false" ht="15" hidden="false" customHeight="false" outlineLevel="0" collapsed="false">
      <c r="A945" s="0" t="s">
        <v>1547</v>
      </c>
      <c r="B945" s="0" t="s">
        <v>222</v>
      </c>
      <c r="C945" s="0" t="s">
        <v>4357</v>
      </c>
      <c r="D945" s="0" t="n">
        <v>2017</v>
      </c>
      <c r="E945" s="0" t="s">
        <v>58</v>
      </c>
      <c r="F945" s="0" t="n">
        <v>-255750</v>
      </c>
      <c r="G945" s="0" t="s">
        <v>3101</v>
      </c>
      <c r="H945" s="0" t="s">
        <v>3068</v>
      </c>
      <c r="I945" s="0" t="n">
        <v>-255750</v>
      </c>
      <c r="J945" s="0" t="s">
        <v>4155</v>
      </c>
      <c r="K945" s="0" t="s">
        <v>2759</v>
      </c>
      <c r="L945" s="0" t="n">
        <v>2017</v>
      </c>
      <c r="M945" s="0" t="s">
        <v>2418</v>
      </c>
      <c r="N945" s="0" t="s">
        <v>227</v>
      </c>
      <c r="O945" s="0" t="s">
        <v>2419</v>
      </c>
      <c r="P945" s="0" t="s">
        <v>4394</v>
      </c>
      <c r="Q945" s="0" t="n">
        <v>33</v>
      </c>
      <c r="R945" s="0" t="n">
        <v>32</v>
      </c>
      <c r="T945" s="0" t="s">
        <v>4411</v>
      </c>
      <c r="U945" s="0" t="s">
        <v>4396</v>
      </c>
      <c r="V945" s="0" t="s">
        <v>228</v>
      </c>
      <c r="W945" s="0" t="s">
        <v>4412</v>
      </c>
      <c r="X945" s="0" t="s">
        <v>4413</v>
      </c>
      <c r="Y945" s="0" t="s">
        <v>4159</v>
      </c>
      <c r="Z945" s="0" t="s">
        <v>4160</v>
      </c>
      <c r="AB945" s="0" t="s">
        <v>4399</v>
      </c>
      <c r="AC945" s="0" t="s">
        <v>4162</v>
      </c>
      <c r="AD945" s="0" t="s">
        <v>4163</v>
      </c>
      <c r="AE945" s="0" t="s">
        <v>4164</v>
      </c>
      <c r="AF945" s="0" t="s">
        <v>4363</v>
      </c>
      <c r="AH945" s="0" t="s">
        <v>2239</v>
      </c>
      <c r="AL945" s="0" t="s">
        <v>523</v>
      </c>
    </row>
    <row r="946" customFormat="false" ht="15" hidden="false" customHeight="false" outlineLevel="0" collapsed="false">
      <c r="A946" s="0" t="s">
        <v>1549</v>
      </c>
      <c r="B946" s="0" t="s">
        <v>222</v>
      </c>
      <c r="C946" s="0" t="s">
        <v>4357</v>
      </c>
      <c r="D946" s="0" t="n">
        <v>2017</v>
      </c>
      <c r="E946" s="0" t="s">
        <v>60</v>
      </c>
      <c r="F946" s="0" t="n">
        <v>2117069</v>
      </c>
      <c r="G946" s="0" t="s">
        <v>3101</v>
      </c>
      <c r="H946" s="0" t="s">
        <v>3068</v>
      </c>
      <c r="I946" s="0" t="n">
        <v>2117069</v>
      </c>
      <c r="J946" s="0" t="s">
        <v>4155</v>
      </c>
      <c r="K946" s="0" t="s">
        <v>2759</v>
      </c>
      <c r="L946" s="0" t="n">
        <v>2017</v>
      </c>
      <c r="M946" s="0" t="s">
        <v>2418</v>
      </c>
      <c r="N946" s="0" t="s">
        <v>227</v>
      </c>
      <c r="O946" s="0" t="s">
        <v>2419</v>
      </c>
      <c r="P946" s="0" t="s">
        <v>4394</v>
      </c>
      <c r="Q946" s="0" t="n">
        <v>67</v>
      </c>
      <c r="R946" s="0" t="n">
        <v>66</v>
      </c>
      <c r="S946" s="0" t="s">
        <v>4378</v>
      </c>
      <c r="T946" s="0" t="s">
        <v>4414</v>
      </c>
      <c r="U946" s="0" t="s">
        <v>4396</v>
      </c>
      <c r="V946" s="0" t="s">
        <v>228</v>
      </c>
      <c r="W946" s="0" t="s">
        <v>4415</v>
      </c>
      <c r="X946" s="0" t="s">
        <v>4416</v>
      </c>
      <c r="Y946" s="0" t="s">
        <v>4159</v>
      </c>
      <c r="Z946" s="0" t="s">
        <v>4160</v>
      </c>
      <c r="AB946" s="0" t="s">
        <v>4399</v>
      </c>
      <c r="AC946" s="0" t="s">
        <v>4162</v>
      </c>
      <c r="AD946" s="0" t="s">
        <v>4163</v>
      </c>
      <c r="AE946" s="0" t="s">
        <v>4164</v>
      </c>
      <c r="AF946" s="0" t="s">
        <v>4363</v>
      </c>
      <c r="AH946" s="0" t="s">
        <v>2239</v>
      </c>
      <c r="AL946" s="0" t="s">
        <v>523</v>
      </c>
    </row>
    <row r="947" customFormat="false" ht="15" hidden="false" customHeight="false" outlineLevel="0" collapsed="false">
      <c r="A947" s="0" t="s">
        <v>1553</v>
      </c>
      <c r="B947" s="0" t="s">
        <v>222</v>
      </c>
      <c r="C947" s="0" t="s">
        <v>4357</v>
      </c>
      <c r="D947" s="0" t="n">
        <v>2017</v>
      </c>
      <c r="E947" s="0" t="s">
        <v>64</v>
      </c>
      <c r="F947" s="0" t="n">
        <v>91738</v>
      </c>
      <c r="G947" s="0" t="s">
        <v>3101</v>
      </c>
      <c r="H947" s="0" t="s">
        <v>3068</v>
      </c>
      <c r="I947" s="0" t="n">
        <v>91738</v>
      </c>
      <c r="J947" s="0" t="s">
        <v>4155</v>
      </c>
      <c r="K947" s="0" t="s">
        <v>2759</v>
      </c>
      <c r="L947" s="0" t="n">
        <v>2017</v>
      </c>
      <c r="M947" s="0" t="s">
        <v>2418</v>
      </c>
      <c r="N947" s="0" t="s">
        <v>227</v>
      </c>
      <c r="O947" s="0" t="s">
        <v>2419</v>
      </c>
      <c r="P947" s="0" t="s">
        <v>4394</v>
      </c>
      <c r="Q947" s="0" t="n">
        <v>67</v>
      </c>
      <c r="R947" s="0" t="n">
        <v>66</v>
      </c>
      <c r="S947" s="0" t="s">
        <v>4378</v>
      </c>
      <c r="T947" s="0" t="s">
        <v>4417</v>
      </c>
      <c r="U947" s="0" t="s">
        <v>4396</v>
      </c>
      <c r="V947" s="0" t="s">
        <v>228</v>
      </c>
      <c r="W947" s="0" t="s">
        <v>4415</v>
      </c>
      <c r="X947" s="0" t="s">
        <v>4416</v>
      </c>
      <c r="Y947" s="0" t="s">
        <v>4159</v>
      </c>
      <c r="Z947" s="0" t="s">
        <v>4160</v>
      </c>
      <c r="AB947" s="0" t="s">
        <v>4399</v>
      </c>
      <c r="AC947" s="0" t="s">
        <v>4162</v>
      </c>
      <c r="AD947" s="0" t="s">
        <v>4163</v>
      </c>
      <c r="AE947" s="0" t="s">
        <v>4164</v>
      </c>
      <c r="AF947" s="0" t="s">
        <v>4363</v>
      </c>
      <c r="AH947" s="0" t="s">
        <v>2239</v>
      </c>
      <c r="AL947" s="0" t="s">
        <v>523</v>
      </c>
    </row>
    <row r="948" customFormat="false" ht="15" hidden="false" customHeight="false" outlineLevel="0" collapsed="false">
      <c r="A948" s="0" t="s">
        <v>1559</v>
      </c>
      <c r="B948" s="0" t="s">
        <v>222</v>
      </c>
      <c r="C948" s="0" t="s">
        <v>4357</v>
      </c>
      <c r="D948" s="0" t="n">
        <v>2017</v>
      </c>
      <c r="E948" s="0" t="s">
        <v>545</v>
      </c>
      <c r="F948" s="0" t="n">
        <v>68162</v>
      </c>
      <c r="G948" s="0" t="s">
        <v>3101</v>
      </c>
      <c r="H948" s="0" t="s">
        <v>3068</v>
      </c>
      <c r="I948" s="0" t="n">
        <v>68162</v>
      </c>
      <c r="J948" s="0" t="s">
        <v>4155</v>
      </c>
      <c r="K948" s="0" t="s">
        <v>2759</v>
      </c>
      <c r="L948" s="0" t="n">
        <v>2017</v>
      </c>
      <c r="M948" s="0" t="s">
        <v>2418</v>
      </c>
      <c r="N948" s="0" t="s">
        <v>227</v>
      </c>
      <c r="O948" s="0" t="s">
        <v>2419</v>
      </c>
      <c r="P948" s="0" t="s">
        <v>4394</v>
      </c>
      <c r="Q948" s="0" t="n">
        <v>67</v>
      </c>
      <c r="R948" s="0" t="n">
        <v>66</v>
      </c>
      <c r="S948" s="0" t="s">
        <v>4378</v>
      </c>
      <c r="T948" s="0" t="s">
        <v>4385</v>
      </c>
      <c r="U948" s="0" t="s">
        <v>4396</v>
      </c>
      <c r="V948" s="0" t="s">
        <v>228</v>
      </c>
      <c r="W948" s="0" t="s">
        <v>4415</v>
      </c>
      <c r="X948" s="0" t="s">
        <v>4416</v>
      </c>
      <c r="Y948" s="0" t="s">
        <v>4159</v>
      </c>
      <c r="Z948" s="0" t="s">
        <v>4160</v>
      </c>
      <c r="AB948" s="0" t="s">
        <v>4399</v>
      </c>
      <c r="AC948" s="0" t="s">
        <v>4162</v>
      </c>
      <c r="AD948" s="0" t="s">
        <v>4163</v>
      </c>
      <c r="AE948" s="0" t="s">
        <v>4164</v>
      </c>
      <c r="AF948" s="0" t="s">
        <v>4363</v>
      </c>
      <c r="AH948" s="0" t="s">
        <v>2239</v>
      </c>
      <c r="AL948" s="0" t="s">
        <v>523</v>
      </c>
    </row>
    <row r="949" customFormat="false" ht="15" hidden="false" customHeight="false" outlineLevel="0" collapsed="false">
      <c r="A949" s="0" t="s">
        <v>1558</v>
      </c>
      <c r="B949" s="0" t="s">
        <v>222</v>
      </c>
      <c r="C949" s="0" t="s">
        <v>4357</v>
      </c>
      <c r="D949" s="0" t="n">
        <v>2017</v>
      </c>
      <c r="E949" s="0" t="s">
        <v>543</v>
      </c>
      <c r="F949" s="0" t="n">
        <v>68443</v>
      </c>
      <c r="G949" s="0" t="s">
        <v>3101</v>
      </c>
      <c r="H949" s="0" t="s">
        <v>3068</v>
      </c>
      <c r="I949" s="0" t="n">
        <v>68443</v>
      </c>
      <c r="J949" s="0" t="s">
        <v>4155</v>
      </c>
      <c r="K949" s="0" t="s">
        <v>2759</v>
      </c>
      <c r="L949" s="0" t="n">
        <v>2017</v>
      </c>
      <c r="M949" s="0" t="s">
        <v>2418</v>
      </c>
      <c r="N949" s="0" t="s">
        <v>227</v>
      </c>
      <c r="O949" s="0" t="s">
        <v>2419</v>
      </c>
      <c r="P949" s="0" t="s">
        <v>4394</v>
      </c>
      <c r="Q949" s="0" t="n">
        <v>67</v>
      </c>
      <c r="R949" s="0" t="n">
        <v>66</v>
      </c>
      <c r="S949" s="0" t="s">
        <v>4378</v>
      </c>
      <c r="T949" s="0" t="s">
        <v>4386</v>
      </c>
      <c r="U949" s="0" t="s">
        <v>4396</v>
      </c>
      <c r="V949" s="0" t="s">
        <v>228</v>
      </c>
      <c r="W949" s="0" t="s">
        <v>4415</v>
      </c>
      <c r="X949" s="0" t="s">
        <v>4416</v>
      </c>
      <c r="Y949" s="0" t="s">
        <v>4159</v>
      </c>
      <c r="Z949" s="0" t="s">
        <v>4160</v>
      </c>
      <c r="AB949" s="0" t="s">
        <v>4399</v>
      </c>
      <c r="AC949" s="0" t="s">
        <v>4162</v>
      </c>
      <c r="AD949" s="0" t="s">
        <v>4163</v>
      </c>
      <c r="AE949" s="0" t="s">
        <v>4164</v>
      </c>
      <c r="AF949" s="0" t="s">
        <v>4363</v>
      </c>
      <c r="AH949" s="0" t="s">
        <v>2239</v>
      </c>
      <c r="AL949" s="0" t="s">
        <v>523</v>
      </c>
    </row>
    <row r="950" customFormat="false" ht="15" hidden="false" customHeight="false" outlineLevel="0" collapsed="false">
      <c r="A950" s="0" t="s">
        <v>1551</v>
      </c>
      <c r="B950" s="0" t="s">
        <v>222</v>
      </c>
      <c r="C950" s="0" t="s">
        <v>4357</v>
      </c>
      <c r="D950" s="0" t="n">
        <v>2017</v>
      </c>
      <c r="E950" s="0" t="s">
        <v>62</v>
      </c>
      <c r="F950" s="0" t="n">
        <v>1980464</v>
      </c>
      <c r="G950" s="0" t="s">
        <v>3101</v>
      </c>
      <c r="H950" s="0" t="s">
        <v>3068</v>
      </c>
      <c r="I950" s="0" t="n">
        <v>1980464</v>
      </c>
      <c r="J950" s="0" t="s">
        <v>4155</v>
      </c>
      <c r="K950" s="0" t="s">
        <v>2759</v>
      </c>
      <c r="L950" s="0" t="n">
        <v>2017</v>
      </c>
      <c r="M950" s="0" t="s">
        <v>2418</v>
      </c>
      <c r="N950" s="0" t="s">
        <v>227</v>
      </c>
      <c r="O950" s="0" t="s">
        <v>2419</v>
      </c>
      <c r="P950" s="0" t="s">
        <v>4394</v>
      </c>
      <c r="Q950" s="0" t="n">
        <v>67</v>
      </c>
      <c r="R950" s="0" t="n">
        <v>66</v>
      </c>
      <c r="S950" s="0" t="s">
        <v>4378</v>
      </c>
      <c r="T950" s="0" t="s">
        <v>4387</v>
      </c>
      <c r="U950" s="0" t="s">
        <v>4396</v>
      </c>
      <c r="V950" s="0" t="s">
        <v>228</v>
      </c>
      <c r="W950" s="0" t="s">
        <v>4415</v>
      </c>
      <c r="X950" s="0" t="s">
        <v>4416</v>
      </c>
      <c r="Y950" s="0" t="s">
        <v>4159</v>
      </c>
      <c r="Z950" s="0" t="s">
        <v>4160</v>
      </c>
      <c r="AB950" s="0" t="s">
        <v>4399</v>
      </c>
      <c r="AC950" s="0" t="s">
        <v>4162</v>
      </c>
      <c r="AD950" s="0" t="s">
        <v>4163</v>
      </c>
      <c r="AE950" s="0" t="s">
        <v>4164</v>
      </c>
      <c r="AF950" s="0" t="s">
        <v>4363</v>
      </c>
      <c r="AH950" s="0" t="s">
        <v>2239</v>
      </c>
      <c r="AL950" s="0" t="s">
        <v>523</v>
      </c>
    </row>
    <row r="951" customFormat="false" ht="15" hidden="false" customHeight="false" outlineLevel="0" collapsed="false">
      <c r="A951" s="0" t="s">
        <v>1555</v>
      </c>
      <c r="B951" s="0" t="s">
        <v>222</v>
      </c>
      <c r="C951" s="0" t="s">
        <v>4357</v>
      </c>
      <c r="D951" s="0" t="n">
        <v>2017</v>
      </c>
      <c r="E951" s="0" t="s">
        <v>65</v>
      </c>
      <c r="F951" s="0" t="n">
        <v>652237</v>
      </c>
      <c r="G951" s="0" t="s">
        <v>3101</v>
      </c>
      <c r="H951" s="0" t="s">
        <v>3068</v>
      </c>
      <c r="I951" s="0" t="n">
        <v>652237</v>
      </c>
      <c r="J951" s="0" t="s">
        <v>4155</v>
      </c>
      <c r="K951" s="0" t="s">
        <v>2759</v>
      </c>
      <c r="L951" s="0" t="n">
        <v>2017</v>
      </c>
      <c r="M951" s="0" t="s">
        <v>2418</v>
      </c>
      <c r="N951" s="0" t="s">
        <v>227</v>
      </c>
      <c r="O951" s="0" t="s">
        <v>2419</v>
      </c>
      <c r="P951" s="0" t="s">
        <v>4394</v>
      </c>
      <c r="Q951" s="0" t="n">
        <v>98</v>
      </c>
      <c r="R951" s="0" t="n">
        <v>97</v>
      </c>
      <c r="T951" s="0" t="s">
        <v>4418</v>
      </c>
      <c r="U951" s="0" t="s">
        <v>4396</v>
      </c>
      <c r="V951" s="0" t="s">
        <v>228</v>
      </c>
      <c r="W951" s="0" t="s">
        <v>4419</v>
      </c>
      <c r="X951" s="0" t="s">
        <v>4420</v>
      </c>
      <c r="Y951" s="0" t="s">
        <v>4159</v>
      </c>
      <c r="Z951" s="0" t="s">
        <v>4160</v>
      </c>
      <c r="AB951" s="0" t="s">
        <v>4399</v>
      </c>
      <c r="AC951" s="0" t="s">
        <v>4162</v>
      </c>
      <c r="AD951" s="0" t="s">
        <v>4163</v>
      </c>
      <c r="AE951" s="0" t="s">
        <v>4164</v>
      </c>
      <c r="AF951" s="0" t="s">
        <v>4363</v>
      </c>
      <c r="AH951" s="0" t="s">
        <v>2239</v>
      </c>
      <c r="AL951" s="0" t="s">
        <v>523</v>
      </c>
    </row>
    <row r="952" customFormat="false" ht="15" hidden="false" customHeight="false" outlineLevel="0" collapsed="false">
      <c r="A952" s="0" t="s">
        <v>1556</v>
      </c>
      <c r="B952" s="0" t="s">
        <v>222</v>
      </c>
      <c r="C952" s="0" t="s">
        <v>4357</v>
      </c>
      <c r="D952" s="0" t="n">
        <v>2017</v>
      </c>
      <c r="E952" s="0" t="s">
        <v>66</v>
      </c>
      <c r="F952" s="0" t="n">
        <v>2670248</v>
      </c>
      <c r="G952" s="0" t="s">
        <v>3101</v>
      </c>
      <c r="H952" s="0" t="s">
        <v>3068</v>
      </c>
      <c r="I952" s="0" t="n">
        <v>2670248</v>
      </c>
      <c r="J952" s="0" t="s">
        <v>4155</v>
      </c>
      <c r="K952" s="0" t="s">
        <v>2759</v>
      </c>
      <c r="L952" s="0" t="n">
        <v>2017</v>
      </c>
      <c r="M952" s="0" t="s">
        <v>2418</v>
      </c>
      <c r="N952" s="0" t="s">
        <v>227</v>
      </c>
      <c r="O952" s="0" t="s">
        <v>2419</v>
      </c>
      <c r="P952" s="0" t="s">
        <v>4394</v>
      </c>
      <c r="Q952" s="0" t="n">
        <v>98</v>
      </c>
      <c r="R952" s="0" t="n">
        <v>97</v>
      </c>
      <c r="T952" s="0" t="s">
        <v>4418</v>
      </c>
      <c r="U952" s="0" t="s">
        <v>4396</v>
      </c>
      <c r="V952" s="0" t="s">
        <v>228</v>
      </c>
      <c r="W952" s="0" t="s">
        <v>4421</v>
      </c>
      <c r="X952" s="0" t="s">
        <v>4420</v>
      </c>
      <c r="Y952" s="0" t="s">
        <v>4159</v>
      </c>
      <c r="Z952" s="0" t="s">
        <v>4160</v>
      </c>
      <c r="AB952" s="0" t="s">
        <v>4399</v>
      </c>
      <c r="AC952" s="0" t="s">
        <v>4162</v>
      </c>
      <c r="AD952" s="0" t="s">
        <v>4163</v>
      </c>
      <c r="AE952" s="0" t="s">
        <v>4164</v>
      </c>
      <c r="AF952" s="0" t="s">
        <v>4363</v>
      </c>
      <c r="AH952" s="0" t="s">
        <v>2239</v>
      </c>
      <c r="AL952" s="0" t="s">
        <v>523</v>
      </c>
    </row>
    <row r="953" customFormat="false" ht="15" hidden="false" customHeight="false" outlineLevel="0" collapsed="false">
      <c r="A953" s="0" t="s">
        <v>1554</v>
      </c>
      <c r="B953" s="0" t="s">
        <v>222</v>
      </c>
      <c r="C953" s="0" t="s">
        <v>4357</v>
      </c>
      <c r="D953" s="0" t="n">
        <v>2017</v>
      </c>
      <c r="E953" s="0" t="s">
        <v>69</v>
      </c>
      <c r="F953" s="0" t="n">
        <v>24</v>
      </c>
      <c r="G953" s="0" t="s">
        <v>3143</v>
      </c>
      <c r="I953" s="0" t="n">
        <v>24</v>
      </c>
      <c r="J953" s="0" t="s">
        <v>4155</v>
      </c>
      <c r="K953" s="0" t="s">
        <v>2759</v>
      </c>
      <c r="L953" s="0" t="n">
        <v>2017</v>
      </c>
      <c r="M953" s="0" t="s">
        <v>2418</v>
      </c>
      <c r="N953" s="0" t="s">
        <v>227</v>
      </c>
      <c r="O953" s="0" t="s">
        <v>2419</v>
      </c>
      <c r="P953" s="0" t="s">
        <v>4394</v>
      </c>
      <c r="Q953" s="0" t="n">
        <v>98</v>
      </c>
      <c r="R953" s="0" t="n">
        <v>97</v>
      </c>
      <c r="T953" s="0" t="s">
        <v>4418</v>
      </c>
      <c r="U953" s="0" t="s">
        <v>4396</v>
      </c>
      <c r="V953" s="0" t="s">
        <v>228</v>
      </c>
      <c r="W953" s="0" t="s">
        <v>4422</v>
      </c>
      <c r="X953" s="0" t="s">
        <v>4420</v>
      </c>
      <c r="Y953" s="0" t="s">
        <v>4159</v>
      </c>
      <c r="Z953" s="0" t="s">
        <v>4160</v>
      </c>
      <c r="AA953" s="0" t="s">
        <v>4393</v>
      </c>
      <c r="AB953" s="0" t="s">
        <v>4399</v>
      </c>
      <c r="AC953" s="0" t="s">
        <v>4162</v>
      </c>
      <c r="AD953" s="0" t="s">
        <v>4163</v>
      </c>
      <c r="AE953" s="0" t="s">
        <v>4164</v>
      </c>
      <c r="AF953" s="0" t="s">
        <v>4363</v>
      </c>
      <c r="AH953" s="0" t="s">
        <v>2239</v>
      </c>
      <c r="AL953" s="0" t="s">
        <v>523</v>
      </c>
    </row>
    <row r="954" customFormat="false" ht="15" hidden="false" customHeight="false" outlineLevel="0" collapsed="false">
      <c r="A954" s="0" t="s">
        <v>1560</v>
      </c>
      <c r="B954" s="0" t="s">
        <v>222</v>
      </c>
      <c r="C954" s="0" t="s">
        <v>4357</v>
      </c>
      <c r="D954" s="0" t="n">
        <v>2018</v>
      </c>
      <c r="E954" s="0" t="s">
        <v>54</v>
      </c>
      <c r="F954" s="0" t="n">
        <v>165480</v>
      </c>
      <c r="G954" s="0" t="s">
        <v>3101</v>
      </c>
      <c r="H954" s="0" t="s">
        <v>3068</v>
      </c>
      <c r="I954" s="0" t="n">
        <v>165480</v>
      </c>
      <c r="J954" s="0" t="s">
        <v>4155</v>
      </c>
      <c r="K954" s="0" t="s">
        <v>2760</v>
      </c>
      <c r="L954" s="0" t="n">
        <v>2018</v>
      </c>
      <c r="M954" s="0" t="s">
        <v>2435</v>
      </c>
      <c r="N954" s="0" t="s">
        <v>229</v>
      </c>
      <c r="O954" s="0" t="s">
        <v>2436</v>
      </c>
      <c r="P954" s="0" t="s">
        <v>4423</v>
      </c>
      <c r="Q954" s="0" t="n">
        <v>77</v>
      </c>
      <c r="R954" s="0" t="n">
        <v>76</v>
      </c>
      <c r="T954" s="0" t="s">
        <v>4424</v>
      </c>
      <c r="U954" s="0" t="s">
        <v>4425</v>
      </c>
      <c r="V954" s="0" t="s">
        <v>230</v>
      </c>
      <c r="W954" s="0" t="s">
        <v>4426</v>
      </c>
      <c r="X954" s="0" t="s">
        <v>4427</v>
      </c>
      <c r="Y954" s="0" t="s">
        <v>4159</v>
      </c>
      <c r="Z954" s="0" t="s">
        <v>4160</v>
      </c>
      <c r="AB954" s="0" t="s">
        <v>4428</v>
      </c>
      <c r="AC954" s="0" t="s">
        <v>4162</v>
      </c>
      <c r="AD954" s="0" t="s">
        <v>4163</v>
      </c>
      <c r="AE954" s="0" t="s">
        <v>4164</v>
      </c>
      <c r="AF954" s="0" t="s">
        <v>4363</v>
      </c>
      <c r="AH954" s="0" t="s">
        <v>2239</v>
      </c>
      <c r="AL954" s="0" t="s">
        <v>523</v>
      </c>
    </row>
    <row r="955" customFormat="false" ht="15" hidden="false" customHeight="false" outlineLevel="0" collapsed="false">
      <c r="A955" s="0" t="s">
        <v>1576</v>
      </c>
      <c r="B955" s="0" t="s">
        <v>222</v>
      </c>
      <c r="C955" s="0" t="s">
        <v>4357</v>
      </c>
      <c r="D955" s="0" t="n">
        <v>2018</v>
      </c>
      <c r="E955" s="0" t="s">
        <v>541</v>
      </c>
      <c r="F955" s="0" t="n">
        <v>192107</v>
      </c>
      <c r="G955" s="0" t="s">
        <v>3101</v>
      </c>
      <c r="H955" s="0" t="s">
        <v>3068</v>
      </c>
      <c r="I955" s="0" t="n">
        <v>192107</v>
      </c>
      <c r="J955" s="0" t="s">
        <v>4155</v>
      </c>
      <c r="K955" s="0" t="s">
        <v>2760</v>
      </c>
      <c r="L955" s="0" t="n">
        <v>2018</v>
      </c>
      <c r="M955" s="0" t="s">
        <v>2435</v>
      </c>
      <c r="N955" s="0" t="s">
        <v>229</v>
      </c>
      <c r="O955" s="0" t="s">
        <v>2436</v>
      </c>
      <c r="P955" s="0" t="s">
        <v>4423</v>
      </c>
      <c r="Q955" s="0" t="n">
        <v>77</v>
      </c>
      <c r="R955" s="0" t="n">
        <v>76</v>
      </c>
      <c r="T955" s="0" t="s">
        <v>4424</v>
      </c>
      <c r="U955" s="0" t="s">
        <v>4425</v>
      </c>
      <c r="V955" s="0" t="s">
        <v>230</v>
      </c>
      <c r="W955" s="0" t="s">
        <v>4429</v>
      </c>
      <c r="X955" s="0" t="s">
        <v>4427</v>
      </c>
      <c r="Y955" s="0" t="s">
        <v>4159</v>
      </c>
      <c r="Z955" s="0" t="s">
        <v>4160</v>
      </c>
      <c r="AB955" s="0" t="s">
        <v>4428</v>
      </c>
      <c r="AC955" s="0" t="s">
        <v>4162</v>
      </c>
      <c r="AD955" s="0" t="s">
        <v>4163</v>
      </c>
      <c r="AE955" s="0" t="s">
        <v>4164</v>
      </c>
      <c r="AF955" s="0" t="s">
        <v>4363</v>
      </c>
      <c r="AH955" s="0" t="s">
        <v>2239</v>
      </c>
      <c r="AL955" s="0" t="s">
        <v>523</v>
      </c>
    </row>
    <row r="956" customFormat="false" ht="15" hidden="false" customHeight="false" outlineLevel="0" collapsed="false">
      <c r="A956" s="0" t="s">
        <v>1569</v>
      </c>
      <c r="B956" s="0" t="s">
        <v>222</v>
      </c>
      <c r="C956" s="0" t="s">
        <v>4357</v>
      </c>
      <c r="D956" s="0" t="n">
        <v>2018</v>
      </c>
      <c r="E956" s="0" t="s">
        <v>63</v>
      </c>
      <c r="F956" s="0" t="n">
        <v>-15313</v>
      </c>
      <c r="G956" s="0" t="s">
        <v>3101</v>
      </c>
      <c r="H956" s="0" t="s">
        <v>3068</v>
      </c>
      <c r="I956" s="0" t="n">
        <v>15313</v>
      </c>
      <c r="J956" s="0" t="s">
        <v>4155</v>
      </c>
      <c r="K956" s="0" t="s">
        <v>2760</v>
      </c>
      <c r="L956" s="0" t="n">
        <v>2018</v>
      </c>
      <c r="M956" s="0" t="s">
        <v>2435</v>
      </c>
      <c r="N956" s="0" t="s">
        <v>229</v>
      </c>
      <c r="O956" s="0" t="s">
        <v>2436</v>
      </c>
      <c r="P956" s="0" t="s">
        <v>4423</v>
      </c>
      <c r="Q956" s="0" t="n">
        <v>77</v>
      </c>
      <c r="R956" s="0" t="n">
        <v>76</v>
      </c>
      <c r="S956" s="0" t="n">
        <v>8</v>
      </c>
      <c r="T956" s="0" t="s">
        <v>4424</v>
      </c>
      <c r="U956" s="0" t="s">
        <v>4425</v>
      </c>
      <c r="V956" s="0" t="s">
        <v>230</v>
      </c>
      <c r="W956" s="0" t="s">
        <v>4430</v>
      </c>
      <c r="X956" s="0" t="s">
        <v>4427</v>
      </c>
      <c r="Y956" s="0" t="s">
        <v>4159</v>
      </c>
      <c r="Z956" s="0" t="s">
        <v>4160</v>
      </c>
      <c r="AA956" s="0" t="s">
        <v>4431</v>
      </c>
      <c r="AB956" s="0" t="s">
        <v>4428</v>
      </c>
      <c r="AC956" s="0" t="s">
        <v>4162</v>
      </c>
      <c r="AD956" s="0" t="s">
        <v>4163</v>
      </c>
      <c r="AE956" s="0" t="s">
        <v>4164</v>
      </c>
      <c r="AF956" s="0" t="s">
        <v>4363</v>
      </c>
      <c r="AH956" s="0" t="s">
        <v>4174</v>
      </c>
      <c r="AI956" s="0" t="s">
        <v>4175</v>
      </c>
      <c r="AL956" s="0" t="s">
        <v>523</v>
      </c>
    </row>
    <row r="957" customFormat="false" ht="15" hidden="false" customHeight="false" outlineLevel="0" collapsed="false">
      <c r="A957" s="0" t="s">
        <v>1561</v>
      </c>
      <c r="B957" s="0" t="s">
        <v>222</v>
      </c>
      <c r="C957" s="0" t="s">
        <v>4357</v>
      </c>
      <c r="D957" s="0" t="n">
        <v>2018</v>
      </c>
      <c r="E957" s="0" t="s">
        <v>55</v>
      </c>
      <c r="F957" s="0" t="n">
        <v>4955445</v>
      </c>
      <c r="G957" s="0" t="s">
        <v>3101</v>
      </c>
      <c r="H957" s="0" t="s">
        <v>3068</v>
      </c>
      <c r="I957" s="0" t="n">
        <v>4955445</v>
      </c>
      <c r="J957" s="0" t="s">
        <v>4155</v>
      </c>
      <c r="K957" s="0" t="s">
        <v>2760</v>
      </c>
      <c r="L957" s="0" t="n">
        <v>2018</v>
      </c>
      <c r="M957" s="0" t="s">
        <v>2435</v>
      </c>
      <c r="N957" s="0" t="s">
        <v>229</v>
      </c>
      <c r="O957" s="0" t="s">
        <v>2436</v>
      </c>
      <c r="P957" s="0" t="s">
        <v>4423</v>
      </c>
      <c r="Q957" s="0" t="n">
        <v>78</v>
      </c>
      <c r="R957" s="0" t="n">
        <v>77</v>
      </c>
      <c r="T957" s="0" t="s">
        <v>4424</v>
      </c>
      <c r="U957" s="0" t="s">
        <v>4425</v>
      </c>
      <c r="V957" s="0" t="s">
        <v>230</v>
      </c>
      <c r="W957" s="0" t="s">
        <v>4432</v>
      </c>
      <c r="X957" s="0" t="s">
        <v>4433</v>
      </c>
      <c r="Y957" s="0" t="s">
        <v>4159</v>
      </c>
      <c r="Z957" s="0" t="s">
        <v>4160</v>
      </c>
      <c r="AB957" s="0" t="s">
        <v>4428</v>
      </c>
      <c r="AC957" s="0" t="s">
        <v>4162</v>
      </c>
      <c r="AD957" s="0" t="s">
        <v>4163</v>
      </c>
      <c r="AE957" s="0" t="s">
        <v>4164</v>
      </c>
      <c r="AF957" s="0" t="s">
        <v>4363</v>
      </c>
      <c r="AH957" s="0" t="s">
        <v>2239</v>
      </c>
      <c r="AL957" s="0" t="s">
        <v>523</v>
      </c>
    </row>
    <row r="958" customFormat="false" ht="15" hidden="false" customHeight="false" outlineLevel="0" collapsed="false">
      <c r="A958" s="0" t="s">
        <v>1562</v>
      </c>
      <c r="B958" s="0" t="s">
        <v>222</v>
      </c>
      <c r="C958" s="0" t="s">
        <v>4357</v>
      </c>
      <c r="D958" s="0" t="n">
        <v>2018</v>
      </c>
      <c r="E958" s="0" t="s">
        <v>56</v>
      </c>
      <c r="F958" s="0" t="n">
        <v>4280413</v>
      </c>
      <c r="G958" s="0" t="s">
        <v>3101</v>
      </c>
      <c r="H958" s="0" t="s">
        <v>3068</v>
      </c>
      <c r="I958" s="0" t="n">
        <v>4280413</v>
      </c>
      <c r="J958" s="0" t="s">
        <v>4155</v>
      </c>
      <c r="K958" s="0" t="s">
        <v>2760</v>
      </c>
      <c r="L958" s="0" t="n">
        <v>2018</v>
      </c>
      <c r="M958" s="0" t="s">
        <v>2435</v>
      </c>
      <c r="N958" s="0" t="s">
        <v>229</v>
      </c>
      <c r="O958" s="0" t="s">
        <v>2436</v>
      </c>
      <c r="P958" s="0" t="s">
        <v>4423</v>
      </c>
      <c r="Q958" s="0" t="n">
        <v>78</v>
      </c>
      <c r="R958" s="0" t="n">
        <v>77</v>
      </c>
      <c r="T958" s="0" t="s">
        <v>4424</v>
      </c>
      <c r="U958" s="0" t="s">
        <v>4425</v>
      </c>
      <c r="V958" s="0" t="s">
        <v>230</v>
      </c>
      <c r="W958" s="0" t="s">
        <v>4434</v>
      </c>
      <c r="X958" s="0" t="s">
        <v>4433</v>
      </c>
      <c r="Y958" s="0" t="s">
        <v>4159</v>
      </c>
      <c r="Z958" s="0" t="s">
        <v>4160</v>
      </c>
      <c r="AA958" s="0" t="s">
        <v>4435</v>
      </c>
      <c r="AB958" s="0" t="s">
        <v>4428</v>
      </c>
      <c r="AC958" s="0" t="s">
        <v>4162</v>
      </c>
      <c r="AD958" s="0" t="s">
        <v>4163</v>
      </c>
      <c r="AE958" s="0" t="s">
        <v>4164</v>
      </c>
      <c r="AF958" s="0" t="s">
        <v>4363</v>
      </c>
      <c r="AH958" s="0" t="s">
        <v>2239</v>
      </c>
      <c r="AL958" s="0" t="s">
        <v>523</v>
      </c>
    </row>
    <row r="959" customFormat="false" ht="15" hidden="false" customHeight="false" outlineLevel="0" collapsed="false">
      <c r="A959" s="0" t="s">
        <v>1563</v>
      </c>
      <c r="B959" s="0" t="s">
        <v>222</v>
      </c>
      <c r="C959" s="0" t="s">
        <v>4357</v>
      </c>
      <c r="D959" s="0" t="n">
        <v>2018</v>
      </c>
      <c r="E959" s="0" t="s">
        <v>57</v>
      </c>
      <c r="F959" s="0" t="n">
        <v>675032</v>
      </c>
      <c r="G959" s="0" t="s">
        <v>3101</v>
      </c>
      <c r="H959" s="0" t="s">
        <v>3068</v>
      </c>
      <c r="I959" s="0" t="n">
        <v>675032</v>
      </c>
      <c r="J959" s="0" t="s">
        <v>4155</v>
      </c>
      <c r="K959" s="0" t="s">
        <v>2760</v>
      </c>
      <c r="L959" s="0" t="n">
        <v>2018</v>
      </c>
      <c r="M959" s="0" t="s">
        <v>2435</v>
      </c>
      <c r="N959" s="0" t="s">
        <v>229</v>
      </c>
      <c r="O959" s="0" t="s">
        <v>2436</v>
      </c>
      <c r="P959" s="0" t="s">
        <v>4423</v>
      </c>
      <c r="Q959" s="0" t="n">
        <v>78</v>
      </c>
      <c r="R959" s="0" t="n">
        <v>77</v>
      </c>
      <c r="T959" s="0" t="s">
        <v>4424</v>
      </c>
      <c r="U959" s="0" t="s">
        <v>4425</v>
      </c>
      <c r="V959" s="0" t="s">
        <v>230</v>
      </c>
      <c r="W959" s="0" t="s">
        <v>4436</v>
      </c>
      <c r="X959" s="0" t="s">
        <v>4433</v>
      </c>
      <c r="Y959" s="0" t="s">
        <v>4159</v>
      </c>
      <c r="Z959" s="0" t="s">
        <v>4160</v>
      </c>
      <c r="AB959" s="0" t="s">
        <v>4428</v>
      </c>
      <c r="AC959" s="0" t="s">
        <v>4162</v>
      </c>
      <c r="AD959" s="0" t="s">
        <v>4163</v>
      </c>
      <c r="AE959" s="0" t="s">
        <v>4164</v>
      </c>
      <c r="AF959" s="0" t="s">
        <v>4363</v>
      </c>
      <c r="AH959" s="0" t="s">
        <v>2239</v>
      </c>
      <c r="AL959" s="0" t="s">
        <v>523</v>
      </c>
    </row>
    <row r="960" customFormat="false" ht="15" hidden="false" customHeight="false" outlineLevel="0" collapsed="false">
      <c r="A960" s="0" t="s">
        <v>1565</v>
      </c>
      <c r="B960" s="0" t="s">
        <v>222</v>
      </c>
      <c r="C960" s="0" t="s">
        <v>4357</v>
      </c>
      <c r="D960" s="0" t="n">
        <v>2018</v>
      </c>
      <c r="E960" s="0" t="s">
        <v>59</v>
      </c>
      <c r="F960" s="0" t="n">
        <v>4833658</v>
      </c>
      <c r="G960" s="0" t="s">
        <v>3101</v>
      </c>
      <c r="H960" s="0" t="s">
        <v>3068</v>
      </c>
      <c r="I960" s="0" t="n">
        <v>4833658</v>
      </c>
      <c r="J960" s="0" t="s">
        <v>4155</v>
      </c>
      <c r="K960" s="0" t="s">
        <v>2760</v>
      </c>
      <c r="L960" s="0" t="n">
        <v>2018</v>
      </c>
      <c r="M960" s="0" t="s">
        <v>2435</v>
      </c>
      <c r="N960" s="0" t="s">
        <v>229</v>
      </c>
      <c r="O960" s="0" t="s">
        <v>2436</v>
      </c>
      <c r="P960" s="0" t="s">
        <v>4423</v>
      </c>
      <c r="Q960" s="0" t="n">
        <v>78</v>
      </c>
      <c r="R960" s="0" t="n">
        <v>77</v>
      </c>
      <c r="T960" s="0" t="s">
        <v>4402</v>
      </c>
      <c r="U960" s="0" t="s">
        <v>4425</v>
      </c>
      <c r="V960" s="0" t="s">
        <v>230</v>
      </c>
      <c r="W960" s="0" t="s">
        <v>4432</v>
      </c>
      <c r="X960" s="0" t="s">
        <v>4433</v>
      </c>
      <c r="Y960" s="0" t="s">
        <v>4159</v>
      </c>
      <c r="Z960" s="0" t="s">
        <v>4160</v>
      </c>
      <c r="AA960" s="0" t="s">
        <v>4437</v>
      </c>
      <c r="AB960" s="0" t="s">
        <v>4428</v>
      </c>
      <c r="AC960" s="0" t="s">
        <v>4162</v>
      </c>
      <c r="AD960" s="0" t="s">
        <v>4163</v>
      </c>
      <c r="AE960" s="0" t="s">
        <v>4164</v>
      </c>
      <c r="AF960" s="0" t="s">
        <v>4363</v>
      </c>
      <c r="AH960" s="0" t="s">
        <v>2239</v>
      </c>
      <c r="AL960" s="0" t="s">
        <v>523</v>
      </c>
    </row>
    <row r="961" customFormat="false" ht="15" hidden="false" customHeight="false" outlineLevel="0" collapsed="false">
      <c r="A961" s="0" t="s">
        <v>1564</v>
      </c>
      <c r="B961" s="0" t="s">
        <v>222</v>
      </c>
      <c r="C961" s="0" t="s">
        <v>4357</v>
      </c>
      <c r="D961" s="0" t="n">
        <v>2018</v>
      </c>
      <c r="E961" s="0" t="s">
        <v>58</v>
      </c>
      <c r="F961" s="0" t="n">
        <v>184314</v>
      </c>
      <c r="G961" s="0" t="s">
        <v>3101</v>
      </c>
      <c r="H961" s="0" t="s">
        <v>3068</v>
      </c>
      <c r="I961" s="0" t="n">
        <v>184314</v>
      </c>
      <c r="J961" s="0" t="s">
        <v>4155</v>
      </c>
      <c r="K961" s="0" t="s">
        <v>2760</v>
      </c>
      <c r="L961" s="0" t="n">
        <v>2018</v>
      </c>
      <c r="M961" s="0" t="s">
        <v>2435</v>
      </c>
      <c r="N961" s="0" t="s">
        <v>229</v>
      </c>
      <c r="O961" s="0" t="s">
        <v>2436</v>
      </c>
      <c r="P961" s="0" t="s">
        <v>4423</v>
      </c>
      <c r="Q961" s="0" t="n">
        <v>82</v>
      </c>
      <c r="R961" s="0" t="n">
        <v>81</v>
      </c>
      <c r="T961" s="0" t="s">
        <v>4438</v>
      </c>
      <c r="U961" s="0" t="s">
        <v>4425</v>
      </c>
      <c r="V961" s="0" t="s">
        <v>230</v>
      </c>
      <c r="W961" s="0" t="s">
        <v>4439</v>
      </c>
      <c r="X961" s="0" t="s">
        <v>4440</v>
      </c>
      <c r="Y961" s="0" t="s">
        <v>4159</v>
      </c>
      <c r="Z961" s="0" t="s">
        <v>4160</v>
      </c>
      <c r="AB961" s="0" t="s">
        <v>4428</v>
      </c>
      <c r="AC961" s="0" t="s">
        <v>4162</v>
      </c>
      <c r="AD961" s="0" t="s">
        <v>4163</v>
      </c>
      <c r="AE961" s="0" t="s">
        <v>4164</v>
      </c>
      <c r="AF961" s="0" t="s">
        <v>4363</v>
      </c>
      <c r="AH961" s="0" t="s">
        <v>2239</v>
      </c>
      <c r="AL961" s="0" t="s">
        <v>523</v>
      </c>
    </row>
    <row r="962" customFormat="false" ht="15" hidden="false" customHeight="false" outlineLevel="0" collapsed="false">
      <c r="A962" s="0" t="s">
        <v>1566</v>
      </c>
      <c r="B962" s="0" t="s">
        <v>222</v>
      </c>
      <c r="C962" s="0" t="s">
        <v>4357</v>
      </c>
      <c r="D962" s="0" t="n">
        <v>2018</v>
      </c>
      <c r="E962" s="0" t="s">
        <v>60</v>
      </c>
      <c r="F962" s="0" t="n">
        <v>1921064</v>
      </c>
      <c r="G962" s="0" t="s">
        <v>3101</v>
      </c>
      <c r="H962" s="0" t="s">
        <v>3068</v>
      </c>
      <c r="I962" s="0" t="n">
        <v>1921064</v>
      </c>
      <c r="J962" s="0" t="s">
        <v>4155</v>
      </c>
      <c r="K962" s="0" t="s">
        <v>2760</v>
      </c>
      <c r="L962" s="0" t="n">
        <v>2018</v>
      </c>
      <c r="M962" s="0" t="s">
        <v>2435</v>
      </c>
      <c r="N962" s="0" t="s">
        <v>229</v>
      </c>
      <c r="O962" s="0" t="s">
        <v>2436</v>
      </c>
      <c r="P962" s="0" t="s">
        <v>4423</v>
      </c>
      <c r="Q962" s="0" t="n">
        <v>120</v>
      </c>
      <c r="R962" s="0" t="n">
        <v>119</v>
      </c>
      <c r="S962" s="0" t="s">
        <v>4378</v>
      </c>
      <c r="T962" s="0" t="s">
        <v>4441</v>
      </c>
      <c r="U962" s="0" t="s">
        <v>4425</v>
      </c>
      <c r="V962" s="0" t="s">
        <v>230</v>
      </c>
      <c r="W962" s="0" t="s">
        <v>4442</v>
      </c>
      <c r="X962" s="0" t="s">
        <v>4443</v>
      </c>
      <c r="Y962" s="0" t="s">
        <v>4159</v>
      </c>
      <c r="Z962" s="0" t="s">
        <v>4160</v>
      </c>
      <c r="AB962" s="0" t="s">
        <v>4428</v>
      </c>
      <c r="AC962" s="0" t="s">
        <v>4162</v>
      </c>
      <c r="AD962" s="0" t="s">
        <v>4163</v>
      </c>
      <c r="AE962" s="0" t="s">
        <v>4164</v>
      </c>
      <c r="AF962" s="0" t="s">
        <v>4363</v>
      </c>
      <c r="AH962" s="0" t="s">
        <v>2239</v>
      </c>
      <c r="AL962" s="0" t="s">
        <v>523</v>
      </c>
    </row>
    <row r="963" customFormat="false" ht="15" hidden="false" customHeight="false" outlineLevel="0" collapsed="false">
      <c r="A963" s="0" t="s">
        <v>1570</v>
      </c>
      <c r="B963" s="0" t="s">
        <v>222</v>
      </c>
      <c r="C963" s="0" t="s">
        <v>4357</v>
      </c>
      <c r="D963" s="0" t="n">
        <v>2018</v>
      </c>
      <c r="E963" s="0" t="s">
        <v>64</v>
      </c>
      <c r="F963" s="0" t="n">
        <v>92630</v>
      </c>
      <c r="G963" s="0" t="s">
        <v>3101</v>
      </c>
      <c r="H963" s="0" t="s">
        <v>3068</v>
      </c>
      <c r="I963" s="0" t="n">
        <v>92630</v>
      </c>
      <c r="J963" s="0" t="s">
        <v>4155</v>
      </c>
      <c r="K963" s="0" t="s">
        <v>2760</v>
      </c>
      <c r="L963" s="0" t="n">
        <v>2018</v>
      </c>
      <c r="M963" s="0" t="s">
        <v>2435</v>
      </c>
      <c r="N963" s="0" t="s">
        <v>229</v>
      </c>
      <c r="O963" s="0" t="s">
        <v>2436</v>
      </c>
      <c r="P963" s="0" t="s">
        <v>4423</v>
      </c>
      <c r="Q963" s="0" t="n">
        <v>120</v>
      </c>
      <c r="R963" s="0" t="n">
        <v>119</v>
      </c>
      <c r="S963" s="0" t="s">
        <v>4378</v>
      </c>
      <c r="T963" s="0" t="s">
        <v>4444</v>
      </c>
      <c r="U963" s="0" t="s">
        <v>4425</v>
      </c>
      <c r="V963" s="0" t="s">
        <v>230</v>
      </c>
      <c r="W963" s="0" t="s">
        <v>4442</v>
      </c>
      <c r="X963" s="0" t="s">
        <v>4443</v>
      </c>
      <c r="Y963" s="0" t="s">
        <v>4159</v>
      </c>
      <c r="Z963" s="0" t="s">
        <v>4160</v>
      </c>
      <c r="AB963" s="0" t="s">
        <v>4428</v>
      </c>
      <c r="AC963" s="0" t="s">
        <v>4162</v>
      </c>
      <c r="AD963" s="0" t="s">
        <v>4163</v>
      </c>
      <c r="AE963" s="0" t="s">
        <v>4164</v>
      </c>
      <c r="AF963" s="0" t="s">
        <v>4363</v>
      </c>
      <c r="AH963" s="0" t="s">
        <v>2239</v>
      </c>
      <c r="AL963" s="0" t="s">
        <v>523</v>
      </c>
    </row>
    <row r="964" customFormat="false" ht="15" hidden="false" customHeight="false" outlineLevel="0" collapsed="false">
      <c r="A964" s="0" t="s">
        <v>1567</v>
      </c>
      <c r="B964" s="0" t="s">
        <v>222</v>
      </c>
      <c r="C964" s="0" t="s">
        <v>4357</v>
      </c>
      <c r="D964" s="0" t="n">
        <v>2018</v>
      </c>
      <c r="E964" s="0" t="s">
        <v>61</v>
      </c>
      <c r="F964" s="0" t="n">
        <v>184998</v>
      </c>
      <c r="G964" s="0" t="s">
        <v>3101</v>
      </c>
      <c r="H964" s="0" t="s">
        <v>3068</v>
      </c>
      <c r="I964" s="0" t="n">
        <v>184998</v>
      </c>
      <c r="J964" s="0" t="s">
        <v>4155</v>
      </c>
      <c r="K964" s="0" t="s">
        <v>2760</v>
      </c>
      <c r="L964" s="0" t="n">
        <v>2018</v>
      </c>
      <c r="M964" s="0" t="s">
        <v>2435</v>
      </c>
      <c r="N964" s="0" t="s">
        <v>229</v>
      </c>
      <c r="O964" s="0" t="s">
        <v>2436</v>
      </c>
      <c r="P964" s="0" t="s">
        <v>4423</v>
      </c>
      <c r="Q964" s="0" t="n">
        <v>120</v>
      </c>
      <c r="R964" s="0" t="n">
        <v>119</v>
      </c>
      <c r="S964" s="0" t="s">
        <v>4378</v>
      </c>
      <c r="T964" s="0" t="s">
        <v>4445</v>
      </c>
      <c r="U964" s="0" t="s">
        <v>4425</v>
      </c>
      <c r="V964" s="0" t="s">
        <v>230</v>
      </c>
      <c r="W964" s="0" t="s">
        <v>4442</v>
      </c>
      <c r="X964" s="0" t="s">
        <v>4443</v>
      </c>
      <c r="Y964" s="0" t="s">
        <v>4159</v>
      </c>
      <c r="Z964" s="0" t="s">
        <v>4160</v>
      </c>
      <c r="AA964" s="0" t="s">
        <v>4446</v>
      </c>
      <c r="AB964" s="0" t="s">
        <v>4428</v>
      </c>
      <c r="AC964" s="0" t="s">
        <v>4162</v>
      </c>
      <c r="AD964" s="0" t="s">
        <v>4163</v>
      </c>
      <c r="AE964" s="0" t="s">
        <v>4164</v>
      </c>
      <c r="AF964" s="0" t="s">
        <v>4363</v>
      </c>
      <c r="AH964" s="0" t="s">
        <v>2239</v>
      </c>
      <c r="AL964" s="0" t="s">
        <v>523</v>
      </c>
    </row>
    <row r="965" customFormat="false" ht="15" hidden="false" customHeight="false" outlineLevel="0" collapsed="false">
      <c r="A965" s="0" t="s">
        <v>1568</v>
      </c>
      <c r="B965" s="0" t="s">
        <v>222</v>
      </c>
      <c r="C965" s="0" t="s">
        <v>4357</v>
      </c>
      <c r="D965" s="0" t="n">
        <v>2018</v>
      </c>
      <c r="E965" s="0" t="s">
        <v>62</v>
      </c>
      <c r="F965" s="0" t="n">
        <v>1736066</v>
      </c>
      <c r="G965" s="0" t="s">
        <v>3101</v>
      </c>
      <c r="H965" s="0" t="s">
        <v>3068</v>
      </c>
      <c r="I965" s="0" t="n">
        <v>1736066</v>
      </c>
      <c r="J965" s="0" t="s">
        <v>4155</v>
      </c>
      <c r="K965" s="0" t="s">
        <v>2760</v>
      </c>
      <c r="L965" s="0" t="n">
        <v>2018</v>
      </c>
      <c r="M965" s="0" t="s">
        <v>2435</v>
      </c>
      <c r="N965" s="0" t="s">
        <v>229</v>
      </c>
      <c r="O965" s="0" t="s">
        <v>2436</v>
      </c>
      <c r="P965" s="0" t="s">
        <v>4423</v>
      </c>
      <c r="Q965" s="0" t="n">
        <v>120</v>
      </c>
      <c r="R965" s="0" t="n">
        <v>119</v>
      </c>
      <c r="S965" s="0" t="s">
        <v>4378</v>
      </c>
      <c r="T965" s="0" t="s">
        <v>4447</v>
      </c>
      <c r="U965" s="0" t="s">
        <v>4425</v>
      </c>
      <c r="V965" s="0" t="s">
        <v>230</v>
      </c>
      <c r="W965" s="0" t="s">
        <v>4442</v>
      </c>
      <c r="X965" s="0" t="s">
        <v>4443</v>
      </c>
      <c r="Y965" s="0" t="s">
        <v>4159</v>
      </c>
      <c r="Z965" s="0" t="s">
        <v>4160</v>
      </c>
      <c r="AB965" s="0" t="s">
        <v>4428</v>
      </c>
      <c r="AC965" s="0" t="s">
        <v>4162</v>
      </c>
      <c r="AD965" s="0" t="s">
        <v>4163</v>
      </c>
      <c r="AE965" s="0" t="s">
        <v>4164</v>
      </c>
      <c r="AF965" s="0" t="s">
        <v>4363</v>
      </c>
      <c r="AH965" s="0" t="s">
        <v>2239</v>
      </c>
      <c r="AL965" s="0" t="s">
        <v>523</v>
      </c>
    </row>
    <row r="966" customFormat="false" ht="15" hidden="false" customHeight="false" outlineLevel="0" collapsed="false">
      <c r="A966" s="0" t="s">
        <v>1573</v>
      </c>
      <c r="B966" s="0" t="s">
        <v>222</v>
      </c>
      <c r="C966" s="0" t="s">
        <v>4357</v>
      </c>
      <c r="D966" s="0" t="n">
        <v>2018</v>
      </c>
      <c r="E966" s="0" t="s">
        <v>65</v>
      </c>
      <c r="F966" s="0" t="n">
        <v>641524</v>
      </c>
      <c r="G966" s="0" t="s">
        <v>3101</v>
      </c>
      <c r="H966" s="0" t="s">
        <v>3068</v>
      </c>
      <c r="I966" s="0" t="n">
        <v>641524</v>
      </c>
      <c r="J966" s="0" t="s">
        <v>4155</v>
      </c>
      <c r="K966" s="0" t="s">
        <v>2760</v>
      </c>
      <c r="L966" s="0" t="n">
        <v>2018</v>
      </c>
      <c r="M966" s="0" t="s">
        <v>2435</v>
      </c>
      <c r="N966" s="0" t="s">
        <v>229</v>
      </c>
      <c r="O966" s="0" t="s">
        <v>2436</v>
      </c>
      <c r="P966" s="0" t="s">
        <v>4423</v>
      </c>
      <c r="Q966" s="0" t="n">
        <v>165</v>
      </c>
      <c r="R966" s="0" t="n">
        <v>164</v>
      </c>
      <c r="T966" s="0" t="s">
        <v>4448</v>
      </c>
      <c r="U966" s="0" t="s">
        <v>4425</v>
      </c>
      <c r="V966" s="0" t="s">
        <v>230</v>
      </c>
      <c r="W966" s="0" t="s">
        <v>4449</v>
      </c>
      <c r="X966" s="0" t="s">
        <v>4450</v>
      </c>
      <c r="Y966" s="0" t="s">
        <v>4159</v>
      </c>
      <c r="Z966" s="0" t="s">
        <v>4160</v>
      </c>
      <c r="AA966" s="0" t="s">
        <v>4451</v>
      </c>
      <c r="AB966" s="0" t="s">
        <v>4428</v>
      </c>
      <c r="AC966" s="0" t="s">
        <v>4162</v>
      </c>
      <c r="AD966" s="0" t="s">
        <v>4163</v>
      </c>
      <c r="AE966" s="0" t="s">
        <v>4164</v>
      </c>
      <c r="AF966" s="0" t="s">
        <v>4363</v>
      </c>
      <c r="AH966" s="0" t="s">
        <v>2239</v>
      </c>
      <c r="AL966" s="0" t="s">
        <v>523</v>
      </c>
    </row>
    <row r="967" customFormat="false" ht="15" hidden="false" customHeight="false" outlineLevel="0" collapsed="false">
      <c r="A967" s="0" t="s">
        <v>1575</v>
      </c>
      <c r="B967" s="0" t="s">
        <v>222</v>
      </c>
      <c r="C967" s="0" t="s">
        <v>4357</v>
      </c>
      <c r="D967" s="0" t="n">
        <v>2018</v>
      </c>
      <c r="E967" s="0" t="s">
        <v>619</v>
      </c>
      <c r="F967" s="0" t="n">
        <v>703653</v>
      </c>
      <c r="G967" s="0" t="s">
        <v>3101</v>
      </c>
      <c r="H967" s="0" t="s">
        <v>3068</v>
      </c>
      <c r="I967" s="0" t="n">
        <v>703653</v>
      </c>
      <c r="J967" s="0" t="s">
        <v>4155</v>
      </c>
      <c r="K967" s="0" t="s">
        <v>2760</v>
      </c>
      <c r="L967" s="0" t="n">
        <v>2018</v>
      </c>
      <c r="M967" s="0" t="s">
        <v>2435</v>
      </c>
      <c r="N967" s="0" t="s">
        <v>229</v>
      </c>
      <c r="O967" s="0" t="s">
        <v>2436</v>
      </c>
      <c r="P967" s="0" t="s">
        <v>4423</v>
      </c>
      <c r="Q967" s="0" t="n">
        <v>165</v>
      </c>
      <c r="R967" s="0" t="n">
        <v>164</v>
      </c>
      <c r="T967" s="0" t="s">
        <v>4452</v>
      </c>
      <c r="U967" s="0" t="s">
        <v>4425</v>
      </c>
      <c r="V967" s="0" t="s">
        <v>230</v>
      </c>
      <c r="W967" s="0" t="s">
        <v>4449</v>
      </c>
      <c r="X967" s="0" t="s">
        <v>4450</v>
      </c>
      <c r="Y967" s="0" t="s">
        <v>4159</v>
      </c>
      <c r="Z967" s="0" t="s">
        <v>4160</v>
      </c>
      <c r="AB967" s="0" t="s">
        <v>4428</v>
      </c>
      <c r="AC967" s="0" t="s">
        <v>4162</v>
      </c>
      <c r="AD967" s="0" t="s">
        <v>4163</v>
      </c>
      <c r="AE967" s="0" t="s">
        <v>4164</v>
      </c>
      <c r="AF967" s="0" t="s">
        <v>4363</v>
      </c>
      <c r="AH967" s="0" t="s">
        <v>2239</v>
      </c>
      <c r="AL967" s="0" t="s">
        <v>523</v>
      </c>
    </row>
    <row r="968" customFormat="false" ht="15" hidden="false" customHeight="false" outlineLevel="0" collapsed="false">
      <c r="A968" s="0" t="s">
        <v>1574</v>
      </c>
      <c r="B968" s="0" t="s">
        <v>222</v>
      </c>
      <c r="C968" s="0" t="s">
        <v>4357</v>
      </c>
      <c r="D968" s="0" t="n">
        <v>2018</v>
      </c>
      <c r="E968" s="0" t="s">
        <v>66</v>
      </c>
      <c r="F968" s="0" t="n">
        <v>2690329</v>
      </c>
      <c r="G968" s="0" t="s">
        <v>3101</v>
      </c>
      <c r="H968" s="0" t="s">
        <v>3068</v>
      </c>
      <c r="I968" s="0" t="n">
        <v>2690329</v>
      </c>
      <c r="J968" s="0" t="s">
        <v>4155</v>
      </c>
      <c r="K968" s="0" t="s">
        <v>2760</v>
      </c>
      <c r="L968" s="0" t="n">
        <v>2018</v>
      </c>
      <c r="M968" s="0" t="s">
        <v>2435</v>
      </c>
      <c r="N968" s="0" t="s">
        <v>229</v>
      </c>
      <c r="O968" s="0" t="s">
        <v>2436</v>
      </c>
      <c r="P968" s="0" t="s">
        <v>4423</v>
      </c>
      <c r="Q968" s="0" t="n">
        <v>165</v>
      </c>
      <c r="R968" s="0" t="n">
        <v>164</v>
      </c>
      <c r="T968" s="0" t="s">
        <v>4453</v>
      </c>
      <c r="U968" s="0" t="s">
        <v>4425</v>
      </c>
      <c r="V968" s="0" t="s">
        <v>230</v>
      </c>
      <c r="W968" s="0" t="s">
        <v>4454</v>
      </c>
      <c r="X968" s="0" t="s">
        <v>4450</v>
      </c>
      <c r="Y968" s="0" t="s">
        <v>4159</v>
      </c>
      <c r="Z968" s="0" t="s">
        <v>4160</v>
      </c>
      <c r="AB968" s="0" t="s">
        <v>4428</v>
      </c>
      <c r="AC968" s="0" t="s">
        <v>4162</v>
      </c>
      <c r="AD968" s="0" t="s">
        <v>4163</v>
      </c>
      <c r="AE968" s="0" t="s">
        <v>4164</v>
      </c>
      <c r="AF968" s="0" t="s">
        <v>4363</v>
      </c>
      <c r="AH968" s="0" t="s">
        <v>2239</v>
      </c>
      <c r="AL968" s="0" t="s">
        <v>523</v>
      </c>
    </row>
    <row r="969" customFormat="false" ht="15" hidden="false" customHeight="false" outlineLevel="0" collapsed="false">
      <c r="A969" s="0" t="s">
        <v>1571</v>
      </c>
      <c r="B969" s="0" t="s">
        <v>222</v>
      </c>
      <c r="C969" s="0" t="s">
        <v>4357</v>
      </c>
      <c r="D969" s="0" t="n">
        <v>2018</v>
      </c>
      <c r="E969" s="0" t="s">
        <v>69</v>
      </c>
      <c r="F969" s="0" t="s">
        <v>4455</v>
      </c>
      <c r="G969" s="0" t="s">
        <v>3143</v>
      </c>
      <c r="I969" s="0" t="n">
        <v>24</v>
      </c>
      <c r="J969" s="0" t="s">
        <v>4155</v>
      </c>
      <c r="K969" s="0" t="s">
        <v>2760</v>
      </c>
      <c r="L969" s="0" t="n">
        <v>2018</v>
      </c>
      <c r="M969" s="0" t="s">
        <v>2435</v>
      </c>
      <c r="N969" s="0" t="s">
        <v>229</v>
      </c>
      <c r="O969" s="0" t="s">
        <v>2436</v>
      </c>
      <c r="P969" s="0" t="s">
        <v>4423</v>
      </c>
      <c r="Q969" s="0" t="n">
        <v>165</v>
      </c>
      <c r="R969" s="0" t="n">
        <v>164</v>
      </c>
      <c r="T969" s="0" t="s">
        <v>4448</v>
      </c>
      <c r="U969" s="0" t="s">
        <v>4425</v>
      </c>
      <c r="V969" s="0" t="s">
        <v>230</v>
      </c>
      <c r="W969" s="0" t="s">
        <v>4456</v>
      </c>
      <c r="X969" s="0" t="s">
        <v>4450</v>
      </c>
      <c r="Y969" s="0" t="s">
        <v>4159</v>
      </c>
      <c r="Z969" s="0" t="s">
        <v>4160</v>
      </c>
      <c r="AA969" s="0" t="s">
        <v>4393</v>
      </c>
      <c r="AB969" s="0" t="s">
        <v>4428</v>
      </c>
      <c r="AC969" s="0" t="s">
        <v>4162</v>
      </c>
      <c r="AD969" s="0" t="s">
        <v>4163</v>
      </c>
      <c r="AE969" s="0" t="s">
        <v>4164</v>
      </c>
      <c r="AF969" s="0" t="s">
        <v>4363</v>
      </c>
      <c r="AH969" s="0" t="s">
        <v>2239</v>
      </c>
      <c r="AL969" s="0" t="s">
        <v>523</v>
      </c>
    </row>
    <row r="970" customFormat="false" ht="15" hidden="false" customHeight="false" outlineLevel="0" collapsed="false">
      <c r="A970" s="0" t="s">
        <v>1572</v>
      </c>
      <c r="B970" s="0" t="s">
        <v>222</v>
      </c>
      <c r="C970" s="0" t="s">
        <v>4357</v>
      </c>
      <c r="D970" s="0" t="n">
        <v>2018</v>
      </c>
      <c r="E970" s="0" t="s">
        <v>614</v>
      </c>
      <c r="F970" s="0" t="s">
        <v>4457</v>
      </c>
      <c r="G970" s="0" t="s">
        <v>3143</v>
      </c>
      <c r="I970" s="0" t="n">
        <v>26</v>
      </c>
      <c r="J970" s="0" t="s">
        <v>4155</v>
      </c>
      <c r="K970" s="0" t="s">
        <v>2760</v>
      </c>
      <c r="L970" s="0" t="n">
        <v>2018</v>
      </c>
      <c r="M970" s="0" t="s">
        <v>2435</v>
      </c>
      <c r="N970" s="0" t="s">
        <v>229</v>
      </c>
      <c r="O970" s="0" t="s">
        <v>2436</v>
      </c>
      <c r="P970" s="0" t="s">
        <v>4423</v>
      </c>
      <c r="Q970" s="0" t="n">
        <v>165</v>
      </c>
      <c r="R970" s="0" t="n">
        <v>164</v>
      </c>
      <c r="T970" s="0" t="s">
        <v>4458</v>
      </c>
      <c r="U970" s="0" t="s">
        <v>4425</v>
      </c>
      <c r="V970" s="0" t="s">
        <v>230</v>
      </c>
      <c r="W970" s="0" t="s">
        <v>4456</v>
      </c>
      <c r="X970" s="0" t="s">
        <v>4450</v>
      </c>
      <c r="Y970" s="0" t="s">
        <v>4159</v>
      </c>
      <c r="Z970" s="0" t="s">
        <v>4160</v>
      </c>
      <c r="AA970" s="0" t="s">
        <v>4393</v>
      </c>
      <c r="AB970" s="0" t="s">
        <v>4428</v>
      </c>
      <c r="AC970" s="0" t="s">
        <v>4162</v>
      </c>
      <c r="AD970" s="0" t="s">
        <v>4163</v>
      </c>
      <c r="AE970" s="0" t="s">
        <v>4164</v>
      </c>
      <c r="AF970" s="0" t="s">
        <v>4363</v>
      </c>
      <c r="AH970" s="0" t="s">
        <v>2239</v>
      </c>
      <c r="AL970" s="0" t="s">
        <v>523</v>
      </c>
    </row>
    <row r="971" customFormat="false" ht="15" hidden="false" customHeight="false" outlineLevel="0" collapsed="false">
      <c r="A971" s="0" t="s">
        <v>1577</v>
      </c>
      <c r="B971" s="0" t="s">
        <v>222</v>
      </c>
      <c r="C971" s="0" t="s">
        <v>4357</v>
      </c>
      <c r="D971" s="0" t="n">
        <v>2019</v>
      </c>
      <c r="E971" s="0" t="s">
        <v>54</v>
      </c>
      <c r="F971" s="0" t="n">
        <v>178003</v>
      </c>
      <c r="G971" s="0" t="s">
        <v>3101</v>
      </c>
      <c r="H971" s="0" t="s">
        <v>3068</v>
      </c>
      <c r="I971" s="0" t="n">
        <v>178003</v>
      </c>
      <c r="J971" s="0" t="s">
        <v>4155</v>
      </c>
      <c r="K971" s="0" t="s">
        <v>1923</v>
      </c>
      <c r="L971" s="0" t="n">
        <v>2019</v>
      </c>
      <c r="M971" s="0" t="s">
        <v>1924</v>
      </c>
      <c r="N971" s="0" t="s">
        <v>231</v>
      </c>
      <c r="O971" s="0" t="s">
        <v>2449</v>
      </c>
      <c r="P971" s="0" t="s">
        <v>4459</v>
      </c>
      <c r="Q971" s="0" t="n">
        <v>81</v>
      </c>
      <c r="R971" s="0" t="n">
        <v>78</v>
      </c>
      <c r="T971" s="0" t="s">
        <v>4460</v>
      </c>
      <c r="U971" s="0" t="s">
        <v>4461</v>
      </c>
      <c r="V971" s="0" t="s">
        <v>232</v>
      </c>
      <c r="W971" s="0" t="s">
        <v>4462</v>
      </c>
      <c r="X971" s="0" t="s">
        <v>4463</v>
      </c>
      <c r="Y971" s="0" t="s">
        <v>4159</v>
      </c>
      <c r="Z971" s="0" t="s">
        <v>4160</v>
      </c>
      <c r="AB971" s="0" t="s">
        <v>4464</v>
      </c>
      <c r="AC971" s="0" t="s">
        <v>4162</v>
      </c>
      <c r="AD971" s="0" t="s">
        <v>4163</v>
      </c>
      <c r="AE971" s="0" t="s">
        <v>4164</v>
      </c>
      <c r="AF971" s="0" t="s">
        <v>4363</v>
      </c>
      <c r="AH971" s="0" t="s">
        <v>2239</v>
      </c>
      <c r="AL971" s="0" t="s">
        <v>523</v>
      </c>
    </row>
    <row r="972" customFormat="false" ht="15" hidden="false" customHeight="false" outlineLevel="0" collapsed="false">
      <c r="A972" s="0" t="s">
        <v>1594</v>
      </c>
      <c r="B972" s="0" t="s">
        <v>222</v>
      </c>
      <c r="C972" s="0" t="s">
        <v>4357</v>
      </c>
      <c r="D972" s="0" t="n">
        <v>2019</v>
      </c>
      <c r="E972" s="0" t="s">
        <v>541</v>
      </c>
      <c r="F972" s="0" t="n">
        <v>200020</v>
      </c>
      <c r="G972" s="0" t="s">
        <v>3101</v>
      </c>
      <c r="H972" s="0" t="s">
        <v>3068</v>
      </c>
      <c r="I972" s="0" t="n">
        <v>200020</v>
      </c>
      <c r="J972" s="0" t="s">
        <v>4155</v>
      </c>
      <c r="K972" s="0" t="s">
        <v>1923</v>
      </c>
      <c r="L972" s="0" t="n">
        <v>2019</v>
      </c>
      <c r="M972" s="0" t="s">
        <v>1924</v>
      </c>
      <c r="N972" s="0" t="s">
        <v>231</v>
      </c>
      <c r="O972" s="0" t="s">
        <v>2449</v>
      </c>
      <c r="P972" s="0" t="s">
        <v>4459</v>
      </c>
      <c r="Q972" s="0" t="n">
        <v>81</v>
      </c>
      <c r="R972" s="0" t="n">
        <v>78</v>
      </c>
      <c r="T972" s="0" t="s">
        <v>4460</v>
      </c>
      <c r="U972" s="0" t="s">
        <v>4461</v>
      </c>
      <c r="V972" s="0" t="s">
        <v>232</v>
      </c>
      <c r="W972" s="0" t="s">
        <v>4465</v>
      </c>
      <c r="X972" s="0" t="s">
        <v>4463</v>
      </c>
      <c r="Y972" s="0" t="s">
        <v>4159</v>
      </c>
      <c r="Z972" s="0" t="s">
        <v>4160</v>
      </c>
      <c r="AB972" s="0" t="s">
        <v>4464</v>
      </c>
      <c r="AC972" s="0" t="s">
        <v>4162</v>
      </c>
      <c r="AD972" s="0" t="s">
        <v>4163</v>
      </c>
      <c r="AE972" s="0" t="s">
        <v>4164</v>
      </c>
      <c r="AF972" s="0" t="s">
        <v>4363</v>
      </c>
      <c r="AH972" s="0" t="s">
        <v>2239</v>
      </c>
      <c r="AL972" s="0" t="s">
        <v>523</v>
      </c>
    </row>
    <row r="973" customFormat="false" ht="15" hidden="false" customHeight="false" outlineLevel="0" collapsed="false">
      <c r="A973" s="0" t="s">
        <v>1586</v>
      </c>
      <c r="B973" s="0" t="s">
        <v>222</v>
      </c>
      <c r="C973" s="0" t="s">
        <v>4357</v>
      </c>
      <c r="D973" s="0" t="n">
        <v>2019</v>
      </c>
      <c r="E973" s="0" t="s">
        <v>63</v>
      </c>
      <c r="F973" s="0" t="n">
        <v>-23393</v>
      </c>
      <c r="G973" s="0" t="s">
        <v>3101</v>
      </c>
      <c r="H973" s="0" t="s">
        <v>3068</v>
      </c>
      <c r="I973" s="0" t="n">
        <v>23393</v>
      </c>
      <c r="J973" s="0" t="s">
        <v>4155</v>
      </c>
      <c r="K973" s="0" t="s">
        <v>1923</v>
      </c>
      <c r="L973" s="0" t="n">
        <v>2019</v>
      </c>
      <c r="M973" s="0" t="s">
        <v>1924</v>
      </c>
      <c r="N973" s="0" t="s">
        <v>231</v>
      </c>
      <c r="O973" s="0" t="s">
        <v>2449</v>
      </c>
      <c r="P973" s="0" t="s">
        <v>4459</v>
      </c>
      <c r="Q973" s="0" t="n">
        <v>81</v>
      </c>
      <c r="R973" s="0" t="n">
        <v>78</v>
      </c>
      <c r="S973" s="0" t="n">
        <v>8</v>
      </c>
      <c r="T973" s="0" t="s">
        <v>4460</v>
      </c>
      <c r="U973" s="0" t="s">
        <v>4461</v>
      </c>
      <c r="V973" s="0" t="s">
        <v>232</v>
      </c>
      <c r="W973" s="0" t="s">
        <v>4466</v>
      </c>
      <c r="X973" s="0" t="s">
        <v>4463</v>
      </c>
      <c r="Y973" s="0" t="s">
        <v>4159</v>
      </c>
      <c r="Z973" s="0" t="s">
        <v>4160</v>
      </c>
      <c r="AA973" s="0" t="s">
        <v>4431</v>
      </c>
      <c r="AB973" s="0" t="s">
        <v>4464</v>
      </c>
      <c r="AC973" s="0" t="s">
        <v>4162</v>
      </c>
      <c r="AD973" s="0" t="s">
        <v>4163</v>
      </c>
      <c r="AE973" s="0" t="s">
        <v>4164</v>
      </c>
      <c r="AF973" s="0" t="s">
        <v>4363</v>
      </c>
      <c r="AH973" s="0" t="s">
        <v>4174</v>
      </c>
      <c r="AI973" s="0" t="s">
        <v>4175</v>
      </c>
      <c r="AL973" s="0" t="s">
        <v>523</v>
      </c>
    </row>
    <row r="974" customFormat="false" ht="15" hidden="false" customHeight="false" outlineLevel="0" collapsed="false">
      <c r="A974" s="0" t="s">
        <v>1578</v>
      </c>
      <c r="B974" s="0" t="s">
        <v>222</v>
      </c>
      <c r="C974" s="0" t="s">
        <v>4357</v>
      </c>
      <c r="D974" s="0" t="n">
        <v>2019</v>
      </c>
      <c r="E974" s="0" t="s">
        <v>55</v>
      </c>
      <c r="F974" s="0" t="n">
        <v>5435073</v>
      </c>
      <c r="G974" s="0" t="s">
        <v>3101</v>
      </c>
      <c r="H974" s="0" t="s">
        <v>3068</v>
      </c>
      <c r="I974" s="0" t="n">
        <v>5435073</v>
      </c>
      <c r="J974" s="0" t="s">
        <v>4155</v>
      </c>
      <c r="K974" s="0" t="s">
        <v>1923</v>
      </c>
      <c r="L974" s="0" t="n">
        <v>2019</v>
      </c>
      <c r="M974" s="0" t="s">
        <v>1924</v>
      </c>
      <c r="N974" s="0" t="s">
        <v>231</v>
      </c>
      <c r="O974" s="0" t="s">
        <v>2449</v>
      </c>
      <c r="P974" s="0" t="s">
        <v>4459</v>
      </c>
      <c r="Q974" s="0" t="n">
        <v>82</v>
      </c>
      <c r="R974" s="0" t="n">
        <v>79</v>
      </c>
      <c r="T974" s="0" t="s">
        <v>4460</v>
      </c>
      <c r="U974" s="0" t="s">
        <v>4461</v>
      </c>
      <c r="V974" s="0" t="s">
        <v>232</v>
      </c>
      <c r="W974" s="0" t="s">
        <v>4467</v>
      </c>
      <c r="X974" s="0" t="s">
        <v>4468</v>
      </c>
      <c r="Y974" s="0" t="s">
        <v>4159</v>
      </c>
      <c r="Z974" s="0" t="s">
        <v>4160</v>
      </c>
      <c r="AB974" s="0" t="s">
        <v>4464</v>
      </c>
      <c r="AC974" s="0" t="s">
        <v>4162</v>
      </c>
      <c r="AD974" s="0" t="s">
        <v>4163</v>
      </c>
      <c r="AE974" s="0" t="s">
        <v>4164</v>
      </c>
      <c r="AF974" s="0" t="s">
        <v>4363</v>
      </c>
      <c r="AH974" s="0" t="s">
        <v>2239</v>
      </c>
      <c r="AL974" s="0" t="s">
        <v>523</v>
      </c>
    </row>
    <row r="975" customFormat="false" ht="15" hidden="false" customHeight="false" outlineLevel="0" collapsed="false">
      <c r="A975" s="0" t="s">
        <v>1579</v>
      </c>
      <c r="B975" s="0" t="s">
        <v>222</v>
      </c>
      <c r="C975" s="0" t="s">
        <v>4357</v>
      </c>
      <c r="D975" s="0" t="n">
        <v>2019</v>
      </c>
      <c r="E975" s="0" t="s">
        <v>56</v>
      </c>
      <c r="F975" s="0" t="n">
        <v>4656078</v>
      </c>
      <c r="G975" s="0" t="s">
        <v>3101</v>
      </c>
      <c r="H975" s="0" t="s">
        <v>3068</v>
      </c>
      <c r="I975" s="0" t="n">
        <v>4656078</v>
      </c>
      <c r="J975" s="0" t="s">
        <v>4155</v>
      </c>
      <c r="K975" s="0" t="s">
        <v>1923</v>
      </c>
      <c r="L975" s="0" t="n">
        <v>2019</v>
      </c>
      <c r="M975" s="0" t="s">
        <v>1924</v>
      </c>
      <c r="N975" s="0" t="s">
        <v>231</v>
      </c>
      <c r="O975" s="0" t="s">
        <v>2449</v>
      </c>
      <c r="P975" s="0" t="s">
        <v>4459</v>
      </c>
      <c r="Q975" s="0" t="n">
        <v>82</v>
      </c>
      <c r="R975" s="0" t="n">
        <v>79</v>
      </c>
      <c r="T975" s="0" t="s">
        <v>4460</v>
      </c>
      <c r="U975" s="0" t="s">
        <v>4461</v>
      </c>
      <c r="V975" s="0" t="s">
        <v>232</v>
      </c>
      <c r="W975" s="0" t="s">
        <v>4469</v>
      </c>
      <c r="X975" s="0" t="s">
        <v>4468</v>
      </c>
      <c r="Y975" s="0" t="s">
        <v>4159</v>
      </c>
      <c r="Z975" s="0" t="s">
        <v>4160</v>
      </c>
      <c r="AA975" s="0" t="s">
        <v>4435</v>
      </c>
      <c r="AB975" s="0" t="s">
        <v>4464</v>
      </c>
      <c r="AC975" s="0" t="s">
        <v>4162</v>
      </c>
      <c r="AD975" s="0" t="s">
        <v>4163</v>
      </c>
      <c r="AE975" s="0" t="s">
        <v>4164</v>
      </c>
      <c r="AF975" s="0" t="s">
        <v>4363</v>
      </c>
      <c r="AH975" s="0" t="s">
        <v>2239</v>
      </c>
      <c r="AL975" s="0" t="s">
        <v>523</v>
      </c>
    </row>
    <row r="976" customFormat="false" ht="15" hidden="false" customHeight="false" outlineLevel="0" collapsed="false">
      <c r="A976" s="0" t="s">
        <v>1580</v>
      </c>
      <c r="B976" s="0" t="s">
        <v>222</v>
      </c>
      <c r="C976" s="0" t="s">
        <v>4357</v>
      </c>
      <c r="D976" s="0" t="n">
        <v>2019</v>
      </c>
      <c r="E976" s="0" t="s">
        <v>57</v>
      </c>
      <c r="F976" s="0" t="n">
        <v>778995</v>
      </c>
      <c r="G976" s="0" t="s">
        <v>3101</v>
      </c>
      <c r="H976" s="0" t="s">
        <v>3068</v>
      </c>
      <c r="I976" s="0" t="n">
        <v>778995</v>
      </c>
      <c r="J976" s="0" t="s">
        <v>4155</v>
      </c>
      <c r="K976" s="0" t="s">
        <v>1923</v>
      </c>
      <c r="L976" s="0" t="n">
        <v>2019</v>
      </c>
      <c r="M976" s="0" t="s">
        <v>1924</v>
      </c>
      <c r="N976" s="0" t="s">
        <v>231</v>
      </c>
      <c r="O976" s="0" t="s">
        <v>2449</v>
      </c>
      <c r="P976" s="0" t="s">
        <v>4459</v>
      </c>
      <c r="Q976" s="0" t="n">
        <v>82</v>
      </c>
      <c r="R976" s="0" t="n">
        <v>79</v>
      </c>
      <c r="T976" s="0" t="s">
        <v>4460</v>
      </c>
      <c r="U976" s="0" t="s">
        <v>4461</v>
      </c>
      <c r="V976" s="0" t="s">
        <v>232</v>
      </c>
      <c r="W976" s="0" t="s">
        <v>4470</v>
      </c>
      <c r="X976" s="0" t="s">
        <v>4468</v>
      </c>
      <c r="Y976" s="0" t="s">
        <v>4159</v>
      </c>
      <c r="Z976" s="0" t="s">
        <v>4160</v>
      </c>
      <c r="AB976" s="0" t="s">
        <v>4464</v>
      </c>
      <c r="AC976" s="0" t="s">
        <v>4162</v>
      </c>
      <c r="AD976" s="0" t="s">
        <v>4163</v>
      </c>
      <c r="AE976" s="0" t="s">
        <v>4164</v>
      </c>
      <c r="AF976" s="0" t="s">
        <v>4363</v>
      </c>
      <c r="AH976" s="0" t="s">
        <v>2239</v>
      </c>
      <c r="AL976" s="0" t="s">
        <v>523</v>
      </c>
    </row>
    <row r="977" customFormat="false" ht="15" hidden="false" customHeight="false" outlineLevel="0" collapsed="false">
      <c r="A977" s="0" t="s">
        <v>1582</v>
      </c>
      <c r="B977" s="0" t="s">
        <v>222</v>
      </c>
      <c r="C977" s="0" t="s">
        <v>4357</v>
      </c>
      <c r="D977" s="0" t="n">
        <v>2019</v>
      </c>
      <c r="E977" s="0" t="s">
        <v>59</v>
      </c>
      <c r="F977" s="0" t="n">
        <v>4955445</v>
      </c>
      <c r="G977" s="0" t="s">
        <v>3101</v>
      </c>
      <c r="H977" s="0" t="s">
        <v>3068</v>
      </c>
      <c r="I977" s="0" t="n">
        <v>4955445</v>
      </c>
      <c r="J977" s="0" t="s">
        <v>4155</v>
      </c>
      <c r="K977" s="0" t="s">
        <v>1923</v>
      </c>
      <c r="L977" s="0" t="n">
        <v>2019</v>
      </c>
      <c r="M977" s="0" t="s">
        <v>1924</v>
      </c>
      <c r="N977" s="0" t="s">
        <v>231</v>
      </c>
      <c r="O977" s="0" t="s">
        <v>2449</v>
      </c>
      <c r="P977" s="0" t="s">
        <v>4459</v>
      </c>
      <c r="Q977" s="0" t="n">
        <v>82</v>
      </c>
      <c r="R977" s="0" t="n">
        <v>79</v>
      </c>
      <c r="T977" s="0" t="s">
        <v>4424</v>
      </c>
      <c r="U977" s="0" t="s">
        <v>4461</v>
      </c>
      <c r="V977" s="0" t="s">
        <v>232</v>
      </c>
      <c r="W977" s="0" t="s">
        <v>4467</v>
      </c>
      <c r="X977" s="0" t="s">
        <v>4468</v>
      </c>
      <c r="Y977" s="0" t="s">
        <v>4159</v>
      </c>
      <c r="Z977" s="0" t="s">
        <v>4160</v>
      </c>
      <c r="AA977" s="0" t="s">
        <v>4373</v>
      </c>
      <c r="AB977" s="0" t="s">
        <v>4464</v>
      </c>
      <c r="AC977" s="0" t="s">
        <v>4162</v>
      </c>
      <c r="AD977" s="0" t="s">
        <v>4163</v>
      </c>
      <c r="AE977" s="0" t="s">
        <v>4164</v>
      </c>
      <c r="AF977" s="0" t="s">
        <v>4363</v>
      </c>
      <c r="AH977" s="0" t="s">
        <v>2239</v>
      </c>
      <c r="AL977" s="0" t="s">
        <v>523</v>
      </c>
    </row>
    <row r="978" customFormat="false" ht="15" hidden="false" customHeight="false" outlineLevel="0" collapsed="false">
      <c r="A978" s="0" t="s">
        <v>1581</v>
      </c>
      <c r="B978" s="0" t="s">
        <v>222</v>
      </c>
      <c r="C978" s="0" t="s">
        <v>4357</v>
      </c>
      <c r="D978" s="0" t="n">
        <v>2019</v>
      </c>
      <c r="E978" s="0" t="s">
        <v>58</v>
      </c>
      <c r="F978" s="0" t="n">
        <v>390093</v>
      </c>
      <c r="G978" s="0" t="s">
        <v>3101</v>
      </c>
      <c r="H978" s="0" t="s">
        <v>3068</v>
      </c>
      <c r="I978" s="0" t="n">
        <v>390093</v>
      </c>
      <c r="J978" s="0" t="s">
        <v>4155</v>
      </c>
      <c r="K978" s="0" t="s">
        <v>1923</v>
      </c>
      <c r="L978" s="0" t="n">
        <v>2019</v>
      </c>
      <c r="M978" s="0" t="s">
        <v>1924</v>
      </c>
      <c r="N978" s="0" t="s">
        <v>231</v>
      </c>
      <c r="O978" s="0" t="s">
        <v>2449</v>
      </c>
      <c r="P978" s="0" t="s">
        <v>4459</v>
      </c>
      <c r="Q978" s="0" t="n">
        <v>86</v>
      </c>
      <c r="R978" s="0" t="n">
        <v>83</v>
      </c>
      <c r="T978" s="0" t="s">
        <v>4471</v>
      </c>
      <c r="U978" s="0" t="s">
        <v>4461</v>
      </c>
      <c r="V978" s="0" t="s">
        <v>232</v>
      </c>
      <c r="W978" s="0" t="s">
        <v>4472</v>
      </c>
      <c r="X978" s="0" t="s">
        <v>4473</v>
      </c>
      <c r="Y978" s="0" t="s">
        <v>4159</v>
      </c>
      <c r="Z978" s="0" t="s">
        <v>4160</v>
      </c>
      <c r="AB978" s="0" t="s">
        <v>4464</v>
      </c>
      <c r="AC978" s="0" t="s">
        <v>4162</v>
      </c>
      <c r="AD978" s="0" t="s">
        <v>4163</v>
      </c>
      <c r="AE978" s="0" t="s">
        <v>4164</v>
      </c>
      <c r="AF978" s="0" t="s">
        <v>4363</v>
      </c>
      <c r="AH978" s="0" t="s">
        <v>2239</v>
      </c>
      <c r="AL978" s="0" t="s">
        <v>523</v>
      </c>
    </row>
    <row r="979" customFormat="false" ht="15" hidden="false" customHeight="false" outlineLevel="0" collapsed="false">
      <c r="A979" s="0" t="s">
        <v>1583</v>
      </c>
      <c r="B979" s="0" t="s">
        <v>222</v>
      </c>
      <c r="C979" s="0" t="s">
        <v>4357</v>
      </c>
      <c r="D979" s="0" t="n">
        <v>2019</v>
      </c>
      <c r="E979" s="0" t="s">
        <v>60</v>
      </c>
      <c r="F979" s="0" t="n">
        <v>2390651</v>
      </c>
      <c r="G979" s="0" t="s">
        <v>3101</v>
      </c>
      <c r="H979" s="0" t="s">
        <v>3068</v>
      </c>
      <c r="I979" s="0" t="n">
        <v>2390651</v>
      </c>
      <c r="J979" s="0" t="s">
        <v>4155</v>
      </c>
      <c r="K979" s="0" t="s">
        <v>1923</v>
      </c>
      <c r="L979" s="0" t="n">
        <v>2019</v>
      </c>
      <c r="M979" s="0" t="s">
        <v>1924</v>
      </c>
      <c r="N979" s="0" t="s">
        <v>231</v>
      </c>
      <c r="O979" s="0" t="s">
        <v>2449</v>
      </c>
      <c r="P979" s="0" t="s">
        <v>4459</v>
      </c>
      <c r="Q979" s="0" t="n">
        <v>121</v>
      </c>
      <c r="R979" s="0" t="n">
        <v>118</v>
      </c>
      <c r="S979" s="0" t="s">
        <v>4378</v>
      </c>
      <c r="T979" s="0" t="s">
        <v>4474</v>
      </c>
      <c r="U979" s="0" t="s">
        <v>4461</v>
      </c>
      <c r="V979" s="0" t="s">
        <v>232</v>
      </c>
      <c r="W979" s="0" t="s">
        <v>4475</v>
      </c>
      <c r="X979" s="0" t="s">
        <v>4476</v>
      </c>
      <c r="Y979" s="0" t="s">
        <v>4159</v>
      </c>
      <c r="Z979" s="0" t="s">
        <v>4160</v>
      </c>
      <c r="AB979" s="0" t="s">
        <v>4464</v>
      </c>
      <c r="AC979" s="0" t="s">
        <v>4162</v>
      </c>
      <c r="AD979" s="0" t="s">
        <v>4163</v>
      </c>
      <c r="AE979" s="0" t="s">
        <v>4164</v>
      </c>
      <c r="AF979" s="0" t="s">
        <v>4363</v>
      </c>
      <c r="AH979" s="0" t="s">
        <v>2239</v>
      </c>
      <c r="AL979" s="0" t="s">
        <v>523</v>
      </c>
    </row>
    <row r="980" customFormat="false" ht="15" hidden="false" customHeight="false" outlineLevel="0" collapsed="false">
      <c r="A980" s="0" t="s">
        <v>1587</v>
      </c>
      <c r="B980" s="0" t="s">
        <v>222</v>
      </c>
      <c r="C980" s="0" t="s">
        <v>4357</v>
      </c>
      <c r="D980" s="0" t="n">
        <v>2019</v>
      </c>
      <c r="E980" s="0" t="s">
        <v>64</v>
      </c>
      <c r="F980" s="0" t="n">
        <v>99457</v>
      </c>
      <c r="G980" s="0" t="s">
        <v>3101</v>
      </c>
      <c r="H980" s="0" t="s">
        <v>3068</v>
      </c>
      <c r="I980" s="0" t="n">
        <v>99457</v>
      </c>
      <c r="J980" s="0" t="s">
        <v>4155</v>
      </c>
      <c r="K980" s="0" t="s">
        <v>1923</v>
      </c>
      <c r="L980" s="0" t="n">
        <v>2019</v>
      </c>
      <c r="M980" s="0" t="s">
        <v>1924</v>
      </c>
      <c r="N980" s="0" t="s">
        <v>231</v>
      </c>
      <c r="O980" s="0" t="s">
        <v>2449</v>
      </c>
      <c r="P980" s="0" t="s">
        <v>4459</v>
      </c>
      <c r="Q980" s="0" t="n">
        <v>121</v>
      </c>
      <c r="R980" s="0" t="n">
        <v>118</v>
      </c>
      <c r="S980" s="0" t="s">
        <v>4378</v>
      </c>
      <c r="T980" s="0" t="s">
        <v>4477</v>
      </c>
      <c r="U980" s="0" t="s">
        <v>4461</v>
      </c>
      <c r="V980" s="0" t="s">
        <v>232</v>
      </c>
      <c r="W980" s="0" t="s">
        <v>4475</v>
      </c>
      <c r="X980" s="0" t="s">
        <v>4476</v>
      </c>
      <c r="Y980" s="0" t="s">
        <v>4159</v>
      </c>
      <c r="Z980" s="0" t="s">
        <v>4160</v>
      </c>
      <c r="AA980" s="0" t="s">
        <v>4478</v>
      </c>
      <c r="AB980" s="0" t="s">
        <v>4464</v>
      </c>
      <c r="AC980" s="0" t="s">
        <v>4162</v>
      </c>
      <c r="AD980" s="0" t="s">
        <v>4163</v>
      </c>
      <c r="AE980" s="0" t="s">
        <v>4164</v>
      </c>
      <c r="AF980" s="0" t="s">
        <v>4363</v>
      </c>
      <c r="AH980" s="0" t="s">
        <v>2239</v>
      </c>
      <c r="AL980" s="0" t="s">
        <v>523</v>
      </c>
    </row>
    <row r="981" customFormat="false" ht="15" hidden="false" customHeight="false" outlineLevel="0" collapsed="false">
      <c r="A981" s="0" t="s">
        <v>1584</v>
      </c>
      <c r="B981" s="0" t="s">
        <v>222</v>
      </c>
      <c r="C981" s="0" t="s">
        <v>4357</v>
      </c>
      <c r="D981" s="0" t="n">
        <v>2019</v>
      </c>
      <c r="E981" s="0" t="s">
        <v>61</v>
      </c>
      <c r="F981" s="0" t="n">
        <v>151179</v>
      </c>
      <c r="G981" s="0" t="s">
        <v>3101</v>
      </c>
      <c r="H981" s="0" t="s">
        <v>3068</v>
      </c>
      <c r="I981" s="0" t="n">
        <v>151179</v>
      </c>
      <c r="J981" s="0" t="s">
        <v>4155</v>
      </c>
      <c r="K981" s="0" t="s">
        <v>1923</v>
      </c>
      <c r="L981" s="0" t="n">
        <v>2019</v>
      </c>
      <c r="M981" s="0" t="s">
        <v>1924</v>
      </c>
      <c r="N981" s="0" t="s">
        <v>231</v>
      </c>
      <c r="O981" s="0" t="s">
        <v>2449</v>
      </c>
      <c r="P981" s="0" t="s">
        <v>4459</v>
      </c>
      <c r="Q981" s="0" t="n">
        <v>121</v>
      </c>
      <c r="R981" s="0" t="n">
        <v>118</v>
      </c>
      <c r="S981" s="0" t="s">
        <v>4378</v>
      </c>
      <c r="T981" s="0" t="s">
        <v>4479</v>
      </c>
      <c r="U981" s="0" t="s">
        <v>4461</v>
      </c>
      <c r="V981" s="0" t="s">
        <v>232</v>
      </c>
      <c r="W981" s="0" t="s">
        <v>4475</v>
      </c>
      <c r="X981" s="0" t="s">
        <v>4476</v>
      </c>
      <c r="Y981" s="0" t="s">
        <v>4159</v>
      </c>
      <c r="Z981" s="0" t="s">
        <v>4160</v>
      </c>
      <c r="AA981" s="0" t="s">
        <v>4446</v>
      </c>
      <c r="AB981" s="0" t="s">
        <v>4464</v>
      </c>
      <c r="AC981" s="0" t="s">
        <v>4162</v>
      </c>
      <c r="AD981" s="0" t="s">
        <v>4163</v>
      </c>
      <c r="AE981" s="0" t="s">
        <v>4164</v>
      </c>
      <c r="AF981" s="0" t="s">
        <v>4363</v>
      </c>
      <c r="AH981" s="0" t="s">
        <v>2239</v>
      </c>
      <c r="AL981" s="0" t="s">
        <v>523</v>
      </c>
    </row>
    <row r="982" customFormat="false" ht="15" hidden="false" customHeight="false" outlineLevel="0" collapsed="false">
      <c r="A982" s="0" t="s">
        <v>1585</v>
      </c>
      <c r="B982" s="0" t="s">
        <v>222</v>
      </c>
      <c r="C982" s="0" t="s">
        <v>4357</v>
      </c>
      <c r="D982" s="0" t="n">
        <v>2019</v>
      </c>
      <c r="E982" s="0" t="s">
        <v>62</v>
      </c>
      <c r="F982" s="0" t="n">
        <v>2239472</v>
      </c>
      <c r="G982" s="0" t="s">
        <v>3101</v>
      </c>
      <c r="H982" s="0" t="s">
        <v>3068</v>
      </c>
      <c r="I982" s="0" t="n">
        <v>2239472</v>
      </c>
      <c r="J982" s="0" t="s">
        <v>4155</v>
      </c>
      <c r="K982" s="0" t="s">
        <v>1923</v>
      </c>
      <c r="L982" s="0" t="n">
        <v>2019</v>
      </c>
      <c r="M982" s="0" t="s">
        <v>1924</v>
      </c>
      <c r="N982" s="0" t="s">
        <v>231</v>
      </c>
      <c r="O982" s="0" t="s">
        <v>2449</v>
      </c>
      <c r="P982" s="0" t="s">
        <v>4459</v>
      </c>
      <c r="Q982" s="0" t="n">
        <v>121</v>
      </c>
      <c r="R982" s="0" t="n">
        <v>118</v>
      </c>
      <c r="S982" s="0" t="s">
        <v>4378</v>
      </c>
      <c r="T982" s="0" t="s">
        <v>4480</v>
      </c>
      <c r="U982" s="0" t="s">
        <v>4461</v>
      </c>
      <c r="V982" s="0" t="s">
        <v>232</v>
      </c>
      <c r="W982" s="0" t="s">
        <v>4475</v>
      </c>
      <c r="X982" s="0" t="s">
        <v>4476</v>
      </c>
      <c r="Y982" s="0" t="s">
        <v>4159</v>
      </c>
      <c r="Z982" s="0" t="s">
        <v>4160</v>
      </c>
      <c r="AB982" s="0" t="s">
        <v>4464</v>
      </c>
      <c r="AC982" s="0" t="s">
        <v>4162</v>
      </c>
      <c r="AD982" s="0" t="s">
        <v>4163</v>
      </c>
      <c r="AE982" s="0" t="s">
        <v>4164</v>
      </c>
      <c r="AF982" s="0" t="s">
        <v>4363</v>
      </c>
      <c r="AH982" s="0" t="s">
        <v>2239</v>
      </c>
      <c r="AL982" s="0" t="s">
        <v>523</v>
      </c>
    </row>
    <row r="983" customFormat="false" ht="15" hidden="false" customHeight="false" outlineLevel="0" collapsed="false">
      <c r="A983" s="0" t="s">
        <v>1590</v>
      </c>
      <c r="B983" s="0" t="s">
        <v>222</v>
      </c>
      <c r="C983" s="0" t="s">
        <v>4357</v>
      </c>
      <c r="D983" s="0" t="n">
        <v>2019</v>
      </c>
      <c r="E983" s="0" t="s">
        <v>65</v>
      </c>
      <c r="F983" s="0" t="n">
        <v>717901</v>
      </c>
      <c r="G983" s="0" t="s">
        <v>3101</v>
      </c>
      <c r="H983" s="0" t="s">
        <v>3068</v>
      </c>
      <c r="I983" s="0" t="n">
        <v>717901</v>
      </c>
      <c r="J983" s="0" t="s">
        <v>4155</v>
      </c>
      <c r="K983" s="0" t="s">
        <v>1923</v>
      </c>
      <c r="L983" s="0" t="n">
        <v>2019</v>
      </c>
      <c r="M983" s="0" t="s">
        <v>1924</v>
      </c>
      <c r="N983" s="0" t="s">
        <v>231</v>
      </c>
      <c r="O983" s="0" t="s">
        <v>2449</v>
      </c>
      <c r="P983" s="0" t="s">
        <v>4459</v>
      </c>
      <c r="Q983" s="0" t="n">
        <v>169</v>
      </c>
      <c r="R983" s="0" t="n">
        <v>166</v>
      </c>
      <c r="T983" s="0" t="s">
        <v>4481</v>
      </c>
      <c r="U983" s="0" t="s">
        <v>4461</v>
      </c>
      <c r="V983" s="0" t="s">
        <v>232</v>
      </c>
      <c r="W983" s="0" t="s">
        <v>4482</v>
      </c>
      <c r="X983" s="0" t="s">
        <v>4483</v>
      </c>
      <c r="Y983" s="0" t="s">
        <v>4159</v>
      </c>
      <c r="Z983" s="0" t="s">
        <v>4160</v>
      </c>
      <c r="AB983" s="0" t="s">
        <v>4464</v>
      </c>
      <c r="AC983" s="0" t="s">
        <v>4162</v>
      </c>
      <c r="AD983" s="0" t="s">
        <v>4163</v>
      </c>
      <c r="AE983" s="0" t="s">
        <v>4164</v>
      </c>
      <c r="AF983" s="0" t="s">
        <v>4363</v>
      </c>
      <c r="AH983" s="0" t="s">
        <v>2239</v>
      </c>
      <c r="AL983" s="0" t="s">
        <v>523</v>
      </c>
    </row>
    <row r="984" customFormat="false" ht="15" hidden="false" customHeight="false" outlineLevel="0" collapsed="false">
      <c r="A984" s="0" t="s">
        <v>1592</v>
      </c>
      <c r="B984" s="0" t="s">
        <v>222</v>
      </c>
      <c r="C984" s="0" t="s">
        <v>4357</v>
      </c>
      <c r="D984" s="0" t="n">
        <v>2019</v>
      </c>
      <c r="E984" s="0" t="s">
        <v>619</v>
      </c>
      <c r="F984" s="0" t="n">
        <v>759321</v>
      </c>
      <c r="G984" s="0" t="s">
        <v>3101</v>
      </c>
      <c r="H984" s="0" t="s">
        <v>3068</v>
      </c>
      <c r="I984" s="0" t="n">
        <v>759321</v>
      </c>
      <c r="J984" s="0" t="s">
        <v>4155</v>
      </c>
      <c r="K984" s="0" t="s">
        <v>1923</v>
      </c>
      <c r="L984" s="0" t="n">
        <v>2019</v>
      </c>
      <c r="M984" s="0" t="s">
        <v>1924</v>
      </c>
      <c r="N984" s="0" t="s">
        <v>231</v>
      </c>
      <c r="O984" s="0" t="s">
        <v>2449</v>
      </c>
      <c r="P984" s="0" t="s">
        <v>4459</v>
      </c>
      <c r="Q984" s="0" t="n">
        <v>169</v>
      </c>
      <c r="R984" s="0" t="n">
        <v>166</v>
      </c>
      <c r="T984" s="0" t="s">
        <v>4484</v>
      </c>
      <c r="U984" s="0" t="s">
        <v>4461</v>
      </c>
      <c r="V984" s="0" t="s">
        <v>232</v>
      </c>
      <c r="W984" s="0" t="s">
        <v>4482</v>
      </c>
      <c r="X984" s="0" t="s">
        <v>4483</v>
      </c>
      <c r="Y984" s="0" t="s">
        <v>4159</v>
      </c>
      <c r="Z984" s="0" t="s">
        <v>4160</v>
      </c>
      <c r="AB984" s="0" t="s">
        <v>4464</v>
      </c>
      <c r="AC984" s="0" t="s">
        <v>4162</v>
      </c>
      <c r="AD984" s="0" t="s">
        <v>4163</v>
      </c>
      <c r="AE984" s="0" t="s">
        <v>4164</v>
      </c>
      <c r="AF984" s="0" t="s">
        <v>4363</v>
      </c>
      <c r="AH984" s="0" t="s">
        <v>2239</v>
      </c>
      <c r="AL984" s="0" t="s">
        <v>523</v>
      </c>
    </row>
    <row r="985" customFormat="false" ht="15" hidden="false" customHeight="false" outlineLevel="0" collapsed="false">
      <c r="A985" s="0" t="s">
        <v>1591</v>
      </c>
      <c r="B985" s="0" t="s">
        <v>222</v>
      </c>
      <c r="C985" s="0" t="s">
        <v>4357</v>
      </c>
      <c r="D985" s="0" t="n">
        <v>2019</v>
      </c>
      <c r="E985" s="0" t="s">
        <v>66</v>
      </c>
      <c r="F985" s="0" t="n">
        <v>3669402</v>
      </c>
      <c r="G985" s="0" t="s">
        <v>3101</v>
      </c>
      <c r="H985" s="0" t="s">
        <v>3068</v>
      </c>
      <c r="I985" s="0" t="n">
        <v>3669402</v>
      </c>
      <c r="J985" s="0" t="s">
        <v>4155</v>
      </c>
      <c r="K985" s="0" t="s">
        <v>1923</v>
      </c>
      <c r="L985" s="0" t="n">
        <v>2019</v>
      </c>
      <c r="M985" s="0" t="s">
        <v>1924</v>
      </c>
      <c r="N985" s="0" t="s">
        <v>231</v>
      </c>
      <c r="O985" s="0" t="s">
        <v>2449</v>
      </c>
      <c r="P985" s="0" t="s">
        <v>4459</v>
      </c>
      <c r="Q985" s="0" t="n">
        <v>169</v>
      </c>
      <c r="R985" s="0" t="n">
        <v>166</v>
      </c>
      <c r="T985" s="0" t="s">
        <v>4485</v>
      </c>
      <c r="U985" s="0" t="s">
        <v>4461</v>
      </c>
      <c r="V985" s="0" t="s">
        <v>232</v>
      </c>
      <c r="W985" s="0" t="s">
        <v>4486</v>
      </c>
      <c r="X985" s="0" t="s">
        <v>4483</v>
      </c>
      <c r="Y985" s="0" t="s">
        <v>4159</v>
      </c>
      <c r="Z985" s="0" t="s">
        <v>4160</v>
      </c>
      <c r="AB985" s="0" t="s">
        <v>4464</v>
      </c>
      <c r="AC985" s="0" t="s">
        <v>4162</v>
      </c>
      <c r="AD985" s="0" t="s">
        <v>4163</v>
      </c>
      <c r="AE985" s="0" t="s">
        <v>4164</v>
      </c>
      <c r="AF985" s="0" t="s">
        <v>4363</v>
      </c>
      <c r="AH985" s="0" t="s">
        <v>2239</v>
      </c>
      <c r="AL985" s="0" t="s">
        <v>523</v>
      </c>
    </row>
    <row r="986" customFormat="false" ht="15" hidden="false" customHeight="false" outlineLevel="0" collapsed="false">
      <c r="A986" s="0" t="s">
        <v>1588</v>
      </c>
      <c r="B986" s="0" t="s">
        <v>222</v>
      </c>
      <c r="C986" s="0" t="s">
        <v>4357</v>
      </c>
      <c r="D986" s="0" t="n">
        <v>2019</v>
      </c>
      <c r="E986" s="0" t="s">
        <v>69</v>
      </c>
      <c r="F986" s="0" t="n">
        <v>20</v>
      </c>
      <c r="G986" s="0" t="s">
        <v>3143</v>
      </c>
      <c r="I986" s="0" t="n">
        <v>20</v>
      </c>
      <c r="J986" s="0" t="s">
        <v>4155</v>
      </c>
      <c r="K986" s="0" t="s">
        <v>1923</v>
      </c>
      <c r="L986" s="0" t="n">
        <v>2019</v>
      </c>
      <c r="M986" s="0" t="s">
        <v>1924</v>
      </c>
      <c r="N986" s="0" t="s">
        <v>231</v>
      </c>
      <c r="O986" s="0" t="s">
        <v>2449</v>
      </c>
      <c r="P986" s="0" t="s">
        <v>4459</v>
      </c>
      <c r="Q986" s="0" t="n">
        <v>169</v>
      </c>
      <c r="R986" s="0" t="n">
        <v>166</v>
      </c>
      <c r="T986" s="0" t="s">
        <v>4481</v>
      </c>
      <c r="U986" s="0" t="s">
        <v>4461</v>
      </c>
      <c r="V986" s="0" t="s">
        <v>232</v>
      </c>
      <c r="W986" s="0" t="s">
        <v>4487</v>
      </c>
      <c r="X986" s="0" t="s">
        <v>4483</v>
      </c>
      <c r="Y986" s="0" t="s">
        <v>4159</v>
      </c>
      <c r="Z986" s="0" t="s">
        <v>4160</v>
      </c>
      <c r="AA986" s="0" t="s">
        <v>4393</v>
      </c>
      <c r="AB986" s="0" t="s">
        <v>4464</v>
      </c>
      <c r="AC986" s="0" t="s">
        <v>4162</v>
      </c>
      <c r="AD986" s="0" t="s">
        <v>4163</v>
      </c>
      <c r="AE986" s="0" t="s">
        <v>4164</v>
      </c>
      <c r="AF986" s="0" t="s">
        <v>4363</v>
      </c>
      <c r="AH986" s="0" t="s">
        <v>2239</v>
      </c>
      <c r="AL986" s="0" t="s">
        <v>523</v>
      </c>
    </row>
    <row r="987" customFormat="false" ht="15" hidden="false" customHeight="false" outlineLevel="0" collapsed="false">
      <c r="A987" s="0" t="s">
        <v>1589</v>
      </c>
      <c r="B987" s="0" t="s">
        <v>222</v>
      </c>
      <c r="C987" s="0" t="s">
        <v>4357</v>
      </c>
      <c r="D987" s="0" t="n">
        <v>2019</v>
      </c>
      <c r="E987" s="0" t="s">
        <v>614</v>
      </c>
      <c r="F987" s="0" t="n">
        <v>21</v>
      </c>
      <c r="G987" s="0" t="s">
        <v>3143</v>
      </c>
      <c r="I987" s="0" t="n">
        <v>21</v>
      </c>
      <c r="J987" s="0" t="s">
        <v>4155</v>
      </c>
      <c r="K987" s="0" t="s">
        <v>1923</v>
      </c>
      <c r="L987" s="0" t="n">
        <v>2019</v>
      </c>
      <c r="M987" s="0" t="s">
        <v>1924</v>
      </c>
      <c r="N987" s="0" t="s">
        <v>231</v>
      </c>
      <c r="O987" s="0" t="s">
        <v>2449</v>
      </c>
      <c r="P987" s="0" t="s">
        <v>4459</v>
      </c>
      <c r="Q987" s="0" t="n">
        <v>169</v>
      </c>
      <c r="R987" s="0" t="n">
        <v>166</v>
      </c>
      <c r="T987" s="0" t="s">
        <v>4488</v>
      </c>
      <c r="U987" s="0" t="s">
        <v>4461</v>
      </c>
      <c r="V987" s="0" t="s">
        <v>232</v>
      </c>
      <c r="W987" s="0" t="s">
        <v>4487</v>
      </c>
      <c r="X987" s="0" t="s">
        <v>4483</v>
      </c>
      <c r="Y987" s="0" t="s">
        <v>4159</v>
      </c>
      <c r="Z987" s="0" t="s">
        <v>4160</v>
      </c>
      <c r="AA987" s="0" t="s">
        <v>4393</v>
      </c>
      <c r="AB987" s="0" t="s">
        <v>4464</v>
      </c>
      <c r="AC987" s="0" t="s">
        <v>4162</v>
      </c>
      <c r="AD987" s="0" t="s">
        <v>4163</v>
      </c>
      <c r="AE987" s="0" t="s">
        <v>4164</v>
      </c>
      <c r="AF987" s="0" t="s">
        <v>4363</v>
      </c>
      <c r="AH987" s="0" t="s">
        <v>2239</v>
      </c>
      <c r="AL987" s="0" t="s">
        <v>523</v>
      </c>
    </row>
    <row r="988" customFormat="false" ht="15" hidden="false" customHeight="false" outlineLevel="0" collapsed="false">
      <c r="A988" s="0" t="s">
        <v>1595</v>
      </c>
      <c r="B988" s="0" t="s">
        <v>222</v>
      </c>
      <c r="C988" s="0" t="s">
        <v>4357</v>
      </c>
      <c r="D988" s="0" t="n">
        <v>2020</v>
      </c>
      <c r="E988" s="0" t="s">
        <v>54</v>
      </c>
      <c r="F988" s="0" t="n">
        <v>197852</v>
      </c>
      <c r="G988" s="0" t="s">
        <v>3101</v>
      </c>
      <c r="H988" s="0" t="s">
        <v>3068</v>
      </c>
      <c r="I988" s="0" t="n">
        <v>197852</v>
      </c>
      <c r="J988" s="0" t="s">
        <v>4155</v>
      </c>
      <c r="K988" s="0" t="s">
        <v>1927</v>
      </c>
      <c r="L988" s="0" t="n">
        <v>2020</v>
      </c>
      <c r="M988" s="0" t="s">
        <v>1928</v>
      </c>
      <c r="N988" s="0" t="s">
        <v>233</v>
      </c>
      <c r="O988" s="0" t="s">
        <v>2437</v>
      </c>
      <c r="P988" s="0" t="s">
        <v>4489</v>
      </c>
      <c r="Q988" s="0" t="n">
        <v>86</v>
      </c>
      <c r="R988" s="0" t="n">
        <v>84</v>
      </c>
      <c r="T988" s="0" t="s">
        <v>4200</v>
      </c>
      <c r="U988" s="0" t="s">
        <v>4201</v>
      </c>
      <c r="V988" s="0" t="s">
        <v>234</v>
      </c>
      <c r="W988" s="0" t="s">
        <v>4490</v>
      </c>
      <c r="X988" s="0" t="s">
        <v>4491</v>
      </c>
      <c r="Y988" s="0" t="s">
        <v>4159</v>
      </c>
      <c r="Z988" s="0" t="s">
        <v>4160</v>
      </c>
      <c r="AB988" s="0" t="s">
        <v>4492</v>
      </c>
      <c r="AC988" s="0" t="s">
        <v>4162</v>
      </c>
      <c r="AD988" s="0" t="s">
        <v>4163</v>
      </c>
      <c r="AE988" s="0" t="s">
        <v>4164</v>
      </c>
      <c r="AF988" s="0" t="s">
        <v>4363</v>
      </c>
      <c r="AH988" s="0" t="s">
        <v>2239</v>
      </c>
      <c r="AL988" s="0" t="s">
        <v>523</v>
      </c>
    </row>
    <row r="989" customFormat="false" ht="15" hidden="false" customHeight="false" outlineLevel="0" collapsed="false">
      <c r="A989" s="0" t="s">
        <v>1606</v>
      </c>
      <c r="B989" s="0" t="s">
        <v>222</v>
      </c>
      <c r="C989" s="0" t="s">
        <v>4357</v>
      </c>
      <c r="D989" s="0" t="n">
        <v>2020</v>
      </c>
      <c r="E989" s="0" t="s">
        <v>541</v>
      </c>
      <c r="F989" s="0" t="n">
        <v>210007</v>
      </c>
      <c r="G989" s="0" t="s">
        <v>3101</v>
      </c>
      <c r="H989" s="0" t="s">
        <v>3068</v>
      </c>
      <c r="I989" s="0" t="n">
        <v>210007</v>
      </c>
      <c r="J989" s="0" t="s">
        <v>4155</v>
      </c>
      <c r="K989" s="0" t="s">
        <v>1927</v>
      </c>
      <c r="L989" s="0" t="n">
        <v>2020</v>
      </c>
      <c r="M989" s="0" t="s">
        <v>1928</v>
      </c>
      <c r="N989" s="0" t="s">
        <v>233</v>
      </c>
      <c r="O989" s="0" t="s">
        <v>2437</v>
      </c>
      <c r="P989" s="0" t="s">
        <v>4489</v>
      </c>
      <c r="Q989" s="0" t="n">
        <v>86</v>
      </c>
      <c r="R989" s="0" t="n">
        <v>84</v>
      </c>
      <c r="T989" s="0" t="s">
        <v>4200</v>
      </c>
      <c r="U989" s="0" t="s">
        <v>4201</v>
      </c>
      <c r="V989" s="0" t="s">
        <v>234</v>
      </c>
      <c r="W989" s="0" t="s">
        <v>4493</v>
      </c>
      <c r="X989" s="0" t="s">
        <v>4491</v>
      </c>
      <c r="Y989" s="0" t="s">
        <v>4159</v>
      </c>
      <c r="Z989" s="0" t="s">
        <v>4160</v>
      </c>
      <c r="AB989" s="0" t="s">
        <v>4492</v>
      </c>
      <c r="AC989" s="0" t="s">
        <v>4162</v>
      </c>
      <c r="AD989" s="0" t="s">
        <v>4163</v>
      </c>
      <c r="AE989" s="0" t="s">
        <v>4164</v>
      </c>
      <c r="AF989" s="0" t="s">
        <v>4363</v>
      </c>
      <c r="AH989" s="0" t="s">
        <v>2239</v>
      </c>
      <c r="AL989" s="0" t="s">
        <v>523</v>
      </c>
    </row>
    <row r="990" customFormat="false" ht="15" hidden="false" customHeight="false" outlineLevel="0" collapsed="false">
      <c r="A990" s="0" t="s">
        <v>1604</v>
      </c>
      <c r="B990" s="0" t="s">
        <v>222</v>
      </c>
      <c r="C990" s="0" t="s">
        <v>4357</v>
      </c>
      <c r="D990" s="0" t="n">
        <v>2020</v>
      </c>
      <c r="E990" s="0" t="s">
        <v>63</v>
      </c>
      <c r="F990" s="0" t="n">
        <v>-37237</v>
      </c>
      <c r="G990" s="0" t="s">
        <v>3101</v>
      </c>
      <c r="H990" s="0" t="s">
        <v>3068</v>
      </c>
      <c r="I990" s="0" t="n">
        <v>37237</v>
      </c>
      <c r="J990" s="0" t="s">
        <v>4155</v>
      </c>
      <c r="K990" s="0" t="s">
        <v>1927</v>
      </c>
      <c r="L990" s="0" t="n">
        <v>2020</v>
      </c>
      <c r="M990" s="0" t="s">
        <v>1928</v>
      </c>
      <c r="N990" s="0" t="s">
        <v>233</v>
      </c>
      <c r="O990" s="0" t="s">
        <v>2437</v>
      </c>
      <c r="P990" s="0" t="s">
        <v>4489</v>
      </c>
      <c r="Q990" s="0" t="n">
        <v>86</v>
      </c>
      <c r="R990" s="0" t="n">
        <v>84</v>
      </c>
      <c r="S990" s="0" t="n">
        <v>8</v>
      </c>
      <c r="T990" s="0" t="s">
        <v>4200</v>
      </c>
      <c r="U990" s="0" t="s">
        <v>4201</v>
      </c>
      <c r="V990" s="0" t="s">
        <v>234</v>
      </c>
      <c r="W990" s="0" t="s">
        <v>4494</v>
      </c>
      <c r="X990" s="0" t="s">
        <v>4491</v>
      </c>
      <c r="Y990" s="0" t="s">
        <v>4159</v>
      </c>
      <c r="Z990" s="0" t="s">
        <v>4160</v>
      </c>
      <c r="AA990" s="0" t="s">
        <v>4431</v>
      </c>
      <c r="AB990" s="0" t="s">
        <v>4492</v>
      </c>
      <c r="AC990" s="0" t="s">
        <v>4162</v>
      </c>
      <c r="AD990" s="0" t="s">
        <v>4163</v>
      </c>
      <c r="AE990" s="0" t="s">
        <v>4164</v>
      </c>
      <c r="AF990" s="0" t="s">
        <v>4363</v>
      </c>
      <c r="AH990" s="0" t="s">
        <v>4174</v>
      </c>
      <c r="AI990" s="0" t="s">
        <v>4175</v>
      </c>
      <c r="AL990" s="0" t="s">
        <v>523</v>
      </c>
    </row>
    <row r="991" customFormat="false" ht="15" hidden="false" customHeight="false" outlineLevel="0" collapsed="false">
      <c r="A991" s="0" t="s">
        <v>1596</v>
      </c>
      <c r="B991" s="0" t="s">
        <v>222</v>
      </c>
      <c r="C991" s="0" t="s">
        <v>4357</v>
      </c>
      <c r="D991" s="0" t="n">
        <v>2020</v>
      </c>
      <c r="E991" s="0" t="s">
        <v>55</v>
      </c>
      <c r="F991" s="0" t="n">
        <v>7124987</v>
      </c>
      <c r="G991" s="0" t="s">
        <v>3101</v>
      </c>
      <c r="H991" s="0" t="s">
        <v>3068</v>
      </c>
      <c r="I991" s="0" t="n">
        <v>7124987</v>
      </c>
      <c r="J991" s="0" t="s">
        <v>4155</v>
      </c>
      <c r="K991" s="0" t="s">
        <v>1927</v>
      </c>
      <c r="L991" s="0" t="n">
        <v>2020</v>
      </c>
      <c r="M991" s="0" t="s">
        <v>1928</v>
      </c>
      <c r="N991" s="0" t="s">
        <v>233</v>
      </c>
      <c r="O991" s="0" t="s">
        <v>2437</v>
      </c>
      <c r="P991" s="0" t="s">
        <v>4489</v>
      </c>
      <c r="Q991" s="0" t="n">
        <v>87</v>
      </c>
      <c r="R991" s="0" t="n">
        <v>85</v>
      </c>
      <c r="T991" s="0" t="s">
        <v>4200</v>
      </c>
      <c r="U991" s="0" t="s">
        <v>4201</v>
      </c>
      <c r="V991" s="0" t="s">
        <v>234</v>
      </c>
      <c r="W991" s="0" t="s">
        <v>4495</v>
      </c>
      <c r="X991" s="0" t="s">
        <v>4496</v>
      </c>
      <c r="Y991" s="0" t="s">
        <v>4159</v>
      </c>
      <c r="Z991" s="0" t="s">
        <v>4160</v>
      </c>
      <c r="AB991" s="0" t="s">
        <v>4492</v>
      </c>
      <c r="AC991" s="0" t="s">
        <v>4162</v>
      </c>
      <c r="AD991" s="0" t="s">
        <v>4163</v>
      </c>
      <c r="AE991" s="0" t="s">
        <v>4164</v>
      </c>
      <c r="AF991" s="0" t="s">
        <v>4363</v>
      </c>
      <c r="AH991" s="0" t="s">
        <v>2239</v>
      </c>
      <c r="AL991" s="0" t="s">
        <v>523</v>
      </c>
    </row>
    <row r="992" customFormat="false" ht="15" hidden="false" customHeight="false" outlineLevel="0" collapsed="false">
      <c r="A992" s="0" t="s">
        <v>1597</v>
      </c>
      <c r="B992" s="0" t="s">
        <v>222</v>
      </c>
      <c r="C992" s="0" t="s">
        <v>4357</v>
      </c>
      <c r="D992" s="0" t="n">
        <v>2020</v>
      </c>
      <c r="E992" s="0" t="s">
        <v>56</v>
      </c>
      <c r="F992" s="0" t="n">
        <v>6219755</v>
      </c>
      <c r="G992" s="0" t="s">
        <v>3101</v>
      </c>
      <c r="H992" s="0" t="s">
        <v>3068</v>
      </c>
      <c r="I992" s="0" t="n">
        <v>6219755</v>
      </c>
      <c r="J992" s="0" t="s">
        <v>4155</v>
      </c>
      <c r="K992" s="0" t="s">
        <v>1927</v>
      </c>
      <c r="L992" s="0" t="n">
        <v>2020</v>
      </c>
      <c r="M992" s="0" t="s">
        <v>1928</v>
      </c>
      <c r="N992" s="0" t="s">
        <v>233</v>
      </c>
      <c r="O992" s="0" t="s">
        <v>2437</v>
      </c>
      <c r="P992" s="0" t="s">
        <v>4489</v>
      </c>
      <c r="Q992" s="0" t="n">
        <v>87</v>
      </c>
      <c r="R992" s="0" t="n">
        <v>85</v>
      </c>
      <c r="T992" s="0" t="s">
        <v>4200</v>
      </c>
      <c r="U992" s="0" t="s">
        <v>4201</v>
      </c>
      <c r="V992" s="0" t="s">
        <v>234</v>
      </c>
      <c r="W992" s="0" t="s">
        <v>4497</v>
      </c>
      <c r="X992" s="0" t="s">
        <v>4496</v>
      </c>
      <c r="Y992" s="0" t="s">
        <v>4159</v>
      </c>
      <c r="Z992" s="0" t="s">
        <v>4160</v>
      </c>
      <c r="AB992" s="0" t="s">
        <v>4492</v>
      </c>
      <c r="AC992" s="0" t="s">
        <v>4162</v>
      </c>
      <c r="AD992" s="0" t="s">
        <v>4163</v>
      </c>
      <c r="AE992" s="0" t="s">
        <v>4164</v>
      </c>
      <c r="AF992" s="0" t="s">
        <v>4363</v>
      </c>
      <c r="AH992" s="0" t="s">
        <v>2239</v>
      </c>
      <c r="AL992" s="0" t="s">
        <v>523</v>
      </c>
    </row>
    <row r="993" customFormat="false" ht="15" hidden="false" customHeight="false" outlineLevel="0" collapsed="false">
      <c r="A993" s="0" t="s">
        <v>1598</v>
      </c>
      <c r="B993" s="0" t="s">
        <v>222</v>
      </c>
      <c r="C993" s="0" t="s">
        <v>4357</v>
      </c>
      <c r="D993" s="0" t="n">
        <v>2020</v>
      </c>
      <c r="E993" s="0" t="s">
        <v>57</v>
      </c>
      <c r="F993" s="0" t="n">
        <v>905232</v>
      </c>
      <c r="G993" s="0" t="s">
        <v>3101</v>
      </c>
      <c r="H993" s="0" t="s">
        <v>3068</v>
      </c>
      <c r="I993" s="0" t="n">
        <v>905232</v>
      </c>
      <c r="J993" s="0" t="s">
        <v>4155</v>
      </c>
      <c r="K993" s="0" t="s">
        <v>1927</v>
      </c>
      <c r="L993" s="0" t="n">
        <v>2020</v>
      </c>
      <c r="M993" s="0" t="s">
        <v>1928</v>
      </c>
      <c r="N993" s="0" t="s">
        <v>233</v>
      </c>
      <c r="O993" s="0" t="s">
        <v>2437</v>
      </c>
      <c r="P993" s="0" t="s">
        <v>4489</v>
      </c>
      <c r="Q993" s="0" t="n">
        <v>87</v>
      </c>
      <c r="R993" s="0" t="n">
        <v>85</v>
      </c>
      <c r="T993" s="0" t="s">
        <v>4200</v>
      </c>
      <c r="U993" s="0" t="s">
        <v>4201</v>
      </c>
      <c r="V993" s="0" t="s">
        <v>234</v>
      </c>
      <c r="W993" s="0" t="s">
        <v>4498</v>
      </c>
      <c r="X993" s="0" t="s">
        <v>4496</v>
      </c>
      <c r="Y993" s="0" t="s">
        <v>4159</v>
      </c>
      <c r="Z993" s="0" t="s">
        <v>4160</v>
      </c>
      <c r="AB993" s="0" t="s">
        <v>4492</v>
      </c>
      <c r="AC993" s="0" t="s">
        <v>4162</v>
      </c>
      <c r="AD993" s="0" t="s">
        <v>4163</v>
      </c>
      <c r="AE993" s="0" t="s">
        <v>4164</v>
      </c>
      <c r="AF993" s="0" t="s">
        <v>4363</v>
      </c>
      <c r="AH993" s="0" t="s">
        <v>2239</v>
      </c>
      <c r="AL993" s="0" t="s">
        <v>523</v>
      </c>
    </row>
    <row r="994" customFormat="false" ht="15" hidden="false" customHeight="false" outlineLevel="0" collapsed="false">
      <c r="A994" s="0" t="s">
        <v>1600</v>
      </c>
      <c r="B994" s="0" t="s">
        <v>222</v>
      </c>
      <c r="C994" s="0" t="s">
        <v>4357</v>
      </c>
      <c r="D994" s="0" t="n">
        <v>2020</v>
      </c>
      <c r="E994" s="0" t="s">
        <v>59</v>
      </c>
      <c r="F994" s="0" t="n">
        <v>5435073</v>
      </c>
      <c r="G994" s="0" t="s">
        <v>3101</v>
      </c>
      <c r="H994" s="0" t="s">
        <v>3068</v>
      </c>
      <c r="I994" s="0" t="n">
        <v>5435073</v>
      </c>
      <c r="J994" s="0" t="s">
        <v>4155</v>
      </c>
      <c r="K994" s="0" t="s">
        <v>1927</v>
      </c>
      <c r="L994" s="0" t="n">
        <v>2020</v>
      </c>
      <c r="M994" s="0" t="s">
        <v>1928</v>
      </c>
      <c r="N994" s="0" t="s">
        <v>233</v>
      </c>
      <c r="O994" s="0" t="s">
        <v>2437</v>
      </c>
      <c r="P994" s="0" t="s">
        <v>4489</v>
      </c>
      <c r="Q994" s="0" t="n">
        <v>87</v>
      </c>
      <c r="R994" s="0" t="n">
        <v>85</v>
      </c>
      <c r="T994" s="0" t="s">
        <v>4460</v>
      </c>
      <c r="U994" s="0" t="s">
        <v>4201</v>
      </c>
      <c r="V994" s="0" t="s">
        <v>234</v>
      </c>
      <c r="W994" s="0" t="s">
        <v>4495</v>
      </c>
      <c r="X994" s="0" t="s">
        <v>4496</v>
      </c>
      <c r="Y994" s="0" t="s">
        <v>4159</v>
      </c>
      <c r="Z994" s="0" t="s">
        <v>4160</v>
      </c>
      <c r="AA994" s="0" t="s">
        <v>4373</v>
      </c>
      <c r="AB994" s="0" t="s">
        <v>4492</v>
      </c>
      <c r="AC994" s="0" t="s">
        <v>4162</v>
      </c>
      <c r="AD994" s="0" t="s">
        <v>4163</v>
      </c>
      <c r="AE994" s="0" t="s">
        <v>4164</v>
      </c>
      <c r="AF994" s="0" t="s">
        <v>4363</v>
      </c>
      <c r="AH994" s="0" t="s">
        <v>2239</v>
      </c>
      <c r="AL994" s="0" t="s">
        <v>523</v>
      </c>
    </row>
    <row r="995" customFormat="false" ht="15" hidden="false" customHeight="false" outlineLevel="0" collapsed="false">
      <c r="A995" s="0" t="s">
        <v>1599</v>
      </c>
      <c r="B995" s="0" t="s">
        <v>222</v>
      </c>
      <c r="C995" s="0" t="s">
        <v>4357</v>
      </c>
      <c r="D995" s="0" t="n">
        <v>2020</v>
      </c>
      <c r="E995" s="0" t="s">
        <v>58</v>
      </c>
      <c r="F995" s="0" t="n">
        <v>65920</v>
      </c>
      <c r="G995" s="0" t="s">
        <v>3101</v>
      </c>
      <c r="H995" s="0" t="s">
        <v>3068</v>
      </c>
      <c r="I995" s="0" t="n">
        <v>65920</v>
      </c>
      <c r="J995" s="0" t="s">
        <v>4155</v>
      </c>
      <c r="K995" s="0" t="s">
        <v>1927</v>
      </c>
      <c r="L995" s="0" t="n">
        <v>2020</v>
      </c>
      <c r="M995" s="0" t="s">
        <v>1928</v>
      </c>
      <c r="N995" s="0" t="s">
        <v>233</v>
      </c>
      <c r="O995" s="0" t="s">
        <v>2437</v>
      </c>
      <c r="P995" s="0" t="s">
        <v>4489</v>
      </c>
      <c r="Q995" s="0" t="n">
        <v>91</v>
      </c>
      <c r="R995" s="0" t="n">
        <v>89</v>
      </c>
      <c r="T995" s="0" t="s">
        <v>4499</v>
      </c>
      <c r="U995" s="0" t="s">
        <v>4201</v>
      </c>
      <c r="V995" s="0" t="s">
        <v>234</v>
      </c>
      <c r="W995" s="0" t="s">
        <v>4500</v>
      </c>
      <c r="X995" s="0" t="s">
        <v>4501</v>
      </c>
      <c r="Y995" s="0" t="s">
        <v>4159</v>
      </c>
      <c r="Z995" s="0" t="s">
        <v>4160</v>
      </c>
      <c r="AB995" s="0" t="s">
        <v>4492</v>
      </c>
      <c r="AC995" s="0" t="s">
        <v>4162</v>
      </c>
      <c r="AD995" s="0" t="s">
        <v>4163</v>
      </c>
      <c r="AE995" s="0" t="s">
        <v>4164</v>
      </c>
      <c r="AF995" s="0" t="s">
        <v>4363</v>
      </c>
      <c r="AH995" s="0" t="s">
        <v>2239</v>
      </c>
      <c r="AL995" s="0" t="s">
        <v>523</v>
      </c>
    </row>
    <row r="996" customFormat="false" ht="15" hidden="false" customHeight="false" outlineLevel="0" collapsed="false">
      <c r="A996" s="0" t="s">
        <v>1601</v>
      </c>
      <c r="B996" s="0" t="s">
        <v>222</v>
      </c>
      <c r="C996" s="0" t="s">
        <v>4357</v>
      </c>
      <c r="D996" s="0" t="n">
        <v>2020</v>
      </c>
      <c r="E996" s="0" t="s">
        <v>60</v>
      </c>
      <c r="F996" s="0" t="n">
        <v>2772663</v>
      </c>
      <c r="G996" s="0" t="s">
        <v>3101</v>
      </c>
      <c r="H996" s="0" t="s">
        <v>3068</v>
      </c>
      <c r="I996" s="0" t="n">
        <v>2772663</v>
      </c>
      <c r="J996" s="0" t="s">
        <v>4155</v>
      </c>
      <c r="K996" s="0" t="s">
        <v>1927</v>
      </c>
      <c r="L996" s="0" t="n">
        <v>2020</v>
      </c>
      <c r="M996" s="0" t="s">
        <v>1928</v>
      </c>
      <c r="N996" s="0" t="s">
        <v>233</v>
      </c>
      <c r="O996" s="0" t="s">
        <v>2437</v>
      </c>
      <c r="P996" s="0" t="s">
        <v>4489</v>
      </c>
      <c r="Q996" s="0" t="n">
        <v>208</v>
      </c>
      <c r="R996" s="0" t="n">
        <v>206</v>
      </c>
      <c r="S996" s="0" t="n">
        <v>20</v>
      </c>
      <c r="T996" s="0" t="s">
        <v>4200</v>
      </c>
      <c r="U996" s="0" t="s">
        <v>4201</v>
      </c>
      <c r="V996" s="0" t="s">
        <v>234</v>
      </c>
      <c r="W996" s="0" t="s">
        <v>4502</v>
      </c>
      <c r="X996" s="0" t="s">
        <v>4503</v>
      </c>
      <c r="Y996" s="0" t="s">
        <v>4159</v>
      </c>
      <c r="Z996" s="0" t="s">
        <v>4160</v>
      </c>
      <c r="AB996" s="0" t="s">
        <v>4492</v>
      </c>
      <c r="AC996" s="0" t="s">
        <v>4162</v>
      </c>
      <c r="AD996" s="0" t="s">
        <v>4163</v>
      </c>
      <c r="AE996" s="0" t="s">
        <v>4164</v>
      </c>
      <c r="AF996" s="0" t="s">
        <v>4363</v>
      </c>
      <c r="AH996" s="0" t="s">
        <v>2239</v>
      </c>
      <c r="AL996" s="0" t="s">
        <v>523</v>
      </c>
    </row>
    <row r="997" customFormat="false" ht="15" hidden="false" customHeight="false" outlineLevel="0" collapsed="false">
      <c r="A997" s="0" t="s">
        <v>1602</v>
      </c>
      <c r="B997" s="0" t="s">
        <v>222</v>
      </c>
      <c r="C997" s="0" t="s">
        <v>4357</v>
      </c>
      <c r="D997" s="0" t="n">
        <v>2020</v>
      </c>
      <c r="E997" s="0" t="s">
        <v>61</v>
      </c>
      <c r="F997" s="0" t="n">
        <v>-132866</v>
      </c>
      <c r="G997" s="0" t="s">
        <v>3101</v>
      </c>
      <c r="H997" s="0" t="s">
        <v>3068</v>
      </c>
      <c r="I997" s="0" t="n">
        <v>132866</v>
      </c>
      <c r="J997" s="0" t="s">
        <v>4155</v>
      </c>
      <c r="K997" s="0" t="s">
        <v>1927</v>
      </c>
      <c r="L997" s="0" t="n">
        <v>2020</v>
      </c>
      <c r="M997" s="0" t="s">
        <v>1928</v>
      </c>
      <c r="N997" s="0" t="s">
        <v>233</v>
      </c>
      <c r="O997" s="0" t="s">
        <v>2437</v>
      </c>
      <c r="P997" s="0" t="s">
        <v>4489</v>
      </c>
      <c r="Q997" s="0" t="n">
        <v>208</v>
      </c>
      <c r="R997" s="0" t="n">
        <v>206</v>
      </c>
      <c r="S997" s="0" t="n">
        <v>20</v>
      </c>
      <c r="T997" s="0" t="s">
        <v>4200</v>
      </c>
      <c r="U997" s="0" t="s">
        <v>4201</v>
      </c>
      <c r="V997" s="0" t="s">
        <v>234</v>
      </c>
      <c r="W997" s="0" t="s">
        <v>4504</v>
      </c>
      <c r="X997" s="0" t="s">
        <v>4503</v>
      </c>
      <c r="Y997" s="0" t="s">
        <v>4159</v>
      </c>
      <c r="Z997" s="0" t="s">
        <v>4160</v>
      </c>
      <c r="AA997" s="0" t="s">
        <v>4242</v>
      </c>
      <c r="AB997" s="0" t="s">
        <v>4492</v>
      </c>
      <c r="AC997" s="0" t="s">
        <v>4162</v>
      </c>
      <c r="AD997" s="0" t="s">
        <v>4163</v>
      </c>
      <c r="AE997" s="0" t="s">
        <v>4164</v>
      </c>
      <c r="AF997" s="0" t="s">
        <v>4363</v>
      </c>
      <c r="AH997" s="0" t="s">
        <v>4174</v>
      </c>
      <c r="AI997" s="0" t="s">
        <v>4184</v>
      </c>
      <c r="AL997" s="0" t="s">
        <v>523</v>
      </c>
    </row>
    <row r="998" customFormat="false" ht="15" hidden="false" customHeight="false" outlineLevel="0" collapsed="false">
      <c r="A998" s="0" t="s">
        <v>1603</v>
      </c>
      <c r="B998" s="0" t="s">
        <v>222</v>
      </c>
      <c r="C998" s="0" t="s">
        <v>4357</v>
      </c>
      <c r="D998" s="0" t="n">
        <v>2020</v>
      </c>
      <c r="E998" s="0" t="s">
        <v>62</v>
      </c>
      <c r="F998" s="0" t="n">
        <v>2639797</v>
      </c>
      <c r="G998" s="0" t="s">
        <v>3101</v>
      </c>
      <c r="H998" s="0" t="s">
        <v>3068</v>
      </c>
      <c r="I998" s="0" t="n">
        <v>2639797</v>
      </c>
      <c r="J998" s="0" t="s">
        <v>4155</v>
      </c>
      <c r="K998" s="0" t="s">
        <v>1927</v>
      </c>
      <c r="L998" s="0" t="n">
        <v>2020</v>
      </c>
      <c r="M998" s="0" t="s">
        <v>1928</v>
      </c>
      <c r="N998" s="0" t="s">
        <v>233</v>
      </c>
      <c r="O998" s="0" t="s">
        <v>2437</v>
      </c>
      <c r="P998" s="0" t="s">
        <v>4489</v>
      </c>
      <c r="Q998" s="0" t="n">
        <v>208</v>
      </c>
      <c r="R998" s="0" t="n">
        <v>206</v>
      </c>
      <c r="S998" s="0" t="n">
        <v>20</v>
      </c>
      <c r="T998" s="0" t="s">
        <v>4200</v>
      </c>
      <c r="U998" s="0" t="s">
        <v>4201</v>
      </c>
      <c r="V998" s="0" t="s">
        <v>234</v>
      </c>
      <c r="W998" s="0" t="s">
        <v>4505</v>
      </c>
      <c r="X998" s="0" t="s">
        <v>4503</v>
      </c>
      <c r="Y998" s="0" t="s">
        <v>4159</v>
      </c>
      <c r="Z998" s="0" t="s">
        <v>4160</v>
      </c>
      <c r="AA998" s="0" t="s">
        <v>4506</v>
      </c>
      <c r="AB998" s="0" t="s">
        <v>4492</v>
      </c>
      <c r="AC998" s="0" t="s">
        <v>4162</v>
      </c>
      <c r="AD998" s="0" t="s">
        <v>4163</v>
      </c>
      <c r="AE998" s="0" t="s">
        <v>4164</v>
      </c>
      <c r="AF998" s="0" t="s">
        <v>4363</v>
      </c>
      <c r="AH998" s="0" t="s">
        <v>2239</v>
      </c>
      <c r="AL998" s="0" t="s">
        <v>523</v>
      </c>
    </row>
    <row r="999" customFormat="false" ht="15" hidden="false" customHeight="false" outlineLevel="0" collapsed="false">
      <c r="A999" s="0" t="s">
        <v>1058</v>
      </c>
      <c r="B999" s="0" t="s">
        <v>136</v>
      </c>
      <c r="C999" s="0" t="s">
        <v>4507</v>
      </c>
      <c r="D999" s="0" t="n">
        <v>2019</v>
      </c>
      <c r="E999" s="0" t="s">
        <v>55</v>
      </c>
      <c r="F999" s="0" t="n">
        <v>3097248495</v>
      </c>
      <c r="G999" s="0" t="s">
        <v>3067</v>
      </c>
      <c r="H999" s="0" t="s">
        <v>3068</v>
      </c>
      <c r="I999" s="0" t="n">
        <v>3097248.495</v>
      </c>
      <c r="J999" s="0" t="s">
        <v>4508</v>
      </c>
      <c r="K999" s="0" t="s">
        <v>1919</v>
      </c>
      <c r="L999" s="0" t="n">
        <v>2019</v>
      </c>
      <c r="M999" s="0" t="s">
        <v>1920</v>
      </c>
      <c r="N999" s="0" t="s">
        <v>143</v>
      </c>
      <c r="O999" s="0" t="s">
        <v>2438</v>
      </c>
      <c r="P999" s="0" t="s">
        <v>4509</v>
      </c>
      <c r="Q999" s="0" t="n">
        <v>79</v>
      </c>
      <c r="R999" s="0" t="n">
        <v>77</v>
      </c>
      <c r="T999" s="0" t="s">
        <v>4510</v>
      </c>
      <c r="U999" s="0" t="s">
        <v>4461</v>
      </c>
      <c r="V999" s="0" t="s">
        <v>93</v>
      </c>
      <c r="W999" s="0" t="s">
        <v>4511</v>
      </c>
      <c r="X999" s="0" t="s">
        <v>4512</v>
      </c>
      <c r="Y999" s="0" t="s">
        <v>4159</v>
      </c>
      <c r="Z999" s="0" t="s">
        <v>4160</v>
      </c>
      <c r="AB999" s="0" t="s">
        <v>4513</v>
      </c>
      <c r="AC999" s="0" t="s">
        <v>4162</v>
      </c>
      <c r="AD999" s="0" t="s">
        <v>4163</v>
      </c>
      <c r="AE999" s="0" t="s">
        <v>4164</v>
      </c>
      <c r="AF999" s="0" t="s">
        <v>4514</v>
      </c>
      <c r="AH999" s="0" t="s">
        <v>2239</v>
      </c>
      <c r="AL999" s="0" t="s">
        <v>523</v>
      </c>
    </row>
    <row r="1000" customFormat="false" ht="15" hidden="false" customHeight="false" outlineLevel="0" collapsed="false">
      <c r="A1000" s="0" t="s">
        <v>1059</v>
      </c>
      <c r="B1000" s="0" t="s">
        <v>136</v>
      </c>
      <c r="C1000" s="0" t="s">
        <v>4507</v>
      </c>
      <c r="D1000" s="0" t="n">
        <v>2019</v>
      </c>
      <c r="E1000" s="0" t="s">
        <v>56</v>
      </c>
      <c r="F1000" s="0" t="n">
        <v>2491358899</v>
      </c>
      <c r="G1000" s="0" t="s">
        <v>3067</v>
      </c>
      <c r="H1000" s="0" t="s">
        <v>3068</v>
      </c>
      <c r="I1000" s="0" t="n">
        <v>2491358.899</v>
      </c>
      <c r="J1000" s="0" t="s">
        <v>4508</v>
      </c>
      <c r="K1000" s="0" t="s">
        <v>1919</v>
      </c>
      <c r="L1000" s="0" t="n">
        <v>2019</v>
      </c>
      <c r="M1000" s="0" t="s">
        <v>1920</v>
      </c>
      <c r="N1000" s="0" t="s">
        <v>143</v>
      </c>
      <c r="O1000" s="0" t="s">
        <v>2438</v>
      </c>
      <c r="P1000" s="0" t="s">
        <v>4509</v>
      </c>
      <c r="Q1000" s="0" t="n">
        <v>79</v>
      </c>
      <c r="R1000" s="0" t="n">
        <v>77</v>
      </c>
      <c r="T1000" s="0" t="s">
        <v>4510</v>
      </c>
      <c r="U1000" s="0" t="s">
        <v>4461</v>
      </c>
      <c r="V1000" s="0" t="s">
        <v>93</v>
      </c>
      <c r="W1000" s="0" t="s">
        <v>4515</v>
      </c>
      <c r="X1000" s="0" t="s">
        <v>4512</v>
      </c>
      <c r="Y1000" s="0" t="s">
        <v>4159</v>
      </c>
      <c r="Z1000" s="0" t="s">
        <v>4160</v>
      </c>
      <c r="AB1000" s="0" t="s">
        <v>4513</v>
      </c>
      <c r="AC1000" s="0" t="s">
        <v>4162</v>
      </c>
      <c r="AD1000" s="0" t="s">
        <v>4163</v>
      </c>
      <c r="AE1000" s="0" t="s">
        <v>4164</v>
      </c>
      <c r="AF1000" s="0" t="s">
        <v>4514</v>
      </c>
      <c r="AH1000" s="0" t="s">
        <v>2239</v>
      </c>
      <c r="AL1000" s="0" t="s">
        <v>523</v>
      </c>
    </row>
    <row r="1001" customFormat="false" ht="15" hidden="false" customHeight="false" outlineLevel="0" collapsed="false">
      <c r="A1001" s="0" t="s">
        <v>1060</v>
      </c>
      <c r="B1001" s="0" t="s">
        <v>136</v>
      </c>
      <c r="C1001" s="0" t="s">
        <v>4507</v>
      </c>
      <c r="D1001" s="0" t="n">
        <v>2019</v>
      </c>
      <c r="E1001" s="0" t="s">
        <v>57</v>
      </c>
      <c r="F1001" s="0" t="n">
        <v>605889596</v>
      </c>
      <c r="G1001" s="0" t="s">
        <v>3067</v>
      </c>
      <c r="H1001" s="0" t="s">
        <v>3068</v>
      </c>
      <c r="I1001" s="0" t="n">
        <v>605889.596</v>
      </c>
      <c r="J1001" s="0" t="s">
        <v>4508</v>
      </c>
      <c r="K1001" s="0" t="s">
        <v>1919</v>
      </c>
      <c r="L1001" s="0" t="n">
        <v>2019</v>
      </c>
      <c r="M1001" s="0" t="s">
        <v>1920</v>
      </c>
      <c r="N1001" s="0" t="s">
        <v>143</v>
      </c>
      <c r="O1001" s="0" t="s">
        <v>2438</v>
      </c>
      <c r="P1001" s="0" t="s">
        <v>4509</v>
      </c>
      <c r="Q1001" s="0" t="n">
        <v>80</v>
      </c>
      <c r="R1001" s="0" t="n">
        <v>78</v>
      </c>
      <c r="T1001" s="0" t="s">
        <v>4510</v>
      </c>
      <c r="U1001" s="0" t="s">
        <v>4461</v>
      </c>
      <c r="V1001" s="0" t="s">
        <v>93</v>
      </c>
      <c r="W1001" s="0" t="s">
        <v>4516</v>
      </c>
      <c r="X1001" s="0" t="s">
        <v>4517</v>
      </c>
      <c r="Y1001" s="0" t="s">
        <v>4159</v>
      </c>
      <c r="Z1001" s="0" t="s">
        <v>4160</v>
      </c>
      <c r="AB1001" s="0" t="s">
        <v>4513</v>
      </c>
      <c r="AC1001" s="0" t="s">
        <v>4162</v>
      </c>
      <c r="AD1001" s="0" t="s">
        <v>4163</v>
      </c>
      <c r="AE1001" s="0" t="s">
        <v>4164</v>
      </c>
      <c r="AF1001" s="0" t="s">
        <v>4514</v>
      </c>
      <c r="AH1001" s="0" t="s">
        <v>2239</v>
      </c>
      <c r="AL1001" s="0" t="s">
        <v>523</v>
      </c>
    </row>
    <row r="1002" customFormat="false" ht="15" hidden="false" customHeight="false" outlineLevel="0" collapsed="false">
      <c r="A1002" s="0" t="s">
        <v>1062</v>
      </c>
      <c r="B1002" s="0" t="s">
        <v>136</v>
      </c>
      <c r="C1002" s="0" t="s">
        <v>4507</v>
      </c>
      <c r="D1002" s="0" t="n">
        <v>2019</v>
      </c>
      <c r="E1002" s="0" t="s">
        <v>59</v>
      </c>
      <c r="F1002" s="0" t="n">
        <v>2712521494</v>
      </c>
      <c r="G1002" s="0" t="s">
        <v>3067</v>
      </c>
      <c r="H1002" s="0" t="s">
        <v>3068</v>
      </c>
      <c r="I1002" s="0" t="n">
        <v>2712521.494</v>
      </c>
      <c r="J1002" s="0" t="s">
        <v>4508</v>
      </c>
      <c r="K1002" s="0" t="s">
        <v>1919</v>
      </c>
      <c r="L1002" s="0" t="n">
        <v>2019</v>
      </c>
      <c r="M1002" s="0" t="s">
        <v>1920</v>
      </c>
      <c r="N1002" s="0" t="s">
        <v>143</v>
      </c>
      <c r="O1002" s="0" t="s">
        <v>2438</v>
      </c>
      <c r="P1002" s="0" t="s">
        <v>4509</v>
      </c>
      <c r="Q1002" s="0" t="n">
        <v>79</v>
      </c>
      <c r="R1002" s="0" t="n">
        <v>77</v>
      </c>
      <c r="T1002" s="0" t="s">
        <v>4518</v>
      </c>
      <c r="U1002" s="0" t="s">
        <v>4461</v>
      </c>
      <c r="V1002" s="0" t="s">
        <v>93</v>
      </c>
      <c r="W1002" s="0" t="s">
        <v>4511</v>
      </c>
      <c r="X1002" s="0" t="s">
        <v>4512</v>
      </c>
      <c r="Y1002" s="0" t="s">
        <v>4159</v>
      </c>
      <c r="Z1002" s="0" t="s">
        <v>4160</v>
      </c>
      <c r="AA1002" s="0" t="s">
        <v>4519</v>
      </c>
      <c r="AB1002" s="0" t="s">
        <v>4513</v>
      </c>
      <c r="AC1002" s="0" t="s">
        <v>4162</v>
      </c>
      <c r="AD1002" s="0" t="s">
        <v>4163</v>
      </c>
      <c r="AE1002" s="0" t="s">
        <v>4164</v>
      </c>
      <c r="AF1002" s="0" t="s">
        <v>4514</v>
      </c>
      <c r="AH1002" s="0" t="s">
        <v>2239</v>
      </c>
      <c r="AL1002" s="0" t="s">
        <v>523</v>
      </c>
    </row>
    <row r="1003" customFormat="false" ht="15" hidden="false" customHeight="false" outlineLevel="0" collapsed="false">
      <c r="A1003" s="0" t="s">
        <v>1057</v>
      </c>
      <c r="B1003" s="0" t="s">
        <v>136</v>
      </c>
      <c r="C1003" s="0" t="s">
        <v>4507</v>
      </c>
      <c r="D1003" s="0" t="n">
        <v>2019</v>
      </c>
      <c r="E1003" s="0" t="s">
        <v>54</v>
      </c>
      <c r="F1003" s="0" t="n">
        <v>175125281</v>
      </c>
      <c r="G1003" s="0" t="s">
        <v>3067</v>
      </c>
      <c r="H1003" s="0" t="s">
        <v>3068</v>
      </c>
      <c r="I1003" s="0" t="n">
        <v>175125.281</v>
      </c>
      <c r="J1003" s="0" t="s">
        <v>4508</v>
      </c>
      <c r="K1003" s="0" t="s">
        <v>1919</v>
      </c>
      <c r="L1003" s="0" t="n">
        <v>2019</v>
      </c>
      <c r="M1003" s="0" t="s">
        <v>1920</v>
      </c>
      <c r="N1003" s="0" t="s">
        <v>143</v>
      </c>
      <c r="O1003" s="0" t="s">
        <v>2438</v>
      </c>
      <c r="P1003" s="0" t="s">
        <v>4509</v>
      </c>
      <c r="Q1003" s="0" t="n">
        <v>81</v>
      </c>
      <c r="R1003" s="0" t="n">
        <v>79</v>
      </c>
      <c r="T1003" s="0" t="s">
        <v>4510</v>
      </c>
      <c r="U1003" s="0" t="s">
        <v>4461</v>
      </c>
      <c r="V1003" s="0" t="s">
        <v>93</v>
      </c>
      <c r="W1003" s="0" t="s">
        <v>4520</v>
      </c>
      <c r="X1003" s="0" t="s">
        <v>4521</v>
      </c>
      <c r="Y1003" s="0" t="s">
        <v>4159</v>
      </c>
      <c r="Z1003" s="0" t="s">
        <v>4160</v>
      </c>
      <c r="AB1003" s="0" t="s">
        <v>4513</v>
      </c>
      <c r="AC1003" s="0" t="s">
        <v>4162</v>
      </c>
      <c r="AD1003" s="0" t="s">
        <v>4163</v>
      </c>
      <c r="AE1003" s="0" t="s">
        <v>4164</v>
      </c>
      <c r="AF1003" s="0" t="s">
        <v>4514</v>
      </c>
      <c r="AH1003" s="0" t="s">
        <v>2239</v>
      </c>
      <c r="AL1003" s="0" t="s">
        <v>523</v>
      </c>
    </row>
    <row r="1004" customFormat="false" ht="15" hidden="false" customHeight="false" outlineLevel="0" collapsed="false">
      <c r="A1004" s="0" t="s">
        <v>1076</v>
      </c>
      <c r="B1004" s="0" t="s">
        <v>136</v>
      </c>
      <c r="C1004" s="0" t="s">
        <v>4507</v>
      </c>
      <c r="D1004" s="0" t="n">
        <v>2019</v>
      </c>
      <c r="E1004" s="0" t="s">
        <v>541</v>
      </c>
      <c r="F1004" s="0" t="n">
        <v>200177890</v>
      </c>
      <c r="G1004" s="0" t="s">
        <v>3067</v>
      </c>
      <c r="H1004" s="0" t="s">
        <v>3068</v>
      </c>
      <c r="I1004" s="0" t="n">
        <v>200177.89</v>
      </c>
      <c r="J1004" s="0" t="s">
        <v>4508</v>
      </c>
      <c r="K1004" s="0" t="s">
        <v>1919</v>
      </c>
      <c r="L1004" s="0" t="n">
        <v>2019</v>
      </c>
      <c r="M1004" s="0" t="s">
        <v>1920</v>
      </c>
      <c r="N1004" s="0" t="s">
        <v>143</v>
      </c>
      <c r="O1004" s="0" t="s">
        <v>2438</v>
      </c>
      <c r="P1004" s="0" t="s">
        <v>4509</v>
      </c>
      <c r="Q1004" s="0" t="n">
        <v>81</v>
      </c>
      <c r="R1004" s="0" t="n">
        <v>79</v>
      </c>
      <c r="T1004" s="0" t="s">
        <v>4510</v>
      </c>
      <c r="U1004" s="0" t="s">
        <v>4461</v>
      </c>
      <c r="V1004" s="0" t="s">
        <v>93</v>
      </c>
      <c r="W1004" s="0" t="s">
        <v>4522</v>
      </c>
      <c r="X1004" s="0" t="s">
        <v>4521</v>
      </c>
      <c r="Y1004" s="0" t="s">
        <v>4159</v>
      </c>
      <c r="Z1004" s="0" t="s">
        <v>4160</v>
      </c>
      <c r="AB1004" s="0" t="s">
        <v>4513</v>
      </c>
      <c r="AC1004" s="0" t="s">
        <v>4162</v>
      </c>
      <c r="AD1004" s="0" t="s">
        <v>4163</v>
      </c>
      <c r="AE1004" s="0" t="s">
        <v>4164</v>
      </c>
      <c r="AF1004" s="0" t="s">
        <v>4514</v>
      </c>
      <c r="AH1004" s="0" t="s">
        <v>2239</v>
      </c>
      <c r="AL1004" s="0" t="s">
        <v>523</v>
      </c>
    </row>
    <row r="1005" customFormat="false" ht="15" hidden="false" customHeight="false" outlineLevel="0" collapsed="false">
      <c r="A1005" s="0" t="s">
        <v>1067</v>
      </c>
      <c r="B1005" s="0" t="s">
        <v>136</v>
      </c>
      <c r="C1005" s="0" t="s">
        <v>4507</v>
      </c>
      <c r="D1005" s="0" t="n">
        <v>2019</v>
      </c>
      <c r="E1005" s="0" t="s">
        <v>307</v>
      </c>
      <c r="F1005" s="0" t="n">
        <v>-2221501</v>
      </c>
      <c r="G1005" s="0" t="s">
        <v>3067</v>
      </c>
      <c r="H1005" s="0" t="s">
        <v>3068</v>
      </c>
      <c r="I1005" s="0" t="n">
        <v>2221.501</v>
      </c>
      <c r="J1005" s="0" t="s">
        <v>4508</v>
      </c>
      <c r="K1005" s="0" t="s">
        <v>1919</v>
      </c>
      <c r="L1005" s="0" t="n">
        <v>2019</v>
      </c>
      <c r="M1005" s="0" t="s">
        <v>1920</v>
      </c>
      <c r="N1005" s="0" t="s">
        <v>143</v>
      </c>
      <c r="O1005" s="0" t="s">
        <v>2438</v>
      </c>
      <c r="P1005" s="0" t="s">
        <v>4509</v>
      </c>
      <c r="Q1005" s="0" t="n">
        <v>81</v>
      </c>
      <c r="R1005" s="0" t="n">
        <v>79</v>
      </c>
      <c r="S1005" s="0" t="n">
        <v>11</v>
      </c>
      <c r="T1005" s="0" t="s">
        <v>4510</v>
      </c>
      <c r="U1005" s="0" t="s">
        <v>4461</v>
      </c>
      <c r="V1005" s="0" t="s">
        <v>93</v>
      </c>
      <c r="W1005" s="0" t="s">
        <v>4523</v>
      </c>
      <c r="X1005" s="0" t="s">
        <v>4521</v>
      </c>
      <c r="Y1005" s="0" t="s">
        <v>4159</v>
      </c>
      <c r="Z1005" s="0" t="s">
        <v>4160</v>
      </c>
      <c r="AA1005" s="0" t="s">
        <v>4524</v>
      </c>
      <c r="AB1005" s="0" t="s">
        <v>4513</v>
      </c>
      <c r="AC1005" s="0" t="s">
        <v>4162</v>
      </c>
      <c r="AD1005" s="0" t="s">
        <v>4163</v>
      </c>
      <c r="AE1005" s="0" t="s">
        <v>4164</v>
      </c>
      <c r="AF1005" s="0" t="s">
        <v>4514</v>
      </c>
      <c r="AH1005" s="0" t="s">
        <v>4174</v>
      </c>
      <c r="AI1005" s="0" t="s">
        <v>4175</v>
      </c>
      <c r="AL1005" s="0" t="s">
        <v>523</v>
      </c>
    </row>
    <row r="1006" customFormat="false" ht="15" hidden="false" customHeight="false" outlineLevel="0" collapsed="false">
      <c r="A1006" s="0" t="s">
        <v>1068</v>
      </c>
      <c r="B1006" s="0" t="s">
        <v>136</v>
      </c>
      <c r="C1006" s="0" t="s">
        <v>4507</v>
      </c>
      <c r="D1006" s="0" t="n">
        <v>2019</v>
      </c>
      <c r="E1006" s="0" t="s">
        <v>1038</v>
      </c>
      <c r="F1006" s="0" t="n">
        <v>362254</v>
      </c>
      <c r="G1006" s="0" t="s">
        <v>3067</v>
      </c>
      <c r="H1006" s="0" t="s">
        <v>3068</v>
      </c>
      <c r="I1006" s="0" t="n">
        <v>-362.254</v>
      </c>
      <c r="J1006" s="0" t="s">
        <v>4508</v>
      </c>
      <c r="K1006" s="0" t="s">
        <v>1919</v>
      </c>
      <c r="L1006" s="0" t="n">
        <v>2019</v>
      </c>
      <c r="M1006" s="0" t="s">
        <v>1920</v>
      </c>
      <c r="N1006" s="0" t="s">
        <v>143</v>
      </c>
      <c r="O1006" s="0" t="s">
        <v>2438</v>
      </c>
      <c r="P1006" s="0" t="s">
        <v>4509</v>
      </c>
      <c r="Q1006" s="0" t="n">
        <v>81</v>
      </c>
      <c r="R1006" s="0" t="n">
        <v>79</v>
      </c>
      <c r="S1006" s="0" t="n">
        <v>16</v>
      </c>
      <c r="T1006" s="0" t="s">
        <v>4510</v>
      </c>
      <c r="U1006" s="0" t="s">
        <v>4461</v>
      </c>
      <c r="V1006" s="0" t="s">
        <v>93</v>
      </c>
      <c r="W1006" s="0" t="s">
        <v>4525</v>
      </c>
      <c r="X1006" s="0" t="s">
        <v>4521</v>
      </c>
      <c r="Y1006" s="0" t="s">
        <v>4159</v>
      </c>
      <c r="Z1006" s="0" t="s">
        <v>4160</v>
      </c>
      <c r="AA1006" s="0" t="s">
        <v>4526</v>
      </c>
      <c r="AB1006" s="0" t="s">
        <v>4513</v>
      </c>
      <c r="AC1006" s="0" t="s">
        <v>4162</v>
      </c>
      <c r="AD1006" s="0" t="s">
        <v>4163</v>
      </c>
      <c r="AE1006" s="0" t="s">
        <v>4164</v>
      </c>
      <c r="AF1006" s="0" t="s">
        <v>4514</v>
      </c>
      <c r="AH1006" s="0" t="s">
        <v>4174</v>
      </c>
      <c r="AI1006" s="0" t="s">
        <v>4175</v>
      </c>
      <c r="AL1006" s="0" t="s">
        <v>523</v>
      </c>
    </row>
    <row r="1007" customFormat="false" ht="15" hidden="false" customHeight="false" outlineLevel="0" collapsed="false">
      <c r="A1007" s="0" t="s">
        <v>1061</v>
      </c>
      <c r="B1007" s="0" t="s">
        <v>136</v>
      </c>
      <c r="C1007" s="0" t="s">
        <v>4507</v>
      </c>
      <c r="D1007" s="0" t="n">
        <v>2019</v>
      </c>
      <c r="E1007" s="0" t="s">
        <v>58</v>
      </c>
      <c r="F1007" s="0" t="n">
        <v>197853667</v>
      </c>
      <c r="G1007" s="0" t="s">
        <v>3067</v>
      </c>
      <c r="H1007" s="0" t="s">
        <v>3068</v>
      </c>
      <c r="I1007" s="0" t="n">
        <v>197853.667</v>
      </c>
      <c r="J1007" s="0" t="s">
        <v>4508</v>
      </c>
      <c r="K1007" s="0" t="s">
        <v>1919</v>
      </c>
      <c r="L1007" s="0" t="n">
        <v>2019</v>
      </c>
      <c r="M1007" s="0" t="s">
        <v>1920</v>
      </c>
      <c r="N1007" s="0" t="s">
        <v>143</v>
      </c>
      <c r="O1007" s="0" t="s">
        <v>2438</v>
      </c>
      <c r="P1007" s="0" t="s">
        <v>4509</v>
      </c>
      <c r="Q1007" s="0" t="n">
        <v>87</v>
      </c>
      <c r="R1007" s="0" t="n">
        <v>85</v>
      </c>
      <c r="T1007" s="0" t="s">
        <v>4510</v>
      </c>
      <c r="U1007" s="0" t="s">
        <v>4461</v>
      </c>
      <c r="V1007" s="0" t="s">
        <v>93</v>
      </c>
      <c r="W1007" s="0" t="s">
        <v>4527</v>
      </c>
      <c r="X1007" s="0" t="s">
        <v>4528</v>
      </c>
      <c r="Y1007" s="0" t="s">
        <v>4159</v>
      </c>
      <c r="Z1007" s="0" t="s">
        <v>4160</v>
      </c>
      <c r="AB1007" s="0" t="s">
        <v>4513</v>
      </c>
      <c r="AC1007" s="0" t="s">
        <v>4162</v>
      </c>
      <c r="AD1007" s="0" t="s">
        <v>4163</v>
      </c>
      <c r="AE1007" s="0" t="s">
        <v>4164</v>
      </c>
      <c r="AF1007" s="0" t="s">
        <v>4514</v>
      </c>
      <c r="AH1007" s="0" t="s">
        <v>2239</v>
      </c>
      <c r="AL1007" s="0" t="s">
        <v>523</v>
      </c>
    </row>
    <row r="1008" customFormat="false" ht="15" hidden="false" customHeight="false" outlineLevel="0" collapsed="false">
      <c r="A1008" s="0" t="s">
        <v>4529</v>
      </c>
      <c r="B1008" s="0" t="s">
        <v>136</v>
      </c>
      <c r="C1008" s="0" t="s">
        <v>4507</v>
      </c>
      <c r="D1008" s="0" t="n">
        <v>2019</v>
      </c>
      <c r="E1008" s="0" t="s">
        <v>4530</v>
      </c>
      <c r="F1008" s="0" t="n">
        <v>155378003</v>
      </c>
      <c r="G1008" s="0" t="s">
        <v>3067</v>
      </c>
      <c r="H1008" s="0" t="s">
        <v>3068</v>
      </c>
      <c r="I1008" s="0" t="n">
        <v>155378.003</v>
      </c>
      <c r="J1008" s="0" t="s">
        <v>4508</v>
      </c>
      <c r="K1008" s="0" t="s">
        <v>1919</v>
      </c>
      <c r="L1008" s="0" t="n">
        <v>2019</v>
      </c>
      <c r="M1008" s="0" t="s">
        <v>1920</v>
      </c>
      <c r="N1008" s="0" t="s">
        <v>143</v>
      </c>
      <c r="O1008" s="0" t="s">
        <v>2438</v>
      </c>
      <c r="P1008" s="0" t="s">
        <v>4509</v>
      </c>
      <c r="Q1008" s="0" t="n">
        <v>256</v>
      </c>
      <c r="R1008" s="0" t="n">
        <v>254</v>
      </c>
      <c r="S1008" s="0" t="n">
        <v>29</v>
      </c>
      <c r="T1008" s="0" t="s">
        <v>4510</v>
      </c>
      <c r="U1008" s="0" t="s">
        <v>4461</v>
      </c>
      <c r="V1008" s="0" t="s">
        <v>93</v>
      </c>
      <c r="W1008" s="0" t="s">
        <v>4531</v>
      </c>
      <c r="X1008" s="0" t="s">
        <v>4532</v>
      </c>
      <c r="Y1008" s="0" t="s">
        <v>4159</v>
      </c>
      <c r="Z1008" s="0" t="s">
        <v>4160</v>
      </c>
      <c r="AB1008" s="0" t="s">
        <v>4513</v>
      </c>
      <c r="AC1008" s="0" t="s">
        <v>4162</v>
      </c>
      <c r="AD1008" s="0" t="s">
        <v>4163</v>
      </c>
      <c r="AE1008" s="0" t="s">
        <v>4164</v>
      </c>
      <c r="AF1008" s="0" t="s">
        <v>4514</v>
      </c>
      <c r="AH1008" s="0" t="s">
        <v>2239</v>
      </c>
      <c r="AL1008" s="0" t="s">
        <v>523</v>
      </c>
    </row>
    <row r="1009" customFormat="false" ht="15" hidden="false" customHeight="false" outlineLevel="0" collapsed="false">
      <c r="A1009" s="0" t="s">
        <v>4533</v>
      </c>
      <c r="B1009" s="0" t="s">
        <v>136</v>
      </c>
      <c r="C1009" s="0" t="s">
        <v>4507</v>
      </c>
      <c r="D1009" s="0" t="n">
        <v>2019</v>
      </c>
      <c r="E1009" s="0" t="s">
        <v>4534</v>
      </c>
      <c r="F1009" s="0" t="n">
        <v>-6380109</v>
      </c>
      <c r="G1009" s="0" t="s">
        <v>3067</v>
      </c>
      <c r="H1009" s="0" t="s">
        <v>3068</v>
      </c>
      <c r="I1009" s="0" t="n">
        <v>6380.109</v>
      </c>
      <c r="J1009" s="0" t="s">
        <v>4508</v>
      </c>
      <c r="K1009" s="0" t="s">
        <v>1919</v>
      </c>
      <c r="L1009" s="0" t="n">
        <v>2019</v>
      </c>
      <c r="M1009" s="0" t="s">
        <v>1920</v>
      </c>
      <c r="N1009" s="0" t="s">
        <v>143</v>
      </c>
      <c r="O1009" s="0" t="s">
        <v>2438</v>
      </c>
      <c r="P1009" s="0" t="s">
        <v>4509</v>
      </c>
      <c r="Q1009" s="0" t="n">
        <v>256</v>
      </c>
      <c r="R1009" s="0" t="n">
        <v>254</v>
      </c>
      <c r="S1009" s="0" t="n">
        <v>29</v>
      </c>
      <c r="T1009" s="0" t="s">
        <v>4510</v>
      </c>
      <c r="U1009" s="0" t="s">
        <v>4461</v>
      </c>
      <c r="V1009" s="0" t="s">
        <v>93</v>
      </c>
      <c r="W1009" s="0" t="s">
        <v>4535</v>
      </c>
      <c r="X1009" s="0" t="s">
        <v>4532</v>
      </c>
      <c r="Y1009" s="0" t="s">
        <v>4159</v>
      </c>
      <c r="Z1009" s="0" t="s">
        <v>4160</v>
      </c>
      <c r="AA1009" s="0" t="s">
        <v>4242</v>
      </c>
      <c r="AB1009" s="0" t="s">
        <v>4513</v>
      </c>
      <c r="AC1009" s="0" t="s">
        <v>4162</v>
      </c>
      <c r="AD1009" s="0" t="s">
        <v>4163</v>
      </c>
      <c r="AE1009" s="0" t="s">
        <v>4164</v>
      </c>
      <c r="AF1009" s="0" t="s">
        <v>4514</v>
      </c>
      <c r="AH1009" s="0" t="s">
        <v>4174</v>
      </c>
      <c r="AI1009" s="0" t="s">
        <v>4184</v>
      </c>
      <c r="AL1009" s="0" t="s">
        <v>523</v>
      </c>
    </row>
    <row r="1010" customFormat="false" ht="15" hidden="false" customHeight="false" outlineLevel="0" collapsed="false">
      <c r="A1010" s="0" t="s">
        <v>4536</v>
      </c>
      <c r="B1010" s="0" t="s">
        <v>136</v>
      </c>
      <c r="C1010" s="0" t="s">
        <v>4507</v>
      </c>
      <c r="D1010" s="0" t="n">
        <v>2019</v>
      </c>
      <c r="E1010" s="0" t="s">
        <v>4537</v>
      </c>
      <c r="F1010" s="0" t="n">
        <v>1201688243</v>
      </c>
      <c r="G1010" s="0" t="s">
        <v>3067</v>
      </c>
      <c r="H1010" s="0" t="s">
        <v>3068</v>
      </c>
      <c r="I1010" s="0" t="n">
        <v>1201688.243</v>
      </c>
      <c r="J1010" s="0" t="s">
        <v>4508</v>
      </c>
      <c r="K1010" s="0" t="s">
        <v>1919</v>
      </c>
      <c r="L1010" s="0" t="n">
        <v>2019</v>
      </c>
      <c r="M1010" s="0" t="s">
        <v>1920</v>
      </c>
      <c r="N1010" s="0" t="s">
        <v>143</v>
      </c>
      <c r="O1010" s="0" t="s">
        <v>2438</v>
      </c>
      <c r="P1010" s="0" t="s">
        <v>4509</v>
      </c>
      <c r="Q1010" s="0" t="n">
        <v>256</v>
      </c>
      <c r="R1010" s="0" t="n">
        <v>254</v>
      </c>
      <c r="S1010" s="0" t="n">
        <v>29</v>
      </c>
      <c r="T1010" s="0" t="s">
        <v>4510</v>
      </c>
      <c r="U1010" s="0" t="s">
        <v>4461</v>
      </c>
      <c r="V1010" s="0" t="s">
        <v>93</v>
      </c>
      <c r="W1010" s="0" t="s">
        <v>4538</v>
      </c>
      <c r="X1010" s="0" t="s">
        <v>4532</v>
      </c>
      <c r="Y1010" s="0" t="s">
        <v>4159</v>
      </c>
      <c r="Z1010" s="0" t="s">
        <v>4160</v>
      </c>
      <c r="AB1010" s="0" t="s">
        <v>4513</v>
      </c>
      <c r="AC1010" s="0" t="s">
        <v>4162</v>
      </c>
      <c r="AD1010" s="0" t="s">
        <v>4163</v>
      </c>
      <c r="AE1010" s="0" t="s">
        <v>4164</v>
      </c>
      <c r="AF1010" s="0" t="s">
        <v>4514</v>
      </c>
      <c r="AH1010" s="0" t="s">
        <v>2239</v>
      </c>
      <c r="AL1010" s="0" t="s">
        <v>523</v>
      </c>
    </row>
    <row r="1011" customFormat="false" ht="15" hidden="false" customHeight="false" outlineLevel="0" collapsed="false">
      <c r="A1011" s="0" t="s">
        <v>4539</v>
      </c>
      <c r="B1011" s="0" t="s">
        <v>136</v>
      </c>
      <c r="C1011" s="0" t="s">
        <v>4507</v>
      </c>
      <c r="D1011" s="0" t="n">
        <v>2019</v>
      </c>
      <c r="E1011" s="0" t="s">
        <v>4540</v>
      </c>
      <c r="F1011" s="0" t="n">
        <v>-49865490</v>
      </c>
      <c r="G1011" s="0" t="s">
        <v>3067</v>
      </c>
      <c r="H1011" s="0" t="s">
        <v>3068</v>
      </c>
      <c r="I1011" s="0" t="n">
        <v>49865.49</v>
      </c>
      <c r="J1011" s="0" t="s">
        <v>4508</v>
      </c>
      <c r="K1011" s="0" t="s">
        <v>1919</v>
      </c>
      <c r="L1011" s="0" t="n">
        <v>2019</v>
      </c>
      <c r="M1011" s="0" t="s">
        <v>1920</v>
      </c>
      <c r="N1011" s="0" t="s">
        <v>143</v>
      </c>
      <c r="O1011" s="0" t="s">
        <v>2438</v>
      </c>
      <c r="P1011" s="0" t="s">
        <v>4509</v>
      </c>
      <c r="Q1011" s="0" t="n">
        <v>256</v>
      </c>
      <c r="R1011" s="0" t="n">
        <v>254</v>
      </c>
      <c r="S1011" s="0" t="n">
        <v>29</v>
      </c>
      <c r="T1011" s="0" t="s">
        <v>4510</v>
      </c>
      <c r="U1011" s="0" t="s">
        <v>4461</v>
      </c>
      <c r="V1011" s="0" t="s">
        <v>93</v>
      </c>
      <c r="W1011" s="0" t="s">
        <v>4541</v>
      </c>
      <c r="X1011" s="0" t="s">
        <v>4532</v>
      </c>
      <c r="Y1011" s="0" t="s">
        <v>4159</v>
      </c>
      <c r="Z1011" s="0" t="s">
        <v>4160</v>
      </c>
      <c r="AA1011" s="0" t="s">
        <v>4242</v>
      </c>
      <c r="AB1011" s="0" t="s">
        <v>4513</v>
      </c>
      <c r="AC1011" s="0" t="s">
        <v>4162</v>
      </c>
      <c r="AD1011" s="0" t="s">
        <v>4163</v>
      </c>
      <c r="AE1011" s="0" t="s">
        <v>4164</v>
      </c>
      <c r="AF1011" s="0" t="s">
        <v>4514</v>
      </c>
      <c r="AH1011" s="0" t="s">
        <v>4174</v>
      </c>
      <c r="AI1011" s="0" t="s">
        <v>4184</v>
      </c>
      <c r="AL1011" s="0" t="s">
        <v>523</v>
      </c>
    </row>
    <row r="1012" customFormat="false" ht="15" hidden="false" customHeight="false" outlineLevel="0" collapsed="false">
      <c r="A1012" s="0" t="s">
        <v>1065</v>
      </c>
      <c r="B1012" s="0" t="s">
        <v>136</v>
      </c>
      <c r="C1012" s="0" t="s">
        <v>4507</v>
      </c>
      <c r="D1012" s="0" t="n">
        <v>2019</v>
      </c>
      <c r="E1012" s="0" t="s">
        <v>62</v>
      </c>
      <c r="F1012" s="0" t="n">
        <v>1300820647</v>
      </c>
      <c r="G1012" s="0" t="s">
        <v>3067</v>
      </c>
      <c r="H1012" s="0" t="s">
        <v>3068</v>
      </c>
      <c r="I1012" s="0" t="n">
        <v>1300820.647</v>
      </c>
      <c r="J1012" s="0" t="s">
        <v>4508</v>
      </c>
      <c r="K1012" s="0" t="s">
        <v>1919</v>
      </c>
      <c r="L1012" s="0" t="n">
        <v>2019</v>
      </c>
      <c r="M1012" s="0" t="s">
        <v>1920</v>
      </c>
      <c r="N1012" s="0" t="s">
        <v>143</v>
      </c>
      <c r="O1012" s="0" t="s">
        <v>2438</v>
      </c>
      <c r="P1012" s="0" t="s">
        <v>4509</v>
      </c>
      <c r="Q1012" s="0" t="n">
        <v>256</v>
      </c>
      <c r="R1012" s="0" t="n">
        <v>254</v>
      </c>
      <c r="S1012" s="0" t="n">
        <v>29</v>
      </c>
      <c r="T1012" s="0" t="s">
        <v>4510</v>
      </c>
      <c r="U1012" s="0" t="s">
        <v>4461</v>
      </c>
      <c r="V1012" s="0" t="s">
        <v>93</v>
      </c>
      <c r="W1012" s="0" t="s">
        <v>4542</v>
      </c>
      <c r="X1012" s="0" t="s">
        <v>4532</v>
      </c>
      <c r="Y1012" s="0" t="s">
        <v>4159</v>
      </c>
      <c r="Z1012" s="0" t="s">
        <v>4160</v>
      </c>
      <c r="AB1012" s="0" t="s">
        <v>4513</v>
      </c>
      <c r="AC1012" s="0" t="s">
        <v>4162</v>
      </c>
      <c r="AD1012" s="0" t="s">
        <v>4163</v>
      </c>
      <c r="AE1012" s="0" t="s">
        <v>4164</v>
      </c>
      <c r="AF1012" s="0" t="s">
        <v>4514</v>
      </c>
      <c r="AH1012" s="0" t="s">
        <v>2239</v>
      </c>
      <c r="AL1012" s="0" t="s">
        <v>523</v>
      </c>
    </row>
    <row r="1013" customFormat="false" ht="15" hidden="false" customHeight="false" outlineLevel="0" collapsed="false">
      <c r="A1013" s="0" t="s">
        <v>4543</v>
      </c>
      <c r="B1013" s="0" t="s">
        <v>136</v>
      </c>
      <c r="C1013" s="0" t="s">
        <v>4507</v>
      </c>
      <c r="D1013" s="0" t="n">
        <v>2019</v>
      </c>
      <c r="E1013" s="0" t="s">
        <v>4544</v>
      </c>
      <c r="F1013" s="0" t="n">
        <v>-5690363</v>
      </c>
      <c r="G1013" s="0" t="s">
        <v>3067</v>
      </c>
      <c r="H1013" s="0" t="s">
        <v>3068</v>
      </c>
      <c r="I1013" s="0" t="n">
        <v>5690.363</v>
      </c>
      <c r="J1013" s="0" t="s">
        <v>4508</v>
      </c>
      <c r="K1013" s="0" t="s">
        <v>1919</v>
      </c>
      <c r="L1013" s="0" t="n">
        <v>2019</v>
      </c>
      <c r="M1013" s="0" t="s">
        <v>1920</v>
      </c>
      <c r="N1013" s="0" t="s">
        <v>143</v>
      </c>
      <c r="O1013" s="0" t="s">
        <v>2438</v>
      </c>
      <c r="P1013" s="0" t="s">
        <v>4509</v>
      </c>
      <c r="Q1013" s="0" t="n">
        <v>256</v>
      </c>
      <c r="R1013" s="0" t="n">
        <v>254</v>
      </c>
      <c r="S1013" s="0" t="n">
        <v>29</v>
      </c>
      <c r="T1013" s="0" t="s">
        <v>4510</v>
      </c>
      <c r="U1013" s="0" t="s">
        <v>4461</v>
      </c>
      <c r="V1013" s="0" t="s">
        <v>93</v>
      </c>
      <c r="W1013" s="0" t="s">
        <v>4545</v>
      </c>
      <c r="X1013" s="0" t="s">
        <v>4532</v>
      </c>
      <c r="Y1013" s="0" t="s">
        <v>4159</v>
      </c>
      <c r="Z1013" s="0" t="s">
        <v>4160</v>
      </c>
      <c r="AA1013" s="0" t="s">
        <v>4242</v>
      </c>
      <c r="AB1013" s="0" t="s">
        <v>4513</v>
      </c>
      <c r="AC1013" s="0" t="s">
        <v>4162</v>
      </c>
      <c r="AD1013" s="0" t="s">
        <v>4163</v>
      </c>
      <c r="AE1013" s="0" t="s">
        <v>4164</v>
      </c>
      <c r="AF1013" s="0" t="s">
        <v>4514</v>
      </c>
      <c r="AH1013" s="0" t="s">
        <v>4174</v>
      </c>
      <c r="AI1013" s="0" t="s">
        <v>4184</v>
      </c>
      <c r="AL1013" s="0" t="s">
        <v>523</v>
      </c>
    </row>
    <row r="1014" customFormat="false" ht="15" hidden="false" customHeight="false" outlineLevel="0" collapsed="false">
      <c r="A1014" s="0" t="s">
        <v>4546</v>
      </c>
      <c r="B1014" s="0" t="s">
        <v>136</v>
      </c>
      <c r="C1014" s="0" t="s">
        <v>4507</v>
      </c>
      <c r="D1014" s="0" t="n">
        <v>2019</v>
      </c>
      <c r="E1014" s="0" t="s">
        <v>4547</v>
      </c>
      <c r="F1014" s="0" t="n">
        <v>-39813598</v>
      </c>
      <c r="G1014" s="0" t="s">
        <v>3067</v>
      </c>
      <c r="H1014" s="0" t="s">
        <v>3068</v>
      </c>
      <c r="I1014" s="0" t="n">
        <v>39813.598</v>
      </c>
      <c r="J1014" s="0" t="s">
        <v>4508</v>
      </c>
      <c r="K1014" s="0" t="s">
        <v>1919</v>
      </c>
      <c r="L1014" s="0" t="n">
        <v>2019</v>
      </c>
      <c r="M1014" s="0" t="s">
        <v>1920</v>
      </c>
      <c r="N1014" s="0" t="s">
        <v>143</v>
      </c>
      <c r="O1014" s="0" t="s">
        <v>2438</v>
      </c>
      <c r="P1014" s="0" t="s">
        <v>4509</v>
      </c>
      <c r="Q1014" s="0" t="n">
        <v>256</v>
      </c>
      <c r="R1014" s="0" t="n">
        <v>254</v>
      </c>
      <c r="S1014" s="0" t="n">
        <v>29</v>
      </c>
      <c r="T1014" s="0" t="s">
        <v>4510</v>
      </c>
      <c r="U1014" s="0" t="s">
        <v>4461</v>
      </c>
      <c r="V1014" s="0" t="s">
        <v>93</v>
      </c>
      <c r="W1014" s="0" t="s">
        <v>4548</v>
      </c>
      <c r="X1014" s="0" t="s">
        <v>4532</v>
      </c>
      <c r="Y1014" s="0" t="s">
        <v>4159</v>
      </c>
      <c r="Z1014" s="0" t="s">
        <v>4160</v>
      </c>
      <c r="AA1014" s="0" t="s">
        <v>4242</v>
      </c>
      <c r="AB1014" s="0" t="s">
        <v>4513</v>
      </c>
      <c r="AC1014" s="0" t="s">
        <v>4162</v>
      </c>
      <c r="AD1014" s="0" t="s">
        <v>4163</v>
      </c>
      <c r="AE1014" s="0" t="s">
        <v>4164</v>
      </c>
      <c r="AF1014" s="0" t="s">
        <v>4514</v>
      </c>
      <c r="AH1014" s="0" t="s">
        <v>4174</v>
      </c>
      <c r="AI1014" s="0" t="s">
        <v>4184</v>
      </c>
      <c r="AL1014" s="0" t="s">
        <v>523</v>
      </c>
    </row>
    <row r="1015" customFormat="false" ht="15" hidden="false" customHeight="false" outlineLevel="0" collapsed="false">
      <c r="A1015" s="0" t="s">
        <v>1042</v>
      </c>
      <c r="B1015" s="0" t="s">
        <v>136</v>
      </c>
      <c r="C1015" s="0" t="s">
        <v>4507</v>
      </c>
      <c r="D1015" s="0" t="n">
        <v>2018</v>
      </c>
      <c r="E1015" s="0" t="s">
        <v>55</v>
      </c>
      <c r="F1015" s="0" t="n">
        <v>2712521494</v>
      </c>
      <c r="G1015" s="0" t="s">
        <v>3067</v>
      </c>
      <c r="H1015" s="0" t="s">
        <v>3068</v>
      </c>
      <c r="I1015" s="0" t="n">
        <v>2712521.494</v>
      </c>
      <c r="J1015" s="0" t="s">
        <v>4508</v>
      </c>
      <c r="K1015" s="0" t="s">
        <v>1914</v>
      </c>
      <c r="L1015" s="0" t="n">
        <v>2018</v>
      </c>
      <c r="M1015" s="0" t="s">
        <v>1915</v>
      </c>
      <c r="N1015" s="0" t="s">
        <v>141</v>
      </c>
      <c r="O1015" s="0" t="s">
        <v>2417</v>
      </c>
      <c r="P1015" s="0" t="s">
        <v>4549</v>
      </c>
      <c r="Q1015" s="0" t="n">
        <v>82</v>
      </c>
      <c r="R1015" s="0" t="n">
        <v>81</v>
      </c>
      <c r="T1015" s="0" t="s">
        <v>4518</v>
      </c>
      <c r="U1015" s="0" t="s">
        <v>4425</v>
      </c>
      <c r="V1015" s="0" t="s">
        <v>109</v>
      </c>
      <c r="W1015" s="0" t="s">
        <v>4550</v>
      </c>
      <c r="X1015" s="0" t="s">
        <v>4551</v>
      </c>
      <c r="Y1015" s="0" t="s">
        <v>4159</v>
      </c>
      <c r="Z1015" s="0" t="s">
        <v>4160</v>
      </c>
      <c r="AB1015" s="0" t="s">
        <v>4513</v>
      </c>
      <c r="AC1015" s="0" t="s">
        <v>4162</v>
      </c>
      <c r="AD1015" s="0" t="s">
        <v>4163</v>
      </c>
      <c r="AE1015" s="0" t="s">
        <v>4164</v>
      </c>
      <c r="AF1015" s="0" t="s">
        <v>4552</v>
      </c>
      <c r="AH1015" s="0" t="s">
        <v>2239</v>
      </c>
      <c r="AL1015" s="0" t="s">
        <v>523</v>
      </c>
    </row>
    <row r="1016" customFormat="false" ht="15" hidden="false" customHeight="false" outlineLevel="0" collapsed="false">
      <c r="A1016" s="0" t="s">
        <v>1043</v>
      </c>
      <c r="B1016" s="0" t="s">
        <v>136</v>
      </c>
      <c r="C1016" s="0" t="s">
        <v>4507</v>
      </c>
      <c r="D1016" s="0" t="n">
        <v>2018</v>
      </c>
      <c r="E1016" s="0" t="s">
        <v>56</v>
      </c>
      <c r="F1016" s="0" t="n">
        <v>2200679235</v>
      </c>
      <c r="G1016" s="0" t="s">
        <v>3067</v>
      </c>
      <c r="H1016" s="0" t="s">
        <v>3068</v>
      </c>
      <c r="I1016" s="0" t="n">
        <v>2200679.235</v>
      </c>
      <c r="J1016" s="0" t="s">
        <v>4508</v>
      </c>
      <c r="K1016" s="0" t="s">
        <v>1914</v>
      </c>
      <c r="L1016" s="0" t="n">
        <v>2018</v>
      </c>
      <c r="M1016" s="0" t="s">
        <v>1915</v>
      </c>
      <c r="N1016" s="0" t="s">
        <v>141</v>
      </c>
      <c r="O1016" s="0" t="s">
        <v>2417</v>
      </c>
      <c r="P1016" s="0" t="s">
        <v>4549</v>
      </c>
      <c r="Q1016" s="0" t="n">
        <v>82</v>
      </c>
      <c r="R1016" s="0" t="n">
        <v>81</v>
      </c>
      <c r="T1016" s="0" t="s">
        <v>4518</v>
      </c>
      <c r="U1016" s="0" t="s">
        <v>4425</v>
      </c>
      <c r="V1016" s="0" t="s">
        <v>109</v>
      </c>
      <c r="W1016" s="0" t="s">
        <v>4553</v>
      </c>
      <c r="X1016" s="0" t="s">
        <v>4551</v>
      </c>
      <c r="Y1016" s="0" t="s">
        <v>4159</v>
      </c>
      <c r="Z1016" s="0" t="s">
        <v>4160</v>
      </c>
      <c r="AB1016" s="0" t="s">
        <v>4513</v>
      </c>
      <c r="AC1016" s="0" t="s">
        <v>4162</v>
      </c>
      <c r="AD1016" s="0" t="s">
        <v>4163</v>
      </c>
      <c r="AE1016" s="0" t="s">
        <v>4164</v>
      </c>
      <c r="AF1016" s="0" t="s">
        <v>4552</v>
      </c>
      <c r="AH1016" s="0" t="s">
        <v>2239</v>
      </c>
      <c r="AL1016" s="0" t="s">
        <v>523</v>
      </c>
    </row>
    <row r="1017" customFormat="false" ht="15" hidden="false" customHeight="false" outlineLevel="0" collapsed="false">
      <c r="A1017" s="0" t="s">
        <v>1044</v>
      </c>
      <c r="B1017" s="0" t="s">
        <v>136</v>
      </c>
      <c r="C1017" s="0" t="s">
        <v>4507</v>
      </c>
      <c r="D1017" s="0" t="n">
        <v>2018</v>
      </c>
      <c r="E1017" s="0" t="s">
        <v>57</v>
      </c>
      <c r="F1017" s="0" t="n">
        <v>511842259</v>
      </c>
      <c r="G1017" s="0" t="s">
        <v>3067</v>
      </c>
      <c r="H1017" s="0" t="s">
        <v>3068</v>
      </c>
      <c r="I1017" s="0" t="n">
        <v>511842.259</v>
      </c>
      <c r="J1017" s="0" t="s">
        <v>4508</v>
      </c>
      <c r="K1017" s="0" t="s">
        <v>1914</v>
      </c>
      <c r="L1017" s="0" t="n">
        <v>2018</v>
      </c>
      <c r="M1017" s="0" t="s">
        <v>1915</v>
      </c>
      <c r="N1017" s="0" t="s">
        <v>141</v>
      </c>
      <c r="O1017" s="0" t="s">
        <v>2417</v>
      </c>
      <c r="P1017" s="0" t="s">
        <v>4549</v>
      </c>
      <c r="Q1017" s="0" t="n">
        <v>83</v>
      </c>
      <c r="R1017" s="0" t="n">
        <v>82</v>
      </c>
      <c r="T1017" s="0" t="s">
        <v>4518</v>
      </c>
      <c r="U1017" s="0" t="s">
        <v>4425</v>
      </c>
      <c r="V1017" s="0" t="s">
        <v>109</v>
      </c>
      <c r="W1017" s="0" t="s">
        <v>4554</v>
      </c>
      <c r="X1017" s="0" t="s">
        <v>4555</v>
      </c>
      <c r="Y1017" s="0" t="s">
        <v>4159</v>
      </c>
      <c r="Z1017" s="0" t="s">
        <v>4160</v>
      </c>
      <c r="AB1017" s="0" t="s">
        <v>4513</v>
      </c>
      <c r="AC1017" s="0" t="s">
        <v>4162</v>
      </c>
      <c r="AD1017" s="0" t="s">
        <v>4163</v>
      </c>
      <c r="AE1017" s="0" t="s">
        <v>4164</v>
      </c>
      <c r="AF1017" s="0" t="s">
        <v>4552</v>
      </c>
      <c r="AH1017" s="0" t="s">
        <v>2239</v>
      </c>
      <c r="AL1017" s="0" t="s">
        <v>523</v>
      </c>
    </row>
    <row r="1018" customFormat="false" ht="15" hidden="false" customHeight="false" outlineLevel="0" collapsed="false">
      <c r="A1018" s="0" t="s">
        <v>1046</v>
      </c>
      <c r="B1018" s="0" t="s">
        <v>136</v>
      </c>
      <c r="C1018" s="0" t="s">
        <v>4507</v>
      </c>
      <c r="D1018" s="0" t="n">
        <v>2018</v>
      </c>
      <c r="E1018" s="0" t="s">
        <v>59</v>
      </c>
      <c r="F1018" s="0" t="n">
        <v>2824928985</v>
      </c>
      <c r="G1018" s="0" t="s">
        <v>3067</v>
      </c>
      <c r="H1018" s="0" t="s">
        <v>3068</v>
      </c>
      <c r="I1018" s="0" t="n">
        <v>2824928.985</v>
      </c>
      <c r="J1018" s="0" t="s">
        <v>4508</v>
      </c>
      <c r="K1018" s="0" t="s">
        <v>1914</v>
      </c>
      <c r="L1018" s="0" t="n">
        <v>2018</v>
      </c>
      <c r="M1018" s="0" t="s">
        <v>1915</v>
      </c>
      <c r="N1018" s="0" t="s">
        <v>141</v>
      </c>
      <c r="O1018" s="0" t="s">
        <v>2417</v>
      </c>
      <c r="P1018" s="0" t="s">
        <v>4549</v>
      </c>
      <c r="Q1018" s="0" t="n">
        <v>82</v>
      </c>
      <c r="R1018" s="0" t="n">
        <v>81</v>
      </c>
      <c r="T1018" s="0" t="s">
        <v>4556</v>
      </c>
      <c r="U1018" s="0" t="s">
        <v>4425</v>
      </c>
      <c r="V1018" s="0" t="s">
        <v>109</v>
      </c>
      <c r="W1018" s="0" t="s">
        <v>4550</v>
      </c>
      <c r="X1018" s="0" t="s">
        <v>4551</v>
      </c>
      <c r="Y1018" s="0" t="s">
        <v>4159</v>
      </c>
      <c r="Z1018" s="0" t="s">
        <v>4160</v>
      </c>
      <c r="AA1018" s="0" t="s">
        <v>4519</v>
      </c>
      <c r="AB1018" s="0" t="s">
        <v>4513</v>
      </c>
      <c r="AC1018" s="0" t="s">
        <v>4162</v>
      </c>
      <c r="AD1018" s="0" t="s">
        <v>4163</v>
      </c>
      <c r="AE1018" s="0" t="s">
        <v>4164</v>
      </c>
      <c r="AF1018" s="0" t="s">
        <v>4552</v>
      </c>
      <c r="AH1018" s="0" t="s">
        <v>2239</v>
      </c>
      <c r="AL1018" s="0" t="s">
        <v>523</v>
      </c>
    </row>
    <row r="1019" customFormat="false" ht="15" hidden="false" customHeight="false" outlineLevel="0" collapsed="false">
      <c r="A1019" s="0" t="s">
        <v>1041</v>
      </c>
      <c r="B1019" s="0" t="s">
        <v>136</v>
      </c>
      <c r="C1019" s="0" t="s">
        <v>4507</v>
      </c>
      <c r="D1019" s="0" t="n">
        <v>2018</v>
      </c>
      <c r="E1019" s="0" t="s">
        <v>54</v>
      </c>
      <c r="F1019" s="0" t="n">
        <v>166919765</v>
      </c>
      <c r="G1019" s="0" t="s">
        <v>3067</v>
      </c>
      <c r="H1019" s="0" t="s">
        <v>3068</v>
      </c>
      <c r="I1019" s="0" t="n">
        <v>166919.765</v>
      </c>
      <c r="J1019" s="0" t="s">
        <v>4508</v>
      </c>
      <c r="K1019" s="0" t="s">
        <v>1914</v>
      </c>
      <c r="L1019" s="0" t="n">
        <v>2018</v>
      </c>
      <c r="M1019" s="0" t="s">
        <v>1915</v>
      </c>
      <c r="N1019" s="0" t="s">
        <v>141</v>
      </c>
      <c r="O1019" s="0" t="s">
        <v>2417</v>
      </c>
      <c r="P1019" s="0" t="s">
        <v>4549</v>
      </c>
      <c r="Q1019" s="0" t="n">
        <v>84</v>
      </c>
      <c r="R1019" s="0" t="n">
        <v>83</v>
      </c>
      <c r="T1019" s="0" t="s">
        <v>4518</v>
      </c>
      <c r="U1019" s="0" t="s">
        <v>4425</v>
      </c>
      <c r="V1019" s="0" t="s">
        <v>109</v>
      </c>
      <c r="W1019" s="0" t="s">
        <v>4557</v>
      </c>
      <c r="X1019" s="0" t="s">
        <v>4558</v>
      </c>
      <c r="Y1019" s="0" t="s">
        <v>4159</v>
      </c>
      <c r="Z1019" s="0" t="s">
        <v>4160</v>
      </c>
      <c r="AB1019" s="0" t="s">
        <v>4513</v>
      </c>
      <c r="AC1019" s="0" t="s">
        <v>4162</v>
      </c>
      <c r="AD1019" s="0" t="s">
        <v>4163</v>
      </c>
      <c r="AE1019" s="0" t="s">
        <v>4164</v>
      </c>
      <c r="AF1019" s="0" t="s">
        <v>4552</v>
      </c>
      <c r="AH1019" s="0" t="s">
        <v>2239</v>
      </c>
      <c r="AL1019" s="0" t="s">
        <v>523</v>
      </c>
    </row>
    <row r="1020" customFormat="false" ht="15" hidden="false" customHeight="false" outlineLevel="0" collapsed="false">
      <c r="A1020" s="0" t="s">
        <v>1056</v>
      </c>
      <c r="B1020" s="0" t="s">
        <v>136</v>
      </c>
      <c r="C1020" s="0" t="s">
        <v>4507</v>
      </c>
      <c r="D1020" s="0" t="n">
        <v>2018</v>
      </c>
      <c r="E1020" s="0" t="s">
        <v>541</v>
      </c>
      <c r="F1020" s="0" t="n">
        <v>190209286</v>
      </c>
      <c r="G1020" s="0" t="s">
        <v>3067</v>
      </c>
      <c r="H1020" s="0" t="s">
        <v>3068</v>
      </c>
      <c r="I1020" s="0" t="n">
        <v>190209.286</v>
      </c>
      <c r="J1020" s="0" t="s">
        <v>4508</v>
      </c>
      <c r="K1020" s="0" t="s">
        <v>1914</v>
      </c>
      <c r="L1020" s="0" t="n">
        <v>2018</v>
      </c>
      <c r="M1020" s="0" t="s">
        <v>1915</v>
      </c>
      <c r="N1020" s="0" t="s">
        <v>141</v>
      </c>
      <c r="O1020" s="0" t="s">
        <v>2417</v>
      </c>
      <c r="P1020" s="0" t="s">
        <v>4549</v>
      </c>
      <c r="Q1020" s="0" t="n">
        <v>84</v>
      </c>
      <c r="R1020" s="0" t="n">
        <v>83</v>
      </c>
      <c r="T1020" s="0" t="s">
        <v>4518</v>
      </c>
      <c r="U1020" s="0" t="s">
        <v>4425</v>
      </c>
      <c r="V1020" s="0" t="s">
        <v>109</v>
      </c>
      <c r="W1020" s="0" t="s">
        <v>4559</v>
      </c>
      <c r="X1020" s="0" t="s">
        <v>4558</v>
      </c>
      <c r="Y1020" s="0" t="s">
        <v>4159</v>
      </c>
      <c r="Z1020" s="0" t="s">
        <v>4160</v>
      </c>
      <c r="AB1020" s="0" t="s">
        <v>4513</v>
      </c>
      <c r="AC1020" s="0" t="s">
        <v>4162</v>
      </c>
      <c r="AD1020" s="0" t="s">
        <v>4163</v>
      </c>
      <c r="AE1020" s="0" t="s">
        <v>4164</v>
      </c>
      <c r="AF1020" s="0" t="s">
        <v>4552</v>
      </c>
      <c r="AH1020" s="0" t="s">
        <v>2239</v>
      </c>
      <c r="AL1020" s="0" t="s">
        <v>523</v>
      </c>
    </row>
    <row r="1021" customFormat="false" ht="15" hidden="false" customHeight="false" outlineLevel="0" collapsed="false">
      <c r="A1021" s="0" t="s">
        <v>1051</v>
      </c>
      <c r="B1021" s="0" t="s">
        <v>136</v>
      </c>
      <c r="C1021" s="0" t="s">
        <v>4507</v>
      </c>
      <c r="D1021" s="0" t="n">
        <v>2018</v>
      </c>
      <c r="E1021" s="0" t="s">
        <v>307</v>
      </c>
      <c r="F1021" s="0" t="n">
        <v>-1504303</v>
      </c>
      <c r="G1021" s="0" t="s">
        <v>3067</v>
      </c>
      <c r="H1021" s="0" t="s">
        <v>3068</v>
      </c>
      <c r="I1021" s="0" t="n">
        <v>1504.303</v>
      </c>
      <c r="J1021" s="0" t="s">
        <v>4508</v>
      </c>
      <c r="K1021" s="0" t="s">
        <v>1914</v>
      </c>
      <c r="L1021" s="0" t="n">
        <v>2018</v>
      </c>
      <c r="M1021" s="0" t="s">
        <v>1915</v>
      </c>
      <c r="N1021" s="0" t="s">
        <v>141</v>
      </c>
      <c r="O1021" s="0" t="s">
        <v>2417</v>
      </c>
      <c r="P1021" s="0" t="s">
        <v>4549</v>
      </c>
      <c r="Q1021" s="0" t="n">
        <v>84</v>
      </c>
      <c r="R1021" s="0" t="n">
        <v>83</v>
      </c>
      <c r="S1021" s="0" t="n">
        <v>11</v>
      </c>
      <c r="T1021" s="0" t="s">
        <v>4518</v>
      </c>
      <c r="U1021" s="0" t="s">
        <v>4425</v>
      </c>
      <c r="V1021" s="0" t="s">
        <v>109</v>
      </c>
      <c r="W1021" s="0" t="s">
        <v>4560</v>
      </c>
      <c r="X1021" s="0" t="s">
        <v>4558</v>
      </c>
      <c r="Y1021" s="0" t="s">
        <v>4159</v>
      </c>
      <c r="Z1021" s="0" t="s">
        <v>4160</v>
      </c>
      <c r="AA1021" s="0" t="s">
        <v>4524</v>
      </c>
      <c r="AB1021" s="0" t="s">
        <v>4513</v>
      </c>
      <c r="AC1021" s="0" t="s">
        <v>4162</v>
      </c>
      <c r="AD1021" s="0" t="s">
        <v>4163</v>
      </c>
      <c r="AE1021" s="0" t="s">
        <v>4164</v>
      </c>
      <c r="AF1021" s="0" t="s">
        <v>4552</v>
      </c>
      <c r="AH1021" s="0" t="s">
        <v>4174</v>
      </c>
      <c r="AI1021" s="0" t="s">
        <v>4175</v>
      </c>
      <c r="AL1021" s="0" t="s">
        <v>523</v>
      </c>
    </row>
    <row r="1022" customFormat="false" ht="15" hidden="false" customHeight="false" outlineLevel="0" collapsed="false">
      <c r="A1022" s="0" t="s">
        <v>1052</v>
      </c>
      <c r="B1022" s="0" t="s">
        <v>136</v>
      </c>
      <c r="C1022" s="0" t="s">
        <v>4507</v>
      </c>
      <c r="D1022" s="0" t="n">
        <v>2018</v>
      </c>
      <c r="E1022" s="0" t="s">
        <v>1038</v>
      </c>
      <c r="F1022" s="0" t="n">
        <v>120299</v>
      </c>
      <c r="G1022" s="0" t="s">
        <v>3067</v>
      </c>
      <c r="H1022" s="0" t="s">
        <v>3068</v>
      </c>
      <c r="I1022" s="0" t="n">
        <v>-120.299</v>
      </c>
      <c r="J1022" s="0" t="s">
        <v>4508</v>
      </c>
      <c r="K1022" s="0" t="s">
        <v>1914</v>
      </c>
      <c r="L1022" s="0" t="n">
        <v>2018</v>
      </c>
      <c r="M1022" s="0" t="s">
        <v>1915</v>
      </c>
      <c r="N1022" s="0" t="s">
        <v>141</v>
      </c>
      <c r="O1022" s="0" t="s">
        <v>2417</v>
      </c>
      <c r="P1022" s="0" t="s">
        <v>4549</v>
      </c>
      <c r="Q1022" s="0" t="n">
        <v>84</v>
      </c>
      <c r="R1022" s="0" t="n">
        <v>83</v>
      </c>
      <c r="S1022" s="0" t="n">
        <v>16</v>
      </c>
      <c r="T1022" s="0" t="s">
        <v>4518</v>
      </c>
      <c r="U1022" s="0" t="s">
        <v>4425</v>
      </c>
      <c r="V1022" s="0" t="s">
        <v>109</v>
      </c>
      <c r="W1022" s="0" t="s">
        <v>4561</v>
      </c>
      <c r="X1022" s="0" t="s">
        <v>4558</v>
      </c>
      <c r="Y1022" s="0" t="s">
        <v>4159</v>
      </c>
      <c r="Z1022" s="0" t="s">
        <v>4160</v>
      </c>
      <c r="AA1022" s="0" t="s">
        <v>4526</v>
      </c>
      <c r="AB1022" s="0" t="s">
        <v>4513</v>
      </c>
      <c r="AC1022" s="0" t="s">
        <v>4162</v>
      </c>
      <c r="AD1022" s="0" t="s">
        <v>4163</v>
      </c>
      <c r="AE1022" s="0" t="s">
        <v>4164</v>
      </c>
      <c r="AF1022" s="0" t="s">
        <v>4552</v>
      </c>
      <c r="AH1022" s="0" t="s">
        <v>4174</v>
      </c>
      <c r="AI1022" s="0" t="s">
        <v>4175</v>
      </c>
      <c r="AL1022" s="0" t="s">
        <v>523</v>
      </c>
    </row>
    <row r="1023" customFormat="false" ht="15" hidden="false" customHeight="false" outlineLevel="0" collapsed="false">
      <c r="A1023" s="0" t="s">
        <v>1045</v>
      </c>
      <c r="B1023" s="0" t="s">
        <v>136</v>
      </c>
      <c r="C1023" s="0" t="s">
        <v>4507</v>
      </c>
      <c r="D1023" s="0" t="n">
        <v>2018</v>
      </c>
      <c r="E1023" s="0" t="s">
        <v>58</v>
      </c>
      <c r="F1023" s="0" t="n">
        <v>224625664</v>
      </c>
      <c r="G1023" s="0" t="s">
        <v>3067</v>
      </c>
      <c r="H1023" s="0" t="s">
        <v>3068</v>
      </c>
      <c r="I1023" s="0" t="n">
        <v>224625.664</v>
      </c>
      <c r="J1023" s="0" t="s">
        <v>4508</v>
      </c>
      <c r="K1023" s="0" t="s">
        <v>1914</v>
      </c>
      <c r="L1023" s="0" t="n">
        <v>2018</v>
      </c>
      <c r="M1023" s="0" t="s">
        <v>1915</v>
      </c>
      <c r="N1023" s="0" t="s">
        <v>141</v>
      </c>
      <c r="O1023" s="0" t="s">
        <v>2417</v>
      </c>
      <c r="P1023" s="0" t="s">
        <v>4549</v>
      </c>
      <c r="Q1023" s="0" t="n">
        <v>90</v>
      </c>
      <c r="R1023" s="0" t="n">
        <v>89</v>
      </c>
      <c r="T1023" s="0" t="s">
        <v>4518</v>
      </c>
      <c r="U1023" s="0" t="s">
        <v>4425</v>
      </c>
      <c r="V1023" s="0" t="s">
        <v>109</v>
      </c>
      <c r="W1023" s="0" t="s">
        <v>4562</v>
      </c>
      <c r="X1023" s="0" t="s">
        <v>4563</v>
      </c>
      <c r="Y1023" s="0" t="s">
        <v>4159</v>
      </c>
      <c r="Z1023" s="0" t="s">
        <v>4160</v>
      </c>
      <c r="AB1023" s="0" t="s">
        <v>4513</v>
      </c>
      <c r="AC1023" s="0" t="s">
        <v>4162</v>
      </c>
      <c r="AD1023" s="0" t="s">
        <v>4163</v>
      </c>
      <c r="AE1023" s="0" t="s">
        <v>4164</v>
      </c>
      <c r="AF1023" s="0" t="s">
        <v>4552</v>
      </c>
      <c r="AH1023" s="0" t="s">
        <v>2239</v>
      </c>
      <c r="AL1023" s="0" t="s">
        <v>523</v>
      </c>
    </row>
    <row r="1024" customFormat="false" ht="15" hidden="false" customHeight="false" outlineLevel="0" collapsed="false">
      <c r="A1024" s="0" t="s">
        <v>4564</v>
      </c>
      <c r="B1024" s="0" t="s">
        <v>136</v>
      </c>
      <c r="C1024" s="0" t="s">
        <v>4507</v>
      </c>
      <c r="D1024" s="0" t="n">
        <v>2018</v>
      </c>
      <c r="E1024" s="0" t="s">
        <v>4530</v>
      </c>
      <c r="F1024" s="0" t="n">
        <v>102815320</v>
      </c>
      <c r="G1024" s="0" t="s">
        <v>3067</v>
      </c>
      <c r="H1024" s="0" t="s">
        <v>3068</v>
      </c>
      <c r="I1024" s="0" t="n">
        <v>102815.32</v>
      </c>
      <c r="J1024" s="0" t="s">
        <v>4508</v>
      </c>
      <c r="K1024" s="0" t="s">
        <v>1914</v>
      </c>
      <c r="L1024" s="0" t="n">
        <v>2018</v>
      </c>
      <c r="M1024" s="0" t="s">
        <v>1915</v>
      </c>
      <c r="N1024" s="0" t="s">
        <v>141</v>
      </c>
      <c r="O1024" s="0" t="s">
        <v>2417</v>
      </c>
      <c r="P1024" s="0" t="s">
        <v>4549</v>
      </c>
      <c r="Q1024" s="0" t="n">
        <v>266</v>
      </c>
      <c r="R1024" s="0" t="n">
        <v>265</v>
      </c>
      <c r="S1024" s="0" t="n">
        <v>29</v>
      </c>
      <c r="T1024" s="0" t="s">
        <v>4518</v>
      </c>
      <c r="U1024" s="0" t="s">
        <v>4425</v>
      </c>
      <c r="V1024" s="0" t="s">
        <v>109</v>
      </c>
      <c r="W1024" s="0" t="s">
        <v>4565</v>
      </c>
      <c r="X1024" s="0" t="s">
        <v>4566</v>
      </c>
      <c r="Y1024" s="0" t="s">
        <v>4159</v>
      </c>
      <c r="Z1024" s="0" t="s">
        <v>4160</v>
      </c>
      <c r="AB1024" s="0" t="s">
        <v>4513</v>
      </c>
      <c r="AC1024" s="0" t="s">
        <v>4162</v>
      </c>
      <c r="AD1024" s="0" t="s">
        <v>4163</v>
      </c>
      <c r="AE1024" s="0" t="s">
        <v>4164</v>
      </c>
      <c r="AF1024" s="0" t="s">
        <v>4552</v>
      </c>
      <c r="AH1024" s="0" t="s">
        <v>2239</v>
      </c>
      <c r="AL1024" s="0" t="s">
        <v>523</v>
      </c>
    </row>
    <row r="1025" customFormat="false" ht="15" hidden="false" customHeight="false" outlineLevel="0" collapsed="false">
      <c r="A1025" s="0" t="s">
        <v>4567</v>
      </c>
      <c r="B1025" s="0" t="s">
        <v>136</v>
      </c>
      <c r="C1025" s="0" t="s">
        <v>4507</v>
      </c>
      <c r="D1025" s="0" t="n">
        <v>2018</v>
      </c>
      <c r="E1025" s="0" t="s">
        <v>4534</v>
      </c>
      <c r="F1025" s="0" t="n">
        <v>-5059241</v>
      </c>
      <c r="G1025" s="0" t="s">
        <v>3067</v>
      </c>
      <c r="H1025" s="0" t="s">
        <v>3068</v>
      </c>
      <c r="I1025" s="0" t="n">
        <v>5059.241</v>
      </c>
      <c r="J1025" s="0" t="s">
        <v>4508</v>
      </c>
      <c r="K1025" s="0" t="s">
        <v>1914</v>
      </c>
      <c r="L1025" s="0" t="n">
        <v>2018</v>
      </c>
      <c r="M1025" s="0" t="s">
        <v>1915</v>
      </c>
      <c r="N1025" s="0" t="s">
        <v>141</v>
      </c>
      <c r="O1025" s="0" t="s">
        <v>2417</v>
      </c>
      <c r="P1025" s="0" t="s">
        <v>4549</v>
      </c>
      <c r="Q1025" s="0" t="n">
        <v>266</v>
      </c>
      <c r="R1025" s="0" t="n">
        <v>265</v>
      </c>
      <c r="S1025" s="0" t="n">
        <v>29</v>
      </c>
      <c r="T1025" s="0" t="s">
        <v>4518</v>
      </c>
      <c r="U1025" s="0" t="s">
        <v>4425</v>
      </c>
      <c r="V1025" s="0" t="s">
        <v>109</v>
      </c>
      <c r="W1025" s="0" t="s">
        <v>4568</v>
      </c>
      <c r="X1025" s="0" t="s">
        <v>4566</v>
      </c>
      <c r="Y1025" s="0" t="s">
        <v>4159</v>
      </c>
      <c r="Z1025" s="0" t="s">
        <v>4160</v>
      </c>
      <c r="AA1025" s="0" t="s">
        <v>4242</v>
      </c>
      <c r="AB1025" s="0" t="s">
        <v>4513</v>
      </c>
      <c r="AC1025" s="0" t="s">
        <v>4162</v>
      </c>
      <c r="AD1025" s="0" t="s">
        <v>4163</v>
      </c>
      <c r="AE1025" s="0" t="s">
        <v>4164</v>
      </c>
      <c r="AF1025" s="0" t="s">
        <v>4552</v>
      </c>
      <c r="AH1025" s="0" t="s">
        <v>4174</v>
      </c>
      <c r="AI1025" s="0" t="s">
        <v>4184</v>
      </c>
      <c r="AL1025" s="0" t="s">
        <v>523</v>
      </c>
    </row>
    <row r="1026" customFormat="false" ht="15" hidden="false" customHeight="false" outlineLevel="0" collapsed="false">
      <c r="A1026" s="0" t="s">
        <v>4569</v>
      </c>
      <c r="B1026" s="0" t="s">
        <v>136</v>
      </c>
      <c r="C1026" s="0" t="s">
        <v>4507</v>
      </c>
      <c r="D1026" s="0" t="n">
        <v>2018</v>
      </c>
      <c r="E1026" s="0" t="s">
        <v>4537</v>
      </c>
      <c r="F1026" s="0" t="n">
        <v>1056165483</v>
      </c>
      <c r="G1026" s="0" t="s">
        <v>3067</v>
      </c>
      <c r="H1026" s="0" t="s">
        <v>3068</v>
      </c>
      <c r="I1026" s="0" t="n">
        <v>1056165.483</v>
      </c>
      <c r="J1026" s="0" t="s">
        <v>4508</v>
      </c>
      <c r="K1026" s="0" t="s">
        <v>1914</v>
      </c>
      <c r="L1026" s="0" t="n">
        <v>2018</v>
      </c>
      <c r="M1026" s="0" t="s">
        <v>1915</v>
      </c>
      <c r="N1026" s="0" t="s">
        <v>141</v>
      </c>
      <c r="O1026" s="0" t="s">
        <v>2417</v>
      </c>
      <c r="P1026" s="0" t="s">
        <v>4549</v>
      </c>
      <c r="Q1026" s="0" t="n">
        <v>266</v>
      </c>
      <c r="R1026" s="0" t="n">
        <v>265</v>
      </c>
      <c r="S1026" s="0" t="n">
        <v>29</v>
      </c>
      <c r="T1026" s="0" t="s">
        <v>4518</v>
      </c>
      <c r="U1026" s="0" t="s">
        <v>4425</v>
      </c>
      <c r="V1026" s="0" t="s">
        <v>109</v>
      </c>
      <c r="W1026" s="0" t="s">
        <v>4570</v>
      </c>
      <c r="X1026" s="0" t="s">
        <v>4566</v>
      </c>
      <c r="Y1026" s="0" t="s">
        <v>4159</v>
      </c>
      <c r="Z1026" s="0" t="s">
        <v>4160</v>
      </c>
      <c r="AB1026" s="0" t="s">
        <v>4513</v>
      </c>
      <c r="AC1026" s="0" t="s">
        <v>4162</v>
      </c>
      <c r="AD1026" s="0" t="s">
        <v>4163</v>
      </c>
      <c r="AE1026" s="0" t="s">
        <v>4164</v>
      </c>
      <c r="AF1026" s="0" t="s">
        <v>4552</v>
      </c>
      <c r="AH1026" s="0" t="s">
        <v>2239</v>
      </c>
      <c r="AL1026" s="0" t="s">
        <v>523</v>
      </c>
    </row>
    <row r="1027" customFormat="false" ht="15" hidden="false" customHeight="false" outlineLevel="0" collapsed="false">
      <c r="A1027" s="0" t="s">
        <v>4571</v>
      </c>
      <c r="B1027" s="0" t="s">
        <v>136</v>
      </c>
      <c r="C1027" s="0" t="s">
        <v>4507</v>
      </c>
      <c r="D1027" s="0" t="n">
        <v>2018</v>
      </c>
      <c r="E1027" s="0" t="s">
        <v>4540</v>
      </c>
      <c r="F1027" s="0" t="n">
        <v>-85922543</v>
      </c>
      <c r="G1027" s="0" t="s">
        <v>3067</v>
      </c>
      <c r="H1027" s="0" t="s">
        <v>3068</v>
      </c>
      <c r="I1027" s="0" t="n">
        <v>85922.543</v>
      </c>
      <c r="J1027" s="0" t="s">
        <v>4508</v>
      </c>
      <c r="K1027" s="0" t="s">
        <v>1914</v>
      </c>
      <c r="L1027" s="0" t="n">
        <v>2018</v>
      </c>
      <c r="M1027" s="0" t="s">
        <v>1915</v>
      </c>
      <c r="N1027" s="0" t="s">
        <v>141</v>
      </c>
      <c r="O1027" s="0" t="s">
        <v>2417</v>
      </c>
      <c r="P1027" s="0" t="s">
        <v>4549</v>
      </c>
      <c r="Q1027" s="0" t="n">
        <v>266</v>
      </c>
      <c r="R1027" s="0" t="n">
        <v>265</v>
      </c>
      <c r="S1027" s="0" t="n">
        <v>29</v>
      </c>
      <c r="T1027" s="0" t="s">
        <v>4518</v>
      </c>
      <c r="U1027" s="0" t="s">
        <v>4425</v>
      </c>
      <c r="V1027" s="0" t="s">
        <v>109</v>
      </c>
      <c r="W1027" s="0" t="s">
        <v>4572</v>
      </c>
      <c r="X1027" s="0" t="s">
        <v>4566</v>
      </c>
      <c r="Y1027" s="0" t="s">
        <v>4159</v>
      </c>
      <c r="Z1027" s="0" t="s">
        <v>4160</v>
      </c>
      <c r="AA1027" s="0" t="s">
        <v>4242</v>
      </c>
      <c r="AB1027" s="0" t="s">
        <v>4513</v>
      </c>
      <c r="AC1027" s="0" t="s">
        <v>4162</v>
      </c>
      <c r="AD1027" s="0" t="s">
        <v>4163</v>
      </c>
      <c r="AE1027" s="0" t="s">
        <v>4164</v>
      </c>
      <c r="AF1027" s="0" t="s">
        <v>4552</v>
      </c>
      <c r="AH1027" s="0" t="s">
        <v>4174</v>
      </c>
      <c r="AI1027" s="0" t="s">
        <v>4184</v>
      </c>
      <c r="AL1027" s="0" t="s">
        <v>523</v>
      </c>
    </row>
    <row r="1028" customFormat="false" ht="15" hidden="false" customHeight="false" outlineLevel="0" collapsed="false">
      <c r="A1028" s="0" t="s">
        <v>1049</v>
      </c>
      <c r="B1028" s="0" t="s">
        <v>136</v>
      </c>
      <c r="C1028" s="0" t="s">
        <v>4507</v>
      </c>
      <c r="D1028" s="0" t="n">
        <v>2018</v>
      </c>
      <c r="E1028" s="0" t="s">
        <v>62</v>
      </c>
      <c r="F1028" s="0" t="n">
        <v>1067999019</v>
      </c>
      <c r="G1028" s="0" t="s">
        <v>3067</v>
      </c>
      <c r="H1028" s="0" t="s">
        <v>3068</v>
      </c>
      <c r="I1028" s="0" t="n">
        <v>1067999.019</v>
      </c>
      <c r="J1028" s="0" t="s">
        <v>4508</v>
      </c>
      <c r="K1028" s="0" t="s">
        <v>1914</v>
      </c>
      <c r="L1028" s="0" t="n">
        <v>2018</v>
      </c>
      <c r="M1028" s="0" t="s">
        <v>1915</v>
      </c>
      <c r="N1028" s="0" t="s">
        <v>141</v>
      </c>
      <c r="O1028" s="0" t="s">
        <v>2417</v>
      </c>
      <c r="P1028" s="0" t="s">
        <v>4549</v>
      </c>
      <c r="Q1028" s="0" t="n">
        <v>266</v>
      </c>
      <c r="R1028" s="0" t="n">
        <v>265</v>
      </c>
      <c r="S1028" s="0" t="n">
        <v>29</v>
      </c>
      <c r="T1028" s="0" t="s">
        <v>4518</v>
      </c>
      <c r="U1028" s="0" t="s">
        <v>4425</v>
      </c>
      <c r="V1028" s="0" t="s">
        <v>109</v>
      </c>
      <c r="W1028" s="0" t="s">
        <v>4573</v>
      </c>
      <c r="X1028" s="0" t="s">
        <v>4566</v>
      </c>
      <c r="Y1028" s="0" t="s">
        <v>4159</v>
      </c>
      <c r="Z1028" s="0" t="s">
        <v>4160</v>
      </c>
      <c r="AB1028" s="0" t="s">
        <v>4513</v>
      </c>
      <c r="AC1028" s="0" t="s">
        <v>4162</v>
      </c>
      <c r="AD1028" s="0" t="s">
        <v>4163</v>
      </c>
      <c r="AE1028" s="0" t="s">
        <v>4164</v>
      </c>
      <c r="AF1028" s="0" t="s">
        <v>4552</v>
      </c>
      <c r="AH1028" s="0" t="s">
        <v>2239</v>
      </c>
      <c r="AL1028" s="0" t="s">
        <v>523</v>
      </c>
    </row>
    <row r="1029" customFormat="false" ht="15" hidden="false" customHeight="false" outlineLevel="0" collapsed="false">
      <c r="A1029" s="0" t="s">
        <v>4574</v>
      </c>
      <c r="B1029" s="0" t="s">
        <v>136</v>
      </c>
      <c r="C1029" s="0" t="s">
        <v>4507</v>
      </c>
      <c r="D1029" s="0" t="n">
        <v>2018</v>
      </c>
      <c r="E1029" s="0" t="s">
        <v>4544</v>
      </c>
      <c r="F1029" s="0" t="n">
        <v>-5001254</v>
      </c>
      <c r="G1029" s="0" t="s">
        <v>3067</v>
      </c>
      <c r="H1029" s="0" t="s">
        <v>3068</v>
      </c>
      <c r="I1029" s="0" t="n">
        <v>5001.254</v>
      </c>
      <c r="J1029" s="0" t="s">
        <v>4508</v>
      </c>
      <c r="K1029" s="0" t="s">
        <v>1914</v>
      </c>
      <c r="L1029" s="0" t="n">
        <v>2018</v>
      </c>
      <c r="M1029" s="0" t="s">
        <v>1915</v>
      </c>
      <c r="N1029" s="0" t="s">
        <v>141</v>
      </c>
      <c r="O1029" s="0" t="s">
        <v>2417</v>
      </c>
      <c r="P1029" s="0" t="s">
        <v>4549</v>
      </c>
      <c r="Q1029" s="0" t="n">
        <v>266</v>
      </c>
      <c r="R1029" s="0" t="n">
        <v>265</v>
      </c>
      <c r="S1029" s="0" t="n">
        <v>29</v>
      </c>
      <c r="T1029" s="0" t="s">
        <v>4518</v>
      </c>
      <c r="U1029" s="0" t="s">
        <v>4425</v>
      </c>
      <c r="V1029" s="0" t="s">
        <v>109</v>
      </c>
      <c r="W1029" s="0" t="s">
        <v>4575</v>
      </c>
      <c r="X1029" s="0" t="s">
        <v>4566</v>
      </c>
      <c r="Y1029" s="0" t="s">
        <v>4159</v>
      </c>
      <c r="Z1029" s="0" t="s">
        <v>4160</v>
      </c>
      <c r="AA1029" s="0" t="s">
        <v>4242</v>
      </c>
      <c r="AB1029" s="0" t="s">
        <v>4513</v>
      </c>
      <c r="AC1029" s="0" t="s">
        <v>4162</v>
      </c>
      <c r="AD1029" s="0" t="s">
        <v>4163</v>
      </c>
      <c r="AE1029" s="0" t="s">
        <v>4164</v>
      </c>
      <c r="AF1029" s="0" t="s">
        <v>4552</v>
      </c>
      <c r="AH1029" s="0" t="s">
        <v>4174</v>
      </c>
      <c r="AI1029" s="0" t="s">
        <v>4184</v>
      </c>
      <c r="AL1029" s="0" t="s">
        <v>523</v>
      </c>
    </row>
    <row r="1030" customFormat="false" ht="15" hidden="false" customHeight="false" outlineLevel="0" collapsed="false">
      <c r="A1030" s="0" t="s">
        <v>4576</v>
      </c>
      <c r="B1030" s="0" t="s">
        <v>136</v>
      </c>
      <c r="C1030" s="0" t="s">
        <v>4507</v>
      </c>
      <c r="D1030" s="0" t="n">
        <v>2018</v>
      </c>
      <c r="E1030" s="0" t="s">
        <v>4547</v>
      </c>
      <c r="F1030" s="0" t="n">
        <v>-69666741</v>
      </c>
      <c r="G1030" s="0" t="s">
        <v>3067</v>
      </c>
      <c r="H1030" s="0" t="s">
        <v>3068</v>
      </c>
      <c r="I1030" s="0" t="n">
        <v>69666.741</v>
      </c>
      <c r="J1030" s="0" t="s">
        <v>4508</v>
      </c>
      <c r="K1030" s="0" t="s">
        <v>1914</v>
      </c>
      <c r="L1030" s="0" t="n">
        <v>2018</v>
      </c>
      <c r="M1030" s="0" t="s">
        <v>1915</v>
      </c>
      <c r="N1030" s="0" t="s">
        <v>141</v>
      </c>
      <c r="O1030" s="0" t="s">
        <v>2417</v>
      </c>
      <c r="P1030" s="0" t="s">
        <v>4549</v>
      </c>
      <c r="Q1030" s="0" t="n">
        <v>266</v>
      </c>
      <c r="R1030" s="0" t="n">
        <v>265</v>
      </c>
      <c r="S1030" s="0" t="n">
        <v>29</v>
      </c>
      <c r="T1030" s="0" t="s">
        <v>4518</v>
      </c>
      <c r="U1030" s="0" t="s">
        <v>4425</v>
      </c>
      <c r="V1030" s="0" t="s">
        <v>109</v>
      </c>
      <c r="W1030" s="0" t="s">
        <v>4577</v>
      </c>
      <c r="X1030" s="0" t="s">
        <v>4566</v>
      </c>
      <c r="Y1030" s="0" t="s">
        <v>4159</v>
      </c>
      <c r="Z1030" s="0" t="s">
        <v>4160</v>
      </c>
      <c r="AA1030" s="0" t="s">
        <v>4242</v>
      </c>
      <c r="AB1030" s="0" t="s">
        <v>4513</v>
      </c>
      <c r="AC1030" s="0" t="s">
        <v>4162</v>
      </c>
      <c r="AD1030" s="0" t="s">
        <v>4163</v>
      </c>
      <c r="AE1030" s="0" t="s">
        <v>4164</v>
      </c>
      <c r="AF1030" s="0" t="s">
        <v>4552</v>
      </c>
      <c r="AH1030" s="0" t="s">
        <v>4174</v>
      </c>
      <c r="AI1030" s="0" t="s">
        <v>4184</v>
      </c>
      <c r="AL1030" s="0" t="s">
        <v>523</v>
      </c>
    </row>
    <row r="1031" customFormat="false" ht="15" hidden="false" customHeight="false" outlineLevel="0" collapsed="false">
      <c r="A1031" s="0" t="s">
        <v>1028</v>
      </c>
      <c r="B1031" s="0" t="s">
        <v>136</v>
      </c>
      <c r="C1031" s="0" t="s">
        <v>4507</v>
      </c>
      <c r="D1031" s="0" t="n">
        <v>2017</v>
      </c>
      <c r="E1031" s="0" t="s">
        <v>55</v>
      </c>
      <c r="F1031" s="0" t="n">
        <v>2824928985</v>
      </c>
      <c r="G1031" s="0" t="s">
        <v>3067</v>
      </c>
      <c r="H1031" s="0" t="s">
        <v>3068</v>
      </c>
      <c r="I1031" s="0" t="n">
        <v>2824928.985</v>
      </c>
      <c r="J1031" s="0" t="s">
        <v>4508</v>
      </c>
      <c r="K1031" s="0" t="s">
        <v>1914</v>
      </c>
      <c r="L1031" s="0" t="n">
        <v>2018</v>
      </c>
      <c r="M1031" s="0" t="s">
        <v>1915</v>
      </c>
      <c r="N1031" s="0" t="s">
        <v>141</v>
      </c>
      <c r="O1031" s="0" t="s">
        <v>2417</v>
      </c>
      <c r="P1031" s="0" t="s">
        <v>4549</v>
      </c>
      <c r="Q1031" s="0" t="n">
        <v>82</v>
      </c>
      <c r="R1031" s="0" t="n">
        <v>81</v>
      </c>
      <c r="T1031" s="0" t="s">
        <v>4578</v>
      </c>
      <c r="U1031" s="0" t="s">
        <v>4220</v>
      </c>
      <c r="V1031" s="0" t="s">
        <v>142</v>
      </c>
      <c r="W1031" s="0" t="s">
        <v>4550</v>
      </c>
      <c r="X1031" s="0" t="s">
        <v>4551</v>
      </c>
      <c r="Y1031" s="0" t="s">
        <v>4159</v>
      </c>
      <c r="Z1031" s="0" t="s">
        <v>4160</v>
      </c>
      <c r="AB1031" s="0" t="s">
        <v>4513</v>
      </c>
      <c r="AC1031" s="0" t="s">
        <v>4162</v>
      </c>
      <c r="AD1031" s="0" t="s">
        <v>4163</v>
      </c>
      <c r="AE1031" s="0" t="s">
        <v>4164</v>
      </c>
      <c r="AF1031" s="0" t="s">
        <v>4552</v>
      </c>
      <c r="AH1031" s="0" t="s">
        <v>2239</v>
      </c>
      <c r="AL1031" s="0" t="s">
        <v>523</v>
      </c>
    </row>
    <row r="1032" customFormat="false" ht="15" hidden="false" customHeight="false" outlineLevel="0" collapsed="false">
      <c r="A1032" s="0" t="s">
        <v>1029</v>
      </c>
      <c r="B1032" s="0" t="s">
        <v>136</v>
      </c>
      <c r="C1032" s="0" t="s">
        <v>4507</v>
      </c>
      <c r="D1032" s="0" t="n">
        <v>2017</v>
      </c>
      <c r="E1032" s="0" t="s">
        <v>56</v>
      </c>
      <c r="F1032" s="0" t="n">
        <v>2246352209</v>
      </c>
      <c r="G1032" s="0" t="s">
        <v>3067</v>
      </c>
      <c r="H1032" s="0" t="s">
        <v>3068</v>
      </c>
      <c r="I1032" s="0" t="n">
        <v>2246352.209</v>
      </c>
      <c r="J1032" s="0" t="s">
        <v>4508</v>
      </c>
      <c r="K1032" s="0" t="s">
        <v>1914</v>
      </c>
      <c r="L1032" s="0" t="n">
        <v>2018</v>
      </c>
      <c r="M1032" s="0" t="s">
        <v>1915</v>
      </c>
      <c r="N1032" s="0" t="s">
        <v>141</v>
      </c>
      <c r="O1032" s="0" t="s">
        <v>2417</v>
      </c>
      <c r="P1032" s="0" t="s">
        <v>4549</v>
      </c>
      <c r="Q1032" s="0" t="n">
        <v>82</v>
      </c>
      <c r="R1032" s="0" t="n">
        <v>81</v>
      </c>
      <c r="T1032" s="0" t="s">
        <v>4578</v>
      </c>
      <c r="U1032" s="0" t="s">
        <v>4220</v>
      </c>
      <c r="V1032" s="0" t="s">
        <v>142</v>
      </c>
      <c r="W1032" s="0" t="s">
        <v>4553</v>
      </c>
      <c r="X1032" s="0" t="s">
        <v>4551</v>
      </c>
      <c r="Y1032" s="0" t="s">
        <v>4159</v>
      </c>
      <c r="Z1032" s="0" t="s">
        <v>4160</v>
      </c>
      <c r="AB1032" s="0" t="s">
        <v>4513</v>
      </c>
      <c r="AC1032" s="0" t="s">
        <v>4162</v>
      </c>
      <c r="AD1032" s="0" t="s">
        <v>4163</v>
      </c>
      <c r="AE1032" s="0" t="s">
        <v>4164</v>
      </c>
      <c r="AF1032" s="0" t="s">
        <v>4552</v>
      </c>
      <c r="AH1032" s="0" t="s">
        <v>2239</v>
      </c>
      <c r="AL1032" s="0" t="s">
        <v>523</v>
      </c>
    </row>
    <row r="1033" customFormat="false" ht="15" hidden="false" customHeight="false" outlineLevel="0" collapsed="false">
      <c r="A1033" s="0" t="s">
        <v>1030</v>
      </c>
      <c r="B1033" s="0" t="s">
        <v>136</v>
      </c>
      <c r="C1033" s="0" t="s">
        <v>4507</v>
      </c>
      <c r="D1033" s="0" t="n">
        <v>2017</v>
      </c>
      <c r="E1033" s="0" t="s">
        <v>57</v>
      </c>
      <c r="F1033" s="0" t="n">
        <v>578576776</v>
      </c>
      <c r="G1033" s="0" t="s">
        <v>3067</v>
      </c>
      <c r="H1033" s="0" t="s">
        <v>3068</v>
      </c>
      <c r="I1033" s="0" t="n">
        <v>578576.776</v>
      </c>
      <c r="J1033" s="0" t="s">
        <v>4508</v>
      </c>
      <c r="K1033" s="0" t="s">
        <v>1914</v>
      </c>
      <c r="L1033" s="0" t="n">
        <v>2018</v>
      </c>
      <c r="M1033" s="0" t="s">
        <v>1915</v>
      </c>
      <c r="N1033" s="0" t="s">
        <v>141</v>
      </c>
      <c r="O1033" s="0" t="s">
        <v>2417</v>
      </c>
      <c r="P1033" s="0" t="s">
        <v>4549</v>
      </c>
      <c r="Q1033" s="0" t="n">
        <v>83</v>
      </c>
      <c r="R1033" s="0" t="n">
        <v>82</v>
      </c>
      <c r="T1033" s="0" t="s">
        <v>4578</v>
      </c>
      <c r="U1033" s="0" t="s">
        <v>4220</v>
      </c>
      <c r="V1033" s="0" t="s">
        <v>142</v>
      </c>
      <c r="W1033" s="0" t="s">
        <v>4554</v>
      </c>
      <c r="X1033" s="0" t="s">
        <v>4555</v>
      </c>
      <c r="Y1033" s="0" t="s">
        <v>4159</v>
      </c>
      <c r="Z1033" s="0" t="s">
        <v>4160</v>
      </c>
      <c r="AB1033" s="0" t="s">
        <v>4513</v>
      </c>
      <c r="AC1033" s="0" t="s">
        <v>4162</v>
      </c>
      <c r="AD1033" s="0" t="s">
        <v>4163</v>
      </c>
      <c r="AE1033" s="0" t="s">
        <v>4164</v>
      </c>
      <c r="AF1033" s="0" t="s">
        <v>4552</v>
      </c>
      <c r="AH1033" s="0" t="s">
        <v>2239</v>
      </c>
      <c r="AL1033" s="0" t="s">
        <v>523</v>
      </c>
    </row>
    <row r="1034" customFormat="false" ht="15" hidden="false" customHeight="false" outlineLevel="0" collapsed="false">
      <c r="A1034" s="0" t="s">
        <v>1032</v>
      </c>
      <c r="B1034" s="0" t="s">
        <v>136</v>
      </c>
      <c r="C1034" s="0" t="s">
        <v>4507</v>
      </c>
      <c r="D1034" s="0" t="n">
        <v>2017</v>
      </c>
      <c r="E1034" s="0" t="s">
        <v>59</v>
      </c>
      <c r="F1034" s="0" t="n">
        <v>2613340074</v>
      </c>
      <c r="G1034" s="0" t="s">
        <v>3067</v>
      </c>
      <c r="H1034" s="0" t="s">
        <v>3068</v>
      </c>
      <c r="I1034" s="0" t="n">
        <v>2613340.074</v>
      </c>
      <c r="J1034" s="0" t="s">
        <v>4508</v>
      </c>
      <c r="K1034" s="0" t="s">
        <v>1914</v>
      </c>
      <c r="L1034" s="0" t="n">
        <v>2018</v>
      </c>
      <c r="M1034" s="0" t="s">
        <v>1915</v>
      </c>
      <c r="N1034" s="0" t="s">
        <v>141</v>
      </c>
      <c r="O1034" s="0" t="s">
        <v>2417</v>
      </c>
      <c r="P1034" s="0" t="s">
        <v>4549</v>
      </c>
      <c r="Q1034" s="0" t="n">
        <v>82</v>
      </c>
      <c r="R1034" s="0" t="n">
        <v>81</v>
      </c>
      <c r="T1034" s="0" t="s">
        <v>4579</v>
      </c>
      <c r="U1034" s="0" t="s">
        <v>4220</v>
      </c>
      <c r="V1034" s="0" t="s">
        <v>142</v>
      </c>
      <c r="W1034" s="0" t="s">
        <v>4550</v>
      </c>
      <c r="X1034" s="0" t="s">
        <v>4551</v>
      </c>
      <c r="Y1034" s="0" t="s">
        <v>4159</v>
      </c>
      <c r="Z1034" s="0" t="s">
        <v>4160</v>
      </c>
      <c r="AA1034" s="0" t="s">
        <v>4519</v>
      </c>
      <c r="AB1034" s="0" t="s">
        <v>4513</v>
      </c>
      <c r="AC1034" s="0" t="s">
        <v>4162</v>
      </c>
      <c r="AD1034" s="0" t="s">
        <v>4163</v>
      </c>
      <c r="AE1034" s="0" t="s">
        <v>4164</v>
      </c>
      <c r="AF1034" s="0" t="s">
        <v>4552</v>
      </c>
      <c r="AH1034" s="0" t="s">
        <v>2239</v>
      </c>
      <c r="AL1034" s="0" t="s">
        <v>523</v>
      </c>
    </row>
    <row r="1035" customFormat="false" ht="15" hidden="false" customHeight="false" outlineLevel="0" collapsed="false">
      <c r="A1035" s="0" t="s">
        <v>1027</v>
      </c>
      <c r="B1035" s="0" t="s">
        <v>136</v>
      </c>
      <c r="C1035" s="0" t="s">
        <v>4507</v>
      </c>
      <c r="D1035" s="0" t="n">
        <v>2017</v>
      </c>
      <c r="E1035" s="0" t="s">
        <v>54</v>
      </c>
      <c r="F1035" s="0" t="n">
        <v>158727705</v>
      </c>
      <c r="G1035" s="0" t="s">
        <v>3067</v>
      </c>
      <c r="H1035" s="0" t="s">
        <v>3068</v>
      </c>
      <c r="I1035" s="0" t="n">
        <v>158727.705</v>
      </c>
      <c r="J1035" s="0" t="s">
        <v>4508</v>
      </c>
      <c r="K1035" s="0" t="s">
        <v>1914</v>
      </c>
      <c r="L1035" s="0" t="n">
        <v>2018</v>
      </c>
      <c r="M1035" s="0" t="s">
        <v>1915</v>
      </c>
      <c r="N1035" s="0" t="s">
        <v>141</v>
      </c>
      <c r="O1035" s="0" t="s">
        <v>2417</v>
      </c>
      <c r="P1035" s="0" t="s">
        <v>4549</v>
      </c>
      <c r="Q1035" s="0" t="n">
        <v>84</v>
      </c>
      <c r="R1035" s="0" t="n">
        <v>83</v>
      </c>
      <c r="T1035" s="0" t="s">
        <v>4578</v>
      </c>
      <c r="U1035" s="0" t="s">
        <v>4220</v>
      </c>
      <c r="V1035" s="0" t="s">
        <v>142</v>
      </c>
      <c r="W1035" s="0" t="s">
        <v>4557</v>
      </c>
      <c r="X1035" s="0" t="s">
        <v>4558</v>
      </c>
      <c r="Y1035" s="0" t="s">
        <v>4159</v>
      </c>
      <c r="Z1035" s="0" t="s">
        <v>4160</v>
      </c>
      <c r="AB1035" s="0" t="s">
        <v>4513</v>
      </c>
      <c r="AC1035" s="0" t="s">
        <v>4162</v>
      </c>
      <c r="AD1035" s="0" t="s">
        <v>4163</v>
      </c>
      <c r="AE1035" s="0" t="s">
        <v>4164</v>
      </c>
      <c r="AF1035" s="0" t="s">
        <v>4552</v>
      </c>
      <c r="AH1035" s="0" t="s">
        <v>2239</v>
      </c>
      <c r="AL1035" s="0" t="s">
        <v>523</v>
      </c>
    </row>
    <row r="1036" customFormat="false" ht="15" hidden="false" customHeight="false" outlineLevel="0" collapsed="false">
      <c r="A1036" s="0" t="s">
        <v>1040</v>
      </c>
      <c r="B1036" s="0" t="s">
        <v>136</v>
      </c>
      <c r="C1036" s="0" t="s">
        <v>4507</v>
      </c>
      <c r="D1036" s="0" t="n">
        <v>2017</v>
      </c>
      <c r="E1036" s="0" t="s">
        <v>541</v>
      </c>
      <c r="F1036" s="0" t="n">
        <v>183647629</v>
      </c>
      <c r="G1036" s="0" t="s">
        <v>3067</v>
      </c>
      <c r="H1036" s="0" t="s">
        <v>3068</v>
      </c>
      <c r="I1036" s="0" t="n">
        <v>183647.629</v>
      </c>
      <c r="J1036" s="0" t="s">
        <v>4508</v>
      </c>
      <c r="K1036" s="0" t="s">
        <v>1914</v>
      </c>
      <c r="L1036" s="0" t="n">
        <v>2018</v>
      </c>
      <c r="M1036" s="0" t="s">
        <v>1915</v>
      </c>
      <c r="N1036" s="0" t="s">
        <v>141</v>
      </c>
      <c r="O1036" s="0" t="s">
        <v>2417</v>
      </c>
      <c r="P1036" s="0" t="s">
        <v>4549</v>
      </c>
      <c r="Q1036" s="0" t="n">
        <v>84</v>
      </c>
      <c r="R1036" s="0" t="n">
        <v>83</v>
      </c>
      <c r="T1036" s="0" t="s">
        <v>4578</v>
      </c>
      <c r="U1036" s="0" t="s">
        <v>4220</v>
      </c>
      <c r="V1036" s="0" t="s">
        <v>142</v>
      </c>
      <c r="W1036" s="0" t="s">
        <v>4559</v>
      </c>
      <c r="X1036" s="0" t="s">
        <v>4558</v>
      </c>
      <c r="Y1036" s="0" t="s">
        <v>4159</v>
      </c>
      <c r="Z1036" s="0" t="s">
        <v>4160</v>
      </c>
      <c r="AB1036" s="0" t="s">
        <v>4513</v>
      </c>
      <c r="AC1036" s="0" t="s">
        <v>4162</v>
      </c>
      <c r="AD1036" s="0" t="s">
        <v>4163</v>
      </c>
      <c r="AE1036" s="0" t="s">
        <v>4164</v>
      </c>
      <c r="AF1036" s="0" t="s">
        <v>4552</v>
      </c>
      <c r="AH1036" s="0" t="s">
        <v>2239</v>
      </c>
      <c r="AL1036" s="0" t="s">
        <v>523</v>
      </c>
    </row>
    <row r="1037" customFormat="false" ht="15" hidden="false" customHeight="false" outlineLevel="0" collapsed="false">
      <c r="A1037" s="0" t="s">
        <v>1037</v>
      </c>
      <c r="B1037" s="0" t="s">
        <v>136</v>
      </c>
      <c r="C1037" s="0" t="s">
        <v>4507</v>
      </c>
      <c r="D1037" s="0" t="n">
        <v>2017</v>
      </c>
      <c r="E1037" s="0" t="s">
        <v>307</v>
      </c>
      <c r="F1037" s="0" t="n">
        <v>-10834612</v>
      </c>
      <c r="G1037" s="0" t="s">
        <v>3067</v>
      </c>
      <c r="H1037" s="0" t="s">
        <v>3068</v>
      </c>
      <c r="I1037" s="0" t="n">
        <v>10834.612</v>
      </c>
      <c r="J1037" s="0" t="s">
        <v>4508</v>
      </c>
      <c r="K1037" s="0" t="s">
        <v>1914</v>
      </c>
      <c r="L1037" s="0" t="n">
        <v>2018</v>
      </c>
      <c r="M1037" s="0" t="s">
        <v>1915</v>
      </c>
      <c r="N1037" s="0" t="s">
        <v>141</v>
      </c>
      <c r="O1037" s="0" t="s">
        <v>2417</v>
      </c>
      <c r="P1037" s="0" t="s">
        <v>4549</v>
      </c>
      <c r="Q1037" s="0" t="n">
        <v>84</v>
      </c>
      <c r="R1037" s="0" t="n">
        <v>83</v>
      </c>
      <c r="S1037" s="0" t="n">
        <v>11</v>
      </c>
      <c r="T1037" s="0" t="s">
        <v>4578</v>
      </c>
      <c r="U1037" s="0" t="s">
        <v>4220</v>
      </c>
      <c r="V1037" s="0" t="s">
        <v>142</v>
      </c>
      <c r="W1037" s="0" t="s">
        <v>4560</v>
      </c>
      <c r="X1037" s="0" t="s">
        <v>4558</v>
      </c>
      <c r="Y1037" s="0" t="s">
        <v>4159</v>
      </c>
      <c r="Z1037" s="0" t="s">
        <v>4160</v>
      </c>
      <c r="AA1037" s="0" t="s">
        <v>4524</v>
      </c>
      <c r="AB1037" s="0" t="s">
        <v>4513</v>
      </c>
      <c r="AC1037" s="0" t="s">
        <v>4162</v>
      </c>
      <c r="AD1037" s="0" t="s">
        <v>4163</v>
      </c>
      <c r="AE1037" s="0" t="s">
        <v>4164</v>
      </c>
      <c r="AF1037" s="0" t="s">
        <v>4552</v>
      </c>
      <c r="AH1037" s="0" t="s">
        <v>4174</v>
      </c>
      <c r="AI1037" s="0" t="s">
        <v>4175</v>
      </c>
      <c r="AL1037" s="0" t="s">
        <v>523</v>
      </c>
    </row>
    <row r="1038" customFormat="false" ht="15" hidden="false" customHeight="false" outlineLevel="0" collapsed="false">
      <c r="A1038" s="0" t="s">
        <v>1039</v>
      </c>
      <c r="B1038" s="0" t="s">
        <v>136</v>
      </c>
      <c r="C1038" s="0" t="s">
        <v>4507</v>
      </c>
      <c r="D1038" s="0" t="n">
        <v>2017</v>
      </c>
      <c r="E1038" s="0" t="s">
        <v>1038</v>
      </c>
      <c r="F1038" s="0" t="n">
        <v>-696680</v>
      </c>
      <c r="G1038" s="0" t="s">
        <v>3067</v>
      </c>
      <c r="H1038" s="0" t="s">
        <v>3068</v>
      </c>
      <c r="I1038" s="0" t="n">
        <v>696.68</v>
      </c>
      <c r="J1038" s="0" t="s">
        <v>4508</v>
      </c>
      <c r="K1038" s="0" t="s">
        <v>1914</v>
      </c>
      <c r="L1038" s="0" t="n">
        <v>2018</v>
      </c>
      <c r="M1038" s="0" t="s">
        <v>1915</v>
      </c>
      <c r="N1038" s="0" t="s">
        <v>141</v>
      </c>
      <c r="O1038" s="0" t="s">
        <v>2417</v>
      </c>
      <c r="P1038" s="0" t="s">
        <v>4549</v>
      </c>
      <c r="Q1038" s="0" t="n">
        <v>84</v>
      </c>
      <c r="R1038" s="0" t="n">
        <v>83</v>
      </c>
      <c r="S1038" s="0" t="n">
        <v>16</v>
      </c>
      <c r="T1038" s="0" t="s">
        <v>4578</v>
      </c>
      <c r="U1038" s="0" t="s">
        <v>4220</v>
      </c>
      <c r="V1038" s="0" t="s">
        <v>142</v>
      </c>
      <c r="W1038" s="0" t="s">
        <v>4561</v>
      </c>
      <c r="X1038" s="0" t="s">
        <v>4558</v>
      </c>
      <c r="Y1038" s="0" t="s">
        <v>4159</v>
      </c>
      <c r="Z1038" s="0" t="s">
        <v>4160</v>
      </c>
      <c r="AA1038" s="0" t="s">
        <v>4526</v>
      </c>
      <c r="AB1038" s="0" t="s">
        <v>4513</v>
      </c>
      <c r="AC1038" s="0" t="s">
        <v>4162</v>
      </c>
      <c r="AD1038" s="0" t="s">
        <v>4163</v>
      </c>
      <c r="AE1038" s="0" t="s">
        <v>4164</v>
      </c>
      <c r="AF1038" s="0" t="s">
        <v>4552</v>
      </c>
      <c r="AH1038" s="0" t="s">
        <v>4174</v>
      </c>
      <c r="AI1038" s="0" t="s">
        <v>4175</v>
      </c>
      <c r="AL1038" s="0" t="s">
        <v>523</v>
      </c>
    </row>
    <row r="1039" customFormat="false" ht="15" hidden="false" customHeight="false" outlineLevel="0" collapsed="false">
      <c r="A1039" s="0" t="s">
        <v>1031</v>
      </c>
      <c r="B1039" s="0" t="s">
        <v>136</v>
      </c>
      <c r="C1039" s="0" t="s">
        <v>4507</v>
      </c>
      <c r="D1039" s="0" t="n">
        <v>2017</v>
      </c>
      <c r="E1039" s="0" t="s">
        <v>58</v>
      </c>
      <c r="F1039" s="0" t="n">
        <v>353397327</v>
      </c>
      <c r="G1039" s="0" t="s">
        <v>3067</v>
      </c>
      <c r="H1039" s="0" t="s">
        <v>3068</v>
      </c>
      <c r="I1039" s="0" t="n">
        <v>353397.327</v>
      </c>
      <c r="J1039" s="0" t="s">
        <v>4508</v>
      </c>
      <c r="K1039" s="0" t="s">
        <v>1914</v>
      </c>
      <c r="L1039" s="0" t="n">
        <v>2018</v>
      </c>
      <c r="M1039" s="0" t="s">
        <v>1915</v>
      </c>
      <c r="N1039" s="0" t="s">
        <v>141</v>
      </c>
      <c r="O1039" s="0" t="s">
        <v>2417</v>
      </c>
      <c r="P1039" s="0" t="s">
        <v>4549</v>
      </c>
      <c r="Q1039" s="0" t="n">
        <v>90</v>
      </c>
      <c r="R1039" s="0" t="n">
        <v>89</v>
      </c>
      <c r="T1039" s="0" t="s">
        <v>4578</v>
      </c>
      <c r="U1039" s="0" t="s">
        <v>4220</v>
      </c>
      <c r="V1039" s="0" t="s">
        <v>142</v>
      </c>
      <c r="W1039" s="0" t="s">
        <v>4562</v>
      </c>
      <c r="X1039" s="0" t="s">
        <v>4563</v>
      </c>
      <c r="Y1039" s="0" t="s">
        <v>4159</v>
      </c>
      <c r="Z1039" s="0" t="s">
        <v>4160</v>
      </c>
      <c r="AB1039" s="0" t="s">
        <v>4513</v>
      </c>
      <c r="AC1039" s="0" t="s">
        <v>4162</v>
      </c>
      <c r="AD1039" s="0" t="s">
        <v>4163</v>
      </c>
      <c r="AE1039" s="0" t="s">
        <v>4164</v>
      </c>
      <c r="AF1039" s="0" t="s">
        <v>4552</v>
      </c>
      <c r="AH1039" s="0" t="s">
        <v>2239</v>
      </c>
      <c r="AL1039" s="0" t="s">
        <v>523</v>
      </c>
    </row>
    <row r="1040" customFormat="false" ht="15" hidden="false" customHeight="false" outlineLevel="0" collapsed="false">
      <c r="A1040" s="0" t="s">
        <v>4580</v>
      </c>
      <c r="B1040" s="0" t="s">
        <v>136</v>
      </c>
      <c r="C1040" s="0" t="s">
        <v>4507</v>
      </c>
      <c r="D1040" s="0" t="n">
        <v>2017</v>
      </c>
      <c r="E1040" s="0" t="s">
        <v>4530</v>
      </c>
      <c r="F1040" s="0" t="n">
        <v>105319029</v>
      </c>
      <c r="G1040" s="0" t="s">
        <v>3067</v>
      </c>
      <c r="H1040" s="0" t="s">
        <v>3068</v>
      </c>
      <c r="I1040" s="0" t="n">
        <v>105319.029</v>
      </c>
      <c r="J1040" s="0" t="s">
        <v>4508</v>
      </c>
      <c r="K1040" s="0" t="s">
        <v>1914</v>
      </c>
      <c r="L1040" s="0" t="n">
        <v>2018</v>
      </c>
      <c r="M1040" s="0" t="s">
        <v>1915</v>
      </c>
      <c r="N1040" s="0" t="s">
        <v>141</v>
      </c>
      <c r="O1040" s="0" t="s">
        <v>2417</v>
      </c>
      <c r="P1040" s="0" t="s">
        <v>4549</v>
      </c>
      <c r="Q1040" s="0" t="n">
        <v>267</v>
      </c>
      <c r="R1040" s="0" t="n">
        <v>266</v>
      </c>
      <c r="S1040" s="0" t="n">
        <v>29</v>
      </c>
      <c r="T1040" s="0" t="s">
        <v>4578</v>
      </c>
      <c r="U1040" s="0" t="s">
        <v>4220</v>
      </c>
      <c r="V1040" s="0" t="s">
        <v>142</v>
      </c>
      <c r="W1040" s="0" t="s">
        <v>4581</v>
      </c>
      <c r="X1040" s="0" t="s">
        <v>4582</v>
      </c>
      <c r="Y1040" s="0" t="s">
        <v>4159</v>
      </c>
      <c r="Z1040" s="0" t="s">
        <v>4160</v>
      </c>
      <c r="AB1040" s="0" t="s">
        <v>4513</v>
      </c>
      <c r="AC1040" s="0" t="s">
        <v>4162</v>
      </c>
      <c r="AD1040" s="0" t="s">
        <v>4163</v>
      </c>
      <c r="AE1040" s="0" t="s">
        <v>4164</v>
      </c>
      <c r="AF1040" s="0" t="s">
        <v>4552</v>
      </c>
      <c r="AH1040" s="0" t="s">
        <v>2239</v>
      </c>
      <c r="AL1040" s="0" t="s">
        <v>523</v>
      </c>
    </row>
    <row r="1041" customFormat="false" ht="15" hidden="false" customHeight="false" outlineLevel="0" collapsed="false">
      <c r="A1041" s="0" t="s">
        <v>4583</v>
      </c>
      <c r="B1041" s="0" t="s">
        <v>136</v>
      </c>
      <c r="C1041" s="0" t="s">
        <v>4507</v>
      </c>
      <c r="D1041" s="0" t="n">
        <v>2017</v>
      </c>
      <c r="E1041" s="0" t="s">
        <v>4534</v>
      </c>
      <c r="F1041" s="0" t="n">
        <v>-2620599</v>
      </c>
      <c r="G1041" s="0" t="s">
        <v>3067</v>
      </c>
      <c r="H1041" s="0" t="s">
        <v>3068</v>
      </c>
      <c r="I1041" s="0" t="n">
        <v>2620.599</v>
      </c>
      <c r="J1041" s="0" t="s">
        <v>4508</v>
      </c>
      <c r="K1041" s="0" t="s">
        <v>1914</v>
      </c>
      <c r="L1041" s="0" t="n">
        <v>2018</v>
      </c>
      <c r="M1041" s="0" t="s">
        <v>1915</v>
      </c>
      <c r="N1041" s="0" t="s">
        <v>141</v>
      </c>
      <c r="O1041" s="0" t="s">
        <v>2417</v>
      </c>
      <c r="P1041" s="0" t="s">
        <v>4549</v>
      </c>
      <c r="Q1041" s="0" t="n">
        <v>267</v>
      </c>
      <c r="R1041" s="0" t="n">
        <v>266</v>
      </c>
      <c r="S1041" s="0" t="n">
        <v>29</v>
      </c>
      <c r="T1041" s="0" t="s">
        <v>4578</v>
      </c>
      <c r="U1041" s="0" t="s">
        <v>4220</v>
      </c>
      <c r="V1041" s="0" t="s">
        <v>142</v>
      </c>
      <c r="W1041" s="0" t="s">
        <v>4584</v>
      </c>
      <c r="X1041" s="0" t="s">
        <v>4582</v>
      </c>
      <c r="Y1041" s="0" t="s">
        <v>4159</v>
      </c>
      <c r="Z1041" s="0" t="s">
        <v>4160</v>
      </c>
      <c r="AA1041" s="0" t="s">
        <v>4242</v>
      </c>
      <c r="AB1041" s="0" t="s">
        <v>4513</v>
      </c>
      <c r="AC1041" s="0" t="s">
        <v>4162</v>
      </c>
      <c r="AD1041" s="0" t="s">
        <v>4163</v>
      </c>
      <c r="AE1041" s="0" t="s">
        <v>4164</v>
      </c>
      <c r="AF1041" s="0" t="s">
        <v>4552</v>
      </c>
      <c r="AH1041" s="0" t="s">
        <v>4174</v>
      </c>
      <c r="AI1041" s="0" t="s">
        <v>4184</v>
      </c>
      <c r="AL1041" s="0" t="s">
        <v>523</v>
      </c>
    </row>
    <row r="1042" customFormat="false" ht="15" hidden="false" customHeight="false" outlineLevel="0" collapsed="false">
      <c r="A1042" s="0" t="s">
        <v>4585</v>
      </c>
      <c r="B1042" s="0" t="s">
        <v>136</v>
      </c>
      <c r="C1042" s="0" t="s">
        <v>4507</v>
      </c>
      <c r="D1042" s="0" t="n">
        <v>2017</v>
      </c>
      <c r="E1042" s="0" t="s">
        <v>4537</v>
      </c>
      <c r="F1042" s="0" t="n">
        <v>1220931366</v>
      </c>
      <c r="G1042" s="0" t="s">
        <v>3067</v>
      </c>
      <c r="H1042" s="0" t="s">
        <v>3068</v>
      </c>
      <c r="I1042" s="0" t="n">
        <v>1220931.366</v>
      </c>
      <c r="J1042" s="0" t="s">
        <v>4508</v>
      </c>
      <c r="K1042" s="0" t="s">
        <v>1914</v>
      </c>
      <c r="L1042" s="0" t="n">
        <v>2018</v>
      </c>
      <c r="M1042" s="0" t="s">
        <v>1915</v>
      </c>
      <c r="N1042" s="0" t="s">
        <v>141</v>
      </c>
      <c r="O1042" s="0" t="s">
        <v>2417</v>
      </c>
      <c r="P1042" s="0" t="s">
        <v>4549</v>
      </c>
      <c r="Q1042" s="0" t="n">
        <v>267</v>
      </c>
      <c r="R1042" s="0" t="n">
        <v>266</v>
      </c>
      <c r="S1042" s="0" t="n">
        <v>29</v>
      </c>
      <c r="T1042" s="0" t="s">
        <v>4578</v>
      </c>
      <c r="U1042" s="0" t="s">
        <v>4220</v>
      </c>
      <c r="V1042" s="0" t="s">
        <v>142</v>
      </c>
      <c r="W1042" s="0" t="s">
        <v>4586</v>
      </c>
      <c r="X1042" s="0" t="s">
        <v>4582</v>
      </c>
      <c r="Y1042" s="0" t="s">
        <v>4159</v>
      </c>
      <c r="Z1042" s="0" t="s">
        <v>4160</v>
      </c>
      <c r="AB1042" s="0" t="s">
        <v>4513</v>
      </c>
      <c r="AC1042" s="0" t="s">
        <v>4162</v>
      </c>
      <c r="AD1042" s="0" t="s">
        <v>4163</v>
      </c>
      <c r="AE1042" s="0" t="s">
        <v>4164</v>
      </c>
      <c r="AF1042" s="0" t="s">
        <v>4552</v>
      </c>
      <c r="AH1042" s="0" t="s">
        <v>2239</v>
      </c>
      <c r="AL1042" s="0" t="s">
        <v>523</v>
      </c>
    </row>
    <row r="1043" customFormat="false" ht="15" hidden="false" customHeight="false" outlineLevel="0" collapsed="false">
      <c r="A1043" s="0" t="s">
        <v>4587</v>
      </c>
      <c r="B1043" s="0" t="s">
        <v>136</v>
      </c>
      <c r="C1043" s="0" t="s">
        <v>4507</v>
      </c>
      <c r="D1043" s="0" t="n">
        <v>2017</v>
      </c>
      <c r="E1043" s="0" t="s">
        <v>4540</v>
      </c>
      <c r="F1043" s="0" t="n">
        <v>-57658108</v>
      </c>
      <c r="G1043" s="0" t="s">
        <v>3067</v>
      </c>
      <c r="H1043" s="0" t="s">
        <v>3068</v>
      </c>
      <c r="I1043" s="0" t="n">
        <v>57658.108</v>
      </c>
      <c r="J1043" s="0" t="s">
        <v>4508</v>
      </c>
      <c r="K1043" s="0" t="s">
        <v>1914</v>
      </c>
      <c r="L1043" s="0" t="n">
        <v>2018</v>
      </c>
      <c r="M1043" s="0" t="s">
        <v>1915</v>
      </c>
      <c r="N1043" s="0" t="s">
        <v>141</v>
      </c>
      <c r="O1043" s="0" t="s">
        <v>2417</v>
      </c>
      <c r="P1043" s="0" t="s">
        <v>4549</v>
      </c>
      <c r="Q1043" s="0" t="n">
        <v>267</v>
      </c>
      <c r="R1043" s="0" t="n">
        <v>266</v>
      </c>
      <c r="S1043" s="0" t="n">
        <v>29</v>
      </c>
      <c r="T1043" s="0" t="s">
        <v>4578</v>
      </c>
      <c r="U1043" s="0" t="s">
        <v>4220</v>
      </c>
      <c r="V1043" s="0" t="s">
        <v>142</v>
      </c>
      <c r="W1043" s="0" t="s">
        <v>4588</v>
      </c>
      <c r="X1043" s="0" t="s">
        <v>4582</v>
      </c>
      <c r="Y1043" s="0" t="s">
        <v>4159</v>
      </c>
      <c r="Z1043" s="0" t="s">
        <v>4160</v>
      </c>
      <c r="AA1043" s="0" t="s">
        <v>4242</v>
      </c>
      <c r="AB1043" s="0" t="s">
        <v>4513</v>
      </c>
      <c r="AC1043" s="0" t="s">
        <v>4162</v>
      </c>
      <c r="AD1043" s="0" t="s">
        <v>4163</v>
      </c>
      <c r="AE1043" s="0" t="s">
        <v>4164</v>
      </c>
      <c r="AF1043" s="0" t="s">
        <v>4552</v>
      </c>
      <c r="AH1043" s="0" t="s">
        <v>4174</v>
      </c>
      <c r="AI1043" s="0" t="s">
        <v>4184</v>
      </c>
      <c r="AL1043" s="0" t="s">
        <v>523</v>
      </c>
    </row>
    <row r="1044" customFormat="false" ht="15" hidden="false" customHeight="false" outlineLevel="0" collapsed="false">
      <c r="A1044" s="0" t="s">
        <v>1035</v>
      </c>
      <c r="B1044" s="0" t="s">
        <v>136</v>
      </c>
      <c r="C1044" s="0" t="s">
        <v>4507</v>
      </c>
      <c r="D1044" s="0" t="n">
        <v>2017</v>
      </c>
      <c r="E1044" s="0" t="s">
        <v>62</v>
      </c>
      <c r="F1044" s="0" t="n">
        <v>1265971688</v>
      </c>
      <c r="G1044" s="0" t="s">
        <v>3067</v>
      </c>
      <c r="H1044" s="0" t="s">
        <v>3068</v>
      </c>
      <c r="I1044" s="0" t="n">
        <v>1265971.688</v>
      </c>
      <c r="J1044" s="0" t="s">
        <v>4508</v>
      </c>
      <c r="K1044" s="0" t="s">
        <v>1914</v>
      </c>
      <c r="L1044" s="0" t="n">
        <v>2018</v>
      </c>
      <c r="M1044" s="0" t="s">
        <v>1915</v>
      </c>
      <c r="N1044" s="0" t="s">
        <v>141</v>
      </c>
      <c r="O1044" s="0" t="s">
        <v>2417</v>
      </c>
      <c r="P1044" s="0" t="s">
        <v>4549</v>
      </c>
      <c r="Q1044" s="0" t="n">
        <v>267</v>
      </c>
      <c r="R1044" s="0" t="n">
        <v>266</v>
      </c>
      <c r="S1044" s="0" t="n">
        <v>29</v>
      </c>
      <c r="T1044" s="0" t="s">
        <v>4578</v>
      </c>
      <c r="U1044" s="0" t="s">
        <v>4220</v>
      </c>
      <c r="V1044" s="0" t="s">
        <v>142</v>
      </c>
      <c r="W1044" s="0" t="s">
        <v>4589</v>
      </c>
      <c r="X1044" s="0" t="s">
        <v>4582</v>
      </c>
      <c r="Y1044" s="0" t="s">
        <v>4159</v>
      </c>
      <c r="Z1044" s="0" t="s">
        <v>4160</v>
      </c>
      <c r="AB1044" s="0" t="s">
        <v>4513</v>
      </c>
      <c r="AC1044" s="0" t="s">
        <v>4162</v>
      </c>
      <c r="AD1044" s="0" t="s">
        <v>4163</v>
      </c>
      <c r="AE1044" s="0" t="s">
        <v>4164</v>
      </c>
      <c r="AF1044" s="0" t="s">
        <v>4552</v>
      </c>
      <c r="AH1044" s="0" t="s">
        <v>2239</v>
      </c>
      <c r="AL1044" s="0" t="s">
        <v>523</v>
      </c>
    </row>
    <row r="1045" customFormat="false" ht="15" hidden="false" customHeight="false" outlineLevel="0" collapsed="false">
      <c r="A1045" s="0" t="s">
        <v>939</v>
      </c>
      <c r="B1045" s="0" t="s">
        <v>125</v>
      </c>
      <c r="C1045" s="0" t="s">
        <v>4590</v>
      </c>
      <c r="D1045" s="0" t="n">
        <v>2017</v>
      </c>
      <c r="E1045" s="0" t="s">
        <v>55</v>
      </c>
      <c r="F1045" s="0" t="n">
        <v>3777039</v>
      </c>
      <c r="G1045" s="0" t="s">
        <v>3101</v>
      </c>
      <c r="H1045" s="0" t="s">
        <v>3068</v>
      </c>
      <c r="I1045" s="0" t="n">
        <v>3777039</v>
      </c>
      <c r="J1045" s="0" t="s">
        <v>4155</v>
      </c>
      <c r="K1045" s="0" t="s">
        <v>2698</v>
      </c>
      <c r="L1045" s="0" t="n">
        <v>2017</v>
      </c>
      <c r="M1045" s="0" t="s">
        <v>2429</v>
      </c>
      <c r="N1045" s="0" t="s">
        <v>128</v>
      </c>
      <c r="O1045" s="0" t="s">
        <v>2430</v>
      </c>
      <c r="P1045" s="0" t="s">
        <v>4591</v>
      </c>
      <c r="Q1045" s="0" t="n">
        <v>6</v>
      </c>
      <c r="R1045" s="0" t="n">
        <v>18</v>
      </c>
      <c r="T1045" s="0" t="s">
        <v>4592</v>
      </c>
      <c r="U1045" s="0" t="s">
        <v>4396</v>
      </c>
      <c r="V1045" s="0" t="s">
        <v>130</v>
      </c>
      <c r="W1045" s="0" t="s">
        <v>4593</v>
      </c>
      <c r="X1045" s="0" t="s">
        <v>4594</v>
      </c>
      <c r="Y1045" s="0" t="s">
        <v>4159</v>
      </c>
      <c r="Z1045" s="0" t="s">
        <v>4160</v>
      </c>
      <c r="AA1045" s="0" t="s">
        <v>4595</v>
      </c>
      <c r="AB1045" s="0" t="s">
        <v>4596</v>
      </c>
      <c r="AC1045" s="0" t="s">
        <v>4162</v>
      </c>
      <c r="AD1045" s="0" t="s">
        <v>4163</v>
      </c>
      <c r="AE1045" s="0" t="s">
        <v>4164</v>
      </c>
      <c r="AF1045" s="0" t="s">
        <v>4597</v>
      </c>
      <c r="AH1045" s="0" t="s">
        <v>2239</v>
      </c>
      <c r="AL1045" s="0" t="s">
        <v>523</v>
      </c>
    </row>
    <row r="1046" customFormat="false" ht="15" hidden="false" customHeight="false" outlineLevel="0" collapsed="false">
      <c r="A1046" s="0" t="s">
        <v>940</v>
      </c>
      <c r="B1046" s="0" t="s">
        <v>125</v>
      </c>
      <c r="C1046" s="0" t="s">
        <v>4590</v>
      </c>
      <c r="D1046" s="0" t="n">
        <v>2017</v>
      </c>
      <c r="E1046" s="0" t="s">
        <v>56</v>
      </c>
      <c r="F1046" s="0" t="n">
        <v>3197196</v>
      </c>
      <c r="G1046" s="0" t="s">
        <v>3101</v>
      </c>
      <c r="H1046" s="0" t="s">
        <v>3068</v>
      </c>
      <c r="I1046" s="0" t="n">
        <v>3197196</v>
      </c>
      <c r="J1046" s="0" t="s">
        <v>4155</v>
      </c>
      <c r="K1046" s="0" t="s">
        <v>2698</v>
      </c>
      <c r="L1046" s="0" t="n">
        <v>2017</v>
      </c>
      <c r="M1046" s="0" t="s">
        <v>2429</v>
      </c>
      <c r="N1046" s="0" t="s">
        <v>128</v>
      </c>
      <c r="O1046" s="0" t="s">
        <v>2430</v>
      </c>
      <c r="P1046" s="0" t="s">
        <v>4591</v>
      </c>
      <c r="Q1046" s="0" t="n">
        <v>6</v>
      </c>
      <c r="R1046" s="0" t="n">
        <v>18</v>
      </c>
      <c r="T1046" s="0" t="s">
        <v>4592</v>
      </c>
      <c r="U1046" s="0" t="s">
        <v>4396</v>
      </c>
      <c r="V1046" s="0" t="s">
        <v>130</v>
      </c>
      <c r="W1046" s="0" t="s">
        <v>4598</v>
      </c>
      <c r="X1046" s="0" t="s">
        <v>4594</v>
      </c>
      <c r="Y1046" s="0" t="s">
        <v>4159</v>
      </c>
      <c r="Z1046" s="0" t="s">
        <v>4160</v>
      </c>
      <c r="AA1046" s="0" t="s">
        <v>4595</v>
      </c>
      <c r="AB1046" s="0" t="s">
        <v>4596</v>
      </c>
      <c r="AC1046" s="0" t="s">
        <v>4162</v>
      </c>
      <c r="AD1046" s="0" t="s">
        <v>4163</v>
      </c>
      <c r="AE1046" s="0" t="s">
        <v>4164</v>
      </c>
      <c r="AF1046" s="0" t="s">
        <v>4597</v>
      </c>
      <c r="AH1046" s="0" t="s">
        <v>2239</v>
      </c>
      <c r="AL1046" s="0" t="s">
        <v>523</v>
      </c>
    </row>
    <row r="1047" customFormat="false" ht="15" hidden="false" customHeight="false" outlineLevel="0" collapsed="false">
      <c r="A1047" s="0" t="s">
        <v>941</v>
      </c>
      <c r="B1047" s="0" t="s">
        <v>125</v>
      </c>
      <c r="C1047" s="0" t="s">
        <v>4590</v>
      </c>
      <c r="D1047" s="0" t="n">
        <v>2017</v>
      </c>
      <c r="E1047" s="0" t="s">
        <v>57</v>
      </c>
      <c r="F1047" s="0" t="n">
        <v>579843</v>
      </c>
      <c r="G1047" s="0" t="s">
        <v>3101</v>
      </c>
      <c r="H1047" s="0" t="s">
        <v>3068</v>
      </c>
      <c r="I1047" s="0" t="n">
        <v>579843</v>
      </c>
      <c r="J1047" s="0" t="s">
        <v>4155</v>
      </c>
      <c r="K1047" s="0" t="s">
        <v>2698</v>
      </c>
      <c r="L1047" s="0" t="n">
        <v>2017</v>
      </c>
      <c r="M1047" s="0" t="s">
        <v>2429</v>
      </c>
      <c r="N1047" s="0" t="s">
        <v>128</v>
      </c>
      <c r="O1047" s="0" t="s">
        <v>2430</v>
      </c>
      <c r="P1047" s="0" t="s">
        <v>4591</v>
      </c>
      <c r="Q1047" s="0" t="n">
        <v>6</v>
      </c>
      <c r="R1047" s="0" t="n">
        <v>18</v>
      </c>
      <c r="T1047" s="0" t="s">
        <v>4592</v>
      </c>
      <c r="U1047" s="0" t="s">
        <v>4396</v>
      </c>
      <c r="V1047" s="0" t="s">
        <v>130</v>
      </c>
      <c r="W1047" s="0" t="s">
        <v>4599</v>
      </c>
      <c r="X1047" s="0" t="s">
        <v>4594</v>
      </c>
      <c r="Y1047" s="0" t="s">
        <v>4159</v>
      </c>
      <c r="Z1047" s="0" t="s">
        <v>4160</v>
      </c>
      <c r="AA1047" s="0" t="s">
        <v>4595</v>
      </c>
      <c r="AB1047" s="0" t="s">
        <v>4596</v>
      </c>
      <c r="AC1047" s="0" t="s">
        <v>4162</v>
      </c>
      <c r="AD1047" s="0" t="s">
        <v>4163</v>
      </c>
      <c r="AE1047" s="0" t="s">
        <v>4164</v>
      </c>
      <c r="AF1047" s="0" t="s">
        <v>4597</v>
      </c>
      <c r="AH1047" s="0" t="s">
        <v>2239</v>
      </c>
      <c r="AL1047" s="0" t="s">
        <v>523</v>
      </c>
    </row>
    <row r="1048" customFormat="false" ht="15" hidden="false" customHeight="false" outlineLevel="0" collapsed="false">
      <c r="A1048" s="0" t="s">
        <v>938</v>
      </c>
      <c r="B1048" s="0" t="s">
        <v>125</v>
      </c>
      <c r="C1048" s="0" t="s">
        <v>4590</v>
      </c>
      <c r="D1048" s="0" t="n">
        <v>2017</v>
      </c>
      <c r="E1048" s="0" t="s">
        <v>54</v>
      </c>
      <c r="F1048" s="0" t="n">
        <v>46918</v>
      </c>
      <c r="G1048" s="0" t="s">
        <v>3101</v>
      </c>
      <c r="H1048" s="0" t="s">
        <v>3068</v>
      </c>
      <c r="I1048" s="0" t="n">
        <v>46918</v>
      </c>
      <c r="J1048" s="0" t="s">
        <v>4155</v>
      </c>
      <c r="K1048" s="0" t="s">
        <v>2698</v>
      </c>
      <c r="L1048" s="0" t="n">
        <v>2017</v>
      </c>
      <c r="M1048" s="0" t="s">
        <v>2429</v>
      </c>
      <c r="N1048" s="0" t="s">
        <v>128</v>
      </c>
      <c r="O1048" s="0" t="s">
        <v>2430</v>
      </c>
      <c r="P1048" s="0" t="s">
        <v>4591</v>
      </c>
      <c r="Q1048" s="0" t="n">
        <v>4</v>
      </c>
      <c r="R1048" s="0" t="n">
        <v>16</v>
      </c>
      <c r="T1048" s="0" t="s">
        <v>4592</v>
      </c>
      <c r="U1048" s="0" t="s">
        <v>4396</v>
      </c>
      <c r="V1048" s="0" t="s">
        <v>130</v>
      </c>
      <c r="W1048" s="0" t="s">
        <v>4600</v>
      </c>
      <c r="X1048" s="0" t="s">
        <v>4601</v>
      </c>
      <c r="Y1048" s="0" t="s">
        <v>4159</v>
      </c>
      <c r="Z1048" s="0" t="s">
        <v>4160</v>
      </c>
      <c r="AA1048" s="0" t="s">
        <v>4602</v>
      </c>
      <c r="AB1048" s="0" t="s">
        <v>4596</v>
      </c>
      <c r="AC1048" s="0" t="s">
        <v>4162</v>
      </c>
      <c r="AD1048" s="0" t="s">
        <v>4163</v>
      </c>
      <c r="AE1048" s="0" t="s">
        <v>4164</v>
      </c>
      <c r="AF1048" s="0" t="s">
        <v>4597</v>
      </c>
      <c r="AH1048" s="0" t="s">
        <v>2239</v>
      </c>
      <c r="AL1048" s="0" t="s">
        <v>523</v>
      </c>
    </row>
    <row r="1049" customFormat="false" ht="15" hidden="false" customHeight="false" outlineLevel="0" collapsed="false">
      <c r="A1049" s="0" t="s">
        <v>952</v>
      </c>
      <c r="B1049" s="0" t="s">
        <v>125</v>
      </c>
      <c r="C1049" s="0" t="s">
        <v>4590</v>
      </c>
      <c r="D1049" s="0" t="n">
        <v>2017</v>
      </c>
      <c r="E1049" s="0" t="s">
        <v>541</v>
      </c>
      <c r="F1049" s="0" t="n">
        <v>52263</v>
      </c>
      <c r="G1049" s="0" t="s">
        <v>3101</v>
      </c>
      <c r="H1049" s="0" t="s">
        <v>3068</v>
      </c>
      <c r="I1049" s="0" t="n">
        <v>52263</v>
      </c>
      <c r="J1049" s="0" t="s">
        <v>4155</v>
      </c>
      <c r="K1049" s="0" t="s">
        <v>2698</v>
      </c>
      <c r="L1049" s="0" t="n">
        <v>2017</v>
      </c>
      <c r="M1049" s="0" t="s">
        <v>2429</v>
      </c>
      <c r="N1049" s="0" t="s">
        <v>128</v>
      </c>
      <c r="O1049" s="0" t="s">
        <v>2430</v>
      </c>
      <c r="P1049" s="0" t="s">
        <v>4591</v>
      </c>
      <c r="Q1049" s="0" t="n">
        <v>4</v>
      </c>
      <c r="R1049" s="0" t="n">
        <v>16</v>
      </c>
      <c r="T1049" s="0" t="s">
        <v>4592</v>
      </c>
      <c r="U1049" s="0" t="s">
        <v>4396</v>
      </c>
      <c r="V1049" s="0" t="s">
        <v>130</v>
      </c>
      <c r="W1049" s="0" t="s">
        <v>4603</v>
      </c>
      <c r="X1049" s="0" t="s">
        <v>4601</v>
      </c>
      <c r="Y1049" s="0" t="s">
        <v>4159</v>
      </c>
      <c r="Z1049" s="0" t="s">
        <v>4160</v>
      </c>
      <c r="AA1049" s="0" t="s">
        <v>4595</v>
      </c>
      <c r="AB1049" s="0" t="s">
        <v>4596</v>
      </c>
      <c r="AC1049" s="0" t="s">
        <v>4162</v>
      </c>
      <c r="AD1049" s="0" t="s">
        <v>4163</v>
      </c>
      <c r="AE1049" s="0" t="s">
        <v>4164</v>
      </c>
      <c r="AF1049" s="0" t="s">
        <v>4597</v>
      </c>
      <c r="AH1049" s="0" t="s">
        <v>2239</v>
      </c>
      <c r="AL1049" s="0" t="s">
        <v>523</v>
      </c>
    </row>
    <row r="1050" customFormat="false" ht="15" hidden="false" customHeight="false" outlineLevel="0" collapsed="false">
      <c r="A1050" s="0" t="s">
        <v>947</v>
      </c>
      <c r="B1050" s="0" t="s">
        <v>125</v>
      </c>
      <c r="C1050" s="0" t="s">
        <v>4590</v>
      </c>
      <c r="D1050" s="0" t="n">
        <v>2017</v>
      </c>
      <c r="E1050" s="0" t="s">
        <v>307</v>
      </c>
      <c r="F1050" s="0" t="n">
        <v>-126190</v>
      </c>
      <c r="G1050" s="0" t="s">
        <v>3101</v>
      </c>
      <c r="H1050" s="0" t="s">
        <v>3068</v>
      </c>
      <c r="I1050" s="0" t="n">
        <v>126190</v>
      </c>
      <c r="J1050" s="0" t="s">
        <v>4155</v>
      </c>
      <c r="K1050" s="0" t="s">
        <v>2698</v>
      </c>
      <c r="L1050" s="0" t="n">
        <v>2017</v>
      </c>
      <c r="M1050" s="0" t="s">
        <v>2429</v>
      </c>
      <c r="N1050" s="0" t="s">
        <v>128</v>
      </c>
      <c r="O1050" s="0" t="s">
        <v>2430</v>
      </c>
      <c r="P1050" s="0" t="s">
        <v>4591</v>
      </c>
      <c r="Q1050" s="0" t="n">
        <v>4</v>
      </c>
      <c r="R1050" s="0" t="n">
        <v>16</v>
      </c>
      <c r="S1050" s="0" t="n">
        <v>9</v>
      </c>
      <c r="T1050" s="0" t="s">
        <v>4592</v>
      </c>
      <c r="U1050" s="0" t="s">
        <v>4396</v>
      </c>
      <c r="V1050" s="0" t="s">
        <v>130</v>
      </c>
      <c r="W1050" s="0" t="s">
        <v>4604</v>
      </c>
      <c r="X1050" s="0" t="s">
        <v>4601</v>
      </c>
      <c r="Y1050" s="0" t="s">
        <v>4159</v>
      </c>
      <c r="Z1050" s="0" t="s">
        <v>4160</v>
      </c>
      <c r="AA1050" s="0" t="s">
        <v>4605</v>
      </c>
      <c r="AB1050" s="0" t="s">
        <v>4596</v>
      </c>
      <c r="AC1050" s="0" t="s">
        <v>4162</v>
      </c>
      <c r="AD1050" s="0" t="s">
        <v>4163</v>
      </c>
      <c r="AE1050" s="0" t="s">
        <v>4164</v>
      </c>
      <c r="AF1050" s="0" t="s">
        <v>4597</v>
      </c>
      <c r="AH1050" s="0" t="s">
        <v>4174</v>
      </c>
      <c r="AI1050" s="0" t="s">
        <v>4175</v>
      </c>
      <c r="AL1050" s="0" t="s">
        <v>523</v>
      </c>
    </row>
    <row r="1051" customFormat="false" ht="15" hidden="false" customHeight="false" outlineLevel="0" collapsed="false">
      <c r="A1051" s="0" t="s">
        <v>942</v>
      </c>
      <c r="B1051" s="0" t="s">
        <v>125</v>
      </c>
      <c r="C1051" s="0" t="s">
        <v>4590</v>
      </c>
      <c r="D1051" s="0" t="n">
        <v>2017</v>
      </c>
      <c r="E1051" s="0" t="s">
        <v>58</v>
      </c>
      <c r="F1051" s="0" t="n">
        <v>113212</v>
      </c>
      <c r="G1051" s="0" t="s">
        <v>3101</v>
      </c>
      <c r="H1051" s="0" t="s">
        <v>3068</v>
      </c>
      <c r="I1051" s="0" t="n">
        <v>113212</v>
      </c>
      <c r="J1051" s="0" t="s">
        <v>4155</v>
      </c>
      <c r="K1051" s="0" t="s">
        <v>2698</v>
      </c>
      <c r="L1051" s="0" t="n">
        <v>2017</v>
      </c>
      <c r="M1051" s="0" t="s">
        <v>2429</v>
      </c>
      <c r="N1051" s="0" t="s">
        <v>128</v>
      </c>
      <c r="O1051" s="0" t="s">
        <v>2430</v>
      </c>
      <c r="P1051" s="0" t="s">
        <v>4591</v>
      </c>
      <c r="Q1051" s="0" t="n">
        <v>9</v>
      </c>
      <c r="R1051" s="0" t="n">
        <v>21</v>
      </c>
      <c r="T1051" s="0" t="s">
        <v>4592</v>
      </c>
      <c r="U1051" s="0" t="s">
        <v>4396</v>
      </c>
      <c r="V1051" s="0" t="s">
        <v>130</v>
      </c>
      <c r="W1051" s="0" t="s">
        <v>4606</v>
      </c>
      <c r="X1051" s="0" t="s">
        <v>4607</v>
      </c>
      <c r="Y1051" s="0" t="s">
        <v>4159</v>
      </c>
      <c r="Z1051" s="0" t="s">
        <v>4160</v>
      </c>
      <c r="AA1051" s="0" t="s">
        <v>4595</v>
      </c>
      <c r="AB1051" s="0" t="s">
        <v>4596</v>
      </c>
      <c r="AC1051" s="0" t="s">
        <v>4162</v>
      </c>
      <c r="AD1051" s="0" t="s">
        <v>4163</v>
      </c>
      <c r="AE1051" s="0" t="s">
        <v>4164</v>
      </c>
      <c r="AF1051" s="0" t="s">
        <v>4597</v>
      </c>
      <c r="AH1051" s="0" t="s">
        <v>2239</v>
      </c>
      <c r="AL1051" s="0" t="s">
        <v>523</v>
      </c>
    </row>
    <row r="1052" customFormat="false" ht="15" hidden="false" customHeight="false" outlineLevel="0" collapsed="false">
      <c r="A1052" s="0" t="s">
        <v>944</v>
      </c>
      <c r="B1052" s="0" t="s">
        <v>125</v>
      </c>
      <c r="C1052" s="0" t="s">
        <v>4590</v>
      </c>
      <c r="D1052" s="0" t="n">
        <v>2017</v>
      </c>
      <c r="E1052" s="0" t="s">
        <v>60</v>
      </c>
      <c r="F1052" s="0" t="n">
        <v>1837515</v>
      </c>
      <c r="G1052" s="0" t="s">
        <v>3101</v>
      </c>
      <c r="H1052" s="0" t="s">
        <v>3068</v>
      </c>
      <c r="I1052" s="0" t="n">
        <v>1837515</v>
      </c>
      <c r="J1052" s="0" t="s">
        <v>4155</v>
      </c>
      <c r="K1052" s="0" t="s">
        <v>2698</v>
      </c>
      <c r="L1052" s="0" t="n">
        <v>2017</v>
      </c>
      <c r="M1052" s="0" t="s">
        <v>2429</v>
      </c>
      <c r="N1052" s="0" t="s">
        <v>128</v>
      </c>
      <c r="O1052" s="0" t="s">
        <v>2430</v>
      </c>
      <c r="P1052" s="0" t="s">
        <v>4591</v>
      </c>
      <c r="Q1052" s="0" t="n">
        <v>60</v>
      </c>
      <c r="R1052" s="0" t="n">
        <v>72</v>
      </c>
      <c r="S1052" s="0" t="n">
        <v>20</v>
      </c>
      <c r="T1052" s="0" t="s">
        <v>4608</v>
      </c>
      <c r="U1052" s="0" t="s">
        <v>4396</v>
      </c>
      <c r="V1052" s="0" t="s">
        <v>130</v>
      </c>
      <c r="W1052" s="0" t="s">
        <v>4609</v>
      </c>
      <c r="X1052" s="0" t="s">
        <v>4610</v>
      </c>
      <c r="Y1052" s="0" t="s">
        <v>4159</v>
      </c>
      <c r="Z1052" s="0" t="s">
        <v>4160</v>
      </c>
      <c r="AA1052" s="0" t="s">
        <v>4611</v>
      </c>
      <c r="AB1052" s="0" t="s">
        <v>4596</v>
      </c>
      <c r="AC1052" s="0" t="s">
        <v>4162</v>
      </c>
      <c r="AD1052" s="0" t="s">
        <v>4163</v>
      </c>
      <c r="AE1052" s="0" t="s">
        <v>4164</v>
      </c>
      <c r="AF1052" s="0" t="s">
        <v>4597</v>
      </c>
      <c r="AH1052" s="0" t="s">
        <v>2239</v>
      </c>
      <c r="AL1052" s="0" t="s">
        <v>523</v>
      </c>
    </row>
    <row r="1053" customFormat="false" ht="15" hidden="false" customHeight="false" outlineLevel="0" collapsed="false">
      <c r="A1053" s="0" t="s">
        <v>953</v>
      </c>
      <c r="B1053" s="0" t="s">
        <v>125</v>
      </c>
      <c r="C1053" s="0" t="s">
        <v>4590</v>
      </c>
      <c r="D1053" s="0" t="n">
        <v>2017</v>
      </c>
      <c r="E1053" s="0" t="s">
        <v>543</v>
      </c>
      <c r="F1053" s="0" t="n">
        <v>133484</v>
      </c>
      <c r="G1053" s="0" t="s">
        <v>3101</v>
      </c>
      <c r="H1053" s="0" t="s">
        <v>3068</v>
      </c>
      <c r="I1053" s="0" t="n">
        <v>133484</v>
      </c>
      <c r="J1053" s="0" t="s">
        <v>4155</v>
      </c>
      <c r="K1053" s="0" t="s">
        <v>2698</v>
      </c>
      <c r="L1053" s="0" t="n">
        <v>2017</v>
      </c>
      <c r="M1053" s="0" t="s">
        <v>2429</v>
      </c>
      <c r="N1053" s="0" t="s">
        <v>128</v>
      </c>
      <c r="O1053" s="0" t="s">
        <v>2430</v>
      </c>
      <c r="P1053" s="0" t="s">
        <v>4591</v>
      </c>
      <c r="Q1053" s="0" t="n">
        <v>60</v>
      </c>
      <c r="R1053" s="0" t="n">
        <v>72</v>
      </c>
      <c r="S1053" s="0" t="n">
        <v>20</v>
      </c>
      <c r="T1053" s="0" t="s">
        <v>4612</v>
      </c>
      <c r="U1053" s="0" t="s">
        <v>4396</v>
      </c>
      <c r="V1053" s="0" t="s">
        <v>130</v>
      </c>
      <c r="W1053" s="0" t="s">
        <v>4609</v>
      </c>
      <c r="X1053" s="0" t="s">
        <v>4610</v>
      </c>
      <c r="Y1053" s="0" t="s">
        <v>4159</v>
      </c>
      <c r="Z1053" s="0" t="s">
        <v>4160</v>
      </c>
      <c r="AA1053" s="0" t="s">
        <v>4595</v>
      </c>
      <c r="AB1053" s="0" t="s">
        <v>4596</v>
      </c>
      <c r="AC1053" s="0" t="s">
        <v>4162</v>
      </c>
      <c r="AD1053" s="0" t="s">
        <v>4163</v>
      </c>
      <c r="AE1053" s="0" t="s">
        <v>4164</v>
      </c>
      <c r="AF1053" s="0" t="s">
        <v>4597</v>
      </c>
      <c r="AH1053" s="0" t="s">
        <v>2239</v>
      </c>
      <c r="AL1053" s="0" t="s">
        <v>523</v>
      </c>
    </row>
    <row r="1054" customFormat="false" ht="15" hidden="false" customHeight="false" outlineLevel="0" collapsed="false">
      <c r="A1054" s="0" t="s">
        <v>954</v>
      </c>
      <c r="B1054" s="0" t="s">
        <v>125</v>
      </c>
      <c r="C1054" s="0" t="s">
        <v>4590</v>
      </c>
      <c r="D1054" s="0" t="n">
        <v>2017</v>
      </c>
      <c r="E1054" s="0" t="s">
        <v>545</v>
      </c>
      <c r="F1054" s="0" t="n">
        <v>45235</v>
      </c>
      <c r="G1054" s="0" t="s">
        <v>3101</v>
      </c>
      <c r="H1054" s="0" t="s">
        <v>3068</v>
      </c>
      <c r="I1054" s="0" t="n">
        <v>45235</v>
      </c>
      <c r="J1054" s="0" t="s">
        <v>4155</v>
      </c>
      <c r="K1054" s="0" t="s">
        <v>2698</v>
      </c>
      <c r="L1054" s="0" t="n">
        <v>2017</v>
      </c>
      <c r="M1054" s="0" t="s">
        <v>2429</v>
      </c>
      <c r="N1054" s="0" t="s">
        <v>128</v>
      </c>
      <c r="O1054" s="0" t="s">
        <v>2430</v>
      </c>
      <c r="P1054" s="0" t="s">
        <v>4591</v>
      </c>
      <c r="Q1054" s="0" t="n">
        <v>60</v>
      </c>
      <c r="R1054" s="0" t="n">
        <v>72</v>
      </c>
      <c r="S1054" s="0" t="n">
        <v>20</v>
      </c>
      <c r="T1054" s="0" t="s">
        <v>4613</v>
      </c>
      <c r="U1054" s="0" t="s">
        <v>4396</v>
      </c>
      <c r="V1054" s="0" t="s">
        <v>130</v>
      </c>
      <c r="W1054" s="0" t="s">
        <v>4609</v>
      </c>
      <c r="X1054" s="0" t="s">
        <v>4610</v>
      </c>
      <c r="Y1054" s="0" t="s">
        <v>4159</v>
      </c>
      <c r="Z1054" s="0" t="s">
        <v>4160</v>
      </c>
      <c r="AA1054" s="0" t="s">
        <v>4595</v>
      </c>
      <c r="AB1054" s="0" t="s">
        <v>4596</v>
      </c>
      <c r="AC1054" s="0" t="s">
        <v>4162</v>
      </c>
      <c r="AD1054" s="0" t="s">
        <v>4163</v>
      </c>
      <c r="AE1054" s="0" t="s">
        <v>4164</v>
      </c>
      <c r="AF1054" s="0" t="s">
        <v>4597</v>
      </c>
      <c r="AH1054" s="0" t="s">
        <v>2239</v>
      </c>
      <c r="AL1054" s="0" t="s">
        <v>523</v>
      </c>
    </row>
    <row r="1055" customFormat="false" ht="15" hidden="false" customHeight="false" outlineLevel="0" collapsed="false">
      <c r="A1055" s="0" t="s">
        <v>945</v>
      </c>
      <c r="B1055" s="0" t="s">
        <v>125</v>
      </c>
      <c r="C1055" s="0" t="s">
        <v>4590</v>
      </c>
      <c r="D1055" s="0" t="n">
        <v>2017</v>
      </c>
      <c r="E1055" s="0" t="s">
        <v>61</v>
      </c>
      <c r="F1055" s="0" t="n">
        <v>178719</v>
      </c>
      <c r="G1055" s="0" t="s">
        <v>3101</v>
      </c>
      <c r="H1055" s="0" t="s">
        <v>3068</v>
      </c>
      <c r="I1055" s="0" t="n">
        <v>178719</v>
      </c>
      <c r="J1055" s="0" t="s">
        <v>4155</v>
      </c>
      <c r="K1055" s="0" t="s">
        <v>2698</v>
      </c>
      <c r="L1055" s="0" t="n">
        <v>2017</v>
      </c>
      <c r="M1055" s="0" t="s">
        <v>2429</v>
      </c>
      <c r="N1055" s="0" t="s">
        <v>128</v>
      </c>
      <c r="O1055" s="0" t="s">
        <v>2430</v>
      </c>
      <c r="P1055" s="0" t="s">
        <v>4591</v>
      </c>
      <c r="Q1055" s="0" t="n">
        <v>60</v>
      </c>
      <c r="R1055" s="0" t="n">
        <v>72</v>
      </c>
      <c r="S1055" s="0" t="n">
        <v>20</v>
      </c>
      <c r="T1055" s="0" t="s">
        <v>4614</v>
      </c>
      <c r="U1055" s="0" t="s">
        <v>4396</v>
      </c>
      <c r="V1055" s="0" t="s">
        <v>130</v>
      </c>
      <c r="W1055" s="0" t="s">
        <v>4609</v>
      </c>
      <c r="X1055" s="0" t="s">
        <v>4610</v>
      </c>
      <c r="Y1055" s="0" t="s">
        <v>4159</v>
      </c>
      <c r="Z1055" s="0" t="s">
        <v>4160</v>
      </c>
      <c r="AA1055" s="0" t="s">
        <v>4595</v>
      </c>
      <c r="AB1055" s="0" t="s">
        <v>4596</v>
      </c>
      <c r="AC1055" s="0" t="s">
        <v>4162</v>
      </c>
      <c r="AD1055" s="0" t="s">
        <v>4163</v>
      </c>
      <c r="AE1055" s="0" t="s">
        <v>4164</v>
      </c>
      <c r="AF1055" s="0" t="s">
        <v>4597</v>
      </c>
      <c r="AH1055" s="0" t="s">
        <v>2239</v>
      </c>
      <c r="AL1055" s="0" t="s">
        <v>523</v>
      </c>
    </row>
    <row r="1056" customFormat="false" ht="15" hidden="false" customHeight="false" outlineLevel="0" collapsed="false">
      <c r="A1056" s="0" t="s">
        <v>946</v>
      </c>
      <c r="B1056" s="0" t="s">
        <v>125</v>
      </c>
      <c r="C1056" s="0" t="s">
        <v>4590</v>
      </c>
      <c r="D1056" s="0" t="n">
        <v>2017</v>
      </c>
      <c r="E1056" s="0" t="s">
        <v>62</v>
      </c>
      <c r="F1056" s="0" t="n">
        <v>1658796</v>
      </c>
      <c r="G1056" s="0" t="s">
        <v>3101</v>
      </c>
      <c r="H1056" s="0" t="s">
        <v>3068</v>
      </c>
      <c r="I1056" s="0" t="n">
        <v>1658796</v>
      </c>
      <c r="J1056" s="0" t="s">
        <v>4155</v>
      </c>
      <c r="K1056" s="0" t="s">
        <v>2698</v>
      </c>
      <c r="L1056" s="0" t="n">
        <v>2017</v>
      </c>
      <c r="M1056" s="0" t="s">
        <v>2429</v>
      </c>
      <c r="N1056" s="0" t="s">
        <v>128</v>
      </c>
      <c r="O1056" s="0" t="s">
        <v>2430</v>
      </c>
      <c r="P1056" s="0" t="s">
        <v>4591</v>
      </c>
      <c r="Q1056" s="0" t="n">
        <v>60</v>
      </c>
      <c r="R1056" s="0" t="n">
        <v>72</v>
      </c>
      <c r="S1056" s="0" t="n">
        <v>20</v>
      </c>
      <c r="T1056" s="0" t="s">
        <v>4615</v>
      </c>
      <c r="U1056" s="0" t="s">
        <v>4396</v>
      </c>
      <c r="V1056" s="0" t="s">
        <v>130</v>
      </c>
      <c r="W1056" s="0" t="s">
        <v>4609</v>
      </c>
      <c r="X1056" s="0" t="s">
        <v>4610</v>
      </c>
      <c r="Y1056" s="0" t="s">
        <v>4159</v>
      </c>
      <c r="Z1056" s="0" t="s">
        <v>4160</v>
      </c>
      <c r="AA1056" s="0" t="s">
        <v>4595</v>
      </c>
      <c r="AB1056" s="0" t="s">
        <v>4596</v>
      </c>
      <c r="AC1056" s="0" t="s">
        <v>4162</v>
      </c>
      <c r="AD1056" s="0" t="s">
        <v>4163</v>
      </c>
      <c r="AE1056" s="0" t="s">
        <v>4164</v>
      </c>
      <c r="AF1056" s="0" t="s">
        <v>4597</v>
      </c>
      <c r="AH1056" s="0" t="s">
        <v>2239</v>
      </c>
      <c r="AL1056" s="0" t="s">
        <v>523</v>
      </c>
    </row>
    <row r="1057" customFormat="false" ht="15" hidden="false" customHeight="false" outlineLevel="0" collapsed="false">
      <c r="A1057" s="0" t="s">
        <v>950</v>
      </c>
      <c r="B1057" s="0" t="s">
        <v>125</v>
      </c>
      <c r="C1057" s="0" t="s">
        <v>4590</v>
      </c>
      <c r="D1057" s="0" t="n">
        <v>2017</v>
      </c>
      <c r="E1057" s="0" t="s">
        <v>65</v>
      </c>
      <c r="F1057" s="0" t="n">
        <v>535692</v>
      </c>
      <c r="G1057" s="0" t="s">
        <v>3101</v>
      </c>
      <c r="H1057" s="0" t="s">
        <v>3068</v>
      </c>
      <c r="I1057" s="0" t="n">
        <v>535692</v>
      </c>
      <c r="J1057" s="0" t="s">
        <v>4155</v>
      </c>
      <c r="K1057" s="0" t="s">
        <v>2698</v>
      </c>
      <c r="L1057" s="0" t="n">
        <v>2017</v>
      </c>
      <c r="M1057" s="0" t="s">
        <v>2429</v>
      </c>
      <c r="N1057" s="0" t="s">
        <v>128</v>
      </c>
      <c r="O1057" s="0" t="s">
        <v>2430</v>
      </c>
      <c r="P1057" s="0" t="s">
        <v>4591</v>
      </c>
      <c r="Q1057" s="0" t="n">
        <v>51</v>
      </c>
      <c r="R1057" s="0" t="n">
        <v>63</v>
      </c>
      <c r="S1057" s="0" t="n">
        <v>4</v>
      </c>
      <c r="T1057" s="0" t="s">
        <v>4616</v>
      </c>
      <c r="U1057" s="0" t="s">
        <v>4396</v>
      </c>
      <c r="V1057" s="0" t="s">
        <v>130</v>
      </c>
      <c r="W1057" s="0" t="s">
        <v>4617</v>
      </c>
      <c r="X1057" s="0" t="s">
        <v>4618</v>
      </c>
      <c r="Y1057" s="0" t="s">
        <v>4159</v>
      </c>
      <c r="Z1057" s="0" t="s">
        <v>4160</v>
      </c>
      <c r="AA1057" s="0" t="s">
        <v>4595</v>
      </c>
      <c r="AB1057" s="0" t="s">
        <v>4596</v>
      </c>
      <c r="AC1057" s="0" t="s">
        <v>4162</v>
      </c>
      <c r="AD1057" s="0" t="s">
        <v>4163</v>
      </c>
      <c r="AE1057" s="0" t="s">
        <v>4164</v>
      </c>
      <c r="AF1057" s="0" t="s">
        <v>4597</v>
      </c>
      <c r="AH1057" s="0" t="s">
        <v>2239</v>
      </c>
      <c r="AL1057" s="0" t="s">
        <v>523</v>
      </c>
    </row>
    <row r="1058" customFormat="false" ht="15" hidden="false" customHeight="false" outlineLevel="0" collapsed="false">
      <c r="A1058" s="0" t="s">
        <v>951</v>
      </c>
      <c r="B1058" s="0" t="s">
        <v>125</v>
      </c>
      <c r="C1058" s="0" t="s">
        <v>4590</v>
      </c>
      <c r="D1058" s="0" t="n">
        <v>2017</v>
      </c>
      <c r="E1058" s="0" t="s">
        <v>66</v>
      </c>
      <c r="F1058" s="0" t="n">
        <v>3019880</v>
      </c>
      <c r="G1058" s="0" t="s">
        <v>3101</v>
      </c>
      <c r="H1058" s="0" t="s">
        <v>3068</v>
      </c>
      <c r="I1058" s="0" t="n">
        <v>3019880</v>
      </c>
      <c r="J1058" s="0" t="s">
        <v>4155</v>
      </c>
      <c r="K1058" s="0" t="s">
        <v>2698</v>
      </c>
      <c r="L1058" s="0" t="n">
        <v>2017</v>
      </c>
      <c r="M1058" s="0" t="s">
        <v>2429</v>
      </c>
      <c r="N1058" s="0" t="s">
        <v>128</v>
      </c>
      <c r="O1058" s="0" t="s">
        <v>2430</v>
      </c>
      <c r="P1058" s="0" t="s">
        <v>4591</v>
      </c>
      <c r="Q1058" s="0" t="n">
        <v>51</v>
      </c>
      <c r="R1058" s="0" t="n">
        <v>63</v>
      </c>
      <c r="S1058" s="0" t="n">
        <v>4</v>
      </c>
      <c r="T1058" s="0" t="s">
        <v>4616</v>
      </c>
      <c r="U1058" s="0" t="s">
        <v>4396</v>
      </c>
      <c r="V1058" s="0" t="s">
        <v>130</v>
      </c>
      <c r="W1058" s="0" t="s">
        <v>4619</v>
      </c>
      <c r="X1058" s="0" t="s">
        <v>4618</v>
      </c>
      <c r="Y1058" s="0" t="s">
        <v>4159</v>
      </c>
      <c r="Z1058" s="0" t="s">
        <v>4160</v>
      </c>
      <c r="AA1058" s="0" t="s">
        <v>4595</v>
      </c>
      <c r="AB1058" s="0" t="s">
        <v>4596</v>
      </c>
      <c r="AC1058" s="0" t="s">
        <v>4162</v>
      </c>
      <c r="AD1058" s="0" t="s">
        <v>4163</v>
      </c>
      <c r="AE1058" s="0" t="s">
        <v>4164</v>
      </c>
      <c r="AF1058" s="0" t="s">
        <v>4597</v>
      </c>
      <c r="AH1058" s="0" t="s">
        <v>2239</v>
      </c>
      <c r="AL1058" s="0" t="s">
        <v>523</v>
      </c>
    </row>
    <row r="1059" customFormat="false" ht="15" hidden="false" customHeight="false" outlineLevel="0" collapsed="false">
      <c r="A1059" s="0" t="s">
        <v>948</v>
      </c>
      <c r="B1059" s="0" t="s">
        <v>125</v>
      </c>
      <c r="C1059" s="0" t="s">
        <v>4590</v>
      </c>
      <c r="D1059" s="0" t="n">
        <v>2017</v>
      </c>
      <c r="E1059" s="0" t="s">
        <v>69</v>
      </c>
      <c r="F1059" s="0" t="s">
        <v>4620</v>
      </c>
      <c r="G1059" s="0" t="s">
        <v>3143</v>
      </c>
      <c r="I1059" s="0" t="n">
        <v>17.74</v>
      </c>
      <c r="J1059" s="0" t="s">
        <v>4155</v>
      </c>
      <c r="K1059" s="0" t="s">
        <v>2698</v>
      </c>
      <c r="L1059" s="0" t="n">
        <v>2017</v>
      </c>
      <c r="M1059" s="0" t="s">
        <v>2429</v>
      </c>
      <c r="N1059" s="0" t="s">
        <v>128</v>
      </c>
      <c r="O1059" s="0" t="s">
        <v>2430</v>
      </c>
      <c r="P1059" s="0" t="s">
        <v>4591</v>
      </c>
      <c r="Q1059" s="0" t="n">
        <v>51</v>
      </c>
      <c r="R1059" s="0" t="n">
        <v>63</v>
      </c>
      <c r="S1059" s="0" t="n">
        <v>4</v>
      </c>
      <c r="T1059" s="0" t="s">
        <v>4616</v>
      </c>
      <c r="U1059" s="0" t="s">
        <v>4396</v>
      </c>
      <c r="V1059" s="0" t="s">
        <v>130</v>
      </c>
      <c r="W1059" s="0" t="s">
        <v>4621</v>
      </c>
      <c r="X1059" s="0" t="s">
        <v>4618</v>
      </c>
      <c r="Y1059" s="0" t="s">
        <v>4159</v>
      </c>
      <c r="Z1059" s="0" t="s">
        <v>4160</v>
      </c>
      <c r="AA1059" s="0" t="s">
        <v>4595</v>
      </c>
      <c r="AB1059" s="0" t="s">
        <v>4596</v>
      </c>
      <c r="AC1059" s="0" t="s">
        <v>4162</v>
      </c>
      <c r="AD1059" s="0" t="s">
        <v>4163</v>
      </c>
      <c r="AE1059" s="0" t="s">
        <v>4164</v>
      </c>
      <c r="AF1059" s="0" t="s">
        <v>4597</v>
      </c>
      <c r="AH1059" s="0" t="s">
        <v>2239</v>
      </c>
      <c r="AL1059" s="0" t="s">
        <v>523</v>
      </c>
    </row>
    <row r="1060" customFormat="false" ht="15" hidden="false" customHeight="false" outlineLevel="0" collapsed="false">
      <c r="A1060" s="0" t="s">
        <v>949</v>
      </c>
      <c r="B1060" s="0" t="s">
        <v>125</v>
      </c>
      <c r="C1060" s="0" t="s">
        <v>4590</v>
      </c>
      <c r="D1060" s="0" t="n">
        <v>2017</v>
      </c>
      <c r="E1060" s="0" t="s">
        <v>70</v>
      </c>
      <c r="F1060" s="0" t="s">
        <v>4253</v>
      </c>
      <c r="G1060" s="0" t="s">
        <v>3143</v>
      </c>
      <c r="I1060" s="0" t="n">
        <v>15</v>
      </c>
      <c r="J1060" s="0" t="s">
        <v>4155</v>
      </c>
      <c r="K1060" s="0" t="s">
        <v>2698</v>
      </c>
      <c r="L1060" s="0" t="n">
        <v>2017</v>
      </c>
      <c r="M1060" s="0" t="s">
        <v>2429</v>
      </c>
      <c r="N1060" s="0" t="s">
        <v>128</v>
      </c>
      <c r="O1060" s="0" t="s">
        <v>2430</v>
      </c>
      <c r="P1060" s="0" t="s">
        <v>4591</v>
      </c>
      <c r="Q1060" s="0" t="n">
        <v>51</v>
      </c>
      <c r="R1060" s="0" t="n">
        <v>63</v>
      </c>
      <c r="S1060" s="0" t="n">
        <v>4</v>
      </c>
      <c r="T1060" s="0" t="s">
        <v>4254</v>
      </c>
      <c r="U1060" s="0" t="s">
        <v>4396</v>
      </c>
      <c r="V1060" s="0" t="s">
        <v>130</v>
      </c>
      <c r="W1060" s="0" t="s">
        <v>4622</v>
      </c>
      <c r="X1060" s="0" t="s">
        <v>4618</v>
      </c>
      <c r="Y1060" s="0" t="s">
        <v>4159</v>
      </c>
      <c r="Z1060" s="0" t="s">
        <v>4160</v>
      </c>
      <c r="AA1060" s="0" t="s">
        <v>4623</v>
      </c>
      <c r="AB1060" s="0" t="s">
        <v>4596</v>
      </c>
      <c r="AC1060" s="0" t="s">
        <v>4162</v>
      </c>
      <c r="AD1060" s="0" t="s">
        <v>4163</v>
      </c>
      <c r="AE1060" s="0" t="s">
        <v>4164</v>
      </c>
      <c r="AF1060" s="0" t="s">
        <v>4597</v>
      </c>
      <c r="AH1060" s="0" t="s">
        <v>2239</v>
      </c>
      <c r="AL1060" s="0" t="s">
        <v>523</v>
      </c>
    </row>
    <row r="1061" customFormat="false" ht="15" hidden="false" customHeight="false" outlineLevel="0" collapsed="false">
      <c r="A1061" s="0" t="s">
        <v>922</v>
      </c>
      <c r="B1061" s="0" t="s">
        <v>125</v>
      </c>
      <c r="C1061" s="0" t="s">
        <v>4590</v>
      </c>
      <c r="D1061" s="0" t="n">
        <v>2016</v>
      </c>
      <c r="E1061" s="0" t="s">
        <v>55</v>
      </c>
      <c r="F1061" s="0" t="n">
        <v>3557782</v>
      </c>
      <c r="G1061" s="0" t="s">
        <v>3101</v>
      </c>
      <c r="H1061" s="0" t="s">
        <v>3068</v>
      </c>
      <c r="I1061" s="0" t="n">
        <v>3557782</v>
      </c>
      <c r="J1061" s="0" t="s">
        <v>4155</v>
      </c>
      <c r="K1061" s="0" t="s">
        <v>2698</v>
      </c>
      <c r="L1061" s="0" t="n">
        <v>2017</v>
      </c>
      <c r="M1061" s="0" t="s">
        <v>2429</v>
      </c>
      <c r="N1061" s="0" t="s">
        <v>128</v>
      </c>
      <c r="O1061" s="0" t="s">
        <v>2430</v>
      </c>
      <c r="P1061" s="0" t="s">
        <v>4591</v>
      </c>
      <c r="Q1061" s="0" t="n">
        <v>6</v>
      </c>
      <c r="R1061" s="0" t="n">
        <v>18</v>
      </c>
      <c r="T1061" s="0" t="s">
        <v>4624</v>
      </c>
      <c r="U1061" s="0" t="s">
        <v>2673</v>
      </c>
      <c r="V1061" s="0" t="s">
        <v>129</v>
      </c>
      <c r="W1061" s="0" t="s">
        <v>4593</v>
      </c>
      <c r="X1061" s="0" t="s">
        <v>4594</v>
      </c>
      <c r="Y1061" s="0" t="s">
        <v>4159</v>
      </c>
      <c r="Z1061" s="0" t="s">
        <v>4160</v>
      </c>
      <c r="AA1061" s="0" t="s">
        <v>4595</v>
      </c>
      <c r="AB1061" s="0" t="s">
        <v>4596</v>
      </c>
      <c r="AC1061" s="0" t="s">
        <v>4162</v>
      </c>
      <c r="AD1061" s="0" t="s">
        <v>4163</v>
      </c>
      <c r="AE1061" s="0" t="s">
        <v>4164</v>
      </c>
      <c r="AF1061" s="0" t="s">
        <v>4597</v>
      </c>
      <c r="AH1061" s="0" t="s">
        <v>2239</v>
      </c>
      <c r="AL1061" s="0" t="s">
        <v>523</v>
      </c>
    </row>
    <row r="1062" customFormat="false" ht="15" hidden="false" customHeight="false" outlineLevel="0" collapsed="false">
      <c r="A1062" s="0" t="s">
        <v>923</v>
      </c>
      <c r="B1062" s="0" t="s">
        <v>125</v>
      </c>
      <c r="C1062" s="0" t="s">
        <v>4590</v>
      </c>
      <c r="D1062" s="0" t="n">
        <v>2016</v>
      </c>
      <c r="E1062" s="0" t="s">
        <v>56</v>
      </c>
      <c r="F1062" s="0" t="n">
        <v>3071695</v>
      </c>
      <c r="G1062" s="0" t="s">
        <v>3101</v>
      </c>
      <c r="H1062" s="0" t="s">
        <v>3068</v>
      </c>
      <c r="I1062" s="0" t="n">
        <v>3071695</v>
      </c>
      <c r="J1062" s="0" t="s">
        <v>4155</v>
      </c>
      <c r="K1062" s="0" t="s">
        <v>2698</v>
      </c>
      <c r="L1062" s="0" t="n">
        <v>2017</v>
      </c>
      <c r="M1062" s="0" t="s">
        <v>2429</v>
      </c>
      <c r="N1062" s="0" t="s">
        <v>128</v>
      </c>
      <c r="O1062" s="0" t="s">
        <v>2430</v>
      </c>
      <c r="P1062" s="0" t="s">
        <v>4591</v>
      </c>
      <c r="Q1062" s="0" t="n">
        <v>6</v>
      </c>
      <c r="R1062" s="0" t="n">
        <v>18</v>
      </c>
      <c r="T1062" s="0" t="s">
        <v>4624</v>
      </c>
      <c r="U1062" s="0" t="s">
        <v>2673</v>
      </c>
      <c r="V1062" s="0" t="s">
        <v>129</v>
      </c>
      <c r="W1062" s="0" t="s">
        <v>4598</v>
      </c>
      <c r="X1062" s="0" t="s">
        <v>4594</v>
      </c>
      <c r="Y1062" s="0" t="s">
        <v>4159</v>
      </c>
      <c r="Z1062" s="0" t="s">
        <v>4160</v>
      </c>
      <c r="AA1062" s="0" t="s">
        <v>4595</v>
      </c>
      <c r="AB1062" s="0" t="s">
        <v>4596</v>
      </c>
      <c r="AC1062" s="0" t="s">
        <v>4162</v>
      </c>
      <c r="AD1062" s="0" t="s">
        <v>4163</v>
      </c>
      <c r="AE1062" s="0" t="s">
        <v>4164</v>
      </c>
      <c r="AF1062" s="0" t="s">
        <v>4597</v>
      </c>
      <c r="AH1062" s="0" t="s">
        <v>2239</v>
      </c>
      <c r="AL1062" s="0" t="s">
        <v>523</v>
      </c>
    </row>
    <row r="1063" customFormat="false" ht="15" hidden="false" customHeight="false" outlineLevel="0" collapsed="false">
      <c r="A1063" s="0" t="s">
        <v>924</v>
      </c>
      <c r="B1063" s="0" t="s">
        <v>125</v>
      </c>
      <c r="C1063" s="0" t="s">
        <v>4590</v>
      </c>
      <c r="D1063" s="0" t="n">
        <v>2016</v>
      </c>
      <c r="E1063" s="0" t="s">
        <v>57</v>
      </c>
      <c r="F1063" s="0" t="n">
        <v>486087</v>
      </c>
      <c r="G1063" s="0" t="s">
        <v>3101</v>
      </c>
      <c r="H1063" s="0" t="s">
        <v>3068</v>
      </c>
      <c r="I1063" s="0" t="n">
        <v>486087</v>
      </c>
      <c r="J1063" s="0" t="s">
        <v>4155</v>
      </c>
      <c r="K1063" s="0" t="s">
        <v>2698</v>
      </c>
      <c r="L1063" s="0" t="n">
        <v>2017</v>
      </c>
      <c r="M1063" s="0" t="s">
        <v>2429</v>
      </c>
      <c r="N1063" s="0" t="s">
        <v>128</v>
      </c>
      <c r="O1063" s="0" t="s">
        <v>2430</v>
      </c>
      <c r="P1063" s="0" t="s">
        <v>4591</v>
      </c>
      <c r="Q1063" s="0" t="n">
        <v>6</v>
      </c>
      <c r="R1063" s="0" t="n">
        <v>18</v>
      </c>
      <c r="T1063" s="0" t="s">
        <v>4624</v>
      </c>
      <c r="U1063" s="0" t="s">
        <v>2673</v>
      </c>
      <c r="V1063" s="0" t="s">
        <v>129</v>
      </c>
      <c r="W1063" s="0" t="s">
        <v>4599</v>
      </c>
      <c r="X1063" s="0" t="s">
        <v>4594</v>
      </c>
      <c r="Y1063" s="0" t="s">
        <v>4159</v>
      </c>
      <c r="Z1063" s="0" t="s">
        <v>4160</v>
      </c>
      <c r="AA1063" s="0" t="s">
        <v>4595</v>
      </c>
      <c r="AB1063" s="0" t="s">
        <v>4596</v>
      </c>
      <c r="AC1063" s="0" t="s">
        <v>4162</v>
      </c>
      <c r="AD1063" s="0" t="s">
        <v>4163</v>
      </c>
      <c r="AE1063" s="0" t="s">
        <v>4164</v>
      </c>
      <c r="AF1063" s="0" t="s">
        <v>4597</v>
      </c>
      <c r="AH1063" s="0" t="s">
        <v>2239</v>
      </c>
      <c r="AL1063" s="0" t="s">
        <v>523</v>
      </c>
    </row>
    <row r="1064" customFormat="false" ht="15" hidden="false" customHeight="false" outlineLevel="0" collapsed="false">
      <c r="A1064" s="0" t="s">
        <v>921</v>
      </c>
      <c r="B1064" s="0" t="s">
        <v>125</v>
      </c>
      <c r="C1064" s="0" t="s">
        <v>4590</v>
      </c>
      <c r="D1064" s="0" t="n">
        <v>2016</v>
      </c>
      <c r="E1064" s="0" t="s">
        <v>54</v>
      </c>
      <c r="F1064" s="0" t="n">
        <v>50072</v>
      </c>
      <c r="G1064" s="0" t="s">
        <v>3101</v>
      </c>
      <c r="H1064" s="0" t="s">
        <v>3068</v>
      </c>
      <c r="I1064" s="0" t="n">
        <v>50072</v>
      </c>
      <c r="J1064" s="0" t="s">
        <v>4155</v>
      </c>
      <c r="K1064" s="0" t="s">
        <v>2698</v>
      </c>
      <c r="L1064" s="0" t="n">
        <v>2017</v>
      </c>
      <c r="M1064" s="0" t="s">
        <v>2429</v>
      </c>
      <c r="N1064" s="0" t="s">
        <v>128</v>
      </c>
      <c r="O1064" s="0" t="s">
        <v>2430</v>
      </c>
      <c r="P1064" s="0" t="s">
        <v>4591</v>
      </c>
      <c r="Q1064" s="0" t="n">
        <v>4</v>
      </c>
      <c r="R1064" s="0" t="n">
        <v>16</v>
      </c>
      <c r="T1064" s="0" t="s">
        <v>4624</v>
      </c>
      <c r="U1064" s="0" t="s">
        <v>2673</v>
      </c>
      <c r="V1064" s="0" t="s">
        <v>129</v>
      </c>
      <c r="W1064" s="0" t="s">
        <v>4600</v>
      </c>
      <c r="X1064" s="0" t="s">
        <v>4601</v>
      </c>
      <c r="Y1064" s="0" t="s">
        <v>4159</v>
      </c>
      <c r="Z1064" s="0" t="s">
        <v>4160</v>
      </c>
      <c r="AA1064" s="0" t="s">
        <v>4602</v>
      </c>
      <c r="AB1064" s="0" t="s">
        <v>4596</v>
      </c>
      <c r="AC1064" s="0" t="s">
        <v>4162</v>
      </c>
      <c r="AD1064" s="0" t="s">
        <v>4163</v>
      </c>
      <c r="AE1064" s="0" t="s">
        <v>4164</v>
      </c>
      <c r="AF1064" s="0" t="s">
        <v>4597</v>
      </c>
      <c r="AH1064" s="0" t="s">
        <v>2239</v>
      </c>
      <c r="AL1064" s="0" t="s">
        <v>523</v>
      </c>
    </row>
    <row r="1065" customFormat="false" ht="15" hidden="false" customHeight="false" outlineLevel="0" collapsed="false">
      <c r="A1065" s="0" t="s">
        <v>935</v>
      </c>
      <c r="B1065" s="0" t="s">
        <v>125</v>
      </c>
      <c r="C1065" s="0" t="s">
        <v>4590</v>
      </c>
      <c r="D1065" s="0" t="n">
        <v>2016</v>
      </c>
      <c r="E1065" s="0" t="s">
        <v>541</v>
      </c>
      <c r="F1065" s="0" t="n">
        <v>54733</v>
      </c>
      <c r="G1065" s="0" t="s">
        <v>3101</v>
      </c>
      <c r="H1065" s="0" t="s">
        <v>3068</v>
      </c>
      <c r="I1065" s="0" t="n">
        <v>54733</v>
      </c>
      <c r="J1065" s="0" t="s">
        <v>4155</v>
      </c>
      <c r="K1065" s="0" t="s">
        <v>2698</v>
      </c>
      <c r="L1065" s="0" t="n">
        <v>2017</v>
      </c>
      <c r="M1065" s="0" t="s">
        <v>2429</v>
      </c>
      <c r="N1065" s="0" t="s">
        <v>128</v>
      </c>
      <c r="O1065" s="0" t="s">
        <v>2430</v>
      </c>
      <c r="P1065" s="0" t="s">
        <v>4591</v>
      </c>
      <c r="Q1065" s="0" t="n">
        <v>4</v>
      </c>
      <c r="R1065" s="0" t="n">
        <v>16</v>
      </c>
      <c r="T1065" s="0" t="s">
        <v>4624</v>
      </c>
      <c r="U1065" s="0" t="s">
        <v>2673</v>
      </c>
      <c r="V1065" s="0" t="s">
        <v>129</v>
      </c>
      <c r="W1065" s="0" t="s">
        <v>4603</v>
      </c>
      <c r="X1065" s="0" t="s">
        <v>4601</v>
      </c>
      <c r="Y1065" s="0" t="s">
        <v>4159</v>
      </c>
      <c r="Z1065" s="0" t="s">
        <v>4160</v>
      </c>
      <c r="AA1065" s="0" t="s">
        <v>4595</v>
      </c>
      <c r="AB1065" s="0" t="s">
        <v>4596</v>
      </c>
      <c r="AC1065" s="0" t="s">
        <v>4162</v>
      </c>
      <c r="AD1065" s="0" t="s">
        <v>4163</v>
      </c>
      <c r="AE1065" s="0" t="s">
        <v>4164</v>
      </c>
      <c r="AF1065" s="0" t="s">
        <v>4597</v>
      </c>
      <c r="AH1065" s="0" t="s">
        <v>2239</v>
      </c>
      <c r="AL1065" s="0" t="s">
        <v>523</v>
      </c>
    </row>
    <row r="1066" customFormat="false" ht="15" hidden="false" customHeight="false" outlineLevel="0" collapsed="false">
      <c r="A1066" s="0" t="s">
        <v>929</v>
      </c>
      <c r="B1066" s="0" t="s">
        <v>125</v>
      </c>
      <c r="C1066" s="0" t="s">
        <v>4590</v>
      </c>
      <c r="D1066" s="0" t="n">
        <v>2016</v>
      </c>
      <c r="E1066" s="0" t="s">
        <v>307</v>
      </c>
      <c r="F1066" s="0" t="n">
        <v>-159841</v>
      </c>
      <c r="G1066" s="0" t="s">
        <v>3101</v>
      </c>
      <c r="H1066" s="0" t="s">
        <v>3068</v>
      </c>
      <c r="I1066" s="0" t="n">
        <v>159841</v>
      </c>
      <c r="J1066" s="0" t="s">
        <v>4155</v>
      </c>
      <c r="K1066" s="0" t="s">
        <v>2698</v>
      </c>
      <c r="L1066" s="0" t="n">
        <v>2017</v>
      </c>
      <c r="M1066" s="0" t="s">
        <v>2429</v>
      </c>
      <c r="N1066" s="0" t="s">
        <v>128</v>
      </c>
      <c r="O1066" s="0" t="s">
        <v>2430</v>
      </c>
      <c r="P1066" s="0" t="s">
        <v>4591</v>
      </c>
      <c r="Q1066" s="0" t="n">
        <v>4</v>
      </c>
      <c r="R1066" s="0" t="n">
        <v>16</v>
      </c>
      <c r="S1066" s="0" t="n">
        <v>9</v>
      </c>
      <c r="T1066" s="0" t="s">
        <v>4624</v>
      </c>
      <c r="U1066" s="0" t="s">
        <v>2673</v>
      </c>
      <c r="V1066" s="0" t="s">
        <v>129</v>
      </c>
      <c r="W1066" s="0" t="s">
        <v>4604</v>
      </c>
      <c r="X1066" s="0" t="s">
        <v>4601</v>
      </c>
      <c r="Y1066" s="0" t="s">
        <v>4159</v>
      </c>
      <c r="Z1066" s="0" t="s">
        <v>4160</v>
      </c>
      <c r="AA1066" s="0" t="s">
        <v>4605</v>
      </c>
      <c r="AB1066" s="0" t="s">
        <v>4596</v>
      </c>
      <c r="AC1066" s="0" t="s">
        <v>4162</v>
      </c>
      <c r="AD1066" s="0" t="s">
        <v>4163</v>
      </c>
      <c r="AE1066" s="0" t="s">
        <v>4164</v>
      </c>
      <c r="AF1066" s="0" t="s">
        <v>4597</v>
      </c>
      <c r="AH1066" s="0" t="s">
        <v>4174</v>
      </c>
      <c r="AI1066" s="0" t="s">
        <v>4175</v>
      </c>
      <c r="AL1066" s="0" t="s">
        <v>523</v>
      </c>
    </row>
    <row r="1067" customFormat="false" ht="15" hidden="false" customHeight="false" outlineLevel="0" collapsed="false">
      <c r="A1067" s="0" t="s">
        <v>925</v>
      </c>
      <c r="B1067" s="0" t="s">
        <v>125</v>
      </c>
      <c r="C1067" s="0" t="s">
        <v>4590</v>
      </c>
      <c r="D1067" s="0" t="n">
        <v>2016</v>
      </c>
      <c r="E1067" s="0" t="s">
        <v>58</v>
      </c>
      <c r="F1067" s="0" t="n">
        <v>-171230</v>
      </c>
      <c r="G1067" s="0" t="s">
        <v>3101</v>
      </c>
      <c r="H1067" s="0" t="s">
        <v>3068</v>
      </c>
      <c r="I1067" s="0" t="n">
        <v>-171230</v>
      </c>
      <c r="J1067" s="0" t="s">
        <v>4155</v>
      </c>
      <c r="K1067" s="0" t="s">
        <v>2698</v>
      </c>
      <c r="L1067" s="0" t="n">
        <v>2017</v>
      </c>
      <c r="M1067" s="0" t="s">
        <v>2429</v>
      </c>
      <c r="N1067" s="0" t="s">
        <v>128</v>
      </c>
      <c r="O1067" s="0" t="s">
        <v>2430</v>
      </c>
      <c r="P1067" s="0" t="s">
        <v>4591</v>
      </c>
      <c r="Q1067" s="0" t="n">
        <v>9</v>
      </c>
      <c r="R1067" s="0" t="n">
        <v>21</v>
      </c>
      <c r="T1067" s="0" t="s">
        <v>4624</v>
      </c>
      <c r="U1067" s="0" t="s">
        <v>2673</v>
      </c>
      <c r="V1067" s="0" t="s">
        <v>129</v>
      </c>
      <c r="W1067" s="0" t="s">
        <v>4606</v>
      </c>
      <c r="X1067" s="0" t="s">
        <v>4607</v>
      </c>
      <c r="Y1067" s="0" t="s">
        <v>4159</v>
      </c>
      <c r="Z1067" s="0" t="s">
        <v>4160</v>
      </c>
      <c r="AA1067" s="0" t="s">
        <v>4595</v>
      </c>
      <c r="AB1067" s="0" t="s">
        <v>4596</v>
      </c>
      <c r="AC1067" s="0" t="s">
        <v>4162</v>
      </c>
      <c r="AD1067" s="0" t="s">
        <v>4163</v>
      </c>
      <c r="AE1067" s="0" t="s">
        <v>4164</v>
      </c>
      <c r="AF1067" s="0" t="s">
        <v>4597</v>
      </c>
      <c r="AH1067" s="0" t="s">
        <v>2239</v>
      </c>
      <c r="AL1067" s="0" t="s">
        <v>523</v>
      </c>
    </row>
    <row r="1068" customFormat="false" ht="15" hidden="false" customHeight="false" outlineLevel="0" collapsed="false">
      <c r="A1068" s="0" t="s">
        <v>926</v>
      </c>
      <c r="B1068" s="0" t="s">
        <v>125</v>
      </c>
      <c r="C1068" s="0" t="s">
        <v>4590</v>
      </c>
      <c r="D1068" s="0" t="n">
        <v>2016</v>
      </c>
      <c r="E1068" s="0" t="s">
        <v>60</v>
      </c>
      <c r="F1068" s="0" t="n">
        <v>1933407</v>
      </c>
      <c r="G1068" s="0" t="s">
        <v>3101</v>
      </c>
      <c r="H1068" s="0" t="s">
        <v>3068</v>
      </c>
      <c r="I1068" s="0" t="n">
        <v>1933407</v>
      </c>
      <c r="J1068" s="0" t="s">
        <v>4155</v>
      </c>
      <c r="K1068" s="0" t="s">
        <v>2698</v>
      </c>
      <c r="L1068" s="0" t="n">
        <v>2017</v>
      </c>
      <c r="M1068" s="0" t="s">
        <v>2429</v>
      </c>
      <c r="N1068" s="0" t="s">
        <v>128</v>
      </c>
      <c r="O1068" s="0" t="s">
        <v>2430</v>
      </c>
      <c r="P1068" s="0" t="s">
        <v>4591</v>
      </c>
      <c r="Q1068" s="0" t="n">
        <v>60</v>
      </c>
      <c r="R1068" s="0" t="n">
        <v>72</v>
      </c>
      <c r="S1068" s="0" t="n">
        <v>20</v>
      </c>
      <c r="T1068" s="0" t="s">
        <v>4625</v>
      </c>
      <c r="U1068" s="0" t="s">
        <v>2673</v>
      </c>
      <c r="V1068" s="0" t="s">
        <v>129</v>
      </c>
      <c r="W1068" s="0" t="s">
        <v>4626</v>
      </c>
      <c r="X1068" s="0" t="s">
        <v>4610</v>
      </c>
      <c r="Y1068" s="0" t="s">
        <v>4159</v>
      </c>
      <c r="Z1068" s="0" t="s">
        <v>4160</v>
      </c>
      <c r="AA1068" s="0" t="s">
        <v>4611</v>
      </c>
      <c r="AB1068" s="0" t="s">
        <v>4596</v>
      </c>
      <c r="AC1068" s="0" t="s">
        <v>4162</v>
      </c>
      <c r="AD1068" s="0" t="s">
        <v>4163</v>
      </c>
      <c r="AE1068" s="0" t="s">
        <v>4164</v>
      </c>
      <c r="AF1068" s="0" t="s">
        <v>4597</v>
      </c>
      <c r="AH1068" s="0" t="s">
        <v>2239</v>
      </c>
      <c r="AL1068" s="0" t="s">
        <v>523</v>
      </c>
    </row>
    <row r="1069" customFormat="false" ht="15" hidden="false" customHeight="false" outlineLevel="0" collapsed="false">
      <c r="A1069" s="0" t="s">
        <v>936</v>
      </c>
      <c r="B1069" s="0" t="s">
        <v>125</v>
      </c>
      <c r="C1069" s="0" t="s">
        <v>4590</v>
      </c>
      <c r="D1069" s="0" t="n">
        <v>2016</v>
      </c>
      <c r="E1069" s="0" t="s">
        <v>543</v>
      </c>
      <c r="F1069" s="0" t="n">
        <v>210105</v>
      </c>
      <c r="G1069" s="0" t="s">
        <v>3101</v>
      </c>
      <c r="H1069" s="0" t="s">
        <v>3068</v>
      </c>
      <c r="I1069" s="0" t="n">
        <v>210105</v>
      </c>
      <c r="J1069" s="0" t="s">
        <v>4155</v>
      </c>
      <c r="K1069" s="0" t="s">
        <v>2698</v>
      </c>
      <c r="L1069" s="0" t="n">
        <v>2017</v>
      </c>
      <c r="M1069" s="0" t="s">
        <v>2429</v>
      </c>
      <c r="N1069" s="0" t="s">
        <v>128</v>
      </c>
      <c r="O1069" s="0" t="s">
        <v>2430</v>
      </c>
      <c r="P1069" s="0" t="s">
        <v>4591</v>
      </c>
      <c r="Q1069" s="0" t="n">
        <v>60</v>
      </c>
      <c r="R1069" s="0" t="n">
        <v>72</v>
      </c>
      <c r="S1069" s="0" t="n">
        <v>20</v>
      </c>
      <c r="T1069" s="0" t="s">
        <v>4627</v>
      </c>
      <c r="U1069" s="0" t="s">
        <v>2673</v>
      </c>
      <c r="V1069" s="0" t="s">
        <v>129</v>
      </c>
      <c r="W1069" s="0" t="s">
        <v>4626</v>
      </c>
      <c r="X1069" s="0" t="s">
        <v>4610</v>
      </c>
      <c r="Y1069" s="0" t="s">
        <v>4159</v>
      </c>
      <c r="Z1069" s="0" t="s">
        <v>4160</v>
      </c>
      <c r="AA1069" s="0" t="s">
        <v>4595</v>
      </c>
      <c r="AB1069" s="0" t="s">
        <v>4596</v>
      </c>
      <c r="AC1069" s="0" t="s">
        <v>4162</v>
      </c>
      <c r="AD1069" s="0" t="s">
        <v>4163</v>
      </c>
      <c r="AE1069" s="0" t="s">
        <v>4164</v>
      </c>
      <c r="AF1069" s="0" t="s">
        <v>4597</v>
      </c>
      <c r="AH1069" s="0" t="s">
        <v>2239</v>
      </c>
      <c r="AL1069" s="0" t="s">
        <v>523</v>
      </c>
    </row>
    <row r="1070" customFormat="false" ht="15" hidden="false" customHeight="false" outlineLevel="0" collapsed="false">
      <c r="A1070" s="0" t="s">
        <v>937</v>
      </c>
      <c r="B1070" s="0" t="s">
        <v>125</v>
      </c>
      <c r="C1070" s="0" t="s">
        <v>4590</v>
      </c>
      <c r="D1070" s="0" t="n">
        <v>2016</v>
      </c>
      <c r="E1070" s="0" t="s">
        <v>545</v>
      </c>
      <c r="F1070" s="0" t="n">
        <v>30590</v>
      </c>
      <c r="G1070" s="0" t="s">
        <v>3101</v>
      </c>
      <c r="H1070" s="0" t="s">
        <v>3068</v>
      </c>
      <c r="I1070" s="0" t="n">
        <v>30590</v>
      </c>
      <c r="J1070" s="0" t="s">
        <v>4155</v>
      </c>
      <c r="K1070" s="0" t="s">
        <v>2698</v>
      </c>
      <c r="L1070" s="0" t="n">
        <v>2017</v>
      </c>
      <c r="M1070" s="0" t="s">
        <v>2429</v>
      </c>
      <c r="N1070" s="0" t="s">
        <v>128</v>
      </c>
      <c r="O1070" s="0" t="s">
        <v>2430</v>
      </c>
      <c r="P1070" s="0" t="s">
        <v>4591</v>
      </c>
      <c r="Q1070" s="0" t="n">
        <v>60</v>
      </c>
      <c r="R1070" s="0" t="n">
        <v>72</v>
      </c>
      <c r="S1070" s="0" t="n">
        <v>20</v>
      </c>
      <c r="T1070" s="0" t="s">
        <v>4628</v>
      </c>
      <c r="U1070" s="0" t="s">
        <v>2673</v>
      </c>
      <c r="V1070" s="0" t="s">
        <v>129</v>
      </c>
      <c r="W1070" s="0" t="s">
        <v>4626</v>
      </c>
      <c r="X1070" s="0" t="s">
        <v>4610</v>
      </c>
      <c r="Y1070" s="0" t="s">
        <v>4159</v>
      </c>
      <c r="Z1070" s="0" t="s">
        <v>4160</v>
      </c>
      <c r="AA1070" s="0" t="s">
        <v>4595</v>
      </c>
      <c r="AB1070" s="0" t="s">
        <v>4596</v>
      </c>
      <c r="AC1070" s="0" t="s">
        <v>4162</v>
      </c>
      <c r="AD1070" s="0" t="s">
        <v>4163</v>
      </c>
      <c r="AE1070" s="0" t="s">
        <v>4164</v>
      </c>
      <c r="AF1070" s="0" t="s">
        <v>4597</v>
      </c>
      <c r="AH1070" s="0" t="s">
        <v>2239</v>
      </c>
      <c r="AL1070" s="0" t="s">
        <v>523</v>
      </c>
    </row>
    <row r="1071" customFormat="false" ht="15" hidden="false" customHeight="false" outlineLevel="0" collapsed="false">
      <c r="A1071" s="0" t="s">
        <v>927</v>
      </c>
      <c r="B1071" s="0" t="s">
        <v>125</v>
      </c>
      <c r="C1071" s="0" t="s">
        <v>4590</v>
      </c>
      <c r="D1071" s="0" t="n">
        <v>2016</v>
      </c>
      <c r="E1071" s="0" t="s">
        <v>61</v>
      </c>
      <c r="F1071" s="0" t="n">
        <v>240695</v>
      </c>
      <c r="G1071" s="0" t="s">
        <v>3101</v>
      </c>
      <c r="H1071" s="0" t="s">
        <v>3068</v>
      </c>
      <c r="I1071" s="0" t="n">
        <v>240695</v>
      </c>
      <c r="J1071" s="0" t="s">
        <v>4155</v>
      </c>
      <c r="K1071" s="0" t="s">
        <v>2698</v>
      </c>
      <c r="L1071" s="0" t="n">
        <v>2017</v>
      </c>
      <c r="M1071" s="0" t="s">
        <v>2429</v>
      </c>
      <c r="N1071" s="0" t="s">
        <v>128</v>
      </c>
      <c r="O1071" s="0" t="s">
        <v>2430</v>
      </c>
      <c r="P1071" s="0" t="s">
        <v>4591</v>
      </c>
      <c r="Q1071" s="0" t="n">
        <v>60</v>
      </c>
      <c r="R1071" s="0" t="n">
        <v>72</v>
      </c>
      <c r="S1071" s="0" t="n">
        <v>20</v>
      </c>
      <c r="T1071" s="0" t="s">
        <v>4629</v>
      </c>
      <c r="U1071" s="0" t="s">
        <v>2673</v>
      </c>
      <c r="V1071" s="0" t="s">
        <v>129</v>
      </c>
      <c r="W1071" s="0" t="s">
        <v>4626</v>
      </c>
      <c r="X1071" s="0" t="s">
        <v>4610</v>
      </c>
      <c r="Y1071" s="0" t="s">
        <v>4159</v>
      </c>
      <c r="Z1071" s="0" t="s">
        <v>4160</v>
      </c>
      <c r="AA1071" s="0" t="s">
        <v>4595</v>
      </c>
      <c r="AB1071" s="0" t="s">
        <v>4596</v>
      </c>
      <c r="AC1071" s="0" t="s">
        <v>4162</v>
      </c>
      <c r="AD1071" s="0" t="s">
        <v>4163</v>
      </c>
      <c r="AE1071" s="0" t="s">
        <v>4164</v>
      </c>
      <c r="AF1071" s="0" t="s">
        <v>4597</v>
      </c>
      <c r="AH1071" s="0" t="s">
        <v>2239</v>
      </c>
      <c r="AL1071" s="0" t="s">
        <v>523</v>
      </c>
    </row>
    <row r="1072" customFormat="false" ht="15" hidden="false" customHeight="false" outlineLevel="0" collapsed="false">
      <c r="A1072" s="0" t="s">
        <v>928</v>
      </c>
      <c r="B1072" s="0" t="s">
        <v>125</v>
      </c>
      <c r="C1072" s="0" t="s">
        <v>4590</v>
      </c>
      <c r="D1072" s="0" t="n">
        <v>2016</v>
      </c>
      <c r="E1072" s="0" t="s">
        <v>62</v>
      </c>
      <c r="F1072" s="0" t="n">
        <v>1692712</v>
      </c>
      <c r="G1072" s="0" t="s">
        <v>3101</v>
      </c>
      <c r="H1072" s="0" t="s">
        <v>3068</v>
      </c>
      <c r="I1072" s="0" t="n">
        <v>1692712</v>
      </c>
      <c r="J1072" s="0" t="s">
        <v>4155</v>
      </c>
      <c r="K1072" s="0" t="s">
        <v>2698</v>
      </c>
      <c r="L1072" s="0" t="n">
        <v>2017</v>
      </c>
      <c r="M1072" s="0" t="s">
        <v>2429</v>
      </c>
      <c r="N1072" s="0" t="s">
        <v>128</v>
      </c>
      <c r="O1072" s="0" t="s">
        <v>2430</v>
      </c>
      <c r="P1072" s="0" t="s">
        <v>4591</v>
      </c>
      <c r="Q1072" s="0" t="n">
        <v>60</v>
      </c>
      <c r="R1072" s="0" t="n">
        <v>72</v>
      </c>
      <c r="S1072" s="0" t="n">
        <v>20</v>
      </c>
      <c r="T1072" s="0" t="s">
        <v>4630</v>
      </c>
      <c r="U1072" s="0" t="s">
        <v>2673</v>
      </c>
      <c r="V1072" s="0" t="s">
        <v>129</v>
      </c>
      <c r="W1072" s="0" t="s">
        <v>4626</v>
      </c>
      <c r="X1072" s="0" t="s">
        <v>4610</v>
      </c>
      <c r="Y1072" s="0" t="s">
        <v>4159</v>
      </c>
      <c r="Z1072" s="0" t="s">
        <v>4160</v>
      </c>
      <c r="AA1072" s="0" t="s">
        <v>4595</v>
      </c>
      <c r="AB1072" s="0" t="s">
        <v>4596</v>
      </c>
      <c r="AC1072" s="0" t="s">
        <v>4162</v>
      </c>
      <c r="AD1072" s="0" t="s">
        <v>4163</v>
      </c>
      <c r="AE1072" s="0" t="s">
        <v>4164</v>
      </c>
      <c r="AF1072" s="0" t="s">
        <v>4597</v>
      </c>
      <c r="AH1072" s="0" t="s">
        <v>2239</v>
      </c>
      <c r="AL1072" s="0" t="s">
        <v>523</v>
      </c>
    </row>
    <row r="1073" customFormat="false" ht="15" hidden="false" customHeight="false" outlineLevel="0" collapsed="false">
      <c r="A1073" s="0" t="s">
        <v>932</v>
      </c>
      <c r="B1073" s="0" t="s">
        <v>125</v>
      </c>
      <c r="C1073" s="0" t="s">
        <v>4590</v>
      </c>
      <c r="D1073" s="0" t="n">
        <v>2016</v>
      </c>
      <c r="E1073" s="0" t="s">
        <v>65</v>
      </c>
      <c r="F1073" s="0" t="n">
        <v>501256</v>
      </c>
      <c r="G1073" s="0" t="s">
        <v>3101</v>
      </c>
      <c r="H1073" s="0" t="s">
        <v>3068</v>
      </c>
      <c r="I1073" s="0" t="n">
        <v>501256</v>
      </c>
      <c r="J1073" s="0" t="s">
        <v>4155</v>
      </c>
      <c r="K1073" s="0" t="s">
        <v>2698</v>
      </c>
      <c r="L1073" s="0" t="n">
        <v>2017</v>
      </c>
      <c r="M1073" s="0" t="s">
        <v>2429</v>
      </c>
      <c r="N1073" s="0" t="s">
        <v>128</v>
      </c>
      <c r="O1073" s="0" t="s">
        <v>2430</v>
      </c>
      <c r="P1073" s="0" t="s">
        <v>4591</v>
      </c>
      <c r="Q1073" s="0" t="n">
        <v>51</v>
      </c>
      <c r="R1073" s="0" t="n">
        <v>63</v>
      </c>
      <c r="S1073" s="0" t="n">
        <v>4</v>
      </c>
      <c r="T1073" s="0" t="s">
        <v>4388</v>
      </c>
      <c r="U1073" s="0" t="s">
        <v>2673</v>
      </c>
      <c r="V1073" s="0" t="s">
        <v>129</v>
      </c>
      <c r="W1073" s="0" t="s">
        <v>4617</v>
      </c>
      <c r="X1073" s="0" t="s">
        <v>4618</v>
      </c>
      <c r="Y1073" s="0" t="s">
        <v>4159</v>
      </c>
      <c r="Z1073" s="0" t="s">
        <v>4160</v>
      </c>
      <c r="AA1073" s="0" t="s">
        <v>4595</v>
      </c>
      <c r="AB1073" s="0" t="s">
        <v>4596</v>
      </c>
      <c r="AC1073" s="0" t="s">
        <v>4162</v>
      </c>
      <c r="AD1073" s="0" t="s">
        <v>4163</v>
      </c>
      <c r="AE1073" s="0" t="s">
        <v>4164</v>
      </c>
      <c r="AF1073" s="0" t="s">
        <v>4597</v>
      </c>
      <c r="AH1073" s="0" t="s">
        <v>2239</v>
      </c>
      <c r="AL1073" s="0" t="s">
        <v>523</v>
      </c>
    </row>
    <row r="1074" customFormat="false" ht="15" hidden="false" customHeight="false" outlineLevel="0" collapsed="false">
      <c r="A1074" s="0" t="s">
        <v>933</v>
      </c>
      <c r="B1074" s="0" t="s">
        <v>125</v>
      </c>
      <c r="C1074" s="0" t="s">
        <v>4590</v>
      </c>
      <c r="D1074" s="0" t="n">
        <v>2016</v>
      </c>
      <c r="E1074" s="0" t="s">
        <v>66</v>
      </c>
      <c r="F1074" s="0" t="n">
        <v>2818158</v>
      </c>
      <c r="G1074" s="0" t="s">
        <v>3101</v>
      </c>
      <c r="H1074" s="0" t="s">
        <v>3068</v>
      </c>
      <c r="I1074" s="0" t="n">
        <v>2818158</v>
      </c>
      <c r="J1074" s="0" t="s">
        <v>4155</v>
      </c>
      <c r="K1074" s="0" t="s">
        <v>2698</v>
      </c>
      <c r="L1074" s="0" t="n">
        <v>2017</v>
      </c>
      <c r="M1074" s="0" t="s">
        <v>2429</v>
      </c>
      <c r="N1074" s="0" t="s">
        <v>128</v>
      </c>
      <c r="O1074" s="0" t="s">
        <v>2430</v>
      </c>
      <c r="P1074" s="0" t="s">
        <v>4591</v>
      </c>
      <c r="Q1074" s="0" t="n">
        <v>51</v>
      </c>
      <c r="R1074" s="0" t="n">
        <v>63</v>
      </c>
      <c r="S1074" s="0" t="n">
        <v>4</v>
      </c>
      <c r="T1074" s="0" t="s">
        <v>4388</v>
      </c>
      <c r="U1074" s="0" t="s">
        <v>2673</v>
      </c>
      <c r="V1074" s="0" t="s">
        <v>129</v>
      </c>
      <c r="W1074" s="0" t="s">
        <v>4619</v>
      </c>
      <c r="X1074" s="0" t="s">
        <v>4618</v>
      </c>
      <c r="Y1074" s="0" t="s">
        <v>4159</v>
      </c>
      <c r="Z1074" s="0" t="s">
        <v>4160</v>
      </c>
      <c r="AA1074" s="0" t="s">
        <v>4595</v>
      </c>
      <c r="AB1074" s="0" t="s">
        <v>4596</v>
      </c>
      <c r="AC1074" s="0" t="s">
        <v>4162</v>
      </c>
      <c r="AD1074" s="0" t="s">
        <v>4163</v>
      </c>
      <c r="AE1074" s="0" t="s">
        <v>4164</v>
      </c>
      <c r="AF1074" s="0" t="s">
        <v>4597</v>
      </c>
      <c r="AH1074" s="0" t="s">
        <v>2239</v>
      </c>
      <c r="AL1074" s="0" t="s">
        <v>523</v>
      </c>
    </row>
    <row r="1075" customFormat="false" ht="15" hidden="false" customHeight="false" outlineLevel="0" collapsed="false">
      <c r="A1075" s="0" t="s">
        <v>930</v>
      </c>
      <c r="B1075" s="0" t="s">
        <v>125</v>
      </c>
      <c r="C1075" s="0" t="s">
        <v>4590</v>
      </c>
      <c r="D1075" s="0" t="n">
        <v>2016</v>
      </c>
      <c r="E1075" s="0" t="s">
        <v>69</v>
      </c>
      <c r="F1075" s="0" t="s">
        <v>4631</v>
      </c>
      <c r="G1075" s="0" t="s">
        <v>3143</v>
      </c>
      <c r="I1075" s="0" t="n">
        <v>17.79</v>
      </c>
      <c r="J1075" s="0" t="s">
        <v>4155</v>
      </c>
      <c r="K1075" s="0" t="s">
        <v>2698</v>
      </c>
      <c r="L1075" s="0" t="n">
        <v>2017</v>
      </c>
      <c r="M1075" s="0" t="s">
        <v>2429</v>
      </c>
      <c r="N1075" s="0" t="s">
        <v>128</v>
      </c>
      <c r="O1075" s="0" t="s">
        <v>2430</v>
      </c>
      <c r="P1075" s="0" t="s">
        <v>4591</v>
      </c>
      <c r="Q1075" s="0" t="n">
        <v>51</v>
      </c>
      <c r="R1075" s="0" t="n">
        <v>63</v>
      </c>
      <c r="S1075" s="0" t="n">
        <v>4</v>
      </c>
      <c r="T1075" s="0" t="s">
        <v>4388</v>
      </c>
      <c r="U1075" s="0" t="s">
        <v>2673</v>
      </c>
      <c r="V1075" s="0" t="s">
        <v>129</v>
      </c>
      <c r="W1075" s="0" t="s">
        <v>4621</v>
      </c>
      <c r="X1075" s="0" t="s">
        <v>4618</v>
      </c>
      <c r="Y1075" s="0" t="s">
        <v>4159</v>
      </c>
      <c r="Z1075" s="0" t="s">
        <v>4160</v>
      </c>
      <c r="AA1075" s="0" t="s">
        <v>4595</v>
      </c>
      <c r="AB1075" s="0" t="s">
        <v>4596</v>
      </c>
      <c r="AC1075" s="0" t="s">
        <v>4162</v>
      </c>
      <c r="AD1075" s="0" t="s">
        <v>4163</v>
      </c>
      <c r="AE1075" s="0" t="s">
        <v>4164</v>
      </c>
      <c r="AF1075" s="0" t="s">
        <v>4597</v>
      </c>
      <c r="AH1075" s="0" t="s">
        <v>2239</v>
      </c>
      <c r="AL1075" s="0" t="s">
        <v>523</v>
      </c>
    </row>
    <row r="1076" customFormat="false" ht="15" hidden="false" customHeight="false" outlineLevel="0" collapsed="false">
      <c r="A1076" s="0" t="s">
        <v>931</v>
      </c>
      <c r="B1076" s="0" t="s">
        <v>125</v>
      </c>
      <c r="C1076" s="0" t="s">
        <v>4590</v>
      </c>
      <c r="D1076" s="0" t="n">
        <v>2016</v>
      </c>
      <c r="E1076" s="0" t="s">
        <v>70</v>
      </c>
      <c r="F1076" s="0" t="s">
        <v>4253</v>
      </c>
      <c r="G1076" s="0" t="s">
        <v>3143</v>
      </c>
      <c r="I1076" s="0" t="n">
        <v>15</v>
      </c>
      <c r="J1076" s="0" t="s">
        <v>4155</v>
      </c>
      <c r="K1076" s="0" t="s">
        <v>2698</v>
      </c>
      <c r="L1076" s="0" t="n">
        <v>2017</v>
      </c>
      <c r="M1076" s="0" t="s">
        <v>2429</v>
      </c>
      <c r="N1076" s="0" t="s">
        <v>128</v>
      </c>
      <c r="O1076" s="0" t="s">
        <v>2430</v>
      </c>
      <c r="P1076" s="0" t="s">
        <v>4591</v>
      </c>
      <c r="Q1076" s="0" t="n">
        <v>51</v>
      </c>
      <c r="R1076" s="0" t="n">
        <v>63</v>
      </c>
      <c r="S1076" s="0" t="n">
        <v>4</v>
      </c>
      <c r="T1076" s="0" t="s">
        <v>4254</v>
      </c>
      <c r="U1076" s="0" t="s">
        <v>2673</v>
      </c>
      <c r="V1076" s="0" t="s">
        <v>129</v>
      </c>
      <c r="W1076" s="0" t="s">
        <v>4622</v>
      </c>
      <c r="X1076" s="0" t="s">
        <v>4618</v>
      </c>
      <c r="Y1076" s="0" t="s">
        <v>4159</v>
      </c>
      <c r="Z1076" s="0" t="s">
        <v>4160</v>
      </c>
      <c r="AA1076" s="0" t="s">
        <v>4623</v>
      </c>
      <c r="AB1076" s="0" t="s">
        <v>4596</v>
      </c>
      <c r="AC1076" s="0" t="s">
        <v>4162</v>
      </c>
      <c r="AD1076" s="0" t="s">
        <v>4163</v>
      </c>
      <c r="AE1076" s="0" t="s">
        <v>4164</v>
      </c>
      <c r="AF1076" s="0" t="s">
        <v>4597</v>
      </c>
      <c r="AH1076" s="0" t="s">
        <v>2239</v>
      </c>
      <c r="AL1076" s="0" t="s">
        <v>523</v>
      </c>
    </row>
    <row r="1077" customFormat="false" ht="15" hidden="false" customHeight="false" outlineLevel="0" collapsed="false">
      <c r="A1077" s="0" t="s">
        <v>943</v>
      </c>
      <c r="B1077" s="0" t="s">
        <v>125</v>
      </c>
      <c r="C1077" s="0" t="s">
        <v>4590</v>
      </c>
      <c r="D1077" s="0" t="n">
        <v>2017</v>
      </c>
      <c r="E1077" s="0" t="s">
        <v>59</v>
      </c>
      <c r="F1077" s="0" t="n">
        <v>3557782</v>
      </c>
      <c r="G1077" s="0" t="s">
        <v>3101</v>
      </c>
      <c r="H1077" s="0" t="s">
        <v>3068</v>
      </c>
      <c r="I1077" s="0" t="n">
        <v>3557782</v>
      </c>
      <c r="J1077" s="0" t="s">
        <v>4155</v>
      </c>
      <c r="K1077" s="0" t="s">
        <v>2698</v>
      </c>
      <c r="L1077" s="0" t="n">
        <v>2017</v>
      </c>
      <c r="M1077" s="0" t="s">
        <v>2429</v>
      </c>
      <c r="N1077" s="0" t="s">
        <v>128</v>
      </c>
      <c r="O1077" s="0" t="s">
        <v>2430</v>
      </c>
      <c r="P1077" s="0" t="s">
        <v>4591</v>
      </c>
      <c r="Q1077" s="0" t="n">
        <v>6</v>
      </c>
      <c r="R1077" s="0" t="n">
        <v>18</v>
      </c>
      <c r="T1077" s="0" t="s">
        <v>4624</v>
      </c>
      <c r="U1077" s="0" t="s">
        <v>4396</v>
      </c>
      <c r="V1077" s="0" t="s">
        <v>130</v>
      </c>
      <c r="W1077" s="0" t="s">
        <v>4593</v>
      </c>
      <c r="X1077" s="0" t="s">
        <v>4594</v>
      </c>
      <c r="Y1077" s="0" t="s">
        <v>4159</v>
      </c>
      <c r="Z1077" s="0" t="s">
        <v>4160</v>
      </c>
      <c r="AA1077" s="0" t="s">
        <v>4632</v>
      </c>
      <c r="AB1077" s="0" t="s">
        <v>4596</v>
      </c>
      <c r="AC1077" s="0" t="s">
        <v>4162</v>
      </c>
      <c r="AD1077" s="0" t="s">
        <v>4163</v>
      </c>
      <c r="AE1077" s="0" t="s">
        <v>4164</v>
      </c>
      <c r="AF1077" s="0" t="s">
        <v>4597</v>
      </c>
      <c r="AH1077" s="0" t="s">
        <v>2239</v>
      </c>
      <c r="AL1077" s="0" t="s">
        <v>523</v>
      </c>
    </row>
    <row r="1078" customFormat="false" ht="15" hidden="false" customHeight="false" outlineLevel="0" collapsed="false">
      <c r="A1078" s="0" t="s">
        <v>888</v>
      </c>
      <c r="B1078" s="0" t="s">
        <v>115</v>
      </c>
      <c r="C1078" s="0" t="s">
        <v>4633</v>
      </c>
      <c r="D1078" s="0" t="n">
        <v>2022</v>
      </c>
      <c r="E1078" s="0" t="s">
        <v>55</v>
      </c>
      <c r="F1078" s="0" t="n">
        <v>3989009</v>
      </c>
      <c r="G1078" s="0" t="s">
        <v>3101</v>
      </c>
      <c r="H1078" s="0" t="s">
        <v>3068</v>
      </c>
      <c r="I1078" s="0" t="n">
        <v>3989009</v>
      </c>
      <c r="J1078" s="0" t="s">
        <v>4634</v>
      </c>
      <c r="K1078" s="0" t="s">
        <v>1895</v>
      </c>
      <c r="L1078" s="0" t="n">
        <v>2022</v>
      </c>
      <c r="M1078" s="0" t="s">
        <v>1896</v>
      </c>
      <c r="N1078" s="0" t="s">
        <v>123</v>
      </c>
      <c r="O1078" s="0" t="s">
        <v>2343</v>
      </c>
      <c r="P1078" s="0" t="s">
        <v>3024</v>
      </c>
      <c r="Q1078" s="0" t="n">
        <v>139</v>
      </c>
      <c r="R1078" s="0" t="n">
        <v>139</v>
      </c>
      <c r="T1078" s="0" t="n">
        <v>2022</v>
      </c>
      <c r="U1078" s="0" t="s">
        <v>4265</v>
      </c>
      <c r="V1078" s="0" t="s">
        <v>114</v>
      </c>
      <c r="W1078" s="0" t="s">
        <v>4635</v>
      </c>
      <c r="X1078" s="0" t="s">
        <v>4636</v>
      </c>
      <c r="Y1078" s="0" t="s">
        <v>4159</v>
      </c>
      <c r="Z1078" s="0" t="s">
        <v>4160</v>
      </c>
      <c r="AB1078" s="0" t="s">
        <v>3025</v>
      </c>
      <c r="AC1078" s="0" t="s">
        <v>4162</v>
      </c>
      <c r="AD1078" s="0" t="s">
        <v>4637</v>
      </c>
      <c r="AE1078" s="0" t="s">
        <v>1892</v>
      </c>
      <c r="AF1078" s="0" t="s">
        <v>4638</v>
      </c>
      <c r="AH1078" s="0" t="s">
        <v>2239</v>
      </c>
      <c r="AL1078" s="0" t="s">
        <v>523</v>
      </c>
    </row>
    <row r="1079" customFormat="false" ht="15" hidden="false" customHeight="false" outlineLevel="0" collapsed="false">
      <c r="A1079" s="0" t="s">
        <v>889</v>
      </c>
      <c r="B1079" s="0" t="s">
        <v>115</v>
      </c>
      <c r="C1079" s="0" t="s">
        <v>4633</v>
      </c>
      <c r="D1079" s="0" t="n">
        <v>2022</v>
      </c>
      <c r="E1079" s="0" t="s">
        <v>56</v>
      </c>
      <c r="F1079" s="0" t="n">
        <v>3674649</v>
      </c>
      <c r="G1079" s="0" t="s">
        <v>3101</v>
      </c>
      <c r="H1079" s="0" t="s">
        <v>3068</v>
      </c>
      <c r="I1079" s="0" t="n">
        <v>3674649</v>
      </c>
      <c r="J1079" s="0" t="s">
        <v>4634</v>
      </c>
      <c r="K1079" s="0" t="s">
        <v>1895</v>
      </c>
      <c r="L1079" s="0" t="n">
        <v>2022</v>
      </c>
      <c r="M1079" s="0" t="s">
        <v>1896</v>
      </c>
      <c r="N1079" s="0" t="s">
        <v>123</v>
      </c>
      <c r="O1079" s="0" t="s">
        <v>2343</v>
      </c>
      <c r="P1079" s="0" t="s">
        <v>3024</v>
      </c>
      <c r="Q1079" s="0" t="n">
        <v>139</v>
      </c>
      <c r="R1079" s="0" t="n">
        <v>139</v>
      </c>
      <c r="T1079" s="0" t="n">
        <v>2022</v>
      </c>
      <c r="U1079" s="0" t="s">
        <v>4265</v>
      </c>
      <c r="V1079" s="0" t="s">
        <v>114</v>
      </c>
      <c r="W1079" s="0" t="s">
        <v>4639</v>
      </c>
      <c r="X1079" s="0" t="s">
        <v>4636</v>
      </c>
      <c r="Y1079" s="0" t="s">
        <v>4159</v>
      </c>
      <c r="Z1079" s="0" t="s">
        <v>4160</v>
      </c>
      <c r="AB1079" s="0" t="s">
        <v>3025</v>
      </c>
      <c r="AC1079" s="0" t="s">
        <v>4162</v>
      </c>
      <c r="AD1079" s="0" t="s">
        <v>4637</v>
      </c>
      <c r="AE1079" s="0" t="s">
        <v>1892</v>
      </c>
      <c r="AF1079" s="0" t="s">
        <v>4638</v>
      </c>
      <c r="AH1079" s="0" t="s">
        <v>2239</v>
      </c>
      <c r="AL1079" s="0" t="s">
        <v>523</v>
      </c>
    </row>
    <row r="1080" customFormat="false" ht="15" hidden="false" customHeight="false" outlineLevel="0" collapsed="false">
      <c r="A1080" s="0" t="s">
        <v>890</v>
      </c>
      <c r="B1080" s="0" t="s">
        <v>115</v>
      </c>
      <c r="C1080" s="0" t="s">
        <v>4633</v>
      </c>
      <c r="D1080" s="0" t="n">
        <v>2022</v>
      </c>
      <c r="E1080" s="0" t="s">
        <v>57</v>
      </c>
      <c r="F1080" s="0" t="n">
        <v>314360</v>
      </c>
      <c r="G1080" s="0" t="s">
        <v>3101</v>
      </c>
      <c r="H1080" s="0" t="s">
        <v>3068</v>
      </c>
      <c r="I1080" s="0" t="n">
        <v>314360</v>
      </c>
      <c r="J1080" s="0" t="s">
        <v>4634</v>
      </c>
      <c r="K1080" s="0" t="s">
        <v>1895</v>
      </c>
      <c r="L1080" s="0" t="n">
        <v>2022</v>
      </c>
      <c r="M1080" s="0" t="s">
        <v>1896</v>
      </c>
      <c r="N1080" s="0" t="s">
        <v>123</v>
      </c>
      <c r="O1080" s="0" t="s">
        <v>2343</v>
      </c>
      <c r="P1080" s="0" t="s">
        <v>3024</v>
      </c>
      <c r="Q1080" s="0" t="n">
        <v>139</v>
      </c>
      <c r="R1080" s="0" t="n">
        <v>139</v>
      </c>
      <c r="T1080" s="0" t="n">
        <v>2022</v>
      </c>
      <c r="U1080" s="0" t="s">
        <v>4265</v>
      </c>
      <c r="V1080" s="0" t="s">
        <v>114</v>
      </c>
      <c r="W1080" s="0" t="s">
        <v>4640</v>
      </c>
      <c r="X1080" s="0" t="s">
        <v>4636</v>
      </c>
      <c r="Y1080" s="0" t="s">
        <v>4159</v>
      </c>
      <c r="Z1080" s="0" t="s">
        <v>4160</v>
      </c>
      <c r="AB1080" s="0" t="s">
        <v>3025</v>
      </c>
      <c r="AC1080" s="0" t="s">
        <v>4162</v>
      </c>
      <c r="AD1080" s="0" t="s">
        <v>4637</v>
      </c>
      <c r="AE1080" s="0" t="s">
        <v>1892</v>
      </c>
      <c r="AF1080" s="0" t="s">
        <v>4638</v>
      </c>
      <c r="AH1080" s="0" t="s">
        <v>2239</v>
      </c>
      <c r="AL1080" s="0" t="s">
        <v>523</v>
      </c>
    </row>
    <row r="1081" customFormat="false" ht="15" hidden="false" customHeight="false" outlineLevel="0" collapsed="false">
      <c r="A1081" s="0" t="s">
        <v>887</v>
      </c>
      <c r="B1081" s="0" t="s">
        <v>115</v>
      </c>
      <c r="C1081" s="0" t="s">
        <v>4633</v>
      </c>
      <c r="D1081" s="0" t="n">
        <v>2022</v>
      </c>
      <c r="E1081" s="0" t="s">
        <v>54</v>
      </c>
      <c r="F1081" s="0" t="n">
        <v>46724</v>
      </c>
      <c r="G1081" s="0" t="s">
        <v>3101</v>
      </c>
      <c r="H1081" s="0" t="s">
        <v>3068</v>
      </c>
      <c r="I1081" s="0" t="n">
        <v>46724</v>
      </c>
      <c r="J1081" s="0" t="s">
        <v>4634</v>
      </c>
      <c r="K1081" s="0" t="s">
        <v>1895</v>
      </c>
      <c r="L1081" s="0" t="n">
        <v>2022</v>
      </c>
      <c r="M1081" s="0" t="s">
        <v>1896</v>
      </c>
      <c r="N1081" s="0" t="s">
        <v>123</v>
      </c>
      <c r="O1081" s="0" t="s">
        <v>2343</v>
      </c>
      <c r="P1081" s="0" t="s">
        <v>3024</v>
      </c>
      <c r="Q1081" s="0" t="n">
        <v>138</v>
      </c>
      <c r="R1081" s="0" t="n">
        <v>138</v>
      </c>
      <c r="T1081" s="0" t="n">
        <v>2022</v>
      </c>
      <c r="U1081" s="0" t="s">
        <v>4265</v>
      </c>
      <c r="V1081" s="0" t="s">
        <v>114</v>
      </c>
      <c r="W1081" s="0" t="s">
        <v>4641</v>
      </c>
      <c r="X1081" s="0" t="s">
        <v>4642</v>
      </c>
      <c r="Y1081" s="0" t="s">
        <v>4159</v>
      </c>
      <c r="Z1081" s="0" t="s">
        <v>4160</v>
      </c>
      <c r="AB1081" s="0" t="s">
        <v>3025</v>
      </c>
      <c r="AC1081" s="0" t="s">
        <v>4162</v>
      </c>
      <c r="AD1081" s="0" t="s">
        <v>4637</v>
      </c>
      <c r="AE1081" s="0" t="s">
        <v>1892</v>
      </c>
      <c r="AF1081" s="0" t="s">
        <v>4638</v>
      </c>
      <c r="AH1081" s="0" t="s">
        <v>2239</v>
      </c>
      <c r="AL1081" s="0" t="s">
        <v>523</v>
      </c>
    </row>
    <row r="1082" customFormat="false" ht="15" hidden="false" customHeight="false" outlineLevel="0" collapsed="false">
      <c r="A1082" s="0" t="s">
        <v>903</v>
      </c>
      <c r="B1082" s="0" t="s">
        <v>115</v>
      </c>
      <c r="C1082" s="0" t="s">
        <v>4633</v>
      </c>
      <c r="D1082" s="0" t="n">
        <v>2022</v>
      </c>
      <c r="E1082" s="0" t="s">
        <v>541</v>
      </c>
      <c r="F1082" s="0" t="n">
        <v>53677</v>
      </c>
      <c r="G1082" s="0" t="s">
        <v>3101</v>
      </c>
      <c r="H1082" s="0" t="s">
        <v>3068</v>
      </c>
      <c r="I1082" s="0" t="n">
        <v>53677</v>
      </c>
      <c r="J1082" s="0" t="s">
        <v>4634</v>
      </c>
      <c r="K1082" s="0" t="s">
        <v>1895</v>
      </c>
      <c r="L1082" s="0" t="n">
        <v>2022</v>
      </c>
      <c r="M1082" s="0" t="s">
        <v>1896</v>
      </c>
      <c r="N1082" s="0" t="s">
        <v>123</v>
      </c>
      <c r="O1082" s="0" t="s">
        <v>2343</v>
      </c>
      <c r="P1082" s="0" t="s">
        <v>3024</v>
      </c>
      <c r="Q1082" s="0" t="n">
        <v>138</v>
      </c>
      <c r="R1082" s="0" t="n">
        <v>138</v>
      </c>
      <c r="T1082" s="0" t="n">
        <v>2022</v>
      </c>
      <c r="U1082" s="0" t="s">
        <v>4265</v>
      </c>
      <c r="V1082" s="0" t="s">
        <v>114</v>
      </c>
      <c r="W1082" s="0" t="s">
        <v>4643</v>
      </c>
      <c r="X1082" s="0" t="s">
        <v>4642</v>
      </c>
      <c r="Y1082" s="0" t="s">
        <v>4159</v>
      </c>
      <c r="Z1082" s="0" t="s">
        <v>4160</v>
      </c>
      <c r="AB1082" s="0" t="s">
        <v>3025</v>
      </c>
      <c r="AC1082" s="0" t="s">
        <v>4162</v>
      </c>
      <c r="AD1082" s="0" t="s">
        <v>4637</v>
      </c>
      <c r="AE1082" s="0" t="s">
        <v>1892</v>
      </c>
      <c r="AF1082" s="0" t="s">
        <v>4638</v>
      </c>
      <c r="AH1082" s="0" t="s">
        <v>2239</v>
      </c>
      <c r="AL1082" s="0" t="s">
        <v>523</v>
      </c>
    </row>
    <row r="1083" customFormat="false" ht="15" hidden="false" customHeight="false" outlineLevel="0" collapsed="false">
      <c r="A1083" s="0" t="s">
        <v>896</v>
      </c>
      <c r="B1083" s="0" t="s">
        <v>115</v>
      </c>
      <c r="C1083" s="0" t="s">
        <v>4633</v>
      </c>
      <c r="D1083" s="0" t="n">
        <v>2022</v>
      </c>
      <c r="E1083" s="0" t="s">
        <v>63</v>
      </c>
      <c r="F1083" s="0" t="n">
        <v>-5443</v>
      </c>
      <c r="G1083" s="0" t="s">
        <v>3101</v>
      </c>
      <c r="H1083" s="0" t="s">
        <v>3068</v>
      </c>
      <c r="I1083" s="0" t="n">
        <v>5443</v>
      </c>
      <c r="J1083" s="0" t="s">
        <v>4634</v>
      </c>
      <c r="K1083" s="0" t="s">
        <v>1895</v>
      </c>
      <c r="L1083" s="0" t="n">
        <v>2022</v>
      </c>
      <c r="M1083" s="0" t="s">
        <v>1896</v>
      </c>
      <c r="N1083" s="0" t="s">
        <v>123</v>
      </c>
      <c r="O1083" s="0" t="s">
        <v>2343</v>
      </c>
      <c r="P1083" s="0" t="s">
        <v>3024</v>
      </c>
      <c r="Q1083" s="0" t="n">
        <v>138</v>
      </c>
      <c r="R1083" s="0" t="n">
        <v>138</v>
      </c>
      <c r="S1083" s="0" t="n">
        <v>8</v>
      </c>
      <c r="T1083" s="0" t="n">
        <v>2022</v>
      </c>
      <c r="U1083" s="0" t="s">
        <v>4265</v>
      </c>
      <c r="V1083" s="0" t="s">
        <v>114</v>
      </c>
      <c r="W1083" s="0" t="s">
        <v>4644</v>
      </c>
      <c r="X1083" s="0" t="s">
        <v>4642</v>
      </c>
      <c r="Y1083" s="0" t="s">
        <v>4159</v>
      </c>
      <c r="Z1083" s="0" t="s">
        <v>4160</v>
      </c>
      <c r="AA1083" s="0" t="s">
        <v>4645</v>
      </c>
      <c r="AB1083" s="0" t="s">
        <v>3025</v>
      </c>
      <c r="AC1083" s="0" t="s">
        <v>4162</v>
      </c>
      <c r="AD1083" s="0" t="s">
        <v>4637</v>
      </c>
      <c r="AE1083" s="0" t="s">
        <v>1892</v>
      </c>
      <c r="AF1083" s="0" t="s">
        <v>4638</v>
      </c>
      <c r="AH1083" s="0" t="s">
        <v>4174</v>
      </c>
      <c r="AI1083" s="0" t="s">
        <v>4175</v>
      </c>
      <c r="AL1083" s="0" t="s">
        <v>523</v>
      </c>
    </row>
    <row r="1084" customFormat="false" ht="15" hidden="false" customHeight="false" outlineLevel="0" collapsed="false">
      <c r="A1084" s="0" t="s">
        <v>891</v>
      </c>
      <c r="B1084" s="0" t="s">
        <v>115</v>
      </c>
      <c r="C1084" s="0" t="s">
        <v>4633</v>
      </c>
      <c r="D1084" s="0" t="n">
        <v>2022</v>
      </c>
      <c r="E1084" s="0" t="s">
        <v>58</v>
      </c>
      <c r="F1084" s="0" t="n">
        <v>297592</v>
      </c>
      <c r="G1084" s="0" t="s">
        <v>3101</v>
      </c>
      <c r="H1084" s="0" t="s">
        <v>3068</v>
      </c>
      <c r="I1084" s="0" t="n">
        <v>297592</v>
      </c>
      <c r="J1084" s="0" t="s">
        <v>4634</v>
      </c>
      <c r="K1084" s="0" t="s">
        <v>1895</v>
      </c>
      <c r="L1084" s="0" t="n">
        <v>2022</v>
      </c>
      <c r="M1084" s="0" t="s">
        <v>1896</v>
      </c>
      <c r="N1084" s="0" t="s">
        <v>123</v>
      </c>
      <c r="O1084" s="0" t="s">
        <v>2343</v>
      </c>
      <c r="P1084" s="0" t="s">
        <v>3024</v>
      </c>
      <c r="Q1084" s="0" t="n">
        <v>141</v>
      </c>
      <c r="R1084" s="0" t="n">
        <v>141</v>
      </c>
      <c r="T1084" s="0" t="n">
        <v>2022</v>
      </c>
      <c r="U1084" s="0" t="s">
        <v>4265</v>
      </c>
      <c r="V1084" s="0" t="s">
        <v>114</v>
      </c>
      <c r="W1084" s="0" t="s">
        <v>4646</v>
      </c>
      <c r="X1084" s="0" t="s">
        <v>4647</v>
      </c>
      <c r="Y1084" s="0" t="s">
        <v>4159</v>
      </c>
      <c r="Z1084" s="0" t="s">
        <v>4160</v>
      </c>
      <c r="AB1084" s="0" t="s">
        <v>3025</v>
      </c>
      <c r="AC1084" s="0" t="s">
        <v>4162</v>
      </c>
      <c r="AD1084" s="0" t="s">
        <v>4637</v>
      </c>
      <c r="AE1084" s="0" t="s">
        <v>1892</v>
      </c>
      <c r="AF1084" s="0" t="s">
        <v>4638</v>
      </c>
      <c r="AH1084" s="0" t="s">
        <v>2239</v>
      </c>
      <c r="AL1084" s="0" t="s">
        <v>523</v>
      </c>
    </row>
    <row r="1085" customFormat="false" ht="15" hidden="false" customHeight="false" outlineLevel="0" collapsed="false">
      <c r="A1085" s="0" t="s">
        <v>893</v>
      </c>
      <c r="B1085" s="0" t="s">
        <v>115</v>
      </c>
      <c r="C1085" s="0" t="s">
        <v>4633</v>
      </c>
      <c r="D1085" s="0" t="n">
        <v>2022</v>
      </c>
      <c r="E1085" s="0" t="s">
        <v>60</v>
      </c>
      <c r="F1085" s="0" t="n">
        <v>2196760</v>
      </c>
      <c r="G1085" s="0" t="s">
        <v>3101</v>
      </c>
      <c r="H1085" s="0" t="s">
        <v>3068</v>
      </c>
      <c r="I1085" s="0" t="n">
        <v>2196760</v>
      </c>
      <c r="J1085" s="0" t="s">
        <v>4634</v>
      </c>
      <c r="K1085" s="0" t="s">
        <v>1895</v>
      </c>
      <c r="L1085" s="0" t="n">
        <v>2022</v>
      </c>
      <c r="M1085" s="0" t="s">
        <v>1896</v>
      </c>
      <c r="N1085" s="0" t="s">
        <v>123</v>
      </c>
      <c r="O1085" s="0" t="s">
        <v>2343</v>
      </c>
      <c r="P1085" s="0" t="s">
        <v>3024</v>
      </c>
      <c r="Q1085" s="0" t="n">
        <v>225</v>
      </c>
      <c r="R1085" s="0" t="n">
        <v>225</v>
      </c>
      <c r="S1085" s="0" t="n">
        <v>22</v>
      </c>
      <c r="T1085" s="0" t="n">
        <v>2022</v>
      </c>
      <c r="U1085" s="0" t="s">
        <v>4265</v>
      </c>
      <c r="V1085" s="0" t="s">
        <v>114</v>
      </c>
      <c r="W1085" s="0" t="s">
        <v>4648</v>
      </c>
      <c r="X1085" s="0" t="s">
        <v>4649</v>
      </c>
      <c r="Y1085" s="0" t="s">
        <v>4159</v>
      </c>
      <c r="Z1085" s="0" t="s">
        <v>4160</v>
      </c>
      <c r="AA1085" s="0" t="s">
        <v>4650</v>
      </c>
      <c r="AB1085" s="0" t="s">
        <v>3025</v>
      </c>
      <c r="AC1085" s="0" t="s">
        <v>4162</v>
      </c>
      <c r="AD1085" s="0" t="s">
        <v>4637</v>
      </c>
      <c r="AE1085" s="0" t="s">
        <v>1892</v>
      </c>
      <c r="AF1085" s="0" t="s">
        <v>4638</v>
      </c>
      <c r="AH1085" s="0" t="s">
        <v>2239</v>
      </c>
      <c r="AL1085" s="0" t="s">
        <v>523</v>
      </c>
    </row>
    <row r="1086" customFormat="false" ht="15" hidden="false" customHeight="false" outlineLevel="0" collapsed="false">
      <c r="A1086" s="0" t="s">
        <v>894</v>
      </c>
      <c r="B1086" s="0" t="s">
        <v>115</v>
      </c>
      <c r="C1086" s="0" t="s">
        <v>4633</v>
      </c>
      <c r="D1086" s="0" t="n">
        <v>2022</v>
      </c>
      <c r="E1086" s="0" t="s">
        <v>61</v>
      </c>
      <c r="F1086" s="0" t="n">
        <v>-80548</v>
      </c>
      <c r="G1086" s="0" t="s">
        <v>3101</v>
      </c>
      <c r="H1086" s="0" t="s">
        <v>3068</v>
      </c>
      <c r="I1086" s="0" t="n">
        <v>80548</v>
      </c>
      <c r="J1086" s="0" t="s">
        <v>4634</v>
      </c>
      <c r="K1086" s="0" t="s">
        <v>1895</v>
      </c>
      <c r="L1086" s="0" t="n">
        <v>2022</v>
      </c>
      <c r="M1086" s="0" t="s">
        <v>1896</v>
      </c>
      <c r="N1086" s="0" t="s">
        <v>123</v>
      </c>
      <c r="O1086" s="0" t="s">
        <v>2343</v>
      </c>
      <c r="P1086" s="0" t="s">
        <v>3024</v>
      </c>
      <c r="Q1086" s="0" t="n">
        <v>225</v>
      </c>
      <c r="R1086" s="0" t="n">
        <v>225</v>
      </c>
      <c r="S1086" s="0" t="n">
        <v>22</v>
      </c>
      <c r="T1086" s="0" t="n">
        <v>2022</v>
      </c>
      <c r="U1086" s="0" t="s">
        <v>4265</v>
      </c>
      <c r="V1086" s="0" t="s">
        <v>114</v>
      </c>
      <c r="W1086" s="0" t="s">
        <v>4651</v>
      </c>
      <c r="X1086" s="0" t="s">
        <v>4649</v>
      </c>
      <c r="Y1086" s="0" t="s">
        <v>4159</v>
      </c>
      <c r="Z1086" s="0" t="s">
        <v>4160</v>
      </c>
      <c r="AA1086" s="0" t="s">
        <v>4242</v>
      </c>
      <c r="AB1086" s="0" t="s">
        <v>3025</v>
      </c>
      <c r="AC1086" s="0" t="s">
        <v>4162</v>
      </c>
      <c r="AD1086" s="0" t="s">
        <v>4637</v>
      </c>
      <c r="AE1086" s="0" t="s">
        <v>1892</v>
      </c>
      <c r="AF1086" s="0" t="s">
        <v>4638</v>
      </c>
      <c r="AH1086" s="0" t="s">
        <v>4174</v>
      </c>
      <c r="AI1086" s="0" t="s">
        <v>4184</v>
      </c>
      <c r="AL1086" s="0" t="s">
        <v>523</v>
      </c>
    </row>
    <row r="1087" customFormat="false" ht="15" hidden="false" customHeight="false" outlineLevel="0" collapsed="false">
      <c r="A1087" s="0" t="s">
        <v>895</v>
      </c>
      <c r="B1087" s="0" t="s">
        <v>115</v>
      </c>
      <c r="C1087" s="0" t="s">
        <v>4633</v>
      </c>
      <c r="D1087" s="0" t="n">
        <v>2022</v>
      </c>
      <c r="E1087" s="0" t="s">
        <v>62</v>
      </c>
      <c r="F1087" s="0" t="n">
        <v>2116212</v>
      </c>
      <c r="G1087" s="0" t="s">
        <v>3101</v>
      </c>
      <c r="H1087" s="0" t="s">
        <v>3068</v>
      </c>
      <c r="I1087" s="0" t="n">
        <v>2116212</v>
      </c>
      <c r="J1087" s="0" t="s">
        <v>4634</v>
      </c>
      <c r="K1087" s="0" t="s">
        <v>1895</v>
      </c>
      <c r="L1087" s="0" t="n">
        <v>2022</v>
      </c>
      <c r="M1087" s="0" t="s">
        <v>1896</v>
      </c>
      <c r="N1087" s="0" t="s">
        <v>123</v>
      </c>
      <c r="O1087" s="0" t="s">
        <v>2343</v>
      </c>
      <c r="P1087" s="0" t="s">
        <v>3024</v>
      </c>
      <c r="Q1087" s="0" t="n">
        <v>225</v>
      </c>
      <c r="R1087" s="0" t="n">
        <v>225</v>
      </c>
      <c r="S1087" s="0" t="n">
        <v>22</v>
      </c>
      <c r="T1087" s="0" t="n">
        <v>2022</v>
      </c>
      <c r="U1087" s="0" t="s">
        <v>4265</v>
      </c>
      <c r="V1087" s="0" t="s">
        <v>114</v>
      </c>
      <c r="W1087" s="0" t="s">
        <v>4652</v>
      </c>
      <c r="X1087" s="0" t="s">
        <v>4649</v>
      </c>
      <c r="Y1087" s="0" t="s">
        <v>4159</v>
      </c>
      <c r="Z1087" s="0" t="s">
        <v>4160</v>
      </c>
      <c r="AA1087" s="0" t="s">
        <v>4506</v>
      </c>
      <c r="AB1087" s="0" t="s">
        <v>3025</v>
      </c>
      <c r="AC1087" s="0" t="s">
        <v>4162</v>
      </c>
      <c r="AD1087" s="0" t="s">
        <v>4637</v>
      </c>
      <c r="AE1087" s="0" t="s">
        <v>1892</v>
      </c>
      <c r="AF1087" s="0" t="s">
        <v>4638</v>
      </c>
      <c r="AH1087" s="0" t="s">
        <v>2239</v>
      </c>
      <c r="AL1087" s="0" t="s">
        <v>523</v>
      </c>
    </row>
    <row r="1088" customFormat="false" ht="15" hidden="false" customHeight="false" outlineLevel="0" collapsed="false">
      <c r="A1088" s="0" t="s">
        <v>899</v>
      </c>
      <c r="B1088" s="0" t="s">
        <v>115</v>
      </c>
      <c r="C1088" s="0" t="s">
        <v>4633</v>
      </c>
      <c r="D1088" s="0" t="n">
        <v>2022</v>
      </c>
      <c r="E1088" s="0" t="s">
        <v>65</v>
      </c>
      <c r="F1088" s="0" t="n">
        <v>289500</v>
      </c>
      <c r="G1088" s="0" t="s">
        <v>3101</v>
      </c>
      <c r="H1088" s="0" t="s">
        <v>3068</v>
      </c>
      <c r="I1088" s="0" t="n">
        <v>289500</v>
      </c>
      <c r="J1088" s="0" t="s">
        <v>4634</v>
      </c>
      <c r="K1088" s="0" t="s">
        <v>1895</v>
      </c>
      <c r="L1088" s="0" t="n">
        <v>2022</v>
      </c>
      <c r="M1088" s="0" t="s">
        <v>1896</v>
      </c>
      <c r="N1088" s="0" t="s">
        <v>123</v>
      </c>
      <c r="O1088" s="0" t="s">
        <v>2343</v>
      </c>
      <c r="P1088" s="0" t="s">
        <v>3024</v>
      </c>
      <c r="Q1088" s="0" t="n">
        <v>209</v>
      </c>
      <c r="R1088" s="0" t="n">
        <v>209</v>
      </c>
      <c r="T1088" s="0" t="n">
        <v>2022</v>
      </c>
      <c r="U1088" s="0" t="s">
        <v>4265</v>
      </c>
      <c r="V1088" s="0" t="s">
        <v>114</v>
      </c>
      <c r="W1088" s="0" t="s">
        <v>4653</v>
      </c>
      <c r="X1088" s="0" t="s">
        <v>4654</v>
      </c>
      <c r="Y1088" s="0" t="s">
        <v>4159</v>
      </c>
      <c r="Z1088" s="0" t="s">
        <v>4160</v>
      </c>
      <c r="AA1088" s="0" t="s">
        <v>4655</v>
      </c>
      <c r="AB1088" s="0" t="s">
        <v>3025</v>
      </c>
      <c r="AC1088" s="0" t="s">
        <v>4162</v>
      </c>
      <c r="AD1088" s="0" t="s">
        <v>4637</v>
      </c>
      <c r="AE1088" s="0" t="s">
        <v>1892</v>
      </c>
      <c r="AF1088" s="0" t="s">
        <v>4638</v>
      </c>
      <c r="AH1088" s="0" t="s">
        <v>2239</v>
      </c>
      <c r="AL1088" s="0" t="s">
        <v>523</v>
      </c>
    </row>
    <row r="1089" customFormat="false" ht="15" hidden="false" customHeight="false" outlineLevel="0" collapsed="false">
      <c r="A1089" s="0" t="s">
        <v>900</v>
      </c>
      <c r="B1089" s="0" t="s">
        <v>115</v>
      </c>
      <c r="C1089" s="0" t="s">
        <v>4633</v>
      </c>
      <c r="D1089" s="0" t="n">
        <v>2022</v>
      </c>
      <c r="E1089" s="0" t="s">
        <v>66</v>
      </c>
      <c r="F1089" s="0" t="n">
        <v>1595729</v>
      </c>
      <c r="G1089" s="0" t="s">
        <v>3101</v>
      </c>
      <c r="H1089" s="0" t="s">
        <v>3068</v>
      </c>
      <c r="I1089" s="0" t="n">
        <v>1595729</v>
      </c>
      <c r="J1089" s="0" t="s">
        <v>4634</v>
      </c>
      <c r="K1089" s="0" t="s">
        <v>1895</v>
      </c>
      <c r="L1089" s="0" t="n">
        <v>2022</v>
      </c>
      <c r="M1089" s="0" t="s">
        <v>1896</v>
      </c>
      <c r="N1089" s="0" t="s">
        <v>123</v>
      </c>
      <c r="O1089" s="0" t="s">
        <v>2343</v>
      </c>
      <c r="P1089" s="0" t="s">
        <v>3024</v>
      </c>
      <c r="Q1089" s="0" t="n">
        <v>209</v>
      </c>
      <c r="R1089" s="0" t="n">
        <v>209</v>
      </c>
      <c r="T1089" s="0" t="n">
        <v>2022</v>
      </c>
      <c r="U1089" s="0" t="s">
        <v>4265</v>
      </c>
      <c r="V1089" s="0" t="s">
        <v>114</v>
      </c>
      <c r="W1089" s="0" t="s">
        <v>4656</v>
      </c>
      <c r="X1089" s="0" t="s">
        <v>4654</v>
      </c>
      <c r="Y1089" s="0" t="s">
        <v>4159</v>
      </c>
      <c r="Z1089" s="0" t="s">
        <v>4160</v>
      </c>
      <c r="AB1089" s="0" t="s">
        <v>3025</v>
      </c>
      <c r="AC1089" s="0" t="s">
        <v>4162</v>
      </c>
      <c r="AD1089" s="0" t="s">
        <v>4637</v>
      </c>
      <c r="AE1089" s="0" t="s">
        <v>1892</v>
      </c>
      <c r="AF1089" s="0" t="s">
        <v>4638</v>
      </c>
      <c r="AH1089" s="0" t="s">
        <v>2239</v>
      </c>
      <c r="AL1089" s="0" t="s">
        <v>523</v>
      </c>
    </row>
    <row r="1090" customFormat="false" ht="15" hidden="false" customHeight="false" outlineLevel="0" collapsed="false">
      <c r="A1090" s="0" t="s">
        <v>897</v>
      </c>
      <c r="B1090" s="0" t="s">
        <v>115</v>
      </c>
      <c r="C1090" s="0" t="s">
        <v>4633</v>
      </c>
      <c r="D1090" s="0" t="n">
        <v>2022</v>
      </c>
      <c r="E1090" s="0" t="s">
        <v>69</v>
      </c>
      <c r="F1090" s="0" t="s">
        <v>4657</v>
      </c>
      <c r="G1090" s="0" t="s">
        <v>3143</v>
      </c>
      <c r="I1090" s="0" t="n">
        <v>18.14</v>
      </c>
      <c r="J1090" s="0" t="s">
        <v>4634</v>
      </c>
      <c r="K1090" s="0" t="s">
        <v>1895</v>
      </c>
      <c r="L1090" s="0" t="n">
        <v>2022</v>
      </c>
      <c r="M1090" s="0" t="s">
        <v>1896</v>
      </c>
      <c r="N1090" s="0" t="s">
        <v>123</v>
      </c>
      <c r="O1090" s="0" t="s">
        <v>2343</v>
      </c>
      <c r="P1090" s="0" t="s">
        <v>3024</v>
      </c>
      <c r="Q1090" s="0" t="n">
        <v>209</v>
      </c>
      <c r="R1090" s="0" t="n">
        <v>209</v>
      </c>
      <c r="T1090" s="0" t="n">
        <v>2022</v>
      </c>
      <c r="U1090" s="0" t="s">
        <v>4265</v>
      </c>
      <c r="V1090" s="0" t="s">
        <v>114</v>
      </c>
      <c r="W1090" s="0" t="s">
        <v>4658</v>
      </c>
      <c r="X1090" s="0" t="s">
        <v>4654</v>
      </c>
      <c r="Y1090" s="0" t="s">
        <v>4159</v>
      </c>
      <c r="Z1090" s="0" t="s">
        <v>4160</v>
      </c>
      <c r="AB1090" s="0" t="s">
        <v>3025</v>
      </c>
      <c r="AC1090" s="0" t="s">
        <v>4162</v>
      </c>
      <c r="AD1090" s="0" t="s">
        <v>4637</v>
      </c>
      <c r="AE1090" s="0" t="s">
        <v>1892</v>
      </c>
      <c r="AF1090" s="0" t="s">
        <v>4638</v>
      </c>
      <c r="AH1090" s="0" t="s">
        <v>2239</v>
      </c>
      <c r="AL1090" s="0" t="s">
        <v>523</v>
      </c>
    </row>
    <row r="1091" customFormat="false" ht="15" hidden="false" customHeight="false" outlineLevel="0" collapsed="false">
      <c r="A1091" s="0" t="s">
        <v>898</v>
      </c>
      <c r="B1091" s="0" t="s">
        <v>115</v>
      </c>
      <c r="C1091" s="0" t="s">
        <v>4633</v>
      </c>
      <c r="D1091" s="0" t="n">
        <v>2022</v>
      </c>
      <c r="E1091" s="0" t="s">
        <v>70</v>
      </c>
      <c r="F1091" s="0" t="s">
        <v>4253</v>
      </c>
      <c r="G1091" s="0" t="s">
        <v>3143</v>
      </c>
      <c r="I1091" s="0" t="n">
        <v>15</v>
      </c>
      <c r="J1091" s="0" t="s">
        <v>4634</v>
      </c>
      <c r="K1091" s="0" t="s">
        <v>1895</v>
      </c>
      <c r="L1091" s="0" t="n">
        <v>2022</v>
      </c>
      <c r="M1091" s="0" t="s">
        <v>1896</v>
      </c>
      <c r="N1091" s="0" t="s">
        <v>123</v>
      </c>
      <c r="O1091" s="0" t="s">
        <v>2343</v>
      </c>
      <c r="P1091" s="0" t="s">
        <v>3024</v>
      </c>
      <c r="Q1091" s="0" t="n">
        <v>209</v>
      </c>
      <c r="R1091" s="0" t="n">
        <v>209</v>
      </c>
      <c r="T1091" s="0" t="n">
        <v>2022</v>
      </c>
      <c r="U1091" s="0" t="s">
        <v>4265</v>
      </c>
      <c r="V1091" s="0" t="s">
        <v>114</v>
      </c>
      <c r="W1091" s="0" t="s">
        <v>4659</v>
      </c>
      <c r="X1091" s="0" t="s">
        <v>4654</v>
      </c>
      <c r="Y1091" s="0" t="s">
        <v>4159</v>
      </c>
      <c r="Z1091" s="0" t="s">
        <v>4160</v>
      </c>
      <c r="AB1091" s="0" t="s">
        <v>3025</v>
      </c>
      <c r="AC1091" s="0" t="s">
        <v>4162</v>
      </c>
      <c r="AD1091" s="0" t="s">
        <v>4637</v>
      </c>
      <c r="AE1091" s="0" t="s">
        <v>1892</v>
      </c>
      <c r="AF1091" s="0" t="s">
        <v>4638</v>
      </c>
      <c r="AH1091" s="0" t="s">
        <v>2239</v>
      </c>
      <c r="AL1091" s="0" t="s">
        <v>523</v>
      </c>
    </row>
    <row r="1092" customFormat="false" ht="15" hidden="false" customHeight="false" outlineLevel="0" collapsed="false">
      <c r="A1092" s="0" t="s">
        <v>874</v>
      </c>
      <c r="B1092" s="0" t="s">
        <v>115</v>
      </c>
      <c r="C1092" s="0" t="s">
        <v>4633</v>
      </c>
      <c r="D1092" s="0" t="n">
        <v>2021</v>
      </c>
      <c r="E1092" s="0" t="s">
        <v>55</v>
      </c>
      <c r="F1092" s="0" t="n">
        <v>3280454</v>
      </c>
      <c r="G1092" s="0" t="s">
        <v>3101</v>
      </c>
      <c r="H1092" s="0" t="s">
        <v>3068</v>
      </c>
      <c r="I1092" s="0" t="n">
        <v>3280454</v>
      </c>
      <c r="J1092" s="0" t="s">
        <v>4634</v>
      </c>
      <c r="K1092" s="0" t="s">
        <v>1895</v>
      </c>
      <c r="L1092" s="0" t="n">
        <v>2022</v>
      </c>
      <c r="M1092" s="0" t="s">
        <v>1896</v>
      </c>
      <c r="N1092" s="0" t="s">
        <v>123</v>
      </c>
      <c r="O1092" s="0" t="s">
        <v>2343</v>
      </c>
      <c r="P1092" s="0" t="s">
        <v>3024</v>
      </c>
      <c r="Q1092" s="0" t="n">
        <v>139</v>
      </c>
      <c r="R1092" s="0" t="n">
        <v>139</v>
      </c>
      <c r="T1092" s="0" t="s">
        <v>4660</v>
      </c>
      <c r="U1092" s="0" t="s">
        <v>4661</v>
      </c>
      <c r="V1092" s="0" t="s">
        <v>124</v>
      </c>
      <c r="W1092" s="0" t="s">
        <v>4635</v>
      </c>
      <c r="X1092" s="0" t="s">
        <v>4636</v>
      </c>
      <c r="Y1092" s="0" t="s">
        <v>4159</v>
      </c>
      <c r="Z1092" s="0" t="s">
        <v>4160</v>
      </c>
      <c r="AB1092" s="0" t="s">
        <v>3025</v>
      </c>
      <c r="AC1092" s="0" t="s">
        <v>4162</v>
      </c>
      <c r="AD1092" s="0" t="s">
        <v>4637</v>
      </c>
      <c r="AE1092" s="0" t="s">
        <v>1892</v>
      </c>
      <c r="AF1092" s="0" t="s">
        <v>4638</v>
      </c>
      <c r="AH1092" s="0" t="s">
        <v>2239</v>
      </c>
      <c r="AL1092" s="0" t="s">
        <v>523</v>
      </c>
    </row>
    <row r="1093" customFormat="false" ht="15" hidden="false" customHeight="false" outlineLevel="0" collapsed="false">
      <c r="A1093" s="0" t="s">
        <v>875</v>
      </c>
      <c r="B1093" s="0" t="s">
        <v>115</v>
      </c>
      <c r="C1093" s="0" t="s">
        <v>4633</v>
      </c>
      <c r="D1093" s="0" t="n">
        <v>2021</v>
      </c>
      <c r="E1093" s="0" t="s">
        <v>56</v>
      </c>
      <c r="F1093" s="0" t="n">
        <v>2995160</v>
      </c>
      <c r="G1093" s="0" t="s">
        <v>3101</v>
      </c>
      <c r="H1093" s="0" t="s">
        <v>3068</v>
      </c>
      <c r="I1093" s="0" t="n">
        <v>2995160</v>
      </c>
      <c r="J1093" s="0" t="s">
        <v>4634</v>
      </c>
      <c r="K1093" s="0" t="s">
        <v>1895</v>
      </c>
      <c r="L1093" s="0" t="n">
        <v>2022</v>
      </c>
      <c r="M1093" s="0" t="s">
        <v>1896</v>
      </c>
      <c r="N1093" s="0" t="s">
        <v>123</v>
      </c>
      <c r="O1093" s="0" t="s">
        <v>2343</v>
      </c>
      <c r="P1093" s="0" t="s">
        <v>3024</v>
      </c>
      <c r="Q1093" s="0" t="n">
        <v>139</v>
      </c>
      <c r="R1093" s="0" t="n">
        <v>139</v>
      </c>
      <c r="T1093" s="0" t="s">
        <v>4660</v>
      </c>
      <c r="U1093" s="0" t="s">
        <v>4661</v>
      </c>
      <c r="V1093" s="0" t="s">
        <v>124</v>
      </c>
      <c r="W1093" s="0" t="s">
        <v>4639</v>
      </c>
      <c r="X1093" s="0" t="s">
        <v>4636</v>
      </c>
      <c r="Y1093" s="0" t="s">
        <v>4159</v>
      </c>
      <c r="Z1093" s="0" t="s">
        <v>4160</v>
      </c>
      <c r="AB1093" s="0" t="s">
        <v>3025</v>
      </c>
      <c r="AC1093" s="0" t="s">
        <v>4162</v>
      </c>
      <c r="AD1093" s="0" t="s">
        <v>4637</v>
      </c>
      <c r="AE1093" s="0" t="s">
        <v>1892</v>
      </c>
      <c r="AF1093" s="0" t="s">
        <v>4638</v>
      </c>
      <c r="AH1093" s="0" t="s">
        <v>2239</v>
      </c>
      <c r="AL1093" s="0" t="s">
        <v>523</v>
      </c>
    </row>
    <row r="1094" customFormat="false" ht="15" hidden="false" customHeight="false" outlineLevel="0" collapsed="false">
      <c r="A1094" s="0" t="s">
        <v>876</v>
      </c>
      <c r="B1094" s="0" t="s">
        <v>115</v>
      </c>
      <c r="C1094" s="0" t="s">
        <v>4633</v>
      </c>
      <c r="D1094" s="0" t="n">
        <v>2021</v>
      </c>
      <c r="E1094" s="0" t="s">
        <v>57</v>
      </c>
      <c r="F1094" s="0" t="n">
        <v>285294</v>
      </c>
      <c r="G1094" s="0" t="s">
        <v>3101</v>
      </c>
      <c r="H1094" s="0" t="s">
        <v>3068</v>
      </c>
      <c r="I1094" s="0" t="n">
        <v>285294</v>
      </c>
      <c r="J1094" s="0" t="s">
        <v>4634</v>
      </c>
      <c r="K1094" s="0" t="s">
        <v>1895</v>
      </c>
      <c r="L1094" s="0" t="n">
        <v>2022</v>
      </c>
      <c r="M1094" s="0" t="s">
        <v>1896</v>
      </c>
      <c r="N1094" s="0" t="s">
        <v>123</v>
      </c>
      <c r="O1094" s="0" t="s">
        <v>2343</v>
      </c>
      <c r="P1094" s="0" t="s">
        <v>3024</v>
      </c>
      <c r="Q1094" s="0" t="n">
        <v>139</v>
      </c>
      <c r="R1094" s="0" t="n">
        <v>139</v>
      </c>
      <c r="T1094" s="0" t="s">
        <v>4660</v>
      </c>
      <c r="U1094" s="0" t="s">
        <v>4661</v>
      </c>
      <c r="V1094" s="0" t="s">
        <v>124</v>
      </c>
      <c r="W1094" s="0" t="s">
        <v>4640</v>
      </c>
      <c r="X1094" s="0" t="s">
        <v>4636</v>
      </c>
      <c r="Y1094" s="0" t="s">
        <v>4159</v>
      </c>
      <c r="Z1094" s="0" t="s">
        <v>4160</v>
      </c>
      <c r="AB1094" s="0" t="s">
        <v>3025</v>
      </c>
      <c r="AC1094" s="0" t="s">
        <v>4162</v>
      </c>
      <c r="AD1094" s="0" t="s">
        <v>4637</v>
      </c>
      <c r="AE1094" s="0" t="s">
        <v>1892</v>
      </c>
      <c r="AF1094" s="0" t="s">
        <v>4638</v>
      </c>
      <c r="AH1094" s="0" t="s">
        <v>2239</v>
      </c>
      <c r="AL1094" s="0" t="s">
        <v>523</v>
      </c>
    </row>
    <row r="1095" customFormat="false" ht="15" hidden="false" customHeight="false" outlineLevel="0" collapsed="false">
      <c r="A1095" s="0" t="s">
        <v>873</v>
      </c>
      <c r="B1095" s="0" t="s">
        <v>115</v>
      </c>
      <c r="C1095" s="0" t="s">
        <v>4633</v>
      </c>
      <c r="D1095" s="0" t="n">
        <v>2021</v>
      </c>
      <c r="E1095" s="0" t="s">
        <v>54</v>
      </c>
      <c r="F1095" s="0" t="n">
        <v>23104</v>
      </c>
      <c r="G1095" s="0" t="s">
        <v>3101</v>
      </c>
      <c r="H1095" s="0" t="s">
        <v>3068</v>
      </c>
      <c r="I1095" s="0" t="n">
        <v>23104</v>
      </c>
      <c r="J1095" s="0" t="s">
        <v>4634</v>
      </c>
      <c r="K1095" s="0" t="s">
        <v>1895</v>
      </c>
      <c r="L1095" s="0" t="n">
        <v>2022</v>
      </c>
      <c r="M1095" s="0" t="s">
        <v>1896</v>
      </c>
      <c r="N1095" s="0" t="s">
        <v>123</v>
      </c>
      <c r="O1095" s="0" t="s">
        <v>2343</v>
      </c>
      <c r="P1095" s="0" t="s">
        <v>3024</v>
      </c>
      <c r="Q1095" s="0" t="n">
        <v>138</v>
      </c>
      <c r="R1095" s="0" t="n">
        <v>138</v>
      </c>
      <c r="T1095" s="0" t="s">
        <v>4660</v>
      </c>
      <c r="U1095" s="0" t="s">
        <v>4661</v>
      </c>
      <c r="V1095" s="0" t="s">
        <v>124</v>
      </c>
      <c r="W1095" s="0" t="s">
        <v>4641</v>
      </c>
      <c r="X1095" s="0" t="s">
        <v>4642</v>
      </c>
      <c r="Y1095" s="0" t="s">
        <v>4159</v>
      </c>
      <c r="Z1095" s="0" t="s">
        <v>4160</v>
      </c>
      <c r="AB1095" s="0" t="s">
        <v>3025</v>
      </c>
      <c r="AC1095" s="0" t="s">
        <v>4162</v>
      </c>
      <c r="AD1095" s="0" t="s">
        <v>4637</v>
      </c>
      <c r="AE1095" s="0" t="s">
        <v>1892</v>
      </c>
      <c r="AF1095" s="0" t="s">
        <v>4638</v>
      </c>
      <c r="AH1095" s="0" t="s">
        <v>2239</v>
      </c>
      <c r="AL1095" s="0" t="s">
        <v>523</v>
      </c>
    </row>
    <row r="1096" customFormat="false" ht="15" hidden="false" customHeight="false" outlineLevel="0" collapsed="false">
      <c r="A1096" s="0" t="s">
        <v>886</v>
      </c>
      <c r="B1096" s="0" t="s">
        <v>115</v>
      </c>
      <c r="C1096" s="0" t="s">
        <v>4633</v>
      </c>
      <c r="D1096" s="0" t="n">
        <v>2021</v>
      </c>
      <c r="E1096" s="0" t="s">
        <v>541</v>
      </c>
      <c r="F1096" s="0" t="n">
        <v>25215</v>
      </c>
      <c r="G1096" s="0" t="s">
        <v>3101</v>
      </c>
      <c r="H1096" s="0" t="s">
        <v>3068</v>
      </c>
      <c r="I1096" s="0" t="n">
        <v>25215</v>
      </c>
      <c r="J1096" s="0" t="s">
        <v>4634</v>
      </c>
      <c r="K1096" s="0" t="s">
        <v>1895</v>
      </c>
      <c r="L1096" s="0" t="n">
        <v>2022</v>
      </c>
      <c r="M1096" s="0" t="s">
        <v>1896</v>
      </c>
      <c r="N1096" s="0" t="s">
        <v>123</v>
      </c>
      <c r="O1096" s="0" t="s">
        <v>2343</v>
      </c>
      <c r="P1096" s="0" t="s">
        <v>3024</v>
      </c>
      <c r="Q1096" s="0" t="n">
        <v>138</v>
      </c>
      <c r="R1096" s="0" t="n">
        <v>138</v>
      </c>
      <c r="T1096" s="0" t="s">
        <v>4660</v>
      </c>
      <c r="U1096" s="0" t="s">
        <v>4661</v>
      </c>
      <c r="V1096" s="0" t="s">
        <v>124</v>
      </c>
      <c r="W1096" s="0" t="s">
        <v>4643</v>
      </c>
      <c r="X1096" s="0" t="s">
        <v>4642</v>
      </c>
      <c r="Y1096" s="0" t="s">
        <v>4159</v>
      </c>
      <c r="Z1096" s="0" t="s">
        <v>4160</v>
      </c>
      <c r="AB1096" s="0" t="s">
        <v>3025</v>
      </c>
      <c r="AC1096" s="0" t="s">
        <v>4162</v>
      </c>
      <c r="AD1096" s="0" t="s">
        <v>4637</v>
      </c>
      <c r="AE1096" s="0" t="s">
        <v>1892</v>
      </c>
      <c r="AF1096" s="0" t="s">
        <v>4638</v>
      </c>
      <c r="AH1096" s="0" t="s">
        <v>2239</v>
      </c>
      <c r="AL1096" s="0" t="s">
        <v>523</v>
      </c>
    </row>
    <row r="1097" customFormat="false" ht="15" hidden="false" customHeight="false" outlineLevel="0" collapsed="false">
      <c r="A1097" s="0" t="s">
        <v>881</v>
      </c>
      <c r="B1097" s="0" t="s">
        <v>115</v>
      </c>
      <c r="C1097" s="0" t="s">
        <v>4633</v>
      </c>
      <c r="D1097" s="0" t="n">
        <v>2021</v>
      </c>
      <c r="E1097" s="0" t="s">
        <v>63</v>
      </c>
      <c r="F1097" s="0" t="n">
        <v>-7034</v>
      </c>
      <c r="G1097" s="0" t="s">
        <v>3101</v>
      </c>
      <c r="H1097" s="0" t="s">
        <v>3068</v>
      </c>
      <c r="I1097" s="0" t="n">
        <v>7034</v>
      </c>
      <c r="J1097" s="0" t="s">
        <v>4634</v>
      </c>
      <c r="K1097" s="0" t="s">
        <v>1895</v>
      </c>
      <c r="L1097" s="0" t="n">
        <v>2022</v>
      </c>
      <c r="M1097" s="0" t="s">
        <v>1896</v>
      </c>
      <c r="N1097" s="0" t="s">
        <v>123</v>
      </c>
      <c r="O1097" s="0" t="s">
        <v>2343</v>
      </c>
      <c r="P1097" s="0" t="s">
        <v>3024</v>
      </c>
      <c r="Q1097" s="0" t="n">
        <v>138</v>
      </c>
      <c r="R1097" s="0" t="n">
        <v>138</v>
      </c>
      <c r="S1097" s="0" t="n">
        <v>8</v>
      </c>
      <c r="T1097" s="0" t="s">
        <v>4660</v>
      </c>
      <c r="U1097" s="0" t="s">
        <v>4661</v>
      </c>
      <c r="V1097" s="0" t="s">
        <v>124</v>
      </c>
      <c r="W1097" s="0" t="s">
        <v>4644</v>
      </c>
      <c r="X1097" s="0" t="s">
        <v>4642</v>
      </c>
      <c r="Y1097" s="0" t="s">
        <v>4159</v>
      </c>
      <c r="Z1097" s="0" t="s">
        <v>4160</v>
      </c>
      <c r="AA1097" s="0" t="s">
        <v>4645</v>
      </c>
      <c r="AB1097" s="0" t="s">
        <v>3025</v>
      </c>
      <c r="AC1097" s="0" t="s">
        <v>4162</v>
      </c>
      <c r="AD1097" s="0" t="s">
        <v>4637</v>
      </c>
      <c r="AE1097" s="0" t="s">
        <v>1892</v>
      </c>
      <c r="AF1097" s="0" t="s">
        <v>4638</v>
      </c>
      <c r="AH1097" s="0" t="s">
        <v>4174</v>
      </c>
      <c r="AI1097" s="0" t="s">
        <v>4175</v>
      </c>
      <c r="AL1097" s="0" t="s">
        <v>523</v>
      </c>
    </row>
    <row r="1098" customFormat="false" ht="15" hidden="false" customHeight="false" outlineLevel="0" collapsed="false">
      <c r="A1098" s="0" t="s">
        <v>877</v>
      </c>
      <c r="B1098" s="0" t="s">
        <v>115</v>
      </c>
      <c r="C1098" s="0" t="s">
        <v>4633</v>
      </c>
      <c r="D1098" s="0" t="n">
        <v>2021</v>
      </c>
      <c r="E1098" s="0" t="s">
        <v>58</v>
      </c>
      <c r="F1098" s="0" t="n">
        <v>-107190</v>
      </c>
      <c r="G1098" s="0" t="s">
        <v>3101</v>
      </c>
      <c r="H1098" s="0" t="s">
        <v>3068</v>
      </c>
      <c r="I1098" s="0" t="n">
        <v>-107190</v>
      </c>
      <c r="J1098" s="0" t="s">
        <v>4634</v>
      </c>
      <c r="K1098" s="0" t="s">
        <v>1895</v>
      </c>
      <c r="L1098" s="0" t="n">
        <v>2022</v>
      </c>
      <c r="M1098" s="0" t="s">
        <v>1896</v>
      </c>
      <c r="N1098" s="0" t="s">
        <v>123</v>
      </c>
      <c r="O1098" s="0" t="s">
        <v>2343</v>
      </c>
      <c r="P1098" s="0" t="s">
        <v>3024</v>
      </c>
      <c r="Q1098" s="0" t="n">
        <v>141</v>
      </c>
      <c r="R1098" s="0" t="n">
        <v>141</v>
      </c>
      <c r="T1098" s="0" t="s">
        <v>4660</v>
      </c>
      <c r="U1098" s="0" t="s">
        <v>4661</v>
      </c>
      <c r="V1098" s="0" t="s">
        <v>124</v>
      </c>
      <c r="W1098" s="0" t="s">
        <v>4646</v>
      </c>
      <c r="X1098" s="0" t="s">
        <v>4647</v>
      </c>
      <c r="Y1098" s="0" t="s">
        <v>4159</v>
      </c>
      <c r="Z1098" s="0" t="s">
        <v>4160</v>
      </c>
      <c r="AB1098" s="0" t="s">
        <v>3025</v>
      </c>
      <c r="AC1098" s="0" t="s">
        <v>4162</v>
      </c>
      <c r="AD1098" s="0" t="s">
        <v>4637</v>
      </c>
      <c r="AE1098" s="0" t="s">
        <v>1892</v>
      </c>
      <c r="AF1098" s="0" t="s">
        <v>4638</v>
      </c>
      <c r="AH1098" s="0" t="s">
        <v>2239</v>
      </c>
      <c r="AL1098" s="0" t="s">
        <v>523</v>
      </c>
    </row>
    <row r="1099" customFormat="false" ht="15" hidden="false" customHeight="false" outlineLevel="0" collapsed="false">
      <c r="A1099" s="0" t="s">
        <v>878</v>
      </c>
      <c r="B1099" s="0" t="s">
        <v>115</v>
      </c>
      <c r="C1099" s="0" t="s">
        <v>4633</v>
      </c>
      <c r="D1099" s="0" t="n">
        <v>2021</v>
      </c>
      <c r="E1099" s="0" t="s">
        <v>60</v>
      </c>
      <c r="F1099" s="0" t="n">
        <v>1732543</v>
      </c>
      <c r="G1099" s="0" t="s">
        <v>3101</v>
      </c>
      <c r="H1099" s="0" t="s">
        <v>3068</v>
      </c>
      <c r="I1099" s="0" t="n">
        <v>1732543</v>
      </c>
      <c r="J1099" s="0" t="s">
        <v>4634</v>
      </c>
      <c r="K1099" s="0" t="s">
        <v>1895</v>
      </c>
      <c r="L1099" s="0" t="n">
        <v>2022</v>
      </c>
      <c r="M1099" s="0" t="s">
        <v>1896</v>
      </c>
      <c r="N1099" s="0" t="s">
        <v>123</v>
      </c>
      <c r="O1099" s="0" t="s">
        <v>2343</v>
      </c>
      <c r="P1099" s="0" t="s">
        <v>3024</v>
      </c>
      <c r="Q1099" s="0" t="n">
        <v>225</v>
      </c>
      <c r="R1099" s="0" t="n">
        <v>225</v>
      </c>
      <c r="S1099" s="0" t="n">
        <v>22</v>
      </c>
      <c r="T1099" s="0" t="s">
        <v>4660</v>
      </c>
      <c r="U1099" s="0" t="s">
        <v>4661</v>
      </c>
      <c r="V1099" s="0" t="s">
        <v>124</v>
      </c>
      <c r="W1099" s="0" t="s">
        <v>4648</v>
      </c>
      <c r="X1099" s="0" t="s">
        <v>4649</v>
      </c>
      <c r="Y1099" s="0" t="s">
        <v>4159</v>
      </c>
      <c r="Z1099" s="0" t="s">
        <v>4160</v>
      </c>
      <c r="AA1099" s="0" t="s">
        <v>4650</v>
      </c>
      <c r="AB1099" s="0" t="s">
        <v>3025</v>
      </c>
      <c r="AC1099" s="0" t="s">
        <v>4162</v>
      </c>
      <c r="AD1099" s="0" t="s">
        <v>4637</v>
      </c>
      <c r="AE1099" s="0" t="s">
        <v>1892</v>
      </c>
      <c r="AF1099" s="0" t="s">
        <v>4638</v>
      </c>
      <c r="AH1099" s="0" t="s">
        <v>2239</v>
      </c>
      <c r="AL1099" s="0" t="s">
        <v>523</v>
      </c>
    </row>
    <row r="1100" customFormat="false" ht="15" hidden="false" customHeight="false" outlineLevel="0" collapsed="false">
      <c r="A1100" s="0" t="s">
        <v>879</v>
      </c>
      <c r="B1100" s="0" t="s">
        <v>115</v>
      </c>
      <c r="C1100" s="0" t="s">
        <v>4633</v>
      </c>
      <c r="D1100" s="0" t="n">
        <v>2021</v>
      </c>
      <c r="E1100" s="0" t="s">
        <v>61</v>
      </c>
      <c r="F1100" s="0" t="n">
        <v>-74131</v>
      </c>
      <c r="G1100" s="0" t="s">
        <v>3101</v>
      </c>
      <c r="H1100" s="0" t="s">
        <v>3068</v>
      </c>
      <c r="I1100" s="0" t="n">
        <v>74131</v>
      </c>
      <c r="J1100" s="0" t="s">
        <v>4634</v>
      </c>
      <c r="K1100" s="0" t="s">
        <v>1895</v>
      </c>
      <c r="L1100" s="0" t="n">
        <v>2022</v>
      </c>
      <c r="M1100" s="0" t="s">
        <v>1896</v>
      </c>
      <c r="N1100" s="0" t="s">
        <v>123</v>
      </c>
      <c r="O1100" s="0" t="s">
        <v>2343</v>
      </c>
      <c r="P1100" s="0" t="s">
        <v>3024</v>
      </c>
      <c r="Q1100" s="0" t="n">
        <v>225</v>
      </c>
      <c r="R1100" s="0" t="n">
        <v>225</v>
      </c>
      <c r="S1100" s="0" t="n">
        <v>22</v>
      </c>
      <c r="T1100" s="0" t="s">
        <v>4660</v>
      </c>
      <c r="U1100" s="0" t="s">
        <v>4661</v>
      </c>
      <c r="V1100" s="0" t="s">
        <v>124</v>
      </c>
      <c r="W1100" s="0" t="s">
        <v>4651</v>
      </c>
      <c r="X1100" s="0" t="s">
        <v>4649</v>
      </c>
      <c r="Y1100" s="0" t="s">
        <v>4159</v>
      </c>
      <c r="Z1100" s="0" t="s">
        <v>4160</v>
      </c>
      <c r="AA1100" s="0" t="s">
        <v>4242</v>
      </c>
      <c r="AB1100" s="0" t="s">
        <v>3025</v>
      </c>
      <c r="AC1100" s="0" t="s">
        <v>4162</v>
      </c>
      <c r="AD1100" s="0" t="s">
        <v>4637</v>
      </c>
      <c r="AE1100" s="0" t="s">
        <v>1892</v>
      </c>
      <c r="AF1100" s="0" t="s">
        <v>4638</v>
      </c>
      <c r="AH1100" s="0" t="s">
        <v>4174</v>
      </c>
      <c r="AI1100" s="0" t="s">
        <v>4184</v>
      </c>
      <c r="AL1100" s="0" t="s">
        <v>523</v>
      </c>
    </row>
    <row r="1101" customFormat="false" ht="15" hidden="false" customHeight="false" outlineLevel="0" collapsed="false">
      <c r="A1101" s="0" t="s">
        <v>880</v>
      </c>
      <c r="B1101" s="0" t="s">
        <v>115</v>
      </c>
      <c r="C1101" s="0" t="s">
        <v>4633</v>
      </c>
      <c r="D1101" s="0" t="n">
        <v>2021</v>
      </c>
      <c r="E1101" s="0" t="s">
        <v>62</v>
      </c>
      <c r="F1101" s="0" t="n">
        <v>1658412</v>
      </c>
      <c r="G1101" s="0" t="s">
        <v>3101</v>
      </c>
      <c r="H1101" s="0" t="s">
        <v>3068</v>
      </c>
      <c r="I1101" s="0" t="n">
        <v>1658412</v>
      </c>
      <c r="J1101" s="0" t="s">
        <v>4634</v>
      </c>
      <c r="K1101" s="0" t="s">
        <v>1895</v>
      </c>
      <c r="L1101" s="0" t="n">
        <v>2022</v>
      </c>
      <c r="M1101" s="0" t="s">
        <v>1896</v>
      </c>
      <c r="N1101" s="0" t="s">
        <v>123</v>
      </c>
      <c r="O1101" s="0" t="s">
        <v>2343</v>
      </c>
      <c r="P1101" s="0" t="s">
        <v>3024</v>
      </c>
      <c r="Q1101" s="0" t="n">
        <v>225</v>
      </c>
      <c r="R1101" s="0" t="n">
        <v>225</v>
      </c>
      <c r="S1101" s="0" t="n">
        <v>22</v>
      </c>
      <c r="T1101" s="0" t="s">
        <v>4660</v>
      </c>
      <c r="U1101" s="0" t="s">
        <v>4661</v>
      </c>
      <c r="V1101" s="0" t="s">
        <v>124</v>
      </c>
      <c r="W1101" s="0" t="s">
        <v>4652</v>
      </c>
      <c r="X1101" s="0" t="s">
        <v>4649</v>
      </c>
      <c r="Y1101" s="0" t="s">
        <v>4159</v>
      </c>
      <c r="Z1101" s="0" t="s">
        <v>4160</v>
      </c>
      <c r="AA1101" s="0" t="s">
        <v>4506</v>
      </c>
      <c r="AB1101" s="0" t="s">
        <v>3025</v>
      </c>
      <c r="AC1101" s="0" t="s">
        <v>4162</v>
      </c>
      <c r="AD1101" s="0" t="s">
        <v>4637</v>
      </c>
      <c r="AE1101" s="0" t="s">
        <v>1892</v>
      </c>
      <c r="AF1101" s="0" t="s">
        <v>4638</v>
      </c>
      <c r="AH1101" s="0" t="s">
        <v>2239</v>
      </c>
      <c r="AL1101" s="0" t="s">
        <v>523</v>
      </c>
    </row>
    <row r="1102" customFormat="false" ht="15" hidden="false" customHeight="false" outlineLevel="0" collapsed="false">
      <c r="A1102" s="0" t="s">
        <v>884</v>
      </c>
      <c r="B1102" s="0" t="s">
        <v>115</v>
      </c>
      <c r="C1102" s="0" t="s">
        <v>4633</v>
      </c>
      <c r="D1102" s="0" t="n">
        <v>2021</v>
      </c>
      <c r="E1102" s="0" t="s">
        <v>65</v>
      </c>
      <c r="F1102" s="0" t="n">
        <v>292323</v>
      </c>
      <c r="G1102" s="0" t="s">
        <v>3101</v>
      </c>
      <c r="H1102" s="0" t="s">
        <v>3068</v>
      </c>
      <c r="I1102" s="0" t="n">
        <v>292323</v>
      </c>
      <c r="J1102" s="0" t="s">
        <v>4634</v>
      </c>
      <c r="K1102" s="0" t="s">
        <v>1895</v>
      </c>
      <c r="L1102" s="0" t="n">
        <v>2022</v>
      </c>
      <c r="M1102" s="0" t="s">
        <v>1896</v>
      </c>
      <c r="N1102" s="0" t="s">
        <v>123</v>
      </c>
      <c r="O1102" s="0" t="s">
        <v>2343</v>
      </c>
      <c r="P1102" s="0" t="s">
        <v>3024</v>
      </c>
      <c r="Q1102" s="0" t="n">
        <v>209</v>
      </c>
      <c r="R1102" s="0" t="n">
        <v>209</v>
      </c>
      <c r="T1102" s="0" t="s">
        <v>4660</v>
      </c>
      <c r="U1102" s="0" t="s">
        <v>4661</v>
      </c>
      <c r="V1102" s="0" t="s">
        <v>124</v>
      </c>
      <c r="W1102" s="0" t="s">
        <v>4653</v>
      </c>
      <c r="X1102" s="0" t="s">
        <v>4654</v>
      </c>
      <c r="Y1102" s="0" t="s">
        <v>4159</v>
      </c>
      <c r="Z1102" s="0" t="s">
        <v>4160</v>
      </c>
      <c r="AA1102" s="0" t="s">
        <v>4655</v>
      </c>
      <c r="AB1102" s="0" t="s">
        <v>3025</v>
      </c>
      <c r="AC1102" s="0" t="s">
        <v>4162</v>
      </c>
      <c r="AD1102" s="0" t="s">
        <v>4637</v>
      </c>
      <c r="AE1102" s="0" t="s">
        <v>1892</v>
      </c>
      <c r="AF1102" s="0" t="s">
        <v>4638</v>
      </c>
      <c r="AH1102" s="0" t="s">
        <v>2239</v>
      </c>
      <c r="AL1102" s="0" t="s">
        <v>523</v>
      </c>
    </row>
    <row r="1103" customFormat="false" ht="15" hidden="false" customHeight="false" outlineLevel="0" collapsed="false">
      <c r="A1103" s="0" t="s">
        <v>885</v>
      </c>
      <c r="B1103" s="0" t="s">
        <v>115</v>
      </c>
      <c r="C1103" s="0" t="s">
        <v>4633</v>
      </c>
      <c r="D1103" s="0" t="n">
        <v>2021</v>
      </c>
      <c r="E1103" s="0" t="s">
        <v>66</v>
      </c>
      <c r="F1103" s="0" t="n">
        <v>1526722</v>
      </c>
      <c r="G1103" s="0" t="s">
        <v>3101</v>
      </c>
      <c r="H1103" s="0" t="s">
        <v>3068</v>
      </c>
      <c r="I1103" s="0" t="n">
        <v>1526722</v>
      </c>
      <c r="J1103" s="0" t="s">
        <v>4634</v>
      </c>
      <c r="K1103" s="0" t="s">
        <v>1895</v>
      </c>
      <c r="L1103" s="0" t="n">
        <v>2022</v>
      </c>
      <c r="M1103" s="0" t="s">
        <v>1896</v>
      </c>
      <c r="N1103" s="0" t="s">
        <v>123</v>
      </c>
      <c r="O1103" s="0" t="s">
        <v>2343</v>
      </c>
      <c r="P1103" s="0" t="s">
        <v>3024</v>
      </c>
      <c r="Q1103" s="0" t="n">
        <v>209</v>
      </c>
      <c r="R1103" s="0" t="n">
        <v>209</v>
      </c>
      <c r="T1103" s="0" t="s">
        <v>4660</v>
      </c>
      <c r="U1103" s="0" t="s">
        <v>4661</v>
      </c>
      <c r="V1103" s="0" t="s">
        <v>124</v>
      </c>
      <c r="W1103" s="0" t="s">
        <v>4656</v>
      </c>
      <c r="X1103" s="0" t="s">
        <v>4654</v>
      </c>
      <c r="Y1103" s="0" t="s">
        <v>4159</v>
      </c>
      <c r="Z1103" s="0" t="s">
        <v>4160</v>
      </c>
      <c r="AB1103" s="0" t="s">
        <v>3025</v>
      </c>
      <c r="AC1103" s="0" t="s">
        <v>4162</v>
      </c>
      <c r="AD1103" s="0" t="s">
        <v>4637</v>
      </c>
      <c r="AE1103" s="0" t="s">
        <v>1892</v>
      </c>
      <c r="AF1103" s="0" t="s">
        <v>4638</v>
      </c>
      <c r="AH1103" s="0" t="s">
        <v>2239</v>
      </c>
      <c r="AL1103" s="0" t="s">
        <v>523</v>
      </c>
    </row>
    <row r="1104" customFormat="false" ht="15" hidden="false" customHeight="false" outlineLevel="0" collapsed="false">
      <c r="A1104" s="0" t="s">
        <v>882</v>
      </c>
      <c r="B1104" s="0" t="s">
        <v>115</v>
      </c>
      <c r="C1104" s="0" t="s">
        <v>4633</v>
      </c>
      <c r="D1104" s="0" t="n">
        <v>2021</v>
      </c>
      <c r="E1104" s="0" t="s">
        <v>69</v>
      </c>
      <c r="F1104" s="0" t="s">
        <v>4662</v>
      </c>
      <c r="G1104" s="0" t="s">
        <v>3143</v>
      </c>
      <c r="I1104" s="0" t="n">
        <v>19.15</v>
      </c>
      <c r="J1104" s="0" t="s">
        <v>4634</v>
      </c>
      <c r="K1104" s="0" t="s">
        <v>1895</v>
      </c>
      <c r="L1104" s="0" t="n">
        <v>2022</v>
      </c>
      <c r="M1104" s="0" t="s">
        <v>1896</v>
      </c>
      <c r="N1104" s="0" t="s">
        <v>123</v>
      </c>
      <c r="O1104" s="0" t="s">
        <v>2343</v>
      </c>
      <c r="P1104" s="0" t="s">
        <v>3024</v>
      </c>
      <c r="Q1104" s="0" t="n">
        <v>209</v>
      </c>
      <c r="R1104" s="0" t="n">
        <v>209</v>
      </c>
      <c r="T1104" s="0" t="s">
        <v>4660</v>
      </c>
      <c r="U1104" s="0" t="s">
        <v>4661</v>
      </c>
      <c r="V1104" s="0" t="s">
        <v>124</v>
      </c>
      <c r="W1104" s="0" t="s">
        <v>4658</v>
      </c>
      <c r="X1104" s="0" t="s">
        <v>4654</v>
      </c>
      <c r="Y1104" s="0" t="s">
        <v>4159</v>
      </c>
      <c r="Z1104" s="0" t="s">
        <v>4160</v>
      </c>
      <c r="AB1104" s="0" t="s">
        <v>3025</v>
      </c>
      <c r="AC1104" s="0" t="s">
        <v>4162</v>
      </c>
      <c r="AD1104" s="0" t="s">
        <v>4637</v>
      </c>
      <c r="AE1104" s="0" t="s">
        <v>1892</v>
      </c>
      <c r="AF1104" s="0" t="s">
        <v>4638</v>
      </c>
      <c r="AH1104" s="0" t="s">
        <v>2239</v>
      </c>
      <c r="AL1104" s="0" t="s">
        <v>523</v>
      </c>
    </row>
    <row r="1105" customFormat="false" ht="15" hidden="false" customHeight="false" outlineLevel="0" collapsed="false">
      <c r="A1105" s="0" t="s">
        <v>883</v>
      </c>
      <c r="B1105" s="0" t="s">
        <v>115</v>
      </c>
      <c r="C1105" s="0" t="s">
        <v>4633</v>
      </c>
      <c r="D1105" s="0" t="n">
        <v>2021</v>
      </c>
      <c r="E1105" s="0" t="s">
        <v>70</v>
      </c>
      <c r="F1105" s="0" t="s">
        <v>4253</v>
      </c>
      <c r="G1105" s="0" t="s">
        <v>3143</v>
      </c>
      <c r="I1105" s="0" t="n">
        <v>15</v>
      </c>
      <c r="J1105" s="0" t="s">
        <v>4634</v>
      </c>
      <c r="K1105" s="0" t="s">
        <v>1895</v>
      </c>
      <c r="L1105" s="0" t="n">
        <v>2022</v>
      </c>
      <c r="M1105" s="0" t="s">
        <v>1896</v>
      </c>
      <c r="N1105" s="0" t="s">
        <v>123</v>
      </c>
      <c r="O1105" s="0" t="s">
        <v>2343</v>
      </c>
      <c r="P1105" s="0" t="s">
        <v>3024</v>
      </c>
      <c r="Q1105" s="0" t="n">
        <v>209</v>
      </c>
      <c r="R1105" s="0" t="n">
        <v>209</v>
      </c>
      <c r="T1105" s="0" t="s">
        <v>4660</v>
      </c>
      <c r="U1105" s="0" t="s">
        <v>4661</v>
      </c>
      <c r="V1105" s="0" t="s">
        <v>124</v>
      </c>
      <c r="W1105" s="0" t="s">
        <v>4659</v>
      </c>
      <c r="X1105" s="0" t="s">
        <v>4654</v>
      </c>
      <c r="Y1105" s="0" t="s">
        <v>4159</v>
      </c>
      <c r="Z1105" s="0" t="s">
        <v>4160</v>
      </c>
      <c r="AB1105" s="0" t="s">
        <v>3025</v>
      </c>
      <c r="AC1105" s="0" t="s">
        <v>4162</v>
      </c>
      <c r="AD1105" s="0" t="s">
        <v>4637</v>
      </c>
      <c r="AE1105" s="0" t="s">
        <v>1892</v>
      </c>
      <c r="AF1105" s="0" t="s">
        <v>4638</v>
      </c>
      <c r="AH1105" s="0" t="s">
        <v>2239</v>
      </c>
      <c r="AL1105" s="0" t="s">
        <v>523</v>
      </c>
    </row>
    <row r="1106" customFormat="false" ht="15" hidden="false" customHeight="false" outlineLevel="0" collapsed="false">
      <c r="A1106" s="0" t="s">
        <v>892</v>
      </c>
      <c r="B1106" s="0" t="s">
        <v>115</v>
      </c>
      <c r="C1106" s="0" t="s">
        <v>4633</v>
      </c>
      <c r="D1106" s="0" t="n">
        <v>2022</v>
      </c>
      <c r="E1106" s="0" t="s">
        <v>59</v>
      </c>
      <c r="F1106" s="0" t="n">
        <v>3280454</v>
      </c>
      <c r="G1106" s="0" t="s">
        <v>3101</v>
      </c>
      <c r="H1106" s="0" t="s">
        <v>3068</v>
      </c>
      <c r="I1106" s="0" t="n">
        <v>3280454</v>
      </c>
      <c r="J1106" s="0" t="s">
        <v>4634</v>
      </c>
      <c r="K1106" s="0" t="s">
        <v>1895</v>
      </c>
      <c r="L1106" s="0" t="n">
        <v>2022</v>
      </c>
      <c r="M1106" s="0" t="s">
        <v>1896</v>
      </c>
      <c r="N1106" s="0" t="s">
        <v>123</v>
      </c>
      <c r="O1106" s="0" t="s">
        <v>2343</v>
      </c>
      <c r="P1106" s="0" t="s">
        <v>3024</v>
      </c>
      <c r="Q1106" s="0" t="n">
        <v>139</v>
      </c>
      <c r="R1106" s="0" t="n">
        <v>139</v>
      </c>
      <c r="T1106" s="0" t="s">
        <v>4660</v>
      </c>
      <c r="U1106" s="0" t="s">
        <v>4265</v>
      </c>
      <c r="V1106" s="0" t="s">
        <v>114</v>
      </c>
      <c r="W1106" s="0" t="s">
        <v>4635</v>
      </c>
      <c r="X1106" s="0" t="s">
        <v>4636</v>
      </c>
      <c r="Y1106" s="0" t="s">
        <v>4159</v>
      </c>
      <c r="Z1106" s="0" t="s">
        <v>4160</v>
      </c>
      <c r="AA1106" s="0" t="s">
        <v>4663</v>
      </c>
      <c r="AB1106" s="0" t="s">
        <v>3025</v>
      </c>
      <c r="AC1106" s="0" t="s">
        <v>4162</v>
      </c>
      <c r="AD1106" s="0" t="s">
        <v>4637</v>
      </c>
      <c r="AE1106" s="0" t="s">
        <v>1892</v>
      </c>
      <c r="AF1106" s="0" t="s">
        <v>4638</v>
      </c>
      <c r="AH1106" s="0" t="s">
        <v>2239</v>
      </c>
      <c r="AL1106" s="0" t="s">
        <v>523</v>
      </c>
    </row>
    <row r="1107" customFormat="false" ht="15" hidden="false" customHeight="false" outlineLevel="0" collapsed="false">
      <c r="A1107" s="0" t="s">
        <v>364</v>
      </c>
      <c r="B1107" s="0" t="s">
        <v>187</v>
      </c>
      <c r="C1107" s="0" t="s">
        <v>4206</v>
      </c>
      <c r="D1107" s="0" t="n">
        <v>2018</v>
      </c>
      <c r="E1107" s="0" t="s">
        <v>73</v>
      </c>
      <c r="F1107" s="0" t="n">
        <v>0</v>
      </c>
      <c r="G1107" s="0" t="s">
        <v>4257</v>
      </c>
      <c r="I1107" s="0" t="n">
        <v>0</v>
      </c>
      <c r="J1107" s="0" t="s">
        <v>4258</v>
      </c>
      <c r="K1107" s="0" t="s">
        <v>1850</v>
      </c>
      <c r="L1107" s="0" t="n">
        <v>2018</v>
      </c>
      <c r="M1107" s="0" t="s">
        <v>1851</v>
      </c>
      <c r="N1107" s="0" t="s">
        <v>191</v>
      </c>
      <c r="O1107" s="0" t="s">
        <v>2410</v>
      </c>
      <c r="P1107" s="0" t="s">
        <v>2982</v>
      </c>
      <c r="Q1107" s="0" t="n">
        <v>56</v>
      </c>
      <c r="S1107" s="0" t="s">
        <v>4664</v>
      </c>
      <c r="T1107" s="0" t="s">
        <v>4665</v>
      </c>
      <c r="U1107" s="0" t="s">
        <v>4666</v>
      </c>
      <c r="V1107" s="0" t="s">
        <v>1053</v>
      </c>
      <c r="W1107" s="0" t="s">
        <v>4351</v>
      </c>
      <c r="X1107" s="0" t="s">
        <v>4667</v>
      </c>
      <c r="Y1107" s="0" t="s">
        <v>4212</v>
      </c>
      <c r="Z1107" s="0" t="s">
        <v>4160</v>
      </c>
      <c r="AA1107" s="0" t="s">
        <v>4668</v>
      </c>
      <c r="AB1107" s="0" t="s">
        <v>2983</v>
      </c>
      <c r="AC1107" s="0" t="s">
        <v>4162</v>
      </c>
      <c r="AD1107" s="0" t="s">
        <v>4163</v>
      </c>
      <c r="AG1107" s="0" t="s">
        <v>1828</v>
      </c>
      <c r="AH1107" s="0" t="s">
        <v>2239</v>
      </c>
      <c r="AL1107" s="0" t="s">
        <v>539</v>
      </c>
    </row>
    <row r="1108" customFormat="false" ht="15" hidden="false" customHeight="false" outlineLevel="0" collapsed="false">
      <c r="A1108" s="0" t="s">
        <v>366</v>
      </c>
      <c r="B1108" s="0" t="s">
        <v>187</v>
      </c>
      <c r="C1108" s="0" t="s">
        <v>4206</v>
      </c>
      <c r="D1108" s="0" t="n">
        <v>2020</v>
      </c>
      <c r="E1108" s="0" t="s">
        <v>73</v>
      </c>
      <c r="F1108" s="0" t="n">
        <v>0</v>
      </c>
      <c r="G1108" s="0" t="s">
        <v>4257</v>
      </c>
      <c r="I1108" s="0" t="n">
        <v>0</v>
      </c>
      <c r="J1108" s="0" t="s">
        <v>4258</v>
      </c>
      <c r="K1108" s="0" t="s">
        <v>1858</v>
      </c>
      <c r="L1108" s="0" t="n">
        <v>2020</v>
      </c>
      <c r="M1108" s="0" t="s">
        <v>1859</v>
      </c>
      <c r="N1108" s="0" t="s">
        <v>195</v>
      </c>
      <c r="O1108" s="0" t="s">
        <v>2378</v>
      </c>
      <c r="P1108" s="0" t="s">
        <v>2984</v>
      </c>
      <c r="Q1108" s="0" t="n">
        <v>47</v>
      </c>
      <c r="S1108" s="0" t="s">
        <v>4664</v>
      </c>
      <c r="T1108" s="0" t="s">
        <v>4669</v>
      </c>
      <c r="U1108" s="0" t="s">
        <v>4670</v>
      </c>
      <c r="V1108" s="0" t="s">
        <v>1368</v>
      </c>
      <c r="W1108" s="0" t="s">
        <v>4351</v>
      </c>
      <c r="X1108" s="0" t="s">
        <v>4671</v>
      </c>
      <c r="Y1108" s="0" t="s">
        <v>4212</v>
      </c>
      <c r="Z1108" s="0" t="s">
        <v>4160</v>
      </c>
      <c r="AA1108" s="0" t="s">
        <v>4672</v>
      </c>
      <c r="AB1108" s="0" t="s">
        <v>2983</v>
      </c>
      <c r="AC1108" s="0" t="s">
        <v>4162</v>
      </c>
      <c r="AD1108" s="0" t="s">
        <v>4163</v>
      </c>
      <c r="AG1108" s="0" t="s">
        <v>1828</v>
      </c>
      <c r="AH1108" s="0" t="s">
        <v>2239</v>
      </c>
      <c r="AL1108" s="0" t="s">
        <v>539</v>
      </c>
    </row>
    <row r="1109" customFormat="false" ht="15" hidden="false" customHeight="false" outlineLevel="0" collapsed="false">
      <c r="A1109" s="0" t="s">
        <v>367</v>
      </c>
      <c r="B1109" s="0" t="s">
        <v>187</v>
      </c>
      <c r="C1109" s="0" t="s">
        <v>4206</v>
      </c>
      <c r="D1109" s="0" t="n">
        <v>2022</v>
      </c>
      <c r="E1109" s="0" t="s">
        <v>73</v>
      </c>
      <c r="F1109" s="0" t="n">
        <v>0</v>
      </c>
      <c r="G1109" s="0" t="s">
        <v>4257</v>
      </c>
      <c r="I1109" s="0" t="n">
        <v>0</v>
      </c>
      <c r="J1109" s="0" t="s">
        <v>4258</v>
      </c>
      <c r="K1109" s="0" t="s">
        <v>1865</v>
      </c>
      <c r="L1109" s="0" t="n">
        <v>2022</v>
      </c>
      <c r="M1109" s="0" t="s">
        <v>1866</v>
      </c>
      <c r="N1109" s="0" t="s">
        <v>198</v>
      </c>
      <c r="O1109" s="0" t="s">
        <v>2369</v>
      </c>
      <c r="P1109" s="0" t="s">
        <v>2985</v>
      </c>
      <c r="Q1109" s="0" t="n">
        <v>52</v>
      </c>
      <c r="S1109" s="0" t="s">
        <v>4664</v>
      </c>
      <c r="T1109" s="0" t="s">
        <v>4673</v>
      </c>
      <c r="U1109" s="0" t="s">
        <v>4674</v>
      </c>
      <c r="V1109" s="0" t="s">
        <v>901</v>
      </c>
      <c r="W1109" s="0" t="s">
        <v>4351</v>
      </c>
      <c r="X1109" s="0" t="s">
        <v>4675</v>
      </c>
      <c r="Y1109" s="0" t="s">
        <v>4212</v>
      </c>
      <c r="Z1109" s="0" t="s">
        <v>4160</v>
      </c>
      <c r="AA1109" s="0" t="s">
        <v>4676</v>
      </c>
      <c r="AB1109" s="0" t="s">
        <v>2986</v>
      </c>
      <c r="AC1109" s="0" t="s">
        <v>4162</v>
      </c>
      <c r="AD1109" s="0" t="s">
        <v>4163</v>
      </c>
      <c r="AG1109" s="0" t="s">
        <v>1828</v>
      </c>
      <c r="AH1109" s="0" t="s">
        <v>2239</v>
      </c>
      <c r="AL1109" s="0" t="s">
        <v>539</v>
      </c>
    </row>
    <row r="1110" customFormat="false" ht="15" hidden="false" customHeight="false" outlineLevel="0" collapsed="false">
      <c r="A1110" s="0" t="s">
        <v>368</v>
      </c>
      <c r="B1110" s="0" t="s">
        <v>211</v>
      </c>
      <c r="C1110" s="0" t="s">
        <v>4154</v>
      </c>
      <c r="D1110" s="0" t="n">
        <v>2016</v>
      </c>
      <c r="E1110" s="0" t="s">
        <v>73</v>
      </c>
      <c r="F1110" s="0" t="n">
        <v>0</v>
      </c>
      <c r="G1110" s="0" t="s">
        <v>4257</v>
      </c>
      <c r="I1110" s="0" t="n">
        <v>0</v>
      </c>
      <c r="J1110" s="0" t="s">
        <v>4258</v>
      </c>
      <c r="K1110" s="0" t="s">
        <v>1870</v>
      </c>
      <c r="L1110" s="0" t="n">
        <v>2016</v>
      </c>
      <c r="M1110" s="0" t="s">
        <v>1871</v>
      </c>
      <c r="N1110" s="0" t="s">
        <v>216</v>
      </c>
      <c r="O1110" s="0" t="s">
        <v>2411</v>
      </c>
      <c r="P1110" s="0" t="s">
        <v>2991</v>
      </c>
      <c r="Q1110" s="0" t="n">
        <v>58</v>
      </c>
      <c r="S1110" s="0" t="s">
        <v>4664</v>
      </c>
      <c r="T1110" s="0" t="s">
        <v>4677</v>
      </c>
      <c r="U1110" s="0" t="s">
        <v>4678</v>
      </c>
      <c r="V1110" s="0" t="s">
        <v>1490</v>
      </c>
      <c r="W1110" s="0" t="s">
        <v>4351</v>
      </c>
      <c r="X1110" s="0" t="s">
        <v>4679</v>
      </c>
      <c r="Y1110" s="0" t="s">
        <v>4212</v>
      </c>
      <c r="Z1110" s="0" t="s">
        <v>4160</v>
      </c>
      <c r="AA1110" s="0" t="s">
        <v>4680</v>
      </c>
      <c r="AB1110" s="0" t="s">
        <v>2990</v>
      </c>
      <c r="AC1110" s="0" t="s">
        <v>4162</v>
      </c>
      <c r="AD1110" s="0" t="s">
        <v>4163</v>
      </c>
      <c r="AG1110" s="0" t="s">
        <v>1828</v>
      </c>
      <c r="AH1110" s="0" t="s">
        <v>2239</v>
      </c>
      <c r="AL1110" s="0" t="s">
        <v>539</v>
      </c>
    </row>
    <row r="1111" customFormat="false" ht="15" hidden="false" customHeight="false" outlineLevel="0" collapsed="false">
      <c r="A1111" s="0" t="s">
        <v>369</v>
      </c>
      <c r="B1111" s="0" t="s">
        <v>211</v>
      </c>
      <c r="C1111" s="0" t="s">
        <v>4154</v>
      </c>
      <c r="D1111" s="0" t="n">
        <v>2020</v>
      </c>
      <c r="E1111" s="0" t="s">
        <v>73</v>
      </c>
      <c r="F1111" s="0" t="n">
        <v>0</v>
      </c>
      <c r="G1111" s="0" t="s">
        <v>4257</v>
      </c>
      <c r="I1111" s="0" t="n">
        <v>0</v>
      </c>
      <c r="J1111" s="0" t="s">
        <v>4258</v>
      </c>
      <c r="K1111" s="0" t="s">
        <v>1876</v>
      </c>
      <c r="L1111" s="0" t="n">
        <v>2020</v>
      </c>
      <c r="M1111" s="0" t="s">
        <v>1877</v>
      </c>
      <c r="N1111" s="0" t="s">
        <v>218</v>
      </c>
      <c r="O1111" s="0" t="s">
        <v>2396</v>
      </c>
      <c r="P1111" s="0" t="s">
        <v>2994</v>
      </c>
      <c r="Q1111" s="0" t="n">
        <v>28</v>
      </c>
      <c r="S1111" s="0" t="s">
        <v>4664</v>
      </c>
      <c r="T1111" s="0" t="s">
        <v>4681</v>
      </c>
      <c r="U1111" s="0" t="s">
        <v>4670</v>
      </c>
      <c r="V1111" s="0" t="s">
        <v>1368</v>
      </c>
      <c r="W1111" s="0" t="s">
        <v>4351</v>
      </c>
      <c r="X1111" s="0" t="s">
        <v>4682</v>
      </c>
      <c r="Y1111" s="0" t="s">
        <v>4212</v>
      </c>
      <c r="Z1111" s="0" t="s">
        <v>4160</v>
      </c>
      <c r="AA1111" s="0" t="s">
        <v>4683</v>
      </c>
      <c r="AB1111" s="0" t="s">
        <v>2995</v>
      </c>
      <c r="AC1111" s="0" t="s">
        <v>4162</v>
      </c>
      <c r="AD1111" s="0" t="s">
        <v>4163</v>
      </c>
      <c r="AG1111" s="0" t="s">
        <v>1828</v>
      </c>
      <c r="AH1111" s="0" t="s">
        <v>2239</v>
      </c>
      <c r="AL1111" s="0" t="s">
        <v>539</v>
      </c>
    </row>
    <row r="1112" customFormat="false" ht="15" hidden="false" customHeight="false" outlineLevel="0" collapsed="false">
      <c r="A1112" s="0" t="s">
        <v>370</v>
      </c>
      <c r="B1112" s="0" t="s">
        <v>211</v>
      </c>
      <c r="C1112" s="0" t="s">
        <v>4154</v>
      </c>
      <c r="D1112" s="0" t="n">
        <v>2022</v>
      </c>
      <c r="E1112" s="0" t="s">
        <v>73</v>
      </c>
      <c r="F1112" s="0" t="n">
        <v>0</v>
      </c>
      <c r="G1112" s="0" t="s">
        <v>4257</v>
      </c>
      <c r="I1112" s="0" t="n">
        <v>0</v>
      </c>
      <c r="J1112" s="0" t="s">
        <v>4258</v>
      </c>
      <c r="K1112" s="0" t="s">
        <v>1883</v>
      </c>
      <c r="L1112" s="0" t="n">
        <v>2022</v>
      </c>
      <c r="M1112" s="0" t="s">
        <v>1884</v>
      </c>
      <c r="N1112" s="0" t="s">
        <v>219</v>
      </c>
      <c r="O1112" s="0" t="s">
        <v>2352</v>
      </c>
      <c r="P1112" s="0" t="s">
        <v>3028</v>
      </c>
      <c r="Q1112" s="0" t="n">
        <v>109</v>
      </c>
      <c r="S1112" s="0" t="s">
        <v>4664</v>
      </c>
      <c r="T1112" s="0" t="s">
        <v>4684</v>
      </c>
      <c r="U1112" s="0" t="s">
        <v>4674</v>
      </c>
      <c r="V1112" s="0" t="s">
        <v>901</v>
      </c>
      <c r="W1112" s="0" t="s">
        <v>4351</v>
      </c>
      <c r="X1112" s="0" t="s">
        <v>4685</v>
      </c>
      <c r="Y1112" s="0" t="s">
        <v>4212</v>
      </c>
      <c r="Z1112" s="0" t="s">
        <v>4160</v>
      </c>
      <c r="AA1112" s="0" t="s">
        <v>4686</v>
      </c>
      <c r="AB1112" s="0" t="s">
        <v>3029</v>
      </c>
      <c r="AC1112" s="0" t="s">
        <v>4162</v>
      </c>
      <c r="AD1112" s="0" t="s">
        <v>4163</v>
      </c>
      <c r="AG1112" s="0" t="s">
        <v>1828</v>
      </c>
      <c r="AH1112" s="0" t="s">
        <v>2239</v>
      </c>
      <c r="AL1112" s="0" t="s">
        <v>539</v>
      </c>
    </row>
    <row r="1113" customFormat="false" ht="15" hidden="false" customHeight="false" outlineLevel="0" collapsed="false">
      <c r="A1113" s="0" t="s">
        <v>371</v>
      </c>
      <c r="B1113" s="0" t="s">
        <v>115</v>
      </c>
      <c r="C1113" s="0" t="s">
        <v>4633</v>
      </c>
      <c r="D1113" s="0" t="n">
        <v>2019</v>
      </c>
      <c r="E1113" s="0" t="s">
        <v>73</v>
      </c>
      <c r="F1113" s="0" t="n">
        <v>0</v>
      </c>
      <c r="G1113" s="0" t="s">
        <v>4257</v>
      </c>
      <c r="I1113" s="0" t="n">
        <v>0</v>
      </c>
      <c r="J1113" s="0" t="s">
        <v>4687</v>
      </c>
      <c r="K1113" s="0" t="s">
        <v>1887</v>
      </c>
      <c r="L1113" s="0" t="n">
        <v>2019</v>
      </c>
      <c r="M1113" s="0" t="s">
        <v>1888</v>
      </c>
      <c r="N1113" s="0" t="s">
        <v>121</v>
      </c>
      <c r="O1113" s="0" t="s">
        <v>2374</v>
      </c>
      <c r="P1113" s="0" t="s">
        <v>2962</v>
      </c>
      <c r="Q1113" s="0" t="n">
        <v>57</v>
      </c>
      <c r="S1113" s="0" t="s">
        <v>4664</v>
      </c>
      <c r="T1113" s="0" t="s">
        <v>4688</v>
      </c>
      <c r="U1113" s="0" t="s">
        <v>4689</v>
      </c>
      <c r="V1113" s="0" t="s">
        <v>856</v>
      </c>
      <c r="W1113" s="0" t="s">
        <v>4351</v>
      </c>
      <c r="X1113" s="0" t="s">
        <v>4690</v>
      </c>
      <c r="Y1113" s="0" t="s">
        <v>4212</v>
      </c>
      <c r="Z1113" s="0" t="s">
        <v>4160</v>
      </c>
      <c r="AA1113" s="0" t="s">
        <v>4691</v>
      </c>
      <c r="AB1113" s="0" t="s">
        <v>2961</v>
      </c>
      <c r="AC1113" s="0" t="s">
        <v>4162</v>
      </c>
      <c r="AD1113" s="0" t="s">
        <v>4637</v>
      </c>
      <c r="AG1113" s="0" t="s">
        <v>1892</v>
      </c>
      <c r="AH1113" s="0" t="s">
        <v>2239</v>
      </c>
      <c r="AL1113" s="0" t="s">
        <v>539</v>
      </c>
    </row>
    <row r="1114" customFormat="false" ht="15" hidden="false" customHeight="false" outlineLevel="0" collapsed="false">
      <c r="A1114" s="0" t="s">
        <v>902</v>
      </c>
      <c r="B1114" s="0" t="s">
        <v>115</v>
      </c>
      <c r="C1114" s="0" t="s">
        <v>4633</v>
      </c>
      <c r="D1114" s="0" t="n">
        <v>2022</v>
      </c>
      <c r="E1114" s="0" t="s">
        <v>73</v>
      </c>
      <c r="F1114" s="0" t="n">
        <v>0</v>
      </c>
      <c r="G1114" s="0" t="s">
        <v>4257</v>
      </c>
      <c r="I1114" s="0" t="n">
        <v>0</v>
      </c>
      <c r="J1114" s="0" t="s">
        <v>4687</v>
      </c>
      <c r="K1114" s="0" t="s">
        <v>1895</v>
      </c>
      <c r="L1114" s="0" t="n">
        <v>2022</v>
      </c>
      <c r="M1114" s="0" t="s">
        <v>1896</v>
      </c>
      <c r="N1114" s="0" t="s">
        <v>123</v>
      </c>
      <c r="O1114" s="0" t="s">
        <v>2343</v>
      </c>
      <c r="P1114" s="0" t="s">
        <v>3024</v>
      </c>
      <c r="Q1114" s="0" t="n">
        <v>130</v>
      </c>
      <c r="S1114" s="0" t="s">
        <v>4664</v>
      </c>
      <c r="T1114" s="0" t="s">
        <v>4692</v>
      </c>
      <c r="U1114" s="0" t="s">
        <v>4674</v>
      </c>
      <c r="V1114" s="0" t="s">
        <v>901</v>
      </c>
      <c r="W1114" s="0" t="s">
        <v>4351</v>
      </c>
      <c r="X1114" s="0" t="s">
        <v>4693</v>
      </c>
      <c r="Y1114" s="0" t="s">
        <v>4212</v>
      </c>
      <c r="Z1114" s="0" t="s">
        <v>4160</v>
      </c>
      <c r="AA1114" s="0" t="s">
        <v>4694</v>
      </c>
      <c r="AB1114" s="0" t="s">
        <v>3025</v>
      </c>
      <c r="AC1114" s="0" t="s">
        <v>4162</v>
      </c>
      <c r="AD1114" s="0" t="s">
        <v>4637</v>
      </c>
      <c r="AG1114" s="0" t="s">
        <v>1892</v>
      </c>
      <c r="AH1114" s="0" t="s">
        <v>2239</v>
      </c>
      <c r="AL1114" s="0" t="s">
        <v>539</v>
      </c>
    </row>
    <row r="1115" customFormat="false" ht="15" hidden="false" customHeight="false" outlineLevel="0" collapsed="false">
      <c r="A1115" s="0" t="s">
        <v>372</v>
      </c>
      <c r="B1115" s="0" t="s">
        <v>169</v>
      </c>
      <c r="C1115" s="0" t="s">
        <v>4695</v>
      </c>
      <c r="D1115" s="0" t="n">
        <v>2014</v>
      </c>
      <c r="E1115" s="0" t="s">
        <v>73</v>
      </c>
      <c r="F1115" s="0" t="n">
        <v>0</v>
      </c>
      <c r="G1115" s="0" t="s">
        <v>4257</v>
      </c>
      <c r="I1115" s="0" t="n">
        <v>0</v>
      </c>
      <c r="J1115" s="0" t="s">
        <v>4687</v>
      </c>
      <c r="K1115" s="0" t="s">
        <v>1902</v>
      </c>
      <c r="L1115" s="0" t="n">
        <v>2014</v>
      </c>
      <c r="M1115" s="0" t="s">
        <v>1903</v>
      </c>
      <c r="N1115" s="0" t="s">
        <v>170</v>
      </c>
      <c r="O1115" s="0" t="s">
        <v>2398</v>
      </c>
      <c r="P1115" s="0" t="s">
        <v>2967</v>
      </c>
      <c r="Q1115" s="0" t="n">
        <v>53</v>
      </c>
      <c r="S1115" s="0" t="s">
        <v>4664</v>
      </c>
      <c r="T1115" s="0" t="s">
        <v>4696</v>
      </c>
      <c r="U1115" s="0" t="s">
        <v>4697</v>
      </c>
      <c r="V1115" s="0" t="s">
        <v>1224</v>
      </c>
      <c r="W1115" s="0" t="s">
        <v>4351</v>
      </c>
      <c r="X1115" s="0" t="s">
        <v>4698</v>
      </c>
      <c r="Y1115" s="0" t="s">
        <v>4212</v>
      </c>
      <c r="Z1115" s="0" t="s">
        <v>4160</v>
      </c>
      <c r="AA1115" s="0" t="s">
        <v>4699</v>
      </c>
      <c r="AB1115" s="0" t="s">
        <v>2968</v>
      </c>
      <c r="AC1115" s="0" t="s">
        <v>4162</v>
      </c>
      <c r="AD1115" s="0" t="s">
        <v>4637</v>
      </c>
      <c r="AG1115" s="0" t="s">
        <v>1892</v>
      </c>
      <c r="AH1115" s="0" t="s">
        <v>2239</v>
      </c>
      <c r="AL1115" s="0" t="s">
        <v>539</v>
      </c>
    </row>
    <row r="1116" customFormat="false" ht="15" hidden="false" customHeight="false" outlineLevel="0" collapsed="false">
      <c r="A1116" s="0" t="s">
        <v>1054</v>
      </c>
      <c r="B1116" s="0" t="s">
        <v>136</v>
      </c>
      <c r="C1116" s="0" t="s">
        <v>4507</v>
      </c>
      <c r="D1116" s="0" t="n">
        <v>2018</v>
      </c>
      <c r="E1116" s="0" t="s">
        <v>73</v>
      </c>
      <c r="F1116" s="0" t="n">
        <v>0</v>
      </c>
      <c r="G1116" s="0" t="s">
        <v>4257</v>
      </c>
      <c r="I1116" s="0" t="n">
        <v>0</v>
      </c>
      <c r="J1116" s="0" t="s">
        <v>4258</v>
      </c>
      <c r="K1116" s="0" t="s">
        <v>1914</v>
      </c>
      <c r="L1116" s="0" t="n">
        <v>2018</v>
      </c>
      <c r="M1116" s="0" t="s">
        <v>1915</v>
      </c>
      <c r="N1116" s="0" t="s">
        <v>141</v>
      </c>
      <c r="O1116" s="0" t="s">
        <v>2417</v>
      </c>
      <c r="P1116" s="0" t="s">
        <v>4549</v>
      </c>
      <c r="Q1116" s="0" t="n">
        <v>76</v>
      </c>
      <c r="S1116" s="0" t="s">
        <v>4664</v>
      </c>
      <c r="T1116" s="0" t="s">
        <v>4700</v>
      </c>
      <c r="U1116" s="0" t="s">
        <v>4666</v>
      </c>
      <c r="V1116" s="0" t="s">
        <v>1053</v>
      </c>
      <c r="W1116" s="0" t="s">
        <v>4351</v>
      </c>
      <c r="X1116" s="0" t="s">
        <v>4701</v>
      </c>
      <c r="Y1116" s="0" t="s">
        <v>4212</v>
      </c>
      <c r="Z1116" s="0" t="s">
        <v>4160</v>
      </c>
      <c r="AA1116" s="0" t="s">
        <v>4702</v>
      </c>
      <c r="AB1116" s="0" t="s">
        <v>4513</v>
      </c>
      <c r="AC1116" s="0" t="s">
        <v>4162</v>
      </c>
      <c r="AD1116" s="0" t="s">
        <v>4163</v>
      </c>
      <c r="AG1116" s="0" t="s">
        <v>1828</v>
      </c>
      <c r="AH1116" s="0" t="s">
        <v>2239</v>
      </c>
      <c r="AL1116" s="0" t="s">
        <v>539</v>
      </c>
    </row>
    <row r="1117" customFormat="false" ht="15" hidden="false" customHeight="false" outlineLevel="0" collapsed="false">
      <c r="A1117" s="0" t="s">
        <v>1074</v>
      </c>
      <c r="B1117" s="0" t="s">
        <v>136</v>
      </c>
      <c r="C1117" s="0" t="s">
        <v>4507</v>
      </c>
      <c r="D1117" s="0" t="n">
        <v>2019</v>
      </c>
      <c r="E1117" s="0" t="s">
        <v>73</v>
      </c>
      <c r="F1117" s="0" t="n">
        <v>0</v>
      </c>
      <c r="G1117" s="0" t="s">
        <v>4257</v>
      </c>
      <c r="I1117" s="0" t="n">
        <v>0</v>
      </c>
      <c r="J1117" s="0" t="s">
        <v>4258</v>
      </c>
      <c r="K1117" s="0" t="s">
        <v>1919</v>
      </c>
      <c r="L1117" s="0" t="n">
        <v>2019</v>
      </c>
      <c r="M1117" s="0" t="s">
        <v>1920</v>
      </c>
      <c r="N1117" s="0" t="s">
        <v>143</v>
      </c>
      <c r="O1117" s="0" t="s">
        <v>2438</v>
      </c>
      <c r="P1117" s="0" t="s">
        <v>4509</v>
      </c>
      <c r="Q1117" s="0" t="n">
        <v>73</v>
      </c>
      <c r="S1117" s="0" t="s">
        <v>4664</v>
      </c>
      <c r="T1117" s="0" t="s">
        <v>4703</v>
      </c>
      <c r="U1117" s="0" t="s">
        <v>4689</v>
      </c>
      <c r="V1117" s="0" t="s">
        <v>856</v>
      </c>
      <c r="W1117" s="0" t="s">
        <v>4351</v>
      </c>
      <c r="X1117" s="0" t="s">
        <v>4704</v>
      </c>
      <c r="Y1117" s="0" t="s">
        <v>4212</v>
      </c>
      <c r="Z1117" s="0" t="s">
        <v>4160</v>
      </c>
      <c r="AA1117" s="0" t="s">
        <v>4705</v>
      </c>
      <c r="AB1117" s="0" t="s">
        <v>4513</v>
      </c>
      <c r="AC1117" s="0" t="s">
        <v>4162</v>
      </c>
      <c r="AD1117" s="0" t="s">
        <v>4163</v>
      </c>
      <c r="AG1117" s="0" t="s">
        <v>1828</v>
      </c>
      <c r="AH1117" s="0" t="s">
        <v>2239</v>
      </c>
      <c r="AL1117" s="0" t="s">
        <v>539</v>
      </c>
    </row>
    <row r="1118" customFormat="false" ht="15" hidden="false" customHeight="false" outlineLevel="0" collapsed="false">
      <c r="A1118" s="0" t="s">
        <v>1593</v>
      </c>
      <c r="B1118" s="0" t="s">
        <v>222</v>
      </c>
      <c r="C1118" s="0" t="s">
        <v>4357</v>
      </c>
      <c r="D1118" s="0" t="n">
        <v>2019</v>
      </c>
      <c r="E1118" s="0" t="s">
        <v>73</v>
      </c>
      <c r="F1118" s="0" t="n">
        <v>0</v>
      </c>
      <c r="G1118" s="0" t="s">
        <v>4257</v>
      </c>
      <c r="I1118" s="0" t="n">
        <v>0</v>
      </c>
      <c r="J1118" s="0" t="s">
        <v>4258</v>
      </c>
      <c r="K1118" s="0" t="s">
        <v>1923</v>
      </c>
      <c r="L1118" s="0" t="n">
        <v>2019</v>
      </c>
      <c r="M1118" s="0" t="s">
        <v>1924</v>
      </c>
      <c r="N1118" s="0" t="s">
        <v>231</v>
      </c>
      <c r="O1118" s="0" t="s">
        <v>2449</v>
      </c>
      <c r="P1118" s="0" t="s">
        <v>4459</v>
      </c>
      <c r="Q1118" s="0" t="n">
        <v>73</v>
      </c>
      <c r="S1118" s="0" t="s">
        <v>4664</v>
      </c>
      <c r="T1118" s="0" t="s">
        <v>4706</v>
      </c>
      <c r="U1118" s="0" t="s">
        <v>4689</v>
      </c>
      <c r="V1118" s="0" t="s">
        <v>856</v>
      </c>
      <c r="W1118" s="0" t="s">
        <v>4351</v>
      </c>
      <c r="X1118" s="0" t="s">
        <v>4707</v>
      </c>
      <c r="Y1118" s="0" t="s">
        <v>4212</v>
      </c>
      <c r="Z1118" s="0" t="s">
        <v>4160</v>
      </c>
      <c r="AA1118" s="0" t="s">
        <v>4708</v>
      </c>
      <c r="AB1118" s="0" t="s">
        <v>4464</v>
      </c>
      <c r="AC1118" s="0" t="s">
        <v>4162</v>
      </c>
      <c r="AD1118" s="0" t="s">
        <v>4163</v>
      </c>
      <c r="AG1118" s="0" t="s">
        <v>1828</v>
      </c>
      <c r="AH1118" s="0" t="s">
        <v>2239</v>
      </c>
      <c r="AL1118" s="0" t="s">
        <v>539</v>
      </c>
    </row>
    <row r="1119" customFormat="false" ht="15" hidden="false" customHeight="false" outlineLevel="0" collapsed="false">
      <c r="A1119" s="0" t="s">
        <v>1433</v>
      </c>
      <c r="B1119" s="0" t="s">
        <v>201</v>
      </c>
      <c r="C1119" s="0" t="s">
        <v>4709</v>
      </c>
      <c r="D1119" s="0" t="n">
        <v>2019</v>
      </c>
      <c r="E1119" s="0" t="s">
        <v>73</v>
      </c>
      <c r="F1119" s="0" t="n">
        <v>1</v>
      </c>
      <c r="G1119" s="0" t="s">
        <v>4257</v>
      </c>
      <c r="I1119" s="0" t="n">
        <v>1</v>
      </c>
      <c r="J1119" s="0" t="s">
        <v>4687</v>
      </c>
      <c r="K1119" s="0" t="s">
        <v>1931</v>
      </c>
      <c r="L1119" s="0" t="n">
        <v>2019</v>
      </c>
      <c r="M1119" s="0" t="s">
        <v>1932</v>
      </c>
      <c r="N1119" s="0" t="s">
        <v>207</v>
      </c>
      <c r="O1119" s="0" t="s">
        <v>2408</v>
      </c>
      <c r="P1119" s="0" t="s">
        <v>2987</v>
      </c>
      <c r="Q1119" s="0" t="n">
        <v>18</v>
      </c>
      <c r="S1119" s="0" t="s">
        <v>4664</v>
      </c>
      <c r="T1119" s="0" t="s">
        <v>4710</v>
      </c>
      <c r="U1119" s="0" t="s">
        <v>4689</v>
      </c>
      <c r="V1119" s="0" t="s">
        <v>856</v>
      </c>
      <c r="W1119" s="0" t="s">
        <v>4351</v>
      </c>
      <c r="X1119" s="0" t="s">
        <v>4711</v>
      </c>
      <c r="Y1119" s="0" t="s">
        <v>4212</v>
      </c>
      <c r="Z1119" s="0" t="s">
        <v>4160</v>
      </c>
      <c r="AA1119" s="0" t="s">
        <v>4712</v>
      </c>
      <c r="AB1119" s="0" t="s">
        <v>2988</v>
      </c>
      <c r="AC1119" s="0" t="s">
        <v>4162</v>
      </c>
      <c r="AD1119" s="0" t="s">
        <v>4637</v>
      </c>
      <c r="AG1119" s="0" t="s">
        <v>1892</v>
      </c>
      <c r="AH1119" s="0" t="s">
        <v>2239</v>
      </c>
      <c r="AL1119" s="0" t="s">
        <v>539</v>
      </c>
    </row>
    <row r="1120" customFormat="false" ht="15" hidden="false" customHeight="false" outlineLevel="0" collapsed="false">
      <c r="A1120" s="0" t="s">
        <v>1071</v>
      </c>
      <c r="B1120" s="0" t="s">
        <v>136</v>
      </c>
      <c r="C1120" s="0" t="s">
        <v>4507</v>
      </c>
      <c r="D1120" s="0" t="n">
        <v>2019</v>
      </c>
      <c r="E1120" s="0" t="s">
        <v>65</v>
      </c>
      <c r="F1120" s="0" t="n">
        <v>418652170</v>
      </c>
      <c r="G1120" s="0" t="s">
        <v>3067</v>
      </c>
      <c r="H1120" s="0" t="s">
        <v>3068</v>
      </c>
      <c r="I1120" s="0" t="n">
        <v>418652.17</v>
      </c>
      <c r="J1120" s="0" t="s">
        <v>4713</v>
      </c>
      <c r="K1120" s="0" t="s">
        <v>1919</v>
      </c>
      <c r="L1120" s="0" t="n">
        <v>2019</v>
      </c>
      <c r="M1120" s="0" t="s">
        <v>1920</v>
      </c>
      <c r="N1120" s="0" t="s">
        <v>143</v>
      </c>
      <c r="O1120" s="0" t="s">
        <v>2438</v>
      </c>
      <c r="P1120" s="0" t="s">
        <v>4509</v>
      </c>
      <c r="Q1120" s="0" t="n">
        <v>209</v>
      </c>
      <c r="R1120" s="0" t="n">
        <v>207</v>
      </c>
      <c r="S1120" s="0" t="s">
        <v>4714</v>
      </c>
      <c r="T1120" s="0" t="s">
        <v>4715</v>
      </c>
      <c r="U1120" s="0" t="s">
        <v>4461</v>
      </c>
      <c r="V1120" s="0" t="s">
        <v>93</v>
      </c>
      <c r="W1120" s="0" t="s">
        <v>4716</v>
      </c>
      <c r="X1120" s="0" t="s">
        <v>4717</v>
      </c>
      <c r="Y1120" s="0" t="s">
        <v>4212</v>
      </c>
      <c r="Z1120" s="0" t="s">
        <v>4160</v>
      </c>
      <c r="AA1120" s="0" t="s">
        <v>4718</v>
      </c>
      <c r="AB1120" s="0" t="s">
        <v>4513</v>
      </c>
      <c r="AC1120" s="0" t="s">
        <v>4162</v>
      </c>
      <c r="AD1120" s="0" t="s">
        <v>4163</v>
      </c>
      <c r="AE1120" s="0" t="s">
        <v>4164</v>
      </c>
      <c r="AF1120" s="0" t="s">
        <v>4514</v>
      </c>
      <c r="AH1120" s="0" t="s">
        <v>2239</v>
      </c>
      <c r="AL1120" s="0" t="s">
        <v>539</v>
      </c>
    </row>
    <row r="1121" customFormat="false" ht="15" hidden="false" customHeight="false" outlineLevel="0" collapsed="false">
      <c r="A1121" s="0" t="s">
        <v>1072</v>
      </c>
      <c r="B1121" s="0" t="s">
        <v>136</v>
      </c>
      <c r="C1121" s="0" t="s">
        <v>4507</v>
      </c>
      <c r="D1121" s="0" t="n">
        <v>2019</v>
      </c>
      <c r="E1121" s="0" t="s">
        <v>66</v>
      </c>
      <c r="F1121" s="0" t="n">
        <v>2026402562</v>
      </c>
      <c r="G1121" s="0" t="s">
        <v>3067</v>
      </c>
      <c r="H1121" s="0" t="s">
        <v>3068</v>
      </c>
      <c r="I1121" s="0" t="n">
        <v>2026402.562</v>
      </c>
      <c r="J1121" s="0" t="s">
        <v>4713</v>
      </c>
      <c r="K1121" s="0" t="s">
        <v>1919</v>
      </c>
      <c r="L1121" s="0" t="n">
        <v>2019</v>
      </c>
      <c r="M1121" s="0" t="s">
        <v>1920</v>
      </c>
      <c r="N1121" s="0" t="s">
        <v>143</v>
      </c>
      <c r="O1121" s="0" t="s">
        <v>2438</v>
      </c>
      <c r="P1121" s="0" t="s">
        <v>4509</v>
      </c>
      <c r="Q1121" s="0" t="n">
        <v>209</v>
      </c>
      <c r="R1121" s="0" t="n">
        <v>207</v>
      </c>
      <c r="S1121" s="0" t="s">
        <v>4714</v>
      </c>
      <c r="T1121" s="0" t="s">
        <v>4715</v>
      </c>
      <c r="U1121" s="0" t="s">
        <v>4461</v>
      </c>
      <c r="V1121" s="0" t="s">
        <v>93</v>
      </c>
      <c r="W1121" s="0" t="s">
        <v>4719</v>
      </c>
      <c r="X1121" s="0" t="s">
        <v>4717</v>
      </c>
      <c r="Y1121" s="0" t="s">
        <v>4212</v>
      </c>
      <c r="Z1121" s="0" t="s">
        <v>4160</v>
      </c>
      <c r="AA1121" s="0" t="s">
        <v>4718</v>
      </c>
      <c r="AB1121" s="0" t="s">
        <v>4513</v>
      </c>
      <c r="AC1121" s="0" t="s">
        <v>4162</v>
      </c>
      <c r="AD1121" s="0" t="s">
        <v>4163</v>
      </c>
      <c r="AE1121" s="0" t="s">
        <v>4164</v>
      </c>
      <c r="AF1121" s="0" t="s">
        <v>4514</v>
      </c>
      <c r="AH1121" s="0" t="s">
        <v>2239</v>
      </c>
      <c r="AL1121" s="0" t="s">
        <v>539</v>
      </c>
    </row>
    <row r="1122" customFormat="false" ht="15" hidden="false" customHeight="false" outlineLevel="0" collapsed="false">
      <c r="A1122" s="0" t="s">
        <v>1069</v>
      </c>
      <c r="B1122" s="0" t="s">
        <v>136</v>
      </c>
      <c r="C1122" s="0" t="s">
        <v>4507</v>
      </c>
      <c r="D1122" s="0" t="n">
        <v>2019</v>
      </c>
      <c r="E1122" s="0" t="s">
        <v>69</v>
      </c>
      <c r="F1122" s="0" t="s">
        <v>4720</v>
      </c>
      <c r="G1122" s="0" t="s">
        <v>3143</v>
      </c>
      <c r="I1122" s="0" t="n">
        <v>20.66</v>
      </c>
      <c r="J1122" s="0" t="s">
        <v>4713</v>
      </c>
      <c r="K1122" s="0" t="s">
        <v>1919</v>
      </c>
      <c r="L1122" s="0" t="n">
        <v>2019</v>
      </c>
      <c r="M1122" s="0" t="s">
        <v>1920</v>
      </c>
      <c r="N1122" s="0" t="s">
        <v>143</v>
      </c>
      <c r="O1122" s="0" t="s">
        <v>2438</v>
      </c>
      <c r="P1122" s="0" t="s">
        <v>4509</v>
      </c>
      <c r="Q1122" s="0" t="n">
        <v>209</v>
      </c>
      <c r="R1122" s="0" t="n">
        <v>207</v>
      </c>
      <c r="S1122" s="0" t="s">
        <v>4714</v>
      </c>
      <c r="T1122" s="0" t="s">
        <v>4715</v>
      </c>
      <c r="U1122" s="0" t="s">
        <v>4461</v>
      </c>
      <c r="V1122" s="0" t="s">
        <v>93</v>
      </c>
      <c r="W1122" s="0" t="s">
        <v>4721</v>
      </c>
      <c r="X1122" s="0" t="s">
        <v>4717</v>
      </c>
      <c r="Y1122" s="0" t="s">
        <v>4212</v>
      </c>
      <c r="Z1122" s="0" t="s">
        <v>4160</v>
      </c>
      <c r="AA1122" s="0" t="s">
        <v>4722</v>
      </c>
      <c r="AB1122" s="0" t="s">
        <v>4513</v>
      </c>
      <c r="AC1122" s="0" t="s">
        <v>4162</v>
      </c>
      <c r="AD1122" s="0" t="s">
        <v>4163</v>
      </c>
      <c r="AE1122" s="0" t="s">
        <v>4164</v>
      </c>
      <c r="AF1122" s="0" t="s">
        <v>4514</v>
      </c>
      <c r="AH1122" s="0" t="s">
        <v>2239</v>
      </c>
      <c r="AL1122" s="0" t="s">
        <v>539</v>
      </c>
    </row>
    <row r="1123" customFormat="false" ht="15" hidden="false" customHeight="false" outlineLevel="0" collapsed="false">
      <c r="A1123" s="0" t="s">
        <v>1073</v>
      </c>
      <c r="B1123" s="0" t="s">
        <v>136</v>
      </c>
      <c r="C1123" s="0" t="s">
        <v>4507</v>
      </c>
      <c r="D1123" s="0" t="n">
        <v>2019</v>
      </c>
      <c r="E1123" s="0" t="s">
        <v>619</v>
      </c>
      <c r="F1123" s="0" t="n">
        <v>517502852</v>
      </c>
      <c r="G1123" s="0" t="s">
        <v>3067</v>
      </c>
      <c r="H1123" s="0" t="s">
        <v>3068</v>
      </c>
      <c r="I1123" s="0" t="n">
        <v>517502.852</v>
      </c>
      <c r="J1123" s="0" t="s">
        <v>4713</v>
      </c>
      <c r="K1123" s="0" t="s">
        <v>1919</v>
      </c>
      <c r="L1123" s="0" t="n">
        <v>2019</v>
      </c>
      <c r="M1123" s="0" t="s">
        <v>1920</v>
      </c>
      <c r="N1123" s="0" t="s">
        <v>143</v>
      </c>
      <c r="O1123" s="0" t="s">
        <v>2438</v>
      </c>
      <c r="P1123" s="0" t="s">
        <v>4509</v>
      </c>
      <c r="Q1123" s="0" t="n">
        <v>209</v>
      </c>
      <c r="R1123" s="0" t="n">
        <v>207</v>
      </c>
      <c r="S1123" s="0" t="s">
        <v>4714</v>
      </c>
      <c r="T1123" s="0" t="s">
        <v>4723</v>
      </c>
      <c r="U1123" s="0" t="s">
        <v>4461</v>
      </c>
      <c r="V1123" s="0" t="s">
        <v>93</v>
      </c>
      <c r="W1123" s="0" t="s">
        <v>4716</v>
      </c>
      <c r="X1123" s="0" t="s">
        <v>4717</v>
      </c>
      <c r="Y1123" s="0" t="s">
        <v>4212</v>
      </c>
      <c r="Z1123" s="0" t="s">
        <v>4160</v>
      </c>
      <c r="AA1123" s="0" t="s">
        <v>4724</v>
      </c>
      <c r="AB1123" s="0" t="s">
        <v>4513</v>
      </c>
      <c r="AC1123" s="0" t="s">
        <v>4162</v>
      </c>
      <c r="AD1123" s="0" t="s">
        <v>4163</v>
      </c>
      <c r="AE1123" s="0" t="s">
        <v>4164</v>
      </c>
      <c r="AF1123" s="0" t="s">
        <v>4514</v>
      </c>
      <c r="AH1123" s="0" t="s">
        <v>2239</v>
      </c>
      <c r="AL1123" s="0" t="s">
        <v>539</v>
      </c>
    </row>
    <row r="1124" customFormat="false" ht="15" hidden="false" customHeight="false" outlineLevel="0" collapsed="false">
      <c r="A1124" s="0" t="s">
        <v>1070</v>
      </c>
      <c r="B1124" s="0" t="s">
        <v>136</v>
      </c>
      <c r="C1124" s="0" t="s">
        <v>4507</v>
      </c>
      <c r="D1124" s="0" t="n">
        <v>2019</v>
      </c>
      <c r="E1124" s="0" t="s">
        <v>614</v>
      </c>
      <c r="F1124" s="0" t="s">
        <v>4725</v>
      </c>
      <c r="G1124" s="0" t="s">
        <v>3143</v>
      </c>
      <c r="I1124" s="0" t="n">
        <v>24.74</v>
      </c>
      <c r="J1124" s="0" t="s">
        <v>4713</v>
      </c>
      <c r="K1124" s="0" t="s">
        <v>1919</v>
      </c>
      <c r="L1124" s="0" t="n">
        <v>2019</v>
      </c>
      <c r="M1124" s="0" t="s">
        <v>1920</v>
      </c>
      <c r="N1124" s="0" t="s">
        <v>143</v>
      </c>
      <c r="O1124" s="0" t="s">
        <v>2438</v>
      </c>
      <c r="P1124" s="0" t="s">
        <v>4509</v>
      </c>
      <c r="Q1124" s="0" t="n">
        <v>209</v>
      </c>
      <c r="R1124" s="0" t="n">
        <v>207</v>
      </c>
      <c r="S1124" s="0" t="s">
        <v>4714</v>
      </c>
      <c r="T1124" s="0" t="s">
        <v>4723</v>
      </c>
      <c r="U1124" s="0" t="s">
        <v>4461</v>
      </c>
      <c r="V1124" s="0" t="s">
        <v>93</v>
      </c>
      <c r="W1124" s="0" t="s">
        <v>4721</v>
      </c>
      <c r="X1124" s="0" t="s">
        <v>4717</v>
      </c>
      <c r="Y1124" s="0" t="s">
        <v>4212</v>
      </c>
      <c r="Z1124" s="0" t="s">
        <v>4160</v>
      </c>
      <c r="AA1124" s="0" t="s">
        <v>4718</v>
      </c>
      <c r="AB1124" s="0" t="s">
        <v>4513</v>
      </c>
      <c r="AC1124" s="0" t="s">
        <v>4162</v>
      </c>
      <c r="AD1124" s="0" t="s">
        <v>4163</v>
      </c>
      <c r="AE1124" s="0" t="s">
        <v>4164</v>
      </c>
      <c r="AF1124" s="0" t="s">
        <v>4514</v>
      </c>
      <c r="AH1124" s="0" t="s">
        <v>2239</v>
      </c>
      <c r="AL1124" s="0" t="s">
        <v>539</v>
      </c>
    </row>
    <row r="1125" customFormat="false" ht="15" hidden="false" customHeight="false" outlineLevel="0" collapsed="false">
      <c r="A1125" s="0" t="s">
        <v>373</v>
      </c>
      <c r="B1125" s="0" t="s">
        <v>169</v>
      </c>
      <c r="C1125" s="0" t="s">
        <v>4695</v>
      </c>
      <c r="D1125" s="0" t="n">
        <v>2019</v>
      </c>
      <c r="E1125" s="0" t="s">
        <v>73</v>
      </c>
      <c r="F1125" s="0" t="n">
        <v>0</v>
      </c>
      <c r="G1125" s="0" t="s">
        <v>4257</v>
      </c>
      <c r="I1125" s="0" t="n">
        <v>0</v>
      </c>
      <c r="J1125" s="0" t="s">
        <v>4258</v>
      </c>
      <c r="K1125" s="0" t="s">
        <v>1909</v>
      </c>
      <c r="L1125" s="0" t="n">
        <v>2019</v>
      </c>
      <c r="M1125" s="0" t="s">
        <v>1910</v>
      </c>
      <c r="N1125" s="0" t="s">
        <v>174</v>
      </c>
      <c r="O1125" s="0" t="s">
        <v>2405</v>
      </c>
      <c r="P1125" s="0" t="s">
        <v>2969</v>
      </c>
      <c r="Q1125" s="0" t="n">
        <v>26</v>
      </c>
      <c r="R1125" s="0" t="n">
        <v>25</v>
      </c>
      <c r="S1125" s="0" t="s">
        <v>4664</v>
      </c>
      <c r="T1125" s="0" t="s">
        <v>4726</v>
      </c>
      <c r="U1125" s="0" t="s">
        <v>4689</v>
      </c>
      <c r="V1125" s="0" t="s">
        <v>856</v>
      </c>
      <c r="W1125" s="0" t="s">
        <v>4351</v>
      </c>
      <c r="X1125" s="0" t="s">
        <v>4727</v>
      </c>
      <c r="Y1125" s="0" t="s">
        <v>4212</v>
      </c>
      <c r="Z1125" s="0" t="s">
        <v>4160</v>
      </c>
      <c r="AA1125" s="0" t="s">
        <v>4728</v>
      </c>
      <c r="AB1125" s="0" t="s">
        <v>2970</v>
      </c>
      <c r="AC1125" s="0" t="s">
        <v>4162</v>
      </c>
      <c r="AD1125" s="0" t="s">
        <v>4163</v>
      </c>
      <c r="AG1125" s="0" t="s">
        <v>1828</v>
      </c>
      <c r="AH1125" s="0" t="s">
        <v>2239</v>
      </c>
      <c r="AL1125" s="0" t="s">
        <v>539</v>
      </c>
    </row>
    <row r="1126" customFormat="false" ht="15" hidden="false" customHeight="false" outlineLevel="0" collapsed="false">
      <c r="A1126" s="0" t="s">
        <v>1605</v>
      </c>
      <c r="B1126" s="0" t="s">
        <v>222</v>
      </c>
      <c r="C1126" s="0" t="s">
        <v>4357</v>
      </c>
      <c r="D1126" s="0" t="n">
        <v>2020</v>
      </c>
      <c r="E1126" s="0" t="s">
        <v>73</v>
      </c>
      <c r="F1126" s="0" t="n">
        <v>0</v>
      </c>
      <c r="G1126" s="0" t="s">
        <v>4257</v>
      </c>
      <c r="I1126" s="0" t="n">
        <v>0</v>
      </c>
      <c r="J1126" s="0" t="s">
        <v>4258</v>
      </c>
      <c r="K1126" s="0" t="s">
        <v>1927</v>
      </c>
      <c r="L1126" s="0" t="n">
        <v>2020</v>
      </c>
      <c r="M1126" s="0" t="s">
        <v>1928</v>
      </c>
      <c r="N1126" s="0" t="s">
        <v>233</v>
      </c>
      <c r="O1126" s="0" t="s">
        <v>2437</v>
      </c>
      <c r="P1126" s="0" t="s">
        <v>4489</v>
      </c>
      <c r="Q1126" s="0" t="n">
        <v>73</v>
      </c>
      <c r="R1126" s="0" t="n">
        <v>71</v>
      </c>
      <c r="S1126" s="0" t="s">
        <v>4664</v>
      </c>
      <c r="T1126" s="0" t="s">
        <v>4729</v>
      </c>
      <c r="U1126" s="0" t="s">
        <v>4670</v>
      </c>
      <c r="V1126" s="0" t="s">
        <v>1368</v>
      </c>
      <c r="W1126" s="0" t="s">
        <v>4351</v>
      </c>
      <c r="X1126" s="0" t="s">
        <v>4730</v>
      </c>
      <c r="Y1126" s="0" t="s">
        <v>4212</v>
      </c>
      <c r="Z1126" s="0" t="s">
        <v>4160</v>
      </c>
      <c r="AA1126" s="0" t="s">
        <v>4731</v>
      </c>
      <c r="AB1126" s="0" t="s">
        <v>4492</v>
      </c>
      <c r="AC1126" s="0" t="s">
        <v>4162</v>
      </c>
      <c r="AD1126" s="0" t="s">
        <v>4163</v>
      </c>
      <c r="AG1126" s="0" t="s">
        <v>1828</v>
      </c>
      <c r="AH1126" s="0" t="s">
        <v>2239</v>
      </c>
      <c r="AL1126" s="0" t="s">
        <v>539</v>
      </c>
    </row>
    <row r="1127" customFormat="false" ht="15" hidden="false" customHeight="false" outlineLevel="0" collapsed="false">
      <c r="A1127" s="0" t="s">
        <v>1156</v>
      </c>
      <c r="B1127" s="0" t="s">
        <v>149</v>
      </c>
      <c r="C1127" s="0" t="s">
        <v>4263</v>
      </c>
      <c r="D1127" s="0" t="n">
        <v>2018</v>
      </c>
      <c r="E1127" s="0" t="s">
        <v>55</v>
      </c>
      <c r="F1127" s="0" t="n">
        <v>1599245</v>
      </c>
      <c r="G1127" s="0" t="s">
        <v>3101</v>
      </c>
      <c r="H1127" s="0" t="s">
        <v>3068</v>
      </c>
      <c r="I1127" s="0" t="n">
        <v>1599245</v>
      </c>
      <c r="J1127" s="0" t="s">
        <v>4155</v>
      </c>
      <c r="K1127" s="0" t="s">
        <v>2715</v>
      </c>
      <c r="L1127" s="0" t="n">
        <v>2018</v>
      </c>
      <c r="M1127" s="0" t="s">
        <v>2001</v>
      </c>
      <c r="N1127" s="0" t="s">
        <v>160</v>
      </c>
      <c r="O1127" s="0" t="s">
        <v>2370</v>
      </c>
      <c r="P1127" s="0" t="s">
        <v>3017</v>
      </c>
      <c r="Q1127" s="0" t="n">
        <v>9</v>
      </c>
      <c r="R1127" s="0" t="n">
        <v>1</v>
      </c>
      <c r="T1127" s="0" t="s">
        <v>4732</v>
      </c>
      <c r="U1127" s="0" t="s">
        <v>4425</v>
      </c>
      <c r="V1127" s="0" t="s">
        <v>161</v>
      </c>
      <c r="W1127" s="0" t="s">
        <v>4403</v>
      </c>
      <c r="X1127" s="0" t="s">
        <v>4733</v>
      </c>
      <c r="Y1127" s="0" t="s">
        <v>4212</v>
      </c>
      <c r="Z1127" s="0" t="s">
        <v>4160</v>
      </c>
      <c r="AA1127" s="0" t="s">
        <v>4734</v>
      </c>
      <c r="AB1127" s="0" t="s">
        <v>3018</v>
      </c>
      <c r="AC1127" s="0" t="s">
        <v>4162</v>
      </c>
      <c r="AD1127" s="0" t="s">
        <v>4163</v>
      </c>
      <c r="AE1127" s="0" t="s">
        <v>4164</v>
      </c>
      <c r="AF1127" s="0" t="s">
        <v>4735</v>
      </c>
      <c r="AH1127" s="0" t="s">
        <v>2239</v>
      </c>
      <c r="AL1127" s="0" t="s">
        <v>539</v>
      </c>
    </row>
    <row r="1128" customFormat="false" ht="15" hidden="false" customHeight="false" outlineLevel="0" collapsed="false">
      <c r="A1128" s="0" t="s">
        <v>1157</v>
      </c>
      <c r="B1128" s="0" t="s">
        <v>149</v>
      </c>
      <c r="C1128" s="0" t="s">
        <v>4263</v>
      </c>
      <c r="D1128" s="0" t="n">
        <v>2018</v>
      </c>
      <c r="E1128" s="0" t="s">
        <v>56</v>
      </c>
      <c r="F1128" s="0" t="n">
        <v>1428904</v>
      </c>
      <c r="G1128" s="0" t="s">
        <v>3101</v>
      </c>
      <c r="H1128" s="0" t="s">
        <v>3068</v>
      </c>
      <c r="I1128" s="0" t="n">
        <v>1428904</v>
      </c>
      <c r="J1128" s="0" t="s">
        <v>4155</v>
      </c>
      <c r="K1128" s="0" t="s">
        <v>2715</v>
      </c>
      <c r="L1128" s="0" t="n">
        <v>2018</v>
      </c>
      <c r="M1128" s="0" t="s">
        <v>2001</v>
      </c>
      <c r="N1128" s="0" t="s">
        <v>160</v>
      </c>
      <c r="O1128" s="0" t="s">
        <v>2370</v>
      </c>
      <c r="P1128" s="0" t="s">
        <v>3017</v>
      </c>
      <c r="Q1128" s="0" t="n">
        <v>9</v>
      </c>
      <c r="R1128" s="0" t="n">
        <v>1</v>
      </c>
      <c r="T1128" s="0" t="s">
        <v>4732</v>
      </c>
      <c r="U1128" s="0" t="s">
        <v>4425</v>
      </c>
      <c r="V1128" s="0" t="s">
        <v>161</v>
      </c>
      <c r="W1128" s="0" t="s">
        <v>4736</v>
      </c>
      <c r="X1128" s="0" t="s">
        <v>4733</v>
      </c>
      <c r="Y1128" s="0" t="s">
        <v>4212</v>
      </c>
      <c r="Z1128" s="0" t="s">
        <v>4160</v>
      </c>
      <c r="AA1128" s="0" t="s">
        <v>4734</v>
      </c>
      <c r="AB1128" s="0" t="s">
        <v>3018</v>
      </c>
      <c r="AC1128" s="0" t="s">
        <v>4162</v>
      </c>
      <c r="AD1128" s="0" t="s">
        <v>4163</v>
      </c>
      <c r="AE1128" s="0" t="s">
        <v>4164</v>
      </c>
      <c r="AF1128" s="0" t="s">
        <v>4735</v>
      </c>
      <c r="AH1128" s="0" t="s">
        <v>2239</v>
      </c>
      <c r="AL1128" s="0" t="s">
        <v>539</v>
      </c>
    </row>
    <row r="1129" customFormat="false" ht="15" hidden="false" customHeight="false" outlineLevel="0" collapsed="false">
      <c r="A1129" s="0" t="s">
        <v>1158</v>
      </c>
      <c r="B1129" s="0" t="s">
        <v>149</v>
      </c>
      <c r="C1129" s="0" t="s">
        <v>4263</v>
      </c>
      <c r="D1129" s="0" t="n">
        <v>2018</v>
      </c>
      <c r="E1129" s="0" t="s">
        <v>57</v>
      </c>
      <c r="F1129" s="0" t="n">
        <v>170341</v>
      </c>
      <c r="G1129" s="0" t="s">
        <v>3101</v>
      </c>
      <c r="H1129" s="0" t="s">
        <v>3068</v>
      </c>
      <c r="I1129" s="0" t="n">
        <v>170341</v>
      </c>
      <c r="J1129" s="0" t="s">
        <v>4155</v>
      </c>
      <c r="K1129" s="0" t="s">
        <v>2715</v>
      </c>
      <c r="L1129" s="0" t="n">
        <v>2018</v>
      </c>
      <c r="M1129" s="0" t="s">
        <v>2001</v>
      </c>
      <c r="N1129" s="0" t="s">
        <v>160</v>
      </c>
      <c r="O1129" s="0" t="s">
        <v>2370</v>
      </c>
      <c r="P1129" s="0" t="s">
        <v>3017</v>
      </c>
      <c r="Q1129" s="0" t="n">
        <v>9</v>
      </c>
      <c r="R1129" s="0" t="n">
        <v>1</v>
      </c>
      <c r="T1129" s="0" t="s">
        <v>4732</v>
      </c>
      <c r="U1129" s="0" t="s">
        <v>4425</v>
      </c>
      <c r="V1129" s="0" t="s">
        <v>161</v>
      </c>
      <c r="W1129" s="0" t="s">
        <v>4737</v>
      </c>
      <c r="X1129" s="0" t="s">
        <v>4733</v>
      </c>
      <c r="Y1129" s="0" t="s">
        <v>4212</v>
      </c>
      <c r="Z1129" s="0" t="s">
        <v>4160</v>
      </c>
      <c r="AA1129" s="0" t="s">
        <v>4734</v>
      </c>
      <c r="AB1129" s="0" t="s">
        <v>3018</v>
      </c>
      <c r="AC1129" s="0" t="s">
        <v>4162</v>
      </c>
      <c r="AD1129" s="0" t="s">
        <v>4163</v>
      </c>
      <c r="AE1129" s="0" t="s">
        <v>4164</v>
      </c>
      <c r="AF1129" s="0" t="s">
        <v>4735</v>
      </c>
      <c r="AH1129" s="0" t="s">
        <v>2239</v>
      </c>
      <c r="AL1129" s="0" t="s">
        <v>539</v>
      </c>
    </row>
    <row r="1130" customFormat="false" ht="15" hidden="false" customHeight="false" outlineLevel="0" collapsed="false">
      <c r="A1130" s="0" t="s">
        <v>1160</v>
      </c>
      <c r="B1130" s="0" t="s">
        <v>149</v>
      </c>
      <c r="C1130" s="0" t="s">
        <v>4263</v>
      </c>
      <c r="D1130" s="0" t="n">
        <v>2018</v>
      </c>
      <c r="E1130" s="0" t="s">
        <v>62</v>
      </c>
      <c r="F1130" s="0" t="n">
        <v>432713</v>
      </c>
      <c r="G1130" s="0" t="s">
        <v>3101</v>
      </c>
      <c r="H1130" s="0" t="s">
        <v>3068</v>
      </c>
      <c r="I1130" s="0" t="n">
        <v>432713</v>
      </c>
      <c r="J1130" s="0" t="s">
        <v>4155</v>
      </c>
      <c r="K1130" s="0" t="s">
        <v>2715</v>
      </c>
      <c r="L1130" s="0" t="n">
        <v>2018</v>
      </c>
      <c r="M1130" s="0" t="s">
        <v>2001</v>
      </c>
      <c r="N1130" s="0" t="s">
        <v>160</v>
      </c>
      <c r="O1130" s="0" t="s">
        <v>2370</v>
      </c>
      <c r="P1130" s="0" t="s">
        <v>3017</v>
      </c>
      <c r="Q1130" s="0" t="n">
        <v>9</v>
      </c>
      <c r="R1130" s="0" t="n">
        <v>1</v>
      </c>
      <c r="S1130" s="0" t="n">
        <v>12</v>
      </c>
      <c r="T1130" s="0" t="s">
        <v>4732</v>
      </c>
      <c r="U1130" s="0" t="s">
        <v>4425</v>
      </c>
      <c r="V1130" s="0" t="s">
        <v>161</v>
      </c>
      <c r="W1130" s="0" t="s">
        <v>4738</v>
      </c>
      <c r="X1130" s="0" t="s">
        <v>4733</v>
      </c>
      <c r="Y1130" s="0" t="s">
        <v>4212</v>
      </c>
      <c r="Z1130" s="0" t="s">
        <v>4160</v>
      </c>
      <c r="AA1130" s="0" t="s">
        <v>4739</v>
      </c>
      <c r="AB1130" s="0" t="s">
        <v>3018</v>
      </c>
      <c r="AC1130" s="0" t="s">
        <v>4162</v>
      </c>
      <c r="AD1130" s="0" t="s">
        <v>4163</v>
      </c>
      <c r="AE1130" s="0" t="s">
        <v>4164</v>
      </c>
      <c r="AF1130" s="0" t="s">
        <v>4735</v>
      </c>
      <c r="AH1130" s="0" t="s">
        <v>2239</v>
      </c>
      <c r="AL1130" s="0" t="s">
        <v>539</v>
      </c>
    </row>
    <row r="1131" customFormat="false" ht="15" hidden="false" customHeight="false" outlineLevel="0" collapsed="false">
      <c r="A1131" s="0" t="s">
        <v>1159</v>
      </c>
      <c r="B1131" s="0" t="s">
        <v>149</v>
      </c>
      <c r="C1131" s="0" t="s">
        <v>4263</v>
      </c>
      <c r="D1131" s="0" t="n">
        <v>2018</v>
      </c>
      <c r="E1131" s="0" t="s">
        <v>59</v>
      </c>
      <c r="F1131" s="0" t="n">
        <v>1332723</v>
      </c>
      <c r="G1131" s="0" t="s">
        <v>3101</v>
      </c>
      <c r="H1131" s="0" t="s">
        <v>3068</v>
      </c>
      <c r="I1131" s="0" t="n">
        <v>1332723</v>
      </c>
      <c r="J1131" s="0" t="s">
        <v>4155</v>
      </c>
      <c r="K1131" s="0" t="s">
        <v>2715</v>
      </c>
      <c r="L1131" s="0" t="n">
        <v>2018</v>
      </c>
      <c r="M1131" s="0" t="s">
        <v>2001</v>
      </c>
      <c r="N1131" s="0" t="s">
        <v>160</v>
      </c>
      <c r="O1131" s="0" t="s">
        <v>2370</v>
      </c>
      <c r="P1131" s="0" t="s">
        <v>3017</v>
      </c>
      <c r="Q1131" s="0" t="n">
        <v>9</v>
      </c>
      <c r="R1131" s="0" t="n">
        <v>1</v>
      </c>
      <c r="T1131" s="0" t="s">
        <v>4740</v>
      </c>
      <c r="U1131" s="0" t="s">
        <v>4425</v>
      </c>
      <c r="V1131" s="0" t="s">
        <v>161</v>
      </c>
      <c r="W1131" s="0" t="s">
        <v>4403</v>
      </c>
      <c r="X1131" s="0" t="s">
        <v>4733</v>
      </c>
      <c r="Y1131" s="0" t="s">
        <v>4212</v>
      </c>
      <c r="Z1131" s="0" t="s">
        <v>4160</v>
      </c>
      <c r="AA1131" s="0" t="s">
        <v>4741</v>
      </c>
      <c r="AB1131" s="0" t="s">
        <v>3018</v>
      </c>
      <c r="AC1131" s="0" t="s">
        <v>4162</v>
      </c>
      <c r="AD1131" s="0" t="s">
        <v>4163</v>
      </c>
      <c r="AE1131" s="0" t="s">
        <v>4164</v>
      </c>
      <c r="AF1131" s="0" t="s">
        <v>4735</v>
      </c>
      <c r="AH1131" s="0" t="s">
        <v>2239</v>
      </c>
      <c r="AL1131" s="0" t="s">
        <v>539</v>
      </c>
    </row>
    <row r="1132" customFormat="false" ht="15" hidden="false" customHeight="false" outlineLevel="0" collapsed="false">
      <c r="A1132" s="0" t="s">
        <v>1155</v>
      </c>
      <c r="B1132" s="0" t="s">
        <v>149</v>
      </c>
      <c r="C1132" s="0" t="s">
        <v>4263</v>
      </c>
      <c r="D1132" s="0" t="n">
        <v>2018</v>
      </c>
      <c r="E1132" s="0" t="s">
        <v>54</v>
      </c>
      <c r="F1132" s="0" t="n">
        <v>49912</v>
      </c>
      <c r="G1132" s="0" t="s">
        <v>3101</v>
      </c>
      <c r="H1132" s="0" t="s">
        <v>3068</v>
      </c>
      <c r="I1132" s="0" t="n">
        <v>49912</v>
      </c>
      <c r="J1132" s="0" t="s">
        <v>4155</v>
      </c>
      <c r="K1132" s="0" t="s">
        <v>2715</v>
      </c>
      <c r="L1132" s="0" t="n">
        <v>2018</v>
      </c>
      <c r="M1132" s="0" t="s">
        <v>2001</v>
      </c>
      <c r="N1132" s="0" t="s">
        <v>160</v>
      </c>
      <c r="O1132" s="0" t="s">
        <v>2370</v>
      </c>
      <c r="P1132" s="0" t="s">
        <v>3017</v>
      </c>
      <c r="Q1132" s="0" t="n">
        <v>10</v>
      </c>
      <c r="R1132" s="0" t="n">
        <v>2</v>
      </c>
      <c r="T1132" s="0" t="s">
        <v>4424</v>
      </c>
      <c r="U1132" s="0" t="s">
        <v>4425</v>
      </c>
      <c r="V1132" s="0" t="s">
        <v>161</v>
      </c>
      <c r="W1132" s="0" t="s">
        <v>4742</v>
      </c>
      <c r="X1132" s="0" t="s">
        <v>4743</v>
      </c>
      <c r="Y1132" s="0" t="s">
        <v>4159</v>
      </c>
      <c r="Z1132" s="0" t="s">
        <v>4160</v>
      </c>
      <c r="AB1132" s="0" t="s">
        <v>3018</v>
      </c>
      <c r="AC1132" s="0" t="s">
        <v>4162</v>
      </c>
      <c r="AD1132" s="0" t="s">
        <v>4163</v>
      </c>
      <c r="AE1132" s="0" t="s">
        <v>4164</v>
      </c>
      <c r="AF1132" s="0" t="s">
        <v>4735</v>
      </c>
      <c r="AH1132" s="0" t="s">
        <v>2239</v>
      </c>
      <c r="AL1132" s="0" t="s">
        <v>523</v>
      </c>
    </row>
    <row r="1133" customFormat="false" ht="15" hidden="false" customHeight="false" outlineLevel="0" collapsed="false">
      <c r="A1133" s="0" t="s">
        <v>1163</v>
      </c>
      <c r="B1133" s="0" t="s">
        <v>149</v>
      </c>
      <c r="C1133" s="0" t="s">
        <v>4263</v>
      </c>
      <c r="D1133" s="0" t="n">
        <v>2018</v>
      </c>
      <c r="E1133" s="0" t="s">
        <v>541</v>
      </c>
      <c r="F1133" s="0" t="n">
        <v>52058</v>
      </c>
      <c r="G1133" s="0" t="s">
        <v>3101</v>
      </c>
      <c r="H1133" s="0" t="s">
        <v>3068</v>
      </c>
      <c r="I1133" s="0" t="n">
        <v>52058</v>
      </c>
      <c r="J1133" s="0" t="s">
        <v>4155</v>
      </c>
      <c r="K1133" s="0" t="s">
        <v>2715</v>
      </c>
      <c r="L1133" s="0" t="n">
        <v>2018</v>
      </c>
      <c r="M1133" s="0" t="s">
        <v>2001</v>
      </c>
      <c r="N1133" s="0" t="s">
        <v>160</v>
      </c>
      <c r="O1133" s="0" t="s">
        <v>2370</v>
      </c>
      <c r="P1133" s="0" t="s">
        <v>3017</v>
      </c>
      <c r="Q1133" s="0" t="n">
        <v>10</v>
      </c>
      <c r="R1133" s="0" t="n">
        <v>2</v>
      </c>
      <c r="T1133" s="0" t="s">
        <v>4424</v>
      </c>
      <c r="U1133" s="0" t="s">
        <v>4425</v>
      </c>
      <c r="V1133" s="0" t="s">
        <v>161</v>
      </c>
      <c r="W1133" s="0" t="s">
        <v>4744</v>
      </c>
      <c r="X1133" s="0" t="s">
        <v>4743</v>
      </c>
      <c r="Y1133" s="0" t="s">
        <v>4159</v>
      </c>
      <c r="Z1133" s="0" t="s">
        <v>4160</v>
      </c>
      <c r="AB1133" s="0" t="s">
        <v>3018</v>
      </c>
      <c r="AC1133" s="0" t="s">
        <v>4162</v>
      </c>
      <c r="AD1133" s="0" t="s">
        <v>4163</v>
      </c>
      <c r="AE1133" s="0" t="s">
        <v>4164</v>
      </c>
      <c r="AF1133" s="0" t="s">
        <v>4735</v>
      </c>
      <c r="AH1133" s="0" t="s">
        <v>2239</v>
      </c>
      <c r="AL1133" s="0" t="s">
        <v>523</v>
      </c>
    </row>
    <row r="1134" customFormat="false" ht="15" hidden="false" customHeight="false" outlineLevel="0" collapsed="false">
      <c r="A1134" s="0" t="s">
        <v>1161</v>
      </c>
      <c r="B1134" s="0" t="s">
        <v>149</v>
      </c>
      <c r="C1134" s="0" t="s">
        <v>4263</v>
      </c>
      <c r="D1134" s="0" t="n">
        <v>2018</v>
      </c>
      <c r="E1134" s="0" t="s">
        <v>63</v>
      </c>
      <c r="F1134" s="0" t="n">
        <v>2988</v>
      </c>
      <c r="G1134" s="0" t="s">
        <v>3101</v>
      </c>
      <c r="H1134" s="0" t="s">
        <v>3068</v>
      </c>
      <c r="I1134" s="0" t="n">
        <v>-2988</v>
      </c>
      <c r="J1134" s="0" t="s">
        <v>4155</v>
      </c>
      <c r="K1134" s="0" t="s">
        <v>2715</v>
      </c>
      <c r="L1134" s="0" t="n">
        <v>2018</v>
      </c>
      <c r="M1134" s="0" t="s">
        <v>2001</v>
      </c>
      <c r="N1134" s="0" t="s">
        <v>160</v>
      </c>
      <c r="O1134" s="0" t="s">
        <v>2370</v>
      </c>
      <c r="P1134" s="0" t="s">
        <v>3017</v>
      </c>
      <c r="Q1134" s="0" t="n">
        <v>10</v>
      </c>
      <c r="R1134" s="0" t="n">
        <v>2</v>
      </c>
      <c r="S1134" s="0" t="n">
        <v>30.6</v>
      </c>
      <c r="T1134" s="0" t="s">
        <v>4424</v>
      </c>
      <c r="U1134" s="0" t="s">
        <v>4425</v>
      </c>
      <c r="V1134" s="0" t="s">
        <v>161</v>
      </c>
      <c r="W1134" s="0" t="s">
        <v>4745</v>
      </c>
      <c r="X1134" s="0" t="s">
        <v>4743</v>
      </c>
      <c r="Y1134" s="0" t="s">
        <v>4159</v>
      </c>
      <c r="Z1134" s="0" t="s">
        <v>4160</v>
      </c>
      <c r="AA1134" s="0" t="s">
        <v>4242</v>
      </c>
      <c r="AB1134" s="0" t="s">
        <v>3018</v>
      </c>
      <c r="AC1134" s="0" t="s">
        <v>4162</v>
      </c>
      <c r="AD1134" s="0" t="s">
        <v>4163</v>
      </c>
      <c r="AE1134" s="0" t="s">
        <v>4164</v>
      </c>
      <c r="AF1134" s="0" t="s">
        <v>4735</v>
      </c>
      <c r="AH1134" s="0" t="s">
        <v>4174</v>
      </c>
      <c r="AI1134" s="0" t="s">
        <v>4746</v>
      </c>
      <c r="AL1134" s="0" t="s">
        <v>523</v>
      </c>
    </row>
    <row r="1135" customFormat="false" ht="15" hidden="false" customHeight="false" outlineLevel="0" collapsed="false">
      <c r="A1135" s="0" t="s">
        <v>1162</v>
      </c>
      <c r="B1135" s="0" t="s">
        <v>149</v>
      </c>
      <c r="C1135" s="0" t="s">
        <v>4263</v>
      </c>
      <c r="D1135" s="0" t="n">
        <v>2018</v>
      </c>
      <c r="E1135" s="0" t="s">
        <v>73</v>
      </c>
      <c r="F1135" s="0" t="n">
        <v>0</v>
      </c>
      <c r="G1135" s="0" t="s">
        <v>4257</v>
      </c>
      <c r="I1135" s="0" t="n">
        <v>0</v>
      </c>
      <c r="J1135" s="0" t="s">
        <v>4258</v>
      </c>
      <c r="K1135" s="0" t="s">
        <v>2715</v>
      </c>
      <c r="L1135" s="0" t="n">
        <v>2018</v>
      </c>
      <c r="M1135" s="0" t="s">
        <v>2001</v>
      </c>
      <c r="N1135" s="0" t="s">
        <v>160</v>
      </c>
      <c r="O1135" s="0" t="s">
        <v>2370</v>
      </c>
      <c r="P1135" s="0" t="s">
        <v>3017</v>
      </c>
      <c r="Q1135" s="0" t="n">
        <v>1</v>
      </c>
      <c r="S1135" s="0" t="s">
        <v>4664</v>
      </c>
      <c r="T1135" s="0" t="s">
        <v>4747</v>
      </c>
      <c r="U1135" s="0" t="s">
        <v>4425</v>
      </c>
      <c r="V1135" s="0" t="s">
        <v>161</v>
      </c>
      <c r="W1135" s="0" t="s">
        <v>4351</v>
      </c>
      <c r="X1135" s="0" t="s">
        <v>4748</v>
      </c>
      <c r="Y1135" s="0" t="s">
        <v>4212</v>
      </c>
      <c r="Z1135" s="0" t="s">
        <v>4160</v>
      </c>
      <c r="AA1135" s="0" t="s">
        <v>4749</v>
      </c>
      <c r="AB1135" s="0" t="s">
        <v>3018</v>
      </c>
      <c r="AC1135" s="0" t="s">
        <v>4162</v>
      </c>
      <c r="AD1135" s="0" t="s">
        <v>4163</v>
      </c>
      <c r="AG1135" s="0" t="s">
        <v>1828</v>
      </c>
      <c r="AH1135" s="0" t="s">
        <v>2239</v>
      </c>
      <c r="AL1135" s="0" t="s">
        <v>539</v>
      </c>
    </row>
    <row r="1136" customFormat="false" ht="15" hidden="false" customHeight="false" outlineLevel="0" collapsed="false">
      <c r="A1136" s="0" t="s">
        <v>1165</v>
      </c>
      <c r="B1136" s="0" t="s">
        <v>149</v>
      </c>
      <c r="C1136" s="0" t="s">
        <v>4263</v>
      </c>
      <c r="D1136" s="0" t="n">
        <v>2019</v>
      </c>
      <c r="E1136" s="0" t="s">
        <v>55</v>
      </c>
      <c r="F1136" s="0" t="n">
        <v>1792320</v>
      </c>
      <c r="G1136" s="0" t="s">
        <v>3101</v>
      </c>
      <c r="H1136" s="0" t="s">
        <v>3068</v>
      </c>
      <c r="I1136" s="0" t="n">
        <v>1792320</v>
      </c>
      <c r="J1136" s="0" t="s">
        <v>4155</v>
      </c>
      <c r="K1136" s="0" t="s">
        <v>2716</v>
      </c>
      <c r="L1136" s="0" t="n">
        <v>2019</v>
      </c>
      <c r="M1136" s="0" t="s">
        <v>2011</v>
      </c>
      <c r="N1136" s="0" t="s">
        <v>162</v>
      </c>
      <c r="O1136" s="0" t="s">
        <v>2412</v>
      </c>
      <c r="P1136" s="0" t="s">
        <v>3020</v>
      </c>
      <c r="Q1136" s="0" t="n">
        <v>8</v>
      </c>
      <c r="R1136" s="0" t="n">
        <v>1</v>
      </c>
      <c r="T1136" s="0" t="s">
        <v>4750</v>
      </c>
      <c r="U1136" s="0" t="s">
        <v>4461</v>
      </c>
      <c r="V1136" s="0" t="s">
        <v>163</v>
      </c>
      <c r="W1136" s="0" t="s">
        <v>4403</v>
      </c>
      <c r="X1136" s="0" t="s">
        <v>4751</v>
      </c>
      <c r="Y1136" s="0" t="s">
        <v>4212</v>
      </c>
      <c r="Z1136" s="0" t="s">
        <v>4160</v>
      </c>
      <c r="AA1136" s="0" t="s">
        <v>4734</v>
      </c>
      <c r="AB1136" s="0" t="s">
        <v>3021</v>
      </c>
      <c r="AC1136" s="0" t="s">
        <v>4162</v>
      </c>
      <c r="AD1136" s="0" t="s">
        <v>4163</v>
      </c>
      <c r="AE1136" s="0" t="s">
        <v>4164</v>
      </c>
      <c r="AF1136" s="0" t="s">
        <v>4752</v>
      </c>
      <c r="AH1136" s="0" t="s">
        <v>2239</v>
      </c>
      <c r="AL1136" s="0" t="s">
        <v>539</v>
      </c>
    </row>
    <row r="1137" customFormat="false" ht="15" hidden="false" customHeight="false" outlineLevel="0" collapsed="false">
      <c r="A1137" s="0" t="s">
        <v>1166</v>
      </c>
      <c r="B1137" s="0" t="s">
        <v>149</v>
      </c>
      <c r="C1137" s="0" t="s">
        <v>4263</v>
      </c>
      <c r="D1137" s="0" t="n">
        <v>2019</v>
      </c>
      <c r="E1137" s="0" t="s">
        <v>56</v>
      </c>
      <c r="F1137" s="0" t="n">
        <v>1590980</v>
      </c>
      <c r="G1137" s="0" t="s">
        <v>3101</v>
      </c>
      <c r="H1137" s="0" t="s">
        <v>3068</v>
      </c>
      <c r="I1137" s="0" t="n">
        <v>1590980</v>
      </c>
      <c r="J1137" s="0" t="s">
        <v>4155</v>
      </c>
      <c r="K1137" s="0" t="s">
        <v>2716</v>
      </c>
      <c r="L1137" s="0" t="n">
        <v>2019</v>
      </c>
      <c r="M1137" s="0" t="s">
        <v>2011</v>
      </c>
      <c r="N1137" s="0" t="s">
        <v>162</v>
      </c>
      <c r="O1137" s="0" t="s">
        <v>2412</v>
      </c>
      <c r="P1137" s="0" t="s">
        <v>3020</v>
      </c>
      <c r="Q1137" s="0" t="n">
        <v>8</v>
      </c>
      <c r="R1137" s="0" t="n">
        <v>1</v>
      </c>
      <c r="T1137" s="0" t="s">
        <v>4750</v>
      </c>
      <c r="U1137" s="0" t="s">
        <v>4461</v>
      </c>
      <c r="V1137" s="0" t="s">
        <v>163</v>
      </c>
      <c r="W1137" s="0" t="s">
        <v>4736</v>
      </c>
      <c r="X1137" s="0" t="s">
        <v>4751</v>
      </c>
      <c r="Y1137" s="0" t="s">
        <v>4212</v>
      </c>
      <c r="Z1137" s="0" t="s">
        <v>4160</v>
      </c>
      <c r="AA1137" s="0" t="s">
        <v>4734</v>
      </c>
      <c r="AB1137" s="0" t="s">
        <v>3021</v>
      </c>
      <c r="AC1137" s="0" t="s">
        <v>4162</v>
      </c>
      <c r="AD1137" s="0" t="s">
        <v>4163</v>
      </c>
      <c r="AE1137" s="0" t="s">
        <v>4164</v>
      </c>
      <c r="AF1137" s="0" t="s">
        <v>4752</v>
      </c>
      <c r="AH1137" s="0" t="s">
        <v>2239</v>
      </c>
      <c r="AL1137" s="0" t="s">
        <v>539</v>
      </c>
    </row>
    <row r="1138" customFormat="false" ht="15" hidden="false" customHeight="false" outlineLevel="0" collapsed="false">
      <c r="A1138" s="0" t="s">
        <v>1167</v>
      </c>
      <c r="B1138" s="0" t="s">
        <v>149</v>
      </c>
      <c r="C1138" s="0" t="s">
        <v>4263</v>
      </c>
      <c r="D1138" s="0" t="n">
        <v>2019</v>
      </c>
      <c r="E1138" s="0" t="s">
        <v>57</v>
      </c>
      <c r="F1138" s="0" t="n">
        <v>201340</v>
      </c>
      <c r="G1138" s="0" t="s">
        <v>3101</v>
      </c>
      <c r="H1138" s="0" t="s">
        <v>3068</v>
      </c>
      <c r="I1138" s="0" t="n">
        <v>201340</v>
      </c>
      <c r="J1138" s="0" t="s">
        <v>4155</v>
      </c>
      <c r="K1138" s="0" t="s">
        <v>2716</v>
      </c>
      <c r="L1138" s="0" t="n">
        <v>2019</v>
      </c>
      <c r="M1138" s="0" t="s">
        <v>2011</v>
      </c>
      <c r="N1138" s="0" t="s">
        <v>162</v>
      </c>
      <c r="O1138" s="0" t="s">
        <v>2412</v>
      </c>
      <c r="P1138" s="0" t="s">
        <v>3020</v>
      </c>
      <c r="Q1138" s="0" t="n">
        <v>8</v>
      </c>
      <c r="R1138" s="0" t="n">
        <v>1</v>
      </c>
      <c r="T1138" s="0" t="s">
        <v>4750</v>
      </c>
      <c r="U1138" s="0" t="s">
        <v>4461</v>
      </c>
      <c r="V1138" s="0" t="s">
        <v>163</v>
      </c>
      <c r="W1138" s="0" t="s">
        <v>4737</v>
      </c>
      <c r="X1138" s="0" t="s">
        <v>4751</v>
      </c>
      <c r="Y1138" s="0" t="s">
        <v>4212</v>
      </c>
      <c r="Z1138" s="0" t="s">
        <v>4160</v>
      </c>
      <c r="AA1138" s="0" t="s">
        <v>4734</v>
      </c>
      <c r="AB1138" s="0" t="s">
        <v>3021</v>
      </c>
      <c r="AC1138" s="0" t="s">
        <v>4162</v>
      </c>
      <c r="AD1138" s="0" t="s">
        <v>4163</v>
      </c>
      <c r="AE1138" s="0" t="s">
        <v>4164</v>
      </c>
      <c r="AF1138" s="0" t="s">
        <v>4752</v>
      </c>
      <c r="AH1138" s="0" t="s">
        <v>2239</v>
      </c>
      <c r="AL1138" s="0" t="s">
        <v>539</v>
      </c>
    </row>
    <row r="1139" customFormat="false" ht="15" hidden="false" customHeight="false" outlineLevel="0" collapsed="false">
      <c r="A1139" s="0" t="s">
        <v>1169</v>
      </c>
      <c r="B1139" s="0" t="s">
        <v>149</v>
      </c>
      <c r="C1139" s="0" t="s">
        <v>4263</v>
      </c>
      <c r="D1139" s="0" t="n">
        <v>2019</v>
      </c>
      <c r="E1139" s="0" t="s">
        <v>62</v>
      </c>
      <c r="F1139" s="0" t="n">
        <v>532124</v>
      </c>
      <c r="G1139" s="0" t="s">
        <v>3101</v>
      </c>
      <c r="H1139" s="0" t="s">
        <v>3068</v>
      </c>
      <c r="I1139" s="0" t="n">
        <v>532124</v>
      </c>
      <c r="J1139" s="0" t="s">
        <v>4155</v>
      </c>
      <c r="K1139" s="0" t="s">
        <v>2716</v>
      </c>
      <c r="L1139" s="0" t="n">
        <v>2019</v>
      </c>
      <c r="M1139" s="0" t="s">
        <v>2011</v>
      </c>
      <c r="N1139" s="0" t="s">
        <v>162</v>
      </c>
      <c r="O1139" s="0" t="s">
        <v>2412</v>
      </c>
      <c r="P1139" s="0" t="s">
        <v>3020</v>
      </c>
      <c r="Q1139" s="0" t="n">
        <v>8</v>
      </c>
      <c r="R1139" s="0" t="n">
        <v>1</v>
      </c>
      <c r="S1139" s="0" t="n">
        <v>12</v>
      </c>
      <c r="T1139" s="0" t="s">
        <v>4750</v>
      </c>
      <c r="U1139" s="0" t="s">
        <v>4461</v>
      </c>
      <c r="V1139" s="0" t="s">
        <v>163</v>
      </c>
      <c r="W1139" s="0" t="s">
        <v>4738</v>
      </c>
      <c r="X1139" s="0" t="s">
        <v>4751</v>
      </c>
      <c r="Y1139" s="0" t="s">
        <v>4212</v>
      </c>
      <c r="Z1139" s="0" t="s">
        <v>4160</v>
      </c>
      <c r="AA1139" s="0" t="s">
        <v>4739</v>
      </c>
      <c r="AB1139" s="0" t="s">
        <v>3021</v>
      </c>
      <c r="AC1139" s="0" t="s">
        <v>4162</v>
      </c>
      <c r="AD1139" s="0" t="s">
        <v>4163</v>
      </c>
      <c r="AE1139" s="0" t="s">
        <v>4164</v>
      </c>
      <c r="AF1139" s="0" t="s">
        <v>4752</v>
      </c>
      <c r="AH1139" s="0" t="s">
        <v>2239</v>
      </c>
      <c r="AL1139" s="0" t="s">
        <v>539</v>
      </c>
    </row>
    <row r="1140" customFormat="false" ht="15" hidden="false" customHeight="false" outlineLevel="0" collapsed="false">
      <c r="A1140" s="0" t="s">
        <v>1168</v>
      </c>
      <c r="B1140" s="0" t="s">
        <v>149</v>
      </c>
      <c r="C1140" s="0" t="s">
        <v>4263</v>
      </c>
      <c r="D1140" s="0" t="n">
        <v>2019</v>
      </c>
      <c r="E1140" s="0" t="s">
        <v>59</v>
      </c>
      <c r="F1140" s="0" t="n">
        <v>1599245</v>
      </c>
      <c r="G1140" s="0" t="s">
        <v>3101</v>
      </c>
      <c r="H1140" s="0" t="s">
        <v>3068</v>
      </c>
      <c r="I1140" s="0" t="n">
        <v>1599245</v>
      </c>
      <c r="J1140" s="0" t="s">
        <v>4155</v>
      </c>
      <c r="K1140" s="0" t="s">
        <v>2716</v>
      </c>
      <c r="L1140" s="0" t="n">
        <v>2019</v>
      </c>
      <c r="M1140" s="0" t="s">
        <v>2011</v>
      </c>
      <c r="N1140" s="0" t="s">
        <v>162</v>
      </c>
      <c r="O1140" s="0" t="s">
        <v>2412</v>
      </c>
      <c r="P1140" s="0" t="s">
        <v>3020</v>
      </c>
      <c r="Q1140" s="0" t="n">
        <v>8</v>
      </c>
      <c r="R1140" s="0" t="n">
        <v>1</v>
      </c>
      <c r="T1140" s="0" t="s">
        <v>4732</v>
      </c>
      <c r="U1140" s="0" t="s">
        <v>4461</v>
      </c>
      <c r="V1140" s="0" t="s">
        <v>163</v>
      </c>
      <c r="W1140" s="0" t="s">
        <v>4403</v>
      </c>
      <c r="X1140" s="0" t="s">
        <v>4751</v>
      </c>
      <c r="Y1140" s="0" t="s">
        <v>4212</v>
      </c>
      <c r="Z1140" s="0" t="s">
        <v>4160</v>
      </c>
      <c r="AA1140" s="0" t="s">
        <v>4741</v>
      </c>
      <c r="AB1140" s="0" t="s">
        <v>3021</v>
      </c>
      <c r="AC1140" s="0" t="s">
        <v>4162</v>
      </c>
      <c r="AD1140" s="0" t="s">
        <v>4163</v>
      </c>
      <c r="AE1140" s="0" t="s">
        <v>4164</v>
      </c>
      <c r="AF1140" s="0" t="s">
        <v>4752</v>
      </c>
      <c r="AH1140" s="0" t="s">
        <v>2239</v>
      </c>
      <c r="AL1140" s="0" t="s">
        <v>539</v>
      </c>
    </row>
    <row r="1141" customFormat="false" ht="15" hidden="false" customHeight="false" outlineLevel="0" collapsed="false">
      <c r="A1141" s="0" t="s">
        <v>1164</v>
      </c>
      <c r="B1141" s="0" t="s">
        <v>149</v>
      </c>
      <c r="C1141" s="0" t="s">
        <v>4263</v>
      </c>
      <c r="D1141" s="0" t="n">
        <v>2019</v>
      </c>
      <c r="E1141" s="0" t="s">
        <v>54</v>
      </c>
      <c r="F1141" s="0" t="n">
        <v>52287</v>
      </c>
      <c r="G1141" s="0" t="s">
        <v>3101</v>
      </c>
      <c r="H1141" s="0" t="s">
        <v>3068</v>
      </c>
      <c r="I1141" s="0" t="n">
        <v>52287</v>
      </c>
      <c r="J1141" s="0" t="s">
        <v>4155</v>
      </c>
      <c r="K1141" s="0" t="s">
        <v>2716</v>
      </c>
      <c r="L1141" s="0" t="n">
        <v>2019</v>
      </c>
      <c r="M1141" s="0" t="s">
        <v>2011</v>
      </c>
      <c r="N1141" s="0" t="s">
        <v>162</v>
      </c>
      <c r="O1141" s="0" t="s">
        <v>2412</v>
      </c>
      <c r="P1141" s="0" t="s">
        <v>3020</v>
      </c>
      <c r="Q1141" s="0" t="n">
        <v>9</v>
      </c>
      <c r="R1141" s="0" t="n">
        <v>2</v>
      </c>
      <c r="T1141" s="0" t="s">
        <v>4460</v>
      </c>
      <c r="U1141" s="0" t="s">
        <v>4461</v>
      </c>
      <c r="V1141" s="0" t="s">
        <v>163</v>
      </c>
      <c r="W1141" s="0" t="s">
        <v>4753</v>
      </c>
      <c r="X1141" s="0" t="s">
        <v>4754</v>
      </c>
      <c r="Y1141" s="0" t="s">
        <v>4159</v>
      </c>
      <c r="Z1141" s="0" t="s">
        <v>4160</v>
      </c>
      <c r="AB1141" s="0" t="s">
        <v>3021</v>
      </c>
      <c r="AC1141" s="0" t="s">
        <v>4162</v>
      </c>
      <c r="AD1141" s="0" t="s">
        <v>4163</v>
      </c>
      <c r="AE1141" s="0" t="s">
        <v>4164</v>
      </c>
      <c r="AF1141" s="0" t="s">
        <v>4752</v>
      </c>
      <c r="AH1141" s="0" t="s">
        <v>2239</v>
      </c>
      <c r="AL1141" s="0" t="s">
        <v>523</v>
      </c>
    </row>
    <row r="1142" customFormat="false" ht="15" hidden="false" customHeight="false" outlineLevel="0" collapsed="false">
      <c r="A1142" s="0" t="s">
        <v>1172</v>
      </c>
      <c r="B1142" s="0" t="s">
        <v>149</v>
      </c>
      <c r="C1142" s="0" t="s">
        <v>4263</v>
      </c>
      <c r="D1142" s="0" t="n">
        <v>2019</v>
      </c>
      <c r="E1142" s="0" t="s">
        <v>541</v>
      </c>
      <c r="F1142" s="0" t="n">
        <v>56983</v>
      </c>
      <c r="G1142" s="0" t="s">
        <v>3101</v>
      </c>
      <c r="H1142" s="0" t="s">
        <v>3068</v>
      </c>
      <c r="I1142" s="0" t="n">
        <v>56983</v>
      </c>
      <c r="J1142" s="0" t="s">
        <v>4155</v>
      </c>
      <c r="K1142" s="0" t="s">
        <v>2716</v>
      </c>
      <c r="L1142" s="0" t="n">
        <v>2019</v>
      </c>
      <c r="M1142" s="0" t="s">
        <v>2011</v>
      </c>
      <c r="N1142" s="0" t="s">
        <v>162</v>
      </c>
      <c r="O1142" s="0" t="s">
        <v>2412</v>
      </c>
      <c r="P1142" s="0" t="s">
        <v>3020</v>
      </c>
      <c r="Q1142" s="0" t="n">
        <v>9</v>
      </c>
      <c r="R1142" s="0" t="n">
        <v>2</v>
      </c>
      <c r="T1142" s="0" t="s">
        <v>4460</v>
      </c>
      <c r="U1142" s="0" t="s">
        <v>4461</v>
      </c>
      <c r="V1142" s="0" t="s">
        <v>163</v>
      </c>
      <c r="W1142" s="0" t="s">
        <v>4755</v>
      </c>
      <c r="X1142" s="0" t="s">
        <v>4754</v>
      </c>
      <c r="Y1142" s="0" t="s">
        <v>4159</v>
      </c>
      <c r="Z1142" s="0" t="s">
        <v>4160</v>
      </c>
      <c r="AB1142" s="0" t="s">
        <v>3021</v>
      </c>
      <c r="AC1142" s="0" t="s">
        <v>4162</v>
      </c>
      <c r="AD1142" s="0" t="s">
        <v>4163</v>
      </c>
      <c r="AE1142" s="0" t="s">
        <v>4164</v>
      </c>
      <c r="AF1142" s="0" t="s">
        <v>4752</v>
      </c>
      <c r="AH1142" s="0" t="s">
        <v>2239</v>
      </c>
      <c r="AL1142" s="0" t="s">
        <v>523</v>
      </c>
    </row>
    <row r="1143" customFormat="false" ht="15" hidden="false" customHeight="false" outlineLevel="0" collapsed="false">
      <c r="A1143" s="0" t="s">
        <v>1170</v>
      </c>
      <c r="B1143" s="0" t="s">
        <v>149</v>
      </c>
      <c r="C1143" s="0" t="s">
        <v>4263</v>
      </c>
      <c r="D1143" s="0" t="n">
        <v>2019</v>
      </c>
      <c r="E1143" s="0" t="s">
        <v>63</v>
      </c>
      <c r="F1143" s="0" t="n">
        <v>-1664</v>
      </c>
      <c r="G1143" s="0" t="s">
        <v>3101</v>
      </c>
      <c r="H1143" s="0" t="s">
        <v>3068</v>
      </c>
      <c r="I1143" s="0" t="n">
        <v>1664</v>
      </c>
      <c r="J1143" s="0" t="s">
        <v>4155</v>
      </c>
      <c r="K1143" s="0" t="s">
        <v>2716</v>
      </c>
      <c r="L1143" s="0" t="n">
        <v>2019</v>
      </c>
      <c r="M1143" s="0" t="s">
        <v>2011</v>
      </c>
      <c r="N1143" s="0" t="s">
        <v>162</v>
      </c>
      <c r="O1143" s="0" t="s">
        <v>2412</v>
      </c>
      <c r="P1143" s="0" t="s">
        <v>3020</v>
      </c>
      <c r="Q1143" s="0" t="n">
        <v>9</v>
      </c>
      <c r="R1143" s="0" t="n">
        <v>2</v>
      </c>
      <c r="S1143" s="0" t="n">
        <v>31.6</v>
      </c>
      <c r="T1143" s="0" t="s">
        <v>4460</v>
      </c>
      <c r="U1143" s="0" t="s">
        <v>4461</v>
      </c>
      <c r="V1143" s="0" t="s">
        <v>163</v>
      </c>
      <c r="W1143" s="0" t="s">
        <v>4756</v>
      </c>
      <c r="X1143" s="0" t="s">
        <v>4754</v>
      </c>
      <c r="Y1143" s="0" t="s">
        <v>4159</v>
      </c>
      <c r="Z1143" s="0" t="s">
        <v>4160</v>
      </c>
      <c r="AA1143" s="0" t="s">
        <v>4242</v>
      </c>
      <c r="AB1143" s="0" t="s">
        <v>3021</v>
      </c>
      <c r="AC1143" s="0" t="s">
        <v>4162</v>
      </c>
      <c r="AD1143" s="0" t="s">
        <v>4163</v>
      </c>
      <c r="AE1143" s="0" t="s">
        <v>4164</v>
      </c>
      <c r="AF1143" s="0" t="s">
        <v>4752</v>
      </c>
      <c r="AH1143" s="0" t="s">
        <v>4174</v>
      </c>
      <c r="AI1143" s="0" t="s">
        <v>4757</v>
      </c>
      <c r="AL1143" s="0" t="s">
        <v>523</v>
      </c>
    </row>
    <row r="1144" customFormat="false" ht="15" hidden="false" customHeight="false" outlineLevel="0" collapsed="false">
      <c r="A1144" s="0" t="s">
        <v>1171</v>
      </c>
      <c r="B1144" s="0" t="s">
        <v>149</v>
      </c>
      <c r="C1144" s="0" t="s">
        <v>4263</v>
      </c>
      <c r="D1144" s="0" t="n">
        <v>2019</v>
      </c>
      <c r="E1144" s="0" t="s">
        <v>73</v>
      </c>
      <c r="F1144" s="0" t="n">
        <v>0</v>
      </c>
      <c r="G1144" s="0" t="s">
        <v>4257</v>
      </c>
      <c r="I1144" s="0" t="n">
        <v>0</v>
      </c>
      <c r="J1144" s="0" t="s">
        <v>4258</v>
      </c>
      <c r="K1144" s="0" t="s">
        <v>2716</v>
      </c>
      <c r="L1144" s="0" t="n">
        <v>2019</v>
      </c>
      <c r="M1144" s="0" t="s">
        <v>2011</v>
      </c>
      <c r="N1144" s="0" t="s">
        <v>162</v>
      </c>
      <c r="O1144" s="0" t="s">
        <v>2412</v>
      </c>
      <c r="P1144" s="0" t="s">
        <v>3020</v>
      </c>
      <c r="Q1144" s="0" t="n">
        <v>1</v>
      </c>
      <c r="S1144" s="0" t="s">
        <v>4664</v>
      </c>
      <c r="T1144" s="0" t="s">
        <v>4758</v>
      </c>
      <c r="U1144" s="0" t="s">
        <v>4461</v>
      </c>
      <c r="V1144" s="0" t="s">
        <v>163</v>
      </c>
      <c r="W1144" s="0" t="s">
        <v>4351</v>
      </c>
      <c r="X1144" s="0" t="s">
        <v>4759</v>
      </c>
      <c r="Y1144" s="0" t="s">
        <v>4212</v>
      </c>
      <c r="Z1144" s="0" t="s">
        <v>4160</v>
      </c>
      <c r="AA1144" s="0" t="s">
        <v>4760</v>
      </c>
      <c r="AB1144" s="0" t="s">
        <v>3021</v>
      </c>
      <c r="AC1144" s="0" t="s">
        <v>4162</v>
      </c>
      <c r="AD1144" s="0" t="s">
        <v>4163</v>
      </c>
      <c r="AG1144" s="0" t="s">
        <v>1828</v>
      </c>
      <c r="AH1144" s="0" t="s">
        <v>2239</v>
      </c>
      <c r="AL1144" s="0" t="s">
        <v>539</v>
      </c>
    </row>
    <row r="1145" customFormat="false" ht="15" hidden="false" customHeight="false" outlineLevel="0" collapsed="false">
      <c r="A1145" s="0" t="s">
        <v>784</v>
      </c>
      <c r="B1145" s="0" t="s">
        <v>115</v>
      </c>
      <c r="C1145" s="0" t="s">
        <v>4633</v>
      </c>
      <c r="D1145" s="0" t="n">
        <v>2014</v>
      </c>
      <c r="E1145" s="0" t="s">
        <v>55</v>
      </c>
      <c r="F1145" s="0" t="n">
        <v>1187025</v>
      </c>
      <c r="G1145" s="0" t="s">
        <v>3101</v>
      </c>
      <c r="H1145" s="0" t="s">
        <v>3068</v>
      </c>
      <c r="I1145" s="0" t="n">
        <v>1187025</v>
      </c>
      <c r="J1145" s="0" t="s">
        <v>4634</v>
      </c>
      <c r="K1145" s="0" t="s">
        <v>2690</v>
      </c>
      <c r="L1145" s="0" t="n">
        <v>2014</v>
      </c>
      <c r="M1145" s="0" t="s">
        <v>1945</v>
      </c>
      <c r="N1145" s="0" t="s">
        <v>117</v>
      </c>
      <c r="O1145" s="0" t="s">
        <v>2450</v>
      </c>
      <c r="P1145" s="0" t="s">
        <v>4761</v>
      </c>
      <c r="Q1145" s="0" t="n">
        <v>98</v>
      </c>
      <c r="S1145" s="0" t="s">
        <v>4762</v>
      </c>
      <c r="T1145" s="0" t="n">
        <v>2014</v>
      </c>
      <c r="U1145" s="0" t="s">
        <v>4763</v>
      </c>
      <c r="V1145" s="0" t="s">
        <v>105</v>
      </c>
      <c r="W1145" s="0" t="s">
        <v>4764</v>
      </c>
      <c r="X1145" s="0" t="s">
        <v>4765</v>
      </c>
      <c r="Y1145" s="0" t="s">
        <v>4159</v>
      </c>
      <c r="Z1145" s="0" t="s">
        <v>4160</v>
      </c>
      <c r="AA1145" s="0" t="s">
        <v>4766</v>
      </c>
      <c r="AB1145" s="0" t="s">
        <v>4767</v>
      </c>
      <c r="AC1145" s="0" t="s">
        <v>4162</v>
      </c>
      <c r="AD1145" s="0" t="s">
        <v>4637</v>
      </c>
      <c r="AE1145" s="0" t="s">
        <v>1892</v>
      </c>
      <c r="AF1145" s="0" t="s">
        <v>4768</v>
      </c>
      <c r="AH1145" s="0" t="s">
        <v>2239</v>
      </c>
      <c r="AL1145" s="0" t="s">
        <v>523</v>
      </c>
    </row>
    <row r="1146" customFormat="false" ht="15" hidden="false" customHeight="false" outlineLevel="0" collapsed="false">
      <c r="A1146" s="0" t="s">
        <v>785</v>
      </c>
      <c r="B1146" s="0" t="s">
        <v>115</v>
      </c>
      <c r="C1146" s="0" t="s">
        <v>4633</v>
      </c>
      <c r="D1146" s="0" t="n">
        <v>2014</v>
      </c>
      <c r="E1146" s="0" t="s">
        <v>56</v>
      </c>
      <c r="F1146" s="0" t="n">
        <v>1013914</v>
      </c>
      <c r="G1146" s="0" t="s">
        <v>3101</v>
      </c>
      <c r="H1146" s="0" t="s">
        <v>3068</v>
      </c>
      <c r="I1146" s="0" t="n">
        <v>1013914</v>
      </c>
      <c r="J1146" s="0" t="s">
        <v>4634</v>
      </c>
      <c r="K1146" s="0" t="s">
        <v>2690</v>
      </c>
      <c r="L1146" s="0" t="n">
        <v>2014</v>
      </c>
      <c r="M1146" s="0" t="s">
        <v>1945</v>
      </c>
      <c r="N1146" s="0" t="s">
        <v>117</v>
      </c>
      <c r="O1146" s="0" t="s">
        <v>2450</v>
      </c>
      <c r="P1146" s="0" t="s">
        <v>4761</v>
      </c>
      <c r="Q1146" s="0" t="n">
        <v>98</v>
      </c>
      <c r="S1146" s="0" t="s">
        <v>4762</v>
      </c>
      <c r="T1146" s="0" t="n">
        <v>2014</v>
      </c>
      <c r="U1146" s="0" t="s">
        <v>4763</v>
      </c>
      <c r="V1146" s="0" t="s">
        <v>105</v>
      </c>
      <c r="W1146" s="0" t="s">
        <v>4769</v>
      </c>
      <c r="X1146" s="0" t="s">
        <v>4765</v>
      </c>
      <c r="Y1146" s="0" t="s">
        <v>4159</v>
      </c>
      <c r="Z1146" s="0" t="s">
        <v>4160</v>
      </c>
      <c r="AB1146" s="0" t="s">
        <v>4767</v>
      </c>
      <c r="AC1146" s="0" t="s">
        <v>4162</v>
      </c>
      <c r="AD1146" s="0" t="s">
        <v>4637</v>
      </c>
      <c r="AE1146" s="0" t="s">
        <v>1892</v>
      </c>
      <c r="AF1146" s="0" t="s">
        <v>4768</v>
      </c>
      <c r="AH1146" s="0" t="s">
        <v>2239</v>
      </c>
      <c r="AL1146" s="0" t="s">
        <v>523</v>
      </c>
    </row>
    <row r="1147" customFormat="false" ht="15" hidden="false" customHeight="false" outlineLevel="0" collapsed="false">
      <c r="A1147" s="0" t="s">
        <v>786</v>
      </c>
      <c r="B1147" s="0" t="s">
        <v>115</v>
      </c>
      <c r="C1147" s="0" t="s">
        <v>4633</v>
      </c>
      <c r="D1147" s="0" t="n">
        <v>2014</v>
      </c>
      <c r="E1147" s="0" t="s">
        <v>57</v>
      </c>
      <c r="F1147" s="0" t="n">
        <v>173111</v>
      </c>
      <c r="G1147" s="0" t="s">
        <v>3101</v>
      </c>
      <c r="H1147" s="0" t="s">
        <v>3068</v>
      </c>
      <c r="I1147" s="0" t="n">
        <v>173111</v>
      </c>
      <c r="J1147" s="0" t="s">
        <v>4634</v>
      </c>
      <c r="K1147" s="0" t="s">
        <v>2690</v>
      </c>
      <c r="L1147" s="0" t="n">
        <v>2014</v>
      </c>
      <c r="M1147" s="0" t="s">
        <v>1945</v>
      </c>
      <c r="N1147" s="0" t="s">
        <v>117</v>
      </c>
      <c r="O1147" s="0" t="s">
        <v>2450</v>
      </c>
      <c r="P1147" s="0" t="s">
        <v>4761</v>
      </c>
      <c r="Q1147" s="0" t="n">
        <v>98</v>
      </c>
      <c r="S1147" s="0" t="s">
        <v>4762</v>
      </c>
      <c r="T1147" s="0" t="n">
        <v>2014</v>
      </c>
      <c r="U1147" s="0" t="s">
        <v>4763</v>
      </c>
      <c r="V1147" s="0" t="s">
        <v>105</v>
      </c>
      <c r="W1147" s="0" t="s">
        <v>4770</v>
      </c>
      <c r="X1147" s="0" t="s">
        <v>4765</v>
      </c>
      <c r="Y1147" s="0" t="s">
        <v>4159</v>
      </c>
      <c r="Z1147" s="0" t="s">
        <v>4160</v>
      </c>
      <c r="AB1147" s="0" t="s">
        <v>4767</v>
      </c>
      <c r="AC1147" s="0" t="s">
        <v>4162</v>
      </c>
      <c r="AD1147" s="0" t="s">
        <v>4637</v>
      </c>
      <c r="AE1147" s="0" t="s">
        <v>1892</v>
      </c>
      <c r="AF1147" s="0" t="s">
        <v>4768</v>
      </c>
      <c r="AH1147" s="0" t="s">
        <v>2239</v>
      </c>
      <c r="AL1147" s="0" t="s">
        <v>523</v>
      </c>
    </row>
    <row r="1148" customFormat="false" ht="15" hidden="false" customHeight="false" outlineLevel="0" collapsed="false">
      <c r="A1148" s="0" t="s">
        <v>783</v>
      </c>
      <c r="B1148" s="0" t="s">
        <v>115</v>
      </c>
      <c r="C1148" s="0" t="s">
        <v>4633</v>
      </c>
      <c r="D1148" s="0" t="n">
        <v>2014</v>
      </c>
      <c r="E1148" s="0" t="s">
        <v>54</v>
      </c>
      <c r="F1148" s="0" t="n">
        <v>13796</v>
      </c>
      <c r="G1148" s="0" t="s">
        <v>3101</v>
      </c>
      <c r="H1148" s="0" t="s">
        <v>3068</v>
      </c>
      <c r="I1148" s="0" t="n">
        <v>13796</v>
      </c>
      <c r="J1148" s="0" t="s">
        <v>4634</v>
      </c>
      <c r="K1148" s="0" t="s">
        <v>2690</v>
      </c>
      <c r="L1148" s="0" t="n">
        <v>2014</v>
      </c>
      <c r="M1148" s="0" t="s">
        <v>1945</v>
      </c>
      <c r="N1148" s="0" t="s">
        <v>117</v>
      </c>
      <c r="O1148" s="0" t="s">
        <v>2450</v>
      </c>
      <c r="P1148" s="0" t="s">
        <v>4761</v>
      </c>
      <c r="Q1148" s="0" t="n">
        <v>96</v>
      </c>
      <c r="R1148" s="0" t="n">
        <v>96</v>
      </c>
      <c r="T1148" s="0" t="n">
        <v>2014</v>
      </c>
      <c r="U1148" s="0" t="s">
        <v>4763</v>
      </c>
      <c r="V1148" s="0" t="s">
        <v>105</v>
      </c>
      <c r="W1148" s="0" t="s">
        <v>4771</v>
      </c>
      <c r="X1148" s="0" t="s">
        <v>4772</v>
      </c>
      <c r="Y1148" s="0" t="s">
        <v>4159</v>
      </c>
      <c r="Z1148" s="0" t="s">
        <v>4160</v>
      </c>
      <c r="AB1148" s="0" t="s">
        <v>4767</v>
      </c>
      <c r="AC1148" s="0" t="s">
        <v>4162</v>
      </c>
      <c r="AD1148" s="0" t="s">
        <v>4637</v>
      </c>
      <c r="AE1148" s="0" t="s">
        <v>1892</v>
      </c>
      <c r="AF1148" s="0" t="s">
        <v>4768</v>
      </c>
      <c r="AH1148" s="0" t="s">
        <v>2239</v>
      </c>
      <c r="AL1148" s="0" t="s">
        <v>523</v>
      </c>
    </row>
    <row r="1149" customFormat="false" ht="15" hidden="false" customHeight="false" outlineLevel="0" collapsed="false">
      <c r="A1149" s="0" t="s">
        <v>798</v>
      </c>
      <c r="B1149" s="0" t="s">
        <v>115</v>
      </c>
      <c r="C1149" s="0" t="s">
        <v>4633</v>
      </c>
      <c r="D1149" s="0" t="n">
        <v>2014</v>
      </c>
      <c r="E1149" s="0" t="s">
        <v>541</v>
      </c>
      <c r="F1149" s="0" t="n">
        <v>15515</v>
      </c>
      <c r="G1149" s="0" t="s">
        <v>3101</v>
      </c>
      <c r="H1149" s="0" t="s">
        <v>3068</v>
      </c>
      <c r="I1149" s="0" t="n">
        <v>15515</v>
      </c>
      <c r="J1149" s="0" t="s">
        <v>4634</v>
      </c>
      <c r="K1149" s="0" t="s">
        <v>2690</v>
      </c>
      <c r="L1149" s="0" t="n">
        <v>2014</v>
      </c>
      <c r="M1149" s="0" t="s">
        <v>1945</v>
      </c>
      <c r="N1149" s="0" t="s">
        <v>117</v>
      </c>
      <c r="O1149" s="0" t="s">
        <v>2450</v>
      </c>
      <c r="P1149" s="0" t="s">
        <v>4761</v>
      </c>
      <c r="Q1149" s="0" t="n">
        <v>96</v>
      </c>
      <c r="R1149" s="0" t="n">
        <v>96</v>
      </c>
      <c r="T1149" s="0" t="n">
        <v>2014</v>
      </c>
      <c r="U1149" s="0" t="s">
        <v>4763</v>
      </c>
      <c r="V1149" s="0" t="s">
        <v>105</v>
      </c>
      <c r="W1149" s="0" t="s">
        <v>4773</v>
      </c>
      <c r="X1149" s="0" t="s">
        <v>4772</v>
      </c>
      <c r="Y1149" s="0" t="s">
        <v>4159</v>
      </c>
      <c r="Z1149" s="0" t="s">
        <v>4160</v>
      </c>
      <c r="AB1149" s="0" t="s">
        <v>4767</v>
      </c>
      <c r="AC1149" s="0" t="s">
        <v>4162</v>
      </c>
      <c r="AD1149" s="0" t="s">
        <v>4637</v>
      </c>
      <c r="AE1149" s="0" t="s">
        <v>1892</v>
      </c>
      <c r="AF1149" s="0" t="s">
        <v>4768</v>
      </c>
      <c r="AH1149" s="0" t="s">
        <v>2239</v>
      </c>
      <c r="AL1149" s="0" t="s">
        <v>523</v>
      </c>
    </row>
    <row r="1150" customFormat="false" ht="15" hidden="false" customHeight="false" outlineLevel="0" collapsed="false">
      <c r="A1150" s="0" t="s">
        <v>787</v>
      </c>
      <c r="B1150" s="0" t="s">
        <v>115</v>
      </c>
      <c r="C1150" s="0" t="s">
        <v>4633</v>
      </c>
      <c r="D1150" s="0" t="n">
        <v>2014</v>
      </c>
      <c r="E1150" s="0" t="s">
        <v>58</v>
      </c>
      <c r="F1150" s="0" t="n">
        <v>53565</v>
      </c>
      <c r="G1150" s="0" t="s">
        <v>3101</v>
      </c>
      <c r="H1150" s="0" t="s">
        <v>3068</v>
      </c>
      <c r="I1150" s="0" t="n">
        <v>53565</v>
      </c>
      <c r="J1150" s="0" t="s">
        <v>4634</v>
      </c>
      <c r="K1150" s="0" t="s">
        <v>2690</v>
      </c>
      <c r="L1150" s="0" t="n">
        <v>2014</v>
      </c>
      <c r="M1150" s="0" t="s">
        <v>1945</v>
      </c>
      <c r="N1150" s="0" t="s">
        <v>117</v>
      </c>
      <c r="O1150" s="0" t="s">
        <v>2450</v>
      </c>
      <c r="P1150" s="0" t="s">
        <v>4761</v>
      </c>
      <c r="Q1150" s="0" t="n">
        <v>100</v>
      </c>
      <c r="R1150" s="0" t="n">
        <v>100</v>
      </c>
      <c r="T1150" s="0" t="n">
        <v>2014</v>
      </c>
      <c r="U1150" s="0" t="s">
        <v>4763</v>
      </c>
      <c r="V1150" s="0" t="s">
        <v>105</v>
      </c>
      <c r="W1150" s="0" t="s">
        <v>4774</v>
      </c>
      <c r="X1150" s="0" t="s">
        <v>4775</v>
      </c>
      <c r="Y1150" s="0" t="s">
        <v>4159</v>
      </c>
      <c r="Z1150" s="0" t="s">
        <v>4160</v>
      </c>
      <c r="AA1150" s="0" t="s">
        <v>4776</v>
      </c>
      <c r="AB1150" s="0" t="s">
        <v>4767</v>
      </c>
      <c r="AC1150" s="0" t="s">
        <v>4162</v>
      </c>
      <c r="AD1150" s="0" t="s">
        <v>4637</v>
      </c>
      <c r="AE1150" s="0" t="s">
        <v>1892</v>
      </c>
      <c r="AF1150" s="0" t="s">
        <v>4768</v>
      </c>
      <c r="AH1150" s="0" t="s">
        <v>2239</v>
      </c>
      <c r="AL1150" s="0" t="s">
        <v>523</v>
      </c>
    </row>
    <row r="1151" customFormat="false" ht="15" hidden="false" customHeight="false" outlineLevel="0" collapsed="false">
      <c r="A1151" s="0" t="s">
        <v>788</v>
      </c>
      <c r="B1151" s="0" t="s">
        <v>115</v>
      </c>
      <c r="C1151" s="0" t="s">
        <v>4633</v>
      </c>
      <c r="D1151" s="0" t="n">
        <v>2014</v>
      </c>
      <c r="E1151" s="0" t="s">
        <v>59</v>
      </c>
      <c r="F1151" s="0" t="n">
        <v>1081217</v>
      </c>
      <c r="G1151" s="0" t="s">
        <v>3101</v>
      </c>
      <c r="H1151" s="0" t="s">
        <v>3068</v>
      </c>
      <c r="I1151" s="0" t="n">
        <v>1081217</v>
      </c>
      <c r="J1151" s="0" t="s">
        <v>4634</v>
      </c>
      <c r="K1151" s="0" t="s">
        <v>2690</v>
      </c>
      <c r="L1151" s="0" t="n">
        <v>2014</v>
      </c>
      <c r="M1151" s="0" t="s">
        <v>1945</v>
      </c>
      <c r="N1151" s="0" t="s">
        <v>117</v>
      </c>
      <c r="O1151" s="0" t="s">
        <v>2450</v>
      </c>
      <c r="P1151" s="0" t="s">
        <v>4761</v>
      </c>
      <c r="Q1151" s="0" t="n">
        <v>98</v>
      </c>
      <c r="S1151" s="0" t="s">
        <v>4762</v>
      </c>
      <c r="T1151" s="0" t="n">
        <v>2013</v>
      </c>
      <c r="U1151" s="0" t="s">
        <v>4777</v>
      </c>
      <c r="V1151" s="0" t="s">
        <v>105</v>
      </c>
      <c r="W1151" s="0" t="s">
        <v>4764</v>
      </c>
      <c r="X1151" s="0" t="s">
        <v>4765</v>
      </c>
      <c r="Y1151" s="0" t="s">
        <v>4159</v>
      </c>
      <c r="Z1151" s="0" t="s">
        <v>4160</v>
      </c>
      <c r="AA1151" s="0" t="s">
        <v>4778</v>
      </c>
      <c r="AB1151" s="0" t="s">
        <v>4767</v>
      </c>
      <c r="AC1151" s="0" t="s">
        <v>4162</v>
      </c>
      <c r="AD1151" s="0" t="s">
        <v>4637</v>
      </c>
      <c r="AE1151" s="0" t="s">
        <v>1892</v>
      </c>
      <c r="AF1151" s="0" t="s">
        <v>4768</v>
      </c>
      <c r="AH1151" s="0" t="s">
        <v>2239</v>
      </c>
      <c r="AL1151" s="0" t="s">
        <v>523</v>
      </c>
    </row>
    <row r="1152" customFormat="false" ht="15" hidden="false" customHeight="false" outlineLevel="0" collapsed="false">
      <c r="A1152" s="0" t="s">
        <v>792</v>
      </c>
      <c r="B1152" s="0" t="s">
        <v>115</v>
      </c>
      <c r="C1152" s="0" t="s">
        <v>4633</v>
      </c>
      <c r="D1152" s="0" t="n">
        <v>2014</v>
      </c>
      <c r="E1152" s="0" t="s">
        <v>63</v>
      </c>
      <c r="F1152" s="0" t="n">
        <v>-4306</v>
      </c>
      <c r="G1152" s="0" t="s">
        <v>3101</v>
      </c>
      <c r="H1152" s="0" t="s">
        <v>3068</v>
      </c>
      <c r="I1152" s="0" t="n">
        <v>4306</v>
      </c>
      <c r="J1152" s="0" t="s">
        <v>4634</v>
      </c>
      <c r="K1152" s="0" t="s">
        <v>2690</v>
      </c>
      <c r="L1152" s="0" t="n">
        <v>2014</v>
      </c>
      <c r="M1152" s="0" t="s">
        <v>1945</v>
      </c>
      <c r="N1152" s="0" t="s">
        <v>117</v>
      </c>
      <c r="O1152" s="0" t="s">
        <v>2450</v>
      </c>
      <c r="P1152" s="0" t="s">
        <v>4761</v>
      </c>
      <c r="Q1152" s="0" t="n">
        <v>96</v>
      </c>
      <c r="R1152" s="0" t="n">
        <v>96</v>
      </c>
      <c r="S1152" s="0" t="n">
        <v>8</v>
      </c>
      <c r="T1152" s="0" t="n">
        <v>2014</v>
      </c>
      <c r="U1152" s="0" t="s">
        <v>4763</v>
      </c>
      <c r="V1152" s="0" t="s">
        <v>105</v>
      </c>
      <c r="W1152" s="0" t="s">
        <v>4779</v>
      </c>
      <c r="X1152" s="0" t="s">
        <v>4772</v>
      </c>
      <c r="Y1152" s="0" t="s">
        <v>4159</v>
      </c>
      <c r="Z1152" s="0" t="s">
        <v>4160</v>
      </c>
      <c r="AA1152" s="0" t="s">
        <v>4780</v>
      </c>
      <c r="AB1152" s="0" t="s">
        <v>4767</v>
      </c>
      <c r="AC1152" s="0" t="s">
        <v>4162</v>
      </c>
      <c r="AD1152" s="0" t="s">
        <v>4637</v>
      </c>
      <c r="AE1152" s="0" t="s">
        <v>1892</v>
      </c>
      <c r="AF1152" s="0" t="s">
        <v>4768</v>
      </c>
      <c r="AH1152" s="0" t="s">
        <v>4174</v>
      </c>
      <c r="AI1152" s="0" t="s">
        <v>4781</v>
      </c>
      <c r="AL1152" s="0" t="s">
        <v>523</v>
      </c>
    </row>
    <row r="1153" customFormat="false" ht="15" hidden="false" customHeight="false" outlineLevel="0" collapsed="false">
      <c r="A1153" s="0" t="s">
        <v>789</v>
      </c>
      <c r="B1153" s="0" t="s">
        <v>115</v>
      </c>
      <c r="C1153" s="0" t="s">
        <v>4633</v>
      </c>
      <c r="D1153" s="0" t="n">
        <v>2014</v>
      </c>
      <c r="E1153" s="0" t="s">
        <v>60</v>
      </c>
      <c r="F1153" s="0" t="n">
        <v>559137</v>
      </c>
      <c r="G1153" s="0" t="s">
        <v>3101</v>
      </c>
      <c r="H1153" s="0" t="s">
        <v>3068</v>
      </c>
      <c r="I1153" s="0" t="n">
        <v>559137</v>
      </c>
      <c r="J1153" s="0" t="s">
        <v>4634</v>
      </c>
      <c r="K1153" s="0" t="s">
        <v>2690</v>
      </c>
      <c r="L1153" s="0" t="n">
        <v>2014</v>
      </c>
      <c r="M1153" s="0" t="s">
        <v>1945</v>
      </c>
      <c r="N1153" s="0" t="s">
        <v>117</v>
      </c>
      <c r="O1153" s="0" t="s">
        <v>2450</v>
      </c>
      <c r="P1153" s="0" t="s">
        <v>4761</v>
      </c>
      <c r="Q1153" s="0" t="n">
        <v>162</v>
      </c>
      <c r="R1153" s="0" t="n">
        <v>162</v>
      </c>
      <c r="S1153" s="0" t="n">
        <v>21</v>
      </c>
      <c r="T1153" s="0" t="s">
        <v>4782</v>
      </c>
      <c r="U1153" s="0" t="s">
        <v>4763</v>
      </c>
      <c r="V1153" s="0" t="s">
        <v>105</v>
      </c>
      <c r="W1153" s="0" t="s">
        <v>4783</v>
      </c>
      <c r="X1153" s="0" t="s">
        <v>4784</v>
      </c>
      <c r="Y1153" s="0" t="s">
        <v>4159</v>
      </c>
      <c r="Z1153" s="0" t="s">
        <v>4160</v>
      </c>
      <c r="AA1153" s="0" t="s">
        <v>4785</v>
      </c>
      <c r="AB1153" s="0" t="s">
        <v>4767</v>
      </c>
      <c r="AC1153" s="0" t="s">
        <v>4162</v>
      </c>
      <c r="AD1153" s="0" t="s">
        <v>4637</v>
      </c>
      <c r="AE1153" s="0" t="s">
        <v>1892</v>
      </c>
      <c r="AF1153" s="0" t="s">
        <v>4768</v>
      </c>
      <c r="AH1153" s="0" t="s">
        <v>2239</v>
      </c>
      <c r="AL1153" s="0" t="s">
        <v>523</v>
      </c>
    </row>
    <row r="1154" customFormat="false" ht="15" hidden="false" customHeight="false" outlineLevel="0" collapsed="false">
      <c r="A1154" s="0" t="s">
        <v>790</v>
      </c>
      <c r="B1154" s="0" t="s">
        <v>115</v>
      </c>
      <c r="C1154" s="0" t="s">
        <v>4633</v>
      </c>
      <c r="D1154" s="0" t="n">
        <v>2014</v>
      </c>
      <c r="E1154" s="0" t="s">
        <v>61</v>
      </c>
      <c r="F1154" s="0" t="n">
        <v>-17451</v>
      </c>
      <c r="G1154" s="0" t="s">
        <v>3101</v>
      </c>
      <c r="H1154" s="0" t="s">
        <v>3068</v>
      </c>
      <c r="I1154" s="0" t="n">
        <v>17451</v>
      </c>
      <c r="J1154" s="0" t="s">
        <v>4634</v>
      </c>
      <c r="K1154" s="0" t="s">
        <v>2690</v>
      </c>
      <c r="L1154" s="0" t="n">
        <v>2014</v>
      </c>
      <c r="M1154" s="0" t="s">
        <v>1945</v>
      </c>
      <c r="N1154" s="0" t="s">
        <v>117</v>
      </c>
      <c r="O1154" s="0" t="s">
        <v>2450</v>
      </c>
      <c r="P1154" s="0" t="s">
        <v>4761</v>
      </c>
      <c r="Q1154" s="0" t="n">
        <v>162</v>
      </c>
      <c r="R1154" s="0" t="n">
        <v>162</v>
      </c>
      <c r="S1154" s="0" t="n">
        <v>21</v>
      </c>
      <c r="T1154" s="0" t="s">
        <v>4786</v>
      </c>
      <c r="U1154" s="0" t="s">
        <v>4763</v>
      </c>
      <c r="V1154" s="0" t="s">
        <v>105</v>
      </c>
      <c r="W1154" s="0" t="s">
        <v>4783</v>
      </c>
      <c r="X1154" s="0" t="s">
        <v>4784</v>
      </c>
      <c r="Y1154" s="0" t="s">
        <v>4159</v>
      </c>
      <c r="Z1154" s="0" t="s">
        <v>4160</v>
      </c>
      <c r="AA1154" s="0" t="s">
        <v>4787</v>
      </c>
      <c r="AB1154" s="0" t="s">
        <v>4767</v>
      </c>
      <c r="AC1154" s="0" t="s">
        <v>4162</v>
      </c>
      <c r="AD1154" s="0" t="s">
        <v>4637</v>
      </c>
      <c r="AE1154" s="0" t="s">
        <v>1892</v>
      </c>
      <c r="AF1154" s="0" t="s">
        <v>4768</v>
      </c>
      <c r="AH1154" s="0" t="s">
        <v>4174</v>
      </c>
      <c r="AI1154" s="0" t="s">
        <v>4781</v>
      </c>
      <c r="AL1154" s="0" t="s">
        <v>523</v>
      </c>
    </row>
    <row r="1155" customFormat="false" ht="15" hidden="false" customHeight="false" outlineLevel="0" collapsed="false">
      <c r="A1155" s="0" t="s">
        <v>799</v>
      </c>
      <c r="B1155" s="0" t="s">
        <v>115</v>
      </c>
      <c r="C1155" s="0" t="s">
        <v>4633</v>
      </c>
      <c r="D1155" s="0" t="n">
        <v>2014</v>
      </c>
      <c r="E1155" s="0" t="s">
        <v>543</v>
      </c>
      <c r="F1155" s="0" t="n">
        <v>-10848</v>
      </c>
      <c r="G1155" s="0" t="s">
        <v>3101</v>
      </c>
      <c r="H1155" s="0" t="s">
        <v>3068</v>
      </c>
      <c r="I1155" s="0" t="n">
        <v>10848</v>
      </c>
      <c r="J1155" s="0" t="s">
        <v>4634</v>
      </c>
      <c r="K1155" s="0" t="s">
        <v>2690</v>
      </c>
      <c r="L1155" s="0" t="n">
        <v>2014</v>
      </c>
      <c r="M1155" s="0" t="s">
        <v>1945</v>
      </c>
      <c r="N1155" s="0" t="s">
        <v>117</v>
      </c>
      <c r="O1155" s="0" t="s">
        <v>2450</v>
      </c>
      <c r="P1155" s="0" t="s">
        <v>4761</v>
      </c>
      <c r="Q1155" s="0" t="n">
        <v>162</v>
      </c>
      <c r="R1155" s="0" t="n">
        <v>162</v>
      </c>
      <c r="S1155" s="0" t="n">
        <v>21</v>
      </c>
      <c r="T1155" s="0" t="s">
        <v>4788</v>
      </c>
      <c r="U1155" s="0" t="s">
        <v>4763</v>
      </c>
      <c r="V1155" s="0" t="s">
        <v>105</v>
      </c>
      <c r="W1155" s="0" t="s">
        <v>4783</v>
      </c>
      <c r="X1155" s="0" t="s">
        <v>4784</v>
      </c>
      <c r="Y1155" s="0" t="s">
        <v>4159</v>
      </c>
      <c r="Z1155" s="0" t="s">
        <v>4160</v>
      </c>
      <c r="AA1155" s="0" t="s">
        <v>4789</v>
      </c>
      <c r="AB1155" s="0" t="s">
        <v>4767</v>
      </c>
      <c r="AC1155" s="0" t="s">
        <v>4162</v>
      </c>
      <c r="AD1155" s="0" t="s">
        <v>4637</v>
      </c>
      <c r="AE1155" s="0" t="s">
        <v>1892</v>
      </c>
      <c r="AF1155" s="0" t="s">
        <v>4768</v>
      </c>
      <c r="AH1155" s="0" t="s">
        <v>4174</v>
      </c>
      <c r="AI1155" s="0" t="s">
        <v>4781</v>
      </c>
      <c r="AL1155" s="0" t="s">
        <v>523</v>
      </c>
    </row>
    <row r="1156" customFormat="false" ht="15" hidden="false" customHeight="false" outlineLevel="0" collapsed="false">
      <c r="A1156" s="0" t="s">
        <v>800</v>
      </c>
      <c r="B1156" s="0" t="s">
        <v>115</v>
      </c>
      <c r="C1156" s="0" t="s">
        <v>4633</v>
      </c>
      <c r="D1156" s="0" t="n">
        <v>2014</v>
      </c>
      <c r="E1156" s="0" t="s">
        <v>545</v>
      </c>
      <c r="F1156" s="0" t="n">
        <v>-6603</v>
      </c>
      <c r="G1156" s="0" t="s">
        <v>3101</v>
      </c>
      <c r="H1156" s="0" t="s">
        <v>3068</v>
      </c>
      <c r="I1156" s="0" t="n">
        <v>6603</v>
      </c>
      <c r="J1156" s="0" t="s">
        <v>4634</v>
      </c>
      <c r="K1156" s="0" t="s">
        <v>2690</v>
      </c>
      <c r="L1156" s="0" t="n">
        <v>2014</v>
      </c>
      <c r="M1156" s="0" t="s">
        <v>1945</v>
      </c>
      <c r="N1156" s="0" t="s">
        <v>117</v>
      </c>
      <c r="O1156" s="0" t="s">
        <v>2450</v>
      </c>
      <c r="P1156" s="0" t="s">
        <v>4761</v>
      </c>
      <c r="Q1156" s="0" t="n">
        <v>162</v>
      </c>
      <c r="R1156" s="0" t="n">
        <v>162</v>
      </c>
      <c r="S1156" s="0" t="n">
        <v>21</v>
      </c>
      <c r="T1156" s="0" t="s">
        <v>4790</v>
      </c>
      <c r="U1156" s="0" t="s">
        <v>4763</v>
      </c>
      <c r="V1156" s="0" t="s">
        <v>105</v>
      </c>
      <c r="W1156" s="0" t="s">
        <v>4783</v>
      </c>
      <c r="X1156" s="0" t="s">
        <v>4784</v>
      </c>
      <c r="Y1156" s="0" t="s">
        <v>4159</v>
      </c>
      <c r="Z1156" s="0" t="s">
        <v>4160</v>
      </c>
      <c r="AA1156" s="0" t="s">
        <v>4791</v>
      </c>
      <c r="AB1156" s="0" t="s">
        <v>4767</v>
      </c>
      <c r="AC1156" s="0" t="s">
        <v>4162</v>
      </c>
      <c r="AD1156" s="0" t="s">
        <v>4637</v>
      </c>
      <c r="AE1156" s="0" t="s">
        <v>1892</v>
      </c>
      <c r="AF1156" s="0" t="s">
        <v>4768</v>
      </c>
      <c r="AH1156" s="0" t="s">
        <v>4174</v>
      </c>
      <c r="AI1156" s="0" t="s">
        <v>4781</v>
      </c>
      <c r="AL1156" s="0" t="s">
        <v>523</v>
      </c>
    </row>
    <row r="1157" customFormat="false" ht="15" hidden="false" customHeight="false" outlineLevel="0" collapsed="false">
      <c r="A1157" s="0" t="s">
        <v>791</v>
      </c>
      <c r="B1157" s="0" t="s">
        <v>115</v>
      </c>
      <c r="C1157" s="0" t="s">
        <v>4633</v>
      </c>
      <c r="D1157" s="0" t="n">
        <v>2014</v>
      </c>
      <c r="E1157" s="0" t="s">
        <v>62</v>
      </c>
      <c r="F1157" s="0" t="n">
        <v>541686</v>
      </c>
      <c r="G1157" s="0" t="s">
        <v>3101</v>
      </c>
      <c r="H1157" s="0" t="s">
        <v>3068</v>
      </c>
      <c r="I1157" s="0" t="n">
        <v>541686</v>
      </c>
      <c r="J1157" s="0" t="s">
        <v>4634</v>
      </c>
      <c r="K1157" s="0" t="s">
        <v>2690</v>
      </c>
      <c r="L1157" s="0" t="n">
        <v>2014</v>
      </c>
      <c r="M1157" s="0" t="s">
        <v>1945</v>
      </c>
      <c r="N1157" s="0" t="s">
        <v>117</v>
      </c>
      <c r="O1157" s="0" t="s">
        <v>2450</v>
      </c>
      <c r="P1157" s="0" t="s">
        <v>4761</v>
      </c>
      <c r="Q1157" s="0" t="n">
        <v>98</v>
      </c>
      <c r="S1157" s="0" t="s">
        <v>4762</v>
      </c>
      <c r="T1157" s="0" t="n">
        <v>2014</v>
      </c>
      <c r="U1157" s="0" t="s">
        <v>4763</v>
      </c>
      <c r="V1157" s="0" t="s">
        <v>105</v>
      </c>
      <c r="W1157" s="0" t="s">
        <v>4792</v>
      </c>
      <c r="X1157" s="0" t="s">
        <v>4765</v>
      </c>
      <c r="Y1157" s="0" t="s">
        <v>4159</v>
      </c>
      <c r="Z1157" s="0" t="s">
        <v>4160</v>
      </c>
      <c r="AA1157" s="0" t="s">
        <v>4793</v>
      </c>
      <c r="AB1157" s="0" t="s">
        <v>4767</v>
      </c>
      <c r="AC1157" s="0" t="s">
        <v>4162</v>
      </c>
      <c r="AD1157" s="0" t="s">
        <v>4637</v>
      </c>
      <c r="AE1157" s="0" t="s">
        <v>1892</v>
      </c>
      <c r="AF1157" s="0" t="s">
        <v>4768</v>
      </c>
      <c r="AH1157" s="0" t="s">
        <v>2239</v>
      </c>
      <c r="AL1157" s="0" t="s">
        <v>523</v>
      </c>
    </row>
    <row r="1158" customFormat="false" ht="15" hidden="false" customHeight="false" outlineLevel="0" collapsed="false">
      <c r="A1158" s="0" t="s">
        <v>795</v>
      </c>
      <c r="B1158" s="0" t="s">
        <v>115</v>
      </c>
      <c r="C1158" s="0" t="s">
        <v>4633</v>
      </c>
      <c r="D1158" s="0" t="n">
        <v>2014</v>
      </c>
      <c r="E1158" s="0" t="s">
        <v>65</v>
      </c>
      <c r="F1158" s="0" t="n">
        <v>198886</v>
      </c>
      <c r="G1158" s="0" t="s">
        <v>3101</v>
      </c>
      <c r="H1158" s="0" t="s">
        <v>3068</v>
      </c>
      <c r="I1158" s="0" t="n">
        <v>198886</v>
      </c>
      <c r="J1158" s="0" t="s">
        <v>4634</v>
      </c>
      <c r="K1158" s="0" t="s">
        <v>2690</v>
      </c>
      <c r="L1158" s="0" t="n">
        <v>2014</v>
      </c>
      <c r="M1158" s="0" t="s">
        <v>1945</v>
      </c>
      <c r="N1158" s="0" t="s">
        <v>117</v>
      </c>
      <c r="O1158" s="0" t="s">
        <v>2450</v>
      </c>
      <c r="P1158" s="0" t="s">
        <v>4761</v>
      </c>
      <c r="Q1158" s="0" t="n">
        <v>154</v>
      </c>
      <c r="R1158" s="0" t="n">
        <v>154</v>
      </c>
      <c r="S1158" s="0" t="n">
        <v>4</v>
      </c>
      <c r="T1158" s="0" t="n">
        <v>2014</v>
      </c>
      <c r="U1158" s="0" t="s">
        <v>4763</v>
      </c>
      <c r="V1158" s="0" t="s">
        <v>105</v>
      </c>
      <c r="W1158" s="0" t="s">
        <v>4794</v>
      </c>
      <c r="X1158" s="0" t="s">
        <v>4795</v>
      </c>
      <c r="Y1158" s="0" t="s">
        <v>4159</v>
      </c>
      <c r="Z1158" s="0" t="s">
        <v>4160</v>
      </c>
      <c r="AA1158" s="0" t="s">
        <v>4796</v>
      </c>
      <c r="AB1158" s="0" t="s">
        <v>4767</v>
      </c>
      <c r="AC1158" s="0" t="s">
        <v>4162</v>
      </c>
      <c r="AD1158" s="0" t="s">
        <v>4637</v>
      </c>
      <c r="AE1158" s="0" t="s">
        <v>1892</v>
      </c>
      <c r="AF1158" s="0" t="s">
        <v>4768</v>
      </c>
      <c r="AH1158" s="0" t="s">
        <v>2239</v>
      </c>
      <c r="AL1158" s="0" t="s">
        <v>523</v>
      </c>
    </row>
    <row r="1159" customFormat="false" ht="15" hidden="false" customHeight="false" outlineLevel="0" collapsed="false">
      <c r="A1159" s="0" t="s">
        <v>796</v>
      </c>
      <c r="B1159" s="0" t="s">
        <v>115</v>
      </c>
      <c r="C1159" s="0" t="s">
        <v>4633</v>
      </c>
      <c r="D1159" s="0" t="n">
        <v>2014</v>
      </c>
      <c r="E1159" s="0" t="s">
        <v>66</v>
      </c>
      <c r="F1159" s="0" t="n">
        <v>821527</v>
      </c>
      <c r="G1159" s="0" t="s">
        <v>3101</v>
      </c>
      <c r="H1159" s="0" t="s">
        <v>3068</v>
      </c>
      <c r="I1159" s="0" t="n">
        <v>821527</v>
      </c>
      <c r="J1159" s="0" t="s">
        <v>4634</v>
      </c>
      <c r="K1159" s="0" t="s">
        <v>2690</v>
      </c>
      <c r="L1159" s="0" t="n">
        <v>2014</v>
      </c>
      <c r="M1159" s="0" t="s">
        <v>1945</v>
      </c>
      <c r="N1159" s="0" t="s">
        <v>117</v>
      </c>
      <c r="O1159" s="0" t="s">
        <v>2450</v>
      </c>
      <c r="P1159" s="0" t="s">
        <v>4761</v>
      </c>
      <c r="Q1159" s="0" t="n">
        <v>154</v>
      </c>
      <c r="R1159" s="0" t="n">
        <v>154</v>
      </c>
      <c r="S1159" s="0" t="n">
        <v>4</v>
      </c>
      <c r="T1159" s="0" t="n">
        <v>2014</v>
      </c>
      <c r="U1159" s="0" t="s">
        <v>4763</v>
      </c>
      <c r="V1159" s="0" t="s">
        <v>105</v>
      </c>
      <c r="W1159" s="0" t="s">
        <v>4797</v>
      </c>
      <c r="X1159" s="0" t="s">
        <v>4795</v>
      </c>
      <c r="Y1159" s="0" t="s">
        <v>4159</v>
      </c>
      <c r="Z1159" s="0" t="s">
        <v>4160</v>
      </c>
      <c r="AB1159" s="0" t="s">
        <v>4767</v>
      </c>
      <c r="AC1159" s="0" t="s">
        <v>4162</v>
      </c>
      <c r="AD1159" s="0" t="s">
        <v>4637</v>
      </c>
      <c r="AE1159" s="0" t="s">
        <v>1892</v>
      </c>
      <c r="AF1159" s="0" t="s">
        <v>4768</v>
      </c>
      <c r="AH1159" s="0" t="s">
        <v>2239</v>
      </c>
      <c r="AL1159" s="0" t="s">
        <v>523</v>
      </c>
    </row>
    <row r="1160" customFormat="false" ht="15" hidden="false" customHeight="false" outlineLevel="0" collapsed="false">
      <c r="A1160" s="0" t="s">
        <v>793</v>
      </c>
      <c r="B1160" s="0" t="s">
        <v>115</v>
      </c>
      <c r="C1160" s="0" t="s">
        <v>4633</v>
      </c>
      <c r="D1160" s="0" t="n">
        <v>2014</v>
      </c>
      <c r="E1160" s="0" t="s">
        <v>69</v>
      </c>
      <c r="F1160" s="0" t="s">
        <v>4798</v>
      </c>
      <c r="G1160" s="0" t="s">
        <v>3143</v>
      </c>
      <c r="I1160" s="0" t="n">
        <v>24.21</v>
      </c>
      <c r="J1160" s="0" t="s">
        <v>4634</v>
      </c>
      <c r="K1160" s="0" t="s">
        <v>2690</v>
      </c>
      <c r="L1160" s="0" t="n">
        <v>2014</v>
      </c>
      <c r="M1160" s="0" t="s">
        <v>1945</v>
      </c>
      <c r="N1160" s="0" t="s">
        <v>117</v>
      </c>
      <c r="O1160" s="0" t="s">
        <v>2450</v>
      </c>
      <c r="P1160" s="0" t="s">
        <v>4761</v>
      </c>
      <c r="Q1160" s="0" t="n">
        <v>154</v>
      </c>
      <c r="R1160" s="0" t="n">
        <v>154</v>
      </c>
      <c r="S1160" s="0" t="n">
        <v>4</v>
      </c>
      <c r="T1160" s="0" t="n">
        <v>2014</v>
      </c>
      <c r="U1160" s="0" t="s">
        <v>4763</v>
      </c>
      <c r="V1160" s="0" t="s">
        <v>105</v>
      </c>
      <c r="W1160" s="0" t="s">
        <v>4799</v>
      </c>
      <c r="X1160" s="0" t="s">
        <v>4795</v>
      </c>
      <c r="Y1160" s="0" t="s">
        <v>4159</v>
      </c>
      <c r="Z1160" s="0" t="s">
        <v>4160</v>
      </c>
      <c r="AA1160" s="0" t="s">
        <v>4798</v>
      </c>
      <c r="AB1160" s="0" t="s">
        <v>4767</v>
      </c>
      <c r="AC1160" s="0" t="s">
        <v>4162</v>
      </c>
      <c r="AD1160" s="0" t="s">
        <v>4637</v>
      </c>
      <c r="AE1160" s="0" t="s">
        <v>1892</v>
      </c>
      <c r="AF1160" s="0" t="s">
        <v>4768</v>
      </c>
      <c r="AH1160" s="0" t="s">
        <v>2239</v>
      </c>
      <c r="AL1160" s="0" t="s">
        <v>523</v>
      </c>
    </row>
    <row r="1161" customFormat="false" ht="15" hidden="false" customHeight="false" outlineLevel="0" collapsed="false">
      <c r="A1161" s="0" t="s">
        <v>794</v>
      </c>
      <c r="B1161" s="0" t="s">
        <v>115</v>
      </c>
      <c r="C1161" s="0" t="s">
        <v>4633</v>
      </c>
      <c r="D1161" s="0" t="n">
        <v>2014</v>
      </c>
      <c r="E1161" s="0" t="s">
        <v>70</v>
      </c>
      <c r="F1161" s="0" t="s">
        <v>4800</v>
      </c>
      <c r="G1161" s="0" t="s">
        <v>3143</v>
      </c>
      <c r="I1161" s="0" t="n">
        <v>15</v>
      </c>
      <c r="J1161" s="0" t="s">
        <v>4634</v>
      </c>
      <c r="K1161" s="0" t="s">
        <v>2690</v>
      </c>
      <c r="L1161" s="0" t="n">
        <v>2014</v>
      </c>
      <c r="M1161" s="0" t="s">
        <v>1945</v>
      </c>
      <c r="N1161" s="0" t="s">
        <v>117</v>
      </c>
      <c r="O1161" s="0" t="s">
        <v>2450</v>
      </c>
      <c r="P1161" s="0" t="s">
        <v>4761</v>
      </c>
      <c r="Q1161" s="0" t="n">
        <v>154</v>
      </c>
      <c r="R1161" s="0" t="n">
        <v>154</v>
      </c>
      <c r="S1161" s="0" t="n">
        <v>4</v>
      </c>
      <c r="T1161" s="0" t="n">
        <v>2014</v>
      </c>
      <c r="U1161" s="0" t="s">
        <v>4763</v>
      </c>
      <c r="V1161" s="0" t="s">
        <v>105</v>
      </c>
      <c r="W1161" s="0" t="s">
        <v>4801</v>
      </c>
      <c r="X1161" s="0" t="s">
        <v>4795</v>
      </c>
      <c r="Y1161" s="0" t="s">
        <v>4159</v>
      </c>
      <c r="Z1161" s="0" t="s">
        <v>4160</v>
      </c>
      <c r="AA1161" s="0" t="s">
        <v>4800</v>
      </c>
      <c r="AB1161" s="0" t="s">
        <v>4767</v>
      </c>
      <c r="AC1161" s="0" t="s">
        <v>4162</v>
      </c>
      <c r="AD1161" s="0" t="s">
        <v>4637</v>
      </c>
      <c r="AE1161" s="0" t="s">
        <v>1892</v>
      </c>
      <c r="AF1161" s="0" t="s">
        <v>4768</v>
      </c>
      <c r="AH1161" s="0" t="s">
        <v>2239</v>
      </c>
      <c r="AL1161" s="0" t="s">
        <v>523</v>
      </c>
    </row>
    <row r="1162" customFormat="false" ht="15" hidden="false" customHeight="false" outlineLevel="0" collapsed="false">
      <c r="A1162" s="0" t="s">
        <v>797</v>
      </c>
      <c r="B1162" s="0" t="s">
        <v>115</v>
      </c>
      <c r="C1162" s="0" t="s">
        <v>4633</v>
      </c>
      <c r="D1162" s="0" t="n">
        <v>2014</v>
      </c>
      <c r="E1162" s="0" t="s">
        <v>73</v>
      </c>
      <c r="F1162" s="0" t="n">
        <v>0</v>
      </c>
      <c r="G1162" s="0" t="s">
        <v>4257</v>
      </c>
      <c r="I1162" s="0" t="n">
        <v>0</v>
      </c>
      <c r="J1162" s="0" t="s">
        <v>4687</v>
      </c>
      <c r="K1162" s="0" t="s">
        <v>2690</v>
      </c>
      <c r="L1162" s="0" t="n">
        <v>2014</v>
      </c>
      <c r="M1162" s="0" t="s">
        <v>1945</v>
      </c>
      <c r="N1162" s="0" t="s">
        <v>117</v>
      </c>
      <c r="O1162" s="0" t="s">
        <v>2450</v>
      </c>
      <c r="P1162" s="0" t="s">
        <v>4761</v>
      </c>
      <c r="Q1162" s="0" t="n">
        <v>92</v>
      </c>
      <c r="R1162" s="0" t="n">
        <v>92</v>
      </c>
      <c r="T1162" s="0" t="s">
        <v>4802</v>
      </c>
      <c r="U1162" s="0" t="s">
        <v>4763</v>
      </c>
      <c r="V1162" s="0" t="s">
        <v>105</v>
      </c>
      <c r="W1162" s="0" t="s">
        <v>4803</v>
      </c>
      <c r="X1162" s="0" t="s">
        <v>4804</v>
      </c>
      <c r="Y1162" s="0" t="s">
        <v>4212</v>
      </c>
      <c r="Z1162" s="0" t="s">
        <v>4160</v>
      </c>
      <c r="AA1162" s="0" t="s">
        <v>4805</v>
      </c>
      <c r="AB1162" s="0" t="s">
        <v>4767</v>
      </c>
      <c r="AC1162" s="0" t="s">
        <v>4162</v>
      </c>
      <c r="AD1162" s="0" t="s">
        <v>4637</v>
      </c>
      <c r="AE1162" s="0" t="s">
        <v>1892</v>
      </c>
      <c r="AF1162" s="0" t="s">
        <v>4768</v>
      </c>
      <c r="AG1162" s="0" t="s">
        <v>1892</v>
      </c>
      <c r="AH1162" s="0" t="s">
        <v>2239</v>
      </c>
      <c r="AL1162" s="0" t="s">
        <v>539</v>
      </c>
    </row>
    <row r="1163" customFormat="false" ht="15" hidden="false" customHeight="false" outlineLevel="0" collapsed="false">
      <c r="A1163" s="0" t="s">
        <v>802</v>
      </c>
      <c r="B1163" s="0" t="s">
        <v>115</v>
      </c>
      <c r="C1163" s="0" t="s">
        <v>4633</v>
      </c>
      <c r="D1163" s="0" t="n">
        <v>2015</v>
      </c>
      <c r="E1163" s="0" t="s">
        <v>55</v>
      </c>
      <c r="F1163" s="0" t="n">
        <v>1231722</v>
      </c>
      <c r="G1163" s="0" t="s">
        <v>3101</v>
      </c>
      <c r="H1163" s="0" t="s">
        <v>3068</v>
      </c>
      <c r="I1163" s="0" t="n">
        <v>1231722</v>
      </c>
      <c r="J1163" s="0" t="s">
        <v>4634</v>
      </c>
      <c r="K1163" s="0" t="s">
        <v>2691</v>
      </c>
      <c r="L1163" s="0" t="n">
        <v>2015</v>
      </c>
      <c r="M1163" s="0" t="s">
        <v>1956</v>
      </c>
      <c r="N1163" s="0" t="s">
        <v>118</v>
      </c>
      <c r="O1163" s="0" t="s">
        <v>2454</v>
      </c>
      <c r="P1163" s="0" t="s">
        <v>4806</v>
      </c>
      <c r="Q1163" s="0" t="n">
        <v>50</v>
      </c>
      <c r="R1163" s="0" t="n">
        <v>99</v>
      </c>
      <c r="T1163" s="0" t="s">
        <v>4807</v>
      </c>
      <c r="U1163" s="0" t="s">
        <v>4808</v>
      </c>
      <c r="V1163" s="0" t="s">
        <v>84</v>
      </c>
      <c r="W1163" s="0" t="s">
        <v>4809</v>
      </c>
      <c r="X1163" s="0" t="s">
        <v>4810</v>
      </c>
      <c r="Y1163" s="0" t="s">
        <v>4159</v>
      </c>
      <c r="Z1163" s="0" t="s">
        <v>4160</v>
      </c>
      <c r="AA1163" s="0" t="s">
        <v>4811</v>
      </c>
      <c r="AB1163" s="0" t="s">
        <v>4812</v>
      </c>
      <c r="AC1163" s="0" t="s">
        <v>4162</v>
      </c>
      <c r="AD1163" s="0" t="s">
        <v>4637</v>
      </c>
      <c r="AE1163" s="0" t="s">
        <v>1892</v>
      </c>
      <c r="AF1163" s="0" t="s">
        <v>4813</v>
      </c>
      <c r="AH1163" s="0" t="s">
        <v>2239</v>
      </c>
      <c r="AL1163" s="0" t="s">
        <v>523</v>
      </c>
    </row>
    <row r="1164" customFormat="false" ht="15" hidden="false" customHeight="false" outlineLevel="0" collapsed="false">
      <c r="A1164" s="0" t="s">
        <v>803</v>
      </c>
      <c r="B1164" s="0" t="s">
        <v>115</v>
      </c>
      <c r="C1164" s="0" t="s">
        <v>4633</v>
      </c>
      <c r="D1164" s="0" t="n">
        <v>2015</v>
      </c>
      <c r="E1164" s="0" t="s">
        <v>56</v>
      </c>
      <c r="F1164" s="0" t="n">
        <v>1048206</v>
      </c>
      <c r="G1164" s="0" t="s">
        <v>3101</v>
      </c>
      <c r="H1164" s="0" t="s">
        <v>3068</v>
      </c>
      <c r="I1164" s="0" t="n">
        <v>1048206</v>
      </c>
      <c r="J1164" s="0" t="s">
        <v>4634</v>
      </c>
      <c r="K1164" s="0" t="s">
        <v>2691</v>
      </c>
      <c r="L1164" s="0" t="n">
        <v>2015</v>
      </c>
      <c r="M1164" s="0" t="s">
        <v>1956</v>
      </c>
      <c r="N1164" s="0" t="s">
        <v>118</v>
      </c>
      <c r="O1164" s="0" t="s">
        <v>2454</v>
      </c>
      <c r="P1164" s="0" t="s">
        <v>4806</v>
      </c>
      <c r="Q1164" s="0" t="n">
        <v>50</v>
      </c>
      <c r="R1164" s="0" t="n">
        <v>99</v>
      </c>
      <c r="T1164" s="0" t="s">
        <v>4807</v>
      </c>
      <c r="U1164" s="0" t="s">
        <v>4808</v>
      </c>
      <c r="V1164" s="0" t="s">
        <v>84</v>
      </c>
      <c r="W1164" s="0" t="s">
        <v>4814</v>
      </c>
      <c r="X1164" s="0" t="s">
        <v>4810</v>
      </c>
      <c r="Y1164" s="0" t="s">
        <v>4159</v>
      </c>
      <c r="Z1164" s="0" t="s">
        <v>4160</v>
      </c>
      <c r="AA1164" s="0" t="s">
        <v>4815</v>
      </c>
      <c r="AB1164" s="0" t="s">
        <v>4812</v>
      </c>
      <c r="AC1164" s="0" t="s">
        <v>4162</v>
      </c>
      <c r="AD1164" s="0" t="s">
        <v>4637</v>
      </c>
      <c r="AE1164" s="0" t="s">
        <v>1892</v>
      </c>
      <c r="AF1164" s="0" t="s">
        <v>4813</v>
      </c>
      <c r="AH1164" s="0" t="s">
        <v>2239</v>
      </c>
      <c r="AL1164" s="0" t="s">
        <v>523</v>
      </c>
    </row>
    <row r="1165" customFormat="false" ht="15" hidden="false" customHeight="false" outlineLevel="0" collapsed="false">
      <c r="A1165" s="0" t="s">
        <v>804</v>
      </c>
      <c r="B1165" s="0" t="s">
        <v>115</v>
      </c>
      <c r="C1165" s="0" t="s">
        <v>4633</v>
      </c>
      <c r="D1165" s="0" t="n">
        <v>2015</v>
      </c>
      <c r="E1165" s="0" t="s">
        <v>57</v>
      </c>
      <c r="F1165" s="0" t="n">
        <v>183516</v>
      </c>
      <c r="G1165" s="0" t="s">
        <v>3101</v>
      </c>
      <c r="H1165" s="0" t="s">
        <v>3068</v>
      </c>
      <c r="I1165" s="0" t="n">
        <v>183516</v>
      </c>
      <c r="J1165" s="0" t="s">
        <v>4634</v>
      </c>
      <c r="K1165" s="0" t="s">
        <v>2691</v>
      </c>
      <c r="L1165" s="0" t="n">
        <v>2015</v>
      </c>
      <c r="M1165" s="0" t="s">
        <v>1956</v>
      </c>
      <c r="N1165" s="0" t="s">
        <v>118</v>
      </c>
      <c r="O1165" s="0" t="s">
        <v>2454</v>
      </c>
      <c r="P1165" s="0" t="s">
        <v>4806</v>
      </c>
      <c r="Q1165" s="0" t="n">
        <v>50</v>
      </c>
      <c r="R1165" s="0" t="n">
        <v>99</v>
      </c>
      <c r="S1165" s="0" t="n">
        <v>32</v>
      </c>
      <c r="T1165" s="0" t="s">
        <v>4807</v>
      </c>
      <c r="U1165" s="0" t="s">
        <v>4808</v>
      </c>
      <c r="V1165" s="0" t="s">
        <v>84</v>
      </c>
      <c r="W1165" s="0" t="s">
        <v>4816</v>
      </c>
      <c r="X1165" s="0" t="s">
        <v>4810</v>
      </c>
      <c r="Y1165" s="0" t="s">
        <v>4159</v>
      </c>
      <c r="Z1165" s="0" t="s">
        <v>4160</v>
      </c>
      <c r="AA1165" s="0" t="s">
        <v>4817</v>
      </c>
      <c r="AB1165" s="0" t="s">
        <v>4812</v>
      </c>
      <c r="AC1165" s="0" t="s">
        <v>4162</v>
      </c>
      <c r="AD1165" s="0" t="s">
        <v>4637</v>
      </c>
      <c r="AE1165" s="0" t="s">
        <v>1892</v>
      </c>
      <c r="AF1165" s="0" t="s">
        <v>4813</v>
      </c>
      <c r="AH1165" s="0" t="s">
        <v>2239</v>
      </c>
      <c r="AL1165" s="0" t="s">
        <v>523</v>
      </c>
    </row>
    <row r="1166" customFormat="false" ht="15" hidden="false" customHeight="false" outlineLevel="0" collapsed="false">
      <c r="A1166" s="0" t="s">
        <v>801</v>
      </c>
      <c r="B1166" s="0" t="s">
        <v>115</v>
      </c>
      <c r="C1166" s="0" t="s">
        <v>4633</v>
      </c>
      <c r="D1166" s="0" t="n">
        <v>2015</v>
      </c>
      <c r="E1166" s="0" t="s">
        <v>54</v>
      </c>
      <c r="F1166" s="0" t="n">
        <v>13904</v>
      </c>
      <c r="G1166" s="0" t="s">
        <v>3101</v>
      </c>
      <c r="H1166" s="0" t="s">
        <v>3068</v>
      </c>
      <c r="I1166" s="0" t="n">
        <v>13904</v>
      </c>
      <c r="J1166" s="0" t="s">
        <v>4634</v>
      </c>
      <c r="K1166" s="0" t="s">
        <v>2691</v>
      </c>
      <c r="L1166" s="0" t="n">
        <v>2015</v>
      </c>
      <c r="M1166" s="0" t="s">
        <v>1956</v>
      </c>
      <c r="N1166" s="0" t="s">
        <v>118</v>
      </c>
      <c r="O1166" s="0" t="s">
        <v>2454</v>
      </c>
      <c r="P1166" s="0" t="s">
        <v>4806</v>
      </c>
      <c r="Q1166" s="0" t="n">
        <v>50</v>
      </c>
      <c r="R1166" s="0" t="n">
        <v>98</v>
      </c>
      <c r="T1166" s="0" t="n">
        <v>2015</v>
      </c>
      <c r="U1166" s="0" t="s">
        <v>4808</v>
      </c>
      <c r="V1166" s="0" t="s">
        <v>84</v>
      </c>
      <c r="W1166" s="0" t="s">
        <v>4814</v>
      </c>
      <c r="X1166" s="0" t="s">
        <v>4810</v>
      </c>
      <c r="Y1166" s="0" t="s">
        <v>4159</v>
      </c>
      <c r="Z1166" s="0" t="s">
        <v>4160</v>
      </c>
      <c r="AA1166" s="0" t="s">
        <v>4818</v>
      </c>
      <c r="AB1166" s="0" t="s">
        <v>4812</v>
      </c>
      <c r="AC1166" s="0" t="s">
        <v>4162</v>
      </c>
      <c r="AD1166" s="0" t="s">
        <v>4637</v>
      </c>
      <c r="AE1166" s="0" t="s">
        <v>1892</v>
      </c>
      <c r="AF1166" s="0" t="s">
        <v>4819</v>
      </c>
      <c r="AH1166" s="0" t="s">
        <v>2239</v>
      </c>
      <c r="AL1166" s="0" t="s">
        <v>523</v>
      </c>
    </row>
    <row r="1167" customFormat="false" ht="15" hidden="false" customHeight="false" outlineLevel="0" collapsed="false">
      <c r="A1167" s="0" t="s">
        <v>816</v>
      </c>
      <c r="B1167" s="0" t="s">
        <v>115</v>
      </c>
      <c r="C1167" s="0" t="s">
        <v>4633</v>
      </c>
      <c r="D1167" s="0" t="n">
        <v>2015</v>
      </c>
      <c r="E1167" s="0" t="s">
        <v>541</v>
      </c>
      <c r="F1167" s="0" t="n">
        <v>14024</v>
      </c>
      <c r="G1167" s="0" t="s">
        <v>3101</v>
      </c>
      <c r="H1167" s="0" t="s">
        <v>3068</v>
      </c>
      <c r="I1167" s="0" t="n">
        <v>14024</v>
      </c>
      <c r="J1167" s="0" t="s">
        <v>4634</v>
      </c>
      <c r="K1167" s="0" t="s">
        <v>2691</v>
      </c>
      <c r="L1167" s="0" t="n">
        <v>2015</v>
      </c>
      <c r="M1167" s="0" t="s">
        <v>1956</v>
      </c>
      <c r="N1167" s="0" t="s">
        <v>118</v>
      </c>
      <c r="O1167" s="0" t="s">
        <v>2454</v>
      </c>
      <c r="P1167" s="0" t="s">
        <v>4806</v>
      </c>
      <c r="Q1167" s="0" t="n">
        <v>50</v>
      </c>
      <c r="R1167" s="0" t="n">
        <v>98</v>
      </c>
      <c r="T1167" s="0" t="n">
        <v>2015</v>
      </c>
      <c r="U1167" s="0" t="s">
        <v>4808</v>
      </c>
      <c r="V1167" s="0" t="s">
        <v>84</v>
      </c>
      <c r="W1167" s="0" t="s">
        <v>4820</v>
      </c>
      <c r="X1167" s="0" t="s">
        <v>4810</v>
      </c>
      <c r="Y1167" s="0" t="s">
        <v>4159</v>
      </c>
      <c r="Z1167" s="0" t="s">
        <v>4160</v>
      </c>
      <c r="AA1167" s="0" t="s">
        <v>4821</v>
      </c>
      <c r="AB1167" s="0" t="s">
        <v>4812</v>
      </c>
      <c r="AC1167" s="0" t="s">
        <v>4162</v>
      </c>
      <c r="AD1167" s="0" t="s">
        <v>4637</v>
      </c>
      <c r="AE1167" s="0" t="s">
        <v>1892</v>
      </c>
      <c r="AF1167" s="0" t="s">
        <v>4819</v>
      </c>
      <c r="AH1167" s="0" t="s">
        <v>2239</v>
      </c>
      <c r="AL1167" s="0" t="s">
        <v>523</v>
      </c>
    </row>
    <row r="1168" customFormat="false" ht="15" hidden="false" customHeight="false" outlineLevel="0" collapsed="false">
      <c r="A1168" s="0" t="s">
        <v>805</v>
      </c>
      <c r="B1168" s="0" t="s">
        <v>115</v>
      </c>
      <c r="C1168" s="0" t="s">
        <v>4633</v>
      </c>
      <c r="D1168" s="0" t="n">
        <v>2015</v>
      </c>
      <c r="E1168" s="0" t="s">
        <v>58</v>
      </c>
      <c r="F1168" s="0" t="n">
        <v>107132</v>
      </c>
      <c r="G1168" s="0" t="s">
        <v>3101</v>
      </c>
      <c r="H1168" s="0" t="s">
        <v>3068</v>
      </c>
      <c r="I1168" s="0" t="n">
        <v>107132</v>
      </c>
      <c r="J1168" s="0" t="s">
        <v>4634</v>
      </c>
      <c r="K1168" s="0" t="s">
        <v>2691</v>
      </c>
      <c r="L1168" s="0" t="n">
        <v>2015</v>
      </c>
      <c r="M1168" s="0" t="s">
        <v>1956</v>
      </c>
      <c r="N1168" s="0" t="s">
        <v>118</v>
      </c>
      <c r="O1168" s="0" t="s">
        <v>2454</v>
      </c>
      <c r="P1168" s="0" t="s">
        <v>4806</v>
      </c>
      <c r="Q1168" s="0" t="n">
        <v>51</v>
      </c>
      <c r="R1168" s="0" t="n">
        <v>101</v>
      </c>
      <c r="T1168" s="0" t="n">
        <v>2015</v>
      </c>
      <c r="U1168" s="0" t="s">
        <v>4808</v>
      </c>
      <c r="V1168" s="0" t="s">
        <v>84</v>
      </c>
      <c r="W1168" s="0" t="s">
        <v>4822</v>
      </c>
      <c r="X1168" s="0" t="s">
        <v>4823</v>
      </c>
      <c r="Y1168" s="0" t="s">
        <v>4159</v>
      </c>
      <c r="Z1168" s="0" t="s">
        <v>4160</v>
      </c>
      <c r="AA1168" s="0" t="s">
        <v>4824</v>
      </c>
      <c r="AB1168" s="0" t="s">
        <v>4812</v>
      </c>
      <c r="AC1168" s="0" t="s">
        <v>4162</v>
      </c>
      <c r="AD1168" s="0" t="s">
        <v>4637</v>
      </c>
      <c r="AE1168" s="0" t="s">
        <v>1892</v>
      </c>
      <c r="AF1168" s="0" t="s">
        <v>4819</v>
      </c>
      <c r="AH1168" s="0" t="s">
        <v>2239</v>
      </c>
      <c r="AL1168" s="0" t="s">
        <v>523</v>
      </c>
    </row>
    <row r="1169" customFormat="false" ht="15" hidden="false" customHeight="false" outlineLevel="0" collapsed="false">
      <c r="A1169" s="0" t="s">
        <v>806</v>
      </c>
      <c r="B1169" s="0" t="s">
        <v>115</v>
      </c>
      <c r="C1169" s="0" t="s">
        <v>4633</v>
      </c>
      <c r="D1169" s="0" t="n">
        <v>2015</v>
      </c>
      <c r="E1169" s="0" t="s">
        <v>59</v>
      </c>
      <c r="F1169" s="0" t="n">
        <v>1187025</v>
      </c>
      <c r="G1169" s="0" t="s">
        <v>3101</v>
      </c>
      <c r="H1169" s="0" t="s">
        <v>3068</v>
      </c>
      <c r="I1169" s="0" t="n">
        <v>1187025</v>
      </c>
      <c r="J1169" s="0" t="s">
        <v>4634</v>
      </c>
      <c r="K1169" s="0" t="s">
        <v>2691</v>
      </c>
      <c r="L1169" s="0" t="n">
        <v>2015</v>
      </c>
      <c r="M1169" s="0" t="s">
        <v>1956</v>
      </c>
      <c r="N1169" s="0" t="s">
        <v>118</v>
      </c>
      <c r="O1169" s="0" t="s">
        <v>2454</v>
      </c>
      <c r="P1169" s="0" t="s">
        <v>4806</v>
      </c>
      <c r="Q1169" s="0" t="n">
        <v>50</v>
      </c>
      <c r="R1169" s="0" t="n">
        <v>99</v>
      </c>
      <c r="T1169" s="0" t="s">
        <v>4825</v>
      </c>
      <c r="U1169" s="0" t="s">
        <v>4808</v>
      </c>
      <c r="V1169" s="0" t="s">
        <v>84</v>
      </c>
      <c r="W1169" s="0" t="s">
        <v>4809</v>
      </c>
      <c r="X1169" s="0" t="s">
        <v>4810</v>
      </c>
      <c r="Y1169" s="0" t="s">
        <v>4159</v>
      </c>
      <c r="Z1169" s="0" t="s">
        <v>4160</v>
      </c>
      <c r="AA1169" s="0" t="s">
        <v>4826</v>
      </c>
      <c r="AB1169" s="0" t="s">
        <v>4812</v>
      </c>
      <c r="AC1169" s="0" t="s">
        <v>4162</v>
      </c>
      <c r="AD1169" s="0" t="s">
        <v>4637</v>
      </c>
      <c r="AE1169" s="0" t="s">
        <v>1892</v>
      </c>
      <c r="AF1169" s="0" t="s">
        <v>4813</v>
      </c>
      <c r="AH1169" s="0" t="s">
        <v>2239</v>
      </c>
      <c r="AL1169" s="0" t="s">
        <v>523</v>
      </c>
    </row>
    <row r="1170" customFormat="false" ht="15" hidden="false" customHeight="false" outlineLevel="0" collapsed="false">
      <c r="A1170" s="0" t="s">
        <v>810</v>
      </c>
      <c r="B1170" s="0" t="s">
        <v>115</v>
      </c>
      <c r="C1170" s="0" t="s">
        <v>4633</v>
      </c>
      <c r="D1170" s="0" t="n">
        <v>2015</v>
      </c>
      <c r="E1170" s="0" t="s">
        <v>63</v>
      </c>
      <c r="F1170" s="0" t="n">
        <v>-5764</v>
      </c>
      <c r="G1170" s="0" t="s">
        <v>3101</v>
      </c>
      <c r="H1170" s="0" t="s">
        <v>3068</v>
      </c>
      <c r="I1170" s="0" t="n">
        <v>5764</v>
      </c>
      <c r="J1170" s="0" t="s">
        <v>4634</v>
      </c>
      <c r="K1170" s="0" t="s">
        <v>2691</v>
      </c>
      <c r="L1170" s="0" t="n">
        <v>2015</v>
      </c>
      <c r="M1170" s="0" t="s">
        <v>1956</v>
      </c>
      <c r="N1170" s="0" t="s">
        <v>118</v>
      </c>
      <c r="O1170" s="0" t="s">
        <v>2454</v>
      </c>
      <c r="P1170" s="0" t="s">
        <v>4806</v>
      </c>
      <c r="Q1170" s="0" t="n">
        <v>50</v>
      </c>
      <c r="R1170" s="0" t="n">
        <v>98</v>
      </c>
      <c r="S1170" s="0" t="n">
        <v>8</v>
      </c>
      <c r="T1170" s="0" t="n">
        <v>2015</v>
      </c>
      <c r="U1170" s="0" t="s">
        <v>4808</v>
      </c>
      <c r="V1170" s="0" t="s">
        <v>84</v>
      </c>
      <c r="W1170" s="0" t="s">
        <v>4827</v>
      </c>
      <c r="X1170" s="0" t="s">
        <v>4810</v>
      </c>
      <c r="Y1170" s="0" t="s">
        <v>4159</v>
      </c>
      <c r="Z1170" s="0" t="s">
        <v>4160</v>
      </c>
      <c r="AA1170" s="0" t="s">
        <v>4828</v>
      </c>
      <c r="AB1170" s="0" t="s">
        <v>4812</v>
      </c>
      <c r="AC1170" s="0" t="s">
        <v>4162</v>
      </c>
      <c r="AD1170" s="0" t="s">
        <v>4637</v>
      </c>
      <c r="AE1170" s="0" t="s">
        <v>1892</v>
      </c>
      <c r="AF1170" s="0" t="s">
        <v>4819</v>
      </c>
      <c r="AH1170" s="0" t="s">
        <v>4174</v>
      </c>
      <c r="AI1170" s="0" t="s">
        <v>4829</v>
      </c>
      <c r="AL1170" s="0" t="s">
        <v>523</v>
      </c>
    </row>
    <row r="1171" customFormat="false" ht="15" hidden="false" customHeight="false" outlineLevel="0" collapsed="false">
      <c r="A1171" s="0" t="s">
        <v>807</v>
      </c>
      <c r="B1171" s="0" t="s">
        <v>115</v>
      </c>
      <c r="C1171" s="0" t="s">
        <v>4633</v>
      </c>
      <c r="D1171" s="0" t="n">
        <v>2015</v>
      </c>
      <c r="E1171" s="0" t="s">
        <v>60</v>
      </c>
      <c r="F1171" s="0" t="n">
        <v>598978</v>
      </c>
      <c r="G1171" s="0" t="s">
        <v>3101</v>
      </c>
      <c r="H1171" s="0" t="s">
        <v>3068</v>
      </c>
      <c r="I1171" s="0" t="n">
        <v>598978</v>
      </c>
      <c r="J1171" s="0" t="s">
        <v>4634</v>
      </c>
      <c r="K1171" s="0" t="s">
        <v>2691</v>
      </c>
      <c r="L1171" s="0" t="n">
        <v>2015</v>
      </c>
      <c r="M1171" s="0" t="s">
        <v>1956</v>
      </c>
      <c r="N1171" s="0" t="s">
        <v>118</v>
      </c>
      <c r="O1171" s="0" t="s">
        <v>2454</v>
      </c>
      <c r="P1171" s="0" t="s">
        <v>4806</v>
      </c>
      <c r="Q1171" s="0" t="n">
        <v>84</v>
      </c>
      <c r="R1171" s="0" t="n">
        <v>166</v>
      </c>
      <c r="S1171" s="0" t="n">
        <v>21.3</v>
      </c>
      <c r="T1171" s="0" t="n">
        <v>2015</v>
      </c>
      <c r="U1171" s="0" t="s">
        <v>4808</v>
      </c>
      <c r="V1171" s="0" t="s">
        <v>84</v>
      </c>
      <c r="W1171" s="0" t="s">
        <v>4830</v>
      </c>
      <c r="X1171" s="0" t="s">
        <v>4831</v>
      </c>
      <c r="Y1171" s="0" t="s">
        <v>4159</v>
      </c>
      <c r="Z1171" s="0" t="s">
        <v>4160</v>
      </c>
      <c r="AA1171" s="0" t="s">
        <v>4832</v>
      </c>
      <c r="AB1171" s="0" t="s">
        <v>4812</v>
      </c>
      <c r="AC1171" s="0" t="s">
        <v>4162</v>
      </c>
      <c r="AD1171" s="0" t="s">
        <v>4637</v>
      </c>
      <c r="AE1171" s="0" t="s">
        <v>1892</v>
      </c>
      <c r="AF1171" s="0" t="s">
        <v>4819</v>
      </c>
      <c r="AH1171" s="0" t="s">
        <v>2239</v>
      </c>
      <c r="AL1171" s="0" t="s">
        <v>523</v>
      </c>
    </row>
    <row r="1172" customFormat="false" ht="15" hidden="false" customHeight="false" outlineLevel="0" collapsed="false">
      <c r="A1172" s="0" t="s">
        <v>808</v>
      </c>
      <c r="B1172" s="0" t="s">
        <v>115</v>
      </c>
      <c r="C1172" s="0" t="s">
        <v>4633</v>
      </c>
      <c r="D1172" s="0" t="n">
        <v>2015</v>
      </c>
      <c r="E1172" s="0" t="s">
        <v>61</v>
      </c>
      <c r="F1172" s="0" t="n">
        <v>-20776</v>
      </c>
      <c r="G1172" s="0" t="s">
        <v>3101</v>
      </c>
      <c r="H1172" s="0" t="s">
        <v>3068</v>
      </c>
      <c r="I1172" s="0" t="n">
        <v>20776</v>
      </c>
      <c r="J1172" s="0" t="s">
        <v>4634</v>
      </c>
      <c r="K1172" s="0" t="s">
        <v>2691</v>
      </c>
      <c r="L1172" s="0" t="n">
        <v>2015</v>
      </c>
      <c r="M1172" s="0" t="s">
        <v>1956</v>
      </c>
      <c r="N1172" s="0" t="s">
        <v>118</v>
      </c>
      <c r="O1172" s="0" t="s">
        <v>2454</v>
      </c>
      <c r="P1172" s="0" t="s">
        <v>4806</v>
      </c>
      <c r="Q1172" s="0" t="n">
        <v>83</v>
      </c>
      <c r="R1172" s="0" t="n">
        <v>164</v>
      </c>
      <c r="S1172" s="0" t="n">
        <v>21</v>
      </c>
      <c r="T1172" s="0" t="s">
        <v>4833</v>
      </c>
      <c r="U1172" s="0" t="s">
        <v>4808</v>
      </c>
      <c r="V1172" s="0" t="s">
        <v>84</v>
      </c>
      <c r="W1172" s="0" t="s">
        <v>4834</v>
      </c>
      <c r="X1172" s="0" t="s">
        <v>4835</v>
      </c>
      <c r="Y1172" s="0" t="s">
        <v>4159</v>
      </c>
      <c r="Z1172" s="0" t="s">
        <v>4160</v>
      </c>
      <c r="AA1172" s="0" t="s">
        <v>4836</v>
      </c>
      <c r="AB1172" s="0" t="s">
        <v>4812</v>
      </c>
      <c r="AC1172" s="0" t="s">
        <v>4162</v>
      </c>
      <c r="AD1172" s="0" t="s">
        <v>4637</v>
      </c>
      <c r="AE1172" s="0" t="s">
        <v>1892</v>
      </c>
      <c r="AF1172" s="0" t="s">
        <v>4819</v>
      </c>
      <c r="AH1172" s="0" t="s">
        <v>4174</v>
      </c>
      <c r="AI1172" s="0" t="s">
        <v>4837</v>
      </c>
      <c r="AL1172" s="0" t="s">
        <v>523</v>
      </c>
    </row>
    <row r="1173" customFormat="false" ht="15" hidden="false" customHeight="false" outlineLevel="0" collapsed="false">
      <c r="A1173" s="0" t="s">
        <v>817</v>
      </c>
      <c r="B1173" s="0" t="s">
        <v>115</v>
      </c>
      <c r="C1173" s="0" t="s">
        <v>4633</v>
      </c>
      <c r="D1173" s="0" t="n">
        <v>2015</v>
      </c>
      <c r="E1173" s="0" t="s">
        <v>543</v>
      </c>
      <c r="F1173" s="0" t="n">
        <v>-13440</v>
      </c>
      <c r="G1173" s="0" t="s">
        <v>3101</v>
      </c>
      <c r="H1173" s="0" t="s">
        <v>3068</v>
      </c>
      <c r="I1173" s="0" t="n">
        <v>13440</v>
      </c>
      <c r="J1173" s="0" t="s">
        <v>4634</v>
      </c>
      <c r="K1173" s="0" t="s">
        <v>2691</v>
      </c>
      <c r="L1173" s="0" t="n">
        <v>2015</v>
      </c>
      <c r="M1173" s="0" t="s">
        <v>1956</v>
      </c>
      <c r="N1173" s="0" t="s">
        <v>118</v>
      </c>
      <c r="O1173" s="0" t="s">
        <v>2454</v>
      </c>
      <c r="P1173" s="0" t="s">
        <v>4806</v>
      </c>
      <c r="Q1173" s="0" t="n">
        <v>83</v>
      </c>
      <c r="R1173" s="0" t="n">
        <v>164</v>
      </c>
      <c r="S1173" s="0" t="n">
        <v>21</v>
      </c>
      <c r="T1173" s="0" t="s">
        <v>4838</v>
      </c>
      <c r="U1173" s="0" t="s">
        <v>4808</v>
      </c>
      <c r="V1173" s="0" t="s">
        <v>84</v>
      </c>
      <c r="W1173" s="0" t="s">
        <v>4834</v>
      </c>
      <c r="X1173" s="0" t="s">
        <v>4835</v>
      </c>
      <c r="Y1173" s="0" t="s">
        <v>4159</v>
      </c>
      <c r="Z1173" s="0" t="s">
        <v>4160</v>
      </c>
      <c r="AA1173" s="0" t="s">
        <v>4839</v>
      </c>
      <c r="AB1173" s="0" t="s">
        <v>4812</v>
      </c>
      <c r="AC1173" s="0" t="s">
        <v>4162</v>
      </c>
      <c r="AD1173" s="0" t="s">
        <v>4637</v>
      </c>
      <c r="AE1173" s="0" t="s">
        <v>1892</v>
      </c>
      <c r="AF1173" s="0" t="s">
        <v>4819</v>
      </c>
      <c r="AH1173" s="0" t="s">
        <v>4174</v>
      </c>
      <c r="AI1173" s="0" t="s">
        <v>4837</v>
      </c>
      <c r="AL1173" s="0" t="s">
        <v>523</v>
      </c>
    </row>
    <row r="1174" customFormat="false" ht="15" hidden="false" customHeight="false" outlineLevel="0" collapsed="false">
      <c r="A1174" s="0" t="s">
        <v>818</v>
      </c>
      <c r="B1174" s="0" t="s">
        <v>115</v>
      </c>
      <c r="C1174" s="0" t="s">
        <v>4633</v>
      </c>
      <c r="D1174" s="0" t="n">
        <v>2015</v>
      </c>
      <c r="E1174" s="0" t="s">
        <v>545</v>
      </c>
      <c r="F1174" s="0" t="n">
        <v>-7336</v>
      </c>
      <c r="G1174" s="0" t="s">
        <v>3101</v>
      </c>
      <c r="H1174" s="0" t="s">
        <v>3068</v>
      </c>
      <c r="I1174" s="0" t="n">
        <v>7336</v>
      </c>
      <c r="J1174" s="0" t="s">
        <v>4634</v>
      </c>
      <c r="K1174" s="0" t="s">
        <v>2691</v>
      </c>
      <c r="L1174" s="0" t="n">
        <v>2015</v>
      </c>
      <c r="M1174" s="0" t="s">
        <v>1956</v>
      </c>
      <c r="N1174" s="0" t="s">
        <v>118</v>
      </c>
      <c r="O1174" s="0" t="s">
        <v>2454</v>
      </c>
      <c r="P1174" s="0" t="s">
        <v>4806</v>
      </c>
      <c r="Q1174" s="0" t="n">
        <v>83</v>
      </c>
      <c r="R1174" s="0" t="n">
        <v>164</v>
      </c>
      <c r="S1174" s="0" t="n">
        <v>21</v>
      </c>
      <c r="T1174" s="0" t="s">
        <v>4840</v>
      </c>
      <c r="U1174" s="0" t="s">
        <v>4808</v>
      </c>
      <c r="V1174" s="0" t="s">
        <v>84</v>
      </c>
      <c r="W1174" s="0" t="s">
        <v>4834</v>
      </c>
      <c r="X1174" s="0" t="s">
        <v>4835</v>
      </c>
      <c r="Y1174" s="0" t="s">
        <v>4159</v>
      </c>
      <c r="Z1174" s="0" t="s">
        <v>4160</v>
      </c>
      <c r="AA1174" s="0" t="s">
        <v>4841</v>
      </c>
      <c r="AB1174" s="0" t="s">
        <v>4812</v>
      </c>
      <c r="AC1174" s="0" t="s">
        <v>4162</v>
      </c>
      <c r="AD1174" s="0" t="s">
        <v>4637</v>
      </c>
      <c r="AE1174" s="0" t="s">
        <v>1892</v>
      </c>
      <c r="AF1174" s="0" t="s">
        <v>4819</v>
      </c>
      <c r="AH1174" s="0" t="s">
        <v>4174</v>
      </c>
      <c r="AI1174" s="0" t="s">
        <v>4837</v>
      </c>
      <c r="AL1174" s="0" t="s">
        <v>523</v>
      </c>
    </row>
    <row r="1175" customFormat="false" ht="15" hidden="false" customHeight="false" outlineLevel="0" collapsed="false">
      <c r="A1175" s="0" t="s">
        <v>809</v>
      </c>
      <c r="B1175" s="0" t="s">
        <v>115</v>
      </c>
      <c r="C1175" s="0" t="s">
        <v>4633</v>
      </c>
      <c r="D1175" s="0" t="n">
        <v>2015</v>
      </c>
      <c r="E1175" s="0" t="s">
        <v>62</v>
      </c>
      <c r="F1175" s="0" t="n">
        <v>578203</v>
      </c>
      <c r="G1175" s="0" t="s">
        <v>3101</v>
      </c>
      <c r="H1175" s="0" t="s">
        <v>3068</v>
      </c>
      <c r="I1175" s="0" t="n">
        <v>578203</v>
      </c>
      <c r="J1175" s="0" t="s">
        <v>4634</v>
      </c>
      <c r="K1175" s="0" t="s">
        <v>2691</v>
      </c>
      <c r="L1175" s="0" t="n">
        <v>2015</v>
      </c>
      <c r="M1175" s="0" t="s">
        <v>1956</v>
      </c>
      <c r="N1175" s="0" t="s">
        <v>118</v>
      </c>
      <c r="O1175" s="0" t="s">
        <v>2454</v>
      </c>
      <c r="P1175" s="0" t="s">
        <v>4806</v>
      </c>
      <c r="Q1175" s="0" t="n">
        <v>50</v>
      </c>
      <c r="R1175" s="0" t="n">
        <v>99</v>
      </c>
      <c r="S1175" s="0" t="n">
        <v>21</v>
      </c>
      <c r="T1175" s="0" t="s">
        <v>4807</v>
      </c>
      <c r="U1175" s="0" t="s">
        <v>4808</v>
      </c>
      <c r="V1175" s="0" t="s">
        <v>84</v>
      </c>
      <c r="W1175" s="0" t="s">
        <v>4842</v>
      </c>
      <c r="X1175" s="0" t="s">
        <v>4810</v>
      </c>
      <c r="Y1175" s="0" t="s">
        <v>4159</v>
      </c>
      <c r="Z1175" s="0" t="s">
        <v>4160</v>
      </c>
      <c r="AA1175" s="0" t="s">
        <v>4843</v>
      </c>
      <c r="AB1175" s="0" t="s">
        <v>4812</v>
      </c>
      <c r="AC1175" s="0" t="s">
        <v>4162</v>
      </c>
      <c r="AD1175" s="0" t="s">
        <v>4637</v>
      </c>
      <c r="AE1175" s="0" t="s">
        <v>1892</v>
      </c>
      <c r="AF1175" s="0" t="s">
        <v>4813</v>
      </c>
      <c r="AH1175" s="0" t="s">
        <v>2239</v>
      </c>
      <c r="AL1175" s="0" t="s">
        <v>523</v>
      </c>
    </row>
    <row r="1176" customFormat="false" ht="15" hidden="false" customHeight="false" outlineLevel="0" collapsed="false">
      <c r="A1176" s="0" t="s">
        <v>813</v>
      </c>
      <c r="B1176" s="0" t="s">
        <v>115</v>
      </c>
      <c r="C1176" s="0" t="s">
        <v>4633</v>
      </c>
      <c r="D1176" s="0" t="n">
        <v>2015</v>
      </c>
      <c r="E1176" s="0" t="s">
        <v>65</v>
      </c>
      <c r="F1176" s="0" t="n">
        <v>191595</v>
      </c>
      <c r="G1176" s="0" t="s">
        <v>3101</v>
      </c>
      <c r="H1176" s="0" t="s">
        <v>3068</v>
      </c>
      <c r="I1176" s="0" t="n">
        <v>191595</v>
      </c>
      <c r="J1176" s="0" t="s">
        <v>4634</v>
      </c>
      <c r="K1176" s="0" t="s">
        <v>2691</v>
      </c>
      <c r="L1176" s="0" t="n">
        <v>2015</v>
      </c>
      <c r="M1176" s="0" t="s">
        <v>1956</v>
      </c>
      <c r="N1176" s="0" t="s">
        <v>118</v>
      </c>
      <c r="O1176" s="0" t="s">
        <v>2454</v>
      </c>
      <c r="P1176" s="0" t="s">
        <v>4806</v>
      </c>
      <c r="Q1176" s="0" t="n">
        <v>79</v>
      </c>
      <c r="R1176" s="0" t="n">
        <v>156</v>
      </c>
      <c r="S1176" s="0" t="n">
        <v>3</v>
      </c>
      <c r="T1176" s="0" t="n">
        <v>2015</v>
      </c>
      <c r="U1176" s="0" t="s">
        <v>4808</v>
      </c>
      <c r="V1176" s="0" t="s">
        <v>84</v>
      </c>
      <c r="W1176" s="0" t="s">
        <v>4844</v>
      </c>
      <c r="X1176" s="0" t="s">
        <v>4845</v>
      </c>
      <c r="Y1176" s="0" t="s">
        <v>4159</v>
      </c>
      <c r="Z1176" s="0" t="s">
        <v>4160</v>
      </c>
      <c r="AA1176" s="0" t="s">
        <v>4846</v>
      </c>
      <c r="AB1176" s="0" t="s">
        <v>4812</v>
      </c>
      <c r="AC1176" s="0" t="s">
        <v>4162</v>
      </c>
      <c r="AD1176" s="0" t="s">
        <v>4637</v>
      </c>
      <c r="AE1176" s="0" t="s">
        <v>1892</v>
      </c>
      <c r="AF1176" s="0" t="s">
        <v>4819</v>
      </c>
      <c r="AH1176" s="0" t="s">
        <v>2239</v>
      </c>
      <c r="AL1176" s="0" t="s">
        <v>523</v>
      </c>
    </row>
    <row r="1177" customFormat="false" ht="15" hidden="false" customHeight="false" outlineLevel="0" collapsed="false">
      <c r="A1177" s="0" t="s">
        <v>814</v>
      </c>
      <c r="B1177" s="0" t="s">
        <v>115</v>
      </c>
      <c r="C1177" s="0" t="s">
        <v>4633</v>
      </c>
      <c r="D1177" s="0" t="n">
        <v>2015</v>
      </c>
      <c r="E1177" s="0" t="s">
        <v>66</v>
      </c>
      <c r="F1177" s="0" t="n">
        <v>1012062</v>
      </c>
      <c r="G1177" s="0" t="s">
        <v>3101</v>
      </c>
      <c r="H1177" s="0" t="s">
        <v>3068</v>
      </c>
      <c r="I1177" s="0" t="n">
        <v>1012062</v>
      </c>
      <c r="J1177" s="0" t="s">
        <v>4634</v>
      </c>
      <c r="K1177" s="0" t="s">
        <v>2691</v>
      </c>
      <c r="L1177" s="0" t="n">
        <v>2015</v>
      </c>
      <c r="M1177" s="0" t="s">
        <v>1956</v>
      </c>
      <c r="N1177" s="0" t="s">
        <v>118</v>
      </c>
      <c r="O1177" s="0" t="s">
        <v>2454</v>
      </c>
      <c r="P1177" s="0" t="s">
        <v>4806</v>
      </c>
      <c r="Q1177" s="0" t="n">
        <v>79</v>
      </c>
      <c r="R1177" s="0" t="n">
        <v>156</v>
      </c>
      <c r="S1177" s="0" t="n">
        <v>3</v>
      </c>
      <c r="T1177" s="0" t="n">
        <v>2015</v>
      </c>
      <c r="U1177" s="0" t="s">
        <v>4808</v>
      </c>
      <c r="V1177" s="0" t="s">
        <v>84</v>
      </c>
      <c r="W1177" s="0" t="s">
        <v>4847</v>
      </c>
      <c r="X1177" s="0" t="s">
        <v>4845</v>
      </c>
      <c r="Y1177" s="0" t="s">
        <v>4159</v>
      </c>
      <c r="Z1177" s="0" t="s">
        <v>4160</v>
      </c>
      <c r="AA1177" s="0" t="s">
        <v>4848</v>
      </c>
      <c r="AB1177" s="0" t="s">
        <v>4812</v>
      </c>
      <c r="AC1177" s="0" t="s">
        <v>4162</v>
      </c>
      <c r="AD1177" s="0" t="s">
        <v>4637</v>
      </c>
      <c r="AE1177" s="0" t="s">
        <v>1892</v>
      </c>
      <c r="AF1177" s="0" t="s">
        <v>4819</v>
      </c>
      <c r="AH1177" s="0" t="s">
        <v>2239</v>
      </c>
      <c r="AL1177" s="0" t="s">
        <v>523</v>
      </c>
    </row>
    <row r="1178" customFormat="false" ht="15" hidden="false" customHeight="false" outlineLevel="0" collapsed="false">
      <c r="A1178" s="0" t="s">
        <v>811</v>
      </c>
      <c r="B1178" s="0" t="s">
        <v>115</v>
      </c>
      <c r="C1178" s="0" t="s">
        <v>4633</v>
      </c>
      <c r="D1178" s="0" t="n">
        <v>2015</v>
      </c>
      <c r="E1178" s="0" t="s">
        <v>69</v>
      </c>
      <c r="F1178" s="0" t="s">
        <v>4849</v>
      </c>
      <c r="G1178" s="0" t="s">
        <v>3143</v>
      </c>
      <c r="I1178" s="0" t="n">
        <v>19</v>
      </c>
      <c r="J1178" s="0" t="s">
        <v>4634</v>
      </c>
      <c r="K1178" s="0" t="s">
        <v>2691</v>
      </c>
      <c r="L1178" s="0" t="n">
        <v>2015</v>
      </c>
      <c r="M1178" s="0" t="s">
        <v>1956</v>
      </c>
      <c r="N1178" s="0" t="s">
        <v>118</v>
      </c>
      <c r="O1178" s="0" t="s">
        <v>2454</v>
      </c>
      <c r="P1178" s="0" t="s">
        <v>4806</v>
      </c>
      <c r="Q1178" s="0" t="n">
        <v>79</v>
      </c>
      <c r="R1178" s="0" t="n">
        <v>156</v>
      </c>
      <c r="S1178" s="0" t="n">
        <v>3</v>
      </c>
      <c r="T1178" s="0" t="n">
        <v>2015</v>
      </c>
      <c r="U1178" s="0" t="s">
        <v>4808</v>
      </c>
      <c r="V1178" s="0" t="s">
        <v>84</v>
      </c>
      <c r="W1178" s="0" t="s">
        <v>4850</v>
      </c>
      <c r="X1178" s="0" t="s">
        <v>4845</v>
      </c>
      <c r="Y1178" s="0" t="s">
        <v>4159</v>
      </c>
      <c r="Z1178" s="0" t="s">
        <v>4160</v>
      </c>
      <c r="AA1178" s="0" t="s">
        <v>4851</v>
      </c>
      <c r="AB1178" s="0" t="s">
        <v>4812</v>
      </c>
      <c r="AC1178" s="0" t="s">
        <v>4162</v>
      </c>
      <c r="AD1178" s="0" t="s">
        <v>4637</v>
      </c>
      <c r="AE1178" s="0" t="s">
        <v>1892</v>
      </c>
      <c r="AF1178" s="0" t="s">
        <v>4819</v>
      </c>
      <c r="AH1178" s="0" t="s">
        <v>2239</v>
      </c>
      <c r="AL1178" s="0" t="s">
        <v>523</v>
      </c>
    </row>
    <row r="1179" customFormat="false" ht="15" hidden="false" customHeight="false" outlineLevel="0" collapsed="false">
      <c r="A1179" s="0" t="s">
        <v>812</v>
      </c>
      <c r="B1179" s="0" t="s">
        <v>115</v>
      </c>
      <c r="C1179" s="0" t="s">
        <v>4633</v>
      </c>
      <c r="D1179" s="0" t="n">
        <v>2015</v>
      </c>
      <c r="E1179" s="0" t="s">
        <v>70</v>
      </c>
      <c r="F1179" s="0" t="s">
        <v>4253</v>
      </c>
      <c r="G1179" s="0" t="s">
        <v>3143</v>
      </c>
      <c r="I1179" s="0" t="n">
        <v>15</v>
      </c>
      <c r="J1179" s="0" t="s">
        <v>4634</v>
      </c>
      <c r="K1179" s="0" t="s">
        <v>2691</v>
      </c>
      <c r="L1179" s="0" t="n">
        <v>2015</v>
      </c>
      <c r="M1179" s="0" t="s">
        <v>1956</v>
      </c>
      <c r="N1179" s="0" t="s">
        <v>118</v>
      </c>
      <c r="O1179" s="0" t="s">
        <v>2454</v>
      </c>
      <c r="P1179" s="0" t="s">
        <v>4806</v>
      </c>
      <c r="Q1179" s="0" t="n">
        <v>79</v>
      </c>
      <c r="R1179" s="0" t="n">
        <v>156</v>
      </c>
      <c r="S1179" s="0" t="n">
        <v>3</v>
      </c>
      <c r="T1179" s="0" t="n">
        <v>2015</v>
      </c>
      <c r="U1179" s="0" t="s">
        <v>4808</v>
      </c>
      <c r="V1179" s="0" t="s">
        <v>84</v>
      </c>
      <c r="W1179" s="0" t="s">
        <v>4852</v>
      </c>
      <c r="X1179" s="0" t="s">
        <v>4845</v>
      </c>
      <c r="Y1179" s="0" t="s">
        <v>4159</v>
      </c>
      <c r="Z1179" s="0" t="s">
        <v>4160</v>
      </c>
      <c r="AA1179" s="0" t="s">
        <v>4853</v>
      </c>
      <c r="AB1179" s="0" t="s">
        <v>4812</v>
      </c>
      <c r="AC1179" s="0" t="s">
        <v>4162</v>
      </c>
      <c r="AD1179" s="0" t="s">
        <v>4637</v>
      </c>
      <c r="AE1179" s="0" t="s">
        <v>1892</v>
      </c>
      <c r="AF1179" s="0" t="s">
        <v>4819</v>
      </c>
      <c r="AH1179" s="0" t="s">
        <v>2239</v>
      </c>
      <c r="AL1179" s="0" t="s">
        <v>523</v>
      </c>
    </row>
    <row r="1180" customFormat="false" ht="15" hidden="false" customHeight="false" outlineLevel="0" collapsed="false">
      <c r="A1180" s="0" t="s">
        <v>815</v>
      </c>
      <c r="B1180" s="0" t="s">
        <v>115</v>
      </c>
      <c r="C1180" s="0" t="s">
        <v>4633</v>
      </c>
      <c r="D1180" s="0" t="n">
        <v>2015</v>
      </c>
      <c r="E1180" s="0" t="s">
        <v>73</v>
      </c>
      <c r="F1180" s="0" t="n">
        <v>0</v>
      </c>
      <c r="G1180" s="0" t="s">
        <v>4257</v>
      </c>
      <c r="I1180" s="0" t="n">
        <v>0</v>
      </c>
      <c r="J1180" s="0" t="s">
        <v>4687</v>
      </c>
      <c r="K1180" s="0" t="s">
        <v>2691</v>
      </c>
      <c r="L1180" s="0" t="n">
        <v>2015</v>
      </c>
      <c r="M1180" s="0" t="s">
        <v>1956</v>
      </c>
      <c r="N1180" s="0" t="s">
        <v>118</v>
      </c>
      <c r="O1180" s="0" t="s">
        <v>2454</v>
      </c>
      <c r="P1180" s="0" t="s">
        <v>4806</v>
      </c>
      <c r="Q1180" s="0" t="n">
        <v>48</v>
      </c>
      <c r="R1180" s="0" t="n">
        <v>94</v>
      </c>
      <c r="T1180" s="0" t="s">
        <v>4854</v>
      </c>
      <c r="U1180" s="0" t="s">
        <v>4808</v>
      </c>
      <c r="V1180" s="0" t="s">
        <v>84</v>
      </c>
      <c r="W1180" s="0" t="s">
        <v>4803</v>
      </c>
      <c r="X1180" s="0" t="s">
        <v>4855</v>
      </c>
      <c r="Y1180" s="0" t="s">
        <v>4212</v>
      </c>
      <c r="Z1180" s="0" t="s">
        <v>4160</v>
      </c>
      <c r="AA1180" s="0" t="s">
        <v>4856</v>
      </c>
      <c r="AB1180" s="0" t="s">
        <v>4812</v>
      </c>
      <c r="AC1180" s="0" t="s">
        <v>4162</v>
      </c>
      <c r="AD1180" s="0" t="s">
        <v>4637</v>
      </c>
      <c r="AE1180" s="0" t="s">
        <v>1892</v>
      </c>
      <c r="AF1180" s="0" t="s">
        <v>4857</v>
      </c>
      <c r="AG1180" s="0" t="s">
        <v>1892</v>
      </c>
      <c r="AH1180" s="0" t="s">
        <v>2239</v>
      </c>
      <c r="AL1180" s="0" t="s">
        <v>539</v>
      </c>
    </row>
    <row r="1181" customFormat="false" ht="15" hidden="false" customHeight="false" outlineLevel="0" collapsed="false">
      <c r="A1181" s="0" t="s">
        <v>820</v>
      </c>
      <c r="B1181" s="0" t="s">
        <v>115</v>
      </c>
      <c r="C1181" s="0" t="s">
        <v>4633</v>
      </c>
      <c r="D1181" s="0" t="n">
        <v>2016</v>
      </c>
      <c r="E1181" s="0" t="s">
        <v>55</v>
      </c>
      <c r="F1181" s="0" t="n">
        <v>1298141</v>
      </c>
      <c r="G1181" s="0" t="s">
        <v>3101</v>
      </c>
      <c r="H1181" s="0" t="s">
        <v>3068</v>
      </c>
      <c r="I1181" s="0" t="n">
        <v>1298141</v>
      </c>
      <c r="J1181" s="0" t="s">
        <v>4634</v>
      </c>
      <c r="K1181" s="0" t="s">
        <v>2692</v>
      </c>
      <c r="L1181" s="0" t="n">
        <v>2016</v>
      </c>
      <c r="M1181" s="0" t="s">
        <v>1967</v>
      </c>
      <c r="N1181" s="0" t="s">
        <v>119</v>
      </c>
      <c r="O1181" s="0" t="s">
        <v>2457</v>
      </c>
      <c r="P1181" s="0" t="s">
        <v>4858</v>
      </c>
      <c r="Q1181" s="0" t="n">
        <v>26</v>
      </c>
      <c r="R1181" s="0" t="n">
        <v>25</v>
      </c>
      <c r="T1181" s="0" t="s">
        <v>4859</v>
      </c>
      <c r="U1181" s="0" t="s">
        <v>4209</v>
      </c>
      <c r="V1181" s="0" t="s">
        <v>87</v>
      </c>
      <c r="W1181" s="0" t="s">
        <v>4210</v>
      </c>
      <c r="X1181" s="0" t="s">
        <v>4860</v>
      </c>
      <c r="Y1181" s="0" t="s">
        <v>4212</v>
      </c>
      <c r="Z1181" s="0" t="s">
        <v>4160</v>
      </c>
      <c r="AA1181" s="0" t="s">
        <v>4861</v>
      </c>
      <c r="AB1181" s="0" t="s">
        <v>4812</v>
      </c>
      <c r="AC1181" s="0" t="s">
        <v>4162</v>
      </c>
      <c r="AD1181" s="0" t="s">
        <v>4637</v>
      </c>
      <c r="AE1181" s="0" t="s">
        <v>1892</v>
      </c>
      <c r="AF1181" s="0" t="s">
        <v>4862</v>
      </c>
      <c r="AH1181" s="0" t="s">
        <v>2239</v>
      </c>
      <c r="AL1181" s="0" t="s">
        <v>539</v>
      </c>
    </row>
    <row r="1182" customFormat="false" ht="15" hidden="false" customHeight="false" outlineLevel="0" collapsed="false">
      <c r="A1182" s="0" t="s">
        <v>821</v>
      </c>
      <c r="B1182" s="0" t="s">
        <v>115</v>
      </c>
      <c r="C1182" s="0" t="s">
        <v>4633</v>
      </c>
      <c r="D1182" s="0" t="n">
        <v>2016</v>
      </c>
      <c r="E1182" s="0" t="s">
        <v>56</v>
      </c>
      <c r="F1182" s="0" t="n">
        <v>1112739</v>
      </c>
      <c r="G1182" s="0" t="s">
        <v>3101</v>
      </c>
      <c r="H1182" s="0" t="s">
        <v>3068</v>
      </c>
      <c r="I1182" s="0" t="n">
        <v>1112739</v>
      </c>
      <c r="J1182" s="0" t="s">
        <v>4634</v>
      </c>
      <c r="K1182" s="0" t="s">
        <v>2692</v>
      </c>
      <c r="L1182" s="0" t="n">
        <v>2016</v>
      </c>
      <c r="M1182" s="0" t="s">
        <v>1967</v>
      </c>
      <c r="N1182" s="0" t="s">
        <v>119</v>
      </c>
      <c r="O1182" s="0" t="s">
        <v>2457</v>
      </c>
      <c r="P1182" s="0" t="s">
        <v>4858</v>
      </c>
      <c r="Q1182" s="0" t="n">
        <v>26</v>
      </c>
      <c r="R1182" s="0" t="n">
        <v>25</v>
      </c>
      <c r="T1182" s="0" t="s">
        <v>4859</v>
      </c>
      <c r="U1182" s="0" t="s">
        <v>4209</v>
      </c>
      <c r="V1182" s="0" t="s">
        <v>87</v>
      </c>
      <c r="W1182" s="0" t="s">
        <v>4216</v>
      </c>
      <c r="X1182" s="0" t="s">
        <v>4860</v>
      </c>
      <c r="Y1182" s="0" t="s">
        <v>4212</v>
      </c>
      <c r="Z1182" s="0" t="s">
        <v>4160</v>
      </c>
      <c r="AA1182" s="0" t="s">
        <v>4863</v>
      </c>
      <c r="AB1182" s="0" t="s">
        <v>4812</v>
      </c>
      <c r="AC1182" s="0" t="s">
        <v>4162</v>
      </c>
      <c r="AD1182" s="0" t="s">
        <v>4637</v>
      </c>
      <c r="AE1182" s="0" t="s">
        <v>1892</v>
      </c>
      <c r="AF1182" s="0" t="s">
        <v>4862</v>
      </c>
      <c r="AH1182" s="0" t="s">
        <v>2239</v>
      </c>
      <c r="AL1182" s="0" t="s">
        <v>539</v>
      </c>
    </row>
    <row r="1183" customFormat="false" ht="15" hidden="false" customHeight="false" outlineLevel="0" collapsed="false">
      <c r="A1183" s="0" t="s">
        <v>822</v>
      </c>
      <c r="B1183" s="0" t="s">
        <v>115</v>
      </c>
      <c r="C1183" s="0" t="s">
        <v>4633</v>
      </c>
      <c r="D1183" s="0" t="n">
        <v>2016</v>
      </c>
      <c r="E1183" s="0" t="s">
        <v>57</v>
      </c>
      <c r="F1183" s="0" t="n">
        <v>185402</v>
      </c>
      <c r="G1183" s="0" t="s">
        <v>3101</v>
      </c>
      <c r="H1183" s="0" t="s">
        <v>3068</v>
      </c>
      <c r="I1183" s="0" t="n">
        <v>185402</v>
      </c>
      <c r="J1183" s="0" t="s">
        <v>4634</v>
      </c>
      <c r="K1183" s="0" t="s">
        <v>2692</v>
      </c>
      <c r="L1183" s="0" t="n">
        <v>2016</v>
      </c>
      <c r="M1183" s="0" t="s">
        <v>1967</v>
      </c>
      <c r="N1183" s="0" t="s">
        <v>119</v>
      </c>
      <c r="O1183" s="0" t="s">
        <v>2457</v>
      </c>
      <c r="P1183" s="0" t="s">
        <v>4858</v>
      </c>
      <c r="Q1183" s="0" t="n">
        <v>26</v>
      </c>
      <c r="R1183" s="0" t="n">
        <v>25</v>
      </c>
      <c r="T1183" s="0" t="s">
        <v>4859</v>
      </c>
      <c r="U1183" s="0" t="s">
        <v>4209</v>
      </c>
      <c r="V1183" s="0" t="s">
        <v>87</v>
      </c>
      <c r="W1183" s="0" t="s">
        <v>4864</v>
      </c>
      <c r="X1183" s="0" t="s">
        <v>4860</v>
      </c>
      <c r="Y1183" s="0" t="s">
        <v>4212</v>
      </c>
      <c r="Z1183" s="0" t="s">
        <v>4160</v>
      </c>
      <c r="AA1183" s="0" t="s">
        <v>4865</v>
      </c>
      <c r="AB1183" s="0" t="s">
        <v>4812</v>
      </c>
      <c r="AC1183" s="0" t="s">
        <v>4162</v>
      </c>
      <c r="AD1183" s="0" t="s">
        <v>4637</v>
      </c>
      <c r="AE1183" s="0" t="s">
        <v>1892</v>
      </c>
      <c r="AF1183" s="0" t="s">
        <v>4862</v>
      </c>
      <c r="AH1183" s="0" t="s">
        <v>2239</v>
      </c>
      <c r="AL1183" s="0" t="s">
        <v>539</v>
      </c>
    </row>
    <row r="1184" customFormat="false" ht="15" hidden="false" customHeight="false" outlineLevel="0" collapsed="false">
      <c r="A1184" s="0" t="s">
        <v>824</v>
      </c>
      <c r="B1184" s="0" t="s">
        <v>115</v>
      </c>
      <c r="C1184" s="0" t="s">
        <v>4633</v>
      </c>
      <c r="D1184" s="0" t="n">
        <v>2016</v>
      </c>
      <c r="E1184" s="0" t="s">
        <v>59</v>
      </c>
      <c r="F1184" s="0" t="n">
        <v>1231722</v>
      </c>
      <c r="G1184" s="0" t="s">
        <v>3101</v>
      </c>
      <c r="H1184" s="0" t="s">
        <v>3068</v>
      </c>
      <c r="I1184" s="0" t="n">
        <v>1231722</v>
      </c>
      <c r="J1184" s="0" t="s">
        <v>4634</v>
      </c>
      <c r="K1184" s="0" t="s">
        <v>2692</v>
      </c>
      <c r="L1184" s="0" t="n">
        <v>2016</v>
      </c>
      <c r="M1184" s="0" t="s">
        <v>1967</v>
      </c>
      <c r="N1184" s="0" t="s">
        <v>119</v>
      </c>
      <c r="O1184" s="0" t="s">
        <v>2457</v>
      </c>
      <c r="P1184" s="0" t="s">
        <v>4858</v>
      </c>
      <c r="Q1184" s="0" t="n">
        <v>26</v>
      </c>
      <c r="R1184" s="0" t="n">
        <v>25</v>
      </c>
      <c r="T1184" s="0" t="s">
        <v>4866</v>
      </c>
      <c r="U1184" s="0" t="s">
        <v>4209</v>
      </c>
      <c r="V1184" s="0" t="s">
        <v>87</v>
      </c>
      <c r="W1184" s="0" t="s">
        <v>4210</v>
      </c>
      <c r="X1184" s="0" t="s">
        <v>4860</v>
      </c>
      <c r="Y1184" s="0" t="s">
        <v>4212</v>
      </c>
      <c r="Z1184" s="0" t="s">
        <v>4160</v>
      </c>
      <c r="AA1184" s="0" t="s">
        <v>4867</v>
      </c>
      <c r="AB1184" s="0" t="s">
        <v>4812</v>
      </c>
      <c r="AC1184" s="0" t="s">
        <v>4162</v>
      </c>
      <c r="AD1184" s="0" t="s">
        <v>4637</v>
      </c>
      <c r="AE1184" s="0" t="s">
        <v>1892</v>
      </c>
      <c r="AF1184" s="0" t="s">
        <v>4862</v>
      </c>
      <c r="AH1184" s="0" t="s">
        <v>2239</v>
      </c>
      <c r="AL1184" s="0" t="s">
        <v>539</v>
      </c>
    </row>
    <row r="1185" customFormat="false" ht="15" hidden="false" customHeight="false" outlineLevel="0" collapsed="false">
      <c r="A1185" s="0" t="s">
        <v>819</v>
      </c>
      <c r="B1185" s="0" t="s">
        <v>115</v>
      </c>
      <c r="C1185" s="0" t="s">
        <v>4633</v>
      </c>
      <c r="D1185" s="0" t="n">
        <v>2016</v>
      </c>
      <c r="E1185" s="0" t="s">
        <v>54</v>
      </c>
      <c r="F1185" s="0" t="n">
        <v>9734</v>
      </c>
      <c r="G1185" s="0" t="s">
        <v>3101</v>
      </c>
      <c r="H1185" s="0" t="s">
        <v>3068</v>
      </c>
      <c r="I1185" s="0" t="n">
        <v>9734</v>
      </c>
      <c r="J1185" s="0" t="s">
        <v>4634</v>
      </c>
      <c r="K1185" s="0" t="s">
        <v>2692</v>
      </c>
      <c r="L1185" s="0" t="n">
        <v>2016</v>
      </c>
      <c r="M1185" s="0" t="s">
        <v>1967</v>
      </c>
      <c r="N1185" s="0" t="s">
        <v>119</v>
      </c>
      <c r="O1185" s="0" t="s">
        <v>2457</v>
      </c>
      <c r="P1185" s="0" t="s">
        <v>4858</v>
      </c>
      <c r="Q1185" s="0" t="n">
        <v>25</v>
      </c>
      <c r="R1185" s="0" t="n">
        <v>24</v>
      </c>
      <c r="T1185" s="0" t="n">
        <v>2016</v>
      </c>
      <c r="U1185" s="0" t="s">
        <v>4209</v>
      </c>
      <c r="V1185" s="0" t="s">
        <v>87</v>
      </c>
      <c r="W1185" s="0" t="s">
        <v>4868</v>
      </c>
      <c r="X1185" s="0" t="s">
        <v>4869</v>
      </c>
      <c r="Y1185" s="0" t="s">
        <v>4159</v>
      </c>
      <c r="Z1185" s="0" t="s">
        <v>4160</v>
      </c>
      <c r="AA1185" s="0" t="s">
        <v>4870</v>
      </c>
      <c r="AB1185" s="0" t="s">
        <v>4812</v>
      </c>
      <c r="AC1185" s="0" t="s">
        <v>4162</v>
      </c>
      <c r="AD1185" s="0" t="s">
        <v>4637</v>
      </c>
      <c r="AE1185" s="0" t="s">
        <v>1892</v>
      </c>
      <c r="AF1185" s="0" t="s">
        <v>4862</v>
      </c>
      <c r="AH1185" s="0" t="s">
        <v>2239</v>
      </c>
      <c r="AL1185" s="0" t="s">
        <v>523</v>
      </c>
    </row>
    <row r="1186" customFormat="false" ht="15" hidden="false" customHeight="false" outlineLevel="0" collapsed="false">
      <c r="A1186" s="0" t="s">
        <v>835</v>
      </c>
      <c r="B1186" s="0" t="s">
        <v>115</v>
      </c>
      <c r="C1186" s="0" t="s">
        <v>4633</v>
      </c>
      <c r="D1186" s="0" t="n">
        <v>2016</v>
      </c>
      <c r="E1186" s="0" t="s">
        <v>541</v>
      </c>
      <c r="F1186" s="0" t="n">
        <v>11061</v>
      </c>
      <c r="G1186" s="0" t="s">
        <v>3101</v>
      </c>
      <c r="H1186" s="0" t="s">
        <v>3068</v>
      </c>
      <c r="I1186" s="0" t="n">
        <v>11061</v>
      </c>
      <c r="J1186" s="0" t="s">
        <v>4634</v>
      </c>
      <c r="K1186" s="0" t="s">
        <v>2692</v>
      </c>
      <c r="L1186" s="0" t="n">
        <v>2016</v>
      </c>
      <c r="M1186" s="0" t="s">
        <v>1967</v>
      </c>
      <c r="N1186" s="0" t="s">
        <v>119</v>
      </c>
      <c r="O1186" s="0" t="s">
        <v>2457</v>
      </c>
      <c r="P1186" s="0" t="s">
        <v>4858</v>
      </c>
      <c r="Q1186" s="0" t="n">
        <v>25</v>
      </c>
      <c r="R1186" s="0" t="n">
        <v>24</v>
      </c>
      <c r="T1186" s="0" t="n">
        <v>2016</v>
      </c>
      <c r="U1186" s="0" t="s">
        <v>4209</v>
      </c>
      <c r="V1186" s="0" t="s">
        <v>87</v>
      </c>
      <c r="W1186" s="0" t="s">
        <v>4871</v>
      </c>
      <c r="X1186" s="0" t="s">
        <v>4869</v>
      </c>
      <c r="Y1186" s="0" t="s">
        <v>4159</v>
      </c>
      <c r="Z1186" s="0" t="s">
        <v>4160</v>
      </c>
      <c r="AA1186" s="0" t="n">
        <v>11061</v>
      </c>
      <c r="AB1186" s="0" t="s">
        <v>4812</v>
      </c>
      <c r="AC1186" s="0" t="s">
        <v>4162</v>
      </c>
      <c r="AD1186" s="0" t="s">
        <v>4637</v>
      </c>
      <c r="AE1186" s="0" t="s">
        <v>1892</v>
      </c>
      <c r="AF1186" s="0" t="s">
        <v>4862</v>
      </c>
      <c r="AH1186" s="0" t="s">
        <v>2239</v>
      </c>
      <c r="AL1186" s="0" t="s">
        <v>523</v>
      </c>
    </row>
    <row r="1187" customFormat="false" ht="15" hidden="false" customHeight="false" outlineLevel="0" collapsed="false">
      <c r="A1187" s="0" t="s">
        <v>828</v>
      </c>
      <c r="B1187" s="0" t="s">
        <v>115</v>
      </c>
      <c r="C1187" s="0" t="s">
        <v>4633</v>
      </c>
      <c r="D1187" s="0" t="n">
        <v>2016</v>
      </c>
      <c r="E1187" s="0" t="s">
        <v>63</v>
      </c>
      <c r="F1187" s="0" t="n">
        <v>-8671</v>
      </c>
      <c r="G1187" s="0" t="s">
        <v>3101</v>
      </c>
      <c r="H1187" s="0" t="s">
        <v>3068</v>
      </c>
      <c r="I1187" s="0" t="n">
        <v>8671</v>
      </c>
      <c r="J1187" s="0" t="s">
        <v>4634</v>
      </c>
      <c r="K1187" s="0" t="s">
        <v>2692</v>
      </c>
      <c r="L1187" s="0" t="n">
        <v>2016</v>
      </c>
      <c r="M1187" s="0" t="s">
        <v>1967</v>
      </c>
      <c r="N1187" s="0" t="s">
        <v>119</v>
      </c>
      <c r="O1187" s="0" t="s">
        <v>2457</v>
      </c>
      <c r="P1187" s="0" t="s">
        <v>4858</v>
      </c>
      <c r="Q1187" s="0" t="n">
        <v>25</v>
      </c>
      <c r="R1187" s="0" t="n">
        <v>24</v>
      </c>
      <c r="S1187" s="0" t="n">
        <v>8</v>
      </c>
      <c r="T1187" s="0" t="n">
        <v>2016</v>
      </c>
      <c r="U1187" s="0" t="s">
        <v>4209</v>
      </c>
      <c r="V1187" s="0" t="s">
        <v>87</v>
      </c>
      <c r="W1187" s="0" t="s">
        <v>4872</v>
      </c>
      <c r="X1187" s="0" t="s">
        <v>4869</v>
      </c>
      <c r="Y1187" s="0" t="s">
        <v>4159</v>
      </c>
      <c r="Z1187" s="0" t="s">
        <v>4160</v>
      </c>
      <c r="AA1187" s="0" t="s">
        <v>4873</v>
      </c>
      <c r="AB1187" s="0" t="s">
        <v>4812</v>
      </c>
      <c r="AC1187" s="0" t="s">
        <v>4162</v>
      </c>
      <c r="AD1187" s="0" t="s">
        <v>4637</v>
      </c>
      <c r="AE1187" s="0" t="s">
        <v>1892</v>
      </c>
      <c r="AF1187" s="0" t="s">
        <v>4862</v>
      </c>
      <c r="AH1187" s="0" t="s">
        <v>4174</v>
      </c>
      <c r="AI1187" s="0" t="s">
        <v>4874</v>
      </c>
      <c r="AL1187" s="0" t="s">
        <v>523</v>
      </c>
    </row>
    <row r="1188" customFormat="false" ht="15" hidden="false" customHeight="false" outlineLevel="0" collapsed="false">
      <c r="A1188" s="0" t="s">
        <v>823</v>
      </c>
      <c r="B1188" s="0" t="s">
        <v>115</v>
      </c>
      <c r="C1188" s="0" t="s">
        <v>4633</v>
      </c>
      <c r="D1188" s="0" t="n">
        <v>2016</v>
      </c>
      <c r="E1188" s="0" t="s">
        <v>58</v>
      </c>
      <c r="F1188" s="0" t="n">
        <v>-56907</v>
      </c>
      <c r="G1188" s="0" t="s">
        <v>3101</v>
      </c>
      <c r="H1188" s="0" t="s">
        <v>3068</v>
      </c>
      <c r="I1188" s="0" t="n">
        <v>-56907</v>
      </c>
      <c r="J1188" s="0" t="s">
        <v>4634</v>
      </c>
      <c r="K1188" s="0" t="s">
        <v>2692</v>
      </c>
      <c r="L1188" s="0" t="n">
        <v>2016</v>
      </c>
      <c r="M1188" s="0" t="s">
        <v>1967</v>
      </c>
      <c r="N1188" s="0" t="s">
        <v>119</v>
      </c>
      <c r="O1188" s="0" t="s">
        <v>2457</v>
      </c>
      <c r="P1188" s="0" t="s">
        <v>4858</v>
      </c>
      <c r="Q1188" s="0" t="n">
        <v>28</v>
      </c>
      <c r="R1188" s="0" t="n">
        <v>27</v>
      </c>
      <c r="T1188" s="0" t="n">
        <v>2016</v>
      </c>
      <c r="U1188" s="0" t="s">
        <v>4209</v>
      </c>
      <c r="V1188" s="0" t="s">
        <v>87</v>
      </c>
      <c r="W1188" s="0" t="s">
        <v>4875</v>
      </c>
      <c r="X1188" s="0" t="s">
        <v>4876</v>
      </c>
      <c r="Y1188" s="0" t="s">
        <v>4159</v>
      </c>
      <c r="Z1188" s="0" t="s">
        <v>4160</v>
      </c>
      <c r="AA1188" s="0" t="s">
        <v>4877</v>
      </c>
      <c r="AB1188" s="0" t="s">
        <v>4812</v>
      </c>
      <c r="AC1188" s="0" t="s">
        <v>4162</v>
      </c>
      <c r="AD1188" s="0" t="s">
        <v>4637</v>
      </c>
      <c r="AE1188" s="0" t="s">
        <v>1892</v>
      </c>
      <c r="AF1188" s="0" t="s">
        <v>4862</v>
      </c>
      <c r="AH1188" s="0" t="s">
        <v>2239</v>
      </c>
      <c r="AL1188" s="0" t="s">
        <v>523</v>
      </c>
    </row>
    <row r="1189" customFormat="false" ht="15" hidden="false" customHeight="false" outlineLevel="0" collapsed="false">
      <c r="A1189" s="0" t="s">
        <v>825</v>
      </c>
      <c r="B1189" s="0" t="s">
        <v>115</v>
      </c>
      <c r="C1189" s="0" t="s">
        <v>4633</v>
      </c>
      <c r="D1189" s="0" t="n">
        <v>2016</v>
      </c>
      <c r="E1189" s="0" t="s">
        <v>60</v>
      </c>
      <c r="F1189" s="0" t="n">
        <v>743120</v>
      </c>
      <c r="G1189" s="0" t="s">
        <v>3101</v>
      </c>
      <c r="H1189" s="0" t="s">
        <v>3068</v>
      </c>
      <c r="I1189" s="0" t="n">
        <v>743120</v>
      </c>
      <c r="J1189" s="0" t="s">
        <v>4634</v>
      </c>
      <c r="K1189" s="0" t="s">
        <v>2692</v>
      </c>
      <c r="L1189" s="0" t="n">
        <v>2016</v>
      </c>
      <c r="M1189" s="0" t="s">
        <v>1967</v>
      </c>
      <c r="N1189" s="0" t="s">
        <v>119</v>
      </c>
      <c r="O1189" s="0" t="s">
        <v>2457</v>
      </c>
      <c r="P1189" s="0" t="s">
        <v>4858</v>
      </c>
      <c r="Q1189" s="0" t="n">
        <v>87</v>
      </c>
      <c r="R1189" s="0" t="n">
        <v>86</v>
      </c>
      <c r="S1189" s="0" t="n">
        <v>21</v>
      </c>
      <c r="T1189" s="0" t="s">
        <v>4878</v>
      </c>
      <c r="U1189" s="0" t="s">
        <v>4209</v>
      </c>
      <c r="V1189" s="0" t="s">
        <v>87</v>
      </c>
      <c r="W1189" s="0" t="s">
        <v>4879</v>
      </c>
      <c r="X1189" s="0" t="s">
        <v>4880</v>
      </c>
      <c r="Y1189" s="0" t="s">
        <v>4159</v>
      </c>
      <c r="Z1189" s="0" t="s">
        <v>4160</v>
      </c>
      <c r="AA1189" s="0" t="s">
        <v>4881</v>
      </c>
      <c r="AB1189" s="0" t="s">
        <v>4812</v>
      </c>
      <c r="AC1189" s="0" t="s">
        <v>4162</v>
      </c>
      <c r="AD1189" s="0" t="s">
        <v>4637</v>
      </c>
      <c r="AE1189" s="0" t="s">
        <v>1892</v>
      </c>
      <c r="AF1189" s="0" t="s">
        <v>4862</v>
      </c>
      <c r="AH1189" s="0" t="s">
        <v>2239</v>
      </c>
      <c r="AL1189" s="0" t="s">
        <v>523</v>
      </c>
    </row>
    <row r="1190" customFormat="false" ht="15" hidden="false" customHeight="false" outlineLevel="0" collapsed="false">
      <c r="A1190" s="0" t="s">
        <v>826</v>
      </c>
      <c r="B1190" s="0" t="s">
        <v>115</v>
      </c>
      <c r="C1190" s="0" t="s">
        <v>4633</v>
      </c>
      <c r="D1190" s="0" t="n">
        <v>2016</v>
      </c>
      <c r="E1190" s="0" t="s">
        <v>61</v>
      </c>
      <c r="F1190" s="0" t="n">
        <v>-24719</v>
      </c>
      <c r="G1190" s="0" t="s">
        <v>3101</v>
      </c>
      <c r="H1190" s="0" t="s">
        <v>3068</v>
      </c>
      <c r="I1190" s="0" t="n">
        <v>24719</v>
      </c>
      <c r="J1190" s="0" t="s">
        <v>4634</v>
      </c>
      <c r="K1190" s="0" t="s">
        <v>2692</v>
      </c>
      <c r="L1190" s="0" t="n">
        <v>2016</v>
      </c>
      <c r="M1190" s="0" t="s">
        <v>1967</v>
      </c>
      <c r="N1190" s="0" t="s">
        <v>119</v>
      </c>
      <c r="O1190" s="0" t="s">
        <v>2457</v>
      </c>
      <c r="P1190" s="0" t="s">
        <v>4858</v>
      </c>
      <c r="Q1190" s="0" t="n">
        <v>87</v>
      </c>
      <c r="R1190" s="0" t="n">
        <v>86</v>
      </c>
      <c r="S1190" s="0" t="n">
        <v>21</v>
      </c>
      <c r="T1190" s="0" t="s">
        <v>4882</v>
      </c>
      <c r="U1190" s="0" t="s">
        <v>4209</v>
      </c>
      <c r="V1190" s="0" t="s">
        <v>87</v>
      </c>
      <c r="W1190" s="0" t="s">
        <v>4879</v>
      </c>
      <c r="X1190" s="0" t="s">
        <v>4880</v>
      </c>
      <c r="Y1190" s="0" t="s">
        <v>4159</v>
      </c>
      <c r="Z1190" s="0" t="s">
        <v>4160</v>
      </c>
      <c r="AA1190" s="0" t="s">
        <v>4883</v>
      </c>
      <c r="AB1190" s="0" t="s">
        <v>4812</v>
      </c>
      <c r="AC1190" s="0" t="s">
        <v>4162</v>
      </c>
      <c r="AD1190" s="0" t="s">
        <v>4637</v>
      </c>
      <c r="AE1190" s="0" t="s">
        <v>1892</v>
      </c>
      <c r="AF1190" s="0" t="s">
        <v>4862</v>
      </c>
      <c r="AH1190" s="0" t="s">
        <v>4174</v>
      </c>
      <c r="AI1190" s="0" t="s">
        <v>4884</v>
      </c>
      <c r="AL1190" s="0" t="s">
        <v>523</v>
      </c>
    </row>
    <row r="1191" customFormat="false" ht="15" hidden="false" customHeight="false" outlineLevel="0" collapsed="false">
      <c r="A1191" s="0" t="s">
        <v>836</v>
      </c>
      <c r="B1191" s="0" t="s">
        <v>115</v>
      </c>
      <c r="C1191" s="0" t="s">
        <v>4633</v>
      </c>
      <c r="D1191" s="0" t="n">
        <v>2016</v>
      </c>
      <c r="E1191" s="0" t="s">
        <v>543</v>
      </c>
      <c r="F1191" s="0" t="n">
        <v>-15027</v>
      </c>
      <c r="G1191" s="0" t="s">
        <v>3101</v>
      </c>
      <c r="H1191" s="0" t="s">
        <v>3068</v>
      </c>
      <c r="I1191" s="0" t="n">
        <v>15027</v>
      </c>
      <c r="J1191" s="0" t="s">
        <v>4634</v>
      </c>
      <c r="K1191" s="0" t="s">
        <v>2692</v>
      </c>
      <c r="L1191" s="0" t="n">
        <v>2016</v>
      </c>
      <c r="M1191" s="0" t="s">
        <v>1967</v>
      </c>
      <c r="N1191" s="0" t="s">
        <v>119</v>
      </c>
      <c r="O1191" s="0" t="s">
        <v>2457</v>
      </c>
      <c r="P1191" s="0" t="s">
        <v>4858</v>
      </c>
      <c r="Q1191" s="0" t="n">
        <v>87</v>
      </c>
      <c r="R1191" s="0" t="n">
        <v>86</v>
      </c>
      <c r="S1191" s="0" t="n">
        <v>21</v>
      </c>
      <c r="T1191" s="0" t="s">
        <v>4885</v>
      </c>
      <c r="U1191" s="0" t="s">
        <v>4209</v>
      </c>
      <c r="V1191" s="0" t="s">
        <v>87</v>
      </c>
      <c r="W1191" s="0" t="s">
        <v>4879</v>
      </c>
      <c r="X1191" s="0" t="s">
        <v>4880</v>
      </c>
      <c r="Y1191" s="0" t="s">
        <v>4159</v>
      </c>
      <c r="Z1191" s="0" t="s">
        <v>4160</v>
      </c>
      <c r="AA1191" s="0" t="s">
        <v>4886</v>
      </c>
      <c r="AB1191" s="0" t="s">
        <v>4812</v>
      </c>
      <c r="AC1191" s="0" t="s">
        <v>4162</v>
      </c>
      <c r="AD1191" s="0" t="s">
        <v>4637</v>
      </c>
      <c r="AE1191" s="0" t="s">
        <v>1892</v>
      </c>
      <c r="AF1191" s="0" t="s">
        <v>4862</v>
      </c>
      <c r="AH1191" s="0" t="s">
        <v>4174</v>
      </c>
      <c r="AI1191" s="0" t="s">
        <v>4884</v>
      </c>
      <c r="AL1191" s="0" t="s">
        <v>523</v>
      </c>
    </row>
    <row r="1192" customFormat="false" ht="15" hidden="false" customHeight="false" outlineLevel="0" collapsed="false">
      <c r="A1192" s="0" t="s">
        <v>837</v>
      </c>
      <c r="B1192" s="0" t="s">
        <v>115</v>
      </c>
      <c r="C1192" s="0" t="s">
        <v>4633</v>
      </c>
      <c r="D1192" s="0" t="n">
        <v>2016</v>
      </c>
      <c r="E1192" s="0" t="s">
        <v>545</v>
      </c>
      <c r="F1192" s="0" t="n">
        <v>-9692</v>
      </c>
      <c r="G1192" s="0" t="s">
        <v>3101</v>
      </c>
      <c r="H1192" s="0" t="s">
        <v>3068</v>
      </c>
      <c r="I1192" s="0" t="n">
        <v>9692</v>
      </c>
      <c r="J1192" s="0" t="s">
        <v>4634</v>
      </c>
      <c r="K1192" s="0" t="s">
        <v>2692</v>
      </c>
      <c r="L1192" s="0" t="n">
        <v>2016</v>
      </c>
      <c r="M1192" s="0" t="s">
        <v>1967</v>
      </c>
      <c r="N1192" s="0" t="s">
        <v>119</v>
      </c>
      <c r="O1192" s="0" t="s">
        <v>2457</v>
      </c>
      <c r="P1192" s="0" t="s">
        <v>4858</v>
      </c>
      <c r="Q1192" s="0" t="n">
        <v>87</v>
      </c>
      <c r="R1192" s="0" t="n">
        <v>86</v>
      </c>
      <c r="S1192" s="0" t="n">
        <v>21</v>
      </c>
      <c r="T1192" s="0" t="s">
        <v>4887</v>
      </c>
      <c r="U1192" s="0" t="s">
        <v>4209</v>
      </c>
      <c r="V1192" s="0" t="s">
        <v>87</v>
      </c>
      <c r="W1192" s="0" t="s">
        <v>4879</v>
      </c>
      <c r="X1192" s="0" t="s">
        <v>4880</v>
      </c>
      <c r="Y1192" s="0" t="s">
        <v>4159</v>
      </c>
      <c r="Z1192" s="0" t="s">
        <v>4160</v>
      </c>
      <c r="AA1192" s="0" t="s">
        <v>4888</v>
      </c>
      <c r="AB1192" s="0" t="s">
        <v>4812</v>
      </c>
      <c r="AC1192" s="0" t="s">
        <v>4162</v>
      </c>
      <c r="AD1192" s="0" t="s">
        <v>4637</v>
      </c>
      <c r="AE1192" s="0" t="s">
        <v>1892</v>
      </c>
      <c r="AF1192" s="0" t="s">
        <v>4862</v>
      </c>
      <c r="AH1192" s="0" t="s">
        <v>4174</v>
      </c>
      <c r="AI1192" s="0" t="s">
        <v>4884</v>
      </c>
      <c r="AL1192" s="0" t="s">
        <v>523</v>
      </c>
    </row>
    <row r="1193" customFormat="false" ht="15" hidden="false" customHeight="false" outlineLevel="0" collapsed="false">
      <c r="A1193" s="0" t="s">
        <v>827</v>
      </c>
      <c r="B1193" s="0" t="s">
        <v>115</v>
      </c>
      <c r="C1193" s="0" t="s">
        <v>4633</v>
      </c>
      <c r="D1193" s="0" t="n">
        <v>2016</v>
      </c>
      <c r="E1193" s="0" t="s">
        <v>62</v>
      </c>
      <c r="F1193" s="0" t="n">
        <v>718401</v>
      </c>
      <c r="G1193" s="0" t="s">
        <v>3101</v>
      </c>
      <c r="H1193" s="0" t="s">
        <v>3068</v>
      </c>
      <c r="I1193" s="0" t="n">
        <v>718401</v>
      </c>
      <c r="J1193" s="0" t="s">
        <v>4634</v>
      </c>
      <c r="K1193" s="0" t="s">
        <v>2692</v>
      </c>
      <c r="L1193" s="0" t="n">
        <v>2016</v>
      </c>
      <c r="M1193" s="0" t="s">
        <v>1967</v>
      </c>
      <c r="N1193" s="0" t="s">
        <v>119</v>
      </c>
      <c r="O1193" s="0" t="s">
        <v>2457</v>
      </c>
      <c r="P1193" s="0" t="s">
        <v>4858</v>
      </c>
      <c r="Q1193" s="0" t="n">
        <v>87</v>
      </c>
      <c r="R1193" s="0" t="n">
        <v>86</v>
      </c>
      <c r="S1193" s="0" t="n">
        <v>21</v>
      </c>
      <c r="T1193" s="0" t="s">
        <v>4889</v>
      </c>
      <c r="U1193" s="0" t="s">
        <v>4209</v>
      </c>
      <c r="V1193" s="0" t="s">
        <v>87</v>
      </c>
      <c r="W1193" s="0" t="s">
        <v>4879</v>
      </c>
      <c r="X1193" s="0" t="s">
        <v>4880</v>
      </c>
      <c r="Y1193" s="0" t="s">
        <v>4159</v>
      </c>
      <c r="Z1193" s="0" t="s">
        <v>4160</v>
      </c>
      <c r="AA1193" s="0" t="s">
        <v>4890</v>
      </c>
      <c r="AB1193" s="0" t="s">
        <v>4812</v>
      </c>
      <c r="AC1193" s="0" t="s">
        <v>4162</v>
      </c>
      <c r="AD1193" s="0" t="s">
        <v>4637</v>
      </c>
      <c r="AE1193" s="0" t="s">
        <v>1892</v>
      </c>
      <c r="AF1193" s="0" t="s">
        <v>4862</v>
      </c>
      <c r="AH1193" s="0" t="s">
        <v>2239</v>
      </c>
      <c r="AL1193" s="0" t="s">
        <v>523</v>
      </c>
    </row>
    <row r="1194" customFormat="false" ht="15" hidden="false" customHeight="false" outlineLevel="0" collapsed="false">
      <c r="A1194" s="0" t="s">
        <v>832</v>
      </c>
      <c r="B1194" s="0" t="s">
        <v>115</v>
      </c>
      <c r="C1194" s="0" t="s">
        <v>4633</v>
      </c>
      <c r="D1194" s="0" t="n">
        <v>2016</v>
      </c>
      <c r="E1194" s="0" t="s">
        <v>65</v>
      </c>
      <c r="F1194" s="0" t="n">
        <v>196913</v>
      </c>
      <c r="G1194" s="0" t="s">
        <v>3101</v>
      </c>
      <c r="H1194" s="0" t="s">
        <v>3068</v>
      </c>
      <c r="I1194" s="0" t="n">
        <v>196913</v>
      </c>
      <c r="J1194" s="0" t="s">
        <v>4634</v>
      </c>
      <c r="K1194" s="0" t="s">
        <v>2692</v>
      </c>
      <c r="L1194" s="0" t="n">
        <v>2016</v>
      </c>
      <c r="M1194" s="0" t="s">
        <v>1967</v>
      </c>
      <c r="N1194" s="0" t="s">
        <v>119</v>
      </c>
      <c r="O1194" s="0" t="s">
        <v>2457</v>
      </c>
      <c r="P1194" s="0" t="s">
        <v>4858</v>
      </c>
      <c r="Q1194" s="0" t="n">
        <v>80</v>
      </c>
      <c r="R1194" s="0" t="n">
        <v>79</v>
      </c>
      <c r="S1194" s="0" t="n">
        <v>4</v>
      </c>
      <c r="T1194" s="0" t="n">
        <v>2016</v>
      </c>
      <c r="U1194" s="0" t="s">
        <v>4209</v>
      </c>
      <c r="V1194" s="0" t="s">
        <v>87</v>
      </c>
      <c r="W1194" s="0" t="s">
        <v>4891</v>
      </c>
      <c r="X1194" s="0" t="s">
        <v>4892</v>
      </c>
      <c r="Y1194" s="0" t="s">
        <v>4159</v>
      </c>
      <c r="Z1194" s="0" t="s">
        <v>4160</v>
      </c>
      <c r="AA1194" s="0" t="s">
        <v>4893</v>
      </c>
      <c r="AB1194" s="0" t="s">
        <v>4812</v>
      </c>
      <c r="AC1194" s="0" t="s">
        <v>4162</v>
      </c>
      <c r="AD1194" s="0" t="s">
        <v>4637</v>
      </c>
      <c r="AE1194" s="0" t="s">
        <v>1892</v>
      </c>
      <c r="AF1194" s="0" t="s">
        <v>4862</v>
      </c>
      <c r="AH1194" s="0" t="s">
        <v>2239</v>
      </c>
      <c r="AL1194" s="0" t="s">
        <v>523</v>
      </c>
    </row>
    <row r="1195" customFormat="false" ht="15" hidden="false" customHeight="false" outlineLevel="0" collapsed="false">
      <c r="A1195" s="0" t="s">
        <v>833</v>
      </c>
      <c r="B1195" s="0" t="s">
        <v>115</v>
      </c>
      <c r="C1195" s="0" t="s">
        <v>4633</v>
      </c>
      <c r="D1195" s="0" t="n">
        <v>2016</v>
      </c>
      <c r="E1195" s="0" t="s">
        <v>66</v>
      </c>
      <c r="F1195" s="0" t="n">
        <v>1138258</v>
      </c>
      <c r="G1195" s="0" t="s">
        <v>3101</v>
      </c>
      <c r="H1195" s="0" t="s">
        <v>3068</v>
      </c>
      <c r="I1195" s="0" t="n">
        <v>1138258</v>
      </c>
      <c r="J1195" s="0" t="s">
        <v>4634</v>
      </c>
      <c r="K1195" s="0" t="s">
        <v>2692</v>
      </c>
      <c r="L1195" s="0" t="n">
        <v>2016</v>
      </c>
      <c r="M1195" s="0" t="s">
        <v>1967</v>
      </c>
      <c r="N1195" s="0" t="s">
        <v>119</v>
      </c>
      <c r="O1195" s="0" t="s">
        <v>2457</v>
      </c>
      <c r="P1195" s="0" t="s">
        <v>4858</v>
      </c>
      <c r="Q1195" s="0" t="n">
        <v>80</v>
      </c>
      <c r="R1195" s="0" t="n">
        <v>79</v>
      </c>
      <c r="S1195" s="0" t="n">
        <v>4</v>
      </c>
      <c r="T1195" s="0" t="n">
        <v>2016</v>
      </c>
      <c r="U1195" s="0" t="s">
        <v>4209</v>
      </c>
      <c r="V1195" s="0" t="s">
        <v>87</v>
      </c>
      <c r="W1195" s="0" t="s">
        <v>4894</v>
      </c>
      <c r="X1195" s="0" t="s">
        <v>4892</v>
      </c>
      <c r="Y1195" s="0" t="s">
        <v>4159</v>
      </c>
      <c r="Z1195" s="0" t="s">
        <v>4160</v>
      </c>
      <c r="AA1195" s="0" t="s">
        <v>4895</v>
      </c>
      <c r="AB1195" s="0" t="s">
        <v>4812</v>
      </c>
      <c r="AC1195" s="0" t="s">
        <v>4162</v>
      </c>
      <c r="AD1195" s="0" t="s">
        <v>4637</v>
      </c>
      <c r="AE1195" s="0" t="s">
        <v>1892</v>
      </c>
      <c r="AF1195" s="0" t="s">
        <v>4862</v>
      </c>
      <c r="AH1195" s="0" t="s">
        <v>2239</v>
      </c>
      <c r="AL1195" s="0" t="s">
        <v>523</v>
      </c>
    </row>
    <row r="1196" customFormat="false" ht="15" hidden="false" customHeight="false" outlineLevel="0" collapsed="false">
      <c r="A1196" s="0" t="s">
        <v>829</v>
      </c>
      <c r="B1196" s="0" t="s">
        <v>115</v>
      </c>
      <c r="C1196" s="0" t="s">
        <v>4633</v>
      </c>
      <c r="D1196" s="0" t="n">
        <v>2016</v>
      </c>
      <c r="E1196" s="0" t="s">
        <v>69</v>
      </c>
      <c r="F1196" s="0" t="s">
        <v>4896</v>
      </c>
      <c r="G1196" s="0" t="s">
        <v>3143</v>
      </c>
      <c r="I1196" s="0" t="n">
        <v>17.22</v>
      </c>
      <c r="J1196" s="0" t="s">
        <v>4634</v>
      </c>
      <c r="K1196" s="0" t="s">
        <v>2692</v>
      </c>
      <c r="L1196" s="0" t="n">
        <v>2016</v>
      </c>
      <c r="M1196" s="0" t="s">
        <v>1967</v>
      </c>
      <c r="N1196" s="0" t="s">
        <v>119</v>
      </c>
      <c r="O1196" s="0" t="s">
        <v>2457</v>
      </c>
      <c r="P1196" s="0" t="s">
        <v>4858</v>
      </c>
      <c r="Q1196" s="0" t="n">
        <v>80</v>
      </c>
      <c r="R1196" s="0" t="n">
        <v>79</v>
      </c>
      <c r="S1196" s="0" t="n">
        <v>4</v>
      </c>
      <c r="T1196" s="0" t="n">
        <v>2016</v>
      </c>
      <c r="U1196" s="0" t="s">
        <v>4209</v>
      </c>
      <c r="V1196" s="0" t="s">
        <v>87</v>
      </c>
      <c r="W1196" s="0" t="s">
        <v>4897</v>
      </c>
      <c r="X1196" s="0" t="s">
        <v>4892</v>
      </c>
      <c r="Y1196" s="0" t="s">
        <v>4159</v>
      </c>
      <c r="Z1196" s="0" t="s">
        <v>4160</v>
      </c>
      <c r="AA1196" s="0" t="s">
        <v>4898</v>
      </c>
      <c r="AB1196" s="0" t="s">
        <v>4812</v>
      </c>
      <c r="AC1196" s="0" t="s">
        <v>4162</v>
      </c>
      <c r="AD1196" s="0" t="s">
        <v>4637</v>
      </c>
      <c r="AE1196" s="0" t="s">
        <v>1892</v>
      </c>
      <c r="AF1196" s="0" t="s">
        <v>4862</v>
      </c>
      <c r="AH1196" s="0" t="s">
        <v>2239</v>
      </c>
      <c r="AL1196" s="0" t="s">
        <v>523</v>
      </c>
    </row>
    <row r="1197" customFormat="false" ht="15" hidden="false" customHeight="false" outlineLevel="0" collapsed="false">
      <c r="A1197" s="0" t="s">
        <v>831</v>
      </c>
      <c r="B1197" s="0" t="s">
        <v>115</v>
      </c>
      <c r="C1197" s="0" t="s">
        <v>4633</v>
      </c>
      <c r="D1197" s="0" t="n">
        <v>2016</v>
      </c>
      <c r="E1197" s="0" t="s">
        <v>70</v>
      </c>
      <c r="F1197" s="0" t="s">
        <v>4253</v>
      </c>
      <c r="G1197" s="0" t="s">
        <v>3143</v>
      </c>
      <c r="I1197" s="0" t="n">
        <v>15</v>
      </c>
      <c r="J1197" s="0" t="s">
        <v>4634</v>
      </c>
      <c r="K1197" s="0" t="s">
        <v>2692</v>
      </c>
      <c r="L1197" s="0" t="n">
        <v>2016</v>
      </c>
      <c r="M1197" s="0" t="s">
        <v>1967</v>
      </c>
      <c r="N1197" s="0" t="s">
        <v>119</v>
      </c>
      <c r="O1197" s="0" t="s">
        <v>2457</v>
      </c>
      <c r="P1197" s="0" t="s">
        <v>4858</v>
      </c>
      <c r="Q1197" s="0" t="n">
        <v>80</v>
      </c>
      <c r="R1197" s="0" t="n">
        <v>79</v>
      </c>
      <c r="S1197" s="0" t="n">
        <v>4</v>
      </c>
      <c r="T1197" s="0" t="n">
        <v>2016</v>
      </c>
      <c r="U1197" s="0" t="s">
        <v>4209</v>
      </c>
      <c r="V1197" s="0" t="s">
        <v>87</v>
      </c>
      <c r="W1197" s="0" t="s">
        <v>4659</v>
      </c>
      <c r="X1197" s="0" t="s">
        <v>4892</v>
      </c>
      <c r="Y1197" s="0" t="s">
        <v>4159</v>
      </c>
      <c r="Z1197" s="0" t="s">
        <v>4160</v>
      </c>
      <c r="AA1197" s="0" t="s">
        <v>4899</v>
      </c>
      <c r="AB1197" s="0" t="s">
        <v>4812</v>
      </c>
      <c r="AC1197" s="0" t="s">
        <v>4162</v>
      </c>
      <c r="AD1197" s="0" t="s">
        <v>4637</v>
      </c>
      <c r="AE1197" s="0" t="s">
        <v>1892</v>
      </c>
      <c r="AF1197" s="0" t="s">
        <v>4862</v>
      </c>
      <c r="AH1197" s="0" t="s">
        <v>2239</v>
      </c>
      <c r="AL1197" s="0" t="s">
        <v>523</v>
      </c>
    </row>
    <row r="1198" customFormat="false" ht="15" hidden="false" customHeight="false" outlineLevel="0" collapsed="false">
      <c r="A1198" s="0" t="s">
        <v>834</v>
      </c>
      <c r="B1198" s="0" t="s">
        <v>115</v>
      </c>
      <c r="C1198" s="0" t="s">
        <v>4633</v>
      </c>
      <c r="D1198" s="0" t="n">
        <v>2016</v>
      </c>
      <c r="E1198" s="0" t="s">
        <v>73</v>
      </c>
      <c r="F1198" s="0" t="n">
        <v>0</v>
      </c>
      <c r="G1198" s="0" t="s">
        <v>4257</v>
      </c>
      <c r="I1198" s="0" t="n">
        <v>0</v>
      </c>
      <c r="J1198" s="0" t="s">
        <v>4687</v>
      </c>
      <c r="K1198" s="0" t="s">
        <v>2692</v>
      </c>
      <c r="L1198" s="0" t="n">
        <v>2016</v>
      </c>
      <c r="M1198" s="0" t="s">
        <v>1967</v>
      </c>
      <c r="N1198" s="0" t="s">
        <v>119</v>
      </c>
      <c r="O1198" s="0" t="s">
        <v>2457</v>
      </c>
      <c r="P1198" s="0" t="s">
        <v>4858</v>
      </c>
      <c r="Q1198" s="0" t="n">
        <v>20</v>
      </c>
      <c r="R1198" s="0" t="n">
        <v>19</v>
      </c>
      <c r="T1198" s="0" t="s">
        <v>4900</v>
      </c>
      <c r="U1198" s="0" t="s">
        <v>4209</v>
      </c>
      <c r="V1198" s="0" t="s">
        <v>87</v>
      </c>
      <c r="W1198" s="0" t="s">
        <v>4803</v>
      </c>
      <c r="X1198" s="0" t="s">
        <v>4901</v>
      </c>
      <c r="Y1198" s="0" t="s">
        <v>4212</v>
      </c>
      <c r="Z1198" s="0" t="s">
        <v>4160</v>
      </c>
      <c r="AA1198" s="0" t="s">
        <v>4902</v>
      </c>
      <c r="AB1198" s="0" t="s">
        <v>4812</v>
      </c>
      <c r="AC1198" s="0" t="s">
        <v>4162</v>
      </c>
      <c r="AD1198" s="0" t="s">
        <v>4637</v>
      </c>
      <c r="AE1198" s="0" t="s">
        <v>1892</v>
      </c>
      <c r="AF1198" s="0" t="s">
        <v>4862</v>
      </c>
      <c r="AG1198" s="0" t="s">
        <v>1892</v>
      </c>
      <c r="AH1198" s="0" t="s">
        <v>2239</v>
      </c>
      <c r="AL1198" s="0" t="s">
        <v>539</v>
      </c>
    </row>
    <row r="1199" customFormat="false" ht="15" hidden="false" customHeight="false" outlineLevel="0" collapsed="false">
      <c r="A1199" s="0" t="s">
        <v>839</v>
      </c>
      <c r="B1199" s="0" t="s">
        <v>115</v>
      </c>
      <c r="C1199" s="0" t="s">
        <v>4633</v>
      </c>
      <c r="D1199" s="0" t="n">
        <v>2017</v>
      </c>
      <c r="E1199" s="0" t="s">
        <v>55</v>
      </c>
      <c r="F1199" s="0" t="n">
        <v>1379214</v>
      </c>
      <c r="G1199" s="0" t="s">
        <v>3101</v>
      </c>
      <c r="H1199" s="0" t="s">
        <v>3068</v>
      </c>
      <c r="I1199" s="0" t="n">
        <v>1379214</v>
      </c>
      <c r="J1199" s="0" t="s">
        <v>4634</v>
      </c>
      <c r="K1199" s="0" t="s">
        <v>2693</v>
      </c>
      <c r="L1199" s="0" t="n">
        <v>2017</v>
      </c>
      <c r="M1199" s="0" t="s">
        <v>1978</v>
      </c>
      <c r="N1199" s="0" t="s">
        <v>120</v>
      </c>
      <c r="O1199" s="0" t="s">
        <v>2460</v>
      </c>
      <c r="P1199" s="0" t="s">
        <v>4903</v>
      </c>
      <c r="Q1199" s="0" t="n">
        <v>52</v>
      </c>
      <c r="R1199" s="0" t="n">
        <v>103</v>
      </c>
      <c r="T1199" s="0" t="s">
        <v>4904</v>
      </c>
      <c r="U1199" s="0" t="s">
        <v>4396</v>
      </c>
      <c r="V1199" s="0" t="s">
        <v>89</v>
      </c>
      <c r="W1199" s="0" t="s">
        <v>4905</v>
      </c>
      <c r="X1199" s="0" t="s">
        <v>4906</v>
      </c>
      <c r="Y1199" s="0" t="s">
        <v>4159</v>
      </c>
      <c r="Z1199" s="0" t="s">
        <v>4160</v>
      </c>
      <c r="AA1199" s="0" t="s">
        <v>4907</v>
      </c>
      <c r="AB1199" s="0" t="s">
        <v>4908</v>
      </c>
      <c r="AC1199" s="0" t="s">
        <v>4162</v>
      </c>
      <c r="AD1199" s="0" t="s">
        <v>4637</v>
      </c>
      <c r="AE1199" s="0" t="s">
        <v>1892</v>
      </c>
      <c r="AF1199" s="0" t="s">
        <v>4909</v>
      </c>
      <c r="AH1199" s="0" t="s">
        <v>2239</v>
      </c>
      <c r="AL1199" s="0" t="s">
        <v>523</v>
      </c>
    </row>
    <row r="1200" customFormat="false" ht="15" hidden="false" customHeight="false" outlineLevel="0" collapsed="false">
      <c r="A1200" s="0" t="s">
        <v>840</v>
      </c>
      <c r="B1200" s="0" t="s">
        <v>115</v>
      </c>
      <c r="C1200" s="0" t="s">
        <v>4633</v>
      </c>
      <c r="D1200" s="0" t="n">
        <v>2017</v>
      </c>
      <c r="E1200" s="0" t="s">
        <v>56</v>
      </c>
      <c r="F1200" s="0" t="n">
        <v>1175899</v>
      </c>
      <c r="G1200" s="0" t="s">
        <v>3101</v>
      </c>
      <c r="H1200" s="0" t="s">
        <v>3068</v>
      </c>
      <c r="I1200" s="0" t="n">
        <v>1175899</v>
      </c>
      <c r="J1200" s="0" t="s">
        <v>4634</v>
      </c>
      <c r="K1200" s="0" t="s">
        <v>2693</v>
      </c>
      <c r="L1200" s="0" t="n">
        <v>2017</v>
      </c>
      <c r="M1200" s="0" t="s">
        <v>1978</v>
      </c>
      <c r="N1200" s="0" t="s">
        <v>120</v>
      </c>
      <c r="O1200" s="0" t="s">
        <v>2460</v>
      </c>
      <c r="P1200" s="0" t="s">
        <v>4903</v>
      </c>
      <c r="Q1200" s="0" t="n">
        <v>52</v>
      </c>
      <c r="R1200" s="0" t="n">
        <v>103</v>
      </c>
      <c r="T1200" s="0" t="s">
        <v>4904</v>
      </c>
      <c r="U1200" s="0" t="s">
        <v>4396</v>
      </c>
      <c r="V1200" s="0" t="s">
        <v>89</v>
      </c>
      <c r="W1200" s="0" t="s">
        <v>4910</v>
      </c>
      <c r="X1200" s="0" t="s">
        <v>4906</v>
      </c>
      <c r="Y1200" s="0" t="s">
        <v>4159</v>
      </c>
      <c r="Z1200" s="0" t="s">
        <v>4160</v>
      </c>
      <c r="AA1200" s="0" t="s">
        <v>4911</v>
      </c>
      <c r="AB1200" s="0" t="s">
        <v>4908</v>
      </c>
      <c r="AC1200" s="0" t="s">
        <v>4162</v>
      </c>
      <c r="AD1200" s="0" t="s">
        <v>4637</v>
      </c>
      <c r="AE1200" s="0" t="s">
        <v>1892</v>
      </c>
      <c r="AF1200" s="0" t="s">
        <v>4909</v>
      </c>
      <c r="AH1200" s="0" t="s">
        <v>2239</v>
      </c>
      <c r="AL1200" s="0" t="s">
        <v>523</v>
      </c>
    </row>
    <row r="1201" customFormat="false" ht="15" hidden="false" customHeight="false" outlineLevel="0" collapsed="false">
      <c r="A1201" s="0" t="s">
        <v>841</v>
      </c>
      <c r="B1201" s="0" t="s">
        <v>115</v>
      </c>
      <c r="C1201" s="0" t="s">
        <v>4633</v>
      </c>
      <c r="D1201" s="0" t="n">
        <v>2017</v>
      </c>
      <c r="E1201" s="0" t="s">
        <v>57</v>
      </c>
      <c r="F1201" s="0" t="n">
        <v>203315</v>
      </c>
      <c r="G1201" s="0" t="s">
        <v>3101</v>
      </c>
      <c r="H1201" s="0" t="s">
        <v>3068</v>
      </c>
      <c r="I1201" s="0" t="n">
        <v>203315</v>
      </c>
      <c r="J1201" s="0" t="s">
        <v>4634</v>
      </c>
      <c r="K1201" s="0" t="s">
        <v>2693</v>
      </c>
      <c r="L1201" s="0" t="n">
        <v>2017</v>
      </c>
      <c r="M1201" s="0" t="s">
        <v>1978</v>
      </c>
      <c r="N1201" s="0" t="s">
        <v>120</v>
      </c>
      <c r="O1201" s="0" t="s">
        <v>2460</v>
      </c>
      <c r="P1201" s="0" t="s">
        <v>4903</v>
      </c>
      <c r="Q1201" s="0" t="n">
        <v>52</v>
      </c>
      <c r="R1201" s="0" t="n">
        <v>103</v>
      </c>
      <c r="T1201" s="0" t="s">
        <v>4904</v>
      </c>
      <c r="U1201" s="0" t="s">
        <v>4396</v>
      </c>
      <c r="V1201" s="0" t="s">
        <v>89</v>
      </c>
      <c r="W1201" s="0" t="s">
        <v>4912</v>
      </c>
      <c r="X1201" s="0" t="s">
        <v>4906</v>
      </c>
      <c r="Y1201" s="0" t="s">
        <v>4159</v>
      </c>
      <c r="Z1201" s="0" t="s">
        <v>4160</v>
      </c>
      <c r="AA1201" s="0" t="s">
        <v>4913</v>
      </c>
      <c r="AB1201" s="0" t="s">
        <v>4908</v>
      </c>
      <c r="AC1201" s="0" t="s">
        <v>4162</v>
      </c>
      <c r="AD1201" s="0" t="s">
        <v>4637</v>
      </c>
      <c r="AE1201" s="0" t="s">
        <v>1892</v>
      </c>
      <c r="AF1201" s="0" t="s">
        <v>4909</v>
      </c>
      <c r="AH1201" s="0" t="s">
        <v>2239</v>
      </c>
      <c r="AL1201" s="0" t="s">
        <v>523</v>
      </c>
    </row>
    <row r="1202" customFormat="false" ht="15" hidden="false" customHeight="false" outlineLevel="0" collapsed="false">
      <c r="A1202" s="0" t="s">
        <v>838</v>
      </c>
      <c r="B1202" s="0" t="s">
        <v>115</v>
      </c>
      <c r="C1202" s="0" t="s">
        <v>4633</v>
      </c>
      <c r="D1202" s="0" t="n">
        <v>2017</v>
      </c>
      <c r="E1202" s="0" t="s">
        <v>54</v>
      </c>
      <c r="F1202" s="0" t="n">
        <v>18857</v>
      </c>
      <c r="G1202" s="0" t="s">
        <v>3101</v>
      </c>
      <c r="H1202" s="0" t="s">
        <v>3068</v>
      </c>
      <c r="I1202" s="0" t="n">
        <v>18857</v>
      </c>
      <c r="J1202" s="0" t="s">
        <v>4634</v>
      </c>
      <c r="K1202" s="0" t="s">
        <v>2693</v>
      </c>
      <c r="L1202" s="0" t="n">
        <v>2017</v>
      </c>
      <c r="M1202" s="0" t="s">
        <v>1978</v>
      </c>
      <c r="N1202" s="0" t="s">
        <v>120</v>
      </c>
      <c r="O1202" s="0" t="s">
        <v>2460</v>
      </c>
      <c r="P1202" s="0" t="s">
        <v>4903</v>
      </c>
      <c r="Q1202" s="0" t="n">
        <v>52</v>
      </c>
      <c r="R1202" s="0" t="n">
        <v>102</v>
      </c>
      <c r="T1202" s="0" t="n">
        <v>2017</v>
      </c>
      <c r="U1202" s="0" t="s">
        <v>4396</v>
      </c>
      <c r="V1202" s="0" t="s">
        <v>89</v>
      </c>
      <c r="W1202" s="0" t="s">
        <v>4914</v>
      </c>
      <c r="X1202" s="0" t="s">
        <v>4906</v>
      </c>
      <c r="Y1202" s="0" t="s">
        <v>4159</v>
      </c>
      <c r="Z1202" s="0" t="s">
        <v>4160</v>
      </c>
      <c r="AA1202" s="0" t="s">
        <v>4915</v>
      </c>
      <c r="AB1202" s="0" t="s">
        <v>4908</v>
      </c>
      <c r="AC1202" s="0" t="s">
        <v>4162</v>
      </c>
      <c r="AD1202" s="0" t="s">
        <v>4637</v>
      </c>
      <c r="AE1202" s="0" t="s">
        <v>1892</v>
      </c>
      <c r="AF1202" s="0" t="s">
        <v>4909</v>
      </c>
      <c r="AH1202" s="0" t="s">
        <v>2239</v>
      </c>
      <c r="AL1202" s="0" t="s">
        <v>523</v>
      </c>
    </row>
    <row r="1203" customFormat="false" ht="15" hidden="false" customHeight="false" outlineLevel="0" collapsed="false">
      <c r="A1203" s="0" t="s">
        <v>853</v>
      </c>
      <c r="B1203" s="0" t="s">
        <v>115</v>
      </c>
      <c r="C1203" s="0" t="s">
        <v>4633</v>
      </c>
      <c r="D1203" s="0" t="n">
        <v>2017</v>
      </c>
      <c r="E1203" s="0" t="s">
        <v>541</v>
      </c>
      <c r="F1203" s="0" t="n">
        <v>20302</v>
      </c>
      <c r="G1203" s="0" t="s">
        <v>3101</v>
      </c>
      <c r="H1203" s="0" t="s">
        <v>3068</v>
      </c>
      <c r="I1203" s="0" t="n">
        <v>20302</v>
      </c>
      <c r="J1203" s="0" t="s">
        <v>4634</v>
      </c>
      <c r="K1203" s="0" t="s">
        <v>2693</v>
      </c>
      <c r="L1203" s="0" t="n">
        <v>2017</v>
      </c>
      <c r="M1203" s="0" t="s">
        <v>1978</v>
      </c>
      <c r="N1203" s="0" t="s">
        <v>120</v>
      </c>
      <c r="O1203" s="0" t="s">
        <v>2460</v>
      </c>
      <c r="P1203" s="0" t="s">
        <v>4903</v>
      </c>
      <c r="Q1203" s="0" t="n">
        <v>52</v>
      </c>
      <c r="R1203" s="0" t="n">
        <v>102</v>
      </c>
      <c r="T1203" s="0" t="n">
        <v>2017</v>
      </c>
      <c r="U1203" s="0" t="s">
        <v>4396</v>
      </c>
      <c r="V1203" s="0" t="s">
        <v>89</v>
      </c>
      <c r="W1203" s="0" t="s">
        <v>4916</v>
      </c>
      <c r="X1203" s="0" t="s">
        <v>4906</v>
      </c>
      <c r="Y1203" s="0" t="s">
        <v>4159</v>
      </c>
      <c r="Z1203" s="0" t="s">
        <v>4160</v>
      </c>
      <c r="AA1203" s="0" t="s">
        <v>4917</v>
      </c>
      <c r="AB1203" s="0" t="s">
        <v>4908</v>
      </c>
      <c r="AC1203" s="0" t="s">
        <v>4162</v>
      </c>
      <c r="AD1203" s="0" t="s">
        <v>4637</v>
      </c>
      <c r="AE1203" s="0" t="s">
        <v>1892</v>
      </c>
      <c r="AF1203" s="0" t="s">
        <v>4909</v>
      </c>
      <c r="AH1203" s="0" t="s">
        <v>2239</v>
      </c>
      <c r="AL1203" s="0" t="s">
        <v>523</v>
      </c>
    </row>
    <row r="1204" customFormat="false" ht="15" hidden="false" customHeight="false" outlineLevel="0" collapsed="false">
      <c r="A1204" s="0" t="s">
        <v>842</v>
      </c>
      <c r="B1204" s="0" t="s">
        <v>115</v>
      </c>
      <c r="C1204" s="0" t="s">
        <v>4633</v>
      </c>
      <c r="D1204" s="0" t="n">
        <v>2017</v>
      </c>
      <c r="E1204" s="0" t="s">
        <v>58</v>
      </c>
      <c r="F1204" s="0" t="n">
        <v>-38026</v>
      </c>
      <c r="G1204" s="0" t="s">
        <v>3101</v>
      </c>
      <c r="H1204" s="0" t="s">
        <v>3068</v>
      </c>
      <c r="I1204" s="0" t="n">
        <v>-38026</v>
      </c>
      <c r="J1204" s="0" t="s">
        <v>4634</v>
      </c>
      <c r="K1204" s="0" t="s">
        <v>2693</v>
      </c>
      <c r="L1204" s="0" t="n">
        <v>2017</v>
      </c>
      <c r="M1204" s="0" t="s">
        <v>1978</v>
      </c>
      <c r="N1204" s="0" t="s">
        <v>120</v>
      </c>
      <c r="O1204" s="0" t="s">
        <v>2460</v>
      </c>
      <c r="P1204" s="0" t="s">
        <v>4903</v>
      </c>
      <c r="Q1204" s="0" t="n">
        <v>53</v>
      </c>
      <c r="R1204" s="0" t="n">
        <v>105</v>
      </c>
      <c r="T1204" s="0" t="n">
        <v>2017</v>
      </c>
      <c r="U1204" s="0" t="s">
        <v>4396</v>
      </c>
      <c r="V1204" s="0" t="s">
        <v>89</v>
      </c>
      <c r="W1204" s="0" t="s">
        <v>4918</v>
      </c>
      <c r="X1204" s="0" t="s">
        <v>4919</v>
      </c>
      <c r="Y1204" s="0" t="s">
        <v>4159</v>
      </c>
      <c r="Z1204" s="0" t="s">
        <v>4160</v>
      </c>
      <c r="AA1204" s="0" t="s">
        <v>4920</v>
      </c>
      <c r="AB1204" s="0" t="s">
        <v>4908</v>
      </c>
      <c r="AC1204" s="0" t="s">
        <v>4162</v>
      </c>
      <c r="AD1204" s="0" t="s">
        <v>4637</v>
      </c>
      <c r="AE1204" s="0" t="s">
        <v>1892</v>
      </c>
      <c r="AF1204" s="0" t="s">
        <v>4909</v>
      </c>
      <c r="AH1204" s="0" t="s">
        <v>2239</v>
      </c>
      <c r="AL1204" s="0" t="s">
        <v>523</v>
      </c>
    </row>
    <row r="1205" customFormat="false" ht="15" hidden="false" customHeight="false" outlineLevel="0" collapsed="false">
      <c r="A1205" s="0" t="s">
        <v>843</v>
      </c>
      <c r="B1205" s="0" t="s">
        <v>115</v>
      </c>
      <c r="C1205" s="0" t="s">
        <v>4633</v>
      </c>
      <c r="D1205" s="0" t="n">
        <v>2017</v>
      </c>
      <c r="E1205" s="0" t="s">
        <v>59</v>
      </c>
      <c r="F1205" s="0" t="n">
        <v>1298141</v>
      </c>
      <c r="G1205" s="0" t="s">
        <v>3101</v>
      </c>
      <c r="H1205" s="0" t="s">
        <v>3068</v>
      </c>
      <c r="I1205" s="0" t="n">
        <v>1298141</v>
      </c>
      <c r="J1205" s="0" t="s">
        <v>4634</v>
      </c>
      <c r="K1205" s="0" t="s">
        <v>2693</v>
      </c>
      <c r="L1205" s="0" t="n">
        <v>2017</v>
      </c>
      <c r="M1205" s="0" t="s">
        <v>1978</v>
      </c>
      <c r="N1205" s="0" t="s">
        <v>120</v>
      </c>
      <c r="O1205" s="0" t="s">
        <v>2460</v>
      </c>
      <c r="P1205" s="0" t="s">
        <v>4903</v>
      </c>
      <c r="Q1205" s="0" t="n">
        <v>52</v>
      </c>
      <c r="R1205" s="0" t="n">
        <v>103</v>
      </c>
      <c r="T1205" s="0" t="s">
        <v>4921</v>
      </c>
      <c r="U1205" s="0" t="s">
        <v>4396</v>
      </c>
      <c r="V1205" s="0" t="s">
        <v>89</v>
      </c>
      <c r="W1205" s="0" t="s">
        <v>4905</v>
      </c>
      <c r="X1205" s="0" t="s">
        <v>4906</v>
      </c>
      <c r="Y1205" s="0" t="s">
        <v>4159</v>
      </c>
      <c r="Z1205" s="0" t="s">
        <v>4160</v>
      </c>
      <c r="AA1205" s="0" t="s">
        <v>4922</v>
      </c>
      <c r="AB1205" s="0" t="s">
        <v>4908</v>
      </c>
      <c r="AC1205" s="0" t="s">
        <v>4162</v>
      </c>
      <c r="AD1205" s="0" t="s">
        <v>4637</v>
      </c>
      <c r="AE1205" s="0" t="s">
        <v>1892</v>
      </c>
      <c r="AF1205" s="0" t="s">
        <v>4909</v>
      </c>
      <c r="AH1205" s="0" t="s">
        <v>2239</v>
      </c>
      <c r="AL1205" s="0" t="s">
        <v>523</v>
      </c>
    </row>
    <row r="1206" customFormat="false" ht="15" hidden="false" customHeight="false" outlineLevel="0" collapsed="false">
      <c r="A1206" s="0" t="s">
        <v>847</v>
      </c>
      <c r="B1206" s="0" t="s">
        <v>115</v>
      </c>
      <c r="C1206" s="0" t="s">
        <v>4633</v>
      </c>
      <c r="D1206" s="0" t="n">
        <v>2017</v>
      </c>
      <c r="E1206" s="0" t="s">
        <v>63</v>
      </c>
      <c r="F1206" s="0" t="n">
        <v>-11315</v>
      </c>
      <c r="G1206" s="0" t="s">
        <v>3101</v>
      </c>
      <c r="H1206" s="0" t="s">
        <v>3068</v>
      </c>
      <c r="I1206" s="0" t="n">
        <v>11315</v>
      </c>
      <c r="J1206" s="0" t="s">
        <v>4634</v>
      </c>
      <c r="K1206" s="0" t="s">
        <v>2693</v>
      </c>
      <c r="L1206" s="0" t="n">
        <v>2017</v>
      </c>
      <c r="M1206" s="0" t="s">
        <v>1978</v>
      </c>
      <c r="N1206" s="0" t="s">
        <v>120</v>
      </c>
      <c r="O1206" s="0" t="s">
        <v>2460</v>
      </c>
      <c r="P1206" s="0" t="s">
        <v>4903</v>
      </c>
      <c r="Q1206" s="0" t="n">
        <v>52</v>
      </c>
      <c r="R1206" s="0" t="n">
        <v>102</v>
      </c>
      <c r="S1206" s="0" t="n">
        <v>8</v>
      </c>
      <c r="T1206" s="0" t="n">
        <v>2017</v>
      </c>
      <c r="U1206" s="0" t="s">
        <v>4396</v>
      </c>
      <c r="V1206" s="0" t="s">
        <v>89</v>
      </c>
      <c r="W1206" s="0" t="s">
        <v>4923</v>
      </c>
      <c r="X1206" s="0" t="s">
        <v>4906</v>
      </c>
      <c r="Y1206" s="0" t="s">
        <v>4159</v>
      </c>
      <c r="Z1206" s="0" t="s">
        <v>4160</v>
      </c>
      <c r="AA1206" s="0" t="s">
        <v>4924</v>
      </c>
      <c r="AB1206" s="0" t="s">
        <v>4908</v>
      </c>
      <c r="AC1206" s="0" t="s">
        <v>4162</v>
      </c>
      <c r="AD1206" s="0" t="s">
        <v>4637</v>
      </c>
      <c r="AE1206" s="0" t="s">
        <v>1892</v>
      </c>
      <c r="AF1206" s="0" t="s">
        <v>4909</v>
      </c>
      <c r="AH1206" s="0" t="s">
        <v>4174</v>
      </c>
      <c r="AI1206" s="0" t="s">
        <v>4925</v>
      </c>
      <c r="AL1206" s="0" t="s">
        <v>523</v>
      </c>
    </row>
    <row r="1207" customFormat="false" ht="15" hidden="false" customHeight="false" outlineLevel="0" collapsed="false">
      <c r="A1207" s="0" t="s">
        <v>844</v>
      </c>
      <c r="B1207" s="0" t="s">
        <v>115</v>
      </c>
      <c r="C1207" s="0" t="s">
        <v>4633</v>
      </c>
      <c r="D1207" s="0" t="n">
        <v>2017</v>
      </c>
      <c r="E1207" s="0" t="s">
        <v>60</v>
      </c>
      <c r="F1207" s="0" t="n">
        <v>795315</v>
      </c>
      <c r="G1207" s="0" t="s">
        <v>3101</v>
      </c>
      <c r="H1207" s="0" t="s">
        <v>3068</v>
      </c>
      <c r="I1207" s="0" t="n">
        <v>795315</v>
      </c>
      <c r="J1207" s="0" t="s">
        <v>4634</v>
      </c>
      <c r="K1207" s="0" t="s">
        <v>2693</v>
      </c>
      <c r="L1207" s="0" t="n">
        <v>2017</v>
      </c>
      <c r="M1207" s="0" t="s">
        <v>1978</v>
      </c>
      <c r="N1207" s="0" t="s">
        <v>120</v>
      </c>
      <c r="O1207" s="0" t="s">
        <v>2460</v>
      </c>
      <c r="P1207" s="0" t="s">
        <v>4903</v>
      </c>
      <c r="Q1207" s="0" t="n">
        <v>87</v>
      </c>
      <c r="R1207" s="0" t="n">
        <v>172</v>
      </c>
      <c r="S1207" s="0" t="n">
        <v>21.3</v>
      </c>
      <c r="T1207" s="0" t="n">
        <v>2017</v>
      </c>
      <c r="U1207" s="0" t="s">
        <v>4396</v>
      </c>
      <c r="V1207" s="0" t="s">
        <v>89</v>
      </c>
      <c r="W1207" s="0" t="s">
        <v>4926</v>
      </c>
      <c r="X1207" s="0" t="s">
        <v>4927</v>
      </c>
      <c r="Y1207" s="0" t="s">
        <v>4159</v>
      </c>
      <c r="Z1207" s="0" t="s">
        <v>4160</v>
      </c>
      <c r="AA1207" s="0" t="s">
        <v>4928</v>
      </c>
      <c r="AB1207" s="0" t="s">
        <v>4908</v>
      </c>
      <c r="AC1207" s="0" t="s">
        <v>4162</v>
      </c>
      <c r="AD1207" s="0" t="s">
        <v>4637</v>
      </c>
      <c r="AE1207" s="0" t="s">
        <v>1892</v>
      </c>
      <c r="AF1207" s="0" t="s">
        <v>4909</v>
      </c>
      <c r="AH1207" s="0" t="s">
        <v>2239</v>
      </c>
      <c r="AL1207" s="0" t="s">
        <v>523</v>
      </c>
    </row>
    <row r="1208" customFormat="false" ht="15" hidden="false" customHeight="false" outlineLevel="0" collapsed="false">
      <c r="A1208" s="0" t="s">
        <v>845</v>
      </c>
      <c r="B1208" s="0" t="s">
        <v>115</v>
      </c>
      <c r="C1208" s="0" t="s">
        <v>4633</v>
      </c>
      <c r="D1208" s="0" t="n">
        <v>2017</v>
      </c>
      <c r="E1208" s="0" t="s">
        <v>61</v>
      </c>
      <c r="F1208" s="0" t="n">
        <v>26578</v>
      </c>
      <c r="G1208" s="0" t="s">
        <v>3101</v>
      </c>
      <c r="H1208" s="0" t="s">
        <v>3068</v>
      </c>
      <c r="I1208" s="0" t="n">
        <v>26578</v>
      </c>
      <c r="J1208" s="0" t="s">
        <v>4634</v>
      </c>
      <c r="K1208" s="0" t="s">
        <v>2693</v>
      </c>
      <c r="L1208" s="0" t="n">
        <v>2017</v>
      </c>
      <c r="M1208" s="0" t="s">
        <v>1978</v>
      </c>
      <c r="N1208" s="0" t="s">
        <v>120</v>
      </c>
      <c r="O1208" s="0" t="s">
        <v>2460</v>
      </c>
      <c r="P1208" s="0" t="s">
        <v>4903</v>
      </c>
      <c r="Q1208" s="0" t="n">
        <v>86</v>
      </c>
      <c r="R1208" s="0" t="n">
        <v>171</v>
      </c>
      <c r="S1208" s="0" t="n">
        <v>21.1</v>
      </c>
      <c r="T1208" s="0" t="s">
        <v>4929</v>
      </c>
      <c r="U1208" s="0" t="s">
        <v>4396</v>
      </c>
      <c r="V1208" s="0" t="s">
        <v>89</v>
      </c>
      <c r="W1208" s="0" t="s">
        <v>4930</v>
      </c>
      <c r="X1208" s="0" t="s">
        <v>4931</v>
      </c>
      <c r="Y1208" s="0" t="s">
        <v>4159</v>
      </c>
      <c r="Z1208" s="0" t="s">
        <v>4160</v>
      </c>
      <c r="AA1208" s="0" t="s">
        <v>4932</v>
      </c>
      <c r="AB1208" s="0" t="s">
        <v>4908</v>
      </c>
      <c r="AC1208" s="0" t="s">
        <v>4162</v>
      </c>
      <c r="AD1208" s="0" t="s">
        <v>4637</v>
      </c>
      <c r="AE1208" s="0" t="s">
        <v>1892</v>
      </c>
      <c r="AF1208" s="0" t="s">
        <v>4909</v>
      </c>
      <c r="AH1208" s="0" t="s">
        <v>2239</v>
      </c>
      <c r="AL1208" s="0" t="s">
        <v>523</v>
      </c>
    </row>
    <row r="1209" customFormat="false" ht="15" hidden="false" customHeight="false" outlineLevel="0" collapsed="false">
      <c r="A1209" s="0" t="s">
        <v>854</v>
      </c>
      <c r="B1209" s="0" t="s">
        <v>115</v>
      </c>
      <c r="C1209" s="0" t="s">
        <v>4633</v>
      </c>
      <c r="D1209" s="0" t="n">
        <v>2017</v>
      </c>
      <c r="E1209" s="0" t="s">
        <v>543</v>
      </c>
      <c r="F1209" s="0" t="n">
        <v>16077</v>
      </c>
      <c r="G1209" s="0" t="s">
        <v>3101</v>
      </c>
      <c r="H1209" s="0" t="s">
        <v>3068</v>
      </c>
      <c r="I1209" s="0" t="n">
        <v>16077</v>
      </c>
      <c r="J1209" s="0" t="s">
        <v>4634</v>
      </c>
      <c r="K1209" s="0" t="s">
        <v>2693</v>
      </c>
      <c r="L1209" s="0" t="n">
        <v>2017</v>
      </c>
      <c r="M1209" s="0" t="s">
        <v>1978</v>
      </c>
      <c r="N1209" s="0" t="s">
        <v>120</v>
      </c>
      <c r="O1209" s="0" t="s">
        <v>2460</v>
      </c>
      <c r="P1209" s="0" t="s">
        <v>4903</v>
      </c>
      <c r="Q1209" s="0" t="n">
        <v>86</v>
      </c>
      <c r="R1209" s="0" t="n">
        <v>171</v>
      </c>
      <c r="S1209" s="0" t="n">
        <v>21.1</v>
      </c>
      <c r="T1209" s="0" t="s">
        <v>4929</v>
      </c>
      <c r="U1209" s="0" t="s">
        <v>4396</v>
      </c>
      <c r="V1209" s="0" t="s">
        <v>89</v>
      </c>
      <c r="W1209" s="0" t="s">
        <v>4933</v>
      </c>
      <c r="X1209" s="0" t="s">
        <v>4931</v>
      </c>
      <c r="Y1209" s="0" t="s">
        <v>4159</v>
      </c>
      <c r="Z1209" s="0" t="s">
        <v>4160</v>
      </c>
      <c r="AA1209" s="0" t="s">
        <v>4934</v>
      </c>
      <c r="AB1209" s="0" t="s">
        <v>4908</v>
      </c>
      <c r="AC1209" s="0" t="s">
        <v>4162</v>
      </c>
      <c r="AD1209" s="0" t="s">
        <v>4637</v>
      </c>
      <c r="AE1209" s="0" t="s">
        <v>1892</v>
      </c>
      <c r="AF1209" s="0" t="s">
        <v>4909</v>
      </c>
      <c r="AH1209" s="0" t="s">
        <v>2239</v>
      </c>
      <c r="AL1209" s="0" t="s">
        <v>523</v>
      </c>
    </row>
    <row r="1210" customFormat="false" ht="15" hidden="false" customHeight="false" outlineLevel="0" collapsed="false">
      <c r="A1210" s="0" t="s">
        <v>855</v>
      </c>
      <c r="B1210" s="0" t="s">
        <v>115</v>
      </c>
      <c r="C1210" s="0" t="s">
        <v>4633</v>
      </c>
      <c r="D1210" s="0" t="n">
        <v>2017</v>
      </c>
      <c r="E1210" s="0" t="s">
        <v>545</v>
      </c>
      <c r="F1210" s="0" t="n">
        <v>10501</v>
      </c>
      <c r="G1210" s="0" t="s">
        <v>3101</v>
      </c>
      <c r="H1210" s="0" t="s">
        <v>3068</v>
      </c>
      <c r="I1210" s="0" t="n">
        <v>10501</v>
      </c>
      <c r="J1210" s="0" t="s">
        <v>4634</v>
      </c>
      <c r="K1210" s="0" t="s">
        <v>2693</v>
      </c>
      <c r="L1210" s="0" t="n">
        <v>2017</v>
      </c>
      <c r="M1210" s="0" t="s">
        <v>1978</v>
      </c>
      <c r="N1210" s="0" t="s">
        <v>120</v>
      </c>
      <c r="O1210" s="0" t="s">
        <v>2460</v>
      </c>
      <c r="P1210" s="0" t="s">
        <v>4903</v>
      </c>
      <c r="Q1210" s="0" t="n">
        <v>86</v>
      </c>
      <c r="R1210" s="0" t="n">
        <v>171</v>
      </c>
      <c r="S1210" s="0" t="n">
        <v>21.1</v>
      </c>
      <c r="T1210" s="0" t="s">
        <v>4929</v>
      </c>
      <c r="U1210" s="0" t="s">
        <v>4396</v>
      </c>
      <c r="V1210" s="0" t="s">
        <v>89</v>
      </c>
      <c r="W1210" s="0" t="s">
        <v>4935</v>
      </c>
      <c r="X1210" s="0" t="s">
        <v>4931</v>
      </c>
      <c r="Y1210" s="0" t="s">
        <v>4159</v>
      </c>
      <c r="Z1210" s="0" t="s">
        <v>4160</v>
      </c>
      <c r="AA1210" s="0" t="s">
        <v>4936</v>
      </c>
      <c r="AB1210" s="0" t="s">
        <v>4908</v>
      </c>
      <c r="AC1210" s="0" t="s">
        <v>4162</v>
      </c>
      <c r="AD1210" s="0" t="s">
        <v>4637</v>
      </c>
      <c r="AE1210" s="0" t="s">
        <v>1892</v>
      </c>
      <c r="AF1210" s="0" t="s">
        <v>4909</v>
      </c>
      <c r="AH1210" s="0" t="s">
        <v>2239</v>
      </c>
      <c r="AL1210" s="0" t="s">
        <v>523</v>
      </c>
    </row>
    <row r="1211" customFormat="false" ht="15" hidden="false" customHeight="false" outlineLevel="0" collapsed="false">
      <c r="A1211" s="0" t="s">
        <v>846</v>
      </c>
      <c r="B1211" s="0" t="s">
        <v>115</v>
      </c>
      <c r="C1211" s="0" t="s">
        <v>4633</v>
      </c>
      <c r="D1211" s="0" t="n">
        <v>2017</v>
      </c>
      <c r="E1211" s="0" t="s">
        <v>62</v>
      </c>
      <c r="F1211" s="0" t="n">
        <v>768737</v>
      </c>
      <c r="G1211" s="0" t="s">
        <v>3101</v>
      </c>
      <c r="H1211" s="0" t="s">
        <v>3068</v>
      </c>
      <c r="I1211" s="0" t="n">
        <v>768737</v>
      </c>
      <c r="J1211" s="0" t="s">
        <v>4634</v>
      </c>
      <c r="K1211" s="0" t="s">
        <v>2693</v>
      </c>
      <c r="L1211" s="0" t="n">
        <v>2017</v>
      </c>
      <c r="M1211" s="0" t="s">
        <v>1978</v>
      </c>
      <c r="N1211" s="0" t="s">
        <v>120</v>
      </c>
      <c r="O1211" s="0" t="s">
        <v>2460</v>
      </c>
      <c r="P1211" s="0" t="s">
        <v>4903</v>
      </c>
      <c r="Q1211" s="0" t="n">
        <v>52</v>
      </c>
      <c r="R1211" s="0" t="n">
        <v>103</v>
      </c>
      <c r="S1211" s="0" t="n">
        <v>21</v>
      </c>
      <c r="T1211" s="0" t="s">
        <v>4904</v>
      </c>
      <c r="U1211" s="0" t="s">
        <v>4396</v>
      </c>
      <c r="V1211" s="0" t="s">
        <v>89</v>
      </c>
      <c r="W1211" s="0" t="s">
        <v>4937</v>
      </c>
      <c r="X1211" s="0" t="s">
        <v>4906</v>
      </c>
      <c r="Y1211" s="0" t="s">
        <v>4159</v>
      </c>
      <c r="Z1211" s="0" t="s">
        <v>4160</v>
      </c>
      <c r="AA1211" s="0" t="s">
        <v>4938</v>
      </c>
      <c r="AB1211" s="0" t="s">
        <v>4908</v>
      </c>
      <c r="AC1211" s="0" t="s">
        <v>4162</v>
      </c>
      <c r="AD1211" s="0" t="s">
        <v>4637</v>
      </c>
      <c r="AE1211" s="0" t="s">
        <v>1892</v>
      </c>
      <c r="AF1211" s="0" t="s">
        <v>4909</v>
      </c>
      <c r="AH1211" s="0" t="s">
        <v>2239</v>
      </c>
      <c r="AL1211" s="0" t="s">
        <v>523</v>
      </c>
    </row>
    <row r="1212" customFormat="false" ht="15" hidden="false" customHeight="false" outlineLevel="0" collapsed="false">
      <c r="A1212" s="0" t="s">
        <v>850</v>
      </c>
      <c r="B1212" s="0" t="s">
        <v>115</v>
      </c>
      <c r="C1212" s="0" t="s">
        <v>4633</v>
      </c>
      <c r="D1212" s="0" t="n">
        <v>2017</v>
      </c>
      <c r="E1212" s="0" t="s">
        <v>65</v>
      </c>
      <c r="F1212" s="0" t="n">
        <v>179341</v>
      </c>
      <c r="G1212" s="0" t="s">
        <v>3101</v>
      </c>
      <c r="H1212" s="0" t="s">
        <v>3068</v>
      </c>
      <c r="I1212" s="0" t="n">
        <v>179341</v>
      </c>
      <c r="J1212" s="0" t="s">
        <v>4634</v>
      </c>
      <c r="K1212" s="0" t="s">
        <v>2693</v>
      </c>
      <c r="L1212" s="0" t="n">
        <v>2017</v>
      </c>
      <c r="M1212" s="0" t="s">
        <v>1978</v>
      </c>
      <c r="N1212" s="0" t="s">
        <v>120</v>
      </c>
      <c r="O1212" s="0" t="s">
        <v>2460</v>
      </c>
      <c r="P1212" s="0" t="s">
        <v>4903</v>
      </c>
      <c r="Q1212" s="0" t="n">
        <v>82</v>
      </c>
      <c r="R1212" s="0" t="n">
        <v>162</v>
      </c>
      <c r="S1212" s="0" t="n">
        <v>4</v>
      </c>
      <c r="T1212" s="0" t="s">
        <v>4939</v>
      </c>
      <c r="U1212" s="0" t="s">
        <v>4396</v>
      </c>
      <c r="V1212" s="0" t="s">
        <v>89</v>
      </c>
      <c r="W1212" s="0" t="s">
        <v>4940</v>
      </c>
      <c r="X1212" s="0" t="s">
        <v>4941</v>
      </c>
      <c r="Y1212" s="0" t="s">
        <v>4159</v>
      </c>
      <c r="Z1212" s="0" t="s">
        <v>4160</v>
      </c>
      <c r="AA1212" s="0" t="s">
        <v>4942</v>
      </c>
      <c r="AB1212" s="0" t="s">
        <v>4908</v>
      </c>
      <c r="AC1212" s="0" t="s">
        <v>4162</v>
      </c>
      <c r="AD1212" s="0" t="s">
        <v>4637</v>
      </c>
      <c r="AE1212" s="0" t="s">
        <v>1892</v>
      </c>
      <c r="AF1212" s="0" t="s">
        <v>4909</v>
      </c>
      <c r="AH1212" s="0" t="s">
        <v>2239</v>
      </c>
      <c r="AL1212" s="0" t="s">
        <v>523</v>
      </c>
    </row>
    <row r="1213" customFormat="false" ht="15" hidden="false" customHeight="false" outlineLevel="0" collapsed="false">
      <c r="A1213" s="0" t="s">
        <v>851</v>
      </c>
      <c r="B1213" s="0" t="s">
        <v>115</v>
      </c>
      <c r="C1213" s="0" t="s">
        <v>4633</v>
      </c>
      <c r="D1213" s="0" t="n">
        <v>2017</v>
      </c>
      <c r="E1213" s="0" t="s">
        <v>66</v>
      </c>
      <c r="F1213" s="0" t="n">
        <v>1118786</v>
      </c>
      <c r="G1213" s="0" t="s">
        <v>3101</v>
      </c>
      <c r="H1213" s="0" t="s">
        <v>3068</v>
      </c>
      <c r="I1213" s="0" t="n">
        <v>1118786</v>
      </c>
      <c r="J1213" s="0" t="s">
        <v>4634</v>
      </c>
      <c r="K1213" s="0" t="s">
        <v>2693</v>
      </c>
      <c r="L1213" s="0" t="n">
        <v>2017</v>
      </c>
      <c r="M1213" s="0" t="s">
        <v>1978</v>
      </c>
      <c r="N1213" s="0" t="s">
        <v>120</v>
      </c>
      <c r="O1213" s="0" t="s">
        <v>2460</v>
      </c>
      <c r="P1213" s="0" t="s">
        <v>4903</v>
      </c>
      <c r="Q1213" s="0" t="n">
        <v>82</v>
      </c>
      <c r="R1213" s="0" t="n">
        <v>162</v>
      </c>
      <c r="S1213" s="0" t="n">
        <v>4</v>
      </c>
      <c r="T1213" s="0" t="s">
        <v>4939</v>
      </c>
      <c r="U1213" s="0" t="s">
        <v>4396</v>
      </c>
      <c r="V1213" s="0" t="s">
        <v>89</v>
      </c>
      <c r="W1213" s="0" t="s">
        <v>4943</v>
      </c>
      <c r="X1213" s="0" t="s">
        <v>4941</v>
      </c>
      <c r="Y1213" s="0" t="s">
        <v>4159</v>
      </c>
      <c r="Z1213" s="0" t="s">
        <v>4160</v>
      </c>
      <c r="AA1213" s="0" t="s">
        <v>4944</v>
      </c>
      <c r="AB1213" s="0" t="s">
        <v>4908</v>
      </c>
      <c r="AC1213" s="0" t="s">
        <v>4162</v>
      </c>
      <c r="AD1213" s="0" t="s">
        <v>4637</v>
      </c>
      <c r="AE1213" s="0" t="s">
        <v>1892</v>
      </c>
      <c r="AF1213" s="0" t="s">
        <v>4909</v>
      </c>
      <c r="AH1213" s="0" t="s">
        <v>2239</v>
      </c>
      <c r="AL1213" s="0" t="s">
        <v>523</v>
      </c>
    </row>
    <row r="1214" customFormat="false" ht="15" hidden="false" customHeight="false" outlineLevel="0" collapsed="false">
      <c r="A1214" s="0" t="s">
        <v>848</v>
      </c>
      <c r="B1214" s="0" t="s">
        <v>115</v>
      </c>
      <c r="C1214" s="0" t="s">
        <v>4633</v>
      </c>
      <c r="D1214" s="0" t="n">
        <v>2017</v>
      </c>
      <c r="E1214" s="0" t="s">
        <v>69</v>
      </c>
      <c r="F1214" s="0" t="s">
        <v>4945</v>
      </c>
      <c r="G1214" s="0" t="s">
        <v>3143</v>
      </c>
      <c r="I1214" s="0" t="n">
        <v>16.03</v>
      </c>
      <c r="J1214" s="0" t="s">
        <v>4634</v>
      </c>
      <c r="K1214" s="0" t="s">
        <v>2693</v>
      </c>
      <c r="L1214" s="0" t="n">
        <v>2017</v>
      </c>
      <c r="M1214" s="0" t="s">
        <v>1978</v>
      </c>
      <c r="N1214" s="0" t="s">
        <v>120</v>
      </c>
      <c r="O1214" s="0" t="s">
        <v>2460</v>
      </c>
      <c r="P1214" s="0" t="s">
        <v>4903</v>
      </c>
      <c r="Q1214" s="0" t="n">
        <v>82</v>
      </c>
      <c r="R1214" s="0" t="n">
        <v>162</v>
      </c>
      <c r="S1214" s="0" t="n">
        <v>4</v>
      </c>
      <c r="T1214" s="0" t="s">
        <v>4939</v>
      </c>
      <c r="U1214" s="0" t="s">
        <v>4396</v>
      </c>
      <c r="V1214" s="0" t="s">
        <v>89</v>
      </c>
      <c r="W1214" s="0" t="s">
        <v>4946</v>
      </c>
      <c r="X1214" s="0" t="s">
        <v>4941</v>
      </c>
      <c r="Y1214" s="0" t="s">
        <v>4159</v>
      </c>
      <c r="Z1214" s="0" t="s">
        <v>4160</v>
      </c>
      <c r="AA1214" s="0" t="s">
        <v>4947</v>
      </c>
      <c r="AB1214" s="0" t="s">
        <v>4908</v>
      </c>
      <c r="AC1214" s="0" t="s">
        <v>4162</v>
      </c>
      <c r="AD1214" s="0" t="s">
        <v>4637</v>
      </c>
      <c r="AE1214" s="0" t="s">
        <v>1892</v>
      </c>
      <c r="AF1214" s="0" t="s">
        <v>4909</v>
      </c>
      <c r="AH1214" s="0" t="s">
        <v>2239</v>
      </c>
      <c r="AL1214" s="0" t="s">
        <v>523</v>
      </c>
    </row>
    <row r="1215" customFormat="false" ht="15" hidden="false" customHeight="false" outlineLevel="0" collapsed="false">
      <c r="A1215" s="0" t="s">
        <v>849</v>
      </c>
      <c r="B1215" s="0" t="s">
        <v>115</v>
      </c>
      <c r="C1215" s="0" t="s">
        <v>4633</v>
      </c>
      <c r="D1215" s="0" t="n">
        <v>2017</v>
      </c>
      <c r="E1215" s="0" t="s">
        <v>70</v>
      </c>
      <c r="F1215" s="0" t="s">
        <v>4800</v>
      </c>
      <c r="G1215" s="0" t="s">
        <v>3143</v>
      </c>
      <c r="I1215" s="0" t="n">
        <v>15</v>
      </c>
      <c r="J1215" s="0" t="s">
        <v>4634</v>
      </c>
      <c r="K1215" s="0" t="s">
        <v>2693</v>
      </c>
      <c r="L1215" s="0" t="n">
        <v>2017</v>
      </c>
      <c r="M1215" s="0" t="s">
        <v>1978</v>
      </c>
      <c r="N1215" s="0" t="s">
        <v>120</v>
      </c>
      <c r="O1215" s="0" t="s">
        <v>2460</v>
      </c>
      <c r="P1215" s="0" t="s">
        <v>4903</v>
      </c>
      <c r="Q1215" s="0" t="n">
        <v>82</v>
      </c>
      <c r="R1215" s="0" t="n">
        <v>162</v>
      </c>
      <c r="S1215" s="0" t="n">
        <v>4</v>
      </c>
      <c r="T1215" s="0" t="s">
        <v>4939</v>
      </c>
      <c r="U1215" s="0" t="s">
        <v>4396</v>
      </c>
      <c r="V1215" s="0" t="s">
        <v>89</v>
      </c>
      <c r="W1215" s="0" t="s">
        <v>4948</v>
      </c>
      <c r="X1215" s="0" t="s">
        <v>4941</v>
      </c>
      <c r="Y1215" s="0" t="s">
        <v>4159</v>
      </c>
      <c r="Z1215" s="0" t="s">
        <v>4160</v>
      </c>
      <c r="AA1215" s="0" t="s">
        <v>4949</v>
      </c>
      <c r="AB1215" s="0" t="s">
        <v>4908</v>
      </c>
      <c r="AC1215" s="0" t="s">
        <v>4162</v>
      </c>
      <c r="AD1215" s="0" t="s">
        <v>4637</v>
      </c>
      <c r="AE1215" s="0" t="s">
        <v>1892</v>
      </c>
      <c r="AF1215" s="0" t="s">
        <v>4909</v>
      </c>
      <c r="AH1215" s="0" t="s">
        <v>2239</v>
      </c>
      <c r="AL1215" s="0" t="s">
        <v>523</v>
      </c>
    </row>
    <row r="1216" customFormat="false" ht="15" hidden="false" customHeight="false" outlineLevel="0" collapsed="false">
      <c r="A1216" s="0" t="s">
        <v>852</v>
      </c>
      <c r="B1216" s="0" t="s">
        <v>115</v>
      </c>
      <c r="C1216" s="0" t="s">
        <v>4633</v>
      </c>
      <c r="D1216" s="0" t="n">
        <v>2017</v>
      </c>
      <c r="E1216" s="0" t="s">
        <v>73</v>
      </c>
      <c r="F1216" s="0" t="n">
        <v>0</v>
      </c>
      <c r="G1216" s="0" t="s">
        <v>4257</v>
      </c>
      <c r="I1216" s="0" t="n">
        <v>0</v>
      </c>
      <c r="J1216" s="0" t="s">
        <v>4687</v>
      </c>
      <c r="K1216" s="0" t="s">
        <v>2693</v>
      </c>
      <c r="L1216" s="0" t="n">
        <v>2017</v>
      </c>
      <c r="M1216" s="0" t="s">
        <v>1978</v>
      </c>
      <c r="N1216" s="0" t="s">
        <v>120</v>
      </c>
      <c r="O1216" s="0" t="s">
        <v>2460</v>
      </c>
      <c r="P1216" s="0" t="s">
        <v>4903</v>
      </c>
      <c r="Q1216" s="0" t="n">
        <v>48</v>
      </c>
      <c r="R1216" s="0" t="n">
        <v>95</v>
      </c>
      <c r="T1216" s="0" t="s">
        <v>4950</v>
      </c>
      <c r="U1216" s="0" t="s">
        <v>4396</v>
      </c>
      <c r="V1216" s="0" t="s">
        <v>89</v>
      </c>
      <c r="W1216" s="0" t="s">
        <v>4803</v>
      </c>
      <c r="X1216" s="0" t="s">
        <v>4951</v>
      </c>
      <c r="Y1216" s="0" t="s">
        <v>4212</v>
      </c>
      <c r="Z1216" s="0" t="s">
        <v>4160</v>
      </c>
      <c r="AA1216" s="0" t="s">
        <v>4952</v>
      </c>
      <c r="AB1216" s="0" t="s">
        <v>4908</v>
      </c>
      <c r="AC1216" s="0" t="s">
        <v>4162</v>
      </c>
      <c r="AD1216" s="0" t="s">
        <v>4637</v>
      </c>
      <c r="AE1216" s="0" t="s">
        <v>1892</v>
      </c>
      <c r="AF1216" s="0" t="s">
        <v>4909</v>
      </c>
      <c r="AG1216" s="0" t="s">
        <v>1892</v>
      </c>
      <c r="AH1216" s="0" t="s">
        <v>2239</v>
      </c>
      <c r="AL1216" s="0" t="s">
        <v>539</v>
      </c>
    </row>
    <row r="1217" customFormat="false" ht="15" hidden="false" customHeight="false" outlineLevel="0" collapsed="false">
      <c r="A1217" s="0" t="s">
        <v>858</v>
      </c>
      <c r="B1217" s="0" t="s">
        <v>115</v>
      </c>
      <c r="C1217" s="0" t="s">
        <v>4633</v>
      </c>
      <c r="D1217" s="0" t="n">
        <v>2020</v>
      </c>
      <c r="E1217" s="0" t="s">
        <v>55</v>
      </c>
      <c r="F1217" s="0" t="n">
        <v>2758148</v>
      </c>
      <c r="G1217" s="0" t="s">
        <v>3101</v>
      </c>
      <c r="H1217" s="0" t="s">
        <v>3068</v>
      </c>
      <c r="I1217" s="0" t="n">
        <v>2758148</v>
      </c>
      <c r="J1217" s="0" t="s">
        <v>4634</v>
      </c>
      <c r="K1217" s="0" t="s">
        <v>2695</v>
      </c>
      <c r="L1217" s="0" t="n">
        <v>2020</v>
      </c>
      <c r="M1217" s="0" t="s">
        <v>1989</v>
      </c>
      <c r="N1217" s="0" t="s">
        <v>122</v>
      </c>
      <c r="O1217" s="0" t="s">
        <v>2463</v>
      </c>
      <c r="P1217" s="0" t="s">
        <v>4953</v>
      </c>
      <c r="Q1217" s="0" t="n">
        <v>137</v>
      </c>
      <c r="R1217" s="0" t="n">
        <v>137</v>
      </c>
      <c r="T1217" s="0" t="n">
        <v>2020</v>
      </c>
      <c r="U1217" s="0" t="s">
        <v>4201</v>
      </c>
      <c r="V1217" s="0" t="s">
        <v>95</v>
      </c>
      <c r="W1217" s="0" t="s">
        <v>4954</v>
      </c>
      <c r="X1217" s="0" t="s">
        <v>4955</v>
      </c>
      <c r="Y1217" s="0" t="s">
        <v>4159</v>
      </c>
      <c r="Z1217" s="0" t="s">
        <v>4160</v>
      </c>
      <c r="AA1217" s="0" t="s">
        <v>4956</v>
      </c>
      <c r="AB1217" s="0" t="s">
        <v>4957</v>
      </c>
      <c r="AC1217" s="0" t="s">
        <v>4162</v>
      </c>
      <c r="AD1217" s="0" t="s">
        <v>4637</v>
      </c>
      <c r="AE1217" s="0" t="s">
        <v>1892</v>
      </c>
      <c r="AF1217" s="0" t="s">
        <v>4958</v>
      </c>
      <c r="AH1217" s="0" t="s">
        <v>2239</v>
      </c>
      <c r="AL1217" s="0" t="s">
        <v>523</v>
      </c>
    </row>
    <row r="1218" customFormat="false" ht="15" hidden="false" customHeight="false" outlineLevel="0" collapsed="false">
      <c r="A1218" s="0" t="s">
        <v>859</v>
      </c>
      <c r="B1218" s="0" t="s">
        <v>115</v>
      </c>
      <c r="C1218" s="0" t="s">
        <v>4633</v>
      </c>
      <c r="D1218" s="0" t="n">
        <v>2020</v>
      </c>
      <c r="E1218" s="0" t="s">
        <v>56</v>
      </c>
      <c r="F1218" s="0" t="n">
        <v>2484615</v>
      </c>
      <c r="G1218" s="0" t="s">
        <v>3101</v>
      </c>
      <c r="H1218" s="0" t="s">
        <v>3068</v>
      </c>
      <c r="I1218" s="0" t="n">
        <v>2484615</v>
      </c>
      <c r="J1218" s="0" t="s">
        <v>4634</v>
      </c>
      <c r="K1218" s="0" t="s">
        <v>2695</v>
      </c>
      <c r="L1218" s="0" t="n">
        <v>2020</v>
      </c>
      <c r="M1218" s="0" t="s">
        <v>1989</v>
      </c>
      <c r="N1218" s="0" t="s">
        <v>122</v>
      </c>
      <c r="O1218" s="0" t="s">
        <v>2463</v>
      </c>
      <c r="P1218" s="0" t="s">
        <v>4953</v>
      </c>
      <c r="Q1218" s="0" t="n">
        <v>137</v>
      </c>
      <c r="R1218" s="0" t="n">
        <v>137</v>
      </c>
      <c r="T1218" s="0" t="n">
        <v>2020</v>
      </c>
      <c r="U1218" s="0" t="s">
        <v>4201</v>
      </c>
      <c r="V1218" s="0" t="s">
        <v>95</v>
      </c>
      <c r="W1218" s="0" t="s">
        <v>4959</v>
      </c>
      <c r="X1218" s="0" t="s">
        <v>4955</v>
      </c>
      <c r="Y1218" s="0" t="s">
        <v>4159</v>
      </c>
      <c r="Z1218" s="0" t="s">
        <v>4160</v>
      </c>
      <c r="AA1218" s="0" t="s">
        <v>4960</v>
      </c>
      <c r="AB1218" s="0" t="s">
        <v>4957</v>
      </c>
      <c r="AC1218" s="0" t="s">
        <v>4162</v>
      </c>
      <c r="AD1218" s="0" t="s">
        <v>4637</v>
      </c>
      <c r="AE1218" s="0" t="s">
        <v>1892</v>
      </c>
      <c r="AF1218" s="0" t="s">
        <v>4958</v>
      </c>
      <c r="AH1218" s="0" t="s">
        <v>2239</v>
      </c>
      <c r="AL1218" s="0" t="s">
        <v>523</v>
      </c>
    </row>
    <row r="1219" customFormat="false" ht="15" hidden="false" customHeight="false" outlineLevel="0" collapsed="false">
      <c r="A1219" s="0" t="s">
        <v>860</v>
      </c>
      <c r="B1219" s="0" t="s">
        <v>115</v>
      </c>
      <c r="C1219" s="0" t="s">
        <v>4633</v>
      </c>
      <c r="D1219" s="0" t="n">
        <v>2020</v>
      </c>
      <c r="E1219" s="0" t="s">
        <v>57</v>
      </c>
      <c r="F1219" s="0" t="n">
        <v>273533</v>
      </c>
      <c r="G1219" s="0" t="s">
        <v>3101</v>
      </c>
      <c r="H1219" s="0" t="s">
        <v>3068</v>
      </c>
      <c r="I1219" s="0" t="n">
        <v>273533</v>
      </c>
      <c r="J1219" s="0" t="s">
        <v>4634</v>
      </c>
      <c r="K1219" s="0" t="s">
        <v>2695</v>
      </c>
      <c r="L1219" s="0" t="n">
        <v>2020</v>
      </c>
      <c r="M1219" s="0" t="s">
        <v>1989</v>
      </c>
      <c r="N1219" s="0" t="s">
        <v>122</v>
      </c>
      <c r="O1219" s="0" t="s">
        <v>2463</v>
      </c>
      <c r="P1219" s="0" t="s">
        <v>4953</v>
      </c>
      <c r="Q1219" s="0" t="n">
        <v>137</v>
      </c>
      <c r="R1219" s="0" t="n">
        <v>137</v>
      </c>
      <c r="T1219" s="0" t="n">
        <v>2020</v>
      </c>
      <c r="U1219" s="0" t="s">
        <v>4201</v>
      </c>
      <c r="V1219" s="0" t="s">
        <v>95</v>
      </c>
      <c r="W1219" s="0" t="s">
        <v>4961</v>
      </c>
      <c r="X1219" s="0" t="s">
        <v>4955</v>
      </c>
      <c r="Y1219" s="0" t="s">
        <v>4159</v>
      </c>
      <c r="Z1219" s="0" t="s">
        <v>4160</v>
      </c>
      <c r="AA1219" s="0" t="s">
        <v>4962</v>
      </c>
      <c r="AB1219" s="0" t="s">
        <v>4957</v>
      </c>
      <c r="AC1219" s="0" t="s">
        <v>4162</v>
      </c>
      <c r="AD1219" s="0" t="s">
        <v>4637</v>
      </c>
      <c r="AE1219" s="0" t="s">
        <v>1892</v>
      </c>
      <c r="AF1219" s="0" t="s">
        <v>4958</v>
      </c>
      <c r="AH1219" s="0" t="s">
        <v>2239</v>
      </c>
      <c r="AL1219" s="0" t="s">
        <v>523</v>
      </c>
    </row>
    <row r="1220" customFormat="false" ht="15" hidden="false" customHeight="false" outlineLevel="0" collapsed="false">
      <c r="A1220" s="0" t="s">
        <v>857</v>
      </c>
      <c r="B1220" s="0" t="s">
        <v>115</v>
      </c>
      <c r="C1220" s="0" t="s">
        <v>4633</v>
      </c>
      <c r="D1220" s="0" t="n">
        <v>2020</v>
      </c>
      <c r="E1220" s="0" t="s">
        <v>54</v>
      </c>
      <c r="F1220" s="0" t="n">
        <v>26650</v>
      </c>
      <c r="G1220" s="0" t="s">
        <v>3101</v>
      </c>
      <c r="H1220" s="0" t="s">
        <v>3068</v>
      </c>
      <c r="I1220" s="0" t="n">
        <v>26650</v>
      </c>
      <c r="J1220" s="0" t="s">
        <v>4634</v>
      </c>
      <c r="K1220" s="0" t="s">
        <v>2695</v>
      </c>
      <c r="L1220" s="0" t="n">
        <v>2020</v>
      </c>
      <c r="M1220" s="0" t="s">
        <v>1989</v>
      </c>
      <c r="N1220" s="0" t="s">
        <v>122</v>
      </c>
      <c r="O1220" s="0" t="s">
        <v>2463</v>
      </c>
      <c r="P1220" s="0" t="s">
        <v>4953</v>
      </c>
      <c r="Q1220" s="0" t="n">
        <v>136</v>
      </c>
      <c r="R1220" s="0" t="n">
        <v>136</v>
      </c>
      <c r="T1220" s="0" t="n">
        <v>2020</v>
      </c>
      <c r="U1220" s="0" t="s">
        <v>4201</v>
      </c>
      <c r="V1220" s="0" t="s">
        <v>95</v>
      </c>
      <c r="W1220" s="0" t="s">
        <v>4963</v>
      </c>
      <c r="X1220" s="0" t="s">
        <v>4964</v>
      </c>
      <c r="Y1220" s="0" t="s">
        <v>4159</v>
      </c>
      <c r="Z1220" s="0" t="s">
        <v>4160</v>
      </c>
      <c r="AA1220" s="0" t="s">
        <v>4965</v>
      </c>
      <c r="AB1220" s="0" t="s">
        <v>4957</v>
      </c>
      <c r="AC1220" s="0" t="s">
        <v>4162</v>
      </c>
      <c r="AD1220" s="0" t="s">
        <v>4637</v>
      </c>
      <c r="AE1220" s="0" t="s">
        <v>1892</v>
      </c>
      <c r="AF1220" s="0" t="s">
        <v>4958</v>
      </c>
      <c r="AH1220" s="0" t="s">
        <v>2239</v>
      </c>
      <c r="AL1220" s="0" t="s">
        <v>523</v>
      </c>
    </row>
    <row r="1221" customFormat="false" ht="15" hidden="false" customHeight="false" outlineLevel="0" collapsed="false">
      <c r="A1221" s="0" t="s">
        <v>872</v>
      </c>
      <c r="B1221" s="0" t="s">
        <v>115</v>
      </c>
      <c r="C1221" s="0" t="s">
        <v>4633</v>
      </c>
      <c r="D1221" s="0" t="n">
        <v>2020</v>
      </c>
      <c r="E1221" s="0" t="s">
        <v>541</v>
      </c>
      <c r="F1221" s="0" t="n">
        <v>28054</v>
      </c>
      <c r="G1221" s="0" t="s">
        <v>3101</v>
      </c>
      <c r="H1221" s="0" t="s">
        <v>3068</v>
      </c>
      <c r="I1221" s="0" t="n">
        <v>28054</v>
      </c>
      <c r="J1221" s="0" t="s">
        <v>4634</v>
      </c>
      <c r="K1221" s="0" t="s">
        <v>2695</v>
      </c>
      <c r="L1221" s="0" t="n">
        <v>2020</v>
      </c>
      <c r="M1221" s="0" t="s">
        <v>1989</v>
      </c>
      <c r="N1221" s="0" t="s">
        <v>122</v>
      </c>
      <c r="O1221" s="0" t="s">
        <v>2463</v>
      </c>
      <c r="P1221" s="0" t="s">
        <v>4953</v>
      </c>
      <c r="Q1221" s="0" t="n">
        <v>136</v>
      </c>
      <c r="R1221" s="0" t="n">
        <v>136</v>
      </c>
      <c r="T1221" s="0" t="n">
        <v>2020</v>
      </c>
      <c r="U1221" s="0" t="s">
        <v>4201</v>
      </c>
      <c r="V1221" s="0" t="s">
        <v>95</v>
      </c>
      <c r="W1221" s="0" t="s">
        <v>4966</v>
      </c>
      <c r="X1221" s="0" t="s">
        <v>4964</v>
      </c>
      <c r="Y1221" s="0" t="s">
        <v>4159</v>
      </c>
      <c r="Z1221" s="0" t="s">
        <v>4160</v>
      </c>
      <c r="AA1221" s="0" t="s">
        <v>4967</v>
      </c>
      <c r="AB1221" s="0" t="s">
        <v>4957</v>
      </c>
      <c r="AC1221" s="0" t="s">
        <v>4162</v>
      </c>
      <c r="AD1221" s="0" t="s">
        <v>4637</v>
      </c>
      <c r="AE1221" s="0" t="s">
        <v>1892</v>
      </c>
      <c r="AF1221" s="0" t="s">
        <v>4958</v>
      </c>
      <c r="AH1221" s="0" t="s">
        <v>2239</v>
      </c>
      <c r="AL1221" s="0" t="s">
        <v>523</v>
      </c>
    </row>
    <row r="1222" customFormat="false" ht="15" hidden="false" customHeight="false" outlineLevel="0" collapsed="false">
      <c r="A1222" s="0" t="s">
        <v>861</v>
      </c>
      <c r="B1222" s="0" t="s">
        <v>115</v>
      </c>
      <c r="C1222" s="0" t="s">
        <v>4633</v>
      </c>
      <c r="D1222" s="0" t="n">
        <v>2020</v>
      </c>
      <c r="E1222" s="0" t="s">
        <v>58</v>
      </c>
      <c r="F1222" s="0" t="n">
        <v>242619</v>
      </c>
      <c r="G1222" s="0" t="s">
        <v>3101</v>
      </c>
      <c r="H1222" s="0" t="s">
        <v>3068</v>
      </c>
      <c r="I1222" s="0" t="n">
        <v>242619</v>
      </c>
      <c r="J1222" s="0" t="s">
        <v>4634</v>
      </c>
      <c r="K1222" s="0" t="s">
        <v>2695</v>
      </c>
      <c r="L1222" s="0" t="n">
        <v>2020</v>
      </c>
      <c r="M1222" s="0" t="s">
        <v>1989</v>
      </c>
      <c r="N1222" s="0" t="s">
        <v>122</v>
      </c>
      <c r="O1222" s="0" t="s">
        <v>2463</v>
      </c>
      <c r="P1222" s="0" t="s">
        <v>4953</v>
      </c>
      <c r="Q1222" s="0" t="n">
        <v>139</v>
      </c>
      <c r="R1222" s="0" t="n">
        <v>139</v>
      </c>
      <c r="T1222" s="0" t="n">
        <v>2020</v>
      </c>
      <c r="U1222" s="0" t="s">
        <v>4201</v>
      </c>
      <c r="V1222" s="0" t="s">
        <v>95</v>
      </c>
      <c r="W1222" s="0" t="s">
        <v>4968</v>
      </c>
      <c r="X1222" s="0" t="s">
        <v>4969</v>
      </c>
      <c r="Y1222" s="0" t="s">
        <v>4159</v>
      </c>
      <c r="Z1222" s="0" t="s">
        <v>4160</v>
      </c>
      <c r="AA1222" s="0" t="s">
        <v>4970</v>
      </c>
      <c r="AB1222" s="0" t="s">
        <v>4957</v>
      </c>
      <c r="AC1222" s="0" t="s">
        <v>4162</v>
      </c>
      <c r="AD1222" s="0" t="s">
        <v>4637</v>
      </c>
      <c r="AE1222" s="0" t="s">
        <v>1892</v>
      </c>
      <c r="AF1222" s="0" t="s">
        <v>4958</v>
      </c>
      <c r="AH1222" s="0" t="s">
        <v>2239</v>
      </c>
      <c r="AL1222" s="0" t="s">
        <v>523</v>
      </c>
    </row>
    <row r="1223" customFormat="false" ht="15" hidden="false" customHeight="false" outlineLevel="0" collapsed="false">
      <c r="A1223" s="0" t="s">
        <v>862</v>
      </c>
      <c r="B1223" s="0" t="s">
        <v>115</v>
      </c>
      <c r="C1223" s="0" t="s">
        <v>4633</v>
      </c>
      <c r="D1223" s="0" t="n">
        <v>2020</v>
      </c>
      <c r="E1223" s="0" t="s">
        <v>59</v>
      </c>
      <c r="F1223" s="0" t="n">
        <v>2114037</v>
      </c>
      <c r="G1223" s="0" t="s">
        <v>3101</v>
      </c>
      <c r="H1223" s="0" t="s">
        <v>3068</v>
      </c>
      <c r="I1223" s="0" t="n">
        <v>2114037</v>
      </c>
      <c r="J1223" s="0" t="s">
        <v>4634</v>
      </c>
      <c r="K1223" s="0" t="s">
        <v>2695</v>
      </c>
      <c r="L1223" s="0" t="n">
        <v>2020</v>
      </c>
      <c r="M1223" s="0" t="s">
        <v>1989</v>
      </c>
      <c r="N1223" s="0" t="s">
        <v>122</v>
      </c>
      <c r="O1223" s="0" t="s">
        <v>2463</v>
      </c>
      <c r="P1223" s="0" t="s">
        <v>4953</v>
      </c>
      <c r="Q1223" s="0" t="n">
        <v>137</v>
      </c>
      <c r="R1223" s="0" t="n">
        <v>137</v>
      </c>
      <c r="T1223" s="0" t="n">
        <v>2019</v>
      </c>
      <c r="U1223" s="0" t="s">
        <v>4201</v>
      </c>
      <c r="V1223" s="0" t="s">
        <v>95</v>
      </c>
      <c r="W1223" s="0" t="s">
        <v>4954</v>
      </c>
      <c r="X1223" s="0" t="s">
        <v>4955</v>
      </c>
      <c r="Y1223" s="0" t="s">
        <v>4159</v>
      </c>
      <c r="Z1223" s="0" t="s">
        <v>4160</v>
      </c>
      <c r="AA1223" s="0" t="s">
        <v>4971</v>
      </c>
      <c r="AB1223" s="0" t="s">
        <v>4957</v>
      </c>
      <c r="AC1223" s="0" t="s">
        <v>4162</v>
      </c>
      <c r="AD1223" s="0" t="s">
        <v>4637</v>
      </c>
      <c r="AE1223" s="0" t="s">
        <v>1892</v>
      </c>
      <c r="AF1223" s="0" t="s">
        <v>4958</v>
      </c>
      <c r="AH1223" s="0" t="s">
        <v>2239</v>
      </c>
      <c r="AL1223" s="0" t="s">
        <v>523</v>
      </c>
    </row>
    <row r="1224" customFormat="false" ht="15" hidden="false" customHeight="false" outlineLevel="0" collapsed="false">
      <c r="A1224" s="0" t="s">
        <v>866</v>
      </c>
      <c r="B1224" s="0" t="s">
        <v>115</v>
      </c>
      <c r="C1224" s="0" t="s">
        <v>4633</v>
      </c>
      <c r="D1224" s="0" t="n">
        <v>2020</v>
      </c>
      <c r="E1224" s="0" t="s">
        <v>63</v>
      </c>
      <c r="F1224" s="0" t="n">
        <v>-16858</v>
      </c>
      <c r="G1224" s="0" t="s">
        <v>3101</v>
      </c>
      <c r="H1224" s="0" t="s">
        <v>3068</v>
      </c>
      <c r="I1224" s="0" t="n">
        <v>16858</v>
      </c>
      <c r="J1224" s="0" t="s">
        <v>4634</v>
      </c>
      <c r="K1224" s="0" t="s">
        <v>2695</v>
      </c>
      <c r="L1224" s="0" t="n">
        <v>2020</v>
      </c>
      <c r="M1224" s="0" t="s">
        <v>1989</v>
      </c>
      <c r="N1224" s="0" t="s">
        <v>122</v>
      </c>
      <c r="O1224" s="0" t="s">
        <v>2463</v>
      </c>
      <c r="P1224" s="0" t="s">
        <v>4953</v>
      </c>
      <c r="Q1224" s="0" t="n">
        <v>136</v>
      </c>
      <c r="R1224" s="0" t="n">
        <v>136</v>
      </c>
      <c r="S1224" s="0" t="n">
        <v>8</v>
      </c>
      <c r="T1224" s="0" t="n">
        <v>2020</v>
      </c>
      <c r="U1224" s="0" t="s">
        <v>4201</v>
      </c>
      <c r="V1224" s="0" t="s">
        <v>95</v>
      </c>
      <c r="W1224" s="0" t="s">
        <v>4972</v>
      </c>
      <c r="X1224" s="0" t="s">
        <v>4964</v>
      </c>
      <c r="Y1224" s="0" t="s">
        <v>4159</v>
      </c>
      <c r="Z1224" s="0" t="s">
        <v>4160</v>
      </c>
      <c r="AA1224" s="0" t="s">
        <v>4973</v>
      </c>
      <c r="AB1224" s="0" t="s">
        <v>4957</v>
      </c>
      <c r="AC1224" s="0" t="s">
        <v>4162</v>
      </c>
      <c r="AD1224" s="0" t="s">
        <v>4637</v>
      </c>
      <c r="AE1224" s="0" t="s">
        <v>1892</v>
      </c>
      <c r="AF1224" s="0" t="s">
        <v>4958</v>
      </c>
      <c r="AH1224" s="0" t="s">
        <v>4174</v>
      </c>
      <c r="AI1224" s="0" t="s">
        <v>4974</v>
      </c>
      <c r="AL1224" s="0" t="s">
        <v>523</v>
      </c>
    </row>
    <row r="1225" customFormat="false" ht="15" hidden="false" customHeight="false" outlineLevel="0" collapsed="false">
      <c r="A1225" s="0" t="s">
        <v>863</v>
      </c>
      <c r="B1225" s="0" t="s">
        <v>115</v>
      </c>
      <c r="C1225" s="0" t="s">
        <v>4633</v>
      </c>
      <c r="D1225" s="0" t="n">
        <v>2020</v>
      </c>
      <c r="E1225" s="0" t="s">
        <v>60</v>
      </c>
      <c r="F1225" s="0" t="n">
        <v>1393624</v>
      </c>
      <c r="G1225" s="0" t="s">
        <v>3101</v>
      </c>
      <c r="H1225" s="0" t="s">
        <v>3068</v>
      </c>
      <c r="I1225" s="0" t="n">
        <v>1393624</v>
      </c>
      <c r="J1225" s="0" t="s">
        <v>4634</v>
      </c>
      <c r="K1225" s="0" t="s">
        <v>2695</v>
      </c>
      <c r="L1225" s="0" t="n">
        <v>2020</v>
      </c>
      <c r="M1225" s="0" t="s">
        <v>1989</v>
      </c>
      <c r="N1225" s="0" t="s">
        <v>122</v>
      </c>
      <c r="O1225" s="0" t="s">
        <v>2463</v>
      </c>
      <c r="P1225" s="0" t="s">
        <v>4953</v>
      </c>
      <c r="Q1225" s="0" t="n">
        <v>216</v>
      </c>
      <c r="R1225" s="0" t="n">
        <v>216</v>
      </c>
      <c r="S1225" s="0" t="n">
        <v>22</v>
      </c>
      <c r="T1225" s="0" t="s">
        <v>4975</v>
      </c>
      <c r="U1225" s="0" t="s">
        <v>4201</v>
      </c>
      <c r="V1225" s="0" t="s">
        <v>95</v>
      </c>
      <c r="W1225" s="0" t="s">
        <v>4976</v>
      </c>
      <c r="X1225" s="0" t="s">
        <v>4977</v>
      </c>
      <c r="Y1225" s="0" t="s">
        <v>4159</v>
      </c>
      <c r="Z1225" s="0" t="s">
        <v>4160</v>
      </c>
      <c r="AA1225" s="0" t="s">
        <v>4978</v>
      </c>
      <c r="AB1225" s="0" t="s">
        <v>4957</v>
      </c>
      <c r="AC1225" s="0" t="s">
        <v>4162</v>
      </c>
      <c r="AD1225" s="0" t="s">
        <v>4637</v>
      </c>
      <c r="AE1225" s="0" t="s">
        <v>1892</v>
      </c>
      <c r="AF1225" s="0" t="s">
        <v>4958</v>
      </c>
      <c r="AH1225" s="0" t="s">
        <v>2239</v>
      </c>
      <c r="AL1225" s="0" t="s">
        <v>523</v>
      </c>
    </row>
    <row r="1226" customFormat="false" ht="15" hidden="false" customHeight="false" outlineLevel="0" collapsed="false">
      <c r="A1226" s="0" t="s">
        <v>864</v>
      </c>
      <c r="B1226" s="0" t="s">
        <v>115</v>
      </c>
      <c r="C1226" s="0" t="s">
        <v>4633</v>
      </c>
      <c r="D1226" s="0" t="n">
        <v>2020</v>
      </c>
      <c r="E1226" s="0" t="s">
        <v>61</v>
      </c>
      <c r="F1226" s="0" t="n">
        <v>-67518</v>
      </c>
      <c r="G1226" s="0" t="s">
        <v>3101</v>
      </c>
      <c r="H1226" s="0" t="s">
        <v>3068</v>
      </c>
      <c r="I1226" s="0" t="n">
        <v>67518</v>
      </c>
      <c r="J1226" s="0" t="s">
        <v>4634</v>
      </c>
      <c r="K1226" s="0" t="s">
        <v>2695</v>
      </c>
      <c r="L1226" s="0" t="n">
        <v>2020</v>
      </c>
      <c r="M1226" s="0" t="s">
        <v>1989</v>
      </c>
      <c r="N1226" s="0" t="s">
        <v>122</v>
      </c>
      <c r="O1226" s="0" t="s">
        <v>2463</v>
      </c>
      <c r="P1226" s="0" t="s">
        <v>4953</v>
      </c>
      <c r="Q1226" s="0" t="n">
        <v>216</v>
      </c>
      <c r="R1226" s="0" t="n">
        <v>216</v>
      </c>
      <c r="S1226" s="0" t="n">
        <v>22</v>
      </c>
      <c r="T1226" s="0" t="s">
        <v>4975</v>
      </c>
      <c r="U1226" s="0" t="s">
        <v>4201</v>
      </c>
      <c r="V1226" s="0" t="s">
        <v>95</v>
      </c>
      <c r="W1226" s="0" t="s">
        <v>4979</v>
      </c>
      <c r="X1226" s="0" t="s">
        <v>4977</v>
      </c>
      <c r="Y1226" s="0" t="s">
        <v>4159</v>
      </c>
      <c r="Z1226" s="0" t="s">
        <v>4160</v>
      </c>
      <c r="AA1226" s="0" t="s">
        <v>4980</v>
      </c>
      <c r="AB1226" s="0" t="s">
        <v>4957</v>
      </c>
      <c r="AC1226" s="0" t="s">
        <v>4162</v>
      </c>
      <c r="AD1226" s="0" t="s">
        <v>4637</v>
      </c>
      <c r="AE1226" s="0" t="s">
        <v>1892</v>
      </c>
      <c r="AF1226" s="0" t="s">
        <v>4958</v>
      </c>
      <c r="AH1226" s="0" t="s">
        <v>4174</v>
      </c>
      <c r="AI1226" s="0" t="s">
        <v>4781</v>
      </c>
      <c r="AL1226" s="0" t="s">
        <v>523</v>
      </c>
    </row>
    <row r="1227" customFormat="false" ht="15" hidden="false" customHeight="false" outlineLevel="0" collapsed="false">
      <c r="A1227" s="0" t="s">
        <v>865</v>
      </c>
      <c r="B1227" s="0" t="s">
        <v>115</v>
      </c>
      <c r="C1227" s="0" t="s">
        <v>4633</v>
      </c>
      <c r="D1227" s="0" t="n">
        <v>2020</v>
      </c>
      <c r="E1227" s="0" t="s">
        <v>62</v>
      </c>
      <c r="F1227" s="0" t="n">
        <v>1326106</v>
      </c>
      <c r="G1227" s="0" t="s">
        <v>3101</v>
      </c>
      <c r="H1227" s="0" t="s">
        <v>3068</v>
      </c>
      <c r="I1227" s="0" t="n">
        <v>1326106</v>
      </c>
      <c r="J1227" s="0" t="s">
        <v>4634</v>
      </c>
      <c r="K1227" s="0" t="s">
        <v>2695</v>
      </c>
      <c r="L1227" s="0" t="n">
        <v>2020</v>
      </c>
      <c r="M1227" s="0" t="s">
        <v>1989</v>
      </c>
      <c r="N1227" s="0" t="s">
        <v>122</v>
      </c>
      <c r="O1227" s="0" t="s">
        <v>2463</v>
      </c>
      <c r="P1227" s="0" t="s">
        <v>4953</v>
      </c>
      <c r="Q1227" s="0" t="n">
        <v>137</v>
      </c>
      <c r="R1227" s="0" t="n">
        <v>137</v>
      </c>
      <c r="S1227" s="0" t="n">
        <v>22</v>
      </c>
      <c r="T1227" s="0" t="n">
        <v>2020</v>
      </c>
      <c r="U1227" s="0" t="s">
        <v>4201</v>
      </c>
      <c r="V1227" s="0" t="s">
        <v>95</v>
      </c>
      <c r="W1227" s="0" t="s">
        <v>4981</v>
      </c>
      <c r="X1227" s="0" t="s">
        <v>4955</v>
      </c>
      <c r="Y1227" s="0" t="s">
        <v>4159</v>
      </c>
      <c r="Z1227" s="0" t="s">
        <v>4160</v>
      </c>
      <c r="AA1227" s="0" t="s">
        <v>4982</v>
      </c>
      <c r="AB1227" s="0" t="s">
        <v>4957</v>
      </c>
      <c r="AC1227" s="0" t="s">
        <v>4162</v>
      </c>
      <c r="AD1227" s="0" t="s">
        <v>4637</v>
      </c>
      <c r="AE1227" s="0" t="s">
        <v>1892</v>
      </c>
      <c r="AF1227" s="0" t="s">
        <v>4958</v>
      </c>
      <c r="AH1227" s="0" t="s">
        <v>2239</v>
      </c>
      <c r="AL1227" s="0" t="s">
        <v>523</v>
      </c>
    </row>
    <row r="1228" customFormat="false" ht="15" hidden="false" customHeight="false" outlineLevel="0" collapsed="false">
      <c r="A1228" s="0" t="s">
        <v>869</v>
      </c>
      <c r="B1228" s="0" t="s">
        <v>115</v>
      </c>
      <c r="C1228" s="0" t="s">
        <v>4633</v>
      </c>
      <c r="D1228" s="0" t="n">
        <v>2020</v>
      </c>
      <c r="E1228" s="0" t="s">
        <v>65</v>
      </c>
      <c r="F1228" s="0" t="n">
        <v>243690</v>
      </c>
      <c r="G1228" s="0" t="s">
        <v>3101</v>
      </c>
      <c r="H1228" s="0" t="s">
        <v>3068</v>
      </c>
      <c r="I1228" s="0" t="n">
        <v>243690</v>
      </c>
      <c r="J1228" s="0" t="s">
        <v>4634</v>
      </c>
      <c r="K1228" s="0" t="s">
        <v>2695</v>
      </c>
      <c r="L1228" s="0" t="n">
        <v>2020</v>
      </c>
      <c r="M1228" s="0" t="s">
        <v>1989</v>
      </c>
      <c r="N1228" s="0" t="s">
        <v>122</v>
      </c>
      <c r="O1228" s="0" t="s">
        <v>2463</v>
      </c>
      <c r="P1228" s="0" t="s">
        <v>4953</v>
      </c>
      <c r="Q1228" s="0" t="n">
        <v>203</v>
      </c>
      <c r="R1228" s="0" t="n">
        <v>203</v>
      </c>
      <c r="S1228" s="0" t="n">
        <v>4</v>
      </c>
      <c r="T1228" s="0" t="s">
        <v>4983</v>
      </c>
      <c r="U1228" s="0" t="s">
        <v>4201</v>
      </c>
      <c r="V1228" s="0" t="s">
        <v>95</v>
      </c>
      <c r="W1228" s="0" t="s">
        <v>4984</v>
      </c>
      <c r="X1228" s="0" t="s">
        <v>4985</v>
      </c>
      <c r="Y1228" s="0" t="s">
        <v>4159</v>
      </c>
      <c r="Z1228" s="0" t="s">
        <v>4160</v>
      </c>
      <c r="AA1228" s="0" t="s">
        <v>4986</v>
      </c>
      <c r="AB1228" s="0" t="s">
        <v>4957</v>
      </c>
      <c r="AC1228" s="0" t="s">
        <v>4162</v>
      </c>
      <c r="AD1228" s="0" t="s">
        <v>4637</v>
      </c>
      <c r="AE1228" s="0" t="s">
        <v>1892</v>
      </c>
      <c r="AF1228" s="0" t="s">
        <v>4958</v>
      </c>
      <c r="AH1228" s="0" t="s">
        <v>2239</v>
      </c>
      <c r="AL1228" s="0" t="s">
        <v>523</v>
      </c>
    </row>
    <row r="1229" customFormat="false" ht="15" hidden="false" customHeight="false" outlineLevel="0" collapsed="false">
      <c r="A1229" s="0" t="s">
        <v>870</v>
      </c>
      <c r="B1229" s="0" t="s">
        <v>115</v>
      </c>
      <c r="C1229" s="0" t="s">
        <v>4633</v>
      </c>
      <c r="D1229" s="0" t="n">
        <v>2020</v>
      </c>
      <c r="E1229" s="0" t="s">
        <v>66</v>
      </c>
      <c r="F1229" s="0" t="n">
        <v>1340211</v>
      </c>
      <c r="G1229" s="0" t="s">
        <v>3101</v>
      </c>
      <c r="H1229" s="0" t="s">
        <v>3068</v>
      </c>
      <c r="I1229" s="0" t="n">
        <v>1340211</v>
      </c>
      <c r="J1229" s="0" t="s">
        <v>4634</v>
      </c>
      <c r="K1229" s="0" t="s">
        <v>2695</v>
      </c>
      <c r="L1229" s="0" t="n">
        <v>2020</v>
      </c>
      <c r="M1229" s="0" t="s">
        <v>1989</v>
      </c>
      <c r="N1229" s="0" t="s">
        <v>122</v>
      </c>
      <c r="O1229" s="0" t="s">
        <v>2463</v>
      </c>
      <c r="P1229" s="0" t="s">
        <v>4953</v>
      </c>
      <c r="Q1229" s="0" t="n">
        <v>203</v>
      </c>
      <c r="R1229" s="0" t="n">
        <v>203</v>
      </c>
      <c r="S1229" s="0" t="n">
        <v>4</v>
      </c>
      <c r="T1229" s="0" t="s">
        <v>4983</v>
      </c>
      <c r="U1229" s="0" t="s">
        <v>4201</v>
      </c>
      <c r="V1229" s="0" t="s">
        <v>95</v>
      </c>
      <c r="W1229" s="0" t="s">
        <v>4987</v>
      </c>
      <c r="X1229" s="0" t="s">
        <v>4985</v>
      </c>
      <c r="Y1229" s="0" t="s">
        <v>4159</v>
      </c>
      <c r="Z1229" s="0" t="s">
        <v>4160</v>
      </c>
      <c r="AA1229" s="0" t="s">
        <v>4988</v>
      </c>
      <c r="AB1229" s="0" t="s">
        <v>4957</v>
      </c>
      <c r="AC1229" s="0" t="s">
        <v>4162</v>
      </c>
      <c r="AD1229" s="0" t="s">
        <v>4637</v>
      </c>
      <c r="AE1229" s="0" t="s">
        <v>1892</v>
      </c>
      <c r="AF1229" s="0" t="s">
        <v>4958</v>
      </c>
      <c r="AH1229" s="0" t="s">
        <v>2239</v>
      </c>
      <c r="AL1229" s="0" t="s">
        <v>523</v>
      </c>
    </row>
    <row r="1230" customFormat="false" ht="15" hidden="false" customHeight="false" outlineLevel="0" collapsed="false">
      <c r="A1230" s="0" t="s">
        <v>867</v>
      </c>
      <c r="B1230" s="0" t="s">
        <v>115</v>
      </c>
      <c r="C1230" s="0" t="s">
        <v>4633</v>
      </c>
      <c r="D1230" s="0" t="n">
        <v>2020</v>
      </c>
      <c r="E1230" s="0" t="s">
        <v>69</v>
      </c>
      <c r="F1230" s="0" t="s">
        <v>4989</v>
      </c>
      <c r="G1230" s="0" t="s">
        <v>3143</v>
      </c>
      <c r="I1230" s="0" t="n">
        <v>18.18</v>
      </c>
      <c r="J1230" s="0" t="s">
        <v>4634</v>
      </c>
      <c r="K1230" s="0" t="s">
        <v>2695</v>
      </c>
      <c r="L1230" s="0" t="n">
        <v>2020</v>
      </c>
      <c r="M1230" s="0" t="s">
        <v>1989</v>
      </c>
      <c r="N1230" s="0" t="s">
        <v>122</v>
      </c>
      <c r="O1230" s="0" t="s">
        <v>2463</v>
      </c>
      <c r="P1230" s="0" t="s">
        <v>4953</v>
      </c>
      <c r="Q1230" s="0" t="n">
        <v>203</v>
      </c>
      <c r="R1230" s="0" t="n">
        <v>203</v>
      </c>
      <c r="S1230" s="0" t="n">
        <v>4</v>
      </c>
      <c r="T1230" s="0" t="s">
        <v>4983</v>
      </c>
      <c r="U1230" s="0" t="s">
        <v>4201</v>
      </c>
      <c r="V1230" s="0" t="s">
        <v>95</v>
      </c>
      <c r="W1230" s="0" t="s">
        <v>4990</v>
      </c>
      <c r="X1230" s="0" t="s">
        <v>4985</v>
      </c>
      <c r="Y1230" s="0" t="s">
        <v>4159</v>
      </c>
      <c r="Z1230" s="0" t="s">
        <v>4160</v>
      </c>
      <c r="AA1230" s="0" t="s">
        <v>4991</v>
      </c>
      <c r="AB1230" s="0" t="s">
        <v>4957</v>
      </c>
      <c r="AC1230" s="0" t="s">
        <v>4162</v>
      </c>
      <c r="AD1230" s="0" t="s">
        <v>4637</v>
      </c>
      <c r="AE1230" s="0" t="s">
        <v>1892</v>
      </c>
      <c r="AF1230" s="0" t="s">
        <v>4958</v>
      </c>
      <c r="AH1230" s="0" t="s">
        <v>2239</v>
      </c>
      <c r="AL1230" s="0" t="s">
        <v>523</v>
      </c>
    </row>
    <row r="1231" customFormat="false" ht="15" hidden="false" customHeight="false" outlineLevel="0" collapsed="false">
      <c r="A1231" s="0" t="s">
        <v>868</v>
      </c>
      <c r="B1231" s="0" t="s">
        <v>115</v>
      </c>
      <c r="C1231" s="0" t="s">
        <v>4633</v>
      </c>
      <c r="D1231" s="0" t="n">
        <v>2020</v>
      </c>
      <c r="E1231" s="0" t="s">
        <v>70</v>
      </c>
      <c r="F1231" s="0" t="s">
        <v>4253</v>
      </c>
      <c r="G1231" s="0" t="s">
        <v>3143</v>
      </c>
      <c r="I1231" s="0" t="n">
        <v>15</v>
      </c>
      <c r="J1231" s="0" t="s">
        <v>4634</v>
      </c>
      <c r="K1231" s="0" t="s">
        <v>2695</v>
      </c>
      <c r="L1231" s="0" t="n">
        <v>2020</v>
      </c>
      <c r="M1231" s="0" t="s">
        <v>1989</v>
      </c>
      <c r="N1231" s="0" t="s">
        <v>122</v>
      </c>
      <c r="O1231" s="0" t="s">
        <v>2463</v>
      </c>
      <c r="P1231" s="0" t="s">
        <v>4953</v>
      </c>
      <c r="Q1231" s="0" t="n">
        <v>203</v>
      </c>
      <c r="R1231" s="0" t="n">
        <v>203</v>
      </c>
      <c r="S1231" s="0" t="n">
        <v>4</v>
      </c>
      <c r="T1231" s="0" t="s">
        <v>4983</v>
      </c>
      <c r="U1231" s="0" t="s">
        <v>4201</v>
      </c>
      <c r="V1231" s="0" t="s">
        <v>95</v>
      </c>
      <c r="W1231" s="0" t="s">
        <v>4659</v>
      </c>
      <c r="X1231" s="0" t="s">
        <v>4985</v>
      </c>
      <c r="Y1231" s="0" t="s">
        <v>4159</v>
      </c>
      <c r="Z1231" s="0" t="s">
        <v>4160</v>
      </c>
      <c r="AA1231" s="0" t="s">
        <v>4992</v>
      </c>
      <c r="AB1231" s="0" t="s">
        <v>4957</v>
      </c>
      <c r="AC1231" s="0" t="s">
        <v>4162</v>
      </c>
      <c r="AD1231" s="0" t="s">
        <v>4637</v>
      </c>
      <c r="AE1231" s="0" t="s">
        <v>1892</v>
      </c>
      <c r="AF1231" s="0" t="s">
        <v>4958</v>
      </c>
      <c r="AH1231" s="0" t="s">
        <v>2239</v>
      </c>
      <c r="AL1231" s="0" t="s">
        <v>523</v>
      </c>
    </row>
    <row r="1232" customFormat="false" ht="15" hidden="false" customHeight="false" outlineLevel="0" collapsed="false">
      <c r="A1232" s="0" t="s">
        <v>871</v>
      </c>
      <c r="B1232" s="0" t="s">
        <v>115</v>
      </c>
      <c r="C1232" s="0" t="s">
        <v>4633</v>
      </c>
      <c r="D1232" s="0" t="n">
        <v>2020</v>
      </c>
      <c r="E1232" s="0" t="s">
        <v>73</v>
      </c>
      <c r="F1232" s="0" t="n">
        <v>0</v>
      </c>
      <c r="G1232" s="0" t="s">
        <v>4257</v>
      </c>
      <c r="I1232" s="0" t="n">
        <v>0</v>
      </c>
      <c r="J1232" s="0" t="s">
        <v>4687</v>
      </c>
      <c r="K1232" s="0" t="s">
        <v>2695</v>
      </c>
      <c r="L1232" s="0" t="n">
        <v>2020</v>
      </c>
      <c r="M1232" s="0" t="s">
        <v>1989</v>
      </c>
      <c r="N1232" s="0" t="s">
        <v>122</v>
      </c>
      <c r="O1232" s="0" t="s">
        <v>2463</v>
      </c>
      <c r="P1232" s="0" t="s">
        <v>4953</v>
      </c>
      <c r="Q1232" s="0" t="n">
        <v>128</v>
      </c>
      <c r="R1232" s="0" t="n">
        <v>128</v>
      </c>
      <c r="T1232" s="0" t="s">
        <v>4993</v>
      </c>
      <c r="U1232" s="0" t="s">
        <v>4201</v>
      </c>
      <c r="V1232" s="0" t="s">
        <v>95</v>
      </c>
      <c r="W1232" s="0" t="s">
        <v>4803</v>
      </c>
      <c r="X1232" s="0" t="s">
        <v>4994</v>
      </c>
      <c r="Y1232" s="0" t="s">
        <v>4212</v>
      </c>
      <c r="Z1232" s="0" t="s">
        <v>4160</v>
      </c>
      <c r="AA1232" s="0" t="s">
        <v>4995</v>
      </c>
      <c r="AB1232" s="0" t="s">
        <v>4957</v>
      </c>
      <c r="AC1232" s="0" t="s">
        <v>4162</v>
      </c>
      <c r="AD1232" s="0" t="s">
        <v>4637</v>
      </c>
      <c r="AE1232" s="0" t="s">
        <v>1892</v>
      </c>
      <c r="AF1232" s="0" t="s">
        <v>4958</v>
      </c>
      <c r="AG1232" s="0" t="s">
        <v>1892</v>
      </c>
      <c r="AH1232" s="0" t="s">
        <v>2239</v>
      </c>
      <c r="AL1232" s="0" t="s">
        <v>539</v>
      </c>
    </row>
    <row r="1233" customFormat="false" ht="15" hidden="false" customHeight="false" outlineLevel="0" collapsed="false">
      <c r="A1233" s="0" t="s">
        <v>1482</v>
      </c>
      <c r="B1233" s="0" t="s">
        <v>211</v>
      </c>
      <c r="C1233" s="0" t="s">
        <v>4154</v>
      </c>
      <c r="D1233" s="0" t="n">
        <v>2013</v>
      </c>
      <c r="E1233" s="0" t="s">
        <v>55</v>
      </c>
      <c r="F1233" s="0" t="n">
        <v>330872475</v>
      </c>
      <c r="G1233" s="0" t="s">
        <v>3067</v>
      </c>
      <c r="H1233" s="0" t="s">
        <v>3068</v>
      </c>
      <c r="I1233" s="0" t="n">
        <v>330872.475</v>
      </c>
      <c r="J1233" s="0" t="s">
        <v>4996</v>
      </c>
      <c r="K1233" s="0" t="s">
        <v>2746</v>
      </c>
      <c r="L1233" s="0" t="n">
        <v>2013</v>
      </c>
      <c r="M1233" s="0" t="s">
        <v>2466</v>
      </c>
      <c r="N1233" s="0" t="s">
        <v>212</v>
      </c>
      <c r="O1233" s="0" t="s">
        <v>2467</v>
      </c>
      <c r="P1233" s="0" t="s">
        <v>4997</v>
      </c>
      <c r="Q1233" s="0" t="n">
        <v>1</v>
      </c>
      <c r="S1233" s="0" t="s">
        <v>4998</v>
      </c>
      <c r="T1233" s="0" t="s">
        <v>4999</v>
      </c>
      <c r="U1233" s="0" t="s">
        <v>5000</v>
      </c>
      <c r="V1233" s="0" t="s">
        <v>213</v>
      </c>
      <c r="W1233" s="0" t="s">
        <v>5001</v>
      </c>
      <c r="X1233" s="0" t="s">
        <v>5002</v>
      </c>
      <c r="Y1233" s="0" t="s">
        <v>4159</v>
      </c>
      <c r="Z1233" s="0" t="s">
        <v>4160</v>
      </c>
      <c r="AA1233" s="0" t="s">
        <v>5003</v>
      </c>
      <c r="AB1233" s="0" t="s">
        <v>5004</v>
      </c>
      <c r="AC1233" s="0" t="s">
        <v>4162</v>
      </c>
      <c r="AD1233" s="0" t="s">
        <v>4637</v>
      </c>
      <c r="AE1233" s="0" t="s">
        <v>1892</v>
      </c>
      <c r="AF1233" s="0" t="s">
        <v>5005</v>
      </c>
      <c r="AH1233" s="0" t="s">
        <v>2239</v>
      </c>
      <c r="AL1233" s="0" t="s">
        <v>523</v>
      </c>
    </row>
    <row r="1234" customFormat="false" ht="15" hidden="false" customHeight="false" outlineLevel="0" collapsed="false">
      <c r="A1234" s="0" t="s">
        <v>1483</v>
      </c>
      <c r="B1234" s="0" t="s">
        <v>211</v>
      </c>
      <c r="C1234" s="0" t="s">
        <v>4154</v>
      </c>
      <c r="D1234" s="0" t="n">
        <v>2013</v>
      </c>
      <c r="E1234" s="0" t="s">
        <v>56</v>
      </c>
      <c r="F1234" s="0" t="n">
        <v>289477324</v>
      </c>
      <c r="G1234" s="0" t="s">
        <v>3067</v>
      </c>
      <c r="H1234" s="0" t="s">
        <v>3068</v>
      </c>
      <c r="I1234" s="0" t="n">
        <v>289477.324</v>
      </c>
      <c r="J1234" s="0" t="s">
        <v>4996</v>
      </c>
      <c r="K1234" s="0" t="s">
        <v>2746</v>
      </c>
      <c r="L1234" s="0" t="n">
        <v>2013</v>
      </c>
      <c r="M1234" s="0" t="s">
        <v>2466</v>
      </c>
      <c r="N1234" s="0" t="s">
        <v>212</v>
      </c>
      <c r="O1234" s="0" t="s">
        <v>2467</v>
      </c>
      <c r="P1234" s="0" t="s">
        <v>4997</v>
      </c>
      <c r="Q1234" s="0" t="n">
        <v>1</v>
      </c>
      <c r="S1234" s="0" t="s">
        <v>4998</v>
      </c>
      <c r="T1234" s="0" t="s">
        <v>4999</v>
      </c>
      <c r="U1234" s="0" t="s">
        <v>5000</v>
      </c>
      <c r="V1234" s="0" t="s">
        <v>213</v>
      </c>
      <c r="W1234" s="0" t="s">
        <v>5006</v>
      </c>
      <c r="X1234" s="0" t="s">
        <v>5002</v>
      </c>
      <c r="Y1234" s="0" t="s">
        <v>4159</v>
      </c>
      <c r="Z1234" s="0" t="s">
        <v>4160</v>
      </c>
      <c r="AA1234" s="0" t="s">
        <v>5003</v>
      </c>
      <c r="AB1234" s="0" t="s">
        <v>5004</v>
      </c>
      <c r="AC1234" s="0" t="s">
        <v>4162</v>
      </c>
      <c r="AD1234" s="0" t="s">
        <v>4637</v>
      </c>
      <c r="AE1234" s="0" t="s">
        <v>1892</v>
      </c>
      <c r="AF1234" s="0" t="s">
        <v>5005</v>
      </c>
      <c r="AH1234" s="0" t="s">
        <v>2239</v>
      </c>
      <c r="AL1234" s="0" t="s">
        <v>523</v>
      </c>
    </row>
    <row r="1235" customFormat="false" ht="15" hidden="false" customHeight="false" outlineLevel="0" collapsed="false">
      <c r="A1235" s="0" t="s">
        <v>1484</v>
      </c>
      <c r="B1235" s="0" t="s">
        <v>211</v>
      </c>
      <c r="C1235" s="0" t="s">
        <v>4154</v>
      </c>
      <c r="D1235" s="0" t="n">
        <v>2013</v>
      </c>
      <c r="E1235" s="0" t="s">
        <v>57</v>
      </c>
      <c r="F1235" s="0" t="n">
        <v>41395151</v>
      </c>
      <c r="G1235" s="0" t="s">
        <v>3067</v>
      </c>
      <c r="H1235" s="0" t="s">
        <v>3068</v>
      </c>
      <c r="I1235" s="0" t="n">
        <v>41395.151</v>
      </c>
      <c r="J1235" s="0" t="s">
        <v>4996</v>
      </c>
      <c r="K1235" s="0" t="s">
        <v>2746</v>
      </c>
      <c r="L1235" s="0" t="n">
        <v>2013</v>
      </c>
      <c r="M1235" s="0" t="s">
        <v>2466</v>
      </c>
      <c r="N1235" s="0" t="s">
        <v>212</v>
      </c>
      <c r="O1235" s="0" t="s">
        <v>2467</v>
      </c>
      <c r="P1235" s="0" t="s">
        <v>4997</v>
      </c>
      <c r="Q1235" s="0" t="n">
        <v>1</v>
      </c>
      <c r="S1235" s="0" t="s">
        <v>4998</v>
      </c>
      <c r="T1235" s="0" t="s">
        <v>4999</v>
      </c>
      <c r="U1235" s="0" t="s">
        <v>5000</v>
      </c>
      <c r="V1235" s="0" t="s">
        <v>213</v>
      </c>
      <c r="W1235" s="0" t="s">
        <v>5007</v>
      </c>
      <c r="X1235" s="0" t="s">
        <v>5002</v>
      </c>
      <c r="Y1235" s="0" t="s">
        <v>4159</v>
      </c>
      <c r="Z1235" s="0" t="s">
        <v>4160</v>
      </c>
      <c r="AA1235" s="0" t="s">
        <v>5003</v>
      </c>
      <c r="AB1235" s="0" t="s">
        <v>5004</v>
      </c>
      <c r="AC1235" s="0" t="s">
        <v>4162</v>
      </c>
      <c r="AD1235" s="0" t="s">
        <v>4637</v>
      </c>
      <c r="AE1235" s="0" t="s">
        <v>1892</v>
      </c>
      <c r="AF1235" s="0" t="s">
        <v>5005</v>
      </c>
      <c r="AH1235" s="0" t="s">
        <v>2239</v>
      </c>
      <c r="AL1235" s="0" t="s">
        <v>523</v>
      </c>
    </row>
    <row r="1236" customFormat="false" ht="15" hidden="false" customHeight="false" outlineLevel="0" collapsed="false">
      <c r="A1236" s="0" t="s">
        <v>1487</v>
      </c>
      <c r="B1236" s="0" t="s">
        <v>211</v>
      </c>
      <c r="C1236" s="0" t="s">
        <v>4154</v>
      </c>
      <c r="D1236" s="0" t="n">
        <v>2013</v>
      </c>
      <c r="E1236" s="0" t="s">
        <v>62</v>
      </c>
      <c r="F1236" s="0" t="n">
        <v>98631825</v>
      </c>
      <c r="G1236" s="0" t="s">
        <v>3067</v>
      </c>
      <c r="H1236" s="0" t="s">
        <v>3068</v>
      </c>
      <c r="I1236" s="0" t="n">
        <v>98631.825</v>
      </c>
      <c r="J1236" s="0" t="s">
        <v>4996</v>
      </c>
      <c r="K1236" s="0" t="s">
        <v>2746</v>
      </c>
      <c r="L1236" s="0" t="n">
        <v>2013</v>
      </c>
      <c r="M1236" s="0" t="s">
        <v>2466</v>
      </c>
      <c r="N1236" s="0" t="s">
        <v>212</v>
      </c>
      <c r="O1236" s="0" t="s">
        <v>2467</v>
      </c>
      <c r="P1236" s="0" t="s">
        <v>4997</v>
      </c>
      <c r="Q1236" s="0" t="n">
        <v>1</v>
      </c>
      <c r="S1236" s="0" t="s">
        <v>5008</v>
      </c>
      <c r="T1236" s="0" t="s">
        <v>4999</v>
      </c>
      <c r="U1236" s="0" t="s">
        <v>5000</v>
      </c>
      <c r="V1236" s="0" t="s">
        <v>213</v>
      </c>
      <c r="W1236" s="0" t="s">
        <v>5009</v>
      </c>
      <c r="X1236" s="0" t="s">
        <v>5002</v>
      </c>
      <c r="Y1236" s="0" t="s">
        <v>4159</v>
      </c>
      <c r="Z1236" s="0" t="s">
        <v>4160</v>
      </c>
      <c r="AA1236" s="0" t="s">
        <v>5003</v>
      </c>
      <c r="AB1236" s="0" t="s">
        <v>5004</v>
      </c>
      <c r="AC1236" s="0" t="s">
        <v>4162</v>
      </c>
      <c r="AD1236" s="0" t="s">
        <v>4637</v>
      </c>
      <c r="AE1236" s="0" t="s">
        <v>1892</v>
      </c>
      <c r="AF1236" s="0" t="s">
        <v>5005</v>
      </c>
      <c r="AH1236" s="0" t="s">
        <v>2239</v>
      </c>
      <c r="AL1236" s="0" t="s">
        <v>523</v>
      </c>
    </row>
    <row r="1237" customFormat="false" ht="15" hidden="false" customHeight="false" outlineLevel="0" collapsed="false">
      <c r="A1237" s="0" t="s">
        <v>1486</v>
      </c>
      <c r="B1237" s="0" t="s">
        <v>211</v>
      </c>
      <c r="C1237" s="0" t="s">
        <v>4154</v>
      </c>
      <c r="D1237" s="0" t="n">
        <v>2013</v>
      </c>
      <c r="E1237" s="0" t="s">
        <v>59</v>
      </c>
      <c r="F1237" s="0" t="n">
        <v>245704597</v>
      </c>
      <c r="G1237" s="0" t="s">
        <v>3067</v>
      </c>
      <c r="H1237" s="0" t="s">
        <v>3068</v>
      </c>
      <c r="I1237" s="0" t="n">
        <v>245704.597</v>
      </c>
      <c r="J1237" s="0" t="s">
        <v>4996</v>
      </c>
      <c r="K1237" s="0" t="s">
        <v>2746</v>
      </c>
      <c r="L1237" s="0" t="n">
        <v>2013</v>
      </c>
      <c r="M1237" s="0" t="s">
        <v>2466</v>
      </c>
      <c r="N1237" s="0" t="s">
        <v>212</v>
      </c>
      <c r="O1237" s="0" t="s">
        <v>2467</v>
      </c>
      <c r="P1237" s="0" t="s">
        <v>4997</v>
      </c>
      <c r="Q1237" s="0" t="n">
        <v>1</v>
      </c>
      <c r="S1237" s="0" t="s">
        <v>4998</v>
      </c>
      <c r="T1237" s="0" t="s">
        <v>5010</v>
      </c>
      <c r="U1237" s="0" t="s">
        <v>5000</v>
      </c>
      <c r="V1237" s="0" t="s">
        <v>213</v>
      </c>
      <c r="W1237" s="0" t="s">
        <v>5001</v>
      </c>
      <c r="X1237" s="0" t="s">
        <v>5002</v>
      </c>
      <c r="Y1237" s="0" t="s">
        <v>4159</v>
      </c>
      <c r="Z1237" s="0" t="s">
        <v>4160</v>
      </c>
      <c r="AA1237" s="0" t="s">
        <v>5011</v>
      </c>
      <c r="AB1237" s="0" t="s">
        <v>5004</v>
      </c>
      <c r="AC1237" s="0" t="s">
        <v>4162</v>
      </c>
      <c r="AD1237" s="0" t="s">
        <v>4637</v>
      </c>
      <c r="AE1237" s="0" t="s">
        <v>1892</v>
      </c>
      <c r="AF1237" s="0" t="s">
        <v>5005</v>
      </c>
      <c r="AH1237" s="0" t="s">
        <v>2239</v>
      </c>
      <c r="AL1237" s="0" t="s">
        <v>523</v>
      </c>
    </row>
    <row r="1238" customFormat="false" ht="15" hidden="false" customHeight="false" outlineLevel="0" collapsed="false">
      <c r="A1238" s="0" t="s">
        <v>1489</v>
      </c>
      <c r="B1238" s="0" t="s">
        <v>211</v>
      </c>
      <c r="C1238" s="0" t="s">
        <v>4154</v>
      </c>
      <c r="D1238" s="0" t="n">
        <v>2013</v>
      </c>
      <c r="E1238" s="0" t="s">
        <v>541</v>
      </c>
      <c r="F1238" s="0" t="n">
        <v>1947308</v>
      </c>
      <c r="G1238" s="0" t="s">
        <v>3067</v>
      </c>
      <c r="H1238" s="0" t="s">
        <v>3068</v>
      </c>
      <c r="I1238" s="0" t="n">
        <v>1947.308</v>
      </c>
      <c r="J1238" s="0" t="s">
        <v>4996</v>
      </c>
      <c r="K1238" s="0" t="s">
        <v>2746</v>
      </c>
      <c r="L1238" s="0" t="n">
        <v>2013</v>
      </c>
      <c r="M1238" s="0" t="s">
        <v>2466</v>
      </c>
      <c r="N1238" s="0" t="s">
        <v>212</v>
      </c>
      <c r="O1238" s="0" t="s">
        <v>2467</v>
      </c>
      <c r="P1238" s="0" t="s">
        <v>4997</v>
      </c>
      <c r="Q1238" s="0" t="n">
        <v>2</v>
      </c>
      <c r="S1238" s="0" t="s">
        <v>5012</v>
      </c>
      <c r="T1238" s="0" t="s">
        <v>4999</v>
      </c>
      <c r="U1238" s="0" t="s">
        <v>5000</v>
      </c>
      <c r="V1238" s="0" t="s">
        <v>213</v>
      </c>
      <c r="W1238" s="0" t="s">
        <v>5013</v>
      </c>
      <c r="X1238" s="0" t="s">
        <v>5014</v>
      </c>
      <c r="Y1238" s="0" t="s">
        <v>4159</v>
      </c>
      <c r="Z1238" s="0" t="s">
        <v>4160</v>
      </c>
      <c r="AA1238" s="0" t="s">
        <v>5003</v>
      </c>
      <c r="AB1238" s="0" t="s">
        <v>5004</v>
      </c>
      <c r="AC1238" s="0" t="s">
        <v>4162</v>
      </c>
      <c r="AD1238" s="0" t="s">
        <v>4637</v>
      </c>
      <c r="AE1238" s="0" t="s">
        <v>1892</v>
      </c>
      <c r="AF1238" s="0" t="s">
        <v>5005</v>
      </c>
      <c r="AH1238" s="0" t="s">
        <v>2239</v>
      </c>
      <c r="AL1238" s="0" t="s">
        <v>523</v>
      </c>
    </row>
    <row r="1239" customFormat="false" ht="15" hidden="false" customHeight="false" outlineLevel="0" collapsed="false">
      <c r="A1239" s="0" t="s">
        <v>1481</v>
      </c>
      <c r="B1239" s="0" t="s">
        <v>211</v>
      </c>
      <c r="C1239" s="0" t="s">
        <v>4154</v>
      </c>
      <c r="D1239" s="0" t="n">
        <v>2013</v>
      </c>
      <c r="E1239" s="0" t="s">
        <v>54</v>
      </c>
      <c r="F1239" s="0" t="n">
        <v>1596531</v>
      </c>
      <c r="G1239" s="0" t="s">
        <v>3067</v>
      </c>
      <c r="H1239" s="0" t="s">
        <v>3068</v>
      </c>
      <c r="I1239" s="0" t="n">
        <v>1596.531</v>
      </c>
      <c r="J1239" s="0" t="s">
        <v>4996</v>
      </c>
      <c r="K1239" s="0" t="s">
        <v>2746</v>
      </c>
      <c r="L1239" s="0" t="n">
        <v>2013</v>
      </c>
      <c r="M1239" s="0" t="s">
        <v>2466</v>
      </c>
      <c r="N1239" s="0" t="s">
        <v>212</v>
      </c>
      <c r="O1239" s="0" t="s">
        <v>2467</v>
      </c>
      <c r="P1239" s="0" t="s">
        <v>4997</v>
      </c>
      <c r="Q1239" s="0" t="n">
        <v>2</v>
      </c>
      <c r="S1239" s="0" t="s">
        <v>5012</v>
      </c>
      <c r="T1239" s="0" t="s">
        <v>4999</v>
      </c>
      <c r="U1239" s="0" t="s">
        <v>5000</v>
      </c>
      <c r="V1239" s="0" t="s">
        <v>213</v>
      </c>
      <c r="W1239" s="0" t="s">
        <v>5015</v>
      </c>
      <c r="X1239" s="0" t="s">
        <v>5014</v>
      </c>
      <c r="Y1239" s="0" t="s">
        <v>4159</v>
      </c>
      <c r="Z1239" s="0" t="s">
        <v>4160</v>
      </c>
      <c r="AA1239" s="0" t="s">
        <v>5003</v>
      </c>
      <c r="AB1239" s="0" t="s">
        <v>5004</v>
      </c>
      <c r="AC1239" s="0" t="s">
        <v>4162</v>
      </c>
      <c r="AD1239" s="0" t="s">
        <v>4637</v>
      </c>
      <c r="AE1239" s="0" t="s">
        <v>1892</v>
      </c>
      <c r="AF1239" s="0" t="s">
        <v>5005</v>
      </c>
      <c r="AH1239" s="0" t="s">
        <v>2239</v>
      </c>
      <c r="AL1239" s="0" t="s">
        <v>523</v>
      </c>
    </row>
    <row r="1240" customFormat="false" ht="15" hidden="false" customHeight="false" outlineLevel="0" collapsed="false">
      <c r="A1240" s="0" t="s">
        <v>1488</v>
      </c>
      <c r="B1240" s="0" t="s">
        <v>211</v>
      </c>
      <c r="C1240" s="0" t="s">
        <v>4154</v>
      </c>
      <c r="D1240" s="0" t="n">
        <v>2013</v>
      </c>
      <c r="E1240" s="0" t="s">
        <v>63</v>
      </c>
      <c r="F1240" s="0" t="n">
        <v>1329627</v>
      </c>
      <c r="G1240" s="0" t="s">
        <v>3067</v>
      </c>
      <c r="H1240" s="0" t="s">
        <v>3068</v>
      </c>
      <c r="I1240" s="0" t="n">
        <v>-1329.627</v>
      </c>
      <c r="J1240" s="0" t="s">
        <v>4996</v>
      </c>
      <c r="K1240" s="0" t="s">
        <v>2746</v>
      </c>
      <c r="L1240" s="0" t="n">
        <v>2013</v>
      </c>
      <c r="M1240" s="0" t="s">
        <v>2466</v>
      </c>
      <c r="N1240" s="0" t="s">
        <v>212</v>
      </c>
      <c r="O1240" s="0" t="s">
        <v>2467</v>
      </c>
      <c r="P1240" s="0" t="s">
        <v>4997</v>
      </c>
      <c r="Q1240" s="0" t="n">
        <v>2</v>
      </c>
      <c r="S1240" s="0" t="s">
        <v>5016</v>
      </c>
      <c r="T1240" s="0" t="s">
        <v>4999</v>
      </c>
      <c r="U1240" s="0" t="s">
        <v>5000</v>
      </c>
      <c r="V1240" s="0" t="s">
        <v>213</v>
      </c>
      <c r="W1240" s="0" t="s">
        <v>5017</v>
      </c>
      <c r="X1240" s="0" t="s">
        <v>5014</v>
      </c>
      <c r="Y1240" s="0" t="s">
        <v>4159</v>
      </c>
      <c r="Z1240" s="0" t="s">
        <v>4160</v>
      </c>
      <c r="AA1240" s="0" t="s">
        <v>5018</v>
      </c>
      <c r="AB1240" s="0" t="s">
        <v>5004</v>
      </c>
      <c r="AC1240" s="0" t="s">
        <v>4162</v>
      </c>
      <c r="AD1240" s="0" t="s">
        <v>4637</v>
      </c>
      <c r="AE1240" s="0" t="s">
        <v>1892</v>
      </c>
      <c r="AF1240" s="0" t="s">
        <v>5005</v>
      </c>
      <c r="AH1240" s="0" t="s">
        <v>4174</v>
      </c>
      <c r="AI1240" s="0" t="s">
        <v>5019</v>
      </c>
      <c r="AL1240" s="0" t="s">
        <v>523</v>
      </c>
    </row>
    <row r="1241" customFormat="false" ht="15" hidden="false" customHeight="false" outlineLevel="0" collapsed="false">
      <c r="A1241" s="0" t="s">
        <v>1485</v>
      </c>
      <c r="B1241" s="0" t="s">
        <v>211</v>
      </c>
      <c r="C1241" s="0" t="s">
        <v>4154</v>
      </c>
      <c r="D1241" s="0" t="n">
        <v>2013</v>
      </c>
      <c r="E1241" s="0" t="s">
        <v>58</v>
      </c>
      <c r="F1241" s="0" t="n">
        <v>14012504</v>
      </c>
      <c r="G1241" s="0" t="s">
        <v>3067</v>
      </c>
      <c r="H1241" s="0" t="s">
        <v>3068</v>
      </c>
      <c r="I1241" s="0" t="n">
        <v>14012.504</v>
      </c>
      <c r="J1241" s="0" t="s">
        <v>4996</v>
      </c>
      <c r="K1241" s="0" t="s">
        <v>2746</v>
      </c>
      <c r="L1241" s="0" t="n">
        <v>2013</v>
      </c>
      <c r="M1241" s="0" t="s">
        <v>2466</v>
      </c>
      <c r="N1241" s="0" t="s">
        <v>212</v>
      </c>
      <c r="O1241" s="0" t="s">
        <v>2467</v>
      </c>
      <c r="P1241" s="0" t="s">
        <v>4997</v>
      </c>
      <c r="Q1241" s="0" t="n">
        <v>4</v>
      </c>
      <c r="S1241" s="0" t="s">
        <v>5020</v>
      </c>
      <c r="T1241" s="0" t="n">
        <v>2013</v>
      </c>
      <c r="U1241" s="0" t="s">
        <v>5000</v>
      </c>
      <c r="V1241" s="0" t="s">
        <v>213</v>
      </c>
      <c r="W1241" s="0" t="s">
        <v>5021</v>
      </c>
      <c r="X1241" s="0" t="s">
        <v>5022</v>
      </c>
      <c r="Y1241" s="0" t="s">
        <v>4159</v>
      </c>
      <c r="Z1241" s="0" t="s">
        <v>4160</v>
      </c>
      <c r="AA1241" s="0" t="s">
        <v>5003</v>
      </c>
      <c r="AB1241" s="0" t="s">
        <v>5004</v>
      </c>
      <c r="AC1241" s="0" t="s">
        <v>4162</v>
      </c>
      <c r="AD1241" s="0" t="s">
        <v>4637</v>
      </c>
      <c r="AE1241" s="0" t="s">
        <v>1892</v>
      </c>
      <c r="AF1241" s="0" t="s">
        <v>5005</v>
      </c>
      <c r="AH1241" s="0" t="s">
        <v>2239</v>
      </c>
      <c r="AL1241" s="0" t="s">
        <v>523</v>
      </c>
    </row>
    <row r="1242" customFormat="false" ht="15" hidden="false" customHeight="false" outlineLevel="0" collapsed="false">
      <c r="A1242" s="0" t="s">
        <v>1510</v>
      </c>
      <c r="B1242" s="0" t="s">
        <v>222</v>
      </c>
      <c r="C1242" s="0" t="s">
        <v>4357</v>
      </c>
      <c r="D1242" s="0" t="n">
        <v>2013</v>
      </c>
      <c r="E1242" s="0" t="s">
        <v>55</v>
      </c>
      <c r="F1242" s="0" t="n">
        <v>2878693</v>
      </c>
      <c r="G1242" s="0" t="s">
        <v>3101</v>
      </c>
      <c r="H1242" s="0" t="s">
        <v>3068</v>
      </c>
      <c r="I1242" s="0" t="n">
        <v>2878693</v>
      </c>
      <c r="J1242" s="0" t="s">
        <v>4155</v>
      </c>
      <c r="K1242" s="0" t="s">
        <v>2756</v>
      </c>
      <c r="L1242" s="0" t="n">
        <v>2013</v>
      </c>
      <c r="M1242" s="0" t="s">
        <v>2015</v>
      </c>
      <c r="N1242" s="0" t="s">
        <v>223</v>
      </c>
      <c r="O1242" s="0" t="s">
        <v>2486</v>
      </c>
      <c r="P1242" s="0" t="s">
        <v>5023</v>
      </c>
      <c r="Q1242" s="0" t="n">
        <v>24</v>
      </c>
      <c r="R1242" s="0" t="n">
        <v>24</v>
      </c>
      <c r="T1242" s="0" t="n">
        <v>2013</v>
      </c>
      <c r="U1242" s="0" t="s">
        <v>5000</v>
      </c>
      <c r="V1242" s="0" t="s">
        <v>103</v>
      </c>
      <c r="W1242" s="0" t="s">
        <v>5024</v>
      </c>
      <c r="X1242" s="0" t="s">
        <v>5025</v>
      </c>
      <c r="Y1242" s="0" t="s">
        <v>4159</v>
      </c>
      <c r="Z1242" s="0" t="s">
        <v>4160</v>
      </c>
      <c r="AA1242" s="0" t="s">
        <v>5026</v>
      </c>
      <c r="AB1242" s="0" t="s">
        <v>5027</v>
      </c>
      <c r="AC1242" s="0" t="s">
        <v>4162</v>
      </c>
      <c r="AD1242" s="0" t="s">
        <v>4163</v>
      </c>
      <c r="AE1242" s="0" t="s">
        <v>4164</v>
      </c>
      <c r="AF1242" s="0" t="s">
        <v>5028</v>
      </c>
      <c r="AH1242" s="0" t="s">
        <v>2239</v>
      </c>
      <c r="AL1242" s="0" t="s">
        <v>523</v>
      </c>
    </row>
    <row r="1243" customFormat="false" ht="15" hidden="false" customHeight="false" outlineLevel="0" collapsed="false">
      <c r="A1243" s="0" t="s">
        <v>1511</v>
      </c>
      <c r="B1243" s="0" t="s">
        <v>222</v>
      </c>
      <c r="C1243" s="0" t="s">
        <v>4357</v>
      </c>
      <c r="D1243" s="0" t="n">
        <v>2013</v>
      </c>
      <c r="E1243" s="0" t="s">
        <v>56</v>
      </c>
      <c r="F1243" s="0" t="n">
        <v>2406071</v>
      </c>
      <c r="G1243" s="0" t="s">
        <v>3101</v>
      </c>
      <c r="H1243" s="0" t="s">
        <v>3068</v>
      </c>
      <c r="I1243" s="0" t="n">
        <v>2406071</v>
      </c>
      <c r="J1243" s="0" t="s">
        <v>4155</v>
      </c>
      <c r="K1243" s="0" t="s">
        <v>2756</v>
      </c>
      <c r="L1243" s="0" t="n">
        <v>2013</v>
      </c>
      <c r="M1243" s="0" t="s">
        <v>2015</v>
      </c>
      <c r="N1243" s="0" t="s">
        <v>223</v>
      </c>
      <c r="O1243" s="0" t="s">
        <v>2486</v>
      </c>
      <c r="P1243" s="0" t="s">
        <v>5023</v>
      </c>
      <c r="Q1243" s="0" t="n">
        <v>24</v>
      </c>
      <c r="R1243" s="0" t="n">
        <v>24</v>
      </c>
      <c r="T1243" s="0" t="n">
        <v>2013</v>
      </c>
      <c r="U1243" s="0" t="s">
        <v>5000</v>
      </c>
      <c r="V1243" s="0" t="s">
        <v>103</v>
      </c>
      <c r="W1243" s="0" t="s">
        <v>5029</v>
      </c>
      <c r="X1243" s="0" t="s">
        <v>5025</v>
      </c>
      <c r="Y1243" s="0" t="s">
        <v>4159</v>
      </c>
      <c r="Z1243" s="0" t="s">
        <v>4160</v>
      </c>
      <c r="AA1243" s="0" t="s">
        <v>5026</v>
      </c>
      <c r="AB1243" s="0" t="s">
        <v>5027</v>
      </c>
      <c r="AC1243" s="0" t="s">
        <v>4162</v>
      </c>
      <c r="AD1243" s="0" t="s">
        <v>4163</v>
      </c>
      <c r="AE1243" s="0" t="s">
        <v>4164</v>
      </c>
      <c r="AF1243" s="0" t="s">
        <v>5028</v>
      </c>
      <c r="AH1243" s="0" t="s">
        <v>2239</v>
      </c>
      <c r="AL1243" s="0" t="s">
        <v>523</v>
      </c>
    </row>
    <row r="1244" customFormat="false" ht="15" hidden="false" customHeight="false" outlineLevel="0" collapsed="false">
      <c r="A1244" s="0" t="s">
        <v>1512</v>
      </c>
      <c r="B1244" s="0" t="s">
        <v>222</v>
      </c>
      <c r="C1244" s="0" t="s">
        <v>4357</v>
      </c>
      <c r="D1244" s="0" t="n">
        <v>2013</v>
      </c>
      <c r="E1244" s="0" t="s">
        <v>57</v>
      </c>
      <c r="F1244" s="0" t="n">
        <v>472622</v>
      </c>
      <c r="G1244" s="0" t="s">
        <v>3101</v>
      </c>
      <c r="H1244" s="0" t="s">
        <v>3068</v>
      </c>
      <c r="I1244" s="0" t="n">
        <v>472622</v>
      </c>
      <c r="J1244" s="0" t="s">
        <v>4155</v>
      </c>
      <c r="K1244" s="0" t="s">
        <v>2756</v>
      </c>
      <c r="L1244" s="0" t="n">
        <v>2013</v>
      </c>
      <c r="M1244" s="0" t="s">
        <v>2015</v>
      </c>
      <c r="N1244" s="0" t="s">
        <v>223</v>
      </c>
      <c r="O1244" s="0" t="s">
        <v>2486</v>
      </c>
      <c r="P1244" s="0" t="s">
        <v>5023</v>
      </c>
      <c r="Q1244" s="0" t="n">
        <v>24</v>
      </c>
      <c r="R1244" s="0" t="n">
        <v>24</v>
      </c>
      <c r="T1244" s="0" t="n">
        <v>2013</v>
      </c>
      <c r="U1244" s="0" t="s">
        <v>5000</v>
      </c>
      <c r="V1244" s="0" t="s">
        <v>103</v>
      </c>
      <c r="W1244" s="0" t="s">
        <v>5030</v>
      </c>
      <c r="X1244" s="0" t="s">
        <v>5025</v>
      </c>
      <c r="Y1244" s="0" t="s">
        <v>4159</v>
      </c>
      <c r="Z1244" s="0" t="s">
        <v>4160</v>
      </c>
      <c r="AA1244" s="0" t="s">
        <v>5031</v>
      </c>
      <c r="AB1244" s="0" t="s">
        <v>5027</v>
      </c>
      <c r="AC1244" s="0" t="s">
        <v>4162</v>
      </c>
      <c r="AD1244" s="0" t="s">
        <v>4163</v>
      </c>
      <c r="AE1244" s="0" t="s">
        <v>4164</v>
      </c>
      <c r="AF1244" s="0" t="s">
        <v>5028</v>
      </c>
      <c r="AH1244" s="0" t="s">
        <v>2239</v>
      </c>
      <c r="AL1244" s="0" t="s">
        <v>523</v>
      </c>
    </row>
    <row r="1245" customFormat="false" ht="15" hidden="false" customHeight="false" outlineLevel="0" collapsed="false">
      <c r="A1245" s="0" t="s">
        <v>1514</v>
      </c>
      <c r="B1245" s="0" t="s">
        <v>222</v>
      </c>
      <c r="C1245" s="0" t="s">
        <v>4357</v>
      </c>
      <c r="D1245" s="0" t="n">
        <v>2013</v>
      </c>
      <c r="E1245" s="0" t="s">
        <v>59</v>
      </c>
      <c r="F1245" s="0" t="n">
        <v>2436886</v>
      </c>
      <c r="G1245" s="0" t="s">
        <v>3101</v>
      </c>
      <c r="H1245" s="0" t="s">
        <v>3068</v>
      </c>
      <c r="I1245" s="0" t="n">
        <v>2436886</v>
      </c>
      <c r="J1245" s="0" t="s">
        <v>4155</v>
      </c>
      <c r="K1245" s="0" t="s">
        <v>2756</v>
      </c>
      <c r="L1245" s="0" t="n">
        <v>2013</v>
      </c>
      <c r="M1245" s="0" t="s">
        <v>2015</v>
      </c>
      <c r="N1245" s="0" t="s">
        <v>223</v>
      </c>
      <c r="O1245" s="0" t="s">
        <v>2486</v>
      </c>
      <c r="P1245" s="0" t="s">
        <v>5023</v>
      </c>
      <c r="Q1245" s="0" t="n">
        <v>24</v>
      </c>
      <c r="R1245" s="0" t="n">
        <v>24</v>
      </c>
      <c r="T1245" s="0" t="n">
        <v>2012</v>
      </c>
      <c r="U1245" s="0" t="s">
        <v>5000</v>
      </c>
      <c r="V1245" s="0" t="s">
        <v>103</v>
      </c>
      <c r="W1245" s="0" t="s">
        <v>5024</v>
      </c>
      <c r="X1245" s="0" t="s">
        <v>5025</v>
      </c>
      <c r="Y1245" s="0" t="s">
        <v>4159</v>
      </c>
      <c r="Z1245" s="0" t="s">
        <v>4160</v>
      </c>
      <c r="AA1245" s="0" t="s">
        <v>5032</v>
      </c>
      <c r="AB1245" s="0" t="s">
        <v>5027</v>
      </c>
      <c r="AC1245" s="0" t="s">
        <v>4162</v>
      </c>
      <c r="AD1245" s="0" t="s">
        <v>4163</v>
      </c>
      <c r="AE1245" s="0" t="s">
        <v>4164</v>
      </c>
      <c r="AF1245" s="0" t="s">
        <v>5028</v>
      </c>
      <c r="AH1245" s="0" t="s">
        <v>2239</v>
      </c>
      <c r="AL1245" s="0" t="s">
        <v>523</v>
      </c>
    </row>
    <row r="1246" customFormat="false" ht="15" hidden="false" customHeight="false" outlineLevel="0" collapsed="false">
      <c r="A1246" s="0" t="s">
        <v>1509</v>
      </c>
      <c r="B1246" s="0" t="s">
        <v>222</v>
      </c>
      <c r="C1246" s="0" t="s">
        <v>4357</v>
      </c>
      <c r="D1246" s="0" t="n">
        <v>2013</v>
      </c>
      <c r="E1246" s="0" t="s">
        <v>54</v>
      </c>
      <c r="F1246" s="0" t="n">
        <v>83414</v>
      </c>
      <c r="G1246" s="0" t="s">
        <v>3101</v>
      </c>
      <c r="H1246" s="0" t="s">
        <v>3068</v>
      </c>
      <c r="I1246" s="0" t="n">
        <v>83414</v>
      </c>
      <c r="J1246" s="0" t="s">
        <v>4155</v>
      </c>
      <c r="K1246" s="0" t="s">
        <v>2756</v>
      </c>
      <c r="L1246" s="0" t="n">
        <v>2013</v>
      </c>
      <c r="M1246" s="0" t="s">
        <v>2015</v>
      </c>
      <c r="N1246" s="0" t="s">
        <v>223</v>
      </c>
      <c r="O1246" s="0" t="s">
        <v>2486</v>
      </c>
      <c r="P1246" s="0" t="s">
        <v>5023</v>
      </c>
      <c r="Q1246" s="0" t="n">
        <v>23</v>
      </c>
      <c r="R1246" s="0" t="n">
        <v>23</v>
      </c>
      <c r="T1246" s="0" t="n">
        <v>2013</v>
      </c>
      <c r="U1246" s="0" t="s">
        <v>5000</v>
      </c>
      <c r="V1246" s="0" t="s">
        <v>103</v>
      </c>
      <c r="W1246" s="0" t="s">
        <v>5033</v>
      </c>
      <c r="X1246" s="0" t="s">
        <v>5034</v>
      </c>
      <c r="Y1246" s="0" t="s">
        <v>4159</v>
      </c>
      <c r="Z1246" s="0" t="s">
        <v>4160</v>
      </c>
      <c r="AA1246" s="0" t="s">
        <v>5035</v>
      </c>
      <c r="AB1246" s="0" t="s">
        <v>5027</v>
      </c>
      <c r="AC1246" s="0" t="s">
        <v>4162</v>
      </c>
      <c r="AD1246" s="0" t="s">
        <v>4163</v>
      </c>
      <c r="AE1246" s="0" t="s">
        <v>4164</v>
      </c>
      <c r="AF1246" s="0" t="s">
        <v>5028</v>
      </c>
      <c r="AH1246" s="0" t="s">
        <v>2239</v>
      </c>
      <c r="AL1246" s="0" t="s">
        <v>523</v>
      </c>
    </row>
    <row r="1247" customFormat="false" ht="15" hidden="false" customHeight="false" outlineLevel="0" collapsed="false">
      <c r="A1247" s="0" t="s">
        <v>1523</v>
      </c>
      <c r="B1247" s="0" t="s">
        <v>222</v>
      </c>
      <c r="C1247" s="0" t="s">
        <v>4357</v>
      </c>
      <c r="D1247" s="0" t="n">
        <v>2013</v>
      </c>
      <c r="E1247" s="0" t="s">
        <v>541</v>
      </c>
      <c r="F1247" s="0" t="n">
        <v>94108</v>
      </c>
      <c r="G1247" s="0" t="s">
        <v>3101</v>
      </c>
      <c r="H1247" s="0" t="s">
        <v>3068</v>
      </c>
      <c r="I1247" s="0" t="n">
        <v>94108</v>
      </c>
      <c r="J1247" s="0" t="s">
        <v>4155</v>
      </c>
      <c r="K1247" s="0" t="s">
        <v>2756</v>
      </c>
      <c r="L1247" s="0" t="n">
        <v>2013</v>
      </c>
      <c r="M1247" s="0" t="s">
        <v>2015</v>
      </c>
      <c r="N1247" s="0" t="s">
        <v>223</v>
      </c>
      <c r="O1247" s="0" t="s">
        <v>2486</v>
      </c>
      <c r="P1247" s="0" t="s">
        <v>5023</v>
      </c>
      <c r="Q1247" s="0" t="n">
        <v>23</v>
      </c>
      <c r="R1247" s="0" t="n">
        <v>23</v>
      </c>
      <c r="T1247" s="0" t="n">
        <v>2013</v>
      </c>
      <c r="U1247" s="0" t="s">
        <v>5000</v>
      </c>
      <c r="V1247" s="0" t="s">
        <v>103</v>
      </c>
      <c r="W1247" s="0" t="s">
        <v>5036</v>
      </c>
      <c r="X1247" s="0" t="s">
        <v>5034</v>
      </c>
      <c r="Y1247" s="0" t="s">
        <v>4159</v>
      </c>
      <c r="Z1247" s="0" t="s">
        <v>4160</v>
      </c>
      <c r="AA1247" s="0" t="s">
        <v>5037</v>
      </c>
      <c r="AB1247" s="0" t="s">
        <v>5027</v>
      </c>
      <c r="AC1247" s="0" t="s">
        <v>4162</v>
      </c>
      <c r="AD1247" s="0" t="s">
        <v>4163</v>
      </c>
      <c r="AE1247" s="0" t="s">
        <v>4164</v>
      </c>
      <c r="AF1247" s="0" t="s">
        <v>5028</v>
      </c>
      <c r="AH1247" s="0" t="s">
        <v>2239</v>
      </c>
      <c r="AL1247" s="0" t="s">
        <v>523</v>
      </c>
    </row>
    <row r="1248" customFormat="false" ht="15" hidden="false" customHeight="false" outlineLevel="0" collapsed="false">
      <c r="A1248" s="0" t="s">
        <v>1518</v>
      </c>
      <c r="B1248" s="0" t="s">
        <v>222</v>
      </c>
      <c r="C1248" s="0" t="s">
        <v>4357</v>
      </c>
      <c r="D1248" s="0" t="n">
        <v>2013</v>
      </c>
      <c r="E1248" s="0" t="s">
        <v>63</v>
      </c>
      <c r="F1248" s="0" t="n">
        <v>-9907</v>
      </c>
      <c r="G1248" s="0" t="s">
        <v>3101</v>
      </c>
      <c r="H1248" s="0" t="s">
        <v>3068</v>
      </c>
      <c r="I1248" s="0" t="n">
        <v>9907</v>
      </c>
      <c r="J1248" s="0" t="s">
        <v>4155</v>
      </c>
      <c r="K1248" s="0" t="s">
        <v>2756</v>
      </c>
      <c r="L1248" s="0" t="n">
        <v>2013</v>
      </c>
      <c r="M1248" s="0" t="s">
        <v>2015</v>
      </c>
      <c r="N1248" s="0" t="s">
        <v>223</v>
      </c>
      <c r="O1248" s="0" t="s">
        <v>2486</v>
      </c>
      <c r="P1248" s="0" t="s">
        <v>5023</v>
      </c>
      <c r="Q1248" s="0" t="n">
        <v>23</v>
      </c>
      <c r="R1248" s="0" t="n">
        <v>23</v>
      </c>
      <c r="S1248" s="0" t="n">
        <v>8</v>
      </c>
      <c r="T1248" s="0" t="n">
        <v>2013</v>
      </c>
      <c r="U1248" s="0" t="s">
        <v>5000</v>
      </c>
      <c r="V1248" s="0" t="s">
        <v>103</v>
      </c>
      <c r="W1248" s="0" t="s">
        <v>5038</v>
      </c>
      <c r="X1248" s="0" t="s">
        <v>5034</v>
      </c>
      <c r="Y1248" s="0" t="s">
        <v>4159</v>
      </c>
      <c r="Z1248" s="0" t="s">
        <v>4160</v>
      </c>
      <c r="AA1248" s="0" t="s">
        <v>5039</v>
      </c>
      <c r="AB1248" s="0" t="s">
        <v>5027</v>
      </c>
      <c r="AC1248" s="0" t="s">
        <v>4162</v>
      </c>
      <c r="AD1248" s="0" t="s">
        <v>4163</v>
      </c>
      <c r="AE1248" s="0" t="s">
        <v>4164</v>
      </c>
      <c r="AF1248" s="0" t="s">
        <v>5028</v>
      </c>
      <c r="AH1248" s="0" t="s">
        <v>4174</v>
      </c>
      <c r="AI1248" s="0" t="s">
        <v>5040</v>
      </c>
      <c r="AL1248" s="0" t="s">
        <v>523</v>
      </c>
    </row>
    <row r="1249" customFormat="false" ht="15" hidden="false" customHeight="false" outlineLevel="0" collapsed="false">
      <c r="A1249" s="0" t="s">
        <v>1513</v>
      </c>
      <c r="B1249" s="0" t="s">
        <v>222</v>
      </c>
      <c r="C1249" s="0" t="s">
        <v>4357</v>
      </c>
      <c r="D1249" s="0" t="n">
        <v>2013</v>
      </c>
      <c r="E1249" s="0" t="s">
        <v>58</v>
      </c>
      <c r="F1249" s="0" t="n">
        <v>235619</v>
      </c>
      <c r="G1249" s="0" t="s">
        <v>3101</v>
      </c>
      <c r="H1249" s="0" t="s">
        <v>3068</v>
      </c>
      <c r="I1249" s="0" t="n">
        <v>235619</v>
      </c>
      <c r="J1249" s="0" t="s">
        <v>4155</v>
      </c>
      <c r="K1249" s="0" t="s">
        <v>2756</v>
      </c>
      <c r="L1249" s="0" t="n">
        <v>2013</v>
      </c>
      <c r="M1249" s="0" t="s">
        <v>2015</v>
      </c>
      <c r="N1249" s="0" t="s">
        <v>223</v>
      </c>
      <c r="O1249" s="0" t="s">
        <v>2486</v>
      </c>
      <c r="P1249" s="0" t="s">
        <v>5023</v>
      </c>
      <c r="Q1249" s="0" t="n">
        <v>27</v>
      </c>
      <c r="R1249" s="0" t="n">
        <v>27</v>
      </c>
      <c r="T1249" s="0" t="n">
        <v>2013</v>
      </c>
      <c r="U1249" s="0" t="s">
        <v>5000</v>
      </c>
      <c r="V1249" s="0" t="s">
        <v>103</v>
      </c>
      <c r="W1249" s="0" t="s">
        <v>5041</v>
      </c>
      <c r="X1249" s="0" t="s">
        <v>5042</v>
      </c>
      <c r="Y1249" s="0" t="s">
        <v>4159</v>
      </c>
      <c r="Z1249" s="0" t="s">
        <v>4160</v>
      </c>
      <c r="AA1249" s="0" t="s">
        <v>5043</v>
      </c>
      <c r="AB1249" s="0" t="s">
        <v>5027</v>
      </c>
      <c r="AC1249" s="0" t="s">
        <v>4162</v>
      </c>
      <c r="AD1249" s="0" t="s">
        <v>4163</v>
      </c>
      <c r="AE1249" s="0" t="s">
        <v>4164</v>
      </c>
      <c r="AF1249" s="0" t="s">
        <v>5028</v>
      </c>
      <c r="AH1249" s="0" t="s">
        <v>2239</v>
      </c>
      <c r="AL1249" s="0" t="s">
        <v>523</v>
      </c>
    </row>
    <row r="1250" customFormat="false" ht="15" hidden="false" customHeight="false" outlineLevel="0" collapsed="false">
      <c r="A1250" s="0" t="s">
        <v>1515</v>
      </c>
      <c r="B1250" s="0" t="s">
        <v>222</v>
      </c>
      <c r="C1250" s="0" t="s">
        <v>4357</v>
      </c>
      <c r="D1250" s="0" t="n">
        <v>2013</v>
      </c>
      <c r="E1250" s="0" t="s">
        <v>60</v>
      </c>
      <c r="F1250" s="0" t="n">
        <v>1148378</v>
      </c>
      <c r="G1250" s="0" t="s">
        <v>3101</v>
      </c>
      <c r="H1250" s="0" t="s">
        <v>3068</v>
      </c>
      <c r="I1250" s="0" t="n">
        <v>1148378</v>
      </c>
      <c r="J1250" s="0" t="s">
        <v>4155</v>
      </c>
      <c r="K1250" s="0" t="s">
        <v>2756</v>
      </c>
      <c r="L1250" s="0" t="n">
        <v>2013</v>
      </c>
      <c r="M1250" s="0" t="s">
        <v>2015</v>
      </c>
      <c r="N1250" s="0" t="s">
        <v>223</v>
      </c>
      <c r="O1250" s="0" t="s">
        <v>2486</v>
      </c>
      <c r="P1250" s="0" t="s">
        <v>5023</v>
      </c>
      <c r="Q1250" s="0" t="n">
        <v>82</v>
      </c>
      <c r="R1250" s="0" t="n">
        <v>82</v>
      </c>
      <c r="S1250" s="0" t="n">
        <v>20</v>
      </c>
      <c r="T1250" s="0" t="n">
        <v>2013</v>
      </c>
      <c r="U1250" s="0" t="s">
        <v>5000</v>
      </c>
      <c r="V1250" s="0" t="s">
        <v>103</v>
      </c>
      <c r="W1250" s="0" t="s">
        <v>5044</v>
      </c>
      <c r="X1250" s="0" t="s">
        <v>5045</v>
      </c>
      <c r="Y1250" s="0" t="s">
        <v>4159</v>
      </c>
      <c r="Z1250" s="0" t="s">
        <v>4160</v>
      </c>
      <c r="AA1250" s="0" t="s">
        <v>5046</v>
      </c>
      <c r="AB1250" s="0" t="s">
        <v>5027</v>
      </c>
      <c r="AC1250" s="0" t="s">
        <v>4162</v>
      </c>
      <c r="AD1250" s="0" t="s">
        <v>4163</v>
      </c>
      <c r="AE1250" s="0" t="s">
        <v>4164</v>
      </c>
      <c r="AF1250" s="0" t="s">
        <v>5028</v>
      </c>
      <c r="AH1250" s="0" t="s">
        <v>2239</v>
      </c>
      <c r="AL1250" s="0" t="s">
        <v>523</v>
      </c>
    </row>
    <row r="1251" customFormat="false" ht="15" hidden="false" customHeight="false" outlineLevel="0" collapsed="false">
      <c r="A1251" s="0" t="s">
        <v>1516</v>
      </c>
      <c r="B1251" s="0" t="s">
        <v>222</v>
      </c>
      <c r="C1251" s="0" t="s">
        <v>4357</v>
      </c>
      <c r="D1251" s="0" t="n">
        <v>2013</v>
      </c>
      <c r="E1251" s="0" t="s">
        <v>61</v>
      </c>
      <c r="F1251" s="0" t="n">
        <v>-21819</v>
      </c>
      <c r="G1251" s="0" t="s">
        <v>3101</v>
      </c>
      <c r="H1251" s="0" t="s">
        <v>3068</v>
      </c>
      <c r="I1251" s="0" t="n">
        <v>21819</v>
      </c>
      <c r="J1251" s="0" t="s">
        <v>4155</v>
      </c>
      <c r="K1251" s="0" t="s">
        <v>2756</v>
      </c>
      <c r="L1251" s="0" t="n">
        <v>2013</v>
      </c>
      <c r="M1251" s="0" t="s">
        <v>2015</v>
      </c>
      <c r="N1251" s="0" t="s">
        <v>223</v>
      </c>
      <c r="O1251" s="0" t="s">
        <v>2486</v>
      </c>
      <c r="P1251" s="0" t="s">
        <v>5023</v>
      </c>
      <c r="Q1251" s="0" t="n">
        <v>82</v>
      </c>
      <c r="R1251" s="0" t="n">
        <v>82</v>
      </c>
      <c r="S1251" s="0" t="n">
        <v>20</v>
      </c>
      <c r="T1251" s="0" t="n">
        <v>2013</v>
      </c>
      <c r="U1251" s="0" t="s">
        <v>5000</v>
      </c>
      <c r="V1251" s="0" t="s">
        <v>103</v>
      </c>
      <c r="W1251" s="0" t="s">
        <v>5047</v>
      </c>
      <c r="X1251" s="0" t="s">
        <v>5045</v>
      </c>
      <c r="Y1251" s="0" t="s">
        <v>4159</v>
      </c>
      <c r="Z1251" s="0" t="s">
        <v>4160</v>
      </c>
      <c r="AA1251" s="0" t="s">
        <v>5048</v>
      </c>
      <c r="AB1251" s="0" t="s">
        <v>5027</v>
      </c>
      <c r="AC1251" s="0" t="s">
        <v>4162</v>
      </c>
      <c r="AD1251" s="0" t="s">
        <v>4163</v>
      </c>
      <c r="AE1251" s="0" t="s">
        <v>4164</v>
      </c>
      <c r="AF1251" s="0" t="s">
        <v>5028</v>
      </c>
      <c r="AH1251" s="0" t="s">
        <v>4174</v>
      </c>
      <c r="AI1251" s="0" t="s">
        <v>5040</v>
      </c>
      <c r="AL1251" s="0" t="s">
        <v>523</v>
      </c>
    </row>
    <row r="1252" customFormat="false" ht="15" hidden="false" customHeight="false" outlineLevel="0" collapsed="false">
      <c r="A1252" s="0" t="s">
        <v>1524</v>
      </c>
      <c r="B1252" s="0" t="s">
        <v>222</v>
      </c>
      <c r="C1252" s="0" t="s">
        <v>4357</v>
      </c>
      <c r="D1252" s="0" t="n">
        <v>2013</v>
      </c>
      <c r="E1252" s="0" t="s">
        <v>543</v>
      </c>
      <c r="F1252" s="0" t="n">
        <v>-5600</v>
      </c>
      <c r="G1252" s="0" t="s">
        <v>3101</v>
      </c>
      <c r="H1252" s="0" t="s">
        <v>3068</v>
      </c>
      <c r="I1252" s="0" t="n">
        <v>5600</v>
      </c>
      <c r="J1252" s="0" t="s">
        <v>4155</v>
      </c>
      <c r="K1252" s="0" t="s">
        <v>2756</v>
      </c>
      <c r="L1252" s="0" t="n">
        <v>2013</v>
      </c>
      <c r="M1252" s="0" t="s">
        <v>2015</v>
      </c>
      <c r="N1252" s="0" t="s">
        <v>223</v>
      </c>
      <c r="O1252" s="0" t="s">
        <v>2486</v>
      </c>
      <c r="P1252" s="0" t="s">
        <v>5023</v>
      </c>
      <c r="Q1252" s="0" t="n">
        <v>82</v>
      </c>
      <c r="R1252" s="0" t="n">
        <v>82</v>
      </c>
      <c r="S1252" s="0" t="n">
        <v>20</v>
      </c>
      <c r="T1252" s="0" t="n">
        <v>2013</v>
      </c>
      <c r="U1252" s="0" t="s">
        <v>5000</v>
      </c>
      <c r="V1252" s="0" t="s">
        <v>103</v>
      </c>
      <c r="W1252" s="0" t="s">
        <v>5049</v>
      </c>
      <c r="X1252" s="0" t="s">
        <v>5045</v>
      </c>
      <c r="Y1252" s="0" t="s">
        <v>4159</v>
      </c>
      <c r="Z1252" s="0" t="s">
        <v>4160</v>
      </c>
      <c r="AA1252" s="0" t="s">
        <v>5050</v>
      </c>
      <c r="AB1252" s="0" t="s">
        <v>5027</v>
      </c>
      <c r="AC1252" s="0" t="s">
        <v>4162</v>
      </c>
      <c r="AD1252" s="0" t="s">
        <v>4163</v>
      </c>
      <c r="AE1252" s="0" t="s">
        <v>4164</v>
      </c>
      <c r="AF1252" s="0" t="s">
        <v>5028</v>
      </c>
      <c r="AH1252" s="0" t="s">
        <v>4174</v>
      </c>
      <c r="AI1252" s="0" t="s">
        <v>5040</v>
      </c>
      <c r="AL1252" s="0" t="s">
        <v>523</v>
      </c>
    </row>
    <row r="1253" customFormat="false" ht="15" hidden="false" customHeight="false" outlineLevel="0" collapsed="false">
      <c r="A1253" s="0" t="s">
        <v>1525</v>
      </c>
      <c r="B1253" s="0" t="s">
        <v>222</v>
      </c>
      <c r="C1253" s="0" t="s">
        <v>4357</v>
      </c>
      <c r="D1253" s="0" t="n">
        <v>2013</v>
      </c>
      <c r="E1253" s="0" t="s">
        <v>545</v>
      </c>
      <c r="F1253" s="0" t="n">
        <v>-16219</v>
      </c>
      <c r="G1253" s="0" t="s">
        <v>3101</v>
      </c>
      <c r="H1253" s="0" t="s">
        <v>3068</v>
      </c>
      <c r="I1253" s="0" t="n">
        <v>16219</v>
      </c>
      <c r="J1253" s="0" t="s">
        <v>4155</v>
      </c>
      <c r="K1253" s="0" t="s">
        <v>2756</v>
      </c>
      <c r="L1253" s="0" t="n">
        <v>2013</v>
      </c>
      <c r="M1253" s="0" t="s">
        <v>2015</v>
      </c>
      <c r="N1253" s="0" t="s">
        <v>223</v>
      </c>
      <c r="O1253" s="0" t="s">
        <v>2486</v>
      </c>
      <c r="P1253" s="0" t="s">
        <v>5023</v>
      </c>
      <c r="Q1253" s="0" t="n">
        <v>82</v>
      </c>
      <c r="R1253" s="0" t="n">
        <v>82</v>
      </c>
      <c r="S1253" s="0" t="n">
        <v>20</v>
      </c>
      <c r="T1253" s="0" t="n">
        <v>2013</v>
      </c>
      <c r="U1253" s="0" t="s">
        <v>5000</v>
      </c>
      <c r="V1253" s="0" t="s">
        <v>103</v>
      </c>
      <c r="W1253" s="0" t="s">
        <v>5051</v>
      </c>
      <c r="X1253" s="0" t="s">
        <v>5045</v>
      </c>
      <c r="Y1253" s="0" t="s">
        <v>4159</v>
      </c>
      <c r="Z1253" s="0" t="s">
        <v>4160</v>
      </c>
      <c r="AA1253" s="0" t="s">
        <v>5052</v>
      </c>
      <c r="AB1253" s="0" t="s">
        <v>5027</v>
      </c>
      <c r="AC1253" s="0" t="s">
        <v>4162</v>
      </c>
      <c r="AD1253" s="0" t="s">
        <v>4163</v>
      </c>
      <c r="AE1253" s="0" t="s">
        <v>4164</v>
      </c>
      <c r="AF1253" s="0" t="s">
        <v>5028</v>
      </c>
      <c r="AH1253" s="0" t="s">
        <v>4174</v>
      </c>
      <c r="AI1253" s="0" t="s">
        <v>5040</v>
      </c>
      <c r="AL1253" s="0" t="s">
        <v>523</v>
      </c>
    </row>
    <row r="1254" customFormat="false" ht="15" hidden="false" customHeight="false" outlineLevel="0" collapsed="false">
      <c r="A1254" s="0" t="s">
        <v>1517</v>
      </c>
      <c r="B1254" s="0" t="s">
        <v>222</v>
      </c>
      <c r="C1254" s="0" t="s">
        <v>4357</v>
      </c>
      <c r="D1254" s="0" t="n">
        <v>2013</v>
      </c>
      <c r="E1254" s="0" t="s">
        <v>62</v>
      </c>
      <c r="F1254" s="0" t="n">
        <v>1126559</v>
      </c>
      <c r="G1254" s="0" t="s">
        <v>3101</v>
      </c>
      <c r="H1254" s="0" t="s">
        <v>3068</v>
      </c>
      <c r="I1254" s="0" t="n">
        <v>1126559</v>
      </c>
      <c r="J1254" s="0" t="s">
        <v>4155</v>
      </c>
      <c r="K1254" s="0" t="s">
        <v>2756</v>
      </c>
      <c r="L1254" s="0" t="n">
        <v>2013</v>
      </c>
      <c r="M1254" s="0" t="s">
        <v>2015</v>
      </c>
      <c r="N1254" s="0" t="s">
        <v>223</v>
      </c>
      <c r="O1254" s="0" t="s">
        <v>2486</v>
      </c>
      <c r="P1254" s="0" t="s">
        <v>5023</v>
      </c>
      <c r="Q1254" s="0" t="n">
        <v>82</v>
      </c>
      <c r="R1254" s="0" t="n">
        <v>82</v>
      </c>
      <c r="S1254" s="0" t="n">
        <v>20</v>
      </c>
      <c r="T1254" s="0" t="n">
        <v>2013</v>
      </c>
      <c r="U1254" s="0" t="s">
        <v>5000</v>
      </c>
      <c r="V1254" s="0" t="s">
        <v>103</v>
      </c>
      <c r="W1254" s="0" t="s">
        <v>5053</v>
      </c>
      <c r="X1254" s="0" t="s">
        <v>5045</v>
      </c>
      <c r="Y1254" s="0" t="s">
        <v>4159</v>
      </c>
      <c r="Z1254" s="0" t="s">
        <v>4160</v>
      </c>
      <c r="AA1254" s="0" t="s">
        <v>5054</v>
      </c>
      <c r="AB1254" s="0" t="s">
        <v>5027</v>
      </c>
      <c r="AC1254" s="0" t="s">
        <v>4162</v>
      </c>
      <c r="AD1254" s="0" t="s">
        <v>4163</v>
      </c>
      <c r="AE1254" s="0" t="s">
        <v>4164</v>
      </c>
      <c r="AF1254" s="0" t="s">
        <v>5028</v>
      </c>
      <c r="AH1254" s="0" t="s">
        <v>2239</v>
      </c>
      <c r="AL1254" s="0" t="s">
        <v>523</v>
      </c>
    </row>
    <row r="1255" customFormat="false" ht="15" hidden="false" customHeight="false" outlineLevel="0" collapsed="false">
      <c r="A1255" s="0" t="s">
        <v>1520</v>
      </c>
      <c r="B1255" s="0" t="s">
        <v>222</v>
      </c>
      <c r="C1255" s="0" t="s">
        <v>4357</v>
      </c>
      <c r="D1255" s="0" t="n">
        <v>2013</v>
      </c>
      <c r="E1255" s="0" t="s">
        <v>65</v>
      </c>
      <c r="F1255" s="0" t="n">
        <v>470919</v>
      </c>
      <c r="G1255" s="0" t="s">
        <v>3101</v>
      </c>
      <c r="H1255" s="0" t="s">
        <v>3068</v>
      </c>
      <c r="I1255" s="0" t="n">
        <v>470919</v>
      </c>
      <c r="J1255" s="0" t="s">
        <v>4155</v>
      </c>
      <c r="K1255" s="0" t="s">
        <v>2756</v>
      </c>
      <c r="L1255" s="0" t="n">
        <v>2013</v>
      </c>
      <c r="M1255" s="0" t="s">
        <v>2015</v>
      </c>
      <c r="N1255" s="0" t="s">
        <v>223</v>
      </c>
      <c r="O1255" s="0" t="s">
        <v>2486</v>
      </c>
      <c r="P1255" s="0" t="s">
        <v>5023</v>
      </c>
      <c r="Q1255" s="0" t="n">
        <v>66</v>
      </c>
      <c r="R1255" s="0" t="n">
        <v>66</v>
      </c>
      <c r="S1255" s="0" t="n">
        <v>3.5</v>
      </c>
      <c r="T1255" s="0" t="n">
        <v>2013</v>
      </c>
      <c r="U1255" s="0" t="s">
        <v>5000</v>
      </c>
      <c r="V1255" s="0" t="s">
        <v>103</v>
      </c>
      <c r="W1255" s="0" t="s">
        <v>5055</v>
      </c>
      <c r="X1255" s="0" t="s">
        <v>5056</v>
      </c>
      <c r="Y1255" s="0" t="s">
        <v>4159</v>
      </c>
      <c r="Z1255" s="0" t="s">
        <v>4160</v>
      </c>
      <c r="AA1255" s="0" t="s">
        <v>5057</v>
      </c>
      <c r="AB1255" s="0" t="s">
        <v>5027</v>
      </c>
      <c r="AC1255" s="0" t="s">
        <v>4162</v>
      </c>
      <c r="AD1255" s="0" t="s">
        <v>4163</v>
      </c>
      <c r="AE1255" s="0" t="s">
        <v>4164</v>
      </c>
      <c r="AF1255" s="0" t="s">
        <v>5028</v>
      </c>
      <c r="AH1255" s="0" t="s">
        <v>2239</v>
      </c>
      <c r="AL1255" s="0" t="s">
        <v>523</v>
      </c>
    </row>
    <row r="1256" customFormat="false" ht="15" hidden="false" customHeight="false" outlineLevel="0" collapsed="false">
      <c r="A1256" s="0" t="s">
        <v>1521</v>
      </c>
      <c r="B1256" s="0" t="s">
        <v>222</v>
      </c>
      <c r="C1256" s="0" t="s">
        <v>4357</v>
      </c>
      <c r="D1256" s="0" t="n">
        <v>2013</v>
      </c>
      <c r="E1256" s="0" t="s">
        <v>66</v>
      </c>
      <c r="F1256" s="0" t="n">
        <v>1796099</v>
      </c>
      <c r="G1256" s="0" t="s">
        <v>3101</v>
      </c>
      <c r="H1256" s="0" t="s">
        <v>3068</v>
      </c>
      <c r="I1256" s="0" t="n">
        <v>1796099</v>
      </c>
      <c r="J1256" s="0" t="s">
        <v>4155</v>
      </c>
      <c r="K1256" s="0" t="s">
        <v>2756</v>
      </c>
      <c r="L1256" s="0" t="n">
        <v>2013</v>
      </c>
      <c r="M1256" s="0" t="s">
        <v>2015</v>
      </c>
      <c r="N1256" s="0" t="s">
        <v>223</v>
      </c>
      <c r="O1256" s="0" t="s">
        <v>2486</v>
      </c>
      <c r="P1256" s="0" t="s">
        <v>5023</v>
      </c>
      <c r="Q1256" s="0" t="n">
        <v>66</v>
      </c>
      <c r="R1256" s="0" t="n">
        <v>66</v>
      </c>
      <c r="S1256" s="0" t="n">
        <v>3.5</v>
      </c>
      <c r="T1256" s="0" t="n">
        <v>2013</v>
      </c>
      <c r="U1256" s="0" t="s">
        <v>5000</v>
      </c>
      <c r="V1256" s="0" t="s">
        <v>103</v>
      </c>
      <c r="W1256" s="0" t="s">
        <v>5058</v>
      </c>
      <c r="X1256" s="0" t="s">
        <v>5056</v>
      </c>
      <c r="Y1256" s="0" t="s">
        <v>4159</v>
      </c>
      <c r="Z1256" s="0" t="s">
        <v>4160</v>
      </c>
      <c r="AA1256" s="0" t="s">
        <v>5059</v>
      </c>
      <c r="AB1256" s="0" t="s">
        <v>5027</v>
      </c>
      <c r="AC1256" s="0" t="s">
        <v>4162</v>
      </c>
      <c r="AD1256" s="0" t="s">
        <v>4163</v>
      </c>
      <c r="AE1256" s="0" t="s">
        <v>4164</v>
      </c>
      <c r="AF1256" s="0" t="s">
        <v>5028</v>
      </c>
      <c r="AH1256" s="0" t="s">
        <v>2239</v>
      </c>
      <c r="AL1256" s="0" t="s">
        <v>523</v>
      </c>
    </row>
    <row r="1257" customFormat="false" ht="15" hidden="false" customHeight="false" outlineLevel="0" collapsed="false">
      <c r="A1257" s="0" t="s">
        <v>1519</v>
      </c>
      <c r="B1257" s="0" t="s">
        <v>222</v>
      </c>
      <c r="C1257" s="0" t="s">
        <v>4357</v>
      </c>
      <c r="D1257" s="0" t="n">
        <v>2013</v>
      </c>
      <c r="E1257" s="0" t="s">
        <v>69</v>
      </c>
      <c r="F1257" s="0" t="s">
        <v>4457</v>
      </c>
      <c r="G1257" s="0" t="s">
        <v>3143</v>
      </c>
      <c r="I1257" s="0" t="n">
        <v>26</v>
      </c>
      <c r="J1257" s="0" t="s">
        <v>4155</v>
      </c>
      <c r="K1257" s="0" t="s">
        <v>2756</v>
      </c>
      <c r="L1257" s="0" t="n">
        <v>2013</v>
      </c>
      <c r="M1257" s="0" t="s">
        <v>2015</v>
      </c>
      <c r="N1257" s="0" t="s">
        <v>223</v>
      </c>
      <c r="O1257" s="0" t="s">
        <v>2486</v>
      </c>
      <c r="P1257" s="0" t="s">
        <v>5023</v>
      </c>
      <c r="Q1257" s="0" t="n">
        <v>66</v>
      </c>
      <c r="R1257" s="0" t="n">
        <v>66</v>
      </c>
      <c r="S1257" s="0" t="n">
        <v>3.5</v>
      </c>
      <c r="T1257" s="0" t="n">
        <v>2013</v>
      </c>
      <c r="U1257" s="0" t="s">
        <v>5000</v>
      </c>
      <c r="V1257" s="0" t="s">
        <v>103</v>
      </c>
      <c r="W1257" s="0" t="s">
        <v>5060</v>
      </c>
      <c r="X1257" s="0" t="s">
        <v>5056</v>
      </c>
      <c r="Y1257" s="0" t="s">
        <v>4159</v>
      </c>
      <c r="Z1257" s="0" t="s">
        <v>4160</v>
      </c>
      <c r="AA1257" s="0" t="s">
        <v>5061</v>
      </c>
      <c r="AB1257" s="0" t="s">
        <v>5027</v>
      </c>
      <c r="AC1257" s="0" t="s">
        <v>4162</v>
      </c>
      <c r="AD1257" s="0" t="s">
        <v>4163</v>
      </c>
      <c r="AE1257" s="0" t="s">
        <v>4164</v>
      </c>
      <c r="AF1257" s="0" t="s">
        <v>5028</v>
      </c>
      <c r="AH1257" s="0" t="s">
        <v>2239</v>
      </c>
      <c r="AL1257" s="0" t="s">
        <v>523</v>
      </c>
    </row>
    <row r="1258" customFormat="false" ht="15" hidden="false" customHeight="false" outlineLevel="0" collapsed="false">
      <c r="A1258" s="0" t="s">
        <v>1522</v>
      </c>
      <c r="B1258" s="0" t="s">
        <v>222</v>
      </c>
      <c r="C1258" s="0" t="s">
        <v>4357</v>
      </c>
      <c r="D1258" s="0" t="n">
        <v>2013</v>
      </c>
      <c r="E1258" s="0" t="s">
        <v>73</v>
      </c>
      <c r="F1258" s="0" t="n">
        <v>0</v>
      </c>
      <c r="G1258" s="0" t="s">
        <v>4257</v>
      </c>
      <c r="I1258" s="0" t="n">
        <v>0</v>
      </c>
      <c r="J1258" s="0" t="s">
        <v>5062</v>
      </c>
      <c r="K1258" s="0" t="s">
        <v>2756</v>
      </c>
      <c r="L1258" s="0" t="n">
        <v>2013</v>
      </c>
      <c r="M1258" s="0" t="s">
        <v>2015</v>
      </c>
      <c r="N1258" s="0" t="s">
        <v>223</v>
      </c>
      <c r="O1258" s="0" t="s">
        <v>2486</v>
      </c>
      <c r="P1258" s="0" t="s">
        <v>5023</v>
      </c>
      <c r="Q1258" s="0" t="n">
        <v>21</v>
      </c>
      <c r="R1258" s="0" t="n">
        <v>21</v>
      </c>
      <c r="T1258" s="0" t="s">
        <v>5063</v>
      </c>
      <c r="U1258" s="0" t="s">
        <v>5000</v>
      </c>
      <c r="V1258" s="0" t="s">
        <v>103</v>
      </c>
      <c r="W1258" s="0" t="s">
        <v>4803</v>
      </c>
      <c r="X1258" s="0" t="s">
        <v>5064</v>
      </c>
      <c r="Y1258" s="0" t="s">
        <v>4212</v>
      </c>
      <c r="Z1258" s="0" t="s">
        <v>4160</v>
      </c>
      <c r="AA1258" s="0" t="s">
        <v>5065</v>
      </c>
      <c r="AB1258" s="0" t="s">
        <v>5027</v>
      </c>
      <c r="AC1258" s="0" t="s">
        <v>4162</v>
      </c>
      <c r="AD1258" s="0" t="s">
        <v>4163</v>
      </c>
      <c r="AE1258" s="0" t="s">
        <v>4164</v>
      </c>
      <c r="AF1258" s="0" t="s">
        <v>5028</v>
      </c>
      <c r="AG1258" s="0" t="s">
        <v>1828</v>
      </c>
      <c r="AH1258" s="0" t="s">
        <v>2239</v>
      </c>
      <c r="AL1258" s="0" t="s">
        <v>539</v>
      </c>
    </row>
    <row r="1259" customFormat="false" ht="15" hidden="false" customHeight="false" outlineLevel="0" collapsed="false">
      <c r="A1259" s="0" t="s">
        <v>526</v>
      </c>
      <c r="B1259" s="0" t="s">
        <v>77</v>
      </c>
      <c r="C1259" s="0" t="s">
        <v>5066</v>
      </c>
      <c r="D1259" s="0" t="n">
        <v>2015</v>
      </c>
      <c r="E1259" s="0" t="s">
        <v>55</v>
      </c>
      <c r="F1259" s="0" t="n">
        <v>2411944061</v>
      </c>
      <c r="G1259" s="0" t="s">
        <v>3067</v>
      </c>
      <c r="H1259" s="0" t="s">
        <v>3068</v>
      </c>
      <c r="I1259" s="0" t="n">
        <v>2411944.061</v>
      </c>
      <c r="J1259" s="0" t="s">
        <v>4155</v>
      </c>
      <c r="K1259" s="0" t="s">
        <v>2668</v>
      </c>
      <c r="L1259" s="0" t="n">
        <v>2015</v>
      </c>
      <c r="M1259" s="0" t="s">
        <v>2025</v>
      </c>
      <c r="N1259" s="0" t="s">
        <v>83</v>
      </c>
      <c r="O1259" s="0" t="s">
        <v>2489</v>
      </c>
      <c r="P1259" s="0" t="s">
        <v>5067</v>
      </c>
      <c r="Q1259" s="0" t="n">
        <v>105</v>
      </c>
      <c r="R1259" s="0" t="n">
        <v>103</v>
      </c>
      <c r="T1259" s="0" t="s">
        <v>5068</v>
      </c>
      <c r="U1259" s="0" t="s">
        <v>4808</v>
      </c>
      <c r="V1259" s="0" t="s">
        <v>84</v>
      </c>
      <c r="W1259" s="0" t="s">
        <v>5069</v>
      </c>
      <c r="X1259" s="0" t="s">
        <v>5070</v>
      </c>
      <c r="Y1259" s="0" t="s">
        <v>4159</v>
      </c>
      <c r="Z1259" s="0" t="s">
        <v>4160</v>
      </c>
      <c r="AA1259" s="0" t="s">
        <v>5071</v>
      </c>
      <c r="AB1259" s="0" t="s">
        <v>5072</v>
      </c>
      <c r="AC1259" s="0" t="s">
        <v>4162</v>
      </c>
      <c r="AD1259" s="0" t="s">
        <v>4163</v>
      </c>
      <c r="AE1259" s="0" t="s">
        <v>4164</v>
      </c>
      <c r="AF1259" s="0" t="s">
        <v>5073</v>
      </c>
      <c r="AH1259" s="0" t="s">
        <v>2239</v>
      </c>
      <c r="AL1259" s="0" t="s">
        <v>523</v>
      </c>
    </row>
    <row r="1260" customFormat="false" ht="15" hidden="false" customHeight="false" outlineLevel="0" collapsed="false">
      <c r="A1260" s="0" t="s">
        <v>527</v>
      </c>
      <c r="B1260" s="0" t="s">
        <v>77</v>
      </c>
      <c r="C1260" s="0" t="s">
        <v>5066</v>
      </c>
      <c r="D1260" s="0" t="n">
        <v>2015</v>
      </c>
      <c r="E1260" s="0" t="s">
        <v>56</v>
      </c>
      <c r="F1260" s="0" t="n">
        <v>2051515157</v>
      </c>
      <c r="G1260" s="0" t="s">
        <v>3067</v>
      </c>
      <c r="H1260" s="0" t="s">
        <v>3068</v>
      </c>
      <c r="I1260" s="0" t="n">
        <v>2051515.157</v>
      </c>
      <c r="J1260" s="0" t="s">
        <v>4155</v>
      </c>
      <c r="K1260" s="0" t="s">
        <v>2668</v>
      </c>
      <c r="L1260" s="0" t="n">
        <v>2015</v>
      </c>
      <c r="M1260" s="0" t="s">
        <v>2025</v>
      </c>
      <c r="N1260" s="0" t="s">
        <v>83</v>
      </c>
      <c r="O1260" s="0" t="s">
        <v>2489</v>
      </c>
      <c r="P1260" s="0" t="s">
        <v>5067</v>
      </c>
      <c r="Q1260" s="0" t="n">
        <v>105</v>
      </c>
      <c r="R1260" s="0" t="n">
        <v>103</v>
      </c>
      <c r="T1260" s="0" t="s">
        <v>5068</v>
      </c>
      <c r="U1260" s="0" t="s">
        <v>4808</v>
      </c>
      <c r="V1260" s="0" t="s">
        <v>84</v>
      </c>
      <c r="W1260" s="0" t="s">
        <v>5074</v>
      </c>
      <c r="X1260" s="0" t="s">
        <v>5070</v>
      </c>
      <c r="Y1260" s="0" t="s">
        <v>4159</v>
      </c>
      <c r="Z1260" s="0" t="s">
        <v>4160</v>
      </c>
      <c r="AA1260" s="0" t="s">
        <v>5075</v>
      </c>
      <c r="AB1260" s="0" t="s">
        <v>5072</v>
      </c>
      <c r="AC1260" s="0" t="s">
        <v>4162</v>
      </c>
      <c r="AD1260" s="0" t="s">
        <v>4163</v>
      </c>
      <c r="AE1260" s="0" t="s">
        <v>4164</v>
      </c>
      <c r="AF1260" s="0" t="s">
        <v>5073</v>
      </c>
      <c r="AH1260" s="0" t="s">
        <v>2239</v>
      </c>
      <c r="AL1260" s="0" t="s">
        <v>523</v>
      </c>
    </row>
    <row r="1261" customFormat="false" ht="15" hidden="false" customHeight="false" outlineLevel="0" collapsed="false">
      <c r="A1261" s="0" t="s">
        <v>528</v>
      </c>
      <c r="B1261" s="0" t="s">
        <v>77</v>
      </c>
      <c r="C1261" s="0" t="s">
        <v>5066</v>
      </c>
      <c r="D1261" s="0" t="n">
        <v>2015</v>
      </c>
      <c r="E1261" s="0" t="s">
        <v>57</v>
      </c>
      <c r="F1261" s="0" t="n">
        <v>360428904</v>
      </c>
      <c r="G1261" s="0" t="s">
        <v>3067</v>
      </c>
      <c r="H1261" s="0" t="s">
        <v>3068</v>
      </c>
      <c r="I1261" s="0" t="n">
        <v>360428.904</v>
      </c>
      <c r="J1261" s="0" t="s">
        <v>4155</v>
      </c>
      <c r="K1261" s="0" t="s">
        <v>2668</v>
      </c>
      <c r="L1261" s="0" t="n">
        <v>2015</v>
      </c>
      <c r="M1261" s="0" t="s">
        <v>2025</v>
      </c>
      <c r="N1261" s="0" t="s">
        <v>83</v>
      </c>
      <c r="O1261" s="0" t="s">
        <v>2489</v>
      </c>
      <c r="P1261" s="0" t="s">
        <v>5067</v>
      </c>
      <c r="Q1261" s="0" t="n">
        <v>105</v>
      </c>
      <c r="R1261" s="0" t="n">
        <v>103</v>
      </c>
      <c r="T1261" s="0" t="s">
        <v>5068</v>
      </c>
      <c r="U1261" s="0" t="s">
        <v>4808</v>
      </c>
      <c r="V1261" s="0" t="s">
        <v>84</v>
      </c>
      <c r="W1261" s="0" t="s">
        <v>5076</v>
      </c>
      <c r="X1261" s="0" t="s">
        <v>5070</v>
      </c>
      <c r="Y1261" s="0" t="s">
        <v>4159</v>
      </c>
      <c r="Z1261" s="0" t="s">
        <v>4160</v>
      </c>
      <c r="AA1261" s="0" t="s">
        <v>5077</v>
      </c>
      <c r="AB1261" s="0" t="s">
        <v>5072</v>
      </c>
      <c r="AC1261" s="0" t="s">
        <v>4162</v>
      </c>
      <c r="AD1261" s="0" t="s">
        <v>4163</v>
      </c>
      <c r="AE1261" s="0" t="s">
        <v>4164</v>
      </c>
      <c r="AF1261" s="0" t="s">
        <v>5073</v>
      </c>
      <c r="AH1261" s="0" t="s">
        <v>2239</v>
      </c>
      <c r="AL1261" s="0" t="s">
        <v>523</v>
      </c>
    </row>
    <row r="1262" customFormat="false" ht="15" hidden="false" customHeight="false" outlineLevel="0" collapsed="false">
      <c r="A1262" s="0" t="s">
        <v>525</v>
      </c>
      <c r="B1262" s="0" t="s">
        <v>77</v>
      </c>
      <c r="C1262" s="0" t="s">
        <v>5066</v>
      </c>
      <c r="D1262" s="0" t="n">
        <v>2015</v>
      </c>
      <c r="E1262" s="0" t="s">
        <v>54</v>
      </c>
      <c r="F1262" s="0" t="n">
        <v>58924745</v>
      </c>
      <c r="G1262" s="0" t="s">
        <v>3067</v>
      </c>
      <c r="H1262" s="0" t="s">
        <v>3068</v>
      </c>
      <c r="I1262" s="0" t="n">
        <v>58924.745</v>
      </c>
      <c r="J1262" s="0" t="s">
        <v>4155</v>
      </c>
      <c r="K1262" s="0" t="s">
        <v>2668</v>
      </c>
      <c r="L1262" s="0" t="n">
        <v>2015</v>
      </c>
      <c r="M1262" s="0" t="s">
        <v>2025</v>
      </c>
      <c r="N1262" s="0" t="s">
        <v>83</v>
      </c>
      <c r="O1262" s="0" t="s">
        <v>2489</v>
      </c>
      <c r="P1262" s="0" t="s">
        <v>5067</v>
      </c>
      <c r="Q1262" s="0" t="n">
        <v>104</v>
      </c>
      <c r="R1262" s="0" t="n">
        <v>102</v>
      </c>
      <c r="T1262" s="0" t="s">
        <v>5068</v>
      </c>
      <c r="U1262" s="0" t="s">
        <v>4808</v>
      </c>
      <c r="V1262" s="0" t="s">
        <v>84</v>
      </c>
      <c r="W1262" s="0" t="s">
        <v>5078</v>
      </c>
      <c r="X1262" s="0" t="s">
        <v>5079</v>
      </c>
      <c r="Y1262" s="0" t="s">
        <v>4159</v>
      </c>
      <c r="Z1262" s="0" t="s">
        <v>4160</v>
      </c>
      <c r="AA1262" s="0" t="s">
        <v>5080</v>
      </c>
      <c r="AB1262" s="0" t="s">
        <v>5072</v>
      </c>
      <c r="AC1262" s="0" t="s">
        <v>4162</v>
      </c>
      <c r="AD1262" s="0" t="s">
        <v>4163</v>
      </c>
      <c r="AE1262" s="0" t="s">
        <v>4164</v>
      </c>
      <c r="AF1262" s="0" t="s">
        <v>5073</v>
      </c>
      <c r="AH1262" s="0" t="s">
        <v>2239</v>
      </c>
      <c r="AL1262" s="0" t="s">
        <v>523</v>
      </c>
    </row>
    <row r="1263" customFormat="false" ht="15" hidden="false" customHeight="false" outlineLevel="0" collapsed="false">
      <c r="A1263" s="0" t="s">
        <v>542</v>
      </c>
      <c r="B1263" s="0" t="s">
        <v>77</v>
      </c>
      <c r="C1263" s="0" t="s">
        <v>5066</v>
      </c>
      <c r="D1263" s="0" t="n">
        <v>2015</v>
      </c>
      <c r="E1263" s="0" t="s">
        <v>541</v>
      </c>
      <c r="F1263" s="0" t="n">
        <v>65177914</v>
      </c>
      <c r="G1263" s="0" t="s">
        <v>3067</v>
      </c>
      <c r="H1263" s="0" t="s">
        <v>3068</v>
      </c>
      <c r="I1263" s="0" t="n">
        <v>65177.914</v>
      </c>
      <c r="J1263" s="0" t="s">
        <v>4155</v>
      </c>
      <c r="K1263" s="0" t="s">
        <v>2668</v>
      </c>
      <c r="L1263" s="0" t="n">
        <v>2015</v>
      </c>
      <c r="M1263" s="0" t="s">
        <v>2025</v>
      </c>
      <c r="N1263" s="0" t="s">
        <v>83</v>
      </c>
      <c r="O1263" s="0" t="s">
        <v>2489</v>
      </c>
      <c r="P1263" s="0" t="s">
        <v>5067</v>
      </c>
      <c r="Q1263" s="0" t="n">
        <v>104</v>
      </c>
      <c r="R1263" s="0" t="n">
        <v>102</v>
      </c>
      <c r="T1263" s="0" t="s">
        <v>5068</v>
      </c>
      <c r="U1263" s="0" t="s">
        <v>4808</v>
      </c>
      <c r="V1263" s="0" t="s">
        <v>84</v>
      </c>
      <c r="W1263" s="0" t="s">
        <v>5081</v>
      </c>
      <c r="X1263" s="0" t="s">
        <v>5079</v>
      </c>
      <c r="Y1263" s="0" t="s">
        <v>4159</v>
      </c>
      <c r="Z1263" s="0" t="s">
        <v>4160</v>
      </c>
      <c r="AA1263" s="0" t="s">
        <v>5082</v>
      </c>
      <c r="AB1263" s="0" t="s">
        <v>5072</v>
      </c>
      <c r="AC1263" s="0" t="s">
        <v>4162</v>
      </c>
      <c r="AD1263" s="0" t="s">
        <v>4163</v>
      </c>
      <c r="AE1263" s="0" t="s">
        <v>4164</v>
      </c>
      <c r="AF1263" s="0" t="s">
        <v>5073</v>
      </c>
      <c r="AH1263" s="0" t="s">
        <v>2239</v>
      </c>
      <c r="AL1263" s="0" t="s">
        <v>523</v>
      </c>
    </row>
    <row r="1264" customFormat="false" ht="15" hidden="false" customHeight="false" outlineLevel="0" collapsed="false">
      <c r="A1264" s="0" t="s">
        <v>529</v>
      </c>
      <c r="B1264" s="0" t="s">
        <v>77</v>
      </c>
      <c r="C1264" s="0" t="s">
        <v>5066</v>
      </c>
      <c r="D1264" s="0" t="n">
        <v>2015</v>
      </c>
      <c r="E1264" s="0" t="s">
        <v>58</v>
      </c>
      <c r="F1264" s="0" t="n">
        <v>-181246613</v>
      </c>
      <c r="G1264" s="0" t="s">
        <v>3067</v>
      </c>
      <c r="H1264" s="0" t="s">
        <v>3068</v>
      </c>
      <c r="I1264" s="0" t="n">
        <v>-181246.613</v>
      </c>
      <c r="J1264" s="0" t="s">
        <v>4155</v>
      </c>
      <c r="K1264" s="0" t="s">
        <v>2668</v>
      </c>
      <c r="L1264" s="0" t="n">
        <v>2015</v>
      </c>
      <c r="M1264" s="0" t="s">
        <v>2025</v>
      </c>
      <c r="N1264" s="0" t="s">
        <v>83</v>
      </c>
      <c r="O1264" s="0" t="s">
        <v>2489</v>
      </c>
      <c r="P1264" s="0" t="s">
        <v>5067</v>
      </c>
      <c r="Q1264" s="0" t="n">
        <v>108</v>
      </c>
      <c r="R1264" s="0" t="n">
        <v>106</v>
      </c>
      <c r="T1264" s="0" t="s">
        <v>5068</v>
      </c>
      <c r="U1264" s="0" t="s">
        <v>4808</v>
      </c>
      <c r="V1264" s="0" t="s">
        <v>84</v>
      </c>
      <c r="W1264" s="0" t="s">
        <v>5083</v>
      </c>
      <c r="X1264" s="0" t="s">
        <v>5084</v>
      </c>
      <c r="Y1264" s="0" t="s">
        <v>4159</v>
      </c>
      <c r="Z1264" s="0" t="s">
        <v>4160</v>
      </c>
      <c r="AA1264" s="0" t="s">
        <v>5085</v>
      </c>
      <c r="AB1264" s="0" t="s">
        <v>5072</v>
      </c>
      <c r="AC1264" s="0" t="s">
        <v>4162</v>
      </c>
      <c r="AD1264" s="0" t="s">
        <v>4163</v>
      </c>
      <c r="AE1264" s="0" t="s">
        <v>4164</v>
      </c>
      <c r="AF1264" s="0" t="s">
        <v>5073</v>
      </c>
      <c r="AH1264" s="0" t="s">
        <v>2239</v>
      </c>
      <c r="AL1264" s="0" t="s">
        <v>523</v>
      </c>
    </row>
    <row r="1265" customFormat="false" ht="15" hidden="false" customHeight="false" outlineLevel="0" collapsed="false">
      <c r="A1265" s="0" t="s">
        <v>530</v>
      </c>
      <c r="B1265" s="0" t="s">
        <v>77</v>
      </c>
      <c r="C1265" s="0" t="s">
        <v>5066</v>
      </c>
      <c r="D1265" s="0" t="n">
        <v>2015</v>
      </c>
      <c r="E1265" s="0" t="s">
        <v>59</v>
      </c>
      <c r="F1265" s="0" t="n">
        <v>1981955730</v>
      </c>
      <c r="G1265" s="0" t="s">
        <v>3067</v>
      </c>
      <c r="H1265" s="0" t="s">
        <v>3068</v>
      </c>
      <c r="I1265" s="0" t="n">
        <v>1981955.73</v>
      </c>
      <c r="J1265" s="0" t="s">
        <v>4155</v>
      </c>
      <c r="K1265" s="0" t="s">
        <v>2668</v>
      </c>
      <c r="L1265" s="0" t="n">
        <v>2015</v>
      </c>
      <c r="M1265" s="0" t="s">
        <v>2025</v>
      </c>
      <c r="N1265" s="0" t="s">
        <v>83</v>
      </c>
      <c r="O1265" s="0" t="s">
        <v>2489</v>
      </c>
      <c r="P1265" s="0" t="s">
        <v>5067</v>
      </c>
      <c r="Q1265" s="0" t="n">
        <v>105</v>
      </c>
      <c r="R1265" s="0" t="n">
        <v>103</v>
      </c>
      <c r="T1265" s="0" t="s">
        <v>5086</v>
      </c>
      <c r="U1265" s="0" t="s">
        <v>4808</v>
      </c>
      <c r="V1265" s="0" t="s">
        <v>84</v>
      </c>
      <c r="W1265" s="0" t="s">
        <v>5069</v>
      </c>
      <c r="X1265" s="0" t="s">
        <v>5070</v>
      </c>
      <c r="Y1265" s="0" t="s">
        <v>4159</v>
      </c>
      <c r="Z1265" s="0" t="s">
        <v>4160</v>
      </c>
      <c r="AA1265" s="0" t="s">
        <v>5087</v>
      </c>
      <c r="AB1265" s="0" t="s">
        <v>5072</v>
      </c>
      <c r="AC1265" s="0" t="s">
        <v>4162</v>
      </c>
      <c r="AD1265" s="0" t="s">
        <v>4163</v>
      </c>
      <c r="AE1265" s="0" t="s">
        <v>4164</v>
      </c>
      <c r="AF1265" s="0" t="s">
        <v>5073</v>
      </c>
      <c r="AH1265" s="0" t="s">
        <v>2239</v>
      </c>
      <c r="AL1265" s="0" t="s">
        <v>523</v>
      </c>
    </row>
    <row r="1266" customFormat="false" ht="15" hidden="false" customHeight="false" outlineLevel="0" collapsed="false">
      <c r="A1266" s="0" t="s">
        <v>534</v>
      </c>
      <c r="B1266" s="0" t="s">
        <v>77</v>
      </c>
      <c r="C1266" s="0" t="s">
        <v>5066</v>
      </c>
      <c r="D1266" s="0" t="n">
        <v>2015</v>
      </c>
      <c r="E1266" s="0" t="s">
        <v>63</v>
      </c>
      <c r="F1266" s="0" t="n">
        <v>-13287613</v>
      </c>
      <c r="G1266" s="0" t="s">
        <v>3067</v>
      </c>
      <c r="H1266" s="0" t="s">
        <v>3068</v>
      </c>
      <c r="I1266" s="0" t="n">
        <v>13287.613</v>
      </c>
      <c r="J1266" s="0" t="s">
        <v>4155</v>
      </c>
      <c r="K1266" s="0" t="s">
        <v>2668</v>
      </c>
      <c r="L1266" s="0" t="n">
        <v>2015</v>
      </c>
      <c r="M1266" s="0" t="s">
        <v>2025</v>
      </c>
      <c r="N1266" s="0" t="s">
        <v>83</v>
      </c>
      <c r="O1266" s="0" t="s">
        <v>2489</v>
      </c>
      <c r="P1266" s="0" t="s">
        <v>5067</v>
      </c>
      <c r="Q1266" s="0" t="n">
        <v>104</v>
      </c>
      <c r="R1266" s="0" t="n">
        <v>102</v>
      </c>
      <c r="S1266" s="0" t="n">
        <v>9</v>
      </c>
      <c r="T1266" s="0" t="s">
        <v>5068</v>
      </c>
      <c r="U1266" s="0" t="s">
        <v>4808</v>
      </c>
      <c r="V1266" s="0" t="s">
        <v>84</v>
      </c>
      <c r="W1266" s="0" t="s">
        <v>5088</v>
      </c>
      <c r="X1266" s="0" t="s">
        <v>5079</v>
      </c>
      <c r="Y1266" s="0" t="s">
        <v>4159</v>
      </c>
      <c r="Z1266" s="0" t="s">
        <v>4160</v>
      </c>
      <c r="AA1266" s="0" t="s">
        <v>5089</v>
      </c>
      <c r="AB1266" s="0" t="s">
        <v>5072</v>
      </c>
      <c r="AC1266" s="0" t="s">
        <v>4162</v>
      </c>
      <c r="AD1266" s="0" t="s">
        <v>4163</v>
      </c>
      <c r="AE1266" s="0" t="s">
        <v>4164</v>
      </c>
      <c r="AF1266" s="0" t="s">
        <v>5073</v>
      </c>
      <c r="AH1266" s="0" t="s">
        <v>4174</v>
      </c>
      <c r="AI1266" s="0" t="s">
        <v>4829</v>
      </c>
      <c r="AL1266" s="0" t="s">
        <v>523</v>
      </c>
    </row>
    <row r="1267" customFormat="false" ht="15" hidden="false" customHeight="false" outlineLevel="0" collapsed="false">
      <c r="A1267" s="0" t="s">
        <v>531</v>
      </c>
      <c r="B1267" s="0" t="s">
        <v>77</v>
      </c>
      <c r="C1267" s="0" t="s">
        <v>5066</v>
      </c>
      <c r="D1267" s="0" t="n">
        <v>2015</v>
      </c>
      <c r="E1267" s="0" t="s">
        <v>60</v>
      </c>
      <c r="F1267" s="0" t="n">
        <v>1270121392</v>
      </c>
      <c r="G1267" s="0" t="s">
        <v>3067</v>
      </c>
      <c r="H1267" s="0" t="s">
        <v>3068</v>
      </c>
      <c r="I1267" s="0" t="n">
        <v>1270121.392</v>
      </c>
      <c r="J1267" s="0" t="s">
        <v>4155</v>
      </c>
      <c r="K1267" s="0" t="s">
        <v>2668</v>
      </c>
      <c r="L1267" s="0" t="n">
        <v>2015</v>
      </c>
      <c r="M1267" s="0" t="s">
        <v>2025</v>
      </c>
      <c r="N1267" s="0" t="s">
        <v>83</v>
      </c>
      <c r="O1267" s="0" t="s">
        <v>2489</v>
      </c>
      <c r="P1267" s="0" t="s">
        <v>5067</v>
      </c>
      <c r="Q1267" s="0" t="n">
        <v>192</v>
      </c>
      <c r="R1267" s="0" t="n">
        <v>190</v>
      </c>
      <c r="S1267" s="0" t="s">
        <v>5090</v>
      </c>
      <c r="T1267" s="0" t="s">
        <v>5091</v>
      </c>
      <c r="U1267" s="0" t="s">
        <v>4808</v>
      </c>
      <c r="V1267" s="0" t="s">
        <v>84</v>
      </c>
      <c r="W1267" s="0" t="s">
        <v>5092</v>
      </c>
      <c r="X1267" s="0" t="s">
        <v>5093</v>
      </c>
      <c r="Y1267" s="0" t="s">
        <v>4159</v>
      </c>
      <c r="Z1267" s="0" t="s">
        <v>4160</v>
      </c>
      <c r="AA1267" s="0" t="s">
        <v>5094</v>
      </c>
      <c r="AB1267" s="0" t="s">
        <v>5072</v>
      </c>
      <c r="AC1267" s="0" t="s">
        <v>4162</v>
      </c>
      <c r="AD1267" s="0" t="s">
        <v>4163</v>
      </c>
      <c r="AE1267" s="0" t="s">
        <v>4164</v>
      </c>
      <c r="AF1267" s="0" t="s">
        <v>5095</v>
      </c>
      <c r="AH1267" s="0" t="s">
        <v>2239</v>
      </c>
      <c r="AL1267" s="0" t="s">
        <v>523</v>
      </c>
    </row>
    <row r="1268" customFormat="false" ht="15" hidden="false" customHeight="false" outlineLevel="0" collapsed="false">
      <c r="A1268" s="0" t="s">
        <v>532</v>
      </c>
      <c r="B1268" s="0" t="s">
        <v>77</v>
      </c>
      <c r="C1268" s="0" t="s">
        <v>5066</v>
      </c>
      <c r="D1268" s="0" t="n">
        <v>2015</v>
      </c>
      <c r="E1268" s="0" t="s">
        <v>61</v>
      </c>
      <c r="F1268" s="0" t="n">
        <v>-26906083</v>
      </c>
      <c r="G1268" s="0" t="s">
        <v>3067</v>
      </c>
      <c r="H1268" s="0" t="s">
        <v>3068</v>
      </c>
      <c r="I1268" s="0" t="n">
        <v>26906.083</v>
      </c>
      <c r="J1268" s="0" t="s">
        <v>4155</v>
      </c>
      <c r="K1268" s="0" t="s">
        <v>2668</v>
      </c>
      <c r="L1268" s="0" t="n">
        <v>2015</v>
      </c>
      <c r="M1268" s="0" t="s">
        <v>2025</v>
      </c>
      <c r="N1268" s="0" t="s">
        <v>83</v>
      </c>
      <c r="O1268" s="0" t="s">
        <v>2489</v>
      </c>
      <c r="P1268" s="0" t="s">
        <v>5067</v>
      </c>
      <c r="Q1268" s="0" t="n">
        <v>192</v>
      </c>
      <c r="R1268" s="0" t="n">
        <v>190</v>
      </c>
      <c r="S1268" s="0" t="s">
        <v>5090</v>
      </c>
      <c r="T1268" s="0" t="s">
        <v>5096</v>
      </c>
      <c r="U1268" s="0" t="s">
        <v>4808</v>
      </c>
      <c r="V1268" s="0" t="s">
        <v>84</v>
      </c>
      <c r="W1268" s="0" t="s">
        <v>5092</v>
      </c>
      <c r="X1268" s="0" t="s">
        <v>5093</v>
      </c>
      <c r="Y1268" s="0" t="s">
        <v>4159</v>
      </c>
      <c r="Z1268" s="0" t="s">
        <v>4160</v>
      </c>
      <c r="AA1268" s="0" t="s">
        <v>5097</v>
      </c>
      <c r="AB1268" s="0" t="s">
        <v>5072</v>
      </c>
      <c r="AC1268" s="0" t="s">
        <v>4162</v>
      </c>
      <c r="AD1268" s="0" t="s">
        <v>4163</v>
      </c>
      <c r="AE1268" s="0" t="s">
        <v>4164</v>
      </c>
      <c r="AF1268" s="0" t="s">
        <v>5098</v>
      </c>
      <c r="AH1268" s="0" t="s">
        <v>4174</v>
      </c>
      <c r="AI1268" s="0" t="s">
        <v>4837</v>
      </c>
      <c r="AL1268" s="0" t="s">
        <v>523</v>
      </c>
    </row>
    <row r="1269" customFormat="false" ht="15" hidden="false" customHeight="false" outlineLevel="0" collapsed="false">
      <c r="A1269" s="0" t="s">
        <v>544</v>
      </c>
      <c r="B1269" s="0" t="s">
        <v>77</v>
      </c>
      <c r="C1269" s="0" t="s">
        <v>5066</v>
      </c>
      <c r="D1269" s="0" t="n">
        <v>2015</v>
      </c>
      <c r="E1269" s="0" t="s">
        <v>543</v>
      </c>
      <c r="F1269" s="0" t="n">
        <v>-9173223</v>
      </c>
      <c r="G1269" s="0" t="s">
        <v>3067</v>
      </c>
      <c r="H1269" s="0" t="s">
        <v>3068</v>
      </c>
      <c r="I1269" s="0" t="n">
        <v>9173.223</v>
      </c>
      <c r="J1269" s="0" t="s">
        <v>4155</v>
      </c>
      <c r="K1269" s="0" t="s">
        <v>2668</v>
      </c>
      <c r="L1269" s="0" t="n">
        <v>2015</v>
      </c>
      <c r="M1269" s="0" t="s">
        <v>2025</v>
      </c>
      <c r="N1269" s="0" t="s">
        <v>83</v>
      </c>
      <c r="O1269" s="0" t="s">
        <v>2489</v>
      </c>
      <c r="P1269" s="0" t="s">
        <v>5067</v>
      </c>
      <c r="Q1269" s="0" t="n">
        <v>192</v>
      </c>
      <c r="R1269" s="0" t="n">
        <v>190</v>
      </c>
      <c r="S1269" s="0" t="s">
        <v>5090</v>
      </c>
      <c r="T1269" s="0" t="s">
        <v>5099</v>
      </c>
      <c r="U1269" s="0" t="s">
        <v>4808</v>
      </c>
      <c r="V1269" s="0" t="s">
        <v>84</v>
      </c>
      <c r="W1269" s="0" t="s">
        <v>5092</v>
      </c>
      <c r="X1269" s="0" t="s">
        <v>5093</v>
      </c>
      <c r="Y1269" s="0" t="s">
        <v>4159</v>
      </c>
      <c r="Z1269" s="0" t="s">
        <v>4160</v>
      </c>
      <c r="AA1269" s="0" t="s">
        <v>5100</v>
      </c>
      <c r="AB1269" s="0" t="s">
        <v>5072</v>
      </c>
      <c r="AC1269" s="0" t="s">
        <v>4162</v>
      </c>
      <c r="AD1269" s="0" t="s">
        <v>4163</v>
      </c>
      <c r="AE1269" s="0" t="s">
        <v>4164</v>
      </c>
      <c r="AF1269" s="0" t="s">
        <v>5098</v>
      </c>
      <c r="AH1269" s="0" t="s">
        <v>4174</v>
      </c>
      <c r="AI1269" s="0" t="s">
        <v>4837</v>
      </c>
      <c r="AL1269" s="0" t="s">
        <v>523</v>
      </c>
    </row>
    <row r="1270" customFormat="false" ht="15" hidden="false" customHeight="false" outlineLevel="0" collapsed="false">
      <c r="A1270" s="0" t="s">
        <v>546</v>
      </c>
      <c r="B1270" s="0" t="s">
        <v>77</v>
      </c>
      <c r="C1270" s="0" t="s">
        <v>5066</v>
      </c>
      <c r="D1270" s="0" t="n">
        <v>2015</v>
      </c>
      <c r="E1270" s="0" t="s">
        <v>545</v>
      </c>
      <c r="F1270" s="0" t="n">
        <v>-17732860</v>
      </c>
      <c r="G1270" s="0" t="s">
        <v>3067</v>
      </c>
      <c r="H1270" s="0" t="s">
        <v>3068</v>
      </c>
      <c r="I1270" s="0" t="n">
        <v>17732.86</v>
      </c>
      <c r="J1270" s="0" t="s">
        <v>4155</v>
      </c>
      <c r="K1270" s="0" t="s">
        <v>2668</v>
      </c>
      <c r="L1270" s="0" t="n">
        <v>2015</v>
      </c>
      <c r="M1270" s="0" t="s">
        <v>2025</v>
      </c>
      <c r="N1270" s="0" t="s">
        <v>83</v>
      </c>
      <c r="O1270" s="0" t="s">
        <v>2489</v>
      </c>
      <c r="P1270" s="0" t="s">
        <v>5067</v>
      </c>
      <c r="Q1270" s="0" t="n">
        <v>192</v>
      </c>
      <c r="R1270" s="0" t="n">
        <v>190</v>
      </c>
      <c r="S1270" s="0" t="s">
        <v>5090</v>
      </c>
      <c r="T1270" s="0" t="s">
        <v>5101</v>
      </c>
      <c r="U1270" s="0" t="s">
        <v>4808</v>
      </c>
      <c r="V1270" s="0" t="s">
        <v>84</v>
      </c>
      <c r="W1270" s="0" t="s">
        <v>5092</v>
      </c>
      <c r="X1270" s="0" t="s">
        <v>5093</v>
      </c>
      <c r="Y1270" s="0" t="s">
        <v>4159</v>
      </c>
      <c r="Z1270" s="0" t="s">
        <v>4160</v>
      </c>
      <c r="AA1270" s="0" t="s">
        <v>5102</v>
      </c>
      <c r="AB1270" s="0" t="s">
        <v>5072</v>
      </c>
      <c r="AC1270" s="0" t="s">
        <v>4162</v>
      </c>
      <c r="AD1270" s="0" t="s">
        <v>4163</v>
      </c>
      <c r="AE1270" s="0" t="s">
        <v>4164</v>
      </c>
      <c r="AF1270" s="0" t="s">
        <v>5098</v>
      </c>
      <c r="AH1270" s="0" t="s">
        <v>4174</v>
      </c>
      <c r="AI1270" s="0" t="s">
        <v>4837</v>
      </c>
      <c r="AL1270" s="0" t="s">
        <v>523</v>
      </c>
    </row>
    <row r="1271" customFormat="false" ht="15" hidden="false" customHeight="false" outlineLevel="0" collapsed="false">
      <c r="A1271" s="0" t="s">
        <v>533</v>
      </c>
      <c r="B1271" s="0" t="s">
        <v>77</v>
      </c>
      <c r="C1271" s="0" t="s">
        <v>5066</v>
      </c>
      <c r="D1271" s="0" t="n">
        <v>2015</v>
      </c>
      <c r="E1271" s="0" t="s">
        <v>62</v>
      </c>
      <c r="F1271" s="0" t="n">
        <v>1243215309</v>
      </c>
      <c r="G1271" s="0" t="s">
        <v>3067</v>
      </c>
      <c r="H1271" s="0" t="s">
        <v>3068</v>
      </c>
      <c r="I1271" s="0" t="n">
        <v>1243215.309</v>
      </c>
      <c r="J1271" s="0" t="s">
        <v>4155</v>
      </c>
      <c r="K1271" s="0" t="s">
        <v>2668</v>
      </c>
      <c r="L1271" s="0" t="n">
        <v>2015</v>
      </c>
      <c r="M1271" s="0" t="s">
        <v>2025</v>
      </c>
      <c r="N1271" s="0" t="s">
        <v>83</v>
      </c>
      <c r="O1271" s="0" t="s">
        <v>2489</v>
      </c>
      <c r="P1271" s="0" t="s">
        <v>5067</v>
      </c>
      <c r="Q1271" s="0" t="n">
        <v>105</v>
      </c>
      <c r="R1271" s="0" t="n">
        <v>103</v>
      </c>
      <c r="S1271" s="0" t="n">
        <v>23</v>
      </c>
      <c r="T1271" s="0" t="s">
        <v>5068</v>
      </c>
      <c r="U1271" s="0" t="s">
        <v>4808</v>
      </c>
      <c r="V1271" s="0" t="s">
        <v>84</v>
      </c>
      <c r="W1271" s="0" t="s">
        <v>5103</v>
      </c>
      <c r="X1271" s="0" t="s">
        <v>5070</v>
      </c>
      <c r="Y1271" s="0" t="s">
        <v>4159</v>
      </c>
      <c r="Z1271" s="0" t="s">
        <v>4160</v>
      </c>
      <c r="AA1271" s="0" t="s">
        <v>5104</v>
      </c>
      <c r="AB1271" s="0" t="s">
        <v>5072</v>
      </c>
      <c r="AC1271" s="0" t="s">
        <v>4162</v>
      </c>
      <c r="AD1271" s="0" t="s">
        <v>4163</v>
      </c>
      <c r="AE1271" s="0" t="s">
        <v>4164</v>
      </c>
      <c r="AF1271" s="0" t="s">
        <v>5073</v>
      </c>
      <c r="AH1271" s="0" t="s">
        <v>2239</v>
      </c>
      <c r="AL1271" s="0" t="s">
        <v>523</v>
      </c>
    </row>
    <row r="1272" customFormat="false" ht="15" hidden="false" customHeight="false" outlineLevel="0" collapsed="false">
      <c r="A1272" s="0" t="s">
        <v>537</v>
      </c>
      <c r="B1272" s="0" t="s">
        <v>77</v>
      </c>
      <c r="C1272" s="0" t="s">
        <v>5066</v>
      </c>
      <c r="D1272" s="0" t="n">
        <v>2015</v>
      </c>
      <c r="E1272" s="0" t="s">
        <v>65</v>
      </c>
      <c r="F1272" s="0" t="n">
        <v>340521191</v>
      </c>
      <c r="G1272" s="0" t="s">
        <v>3067</v>
      </c>
      <c r="H1272" s="0" t="s">
        <v>3068</v>
      </c>
      <c r="I1272" s="0" t="n">
        <v>340521.191</v>
      </c>
      <c r="J1272" s="0" t="s">
        <v>4155</v>
      </c>
      <c r="K1272" s="0" t="s">
        <v>2668</v>
      </c>
      <c r="L1272" s="0" t="n">
        <v>2015</v>
      </c>
      <c r="M1272" s="0" t="s">
        <v>2025</v>
      </c>
      <c r="N1272" s="0" t="s">
        <v>83</v>
      </c>
      <c r="O1272" s="0" t="s">
        <v>2489</v>
      </c>
      <c r="P1272" s="0" t="s">
        <v>5067</v>
      </c>
      <c r="Q1272" s="0" t="n">
        <v>174</v>
      </c>
      <c r="R1272" s="0" t="n">
        <v>172</v>
      </c>
      <c r="S1272" s="0" t="n">
        <v>6</v>
      </c>
      <c r="T1272" s="0" t="s">
        <v>5068</v>
      </c>
      <c r="U1272" s="0" t="s">
        <v>4808</v>
      </c>
      <c r="V1272" s="0" t="s">
        <v>84</v>
      </c>
      <c r="W1272" s="0" t="s">
        <v>5105</v>
      </c>
      <c r="X1272" s="0" t="s">
        <v>5106</v>
      </c>
      <c r="Y1272" s="0" t="s">
        <v>4159</v>
      </c>
      <c r="Z1272" s="0" t="s">
        <v>4160</v>
      </c>
      <c r="AA1272" s="0" t="s">
        <v>5107</v>
      </c>
      <c r="AB1272" s="0" t="s">
        <v>5072</v>
      </c>
      <c r="AC1272" s="0" t="s">
        <v>4162</v>
      </c>
      <c r="AD1272" s="0" t="s">
        <v>4163</v>
      </c>
      <c r="AE1272" s="0" t="s">
        <v>4164</v>
      </c>
      <c r="AF1272" s="0" t="s">
        <v>5108</v>
      </c>
      <c r="AH1272" s="0" t="s">
        <v>2239</v>
      </c>
      <c r="AL1272" s="0" t="s">
        <v>523</v>
      </c>
    </row>
    <row r="1273" customFormat="false" ht="15" hidden="false" customHeight="false" outlineLevel="0" collapsed="false">
      <c r="A1273" s="0" t="s">
        <v>538</v>
      </c>
      <c r="B1273" s="0" t="s">
        <v>77</v>
      </c>
      <c r="C1273" s="0" t="s">
        <v>5066</v>
      </c>
      <c r="D1273" s="0" t="n">
        <v>2015</v>
      </c>
      <c r="E1273" s="0" t="s">
        <v>66</v>
      </c>
      <c r="F1273" s="0" t="n">
        <v>1887612134</v>
      </c>
      <c r="G1273" s="0" t="s">
        <v>3067</v>
      </c>
      <c r="H1273" s="0" t="s">
        <v>3068</v>
      </c>
      <c r="I1273" s="0" t="n">
        <v>1887612.134</v>
      </c>
      <c r="J1273" s="0" t="s">
        <v>4155</v>
      </c>
      <c r="K1273" s="0" t="s">
        <v>2668</v>
      </c>
      <c r="L1273" s="0" t="n">
        <v>2015</v>
      </c>
      <c r="M1273" s="0" t="s">
        <v>2025</v>
      </c>
      <c r="N1273" s="0" t="s">
        <v>83</v>
      </c>
      <c r="O1273" s="0" t="s">
        <v>2489</v>
      </c>
      <c r="P1273" s="0" t="s">
        <v>5067</v>
      </c>
      <c r="Q1273" s="0" t="n">
        <v>174</v>
      </c>
      <c r="R1273" s="0" t="n">
        <v>172</v>
      </c>
      <c r="S1273" s="0" t="n">
        <v>6</v>
      </c>
      <c r="T1273" s="0" t="s">
        <v>5068</v>
      </c>
      <c r="U1273" s="0" t="s">
        <v>4808</v>
      </c>
      <c r="V1273" s="0" t="s">
        <v>84</v>
      </c>
      <c r="W1273" s="0" t="s">
        <v>5109</v>
      </c>
      <c r="X1273" s="0" t="s">
        <v>5106</v>
      </c>
      <c r="Y1273" s="0" t="s">
        <v>4159</v>
      </c>
      <c r="Z1273" s="0" t="s">
        <v>4160</v>
      </c>
      <c r="AA1273" s="0" t="s">
        <v>5110</v>
      </c>
      <c r="AB1273" s="0" t="s">
        <v>5072</v>
      </c>
      <c r="AC1273" s="0" t="s">
        <v>4162</v>
      </c>
      <c r="AD1273" s="0" t="s">
        <v>4163</v>
      </c>
      <c r="AE1273" s="0" t="s">
        <v>4164</v>
      </c>
      <c r="AF1273" s="0" t="s">
        <v>5111</v>
      </c>
      <c r="AH1273" s="0" t="s">
        <v>2239</v>
      </c>
      <c r="AL1273" s="0" t="s">
        <v>523</v>
      </c>
    </row>
    <row r="1274" customFormat="false" ht="15" hidden="false" customHeight="false" outlineLevel="0" collapsed="false">
      <c r="A1274" s="0" t="s">
        <v>535</v>
      </c>
      <c r="B1274" s="0" t="s">
        <v>77</v>
      </c>
      <c r="C1274" s="0" t="s">
        <v>5066</v>
      </c>
      <c r="D1274" s="0" t="n">
        <v>2015</v>
      </c>
      <c r="E1274" s="0" t="s">
        <v>69</v>
      </c>
      <c r="F1274" s="0" t="s">
        <v>5112</v>
      </c>
      <c r="G1274" s="0" t="s">
        <v>3143</v>
      </c>
      <c r="I1274" s="0" t="n">
        <v>18</v>
      </c>
      <c r="J1274" s="0" t="s">
        <v>4155</v>
      </c>
      <c r="K1274" s="0" t="s">
        <v>2668</v>
      </c>
      <c r="L1274" s="0" t="n">
        <v>2015</v>
      </c>
      <c r="M1274" s="0" t="s">
        <v>2025</v>
      </c>
      <c r="N1274" s="0" t="s">
        <v>83</v>
      </c>
      <c r="O1274" s="0" t="s">
        <v>2489</v>
      </c>
      <c r="P1274" s="0" t="s">
        <v>5067</v>
      </c>
      <c r="Q1274" s="0" t="n">
        <v>174</v>
      </c>
      <c r="R1274" s="0" t="n">
        <v>172</v>
      </c>
      <c r="S1274" s="0" t="n">
        <v>6</v>
      </c>
      <c r="T1274" s="0" t="s">
        <v>5068</v>
      </c>
      <c r="U1274" s="0" t="s">
        <v>4808</v>
      </c>
      <c r="V1274" s="0" t="s">
        <v>84</v>
      </c>
      <c r="W1274" s="0" t="s">
        <v>5113</v>
      </c>
      <c r="X1274" s="0" t="s">
        <v>5106</v>
      </c>
      <c r="Y1274" s="0" t="s">
        <v>4159</v>
      </c>
      <c r="Z1274" s="0" t="s">
        <v>4160</v>
      </c>
      <c r="AA1274" s="0" t="s">
        <v>5114</v>
      </c>
      <c r="AB1274" s="0" t="s">
        <v>5072</v>
      </c>
      <c r="AC1274" s="0" t="s">
        <v>4162</v>
      </c>
      <c r="AD1274" s="0" t="s">
        <v>4163</v>
      </c>
      <c r="AE1274" s="0" t="s">
        <v>4164</v>
      </c>
      <c r="AF1274" s="0" t="s">
        <v>5115</v>
      </c>
      <c r="AH1274" s="0" t="s">
        <v>2239</v>
      </c>
      <c r="AL1274" s="0" t="s">
        <v>523</v>
      </c>
    </row>
    <row r="1275" customFormat="false" ht="15" hidden="false" customHeight="false" outlineLevel="0" collapsed="false">
      <c r="A1275" s="0" t="s">
        <v>536</v>
      </c>
      <c r="B1275" s="0" t="s">
        <v>77</v>
      </c>
      <c r="C1275" s="0" t="s">
        <v>5066</v>
      </c>
      <c r="D1275" s="0" t="n">
        <v>2015</v>
      </c>
      <c r="E1275" s="0" t="s">
        <v>70</v>
      </c>
      <c r="F1275" s="0" t="s">
        <v>5116</v>
      </c>
      <c r="G1275" s="0" t="s">
        <v>3143</v>
      </c>
      <c r="I1275" s="0" t="n">
        <v>16</v>
      </c>
      <c r="J1275" s="0" t="s">
        <v>4155</v>
      </c>
      <c r="K1275" s="0" t="s">
        <v>2668</v>
      </c>
      <c r="L1275" s="0" t="n">
        <v>2015</v>
      </c>
      <c r="M1275" s="0" t="s">
        <v>2025</v>
      </c>
      <c r="N1275" s="0" t="s">
        <v>83</v>
      </c>
      <c r="O1275" s="0" t="s">
        <v>2489</v>
      </c>
      <c r="P1275" s="0" t="s">
        <v>5067</v>
      </c>
      <c r="Q1275" s="0" t="n">
        <v>174</v>
      </c>
      <c r="R1275" s="0" t="n">
        <v>172</v>
      </c>
      <c r="S1275" s="0" t="n">
        <v>6</v>
      </c>
      <c r="T1275" s="0" t="s">
        <v>5117</v>
      </c>
      <c r="U1275" s="0" t="s">
        <v>4808</v>
      </c>
      <c r="V1275" s="0" t="s">
        <v>84</v>
      </c>
      <c r="W1275" s="0" t="s">
        <v>5118</v>
      </c>
      <c r="X1275" s="0" t="s">
        <v>5106</v>
      </c>
      <c r="Y1275" s="0" t="s">
        <v>4159</v>
      </c>
      <c r="Z1275" s="0" t="s">
        <v>4160</v>
      </c>
      <c r="AA1275" s="0" t="s">
        <v>5119</v>
      </c>
      <c r="AB1275" s="0" t="s">
        <v>5072</v>
      </c>
      <c r="AC1275" s="0" t="s">
        <v>4162</v>
      </c>
      <c r="AD1275" s="0" t="s">
        <v>4163</v>
      </c>
      <c r="AE1275" s="0" t="s">
        <v>4164</v>
      </c>
      <c r="AF1275" s="0" t="s">
        <v>5120</v>
      </c>
      <c r="AH1275" s="0" t="s">
        <v>2239</v>
      </c>
      <c r="AL1275" s="0" t="s">
        <v>523</v>
      </c>
    </row>
    <row r="1276" customFormat="false" ht="15" hidden="false" customHeight="false" outlineLevel="0" collapsed="false">
      <c r="A1276" s="0" t="s">
        <v>540</v>
      </c>
      <c r="B1276" s="0" t="s">
        <v>77</v>
      </c>
      <c r="C1276" s="0" t="s">
        <v>5066</v>
      </c>
      <c r="D1276" s="0" t="n">
        <v>2015</v>
      </c>
      <c r="E1276" s="0" t="s">
        <v>73</v>
      </c>
      <c r="F1276" s="0" t="n">
        <v>0</v>
      </c>
      <c r="G1276" s="0" t="s">
        <v>4257</v>
      </c>
      <c r="I1276" s="0" t="n">
        <v>0</v>
      </c>
      <c r="J1276" s="0" t="s">
        <v>4258</v>
      </c>
      <c r="K1276" s="0" t="s">
        <v>2668</v>
      </c>
      <c r="L1276" s="0" t="n">
        <v>2015</v>
      </c>
      <c r="M1276" s="0" t="s">
        <v>2025</v>
      </c>
      <c r="N1276" s="0" t="s">
        <v>83</v>
      </c>
      <c r="O1276" s="0" t="s">
        <v>2489</v>
      </c>
      <c r="P1276" s="0" t="s">
        <v>5067</v>
      </c>
      <c r="Q1276" s="0" t="n">
        <v>102</v>
      </c>
      <c r="S1276" s="0" t="s">
        <v>5121</v>
      </c>
      <c r="T1276" s="0" t="s">
        <v>5122</v>
      </c>
      <c r="U1276" s="0" t="s">
        <v>4808</v>
      </c>
      <c r="V1276" s="0" t="s">
        <v>84</v>
      </c>
      <c r="W1276" s="0" t="s">
        <v>4803</v>
      </c>
      <c r="X1276" s="0" t="s">
        <v>5123</v>
      </c>
      <c r="Y1276" s="0" t="s">
        <v>4212</v>
      </c>
      <c r="Z1276" s="0" t="s">
        <v>4160</v>
      </c>
      <c r="AA1276" s="0" t="s">
        <v>5124</v>
      </c>
      <c r="AB1276" s="0" t="s">
        <v>5072</v>
      </c>
      <c r="AC1276" s="0" t="s">
        <v>4162</v>
      </c>
      <c r="AD1276" s="0" t="s">
        <v>4163</v>
      </c>
      <c r="AE1276" s="0" t="s">
        <v>4164</v>
      </c>
      <c r="AF1276" s="0" t="s">
        <v>5125</v>
      </c>
      <c r="AG1276" s="0" t="s">
        <v>1828</v>
      </c>
      <c r="AH1276" s="0" t="s">
        <v>2239</v>
      </c>
      <c r="AL1276" s="0" t="s">
        <v>539</v>
      </c>
    </row>
    <row r="1277" customFormat="false" ht="15" hidden="false" customHeight="false" outlineLevel="0" collapsed="false">
      <c r="A1277" s="0" t="s">
        <v>548</v>
      </c>
      <c r="B1277" s="0" t="s">
        <v>77</v>
      </c>
      <c r="C1277" s="0" t="s">
        <v>5066</v>
      </c>
      <c r="D1277" s="0" t="n">
        <v>2016</v>
      </c>
      <c r="E1277" s="0" t="s">
        <v>55</v>
      </c>
      <c r="F1277" s="0" t="n">
        <v>3094960515</v>
      </c>
      <c r="G1277" s="0" t="s">
        <v>3067</v>
      </c>
      <c r="H1277" s="0" t="s">
        <v>3068</v>
      </c>
      <c r="I1277" s="0" t="n">
        <v>3094960.515</v>
      </c>
      <c r="J1277" s="0" t="s">
        <v>4155</v>
      </c>
      <c r="K1277" s="0" t="s">
        <v>2670</v>
      </c>
      <c r="L1277" s="0" t="n">
        <v>2016</v>
      </c>
      <c r="M1277" s="0" t="s">
        <v>2035</v>
      </c>
      <c r="N1277" s="0" t="s">
        <v>86</v>
      </c>
      <c r="O1277" s="0" t="s">
        <v>2492</v>
      </c>
      <c r="P1277" s="0" t="s">
        <v>5126</v>
      </c>
      <c r="Q1277" s="0" t="n">
        <v>52</v>
      </c>
      <c r="R1277" s="0" t="n">
        <v>52</v>
      </c>
      <c r="T1277" s="0" t="s">
        <v>5127</v>
      </c>
      <c r="U1277" s="0" t="s">
        <v>4209</v>
      </c>
      <c r="V1277" s="0" t="s">
        <v>87</v>
      </c>
      <c r="W1277" s="0" t="s">
        <v>5128</v>
      </c>
      <c r="X1277" s="0" t="s">
        <v>5129</v>
      </c>
      <c r="Y1277" s="0" t="s">
        <v>4159</v>
      </c>
      <c r="Z1277" s="0" t="s">
        <v>4160</v>
      </c>
      <c r="AA1277" s="0" t="s">
        <v>5130</v>
      </c>
      <c r="AB1277" s="0" t="s">
        <v>5131</v>
      </c>
      <c r="AC1277" s="0" t="s">
        <v>4162</v>
      </c>
      <c r="AD1277" s="0" t="s">
        <v>4163</v>
      </c>
      <c r="AE1277" s="0" t="s">
        <v>4164</v>
      </c>
      <c r="AF1277" s="0" t="s">
        <v>5132</v>
      </c>
      <c r="AH1277" s="0" t="s">
        <v>2239</v>
      </c>
      <c r="AL1277" s="0" t="s">
        <v>523</v>
      </c>
    </row>
    <row r="1278" customFormat="false" ht="15" hidden="false" customHeight="false" outlineLevel="0" collapsed="false">
      <c r="A1278" s="0" t="s">
        <v>549</v>
      </c>
      <c r="B1278" s="0" t="s">
        <v>77</v>
      </c>
      <c r="C1278" s="0" t="s">
        <v>5066</v>
      </c>
      <c r="D1278" s="0" t="n">
        <v>2016</v>
      </c>
      <c r="E1278" s="0" t="s">
        <v>56</v>
      </c>
      <c r="F1278" s="0" t="n">
        <v>2673281895</v>
      </c>
      <c r="G1278" s="0" t="s">
        <v>3067</v>
      </c>
      <c r="H1278" s="0" t="s">
        <v>3068</v>
      </c>
      <c r="I1278" s="0" t="n">
        <v>2673281.895</v>
      </c>
      <c r="J1278" s="0" t="s">
        <v>4155</v>
      </c>
      <c r="K1278" s="0" t="s">
        <v>2670</v>
      </c>
      <c r="L1278" s="0" t="n">
        <v>2016</v>
      </c>
      <c r="M1278" s="0" t="s">
        <v>2035</v>
      </c>
      <c r="N1278" s="0" t="s">
        <v>86</v>
      </c>
      <c r="O1278" s="0" t="s">
        <v>2492</v>
      </c>
      <c r="P1278" s="0" t="s">
        <v>5126</v>
      </c>
      <c r="Q1278" s="0" t="n">
        <v>52</v>
      </c>
      <c r="R1278" s="0" t="n">
        <v>52</v>
      </c>
      <c r="T1278" s="0" t="s">
        <v>5127</v>
      </c>
      <c r="U1278" s="0" t="s">
        <v>4209</v>
      </c>
      <c r="V1278" s="0" t="s">
        <v>87</v>
      </c>
      <c r="W1278" s="0" t="s">
        <v>5133</v>
      </c>
      <c r="X1278" s="0" t="s">
        <v>5129</v>
      </c>
      <c r="Y1278" s="0" t="s">
        <v>4159</v>
      </c>
      <c r="Z1278" s="0" t="s">
        <v>4160</v>
      </c>
      <c r="AA1278" s="0" t="s">
        <v>5134</v>
      </c>
      <c r="AB1278" s="0" t="s">
        <v>5131</v>
      </c>
      <c r="AC1278" s="0" t="s">
        <v>4162</v>
      </c>
      <c r="AD1278" s="0" t="s">
        <v>4163</v>
      </c>
      <c r="AE1278" s="0" t="s">
        <v>4164</v>
      </c>
      <c r="AF1278" s="0" t="s">
        <v>5132</v>
      </c>
      <c r="AH1278" s="0" t="s">
        <v>2239</v>
      </c>
      <c r="AL1278" s="0" t="s">
        <v>523</v>
      </c>
    </row>
    <row r="1279" customFormat="false" ht="15" hidden="false" customHeight="false" outlineLevel="0" collapsed="false">
      <c r="A1279" s="0" t="s">
        <v>550</v>
      </c>
      <c r="B1279" s="0" t="s">
        <v>77</v>
      </c>
      <c r="C1279" s="0" t="s">
        <v>5066</v>
      </c>
      <c r="D1279" s="0" t="n">
        <v>2016</v>
      </c>
      <c r="E1279" s="0" t="s">
        <v>57</v>
      </c>
      <c r="F1279" s="0" t="n">
        <v>421678620</v>
      </c>
      <c r="G1279" s="0" t="s">
        <v>3067</v>
      </c>
      <c r="H1279" s="0" t="s">
        <v>3068</v>
      </c>
      <c r="I1279" s="0" t="n">
        <v>421678.62</v>
      </c>
      <c r="J1279" s="0" t="s">
        <v>4155</v>
      </c>
      <c r="K1279" s="0" t="s">
        <v>2670</v>
      </c>
      <c r="L1279" s="0" t="n">
        <v>2016</v>
      </c>
      <c r="M1279" s="0" t="s">
        <v>2035</v>
      </c>
      <c r="N1279" s="0" t="s">
        <v>86</v>
      </c>
      <c r="O1279" s="0" t="s">
        <v>2492</v>
      </c>
      <c r="P1279" s="0" t="s">
        <v>5126</v>
      </c>
      <c r="Q1279" s="0" t="n">
        <v>52</v>
      </c>
      <c r="R1279" s="0" t="n">
        <v>52</v>
      </c>
      <c r="T1279" s="0" t="s">
        <v>5127</v>
      </c>
      <c r="U1279" s="0" t="s">
        <v>4209</v>
      </c>
      <c r="V1279" s="0" t="s">
        <v>87</v>
      </c>
      <c r="W1279" s="0" t="s">
        <v>5135</v>
      </c>
      <c r="X1279" s="0" t="s">
        <v>5129</v>
      </c>
      <c r="Y1279" s="0" t="s">
        <v>4159</v>
      </c>
      <c r="Z1279" s="0" t="s">
        <v>4160</v>
      </c>
      <c r="AA1279" s="0" t="s">
        <v>5136</v>
      </c>
      <c r="AB1279" s="0" t="s">
        <v>5131</v>
      </c>
      <c r="AC1279" s="0" t="s">
        <v>4162</v>
      </c>
      <c r="AD1279" s="0" t="s">
        <v>4163</v>
      </c>
      <c r="AE1279" s="0" t="s">
        <v>4164</v>
      </c>
      <c r="AF1279" s="0" t="s">
        <v>5132</v>
      </c>
      <c r="AH1279" s="0" t="s">
        <v>2239</v>
      </c>
      <c r="AL1279" s="0" t="s">
        <v>523</v>
      </c>
    </row>
    <row r="1280" customFormat="false" ht="15" hidden="false" customHeight="false" outlineLevel="0" collapsed="false">
      <c r="A1280" s="0" t="s">
        <v>547</v>
      </c>
      <c r="B1280" s="0" t="s">
        <v>77</v>
      </c>
      <c r="C1280" s="0" t="s">
        <v>5066</v>
      </c>
      <c r="D1280" s="0" t="n">
        <v>2016</v>
      </c>
      <c r="E1280" s="0" t="s">
        <v>54</v>
      </c>
      <c r="F1280" s="0" t="n">
        <v>64026135</v>
      </c>
      <c r="G1280" s="0" t="s">
        <v>3067</v>
      </c>
      <c r="H1280" s="0" t="s">
        <v>3068</v>
      </c>
      <c r="I1280" s="0" t="n">
        <v>64026.135</v>
      </c>
      <c r="J1280" s="0" t="s">
        <v>4155</v>
      </c>
      <c r="K1280" s="0" t="s">
        <v>2670</v>
      </c>
      <c r="L1280" s="0" t="n">
        <v>2016</v>
      </c>
      <c r="M1280" s="0" t="s">
        <v>2035</v>
      </c>
      <c r="N1280" s="0" t="s">
        <v>86</v>
      </c>
      <c r="O1280" s="0" t="s">
        <v>2492</v>
      </c>
      <c r="P1280" s="0" t="s">
        <v>5126</v>
      </c>
      <c r="Q1280" s="0" t="n">
        <v>51</v>
      </c>
      <c r="R1280" s="0" t="n">
        <v>51</v>
      </c>
      <c r="T1280" s="0" t="s">
        <v>5127</v>
      </c>
      <c r="U1280" s="0" t="s">
        <v>4209</v>
      </c>
      <c r="V1280" s="0" t="s">
        <v>87</v>
      </c>
      <c r="W1280" s="0" t="s">
        <v>5137</v>
      </c>
      <c r="X1280" s="0" t="s">
        <v>5138</v>
      </c>
      <c r="Y1280" s="0" t="s">
        <v>4159</v>
      </c>
      <c r="Z1280" s="0" t="s">
        <v>4160</v>
      </c>
      <c r="AA1280" s="0" t="s">
        <v>5139</v>
      </c>
      <c r="AB1280" s="0" t="s">
        <v>5131</v>
      </c>
      <c r="AC1280" s="0" t="s">
        <v>4162</v>
      </c>
      <c r="AD1280" s="0" t="s">
        <v>4163</v>
      </c>
      <c r="AE1280" s="0" t="s">
        <v>4164</v>
      </c>
      <c r="AF1280" s="0" t="s">
        <v>5132</v>
      </c>
      <c r="AH1280" s="0" t="s">
        <v>2239</v>
      </c>
      <c r="AL1280" s="0" t="s">
        <v>523</v>
      </c>
    </row>
    <row r="1281" customFormat="false" ht="15" hidden="false" customHeight="false" outlineLevel="0" collapsed="false">
      <c r="A1281" s="0" t="s">
        <v>562</v>
      </c>
      <c r="B1281" s="0" t="s">
        <v>77</v>
      </c>
      <c r="C1281" s="0" t="s">
        <v>5066</v>
      </c>
      <c r="D1281" s="0" t="n">
        <v>2016</v>
      </c>
      <c r="E1281" s="0" t="s">
        <v>541</v>
      </c>
      <c r="F1281" s="0" t="n">
        <v>80579576</v>
      </c>
      <c r="G1281" s="0" t="s">
        <v>3067</v>
      </c>
      <c r="H1281" s="0" t="s">
        <v>3068</v>
      </c>
      <c r="I1281" s="0" t="n">
        <v>80579.576</v>
      </c>
      <c r="J1281" s="0" t="s">
        <v>4155</v>
      </c>
      <c r="K1281" s="0" t="s">
        <v>2670</v>
      </c>
      <c r="L1281" s="0" t="n">
        <v>2016</v>
      </c>
      <c r="M1281" s="0" t="s">
        <v>2035</v>
      </c>
      <c r="N1281" s="0" t="s">
        <v>86</v>
      </c>
      <c r="O1281" s="0" t="s">
        <v>2492</v>
      </c>
      <c r="P1281" s="0" t="s">
        <v>5126</v>
      </c>
      <c r="Q1281" s="0" t="n">
        <v>51</v>
      </c>
      <c r="R1281" s="0" t="n">
        <v>51</v>
      </c>
      <c r="T1281" s="0" t="s">
        <v>5127</v>
      </c>
      <c r="U1281" s="0" t="s">
        <v>4209</v>
      </c>
      <c r="V1281" s="0" t="s">
        <v>87</v>
      </c>
      <c r="W1281" s="0" t="s">
        <v>5140</v>
      </c>
      <c r="X1281" s="0" t="s">
        <v>5138</v>
      </c>
      <c r="Y1281" s="0" t="s">
        <v>4159</v>
      </c>
      <c r="Z1281" s="0" t="s">
        <v>4160</v>
      </c>
      <c r="AA1281" s="0" t="s">
        <v>5141</v>
      </c>
      <c r="AB1281" s="0" t="s">
        <v>5131</v>
      </c>
      <c r="AC1281" s="0" t="s">
        <v>4162</v>
      </c>
      <c r="AD1281" s="0" t="s">
        <v>4163</v>
      </c>
      <c r="AE1281" s="0" t="s">
        <v>4164</v>
      </c>
      <c r="AF1281" s="0" t="s">
        <v>5132</v>
      </c>
      <c r="AH1281" s="0" t="s">
        <v>2239</v>
      </c>
      <c r="AL1281" s="0" t="s">
        <v>523</v>
      </c>
    </row>
    <row r="1282" customFormat="false" ht="15" hidden="false" customHeight="false" outlineLevel="0" collapsed="false">
      <c r="A1282" s="0" t="s">
        <v>551</v>
      </c>
      <c r="B1282" s="0" t="s">
        <v>77</v>
      </c>
      <c r="C1282" s="0" t="s">
        <v>5066</v>
      </c>
      <c r="D1282" s="0" t="n">
        <v>2016</v>
      </c>
      <c r="E1282" s="0" t="s">
        <v>58</v>
      </c>
      <c r="F1282" s="0" t="n">
        <v>-124135579</v>
      </c>
      <c r="G1282" s="0" t="s">
        <v>3067</v>
      </c>
      <c r="H1282" s="0" t="s">
        <v>3068</v>
      </c>
      <c r="I1282" s="0" t="n">
        <v>-124135.579</v>
      </c>
      <c r="J1282" s="0" t="s">
        <v>4155</v>
      </c>
      <c r="K1282" s="0" t="s">
        <v>2670</v>
      </c>
      <c r="L1282" s="0" t="n">
        <v>2016</v>
      </c>
      <c r="M1282" s="0" t="s">
        <v>2035</v>
      </c>
      <c r="N1282" s="0" t="s">
        <v>86</v>
      </c>
      <c r="O1282" s="0" t="s">
        <v>2492</v>
      </c>
      <c r="P1282" s="0" t="s">
        <v>5126</v>
      </c>
      <c r="Q1282" s="0" t="n">
        <v>55</v>
      </c>
      <c r="R1282" s="0" t="n">
        <v>55</v>
      </c>
      <c r="T1282" s="0" t="s">
        <v>5127</v>
      </c>
      <c r="U1282" s="0" t="s">
        <v>4209</v>
      </c>
      <c r="V1282" s="0" t="s">
        <v>87</v>
      </c>
      <c r="W1282" s="0" t="s">
        <v>5142</v>
      </c>
      <c r="X1282" s="0" t="s">
        <v>5143</v>
      </c>
      <c r="Y1282" s="0" t="s">
        <v>4159</v>
      </c>
      <c r="Z1282" s="0" t="s">
        <v>4160</v>
      </c>
      <c r="AA1282" s="0" t="s">
        <v>5144</v>
      </c>
      <c r="AB1282" s="0" t="s">
        <v>5131</v>
      </c>
      <c r="AC1282" s="0" t="s">
        <v>4162</v>
      </c>
      <c r="AD1282" s="0" t="s">
        <v>4163</v>
      </c>
      <c r="AE1282" s="0" t="s">
        <v>4164</v>
      </c>
      <c r="AF1282" s="0" t="s">
        <v>5132</v>
      </c>
      <c r="AH1282" s="0" t="s">
        <v>2239</v>
      </c>
      <c r="AL1282" s="0" t="s">
        <v>523</v>
      </c>
    </row>
    <row r="1283" customFormat="false" ht="15" hidden="false" customHeight="false" outlineLevel="0" collapsed="false">
      <c r="A1283" s="0" t="s">
        <v>552</v>
      </c>
      <c r="B1283" s="0" t="s">
        <v>77</v>
      </c>
      <c r="C1283" s="0" t="s">
        <v>5066</v>
      </c>
      <c r="D1283" s="0" t="n">
        <v>2016</v>
      </c>
      <c r="E1283" s="0" t="s">
        <v>59</v>
      </c>
      <c r="F1283" s="0" t="n">
        <v>2411944061</v>
      </c>
      <c r="G1283" s="0" t="s">
        <v>3067</v>
      </c>
      <c r="H1283" s="0" t="s">
        <v>3068</v>
      </c>
      <c r="I1283" s="0" t="n">
        <v>2411944.061</v>
      </c>
      <c r="J1283" s="0" t="s">
        <v>4155</v>
      </c>
      <c r="K1283" s="0" t="s">
        <v>2670</v>
      </c>
      <c r="L1283" s="0" t="n">
        <v>2016</v>
      </c>
      <c r="M1283" s="0" t="s">
        <v>2035</v>
      </c>
      <c r="N1283" s="0" t="s">
        <v>86</v>
      </c>
      <c r="O1283" s="0" t="s">
        <v>2492</v>
      </c>
      <c r="P1283" s="0" t="s">
        <v>5126</v>
      </c>
      <c r="Q1283" s="0" t="n">
        <v>52</v>
      </c>
      <c r="R1283" s="0" t="n">
        <v>52</v>
      </c>
      <c r="T1283" s="0" t="s">
        <v>5145</v>
      </c>
      <c r="U1283" s="0" t="s">
        <v>4209</v>
      </c>
      <c r="V1283" s="0" t="s">
        <v>87</v>
      </c>
      <c r="W1283" s="0" t="s">
        <v>5128</v>
      </c>
      <c r="X1283" s="0" t="s">
        <v>5129</v>
      </c>
      <c r="Y1283" s="0" t="s">
        <v>4159</v>
      </c>
      <c r="Z1283" s="0" t="s">
        <v>4160</v>
      </c>
      <c r="AA1283" s="0" t="s">
        <v>5146</v>
      </c>
      <c r="AB1283" s="0" t="s">
        <v>5131</v>
      </c>
      <c r="AC1283" s="0" t="s">
        <v>4162</v>
      </c>
      <c r="AD1283" s="0" t="s">
        <v>4163</v>
      </c>
      <c r="AE1283" s="0" t="s">
        <v>4164</v>
      </c>
      <c r="AF1283" s="0" t="s">
        <v>5132</v>
      </c>
      <c r="AH1283" s="0" t="s">
        <v>2239</v>
      </c>
      <c r="AL1283" s="0" t="s">
        <v>523</v>
      </c>
    </row>
    <row r="1284" customFormat="false" ht="15" hidden="false" customHeight="false" outlineLevel="0" collapsed="false">
      <c r="A1284" s="0" t="s">
        <v>556</v>
      </c>
      <c r="B1284" s="0" t="s">
        <v>77</v>
      </c>
      <c r="C1284" s="0" t="s">
        <v>5066</v>
      </c>
      <c r="D1284" s="0" t="n">
        <v>2016</v>
      </c>
      <c r="E1284" s="0" t="s">
        <v>63</v>
      </c>
      <c r="F1284" s="0" t="n">
        <v>-17641127</v>
      </c>
      <c r="G1284" s="0" t="s">
        <v>3067</v>
      </c>
      <c r="H1284" s="0" t="s">
        <v>3068</v>
      </c>
      <c r="I1284" s="0" t="n">
        <v>17641.127</v>
      </c>
      <c r="J1284" s="0" t="s">
        <v>4155</v>
      </c>
      <c r="K1284" s="0" t="s">
        <v>2670</v>
      </c>
      <c r="L1284" s="0" t="n">
        <v>2016</v>
      </c>
      <c r="M1284" s="0" t="s">
        <v>2035</v>
      </c>
      <c r="N1284" s="0" t="s">
        <v>86</v>
      </c>
      <c r="O1284" s="0" t="s">
        <v>2492</v>
      </c>
      <c r="P1284" s="0" t="s">
        <v>5126</v>
      </c>
      <c r="Q1284" s="0" t="n">
        <v>51</v>
      </c>
      <c r="R1284" s="0" t="n">
        <v>51</v>
      </c>
      <c r="S1284" s="0" t="n">
        <v>9</v>
      </c>
      <c r="T1284" s="0" t="s">
        <v>5127</v>
      </c>
      <c r="U1284" s="0" t="s">
        <v>4209</v>
      </c>
      <c r="V1284" s="0" t="s">
        <v>87</v>
      </c>
      <c r="W1284" s="0" t="s">
        <v>5147</v>
      </c>
      <c r="X1284" s="0" t="s">
        <v>5138</v>
      </c>
      <c r="Y1284" s="0" t="s">
        <v>4159</v>
      </c>
      <c r="Z1284" s="0" t="s">
        <v>4160</v>
      </c>
      <c r="AA1284" s="0" t="s">
        <v>5148</v>
      </c>
      <c r="AB1284" s="0" t="s">
        <v>5131</v>
      </c>
      <c r="AC1284" s="0" t="s">
        <v>4162</v>
      </c>
      <c r="AD1284" s="0" t="s">
        <v>4163</v>
      </c>
      <c r="AE1284" s="0" t="s">
        <v>4164</v>
      </c>
      <c r="AF1284" s="0" t="s">
        <v>5132</v>
      </c>
      <c r="AH1284" s="0" t="s">
        <v>4174</v>
      </c>
      <c r="AI1284" s="0" t="s">
        <v>5149</v>
      </c>
      <c r="AL1284" s="0" t="s">
        <v>523</v>
      </c>
    </row>
    <row r="1285" customFormat="false" ht="15" hidden="false" customHeight="false" outlineLevel="0" collapsed="false">
      <c r="A1285" s="0" t="s">
        <v>553</v>
      </c>
      <c r="B1285" s="0" t="s">
        <v>77</v>
      </c>
      <c r="C1285" s="0" t="s">
        <v>5066</v>
      </c>
      <c r="D1285" s="0" t="n">
        <v>2016</v>
      </c>
      <c r="E1285" s="0" t="s">
        <v>60</v>
      </c>
      <c r="F1285" s="0" t="n">
        <v>1624837859</v>
      </c>
      <c r="G1285" s="0" t="s">
        <v>3067</v>
      </c>
      <c r="H1285" s="0" t="s">
        <v>3068</v>
      </c>
      <c r="I1285" s="0" t="n">
        <v>1624837.859</v>
      </c>
      <c r="J1285" s="0" t="s">
        <v>4155</v>
      </c>
      <c r="K1285" s="0" t="s">
        <v>2670</v>
      </c>
      <c r="L1285" s="0" t="n">
        <v>2016</v>
      </c>
      <c r="M1285" s="0" t="s">
        <v>2035</v>
      </c>
      <c r="N1285" s="0" t="s">
        <v>86</v>
      </c>
      <c r="O1285" s="0" t="s">
        <v>2492</v>
      </c>
      <c r="P1285" s="0" t="s">
        <v>5126</v>
      </c>
      <c r="Q1285" s="0" t="n">
        <v>176</v>
      </c>
      <c r="R1285" s="0" t="n">
        <v>176</v>
      </c>
      <c r="S1285" s="0" t="s">
        <v>5090</v>
      </c>
      <c r="T1285" s="0" t="s">
        <v>5150</v>
      </c>
      <c r="U1285" s="0" t="s">
        <v>4209</v>
      </c>
      <c r="V1285" s="0" t="s">
        <v>87</v>
      </c>
      <c r="W1285" s="0" t="s">
        <v>5151</v>
      </c>
      <c r="X1285" s="0" t="s">
        <v>5152</v>
      </c>
      <c r="Y1285" s="0" t="s">
        <v>4159</v>
      </c>
      <c r="Z1285" s="0" t="s">
        <v>4160</v>
      </c>
      <c r="AA1285" s="0" t="s">
        <v>5153</v>
      </c>
      <c r="AB1285" s="0" t="s">
        <v>5131</v>
      </c>
      <c r="AC1285" s="0" t="s">
        <v>4162</v>
      </c>
      <c r="AD1285" s="0" t="s">
        <v>4163</v>
      </c>
      <c r="AE1285" s="0" t="s">
        <v>4164</v>
      </c>
      <c r="AF1285" s="0" t="s">
        <v>5132</v>
      </c>
      <c r="AH1285" s="0" t="s">
        <v>2239</v>
      </c>
      <c r="AL1285" s="0" t="s">
        <v>523</v>
      </c>
    </row>
    <row r="1286" customFormat="false" ht="15" hidden="false" customHeight="false" outlineLevel="0" collapsed="false">
      <c r="A1286" s="0" t="s">
        <v>554</v>
      </c>
      <c r="B1286" s="0" t="s">
        <v>77</v>
      </c>
      <c r="C1286" s="0" t="s">
        <v>5066</v>
      </c>
      <c r="D1286" s="0" t="n">
        <v>2016</v>
      </c>
      <c r="E1286" s="0" t="s">
        <v>61</v>
      </c>
      <c r="F1286" s="0" t="n">
        <v>-30275514</v>
      </c>
      <c r="G1286" s="0" t="s">
        <v>3067</v>
      </c>
      <c r="H1286" s="0" t="s">
        <v>3068</v>
      </c>
      <c r="I1286" s="0" t="n">
        <v>30275.514</v>
      </c>
      <c r="J1286" s="0" t="s">
        <v>4155</v>
      </c>
      <c r="K1286" s="0" t="s">
        <v>2670</v>
      </c>
      <c r="L1286" s="0" t="n">
        <v>2016</v>
      </c>
      <c r="M1286" s="0" t="s">
        <v>2035</v>
      </c>
      <c r="N1286" s="0" t="s">
        <v>86</v>
      </c>
      <c r="O1286" s="0" t="s">
        <v>2492</v>
      </c>
      <c r="P1286" s="0" t="s">
        <v>5126</v>
      </c>
      <c r="Q1286" s="0" t="n">
        <v>176</v>
      </c>
      <c r="R1286" s="0" t="n">
        <v>176</v>
      </c>
      <c r="S1286" s="0" t="s">
        <v>5090</v>
      </c>
      <c r="T1286" s="0" t="s">
        <v>5154</v>
      </c>
      <c r="U1286" s="0" t="s">
        <v>4209</v>
      </c>
      <c r="V1286" s="0" t="s">
        <v>87</v>
      </c>
      <c r="W1286" s="0" t="s">
        <v>5151</v>
      </c>
      <c r="X1286" s="0" t="s">
        <v>5152</v>
      </c>
      <c r="Y1286" s="0" t="s">
        <v>4159</v>
      </c>
      <c r="Z1286" s="0" t="s">
        <v>4160</v>
      </c>
      <c r="AA1286" s="0" t="s">
        <v>5155</v>
      </c>
      <c r="AB1286" s="0" t="s">
        <v>5131</v>
      </c>
      <c r="AC1286" s="0" t="s">
        <v>4162</v>
      </c>
      <c r="AD1286" s="0" t="s">
        <v>4163</v>
      </c>
      <c r="AE1286" s="0" t="s">
        <v>4164</v>
      </c>
      <c r="AF1286" s="0" t="s">
        <v>5132</v>
      </c>
      <c r="AH1286" s="0" t="s">
        <v>4174</v>
      </c>
      <c r="AI1286" s="0" t="s">
        <v>5149</v>
      </c>
      <c r="AL1286" s="0" t="s">
        <v>523</v>
      </c>
    </row>
    <row r="1287" customFormat="false" ht="15" hidden="false" customHeight="false" outlineLevel="0" collapsed="false">
      <c r="A1287" s="0" t="s">
        <v>563</v>
      </c>
      <c r="B1287" s="0" t="s">
        <v>77</v>
      </c>
      <c r="C1287" s="0" t="s">
        <v>5066</v>
      </c>
      <c r="D1287" s="0" t="n">
        <v>2016</v>
      </c>
      <c r="E1287" s="0" t="s">
        <v>543</v>
      </c>
      <c r="F1287" s="0" t="n">
        <v>-10084316</v>
      </c>
      <c r="G1287" s="0" t="s">
        <v>3067</v>
      </c>
      <c r="H1287" s="0" t="s">
        <v>3068</v>
      </c>
      <c r="I1287" s="0" t="n">
        <v>10084.316</v>
      </c>
      <c r="J1287" s="0" t="s">
        <v>4155</v>
      </c>
      <c r="K1287" s="0" t="s">
        <v>2670</v>
      </c>
      <c r="L1287" s="0" t="n">
        <v>2016</v>
      </c>
      <c r="M1287" s="0" t="s">
        <v>2035</v>
      </c>
      <c r="N1287" s="0" t="s">
        <v>86</v>
      </c>
      <c r="O1287" s="0" t="s">
        <v>2492</v>
      </c>
      <c r="P1287" s="0" t="s">
        <v>5126</v>
      </c>
      <c r="Q1287" s="0" t="n">
        <v>176</v>
      </c>
      <c r="R1287" s="0" t="n">
        <v>176</v>
      </c>
      <c r="S1287" s="0" t="s">
        <v>5090</v>
      </c>
      <c r="T1287" s="0" t="s">
        <v>5156</v>
      </c>
      <c r="U1287" s="0" t="s">
        <v>4209</v>
      </c>
      <c r="V1287" s="0" t="s">
        <v>87</v>
      </c>
      <c r="W1287" s="0" t="s">
        <v>5151</v>
      </c>
      <c r="X1287" s="0" t="s">
        <v>5152</v>
      </c>
      <c r="Y1287" s="0" t="s">
        <v>4159</v>
      </c>
      <c r="Z1287" s="0" t="s">
        <v>4160</v>
      </c>
      <c r="AA1287" s="0" t="s">
        <v>5157</v>
      </c>
      <c r="AB1287" s="0" t="s">
        <v>5131</v>
      </c>
      <c r="AC1287" s="0" t="s">
        <v>4162</v>
      </c>
      <c r="AD1287" s="0" t="s">
        <v>4163</v>
      </c>
      <c r="AE1287" s="0" t="s">
        <v>4164</v>
      </c>
      <c r="AF1287" s="0" t="s">
        <v>5132</v>
      </c>
      <c r="AH1287" s="0" t="s">
        <v>4174</v>
      </c>
      <c r="AI1287" s="0" t="s">
        <v>5149</v>
      </c>
      <c r="AL1287" s="0" t="s">
        <v>523</v>
      </c>
    </row>
    <row r="1288" customFormat="false" ht="15" hidden="false" customHeight="false" outlineLevel="0" collapsed="false">
      <c r="A1288" s="0" t="s">
        <v>564</v>
      </c>
      <c r="B1288" s="0" t="s">
        <v>77</v>
      </c>
      <c r="C1288" s="0" t="s">
        <v>5066</v>
      </c>
      <c r="D1288" s="0" t="n">
        <v>2016</v>
      </c>
      <c r="E1288" s="0" t="s">
        <v>545</v>
      </c>
      <c r="F1288" s="0" t="n">
        <v>-20191198</v>
      </c>
      <c r="G1288" s="0" t="s">
        <v>3067</v>
      </c>
      <c r="H1288" s="0" t="s">
        <v>3068</v>
      </c>
      <c r="I1288" s="0" t="n">
        <v>20191.198</v>
      </c>
      <c r="J1288" s="0" t="s">
        <v>4155</v>
      </c>
      <c r="K1288" s="0" t="s">
        <v>2670</v>
      </c>
      <c r="L1288" s="0" t="n">
        <v>2016</v>
      </c>
      <c r="M1288" s="0" t="s">
        <v>2035</v>
      </c>
      <c r="N1288" s="0" t="s">
        <v>86</v>
      </c>
      <c r="O1288" s="0" t="s">
        <v>2492</v>
      </c>
      <c r="P1288" s="0" t="s">
        <v>5126</v>
      </c>
      <c r="Q1288" s="0" t="n">
        <v>176</v>
      </c>
      <c r="R1288" s="0" t="n">
        <v>176</v>
      </c>
      <c r="S1288" s="0" t="s">
        <v>5090</v>
      </c>
      <c r="T1288" s="0" t="s">
        <v>5158</v>
      </c>
      <c r="U1288" s="0" t="s">
        <v>4209</v>
      </c>
      <c r="V1288" s="0" t="s">
        <v>87</v>
      </c>
      <c r="W1288" s="0" t="s">
        <v>5151</v>
      </c>
      <c r="X1288" s="0" t="s">
        <v>5152</v>
      </c>
      <c r="Y1288" s="0" t="s">
        <v>4159</v>
      </c>
      <c r="Z1288" s="0" t="s">
        <v>4160</v>
      </c>
      <c r="AA1288" s="0" t="s">
        <v>5159</v>
      </c>
      <c r="AB1288" s="0" t="s">
        <v>5131</v>
      </c>
      <c r="AC1288" s="0" t="s">
        <v>4162</v>
      </c>
      <c r="AD1288" s="0" t="s">
        <v>4163</v>
      </c>
      <c r="AE1288" s="0" t="s">
        <v>4164</v>
      </c>
      <c r="AF1288" s="0" t="s">
        <v>5132</v>
      </c>
      <c r="AH1288" s="0" t="s">
        <v>4174</v>
      </c>
      <c r="AI1288" s="0" t="s">
        <v>5149</v>
      </c>
      <c r="AL1288" s="0" t="s">
        <v>523</v>
      </c>
    </row>
    <row r="1289" customFormat="false" ht="15" hidden="false" customHeight="false" outlineLevel="0" collapsed="false">
      <c r="A1289" s="0" t="s">
        <v>555</v>
      </c>
      <c r="B1289" s="0" t="s">
        <v>77</v>
      </c>
      <c r="C1289" s="0" t="s">
        <v>5066</v>
      </c>
      <c r="D1289" s="0" t="n">
        <v>2016</v>
      </c>
      <c r="E1289" s="0" t="s">
        <v>62</v>
      </c>
      <c r="F1289" s="0" t="n">
        <v>1594562345</v>
      </c>
      <c r="G1289" s="0" t="s">
        <v>3067</v>
      </c>
      <c r="H1289" s="0" t="s">
        <v>3068</v>
      </c>
      <c r="I1289" s="0" t="n">
        <v>1594562.345</v>
      </c>
      <c r="J1289" s="0" t="s">
        <v>4155</v>
      </c>
      <c r="K1289" s="0" t="s">
        <v>2670</v>
      </c>
      <c r="L1289" s="0" t="n">
        <v>2016</v>
      </c>
      <c r="M1289" s="0" t="s">
        <v>2035</v>
      </c>
      <c r="N1289" s="0" t="s">
        <v>86</v>
      </c>
      <c r="O1289" s="0" t="s">
        <v>2492</v>
      </c>
      <c r="P1289" s="0" t="s">
        <v>5126</v>
      </c>
      <c r="Q1289" s="0" t="n">
        <v>52</v>
      </c>
      <c r="R1289" s="0" t="n">
        <v>52</v>
      </c>
      <c r="S1289" s="0" t="n">
        <v>23</v>
      </c>
      <c r="T1289" s="0" t="s">
        <v>5127</v>
      </c>
      <c r="U1289" s="0" t="s">
        <v>4209</v>
      </c>
      <c r="V1289" s="0" t="s">
        <v>87</v>
      </c>
      <c r="W1289" s="0" t="s">
        <v>5160</v>
      </c>
      <c r="X1289" s="0" t="s">
        <v>5129</v>
      </c>
      <c r="Y1289" s="0" t="s">
        <v>4159</v>
      </c>
      <c r="Z1289" s="0" t="s">
        <v>4160</v>
      </c>
      <c r="AA1289" s="0" t="s">
        <v>5161</v>
      </c>
      <c r="AB1289" s="0" t="s">
        <v>5131</v>
      </c>
      <c r="AC1289" s="0" t="s">
        <v>4162</v>
      </c>
      <c r="AD1289" s="0" t="s">
        <v>4163</v>
      </c>
      <c r="AE1289" s="0" t="s">
        <v>4164</v>
      </c>
      <c r="AF1289" s="0" t="s">
        <v>5132</v>
      </c>
      <c r="AH1289" s="0" t="s">
        <v>2239</v>
      </c>
      <c r="AL1289" s="0" t="s">
        <v>523</v>
      </c>
    </row>
    <row r="1290" customFormat="false" ht="15" hidden="false" customHeight="false" outlineLevel="0" collapsed="false">
      <c r="A1290" s="0" t="s">
        <v>559</v>
      </c>
      <c r="B1290" s="0" t="s">
        <v>77</v>
      </c>
      <c r="C1290" s="0" t="s">
        <v>5066</v>
      </c>
      <c r="D1290" s="0" t="n">
        <v>2016</v>
      </c>
      <c r="E1290" s="0" t="s">
        <v>65</v>
      </c>
      <c r="F1290" s="0" t="n">
        <v>419807319</v>
      </c>
      <c r="G1290" s="0" t="s">
        <v>3067</v>
      </c>
      <c r="H1290" s="0" t="s">
        <v>3068</v>
      </c>
      <c r="I1290" s="0" t="n">
        <v>419807.319</v>
      </c>
      <c r="J1290" s="0" t="s">
        <v>4155</v>
      </c>
      <c r="K1290" s="0" t="s">
        <v>2670</v>
      </c>
      <c r="L1290" s="0" t="n">
        <v>2016</v>
      </c>
      <c r="M1290" s="0" t="s">
        <v>2035</v>
      </c>
      <c r="N1290" s="0" t="s">
        <v>86</v>
      </c>
      <c r="O1290" s="0" t="s">
        <v>2492</v>
      </c>
      <c r="P1290" s="0" t="s">
        <v>5126</v>
      </c>
      <c r="Q1290" s="0" t="n">
        <v>161</v>
      </c>
      <c r="R1290" s="0" t="n">
        <v>161</v>
      </c>
      <c r="S1290" s="0" t="n">
        <v>6</v>
      </c>
      <c r="T1290" s="0" t="s">
        <v>5127</v>
      </c>
      <c r="U1290" s="0" t="s">
        <v>4209</v>
      </c>
      <c r="V1290" s="0" t="s">
        <v>87</v>
      </c>
      <c r="W1290" s="0" t="s">
        <v>5162</v>
      </c>
      <c r="X1290" s="0" t="s">
        <v>5163</v>
      </c>
      <c r="Y1290" s="0" t="s">
        <v>4159</v>
      </c>
      <c r="Z1290" s="0" t="s">
        <v>4160</v>
      </c>
      <c r="AA1290" s="0" t="s">
        <v>5164</v>
      </c>
      <c r="AB1290" s="0" t="s">
        <v>5131</v>
      </c>
      <c r="AC1290" s="0" t="s">
        <v>4162</v>
      </c>
      <c r="AD1290" s="0" t="s">
        <v>4163</v>
      </c>
      <c r="AE1290" s="0" t="s">
        <v>4164</v>
      </c>
      <c r="AF1290" s="0" t="s">
        <v>5132</v>
      </c>
      <c r="AH1290" s="0" t="s">
        <v>2239</v>
      </c>
      <c r="AL1290" s="0" t="s">
        <v>523</v>
      </c>
    </row>
    <row r="1291" customFormat="false" ht="15" hidden="false" customHeight="false" outlineLevel="0" collapsed="false">
      <c r="A1291" s="0" t="s">
        <v>560</v>
      </c>
      <c r="B1291" s="0" t="s">
        <v>77</v>
      </c>
      <c r="C1291" s="0" t="s">
        <v>5066</v>
      </c>
      <c r="D1291" s="0" t="n">
        <v>2016</v>
      </c>
      <c r="E1291" s="0" t="s">
        <v>66</v>
      </c>
      <c r="F1291" s="0" t="n">
        <v>2146850027</v>
      </c>
      <c r="G1291" s="0" t="s">
        <v>3067</v>
      </c>
      <c r="H1291" s="0" t="s">
        <v>3068</v>
      </c>
      <c r="I1291" s="0" t="n">
        <v>2146850.027</v>
      </c>
      <c r="J1291" s="0" t="s">
        <v>4155</v>
      </c>
      <c r="K1291" s="0" t="s">
        <v>2670</v>
      </c>
      <c r="L1291" s="0" t="n">
        <v>2016</v>
      </c>
      <c r="M1291" s="0" t="s">
        <v>2035</v>
      </c>
      <c r="N1291" s="0" t="s">
        <v>86</v>
      </c>
      <c r="O1291" s="0" t="s">
        <v>2492</v>
      </c>
      <c r="P1291" s="0" t="s">
        <v>5126</v>
      </c>
      <c r="Q1291" s="0" t="n">
        <v>161</v>
      </c>
      <c r="R1291" s="0" t="n">
        <v>161</v>
      </c>
      <c r="S1291" s="0" t="n">
        <v>6</v>
      </c>
      <c r="T1291" s="0" t="s">
        <v>5127</v>
      </c>
      <c r="U1291" s="0" t="s">
        <v>4209</v>
      </c>
      <c r="V1291" s="0" t="s">
        <v>87</v>
      </c>
      <c r="W1291" s="0" t="s">
        <v>5165</v>
      </c>
      <c r="X1291" s="0" t="s">
        <v>5163</v>
      </c>
      <c r="Y1291" s="0" t="s">
        <v>4159</v>
      </c>
      <c r="Z1291" s="0" t="s">
        <v>4160</v>
      </c>
      <c r="AA1291" s="0" t="s">
        <v>5166</v>
      </c>
      <c r="AB1291" s="0" t="s">
        <v>5131</v>
      </c>
      <c r="AC1291" s="0" t="s">
        <v>4162</v>
      </c>
      <c r="AD1291" s="0" t="s">
        <v>4163</v>
      </c>
      <c r="AE1291" s="0" t="s">
        <v>4164</v>
      </c>
      <c r="AF1291" s="0" t="s">
        <v>5132</v>
      </c>
      <c r="AH1291" s="0" t="s">
        <v>2239</v>
      </c>
      <c r="AL1291" s="0" t="s">
        <v>523</v>
      </c>
    </row>
    <row r="1292" customFormat="false" ht="15" hidden="false" customHeight="false" outlineLevel="0" collapsed="false">
      <c r="A1292" s="0" t="s">
        <v>557</v>
      </c>
      <c r="B1292" s="0" t="s">
        <v>77</v>
      </c>
      <c r="C1292" s="0" t="s">
        <v>5066</v>
      </c>
      <c r="D1292" s="0" t="n">
        <v>2016</v>
      </c>
      <c r="E1292" s="0" t="s">
        <v>69</v>
      </c>
      <c r="F1292" s="0" t="s">
        <v>5167</v>
      </c>
      <c r="G1292" s="0" t="s">
        <v>3143</v>
      </c>
      <c r="I1292" s="0" t="n">
        <v>19.55</v>
      </c>
      <c r="J1292" s="0" t="s">
        <v>4155</v>
      </c>
      <c r="K1292" s="0" t="s">
        <v>2670</v>
      </c>
      <c r="L1292" s="0" t="n">
        <v>2016</v>
      </c>
      <c r="M1292" s="0" t="s">
        <v>2035</v>
      </c>
      <c r="N1292" s="0" t="s">
        <v>86</v>
      </c>
      <c r="O1292" s="0" t="s">
        <v>2492</v>
      </c>
      <c r="P1292" s="0" t="s">
        <v>5126</v>
      </c>
      <c r="Q1292" s="0" t="n">
        <v>161</v>
      </c>
      <c r="R1292" s="0" t="n">
        <v>161</v>
      </c>
      <c r="S1292" s="0" t="n">
        <v>6</v>
      </c>
      <c r="T1292" s="0" t="s">
        <v>5127</v>
      </c>
      <c r="U1292" s="0" t="s">
        <v>4209</v>
      </c>
      <c r="V1292" s="0" t="s">
        <v>87</v>
      </c>
      <c r="W1292" s="0" t="s">
        <v>5168</v>
      </c>
      <c r="X1292" s="0" t="s">
        <v>5163</v>
      </c>
      <c r="Y1292" s="0" t="s">
        <v>4159</v>
      </c>
      <c r="Z1292" s="0" t="s">
        <v>4160</v>
      </c>
      <c r="AA1292" s="0" t="s">
        <v>5169</v>
      </c>
      <c r="AB1292" s="0" t="s">
        <v>5131</v>
      </c>
      <c r="AC1292" s="0" t="s">
        <v>4162</v>
      </c>
      <c r="AD1292" s="0" t="s">
        <v>4163</v>
      </c>
      <c r="AE1292" s="0" t="s">
        <v>4164</v>
      </c>
      <c r="AF1292" s="0" t="s">
        <v>5132</v>
      </c>
      <c r="AH1292" s="0" t="s">
        <v>2239</v>
      </c>
      <c r="AL1292" s="0" t="s">
        <v>523</v>
      </c>
    </row>
    <row r="1293" customFormat="false" ht="15" hidden="false" customHeight="false" outlineLevel="0" collapsed="false">
      <c r="A1293" s="0" t="s">
        <v>558</v>
      </c>
      <c r="B1293" s="0" t="s">
        <v>77</v>
      </c>
      <c r="C1293" s="0" t="s">
        <v>5066</v>
      </c>
      <c r="D1293" s="0" t="n">
        <v>2016</v>
      </c>
      <c r="E1293" s="0" t="s">
        <v>70</v>
      </c>
      <c r="F1293" s="0" t="s">
        <v>5116</v>
      </c>
      <c r="G1293" s="0" t="s">
        <v>3143</v>
      </c>
      <c r="I1293" s="0" t="n">
        <v>16</v>
      </c>
      <c r="J1293" s="0" t="s">
        <v>4155</v>
      </c>
      <c r="K1293" s="0" t="s">
        <v>2670</v>
      </c>
      <c r="L1293" s="0" t="n">
        <v>2016</v>
      </c>
      <c r="M1293" s="0" t="s">
        <v>2035</v>
      </c>
      <c r="N1293" s="0" t="s">
        <v>86</v>
      </c>
      <c r="O1293" s="0" t="s">
        <v>2492</v>
      </c>
      <c r="P1293" s="0" t="s">
        <v>5126</v>
      </c>
      <c r="Q1293" s="0" t="n">
        <v>161</v>
      </c>
      <c r="R1293" s="0" t="n">
        <v>161</v>
      </c>
      <c r="S1293" s="0" t="n">
        <v>6</v>
      </c>
      <c r="T1293" s="0" t="s">
        <v>5170</v>
      </c>
      <c r="U1293" s="0" t="s">
        <v>4209</v>
      </c>
      <c r="V1293" s="0" t="s">
        <v>87</v>
      </c>
      <c r="W1293" s="0" t="s">
        <v>5118</v>
      </c>
      <c r="X1293" s="0" t="s">
        <v>5163</v>
      </c>
      <c r="Y1293" s="0" t="s">
        <v>4159</v>
      </c>
      <c r="Z1293" s="0" t="s">
        <v>4160</v>
      </c>
      <c r="AA1293" s="0" t="s">
        <v>5171</v>
      </c>
      <c r="AB1293" s="0" t="s">
        <v>5131</v>
      </c>
      <c r="AC1293" s="0" t="s">
        <v>4162</v>
      </c>
      <c r="AD1293" s="0" t="s">
        <v>4163</v>
      </c>
      <c r="AE1293" s="0" t="s">
        <v>4164</v>
      </c>
      <c r="AF1293" s="0" t="s">
        <v>5132</v>
      </c>
      <c r="AH1293" s="0" t="s">
        <v>2239</v>
      </c>
      <c r="AL1293" s="0" t="s">
        <v>523</v>
      </c>
    </row>
    <row r="1294" customFormat="false" ht="15" hidden="false" customHeight="false" outlineLevel="0" collapsed="false">
      <c r="A1294" s="0" t="s">
        <v>561</v>
      </c>
      <c r="B1294" s="0" t="s">
        <v>77</v>
      </c>
      <c r="C1294" s="0" t="s">
        <v>5066</v>
      </c>
      <c r="D1294" s="0" t="n">
        <v>2016</v>
      </c>
      <c r="E1294" s="0" t="s">
        <v>73</v>
      </c>
      <c r="F1294" s="0" t="n">
        <v>0</v>
      </c>
      <c r="G1294" s="0" t="s">
        <v>4257</v>
      </c>
      <c r="I1294" s="0" t="n">
        <v>0</v>
      </c>
      <c r="J1294" s="0" t="s">
        <v>4258</v>
      </c>
      <c r="K1294" s="0" t="s">
        <v>2670</v>
      </c>
      <c r="L1294" s="0" t="n">
        <v>2016</v>
      </c>
      <c r="M1294" s="0" t="s">
        <v>2035</v>
      </c>
      <c r="N1294" s="0" t="s">
        <v>86</v>
      </c>
      <c r="O1294" s="0" t="s">
        <v>2492</v>
      </c>
      <c r="P1294" s="0" t="s">
        <v>5126</v>
      </c>
      <c r="Q1294" s="0" t="n">
        <v>43</v>
      </c>
      <c r="S1294" s="0" t="s">
        <v>5121</v>
      </c>
      <c r="T1294" s="0" t="s">
        <v>5172</v>
      </c>
      <c r="U1294" s="0" t="s">
        <v>4209</v>
      </c>
      <c r="V1294" s="0" t="s">
        <v>87</v>
      </c>
      <c r="W1294" s="0" t="s">
        <v>4803</v>
      </c>
      <c r="X1294" s="0" t="s">
        <v>5173</v>
      </c>
      <c r="Y1294" s="0" t="s">
        <v>4212</v>
      </c>
      <c r="Z1294" s="0" t="s">
        <v>4160</v>
      </c>
      <c r="AA1294" s="0" t="s">
        <v>5174</v>
      </c>
      <c r="AB1294" s="0" t="s">
        <v>5131</v>
      </c>
      <c r="AC1294" s="0" t="s">
        <v>4162</v>
      </c>
      <c r="AD1294" s="0" t="s">
        <v>4163</v>
      </c>
      <c r="AE1294" s="0" t="s">
        <v>4164</v>
      </c>
      <c r="AF1294" s="0" t="s">
        <v>5132</v>
      </c>
      <c r="AG1294" s="0" t="s">
        <v>1828</v>
      </c>
      <c r="AH1294" s="0" t="s">
        <v>2239</v>
      </c>
      <c r="AL1294" s="0" t="s">
        <v>539</v>
      </c>
    </row>
    <row r="1295" customFormat="false" ht="15" hidden="false" customHeight="false" outlineLevel="0" collapsed="false">
      <c r="A1295" s="0" t="s">
        <v>566</v>
      </c>
      <c r="B1295" s="0" t="s">
        <v>77</v>
      </c>
      <c r="C1295" s="0" t="s">
        <v>5066</v>
      </c>
      <c r="D1295" s="0" t="n">
        <v>2017</v>
      </c>
      <c r="E1295" s="0" t="s">
        <v>55</v>
      </c>
      <c r="F1295" s="0" t="n">
        <v>3499683979</v>
      </c>
      <c r="G1295" s="0" t="s">
        <v>3067</v>
      </c>
      <c r="H1295" s="0" t="s">
        <v>3068</v>
      </c>
      <c r="I1295" s="0" t="n">
        <v>3499683.979</v>
      </c>
      <c r="J1295" s="0" t="s">
        <v>4155</v>
      </c>
      <c r="K1295" s="0" t="s">
        <v>2671</v>
      </c>
      <c r="L1295" s="0" t="n">
        <v>2017</v>
      </c>
      <c r="M1295" s="0" t="s">
        <v>2044</v>
      </c>
      <c r="N1295" s="0" t="s">
        <v>88</v>
      </c>
      <c r="O1295" s="0" t="s">
        <v>2494</v>
      </c>
      <c r="P1295" s="0" t="s">
        <v>5175</v>
      </c>
      <c r="Q1295" s="0" t="n">
        <v>65</v>
      </c>
      <c r="R1295" s="0" t="n">
        <v>65</v>
      </c>
      <c r="T1295" s="0" t="s">
        <v>5176</v>
      </c>
      <c r="U1295" s="0" t="s">
        <v>4396</v>
      </c>
      <c r="V1295" s="0" t="s">
        <v>89</v>
      </c>
      <c r="W1295" s="0" t="s">
        <v>5177</v>
      </c>
      <c r="X1295" s="0" t="s">
        <v>5178</v>
      </c>
      <c r="Y1295" s="0" t="s">
        <v>4159</v>
      </c>
      <c r="Z1295" s="0" t="s">
        <v>4160</v>
      </c>
      <c r="AA1295" s="0" t="s">
        <v>5179</v>
      </c>
      <c r="AB1295" s="0" t="s">
        <v>5180</v>
      </c>
      <c r="AC1295" s="0" t="s">
        <v>4162</v>
      </c>
      <c r="AD1295" s="0" t="s">
        <v>4163</v>
      </c>
      <c r="AE1295" s="0" t="s">
        <v>4164</v>
      </c>
      <c r="AF1295" s="0" t="s">
        <v>5181</v>
      </c>
      <c r="AH1295" s="0" t="s">
        <v>2239</v>
      </c>
      <c r="AL1295" s="0" t="s">
        <v>523</v>
      </c>
    </row>
    <row r="1296" customFormat="false" ht="15" hidden="false" customHeight="false" outlineLevel="0" collapsed="false">
      <c r="A1296" s="0" t="s">
        <v>567</v>
      </c>
      <c r="B1296" s="0" t="s">
        <v>77</v>
      </c>
      <c r="C1296" s="0" t="s">
        <v>5066</v>
      </c>
      <c r="D1296" s="0" t="n">
        <v>2017</v>
      </c>
      <c r="E1296" s="0" t="s">
        <v>56</v>
      </c>
      <c r="F1296" s="0" t="n">
        <v>3030192882</v>
      </c>
      <c r="G1296" s="0" t="s">
        <v>3067</v>
      </c>
      <c r="H1296" s="0" t="s">
        <v>3068</v>
      </c>
      <c r="I1296" s="0" t="n">
        <v>3030192.882</v>
      </c>
      <c r="J1296" s="0" t="s">
        <v>4155</v>
      </c>
      <c r="K1296" s="0" t="s">
        <v>2671</v>
      </c>
      <c r="L1296" s="0" t="n">
        <v>2017</v>
      </c>
      <c r="M1296" s="0" t="s">
        <v>2044</v>
      </c>
      <c r="N1296" s="0" t="s">
        <v>88</v>
      </c>
      <c r="O1296" s="0" t="s">
        <v>2494</v>
      </c>
      <c r="P1296" s="0" t="s">
        <v>5175</v>
      </c>
      <c r="Q1296" s="0" t="n">
        <v>65</v>
      </c>
      <c r="R1296" s="0" t="n">
        <v>65</v>
      </c>
      <c r="T1296" s="0" t="s">
        <v>5176</v>
      </c>
      <c r="U1296" s="0" t="s">
        <v>4396</v>
      </c>
      <c r="V1296" s="0" t="s">
        <v>89</v>
      </c>
      <c r="W1296" s="0" t="s">
        <v>5182</v>
      </c>
      <c r="X1296" s="0" t="s">
        <v>5178</v>
      </c>
      <c r="Y1296" s="0" t="s">
        <v>4159</v>
      </c>
      <c r="Z1296" s="0" t="s">
        <v>4160</v>
      </c>
      <c r="AA1296" s="0" t="s">
        <v>5183</v>
      </c>
      <c r="AB1296" s="0" t="s">
        <v>5180</v>
      </c>
      <c r="AC1296" s="0" t="s">
        <v>4162</v>
      </c>
      <c r="AD1296" s="0" t="s">
        <v>4163</v>
      </c>
      <c r="AE1296" s="0" t="s">
        <v>4164</v>
      </c>
      <c r="AF1296" s="0" t="s">
        <v>5181</v>
      </c>
      <c r="AH1296" s="0" t="s">
        <v>2239</v>
      </c>
      <c r="AL1296" s="0" t="s">
        <v>523</v>
      </c>
    </row>
    <row r="1297" customFormat="false" ht="15" hidden="false" customHeight="false" outlineLevel="0" collapsed="false">
      <c r="A1297" s="0" t="s">
        <v>568</v>
      </c>
      <c r="B1297" s="0" t="s">
        <v>77</v>
      </c>
      <c r="C1297" s="0" t="s">
        <v>5066</v>
      </c>
      <c r="D1297" s="0" t="n">
        <v>2017</v>
      </c>
      <c r="E1297" s="0" t="s">
        <v>57</v>
      </c>
      <c r="F1297" s="0" t="n">
        <v>469491097</v>
      </c>
      <c r="G1297" s="0" t="s">
        <v>3067</v>
      </c>
      <c r="H1297" s="0" t="s">
        <v>3068</v>
      </c>
      <c r="I1297" s="0" t="n">
        <v>469491.097</v>
      </c>
      <c r="J1297" s="0" t="s">
        <v>4155</v>
      </c>
      <c r="K1297" s="0" t="s">
        <v>2671</v>
      </c>
      <c r="L1297" s="0" t="n">
        <v>2017</v>
      </c>
      <c r="M1297" s="0" t="s">
        <v>2044</v>
      </c>
      <c r="N1297" s="0" t="s">
        <v>88</v>
      </c>
      <c r="O1297" s="0" t="s">
        <v>2494</v>
      </c>
      <c r="P1297" s="0" t="s">
        <v>5175</v>
      </c>
      <c r="Q1297" s="0" t="n">
        <v>65</v>
      </c>
      <c r="R1297" s="0" t="n">
        <v>65</v>
      </c>
      <c r="T1297" s="0" t="s">
        <v>5176</v>
      </c>
      <c r="U1297" s="0" t="s">
        <v>4396</v>
      </c>
      <c r="V1297" s="0" t="s">
        <v>89</v>
      </c>
      <c r="W1297" s="0" t="s">
        <v>5184</v>
      </c>
      <c r="X1297" s="0" t="s">
        <v>5178</v>
      </c>
      <c r="Y1297" s="0" t="s">
        <v>4159</v>
      </c>
      <c r="Z1297" s="0" t="s">
        <v>4160</v>
      </c>
      <c r="AA1297" s="0" t="s">
        <v>5185</v>
      </c>
      <c r="AB1297" s="0" t="s">
        <v>5180</v>
      </c>
      <c r="AC1297" s="0" t="s">
        <v>4162</v>
      </c>
      <c r="AD1297" s="0" t="s">
        <v>4163</v>
      </c>
      <c r="AE1297" s="0" t="s">
        <v>4164</v>
      </c>
      <c r="AF1297" s="0" t="s">
        <v>5181</v>
      </c>
      <c r="AH1297" s="0" t="s">
        <v>2239</v>
      </c>
      <c r="AL1297" s="0" t="s">
        <v>523</v>
      </c>
    </row>
    <row r="1298" customFormat="false" ht="15" hidden="false" customHeight="false" outlineLevel="0" collapsed="false">
      <c r="A1298" s="0" t="s">
        <v>565</v>
      </c>
      <c r="B1298" s="0" t="s">
        <v>77</v>
      </c>
      <c r="C1298" s="0" t="s">
        <v>5066</v>
      </c>
      <c r="D1298" s="0" t="n">
        <v>2017</v>
      </c>
      <c r="E1298" s="0" t="s">
        <v>54</v>
      </c>
      <c r="F1298" s="0" t="n">
        <v>53238822</v>
      </c>
      <c r="G1298" s="0" t="s">
        <v>3067</v>
      </c>
      <c r="H1298" s="0" t="s">
        <v>3068</v>
      </c>
      <c r="I1298" s="0" t="n">
        <v>53238.822</v>
      </c>
      <c r="J1298" s="0" t="s">
        <v>4155</v>
      </c>
      <c r="K1298" s="0" t="s">
        <v>2671</v>
      </c>
      <c r="L1298" s="0" t="n">
        <v>2017</v>
      </c>
      <c r="M1298" s="0" t="s">
        <v>2044</v>
      </c>
      <c r="N1298" s="0" t="s">
        <v>88</v>
      </c>
      <c r="O1298" s="0" t="s">
        <v>2494</v>
      </c>
      <c r="P1298" s="0" t="s">
        <v>5175</v>
      </c>
      <c r="Q1298" s="0" t="n">
        <v>64</v>
      </c>
      <c r="R1298" s="0" t="n">
        <v>64</v>
      </c>
      <c r="T1298" s="0" t="s">
        <v>5176</v>
      </c>
      <c r="U1298" s="0" t="s">
        <v>4396</v>
      </c>
      <c r="V1298" s="0" t="s">
        <v>89</v>
      </c>
      <c r="W1298" s="0" t="s">
        <v>5186</v>
      </c>
      <c r="X1298" s="0" t="s">
        <v>5187</v>
      </c>
      <c r="Y1298" s="0" t="s">
        <v>4159</v>
      </c>
      <c r="Z1298" s="0" t="s">
        <v>4160</v>
      </c>
      <c r="AA1298" s="0" t="s">
        <v>5188</v>
      </c>
      <c r="AB1298" s="0" t="s">
        <v>5180</v>
      </c>
      <c r="AC1298" s="0" t="s">
        <v>4162</v>
      </c>
      <c r="AD1298" s="0" t="s">
        <v>4163</v>
      </c>
      <c r="AE1298" s="0" t="s">
        <v>4164</v>
      </c>
      <c r="AF1298" s="0" t="s">
        <v>5181</v>
      </c>
      <c r="AH1298" s="0" t="s">
        <v>2239</v>
      </c>
      <c r="AL1298" s="0" t="s">
        <v>523</v>
      </c>
    </row>
    <row r="1299" customFormat="false" ht="15" hidden="false" customHeight="false" outlineLevel="0" collapsed="false">
      <c r="A1299" s="0" t="s">
        <v>580</v>
      </c>
      <c r="B1299" s="0" t="s">
        <v>77</v>
      </c>
      <c r="C1299" s="0" t="s">
        <v>5066</v>
      </c>
      <c r="D1299" s="0" t="n">
        <v>2017</v>
      </c>
      <c r="E1299" s="0" t="s">
        <v>541</v>
      </c>
      <c r="F1299" s="0" t="n">
        <v>67043501</v>
      </c>
      <c r="G1299" s="0" t="s">
        <v>3067</v>
      </c>
      <c r="H1299" s="0" t="s">
        <v>3068</v>
      </c>
      <c r="I1299" s="0" t="n">
        <v>67043.501</v>
      </c>
      <c r="J1299" s="0" t="s">
        <v>4155</v>
      </c>
      <c r="K1299" s="0" t="s">
        <v>2671</v>
      </c>
      <c r="L1299" s="0" t="n">
        <v>2017</v>
      </c>
      <c r="M1299" s="0" t="s">
        <v>2044</v>
      </c>
      <c r="N1299" s="0" t="s">
        <v>88</v>
      </c>
      <c r="O1299" s="0" t="s">
        <v>2494</v>
      </c>
      <c r="P1299" s="0" t="s">
        <v>5175</v>
      </c>
      <c r="Q1299" s="0" t="n">
        <v>64</v>
      </c>
      <c r="R1299" s="0" t="n">
        <v>64</v>
      </c>
      <c r="T1299" s="0" t="s">
        <v>5176</v>
      </c>
      <c r="U1299" s="0" t="s">
        <v>4396</v>
      </c>
      <c r="V1299" s="0" t="s">
        <v>89</v>
      </c>
      <c r="W1299" s="0" t="s">
        <v>5189</v>
      </c>
      <c r="X1299" s="0" t="s">
        <v>5187</v>
      </c>
      <c r="Y1299" s="0" t="s">
        <v>4159</v>
      </c>
      <c r="Z1299" s="0" t="s">
        <v>4160</v>
      </c>
      <c r="AA1299" s="0" t="s">
        <v>5190</v>
      </c>
      <c r="AB1299" s="0" t="s">
        <v>5180</v>
      </c>
      <c r="AC1299" s="0" t="s">
        <v>4162</v>
      </c>
      <c r="AD1299" s="0" t="s">
        <v>4163</v>
      </c>
      <c r="AE1299" s="0" t="s">
        <v>4164</v>
      </c>
      <c r="AF1299" s="0" t="s">
        <v>5181</v>
      </c>
      <c r="AH1299" s="0" t="s">
        <v>2239</v>
      </c>
      <c r="AL1299" s="0" t="s">
        <v>523</v>
      </c>
    </row>
    <row r="1300" customFormat="false" ht="15" hidden="false" customHeight="false" outlineLevel="0" collapsed="false">
      <c r="A1300" s="0" t="s">
        <v>569</v>
      </c>
      <c r="B1300" s="0" t="s">
        <v>77</v>
      </c>
      <c r="C1300" s="0" t="s">
        <v>5066</v>
      </c>
      <c r="D1300" s="0" t="n">
        <v>2017</v>
      </c>
      <c r="E1300" s="0" t="s">
        <v>58</v>
      </c>
      <c r="F1300" s="0" t="n">
        <v>104360682</v>
      </c>
      <c r="G1300" s="0" t="s">
        <v>3067</v>
      </c>
      <c r="H1300" s="0" t="s">
        <v>3068</v>
      </c>
      <c r="I1300" s="0" t="n">
        <v>104360.682</v>
      </c>
      <c r="J1300" s="0" t="s">
        <v>4155</v>
      </c>
      <c r="K1300" s="0" t="s">
        <v>2671</v>
      </c>
      <c r="L1300" s="0" t="n">
        <v>2017</v>
      </c>
      <c r="M1300" s="0" t="s">
        <v>2044</v>
      </c>
      <c r="N1300" s="0" t="s">
        <v>88</v>
      </c>
      <c r="O1300" s="0" t="s">
        <v>2494</v>
      </c>
      <c r="P1300" s="0" t="s">
        <v>5175</v>
      </c>
      <c r="Q1300" s="0" t="n">
        <v>68</v>
      </c>
      <c r="R1300" s="0" t="n">
        <v>68</v>
      </c>
      <c r="T1300" s="0" t="s">
        <v>5176</v>
      </c>
      <c r="U1300" s="0" t="s">
        <v>4396</v>
      </c>
      <c r="V1300" s="0" t="s">
        <v>89</v>
      </c>
      <c r="W1300" s="0" t="s">
        <v>5191</v>
      </c>
      <c r="X1300" s="0" t="s">
        <v>5192</v>
      </c>
      <c r="Y1300" s="0" t="s">
        <v>4159</v>
      </c>
      <c r="Z1300" s="0" t="s">
        <v>4160</v>
      </c>
      <c r="AA1300" s="0" t="s">
        <v>5193</v>
      </c>
      <c r="AB1300" s="0" t="s">
        <v>5180</v>
      </c>
      <c r="AC1300" s="0" t="s">
        <v>4162</v>
      </c>
      <c r="AD1300" s="0" t="s">
        <v>4163</v>
      </c>
      <c r="AE1300" s="0" t="s">
        <v>4164</v>
      </c>
      <c r="AF1300" s="0" t="s">
        <v>5181</v>
      </c>
      <c r="AH1300" s="0" t="s">
        <v>2239</v>
      </c>
      <c r="AL1300" s="0" t="s">
        <v>523</v>
      </c>
    </row>
    <row r="1301" customFormat="false" ht="15" hidden="false" customHeight="false" outlineLevel="0" collapsed="false">
      <c r="A1301" s="0" t="s">
        <v>570</v>
      </c>
      <c r="B1301" s="0" t="s">
        <v>77</v>
      </c>
      <c r="C1301" s="0" t="s">
        <v>5066</v>
      </c>
      <c r="D1301" s="0" t="n">
        <v>2017</v>
      </c>
      <c r="E1301" s="0" t="s">
        <v>59</v>
      </c>
      <c r="F1301" s="0" t="n">
        <v>3094960515</v>
      </c>
      <c r="G1301" s="0" t="s">
        <v>3067</v>
      </c>
      <c r="H1301" s="0" t="s">
        <v>3068</v>
      </c>
      <c r="I1301" s="0" t="n">
        <v>3094960.515</v>
      </c>
      <c r="J1301" s="0" t="s">
        <v>4155</v>
      </c>
      <c r="K1301" s="0" t="s">
        <v>2671</v>
      </c>
      <c r="L1301" s="0" t="n">
        <v>2017</v>
      </c>
      <c r="M1301" s="0" t="s">
        <v>2044</v>
      </c>
      <c r="N1301" s="0" t="s">
        <v>88</v>
      </c>
      <c r="O1301" s="0" t="s">
        <v>2494</v>
      </c>
      <c r="P1301" s="0" t="s">
        <v>5175</v>
      </c>
      <c r="Q1301" s="0" t="n">
        <v>65</v>
      </c>
      <c r="R1301" s="0" t="n">
        <v>65</v>
      </c>
      <c r="T1301" s="0" t="s">
        <v>5127</v>
      </c>
      <c r="U1301" s="0" t="s">
        <v>4396</v>
      </c>
      <c r="V1301" s="0" t="s">
        <v>89</v>
      </c>
      <c r="W1301" s="0" t="s">
        <v>5177</v>
      </c>
      <c r="X1301" s="0" t="s">
        <v>5178</v>
      </c>
      <c r="Y1301" s="0" t="s">
        <v>4159</v>
      </c>
      <c r="Z1301" s="0" t="s">
        <v>4160</v>
      </c>
      <c r="AA1301" s="0" t="s">
        <v>5194</v>
      </c>
      <c r="AB1301" s="0" t="s">
        <v>5180</v>
      </c>
      <c r="AC1301" s="0" t="s">
        <v>4162</v>
      </c>
      <c r="AD1301" s="0" t="s">
        <v>4163</v>
      </c>
      <c r="AE1301" s="0" t="s">
        <v>4164</v>
      </c>
      <c r="AF1301" s="0" t="s">
        <v>5181</v>
      </c>
      <c r="AH1301" s="0" t="s">
        <v>2239</v>
      </c>
      <c r="AL1301" s="0" t="s">
        <v>523</v>
      </c>
    </row>
    <row r="1302" customFormat="false" ht="15" hidden="false" customHeight="false" outlineLevel="0" collapsed="false">
      <c r="A1302" s="0" t="s">
        <v>574</v>
      </c>
      <c r="B1302" s="0" t="s">
        <v>77</v>
      </c>
      <c r="C1302" s="0" t="s">
        <v>5066</v>
      </c>
      <c r="D1302" s="0" t="n">
        <v>2017</v>
      </c>
      <c r="E1302" s="0" t="s">
        <v>63</v>
      </c>
      <c r="F1302" s="0" t="n">
        <v>-29149849</v>
      </c>
      <c r="G1302" s="0" t="s">
        <v>3067</v>
      </c>
      <c r="H1302" s="0" t="s">
        <v>3068</v>
      </c>
      <c r="I1302" s="0" t="n">
        <v>29149.849</v>
      </c>
      <c r="J1302" s="0" t="s">
        <v>4155</v>
      </c>
      <c r="K1302" s="0" t="s">
        <v>2671</v>
      </c>
      <c r="L1302" s="0" t="n">
        <v>2017</v>
      </c>
      <c r="M1302" s="0" t="s">
        <v>2044</v>
      </c>
      <c r="N1302" s="0" t="s">
        <v>88</v>
      </c>
      <c r="O1302" s="0" t="s">
        <v>2494</v>
      </c>
      <c r="P1302" s="0" t="s">
        <v>5175</v>
      </c>
      <c r="Q1302" s="0" t="n">
        <v>64</v>
      </c>
      <c r="R1302" s="0" t="n">
        <v>64</v>
      </c>
      <c r="S1302" s="0" t="n">
        <v>9</v>
      </c>
      <c r="T1302" s="0" t="s">
        <v>5176</v>
      </c>
      <c r="U1302" s="0" t="s">
        <v>4396</v>
      </c>
      <c r="V1302" s="0" t="s">
        <v>89</v>
      </c>
      <c r="W1302" s="0" t="s">
        <v>5195</v>
      </c>
      <c r="X1302" s="0" t="s">
        <v>5187</v>
      </c>
      <c r="Y1302" s="0" t="s">
        <v>4159</v>
      </c>
      <c r="Z1302" s="0" t="s">
        <v>4160</v>
      </c>
      <c r="AA1302" s="0" t="s">
        <v>5196</v>
      </c>
      <c r="AB1302" s="0" t="s">
        <v>5180</v>
      </c>
      <c r="AC1302" s="0" t="s">
        <v>4162</v>
      </c>
      <c r="AD1302" s="0" t="s">
        <v>4163</v>
      </c>
      <c r="AE1302" s="0" t="s">
        <v>4164</v>
      </c>
      <c r="AF1302" s="0" t="s">
        <v>5181</v>
      </c>
      <c r="AH1302" s="0" t="s">
        <v>4174</v>
      </c>
      <c r="AI1302" s="0" t="s">
        <v>5197</v>
      </c>
      <c r="AL1302" s="0" t="s">
        <v>523</v>
      </c>
    </row>
    <row r="1303" customFormat="false" ht="15" hidden="false" customHeight="false" outlineLevel="0" collapsed="false">
      <c r="A1303" s="0" t="s">
        <v>571</v>
      </c>
      <c r="B1303" s="0" t="s">
        <v>77</v>
      </c>
      <c r="C1303" s="0" t="s">
        <v>5066</v>
      </c>
      <c r="D1303" s="0" t="n">
        <v>2017</v>
      </c>
      <c r="E1303" s="0" t="s">
        <v>60</v>
      </c>
      <c r="F1303" s="0" t="n">
        <v>1827572140</v>
      </c>
      <c r="G1303" s="0" t="s">
        <v>3067</v>
      </c>
      <c r="H1303" s="0" t="s">
        <v>3068</v>
      </c>
      <c r="I1303" s="0" t="n">
        <v>1827572.14</v>
      </c>
      <c r="J1303" s="0" t="s">
        <v>4155</v>
      </c>
      <c r="K1303" s="0" t="s">
        <v>2671</v>
      </c>
      <c r="L1303" s="0" t="n">
        <v>2017</v>
      </c>
      <c r="M1303" s="0" t="s">
        <v>2044</v>
      </c>
      <c r="N1303" s="0" t="s">
        <v>88</v>
      </c>
      <c r="O1303" s="0" t="s">
        <v>2494</v>
      </c>
      <c r="P1303" s="0" t="s">
        <v>5175</v>
      </c>
      <c r="Q1303" s="0" t="n">
        <v>182</v>
      </c>
      <c r="R1303" s="0" t="n">
        <v>182</v>
      </c>
      <c r="S1303" s="0" t="s">
        <v>5090</v>
      </c>
      <c r="T1303" s="0" t="s">
        <v>5198</v>
      </c>
      <c r="U1303" s="0" t="s">
        <v>4396</v>
      </c>
      <c r="V1303" s="0" t="s">
        <v>89</v>
      </c>
      <c r="W1303" s="0" t="s">
        <v>5199</v>
      </c>
      <c r="X1303" s="0" t="s">
        <v>5200</v>
      </c>
      <c r="Y1303" s="0" t="s">
        <v>4159</v>
      </c>
      <c r="Z1303" s="0" t="s">
        <v>4160</v>
      </c>
      <c r="AA1303" s="0" t="s">
        <v>5201</v>
      </c>
      <c r="AB1303" s="0" t="s">
        <v>5180</v>
      </c>
      <c r="AC1303" s="0" t="s">
        <v>4162</v>
      </c>
      <c r="AD1303" s="0" t="s">
        <v>4163</v>
      </c>
      <c r="AE1303" s="0" t="s">
        <v>4164</v>
      </c>
      <c r="AF1303" s="0" t="s">
        <v>5181</v>
      </c>
      <c r="AH1303" s="0" t="s">
        <v>2239</v>
      </c>
      <c r="AL1303" s="0" t="s">
        <v>523</v>
      </c>
    </row>
    <row r="1304" customFormat="false" ht="15" hidden="false" customHeight="false" outlineLevel="0" collapsed="false">
      <c r="A1304" s="0" t="s">
        <v>572</v>
      </c>
      <c r="B1304" s="0" t="s">
        <v>77</v>
      </c>
      <c r="C1304" s="0" t="s">
        <v>5066</v>
      </c>
      <c r="D1304" s="0" t="n">
        <v>2017</v>
      </c>
      <c r="E1304" s="0" t="s">
        <v>61</v>
      </c>
      <c r="F1304" s="0" t="n">
        <v>-56289402</v>
      </c>
      <c r="G1304" s="0" t="s">
        <v>3067</v>
      </c>
      <c r="H1304" s="0" t="s">
        <v>3068</v>
      </c>
      <c r="I1304" s="0" t="n">
        <v>56289.402</v>
      </c>
      <c r="J1304" s="0" t="s">
        <v>4155</v>
      </c>
      <c r="K1304" s="0" t="s">
        <v>2671</v>
      </c>
      <c r="L1304" s="0" t="n">
        <v>2017</v>
      </c>
      <c r="M1304" s="0" t="s">
        <v>2044</v>
      </c>
      <c r="N1304" s="0" t="s">
        <v>88</v>
      </c>
      <c r="O1304" s="0" t="s">
        <v>2494</v>
      </c>
      <c r="P1304" s="0" t="s">
        <v>5175</v>
      </c>
      <c r="Q1304" s="0" t="n">
        <v>182</v>
      </c>
      <c r="R1304" s="0" t="n">
        <v>182</v>
      </c>
      <c r="S1304" s="0" t="s">
        <v>5090</v>
      </c>
      <c r="T1304" s="0" t="s">
        <v>5202</v>
      </c>
      <c r="U1304" s="0" t="s">
        <v>4396</v>
      </c>
      <c r="V1304" s="0" t="s">
        <v>89</v>
      </c>
      <c r="W1304" s="0" t="s">
        <v>5199</v>
      </c>
      <c r="X1304" s="0" t="s">
        <v>5200</v>
      </c>
      <c r="Y1304" s="0" t="s">
        <v>4159</v>
      </c>
      <c r="Z1304" s="0" t="s">
        <v>4160</v>
      </c>
      <c r="AA1304" s="0" t="s">
        <v>5203</v>
      </c>
      <c r="AB1304" s="0" t="s">
        <v>5180</v>
      </c>
      <c r="AC1304" s="0" t="s">
        <v>4162</v>
      </c>
      <c r="AD1304" s="0" t="s">
        <v>4163</v>
      </c>
      <c r="AE1304" s="0" t="s">
        <v>4164</v>
      </c>
      <c r="AF1304" s="0" t="s">
        <v>5181</v>
      </c>
      <c r="AH1304" s="0" t="s">
        <v>4174</v>
      </c>
      <c r="AI1304" s="0" t="s">
        <v>5197</v>
      </c>
      <c r="AL1304" s="0" t="s">
        <v>523</v>
      </c>
    </row>
    <row r="1305" customFormat="false" ht="15" hidden="false" customHeight="false" outlineLevel="0" collapsed="false">
      <c r="A1305" s="0" t="s">
        <v>581</v>
      </c>
      <c r="B1305" s="0" t="s">
        <v>77</v>
      </c>
      <c r="C1305" s="0" t="s">
        <v>5066</v>
      </c>
      <c r="D1305" s="0" t="n">
        <v>2017</v>
      </c>
      <c r="E1305" s="0" t="s">
        <v>543</v>
      </c>
      <c r="F1305" s="0" t="n">
        <v>-36016759</v>
      </c>
      <c r="G1305" s="0" t="s">
        <v>3067</v>
      </c>
      <c r="H1305" s="0" t="s">
        <v>3068</v>
      </c>
      <c r="I1305" s="0" t="n">
        <v>36016.759</v>
      </c>
      <c r="J1305" s="0" t="s">
        <v>4155</v>
      </c>
      <c r="K1305" s="0" t="s">
        <v>2671</v>
      </c>
      <c r="L1305" s="0" t="n">
        <v>2017</v>
      </c>
      <c r="M1305" s="0" t="s">
        <v>2044</v>
      </c>
      <c r="N1305" s="0" t="s">
        <v>88</v>
      </c>
      <c r="O1305" s="0" t="s">
        <v>2494</v>
      </c>
      <c r="P1305" s="0" t="s">
        <v>5175</v>
      </c>
      <c r="Q1305" s="0" t="n">
        <v>182</v>
      </c>
      <c r="R1305" s="0" t="n">
        <v>182</v>
      </c>
      <c r="S1305" s="0" t="s">
        <v>5090</v>
      </c>
      <c r="T1305" s="0" t="s">
        <v>5204</v>
      </c>
      <c r="U1305" s="0" t="s">
        <v>4396</v>
      </c>
      <c r="V1305" s="0" t="s">
        <v>89</v>
      </c>
      <c r="W1305" s="0" t="s">
        <v>5199</v>
      </c>
      <c r="X1305" s="0" t="s">
        <v>5200</v>
      </c>
      <c r="Y1305" s="0" t="s">
        <v>4159</v>
      </c>
      <c r="Z1305" s="0" t="s">
        <v>4160</v>
      </c>
      <c r="AA1305" s="0" t="s">
        <v>5205</v>
      </c>
      <c r="AB1305" s="0" t="s">
        <v>5180</v>
      </c>
      <c r="AC1305" s="0" t="s">
        <v>4162</v>
      </c>
      <c r="AD1305" s="0" t="s">
        <v>4163</v>
      </c>
      <c r="AE1305" s="0" t="s">
        <v>4164</v>
      </c>
      <c r="AF1305" s="0" t="s">
        <v>5181</v>
      </c>
      <c r="AH1305" s="0" t="s">
        <v>4174</v>
      </c>
      <c r="AI1305" s="0" t="s">
        <v>5197</v>
      </c>
      <c r="AL1305" s="0" t="s">
        <v>523</v>
      </c>
    </row>
    <row r="1306" customFormat="false" ht="15" hidden="false" customHeight="false" outlineLevel="0" collapsed="false">
      <c r="A1306" s="0" t="s">
        <v>582</v>
      </c>
      <c r="B1306" s="0" t="s">
        <v>77</v>
      </c>
      <c r="C1306" s="0" t="s">
        <v>5066</v>
      </c>
      <c r="D1306" s="0" t="n">
        <v>2017</v>
      </c>
      <c r="E1306" s="0" t="s">
        <v>545</v>
      </c>
      <c r="F1306" s="0" t="n">
        <v>-20272643</v>
      </c>
      <c r="G1306" s="0" t="s">
        <v>3067</v>
      </c>
      <c r="H1306" s="0" t="s">
        <v>3068</v>
      </c>
      <c r="I1306" s="0" t="n">
        <v>20272.643</v>
      </c>
      <c r="J1306" s="0" t="s">
        <v>4155</v>
      </c>
      <c r="K1306" s="0" t="s">
        <v>2671</v>
      </c>
      <c r="L1306" s="0" t="n">
        <v>2017</v>
      </c>
      <c r="M1306" s="0" t="s">
        <v>2044</v>
      </c>
      <c r="N1306" s="0" t="s">
        <v>88</v>
      </c>
      <c r="O1306" s="0" t="s">
        <v>2494</v>
      </c>
      <c r="P1306" s="0" t="s">
        <v>5175</v>
      </c>
      <c r="Q1306" s="0" t="n">
        <v>182</v>
      </c>
      <c r="R1306" s="0" t="n">
        <v>182</v>
      </c>
      <c r="S1306" s="0" t="s">
        <v>5090</v>
      </c>
      <c r="T1306" s="0" t="s">
        <v>5206</v>
      </c>
      <c r="U1306" s="0" t="s">
        <v>4396</v>
      </c>
      <c r="V1306" s="0" t="s">
        <v>89</v>
      </c>
      <c r="W1306" s="0" t="s">
        <v>5199</v>
      </c>
      <c r="X1306" s="0" t="s">
        <v>5200</v>
      </c>
      <c r="Y1306" s="0" t="s">
        <v>4159</v>
      </c>
      <c r="Z1306" s="0" t="s">
        <v>4160</v>
      </c>
      <c r="AA1306" s="0" t="s">
        <v>5207</v>
      </c>
      <c r="AB1306" s="0" t="s">
        <v>5180</v>
      </c>
      <c r="AC1306" s="0" t="s">
        <v>4162</v>
      </c>
      <c r="AD1306" s="0" t="s">
        <v>4163</v>
      </c>
      <c r="AE1306" s="0" t="s">
        <v>4164</v>
      </c>
      <c r="AF1306" s="0" t="s">
        <v>5181</v>
      </c>
      <c r="AH1306" s="0" t="s">
        <v>4174</v>
      </c>
      <c r="AI1306" s="0" t="s">
        <v>5197</v>
      </c>
      <c r="AL1306" s="0" t="s">
        <v>523</v>
      </c>
    </row>
    <row r="1307" customFormat="false" ht="15" hidden="false" customHeight="false" outlineLevel="0" collapsed="false">
      <c r="A1307" s="0" t="s">
        <v>573</v>
      </c>
      <c r="B1307" s="0" t="s">
        <v>77</v>
      </c>
      <c r="C1307" s="0" t="s">
        <v>5066</v>
      </c>
      <c r="D1307" s="0" t="n">
        <v>2017</v>
      </c>
      <c r="E1307" s="0" t="s">
        <v>62</v>
      </c>
      <c r="F1307" s="0" t="n">
        <v>1771282739</v>
      </c>
      <c r="G1307" s="0" t="s">
        <v>3067</v>
      </c>
      <c r="H1307" s="0" t="s">
        <v>3068</v>
      </c>
      <c r="I1307" s="0" t="n">
        <v>1771282.739</v>
      </c>
      <c r="J1307" s="0" t="s">
        <v>4155</v>
      </c>
      <c r="K1307" s="0" t="s">
        <v>2671</v>
      </c>
      <c r="L1307" s="0" t="n">
        <v>2017</v>
      </c>
      <c r="M1307" s="0" t="s">
        <v>2044</v>
      </c>
      <c r="N1307" s="0" t="s">
        <v>88</v>
      </c>
      <c r="O1307" s="0" t="s">
        <v>2494</v>
      </c>
      <c r="P1307" s="0" t="s">
        <v>5175</v>
      </c>
      <c r="Q1307" s="0" t="n">
        <v>65</v>
      </c>
      <c r="R1307" s="0" t="n">
        <v>65</v>
      </c>
      <c r="S1307" s="0" t="n">
        <v>23</v>
      </c>
      <c r="T1307" s="0" t="s">
        <v>5176</v>
      </c>
      <c r="U1307" s="0" t="s">
        <v>4396</v>
      </c>
      <c r="V1307" s="0" t="s">
        <v>89</v>
      </c>
      <c r="W1307" s="0" t="s">
        <v>5208</v>
      </c>
      <c r="X1307" s="0" t="s">
        <v>5178</v>
      </c>
      <c r="Y1307" s="0" t="s">
        <v>4159</v>
      </c>
      <c r="Z1307" s="0" t="s">
        <v>4160</v>
      </c>
      <c r="AA1307" s="0" t="s">
        <v>5209</v>
      </c>
      <c r="AB1307" s="0" t="s">
        <v>5180</v>
      </c>
      <c r="AC1307" s="0" t="s">
        <v>4162</v>
      </c>
      <c r="AD1307" s="0" t="s">
        <v>4163</v>
      </c>
      <c r="AE1307" s="0" t="s">
        <v>4164</v>
      </c>
      <c r="AF1307" s="0" t="s">
        <v>5181</v>
      </c>
      <c r="AH1307" s="0" t="s">
        <v>2239</v>
      </c>
      <c r="AL1307" s="0" t="s">
        <v>523</v>
      </c>
    </row>
    <row r="1308" customFormat="false" ht="15" hidden="false" customHeight="false" outlineLevel="0" collapsed="false">
      <c r="A1308" s="0" t="s">
        <v>577</v>
      </c>
      <c r="B1308" s="0" t="s">
        <v>77</v>
      </c>
      <c r="C1308" s="0" t="s">
        <v>5066</v>
      </c>
      <c r="D1308" s="0" t="n">
        <v>2017</v>
      </c>
      <c r="E1308" s="0" t="s">
        <v>65</v>
      </c>
      <c r="F1308" s="0" t="n">
        <v>420096297</v>
      </c>
      <c r="G1308" s="0" t="s">
        <v>3067</v>
      </c>
      <c r="H1308" s="0" t="s">
        <v>3068</v>
      </c>
      <c r="I1308" s="0" t="n">
        <v>420096.297</v>
      </c>
      <c r="J1308" s="0" t="s">
        <v>4155</v>
      </c>
      <c r="K1308" s="0" t="s">
        <v>2671</v>
      </c>
      <c r="L1308" s="0" t="n">
        <v>2017</v>
      </c>
      <c r="M1308" s="0" t="s">
        <v>2044</v>
      </c>
      <c r="N1308" s="0" t="s">
        <v>88</v>
      </c>
      <c r="O1308" s="0" t="s">
        <v>2494</v>
      </c>
      <c r="P1308" s="0" t="s">
        <v>5175</v>
      </c>
      <c r="Q1308" s="0" t="n">
        <v>169</v>
      </c>
      <c r="R1308" s="0" t="n">
        <v>169</v>
      </c>
      <c r="S1308" s="0" t="n">
        <v>6</v>
      </c>
      <c r="T1308" s="0" t="s">
        <v>5176</v>
      </c>
      <c r="U1308" s="0" t="s">
        <v>4396</v>
      </c>
      <c r="V1308" s="0" t="s">
        <v>89</v>
      </c>
      <c r="W1308" s="0" t="s">
        <v>5210</v>
      </c>
      <c r="X1308" s="0" t="s">
        <v>5211</v>
      </c>
      <c r="Y1308" s="0" t="s">
        <v>4159</v>
      </c>
      <c r="Z1308" s="0" t="s">
        <v>4160</v>
      </c>
      <c r="AA1308" s="0" t="s">
        <v>5212</v>
      </c>
      <c r="AB1308" s="0" t="s">
        <v>5180</v>
      </c>
      <c r="AC1308" s="0" t="s">
        <v>4162</v>
      </c>
      <c r="AD1308" s="0" t="s">
        <v>4163</v>
      </c>
      <c r="AE1308" s="0" t="s">
        <v>4164</v>
      </c>
      <c r="AF1308" s="0" t="s">
        <v>5181</v>
      </c>
      <c r="AH1308" s="0" t="s">
        <v>2239</v>
      </c>
      <c r="AL1308" s="0" t="s">
        <v>523</v>
      </c>
    </row>
    <row r="1309" customFormat="false" ht="15" hidden="false" customHeight="false" outlineLevel="0" collapsed="false">
      <c r="A1309" s="0" t="s">
        <v>578</v>
      </c>
      <c r="B1309" s="0" t="s">
        <v>77</v>
      </c>
      <c r="C1309" s="0" t="s">
        <v>5066</v>
      </c>
      <c r="D1309" s="0" t="n">
        <v>2017</v>
      </c>
      <c r="E1309" s="0" t="s">
        <v>66</v>
      </c>
      <c r="F1309" s="0" t="n">
        <v>2311370698</v>
      </c>
      <c r="G1309" s="0" t="s">
        <v>3067</v>
      </c>
      <c r="H1309" s="0" t="s">
        <v>3068</v>
      </c>
      <c r="I1309" s="0" t="n">
        <v>2311370.698</v>
      </c>
      <c r="J1309" s="0" t="s">
        <v>4155</v>
      </c>
      <c r="K1309" s="0" t="s">
        <v>2671</v>
      </c>
      <c r="L1309" s="0" t="n">
        <v>2017</v>
      </c>
      <c r="M1309" s="0" t="s">
        <v>2044</v>
      </c>
      <c r="N1309" s="0" t="s">
        <v>88</v>
      </c>
      <c r="O1309" s="0" t="s">
        <v>2494</v>
      </c>
      <c r="P1309" s="0" t="s">
        <v>5175</v>
      </c>
      <c r="Q1309" s="0" t="n">
        <v>169</v>
      </c>
      <c r="R1309" s="0" t="n">
        <v>169</v>
      </c>
      <c r="S1309" s="0" t="n">
        <v>6</v>
      </c>
      <c r="T1309" s="0" t="s">
        <v>5176</v>
      </c>
      <c r="U1309" s="0" t="s">
        <v>4396</v>
      </c>
      <c r="V1309" s="0" t="s">
        <v>89</v>
      </c>
      <c r="W1309" s="0" t="s">
        <v>5213</v>
      </c>
      <c r="X1309" s="0" t="s">
        <v>5211</v>
      </c>
      <c r="Y1309" s="0" t="s">
        <v>4159</v>
      </c>
      <c r="Z1309" s="0" t="s">
        <v>4160</v>
      </c>
      <c r="AA1309" s="0" t="s">
        <v>5214</v>
      </c>
      <c r="AB1309" s="0" t="s">
        <v>5180</v>
      </c>
      <c r="AC1309" s="0" t="s">
        <v>4162</v>
      </c>
      <c r="AD1309" s="0" t="s">
        <v>4163</v>
      </c>
      <c r="AE1309" s="0" t="s">
        <v>4164</v>
      </c>
      <c r="AF1309" s="0" t="s">
        <v>5181</v>
      </c>
      <c r="AH1309" s="0" t="s">
        <v>2239</v>
      </c>
      <c r="AL1309" s="0" t="s">
        <v>523</v>
      </c>
    </row>
    <row r="1310" customFormat="false" ht="15" hidden="false" customHeight="false" outlineLevel="0" collapsed="false">
      <c r="A1310" s="0" t="s">
        <v>575</v>
      </c>
      <c r="B1310" s="0" t="s">
        <v>77</v>
      </c>
      <c r="C1310" s="0" t="s">
        <v>5066</v>
      </c>
      <c r="D1310" s="0" t="n">
        <v>2017</v>
      </c>
      <c r="E1310" s="0" t="s">
        <v>69</v>
      </c>
      <c r="F1310" s="0" t="s">
        <v>4989</v>
      </c>
      <c r="G1310" s="0" t="s">
        <v>3143</v>
      </c>
      <c r="I1310" s="0" t="n">
        <v>18.18</v>
      </c>
      <c r="J1310" s="0" t="s">
        <v>4155</v>
      </c>
      <c r="K1310" s="0" t="s">
        <v>2671</v>
      </c>
      <c r="L1310" s="0" t="n">
        <v>2017</v>
      </c>
      <c r="M1310" s="0" t="s">
        <v>2044</v>
      </c>
      <c r="N1310" s="0" t="s">
        <v>88</v>
      </c>
      <c r="O1310" s="0" t="s">
        <v>2494</v>
      </c>
      <c r="P1310" s="0" t="s">
        <v>5175</v>
      </c>
      <c r="Q1310" s="0" t="n">
        <v>169</v>
      </c>
      <c r="R1310" s="0" t="n">
        <v>169</v>
      </c>
      <c r="S1310" s="0" t="n">
        <v>6</v>
      </c>
      <c r="T1310" s="0" t="s">
        <v>5176</v>
      </c>
      <c r="U1310" s="0" t="s">
        <v>4396</v>
      </c>
      <c r="V1310" s="0" t="s">
        <v>89</v>
      </c>
      <c r="W1310" s="0" t="s">
        <v>5215</v>
      </c>
      <c r="X1310" s="0" t="s">
        <v>5211</v>
      </c>
      <c r="Y1310" s="0" t="s">
        <v>4159</v>
      </c>
      <c r="Z1310" s="0" t="s">
        <v>4160</v>
      </c>
      <c r="AA1310" s="0" t="s">
        <v>5216</v>
      </c>
      <c r="AB1310" s="0" t="s">
        <v>5180</v>
      </c>
      <c r="AC1310" s="0" t="s">
        <v>4162</v>
      </c>
      <c r="AD1310" s="0" t="s">
        <v>4163</v>
      </c>
      <c r="AE1310" s="0" t="s">
        <v>4164</v>
      </c>
      <c r="AF1310" s="0" t="s">
        <v>5181</v>
      </c>
      <c r="AH1310" s="0" t="s">
        <v>2239</v>
      </c>
      <c r="AL1310" s="0" t="s">
        <v>523</v>
      </c>
    </row>
    <row r="1311" customFormat="false" ht="15" hidden="false" customHeight="false" outlineLevel="0" collapsed="false">
      <c r="A1311" s="0" t="s">
        <v>576</v>
      </c>
      <c r="B1311" s="0" t="s">
        <v>77</v>
      </c>
      <c r="C1311" s="0" t="s">
        <v>5066</v>
      </c>
      <c r="D1311" s="0" t="n">
        <v>2017</v>
      </c>
      <c r="E1311" s="0" t="s">
        <v>70</v>
      </c>
      <c r="F1311" s="0" t="s">
        <v>5116</v>
      </c>
      <c r="G1311" s="0" t="s">
        <v>3143</v>
      </c>
      <c r="I1311" s="0" t="n">
        <v>16</v>
      </c>
      <c r="J1311" s="0" t="s">
        <v>4155</v>
      </c>
      <c r="K1311" s="0" t="s">
        <v>2671</v>
      </c>
      <c r="L1311" s="0" t="n">
        <v>2017</v>
      </c>
      <c r="M1311" s="0" t="s">
        <v>2044</v>
      </c>
      <c r="N1311" s="0" t="s">
        <v>88</v>
      </c>
      <c r="O1311" s="0" t="s">
        <v>2494</v>
      </c>
      <c r="P1311" s="0" t="s">
        <v>5175</v>
      </c>
      <c r="Q1311" s="0" t="n">
        <v>169</v>
      </c>
      <c r="R1311" s="0" t="n">
        <v>169</v>
      </c>
      <c r="S1311" s="0" t="n">
        <v>6</v>
      </c>
      <c r="T1311" s="0" t="s">
        <v>5170</v>
      </c>
      <c r="U1311" s="0" t="s">
        <v>4396</v>
      </c>
      <c r="V1311" s="0" t="s">
        <v>89</v>
      </c>
      <c r="W1311" s="0" t="s">
        <v>5217</v>
      </c>
      <c r="X1311" s="0" t="s">
        <v>5211</v>
      </c>
      <c r="Y1311" s="0" t="s">
        <v>4159</v>
      </c>
      <c r="Z1311" s="0" t="s">
        <v>4160</v>
      </c>
      <c r="AA1311" s="0" t="s">
        <v>5218</v>
      </c>
      <c r="AB1311" s="0" t="s">
        <v>5180</v>
      </c>
      <c r="AC1311" s="0" t="s">
        <v>4162</v>
      </c>
      <c r="AD1311" s="0" t="s">
        <v>4163</v>
      </c>
      <c r="AE1311" s="0" t="s">
        <v>4164</v>
      </c>
      <c r="AF1311" s="0" t="s">
        <v>5181</v>
      </c>
      <c r="AH1311" s="0" t="s">
        <v>2239</v>
      </c>
      <c r="AL1311" s="0" t="s">
        <v>523</v>
      </c>
    </row>
    <row r="1312" customFormat="false" ht="15" hidden="false" customHeight="false" outlineLevel="0" collapsed="false">
      <c r="A1312" s="0" t="s">
        <v>579</v>
      </c>
      <c r="B1312" s="0" t="s">
        <v>77</v>
      </c>
      <c r="C1312" s="0" t="s">
        <v>5066</v>
      </c>
      <c r="D1312" s="0" t="n">
        <v>2017</v>
      </c>
      <c r="E1312" s="0" t="s">
        <v>73</v>
      </c>
      <c r="F1312" s="0" t="n">
        <v>0</v>
      </c>
      <c r="G1312" s="0" t="s">
        <v>4257</v>
      </c>
      <c r="I1312" s="0" t="n">
        <v>0</v>
      </c>
      <c r="J1312" s="0" t="s">
        <v>4258</v>
      </c>
      <c r="K1312" s="0" t="s">
        <v>2671</v>
      </c>
      <c r="L1312" s="0" t="n">
        <v>2017</v>
      </c>
      <c r="M1312" s="0" t="s">
        <v>2044</v>
      </c>
      <c r="N1312" s="0" t="s">
        <v>88</v>
      </c>
      <c r="O1312" s="0" t="s">
        <v>2494</v>
      </c>
      <c r="P1312" s="0" t="s">
        <v>5175</v>
      </c>
      <c r="Q1312" s="0" t="n">
        <v>57</v>
      </c>
      <c r="S1312" s="0" t="s">
        <v>5121</v>
      </c>
      <c r="T1312" s="0" t="s">
        <v>5219</v>
      </c>
      <c r="U1312" s="0" t="s">
        <v>4396</v>
      </c>
      <c r="V1312" s="0" t="s">
        <v>89</v>
      </c>
      <c r="W1312" s="0" t="s">
        <v>4803</v>
      </c>
      <c r="X1312" s="0" t="s">
        <v>5220</v>
      </c>
      <c r="Y1312" s="0" t="s">
        <v>4212</v>
      </c>
      <c r="Z1312" s="0" t="s">
        <v>4160</v>
      </c>
      <c r="AA1312" s="0" t="s">
        <v>5221</v>
      </c>
      <c r="AB1312" s="0" t="s">
        <v>5180</v>
      </c>
      <c r="AC1312" s="0" t="s">
        <v>4162</v>
      </c>
      <c r="AD1312" s="0" t="s">
        <v>4163</v>
      </c>
      <c r="AE1312" s="0" t="s">
        <v>4164</v>
      </c>
      <c r="AF1312" s="0" t="s">
        <v>5181</v>
      </c>
      <c r="AG1312" s="0" t="s">
        <v>1828</v>
      </c>
      <c r="AH1312" s="0" t="s">
        <v>2239</v>
      </c>
      <c r="AL1312" s="0" t="s">
        <v>539</v>
      </c>
    </row>
    <row r="1313" customFormat="false" ht="15" hidden="false" customHeight="false" outlineLevel="0" collapsed="false">
      <c r="A1313" s="0" t="s">
        <v>604</v>
      </c>
      <c r="B1313" s="0" t="s">
        <v>77</v>
      </c>
      <c r="C1313" s="0" t="s">
        <v>5066</v>
      </c>
      <c r="D1313" s="0" t="n">
        <v>2020</v>
      </c>
      <c r="E1313" s="0" t="s">
        <v>55</v>
      </c>
      <c r="F1313" s="0" t="n">
        <v>7624979724</v>
      </c>
      <c r="G1313" s="0" t="s">
        <v>3067</v>
      </c>
      <c r="H1313" s="0" t="s">
        <v>3068</v>
      </c>
      <c r="I1313" s="0" t="n">
        <v>7624979.724</v>
      </c>
      <c r="J1313" s="0" t="s">
        <v>4155</v>
      </c>
      <c r="K1313" s="0" t="s">
        <v>2675</v>
      </c>
      <c r="L1313" s="0" t="n">
        <v>2020</v>
      </c>
      <c r="M1313" s="0" t="s">
        <v>2053</v>
      </c>
      <c r="N1313" s="0" t="s">
        <v>94</v>
      </c>
      <c r="O1313" s="0" t="s">
        <v>2496</v>
      </c>
      <c r="P1313" s="0" t="s">
        <v>5222</v>
      </c>
      <c r="Q1313" s="0" t="n">
        <v>49</v>
      </c>
      <c r="R1313" s="0" t="n">
        <v>50</v>
      </c>
      <c r="T1313" s="0" t="s">
        <v>5223</v>
      </c>
      <c r="U1313" s="0" t="s">
        <v>4201</v>
      </c>
      <c r="V1313" s="0" t="s">
        <v>95</v>
      </c>
      <c r="W1313" s="0" t="s">
        <v>5224</v>
      </c>
      <c r="X1313" s="0" t="s">
        <v>5225</v>
      </c>
      <c r="Y1313" s="0" t="s">
        <v>4159</v>
      </c>
      <c r="Z1313" s="0" t="s">
        <v>4160</v>
      </c>
      <c r="AA1313" s="0" t="s">
        <v>5226</v>
      </c>
      <c r="AB1313" s="0" t="s">
        <v>5227</v>
      </c>
      <c r="AC1313" s="0" t="s">
        <v>4162</v>
      </c>
      <c r="AD1313" s="0" t="s">
        <v>4163</v>
      </c>
      <c r="AE1313" s="0" t="s">
        <v>4164</v>
      </c>
      <c r="AF1313" s="0" t="s">
        <v>5228</v>
      </c>
      <c r="AH1313" s="0" t="s">
        <v>2239</v>
      </c>
      <c r="AL1313" s="0" t="s">
        <v>523</v>
      </c>
    </row>
    <row r="1314" customFormat="false" ht="15" hidden="false" customHeight="false" outlineLevel="0" collapsed="false">
      <c r="A1314" s="0" t="s">
        <v>605</v>
      </c>
      <c r="B1314" s="0" t="s">
        <v>77</v>
      </c>
      <c r="C1314" s="0" t="s">
        <v>5066</v>
      </c>
      <c r="D1314" s="0" t="n">
        <v>2020</v>
      </c>
      <c r="E1314" s="0" t="s">
        <v>56</v>
      </c>
      <c r="F1314" s="0" t="n">
        <v>6971084063</v>
      </c>
      <c r="G1314" s="0" t="s">
        <v>3067</v>
      </c>
      <c r="H1314" s="0" t="s">
        <v>3068</v>
      </c>
      <c r="I1314" s="0" t="n">
        <v>6971084.063</v>
      </c>
      <c r="J1314" s="0" t="s">
        <v>4155</v>
      </c>
      <c r="K1314" s="0" t="s">
        <v>2675</v>
      </c>
      <c r="L1314" s="0" t="n">
        <v>2020</v>
      </c>
      <c r="M1314" s="0" t="s">
        <v>2053</v>
      </c>
      <c r="N1314" s="0" t="s">
        <v>94</v>
      </c>
      <c r="O1314" s="0" t="s">
        <v>2496</v>
      </c>
      <c r="P1314" s="0" t="s">
        <v>5222</v>
      </c>
      <c r="Q1314" s="0" t="n">
        <v>49</v>
      </c>
      <c r="R1314" s="0" t="n">
        <v>50</v>
      </c>
      <c r="T1314" s="0" t="s">
        <v>5223</v>
      </c>
      <c r="U1314" s="0" t="s">
        <v>4201</v>
      </c>
      <c r="V1314" s="0" t="s">
        <v>95</v>
      </c>
      <c r="W1314" s="0" t="s">
        <v>5229</v>
      </c>
      <c r="X1314" s="0" t="s">
        <v>5225</v>
      </c>
      <c r="Y1314" s="0" t="s">
        <v>4159</v>
      </c>
      <c r="Z1314" s="0" t="s">
        <v>4160</v>
      </c>
      <c r="AA1314" s="0" t="s">
        <v>5230</v>
      </c>
      <c r="AB1314" s="0" t="s">
        <v>5227</v>
      </c>
      <c r="AC1314" s="0" t="s">
        <v>4162</v>
      </c>
      <c r="AD1314" s="0" t="s">
        <v>4163</v>
      </c>
      <c r="AE1314" s="0" t="s">
        <v>4164</v>
      </c>
      <c r="AF1314" s="0" t="s">
        <v>5228</v>
      </c>
      <c r="AH1314" s="0" t="s">
        <v>2239</v>
      </c>
      <c r="AL1314" s="0" t="s">
        <v>523</v>
      </c>
    </row>
    <row r="1315" customFormat="false" ht="15" hidden="false" customHeight="false" outlineLevel="0" collapsed="false">
      <c r="A1315" s="0" t="s">
        <v>606</v>
      </c>
      <c r="B1315" s="0" t="s">
        <v>77</v>
      </c>
      <c r="C1315" s="0" t="s">
        <v>5066</v>
      </c>
      <c r="D1315" s="0" t="n">
        <v>2020</v>
      </c>
      <c r="E1315" s="0" t="s">
        <v>57</v>
      </c>
      <c r="F1315" s="0" t="n">
        <v>653895661</v>
      </c>
      <c r="G1315" s="0" t="s">
        <v>3067</v>
      </c>
      <c r="H1315" s="0" t="s">
        <v>3068</v>
      </c>
      <c r="I1315" s="0" t="n">
        <v>653895.661</v>
      </c>
      <c r="J1315" s="0" t="s">
        <v>4155</v>
      </c>
      <c r="K1315" s="0" t="s">
        <v>2675</v>
      </c>
      <c r="L1315" s="0" t="n">
        <v>2020</v>
      </c>
      <c r="M1315" s="0" t="s">
        <v>2053</v>
      </c>
      <c r="N1315" s="0" t="s">
        <v>94</v>
      </c>
      <c r="O1315" s="0" t="s">
        <v>2496</v>
      </c>
      <c r="P1315" s="0" t="s">
        <v>5222</v>
      </c>
      <c r="Q1315" s="0" t="n">
        <v>49</v>
      </c>
      <c r="R1315" s="0" t="n">
        <v>50</v>
      </c>
      <c r="T1315" s="0" t="s">
        <v>5223</v>
      </c>
      <c r="U1315" s="0" t="s">
        <v>4201</v>
      </c>
      <c r="V1315" s="0" t="s">
        <v>95</v>
      </c>
      <c r="W1315" s="0" t="s">
        <v>5231</v>
      </c>
      <c r="X1315" s="0" t="s">
        <v>5225</v>
      </c>
      <c r="Y1315" s="0" t="s">
        <v>4159</v>
      </c>
      <c r="Z1315" s="0" t="s">
        <v>4160</v>
      </c>
      <c r="AA1315" s="0" t="s">
        <v>5232</v>
      </c>
      <c r="AB1315" s="0" t="s">
        <v>5227</v>
      </c>
      <c r="AC1315" s="0" t="s">
        <v>4162</v>
      </c>
      <c r="AD1315" s="0" t="s">
        <v>4163</v>
      </c>
      <c r="AE1315" s="0" t="s">
        <v>4164</v>
      </c>
      <c r="AF1315" s="0" t="s">
        <v>5228</v>
      </c>
      <c r="AH1315" s="0" t="s">
        <v>2239</v>
      </c>
      <c r="AL1315" s="0" t="s">
        <v>523</v>
      </c>
    </row>
    <row r="1316" customFormat="false" ht="15" hidden="false" customHeight="false" outlineLevel="0" collapsed="false">
      <c r="A1316" s="0" t="s">
        <v>608</v>
      </c>
      <c r="B1316" s="0" t="s">
        <v>77</v>
      </c>
      <c r="C1316" s="0" t="s">
        <v>5066</v>
      </c>
      <c r="D1316" s="0" t="n">
        <v>2020</v>
      </c>
      <c r="E1316" s="0" t="s">
        <v>59</v>
      </c>
      <c r="F1316" s="0" t="n">
        <v>6307588216</v>
      </c>
      <c r="G1316" s="0" t="s">
        <v>3067</v>
      </c>
      <c r="H1316" s="0" t="s">
        <v>3068</v>
      </c>
      <c r="I1316" s="0" t="n">
        <v>6307588.216</v>
      </c>
      <c r="J1316" s="0" t="s">
        <v>4155</v>
      </c>
      <c r="K1316" s="0" t="s">
        <v>2675</v>
      </c>
      <c r="L1316" s="0" t="n">
        <v>2020</v>
      </c>
      <c r="M1316" s="0" t="s">
        <v>2053</v>
      </c>
      <c r="N1316" s="0" t="s">
        <v>94</v>
      </c>
      <c r="O1316" s="0" t="s">
        <v>2496</v>
      </c>
      <c r="P1316" s="0" t="s">
        <v>5222</v>
      </c>
      <c r="Q1316" s="0" t="n">
        <v>49</v>
      </c>
      <c r="R1316" s="0" t="n">
        <v>50</v>
      </c>
      <c r="T1316" s="0" t="s">
        <v>5233</v>
      </c>
      <c r="U1316" s="0" t="s">
        <v>4201</v>
      </c>
      <c r="V1316" s="0" t="s">
        <v>95</v>
      </c>
      <c r="W1316" s="0" t="s">
        <v>5224</v>
      </c>
      <c r="X1316" s="0" t="s">
        <v>5225</v>
      </c>
      <c r="Y1316" s="0" t="s">
        <v>4159</v>
      </c>
      <c r="Z1316" s="0" t="s">
        <v>4160</v>
      </c>
      <c r="AA1316" s="0" t="s">
        <v>5234</v>
      </c>
      <c r="AB1316" s="0" t="s">
        <v>5227</v>
      </c>
      <c r="AC1316" s="0" t="s">
        <v>4162</v>
      </c>
      <c r="AD1316" s="0" t="s">
        <v>4163</v>
      </c>
      <c r="AE1316" s="0" t="s">
        <v>4164</v>
      </c>
      <c r="AF1316" s="0" t="s">
        <v>5228</v>
      </c>
      <c r="AH1316" s="0" t="s">
        <v>2239</v>
      </c>
      <c r="AL1316" s="0" t="s">
        <v>523</v>
      </c>
    </row>
    <row r="1317" customFormat="false" ht="15" hidden="false" customHeight="false" outlineLevel="0" collapsed="false">
      <c r="A1317" s="0" t="s">
        <v>603</v>
      </c>
      <c r="B1317" s="0" t="s">
        <v>77</v>
      </c>
      <c r="C1317" s="0" t="s">
        <v>5066</v>
      </c>
      <c r="D1317" s="0" t="n">
        <v>2020</v>
      </c>
      <c r="E1317" s="0" t="s">
        <v>54</v>
      </c>
      <c r="F1317" s="0" t="n">
        <v>80039328</v>
      </c>
      <c r="G1317" s="0" t="s">
        <v>3067</v>
      </c>
      <c r="H1317" s="0" t="s">
        <v>3068</v>
      </c>
      <c r="I1317" s="0" t="n">
        <v>80039.328</v>
      </c>
      <c r="J1317" s="0" t="s">
        <v>4155</v>
      </c>
      <c r="K1317" s="0" t="s">
        <v>2675</v>
      </c>
      <c r="L1317" s="0" t="n">
        <v>2020</v>
      </c>
      <c r="M1317" s="0" t="s">
        <v>2053</v>
      </c>
      <c r="N1317" s="0" t="s">
        <v>94</v>
      </c>
      <c r="O1317" s="0" t="s">
        <v>2496</v>
      </c>
      <c r="P1317" s="0" t="s">
        <v>5222</v>
      </c>
      <c r="Q1317" s="0" t="n">
        <v>48</v>
      </c>
      <c r="R1317" s="0" t="n">
        <v>49</v>
      </c>
      <c r="T1317" s="0" t="s">
        <v>5223</v>
      </c>
      <c r="U1317" s="0" t="s">
        <v>4201</v>
      </c>
      <c r="V1317" s="0" t="s">
        <v>95</v>
      </c>
      <c r="W1317" s="0" t="s">
        <v>5235</v>
      </c>
      <c r="X1317" s="0" t="s">
        <v>5236</v>
      </c>
      <c r="Y1317" s="0" t="s">
        <v>4159</v>
      </c>
      <c r="Z1317" s="0" t="s">
        <v>4160</v>
      </c>
      <c r="AA1317" s="0" t="s">
        <v>5237</v>
      </c>
      <c r="AB1317" s="0" t="s">
        <v>5227</v>
      </c>
      <c r="AC1317" s="0" t="s">
        <v>4162</v>
      </c>
      <c r="AD1317" s="0" t="s">
        <v>4163</v>
      </c>
      <c r="AE1317" s="0" t="s">
        <v>4164</v>
      </c>
      <c r="AF1317" s="0" t="s">
        <v>5238</v>
      </c>
      <c r="AH1317" s="0" t="s">
        <v>2239</v>
      </c>
      <c r="AL1317" s="0" t="s">
        <v>523</v>
      </c>
    </row>
    <row r="1318" customFormat="false" ht="15" hidden="false" customHeight="false" outlineLevel="0" collapsed="false">
      <c r="A1318" s="0" t="s">
        <v>622</v>
      </c>
      <c r="B1318" s="0" t="s">
        <v>77</v>
      </c>
      <c r="C1318" s="0" t="s">
        <v>5066</v>
      </c>
      <c r="D1318" s="0" t="n">
        <v>2020</v>
      </c>
      <c r="E1318" s="0" t="s">
        <v>541</v>
      </c>
      <c r="F1318" s="0" t="n">
        <v>90195877</v>
      </c>
      <c r="G1318" s="0" t="s">
        <v>3067</v>
      </c>
      <c r="H1318" s="0" t="s">
        <v>3068</v>
      </c>
      <c r="I1318" s="0" t="n">
        <v>90195.877</v>
      </c>
      <c r="J1318" s="0" t="s">
        <v>4155</v>
      </c>
      <c r="K1318" s="0" t="s">
        <v>2675</v>
      </c>
      <c r="L1318" s="0" t="n">
        <v>2020</v>
      </c>
      <c r="M1318" s="0" t="s">
        <v>2053</v>
      </c>
      <c r="N1318" s="0" t="s">
        <v>94</v>
      </c>
      <c r="O1318" s="0" t="s">
        <v>2496</v>
      </c>
      <c r="P1318" s="0" t="s">
        <v>5222</v>
      </c>
      <c r="Q1318" s="0" t="n">
        <v>48</v>
      </c>
      <c r="R1318" s="0" t="n">
        <v>49</v>
      </c>
      <c r="T1318" s="0" t="s">
        <v>5223</v>
      </c>
      <c r="U1318" s="0" t="s">
        <v>4201</v>
      </c>
      <c r="V1318" s="0" t="s">
        <v>95</v>
      </c>
      <c r="W1318" s="0" t="s">
        <v>5239</v>
      </c>
      <c r="X1318" s="0" t="s">
        <v>5236</v>
      </c>
      <c r="Y1318" s="0" t="s">
        <v>4159</v>
      </c>
      <c r="Z1318" s="0" t="s">
        <v>4160</v>
      </c>
      <c r="AA1318" s="0" t="s">
        <v>5240</v>
      </c>
      <c r="AB1318" s="0" t="s">
        <v>5227</v>
      </c>
      <c r="AC1318" s="0" t="s">
        <v>4162</v>
      </c>
      <c r="AD1318" s="0" t="s">
        <v>4163</v>
      </c>
      <c r="AE1318" s="0" t="s">
        <v>4164</v>
      </c>
      <c r="AF1318" s="0" t="s">
        <v>5238</v>
      </c>
      <c r="AH1318" s="0" t="s">
        <v>2239</v>
      </c>
      <c r="AL1318" s="0" t="s">
        <v>523</v>
      </c>
    </row>
    <row r="1319" customFormat="false" ht="15" hidden="false" customHeight="false" outlineLevel="0" collapsed="false">
      <c r="A1319" s="0" t="s">
        <v>607</v>
      </c>
      <c r="B1319" s="0" t="s">
        <v>77</v>
      </c>
      <c r="C1319" s="0" t="s">
        <v>5066</v>
      </c>
      <c r="D1319" s="0" t="n">
        <v>2020</v>
      </c>
      <c r="E1319" s="0" t="s">
        <v>58</v>
      </c>
      <c r="F1319" s="0" t="n">
        <v>-65407286</v>
      </c>
      <c r="G1319" s="0" t="s">
        <v>3067</v>
      </c>
      <c r="H1319" s="0" t="s">
        <v>3068</v>
      </c>
      <c r="I1319" s="0" t="n">
        <v>-65407.286</v>
      </c>
      <c r="J1319" s="0" t="s">
        <v>4155</v>
      </c>
      <c r="K1319" s="0" t="s">
        <v>2675</v>
      </c>
      <c r="L1319" s="0" t="n">
        <v>2020</v>
      </c>
      <c r="M1319" s="0" t="s">
        <v>2053</v>
      </c>
      <c r="N1319" s="0" t="s">
        <v>94</v>
      </c>
      <c r="O1319" s="0" t="s">
        <v>2496</v>
      </c>
      <c r="P1319" s="0" t="s">
        <v>5222</v>
      </c>
      <c r="Q1319" s="0" t="n">
        <v>52</v>
      </c>
      <c r="R1319" s="0" t="n">
        <v>53</v>
      </c>
      <c r="T1319" s="0" t="s">
        <v>5223</v>
      </c>
      <c r="U1319" s="0" t="s">
        <v>4201</v>
      </c>
      <c r="V1319" s="0" t="s">
        <v>95</v>
      </c>
      <c r="W1319" s="0" t="s">
        <v>5241</v>
      </c>
      <c r="X1319" s="0" t="s">
        <v>5242</v>
      </c>
      <c r="Y1319" s="0" t="s">
        <v>4159</v>
      </c>
      <c r="Z1319" s="0" t="s">
        <v>4160</v>
      </c>
      <c r="AA1319" s="0" t="s">
        <v>5243</v>
      </c>
      <c r="AB1319" s="0" t="s">
        <v>5227</v>
      </c>
      <c r="AC1319" s="0" t="s">
        <v>4162</v>
      </c>
      <c r="AD1319" s="0" t="s">
        <v>4163</v>
      </c>
      <c r="AE1319" s="0" t="s">
        <v>4164</v>
      </c>
      <c r="AF1319" s="0" t="s">
        <v>5244</v>
      </c>
      <c r="AH1319" s="0" t="s">
        <v>2239</v>
      </c>
      <c r="AL1319" s="0" t="s">
        <v>523</v>
      </c>
    </row>
    <row r="1320" customFormat="false" ht="15" hidden="false" customHeight="false" outlineLevel="0" collapsed="false">
      <c r="A1320" s="0" t="s">
        <v>612</v>
      </c>
      <c r="B1320" s="0" t="s">
        <v>77</v>
      </c>
      <c r="C1320" s="0" t="s">
        <v>5066</v>
      </c>
      <c r="D1320" s="0" t="n">
        <v>2020</v>
      </c>
      <c r="E1320" s="0" t="s">
        <v>63</v>
      </c>
      <c r="F1320" s="0" t="n">
        <v>-39650580</v>
      </c>
      <c r="G1320" s="0" t="s">
        <v>3067</v>
      </c>
      <c r="H1320" s="0" t="s">
        <v>3068</v>
      </c>
      <c r="I1320" s="0" t="n">
        <v>39650.58</v>
      </c>
      <c r="J1320" s="0" t="s">
        <v>4155</v>
      </c>
      <c r="K1320" s="0" t="s">
        <v>2675</v>
      </c>
      <c r="L1320" s="0" t="n">
        <v>2020</v>
      </c>
      <c r="M1320" s="0" t="s">
        <v>2053</v>
      </c>
      <c r="N1320" s="0" t="s">
        <v>94</v>
      </c>
      <c r="O1320" s="0" t="s">
        <v>2496</v>
      </c>
      <c r="P1320" s="0" t="s">
        <v>5222</v>
      </c>
      <c r="Q1320" s="0" t="n">
        <v>48</v>
      </c>
      <c r="R1320" s="0" t="n">
        <v>49</v>
      </c>
      <c r="S1320" s="0" t="n">
        <v>9</v>
      </c>
      <c r="T1320" s="0" t="s">
        <v>5223</v>
      </c>
      <c r="U1320" s="0" t="s">
        <v>4201</v>
      </c>
      <c r="V1320" s="0" t="s">
        <v>95</v>
      </c>
      <c r="W1320" s="0" t="s">
        <v>5245</v>
      </c>
      <c r="X1320" s="0" t="s">
        <v>5236</v>
      </c>
      <c r="Y1320" s="0" t="s">
        <v>4159</v>
      </c>
      <c r="Z1320" s="0" t="s">
        <v>4160</v>
      </c>
      <c r="AA1320" s="0" t="s">
        <v>5246</v>
      </c>
      <c r="AB1320" s="0" t="s">
        <v>5227</v>
      </c>
      <c r="AC1320" s="0" t="s">
        <v>4162</v>
      </c>
      <c r="AD1320" s="0" t="s">
        <v>4163</v>
      </c>
      <c r="AE1320" s="0" t="s">
        <v>4164</v>
      </c>
      <c r="AF1320" s="0" t="s">
        <v>5238</v>
      </c>
      <c r="AH1320" s="0" t="s">
        <v>4174</v>
      </c>
      <c r="AI1320" s="0" t="s">
        <v>4974</v>
      </c>
      <c r="AL1320" s="0" t="s">
        <v>523</v>
      </c>
    </row>
    <row r="1321" customFormat="false" ht="15" hidden="false" customHeight="false" outlineLevel="0" collapsed="false">
      <c r="A1321" s="0" t="s">
        <v>609</v>
      </c>
      <c r="B1321" s="0" t="s">
        <v>77</v>
      </c>
      <c r="C1321" s="0" t="s">
        <v>5066</v>
      </c>
      <c r="D1321" s="0" t="n">
        <v>2020</v>
      </c>
      <c r="E1321" s="0" t="s">
        <v>60</v>
      </c>
      <c r="F1321" s="0" t="n">
        <v>2937918270</v>
      </c>
      <c r="G1321" s="0" t="s">
        <v>3067</v>
      </c>
      <c r="H1321" s="0" t="s">
        <v>3068</v>
      </c>
      <c r="I1321" s="0" t="n">
        <v>2937918.27</v>
      </c>
      <c r="J1321" s="0" t="s">
        <v>4155</v>
      </c>
      <c r="K1321" s="0" t="s">
        <v>2675</v>
      </c>
      <c r="L1321" s="0" t="n">
        <v>2020</v>
      </c>
      <c r="M1321" s="0" t="s">
        <v>2053</v>
      </c>
      <c r="N1321" s="0" t="s">
        <v>94</v>
      </c>
      <c r="O1321" s="0" t="s">
        <v>2496</v>
      </c>
      <c r="P1321" s="0" t="s">
        <v>5222</v>
      </c>
      <c r="Q1321" s="0" t="n">
        <v>185</v>
      </c>
      <c r="R1321" s="0" t="n">
        <v>186</v>
      </c>
      <c r="S1321" s="0" t="n">
        <v>23</v>
      </c>
      <c r="T1321" s="0" t="s">
        <v>5223</v>
      </c>
      <c r="U1321" s="0" t="s">
        <v>4201</v>
      </c>
      <c r="V1321" s="0" t="s">
        <v>95</v>
      </c>
      <c r="W1321" s="0" t="s">
        <v>5247</v>
      </c>
      <c r="X1321" s="0" t="s">
        <v>5248</v>
      </c>
      <c r="Y1321" s="0" t="s">
        <v>4159</v>
      </c>
      <c r="Z1321" s="0" t="s">
        <v>4160</v>
      </c>
      <c r="AA1321" s="0" t="s">
        <v>5249</v>
      </c>
      <c r="AB1321" s="0" t="s">
        <v>5227</v>
      </c>
      <c r="AC1321" s="0" t="s">
        <v>4162</v>
      </c>
      <c r="AD1321" s="0" t="s">
        <v>4163</v>
      </c>
      <c r="AE1321" s="0" t="s">
        <v>4164</v>
      </c>
      <c r="AF1321" s="0" t="s">
        <v>5250</v>
      </c>
      <c r="AH1321" s="0" t="s">
        <v>2239</v>
      </c>
      <c r="AL1321" s="0" t="s">
        <v>523</v>
      </c>
    </row>
    <row r="1322" customFormat="false" ht="15" hidden="false" customHeight="false" outlineLevel="0" collapsed="false">
      <c r="A1322" s="0" t="s">
        <v>610</v>
      </c>
      <c r="B1322" s="0" t="s">
        <v>77</v>
      </c>
      <c r="C1322" s="0" t="s">
        <v>5066</v>
      </c>
      <c r="D1322" s="0" t="n">
        <v>2020</v>
      </c>
      <c r="E1322" s="0" t="s">
        <v>61</v>
      </c>
      <c r="F1322" s="0" t="n">
        <v>-119042539</v>
      </c>
      <c r="G1322" s="0" t="s">
        <v>3067</v>
      </c>
      <c r="H1322" s="0" t="s">
        <v>3068</v>
      </c>
      <c r="I1322" s="0" t="n">
        <v>119042.539</v>
      </c>
      <c r="J1322" s="0" t="s">
        <v>4155</v>
      </c>
      <c r="K1322" s="0" t="s">
        <v>2675</v>
      </c>
      <c r="L1322" s="0" t="n">
        <v>2020</v>
      </c>
      <c r="M1322" s="0" t="s">
        <v>2053</v>
      </c>
      <c r="N1322" s="0" t="s">
        <v>94</v>
      </c>
      <c r="O1322" s="0" t="s">
        <v>2496</v>
      </c>
      <c r="P1322" s="0" t="s">
        <v>5222</v>
      </c>
      <c r="Q1322" s="0" t="n">
        <v>185</v>
      </c>
      <c r="R1322" s="0" t="n">
        <v>186</v>
      </c>
      <c r="S1322" s="0" t="n">
        <v>23</v>
      </c>
      <c r="T1322" s="0" t="s">
        <v>5223</v>
      </c>
      <c r="U1322" s="0" t="s">
        <v>4201</v>
      </c>
      <c r="V1322" s="0" t="s">
        <v>95</v>
      </c>
      <c r="W1322" s="0" t="s">
        <v>5251</v>
      </c>
      <c r="X1322" s="0" t="s">
        <v>5248</v>
      </c>
      <c r="Y1322" s="0" t="s">
        <v>4159</v>
      </c>
      <c r="Z1322" s="0" t="s">
        <v>4160</v>
      </c>
      <c r="AA1322" s="0" t="s">
        <v>5252</v>
      </c>
      <c r="AB1322" s="0" t="s">
        <v>5227</v>
      </c>
      <c r="AC1322" s="0" t="s">
        <v>4162</v>
      </c>
      <c r="AD1322" s="0" t="s">
        <v>4163</v>
      </c>
      <c r="AE1322" s="0" t="s">
        <v>4164</v>
      </c>
      <c r="AF1322" s="0" t="s">
        <v>5250</v>
      </c>
      <c r="AH1322" s="0" t="s">
        <v>4174</v>
      </c>
      <c r="AI1322" s="0" t="s">
        <v>4781</v>
      </c>
      <c r="AL1322" s="0" t="s">
        <v>523</v>
      </c>
    </row>
    <row r="1323" customFormat="false" ht="15" hidden="false" customHeight="false" outlineLevel="0" collapsed="false">
      <c r="A1323" s="0" t="s">
        <v>611</v>
      </c>
      <c r="B1323" s="0" t="s">
        <v>77</v>
      </c>
      <c r="C1323" s="0" t="s">
        <v>5066</v>
      </c>
      <c r="D1323" s="0" t="n">
        <v>2020</v>
      </c>
      <c r="E1323" s="0" t="s">
        <v>62</v>
      </c>
      <c r="F1323" s="0" t="n">
        <v>2818875731</v>
      </c>
      <c r="G1323" s="0" t="s">
        <v>3067</v>
      </c>
      <c r="H1323" s="0" t="s">
        <v>3068</v>
      </c>
      <c r="I1323" s="0" t="n">
        <v>2818875.731</v>
      </c>
      <c r="J1323" s="0" t="s">
        <v>4155</v>
      </c>
      <c r="K1323" s="0" t="s">
        <v>2675</v>
      </c>
      <c r="L1323" s="0" t="n">
        <v>2020</v>
      </c>
      <c r="M1323" s="0" t="s">
        <v>2053</v>
      </c>
      <c r="N1323" s="0" t="s">
        <v>94</v>
      </c>
      <c r="O1323" s="0" t="s">
        <v>2496</v>
      </c>
      <c r="P1323" s="0" t="s">
        <v>5222</v>
      </c>
      <c r="Q1323" s="0" t="n">
        <v>185</v>
      </c>
      <c r="R1323" s="0" t="n">
        <v>186</v>
      </c>
      <c r="S1323" s="0" t="n">
        <v>23</v>
      </c>
      <c r="T1323" s="0" t="s">
        <v>5223</v>
      </c>
      <c r="U1323" s="0" t="s">
        <v>4201</v>
      </c>
      <c r="V1323" s="0" t="s">
        <v>95</v>
      </c>
      <c r="W1323" s="0" t="n">
        <v>2818875731</v>
      </c>
      <c r="X1323" s="0" t="s">
        <v>5248</v>
      </c>
      <c r="Y1323" s="0" t="s">
        <v>4159</v>
      </c>
      <c r="Z1323" s="0" t="s">
        <v>4160</v>
      </c>
      <c r="AA1323" s="0" t="s">
        <v>5253</v>
      </c>
      <c r="AB1323" s="0" t="s">
        <v>5227</v>
      </c>
      <c r="AC1323" s="0" t="s">
        <v>4162</v>
      </c>
      <c r="AD1323" s="0" t="s">
        <v>4163</v>
      </c>
      <c r="AE1323" s="0" t="s">
        <v>4164</v>
      </c>
      <c r="AF1323" s="0" t="s">
        <v>5250</v>
      </c>
      <c r="AH1323" s="0" t="s">
        <v>2239</v>
      </c>
      <c r="AL1323" s="0" t="s">
        <v>523</v>
      </c>
    </row>
    <row r="1324" customFormat="false" ht="15" hidden="false" customHeight="false" outlineLevel="0" collapsed="false">
      <c r="A1324" s="0" t="s">
        <v>620</v>
      </c>
      <c r="B1324" s="0" t="s">
        <v>77</v>
      </c>
      <c r="C1324" s="0" t="s">
        <v>5066</v>
      </c>
      <c r="D1324" s="0" t="n">
        <v>2020</v>
      </c>
      <c r="E1324" s="0" t="s">
        <v>619</v>
      </c>
      <c r="F1324" s="0" t="n">
        <v>541590876</v>
      </c>
      <c r="G1324" s="0" t="s">
        <v>3067</v>
      </c>
      <c r="H1324" s="0" t="s">
        <v>3068</v>
      </c>
      <c r="I1324" s="0" t="n">
        <v>541590.876</v>
      </c>
      <c r="J1324" s="0" t="s">
        <v>4155</v>
      </c>
      <c r="K1324" s="0" t="s">
        <v>2675</v>
      </c>
      <c r="L1324" s="0" t="n">
        <v>2020</v>
      </c>
      <c r="M1324" s="0" t="s">
        <v>2053</v>
      </c>
      <c r="N1324" s="0" t="s">
        <v>94</v>
      </c>
      <c r="O1324" s="0" t="s">
        <v>2496</v>
      </c>
      <c r="P1324" s="0" t="s">
        <v>5222</v>
      </c>
      <c r="Q1324" s="0" t="n">
        <v>163</v>
      </c>
      <c r="R1324" s="0" t="n">
        <v>164</v>
      </c>
      <c r="T1324" s="0" t="s">
        <v>5223</v>
      </c>
      <c r="U1324" s="0" t="s">
        <v>4201</v>
      </c>
      <c r="V1324" s="0" t="s">
        <v>95</v>
      </c>
      <c r="W1324" s="0" t="s">
        <v>5254</v>
      </c>
      <c r="X1324" s="0" t="s">
        <v>5255</v>
      </c>
      <c r="Y1324" s="0" t="s">
        <v>4159</v>
      </c>
      <c r="Z1324" s="0" t="s">
        <v>4160</v>
      </c>
      <c r="AA1324" s="0" t="s">
        <v>5256</v>
      </c>
      <c r="AB1324" s="0" t="s">
        <v>5227</v>
      </c>
      <c r="AC1324" s="0" t="s">
        <v>4162</v>
      </c>
      <c r="AD1324" s="0" t="s">
        <v>4163</v>
      </c>
      <c r="AE1324" s="0" t="s">
        <v>4164</v>
      </c>
      <c r="AF1324" s="0" t="s">
        <v>5257</v>
      </c>
      <c r="AH1324" s="0" t="s">
        <v>2239</v>
      </c>
      <c r="AL1324" s="0" t="s">
        <v>523</v>
      </c>
    </row>
    <row r="1325" customFormat="false" ht="15" hidden="false" customHeight="false" outlineLevel="0" collapsed="false">
      <c r="A1325" s="0" t="s">
        <v>617</v>
      </c>
      <c r="B1325" s="0" t="s">
        <v>77</v>
      </c>
      <c r="C1325" s="0" t="s">
        <v>5066</v>
      </c>
      <c r="D1325" s="0" t="n">
        <v>2020</v>
      </c>
      <c r="E1325" s="0" t="s">
        <v>65</v>
      </c>
      <c r="F1325" s="0" t="n">
        <v>488756274</v>
      </c>
      <c r="G1325" s="0" t="s">
        <v>3067</v>
      </c>
      <c r="H1325" s="0" t="s">
        <v>3068</v>
      </c>
      <c r="I1325" s="0" t="n">
        <v>488756.274</v>
      </c>
      <c r="J1325" s="0" t="s">
        <v>4155</v>
      </c>
      <c r="K1325" s="0" t="s">
        <v>2675</v>
      </c>
      <c r="L1325" s="0" t="n">
        <v>2020</v>
      </c>
      <c r="M1325" s="0" t="s">
        <v>2053</v>
      </c>
      <c r="N1325" s="0" t="s">
        <v>94</v>
      </c>
      <c r="O1325" s="0" t="s">
        <v>2496</v>
      </c>
      <c r="P1325" s="0" t="s">
        <v>5222</v>
      </c>
      <c r="Q1325" s="0" t="n">
        <v>164</v>
      </c>
      <c r="R1325" s="0" t="n">
        <v>165</v>
      </c>
      <c r="T1325" s="0" t="s">
        <v>5258</v>
      </c>
      <c r="U1325" s="0" t="s">
        <v>4201</v>
      </c>
      <c r="V1325" s="0" t="s">
        <v>95</v>
      </c>
      <c r="W1325" s="0" t="s">
        <v>5259</v>
      </c>
      <c r="X1325" s="0" t="s">
        <v>5260</v>
      </c>
      <c r="Y1325" s="0" t="s">
        <v>4159</v>
      </c>
      <c r="Z1325" s="0" t="s">
        <v>4160</v>
      </c>
      <c r="AA1325" s="0" t="s">
        <v>5261</v>
      </c>
      <c r="AB1325" s="0" t="s">
        <v>5227</v>
      </c>
      <c r="AC1325" s="0" t="s">
        <v>4162</v>
      </c>
      <c r="AD1325" s="0" t="s">
        <v>4163</v>
      </c>
      <c r="AE1325" s="0" t="s">
        <v>4164</v>
      </c>
      <c r="AF1325" s="0" t="s">
        <v>5257</v>
      </c>
      <c r="AH1325" s="0" t="s">
        <v>2239</v>
      </c>
      <c r="AL1325" s="0" t="s">
        <v>523</v>
      </c>
    </row>
    <row r="1326" customFormat="false" ht="15" hidden="false" customHeight="false" outlineLevel="0" collapsed="false">
      <c r="A1326" s="0" t="s">
        <v>615</v>
      </c>
      <c r="B1326" s="0" t="s">
        <v>77</v>
      </c>
      <c r="C1326" s="0" t="s">
        <v>5066</v>
      </c>
      <c r="D1326" s="0" t="n">
        <v>2020</v>
      </c>
      <c r="E1326" s="0" t="s">
        <v>614</v>
      </c>
      <c r="F1326" s="0" t="s">
        <v>4896</v>
      </c>
      <c r="G1326" s="0" t="s">
        <v>3143</v>
      </c>
      <c r="I1326" s="0" t="n">
        <v>17.22</v>
      </c>
      <c r="J1326" s="0" t="s">
        <v>4155</v>
      </c>
      <c r="K1326" s="0" t="s">
        <v>2675</v>
      </c>
      <c r="L1326" s="0" t="n">
        <v>2020</v>
      </c>
      <c r="M1326" s="0" t="s">
        <v>2053</v>
      </c>
      <c r="N1326" s="0" t="s">
        <v>94</v>
      </c>
      <c r="O1326" s="0" t="s">
        <v>2496</v>
      </c>
      <c r="P1326" s="0" t="s">
        <v>5222</v>
      </c>
      <c r="Q1326" s="0" t="n">
        <v>163</v>
      </c>
      <c r="R1326" s="0" t="n">
        <v>164</v>
      </c>
      <c r="T1326" s="0" t="s">
        <v>5223</v>
      </c>
      <c r="U1326" s="0" t="s">
        <v>4201</v>
      </c>
      <c r="V1326" s="0" t="s">
        <v>95</v>
      </c>
      <c r="W1326" s="0" t="s">
        <v>5262</v>
      </c>
      <c r="X1326" s="0" t="s">
        <v>5255</v>
      </c>
      <c r="Y1326" s="0" t="s">
        <v>4159</v>
      </c>
      <c r="Z1326" s="0" t="s">
        <v>4160</v>
      </c>
      <c r="AA1326" s="0" t="s">
        <v>5256</v>
      </c>
      <c r="AB1326" s="0" t="s">
        <v>5227</v>
      </c>
      <c r="AC1326" s="0" t="s">
        <v>4162</v>
      </c>
      <c r="AD1326" s="0" t="s">
        <v>4163</v>
      </c>
      <c r="AE1326" s="0" t="s">
        <v>4164</v>
      </c>
      <c r="AF1326" s="0" t="s">
        <v>5257</v>
      </c>
      <c r="AH1326" s="0" t="s">
        <v>2239</v>
      </c>
      <c r="AL1326" s="0" t="s">
        <v>523</v>
      </c>
    </row>
    <row r="1327" customFormat="false" ht="15" hidden="false" customHeight="false" outlineLevel="0" collapsed="false">
      <c r="A1327" s="0" t="s">
        <v>613</v>
      </c>
      <c r="B1327" s="0" t="s">
        <v>77</v>
      </c>
      <c r="C1327" s="0" t="s">
        <v>5066</v>
      </c>
      <c r="D1327" s="0" t="n">
        <v>2020</v>
      </c>
      <c r="E1327" s="0" t="s">
        <v>69</v>
      </c>
      <c r="F1327" s="0" t="s">
        <v>5263</v>
      </c>
      <c r="G1327" s="0" t="s">
        <v>3143</v>
      </c>
      <c r="I1327" s="0" t="n">
        <v>15.87</v>
      </c>
      <c r="J1327" s="0" t="s">
        <v>4155</v>
      </c>
      <c r="K1327" s="0" t="s">
        <v>2675</v>
      </c>
      <c r="L1327" s="0" t="n">
        <v>2020</v>
      </c>
      <c r="M1327" s="0" t="s">
        <v>2053</v>
      </c>
      <c r="N1327" s="0" t="s">
        <v>94</v>
      </c>
      <c r="O1327" s="0" t="s">
        <v>2496</v>
      </c>
      <c r="P1327" s="0" t="s">
        <v>5222</v>
      </c>
      <c r="Q1327" s="0" t="n">
        <v>164</v>
      </c>
      <c r="R1327" s="0" t="n">
        <v>165</v>
      </c>
      <c r="T1327" s="0" t="s">
        <v>5258</v>
      </c>
      <c r="U1327" s="0" t="s">
        <v>4201</v>
      </c>
      <c r="V1327" s="0" t="s">
        <v>95</v>
      </c>
      <c r="W1327" s="0" t="s">
        <v>5264</v>
      </c>
      <c r="X1327" s="0" t="s">
        <v>5260</v>
      </c>
      <c r="Y1327" s="0" t="s">
        <v>4159</v>
      </c>
      <c r="Z1327" s="0" t="s">
        <v>4160</v>
      </c>
      <c r="AA1327" s="0" t="s">
        <v>5261</v>
      </c>
      <c r="AB1327" s="0" t="s">
        <v>5227</v>
      </c>
      <c r="AC1327" s="0" t="s">
        <v>4162</v>
      </c>
      <c r="AD1327" s="0" t="s">
        <v>4163</v>
      </c>
      <c r="AE1327" s="0" t="s">
        <v>4164</v>
      </c>
      <c r="AF1327" s="0" t="s">
        <v>5257</v>
      </c>
      <c r="AH1327" s="0" t="s">
        <v>2239</v>
      </c>
      <c r="AL1327" s="0" t="s">
        <v>523</v>
      </c>
    </row>
    <row r="1328" customFormat="false" ht="15" hidden="false" customHeight="false" outlineLevel="0" collapsed="false">
      <c r="A1328" s="0" t="s">
        <v>616</v>
      </c>
      <c r="B1328" s="0" t="s">
        <v>77</v>
      </c>
      <c r="C1328" s="0" t="s">
        <v>5066</v>
      </c>
      <c r="D1328" s="0" t="n">
        <v>2020</v>
      </c>
      <c r="E1328" s="0" t="s">
        <v>70</v>
      </c>
      <c r="F1328" s="0" t="s">
        <v>5116</v>
      </c>
      <c r="G1328" s="0" t="s">
        <v>3143</v>
      </c>
      <c r="I1328" s="0" t="n">
        <v>16</v>
      </c>
      <c r="J1328" s="0" t="s">
        <v>4155</v>
      </c>
      <c r="K1328" s="0" t="s">
        <v>2675</v>
      </c>
      <c r="L1328" s="0" t="n">
        <v>2020</v>
      </c>
      <c r="M1328" s="0" t="s">
        <v>2053</v>
      </c>
      <c r="N1328" s="0" t="s">
        <v>94</v>
      </c>
      <c r="O1328" s="0" t="s">
        <v>2496</v>
      </c>
      <c r="P1328" s="0" t="s">
        <v>5222</v>
      </c>
      <c r="Q1328" s="0" t="n">
        <v>162</v>
      </c>
      <c r="R1328" s="0" t="n">
        <v>163</v>
      </c>
      <c r="T1328" s="0" t="s">
        <v>5265</v>
      </c>
      <c r="U1328" s="0" t="s">
        <v>4201</v>
      </c>
      <c r="V1328" s="0" t="s">
        <v>95</v>
      </c>
      <c r="W1328" s="0" t="s">
        <v>5266</v>
      </c>
      <c r="X1328" s="0" t="s">
        <v>5267</v>
      </c>
      <c r="Y1328" s="0" t="s">
        <v>4159</v>
      </c>
      <c r="Z1328" s="0" t="s">
        <v>4160</v>
      </c>
      <c r="AA1328" s="0" t="s">
        <v>5268</v>
      </c>
      <c r="AB1328" s="0" t="s">
        <v>5227</v>
      </c>
      <c r="AC1328" s="0" t="s">
        <v>4162</v>
      </c>
      <c r="AD1328" s="0" t="s">
        <v>4163</v>
      </c>
      <c r="AE1328" s="0" t="s">
        <v>4164</v>
      </c>
      <c r="AF1328" s="0" t="s">
        <v>5269</v>
      </c>
      <c r="AH1328" s="0" t="s">
        <v>2239</v>
      </c>
      <c r="AL1328" s="0" t="s">
        <v>523</v>
      </c>
    </row>
    <row r="1329" customFormat="false" ht="15" hidden="false" customHeight="false" outlineLevel="0" collapsed="false">
      <c r="A1329" s="0" t="s">
        <v>621</v>
      </c>
      <c r="B1329" s="0" t="s">
        <v>77</v>
      </c>
      <c r="C1329" s="0" t="s">
        <v>5066</v>
      </c>
      <c r="D1329" s="0" t="n">
        <v>2020</v>
      </c>
      <c r="E1329" s="0" t="s">
        <v>73</v>
      </c>
      <c r="F1329" s="0" t="n">
        <v>0</v>
      </c>
      <c r="G1329" s="0" t="s">
        <v>4257</v>
      </c>
      <c r="I1329" s="0" t="n">
        <v>0</v>
      </c>
      <c r="J1329" s="0" t="s">
        <v>4258</v>
      </c>
      <c r="K1329" s="0" t="s">
        <v>2675</v>
      </c>
      <c r="L1329" s="0" t="n">
        <v>2020</v>
      </c>
      <c r="M1329" s="0" t="s">
        <v>2053</v>
      </c>
      <c r="N1329" s="0" t="s">
        <v>94</v>
      </c>
      <c r="O1329" s="0" t="s">
        <v>2496</v>
      </c>
      <c r="P1329" s="0" t="s">
        <v>5222</v>
      </c>
      <c r="Q1329" s="0" t="n">
        <v>42</v>
      </c>
      <c r="S1329" s="0" t="s">
        <v>5121</v>
      </c>
      <c r="T1329" s="0" t="s">
        <v>5270</v>
      </c>
      <c r="U1329" s="0" t="s">
        <v>4201</v>
      </c>
      <c r="V1329" s="0" t="s">
        <v>95</v>
      </c>
      <c r="W1329" s="0" t="s">
        <v>4803</v>
      </c>
      <c r="X1329" s="0" t="s">
        <v>5271</v>
      </c>
      <c r="Y1329" s="0" t="s">
        <v>4212</v>
      </c>
      <c r="Z1329" s="0" t="s">
        <v>4160</v>
      </c>
      <c r="AA1329" s="0" t="s">
        <v>5272</v>
      </c>
      <c r="AB1329" s="0" t="s">
        <v>5227</v>
      </c>
      <c r="AC1329" s="0" t="s">
        <v>4162</v>
      </c>
      <c r="AD1329" s="0" t="s">
        <v>4163</v>
      </c>
      <c r="AE1329" s="0" t="s">
        <v>4164</v>
      </c>
      <c r="AF1329" s="0" t="s">
        <v>5273</v>
      </c>
      <c r="AG1329" s="0" t="s">
        <v>1828</v>
      </c>
      <c r="AH1329" s="0" t="s">
        <v>2239</v>
      </c>
      <c r="AL1329" s="0" t="s">
        <v>539</v>
      </c>
    </row>
    <row r="1330" customFormat="false" ht="15" hidden="false" customHeight="false" outlineLevel="0" collapsed="false">
      <c r="A1330" s="0" t="s">
        <v>1378</v>
      </c>
      <c r="B1330" s="0" t="s">
        <v>201</v>
      </c>
      <c r="C1330" s="0" t="s">
        <v>4709</v>
      </c>
      <c r="D1330" s="0" t="n">
        <v>2014</v>
      </c>
      <c r="E1330" s="0" t="s">
        <v>55</v>
      </c>
      <c r="F1330" s="0" t="n">
        <v>413305111</v>
      </c>
      <c r="G1330" s="0" t="s">
        <v>3067</v>
      </c>
      <c r="H1330" s="0" t="s">
        <v>3068</v>
      </c>
      <c r="I1330" s="0" t="n">
        <v>413305.111</v>
      </c>
      <c r="J1330" s="0" t="s">
        <v>4634</v>
      </c>
      <c r="K1330" s="0" t="s">
        <v>2739</v>
      </c>
      <c r="L1330" s="0" t="n">
        <v>2014</v>
      </c>
      <c r="M1330" s="0" t="s">
        <v>2498</v>
      </c>
      <c r="N1330" s="0" t="s">
        <v>202</v>
      </c>
      <c r="O1330" s="0" t="s">
        <v>2499</v>
      </c>
      <c r="P1330" s="0" t="s">
        <v>5274</v>
      </c>
      <c r="Q1330" s="0" t="n">
        <v>3</v>
      </c>
      <c r="R1330" s="0" t="n">
        <v>60</v>
      </c>
      <c r="T1330" s="0" t="s">
        <v>5275</v>
      </c>
      <c r="U1330" s="0" t="s">
        <v>4763</v>
      </c>
      <c r="V1330" s="0" t="s">
        <v>105</v>
      </c>
      <c r="W1330" s="0" t="s">
        <v>5276</v>
      </c>
      <c r="X1330" s="0" t="s">
        <v>5277</v>
      </c>
      <c r="Y1330" s="0" t="s">
        <v>4159</v>
      </c>
      <c r="Z1330" s="0" t="s">
        <v>4160</v>
      </c>
      <c r="AA1330" s="0" t="s">
        <v>4998</v>
      </c>
      <c r="AB1330" s="0" t="s">
        <v>5278</v>
      </c>
      <c r="AC1330" s="0" t="s">
        <v>4162</v>
      </c>
      <c r="AD1330" s="0" t="s">
        <v>4637</v>
      </c>
      <c r="AE1330" s="0" t="s">
        <v>1892</v>
      </c>
      <c r="AF1330" s="0" t="s">
        <v>5279</v>
      </c>
      <c r="AH1330" s="0" t="s">
        <v>2239</v>
      </c>
      <c r="AL1330" s="0" t="s">
        <v>523</v>
      </c>
    </row>
    <row r="1331" customFormat="false" ht="15" hidden="false" customHeight="false" outlineLevel="0" collapsed="false">
      <c r="A1331" s="0" t="s">
        <v>1379</v>
      </c>
      <c r="B1331" s="0" t="s">
        <v>201</v>
      </c>
      <c r="C1331" s="0" t="s">
        <v>4709</v>
      </c>
      <c r="D1331" s="0" t="n">
        <v>2014</v>
      </c>
      <c r="E1331" s="0" t="s">
        <v>56</v>
      </c>
      <c r="F1331" s="0" t="n">
        <v>337041116</v>
      </c>
      <c r="G1331" s="0" t="s">
        <v>3067</v>
      </c>
      <c r="H1331" s="0" t="s">
        <v>3068</v>
      </c>
      <c r="I1331" s="0" t="n">
        <v>337041.116</v>
      </c>
      <c r="J1331" s="0" t="s">
        <v>4634</v>
      </c>
      <c r="K1331" s="0" t="s">
        <v>2739</v>
      </c>
      <c r="L1331" s="0" t="n">
        <v>2014</v>
      </c>
      <c r="M1331" s="0" t="s">
        <v>2498</v>
      </c>
      <c r="N1331" s="0" t="s">
        <v>202</v>
      </c>
      <c r="O1331" s="0" t="s">
        <v>2499</v>
      </c>
      <c r="P1331" s="0" t="s">
        <v>5274</v>
      </c>
      <c r="Q1331" s="0" t="n">
        <v>3</v>
      </c>
      <c r="R1331" s="0" t="n">
        <v>60</v>
      </c>
      <c r="T1331" s="0" t="s">
        <v>5275</v>
      </c>
      <c r="U1331" s="0" t="s">
        <v>4763</v>
      </c>
      <c r="V1331" s="0" t="s">
        <v>105</v>
      </c>
      <c r="W1331" s="0" t="s">
        <v>5280</v>
      </c>
      <c r="X1331" s="0" t="s">
        <v>5277</v>
      </c>
      <c r="Y1331" s="0" t="s">
        <v>4159</v>
      </c>
      <c r="Z1331" s="0" t="s">
        <v>4160</v>
      </c>
      <c r="AB1331" s="0" t="s">
        <v>5278</v>
      </c>
      <c r="AC1331" s="0" t="s">
        <v>4162</v>
      </c>
      <c r="AD1331" s="0" t="s">
        <v>4637</v>
      </c>
      <c r="AE1331" s="0" t="s">
        <v>1892</v>
      </c>
      <c r="AF1331" s="0" t="s">
        <v>5279</v>
      </c>
      <c r="AH1331" s="0" t="s">
        <v>2239</v>
      </c>
      <c r="AL1331" s="0" t="s">
        <v>523</v>
      </c>
    </row>
    <row r="1332" customFormat="false" ht="15" hidden="false" customHeight="false" outlineLevel="0" collapsed="false">
      <c r="A1332" s="0" t="s">
        <v>1380</v>
      </c>
      <c r="B1332" s="0" t="s">
        <v>201</v>
      </c>
      <c r="C1332" s="0" t="s">
        <v>4709</v>
      </c>
      <c r="D1332" s="0" t="n">
        <v>2014</v>
      </c>
      <c r="E1332" s="0" t="s">
        <v>57</v>
      </c>
      <c r="F1332" s="0" t="n">
        <v>76263995</v>
      </c>
      <c r="G1332" s="0" t="s">
        <v>3067</v>
      </c>
      <c r="H1332" s="0" t="s">
        <v>3068</v>
      </c>
      <c r="I1332" s="0" t="n">
        <v>76263.995</v>
      </c>
      <c r="J1332" s="0" t="s">
        <v>4634</v>
      </c>
      <c r="K1332" s="0" t="s">
        <v>2739</v>
      </c>
      <c r="L1332" s="0" t="n">
        <v>2014</v>
      </c>
      <c r="M1332" s="0" t="s">
        <v>2498</v>
      </c>
      <c r="N1332" s="0" t="s">
        <v>202</v>
      </c>
      <c r="O1332" s="0" t="s">
        <v>2499</v>
      </c>
      <c r="P1332" s="0" t="s">
        <v>5274</v>
      </c>
      <c r="Q1332" s="0" t="n">
        <v>3</v>
      </c>
      <c r="R1332" s="0" t="n">
        <v>60</v>
      </c>
      <c r="T1332" s="0" t="s">
        <v>5275</v>
      </c>
      <c r="U1332" s="0" t="s">
        <v>4763</v>
      </c>
      <c r="V1332" s="0" t="s">
        <v>105</v>
      </c>
      <c r="W1332" s="0" t="s">
        <v>5281</v>
      </c>
      <c r="X1332" s="0" t="s">
        <v>5277</v>
      </c>
      <c r="Y1332" s="0" t="s">
        <v>4159</v>
      </c>
      <c r="Z1332" s="0" t="s">
        <v>4160</v>
      </c>
      <c r="AB1332" s="0" t="s">
        <v>5278</v>
      </c>
      <c r="AC1332" s="0" t="s">
        <v>4162</v>
      </c>
      <c r="AD1332" s="0" t="s">
        <v>4637</v>
      </c>
      <c r="AE1332" s="0" t="s">
        <v>1892</v>
      </c>
      <c r="AF1332" s="0" t="s">
        <v>5279</v>
      </c>
      <c r="AH1332" s="0" t="s">
        <v>2239</v>
      </c>
      <c r="AL1332" s="0" t="s">
        <v>523</v>
      </c>
    </row>
    <row r="1333" customFormat="false" ht="15" hidden="false" customHeight="false" outlineLevel="0" collapsed="false">
      <c r="A1333" s="0" t="s">
        <v>1377</v>
      </c>
      <c r="B1333" s="0" t="s">
        <v>201</v>
      </c>
      <c r="C1333" s="0" t="s">
        <v>4709</v>
      </c>
      <c r="D1333" s="0" t="n">
        <v>2014</v>
      </c>
      <c r="E1333" s="0" t="s">
        <v>54</v>
      </c>
      <c r="F1333" s="0" t="n">
        <v>10692476</v>
      </c>
      <c r="G1333" s="0" t="s">
        <v>3067</v>
      </c>
      <c r="H1333" s="0" t="s">
        <v>3068</v>
      </c>
      <c r="I1333" s="0" t="n">
        <v>10692.476</v>
      </c>
      <c r="J1333" s="0" t="s">
        <v>4634</v>
      </c>
      <c r="K1333" s="0" t="s">
        <v>2739</v>
      </c>
      <c r="L1333" s="0" t="n">
        <v>2014</v>
      </c>
      <c r="M1333" s="0" t="s">
        <v>2498</v>
      </c>
      <c r="N1333" s="0" t="s">
        <v>202</v>
      </c>
      <c r="O1333" s="0" t="s">
        <v>2499</v>
      </c>
      <c r="P1333" s="0" t="s">
        <v>5274</v>
      </c>
      <c r="Q1333" s="0" t="n">
        <v>1</v>
      </c>
      <c r="R1333" s="0" t="n">
        <v>58</v>
      </c>
      <c r="T1333" s="0" t="s">
        <v>5275</v>
      </c>
      <c r="U1333" s="0" t="s">
        <v>4763</v>
      </c>
      <c r="V1333" s="0" t="s">
        <v>105</v>
      </c>
      <c r="W1333" s="0" t="s">
        <v>5282</v>
      </c>
      <c r="X1333" s="0" t="s">
        <v>5283</v>
      </c>
      <c r="Y1333" s="0" t="s">
        <v>4159</v>
      </c>
      <c r="Z1333" s="0" t="s">
        <v>4160</v>
      </c>
      <c r="AB1333" s="0" t="s">
        <v>5278</v>
      </c>
      <c r="AC1333" s="0" t="s">
        <v>4162</v>
      </c>
      <c r="AD1333" s="0" t="s">
        <v>4637</v>
      </c>
      <c r="AE1333" s="0" t="s">
        <v>1892</v>
      </c>
      <c r="AF1333" s="0" t="s">
        <v>5279</v>
      </c>
      <c r="AH1333" s="0" t="s">
        <v>2239</v>
      </c>
      <c r="AL1333" s="0" t="s">
        <v>523</v>
      </c>
    </row>
    <row r="1334" customFormat="false" ht="15" hidden="false" customHeight="false" outlineLevel="0" collapsed="false">
      <c r="A1334" s="0" t="s">
        <v>1385</v>
      </c>
      <c r="B1334" s="0" t="s">
        <v>201</v>
      </c>
      <c r="C1334" s="0" t="s">
        <v>4709</v>
      </c>
      <c r="D1334" s="0" t="n">
        <v>2014</v>
      </c>
      <c r="E1334" s="0" t="s">
        <v>541</v>
      </c>
      <c r="F1334" s="0" t="n">
        <v>13639390</v>
      </c>
      <c r="G1334" s="0" t="s">
        <v>3067</v>
      </c>
      <c r="H1334" s="0" t="s">
        <v>3068</v>
      </c>
      <c r="I1334" s="0" t="n">
        <v>13639.39</v>
      </c>
      <c r="J1334" s="0" t="s">
        <v>4634</v>
      </c>
      <c r="K1334" s="0" t="s">
        <v>2739</v>
      </c>
      <c r="L1334" s="0" t="n">
        <v>2014</v>
      </c>
      <c r="M1334" s="0" t="s">
        <v>2498</v>
      </c>
      <c r="N1334" s="0" t="s">
        <v>202</v>
      </c>
      <c r="O1334" s="0" t="s">
        <v>2499</v>
      </c>
      <c r="P1334" s="0" t="s">
        <v>5274</v>
      </c>
      <c r="Q1334" s="0" t="n">
        <v>1</v>
      </c>
      <c r="R1334" s="0" t="n">
        <v>58</v>
      </c>
      <c r="T1334" s="0" t="s">
        <v>5275</v>
      </c>
      <c r="U1334" s="0" t="s">
        <v>4763</v>
      </c>
      <c r="V1334" s="0" t="s">
        <v>105</v>
      </c>
      <c r="W1334" s="0" t="s">
        <v>5284</v>
      </c>
      <c r="X1334" s="0" t="s">
        <v>5283</v>
      </c>
      <c r="Y1334" s="0" t="s">
        <v>4159</v>
      </c>
      <c r="Z1334" s="0" t="s">
        <v>4160</v>
      </c>
      <c r="AB1334" s="0" t="s">
        <v>5278</v>
      </c>
      <c r="AC1334" s="0" t="s">
        <v>4162</v>
      </c>
      <c r="AD1334" s="0" t="s">
        <v>4637</v>
      </c>
      <c r="AE1334" s="0" t="s">
        <v>1892</v>
      </c>
      <c r="AF1334" s="0" t="s">
        <v>5279</v>
      </c>
      <c r="AH1334" s="0" t="s">
        <v>2239</v>
      </c>
      <c r="AL1334" s="0" t="s">
        <v>523</v>
      </c>
    </row>
    <row r="1335" customFormat="false" ht="15" hidden="false" customHeight="false" outlineLevel="0" collapsed="false">
      <c r="A1335" s="0" t="s">
        <v>1381</v>
      </c>
      <c r="B1335" s="0" t="s">
        <v>201</v>
      </c>
      <c r="C1335" s="0" t="s">
        <v>4709</v>
      </c>
      <c r="D1335" s="0" t="n">
        <v>2014</v>
      </c>
      <c r="E1335" s="0" t="s">
        <v>58</v>
      </c>
      <c r="F1335" s="0" t="n">
        <v>-32248858</v>
      </c>
      <c r="G1335" s="0" t="s">
        <v>3067</v>
      </c>
      <c r="H1335" s="0" t="s">
        <v>3068</v>
      </c>
      <c r="I1335" s="0" t="n">
        <v>-32248.858</v>
      </c>
      <c r="J1335" s="0" t="s">
        <v>4634</v>
      </c>
      <c r="K1335" s="0" t="s">
        <v>2739</v>
      </c>
      <c r="L1335" s="0" t="n">
        <v>2014</v>
      </c>
      <c r="M1335" s="0" t="s">
        <v>2498</v>
      </c>
      <c r="N1335" s="0" t="s">
        <v>202</v>
      </c>
      <c r="O1335" s="0" t="s">
        <v>2499</v>
      </c>
      <c r="P1335" s="0" t="s">
        <v>5274</v>
      </c>
      <c r="Q1335" s="0" t="n">
        <v>5</v>
      </c>
      <c r="R1335" s="0" t="n">
        <v>62</v>
      </c>
      <c r="T1335" s="0" t="s">
        <v>5275</v>
      </c>
      <c r="U1335" s="0" t="s">
        <v>4763</v>
      </c>
      <c r="V1335" s="0" t="s">
        <v>105</v>
      </c>
      <c r="W1335" s="0" t="s">
        <v>5285</v>
      </c>
      <c r="X1335" s="0" t="s">
        <v>5286</v>
      </c>
      <c r="Y1335" s="0" t="s">
        <v>4159</v>
      </c>
      <c r="Z1335" s="0" t="s">
        <v>4160</v>
      </c>
      <c r="AB1335" s="0" t="s">
        <v>5278</v>
      </c>
      <c r="AC1335" s="0" t="s">
        <v>4162</v>
      </c>
      <c r="AD1335" s="0" t="s">
        <v>4637</v>
      </c>
      <c r="AE1335" s="0" t="s">
        <v>1892</v>
      </c>
      <c r="AF1335" s="0" t="s">
        <v>5279</v>
      </c>
      <c r="AH1335" s="0" t="s">
        <v>2239</v>
      </c>
      <c r="AL1335" s="0" t="s">
        <v>523</v>
      </c>
    </row>
    <row r="1336" customFormat="false" ht="15" hidden="false" customHeight="false" outlineLevel="0" collapsed="false">
      <c r="A1336" s="0" t="s">
        <v>1382</v>
      </c>
      <c r="B1336" s="0" t="s">
        <v>201</v>
      </c>
      <c r="C1336" s="0" t="s">
        <v>4709</v>
      </c>
      <c r="D1336" s="0" t="n">
        <v>2014</v>
      </c>
      <c r="E1336" s="0" t="s">
        <v>59</v>
      </c>
      <c r="F1336" s="0" t="n">
        <v>403629290</v>
      </c>
      <c r="G1336" s="0" t="s">
        <v>3067</v>
      </c>
      <c r="H1336" s="0" t="s">
        <v>3068</v>
      </c>
      <c r="I1336" s="0" t="n">
        <v>403629.29</v>
      </c>
      <c r="J1336" s="0" t="s">
        <v>4634</v>
      </c>
      <c r="K1336" s="0" t="s">
        <v>2739</v>
      </c>
      <c r="L1336" s="0" t="n">
        <v>2014</v>
      </c>
      <c r="M1336" s="0" t="s">
        <v>2498</v>
      </c>
      <c r="N1336" s="0" t="s">
        <v>202</v>
      </c>
      <c r="O1336" s="0" t="s">
        <v>2499</v>
      </c>
      <c r="P1336" s="0" t="s">
        <v>5274</v>
      </c>
      <c r="Q1336" s="0" t="n">
        <v>3</v>
      </c>
      <c r="R1336" s="0" t="n">
        <v>60</v>
      </c>
      <c r="T1336" s="0" t="s">
        <v>4999</v>
      </c>
      <c r="U1336" s="0" t="s">
        <v>5287</v>
      </c>
      <c r="V1336" s="0" t="s">
        <v>105</v>
      </c>
      <c r="W1336" s="0" t="s">
        <v>5276</v>
      </c>
      <c r="X1336" s="0" t="s">
        <v>5277</v>
      </c>
      <c r="Y1336" s="0" t="s">
        <v>4159</v>
      </c>
      <c r="Z1336" s="0" t="s">
        <v>4160</v>
      </c>
      <c r="AA1336" s="0" t="s">
        <v>5288</v>
      </c>
      <c r="AB1336" s="0" t="s">
        <v>5278</v>
      </c>
      <c r="AC1336" s="0" t="s">
        <v>4162</v>
      </c>
      <c r="AD1336" s="0" t="s">
        <v>4637</v>
      </c>
      <c r="AE1336" s="0" t="s">
        <v>1892</v>
      </c>
      <c r="AF1336" s="0" t="s">
        <v>5279</v>
      </c>
      <c r="AH1336" s="0" t="s">
        <v>2239</v>
      </c>
      <c r="AL1336" s="0" t="s">
        <v>523</v>
      </c>
    </row>
    <row r="1337" customFormat="false" ht="15" hidden="false" customHeight="false" outlineLevel="0" collapsed="false">
      <c r="A1337" s="0" t="s">
        <v>1384</v>
      </c>
      <c r="B1337" s="0" t="s">
        <v>201</v>
      </c>
      <c r="C1337" s="0" t="s">
        <v>4709</v>
      </c>
      <c r="D1337" s="0" t="n">
        <v>2014</v>
      </c>
      <c r="E1337" s="0" t="s">
        <v>63</v>
      </c>
      <c r="F1337" s="0" t="n">
        <v>-15054246</v>
      </c>
      <c r="G1337" s="0" t="s">
        <v>3067</v>
      </c>
      <c r="H1337" s="0" t="s">
        <v>3068</v>
      </c>
      <c r="I1337" s="0" t="n">
        <v>15054.246</v>
      </c>
      <c r="J1337" s="0" t="s">
        <v>4634</v>
      </c>
      <c r="K1337" s="0" t="s">
        <v>2739</v>
      </c>
      <c r="L1337" s="0" t="n">
        <v>2014</v>
      </c>
      <c r="M1337" s="0" t="s">
        <v>2498</v>
      </c>
      <c r="N1337" s="0" t="s">
        <v>202</v>
      </c>
      <c r="O1337" s="0" t="s">
        <v>2499</v>
      </c>
      <c r="P1337" s="0" t="s">
        <v>5274</v>
      </c>
      <c r="Q1337" s="0" t="n">
        <v>1</v>
      </c>
      <c r="R1337" s="0" t="n">
        <v>58</v>
      </c>
      <c r="S1337" s="0" t="n">
        <v>9</v>
      </c>
      <c r="T1337" s="0" t="s">
        <v>5275</v>
      </c>
      <c r="U1337" s="0" t="s">
        <v>4763</v>
      </c>
      <c r="V1337" s="0" t="s">
        <v>105</v>
      </c>
      <c r="W1337" s="0" t="s">
        <v>5289</v>
      </c>
      <c r="X1337" s="0" t="s">
        <v>5283</v>
      </c>
      <c r="Y1337" s="0" t="s">
        <v>4159</v>
      </c>
      <c r="Z1337" s="0" t="s">
        <v>4160</v>
      </c>
      <c r="AA1337" s="0" t="s">
        <v>5290</v>
      </c>
      <c r="AB1337" s="0" t="s">
        <v>5278</v>
      </c>
      <c r="AC1337" s="0" t="s">
        <v>4162</v>
      </c>
      <c r="AD1337" s="0" t="s">
        <v>4637</v>
      </c>
      <c r="AE1337" s="0" t="s">
        <v>1892</v>
      </c>
      <c r="AF1337" s="0" t="s">
        <v>5279</v>
      </c>
      <c r="AH1337" s="0" t="s">
        <v>4174</v>
      </c>
      <c r="AI1337" s="0" t="s">
        <v>4781</v>
      </c>
      <c r="AL1337" s="0" t="s">
        <v>523</v>
      </c>
    </row>
    <row r="1338" customFormat="false" ht="15" hidden="false" customHeight="false" outlineLevel="0" collapsed="false">
      <c r="A1338" s="0" t="s">
        <v>1383</v>
      </c>
      <c r="B1338" s="0" t="s">
        <v>201</v>
      </c>
      <c r="C1338" s="0" t="s">
        <v>4709</v>
      </c>
      <c r="D1338" s="0" t="n">
        <v>2014</v>
      </c>
      <c r="E1338" s="0" t="s">
        <v>62</v>
      </c>
      <c r="F1338" s="0" t="n">
        <v>219335346</v>
      </c>
      <c r="G1338" s="0" t="s">
        <v>3067</v>
      </c>
      <c r="H1338" s="0" t="s">
        <v>3068</v>
      </c>
      <c r="I1338" s="0" t="n">
        <v>219335.346</v>
      </c>
      <c r="J1338" s="0" t="s">
        <v>4634</v>
      </c>
      <c r="K1338" s="0" t="s">
        <v>2739</v>
      </c>
      <c r="L1338" s="0" t="n">
        <v>2014</v>
      </c>
      <c r="M1338" s="0" t="s">
        <v>2498</v>
      </c>
      <c r="N1338" s="0" t="s">
        <v>202</v>
      </c>
      <c r="O1338" s="0" t="s">
        <v>2499</v>
      </c>
      <c r="P1338" s="0" t="s">
        <v>5274</v>
      </c>
      <c r="Q1338" s="0" t="n">
        <v>3</v>
      </c>
      <c r="R1338" s="0" t="n">
        <v>60</v>
      </c>
      <c r="S1338" s="0" t="n">
        <v>17</v>
      </c>
      <c r="T1338" s="0" t="s">
        <v>5275</v>
      </c>
      <c r="U1338" s="0" t="s">
        <v>4763</v>
      </c>
      <c r="V1338" s="0" t="s">
        <v>105</v>
      </c>
      <c r="W1338" s="0" t="s">
        <v>5291</v>
      </c>
      <c r="X1338" s="0" t="s">
        <v>5277</v>
      </c>
      <c r="Y1338" s="0" t="s">
        <v>4159</v>
      </c>
      <c r="Z1338" s="0" t="s">
        <v>4160</v>
      </c>
      <c r="AA1338" s="0" t="s">
        <v>5292</v>
      </c>
      <c r="AB1338" s="0" t="s">
        <v>5278</v>
      </c>
      <c r="AC1338" s="0" t="s">
        <v>4162</v>
      </c>
      <c r="AD1338" s="0" t="s">
        <v>4637</v>
      </c>
      <c r="AE1338" s="0" t="s">
        <v>1892</v>
      </c>
      <c r="AF1338" s="0" t="s">
        <v>5279</v>
      </c>
      <c r="AH1338" s="0" t="s">
        <v>2239</v>
      </c>
      <c r="AL1338" s="0" t="s">
        <v>523</v>
      </c>
    </row>
    <row r="1339" customFormat="false" ht="15" hidden="false" customHeight="false" outlineLevel="0" collapsed="false">
      <c r="A1339" s="0" t="s">
        <v>618</v>
      </c>
      <c r="B1339" s="0" t="s">
        <v>77</v>
      </c>
      <c r="C1339" s="0" t="s">
        <v>5066</v>
      </c>
      <c r="D1339" s="0" t="n">
        <v>2020</v>
      </c>
      <c r="E1339" s="0" t="s">
        <v>66</v>
      </c>
      <c r="F1339" s="0" t="n">
        <v>3078989123</v>
      </c>
      <c r="G1339" s="0" t="s">
        <v>3067</v>
      </c>
      <c r="H1339" s="0" t="s">
        <v>3068</v>
      </c>
      <c r="I1339" s="0" t="n">
        <v>3078989.123</v>
      </c>
      <c r="J1339" s="0" t="s">
        <v>4155</v>
      </c>
      <c r="K1339" s="0" t="s">
        <v>2675</v>
      </c>
      <c r="L1339" s="0" t="n">
        <v>2020</v>
      </c>
      <c r="M1339" s="0" t="s">
        <v>2053</v>
      </c>
      <c r="N1339" s="0" t="s">
        <v>94</v>
      </c>
      <c r="O1339" s="0" t="s">
        <v>2496</v>
      </c>
      <c r="P1339" s="0" t="s">
        <v>5222</v>
      </c>
      <c r="Q1339" s="0" t="n">
        <v>164</v>
      </c>
      <c r="R1339" s="0" t="n">
        <v>165</v>
      </c>
      <c r="T1339" s="0" t="s">
        <v>5258</v>
      </c>
      <c r="U1339" s="0" t="s">
        <v>4201</v>
      </c>
      <c r="V1339" s="0" t="s">
        <v>95</v>
      </c>
      <c r="W1339" s="0" t="s">
        <v>5293</v>
      </c>
      <c r="X1339" s="0" t="s">
        <v>5260</v>
      </c>
      <c r="Y1339" s="0" t="s">
        <v>4159</v>
      </c>
      <c r="Z1339" s="0" t="s">
        <v>4160</v>
      </c>
      <c r="AA1339" s="0" t="s">
        <v>5294</v>
      </c>
      <c r="AB1339" s="0" t="s">
        <v>5227</v>
      </c>
      <c r="AC1339" s="0" t="s">
        <v>4162</v>
      </c>
      <c r="AD1339" s="0" t="s">
        <v>4163</v>
      </c>
      <c r="AE1339" s="0" t="s">
        <v>4164</v>
      </c>
      <c r="AF1339" s="0" t="s">
        <v>5257</v>
      </c>
      <c r="AH1339" s="0" t="s">
        <v>2239</v>
      </c>
      <c r="AL1339" s="0" t="s">
        <v>523</v>
      </c>
    </row>
    <row r="1340" customFormat="false" ht="15" hidden="false" customHeight="false" outlineLevel="0" collapsed="false">
      <c r="A1340" s="0" t="s">
        <v>592</v>
      </c>
      <c r="B1340" s="0" t="s">
        <v>77</v>
      </c>
      <c r="C1340" s="0" t="s">
        <v>5066</v>
      </c>
      <c r="D1340" s="0" t="n">
        <v>2019</v>
      </c>
      <c r="E1340" s="0" t="s">
        <v>55</v>
      </c>
      <c r="F1340" s="0" t="n">
        <v>6311041282</v>
      </c>
      <c r="G1340" s="0" t="s">
        <v>3067</v>
      </c>
      <c r="H1340" s="0" t="s">
        <v>3068</v>
      </c>
      <c r="I1340" s="0" t="n">
        <v>6311041.282</v>
      </c>
      <c r="J1340" s="0" t="s">
        <v>4155</v>
      </c>
      <c r="K1340" s="0" t="s">
        <v>2672</v>
      </c>
      <c r="L1340" s="0" t="n">
        <v>2019</v>
      </c>
      <c r="M1340" s="0" t="s">
        <v>2064</v>
      </c>
      <c r="N1340" s="0" t="s">
        <v>91</v>
      </c>
      <c r="O1340" s="0" t="s">
        <v>2502</v>
      </c>
      <c r="P1340" s="0" t="s">
        <v>5295</v>
      </c>
      <c r="Q1340" s="0" t="n">
        <v>93</v>
      </c>
      <c r="R1340" s="0" t="n">
        <v>92</v>
      </c>
      <c r="T1340" s="0" t="s">
        <v>5233</v>
      </c>
      <c r="U1340" s="0" t="s">
        <v>4461</v>
      </c>
      <c r="V1340" s="0" t="s">
        <v>93</v>
      </c>
      <c r="W1340" s="0" t="s">
        <v>5296</v>
      </c>
      <c r="X1340" s="0" t="s">
        <v>5297</v>
      </c>
      <c r="Y1340" s="0" t="s">
        <v>4159</v>
      </c>
      <c r="Z1340" s="0" t="s">
        <v>4160</v>
      </c>
      <c r="AA1340" s="0" t="s">
        <v>5298</v>
      </c>
      <c r="AB1340" s="0" t="s">
        <v>5299</v>
      </c>
      <c r="AC1340" s="0" t="s">
        <v>4162</v>
      </c>
      <c r="AD1340" s="0" t="s">
        <v>4163</v>
      </c>
      <c r="AE1340" s="0" t="s">
        <v>4164</v>
      </c>
      <c r="AF1340" s="0" t="s">
        <v>5300</v>
      </c>
      <c r="AH1340" s="0" t="s">
        <v>2239</v>
      </c>
      <c r="AL1340" s="0" t="s">
        <v>523</v>
      </c>
    </row>
    <row r="1341" customFormat="false" ht="15" hidden="false" customHeight="false" outlineLevel="0" collapsed="false">
      <c r="A1341" s="0" t="s">
        <v>593</v>
      </c>
      <c r="B1341" s="0" t="s">
        <v>77</v>
      </c>
      <c r="C1341" s="0" t="s">
        <v>5066</v>
      </c>
      <c r="D1341" s="0" t="n">
        <v>2019</v>
      </c>
      <c r="E1341" s="0" t="s">
        <v>56</v>
      </c>
      <c r="F1341" s="0" t="n">
        <v>5768100182</v>
      </c>
      <c r="G1341" s="0" t="s">
        <v>3067</v>
      </c>
      <c r="H1341" s="0" t="s">
        <v>3068</v>
      </c>
      <c r="I1341" s="0" t="n">
        <v>5768100.182</v>
      </c>
      <c r="J1341" s="0" t="s">
        <v>4155</v>
      </c>
      <c r="K1341" s="0" t="s">
        <v>2672</v>
      </c>
      <c r="L1341" s="0" t="n">
        <v>2019</v>
      </c>
      <c r="M1341" s="0" t="s">
        <v>2064</v>
      </c>
      <c r="N1341" s="0" t="s">
        <v>91</v>
      </c>
      <c r="O1341" s="0" t="s">
        <v>2502</v>
      </c>
      <c r="P1341" s="0" t="s">
        <v>5295</v>
      </c>
      <c r="Q1341" s="0" t="n">
        <v>93</v>
      </c>
      <c r="R1341" s="0" t="n">
        <v>92</v>
      </c>
      <c r="T1341" s="0" t="s">
        <v>5233</v>
      </c>
      <c r="U1341" s="0" t="s">
        <v>4461</v>
      </c>
      <c r="V1341" s="0" t="s">
        <v>93</v>
      </c>
      <c r="W1341" s="0" t="s">
        <v>5301</v>
      </c>
      <c r="X1341" s="0" t="s">
        <v>5297</v>
      </c>
      <c r="Y1341" s="0" t="s">
        <v>4159</v>
      </c>
      <c r="Z1341" s="0" t="s">
        <v>4160</v>
      </c>
      <c r="AA1341" s="0" t="s">
        <v>5302</v>
      </c>
      <c r="AB1341" s="0" t="s">
        <v>5299</v>
      </c>
      <c r="AC1341" s="0" t="s">
        <v>4162</v>
      </c>
      <c r="AD1341" s="0" t="s">
        <v>4163</v>
      </c>
      <c r="AE1341" s="0" t="s">
        <v>4164</v>
      </c>
      <c r="AF1341" s="0" t="s">
        <v>5300</v>
      </c>
      <c r="AH1341" s="0" t="s">
        <v>2239</v>
      </c>
      <c r="AL1341" s="0" t="s">
        <v>523</v>
      </c>
    </row>
    <row r="1342" customFormat="false" ht="15" hidden="false" customHeight="false" outlineLevel="0" collapsed="false">
      <c r="A1342" s="0" t="s">
        <v>594</v>
      </c>
      <c r="B1342" s="0" t="s">
        <v>77</v>
      </c>
      <c r="C1342" s="0" t="s">
        <v>5066</v>
      </c>
      <c r="D1342" s="0" t="n">
        <v>2019</v>
      </c>
      <c r="E1342" s="0" t="s">
        <v>57</v>
      </c>
      <c r="F1342" s="0" t="n">
        <v>542941100</v>
      </c>
      <c r="G1342" s="0" t="s">
        <v>3067</v>
      </c>
      <c r="H1342" s="0" t="s">
        <v>3068</v>
      </c>
      <c r="I1342" s="0" t="n">
        <v>542941.1</v>
      </c>
      <c r="J1342" s="0" t="s">
        <v>4155</v>
      </c>
      <c r="K1342" s="0" t="s">
        <v>2672</v>
      </c>
      <c r="L1342" s="0" t="n">
        <v>2019</v>
      </c>
      <c r="M1342" s="0" t="s">
        <v>2064</v>
      </c>
      <c r="N1342" s="0" t="s">
        <v>91</v>
      </c>
      <c r="O1342" s="0" t="s">
        <v>2502</v>
      </c>
      <c r="P1342" s="0" t="s">
        <v>5295</v>
      </c>
      <c r="Q1342" s="0" t="n">
        <v>93</v>
      </c>
      <c r="R1342" s="0" t="n">
        <v>92</v>
      </c>
      <c r="T1342" s="0" t="s">
        <v>5233</v>
      </c>
      <c r="U1342" s="0" t="s">
        <v>4461</v>
      </c>
      <c r="V1342" s="0" t="s">
        <v>93</v>
      </c>
      <c r="W1342" s="0" t="s">
        <v>5303</v>
      </c>
      <c r="X1342" s="0" t="s">
        <v>5297</v>
      </c>
      <c r="Y1342" s="0" t="s">
        <v>4159</v>
      </c>
      <c r="Z1342" s="0" t="s">
        <v>4160</v>
      </c>
      <c r="AA1342" s="0" t="s">
        <v>5304</v>
      </c>
      <c r="AB1342" s="0" t="s">
        <v>5299</v>
      </c>
      <c r="AC1342" s="0" t="s">
        <v>4162</v>
      </c>
      <c r="AD1342" s="0" t="s">
        <v>4163</v>
      </c>
      <c r="AE1342" s="0" t="s">
        <v>4164</v>
      </c>
      <c r="AF1342" s="0" t="s">
        <v>5300</v>
      </c>
      <c r="AH1342" s="0" t="s">
        <v>2239</v>
      </c>
      <c r="AL1342" s="0" t="s">
        <v>523</v>
      </c>
    </row>
    <row r="1343" customFormat="false" ht="15" hidden="false" customHeight="false" outlineLevel="0" collapsed="false">
      <c r="A1343" s="0" t="s">
        <v>591</v>
      </c>
      <c r="B1343" s="0" t="s">
        <v>77</v>
      </c>
      <c r="C1343" s="0" t="s">
        <v>5066</v>
      </c>
      <c r="D1343" s="0" t="n">
        <v>2019</v>
      </c>
      <c r="E1343" s="0" t="s">
        <v>54</v>
      </c>
      <c r="F1343" s="0" t="n">
        <v>73569054</v>
      </c>
      <c r="G1343" s="0" t="s">
        <v>3067</v>
      </c>
      <c r="H1343" s="0" t="s">
        <v>3068</v>
      </c>
      <c r="I1343" s="0" t="n">
        <v>73569.054</v>
      </c>
      <c r="J1343" s="0" t="s">
        <v>4155</v>
      </c>
      <c r="K1343" s="0" t="s">
        <v>2672</v>
      </c>
      <c r="L1343" s="0" t="n">
        <v>2019</v>
      </c>
      <c r="M1343" s="0" t="s">
        <v>2064</v>
      </c>
      <c r="N1343" s="0" t="s">
        <v>91</v>
      </c>
      <c r="O1343" s="0" t="s">
        <v>2502</v>
      </c>
      <c r="P1343" s="0" t="s">
        <v>5295</v>
      </c>
      <c r="Q1343" s="0" t="n">
        <v>92</v>
      </c>
      <c r="R1343" s="0" t="n">
        <v>91</v>
      </c>
      <c r="T1343" s="0" t="s">
        <v>5233</v>
      </c>
      <c r="U1343" s="0" t="s">
        <v>4461</v>
      </c>
      <c r="V1343" s="0" t="s">
        <v>93</v>
      </c>
      <c r="W1343" s="0" t="s">
        <v>5305</v>
      </c>
      <c r="X1343" s="0" t="s">
        <v>5306</v>
      </c>
      <c r="Y1343" s="0" t="s">
        <v>4159</v>
      </c>
      <c r="Z1343" s="0" t="s">
        <v>4160</v>
      </c>
      <c r="AA1343" s="0" t="s">
        <v>5307</v>
      </c>
      <c r="AB1343" s="0" t="s">
        <v>5299</v>
      </c>
      <c r="AC1343" s="0" t="s">
        <v>4162</v>
      </c>
      <c r="AD1343" s="0" t="s">
        <v>4163</v>
      </c>
      <c r="AE1343" s="0" t="s">
        <v>4164</v>
      </c>
      <c r="AF1343" s="0" t="s">
        <v>5300</v>
      </c>
      <c r="AH1343" s="0" t="s">
        <v>2239</v>
      </c>
      <c r="AL1343" s="0" t="s">
        <v>523</v>
      </c>
    </row>
    <row r="1344" customFormat="false" ht="15" hidden="false" customHeight="false" outlineLevel="0" collapsed="false">
      <c r="A1344" s="0" t="s">
        <v>602</v>
      </c>
      <c r="B1344" s="0" t="s">
        <v>77</v>
      </c>
      <c r="C1344" s="0" t="s">
        <v>5066</v>
      </c>
      <c r="D1344" s="0" t="n">
        <v>2019</v>
      </c>
      <c r="E1344" s="0" t="s">
        <v>541</v>
      </c>
      <c r="F1344" s="0" t="n">
        <v>82666776</v>
      </c>
      <c r="G1344" s="0" t="s">
        <v>3067</v>
      </c>
      <c r="H1344" s="0" t="s">
        <v>3068</v>
      </c>
      <c r="I1344" s="0" t="n">
        <v>82666.776</v>
      </c>
      <c r="J1344" s="0" t="s">
        <v>4155</v>
      </c>
      <c r="K1344" s="0" t="s">
        <v>2672</v>
      </c>
      <c r="L1344" s="0" t="n">
        <v>2019</v>
      </c>
      <c r="M1344" s="0" t="s">
        <v>2064</v>
      </c>
      <c r="N1344" s="0" t="s">
        <v>91</v>
      </c>
      <c r="O1344" s="0" t="s">
        <v>2502</v>
      </c>
      <c r="P1344" s="0" t="s">
        <v>5295</v>
      </c>
      <c r="Q1344" s="0" t="n">
        <v>92</v>
      </c>
      <c r="R1344" s="0" t="n">
        <v>91</v>
      </c>
      <c r="T1344" s="0" t="s">
        <v>5233</v>
      </c>
      <c r="U1344" s="0" t="s">
        <v>4461</v>
      </c>
      <c r="V1344" s="0" t="s">
        <v>93</v>
      </c>
      <c r="W1344" s="0" t="s">
        <v>5308</v>
      </c>
      <c r="X1344" s="0" t="s">
        <v>5306</v>
      </c>
      <c r="Y1344" s="0" t="s">
        <v>4159</v>
      </c>
      <c r="Z1344" s="0" t="s">
        <v>4160</v>
      </c>
      <c r="AA1344" s="0" t="s">
        <v>5309</v>
      </c>
      <c r="AB1344" s="0" t="s">
        <v>5299</v>
      </c>
      <c r="AC1344" s="0" t="s">
        <v>4162</v>
      </c>
      <c r="AD1344" s="0" t="s">
        <v>4163</v>
      </c>
      <c r="AE1344" s="0" t="s">
        <v>4164</v>
      </c>
      <c r="AF1344" s="0" t="s">
        <v>5300</v>
      </c>
      <c r="AH1344" s="0" t="s">
        <v>2239</v>
      </c>
      <c r="AL1344" s="0" t="s">
        <v>523</v>
      </c>
    </row>
    <row r="1345" customFormat="false" ht="15" hidden="false" customHeight="false" outlineLevel="0" collapsed="false">
      <c r="A1345" s="0" t="s">
        <v>595</v>
      </c>
      <c r="B1345" s="0" t="s">
        <v>77</v>
      </c>
      <c r="C1345" s="0" t="s">
        <v>5066</v>
      </c>
      <c r="D1345" s="0" t="n">
        <v>2019</v>
      </c>
      <c r="E1345" s="0" t="s">
        <v>58</v>
      </c>
      <c r="F1345" s="0" t="n">
        <v>1094573265</v>
      </c>
      <c r="G1345" s="0" t="s">
        <v>3067</v>
      </c>
      <c r="H1345" s="0" t="s">
        <v>3068</v>
      </c>
      <c r="I1345" s="0" t="n">
        <v>1094573.265</v>
      </c>
      <c r="J1345" s="0" t="s">
        <v>4155</v>
      </c>
      <c r="K1345" s="0" t="s">
        <v>2672</v>
      </c>
      <c r="L1345" s="0" t="n">
        <v>2019</v>
      </c>
      <c r="M1345" s="0" t="s">
        <v>2064</v>
      </c>
      <c r="N1345" s="0" t="s">
        <v>91</v>
      </c>
      <c r="O1345" s="0" t="s">
        <v>2502</v>
      </c>
      <c r="P1345" s="0" t="s">
        <v>5295</v>
      </c>
      <c r="Q1345" s="0" t="n">
        <v>96</v>
      </c>
      <c r="R1345" s="0" t="n">
        <v>95</v>
      </c>
      <c r="T1345" s="0" t="s">
        <v>5233</v>
      </c>
      <c r="U1345" s="0" t="s">
        <v>4461</v>
      </c>
      <c r="V1345" s="0" t="s">
        <v>93</v>
      </c>
      <c r="W1345" s="0" t="s">
        <v>5310</v>
      </c>
      <c r="X1345" s="0" t="s">
        <v>5311</v>
      </c>
      <c r="Y1345" s="0" t="s">
        <v>4159</v>
      </c>
      <c r="Z1345" s="0" t="s">
        <v>4160</v>
      </c>
      <c r="AA1345" s="0" t="s">
        <v>5312</v>
      </c>
      <c r="AB1345" s="0" t="s">
        <v>5299</v>
      </c>
      <c r="AC1345" s="0" t="s">
        <v>4162</v>
      </c>
      <c r="AD1345" s="0" t="s">
        <v>4163</v>
      </c>
      <c r="AE1345" s="0" t="s">
        <v>4164</v>
      </c>
      <c r="AF1345" s="0" t="s">
        <v>5300</v>
      </c>
      <c r="AH1345" s="0" t="s">
        <v>2239</v>
      </c>
      <c r="AL1345" s="0" t="s">
        <v>523</v>
      </c>
    </row>
    <row r="1346" customFormat="false" ht="15" hidden="false" customHeight="false" outlineLevel="0" collapsed="false">
      <c r="A1346" s="0" t="s">
        <v>596</v>
      </c>
      <c r="B1346" s="0" t="s">
        <v>77</v>
      </c>
      <c r="C1346" s="0" t="s">
        <v>5066</v>
      </c>
      <c r="D1346" s="0" t="n">
        <v>2019</v>
      </c>
      <c r="E1346" s="0" t="s">
        <v>59</v>
      </c>
      <c r="F1346" s="0" t="n">
        <v>3968114609</v>
      </c>
      <c r="G1346" s="0" t="s">
        <v>3067</v>
      </c>
      <c r="H1346" s="0" t="s">
        <v>3068</v>
      </c>
      <c r="I1346" s="0" t="n">
        <v>3968114.609</v>
      </c>
      <c r="J1346" s="0" t="s">
        <v>4155</v>
      </c>
      <c r="K1346" s="0" t="s">
        <v>2672</v>
      </c>
      <c r="L1346" s="0" t="n">
        <v>2019</v>
      </c>
      <c r="M1346" s="0" t="s">
        <v>2064</v>
      </c>
      <c r="N1346" s="0" t="s">
        <v>91</v>
      </c>
      <c r="O1346" s="0" t="s">
        <v>2502</v>
      </c>
      <c r="P1346" s="0" t="s">
        <v>5295</v>
      </c>
      <c r="Q1346" s="0" t="n">
        <v>93</v>
      </c>
      <c r="R1346" s="0" t="n">
        <v>92</v>
      </c>
      <c r="T1346" s="0" t="s">
        <v>5313</v>
      </c>
      <c r="U1346" s="0" t="s">
        <v>4461</v>
      </c>
      <c r="V1346" s="0" t="s">
        <v>93</v>
      </c>
      <c r="W1346" s="0" t="s">
        <v>5296</v>
      </c>
      <c r="X1346" s="0" t="s">
        <v>5297</v>
      </c>
      <c r="Y1346" s="0" t="s">
        <v>4159</v>
      </c>
      <c r="Z1346" s="0" t="s">
        <v>4160</v>
      </c>
      <c r="AA1346" s="0" t="s">
        <v>5314</v>
      </c>
      <c r="AB1346" s="0" t="s">
        <v>5299</v>
      </c>
      <c r="AC1346" s="0" t="s">
        <v>4162</v>
      </c>
      <c r="AD1346" s="0" t="s">
        <v>4163</v>
      </c>
      <c r="AE1346" s="0" t="s">
        <v>4164</v>
      </c>
      <c r="AF1346" s="0" t="s">
        <v>5300</v>
      </c>
      <c r="AH1346" s="0" t="s">
        <v>2239</v>
      </c>
      <c r="AL1346" s="0" t="s">
        <v>523</v>
      </c>
    </row>
    <row r="1347" customFormat="false" ht="15" hidden="false" customHeight="false" outlineLevel="0" collapsed="false">
      <c r="A1347" s="0" t="s">
        <v>600</v>
      </c>
      <c r="B1347" s="0" t="s">
        <v>77</v>
      </c>
      <c r="C1347" s="0" t="s">
        <v>5066</v>
      </c>
      <c r="D1347" s="0" t="n">
        <v>2019</v>
      </c>
      <c r="E1347" s="0" t="s">
        <v>63</v>
      </c>
      <c r="F1347" s="0" t="n">
        <v>-21055479</v>
      </c>
      <c r="G1347" s="0" t="s">
        <v>3067</v>
      </c>
      <c r="H1347" s="0" t="s">
        <v>3068</v>
      </c>
      <c r="I1347" s="0" t="n">
        <v>21055.479</v>
      </c>
      <c r="J1347" s="0" t="s">
        <v>4155</v>
      </c>
      <c r="K1347" s="0" t="s">
        <v>2672</v>
      </c>
      <c r="L1347" s="0" t="n">
        <v>2019</v>
      </c>
      <c r="M1347" s="0" t="s">
        <v>2064</v>
      </c>
      <c r="N1347" s="0" t="s">
        <v>91</v>
      </c>
      <c r="O1347" s="0" t="s">
        <v>2502</v>
      </c>
      <c r="P1347" s="0" t="s">
        <v>5295</v>
      </c>
      <c r="Q1347" s="0" t="n">
        <v>92</v>
      </c>
      <c r="R1347" s="0" t="n">
        <v>91</v>
      </c>
      <c r="S1347" s="0" t="n">
        <v>9</v>
      </c>
      <c r="T1347" s="0" t="s">
        <v>5233</v>
      </c>
      <c r="U1347" s="0" t="s">
        <v>4461</v>
      </c>
      <c r="V1347" s="0" t="s">
        <v>93</v>
      </c>
      <c r="W1347" s="0" t="s">
        <v>5315</v>
      </c>
      <c r="X1347" s="0" t="s">
        <v>5306</v>
      </c>
      <c r="Y1347" s="0" t="s">
        <v>4159</v>
      </c>
      <c r="Z1347" s="0" t="s">
        <v>4160</v>
      </c>
      <c r="AA1347" s="0" t="s">
        <v>5316</v>
      </c>
      <c r="AB1347" s="0" t="s">
        <v>5299</v>
      </c>
      <c r="AC1347" s="0" t="s">
        <v>4162</v>
      </c>
      <c r="AD1347" s="0" t="s">
        <v>4163</v>
      </c>
      <c r="AE1347" s="0" t="s">
        <v>4164</v>
      </c>
      <c r="AF1347" s="0" t="s">
        <v>5300</v>
      </c>
      <c r="AH1347" s="0" t="s">
        <v>4174</v>
      </c>
      <c r="AI1347" s="0" t="s">
        <v>5149</v>
      </c>
      <c r="AL1347" s="0" t="s">
        <v>523</v>
      </c>
    </row>
    <row r="1348" customFormat="false" ht="15" hidden="false" customHeight="false" outlineLevel="0" collapsed="false">
      <c r="A1348" s="0" t="s">
        <v>597</v>
      </c>
      <c r="B1348" s="0" t="s">
        <v>77</v>
      </c>
      <c r="C1348" s="0" t="s">
        <v>5066</v>
      </c>
      <c r="D1348" s="0" t="n">
        <v>2019</v>
      </c>
      <c r="E1348" s="0" t="s">
        <v>60</v>
      </c>
      <c r="F1348" s="0" t="n">
        <v>2662623089</v>
      </c>
      <c r="G1348" s="0" t="s">
        <v>3067</v>
      </c>
      <c r="H1348" s="0" t="s">
        <v>3068</v>
      </c>
      <c r="I1348" s="0" t="n">
        <v>2662623.089</v>
      </c>
      <c r="J1348" s="0" t="s">
        <v>4155</v>
      </c>
      <c r="K1348" s="0" t="s">
        <v>2672</v>
      </c>
      <c r="L1348" s="0" t="n">
        <v>2019</v>
      </c>
      <c r="M1348" s="0" t="s">
        <v>2064</v>
      </c>
      <c r="N1348" s="0" t="s">
        <v>91</v>
      </c>
      <c r="O1348" s="0" t="s">
        <v>2502</v>
      </c>
      <c r="P1348" s="0" t="s">
        <v>5295</v>
      </c>
      <c r="Q1348" s="0" t="n">
        <v>216</v>
      </c>
      <c r="R1348" s="0" t="n">
        <v>215</v>
      </c>
      <c r="S1348" s="0" t="s">
        <v>5090</v>
      </c>
      <c r="T1348" s="0" t="s">
        <v>5233</v>
      </c>
      <c r="U1348" s="0" t="s">
        <v>4461</v>
      </c>
      <c r="V1348" s="0" t="s">
        <v>93</v>
      </c>
      <c r="W1348" s="0" t="s">
        <v>5317</v>
      </c>
      <c r="X1348" s="0" t="s">
        <v>5318</v>
      </c>
      <c r="Y1348" s="0" t="s">
        <v>4159</v>
      </c>
      <c r="Z1348" s="0" t="s">
        <v>4160</v>
      </c>
      <c r="AA1348" s="0" t="s">
        <v>5319</v>
      </c>
      <c r="AB1348" s="0" t="s">
        <v>5299</v>
      </c>
      <c r="AC1348" s="0" t="s">
        <v>4162</v>
      </c>
      <c r="AD1348" s="0" t="s">
        <v>4163</v>
      </c>
      <c r="AE1348" s="0" t="s">
        <v>4164</v>
      </c>
      <c r="AF1348" s="0" t="s">
        <v>5300</v>
      </c>
      <c r="AH1348" s="0" t="s">
        <v>2239</v>
      </c>
      <c r="AL1348" s="0" t="s">
        <v>523</v>
      </c>
    </row>
    <row r="1349" customFormat="false" ht="15" hidden="false" customHeight="false" outlineLevel="0" collapsed="false">
      <c r="A1349" s="0" t="s">
        <v>598</v>
      </c>
      <c r="B1349" s="0" t="s">
        <v>77</v>
      </c>
      <c r="C1349" s="0" t="s">
        <v>5066</v>
      </c>
      <c r="D1349" s="0" t="n">
        <v>2019</v>
      </c>
      <c r="E1349" s="0" t="s">
        <v>61</v>
      </c>
      <c r="F1349" s="0" t="n">
        <v>-180999419</v>
      </c>
      <c r="G1349" s="0" t="s">
        <v>3067</v>
      </c>
      <c r="H1349" s="0" t="s">
        <v>3068</v>
      </c>
      <c r="I1349" s="0" t="n">
        <v>180999.419</v>
      </c>
      <c r="J1349" s="0" t="s">
        <v>4155</v>
      </c>
      <c r="K1349" s="0" t="s">
        <v>2672</v>
      </c>
      <c r="L1349" s="0" t="n">
        <v>2019</v>
      </c>
      <c r="M1349" s="0" t="s">
        <v>2064</v>
      </c>
      <c r="N1349" s="0" t="s">
        <v>91</v>
      </c>
      <c r="O1349" s="0" t="s">
        <v>2502</v>
      </c>
      <c r="P1349" s="0" t="s">
        <v>5295</v>
      </c>
      <c r="Q1349" s="0" t="n">
        <v>216</v>
      </c>
      <c r="R1349" s="0" t="n">
        <v>215</v>
      </c>
      <c r="S1349" s="0" t="s">
        <v>5090</v>
      </c>
      <c r="T1349" s="0" t="s">
        <v>5233</v>
      </c>
      <c r="U1349" s="0" t="s">
        <v>4461</v>
      </c>
      <c r="V1349" s="0" t="s">
        <v>93</v>
      </c>
      <c r="W1349" s="0" t="s">
        <v>5320</v>
      </c>
      <c r="X1349" s="0" t="s">
        <v>5318</v>
      </c>
      <c r="Y1349" s="0" t="s">
        <v>4159</v>
      </c>
      <c r="Z1349" s="0" t="s">
        <v>4160</v>
      </c>
      <c r="AA1349" s="0" t="s">
        <v>5321</v>
      </c>
      <c r="AB1349" s="0" t="s">
        <v>5299</v>
      </c>
      <c r="AC1349" s="0" t="s">
        <v>4162</v>
      </c>
      <c r="AD1349" s="0" t="s">
        <v>4163</v>
      </c>
      <c r="AE1349" s="0" t="s">
        <v>4164</v>
      </c>
      <c r="AF1349" s="0" t="s">
        <v>5300</v>
      </c>
      <c r="AH1349" s="0" t="s">
        <v>4174</v>
      </c>
      <c r="AI1349" s="0" t="s">
        <v>5149</v>
      </c>
      <c r="AL1349" s="0" t="s">
        <v>523</v>
      </c>
    </row>
    <row r="1350" customFormat="false" ht="15" hidden="false" customHeight="false" outlineLevel="0" collapsed="false">
      <c r="A1350" s="0" t="s">
        <v>599</v>
      </c>
      <c r="B1350" s="0" t="s">
        <v>77</v>
      </c>
      <c r="C1350" s="0" t="s">
        <v>5066</v>
      </c>
      <c r="D1350" s="0" t="n">
        <v>2019</v>
      </c>
      <c r="E1350" s="0" t="s">
        <v>62</v>
      </c>
      <c r="F1350" s="0" t="n">
        <v>2481623671</v>
      </c>
      <c r="G1350" s="0" t="s">
        <v>3067</v>
      </c>
      <c r="H1350" s="0" t="s">
        <v>3068</v>
      </c>
      <c r="I1350" s="0" t="n">
        <v>2481623.671</v>
      </c>
      <c r="J1350" s="0" t="s">
        <v>4155</v>
      </c>
      <c r="K1350" s="0" t="s">
        <v>2672</v>
      </c>
      <c r="L1350" s="0" t="n">
        <v>2019</v>
      </c>
      <c r="M1350" s="0" t="s">
        <v>2064</v>
      </c>
      <c r="N1350" s="0" t="s">
        <v>91</v>
      </c>
      <c r="O1350" s="0" t="s">
        <v>2502</v>
      </c>
      <c r="P1350" s="0" t="s">
        <v>5295</v>
      </c>
      <c r="Q1350" s="0" t="n">
        <v>93</v>
      </c>
      <c r="R1350" s="0" t="n">
        <v>92</v>
      </c>
      <c r="S1350" s="0" t="n">
        <v>23</v>
      </c>
      <c r="T1350" s="0" t="s">
        <v>5233</v>
      </c>
      <c r="U1350" s="0" t="s">
        <v>4461</v>
      </c>
      <c r="V1350" s="0" t="s">
        <v>93</v>
      </c>
      <c r="W1350" s="0" t="s">
        <v>5322</v>
      </c>
      <c r="X1350" s="0" t="s">
        <v>5297</v>
      </c>
      <c r="Y1350" s="0" t="s">
        <v>4159</v>
      </c>
      <c r="Z1350" s="0" t="s">
        <v>4160</v>
      </c>
      <c r="AA1350" s="0" t="s">
        <v>5323</v>
      </c>
      <c r="AB1350" s="0" t="s">
        <v>5299</v>
      </c>
      <c r="AC1350" s="0" t="s">
        <v>4162</v>
      </c>
      <c r="AD1350" s="0" t="s">
        <v>4163</v>
      </c>
      <c r="AE1350" s="0" t="s">
        <v>4164</v>
      </c>
      <c r="AF1350" s="0" t="s">
        <v>5300</v>
      </c>
      <c r="AH1350" s="0" t="s">
        <v>2239</v>
      </c>
      <c r="AL1350" s="0" t="s">
        <v>523</v>
      </c>
    </row>
    <row r="1351" customFormat="false" ht="15" hidden="false" customHeight="false" outlineLevel="0" collapsed="false">
      <c r="A1351" s="0" t="s">
        <v>601</v>
      </c>
      <c r="B1351" s="0" t="s">
        <v>77</v>
      </c>
      <c r="C1351" s="0" t="s">
        <v>5066</v>
      </c>
      <c r="D1351" s="0" t="n">
        <v>2019</v>
      </c>
      <c r="E1351" s="0" t="s">
        <v>73</v>
      </c>
      <c r="F1351" s="0" t="n">
        <v>0</v>
      </c>
      <c r="G1351" s="0" t="s">
        <v>4257</v>
      </c>
      <c r="I1351" s="0" t="n">
        <v>0</v>
      </c>
      <c r="J1351" s="0" t="s">
        <v>4258</v>
      </c>
      <c r="K1351" s="0" t="s">
        <v>2672</v>
      </c>
      <c r="L1351" s="0" t="n">
        <v>2019</v>
      </c>
      <c r="M1351" s="0" t="s">
        <v>2064</v>
      </c>
      <c r="N1351" s="0" t="s">
        <v>91</v>
      </c>
      <c r="O1351" s="0" t="s">
        <v>2502</v>
      </c>
      <c r="P1351" s="0" t="s">
        <v>5295</v>
      </c>
      <c r="Q1351" s="0" t="n">
        <v>86</v>
      </c>
      <c r="S1351" s="0" t="s">
        <v>5121</v>
      </c>
      <c r="T1351" s="0" t="s">
        <v>5324</v>
      </c>
      <c r="U1351" s="0" t="s">
        <v>4461</v>
      </c>
      <c r="V1351" s="0" t="s">
        <v>93</v>
      </c>
      <c r="W1351" s="0" t="s">
        <v>4803</v>
      </c>
      <c r="X1351" s="0" t="s">
        <v>5325</v>
      </c>
      <c r="Y1351" s="0" t="s">
        <v>4212</v>
      </c>
      <c r="Z1351" s="0" t="s">
        <v>4160</v>
      </c>
      <c r="AA1351" s="0" t="s">
        <v>5326</v>
      </c>
      <c r="AB1351" s="0" t="s">
        <v>5299</v>
      </c>
      <c r="AC1351" s="0" t="s">
        <v>4162</v>
      </c>
      <c r="AD1351" s="0" t="s">
        <v>4163</v>
      </c>
      <c r="AE1351" s="0" t="s">
        <v>4164</v>
      </c>
      <c r="AF1351" s="0" t="s">
        <v>5300</v>
      </c>
      <c r="AG1351" s="0" t="s">
        <v>1828</v>
      </c>
      <c r="AH1351" s="0" t="s">
        <v>2239</v>
      </c>
      <c r="AL1351" s="0" t="s">
        <v>539</v>
      </c>
    </row>
    <row r="1352" customFormat="false" ht="15" hidden="false" customHeight="false" outlineLevel="0" collapsed="false">
      <c r="A1352" s="0" t="s">
        <v>624</v>
      </c>
      <c r="B1352" s="0" t="s">
        <v>77</v>
      </c>
      <c r="C1352" s="0" t="s">
        <v>5066</v>
      </c>
      <c r="D1352" s="0" t="n">
        <v>2021</v>
      </c>
      <c r="E1352" s="0" t="s">
        <v>55</v>
      </c>
      <c r="F1352" s="0" t="n">
        <v>9660760556</v>
      </c>
      <c r="G1352" s="0" t="s">
        <v>3067</v>
      </c>
      <c r="H1352" s="0" t="s">
        <v>3068</v>
      </c>
      <c r="I1352" s="0" t="n">
        <v>9660760.556</v>
      </c>
      <c r="J1352" s="0" t="s">
        <v>4155</v>
      </c>
      <c r="K1352" s="0" t="s">
        <v>2676</v>
      </c>
      <c r="L1352" s="0" t="n">
        <v>2021</v>
      </c>
      <c r="M1352" s="0" t="s">
        <v>2074</v>
      </c>
      <c r="N1352" s="0" t="s">
        <v>96</v>
      </c>
      <c r="O1352" s="0" t="s">
        <v>2505</v>
      </c>
      <c r="P1352" s="0" t="s">
        <v>5327</v>
      </c>
      <c r="Q1352" s="0" t="n">
        <v>51</v>
      </c>
      <c r="R1352" s="0" t="n">
        <v>51</v>
      </c>
      <c r="T1352" s="0" t="s">
        <v>5328</v>
      </c>
      <c r="U1352" s="0" t="s">
        <v>4303</v>
      </c>
      <c r="V1352" s="0" t="s">
        <v>97</v>
      </c>
      <c r="W1352" s="0" t="s">
        <v>5329</v>
      </c>
      <c r="X1352" s="0" t="s">
        <v>5330</v>
      </c>
      <c r="Y1352" s="0" t="s">
        <v>4159</v>
      </c>
      <c r="Z1352" s="0" t="s">
        <v>4160</v>
      </c>
      <c r="AA1352" s="0" t="s">
        <v>5331</v>
      </c>
      <c r="AB1352" s="0" t="s">
        <v>5332</v>
      </c>
      <c r="AC1352" s="0" t="s">
        <v>4162</v>
      </c>
      <c r="AD1352" s="0" t="s">
        <v>4163</v>
      </c>
      <c r="AE1352" s="0" t="s">
        <v>4164</v>
      </c>
      <c r="AF1352" s="0" t="s">
        <v>5333</v>
      </c>
      <c r="AH1352" s="0" t="s">
        <v>2239</v>
      </c>
      <c r="AL1352" s="0" t="s">
        <v>523</v>
      </c>
    </row>
    <row r="1353" customFormat="false" ht="15" hidden="false" customHeight="false" outlineLevel="0" collapsed="false">
      <c r="A1353" s="0" t="s">
        <v>625</v>
      </c>
      <c r="B1353" s="0" t="s">
        <v>77</v>
      </c>
      <c r="C1353" s="0" t="s">
        <v>5066</v>
      </c>
      <c r="D1353" s="0" t="n">
        <v>2021</v>
      </c>
      <c r="E1353" s="0" t="s">
        <v>56</v>
      </c>
      <c r="F1353" s="0" t="n">
        <v>8789310442</v>
      </c>
      <c r="G1353" s="0" t="s">
        <v>3067</v>
      </c>
      <c r="H1353" s="0" t="s">
        <v>3068</v>
      </c>
      <c r="I1353" s="0" t="n">
        <v>8789310.442</v>
      </c>
      <c r="J1353" s="0" t="s">
        <v>4155</v>
      </c>
      <c r="K1353" s="0" t="s">
        <v>2676</v>
      </c>
      <c r="L1353" s="0" t="n">
        <v>2021</v>
      </c>
      <c r="M1353" s="0" t="s">
        <v>2074</v>
      </c>
      <c r="N1353" s="0" t="s">
        <v>96</v>
      </c>
      <c r="O1353" s="0" t="s">
        <v>2505</v>
      </c>
      <c r="P1353" s="0" t="s">
        <v>5327</v>
      </c>
      <c r="Q1353" s="0" t="n">
        <v>51</v>
      </c>
      <c r="R1353" s="0" t="n">
        <v>51</v>
      </c>
      <c r="T1353" s="0" t="s">
        <v>5328</v>
      </c>
      <c r="U1353" s="0" t="s">
        <v>4303</v>
      </c>
      <c r="V1353" s="0" t="s">
        <v>97</v>
      </c>
      <c r="W1353" s="0" t="s">
        <v>5334</v>
      </c>
      <c r="X1353" s="0" t="s">
        <v>5330</v>
      </c>
      <c r="Y1353" s="0" t="s">
        <v>4159</v>
      </c>
      <c r="Z1353" s="0" t="s">
        <v>4160</v>
      </c>
      <c r="AA1353" s="0" t="s">
        <v>5335</v>
      </c>
      <c r="AB1353" s="0" t="s">
        <v>5332</v>
      </c>
      <c r="AC1353" s="0" t="s">
        <v>4162</v>
      </c>
      <c r="AD1353" s="0" t="s">
        <v>4163</v>
      </c>
      <c r="AE1353" s="0" t="s">
        <v>4164</v>
      </c>
      <c r="AF1353" s="0" t="s">
        <v>5333</v>
      </c>
      <c r="AH1353" s="0" t="s">
        <v>2239</v>
      </c>
      <c r="AL1353" s="0" t="s">
        <v>523</v>
      </c>
    </row>
    <row r="1354" customFormat="false" ht="15" hidden="false" customHeight="false" outlineLevel="0" collapsed="false">
      <c r="A1354" s="0" t="s">
        <v>626</v>
      </c>
      <c r="B1354" s="0" t="s">
        <v>77</v>
      </c>
      <c r="C1354" s="0" t="s">
        <v>5066</v>
      </c>
      <c r="D1354" s="0" t="n">
        <v>2021</v>
      </c>
      <c r="E1354" s="0" t="s">
        <v>57</v>
      </c>
      <c r="F1354" s="0" t="n">
        <v>871450114</v>
      </c>
      <c r="G1354" s="0" t="s">
        <v>3067</v>
      </c>
      <c r="H1354" s="0" t="s">
        <v>3068</v>
      </c>
      <c r="I1354" s="0" t="n">
        <v>871450.114</v>
      </c>
      <c r="J1354" s="0" t="s">
        <v>4155</v>
      </c>
      <c r="K1354" s="0" t="s">
        <v>2676</v>
      </c>
      <c r="L1354" s="0" t="n">
        <v>2021</v>
      </c>
      <c r="M1354" s="0" t="s">
        <v>2074</v>
      </c>
      <c r="N1354" s="0" t="s">
        <v>96</v>
      </c>
      <c r="O1354" s="0" t="s">
        <v>2505</v>
      </c>
      <c r="P1354" s="0" t="s">
        <v>5327</v>
      </c>
      <c r="Q1354" s="0" t="n">
        <v>51</v>
      </c>
      <c r="R1354" s="0" t="n">
        <v>51</v>
      </c>
      <c r="T1354" s="0" t="s">
        <v>5328</v>
      </c>
      <c r="U1354" s="0" t="s">
        <v>4303</v>
      </c>
      <c r="V1354" s="0" t="s">
        <v>97</v>
      </c>
      <c r="W1354" s="0" t="s">
        <v>5336</v>
      </c>
      <c r="X1354" s="0" t="s">
        <v>5330</v>
      </c>
      <c r="Y1354" s="0" t="s">
        <v>4159</v>
      </c>
      <c r="Z1354" s="0" t="s">
        <v>4160</v>
      </c>
      <c r="AA1354" s="0" t="s">
        <v>5337</v>
      </c>
      <c r="AB1354" s="0" t="s">
        <v>5332</v>
      </c>
      <c r="AC1354" s="0" t="s">
        <v>4162</v>
      </c>
      <c r="AD1354" s="0" t="s">
        <v>4163</v>
      </c>
      <c r="AE1354" s="0" t="s">
        <v>4164</v>
      </c>
      <c r="AF1354" s="0" t="s">
        <v>5333</v>
      </c>
      <c r="AH1354" s="0" t="s">
        <v>2239</v>
      </c>
      <c r="AL1354" s="0" t="s">
        <v>523</v>
      </c>
    </row>
    <row r="1355" customFormat="false" ht="15" hidden="false" customHeight="false" outlineLevel="0" collapsed="false">
      <c r="A1355" s="0" t="s">
        <v>623</v>
      </c>
      <c r="B1355" s="0" t="s">
        <v>77</v>
      </c>
      <c r="C1355" s="0" t="s">
        <v>5066</v>
      </c>
      <c r="D1355" s="0" t="n">
        <v>2021</v>
      </c>
      <c r="E1355" s="0" t="s">
        <v>54</v>
      </c>
      <c r="F1355" s="0" t="n">
        <v>111326487</v>
      </c>
      <c r="G1355" s="0" t="s">
        <v>3067</v>
      </c>
      <c r="H1355" s="0" t="s">
        <v>3068</v>
      </c>
      <c r="I1355" s="0" t="n">
        <v>111326.487</v>
      </c>
      <c r="J1355" s="0" t="s">
        <v>4155</v>
      </c>
      <c r="K1355" s="0" t="s">
        <v>2676</v>
      </c>
      <c r="L1355" s="0" t="n">
        <v>2021</v>
      </c>
      <c r="M1355" s="0" t="s">
        <v>2074</v>
      </c>
      <c r="N1355" s="0" t="s">
        <v>96</v>
      </c>
      <c r="O1355" s="0" t="s">
        <v>2505</v>
      </c>
      <c r="P1355" s="0" t="s">
        <v>5327</v>
      </c>
      <c r="Q1355" s="0" t="n">
        <v>50</v>
      </c>
      <c r="R1355" s="0" t="n">
        <v>50</v>
      </c>
      <c r="T1355" s="0" t="s">
        <v>5328</v>
      </c>
      <c r="U1355" s="0" t="s">
        <v>4303</v>
      </c>
      <c r="V1355" s="0" t="s">
        <v>97</v>
      </c>
      <c r="W1355" s="0" t="s">
        <v>5338</v>
      </c>
      <c r="X1355" s="0" t="s">
        <v>5339</v>
      </c>
      <c r="Y1355" s="0" t="s">
        <v>4159</v>
      </c>
      <c r="Z1355" s="0" t="s">
        <v>4160</v>
      </c>
      <c r="AA1355" s="0" t="s">
        <v>5340</v>
      </c>
      <c r="AB1355" s="0" t="s">
        <v>5332</v>
      </c>
      <c r="AC1355" s="0" t="s">
        <v>4162</v>
      </c>
      <c r="AD1355" s="0" t="s">
        <v>4163</v>
      </c>
      <c r="AE1355" s="0" t="s">
        <v>4164</v>
      </c>
      <c r="AF1355" s="0" t="s">
        <v>5333</v>
      </c>
      <c r="AH1355" s="0" t="s">
        <v>2239</v>
      </c>
      <c r="AL1355" s="0" t="s">
        <v>523</v>
      </c>
    </row>
    <row r="1356" customFormat="false" ht="15" hidden="false" customHeight="false" outlineLevel="0" collapsed="false">
      <c r="A1356" s="0" t="s">
        <v>637</v>
      </c>
      <c r="B1356" s="0" t="s">
        <v>77</v>
      </c>
      <c r="C1356" s="0" t="s">
        <v>5066</v>
      </c>
      <c r="D1356" s="0" t="n">
        <v>2021</v>
      </c>
      <c r="E1356" s="0" t="s">
        <v>541</v>
      </c>
      <c r="F1356" s="0" t="n">
        <v>106483000</v>
      </c>
      <c r="G1356" s="0" t="s">
        <v>3067</v>
      </c>
      <c r="H1356" s="0" t="s">
        <v>3068</v>
      </c>
      <c r="I1356" s="0" t="n">
        <v>106483</v>
      </c>
      <c r="J1356" s="0" t="s">
        <v>4155</v>
      </c>
      <c r="K1356" s="0" t="s">
        <v>2676</v>
      </c>
      <c r="L1356" s="0" t="n">
        <v>2021</v>
      </c>
      <c r="M1356" s="0" t="s">
        <v>2074</v>
      </c>
      <c r="N1356" s="0" t="s">
        <v>96</v>
      </c>
      <c r="O1356" s="0" t="s">
        <v>2505</v>
      </c>
      <c r="P1356" s="0" t="s">
        <v>5327</v>
      </c>
      <c r="Q1356" s="0" t="n">
        <v>50</v>
      </c>
      <c r="R1356" s="0" t="n">
        <v>50</v>
      </c>
      <c r="T1356" s="0" t="s">
        <v>5328</v>
      </c>
      <c r="U1356" s="0" t="s">
        <v>4303</v>
      </c>
      <c r="V1356" s="0" t="s">
        <v>97</v>
      </c>
      <c r="W1356" s="0" t="s">
        <v>5341</v>
      </c>
      <c r="X1356" s="0" t="s">
        <v>5339</v>
      </c>
      <c r="Y1356" s="0" t="s">
        <v>4159</v>
      </c>
      <c r="Z1356" s="0" t="s">
        <v>4160</v>
      </c>
      <c r="AA1356" s="0" t="s">
        <v>5342</v>
      </c>
      <c r="AB1356" s="0" t="s">
        <v>5332</v>
      </c>
      <c r="AC1356" s="0" t="s">
        <v>4162</v>
      </c>
      <c r="AD1356" s="0" t="s">
        <v>4163</v>
      </c>
      <c r="AE1356" s="0" t="s">
        <v>4164</v>
      </c>
      <c r="AF1356" s="0" t="s">
        <v>5333</v>
      </c>
      <c r="AH1356" s="0" t="s">
        <v>2239</v>
      </c>
      <c r="AL1356" s="0" t="s">
        <v>523</v>
      </c>
    </row>
    <row r="1357" customFormat="false" ht="15" hidden="false" customHeight="false" outlineLevel="0" collapsed="false">
      <c r="A1357" s="0" t="s">
        <v>627</v>
      </c>
      <c r="B1357" s="0" t="s">
        <v>77</v>
      </c>
      <c r="C1357" s="0" t="s">
        <v>5066</v>
      </c>
      <c r="D1357" s="0" t="n">
        <v>2021</v>
      </c>
      <c r="E1357" s="0" t="s">
        <v>58</v>
      </c>
      <c r="F1357" s="0" t="n">
        <v>500834811</v>
      </c>
      <c r="G1357" s="0" t="s">
        <v>3067</v>
      </c>
      <c r="H1357" s="0" t="s">
        <v>3068</v>
      </c>
      <c r="I1357" s="0" t="n">
        <v>500834.811</v>
      </c>
      <c r="J1357" s="0" t="s">
        <v>4155</v>
      </c>
      <c r="K1357" s="0" t="s">
        <v>2676</v>
      </c>
      <c r="L1357" s="0" t="n">
        <v>2021</v>
      </c>
      <c r="M1357" s="0" t="s">
        <v>2074</v>
      </c>
      <c r="N1357" s="0" t="s">
        <v>96</v>
      </c>
      <c r="O1357" s="0" t="s">
        <v>2505</v>
      </c>
      <c r="P1357" s="0" t="s">
        <v>5327</v>
      </c>
      <c r="Q1357" s="0" t="n">
        <v>54</v>
      </c>
      <c r="R1357" s="0" t="n">
        <v>54</v>
      </c>
      <c r="T1357" s="0" t="s">
        <v>5328</v>
      </c>
      <c r="U1357" s="0" t="s">
        <v>4303</v>
      </c>
      <c r="V1357" s="0" t="s">
        <v>97</v>
      </c>
      <c r="W1357" s="0" t="s">
        <v>5343</v>
      </c>
      <c r="X1357" s="0" t="s">
        <v>5344</v>
      </c>
      <c r="Y1357" s="0" t="s">
        <v>4159</v>
      </c>
      <c r="Z1357" s="0" t="s">
        <v>4160</v>
      </c>
      <c r="AA1357" s="0" t="s">
        <v>5345</v>
      </c>
      <c r="AB1357" s="0" t="s">
        <v>5332</v>
      </c>
      <c r="AC1357" s="0" t="s">
        <v>4162</v>
      </c>
      <c r="AD1357" s="0" t="s">
        <v>4163</v>
      </c>
      <c r="AE1357" s="0" t="s">
        <v>4164</v>
      </c>
      <c r="AF1357" s="0" t="s">
        <v>5333</v>
      </c>
      <c r="AH1357" s="0" t="s">
        <v>2239</v>
      </c>
      <c r="AL1357" s="0" t="s">
        <v>523</v>
      </c>
    </row>
    <row r="1358" customFormat="false" ht="15" hidden="false" customHeight="false" outlineLevel="0" collapsed="false">
      <c r="A1358" s="0" t="s">
        <v>628</v>
      </c>
      <c r="B1358" s="0" t="s">
        <v>77</v>
      </c>
      <c r="C1358" s="0" t="s">
        <v>5066</v>
      </c>
      <c r="D1358" s="0" t="n">
        <v>2021</v>
      </c>
      <c r="E1358" s="0" t="s">
        <v>59</v>
      </c>
      <c r="F1358" s="0" t="n">
        <v>7624979724</v>
      </c>
      <c r="G1358" s="0" t="s">
        <v>3067</v>
      </c>
      <c r="H1358" s="0" t="s">
        <v>3068</v>
      </c>
      <c r="I1358" s="0" t="n">
        <v>7624979.724</v>
      </c>
      <c r="J1358" s="0" t="s">
        <v>4155</v>
      </c>
      <c r="K1358" s="0" t="s">
        <v>2676</v>
      </c>
      <c r="L1358" s="0" t="n">
        <v>2021</v>
      </c>
      <c r="M1358" s="0" t="s">
        <v>2074</v>
      </c>
      <c r="N1358" s="0" t="s">
        <v>96</v>
      </c>
      <c r="O1358" s="0" t="s">
        <v>2505</v>
      </c>
      <c r="P1358" s="0" t="s">
        <v>5327</v>
      </c>
      <c r="Q1358" s="0" t="n">
        <v>51</v>
      </c>
      <c r="R1358" s="0" t="n">
        <v>51</v>
      </c>
      <c r="T1358" s="0" t="s">
        <v>5223</v>
      </c>
      <c r="U1358" s="0" t="s">
        <v>4303</v>
      </c>
      <c r="V1358" s="0" t="s">
        <v>97</v>
      </c>
      <c r="W1358" s="0" t="s">
        <v>5329</v>
      </c>
      <c r="X1358" s="0" t="s">
        <v>5330</v>
      </c>
      <c r="Y1358" s="0" t="s">
        <v>4159</v>
      </c>
      <c r="Z1358" s="0" t="s">
        <v>4160</v>
      </c>
      <c r="AA1358" s="0" t="s">
        <v>5346</v>
      </c>
      <c r="AB1358" s="0" t="s">
        <v>5332</v>
      </c>
      <c r="AC1358" s="0" t="s">
        <v>4162</v>
      </c>
      <c r="AD1358" s="0" t="s">
        <v>4163</v>
      </c>
      <c r="AE1358" s="0" t="s">
        <v>4164</v>
      </c>
      <c r="AF1358" s="0" t="s">
        <v>5333</v>
      </c>
      <c r="AH1358" s="0" t="s">
        <v>2239</v>
      </c>
      <c r="AL1358" s="0" t="s">
        <v>523</v>
      </c>
    </row>
    <row r="1359" customFormat="false" ht="15" hidden="false" customHeight="false" outlineLevel="0" collapsed="false">
      <c r="A1359" s="0" t="s">
        <v>632</v>
      </c>
      <c r="B1359" s="0" t="s">
        <v>77</v>
      </c>
      <c r="C1359" s="0" t="s">
        <v>5066</v>
      </c>
      <c r="D1359" s="0" t="n">
        <v>2021</v>
      </c>
      <c r="E1359" s="0" t="s">
        <v>63</v>
      </c>
      <c r="F1359" s="0" t="n">
        <v>-53800935</v>
      </c>
      <c r="G1359" s="0" t="s">
        <v>3067</v>
      </c>
      <c r="H1359" s="0" t="s">
        <v>3068</v>
      </c>
      <c r="I1359" s="0" t="n">
        <v>53800.935</v>
      </c>
      <c r="J1359" s="0" t="s">
        <v>4155</v>
      </c>
      <c r="K1359" s="0" t="s">
        <v>2676</v>
      </c>
      <c r="L1359" s="0" t="n">
        <v>2021</v>
      </c>
      <c r="M1359" s="0" t="s">
        <v>2074</v>
      </c>
      <c r="N1359" s="0" t="s">
        <v>96</v>
      </c>
      <c r="O1359" s="0" t="s">
        <v>2505</v>
      </c>
      <c r="P1359" s="0" t="s">
        <v>5327</v>
      </c>
      <c r="Q1359" s="0" t="n">
        <v>50</v>
      </c>
      <c r="R1359" s="0" t="n">
        <v>50</v>
      </c>
      <c r="S1359" s="0" t="n">
        <v>9</v>
      </c>
      <c r="T1359" s="0" t="s">
        <v>5328</v>
      </c>
      <c r="U1359" s="0" t="s">
        <v>4303</v>
      </c>
      <c r="V1359" s="0" t="s">
        <v>97</v>
      </c>
      <c r="W1359" s="0" t="s">
        <v>5347</v>
      </c>
      <c r="X1359" s="0" t="s">
        <v>5339</v>
      </c>
      <c r="Y1359" s="0" t="s">
        <v>4159</v>
      </c>
      <c r="Z1359" s="0" t="s">
        <v>4160</v>
      </c>
      <c r="AA1359" s="0" t="s">
        <v>5348</v>
      </c>
      <c r="AB1359" s="0" t="s">
        <v>5332</v>
      </c>
      <c r="AC1359" s="0" t="s">
        <v>4162</v>
      </c>
      <c r="AD1359" s="0" t="s">
        <v>4163</v>
      </c>
      <c r="AE1359" s="0" t="s">
        <v>4164</v>
      </c>
      <c r="AF1359" s="0" t="s">
        <v>5333</v>
      </c>
      <c r="AH1359" s="0" t="s">
        <v>4174</v>
      </c>
      <c r="AI1359" s="0" t="s">
        <v>4974</v>
      </c>
      <c r="AL1359" s="0" t="s">
        <v>523</v>
      </c>
    </row>
    <row r="1360" customFormat="false" ht="15" hidden="false" customHeight="false" outlineLevel="0" collapsed="false">
      <c r="A1360" s="0" t="s">
        <v>629</v>
      </c>
      <c r="B1360" s="0" t="s">
        <v>77</v>
      </c>
      <c r="C1360" s="0" t="s">
        <v>5066</v>
      </c>
      <c r="D1360" s="0" t="n">
        <v>2021</v>
      </c>
      <c r="E1360" s="0" t="s">
        <v>60</v>
      </c>
      <c r="F1360" s="0" t="n">
        <v>3343722232</v>
      </c>
      <c r="G1360" s="0" t="s">
        <v>3067</v>
      </c>
      <c r="H1360" s="0" t="s">
        <v>3068</v>
      </c>
      <c r="I1360" s="0" t="n">
        <v>3343722.232</v>
      </c>
      <c r="J1360" s="0" t="s">
        <v>4155</v>
      </c>
      <c r="K1360" s="0" t="s">
        <v>2676</v>
      </c>
      <c r="L1360" s="0" t="n">
        <v>2021</v>
      </c>
      <c r="M1360" s="0" t="s">
        <v>2074</v>
      </c>
      <c r="N1360" s="0" t="s">
        <v>96</v>
      </c>
      <c r="O1360" s="0" t="s">
        <v>2505</v>
      </c>
      <c r="P1360" s="0" t="s">
        <v>5327</v>
      </c>
      <c r="Q1360" s="0" t="n">
        <v>218</v>
      </c>
      <c r="R1360" s="0" t="n">
        <v>215</v>
      </c>
      <c r="S1360" s="0" t="s">
        <v>5090</v>
      </c>
      <c r="T1360" s="0" t="s">
        <v>5328</v>
      </c>
      <c r="U1360" s="0" t="s">
        <v>4303</v>
      </c>
      <c r="V1360" s="0" t="s">
        <v>97</v>
      </c>
      <c r="W1360" s="0" t="s">
        <v>5349</v>
      </c>
      <c r="X1360" s="0" t="s">
        <v>5350</v>
      </c>
      <c r="Y1360" s="0" t="s">
        <v>4159</v>
      </c>
      <c r="Z1360" s="0" t="s">
        <v>4160</v>
      </c>
      <c r="AA1360" s="0" t="s">
        <v>5351</v>
      </c>
      <c r="AB1360" s="0" t="s">
        <v>5332</v>
      </c>
      <c r="AC1360" s="0" t="s">
        <v>4162</v>
      </c>
      <c r="AD1360" s="0" t="s">
        <v>4163</v>
      </c>
      <c r="AE1360" s="0" t="s">
        <v>4164</v>
      </c>
      <c r="AF1360" s="0" t="s">
        <v>5352</v>
      </c>
      <c r="AH1360" s="0" t="s">
        <v>2239</v>
      </c>
      <c r="AL1360" s="0" t="s">
        <v>523</v>
      </c>
    </row>
    <row r="1361" customFormat="false" ht="15" hidden="false" customHeight="false" outlineLevel="0" collapsed="false">
      <c r="A1361" s="0" t="s">
        <v>630</v>
      </c>
      <c r="B1361" s="0" t="s">
        <v>77</v>
      </c>
      <c r="C1361" s="0" t="s">
        <v>5066</v>
      </c>
      <c r="D1361" s="0" t="n">
        <v>2021</v>
      </c>
      <c r="E1361" s="0" t="s">
        <v>61</v>
      </c>
      <c r="F1361" s="0" t="n">
        <v>-87649564</v>
      </c>
      <c r="G1361" s="0" t="s">
        <v>3067</v>
      </c>
      <c r="H1361" s="0" t="s">
        <v>3068</v>
      </c>
      <c r="I1361" s="0" t="n">
        <v>87649.564</v>
      </c>
      <c r="J1361" s="0" t="s">
        <v>4155</v>
      </c>
      <c r="K1361" s="0" t="s">
        <v>2676</v>
      </c>
      <c r="L1361" s="0" t="n">
        <v>2021</v>
      </c>
      <c r="M1361" s="0" t="s">
        <v>2074</v>
      </c>
      <c r="N1361" s="0" t="s">
        <v>96</v>
      </c>
      <c r="O1361" s="0" t="s">
        <v>2505</v>
      </c>
      <c r="P1361" s="0" t="s">
        <v>5327</v>
      </c>
      <c r="Q1361" s="0" t="n">
        <v>218</v>
      </c>
      <c r="R1361" s="0" t="n">
        <v>215</v>
      </c>
      <c r="S1361" s="0" t="s">
        <v>5090</v>
      </c>
      <c r="T1361" s="0" t="s">
        <v>5328</v>
      </c>
      <c r="U1361" s="0" t="s">
        <v>4303</v>
      </c>
      <c r="V1361" s="0" t="s">
        <v>97</v>
      </c>
      <c r="W1361" s="0" t="s">
        <v>5353</v>
      </c>
      <c r="X1361" s="0" t="s">
        <v>5350</v>
      </c>
      <c r="Y1361" s="0" t="s">
        <v>4159</v>
      </c>
      <c r="Z1361" s="0" t="s">
        <v>4160</v>
      </c>
      <c r="AA1361" s="0" t="s">
        <v>5354</v>
      </c>
      <c r="AB1361" s="0" t="s">
        <v>5332</v>
      </c>
      <c r="AC1361" s="0" t="s">
        <v>4162</v>
      </c>
      <c r="AD1361" s="0" t="s">
        <v>4163</v>
      </c>
      <c r="AE1361" s="0" t="s">
        <v>4164</v>
      </c>
      <c r="AF1361" s="0" t="s">
        <v>5352</v>
      </c>
      <c r="AH1361" s="0" t="s">
        <v>4174</v>
      </c>
      <c r="AI1361" s="0" t="s">
        <v>4781</v>
      </c>
      <c r="AL1361" s="0" t="s">
        <v>523</v>
      </c>
    </row>
    <row r="1362" customFormat="false" ht="15" hidden="false" customHeight="false" outlineLevel="0" collapsed="false">
      <c r="A1362" s="0" t="s">
        <v>631</v>
      </c>
      <c r="B1362" s="0" t="s">
        <v>77</v>
      </c>
      <c r="C1362" s="0" t="s">
        <v>5066</v>
      </c>
      <c r="D1362" s="0" t="n">
        <v>2021</v>
      </c>
      <c r="E1362" s="0" t="s">
        <v>62</v>
      </c>
      <c r="F1362" s="0" t="n">
        <v>3256072669</v>
      </c>
      <c r="G1362" s="0" t="s">
        <v>3067</v>
      </c>
      <c r="H1362" s="0" t="s">
        <v>3068</v>
      </c>
      <c r="I1362" s="0" t="n">
        <v>3256072.669</v>
      </c>
      <c r="J1362" s="0" t="s">
        <v>4155</v>
      </c>
      <c r="K1362" s="0" t="s">
        <v>2676</v>
      </c>
      <c r="L1362" s="0" t="n">
        <v>2021</v>
      </c>
      <c r="M1362" s="0" t="s">
        <v>2074</v>
      </c>
      <c r="N1362" s="0" t="s">
        <v>96</v>
      </c>
      <c r="O1362" s="0" t="s">
        <v>2505</v>
      </c>
      <c r="P1362" s="0" t="s">
        <v>5327</v>
      </c>
      <c r="Q1362" s="0" t="n">
        <v>51</v>
      </c>
      <c r="R1362" s="0" t="n">
        <v>51</v>
      </c>
      <c r="S1362" s="0" t="n">
        <v>23</v>
      </c>
      <c r="T1362" s="0" t="s">
        <v>5328</v>
      </c>
      <c r="U1362" s="0" t="s">
        <v>4303</v>
      </c>
      <c r="V1362" s="0" t="s">
        <v>97</v>
      </c>
      <c r="W1362" s="0" t="s">
        <v>5355</v>
      </c>
      <c r="X1362" s="0" t="s">
        <v>5330</v>
      </c>
      <c r="Y1362" s="0" t="s">
        <v>4159</v>
      </c>
      <c r="Z1362" s="0" t="s">
        <v>4160</v>
      </c>
      <c r="AA1362" s="0" t="s">
        <v>5356</v>
      </c>
      <c r="AB1362" s="0" t="s">
        <v>5332</v>
      </c>
      <c r="AC1362" s="0" t="s">
        <v>4162</v>
      </c>
      <c r="AD1362" s="0" t="s">
        <v>4163</v>
      </c>
      <c r="AE1362" s="0" t="s">
        <v>4164</v>
      </c>
      <c r="AF1362" s="0" t="s">
        <v>5333</v>
      </c>
      <c r="AH1362" s="0" t="s">
        <v>2239</v>
      </c>
      <c r="AL1362" s="0" t="s">
        <v>523</v>
      </c>
    </row>
    <row r="1363" customFormat="false" ht="15" hidden="false" customHeight="false" outlineLevel="0" collapsed="false">
      <c r="A1363" s="0" t="s">
        <v>634</v>
      </c>
      <c r="B1363" s="0" t="s">
        <v>77</v>
      </c>
      <c r="C1363" s="0" t="s">
        <v>5066</v>
      </c>
      <c r="D1363" s="0" t="n">
        <v>2021</v>
      </c>
      <c r="E1363" s="0" t="s">
        <v>65</v>
      </c>
      <c r="F1363" s="0" t="n">
        <v>835939161</v>
      </c>
      <c r="G1363" s="0" t="s">
        <v>3067</v>
      </c>
      <c r="H1363" s="0" t="s">
        <v>3068</v>
      </c>
      <c r="I1363" s="0" t="n">
        <v>835939.161</v>
      </c>
      <c r="J1363" s="0" t="s">
        <v>4155</v>
      </c>
      <c r="K1363" s="0" t="s">
        <v>2676</v>
      </c>
      <c r="L1363" s="0" t="n">
        <v>2021</v>
      </c>
      <c r="M1363" s="0" t="s">
        <v>2074</v>
      </c>
      <c r="N1363" s="0" t="s">
        <v>96</v>
      </c>
      <c r="O1363" s="0" t="s">
        <v>2505</v>
      </c>
      <c r="P1363" s="0" t="s">
        <v>5327</v>
      </c>
      <c r="Q1363" s="0" t="n">
        <v>190</v>
      </c>
      <c r="R1363" s="0" t="n">
        <v>187</v>
      </c>
      <c r="S1363" s="0" t="n">
        <v>6</v>
      </c>
      <c r="T1363" s="0" t="s">
        <v>5328</v>
      </c>
      <c r="U1363" s="0" t="s">
        <v>4303</v>
      </c>
      <c r="V1363" s="0" t="s">
        <v>97</v>
      </c>
      <c r="W1363" s="0" t="s">
        <v>5357</v>
      </c>
      <c r="X1363" s="0" t="s">
        <v>5358</v>
      </c>
      <c r="Y1363" s="0" t="s">
        <v>4159</v>
      </c>
      <c r="Z1363" s="0" t="s">
        <v>4160</v>
      </c>
      <c r="AA1363" s="0" t="s">
        <v>5359</v>
      </c>
      <c r="AB1363" s="0" t="s">
        <v>5332</v>
      </c>
      <c r="AC1363" s="0" t="s">
        <v>4162</v>
      </c>
      <c r="AD1363" s="0" t="s">
        <v>4163</v>
      </c>
      <c r="AE1363" s="0" t="s">
        <v>4164</v>
      </c>
      <c r="AF1363" s="0" t="s">
        <v>5360</v>
      </c>
      <c r="AH1363" s="0" t="s">
        <v>2239</v>
      </c>
      <c r="AL1363" s="0" t="s">
        <v>523</v>
      </c>
    </row>
    <row r="1364" customFormat="false" ht="15" hidden="false" customHeight="false" outlineLevel="0" collapsed="false">
      <c r="A1364" s="0" t="s">
        <v>635</v>
      </c>
      <c r="B1364" s="0" t="s">
        <v>77</v>
      </c>
      <c r="C1364" s="0" t="s">
        <v>5066</v>
      </c>
      <c r="D1364" s="0" t="n">
        <v>2021</v>
      </c>
      <c r="E1364" s="0" t="s">
        <v>66</v>
      </c>
      <c r="F1364" s="0" t="n">
        <v>3993848672</v>
      </c>
      <c r="G1364" s="0" t="s">
        <v>3067</v>
      </c>
      <c r="H1364" s="0" t="s">
        <v>3068</v>
      </c>
      <c r="I1364" s="0" t="n">
        <v>3993848.672</v>
      </c>
      <c r="J1364" s="0" t="s">
        <v>4155</v>
      </c>
      <c r="K1364" s="0" t="s">
        <v>2676</v>
      </c>
      <c r="L1364" s="0" t="n">
        <v>2021</v>
      </c>
      <c r="M1364" s="0" t="s">
        <v>2074</v>
      </c>
      <c r="N1364" s="0" t="s">
        <v>96</v>
      </c>
      <c r="O1364" s="0" t="s">
        <v>2505</v>
      </c>
      <c r="P1364" s="0" t="s">
        <v>5327</v>
      </c>
      <c r="Q1364" s="0" t="n">
        <v>190</v>
      </c>
      <c r="R1364" s="0" t="n">
        <v>187</v>
      </c>
      <c r="S1364" s="0" t="n">
        <v>6</v>
      </c>
      <c r="T1364" s="0" t="s">
        <v>5328</v>
      </c>
      <c r="U1364" s="0" t="s">
        <v>4303</v>
      </c>
      <c r="V1364" s="0" t="s">
        <v>97</v>
      </c>
      <c r="W1364" s="0" t="s">
        <v>5361</v>
      </c>
      <c r="X1364" s="0" t="s">
        <v>5358</v>
      </c>
      <c r="Y1364" s="0" t="s">
        <v>4159</v>
      </c>
      <c r="Z1364" s="0" t="s">
        <v>4160</v>
      </c>
      <c r="AA1364" s="0" t="s">
        <v>5362</v>
      </c>
      <c r="AB1364" s="0" t="s">
        <v>5332</v>
      </c>
      <c r="AC1364" s="0" t="s">
        <v>4162</v>
      </c>
      <c r="AD1364" s="0" t="s">
        <v>4163</v>
      </c>
      <c r="AE1364" s="0" t="s">
        <v>4164</v>
      </c>
      <c r="AF1364" s="0" t="s">
        <v>5360</v>
      </c>
      <c r="AH1364" s="0" t="s">
        <v>2239</v>
      </c>
      <c r="AL1364" s="0" t="s">
        <v>523</v>
      </c>
    </row>
    <row r="1365" customFormat="false" ht="15" hidden="false" customHeight="false" outlineLevel="0" collapsed="false">
      <c r="A1365" s="0" t="s">
        <v>633</v>
      </c>
      <c r="B1365" s="0" t="s">
        <v>77</v>
      </c>
      <c r="C1365" s="0" t="s">
        <v>5066</v>
      </c>
      <c r="D1365" s="0" t="n">
        <v>2021</v>
      </c>
      <c r="E1365" s="0" t="s">
        <v>69</v>
      </c>
      <c r="F1365" s="0" t="s">
        <v>5363</v>
      </c>
      <c r="G1365" s="0" t="s">
        <v>3143</v>
      </c>
      <c r="I1365" s="0" t="n">
        <v>20.93</v>
      </c>
      <c r="J1365" s="0" t="s">
        <v>4155</v>
      </c>
      <c r="K1365" s="0" t="s">
        <v>2676</v>
      </c>
      <c r="L1365" s="0" t="n">
        <v>2021</v>
      </c>
      <c r="M1365" s="0" t="s">
        <v>2074</v>
      </c>
      <c r="N1365" s="0" t="s">
        <v>96</v>
      </c>
      <c r="O1365" s="0" t="s">
        <v>2505</v>
      </c>
      <c r="P1365" s="0" t="s">
        <v>5327</v>
      </c>
      <c r="Q1365" s="0" t="n">
        <v>190</v>
      </c>
      <c r="R1365" s="0" t="n">
        <v>187</v>
      </c>
      <c r="S1365" s="0" t="n">
        <v>6</v>
      </c>
      <c r="T1365" s="0" t="s">
        <v>5328</v>
      </c>
      <c r="U1365" s="0" t="s">
        <v>4303</v>
      </c>
      <c r="V1365" s="0" t="s">
        <v>97</v>
      </c>
      <c r="W1365" s="0" t="s">
        <v>5364</v>
      </c>
      <c r="X1365" s="0" t="s">
        <v>5358</v>
      </c>
      <c r="Y1365" s="0" t="s">
        <v>4159</v>
      </c>
      <c r="Z1365" s="0" t="s">
        <v>4160</v>
      </c>
      <c r="AA1365" s="0" t="s">
        <v>5365</v>
      </c>
      <c r="AB1365" s="0" t="s">
        <v>5332</v>
      </c>
      <c r="AC1365" s="0" t="s">
        <v>4162</v>
      </c>
      <c r="AD1365" s="0" t="s">
        <v>4163</v>
      </c>
      <c r="AE1365" s="0" t="s">
        <v>4164</v>
      </c>
      <c r="AF1365" s="0" t="s">
        <v>5360</v>
      </c>
      <c r="AH1365" s="0" t="s">
        <v>2239</v>
      </c>
      <c r="AL1365" s="0" t="s">
        <v>523</v>
      </c>
    </row>
    <row r="1366" customFormat="false" ht="15" hidden="false" customHeight="false" outlineLevel="0" collapsed="false">
      <c r="A1366" s="0" t="s">
        <v>636</v>
      </c>
      <c r="B1366" s="0" t="s">
        <v>77</v>
      </c>
      <c r="C1366" s="0" t="s">
        <v>5066</v>
      </c>
      <c r="D1366" s="0" t="n">
        <v>2021</v>
      </c>
      <c r="E1366" s="0" t="s">
        <v>73</v>
      </c>
      <c r="F1366" s="0" t="n">
        <v>0</v>
      </c>
      <c r="G1366" s="0" t="s">
        <v>4257</v>
      </c>
      <c r="I1366" s="0" t="n">
        <v>0</v>
      </c>
      <c r="J1366" s="0" t="s">
        <v>4258</v>
      </c>
      <c r="K1366" s="0" t="s">
        <v>2676</v>
      </c>
      <c r="L1366" s="0" t="n">
        <v>2021</v>
      </c>
      <c r="M1366" s="0" t="s">
        <v>2074</v>
      </c>
      <c r="N1366" s="0" t="s">
        <v>96</v>
      </c>
      <c r="O1366" s="0" t="s">
        <v>2505</v>
      </c>
      <c r="P1366" s="0" t="s">
        <v>5327</v>
      </c>
      <c r="Q1366" s="0" t="n">
        <v>45</v>
      </c>
      <c r="S1366" s="0" t="s">
        <v>5121</v>
      </c>
      <c r="T1366" s="0" t="s">
        <v>5366</v>
      </c>
      <c r="U1366" s="0" t="s">
        <v>4303</v>
      </c>
      <c r="V1366" s="0" t="s">
        <v>97</v>
      </c>
      <c r="W1366" s="0" t="s">
        <v>4803</v>
      </c>
      <c r="X1366" s="0" t="s">
        <v>5367</v>
      </c>
      <c r="Y1366" s="0" t="s">
        <v>4212</v>
      </c>
      <c r="Z1366" s="0" t="s">
        <v>4160</v>
      </c>
      <c r="AA1366" s="0" t="s">
        <v>5368</v>
      </c>
      <c r="AB1366" s="0" t="s">
        <v>5332</v>
      </c>
      <c r="AC1366" s="0" t="s">
        <v>4162</v>
      </c>
      <c r="AD1366" s="0" t="s">
        <v>4163</v>
      </c>
      <c r="AE1366" s="0" t="s">
        <v>4164</v>
      </c>
      <c r="AF1366" s="0" t="s">
        <v>5273</v>
      </c>
      <c r="AG1366" s="0" t="s">
        <v>1828</v>
      </c>
      <c r="AH1366" s="0" t="s">
        <v>2239</v>
      </c>
      <c r="AL1366" s="0" t="s">
        <v>539</v>
      </c>
    </row>
    <row r="1367" customFormat="false" ht="15" hidden="false" customHeight="false" outlineLevel="0" collapsed="false">
      <c r="A1367" s="0" t="s">
        <v>1387</v>
      </c>
      <c r="B1367" s="0" t="s">
        <v>201</v>
      </c>
      <c r="C1367" s="0" t="s">
        <v>4709</v>
      </c>
      <c r="D1367" s="0" t="n">
        <v>2015</v>
      </c>
      <c r="E1367" s="0" t="s">
        <v>55</v>
      </c>
      <c r="F1367" s="0" t="n">
        <v>443321012</v>
      </c>
      <c r="G1367" s="0" t="s">
        <v>3067</v>
      </c>
      <c r="H1367" s="0" t="s">
        <v>3068</v>
      </c>
      <c r="I1367" s="0" t="n">
        <v>443321.012</v>
      </c>
      <c r="J1367" s="0" t="s">
        <v>4634</v>
      </c>
      <c r="K1367" s="0" t="s">
        <v>2740</v>
      </c>
      <c r="L1367" s="0" t="n">
        <v>2015</v>
      </c>
      <c r="M1367" s="0" t="s">
        <v>2084</v>
      </c>
      <c r="N1367" s="0" t="s">
        <v>204</v>
      </c>
      <c r="O1367" s="0" t="s">
        <v>2507</v>
      </c>
      <c r="P1367" s="0" t="s">
        <v>5369</v>
      </c>
      <c r="Q1367" s="0" t="n">
        <v>7</v>
      </c>
      <c r="R1367" s="0" t="n">
        <v>3</v>
      </c>
      <c r="T1367" s="0" t="n">
        <v>2015</v>
      </c>
      <c r="U1367" s="0" t="s">
        <v>4808</v>
      </c>
      <c r="V1367" s="0" t="s">
        <v>84</v>
      </c>
      <c r="W1367" s="0" t="s">
        <v>5370</v>
      </c>
      <c r="X1367" s="0" t="s">
        <v>5371</v>
      </c>
      <c r="Y1367" s="0" t="s">
        <v>4159</v>
      </c>
      <c r="Z1367" s="0" t="s">
        <v>4160</v>
      </c>
      <c r="AA1367" s="0" t="s">
        <v>5372</v>
      </c>
      <c r="AB1367" s="0" t="s">
        <v>5278</v>
      </c>
      <c r="AC1367" s="0" t="s">
        <v>4162</v>
      </c>
      <c r="AD1367" s="0" t="s">
        <v>4637</v>
      </c>
      <c r="AE1367" s="0" t="s">
        <v>1892</v>
      </c>
      <c r="AF1367" s="0" t="s">
        <v>5373</v>
      </c>
      <c r="AH1367" s="0" t="s">
        <v>2239</v>
      </c>
      <c r="AL1367" s="0" t="s">
        <v>523</v>
      </c>
    </row>
    <row r="1368" customFormat="false" ht="15" hidden="false" customHeight="false" outlineLevel="0" collapsed="false">
      <c r="A1368" s="0" t="s">
        <v>1388</v>
      </c>
      <c r="B1368" s="0" t="s">
        <v>201</v>
      </c>
      <c r="C1368" s="0" t="s">
        <v>4709</v>
      </c>
      <c r="D1368" s="0" t="n">
        <v>2015</v>
      </c>
      <c r="E1368" s="0" t="s">
        <v>56</v>
      </c>
      <c r="F1368" s="0" t="n">
        <v>360746481</v>
      </c>
      <c r="G1368" s="0" t="s">
        <v>3067</v>
      </c>
      <c r="H1368" s="0" t="s">
        <v>3068</v>
      </c>
      <c r="I1368" s="0" t="n">
        <v>360746.481</v>
      </c>
      <c r="J1368" s="0" t="s">
        <v>4634</v>
      </c>
      <c r="K1368" s="0" t="s">
        <v>2740</v>
      </c>
      <c r="L1368" s="0" t="n">
        <v>2015</v>
      </c>
      <c r="M1368" s="0" t="s">
        <v>2084</v>
      </c>
      <c r="N1368" s="0" t="s">
        <v>204</v>
      </c>
      <c r="O1368" s="0" t="s">
        <v>2507</v>
      </c>
      <c r="P1368" s="0" t="s">
        <v>5369</v>
      </c>
      <c r="Q1368" s="0" t="n">
        <v>7</v>
      </c>
      <c r="R1368" s="0" t="n">
        <v>3</v>
      </c>
      <c r="T1368" s="0" t="n">
        <v>2015</v>
      </c>
      <c r="U1368" s="0" t="s">
        <v>4808</v>
      </c>
      <c r="V1368" s="0" t="s">
        <v>84</v>
      </c>
      <c r="W1368" s="0" t="s">
        <v>5374</v>
      </c>
      <c r="X1368" s="0" t="s">
        <v>5371</v>
      </c>
      <c r="Y1368" s="0" t="s">
        <v>4159</v>
      </c>
      <c r="Z1368" s="0" t="s">
        <v>4160</v>
      </c>
      <c r="AA1368" s="0" t="s">
        <v>5375</v>
      </c>
      <c r="AB1368" s="0" t="s">
        <v>5278</v>
      </c>
      <c r="AC1368" s="0" t="s">
        <v>4162</v>
      </c>
      <c r="AD1368" s="0" t="s">
        <v>4637</v>
      </c>
      <c r="AE1368" s="0" t="s">
        <v>1892</v>
      </c>
      <c r="AF1368" s="0" t="s">
        <v>5373</v>
      </c>
      <c r="AH1368" s="0" t="s">
        <v>2239</v>
      </c>
      <c r="AL1368" s="0" t="s">
        <v>523</v>
      </c>
    </row>
    <row r="1369" customFormat="false" ht="15" hidden="false" customHeight="false" outlineLevel="0" collapsed="false">
      <c r="A1369" s="0" t="s">
        <v>1389</v>
      </c>
      <c r="B1369" s="0" t="s">
        <v>201</v>
      </c>
      <c r="C1369" s="0" t="s">
        <v>4709</v>
      </c>
      <c r="D1369" s="0" t="n">
        <v>2015</v>
      </c>
      <c r="E1369" s="0" t="s">
        <v>57</v>
      </c>
      <c r="F1369" s="0" t="n">
        <v>82574531</v>
      </c>
      <c r="G1369" s="0" t="s">
        <v>3067</v>
      </c>
      <c r="H1369" s="0" t="s">
        <v>3068</v>
      </c>
      <c r="I1369" s="0" t="n">
        <v>82574.531</v>
      </c>
      <c r="J1369" s="0" t="s">
        <v>4634</v>
      </c>
      <c r="K1369" s="0" t="s">
        <v>2740</v>
      </c>
      <c r="L1369" s="0" t="n">
        <v>2015</v>
      </c>
      <c r="M1369" s="0" t="s">
        <v>2084</v>
      </c>
      <c r="N1369" s="0" t="s">
        <v>204</v>
      </c>
      <c r="O1369" s="0" t="s">
        <v>2507</v>
      </c>
      <c r="P1369" s="0" t="s">
        <v>5369</v>
      </c>
      <c r="Q1369" s="0" t="n">
        <v>7</v>
      </c>
      <c r="R1369" s="0" t="n">
        <v>3</v>
      </c>
      <c r="T1369" s="0" t="n">
        <v>2015</v>
      </c>
      <c r="U1369" s="0" t="s">
        <v>4808</v>
      </c>
      <c r="V1369" s="0" t="s">
        <v>84</v>
      </c>
      <c r="W1369" s="0" t="s">
        <v>5376</v>
      </c>
      <c r="X1369" s="0" t="s">
        <v>5371</v>
      </c>
      <c r="Y1369" s="0" t="s">
        <v>4159</v>
      </c>
      <c r="Z1369" s="0" t="s">
        <v>4160</v>
      </c>
      <c r="AA1369" s="0" t="s">
        <v>5377</v>
      </c>
      <c r="AB1369" s="0" t="s">
        <v>5278</v>
      </c>
      <c r="AC1369" s="0" t="s">
        <v>4162</v>
      </c>
      <c r="AD1369" s="0" t="s">
        <v>4637</v>
      </c>
      <c r="AE1369" s="0" t="s">
        <v>1892</v>
      </c>
      <c r="AF1369" s="0" t="s">
        <v>5373</v>
      </c>
      <c r="AH1369" s="0" t="s">
        <v>2239</v>
      </c>
      <c r="AL1369" s="0" t="s">
        <v>523</v>
      </c>
    </row>
    <row r="1370" customFormat="false" ht="15" hidden="false" customHeight="false" outlineLevel="0" collapsed="false">
      <c r="A1370" s="0" t="s">
        <v>1386</v>
      </c>
      <c r="B1370" s="0" t="s">
        <v>201</v>
      </c>
      <c r="C1370" s="0" t="s">
        <v>4709</v>
      </c>
      <c r="D1370" s="0" t="n">
        <v>2015</v>
      </c>
      <c r="E1370" s="0" t="s">
        <v>54</v>
      </c>
      <c r="F1370" s="0" t="n">
        <v>4689157</v>
      </c>
      <c r="G1370" s="0" t="s">
        <v>3067</v>
      </c>
      <c r="H1370" s="0" t="s">
        <v>3068</v>
      </c>
      <c r="I1370" s="0" t="n">
        <v>4689.157</v>
      </c>
      <c r="J1370" s="0" t="s">
        <v>4634</v>
      </c>
      <c r="K1370" s="0" t="s">
        <v>2740</v>
      </c>
      <c r="L1370" s="0" t="n">
        <v>2015</v>
      </c>
      <c r="M1370" s="0" t="s">
        <v>2084</v>
      </c>
      <c r="N1370" s="0" t="s">
        <v>204</v>
      </c>
      <c r="O1370" s="0" t="s">
        <v>2507</v>
      </c>
      <c r="P1370" s="0" t="s">
        <v>5369</v>
      </c>
      <c r="Q1370" s="0" t="n">
        <v>5</v>
      </c>
      <c r="R1370" s="0" t="n">
        <v>1</v>
      </c>
      <c r="T1370" s="0" t="n">
        <v>2015</v>
      </c>
      <c r="U1370" s="0" t="s">
        <v>4808</v>
      </c>
      <c r="V1370" s="0" t="s">
        <v>84</v>
      </c>
      <c r="W1370" s="0" t="s">
        <v>5378</v>
      </c>
      <c r="X1370" s="0" t="s">
        <v>5379</v>
      </c>
      <c r="Y1370" s="0" t="s">
        <v>4159</v>
      </c>
      <c r="Z1370" s="0" t="s">
        <v>4160</v>
      </c>
      <c r="AA1370" s="0" t="s">
        <v>5380</v>
      </c>
      <c r="AB1370" s="0" t="s">
        <v>5278</v>
      </c>
      <c r="AC1370" s="0" t="s">
        <v>4162</v>
      </c>
      <c r="AD1370" s="0" t="s">
        <v>4637</v>
      </c>
      <c r="AE1370" s="0" t="s">
        <v>1892</v>
      </c>
      <c r="AF1370" s="0" t="s">
        <v>5373</v>
      </c>
      <c r="AH1370" s="0" t="s">
        <v>2239</v>
      </c>
      <c r="AL1370" s="0" t="s">
        <v>523</v>
      </c>
    </row>
    <row r="1371" customFormat="false" ht="15" hidden="false" customHeight="false" outlineLevel="0" collapsed="false">
      <c r="A1371" s="0" t="s">
        <v>1397</v>
      </c>
      <c r="B1371" s="0" t="s">
        <v>201</v>
      </c>
      <c r="C1371" s="0" t="s">
        <v>4709</v>
      </c>
      <c r="D1371" s="0" t="n">
        <v>2015</v>
      </c>
      <c r="E1371" s="0" t="s">
        <v>541</v>
      </c>
      <c r="F1371" s="0" t="n">
        <v>2342667</v>
      </c>
      <c r="G1371" s="0" t="s">
        <v>3067</v>
      </c>
      <c r="H1371" s="0" t="s">
        <v>3068</v>
      </c>
      <c r="I1371" s="0" t="n">
        <v>2342.667</v>
      </c>
      <c r="J1371" s="0" t="s">
        <v>4634</v>
      </c>
      <c r="K1371" s="0" t="s">
        <v>2740</v>
      </c>
      <c r="L1371" s="0" t="n">
        <v>2015</v>
      </c>
      <c r="M1371" s="0" t="s">
        <v>2084</v>
      </c>
      <c r="N1371" s="0" t="s">
        <v>204</v>
      </c>
      <c r="O1371" s="0" t="s">
        <v>2507</v>
      </c>
      <c r="P1371" s="0" t="s">
        <v>5369</v>
      </c>
      <c r="Q1371" s="0" t="n">
        <v>5</v>
      </c>
      <c r="R1371" s="0" t="n">
        <v>1</v>
      </c>
      <c r="T1371" s="0" t="n">
        <v>2015</v>
      </c>
      <c r="U1371" s="0" t="s">
        <v>4808</v>
      </c>
      <c r="V1371" s="0" t="s">
        <v>84</v>
      </c>
      <c r="W1371" s="0" t="s">
        <v>5381</v>
      </c>
      <c r="X1371" s="0" t="s">
        <v>5379</v>
      </c>
      <c r="Y1371" s="0" t="s">
        <v>4159</v>
      </c>
      <c r="Z1371" s="0" t="s">
        <v>4160</v>
      </c>
      <c r="AA1371" s="0" t="s">
        <v>5382</v>
      </c>
      <c r="AB1371" s="0" t="s">
        <v>5278</v>
      </c>
      <c r="AC1371" s="0" t="s">
        <v>4162</v>
      </c>
      <c r="AD1371" s="0" t="s">
        <v>4637</v>
      </c>
      <c r="AE1371" s="0" t="s">
        <v>1892</v>
      </c>
      <c r="AF1371" s="0" t="s">
        <v>5373</v>
      </c>
      <c r="AH1371" s="0" t="s">
        <v>2239</v>
      </c>
      <c r="AL1371" s="0" t="s">
        <v>523</v>
      </c>
    </row>
    <row r="1372" customFormat="false" ht="15" hidden="false" customHeight="false" outlineLevel="0" collapsed="false">
      <c r="A1372" s="0" t="s">
        <v>1390</v>
      </c>
      <c r="B1372" s="0" t="s">
        <v>201</v>
      </c>
      <c r="C1372" s="0" t="s">
        <v>4709</v>
      </c>
      <c r="D1372" s="0" t="n">
        <v>2015</v>
      </c>
      <c r="E1372" s="0" t="s">
        <v>58</v>
      </c>
      <c r="F1372" s="0" t="n">
        <v>-36691170</v>
      </c>
      <c r="G1372" s="0" t="s">
        <v>3067</v>
      </c>
      <c r="H1372" s="0" t="s">
        <v>3068</v>
      </c>
      <c r="I1372" s="0" t="n">
        <v>-36691.17</v>
      </c>
      <c r="J1372" s="0" t="s">
        <v>4634</v>
      </c>
      <c r="K1372" s="0" t="s">
        <v>2740</v>
      </c>
      <c r="L1372" s="0" t="n">
        <v>2015</v>
      </c>
      <c r="M1372" s="0" t="s">
        <v>2084</v>
      </c>
      <c r="N1372" s="0" t="s">
        <v>204</v>
      </c>
      <c r="O1372" s="0" t="s">
        <v>2507</v>
      </c>
      <c r="P1372" s="0" t="s">
        <v>5369</v>
      </c>
      <c r="Q1372" s="0" t="n">
        <v>9</v>
      </c>
      <c r="R1372" s="0" t="n">
        <v>5</v>
      </c>
      <c r="T1372" s="0" t="n">
        <v>2015</v>
      </c>
      <c r="U1372" s="0" t="s">
        <v>4808</v>
      </c>
      <c r="V1372" s="0" t="s">
        <v>84</v>
      </c>
      <c r="W1372" s="0" t="s">
        <v>5383</v>
      </c>
      <c r="X1372" s="0" t="s">
        <v>5384</v>
      </c>
      <c r="Y1372" s="0" t="s">
        <v>4159</v>
      </c>
      <c r="Z1372" s="0" t="s">
        <v>4160</v>
      </c>
      <c r="AA1372" s="0" t="s">
        <v>5385</v>
      </c>
      <c r="AB1372" s="0" t="s">
        <v>5278</v>
      </c>
      <c r="AC1372" s="0" t="s">
        <v>4162</v>
      </c>
      <c r="AD1372" s="0" t="s">
        <v>4637</v>
      </c>
      <c r="AE1372" s="0" t="s">
        <v>1892</v>
      </c>
      <c r="AF1372" s="0" t="s">
        <v>5373</v>
      </c>
      <c r="AH1372" s="0" t="s">
        <v>2239</v>
      </c>
      <c r="AL1372" s="0" t="s">
        <v>523</v>
      </c>
    </row>
    <row r="1373" customFormat="false" ht="15" hidden="false" customHeight="false" outlineLevel="0" collapsed="false">
      <c r="A1373" s="0" t="s">
        <v>1391</v>
      </c>
      <c r="B1373" s="0" t="s">
        <v>201</v>
      </c>
      <c r="C1373" s="0" t="s">
        <v>4709</v>
      </c>
      <c r="D1373" s="0" t="n">
        <v>2015</v>
      </c>
      <c r="E1373" s="0" t="s">
        <v>59</v>
      </c>
      <c r="F1373" s="0" t="n">
        <v>413305111</v>
      </c>
      <c r="G1373" s="0" t="s">
        <v>3067</v>
      </c>
      <c r="H1373" s="0" t="s">
        <v>3068</v>
      </c>
      <c r="I1373" s="0" t="n">
        <v>413305.111</v>
      </c>
      <c r="J1373" s="0" t="s">
        <v>4634</v>
      </c>
      <c r="K1373" s="0" t="s">
        <v>2740</v>
      </c>
      <c r="L1373" s="0" t="n">
        <v>2015</v>
      </c>
      <c r="M1373" s="0" t="s">
        <v>2084</v>
      </c>
      <c r="N1373" s="0" t="s">
        <v>204</v>
      </c>
      <c r="O1373" s="0" t="s">
        <v>2507</v>
      </c>
      <c r="P1373" s="0" t="s">
        <v>5369</v>
      </c>
      <c r="Q1373" s="0" t="n">
        <v>7</v>
      </c>
      <c r="R1373" s="0" t="n">
        <v>3</v>
      </c>
      <c r="T1373" s="0" t="n">
        <v>2014</v>
      </c>
      <c r="U1373" s="0" t="s">
        <v>4808</v>
      </c>
      <c r="V1373" s="0" t="s">
        <v>84</v>
      </c>
      <c r="W1373" s="0" t="s">
        <v>5370</v>
      </c>
      <c r="X1373" s="0" t="s">
        <v>5371</v>
      </c>
      <c r="Y1373" s="0" t="s">
        <v>4159</v>
      </c>
      <c r="Z1373" s="0" t="s">
        <v>4160</v>
      </c>
      <c r="AA1373" s="0" t="s">
        <v>5386</v>
      </c>
      <c r="AB1373" s="0" t="s">
        <v>5278</v>
      </c>
      <c r="AC1373" s="0" t="s">
        <v>4162</v>
      </c>
      <c r="AD1373" s="0" t="s">
        <v>4637</v>
      </c>
      <c r="AE1373" s="0" t="s">
        <v>1892</v>
      </c>
      <c r="AF1373" s="0" t="s">
        <v>5373</v>
      </c>
      <c r="AH1373" s="0" t="s">
        <v>2239</v>
      </c>
      <c r="AL1373" s="0" t="s">
        <v>523</v>
      </c>
    </row>
    <row r="1374" customFormat="false" ht="15" hidden="false" customHeight="false" outlineLevel="0" collapsed="false">
      <c r="A1374" s="0" t="s">
        <v>1395</v>
      </c>
      <c r="B1374" s="0" t="s">
        <v>201</v>
      </c>
      <c r="C1374" s="0" t="s">
        <v>4709</v>
      </c>
      <c r="D1374" s="0" t="n">
        <v>2015</v>
      </c>
      <c r="E1374" s="0" t="s">
        <v>63</v>
      </c>
      <c r="F1374" s="0" t="n">
        <v>-27122182</v>
      </c>
      <c r="G1374" s="0" t="s">
        <v>3067</v>
      </c>
      <c r="H1374" s="0" t="s">
        <v>3068</v>
      </c>
      <c r="I1374" s="0" t="n">
        <v>27122.182</v>
      </c>
      <c r="J1374" s="0" t="s">
        <v>4634</v>
      </c>
      <c r="K1374" s="0" t="s">
        <v>2740</v>
      </c>
      <c r="L1374" s="0" t="n">
        <v>2015</v>
      </c>
      <c r="M1374" s="0" t="s">
        <v>2084</v>
      </c>
      <c r="N1374" s="0" t="s">
        <v>204</v>
      </c>
      <c r="O1374" s="0" t="s">
        <v>2507</v>
      </c>
      <c r="P1374" s="0" t="s">
        <v>5369</v>
      </c>
      <c r="Q1374" s="0" t="n">
        <v>5</v>
      </c>
      <c r="R1374" s="0" t="n">
        <v>1</v>
      </c>
      <c r="S1374" s="0" t="n">
        <v>12</v>
      </c>
      <c r="T1374" s="0" t="n">
        <v>2015</v>
      </c>
      <c r="U1374" s="0" t="s">
        <v>4808</v>
      </c>
      <c r="V1374" s="0" t="s">
        <v>84</v>
      </c>
      <c r="W1374" s="0" t="s">
        <v>5387</v>
      </c>
      <c r="X1374" s="0" t="s">
        <v>5379</v>
      </c>
      <c r="Y1374" s="0" t="s">
        <v>4159</v>
      </c>
      <c r="Z1374" s="0" t="s">
        <v>4160</v>
      </c>
      <c r="AA1374" s="0" t="s">
        <v>5388</v>
      </c>
      <c r="AB1374" s="0" t="s">
        <v>5278</v>
      </c>
      <c r="AC1374" s="0" t="s">
        <v>4162</v>
      </c>
      <c r="AD1374" s="0" t="s">
        <v>4637</v>
      </c>
      <c r="AE1374" s="0" t="s">
        <v>1892</v>
      </c>
      <c r="AF1374" s="0" t="s">
        <v>5373</v>
      </c>
      <c r="AH1374" s="0" t="s">
        <v>4174</v>
      </c>
      <c r="AI1374" s="0" t="s">
        <v>4829</v>
      </c>
      <c r="AL1374" s="0" t="s">
        <v>523</v>
      </c>
    </row>
    <row r="1375" customFormat="false" ht="15" hidden="false" customHeight="false" outlineLevel="0" collapsed="false">
      <c r="A1375" s="0" t="s">
        <v>1392</v>
      </c>
      <c r="B1375" s="0" t="s">
        <v>201</v>
      </c>
      <c r="C1375" s="0" t="s">
        <v>4709</v>
      </c>
      <c r="D1375" s="0" t="n">
        <v>2015</v>
      </c>
      <c r="E1375" s="0" t="s">
        <v>60</v>
      </c>
      <c r="F1375" s="0" t="n">
        <v>311897547</v>
      </c>
      <c r="G1375" s="0" t="s">
        <v>3067</v>
      </c>
      <c r="H1375" s="0" t="s">
        <v>3068</v>
      </c>
      <c r="I1375" s="0" t="n">
        <v>311897.547</v>
      </c>
      <c r="J1375" s="0" t="s">
        <v>4634</v>
      </c>
      <c r="K1375" s="0" t="s">
        <v>2740</v>
      </c>
      <c r="L1375" s="0" t="n">
        <v>2015</v>
      </c>
      <c r="M1375" s="0" t="s">
        <v>2084</v>
      </c>
      <c r="N1375" s="0" t="s">
        <v>204</v>
      </c>
      <c r="O1375" s="0" t="s">
        <v>2507</v>
      </c>
      <c r="P1375" s="0" t="s">
        <v>5369</v>
      </c>
      <c r="Q1375" s="0" t="n">
        <v>34</v>
      </c>
      <c r="R1375" s="0" t="n">
        <v>30</v>
      </c>
      <c r="S1375" s="0" t="n">
        <v>19</v>
      </c>
      <c r="T1375" s="0" t="n">
        <v>2015</v>
      </c>
      <c r="U1375" s="0" t="s">
        <v>4808</v>
      </c>
      <c r="V1375" s="0" t="s">
        <v>84</v>
      </c>
      <c r="W1375" s="0" t="s">
        <v>5389</v>
      </c>
      <c r="X1375" s="0" t="s">
        <v>5390</v>
      </c>
      <c r="Y1375" s="0" t="s">
        <v>4159</v>
      </c>
      <c r="Z1375" s="0" t="s">
        <v>4160</v>
      </c>
      <c r="AA1375" s="0" t="s">
        <v>5391</v>
      </c>
      <c r="AB1375" s="0" t="s">
        <v>5278</v>
      </c>
      <c r="AC1375" s="0" t="s">
        <v>4162</v>
      </c>
      <c r="AD1375" s="0" t="s">
        <v>4637</v>
      </c>
      <c r="AE1375" s="0" t="s">
        <v>1892</v>
      </c>
      <c r="AF1375" s="0" t="s">
        <v>5373</v>
      </c>
      <c r="AH1375" s="0" t="s">
        <v>2239</v>
      </c>
      <c r="AL1375" s="0" t="s">
        <v>523</v>
      </c>
    </row>
    <row r="1376" customFormat="false" ht="15" hidden="false" customHeight="false" outlineLevel="0" collapsed="false">
      <c r="A1376" s="0" t="s">
        <v>1393</v>
      </c>
      <c r="B1376" s="0" t="s">
        <v>201</v>
      </c>
      <c r="C1376" s="0" t="s">
        <v>4709</v>
      </c>
      <c r="D1376" s="0" t="n">
        <v>2015</v>
      </c>
      <c r="E1376" s="0" t="s">
        <v>61</v>
      </c>
      <c r="F1376" s="0" t="n">
        <v>-65754418</v>
      </c>
      <c r="G1376" s="0" t="s">
        <v>3067</v>
      </c>
      <c r="H1376" s="0" t="s">
        <v>3068</v>
      </c>
      <c r="I1376" s="0" t="n">
        <v>65754.418</v>
      </c>
      <c r="J1376" s="0" t="s">
        <v>4634</v>
      </c>
      <c r="K1376" s="0" t="s">
        <v>2740</v>
      </c>
      <c r="L1376" s="0" t="n">
        <v>2015</v>
      </c>
      <c r="M1376" s="0" t="s">
        <v>2084</v>
      </c>
      <c r="N1376" s="0" t="s">
        <v>204</v>
      </c>
      <c r="O1376" s="0" t="s">
        <v>2507</v>
      </c>
      <c r="P1376" s="0" t="s">
        <v>5369</v>
      </c>
      <c r="Q1376" s="0" t="n">
        <v>34</v>
      </c>
      <c r="R1376" s="0" t="n">
        <v>30</v>
      </c>
      <c r="S1376" s="0" t="n">
        <v>19</v>
      </c>
      <c r="T1376" s="0" t="n">
        <v>2015</v>
      </c>
      <c r="U1376" s="0" t="s">
        <v>4808</v>
      </c>
      <c r="V1376" s="0" t="s">
        <v>84</v>
      </c>
      <c r="W1376" s="0" t="s">
        <v>5392</v>
      </c>
      <c r="X1376" s="0" t="s">
        <v>5390</v>
      </c>
      <c r="Y1376" s="0" t="s">
        <v>4159</v>
      </c>
      <c r="Z1376" s="0" t="s">
        <v>4160</v>
      </c>
      <c r="AA1376" s="0" t="s">
        <v>5393</v>
      </c>
      <c r="AB1376" s="0" t="s">
        <v>5278</v>
      </c>
      <c r="AC1376" s="0" t="s">
        <v>4162</v>
      </c>
      <c r="AD1376" s="0" t="s">
        <v>4637</v>
      </c>
      <c r="AE1376" s="0" t="s">
        <v>1892</v>
      </c>
      <c r="AF1376" s="0" t="s">
        <v>5373</v>
      </c>
      <c r="AH1376" s="0" t="s">
        <v>4174</v>
      </c>
      <c r="AI1376" s="0" t="s">
        <v>4837</v>
      </c>
      <c r="AL1376" s="0" t="s">
        <v>523</v>
      </c>
    </row>
    <row r="1377" customFormat="false" ht="15" hidden="false" customHeight="false" outlineLevel="0" collapsed="false">
      <c r="A1377" s="0" t="s">
        <v>1398</v>
      </c>
      <c r="B1377" s="0" t="s">
        <v>201</v>
      </c>
      <c r="C1377" s="0" t="s">
        <v>4709</v>
      </c>
      <c r="D1377" s="0" t="n">
        <v>2015</v>
      </c>
      <c r="E1377" s="0" t="s">
        <v>543</v>
      </c>
      <c r="F1377" s="0" t="n">
        <v>59878629</v>
      </c>
      <c r="G1377" s="0" t="s">
        <v>3067</v>
      </c>
      <c r="H1377" s="0" t="s">
        <v>3068</v>
      </c>
      <c r="I1377" s="0" t="n">
        <v>59878.629</v>
      </c>
      <c r="J1377" s="0" t="s">
        <v>4634</v>
      </c>
      <c r="K1377" s="0" t="s">
        <v>2740</v>
      </c>
      <c r="L1377" s="0" t="n">
        <v>2015</v>
      </c>
      <c r="M1377" s="0" t="s">
        <v>2084</v>
      </c>
      <c r="N1377" s="0" t="s">
        <v>204</v>
      </c>
      <c r="O1377" s="0" t="s">
        <v>2507</v>
      </c>
      <c r="P1377" s="0" t="s">
        <v>5369</v>
      </c>
      <c r="Q1377" s="0" t="n">
        <v>34</v>
      </c>
      <c r="R1377" s="0" t="n">
        <v>30</v>
      </c>
      <c r="S1377" s="0" t="n">
        <v>19</v>
      </c>
      <c r="T1377" s="0" t="n">
        <v>2015</v>
      </c>
      <c r="U1377" s="0" t="s">
        <v>4808</v>
      </c>
      <c r="V1377" s="0" t="s">
        <v>84</v>
      </c>
      <c r="W1377" s="0" t="s">
        <v>5394</v>
      </c>
      <c r="X1377" s="0" t="s">
        <v>5390</v>
      </c>
      <c r="Y1377" s="0" t="s">
        <v>4159</v>
      </c>
      <c r="Z1377" s="0" t="s">
        <v>4160</v>
      </c>
      <c r="AA1377" s="0" t="s">
        <v>5395</v>
      </c>
      <c r="AB1377" s="0" t="s">
        <v>5278</v>
      </c>
      <c r="AC1377" s="0" t="s">
        <v>4162</v>
      </c>
      <c r="AD1377" s="0" t="s">
        <v>4637</v>
      </c>
      <c r="AE1377" s="0" t="s">
        <v>1892</v>
      </c>
      <c r="AF1377" s="0" t="s">
        <v>5373</v>
      </c>
      <c r="AH1377" s="0" t="s">
        <v>2239</v>
      </c>
      <c r="AL1377" s="0" t="s">
        <v>523</v>
      </c>
    </row>
    <row r="1378" customFormat="false" ht="15" hidden="false" customHeight="false" outlineLevel="0" collapsed="false">
      <c r="A1378" s="0" t="s">
        <v>1399</v>
      </c>
      <c r="B1378" s="0" t="s">
        <v>201</v>
      </c>
      <c r="C1378" s="0" t="s">
        <v>4709</v>
      </c>
      <c r="D1378" s="0" t="n">
        <v>2015</v>
      </c>
      <c r="E1378" s="0" t="s">
        <v>545</v>
      </c>
      <c r="F1378" s="0" t="n">
        <v>5875789</v>
      </c>
      <c r="G1378" s="0" t="s">
        <v>3067</v>
      </c>
      <c r="H1378" s="0" t="s">
        <v>3068</v>
      </c>
      <c r="I1378" s="0" t="n">
        <v>5875.789</v>
      </c>
      <c r="J1378" s="0" t="s">
        <v>4634</v>
      </c>
      <c r="K1378" s="0" t="s">
        <v>2740</v>
      </c>
      <c r="L1378" s="0" t="n">
        <v>2015</v>
      </c>
      <c r="M1378" s="0" t="s">
        <v>2084</v>
      </c>
      <c r="N1378" s="0" t="s">
        <v>204</v>
      </c>
      <c r="O1378" s="0" t="s">
        <v>2507</v>
      </c>
      <c r="P1378" s="0" t="s">
        <v>5369</v>
      </c>
      <c r="Q1378" s="0" t="n">
        <v>34</v>
      </c>
      <c r="R1378" s="0" t="n">
        <v>30</v>
      </c>
      <c r="S1378" s="0" t="n">
        <v>19</v>
      </c>
      <c r="T1378" s="0" t="n">
        <v>2015</v>
      </c>
      <c r="U1378" s="0" t="s">
        <v>4808</v>
      </c>
      <c r="V1378" s="0" t="s">
        <v>84</v>
      </c>
      <c r="W1378" s="0" t="s">
        <v>5396</v>
      </c>
      <c r="X1378" s="0" t="s">
        <v>5390</v>
      </c>
      <c r="Y1378" s="0" t="s">
        <v>4159</v>
      </c>
      <c r="Z1378" s="0" t="s">
        <v>4160</v>
      </c>
      <c r="AA1378" s="0" t="s">
        <v>5397</v>
      </c>
      <c r="AB1378" s="0" t="s">
        <v>5278</v>
      </c>
      <c r="AC1378" s="0" t="s">
        <v>4162</v>
      </c>
      <c r="AD1378" s="0" t="s">
        <v>4637</v>
      </c>
      <c r="AE1378" s="0" t="s">
        <v>1892</v>
      </c>
      <c r="AF1378" s="0" t="s">
        <v>5373</v>
      </c>
      <c r="AH1378" s="0" t="s">
        <v>2239</v>
      </c>
      <c r="AL1378" s="0" t="s">
        <v>523</v>
      </c>
    </row>
    <row r="1379" customFormat="false" ht="15" hidden="false" customHeight="false" outlineLevel="0" collapsed="false">
      <c r="A1379" s="0" t="s">
        <v>1394</v>
      </c>
      <c r="B1379" s="0" t="s">
        <v>201</v>
      </c>
      <c r="C1379" s="0" t="s">
        <v>4709</v>
      </c>
      <c r="D1379" s="0" t="n">
        <v>2015</v>
      </c>
      <c r="E1379" s="0" t="s">
        <v>62</v>
      </c>
      <c r="F1379" s="0" t="n">
        <v>246143129</v>
      </c>
      <c r="G1379" s="0" t="s">
        <v>3067</v>
      </c>
      <c r="H1379" s="0" t="s">
        <v>3068</v>
      </c>
      <c r="I1379" s="0" t="n">
        <v>246143.129</v>
      </c>
      <c r="J1379" s="0" t="s">
        <v>4634</v>
      </c>
      <c r="K1379" s="0" t="s">
        <v>2740</v>
      </c>
      <c r="L1379" s="0" t="n">
        <v>2015</v>
      </c>
      <c r="M1379" s="0" t="s">
        <v>2084</v>
      </c>
      <c r="N1379" s="0" t="s">
        <v>204</v>
      </c>
      <c r="O1379" s="0" t="s">
        <v>2507</v>
      </c>
      <c r="P1379" s="0" t="s">
        <v>5369</v>
      </c>
      <c r="Q1379" s="0" t="n">
        <v>7</v>
      </c>
      <c r="R1379" s="0" t="n">
        <v>3</v>
      </c>
      <c r="S1379" s="0" t="n">
        <v>19</v>
      </c>
      <c r="T1379" s="0" t="n">
        <v>2015</v>
      </c>
      <c r="U1379" s="0" t="s">
        <v>4808</v>
      </c>
      <c r="V1379" s="0" t="s">
        <v>84</v>
      </c>
      <c r="W1379" s="0" t="s">
        <v>5398</v>
      </c>
      <c r="X1379" s="0" t="s">
        <v>5371</v>
      </c>
      <c r="Y1379" s="0" t="s">
        <v>4159</v>
      </c>
      <c r="Z1379" s="0" t="s">
        <v>4160</v>
      </c>
      <c r="AA1379" s="0" t="s">
        <v>5399</v>
      </c>
      <c r="AB1379" s="0" t="s">
        <v>5278</v>
      </c>
      <c r="AC1379" s="0" t="s">
        <v>4162</v>
      </c>
      <c r="AD1379" s="0" t="s">
        <v>4637</v>
      </c>
      <c r="AE1379" s="0" t="s">
        <v>1892</v>
      </c>
      <c r="AF1379" s="0" t="s">
        <v>5373</v>
      </c>
      <c r="AH1379" s="0" t="s">
        <v>2239</v>
      </c>
      <c r="AL1379" s="0" t="s">
        <v>523</v>
      </c>
    </row>
    <row r="1380" customFormat="false" ht="15" hidden="false" customHeight="false" outlineLevel="0" collapsed="false">
      <c r="A1380" s="0" t="s">
        <v>1396</v>
      </c>
      <c r="B1380" s="0" t="s">
        <v>201</v>
      </c>
      <c r="C1380" s="0" t="s">
        <v>4709</v>
      </c>
      <c r="D1380" s="0" t="n">
        <v>2015</v>
      </c>
      <c r="E1380" s="0" t="s">
        <v>73</v>
      </c>
      <c r="F1380" s="0" t="n">
        <v>0</v>
      </c>
      <c r="G1380" s="0" t="s">
        <v>4257</v>
      </c>
      <c r="I1380" s="0" t="n">
        <v>0</v>
      </c>
      <c r="J1380" s="0" t="s">
        <v>4687</v>
      </c>
      <c r="K1380" s="0" t="s">
        <v>2740</v>
      </c>
      <c r="L1380" s="0" t="n">
        <v>2015</v>
      </c>
      <c r="M1380" s="0" t="s">
        <v>2084</v>
      </c>
      <c r="N1380" s="0" t="s">
        <v>204</v>
      </c>
      <c r="O1380" s="0" t="s">
        <v>2507</v>
      </c>
      <c r="P1380" s="0" t="s">
        <v>5369</v>
      </c>
      <c r="Q1380" s="0" t="n">
        <v>2</v>
      </c>
      <c r="R1380" s="0" t="n">
        <v>29</v>
      </c>
      <c r="T1380" s="0" t="s">
        <v>5400</v>
      </c>
      <c r="U1380" s="0" t="s">
        <v>4808</v>
      </c>
      <c r="V1380" s="0" t="s">
        <v>84</v>
      </c>
      <c r="W1380" s="0" t="s">
        <v>4803</v>
      </c>
      <c r="X1380" s="0" t="s">
        <v>5401</v>
      </c>
      <c r="Y1380" s="0" t="s">
        <v>4212</v>
      </c>
      <c r="Z1380" s="0" t="s">
        <v>4160</v>
      </c>
      <c r="AA1380" s="0" t="s">
        <v>5402</v>
      </c>
      <c r="AB1380" s="0" t="s">
        <v>5278</v>
      </c>
      <c r="AC1380" s="0" t="s">
        <v>4162</v>
      </c>
      <c r="AD1380" s="0" t="s">
        <v>4637</v>
      </c>
      <c r="AE1380" s="0" t="s">
        <v>1892</v>
      </c>
      <c r="AF1380" s="0" t="s">
        <v>5403</v>
      </c>
      <c r="AG1380" s="0" t="s">
        <v>1892</v>
      </c>
      <c r="AH1380" s="0" t="s">
        <v>2239</v>
      </c>
      <c r="AL1380" s="0" t="s">
        <v>539</v>
      </c>
    </row>
    <row r="1381" customFormat="false" ht="15" hidden="false" customHeight="false" outlineLevel="0" collapsed="false">
      <c r="A1381" s="0" t="s">
        <v>1401</v>
      </c>
      <c r="B1381" s="0" t="s">
        <v>201</v>
      </c>
      <c r="C1381" s="0" t="s">
        <v>4709</v>
      </c>
      <c r="D1381" s="0" t="n">
        <v>2016</v>
      </c>
      <c r="E1381" s="0" t="s">
        <v>55</v>
      </c>
      <c r="F1381" s="0" t="n">
        <v>492681647</v>
      </c>
      <c r="G1381" s="0" t="s">
        <v>3067</v>
      </c>
      <c r="H1381" s="0" t="s">
        <v>3068</v>
      </c>
      <c r="I1381" s="0" t="n">
        <v>492681.647</v>
      </c>
      <c r="J1381" s="0" t="s">
        <v>4634</v>
      </c>
      <c r="K1381" s="0" t="s">
        <v>2741</v>
      </c>
      <c r="L1381" s="0" t="n">
        <v>2016</v>
      </c>
      <c r="M1381" s="0" t="s">
        <v>2095</v>
      </c>
      <c r="N1381" s="0" t="s">
        <v>205</v>
      </c>
      <c r="O1381" s="0" t="s">
        <v>2510</v>
      </c>
      <c r="P1381" s="0" t="s">
        <v>5404</v>
      </c>
      <c r="Q1381" s="0" t="n">
        <v>29</v>
      </c>
      <c r="R1381" s="0" t="n">
        <v>28</v>
      </c>
      <c r="T1381" s="0" t="s">
        <v>5405</v>
      </c>
      <c r="U1381" s="0" t="s">
        <v>4209</v>
      </c>
      <c r="V1381" s="0" t="s">
        <v>87</v>
      </c>
      <c r="W1381" s="0" t="s">
        <v>5406</v>
      </c>
      <c r="X1381" s="0" t="s">
        <v>5407</v>
      </c>
      <c r="Y1381" s="0" t="s">
        <v>4159</v>
      </c>
      <c r="Z1381" s="0" t="s">
        <v>4160</v>
      </c>
      <c r="AA1381" s="0" t="s">
        <v>5408</v>
      </c>
      <c r="AB1381" s="0" t="s">
        <v>5409</v>
      </c>
      <c r="AC1381" s="0" t="s">
        <v>4162</v>
      </c>
      <c r="AD1381" s="0" t="s">
        <v>4637</v>
      </c>
      <c r="AE1381" s="0" t="s">
        <v>1892</v>
      </c>
      <c r="AF1381" s="0" t="s">
        <v>5410</v>
      </c>
      <c r="AH1381" s="0" t="s">
        <v>2239</v>
      </c>
      <c r="AL1381" s="0" t="s">
        <v>523</v>
      </c>
    </row>
    <row r="1382" customFormat="false" ht="15" hidden="false" customHeight="false" outlineLevel="0" collapsed="false">
      <c r="A1382" s="0" t="s">
        <v>1402</v>
      </c>
      <c r="B1382" s="0" t="s">
        <v>201</v>
      </c>
      <c r="C1382" s="0" t="s">
        <v>4709</v>
      </c>
      <c r="D1382" s="0" t="n">
        <v>2016</v>
      </c>
      <c r="E1382" s="0" t="s">
        <v>56</v>
      </c>
      <c r="F1382" s="0" t="n">
        <v>409574667</v>
      </c>
      <c r="G1382" s="0" t="s">
        <v>3067</v>
      </c>
      <c r="H1382" s="0" t="s">
        <v>3068</v>
      </c>
      <c r="I1382" s="0" t="n">
        <v>409574.667</v>
      </c>
      <c r="J1382" s="0" t="s">
        <v>4634</v>
      </c>
      <c r="K1382" s="0" t="s">
        <v>2741</v>
      </c>
      <c r="L1382" s="0" t="n">
        <v>2016</v>
      </c>
      <c r="M1382" s="0" t="s">
        <v>2095</v>
      </c>
      <c r="N1382" s="0" t="s">
        <v>205</v>
      </c>
      <c r="O1382" s="0" t="s">
        <v>2510</v>
      </c>
      <c r="P1382" s="0" t="s">
        <v>5404</v>
      </c>
      <c r="Q1382" s="0" t="n">
        <v>29</v>
      </c>
      <c r="R1382" s="0" t="n">
        <v>28</v>
      </c>
      <c r="T1382" s="0" t="s">
        <v>5405</v>
      </c>
      <c r="U1382" s="0" t="s">
        <v>4209</v>
      </c>
      <c r="V1382" s="0" t="s">
        <v>87</v>
      </c>
      <c r="W1382" s="0" t="s">
        <v>5411</v>
      </c>
      <c r="X1382" s="0" t="s">
        <v>5407</v>
      </c>
      <c r="Y1382" s="0" t="s">
        <v>4159</v>
      </c>
      <c r="Z1382" s="0" t="s">
        <v>4160</v>
      </c>
      <c r="AA1382" s="0" t="s">
        <v>5412</v>
      </c>
      <c r="AB1382" s="0" t="s">
        <v>5409</v>
      </c>
      <c r="AC1382" s="0" t="s">
        <v>4162</v>
      </c>
      <c r="AD1382" s="0" t="s">
        <v>4637</v>
      </c>
      <c r="AE1382" s="0" t="s">
        <v>1892</v>
      </c>
      <c r="AF1382" s="0" t="s">
        <v>5410</v>
      </c>
      <c r="AH1382" s="0" t="s">
        <v>2239</v>
      </c>
      <c r="AL1382" s="0" t="s">
        <v>523</v>
      </c>
    </row>
    <row r="1383" customFormat="false" ht="15" hidden="false" customHeight="false" outlineLevel="0" collapsed="false">
      <c r="A1383" s="0" t="s">
        <v>1403</v>
      </c>
      <c r="B1383" s="0" t="s">
        <v>201</v>
      </c>
      <c r="C1383" s="0" t="s">
        <v>4709</v>
      </c>
      <c r="D1383" s="0" t="n">
        <v>2016</v>
      </c>
      <c r="E1383" s="0" t="s">
        <v>57</v>
      </c>
      <c r="F1383" s="0" t="n">
        <v>83106980</v>
      </c>
      <c r="G1383" s="0" t="s">
        <v>3067</v>
      </c>
      <c r="H1383" s="0" t="s">
        <v>3068</v>
      </c>
      <c r="I1383" s="0" t="n">
        <v>83106.98</v>
      </c>
      <c r="J1383" s="0" t="s">
        <v>4634</v>
      </c>
      <c r="K1383" s="0" t="s">
        <v>2741</v>
      </c>
      <c r="L1383" s="0" t="n">
        <v>2016</v>
      </c>
      <c r="M1383" s="0" t="s">
        <v>2095</v>
      </c>
      <c r="N1383" s="0" t="s">
        <v>205</v>
      </c>
      <c r="O1383" s="0" t="s">
        <v>2510</v>
      </c>
      <c r="P1383" s="0" t="s">
        <v>5404</v>
      </c>
      <c r="Q1383" s="0" t="n">
        <v>29</v>
      </c>
      <c r="R1383" s="0" t="n">
        <v>28</v>
      </c>
      <c r="T1383" s="0" t="s">
        <v>5405</v>
      </c>
      <c r="U1383" s="0" t="s">
        <v>4209</v>
      </c>
      <c r="V1383" s="0" t="s">
        <v>87</v>
      </c>
      <c r="W1383" s="0" t="s">
        <v>5413</v>
      </c>
      <c r="X1383" s="0" t="s">
        <v>5407</v>
      </c>
      <c r="Y1383" s="0" t="s">
        <v>4159</v>
      </c>
      <c r="Z1383" s="0" t="s">
        <v>4160</v>
      </c>
      <c r="AA1383" s="0" t="s">
        <v>5414</v>
      </c>
      <c r="AB1383" s="0" t="s">
        <v>5409</v>
      </c>
      <c r="AC1383" s="0" t="s">
        <v>4162</v>
      </c>
      <c r="AD1383" s="0" t="s">
        <v>4637</v>
      </c>
      <c r="AE1383" s="0" t="s">
        <v>1892</v>
      </c>
      <c r="AF1383" s="0" t="s">
        <v>5410</v>
      </c>
      <c r="AH1383" s="0" t="s">
        <v>2239</v>
      </c>
      <c r="AL1383" s="0" t="s">
        <v>523</v>
      </c>
    </row>
    <row r="1384" customFormat="false" ht="15" hidden="false" customHeight="false" outlineLevel="0" collapsed="false">
      <c r="A1384" s="0" t="s">
        <v>1400</v>
      </c>
      <c r="B1384" s="0" t="s">
        <v>201</v>
      </c>
      <c r="C1384" s="0" t="s">
        <v>4709</v>
      </c>
      <c r="D1384" s="0" t="n">
        <v>2016</v>
      </c>
      <c r="E1384" s="0" t="s">
        <v>54</v>
      </c>
      <c r="F1384" s="0" t="n">
        <v>2183798</v>
      </c>
      <c r="G1384" s="0" t="s">
        <v>3067</v>
      </c>
      <c r="H1384" s="0" t="s">
        <v>3068</v>
      </c>
      <c r="I1384" s="0" t="n">
        <v>2183.798</v>
      </c>
      <c r="J1384" s="0" t="s">
        <v>4634</v>
      </c>
      <c r="K1384" s="0" t="s">
        <v>2741</v>
      </c>
      <c r="L1384" s="0" t="n">
        <v>2016</v>
      </c>
      <c r="M1384" s="0" t="s">
        <v>2095</v>
      </c>
      <c r="N1384" s="0" t="s">
        <v>205</v>
      </c>
      <c r="O1384" s="0" t="s">
        <v>2510</v>
      </c>
      <c r="P1384" s="0" t="s">
        <v>5404</v>
      </c>
      <c r="Q1384" s="0" t="n">
        <v>27</v>
      </c>
      <c r="R1384" s="0" t="n">
        <v>26</v>
      </c>
      <c r="T1384" s="0" t="n">
        <v>2016</v>
      </c>
      <c r="U1384" s="0" t="s">
        <v>4209</v>
      </c>
      <c r="V1384" s="0" t="s">
        <v>87</v>
      </c>
      <c r="W1384" s="0" t="s">
        <v>5415</v>
      </c>
      <c r="X1384" s="0" t="s">
        <v>5416</v>
      </c>
      <c r="Y1384" s="0" t="s">
        <v>4159</v>
      </c>
      <c r="Z1384" s="0" t="s">
        <v>4160</v>
      </c>
      <c r="AA1384" s="0" t="s">
        <v>5417</v>
      </c>
      <c r="AB1384" s="0" t="s">
        <v>5409</v>
      </c>
      <c r="AC1384" s="0" t="s">
        <v>4162</v>
      </c>
      <c r="AD1384" s="0" t="s">
        <v>4637</v>
      </c>
      <c r="AE1384" s="0" t="s">
        <v>1892</v>
      </c>
      <c r="AF1384" s="0" t="s">
        <v>5410</v>
      </c>
      <c r="AH1384" s="0" t="s">
        <v>2239</v>
      </c>
      <c r="AL1384" s="0" t="s">
        <v>523</v>
      </c>
    </row>
    <row r="1385" customFormat="false" ht="15" hidden="false" customHeight="false" outlineLevel="0" collapsed="false">
      <c r="A1385" s="0" t="s">
        <v>1414</v>
      </c>
      <c r="B1385" s="0" t="s">
        <v>201</v>
      </c>
      <c r="C1385" s="0" t="s">
        <v>4709</v>
      </c>
      <c r="D1385" s="0" t="n">
        <v>2016</v>
      </c>
      <c r="E1385" s="0" t="s">
        <v>541</v>
      </c>
      <c r="F1385" s="0" t="n">
        <v>1816431</v>
      </c>
      <c r="G1385" s="0" t="s">
        <v>3067</v>
      </c>
      <c r="H1385" s="0" t="s">
        <v>3068</v>
      </c>
      <c r="I1385" s="0" t="n">
        <v>1816.431</v>
      </c>
      <c r="J1385" s="0" t="s">
        <v>4634</v>
      </c>
      <c r="K1385" s="0" t="s">
        <v>2741</v>
      </c>
      <c r="L1385" s="0" t="n">
        <v>2016</v>
      </c>
      <c r="M1385" s="0" t="s">
        <v>2095</v>
      </c>
      <c r="N1385" s="0" t="s">
        <v>205</v>
      </c>
      <c r="O1385" s="0" t="s">
        <v>2510</v>
      </c>
      <c r="P1385" s="0" t="s">
        <v>5404</v>
      </c>
      <c r="Q1385" s="0" t="n">
        <v>27</v>
      </c>
      <c r="R1385" s="0" t="n">
        <v>26</v>
      </c>
      <c r="T1385" s="0" t="n">
        <v>2016</v>
      </c>
      <c r="U1385" s="0" t="s">
        <v>4209</v>
      </c>
      <c r="V1385" s="0" t="s">
        <v>87</v>
      </c>
      <c r="W1385" s="0" t="s">
        <v>5418</v>
      </c>
      <c r="X1385" s="0" t="s">
        <v>5416</v>
      </c>
      <c r="Y1385" s="0" t="s">
        <v>4159</v>
      </c>
      <c r="Z1385" s="0" t="s">
        <v>4160</v>
      </c>
      <c r="AA1385" s="0" t="s">
        <v>5419</v>
      </c>
      <c r="AB1385" s="0" t="s">
        <v>5409</v>
      </c>
      <c r="AC1385" s="0" t="s">
        <v>4162</v>
      </c>
      <c r="AD1385" s="0" t="s">
        <v>4637</v>
      </c>
      <c r="AE1385" s="0" t="s">
        <v>1892</v>
      </c>
      <c r="AF1385" s="0" t="s">
        <v>5410</v>
      </c>
      <c r="AH1385" s="0" t="s">
        <v>2239</v>
      </c>
      <c r="AL1385" s="0" t="s">
        <v>523</v>
      </c>
    </row>
    <row r="1386" customFormat="false" ht="15" hidden="false" customHeight="false" outlineLevel="0" collapsed="false">
      <c r="A1386" s="0" t="s">
        <v>1404</v>
      </c>
      <c r="B1386" s="0" t="s">
        <v>201</v>
      </c>
      <c r="C1386" s="0" t="s">
        <v>4709</v>
      </c>
      <c r="D1386" s="0" t="n">
        <v>2016</v>
      </c>
      <c r="E1386" s="0" t="s">
        <v>58</v>
      </c>
      <c r="F1386" s="0" t="n">
        <v>-23320526</v>
      </c>
      <c r="G1386" s="0" t="s">
        <v>3067</v>
      </c>
      <c r="H1386" s="0" t="s">
        <v>3068</v>
      </c>
      <c r="I1386" s="0" t="n">
        <v>-23320.526</v>
      </c>
      <c r="J1386" s="0" t="s">
        <v>4634</v>
      </c>
      <c r="K1386" s="0" t="s">
        <v>2741</v>
      </c>
      <c r="L1386" s="0" t="n">
        <v>2016</v>
      </c>
      <c r="M1386" s="0" t="s">
        <v>2095</v>
      </c>
      <c r="N1386" s="0" t="s">
        <v>205</v>
      </c>
      <c r="O1386" s="0" t="s">
        <v>2510</v>
      </c>
      <c r="P1386" s="0" t="s">
        <v>5404</v>
      </c>
      <c r="Q1386" s="0" t="n">
        <v>31</v>
      </c>
      <c r="R1386" s="0" t="n">
        <v>30</v>
      </c>
      <c r="T1386" s="0" t="n">
        <v>2016</v>
      </c>
      <c r="U1386" s="0" t="s">
        <v>4209</v>
      </c>
      <c r="V1386" s="0" t="s">
        <v>87</v>
      </c>
      <c r="W1386" s="0" t="s">
        <v>5420</v>
      </c>
      <c r="X1386" s="0" t="s">
        <v>5421</v>
      </c>
      <c r="Y1386" s="0" t="s">
        <v>4159</v>
      </c>
      <c r="Z1386" s="0" t="s">
        <v>4160</v>
      </c>
      <c r="AA1386" s="0" t="s">
        <v>5422</v>
      </c>
      <c r="AB1386" s="0" t="s">
        <v>5409</v>
      </c>
      <c r="AC1386" s="0" t="s">
        <v>4162</v>
      </c>
      <c r="AD1386" s="0" t="s">
        <v>4637</v>
      </c>
      <c r="AE1386" s="0" t="s">
        <v>1892</v>
      </c>
      <c r="AF1386" s="0" t="s">
        <v>5410</v>
      </c>
      <c r="AH1386" s="0" t="s">
        <v>2239</v>
      </c>
      <c r="AL1386" s="0" t="s">
        <v>523</v>
      </c>
    </row>
    <row r="1387" customFormat="false" ht="15" hidden="false" customHeight="false" outlineLevel="0" collapsed="false">
      <c r="A1387" s="0" t="s">
        <v>1405</v>
      </c>
      <c r="B1387" s="0" t="s">
        <v>201</v>
      </c>
      <c r="C1387" s="0" t="s">
        <v>4709</v>
      </c>
      <c r="D1387" s="0" t="n">
        <v>2016</v>
      </c>
      <c r="E1387" s="0" t="s">
        <v>59</v>
      </c>
      <c r="F1387" s="0" t="n">
        <v>443321012</v>
      </c>
      <c r="G1387" s="0" t="s">
        <v>3067</v>
      </c>
      <c r="H1387" s="0" t="s">
        <v>3068</v>
      </c>
      <c r="I1387" s="0" t="n">
        <v>443321.012</v>
      </c>
      <c r="J1387" s="0" t="s">
        <v>4634</v>
      </c>
      <c r="K1387" s="0" t="s">
        <v>2741</v>
      </c>
      <c r="L1387" s="0" t="n">
        <v>2016</v>
      </c>
      <c r="M1387" s="0" t="s">
        <v>2095</v>
      </c>
      <c r="N1387" s="0" t="s">
        <v>205</v>
      </c>
      <c r="O1387" s="0" t="s">
        <v>2510</v>
      </c>
      <c r="P1387" s="0" t="s">
        <v>5404</v>
      </c>
      <c r="Q1387" s="0" t="n">
        <v>29</v>
      </c>
      <c r="R1387" s="0" t="n">
        <v>28</v>
      </c>
      <c r="T1387" s="0" t="s">
        <v>5423</v>
      </c>
      <c r="U1387" s="0" t="s">
        <v>4209</v>
      </c>
      <c r="V1387" s="0" t="s">
        <v>87</v>
      </c>
      <c r="W1387" s="0" t="s">
        <v>5406</v>
      </c>
      <c r="X1387" s="0" t="s">
        <v>5407</v>
      </c>
      <c r="Y1387" s="0" t="s">
        <v>4159</v>
      </c>
      <c r="Z1387" s="0" t="s">
        <v>4160</v>
      </c>
      <c r="AA1387" s="0" t="s">
        <v>5424</v>
      </c>
      <c r="AB1387" s="0" t="s">
        <v>5409</v>
      </c>
      <c r="AC1387" s="0" t="s">
        <v>4162</v>
      </c>
      <c r="AD1387" s="0" t="s">
        <v>4637</v>
      </c>
      <c r="AE1387" s="0" t="s">
        <v>1892</v>
      </c>
      <c r="AF1387" s="0" t="s">
        <v>5410</v>
      </c>
      <c r="AH1387" s="0" t="s">
        <v>2239</v>
      </c>
      <c r="AL1387" s="0" t="s">
        <v>523</v>
      </c>
    </row>
    <row r="1388" customFormat="false" ht="15" hidden="false" customHeight="false" outlineLevel="0" collapsed="false">
      <c r="A1388" s="0" t="s">
        <v>1409</v>
      </c>
      <c r="B1388" s="0" t="s">
        <v>201</v>
      </c>
      <c r="C1388" s="0" t="s">
        <v>4709</v>
      </c>
      <c r="D1388" s="0" t="n">
        <v>2016</v>
      </c>
      <c r="E1388" s="0" t="s">
        <v>63</v>
      </c>
      <c r="F1388" s="0" t="n">
        <v>-35948596</v>
      </c>
      <c r="G1388" s="0" t="s">
        <v>3067</v>
      </c>
      <c r="H1388" s="0" t="s">
        <v>3068</v>
      </c>
      <c r="I1388" s="0" t="n">
        <v>35948.596</v>
      </c>
      <c r="J1388" s="0" t="s">
        <v>4634</v>
      </c>
      <c r="K1388" s="0" t="s">
        <v>2741</v>
      </c>
      <c r="L1388" s="0" t="n">
        <v>2016</v>
      </c>
      <c r="M1388" s="0" t="s">
        <v>2095</v>
      </c>
      <c r="N1388" s="0" t="s">
        <v>205</v>
      </c>
      <c r="O1388" s="0" t="s">
        <v>2510</v>
      </c>
      <c r="P1388" s="0" t="s">
        <v>5404</v>
      </c>
      <c r="Q1388" s="0" t="n">
        <v>27</v>
      </c>
      <c r="R1388" s="0" t="n">
        <v>26</v>
      </c>
      <c r="S1388" s="0" t="n">
        <v>12</v>
      </c>
      <c r="T1388" s="0" t="n">
        <v>2016</v>
      </c>
      <c r="U1388" s="0" t="s">
        <v>4209</v>
      </c>
      <c r="V1388" s="0" t="s">
        <v>87</v>
      </c>
      <c r="W1388" s="0" t="s">
        <v>5425</v>
      </c>
      <c r="X1388" s="0" t="s">
        <v>5416</v>
      </c>
      <c r="Y1388" s="0" t="s">
        <v>4159</v>
      </c>
      <c r="Z1388" s="0" t="s">
        <v>4160</v>
      </c>
      <c r="AA1388" s="0" t="s">
        <v>5426</v>
      </c>
      <c r="AB1388" s="0" t="s">
        <v>5409</v>
      </c>
      <c r="AC1388" s="0" t="s">
        <v>4162</v>
      </c>
      <c r="AD1388" s="0" t="s">
        <v>4637</v>
      </c>
      <c r="AE1388" s="0" t="s">
        <v>1892</v>
      </c>
      <c r="AF1388" s="0" t="s">
        <v>5410</v>
      </c>
      <c r="AH1388" s="0" t="s">
        <v>4174</v>
      </c>
      <c r="AI1388" s="0" t="s">
        <v>5427</v>
      </c>
      <c r="AL1388" s="0" t="s">
        <v>523</v>
      </c>
    </row>
    <row r="1389" customFormat="false" ht="15" hidden="false" customHeight="false" outlineLevel="0" collapsed="false">
      <c r="A1389" s="0" t="s">
        <v>1406</v>
      </c>
      <c r="B1389" s="0" t="s">
        <v>201</v>
      </c>
      <c r="C1389" s="0" t="s">
        <v>4709</v>
      </c>
      <c r="D1389" s="0" t="n">
        <v>2016</v>
      </c>
      <c r="E1389" s="0" t="s">
        <v>60</v>
      </c>
      <c r="F1389" s="0" t="n">
        <v>378758599</v>
      </c>
      <c r="G1389" s="0" t="s">
        <v>3067</v>
      </c>
      <c r="H1389" s="0" t="s">
        <v>3068</v>
      </c>
      <c r="I1389" s="0" t="n">
        <v>378758.599</v>
      </c>
      <c r="J1389" s="0" t="s">
        <v>4634</v>
      </c>
      <c r="K1389" s="0" t="s">
        <v>2741</v>
      </c>
      <c r="L1389" s="0" t="n">
        <v>2016</v>
      </c>
      <c r="M1389" s="0" t="s">
        <v>2095</v>
      </c>
      <c r="N1389" s="0" t="s">
        <v>205</v>
      </c>
      <c r="O1389" s="0" t="s">
        <v>2510</v>
      </c>
      <c r="P1389" s="0" t="s">
        <v>5404</v>
      </c>
      <c r="Q1389" s="0" t="n">
        <v>53</v>
      </c>
      <c r="R1389" s="0" t="n">
        <v>52</v>
      </c>
      <c r="S1389" s="0" t="s">
        <v>5428</v>
      </c>
      <c r="T1389" s="0" t="s">
        <v>5405</v>
      </c>
      <c r="U1389" s="0" t="s">
        <v>4209</v>
      </c>
      <c r="V1389" s="0" t="s">
        <v>87</v>
      </c>
      <c r="W1389" s="0" t="s">
        <v>5429</v>
      </c>
      <c r="X1389" s="0" t="s">
        <v>5430</v>
      </c>
      <c r="Y1389" s="0" t="s">
        <v>4159</v>
      </c>
      <c r="Z1389" s="0" t="s">
        <v>4160</v>
      </c>
      <c r="AA1389" s="0" t="s">
        <v>5431</v>
      </c>
      <c r="AB1389" s="0" t="s">
        <v>5409</v>
      </c>
      <c r="AC1389" s="0" t="s">
        <v>4162</v>
      </c>
      <c r="AD1389" s="0" t="s">
        <v>4637</v>
      </c>
      <c r="AE1389" s="0" t="s">
        <v>1892</v>
      </c>
      <c r="AF1389" s="0" t="s">
        <v>5410</v>
      </c>
      <c r="AH1389" s="0" t="s">
        <v>2239</v>
      </c>
      <c r="AL1389" s="0" t="s">
        <v>523</v>
      </c>
    </row>
    <row r="1390" customFormat="false" ht="15" hidden="false" customHeight="false" outlineLevel="0" collapsed="false">
      <c r="A1390" s="0" t="s">
        <v>1407</v>
      </c>
      <c r="B1390" s="0" t="s">
        <v>201</v>
      </c>
      <c r="C1390" s="0" t="s">
        <v>4709</v>
      </c>
      <c r="D1390" s="0" t="n">
        <v>2016</v>
      </c>
      <c r="E1390" s="0" t="s">
        <v>61</v>
      </c>
      <c r="F1390" s="0" t="n">
        <v>-101544079</v>
      </c>
      <c r="G1390" s="0" t="s">
        <v>3067</v>
      </c>
      <c r="H1390" s="0" t="s">
        <v>3068</v>
      </c>
      <c r="I1390" s="0" t="n">
        <v>101544.079</v>
      </c>
      <c r="J1390" s="0" t="s">
        <v>4634</v>
      </c>
      <c r="K1390" s="0" t="s">
        <v>2741</v>
      </c>
      <c r="L1390" s="0" t="n">
        <v>2016</v>
      </c>
      <c r="M1390" s="0" t="s">
        <v>2095</v>
      </c>
      <c r="N1390" s="0" t="s">
        <v>205</v>
      </c>
      <c r="O1390" s="0" t="s">
        <v>2510</v>
      </c>
      <c r="P1390" s="0" t="s">
        <v>5404</v>
      </c>
      <c r="Q1390" s="0" t="n">
        <v>53</v>
      </c>
      <c r="R1390" s="0" t="n">
        <v>52</v>
      </c>
      <c r="S1390" s="0" t="s">
        <v>5428</v>
      </c>
      <c r="T1390" s="0" t="s">
        <v>5405</v>
      </c>
      <c r="U1390" s="0" t="s">
        <v>4209</v>
      </c>
      <c r="V1390" s="0" t="s">
        <v>87</v>
      </c>
      <c r="W1390" s="0" t="s">
        <v>5432</v>
      </c>
      <c r="X1390" s="0" t="s">
        <v>5430</v>
      </c>
      <c r="Y1390" s="0" t="s">
        <v>4159</v>
      </c>
      <c r="Z1390" s="0" t="s">
        <v>4160</v>
      </c>
      <c r="AA1390" s="0" t="s">
        <v>5433</v>
      </c>
      <c r="AB1390" s="0" t="s">
        <v>5409</v>
      </c>
      <c r="AC1390" s="0" t="s">
        <v>4162</v>
      </c>
      <c r="AD1390" s="0" t="s">
        <v>4637</v>
      </c>
      <c r="AE1390" s="0" t="s">
        <v>1892</v>
      </c>
      <c r="AF1390" s="0" t="s">
        <v>5410</v>
      </c>
      <c r="AH1390" s="0" t="s">
        <v>4174</v>
      </c>
      <c r="AI1390" s="0" t="s">
        <v>5427</v>
      </c>
      <c r="AL1390" s="0" t="s">
        <v>523</v>
      </c>
    </row>
    <row r="1391" customFormat="false" ht="15" hidden="false" customHeight="false" outlineLevel="0" collapsed="false">
      <c r="A1391" s="0" t="s">
        <v>1415</v>
      </c>
      <c r="B1391" s="0" t="s">
        <v>201</v>
      </c>
      <c r="C1391" s="0" t="s">
        <v>4709</v>
      </c>
      <c r="D1391" s="0" t="n">
        <v>2016</v>
      </c>
      <c r="E1391" s="0" t="s">
        <v>543</v>
      </c>
      <c r="F1391" s="0" t="n">
        <v>93090028</v>
      </c>
      <c r="G1391" s="0" t="s">
        <v>3067</v>
      </c>
      <c r="H1391" s="0" t="s">
        <v>3068</v>
      </c>
      <c r="I1391" s="0" t="n">
        <v>93090.028</v>
      </c>
      <c r="J1391" s="0" t="s">
        <v>4634</v>
      </c>
      <c r="K1391" s="0" t="s">
        <v>2741</v>
      </c>
      <c r="L1391" s="0" t="n">
        <v>2016</v>
      </c>
      <c r="M1391" s="0" t="s">
        <v>2095</v>
      </c>
      <c r="N1391" s="0" t="s">
        <v>205</v>
      </c>
      <c r="O1391" s="0" t="s">
        <v>2510</v>
      </c>
      <c r="P1391" s="0" t="s">
        <v>5404</v>
      </c>
      <c r="Q1391" s="0" t="n">
        <v>53</v>
      </c>
      <c r="R1391" s="0" t="n">
        <v>52</v>
      </c>
      <c r="S1391" s="0" t="s">
        <v>5434</v>
      </c>
      <c r="T1391" s="0" t="s">
        <v>5405</v>
      </c>
      <c r="U1391" s="0" t="s">
        <v>4209</v>
      </c>
      <c r="V1391" s="0" t="s">
        <v>87</v>
      </c>
      <c r="W1391" s="0" t="s">
        <v>5435</v>
      </c>
      <c r="X1391" s="0" t="s">
        <v>5430</v>
      </c>
      <c r="Y1391" s="0" t="s">
        <v>4159</v>
      </c>
      <c r="Z1391" s="0" t="s">
        <v>4160</v>
      </c>
      <c r="AA1391" s="0" t="s">
        <v>5436</v>
      </c>
      <c r="AB1391" s="0" t="s">
        <v>5409</v>
      </c>
      <c r="AC1391" s="0" t="s">
        <v>4162</v>
      </c>
      <c r="AD1391" s="0" t="s">
        <v>4637</v>
      </c>
      <c r="AE1391" s="0" t="s">
        <v>1892</v>
      </c>
      <c r="AF1391" s="0" t="s">
        <v>5410</v>
      </c>
      <c r="AH1391" s="0" t="s">
        <v>2239</v>
      </c>
      <c r="AL1391" s="0" t="s">
        <v>523</v>
      </c>
    </row>
    <row r="1392" customFormat="false" ht="15" hidden="false" customHeight="false" outlineLevel="0" collapsed="false">
      <c r="A1392" s="0" t="s">
        <v>1416</v>
      </c>
      <c r="B1392" s="0" t="s">
        <v>201</v>
      </c>
      <c r="C1392" s="0" t="s">
        <v>4709</v>
      </c>
      <c r="D1392" s="0" t="n">
        <v>2016</v>
      </c>
      <c r="E1392" s="0" t="s">
        <v>545</v>
      </c>
      <c r="F1392" s="0" t="n">
        <v>8454051</v>
      </c>
      <c r="G1392" s="0" t="s">
        <v>3067</v>
      </c>
      <c r="H1392" s="0" t="s">
        <v>3068</v>
      </c>
      <c r="I1392" s="0" t="n">
        <v>8454.051</v>
      </c>
      <c r="J1392" s="0" t="s">
        <v>4634</v>
      </c>
      <c r="K1392" s="0" t="s">
        <v>2741</v>
      </c>
      <c r="L1392" s="0" t="n">
        <v>2016</v>
      </c>
      <c r="M1392" s="0" t="s">
        <v>2095</v>
      </c>
      <c r="N1392" s="0" t="s">
        <v>205</v>
      </c>
      <c r="O1392" s="0" t="s">
        <v>2510</v>
      </c>
      <c r="P1392" s="0" t="s">
        <v>5404</v>
      </c>
      <c r="Q1392" s="0" t="n">
        <v>53</v>
      </c>
      <c r="R1392" s="0" t="n">
        <v>52</v>
      </c>
      <c r="S1392" s="0" t="s">
        <v>5434</v>
      </c>
      <c r="T1392" s="0" t="s">
        <v>5405</v>
      </c>
      <c r="U1392" s="0" t="s">
        <v>4209</v>
      </c>
      <c r="V1392" s="0" t="s">
        <v>87</v>
      </c>
      <c r="W1392" s="0" t="s">
        <v>5437</v>
      </c>
      <c r="X1392" s="0" t="s">
        <v>5430</v>
      </c>
      <c r="Y1392" s="0" t="s">
        <v>4159</v>
      </c>
      <c r="Z1392" s="0" t="s">
        <v>4160</v>
      </c>
      <c r="AA1392" s="0" t="s">
        <v>5438</v>
      </c>
      <c r="AB1392" s="0" t="s">
        <v>5409</v>
      </c>
      <c r="AC1392" s="0" t="s">
        <v>4162</v>
      </c>
      <c r="AD1392" s="0" t="s">
        <v>4637</v>
      </c>
      <c r="AE1392" s="0" t="s">
        <v>1892</v>
      </c>
      <c r="AF1392" s="0" t="s">
        <v>5410</v>
      </c>
      <c r="AH1392" s="0" t="s">
        <v>2239</v>
      </c>
      <c r="AL1392" s="0" t="s">
        <v>523</v>
      </c>
    </row>
    <row r="1393" customFormat="false" ht="15" hidden="false" customHeight="false" outlineLevel="0" collapsed="false">
      <c r="A1393" s="0" t="s">
        <v>1408</v>
      </c>
      <c r="B1393" s="0" t="s">
        <v>201</v>
      </c>
      <c r="C1393" s="0" t="s">
        <v>4709</v>
      </c>
      <c r="D1393" s="0" t="n">
        <v>2016</v>
      </c>
      <c r="E1393" s="0" t="s">
        <v>62</v>
      </c>
      <c r="F1393" s="0" t="n">
        <v>277214521</v>
      </c>
      <c r="G1393" s="0" t="s">
        <v>3067</v>
      </c>
      <c r="H1393" s="0" t="s">
        <v>3068</v>
      </c>
      <c r="I1393" s="0" t="n">
        <v>277214.521</v>
      </c>
      <c r="J1393" s="0" t="s">
        <v>4634</v>
      </c>
      <c r="K1393" s="0" t="s">
        <v>2741</v>
      </c>
      <c r="L1393" s="0" t="n">
        <v>2016</v>
      </c>
      <c r="M1393" s="0" t="s">
        <v>2095</v>
      </c>
      <c r="N1393" s="0" t="s">
        <v>205</v>
      </c>
      <c r="O1393" s="0" t="s">
        <v>2510</v>
      </c>
      <c r="P1393" s="0" t="s">
        <v>5404</v>
      </c>
      <c r="Q1393" s="0" t="n">
        <v>29</v>
      </c>
      <c r="R1393" s="0" t="n">
        <v>28</v>
      </c>
      <c r="S1393" s="0" t="n">
        <v>19</v>
      </c>
      <c r="T1393" s="0" t="s">
        <v>5405</v>
      </c>
      <c r="U1393" s="0" t="s">
        <v>4209</v>
      </c>
      <c r="V1393" s="0" t="s">
        <v>87</v>
      </c>
      <c r="W1393" s="0" t="s">
        <v>5439</v>
      </c>
      <c r="X1393" s="0" t="s">
        <v>5407</v>
      </c>
      <c r="Y1393" s="0" t="s">
        <v>4159</v>
      </c>
      <c r="Z1393" s="0" t="s">
        <v>4160</v>
      </c>
      <c r="AA1393" s="0" t="s">
        <v>5440</v>
      </c>
      <c r="AB1393" s="0" t="s">
        <v>5409</v>
      </c>
      <c r="AC1393" s="0" t="s">
        <v>4162</v>
      </c>
      <c r="AD1393" s="0" t="s">
        <v>4637</v>
      </c>
      <c r="AE1393" s="0" t="s">
        <v>1892</v>
      </c>
      <c r="AF1393" s="0" t="s">
        <v>5410</v>
      </c>
      <c r="AH1393" s="0" t="s">
        <v>2239</v>
      </c>
      <c r="AL1393" s="0" t="s">
        <v>523</v>
      </c>
    </row>
    <row r="1394" customFormat="false" ht="15" hidden="false" customHeight="false" outlineLevel="0" collapsed="false">
      <c r="A1394" s="0" t="s">
        <v>1411</v>
      </c>
      <c r="B1394" s="0" t="s">
        <v>201</v>
      </c>
      <c r="C1394" s="0" t="s">
        <v>4709</v>
      </c>
      <c r="D1394" s="0" t="n">
        <v>2016</v>
      </c>
      <c r="E1394" s="0" t="s">
        <v>65</v>
      </c>
      <c r="F1394" s="0" t="n">
        <v>-217551640</v>
      </c>
      <c r="G1394" s="0" t="s">
        <v>3067</v>
      </c>
      <c r="H1394" s="0" t="s">
        <v>3068</v>
      </c>
      <c r="I1394" s="0" t="n">
        <v>-217551.64</v>
      </c>
      <c r="J1394" s="0" t="s">
        <v>4634</v>
      </c>
      <c r="K1394" s="0" t="s">
        <v>2741</v>
      </c>
      <c r="L1394" s="0" t="n">
        <v>2016</v>
      </c>
      <c r="M1394" s="0" t="s">
        <v>2095</v>
      </c>
      <c r="N1394" s="0" t="s">
        <v>205</v>
      </c>
      <c r="O1394" s="0" t="s">
        <v>2510</v>
      </c>
      <c r="P1394" s="0" t="s">
        <v>5404</v>
      </c>
      <c r="Q1394" s="0" t="n">
        <v>73</v>
      </c>
      <c r="R1394" s="0" t="n">
        <v>72</v>
      </c>
      <c r="S1394" s="0" t="n">
        <v>41</v>
      </c>
      <c r="T1394" s="0" t="s">
        <v>5405</v>
      </c>
      <c r="U1394" s="0" t="s">
        <v>4209</v>
      </c>
      <c r="V1394" s="0" t="s">
        <v>87</v>
      </c>
      <c r="W1394" s="0" t="s">
        <v>5441</v>
      </c>
      <c r="X1394" s="0" t="s">
        <v>5442</v>
      </c>
      <c r="Y1394" s="0" t="s">
        <v>4159</v>
      </c>
      <c r="Z1394" s="0" t="s">
        <v>4160</v>
      </c>
      <c r="AA1394" s="0" t="s">
        <v>5443</v>
      </c>
      <c r="AB1394" s="0" t="s">
        <v>5409</v>
      </c>
      <c r="AC1394" s="0" t="s">
        <v>4162</v>
      </c>
      <c r="AD1394" s="0" t="s">
        <v>4637</v>
      </c>
      <c r="AE1394" s="0" t="s">
        <v>1892</v>
      </c>
      <c r="AF1394" s="0" t="s">
        <v>5410</v>
      </c>
      <c r="AH1394" s="0" t="s">
        <v>2239</v>
      </c>
      <c r="AL1394" s="0" t="s">
        <v>523</v>
      </c>
    </row>
    <row r="1395" customFormat="false" ht="15" hidden="false" customHeight="false" outlineLevel="0" collapsed="false">
      <c r="A1395" s="0" t="s">
        <v>1412</v>
      </c>
      <c r="B1395" s="0" t="s">
        <v>201</v>
      </c>
      <c r="C1395" s="0" t="s">
        <v>4709</v>
      </c>
      <c r="D1395" s="0" t="n">
        <v>2016</v>
      </c>
      <c r="E1395" s="0" t="s">
        <v>66</v>
      </c>
      <c r="F1395" s="0" t="n">
        <v>463106398</v>
      </c>
      <c r="G1395" s="0" t="s">
        <v>3067</v>
      </c>
      <c r="H1395" s="0" t="s">
        <v>3068</v>
      </c>
      <c r="I1395" s="0" t="n">
        <v>463106.398</v>
      </c>
      <c r="J1395" s="0" t="s">
        <v>4634</v>
      </c>
      <c r="K1395" s="0" t="s">
        <v>2741</v>
      </c>
      <c r="L1395" s="0" t="n">
        <v>2016</v>
      </c>
      <c r="M1395" s="0" t="s">
        <v>2095</v>
      </c>
      <c r="N1395" s="0" t="s">
        <v>205</v>
      </c>
      <c r="O1395" s="0" t="s">
        <v>2510</v>
      </c>
      <c r="P1395" s="0" t="s">
        <v>5404</v>
      </c>
      <c r="Q1395" s="0" t="n">
        <v>73</v>
      </c>
      <c r="R1395" s="0" t="n">
        <v>72</v>
      </c>
      <c r="S1395" s="0" t="n">
        <v>41</v>
      </c>
      <c r="T1395" s="0" t="s">
        <v>5405</v>
      </c>
      <c r="U1395" s="0" t="s">
        <v>4209</v>
      </c>
      <c r="V1395" s="0" t="s">
        <v>87</v>
      </c>
      <c r="W1395" s="0" t="s">
        <v>5444</v>
      </c>
      <c r="X1395" s="0" t="s">
        <v>5442</v>
      </c>
      <c r="Y1395" s="0" t="s">
        <v>4159</v>
      </c>
      <c r="Z1395" s="0" t="s">
        <v>4160</v>
      </c>
      <c r="AA1395" s="0" t="s">
        <v>5445</v>
      </c>
      <c r="AB1395" s="0" t="s">
        <v>5409</v>
      </c>
      <c r="AC1395" s="0" t="s">
        <v>4162</v>
      </c>
      <c r="AD1395" s="0" t="s">
        <v>4637</v>
      </c>
      <c r="AE1395" s="0" t="s">
        <v>1892</v>
      </c>
      <c r="AF1395" s="0" t="s">
        <v>5410</v>
      </c>
      <c r="AH1395" s="0" t="s">
        <v>2239</v>
      </c>
      <c r="AL1395" s="0" t="s">
        <v>523</v>
      </c>
    </row>
    <row r="1396" customFormat="false" ht="15" hidden="false" customHeight="false" outlineLevel="0" collapsed="false">
      <c r="A1396" s="0" t="s">
        <v>1410</v>
      </c>
      <c r="B1396" s="0" t="s">
        <v>201</v>
      </c>
      <c r="C1396" s="0" t="s">
        <v>4709</v>
      </c>
      <c r="D1396" s="0" t="n">
        <v>2016</v>
      </c>
      <c r="E1396" s="0" t="s">
        <v>69</v>
      </c>
      <c r="F1396" s="0" t="s">
        <v>5446</v>
      </c>
      <c r="G1396" s="0" t="s">
        <v>3143</v>
      </c>
      <c r="I1396" s="0" t="n">
        <v>-46.98</v>
      </c>
      <c r="J1396" s="0" t="s">
        <v>4634</v>
      </c>
      <c r="K1396" s="0" t="s">
        <v>2741</v>
      </c>
      <c r="L1396" s="0" t="n">
        <v>2016</v>
      </c>
      <c r="M1396" s="0" t="s">
        <v>2095</v>
      </c>
      <c r="N1396" s="0" t="s">
        <v>205</v>
      </c>
      <c r="O1396" s="0" t="s">
        <v>2510</v>
      </c>
      <c r="P1396" s="0" t="s">
        <v>5404</v>
      </c>
      <c r="Q1396" s="0" t="n">
        <v>73</v>
      </c>
      <c r="R1396" s="0" t="n">
        <v>72</v>
      </c>
      <c r="S1396" s="0" t="n">
        <v>41</v>
      </c>
      <c r="T1396" s="0" t="s">
        <v>5405</v>
      </c>
      <c r="U1396" s="0" t="s">
        <v>4209</v>
      </c>
      <c r="V1396" s="0" t="s">
        <v>87</v>
      </c>
      <c r="W1396" s="0" t="s">
        <v>5447</v>
      </c>
      <c r="X1396" s="0" t="s">
        <v>5442</v>
      </c>
      <c r="Y1396" s="0" t="s">
        <v>4159</v>
      </c>
      <c r="Z1396" s="0" t="s">
        <v>4160</v>
      </c>
      <c r="AA1396" s="0" t="s">
        <v>5448</v>
      </c>
      <c r="AB1396" s="0" t="s">
        <v>5409</v>
      </c>
      <c r="AC1396" s="0" t="s">
        <v>4162</v>
      </c>
      <c r="AD1396" s="0" t="s">
        <v>4637</v>
      </c>
      <c r="AE1396" s="0" t="s">
        <v>1892</v>
      </c>
      <c r="AF1396" s="0" t="s">
        <v>5410</v>
      </c>
      <c r="AH1396" s="0" t="s">
        <v>2239</v>
      </c>
      <c r="AL1396" s="0" t="s">
        <v>523</v>
      </c>
    </row>
    <row r="1397" customFormat="false" ht="15" hidden="false" customHeight="false" outlineLevel="0" collapsed="false">
      <c r="A1397" s="0" t="s">
        <v>1413</v>
      </c>
      <c r="B1397" s="0" t="s">
        <v>201</v>
      </c>
      <c r="C1397" s="0" t="s">
        <v>4709</v>
      </c>
      <c r="D1397" s="0" t="n">
        <v>2016</v>
      </c>
      <c r="E1397" s="0" t="s">
        <v>73</v>
      </c>
      <c r="F1397" s="0" t="n">
        <v>0</v>
      </c>
      <c r="G1397" s="0" t="s">
        <v>4257</v>
      </c>
      <c r="I1397" s="0" t="n">
        <v>0</v>
      </c>
      <c r="J1397" s="0" t="s">
        <v>4687</v>
      </c>
      <c r="K1397" s="0" t="s">
        <v>2741</v>
      </c>
      <c r="L1397" s="0" t="n">
        <v>2016</v>
      </c>
      <c r="M1397" s="0" t="s">
        <v>2095</v>
      </c>
      <c r="N1397" s="0" t="s">
        <v>205</v>
      </c>
      <c r="O1397" s="0" t="s">
        <v>2510</v>
      </c>
      <c r="P1397" s="0" t="s">
        <v>5404</v>
      </c>
      <c r="Q1397" s="0" t="n">
        <v>22</v>
      </c>
      <c r="S1397" s="0" t="s">
        <v>5121</v>
      </c>
      <c r="T1397" s="0" t="s">
        <v>5449</v>
      </c>
      <c r="U1397" s="0" t="s">
        <v>4209</v>
      </c>
      <c r="V1397" s="0" t="s">
        <v>87</v>
      </c>
      <c r="W1397" s="0" t="s">
        <v>4803</v>
      </c>
      <c r="X1397" s="0" t="s">
        <v>5450</v>
      </c>
      <c r="Y1397" s="0" t="s">
        <v>4212</v>
      </c>
      <c r="Z1397" s="0" t="s">
        <v>4160</v>
      </c>
      <c r="AA1397" s="0" t="s">
        <v>5451</v>
      </c>
      <c r="AB1397" s="0" t="s">
        <v>5409</v>
      </c>
      <c r="AC1397" s="0" t="s">
        <v>4162</v>
      </c>
      <c r="AD1397" s="0" t="s">
        <v>4637</v>
      </c>
      <c r="AE1397" s="0" t="s">
        <v>1892</v>
      </c>
      <c r="AF1397" s="0" t="s">
        <v>5410</v>
      </c>
      <c r="AG1397" s="0" t="s">
        <v>1892</v>
      </c>
      <c r="AH1397" s="0" t="s">
        <v>2239</v>
      </c>
      <c r="AL1397" s="0" t="s">
        <v>539</v>
      </c>
    </row>
    <row r="1398" customFormat="false" ht="15" hidden="false" customHeight="false" outlineLevel="0" collapsed="false">
      <c r="A1398" s="0" t="s">
        <v>1445</v>
      </c>
      <c r="B1398" s="0" t="s">
        <v>201</v>
      </c>
      <c r="C1398" s="0" t="s">
        <v>4709</v>
      </c>
      <c r="D1398" s="0" t="n">
        <v>2021</v>
      </c>
      <c r="E1398" s="0" t="s">
        <v>55</v>
      </c>
      <c r="F1398" s="0" t="n">
        <v>538868755</v>
      </c>
      <c r="G1398" s="0" t="s">
        <v>3067</v>
      </c>
      <c r="H1398" s="0" t="s">
        <v>3068</v>
      </c>
      <c r="I1398" s="0" t="n">
        <v>538868.755</v>
      </c>
      <c r="J1398" s="0" t="s">
        <v>4634</v>
      </c>
      <c r="K1398" s="0" t="s">
        <v>2744</v>
      </c>
      <c r="L1398" s="0" t="n">
        <v>2021</v>
      </c>
      <c r="M1398" s="0" t="s">
        <v>2106</v>
      </c>
      <c r="N1398" s="0" t="s">
        <v>208</v>
      </c>
      <c r="O1398" s="0" t="s">
        <v>2513</v>
      </c>
      <c r="P1398" s="0" t="s">
        <v>5452</v>
      </c>
      <c r="Q1398" s="0" t="n">
        <v>25</v>
      </c>
      <c r="S1398" s="0" t="s">
        <v>5453</v>
      </c>
      <c r="T1398" s="0" t="s">
        <v>5454</v>
      </c>
      <c r="U1398" s="0" t="s">
        <v>4303</v>
      </c>
      <c r="V1398" s="0" t="s">
        <v>97</v>
      </c>
      <c r="W1398" s="0" t="s">
        <v>5455</v>
      </c>
      <c r="X1398" s="0" t="s">
        <v>5456</v>
      </c>
      <c r="Y1398" s="0" t="s">
        <v>4159</v>
      </c>
      <c r="Z1398" s="0" t="s">
        <v>4160</v>
      </c>
      <c r="AA1398" s="0" t="s">
        <v>5457</v>
      </c>
      <c r="AB1398" s="0" t="s">
        <v>5458</v>
      </c>
      <c r="AC1398" s="0" t="s">
        <v>4162</v>
      </c>
      <c r="AD1398" s="0" t="s">
        <v>4637</v>
      </c>
      <c r="AE1398" s="0" t="s">
        <v>1892</v>
      </c>
      <c r="AF1398" s="0" t="s">
        <v>5459</v>
      </c>
      <c r="AH1398" s="0" t="s">
        <v>2239</v>
      </c>
      <c r="AL1398" s="0" t="s">
        <v>523</v>
      </c>
    </row>
    <row r="1399" customFormat="false" ht="15" hidden="false" customHeight="false" outlineLevel="0" collapsed="false">
      <c r="A1399" s="0" t="s">
        <v>1446</v>
      </c>
      <c r="B1399" s="0" t="s">
        <v>201</v>
      </c>
      <c r="C1399" s="0" t="s">
        <v>4709</v>
      </c>
      <c r="D1399" s="0" t="n">
        <v>2021</v>
      </c>
      <c r="E1399" s="0" t="s">
        <v>56</v>
      </c>
      <c r="F1399" s="0" t="n">
        <v>815022210</v>
      </c>
      <c r="G1399" s="0" t="s">
        <v>3067</v>
      </c>
      <c r="H1399" s="0" t="s">
        <v>3068</v>
      </c>
      <c r="I1399" s="0" t="n">
        <v>815022.21</v>
      </c>
      <c r="J1399" s="0" t="s">
        <v>4634</v>
      </c>
      <c r="K1399" s="0" t="s">
        <v>2744</v>
      </c>
      <c r="L1399" s="0" t="n">
        <v>2021</v>
      </c>
      <c r="M1399" s="0" t="s">
        <v>2106</v>
      </c>
      <c r="N1399" s="0" t="s">
        <v>208</v>
      </c>
      <c r="O1399" s="0" t="s">
        <v>2513</v>
      </c>
      <c r="P1399" s="0" t="s">
        <v>5452</v>
      </c>
      <c r="Q1399" s="0" t="n">
        <v>25</v>
      </c>
      <c r="S1399" s="0" t="s">
        <v>5453</v>
      </c>
      <c r="T1399" s="0" t="s">
        <v>5454</v>
      </c>
      <c r="U1399" s="0" t="s">
        <v>4303</v>
      </c>
      <c r="V1399" s="0" t="s">
        <v>97</v>
      </c>
      <c r="W1399" s="0" t="s">
        <v>5460</v>
      </c>
      <c r="X1399" s="0" t="s">
        <v>5456</v>
      </c>
      <c r="Y1399" s="0" t="s">
        <v>4159</v>
      </c>
      <c r="Z1399" s="0" t="s">
        <v>4160</v>
      </c>
      <c r="AA1399" s="0" t="s">
        <v>5461</v>
      </c>
      <c r="AB1399" s="0" t="s">
        <v>5458</v>
      </c>
      <c r="AC1399" s="0" t="s">
        <v>4162</v>
      </c>
      <c r="AD1399" s="0" t="s">
        <v>4637</v>
      </c>
      <c r="AE1399" s="0" t="s">
        <v>1892</v>
      </c>
      <c r="AF1399" s="0" t="s">
        <v>5459</v>
      </c>
      <c r="AH1399" s="0" t="s">
        <v>2239</v>
      </c>
      <c r="AL1399" s="0" t="s">
        <v>523</v>
      </c>
    </row>
    <row r="1400" customFormat="false" ht="15" hidden="false" customHeight="false" outlineLevel="0" collapsed="false">
      <c r="A1400" s="0" t="s">
        <v>1447</v>
      </c>
      <c r="B1400" s="0" t="s">
        <v>201</v>
      </c>
      <c r="C1400" s="0" t="s">
        <v>4709</v>
      </c>
      <c r="D1400" s="0" t="n">
        <v>2021</v>
      </c>
      <c r="E1400" s="0" t="s">
        <v>57</v>
      </c>
      <c r="F1400" s="0" t="n">
        <v>-276153455</v>
      </c>
      <c r="G1400" s="0" t="s">
        <v>3067</v>
      </c>
      <c r="H1400" s="0" t="s">
        <v>3068</v>
      </c>
      <c r="I1400" s="0" t="n">
        <v>-276153.455</v>
      </c>
      <c r="J1400" s="0" t="s">
        <v>4634</v>
      </c>
      <c r="K1400" s="0" t="s">
        <v>2744</v>
      </c>
      <c r="L1400" s="0" t="n">
        <v>2021</v>
      </c>
      <c r="M1400" s="0" t="s">
        <v>2106</v>
      </c>
      <c r="N1400" s="0" t="s">
        <v>208</v>
      </c>
      <c r="O1400" s="0" t="s">
        <v>2513</v>
      </c>
      <c r="P1400" s="0" t="s">
        <v>5452</v>
      </c>
      <c r="Q1400" s="0" t="n">
        <v>25</v>
      </c>
      <c r="S1400" s="0" t="s">
        <v>5453</v>
      </c>
      <c r="T1400" s="0" t="s">
        <v>5454</v>
      </c>
      <c r="U1400" s="0" t="s">
        <v>4303</v>
      </c>
      <c r="V1400" s="0" t="s">
        <v>97</v>
      </c>
      <c r="W1400" s="0" t="s">
        <v>5462</v>
      </c>
      <c r="X1400" s="0" t="s">
        <v>5456</v>
      </c>
      <c r="Y1400" s="0" t="s">
        <v>4159</v>
      </c>
      <c r="Z1400" s="0" t="s">
        <v>4160</v>
      </c>
      <c r="AA1400" s="0" t="s">
        <v>5463</v>
      </c>
      <c r="AB1400" s="0" t="s">
        <v>5458</v>
      </c>
      <c r="AC1400" s="0" t="s">
        <v>4162</v>
      </c>
      <c r="AD1400" s="0" t="s">
        <v>4637</v>
      </c>
      <c r="AE1400" s="0" t="s">
        <v>1892</v>
      </c>
      <c r="AF1400" s="0" t="s">
        <v>5459</v>
      </c>
      <c r="AH1400" s="0" t="s">
        <v>2239</v>
      </c>
      <c r="AL1400" s="0" t="s">
        <v>523</v>
      </c>
    </row>
    <row r="1401" customFormat="false" ht="15" hidden="false" customHeight="false" outlineLevel="0" collapsed="false">
      <c r="A1401" s="0" t="s">
        <v>1444</v>
      </c>
      <c r="B1401" s="0" t="s">
        <v>201</v>
      </c>
      <c r="C1401" s="0" t="s">
        <v>4709</v>
      </c>
      <c r="D1401" s="0" t="n">
        <v>2021</v>
      </c>
      <c r="E1401" s="0" t="s">
        <v>54</v>
      </c>
      <c r="F1401" s="0" t="n">
        <v>3173254</v>
      </c>
      <c r="G1401" s="0" t="s">
        <v>3067</v>
      </c>
      <c r="H1401" s="0" t="s">
        <v>3068</v>
      </c>
      <c r="I1401" s="0" t="n">
        <v>3173.254</v>
      </c>
      <c r="J1401" s="0" t="s">
        <v>4634</v>
      </c>
      <c r="K1401" s="0" t="s">
        <v>2744</v>
      </c>
      <c r="L1401" s="0" t="n">
        <v>2021</v>
      </c>
      <c r="M1401" s="0" t="s">
        <v>2106</v>
      </c>
      <c r="N1401" s="0" t="s">
        <v>208</v>
      </c>
      <c r="O1401" s="0" t="s">
        <v>2513</v>
      </c>
      <c r="P1401" s="0" t="s">
        <v>5452</v>
      </c>
      <c r="Q1401" s="0" t="n">
        <v>24</v>
      </c>
      <c r="S1401" s="0" t="s">
        <v>5464</v>
      </c>
      <c r="T1401" s="0" t="n">
        <v>2021</v>
      </c>
      <c r="U1401" s="0" t="s">
        <v>4303</v>
      </c>
      <c r="V1401" s="0" t="s">
        <v>97</v>
      </c>
      <c r="W1401" s="0" t="s">
        <v>5465</v>
      </c>
      <c r="X1401" s="0" t="s">
        <v>5466</v>
      </c>
      <c r="Y1401" s="0" t="s">
        <v>4159</v>
      </c>
      <c r="Z1401" s="0" t="s">
        <v>4160</v>
      </c>
      <c r="AA1401" s="0" t="s">
        <v>5467</v>
      </c>
      <c r="AB1401" s="0" t="s">
        <v>5458</v>
      </c>
      <c r="AC1401" s="0" t="s">
        <v>4162</v>
      </c>
      <c r="AD1401" s="0" t="s">
        <v>4637</v>
      </c>
      <c r="AE1401" s="0" t="s">
        <v>1892</v>
      </c>
      <c r="AF1401" s="0" t="s">
        <v>5468</v>
      </c>
      <c r="AH1401" s="0" t="s">
        <v>2239</v>
      </c>
      <c r="AL1401" s="0" t="s">
        <v>523</v>
      </c>
    </row>
    <row r="1402" customFormat="false" ht="15" hidden="false" customHeight="false" outlineLevel="0" collapsed="false">
      <c r="A1402" s="0" t="s">
        <v>1461</v>
      </c>
      <c r="B1402" s="0" t="s">
        <v>201</v>
      </c>
      <c r="C1402" s="0" t="s">
        <v>4709</v>
      </c>
      <c r="D1402" s="0" t="n">
        <v>2021</v>
      </c>
      <c r="E1402" s="0" t="s">
        <v>541</v>
      </c>
      <c r="F1402" s="0" t="n">
        <v>3332134</v>
      </c>
      <c r="G1402" s="0" t="s">
        <v>3067</v>
      </c>
      <c r="H1402" s="0" t="s">
        <v>3068</v>
      </c>
      <c r="I1402" s="0" t="n">
        <v>3332.134</v>
      </c>
      <c r="J1402" s="0" t="s">
        <v>4634</v>
      </c>
      <c r="K1402" s="0" t="s">
        <v>2744</v>
      </c>
      <c r="L1402" s="0" t="n">
        <v>2021</v>
      </c>
      <c r="M1402" s="0" t="s">
        <v>2106</v>
      </c>
      <c r="N1402" s="0" t="s">
        <v>208</v>
      </c>
      <c r="O1402" s="0" t="s">
        <v>2513</v>
      </c>
      <c r="P1402" s="0" t="s">
        <v>5452</v>
      </c>
      <c r="Q1402" s="0" t="n">
        <v>24</v>
      </c>
      <c r="S1402" s="0" t="s">
        <v>5464</v>
      </c>
      <c r="T1402" s="0" t="n">
        <v>2021</v>
      </c>
      <c r="U1402" s="0" t="s">
        <v>4303</v>
      </c>
      <c r="V1402" s="0" t="s">
        <v>97</v>
      </c>
      <c r="W1402" s="0" t="s">
        <v>5469</v>
      </c>
      <c r="X1402" s="0" t="s">
        <v>5466</v>
      </c>
      <c r="Y1402" s="0" t="s">
        <v>4159</v>
      </c>
      <c r="Z1402" s="0" t="s">
        <v>4160</v>
      </c>
      <c r="AA1402" s="0" t="s">
        <v>5470</v>
      </c>
      <c r="AB1402" s="0" t="s">
        <v>5458</v>
      </c>
      <c r="AC1402" s="0" t="s">
        <v>4162</v>
      </c>
      <c r="AD1402" s="0" t="s">
        <v>4637</v>
      </c>
      <c r="AE1402" s="0" t="s">
        <v>1892</v>
      </c>
      <c r="AF1402" s="0" t="s">
        <v>5468</v>
      </c>
      <c r="AH1402" s="0" t="s">
        <v>2239</v>
      </c>
      <c r="AL1402" s="0" t="s">
        <v>523</v>
      </c>
    </row>
    <row r="1403" customFormat="false" ht="15" hidden="false" customHeight="false" outlineLevel="0" collapsed="false">
      <c r="A1403" s="0" t="s">
        <v>1448</v>
      </c>
      <c r="B1403" s="0" t="s">
        <v>201</v>
      </c>
      <c r="C1403" s="0" t="s">
        <v>4709</v>
      </c>
      <c r="D1403" s="0" t="n">
        <v>2021</v>
      </c>
      <c r="E1403" s="0" t="s">
        <v>58</v>
      </c>
      <c r="F1403" s="0" t="n">
        <v>-64852553</v>
      </c>
      <c r="G1403" s="0" t="s">
        <v>3067</v>
      </c>
      <c r="H1403" s="0" t="s">
        <v>3068</v>
      </c>
      <c r="I1403" s="0" t="n">
        <v>-64852.553</v>
      </c>
      <c r="J1403" s="0" t="s">
        <v>4634</v>
      </c>
      <c r="K1403" s="0" t="s">
        <v>2744</v>
      </c>
      <c r="L1403" s="0" t="n">
        <v>2021</v>
      </c>
      <c r="M1403" s="0" t="s">
        <v>2106</v>
      </c>
      <c r="N1403" s="0" t="s">
        <v>208</v>
      </c>
      <c r="O1403" s="0" t="s">
        <v>2513</v>
      </c>
      <c r="P1403" s="0" t="s">
        <v>5452</v>
      </c>
      <c r="Q1403" s="0" t="n">
        <v>27</v>
      </c>
      <c r="R1403" s="0" t="n">
        <v>27</v>
      </c>
      <c r="T1403" s="0" t="n">
        <v>2021</v>
      </c>
      <c r="U1403" s="0" t="s">
        <v>4303</v>
      </c>
      <c r="V1403" s="0" t="s">
        <v>97</v>
      </c>
      <c r="W1403" s="0" t="s">
        <v>5471</v>
      </c>
      <c r="X1403" s="0" t="s">
        <v>5472</v>
      </c>
      <c r="Y1403" s="0" t="s">
        <v>4159</v>
      </c>
      <c r="Z1403" s="0" t="s">
        <v>4160</v>
      </c>
      <c r="AA1403" s="0" t="s">
        <v>5473</v>
      </c>
      <c r="AB1403" s="0" t="s">
        <v>5458</v>
      </c>
      <c r="AC1403" s="0" t="s">
        <v>4162</v>
      </c>
      <c r="AD1403" s="0" t="s">
        <v>4637</v>
      </c>
      <c r="AE1403" s="0" t="s">
        <v>1892</v>
      </c>
      <c r="AF1403" s="0" t="s">
        <v>5468</v>
      </c>
      <c r="AH1403" s="0" t="s">
        <v>2239</v>
      </c>
      <c r="AL1403" s="0" t="s">
        <v>523</v>
      </c>
    </row>
    <row r="1404" customFormat="false" ht="15" hidden="false" customHeight="false" outlineLevel="0" collapsed="false">
      <c r="A1404" s="0" t="s">
        <v>1449</v>
      </c>
      <c r="B1404" s="0" t="s">
        <v>201</v>
      </c>
      <c r="C1404" s="0" t="s">
        <v>4709</v>
      </c>
      <c r="D1404" s="0" t="n">
        <v>2021</v>
      </c>
      <c r="E1404" s="0" t="s">
        <v>59</v>
      </c>
      <c r="F1404" s="0" t="n">
        <v>492020329</v>
      </c>
      <c r="G1404" s="0" t="s">
        <v>3067</v>
      </c>
      <c r="H1404" s="0" t="s">
        <v>3068</v>
      </c>
      <c r="I1404" s="0" t="n">
        <v>492020.329</v>
      </c>
      <c r="J1404" s="0" t="s">
        <v>4634</v>
      </c>
      <c r="K1404" s="0" t="s">
        <v>2744</v>
      </c>
      <c r="L1404" s="0" t="n">
        <v>2021</v>
      </c>
      <c r="M1404" s="0" t="s">
        <v>2106</v>
      </c>
      <c r="N1404" s="0" t="s">
        <v>208</v>
      </c>
      <c r="O1404" s="0" t="s">
        <v>2513</v>
      </c>
      <c r="P1404" s="0" t="s">
        <v>5452</v>
      </c>
      <c r="Q1404" s="0" t="n">
        <v>25</v>
      </c>
      <c r="S1404" s="0" t="s">
        <v>5453</v>
      </c>
      <c r="T1404" s="0" t="s">
        <v>5474</v>
      </c>
      <c r="U1404" s="0" t="s">
        <v>4303</v>
      </c>
      <c r="V1404" s="0" t="s">
        <v>97</v>
      </c>
      <c r="W1404" s="0" t="s">
        <v>5455</v>
      </c>
      <c r="X1404" s="0" t="s">
        <v>5456</v>
      </c>
      <c r="Y1404" s="0" t="s">
        <v>4159</v>
      </c>
      <c r="Z1404" s="0" t="s">
        <v>4160</v>
      </c>
      <c r="AA1404" s="0" t="s">
        <v>5475</v>
      </c>
      <c r="AB1404" s="0" t="s">
        <v>5458</v>
      </c>
      <c r="AC1404" s="0" t="s">
        <v>4162</v>
      </c>
      <c r="AD1404" s="0" t="s">
        <v>4637</v>
      </c>
      <c r="AE1404" s="0" t="s">
        <v>1892</v>
      </c>
      <c r="AF1404" s="0" t="s">
        <v>5459</v>
      </c>
      <c r="AH1404" s="0" t="s">
        <v>2239</v>
      </c>
      <c r="AL1404" s="0" t="s">
        <v>523</v>
      </c>
    </row>
    <row r="1405" customFormat="false" ht="15" hidden="false" customHeight="false" outlineLevel="0" collapsed="false">
      <c r="A1405" s="0" t="s">
        <v>1453</v>
      </c>
      <c r="B1405" s="0" t="s">
        <v>201</v>
      </c>
      <c r="C1405" s="0" t="s">
        <v>4709</v>
      </c>
      <c r="D1405" s="0" t="n">
        <v>2021</v>
      </c>
      <c r="E1405" s="0" t="s">
        <v>63</v>
      </c>
      <c r="F1405" s="0" t="n">
        <v>2563927</v>
      </c>
      <c r="G1405" s="0" t="s">
        <v>3067</v>
      </c>
      <c r="H1405" s="0" t="s">
        <v>3068</v>
      </c>
      <c r="I1405" s="0" t="n">
        <v>-2563.927</v>
      </c>
      <c r="J1405" s="0" t="s">
        <v>4634</v>
      </c>
      <c r="K1405" s="0" t="s">
        <v>2744</v>
      </c>
      <c r="L1405" s="0" t="n">
        <v>2021</v>
      </c>
      <c r="M1405" s="0" t="s">
        <v>2106</v>
      </c>
      <c r="N1405" s="0" t="s">
        <v>208</v>
      </c>
      <c r="O1405" s="0" t="s">
        <v>2513</v>
      </c>
      <c r="P1405" s="0" t="s">
        <v>5452</v>
      </c>
      <c r="Q1405" s="0" t="n">
        <v>24</v>
      </c>
      <c r="S1405" s="0" t="n">
        <v>11</v>
      </c>
      <c r="T1405" s="0" t="n">
        <v>2021</v>
      </c>
      <c r="U1405" s="0" t="s">
        <v>4303</v>
      </c>
      <c r="V1405" s="0" t="s">
        <v>97</v>
      </c>
      <c r="W1405" s="0" t="s">
        <v>5476</v>
      </c>
      <c r="X1405" s="0" t="s">
        <v>5466</v>
      </c>
      <c r="Y1405" s="0" t="s">
        <v>4159</v>
      </c>
      <c r="Z1405" s="0" t="s">
        <v>4160</v>
      </c>
      <c r="AA1405" s="0" t="s">
        <v>5477</v>
      </c>
      <c r="AB1405" s="0" t="s">
        <v>5458</v>
      </c>
      <c r="AC1405" s="0" t="s">
        <v>4162</v>
      </c>
      <c r="AD1405" s="0" t="s">
        <v>4637</v>
      </c>
      <c r="AE1405" s="0" t="s">
        <v>1892</v>
      </c>
      <c r="AF1405" s="0" t="s">
        <v>5468</v>
      </c>
      <c r="AH1405" s="0" t="s">
        <v>4174</v>
      </c>
      <c r="AI1405" s="0" t="s">
        <v>5478</v>
      </c>
      <c r="AL1405" s="0" t="s">
        <v>523</v>
      </c>
    </row>
    <row r="1406" customFormat="false" ht="15" hidden="false" customHeight="false" outlineLevel="0" collapsed="false">
      <c r="A1406" s="0" t="s">
        <v>1450</v>
      </c>
      <c r="B1406" s="0" t="s">
        <v>201</v>
      </c>
      <c r="C1406" s="0" t="s">
        <v>4709</v>
      </c>
      <c r="D1406" s="0" t="n">
        <v>2021</v>
      </c>
      <c r="E1406" s="0" t="s">
        <v>60</v>
      </c>
      <c r="F1406" s="0" t="n">
        <v>272468900</v>
      </c>
      <c r="G1406" s="0" t="s">
        <v>3067</v>
      </c>
      <c r="H1406" s="0" t="s">
        <v>3068</v>
      </c>
      <c r="I1406" s="0" t="n">
        <v>272468.9</v>
      </c>
      <c r="J1406" s="0" t="s">
        <v>4634</v>
      </c>
      <c r="K1406" s="0" t="s">
        <v>2744</v>
      </c>
      <c r="L1406" s="0" t="n">
        <v>2021</v>
      </c>
      <c r="M1406" s="0" t="s">
        <v>2106</v>
      </c>
      <c r="N1406" s="0" t="s">
        <v>208</v>
      </c>
      <c r="O1406" s="0" t="s">
        <v>2513</v>
      </c>
      <c r="P1406" s="0" t="s">
        <v>5452</v>
      </c>
      <c r="Q1406" s="0" t="n">
        <v>74</v>
      </c>
      <c r="R1406" s="0" t="n">
        <v>74</v>
      </c>
      <c r="S1406" s="0" t="n">
        <v>18</v>
      </c>
      <c r="T1406" s="0" t="n">
        <v>2021</v>
      </c>
      <c r="U1406" s="0" t="s">
        <v>4303</v>
      </c>
      <c r="V1406" s="0" t="s">
        <v>97</v>
      </c>
      <c r="W1406" s="0" t="s">
        <v>5479</v>
      </c>
      <c r="X1406" s="0" t="s">
        <v>5480</v>
      </c>
      <c r="Y1406" s="0" t="s">
        <v>4159</v>
      </c>
      <c r="Z1406" s="0" t="s">
        <v>4160</v>
      </c>
      <c r="AA1406" s="0" t="s">
        <v>5481</v>
      </c>
      <c r="AB1406" s="0" t="s">
        <v>5458</v>
      </c>
      <c r="AC1406" s="0" t="s">
        <v>4162</v>
      </c>
      <c r="AD1406" s="0" t="s">
        <v>4637</v>
      </c>
      <c r="AE1406" s="0" t="s">
        <v>1892</v>
      </c>
      <c r="AF1406" s="0" t="s">
        <v>5482</v>
      </c>
      <c r="AH1406" s="0" t="s">
        <v>2239</v>
      </c>
      <c r="AL1406" s="0" t="s">
        <v>523</v>
      </c>
    </row>
    <row r="1407" customFormat="false" ht="15" hidden="false" customHeight="false" outlineLevel="0" collapsed="false">
      <c r="A1407" s="0" t="s">
        <v>1451</v>
      </c>
      <c r="B1407" s="0" t="s">
        <v>201</v>
      </c>
      <c r="C1407" s="0" t="s">
        <v>4709</v>
      </c>
      <c r="D1407" s="0" t="n">
        <v>2021</v>
      </c>
      <c r="E1407" s="0" t="s">
        <v>61</v>
      </c>
      <c r="F1407" s="0" t="n">
        <v>-3199184</v>
      </c>
      <c r="G1407" s="0" t="s">
        <v>3067</v>
      </c>
      <c r="H1407" s="0" t="s">
        <v>3068</v>
      </c>
      <c r="I1407" s="0" t="n">
        <v>3199.184</v>
      </c>
      <c r="J1407" s="0" t="s">
        <v>4634</v>
      </c>
      <c r="K1407" s="0" t="s">
        <v>2744</v>
      </c>
      <c r="L1407" s="0" t="n">
        <v>2021</v>
      </c>
      <c r="M1407" s="0" t="s">
        <v>2106</v>
      </c>
      <c r="N1407" s="0" t="s">
        <v>208</v>
      </c>
      <c r="O1407" s="0" t="s">
        <v>2513</v>
      </c>
      <c r="P1407" s="0" t="s">
        <v>5452</v>
      </c>
      <c r="Q1407" s="0" t="n">
        <v>74</v>
      </c>
      <c r="R1407" s="0" t="n">
        <v>74</v>
      </c>
      <c r="S1407" s="0" t="n">
        <v>18</v>
      </c>
      <c r="T1407" s="0" t="n">
        <v>2021</v>
      </c>
      <c r="U1407" s="0" t="s">
        <v>4303</v>
      </c>
      <c r="V1407" s="0" t="s">
        <v>97</v>
      </c>
      <c r="W1407" s="0" t="s">
        <v>5483</v>
      </c>
      <c r="X1407" s="0" t="s">
        <v>5480</v>
      </c>
      <c r="Y1407" s="0" t="s">
        <v>4159</v>
      </c>
      <c r="Z1407" s="0" t="s">
        <v>4160</v>
      </c>
      <c r="AA1407" s="0" t="s">
        <v>5484</v>
      </c>
      <c r="AB1407" s="0" t="s">
        <v>5458</v>
      </c>
      <c r="AC1407" s="0" t="s">
        <v>4162</v>
      </c>
      <c r="AD1407" s="0" t="s">
        <v>4637</v>
      </c>
      <c r="AE1407" s="0" t="s">
        <v>1892</v>
      </c>
      <c r="AF1407" s="0" t="s">
        <v>5482</v>
      </c>
      <c r="AH1407" s="0" t="s">
        <v>4174</v>
      </c>
      <c r="AI1407" s="0" t="s">
        <v>4781</v>
      </c>
      <c r="AL1407" s="0" t="s">
        <v>523</v>
      </c>
    </row>
    <row r="1408" customFormat="false" ht="15" hidden="false" customHeight="false" outlineLevel="0" collapsed="false">
      <c r="A1408" s="0" t="s">
        <v>1452</v>
      </c>
      <c r="B1408" s="0" t="s">
        <v>201</v>
      </c>
      <c r="C1408" s="0" t="s">
        <v>4709</v>
      </c>
      <c r="D1408" s="0" t="n">
        <v>2021</v>
      </c>
      <c r="E1408" s="0" t="s">
        <v>62</v>
      </c>
      <c r="F1408" s="0" t="n">
        <v>269269716</v>
      </c>
      <c r="G1408" s="0" t="s">
        <v>3067</v>
      </c>
      <c r="H1408" s="0" t="s">
        <v>3068</v>
      </c>
      <c r="I1408" s="0" t="n">
        <v>269269.716</v>
      </c>
      <c r="J1408" s="0" t="s">
        <v>4634</v>
      </c>
      <c r="K1408" s="0" t="s">
        <v>2744</v>
      </c>
      <c r="L1408" s="0" t="n">
        <v>2021</v>
      </c>
      <c r="M1408" s="0" t="s">
        <v>2106</v>
      </c>
      <c r="N1408" s="0" t="s">
        <v>208</v>
      </c>
      <c r="O1408" s="0" t="s">
        <v>2513</v>
      </c>
      <c r="P1408" s="0" t="s">
        <v>5452</v>
      </c>
      <c r="Q1408" s="0" t="n">
        <v>25</v>
      </c>
      <c r="S1408" s="0" t="n">
        <v>18</v>
      </c>
      <c r="T1408" s="0" t="s">
        <v>5454</v>
      </c>
      <c r="U1408" s="0" t="s">
        <v>4303</v>
      </c>
      <c r="V1408" s="0" t="s">
        <v>97</v>
      </c>
      <c r="W1408" s="0" t="s">
        <v>5485</v>
      </c>
      <c r="X1408" s="0" t="s">
        <v>5456</v>
      </c>
      <c r="Y1408" s="0" t="s">
        <v>4159</v>
      </c>
      <c r="Z1408" s="0" t="s">
        <v>4160</v>
      </c>
      <c r="AA1408" s="0" t="s">
        <v>5486</v>
      </c>
      <c r="AB1408" s="0" t="s">
        <v>5458</v>
      </c>
      <c r="AC1408" s="0" t="s">
        <v>4162</v>
      </c>
      <c r="AD1408" s="0" t="s">
        <v>4637</v>
      </c>
      <c r="AE1408" s="0" t="s">
        <v>1892</v>
      </c>
      <c r="AF1408" s="0" t="s">
        <v>5459</v>
      </c>
      <c r="AH1408" s="0" t="s">
        <v>2239</v>
      </c>
      <c r="AL1408" s="0" t="s">
        <v>523</v>
      </c>
    </row>
    <row r="1409" customFormat="false" ht="15" hidden="false" customHeight="false" outlineLevel="0" collapsed="false">
      <c r="A1409" s="0" t="s">
        <v>1458</v>
      </c>
      <c r="B1409" s="0" t="s">
        <v>201</v>
      </c>
      <c r="C1409" s="0" t="s">
        <v>4709</v>
      </c>
      <c r="D1409" s="0" t="n">
        <v>2021</v>
      </c>
      <c r="E1409" s="0" t="s">
        <v>67</v>
      </c>
      <c r="F1409" s="0" t="n">
        <v>105854</v>
      </c>
      <c r="G1409" s="0" t="s">
        <v>3067</v>
      </c>
      <c r="H1409" s="0" t="s">
        <v>3068</v>
      </c>
      <c r="I1409" s="0" t="n">
        <v>105.854</v>
      </c>
      <c r="J1409" s="0" t="s">
        <v>4634</v>
      </c>
      <c r="K1409" s="0" t="s">
        <v>2744</v>
      </c>
      <c r="L1409" s="0" t="n">
        <v>2021</v>
      </c>
      <c r="M1409" s="0" t="s">
        <v>2106</v>
      </c>
      <c r="N1409" s="0" t="s">
        <v>208</v>
      </c>
      <c r="O1409" s="0" t="s">
        <v>2513</v>
      </c>
      <c r="P1409" s="0" t="s">
        <v>5452</v>
      </c>
      <c r="Q1409" s="0" t="n">
        <v>48</v>
      </c>
      <c r="R1409" s="0" t="n">
        <v>48</v>
      </c>
      <c r="S1409" s="0" t="n">
        <v>5.2</v>
      </c>
      <c r="T1409" s="0" t="s">
        <v>5487</v>
      </c>
      <c r="U1409" s="0" t="s">
        <v>4303</v>
      </c>
      <c r="V1409" s="0" t="s">
        <v>97</v>
      </c>
      <c r="W1409" s="0" t="s">
        <v>5488</v>
      </c>
      <c r="X1409" s="0" t="s">
        <v>5489</v>
      </c>
      <c r="Y1409" s="0" t="s">
        <v>4159</v>
      </c>
      <c r="Z1409" s="0" t="s">
        <v>4160</v>
      </c>
      <c r="AA1409" s="0" t="s">
        <v>5490</v>
      </c>
      <c r="AB1409" s="0" t="s">
        <v>5458</v>
      </c>
      <c r="AC1409" s="0" t="s">
        <v>4162</v>
      </c>
      <c r="AD1409" s="0" t="s">
        <v>4637</v>
      </c>
      <c r="AE1409" s="0" t="s">
        <v>1892</v>
      </c>
      <c r="AF1409" s="0" t="s">
        <v>5491</v>
      </c>
      <c r="AH1409" s="0" t="s">
        <v>2239</v>
      </c>
      <c r="AL1409" s="0" t="s">
        <v>523</v>
      </c>
    </row>
    <row r="1410" customFormat="false" ht="15" hidden="false" customHeight="false" outlineLevel="0" collapsed="false">
      <c r="A1410" s="0" t="s">
        <v>1460</v>
      </c>
      <c r="B1410" s="0" t="s">
        <v>201</v>
      </c>
      <c r="C1410" s="0" t="s">
        <v>4709</v>
      </c>
      <c r="D1410" s="0" t="n">
        <v>2021</v>
      </c>
      <c r="E1410" s="0" t="s">
        <v>68</v>
      </c>
      <c r="F1410" s="0" t="n">
        <v>-1012</v>
      </c>
      <c r="G1410" s="0" t="s">
        <v>3067</v>
      </c>
      <c r="H1410" s="0" t="s">
        <v>3068</v>
      </c>
      <c r="I1410" s="0" t="n">
        <v>1.012</v>
      </c>
      <c r="J1410" s="0" t="s">
        <v>4634</v>
      </c>
      <c r="K1410" s="0" t="s">
        <v>2744</v>
      </c>
      <c r="L1410" s="0" t="n">
        <v>2021</v>
      </c>
      <c r="M1410" s="0" t="s">
        <v>2106</v>
      </c>
      <c r="N1410" s="0" t="s">
        <v>208</v>
      </c>
      <c r="O1410" s="0" t="s">
        <v>2513</v>
      </c>
      <c r="P1410" s="0" t="s">
        <v>5452</v>
      </c>
      <c r="Q1410" s="0" t="n">
        <v>48</v>
      </c>
      <c r="R1410" s="0" t="n">
        <v>48</v>
      </c>
      <c r="S1410" s="0" t="n">
        <v>5.2</v>
      </c>
      <c r="T1410" s="0" t="s">
        <v>5487</v>
      </c>
      <c r="U1410" s="0" t="s">
        <v>4303</v>
      </c>
      <c r="V1410" s="0" t="s">
        <v>97</v>
      </c>
      <c r="W1410" s="0" t="s">
        <v>5492</v>
      </c>
      <c r="X1410" s="0" t="s">
        <v>5489</v>
      </c>
      <c r="Y1410" s="0" t="s">
        <v>4159</v>
      </c>
      <c r="Z1410" s="0" t="s">
        <v>4160</v>
      </c>
      <c r="AA1410" s="0" t="s">
        <v>5493</v>
      </c>
      <c r="AB1410" s="0" t="s">
        <v>5458</v>
      </c>
      <c r="AC1410" s="0" t="s">
        <v>4162</v>
      </c>
      <c r="AD1410" s="0" t="s">
        <v>4637</v>
      </c>
      <c r="AE1410" s="0" t="s">
        <v>1892</v>
      </c>
      <c r="AF1410" s="0" t="s">
        <v>5491</v>
      </c>
      <c r="AH1410" s="0" t="s">
        <v>4174</v>
      </c>
      <c r="AI1410" s="0" t="s">
        <v>4781</v>
      </c>
      <c r="AL1410" s="0" t="s">
        <v>523</v>
      </c>
    </row>
    <row r="1411" customFormat="false" ht="15" hidden="false" customHeight="false" outlineLevel="0" collapsed="false">
      <c r="A1411" s="0" t="s">
        <v>1455</v>
      </c>
      <c r="B1411" s="0" t="s">
        <v>201</v>
      </c>
      <c r="C1411" s="0" t="s">
        <v>4709</v>
      </c>
      <c r="D1411" s="0" t="n">
        <v>2021</v>
      </c>
      <c r="E1411" s="0" t="s">
        <v>65</v>
      </c>
      <c r="F1411" s="0" t="n">
        <v>-278060632</v>
      </c>
      <c r="G1411" s="0" t="s">
        <v>3067</v>
      </c>
      <c r="H1411" s="0" t="s">
        <v>3068</v>
      </c>
      <c r="I1411" s="0" t="n">
        <v>-278060.632</v>
      </c>
      <c r="J1411" s="0" t="s">
        <v>4634</v>
      </c>
      <c r="K1411" s="0" t="s">
        <v>2744</v>
      </c>
      <c r="L1411" s="0" t="n">
        <v>2021</v>
      </c>
      <c r="M1411" s="0" t="s">
        <v>2106</v>
      </c>
      <c r="N1411" s="0" t="s">
        <v>208</v>
      </c>
      <c r="O1411" s="0" t="s">
        <v>2513</v>
      </c>
      <c r="P1411" s="0" t="s">
        <v>5452</v>
      </c>
      <c r="Q1411" s="0" t="n">
        <v>93</v>
      </c>
      <c r="R1411" s="0" t="n">
        <v>93</v>
      </c>
      <c r="S1411" s="0" t="n">
        <v>36</v>
      </c>
      <c r="T1411" s="0" t="s">
        <v>5494</v>
      </c>
      <c r="U1411" s="0" t="s">
        <v>4303</v>
      </c>
      <c r="V1411" s="0" t="s">
        <v>97</v>
      </c>
      <c r="W1411" s="0" t="s">
        <v>5495</v>
      </c>
      <c r="X1411" s="0" t="s">
        <v>5496</v>
      </c>
      <c r="Y1411" s="0" t="s">
        <v>4159</v>
      </c>
      <c r="Z1411" s="0" t="s">
        <v>4160</v>
      </c>
      <c r="AA1411" s="0" t="s">
        <v>5497</v>
      </c>
      <c r="AB1411" s="0" t="s">
        <v>5458</v>
      </c>
      <c r="AC1411" s="0" t="s">
        <v>4162</v>
      </c>
      <c r="AD1411" s="0" t="s">
        <v>4637</v>
      </c>
      <c r="AE1411" s="0" t="s">
        <v>1892</v>
      </c>
      <c r="AF1411" s="0" t="s">
        <v>5498</v>
      </c>
      <c r="AH1411" s="0" t="s">
        <v>2239</v>
      </c>
      <c r="AL1411" s="0" t="s">
        <v>523</v>
      </c>
    </row>
    <row r="1412" customFormat="false" ht="15" hidden="false" customHeight="false" outlineLevel="0" collapsed="false">
      <c r="A1412" s="0" t="s">
        <v>1456</v>
      </c>
      <c r="B1412" s="0" t="s">
        <v>201</v>
      </c>
      <c r="C1412" s="0" t="s">
        <v>4709</v>
      </c>
      <c r="D1412" s="0" t="n">
        <v>2021</v>
      </c>
      <c r="E1412" s="0" t="s">
        <v>66</v>
      </c>
      <c r="F1412" s="0" t="n">
        <v>322639564</v>
      </c>
      <c r="G1412" s="0" t="s">
        <v>3067</v>
      </c>
      <c r="H1412" s="0" t="s">
        <v>3068</v>
      </c>
      <c r="I1412" s="0" t="n">
        <v>322639.564</v>
      </c>
      <c r="J1412" s="0" t="s">
        <v>4634</v>
      </c>
      <c r="K1412" s="0" t="s">
        <v>2744</v>
      </c>
      <c r="L1412" s="0" t="n">
        <v>2021</v>
      </c>
      <c r="M1412" s="0" t="s">
        <v>2106</v>
      </c>
      <c r="N1412" s="0" t="s">
        <v>208</v>
      </c>
      <c r="O1412" s="0" t="s">
        <v>2513</v>
      </c>
      <c r="P1412" s="0" t="s">
        <v>5452</v>
      </c>
      <c r="Q1412" s="0" t="n">
        <v>93</v>
      </c>
      <c r="R1412" s="0" t="n">
        <v>93</v>
      </c>
      <c r="S1412" s="0" t="n">
        <v>36</v>
      </c>
      <c r="T1412" s="0" t="s">
        <v>5494</v>
      </c>
      <c r="U1412" s="0" t="s">
        <v>4303</v>
      </c>
      <c r="V1412" s="0" t="s">
        <v>97</v>
      </c>
      <c r="W1412" s="0" t="s">
        <v>5499</v>
      </c>
      <c r="X1412" s="0" t="s">
        <v>5496</v>
      </c>
      <c r="Y1412" s="0" t="s">
        <v>4159</v>
      </c>
      <c r="Z1412" s="0" t="s">
        <v>4160</v>
      </c>
      <c r="AA1412" s="0" t="s">
        <v>5500</v>
      </c>
      <c r="AB1412" s="0" t="s">
        <v>5458</v>
      </c>
      <c r="AC1412" s="0" t="s">
        <v>4162</v>
      </c>
      <c r="AD1412" s="0" t="s">
        <v>4637</v>
      </c>
      <c r="AE1412" s="0" t="s">
        <v>1892</v>
      </c>
      <c r="AF1412" s="0" t="s">
        <v>5498</v>
      </c>
      <c r="AH1412" s="0" t="s">
        <v>2239</v>
      </c>
      <c r="AL1412" s="0" t="s">
        <v>523</v>
      </c>
    </row>
    <row r="1413" customFormat="false" ht="15" hidden="false" customHeight="false" outlineLevel="0" collapsed="false">
      <c r="A1413" s="0" t="s">
        <v>1454</v>
      </c>
      <c r="B1413" s="0" t="s">
        <v>201</v>
      </c>
      <c r="C1413" s="0" t="s">
        <v>4709</v>
      </c>
      <c r="D1413" s="0" t="n">
        <v>2021</v>
      </c>
      <c r="E1413" s="0" t="s">
        <v>69</v>
      </c>
      <c r="F1413" s="0" t="s">
        <v>5501</v>
      </c>
      <c r="G1413" s="0" t="s">
        <v>3143</v>
      </c>
      <c r="I1413" s="0" t="n">
        <v>-86.18</v>
      </c>
      <c r="J1413" s="0" t="s">
        <v>4634</v>
      </c>
      <c r="K1413" s="0" t="s">
        <v>2744</v>
      </c>
      <c r="L1413" s="0" t="n">
        <v>2021</v>
      </c>
      <c r="M1413" s="0" t="s">
        <v>2106</v>
      </c>
      <c r="N1413" s="0" t="s">
        <v>208</v>
      </c>
      <c r="O1413" s="0" t="s">
        <v>2513</v>
      </c>
      <c r="P1413" s="0" t="s">
        <v>5452</v>
      </c>
      <c r="Q1413" s="0" t="n">
        <v>93</v>
      </c>
      <c r="R1413" s="0" t="n">
        <v>93</v>
      </c>
      <c r="S1413" s="0" t="n">
        <v>36</v>
      </c>
      <c r="T1413" s="0" t="s">
        <v>5494</v>
      </c>
      <c r="U1413" s="0" t="s">
        <v>4303</v>
      </c>
      <c r="V1413" s="0" t="s">
        <v>97</v>
      </c>
      <c r="W1413" s="0" t="s">
        <v>5502</v>
      </c>
      <c r="X1413" s="0" t="s">
        <v>5496</v>
      </c>
      <c r="Y1413" s="0" t="s">
        <v>4159</v>
      </c>
      <c r="Z1413" s="0" t="s">
        <v>4160</v>
      </c>
      <c r="AA1413" s="0" t="s">
        <v>5503</v>
      </c>
      <c r="AB1413" s="0" t="s">
        <v>5458</v>
      </c>
      <c r="AC1413" s="0" t="s">
        <v>4162</v>
      </c>
      <c r="AD1413" s="0" t="s">
        <v>4637</v>
      </c>
      <c r="AE1413" s="0" t="s">
        <v>1892</v>
      </c>
      <c r="AF1413" s="0" t="s">
        <v>5498</v>
      </c>
      <c r="AH1413" s="0" t="s">
        <v>2239</v>
      </c>
      <c r="AL1413" s="0" t="s">
        <v>523</v>
      </c>
    </row>
    <row r="1414" customFormat="false" ht="15" hidden="false" customHeight="false" outlineLevel="0" collapsed="false">
      <c r="A1414" s="0" t="s">
        <v>1457</v>
      </c>
      <c r="B1414" s="0" t="s">
        <v>201</v>
      </c>
      <c r="C1414" s="0" t="s">
        <v>4709</v>
      </c>
      <c r="D1414" s="0" t="n">
        <v>2021</v>
      </c>
      <c r="E1414" s="0" t="s">
        <v>73</v>
      </c>
      <c r="F1414" s="0" t="n">
        <v>1</v>
      </c>
      <c r="G1414" s="0" t="s">
        <v>4257</v>
      </c>
      <c r="I1414" s="0" t="n">
        <v>1</v>
      </c>
      <c r="J1414" s="0" t="s">
        <v>4687</v>
      </c>
      <c r="K1414" s="0" t="s">
        <v>2744</v>
      </c>
      <c r="L1414" s="0" t="n">
        <v>2021</v>
      </c>
      <c r="M1414" s="0" t="s">
        <v>2106</v>
      </c>
      <c r="N1414" s="0" t="s">
        <v>208</v>
      </c>
      <c r="O1414" s="0" t="s">
        <v>2513</v>
      </c>
      <c r="P1414" s="0" t="s">
        <v>5452</v>
      </c>
      <c r="Q1414" s="0" t="n">
        <v>19</v>
      </c>
      <c r="S1414" s="0" t="s">
        <v>5121</v>
      </c>
      <c r="T1414" s="0" t="s">
        <v>5504</v>
      </c>
      <c r="U1414" s="0" t="s">
        <v>4303</v>
      </c>
      <c r="V1414" s="0" t="s">
        <v>97</v>
      </c>
      <c r="W1414" s="0" t="s">
        <v>4803</v>
      </c>
      <c r="X1414" s="0" t="s">
        <v>5505</v>
      </c>
      <c r="Y1414" s="0" t="s">
        <v>4212</v>
      </c>
      <c r="Z1414" s="0" t="s">
        <v>4160</v>
      </c>
      <c r="AA1414" s="0" t="s">
        <v>5506</v>
      </c>
      <c r="AB1414" s="0" t="s">
        <v>5458</v>
      </c>
      <c r="AC1414" s="0" t="s">
        <v>4162</v>
      </c>
      <c r="AD1414" s="0" t="s">
        <v>4637</v>
      </c>
      <c r="AE1414" s="0" t="s">
        <v>1892</v>
      </c>
      <c r="AF1414" s="0" t="s">
        <v>5507</v>
      </c>
      <c r="AG1414" s="0" t="s">
        <v>1892</v>
      </c>
      <c r="AH1414" s="0" t="s">
        <v>2239</v>
      </c>
      <c r="AL1414" s="0" t="s">
        <v>539</v>
      </c>
    </row>
    <row r="1415" customFormat="false" ht="15" hidden="false" customHeight="false" outlineLevel="0" collapsed="false">
      <c r="A1415" s="0" t="s">
        <v>1226</v>
      </c>
      <c r="B1415" s="0" t="s">
        <v>169</v>
      </c>
      <c r="C1415" s="0" t="s">
        <v>4695</v>
      </c>
      <c r="D1415" s="0" t="n">
        <v>2015</v>
      </c>
      <c r="E1415" s="0" t="s">
        <v>55</v>
      </c>
      <c r="F1415" s="0" t="n">
        <v>799451417</v>
      </c>
      <c r="G1415" s="0" t="s">
        <v>3067</v>
      </c>
      <c r="H1415" s="0" t="s">
        <v>3068</v>
      </c>
      <c r="I1415" s="0" t="n">
        <v>799451.417</v>
      </c>
      <c r="J1415" s="0" t="s">
        <v>4634</v>
      </c>
      <c r="K1415" s="0" t="s">
        <v>2719</v>
      </c>
      <c r="L1415" s="0" t="n">
        <v>2015</v>
      </c>
      <c r="M1415" s="0" t="s">
        <v>2120</v>
      </c>
      <c r="N1415" s="0" t="s">
        <v>171</v>
      </c>
      <c r="O1415" s="0" t="s">
        <v>2515</v>
      </c>
      <c r="P1415" s="0" t="s">
        <v>5508</v>
      </c>
      <c r="Q1415" s="0" t="n">
        <v>22</v>
      </c>
      <c r="R1415" s="0" t="n">
        <v>22</v>
      </c>
      <c r="T1415" s="0" t="s">
        <v>4866</v>
      </c>
      <c r="U1415" s="0" t="s">
        <v>4808</v>
      </c>
      <c r="V1415" s="0" t="s">
        <v>84</v>
      </c>
      <c r="W1415" s="0" t="s">
        <v>4210</v>
      </c>
      <c r="X1415" s="0" t="s">
        <v>5509</v>
      </c>
      <c r="Y1415" s="0" t="s">
        <v>4212</v>
      </c>
      <c r="Z1415" s="0" t="s">
        <v>4160</v>
      </c>
      <c r="AA1415" s="0" t="s">
        <v>5510</v>
      </c>
      <c r="AB1415" s="0" t="s">
        <v>5511</v>
      </c>
      <c r="AC1415" s="0" t="s">
        <v>4162</v>
      </c>
      <c r="AD1415" s="0" t="s">
        <v>4637</v>
      </c>
      <c r="AE1415" s="0" t="s">
        <v>1892</v>
      </c>
      <c r="AF1415" s="0" t="s">
        <v>5512</v>
      </c>
      <c r="AH1415" s="0" t="s">
        <v>2239</v>
      </c>
      <c r="AL1415" s="0" t="s">
        <v>539</v>
      </c>
    </row>
    <row r="1416" customFormat="false" ht="15" hidden="false" customHeight="false" outlineLevel="0" collapsed="false">
      <c r="A1416" s="0" t="s">
        <v>1227</v>
      </c>
      <c r="B1416" s="0" t="s">
        <v>169</v>
      </c>
      <c r="C1416" s="0" t="s">
        <v>4695</v>
      </c>
      <c r="D1416" s="0" t="n">
        <v>2015</v>
      </c>
      <c r="E1416" s="0" t="s">
        <v>56</v>
      </c>
      <c r="F1416" s="0" t="n">
        <v>703885670</v>
      </c>
      <c r="G1416" s="0" t="s">
        <v>3067</v>
      </c>
      <c r="H1416" s="0" t="s">
        <v>3068</v>
      </c>
      <c r="I1416" s="0" t="n">
        <v>703885.67</v>
      </c>
      <c r="J1416" s="0" t="s">
        <v>4634</v>
      </c>
      <c r="K1416" s="0" t="s">
        <v>2719</v>
      </c>
      <c r="L1416" s="0" t="n">
        <v>2015</v>
      </c>
      <c r="M1416" s="0" t="s">
        <v>2120</v>
      </c>
      <c r="N1416" s="0" t="s">
        <v>171</v>
      </c>
      <c r="O1416" s="0" t="s">
        <v>2515</v>
      </c>
      <c r="P1416" s="0" t="s">
        <v>5508</v>
      </c>
      <c r="Q1416" s="0" t="n">
        <v>22</v>
      </c>
      <c r="R1416" s="0" t="n">
        <v>22</v>
      </c>
      <c r="T1416" s="0" t="s">
        <v>4866</v>
      </c>
      <c r="U1416" s="0" t="s">
        <v>4808</v>
      </c>
      <c r="V1416" s="0" t="s">
        <v>84</v>
      </c>
      <c r="W1416" s="0" t="s">
        <v>4216</v>
      </c>
      <c r="X1416" s="0" t="s">
        <v>5509</v>
      </c>
      <c r="Y1416" s="0" t="s">
        <v>4212</v>
      </c>
      <c r="Z1416" s="0" t="s">
        <v>4160</v>
      </c>
      <c r="AA1416" s="0" t="s">
        <v>5513</v>
      </c>
      <c r="AB1416" s="0" t="s">
        <v>5511</v>
      </c>
      <c r="AC1416" s="0" t="s">
        <v>4162</v>
      </c>
      <c r="AD1416" s="0" t="s">
        <v>4637</v>
      </c>
      <c r="AE1416" s="0" t="s">
        <v>1892</v>
      </c>
      <c r="AF1416" s="0" t="s">
        <v>5512</v>
      </c>
      <c r="AH1416" s="0" t="s">
        <v>2239</v>
      </c>
      <c r="AL1416" s="0" t="s">
        <v>539</v>
      </c>
    </row>
    <row r="1417" customFormat="false" ht="15" hidden="false" customHeight="false" outlineLevel="0" collapsed="false">
      <c r="A1417" s="0" t="s">
        <v>1228</v>
      </c>
      <c r="B1417" s="0" t="s">
        <v>169</v>
      </c>
      <c r="C1417" s="0" t="s">
        <v>4695</v>
      </c>
      <c r="D1417" s="0" t="n">
        <v>2015</v>
      </c>
      <c r="E1417" s="0" t="s">
        <v>57</v>
      </c>
      <c r="F1417" s="0" t="n">
        <v>95565747</v>
      </c>
      <c r="G1417" s="0" t="s">
        <v>3067</v>
      </c>
      <c r="H1417" s="0" t="s">
        <v>3068</v>
      </c>
      <c r="I1417" s="0" t="n">
        <v>95565.747</v>
      </c>
      <c r="J1417" s="0" t="s">
        <v>4634</v>
      </c>
      <c r="K1417" s="0" t="s">
        <v>2719</v>
      </c>
      <c r="L1417" s="0" t="n">
        <v>2015</v>
      </c>
      <c r="M1417" s="0" t="s">
        <v>2120</v>
      </c>
      <c r="N1417" s="0" t="s">
        <v>171</v>
      </c>
      <c r="O1417" s="0" t="s">
        <v>2515</v>
      </c>
      <c r="P1417" s="0" t="s">
        <v>5508</v>
      </c>
      <c r="Q1417" s="0" t="n">
        <v>22</v>
      </c>
      <c r="R1417" s="0" t="n">
        <v>22</v>
      </c>
      <c r="T1417" s="0" t="s">
        <v>4866</v>
      </c>
      <c r="U1417" s="0" t="s">
        <v>4808</v>
      </c>
      <c r="V1417" s="0" t="s">
        <v>84</v>
      </c>
      <c r="W1417" s="0" t="s">
        <v>4864</v>
      </c>
      <c r="X1417" s="0" t="s">
        <v>5509</v>
      </c>
      <c r="Y1417" s="0" t="s">
        <v>4212</v>
      </c>
      <c r="Z1417" s="0" t="s">
        <v>4160</v>
      </c>
      <c r="AA1417" s="0" t="s">
        <v>5514</v>
      </c>
      <c r="AB1417" s="0" t="s">
        <v>5511</v>
      </c>
      <c r="AC1417" s="0" t="s">
        <v>4162</v>
      </c>
      <c r="AD1417" s="0" t="s">
        <v>4637</v>
      </c>
      <c r="AE1417" s="0" t="s">
        <v>1892</v>
      </c>
      <c r="AF1417" s="0" t="s">
        <v>5512</v>
      </c>
      <c r="AH1417" s="0" t="s">
        <v>2239</v>
      </c>
      <c r="AL1417" s="0" t="s">
        <v>539</v>
      </c>
    </row>
    <row r="1418" customFormat="false" ht="15" hidden="false" customHeight="false" outlineLevel="0" collapsed="false">
      <c r="A1418" s="0" t="s">
        <v>1225</v>
      </c>
      <c r="B1418" s="0" t="s">
        <v>169</v>
      </c>
      <c r="C1418" s="0" t="s">
        <v>4695</v>
      </c>
      <c r="D1418" s="0" t="n">
        <v>2015</v>
      </c>
      <c r="E1418" s="0" t="s">
        <v>54</v>
      </c>
      <c r="F1418" s="0" t="n">
        <v>10292577</v>
      </c>
      <c r="G1418" s="0" t="s">
        <v>3067</v>
      </c>
      <c r="H1418" s="0" t="s">
        <v>3068</v>
      </c>
      <c r="I1418" s="0" t="n">
        <v>10292.577</v>
      </c>
      <c r="J1418" s="0" t="s">
        <v>4634</v>
      </c>
      <c r="K1418" s="0" t="s">
        <v>2719</v>
      </c>
      <c r="L1418" s="0" t="n">
        <v>2015</v>
      </c>
      <c r="M1418" s="0" t="s">
        <v>2120</v>
      </c>
      <c r="N1418" s="0" t="s">
        <v>171</v>
      </c>
      <c r="O1418" s="0" t="s">
        <v>2515</v>
      </c>
      <c r="P1418" s="0" t="s">
        <v>5508</v>
      </c>
      <c r="Q1418" s="0" t="n">
        <v>21</v>
      </c>
      <c r="R1418" s="0" t="n">
        <v>21</v>
      </c>
      <c r="T1418" s="0" t="n">
        <v>2015</v>
      </c>
      <c r="U1418" s="0" t="s">
        <v>4808</v>
      </c>
      <c r="V1418" s="0" t="s">
        <v>84</v>
      </c>
      <c r="W1418" s="0" t="s">
        <v>5515</v>
      </c>
      <c r="X1418" s="0" t="s">
        <v>5516</v>
      </c>
      <c r="Y1418" s="0" t="s">
        <v>4159</v>
      </c>
      <c r="Z1418" s="0" t="s">
        <v>4160</v>
      </c>
      <c r="AA1418" s="0" t="s">
        <v>5517</v>
      </c>
      <c r="AB1418" s="0" t="s">
        <v>5511</v>
      </c>
      <c r="AC1418" s="0" t="s">
        <v>4162</v>
      </c>
      <c r="AD1418" s="0" t="s">
        <v>4637</v>
      </c>
      <c r="AE1418" s="0" t="s">
        <v>1892</v>
      </c>
      <c r="AF1418" s="0" t="s">
        <v>5518</v>
      </c>
      <c r="AH1418" s="0" t="s">
        <v>2239</v>
      </c>
      <c r="AL1418" s="0" t="s">
        <v>523</v>
      </c>
    </row>
    <row r="1419" customFormat="false" ht="15" hidden="false" customHeight="false" outlineLevel="0" collapsed="false">
      <c r="A1419" s="0" t="s">
        <v>1240</v>
      </c>
      <c r="B1419" s="0" t="s">
        <v>169</v>
      </c>
      <c r="C1419" s="0" t="s">
        <v>4695</v>
      </c>
      <c r="D1419" s="0" t="n">
        <v>2015</v>
      </c>
      <c r="E1419" s="0" t="s">
        <v>541</v>
      </c>
      <c r="F1419" s="0" t="n">
        <v>11016301</v>
      </c>
      <c r="G1419" s="0" t="s">
        <v>3067</v>
      </c>
      <c r="H1419" s="0" t="s">
        <v>3068</v>
      </c>
      <c r="I1419" s="0" t="n">
        <v>11016.301</v>
      </c>
      <c r="J1419" s="0" t="s">
        <v>4634</v>
      </c>
      <c r="K1419" s="0" t="s">
        <v>2719</v>
      </c>
      <c r="L1419" s="0" t="n">
        <v>2015</v>
      </c>
      <c r="M1419" s="0" t="s">
        <v>2120</v>
      </c>
      <c r="N1419" s="0" t="s">
        <v>171</v>
      </c>
      <c r="O1419" s="0" t="s">
        <v>2515</v>
      </c>
      <c r="P1419" s="0" t="s">
        <v>5508</v>
      </c>
      <c r="Q1419" s="0" t="n">
        <v>21</v>
      </c>
      <c r="R1419" s="0" t="n">
        <v>21</v>
      </c>
      <c r="T1419" s="0" t="n">
        <v>2015</v>
      </c>
      <c r="U1419" s="0" t="s">
        <v>4808</v>
      </c>
      <c r="V1419" s="0" t="s">
        <v>84</v>
      </c>
      <c r="W1419" s="0" t="s">
        <v>5519</v>
      </c>
      <c r="X1419" s="0" t="s">
        <v>5516</v>
      </c>
      <c r="Y1419" s="0" t="s">
        <v>4159</v>
      </c>
      <c r="Z1419" s="0" t="s">
        <v>4160</v>
      </c>
      <c r="AA1419" s="0" t="s">
        <v>5520</v>
      </c>
      <c r="AB1419" s="0" t="s">
        <v>5511</v>
      </c>
      <c r="AC1419" s="0" t="s">
        <v>4162</v>
      </c>
      <c r="AD1419" s="0" t="s">
        <v>4637</v>
      </c>
      <c r="AE1419" s="0" t="s">
        <v>1892</v>
      </c>
      <c r="AF1419" s="0" t="s">
        <v>5518</v>
      </c>
      <c r="AH1419" s="0" t="s">
        <v>2239</v>
      </c>
      <c r="AL1419" s="0" t="s">
        <v>523</v>
      </c>
    </row>
    <row r="1420" customFormat="false" ht="15" hidden="false" customHeight="false" outlineLevel="0" collapsed="false">
      <c r="A1420" s="0" t="s">
        <v>1229</v>
      </c>
      <c r="B1420" s="0" t="s">
        <v>169</v>
      </c>
      <c r="C1420" s="0" t="s">
        <v>4695</v>
      </c>
      <c r="D1420" s="0" t="n">
        <v>2015</v>
      </c>
      <c r="E1420" s="0" t="s">
        <v>58</v>
      </c>
      <c r="F1420" s="0" t="n">
        <v>54691995</v>
      </c>
      <c r="G1420" s="0" t="s">
        <v>3067</v>
      </c>
      <c r="H1420" s="0" t="s">
        <v>3068</v>
      </c>
      <c r="I1420" s="0" t="n">
        <v>54691.995</v>
      </c>
      <c r="J1420" s="0" t="s">
        <v>4634</v>
      </c>
      <c r="K1420" s="0" t="s">
        <v>2719</v>
      </c>
      <c r="L1420" s="0" t="n">
        <v>2015</v>
      </c>
      <c r="M1420" s="0" t="s">
        <v>2120</v>
      </c>
      <c r="N1420" s="0" t="s">
        <v>171</v>
      </c>
      <c r="O1420" s="0" t="s">
        <v>2515</v>
      </c>
      <c r="P1420" s="0" t="s">
        <v>5508</v>
      </c>
      <c r="Q1420" s="0" t="n">
        <v>25</v>
      </c>
      <c r="R1420" s="0" t="n">
        <v>25</v>
      </c>
      <c r="T1420" s="0" t="n">
        <v>2015</v>
      </c>
      <c r="U1420" s="0" t="s">
        <v>4808</v>
      </c>
      <c r="V1420" s="0" t="s">
        <v>84</v>
      </c>
      <c r="W1420" s="0" t="s">
        <v>5521</v>
      </c>
      <c r="X1420" s="0" t="s">
        <v>5522</v>
      </c>
      <c r="Y1420" s="0" t="s">
        <v>4159</v>
      </c>
      <c r="Z1420" s="0" t="s">
        <v>4160</v>
      </c>
      <c r="AA1420" s="0" t="s">
        <v>5523</v>
      </c>
      <c r="AB1420" s="0" t="s">
        <v>5511</v>
      </c>
      <c r="AC1420" s="0" t="s">
        <v>4162</v>
      </c>
      <c r="AD1420" s="0" t="s">
        <v>4637</v>
      </c>
      <c r="AE1420" s="0" t="s">
        <v>1892</v>
      </c>
      <c r="AF1420" s="0" t="s">
        <v>5518</v>
      </c>
      <c r="AH1420" s="0" t="s">
        <v>2239</v>
      </c>
      <c r="AL1420" s="0" t="s">
        <v>523</v>
      </c>
    </row>
    <row r="1421" customFormat="false" ht="15" hidden="false" customHeight="false" outlineLevel="0" collapsed="false">
      <c r="A1421" s="0" t="s">
        <v>1230</v>
      </c>
      <c r="B1421" s="0" t="s">
        <v>169</v>
      </c>
      <c r="C1421" s="0" t="s">
        <v>4695</v>
      </c>
      <c r="D1421" s="0" t="n">
        <v>2015</v>
      </c>
      <c r="E1421" s="0" t="s">
        <v>59</v>
      </c>
      <c r="F1421" s="0" t="n">
        <v>824539426</v>
      </c>
      <c r="G1421" s="0" t="s">
        <v>3067</v>
      </c>
      <c r="H1421" s="0" t="s">
        <v>3068</v>
      </c>
      <c r="I1421" s="0" t="n">
        <v>824539.426</v>
      </c>
      <c r="J1421" s="0" t="s">
        <v>4634</v>
      </c>
      <c r="K1421" s="0" t="s">
        <v>2719</v>
      </c>
      <c r="L1421" s="0" t="n">
        <v>2015</v>
      </c>
      <c r="M1421" s="0" t="s">
        <v>2120</v>
      </c>
      <c r="N1421" s="0" t="s">
        <v>171</v>
      </c>
      <c r="O1421" s="0" t="s">
        <v>2515</v>
      </c>
      <c r="P1421" s="0" t="s">
        <v>5508</v>
      </c>
      <c r="Q1421" s="0" t="n">
        <v>22</v>
      </c>
      <c r="R1421" s="0" t="n">
        <v>22</v>
      </c>
      <c r="T1421" s="0" t="s">
        <v>5275</v>
      </c>
      <c r="U1421" s="0" t="s">
        <v>4808</v>
      </c>
      <c r="V1421" s="0" t="s">
        <v>84</v>
      </c>
      <c r="W1421" s="0" t="s">
        <v>4210</v>
      </c>
      <c r="X1421" s="0" t="s">
        <v>5509</v>
      </c>
      <c r="Y1421" s="0" t="s">
        <v>4212</v>
      </c>
      <c r="Z1421" s="0" t="s">
        <v>4160</v>
      </c>
      <c r="AA1421" s="0" t="s">
        <v>5524</v>
      </c>
      <c r="AB1421" s="0" t="s">
        <v>5511</v>
      </c>
      <c r="AC1421" s="0" t="s">
        <v>4162</v>
      </c>
      <c r="AD1421" s="0" t="s">
        <v>4637</v>
      </c>
      <c r="AE1421" s="0" t="s">
        <v>1892</v>
      </c>
      <c r="AF1421" s="0" t="s">
        <v>5512</v>
      </c>
      <c r="AH1421" s="0" t="s">
        <v>2239</v>
      </c>
      <c r="AL1421" s="0" t="s">
        <v>539</v>
      </c>
    </row>
    <row r="1422" customFormat="false" ht="15" hidden="false" customHeight="false" outlineLevel="0" collapsed="false">
      <c r="A1422" s="0" t="s">
        <v>1234</v>
      </c>
      <c r="B1422" s="0" t="s">
        <v>169</v>
      </c>
      <c r="C1422" s="0" t="s">
        <v>4695</v>
      </c>
      <c r="D1422" s="0" t="n">
        <v>2015</v>
      </c>
      <c r="E1422" s="0" t="s">
        <v>63</v>
      </c>
      <c r="F1422" s="0" t="n">
        <v>-8151338</v>
      </c>
      <c r="G1422" s="0" t="s">
        <v>3067</v>
      </c>
      <c r="H1422" s="0" t="s">
        <v>3068</v>
      </c>
      <c r="I1422" s="0" t="n">
        <v>8151.338</v>
      </c>
      <c r="J1422" s="0" t="s">
        <v>4634</v>
      </c>
      <c r="K1422" s="0" t="s">
        <v>2719</v>
      </c>
      <c r="L1422" s="0" t="n">
        <v>2015</v>
      </c>
      <c r="M1422" s="0" t="s">
        <v>2120</v>
      </c>
      <c r="N1422" s="0" t="s">
        <v>171</v>
      </c>
      <c r="O1422" s="0" t="s">
        <v>2515</v>
      </c>
      <c r="P1422" s="0" t="s">
        <v>5508</v>
      </c>
      <c r="Q1422" s="0" t="n">
        <v>21</v>
      </c>
      <c r="R1422" s="0" t="n">
        <v>21</v>
      </c>
      <c r="S1422" s="0" t="n">
        <v>11</v>
      </c>
      <c r="T1422" s="0" t="n">
        <v>2015</v>
      </c>
      <c r="U1422" s="0" t="s">
        <v>4808</v>
      </c>
      <c r="V1422" s="0" t="s">
        <v>84</v>
      </c>
      <c r="W1422" s="0" t="s">
        <v>5525</v>
      </c>
      <c r="X1422" s="0" t="s">
        <v>5516</v>
      </c>
      <c r="Y1422" s="0" t="s">
        <v>4159</v>
      </c>
      <c r="Z1422" s="0" t="s">
        <v>4160</v>
      </c>
      <c r="AA1422" s="0" t="s">
        <v>5526</v>
      </c>
      <c r="AB1422" s="0" t="s">
        <v>5511</v>
      </c>
      <c r="AC1422" s="0" t="s">
        <v>4162</v>
      </c>
      <c r="AD1422" s="0" t="s">
        <v>4637</v>
      </c>
      <c r="AE1422" s="0" t="s">
        <v>1892</v>
      </c>
      <c r="AF1422" s="0" t="s">
        <v>5518</v>
      </c>
      <c r="AH1422" s="0" t="s">
        <v>4174</v>
      </c>
      <c r="AI1422" s="0" t="s">
        <v>4829</v>
      </c>
      <c r="AL1422" s="0" t="s">
        <v>523</v>
      </c>
    </row>
    <row r="1423" customFormat="false" ht="15" hidden="false" customHeight="false" outlineLevel="0" collapsed="false">
      <c r="A1423" s="0" t="s">
        <v>1231</v>
      </c>
      <c r="B1423" s="0" t="s">
        <v>169</v>
      </c>
      <c r="C1423" s="0" t="s">
        <v>4695</v>
      </c>
      <c r="D1423" s="0" t="n">
        <v>2015</v>
      </c>
      <c r="E1423" s="0" t="s">
        <v>60</v>
      </c>
      <c r="F1423" s="0" t="n">
        <v>354474856</v>
      </c>
      <c r="G1423" s="0" t="s">
        <v>3067</v>
      </c>
      <c r="H1423" s="0" t="s">
        <v>3068</v>
      </c>
      <c r="I1423" s="0" t="n">
        <v>354474.856</v>
      </c>
      <c r="J1423" s="0" t="s">
        <v>4634</v>
      </c>
      <c r="K1423" s="0" t="s">
        <v>2719</v>
      </c>
      <c r="L1423" s="0" t="n">
        <v>2015</v>
      </c>
      <c r="M1423" s="0" t="s">
        <v>2120</v>
      </c>
      <c r="N1423" s="0" t="s">
        <v>171</v>
      </c>
      <c r="O1423" s="0" t="s">
        <v>2515</v>
      </c>
      <c r="P1423" s="0" t="s">
        <v>5508</v>
      </c>
      <c r="Q1423" s="0" t="n">
        <v>64</v>
      </c>
      <c r="R1423" s="0" t="n">
        <v>64</v>
      </c>
      <c r="S1423" s="0" t="n">
        <v>19</v>
      </c>
      <c r="T1423" s="0" t="s">
        <v>4866</v>
      </c>
      <c r="U1423" s="0" t="s">
        <v>4808</v>
      </c>
      <c r="V1423" s="0" t="s">
        <v>84</v>
      </c>
      <c r="W1423" s="0" t="s">
        <v>5527</v>
      </c>
      <c r="X1423" s="0" t="s">
        <v>5528</v>
      </c>
      <c r="Y1423" s="0" t="s">
        <v>4159</v>
      </c>
      <c r="Z1423" s="0" t="s">
        <v>4160</v>
      </c>
      <c r="AA1423" s="0" t="s">
        <v>5529</v>
      </c>
      <c r="AB1423" s="0" t="s">
        <v>5511</v>
      </c>
      <c r="AC1423" s="0" t="s">
        <v>4162</v>
      </c>
      <c r="AD1423" s="0" t="s">
        <v>4637</v>
      </c>
      <c r="AE1423" s="0" t="s">
        <v>1892</v>
      </c>
      <c r="AF1423" s="0" t="s">
        <v>5530</v>
      </c>
      <c r="AH1423" s="0" t="s">
        <v>2239</v>
      </c>
      <c r="AL1423" s="0" t="s">
        <v>523</v>
      </c>
    </row>
    <row r="1424" customFormat="false" ht="15" hidden="false" customHeight="false" outlineLevel="0" collapsed="false">
      <c r="A1424" s="0" t="s">
        <v>1241</v>
      </c>
      <c r="B1424" s="0" t="s">
        <v>169</v>
      </c>
      <c r="C1424" s="0" t="s">
        <v>4695</v>
      </c>
      <c r="D1424" s="0" t="n">
        <v>2015</v>
      </c>
      <c r="E1424" s="0" t="s">
        <v>543</v>
      </c>
      <c r="F1424" s="0" t="n">
        <v>-11566682</v>
      </c>
      <c r="G1424" s="0" t="s">
        <v>3067</v>
      </c>
      <c r="H1424" s="0" t="s">
        <v>3068</v>
      </c>
      <c r="I1424" s="0" t="n">
        <v>11566.682</v>
      </c>
      <c r="J1424" s="0" t="s">
        <v>4634</v>
      </c>
      <c r="K1424" s="0" t="s">
        <v>2719</v>
      </c>
      <c r="L1424" s="0" t="n">
        <v>2015</v>
      </c>
      <c r="M1424" s="0" t="s">
        <v>2120</v>
      </c>
      <c r="N1424" s="0" t="s">
        <v>171</v>
      </c>
      <c r="O1424" s="0" t="s">
        <v>2515</v>
      </c>
      <c r="P1424" s="0" t="s">
        <v>5508</v>
      </c>
      <c r="Q1424" s="0" t="n">
        <v>64</v>
      </c>
      <c r="R1424" s="0" t="n">
        <v>64</v>
      </c>
      <c r="S1424" s="0" t="s">
        <v>5531</v>
      </c>
      <c r="T1424" s="0" t="s">
        <v>4866</v>
      </c>
      <c r="U1424" s="0" t="s">
        <v>4808</v>
      </c>
      <c r="V1424" s="0" t="s">
        <v>84</v>
      </c>
      <c r="W1424" s="0" t="s">
        <v>5532</v>
      </c>
      <c r="X1424" s="0" t="s">
        <v>5528</v>
      </c>
      <c r="Y1424" s="0" t="s">
        <v>4159</v>
      </c>
      <c r="Z1424" s="0" t="s">
        <v>4160</v>
      </c>
      <c r="AA1424" s="0" t="s">
        <v>5533</v>
      </c>
      <c r="AB1424" s="0" t="s">
        <v>5511</v>
      </c>
      <c r="AC1424" s="0" t="s">
        <v>4162</v>
      </c>
      <c r="AD1424" s="0" t="s">
        <v>4637</v>
      </c>
      <c r="AE1424" s="0" t="s">
        <v>1892</v>
      </c>
      <c r="AF1424" s="0" t="s">
        <v>5530</v>
      </c>
      <c r="AH1424" s="0" t="s">
        <v>4174</v>
      </c>
      <c r="AI1424" s="0" t="s">
        <v>4837</v>
      </c>
      <c r="AL1424" s="0" t="s">
        <v>523</v>
      </c>
    </row>
    <row r="1425" customFormat="false" ht="15" hidden="false" customHeight="false" outlineLevel="0" collapsed="false">
      <c r="A1425" s="0" t="s">
        <v>1242</v>
      </c>
      <c r="B1425" s="0" t="s">
        <v>169</v>
      </c>
      <c r="C1425" s="0" t="s">
        <v>4695</v>
      </c>
      <c r="D1425" s="0" t="n">
        <v>2015</v>
      </c>
      <c r="E1425" s="0" t="s">
        <v>545</v>
      </c>
      <c r="F1425" s="0" t="n">
        <v>-4181903</v>
      </c>
      <c r="G1425" s="0" t="s">
        <v>3067</v>
      </c>
      <c r="H1425" s="0" t="s">
        <v>3068</v>
      </c>
      <c r="I1425" s="0" t="n">
        <v>4181.903</v>
      </c>
      <c r="J1425" s="0" t="s">
        <v>4634</v>
      </c>
      <c r="K1425" s="0" t="s">
        <v>2719</v>
      </c>
      <c r="L1425" s="0" t="n">
        <v>2015</v>
      </c>
      <c r="M1425" s="0" t="s">
        <v>2120</v>
      </c>
      <c r="N1425" s="0" t="s">
        <v>171</v>
      </c>
      <c r="O1425" s="0" t="s">
        <v>2515</v>
      </c>
      <c r="P1425" s="0" t="s">
        <v>5508</v>
      </c>
      <c r="Q1425" s="0" t="n">
        <v>64</v>
      </c>
      <c r="R1425" s="0" t="n">
        <v>64</v>
      </c>
      <c r="S1425" s="0" t="s">
        <v>5534</v>
      </c>
      <c r="T1425" s="0" t="s">
        <v>4866</v>
      </c>
      <c r="U1425" s="0" t="s">
        <v>4808</v>
      </c>
      <c r="V1425" s="0" t="s">
        <v>84</v>
      </c>
      <c r="W1425" s="0" t="s">
        <v>5535</v>
      </c>
      <c r="X1425" s="0" t="s">
        <v>5528</v>
      </c>
      <c r="Y1425" s="0" t="s">
        <v>4159</v>
      </c>
      <c r="Z1425" s="0" t="s">
        <v>4160</v>
      </c>
      <c r="AA1425" s="0" t="s">
        <v>5536</v>
      </c>
      <c r="AB1425" s="0" t="s">
        <v>5511</v>
      </c>
      <c r="AC1425" s="0" t="s">
        <v>4162</v>
      </c>
      <c r="AD1425" s="0" t="s">
        <v>4637</v>
      </c>
      <c r="AE1425" s="0" t="s">
        <v>1892</v>
      </c>
      <c r="AF1425" s="0" t="s">
        <v>5530</v>
      </c>
      <c r="AH1425" s="0" t="s">
        <v>4174</v>
      </c>
      <c r="AI1425" s="0" t="s">
        <v>4837</v>
      </c>
      <c r="AL1425" s="0" t="s">
        <v>523</v>
      </c>
    </row>
    <row r="1426" customFormat="false" ht="15" hidden="false" customHeight="false" outlineLevel="0" collapsed="false">
      <c r="A1426" s="0" t="s">
        <v>1233</v>
      </c>
      <c r="B1426" s="0" t="s">
        <v>169</v>
      </c>
      <c r="C1426" s="0" t="s">
        <v>4695</v>
      </c>
      <c r="D1426" s="0" t="n">
        <v>2015</v>
      </c>
      <c r="E1426" s="0" t="s">
        <v>62</v>
      </c>
      <c r="F1426" s="0" t="n">
        <v>338726271</v>
      </c>
      <c r="G1426" s="0" t="s">
        <v>3067</v>
      </c>
      <c r="H1426" s="0" t="s">
        <v>3068</v>
      </c>
      <c r="I1426" s="0" t="n">
        <v>338726.271</v>
      </c>
      <c r="J1426" s="0" t="s">
        <v>4634</v>
      </c>
      <c r="K1426" s="0" t="s">
        <v>2719</v>
      </c>
      <c r="L1426" s="0" t="n">
        <v>2015</v>
      </c>
      <c r="M1426" s="0" t="s">
        <v>2120</v>
      </c>
      <c r="N1426" s="0" t="s">
        <v>171</v>
      </c>
      <c r="O1426" s="0" t="s">
        <v>2515</v>
      </c>
      <c r="P1426" s="0" t="s">
        <v>5508</v>
      </c>
      <c r="Q1426" s="0" t="n">
        <v>64</v>
      </c>
      <c r="R1426" s="0" t="n">
        <v>64</v>
      </c>
      <c r="S1426" s="0" t="n">
        <v>19</v>
      </c>
      <c r="T1426" s="0" t="s">
        <v>4866</v>
      </c>
      <c r="U1426" s="0" t="s">
        <v>4808</v>
      </c>
      <c r="V1426" s="0" t="s">
        <v>84</v>
      </c>
      <c r="W1426" s="0" t="s">
        <v>5537</v>
      </c>
      <c r="X1426" s="0" t="s">
        <v>5528</v>
      </c>
      <c r="Y1426" s="0" t="s">
        <v>4159</v>
      </c>
      <c r="Z1426" s="0" t="s">
        <v>4160</v>
      </c>
      <c r="AA1426" s="0" t="s">
        <v>5538</v>
      </c>
      <c r="AB1426" s="0" t="s">
        <v>5511</v>
      </c>
      <c r="AC1426" s="0" t="s">
        <v>4162</v>
      </c>
      <c r="AD1426" s="0" t="s">
        <v>4637</v>
      </c>
      <c r="AE1426" s="0" t="s">
        <v>1892</v>
      </c>
      <c r="AF1426" s="0" t="s">
        <v>5530</v>
      </c>
      <c r="AH1426" s="0" t="s">
        <v>2239</v>
      </c>
      <c r="AL1426" s="0" t="s">
        <v>523</v>
      </c>
    </row>
    <row r="1427" customFormat="false" ht="15" hidden="false" customHeight="false" outlineLevel="0" collapsed="false">
      <c r="A1427" s="0" t="s">
        <v>1237</v>
      </c>
      <c r="B1427" s="0" t="s">
        <v>169</v>
      </c>
      <c r="C1427" s="0" t="s">
        <v>4695</v>
      </c>
      <c r="D1427" s="0" t="n">
        <v>2015</v>
      </c>
      <c r="E1427" s="0" t="s">
        <v>65</v>
      </c>
      <c r="F1427" s="0" t="n">
        <v>85262476</v>
      </c>
      <c r="G1427" s="0" t="s">
        <v>3067</v>
      </c>
      <c r="H1427" s="0" t="s">
        <v>3068</v>
      </c>
      <c r="I1427" s="0" t="n">
        <v>85262.476</v>
      </c>
      <c r="J1427" s="0" t="s">
        <v>4634</v>
      </c>
      <c r="K1427" s="0" t="s">
        <v>2719</v>
      </c>
      <c r="L1427" s="0" t="n">
        <v>2015</v>
      </c>
      <c r="M1427" s="0" t="s">
        <v>2120</v>
      </c>
      <c r="N1427" s="0" t="s">
        <v>171</v>
      </c>
      <c r="O1427" s="0" t="s">
        <v>2515</v>
      </c>
      <c r="P1427" s="0" t="s">
        <v>5508</v>
      </c>
      <c r="Q1427" s="0" t="n">
        <v>117</v>
      </c>
      <c r="R1427" s="0" t="n">
        <v>117</v>
      </c>
      <c r="S1427" s="0" t="s">
        <v>5539</v>
      </c>
      <c r="T1427" s="0" t="s">
        <v>4866</v>
      </c>
      <c r="U1427" s="0" t="s">
        <v>4808</v>
      </c>
      <c r="V1427" s="0" t="s">
        <v>84</v>
      </c>
      <c r="W1427" s="0" t="s">
        <v>5540</v>
      </c>
      <c r="X1427" s="0" t="s">
        <v>5541</v>
      </c>
      <c r="Y1427" s="0" t="s">
        <v>4159</v>
      </c>
      <c r="Z1427" s="0" t="s">
        <v>4160</v>
      </c>
      <c r="AA1427" s="0" t="s">
        <v>5542</v>
      </c>
      <c r="AB1427" s="0" t="s">
        <v>5511</v>
      </c>
      <c r="AC1427" s="0" t="s">
        <v>4162</v>
      </c>
      <c r="AD1427" s="0" t="s">
        <v>4637</v>
      </c>
      <c r="AE1427" s="0" t="s">
        <v>1892</v>
      </c>
      <c r="AF1427" s="0" t="s">
        <v>5530</v>
      </c>
      <c r="AH1427" s="0" t="s">
        <v>2239</v>
      </c>
      <c r="AL1427" s="0" t="s">
        <v>523</v>
      </c>
    </row>
    <row r="1428" customFormat="false" ht="15" hidden="false" customHeight="false" outlineLevel="0" collapsed="false">
      <c r="A1428" s="0" t="s">
        <v>1238</v>
      </c>
      <c r="B1428" s="0" t="s">
        <v>169</v>
      </c>
      <c r="C1428" s="0" t="s">
        <v>4695</v>
      </c>
      <c r="D1428" s="0" t="n">
        <v>2015</v>
      </c>
      <c r="E1428" s="0" t="s">
        <v>66</v>
      </c>
      <c r="F1428" s="0" t="n">
        <v>487486579</v>
      </c>
      <c r="G1428" s="0" t="s">
        <v>3067</v>
      </c>
      <c r="H1428" s="0" t="s">
        <v>3068</v>
      </c>
      <c r="I1428" s="0" t="n">
        <v>487486.579</v>
      </c>
      <c r="J1428" s="0" t="s">
        <v>4634</v>
      </c>
      <c r="K1428" s="0" t="s">
        <v>2719</v>
      </c>
      <c r="L1428" s="0" t="n">
        <v>2015</v>
      </c>
      <c r="M1428" s="0" t="s">
        <v>2120</v>
      </c>
      <c r="N1428" s="0" t="s">
        <v>171</v>
      </c>
      <c r="O1428" s="0" t="s">
        <v>2515</v>
      </c>
      <c r="P1428" s="0" t="s">
        <v>5508</v>
      </c>
      <c r="Q1428" s="0" t="n">
        <v>117</v>
      </c>
      <c r="R1428" s="0" t="n">
        <v>117</v>
      </c>
      <c r="S1428" s="0" t="s">
        <v>5539</v>
      </c>
      <c r="T1428" s="0" t="s">
        <v>4866</v>
      </c>
      <c r="U1428" s="0" t="s">
        <v>4808</v>
      </c>
      <c r="V1428" s="0" t="s">
        <v>84</v>
      </c>
      <c r="W1428" s="0" t="s">
        <v>5543</v>
      </c>
      <c r="X1428" s="0" t="s">
        <v>5541</v>
      </c>
      <c r="Y1428" s="0" t="s">
        <v>4159</v>
      </c>
      <c r="Z1428" s="0" t="s">
        <v>4160</v>
      </c>
      <c r="AA1428" s="0" t="s">
        <v>5544</v>
      </c>
      <c r="AB1428" s="0" t="s">
        <v>5511</v>
      </c>
      <c r="AC1428" s="0" t="s">
        <v>4162</v>
      </c>
      <c r="AD1428" s="0" t="s">
        <v>4637</v>
      </c>
      <c r="AE1428" s="0" t="s">
        <v>1892</v>
      </c>
      <c r="AF1428" s="0" t="s">
        <v>5530</v>
      </c>
      <c r="AH1428" s="0" t="s">
        <v>2239</v>
      </c>
      <c r="AL1428" s="0" t="s">
        <v>523</v>
      </c>
    </row>
    <row r="1429" customFormat="false" ht="15" hidden="false" customHeight="false" outlineLevel="0" collapsed="false">
      <c r="A1429" s="0" t="s">
        <v>1235</v>
      </c>
      <c r="B1429" s="0" t="s">
        <v>169</v>
      </c>
      <c r="C1429" s="0" t="s">
        <v>4695</v>
      </c>
      <c r="D1429" s="0" t="n">
        <v>2015</v>
      </c>
      <c r="E1429" s="0" t="s">
        <v>69</v>
      </c>
      <c r="F1429" s="0" t="s">
        <v>5545</v>
      </c>
      <c r="G1429" s="0" t="s">
        <v>3143</v>
      </c>
      <c r="I1429" s="0" t="n">
        <v>17.49</v>
      </c>
      <c r="J1429" s="0" t="s">
        <v>4634</v>
      </c>
      <c r="K1429" s="0" t="s">
        <v>2719</v>
      </c>
      <c r="L1429" s="0" t="n">
        <v>2015</v>
      </c>
      <c r="M1429" s="0" t="s">
        <v>2120</v>
      </c>
      <c r="N1429" s="0" t="s">
        <v>171</v>
      </c>
      <c r="O1429" s="0" t="s">
        <v>2515</v>
      </c>
      <c r="P1429" s="0" t="s">
        <v>5508</v>
      </c>
      <c r="Q1429" s="0" t="n">
        <v>117</v>
      </c>
      <c r="R1429" s="0" t="n">
        <v>117</v>
      </c>
      <c r="S1429" s="0" t="s">
        <v>5539</v>
      </c>
      <c r="T1429" s="0" t="s">
        <v>4866</v>
      </c>
      <c r="U1429" s="0" t="s">
        <v>4808</v>
      </c>
      <c r="V1429" s="0" t="s">
        <v>84</v>
      </c>
      <c r="W1429" s="0" t="s">
        <v>5546</v>
      </c>
      <c r="X1429" s="0" t="s">
        <v>5541</v>
      </c>
      <c r="Y1429" s="0" t="s">
        <v>4159</v>
      </c>
      <c r="Z1429" s="0" t="s">
        <v>4160</v>
      </c>
      <c r="AA1429" s="0" t="s">
        <v>5547</v>
      </c>
      <c r="AB1429" s="0" t="s">
        <v>5511</v>
      </c>
      <c r="AC1429" s="0" t="s">
        <v>4162</v>
      </c>
      <c r="AD1429" s="0" t="s">
        <v>4637</v>
      </c>
      <c r="AE1429" s="0" t="s">
        <v>1892</v>
      </c>
      <c r="AF1429" s="0" t="s">
        <v>5530</v>
      </c>
      <c r="AH1429" s="0" t="s">
        <v>2239</v>
      </c>
      <c r="AL1429" s="0" t="s">
        <v>523</v>
      </c>
    </row>
    <row r="1430" customFormat="false" ht="15" hidden="false" customHeight="false" outlineLevel="0" collapsed="false">
      <c r="A1430" s="0" t="s">
        <v>1236</v>
      </c>
      <c r="B1430" s="0" t="s">
        <v>169</v>
      </c>
      <c r="C1430" s="0" t="s">
        <v>4695</v>
      </c>
      <c r="D1430" s="0" t="n">
        <v>2015</v>
      </c>
      <c r="E1430" s="0" t="s">
        <v>70</v>
      </c>
      <c r="F1430" s="0" t="s">
        <v>4299</v>
      </c>
      <c r="G1430" s="0" t="s">
        <v>3143</v>
      </c>
      <c r="I1430" s="0" t="n">
        <v>10</v>
      </c>
      <c r="J1430" s="0" t="s">
        <v>4634</v>
      </c>
      <c r="K1430" s="0" t="s">
        <v>2719</v>
      </c>
      <c r="L1430" s="0" t="n">
        <v>2015</v>
      </c>
      <c r="M1430" s="0" t="s">
        <v>2120</v>
      </c>
      <c r="N1430" s="0" t="s">
        <v>171</v>
      </c>
      <c r="O1430" s="0" t="s">
        <v>2515</v>
      </c>
      <c r="P1430" s="0" t="s">
        <v>5508</v>
      </c>
      <c r="Q1430" s="0" t="n">
        <v>117</v>
      </c>
      <c r="R1430" s="0" t="n">
        <v>117</v>
      </c>
      <c r="S1430" s="0" t="s">
        <v>5539</v>
      </c>
      <c r="T1430" s="0" t="s">
        <v>5548</v>
      </c>
      <c r="U1430" s="0" t="s">
        <v>4808</v>
      </c>
      <c r="V1430" s="0" t="s">
        <v>84</v>
      </c>
      <c r="W1430" s="0" t="s">
        <v>5549</v>
      </c>
      <c r="X1430" s="0" t="s">
        <v>5541</v>
      </c>
      <c r="Y1430" s="0" t="s">
        <v>4159</v>
      </c>
      <c r="Z1430" s="0" t="s">
        <v>4160</v>
      </c>
      <c r="AA1430" s="0" t="s">
        <v>5550</v>
      </c>
      <c r="AB1430" s="0" t="s">
        <v>5511</v>
      </c>
      <c r="AC1430" s="0" t="s">
        <v>4162</v>
      </c>
      <c r="AD1430" s="0" t="s">
        <v>4637</v>
      </c>
      <c r="AE1430" s="0" t="s">
        <v>1892</v>
      </c>
      <c r="AF1430" s="0" t="s">
        <v>5530</v>
      </c>
      <c r="AH1430" s="0" t="s">
        <v>2239</v>
      </c>
      <c r="AL1430" s="0" t="s">
        <v>523</v>
      </c>
    </row>
    <row r="1431" customFormat="false" ht="15" hidden="false" customHeight="false" outlineLevel="0" collapsed="false">
      <c r="A1431" s="0" t="s">
        <v>1239</v>
      </c>
      <c r="B1431" s="0" t="s">
        <v>169</v>
      </c>
      <c r="C1431" s="0" t="s">
        <v>4695</v>
      </c>
      <c r="D1431" s="0" t="n">
        <v>2015</v>
      </c>
      <c r="E1431" s="0" t="s">
        <v>73</v>
      </c>
      <c r="F1431" s="0" t="n">
        <v>0</v>
      </c>
      <c r="G1431" s="0" t="s">
        <v>4257</v>
      </c>
      <c r="I1431" s="0" t="n">
        <v>0</v>
      </c>
      <c r="J1431" s="0" t="s">
        <v>4687</v>
      </c>
      <c r="K1431" s="0" t="s">
        <v>2719</v>
      </c>
      <c r="L1431" s="0" t="n">
        <v>2015</v>
      </c>
      <c r="M1431" s="0" t="s">
        <v>2120</v>
      </c>
      <c r="N1431" s="0" t="s">
        <v>171</v>
      </c>
      <c r="O1431" s="0" t="s">
        <v>2515</v>
      </c>
      <c r="P1431" s="0" t="s">
        <v>5508</v>
      </c>
      <c r="Q1431" s="0" t="n">
        <v>19</v>
      </c>
      <c r="R1431" s="0" t="n">
        <v>19</v>
      </c>
      <c r="T1431" s="0" t="s">
        <v>5551</v>
      </c>
      <c r="U1431" s="0" t="s">
        <v>4808</v>
      </c>
      <c r="V1431" s="0" t="s">
        <v>84</v>
      </c>
      <c r="W1431" s="0" t="s">
        <v>4803</v>
      </c>
      <c r="X1431" s="0" t="s">
        <v>5552</v>
      </c>
      <c r="Y1431" s="0" t="s">
        <v>4212</v>
      </c>
      <c r="Z1431" s="0" t="s">
        <v>4160</v>
      </c>
      <c r="AA1431" s="0" t="s">
        <v>5553</v>
      </c>
      <c r="AB1431" s="0" t="s">
        <v>5511</v>
      </c>
      <c r="AC1431" s="0" t="s">
        <v>4162</v>
      </c>
      <c r="AD1431" s="0" t="s">
        <v>4637</v>
      </c>
      <c r="AE1431" s="0" t="s">
        <v>1892</v>
      </c>
      <c r="AF1431" s="0" t="s">
        <v>5554</v>
      </c>
      <c r="AG1431" s="0" t="s">
        <v>1892</v>
      </c>
      <c r="AH1431" s="0" t="s">
        <v>2239</v>
      </c>
      <c r="AL1431" s="0" t="s">
        <v>539</v>
      </c>
    </row>
    <row r="1432" customFormat="false" ht="15" hidden="false" customHeight="false" outlineLevel="0" collapsed="false">
      <c r="A1432" s="0" t="s">
        <v>1280</v>
      </c>
      <c r="B1432" s="0" t="s">
        <v>169</v>
      </c>
      <c r="C1432" s="0" t="s">
        <v>4695</v>
      </c>
      <c r="D1432" s="0" t="n">
        <v>2020</v>
      </c>
      <c r="E1432" s="0" t="s">
        <v>55</v>
      </c>
      <c r="F1432" s="0" t="n">
        <v>1281830</v>
      </c>
      <c r="G1432" s="0" t="s">
        <v>3101</v>
      </c>
      <c r="H1432" s="0" t="s">
        <v>3068</v>
      </c>
      <c r="I1432" s="0" t="n">
        <v>1281830</v>
      </c>
      <c r="J1432" s="0" t="s">
        <v>5555</v>
      </c>
      <c r="K1432" s="0" t="s">
        <v>2723</v>
      </c>
      <c r="L1432" s="0" t="n">
        <v>2020</v>
      </c>
      <c r="M1432" s="0" t="s">
        <v>2129</v>
      </c>
      <c r="N1432" s="0" t="s">
        <v>175</v>
      </c>
      <c r="O1432" s="0" t="s">
        <v>2517</v>
      </c>
      <c r="P1432" s="0" t="s">
        <v>5556</v>
      </c>
      <c r="Q1432" s="0" t="n">
        <v>30</v>
      </c>
      <c r="R1432" s="0" t="n">
        <v>28</v>
      </c>
      <c r="T1432" s="0" t="s">
        <v>5557</v>
      </c>
      <c r="U1432" s="0" t="s">
        <v>4201</v>
      </c>
      <c r="V1432" s="0" t="s">
        <v>95</v>
      </c>
      <c r="W1432" s="0" t="s">
        <v>4210</v>
      </c>
      <c r="X1432" s="0" t="s">
        <v>5558</v>
      </c>
      <c r="Y1432" s="0" t="s">
        <v>4212</v>
      </c>
      <c r="Z1432" s="0" t="s">
        <v>4160</v>
      </c>
      <c r="AA1432" s="0" t="s">
        <v>5559</v>
      </c>
      <c r="AB1432" s="0" t="s">
        <v>5560</v>
      </c>
      <c r="AC1432" s="0" t="s">
        <v>4162</v>
      </c>
      <c r="AD1432" s="0" t="s">
        <v>4163</v>
      </c>
      <c r="AE1432" s="0" t="s">
        <v>4164</v>
      </c>
      <c r="AF1432" s="0" t="s">
        <v>5561</v>
      </c>
      <c r="AH1432" s="0" t="s">
        <v>2239</v>
      </c>
      <c r="AL1432" s="0" t="s">
        <v>539</v>
      </c>
    </row>
    <row r="1433" customFormat="false" ht="15" hidden="false" customHeight="false" outlineLevel="0" collapsed="false">
      <c r="A1433" s="0" t="s">
        <v>1281</v>
      </c>
      <c r="B1433" s="0" t="s">
        <v>169</v>
      </c>
      <c r="C1433" s="0" t="s">
        <v>4695</v>
      </c>
      <c r="D1433" s="0" t="n">
        <v>2020</v>
      </c>
      <c r="E1433" s="0" t="s">
        <v>56</v>
      </c>
      <c r="F1433" s="0" t="n">
        <v>1146440</v>
      </c>
      <c r="G1433" s="0" t="s">
        <v>3101</v>
      </c>
      <c r="H1433" s="0" t="s">
        <v>3068</v>
      </c>
      <c r="I1433" s="0" t="n">
        <v>1146440</v>
      </c>
      <c r="J1433" s="0" t="s">
        <v>5555</v>
      </c>
      <c r="K1433" s="0" t="s">
        <v>2723</v>
      </c>
      <c r="L1433" s="0" t="n">
        <v>2020</v>
      </c>
      <c r="M1433" s="0" t="s">
        <v>2129</v>
      </c>
      <c r="N1433" s="0" t="s">
        <v>175</v>
      </c>
      <c r="O1433" s="0" t="s">
        <v>2517</v>
      </c>
      <c r="P1433" s="0" t="s">
        <v>5556</v>
      </c>
      <c r="Q1433" s="0" t="n">
        <v>30</v>
      </c>
      <c r="R1433" s="0" t="n">
        <v>28</v>
      </c>
      <c r="T1433" s="0" t="s">
        <v>5557</v>
      </c>
      <c r="U1433" s="0" t="s">
        <v>4201</v>
      </c>
      <c r="V1433" s="0" t="s">
        <v>95</v>
      </c>
      <c r="W1433" s="0" t="s">
        <v>4216</v>
      </c>
      <c r="X1433" s="0" t="s">
        <v>5558</v>
      </c>
      <c r="Y1433" s="0" t="s">
        <v>4212</v>
      </c>
      <c r="Z1433" s="0" t="s">
        <v>4160</v>
      </c>
      <c r="AA1433" s="0" t="s">
        <v>5562</v>
      </c>
      <c r="AB1433" s="0" t="s">
        <v>5560</v>
      </c>
      <c r="AC1433" s="0" t="s">
        <v>4162</v>
      </c>
      <c r="AD1433" s="0" t="s">
        <v>4163</v>
      </c>
      <c r="AE1433" s="0" t="s">
        <v>4164</v>
      </c>
      <c r="AF1433" s="0" t="s">
        <v>5561</v>
      </c>
      <c r="AH1433" s="0" t="s">
        <v>2239</v>
      </c>
      <c r="AL1433" s="0" t="s">
        <v>539</v>
      </c>
    </row>
    <row r="1434" customFormat="false" ht="15" hidden="false" customHeight="false" outlineLevel="0" collapsed="false">
      <c r="A1434" s="0" t="s">
        <v>1282</v>
      </c>
      <c r="B1434" s="0" t="s">
        <v>169</v>
      </c>
      <c r="C1434" s="0" t="s">
        <v>4695</v>
      </c>
      <c r="D1434" s="0" t="n">
        <v>2020</v>
      </c>
      <c r="E1434" s="0" t="s">
        <v>57</v>
      </c>
      <c r="F1434" s="0" t="n">
        <v>135390</v>
      </c>
      <c r="G1434" s="0" t="s">
        <v>3101</v>
      </c>
      <c r="H1434" s="0" t="s">
        <v>3068</v>
      </c>
      <c r="I1434" s="0" t="n">
        <v>135390</v>
      </c>
      <c r="J1434" s="0" t="s">
        <v>5555</v>
      </c>
      <c r="K1434" s="0" t="s">
        <v>2723</v>
      </c>
      <c r="L1434" s="0" t="n">
        <v>2020</v>
      </c>
      <c r="M1434" s="0" t="s">
        <v>2129</v>
      </c>
      <c r="N1434" s="0" t="s">
        <v>175</v>
      </c>
      <c r="O1434" s="0" t="s">
        <v>2517</v>
      </c>
      <c r="P1434" s="0" t="s">
        <v>5556</v>
      </c>
      <c r="Q1434" s="0" t="n">
        <v>30</v>
      </c>
      <c r="R1434" s="0" t="n">
        <v>28</v>
      </c>
      <c r="T1434" s="0" t="s">
        <v>5557</v>
      </c>
      <c r="U1434" s="0" t="s">
        <v>4201</v>
      </c>
      <c r="V1434" s="0" t="s">
        <v>95</v>
      </c>
      <c r="W1434" s="0" t="s">
        <v>4864</v>
      </c>
      <c r="X1434" s="0" t="s">
        <v>5558</v>
      </c>
      <c r="Y1434" s="0" t="s">
        <v>4212</v>
      </c>
      <c r="Z1434" s="0" t="s">
        <v>4160</v>
      </c>
      <c r="AA1434" s="0" t="s">
        <v>5563</v>
      </c>
      <c r="AB1434" s="0" t="s">
        <v>5560</v>
      </c>
      <c r="AC1434" s="0" t="s">
        <v>4162</v>
      </c>
      <c r="AD1434" s="0" t="s">
        <v>4163</v>
      </c>
      <c r="AE1434" s="0" t="s">
        <v>4164</v>
      </c>
      <c r="AF1434" s="0" t="s">
        <v>5561</v>
      </c>
      <c r="AH1434" s="0" t="s">
        <v>2239</v>
      </c>
      <c r="AL1434" s="0" t="s">
        <v>539</v>
      </c>
    </row>
    <row r="1435" customFormat="false" ht="15" hidden="false" customHeight="false" outlineLevel="0" collapsed="false">
      <c r="A1435" s="0" t="s">
        <v>1284</v>
      </c>
      <c r="B1435" s="0" t="s">
        <v>169</v>
      </c>
      <c r="C1435" s="0" t="s">
        <v>4695</v>
      </c>
      <c r="D1435" s="0" t="n">
        <v>2020</v>
      </c>
      <c r="E1435" s="0" t="s">
        <v>59</v>
      </c>
      <c r="F1435" s="0" t="n">
        <v>1165509</v>
      </c>
      <c r="G1435" s="0" t="s">
        <v>3101</v>
      </c>
      <c r="H1435" s="0" t="s">
        <v>3068</v>
      </c>
      <c r="I1435" s="0" t="n">
        <v>1165509</v>
      </c>
      <c r="J1435" s="0" t="s">
        <v>5555</v>
      </c>
      <c r="K1435" s="0" t="s">
        <v>2723</v>
      </c>
      <c r="L1435" s="0" t="n">
        <v>2020</v>
      </c>
      <c r="M1435" s="0" t="s">
        <v>2129</v>
      </c>
      <c r="N1435" s="0" t="s">
        <v>175</v>
      </c>
      <c r="O1435" s="0" t="s">
        <v>2517</v>
      </c>
      <c r="P1435" s="0" t="s">
        <v>5556</v>
      </c>
      <c r="Q1435" s="0" t="n">
        <v>30</v>
      </c>
      <c r="R1435" s="0" t="n">
        <v>28</v>
      </c>
      <c r="T1435" s="0" t="s">
        <v>5564</v>
      </c>
      <c r="U1435" s="0" t="s">
        <v>5565</v>
      </c>
      <c r="V1435" s="0" t="s">
        <v>95</v>
      </c>
      <c r="W1435" s="0" t="s">
        <v>4210</v>
      </c>
      <c r="X1435" s="0" t="s">
        <v>5558</v>
      </c>
      <c r="Y1435" s="0" t="s">
        <v>4212</v>
      </c>
      <c r="Z1435" s="0" t="s">
        <v>4160</v>
      </c>
      <c r="AA1435" s="0" t="s">
        <v>5566</v>
      </c>
      <c r="AB1435" s="0" t="s">
        <v>5560</v>
      </c>
      <c r="AC1435" s="0" t="s">
        <v>4162</v>
      </c>
      <c r="AD1435" s="0" t="s">
        <v>4163</v>
      </c>
      <c r="AE1435" s="0" t="s">
        <v>4164</v>
      </c>
      <c r="AF1435" s="0" t="s">
        <v>5561</v>
      </c>
      <c r="AH1435" s="0" t="s">
        <v>2239</v>
      </c>
      <c r="AL1435" s="0" t="s">
        <v>539</v>
      </c>
    </row>
    <row r="1436" customFormat="false" ht="15" hidden="false" customHeight="false" outlineLevel="0" collapsed="false">
      <c r="A1436" s="0" t="s">
        <v>1287</v>
      </c>
      <c r="B1436" s="0" t="s">
        <v>169</v>
      </c>
      <c r="C1436" s="0" t="s">
        <v>4695</v>
      </c>
      <c r="D1436" s="0" t="n">
        <v>2020</v>
      </c>
      <c r="E1436" s="0" t="s">
        <v>62</v>
      </c>
      <c r="F1436" s="0" t="n">
        <v>596827</v>
      </c>
      <c r="G1436" s="0" t="s">
        <v>3101</v>
      </c>
      <c r="H1436" s="0" t="s">
        <v>3068</v>
      </c>
      <c r="I1436" s="0" t="n">
        <v>596827</v>
      </c>
      <c r="J1436" s="0" t="s">
        <v>5555</v>
      </c>
      <c r="K1436" s="0" t="s">
        <v>2723</v>
      </c>
      <c r="L1436" s="0" t="n">
        <v>2020</v>
      </c>
      <c r="M1436" s="0" t="s">
        <v>2129</v>
      </c>
      <c r="N1436" s="0" t="s">
        <v>175</v>
      </c>
      <c r="O1436" s="0" t="s">
        <v>2517</v>
      </c>
      <c r="P1436" s="0" t="s">
        <v>5556</v>
      </c>
      <c r="Q1436" s="0" t="n">
        <v>30</v>
      </c>
      <c r="R1436" s="0" t="n">
        <v>28</v>
      </c>
      <c r="S1436" s="0" t="n">
        <v>19</v>
      </c>
      <c r="T1436" s="0" t="s">
        <v>5557</v>
      </c>
      <c r="U1436" s="0" t="s">
        <v>4201</v>
      </c>
      <c r="V1436" s="0" t="s">
        <v>95</v>
      </c>
      <c r="W1436" s="0" t="s">
        <v>4738</v>
      </c>
      <c r="X1436" s="0" t="s">
        <v>5558</v>
      </c>
      <c r="Y1436" s="0" t="s">
        <v>4212</v>
      </c>
      <c r="Z1436" s="0" t="s">
        <v>4160</v>
      </c>
      <c r="AA1436" s="0" t="s">
        <v>5567</v>
      </c>
      <c r="AB1436" s="0" t="s">
        <v>5560</v>
      </c>
      <c r="AC1436" s="0" t="s">
        <v>4162</v>
      </c>
      <c r="AD1436" s="0" t="s">
        <v>4163</v>
      </c>
      <c r="AE1436" s="0" t="s">
        <v>4164</v>
      </c>
      <c r="AF1436" s="0" t="s">
        <v>5561</v>
      </c>
      <c r="AH1436" s="0" t="s">
        <v>2239</v>
      </c>
      <c r="AL1436" s="0" t="s">
        <v>539</v>
      </c>
    </row>
    <row r="1437" customFormat="false" ht="15" hidden="false" customHeight="false" outlineLevel="0" collapsed="false">
      <c r="A1437" s="0" t="s">
        <v>1279</v>
      </c>
      <c r="B1437" s="0" t="s">
        <v>169</v>
      </c>
      <c r="C1437" s="0" t="s">
        <v>4695</v>
      </c>
      <c r="D1437" s="0" t="n">
        <v>2020</v>
      </c>
      <c r="E1437" s="0" t="s">
        <v>54</v>
      </c>
      <c r="F1437" s="0" t="n">
        <v>11110</v>
      </c>
      <c r="G1437" s="0" t="s">
        <v>3101</v>
      </c>
      <c r="H1437" s="0" t="s">
        <v>3068</v>
      </c>
      <c r="I1437" s="0" t="n">
        <v>11110</v>
      </c>
      <c r="J1437" s="0" t="s">
        <v>5555</v>
      </c>
      <c r="K1437" s="0" t="s">
        <v>2723</v>
      </c>
      <c r="L1437" s="0" t="n">
        <v>2020</v>
      </c>
      <c r="M1437" s="0" t="s">
        <v>2129</v>
      </c>
      <c r="N1437" s="0" t="s">
        <v>175</v>
      </c>
      <c r="O1437" s="0" t="s">
        <v>2517</v>
      </c>
      <c r="P1437" s="0" t="s">
        <v>5556</v>
      </c>
      <c r="Q1437" s="0" t="n">
        <v>29</v>
      </c>
      <c r="R1437" s="0" t="n">
        <v>27</v>
      </c>
      <c r="T1437" s="0" t="s">
        <v>5557</v>
      </c>
      <c r="U1437" s="0" t="s">
        <v>4201</v>
      </c>
      <c r="V1437" s="0" t="s">
        <v>95</v>
      </c>
      <c r="W1437" s="0" t="s">
        <v>5568</v>
      </c>
      <c r="X1437" s="0" t="s">
        <v>5569</v>
      </c>
      <c r="Y1437" s="0" t="s">
        <v>4159</v>
      </c>
      <c r="Z1437" s="0" t="s">
        <v>4160</v>
      </c>
      <c r="AA1437" s="0" t="s">
        <v>5570</v>
      </c>
      <c r="AB1437" s="0" t="s">
        <v>5560</v>
      </c>
      <c r="AC1437" s="0" t="s">
        <v>4162</v>
      </c>
      <c r="AD1437" s="0" t="s">
        <v>4163</v>
      </c>
      <c r="AE1437" s="0" t="s">
        <v>4164</v>
      </c>
      <c r="AF1437" s="0" t="s">
        <v>5561</v>
      </c>
      <c r="AH1437" s="0" t="s">
        <v>2239</v>
      </c>
      <c r="AL1437" s="0" t="s">
        <v>523</v>
      </c>
    </row>
    <row r="1438" customFormat="false" ht="15" hidden="false" customHeight="false" outlineLevel="0" collapsed="false">
      <c r="A1438" s="0" t="s">
        <v>1294</v>
      </c>
      <c r="B1438" s="0" t="s">
        <v>169</v>
      </c>
      <c r="C1438" s="0" t="s">
        <v>4695</v>
      </c>
      <c r="D1438" s="0" t="n">
        <v>2020</v>
      </c>
      <c r="E1438" s="0" t="s">
        <v>541</v>
      </c>
      <c r="F1438" s="0" t="n">
        <v>12240</v>
      </c>
      <c r="G1438" s="0" t="s">
        <v>3101</v>
      </c>
      <c r="H1438" s="0" t="s">
        <v>3068</v>
      </c>
      <c r="I1438" s="0" t="n">
        <v>12240</v>
      </c>
      <c r="J1438" s="0" t="s">
        <v>5555</v>
      </c>
      <c r="K1438" s="0" t="s">
        <v>2723</v>
      </c>
      <c r="L1438" s="0" t="n">
        <v>2020</v>
      </c>
      <c r="M1438" s="0" t="s">
        <v>2129</v>
      </c>
      <c r="N1438" s="0" t="s">
        <v>175</v>
      </c>
      <c r="O1438" s="0" t="s">
        <v>2517</v>
      </c>
      <c r="P1438" s="0" t="s">
        <v>5556</v>
      </c>
      <c r="Q1438" s="0" t="n">
        <v>29</v>
      </c>
      <c r="R1438" s="0" t="n">
        <v>27</v>
      </c>
      <c r="T1438" s="0" t="s">
        <v>5557</v>
      </c>
      <c r="U1438" s="0" t="s">
        <v>4201</v>
      </c>
      <c r="V1438" s="0" t="s">
        <v>95</v>
      </c>
      <c r="W1438" s="0" t="s">
        <v>5571</v>
      </c>
      <c r="X1438" s="0" t="s">
        <v>5569</v>
      </c>
      <c r="Y1438" s="0" t="s">
        <v>4159</v>
      </c>
      <c r="Z1438" s="0" t="s">
        <v>4160</v>
      </c>
      <c r="AA1438" s="0" t="s">
        <v>5572</v>
      </c>
      <c r="AB1438" s="0" t="s">
        <v>5560</v>
      </c>
      <c r="AC1438" s="0" t="s">
        <v>4162</v>
      </c>
      <c r="AD1438" s="0" t="s">
        <v>4163</v>
      </c>
      <c r="AE1438" s="0" t="s">
        <v>4164</v>
      </c>
      <c r="AF1438" s="0" t="s">
        <v>5561</v>
      </c>
      <c r="AH1438" s="0" t="s">
        <v>2239</v>
      </c>
      <c r="AL1438" s="0" t="s">
        <v>523</v>
      </c>
    </row>
    <row r="1439" customFormat="false" ht="15" hidden="false" customHeight="false" outlineLevel="0" collapsed="false">
      <c r="A1439" s="0" t="s">
        <v>1288</v>
      </c>
      <c r="B1439" s="0" t="s">
        <v>169</v>
      </c>
      <c r="C1439" s="0" t="s">
        <v>4695</v>
      </c>
      <c r="D1439" s="0" t="n">
        <v>2020</v>
      </c>
      <c r="E1439" s="0" t="s">
        <v>63</v>
      </c>
      <c r="F1439" s="0" t="n">
        <v>-7913</v>
      </c>
      <c r="G1439" s="0" t="s">
        <v>3101</v>
      </c>
      <c r="H1439" s="0" t="s">
        <v>3068</v>
      </c>
      <c r="I1439" s="0" t="n">
        <v>7913</v>
      </c>
      <c r="J1439" s="0" t="s">
        <v>5555</v>
      </c>
      <c r="K1439" s="0" t="s">
        <v>2723</v>
      </c>
      <c r="L1439" s="0" t="n">
        <v>2020</v>
      </c>
      <c r="M1439" s="0" t="s">
        <v>2129</v>
      </c>
      <c r="N1439" s="0" t="s">
        <v>175</v>
      </c>
      <c r="O1439" s="0" t="s">
        <v>2517</v>
      </c>
      <c r="P1439" s="0" t="s">
        <v>5556</v>
      </c>
      <c r="Q1439" s="0" t="n">
        <v>29</v>
      </c>
      <c r="R1439" s="0" t="n">
        <v>27</v>
      </c>
      <c r="S1439" s="0" t="n">
        <v>11</v>
      </c>
      <c r="T1439" s="0" t="s">
        <v>5557</v>
      </c>
      <c r="U1439" s="0" t="s">
        <v>4201</v>
      </c>
      <c r="V1439" s="0" t="s">
        <v>95</v>
      </c>
      <c r="W1439" s="0" t="s">
        <v>5573</v>
      </c>
      <c r="X1439" s="0" t="s">
        <v>5569</v>
      </c>
      <c r="Y1439" s="0" t="s">
        <v>4159</v>
      </c>
      <c r="Z1439" s="0" t="s">
        <v>4160</v>
      </c>
      <c r="AA1439" s="0" t="s">
        <v>5574</v>
      </c>
      <c r="AB1439" s="0" t="s">
        <v>5560</v>
      </c>
      <c r="AC1439" s="0" t="s">
        <v>4162</v>
      </c>
      <c r="AD1439" s="0" t="s">
        <v>4163</v>
      </c>
      <c r="AE1439" s="0" t="s">
        <v>4164</v>
      </c>
      <c r="AF1439" s="0" t="s">
        <v>5561</v>
      </c>
      <c r="AH1439" s="0" t="s">
        <v>4174</v>
      </c>
      <c r="AI1439" s="0" t="s">
        <v>4175</v>
      </c>
      <c r="AL1439" s="0" t="s">
        <v>523</v>
      </c>
    </row>
    <row r="1440" customFormat="false" ht="15" hidden="false" customHeight="false" outlineLevel="0" collapsed="false">
      <c r="A1440" s="0" t="s">
        <v>1283</v>
      </c>
      <c r="B1440" s="0" t="s">
        <v>169</v>
      </c>
      <c r="C1440" s="0" t="s">
        <v>4695</v>
      </c>
      <c r="D1440" s="0" t="n">
        <v>2020</v>
      </c>
      <c r="E1440" s="0" t="s">
        <v>58</v>
      </c>
      <c r="F1440" s="0" t="n">
        <v>4406</v>
      </c>
      <c r="G1440" s="0" t="s">
        <v>3101</v>
      </c>
      <c r="H1440" s="0" t="s">
        <v>3068</v>
      </c>
      <c r="I1440" s="0" t="n">
        <v>4406</v>
      </c>
      <c r="J1440" s="0" t="s">
        <v>5555</v>
      </c>
      <c r="K1440" s="0" t="s">
        <v>2723</v>
      </c>
      <c r="L1440" s="0" t="n">
        <v>2020</v>
      </c>
      <c r="M1440" s="0" t="s">
        <v>2129</v>
      </c>
      <c r="N1440" s="0" t="s">
        <v>175</v>
      </c>
      <c r="O1440" s="0" t="s">
        <v>2517</v>
      </c>
      <c r="P1440" s="0" t="s">
        <v>5556</v>
      </c>
      <c r="Q1440" s="0" t="n">
        <v>35</v>
      </c>
      <c r="R1440" s="0" t="n">
        <v>33</v>
      </c>
      <c r="T1440" s="0" t="s">
        <v>5557</v>
      </c>
      <c r="U1440" s="0" t="s">
        <v>4201</v>
      </c>
      <c r="V1440" s="0" t="s">
        <v>95</v>
      </c>
      <c r="W1440" s="0" t="s">
        <v>5575</v>
      </c>
      <c r="X1440" s="0" t="s">
        <v>5576</v>
      </c>
      <c r="Y1440" s="0" t="s">
        <v>4159</v>
      </c>
      <c r="Z1440" s="0" t="s">
        <v>4160</v>
      </c>
      <c r="AA1440" s="0" t="s">
        <v>5577</v>
      </c>
      <c r="AB1440" s="0" t="s">
        <v>5560</v>
      </c>
      <c r="AC1440" s="0" t="s">
        <v>4162</v>
      </c>
      <c r="AD1440" s="0" t="s">
        <v>4163</v>
      </c>
      <c r="AE1440" s="0" t="s">
        <v>4164</v>
      </c>
      <c r="AF1440" s="0" t="s">
        <v>5561</v>
      </c>
      <c r="AH1440" s="0" t="s">
        <v>2239</v>
      </c>
      <c r="AL1440" s="0" t="s">
        <v>523</v>
      </c>
    </row>
    <row r="1441" customFormat="false" ht="15" hidden="false" customHeight="false" outlineLevel="0" collapsed="false">
      <c r="A1441" s="0" t="s">
        <v>1285</v>
      </c>
      <c r="B1441" s="0" t="s">
        <v>169</v>
      </c>
      <c r="C1441" s="0" t="s">
        <v>4695</v>
      </c>
      <c r="D1441" s="0" t="n">
        <v>2020</v>
      </c>
      <c r="E1441" s="0" t="s">
        <v>60</v>
      </c>
      <c r="F1441" s="0" t="n">
        <v>613359</v>
      </c>
      <c r="G1441" s="0" t="s">
        <v>3101</v>
      </c>
      <c r="H1441" s="0" t="s">
        <v>3068</v>
      </c>
      <c r="I1441" s="0" t="n">
        <v>613359</v>
      </c>
      <c r="J1441" s="0" t="s">
        <v>5555</v>
      </c>
      <c r="K1441" s="0" t="s">
        <v>2723</v>
      </c>
      <c r="L1441" s="0" t="n">
        <v>2020</v>
      </c>
      <c r="M1441" s="0" t="s">
        <v>2129</v>
      </c>
      <c r="N1441" s="0" t="s">
        <v>175</v>
      </c>
      <c r="O1441" s="0" t="s">
        <v>2517</v>
      </c>
      <c r="P1441" s="0" t="s">
        <v>5556</v>
      </c>
      <c r="Q1441" s="0" t="n">
        <v>82</v>
      </c>
      <c r="R1441" s="0" t="n">
        <v>80</v>
      </c>
      <c r="S1441" s="0" t="n">
        <v>19</v>
      </c>
      <c r="T1441" s="0" t="s">
        <v>5557</v>
      </c>
      <c r="U1441" s="0" t="s">
        <v>4201</v>
      </c>
      <c r="V1441" s="0" t="s">
        <v>95</v>
      </c>
      <c r="W1441" s="0" t="s">
        <v>5578</v>
      </c>
      <c r="X1441" s="0" t="s">
        <v>5579</v>
      </c>
      <c r="Y1441" s="0" t="s">
        <v>4159</v>
      </c>
      <c r="Z1441" s="0" t="s">
        <v>4160</v>
      </c>
      <c r="AA1441" s="0" t="s">
        <v>5580</v>
      </c>
      <c r="AB1441" s="0" t="s">
        <v>5560</v>
      </c>
      <c r="AC1441" s="0" t="s">
        <v>4162</v>
      </c>
      <c r="AD1441" s="0" t="s">
        <v>4163</v>
      </c>
      <c r="AE1441" s="0" t="s">
        <v>4164</v>
      </c>
      <c r="AF1441" s="0" t="s">
        <v>5561</v>
      </c>
      <c r="AH1441" s="0" t="s">
        <v>2239</v>
      </c>
      <c r="AL1441" s="0" t="s">
        <v>523</v>
      </c>
    </row>
    <row r="1442" customFormat="false" ht="15" hidden="false" customHeight="false" outlineLevel="0" collapsed="false">
      <c r="A1442" s="0" t="s">
        <v>5581</v>
      </c>
      <c r="B1442" s="0" t="s">
        <v>169</v>
      </c>
      <c r="C1442" s="0" t="s">
        <v>4695</v>
      </c>
      <c r="D1442" s="0" t="n">
        <v>2020</v>
      </c>
      <c r="E1442" s="0" t="s">
        <v>4540</v>
      </c>
      <c r="F1442" s="0" t="n">
        <v>-14111</v>
      </c>
      <c r="G1442" s="0" t="s">
        <v>3101</v>
      </c>
      <c r="H1442" s="0" t="s">
        <v>3068</v>
      </c>
      <c r="I1442" s="0" t="n">
        <v>14111</v>
      </c>
      <c r="J1442" s="0" t="s">
        <v>5555</v>
      </c>
      <c r="K1442" s="0" t="s">
        <v>2723</v>
      </c>
      <c r="L1442" s="0" t="n">
        <v>2020</v>
      </c>
      <c r="M1442" s="0" t="s">
        <v>2129</v>
      </c>
      <c r="N1442" s="0" t="s">
        <v>175</v>
      </c>
      <c r="O1442" s="0" t="s">
        <v>2517</v>
      </c>
      <c r="P1442" s="0" t="s">
        <v>5556</v>
      </c>
      <c r="Q1442" s="0" t="n">
        <v>82</v>
      </c>
      <c r="R1442" s="0" t="n">
        <v>80</v>
      </c>
      <c r="S1442" s="0" t="n">
        <v>19</v>
      </c>
      <c r="T1442" s="0" t="s">
        <v>5557</v>
      </c>
      <c r="U1442" s="0" t="s">
        <v>4201</v>
      </c>
      <c r="V1442" s="0" t="s">
        <v>95</v>
      </c>
      <c r="W1442" s="0" t="s">
        <v>5582</v>
      </c>
      <c r="X1442" s="0" t="s">
        <v>5579</v>
      </c>
      <c r="Y1442" s="0" t="s">
        <v>4159</v>
      </c>
      <c r="Z1442" s="0" t="s">
        <v>4160</v>
      </c>
      <c r="AA1442" s="0" t="s">
        <v>5583</v>
      </c>
      <c r="AB1442" s="0" t="s">
        <v>5560</v>
      </c>
      <c r="AC1442" s="0" t="s">
        <v>4162</v>
      </c>
      <c r="AD1442" s="0" t="s">
        <v>4163</v>
      </c>
      <c r="AE1442" s="0" t="s">
        <v>4164</v>
      </c>
      <c r="AF1442" s="0" t="s">
        <v>5561</v>
      </c>
      <c r="AH1442" s="0" t="s">
        <v>4174</v>
      </c>
      <c r="AI1442" s="0" t="s">
        <v>4184</v>
      </c>
      <c r="AL1442" s="0" t="s">
        <v>523</v>
      </c>
    </row>
    <row r="1443" customFormat="false" ht="15" hidden="false" customHeight="false" outlineLevel="0" collapsed="false">
      <c r="A1443" s="0" t="s">
        <v>5584</v>
      </c>
      <c r="B1443" s="0" t="s">
        <v>169</v>
      </c>
      <c r="C1443" s="0" t="s">
        <v>4695</v>
      </c>
      <c r="D1443" s="0" t="n">
        <v>2020</v>
      </c>
      <c r="E1443" s="0" t="s">
        <v>4534</v>
      </c>
      <c r="F1443" s="0" t="n">
        <v>-2421</v>
      </c>
      <c r="G1443" s="0" t="s">
        <v>3101</v>
      </c>
      <c r="H1443" s="0" t="s">
        <v>3068</v>
      </c>
      <c r="I1443" s="0" t="n">
        <v>2421</v>
      </c>
      <c r="J1443" s="0" t="s">
        <v>5555</v>
      </c>
      <c r="K1443" s="0" t="s">
        <v>2723</v>
      </c>
      <c r="L1443" s="0" t="n">
        <v>2020</v>
      </c>
      <c r="M1443" s="0" t="s">
        <v>2129</v>
      </c>
      <c r="N1443" s="0" t="s">
        <v>175</v>
      </c>
      <c r="O1443" s="0" t="s">
        <v>2517</v>
      </c>
      <c r="P1443" s="0" t="s">
        <v>5556</v>
      </c>
      <c r="Q1443" s="0" t="n">
        <v>82</v>
      </c>
      <c r="R1443" s="0" t="n">
        <v>80</v>
      </c>
      <c r="S1443" s="0" t="n">
        <v>19</v>
      </c>
      <c r="T1443" s="0" t="s">
        <v>5557</v>
      </c>
      <c r="U1443" s="0" t="s">
        <v>4201</v>
      </c>
      <c r="V1443" s="0" t="s">
        <v>95</v>
      </c>
      <c r="W1443" s="0" t="s">
        <v>5585</v>
      </c>
      <c r="X1443" s="0" t="s">
        <v>5579</v>
      </c>
      <c r="Y1443" s="0" t="s">
        <v>4159</v>
      </c>
      <c r="Z1443" s="0" t="s">
        <v>4160</v>
      </c>
      <c r="AA1443" s="0" t="s">
        <v>5586</v>
      </c>
      <c r="AB1443" s="0" t="s">
        <v>5560</v>
      </c>
      <c r="AC1443" s="0" t="s">
        <v>4162</v>
      </c>
      <c r="AD1443" s="0" t="s">
        <v>4163</v>
      </c>
      <c r="AE1443" s="0" t="s">
        <v>4164</v>
      </c>
      <c r="AF1443" s="0" t="s">
        <v>5561</v>
      </c>
      <c r="AH1443" s="0" t="s">
        <v>4174</v>
      </c>
      <c r="AI1443" s="0" t="s">
        <v>4184</v>
      </c>
      <c r="AL1443" s="0" t="s">
        <v>523</v>
      </c>
    </row>
    <row r="1444" customFormat="false" ht="15" hidden="false" customHeight="false" outlineLevel="0" collapsed="false">
      <c r="A1444" s="0" t="s">
        <v>1291</v>
      </c>
      <c r="B1444" s="0" t="s">
        <v>169</v>
      </c>
      <c r="C1444" s="0" t="s">
        <v>4695</v>
      </c>
      <c r="D1444" s="0" t="n">
        <v>2020</v>
      </c>
      <c r="E1444" s="0" t="s">
        <v>65</v>
      </c>
      <c r="F1444" s="0" t="n">
        <v>138703</v>
      </c>
      <c r="G1444" s="0" t="s">
        <v>3101</v>
      </c>
      <c r="H1444" s="0" t="s">
        <v>3068</v>
      </c>
      <c r="I1444" s="0" t="n">
        <v>138703</v>
      </c>
      <c r="J1444" s="0" t="s">
        <v>5555</v>
      </c>
      <c r="K1444" s="0" t="s">
        <v>2723</v>
      </c>
      <c r="L1444" s="0" t="n">
        <v>2020</v>
      </c>
      <c r="M1444" s="0" t="s">
        <v>2129</v>
      </c>
      <c r="N1444" s="0" t="s">
        <v>175</v>
      </c>
      <c r="O1444" s="0" t="s">
        <v>2517</v>
      </c>
      <c r="P1444" s="0" t="s">
        <v>5556</v>
      </c>
      <c r="Q1444" s="0" t="n">
        <v>183</v>
      </c>
      <c r="R1444" s="0" t="n">
        <v>181</v>
      </c>
      <c r="S1444" s="0" t="s">
        <v>5587</v>
      </c>
      <c r="T1444" s="0" t="s">
        <v>5557</v>
      </c>
      <c r="U1444" s="0" t="s">
        <v>4201</v>
      </c>
      <c r="V1444" s="0" t="s">
        <v>95</v>
      </c>
      <c r="W1444" s="0" t="s">
        <v>5588</v>
      </c>
      <c r="X1444" s="0" t="s">
        <v>5589</v>
      </c>
      <c r="Y1444" s="0" t="s">
        <v>4159</v>
      </c>
      <c r="Z1444" s="0" t="s">
        <v>4160</v>
      </c>
      <c r="AA1444" s="0" t="s">
        <v>5590</v>
      </c>
      <c r="AB1444" s="0" t="s">
        <v>5560</v>
      </c>
      <c r="AC1444" s="0" t="s">
        <v>4162</v>
      </c>
      <c r="AD1444" s="0" t="s">
        <v>4163</v>
      </c>
      <c r="AE1444" s="0" t="s">
        <v>4164</v>
      </c>
      <c r="AF1444" s="0" t="s">
        <v>5561</v>
      </c>
      <c r="AH1444" s="0" t="s">
        <v>2239</v>
      </c>
      <c r="AL1444" s="0" t="s">
        <v>523</v>
      </c>
    </row>
    <row r="1445" customFormat="false" ht="15" hidden="false" customHeight="false" outlineLevel="0" collapsed="false">
      <c r="A1445" s="0" t="s">
        <v>1292</v>
      </c>
      <c r="B1445" s="0" t="s">
        <v>169</v>
      </c>
      <c r="C1445" s="0" t="s">
        <v>4695</v>
      </c>
      <c r="D1445" s="0" t="n">
        <v>2020</v>
      </c>
      <c r="E1445" s="0" t="s">
        <v>66</v>
      </c>
      <c r="F1445" s="0" t="n">
        <v>771587</v>
      </c>
      <c r="G1445" s="0" t="s">
        <v>3101</v>
      </c>
      <c r="H1445" s="0" t="s">
        <v>3068</v>
      </c>
      <c r="I1445" s="0" t="n">
        <v>771587</v>
      </c>
      <c r="J1445" s="0" t="s">
        <v>5555</v>
      </c>
      <c r="K1445" s="0" t="s">
        <v>2723</v>
      </c>
      <c r="L1445" s="0" t="n">
        <v>2020</v>
      </c>
      <c r="M1445" s="0" t="s">
        <v>2129</v>
      </c>
      <c r="N1445" s="0" t="s">
        <v>175</v>
      </c>
      <c r="O1445" s="0" t="s">
        <v>2517</v>
      </c>
      <c r="P1445" s="0" t="s">
        <v>5556</v>
      </c>
      <c r="Q1445" s="0" t="n">
        <v>183</v>
      </c>
      <c r="R1445" s="0" t="n">
        <v>181</v>
      </c>
      <c r="S1445" s="0" t="s">
        <v>5587</v>
      </c>
      <c r="T1445" s="0" t="s">
        <v>5557</v>
      </c>
      <c r="U1445" s="0" t="s">
        <v>4201</v>
      </c>
      <c r="V1445" s="0" t="s">
        <v>95</v>
      </c>
      <c r="W1445" s="0" t="s">
        <v>5591</v>
      </c>
      <c r="X1445" s="0" t="s">
        <v>5589</v>
      </c>
      <c r="Y1445" s="0" t="s">
        <v>4159</v>
      </c>
      <c r="Z1445" s="0" t="s">
        <v>4160</v>
      </c>
      <c r="AA1445" s="0" t="s">
        <v>5592</v>
      </c>
      <c r="AB1445" s="0" t="s">
        <v>5560</v>
      </c>
      <c r="AC1445" s="0" t="s">
        <v>4162</v>
      </c>
      <c r="AD1445" s="0" t="s">
        <v>4163</v>
      </c>
      <c r="AE1445" s="0" t="s">
        <v>4164</v>
      </c>
      <c r="AF1445" s="0" t="s">
        <v>5561</v>
      </c>
      <c r="AH1445" s="0" t="s">
        <v>2239</v>
      </c>
      <c r="AL1445" s="0" t="s">
        <v>523</v>
      </c>
    </row>
    <row r="1446" customFormat="false" ht="15" hidden="false" customHeight="false" outlineLevel="0" collapsed="false">
      <c r="A1446" s="0" t="s">
        <v>1289</v>
      </c>
      <c r="B1446" s="0" t="s">
        <v>169</v>
      </c>
      <c r="C1446" s="0" t="s">
        <v>4695</v>
      </c>
      <c r="D1446" s="0" t="n">
        <v>2020</v>
      </c>
      <c r="E1446" s="0" t="s">
        <v>69</v>
      </c>
      <c r="F1446" s="0" t="s">
        <v>5593</v>
      </c>
      <c r="G1446" s="0" t="s">
        <v>3143</v>
      </c>
      <c r="I1446" s="0" t="n">
        <v>17.98</v>
      </c>
      <c r="J1446" s="0" t="s">
        <v>5555</v>
      </c>
      <c r="K1446" s="0" t="s">
        <v>2723</v>
      </c>
      <c r="L1446" s="0" t="n">
        <v>2020</v>
      </c>
      <c r="M1446" s="0" t="s">
        <v>2129</v>
      </c>
      <c r="N1446" s="0" t="s">
        <v>175</v>
      </c>
      <c r="O1446" s="0" t="s">
        <v>2517</v>
      </c>
      <c r="P1446" s="0" t="s">
        <v>5556</v>
      </c>
      <c r="Q1446" s="0" t="n">
        <v>183</v>
      </c>
      <c r="R1446" s="0" t="n">
        <v>181</v>
      </c>
      <c r="S1446" s="0" t="s">
        <v>5587</v>
      </c>
      <c r="T1446" s="0" t="s">
        <v>5557</v>
      </c>
      <c r="U1446" s="0" t="s">
        <v>4201</v>
      </c>
      <c r="V1446" s="0" t="s">
        <v>95</v>
      </c>
      <c r="W1446" s="0" t="s">
        <v>5594</v>
      </c>
      <c r="X1446" s="0" t="s">
        <v>5589</v>
      </c>
      <c r="Y1446" s="0" t="s">
        <v>4159</v>
      </c>
      <c r="Z1446" s="0" t="s">
        <v>4160</v>
      </c>
      <c r="AA1446" s="0" t="s">
        <v>5595</v>
      </c>
      <c r="AB1446" s="0" t="s">
        <v>5560</v>
      </c>
      <c r="AC1446" s="0" t="s">
        <v>4162</v>
      </c>
      <c r="AD1446" s="0" t="s">
        <v>4163</v>
      </c>
      <c r="AE1446" s="0" t="s">
        <v>4164</v>
      </c>
      <c r="AF1446" s="0" t="s">
        <v>5561</v>
      </c>
      <c r="AH1446" s="0" t="s">
        <v>2239</v>
      </c>
      <c r="AL1446" s="0" t="s">
        <v>523</v>
      </c>
    </row>
    <row r="1447" customFormat="false" ht="15" hidden="false" customHeight="false" outlineLevel="0" collapsed="false">
      <c r="A1447" s="0" t="s">
        <v>1290</v>
      </c>
      <c r="B1447" s="0" t="s">
        <v>169</v>
      </c>
      <c r="C1447" s="0" t="s">
        <v>4695</v>
      </c>
      <c r="D1447" s="0" t="n">
        <v>2020</v>
      </c>
      <c r="E1447" s="0" t="s">
        <v>70</v>
      </c>
      <c r="F1447" s="0" t="s">
        <v>4299</v>
      </c>
      <c r="G1447" s="0" t="s">
        <v>3143</v>
      </c>
      <c r="I1447" s="0" t="n">
        <v>10</v>
      </c>
      <c r="J1447" s="0" t="s">
        <v>5555</v>
      </c>
      <c r="K1447" s="0" t="s">
        <v>2723</v>
      </c>
      <c r="L1447" s="0" t="n">
        <v>2020</v>
      </c>
      <c r="M1447" s="0" t="s">
        <v>2129</v>
      </c>
      <c r="N1447" s="0" t="s">
        <v>175</v>
      </c>
      <c r="O1447" s="0" t="s">
        <v>2517</v>
      </c>
      <c r="P1447" s="0" t="s">
        <v>5556</v>
      </c>
      <c r="Q1447" s="0" t="n">
        <v>181</v>
      </c>
      <c r="R1447" s="0" t="n">
        <v>179</v>
      </c>
      <c r="S1447" s="0" t="s">
        <v>5596</v>
      </c>
      <c r="T1447" s="0" t="s">
        <v>5170</v>
      </c>
      <c r="U1447" s="0" t="s">
        <v>4201</v>
      </c>
      <c r="V1447" s="0" t="s">
        <v>95</v>
      </c>
      <c r="W1447" s="0" t="s">
        <v>5597</v>
      </c>
      <c r="X1447" s="0" t="s">
        <v>5598</v>
      </c>
      <c r="Y1447" s="0" t="s">
        <v>4159</v>
      </c>
      <c r="Z1447" s="0" t="s">
        <v>4160</v>
      </c>
      <c r="AA1447" s="0" t="s">
        <v>5599</v>
      </c>
      <c r="AB1447" s="0" t="s">
        <v>5560</v>
      </c>
      <c r="AC1447" s="0" t="s">
        <v>4162</v>
      </c>
      <c r="AD1447" s="0" t="s">
        <v>4163</v>
      </c>
      <c r="AE1447" s="0" t="s">
        <v>4164</v>
      </c>
      <c r="AF1447" s="0" t="s">
        <v>5561</v>
      </c>
      <c r="AH1447" s="0" t="s">
        <v>2239</v>
      </c>
      <c r="AL1447" s="0" t="s">
        <v>523</v>
      </c>
    </row>
    <row r="1448" customFormat="false" ht="15" hidden="false" customHeight="false" outlineLevel="0" collapsed="false">
      <c r="A1448" s="0" t="s">
        <v>1293</v>
      </c>
      <c r="B1448" s="0" t="s">
        <v>169</v>
      </c>
      <c r="C1448" s="0" t="s">
        <v>4695</v>
      </c>
      <c r="D1448" s="0" t="n">
        <v>2020</v>
      </c>
      <c r="E1448" s="0" t="s">
        <v>73</v>
      </c>
      <c r="F1448" s="0" t="n">
        <v>0</v>
      </c>
      <c r="G1448" s="0" t="s">
        <v>4257</v>
      </c>
      <c r="I1448" s="0" t="n">
        <v>0</v>
      </c>
      <c r="J1448" s="0" t="s">
        <v>5600</v>
      </c>
      <c r="K1448" s="0" t="s">
        <v>2723</v>
      </c>
      <c r="L1448" s="0" t="n">
        <v>2020</v>
      </c>
      <c r="M1448" s="0" t="s">
        <v>2129</v>
      </c>
      <c r="N1448" s="0" t="s">
        <v>175</v>
      </c>
      <c r="O1448" s="0" t="s">
        <v>2517</v>
      </c>
      <c r="P1448" s="0" t="s">
        <v>5556</v>
      </c>
      <c r="Q1448" s="0" t="n">
        <v>25</v>
      </c>
      <c r="R1448" s="0" t="n">
        <v>23</v>
      </c>
      <c r="T1448" s="0" t="s">
        <v>5601</v>
      </c>
      <c r="U1448" s="0" t="s">
        <v>4201</v>
      </c>
      <c r="V1448" s="0" t="s">
        <v>95</v>
      </c>
      <c r="W1448" s="0" t="s">
        <v>4803</v>
      </c>
      <c r="X1448" s="0" t="s">
        <v>5602</v>
      </c>
      <c r="Y1448" s="0" t="s">
        <v>4212</v>
      </c>
      <c r="Z1448" s="0" t="s">
        <v>4160</v>
      </c>
      <c r="AA1448" s="0" t="s">
        <v>5603</v>
      </c>
      <c r="AB1448" s="0" t="s">
        <v>5560</v>
      </c>
      <c r="AC1448" s="0" t="s">
        <v>4162</v>
      </c>
      <c r="AD1448" s="0" t="s">
        <v>4163</v>
      </c>
      <c r="AE1448" s="0" t="s">
        <v>4164</v>
      </c>
      <c r="AF1448" s="0" t="s">
        <v>5561</v>
      </c>
      <c r="AG1448" s="0" t="s">
        <v>1828</v>
      </c>
      <c r="AH1448" s="0" t="s">
        <v>2239</v>
      </c>
      <c r="AL1448" s="0" t="s">
        <v>539</v>
      </c>
    </row>
    <row r="1449" customFormat="false" ht="15" hidden="false" customHeight="false" outlineLevel="0" collapsed="false">
      <c r="A1449" s="0" t="s">
        <v>1296</v>
      </c>
      <c r="B1449" s="0" t="s">
        <v>169</v>
      </c>
      <c r="C1449" s="0" t="s">
        <v>4695</v>
      </c>
      <c r="D1449" s="0" t="n">
        <v>2021</v>
      </c>
      <c r="E1449" s="0" t="s">
        <v>55</v>
      </c>
      <c r="F1449" s="0" t="n">
        <v>1611749</v>
      </c>
      <c r="G1449" s="0" t="s">
        <v>3101</v>
      </c>
      <c r="H1449" s="0" t="s">
        <v>3068</v>
      </c>
      <c r="I1449" s="0" t="n">
        <v>1611749</v>
      </c>
      <c r="J1449" s="0" t="s">
        <v>4155</v>
      </c>
      <c r="K1449" s="0" t="s">
        <v>2724</v>
      </c>
      <c r="L1449" s="0" t="n">
        <v>2021</v>
      </c>
      <c r="M1449" s="0" t="s">
        <v>2140</v>
      </c>
      <c r="N1449" s="0" t="s">
        <v>176</v>
      </c>
      <c r="O1449" s="0" t="s">
        <v>2519</v>
      </c>
      <c r="P1449" s="0" t="s">
        <v>5604</v>
      </c>
      <c r="Q1449" s="0" t="n">
        <v>31</v>
      </c>
      <c r="R1449" s="0" t="n">
        <v>29</v>
      </c>
      <c r="T1449" s="0" t="s">
        <v>5605</v>
      </c>
      <c r="U1449" s="0" t="s">
        <v>4303</v>
      </c>
      <c r="V1449" s="0" t="s">
        <v>97</v>
      </c>
      <c r="W1449" s="0" t="s">
        <v>4210</v>
      </c>
      <c r="X1449" s="0" t="s">
        <v>5606</v>
      </c>
      <c r="Y1449" s="0" t="s">
        <v>4212</v>
      </c>
      <c r="Z1449" s="0" t="s">
        <v>4160</v>
      </c>
      <c r="AA1449" s="0" t="s">
        <v>5607</v>
      </c>
      <c r="AB1449" s="0" t="s">
        <v>5608</v>
      </c>
      <c r="AC1449" s="0" t="s">
        <v>4162</v>
      </c>
      <c r="AD1449" s="0" t="s">
        <v>4163</v>
      </c>
      <c r="AE1449" s="0" t="s">
        <v>4164</v>
      </c>
      <c r="AF1449" s="0" t="s">
        <v>5609</v>
      </c>
      <c r="AH1449" s="0" t="s">
        <v>2239</v>
      </c>
      <c r="AL1449" s="0" t="s">
        <v>539</v>
      </c>
    </row>
    <row r="1450" customFormat="false" ht="15" hidden="false" customHeight="false" outlineLevel="0" collapsed="false">
      <c r="A1450" s="0" t="s">
        <v>1297</v>
      </c>
      <c r="B1450" s="0" t="s">
        <v>169</v>
      </c>
      <c r="C1450" s="0" t="s">
        <v>4695</v>
      </c>
      <c r="D1450" s="0" t="n">
        <v>2021</v>
      </c>
      <c r="E1450" s="0" t="s">
        <v>56</v>
      </c>
      <c r="F1450" s="0" t="n">
        <v>1470733</v>
      </c>
      <c r="G1450" s="0" t="s">
        <v>3101</v>
      </c>
      <c r="H1450" s="0" t="s">
        <v>3068</v>
      </c>
      <c r="I1450" s="0" t="n">
        <v>1470733</v>
      </c>
      <c r="J1450" s="0" t="s">
        <v>4155</v>
      </c>
      <c r="K1450" s="0" t="s">
        <v>2724</v>
      </c>
      <c r="L1450" s="0" t="n">
        <v>2021</v>
      </c>
      <c r="M1450" s="0" t="s">
        <v>2140</v>
      </c>
      <c r="N1450" s="0" t="s">
        <v>176</v>
      </c>
      <c r="O1450" s="0" t="s">
        <v>2519</v>
      </c>
      <c r="P1450" s="0" t="s">
        <v>5604</v>
      </c>
      <c r="Q1450" s="0" t="n">
        <v>31</v>
      </c>
      <c r="R1450" s="0" t="n">
        <v>29</v>
      </c>
      <c r="T1450" s="0" t="s">
        <v>5605</v>
      </c>
      <c r="U1450" s="0" t="s">
        <v>4303</v>
      </c>
      <c r="V1450" s="0" t="s">
        <v>97</v>
      </c>
      <c r="W1450" s="0" t="s">
        <v>4216</v>
      </c>
      <c r="X1450" s="0" t="s">
        <v>5606</v>
      </c>
      <c r="Y1450" s="0" t="s">
        <v>4212</v>
      </c>
      <c r="Z1450" s="0" t="s">
        <v>4160</v>
      </c>
      <c r="AA1450" s="0" t="s">
        <v>5610</v>
      </c>
      <c r="AB1450" s="0" t="s">
        <v>5608</v>
      </c>
      <c r="AC1450" s="0" t="s">
        <v>4162</v>
      </c>
      <c r="AD1450" s="0" t="s">
        <v>4163</v>
      </c>
      <c r="AE1450" s="0" t="s">
        <v>4164</v>
      </c>
      <c r="AF1450" s="0" t="s">
        <v>5609</v>
      </c>
      <c r="AH1450" s="0" t="s">
        <v>2239</v>
      </c>
      <c r="AL1450" s="0" t="s">
        <v>539</v>
      </c>
    </row>
    <row r="1451" customFormat="false" ht="15" hidden="false" customHeight="false" outlineLevel="0" collapsed="false">
      <c r="A1451" s="0" t="s">
        <v>1298</v>
      </c>
      <c r="B1451" s="0" t="s">
        <v>169</v>
      </c>
      <c r="C1451" s="0" t="s">
        <v>4695</v>
      </c>
      <c r="D1451" s="0" t="n">
        <v>2021</v>
      </c>
      <c r="E1451" s="0" t="s">
        <v>57</v>
      </c>
      <c r="F1451" s="0" t="n">
        <v>141016</v>
      </c>
      <c r="G1451" s="0" t="s">
        <v>3101</v>
      </c>
      <c r="H1451" s="0" t="s">
        <v>3068</v>
      </c>
      <c r="I1451" s="0" t="n">
        <v>141016</v>
      </c>
      <c r="J1451" s="0" t="s">
        <v>4155</v>
      </c>
      <c r="K1451" s="0" t="s">
        <v>2724</v>
      </c>
      <c r="L1451" s="0" t="n">
        <v>2021</v>
      </c>
      <c r="M1451" s="0" t="s">
        <v>2140</v>
      </c>
      <c r="N1451" s="0" t="s">
        <v>176</v>
      </c>
      <c r="O1451" s="0" t="s">
        <v>2519</v>
      </c>
      <c r="P1451" s="0" t="s">
        <v>5604</v>
      </c>
      <c r="Q1451" s="0" t="n">
        <v>31</v>
      </c>
      <c r="R1451" s="0" t="n">
        <v>29</v>
      </c>
      <c r="T1451" s="0" t="s">
        <v>5605</v>
      </c>
      <c r="U1451" s="0" t="s">
        <v>4303</v>
      </c>
      <c r="V1451" s="0" t="s">
        <v>97</v>
      </c>
      <c r="W1451" s="0" t="s">
        <v>4864</v>
      </c>
      <c r="X1451" s="0" t="s">
        <v>5606</v>
      </c>
      <c r="Y1451" s="0" t="s">
        <v>4212</v>
      </c>
      <c r="Z1451" s="0" t="s">
        <v>4160</v>
      </c>
      <c r="AA1451" s="0" t="s">
        <v>5611</v>
      </c>
      <c r="AB1451" s="0" t="s">
        <v>5608</v>
      </c>
      <c r="AC1451" s="0" t="s">
        <v>4162</v>
      </c>
      <c r="AD1451" s="0" t="s">
        <v>4163</v>
      </c>
      <c r="AE1451" s="0" t="s">
        <v>4164</v>
      </c>
      <c r="AF1451" s="0" t="s">
        <v>5609</v>
      </c>
      <c r="AH1451" s="0" t="s">
        <v>2239</v>
      </c>
      <c r="AL1451" s="0" t="s">
        <v>539</v>
      </c>
    </row>
    <row r="1452" customFormat="false" ht="15" hidden="false" customHeight="false" outlineLevel="0" collapsed="false">
      <c r="A1452" s="0" t="s">
        <v>1300</v>
      </c>
      <c r="B1452" s="0" t="s">
        <v>169</v>
      </c>
      <c r="C1452" s="0" t="s">
        <v>4695</v>
      </c>
      <c r="D1452" s="0" t="n">
        <v>2021</v>
      </c>
      <c r="E1452" s="0" t="s">
        <v>59</v>
      </c>
      <c r="F1452" s="0" t="n">
        <v>1281830</v>
      </c>
      <c r="G1452" s="0" t="s">
        <v>3101</v>
      </c>
      <c r="H1452" s="0" t="s">
        <v>3068</v>
      </c>
      <c r="I1452" s="0" t="n">
        <v>1281830</v>
      </c>
      <c r="J1452" s="0" t="s">
        <v>4155</v>
      </c>
      <c r="K1452" s="0" t="s">
        <v>2724</v>
      </c>
      <c r="L1452" s="0" t="n">
        <v>2021</v>
      </c>
      <c r="M1452" s="0" t="s">
        <v>2140</v>
      </c>
      <c r="N1452" s="0" t="s">
        <v>176</v>
      </c>
      <c r="O1452" s="0" t="s">
        <v>2519</v>
      </c>
      <c r="P1452" s="0" t="s">
        <v>5604</v>
      </c>
      <c r="Q1452" s="0" t="n">
        <v>31</v>
      </c>
      <c r="R1452" s="0" t="n">
        <v>29</v>
      </c>
      <c r="T1452" s="0" t="s">
        <v>5557</v>
      </c>
      <c r="U1452" s="0" t="s">
        <v>4303</v>
      </c>
      <c r="V1452" s="0" t="s">
        <v>97</v>
      </c>
      <c r="W1452" s="0" t="s">
        <v>4210</v>
      </c>
      <c r="X1452" s="0" t="s">
        <v>5606</v>
      </c>
      <c r="Y1452" s="0" t="s">
        <v>4212</v>
      </c>
      <c r="Z1452" s="0" t="s">
        <v>4160</v>
      </c>
      <c r="AA1452" s="0" t="s">
        <v>5612</v>
      </c>
      <c r="AB1452" s="0" t="s">
        <v>5608</v>
      </c>
      <c r="AC1452" s="0" t="s">
        <v>4162</v>
      </c>
      <c r="AD1452" s="0" t="s">
        <v>4163</v>
      </c>
      <c r="AE1452" s="0" t="s">
        <v>4164</v>
      </c>
      <c r="AF1452" s="0" t="s">
        <v>5613</v>
      </c>
      <c r="AH1452" s="0" t="s">
        <v>2239</v>
      </c>
      <c r="AL1452" s="0" t="s">
        <v>539</v>
      </c>
    </row>
    <row r="1453" customFormat="false" ht="15" hidden="false" customHeight="false" outlineLevel="0" collapsed="false">
      <c r="A1453" s="0" t="s">
        <v>1295</v>
      </c>
      <c r="B1453" s="0" t="s">
        <v>169</v>
      </c>
      <c r="C1453" s="0" t="s">
        <v>4695</v>
      </c>
      <c r="D1453" s="0" t="n">
        <v>2021</v>
      </c>
      <c r="E1453" s="0" t="s">
        <v>54</v>
      </c>
      <c r="F1453" s="0" t="n">
        <v>13403</v>
      </c>
      <c r="G1453" s="0" t="s">
        <v>3101</v>
      </c>
      <c r="H1453" s="0" t="s">
        <v>3068</v>
      </c>
      <c r="I1453" s="0" t="n">
        <v>13403</v>
      </c>
      <c r="J1453" s="0" t="s">
        <v>4155</v>
      </c>
      <c r="K1453" s="0" t="s">
        <v>2724</v>
      </c>
      <c r="L1453" s="0" t="n">
        <v>2021</v>
      </c>
      <c r="M1453" s="0" t="s">
        <v>2140</v>
      </c>
      <c r="N1453" s="0" t="s">
        <v>176</v>
      </c>
      <c r="O1453" s="0" t="s">
        <v>2519</v>
      </c>
      <c r="P1453" s="0" t="s">
        <v>5604</v>
      </c>
      <c r="Q1453" s="0" t="n">
        <v>30</v>
      </c>
      <c r="R1453" s="0" t="n">
        <v>28</v>
      </c>
      <c r="T1453" s="0" t="n">
        <v>2021</v>
      </c>
      <c r="U1453" s="0" t="s">
        <v>4303</v>
      </c>
      <c r="V1453" s="0" t="s">
        <v>97</v>
      </c>
      <c r="W1453" s="0" t="s">
        <v>5614</v>
      </c>
      <c r="X1453" s="0" t="s">
        <v>5615</v>
      </c>
      <c r="Y1453" s="0" t="s">
        <v>4159</v>
      </c>
      <c r="Z1453" s="0" t="s">
        <v>4160</v>
      </c>
      <c r="AA1453" s="0" t="s">
        <v>5616</v>
      </c>
      <c r="AB1453" s="0" t="s">
        <v>5608</v>
      </c>
      <c r="AC1453" s="0" t="s">
        <v>4162</v>
      </c>
      <c r="AD1453" s="0" t="s">
        <v>4163</v>
      </c>
      <c r="AE1453" s="0" t="s">
        <v>4164</v>
      </c>
      <c r="AF1453" s="0" t="s">
        <v>5617</v>
      </c>
      <c r="AH1453" s="0" t="s">
        <v>2239</v>
      </c>
      <c r="AL1453" s="0" t="s">
        <v>523</v>
      </c>
    </row>
    <row r="1454" customFormat="false" ht="15" hidden="false" customHeight="false" outlineLevel="0" collapsed="false">
      <c r="A1454" s="0" t="s">
        <v>1310</v>
      </c>
      <c r="B1454" s="0" t="s">
        <v>169</v>
      </c>
      <c r="C1454" s="0" t="s">
        <v>4695</v>
      </c>
      <c r="D1454" s="0" t="n">
        <v>2021</v>
      </c>
      <c r="E1454" s="0" t="s">
        <v>541</v>
      </c>
      <c r="F1454" s="0" t="n">
        <v>14343</v>
      </c>
      <c r="G1454" s="0" t="s">
        <v>3101</v>
      </c>
      <c r="H1454" s="0" t="s">
        <v>3068</v>
      </c>
      <c r="I1454" s="0" t="n">
        <v>14343</v>
      </c>
      <c r="J1454" s="0" t="s">
        <v>4155</v>
      </c>
      <c r="K1454" s="0" t="s">
        <v>2724</v>
      </c>
      <c r="L1454" s="0" t="n">
        <v>2021</v>
      </c>
      <c r="M1454" s="0" t="s">
        <v>2140</v>
      </c>
      <c r="N1454" s="0" t="s">
        <v>176</v>
      </c>
      <c r="O1454" s="0" t="s">
        <v>2519</v>
      </c>
      <c r="P1454" s="0" t="s">
        <v>5604</v>
      </c>
      <c r="Q1454" s="0" t="n">
        <v>30</v>
      </c>
      <c r="R1454" s="0" t="n">
        <v>28</v>
      </c>
      <c r="T1454" s="0" t="n">
        <v>2021</v>
      </c>
      <c r="U1454" s="0" t="s">
        <v>4303</v>
      </c>
      <c r="V1454" s="0" t="s">
        <v>97</v>
      </c>
      <c r="W1454" s="0" t="s">
        <v>5618</v>
      </c>
      <c r="X1454" s="0" t="s">
        <v>5615</v>
      </c>
      <c r="Y1454" s="0" t="s">
        <v>4159</v>
      </c>
      <c r="Z1454" s="0" t="s">
        <v>4160</v>
      </c>
      <c r="AA1454" s="0" t="s">
        <v>5619</v>
      </c>
      <c r="AB1454" s="0" t="s">
        <v>5608</v>
      </c>
      <c r="AC1454" s="0" t="s">
        <v>4162</v>
      </c>
      <c r="AD1454" s="0" t="s">
        <v>4163</v>
      </c>
      <c r="AE1454" s="0" t="s">
        <v>4164</v>
      </c>
      <c r="AF1454" s="0" t="s">
        <v>5617</v>
      </c>
      <c r="AH1454" s="0" t="s">
        <v>2239</v>
      </c>
      <c r="AL1454" s="0" t="s">
        <v>523</v>
      </c>
    </row>
    <row r="1455" customFormat="false" ht="15" hidden="false" customHeight="false" outlineLevel="0" collapsed="false">
      <c r="A1455" s="0" t="s">
        <v>1304</v>
      </c>
      <c r="B1455" s="0" t="s">
        <v>169</v>
      </c>
      <c r="C1455" s="0" t="s">
        <v>4695</v>
      </c>
      <c r="D1455" s="0" t="n">
        <v>2021</v>
      </c>
      <c r="E1455" s="0" t="s">
        <v>63</v>
      </c>
      <c r="F1455" s="0" t="n">
        <v>-9822</v>
      </c>
      <c r="G1455" s="0" t="s">
        <v>3101</v>
      </c>
      <c r="H1455" s="0" t="s">
        <v>3068</v>
      </c>
      <c r="I1455" s="0" t="n">
        <v>9822</v>
      </c>
      <c r="J1455" s="0" t="s">
        <v>4155</v>
      </c>
      <c r="K1455" s="0" t="s">
        <v>2724</v>
      </c>
      <c r="L1455" s="0" t="n">
        <v>2021</v>
      </c>
      <c r="M1455" s="0" t="s">
        <v>2140</v>
      </c>
      <c r="N1455" s="0" t="s">
        <v>176</v>
      </c>
      <c r="O1455" s="0" t="s">
        <v>2519</v>
      </c>
      <c r="P1455" s="0" t="s">
        <v>5604</v>
      </c>
      <c r="Q1455" s="0" t="n">
        <v>30</v>
      </c>
      <c r="R1455" s="0" t="n">
        <v>28</v>
      </c>
      <c r="S1455" s="0" t="n">
        <v>11</v>
      </c>
      <c r="T1455" s="0" t="n">
        <v>2021</v>
      </c>
      <c r="U1455" s="0" t="s">
        <v>4303</v>
      </c>
      <c r="V1455" s="0" t="s">
        <v>97</v>
      </c>
      <c r="W1455" s="0" t="s">
        <v>5620</v>
      </c>
      <c r="X1455" s="0" t="s">
        <v>5615</v>
      </c>
      <c r="Y1455" s="0" t="s">
        <v>4159</v>
      </c>
      <c r="Z1455" s="0" t="s">
        <v>4160</v>
      </c>
      <c r="AA1455" s="0" t="s">
        <v>5621</v>
      </c>
      <c r="AB1455" s="0" t="s">
        <v>5608</v>
      </c>
      <c r="AC1455" s="0" t="s">
        <v>4162</v>
      </c>
      <c r="AD1455" s="0" t="s">
        <v>4163</v>
      </c>
      <c r="AE1455" s="0" t="s">
        <v>4164</v>
      </c>
      <c r="AF1455" s="0" t="s">
        <v>5617</v>
      </c>
      <c r="AH1455" s="0" t="s">
        <v>4174</v>
      </c>
      <c r="AI1455" s="0" t="s">
        <v>4974</v>
      </c>
      <c r="AL1455" s="0" t="s">
        <v>523</v>
      </c>
    </row>
    <row r="1456" customFormat="false" ht="15" hidden="false" customHeight="false" outlineLevel="0" collapsed="false">
      <c r="A1456" s="0" t="s">
        <v>1299</v>
      </c>
      <c r="B1456" s="0" t="s">
        <v>169</v>
      </c>
      <c r="C1456" s="0" t="s">
        <v>4695</v>
      </c>
      <c r="D1456" s="0" t="n">
        <v>2021</v>
      </c>
      <c r="E1456" s="0" t="s">
        <v>58</v>
      </c>
      <c r="F1456" s="0" t="n">
        <v>145027</v>
      </c>
      <c r="G1456" s="0" t="s">
        <v>3101</v>
      </c>
      <c r="H1456" s="0" t="s">
        <v>3068</v>
      </c>
      <c r="I1456" s="0" t="n">
        <v>145027</v>
      </c>
      <c r="J1456" s="0" t="s">
        <v>4155</v>
      </c>
      <c r="K1456" s="0" t="s">
        <v>2724</v>
      </c>
      <c r="L1456" s="0" t="n">
        <v>2021</v>
      </c>
      <c r="M1456" s="0" t="s">
        <v>2140</v>
      </c>
      <c r="N1456" s="0" t="s">
        <v>176</v>
      </c>
      <c r="O1456" s="0" t="s">
        <v>2519</v>
      </c>
      <c r="P1456" s="0" t="s">
        <v>5604</v>
      </c>
      <c r="Q1456" s="0" t="n">
        <v>36</v>
      </c>
      <c r="R1456" s="0" t="n">
        <v>34</v>
      </c>
      <c r="T1456" s="0" t="n">
        <v>2021</v>
      </c>
      <c r="U1456" s="0" t="s">
        <v>4303</v>
      </c>
      <c r="V1456" s="0" t="s">
        <v>97</v>
      </c>
      <c r="W1456" s="0" t="s">
        <v>5622</v>
      </c>
      <c r="X1456" s="0" t="s">
        <v>5623</v>
      </c>
      <c r="Y1456" s="0" t="s">
        <v>4159</v>
      </c>
      <c r="Z1456" s="0" t="s">
        <v>4160</v>
      </c>
      <c r="AA1456" s="0" t="s">
        <v>5624</v>
      </c>
      <c r="AB1456" s="0" t="s">
        <v>5608</v>
      </c>
      <c r="AC1456" s="0" t="s">
        <v>4162</v>
      </c>
      <c r="AD1456" s="0" t="s">
        <v>4163</v>
      </c>
      <c r="AE1456" s="0" t="s">
        <v>4164</v>
      </c>
      <c r="AF1456" s="0" t="s">
        <v>5625</v>
      </c>
      <c r="AH1456" s="0" t="s">
        <v>2239</v>
      </c>
      <c r="AL1456" s="0" t="s">
        <v>523</v>
      </c>
    </row>
    <row r="1457" customFormat="false" ht="15" hidden="false" customHeight="false" outlineLevel="0" collapsed="false">
      <c r="A1457" s="0" t="s">
        <v>1301</v>
      </c>
      <c r="B1457" s="0" t="s">
        <v>169</v>
      </c>
      <c r="C1457" s="0" t="s">
        <v>4695</v>
      </c>
      <c r="D1457" s="0" t="n">
        <v>2021</v>
      </c>
      <c r="E1457" s="0" t="s">
        <v>60</v>
      </c>
      <c r="F1457" s="0" t="n">
        <v>726080</v>
      </c>
      <c r="G1457" s="0" t="s">
        <v>3101</v>
      </c>
      <c r="H1457" s="0" t="s">
        <v>3068</v>
      </c>
      <c r="I1457" s="0" t="n">
        <v>726080</v>
      </c>
      <c r="J1457" s="0" t="s">
        <v>4155</v>
      </c>
      <c r="K1457" s="0" t="s">
        <v>2724</v>
      </c>
      <c r="L1457" s="0" t="n">
        <v>2021</v>
      </c>
      <c r="M1457" s="0" t="s">
        <v>2140</v>
      </c>
      <c r="N1457" s="0" t="s">
        <v>176</v>
      </c>
      <c r="O1457" s="0" t="s">
        <v>2519</v>
      </c>
      <c r="P1457" s="0" t="s">
        <v>5604</v>
      </c>
      <c r="Q1457" s="0" t="n">
        <v>78</v>
      </c>
      <c r="R1457" s="0" t="n">
        <v>76</v>
      </c>
      <c r="S1457" s="0" t="n">
        <v>19</v>
      </c>
      <c r="T1457" s="0" t="s">
        <v>5626</v>
      </c>
      <c r="U1457" s="0" t="s">
        <v>4303</v>
      </c>
      <c r="V1457" s="0" t="s">
        <v>97</v>
      </c>
      <c r="W1457" s="0" t="s">
        <v>5627</v>
      </c>
      <c r="X1457" s="0" t="s">
        <v>5628</v>
      </c>
      <c r="Y1457" s="0" t="s">
        <v>4159</v>
      </c>
      <c r="Z1457" s="0" t="s">
        <v>4160</v>
      </c>
      <c r="AA1457" s="0" t="s">
        <v>5629</v>
      </c>
      <c r="AB1457" s="0" t="s">
        <v>5608</v>
      </c>
      <c r="AC1457" s="0" t="s">
        <v>4162</v>
      </c>
      <c r="AD1457" s="0" t="s">
        <v>4163</v>
      </c>
      <c r="AE1457" s="0" t="s">
        <v>4164</v>
      </c>
      <c r="AF1457" s="0" t="s">
        <v>5630</v>
      </c>
      <c r="AH1457" s="0" t="s">
        <v>2239</v>
      </c>
      <c r="AL1457" s="0" t="s">
        <v>523</v>
      </c>
    </row>
    <row r="1458" customFormat="false" ht="15" hidden="false" customHeight="false" outlineLevel="0" collapsed="false">
      <c r="A1458" s="0" t="s">
        <v>1303</v>
      </c>
      <c r="B1458" s="0" t="s">
        <v>169</v>
      </c>
      <c r="C1458" s="0" t="s">
        <v>4695</v>
      </c>
      <c r="D1458" s="0" t="n">
        <v>2021</v>
      </c>
      <c r="E1458" s="0" t="s">
        <v>62</v>
      </c>
      <c r="F1458" s="0" t="n">
        <v>711900</v>
      </c>
      <c r="G1458" s="0" t="s">
        <v>3101</v>
      </c>
      <c r="H1458" s="0" t="s">
        <v>3068</v>
      </c>
      <c r="I1458" s="0" t="n">
        <v>711900</v>
      </c>
      <c r="J1458" s="0" t="s">
        <v>4155</v>
      </c>
      <c r="K1458" s="0" t="s">
        <v>2724</v>
      </c>
      <c r="L1458" s="0" t="n">
        <v>2021</v>
      </c>
      <c r="M1458" s="0" t="s">
        <v>2140</v>
      </c>
      <c r="N1458" s="0" t="s">
        <v>176</v>
      </c>
      <c r="O1458" s="0" t="s">
        <v>2519</v>
      </c>
      <c r="P1458" s="0" t="s">
        <v>5604</v>
      </c>
      <c r="Q1458" s="0" t="n">
        <v>78</v>
      </c>
      <c r="R1458" s="0" t="n">
        <v>76</v>
      </c>
      <c r="S1458" s="0" t="n">
        <v>19</v>
      </c>
      <c r="T1458" s="0" t="s">
        <v>5626</v>
      </c>
      <c r="U1458" s="0" t="s">
        <v>4303</v>
      </c>
      <c r="V1458" s="0" t="s">
        <v>97</v>
      </c>
      <c r="W1458" s="0" t="s">
        <v>5631</v>
      </c>
      <c r="X1458" s="0" t="s">
        <v>5628</v>
      </c>
      <c r="Y1458" s="0" t="s">
        <v>4159</v>
      </c>
      <c r="Z1458" s="0" t="s">
        <v>4160</v>
      </c>
      <c r="AA1458" s="0" t="s">
        <v>5632</v>
      </c>
      <c r="AB1458" s="0" t="s">
        <v>5608</v>
      </c>
      <c r="AC1458" s="0" t="s">
        <v>4162</v>
      </c>
      <c r="AD1458" s="0" t="s">
        <v>4163</v>
      </c>
      <c r="AE1458" s="0" t="s">
        <v>4164</v>
      </c>
      <c r="AF1458" s="0" t="s">
        <v>5630</v>
      </c>
      <c r="AH1458" s="0" t="s">
        <v>2239</v>
      </c>
      <c r="AL1458" s="0" t="s">
        <v>523</v>
      </c>
    </row>
    <row r="1459" customFormat="false" ht="15" hidden="false" customHeight="false" outlineLevel="0" collapsed="false">
      <c r="A1459" s="0" t="s">
        <v>1302</v>
      </c>
      <c r="B1459" s="0" t="s">
        <v>169</v>
      </c>
      <c r="C1459" s="0" t="s">
        <v>4695</v>
      </c>
      <c r="D1459" s="0" t="n">
        <v>2021</v>
      </c>
      <c r="E1459" s="0" t="s">
        <v>61</v>
      </c>
      <c r="F1459" s="0" t="n">
        <v>-14180</v>
      </c>
      <c r="G1459" s="0" t="s">
        <v>3101</v>
      </c>
      <c r="H1459" s="0" t="s">
        <v>3068</v>
      </c>
      <c r="I1459" s="0" t="n">
        <v>14180</v>
      </c>
      <c r="J1459" s="0" t="s">
        <v>4155</v>
      </c>
      <c r="K1459" s="0" t="s">
        <v>2724</v>
      </c>
      <c r="L1459" s="0" t="n">
        <v>2021</v>
      </c>
      <c r="M1459" s="0" t="s">
        <v>2140</v>
      </c>
      <c r="N1459" s="0" t="s">
        <v>176</v>
      </c>
      <c r="O1459" s="0" t="s">
        <v>2519</v>
      </c>
      <c r="P1459" s="0" t="s">
        <v>5604</v>
      </c>
      <c r="Q1459" s="0" t="n">
        <v>134</v>
      </c>
      <c r="R1459" s="0" t="n">
        <v>132</v>
      </c>
      <c r="S1459" s="0" t="n">
        <v>37</v>
      </c>
      <c r="T1459" s="0" t="s">
        <v>5633</v>
      </c>
      <c r="U1459" s="0" t="s">
        <v>4303</v>
      </c>
      <c r="V1459" s="0" t="s">
        <v>97</v>
      </c>
      <c r="W1459" s="0" t="s">
        <v>5634</v>
      </c>
      <c r="X1459" s="0" t="s">
        <v>5635</v>
      </c>
      <c r="Y1459" s="0" t="s">
        <v>4159</v>
      </c>
      <c r="Z1459" s="0" t="s">
        <v>4160</v>
      </c>
      <c r="AA1459" s="0" t="s">
        <v>5636</v>
      </c>
      <c r="AB1459" s="0" t="s">
        <v>5608</v>
      </c>
      <c r="AC1459" s="0" t="s">
        <v>4162</v>
      </c>
      <c r="AD1459" s="0" t="s">
        <v>4163</v>
      </c>
      <c r="AE1459" s="0" t="s">
        <v>4164</v>
      </c>
      <c r="AF1459" s="0" t="s">
        <v>5637</v>
      </c>
      <c r="AH1459" s="0" t="s">
        <v>4174</v>
      </c>
      <c r="AI1459" s="0" t="s">
        <v>4781</v>
      </c>
      <c r="AL1459" s="0" t="s">
        <v>523</v>
      </c>
    </row>
    <row r="1460" customFormat="false" ht="15" hidden="false" customHeight="false" outlineLevel="0" collapsed="false">
      <c r="A1460" s="0" t="s">
        <v>1307</v>
      </c>
      <c r="B1460" s="0" t="s">
        <v>169</v>
      </c>
      <c r="C1460" s="0" t="s">
        <v>4695</v>
      </c>
      <c r="D1460" s="0" t="n">
        <v>2021</v>
      </c>
      <c r="E1460" s="0" t="s">
        <v>65</v>
      </c>
      <c r="F1460" s="0" t="n">
        <v>140952</v>
      </c>
      <c r="G1460" s="0" t="s">
        <v>3101</v>
      </c>
      <c r="H1460" s="0" t="s">
        <v>3068</v>
      </c>
      <c r="I1460" s="0" t="n">
        <v>140952</v>
      </c>
      <c r="J1460" s="0" t="s">
        <v>4155</v>
      </c>
      <c r="K1460" s="0" t="s">
        <v>2724</v>
      </c>
      <c r="L1460" s="0" t="n">
        <v>2021</v>
      </c>
      <c r="M1460" s="0" t="s">
        <v>2140</v>
      </c>
      <c r="N1460" s="0" t="s">
        <v>176</v>
      </c>
      <c r="O1460" s="0" t="s">
        <v>2519</v>
      </c>
      <c r="P1460" s="0" t="s">
        <v>5604</v>
      </c>
      <c r="Q1460" s="0" t="n">
        <v>178</v>
      </c>
      <c r="R1460" s="0" t="n">
        <v>176</v>
      </c>
      <c r="S1460" s="0" t="s">
        <v>5596</v>
      </c>
      <c r="T1460" s="0" t="n">
        <v>2021</v>
      </c>
      <c r="U1460" s="0" t="s">
        <v>4303</v>
      </c>
      <c r="V1460" s="0" t="s">
        <v>97</v>
      </c>
      <c r="W1460" s="0" t="s">
        <v>5638</v>
      </c>
      <c r="X1460" s="0" t="s">
        <v>5639</v>
      </c>
      <c r="Y1460" s="0" t="s">
        <v>4159</v>
      </c>
      <c r="Z1460" s="0" t="s">
        <v>4160</v>
      </c>
      <c r="AA1460" s="0" t="s">
        <v>5640</v>
      </c>
      <c r="AB1460" s="0" t="s">
        <v>5608</v>
      </c>
      <c r="AC1460" s="0" t="s">
        <v>4162</v>
      </c>
      <c r="AD1460" s="0" t="s">
        <v>4163</v>
      </c>
      <c r="AE1460" s="0" t="s">
        <v>4164</v>
      </c>
      <c r="AF1460" s="0" t="s">
        <v>5641</v>
      </c>
      <c r="AH1460" s="0" t="s">
        <v>2239</v>
      </c>
      <c r="AL1460" s="0" t="s">
        <v>523</v>
      </c>
    </row>
    <row r="1461" customFormat="false" ht="15" hidden="false" customHeight="false" outlineLevel="0" collapsed="false">
      <c r="A1461" s="0" t="s">
        <v>1308</v>
      </c>
      <c r="B1461" s="0" t="s">
        <v>169</v>
      </c>
      <c r="C1461" s="0" t="s">
        <v>4695</v>
      </c>
      <c r="D1461" s="0" t="n">
        <v>2021</v>
      </c>
      <c r="E1461" s="0" t="s">
        <v>66</v>
      </c>
      <c r="F1461" s="0" t="n">
        <v>951379</v>
      </c>
      <c r="G1461" s="0" t="s">
        <v>3101</v>
      </c>
      <c r="H1461" s="0" t="s">
        <v>3068</v>
      </c>
      <c r="I1461" s="0" t="n">
        <v>951379</v>
      </c>
      <c r="J1461" s="0" t="s">
        <v>4155</v>
      </c>
      <c r="K1461" s="0" t="s">
        <v>2724</v>
      </c>
      <c r="L1461" s="0" t="n">
        <v>2021</v>
      </c>
      <c r="M1461" s="0" t="s">
        <v>2140</v>
      </c>
      <c r="N1461" s="0" t="s">
        <v>176</v>
      </c>
      <c r="O1461" s="0" t="s">
        <v>2519</v>
      </c>
      <c r="P1461" s="0" t="s">
        <v>5604</v>
      </c>
      <c r="Q1461" s="0" t="n">
        <v>178</v>
      </c>
      <c r="R1461" s="0" t="n">
        <v>176</v>
      </c>
      <c r="S1461" s="0" t="s">
        <v>5596</v>
      </c>
      <c r="T1461" s="0" t="n">
        <v>2021</v>
      </c>
      <c r="U1461" s="0" t="s">
        <v>4303</v>
      </c>
      <c r="V1461" s="0" t="s">
        <v>97</v>
      </c>
      <c r="W1461" s="0" t="s">
        <v>5642</v>
      </c>
      <c r="X1461" s="0" t="s">
        <v>5639</v>
      </c>
      <c r="Y1461" s="0" t="s">
        <v>4159</v>
      </c>
      <c r="Z1461" s="0" t="s">
        <v>4160</v>
      </c>
      <c r="AA1461" s="0" t="s">
        <v>5643</v>
      </c>
      <c r="AB1461" s="0" t="s">
        <v>5608</v>
      </c>
      <c r="AC1461" s="0" t="s">
        <v>4162</v>
      </c>
      <c r="AD1461" s="0" t="s">
        <v>4163</v>
      </c>
      <c r="AE1461" s="0" t="s">
        <v>4164</v>
      </c>
      <c r="AF1461" s="0" t="s">
        <v>5641</v>
      </c>
      <c r="AH1461" s="0" t="s">
        <v>2239</v>
      </c>
      <c r="AL1461" s="0" t="s">
        <v>523</v>
      </c>
    </row>
    <row r="1462" customFormat="false" ht="15" hidden="false" customHeight="false" outlineLevel="0" collapsed="false">
      <c r="A1462" s="0" t="s">
        <v>1305</v>
      </c>
      <c r="B1462" s="0" t="s">
        <v>169</v>
      </c>
      <c r="C1462" s="0" t="s">
        <v>4695</v>
      </c>
      <c r="D1462" s="0" t="n">
        <v>2021</v>
      </c>
      <c r="E1462" s="0" t="s">
        <v>69</v>
      </c>
      <c r="F1462" s="0" t="s">
        <v>5644</v>
      </c>
      <c r="G1462" s="0" t="s">
        <v>3143</v>
      </c>
      <c r="I1462" s="0" t="n">
        <v>14.82</v>
      </c>
      <c r="J1462" s="0" t="s">
        <v>4155</v>
      </c>
      <c r="K1462" s="0" t="s">
        <v>2724</v>
      </c>
      <c r="L1462" s="0" t="n">
        <v>2021</v>
      </c>
      <c r="M1462" s="0" t="s">
        <v>2140</v>
      </c>
      <c r="N1462" s="0" t="s">
        <v>176</v>
      </c>
      <c r="O1462" s="0" t="s">
        <v>2519</v>
      </c>
      <c r="P1462" s="0" t="s">
        <v>5604</v>
      </c>
      <c r="Q1462" s="0" t="n">
        <v>178</v>
      </c>
      <c r="R1462" s="0" t="n">
        <v>176</v>
      </c>
      <c r="S1462" s="0" t="s">
        <v>5596</v>
      </c>
      <c r="T1462" s="0" t="n">
        <v>2021</v>
      </c>
      <c r="U1462" s="0" t="s">
        <v>4303</v>
      </c>
      <c r="V1462" s="0" t="s">
        <v>97</v>
      </c>
      <c r="W1462" s="0" t="s">
        <v>5645</v>
      </c>
      <c r="X1462" s="0" t="s">
        <v>5639</v>
      </c>
      <c r="Y1462" s="0" t="s">
        <v>4159</v>
      </c>
      <c r="Z1462" s="0" t="s">
        <v>4160</v>
      </c>
      <c r="AA1462" s="0" t="s">
        <v>5646</v>
      </c>
      <c r="AB1462" s="0" t="s">
        <v>5608</v>
      </c>
      <c r="AC1462" s="0" t="s">
        <v>4162</v>
      </c>
      <c r="AD1462" s="0" t="s">
        <v>4163</v>
      </c>
      <c r="AE1462" s="0" t="s">
        <v>4164</v>
      </c>
      <c r="AF1462" s="0" t="s">
        <v>5641</v>
      </c>
      <c r="AH1462" s="0" t="s">
        <v>2239</v>
      </c>
      <c r="AL1462" s="0" t="s">
        <v>523</v>
      </c>
    </row>
    <row r="1463" customFormat="false" ht="15" hidden="false" customHeight="false" outlineLevel="0" collapsed="false">
      <c r="A1463" s="0" t="s">
        <v>1306</v>
      </c>
      <c r="B1463" s="0" t="s">
        <v>169</v>
      </c>
      <c r="C1463" s="0" t="s">
        <v>4695</v>
      </c>
      <c r="D1463" s="0" t="n">
        <v>2021</v>
      </c>
      <c r="E1463" s="0" t="s">
        <v>70</v>
      </c>
      <c r="F1463" s="0" t="s">
        <v>4299</v>
      </c>
      <c r="G1463" s="0" t="s">
        <v>3143</v>
      </c>
      <c r="I1463" s="0" t="n">
        <v>10</v>
      </c>
      <c r="J1463" s="0" t="s">
        <v>4155</v>
      </c>
      <c r="K1463" s="0" t="s">
        <v>2724</v>
      </c>
      <c r="L1463" s="0" t="n">
        <v>2021</v>
      </c>
      <c r="M1463" s="0" t="s">
        <v>2140</v>
      </c>
      <c r="N1463" s="0" t="s">
        <v>176</v>
      </c>
      <c r="O1463" s="0" t="s">
        <v>2519</v>
      </c>
      <c r="P1463" s="0" t="s">
        <v>5604</v>
      </c>
      <c r="Q1463" s="0" t="n">
        <v>177</v>
      </c>
      <c r="R1463" s="0" t="n">
        <v>175</v>
      </c>
      <c r="S1463" s="0" t="s">
        <v>5596</v>
      </c>
      <c r="T1463" s="0" t="s">
        <v>5647</v>
      </c>
      <c r="U1463" s="0" t="s">
        <v>4303</v>
      </c>
      <c r="V1463" s="0" t="s">
        <v>97</v>
      </c>
      <c r="W1463" s="0" t="s">
        <v>5648</v>
      </c>
      <c r="X1463" s="0" t="s">
        <v>5649</v>
      </c>
      <c r="Y1463" s="0" t="s">
        <v>4159</v>
      </c>
      <c r="Z1463" s="0" t="s">
        <v>4160</v>
      </c>
      <c r="AA1463" s="0" t="s">
        <v>5650</v>
      </c>
      <c r="AB1463" s="0" t="s">
        <v>5608</v>
      </c>
      <c r="AC1463" s="0" t="s">
        <v>4162</v>
      </c>
      <c r="AD1463" s="0" t="s">
        <v>4163</v>
      </c>
      <c r="AE1463" s="0" t="s">
        <v>4164</v>
      </c>
      <c r="AF1463" s="0" t="s">
        <v>5651</v>
      </c>
      <c r="AH1463" s="0" t="s">
        <v>2239</v>
      </c>
      <c r="AL1463" s="0" t="s">
        <v>523</v>
      </c>
    </row>
    <row r="1464" customFormat="false" ht="15" hidden="false" customHeight="false" outlineLevel="0" collapsed="false">
      <c r="A1464" s="0" t="s">
        <v>1309</v>
      </c>
      <c r="B1464" s="0" t="s">
        <v>169</v>
      </c>
      <c r="C1464" s="0" t="s">
        <v>4695</v>
      </c>
      <c r="D1464" s="0" t="n">
        <v>2021</v>
      </c>
      <c r="E1464" s="0" t="s">
        <v>73</v>
      </c>
      <c r="F1464" s="0" t="n">
        <v>0</v>
      </c>
      <c r="G1464" s="0" t="s">
        <v>4257</v>
      </c>
      <c r="I1464" s="0" t="n">
        <v>0</v>
      </c>
      <c r="J1464" s="0" t="s">
        <v>5652</v>
      </c>
      <c r="K1464" s="0" t="s">
        <v>2724</v>
      </c>
      <c r="L1464" s="0" t="n">
        <v>2021</v>
      </c>
      <c r="M1464" s="0" t="s">
        <v>2140</v>
      </c>
      <c r="N1464" s="0" t="s">
        <v>176</v>
      </c>
      <c r="O1464" s="0" t="s">
        <v>2519</v>
      </c>
      <c r="P1464" s="0" t="s">
        <v>5604</v>
      </c>
      <c r="Q1464" s="0" t="n">
        <v>26</v>
      </c>
      <c r="R1464" s="0" t="n">
        <v>24</v>
      </c>
      <c r="T1464" s="0" t="s">
        <v>5653</v>
      </c>
      <c r="U1464" s="0" t="s">
        <v>4303</v>
      </c>
      <c r="V1464" s="0" t="s">
        <v>97</v>
      </c>
      <c r="W1464" s="0" t="s">
        <v>4803</v>
      </c>
      <c r="X1464" s="0" t="s">
        <v>5654</v>
      </c>
      <c r="Y1464" s="0" t="s">
        <v>4212</v>
      </c>
      <c r="Z1464" s="0" t="s">
        <v>4160</v>
      </c>
      <c r="AA1464" s="0" t="s">
        <v>5655</v>
      </c>
      <c r="AB1464" s="0" t="s">
        <v>5608</v>
      </c>
      <c r="AC1464" s="0" t="s">
        <v>4162</v>
      </c>
      <c r="AD1464" s="0" t="s">
        <v>4163</v>
      </c>
      <c r="AE1464" s="0" t="s">
        <v>4164</v>
      </c>
      <c r="AF1464" s="0" t="s">
        <v>5656</v>
      </c>
      <c r="AG1464" s="0" t="s">
        <v>1828</v>
      </c>
      <c r="AH1464" s="0" t="s">
        <v>2239</v>
      </c>
      <c r="AL1464" s="0" t="s">
        <v>539</v>
      </c>
    </row>
    <row r="1465" customFormat="false" ht="15" hidden="false" customHeight="false" outlineLevel="0" collapsed="false">
      <c r="A1465" s="0" t="s">
        <v>584</v>
      </c>
      <c r="B1465" s="0" t="s">
        <v>77</v>
      </c>
      <c r="C1465" s="0" t="s">
        <v>5066</v>
      </c>
      <c r="D1465" s="0" t="n">
        <v>2018</v>
      </c>
      <c r="E1465" s="0" t="s">
        <v>55</v>
      </c>
      <c r="F1465" s="0" t="n">
        <v>3968114609</v>
      </c>
      <c r="G1465" s="0" t="s">
        <v>3067</v>
      </c>
      <c r="H1465" s="0" t="s">
        <v>3068</v>
      </c>
      <c r="I1465" s="0" t="n">
        <v>3968114.609</v>
      </c>
      <c r="J1465" s="0" t="s">
        <v>4155</v>
      </c>
      <c r="K1465" s="0" t="s">
        <v>2672</v>
      </c>
      <c r="L1465" s="0" t="n">
        <v>2019</v>
      </c>
      <c r="M1465" s="0" t="s">
        <v>2064</v>
      </c>
      <c r="N1465" s="0" t="s">
        <v>91</v>
      </c>
      <c r="O1465" s="0" t="s">
        <v>2502</v>
      </c>
      <c r="P1465" s="0" t="s">
        <v>5295</v>
      </c>
      <c r="Q1465" s="0" t="n">
        <v>93</v>
      </c>
      <c r="R1465" s="0" t="n">
        <v>92</v>
      </c>
      <c r="T1465" s="0" t="s">
        <v>5657</v>
      </c>
      <c r="U1465" s="0" t="s">
        <v>5658</v>
      </c>
      <c r="V1465" s="0" t="s">
        <v>92</v>
      </c>
      <c r="W1465" s="0" t="s">
        <v>5296</v>
      </c>
      <c r="X1465" s="0" t="s">
        <v>5297</v>
      </c>
      <c r="Y1465" s="0" t="s">
        <v>4159</v>
      </c>
      <c r="Z1465" s="0" t="s">
        <v>4160</v>
      </c>
      <c r="AA1465" s="0" t="s">
        <v>5659</v>
      </c>
      <c r="AB1465" s="0" t="s">
        <v>5299</v>
      </c>
      <c r="AC1465" s="0" t="s">
        <v>4162</v>
      </c>
      <c r="AD1465" s="0" t="s">
        <v>4163</v>
      </c>
      <c r="AE1465" s="0" t="s">
        <v>4164</v>
      </c>
      <c r="AF1465" s="0" t="s">
        <v>5300</v>
      </c>
      <c r="AH1465" s="0" t="s">
        <v>2239</v>
      </c>
      <c r="AL1465" s="0" t="s">
        <v>523</v>
      </c>
    </row>
    <row r="1466" customFormat="false" ht="15" hidden="false" customHeight="false" outlineLevel="0" collapsed="false">
      <c r="A1466" s="0" t="s">
        <v>585</v>
      </c>
      <c r="B1466" s="0" t="s">
        <v>77</v>
      </c>
      <c r="C1466" s="0" t="s">
        <v>5066</v>
      </c>
      <c r="D1466" s="0" t="n">
        <v>2018</v>
      </c>
      <c r="E1466" s="0" t="s">
        <v>56</v>
      </c>
      <c r="F1466" s="0" t="n">
        <v>3527314852</v>
      </c>
      <c r="G1466" s="0" t="s">
        <v>3067</v>
      </c>
      <c r="H1466" s="0" t="s">
        <v>3068</v>
      </c>
      <c r="I1466" s="0" t="n">
        <v>3527314.852</v>
      </c>
      <c r="J1466" s="0" t="s">
        <v>4155</v>
      </c>
      <c r="K1466" s="0" t="s">
        <v>2672</v>
      </c>
      <c r="L1466" s="0" t="n">
        <v>2019</v>
      </c>
      <c r="M1466" s="0" t="s">
        <v>2064</v>
      </c>
      <c r="N1466" s="0" t="s">
        <v>91</v>
      </c>
      <c r="O1466" s="0" t="s">
        <v>2502</v>
      </c>
      <c r="P1466" s="0" t="s">
        <v>5295</v>
      </c>
      <c r="Q1466" s="0" t="n">
        <v>93</v>
      </c>
      <c r="R1466" s="0" t="n">
        <v>92</v>
      </c>
      <c r="T1466" s="0" t="s">
        <v>5657</v>
      </c>
      <c r="U1466" s="0" t="s">
        <v>5658</v>
      </c>
      <c r="V1466" s="0" t="s">
        <v>92</v>
      </c>
      <c r="W1466" s="0" t="s">
        <v>5301</v>
      </c>
      <c r="X1466" s="0" t="s">
        <v>5297</v>
      </c>
      <c r="Y1466" s="0" t="s">
        <v>4159</v>
      </c>
      <c r="Z1466" s="0" t="s">
        <v>4160</v>
      </c>
      <c r="AA1466" s="0" t="s">
        <v>5659</v>
      </c>
      <c r="AB1466" s="0" t="s">
        <v>5299</v>
      </c>
      <c r="AC1466" s="0" t="s">
        <v>4162</v>
      </c>
      <c r="AD1466" s="0" t="s">
        <v>4163</v>
      </c>
      <c r="AE1466" s="0" t="s">
        <v>4164</v>
      </c>
      <c r="AF1466" s="0" t="s">
        <v>5300</v>
      </c>
      <c r="AH1466" s="0" t="s">
        <v>2239</v>
      </c>
      <c r="AL1466" s="0" t="s">
        <v>523</v>
      </c>
    </row>
    <row r="1467" customFormat="false" ht="15" hidden="false" customHeight="false" outlineLevel="0" collapsed="false">
      <c r="A1467" s="0" t="s">
        <v>586</v>
      </c>
      <c r="B1467" s="0" t="s">
        <v>77</v>
      </c>
      <c r="C1467" s="0" t="s">
        <v>5066</v>
      </c>
      <c r="D1467" s="0" t="n">
        <v>2018</v>
      </c>
      <c r="E1467" s="0" t="s">
        <v>57</v>
      </c>
      <c r="F1467" s="0" t="n">
        <v>440799757</v>
      </c>
      <c r="G1467" s="0" t="s">
        <v>3067</v>
      </c>
      <c r="H1467" s="0" t="s">
        <v>3068</v>
      </c>
      <c r="I1467" s="0" t="n">
        <v>440799.757</v>
      </c>
      <c r="J1467" s="0" t="s">
        <v>4155</v>
      </c>
      <c r="K1467" s="0" t="s">
        <v>2672</v>
      </c>
      <c r="L1467" s="0" t="n">
        <v>2019</v>
      </c>
      <c r="M1467" s="0" t="s">
        <v>2064</v>
      </c>
      <c r="N1467" s="0" t="s">
        <v>91</v>
      </c>
      <c r="O1467" s="0" t="s">
        <v>2502</v>
      </c>
      <c r="P1467" s="0" t="s">
        <v>5295</v>
      </c>
      <c r="Q1467" s="0" t="n">
        <v>93</v>
      </c>
      <c r="R1467" s="0" t="n">
        <v>92</v>
      </c>
      <c r="T1467" s="0" t="s">
        <v>5657</v>
      </c>
      <c r="U1467" s="0" t="s">
        <v>5658</v>
      </c>
      <c r="V1467" s="0" t="s">
        <v>92</v>
      </c>
      <c r="W1467" s="0" t="s">
        <v>5303</v>
      </c>
      <c r="X1467" s="0" t="s">
        <v>5297</v>
      </c>
      <c r="Y1467" s="0" t="s">
        <v>4159</v>
      </c>
      <c r="Z1467" s="0" t="s">
        <v>4160</v>
      </c>
      <c r="AA1467" s="0" t="s">
        <v>5659</v>
      </c>
      <c r="AB1467" s="0" t="s">
        <v>5299</v>
      </c>
      <c r="AC1467" s="0" t="s">
        <v>4162</v>
      </c>
      <c r="AD1467" s="0" t="s">
        <v>4163</v>
      </c>
      <c r="AE1467" s="0" t="s">
        <v>4164</v>
      </c>
      <c r="AF1467" s="0" t="s">
        <v>5300</v>
      </c>
      <c r="AH1467" s="0" t="s">
        <v>2239</v>
      </c>
      <c r="AL1467" s="0" t="s">
        <v>523</v>
      </c>
    </row>
    <row r="1468" customFormat="false" ht="15" hidden="false" customHeight="false" outlineLevel="0" collapsed="false">
      <c r="A1468" s="0" t="s">
        <v>583</v>
      </c>
      <c r="B1468" s="0" t="s">
        <v>77</v>
      </c>
      <c r="C1468" s="0" t="s">
        <v>5066</v>
      </c>
      <c r="D1468" s="0" t="n">
        <v>2018</v>
      </c>
      <c r="E1468" s="0" t="s">
        <v>54</v>
      </c>
      <c r="F1468" s="0" t="n">
        <v>73596295</v>
      </c>
      <c r="G1468" s="0" t="s">
        <v>3067</v>
      </c>
      <c r="H1468" s="0" t="s">
        <v>3068</v>
      </c>
      <c r="I1468" s="0" t="n">
        <v>73596.295</v>
      </c>
      <c r="J1468" s="0" t="s">
        <v>4155</v>
      </c>
      <c r="K1468" s="0" t="s">
        <v>2672</v>
      </c>
      <c r="L1468" s="0" t="n">
        <v>2019</v>
      </c>
      <c r="M1468" s="0" t="s">
        <v>2064</v>
      </c>
      <c r="N1468" s="0" t="s">
        <v>91</v>
      </c>
      <c r="O1468" s="0" t="s">
        <v>2502</v>
      </c>
      <c r="P1468" s="0" t="s">
        <v>5295</v>
      </c>
      <c r="Q1468" s="0" t="n">
        <v>92</v>
      </c>
      <c r="R1468" s="0" t="n">
        <v>91</v>
      </c>
      <c r="T1468" s="0" t="s">
        <v>5657</v>
      </c>
      <c r="U1468" s="0" t="s">
        <v>5658</v>
      </c>
      <c r="V1468" s="0" t="s">
        <v>92</v>
      </c>
      <c r="W1468" s="0" t="s">
        <v>5305</v>
      </c>
      <c r="X1468" s="0" t="s">
        <v>5306</v>
      </c>
      <c r="Y1468" s="0" t="s">
        <v>4159</v>
      </c>
      <c r="Z1468" s="0" t="s">
        <v>4160</v>
      </c>
      <c r="AA1468" s="0" t="s">
        <v>5659</v>
      </c>
      <c r="AB1468" s="0" t="s">
        <v>5299</v>
      </c>
      <c r="AC1468" s="0" t="s">
        <v>4162</v>
      </c>
      <c r="AD1468" s="0" t="s">
        <v>4163</v>
      </c>
      <c r="AE1468" s="0" t="s">
        <v>4164</v>
      </c>
      <c r="AF1468" s="0" t="s">
        <v>5300</v>
      </c>
      <c r="AH1468" s="0" t="s">
        <v>2239</v>
      </c>
      <c r="AL1468" s="0" t="s">
        <v>523</v>
      </c>
    </row>
    <row r="1469" customFormat="false" ht="15" hidden="false" customHeight="false" outlineLevel="0" collapsed="false">
      <c r="A1469" s="0" t="s">
        <v>590</v>
      </c>
      <c r="B1469" s="0" t="s">
        <v>77</v>
      </c>
      <c r="C1469" s="0" t="s">
        <v>5066</v>
      </c>
      <c r="D1469" s="0" t="n">
        <v>2018</v>
      </c>
      <c r="E1469" s="0" t="s">
        <v>541</v>
      </c>
      <c r="F1469" s="0" t="n">
        <v>75248146</v>
      </c>
      <c r="G1469" s="0" t="s">
        <v>3067</v>
      </c>
      <c r="H1469" s="0" t="s">
        <v>3068</v>
      </c>
      <c r="I1469" s="0" t="n">
        <v>75248.146</v>
      </c>
      <c r="J1469" s="0" t="s">
        <v>4155</v>
      </c>
      <c r="K1469" s="0" t="s">
        <v>2672</v>
      </c>
      <c r="L1469" s="0" t="n">
        <v>2019</v>
      </c>
      <c r="M1469" s="0" t="s">
        <v>2064</v>
      </c>
      <c r="N1469" s="0" t="s">
        <v>91</v>
      </c>
      <c r="O1469" s="0" t="s">
        <v>2502</v>
      </c>
      <c r="P1469" s="0" t="s">
        <v>5295</v>
      </c>
      <c r="Q1469" s="0" t="n">
        <v>92</v>
      </c>
      <c r="R1469" s="0" t="n">
        <v>91</v>
      </c>
      <c r="T1469" s="0" t="s">
        <v>5657</v>
      </c>
      <c r="U1469" s="0" t="s">
        <v>5658</v>
      </c>
      <c r="V1469" s="0" t="s">
        <v>92</v>
      </c>
      <c r="W1469" s="0" t="s">
        <v>5308</v>
      </c>
      <c r="X1469" s="0" t="s">
        <v>5306</v>
      </c>
      <c r="Y1469" s="0" t="s">
        <v>4159</v>
      </c>
      <c r="Z1469" s="0" t="s">
        <v>4160</v>
      </c>
      <c r="AA1469" s="0" t="s">
        <v>5659</v>
      </c>
      <c r="AB1469" s="0" t="s">
        <v>5299</v>
      </c>
      <c r="AC1469" s="0" t="s">
        <v>4162</v>
      </c>
      <c r="AD1469" s="0" t="s">
        <v>4163</v>
      </c>
      <c r="AE1469" s="0" t="s">
        <v>4164</v>
      </c>
      <c r="AF1469" s="0" t="s">
        <v>5300</v>
      </c>
      <c r="AH1469" s="0" t="s">
        <v>2239</v>
      </c>
      <c r="AL1469" s="0" t="s">
        <v>523</v>
      </c>
    </row>
    <row r="1470" customFormat="false" ht="15" hidden="false" customHeight="false" outlineLevel="0" collapsed="false">
      <c r="A1470" s="0" t="s">
        <v>587</v>
      </c>
      <c r="B1470" s="0" t="s">
        <v>77</v>
      </c>
      <c r="C1470" s="0" t="s">
        <v>5066</v>
      </c>
      <c r="D1470" s="0" t="n">
        <v>2018</v>
      </c>
      <c r="E1470" s="0" t="s">
        <v>58</v>
      </c>
      <c r="F1470" s="0" t="n">
        <v>366002390</v>
      </c>
      <c r="G1470" s="0" t="s">
        <v>3067</v>
      </c>
      <c r="H1470" s="0" t="s">
        <v>3068</v>
      </c>
      <c r="I1470" s="0" t="n">
        <v>366002.39</v>
      </c>
      <c r="J1470" s="0" t="s">
        <v>4155</v>
      </c>
      <c r="K1470" s="0" t="s">
        <v>2672</v>
      </c>
      <c r="L1470" s="0" t="n">
        <v>2019</v>
      </c>
      <c r="M1470" s="0" t="s">
        <v>2064</v>
      </c>
      <c r="N1470" s="0" t="s">
        <v>91</v>
      </c>
      <c r="O1470" s="0" t="s">
        <v>2502</v>
      </c>
      <c r="P1470" s="0" t="s">
        <v>5295</v>
      </c>
      <c r="Q1470" s="0" t="n">
        <v>96</v>
      </c>
      <c r="R1470" s="0" t="n">
        <v>95</v>
      </c>
      <c r="T1470" s="0" t="s">
        <v>5657</v>
      </c>
      <c r="U1470" s="0" t="s">
        <v>5658</v>
      </c>
      <c r="V1470" s="0" t="s">
        <v>92</v>
      </c>
      <c r="W1470" s="0" t="s">
        <v>5310</v>
      </c>
      <c r="X1470" s="0" t="s">
        <v>5311</v>
      </c>
      <c r="Y1470" s="0" t="s">
        <v>4159</v>
      </c>
      <c r="Z1470" s="0" t="s">
        <v>4160</v>
      </c>
      <c r="AA1470" s="0" t="s">
        <v>5659</v>
      </c>
      <c r="AB1470" s="0" t="s">
        <v>5299</v>
      </c>
      <c r="AC1470" s="0" t="s">
        <v>4162</v>
      </c>
      <c r="AD1470" s="0" t="s">
        <v>4163</v>
      </c>
      <c r="AE1470" s="0" t="s">
        <v>4164</v>
      </c>
      <c r="AF1470" s="0" t="s">
        <v>5300</v>
      </c>
      <c r="AH1470" s="0" t="s">
        <v>2239</v>
      </c>
      <c r="AL1470" s="0" t="s">
        <v>523</v>
      </c>
    </row>
    <row r="1471" customFormat="false" ht="15" hidden="false" customHeight="false" outlineLevel="0" collapsed="false">
      <c r="A1471" s="0" t="s">
        <v>589</v>
      </c>
      <c r="B1471" s="0" t="s">
        <v>77</v>
      </c>
      <c r="C1471" s="0" t="s">
        <v>5066</v>
      </c>
      <c r="D1471" s="0" t="n">
        <v>2018</v>
      </c>
      <c r="E1471" s="0" t="s">
        <v>63</v>
      </c>
      <c r="F1471" s="0" t="n">
        <v>-10702144</v>
      </c>
      <c r="G1471" s="0" t="s">
        <v>3067</v>
      </c>
      <c r="H1471" s="0" t="s">
        <v>3068</v>
      </c>
      <c r="I1471" s="0" t="n">
        <v>10702.144</v>
      </c>
      <c r="J1471" s="0" t="s">
        <v>4155</v>
      </c>
      <c r="K1471" s="0" t="s">
        <v>2672</v>
      </c>
      <c r="L1471" s="0" t="n">
        <v>2019</v>
      </c>
      <c r="M1471" s="0" t="s">
        <v>2064</v>
      </c>
      <c r="N1471" s="0" t="s">
        <v>91</v>
      </c>
      <c r="O1471" s="0" t="s">
        <v>2502</v>
      </c>
      <c r="P1471" s="0" t="s">
        <v>5295</v>
      </c>
      <c r="Q1471" s="0" t="n">
        <v>92</v>
      </c>
      <c r="R1471" s="0" t="n">
        <v>91</v>
      </c>
      <c r="S1471" s="0" t="n">
        <v>9</v>
      </c>
      <c r="T1471" s="0" t="s">
        <v>5657</v>
      </c>
      <c r="U1471" s="0" t="s">
        <v>5658</v>
      </c>
      <c r="V1471" s="0" t="s">
        <v>92</v>
      </c>
      <c r="W1471" s="0" t="s">
        <v>5315</v>
      </c>
      <c r="X1471" s="0" t="s">
        <v>5306</v>
      </c>
      <c r="Y1471" s="0" t="s">
        <v>4159</v>
      </c>
      <c r="Z1471" s="0" t="s">
        <v>4160</v>
      </c>
      <c r="AA1471" s="0" t="s">
        <v>5660</v>
      </c>
      <c r="AB1471" s="0" t="s">
        <v>5299</v>
      </c>
      <c r="AC1471" s="0" t="s">
        <v>4162</v>
      </c>
      <c r="AD1471" s="0" t="s">
        <v>4163</v>
      </c>
      <c r="AE1471" s="0" t="s">
        <v>4164</v>
      </c>
      <c r="AF1471" s="0" t="s">
        <v>5300</v>
      </c>
      <c r="AH1471" s="0" t="s">
        <v>4174</v>
      </c>
      <c r="AI1471" s="0" t="s">
        <v>5149</v>
      </c>
      <c r="AL1471" s="0" t="s">
        <v>523</v>
      </c>
    </row>
    <row r="1472" customFormat="false" ht="15" hidden="false" customHeight="false" outlineLevel="0" collapsed="false">
      <c r="A1472" s="0" t="s">
        <v>588</v>
      </c>
      <c r="B1472" s="0" t="s">
        <v>77</v>
      </c>
      <c r="C1472" s="0" t="s">
        <v>5066</v>
      </c>
      <c r="D1472" s="0" t="n">
        <v>2018</v>
      </c>
      <c r="E1472" s="0" t="s">
        <v>62</v>
      </c>
      <c r="F1472" s="0" t="n">
        <v>1681761862</v>
      </c>
      <c r="G1472" s="0" t="s">
        <v>3067</v>
      </c>
      <c r="H1472" s="0" t="s">
        <v>3068</v>
      </c>
      <c r="I1472" s="0" t="n">
        <v>1681761.862</v>
      </c>
      <c r="J1472" s="0" t="s">
        <v>4155</v>
      </c>
      <c r="K1472" s="0" t="s">
        <v>2672</v>
      </c>
      <c r="L1472" s="0" t="n">
        <v>2019</v>
      </c>
      <c r="M1472" s="0" t="s">
        <v>2064</v>
      </c>
      <c r="N1472" s="0" t="s">
        <v>91</v>
      </c>
      <c r="O1472" s="0" t="s">
        <v>2502</v>
      </c>
      <c r="P1472" s="0" t="s">
        <v>5295</v>
      </c>
      <c r="Q1472" s="0" t="n">
        <v>93</v>
      </c>
      <c r="R1472" s="0" t="n">
        <v>92</v>
      </c>
      <c r="S1472" s="0" t="n">
        <v>23</v>
      </c>
      <c r="T1472" s="0" t="s">
        <v>5657</v>
      </c>
      <c r="U1472" s="0" t="s">
        <v>5658</v>
      </c>
      <c r="V1472" s="0" t="s">
        <v>92</v>
      </c>
      <c r="W1472" s="0" t="s">
        <v>5322</v>
      </c>
      <c r="X1472" s="0" t="s">
        <v>5297</v>
      </c>
      <c r="Y1472" s="0" t="s">
        <v>4159</v>
      </c>
      <c r="Z1472" s="0" t="s">
        <v>4160</v>
      </c>
      <c r="AA1472" s="0" t="s">
        <v>5659</v>
      </c>
      <c r="AB1472" s="0" t="s">
        <v>5299</v>
      </c>
      <c r="AC1472" s="0" t="s">
        <v>4162</v>
      </c>
      <c r="AD1472" s="0" t="s">
        <v>4163</v>
      </c>
      <c r="AE1472" s="0" t="s">
        <v>4164</v>
      </c>
      <c r="AF1472" s="0" t="s">
        <v>5300</v>
      </c>
      <c r="AH1472" s="0" t="s">
        <v>2239</v>
      </c>
      <c r="AL1472" s="0" t="s">
        <v>523</v>
      </c>
    </row>
    <row r="1473" customFormat="false" ht="15" hidden="false" customHeight="false" outlineLevel="0" collapsed="false">
      <c r="A1473" s="0" t="s">
        <v>1435</v>
      </c>
      <c r="B1473" s="0" t="s">
        <v>201</v>
      </c>
      <c r="C1473" s="0" t="s">
        <v>4709</v>
      </c>
      <c r="D1473" s="0" t="n">
        <v>2020</v>
      </c>
      <c r="E1473" s="0" t="s">
        <v>55</v>
      </c>
      <c r="F1473" s="0" t="n">
        <v>492020329</v>
      </c>
      <c r="G1473" s="0" t="s">
        <v>3067</v>
      </c>
      <c r="H1473" s="0" t="s">
        <v>3068</v>
      </c>
      <c r="I1473" s="0" t="n">
        <v>492020.329</v>
      </c>
      <c r="J1473" s="0" t="s">
        <v>4634</v>
      </c>
      <c r="K1473" s="0" t="s">
        <v>2744</v>
      </c>
      <c r="L1473" s="0" t="n">
        <v>2021</v>
      </c>
      <c r="M1473" s="0" t="s">
        <v>2106</v>
      </c>
      <c r="N1473" s="0" t="s">
        <v>208</v>
      </c>
      <c r="O1473" s="0" t="s">
        <v>2513</v>
      </c>
      <c r="P1473" s="0" t="s">
        <v>5452</v>
      </c>
      <c r="Q1473" s="0" t="n">
        <v>25</v>
      </c>
      <c r="S1473" s="0" t="s">
        <v>5453</v>
      </c>
      <c r="T1473" s="0" t="s">
        <v>5661</v>
      </c>
      <c r="U1473" s="0" t="s">
        <v>5662</v>
      </c>
      <c r="V1473" s="0" t="s">
        <v>209</v>
      </c>
      <c r="W1473" s="0" t="s">
        <v>5455</v>
      </c>
      <c r="X1473" s="0" t="s">
        <v>5456</v>
      </c>
      <c r="Y1473" s="0" t="s">
        <v>4159</v>
      </c>
      <c r="Z1473" s="0" t="s">
        <v>4160</v>
      </c>
      <c r="AA1473" s="0" t="s">
        <v>5663</v>
      </c>
      <c r="AB1473" s="0" t="s">
        <v>5458</v>
      </c>
      <c r="AC1473" s="0" t="s">
        <v>4162</v>
      </c>
      <c r="AD1473" s="0" t="s">
        <v>4637</v>
      </c>
      <c r="AE1473" s="0" t="s">
        <v>1892</v>
      </c>
      <c r="AF1473" s="0" t="s">
        <v>5459</v>
      </c>
      <c r="AH1473" s="0" t="s">
        <v>2239</v>
      </c>
      <c r="AL1473" s="0" t="s">
        <v>523</v>
      </c>
    </row>
    <row r="1474" customFormat="false" ht="15" hidden="false" customHeight="false" outlineLevel="0" collapsed="false">
      <c r="A1474" s="0" t="s">
        <v>1436</v>
      </c>
      <c r="B1474" s="0" t="s">
        <v>201</v>
      </c>
      <c r="C1474" s="0" t="s">
        <v>4709</v>
      </c>
      <c r="D1474" s="0" t="n">
        <v>2020</v>
      </c>
      <c r="E1474" s="0" t="s">
        <v>56</v>
      </c>
      <c r="F1474" s="0" t="n">
        <v>767430125</v>
      </c>
      <c r="G1474" s="0" t="s">
        <v>3067</v>
      </c>
      <c r="H1474" s="0" t="s">
        <v>3068</v>
      </c>
      <c r="I1474" s="0" t="n">
        <v>767430.125</v>
      </c>
      <c r="J1474" s="0" t="s">
        <v>4634</v>
      </c>
      <c r="K1474" s="0" t="s">
        <v>2744</v>
      </c>
      <c r="L1474" s="0" t="n">
        <v>2021</v>
      </c>
      <c r="M1474" s="0" t="s">
        <v>2106</v>
      </c>
      <c r="N1474" s="0" t="s">
        <v>208</v>
      </c>
      <c r="O1474" s="0" t="s">
        <v>2513</v>
      </c>
      <c r="P1474" s="0" t="s">
        <v>5452</v>
      </c>
      <c r="Q1474" s="0" t="n">
        <v>25</v>
      </c>
      <c r="S1474" s="0" t="s">
        <v>5453</v>
      </c>
      <c r="T1474" s="0" t="s">
        <v>5661</v>
      </c>
      <c r="U1474" s="0" t="s">
        <v>5662</v>
      </c>
      <c r="V1474" s="0" t="s">
        <v>209</v>
      </c>
      <c r="W1474" s="0" t="s">
        <v>5460</v>
      </c>
      <c r="X1474" s="0" t="s">
        <v>5456</v>
      </c>
      <c r="Y1474" s="0" t="s">
        <v>4159</v>
      </c>
      <c r="Z1474" s="0" t="s">
        <v>4160</v>
      </c>
      <c r="AA1474" s="0" t="s">
        <v>5663</v>
      </c>
      <c r="AB1474" s="0" t="s">
        <v>5458</v>
      </c>
      <c r="AC1474" s="0" t="s">
        <v>4162</v>
      </c>
      <c r="AD1474" s="0" t="s">
        <v>4637</v>
      </c>
      <c r="AE1474" s="0" t="s">
        <v>1892</v>
      </c>
      <c r="AF1474" s="0" t="s">
        <v>5459</v>
      </c>
      <c r="AH1474" s="0" t="s">
        <v>2239</v>
      </c>
      <c r="AL1474" s="0" t="s">
        <v>523</v>
      </c>
    </row>
    <row r="1475" customFormat="false" ht="15" hidden="false" customHeight="false" outlineLevel="0" collapsed="false">
      <c r="A1475" s="0" t="s">
        <v>1437</v>
      </c>
      <c r="B1475" s="0" t="s">
        <v>201</v>
      </c>
      <c r="C1475" s="0" t="s">
        <v>4709</v>
      </c>
      <c r="D1475" s="0" t="n">
        <v>2020</v>
      </c>
      <c r="E1475" s="0" t="s">
        <v>57</v>
      </c>
      <c r="F1475" s="0" t="n">
        <v>-275409796</v>
      </c>
      <c r="G1475" s="0" t="s">
        <v>3067</v>
      </c>
      <c r="H1475" s="0" t="s">
        <v>3068</v>
      </c>
      <c r="I1475" s="0" t="n">
        <v>-275409.796</v>
      </c>
      <c r="J1475" s="0" t="s">
        <v>4634</v>
      </c>
      <c r="K1475" s="0" t="s">
        <v>2744</v>
      </c>
      <c r="L1475" s="0" t="n">
        <v>2021</v>
      </c>
      <c r="M1475" s="0" t="s">
        <v>2106</v>
      </c>
      <c r="N1475" s="0" t="s">
        <v>208</v>
      </c>
      <c r="O1475" s="0" t="s">
        <v>2513</v>
      </c>
      <c r="P1475" s="0" t="s">
        <v>5452</v>
      </c>
      <c r="Q1475" s="0" t="n">
        <v>25</v>
      </c>
      <c r="S1475" s="0" t="s">
        <v>5453</v>
      </c>
      <c r="T1475" s="0" t="s">
        <v>5661</v>
      </c>
      <c r="U1475" s="0" t="s">
        <v>5662</v>
      </c>
      <c r="V1475" s="0" t="s">
        <v>209</v>
      </c>
      <c r="W1475" s="0" t="s">
        <v>5462</v>
      </c>
      <c r="X1475" s="0" t="s">
        <v>5456</v>
      </c>
      <c r="Y1475" s="0" t="s">
        <v>4159</v>
      </c>
      <c r="Z1475" s="0" t="s">
        <v>4160</v>
      </c>
      <c r="AA1475" s="0" t="s">
        <v>5663</v>
      </c>
      <c r="AB1475" s="0" t="s">
        <v>5458</v>
      </c>
      <c r="AC1475" s="0" t="s">
        <v>4162</v>
      </c>
      <c r="AD1475" s="0" t="s">
        <v>4637</v>
      </c>
      <c r="AE1475" s="0" t="s">
        <v>1892</v>
      </c>
      <c r="AF1475" s="0" t="s">
        <v>5459</v>
      </c>
      <c r="AH1475" s="0" t="s">
        <v>2239</v>
      </c>
      <c r="AL1475" s="0" t="s">
        <v>523</v>
      </c>
    </row>
    <row r="1476" customFormat="false" ht="15" hidden="false" customHeight="false" outlineLevel="0" collapsed="false">
      <c r="A1476" s="0" t="s">
        <v>1434</v>
      </c>
      <c r="B1476" s="0" t="s">
        <v>201</v>
      </c>
      <c r="C1476" s="0" t="s">
        <v>4709</v>
      </c>
      <c r="D1476" s="0" t="n">
        <v>2020</v>
      </c>
      <c r="E1476" s="0" t="s">
        <v>54</v>
      </c>
      <c r="F1476" s="0" t="n">
        <v>2086393</v>
      </c>
      <c r="G1476" s="0" t="s">
        <v>3067</v>
      </c>
      <c r="H1476" s="0" t="s">
        <v>3068</v>
      </c>
      <c r="I1476" s="0" t="n">
        <v>2086.393</v>
      </c>
      <c r="J1476" s="0" t="s">
        <v>4634</v>
      </c>
      <c r="K1476" s="0" t="s">
        <v>2744</v>
      </c>
      <c r="L1476" s="0" t="n">
        <v>2021</v>
      </c>
      <c r="M1476" s="0" t="s">
        <v>2106</v>
      </c>
      <c r="N1476" s="0" t="s">
        <v>208</v>
      </c>
      <c r="O1476" s="0" t="s">
        <v>2513</v>
      </c>
      <c r="P1476" s="0" t="s">
        <v>5452</v>
      </c>
      <c r="Q1476" s="0" t="n">
        <v>24</v>
      </c>
      <c r="S1476" s="0" t="s">
        <v>5464</v>
      </c>
      <c r="T1476" s="0" t="s">
        <v>5664</v>
      </c>
      <c r="U1476" s="0" t="s">
        <v>5662</v>
      </c>
      <c r="V1476" s="0" t="s">
        <v>209</v>
      </c>
      <c r="W1476" s="0" t="s">
        <v>5465</v>
      </c>
      <c r="X1476" s="0" t="s">
        <v>5466</v>
      </c>
      <c r="Y1476" s="0" t="s">
        <v>4159</v>
      </c>
      <c r="Z1476" s="0" t="s">
        <v>4160</v>
      </c>
      <c r="AA1476" s="0" t="s">
        <v>5663</v>
      </c>
      <c r="AB1476" s="0" t="s">
        <v>5458</v>
      </c>
      <c r="AC1476" s="0" t="s">
        <v>4162</v>
      </c>
      <c r="AD1476" s="0" t="s">
        <v>4637</v>
      </c>
      <c r="AE1476" s="0" t="s">
        <v>1892</v>
      </c>
      <c r="AF1476" s="0" t="s">
        <v>5468</v>
      </c>
      <c r="AH1476" s="0" t="s">
        <v>2239</v>
      </c>
      <c r="AL1476" s="0" t="s">
        <v>523</v>
      </c>
    </row>
    <row r="1477" customFormat="false" ht="15" hidden="false" customHeight="false" outlineLevel="0" collapsed="false">
      <c r="A1477" s="0" t="s">
        <v>1443</v>
      </c>
      <c r="B1477" s="0" t="s">
        <v>201</v>
      </c>
      <c r="C1477" s="0" t="s">
        <v>4709</v>
      </c>
      <c r="D1477" s="0" t="n">
        <v>2020</v>
      </c>
      <c r="E1477" s="0" t="s">
        <v>541</v>
      </c>
      <c r="F1477" s="0" t="n">
        <v>2223194</v>
      </c>
      <c r="G1477" s="0" t="s">
        <v>3067</v>
      </c>
      <c r="H1477" s="0" t="s">
        <v>3068</v>
      </c>
      <c r="I1477" s="0" t="n">
        <v>2223.194</v>
      </c>
      <c r="J1477" s="0" t="s">
        <v>4634</v>
      </c>
      <c r="K1477" s="0" t="s">
        <v>2744</v>
      </c>
      <c r="L1477" s="0" t="n">
        <v>2021</v>
      </c>
      <c r="M1477" s="0" t="s">
        <v>2106</v>
      </c>
      <c r="N1477" s="0" t="s">
        <v>208</v>
      </c>
      <c r="O1477" s="0" t="s">
        <v>2513</v>
      </c>
      <c r="P1477" s="0" t="s">
        <v>5452</v>
      </c>
      <c r="Q1477" s="0" t="n">
        <v>24</v>
      </c>
      <c r="S1477" s="0" t="s">
        <v>5464</v>
      </c>
      <c r="T1477" s="0" t="s">
        <v>5664</v>
      </c>
      <c r="U1477" s="0" t="s">
        <v>5662</v>
      </c>
      <c r="V1477" s="0" t="s">
        <v>209</v>
      </c>
      <c r="W1477" s="0" t="s">
        <v>5469</v>
      </c>
      <c r="X1477" s="0" t="s">
        <v>5466</v>
      </c>
      <c r="Y1477" s="0" t="s">
        <v>4159</v>
      </c>
      <c r="Z1477" s="0" t="s">
        <v>4160</v>
      </c>
      <c r="AA1477" s="0" t="s">
        <v>5663</v>
      </c>
      <c r="AB1477" s="0" t="s">
        <v>5458</v>
      </c>
      <c r="AC1477" s="0" t="s">
        <v>4162</v>
      </c>
      <c r="AD1477" s="0" t="s">
        <v>4637</v>
      </c>
      <c r="AE1477" s="0" t="s">
        <v>1892</v>
      </c>
      <c r="AF1477" s="0" t="s">
        <v>5468</v>
      </c>
      <c r="AH1477" s="0" t="s">
        <v>2239</v>
      </c>
      <c r="AL1477" s="0" t="s">
        <v>523</v>
      </c>
    </row>
    <row r="1478" customFormat="false" ht="15" hidden="false" customHeight="false" outlineLevel="0" collapsed="false">
      <c r="A1478" s="0" t="s">
        <v>1438</v>
      </c>
      <c r="B1478" s="0" t="s">
        <v>201</v>
      </c>
      <c r="C1478" s="0" t="s">
        <v>4709</v>
      </c>
      <c r="D1478" s="0" t="n">
        <v>2020</v>
      </c>
      <c r="E1478" s="0" t="s">
        <v>58</v>
      </c>
      <c r="F1478" s="0" t="n">
        <v>15353812</v>
      </c>
      <c r="G1478" s="0" t="s">
        <v>3067</v>
      </c>
      <c r="H1478" s="0" t="s">
        <v>3068</v>
      </c>
      <c r="I1478" s="0" t="n">
        <v>15353.812</v>
      </c>
      <c r="J1478" s="0" t="s">
        <v>4634</v>
      </c>
      <c r="K1478" s="0" t="s">
        <v>2744</v>
      </c>
      <c r="L1478" s="0" t="n">
        <v>2021</v>
      </c>
      <c r="M1478" s="0" t="s">
        <v>2106</v>
      </c>
      <c r="N1478" s="0" t="s">
        <v>208</v>
      </c>
      <c r="O1478" s="0" t="s">
        <v>2513</v>
      </c>
      <c r="P1478" s="0" t="s">
        <v>5452</v>
      </c>
      <c r="Q1478" s="0" t="n">
        <v>27</v>
      </c>
      <c r="R1478" s="0" t="n">
        <v>27</v>
      </c>
      <c r="T1478" s="0" t="s">
        <v>5664</v>
      </c>
      <c r="U1478" s="0" t="s">
        <v>5662</v>
      </c>
      <c r="V1478" s="0" t="s">
        <v>209</v>
      </c>
      <c r="W1478" s="0" t="s">
        <v>5471</v>
      </c>
      <c r="X1478" s="0" t="s">
        <v>5472</v>
      </c>
      <c r="Y1478" s="0" t="s">
        <v>4159</v>
      </c>
      <c r="Z1478" s="0" t="s">
        <v>4160</v>
      </c>
      <c r="AA1478" s="0" t="s">
        <v>5663</v>
      </c>
      <c r="AB1478" s="0" t="s">
        <v>5458</v>
      </c>
      <c r="AC1478" s="0" t="s">
        <v>4162</v>
      </c>
      <c r="AD1478" s="0" t="s">
        <v>4637</v>
      </c>
      <c r="AE1478" s="0" t="s">
        <v>1892</v>
      </c>
      <c r="AF1478" s="0" t="s">
        <v>5468</v>
      </c>
      <c r="AH1478" s="0" t="s">
        <v>2239</v>
      </c>
      <c r="AL1478" s="0" t="s">
        <v>523</v>
      </c>
    </row>
    <row r="1479" customFormat="false" ht="15" hidden="false" customHeight="false" outlineLevel="0" collapsed="false">
      <c r="A1479" s="0" t="s">
        <v>1442</v>
      </c>
      <c r="B1479" s="0" t="s">
        <v>201</v>
      </c>
      <c r="C1479" s="0" t="s">
        <v>4709</v>
      </c>
      <c r="D1479" s="0" t="n">
        <v>2020</v>
      </c>
      <c r="E1479" s="0" t="s">
        <v>63</v>
      </c>
      <c r="F1479" s="0" t="n">
        <v>4127332</v>
      </c>
      <c r="G1479" s="0" t="s">
        <v>3067</v>
      </c>
      <c r="H1479" s="0" t="s">
        <v>3068</v>
      </c>
      <c r="I1479" s="0" t="n">
        <v>-4127.332</v>
      </c>
      <c r="J1479" s="0" t="s">
        <v>4634</v>
      </c>
      <c r="K1479" s="0" t="s">
        <v>2744</v>
      </c>
      <c r="L1479" s="0" t="n">
        <v>2021</v>
      </c>
      <c r="M1479" s="0" t="s">
        <v>2106</v>
      </c>
      <c r="N1479" s="0" t="s">
        <v>208</v>
      </c>
      <c r="O1479" s="0" t="s">
        <v>2513</v>
      </c>
      <c r="P1479" s="0" t="s">
        <v>5452</v>
      </c>
      <c r="Q1479" s="0" t="n">
        <v>24</v>
      </c>
      <c r="S1479" s="0" t="n">
        <v>11</v>
      </c>
      <c r="T1479" s="0" t="s">
        <v>5664</v>
      </c>
      <c r="U1479" s="0" t="s">
        <v>5662</v>
      </c>
      <c r="V1479" s="0" t="s">
        <v>209</v>
      </c>
      <c r="W1479" s="0" t="s">
        <v>5476</v>
      </c>
      <c r="X1479" s="0" t="s">
        <v>5466</v>
      </c>
      <c r="Y1479" s="0" t="s">
        <v>4159</v>
      </c>
      <c r="Z1479" s="0" t="s">
        <v>4160</v>
      </c>
      <c r="AA1479" s="0" t="s">
        <v>5665</v>
      </c>
      <c r="AB1479" s="0" t="s">
        <v>5458</v>
      </c>
      <c r="AC1479" s="0" t="s">
        <v>4162</v>
      </c>
      <c r="AD1479" s="0" t="s">
        <v>4637</v>
      </c>
      <c r="AE1479" s="0" t="s">
        <v>1892</v>
      </c>
      <c r="AF1479" s="0" t="s">
        <v>5468</v>
      </c>
      <c r="AH1479" s="0" t="s">
        <v>4174</v>
      </c>
      <c r="AI1479" s="0" t="s">
        <v>5666</v>
      </c>
      <c r="AL1479" s="0" t="s">
        <v>523</v>
      </c>
    </row>
    <row r="1480" customFormat="false" ht="15" hidden="false" customHeight="false" outlineLevel="0" collapsed="false">
      <c r="A1480" s="0" t="s">
        <v>1441</v>
      </c>
      <c r="B1480" s="0" t="s">
        <v>201</v>
      </c>
      <c r="C1480" s="0" t="s">
        <v>4709</v>
      </c>
      <c r="D1480" s="0" t="n">
        <v>2020</v>
      </c>
      <c r="E1480" s="0" t="s">
        <v>62</v>
      </c>
      <c r="F1480" s="0" t="n">
        <v>202080856</v>
      </c>
      <c r="G1480" s="0" t="s">
        <v>3067</v>
      </c>
      <c r="H1480" s="0" t="s">
        <v>3068</v>
      </c>
      <c r="I1480" s="0" t="n">
        <v>202080.856</v>
      </c>
      <c r="J1480" s="0" t="s">
        <v>4634</v>
      </c>
      <c r="K1480" s="0" t="s">
        <v>2744</v>
      </c>
      <c r="L1480" s="0" t="n">
        <v>2021</v>
      </c>
      <c r="M1480" s="0" t="s">
        <v>2106</v>
      </c>
      <c r="N1480" s="0" t="s">
        <v>208</v>
      </c>
      <c r="O1480" s="0" t="s">
        <v>2513</v>
      </c>
      <c r="P1480" s="0" t="s">
        <v>5452</v>
      </c>
      <c r="Q1480" s="0" t="n">
        <v>25</v>
      </c>
      <c r="S1480" s="0" t="n">
        <v>18</v>
      </c>
      <c r="T1480" s="0" t="s">
        <v>5661</v>
      </c>
      <c r="U1480" s="0" t="s">
        <v>5662</v>
      </c>
      <c r="V1480" s="0" t="s">
        <v>209</v>
      </c>
      <c r="W1480" s="0" t="s">
        <v>5485</v>
      </c>
      <c r="X1480" s="0" t="s">
        <v>5456</v>
      </c>
      <c r="Y1480" s="0" t="s">
        <v>4159</v>
      </c>
      <c r="Z1480" s="0" t="s">
        <v>4160</v>
      </c>
      <c r="AA1480" s="0" t="s">
        <v>5663</v>
      </c>
      <c r="AB1480" s="0" t="s">
        <v>5458</v>
      </c>
      <c r="AC1480" s="0" t="s">
        <v>4162</v>
      </c>
      <c r="AD1480" s="0" t="s">
        <v>4637</v>
      </c>
      <c r="AE1480" s="0" t="s">
        <v>1892</v>
      </c>
      <c r="AF1480" s="0" t="s">
        <v>5459</v>
      </c>
      <c r="AH1480" s="0" t="s">
        <v>2239</v>
      </c>
      <c r="AL1480" s="0" t="s">
        <v>523</v>
      </c>
    </row>
    <row r="1481" customFormat="false" ht="15" hidden="false" customHeight="false" outlineLevel="0" collapsed="false">
      <c r="A1481" s="0" t="s">
        <v>1439</v>
      </c>
      <c r="B1481" s="0" t="s">
        <v>201</v>
      </c>
      <c r="C1481" s="0" t="s">
        <v>4709</v>
      </c>
      <c r="D1481" s="0" t="n">
        <v>2020</v>
      </c>
      <c r="E1481" s="0" t="s">
        <v>60</v>
      </c>
      <c r="F1481" s="0" t="n">
        <v>206205544</v>
      </c>
      <c r="G1481" s="0" t="s">
        <v>3067</v>
      </c>
      <c r="H1481" s="0" t="s">
        <v>3068</v>
      </c>
      <c r="I1481" s="0" t="n">
        <v>206205.544</v>
      </c>
      <c r="J1481" s="0" t="s">
        <v>4634</v>
      </c>
      <c r="K1481" s="0" t="s">
        <v>2744</v>
      </c>
      <c r="L1481" s="0" t="n">
        <v>2021</v>
      </c>
      <c r="M1481" s="0" t="s">
        <v>2106</v>
      </c>
      <c r="N1481" s="0" t="s">
        <v>208</v>
      </c>
      <c r="O1481" s="0" t="s">
        <v>2513</v>
      </c>
      <c r="P1481" s="0" t="s">
        <v>5452</v>
      </c>
      <c r="Q1481" s="0" t="n">
        <v>74</v>
      </c>
      <c r="R1481" s="0" t="n">
        <v>74</v>
      </c>
      <c r="S1481" s="0" t="n">
        <v>18</v>
      </c>
      <c r="T1481" s="0" t="s">
        <v>5664</v>
      </c>
      <c r="U1481" s="0" t="s">
        <v>5662</v>
      </c>
      <c r="V1481" s="0" t="s">
        <v>209</v>
      </c>
      <c r="W1481" s="0" t="s">
        <v>5479</v>
      </c>
      <c r="X1481" s="0" t="s">
        <v>5480</v>
      </c>
      <c r="Y1481" s="0" t="s">
        <v>4159</v>
      </c>
      <c r="Z1481" s="0" t="s">
        <v>4160</v>
      </c>
      <c r="AA1481" s="0" t="s">
        <v>5663</v>
      </c>
      <c r="AB1481" s="0" t="s">
        <v>5458</v>
      </c>
      <c r="AC1481" s="0" t="s">
        <v>4162</v>
      </c>
      <c r="AD1481" s="0" t="s">
        <v>4637</v>
      </c>
      <c r="AE1481" s="0" t="s">
        <v>1892</v>
      </c>
      <c r="AF1481" s="0" t="s">
        <v>5482</v>
      </c>
      <c r="AH1481" s="0" t="s">
        <v>2239</v>
      </c>
      <c r="AL1481" s="0" t="s">
        <v>523</v>
      </c>
    </row>
    <row r="1482" customFormat="false" ht="15" hidden="false" customHeight="false" outlineLevel="0" collapsed="false">
      <c r="A1482" s="0" t="s">
        <v>1440</v>
      </c>
      <c r="B1482" s="0" t="s">
        <v>201</v>
      </c>
      <c r="C1482" s="0" t="s">
        <v>4709</v>
      </c>
      <c r="D1482" s="0" t="n">
        <v>2020</v>
      </c>
      <c r="E1482" s="0" t="s">
        <v>61</v>
      </c>
      <c r="F1482" s="0" t="n">
        <v>-4124689</v>
      </c>
      <c r="G1482" s="0" t="s">
        <v>3067</v>
      </c>
      <c r="H1482" s="0" t="s">
        <v>3068</v>
      </c>
      <c r="I1482" s="0" t="n">
        <v>4124.689</v>
      </c>
      <c r="J1482" s="0" t="s">
        <v>4634</v>
      </c>
      <c r="K1482" s="0" t="s">
        <v>2744</v>
      </c>
      <c r="L1482" s="0" t="n">
        <v>2021</v>
      </c>
      <c r="M1482" s="0" t="s">
        <v>2106</v>
      </c>
      <c r="N1482" s="0" t="s">
        <v>208</v>
      </c>
      <c r="O1482" s="0" t="s">
        <v>2513</v>
      </c>
      <c r="P1482" s="0" t="s">
        <v>5452</v>
      </c>
      <c r="Q1482" s="0" t="n">
        <v>74</v>
      </c>
      <c r="R1482" s="0" t="n">
        <v>74</v>
      </c>
      <c r="S1482" s="0" t="n">
        <v>18</v>
      </c>
      <c r="T1482" s="0" t="s">
        <v>5664</v>
      </c>
      <c r="U1482" s="0" t="s">
        <v>5662</v>
      </c>
      <c r="V1482" s="0" t="s">
        <v>209</v>
      </c>
      <c r="W1482" s="0" t="s">
        <v>5483</v>
      </c>
      <c r="X1482" s="0" t="s">
        <v>5480</v>
      </c>
      <c r="Y1482" s="0" t="s">
        <v>4159</v>
      </c>
      <c r="Z1482" s="0" t="s">
        <v>4160</v>
      </c>
      <c r="AA1482" s="0" t="s">
        <v>5665</v>
      </c>
      <c r="AB1482" s="0" t="s">
        <v>5458</v>
      </c>
      <c r="AC1482" s="0" t="s">
        <v>4162</v>
      </c>
      <c r="AD1482" s="0" t="s">
        <v>4637</v>
      </c>
      <c r="AE1482" s="0" t="s">
        <v>1892</v>
      </c>
      <c r="AF1482" s="0" t="s">
        <v>5482</v>
      </c>
      <c r="AH1482" s="0" t="s">
        <v>4174</v>
      </c>
      <c r="AI1482" s="0" t="s">
        <v>4781</v>
      </c>
      <c r="AL1482" s="0" t="s">
        <v>523</v>
      </c>
    </row>
    <row r="1483" customFormat="false" ht="15" hidden="false" customHeight="false" outlineLevel="0" collapsed="false">
      <c r="A1483" s="0" t="s">
        <v>1370</v>
      </c>
      <c r="B1483" s="0" t="s">
        <v>201</v>
      </c>
      <c r="C1483" s="0" t="s">
        <v>4709</v>
      </c>
      <c r="D1483" s="0" t="n">
        <v>2013</v>
      </c>
      <c r="E1483" s="0" t="s">
        <v>55</v>
      </c>
      <c r="F1483" s="0" t="n">
        <v>403629290</v>
      </c>
      <c r="G1483" s="0" t="s">
        <v>3067</v>
      </c>
      <c r="H1483" s="0" t="s">
        <v>3068</v>
      </c>
      <c r="I1483" s="0" t="n">
        <v>403629.29</v>
      </c>
      <c r="J1483" s="0" t="s">
        <v>4634</v>
      </c>
      <c r="K1483" s="0" t="s">
        <v>2739</v>
      </c>
      <c r="L1483" s="0" t="n">
        <v>2014</v>
      </c>
      <c r="M1483" s="0" t="s">
        <v>2498</v>
      </c>
      <c r="N1483" s="0" t="s">
        <v>202</v>
      </c>
      <c r="O1483" s="0" t="s">
        <v>2499</v>
      </c>
      <c r="P1483" s="0" t="s">
        <v>5274</v>
      </c>
      <c r="Q1483" s="0" t="n">
        <v>3</v>
      </c>
      <c r="R1483" s="0" t="n">
        <v>60</v>
      </c>
      <c r="T1483" s="0" t="s">
        <v>5667</v>
      </c>
      <c r="U1483" s="0" t="s">
        <v>5668</v>
      </c>
      <c r="V1483" s="0" t="s">
        <v>203</v>
      </c>
      <c r="W1483" s="0" t="s">
        <v>5276</v>
      </c>
      <c r="X1483" s="0" t="s">
        <v>5277</v>
      </c>
      <c r="Y1483" s="0" t="s">
        <v>4159</v>
      </c>
      <c r="Z1483" s="0" t="s">
        <v>4160</v>
      </c>
      <c r="AA1483" s="0" t="s">
        <v>5669</v>
      </c>
      <c r="AB1483" s="0" t="s">
        <v>5278</v>
      </c>
      <c r="AC1483" s="0" t="s">
        <v>4162</v>
      </c>
      <c r="AD1483" s="0" t="s">
        <v>4637</v>
      </c>
      <c r="AE1483" s="0" t="s">
        <v>1892</v>
      </c>
      <c r="AF1483" s="0" t="s">
        <v>5279</v>
      </c>
      <c r="AH1483" s="0" t="s">
        <v>2239</v>
      </c>
      <c r="AL1483" s="0" t="s">
        <v>523</v>
      </c>
    </row>
    <row r="1484" customFormat="false" ht="15" hidden="false" customHeight="false" outlineLevel="0" collapsed="false">
      <c r="A1484" s="0" t="s">
        <v>1371</v>
      </c>
      <c r="B1484" s="0" t="s">
        <v>201</v>
      </c>
      <c r="C1484" s="0" t="s">
        <v>4709</v>
      </c>
      <c r="D1484" s="0" t="n">
        <v>2013</v>
      </c>
      <c r="E1484" s="0" t="s">
        <v>56</v>
      </c>
      <c r="F1484" s="0" t="n">
        <v>375416650</v>
      </c>
      <c r="G1484" s="0" t="s">
        <v>3067</v>
      </c>
      <c r="H1484" s="0" t="s">
        <v>3068</v>
      </c>
      <c r="I1484" s="0" t="n">
        <v>375416.65</v>
      </c>
      <c r="J1484" s="0" t="s">
        <v>4634</v>
      </c>
      <c r="K1484" s="0" t="s">
        <v>2739</v>
      </c>
      <c r="L1484" s="0" t="n">
        <v>2014</v>
      </c>
      <c r="M1484" s="0" t="s">
        <v>2498</v>
      </c>
      <c r="N1484" s="0" t="s">
        <v>202</v>
      </c>
      <c r="O1484" s="0" t="s">
        <v>2499</v>
      </c>
      <c r="P1484" s="0" t="s">
        <v>5274</v>
      </c>
      <c r="Q1484" s="0" t="n">
        <v>3</v>
      </c>
      <c r="R1484" s="0" t="n">
        <v>60</v>
      </c>
      <c r="T1484" s="0" t="s">
        <v>5667</v>
      </c>
      <c r="U1484" s="0" t="s">
        <v>5668</v>
      </c>
      <c r="V1484" s="0" t="s">
        <v>203</v>
      </c>
      <c r="W1484" s="0" t="s">
        <v>5280</v>
      </c>
      <c r="X1484" s="0" t="s">
        <v>5277</v>
      </c>
      <c r="Y1484" s="0" t="s">
        <v>4159</v>
      </c>
      <c r="Z1484" s="0" t="s">
        <v>4160</v>
      </c>
      <c r="AA1484" s="0" t="s">
        <v>5669</v>
      </c>
      <c r="AB1484" s="0" t="s">
        <v>5278</v>
      </c>
      <c r="AC1484" s="0" t="s">
        <v>4162</v>
      </c>
      <c r="AD1484" s="0" t="s">
        <v>4637</v>
      </c>
      <c r="AE1484" s="0" t="s">
        <v>1892</v>
      </c>
      <c r="AF1484" s="0" t="s">
        <v>5279</v>
      </c>
      <c r="AH1484" s="0" t="s">
        <v>2239</v>
      </c>
      <c r="AL1484" s="0" t="s">
        <v>523</v>
      </c>
    </row>
    <row r="1485" customFormat="false" ht="15" hidden="false" customHeight="false" outlineLevel="0" collapsed="false">
      <c r="A1485" s="0" t="s">
        <v>1372</v>
      </c>
      <c r="B1485" s="0" t="s">
        <v>201</v>
      </c>
      <c r="C1485" s="0" t="s">
        <v>4709</v>
      </c>
      <c r="D1485" s="0" t="n">
        <v>2013</v>
      </c>
      <c r="E1485" s="0" t="s">
        <v>57</v>
      </c>
      <c r="F1485" s="0" t="n">
        <v>28212639</v>
      </c>
      <c r="G1485" s="0" t="s">
        <v>3067</v>
      </c>
      <c r="H1485" s="0" t="s">
        <v>3068</v>
      </c>
      <c r="I1485" s="0" t="n">
        <v>28212.639</v>
      </c>
      <c r="J1485" s="0" t="s">
        <v>4634</v>
      </c>
      <c r="K1485" s="0" t="s">
        <v>2739</v>
      </c>
      <c r="L1485" s="0" t="n">
        <v>2014</v>
      </c>
      <c r="M1485" s="0" t="s">
        <v>2498</v>
      </c>
      <c r="N1485" s="0" t="s">
        <v>202</v>
      </c>
      <c r="O1485" s="0" t="s">
        <v>2499</v>
      </c>
      <c r="P1485" s="0" t="s">
        <v>5274</v>
      </c>
      <c r="Q1485" s="0" t="n">
        <v>3</v>
      </c>
      <c r="R1485" s="0" t="n">
        <v>60</v>
      </c>
      <c r="T1485" s="0" t="s">
        <v>5667</v>
      </c>
      <c r="U1485" s="0" t="s">
        <v>5668</v>
      </c>
      <c r="V1485" s="0" t="s">
        <v>203</v>
      </c>
      <c r="W1485" s="0" t="s">
        <v>5281</v>
      </c>
      <c r="X1485" s="0" t="s">
        <v>5277</v>
      </c>
      <c r="Y1485" s="0" t="s">
        <v>4159</v>
      </c>
      <c r="Z1485" s="0" t="s">
        <v>4160</v>
      </c>
      <c r="AA1485" s="0" t="s">
        <v>5669</v>
      </c>
      <c r="AB1485" s="0" t="s">
        <v>5278</v>
      </c>
      <c r="AC1485" s="0" t="s">
        <v>4162</v>
      </c>
      <c r="AD1485" s="0" t="s">
        <v>4637</v>
      </c>
      <c r="AE1485" s="0" t="s">
        <v>1892</v>
      </c>
      <c r="AF1485" s="0" t="s">
        <v>5279</v>
      </c>
      <c r="AH1485" s="0" t="s">
        <v>2239</v>
      </c>
      <c r="AL1485" s="0" t="s">
        <v>523</v>
      </c>
    </row>
    <row r="1486" customFormat="false" ht="15" hidden="false" customHeight="false" outlineLevel="0" collapsed="false">
      <c r="A1486" s="0" t="s">
        <v>1369</v>
      </c>
      <c r="B1486" s="0" t="s">
        <v>201</v>
      </c>
      <c r="C1486" s="0" t="s">
        <v>4709</v>
      </c>
      <c r="D1486" s="0" t="n">
        <v>2013</v>
      </c>
      <c r="E1486" s="0" t="s">
        <v>54</v>
      </c>
      <c r="F1486" s="0" t="n">
        <v>-22582339</v>
      </c>
      <c r="G1486" s="0" t="s">
        <v>3067</v>
      </c>
      <c r="H1486" s="0" t="s">
        <v>3068</v>
      </c>
      <c r="I1486" s="0" t="n">
        <v>-22582.339</v>
      </c>
      <c r="J1486" s="0" t="s">
        <v>4634</v>
      </c>
      <c r="K1486" s="0" t="s">
        <v>2739</v>
      </c>
      <c r="L1486" s="0" t="n">
        <v>2014</v>
      </c>
      <c r="M1486" s="0" t="s">
        <v>2498</v>
      </c>
      <c r="N1486" s="0" t="s">
        <v>202</v>
      </c>
      <c r="O1486" s="0" t="s">
        <v>2499</v>
      </c>
      <c r="P1486" s="0" t="s">
        <v>5274</v>
      </c>
      <c r="Q1486" s="0" t="n">
        <v>1</v>
      </c>
      <c r="R1486" s="0" t="n">
        <v>58</v>
      </c>
      <c r="T1486" s="0" t="s">
        <v>5667</v>
      </c>
      <c r="U1486" s="0" t="s">
        <v>5668</v>
      </c>
      <c r="V1486" s="0" t="s">
        <v>203</v>
      </c>
      <c r="W1486" s="0" t="s">
        <v>5282</v>
      </c>
      <c r="X1486" s="0" t="s">
        <v>5283</v>
      </c>
      <c r="Y1486" s="0" t="s">
        <v>4159</v>
      </c>
      <c r="Z1486" s="0" t="s">
        <v>4160</v>
      </c>
      <c r="AA1486" s="0" t="s">
        <v>5669</v>
      </c>
      <c r="AB1486" s="0" t="s">
        <v>5278</v>
      </c>
      <c r="AC1486" s="0" t="s">
        <v>4162</v>
      </c>
      <c r="AD1486" s="0" t="s">
        <v>4637</v>
      </c>
      <c r="AE1486" s="0" t="s">
        <v>1892</v>
      </c>
      <c r="AF1486" s="0" t="s">
        <v>5279</v>
      </c>
      <c r="AH1486" s="0" t="s">
        <v>2239</v>
      </c>
      <c r="AL1486" s="0" t="s">
        <v>523</v>
      </c>
    </row>
    <row r="1487" customFormat="false" ht="15" hidden="false" customHeight="false" outlineLevel="0" collapsed="false">
      <c r="A1487" s="0" t="s">
        <v>1376</v>
      </c>
      <c r="B1487" s="0" t="s">
        <v>201</v>
      </c>
      <c r="C1487" s="0" t="s">
        <v>4709</v>
      </c>
      <c r="D1487" s="0" t="n">
        <v>2013</v>
      </c>
      <c r="E1487" s="0" t="s">
        <v>541</v>
      </c>
      <c r="F1487" s="0" t="n">
        <v>-33639369</v>
      </c>
      <c r="G1487" s="0" t="s">
        <v>3067</v>
      </c>
      <c r="H1487" s="0" t="s">
        <v>3068</v>
      </c>
      <c r="I1487" s="0" t="n">
        <v>-33639.369</v>
      </c>
      <c r="J1487" s="0" t="s">
        <v>4634</v>
      </c>
      <c r="K1487" s="0" t="s">
        <v>2739</v>
      </c>
      <c r="L1487" s="0" t="n">
        <v>2014</v>
      </c>
      <c r="M1487" s="0" t="s">
        <v>2498</v>
      </c>
      <c r="N1487" s="0" t="s">
        <v>202</v>
      </c>
      <c r="O1487" s="0" t="s">
        <v>2499</v>
      </c>
      <c r="P1487" s="0" t="s">
        <v>5274</v>
      </c>
      <c r="Q1487" s="0" t="n">
        <v>1</v>
      </c>
      <c r="R1487" s="0" t="n">
        <v>58</v>
      </c>
      <c r="T1487" s="0" t="s">
        <v>5667</v>
      </c>
      <c r="U1487" s="0" t="s">
        <v>5668</v>
      </c>
      <c r="V1487" s="0" t="s">
        <v>203</v>
      </c>
      <c r="W1487" s="0" t="s">
        <v>5284</v>
      </c>
      <c r="X1487" s="0" t="s">
        <v>5283</v>
      </c>
      <c r="Y1487" s="0" t="s">
        <v>4159</v>
      </c>
      <c r="Z1487" s="0" t="s">
        <v>4160</v>
      </c>
      <c r="AA1487" s="0" t="s">
        <v>5669</v>
      </c>
      <c r="AB1487" s="0" t="s">
        <v>5278</v>
      </c>
      <c r="AC1487" s="0" t="s">
        <v>4162</v>
      </c>
      <c r="AD1487" s="0" t="s">
        <v>4637</v>
      </c>
      <c r="AE1487" s="0" t="s">
        <v>1892</v>
      </c>
      <c r="AF1487" s="0" t="s">
        <v>5279</v>
      </c>
      <c r="AH1487" s="0" t="s">
        <v>2239</v>
      </c>
      <c r="AL1487" s="0" t="s">
        <v>523</v>
      </c>
    </row>
    <row r="1488" customFormat="false" ht="15" hidden="false" customHeight="false" outlineLevel="0" collapsed="false">
      <c r="A1488" s="0" t="s">
        <v>1373</v>
      </c>
      <c r="B1488" s="0" t="s">
        <v>201</v>
      </c>
      <c r="C1488" s="0" t="s">
        <v>4709</v>
      </c>
      <c r="D1488" s="0" t="n">
        <v>2013</v>
      </c>
      <c r="E1488" s="0" t="s">
        <v>58</v>
      </c>
      <c r="F1488" s="0" t="n">
        <v>23788331</v>
      </c>
      <c r="G1488" s="0" t="s">
        <v>3067</v>
      </c>
      <c r="H1488" s="0" t="s">
        <v>3068</v>
      </c>
      <c r="I1488" s="0" t="n">
        <v>23788.331</v>
      </c>
      <c r="J1488" s="0" t="s">
        <v>4634</v>
      </c>
      <c r="K1488" s="0" t="s">
        <v>2739</v>
      </c>
      <c r="L1488" s="0" t="n">
        <v>2014</v>
      </c>
      <c r="M1488" s="0" t="s">
        <v>2498</v>
      </c>
      <c r="N1488" s="0" t="s">
        <v>202</v>
      </c>
      <c r="O1488" s="0" t="s">
        <v>2499</v>
      </c>
      <c r="P1488" s="0" t="s">
        <v>5274</v>
      </c>
      <c r="Q1488" s="0" t="n">
        <v>5</v>
      </c>
      <c r="R1488" s="0" t="n">
        <v>62</v>
      </c>
      <c r="T1488" s="0" t="s">
        <v>5667</v>
      </c>
      <c r="U1488" s="0" t="s">
        <v>5668</v>
      </c>
      <c r="V1488" s="0" t="s">
        <v>203</v>
      </c>
      <c r="W1488" s="0" t="s">
        <v>5285</v>
      </c>
      <c r="X1488" s="0" t="s">
        <v>5286</v>
      </c>
      <c r="Y1488" s="0" t="s">
        <v>4159</v>
      </c>
      <c r="Z1488" s="0" t="s">
        <v>4160</v>
      </c>
      <c r="AA1488" s="0" t="s">
        <v>5669</v>
      </c>
      <c r="AB1488" s="0" t="s">
        <v>5278</v>
      </c>
      <c r="AC1488" s="0" t="s">
        <v>4162</v>
      </c>
      <c r="AD1488" s="0" t="s">
        <v>4637</v>
      </c>
      <c r="AE1488" s="0" t="s">
        <v>1892</v>
      </c>
      <c r="AF1488" s="0" t="s">
        <v>5279</v>
      </c>
      <c r="AH1488" s="0" t="s">
        <v>2239</v>
      </c>
      <c r="AL1488" s="0" t="s">
        <v>523</v>
      </c>
    </row>
    <row r="1489" customFormat="false" ht="15" hidden="false" customHeight="false" outlineLevel="0" collapsed="false">
      <c r="A1489" s="0" t="s">
        <v>1375</v>
      </c>
      <c r="B1489" s="0" t="s">
        <v>201</v>
      </c>
      <c r="C1489" s="0" t="s">
        <v>4709</v>
      </c>
      <c r="D1489" s="0" t="n">
        <v>2013</v>
      </c>
      <c r="E1489" s="0" t="s">
        <v>63</v>
      </c>
      <c r="F1489" s="0" t="n">
        <v>-21592692</v>
      </c>
      <c r="G1489" s="0" t="s">
        <v>3067</v>
      </c>
      <c r="H1489" s="0" t="s">
        <v>3068</v>
      </c>
      <c r="I1489" s="0" t="n">
        <v>21592.692</v>
      </c>
      <c r="J1489" s="0" t="s">
        <v>4634</v>
      </c>
      <c r="K1489" s="0" t="s">
        <v>2739</v>
      </c>
      <c r="L1489" s="0" t="n">
        <v>2014</v>
      </c>
      <c r="M1489" s="0" t="s">
        <v>2498</v>
      </c>
      <c r="N1489" s="0" t="s">
        <v>202</v>
      </c>
      <c r="O1489" s="0" t="s">
        <v>2499</v>
      </c>
      <c r="P1489" s="0" t="s">
        <v>5274</v>
      </c>
      <c r="Q1489" s="0" t="n">
        <v>1</v>
      </c>
      <c r="R1489" s="0" t="n">
        <v>58</v>
      </c>
      <c r="S1489" s="0" t="n">
        <v>9</v>
      </c>
      <c r="T1489" s="0" t="s">
        <v>5667</v>
      </c>
      <c r="U1489" s="0" t="s">
        <v>5668</v>
      </c>
      <c r="V1489" s="0" t="s">
        <v>203</v>
      </c>
      <c r="W1489" s="0" t="s">
        <v>5289</v>
      </c>
      <c r="X1489" s="0" t="s">
        <v>5283</v>
      </c>
      <c r="Y1489" s="0" t="s">
        <v>4159</v>
      </c>
      <c r="Z1489" s="0" t="s">
        <v>4160</v>
      </c>
      <c r="AA1489" s="0" t="s">
        <v>5670</v>
      </c>
      <c r="AB1489" s="0" t="s">
        <v>5278</v>
      </c>
      <c r="AC1489" s="0" t="s">
        <v>4162</v>
      </c>
      <c r="AD1489" s="0" t="s">
        <v>4637</v>
      </c>
      <c r="AE1489" s="0" t="s">
        <v>1892</v>
      </c>
      <c r="AF1489" s="0" t="s">
        <v>5279</v>
      </c>
      <c r="AH1489" s="0" t="s">
        <v>4174</v>
      </c>
      <c r="AI1489" s="0" t="s">
        <v>4781</v>
      </c>
      <c r="AL1489" s="0" t="s">
        <v>523</v>
      </c>
    </row>
    <row r="1490" customFormat="false" ht="15" hidden="false" customHeight="false" outlineLevel="0" collapsed="false">
      <c r="A1490" s="0" t="s">
        <v>1374</v>
      </c>
      <c r="B1490" s="0" t="s">
        <v>201</v>
      </c>
      <c r="C1490" s="0" t="s">
        <v>4709</v>
      </c>
      <c r="D1490" s="0" t="n">
        <v>2013</v>
      </c>
      <c r="E1490" s="0" t="s">
        <v>62</v>
      </c>
      <c r="F1490" s="0" t="n">
        <v>195229573</v>
      </c>
      <c r="G1490" s="0" t="s">
        <v>3067</v>
      </c>
      <c r="H1490" s="0" t="s">
        <v>3068</v>
      </c>
      <c r="I1490" s="0" t="n">
        <v>195229.573</v>
      </c>
      <c r="J1490" s="0" t="s">
        <v>4634</v>
      </c>
      <c r="K1490" s="0" t="s">
        <v>2739</v>
      </c>
      <c r="L1490" s="0" t="n">
        <v>2014</v>
      </c>
      <c r="M1490" s="0" t="s">
        <v>2498</v>
      </c>
      <c r="N1490" s="0" t="s">
        <v>202</v>
      </c>
      <c r="O1490" s="0" t="s">
        <v>2499</v>
      </c>
      <c r="P1490" s="0" t="s">
        <v>5274</v>
      </c>
      <c r="Q1490" s="0" t="n">
        <v>3</v>
      </c>
      <c r="R1490" s="0" t="n">
        <v>60</v>
      </c>
      <c r="S1490" s="0" t="n">
        <v>17</v>
      </c>
      <c r="T1490" s="0" t="s">
        <v>5667</v>
      </c>
      <c r="U1490" s="0" t="s">
        <v>5668</v>
      </c>
      <c r="V1490" s="0" t="s">
        <v>203</v>
      </c>
      <c r="W1490" s="0" t="s">
        <v>5291</v>
      </c>
      <c r="X1490" s="0" t="s">
        <v>5277</v>
      </c>
      <c r="Y1490" s="0" t="s">
        <v>4159</v>
      </c>
      <c r="Z1490" s="0" t="s">
        <v>4160</v>
      </c>
      <c r="AA1490" s="0" t="s">
        <v>5669</v>
      </c>
      <c r="AB1490" s="0" t="s">
        <v>5278</v>
      </c>
      <c r="AC1490" s="0" t="s">
        <v>4162</v>
      </c>
      <c r="AD1490" s="0" t="s">
        <v>4637</v>
      </c>
      <c r="AE1490" s="0" t="s">
        <v>1892</v>
      </c>
      <c r="AF1490" s="0" t="s">
        <v>5279</v>
      </c>
      <c r="AH1490" s="0" t="s">
        <v>2239</v>
      </c>
      <c r="AL1490" s="0" t="s">
        <v>523</v>
      </c>
    </row>
    <row r="1491" customFormat="false" ht="15" hidden="false" customHeight="false" outlineLevel="0" collapsed="false">
      <c r="A1491" s="0" t="s">
        <v>1418</v>
      </c>
      <c r="B1491" s="0" t="s">
        <v>201</v>
      </c>
      <c r="C1491" s="0" t="s">
        <v>4709</v>
      </c>
      <c r="D1491" s="0" t="n">
        <v>2017</v>
      </c>
      <c r="E1491" s="0" t="s">
        <v>55</v>
      </c>
      <c r="F1491" s="0" t="n">
        <v>156506504</v>
      </c>
      <c r="G1491" s="0" t="s">
        <v>3067</v>
      </c>
      <c r="H1491" s="0" t="s">
        <v>3068</v>
      </c>
      <c r="I1491" s="0" t="n">
        <v>156506.504</v>
      </c>
      <c r="J1491" s="0" t="s">
        <v>4634</v>
      </c>
      <c r="K1491" s="0" t="s">
        <v>2742</v>
      </c>
      <c r="L1491" s="0" t="n">
        <v>2017</v>
      </c>
      <c r="M1491" s="0" t="s">
        <v>2148</v>
      </c>
      <c r="N1491" s="0" t="s">
        <v>206</v>
      </c>
      <c r="O1491" s="0" t="s">
        <v>2521</v>
      </c>
      <c r="P1491" s="0" t="s">
        <v>5671</v>
      </c>
      <c r="Q1491" s="0" t="n">
        <v>30</v>
      </c>
      <c r="R1491" s="0" t="n">
        <v>29</v>
      </c>
      <c r="T1491" s="0" t="s">
        <v>5672</v>
      </c>
      <c r="U1491" s="0" t="s">
        <v>4396</v>
      </c>
      <c r="V1491" s="0" t="s">
        <v>89</v>
      </c>
      <c r="W1491" s="0" t="s">
        <v>5673</v>
      </c>
      <c r="X1491" s="0" t="s">
        <v>5674</v>
      </c>
      <c r="Y1491" s="0" t="s">
        <v>4159</v>
      </c>
      <c r="Z1491" s="0" t="s">
        <v>4160</v>
      </c>
      <c r="AA1491" s="0" t="s">
        <v>5675</v>
      </c>
      <c r="AB1491" s="0" t="s">
        <v>5676</v>
      </c>
      <c r="AC1491" s="0" t="s">
        <v>4162</v>
      </c>
      <c r="AD1491" s="0" t="s">
        <v>4637</v>
      </c>
      <c r="AE1491" s="0" t="s">
        <v>1892</v>
      </c>
      <c r="AF1491" s="0" t="s">
        <v>5677</v>
      </c>
      <c r="AH1491" s="0" t="s">
        <v>2239</v>
      </c>
      <c r="AL1491" s="0" t="s">
        <v>523</v>
      </c>
    </row>
    <row r="1492" customFormat="false" ht="15" hidden="false" customHeight="false" outlineLevel="0" collapsed="false">
      <c r="A1492" s="0" t="s">
        <v>1419</v>
      </c>
      <c r="B1492" s="0" t="s">
        <v>201</v>
      </c>
      <c r="C1492" s="0" t="s">
        <v>4709</v>
      </c>
      <c r="D1492" s="0" t="n">
        <v>2017</v>
      </c>
      <c r="E1492" s="0" t="s">
        <v>56</v>
      </c>
      <c r="F1492" s="0" t="n">
        <v>398699659</v>
      </c>
      <c r="G1492" s="0" t="s">
        <v>3067</v>
      </c>
      <c r="H1492" s="0" t="s">
        <v>3068</v>
      </c>
      <c r="I1492" s="0" t="n">
        <v>398699.659</v>
      </c>
      <c r="J1492" s="0" t="s">
        <v>4634</v>
      </c>
      <c r="K1492" s="0" t="s">
        <v>2742</v>
      </c>
      <c r="L1492" s="0" t="n">
        <v>2017</v>
      </c>
      <c r="M1492" s="0" t="s">
        <v>2148</v>
      </c>
      <c r="N1492" s="0" t="s">
        <v>206</v>
      </c>
      <c r="O1492" s="0" t="s">
        <v>2521</v>
      </c>
      <c r="P1492" s="0" t="s">
        <v>5671</v>
      </c>
      <c r="Q1492" s="0" t="n">
        <v>30</v>
      </c>
      <c r="R1492" s="0" t="n">
        <v>29</v>
      </c>
      <c r="T1492" s="0" t="s">
        <v>5672</v>
      </c>
      <c r="U1492" s="0" t="s">
        <v>4396</v>
      </c>
      <c r="V1492" s="0" t="s">
        <v>89</v>
      </c>
      <c r="W1492" s="0" t="s">
        <v>5678</v>
      </c>
      <c r="X1492" s="0" t="s">
        <v>5674</v>
      </c>
      <c r="Y1492" s="0" t="s">
        <v>4159</v>
      </c>
      <c r="Z1492" s="0" t="s">
        <v>4160</v>
      </c>
      <c r="AA1492" s="0" t="s">
        <v>5679</v>
      </c>
      <c r="AB1492" s="0" t="s">
        <v>5676</v>
      </c>
      <c r="AC1492" s="0" t="s">
        <v>4162</v>
      </c>
      <c r="AD1492" s="0" t="s">
        <v>4637</v>
      </c>
      <c r="AE1492" s="0" t="s">
        <v>1892</v>
      </c>
      <c r="AF1492" s="0" t="s">
        <v>5677</v>
      </c>
      <c r="AH1492" s="0" t="s">
        <v>2239</v>
      </c>
      <c r="AL1492" s="0" t="s">
        <v>523</v>
      </c>
    </row>
    <row r="1493" customFormat="false" ht="15" hidden="false" customHeight="false" outlineLevel="0" collapsed="false">
      <c r="A1493" s="0" t="s">
        <v>1420</v>
      </c>
      <c r="B1493" s="0" t="s">
        <v>201</v>
      </c>
      <c r="C1493" s="0" t="s">
        <v>4709</v>
      </c>
      <c r="D1493" s="0" t="n">
        <v>2017</v>
      </c>
      <c r="E1493" s="0" t="s">
        <v>57</v>
      </c>
      <c r="F1493" s="0" t="n">
        <v>-242193155</v>
      </c>
      <c r="G1493" s="0" t="s">
        <v>3067</v>
      </c>
      <c r="H1493" s="0" t="s">
        <v>3068</v>
      </c>
      <c r="I1493" s="0" t="n">
        <v>-242193.155</v>
      </c>
      <c r="J1493" s="0" t="s">
        <v>4634</v>
      </c>
      <c r="K1493" s="0" t="s">
        <v>2742</v>
      </c>
      <c r="L1493" s="0" t="n">
        <v>2017</v>
      </c>
      <c r="M1493" s="0" t="s">
        <v>2148</v>
      </c>
      <c r="N1493" s="0" t="s">
        <v>206</v>
      </c>
      <c r="O1493" s="0" t="s">
        <v>2521</v>
      </c>
      <c r="P1493" s="0" t="s">
        <v>5671</v>
      </c>
      <c r="Q1493" s="0" t="n">
        <v>30</v>
      </c>
      <c r="R1493" s="0" t="n">
        <v>29</v>
      </c>
      <c r="T1493" s="0" t="s">
        <v>5672</v>
      </c>
      <c r="U1493" s="0" t="s">
        <v>4396</v>
      </c>
      <c r="V1493" s="0" t="s">
        <v>89</v>
      </c>
      <c r="W1493" s="0" t="s">
        <v>5680</v>
      </c>
      <c r="X1493" s="0" t="s">
        <v>5674</v>
      </c>
      <c r="Y1493" s="0" t="s">
        <v>4159</v>
      </c>
      <c r="Z1493" s="0" t="s">
        <v>4160</v>
      </c>
      <c r="AA1493" s="0" t="s">
        <v>5681</v>
      </c>
      <c r="AB1493" s="0" t="s">
        <v>5676</v>
      </c>
      <c r="AC1493" s="0" t="s">
        <v>4162</v>
      </c>
      <c r="AD1493" s="0" t="s">
        <v>4637</v>
      </c>
      <c r="AE1493" s="0" t="s">
        <v>1892</v>
      </c>
      <c r="AF1493" s="0" t="s">
        <v>5677</v>
      </c>
      <c r="AH1493" s="0" t="s">
        <v>2239</v>
      </c>
      <c r="AL1493" s="0" t="s">
        <v>523</v>
      </c>
    </row>
    <row r="1494" customFormat="false" ht="15" hidden="false" customHeight="false" outlineLevel="0" collapsed="false">
      <c r="A1494" s="0" t="s">
        <v>1417</v>
      </c>
      <c r="B1494" s="0" t="s">
        <v>201</v>
      </c>
      <c r="C1494" s="0" t="s">
        <v>4709</v>
      </c>
      <c r="D1494" s="0" t="n">
        <v>2017</v>
      </c>
      <c r="E1494" s="0" t="s">
        <v>54</v>
      </c>
      <c r="F1494" s="0" t="n">
        <v>-14917938</v>
      </c>
      <c r="G1494" s="0" t="s">
        <v>3067</v>
      </c>
      <c r="H1494" s="0" t="s">
        <v>3068</v>
      </c>
      <c r="I1494" s="0" t="n">
        <v>-14917.938</v>
      </c>
      <c r="J1494" s="0" t="s">
        <v>4634</v>
      </c>
      <c r="K1494" s="0" t="s">
        <v>2742</v>
      </c>
      <c r="L1494" s="0" t="n">
        <v>2017</v>
      </c>
      <c r="M1494" s="0" t="s">
        <v>2148</v>
      </c>
      <c r="N1494" s="0" t="s">
        <v>206</v>
      </c>
      <c r="O1494" s="0" t="s">
        <v>2521</v>
      </c>
      <c r="P1494" s="0" t="s">
        <v>5671</v>
      </c>
      <c r="Q1494" s="0" t="n">
        <v>28</v>
      </c>
      <c r="R1494" s="0" t="n">
        <v>27</v>
      </c>
      <c r="T1494" s="0" t="n">
        <v>2017</v>
      </c>
      <c r="U1494" s="0" t="s">
        <v>4396</v>
      </c>
      <c r="V1494" s="0" t="s">
        <v>89</v>
      </c>
      <c r="W1494" s="0" t="s">
        <v>5682</v>
      </c>
      <c r="X1494" s="0" t="s">
        <v>5683</v>
      </c>
      <c r="Y1494" s="0" t="s">
        <v>4159</v>
      </c>
      <c r="Z1494" s="0" t="s">
        <v>4160</v>
      </c>
      <c r="AA1494" s="0" t="s">
        <v>5684</v>
      </c>
      <c r="AB1494" s="0" t="s">
        <v>5676</v>
      </c>
      <c r="AC1494" s="0" t="s">
        <v>4162</v>
      </c>
      <c r="AD1494" s="0" t="s">
        <v>4637</v>
      </c>
      <c r="AE1494" s="0" t="s">
        <v>1892</v>
      </c>
      <c r="AF1494" s="0" t="s">
        <v>5685</v>
      </c>
      <c r="AH1494" s="0" t="s">
        <v>2239</v>
      </c>
      <c r="AL1494" s="0" t="s">
        <v>523</v>
      </c>
    </row>
    <row r="1495" customFormat="false" ht="15" hidden="false" customHeight="false" outlineLevel="0" collapsed="false">
      <c r="A1495" s="0" t="s">
        <v>1431</v>
      </c>
      <c r="B1495" s="0" t="s">
        <v>201</v>
      </c>
      <c r="C1495" s="0" t="s">
        <v>4709</v>
      </c>
      <c r="D1495" s="0" t="n">
        <v>2017</v>
      </c>
      <c r="E1495" s="0" t="s">
        <v>541</v>
      </c>
      <c r="F1495" s="0" t="n">
        <v>-14242574</v>
      </c>
      <c r="G1495" s="0" t="s">
        <v>3067</v>
      </c>
      <c r="H1495" s="0" t="s">
        <v>3068</v>
      </c>
      <c r="I1495" s="0" t="n">
        <v>-14242.574</v>
      </c>
      <c r="J1495" s="0" t="s">
        <v>4634</v>
      </c>
      <c r="K1495" s="0" t="s">
        <v>2742</v>
      </c>
      <c r="L1495" s="0" t="n">
        <v>2017</v>
      </c>
      <c r="M1495" s="0" t="s">
        <v>2148</v>
      </c>
      <c r="N1495" s="0" t="s">
        <v>206</v>
      </c>
      <c r="O1495" s="0" t="s">
        <v>2521</v>
      </c>
      <c r="P1495" s="0" t="s">
        <v>5671</v>
      </c>
      <c r="Q1495" s="0" t="n">
        <v>28</v>
      </c>
      <c r="R1495" s="0" t="n">
        <v>27</v>
      </c>
      <c r="T1495" s="0" t="n">
        <v>2017</v>
      </c>
      <c r="U1495" s="0" t="s">
        <v>4396</v>
      </c>
      <c r="V1495" s="0" t="s">
        <v>89</v>
      </c>
      <c r="W1495" s="0" t="s">
        <v>5686</v>
      </c>
      <c r="X1495" s="0" t="s">
        <v>5683</v>
      </c>
      <c r="Y1495" s="0" t="s">
        <v>4159</v>
      </c>
      <c r="Z1495" s="0" t="s">
        <v>4160</v>
      </c>
      <c r="AA1495" s="0" t="s">
        <v>5687</v>
      </c>
      <c r="AB1495" s="0" t="s">
        <v>5676</v>
      </c>
      <c r="AC1495" s="0" t="s">
        <v>4162</v>
      </c>
      <c r="AD1495" s="0" t="s">
        <v>4637</v>
      </c>
      <c r="AE1495" s="0" t="s">
        <v>1892</v>
      </c>
      <c r="AF1495" s="0" t="s">
        <v>5685</v>
      </c>
      <c r="AH1495" s="0" t="s">
        <v>2239</v>
      </c>
      <c r="AL1495" s="0" t="s">
        <v>523</v>
      </c>
    </row>
    <row r="1496" customFormat="false" ht="15" hidden="false" customHeight="false" outlineLevel="0" collapsed="false">
      <c r="A1496" s="0" t="s">
        <v>1421</v>
      </c>
      <c r="B1496" s="0" t="s">
        <v>201</v>
      </c>
      <c r="C1496" s="0" t="s">
        <v>4709</v>
      </c>
      <c r="D1496" s="0" t="n">
        <v>2017</v>
      </c>
      <c r="E1496" s="0" t="s">
        <v>58</v>
      </c>
      <c r="F1496" s="0" t="n">
        <v>-6744837</v>
      </c>
      <c r="G1496" s="0" t="s">
        <v>3067</v>
      </c>
      <c r="H1496" s="0" t="s">
        <v>3068</v>
      </c>
      <c r="I1496" s="0" t="n">
        <v>-6744.837</v>
      </c>
      <c r="J1496" s="0" t="s">
        <v>4634</v>
      </c>
      <c r="K1496" s="0" t="s">
        <v>2742</v>
      </c>
      <c r="L1496" s="0" t="n">
        <v>2017</v>
      </c>
      <c r="M1496" s="0" t="s">
        <v>2148</v>
      </c>
      <c r="N1496" s="0" t="s">
        <v>206</v>
      </c>
      <c r="O1496" s="0" t="s">
        <v>2521</v>
      </c>
      <c r="P1496" s="0" t="s">
        <v>5671</v>
      </c>
      <c r="Q1496" s="0" t="n">
        <v>32</v>
      </c>
      <c r="R1496" s="0" t="n">
        <v>31</v>
      </c>
      <c r="T1496" s="0" t="n">
        <v>2017</v>
      </c>
      <c r="U1496" s="0" t="s">
        <v>4396</v>
      </c>
      <c r="V1496" s="0" t="s">
        <v>89</v>
      </c>
      <c r="W1496" s="0" t="s">
        <v>5688</v>
      </c>
      <c r="X1496" s="0" t="s">
        <v>5689</v>
      </c>
      <c r="Y1496" s="0" t="s">
        <v>4159</v>
      </c>
      <c r="Z1496" s="0" t="s">
        <v>4160</v>
      </c>
      <c r="AA1496" s="0" t="n">
        <v>-6744837</v>
      </c>
      <c r="AB1496" s="0" t="s">
        <v>5676</v>
      </c>
      <c r="AC1496" s="0" t="s">
        <v>4162</v>
      </c>
      <c r="AD1496" s="0" t="s">
        <v>4637</v>
      </c>
      <c r="AE1496" s="0" t="s">
        <v>1892</v>
      </c>
      <c r="AF1496" s="0" t="s">
        <v>5685</v>
      </c>
      <c r="AH1496" s="0" t="s">
        <v>2239</v>
      </c>
      <c r="AL1496" s="0" t="s">
        <v>523</v>
      </c>
    </row>
    <row r="1497" customFormat="false" ht="15" hidden="false" customHeight="false" outlineLevel="0" collapsed="false">
      <c r="A1497" s="0" t="s">
        <v>1422</v>
      </c>
      <c r="B1497" s="0" t="s">
        <v>201</v>
      </c>
      <c r="C1497" s="0" t="s">
        <v>4709</v>
      </c>
      <c r="D1497" s="0" t="n">
        <v>2017</v>
      </c>
      <c r="E1497" s="0" t="s">
        <v>59</v>
      </c>
      <c r="F1497" s="0" t="n">
        <v>492681647</v>
      </c>
      <c r="G1497" s="0" t="s">
        <v>3067</v>
      </c>
      <c r="H1497" s="0" t="s">
        <v>3068</v>
      </c>
      <c r="I1497" s="0" t="n">
        <v>492681.647</v>
      </c>
      <c r="J1497" s="0" t="s">
        <v>4634</v>
      </c>
      <c r="K1497" s="0" t="s">
        <v>2742</v>
      </c>
      <c r="L1497" s="0" t="n">
        <v>2017</v>
      </c>
      <c r="M1497" s="0" t="s">
        <v>2148</v>
      </c>
      <c r="N1497" s="0" t="s">
        <v>206</v>
      </c>
      <c r="O1497" s="0" t="s">
        <v>2521</v>
      </c>
      <c r="P1497" s="0" t="s">
        <v>5671</v>
      </c>
      <c r="Q1497" s="0" t="n">
        <v>30</v>
      </c>
      <c r="R1497" s="0" t="n">
        <v>29</v>
      </c>
      <c r="T1497" s="0" t="s">
        <v>5405</v>
      </c>
      <c r="U1497" s="0" t="s">
        <v>4396</v>
      </c>
      <c r="V1497" s="0" t="s">
        <v>89</v>
      </c>
      <c r="W1497" s="0" t="s">
        <v>5673</v>
      </c>
      <c r="X1497" s="0" t="s">
        <v>5674</v>
      </c>
      <c r="Y1497" s="0" t="s">
        <v>4159</v>
      </c>
      <c r="Z1497" s="0" t="s">
        <v>4160</v>
      </c>
      <c r="AA1497" s="0" t="s">
        <v>5690</v>
      </c>
      <c r="AB1497" s="0" t="s">
        <v>5676</v>
      </c>
      <c r="AC1497" s="0" t="s">
        <v>4162</v>
      </c>
      <c r="AD1497" s="0" t="s">
        <v>4637</v>
      </c>
      <c r="AE1497" s="0" t="s">
        <v>1892</v>
      </c>
      <c r="AF1497" s="0" t="s">
        <v>5677</v>
      </c>
      <c r="AH1497" s="0" t="s">
        <v>2239</v>
      </c>
      <c r="AL1497" s="0" t="s">
        <v>523</v>
      </c>
    </row>
    <row r="1498" customFormat="false" ht="15" hidden="false" customHeight="false" outlineLevel="0" collapsed="false">
      <c r="A1498" s="0" t="s">
        <v>1426</v>
      </c>
      <c r="B1498" s="0" t="s">
        <v>201</v>
      </c>
      <c r="C1498" s="0" t="s">
        <v>4709</v>
      </c>
      <c r="D1498" s="0" t="n">
        <v>2017</v>
      </c>
      <c r="E1498" s="0" t="s">
        <v>63</v>
      </c>
      <c r="F1498" s="0" t="n">
        <v>-44254863</v>
      </c>
      <c r="G1498" s="0" t="s">
        <v>3067</v>
      </c>
      <c r="H1498" s="0" t="s">
        <v>3068</v>
      </c>
      <c r="I1498" s="0" t="n">
        <v>44254.863</v>
      </c>
      <c r="J1498" s="0" t="s">
        <v>4634</v>
      </c>
      <c r="K1498" s="0" t="s">
        <v>2742</v>
      </c>
      <c r="L1498" s="0" t="n">
        <v>2017</v>
      </c>
      <c r="M1498" s="0" t="s">
        <v>2148</v>
      </c>
      <c r="N1498" s="0" t="s">
        <v>206</v>
      </c>
      <c r="O1498" s="0" t="s">
        <v>2521</v>
      </c>
      <c r="P1498" s="0" t="s">
        <v>5671</v>
      </c>
      <c r="Q1498" s="0" t="n">
        <v>28</v>
      </c>
      <c r="R1498" s="0" t="n">
        <v>27</v>
      </c>
      <c r="S1498" s="0" t="n">
        <v>12</v>
      </c>
      <c r="T1498" s="0" t="n">
        <v>2017</v>
      </c>
      <c r="U1498" s="0" t="s">
        <v>4396</v>
      </c>
      <c r="V1498" s="0" t="s">
        <v>89</v>
      </c>
      <c r="W1498" s="0" t="s">
        <v>5691</v>
      </c>
      <c r="X1498" s="0" t="s">
        <v>5683</v>
      </c>
      <c r="Y1498" s="0" t="s">
        <v>4159</v>
      </c>
      <c r="Z1498" s="0" t="s">
        <v>4160</v>
      </c>
      <c r="AA1498" s="0" t="s">
        <v>5692</v>
      </c>
      <c r="AB1498" s="0" t="s">
        <v>5676</v>
      </c>
      <c r="AC1498" s="0" t="s">
        <v>4162</v>
      </c>
      <c r="AD1498" s="0" t="s">
        <v>4637</v>
      </c>
      <c r="AE1498" s="0" t="s">
        <v>1892</v>
      </c>
      <c r="AF1498" s="0" t="s">
        <v>5685</v>
      </c>
      <c r="AH1498" s="0" t="s">
        <v>4174</v>
      </c>
      <c r="AI1498" s="0" t="s">
        <v>5693</v>
      </c>
      <c r="AL1498" s="0" t="s">
        <v>523</v>
      </c>
    </row>
    <row r="1499" customFormat="false" ht="15" hidden="false" customHeight="false" outlineLevel="0" collapsed="false">
      <c r="A1499" s="0" t="s">
        <v>1423</v>
      </c>
      <c r="B1499" s="0" t="s">
        <v>201</v>
      </c>
      <c r="C1499" s="0" t="s">
        <v>4709</v>
      </c>
      <c r="D1499" s="0" t="n">
        <v>2017</v>
      </c>
      <c r="E1499" s="0" t="s">
        <v>60</v>
      </c>
      <c r="F1499" s="0" t="n">
        <v>9467163</v>
      </c>
      <c r="G1499" s="0" t="s">
        <v>3067</v>
      </c>
      <c r="H1499" s="0" t="s">
        <v>3068</v>
      </c>
      <c r="I1499" s="0" t="n">
        <v>9467.163</v>
      </c>
      <c r="J1499" s="0" t="s">
        <v>4634</v>
      </c>
      <c r="K1499" s="0" t="s">
        <v>2742</v>
      </c>
      <c r="L1499" s="0" t="n">
        <v>2017</v>
      </c>
      <c r="M1499" s="0" t="s">
        <v>2148</v>
      </c>
      <c r="N1499" s="0" t="s">
        <v>206</v>
      </c>
      <c r="O1499" s="0" t="s">
        <v>2521</v>
      </c>
      <c r="P1499" s="0" t="s">
        <v>5671</v>
      </c>
      <c r="Q1499" s="0" t="n">
        <v>62</v>
      </c>
      <c r="R1499" s="0" t="n">
        <v>61</v>
      </c>
      <c r="S1499" s="0" t="s">
        <v>5428</v>
      </c>
      <c r="T1499" s="0" t="s">
        <v>5672</v>
      </c>
      <c r="U1499" s="0" t="s">
        <v>4396</v>
      </c>
      <c r="V1499" s="0" t="s">
        <v>89</v>
      </c>
      <c r="W1499" s="0" t="s">
        <v>5694</v>
      </c>
      <c r="X1499" s="0" t="s">
        <v>5695</v>
      </c>
      <c r="Y1499" s="0" t="s">
        <v>4159</v>
      </c>
      <c r="Z1499" s="0" t="s">
        <v>4160</v>
      </c>
      <c r="AA1499" s="0" t="s">
        <v>5696</v>
      </c>
      <c r="AB1499" s="0" t="s">
        <v>5676</v>
      </c>
      <c r="AC1499" s="0" t="s">
        <v>4162</v>
      </c>
      <c r="AD1499" s="0" t="s">
        <v>4637</v>
      </c>
      <c r="AE1499" s="0" t="s">
        <v>1892</v>
      </c>
      <c r="AF1499" s="0" t="s">
        <v>5677</v>
      </c>
      <c r="AH1499" s="0" t="s">
        <v>2239</v>
      </c>
      <c r="AL1499" s="0" t="s">
        <v>523</v>
      </c>
    </row>
    <row r="1500" customFormat="false" ht="15" hidden="false" customHeight="false" outlineLevel="0" collapsed="false">
      <c r="A1500" s="0" t="s">
        <v>1424</v>
      </c>
      <c r="B1500" s="0" t="s">
        <v>201</v>
      </c>
      <c r="C1500" s="0" t="s">
        <v>4709</v>
      </c>
      <c r="D1500" s="0" t="n">
        <v>2017</v>
      </c>
      <c r="E1500" s="0" t="s">
        <v>61</v>
      </c>
      <c r="F1500" s="0" t="n">
        <v>-509036</v>
      </c>
      <c r="G1500" s="0" t="s">
        <v>3067</v>
      </c>
      <c r="H1500" s="0" t="s">
        <v>3068</v>
      </c>
      <c r="I1500" s="0" t="n">
        <v>509.036</v>
      </c>
      <c r="J1500" s="0" t="s">
        <v>4634</v>
      </c>
      <c r="K1500" s="0" t="s">
        <v>2742</v>
      </c>
      <c r="L1500" s="0" t="n">
        <v>2017</v>
      </c>
      <c r="M1500" s="0" t="s">
        <v>2148</v>
      </c>
      <c r="N1500" s="0" t="s">
        <v>206</v>
      </c>
      <c r="O1500" s="0" t="s">
        <v>2521</v>
      </c>
      <c r="P1500" s="0" t="s">
        <v>5671</v>
      </c>
      <c r="Q1500" s="0" t="n">
        <v>62</v>
      </c>
      <c r="R1500" s="0" t="n">
        <v>61</v>
      </c>
      <c r="S1500" s="0" t="s">
        <v>5428</v>
      </c>
      <c r="T1500" s="0" t="s">
        <v>5672</v>
      </c>
      <c r="U1500" s="0" t="s">
        <v>4396</v>
      </c>
      <c r="V1500" s="0" t="s">
        <v>89</v>
      </c>
      <c r="W1500" s="0" t="s">
        <v>5697</v>
      </c>
      <c r="X1500" s="0" t="s">
        <v>5695</v>
      </c>
      <c r="Y1500" s="0" t="s">
        <v>4159</v>
      </c>
      <c r="Z1500" s="0" t="s">
        <v>4160</v>
      </c>
      <c r="AA1500" s="0" t="s">
        <v>5698</v>
      </c>
      <c r="AB1500" s="0" t="s">
        <v>5676</v>
      </c>
      <c r="AC1500" s="0" t="s">
        <v>4162</v>
      </c>
      <c r="AD1500" s="0" t="s">
        <v>4637</v>
      </c>
      <c r="AE1500" s="0" t="s">
        <v>1892</v>
      </c>
      <c r="AF1500" s="0" t="s">
        <v>5677</v>
      </c>
      <c r="AH1500" s="0" t="s">
        <v>4174</v>
      </c>
      <c r="AI1500" s="0" t="s">
        <v>5699</v>
      </c>
      <c r="AL1500" s="0" t="s">
        <v>523</v>
      </c>
    </row>
    <row r="1501" customFormat="false" ht="15" hidden="false" customHeight="false" outlineLevel="0" collapsed="false">
      <c r="A1501" s="0" t="s">
        <v>1432</v>
      </c>
      <c r="B1501" s="0" t="s">
        <v>201</v>
      </c>
      <c r="C1501" s="0" t="s">
        <v>4709</v>
      </c>
      <c r="D1501" s="0" t="n">
        <v>2017</v>
      </c>
      <c r="E1501" s="0" t="s">
        <v>545</v>
      </c>
      <c r="F1501" s="0" t="n">
        <v>509036</v>
      </c>
      <c r="G1501" s="0" t="s">
        <v>3067</v>
      </c>
      <c r="H1501" s="0" t="s">
        <v>3068</v>
      </c>
      <c r="I1501" s="0" t="n">
        <v>509.036</v>
      </c>
      <c r="J1501" s="0" t="s">
        <v>4634</v>
      </c>
      <c r="K1501" s="0" t="s">
        <v>2742</v>
      </c>
      <c r="L1501" s="0" t="n">
        <v>2017</v>
      </c>
      <c r="M1501" s="0" t="s">
        <v>2148</v>
      </c>
      <c r="N1501" s="0" t="s">
        <v>206</v>
      </c>
      <c r="O1501" s="0" t="s">
        <v>2521</v>
      </c>
      <c r="P1501" s="0" t="s">
        <v>5671</v>
      </c>
      <c r="Q1501" s="0" t="n">
        <v>62</v>
      </c>
      <c r="R1501" s="0" t="n">
        <v>61</v>
      </c>
      <c r="S1501" s="0" t="s">
        <v>5434</v>
      </c>
      <c r="T1501" s="0" t="s">
        <v>5672</v>
      </c>
      <c r="U1501" s="0" t="s">
        <v>4396</v>
      </c>
      <c r="V1501" s="0" t="s">
        <v>89</v>
      </c>
      <c r="W1501" s="0" t="s">
        <v>5700</v>
      </c>
      <c r="X1501" s="0" t="s">
        <v>5695</v>
      </c>
      <c r="Y1501" s="0" t="s">
        <v>4159</v>
      </c>
      <c r="Z1501" s="0" t="s">
        <v>4160</v>
      </c>
      <c r="AA1501" s="0" t="s">
        <v>5701</v>
      </c>
      <c r="AB1501" s="0" t="s">
        <v>5676</v>
      </c>
      <c r="AC1501" s="0" t="s">
        <v>4162</v>
      </c>
      <c r="AD1501" s="0" t="s">
        <v>4637</v>
      </c>
      <c r="AE1501" s="0" t="s">
        <v>1892</v>
      </c>
      <c r="AF1501" s="0" t="s">
        <v>5677</v>
      </c>
      <c r="AH1501" s="0" t="s">
        <v>2239</v>
      </c>
      <c r="AL1501" s="0" t="s">
        <v>523</v>
      </c>
    </row>
    <row r="1502" customFormat="false" ht="15" hidden="false" customHeight="false" outlineLevel="0" collapsed="false">
      <c r="A1502" s="0" t="s">
        <v>1425</v>
      </c>
      <c r="B1502" s="0" t="s">
        <v>201</v>
      </c>
      <c r="C1502" s="0" t="s">
        <v>4709</v>
      </c>
      <c r="D1502" s="0" t="n">
        <v>2017</v>
      </c>
      <c r="E1502" s="0" t="s">
        <v>62</v>
      </c>
      <c r="F1502" s="0" t="n">
        <v>8958127</v>
      </c>
      <c r="G1502" s="0" t="s">
        <v>3067</v>
      </c>
      <c r="H1502" s="0" t="s">
        <v>3068</v>
      </c>
      <c r="I1502" s="0" t="n">
        <v>8958.127</v>
      </c>
      <c r="J1502" s="0" t="s">
        <v>4634</v>
      </c>
      <c r="K1502" s="0" t="s">
        <v>2742</v>
      </c>
      <c r="L1502" s="0" t="n">
        <v>2017</v>
      </c>
      <c r="M1502" s="0" t="s">
        <v>2148</v>
      </c>
      <c r="N1502" s="0" t="s">
        <v>206</v>
      </c>
      <c r="O1502" s="0" t="s">
        <v>2521</v>
      </c>
      <c r="P1502" s="0" t="s">
        <v>5671</v>
      </c>
      <c r="Q1502" s="0" t="n">
        <v>30</v>
      </c>
      <c r="R1502" s="0" t="n">
        <v>29</v>
      </c>
      <c r="S1502" s="0" t="n">
        <v>19</v>
      </c>
      <c r="T1502" s="0" t="s">
        <v>5672</v>
      </c>
      <c r="U1502" s="0" t="s">
        <v>4396</v>
      </c>
      <c r="V1502" s="0" t="s">
        <v>89</v>
      </c>
      <c r="W1502" s="0" t="s">
        <v>5702</v>
      </c>
      <c r="X1502" s="0" t="s">
        <v>5674</v>
      </c>
      <c r="Y1502" s="0" t="s">
        <v>4159</v>
      </c>
      <c r="Z1502" s="0" t="s">
        <v>4160</v>
      </c>
      <c r="AA1502" s="0" t="s">
        <v>5703</v>
      </c>
      <c r="AB1502" s="0" t="s">
        <v>5676</v>
      </c>
      <c r="AC1502" s="0" t="s">
        <v>4162</v>
      </c>
      <c r="AD1502" s="0" t="s">
        <v>4637</v>
      </c>
      <c r="AE1502" s="0" t="s">
        <v>1892</v>
      </c>
      <c r="AF1502" s="0" t="s">
        <v>5677</v>
      </c>
      <c r="AH1502" s="0" t="s">
        <v>2239</v>
      </c>
      <c r="AL1502" s="0" t="s">
        <v>523</v>
      </c>
    </row>
    <row r="1503" customFormat="false" ht="15" hidden="false" customHeight="false" outlineLevel="0" collapsed="false">
      <c r="A1503" s="0" t="s">
        <v>1428</v>
      </c>
      <c r="B1503" s="0" t="s">
        <v>201</v>
      </c>
      <c r="C1503" s="0" t="s">
        <v>4709</v>
      </c>
      <c r="D1503" s="0" t="n">
        <v>2017</v>
      </c>
      <c r="E1503" s="0" t="s">
        <v>65</v>
      </c>
      <c r="F1503" s="0" t="n">
        <v>-263292548</v>
      </c>
      <c r="G1503" s="0" t="s">
        <v>3067</v>
      </c>
      <c r="H1503" s="0" t="s">
        <v>3068</v>
      </c>
      <c r="I1503" s="0" t="n">
        <v>-263292.548</v>
      </c>
      <c r="J1503" s="0" t="s">
        <v>4634</v>
      </c>
      <c r="K1503" s="0" t="s">
        <v>2742</v>
      </c>
      <c r="L1503" s="0" t="n">
        <v>2017</v>
      </c>
      <c r="M1503" s="0" t="s">
        <v>2148</v>
      </c>
      <c r="N1503" s="0" t="s">
        <v>206</v>
      </c>
      <c r="O1503" s="0" t="s">
        <v>2521</v>
      </c>
      <c r="P1503" s="0" t="s">
        <v>5671</v>
      </c>
      <c r="Q1503" s="0" t="n">
        <v>82</v>
      </c>
      <c r="R1503" s="0" t="n">
        <v>73</v>
      </c>
      <c r="S1503" s="0" t="n">
        <v>41</v>
      </c>
      <c r="T1503" s="0" t="s">
        <v>5672</v>
      </c>
      <c r="U1503" s="0" t="s">
        <v>4396</v>
      </c>
      <c r="V1503" s="0" t="s">
        <v>89</v>
      </c>
      <c r="W1503" s="0" t="s">
        <v>5704</v>
      </c>
      <c r="X1503" s="0" t="s">
        <v>5705</v>
      </c>
      <c r="Y1503" s="0" t="s">
        <v>4159</v>
      </c>
      <c r="Z1503" s="0" t="s">
        <v>4160</v>
      </c>
      <c r="AA1503" s="0" t="s">
        <v>5706</v>
      </c>
      <c r="AB1503" s="0" t="s">
        <v>5676</v>
      </c>
      <c r="AC1503" s="0" t="s">
        <v>4162</v>
      </c>
      <c r="AD1503" s="0" t="s">
        <v>4637</v>
      </c>
      <c r="AE1503" s="0" t="s">
        <v>1892</v>
      </c>
      <c r="AF1503" s="0" t="s">
        <v>5677</v>
      </c>
      <c r="AH1503" s="0" t="s">
        <v>2239</v>
      </c>
      <c r="AL1503" s="0" t="s">
        <v>523</v>
      </c>
    </row>
    <row r="1504" customFormat="false" ht="15" hidden="false" customHeight="false" outlineLevel="0" collapsed="false">
      <c r="A1504" s="0" t="s">
        <v>1429</v>
      </c>
      <c r="B1504" s="0" t="s">
        <v>201</v>
      </c>
      <c r="C1504" s="0" t="s">
        <v>4709</v>
      </c>
      <c r="D1504" s="0" t="n">
        <v>2017</v>
      </c>
      <c r="E1504" s="0" t="s">
        <v>66</v>
      </c>
      <c r="F1504" s="0" t="n">
        <v>132926380</v>
      </c>
      <c r="G1504" s="0" t="s">
        <v>3067</v>
      </c>
      <c r="H1504" s="0" t="s">
        <v>3068</v>
      </c>
      <c r="I1504" s="0" t="n">
        <v>132926.38</v>
      </c>
      <c r="J1504" s="0" t="s">
        <v>4634</v>
      </c>
      <c r="K1504" s="0" t="s">
        <v>2742</v>
      </c>
      <c r="L1504" s="0" t="n">
        <v>2017</v>
      </c>
      <c r="M1504" s="0" t="s">
        <v>2148</v>
      </c>
      <c r="N1504" s="0" t="s">
        <v>206</v>
      </c>
      <c r="O1504" s="0" t="s">
        <v>2521</v>
      </c>
      <c r="P1504" s="0" t="s">
        <v>5671</v>
      </c>
      <c r="Q1504" s="0" t="n">
        <v>82</v>
      </c>
      <c r="R1504" s="0" t="n">
        <v>73</v>
      </c>
      <c r="S1504" s="0" t="n">
        <v>41</v>
      </c>
      <c r="T1504" s="0" t="s">
        <v>5672</v>
      </c>
      <c r="U1504" s="0" t="s">
        <v>4396</v>
      </c>
      <c r="V1504" s="0" t="s">
        <v>89</v>
      </c>
      <c r="W1504" s="0" t="s">
        <v>5707</v>
      </c>
      <c r="X1504" s="0" t="s">
        <v>5705</v>
      </c>
      <c r="Y1504" s="0" t="s">
        <v>4159</v>
      </c>
      <c r="Z1504" s="0" t="s">
        <v>4160</v>
      </c>
      <c r="AA1504" s="0" t="n">
        <v>132926380</v>
      </c>
      <c r="AB1504" s="0" t="s">
        <v>5676</v>
      </c>
      <c r="AC1504" s="0" t="s">
        <v>4162</v>
      </c>
      <c r="AD1504" s="0" t="s">
        <v>4637</v>
      </c>
      <c r="AE1504" s="0" t="s">
        <v>1892</v>
      </c>
      <c r="AF1504" s="0" t="s">
        <v>5677</v>
      </c>
      <c r="AH1504" s="0" t="s">
        <v>2239</v>
      </c>
      <c r="AL1504" s="0" t="s">
        <v>523</v>
      </c>
    </row>
    <row r="1505" customFormat="false" ht="15" hidden="false" customHeight="false" outlineLevel="0" collapsed="false">
      <c r="A1505" s="0" t="s">
        <v>1427</v>
      </c>
      <c r="B1505" s="0" t="s">
        <v>201</v>
      </c>
      <c r="C1505" s="0" t="s">
        <v>4709</v>
      </c>
      <c r="D1505" s="0" t="n">
        <v>2017</v>
      </c>
      <c r="E1505" s="0" t="s">
        <v>69</v>
      </c>
      <c r="F1505" s="0" t="s">
        <v>5708</v>
      </c>
      <c r="G1505" s="0" t="s">
        <v>3143</v>
      </c>
      <c r="I1505" s="0" t="n">
        <v>-198.07</v>
      </c>
      <c r="J1505" s="0" t="s">
        <v>4634</v>
      </c>
      <c r="K1505" s="0" t="s">
        <v>2742</v>
      </c>
      <c r="L1505" s="0" t="n">
        <v>2017</v>
      </c>
      <c r="M1505" s="0" t="s">
        <v>2148</v>
      </c>
      <c r="N1505" s="0" t="s">
        <v>206</v>
      </c>
      <c r="O1505" s="0" t="s">
        <v>2521</v>
      </c>
      <c r="P1505" s="0" t="s">
        <v>5671</v>
      </c>
      <c r="Q1505" s="0" t="n">
        <v>82</v>
      </c>
      <c r="R1505" s="0" t="n">
        <v>73</v>
      </c>
      <c r="S1505" s="0" t="n">
        <v>41</v>
      </c>
      <c r="T1505" s="0" t="s">
        <v>5672</v>
      </c>
      <c r="U1505" s="0" t="s">
        <v>4396</v>
      </c>
      <c r="V1505" s="0" t="s">
        <v>89</v>
      </c>
      <c r="W1505" s="0" t="s">
        <v>5709</v>
      </c>
      <c r="X1505" s="0" t="s">
        <v>5705</v>
      </c>
      <c r="Y1505" s="0" t="s">
        <v>4159</v>
      </c>
      <c r="Z1505" s="0" t="s">
        <v>4160</v>
      </c>
      <c r="AA1505" s="0" t="s">
        <v>5710</v>
      </c>
      <c r="AB1505" s="0" t="s">
        <v>5676</v>
      </c>
      <c r="AC1505" s="0" t="s">
        <v>4162</v>
      </c>
      <c r="AD1505" s="0" t="s">
        <v>4637</v>
      </c>
      <c r="AE1505" s="0" t="s">
        <v>1892</v>
      </c>
      <c r="AF1505" s="0" t="s">
        <v>5677</v>
      </c>
      <c r="AH1505" s="0" t="s">
        <v>2239</v>
      </c>
      <c r="AL1505" s="0" t="s">
        <v>523</v>
      </c>
    </row>
    <row r="1506" customFormat="false" ht="15" hidden="false" customHeight="false" outlineLevel="0" collapsed="false">
      <c r="A1506" s="0" t="s">
        <v>1430</v>
      </c>
      <c r="B1506" s="0" t="s">
        <v>201</v>
      </c>
      <c r="C1506" s="0" t="s">
        <v>4709</v>
      </c>
      <c r="D1506" s="0" t="n">
        <v>2017</v>
      </c>
      <c r="E1506" s="0" t="s">
        <v>73</v>
      </c>
      <c r="F1506" s="0" t="n">
        <v>0</v>
      </c>
      <c r="G1506" s="0" t="s">
        <v>4257</v>
      </c>
      <c r="I1506" s="0" t="n">
        <v>0</v>
      </c>
      <c r="J1506" s="0" t="s">
        <v>4687</v>
      </c>
      <c r="K1506" s="0" t="s">
        <v>2742</v>
      </c>
      <c r="L1506" s="0" t="n">
        <v>2017</v>
      </c>
      <c r="M1506" s="0" t="s">
        <v>2148</v>
      </c>
      <c r="N1506" s="0" t="s">
        <v>206</v>
      </c>
      <c r="O1506" s="0" t="s">
        <v>2521</v>
      </c>
      <c r="P1506" s="0" t="s">
        <v>5671</v>
      </c>
      <c r="Q1506" s="0" t="n">
        <v>23</v>
      </c>
      <c r="S1506" s="0" t="s">
        <v>5121</v>
      </c>
      <c r="T1506" s="0" t="s">
        <v>5711</v>
      </c>
      <c r="U1506" s="0" t="s">
        <v>4396</v>
      </c>
      <c r="V1506" s="0" t="s">
        <v>89</v>
      </c>
      <c r="W1506" s="0" t="s">
        <v>4803</v>
      </c>
      <c r="X1506" s="0" t="s">
        <v>5712</v>
      </c>
      <c r="Y1506" s="0" t="s">
        <v>4212</v>
      </c>
      <c r="Z1506" s="0" t="s">
        <v>4160</v>
      </c>
      <c r="AA1506" s="0" t="s">
        <v>5713</v>
      </c>
      <c r="AB1506" s="0" t="s">
        <v>5676</v>
      </c>
      <c r="AC1506" s="0" t="s">
        <v>4162</v>
      </c>
      <c r="AD1506" s="0" t="s">
        <v>4637</v>
      </c>
      <c r="AE1506" s="0" t="s">
        <v>1892</v>
      </c>
      <c r="AF1506" s="0" t="s">
        <v>5714</v>
      </c>
      <c r="AG1506" s="0" t="s">
        <v>1892</v>
      </c>
      <c r="AH1506" s="0" t="s">
        <v>2239</v>
      </c>
      <c r="AL1506" s="0" t="s">
        <v>539</v>
      </c>
    </row>
    <row r="1507" customFormat="false" ht="15" hidden="false" customHeight="false" outlineLevel="0" collapsed="false">
      <c r="A1507" s="0" t="s">
        <v>1463</v>
      </c>
      <c r="B1507" s="0" t="s">
        <v>201</v>
      </c>
      <c r="C1507" s="0" t="s">
        <v>4709</v>
      </c>
      <c r="D1507" s="0" t="n">
        <v>2022</v>
      </c>
      <c r="E1507" s="0" t="s">
        <v>55</v>
      </c>
      <c r="F1507" s="0" t="n">
        <v>510143959</v>
      </c>
      <c r="G1507" s="0" t="s">
        <v>3067</v>
      </c>
      <c r="H1507" s="0" t="s">
        <v>3068</v>
      </c>
      <c r="I1507" s="0" t="n">
        <v>510143.959</v>
      </c>
      <c r="J1507" s="0" t="s">
        <v>4634</v>
      </c>
      <c r="K1507" s="0" t="s">
        <v>2745</v>
      </c>
      <c r="L1507" s="0" t="n">
        <v>2022</v>
      </c>
      <c r="M1507" s="0" t="s">
        <v>2156</v>
      </c>
      <c r="N1507" s="0" t="s">
        <v>210</v>
      </c>
      <c r="O1507" s="0" t="s">
        <v>2524</v>
      </c>
      <c r="P1507" s="0" t="s">
        <v>5715</v>
      </c>
      <c r="Q1507" s="0" t="n">
        <v>25</v>
      </c>
      <c r="S1507" s="0" t="s">
        <v>5453</v>
      </c>
      <c r="T1507" s="0" t="s">
        <v>5716</v>
      </c>
      <c r="U1507" s="0" t="s">
        <v>4265</v>
      </c>
      <c r="V1507" s="0" t="s">
        <v>114</v>
      </c>
      <c r="W1507" s="0" t="s">
        <v>5717</v>
      </c>
      <c r="X1507" s="0" t="s">
        <v>5718</v>
      </c>
      <c r="Y1507" s="0" t="s">
        <v>4159</v>
      </c>
      <c r="Z1507" s="0" t="s">
        <v>4160</v>
      </c>
      <c r="AA1507" s="0" t="s">
        <v>5719</v>
      </c>
      <c r="AB1507" s="0" t="s">
        <v>5720</v>
      </c>
      <c r="AC1507" s="0" t="s">
        <v>4162</v>
      </c>
      <c r="AD1507" s="0" t="s">
        <v>4637</v>
      </c>
      <c r="AE1507" s="0" t="s">
        <v>1892</v>
      </c>
      <c r="AF1507" s="0" t="s">
        <v>5721</v>
      </c>
      <c r="AH1507" s="0" t="s">
        <v>2239</v>
      </c>
      <c r="AL1507" s="0" t="s">
        <v>523</v>
      </c>
    </row>
    <row r="1508" customFormat="false" ht="15" hidden="false" customHeight="false" outlineLevel="0" collapsed="false">
      <c r="A1508" s="0" t="s">
        <v>1464</v>
      </c>
      <c r="B1508" s="0" t="s">
        <v>201</v>
      </c>
      <c r="C1508" s="0" t="s">
        <v>4709</v>
      </c>
      <c r="D1508" s="0" t="n">
        <v>2022</v>
      </c>
      <c r="E1508" s="0" t="s">
        <v>56</v>
      </c>
      <c r="F1508" s="0" t="n">
        <v>785092126</v>
      </c>
      <c r="G1508" s="0" t="s">
        <v>3067</v>
      </c>
      <c r="H1508" s="0" t="s">
        <v>3068</v>
      </c>
      <c r="I1508" s="0" t="n">
        <v>785092.126</v>
      </c>
      <c r="J1508" s="0" t="s">
        <v>4634</v>
      </c>
      <c r="K1508" s="0" t="s">
        <v>2745</v>
      </c>
      <c r="L1508" s="0" t="n">
        <v>2022</v>
      </c>
      <c r="M1508" s="0" t="s">
        <v>2156</v>
      </c>
      <c r="N1508" s="0" t="s">
        <v>210</v>
      </c>
      <c r="O1508" s="0" t="s">
        <v>2524</v>
      </c>
      <c r="P1508" s="0" t="s">
        <v>5715</v>
      </c>
      <c r="Q1508" s="0" t="n">
        <v>25</v>
      </c>
      <c r="S1508" s="0" t="s">
        <v>5453</v>
      </c>
      <c r="T1508" s="0" t="s">
        <v>5716</v>
      </c>
      <c r="U1508" s="0" t="s">
        <v>4265</v>
      </c>
      <c r="V1508" s="0" t="s">
        <v>114</v>
      </c>
      <c r="W1508" s="0" t="s">
        <v>5722</v>
      </c>
      <c r="X1508" s="0" t="s">
        <v>5718</v>
      </c>
      <c r="Y1508" s="0" t="s">
        <v>4159</v>
      </c>
      <c r="Z1508" s="0" t="s">
        <v>4160</v>
      </c>
      <c r="AA1508" s="0" t="s">
        <v>5723</v>
      </c>
      <c r="AB1508" s="0" t="s">
        <v>5720</v>
      </c>
      <c r="AC1508" s="0" t="s">
        <v>4162</v>
      </c>
      <c r="AD1508" s="0" t="s">
        <v>4637</v>
      </c>
      <c r="AE1508" s="0" t="s">
        <v>1892</v>
      </c>
      <c r="AF1508" s="0" t="s">
        <v>5721</v>
      </c>
      <c r="AH1508" s="0" t="s">
        <v>2239</v>
      </c>
      <c r="AL1508" s="0" t="s">
        <v>523</v>
      </c>
    </row>
    <row r="1509" customFormat="false" ht="15" hidden="false" customHeight="false" outlineLevel="0" collapsed="false">
      <c r="A1509" s="0" t="s">
        <v>1465</v>
      </c>
      <c r="B1509" s="0" t="s">
        <v>201</v>
      </c>
      <c r="C1509" s="0" t="s">
        <v>4709</v>
      </c>
      <c r="D1509" s="0" t="n">
        <v>2022</v>
      </c>
      <c r="E1509" s="0" t="s">
        <v>57</v>
      </c>
      <c r="F1509" s="0" t="n">
        <v>-274948167</v>
      </c>
      <c r="G1509" s="0" t="s">
        <v>3067</v>
      </c>
      <c r="H1509" s="0" t="s">
        <v>3068</v>
      </c>
      <c r="I1509" s="0" t="n">
        <v>-274948.167</v>
      </c>
      <c r="J1509" s="0" t="s">
        <v>4634</v>
      </c>
      <c r="K1509" s="0" t="s">
        <v>2745</v>
      </c>
      <c r="L1509" s="0" t="n">
        <v>2022</v>
      </c>
      <c r="M1509" s="0" t="s">
        <v>2156</v>
      </c>
      <c r="N1509" s="0" t="s">
        <v>210</v>
      </c>
      <c r="O1509" s="0" t="s">
        <v>2524</v>
      </c>
      <c r="P1509" s="0" t="s">
        <v>5715</v>
      </c>
      <c r="Q1509" s="0" t="n">
        <v>25</v>
      </c>
      <c r="S1509" s="0" t="s">
        <v>5453</v>
      </c>
      <c r="T1509" s="0" t="s">
        <v>5716</v>
      </c>
      <c r="U1509" s="0" t="s">
        <v>4265</v>
      </c>
      <c r="V1509" s="0" t="s">
        <v>114</v>
      </c>
      <c r="W1509" s="0" t="s">
        <v>5724</v>
      </c>
      <c r="X1509" s="0" t="s">
        <v>5718</v>
      </c>
      <c r="Y1509" s="0" t="s">
        <v>4159</v>
      </c>
      <c r="Z1509" s="0" t="s">
        <v>4160</v>
      </c>
      <c r="AA1509" s="0" t="s">
        <v>5725</v>
      </c>
      <c r="AB1509" s="0" t="s">
        <v>5720</v>
      </c>
      <c r="AC1509" s="0" t="s">
        <v>4162</v>
      </c>
      <c r="AD1509" s="0" t="s">
        <v>4637</v>
      </c>
      <c r="AE1509" s="0" t="s">
        <v>1892</v>
      </c>
      <c r="AF1509" s="0" t="s">
        <v>5721</v>
      </c>
      <c r="AH1509" s="0" t="s">
        <v>2239</v>
      </c>
      <c r="AL1509" s="0" t="s">
        <v>523</v>
      </c>
    </row>
    <row r="1510" customFormat="false" ht="15" hidden="false" customHeight="false" outlineLevel="0" collapsed="false">
      <c r="A1510" s="0" t="s">
        <v>1462</v>
      </c>
      <c r="B1510" s="0" t="s">
        <v>201</v>
      </c>
      <c r="C1510" s="0" t="s">
        <v>4709</v>
      </c>
      <c r="D1510" s="0" t="n">
        <v>2022</v>
      </c>
      <c r="E1510" s="0" t="s">
        <v>54</v>
      </c>
      <c r="F1510" s="0" t="n">
        <v>941375</v>
      </c>
      <c r="G1510" s="0" t="s">
        <v>3067</v>
      </c>
      <c r="H1510" s="0" t="s">
        <v>3068</v>
      </c>
      <c r="I1510" s="0" t="n">
        <v>941.375</v>
      </c>
      <c r="J1510" s="0" t="s">
        <v>4634</v>
      </c>
      <c r="K1510" s="0" t="s">
        <v>2745</v>
      </c>
      <c r="L1510" s="0" t="n">
        <v>2022</v>
      </c>
      <c r="M1510" s="0" t="s">
        <v>2156</v>
      </c>
      <c r="N1510" s="0" t="s">
        <v>210</v>
      </c>
      <c r="O1510" s="0" t="s">
        <v>2524</v>
      </c>
      <c r="P1510" s="0" t="s">
        <v>5715</v>
      </c>
      <c r="Q1510" s="0" t="n">
        <v>24</v>
      </c>
      <c r="S1510" s="0" t="s">
        <v>5464</v>
      </c>
      <c r="T1510" s="0" t="n">
        <v>2022</v>
      </c>
      <c r="U1510" s="0" t="s">
        <v>4265</v>
      </c>
      <c r="V1510" s="0" t="s">
        <v>114</v>
      </c>
      <c r="W1510" s="0" t="s">
        <v>5726</v>
      </c>
      <c r="X1510" s="0" t="s">
        <v>5727</v>
      </c>
      <c r="Y1510" s="0" t="s">
        <v>4159</v>
      </c>
      <c r="Z1510" s="0" t="s">
        <v>4160</v>
      </c>
      <c r="AA1510" s="0" t="s">
        <v>5728</v>
      </c>
      <c r="AB1510" s="0" t="s">
        <v>5720</v>
      </c>
      <c r="AC1510" s="0" t="s">
        <v>4162</v>
      </c>
      <c r="AD1510" s="0" t="s">
        <v>4637</v>
      </c>
      <c r="AE1510" s="0" t="s">
        <v>1892</v>
      </c>
      <c r="AF1510" s="0" t="s">
        <v>5729</v>
      </c>
      <c r="AH1510" s="0" t="s">
        <v>2239</v>
      </c>
      <c r="AL1510" s="0" t="s">
        <v>523</v>
      </c>
    </row>
    <row r="1511" customFormat="false" ht="15" hidden="false" customHeight="false" outlineLevel="0" collapsed="false">
      <c r="A1511" s="0" t="s">
        <v>1480</v>
      </c>
      <c r="B1511" s="0" t="s">
        <v>201</v>
      </c>
      <c r="C1511" s="0" t="s">
        <v>4709</v>
      </c>
      <c r="D1511" s="0" t="n">
        <v>2022</v>
      </c>
      <c r="E1511" s="0" t="s">
        <v>541</v>
      </c>
      <c r="F1511" s="0" t="n">
        <v>1386125</v>
      </c>
      <c r="G1511" s="0" t="s">
        <v>3067</v>
      </c>
      <c r="H1511" s="0" t="s">
        <v>3068</v>
      </c>
      <c r="I1511" s="0" t="n">
        <v>1386.125</v>
      </c>
      <c r="J1511" s="0" t="s">
        <v>4634</v>
      </c>
      <c r="K1511" s="0" t="s">
        <v>2745</v>
      </c>
      <c r="L1511" s="0" t="n">
        <v>2022</v>
      </c>
      <c r="M1511" s="0" t="s">
        <v>2156</v>
      </c>
      <c r="N1511" s="0" t="s">
        <v>210</v>
      </c>
      <c r="O1511" s="0" t="s">
        <v>2524</v>
      </c>
      <c r="P1511" s="0" t="s">
        <v>5715</v>
      </c>
      <c r="Q1511" s="0" t="n">
        <v>24</v>
      </c>
      <c r="S1511" s="0" t="s">
        <v>5464</v>
      </c>
      <c r="T1511" s="0" t="n">
        <v>2022</v>
      </c>
      <c r="U1511" s="0" t="s">
        <v>4265</v>
      </c>
      <c r="V1511" s="0" t="s">
        <v>114</v>
      </c>
      <c r="W1511" s="0" t="s">
        <v>5730</v>
      </c>
      <c r="X1511" s="0" t="s">
        <v>5727</v>
      </c>
      <c r="Y1511" s="0" t="s">
        <v>4159</v>
      </c>
      <c r="Z1511" s="0" t="s">
        <v>4160</v>
      </c>
      <c r="AA1511" s="0" t="s">
        <v>5731</v>
      </c>
      <c r="AB1511" s="0" t="s">
        <v>5720</v>
      </c>
      <c r="AC1511" s="0" t="s">
        <v>4162</v>
      </c>
      <c r="AD1511" s="0" t="s">
        <v>4637</v>
      </c>
      <c r="AE1511" s="0" t="s">
        <v>1892</v>
      </c>
      <c r="AF1511" s="0" t="s">
        <v>5729</v>
      </c>
      <c r="AH1511" s="0" t="s">
        <v>2239</v>
      </c>
      <c r="AL1511" s="0" t="s">
        <v>523</v>
      </c>
    </row>
    <row r="1512" customFormat="false" ht="15" hidden="false" customHeight="false" outlineLevel="0" collapsed="false">
      <c r="A1512" s="0" t="s">
        <v>1466</v>
      </c>
      <c r="B1512" s="0" t="s">
        <v>201</v>
      </c>
      <c r="C1512" s="0" t="s">
        <v>4709</v>
      </c>
      <c r="D1512" s="0" t="n">
        <v>2022</v>
      </c>
      <c r="E1512" s="0" t="s">
        <v>58</v>
      </c>
      <c r="F1512" s="0" t="n">
        <v>-26933973</v>
      </c>
      <c r="G1512" s="0" t="s">
        <v>3067</v>
      </c>
      <c r="H1512" s="0" t="s">
        <v>3068</v>
      </c>
      <c r="I1512" s="0" t="n">
        <v>-26933.973</v>
      </c>
      <c r="J1512" s="0" t="s">
        <v>4634</v>
      </c>
      <c r="K1512" s="0" t="s">
        <v>2745</v>
      </c>
      <c r="L1512" s="0" t="n">
        <v>2022</v>
      </c>
      <c r="M1512" s="0" t="s">
        <v>2156</v>
      </c>
      <c r="N1512" s="0" t="s">
        <v>210</v>
      </c>
      <c r="O1512" s="0" t="s">
        <v>2524</v>
      </c>
      <c r="P1512" s="0" t="s">
        <v>5715</v>
      </c>
      <c r="Q1512" s="0" t="n">
        <v>27</v>
      </c>
      <c r="R1512" s="0" t="n">
        <v>27</v>
      </c>
      <c r="T1512" s="0" t="n">
        <v>2022</v>
      </c>
      <c r="U1512" s="0" t="s">
        <v>4265</v>
      </c>
      <c r="V1512" s="0" t="s">
        <v>114</v>
      </c>
      <c r="W1512" s="0" t="s">
        <v>5732</v>
      </c>
      <c r="X1512" s="0" t="s">
        <v>5733</v>
      </c>
      <c r="Y1512" s="0" t="s">
        <v>4159</v>
      </c>
      <c r="Z1512" s="0" t="s">
        <v>4160</v>
      </c>
      <c r="AA1512" s="0" t="s">
        <v>5734</v>
      </c>
      <c r="AB1512" s="0" t="s">
        <v>5720</v>
      </c>
      <c r="AC1512" s="0" t="s">
        <v>4162</v>
      </c>
      <c r="AD1512" s="0" t="s">
        <v>4637</v>
      </c>
      <c r="AE1512" s="0" t="s">
        <v>1892</v>
      </c>
      <c r="AF1512" s="0" t="s">
        <v>5729</v>
      </c>
      <c r="AH1512" s="0" t="s">
        <v>2239</v>
      </c>
      <c r="AL1512" s="0" t="s">
        <v>523</v>
      </c>
    </row>
    <row r="1513" customFormat="false" ht="15" hidden="false" customHeight="false" outlineLevel="0" collapsed="false">
      <c r="A1513" s="0" t="s">
        <v>1467</v>
      </c>
      <c r="B1513" s="0" t="s">
        <v>201</v>
      </c>
      <c r="C1513" s="0" t="s">
        <v>4709</v>
      </c>
      <c r="D1513" s="0" t="n">
        <v>2022</v>
      </c>
      <c r="E1513" s="0" t="s">
        <v>59</v>
      </c>
      <c r="F1513" s="0" t="n">
        <v>538868756</v>
      </c>
      <c r="G1513" s="0" t="s">
        <v>3067</v>
      </c>
      <c r="H1513" s="0" t="s">
        <v>3068</v>
      </c>
      <c r="I1513" s="0" t="n">
        <v>538868.756</v>
      </c>
      <c r="J1513" s="0" t="s">
        <v>4634</v>
      </c>
      <c r="K1513" s="0" t="s">
        <v>2745</v>
      </c>
      <c r="L1513" s="0" t="n">
        <v>2022</v>
      </c>
      <c r="M1513" s="0" t="s">
        <v>2156</v>
      </c>
      <c r="N1513" s="0" t="s">
        <v>210</v>
      </c>
      <c r="O1513" s="0" t="s">
        <v>2524</v>
      </c>
      <c r="P1513" s="0" t="s">
        <v>5715</v>
      </c>
      <c r="Q1513" s="0" t="n">
        <v>25</v>
      </c>
      <c r="S1513" s="0" t="s">
        <v>5453</v>
      </c>
      <c r="T1513" s="0" t="s">
        <v>5454</v>
      </c>
      <c r="U1513" s="0" t="s">
        <v>4265</v>
      </c>
      <c r="V1513" s="0" t="s">
        <v>114</v>
      </c>
      <c r="W1513" s="0" t="s">
        <v>5717</v>
      </c>
      <c r="X1513" s="0" t="s">
        <v>5718</v>
      </c>
      <c r="Y1513" s="0" t="s">
        <v>4159</v>
      </c>
      <c r="Z1513" s="0" t="s">
        <v>4160</v>
      </c>
      <c r="AA1513" s="0" t="s">
        <v>5735</v>
      </c>
      <c r="AB1513" s="0" t="s">
        <v>5720</v>
      </c>
      <c r="AC1513" s="0" t="s">
        <v>4162</v>
      </c>
      <c r="AD1513" s="0" t="s">
        <v>4637</v>
      </c>
      <c r="AE1513" s="0" t="s">
        <v>1892</v>
      </c>
      <c r="AF1513" s="0" t="s">
        <v>5721</v>
      </c>
      <c r="AH1513" s="0" t="s">
        <v>2239</v>
      </c>
      <c r="AL1513" s="0" t="s">
        <v>523</v>
      </c>
    </row>
    <row r="1514" customFormat="false" ht="15" hidden="false" customHeight="false" outlineLevel="0" collapsed="false">
      <c r="A1514" s="0" t="s">
        <v>1471</v>
      </c>
      <c r="B1514" s="0" t="s">
        <v>201</v>
      </c>
      <c r="C1514" s="0" t="s">
        <v>4709</v>
      </c>
      <c r="D1514" s="0" t="n">
        <v>2022</v>
      </c>
      <c r="E1514" s="0" t="s">
        <v>63</v>
      </c>
      <c r="F1514" s="0" t="n">
        <v>1203857</v>
      </c>
      <c r="G1514" s="0" t="s">
        <v>3067</v>
      </c>
      <c r="H1514" s="0" t="s">
        <v>3068</v>
      </c>
      <c r="I1514" s="0" t="n">
        <v>-1203.857</v>
      </c>
      <c r="J1514" s="0" t="s">
        <v>4634</v>
      </c>
      <c r="K1514" s="0" t="s">
        <v>2745</v>
      </c>
      <c r="L1514" s="0" t="n">
        <v>2022</v>
      </c>
      <c r="M1514" s="0" t="s">
        <v>2156</v>
      </c>
      <c r="N1514" s="0" t="s">
        <v>210</v>
      </c>
      <c r="O1514" s="0" t="s">
        <v>2524</v>
      </c>
      <c r="P1514" s="0" t="s">
        <v>5715</v>
      </c>
      <c r="Q1514" s="0" t="n">
        <v>24</v>
      </c>
      <c r="S1514" s="0" t="n">
        <v>11</v>
      </c>
      <c r="T1514" s="0" t="n">
        <v>2022</v>
      </c>
      <c r="U1514" s="0" t="s">
        <v>4265</v>
      </c>
      <c r="V1514" s="0" t="s">
        <v>114</v>
      </c>
      <c r="W1514" s="0" t="s">
        <v>5736</v>
      </c>
      <c r="X1514" s="0" t="s">
        <v>5727</v>
      </c>
      <c r="Y1514" s="0" t="s">
        <v>4159</v>
      </c>
      <c r="Z1514" s="0" t="s">
        <v>4160</v>
      </c>
      <c r="AA1514" s="0" t="s">
        <v>5737</v>
      </c>
      <c r="AB1514" s="0" t="s">
        <v>5720</v>
      </c>
      <c r="AC1514" s="0" t="s">
        <v>4162</v>
      </c>
      <c r="AD1514" s="0" t="s">
        <v>4637</v>
      </c>
      <c r="AE1514" s="0" t="s">
        <v>1892</v>
      </c>
      <c r="AF1514" s="0" t="s">
        <v>5729</v>
      </c>
      <c r="AH1514" s="0" t="s">
        <v>4174</v>
      </c>
      <c r="AI1514" s="0" t="s">
        <v>5738</v>
      </c>
      <c r="AL1514" s="0" t="s">
        <v>523</v>
      </c>
    </row>
    <row r="1515" customFormat="false" ht="15" hidden="false" customHeight="false" outlineLevel="0" collapsed="false">
      <c r="A1515" s="0" t="s">
        <v>1468</v>
      </c>
      <c r="B1515" s="0" t="s">
        <v>201</v>
      </c>
      <c r="C1515" s="0" t="s">
        <v>4709</v>
      </c>
      <c r="D1515" s="0" t="n">
        <v>2022</v>
      </c>
      <c r="E1515" s="0" t="s">
        <v>60</v>
      </c>
      <c r="F1515" s="0" t="n">
        <v>292968646</v>
      </c>
      <c r="G1515" s="0" t="s">
        <v>3067</v>
      </c>
      <c r="H1515" s="0" t="s">
        <v>3068</v>
      </c>
      <c r="I1515" s="0" t="n">
        <v>292968.646</v>
      </c>
      <c r="J1515" s="0" t="s">
        <v>4634</v>
      </c>
      <c r="K1515" s="0" t="s">
        <v>2745</v>
      </c>
      <c r="L1515" s="0" t="n">
        <v>2022</v>
      </c>
      <c r="M1515" s="0" t="s">
        <v>2156</v>
      </c>
      <c r="N1515" s="0" t="s">
        <v>210</v>
      </c>
      <c r="O1515" s="0" t="s">
        <v>2524</v>
      </c>
      <c r="P1515" s="0" t="s">
        <v>5715</v>
      </c>
      <c r="Q1515" s="0" t="n">
        <v>75</v>
      </c>
      <c r="R1515" s="0" t="n">
        <v>75</v>
      </c>
      <c r="S1515" s="0" t="n">
        <v>18</v>
      </c>
      <c r="T1515" s="0" t="n">
        <v>2022</v>
      </c>
      <c r="U1515" s="0" t="s">
        <v>4265</v>
      </c>
      <c r="V1515" s="0" t="s">
        <v>114</v>
      </c>
      <c r="W1515" s="0" t="s">
        <v>5739</v>
      </c>
      <c r="X1515" s="0" t="s">
        <v>5740</v>
      </c>
      <c r="Y1515" s="0" t="s">
        <v>4159</v>
      </c>
      <c r="Z1515" s="0" t="s">
        <v>4160</v>
      </c>
      <c r="AA1515" s="0" t="s">
        <v>5741</v>
      </c>
      <c r="AB1515" s="0" t="s">
        <v>5720</v>
      </c>
      <c r="AC1515" s="0" t="s">
        <v>4162</v>
      </c>
      <c r="AD1515" s="0" t="s">
        <v>4637</v>
      </c>
      <c r="AE1515" s="0" t="s">
        <v>1892</v>
      </c>
      <c r="AF1515" s="0" t="s">
        <v>5742</v>
      </c>
      <c r="AH1515" s="0" t="s">
        <v>2239</v>
      </c>
      <c r="AL1515" s="0" t="s">
        <v>523</v>
      </c>
    </row>
    <row r="1516" customFormat="false" ht="15" hidden="false" customHeight="false" outlineLevel="0" collapsed="false">
      <c r="A1516" s="0" t="s">
        <v>1469</v>
      </c>
      <c r="B1516" s="0" t="s">
        <v>201</v>
      </c>
      <c r="C1516" s="0" t="s">
        <v>4709</v>
      </c>
      <c r="D1516" s="0" t="n">
        <v>2022</v>
      </c>
      <c r="E1516" s="0" t="s">
        <v>61</v>
      </c>
      <c r="F1516" s="0" t="n">
        <v>-3612947</v>
      </c>
      <c r="G1516" s="0" t="s">
        <v>3067</v>
      </c>
      <c r="H1516" s="0" t="s">
        <v>3068</v>
      </c>
      <c r="I1516" s="0" t="n">
        <v>3612.947</v>
      </c>
      <c r="J1516" s="0" t="s">
        <v>4634</v>
      </c>
      <c r="K1516" s="0" t="s">
        <v>2745</v>
      </c>
      <c r="L1516" s="0" t="n">
        <v>2022</v>
      </c>
      <c r="M1516" s="0" t="s">
        <v>2156</v>
      </c>
      <c r="N1516" s="0" t="s">
        <v>210</v>
      </c>
      <c r="O1516" s="0" t="s">
        <v>2524</v>
      </c>
      <c r="P1516" s="0" t="s">
        <v>5715</v>
      </c>
      <c r="Q1516" s="0" t="n">
        <v>75</v>
      </c>
      <c r="R1516" s="0" t="n">
        <v>75</v>
      </c>
      <c r="S1516" s="0" t="n">
        <v>18</v>
      </c>
      <c r="T1516" s="0" t="n">
        <v>2022</v>
      </c>
      <c r="U1516" s="0" t="s">
        <v>4265</v>
      </c>
      <c r="V1516" s="0" t="s">
        <v>114</v>
      </c>
      <c r="W1516" s="0" t="s">
        <v>5743</v>
      </c>
      <c r="X1516" s="0" t="s">
        <v>5740</v>
      </c>
      <c r="Y1516" s="0" t="s">
        <v>4159</v>
      </c>
      <c r="Z1516" s="0" t="s">
        <v>4160</v>
      </c>
      <c r="AA1516" s="0" t="s">
        <v>5744</v>
      </c>
      <c r="AB1516" s="0" t="s">
        <v>5720</v>
      </c>
      <c r="AC1516" s="0" t="s">
        <v>4162</v>
      </c>
      <c r="AD1516" s="0" t="s">
        <v>4637</v>
      </c>
      <c r="AE1516" s="0" t="s">
        <v>1892</v>
      </c>
      <c r="AF1516" s="0" t="s">
        <v>5742</v>
      </c>
      <c r="AH1516" s="0" t="s">
        <v>4174</v>
      </c>
      <c r="AI1516" s="0" t="s">
        <v>4781</v>
      </c>
      <c r="AL1516" s="0" t="s">
        <v>523</v>
      </c>
    </row>
    <row r="1517" customFormat="false" ht="15" hidden="false" customHeight="false" outlineLevel="0" collapsed="false">
      <c r="A1517" s="0" t="s">
        <v>1470</v>
      </c>
      <c r="B1517" s="0" t="s">
        <v>201</v>
      </c>
      <c r="C1517" s="0" t="s">
        <v>4709</v>
      </c>
      <c r="D1517" s="0" t="n">
        <v>2022</v>
      </c>
      <c r="E1517" s="0" t="s">
        <v>62</v>
      </c>
      <c r="F1517" s="0" t="n">
        <v>289355699</v>
      </c>
      <c r="G1517" s="0" t="s">
        <v>3067</v>
      </c>
      <c r="H1517" s="0" t="s">
        <v>3068</v>
      </c>
      <c r="I1517" s="0" t="n">
        <v>289355.699</v>
      </c>
      <c r="J1517" s="0" t="s">
        <v>4634</v>
      </c>
      <c r="K1517" s="0" t="s">
        <v>2745</v>
      </c>
      <c r="L1517" s="0" t="n">
        <v>2022</v>
      </c>
      <c r="M1517" s="0" t="s">
        <v>2156</v>
      </c>
      <c r="N1517" s="0" t="s">
        <v>210</v>
      </c>
      <c r="O1517" s="0" t="s">
        <v>2524</v>
      </c>
      <c r="P1517" s="0" t="s">
        <v>5715</v>
      </c>
      <c r="Q1517" s="0" t="n">
        <v>25</v>
      </c>
      <c r="S1517" s="0" t="n">
        <v>18</v>
      </c>
      <c r="T1517" s="0" t="s">
        <v>5716</v>
      </c>
      <c r="U1517" s="0" t="s">
        <v>4265</v>
      </c>
      <c r="V1517" s="0" t="s">
        <v>114</v>
      </c>
      <c r="W1517" s="0" t="s">
        <v>5745</v>
      </c>
      <c r="X1517" s="0" t="s">
        <v>5718</v>
      </c>
      <c r="Y1517" s="0" t="s">
        <v>4159</v>
      </c>
      <c r="Z1517" s="0" t="s">
        <v>4160</v>
      </c>
      <c r="AA1517" s="0" t="s">
        <v>5746</v>
      </c>
      <c r="AB1517" s="0" t="s">
        <v>5720</v>
      </c>
      <c r="AC1517" s="0" t="s">
        <v>4162</v>
      </c>
      <c r="AD1517" s="0" t="s">
        <v>4637</v>
      </c>
      <c r="AE1517" s="0" t="s">
        <v>1892</v>
      </c>
      <c r="AF1517" s="0" t="s">
        <v>5721</v>
      </c>
      <c r="AH1517" s="0" t="s">
        <v>2239</v>
      </c>
      <c r="AL1517" s="0" t="s">
        <v>523</v>
      </c>
    </row>
    <row r="1518" customFormat="false" ht="15" hidden="false" customHeight="false" outlineLevel="0" collapsed="false">
      <c r="A1518" s="0" t="s">
        <v>1478</v>
      </c>
      <c r="B1518" s="0" t="s">
        <v>201</v>
      </c>
      <c r="C1518" s="0" t="s">
        <v>4709</v>
      </c>
      <c r="D1518" s="0" t="n">
        <v>2022</v>
      </c>
      <c r="E1518" s="0" t="s">
        <v>67</v>
      </c>
      <c r="F1518" s="0" t="n">
        <v>472953</v>
      </c>
      <c r="G1518" s="0" t="s">
        <v>3067</v>
      </c>
      <c r="H1518" s="0" t="s">
        <v>3068</v>
      </c>
      <c r="I1518" s="0" t="n">
        <v>472.953</v>
      </c>
      <c r="J1518" s="0" t="s">
        <v>4634</v>
      </c>
      <c r="K1518" s="0" t="s">
        <v>2745</v>
      </c>
      <c r="L1518" s="0" t="n">
        <v>2022</v>
      </c>
      <c r="M1518" s="0" t="s">
        <v>2156</v>
      </c>
      <c r="N1518" s="0" t="s">
        <v>210</v>
      </c>
      <c r="O1518" s="0" t="s">
        <v>2524</v>
      </c>
      <c r="P1518" s="0" t="s">
        <v>5715</v>
      </c>
      <c r="Q1518" s="0" t="n">
        <v>50</v>
      </c>
      <c r="R1518" s="0" t="n">
        <v>50</v>
      </c>
      <c r="S1518" s="0" t="n">
        <v>5.2</v>
      </c>
      <c r="T1518" s="0" t="s">
        <v>2835</v>
      </c>
      <c r="U1518" s="0" t="s">
        <v>4265</v>
      </c>
      <c r="V1518" s="0" t="s">
        <v>114</v>
      </c>
      <c r="W1518" s="0" t="s">
        <v>5747</v>
      </c>
      <c r="X1518" s="0" t="s">
        <v>5748</v>
      </c>
      <c r="Y1518" s="0" t="s">
        <v>4159</v>
      </c>
      <c r="Z1518" s="0" t="s">
        <v>4160</v>
      </c>
      <c r="AA1518" s="0" t="s">
        <v>5749</v>
      </c>
      <c r="AB1518" s="0" t="s">
        <v>5720</v>
      </c>
      <c r="AC1518" s="0" t="s">
        <v>4162</v>
      </c>
      <c r="AD1518" s="0" t="s">
        <v>4637</v>
      </c>
      <c r="AE1518" s="0" t="s">
        <v>1892</v>
      </c>
      <c r="AF1518" s="0" t="s">
        <v>5750</v>
      </c>
      <c r="AH1518" s="0" t="s">
        <v>2239</v>
      </c>
      <c r="AL1518" s="0" t="s">
        <v>523</v>
      </c>
    </row>
    <row r="1519" customFormat="false" ht="15" hidden="false" customHeight="false" outlineLevel="0" collapsed="false">
      <c r="A1519" s="0" t="s">
        <v>1479</v>
      </c>
      <c r="B1519" s="0" t="s">
        <v>201</v>
      </c>
      <c r="C1519" s="0" t="s">
        <v>4709</v>
      </c>
      <c r="D1519" s="0" t="n">
        <v>2022</v>
      </c>
      <c r="E1519" s="0" t="s">
        <v>68</v>
      </c>
      <c r="F1519" s="0" t="n">
        <v>-121670</v>
      </c>
      <c r="G1519" s="0" t="s">
        <v>3067</v>
      </c>
      <c r="H1519" s="0" t="s">
        <v>3068</v>
      </c>
      <c r="I1519" s="0" t="n">
        <v>121.67</v>
      </c>
      <c r="J1519" s="0" t="s">
        <v>4634</v>
      </c>
      <c r="K1519" s="0" t="s">
        <v>2745</v>
      </c>
      <c r="L1519" s="0" t="n">
        <v>2022</v>
      </c>
      <c r="M1519" s="0" t="s">
        <v>2156</v>
      </c>
      <c r="N1519" s="0" t="s">
        <v>210</v>
      </c>
      <c r="O1519" s="0" t="s">
        <v>2524</v>
      </c>
      <c r="P1519" s="0" t="s">
        <v>5715</v>
      </c>
      <c r="Q1519" s="0" t="n">
        <v>50</v>
      </c>
      <c r="R1519" s="0" t="n">
        <v>50</v>
      </c>
      <c r="S1519" s="0" t="n">
        <v>5.2</v>
      </c>
      <c r="T1519" s="0" t="s">
        <v>2835</v>
      </c>
      <c r="U1519" s="0" t="s">
        <v>4265</v>
      </c>
      <c r="V1519" s="0" t="s">
        <v>114</v>
      </c>
      <c r="W1519" s="0" t="s">
        <v>5751</v>
      </c>
      <c r="X1519" s="0" t="s">
        <v>5748</v>
      </c>
      <c r="Y1519" s="0" t="s">
        <v>4159</v>
      </c>
      <c r="Z1519" s="0" t="s">
        <v>4160</v>
      </c>
      <c r="AA1519" s="0" t="s">
        <v>5752</v>
      </c>
      <c r="AB1519" s="0" t="s">
        <v>5720</v>
      </c>
      <c r="AC1519" s="0" t="s">
        <v>4162</v>
      </c>
      <c r="AD1519" s="0" t="s">
        <v>4637</v>
      </c>
      <c r="AE1519" s="0" t="s">
        <v>1892</v>
      </c>
      <c r="AF1519" s="0" t="s">
        <v>5750</v>
      </c>
      <c r="AH1519" s="0" t="s">
        <v>4174</v>
      </c>
      <c r="AI1519" s="0" t="s">
        <v>4781</v>
      </c>
      <c r="AL1519" s="0" t="s">
        <v>523</v>
      </c>
    </row>
    <row r="1520" customFormat="false" ht="15" hidden="false" customHeight="false" outlineLevel="0" collapsed="false">
      <c r="A1520" s="0" t="s">
        <v>1474</v>
      </c>
      <c r="B1520" s="0" t="s">
        <v>201</v>
      </c>
      <c r="C1520" s="0" t="s">
        <v>4709</v>
      </c>
      <c r="D1520" s="0" t="n">
        <v>2022</v>
      </c>
      <c r="E1520" s="0" t="s">
        <v>65</v>
      </c>
      <c r="F1520" s="0" t="n">
        <v>-288192175</v>
      </c>
      <c r="G1520" s="0" t="s">
        <v>3067</v>
      </c>
      <c r="H1520" s="0" t="s">
        <v>3068</v>
      </c>
      <c r="I1520" s="0" t="n">
        <v>-288192.175</v>
      </c>
      <c r="J1520" s="0" t="s">
        <v>4634</v>
      </c>
      <c r="K1520" s="0" t="s">
        <v>2745</v>
      </c>
      <c r="L1520" s="0" t="n">
        <v>2022</v>
      </c>
      <c r="M1520" s="0" t="s">
        <v>2156</v>
      </c>
      <c r="N1520" s="0" t="s">
        <v>210</v>
      </c>
      <c r="O1520" s="0" t="s">
        <v>2524</v>
      </c>
      <c r="P1520" s="0" t="s">
        <v>5715</v>
      </c>
      <c r="Q1520" s="0" t="n">
        <v>94</v>
      </c>
      <c r="R1520" s="0" t="n">
        <v>94</v>
      </c>
      <c r="S1520" s="0" t="n">
        <v>36</v>
      </c>
      <c r="T1520" s="0" t="s">
        <v>5753</v>
      </c>
      <c r="U1520" s="0" t="s">
        <v>4265</v>
      </c>
      <c r="V1520" s="0" t="s">
        <v>114</v>
      </c>
      <c r="W1520" s="0" t="s">
        <v>5754</v>
      </c>
      <c r="X1520" s="0" t="s">
        <v>5755</v>
      </c>
      <c r="Y1520" s="0" t="s">
        <v>4159</v>
      </c>
      <c r="Z1520" s="0" t="s">
        <v>4160</v>
      </c>
      <c r="AA1520" s="0" t="s">
        <v>5756</v>
      </c>
      <c r="AB1520" s="0" t="s">
        <v>5720</v>
      </c>
      <c r="AC1520" s="0" t="s">
        <v>4162</v>
      </c>
      <c r="AD1520" s="0" t="s">
        <v>4637</v>
      </c>
      <c r="AE1520" s="0" t="s">
        <v>1892</v>
      </c>
      <c r="AF1520" s="0" t="s">
        <v>5757</v>
      </c>
      <c r="AH1520" s="0" t="s">
        <v>2239</v>
      </c>
      <c r="AL1520" s="0" t="s">
        <v>523</v>
      </c>
    </row>
    <row r="1521" customFormat="false" ht="15" hidden="false" customHeight="false" outlineLevel="0" collapsed="false">
      <c r="A1521" s="0" t="s">
        <v>1475</v>
      </c>
      <c r="B1521" s="0" t="s">
        <v>201</v>
      </c>
      <c r="C1521" s="0" t="s">
        <v>4709</v>
      </c>
      <c r="D1521" s="0" t="n">
        <v>2022</v>
      </c>
      <c r="E1521" s="0" t="s">
        <v>66</v>
      </c>
      <c r="F1521" s="0" t="n">
        <v>321334337</v>
      </c>
      <c r="G1521" s="0" t="s">
        <v>3067</v>
      </c>
      <c r="H1521" s="0" t="s">
        <v>3068</v>
      </c>
      <c r="I1521" s="0" t="n">
        <v>321334.337</v>
      </c>
      <c r="J1521" s="0" t="s">
        <v>4634</v>
      </c>
      <c r="K1521" s="0" t="s">
        <v>2745</v>
      </c>
      <c r="L1521" s="0" t="n">
        <v>2022</v>
      </c>
      <c r="M1521" s="0" t="s">
        <v>2156</v>
      </c>
      <c r="N1521" s="0" t="s">
        <v>210</v>
      </c>
      <c r="O1521" s="0" t="s">
        <v>2524</v>
      </c>
      <c r="P1521" s="0" t="s">
        <v>5715</v>
      </c>
      <c r="Q1521" s="0" t="n">
        <v>94</v>
      </c>
      <c r="R1521" s="0" t="n">
        <v>94</v>
      </c>
      <c r="S1521" s="0" t="n">
        <v>36</v>
      </c>
      <c r="T1521" s="0" t="s">
        <v>5753</v>
      </c>
      <c r="U1521" s="0" t="s">
        <v>4265</v>
      </c>
      <c r="V1521" s="0" t="s">
        <v>114</v>
      </c>
      <c r="W1521" s="0" t="s">
        <v>5758</v>
      </c>
      <c r="X1521" s="0" t="s">
        <v>5755</v>
      </c>
      <c r="Y1521" s="0" t="s">
        <v>4159</v>
      </c>
      <c r="Z1521" s="0" t="s">
        <v>4160</v>
      </c>
      <c r="AA1521" s="0" t="s">
        <v>5759</v>
      </c>
      <c r="AB1521" s="0" t="s">
        <v>5720</v>
      </c>
      <c r="AC1521" s="0" t="s">
        <v>4162</v>
      </c>
      <c r="AD1521" s="0" t="s">
        <v>4637</v>
      </c>
      <c r="AE1521" s="0" t="s">
        <v>1892</v>
      </c>
      <c r="AF1521" s="0" t="s">
        <v>5757</v>
      </c>
      <c r="AH1521" s="0" t="s">
        <v>2239</v>
      </c>
      <c r="AL1521" s="0" t="s">
        <v>523</v>
      </c>
    </row>
    <row r="1522" customFormat="false" ht="15" hidden="false" customHeight="false" outlineLevel="0" collapsed="false">
      <c r="A1522" s="0" t="s">
        <v>1472</v>
      </c>
      <c r="B1522" s="0" t="s">
        <v>201</v>
      </c>
      <c r="C1522" s="0" t="s">
        <v>4709</v>
      </c>
      <c r="D1522" s="0" t="n">
        <v>2022</v>
      </c>
      <c r="E1522" s="0" t="s">
        <v>69</v>
      </c>
      <c r="F1522" s="0" t="s">
        <v>5760</v>
      </c>
      <c r="G1522" s="0" t="s">
        <v>3143</v>
      </c>
      <c r="I1522" s="0" t="n">
        <v>-89.69</v>
      </c>
      <c r="J1522" s="0" t="s">
        <v>4634</v>
      </c>
      <c r="K1522" s="0" t="s">
        <v>2745</v>
      </c>
      <c r="L1522" s="0" t="n">
        <v>2022</v>
      </c>
      <c r="M1522" s="0" t="s">
        <v>2156</v>
      </c>
      <c r="N1522" s="0" t="s">
        <v>210</v>
      </c>
      <c r="O1522" s="0" t="s">
        <v>2524</v>
      </c>
      <c r="P1522" s="0" t="s">
        <v>5715</v>
      </c>
      <c r="Q1522" s="0" t="n">
        <v>94</v>
      </c>
      <c r="R1522" s="0" t="n">
        <v>94</v>
      </c>
      <c r="S1522" s="0" t="n">
        <v>36</v>
      </c>
      <c r="T1522" s="0" t="s">
        <v>5753</v>
      </c>
      <c r="U1522" s="0" t="s">
        <v>4265</v>
      </c>
      <c r="V1522" s="0" t="s">
        <v>114</v>
      </c>
      <c r="W1522" s="0" t="s">
        <v>5761</v>
      </c>
      <c r="X1522" s="0" t="s">
        <v>5755</v>
      </c>
      <c r="Y1522" s="0" t="s">
        <v>4159</v>
      </c>
      <c r="Z1522" s="0" t="s">
        <v>4160</v>
      </c>
      <c r="AA1522" s="0" t="s">
        <v>5762</v>
      </c>
      <c r="AB1522" s="0" t="s">
        <v>5720</v>
      </c>
      <c r="AC1522" s="0" t="s">
        <v>4162</v>
      </c>
      <c r="AD1522" s="0" t="s">
        <v>4637</v>
      </c>
      <c r="AE1522" s="0" t="s">
        <v>1892</v>
      </c>
      <c r="AF1522" s="0" t="s">
        <v>5757</v>
      </c>
      <c r="AH1522" s="0" t="s">
        <v>2239</v>
      </c>
      <c r="AL1522" s="0" t="s">
        <v>523</v>
      </c>
    </row>
    <row r="1523" customFormat="false" ht="15" hidden="false" customHeight="false" outlineLevel="0" collapsed="false">
      <c r="A1523" s="0" t="s">
        <v>1476</v>
      </c>
      <c r="B1523" s="0" t="s">
        <v>201</v>
      </c>
      <c r="C1523" s="0" t="s">
        <v>4709</v>
      </c>
      <c r="D1523" s="0" t="n">
        <v>2022</v>
      </c>
      <c r="E1523" s="0" t="s">
        <v>619</v>
      </c>
      <c r="F1523" s="0" t="n">
        <v>-288192175</v>
      </c>
      <c r="G1523" s="0" t="s">
        <v>3067</v>
      </c>
      <c r="H1523" s="0" t="s">
        <v>3068</v>
      </c>
      <c r="I1523" s="0" t="n">
        <v>-288192.175</v>
      </c>
      <c r="J1523" s="0" t="s">
        <v>4634</v>
      </c>
      <c r="K1523" s="0" t="s">
        <v>2745</v>
      </c>
      <c r="L1523" s="0" t="n">
        <v>2022</v>
      </c>
      <c r="M1523" s="0" t="s">
        <v>2156</v>
      </c>
      <c r="N1523" s="0" t="s">
        <v>210</v>
      </c>
      <c r="O1523" s="0" t="s">
        <v>2524</v>
      </c>
      <c r="P1523" s="0" t="s">
        <v>5715</v>
      </c>
      <c r="Q1523" s="0" t="n">
        <v>94</v>
      </c>
      <c r="R1523" s="0" t="n">
        <v>94</v>
      </c>
      <c r="S1523" s="0" t="n">
        <v>36</v>
      </c>
      <c r="T1523" s="0" t="s">
        <v>5763</v>
      </c>
      <c r="U1523" s="0" t="s">
        <v>4265</v>
      </c>
      <c r="V1523" s="0" t="s">
        <v>114</v>
      </c>
      <c r="W1523" s="0" t="s">
        <v>5754</v>
      </c>
      <c r="X1523" s="0" t="s">
        <v>5755</v>
      </c>
      <c r="Y1523" s="0" t="s">
        <v>4159</v>
      </c>
      <c r="Z1523" s="0" t="s">
        <v>4160</v>
      </c>
      <c r="AA1523" s="0" t="s">
        <v>5764</v>
      </c>
      <c r="AB1523" s="0" t="s">
        <v>5720</v>
      </c>
      <c r="AC1523" s="0" t="s">
        <v>4162</v>
      </c>
      <c r="AD1523" s="0" t="s">
        <v>4637</v>
      </c>
      <c r="AE1523" s="0" t="s">
        <v>1892</v>
      </c>
      <c r="AF1523" s="0" t="s">
        <v>5765</v>
      </c>
      <c r="AH1523" s="0" t="s">
        <v>2239</v>
      </c>
      <c r="AL1523" s="0" t="s">
        <v>523</v>
      </c>
    </row>
    <row r="1524" customFormat="false" ht="15" hidden="false" customHeight="false" outlineLevel="0" collapsed="false">
      <c r="A1524" s="0" t="s">
        <v>1473</v>
      </c>
      <c r="B1524" s="0" t="s">
        <v>201</v>
      </c>
      <c r="C1524" s="0" t="s">
        <v>4709</v>
      </c>
      <c r="D1524" s="0" t="n">
        <v>2022</v>
      </c>
      <c r="E1524" s="0" t="s">
        <v>614</v>
      </c>
      <c r="F1524" s="0" t="s">
        <v>5760</v>
      </c>
      <c r="G1524" s="0" t="s">
        <v>3143</v>
      </c>
      <c r="I1524" s="0" t="n">
        <v>-89.69</v>
      </c>
      <c r="J1524" s="0" t="s">
        <v>4634</v>
      </c>
      <c r="K1524" s="0" t="s">
        <v>2745</v>
      </c>
      <c r="L1524" s="0" t="n">
        <v>2022</v>
      </c>
      <c r="M1524" s="0" t="s">
        <v>2156</v>
      </c>
      <c r="N1524" s="0" t="s">
        <v>210</v>
      </c>
      <c r="O1524" s="0" t="s">
        <v>2524</v>
      </c>
      <c r="P1524" s="0" t="s">
        <v>5715</v>
      </c>
      <c r="Q1524" s="0" t="n">
        <v>94</v>
      </c>
      <c r="R1524" s="0" t="n">
        <v>94</v>
      </c>
      <c r="S1524" s="0" t="n">
        <v>36</v>
      </c>
      <c r="T1524" s="0" t="s">
        <v>5763</v>
      </c>
      <c r="U1524" s="0" t="s">
        <v>4265</v>
      </c>
      <c r="V1524" s="0" t="s">
        <v>114</v>
      </c>
      <c r="W1524" s="0" t="s">
        <v>5761</v>
      </c>
      <c r="X1524" s="0" t="s">
        <v>5755</v>
      </c>
      <c r="Y1524" s="0" t="s">
        <v>4159</v>
      </c>
      <c r="Z1524" s="0" t="s">
        <v>4160</v>
      </c>
      <c r="AA1524" s="0" t="s">
        <v>5766</v>
      </c>
      <c r="AB1524" s="0" t="s">
        <v>5720</v>
      </c>
      <c r="AC1524" s="0" t="s">
        <v>4162</v>
      </c>
      <c r="AD1524" s="0" t="s">
        <v>4637</v>
      </c>
      <c r="AE1524" s="0" t="s">
        <v>1892</v>
      </c>
      <c r="AF1524" s="0" t="s">
        <v>5765</v>
      </c>
      <c r="AH1524" s="0" t="s">
        <v>2239</v>
      </c>
      <c r="AL1524" s="0" t="s">
        <v>523</v>
      </c>
    </row>
    <row r="1525" customFormat="false" ht="15" hidden="false" customHeight="false" outlineLevel="0" collapsed="false">
      <c r="A1525" s="0" t="s">
        <v>1477</v>
      </c>
      <c r="B1525" s="0" t="s">
        <v>201</v>
      </c>
      <c r="C1525" s="0" t="s">
        <v>4709</v>
      </c>
      <c r="D1525" s="0" t="n">
        <v>2022</v>
      </c>
      <c r="E1525" s="0" t="s">
        <v>73</v>
      </c>
      <c r="F1525" s="0" t="n">
        <v>1</v>
      </c>
      <c r="G1525" s="0" t="s">
        <v>4257</v>
      </c>
      <c r="I1525" s="0" t="n">
        <v>1</v>
      </c>
      <c r="J1525" s="0" t="s">
        <v>4687</v>
      </c>
      <c r="K1525" s="0" t="s">
        <v>2745</v>
      </c>
      <c r="L1525" s="0" t="n">
        <v>2022</v>
      </c>
      <c r="M1525" s="0" t="s">
        <v>2156</v>
      </c>
      <c r="N1525" s="0" t="s">
        <v>210</v>
      </c>
      <c r="O1525" s="0" t="s">
        <v>2524</v>
      </c>
      <c r="P1525" s="0" t="s">
        <v>5715</v>
      </c>
      <c r="Q1525" s="0" t="n">
        <v>19</v>
      </c>
      <c r="S1525" s="0" t="s">
        <v>5121</v>
      </c>
      <c r="T1525" s="0" t="s">
        <v>5767</v>
      </c>
      <c r="U1525" s="0" t="s">
        <v>4265</v>
      </c>
      <c r="V1525" s="0" t="s">
        <v>114</v>
      </c>
      <c r="W1525" s="0" t="s">
        <v>4803</v>
      </c>
      <c r="X1525" s="0" t="s">
        <v>5768</v>
      </c>
      <c r="Y1525" s="0" t="s">
        <v>4212</v>
      </c>
      <c r="Z1525" s="0" t="s">
        <v>4160</v>
      </c>
      <c r="AA1525" s="0" t="s">
        <v>5769</v>
      </c>
      <c r="AB1525" s="0" t="s">
        <v>5720</v>
      </c>
      <c r="AC1525" s="0" t="s">
        <v>4162</v>
      </c>
      <c r="AD1525" s="0" t="s">
        <v>4637</v>
      </c>
      <c r="AE1525" s="0" t="s">
        <v>1892</v>
      </c>
      <c r="AF1525" s="0" t="s">
        <v>5507</v>
      </c>
      <c r="AG1525" s="0" t="s">
        <v>1892</v>
      </c>
      <c r="AH1525" s="0" t="s">
        <v>2239</v>
      </c>
      <c r="AL1525" s="0" t="s">
        <v>539</v>
      </c>
    </row>
    <row r="1526" customFormat="false" ht="15" hidden="false" customHeight="false" outlineLevel="0" collapsed="false">
      <c r="A1526" s="0" t="s">
        <v>1244</v>
      </c>
      <c r="B1526" s="0" t="s">
        <v>169</v>
      </c>
      <c r="C1526" s="0" t="s">
        <v>4695</v>
      </c>
      <c r="D1526" s="0" t="n">
        <v>2016</v>
      </c>
      <c r="E1526" s="0" t="s">
        <v>55</v>
      </c>
      <c r="F1526" s="0" t="n">
        <v>830802224</v>
      </c>
      <c r="G1526" s="0" t="s">
        <v>3067</v>
      </c>
      <c r="H1526" s="0" t="s">
        <v>3068</v>
      </c>
      <c r="I1526" s="0" t="n">
        <v>830802.224</v>
      </c>
      <c r="J1526" s="0" t="s">
        <v>4155</v>
      </c>
      <c r="K1526" s="0" t="s">
        <v>2720</v>
      </c>
      <c r="L1526" s="0" t="n">
        <v>2016</v>
      </c>
      <c r="M1526" s="0" t="s">
        <v>2166</v>
      </c>
      <c r="N1526" s="0" t="s">
        <v>172</v>
      </c>
      <c r="O1526" s="0" t="s">
        <v>2527</v>
      </c>
      <c r="P1526" s="0" t="s">
        <v>5770</v>
      </c>
      <c r="Q1526" s="0" t="n">
        <v>30</v>
      </c>
      <c r="R1526" s="0" t="n">
        <v>30</v>
      </c>
      <c r="T1526" s="0" t="s">
        <v>5771</v>
      </c>
      <c r="U1526" s="0" t="s">
        <v>4209</v>
      </c>
      <c r="V1526" s="0" t="s">
        <v>87</v>
      </c>
      <c r="W1526" s="0" t="s">
        <v>4210</v>
      </c>
      <c r="X1526" s="0" t="s">
        <v>5772</v>
      </c>
      <c r="Y1526" s="0" t="s">
        <v>4212</v>
      </c>
      <c r="Z1526" s="0" t="s">
        <v>4160</v>
      </c>
      <c r="AA1526" s="0" t="s">
        <v>5773</v>
      </c>
      <c r="AB1526" s="0" t="s">
        <v>5774</v>
      </c>
      <c r="AC1526" s="0" t="s">
        <v>4162</v>
      </c>
      <c r="AD1526" s="0" t="s">
        <v>4163</v>
      </c>
      <c r="AE1526" s="0" t="s">
        <v>4164</v>
      </c>
      <c r="AF1526" s="0" t="s">
        <v>5775</v>
      </c>
      <c r="AH1526" s="0" t="s">
        <v>2239</v>
      </c>
      <c r="AL1526" s="0" t="s">
        <v>539</v>
      </c>
    </row>
    <row r="1527" customFormat="false" ht="15" hidden="false" customHeight="false" outlineLevel="0" collapsed="false">
      <c r="A1527" s="0" t="s">
        <v>1245</v>
      </c>
      <c r="B1527" s="0" t="s">
        <v>169</v>
      </c>
      <c r="C1527" s="0" t="s">
        <v>4695</v>
      </c>
      <c r="D1527" s="0" t="n">
        <v>2016</v>
      </c>
      <c r="E1527" s="0" t="s">
        <v>56</v>
      </c>
      <c r="F1527" s="0" t="n">
        <v>745123602</v>
      </c>
      <c r="G1527" s="0" t="s">
        <v>3067</v>
      </c>
      <c r="H1527" s="0" t="s">
        <v>3068</v>
      </c>
      <c r="I1527" s="0" t="n">
        <v>745123.602</v>
      </c>
      <c r="J1527" s="0" t="s">
        <v>4155</v>
      </c>
      <c r="K1527" s="0" t="s">
        <v>2720</v>
      </c>
      <c r="L1527" s="0" t="n">
        <v>2016</v>
      </c>
      <c r="M1527" s="0" t="s">
        <v>2166</v>
      </c>
      <c r="N1527" s="0" t="s">
        <v>172</v>
      </c>
      <c r="O1527" s="0" t="s">
        <v>2527</v>
      </c>
      <c r="P1527" s="0" t="s">
        <v>5770</v>
      </c>
      <c r="Q1527" s="0" t="n">
        <v>30</v>
      </c>
      <c r="R1527" s="0" t="n">
        <v>30</v>
      </c>
      <c r="T1527" s="0" t="s">
        <v>5771</v>
      </c>
      <c r="U1527" s="0" t="s">
        <v>4209</v>
      </c>
      <c r="V1527" s="0" t="s">
        <v>87</v>
      </c>
      <c r="W1527" s="0" t="s">
        <v>4216</v>
      </c>
      <c r="X1527" s="0" t="s">
        <v>5772</v>
      </c>
      <c r="Y1527" s="0" t="s">
        <v>4212</v>
      </c>
      <c r="Z1527" s="0" t="s">
        <v>4160</v>
      </c>
      <c r="AA1527" s="0" t="s">
        <v>5776</v>
      </c>
      <c r="AB1527" s="0" t="s">
        <v>5774</v>
      </c>
      <c r="AC1527" s="0" t="s">
        <v>4162</v>
      </c>
      <c r="AD1527" s="0" t="s">
        <v>4163</v>
      </c>
      <c r="AE1527" s="0" t="s">
        <v>4164</v>
      </c>
      <c r="AF1527" s="0" t="s">
        <v>5775</v>
      </c>
      <c r="AH1527" s="0" t="s">
        <v>2239</v>
      </c>
      <c r="AL1527" s="0" t="s">
        <v>539</v>
      </c>
    </row>
    <row r="1528" customFormat="false" ht="15" hidden="false" customHeight="false" outlineLevel="0" collapsed="false">
      <c r="A1528" s="0" t="s">
        <v>1246</v>
      </c>
      <c r="B1528" s="0" t="s">
        <v>169</v>
      </c>
      <c r="C1528" s="0" t="s">
        <v>4695</v>
      </c>
      <c r="D1528" s="0" t="n">
        <v>2016</v>
      </c>
      <c r="E1528" s="0" t="s">
        <v>57</v>
      </c>
      <c r="F1528" s="0" t="n">
        <v>85678622</v>
      </c>
      <c r="G1528" s="0" t="s">
        <v>3067</v>
      </c>
      <c r="H1528" s="0" t="s">
        <v>3068</v>
      </c>
      <c r="I1528" s="0" t="n">
        <v>85678.622</v>
      </c>
      <c r="J1528" s="0" t="s">
        <v>4155</v>
      </c>
      <c r="K1528" s="0" t="s">
        <v>2720</v>
      </c>
      <c r="L1528" s="0" t="n">
        <v>2016</v>
      </c>
      <c r="M1528" s="0" t="s">
        <v>2166</v>
      </c>
      <c r="N1528" s="0" t="s">
        <v>172</v>
      </c>
      <c r="O1528" s="0" t="s">
        <v>2527</v>
      </c>
      <c r="P1528" s="0" t="s">
        <v>5770</v>
      </c>
      <c r="Q1528" s="0" t="n">
        <v>30</v>
      </c>
      <c r="R1528" s="0" t="n">
        <v>30</v>
      </c>
      <c r="T1528" s="0" t="s">
        <v>5771</v>
      </c>
      <c r="U1528" s="0" t="s">
        <v>4209</v>
      </c>
      <c r="V1528" s="0" t="s">
        <v>87</v>
      </c>
      <c r="W1528" s="0" t="s">
        <v>4864</v>
      </c>
      <c r="X1528" s="0" t="s">
        <v>5772</v>
      </c>
      <c r="Y1528" s="0" t="s">
        <v>4212</v>
      </c>
      <c r="Z1528" s="0" t="s">
        <v>4160</v>
      </c>
      <c r="AA1528" s="0" t="s">
        <v>5777</v>
      </c>
      <c r="AB1528" s="0" t="s">
        <v>5774</v>
      </c>
      <c r="AC1528" s="0" t="s">
        <v>4162</v>
      </c>
      <c r="AD1528" s="0" t="s">
        <v>4163</v>
      </c>
      <c r="AE1528" s="0" t="s">
        <v>4164</v>
      </c>
      <c r="AF1528" s="0" t="s">
        <v>5775</v>
      </c>
      <c r="AH1528" s="0" t="s">
        <v>2239</v>
      </c>
      <c r="AL1528" s="0" t="s">
        <v>539</v>
      </c>
    </row>
    <row r="1529" customFormat="false" ht="15" hidden="false" customHeight="false" outlineLevel="0" collapsed="false">
      <c r="A1529" s="0" t="s">
        <v>1243</v>
      </c>
      <c r="B1529" s="0" t="s">
        <v>169</v>
      </c>
      <c r="C1529" s="0" t="s">
        <v>4695</v>
      </c>
      <c r="D1529" s="0" t="n">
        <v>2016</v>
      </c>
      <c r="E1529" s="0" t="s">
        <v>54</v>
      </c>
      <c r="F1529" s="0" t="n">
        <v>5180964</v>
      </c>
      <c r="G1529" s="0" t="s">
        <v>3067</v>
      </c>
      <c r="H1529" s="0" t="s">
        <v>3068</v>
      </c>
      <c r="I1529" s="0" t="n">
        <v>5180.964</v>
      </c>
      <c r="J1529" s="0" t="s">
        <v>4155</v>
      </c>
      <c r="K1529" s="0" t="s">
        <v>2720</v>
      </c>
      <c r="L1529" s="0" t="n">
        <v>2016</v>
      </c>
      <c r="M1529" s="0" t="s">
        <v>2166</v>
      </c>
      <c r="N1529" s="0" t="s">
        <v>172</v>
      </c>
      <c r="O1529" s="0" t="s">
        <v>2527</v>
      </c>
      <c r="P1529" s="0" t="s">
        <v>5770</v>
      </c>
      <c r="Q1529" s="0" t="n">
        <v>29</v>
      </c>
      <c r="R1529" s="0" t="n">
        <v>29</v>
      </c>
      <c r="T1529" s="0" t="s">
        <v>4374</v>
      </c>
      <c r="U1529" s="0" t="s">
        <v>4209</v>
      </c>
      <c r="V1529" s="0" t="s">
        <v>87</v>
      </c>
      <c r="W1529" s="0" t="s">
        <v>5778</v>
      </c>
      <c r="X1529" s="0" t="s">
        <v>5779</v>
      </c>
      <c r="Y1529" s="0" t="s">
        <v>4212</v>
      </c>
      <c r="Z1529" s="0" t="s">
        <v>4160</v>
      </c>
      <c r="AA1529" s="0" t="s">
        <v>5780</v>
      </c>
      <c r="AB1529" s="0" t="s">
        <v>5774</v>
      </c>
      <c r="AC1529" s="0" t="s">
        <v>4162</v>
      </c>
      <c r="AD1529" s="0" t="s">
        <v>4163</v>
      </c>
      <c r="AE1529" s="0" t="s">
        <v>4164</v>
      </c>
      <c r="AF1529" s="0" t="s">
        <v>5781</v>
      </c>
      <c r="AH1529" s="0" t="s">
        <v>2239</v>
      </c>
      <c r="AL1529" s="0" t="s">
        <v>539</v>
      </c>
    </row>
    <row r="1530" customFormat="false" ht="15" hidden="false" customHeight="false" outlineLevel="0" collapsed="false">
      <c r="A1530" s="0" t="s">
        <v>1258</v>
      </c>
      <c r="B1530" s="0" t="s">
        <v>169</v>
      </c>
      <c r="C1530" s="0" t="s">
        <v>4695</v>
      </c>
      <c r="D1530" s="0" t="n">
        <v>2016</v>
      </c>
      <c r="E1530" s="0" t="s">
        <v>541</v>
      </c>
      <c r="F1530" s="0" t="n">
        <v>6018479</v>
      </c>
      <c r="G1530" s="0" t="s">
        <v>3067</v>
      </c>
      <c r="H1530" s="0" t="s">
        <v>3068</v>
      </c>
      <c r="I1530" s="0" t="n">
        <v>6018.479</v>
      </c>
      <c r="J1530" s="0" t="s">
        <v>4155</v>
      </c>
      <c r="K1530" s="0" t="s">
        <v>2720</v>
      </c>
      <c r="L1530" s="0" t="n">
        <v>2016</v>
      </c>
      <c r="M1530" s="0" t="s">
        <v>2166</v>
      </c>
      <c r="N1530" s="0" t="s">
        <v>172</v>
      </c>
      <c r="O1530" s="0" t="s">
        <v>2527</v>
      </c>
      <c r="P1530" s="0" t="s">
        <v>5770</v>
      </c>
      <c r="Q1530" s="0" t="n">
        <v>29</v>
      </c>
      <c r="R1530" s="0" t="n">
        <v>29</v>
      </c>
      <c r="T1530" s="0" t="s">
        <v>4374</v>
      </c>
      <c r="U1530" s="0" t="s">
        <v>4209</v>
      </c>
      <c r="V1530" s="0" t="s">
        <v>87</v>
      </c>
      <c r="W1530" s="0" t="s">
        <v>5782</v>
      </c>
      <c r="X1530" s="0" t="s">
        <v>5779</v>
      </c>
      <c r="Y1530" s="0" t="s">
        <v>4212</v>
      </c>
      <c r="Z1530" s="0" t="s">
        <v>4160</v>
      </c>
      <c r="AA1530" s="0" t="s">
        <v>5783</v>
      </c>
      <c r="AB1530" s="0" t="s">
        <v>5774</v>
      </c>
      <c r="AC1530" s="0" t="s">
        <v>4162</v>
      </c>
      <c r="AD1530" s="0" t="s">
        <v>4163</v>
      </c>
      <c r="AE1530" s="0" t="s">
        <v>4164</v>
      </c>
      <c r="AF1530" s="0" t="s">
        <v>5781</v>
      </c>
      <c r="AH1530" s="0" t="s">
        <v>2239</v>
      </c>
      <c r="AL1530" s="0" t="s">
        <v>539</v>
      </c>
    </row>
    <row r="1531" customFormat="false" ht="15" hidden="false" customHeight="false" outlineLevel="0" collapsed="false">
      <c r="A1531" s="0" t="s">
        <v>1247</v>
      </c>
      <c r="B1531" s="0" t="s">
        <v>169</v>
      </c>
      <c r="C1531" s="0" t="s">
        <v>4695</v>
      </c>
      <c r="D1531" s="0" t="n">
        <v>2016</v>
      </c>
      <c r="E1531" s="0" t="s">
        <v>58</v>
      </c>
      <c r="F1531" s="0" t="n">
        <v>-124892482</v>
      </c>
      <c r="G1531" s="0" t="s">
        <v>3067</v>
      </c>
      <c r="H1531" s="0" t="s">
        <v>3068</v>
      </c>
      <c r="I1531" s="0" t="n">
        <v>-124892.482</v>
      </c>
      <c r="J1531" s="0" t="s">
        <v>4155</v>
      </c>
      <c r="K1531" s="0" t="s">
        <v>2720</v>
      </c>
      <c r="L1531" s="0" t="n">
        <v>2016</v>
      </c>
      <c r="M1531" s="0" t="s">
        <v>2166</v>
      </c>
      <c r="N1531" s="0" t="s">
        <v>172</v>
      </c>
      <c r="O1531" s="0" t="s">
        <v>2527</v>
      </c>
      <c r="P1531" s="0" t="s">
        <v>5770</v>
      </c>
      <c r="Q1531" s="0" t="n">
        <v>34</v>
      </c>
      <c r="R1531" s="0" t="n">
        <v>34</v>
      </c>
      <c r="T1531" s="0" t="s">
        <v>4624</v>
      </c>
      <c r="U1531" s="0" t="s">
        <v>4209</v>
      </c>
      <c r="V1531" s="0" t="s">
        <v>87</v>
      </c>
      <c r="W1531" s="0" t="s">
        <v>5784</v>
      </c>
      <c r="X1531" s="0" t="s">
        <v>5785</v>
      </c>
      <c r="Y1531" s="0" t="s">
        <v>4159</v>
      </c>
      <c r="Z1531" s="0" t="s">
        <v>4160</v>
      </c>
      <c r="AA1531" s="0" t="s">
        <v>5786</v>
      </c>
      <c r="AB1531" s="0" t="s">
        <v>5774</v>
      </c>
      <c r="AC1531" s="0" t="s">
        <v>4162</v>
      </c>
      <c r="AD1531" s="0" t="s">
        <v>4163</v>
      </c>
      <c r="AE1531" s="0" t="s">
        <v>4164</v>
      </c>
      <c r="AF1531" s="0" t="s">
        <v>5787</v>
      </c>
      <c r="AH1531" s="0" t="s">
        <v>2239</v>
      </c>
      <c r="AL1531" s="0" t="s">
        <v>523</v>
      </c>
    </row>
    <row r="1532" customFormat="false" ht="15" hidden="false" customHeight="false" outlineLevel="0" collapsed="false">
      <c r="A1532" s="0" t="s">
        <v>1248</v>
      </c>
      <c r="B1532" s="0" t="s">
        <v>169</v>
      </c>
      <c r="C1532" s="0" t="s">
        <v>4695</v>
      </c>
      <c r="D1532" s="0" t="n">
        <v>2016</v>
      </c>
      <c r="E1532" s="0" t="s">
        <v>59</v>
      </c>
      <c r="F1532" s="0" t="n">
        <v>799451417</v>
      </c>
      <c r="G1532" s="0" t="s">
        <v>3067</v>
      </c>
      <c r="H1532" s="0" t="s">
        <v>3068</v>
      </c>
      <c r="I1532" s="0" t="n">
        <v>799451.417</v>
      </c>
      <c r="J1532" s="0" t="s">
        <v>4155</v>
      </c>
      <c r="K1532" s="0" t="s">
        <v>2720</v>
      </c>
      <c r="L1532" s="0" t="n">
        <v>2016</v>
      </c>
      <c r="M1532" s="0" t="s">
        <v>2166</v>
      </c>
      <c r="N1532" s="0" t="s">
        <v>172</v>
      </c>
      <c r="O1532" s="0" t="s">
        <v>2527</v>
      </c>
      <c r="P1532" s="0" t="s">
        <v>5770</v>
      </c>
      <c r="Q1532" s="0" t="n">
        <v>30</v>
      </c>
      <c r="R1532" s="0" t="n">
        <v>30</v>
      </c>
      <c r="T1532" s="0" t="s">
        <v>5788</v>
      </c>
      <c r="U1532" s="0" t="s">
        <v>4209</v>
      </c>
      <c r="V1532" s="0" t="s">
        <v>87</v>
      </c>
      <c r="W1532" s="0" t="s">
        <v>4210</v>
      </c>
      <c r="X1532" s="0" t="s">
        <v>5772</v>
      </c>
      <c r="Y1532" s="0" t="s">
        <v>4212</v>
      </c>
      <c r="Z1532" s="0" t="s">
        <v>4160</v>
      </c>
      <c r="AA1532" s="0" t="s">
        <v>5789</v>
      </c>
      <c r="AB1532" s="0" t="s">
        <v>5774</v>
      </c>
      <c r="AC1532" s="0" t="s">
        <v>4162</v>
      </c>
      <c r="AD1532" s="0" t="s">
        <v>4163</v>
      </c>
      <c r="AE1532" s="0" t="s">
        <v>4164</v>
      </c>
      <c r="AF1532" s="0" t="s">
        <v>5775</v>
      </c>
      <c r="AH1532" s="0" t="s">
        <v>2239</v>
      </c>
      <c r="AL1532" s="0" t="s">
        <v>539</v>
      </c>
    </row>
    <row r="1533" customFormat="false" ht="15" hidden="false" customHeight="false" outlineLevel="0" collapsed="false">
      <c r="A1533" s="0" t="s">
        <v>1252</v>
      </c>
      <c r="B1533" s="0" t="s">
        <v>169</v>
      </c>
      <c r="C1533" s="0" t="s">
        <v>4695</v>
      </c>
      <c r="D1533" s="0" t="n">
        <v>2016</v>
      </c>
      <c r="E1533" s="0" t="s">
        <v>63</v>
      </c>
      <c r="F1533" s="0" t="n">
        <v>-11713968</v>
      </c>
      <c r="G1533" s="0" t="s">
        <v>3067</v>
      </c>
      <c r="H1533" s="0" t="s">
        <v>3068</v>
      </c>
      <c r="I1533" s="0" t="n">
        <v>11713.968</v>
      </c>
      <c r="J1533" s="0" t="s">
        <v>4155</v>
      </c>
      <c r="K1533" s="0" t="s">
        <v>2720</v>
      </c>
      <c r="L1533" s="0" t="n">
        <v>2016</v>
      </c>
      <c r="M1533" s="0" t="s">
        <v>2166</v>
      </c>
      <c r="N1533" s="0" t="s">
        <v>172</v>
      </c>
      <c r="O1533" s="0" t="s">
        <v>2527</v>
      </c>
      <c r="P1533" s="0" t="s">
        <v>5770</v>
      </c>
      <c r="Q1533" s="0" t="n">
        <v>29</v>
      </c>
      <c r="R1533" s="0" t="n">
        <v>29</v>
      </c>
      <c r="S1533" s="0" t="n">
        <v>11</v>
      </c>
      <c r="T1533" s="0" t="s">
        <v>4374</v>
      </c>
      <c r="U1533" s="0" t="s">
        <v>4209</v>
      </c>
      <c r="V1533" s="0" t="s">
        <v>87</v>
      </c>
      <c r="W1533" s="0" t="s">
        <v>5790</v>
      </c>
      <c r="X1533" s="0" t="s">
        <v>5779</v>
      </c>
      <c r="Y1533" s="0" t="s">
        <v>4212</v>
      </c>
      <c r="Z1533" s="0" t="s">
        <v>4160</v>
      </c>
      <c r="AA1533" s="0" t="s">
        <v>5791</v>
      </c>
      <c r="AB1533" s="0" t="s">
        <v>5774</v>
      </c>
      <c r="AC1533" s="0" t="s">
        <v>4162</v>
      </c>
      <c r="AD1533" s="0" t="s">
        <v>4163</v>
      </c>
      <c r="AE1533" s="0" t="s">
        <v>4164</v>
      </c>
      <c r="AF1533" s="0" t="s">
        <v>5781</v>
      </c>
      <c r="AH1533" s="0" t="s">
        <v>4174</v>
      </c>
      <c r="AI1533" s="0" t="s">
        <v>4829</v>
      </c>
      <c r="AL1533" s="0" t="s">
        <v>539</v>
      </c>
    </row>
    <row r="1534" customFormat="false" ht="15" hidden="false" customHeight="false" outlineLevel="0" collapsed="false">
      <c r="A1534" s="0" t="s">
        <v>1249</v>
      </c>
      <c r="B1534" s="0" t="s">
        <v>169</v>
      </c>
      <c r="C1534" s="0" t="s">
        <v>4695</v>
      </c>
      <c r="D1534" s="0" t="n">
        <v>2016</v>
      </c>
      <c r="E1534" s="0" t="s">
        <v>60</v>
      </c>
      <c r="F1534" s="0" t="n">
        <v>476713163</v>
      </c>
      <c r="G1534" s="0" t="s">
        <v>3067</v>
      </c>
      <c r="H1534" s="0" t="s">
        <v>3068</v>
      </c>
      <c r="I1534" s="0" t="n">
        <v>476713.163</v>
      </c>
      <c r="J1534" s="0" t="s">
        <v>4155</v>
      </c>
      <c r="K1534" s="0" t="s">
        <v>2720</v>
      </c>
      <c r="L1534" s="0" t="n">
        <v>2016</v>
      </c>
      <c r="M1534" s="0" t="s">
        <v>2166</v>
      </c>
      <c r="N1534" s="0" t="s">
        <v>172</v>
      </c>
      <c r="O1534" s="0" t="s">
        <v>2527</v>
      </c>
      <c r="P1534" s="0" t="s">
        <v>5770</v>
      </c>
      <c r="Q1534" s="0" t="n">
        <v>68</v>
      </c>
      <c r="R1534" s="0" t="n">
        <v>68</v>
      </c>
      <c r="S1534" s="0" t="n">
        <v>20</v>
      </c>
      <c r="T1534" s="0" t="s">
        <v>4859</v>
      </c>
      <c r="U1534" s="0" t="s">
        <v>4209</v>
      </c>
      <c r="V1534" s="0" t="s">
        <v>87</v>
      </c>
      <c r="W1534" s="0" t="s">
        <v>5792</v>
      </c>
      <c r="X1534" s="0" t="s">
        <v>5793</v>
      </c>
      <c r="Y1534" s="0" t="s">
        <v>4159</v>
      </c>
      <c r="Z1534" s="0" t="s">
        <v>4160</v>
      </c>
      <c r="AA1534" s="0" t="s">
        <v>5794</v>
      </c>
      <c r="AB1534" s="0" t="s">
        <v>5774</v>
      </c>
      <c r="AC1534" s="0" t="s">
        <v>4162</v>
      </c>
      <c r="AD1534" s="0" t="s">
        <v>4163</v>
      </c>
      <c r="AE1534" s="0" t="s">
        <v>4164</v>
      </c>
      <c r="AF1534" s="0" t="s">
        <v>5795</v>
      </c>
      <c r="AH1534" s="0" t="s">
        <v>2239</v>
      </c>
      <c r="AL1534" s="0" t="s">
        <v>523</v>
      </c>
    </row>
    <row r="1535" customFormat="false" ht="15" hidden="false" customHeight="false" outlineLevel="0" collapsed="false">
      <c r="A1535" s="0" t="s">
        <v>1259</v>
      </c>
      <c r="B1535" s="0" t="s">
        <v>169</v>
      </c>
      <c r="C1535" s="0" t="s">
        <v>4695</v>
      </c>
      <c r="D1535" s="0" t="n">
        <v>2016</v>
      </c>
      <c r="E1535" s="0" t="s">
        <v>543</v>
      </c>
      <c r="F1535" s="0" t="n">
        <v>-4187291</v>
      </c>
      <c r="G1535" s="0" t="s">
        <v>3067</v>
      </c>
      <c r="H1535" s="0" t="s">
        <v>3068</v>
      </c>
      <c r="I1535" s="0" t="n">
        <v>4187.291</v>
      </c>
      <c r="J1535" s="0" t="s">
        <v>4155</v>
      </c>
      <c r="K1535" s="0" t="s">
        <v>2720</v>
      </c>
      <c r="L1535" s="0" t="n">
        <v>2016</v>
      </c>
      <c r="M1535" s="0" t="s">
        <v>2166</v>
      </c>
      <c r="N1535" s="0" t="s">
        <v>172</v>
      </c>
      <c r="O1535" s="0" t="s">
        <v>2527</v>
      </c>
      <c r="P1535" s="0" t="s">
        <v>5770</v>
      </c>
      <c r="Q1535" s="0" t="n">
        <v>68</v>
      </c>
      <c r="R1535" s="0" t="n">
        <v>68</v>
      </c>
      <c r="S1535" s="0" t="s">
        <v>5796</v>
      </c>
      <c r="T1535" s="0" t="s">
        <v>4859</v>
      </c>
      <c r="U1535" s="0" t="s">
        <v>4209</v>
      </c>
      <c r="V1535" s="0" t="s">
        <v>87</v>
      </c>
      <c r="W1535" s="0" t="s">
        <v>5797</v>
      </c>
      <c r="X1535" s="0" t="s">
        <v>5793</v>
      </c>
      <c r="Y1535" s="0" t="s">
        <v>4159</v>
      </c>
      <c r="Z1535" s="0" t="s">
        <v>4160</v>
      </c>
      <c r="AA1535" s="0" t="s">
        <v>5798</v>
      </c>
      <c r="AB1535" s="0" t="s">
        <v>5774</v>
      </c>
      <c r="AC1535" s="0" t="s">
        <v>4162</v>
      </c>
      <c r="AD1535" s="0" t="s">
        <v>4163</v>
      </c>
      <c r="AE1535" s="0" t="s">
        <v>4164</v>
      </c>
      <c r="AF1535" s="0" t="s">
        <v>5795</v>
      </c>
      <c r="AH1535" s="0" t="s">
        <v>4174</v>
      </c>
      <c r="AI1535" s="0" t="s">
        <v>4837</v>
      </c>
      <c r="AL1535" s="0" t="s">
        <v>523</v>
      </c>
    </row>
    <row r="1536" customFormat="false" ht="15" hidden="false" customHeight="false" outlineLevel="0" collapsed="false">
      <c r="A1536" s="0" t="s">
        <v>1260</v>
      </c>
      <c r="B1536" s="0" t="s">
        <v>169</v>
      </c>
      <c r="C1536" s="0" t="s">
        <v>4695</v>
      </c>
      <c r="D1536" s="0" t="n">
        <v>2016</v>
      </c>
      <c r="E1536" s="0" t="s">
        <v>545</v>
      </c>
      <c r="F1536" s="0" t="n">
        <v>-4276002</v>
      </c>
      <c r="G1536" s="0" t="s">
        <v>3067</v>
      </c>
      <c r="H1536" s="0" t="s">
        <v>3068</v>
      </c>
      <c r="I1536" s="0" t="n">
        <v>4276.002</v>
      </c>
      <c r="J1536" s="0" t="s">
        <v>4155</v>
      </c>
      <c r="K1536" s="0" t="s">
        <v>2720</v>
      </c>
      <c r="L1536" s="0" t="n">
        <v>2016</v>
      </c>
      <c r="M1536" s="0" t="s">
        <v>2166</v>
      </c>
      <c r="N1536" s="0" t="s">
        <v>172</v>
      </c>
      <c r="O1536" s="0" t="s">
        <v>2527</v>
      </c>
      <c r="P1536" s="0" t="s">
        <v>5770</v>
      </c>
      <c r="Q1536" s="0" t="n">
        <v>68</v>
      </c>
      <c r="R1536" s="0" t="n">
        <v>68</v>
      </c>
      <c r="S1536" s="0" t="s">
        <v>5799</v>
      </c>
      <c r="T1536" s="0" t="s">
        <v>4859</v>
      </c>
      <c r="U1536" s="0" t="s">
        <v>4209</v>
      </c>
      <c r="V1536" s="0" t="s">
        <v>87</v>
      </c>
      <c r="W1536" s="0" t="s">
        <v>5800</v>
      </c>
      <c r="X1536" s="0" t="s">
        <v>5793</v>
      </c>
      <c r="Y1536" s="0" t="s">
        <v>4159</v>
      </c>
      <c r="Z1536" s="0" t="s">
        <v>4160</v>
      </c>
      <c r="AA1536" s="0" t="s">
        <v>5801</v>
      </c>
      <c r="AB1536" s="0" t="s">
        <v>5774</v>
      </c>
      <c r="AC1536" s="0" t="s">
        <v>4162</v>
      </c>
      <c r="AD1536" s="0" t="s">
        <v>4163</v>
      </c>
      <c r="AE1536" s="0" t="s">
        <v>4164</v>
      </c>
      <c r="AF1536" s="0" t="s">
        <v>5795</v>
      </c>
      <c r="AH1536" s="0" t="s">
        <v>4174</v>
      </c>
      <c r="AI1536" s="0" t="s">
        <v>4837</v>
      </c>
      <c r="AL1536" s="0" t="s">
        <v>523</v>
      </c>
    </row>
    <row r="1537" customFormat="false" ht="15" hidden="false" customHeight="false" outlineLevel="0" collapsed="false">
      <c r="A1537" s="0" t="s">
        <v>1251</v>
      </c>
      <c r="B1537" s="0" t="s">
        <v>169</v>
      </c>
      <c r="C1537" s="0" t="s">
        <v>4695</v>
      </c>
      <c r="D1537" s="0" t="n">
        <v>2016</v>
      </c>
      <c r="E1537" s="0" t="s">
        <v>62</v>
      </c>
      <c r="F1537" s="0" t="n">
        <v>468249870</v>
      </c>
      <c r="G1537" s="0" t="s">
        <v>3067</v>
      </c>
      <c r="H1537" s="0" t="s">
        <v>3068</v>
      </c>
      <c r="I1537" s="0" t="n">
        <v>468249.87</v>
      </c>
      <c r="J1537" s="0" t="s">
        <v>4155</v>
      </c>
      <c r="K1537" s="0" t="s">
        <v>2720</v>
      </c>
      <c r="L1537" s="0" t="n">
        <v>2016</v>
      </c>
      <c r="M1537" s="0" t="s">
        <v>2166</v>
      </c>
      <c r="N1537" s="0" t="s">
        <v>172</v>
      </c>
      <c r="O1537" s="0" t="s">
        <v>2527</v>
      </c>
      <c r="P1537" s="0" t="s">
        <v>5770</v>
      </c>
      <c r="Q1537" s="0" t="n">
        <v>68</v>
      </c>
      <c r="R1537" s="0" t="n">
        <v>68</v>
      </c>
      <c r="S1537" s="0" t="n">
        <v>20</v>
      </c>
      <c r="T1537" s="0" t="s">
        <v>4859</v>
      </c>
      <c r="U1537" s="0" t="s">
        <v>4209</v>
      </c>
      <c r="V1537" s="0" t="s">
        <v>87</v>
      </c>
      <c r="W1537" s="0" t="s">
        <v>5802</v>
      </c>
      <c r="X1537" s="0" t="s">
        <v>5793</v>
      </c>
      <c r="Y1537" s="0" t="s">
        <v>4159</v>
      </c>
      <c r="Z1537" s="0" t="s">
        <v>4160</v>
      </c>
      <c r="AA1537" s="0" t="s">
        <v>5803</v>
      </c>
      <c r="AB1537" s="0" t="s">
        <v>5774</v>
      </c>
      <c r="AC1537" s="0" t="s">
        <v>4162</v>
      </c>
      <c r="AD1537" s="0" t="s">
        <v>4163</v>
      </c>
      <c r="AE1537" s="0" t="s">
        <v>4164</v>
      </c>
      <c r="AF1537" s="0" t="s">
        <v>5795</v>
      </c>
      <c r="AH1537" s="0" t="s">
        <v>2239</v>
      </c>
      <c r="AL1537" s="0" t="s">
        <v>523</v>
      </c>
    </row>
    <row r="1538" customFormat="false" ht="15" hidden="false" customHeight="false" outlineLevel="0" collapsed="false">
      <c r="A1538" s="0" t="s">
        <v>1255</v>
      </c>
      <c r="B1538" s="0" t="s">
        <v>169</v>
      </c>
      <c r="C1538" s="0" t="s">
        <v>4695</v>
      </c>
      <c r="D1538" s="0" t="n">
        <v>2016</v>
      </c>
      <c r="E1538" s="0" t="s">
        <v>65</v>
      </c>
      <c r="F1538" s="0" t="n">
        <v>72046139</v>
      </c>
      <c r="G1538" s="0" t="s">
        <v>3067</v>
      </c>
      <c r="H1538" s="0" t="s">
        <v>3068</v>
      </c>
      <c r="I1538" s="0" t="n">
        <v>72046.139</v>
      </c>
      <c r="J1538" s="0" t="s">
        <v>4155</v>
      </c>
      <c r="K1538" s="0" t="s">
        <v>2720</v>
      </c>
      <c r="L1538" s="0" t="n">
        <v>2016</v>
      </c>
      <c r="M1538" s="0" t="s">
        <v>2166</v>
      </c>
      <c r="N1538" s="0" t="s">
        <v>172</v>
      </c>
      <c r="O1538" s="0" t="s">
        <v>2527</v>
      </c>
      <c r="P1538" s="0" t="s">
        <v>5770</v>
      </c>
      <c r="Q1538" s="0" t="n">
        <v>128</v>
      </c>
      <c r="R1538" s="0" t="n">
        <v>128</v>
      </c>
      <c r="S1538" s="0" t="s">
        <v>5596</v>
      </c>
      <c r="T1538" s="0" t="s">
        <v>4859</v>
      </c>
      <c r="U1538" s="0" t="s">
        <v>4209</v>
      </c>
      <c r="V1538" s="0" t="s">
        <v>87</v>
      </c>
      <c r="W1538" s="0" t="s">
        <v>5804</v>
      </c>
      <c r="X1538" s="0" t="s">
        <v>5805</v>
      </c>
      <c r="Y1538" s="0" t="s">
        <v>4159</v>
      </c>
      <c r="Z1538" s="0" t="s">
        <v>4160</v>
      </c>
      <c r="AA1538" s="0" t="s">
        <v>5806</v>
      </c>
      <c r="AB1538" s="0" t="s">
        <v>5774</v>
      </c>
      <c r="AC1538" s="0" t="s">
        <v>4162</v>
      </c>
      <c r="AD1538" s="0" t="s">
        <v>4163</v>
      </c>
      <c r="AE1538" s="0" t="s">
        <v>4164</v>
      </c>
      <c r="AF1538" s="0" t="s">
        <v>5795</v>
      </c>
      <c r="AH1538" s="0" t="s">
        <v>2239</v>
      </c>
      <c r="AL1538" s="0" t="s">
        <v>523</v>
      </c>
    </row>
    <row r="1539" customFormat="false" ht="15" hidden="false" customHeight="false" outlineLevel="0" collapsed="false">
      <c r="A1539" s="0" t="s">
        <v>1256</v>
      </c>
      <c r="B1539" s="0" t="s">
        <v>169</v>
      </c>
      <c r="C1539" s="0" t="s">
        <v>4695</v>
      </c>
      <c r="D1539" s="0" t="n">
        <v>2016</v>
      </c>
      <c r="E1539" s="0" t="s">
        <v>66</v>
      </c>
      <c r="F1539" s="0" t="n">
        <v>675917677</v>
      </c>
      <c r="G1539" s="0" t="s">
        <v>3067</v>
      </c>
      <c r="H1539" s="0" t="s">
        <v>3068</v>
      </c>
      <c r="I1539" s="0" t="n">
        <v>675917.677</v>
      </c>
      <c r="J1539" s="0" t="s">
        <v>4155</v>
      </c>
      <c r="K1539" s="0" t="s">
        <v>2720</v>
      </c>
      <c r="L1539" s="0" t="n">
        <v>2016</v>
      </c>
      <c r="M1539" s="0" t="s">
        <v>2166</v>
      </c>
      <c r="N1539" s="0" t="s">
        <v>172</v>
      </c>
      <c r="O1539" s="0" t="s">
        <v>2527</v>
      </c>
      <c r="P1539" s="0" t="s">
        <v>5770</v>
      </c>
      <c r="Q1539" s="0" t="n">
        <v>128</v>
      </c>
      <c r="R1539" s="0" t="n">
        <v>128</v>
      </c>
      <c r="S1539" s="0" t="s">
        <v>5596</v>
      </c>
      <c r="T1539" s="0" t="s">
        <v>4859</v>
      </c>
      <c r="U1539" s="0" t="s">
        <v>4209</v>
      </c>
      <c r="V1539" s="0" t="s">
        <v>87</v>
      </c>
      <c r="W1539" s="0" t="s">
        <v>5807</v>
      </c>
      <c r="X1539" s="0" t="s">
        <v>5805</v>
      </c>
      <c r="Y1539" s="0" t="s">
        <v>4159</v>
      </c>
      <c r="Z1539" s="0" t="s">
        <v>4160</v>
      </c>
      <c r="AA1539" s="0" t="s">
        <v>5808</v>
      </c>
      <c r="AB1539" s="0" t="s">
        <v>5774</v>
      </c>
      <c r="AC1539" s="0" t="s">
        <v>4162</v>
      </c>
      <c r="AD1539" s="0" t="s">
        <v>4163</v>
      </c>
      <c r="AE1539" s="0" t="s">
        <v>4164</v>
      </c>
      <c r="AF1539" s="0" t="s">
        <v>5795</v>
      </c>
      <c r="AH1539" s="0" t="s">
        <v>2239</v>
      </c>
      <c r="AL1539" s="0" t="s">
        <v>523</v>
      </c>
    </row>
    <row r="1540" customFormat="false" ht="15" hidden="false" customHeight="false" outlineLevel="0" collapsed="false">
      <c r="A1540" s="0" t="s">
        <v>1253</v>
      </c>
      <c r="B1540" s="0" t="s">
        <v>169</v>
      </c>
      <c r="C1540" s="0" t="s">
        <v>4695</v>
      </c>
      <c r="D1540" s="0" t="n">
        <v>2016</v>
      </c>
      <c r="E1540" s="0" t="s">
        <v>69</v>
      </c>
      <c r="F1540" s="0" t="s">
        <v>5809</v>
      </c>
      <c r="G1540" s="0" t="s">
        <v>3143</v>
      </c>
      <c r="I1540" s="0" t="n">
        <v>10.66</v>
      </c>
      <c r="J1540" s="0" t="s">
        <v>4155</v>
      </c>
      <c r="K1540" s="0" t="s">
        <v>2720</v>
      </c>
      <c r="L1540" s="0" t="n">
        <v>2016</v>
      </c>
      <c r="M1540" s="0" t="s">
        <v>2166</v>
      </c>
      <c r="N1540" s="0" t="s">
        <v>172</v>
      </c>
      <c r="O1540" s="0" t="s">
        <v>2527</v>
      </c>
      <c r="P1540" s="0" t="s">
        <v>5770</v>
      </c>
      <c r="Q1540" s="0" t="n">
        <v>128</v>
      </c>
      <c r="R1540" s="0" t="n">
        <v>128</v>
      </c>
      <c r="S1540" s="0" t="s">
        <v>5596</v>
      </c>
      <c r="T1540" s="0" t="s">
        <v>4859</v>
      </c>
      <c r="U1540" s="0" t="s">
        <v>4209</v>
      </c>
      <c r="V1540" s="0" t="s">
        <v>87</v>
      </c>
      <c r="W1540" s="0" t="s">
        <v>5810</v>
      </c>
      <c r="X1540" s="0" t="s">
        <v>5805</v>
      </c>
      <c r="Y1540" s="0" t="s">
        <v>4159</v>
      </c>
      <c r="Z1540" s="0" t="s">
        <v>4160</v>
      </c>
      <c r="AA1540" s="0" t="s">
        <v>5811</v>
      </c>
      <c r="AB1540" s="0" t="s">
        <v>5774</v>
      </c>
      <c r="AC1540" s="0" t="s">
        <v>4162</v>
      </c>
      <c r="AD1540" s="0" t="s">
        <v>4163</v>
      </c>
      <c r="AE1540" s="0" t="s">
        <v>4164</v>
      </c>
      <c r="AF1540" s="0" t="s">
        <v>5795</v>
      </c>
      <c r="AH1540" s="0" t="s">
        <v>2239</v>
      </c>
      <c r="AL1540" s="0" t="s">
        <v>523</v>
      </c>
    </row>
    <row r="1541" customFormat="false" ht="15" hidden="false" customHeight="false" outlineLevel="0" collapsed="false">
      <c r="A1541" s="0" t="s">
        <v>1254</v>
      </c>
      <c r="B1541" s="0" t="s">
        <v>169</v>
      </c>
      <c r="C1541" s="0" t="s">
        <v>4695</v>
      </c>
      <c r="D1541" s="0" t="n">
        <v>2016</v>
      </c>
      <c r="E1541" s="0" t="s">
        <v>70</v>
      </c>
      <c r="F1541" s="0" t="s">
        <v>4299</v>
      </c>
      <c r="G1541" s="0" t="s">
        <v>3143</v>
      </c>
      <c r="I1541" s="0" t="n">
        <v>10</v>
      </c>
      <c r="J1541" s="0" t="s">
        <v>4155</v>
      </c>
      <c r="K1541" s="0" t="s">
        <v>2720</v>
      </c>
      <c r="L1541" s="0" t="n">
        <v>2016</v>
      </c>
      <c r="M1541" s="0" t="s">
        <v>2166</v>
      </c>
      <c r="N1541" s="0" t="s">
        <v>172</v>
      </c>
      <c r="O1541" s="0" t="s">
        <v>2527</v>
      </c>
      <c r="P1541" s="0" t="s">
        <v>5770</v>
      </c>
      <c r="Q1541" s="0" t="n">
        <v>128</v>
      </c>
      <c r="R1541" s="0" t="n">
        <v>128</v>
      </c>
      <c r="S1541" s="0" t="s">
        <v>5596</v>
      </c>
      <c r="T1541" s="0" t="s">
        <v>5812</v>
      </c>
      <c r="U1541" s="0" t="s">
        <v>4209</v>
      </c>
      <c r="V1541" s="0" t="s">
        <v>87</v>
      </c>
      <c r="W1541" s="0" t="s">
        <v>5813</v>
      </c>
      <c r="X1541" s="0" t="s">
        <v>5805</v>
      </c>
      <c r="Y1541" s="0" t="s">
        <v>4159</v>
      </c>
      <c r="Z1541" s="0" t="s">
        <v>4160</v>
      </c>
      <c r="AA1541" s="0" t="s">
        <v>5814</v>
      </c>
      <c r="AB1541" s="0" t="s">
        <v>5774</v>
      </c>
      <c r="AC1541" s="0" t="s">
        <v>4162</v>
      </c>
      <c r="AD1541" s="0" t="s">
        <v>4163</v>
      </c>
      <c r="AE1541" s="0" t="s">
        <v>4164</v>
      </c>
      <c r="AF1541" s="0" t="s">
        <v>5815</v>
      </c>
      <c r="AH1541" s="0" t="s">
        <v>2239</v>
      </c>
      <c r="AL1541" s="0" t="s">
        <v>523</v>
      </c>
    </row>
    <row r="1542" customFormat="false" ht="15" hidden="false" customHeight="false" outlineLevel="0" collapsed="false">
      <c r="A1542" s="0" t="s">
        <v>1257</v>
      </c>
      <c r="B1542" s="0" t="s">
        <v>169</v>
      </c>
      <c r="C1542" s="0" t="s">
        <v>4695</v>
      </c>
      <c r="D1542" s="0" t="n">
        <v>2016</v>
      </c>
      <c r="E1542" s="0" t="s">
        <v>73</v>
      </c>
      <c r="F1542" s="0" t="n">
        <v>0</v>
      </c>
      <c r="G1542" s="0" t="s">
        <v>4257</v>
      </c>
      <c r="I1542" s="0" t="n">
        <v>0</v>
      </c>
      <c r="J1542" s="0" t="s">
        <v>5816</v>
      </c>
      <c r="K1542" s="0" t="s">
        <v>2720</v>
      </c>
      <c r="L1542" s="0" t="n">
        <v>2016</v>
      </c>
      <c r="M1542" s="0" t="s">
        <v>2166</v>
      </c>
      <c r="N1542" s="0" t="s">
        <v>172</v>
      </c>
      <c r="O1542" s="0" t="s">
        <v>2527</v>
      </c>
      <c r="P1542" s="0" t="s">
        <v>5770</v>
      </c>
      <c r="Q1542" s="0" t="n">
        <v>24</v>
      </c>
      <c r="R1542" s="0" t="n">
        <v>24</v>
      </c>
      <c r="T1542" s="0" t="s">
        <v>5817</v>
      </c>
      <c r="U1542" s="0" t="s">
        <v>4209</v>
      </c>
      <c r="V1542" s="0" t="s">
        <v>87</v>
      </c>
      <c r="W1542" s="0" t="s">
        <v>4803</v>
      </c>
      <c r="X1542" s="0" t="s">
        <v>5818</v>
      </c>
      <c r="Y1542" s="0" t="s">
        <v>4212</v>
      </c>
      <c r="Z1542" s="0" t="s">
        <v>4160</v>
      </c>
      <c r="AA1542" s="0" t="s">
        <v>5819</v>
      </c>
      <c r="AB1542" s="0" t="s">
        <v>5774</v>
      </c>
      <c r="AC1542" s="0" t="s">
        <v>4162</v>
      </c>
      <c r="AD1542" s="0" t="s">
        <v>4163</v>
      </c>
      <c r="AE1542" s="0" t="s">
        <v>4164</v>
      </c>
      <c r="AF1542" s="0" t="s">
        <v>5820</v>
      </c>
      <c r="AG1542" s="0" t="s">
        <v>1828</v>
      </c>
      <c r="AH1542" s="0" t="s">
        <v>2239</v>
      </c>
      <c r="AL1542" s="0" t="s">
        <v>539</v>
      </c>
    </row>
    <row r="1543" customFormat="false" ht="15" hidden="false" customHeight="false" outlineLevel="0" collapsed="false">
      <c r="A1543" s="0" t="s">
        <v>1262</v>
      </c>
      <c r="B1543" s="0" t="s">
        <v>169</v>
      </c>
      <c r="C1543" s="0" t="s">
        <v>4695</v>
      </c>
      <c r="D1543" s="0" t="n">
        <v>2017</v>
      </c>
      <c r="E1543" s="0" t="s">
        <v>55</v>
      </c>
      <c r="F1543" s="0" t="n">
        <v>1068798</v>
      </c>
      <c r="G1543" s="0" t="s">
        <v>3101</v>
      </c>
      <c r="H1543" s="0" t="s">
        <v>3068</v>
      </c>
      <c r="I1543" s="0" t="n">
        <v>1068798</v>
      </c>
      <c r="J1543" s="0" t="s">
        <v>4155</v>
      </c>
      <c r="K1543" s="0" t="s">
        <v>2721</v>
      </c>
      <c r="L1543" s="0" t="n">
        <v>2017</v>
      </c>
      <c r="M1543" s="0" t="s">
        <v>2175</v>
      </c>
      <c r="N1543" s="0" t="s">
        <v>173</v>
      </c>
      <c r="O1543" s="0" t="s">
        <v>2529</v>
      </c>
      <c r="P1543" s="0" t="s">
        <v>5821</v>
      </c>
      <c r="Q1543" s="0" t="n">
        <v>30</v>
      </c>
      <c r="R1543" s="0" t="n">
        <v>30</v>
      </c>
      <c r="T1543" s="0" t="s">
        <v>5822</v>
      </c>
      <c r="U1543" s="0" t="s">
        <v>4396</v>
      </c>
      <c r="V1543" s="0" t="s">
        <v>89</v>
      </c>
      <c r="W1543" s="0" t="s">
        <v>4210</v>
      </c>
      <c r="X1543" s="0" t="s">
        <v>5823</v>
      </c>
      <c r="Y1543" s="0" t="s">
        <v>4212</v>
      </c>
      <c r="Z1543" s="0" t="s">
        <v>4160</v>
      </c>
      <c r="AA1543" s="0" t="s">
        <v>5824</v>
      </c>
      <c r="AB1543" s="0" t="s">
        <v>5825</v>
      </c>
      <c r="AC1543" s="0" t="s">
        <v>4162</v>
      </c>
      <c r="AD1543" s="0" t="s">
        <v>4163</v>
      </c>
      <c r="AE1543" s="0" t="s">
        <v>4164</v>
      </c>
      <c r="AF1543" s="0" t="s">
        <v>5826</v>
      </c>
      <c r="AH1543" s="0" t="s">
        <v>2239</v>
      </c>
      <c r="AL1543" s="0" t="s">
        <v>539</v>
      </c>
    </row>
    <row r="1544" customFormat="false" ht="15" hidden="false" customHeight="false" outlineLevel="0" collapsed="false">
      <c r="A1544" s="0" t="s">
        <v>1263</v>
      </c>
      <c r="B1544" s="0" t="s">
        <v>169</v>
      </c>
      <c r="C1544" s="0" t="s">
        <v>4695</v>
      </c>
      <c r="D1544" s="0" t="n">
        <v>2017</v>
      </c>
      <c r="E1544" s="0" t="s">
        <v>56</v>
      </c>
      <c r="F1544" s="0" t="n">
        <v>965905</v>
      </c>
      <c r="G1544" s="0" t="s">
        <v>3101</v>
      </c>
      <c r="H1544" s="0" t="s">
        <v>3068</v>
      </c>
      <c r="I1544" s="0" t="n">
        <v>965905</v>
      </c>
      <c r="J1544" s="0" t="s">
        <v>4155</v>
      </c>
      <c r="K1544" s="0" t="s">
        <v>2721</v>
      </c>
      <c r="L1544" s="0" t="n">
        <v>2017</v>
      </c>
      <c r="M1544" s="0" t="s">
        <v>2175</v>
      </c>
      <c r="N1544" s="0" t="s">
        <v>173</v>
      </c>
      <c r="O1544" s="0" t="s">
        <v>2529</v>
      </c>
      <c r="P1544" s="0" t="s">
        <v>5821</v>
      </c>
      <c r="Q1544" s="0" t="n">
        <v>30</v>
      </c>
      <c r="R1544" s="0" t="n">
        <v>30</v>
      </c>
      <c r="T1544" s="0" t="s">
        <v>5822</v>
      </c>
      <c r="U1544" s="0" t="s">
        <v>4396</v>
      </c>
      <c r="V1544" s="0" t="s">
        <v>89</v>
      </c>
      <c r="W1544" s="0" t="s">
        <v>4216</v>
      </c>
      <c r="X1544" s="0" t="s">
        <v>5823</v>
      </c>
      <c r="Y1544" s="0" t="s">
        <v>4212</v>
      </c>
      <c r="Z1544" s="0" t="s">
        <v>4160</v>
      </c>
      <c r="AA1544" s="0" t="s">
        <v>5827</v>
      </c>
      <c r="AB1544" s="0" t="s">
        <v>5825</v>
      </c>
      <c r="AC1544" s="0" t="s">
        <v>4162</v>
      </c>
      <c r="AD1544" s="0" t="s">
        <v>4163</v>
      </c>
      <c r="AE1544" s="0" t="s">
        <v>4164</v>
      </c>
      <c r="AF1544" s="0" t="s">
        <v>5826</v>
      </c>
      <c r="AH1544" s="0" t="s">
        <v>2239</v>
      </c>
      <c r="AL1544" s="0" t="s">
        <v>539</v>
      </c>
    </row>
    <row r="1545" customFormat="false" ht="15" hidden="false" customHeight="false" outlineLevel="0" collapsed="false">
      <c r="A1545" s="0" t="s">
        <v>1264</v>
      </c>
      <c r="B1545" s="0" t="s">
        <v>169</v>
      </c>
      <c r="C1545" s="0" t="s">
        <v>4695</v>
      </c>
      <c r="D1545" s="0" t="n">
        <v>2017</v>
      </c>
      <c r="E1545" s="0" t="s">
        <v>57</v>
      </c>
      <c r="F1545" s="0" t="n">
        <v>102893</v>
      </c>
      <c r="G1545" s="0" t="s">
        <v>3101</v>
      </c>
      <c r="H1545" s="0" t="s">
        <v>3068</v>
      </c>
      <c r="I1545" s="0" t="n">
        <v>102893</v>
      </c>
      <c r="J1545" s="0" t="s">
        <v>4155</v>
      </c>
      <c r="K1545" s="0" t="s">
        <v>2721</v>
      </c>
      <c r="L1545" s="0" t="n">
        <v>2017</v>
      </c>
      <c r="M1545" s="0" t="s">
        <v>2175</v>
      </c>
      <c r="N1545" s="0" t="s">
        <v>173</v>
      </c>
      <c r="O1545" s="0" t="s">
        <v>2529</v>
      </c>
      <c r="P1545" s="0" t="s">
        <v>5821</v>
      </c>
      <c r="Q1545" s="0" t="n">
        <v>30</v>
      </c>
      <c r="R1545" s="0" t="n">
        <v>30</v>
      </c>
      <c r="T1545" s="0" t="s">
        <v>5822</v>
      </c>
      <c r="U1545" s="0" t="s">
        <v>4396</v>
      </c>
      <c r="V1545" s="0" t="s">
        <v>89</v>
      </c>
      <c r="W1545" s="0" t="s">
        <v>4864</v>
      </c>
      <c r="X1545" s="0" t="s">
        <v>5823</v>
      </c>
      <c r="Y1545" s="0" t="s">
        <v>4212</v>
      </c>
      <c r="Z1545" s="0" t="s">
        <v>4160</v>
      </c>
      <c r="AA1545" s="0" t="s">
        <v>5828</v>
      </c>
      <c r="AB1545" s="0" t="s">
        <v>5825</v>
      </c>
      <c r="AC1545" s="0" t="s">
        <v>4162</v>
      </c>
      <c r="AD1545" s="0" t="s">
        <v>4163</v>
      </c>
      <c r="AE1545" s="0" t="s">
        <v>4164</v>
      </c>
      <c r="AF1545" s="0" t="s">
        <v>5826</v>
      </c>
      <c r="AH1545" s="0" t="s">
        <v>2239</v>
      </c>
      <c r="AL1545" s="0" t="s">
        <v>539</v>
      </c>
    </row>
    <row r="1546" customFormat="false" ht="15" hidden="false" customHeight="false" outlineLevel="0" collapsed="false">
      <c r="A1546" s="0" t="s">
        <v>1266</v>
      </c>
      <c r="B1546" s="0" t="s">
        <v>169</v>
      </c>
      <c r="C1546" s="0" t="s">
        <v>4695</v>
      </c>
      <c r="D1546" s="0" t="n">
        <v>2017</v>
      </c>
      <c r="E1546" s="0" t="s">
        <v>59</v>
      </c>
      <c r="F1546" s="0" t="n">
        <v>830805</v>
      </c>
      <c r="G1546" s="0" t="s">
        <v>3101</v>
      </c>
      <c r="H1546" s="0" t="s">
        <v>3068</v>
      </c>
      <c r="I1546" s="0" t="n">
        <v>830805</v>
      </c>
      <c r="J1546" s="0" t="s">
        <v>4155</v>
      </c>
      <c r="K1546" s="0" t="s">
        <v>2721</v>
      </c>
      <c r="L1546" s="0" t="n">
        <v>2017</v>
      </c>
      <c r="M1546" s="0" t="s">
        <v>2175</v>
      </c>
      <c r="N1546" s="0" t="s">
        <v>173</v>
      </c>
      <c r="O1546" s="0" t="s">
        <v>2529</v>
      </c>
      <c r="P1546" s="0" t="s">
        <v>5821</v>
      </c>
      <c r="Q1546" s="0" t="n">
        <v>30</v>
      </c>
      <c r="R1546" s="0" t="n">
        <v>30</v>
      </c>
      <c r="T1546" s="0" t="s">
        <v>4367</v>
      </c>
      <c r="U1546" s="0" t="s">
        <v>4396</v>
      </c>
      <c r="V1546" s="0" t="s">
        <v>89</v>
      </c>
      <c r="W1546" s="0" t="s">
        <v>4210</v>
      </c>
      <c r="X1546" s="0" t="s">
        <v>5823</v>
      </c>
      <c r="Y1546" s="0" t="s">
        <v>4212</v>
      </c>
      <c r="Z1546" s="0" t="s">
        <v>4160</v>
      </c>
      <c r="AA1546" s="0" t="s">
        <v>5829</v>
      </c>
      <c r="AB1546" s="0" t="s">
        <v>5825</v>
      </c>
      <c r="AC1546" s="0" t="s">
        <v>4162</v>
      </c>
      <c r="AD1546" s="0" t="s">
        <v>4163</v>
      </c>
      <c r="AE1546" s="0" t="s">
        <v>4164</v>
      </c>
      <c r="AF1546" s="0" t="s">
        <v>5830</v>
      </c>
      <c r="AH1546" s="0" t="s">
        <v>2239</v>
      </c>
      <c r="AL1546" s="0" t="s">
        <v>539</v>
      </c>
    </row>
    <row r="1547" customFormat="false" ht="15" hidden="false" customHeight="false" outlineLevel="0" collapsed="false">
      <c r="A1547" s="0" t="s">
        <v>1261</v>
      </c>
      <c r="B1547" s="0" t="s">
        <v>169</v>
      </c>
      <c r="C1547" s="0" t="s">
        <v>4695</v>
      </c>
      <c r="D1547" s="0" t="n">
        <v>2017</v>
      </c>
      <c r="E1547" s="0" t="s">
        <v>54</v>
      </c>
      <c r="F1547" s="0" t="n">
        <v>8455</v>
      </c>
      <c r="G1547" s="0" t="s">
        <v>3101</v>
      </c>
      <c r="H1547" s="0" t="s">
        <v>3068</v>
      </c>
      <c r="I1547" s="0" t="n">
        <v>8455</v>
      </c>
      <c r="J1547" s="0" t="s">
        <v>4155</v>
      </c>
      <c r="K1547" s="0" t="s">
        <v>2721</v>
      </c>
      <c r="L1547" s="0" t="n">
        <v>2017</v>
      </c>
      <c r="M1547" s="0" t="s">
        <v>2175</v>
      </c>
      <c r="N1547" s="0" t="s">
        <v>173</v>
      </c>
      <c r="O1547" s="0" t="s">
        <v>2529</v>
      </c>
      <c r="P1547" s="0" t="s">
        <v>5821</v>
      </c>
      <c r="Q1547" s="0" t="n">
        <v>29</v>
      </c>
      <c r="R1547" s="0" t="n">
        <v>29</v>
      </c>
      <c r="T1547" s="0" t="s">
        <v>4904</v>
      </c>
      <c r="U1547" s="0" t="s">
        <v>4396</v>
      </c>
      <c r="V1547" s="0" t="s">
        <v>89</v>
      </c>
      <c r="W1547" s="0" t="s">
        <v>5831</v>
      </c>
      <c r="X1547" s="0" t="s">
        <v>5832</v>
      </c>
      <c r="Y1547" s="0" t="s">
        <v>4159</v>
      </c>
      <c r="Z1547" s="0" t="s">
        <v>4160</v>
      </c>
      <c r="AA1547" s="0" t="s">
        <v>5833</v>
      </c>
      <c r="AB1547" s="0" t="s">
        <v>5825</v>
      </c>
      <c r="AC1547" s="0" t="s">
        <v>4162</v>
      </c>
      <c r="AD1547" s="0" t="s">
        <v>4163</v>
      </c>
      <c r="AE1547" s="0" t="s">
        <v>4164</v>
      </c>
      <c r="AF1547" s="0" t="s">
        <v>5834</v>
      </c>
      <c r="AH1547" s="0" t="s">
        <v>2239</v>
      </c>
      <c r="AL1547" s="0" t="s">
        <v>523</v>
      </c>
    </row>
    <row r="1548" customFormat="false" ht="15" hidden="false" customHeight="false" outlineLevel="0" collapsed="false">
      <c r="A1548" s="0" t="s">
        <v>1276</v>
      </c>
      <c r="B1548" s="0" t="s">
        <v>169</v>
      </c>
      <c r="C1548" s="0" t="s">
        <v>4695</v>
      </c>
      <c r="D1548" s="0" t="n">
        <v>2017</v>
      </c>
      <c r="E1548" s="0" t="s">
        <v>541</v>
      </c>
      <c r="F1548" s="0" t="n">
        <v>8540</v>
      </c>
      <c r="G1548" s="0" t="s">
        <v>3101</v>
      </c>
      <c r="H1548" s="0" t="s">
        <v>3068</v>
      </c>
      <c r="I1548" s="0" t="n">
        <v>8540</v>
      </c>
      <c r="J1548" s="0" t="s">
        <v>4155</v>
      </c>
      <c r="K1548" s="0" t="s">
        <v>2721</v>
      </c>
      <c r="L1548" s="0" t="n">
        <v>2017</v>
      </c>
      <c r="M1548" s="0" t="s">
        <v>2175</v>
      </c>
      <c r="N1548" s="0" t="s">
        <v>173</v>
      </c>
      <c r="O1548" s="0" t="s">
        <v>2529</v>
      </c>
      <c r="P1548" s="0" t="s">
        <v>5821</v>
      </c>
      <c r="Q1548" s="0" t="n">
        <v>29</v>
      </c>
      <c r="R1548" s="0" t="n">
        <v>29</v>
      </c>
      <c r="T1548" s="0" t="s">
        <v>4904</v>
      </c>
      <c r="U1548" s="0" t="s">
        <v>4396</v>
      </c>
      <c r="V1548" s="0" t="s">
        <v>89</v>
      </c>
      <c r="W1548" s="0" t="s">
        <v>5835</v>
      </c>
      <c r="X1548" s="0" t="s">
        <v>5832</v>
      </c>
      <c r="Y1548" s="0" t="s">
        <v>4159</v>
      </c>
      <c r="Z1548" s="0" t="s">
        <v>4160</v>
      </c>
      <c r="AA1548" s="0" t="s">
        <v>5836</v>
      </c>
      <c r="AB1548" s="0" t="s">
        <v>5825</v>
      </c>
      <c r="AC1548" s="0" t="s">
        <v>4162</v>
      </c>
      <c r="AD1548" s="0" t="s">
        <v>4163</v>
      </c>
      <c r="AE1548" s="0" t="s">
        <v>4164</v>
      </c>
      <c r="AF1548" s="0" t="s">
        <v>5834</v>
      </c>
      <c r="AH1548" s="0" t="s">
        <v>2239</v>
      </c>
      <c r="AL1548" s="0" t="s">
        <v>523</v>
      </c>
    </row>
    <row r="1549" customFormat="false" ht="15" hidden="false" customHeight="false" outlineLevel="0" collapsed="false">
      <c r="A1549" s="0" t="s">
        <v>1270</v>
      </c>
      <c r="B1549" s="0" t="s">
        <v>169</v>
      </c>
      <c r="C1549" s="0" t="s">
        <v>4695</v>
      </c>
      <c r="D1549" s="0" t="n">
        <v>2017</v>
      </c>
      <c r="E1549" s="0" t="s">
        <v>63</v>
      </c>
      <c r="F1549" s="0" t="n">
        <v>-12267</v>
      </c>
      <c r="G1549" s="0" t="s">
        <v>3101</v>
      </c>
      <c r="H1549" s="0" t="s">
        <v>3068</v>
      </c>
      <c r="I1549" s="0" t="n">
        <v>12267</v>
      </c>
      <c r="J1549" s="0" t="s">
        <v>4155</v>
      </c>
      <c r="K1549" s="0" t="s">
        <v>2721</v>
      </c>
      <c r="L1549" s="0" t="n">
        <v>2017</v>
      </c>
      <c r="M1549" s="0" t="s">
        <v>2175</v>
      </c>
      <c r="N1549" s="0" t="s">
        <v>173</v>
      </c>
      <c r="O1549" s="0" t="s">
        <v>2529</v>
      </c>
      <c r="P1549" s="0" t="s">
        <v>5821</v>
      </c>
      <c r="Q1549" s="0" t="n">
        <v>29</v>
      </c>
      <c r="R1549" s="0" t="n">
        <v>29</v>
      </c>
      <c r="S1549" s="0" t="n">
        <v>11</v>
      </c>
      <c r="T1549" s="0" t="s">
        <v>4904</v>
      </c>
      <c r="U1549" s="0" t="s">
        <v>4396</v>
      </c>
      <c r="V1549" s="0" t="s">
        <v>89</v>
      </c>
      <c r="W1549" s="0" t="s">
        <v>5837</v>
      </c>
      <c r="X1549" s="0" t="s">
        <v>5832</v>
      </c>
      <c r="Y1549" s="0" t="s">
        <v>4159</v>
      </c>
      <c r="Z1549" s="0" t="s">
        <v>4160</v>
      </c>
      <c r="AA1549" s="0" t="s">
        <v>5838</v>
      </c>
      <c r="AB1549" s="0" t="s">
        <v>5825</v>
      </c>
      <c r="AC1549" s="0" t="s">
        <v>4162</v>
      </c>
      <c r="AD1549" s="0" t="s">
        <v>4163</v>
      </c>
      <c r="AE1549" s="0" t="s">
        <v>4164</v>
      </c>
      <c r="AF1549" s="0" t="s">
        <v>5834</v>
      </c>
      <c r="AH1549" s="0" t="s">
        <v>4174</v>
      </c>
      <c r="AI1549" s="0" t="s">
        <v>4974</v>
      </c>
      <c r="AL1549" s="0" t="s">
        <v>523</v>
      </c>
    </row>
    <row r="1550" customFormat="false" ht="15" hidden="false" customHeight="false" outlineLevel="0" collapsed="false">
      <c r="A1550" s="0" t="s">
        <v>1265</v>
      </c>
      <c r="B1550" s="0" t="s">
        <v>169</v>
      </c>
      <c r="C1550" s="0" t="s">
        <v>4695</v>
      </c>
      <c r="D1550" s="0" t="n">
        <v>2017</v>
      </c>
      <c r="E1550" s="0" t="s">
        <v>58</v>
      </c>
      <c r="F1550" s="0" t="n">
        <v>-46542</v>
      </c>
      <c r="G1550" s="0" t="s">
        <v>3101</v>
      </c>
      <c r="H1550" s="0" t="s">
        <v>3068</v>
      </c>
      <c r="I1550" s="0" t="n">
        <v>-46542</v>
      </c>
      <c r="J1550" s="0" t="s">
        <v>4155</v>
      </c>
      <c r="K1550" s="0" t="s">
        <v>2721</v>
      </c>
      <c r="L1550" s="0" t="n">
        <v>2017</v>
      </c>
      <c r="M1550" s="0" t="s">
        <v>2175</v>
      </c>
      <c r="N1550" s="0" t="s">
        <v>173</v>
      </c>
      <c r="O1550" s="0" t="s">
        <v>2529</v>
      </c>
      <c r="P1550" s="0" t="s">
        <v>5821</v>
      </c>
      <c r="Q1550" s="0" t="n">
        <v>35</v>
      </c>
      <c r="R1550" s="0" t="n">
        <v>35</v>
      </c>
      <c r="T1550" s="0" t="n">
        <v>2017</v>
      </c>
      <c r="U1550" s="0" t="s">
        <v>4396</v>
      </c>
      <c r="V1550" s="0" t="s">
        <v>89</v>
      </c>
      <c r="W1550" s="0" t="s">
        <v>5839</v>
      </c>
      <c r="X1550" s="0" t="s">
        <v>5840</v>
      </c>
      <c r="Y1550" s="0" t="s">
        <v>4159</v>
      </c>
      <c r="Z1550" s="0" t="s">
        <v>4160</v>
      </c>
      <c r="AA1550" s="0" t="s">
        <v>5841</v>
      </c>
      <c r="AB1550" s="0" t="s">
        <v>5825</v>
      </c>
      <c r="AC1550" s="0" t="s">
        <v>4162</v>
      </c>
      <c r="AD1550" s="0" t="s">
        <v>4163</v>
      </c>
      <c r="AE1550" s="0" t="s">
        <v>4164</v>
      </c>
      <c r="AF1550" s="0" t="s">
        <v>5842</v>
      </c>
      <c r="AH1550" s="0" t="s">
        <v>2239</v>
      </c>
      <c r="AL1550" s="0" t="s">
        <v>523</v>
      </c>
    </row>
    <row r="1551" customFormat="false" ht="15" hidden="false" customHeight="false" outlineLevel="0" collapsed="false">
      <c r="A1551" s="0" t="s">
        <v>1267</v>
      </c>
      <c r="B1551" s="0" t="s">
        <v>169</v>
      </c>
      <c r="C1551" s="0" t="s">
        <v>4695</v>
      </c>
      <c r="D1551" s="0" t="n">
        <v>2017</v>
      </c>
      <c r="E1551" s="0" t="s">
        <v>60</v>
      </c>
      <c r="F1551" s="0" t="n">
        <v>617577</v>
      </c>
      <c r="G1551" s="0" t="s">
        <v>3101</v>
      </c>
      <c r="H1551" s="0" t="s">
        <v>3068</v>
      </c>
      <c r="I1551" s="0" t="n">
        <v>617577</v>
      </c>
      <c r="J1551" s="0" t="s">
        <v>4155</v>
      </c>
      <c r="K1551" s="0" t="s">
        <v>2721</v>
      </c>
      <c r="L1551" s="0" t="n">
        <v>2017</v>
      </c>
      <c r="M1551" s="0" t="s">
        <v>2175</v>
      </c>
      <c r="N1551" s="0" t="s">
        <v>173</v>
      </c>
      <c r="O1551" s="0" t="s">
        <v>2529</v>
      </c>
      <c r="P1551" s="0" t="s">
        <v>5821</v>
      </c>
      <c r="Q1551" s="0" t="n">
        <v>78</v>
      </c>
      <c r="R1551" s="0" t="n">
        <v>78</v>
      </c>
      <c r="S1551" s="0" t="n">
        <v>20</v>
      </c>
      <c r="T1551" s="0" t="n">
        <v>2017</v>
      </c>
      <c r="U1551" s="0" t="s">
        <v>4396</v>
      </c>
      <c r="V1551" s="0" t="s">
        <v>89</v>
      </c>
      <c r="W1551" s="0" t="s">
        <v>5843</v>
      </c>
      <c r="X1551" s="0" t="s">
        <v>5844</v>
      </c>
      <c r="Y1551" s="0" t="s">
        <v>4159</v>
      </c>
      <c r="Z1551" s="0" t="s">
        <v>4160</v>
      </c>
      <c r="AA1551" s="0" t="s">
        <v>5845</v>
      </c>
      <c r="AB1551" s="0" t="s">
        <v>5825</v>
      </c>
      <c r="AC1551" s="0" t="s">
        <v>4162</v>
      </c>
      <c r="AD1551" s="0" t="s">
        <v>4163</v>
      </c>
      <c r="AE1551" s="0" t="s">
        <v>4164</v>
      </c>
      <c r="AF1551" s="0" t="s">
        <v>5846</v>
      </c>
      <c r="AH1551" s="0" t="s">
        <v>2239</v>
      </c>
      <c r="AL1551" s="0" t="s">
        <v>523</v>
      </c>
    </row>
    <row r="1552" customFormat="false" ht="15" hidden="false" customHeight="false" outlineLevel="0" collapsed="false">
      <c r="A1552" s="0" t="s">
        <v>1277</v>
      </c>
      <c r="B1552" s="0" t="s">
        <v>169</v>
      </c>
      <c r="C1552" s="0" t="s">
        <v>4695</v>
      </c>
      <c r="D1552" s="0" t="n">
        <v>2017</v>
      </c>
      <c r="E1552" s="0" t="s">
        <v>543</v>
      </c>
      <c r="F1552" s="0" t="n">
        <v>-13810</v>
      </c>
      <c r="G1552" s="0" t="s">
        <v>3101</v>
      </c>
      <c r="H1552" s="0" t="s">
        <v>3068</v>
      </c>
      <c r="I1552" s="0" t="n">
        <v>13810</v>
      </c>
      <c r="J1552" s="0" t="s">
        <v>4155</v>
      </c>
      <c r="K1552" s="0" t="s">
        <v>2721</v>
      </c>
      <c r="L1552" s="0" t="n">
        <v>2017</v>
      </c>
      <c r="M1552" s="0" t="s">
        <v>2175</v>
      </c>
      <c r="N1552" s="0" t="s">
        <v>173</v>
      </c>
      <c r="O1552" s="0" t="s">
        <v>2529</v>
      </c>
      <c r="P1552" s="0" t="s">
        <v>5821</v>
      </c>
      <c r="Q1552" s="0" t="n">
        <v>78</v>
      </c>
      <c r="R1552" s="0" t="n">
        <v>78</v>
      </c>
      <c r="S1552" s="0" t="s">
        <v>5796</v>
      </c>
      <c r="T1552" s="0" t="n">
        <v>2017</v>
      </c>
      <c r="U1552" s="0" t="s">
        <v>4396</v>
      </c>
      <c r="V1552" s="0" t="s">
        <v>89</v>
      </c>
      <c r="W1552" s="0" t="s">
        <v>5847</v>
      </c>
      <c r="X1552" s="0" t="s">
        <v>5844</v>
      </c>
      <c r="Y1552" s="0" t="s">
        <v>4159</v>
      </c>
      <c r="Z1552" s="0" t="s">
        <v>4160</v>
      </c>
      <c r="AA1552" s="0" t="s">
        <v>5848</v>
      </c>
      <c r="AB1552" s="0" t="s">
        <v>5825</v>
      </c>
      <c r="AC1552" s="0" t="s">
        <v>4162</v>
      </c>
      <c r="AD1552" s="0" t="s">
        <v>4163</v>
      </c>
      <c r="AE1552" s="0" t="s">
        <v>4164</v>
      </c>
      <c r="AF1552" s="0" t="s">
        <v>5846</v>
      </c>
      <c r="AH1552" s="0" t="s">
        <v>4174</v>
      </c>
      <c r="AI1552" s="0" t="s">
        <v>4781</v>
      </c>
      <c r="AL1552" s="0" t="s">
        <v>523</v>
      </c>
    </row>
    <row r="1553" customFormat="false" ht="15" hidden="false" customHeight="false" outlineLevel="0" collapsed="false">
      <c r="A1553" s="0" t="s">
        <v>1278</v>
      </c>
      <c r="B1553" s="0" t="s">
        <v>169</v>
      </c>
      <c r="C1553" s="0" t="s">
        <v>4695</v>
      </c>
      <c r="D1553" s="0" t="n">
        <v>2017</v>
      </c>
      <c r="E1553" s="0" t="s">
        <v>545</v>
      </c>
      <c r="F1553" s="0" t="n">
        <v>-5694</v>
      </c>
      <c r="G1553" s="0" t="s">
        <v>3101</v>
      </c>
      <c r="H1553" s="0" t="s">
        <v>3068</v>
      </c>
      <c r="I1553" s="0" t="n">
        <v>5694</v>
      </c>
      <c r="J1553" s="0" t="s">
        <v>4155</v>
      </c>
      <c r="K1553" s="0" t="s">
        <v>2721</v>
      </c>
      <c r="L1553" s="0" t="n">
        <v>2017</v>
      </c>
      <c r="M1553" s="0" t="s">
        <v>2175</v>
      </c>
      <c r="N1553" s="0" t="s">
        <v>173</v>
      </c>
      <c r="O1553" s="0" t="s">
        <v>2529</v>
      </c>
      <c r="P1553" s="0" t="s">
        <v>5821</v>
      </c>
      <c r="Q1553" s="0" t="n">
        <v>78</v>
      </c>
      <c r="R1553" s="0" t="n">
        <v>78</v>
      </c>
      <c r="S1553" s="0" t="s">
        <v>5799</v>
      </c>
      <c r="T1553" s="0" t="n">
        <v>2017</v>
      </c>
      <c r="U1553" s="0" t="s">
        <v>4396</v>
      </c>
      <c r="V1553" s="0" t="s">
        <v>89</v>
      </c>
      <c r="W1553" s="0" t="s">
        <v>5849</v>
      </c>
      <c r="X1553" s="0" t="s">
        <v>5844</v>
      </c>
      <c r="Y1553" s="0" t="s">
        <v>4159</v>
      </c>
      <c r="Z1553" s="0" t="s">
        <v>4160</v>
      </c>
      <c r="AA1553" s="0" t="s">
        <v>5850</v>
      </c>
      <c r="AB1553" s="0" t="s">
        <v>5825</v>
      </c>
      <c r="AC1553" s="0" t="s">
        <v>4162</v>
      </c>
      <c r="AD1553" s="0" t="s">
        <v>4163</v>
      </c>
      <c r="AE1553" s="0" t="s">
        <v>4164</v>
      </c>
      <c r="AF1553" s="0" t="s">
        <v>5846</v>
      </c>
      <c r="AH1553" s="0" t="s">
        <v>4174</v>
      </c>
      <c r="AI1553" s="0" t="s">
        <v>4781</v>
      </c>
      <c r="AL1553" s="0" t="s">
        <v>523</v>
      </c>
    </row>
    <row r="1554" customFormat="false" ht="15" hidden="false" customHeight="false" outlineLevel="0" collapsed="false">
      <c r="A1554" s="0" t="s">
        <v>1269</v>
      </c>
      <c r="B1554" s="0" t="s">
        <v>169</v>
      </c>
      <c r="C1554" s="0" t="s">
        <v>4695</v>
      </c>
      <c r="D1554" s="0" t="n">
        <v>2017</v>
      </c>
      <c r="E1554" s="0" t="s">
        <v>62</v>
      </c>
      <c r="F1554" s="0" t="n">
        <v>598073</v>
      </c>
      <c r="G1554" s="0" t="s">
        <v>3101</v>
      </c>
      <c r="H1554" s="0" t="s">
        <v>3068</v>
      </c>
      <c r="I1554" s="0" t="n">
        <v>598073</v>
      </c>
      <c r="J1554" s="0" t="s">
        <v>4155</v>
      </c>
      <c r="K1554" s="0" t="s">
        <v>2721</v>
      </c>
      <c r="L1554" s="0" t="n">
        <v>2017</v>
      </c>
      <c r="M1554" s="0" t="s">
        <v>2175</v>
      </c>
      <c r="N1554" s="0" t="s">
        <v>173</v>
      </c>
      <c r="O1554" s="0" t="s">
        <v>2529</v>
      </c>
      <c r="P1554" s="0" t="s">
        <v>5821</v>
      </c>
      <c r="Q1554" s="0" t="n">
        <v>78</v>
      </c>
      <c r="R1554" s="0" t="n">
        <v>78</v>
      </c>
      <c r="S1554" s="0" t="n">
        <v>20</v>
      </c>
      <c r="T1554" s="0" t="n">
        <v>2017</v>
      </c>
      <c r="U1554" s="0" t="s">
        <v>4396</v>
      </c>
      <c r="V1554" s="0" t="s">
        <v>89</v>
      </c>
      <c r="W1554" s="0" t="s">
        <v>5851</v>
      </c>
      <c r="X1554" s="0" t="s">
        <v>5844</v>
      </c>
      <c r="Y1554" s="0" t="s">
        <v>4159</v>
      </c>
      <c r="Z1554" s="0" t="s">
        <v>4160</v>
      </c>
      <c r="AA1554" s="0" t="s">
        <v>5852</v>
      </c>
      <c r="AB1554" s="0" t="s">
        <v>5825</v>
      </c>
      <c r="AC1554" s="0" t="s">
        <v>4162</v>
      </c>
      <c r="AD1554" s="0" t="s">
        <v>4163</v>
      </c>
      <c r="AE1554" s="0" t="s">
        <v>4164</v>
      </c>
      <c r="AF1554" s="0" t="s">
        <v>5846</v>
      </c>
      <c r="AH1554" s="0" t="s">
        <v>2239</v>
      </c>
      <c r="AL1554" s="0" t="s">
        <v>523</v>
      </c>
    </row>
    <row r="1555" customFormat="false" ht="15" hidden="false" customHeight="false" outlineLevel="0" collapsed="false">
      <c r="A1555" s="0" t="s">
        <v>1268</v>
      </c>
      <c r="B1555" s="0" t="s">
        <v>169</v>
      </c>
      <c r="C1555" s="0" t="s">
        <v>4695</v>
      </c>
      <c r="D1555" s="0" t="n">
        <v>2017</v>
      </c>
      <c r="E1555" s="0" t="s">
        <v>61</v>
      </c>
      <c r="F1555" s="0" t="n">
        <v>-19504</v>
      </c>
      <c r="G1555" s="0" t="s">
        <v>3101</v>
      </c>
      <c r="H1555" s="0" t="s">
        <v>3068</v>
      </c>
      <c r="I1555" s="0" t="n">
        <v>19504</v>
      </c>
      <c r="J1555" s="0" t="s">
        <v>4155</v>
      </c>
      <c r="K1555" s="0" t="s">
        <v>2721</v>
      </c>
      <c r="L1555" s="0" t="n">
        <v>2017</v>
      </c>
      <c r="M1555" s="0" t="s">
        <v>2175</v>
      </c>
      <c r="N1555" s="0" t="s">
        <v>173</v>
      </c>
      <c r="O1555" s="0" t="s">
        <v>2529</v>
      </c>
      <c r="P1555" s="0" t="s">
        <v>5821</v>
      </c>
      <c r="Q1555" s="0" t="n">
        <v>116</v>
      </c>
      <c r="R1555" s="0" t="n">
        <v>116</v>
      </c>
      <c r="S1555" s="0" t="n">
        <v>37</v>
      </c>
      <c r="T1555" s="0" t="s">
        <v>5633</v>
      </c>
      <c r="U1555" s="0" t="s">
        <v>4396</v>
      </c>
      <c r="V1555" s="0" t="s">
        <v>89</v>
      </c>
      <c r="W1555" s="0" t="s">
        <v>5853</v>
      </c>
      <c r="X1555" s="0" t="s">
        <v>5854</v>
      </c>
      <c r="Y1555" s="0" t="s">
        <v>4159</v>
      </c>
      <c r="Z1555" s="0" t="s">
        <v>4160</v>
      </c>
      <c r="AA1555" s="0" t="s">
        <v>5855</v>
      </c>
      <c r="AB1555" s="0" t="s">
        <v>5825</v>
      </c>
      <c r="AC1555" s="0" t="s">
        <v>4162</v>
      </c>
      <c r="AD1555" s="0" t="s">
        <v>4163</v>
      </c>
      <c r="AE1555" s="0" t="s">
        <v>4164</v>
      </c>
      <c r="AF1555" s="0" t="s">
        <v>5856</v>
      </c>
      <c r="AH1555" s="0" t="s">
        <v>4174</v>
      </c>
      <c r="AI1555" s="0" t="s">
        <v>4781</v>
      </c>
      <c r="AL1555" s="0" t="s">
        <v>523</v>
      </c>
    </row>
    <row r="1556" customFormat="false" ht="15" hidden="false" customHeight="false" outlineLevel="0" collapsed="false">
      <c r="A1556" s="0" t="s">
        <v>1273</v>
      </c>
      <c r="B1556" s="0" t="s">
        <v>169</v>
      </c>
      <c r="C1556" s="0" t="s">
        <v>4695</v>
      </c>
      <c r="D1556" s="0" t="n">
        <v>2017</v>
      </c>
      <c r="E1556" s="0" t="s">
        <v>65</v>
      </c>
      <c r="F1556" s="0" t="n">
        <v>83076</v>
      </c>
      <c r="G1556" s="0" t="s">
        <v>3101</v>
      </c>
      <c r="H1556" s="0" t="s">
        <v>3068</v>
      </c>
      <c r="I1556" s="0" t="n">
        <v>83076</v>
      </c>
      <c r="J1556" s="0" t="s">
        <v>4155</v>
      </c>
      <c r="K1556" s="0" t="s">
        <v>2721</v>
      </c>
      <c r="L1556" s="0" t="n">
        <v>2017</v>
      </c>
      <c r="M1556" s="0" t="s">
        <v>2175</v>
      </c>
      <c r="N1556" s="0" t="s">
        <v>173</v>
      </c>
      <c r="O1556" s="0" t="s">
        <v>2529</v>
      </c>
      <c r="P1556" s="0" t="s">
        <v>5821</v>
      </c>
      <c r="Q1556" s="0" t="n">
        <v>148</v>
      </c>
      <c r="R1556" s="0" t="n">
        <v>148</v>
      </c>
      <c r="S1556" s="0" t="s">
        <v>5596</v>
      </c>
      <c r="T1556" s="0" t="n">
        <v>2017</v>
      </c>
      <c r="U1556" s="0" t="s">
        <v>4396</v>
      </c>
      <c r="V1556" s="0" t="s">
        <v>89</v>
      </c>
      <c r="W1556" s="0" t="s">
        <v>5857</v>
      </c>
      <c r="X1556" s="0" t="s">
        <v>5858</v>
      </c>
      <c r="Y1556" s="0" t="s">
        <v>4159</v>
      </c>
      <c r="Z1556" s="0" t="s">
        <v>4160</v>
      </c>
      <c r="AA1556" s="0" t="s">
        <v>5859</v>
      </c>
      <c r="AB1556" s="0" t="s">
        <v>5825</v>
      </c>
      <c r="AC1556" s="0" t="s">
        <v>4162</v>
      </c>
      <c r="AD1556" s="0" t="s">
        <v>4163</v>
      </c>
      <c r="AE1556" s="0" t="s">
        <v>4164</v>
      </c>
      <c r="AF1556" s="0" t="s">
        <v>5860</v>
      </c>
      <c r="AH1556" s="0" t="s">
        <v>2239</v>
      </c>
      <c r="AL1556" s="0" t="s">
        <v>523</v>
      </c>
    </row>
    <row r="1557" customFormat="false" ht="15" hidden="false" customHeight="false" outlineLevel="0" collapsed="false">
      <c r="A1557" s="0" t="s">
        <v>1274</v>
      </c>
      <c r="B1557" s="0" t="s">
        <v>169</v>
      </c>
      <c r="C1557" s="0" t="s">
        <v>4695</v>
      </c>
      <c r="D1557" s="0" t="n">
        <v>2017</v>
      </c>
      <c r="E1557" s="0" t="s">
        <v>66</v>
      </c>
      <c r="F1557" s="0" t="n">
        <v>708114</v>
      </c>
      <c r="G1557" s="0" t="s">
        <v>3101</v>
      </c>
      <c r="H1557" s="0" t="s">
        <v>3068</v>
      </c>
      <c r="I1557" s="0" t="n">
        <v>708114</v>
      </c>
      <c r="J1557" s="0" t="s">
        <v>4155</v>
      </c>
      <c r="K1557" s="0" t="s">
        <v>2721</v>
      </c>
      <c r="L1557" s="0" t="n">
        <v>2017</v>
      </c>
      <c r="M1557" s="0" t="s">
        <v>2175</v>
      </c>
      <c r="N1557" s="0" t="s">
        <v>173</v>
      </c>
      <c r="O1557" s="0" t="s">
        <v>2529</v>
      </c>
      <c r="P1557" s="0" t="s">
        <v>5821</v>
      </c>
      <c r="Q1557" s="0" t="n">
        <v>148</v>
      </c>
      <c r="R1557" s="0" t="n">
        <v>148</v>
      </c>
      <c r="S1557" s="0" t="s">
        <v>5596</v>
      </c>
      <c r="T1557" s="0" t="n">
        <v>2017</v>
      </c>
      <c r="U1557" s="0" t="s">
        <v>4396</v>
      </c>
      <c r="V1557" s="0" t="s">
        <v>89</v>
      </c>
      <c r="W1557" s="0" t="s">
        <v>5861</v>
      </c>
      <c r="X1557" s="0" t="s">
        <v>5858</v>
      </c>
      <c r="Y1557" s="0" t="s">
        <v>4159</v>
      </c>
      <c r="Z1557" s="0" t="s">
        <v>4160</v>
      </c>
      <c r="AA1557" s="0" t="s">
        <v>5862</v>
      </c>
      <c r="AB1557" s="0" t="s">
        <v>5825</v>
      </c>
      <c r="AC1557" s="0" t="s">
        <v>4162</v>
      </c>
      <c r="AD1557" s="0" t="s">
        <v>4163</v>
      </c>
      <c r="AE1557" s="0" t="s">
        <v>4164</v>
      </c>
      <c r="AF1557" s="0" t="s">
        <v>5860</v>
      </c>
      <c r="AH1557" s="0" t="s">
        <v>2239</v>
      </c>
      <c r="AL1557" s="0" t="s">
        <v>523</v>
      </c>
    </row>
    <row r="1558" customFormat="false" ht="15" hidden="false" customHeight="false" outlineLevel="0" collapsed="false">
      <c r="A1558" s="0" t="s">
        <v>1271</v>
      </c>
      <c r="B1558" s="0" t="s">
        <v>169</v>
      </c>
      <c r="C1558" s="0" t="s">
        <v>4695</v>
      </c>
      <c r="D1558" s="0" t="n">
        <v>2017</v>
      </c>
      <c r="E1558" s="0" t="s">
        <v>69</v>
      </c>
      <c r="F1558" s="0" t="s">
        <v>5863</v>
      </c>
      <c r="G1558" s="0" t="s">
        <v>3143</v>
      </c>
      <c r="I1558" s="0" t="n">
        <v>11.73</v>
      </c>
      <c r="J1558" s="0" t="s">
        <v>4155</v>
      </c>
      <c r="K1558" s="0" t="s">
        <v>2721</v>
      </c>
      <c r="L1558" s="0" t="n">
        <v>2017</v>
      </c>
      <c r="M1558" s="0" t="s">
        <v>2175</v>
      </c>
      <c r="N1558" s="0" t="s">
        <v>173</v>
      </c>
      <c r="O1558" s="0" t="s">
        <v>2529</v>
      </c>
      <c r="P1558" s="0" t="s">
        <v>5821</v>
      </c>
      <c r="Q1558" s="0" t="n">
        <v>148</v>
      </c>
      <c r="R1558" s="0" t="n">
        <v>148</v>
      </c>
      <c r="S1558" s="0" t="s">
        <v>5596</v>
      </c>
      <c r="T1558" s="0" t="n">
        <v>2017</v>
      </c>
      <c r="U1558" s="0" t="s">
        <v>4396</v>
      </c>
      <c r="V1558" s="0" t="s">
        <v>89</v>
      </c>
      <c r="W1558" s="0" t="s">
        <v>5864</v>
      </c>
      <c r="X1558" s="0" t="s">
        <v>5858</v>
      </c>
      <c r="Y1558" s="0" t="s">
        <v>4159</v>
      </c>
      <c r="Z1558" s="0" t="s">
        <v>4160</v>
      </c>
      <c r="AA1558" s="0" t="s">
        <v>5865</v>
      </c>
      <c r="AB1558" s="0" t="s">
        <v>5825</v>
      </c>
      <c r="AC1558" s="0" t="s">
        <v>4162</v>
      </c>
      <c r="AD1558" s="0" t="s">
        <v>4163</v>
      </c>
      <c r="AE1558" s="0" t="s">
        <v>4164</v>
      </c>
      <c r="AF1558" s="0" t="s">
        <v>5860</v>
      </c>
      <c r="AH1558" s="0" t="s">
        <v>2239</v>
      </c>
      <c r="AL1558" s="0" t="s">
        <v>523</v>
      </c>
    </row>
    <row r="1559" customFormat="false" ht="15" hidden="false" customHeight="false" outlineLevel="0" collapsed="false">
      <c r="A1559" s="0" t="s">
        <v>1272</v>
      </c>
      <c r="B1559" s="0" t="s">
        <v>169</v>
      </c>
      <c r="C1559" s="0" t="s">
        <v>4695</v>
      </c>
      <c r="D1559" s="0" t="n">
        <v>2017</v>
      </c>
      <c r="E1559" s="0" t="s">
        <v>70</v>
      </c>
      <c r="F1559" s="0" t="s">
        <v>4299</v>
      </c>
      <c r="G1559" s="0" t="s">
        <v>3143</v>
      </c>
      <c r="I1559" s="0" t="n">
        <v>10</v>
      </c>
      <c r="J1559" s="0" t="s">
        <v>4155</v>
      </c>
      <c r="K1559" s="0" t="s">
        <v>2721</v>
      </c>
      <c r="L1559" s="0" t="n">
        <v>2017</v>
      </c>
      <c r="M1559" s="0" t="s">
        <v>2175</v>
      </c>
      <c r="N1559" s="0" t="s">
        <v>173</v>
      </c>
      <c r="O1559" s="0" t="s">
        <v>2529</v>
      </c>
      <c r="P1559" s="0" t="s">
        <v>5821</v>
      </c>
      <c r="Q1559" s="0" t="n">
        <v>147</v>
      </c>
      <c r="R1559" s="0" t="n">
        <v>147</v>
      </c>
      <c r="S1559" s="0" t="s">
        <v>5596</v>
      </c>
      <c r="T1559" s="0" t="s">
        <v>5866</v>
      </c>
      <c r="U1559" s="0" t="s">
        <v>4396</v>
      </c>
      <c r="V1559" s="0" t="s">
        <v>89</v>
      </c>
      <c r="W1559" s="0" t="s">
        <v>5867</v>
      </c>
      <c r="X1559" s="0" t="s">
        <v>5868</v>
      </c>
      <c r="Y1559" s="0" t="s">
        <v>4159</v>
      </c>
      <c r="Z1559" s="0" t="s">
        <v>4160</v>
      </c>
      <c r="AA1559" s="0" t="s">
        <v>5869</v>
      </c>
      <c r="AB1559" s="0" t="s">
        <v>5825</v>
      </c>
      <c r="AC1559" s="0" t="s">
        <v>4162</v>
      </c>
      <c r="AD1559" s="0" t="s">
        <v>4163</v>
      </c>
      <c r="AE1559" s="0" t="s">
        <v>4164</v>
      </c>
      <c r="AF1559" s="0" t="s">
        <v>5651</v>
      </c>
      <c r="AH1559" s="0" t="s">
        <v>2239</v>
      </c>
      <c r="AL1559" s="0" t="s">
        <v>523</v>
      </c>
    </row>
    <row r="1560" customFormat="false" ht="15" hidden="false" customHeight="false" outlineLevel="0" collapsed="false">
      <c r="A1560" s="0" t="s">
        <v>1275</v>
      </c>
      <c r="B1560" s="0" t="s">
        <v>169</v>
      </c>
      <c r="C1560" s="0" t="s">
        <v>4695</v>
      </c>
      <c r="D1560" s="0" t="n">
        <v>2017</v>
      </c>
      <c r="E1560" s="0" t="s">
        <v>73</v>
      </c>
      <c r="F1560" s="0" t="n">
        <v>0</v>
      </c>
      <c r="G1560" s="0" t="s">
        <v>4257</v>
      </c>
      <c r="I1560" s="0" t="n">
        <v>0</v>
      </c>
      <c r="J1560" s="0" t="s">
        <v>5652</v>
      </c>
      <c r="K1560" s="0" t="s">
        <v>2721</v>
      </c>
      <c r="L1560" s="0" t="n">
        <v>2017</v>
      </c>
      <c r="M1560" s="0" t="s">
        <v>2175</v>
      </c>
      <c r="N1560" s="0" t="s">
        <v>173</v>
      </c>
      <c r="O1560" s="0" t="s">
        <v>2529</v>
      </c>
      <c r="P1560" s="0" t="s">
        <v>5821</v>
      </c>
      <c r="Q1560" s="0" t="n">
        <v>24</v>
      </c>
      <c r="R1560" s="0" t="n">
        <v>24</v>
      </c>
      <c r="T1560" s="0" t="s">
        <v>5870</v>
      </c>
      <c r="U1560" s="0" t="s">
        <v>4396</v>
      </c>
      <c r="V1560" s="0" t="s">
        <v>89</v>
      </c>
      <c r="W1560" s="0" t="s">
        <v>4803</v>
      </c>
      <c r="X1560" s="0" t="s">
        <v>5871</v>
      </c>
      <c r="Y1560" s="0" t="s">
        <v>4212</v>
      </c>
      <c r="Z1560" s="0" t="s">
        <v>4160</v>
      </c>
      <c r="AA1560" s="0" t="s">
        <v>5872</v>
      </c>
      <c r="AB1560" s="0" t="s">
        <v>5825</v>
      </c>
      <c r="AC1560" s="0" t="s">
        <v>4162</v>
      </c>
      <c r="AD1560" s="0" t="s">
        <v>4163</v>
      </c>
      <c r="AE1560" s="0" t="s">
        <v>4164</v>
      </c>
      <c r="AF1560" s="0" t="s">
        <v>5873</v>
      </c>
      <c r="AG1560" s="0" t="s">
        <v>1828</v>
      </c>
      <c r="AH1560" s="0" t="s">
        <v>2239</v>
      </c>
      <c r="AL1560" s="0" t="s">
        <v>539</v>
      </c>
    </row>
    <row r="1561" customFormat="false" ht="15" hidden="false" customHeight="false" outlineLevel="0" collapsed="false">
      <c r="A1561" s="0" t="s">
        <v>905</v>
      </c>
      <c r="B1561" s="0" t="s">
        <v>125</v>
      </c>
      <c r="C1561" s="0" t="s">
        <v>4590</v>
      </c>
      <c r="D1561" s="0" t="n">
        <v>2015</v>
      </c>
      <c r="E1561" s="0" t="s">
        <v>55</v>
      </c>
      <c r="F1561" s="0" t="n">
        <v>3332375</v>
      </c>
      <c r="G1561" s="0" t="s">
        <v>3101</v>
      </c>
      <c r="H1561" s="0" t="s">
        <v>3068</v>
      </c>
      <c r="I1561" s="0" t="n">
        <v>3332375</v>
      </c>
      <c r="J1561" s="0" t="s">
        <v>5874</v>
      </c>
      <c r="K1561" s="0" t="s">
        <v>2697</v>
      </c>
      <c r="L1561" s="0" t="n">
        <v>2015</v>
      </c>
      <c r="M1561" s="0" t="s">
        <v>2531</v>
      </c>
      <c r="N1561" s="0" t="s">
        <v>127</v>
      </c>
      <c r="O1561" s="0" t="s">
        <v>2532</v>
      </c>
      <c r="P1561" s="0" t="s">
        <v>5875</v>
      </c>
      <c r="Q1561" s="0" t="n">
        <v>124</v>
      </c>
      <c r="R1561" s="0" t="n">
        <v>124</v>
      </c>
      <c r="T1561" s="0" t="s">
        <v>4807</v>
      </c>
      <c r="U1561" s="0" t="s">
        <v>4808</v>
      </c>
      <c r="V1561" s="0" t="s">
        <v>84</v>
      </c>
      <c r="W1561" s="0" t="s">
        <v>5876</v>
      </c>
      <c r="X1561" s="0" t="s">
        <v>5877</v>
      </c>
      <c r="Y1561" s="0" t="s">
        <v>4159</v>
      </c>
      <c r="Z1561" s="0" t="s">
        <v>4160</v>
      </c>
      <c r="AA1561" s="0" t="s">
        <v>5878</v>
      </c>
      <c r="AB1561" s="0" t="s">
        <v>5879</v>
      </c>
      <c r="AC1561" s="0" t="s">
        <v>4162</v>
      </c>
      <c r="AD1561" s="0" t="s">
        <v>4163</v>
      </c>
      <c r="AE1561" s="0" t="s">
        <v>4164</v>
      </c>
      <c r="AF1561" s="0" t="s">
        <v>5880</v>
      </c>
      <c r="AH1561" s="0" t="s">
        <v>2239</v>
      </c>
      <c r="AL1561" s="0" t="s">
        <v>523</v>
      </c>
    </row>
    <row r="1562" customFormat="false" ht="15" hidden="false" customHeight="false" outlineLevel="0" collapsed="false">
      <c r="A1562" s="0" t="s">
        <v>906</v>
      </c>
      <c r="B1562" s="0" t="s">
        <v>125</v>
      </c>
      <c r="C1562" s="0" t="s">
        <v>4590</v>
      </c>
      <c r="D1562" s="0" t="n">
        <v>2015</v>
      </c>
      <c r="E1562" s="0" t="s">
        <v>56</v>
      </c>
      <c r="F1562" s="0" t="n">
        <v>2872628</v>
      </c>
      <c r="G1562" s="0" t="s">
        <v>3101</v>
      </c>
      <c r="H1562" s="0" t="s">
        <v>3068</v>
      </c>
      <c r="I1562" s="0" t="n">
        <v>2872628</v>
      </c>
      <c r="J1562" s="0" t="s">
        <v>5874</v>
      </c>
      <c r="K1562" s="0" t="s">
        <v>2697</v>
      </c>
      <c r="L1562" s="0" t="n">
        <v>2015</v>
      </c>
      <c r="M1562" s="0" t="s">
        <v>2531</v>
      </c>
      <c r="N1562" s="0" t="s">
        <v>127</v>
      </c>
      <c r="O1562" s="0" t="s">
        <v>2532</v>
      </c>
      <c r="P1562" s="0" t="s">
        <v>5875</v>
      </c>
      <c r="Q1562" s="0" t="n">
        <v>124</v>
      </c>
      <c r="R1562" s="0" t="n">
        <v>124</v>
      </c>
      <c r="T1562" s="0" t="s">
        <v>4807</v>
      </c>
      <c r="U1562" s="0" t="s">
        <v>4808</v>
      </c>
      <c r="V1562" s="0" t="s">
        <v>84</v>
      </c>
      <c r="W1562" s="0" t="s">
        <v>5881</v>
      </c>
      <c r="X1562" s="0" t="s">
        <v>5877</v>
      </c>
      <c r="Y1562" s="0" t="s">
        <v>4159</v>
      </c>
      <c r="Z1562" s="0" t="s">
        <v>4160</v>
      </c>
      <c r="AA1562" s="0" t="s">
        <v>5882</v>
      </c>
      <c r="AB1562" s="0" t="s">
        <v>5879</v>
      </c>
      <c r="AC1562" s="0" t="s">
        <v>4162</v>
      </c>
      <c r="AD1562" s="0" t="s">
        <v>4163</v>
      </c>
      <c r="AE1562" s="0" t="s">
        <v>4164</v>
      </c>
      <c r="AF1562" s="0" t="s">
        <v>5880</v>
      </c>
      <c r="AH1562" s="0" t="s">
        <v>2239</v>
      </c>
      <c r="AL1562" s="0" t="s">
        <v>523</v>
      </c>
    </row>
    <row r="1563" customFormat="false" ht="15" hidden="false" customHeight="false" outlineLevel="0" collapsed="false">
      <c r="A1563" s="0" t="s">
        <v>907</v>
      </c>
      <c r="B1563" s="0" t="s">
        <v>125</v>
      </c>
      <c r="C1563" s="0" t="s">
        <v>4590</v>
      </c>
      <c r="D1563" s="0" t="n">
        <v>2015</v>
      </c>
      <c r="E1563" s="0" t="s">
        <v>57</v>
      </c>
      <c r="F1563" s="0" t="n">
        <v>459747</v>
      </c>
      <c r="G1563" s="0" t="s">
        <v>3101</v>
      </c>
      <c r="H1563" s="0" t="s">
        <v>3068</v>
      </c>
      <c r="I1563" s="0" t="n">
        <v>459747</v>
      </c>
      <c r="J1563" s="0" t="s">
        <v>5874</v>
      </c>
      <c r="K1563" s="0" t="s">
        <v>2697</v>
      </c>
      <c r="L1563" s="0" t="n">
        <v>2015</v>
      </c>
      <c r="M1563" s="0" t="s">
        <v>2531</v>
      </c>
      <c r="N1563" s="0" t="s">
        <v>127</v>
      </c>
      <c r="O1563" s="0" t="s">
        <v>2532</v>
      </c>
      <c r="P1563" s="0" t="s">
        <v>5875</v>
      </c>
      <c r="Q1563" s="0" t="n">
        <v>125</v>
      </c>
      <c r="R1563" s="0" t="n">
        <v>125</v>
      </c>
      <c r="T1563" s="0" t="s">
        <v>4807</v>
      </c>
      <c r="U1563" s="0" t="s">
        <v>4808</v>
      </c>
      <c r="V1563" s="0" t="s">
        <v>84</v>
      </c>
      <c r="W1563" s="0" t="s">
        <v>5883</v>
      </c>
      <c r="X1563" s="0" t="s">
        <v>5884</v>
      </c>
      <c r="Y1563" s="0" t="s">
        <v>4159</v>
      </c>
      <c r="Z1563" s="0" t="s">
        <v>4160</v>
      </c>
      <c r="AA1563" s="0" t="s">
        <v>5885</v>
      </c>
      <c r="AB1563" s="0" t="s">
        <v>5879</v>
      </c>
      <c r="AC1563" s="0" t="s">
        <v>4162</v>
      </c>
      <c r="AD1563" s="0" t="s">
        <v>4163</v>
      </c>
      <c r="AE1563" s="0" t="s">
        <v>4164</v>
      </c>
      <c r="AF1563" s="0" t="s">
        <v>5880</v>
      </c>
      <c r="AH1563" s="0" t="s">
        <v>2239</v>
      </c>
      <c r="AL1563" s="0" t="s">
        <v>523</v>
      </c>
    </row>
    <row r="1564" customFormat="false" ht="15" hidden="false" customHeight="false" outlineLevel="0" collapsed="false">
      <c r="A1564" s="0" t="s">
        <v>904</v>
      </c>
      <c r="B1564" s="0" t="s">
        <v>125</v>
      </c>
      <c r="C1564" s="0" t="s">
        <v>4590</v>
      </c>
      <c r="D1564" s="0" t="n">
        <v>2015</v>
      </c>
      <c r="E1564" s="0" t="s">
        <v>54</v>
      </c>
      <c r="F1564" s="0" t="n">
        <v>37</v>
      </c>
      <c r="G1564" s="0" t="s">
        <v>3101</v>
      </c>
      <c r="H1564" s="0" t="s">
        <v>3068</v>
      </c>
      <c r="I1564" s="0" t="n">
        <v>37</v>
      </c>
      <c r="J1564" s="0" t="s">
        <v>5874</v>
      </c>
      <c r="K1564" s="0" t="s">
        <v>2697</v>
      </c>
      <c r="L1564" s="0" t="n">
        <v>2015</v>
      </c>
      <c r="M1564" s="0" t="s">
        <v>2531</v>
      </c>
      <c r="N1564" s="0" t="s">
        <v>127</v>
      </c>
      <c r="O1564" s="0" t="s">
        <v>2532</v>
      </c>
      <c r="P1564" s="0" t="s">
        <v>5875</v>
      </c>
      <c r="Q1564" s="0" t="n">
        <v>122</v>
      </c>
      <c r="R1564" s="0" t="n">
        <v>122</v>
      </c>
      <c r="T1564" s="0" t="s">
        <v>4807</v>
      </c>
      <c r="U1564" s="0" t="s">
        <v>4808</v>
      </c>
      <c r="V1564" s="0" t="s">
        <v>84</v>
      </c>
      <c r="W1564" s="0" t="s">
        <v>5886</v>
      </c>
      <c r="X1564" s="0" t="s">
        <v>5887</v>
      </c>
      <c r="Y1564" s="0" t="s">
        <v>4159</v>
      </c>
      <c r="Z1564" s="0" t="s">
        <v>4160</v>
      </c>
      <c r="AA1564" s="0" t="s">
        <v>5888</v>
      </c>
      <c r="AB1564" s="0" t="s">
        <v>5879</v>
      </c>
      <c r="AC1564" s="0" t="s">
        <v>4162</v>
      </c>
      <c r="AD1564" s="0" t="s">
        <v>4163</v>
      </c>
      <c r="AE1564" s="0" t="s">
        <v>4164</v>
      </c>
      <c r="AF1564" s="0" t="s">
        <v>5880</v>
      </c>
      <c r="AH1564" s="0" t="s">
        <v>2239</v>
      </c>
      <c r="AL1564" s="0" t="s">
        <v>523</v>
      </c>
    </row>
    <row r="1565" customFormat="false" ht="15" hidden="false" customHeight="false" outlineLevel="0" collapsed="false">
      <c r="A1565" s="0" t="s">
        <v>918</v>
      </c>
      <c r="B1565" s="0" t="s">
        <v>125</v>
      </c>
      <c r="C1565" s="0" t="s">
        <v>4590</v>
      </c>
      <c r="D1565" s="0" t="n">
        <v>2015</v>
      </c>
      <c r="E1565" s="0" t="s">
        <v>541</v>
      </c>
      <c r="F1565" s="0" t="n">
        <v>2816</v>
      </c>
      <c r="G1565" s="0" t="s">
        <v>3101</v>
      </c>
      <c r="H1565" s="0" t="s">
        <v>3068</v>
      </c>
      <c r="I1565" s="0" t="n">
        <v>2816</v>
      </c>
      <c r="J1565" s="0" t="s">
        <v>5874</v>
      </c>
      <c r="K1565" s="0" t="s">
        <v>2697</v>
      </c>
      <c r="L1565" s="0" t="n">
        <v>2015</v>
      </c>
      <c r="M1565" s="0" t="s">
        <v>2531</v>
      </c>
      <c r="N1565" s="0" t="s">
        <v>127</v>
      </c>
      <c r="O1565" s="0" t="s">
        <v>2532</v>
      </c>
      <c r="P1565" s="0" t="s">
        <v>5875</v>
      </c>
      <c r="Q1565" s="0" t="n">
        <v>122</v>
      </c>
      <c r="R1565" s="0" t="n">
        <v>122</v>
      </c>
      <c r="T1565" s="0" t="s">
        <v>4807</v>
      </c>
      <c r="U1565" s="0" t="s">
        <v>4808</v>
      </c>
      <c r="V1565" s="0" t="s">
        <v>84</v>
      </c>
      <c r="W1565" s="0" t="s">
        <v>5889</v>
      </c>
      <c r="X1565" s="0" t="s">
        <v>5887</v>
      </c>
      <c r="Y1565" s="0" t="s">
        <v>4159</v>
      </c>
      <c r="Z1565" s="0" t="s">
        <v>4160</v>
      </c>
      <c r="AA1565" s="0" t="s">
        <v>5890</v>
      </c>
      <c r="AB1565" s="0" t="s">
        <v>5879</v>
      </c>
      <c r="AC1565" s="0" t="s">
        <v>4162</v>
      </c>
      <c r="AD1565" s="0" t="s">
        <v>4163</v>
      </c>
      <c r="AE1565" s="0" t="s">
        <v>4164</v>
      </c>
      <c r="AF1565" s="0" t="s">
        <v>5880</v>
      </c>
      <c r="AH1565" s="0" t="s">
        <v>2239</v>
      </c>
      <c r="AL1565" s="0" t="s">
        <v>523</v>
      </c>
    </row>
    <row r="1566" customFormat="false" ht="15" hidden="false" customHeight="false" outlineLevel="0" collapsed="false">
      <c r="A1566" s="0" t="s">
        <v>908</v>
      </c>
      <c r="B1566" s="0" t="s">
        <v>125</v>
      </c>
      <c r="C1566" s="0" t="s">
        <v>4590</v>
      </c>
      <c r="D1566" s="0" t="n">
        <v>2015</v>
      </c>
      <c r="E1566" s="0" t="s">
        <v>58</v>
      </c>
      <c r="F1566" s="0" t="n">
        <v>305952</v>
      </c>
      <c r="G1566" s="0" t="s">
        <v>3101</v>
      </c>
      <c r="H1566" s="0" t="s">
        <v>3068</v>
      </c>
      <c r="I1566" s="0" t="n">
        <v>305952</v>
      </c>
      <c r="J1566" s="0" t="s">
        <v>5874</v>
      </c>
      <c r="K1566" s="0" t="s">
        <v>2697</v>
      </c>
      <c r="L1566" s="0" t="n">
        <v>2015</v>
      </c>
      <c r="M1566" s="0" t="s">
        <v>2531</v>
      </c>
      <c r="N1566" s="0" t="s">
        <v>127</v>
      </c>
      <c r="O1566" s="0" t="s">
        <v>2532</v>
      </c>
      <c r="P1566" s="0" t="s">
        <v>5875</v>
      </c>
      <c r="Q1566" s="0" t="n">
        <v>128</v>
      </c>
      <c r="R1566" s="0" t="n">
        <v>128</v>
      </c>
      <c r="T1566" s="0" t="s">
        <v>4807</v>
      </c>
      <c r="U1566" s="0" t="s">
        <v>4808</v>
      </c>
      <c r="V1566" s="0" t="s">
        <v>84</v>
      </c>
      <c r="W1566" s="0" t="s">
        <v>5891</v>
      </c>
      <c r="X1566" s="0" t="s">
        <v>5892</v>
      </c>
      <c r="Y1566" s="0" t="s">
        <v>4159</v>
      </c>
      <c r="Z1566" s="0" t="s">
        <v>4160</v>
      </c>
      <c r="AA1566" s="0" t="s">
        <v>5893</v>
      </c>
      <c r="AB1566" s="0" t="s">
        <v>5879</v>
      </c>
      <c r="AC1566" s="0" t="s">
        <v>4162</v>
      </c>
      <c r="AD1566" s="0" t="s">
        <v>4163</v>
      </c>
      <c r="AE1566" s="0" t="s">
        <v>4164</v>
      </c>
      <c r="AF1566" s="0" t="s">
        <v>5894</v>
      </c>
      <c r="AH1566" s="0" t="s">
        <v>2239</v>
      </c>
      <c r="AL1566" s="0" t="s">
        <v>523</v>
      </c>
    </row>
    <row r="1567" customFormat="false" ht="15" hidden="false" customHeight="false" outlineLevel="0" collapsed="false">
      <c r="A1567" s="0" t="s">
        <v>909</v>
      </c>
      <c r="B1567" s="0" t="s">
        <v>125</v>
      </c>
      <c r="C1567" s="0" t="s">
        <v>4590</v>
      </c>
      <c r="D1567" s="0" t="n">
        <v>2015</v>
      </c>
      <c r="E1567" s="0" t="s">
        <v>59</v>
      </c>
      <c r="F1567" s="0" t="n">
        <v>3490871</v>
      </c>
      <c r="G1567" s="0" t="s">
        <v>3101</v>
      </c>
      <c r="H1567" s="0" t="s">
        <v>3068</v>
      </c>
      <c r="I1567" s="0" t="n">
        <v>3490871</v>
      </c>
      <c r="J1567" s="0" t="s">
        <v>5874</v>
      </c>
      <c r="K1567" s="0" t="s">
        <v>2697</v>
      </c>
      <c r="L1567" s="0" t="n">
        <v>2015</v>
      </c>
      <c r="M1567" s="0" t="s">
        <v>2531</v>
      </c>
      <c r="N1567" s="0" t="s">
        <v>127</v>
      </c>
      <c r="O1567" s="0" t="s">
        <v>2532</v>
      </c>
      <c r="P1567" s="0" t="s">
        <v>5875</v>
      </c>
      <c r="Q1567" s="0" t="n">
        <v>124</v>
      </c>
      <c r="R1567" s="0" t="n">
        <v>124</v>
      </c>
      <c r="T1567" s="0" t="s">
        <v>4825</v>
      </c>
      <c r="U1567" s="0" t="s">
        <v>4808</v>
      </c>
      <c r="V1567" s="0" t="s">
        <v>84</v>
      </c>
      <c r="W1567" s="0" t="s">
        <v>5876</v>
      </c>
      <c r="X1567" s="0" t="s">
        <v>5877</v>
      </c>
      <c r="Y1567" s="0" t="s">
        <v>4159</v>
      </c>
      <c r="Z1567" s="0" t="s">
        <v>4160</v>
      </c>
      <c r="AA1567" s="0" t="s">
        <v>5895</v>
      </c>
      <c r="AB1567" s="0" t="s">
        <v>5879</v>
      </c>
      <c r="AC1567" s="0" t="s">
        <v>4162</v>
      </c>
      <c r="AD1567" s="0" t="s">
        <v>4163</v>
      </c>
      <c r="AE1567" s="0" t="s">
        <v>4164</v>
      </c>
      <c r="AF1567" s="0" t="s">
        <v>5880</v>
      </c>
      <c r="AH1567" s="0" t="s">
        <v>2239</v>
      </c>
      <c r="AL1567" s="0" t="s">
        <v>523</v>
      </c>
    </row>
    <row r="1568" customFormat="false" ht="15" hidden="false" customHeight="false" outlineLevel="0" collapsed="false">
      <c r="A1568" s="0" t="s">
        <v>913</v>
      </c>
      <c r="B1568" s="0" t="s">
        <v>125</v>
      </c>
      <c r="C1568" s="0" t="s">
        <v>4590</v>
      </c>
      <c r="D1568" s="0" t="n">
        <v>2015</v>
      </c>
      <c r="E1568" s="0" t="s">
        <v>63</v>
      </c>
      <c r="F1568" s="0" t="n">
        <v>-120046</v>
      </c>
      <c r="G1568" s="0" t="s">
        <v>3101</v>
      </c>
      <c r="H1568" s="0" t="s">
        <v>3068</v>
      </c>
      <c r="I1568" s="0" t="n">
        <v>120046</v>
      </c>
      <c r="J1568" s="0" t="s">
        <v>5874</v>
      </c>
      <c r="K1568" s="0" t="s">
        <v>2697</v>
      </c>
      <c r="L1568" s="0" t="n">
        <v>2015</v>
      </c>
      <c r="M1568" s="0" t="s">
        <v>2531</v>
      </c>
      <c r="N1568" s="0" t="s">
        <v>127</v>
      </c>
      <c r="O1568" s="0" t="s">
        <v>2532</v>
      </c>
      <c r="P1568" s="0" t="s">
        <v>5875</v>
      </c>
      <c r="Q1568" s="0" t="n">
        <v>122</v>
      </c>
      <c r="R1568" s="0" t="n">
        <v>122</v>
      </c>
      <c r="S1568" s="0" t="n">
        <v>9</v>
      </c>
      <c r="T1568" s="0" t="s">
        <v>4807</v>
      </c>
      <c r="U1568" s="0" t="s">
        <v>4808</v>
      </c>
      <c r="V1568" s="0" t="s">
        <v>84</v>
      </c>
      <c r="W1568" s="0" t="s">
        <v>5896</v>
      </c>
      <c r="X1568" s="0" t="s">
        <v>5887</v>
      </c>
      <c r="Y1568" s="0" t="s">
        <v>4159</v>
      </c>
      <c r="Z1568" s="0" t="s">
        <v>4160</v>
      </c>
      <c r="AA1568" s="0" t="s">
        <v>5897</v>
      </c>
      <c r="AB1568" s="0" t="s">
        <v>5879</v>
      </c>
      <c r="AC1568" s="0" t="s">
        <v>4162</v>
      </c>
      <c r="AD1568" s="0" t="s">
        <v>4163</v>
      </c>
      <c r="AE1568" s="0" t="s">
        <v>4164</v>
      </c>
      <c r="AF1568" s="0" t="s">
        <v>5880</v>
      </c>
      <c r="AH1568" s="0" t="s">
        <v>4174</v>
      </c>
      <c r="AI1568" s="0" t="s">
        <v>5898</v>
      </c>
      <c r="AL1568" s="0" t="s">
        <v>523</v>
      </c>
    </row>
    <row r="1569" customFormat="false" ht="15" hidden="false" customHeight="false" outlineLevel="0" collapsed="false">
      <c r="A1569" s="0" t="s">
        <v>910</v>
      </c>
      <c r="B1569" s="0" t="s">
        <v>125</v>
      </c>
      <c r="C1569" s="0" t="s">
        <v>4590</v>
      </c>
      <c r="D1569" s="0" t="n">
        <v>2015</v>
      </c>
      <c r="E1569" s="0" t="s">
        <v>60</v>
      </c>
      <c r="F1569" s="0" t="n">
        <v>1594936</v>
      </c>
      <c r="G1569" s="0" t="s">
        <v>3101</v>
      </c>
      <c r="H1569" s="0" t="s">
        <v>3068</v>
      </c>
      <c r="I1569" s="0" t="n">
        <v>1594936</v>
      </c>
      <c r="J1569" s="0" t="s">
        <v>5874</v>
      </c>
      <c r="K1569" s="0" t="s">
        <v>2697</v>
      </c>
      <c r="L1569" s="0" t="n">
        <v>2015</v>
      </c>
      <c r="M1569" s="0" t="s">
        <v>2531</v>
      </c>
      <c r="N1569" s="0" t="s">
        <v>127</v>
      </c>
      <c r="O1569" s="0" t="s">
        <v>2532</v>
      </c>
      <c r="P1569" s="0" t="s">
        <v>5875</v>
      </c>
      <c r="Q1569" s="0" t="n">
        <v>203</v>
      </c>
      <c r="R1569" s="0" t="n">
        <v>203</v>
      </c>
      <c r="S1569" s="0" t="n">
        <v>20</v>
      </c>
      <c r="T1569" s="0" t="s">
        <v>5899</v>
      </c>
      <c r="U1569" s="0" t="s">
        <v>4808</v>
      </c>
      <c r="V1569" s="0" t="s">
        <v>84</v>
      </c>
      <c r="W1569" s="0" t="s">
        <v>5900</v>
      </c>
      <c r="X1569" s="0" t="s">
        <v>5901</v>
      </c>
      <c r="Y1569" s="0" t="s">
        <v>4159</v>
      </c>
      <c r="Z1569" s="0" t="s">
        <v>4160</v>
      </c>
      <c r="AA1569" s="0" t="s">
        <v>5902</v>
      </c>
      <c r="AB1569" s="0" t="s">
        <v>5879</v>
      </c>
      <c r="AC1569" s="0" t="s">
        <v>4162</v>
      </c>
      <c r="AD1569" s="0" t="s">
        <v>4163</v>
      </c>
      <c r="AE1569" s="0" t="s">
        <v>4164</v>
      </c>
      <c r="AF1569" s="0" t="s">
        <v>5880</v>
      </c>
      <c r="AH1569" s="0" t="s">
        <v>2239</v>
      </c>
      <c r="AL1569" s="0" t="s">
        <v>523</v>
      </c>
    </row>
    <row r="1570" customFormat="false" ht="15" hidden="false" customHeight="false" outlineLevel="0" collapsed="false">
      <c r="A1570" s="0" t="s">
        <v>911</v>
      </c>
      <c r="B1570" s="0" t="s">
        <v>125</v>
      </c>
      <c r="C1570" s="0" t="s">
        <v>4590</v>
      </c>
      <c r="D1570" s="0" t="n">
        <v>2015</v>
      </c>
      <c r="E1570" s="0" t="s">
        <v>61</v>
      </c>
      <c r="F1570" s="0" t="n">
        <v>137651</v>
      </c>
      <c r="G1570" s="0" t="s">
        <v>3101</v>
      </c>
      <c r="H1570" s="0" t="s">
        <v>3068</v>
      </c>
      <c r="I1570" s="0" t="n">
        <v>137651</v>
      </c>
      <c r="J1570" s="0" t="s">
        <v>5874</v>
      </c>
      <c r="K1570" s="0" t="s">
        <v>2697</v>
      </c>
      <c r="L1570" s="0" t="n">
        <v>2015</v>
      </c>
      <c r="M1570" s="0" t="s">
        <v>2531</v>
      </c>
      <c r="N1570" s="0" t="s">
        <v>127</v>
      </c>
      <c r="O1570" s="0" t="s">
        <v>2532</v>
      </c>
      <c r="P1570" s="0" t="s">
        <v>5875</v>
      </c>
      <c r="Q1570" s="0" t="n">
        <v>203</v>
      </c>
      <c r="R1570" s="0" t="n">
        <v>203</v>
      </c>
      <c r="S1570" s="0" t="n">
        <v>20</v>
      </c>
      <c r="T1570" s="0" t="s">
        <v>5903</v>
      </c>
      <c r="U1570" s="0" t="s">
        <v>4808</v>
      </c>
      <c r="V1570" s="0" t="s">
        <v>84</v>
      </c>
      <c r="W1570" s="0" t="s">
        <v>5900</v>
      </c>
      <c r="X1570" s="0" t="s">
        <v>5901</v>
      </c>
      <c r="Y1570" s="0" t="s">
        <v>4159</v>
      </c>
      <c r="Z1570" s="0" t="s">
        <v>4160</v>
      </c>
      <c r="AA1570" s="0" t="s">
        <v>5904</v>
      </c>
      <c r="AB1570" s="0" t="s">
        <v>5879</v>
      </c>
      <c r="AC1570" s="0" t="s">
        <v>4162</v>
      </c>
      <c r="AD1570" s="0" t="s">
        <v>4163</v>
      </c>
      <c r="AE1570" s="0" t="s">
        <v>4164</v>
      </c>
      <c r="AF1570" s="0" t="s">
        <v>5880</v>
      </c>
      <c r="AH1570" s="0" t="s">
        <v>2239</v>
      </c>
      <c r="AL1570" s="0" t="s">
        <v>523</v>
      </c>
    </row>
    <row r="1571" customFormat="false" ht="15" hidden="false" customHeight="false" outlineLevel="0" collapsed="false">
      <c r="A1571" s="0" t="s">
        <v>919</v>
      </c>
      <c r="B1571" s="0" t="s">
        <v>125</v>
      </c>
      <c r="C1571" s="0" t="s">
        <v>4590</v>
      </c>
      <c r="D1571" s="0" t="n">
        <v>2015</v>
      </c>
      <c r="E1571" s="0" t="s">
        <v>543</v>
      </c>
      <c r="F1571" s="0" t="n">
        <v>111378</v>
      </c>
      <c r="G1571" s="0" t="s">
        <v>3101</v>
      </c>
      <c r="H1571" s="0" t="s">
        <v>3068</v>
      </c>
      <c r="I1571" s="0" t="n">
        <v>111378</v>
      </c>
      <c r="J1571" s="0" t="s">
        <v>5874</v>
      </c>
      <c r="K1571" s="0" t="s">
        <v>2697</v>
      </c>
      <c r="L1571" s="0" t="n">
        <v>2015</v>
      </c>
      <c r="M1571" s="0" t="s">
        <v>2531</v>
      </c>
      <c r="N1571" s="0" t="s">
        <v>127</v>
      </c>
      <c r="O1571" s="0" t="s">
        <v>2532</v>
      </c>
      <c r="P1571" s="0" t="s">
        <v>5875</v>
      </c>
      <c r="Q1571" s="0" t="n">
        <v>203</v>
      </c>
      <c r="R1571" s="0" t="n">
        <v>203</v>
      </c>
      <c r="S1571" s="0" t="n">
        <v>20</v>
      </c>
      <c r="T1571" s="0" t="s">
        <v>5905</v>
      </c>
      <c r="U1571" s="0" t="s">
        <v>4808</v>
      </c>
      <c r="V1571" s="0" t="s">
        <v>84</v>
      </c>
      <c r="W1571" s="0" t="s">
        <v>5900</v>
      </c>
      <c r="X1571" s="0" t="s">
        <v>5901</v>
      </c>
      <c r="Y1571" s="0" t="s">
        <v>4159</v>
      </c>
      <c r="Z1571" s="0" t="s">
        <v>4160</v>
      </c>
      <c r="AA1571" s="0" t="s">
        <v>5906</v>
      </c>
      <c r="AB1571" s="0" t="s">
        <v>5879</v>
      </c>
      <c r="AC1571" s="0" t="s">
        <v>4162</v>
      </c>
      <c r="AD1571" s="0" t="s">
        <v>4163</v>
      </c>
      <c r="AE1571" s="0" t="s">
        <v>4164</v>
      </c>
      <c r="AF1571" s="0" t="s">
        <v>5880</v>
      </c>
      <c r="AH1571" s="0" t="s">
        <v>2239</v>
      </c>
      <c r="AL1571" s="0" t="s">
        <v>523</v>
      </c>
    </row>
    <row r="1572" customFormat="false" ht="15" hidden="false" customHeight="false" outlineLevel="0" collapsed="false">
      <c r="A1572" s="0" t="s">
        <v>920</v>
      </c>
      <c r="B1572" s="0" t="s">
        <v>125</v>
      </c>
      <c r="C1572" s="0" t="s">
        <v>4590</v>
      </c>
      <c r="D1572" s="0" t="n">
        <v>2015</v>
      </c>
      <c r="E1572" s="0" t="s">
        <v>545</v>
      </c>
      <c r="F1572" s="0" t="n">
        <v>26273</v>
      </c>
      <c r="G1572" s="0" t="s">
        <v>3101</v>
      </c>
      <c r="H1572" s="0" t="s">
        <v>3068</v>
      </c>
      <c r="I1572" s="0" t="n">
        <v>26273</v>
      </c>
      <c r="J1572" s="0" t="s">
        <v>5874</v>
      </c>
      <c r="K1572" s="0" t="s">
        <v>2697</v>
      </c>
      <c r="L1572" s="0" t="n">
        <v>2015</v>
      </c>
      <c r="M1572" s="0" t="s">
        <v>2531</v>
      </c>
      <c r="N1572" s="0" t="s">
        <v>127</v>
      </c>
      <c r="O1572" s="0" t="s">
        <v>2532</v>
      </c>
      <c r="P1572" s="0" t="s">
        <v>5875</v>
      </c>
      <c r="Q1572" s="0" t="n">
        <v>203</v>
      </c>
      <c r="R1572" s="0" t="n">
        <v>203</v>
      </c>
      <c r="S1572" s="0" t="n">
        <v>20</v>
      </c>
      <c r="T1572" s="0" t="s">
        <v>5907</v>
      </c>
      <c r="U1572" s="0" t="s">
        <v>4808</v>
      </c>
      <c r="V1572" s="0" t="s">
        <v>84</v>
      </c>
      <c r="W1572" s="0" t="s">
        <v>5900</v>
      </c>
      <c r="X1572" s="0" t="s">
        <v>5901</v>
      </c>
      <c r="Y1572" s="0" t="s">
        <v>4159</v>
      </c>
      <c r="Z1572" s="0" t="s">
        <v>4160</v>
      </c>
      <c r="AA1572" s="0" t="s">
        <v>5908</v>
      </c>
      <c r="AB1572" s="0" t="s">
        <v>5879</v>
      </c>
      <c r="AC1572" s="0" t="s">
        <v>4162</v>
      </c>
      <c r="AD1572" s="0" t="s">
        <v>4163</v>
      </c>
      <c r="AE1572" s="0" t="s">
        <v>4164</v>
      </c>
      <c r="AF1572" s="0" t="s">
        <v>5880</v>
      </c>
      <c r="AH1572" s="0" t="s">
        <v>2239</v>
      </c>
      <c r="AL1572" s="0" t="s">
        <v>523</v>
      </c>
    </row>
    <row r="1573" customFormat="false" ht="15" hidden="false" customHeight="false" outlineLevel="0" collapsed="false">
      <c r="A1573" s="0" t="s">
        <v>912</v>
      </c>
      <c r="B1573" s="0" t="s">
        <v>125</v>
      </c>
      <c r="C1573" s="0" t="s">
        <v>4590</v>
      </c>
      <c r="D1573" s="0" t="n">
        <v>2015</v>
      </c>
      <c r="E1573" s="0" t="s">
        <v>62</v>
      </c>
      <c r="F1573" s="0" t="n">
        <v>1457285</v>
      </c>
      <c r="G1573" s="0" t="s">
        <v>3101</v>
      </c>
      <c r="H1573" s="0" t="s">
        <v>3068</v>
      </c>
      <c r="I1573" s="0" t="n">
        <v>1457285</v>
      </c>
      <c r="J1573" s="0" t="s">
        <v>5874</v>
      </c>
      <c r="K1573" s="0" t="s">
        <v>2697</v>
      </c>
      <c r="L1573" s="0" t="n">
        <v>2015</v>
      </c>
      <c r="M1573" s="0" t="s">
        <v>2531</v>
      </c>
      <c r="N1573" s="0" t="s">
        <v>127</v>
      </c>
      <c r="O1573" s="0" t="s">
        <v>2532</v>
      </c>
      <c r="P1573" s="0" t="s">
        <v>5875</v>
      </c>
      <c r="Q1573" s="0" t="n">
        <v>124</v>
      </c>
      <c r="R1573" s="0" t="n">
        <v>124</v>
      </c>
      <c r="S1573" s="0" t="n">
        <v>20</v>
      </c>
      <c r="T1573" s="0" t="s">
        <v>4807</v>
      </c>
      <c r="U1573" s="0" t="s">
        <v>4808</v>
      </c>
      <c r="V1573" s="0" t="s">
        <v>84</v>
      </c>
      <c r="W1573" s="0" t="s">
        <v>5909</v>
      </c>
      <c r="X1573" s="0" t="s">
        <v>5877</v>
      </c>
      <c r="Y1573" s="0" t="s">
        <v>4159</v>
      </c>
      <c r="Z1573" s="0" t="s">
        <v>4160</v>
      </c>
      <c r="AA1573" s="0" t="s">
        <v>5910</v>
      </c>
      <c r="AB1573" s="0" t="s">
        <v>5879</v>
      </c>
      <c r="AC1573" s="0" t="s">
        <v>4162</v>
      </c>
      <c r="AD1573" s="0" t="s">
        <v>4163</v>
      </c>
      <c r="AE1573" s="0" t="s">
        <v>4164</v>
      </c>
      <c r="AF1573" s="0" t="s">
        <v>5880</v>
      </c>
      <c r="AH1573" s="0" t="s">
        <v>2239</v>
      </c>
      <c r="AL1573" s="0" t="s">
        <v>523</v>
      </c>
    </row>
    <row r="1574" customFormat="false" ht="15" hidden="false" customHeight="false" outlineLevel="0" collapsed="false">
      <c r="A1574" s="0" t="s">
        <v>916</v>
      </c>
      <c r="B1574" s="0" t="s">
        <v>125</v>
      </c>
      <c r="C1574" s="0" t="s">
        <v>4590</v>
      </c>
      <c r="D1574" s="0" t="n">
        <v>2015</v>
      </c>
      <c r="E1574" s="0" t="s">
        <v>65</v>
      </c>
      <c r="F1574" s="0" t="n">
        <v>430099</v>
      </c>
      <c r="G1574" s="0" t="s">
        <v>3101</v>
      </c>
      <c r="H1574" s="0" t="s">
        <v>3068</v>
      </c>
      <c r="I1574" s="0" t="n">
        <v>430099</v>
      </c>
      <c r="J1574" s="0" t="s">
        <v>5874</v>
      </c>
      <c r="K1574" s="0" t="s">
        <v>2697</v>
      </c>
      <c r="L1574" s="0" t="n">
        <v>2015</v>
      </c>
      <c r="M1574" s="0" t="s">
        <v>2531</v>
      </c>
      <c r="N1574" s="0" t="s">
        <v>127</v>
      </c>
      <c r="O1574" s="0" t="s">
        <v>2532</v>
      </c>
      <c r="P1574" s="0" t="s">
        <v>5875</v>
      </c>
      <c r="Q1574" s="0" t="n">
        <v>192</v>
      </c>
      <c r="R1574" s="0" t="n">
        <v>192</v>
      </c>
      <c r="S1574" s="0" t="n">
        <v>4</v>
      </c>
      <c r="T1574" s="0" t="s">
        <v>4807</v>
      </c>
      <c r="U1574" s="0" t="s">
        <v>4808</v>
      </c>
      <c r="V1574" s="0" t="s">
        <v>84</v>
      </c>
      <c r="W1574" s="0" t="s">
        <v>5911</v>
      </c>
      <c r="X1574" s="0" t="s">
        <v>5912</v>
      </c>
      <c r="Y1574" s="0" t="s">
        <v>4159</v>
      </c>
      <c r="Z1574" s="0" t="s">
        <v>4160</v>
      </c>
      <c r="AA1574" s="0" t="s">
        <v>5913</v>
      </c>
      <c r="AB1574" s="0" t="s">
        <v>5879</v>
      </c>
      <c r="AC1574" s="0" t="s">
        <v>4162</v>
      </c>
      <c r="AD1574" s="0" t="s">
        <v>4163</v>
      </c>
      <c r="AE1574" s="0" t="s">
        <v>4164</v>
      </c>
      <c r="AF1574" s="0" t="s">
        <v>5880</v>
      </c>
      <c r="AH1574" s="0" t="s">
        <v>2239</v>
      </c>
      <c r="AL1574" s="0" t="s">
        <v>523</v>
      </c>
    </row>
    <row r="1575" customFormat="false" ht="15" hidden="false" customHeight="false" outlineLevel="0" collapsed="false">
      <c r="A1575" s="0" t="s">
        <v>917</v>
      </c>
      <c r="B1575" s="0" t="s">
        <v>125</v>
      </c>
      <c r="C1575" s="0" t="s">
        <v>4590</v>
      </c>
      <c r="D1575" s="0" t="n">
        <v>2015</v>
      </c>
      <c r="E1575" s="0" t="s">
        <v>66</v>
      </c>
      <c r="F1575" s="0" t="n">
        <v>2518285</v>
      </c>
      <c r="G1575" s="0" t="s">
        <v>3101</v>
      </c>
      <c r="H1575" s="0" t="s">
        <v>3068</v>
      </c>
      <c r="I1575" s="0" t="n">
        <v>2518285</v>
      </c>
      <c r="J1575" s="0" t="s">
        <v>5874</v>
      </c>
      <c r="K1575" s="0" t="s">
        <v>2697</v>
      </c>
      <c r="L1575" s="0" t="n">
        <v>2015</v>
      </c>
      <c r="M1575" s="0" t="s">
        <v>2531</v>
      </c>
      <c r="N1575" s="0" t="s">
        <v>127</v>
      </c>
      <c r="O1575" s="0" t="s">
        <v>2532</v>
      </c>
      <c r="P1575" s="0" t="s">
        <v>5875</v>
      </c>
      <c r="Q1575" s="0" t="n">
        <v>192</v>
      </c>
      <c r="R1575" s="0" t="n">
        <v>192</v>
      </c>
      <c r="S1575" s="0" t="n">
        <v>4</v>
      </c>
      <c r="T1575" s="0" t="s">
        <v>4807</v>
      </c>
      <c r="U1575" s="0" t="s">
        <v>4808</v>
      </c>
      <c r="V1575" s="0" t="s">
        <v>84</v>
      </c>
      <c r="W1575" s="0" t="s">
        <v>5914</v>
      </c>
      <c r="X1575" s="0" t="s">
        <v>5912</v>
      </c>
      <c r="Y1575" s="0" t="s">
        <v>4159</v>
      </c>
      <c r="Z1575" s="0" t="s">
        <v>4160</v>
      </c>
      <c r="AA1575" s="0" t="s">
        <v>5915</v>
      </c>
      <c r="AB1575" s="0" t="s">
        <v>5879</v>
      </c>
      <c r="AC1575" s="0" t="s">
        <v>4162</v>
      </c>
      <c r="AD1575" s="0" t="s">
        <v>4163</v>
      </c>
      <c r="AE1575" s="0" t="s">
        <v>4164</v>
      </c>
      <c r="AF1575" s="0" t="s">
        <v>5880</v>
      </c>
      <c r="AH1575" s="0" t="s">
        <v>2239</v>
      </c>
      <c r="AL1575" s="0" t="s">
        <v>523</v>
      </c>
    </row>
    <row r="1576" customFormat="false" ht="15" hidden="false" customHeight="false" outlineLevel="0" collapsed="false">
      <c r="A1576" s="0" t="s">
        <v>914</v>
      </c>
      <c r="B1576" s="0" t="s">
        <v>125</v>
      </c>
      <c r="C1576" s="0" t="s">
        <v>4590</v>
      </c>
      <c r="D1576" s="0" t="n">
        <v>2015</v>
      </c>
      <c r="E1576" s="0" t="s">
        <v>69</v>
      </c>
      <c r="F1576" s="0" t="s">
        <v>5916</v>
      </c>
      <c r="G1576" s="0" t="s">
        <v>3143</v>
      </c>
      <c r="I1576" s="0" t="n">
        <v>17.08</v>
      </c>
      <c r="J1576" s="0" t="s">
        <v>5874</v>
      </c>
      <c r="K1576" s="0" t="s">
        <v>2697</v>
      </c>
      <c r="L1576" s="0" t="n">
        <v>2015</v>
      </c>
      <c r="M1576" s="0" t="s">
        <v>2531</v>
      </c>
      <c r="N1576" s="0" t="s">
        <v>127</v>
      </c>
      <c r="O1576" s="0" t="s">
        <v>2532</v>
      </c>
      <c r="P1576" s="0" t="s">
        <v>5875</v>
      </c>
      <c r="Q1576" s="0" t="n">
        <v>192</v>
      </c>
      <c r="R1576" s="0" t="n">
        <v>192</v>
      </c>
      <c r="S1576" s="0" t="n">
        <v>4</v>
      </c>
      <c r="T1576" s="0" t="s">
        <v>4807</v>
      </c>
      <c r="U1576" s="0" t="s">
        <v>4808</v>
      </c>
      <c r="V1576" s="0" t="s">
        <v>84</v>
      </c>
      <c r="W1576" s="0" t="s">
        <v>5917</v>
      </c>
      <c r="X1576" s="0" t="s">
        <v>5912</v>
      </c>
      <c r="Y1576" s="0" t="s">
        <v>4159</v>
      </c>
      <c r="Z1576" s="0" t="s">
        <v>4160</v>
      </c>
      <c r="AA1576" s="0" t="s">
        <v>5918</v>
      </c>
      <c r="AB1576" s="0" t="s">
        <v>5879</v>
      </c>
      <c r="AC1576" s="0" t="s">
        <v>4162</v>
      </c>
      <c r="AD1576" s="0" t="s">
        <v>4163</v>
      </c>
      <c r="AE1576" s="0" t="s">
        <v>4164</v>
      </c>
      <c r="AF1576" s="0" t="s">
        <v>5880</v>
      </c>
      <c r="AH1576" s="0" t="s">
        <v>2239</v>
      </c>
      <c r="AL1576" s="0" t="s">
        <v>523</v>
      </c>
    </row>
    <row r="1577" customFormat="false" ht="15" hidden="false" customHeight="false" outlineLevel="0" collapsed="false">
      <c r="A1577" s="0" t="s">
        <v>915</v>
      </c>
      <c r="B1577" s="0" t="s">
        <v>125</v>
      </c>
      <c r="C1577" s="0" t="s">
        <v>4590</v>
      </c>
      <c r="D1577" s="0" t="n">
        <v>2015</v>
      </c>
      <c r="E1577" s="0" t="s">
        <v>70</v>
      </c>
      <c r="F1577" s="0" t="s">
        <v>4253</v>
      </c>
      <c r="G1577" s="0" t="s">
        <v>3143</v>
      </c>
      <c r="I1577" s="0" t="n">
        <v>15</v>
      </c>
      <c r="J1577" s="0" t="s">
        <v>5874</v>
      </c>
      <c r="K1577" s="0" t="s">
        <v>2697</v>
      </c>
      <c r="L1577" s="0" t="n">
        <v>2015</v>
      </c>
      <c r="M1577" s="0" t="s">
        <v>2531</v>
      </c>
      <c r="N1577" s="0" t="s">
        <v>127</v>
      </c>
      <c r="O1577" s="0" t="s">
        <v>2532</v>
      </c>
      <c r="P1577" s="0" t="s">
        <v>5875</v>
      </c>
      <c r="Q1577" s="0" t="n">
        <v>191</v>
      </c>
      <c r="R1577" s="0" t="n">
        <v>191</v>
      </c>
      <c r="S1577" s="0" t="n">
        <v>4</v>
      </c>
      <c r="T1577" s="0" t="s">
        <v>5170</v>
      </c>
      <c r="U1577" s="0" t="s">
        <v>4808</v>
      </c>
      <c r="V1577" s="0" t="s">
        <v>84</v>
      </c>
      <c r="W1577" s="0" t="s">
        <v>5919</v>
      </c>
      <c r="X1577" s="0" t="s">
        <v>5920</v>
      </c>
      <c r="Y1577" s="0" t="s">
        <v>4159</v>
      </c>
      <c r="Z1577" s="0" t="s">
        <v>4160</v>
      </c>
      <c r="AA1577" s="0" t="s">
        <v>5921</v>
      </c>
      <c r="AB1577" s="0" t="s">
        <v>5879</v>
      </c>
      <c r="AC1577" s="0" t="s">
        <v>4162</v>
      </c>
      <c r="AD1577" s="0" t="s">
        <v>4163</v>
      </c>
      <c r="AE1577" s="0" t="s">
        <v>4164</v>
      </c>
      <c r="AF1577" s="0" t="s">
        <v>5880</v>
      </c>
      <c r="AH1577" s="0" t="s">
        <v>2239</v>
      </c>
      <c r="AL1577" s="0" t="s">
        <v>523</v>
      </c>
    </row>
    <row r="1578" customFormat="false" ht="15" hidden="false" customHeight="false" outlineLevel="0" collapsed="false">
      <c r="A1578" s="0" t="s">
        <v>934</v>
      </c>
      <c r="B1578" s="0" t="s">
        <v>125</v>
      </c>
      <c r="C1578" s="0" t="s">
        <v>4590</v>
      </c>
      <c r="D1578" s="0" t="n">
        <v>2016</v>
      </c>
      <c r="E1578" s="0" t="s">
        <v>73</v>
      </c>
      <c r="F1578" s="0" t="n">
        <v>0</v>
      </c>
      <c r="G1578" s="0" t="s">
        <v>4257</v>
      </c>
      <c r="I1578" s="0" t="n">
        <v>0</v>
      </c>
      <c r="J1578" s="0" t="s">
        <v>5922</v>
      </c>
      <c r="K1578" s="0" t="s">
        <v>5923</v>
      </c>
      <c r="L1578" s="0" t="n">
        <v>2016</v>
      </c>
      <c r="M1578" s="0" t="s">
        <v>2184</v>
      </c>
      <c r="N1578" s="0" t="s">
        <v>2535</v>
      </c>
      <c r="O1578" s="0" t="s">
        <v>2536</v>
      </c>
      <c r="P1578" s="0" t="s">
        <v>5924</v>
      </c>
      <c r="Q1578" s="0" t="n">
        <v>151</v>
      </c>
      <c r="R1578" s="0" t="n">
        <v>151</v>
      </c>
      <c r="T1578" s="0" t="s">
        <v>5925</v>
      </c>
      <c r="U1578" s="0" t="s">
        <v>4209</v>
      </c>
      <c r="V1578" s="0" t="s">
        <v>87</v>
      </c>
      <c r="W1578" s="0" t="s">
        <v>5926</v>
      </c>
      <c r="X1578" s="0" t="s">
        <v>5927</v>
      </c>
      <c r="Y1578" s="0" t="s">
        <v>4212</v>
      </c>
      <c r="Z1578" s="0" t="s">
        <v>4160</v>
      </c>
      <c r="AA1578" s="0" t="s">
        <v>5928</v>
      </c>
      <c r="AB1578" s="0" t="s">
        <v>5929</v>
      </c>
      <c r="AC1578" s="0" t="s">
        <v>4162</v>
      </c>
      <c r="AD1578" s="0" t="s">
        <v>4163</v>
      </c>
      <c r="AE1578" s="0" t="s">
        <v>4164</v>
      </c>
      <c r="AF1578" s="0" t="s">
        <v>5930</v>
      </c>
      <c r="AG1578" s="0" t="s">
        <v>1828</v>
      </c>
      <c r="AH1578" s="0" t="s">
        <v>2239</v>
      </c>
      <c r="AL1578" s="0" t="s">
        <v>539</v>
      </c>
    </row>
    <row r="1579" customFormat="false" ht="15" hidden="false" customHeight="false" outlineLevel="0" collapsed="false">
      <c r="A1579" s="0" t="s">
        <v>1312</v>
      </c>
      <c r="B1579" s="0" t="s">
        <v>169</v>
      </c>
      <c r="C1579" s="0" t="s">
        <v>4695</v>
      </c>
      <c r="D1579" s="0" t="n">
        <v>2022</v>
      </c>
      <c r="E1579" s="0" t="s">
        <v>55</v>
      </c>
      <c r="F1579" s="0" t="n">
        <v>1840622</v>
      </c>
      <c r="G1579" s="0" t="s">
        <v>3101</v>
      </c>
      <c r="H1579" s="0" t="s">
        <v>3068</v>
      </c>
      <c r="I1579" s="0" t="n">
        <v>1840622</v>
      </c>
      <c r="J1579" s="0" t="s">
        <v>4155</v>
      </c>
      <c r="K1579" s="0" t="s">
        <v>2725</v>
      </c>
      <c r="L1579" s="0" t="n">
        <v>2022</v>
      </c>
      <c r="M1579" s="0" t="s">
        <v>2194</v>
      </c>
      <c r="N1579" s="0" t="s">
        <v>177</v>
      </c>
      <c r="O1579" s="0" t="s">
        <v>2539</v>
      </c>
      <c r="P1579" s="0" t="s">
        <v>5931</v>
      </c>
      <c r="Q1579" s="0" t="n">
        <v>30</v>
      </c>
      <c r="S1579" s="0" t="s">
        <v>5453</v>
      </c>
      <c r="T1579" s="0" t="s">
        <v>5932</v>
      </c>
      <c r="U1579" s="0" t="s">
        <v>4265</v>
      </c>
      <c r="V1579" s="0" t="s">
        <v>114</v>
      </c>
      <c r="W1579" s="0" t="s">
        <v>5933</v>
      </c>
      <c r="X1579" s="0" t="s">
        <v>5934</v>
      </c>
      <c r="Y1579" s="0" t="s">
        <v>4159</v>
      </c>
      <c r="Z1579" s="0" t="s">
        <v>4160</v>
      </c>
      <c r="AA1579" s="0" t="s">
        <v>5935</v>
      </c>
      <c r="AB1579" s="0" t="s">
        <v>5936</v>
      </c>
      <c r="AC1579" s="0" t="s">
        <v>4162</v>
      </c>
      <c r="AD1579" s="0" t="s">
        <v>4163</v>
      </c>
      <c r="AE1579" s="0" t="s">
        <v>4164</v>
      </c>
      <c r="AF1579" s="0" t="s">
        <v>5937</v>
      </c>
      <c r="AH1579" s="0" t="s">
        <v>2239</v>
      </c>
      <c r="AL1579" s="0" t="s">
        <v>523</v>
      </c>
    </row>
    <row r="1580" customFormat="false" ht="15" hidden="false" customHeight="false" outlineLevel="0" collapsed="false">
      <c r="A1580" s="0" t="s">
        <v>1313</v>
      </c>
      <c r="B1580" s="0" t="s">
        <v>169</v>
      </c>
      <c r="C1580" s="0" t="s">
        <v>4695</v>
      </c>
      <c r="D1580" s="0" t="n">
        <v>2022</v>
      </c>
      <c r="E1580" s="0" t="s">
        <v>56</v>
      </c>
      <c r="F1580" s="0" t="n">
        <v>1687070</v>
      </c>
      <c r="G1580" s="0" t="s">
        <v>3101</v>
      </c>
      <c r="H1580" s="0" t="s">
        <v>3068</v>
      </c>
      <c r="I1580" s="0" t="n">
        <v>1687070</v>
      </c>
      <c r="J1580" s="0" t="s">
        <v>4155</v>
      </c>
      <c r="K1580" s="0" t="s">
        <v>2725</v>
      </c>
      <c r="L1580" s="0" t="n">
        <v>2022</v>
      </c>
      <c r="M1580" s="0" t="s">
        <v>2194</v>
      </c>
      <c r="N1580" s="0" t="s">
        <v>177</v>
      </c>
      <c r="O1580" s="0" t="s">
        <v>2539</v>
      </c>
      <c r="P1580" s="0" t="s">
        <v>5931</v>
      </c>
      <c r="Q1580" s="0" t="n">
        <v>30</v>
      </c>
      <c r="S1580" s="0" t="s">
        <v>5453</v>
      </c>
      <c r="T1580" s="0" t="s">
        <v>5932</v>
      </c>
      <c r="U1580" s="0" t="s">
        <v>4265</v>
      </c>
      <c r="V1580" s="0" t="s">
        <v>114</v>
      </c>
      <c r="W1580" s="0" t="s">
        <v>5938</v>
      </c>
      <c r="X1580" s="0" t="s">
        <v>5934</v>
      </c>
      <c r="Y1580" s="0" t="s">
        <v>4159</v>
      </c>
      <c r="Z1580" s="0" t="s">
        <v>4160</v>
      </c>
      <c r="AA1580" s="0" t="s">
        <v>5939</v>
      </c>
      <c r="AB1580" s="0" t="s">
        <v>5936</v>
      </c>
      <c r="AC1580" s="0" t="s">
        <v>4162</v>
      </c>
      <c r="AD1580" s="0" t="s">
        <v>4163</v>
      </c>
      <c r="AE1580" s="0" t="s">
        <v>4164</v>
      </c>
      <c r="AF1580" s="0" t="s">
        <v>5937</v>
      </c>
      <c r="AH1580" s="0" t="s">
        <v>2239</v>
      </c>
      <c r="AL1580" s="0" t="s">
        <v>523</v>
      </c>
    </row>
    <row r="1581" customFormat="false" ht="15" hidden="false" customHeight="false" outlineLevel="0" collapsed="false">
      <c r="A1581" s="0" t="s">
        <v>1314</v>
      </c>
      <c r="B1581" s="0" t="s">
        <v>169</v>
      </c>
      <c r="C1581" s="0" t="s">
        <v>4695</v>
      </c>
      <c r="D1581" s="0" t="n">
        <v>2022</v>
      </c>
      <c r="E1581" s="0" t="s">
        <v>57</v>
      </c>
      <c r="F1581" s="0" t="n">
        <v>153552</v>
      </c>
      <c r="G1581" s="0" t="s">
        <v>3101</v>
      </c>
      <c r="H1581" s="0" t="s">
        <v>3068</v>
      </c>
      <c r="I1581" s="0" t="n">
        <v>153552</v>
      </c>
      <c r="J1581" s="0" t="s">
        <v>4155</v>
      </c>
      <c r="K1581" s="0" t="s">
        <v>2725</v>
      </c>
      <c r="L1581" s="0" t="n">
        <v>2022</v>
      </c>
      <c r="M1581" s="0" t="s">
        <v>2194</v>
      </c>
      <c r="N1581" s="0" t="s">
        <v>177</v>
      </c>
      <c r="O1581" s="0" t="s">
        <v>2539</v>
      </c>
      <c r="P1581" s="0" t="s">
        <v>5931</v>
      </c>
      <c r="Q1581" s="0" t="n">
        <v>30</v>
      </c>
      <c r="S1581" s="0" t="s">
        <v>5453</v>
      </c>
      <c r="T1581" s="0" t="s">
        <v>5932</v>
      </c>
      <c r="U1581" s="0" t="s">
        <v>4265</v>
      </c>
      <c r="V1581" s="0" t="s">
        <v>114</v>
      </c>
      <c r="W1581" s="0" t="s">
        <v>5940</v>
      </c>
      <c r="X1581" s="0" t="s">
        <v>5934</v>
      </c>
      <c r="Y1581" s="0" t="s">
        <v>4159</v>
      </c>
      <c r="Z1581" s="0" t="s">
        <v>4160</v>
      </c>
      <c r="AA1581" s="0" t="s">
        <v>5941</v>
      </c>
      <c r="AB1581" s="0" t="s">
        <v>5936</v>
      </c>
      <c r="AC1581" s="0" t="s">
        <v>4162</v>
      </c>
      <c r="AD1581" s="0" t="s">
        <v>4163</v>
      </c>
      <c r="AE1581" s="0" t="s">
        <v>4164</v>
      </c>
      <c r="AF1581" s="0" t="s">
        <v>5937</v>
      </c>
      <c r="AH1581" s="0" t="s">
        <v>2239</v>
      </c>
      <c r="AL1581" s="0" t="s">
        <v>523</v>
      </c>
    </row>
    <row r="1582" customFormat="false" ht="15" hidden="false" customHeight="false" outlineLevel="0" collapsed="false">
      <c r="A1582" s="0" t="s">
        <v>1316</v>
      </c>
      <c r="B1582" s="0" t="s">
        <v>169</v>
      </c>
      <c r="C1582" s="0" t="s">
        <v>4695</v>
      </c>
      <c r="D1582" s="0" t="n">
        <v>2022</v>
      </c>
      <c r="E1582" s="0" t="s">
        <v>59</v>
      </c>
      <c r="F1582" s="0" t="n">
        <v>1606898</v>
      </c>
      <c r="G1582" s="0" t="s">
        <v>3101</v>
      </c>
      <c r="H1582" s="0" t="s">
        <v>3068</v>
      </c>
      <c r="I1582" s="0" t="n">
        <v>1606898</v>
      </c>
      <c r="J1582" s="0" t="s">
        <v>4155</v>
      </c>
      <c r="K1582" s="0" t="s">
        <v>2725</v>
      </c>
      <c r="L1582" s="0" t="n">
        <v>2022</v>
      </c>
      <c r="M1582" s="0" t="s">
        <v>2194</v>
      </c>
      <c r="N1582" s="0" t="s">
        <v>177</v>
      </c>
      <c r="O1582" s="0" t="s">
        <v>2539</v>
      </c>
      <c r="P1582" s="0" t="s">
        <v>5931</v>
      </c>
      <c r="Q1582" s="0" t="n">
        <v>30</v>
      </c>
      <c r="S1582" s="0" t="s">
        <v>5453</v>
      </c>
      <c r="T1582" s="0" t="s">
        <v>5942</v>
      </c>
      <c r="U1582" s="0" t="s">
        <v>4265</v>
      </c>
      <c r="V1582" s="0" t="s">
        <v>114</v>
      </c>
      <c r="W1582" s="0" t="s">
        <v>5933</v>
      </c>
      <c r="X1582" s="0" t="s">
        <v>5934</v>
      </c>
      <c r="Y1582" s="0" t="s">
        <v>4159</v>
      </c>
      <c r="Z1582" s="0" t="s">
        <v>4160</v>
      </c>
      <c r="AA1582" s="0" t="s">
        <v>5943</v>
      </c>
      <c r="AB1582" s="0" t="s">
        <v>5936</v>
      </c>
      <c r="AC1582" s="0" t="s">
        <v>4162</v>
      </c>
      <c r="AD1582" s="0" t="s">
        <v>4163</v>
      </c>
      <c r="AE1582" s="0" t="s">
        <v>4164</v>
      </c>
      <c r="AF1582" s="0" t="s">
        <v>5944</v>
      </c>
      <c r="AH1582" s="0" t="s">
        <v>2239</v>
      </c>
      <c r="AL1582" s="0" t="s">
        <v>523</v>
      </c>
    </row>
    <row r="1583" customFormat="false" ht="15" hidden="false" customHeight="false" outlineLevel="0" collapsed="false">
      <c r="A1583" s="0" t="s">
        <v>1311</v>
      </c>
      <c r="B1583" s="0" t="s">
        <v>169</v>
      </c>
      <c r="C1583" s="0" t="s">
        <v>4695</v>
      </c>
      <c r="D1583" s="0" t="n">
        <v>2022</v>
      </c>
      <c r="E1583" s="0" t="s">
        <v>54</v>
      </c>
      <c r="F1583" s="0" t="n">
        <v>19327</v>
      </c>
      <c r="G1583" s="0" t="s">
        <v>3101</v>
      </c>
      <c r="H1583" s="0" t="s">
        <v>3068</v>
      </c>
      <c r="I1583" s="0" t="n">
        <v>19327</v>
      </c>
      <c r="J1583" s="0" t="s">
        <v>4155</v>
      </c>
      <c r="K1583" s="0" t="s">
        <v>2725</v>
      </c>
      <c r="L1583" s="0" t="n">
        <v>2022</v>
      </c>
      <c r="M1583" s="0" t="s">
        <v>2194</v>
      </c>
      <c r="N1583" s="0" t="s">
        <v>177</v>
      </c>
      <c r="O1583" s="0" t="s">
        <v>2539</v>
      </c>
      <c r="P1583" s="0" t="s">
        <v>5931</v>
      </c>
      <c r="Q1583" s="0" t="n">
        <v>29</v>
      </c>
      <c r="R1583" s="0" t="n">
        <v>27</v>
      </c>
      <c r="T1583" s="0" t="n">
        <v>2022</v>
      </c>
      <c r="U1583" s="0" t="s">
        <v>4265</v>
      </c>
      <c r="V1583" s="0" t="s">
        <v>114</v>
      </c>
      <c r="W1583" s="0" t="s">
        <v>5945</v>
      </c>
      <c r="X1583" s="0" t="s">
        <v>5946</v>
      </c>
      <c r="Y1583" s="0" t="s">
        <v>4159</v>
      </c>
      <c r="Z1583" s="0" t="s">
        <v>4160</v>
      </c>
      <c r="AA1583" s="0" t="s">
        <v>5947</v>
      </c>
      <c r="AB1583" s="0" t="s">
        <v>5936</v>
      </c>
      <c r="AC1583" s="0" t="s">
        <v>4162</v>
      </c>
      <c r="AD1583" s="0" t="s">
        <v>4163</v>
      </c>
      <c r="AE1583" s="0" t="s">
        <v>4164</v>
      </c>
      <c r="AF1583" s="0" t="s">
        <v>5948</v>
      </c>
      <c r="AH1583" s="0" t="s">
        <v>2239</v>
      </c>
      <c r="AL1583" s="0" t="s">
        <v>523</v>
      </c>
    </row>
    <row r="1584" customFormat="false" ht="15" hidden="false" customHeight="false" outlineLevel="0" collapsed="false">
      <c r="A1584" s="0" t="s">
        <v>1326</v>
      </c>
      <c r="B1584" s="0" t="s">
        <v>169</v>
      </c>
      <c r="C1584" s="0" t="s">
        <v>4695</v>
      </c>
      <c r="D1584" s="0" t="n">
        <v>2022</v>
      </c>
      <c r="E1584" s="0" t="s">
        <v>541</v>
      </c>
      <c r="F1584" s="0" t="n">
        <v>20769</v>
      </c>
      <c r="G1584" s="0" t="s">
        <v>3101</v>
      </c>
      <c r="H1584" s="0" t="s">
        <v>3068</v>
      </c>
      <c r="I1584" s="0" t="n">
        <v>20769</v>
      </c>
      <c r="J1584" s="0" t="s">
        <v>4155</v>
      </c>
      <c r="K1584" s="0" t="s">
        <v>2725</v>
      </c>
      <c r="L1584" s="0" t="n">
        <v>2022</v>
      </c>
      <c r="M1584" s="0" t="s">
        <v>2194</v>
      </c>
      <c r="N1584" s="0" t="s">
        <v>177</v>
      </c>
      <c r="O1584" s="0" t="s">
        <v>2539</v>
      </c>
      <c r="P1584" s="0" t="s">
        <v>5931</v>
      </c>
      <c r="Q1584" s="0" t="n">
        <v>29</v>
      </c>
      <c r="R1584" s="0" t="n">
        <v>27</v>
      </c>
      <c r="T1584" s="0" t="n">
        <v>2022</v>
      </c>
      <c r="U1584" s="0" t="s">
        <v>4265</v>
      </c>
      <c r="V1584" s="0" t="s">
        <v>114</v>
      </c>
      <c r="W1584" s="0" t="s">
        <v>5949</v>
      </c>
      <c r="X1584" s="0" t="s">
        <v>5946</v>
      </c>
      <c r="Y1584" s="0" t="s">
        <v>4159</v>
      </c>
      <c r="Z1584" s="0" t="s">
        <v>4160</v>
      </c>
      <c r="AA1584" s="0" t="s">
        <v>5950</v>
      </c>
      <c r="AB1584" s="0" t="s">
        <v>5936</v>
      </c>
      <c r="AC1584" s="0" t="s">
        <v>4162</v>
      </c>
      <c r="AD1584" s="0" t="s">
        <v>4163</v>
      </c>
      <c r="AE1584" s="0" t="s">
        <v>4164</v>
      </c>
      <c r="AF1584" s="0" t="s">
        <v>5948</v>
      </c>
      <c r="AH1584" s="0" t="s">
        <v>2239</v>
      </c>
      <c r="AL1584" s="0" t="s">
        <v>523</v>
      </c>
    </row>
    <row r="1585" customFormat="false" ht="15" hidden="false" customHeight="false" outlineLevel="0" collapsed="false">
      <c r="A1585" s="0" t="s">
        <v>1320</v>
      </c>
      <c r="B1585" s="0" t="s">
        <v>169</v>
      </c>
      <c r="C1585" s="0" t="s">
        <v>4695</v>
      </c>
      <c r="D1585" s="0" t="n">
        <v>2022</v>
      </c>
      <c r="E1585" s="0" t="s">
        <v>63</v>
      </c>
      <c r="F1585" s="0" t="n">
        <v>-9084</v>
      </c>
      <c r="G1585" s="0" t="s">
        <v>3101</v>
      </c>
      <c r="H1585" s="0" t="s">
        <v>3068</v>
      </c>
      <c r="I1585" s="0" t="n">
        <v>9084</v>
      </c>
      <c r="J1585" s="0" t="s">
        <v>4155</v>
      </c>
      <c r="K1585" s="0" t="s">
        <v>2725</v>
      </c>
      <c r="L1585" s="0" t="n">
        <v>2022</v>
      </c>
      <c r="M1585" s="0" t="s">
        <v>2194</v>
      </c>
      <c r="N1585" s="0" t="s">
        <v>177</v>
      </c>
      <c r="O1585" s="0" t="s">
        <v>2539</v>
      </c>
      <c r="P1585" s="0" t="s">
        <v>5931</v>
      </c>
      <c r="Q1585" s="0" t="n">
        <v>29</v>
      </c>
      <c r="R1585" s="0" t="n">
        <v>27</v>
      </c>
      <c r="S1585" s="0" t="n">
        <v>11</v>
      </c>
      <c r="T1585" s="0" t="n">
        <v>2022</v>
      </c>
      <c r="U1585" s="0" t="s">
        <v>4265</v>
      </c>
      <c r="V1585" s="0" t="s">
        <v>114</v>
      </c>
      <c r="W1585" s="0" t="s">
        <v>5951</v>
      </c>
      <c r="X1585" s="0" t="s">
        <v>5946</v>
      </c>
      <c r="Y1585" s="0" t="s">
        <v>4159</v>
      </c>
      <c r="Z1585" s="0" t="s">
        <v>4160</v>
      </c>
      <c r="AA1585" s="0" t="s">
        <v>5952</v>
      </c>
      <c r="AB1585" s="0" t="s">
        <v>5936</v>
      </c>
      <c r="AC1585" s="0" t="s">
        <v>4162</v>
      </c>
      <c r="AD1585" s="0" t="s">
        <v>4163</v>
      </c>
      <c r="AE1585" s="0" t="s">
        <v>4164</v>
      </c>
      <c r="AF1585" s="0" t="s">
        <v>5948</v>
      </c>
      <c r="AH1585" s="0" t="s">
        <v>4174</v>
      </c>
      <c r="AI1585" s="0" t="s">
        <v>4974</v>
      </c>
      <c r="AL1585" s="0" t="s">
        <v>523</v>
      </c>
    </row>
    <row r="1586" customFormat="false" ht="15" hidden="false" customHeight="false" outlineLevel="0" collapsed="false">
      <c r="A1586" s="0" t="s">
        <v>1315</v>
      </c>
      <c r="B1586" s="0" t="s">
        <v>169</v>
      </c>
      <c r="C1586" s="0" t="s">
        <v>4695</v>
      </c>
      <c r="D1586" s="0" t="n">
        <v>2022</v>
      </c>
      <c r="E1586" s="0" t="s">
        <v>58</v>
      </c>
      <c r="F1586" s="0" t="n">
        <v>70837</v>
      </c>
      <c r="G1586" s="0" t="s">
        <v>3101</v>
      </c>
      <c r="H1586" s="0" t="s">
        <v>3068</v>
      </c>
      <c r="I1586" s="0" t="n">
        <v>70837</v>
      </c>
      <c r="J1586" s="0" t="s">
        <v>4155</v>
      </c>
      <c r="K1586" s="0" t="s">
        <v>2725</v>
      </c>
      <c r="L1586" s="0" t="n">
        <v>2022</v>
      </c>
      <c r="M1586" s="0" t="s">
        <v>2194</v>
      </c>
      <c r="N1586" s="0" t="s">
        <v>177</v>
      </c>
      <c r="O1586" s="0" t="s">
        <v>2539</v>
      </c>
      <c r="P1586" s="0" t="s">
        <v>5931</v>
      </c>
      <c r="Q1586" s="0" t="n">
        <v>35</v>
      </c>
      <c r="R1586" s="0" t="n">
        <v>33</v>
      </c>
      <c r="T1586" s="0" t="n">
        <v>2022</v>
      </c>
      <c r="U1586" s="0" t="s">
        <v>4265</v>
      </c>
      <c r="V1586" s="0" t="s">
        <v>114</v>
      </c>
      <c r="W1586" s="0" t="s">
        <v>5953</v>
      </c>
      <c r="X1586" s="0" t="s">
        <v>5954</v>
      </c>
      <c r="Y1586" s="0" t="s">
        <v>4159</v>
      </c>
      <c r="Z1586" s="0" t="s">
        <v>4160</v>
      </c>
      <c r="AA1586" s="0" t="s">
        <v>5955</v>
      </c>
      <c r="AB1586" s="0" t="s">
        <v>5936</v>
      </c>
      <c r="AC1586" s="0" t="s">
        <v>4162</v>
      </c>
      <c r="AD1586" s="0" t="s">
        <v>4163</v>
      </c>
      <c r="AE1586" s="0" t="s">
        <v>4164</v>
      </c>
      <c r="AF1586" s="0" t="s">
        <v>5956</v>
      </c>
      <c r="AH1586" s="0" t="s">
        <v>2239</v>
      </c>
      <c r="AL1586" s="0" t="s">
        <v>523</v>
      </c>
    </row>
    <row r="1587" customFormat="false" ht="15" hidden="false" customHeight="false" outlineLevel="0" collapsed="false">
      <c r="A1587" s="0" t="s">
        <v>1317</v>
      </c>
      <c r="B1587" s="0" t="s">
        <v>169</v>
      </c>
      <c r="C1587" s="0" t="s">
        <v>4695</v>
      </c>
      <c r="D1587" s="0" t="n">
        <v>2022</v>
      </c>
      <c r="E1587" s="0" t="s">
        <v>60</v>
      </c>
      <c r="F1587" s="0" t="n">
        <v>758183</v>
      </c>
      <c r="G1587" s="0" t="s">
        <v>3101</v>
      </c>
      <c r="H1587" s="0" t="s">
        <v>3068</v>
      </c>
      <c r="I1587" s="0" t="n">
        <v>758183</v>
      </c>
      <c r="J1587" s="0" t="s">
        <v>4155</v>
      </c>
      <c r="K1587" s="0" t="s">
        <v>2725</v>
      </c>
      <c r="L1587" s="0" t="n">
        <v>2022</v>
      </c>
      <c r="M1587" s="0" t="s">
        <v>2194</v>
      </c>
      <c r="N1587" s="0" t="s">
        <v>177</v>
      </c>
      <c r="O1587" s="0" t="s">
        <v>2539</v>
      </c>
      <c r="P1587" s="0" t="s">
        <v>5931</v>
      </c>
      <c r="Q1587" s="0" t="n">
        <v>77</v>
      </c>
      <c r="R1587" s="0" t="n">
        <v>75</v>
      </c>
      <c r="S1587" s="0" t="n">
        <v>20</v>
      </c>
      <c r="T1587" s="0" t="s">
        <v>5957</v>
      </c>
      <c r="U1587" s="0" t="s">
        <v>4265</v>
      </c>
      <c r="V1587" s="0" t="s">
        <v>114</v>
      </c>
      <c r="W1587" s="0" t="s">
        <v>5958</v>
      </c>
      <c r="X1587" s="0" t="s">
        <v>5959</v>
      </c>
      <c r="Y1587" s="0" t="s">
        <v>4159</v>
      </c>
      <c r="Z1587" s="0" t="s">
        <v>4160</v>
      </c>
      <c r="AA1587" s="0" t="s">
        <v>5960</v>
      </c>
      <c r="AB1587" s="0" t="s">
        <v>5936</v>
      </c>
      <c r="AC1587" s="0" t="s">
        <v>4162</v>
      </c>
      <c r="AD1587" s="0" t="s">
        <v>4163</v>
      </c>
      <c r="AE1587" s="0" t="s">
        <v>4164</v>
      </c>
      <c r="AF1587" s="0" t="s">
        <v>5961</v>
      </c>
      <c r="AH1587" s="0" t="s">
        <v>2239</v>
      </c>
      <c r="AL1587" s="0" t="s">
        <v>523</v>
      </c>
    </row>
    <row r="1588" customFormat="false" ht="15" hidden="false" customHeight="false" outlineLevel="0" collapsed="false">
      <c r="A1588" s="0" t="s">
        <v>1319</v>
      </c>
      <c r="B1588" s="0" t="s">
        <v>169</v>
      </c>
      <c r="C1588" s="0" t="s">
        <v>4695</v>
      </c>
      <c r="D1588" s="0" t="n">
        <v>2022</v>
      </c>
      <c r="E1588" s="0" t="s">
        <v>62</v>
      </c>
      <c r="F1588" s="0" t="n">
        <v>737735</v>
      </c>
      <c r="G1588" s="0" t="s">
        <v>3101</v>
      </c>
      <c r="H1588" s="0" t="s">
        <v>3068</v>
      </c>
      <c r="I1588" s="0" t="n">
        <v>737735</v>
      </c>
      <c r="J1588" s="0" t="s">
        <v>4155</v>
      </c>
      <c r="K1588" s="0" t="s">
        <v>2725</v>
      </c>
      <c r="L1588" s="0" t="n">
        <v>2022</v>
      </c>
      <c r="M1588" s="0" t="s">
        <v>2194</v>
      </c>
      <c r="N1588" s="0" t="s">
        <v>177</v>
      </c>
      <c r="O1588" s="0" t="s">
        <v>2539</v>
      </c>
      <c r="P1588" s="0" t="s">
        <v>5931</v>
      </c>
      <c r="Q1588" s="0" t="n">
        <v>77</v>
      </c>
      <c r="R1588" s="0" t="n">
        <v>75</v>
      </c>
      <c r="S1588" s="0" t="n">
        <v>20</v>
      </c>
      <c r="T1588" s="0" t="s">
        <v>5957</v>
      </c>
      <c r="U1588" s="0" t="s">
        <v>4265</v>
      </c>
      <c r="V1588" s="0" t="s">
        <v>114</v>
      </c>
      <c r="W1588" s="0" t="s">
        <v>5962</v>
      </c>
      <c r="X1588" s="0" t="s">
        <v>5959</v>
      </c>
      <c r="Y1588" s="0" t="s">
        <v>4159</v>
      </c>
      <c r="Z1588" s="0" t="s">
        <v>4160</v>
      </c>
      <c r="AA1588" s="0" t="s">
        <v>5963</v>
      </c>
      <c r="AB1588" s="0" t="s">
        <v>5936</v>
      </c>
      <c r="AC1588" s="0" t="s">
        <v>4162</v>
      </c>
      <c r="AD1588" s="0" t="s">
        <v>4163</v>
      </c>
      <c r="AE1588" s="0" t="s">
        <v>4164</v>
      </c>
      <c r="AF1588" s="0" t="s">
        <v>5961</v>
      </c>
      <c r="AH1588" s="0" t="s">
        <v>2239</v>
      </c>
      <c r="AL1588" s="0" t="s">
        <v>523</v>
      </c>
    </row>
    <row r="1589" customFormat="false" ht="15" hidden="false" customHeight="false" outlineLevel="0" collapsed="false">
      <c r="A1589" s="0" t="s">
        <v>1318</v>
      </c>
      <c r="B1589" s="0" t="s">
        <v>169</v>
      </c>
      <c r="C1589" s="0" t="s">
        <v>4695</v>
      </c>
      <c r="D1589" s="0" t="n">
        <v>2022</v>
      </c>
      <c r="E1589" s="0" t="s">
        <v>61</v>
      </c>
      <c r="F1589" s="0" t="n">
        <v>-20448</v>
      </c>
      <c r="G1589" s="0" t="s">
        <v>3101</v>
      </c>
      <c r="H1589" s="0" t="s">
        <v>3068</v>
      </c>
      <c r="I1589" s="0" t="n">
        <v>20448</v>
      </c>
      <c r="J1589" s="0" t="s">
        <v>4155</v>
      </c>
      <c r="K1589" s="0" t="s">
        <v>2725</v>
      </c>
      <c r="L1589" s="0" t="n">
        <v>2022</v>
      </c>
      <c r="M1589" s="0" t="s">
        <v>2194</v>
      </c>
      <c r="N1589" s="0" t="s">
        <v>177</v>
      </c>
      <c r="O1589" s="0" t="s">
        <v>2539</v>
      </c>
      <c r="P1589" s="0" t="s">
        <v>5931</v>
      </c>
      <c r="Q1589" s="0" t="n">
        <v>131</v>
      </c>
      <c r="R1589" s="0" t="n">
        <v>129</v>
      </c>
      <c r="S1589" s="0" t="n">
        <v>39</v>
      </c>
      <c r="T1589" s="0" t="s">
        <v>5633</v>
      </c>
      <c r="U1589" s="0" t="s">
        <v>4265</v>
      </c>
      <c r="V1589" s="0" t="s">
        <v>114</v>
      </c>
      <c r="W1589" s="0" t="s">
        <v>5964</v>
      </c>
      <c r="X1589" s="0" t="s">
        <v>5965</v>
      </c>
      <c r="Y1589" s="0" t="s">
        <v>4159</v>
      </c>
      <c r="Z1589" s="0" t="s">
        <v>4160</v>
      </c>
      <c r="AA1589" s="0" t="s">
        <v>5966</v>
      </c>
      <c r="AB1589" s="0" t="s">
        <v>5936</v>
      </c>
      <c r="AC1589" s="0" t="s">
        <v>4162</v>
      </c>
      <c r="AD1589" s="0" t="s">
        <v>4163</v>
      </c>
      <c r="AE1589" s="0" t="s">
        <v>4164</v>
      </c>
      <c r="AF1589" s="0" t="s">
        <v>5967</v>
      </c>
      <c r="AH1589" s="0" t="s">
        <v>4174</v>
      </c>
      <c r="AI1589" s="0" t="s">
        <v>4781</v>
      </c>
      <c r="AL1589" s="0" t="s">
        <v>523</v>
      </c>
    </row>
    <row r="1590" customFormat="false" ht="15" hidden="false" customHeight="false" outlineLevel="0" collapsed="false">
      <c r="A1590" s="0" t="s">
        <v>1323</v>
      </c>
      <c r="B1590" s="0" t="s">
        <v>169</v>
      </c>
      <c r="C1590" s="0" t="s">
        <v>4695</v>
      </c>
      <c r="D1590" s="0" t="n">
        <v>2022</v>
      </c>
      <c r="E1590" s="0" t="s">
        <v>65</v>
      </c>
      <c r="F1590" s="0" t="n">
        <v>148600</v>
      </c>
      <c r="G1590" s="0" t="s">
        <v>3101</v>
      </c>
      <c r="H1590" s="0" t="s">
        <v>3068</v>
      </c>
      <c r="I1590" s="0" t="n">
        <v>148600</v>
      </c>
      <c r="J1590" s="0" t="s">
        <v>4155</v>
      </c>
      <c r="K1590" s="0" t="s">
        <v>2725</v>
      </c>
      <c r="L1590" s="0" t="n">
        <v>2022</v>
      </c>
      <c r="M1590" s="0" t="s">
        <v>2194</v>
      </c>
      <c r="N1590" s="0" t="s">
        <v>177</v>
      </c>
      <c r="O1590" s="0" t="s">
        <v>2539</v>
      </c>
      <c r="P1590" s="0" t="s">
        <v>5931</v>
      </c>
      <c r="Q1590" s="0" t="n">
        <v>175</v>
      </c>
      <c r="R1590" s="0" t="n">
        <v>173</v>
      </c>
      <c r="S1590" s="0" t="s">
        <v>5968</v>
      </c>
      <c r="T1590" s="0" t="n">
        <v>2022</v>
      </c>
      <c r="U1590" s="0" t="s">
        <v>4265</v>
      </c>
      <c r="V1590" s="0" t="s">
        <v>114</v>
      </c>
      <c r="W1590" s="0" t="s">
        <v>5969</v>
      </c>
      <c r="X1590" s="0" t="s">
        <v>5970</v>
      </c>
      <c r="Y1590" s="0" t="s">
        <v>4159</v>
      </c>
      <c r="Z1590" s="0" t="s">
        <v>4160</v>
      </c>
      <c r="AA1590" s="0" t="s">
        <v>5971</v>
      </c>
      <c r="AB1590" s="0" t="s">
        <v>5936</v>
      </c>
      <c r="AC1590" s="0" t="s">
        <v>4162</v>
      </c>
      <c r="AD1590" s="0" t="s">
        <v>4163</v>
      </c>
      <c r="AE1590" s="0" t="s">
        <v>4164</v>
      </c>
      <c r="AF1590" s="0" t="s">
        <v>5972</v>
      </c>
      <c r="AH1590" s="0" t="s">
        <v>2239</v>
      </c>
      <c r="AL1590" s="0" t="s">
        <v>523</v>
      </c>
    </row>
    <row r="1591" customFormat="false" ht="15" hidden="false" customHeight="false" outlineLevel="0" collapsed="false">
      <c r="A1591" s="0" t="s">
        <v>1324</v>
      </c>
      <c r="B1591" s="0" t="s">
        <v>169</v>
      </c>
      <c r="C1591" s="0" t="s">
        <v>4695</v>
      </c>
      <c r="D1591" s="0" t="n">
        <v>2022</v>
      </c>
      <c r="E1591" s="0" t="s">
        <v>66</v>
      </c>
      <c r="F1591" s="0" t="n">
        <v>1012661</v>
      </c>
      <c r="G1591" s="0" t="s">
        <v>3101</v>
      </c>
      <c r="H1591" s="0" t="s">
        <v>3068</v>
      </c>
      <c r="I1591" s="0" t="n">
        <v>1012661</v>
      </c>
      <c r="J1591" s="0" t="s">
        <v>4155</v>
      </c>
      <c r="K1591" s="0" t="s">
        <v>2725</v>
      </c>
      <c r="L1591" s="0" t="n">
        <v>2022</v>
      </c>
      <c r="M1591" s="0" t="s">
        <v>2194</v>
      </c>
      <c r="N1591" s="0" t="s">
        <v>177</v>
      </c>
      <c r="O1591" s="0" t="s">
        <v>2539</v>
      </c>
      <c r="P1591" s="0" t="s">
        <v>5931</v>
      </c>
      <c r="Q1591" s="0" t="n">
        <v>175</v>
      </c>
      <c r="R1591" s="0" t="n">
        <v>173</v>
      </c>
      <c r="S1591" s="0" t="s">
        <v>5968</v>
      </c>
      <c r="T1591" s="0" t="n">
        <v>2022</v>
      </c>
      <c r="U1591" s="0" t="s">
        <v>4265</v>
      </c>
      <c r="V1591" s="0" t="s">
        <v>114</v>
      </c>
      <c r="W1591" s="0" t="s">
        <v>5973</v>
      </c>
      <c r="X1591" s="0" t="s">
        <v>5970</v>
      </c>
      <c r="Y1591" s="0" t="s">
        <v>4159</v>
      </c>
      <c r="Z1591" s="0" t="s">
        <v>4160</v>
      </c>
      <c r="AA1591" s="0" t="s">
        <v>5974</v>
      </c>
      <c r="AB1591" s="0" t="s">
        <v>5936</v>
      </c>
      <c r="AC1591" s="0" t="s">
        <v>4162</v>
      </c>
      <c r="AD1591" s="0" t="s">
        <v>4163</v>
      </c>
      <c r="AE1591" s="0" t="s">
        <v>4164</v>
      </c>
      <c r="AF1591" s="0" t="s">
        <v>5972</v>
      </c>
      <c r="AH1591" s="0" t="s">
        <v>2239</v>
      </c>
      <c r="AL1591" s="0" t="s">
        <v>523</v>
      </c>
    </row>
    <row r="1592" customFormat="false" ht="15" hidden="false" customHeight="false" outlineLevel="0" collapsed="false">
      <c r="A1592" s="0" t="s">
        <v>1321</v>
      </c>
      <c r="B1592" s="0" t="s">
        <v>169</v>
      </c>
      <c r="C1592" s="0" t="s">
        <v>4695</v>
      </c>
      <c r="D1592" s="0" t="n">
        <v>2022</v>
      </c>
      <c r="E1592" s="0" t="s">
        <v>69</v>
      </c>
      <c r="F1592" s="0" t="s">
        <v>5975</v>
      </c>
      <c r="G1592" s="0" t="s">
        <v>3143</v>
      </c>
      <c r="I1592" s="0" t="n">
        <v>14.67</v>
      </c>
      <c r="J1592" s="0" t="s">
        <v>4155</v>
      </c>
      <c r="K1592" s="0" t="s">
        <v>2725</v>
      </c>
      <c r="L1592" s="0" t="n">
        <v>2022</v>
      </c>
      <c r="M1592" s="0" t="s">
        <v>2194</v>
      </c>
      <c r="N1592" s="0" t="s">
        <v>177</v>
      </c>
      <c r="O1592" s="0" t="s">
        <v>2539</v>
      </c>
      <c r="P1592" s="0" t="s">
        <v>5931</v>
      </c>
      <c r="Q1592" s="0" t="n">
        <v>175</v>
      </c>
      <c r="R1592" s="0" t="n">
        <v>173</v>
      </c>
      <c r="S1592" s="0" t="s">
        <v>5968</v>
      </c>
      <c r="T1592" s="0" t="n">
        <v>2022</v>
      </c>
      <c r="U1592" s="0" t="s">
        <v>4265</v>
      </c>
      <c r="V1592" s="0" t="s">
        <v>114</v>
      </c>
      <c r="W1592" s="0" t="s">
        <v>5976</v>
      </c>
      <c r="X1592" s="0" t="s">
        <v>5970</v>
      </c>
      <c r="Y1592" s="0" t="s">
        <v>4159</v>
      </c>
      <c r="Z1592" s="0" t="s">
        <v>4160</v>
      </c>
      <c r="AA1592" s="0" t="s">
        <v>5977</v>
      </c>
      <c r="AB1592" s="0" t="s">
        <v>5936</v>
      </c>
      <c r="AC1592" s="0" t="s">
        <v>4162</v>
      </c>
      <c r="AD1592" s="0" t="s">
        <v>4163</v>
      </c>
      <c r="AE1592" s="0" t="s">
        <v>4164</v>
      </c>
      <c r="AF1592" s="0" t="s">
        <v>5972</v>
      </c>
      <c r="AH1592" s="0" t="s">
        <v>2239</v>
      </c>
      <c r="AL1592" s="0" t="s">
        <v>523</v>
      </c>
    </row>
    <row r="1593" customFormat="false" ht="15" hidden="false" customHeight="false" outlineLevel="0" collapsed="false">
      <c r="A1593" s="0" t="s">
        <v>1322</v>
      </c>
      <c r="B1593" s="0" t="s">
        <v>169</v>
      </c>
      <c r="C1593" s="0" t="s">
        <v>4695</v>
      </c>
      <c r="D1593" s="0" t="n">
        <v>2022</v>
      </c>
      <c r="E1593" s="0" t="s">
        <v>70</v>
      </c>
      <c r="F1593" s="0" t="s">
        <v>4299</v>
      </c>
      <c r="G1593" s="0" t="s">
        <v>3143</v>
      </c>
      <c r="I1593" s="0" t="n">
        <v>10</v>
      </c>
      <c r="J1593" s="0" t="s">
        <v>4155</v>
      </c>
      <c r="K1593" s="0" t="s">
        <v>2725</v>
      </c>
      <c r="L1593" s="0" t="n">
        <v>2022</v>
      </c>
      <c r="M1593" s="0" t="s">
        <v>2194</v>
      </c>
      <c r="N1593" s="0" t="s">
        <v>177</v>
      </c>
      <c r="O1593" s="0" t="s">
        <v>2539</v>
      </c>
      <c r="P1593" s="0" t="s">
        <v>5931</v>
      </c>
      <c r="Q1593" s="0" t="n">
        <v>174</v>
      </c>
      <c r="R1593" s="0" t="n">
        <v>172</v>
      </c>
      <c r="S1593" s="0" t="s">
        <v>5968</v>
      </c>
      <c r="T1593" s="0" t="s">
        <v>5978</v>
      </c>
      <c r="U1593" s="0" t="s">
        <v>4265</v>
      </c>
      <c r="V1593" s="0" t="s">
        <v>114</v>
      </c>
      <c r="W1593" s="0" t="s">
        <v>5979</v>
      </c>
      <c r="X1593" s="0" t="s">
        <v>5980</v>
      </c>
      <c r="Y1593" s="0" t="s">
        <v>4159</v>
      </c>
      <c r="Z1593" s="0" t="s">
        <v>4160</v>
      </c>
      <c r="AA1593" s="0" t="s">
        <v>5981</v>
      </c>
      <c r="AB1593" s="0" t="s">
        <v>5936</v>
      </c>
      <c r="AC1593" s="0" t="s">
        <v>4162</v>
      </c>
      <c r="AD1593" s="0" t="s">
        <v>4163</v>
      </c>
      <c r="AE1593" s="0" t="s">
        <v>4164</v>
      </c>
      <c r="AF1593" s="0" t="s">
        <v>5982</v>
      </c>
      <c r="AH1593" s="0" t="s">
        <v>2239</v>
      </c>
      <c r="AL1593" s="0" t="s">
        <v>523</v>
      </c>
    </row>
    <row r="1594" customFormat="false" ht="15" hidden="false" customHeight="false" outlineLevel="0" collapsed="false">
      <c r="A1594" s="0" t="s">
        <v>1325</v>
      </c>
      <c r="B1594" s="0" t="s">
        <v>169</v>
      </c>
      <c r="C1594" s="0" t="s">
        <v>4695</v>
      </c>
      <c r="D1594" s="0" t="n">
        <v>2022</v>
      </c>
      <c r="E1594" s="0" t="s">
        <v>73</v>
      </c>
      <c r="F1594" s="0" t="n">
        <v>0</v>
      </c>
      <c r="G1594" s="0" t="s">
        <v>4257</v>
      </c>
      <c r="I1594" s="0" t="n">
        <v>0</v>
      </c>
      <c r="J1594" s="0" t="s">
        <v>5652</v>
      </c>
      <c r="K1594" s="0" t="s">
        <v>2725</v>
      </c>
      <c r="L1594" s="0" t="n">
        <v>2022</v>
      </c>
      <c r="M1594" s="0" t="s">
        <v>2194</v>
      </c>
      <c r="N1594" s="0" t="s">
        <v>177</v>
      </c>
      <c r="O1594" s="0" t="s">
        <v>2539</v>
      </c>
      <c r="P1594" s="0" t="s">
        <v>5931</v>
      </c>
      <c r="Q1594" s="0" t="n">
        <v>25</v>
      </c>
      <c r="S1594" s="0" t="s">
        <v>5121</v>
      </c>
      <c r="T1594" s="0" t="s">
        <v>5983</v>
      </c>
      <c r="U1594" s="0" t="s">
        <v>4265</v>
      </c>
      <c r="V1594" s="0" t="s">
        <v>114</v>
      </c>
      <c r="W1594" s="0" t="s">
        <v>4803</v>
      </c>
      <c r="X1594" s="0" t="s">
        <v>5984</v>
      </c>
      <c r="Y1594" s="0" t="s">
        <v>4212</v>
      </c>
      <c r="Z1594" s="0" t="s">
        <v>4160</v>
      </c>
      <c r="AA1594" s="0" t="s">
        <v>5985</v>
      </c>
      <c r="AB1594" s="0" t="s">
        <v>5936</v>
      </c>
      <c r="AC1594" s="0" t="s">
        <v>4162</v>
      </c>
      <c r="AD1594" s="0" t="s">
        <v>4163</v>
      </c>
      <c r="AE1594" s="0" t="s">
        <v>4164</v>
      </c>
      <c r="AF1594" s="0" t="s">
        <v>5986</v>
      </c>
      <c r="AG1594" s="0" t="s">
        <v>1828</v>
      </c>
      <c r="AH1594" s="0" t="s">
        <v>2239</v>
      </c>
      <c r="AL1594" s="0" t="s">
        <v>539</v>
      </c>
    </row>
    <row r="1595" customFormat="false" ht="15" hidden="false" customHeight="false" outlineLevel="0" collapsed="false">
      <c r="A1595" s="0" t="s">
        <v>1078</v>
      </c>
      <c r="B1595" s="0" t="s">
        <v>136</v>
      </c>
      <c r="C1595" s="0" t="s">
        <v>4507</v>
      </c>
      <c r="D1595" s="0" t="n">
        <v>2020</v>
      </c>
      <c r="E1595" s="0" t="s">
        <v>55</v>
      </c>
      <c r="F1595" s="0" t="n">
        <v>4061543605</v>
      </c>
      <c r="G1595" s="0" t="s">
        <v>3067</v>
      </c>
      <c r="H1595" s="0" t="s">
        <v>3068</v>
      </c>
      <c r="I1595" s="0" t="n">
        <v>4061543.605</v>
      </c>
      <c r="J1595" s="0" t="s">
        <v>5987</v>
      </c>
      <c r="K1595" s="0" t="s">
        <v>2707</v>
      </c>
      <c r="L1595" s="0" t="n">
        <v>2020</v>
      </c>
      <c r="M1595" s="0" t="s">
        <v>2201</v>
      </c>
      <c r="N1595" s="0" t="s">
        <v>144</v>
      </c>
      <c r="O1595" s="0" t="s">
        <v>2542</v>
      </c>
      <c r="P1595" s="0" t="s">
        <v>5988</v>
      </c>
      <c r="Q1595" s="0" t="n">
        <v>69</v>
      </c>
      <c r="R1595" s="0" t="n">
        <v>65</v>
      </c>
      <c r="T1595" s="0" t="s">
        <v>5989</v>
      </c>
      <c r="U1595" s="0" t="s">
        <v>4201</v>
      </c>
      <c r="V1595" s="0" t="s">
        <v>95</v>
      </c>
      <c r="W1595" s="0" t="s">
        <v>5990</v>
      </c>
      <c r="X1595" s="0" t="s">
        <v>5991</v>
      </c>
      <c r="Y1595" s="0" t="s">
        <v>4159</v>
      </c>
      <c r="Z1595" s="0" t="s">
        <v>4160</v>
      </c>
      <c r="AA1595" s="0" t="s">
        <v>5992</v>
      </c>
      <c r="AB1595" s="0" t="s">
        <v>5993</v>
      </c>
      <c r="AC1595" s="0" t="s">
        <v>4162</v>
      </c>
      <c r="AD1595" s="0" t="s">
        <v>4163</v>
      </c>
      <c r="AE1595" s="0" t="s">
        <v>4164</v>
      </c>
      <c r="AF1595" s="0" t="s">
        <v>5994</v>
      </c>
      <c r="AH1595" s="0" t="s">
        <v>2239</v>
      </c>
      <c r="AL1595" s="0" t="s">
        <v>523</v>
      </c>
    </row>
    <row r="1596" customFormat="false" ht="15" hidden="false" customHeight="false" outlineLevel="0" collapsed="false">
      <c r="A1596" s="0" t="s">
        <v>1079</v>
      </c>
      <c r="B1596" s="0" t="s">
        <v>136</v>
      </c>
      <c r="C1596" s="0" t="s">
        <v>4507</v>
      </c>
      <c r="D1596" s="0" t="n">
        <v>2020</v>
      </c>
      <c r="E1596" s="0" t="s">
        <v>56</v>
      </c>
      <c r="F1596" s="0" t="n">
        <v>3359144080</v>
      </c>
      <c r="G1596" s="0" t="s">
        <v>3067</v>
      </c>
      <c r="H1596" s="0" t="s">
        <v>3068</v>
      </c>
      <c r="I1596" s="0" t="n">
        <v>3359144.08</v>
      </c>
      <c r="J1596" s="0" t="s">
        <v>5987</v>
      </c>
      <c r="K1596" s="0" t="s">
        <v>2707</v>
      </c>
      <c r="L1596" s="0" t="n">
        <v>2020</v>
      </c>
      <c r="M1596" s="0" t="s">
        <v>2201</v>
      </c>
      <c r="N1596" s="0" t="s">
        <v>144</v>
      </c>
      <c r="O1596" s="0" t="s">
        <v>2542</v>
      </c>
      <c r="P1596" s="0" t="s">
        <v>5988</v>
      </c>
      <c r="Q1596" s="0" t="n">
        <v>69</v>
      </c>
      <c r="R1596" s="0" t="n">
        <v>65</v>
      </c>
      <c r="T1596" s="0" t="s">
        <v>5989</v>
      </c>
      <c r="U1596" s="0" t="s">
        <v>4201</v>
      </c>
      <c r="V1596" s="0" t="s">
        <v>95</v>
      </c>
      <c r="W1596" s="0" t="s">
        <v>5995</v>
      </c>
      <c r="X1596" s="0" t="s">
        <v>5991</v>
      </c>
      <c r="Y1596" s="0" t="s">
        <v>4159</v>
      </c>
      <c r="Z1596" s="0" t="s">
        <v>4160</v>
      </c>
      <c r="AA1596" s="0" t="s">
        <v>5996</v>
      </c>
      <c r="AB1596" s="0" t="s">
        <v>5993</v>
      </c>
      <c r="AC1596" s="0" t="s">
        <v>4162</v>
      </c>
      <c r="AD1596" s="0" t="s">
        <v>4163</v>
      </c>
      <c r="AE1596" s="0" t="s">
        <v>4164</v>
      </c>
      <c r="AF1596" s="0" t="s">
        <v>5994</v>
      </c>
      <c r="AH1596" s="0" t="s">
        <v>2239</v>
      </c>
      <c r="AL1596" s="0" t="s">
        <v>523</v>
      </c>
    </row>
    <row r="1597" customFormat="false" ht="15" hidden="false" customHeight="false" outlineLevel="0" collapsed="false">
      <c r="A1597" s="0" t="s">
        <v>1080</v>
      </c>
      <c r="B1597" s="0" t="s">
        <v>136</v>
      </c>
      <c r="C1597" s="0" t="s">
        <v>4507</v>
      </c>
      <c r="D1597" s="0" t="n">
        <v>2020</v>
      </c>
      <c r="E1597" s="0" t="s">
        <v>57</v>
      </c>
      <c r="F1597" s="0" t="n">
        <v>702399525</v>
      </c>
      <c r="G1597" s="0" t="s">
        <v>3067</v>
      </c>
      <c r="H1597" s="0" t="s">
        <v>3068</v>
      </c>
      <c r="I1597" s="0" t="n">
        <v>702399.525</v>
      </c>
      <c r="J1597" s="0" t="s">
        <v>5987</v>
      </c>
      <c r="K1597" s="0" t="s">
        <v>2707</v>
      </c>
      <c r="L1597" s="0" t="n">
        <v>2020</v>
      </c>
      <c r="M1597" s="0" t="s">
        <v>2201</v>
      </c>
      <c r="N1597" s="0" t="s">
        <v>144</v>
      </c>
      <c r="O1597" s="0" t="s">
        <v>2542</v>
      </c>
      <c r="P1597" s="0" t="s">
        <v>5988</v>
      </c>
      <c r="Q1597" s="0" t="n">
        <v>70</v>
      </c>
      <c r="R1597" s="0" t="n">
        <v>66</v>
      </c>
      <c r="T1597" s="0" t="s">
        <v>5989</v>
      </c>
      <c r="U1597" s="0" t="s">
        <v>4201</v>
      </c>
      <c r="V1597" s="0" t="s">
        <v>95</v>
      </c>
      <c r="W1597" s="0" t="s">
        <v>5997</v>
      </c>
      <c r="X1597" s="0" t="s">
        <v>5998</v>
      </c>
      <c r="Y1597" s="0" t="s">
        <v>4159</v>
      </c>
      <c r="Z1597" s="0" t="s">
        <v>4160</v>
      </c>
      <c r="AA1597" s="0" t="s">
        <v>5999</v>
      </c>
      <c r="AB1597" s="0" t="s">
        <v>5993</v>
      </c>
      <c r="AC1597" s="0" t="s">
        <v>4162</v>
      </c>
      <c r="AD1597" s="0" t="s">
        <v>4163</v>
      </c>
      <c r="AE1597" s="0" t="s">
        <v>4164</v>
      </c>
      <c r="AF1597" s="0" t="s">
        <v>5994</v>
      </c>
      <c r="AH1597" s="0" t="s">
        <v>2239</v>
      </c>
      <c r="AL1597" s="0" t="s">
        <v>523</v>
      </c>
    </row>
    <row r="1598" customFormat="false" ht="15" hidden="false" customHeight="false" outlineLevel="0" collapsed="false">
      <c r="A1598" s="0" t="s">
        <v>1082</v>
      </c>
      <c r="B1598" s="0" t="s">
        <v>136</v>
      </c>
      <c r="C1598" s="0" t="s">
        <v>4507</v>
      </c>
      <c r="D1598" s="0" t="n">
        <v>2020</v>
      </c>
      <c r="E1598" s="0" t="s">
        <v>59</v>
      </c>
      <c r="F1598" s="0" t="n">
        <v>3097248495</v>
      </c>
      <c r="G1598" s="0" t="s">
        <v>3067</v>
      </c>
      <c r="H1598" s="0" t="s">
        <v>3068</v>
      </c>
      <c r="I1598" s="0" t="n">
        <v>3097248.495</v>
      </c>
      <c r="J1598" s="0" t="s">
        <v>5987</v>
      </c>
      <c r="K1598" s="0" t="s">
        <v>2707</v>
      </c>
      <c r="L1598" s="0" t="n">
        <v>2020</v>
      </c>
      <c r="M1598" s="0" t="s">
        <v>2201</v>
      </c>
      <c r="N1598" s="0" t="s">
        <v>144</v>
      </c>
      <c r="O1598" s="0" t="s">
        <v>2542</v>
      </c>
      <c r="P1598" s="0" t="s">
        <v>5988</v>
      </c>
      <c r="Q1598" s="0" t="n">
        <v>69</v>
      </c>
      <c r="R1598" s="0" t="n">
        <v>65</v>
      </c>
      <c r="T1598" s="0" t="s">
        <v>4510</v>
      </c>
      <c r="U1598" s="0" t="s">
        <v>4201</v>
      </c>
      <c r="V1598" s="0" t="s">
        <v>95</v>
      </c>
      <c r="W1598" s="0" t="s">
        <v>5990</v>
      </c>
      <c r="X1598" s="0" t="s">
        <v>5991</v>
      </c>
      <c r="Y1598" s="0" t="s">
        <v>4159</v>
      </c>
      <c r="Z1598" s="0" t="s">
        <v>4160</v>
      </c>
      <c r="AA1598" s="0" t="s">
        <v>6000</v>
      </c>
      <c r="AB1598" s="0" t="s">
        <v>5993</v>
      </c>
      <c r="AC1598" s="0" t="s">
        <v>4162</v>
      </c>
      <c r="AD1598" s="0" t="s">
        <v>4163</v>
      </c>
      <c r="AE1598" s="0" t="s">
        <v>4164</v>
      </c>
      <c r="AF1598" s="0" t="s">
        <v>6001</v>
      </c>
      <c r="AH1598" s="0" t="s">
        <v>2239</v>
      </c>
      <c r="AL1598" s="0" t="s">
        <v>523</v>
      </c>
    </row>
    <row r="1599" customFormat="false" ht="15" hidden="false" customHeight="false" outlineLevel="0" collapsed="false">
      <c r="A1599" s="0" t="s">
        <v>1077</v>
      </c>
      <c r="B1599" s="0" t="s">
        <v>136</v>
      </c>
      <c r="C1599" s="0" t="s">
        <v>4507</v>
      </c>
      <c r="D1599" s="0" t="n">
        <v>2020</v>
      </c>
      <c r="E1599" s="0" t="s">
        <v>54</v>
      </c>
      <c r="F1599" s="0" t="n">
        <v>178188398</v>
      </c>
      <c r="G1599" s="0" t="s">
        <v>3067</v>
      </c>
      <c r="H1599" s="0" t="s">
        <v>3068</v>
      </c>
      <c r="I1599" s="0" t="n">
        <v>178188.398</v>
      </c>
      <c r="J1599" s="0" t="s">
        <v>5987</v>
      </c>
      <c r="K1599" s="0" t="s">
        <v>2707</v>
      </c>
      <c r="L1599" s="0" t="n">
        <v>2020</v>
      </c>
      <c r="M1599" s="0" t="s">
        <v>2201</v>
      </c>
      <c r="N1599" s="0" t="s">
        <v>144</v>
      </c>
      <c r="O1599" s="0" t="s">
        <v>2542</v>
      </c>
      <c r="P1599" s="0" t="s">
        <v>5988</v>
      </c>
      <c r="Q1599" s="0" t="n">
        <v>71</v>
      </c>
      <c r="R1599" s="0" t="n">
        <v>67</v>
      </c>
      <c r="T1599" s="0" t="s">
        <v>5989</v>
      </c>
      <c r="U1599" s="0" t="s">
        <v>4201</v>
      </c>
      <c r="V1599" s="0" t="s">
        <v>95</v>
      </c>
      <c r="W1599" s="0" t="s">
        <v>6002</v>
      </c>
      <c r="X1599" s="0" t="s">
        <v>6003</v>
      </c>
      <c r="Y1599" s="0" t="s">
        <v>4159</v>
      </c>
      <c r="Z1599" s="0" t="s">
        <v>4160</v>
      </c>
      <c r="AA1599" s="0" t="s">
        <v>6004</v>
      </c>
      <c r="AB1599" s="0" t="s">
        <v>5993</v>
      </c>
      <c r="AC1599" s="0" t="s">
        <v>4162</v>
      </c>
      <c r="AD1599" s="0" t="s">
        <v>4163</v>
      </c>
      <c r="AE1599" s="0" t="s">
        <v>4164</v>
      </c>
      <c r="AF1599" s="0" t="s">
        <v>6005</v>
      </c>
      <c r="AH1599" s="0" t="s">
        <v>2239</v>
      </c>
      <c r="AL1599" s="0" t="s">
        <v>523</v>
      </c>
    </row>
    <row r="1600" customFormat="false" ht="15" hidden="false" customHeight="false" outlineLevel="0" collapsed="false">
      <c r="A1600" s="0" t="s">
        <v>1096</v>
      </c>
      <c r="B1600" s="0" t="s">
        <v>136</v>
      </c>
      <c r="C1600" s="0" t="s">
        <v>4507</v>
      </c>
      <c r="D1600" s="0" t="n">
        <v>2020</v>
      </c>
      <c r="E1600" s="0" t="s">
        <v>541</v>
      </c>
      <c r="F1600" s="0" t="n">
        <v>205130559</v>
      </c>
      <c r="G1600" s="0" t="s">
        <v>3067</v>
      </c>
      <c r="H1600" s="0" t="s">
        <v>3068</v>
      </c>
      <c r="I1600" s="0" t="n">
        <v>205130.559</v>
      </c>
      <c r="J1600" s="0" t="s">
        <v>5987</v>
      </c>
      <c r="K1600" s="0" t="s">
        <v>2707</v>
      </c>
      <c r="L1600" s="0" t="n">
        <v>2020</v>
      </c>
      <c r="M1600" s="0" t="s">
        <v>2201</v>
      </c>
      <c r="N1600" s="0" t="s">
        <v>144</v>
      </c>
      <c r="O1600" s="0" t="s">
        <v>2542</v>
      </c>
      <c r="P1600" s="0" t="s">
        <v>5988</v>
      </c>
      <c r="Q1600" s="0" t="n">
        <v>71</v>
      </c>
      <c r="R1600" s="0" t="n">
        <v>67</v>
      </c>
      <c r="T1600" s="0" t="s">
        <v>5989</v>
      </c>
      <c r="U1600" s="0" t="s">
        <v>4201</v>
      </c>
      <c r="V1600" s="0" t="s">
        <v>95</v>
      </c>
      <c r="W1600" s="0" t="s">
        <v>6006</v>
      </c>
      <c r="X1600" s="0" t="s">
        <v>6003</v>
      </c>
      <c r="Y1600" s="0" t="s">
        <v>4159</v>
      </c>
      <c r="Z1600" s="0" t="s">
        <v>4160</v>
      </c>
      <c r="AA1600" s="0" t="s">
        <v>6007</v>
      </c>
      <c r="AB1600" s="0" t="s">
        <v>5993</v>
      </c>
      <c r="AC1600" s="0" t="s">
        <v>4162</v>
      </c>
      <c r="AD1600" s="0" t="s">
        <v>4163</v>
      </c>
      <c r="AE1600" s="0" t="s">
        <v>4164</v>
      </c>
      <c r="AF1600" s="0" t="s">
        <v>6005</v>
      </c>
      <c r="AH1600" s="0" t="s">
        <v>2239</v>
      </c>
      <c r="AL1600" s="0" t="s">
        <v>523</v>
      </c>
    </row>
    <row r="1601" customFormat="false" ht="15" hidden="false" customHeight="false" outlineLevel="0" collapsed="false">
      <c r="A1601" s="0" t="s">
        <v>1087</v>
      </c>
      <c r="B1601" s="0" t="s">
        <v>136</v>
      </c>
      <c r="C1601" s="0" t="s">
        <v>4507</v>
      </c>
      <c r="D1601" s="0" t="n">
        <v>2020</v>
      </c>
      <c r="E1601" s="0" t="s">
        <v>307</v>
      </c>
      <c r="F1601" s="0" t="n">
        <v>-13667341</v>
      </c>
      <c r="G1601" s="0" t="s">
        <v>3067</v>
      </c>
      <c r="H1601" s="0" t="s">
        <v>3068</v>
      </c>
      <c r="I1601" s="0" t="n">
        <v>13667.341</v>
      </c>
      <c r="J1601" s="0" t="s">
        <v>5987</v>
      </c>
      <c r="K1601" s="0" t="s">
        <v>2707</v>
      </c>
      <c r="L1601" s="0" t="n">
        <v>2020</v>
      </c>
      <c r="M1601" s="0" t="s">
        <v>2201</v>
      </c>
      <c r="N1601" s="0" t="s">
        <v>144</v>
      </c>
      <c r="O1601" s="0" t="s">
        <v>2542</v>
      </c>
      <c r="P1601" s="0" t="s">
        <v>5988</v>
      </c>
      <c r="Q1601" s="0" t="n">
        <v>71</v>
      </c>
      <c r="R1601" s="0" t="n">
        <v>67</v>
      </c>
      <c r="S1601" s="0" t="n">
        <v>11</v>
      </c>
      <c r="T1601" s="0" t="s">
        <v>5989</v>
      </c>
      <c r="U1601" s="0" t="s">
        <v>4201</v>
      </c>
      <c r="V1601" s="0" t="s">
        <v>95</v>
      </c>
      <c r="W1601" s="0" t="s">
        <v>6008</v>
      </c>
      <c r="X1601" s="0" t="s">
        <v>6003</v>
      </c>
      <c r="Y1601" s="0" t="s">
        <v>4159</v>
      </c>
      <c r="Z1601" s="0" t="s">
        <v>4160</v>
      </c>
      <c r="AA1601" s="0" t="s">
        <v>6009</v>
      </c>
      <c r="AB1601" s="0" t="s">
        <v>5993</v>
      </c>
      <c r="AC1601" s="0" t="s">
        <v>4162</v>
      </c>
      <c r="AD1601" s="0" t="s">
        <v>4163</v>
      </c>
      <c r="AE1601" s="0" t="s">
        <v>4164</v>
      </c>
      <c r="AF1601" s="0" t="s">
        <v>6005</v>
      </c>
      <c r="AH1601" s="0" t="s">
        <v>4174</v>
      </c>
      <c r="AI1601" s="0" t="s">
        <v>4974</v>
      </c>
      <c r="AL1601" s="0" t="s">
        <v>523</v>
      </c>
    </row>
    <row r="1602" customFormat="false" ht="15" hidden="false" customHeight="false" outlineLevel="0" collapsed="false">
      <c r="A1602" s="0" t="s">
        <v>1088</v>
      </c>
      <c r="B1602" s="0" t="s">
        <v>136</v>
      </c>
      <c r="C1602" s="0" t="s">
        <v>4507</v>
      </c>
      <c r="D1602" s="0" t="n">
        <v>2020</v>
      </c>
      <c r="E1602" s="0" t="s">
        <v>1038</v>
      </c>
      <c r="F1602" s="0" t="n">
        <v>3111874</v>
      </c>
      <c r="G1602" s="0" t="s">
        <v>3067</v>
      </c>
      <c r="H1602" s="0" t="s">
        <v>3068</v>
      </c>
      <c r="I1602" s="0" t="n">
        <v>-3111.874</v>
      </c>
      <c r="J1602" s="0" t="s">
        <v>5987</v>
      </c>
      <c r="K1602" s="0" t="s">
        <v>2707</v>
      </c>
      <c r="L1602" s="0" t="n">
        <v>2020</v>
      </c>
      <c r="M1602" s="0" t="s">
        <v>2201</v>
      </c>
      <c r="N1602" s="0" t="s">
        <v>144</v>
      </c>
      <c r="O1602" s="0" t="s">
        <v>2542</v>
      </c>
      <c r="P1602" s="0" t="s">
        <v>5988</v>
      </c>
      <c r="Q1602" s="0" t="n">
        <v>71</v>
      </c>
      <c r="R1602" s="0" t="n">
        <v>67</v>
      </c>
      <c r="S1602" s="0" t="n">
        <v>16</v>
      </c>
      <c r="T1602" s="0" t="s">
        <v>5989</v>
      </c>
      <c r="U1602" s="0" t="s">
        <v>4201</v>
      </c>
      <c r="V1602" s="0" t="s">
        <v>95</v>
      </c>
      <c r="W1602" s="0" t="s">
        <v>6010</v>
      </c>
      <c r="X1602" s="0" t="s">
        <v>6003</v>
      </c>
      <c r="Y1602" s="0" t="s">
        <v>4159</v>
      </c>
      <c r="Z1602" s="0" t="s">
        <v>4160</v>
      </c>
      <c r="AA1602" s="0" t="s">
        <v>6011</v>
      </c>
      <c r="AB1602" s="0" t="s">
        <v>5993</v>
      </c>
      <c r="AC1602" s="0" t="s">
        <v>4162</v>
      </c>
      <c r="AD1602" s="0" t="s">
        <v>4163</v>
      </c>
      <c r="AE1602" s="0" t="s">
        <v>4164</v>
      </c>
      <c r="AF1602" s="0" t="s">
        <v>6005</v>
      </c>
      <c r="AH1602" s="0" t="s">
        <v>4174</v>
      </c>
      <c r="AI1602" s="0" t="s">
        <v>6012</v>
      </c>
      <c r="AL1602" s="0" t="s">
        <v>523</v>
      </c>
    </row>
    <row r="1603" customFormat="false" ht="15" hidden="false" customHeight="false" outlineLevel="0" collapsed="false">
      <c r="A1603" s="0" t="s">
        <v>1081</v>
      </c>
      <c r="B1603" s="0" t="s">
        <v>136</v>
      </c>
      <c r="C1603" s="0" t="s">
        <v>4507</v>
      </c>
      <c r="D1603" s="0" t="n">
        <v>2020</v>
      </c>
      <c r="E1603" s="0" t="s">
        <v>58</v>
      </c>
      <c r="F1603" s="0" t="n">
        <v>327793446</v>
      </c>
      <c r="G1603" s="0" t="s">
        <v>3067</v>
      </c>
      <c r="H1603" s="0" t="s">
        <v>3068</v>
      </c>
      <c r="I1603" s="0" t="n">
        <v>327793.446</v>
      </c>
      <c r="J1603" s="0" t="s">
        <v>5987</v>
      </c>
      <c r="K1603" s="0" t="s">
        <v>2707</v>
      </c>
      <c r="L1603" s="0" t="n">
        <v>2020</v>
      </c>
      <c r="M1603" s="0" t="s">
        <v>2201</v>
      </c>
      <c r="N1603" s="0" t="s">
        <v>144</v>
      </c>
      <c r="O1603" s="0" t="s">
        <v>2542</v>
      </c>
      <c r="P1603" s="0" t="s">
        <v>5988</v>
      </c>
      <c r="Q1603" s="0" t="n">
        <v>77</v>
      </c>
      <c r="R1603" s="0" t="n">
        <v>73</v>
      </c>
      <c r="T1603" s="0" t="s">
        <v>5989</v>
      </c>
      <c r="U1603" s="0" t="s">
        <v>4201</v>
      </c>
      <c r="V1603" s="0" t="s">
        <v>95</v>
      </c>
      <c r="W1603" s="0" t="s">
        <v>6013</v>
      </c>
      <c r="X1603" s="0" t="s">
        <v>6014</v>
      </c>
      <c r="Y1603" s="0" t="s">
        <v>4159</v>
      </c>
      <c r="Z1603" s="0" t="s">
        <v>4160</v>
      </c>
      <c r="AA1603" s="0" t="s">
        <v>6015</v>
      </c>
      <c r="AB1603" s="0" t="s">
        <v>5993</v>
      </c>
      <c r="AC1603" s="0" t="s">
        <v>4162</v>
      </c>
      <c r="AD1603" s="0" t="s">
        <v>4163</v>
      </c>
      <c r="AE1603" s="0" t="s">
        <v>4164</v>
      </c>
      <c r="AF1603" s="0" t="s">
        <v>6016</v>
      </c>
      <c r="AH1603" s="0" t="s">
        <v>2239</v>
      </c>
      <c r="AL1603" s="0" t="s">
        <v>523</v>
      </c>
    </row>
    <row r="1604" customFormat="false" ht="15" hidden="false" customHeight="false" outlineLevel="0" collapsed="false">
      <c r="A1604" s="0" t="s">
        <v>1083</v>
      </c>
      <c r="B1604" s="0" t="s">
        <v>136</v>
      </c>
      <c r="C1604" s="0" t="s">
        <v>4507</v>
      </c>
      <c r="D1604" s="0" t="n">
        <v>2020</v>
      </c>
      <c r="E1604" s="0" t="s">
        <v>60</v>
      </c>
      <c r="F1604" s="0" t="n">
        <v>1473498356</v>
      </c>
      <c r="G1604" s="0" t="s">
        <v>3067</v>
      </c>
      <c r="H1604" s="0" t="s">
        <v>3068</v>
      </c>
      <c r="I1604" s="0" t="n">
        <v>1473498.356</v>
      </c>
      <c r="J1604" s="0" t="s">
        <v>5987</v>
      </c>
      <c r="K1604" s="0" t="s">
        <v>2707</v>
      </c>
      <c r="L1604" s="0" t="n">
        <v>2020</v>
      </c>
      <c r="M1604" s="0" t="s">
        <v>2201</v>
      </c>
      <c r="N1604" s="0" t="s">
        <v>144</v>
      </c>
      <c r="O1604" s="0" t="s">
        <v>2542</v>
      </c>
      <c r="P1604" s="0" t="s">
        <v>5988</v>
      </c>
      <c r="Q1604" s="0" t="n">
        <v>167</v>
      </c>
      <c r="R1604" s="0" t="n">
        <v>163</v>
      </c>
      <c r="S1604" s="0" t="s">
        <v>6017</v>
      </c>
      <c r="T1604" s="0" t="s">
        <v>6018</v>
      </c>
      <c r="U1604" s="0" t="s">
        <v>4201</v>
      </c>
      <c r="V1604" s="0" t="s">
        <v>95</v>
      </c>
      <c r="W1604" s="0" t="s">
        <v>6019</v>
      </c>
      <c r="X1604" s="0" t="s">
        <v>6020</v>
      </c>
      <c r="Y1604" s="0" t="s">
        <v>4159</v>
      </c>
      <c r="Z1604" s="0" t="s">
        <v>4160</v>
      </c>
      <c r="AA1604" s="0" t="s">
        <v>6021</v>
      </c>
      <c r="AB1604" s="0" t="s">
        <v>5993</v>
      </c>
      <c r="AC1604" s="0" t="s">
        <v>4162</v>
      </c>
      <c r="AD1604" s="0" t="s">
        <v>4163</v>
      </c>
      <c r="AE1604" s="0" t="s">
        <v>4164</v>
      </c>
      <c r="AF1604" s="0" t="s">
        <v>6022</v>
      </c>
      <c r="AH1604" s="0" t="s">
        <v>2239</v>
      </c>
      <c r="AL1604" s="0" t="s">
        <v>523</v>
      </c>
    </row>
    <row r="1605" customFormat="false" ht="15" hidden="false" customHeight="false" outlineLevel="0" collapsed="false">
      <c r="A1605" s="0" t="s">
        <v>6023</v>
      </c>
      <c r="B1605" s="0" t="s">
        <v>136</v>
      </c>
      <c r="C1605" s="0" t="s">
        <v>4507</v>
      </c>
      <c r="D1605" s="0" t="n">
        <v>2020</v>
      </c>
      <c r="E1605" s="0" t="s">
        <v>4534</v>
      </c>
      <c r="F1605" s="0" t="n">
        <v>-10338167</v>
      </c>
      <c r="G1605" s="0" t="s">
        <v>3067</v>
      </c>
      <c r="H1605" s="0" t="s">
        <v>3068</v>
      </c>
      <c r="I1605" s="0" t="n">
        <v>10338.167</v>
      </c>
      <c r="J1605" s="0" t="s">
        <v>5987</v>
      </c>
      <c r="K1605" s="0" t="s">
        <v>2707</v>
      </c>
      <c r="L1605" s="0" t="n">
        <v>2020</v>
      </c>
      <c r="M1605" s="0" t="s">
        <v>2201</v>
      </c>
      <c r="N1605" s="0" t="s">
        <v>144</v>
      </c>
      <c r="O1605" s="0" t="s">
        <v>2542</v>
      </c>
      <c r="P1605" s="0" t="s">
        <v>5988</v>
      </c>
      <c r="Q1605" s="0" t="n">
        <v>273</v>
      </c>
      <c r="R1605" s="0" t="n">
        <v>269</v>
      </c>
      <c r="S1605" s="0" t="n">
        <v>29</v>
      </c>
      <c r="T1605" s="0" t="s">
        <v>5989</v>
      </c>
      <c r="U1605" s="0" t="s">
        <v>4201</v>
      </c>
      <c r="V1605" s="0" t="s">
        <v>95</v>
      </c>
      <c r="W1605" s="0" t="s">
        <v>6024</v>
      </c>
      <c r="X1605" s="0" t="s">
        <v>6025</v>
      </c>
      <c r="Y1605" s="0" t="s">
        <v>4159</v>
      </c>
      <c r="Z1605" s="0" t="s">
        <v>4160</v>
      </c>
      <c r="AA1605" s="0" t="s">
        <v>6026</v>
      </c>
      <c r="AB1605" s="0" t="s">
        <v>5993</v>
      </c>
      <c r="AC1605" s="0" t="s">
        <v>4162</v>
      </c>
      <c r="AD1605" s="0" t="s">
        <v>4163</v>
      </c>
      <c r="AE1605" s="0" t="s">
        <v>4164</v>
      </c>
      <c r="AF1605" s="0" t="s">
        <v>6027</v>
      </c>
      <c r="AH1605" s="0" t="s">
        <v>4174</v>
      </c>
      <c r="AI1605" s="0" t="s">
        <v>4781</v>
      </c>
      <c r="AL1605" s="0" t="s">
        <v>523</v>
      </c>
    </row>
    <row r="1606" customFormat="false" ht="15" hidden="false" customHeight="false" outlineLevel="0" collapsed="false">
      <c r="A1606" s="0" t="s">
        <v>6028</v>
      </c>
      <c r="B1606" s="0" t="s">
        <v>136</v>
      </c>
      <c r="C1606" s="0" t="s">
        <v>4507</v>
      </c>
      <c r="D1606" s="0" t="n">
        <v>2020</v>
      </c>
      <c r="E1606" s="0" t="s">
        <v>4540</v>
      </c>
      <c r="F1606" s="0" t="n">
        <v>-52582455</v>
      </c>
      <c r="G1606" s="0" t="s">
        <v>3067</v>
      </c>
      <c r="H1606" s="0" t="s">
        <v>3068</v>
      </c>
      <c r="I1606" s="0" t="n">
        <v>52582.455</v>
      </c>
      <c r="J1606" s="0" t="s">
        <v>5987</v>
      </c>
      <c r="K1606" s="0" t="s">
        <v>2707</v>
      </c>
      <c r="L1606" s="0" t="n">
        <v>2020</v>
      </c>
      <c r="M1606" s="0" t="s">
        <v>2201</v>
      </c>
      <c r="N1606" s="0" t="s">
        <v>144</v>
      </c>
      <c r="O1606" s="0" t="s">
        <v>2542</v>
      </c>
      <c r="P1606" s="0" t="s">
        <v>5988</v>
      </c>
      <c r="Q1606" s="0" t="n">
        <v>273</v>
      </c>
      <c r="R1606" s="0" t="n">
        <v>269</v>
      </c>
      <c r="S1606" s="0" t="n">
        <v>29</v>
      </c>
      <c r="T1606" s="0" t="s">
        <v>5989</v>
      </c>
      <c r="U1606" s="0" t="s">
        <v>4201</v>
      </c>
      <c r="V1606" s="0" t="s">
        <v>95</v>
      </c>
      <c r="W1606" s="0" t="s">
        <v>6029</v>
      </c>
      <c r="X1606" s="0" t="s">
        <v>6025</v>
      </c>
      <c r="Y1606" s="0" t="s">
        <v>4159</v>
      </c>
      <c r="Z1606" s="0" t="s">
        <v>4160</v>
      </c>
      <c r="AA1606" s="0" t="s">
        <v>6030</v>
      </c>
      <c r="AB1606" s="0" t="s">
        <v>5993</v>
      </c>
      <c r="AC1606" s="0" t="s">
        <v>4162</v>
      </c>
      <c r="AD1606" s="0" t="s">
        <v>4163</v>
      </c>
      <c r="AE1606" s="0" t="s">
        <v>4164</v>
      </c>
      <c r="AF1606" s="0" t="s">
        <v>6027</v>
      </c>
      <c r="AH1606" s="0" t="s">
        <v>4174</v>
      </c>
      <c r="AI1606" s="0" t="s">
        <v>4781</v>
      </c>
      <c r="AL1606" s="0" t="s">
        <v>523</v>
      </c>
    </row>
    <row r="1607" customFormat="false" ht="15" hidden="false" customHeight="false" outlineLevel="0" collapsed="false">
      <c r="A1607" s="0" t="s">
        <v>1085</v>
      </c>
      <c r="B1607" s="0" t="s">
        <v>136</v>
      </c>
      <c r="C1607" s="0" t="s">
        <v>4507</v>
      </c>
      <c r="D1607" s="0" t="n">
        <v>2020</v>
      </c>
      <c r="E1607" s="0" t="s">
        <v>62</v>
      </c>
      <c r="F1607" s="0" t="n">
        <v>1410577734</v>
      </c>
      <c r="G1607" s="0" t="s">
        <v>3067</v>
      </c>
      <c r="H1607" s="0" t="s">
        <v>3068</v>
      </c>
      <c r="I1607" s="0" t="n">
        <v>1410577.734</v>
      </c>
      <c r="J1607" s="0" t="s">
        <v>5987</v>
      </c>
      <c r="K1607" s="0" t="s">
        <v>2707</v>
      </c>
      <c r="L1607" s="0" t="n">
        <v>2020</v>
      </c>
      <c r="M1607" s="0" t="s">
        <v>2201</v>
      </c>
      <c r="N1607" s="0" t="s">
        <v>144</v>
      </c>
      <c r="O1607" s="0" t="s">
        <v>2542</v>
      </c>
      <c r="P1607" s="0" t="s">
        <v>5988</v>
      </c>
      <c r="Q1607" s="0" t="n">
        <v>69</v>
      </c>
      <c r="R1607" s="0" t="n">
        <v>65</v>
      </c>
      <c r="S1607" s="0" t="n">
        <v>29</v>
      </c>
      <c r="T1607" s="0" t="s">
        <v>5989</v>
      </c>
      <c r="U1607" s="0" t="s">
        <v>4201</v>
      </c>
      <c r="V1607" s="0" t="s">
        <v>95</v>
      </c>
      <c r="W1607" s="0" t="s">
        <v>6031</v>
      </c>
      <c r="X1607" s="0" t="s">
        <v>5991</v>
      </c>
      <c r="Y1607" s="0" t="s">
        <v>4159</v>
      </c>
      <c r="Z1607" s="0" t="s">
        <v>4160</v>
      </c>
      <c r="AA1607" s="0" t="s">
        <v>6032</v>
      </c>
      <c r="AB1607" s="0" t="s">
        <v>5993</v>
      </c>
      <c r="AC1607" s="0" t="s">
        <v>4162</v>
      </c>
      <c r="AD1607" s="0" t="s">
        <v>4163</v>
      </c>
      <c r="AE1607" s="0" t="s">
        <v>4164</v>
      </c>
      <c r="AF1607" s="0" t="s">
        <v>5994</v>
      </c>
      <c r="AH1607" s="0" t="s">
        <v>2239</v>
      </c>
      <c r="AL1607" s="0" t="s">
        <v>523</v>
      </c>
    </row>
    <row r="1608" customFormat="false" ht="15" hidden="false" customHeight="false" outlineLevel="0" collapsed="false">
      <c r="A1608" s="0" t="s">
        <v>1092</v>
      </c>
      <c r="B1608" s="0" t="s">
        <v>136</v>
      </c>
      <c r="C1608" s="0" t="s">
        <v>4507</v>
      </c>
      <c r="D1608" s="0" t="n">
        <v>2020</v>
      </c>
      <c r="E1608" s="0" t="s">
        <v>65</v>
      </c>
      <c r="F1608" s="0" t="n">
        <v>467871040</v>
      </c>
      <c r="G1608" s="0" t="s">
        <v>3067</v>
      </c>
      <c r="H1608" s="0" t="s">
        <v>3068</v>
      </c>
      <c r="I1608" s="0" t="n">
        <v>467871.04</v>
      </c>
      <c r="J1608" s="0" t="s">
        <v>5987</v>
      </c>
      <c r="K1608" s="0" t="s">
        <v>2707</v>
      </c>
      <c r="L1608" s="0" t="n">
        <v>2020</v>
      </c>
      <c r="M1608" s="0" t="s">
        <v>2201</v>
      </c>
      <c r="N1608" s="0" t="s">
        <v>144</v>
      </c>
      <c r="O1608" s="0" t="s">
        <v>2542</v>
      </c>
      <c r="P1608" s="0" t="s">
        <v>5988</v>
      </c>
      <c r="Q1608" s="0" t="n">
        <v>224</v>
      </c>
      <c r="R1608" s="0" t="n">
        <v>220</v>
      </c>
      <c r="S1608" s="0" t="n">
        <v>5</v>
      </c>
      <c r="T1608" s="0" t="s">
        <v>6033</v>
      </c>
      <c r="U1608" s="0" t="s">
        <v>4201</v>
      </c>
      <c r="V1608" s="0" t="s">
        <v>95</v>
      </c>
      <c r="W1608" s="0" t="s">
        <v>6034</v>
      </c>
      <c r="X1608" s="0" t="s">
        <v>6035</v>
      </c>
      <c r="Y1608" s="0" t="s">
        <v>4159</v>
      </c>
      <c r="Z1608" s="0" t="s">
        <v>4160</v>
      </c>
      <c r="AA1608" s="0" t="s">
        <v>6036</v>
      </c>
      <c r="AB1608" s="0" t="s">
        <v>5993</v>
      </c>
      <c r="AC1608" s="0" t="s">
        <v>4162</v>
      </c>
      <c r="AD1608" s="0" t="s">
        <v>4163</v>
      </c>
      <c r="AE1608" s="0" t="s">
        <v>4164</v>
      </c>
      <c r="AF1608" s="0" t="s">
        <v>6037</v>
      </c>
      <c r="AH1608" s="0" t="s">
        <v>2239</v>
      </c>
      <c r="AL1608" s="0" t="s">
        <v>523</v>
      </c>
    </row>
    <row r="1609" customFormat="false" ht="15" hidden="false" customHeight="false" outlineLevel="0" collapsed="false">
      <c r="A1609" s="0" t="s">
        <v>1093</v>
      </c>
      <c r="B1609" s="0" t="s">
        <v>136</v>
      </c>
      <c r="C1609" s="0" t="s">
        <v>4507</v>
      </c>
      <c r="D1609" s="0" t="n">
        <v>2020</v>
      </c>
      <c r="E1609" s="0" t="s">
        <v>66</v>
      </c>
      <c r="F1609" s="0" t="n">
        <v>2393202250</v>
      </c>
      <c r="G1609" s="0" t="s">
        <v>3067</v>
      </c>
      <c r="H1609" s="0" t="s">
        <v>3068</v>
      </c>
      <c r="I1609" s="0" t="n">
        <v>2393202.25</v>
      </c>
      <c r="J1609" s="0" t="s">
        <v>5987</v>
      </c>
      <c r="K1609" s="0" t="s">
        <v>2707</v>
      </c>
      <c r="L1609" s="0" t="n">
        <v>2020</v>
      </c>
      <c r="M1609" s="0" t="s">
        <v>2201</v>
      </c>
      <c r="N1609" s="0" t="s">
        <v>144</v>
      </c>
      <c r="O1609" s="0" t="s">
        <v>2542</v>
      </c>
      <c r="P1609" s="0" t="s">
        <v>5988</v>
      </c>
      <c r="Q1609" s="0" t="n">
        <v>224</v>
      </c>
      <c r="R1609" s="0" t="n">
        <v>220</v>
      </c>
      <c r="S1609" s="0" t="n">
        <v>5</v>
      </c>
      <c r="T1609" s="0" t="s">
        <v>6033</v>
      </c>
      <c r="U1609" s="0" t="s">
        <v>4201</v>
      </c>
      <c r="V1609" s="0" t="s">
        <v>95</v>
      </c>
      <c r="W1609" s="0" t="s">
        <v>6038</v>
      </c>
      <c r="X1609" s="0" t="s">
        <v>6035</v>
      </c>
      <c r="Y1609" s="0" t="s">
        <v>4159</v>
      </c>
      <c r="Z1609" s="0" t="s">
        <v>4160</v>
      </c>
      <c r="AA1609" s="0" t="s">
        <v>6039</v>
      </c>
      <c r="AB1609" s="0" t="s">
        <v>5993</v>
      </c>
      <c r="AC1609" s="0" t="s">
        <v>4162</v>
      </c>
      <c r="AD1609" s="0" t="s">
        <v>4163</v>
      </c>
      <c r="AE1609" s="0" t="s">
        <v>4164</v>
      </c>
      <c r="AF1609" s="0" t="s">
        <v>6037</v>
      </c>
      <c r="AH1609" s="0" t="s">
        <v>2239</v>
      </c>
      <c r="AL1609" s="0" t="s">
        <v>523</v>
      </c>
    </row>
    <row r="1610" customFormat="false" ht="15" hidden="false" customHeight="false" outlineLevel="0" collapsed="false">
      <c r="A1610" s="0" t="s">
        <v>1089</v>
      </c>
      <c r="B1610" s="0" t="s">
        <v>136</v>
      </c>
      <c r="C1610" s="0" t="s">
        <v>4507</v>
      </c>
      <c r="D1610" s="0" t="n">
        <v>2020</v>
      </c>
      <c r="E1610" s="0" t="s">
        <v>69</v>
      </c>
      <c r="F1610" s="0" t="s">
        <v>5167</v>
      </c>
      <c r="G1610" s="0" t="s">
        <v>3143</v>
      </c>
      <c r="I1610" s="0" t="n">
        <v>19.55</v>
      </c>
      <c r="J1610" s="0" t="s">
        <v>5987</v>
      </c>
      <c r="K1610" s="0" t="s">
        <v>2707</v>
      </c>
      <c r="L1610" s="0" t="n">
        <v>2020</v>
      </c>
      <c r="M1610" s="0" t="s">
        <v>2201</v>
      </c>
      <c r="N1610" s="0" t="s">
        <v>144</v>
      </c>
      <c r="O1610" s="0" t="s">
        <v>2542</v>
      </c>
      <c r="P1610" s="0" t="s">
        <v>5988</v>
      </c>
      <c r="Q1610" s="0" t="n">
        <v>224</v>
      </c>
      <c r="R1610" s="0" t="n">
        <v>220</v>
      </c>
      <c r="S1610" s="0" t="n">
        <v>5</v>
      </c>
      <c r="T1610" s="0" t="s">
        <v>6033</v>
      </c>
      <c r="U1610" s="0" t="s">
        <v>4201</v>
      </c>
      <c r="V1610" s="0" t="s">
        <v>95</v>
      </c>
      <c r="W1610" s="0" t="s">
        <v>6040</v>
      </c>
      <c r="X1610" s="0" t="s">
        <v>6035</v>
      </c>
      <c r="Y1610" s="0" t="s">
        <v>4159</v>
      </c>
      <c r="Z1610" s="0" t="s">
        <v>4160</v>
      </c>
      <c r="AA1610" s="0" t="s">
        <v>6041</v>
      </c>
      <c r="AB1610" s="0" t="s">
        <v>5993</v>
      </c>
      <c r="AC1610" s="0" t="s">
        <v>4162</v>
      </c>
      <c r="AD1610" s="0" t="s">
        <v>4163</v>
      </c>
      <c r="AE1610" s="0" t="s">
        <v>4164</v>
      </c>
      <c r="AF1610" s="0" t="s">
        <v>6037</v>
      </c>
      <c r="AH1610" s="0" t="s">
        <v>2239</v>
      </c>
      <c r="AL1610" s="0" t="s">
        <v>523</v>
      </c>
    </row>
    <row r="1611" customFormat="false" ht="15" hidden="false" customHeight="false" outlineLevel="0" collapsed="false">
      <c r="A1611" s="0" t="s">
        <v>1094</v>
      </c>
      <c r="B1611" s="0" t="s">
        <v>136</v>
      </c>
      <c r="C1611" s="0" t="s">
        <v>4507</v>
      </c>
      <c r="D1611" s="0" t="n">
        <v>2020</v>
      </c>
      <c r="E1611" s="0" t="s">
        <v>619</v>
      </c>
      <c r="F1611" s="0" t="n">
        <v>566721721</v>
      </c>
      <c r="G1611" s="0" t="s">
        <v>3067</v>
      </c>
      <c r="H1611" s="0" t="s">
        <v>3068</v>
      </c>
      <c r="I1611" s="0" t="n">
        <v>566721.721</v>
      </c>
      <c r="J1611" s="0" t="s">
        <v>5987</v>
      </c>
      <c r="K1611" s="0" t="s">
        <v>2707</v>
      </c>
      <c r="L1611" s="0" t="n">
        <v>2020</v>
      </c>
      <c r="M1611" s="0" t="s">
        <v>2201</v>
      </c>
      <c r="N1611" s="0" t="s">
        <v>144</v>
      </c>
      <c r="O1611" s="0" t="s">
        <v>2542</v>
      </c>
      <c r="P1611" s="0" t="s">
        <v>5988</v>
      </c>
      <c r="Q1611" s="0" t="n">
        <v>224</v>
      </c>
      <c r="R1611" s="0" t="n">
        <v>220</v>
      </c>
      <c r="S1611" s="0" t="n">
        <v>5</v>
      </c>
      <c r="T1611" s="0" t="s">
        <v>6042</v>
      </c>
      <c r="U1611" s="0" t="s">
        <v>4201</v>
      </c>
      <c r="V1611" s="0" t="s">
        <v>95</v>
      </c>
      <c r="W1611" s="0" t="s">
        <v>6034</v>
      </c>
      <c r="X1611" s="0" t="s">
        <v>6035</v>
      </c>
      <c r="Y1611" s="0" t="s">
        <v>4159</v>
      </c>
      <c r="Z1611" s="0" t="s">
        <v>4160</v>
      </c>
      <c r="AA1611" s="0" t="s">
        <v>6043</v>
      </c>
      <c r="AB1611" s="0" t="s">
        <v>5993</v>
      </c>
      <c r="AC1611" s="0" t="s">
        <v>4162</v>
      </c>
      <c r="AD1611" s="0" t="s">
        <v>4163</v>
      </c>
      <c r="AE1611" s="0" t="s">
        <v>4164</v>
      </c>
      <c r="AF1611" s="0" t="s">
        <v>6044</v>
      </c>
      <c r="AH1611" s="0" t="s">
        <v>2239</v>
      </c>
      <c r="AL1611" s="0" t="s">
        <v>523</v>
      </c>
    </row>
    <row r="1612" customFormat="false" ht="15" hidden="false" customHeight="false" outlineLevel="0" collapsed="false">
      <c r="A1612" s="0" t="s">
        <v>1090</v>
      </c>
      <c r="B1612" s="0" t="s">
        <v>136</v>
      </c>
      <c r="C1612" s="0" t="s">
        <v>4507</v>
      </c>
      <c r="D1612" s="0" t="n">
        <v>2020</v>
      </c>
      <c r="E1612" s="0" t="s">
        <v>614</v>
      </c>
      <c r="F1612" s="0" t="s">
        <v>6045</v>
      </c>
      <c r="G1612" s="0" t="s">
        <v>3143</v>
      </c>
      <c r="I1612" s="0" t="n">
        <v>23.05</v>
      </c>
      <c r="J1612" s="0" t="s">
        <v>5987</v>
      </c>
      <c r="K1612" s="0" t="s">
        <v>2707</v>
      </c>
      <c r="L1612" s="0" t="n">
        <v>2020</v>
      </c>
      <c r="M1612" s="0" t="s">
        <v>2201</v>
      </c>
      <c r="N1612" s="0" t="s">
        <v>144</v>
      </c>
      <c r="O1612" s="0" t="s">
        <v>2542</v>
      </c>
      <c r="P1612" s="0" t="s">
        <v>5988</v>
      </c>
      <c r="Q1612" s="0" t="n">
        <v>224</v>
      </c>
      <c r="R1612" s="0" t="n">
        <v>220</v>
      </c>
      <c r="S1612" s="0" t="n">
        <v>5</v>
      </c>
      <c r="T1612" s="0" t="s">
        <v>6042</v>
      </c>
      <c r="U1612" s="0" t="s">
        <v>4201</v>
      </c>
      <c r="V1612" s="0" t="s">
        <v>95</v>
      </c>
      <c r="W1612" s="0" t="s">
        <v>6040</v>
      </c>
      <c r="X1612" s="0" t="s">
        <v>6035</v>
      </c>
      <c r="Y1612" s="0" t="s">
        <v>4159</v>
      </c>
      <c r="Z1612" s="0" t="s">
        <v>4160</v>
      </c>
      <c r="AA1612" s="0" t="s">
        <v>6046</v>
      </c>
      <c r="AB1612" s="0" t="s">
        <v>5993</v>
      </c>
      <c r="AC1612" s="0" t="s">
        <v>4162</v>
      </c>
      <c r="AD1612" s="0" t="s">
        <v>4163</v>
      </c>
      <c r="AE1612" s="0" t="s">
        <v>4164</v>
      </c>
      <c r="AF1612" s="0" t="s">
        <v>6044</v>
      </c>
      <c r="AH1612" s="0" t="s">
        <v>2239</v>
      </c>
      <c r="AL1612" s="0" t="s">
        <v>523</v>
      </c>
    </row>
    <row r="1613" customFormat="false" ht="15" hidden="false" customHeight="false" outlineLevel="0" collapsed="false">
      <c r="A1613" s="0" t="s">
        <v>1091</v>
      </c>
      <c r="B1613" s="0" t="s">
        <v>136</v>
      </c>
      <c r="C1613" s="0" t="s">
        <v>4507</v>
      </c>
      <c r="D1613" s="0" t="n">
        <v>2020</v>
      </c>
      <c r="E1613" s="0" t="s">
        <v>70</v>
      </c>
      <c r="F1613" s="0" t="s">
        <v>5116</v>
      </c>
      <c r="G1613" s="0" t="s">
        <v>3143</v>
      </c>
      <c r="I1613" s="0" t="n">
        <v>16</v>
      </c>
      <c r="J1613" s="0" t="s">
        <v>5987</v>
      </c>
      <c r="K1613" s="0" t="s">
        <v>2707</v>
      </c>
      <c r="L1613" s="0" t="n">
        <v>2020</v>
      </c>
      <c r="M1613" s="0" t="s">
        <v>2201</v>
      </c>
      <c r="N1613" s="0" t="s">
        <v>144</v>
      </c>
      <c r="O1613" s="0" t="s">
        <v>2542</v>
      </c>
      <c r="P1613" s="0" t="s">
        <v>5988</v>
      </c>
      <c r="Q1613" s="0" t="n">
        <v>223</v>
      </c>
      <c r="R1613" s="0" t="n">
        <v>219</v>
      </c>
      <c r="S1613" s="0" t="n">
        <v>5</v>
      </c>
      <c r="T1613" s="0" t="s">
        <v>6047</v>
      </c>
      <c r="U1613" s="0" t="s">
        <v>4201</v>
      </c>
      <c r="V1613" s="0" t="s">
        <v>95</v>
      </c>
      <c r="W1613" s="0" t="s">
        <v>6048</v>
      </c>
      <c r="X1613" s="0" t="s">
        <v>6049</v>
      </c>
      <c r="Y1613" s="0" t="s">
        <v>4159</v>
      </c>
      <c r="Z1613" s="0" t="s">
        <v>4160</v>
      </c>
      <c r="AA1613" s="0" t="s">
        <v>6050</v>
      </c>
      <c r="AB1613" s="0" t="s">
        <v>5993</v>
      </c>
      <c r="AC1613" s="0" t="s">
        <v>4162</v>
      </c>
      <c r="AD1613" s="0" t="s">
        <v>4163</v>
      </c>
      <c r="AE1613" s="0" t="s">
        <v>4164</v>
      </c>
      <c r="AF1613" s="0" t="s">
        <v>6051</v>
      </c>
      <c r="AH1613" s="0" t="s">
        <v>2239</v>
      </c>
      <c r="AL1613" s="0" t="s">
        <v>523</v>
      </c>
    </row>
    <row r="1614" customFormat="false" ht="15" hidden="false" customHeight="false" outlineLevel="0" collapsed="false">
      <c r="A1614" s="0" t="s">
        <v>1095</v>
      </c>
      <c r="B1614" s="0" t="s">
        <v>136</v>
      </c>
      <c r="C1614" s="0" t="s">
        <v>4507</v>
      </c>
      <c r="D1614" s="0" t="n">
        <v>2020</v>
      </c>
      <c r="E1614" s="0" t="s">
        <v>73</v>
      </c>
      <c r="F1614" s="0" t="n">
        <v>0</v>
      </c>
      <c r="G1614" s="0" t="s">
        <v>4257</v>
      </c>
      <c r="I1614" s="0" t="n">
        <v>0</v>
      </c>
      <c r="J1614" s="0" t="s">
        <v>6052</v>
      </c>
      <c r="K1614" s="0" t="s">
        <v>2707</v>
      </c>
      <c r="L1614" s="0" t="n">
        <v>2020</v>
      </c>
      <c r="M1614" s="0" t="s">
        <v>2201</v>
      </c>
      <c r="N1614" s="0" t="s">
        <v>144</v>
      </c>
      <c r="O1614" s="0" t="s">
        <v>2542</v>
      </c>
      <c r="P1614" s="0" t="s">
        <v>5988</v>
      </c>
      <c r="Q1614" s="0" t="n">
        <v>63</v>
      </c>
      <c r="R1614" s="0" t="n">
        <v>59</v>
      </c>
      <c r="T1614" s="0" t="s">
        <v>6053</v>
      </c>
      <c r="U1614" s="0" t="s">
        <v>4201</v>
      </c>
      <c r="V1614" s="0" t="s">
        <v>95</v>
      </c>
      <c r="W1614" s="0" t="s">
        <v>4803</v>
      </c>
      <c r="X1614" s="0" t="s">
        <v>6054</v>
      </c>
      <c r="Y1614" s="0" t="s">
        <v>4212</v>
      </c>
      <c r="Z1614" s="0" t="s">
        <v>4160</v>
      </c>
      <c r="AA1614" s="0" t="s">
        <v>6055</v>
      </c>
      <c r="AB1614" s="0" t="s">
        <v>5993</v>
      </c>
      <c r="AC1614" s="0" t="s">
        <v>4162</v>
      </c>
      <c r="AD1614" s="0" t="s">
        <v>4163</v>
      </c>
      <c r="AE1614" s="0" t="s">
        <v>4164</v>
      </c>
      <c r="AF1614" s="0" t="s">
        <v>6056</v>
      </c>
      <c r="AG1614" s="0" t="s">
        <v>1828</v>
      </c>
      <c r="AH1614" s="0" t="s">
        <v>2239</v>
      </c>
      <c r="AL1614" s="0" t="s">
        <v>539</v>
      </c>
    </row>
    <row r="1615" customFormat="false" ht="15" hidden="false" customHeight="false" outlineLevel="0" collapsed="false">
      <c r="A1615" s="0" t="s">
        <v>639</v>
      </c>
      <c r="B1615" s="0" t="s">
        <v>77</v>
      </c>
      <c r="C1615" s="0" t="s">
        <v>5066</v>
      </c>
      <c r="D1615" s="0" t="n">
        <v>2022</v>
      </c>
      <c r="E1615" s="0" t="s">
        <v>55</v>
      </c>
      <c r="F1615" s="0" t="n">
        <v>12535280</v>
      </c>
      <c r="G1615" s="0" t="s">
        <v>3101</v>
      </c>
      <c r="H1615" s="0" t="s">
        <v>3068</v>
      </c>
      <c r="I1615" s="0" t="n">
        <v>12535280</v>
      </c>
      <c r="J1615" s="0" t="s">
        <v>4155</v>
      </c>
      <c r="K1615" s="0" t="s">
        <v>2677</v>
      </c>
      <c r="L1615" s="0" t="n">
        <v>2022</v>
      </c>
      <c r="M1615" s="0" t="s">
        <v>2221</v>
      </c>
      <c r="N1615" s="0" t="s">
        <v>98</v>
      </c>
      <c r="O1615" s="0" t="s">
        <v>6057</v>
      </c>
      <c r="P1615" s="0" t="s">
        <v>6058</v>
      </c>
      <c r="Q1615" s="0" t="n">
        <v>49</v>
      </c>
      <c r="R1615" s="0" t="n">
        <v>51</v>
      </c>
      <c r="T1615" s="0" t="s">
        <v>6059</v>
      </c>
      <c r="U1615" s="0" t="s">
        <v>4265</v>
      </c>
      <c r="V1615" s="0" t="s">
        <v>99</v>
      </c>
      <c r="W1615" s="0" t="s">
        <v>6060</v>
      </c>
      <c r="X1615" s="0" t="s">
        <v>6061</v>
      </c>
      <c r="Y1615" s="0" t="s">
        <v>4159</v>
      </c>
      <c r="Z1615" s="0" t="s">
        <v>4160</v>
      </c>
      <c r="AA1615" s="0" t="s">
        <v>6062</v>
      </c>
      <c r="AB1615" s="0" t="s">
        <v>6063</v>
      </c>
      <c r="AC1615" s="0" t="s">
        <v>4162</v>
      </c>
      <c r="AD1615" s="0" t="s">
        <v>4163</v>
      </c>
      <c r="AE1615" s="0" t="s">
        <v>4164</v>
      </c>
      <c r="AF1615" s="0" t="s">
        <v>6064</v>
      </c>
      <c r="AH1615" s="0" t="s">
        <v>2239</v>
      </c>
      <c r="AL1615" s="0" t="s">
        <v>523</v>
      </c>
    </row>
    <row r="1616" customFormat="false" ht="15" hidden="false" customHeight="false" outlineLevel="0" collapsed="false">
      <c r="A1616" s="0" t="s">
        <v>640</v>
      </c>
      <c r="B1616" s="0" t="s">
        <v>77</v>
      </c>
      <c r="C1616" s="0" t="s">
        <v>5066</v>
      </c>
      <c r="D1616" s="0" t="n">
        <v>2022</v>
      </c>
      <c r="E1616" s="0" t="s">
        <v>56</v>
      </c>
      <c r="F1616" s="0" t="n">
        <v>11466613</v>
      </c>
      <c r="G1616" s="0" t="s">
        <v>3101</v>
      </c>
      <c r="H1616" s="0" t="s">
        <v>3068</v>
      </c>
      <c r="I1616" s="0" t="n">
        <v>11466613</v>
      </c>
      <c r="J1616" s="0" t="s">
        <v>4155</v>
      </c>
      <c r="K1616" s="0" t="s">
        <v>2677</v>
      </c>
      <c r="L1616" s="0" t="n">
        <v>2022</v>
      </c>
      <c r="M1616" s="0" t="s">
        <v>2221</v>
      </c>
      <c r="N1616" s="0" t="s">
        <v>98</v>
      </c>
      <c r="O1616" s="0" t="s">
        <v>6057</v>
      </c>
      <c r="P1616" s="0" t="s">
        <v>6058</v>
      </c>
      <c r="Q1616" s="0" t="n">
        <v>49</v>
      </c>
      <c r="R1616" s="0" t="n">
        <v>51</v>
      </c>
      <c r="T1616" s="0" t="s">
        <v>6059</v>
      </c>
      <c r="U1616" s="0" t="s">
        <v>4265</v>
      </c>
      <c r="V1616" s="0" t="s">
        <v>99</v>
      </c>
      <c r="W1616" s="0" t="s">
        <v>6065</v>
      </c>
      <c r="X1616" s="0" t="s">
        <v>6061</v>
      </c>
      <c r="Y1616" s="0" t="s">
        <v>4159</v>
      </c>
      <c r="Z1616" s="0" t="s">
        <v>4160</v>
      </c>
      <c r="AA1616" s="0" t="s">
        <v>6066</v>
      </c>
      <c r="AB1616" s="0" t="s">
        <v>6063</v>
      </c>
      <c r="AC1616" s="0" t="s">
        <v>4162</v>
      </c>
      <c r="AD1616" s="0" t="s">
        <v>4163</v>
      </c>
      <c r="AE1616" s="0" t="s">
        <v>4164</v>
      </c>
      <c r="AF1616" s="0" t="s">
        <v>6064</v>
      </c>
      <c r="AH1616" s="0" t="s">
        <v>2239</v>
      </c>
      <c r="AL1616" s="0" t="s">
        <v>523</v>
      </c>
    </row>
    <row r="1617" customFormat="false" ht="15" hidden="false" customHeight="false" outlineLevel="0" collapsed="false">
      <c r="A1617" s="0" t="s">
        <v>641</v>
      </c>
      <c r="B1617" s="0" t="s">
        <v>77</v>
      </c>
      <c r="C1617" s="0" t="s">
        <v>5066</v>
      </c>
      <c r="D1617" s="0" t="n">
        <v>2022</v>
      </c>
      <c r="E1617" s="0" t="s">
        <v>57</v>
      </c>
      <c r="F1617" s="0" t="n">
        <v>1068667</v>
      </c>
      <c r="G1617" s="0" t="s">
        <v>3101</v>
      </c>
      <c r="H1617" s="0" t="s">
        <v>3068</v>
      </c>
      <c r="I1617" s="0" t="n">
        <v>1068667</v>
      </c>
      <c r="J1617" s="0" t="s">
        <v>4155</v>
      </c>
      <c r="K1617" s="0" t="s">
        <v>2677</v>
      </c>
      <c r="L1617" s="0" t="n">
        <v>2022</v>
      </c>
      <c r="M1617" s="0" t="s">
        <v>2221</v>
      </c>
      <c r="N1617" s="0" t="s">
        <v>98</v>
      </c>
      <c r="O1617" s="0" t="s">
        <v>6057</v>
      </c>
      <c r="P1617" s="0" t="s">
        <v>6058</v>
      </c>
      <c r="Q1617" s="0" t="n">
        <v>49</v>
      </c>
      <c r="R1617" s="0" t="n">
        <v>51</v>
      </c>
      <c r="T1617" s="0" t="s">
        <v>6059</v>
      </c>
      <c r="U1617" s="0" t="s">
        <v>4265</v>
      </c>
      <c r="V1617" s="0" t="s">
        <v>99</v>
      </c>
      <c r="W1617" s="0" t="s">
        <v>6067</v>
      </c>
      <c r="X1617" s="0" t="s">
        <v>6061</v>
      </c>
      <c r="Y1617" s="0" t="s">
        <v>4159</v>
      </c>
      <c r="Z1617" s="0" t="s">
        <v>4160</v>
      </c>
      <c r="AA1617" s="0" t="s">
        <v>6068</v>
      </c>
      <c r="AB1617" s="0" t="s">
        <v>6063</v>
      </c>
      <c r="AC1617" s="0" t="s">
        <v>4162</v>
      </c>
      <c r="AD1617" s="0" t="s">
        <v>4163</v>
      </c>
      <c r="AE1617" s="0" t="s">
        <v>4164</v>
      </c>
      <c r="AF1617" s="0" t="s">
        <v>6064</v>
      </c>
      <c r="AH1617" s="0" t="s">
        <v>2239</v>
      </c>
      <c r="AL1617" s="0" t="s">
        <v>523</v>
      </c>
    </row>
    <row r="1618" customFormat="false" ht="15" hidden="false" customHeight="false" outlineLevel="0" collapsed="false">
      <c r="A1618" s="0" t="s">
        <v>638</v>
      </c>
      <c r="B1618" s="0" t="s">
        <v>77</v>
      </c>
      <c r="C1618" s="0" t="s">
        <v>5066</v>
      </c>
      <c r="D1618" s="0" t="n">
        <v>2022</v>
      </c>
      <c r="E1618" s="0" t="s">
        <v>54</v>
      </c>
      <c r="F1618" s="0" t="n">
        <v>166660</v>
      </c>
      <c r="G1618" s="0" t="s">
        <v>3101</v>
      </c>
      <c r="H1618" s="0" t="s">
        <v>3068</v>
      </c>
      <c r="I1618" s="0" t="n">
        <v>166660</v>
      </c>
      <c r="J1618" s="0" t="s">
        <v>4155</v>
      </c>
      <c r="K1618" s="0" t="s">
        <v>2677</v>
      </c>
      <c r="L1618" s="0" t="n">
        <v>2022</v>
      </c>
      <c r="M1618" s="0" t="s">
        <v>2221</v>
      </c>
      <c r="N1618" s="0" t="s">
        <v>98</v>
      </c>
      <c r="O1618" s="0" t="s">
        <v>6057</v>
      </c>
      <c r="P1618" s="0" t="s">
        <v>6058</v>
      </c>
      <c r="Q1618" s="0" t="n">
        <v>48</v>
      </c>
      <c r="R1618" s="0" t="n">
        <v>50</v>
      </c>
      <c r="T1618" s="0" t="s">
        <v>6059</v>
      </c>
      <c r="U1618" s="0" t="s">
        <v>4265</v>
      </c>
      <c r="V1618" s="0" t="s">
        <v>99</v>
      </c>
      <c r="W1618" s="0" t="s">
        <v>6069</v>
      </c>
      <c r="X1618" s="0" t="s">
        <v>6070</v>
      </c>
      <c r="Y1618" s="0" t="s">
        <v>4159</v>
      </c>
      <c r="Z1618" s="0" t="s">
        <v>4160</v>
      </c>
      <c r="AA1618" s="0" t="s">
        <v>6071</v>
      </c>
      <c r="AB1618" s="0" t="s">
        <v>6063</v>
      </c>
      <c r="AC1618" s="0" t="s">
        <v>4162</v>
      </c>
      <c r="AD1618" s="0" t="s">
        <v>4163</v>
      </c>
      <c r="AE1618" s="0" t="s">
        <v>4164</v>
      </c>
      <c r="AF1618" s="0" t="s">
        <v>6064</v>
      </c>
      <c r="AH1618" s="0" t="s">
        <v>2239</v>
      </c>
      <c r="AL1618" s="0" t="s">
        <v>523</v>
      </c>
    </row>
    <row r="1619" customFormat="false" ht="15" hidden="false" customHeight="false" outlineLevel="0" collapsed="false">
      <c r="A1619" s="0" t="s">
        <v>652</v>
      </c>
      <c r="B1619" s="0" t="s">
        <v>77</v>
      </c>
      <c r="C1619" s="0" t="s">
        <v>5066</v>
      </c>
      <c r="D1619" s="0" t="n">
        <v>2022</v>
      </c>
      <c r="E1619" s="0" t="s">
        <v>541</v>
      </c>
      <c r="F1619" s="0" t="n">
        <v>162709</v>
      </c>
      <c r="G1619" s="0" t="s">
        <v>3101</v>
      </c>
      <c r="H1619" s="0" t="s">
        <v>3068</v>
      </c>
      <c r="I1619" s="0" t="n">
        <v>162709</v>
      </c>
      <c r="J1619" s="0" t="s">
        <v>4155</v>
      </c>
      <c r="K1619" s="0" t="s">
        <v>2677</v>
      </c>
      <c r="L1619" s="0" t="n">
        <v>2022</v>
      </c>
      <c r="M1619" s="0" t="s">
        <v>2221</v>
      </c>
      <c r="N1619" s="0" t="s">
        <v>98</v>
      </c>
      <c r="O1619" s="0" t="s">
        <v>6057</v>
      </c>
      <c r="P1619" s="0" t="s">
        <v>6058</v>
      </c>
      <c r="Q1619" s="0" t="n">
        <v>48</v>
      </c>
      <c r="R1619" s="0" t="n">
        <v>50</v>
      </c>
      <c r="T1619" s="0" t="s">
        <v>6059</v>
      </c>
      <c r="U1619" s="0" t="s">
        <v>4265</v>
      </c>
      <c r="V1619" s="0" t="s">
        <v>99</v>
      </c>
      <c r="W1619" s="0" t="s">
        <v>6072</v>
      </c>
      <c r="X1619" s="0" t="s">
        <v>6070</v>
      </c>
      <c r="Y1619" s="0" t="s">
        <v>4159</v>
      </c>
      <c r="Z1619" s="0" t="s">
        <v>4160</v>
      </c>
      <c r="AA1619" s="0" t="s">
        <v>6073</v>
      </c>
      <c r="AB1619" s="0" t="s">
        <v>6063</v>
      </c>
      <c r="AC1619" s="0" t="s">
        <v>4162</v>
      </c>
      <c r="AD1619" s="0" t="s">
        <v>4163</v>
      </c>
      <c r="AE1619" s="0" t="s">
        <v>4164</v>
      </c>
      <c r="AF1619" s="0" t="s">
        <v>6064</v>
      </c>
      <c r="AH1619" s="0" t="s">
        <v>2239</v>
      </c>
      <c r="AL1619" s="0" t="s">
        <v>523</v>
      </c>
    </row>
    <row r="1620" customFormat="false" ht="15" hidden="false" customHeight="false" outlineLevel="0" collapsed="false">
      <c r="A1620" s="0" t="s">
        <v>642</v>
      </c>
      <c r="B1620" s="0" t="s">
        <v>77</v>
      </c>
      <c r="C1620" s="0" t="s">
        <v>5066</v>
      </c>
      <c r="D1620" s="0" t="n">
        <v>2022</v>
      </c>
      <c r="E1620" s="0" t="s">
        <v>58</v>
      </c>
      <c r="F1620" s="0" t="n">
        <v>698528</v>
      </c>
      <c r="G1620" s="0" t="s">
        <v>3101</v>
      </c>
      <c r="H1620" s="0" t="s">
        <v>3068</v>
      </c>
      <c r="I1620" s="0" t="n">
        <v>698528</v>
      </c>
      <c r="J1620" s="0" t="s">
        <v>4155</v>
      </c>
      <c r="K1620" s="0" t="s">
        <v>2677</v>
      </c>
      <c r="L1620" s="0" t="n">
        <v>2022</v>
      </c>
      <c r="M1620" s="0" t="s">
        <v>2221</v>
      </c>
      <c r="N1620" s="0" t="s">
        <v>98</v>
      </c>
      <c r="O1620" s="0" t="s">
        <v>6057</v>
      </c>
      <c r="P1620" s="0" t="s">
        <v>6058</v>
      </c>
      <c r="Q1620" s="0" t="n">
        <v>52</v>
      </c>
      <c r="R1620" s="0" t="n">
        <v>54</v>
      </c>
      <c r="T1620" s="0" t="s">
        <v>6059</v>
      </c>
      <c r="U1620" s="0" t="s">
        <v>4265</v>
      </c>
      <c r="V1620" s="0" t="s">
        <v>99</v>
      </c>
      <c r="W1620" s="0" t="s">
        <v>6074</v>
      </c>
      <c r="X1620" s="0" t="s">
        <v>6075</v>
      </c>
      <c r="Y1620" s="0" t="s">
        <v>4159</v>
      </c>
      <c r="Z1620" s="0" t="s">
        <v>4160</v>
      </c>
      <c r="AA1620" s="0" t="s">
        <v>6076</v>
      </c>
      <c r="AB1620" s="0" t="s">
        <v>6063</v>
      </c>
      <c r="AC1620" s="0" t="s">
        <v>4162</v>
      </c>
      <c r="AD1620" s="0" t="s">
        <v>4163</v>
      </c>
      <c r="AE1620" s="0" t="s">
        <v>4164</v>
      </c>
      <c r="AF1620" s="0" t="s">
        <v>6064</v>
      </c>
      <c r="AH1620" s="0" t="s">
        <v>2239</v>
      </c>
      <c r="AL1620" s="0" t="s">
        <v>523</v>
      </c>
    </row>
    <row r="1621" customFormat="false" ht="15" hidden="false" customHeight="false" outlineLevel="0" collapsed="false">
      <c r="A1621" s="0" t="s">
        <v>644</v>
      </c>
      <c r="B1621" s="0" t="s">
        <v>77</v>
      </c>
      <c r="C1621" s="0" t="s">
        <v>5066</v>
      </c>
      <c r="D1621" s="0" t="n">
        <v>2022</v>
      </c>
      <c r="E1621" s="0" t="s">
        <v>59</v>
      </c>
      <c r="F1621" s="0" t="n">
        <v>9660761</v>
      </c>
      <c r="G1621" s="0" t="s">
        <v>3101</v>
      </c>
      <c r="H1621" s="0" t="s">
        <v>3068</v>
      </c>
      <c r="I1621" s="0" t="n">
        <v>9660761</v>
      </c>
      <c r="J1621" s="0" t="s">
        <v>4155</v>
      </c>
      <c r="K1621" s="0" t="s">
        <v>2677</v>
      </c>
      <c r="L1621" s="0" t="n">
        <v>2022</v>
      </c>
      <c r="M1621" s="0" t="s">
        <v>2221</v>
      </c>
      <c r="N1621" s="0" t="s">
        <v>98</v>
      </c>
      <c r="O1621" s="0" t="s">
        <v>6057</v>
      </c>
      <c r="P1621" s="0" t="s">
        <v>6058</v>
      </c>
      <c r="Q1621" s="0" t="n">
        <v>49</v>
      </c>
      <c r="R1621" s="0" t="n">
        <v>51</v>
      </c>
      <c r="T1621" s="0" t="s">
        <v>5328</v>
      </c>
      <c r="U1621" s="0" t="s">
        <v>6077</v>
      </c>
      <c r="V1621" s="0" t="s">
        <v>99</v>
      </c>
      <c r="W1621" s="0" t="s">
        <v>6060</v>
      </c>
      <c r="X1621" s="0" t="s">
        <v>6061</v>
      </c>
      <c r="Y1621" s="0" t="s">
        <v>4159</v>
      </c>
      <c r="Z1621" s="0" t="s">
        <v>4160</v>
      </c>
      <c r="AA1621" s="0" t="s">
        <v>6078</v>
      </c>
      <c r="AB1621" s="0" t="s">
        <v>6063</v>
      </c>
      <c r="AC1621" s="0" t="s">
        <v>4162</v>
      </c>
      <c r="AD1621" s="0" t="s">
        <v>4163</v>
      </c>
      <c r="AE1621" s="0" t="s">
        <v>4164</v>
      </c>
      <c r="AF1621" s="0" t="s">
        <v>6079</v>
      </c>
      <c r="AH1621" s="0" t="s">
        <v>2239</v>
      </c>
      <c r="AL1621" s="0" t="s">
        <v>523</v>
      </c>
    </row>
    <row r="1622" customFormat="false" ht="15" hidden="false" customHeight="false" outlineLevel="0" collapsed="false">
      <c r="A1622" s="0" t="s">
        <v>648</v>
      </c>
      <c r="B1622" s="0" t="s">
        <v>77</v>
      </c>
      <c r="C1622" s="0" t="s">
        <v>5066</v>
      </c>
      <c r="D1622" s="0" t="n">
        <v>2022</v>
      </c>
      <c r="E1622" s="0" t="s">
        <v>63</v>
      </c>
      <c r="F1622" s="0" t="n">
        <v>-118681</v>
      </c>
      <c r="G1622" s="0" t="s">
        <v>3101</v>
      </c>
      <c r="H1622" s="0" t="s">
        <v>3068</v>
      </c>
      <c r="I1622" s="0" t="n">
        <v>118681</v>
      </c>
      <c r="J1622" s="0" t="s">
        <v>4155</v>
      </c>
      <c r="K1622" s="0" t="s">
        <v>2677</v>
      </c>
      <c r="L1622" s="0" t="n">
        <v>2022</v>
      </c>
      <c r="M1622" s="0" t="s">
        <v>2221</v>
      </c>
      <c r="N1622" s="0" t="s">
        <v>98</v>
      </c>
      <c r="O1622" s="0" t="s">
        <v>6057</v>
      </c>
      <c r="P1622" s="0" t="s">
        <v>6058</v>
      </c>
      <c r="Q1622" s="0" t="n">
        <v>48</v>
      </c>
      <c r="R1622" s="0" t="n">
        <v>50</v>
      </c>
      <c r="S1622" s="0" t="n">
        <v>9</v>
      </c>
      <c r="T1622" s="0" t="s">
        <v>6059</v>
      </c>
      <c r="U1622" s="0" t="s">
        <v>4265</v>
      </c>
      <c r="V1622" s="0" t="s">
        <v>99</v>
      </c>
      <c r="W1622" s="0" t="s">
        <v>6080</v>
      </c>
      <c r="X1622" s="0" t="s">
        <v>6070</v>
      </c>
      <c r="Y1622" s="0" t="s">
        <v>4159</v>
      </c>
      <c r="Z1622" s="0" t="s">
        <v>4160</v>
      </c>
      <c r="AA1622" s="0" t="s">
        <v>6081</v>
      </c>
      <c r="AB1622" s="0" t="s">
        <v>6063</v>
      </c>
      <c r="AC1622" s="0" t="s">
        <v>4162</v>
      </c>
      <c r="AD1622" s="0" t="s">
        <v>4163</v>
      </c>
      <c r="AE1622" s="0" t="s">
        <v>4164</v>
      </c>
      <c r="AF1622" s="0" t="s">
        <v>6064</v>
      </c>
      <c r="AH1622" s="0" t="s">
        <v>4174</v>
      </c>
      <c r="AI1622" s="0" t="s">
        <v>4974</v>
      </c>
      <c r="AL1622" s="0" t="s">
        <v>523</v>
      </c>
    </row>
    <row r="1623" customFormat="false" ht="15" hidden="false" customHeight="false" outlineLevel="0" collapsed="false">
      <c r="A1623" s="0" t="s">
        <v>645</v>
      </c>
      <c r="B1623" s="0" t="s">
        <v>77</v>
      </c>
      <c r="C1623" s="0" t="s">
        <v>5066</v>
      </c>
      <c r="D1623" s="0" t="n">
        <v>2022</v>
      </c>
      <c r="E1623" s="0" t="s">
        <v>60</v>
      </c>
      <c r="F1623" s="0" t="n">
        <v>4149413</v>
      </c>
      <c r="G1623" s="0" t="s">
        <v>3101</v>
      </c>
      <c r="H1623" s="0" t="s">
        <v>3068</v>
      </c>
      <c r="I1623" s="0" t="n">
        <v>4149413</v>
      </c>
      <c r="J1623" s="0" t="s">
        <v>4155</v>
      </c>
      <c r="K1623" s="0" t="s">
        <v>2677</v>
      </c>
      <c r="L1623" s="0" t="n">
        <v>2022</v>
      </c>
      <c r="M1623" s="0" t="s">
        <v>2221</v>
      </c>
      <c r="N1623" s="0" t="s">
        <v>98</v>
      </c>
      <c r="O1623" s="0" t="s">
        <v>6057</v>
      </c>
      <c r="P1623" s="0" t="s">
        <v>6058</v>
      </c>
      <c r="Q1623" s="0" t="n">
        <v>193</v>
      </c>
      <c r="R1623" s="0" t="n">
        <v>195</v>
      </c>
      <c r="S1623" s="0" t="s">
        <v>5090</v>
      </c>
      <c r="T1623" s="0" t="s">
        <v>6059</v>
      </c>
      <c r="U1623" s="0" t="s">
        <v>4265</v>
      </c>
      <c r="V1623" s="0" t="s">
        <v>99</v>
      </c>
      <c r="W1623" s="0" t="s">
        <v>6082</v>
      </c>
      <c r="X1623" s="0" t="s">
        <v>6083</v>
      </c>
      <c r="Y1623" s="0" t="s">
        <v>4159</v>
      </c>
      <c r="Z1623" s="0" t="s">
        <v>4160</v>
      </c>
      <c r="AA1623" s="0" t="s">
        <v>6084</v>
      </c>
      <c r="AB1623" s="0" t="s">
        <v>6063</v>
      </c>
      <c r="AC1623" s="0" t="s">
        <v>4162</v>
      </c>
      <c r="AD1623" s="0" t="s">
        <v>4163</v>
      </c>
      <c r="AE1623" s="0" t="s">
        <v>4164</v>
      </c>
      <c r="AF1623" s="0" t="s">
        <v>6085</v>
      </c>
      <c r="AH1623" s="0" t="s">
        <v>2239</v>
      </c>
      <c r="AL1623" s="0" t="s">
        <v>523</v>
      </c>
    </row>
    <row r="1624" customFormat="false" ht="15" hidden="false" customHeight="false" outlineLevel="0" collapsed="false">
      <c r="A1624" s="0" t="s">
        <v>646</v>
      </c>
      <c r="B1624" s="0" t="s">
        <v>77</v>
      </c>
      <c r="C1624" s="0" t="s">
        <v>5066</v>
      </c>
      <c r="D1624" s="0" t="n">
        <v>2022</v>
      </c>
      <c r="E1624" s="0" t="s">
        <v>61</v>
      </c>
      <c r="F1624" s="0" t="n">
        <v>-65061</v>
      </c>
      <c r="G1624" s="0" t="s">
        <v>3101</v>
      </c>
      <c r="H1624" s="0" t="s">
        <v>3068</v>
      </c>
      <c r="I1624" s="0" t="n">
        <v>65061</v>
      </c>
      <c r="J1624" s="0" t="s">
        <v>4155</v>
      </c>
      <c r="K1624" s="0" t="s">
        <v>2677</v>
      </c>
      <c r="L1624" s="0" t="n">
        <v>2022</v>
      </c>
      <c r="M1624" s="0" t="s">
        <v>2221</v>
      </c>
      <c r="N1624" s="0" t="s">
        <v>98</v>
      </c>
      <c r="O1624" s="0" t="s">
        <v>6057</v>
      </c>
      <c r="P1624" s="0" t="s">
        <v>6058</v>
      </c>
      <c r="Q1624" s="0" t="n">
        <v>193</v>
      </c>
      <c r="R1624" s="0" t="n">
        <v>195</v>
      </c>
      <c r="S1624" s="0" t="s">
        <v>5090</v>
      </c>
      <c r="T1624" s="0" t="s">
        <v>6059</v>
      </c>
      <c r="U1624" s="0" t="s">
        <v>4265</v>
      </c>
      <c r="V1624" s="0" t="s">
        <v>99</v>
      </c>
      <c r="W1624" s="0" t="s">
        <v>6086</v>
      </c>
      <c r="X1624" s="0" t="s">
        <v>6083</v>
      </c>
      <c r="Y1624" s="0" t="s">
        <v>4159</v>
      </c>
      <c r="Z1624" s="0" t="s">
        <v>4160</v>
      </c>
      <c r="AA1624" s="0" t="s">
        <v>6087</v>
      </c>
      <c r="AB1624" s="0" t="s">
        <v>6063</v>
      </c>
      <c r="AC1624" s="0" t="s">
        <v>4162</v>
      </c>
      <c r="AD1624" s="0" t="s">
        <v>4163</v>
      </c>
      <c r="AE1624" s="0" t="s">
        <v>4164</v>
      </c>
      <c r="AF1624" s="0" t="s">
        <v>6085</v>
      </c>
      <c r="AH1624" s="0" t="s">
        <v>4174</v>
      </c>
      <c r="AI1624" s="0" t="s">
        <v>4781</v>
      </c>
      <c r="AL1624" s="0" t="s">
        <v>523</v>
      </c>
    </row>
    <row r="1625" customFormat="false" ht="15" hidden="false" customHeight="false" outlineLevel="0" collapsed="false">
      <c r="A1625" s="0" t="s">
        <v>647</v>
      </c>
      <c r="B1625" s="0" t="s">
        <v>77</v>
      </c>
      <c r="C1625" s="0" t="s">
        <v>5066</v>
      </c>
      <c r="D1625" s="0" t="n">
        <v>2022</v>
      </c>
      <c r="E1625" s="0" t="s">
        <v>62</v>
      </c>
      <c r="F1625" s="0" t="n">
        <v>4084352</v>
      </c>
      <c r="G1625" s="0" t="s">
        <v>3101</v>
      </c>
      <c r="H1625" s="0" t="s">
        <v>3068</v>
      </c>
      <c r="I1625" s="0" t="n">
        <v>4084352</v>
      </c>
      <c r="J1625" s="0" t="s">
        <v>4155</v>
      </c>
      <c r="K1625" s="0" t="s">
        <v>2677</v>
      </c>
      <c r="L1625" s="0" t="n">
        <v>2022</v>
      </c>
      <c r="M1625" s="0" t="s">
        <v>2221</v>
      </c>
      <c r="N1625" s="0" t="s">
        <v>98</v>
      </c>
      <c r="O1625" s="0" t="s">
        <v>6057</v>
      </c>
      <c r="P1625" s="0" t="s">
        <v>6058</v>
      </c>
      <c r="Q1625" s="0" t="n">
        <v>49</v>
      </c>
      <c r="R1625" s="0" t="n">
        <v>51</v>
      </c>
      <c r="S1625" s="0" t="n">
        <v>23</v>
      </c>
      <c r="T1625" s="0" t="s">
        <v>6059</v>
      </c>
      <c r="U1625" s="0" t="s">
        <v>4265</v>
      </c>
      <c r="V1625" s="0" t="s">
        <v>99</v>
      </c>
      <c r="W1625" s="0" t="s">
        <v>6088</v>
      </c>
      <c r="X1625" s="0" t="s">
        <v>6061</v>
      </c>
      <c r="Y1625" s="0" t="s">
        <v>4159</v>
      </c>
      <c r="Z1625" s="0" t="s">
        <v>4160</v>
      </c>
      <c r="AA1625" s="0" t="s">
        <v>6089</v>
      </c>
      <c r="AB1625" s="0" t="s">
        <v>6063</v>
      </c>
      <c r="AC1625" s="0" t="s">
        <v>4162</v>
      </c>
      <c r="AD1625" s="0" t="s">
        <v>4163</v>
      </c>
      <c r="AE1625" s="0" t="s">
        <v>4164</v>
      </c>
      <c r="AF1625" s="0" t="s">
        <v>6064</v>
      </c>
      <c r="AH1625" s="0" t="s">
        <v>2239</v>
      </c>
      <c r="AL1625" s="0" t="s">
        <v>523</v>
      </c>
    </row>
    <row r="1626" customFormat="false" ht="15" hidden="false" customHeight="false" outlineLevel="0" collapsed="false">
      <c r="A1626" s="0" t="s">
        <v>650</v>
      </c>
      <c r="B1626" s="0" t="s">
        <v>77</v>
      </c>
      <c r="C1626" s="0" t="s">
        <v>5066</v>
      </c>
      <c r="D1626" s="0" t="n">
        <v>2022</v>
      </c>
      <c r="E1626" s="0" t="s">
        <v>65</v>
      </c>
      <c r="F1626" s="0" t="n">
        <v>863711</v>
      </c>
      <c r="G1626" s="0" t="s">
        <v>3101</v>
      </c>
      <c r="H1626" s="0" t="s">
        <v>3068</v>
      </c>
      <c r="I1626" s="0" t="n">
        <v>863711</v>
      </c>
      <c r="J1626" s="0" t="s">
        <v>4155</v>
      </c>
      <c r="K1626" s="0" t="s">
        <v>2677</v>
      </c>
      <c r="L1626" s="0" t="n">
        <v>2022</v>
      </c>
      <c r="M1626" s="0" t="s">
        <v>2221</v>
      </c>
      <c r="N1626" s="0" t="s">
        <v>98</v>
      </c>
      <c r="O1626" s="0" t="s">
        <v>6057</v>
      </c>
      <c r="P1626" s="0" t="s">
        <v>6058</v>
      </c>
      <c r="Q1626" s="0" t="n">
        <v>168</v>
      </c>
      <c r="R1626" s="0" t="n">
        <v>170</v>
      </c>
      <c r="T1626" s="0" t="s">
        <v>6059</v>
      </c>
      <c r="U1626" s="0" t="s">
        <v>4265</v>
      </c>
      <c r="V1626" s="0" t="s">
        <v>99</v>
      </c>
      <c r="W1626" s="0" t="s">
        <v>6090</v>
      </c>
      <c r="X1626" s="0" t="s">
        <v>6091</v>
      </c>
      <c r="Y1626" s="0" t="s">
        <v>4159</v>
      </c>
      <c r="Z1626" s="0" t="s">
        <v>4160</v>
      </c>
      <c r="AA1626" s="0" t="s">
        <v>6092</v>
      </c>
      <c r="AB1626" s="0" t="s">
        <v>6063</v>
      </c>
      <c r="AC1626" s="0" t="s">
        <v>4162</v>
      </c>
      <c r="AD1626" s="0" t="s">
        <v>4163</v>
      </c>
      <c r="AE1626" s="0" t="s">
        <v>4164</v>
      </c>
      <c r="AF1626" s="0" t="s">
        <v>6093</v>
      </c>
      <c r="AH1626" s="0" t="s">
        <v>2239</v>
      </c>
      <c r="AL1626" s="0" t="s">
        <v>523</v>
      </c>
    </row>
    <row r="1627" customFormat="false" ht="15" hidden="false" customHeight="false" outlineLevel="0" collapsed="false">
      <c r="A1627" s="0" t="s">
        <v>651</v>
      </c>
      <c r="B1627" s="0" t="s">
        <v>77</v>
      </c>
      <c r="C1627" s="0" t="s">
        <v>5066</v>
      </c>
      <c r="D1627" s="0" t="n">
        <v>2022</v>
      </c>
      <c r="E1627" s="0" t="s">
        <v>66</v>
      </c>
      <c r="F1627" s="0" t="n">
        <v>4839820</v>
      </c>
      <c r="G1627" s="0" t="s">
        <v>3101</v>
      </c>
      <c r="H1627" s="0" t="s">
        <v>3068</v>
      </c>
      <c r="I1627" s="0" t="n">
        <v>4839820</v>
      </c>
      <c r="J1627" s="0" t="s">
        <v>4155</v>
      </c>
      <c r="K1627" s="0" t="s">
        <v>2677</v>
      </c>
      <c r="L1627" s="0" t="n">
        <v>2022</v>
      </c>
      <c r="M1627" s="0" t="s">
        <v>2221</v>
      </c>
      <c r="N1627" s="0" t="s">
        <v>98</v>
      </c>
      <c r="O1627" s="0" t="s">
        <v>6057</v>
      </c>
      <c r="P1627" s="0" t="s">
        <v>6058</v>
      </c>
      <c r="Q1627" s="0" t="n">
        <v>168</v>
      </c>
      <c r="R1627" s="0" t="n">
        <v>170</v>
      </c>
      <c r="T1627" s="0" t="s">
        <v>6059</v>
      </c>
      <c r="U1627" s="0" t="s">
        <v>4265</v>
      </c>
      <c r="V1627" s="0" t="s">
        <v>99</v>
      </c>
      <c r="W1627" s="0" t="s">
        <v>6094</v>
      </c>
      <c r="X1627" s="0" t="s">
        <v>6091</v>
      </c>
      <c r="Y1627" s="0" t="s">
        <v>4159</v>
      </c>
      <c r="Z1627" s="0" t="s">
        <v>4160</v>
      </c>
      <c r="AA1627" s="0" t="s">
        <v>6095</v>
      </c>
      <c r="AB1627" s="0" t="s">
        <v>6063</v>
      </c>
      <c r="AC1627" s="0" t="s">
        <v>4162</v>
      </c>
      <c r="AD1627" s="0" t="s">
        <v>4163</v>
      </c>
      <c r="AE1627" s="0" t="s">
        <v>4164</v>
      </c>
      <c r="AF1627" s="0" t="s">
        <v>6093</v>
      </c>
      <c r="AH1627" s="0" t="s">
        <v>2239</v>
      </c>
      <c r="AL1627" s="0" t="s">
        <v>523</v>
      </c>
    </row>
    <row r="1628" customFormat="false" ht="15" hidden="false" customHeight="false" outlineLevel="0" collapsed="false">
      <c r="A1628" s="0" t="s">
        <v>649</v>
      </c>
      <c r="B1628" s="0" t="s">
        <v>77</v>
      </c>
      <c r="C1628" s="0" t="s">
        <v>5066</v>
      </c>
      <c r="D1628" s="0" t="n">
        <v>2022</v>
      </c>
      <c r="E1628" s="0" t="s">
        <v>69</v>
      </c>
      <c r="F1628" s="0" t="s">
        <v>6096</v>
      </c>
      <c r="G1628" s="0" t="s">
        <v>3143</v>
      </c>
      <c r="I1628" s="0" t="n">
        <v>17.85</v>
      </c>
      <c r="J1628" s="0" t="s">
        <v>4155</v>
      </c>
      <c r="K1628" s="0" t="s">
        <v>2677</v>
      </c>
      <c r="L1628" s="0" t="n">
        <v>2022</v>
      </c>
      <c r="M1628" s="0" t="s">
        <v>2221</v>
      </c>
      <c r="N1628" s="0" t="s">
        <v>98</v>
      </c>
      <c r="O1628" s="0" t="s">
        <v>6057</v>
      </c>
      <c r="P1628" s="0" t="s">
        <v>6058</v>
      </c>
      <c r="Q1628" s="0" t="n">
        <v>168</v>
      </c>
      <c r="R1628" s="0" t="n">
        <v>170</v>
      </c>
      <c r="T1628" s="0" t="s">
        <v>6059</v>
      </c>
      <c r="U1628" s="0" t="s">
        <v>4265</v>
      </c>
      <c r="V1628" s="0" t="s">
        <v>99</v>
      </c>
      <c r="W1628" s="0" t="s">
        <v>6097</v>
      </c>
      <c r="X1628" s="0" t="s">
        <v>6091</v>
      </c>
      <c r="Y1628" s="0" t="s">
        <v>4159</v>
      </c>
      <c r="Z1628" s="0" t="s">
        <v>4160</v>
      </c>
      <c r="AA1628" s="0" t="s">
        <v>6098</v>
      </c>
      <c r="AB1628" s="0" t="s">
        <v>6063</v>
      </c>
      <c r="AC1628" s="0" t="s">
        <v>4162</v>
      </c>
      <c r="AD1628" s="0" t="s">
        <v>4163</v>
      </c>
      <c r="AE1628" s="0" t="s">
        <v>4164</v>
      </c>
      <c r="AF1628" s="0" t="s">
        <v>6093</v>
      </c>
      <c r="AH1628" s="0" t="s">
        <v>2239</v>
      </c>
      <c r="AL1628" s="0" t="s">
        <v>523</v>
      </c>
    </row>
    <row r="1629" customFormat="false" ht="15" hidden="false" customHeight="false" outlineLevel="0" collapsed="false">
      <c r="A1629" s="0" t="s">
        <v>654</v>
      </c>
      <c r="B1629" s="0" t="s">
        <v>100</v>
      </c>
      <c r="C1629" s="0" t="s">
        <v>6099</v>
      </c>
      <c r="D1629" s="0" t="n">
        <v>2013</v>
      </c>
      <c r="E1629" s="0" t="s">
        <v>55</v>
      </c>
      <c r="F1629" s="0" t="n">
        <v>1460811</v>
      </c>
      <c r="G1629" s="0" t="s">
        <v>3101</v>
      </c>
      <c r="H1629" s="0" t="s">
        <v>3068</v>
      </c>
      <c r="I1629" s="0" t="n">
        <v>1460811</v>
      </c>
      <c r="J1629" s="0" t="s">
        <v>6100</v>
      </c>
      <c r="K1629" s="0" t="s">
        <v>2678</v>
      </c>
      <c r="L1629" s="0" t="n">
        <v>2013</v>
      </c>
      <c r="M1629" s="0" t="s">
        <v>2233</v>
      </c>
      <c r="N1629" s="0" t="s">
        <v>102</v>
      </c>
      <c r="O1629" s="0" t="s">
        <v>6101</v>
      </c>
      <c r="P1629" s="0" t="s">
        <v>6102</v>
      </c>
      <c r="Q1629" s="0" t="n">
        <v>38</v>
      </c>
      <c r="R1629" s="0" t="n">
        <v>36</v>
      </c>
      <c r="T1629" s="0" t="s">
        <v>4999</v>
      </c>
      <c r="U1629" s="0" t="s">
        <v>5000</v>
      </c>
      <c r="V1629" s="0" t="s">
        <v>103</v>
      </c>
      <c r="W1629" s="0" t="s">
        <v>6103</v>
      </c>
      <c r="X1629" s="0" t="s">
        <v>6104</v>
      </c>
      <c r="Y1629" s="0" t="s">
        <v>4159</v>
      </c>
      <c r="Z1629" s="0" t="s">
        <v>4160</v>
      </c>
      <c r="AA1629" s="0" t="s">
        <v>6105</v>
      </c>
      <c r="AB1629" s="0" t="s">
        <v>6106</v>
      </c>
      <c r="AC1629" s="0" t="s">
        <v>4162</v>
      </c>
      <c r="AD1629" s="0" t="s">
        <v>4637</v>
      </c>
      <c r="AE1629" s="0" t="s">
        <v>1892</v>
      </c>
      <c r="AF1629" s="0" t="s">
        <v>6107</v>
      </c>
      <c r="AH1629" s="0" t="s">
        <v>2239</v>
      </c>
      <c r="AL1629" s="0" t="s">
        <v>523</v>
      </c>
    </row>
    <row r="1630" customFormat="false" ht="15" hidden="false" customHeight="false" outlineLevel="0" collapsed="false">
      <c r="A1630" s="0" t="s">
        <v>655</v>
      </c>
      <c r="B1630" s="0" t="s">
        <v>100</v>
      </c>
      <c r="C1630" s="0" t="s">
        <v>6099</v>
      </c>
      <c r="D1630" s="0" t="n">
        <v>2013</v>
      </c>
      <c r="E1630" s="0" t="s">
        <v>56</v>
      </c>
      <c r="F1630" s="0" t="n">
        <v>1304183</v>
      </c>
      <c r="G1630" s="0" t="s">
        <v>3101</v>
      </c>
      <c r="H1630" s="0" t="s">
        <v>3068</v>
      </c>
      <c r="I1630" s="0" t="n">
        <v>1304183</v>
      </c>
      <c r="J1630" s="0" t="s">
        <v>6100</v>
      </c>
      <c r="K1630" s="0" t="s">
        <v>2678</v>
      </c>
      <c r="L1630" s="0" t="n">
        <v>2013</v>
      </c>
      <c r="M1630" s="0" t="s">
        <v>2233</v>
      </c>
      <c r="N1630" s="0" t="s">
        <v>102</v>
      </c>
      <c r="O1630" s="0" t="s">
        <v>6101</v>
      </c>
      <c r="P1630" s="0" t="s">
        <v>6102</v>
      </c>
      <c r="Q1630" s="0" t="n">
        <v>38</v>
      </c>
      <c r="R1630" s="0" t="n">
        <v>36</v>
      </c>
      <c r="T1630" s="0" t="s">
        <v>4999</v>
      </c>
      <c r="U1630" s="0" t="s">
        <v>5000</v>
      </c>
      <c r="V1630" s="0" t="s">
        <v>103</v>
      </c>
      <c r="W1630" s="0" t="s">
        <v>6108</v>
      </c>
      <c r="X1630" s="0" t="s">
        <v>6104</v>
      </c>
      <c r="Y1630" s="0" t="s">
        <v>4159</v>
      </c>
      <c r="Z1630" s="0" t="s">
        <v>4160</v>
      </c>
      <c r="AA1630" s="0" t="s">
        <v>6109</v>
      </c>
      <c r="AB1630" s="0" t="s">
        <v>6106</v>
      </c>
      <c r="AC1630" s="0" t="s">
        <v>4162</v>
      </c>
      <c r="AD1630" s="0" t="s">
        <v>4637</v>
      </c>
      <c r="AE1630" s="0" t="s">
        <v>1892</v>
      </c>
      <c r="AF1630" s="0" t="s">
        <v>6107</v>
      </c>
      <c r="AH1630" s="0" t="s">
        <v>2239</v>
      </c>
      <c r="AL1630" s="0" t="s">
        <v>523</v>
      </c>
    </row>
    <row r="1631" customFormat="false" ht="15" hidden="false" customHeight="false" outlineLevel="0" collapsed="false">
      <c r="A1631" s="0" t="s">
        <v>656</v>
      </c>
      <c r="B1631" s="0" t="s">
        <v>100</v>
      </c>
      <c r="C1631" s="0" t="s">
        <v>6099</v>
      </c>
      <c r="D1631" s="0" t="n">
        <v>2013</v>
      </c>
      <c r="E1631" s="0" t="s">
        <v>57</v>
      </c>
      <c r="F1631" s="0" t="n">
        <v>156628</v>
      </c>
      <c r="G1631" s="0" t="s">
        <v>3101</v>
      </c>
      <c r="H1631" s="0" t="s">
        <v>3068</v>
      </c>
      <c r="I1631" s="0" t="n">
        <v>156628</v>
      </c>
      <c r="J1631" s="0" t="s">
        <v>6100</v>
      </c>
      <c r="K1631" s="0" t="s">
        <v>2678</v>
      </c>
      <c r="L1631" s="0" t="n">
        <v>2013</v>
      </c>
      <c r="M1631" s="0" t="s">
        <v>2233</v>
      </c>
      <c r="N1631" s="0" t="s">
        <v>102</v>
      </c>
      <c r="O1631" s="0" t="s">
        <v>6101</v>
      </c>
      <c r="P1631" s="0" t="s">
        <v>6102</v>
      </c>
      <c r="Q1631" s="0" t="n">
        <v>38</v>
      </c>
      <c r="R1631" s="0" t="n">
        <v>36</v>
      </c>
      <c r="T1631" s="0" t="s">
        <v>4999</v>
      </c>
      <c r="U1631" s="0" t="s">
        <v>5000</v>
      </c>
      <c r="V1631" s="0" t="s">
        <v>103</v>
      </c>
      <c r="W1631" s="0" t="s">
        <v>6110</v>
      </c>
      <c r="X1631" s="0" t="s">
        <v>6104</v>
      </c>
      <c r="Y1631" s="0" t="s">
        <v>4159</v>
      </c>
      <c r="Z1631" s="0" t="s">
        <v>4160</v>
      </c>
      <c r="AA1631" s="0" t="s">
        <v>6111</v>
      </c>
      <c r="AB1631" s="0" t="s">
        <v>6106</v>
      </c>
      <c r="AC1631" s="0" t="s">
        <v>4162</v>
      </c>
      <c r="AD1631" s="0" t="s">
        <v>4637</v>
      </c>
      <c r="AE1631" s="0" t="s">
        <v>1892</v>
      </c>
      <c r="AF1631" s="0" t="s">
        <v>6107</v>
      </c>
      <c r="AH1631" s="0" t="s">
        <v>2239</v>
      </c>
      <c r="AL1631" s="0" t="s">
        <v>523</v>
      </c>
    </row>
    <row r="1632" customFormat="false" ht="15" hidden="false" customHeight="false" outlineLevel="0" collapsed="false">
      <c r="A1632" s="0" t="s">
        <v>653</v>
      </c>
      <c r="B1632" s="0" t="s">
        <v>100</v>
      </c>
      <c r="C1632" s="0" t="s">
        <v>6099</v>
      </c>
      <c r="D1632" s="0" t="n">
        <v>2013</v>
      </c>
      <c r="E1632" s="0" t="s">
        <v>54</v>
      </c>
      <c r="F1632" s="0" t="n">
        <v>11658</v>
      </c>
      <c r="G1632" s="0" t="s">
        <v>3101</v>
      </c>
      <c r="H1632" s="0" t="s">
        <v>3068</v>
      </c>
      <c r="I1632" s="0" t="n">
        <v>11658</v>
      </c>
      <c r="J1632" s="0" t="s">
        <v>6100</v>
      </c>
      <c r="K1632" s="0" t="s">
        <v>2678</v>
      </c>
      <c r="L1632" s="0" t="n">
        <v>2013</v>
      </c>
      <c r="M1632" s="0" t="s">
        <v>2233</v>
      </c>
      <c r="N1632" s="0" t="s">
        <v>102</v>
      </c>
      <c r="O1632" s="0" t="s">
        <v>6101</v>
      </c>
      <c r="P1632" s="0" t="s">
        <v>6102</v>
      </c>
      <c r="Q1632" s="0" t="n">
        <v>37</v>
      </c>
      <c r="R1632" s="0" t="n">
        <v>35</v>
      </c>
      <c r="T1632" s="0" t="s">
        <v>4999</v>
      </c>
      <c r="U1632" s="0" t="s">
        <v>5000</v>
      </c>
      <c r="V1632" s="0" t="s">
        <v>103</v>
      </c>
      <c r="W1632" s="0" t="s">
        <v>6112</v>
      </c>
      <c r="X1632" s="0" t="s">
        <v>6113</v>
      </c>
      <c r="Y1632" s="0" t="s">
        <v>4159</v>
      </c>
      <c r="Z1632" s="0" t="s">
        <v>4160</v>
      </c>
      <c r="AA1632" s="0" t="s">
        <v>6114</v>
      </c>
      <c r="AB1632" s="0" t="s">
        <v>6106</v>
      </c>
      <c r="AC1632" s="0" t="s">
        <v>4162</v>
      </c>
      <c r="AD1632" s="0" t="s">
        <v>4637</v>
      </c>
      <c r="AE1632" s="0" t="s">
        <v>1892</v>
      </c>
      <c r="AF1632" s="0" t="s">
        <v>6107</v>
      </c>
      <c r="AH1632" s="0" t="s">
        <v>2239</v>
      </c>
      <c r="AL1632" s="0" t="s">
        <v>523</v>
      </c>
    </row>
    <row r="1633" customFormat="false" ht="15" hidden="false" customHeight="false" outlineLevel="0" collapsed="false">
      <c r="A1633" s="0" t="s">
        <v>667</v>
      </c>
      <c r="B1633" s="0" t="s">
        <v>100</v>
      </c>
      <c r="C1633" s="0" t="s">
        <v>6099</v>
      </c>
      <c r="D1633" s="0" t="n">
        <v>2013</v>
      </c>
      <c r="E1633" s="0" t="s">
        <v>541</v>
      </c>
      <c r="F1633" s="0" t="n">
        <v>10533</v>
      </c>
      <c r="G1633" s="0" t="s">
        <v>3101</v>
      </c>
      <c r="H1633" s="0" t="s">
        <v>3068</v>
      </c>
      <c r="I1633" s="0" t="n">
        <v>10533</v>
      </c>
      <c r="J1633" s="0" t="s">
        <v>6100</v>
      </c>
      <c r="K1633" s="0" t="s">
        <v>2678</v>
      </c>
      <c r="L1633" s="0" t="n">
        <v>2013</v>
      </c>
      <c r="M1633" s="0" t="s">
        <v>2233</v>
      </c>
      <c r="N1633" s="0" t="s">
        <v>102</v>
      </c>
      <c r="O1633" s="0" t="s">
        <v>6101</v>
      </c>
      <c r="P1633" s="0" t="s">
        <v>6102</v>
      </c>
      <c r="Q1633" s="0" t="n">
        <v>37</v>
      </c>
      <c r="R1633" s="0" t="n">
        <v>35</v>
      </c>
      <c r="T1633" s="0" t="s">
        <v>4999</v>
      </c>
      <c r="U1633" s="0" t="s">
        <v>5000</v>
      </c>
      <c r="V1633" s="0" t="s">
        <v>103</v>
      </c>
      <c r="W1633" s="0" t="s">
        <v>6115</v>
      </c>
      <c r="X1633" s="0" t="s">
        <v>6113</v>
      </c>
      <c r="Y1633" s="0" t="s">
        <v>4159</v>
      </c>
      <c r="Z1633" s="0" t="s">
        <v>4160</v>
      </c>
      <c r="AA1633" s="0" t="s">
        <v>6116</v>
      </c>
      <c r="AB1633" s="0" t="s">
        <v>6106</v>
      </c>
      <c r="AC1633" s="0" t="s">
        <v>4162</v>
      </c>
      <c r="AD1633" s="0" t="s">
        <v>4637</v>
      </c>
      <c r="AE1633" s="0" t="s">
        <v>1892</v>
      </c>
      <c r="AF1633" s="0" t="s">
        <v>6107</v>
      </c>
      <c r="AH1633" s="0" t="s">
        <v>2239</v>
      </c>
      <c r="AL1633" s="0" t="s">
        <v>523</v>
      </c>
    </row>
    <row r="1634" customFormat="false" ht="15" hidden="false" customHeight="false" outlineLevel="0" collapsed="false">
      <c r="A1634" s="0" t="s">
        <v>657</v>
      </c>
      <c r="B1634" s="0" t="s">
        <v>100</v>
      </c>
      <c r="C1634" s="0" t="s">
        <v>6099</v>
      </c>
      <c r="D1634" s="0" t="n">
        <v>2013</v>
      </c>
      <c r="E1634" s="0" t="s">
        <v>58</v>
      </c>
      <c r="F1634" s="0" t="n">
        <v>4606</v>
      </c>
      <c r="G1634" s="0" t="s">
        <v>3101</v>
      </c>
      <c r="H1634" s="0" t="s">
        <v>3068</v>
      </c>
      <c r="I1634" s="0" t="n">
        <v>4606</v>
      </c>
      <c r="J1634" s="0" t="s">
        <v>6100</v>
      </c>
      <c r="K1634" s="0" t="s">
        <v>2678</v>
      </c>
      <c r="L1634" s="0" t="n">
        <v>2013</v>
      </c>
      <c r="M1634" s="0" t="s">
        <v>2233</v>
      </c>
      <c r="N1634" s="0" t="s">
        <v>102</v>
      </c>
      <c r="O1634" s="0" t="s">
        <v>6101</v>
      </c>
      <c r="P1634" s="0" t="s">
        <v>6102</v>
      </c>
      <c r="Q1634" s="0" t="n">
        <v>41</v>
      </c>
      <c r="R1634" s="0" t="n">
        <v>39</v>
      </c>
      <c r="T1634" s="0" t="s">
        <v>4999</v>
      </c>
      <c r="U1634" s="0" t="s">
        <v>5000</v>
      </c>
      <c r="V1634" s="0" t="s">
        <v>103</v>
      </c>
      <c r="W1634" s="0" t="s">
        <v>6117</v>
      </c>
      <c r="X1634" s="0" t="s">
        <v>6118</v>
      </c>
      <c r="Y1634" s="0" t="s">
        <v>4159</v>
      </c>
      <c r="Z1634" s="0" t="s">
        <v>4160</v>
      </c>
      <c r="AA1634" s="0" t="s">
        <v>6119</v>
      </c>
      <c r="AB1634" s="0" t="s">
        <v>6106</v>
      </c>
      <c r="AC1634" s="0" t="s">
        <v>4162</v>
      </c>
      <c r="AD1634" s="0" t="s">
        <v>4637</v>
      </c>
      <c r="AE1634" s="0" t="s">
        <v>1892</v>
      </c>
      <c r="AF1634" s="0" t="s">
        <v>6107</v>
      </c>
      <c r="AH1634" s="0" t="s">
        <v>2239</v>
      </c>
      <c r="AL1634" s="0" t="s">
        <v>523</v>
      </c>
    </row>
    <row r="1635" customFormat="false" ht="15" hidden="false" customHeight="false" outlineLevel="0" collapsed="false">
      <c r="A1635" s="0" t="s">
        <v>658</v>
      </c>
      <c r="B1635" s="0" t="s">
        <v>100</v>
      </c>
      <c r="C1635" s="0" t="s">
        <v>6099</v>
      </c>
      <c r="D1635" s="0" t="n">
        <v>2013</v>
      </c>
      <c r="E1635" s="0" t="s">
        <v>59</v>
      </c>
      <c r="F1635" s="0" t="n">
        <v>1325315</v>
      </c>
      <c r="G1635" s="0" t="s">
        <v>3101</v>
      </c>
      <c r="H1635" s="0" t="s">
        <v>3068</v>
      </c>
      <c r="I1635" s="0" t="n">
        <v>1325315</v>
      </c>
      <c r="J1635" s="0" t="s">
        <v>6100</v>
      </c>
      <c r="K1635" s="0" t="s">
        <v>2678</v>
      </c>
      <c r="L1635" s="0" t="n">
        <v>2013</v>
      </c>
      <c r="M1635" s="0" t="s">
        <v>2233</v>
      </c>
      <c r="N1635" s="0" t="s">
        <v>102</v>
      </c>
      <c r="O1635" s="0" t="s">
        <v>6101</v>
      </c>
      <c r="P1635" s="0" t="s">
        <v>6102</v>
      </c>
      <c r="Q1635" s="0" t="n">
        <v>38</v>
      </c>
      <c r="R1635" s="0" t="n">
        <v>36</v>
      </c>
      <c r="T1635" s="0" t="s">
        <v>5010</v>
      </c>
      <c r="U1635" s="0" t="s">
        <v>6120</v>
      </c>
      <c r="V1635" s="0" t="s">
        <v>103</v>
      </c>
      <c r="W1635" s="0" t="s">
        <v>6103</v>
      </c>
      <c r="X1635" s="0" t="s">
        <v>6104</v>
      </c>
      <c r="Y1635" s="0" t="s">
        <v>4159</v>
      </c>
      <c r="Z1635" s="0" t="s">
        <v>4160</v>
      </c>
      <c r="AA1635" s="0" t="s">
        <v>6121</v>
      </c>
      <c r="AB1635" s="0" t="s">
        <v>6106</v>
      </c>
      <c r="AC1635" s="0" t="s">
        <v>4162</v>
      </c>
      <c r="AD1635" s="0" t="s">
        <v>4637</v>
      </c>
      <c r="AE1635" s="0" t="s">
        <v>1892</v>
      </c>
      <c r="AF1635" s="0" t="s">
        <v>6122</v>
      </c>
      <c r="AH1635" s="0" t="s">
        <v>2239</v>
      </c>
      <c r="AL1635" s="0" t="s">
        <v>523</v>
      </c>
    </row>
    <row r="1636" customFormat="false" ht="15" hidden="false" customHeight="false" outlineLevel="0" collapsed="false">
      <c r="A1636" s="0" t="s">
        <v>662</v>
      </c>
      <c r="B1636" s="0" t="s">
        <v>100</v>
      </c>
      <c r="C1636" s="0" t="s">
        <v>6099</v>
      </c>
      <c r="D1636" s="0" t="n">
        <v>2013</v>
      </c>
      <c r="E1636" s="0" t="s">
        <v>63</v>
      </c>
      <c r="F1636" s="0" t="n">
        <v>-32606</v>
      </c>
      <c r="G1636" s="0" t="s">
        <v>3101</v>
      </c>
      <c r="H1636" s="0" t="s">
        <v>3068</v>
      </c>
      <c r="I1636" s="0" t="n">
        <v>32606</v>
      </c>
      <c r="J1636" s="0" t="s">
        <v>6100</v>
      </c>
      <c r="K1636" s="0" t="s">
        <v>2678</v>
      </c>
      <c r="L1636" s="0" t="n">
        <v>2013</v>
      </c>
      <c r="M1636" s="0" t="s">
        <v>2233</v>
      </c>
      <c r="N1636" s="0" t="s">
        <v>102</v>
      </c>
      <c r="O1636" s="0" t="s">
        <v>6101</v>
      </c>
      <c r="P1636" s="0" t="s">
        <v>6102</v>
      </c>
      <c r="Q1636" s="0" t="n">
        <v>37</v>
      </c>
      <c r="R1636" s="0" t="n">
        <v>35</v>
      </c>
      <c r="S1636" s="0" t="n">
        <v>5</v>
      </c>
      <c r="T1636" s="0" t="s">
        <v>4999</v>
      </c>
      <c r="U1636" s="0" t="s">
        <v>5000</v>
      </c>
      <c r="V1636" s="0" t="s">
        <v>103</v>
      </c>
      <c r="W1636" s="0" t="s">
        <v>6123</v>
      </c>
      <c r="X1636" s="0" t="s">
        <v>6113</v>
      </c>
      <c r="Y1636" s="0" t="s">
        <v>4159</v>
      </c>
      <c r="Z1636" s="0" t="s">
        <v>4160</v>
      </c>
      <c r="AA1636" s="0" t="s">
        <v>6124</v>
      </c>
      <c r="AB1636" s="0" t="s">
        <v>6106</v>
      </c>
      <c r="AC1636" s="0" t="s">
        <v>4162</v>
      </c>
      <c r="AD1636" s="0" t="s">
        <v>4637</v>
      </c>
      <c r="AE1636" s="0" t="s">
        <v>1892</v>
      </c>
      <c r="AF1636" s="0" t="s">
        <v>6107</v>
      </c>
      <c r="AH1636" s="0" t="s">
        <v>4174</v>
      </c>
      <c r="AI1636" s="0" t="s">
        <v>4974</v>
      </c>
      <c r="AL1636" s="0" t="s">
        <v>523</v>
      </c>
    </row>
    <row r="1637" customFormat="false" ht="15" hidden="false" customHeight="false" outlineLevel="0" collapsed="false">
      <c r="A1637" s="0" t="s">
        <v>659</v>
      </c>
      <c r="B1637" s="0" t="s">
        <v>100</v>
      </c>
      <c r="C1637" s="0" t="s">
        <v>6099</v>
      </c>
      <c r="D1637" s="0" t="n">
        <v>2013</v>
      </c>
      <c r="E1637" s="0" t="s">
        <v>60</v>
      </c>
      <c r="F1637" s="0" t="n">
        <v>660730</v>
      </c>
      <c r="G1637" s="0" t="s">
        <v>3101</v>
      </c>
      <c r="H1637" s="0" t="s">
        <v>3068</v>
      </c>
      <c r="I1637" s="0" t="n">
        <v>660730</v>
      </c>
      <c r="J1637" s="0" t="s">
        <v>6100</v>
      </c>
      <c r="K1637" s="0" t="s">
        <v>2678</v>
      </c>
      <c r="L1637" s="0" t="n">
        <v>2013</v>
      </c>
      <c r="M1637" s="0" t="s">
        <v>2233</v>
      </c>
      <c r="N1637" s="0" t="s">
        <v>102</v>
      </c>
      <c r="O1637" s="0" t="s">
        <v>6101</v>
      </c>
      <c r="P1637" s="0" t="s">
        <v>6102</v>
      </c>
      <c r="Q1637" s="0" t="n">
        <v>59</v>
      </c>
      <c r="R1637" s="0" t="n">
        <v>57</v>
      </c>
      <c r="S1637" s="0" t="n">
        <v>18.1</v>
      </c>
      <c r="T1637" s="0" t="s">
        <v>4999</v>
      </c>
      <c r="U1637" s="0" t="s">
        <v>5000</v>
      </c>
      <c r="V1637" s="0" t="s">
        <v>103</v>
      </c>
      <c r="W1637" s="0" t="s">
        <v>6125</v>
      </c>
      <c r="X1637" s="0" t="s">
        <v>6126</v>
      </c>
      <c r="Y1637" s="0" t="s">
        <v>4159</v>
      </c>
      <c r="Z1637" s="0" t="s">
        <v>4160</v>
      </c>
      <c r="AA1637" s="0" t="s">
        <v>6127</v>
      </c>
      <c r="AB1637" s="0" t="s">
        <v>6106</v>
      </c>
      <c r="AC1637" s="0" t="s">
        <v>4162</v>
      </c>
      <c r="AD1637" s="0" t="s">
        <v>4637</v>
      </c>
      <c r="AE1637" s="0" t="s">
        <v>1892</v>
      </c>
      <c r="AF1637" s="0" t="s">
        <v>6107</v>
      </c>
      <c r="AH1637" s="0" t="s">
        <v>2239</v>
      </c>
      <c r="AL1637" s="0" t="s">
        <v>523</v>
      </c>
    </row>
    <row r="1638" customFormat="false" ht="15" hidden="false" customHeight="false" outlineLevel="0" collapsed="false">
      <c r="A1638" s="0" t="s">
        <v>660</v>
      </c>
      <c r="B1638" s="0" t="s">
        <v>100</v>
      </c>
      <c r="C1638" s="0" t="s">
        <v>6099</v>
      </c>
      <c r="D1638" s="0" t="n">
        <v>2013</v>
      </c>
      <c r="E1638" s="0" t="s">
        <v>61</v>
      </c>
      <c r="F1638" s="0" t="n">
        <v>-34823</v>
      </c>
      <c r="G1638" s="0" t="s">
        <v>3101</v>
      </c>
      <c r="H1638" s="0" t="s">
        <v>3068</v>
      </c>
      <c r="I1638" s="0" t="n">
        <v>34823</v>
      </c>
      <c r="J1638" s="0" t="s">
        <v>6100</v>
      </c>
      <c r="K1638" s="0" t="s">
        <v>2678</v>
      </c>
      <c r="L1638" s="0" t="n">
        <v>2013</v>
      </c>
      <c r="M1638" s="0" t="s">
        <v>2233</v>
      </c>
      <c r="N1638" s="0" t="s">
        <v>102</v>
      </c>
      <c r="O1638" s="0" t="s">
        <v>6101</v>
      </c>
      <c r="P1638" s="0" t="s">
        <v>6102</v>
      </c>
      <c r="Q1638" s="0" t="n">
        <v>59</v>
      </c>
      <c r="R1638" s="0" t="n">
        <v>57</v>
      </c>
      <c r="S1638" s="0" t="n">
        <v>18.1</v>
      </c>
      <c r="T1638" s="0" t="s">
        <v>4999</v>
      </c>
      <c r="U1638" s="0" t="s">
        <v>5000</v>
      </c>
      <c r="V1638" s="0" t="s">
        <v>103</v>
      </c>
      <c r="W1638" s="0" t="s">
        <v>6125</v>
      </c>
      <c r="X1638" s="0" t="s">
        <v>6126</v>
      </c>
      <c r="Y1638" s="0" t="s">
        <v>4159</v>
      </c>
      <c r="Z1638" s="0" t="s">
        <v>4160</v>
      </c>
      <c r="AA1638" s="0" t="s">
        <v>6128</v>
      </c>
      <c r="AB1638" s="0" t="s">
        <v>6106</v>
      </c>
      <c r="AC1638" s="0" t="s">
        <v>4162</v>
      </c>
      <c r="AD1638" s="0" t="s">
        <v>4637</v>
      </c>
      <c r="AE1638" s="0" t="s">
        <v>1892</v>
      </c>
      <c r="AF1638" s="0" t="s">
        <v>6107</v>
      </c>
      <c r="AH1638" s="0" t="s">
        <v>4174</v>
      </c>
      <c r="AI1638" s="0" t="s">
        <v>4781</v>
      </c>
      <c r="AL1638" s="0" t="s">
        <v>523</v>
      </c>
    </row>
    <row r="1639" customFormat="false" ht="15" hidden="false" customHeight="false" outlineLevel="0" collapsed="false">
      <c r="A1639" s="0" t="s">
        <v>661</v>
      </c>
      <c r="B1639" s="0" t="s">
        <v>100</v>
      </c>
      <c r="C1639" s="0" t="s">
        <v>6099</v>
      </c>
      <c r="D1639" s="0" t="n">
        <v>2013</v>
      </c>
      <c r="E1639" s="0" t="s">
        <v>62</v>
      </c>
      <c r="F1639" s="0" t="n">
        <v>625907</v>
      </c>
      <c r="G1639" s="0" t="s">
        <v>3101</v>
      </c>
      <c r="H1639" s="0" t="s">
        <v>3068</v>
      </c>
      <c r="I1639" s="0" t="n">
        <v>625907</v>
      </c>
      <c r="J1639" s="0" t="s">
        <v>6100</v>
      </c>
      <c r="K1639" s="0" t="s">
        <v>2678</v>
      </c>
      <c r="L1639" s="0" t="n">
        <v>2013</v>
      </c>
      <c r="M1639" s="0" t="s">
        <v>2233</v>
      </c>
      <c r="N1639" s="0" t="s">
        <v>102</v>
      </c>
      <c r="O1639" s="0" t="s">
        <v>6101</v>
      </c>
      <c r="P1639" s="0" t="s">
        <v>6102</v>
      </c>
      <c r="Q1639" s="0" t="n">
        <v>38</v>
      </c>
      <c r="R1639" s="0" t="n">
        <v>36</v>
      </c>
      <c r="S1639" s="0" t="n">
        <v>18</v>
      </c>
      <c r="T1639" s="0" t="s">
        <v>4999</v>
      </c>
      <c r="U1639" s="0" t="s">
        <v>5000</v>
      </c>
      <c r="V1639" s="0" t="s">
        <v>103</v>
      </c>
      <c r="W1639" s="0" t="s">
        <v>6129</v>
      </c>
      <c r="X1639" s="0" t="s">
        <v>6104</v>
      </c>
      <c r="Y1639" s="0" t="s">
        <v>4159</v>
      </c>
      <c r="Z1639" s="0" t="s">
        <v>4160</v>
      </c>
      <c r="AA1639" s="0" t="s">
        <v>6130</v>
      </c>
      <c r="AB1639" s="0" t="s">
        <v>6106</v>
      </c>
      <c r="AC1639" s="0" t="s">
        <v>4162</v>
      </c>
      <c r="AD1639" s="0" t="s">
        <v>4637</v>
      </c>
      <c r="AE1639" s="0" t="s">
        <v>1892</v>
      </c>
      <c r="AF1639" s="0" t="s">
        <v>6107</v>
      </c>
      <c r="AH1639" s="0" t="s">
        <v>2239</v>
      </c>
      <c r="AL1639" s="0" t="s">
        <v>523</v>
      </c>
    </row>
    <row r="1640" customFormat="false" ht="15" hidden="false" customHeight="false" outlineLevel="0" collapsed="false">
      <c r="A1640" s="0" t="s">
        <v>664</v>
      </c>
      <c r="B1640" s="0" t="s">
        <v>100</v>
      </c>
      <c r="C1640" s="0" t="s">
        <v>6099</v>
      </c>
      <c r="D1640" s="0" t="n">
        <v>2013</v>
      </c>
      <c r="E1640" s="0" t="s">
        <v>65</v>
      </c>
      <c r="F1640" s="0" t="n">
        <v>165746</v>
      </c>
      <c r="G1640" s="0" t="s">
        <v>3101</v>
      </c>
      <c r="H1640" s="0" t="s">
        <v>3068</v>
      </c>
      <c r="I1640" s="0" t="n">
        <v>165746</v>
      </c>
      <c r="J1640" s="0" t="s">
        <v>6100</v>
      </c>
      <c r="K1640" s="0" t="s">
        <v>2678</v>
      </c>
      <c r="L1640" s="0" t="n">
        <v>2013</v>
      </c>
      <c r="M1640" s="0" t="s">
        <v>2233</v>
      </c>
      <c r="N1640" s="0" t="s">
        <v>102</v>
      </c>
      <c r="O1640" s="0" t="s">
        <v>6101</v>
      </c>
      <c r="P1640" s="0" t="s">
        <v>6102</v>
      </c>
      <c r="Q1640" s="0" t="n">
        <v>97</v>
      </c>
      <c r="R1640" s="0" t="n">
        <v>95</v>
      </c>
      <c r="T1640" s="0" t="s">
        <v>4999</v>
      </c>
      <c r="U1640" s="0" t="s">
        <v>5000</v>
      </c>
      <c r="V1640" s="0" t="s">
        <v>103</v>
      </c>
      <c r="W1640" s="0" t="s">
        <v>6131</v>
      </c>
      <c r="X1640" s="0" t="s">
        <v>6132</v>
      </c>
      <c r="Y1640" s="0" t="s">
        <v>4159</v>
      </c>
      <c r="Z1640" s="0" t="s">
        <v>4160</v>
      </c>
      <c r="AA1640" s="0" t="s">
        <v>6133</v>
      </c>
      <c r="AB1640" s="0" t="s">
        <v>6106</v>
      </c>
      <c r="AC1640" s="0" t="s">
        <v>4162</v>
      </c>
      <c r="AD1640" s="0" t="s">
        <v>4637</v>
      </c>
      <c r="AE1640" s="0" t="s">
        <v>1892</v>
      </c>
      <c r="AF1640" s="0" t="s">
        <v>6107</v>
      </c>
      <c r="AH1640" s="0" t="s">
        <v>2239</v>
      </c>
      <c r="AL1640" s="0" t="s">
        <v>523</v>
      </c>
    </row>
    <row r="1641" customFormat="false" ht="15" hidden="false" customHeight="false" outlineLevel="0" collapsed="false">
      <c r="A1641" s="0" t="s">
        <v>665</v>
      </c>
      <c r="B1641" s="0" t="s">
        <v>100</v>
      </c>
      <c r="C1641" s="0" t="s">
        <v>6099</v>
      </c>
      <c r="D1641" s="0" t="n">
        <v>2013</v>
      </c>
      <c r="E1641" s="0" t="s">
        <v>66</v>
      </c>
      <c r="F1641" s="0" t="n">
        <v>953338</v>
      </c>
      <c r="G1641" s="0" t="s">
        <v>3101</v>
      </c>
      <c r="H1641" s="0" t="s">
        <v>3068</v>
      </c>
      <c r="I1641" s="0" t="n">
        <v>953338</v>
      </c>
      <c r="J1641" s="0" t="s">
        <v>6100</v>
      </c>
      <c r="K1641" s="0" t="s">
        <v>2678</v>
      </c>
      <c r="L1641" s="0" t="n">
        <v>2013</v>
      </c>
      <c r="M1641" s="0" t="s">
        <v>2233</v>
      </c>
      <c r="N1641" s="0" t="s">
        <v>102</v>
      </c>
      <c r="O1641" s="0" t="s">
        <v>6101</v>
      </c>
      <c r="P1641" s="0" t="s">
        <v>6102</v>
      </c>
      <c r="Q1641" s="0" t="n">
        <v>97</v>
      </c>
      <c r="R1641" s="0" t="n">
        <v>95</v>
      </c>
      <c r="T1641" s="0" t="s">
        <v>4999</v>
      </c>
      <c r="U1641" s="0" t="s">
        <v>5000</v>
      </c>
      <c r="V1641" s="0" t="s">
        <v>103</v>
      </c>
      <c r="W1641" s="0" t="s">
        <v>6134</v>
      </c>
      <c r="X1641" s="0" t="s">
        <v>6132</v>
      </c>
      <c r="Y1641" s="0" t="s">
        <v>4159</v>
      </c>
      <c r="Z1641" s="0" t="s">
        <v>4160</v>
      </c>
      <c r="AA1641" s="0" t="s">
        <v>6135</v>
      </c>
      <c r="AB1641" s="0" t="s">
        <v>6106</v>
      </c>
      <c r="AC1641" s="0" t="s">
        <v>4162</v>
      </c>
      <c r="AD1641" s="0" t="s">
        <v>4637</v>
      </c>
      <c r="AE1641" s="0" t="s">
        <v>1892</v>
      </c>
      <c r="AF1641" s="0" t="s">
        <v>6107</v>
      </c>
      <c r="AH1641" s="0" t="s">
        <v>2239</v>
      </c>
      <c r="AL1641" s="0" t="s">
        <v>523</v>
      </c>
    </row>
    <row r="1642" customFormat="false" ht="15" hidden="false" customHeight="false" outlineLevel="0" collapsed="false">
      <c r="A1642" s="0" t="s">
        <v>663</v>
      </c>
      <c r="B1642" s="0" t="s">
        <v>100</v>
      </c>
      <c r="C1642" s="0" t="s">
        <v>6099</v>
      </c>
      <c r="D1642" s="0" t="n">
        <v>2013</v>
      </c>
      <c r="E1642" s="0" t="s">
        <v>69</v>
      </c>
      <c r="F1642" s="0" t="s">
        <v>6136</v>
      </c>
      <c r="G1642" s="0" t="s">
        <v>3143</v>
      </c>
      <c r="I1642" s="0" t="n">
        <v>17</v>
      </c>
      <c r="J1642" s="0" t="s">
        <v>6100</v>
      </c>
      <c r="K1642" s="0" t="s">
        <v>2678</v>
      </c>
      <c r="L1642" s="0" t="n">
        <v>2013</v>
      </c>
      <c r="M1642" s="0" t="s">
        <v>2233</v>
      </c>
      <c r="N1642" s="0" t="s">
        <v>102</v>
      </c>
      <c r="O1642" s="0" t="s">
        <v>6101</v>
      </c>
      <c r="P1642" s="0" t="s">
        <v>6102</v>
      </c>
      <c r="Q1642" s="0" t="n">
        <v>97</v>
      </c>
      <c r="R1642" s="0" t="n">
        <v>95</v>
      </c>
      <c r="T1642" s="0" t="s">
        <v>4999</v>
      </c>
      <c r="U1642" s="0" t="s">
        <v>5000</v>
      </c>
      <c r="V1642" s="0" t="s">
        <v>103</v>
      </c>
      <c r="W1642" s="0" t="s">
        <v>6137</v>
      </c>
      <c r="X1642" s="0" t="s">
        <v>6132</v>
      </c>
      <c r="Y1642" s="0" t="s">
        <v>4159</v>
      </c>
      <c r="Z1642" s="0" t="s">
        <v>4160</v>
      </c>
      <c r="AA1642" s="0" t="s">
        <v>6138</v>
      </c>
      <c r="AB1642" s="0" t="s">
        <v>6106</v>
      </c>
      <c r="AC1642" s="0" t="s">
        <v>4162</v>
      </c>
      <c r="AD1642" s="0" t="s">
        <v>4637</v>
      </c>
      <c r="AE1642" s="0" t="s">
        <v>1892</v>
      </c>
      <c r="AF1642" s="0" t="s">
        <v>6107</v>
      </c>
      <c r="AH1642" s="0" t="s">
        <v>2239</v>
      </c>
      <c r="AL1642" s="0" t="s">
        <v>523</v>
      </c>
    </row>
    <row r="1643" customFormat="false" ht="15" hidden="false" customHeight="false" outlineLevel="0" collapsed="false">
      <c r="A1643" s="0" t="s">
        <v>666</v>
      </c>
      <c r="B1643" s="0" t="s">
        <v>100</v>
      </c>
      <c r="C1643" s="0" t="s">
        <v>6099</v>
      </c>
      <c r="D1643" s="0" t="n">
        <v>2013</v>
      </c>
      <c r="E1643" s="0" t="s">
        <v>73</v>
      </c>
      <c r="F1643" s="0" t="n">
        <v>0</v>
      </c>
      <c r="G1643" s="0" t="s">
        <v>4257</v>
      </c>
      <c r="I1643" s="0" t="n">
        <v>0</v>
      </c>
      <c r="J1643" s="0" t="s">
        <v>6100</v>
      </c>
      <c r="K1643" s="0" t="s">
        <v>2678</v>
      </c>
      <c r="L1643" s="0" t="n">
        <v>2013</v>
      </c>
      <c r="M1643" s="0" t="s">
        <v>2233</v>
      </c>
      <c r="N1643" s="0" t="s">
        <v>102</v>
      </c>
      <c r="O1643" s="0" t="s">
        <v>6101</v>
      </c>
      <c r="P1643" s="0" t="s">
        <v>6102</v>
      </c>
      <c r="Q1643" s="0" t="n">
        <v>36</v>
      </c>
      <c r="R1643" s="0" t="n">
        <v>34</v>
      </c>
      <c r="T1643" s="0" t="s">
        <v>6139</v>
      </c>
      <c r="U1643" s="0" t="s">
        <v>5000</v>
      </c>
      <c r="V1643" s="0" t="s">
        <v>103</v>
      </c>
      <c r="W1643" s="0" t="s">
        <v>6140</v>
      </c>
      <c r="X1643" s="0" t="s">
        <v>6141</v>
      </c>
      <c r="Y1643" s="0" t="s">
        <v>4212</v>
      </c>
      <c r="Z1643" s="0" t="s">
        <v>4160</v>
      </c>
      <c r="AA1643" s="0" t="s">
        <v>6142</v>
      </c>
      <c r="AB1643" s="0" t="s">
        <v>6106</v>
      </c>
      <c r="AC1643" s="0" t="s">
        <v>4162</v>
      </c>
      <c r="AD1643" s="0" t="s">
        <v>4637</v>
      </c>
      <c r="AE1643" s="0" t="s">
        <v>1892</v>
      </c>
      <c r="AF1643" s="0" t="s">
        <v>6107</v>
      </c>
      <c r="AG1643" s="0" t="s">
        <v>1892</v>
      </c>
      <c r="AH1643" s="0" t="s">
        <v>2239</v>
      </c>
      <c r="AL1643" s="0" t="s">
        <v>539</v>
      </c>
    </row>
    <row r="1644" customFormat="false" ht="15" hidden="false" customHeight="false" outlineLevel="0" collapsed="false">
      <c r="A1644" s="0" t="s">
        <v>669</v>
      </c>
      <c r="B1644" s="0" t="s">
        <v>100</v>
      </c>
      <c r="C1644" s="0" t="s">
        <v>6099</v>
      </c>
      <c r="D1644" s="0" t="n">
        <v>2014</v>
      </c>
      <c r="E1644" s="0" t="s">
        <v>55</v>
      </c>
      <c r="F1644" s="0" t="n">
        <v>1772922</v>
      </c>
      <c r="G1644" s="0" t="s">
        <v>3101</v>
      </c>
      <c r="H1644" s="0" t="s">
        <v>3068</v>
      </c>
      <c r="I1644" s="0" t="n">
        <v>1772922</v>
      </c>
      <c r="J1644" s="0" t="s">
        <v>6100</v>
      </c>
      <c r="K1644" s="0" t="s">
        <v>2679</v>
      </c>
      <c r="L1644" s="0" t="n">
        <v>2014</v>
      </c>
      <c r="M1644" s="0" t="s">
        <v>2244</v>
      </c>
      <c r="N1644" s="0" t="s">
        <v>104</v>
      </c>
      <c r="O1644" s="0" t="s">
        <v>6143</v>
      </c>
      <c r="P1644" s="0" t="s">
        <v>6144</v>
      </c>
      <c r="Q1644" s="0" t="n">
        <v>33</v>
      </c>
      <c r="R1644" s="0" t="n">
        <v>31</v>
      </c>
      <c r="T1644" s="0" t="s">
        <v>5275</v>
      </c>
      <c r="U1644" s="0" t="s">
        <v>4763</v>
      </c>
      <c r="V1644" s="0" t="s">
        <v>105</v>
      </c>
      <c r="W1644" s="0" t="s">
        <v>6145</v>
      </c>
      <c r="X1644" s="0" t="s">
        <v>6146</v>
      </c>
      <c r="Y1644" s="0" t="s">
        <v>4159</v>
      </c>
      <c r="Z1644" s="0" t="s">
        <v>4160</v>
      </c>
      <c r="AA1644" s="0" t="s">
        <v>6147</v>
      </c>
      <c r="AB1644" s="0" t="s">
        <v>6148</v>
      </c>
      <c r="AC1644" s="0" t="s">
        <v>4162</v>
      </c>
      <c r="AD1644" s="0" t="s">
        <v>4637</v>
      </c>
      <c r="AE1644" s="0" t="s">
        <v>1892</v>
      </c>
      <c r="AF1644" s="0" t="s">
        <v>6149</v>
      </c>
      <c r="AH1644" s="0" t="s">
        <v>2239</v>
      </c>
      <c r="AL1644" s="0" t="s">
        <v>523</v>
      </c>
    </row>
    <row r="1645" customFormat="false" ht="15" hidden="false" customHeight="false" outlineLevel="0" collapsed="false">
      <c r="A1645" s="0" t="s">
        <v>670</v>
      </c>
      <c r="B1645" s="0" t="s">
        <v>100</v>
      </c>
      <c r="C1645" s="0" t="s">
        <v>6099</v>
      </c>
      <c r="D1645" s="0" t="n">
        <v>2014</v>
      </c>
      <c r="E1645" s="0" t="s">
        <v>56</v>
      </c>
      <c r="F1645" s="0" t="n">
        <v>1574528</v>
      </c>
      <c r="G1645" s="0" t="s">
        <v>3101</v>
      </c>
      <c r="H1645" s="0" t="s">
        <v>3068</v>
      </c>
      <c r="I1645" s="0" t="n">
        <v>1574528</v>
      </c>
      <c r="J1645" s="0" t="s">
        <v>6100</v>
      </c>
      <c r="K1645" s="0" t="s">
        <v>2679</v>
      </c>
      <c r="L1645" s="0" t="n">
        <v>2014</v>
      </c>
      <c r="M1645" s="0" t="s">
        <v>2244</v>
      </c>
      <c r="N1645" s="0" t="s">
        <v>104</v>
      </c>
      <c r="O1645" s="0" t="s">
        <v>6143</v>
      </c>
      <c r="P1645" s="0" t="s">
        <v>6144</v>
      </c>
      <c r="Q1645" s="0" t="n">
        <v>33</v>
      </c>
      <c r="R1645" s="0" t="n">
        <v>31</v>
      </c>
      <c r="T1645" s="0" t="s">
        <v>5275</v>
      </c>
      <c r="U1645" s="0" t="s">
        <v>4763</v>
      </c>
      <c r="V1645" s="0" t="s">
        <v>105</v>
      </c>
      <c r="W1645" s="0" t="s">
        <v>6150</v>
      </c>
      <c r="X1645" s="0" t="s">
        <v>6146</v>
      </c>
      <c r="Y1645" s="0" t="s">
        <v>4159</v>
      </c>
      <c r="Z1645" s="0" t="s">
        <v>4160</v>
      </c>
      <c r="AA1645" s="0" t="s">
        <v>6151</v>
      </c>
      <c r="AB1645" s="0" t="s">
        <v>6148</v>
      </c>
      <c r="AC1645" s="0" t="s">
        <v>4162</v>
      </c>
      <c r="AD1645" s="0" t="s">
        <v>4637</v>
      </c>
      <c r="AE1645" s="0" t="s">
        <v>1892</v>
      </c>
      <c r="AF1645" s="0" t="s">
        <v>6149</v>
      </c>
      <c r="AH1645" s="0" t="s">
        <v>2239</v>
      </c>
      <c r="AL1645" s="0" t="s">
        <v>523</v>
      </c>
    </row>
    <row r="1646" customFormat="false" ht="15" hidden="false" customHeight="false" outlineLevel="0" collapsed="false">
      <c r="A1646" s="0" t="s">
        <v>671</v>
      </c>
      <c r="B1646" s="0" t="s">
        <v>100</v>
      </c>
      <c r="C1646" s="0" t="s">
        <v>6099</v>
      </c>
      <c r="D1646" s="0" t="n">
        <v>2014</v>
      </c>
      <c r="E1646" s="0" t="s">
        <v>57</v>
      </c>
      <c r="F1646" s="0" t="n">
        <v>198394</v>
      </c>
      <c r="G1646" s="0" t="s">
        <v>3101</v>
      </c>
      <c r="H1646" s="0" t="s">
        <v>3068</v>
      </c>
      <c r="I1646" s="0" t="n">
        <v>198394</v>
      </c>
      <c r="J1646" s="0" t="s">
        <v>6100</v>
      </c>
      <c r="K1646" s="0" t="s">
        <v>2679</v>
      </c>
      <c r="L1646" s="0" t="n">
        <v>2014</v>
      </c>
      <c r="M1646" s="0" t="s">
        <v>2244</v>
      </c>
      <c r="N1646" s="0" t="s">
        <v>104</v>
      </c>
      <c r="O1646" s="0" t="s">
        <v>6143</v>
      </c>
      <c r="P1646" s="0" t="s">
        <v>6144</v>
      </c>
      <c r="Q1646" s="0" t="n">
        <v>33</v>
      </c>
      <c r="R1646" s="0" t="n">
        <v>31</v>
      </c>
      <c r="T1646" s="0" t="s">
        <v>5275</v>
      </c>
      <c r="U1646" s="0" t="s">
        <v>4763</v>
      </c>
      <c r="V1646" s="0" t="s">
        <v>105</v>
      </c>
      <c r="W1646" s="0" t="s">
        <v>6152</v>
      </c>
      <c r="X1646" s="0" t="s">
        <v>6146</v>
      </c>
      <c r="Y1646" s="0" t="s">
        <v>4159</v>
      </c>
      <c r="Z1646" s="0" t="s">
        <v>4160</v>
      </c>
      <c r="AA1646" s="0" t="s">
        <v>6153</v>
      </c>
      <c r="AB1646" s="0" t="s">
        <v>6148</v>
      </c>
      <c r="AC1646" s="0" t="s">
        <v>4162</v>
      </c>
      <c r="AD1646" s="0" t="s">
        <v>4637</v>
      </c>
      <c r="AE1646" s="0" t="s">
        <v>1892</v>
      </c>
      <c r="AF1646" s="0" t="s">
        <v>6149</v>
      </c>
      <c r="AH1646" s="0" t="s">
        <v>2239</v>
      </c>
      <c r="AL1646" s="0" t="s">
        <v>523</v>
      </c>
    </row>
    <row r="1647" customFormat="false" ht="15" hidden="false" customHeight="false" outlineLevel="0" collapsed="false">
      <c r="A1647" s="0" t="s">
        <v>668</v>
      </c>
      <c r="B1647" s="0" t="s">
        <v>100</v>
      </c>
      <c r="C1647" s="0" t="s">
        <v>6099</v>
      </c>
      <c r="D1647" s="0" t="n">
        <v>2014</v>
      </c>
      <c r="E1647" s="0" t="s">
        <v>54</v>
      </c>
      <c r="F1647" s="0" t="n">
        <v>29733</v>
      </c>
      <c r="G1647" s="0" t="s">
        <v>3101</v>
      </c>
      <c r="H1647" s="0" t="s">
        <v>3068</v>
      </c>
      <c r="I1647" s="0" t="n">
        <v>29733</v>
      </c>
      <c r="J1647" s="0" t="s">
        <v>6100</v>
      </c>
      <c r="K1647" s="0" t="s">
        <v>2679</v>
      </c>
      <c r="L1647" s="0" t="n">
        <v>2014</v>
      </c>
      <c r="M1647" s="0" t="s">
        <v>2244</v>
      </c>
      <c r="N1647" s="0" t="s">
        <v>104</v>
      </c>
      <c r="O1647" s="0" t="s">
        <v>6143</v>
      </c>
      <c r="P1647" s="0" t="s">
        <v>6144</v>
      </c>
      <c r="Q1647" s="0" t="n">
        <v>32</v>
      </c>
      <c r="R1647" s="0" t="n">
        <v>30</v>
      </c>
      <c r="T1647" s="0" t="s">
        <v>5275</v>
      </c>
      <c r="U1647" s="0" t="s">
        <v>4763</v>
      </c>
      <c r="V1647" s="0" t="s">
        <v>105</v>
      </c>
      <c r="W1647" s="0" t="s">
        <v>6154</v>
      </c>
      <c r="X1647" s="0" t="s">
        <v>6155</v>
      </c>
      <c r="Y1647" s="0" t="s">
        <v>4159</v>
      </c>
      <c r="Z1647" s="0" t="s">
        <v>4160</v>
      </c>
      <c r="AA1647" s="0" t="s">
        <v>6156</v>
      </c>
      <c r="AB1647" s="0" t="s">
        <v>6148</v>
      </c>
      <c r="AC1647" s="0" t="s">
        <v>4162</v>
      </c>
      <c r="AD1647" s="0" t="s">
        <v>4637</v>
      </c>
      <c r="AE1647" s="0" t="s">
        <v>1892</v>
      </c>
      <c r="AF1647" s="0" t="s">
        <v>6149</v>
      </c>
      <c r="AH1647" s="0" t="s">
        <v>2239</v>
      </c>
      <c r="AL1647" s="0" t="s">
        <v>523</v>
      </c>
    </row>
    <row r="1648" customFormat="false" ht="15" hidden="false" customHeight="false" outlineLevel="0" collapsed="false">
      <c r="A1648" s="0" t="s">
        <v>682</v>
      </c>
      <c r="B1648" s="0" t="s">
        <v>100</v>
      </c>
      <c r="C1648" s="0" t="s">
        <v>6099</v>
      </c>
      <c r="D1648" s="0" t="n">
        <v>2014</v>
      </c>
      <c r="E1648" s="0" t="s">
        <v>541</v>
      </c>
      <c r="F1648" s="0" t="n">
        <v>28663</v>
      </c>
      <c r="G1648" s="0" t="s">
        <v>3101</v>
      </c>
      <c r="H1648" s="0" t="s">
        <v>3068</v>
      </c>
      <c r="I1648" s="0" t="n">
        <v>28663</v>
      </c>
      <c r="J1648" s="0" t="s">
        <v>6100</v>
      </c>
      <c r="K1648" s="0" t="s">
        <v>2679</v>
      </c>
      <c r="L1648" s="0" t="n">
        <v>2014</v>
      </c>
      <c r="M1648" s="0" t="s">
        <v>2244</v>
      </c>
      <c r="N1648" s="0" t="s">
        <v>104</v>
      </c>
      <c r="O1648" s="0" t="s">
        <v>6143</v>
      </c>
      <c r="P1648" s="0" t="s">
        <v>6144</v>
      </c>
      <c r="Q1648" s="0" t="n">
        <v>32</v>
      </c>
      <c r="R1648" s="0" t="n">
        <v>30</v>
      </c>
      <c r="T1648" s="0" t="s">
        <v>5275</v>
      </c>
      <c r="U1648" s="0" t="s">
        <v>4763</v>
      </c>
      <c r="V1648" s="0" t="s">
        <v>105</v>
      </c>
      <c r="W1648" s="0" t="s">
        <v>6157</v>
      </c>
      <c r="X1648" s="0" t="s">
        <v>6155</v>
      </c>
      <c r="Y1648" s="0" t="s">
        <v>4159</v>
      </c>
      <c r="Z1648" s="0" t="s">
        <v>4160</v>
      </c>
      <c r="AA1648" s="0" t="s">
        <v>6158</v>
      </c>
      <c r="AB1648" s="0" t="s">
        <v>6148</v>
      </c>
      <c r="AC1648" s="0" t="s">
        <v>4162</v>
      </c>
      <c r="AD1648" s="0" t="s">
        <v>4637</v>
      </c>
      <c r="AE1648" s="0" t="s">
        <v>1892</v>
      </c>
      <c r="AF1648" s="0" t="s">
        <v>6149</v>
      </c>
      <c r="AH1648" s="0" t="s">
        <v>2239</v>
      </c>
      <c r="AL1648" s="0" t="s">
        <v>523</v>
      </c>
    </row>
    <row r="1649" customFormat="false" ht="15" hidden="false" customHeight="false" outlineLevel="0" collapsed="false">
      <c r="A1649" s="0" t="s">
        <v>672</v>
      </c>
      <c r="B1649" s="0" t="s">
        <v>100</v>
      </c>
      <c r="C1649" s="0" t="s">
        <v>6099</v>
      </c>
      <c r="D1649" s="0" t="n">
        <v>2014</v>
      </c>
      <c r="E1649" s="0" t="s">
        <v>58</v>
      </c>
      <c r="F1649" s="0" t="n">
        <v>-110701</v>
      </c>
      <c r="G1649" s="0" t="s">
        <v>3101</v>
      </c>
      <c r="H1649" s="0" t="s">
        <v>3068</v>
      </c>
      <c r="I1649" s="0" t="n">
        <v>-110701</v>
      </c>
      <c r="J1649" s="0" t="s">
        <v>6100</v>
      </c>
      <c r="K1649" s="0" t="s">
        <v>2679</v>
      </c>
      <c r="L1649" s="0" t="n">
        <v>2014</v>
      </c>
      <c r="M1649" s="0" t="s">
        <v>2244</v>
      </c>
      <c r="N1649" s="0" t="s">
        <v>104</v>
      </c>
      <c r="O1649" s="0" t="s">
        <v>6143</v>
      </c>
      <c r="P1649" s="0" t="s">
        <v>6144</v>
      </c>
      <c r="Q1649" s="0" t="n">
        <v>36</v>
      </c>
      <c r="R1649" s="0" t="n">
        <v>34</v>
      </c>
      <c r="T1649" s="0" t="s">
        <v>5275</v>
      </c>
      <c r="U1649" s="0" t="s">
        <v>4763</v>
      </c>
      <c r="V1649" s="0" t="s">
        <v>105</v>
      </c>
      <c r="W1649" s="0" t="s">
        <v>6159</v>
      </c>
      <c r="X1649" s="0" t="s">
        <v>6160</v>
      </c>
      <c r="Y1649" s="0" t="s">
        <v>4159</v>
      </c>
      <c r="Z1649" s="0" t="s">
        <v>4160</v>
      </c>
      <c r="AA1649" s="0" t="s">
        <v>6161</v>
      </c>
      <c r="AB1649" s="0" t="s">
        <v>6148</v>
      </c>
      <c r="AC1649" s="0" t="s">
        <v>4162</v>
      </c>
      <c r="AD1649" s="0" t="s">
        <v>4637</v>
      </c>
      <c r="AE1649" s="0" t="s">
        <v>1892</v>
      </c>
      <c r="AF1649" s="0" t="s">
        <v>6149</v>
      </c>
      <c r="AH1649" s="0" t="s">
        <v>2239</v>
      </c>
      <c r="AL1649" s="0" t="s">
        <v>523</v>
      </c>
    </row>
    <row r="1650" customFormat="false" ht="15" hidden="false" customHeight="false" outlineLevel="0" collapsed="false">
      <c r="A1650" s="0" t="s">
        <v>673</v>
      </c>
      <c r="B1650" s="0" t="s">
        <v>100</v>
      </c>
      <c r="C1650" s="0" t="s">
        <v>6099</v>
      </c>
      <c r="D1650" s="0" t="n">
        <v>2014</v>
      </c>
      <c r="E1650" s="0" t="s">
        <v>59</v>
      </c>
      <c r="F1650" s="0" t="n">
        <v>1460811</v>
      </c>
      <c r="G1650" s="0" t="s">
        <v>3101</v>
      </c>
      <c r="H1650" s="0" t="s">
        <v>3068</v>
      </c>
      <c r="I1650" s="0" t="n">
        <v>1460811</v>
      </c>
      <c r="J1650" s="0" t="s">
        <v>6100</v>
      </c>
      <c r="K1650" s="0" t="s">
        <v>2679</v>
      </c>
      <c r="L1650" s="0" t="n">
        <v>2014</v>
      </c>
      <c r="M1650" s="0" t="s">
        <v>2244</v>
      </c>
      <c r="N1650" s="0" t="s">
        <v>104</v>
      </c>
      <c r="O1650" s="0" t="s">
        <v>6143</v>
      </c>
      <c r="P1650" s="0" t="s">
        <v>6144</v>
      </c>
      <c r="Q1650" s="0" t="n">
        <v>33</v>
      </c>
      <c r="R1650" s="0" t="n">
        <v>31</v>
      </c>
      <c r="T1650" s="0" t="s">
        <v>4999</v>
      </c>
      <c r="U1650" s="0" t="s">
        <v>6162</v>
      </c>
      <c r="V1650" s="0" t="s">
        <v>105</v>
      </c>
      <c r="W1650" s="0" t="s">
        <v>6145</v>
      </c>
      <c r="X1650" s="0" t="s">
        <v>6146</v>
      </c>
      <c r="Y1650" s="0" t="s">
        <v>4159</v>
      </c>
      <c r="Z1650" s="0" t="s">
        <v>4160</v>
      </c>
      <c r="AA1650" s="0" t="s">
        <v>6163</v>
      </c>
      <c r="AB1650" s="0" t="s">
        <v>6148</v>
      </c>
      <c r="AC1650" s="0" t="s">
        <v>4162</v>
      </c>
      <c r="AD1650" s="0" t="s">
        <v>4637</v>
      </c>
      <c r="AE1650" s="0" t="s">
        <v>1892</v>
      </c>
      <c r="AF1650" s="0" t="s">
        <v>6164</v>
      </c>
      <c r="AH1650" s="0" t="s">
        <v>2239</v>
      </c>
      <c r="AL1650" s="0" t="s">
        <v>523</v>
      </c>
    </row>
    <row r="1651" customFormat="false" ht="15" hidden="false" customHeight="false" outlineLevel="0" collapsed="false">
      <c r="A1651" s="0" t="s">
        <v>677</v>
      </c>
      <c r="B1651" s="0" t="s">
        <v>100</v>
      </c>
      <c r="C1651" s="0" t="s">
        <v>6099</v>
      </c>
      <c r="D1651" s="0" t="n">
        <v>2014</v>
      </c>
      <c r="E1651" s="0" t="s">
        <v>63</v>
      </c>
      <c r="F1651" s="0" t="n">
        <v>-32994</v>
      </c>
      <c r="G1651" s="0" t="s">
        <v>3101</v>
      </c>
      <c r="H1651" s="0" t="s">
        <v>3068</v>
      </c>
      <c r="I1651" s="0" t="n">
        <v>32994</v>
      </c>
      <c r="J1651" s="0" t="s">
        <v>6100</v>
      </c>
      <c r="K1651" s="0" t="s">
        <v>2679</v>
      </c>
      <c r="L1651" s="0" t="n">
        <v>2014</v>
      </c>
      <c r="M1651" s="0" t="s">
        <v>2244</v>
      </c>
      <c r="N1651" s="0" t="s">
        <v>104</v>
      </c>
      <c r="O1651" s="0" t="s">
        <v>6143</v>
      </c>
      <c r="P1651" s="0" t="s">
        <v>6144</v>
      </c>
      <c r="Q1651" s="0" t="n">
        <v>32</v>
      </c>
      <c r="R1651" s="0" t="n">
        <v>30</v>
      </c>
      <c r="S1651" s="0" t="n">
        <v>8</v>
      </c>
      <c r="T1651" s="0" t="s">
        <v>5275</v>
      </c>
      <c r="U1651" s="0" t="s">
        <v>4763</v>
      </c>
      <c r="V1651" s="0" t="s">
        <v>105</v>
      </c>
      <c r="W1651" s="0" t="s">
        <v>6165</v>
      </c>
      <c r="X1651" s="0" t="s">
        <v>6155</v>
      </c>
      <c r="Y1651" s="0" t="s">
        <v>4159</v>
      </c>
      <c r="Z1651" s="0" t="s">
        <v>4160</v>
      </c>
      <c r="AA1651" s="0" t="s">
        <v>6166</v>
      </c>
      <c r="AB1651" s="0" t="s">
        <v>6148</v>
      </c>
      <c r="AC1651" s="0" t="s">
        <v>4162</v>
      </c>
      <c r="AD1651" s="0" t="s">
        <v>4637</v>
      </c>
      <c r="AE1651" s="0" t="s">
        <v>1892</v>
      </c>
      <c r="AF1651" s="0" t="s">
        <v>6149</v>
      </c>
      <c r="AH1651" s="0" t="s">
        <v>4174</v>
      </c>
      <c r="AI1651" s="0" t="s">
        <v>4974</v>
      </c>
      <c r="AL1651" s="0" t="s">
        <v>523</v>
      </c>
    </row>
    <row r="1652" customFormat="false" ht="15" hidden="false" customHeight="false" outlineLevel="0" collapsed="false">
      <c r="A1652" s="0" t="s">
        <v>674</v>
      </c>
      <c r="B1652" s="0" t="s">
        <v>100</v>
      </c>
      <c r="C1652" s="0" t="s">
        <v>6099</v>
      </c>
      <c r="D1652" s="0" t="n">
        <v>2014</v>
      </c>
      <c r="E1652" s="0" t="s">
        <v>60</v>
      </c>
      <c r="F1652" s="0" t="n">
        <v>930956</v>
      </c>
      <c r="G1652" s="0" t="s">
        <v>3101</v>
      </c>
      <c r="H1652" s="0" t="s">
        <v>3068</v>
      </c>
      <c r="I1652" s="0" t="n">
        <v>930956</v>
      </c>
      <c r="J1652" s="0" t="s">
        <v>6100</v>
      </c>
      <c r="K1652" s="0" t="s">
        <v>2679</v>
      </c>
      <c r="L1652" s="0" t="n">
        <v>2014</v>
      </c>
      <c r="M1652" s="0" t="s">
        <v>2244</v>
      </c>
      <c r="N1652" s="0" t="s">
        <v>104</v>
      </c>
      <c r="O1652" s="0" t="s">
        <v>6143</v>
      </c>
      <c r="P1652" s="0" t="s">
        <v>6144</v>
      </c>
      <c r="Q1652" s="0" t="n">
        <v>71</v>
      </c>
      <c r="R1652" s="0" t="n">
        <v>69</v>
      </c>
      <c r="S1652" s="0" t="n">
        <v>18.1</v>
      </c>
      <c r="T1652" s="0" t="s">
        <v>5275</v>
      </c>
      <c r="U1652" s="0" t="s">
        <v>4763</v>
      </c>
      <c r="V1652" s="0" t="s">
        <v>105</v>
      </c>
      <c r="W1652" s="0" t="s">
        <v>6167</v>
      </c>
      <c r="X1652" s="0" t="s">
        <v>6168</v>
      </c>
      <c r="Y1652" s="0" t="s">
        <v>4159</v>
      </c>
      <c r="Z1652" s="0" t="s">
        <v>4160</v>
      </c>
      <c r="AA1652" s="0" t="s">
        <v>6169</v>
      </c>
      <c r="AB1652" s="0" t="s">
        <v>6148</v>
      </c>
      <c r="AC1652" s="0" t="s">
        <v>4162</v>
      </c>
      <c r="AD1652" s="0" t="s">
        <v>4637</v>
      </c>
      <c r="AE1652" s="0" t="s">
        <v>1892</v>
      </c>
      <c r="AF1652" s="0" t="s">
        <v>6149</v>
      </c>
      <c r="AH1652" s="0" t="s">
        <v>2239</v>
      </c>
      <c r="AL1652" s="0" t="s">
        <v>523</v>
      </c>
    </row>
    <row r="1653" customFormat="false" ht="15" hidden="false" customHeight="false" outlineLevel="0" collapsed="false">
      <c r="A1653" s="0" t="s">
        <v>675</v>
      </c>
      <c r="B1653" s="0" t="s">
        <v>100</v>
      </c>
      <c r="C1653" s="0" t="s">
        <v>6099</v>
      </c>
      <c r="D1653" s="0" t="n">
        <v>2014</v>
      </c>
      <c r="E1653" s="0" t="s">
        <v>61</v>
      </c>
      <c r="F1653" s="0" t="n">
        <v>-38235</v>
      </c>
      <c r="G1653" s="0" t="s">
        <v>3101</v>
      </c>
      <c r="H1653" s="0" t="s">
        <v>3068</v>
      </c>
      <c r="I1653" s="0" t="n">
        <v>38235</v>
      </c>
      <c r="J1653" s="0" t="s">
        <v>6100</v>
      </c>
      <c r="K1653" s="0" t="s">
        <v>2679</v>
      </c>
      <c r="L1653" s="0" t="n">
        <v>2014</v>
      </c>
      <c r="M1653" s="0" t="s">
        <v>2244</v>
      </c>
      <c r="N1653" s="0" t="s">
        <v>104</v>
      </c>
      <c r="O1653" s="0" t="s">
        <v>6143</v>
      </c>
      <c r="P1653" s="0" t="s">
        <v>6144</v>
      </c>
      <c r="Q1653" s="0" t="n">
        <v>71</v>
      </c>
      <c r="R1653" s="0" t="n">
        <v>69</v>
      </c>
      <c r="S1653" s="0" t="n">
        <v>18.1</v>
      </c>
      <c r="T1653" s="0" t="s">
        <v>5275</v>
      </c>
      <c r="U1653" s="0" t="s">
        <v>4763</v>
      </c>
      <c r="V1653" s="0" t="s">
        <v>105</v>
      </c>
      <c r="W1653" s="0" t="s">
        <v>6167</v>
      </c>
      <c r="X1653" s="0" t="s">
        <v>6168</v>
      </c>
      <c r="Y1653" s="0" t="s">
        <v>4159</v>
      </c>
      <c r="Z1653" s="0" t="s">
        <v>4160</v>
      </c>
      <c r="AA1653" s="0" t="s">
        <v>6170</v>
      </c>
      <c r="AB1653" s="0" t="s">
        <v>6148</v>
      </c>
      <c r="AC1653" s="0" t="s">
        <v>4162</v>
      </c>
      <c r="AD1653" s="0" t="s">
        <v>4637</v>
      </c>
      <c r="AE1653" s="0" t="s">
        <v>1892</v>
      </c>
      <c r="AF1653" s="0" t="s">
        <v>6149</v>
      </c>
      <c r="AH1653" s="0" t="s">
        <v>4174</v>
      </c>
      <c r="AI1653" s="0" t="s">
        <v>4781</v>
      </c>
      <c r="AL1653" s="0" t="s">
        <v>523</v>
      </c>
    </row>
    <row r="1654" customFormat="false" ht="15" hidden="false" customHeight="false" outlineLevel="0" collapsed="false">
      <c r="A1654" s="0" t="s">
        <v>676</v>
      </c>
      <c r="B1654" s="0" t="s">
        <v>100</v>
      </c>
      <c r="C1654" s="0" t="s">
        <v>6099</v>
      </c>
      <c r="D1654" s="0" t="n">
        <v>2014</v>
      </c>
      <c r="E1654" s="0" t="s">
        <v>62</v>
      </c>
      <c r="F1654" s="0" t="n">
        <v>892721</v>
      </c>
      <c r="G1654" s="0" t="s">
        <v>3101</v>
      </c>
      <c r="H1654" s="0" t="s">
        <v>3068</v>
      </c>
      <c r="I1654" s="0" t="n">
        <v>892721</v>
      </c>
      <c r="J1654" s="0" t="s">
        <v>6100</v>
      </c>
      <c r="K1654" s="0" t="s">
        <v>2679</v>
      </c>
      <c r="L1654" s="0" t="n">
        <v>2014</v>
      </c>
      <c r="M1654" s="0" t="s">
        <v>2244</v>
      </c>
      <c r="N1654" s="0" t="s">
        <v>104</v>
      </c>
      <c r="O1654" s="0" t="s">
        <v>6143</v>
      </c>
      <c r="P1654" s="0" t="s">
        <v>6144</v>
      </c>
      <c r="Q1654" s="0" t="n">
        <v>33</v>
      </c>
      <c r="R1654" s="0" t="n">
        <v>31</v>
      </c>
      <c r="S1654" s="0" t="n">
        <v>18</v>
      </c>
      <c r="T1654" s="0" t="s">
        <v>5275</v>
      </c>
      <c r="U1654" s="0" t="s">
        <v>4763</v>
      </c>
      <c r="V1654" s="0" t="s">
        <v>105</v>
      </c>
      <c r="W1654" s="0" t="s">
        <v>6171</v>
      </c>
      <c r="X1654" s="0" t="s">
        <v>6146</v>
      </c>
      <c r="Y1654" s="0" t="s">
        <v>4159</v>
      </c>
      <c r="Z1654" s="0" t="s">
        <v>4160</v>
      </c>
      <c r="AA1654" s="0" t="s">
        <v>6172</v>
      </c>
      <c r="AB1654" s="0" t="s">
        <v>6148</v>
      </c>
      <c r="AC1654" s="0" t="s">
        <v>4162</v>
      </c>
      <c r="AD1654" s="0" t="s">
        <v>4637</v>
      </c>
      <c r="AE1654" s="0" t="s">
        <v>1892</v>
      </c>
      <c r="AF1654" s="0" t="s">
        <v>6149</v>
      </c>
      <c r="AH1654" s="0" t="s">
        <v>2239</v>
      </c>
      <c r="AL1654" s="0" t="s">
        <v>523</v>
      </c>
    </row>
    <row r="1655" customFormat="false" ht="15" hidden="false" customHeight="false" outlineLevel="0" collapsed="false">
      <c r="A1655" s="0" t="s">
        <v>679</v>
      </c>
      <c r="B1655" s="0" t="s">
        <v>100</v>
      </c>
      <c r="C1655" s="0" t="s">
        <v>6099</v>
      </c>
      <c r="D1655" s="0" t="n">
        <v>2014</v>
      </c>
      <c r="E1655" s="0" t="s">
        <v>65</v>
      </c>
      <c r="F1655" s="0" t="n">
        <v>239281</v>
      </c>
      <c r="G1655" s="0" t="s">
        <v>3101</v>
      </c>
      <c r="H1655" s="0" t="s">
        <v>3068</v>
      </c>
      <c r="I1655" s="0" t="n">
        <v>239281</v>
      </c>
      <c r="J1655" s="0" t="s">
        <v>6100</v>
      </c>
      <c r="K1655" s="0" t="s">
        <v>2679</v>
      </c>
      <c r="L1655" s="0" t="n">
        <v>2014</v>
      </c>
      <c r="M1655" s="0" t="s">
        <v>2244</v>
      </c>
      <c r="N1655" s="0" t="s">
        <v>104</v>
      </c>
      <c r="O1655" s="0" t="s">
        <v>6143</v>
      </c>
      <c r="P1655" s="0" t="s">
        <v>6144</v>
      </c>
      <c r="Q1655" s="0" t="n">
        <v>128</v>
      </c>
      <c r="R1655" s="0" t="n">
        <v>126</v>
      </c>
      <c r="T1655" s="0" t="s">
        <v>5275</v>
      </c>
      <c r="U1655" s="0" t="s">
        <v>4763</v>
      </c>
      <c r="V1655" s="0" t="s">
        <v>105</v>
      </c>
      <c r="W1655" s="0" t="s">
        <v>6173</v>
      </c>
      <c r="X1655" s="0" t="s">
        <v>6174</v>
      </c>
      <c r="Y1655" s="0" t="s">
        <v>4159</v>
      </c>
      <c r="Z1655" s="0" t="s">
        <v>4160</v>
      </c>
      <c r="AA1655" s="0" t="s">
        <v>6175</v>
      </c>
      <c r="AB1655" s="0" t="s">
        <v>6148</v>
      </c>
      <c r="AC1655" s="0" t="s">
        <v>4162</v>
      </c>
      <c r="AD1655" s="0" t="s">
        <v>4637</v>
      </c>
      <c r="AE1655" s="0" t="s">
        <v>1892</v>
      </c>
      <c r="AF1655" s="0" t="s">
        <v>6149</v>
      </c>
      <c r="AH1655" s="0" t="s">
        <v>2239</v>
      </c>
      <c r="AL1655" s="0" t="s">
        <v>523</v>
      </c>
    </row>
    <row r="1656" customFormat="false" ht="15" hidden="false" customHeight="false" outlineLevel="0" collapsed="false">
      <c r="A1656" s="0" t="s">
        <v>680</v>
      </c>
      <c r="B1656" s="0" t="s">
        <v>100</v>
      </c>
      <c r="C1656" s="0" t="s">
        <v>6099</v>
      </c>
      <c r="D1656" s="0" t="n">
        <v>2014</v>
      </c>
      <c r="E1656" s="0" t="s">
        <v>66</v>
      </c>
      <c r="F1656" s="0" t="n">
        <v>1492373</v>
      </c>
      <c r="G1656" s="0" t="s">
        <v>3101</v>
      </c>
      <c r="H1656" s="0" t="s">
        <v>3068</v>
      </c>
      <c r="I1656" s="0" t="n">
        <v>1492373</v>
      </c>
      <c r="J1656" s="0" t="s">
        <v>6100</v>
      </c>
      <c r="K1656" s="0" t="s">
        <v>2679</v>
      </c>
      <c r="L1656" s="0" t="n">
        <v>2014</v>
      </c>
      <c r="M1656" s="0" t="s">
        <v>2244</v>
      </c>
      <c r="N1656" s="0" t="s">
        <v>104</v>
      </c>
      <c r="O1656" s="0" t="s">
        <v>6143</v>
      </c>
      <c r="P1656" s="0" t="s">
        <v>6144</v>
      </c>
      <c r="Q1656" s="0" t="n">
        <v>128</v>
      </c>
      <c r="R1656" s="0" t="n">
        <v>126</v>
      </c>
      <c r="T1656" s="0" t="s">
        <v>5275</v>
      </c>
      <c r="U1656" s="0" t="s">
        <v>4763</v>
      </c>
      <c r="V1656" s="0" t="s">
        <v>105</v>
      </c>
      <c r="W1656" s="0" t="s">
        <v>6176</v>
      </c>
      <c r="X1656" s="0" t="s">
        <v>6174</v>
      </c>
      <c r="Y1656" s="0" t="s">
        <v>4159</v>
      </c>
      <c r="Z1656" s="0" t="s">
        <v>4160</v>
      </c>
      <c r="AA1656" s="0" t="s">
        <v>6177</v>
      </c>
      <c r="AB1656" s="0" t="s">
        <v>6148</v>
      </c>
      <c r="AC1656" s="0" t="s">
        <v>4162</v>
      </c>
      <c r="AD1656" s="0" t="s">
        <v>4637</v>
      </c>
      <c r="AE1656" s="0" t="s">
        <v>1892</v>
      </c>
      <c r="AF1656" s="0" t="s">
        <v>6149</v>
      </c>
      <c r="AH1656" s="0" t="s">
        <v>2239</v>
      </c>
      <c r="AL1656" s="0" t="s">
        <v>523</v>
      </c>
    </row>
    <row r="1657" customFormat="false" ht="15" hidden="false" customHeight="false" outlineLevel="0" collapsed="false">
      <c r="A1657" s="0" t="s">
        <v>678</v>
      </c>
      <c r="B1657" s="0" t="s">
        <v>100</v>
      </c>
      <c r="C1657" s="0" t="s">
        <v>6099</v>
      </c>
      <c r="D1657" s="0" t="n">
        <v>2014</v>
      </c>
      <c r="E1657" s="0" t="s">
        <v>69</v>
      </c>
      <c r="F1657" s="0" t="s">
        <v>5116</v>
      </c>
      <c r="G1657" s="0" t="s">
        <v>3143</v>
      </c>
      <c r="I1657" s="0" t="n">
        <v>16</v>
      </c>
      <c r="J1657" s="0" t="s">
        <v>6100</v>
      </c>
      <c r="K1657" s="0" t="s">
        <v>2679</v>
      </c>
      <c r="L1657" s="0" t="n">
        <v>2014</v>
      </c>
      <c r="M1657" s="0" t="s">
        <v>2244</v>
      </c>
      <c r="N1657" s="0" t="s">
        <v>104</v>
      </c>
      <c r="O1657" s="0" t="s">
        <v>6143</v>
      </c>
      <c r="P1657" s="0" t="s">
        <v>6144</v>
      </c>
      <c r="Q1657" s="0" t="n">
        <v>128</v>
      </c>
      <c r="R1657" s="0" t="n">
        <v>126</v>
      </c>
      <c r="T1657" s="0" t="s">
        <v>5275</v>
      </c>
      <c r="U1657" s="0" t="s">
        <v>4763</v>
      </c>
      <c r="V1657" s="0" t="s">
        <v>105</v>
      </c>
      <c r="W1657" s="0" t="s">
        <v>6178</v>
      </c>
      <c r="X1657" s="0" t="s">
        <v>6174</v>
      </c>
      <c r="Y1657" s="0" t="s">
        <v>4159</v>
      </c>
      <c r="Z1657" s="0" t="s">
        <v>4160</v>
      </c>
      <c r="AA1657" s="0" t="s">
        <v>6179</v>
      </c>
      <c r="AB1657" s="0" t="s">
        <v>6148</v>
      </c>
      <c r="AC1657" s="0" t="s">
        <v>4162</v>
      </c>
      <c r="AD1657" s="0" t="s">
        <v>4637</v>
      </c>
      <c r="AE1657" s="0" t="s">
        <v>1892</v>
      </c>
      <c r="AF1657" s="0" t="s">
        <v>6149</v>
      </c>
      <c r="AH1657" s="0" t="s">
        <v>2239</v>
      </c>
      <c r="AL1657" s="0" t="s">
        <v>523</v>
      </c>
    </row>
    <row r="1658" customFormat="false" ht="15" hidden="false" customHeight="false" outlineLevel="0" collapsed="false">
      <c r="A1658" s="0" t="s">
        <v>681</v>
      </c>
      <c r="B1658" s="0" t="s">
        <v>100</v>
      </c>
      <c r="C1658" s="0" t="s">
        <v>6099</v>
      </c>
      <c r="D1658" s="0" t="n">
        <v>2014</v>
      </c>
      <c r="E1658" s="0" t="s">
        <v>73</v>
      </c>
      <c r="F1658" s="0" t="n">
        <v>0</v>
      </c>
      <c r="G1658" s="0" t="s">
        <v>4257</v>
      </c>
      <c r="I1658" s="0" t="n">
        <v>0</v>
      </c>
      <c r="J1658" s="0" t="s">
        <v>6100</v>
      </c>
      <c r="K1658" s="0" t="s">
        <v>2679</v>
      </c>
      <c r="L1658" s="0" t="n">
        <v>2014</v>
      </c>
      <c r="M1658" s="0" t="s">
        <v>2244</v>
      </c>
      <c r="N1658" s="0" t="s">
        <v>104</v>
      </c>
      <c r="O1658" s="0" t="s">
        <v>6143</v>
      </c>
      <c r="P1658" s="0" t="s">
        <v>6144</v>
      </c>
      <c r="Q1658" s="0" t="n">
        <v>31</v>
      </c>
      <c r="R1658" s="0" t="n">
        <v>29</v>
      </c>
      <c r="T1658" s="0" t="s">
        <v>6139</v>
      </c>
      <c r="U1658" s="0" t="s">
        <v>4763</v>
      </c>
      <c r="V1658" s="0" t="s">
        <v>105</v>
      </c>
      <c r="W1658" s="0" t="s">
        <v>6180</v>
      </c>
      <c r="X1658" s="0" t="s">
        <v>6181</v>
      </c>
      <c r="Y1658" s="0" t="s">
        <v>4212</v>
      </c>
      <c r="Z1658" s="0" t="s">
        <v>4160</v>
      </c>
      <c r="AA1658" s="0" t="s">
        <v>6182</v>
      </c>
      <c r="AB1658" s="0" t="s">
        <v>6148</v>
      </c>
      <c r="AC1658" s="0" t="s">
        <v>4162</v>
      </c>
      <c r="AD1658" s="0" t="s">
        <v>4637</v>
      </c>
      <c r="AE1658" s="0" t="s">
        <v>1892</v>
      </c>
      <c r="AF1658" s="0" t="s">
        <v>6149</v>
      </c>
      <c r="AG1658" s="0" t="s">
        <v>1892</v>
      </c>
      <c r="AH1658" s="0" t="s">
        <v>2239</v>
      </c>
      <c r="AL1658" s="0" t="s">
        <v>539</v>
      </c>
    </row>
    <row r="1659" customFormat="false" ht="15" hidden="false" customHeight="false" outlineLevel="0" collapsed="false">
      <c r="A1659" s="0" t="s">
        <v>684</v>
      </c>
      <c r="B1659" s="0" t="s">
        <v>100</v>
      </c>
      <c r="C1659" s="0" t="s">
        <v>6099</v>
      </c>
      <c r="D1659" s="0" t="n">
        <v>2015</v>
      </c>
      <c r="E1659" s="0" t="s">
        <v>55</v>
      </c>
      <c r="F1659" s="0" t="n">
        <v>1794348</v>
      </c>
      <c r="G1659" s="0" t="s">
        <v>3101</v>
      </c>
      <c r="H1659" s="0" t="s">
        <v>3068</v>
      </c>
      <c r="I1659" s="0" t="n">
        <v>1794348</v>
      </c>
      <c r="J1659" s="0" t="s">
        <v>6100</v>
      </c>
      <c r="K1659" s="0" t="s">
        <v>2680</v>
      </c>
      <c r="L1659" s="0" t="n">
        <v>2015</v>
      </c>
      <c r="M1659" s="0" t="s">
        <v>2248</v>
      </c>
      <c r="N1659" s="0" t="s">
        <v>106</v>
      </c>
      <c r="O1659" s="0" t="s">
        <v>6183</v>
      </c>
      <c r="P1659" s="0" t="s">
        <v>6184</v>
      </c>
      <c r="Q1659" s="0" t="n">
        <v>49</v>
      </c>
      <c r="R1659" s="0" t="n">
        <v>47</v>
      </c>
      <c r="T1659" s="0" t="s">
        <v>4866</v>
      </c>
      <c r="U1659" s="0" t="s">
        <v>4808</v>
      </c>
      <c r="V1659" s="0" t="s">
        <v>84</v>
      </c>
      <c r="W1659" s="0" t="s">
        <v>6185</v>
      </c>
      <c r="X1659" s="0" t="s">
        <v>6186</v>
      </c>
      <c r="Y1659" s="0" t="s">
        <v>4159</v>
      </c>
      <c r="Z1659" s="0" t="s">
        <v>4160</v>
      </c>
      <c r="AA1659" s="0" t="s">
        <v>6187</v>
      </c>
      <c r="AB1659" s="0" t="s">
        <v>6188</v>
      </c>
      <c r="AC1659" s="0" t="s">
        <v>4162</v>
      </c>
      <c r="AD1659" s="0" t="s">
        <v>4637</v>
      </c>
      <c r="AE1659" s="0" t="s">
        <v>1892</v>
      </c>
      <c r="AF1659" s="0" t="s">
        <v>6189</v>
      </c>
      <c r="AH1659" s="0" t="s">
        <v>2239</v>
      </c>
      <c r="AL1659" s="0" t="s">
        <v>523</v>
      </c>
    </row>
    <row r="1660" customFormat="false" ht="15" hidden="false" customHeight="false" outlineLevel="0" collapsed="false">
      <c r="A1660" s="0" t="s">
        <v>685</v>
      </c>
      <c r="B1660" s="0" t="s">
        <v>100</v>
      </c>
      <c r="C1660" s="0" t="s">
        <v>6099</v>
      </c>
      <c r="D1660" s="0" t="n">
        <v>2015</v>
      </c>
      <c r="E1660" s="0" t="s">
        <v>56</v>
      </c>
      <c r="F1660" s="0" t="n">
        <v>1566561</v>
      </c>
      <c r="G1660" s="0" t="s">
        <v>3101</v>
      </c>
      <c r="H1660" s="0" t="s">
        <v>3068</v>
      </c>
      <c r="I1660" s="0" t="n">
        <v>1566561</v>
      </c>
      <c r="J1660" s="0" t="s">
        <v>6100</v>
      </c>
      <c r="K1660" s="0" t="s">
        <v>2680</v>
      </c>
      <c r="L1660" s="0" t="n">
        <v>2015</v>
      </c>
      <c r="M1660" s="0" t="s">
        <v>2248</v>
      </c>
      <c r="N1660" s="0" t="s">
        <v>106</v>
      </c>
      <c r="O1660" s="0" t="s">
        <v>6183</v>
      </c>
      <c r="P1660" s="0" t="s">
        <v>6184</v>
      </c>
      <c r="Q1660" s="0" t="n">
        <v>49</v>
      </c>
      <c r="R1660" s="0" t="n">
        <v>47</v>
      </c>
      <c r="T1660" s="0" t="s">
        <v>4866</v>
      </c>
      <c r="U1660" s="0" t="s">
        <v>4808</v>
      </c>
      <c r="V1660" s="0" t="s">
        <v>84</v>
      </c>
      <c r="W1660" s="0" t="s">
        <v>6190</v>
      </c>
      <c r="X1660" s="0" t="s">
        <v>6186</v>
      </c>
      <c r="Y1660" s="0" t="s">
        <v>4159</v>
      </c>
      <c r="Z1660" s="0" t="s">
        <v>4160</v>
      </c>
      <c r="AA1660" s="0" t="s">
        <v>6191</v>
      </c>
      <c r="AB1660" s="0" t="s">
        <v>6188</v>
      </c>
      <c r="AC1660" s="0" t="s">
        <v>4162</v>
      </c>
      <c r="AD1660" s="0" t="s">
        <v>4637</v>
      </c>
      <c r="AE1660" s="0" t="s">
        <v>1892</v>
      </c>
      <c r="AF1660" s="0" t="s">
        <v>6189</v>
      </c>
      <c r="AH1660" s="0" t="s">
        <v>2239</v>
      </c>
      <c r="AL1660" s="0" t="s">
        <v>523</v>
      </c>
    </row>
    <row r="1661" customFormat="false" ht="15" hidden="false" customHeight="false" outlineLevel="0" collapsed="false">
      <c r="A1661" s="0" t="s">
        <v>686</v>
      </c>
      <c r="B1661" s="0" t="s">
        <v>100</v>
      </c>
      <c r="C1661" s="0" t="s">
        <v>6099</v>
      </c>
      <c r="D1661" s="0" t="n">
        <v>2015</v>
      </c>
      <c r="E1661" s="0" t="s">
        <v>57</v>
      </c>
      <c r="F1661" s="0" t="n">
        <v>227787</v>
      </c>
      <c r="G1661" s="0" t="s">
        <v>3101</v>
      </c>
      <c r="H1661" s="0" t="s">
        <v>3068</v>
      </c>
      <c r="I1661" s="0" t="n">
        <v>227787</v>
      </c>
      <c r="J1661" s="0" t="s">
        <v>6100</v>
      </c>
      <c r="K1661" s="0" t="s">
        <v>2680</v>
      </c>
      <c r="L1661" s="0" t="n">
        <v>2015</v>
      </c>
      <c r="M1661" s="0" t="s">
        <v>2248</v>
      </c>
      <c r="N1661" s="0" t="s">
        <v>106</v>
      </c>
      <c r="O1661" s="0" t="s">
        <v>6183</v>
      </c>
      <c r="P1661" s="0" t="s">
        <v>6184</v>
      </c>
      <c r="Q1661" s="0" t="n">
        <v>49</v>
      </c>
      <c r="R1661" s="0" t="n">
        <v>47</v>
      </c>
      <c r="T1661" s="0" t="s">
        <v>4866</v>
      </c>
      <c r="U1661" s="0" t="s">
        <v>4808</v>
      </c>
      <c r="V1661" s="0" t="s">
        <v>84</v>
      </c>
      <c r="W1661" s="0" t="s">
        <v>6192</v>
      </c>
      <c r="X1661" s="0" t="s">
        <v>6186</v>
      </c>
      <c r="Y1661" s="0" t="s">
        <v>4159</v>
      </c>
      <c r="Z1661" s="0" t="s">
        <v>4160</v>
      </c>
      <c r="AA1661" s="0" t="s">
        <v>6193</v>
      </c>
      <c r="AB1661" s="0" t="s">
        <v>6188</v>
      </c>
      <c r="AC1661" s="0" t="s">
        <v>4162</v>
      </c>
      <c r="AD1661" s="0" t="s">
        <v>4637</v>
      </c>
      <c r="AE1661" s="0" t="s">
        <v>1892</v>
      </c>
      <c r="AF1661" s="0" t="s">
        <v>6189</v>
      </c>
      <c r="AH1661" s="0" t="s">
        <v>2239</v>
      </c>
      <c r="AL1661" s="0" t="s">
        <v>523</v>
      </c>
    </row>
    <row r="1662" customFormat="false" ht="15" hidden="false" customHeight="false" outlineLevel="0" collapsed="false">
      <c r="A1662" s="0" t="s">
        <v>683</v>
      </c>
      <c r="B1662" s="0" t="s">
        <v>100</v>
      </c>
      <c r="C1662" s="0" t="s">
        <v>6099</v>
      </c>
      <c r="D1662" s="0" t="n">
        <v>2015</v>
      </c>
      <c r="E1662" s="0" t="s">
        <v>54</v>
      </c>
      <c r="F1662" s="0" t="n">
        <v>11304</v>
      </c>
      <c r="G1662" s="0" t="s">
        <v>3101</v>
      </c>
      <c r="H1662" s="0" t="s">
        <v>3068</v>
      </c>
      <c r="I1662" s="0" t="n">
        <v>11304</v>
      </c>
      <c r="J1662" s="0" t="s">
        <v>6100</v>
      </c>
      <c r="K1662" s="0" t="s">
        <v>2680</v>
      </c>
      <c r="L1662" s="0" t="n">
        <v>2015</v>
      </c>
      <c r="M1662" s="0" t="s">
        <v>2248</v>
      </c>
      <c r="N1662" s="0" t="s">
        <v>106</v>
      </c>
      <c r="O1662" s="0" t="s">
        <v>6183</v>
      </c>
      <c r="P1662" s="0" t="s">
        <v>6184</v>
      </c>
      <c r="Q1662" s="0" t="n">
        <v>48</v>
      </c>
      <c r="R1662" s="0" t="n">
        <v>46</v>
      </c>
      <c r="T1662" s="0" t="s">
        <v>4866</v>
      </c>
      <c r="U1662" s="0" t="s">
        <v>4808</v>
      </c>
      <c r="V1662" s="0" t="s">
        <v>84</v>
      </c>
      <c r="W1662" s="0" t="s">
        <v>6194</v>
      </c>
      <c r="X1662" s="0" t="s">
        <v>6195</v>
      </c>
      <c r="Y1662" s="0" t="s">
        <v>4159</v>
      </c>
      <c r="Z1662" s="0" t="s">
        <v>4160</v>
      </c>
      <c r="AA1662" s="0" t="s">
        <v>6196</v>
      </c>
      <c r="AB1662" s="0" t="s">
        <v>6188</v>
      </c>
      <c r="AC1662" s="0" t="s">
        <v>4162</v>
      </c>
      <c r="AD1662" s="0" t="s">
        <v>4637</v>
      </c>
      <c r="AE1662" s="0" t="s">
        <v>1892</v>
      </c>
      <c r="AF1662" s="0" t="s">
        <v>6189</v>
      </c>
      <c r="AH1662" s="0" t="s">
        <v>2239</v>
      </c>
      <c r="AL1662" s="0" t="s">
        <v>523</v>
      </c>
    </row>
    <row r="1663" customFormat="false" ht="15" hidden="false" customHeight="false" outlineLevel="0" collapsed="false">
      <c r="A1663" s="0" t="s">
        <v>697</v>
      </c>
      <c r="B1663" s="0" t="s">
        <v>100</v>
      </c>
      <c r="C1663" s="0" t="s">
        <v>6099</v>
      </c>
      <c r="D1663" s="0" t="n">
        <v>2015</v>
      </c>
      <c r="E1663" s="0" t="s">
        <v>541</v>
      </c>
      <c r="F1663" s="0" t="n">
        <v>11380</v>
      </c>
      <c r="G1663" s="0" t="s">
        <v>3101</v>
      </c>
      <c r="H1663" s="0" t="s">
        <v>3068</v>
      </c>
      <c r="I1663" s="0" t="n">
        <v>11380</v>
      </c>
      <c r="J1663" s="0" t="s">
        <v>6100</v>
      </c>
      <c r="K1663" s="0" t="s">
        <v>2680</v>
      </c>
      <c r="L1663" s="0" t="n">
        <v>2015</v>
      </c>
      <c r="M1663" s="0" t="s">
        <v>2248</v>
      </c>
      <c r="N1663" s="0" t="s">
        <v>106</v>
      </c>
      <c r="O1663" s="0" t="s">
        <v>6183</v>
      </c>
      <c r="P1663" s="0" t="s">
        <v>6184</v>
      </c>
      <c r="Q1663" s="0" t="n">
        <v>48</v>
      </c>
      <c r="R1663" s="0" t="n">
        <v>46</v>
      </c>
      <c r="T1663" s="0" t="s">
        <v>4866</v>
      </c>
      <c r="U1663" s="0" t="s">
        <v>4808</v>
      </c>
      <c r="V1663" s="0" t="s">
        <v>84</v>
      </c>
      <c r="W1663" s="0" t="s">
        <v>6197</v>
      </c>
      <c r="X1663" s="0" t="s">
        <v>6195</v>
      </c>
      <c r="Y1663" s="0" t="s">
        <v>4159</v>
      </c>
      <c r="Z1663" s="0" t="s">
        <v>4160</v>
      </c>
      <c r="AA1663" s="0" t="s">
        <v>6198</v>
      </c>
      <c r="AB1663" s="0" t="s">
        <v>6188</v>
      </c>
      <c r="AC1663" s="0" t="s">
        <v>4162</v>
      </c>
      <c r="AD1663" s="0" t="s">
        <v>4637</v>
      </c>
      <c r="AE1663" s="0" t="s">
        <v>1892</v>
      </c>
      <c r="AF1663" s="0" t="s">
        <v>6189</v>
      </c>
      <c r="AH1663" s="0" t="s">
        <v>2239</v>
      </c>
      <c r="AL1663" s="0" t="s">
        <v>523</v>
      </c>
    </row>
    <row r="1664" customFormat="false" ht="15" hidden="false" customHeight="false" outlineLevel="0" collapsed="false">
      <c r="A1664" s="0" t="s">
        <v>687</v>
      </c>
      <c r="B1664" s="0" t="s">
        <v>100</v>
      </c>
      <c r="C1664" s="0" t="s">
        <v>6099</v>
      </c>
      <c r="D1664" s="0" t="n">
        <v>2015</v>
      </c>
      <c r="E1664" s="0" t="s">
        <v>58</v>
      </c>
      <c r="F1664" s="0" t="n">
        <v>24229</v>
      </c>
      <c r="G1664" s="0" t="s">
        <v>3101</v>
      </c>
      <c r="H1664" s="0" t="s">
        <v>3068</v>
      </c>
      <c r="I1664" s="0" t="n">
        <v>24229</v>
      </c>
      <c r="J1664" s="0" t="s">
        <v>6100</v>
      </c>
      <c r="K1664" s="0" t="s">
        <v>2680</v>
      </c>
      <c r="L1664" s="0" t="n">
        <v>2015</v>
      </c>
      <c r="M1664" s="0" t="s">
        <v>2248</v>
      </c>
      <c r="N1664" s="0" t="s">
        <v>106</v>
      </c>
      <c r="O1664" s="0" t="s">
        <v>6183</v>
      </c>
      <c r="P1664" s="0" t="s">
        <v>6184</v>
      </c>
      <c r="Q1664" s="0" t="n">
        <v>52</v>
      </c>
      <c r="R1664" s="0" t="n">
        <v>50</v>
      </c>
      <c r="T1664" s="0" t="s">
        <v>4866</v>
      </c>
      <c r="U1664" s="0" t="s">
        <v>4808</v>
      </c>
      <c r="V1664" s="0" t="s">
        <v>84</v>
      </c>
      <c r="W1664" s="0" t="s">
        <v>6199</v>
      </c>
      <c r="X1664" s="0" t="s">
        <v>6200</v>
      </c>
      <c r="Y1664" s="0" t="s">
        <v>4159</v>
      </c>
      <c r="Z1664" s="0" t="s">
        <v>4160</v>
      </c>
      <c r="AA1664" s="0" t="s">
        <v>6201</v>
      </c>
      <c r="AB1664" s="0" t="s">
        <v>6188</v>
      </c>
      <c r="AC1664" s="0" t="s">
        <v>4162</v>
      </c>
      <c r="AD1664" s="0" t="s">
        <v>4637</v>
      </c>
      <c r="AE1664" s="0" t="s">
        <v>1892</v>
      </c>
      <c r="AF1664" s="0" t="s">
        <v>6189</v>
      </c>
      <c r="AH1664" s="0" t="s">
        <v>2239</v>
      </c>
      <c r="AL1664" s="0" t="s">
        <v>523</v>
      </c>
    </row>
    <row r="1665" customFormat="false" ht="15" hidden="false" customHeight="false" outlineLevel="0" collapsed="false">
      <c r="A1665" s="0" t="s">
        <v>688</v>
      </c>
      <c r="B1665" s="0" t="s">
        <v>100</v>
      </c>
      <c r="C1665" s="0" t="s">
        <v>6099</v>
      </c>
      <c r="D1665" s="0" t="n">
        <v>2015</v>
      </c>
      <c r="E1665" s="0" t="s">
        <v>59</v>
      </c>
      <c r="F1665" s="0" t="n">
        <v>1772922</v>
      </c>
      <c r="G1665" s="0" t="s">
        <v>3101</v>
      </c>
      <c r="H1665" s="0" t="s">
        <v>3068</v>
      </c>
      <c r="I1665" s="0" t="n">
        <v>1772922</v>
      </c>
      <c r="J1665" s="0" t="s">
        <v>6100</v>
      </c>
      <c r="K1665" s="0" t="s">
        <v>2680</v>
      </c>
      <c r="L1665" s="0" t="n">
        <v>2015</v>
      </c>
      <c r="M1665" s="0" t="s">
        <v>2248</v>
      </c>
      <c r="N1665" s="0" t="s">
        <v>106</v>
      </c>
      <c r="O1665" s="0" t="s">
        <v>6183</v>
      </c>
      <c r="P1665" s="0" t="s">
        <v>6184</v>
      </c>
      <c r="Q1665" s="0" t="n">
        <v>49</v>
      </c>
      <c r="R1665" s="0" t="n">
        <v>47</v>
      </c>
      <c r="T1665" s="0" t="s">
        <v>6202</v>
      </c>
      <c r="U1665" s="0" t="s">
        <v>6203</v>
      </c>
      <c r="V1665" s="0" t="s">
        <v>84</v>
      </c>
      <c r="W1665" s="0" t="s">
        <v>6185</v>
      </c>
      <c r="X1665" s="0" t="s">
        <v>6186</v>
      </c>
      <c r="Y1665" s="0" t="s">
        <v>4159</v>
      </c>
      <c r="Z1665" s="0" t="s">
        <v>4160</v>
      </c>
      <c r="AA1665" s="0" t="s">
        <v>6204</v>
      </c>
      <c r="AB1665" s="0" t="s">
        <v>6188</v>
      </c>
      <c r="AC1665" s="0" t="s">
        <v>4162</v>
      </c>
      <c r="AD1665" s="0" t="s">
        <v>4637</v>
      </c>
      <c r="AE1665" s="0" t="s">
        <v>1892</v>
      </c>
      <c r="AF1665" s="0" t="s">
        <v>6205</v>
      </c>
      <c r="AH1665" s="0" t="s">
        <v>2239</v>
      </c>
      <c r="AL1665" s="0" t="s">
        <v>523</v>
      </c>
    </row>
    <row r="1666" customFormat="false" ht="15" hidden="false" customHeight="false" outlineLevel="0" collapsed="false">
      <c r="A1666" s="0" t="s">
        <v>692</v>
      </c>
      <c r="B1666" s="0" t="s">
        <v>100</v>
      </c>
      <c r="C1666" s="0" t="s">
        <v>6099</v>
      </c>
      <c r="D1666" s="0" t="n">
        <v>2015</v>
      </c>
      <c r="E1666" s="0" t="s">
        <v>63</v>
      </c>
      <c r="F1666" s="0" t="n">
        <v>-55740</v>
      </c>
      <c r="G1666" s="0" t="s">
        <v>3101</v>
      </c>
      <c r="H1666" s="0" t="s">
        <v>3068</v>
      </c>
      <c r="I1666" s="0" t="n">
        <v>55740</v>
      </c>
      <c r="J1666" s="0" t="s">
        <v>6100</v>
      </c>
      <c r="K1666" s="0" t="s">
        <v>2680</v>
      </c>
      <c r="L1666" s="0" t="n">
        <v>2015</v>
      </c>
      <c r="M1666" s="0" t="s">
        <v>2248</v>
      </c>
      <c r="N1666" s="0" t="s">
        <v>106</v>
      </c>
      <c r="O1666" s="0" t="s">
        <v>6183</v>
      </c>
      <c r="P1666" s="0" t="s">
        <v>6184</v>
      </c>
      <c r="Q1666" s="0" t="n">
        <v>48</v>
      </c>
      <c r="R1666" s="0" t="n">
        <v>46</v>
      </c>
      <c r="S1666" s="0" t="n">
        <v>8</v>
      </c>
      <c r="T1666" s="0" t="s">
        <v>4866</v>
      </c>
      <c r="U1666" s="0" t="s">
        <v>4808</v>
      </c>
      <c r="V1666" s="0" t="s">
        <v>84</v>
      </c>
      <c r="W1666" s="0" t="s">
        <v>6206</v>
      </c>
      <c r="X1666" s="0" t="s">
        <v>6195</v>
      </c>
      <c r="Y1666" s="0" t="s">
        <v>4159</v>
      </c>
      <c r="Z1666" s="0" t="s">
        <v>4160</v>
      </c>
      <c r="AA1666" s="0" t="s">
        <v>6207</v>
      </c>
      <c r="AB1666" s="0" t="s">
        <v>6188</v>
      </c>
      <c r="AC1666" s="0" t="s">
        <v>4162</v>
      </c>
      <c r="AD1666" s="0" t="s">
        <v>4637</v>
      </c>
      <c r="AE1666" s="0" t="s">
        <v>1892</v>
      </c>
      <c r="AF1666" s="0" t="s">
        <v>6189</v>
      </c>
      <c r="AH1666" s="0" t="s">
        <v>4174</v>
      </c>
      <c r="AI1666" s="0" t="s">
        <v>4974</v>
      </c>
      <c r="AL1666" s="0" t="s">
        <v>523</v>
      </c>
    </row>
    <row r="1667" customFormat="false" ht="15" hidden="false" customHeight="false" outlineLevel="0" collapsed="false">
      <c r="A1667" s="0" t="s">
        <v>689</v>
      </c>
      <c r="B1667" s="0" t="s">
        <v>100</v>
      </c>
      <c r="C1667" s="0" t="s">
        <v>6099</v>
      </c>
      <c r="D1667" s="0" t="n">
        <v>2015</v>
      </c>
      <c r="E1667" s="0" t="s">
        <v>60</v>
      </c>
      <c r="F1667" s="0" t="n">
        <v>885701</v>
      </c>
      <c r="G1667" s="0" t="s">
        <v>3101</v>
      </c>
      <c r="H1667" s="0" t="s">
        <v>3068</v>
      </c>
      <c r="I1667" s="0" t="n">
        <v>885701</v>
      </c>
      <c r="J1667" s="0" t="s">
        <v>6100</v>
      </c>
      <c r="K1667" s="0" t="s">
        <v>2680</v>
      </c>
      <c r="L1667" s="0" t="n">
        <v>2015</v>
      </c>
      <c r="M1667" s="0" t="s">
        <v>2248</v>
      </c>
      <c r="N1667" s="0" t="s">
        <v>106</v>
      </c>
      <c r="O1667" s="0" t="s">
        <v>6183</v>
      </c>
      <c r="P1667" s="0" t="s">
        <v>6184</v>
      </c>
      <c r="Q1667" s="0" t="n">
        <v>76</v>
      </c>
      <c r="R1667" s="0" t="n">
        <v>74</v>
      </c>
      <c r="S1667" s="0" t="n">
        <v>18</v>
      </c>
      <c r="T1667" s="0" t="s">
        <v>4866</v>
      </c>
      <c r="U1667" s="0" t="s">
        <v>4808</v>
      </c>
      <c r="V1667" s="0" t="s">
        <v>84</v>
      </c>
      <c r="W1667" s="0" t="s">
        <v>6208</v>
      </c>
      <c r="X1667" s="0" t="s">
        <v>6209</v>
      </c>
      <c r="Y1667" s="0" t="s">
        <v>4159</v>
      </c>
      <c r="Z1667" s="0" t="s">
        <v>4160</v>
      </c>
      <c r="AA1667" s="0" t="s">
        <v>6210</v>
      </c>
      <c r="AB1667" s="0" t="s">
        <v>6188</v>
      </c>
      <c r="AC1667" s="0" t="s">
        <v>4162</v>
      </c>
      <c r="AD1667" s="0" t="s">
        <v>4637</v>
      </c>
      <c r="AE1667" s="0" t="s">
        <v>1892</v>
      </c>
      <c r="AF1667" s="0" t="s">
        <v>6189</v>
      </c>
      <c r="AH1667" s="0" t="s">
        <v>2239</v>
      </c>
      <c r="AL1667" s="0" t="s">
        <v>523</v>
      </c>
    </row>
    <row r="1668" customFormat="false" ht="15" hidden="false" customHeight="false" outlineLevel="0" collapsed="false">
      <c r="A1668" s="0" t="s">
        <v>690</v>
      </c>
      <c r="B1668" s="0" t="s">
        <v>100</v>
      </c>
      <c r="C1668" s="0" t="s">
        <v>6099</v>
      </c>
      <c r="D1668" s="0" t="n">
        <v>2015</v>
      </c>
      <c r="E1668" s="0" t="s">
        <v>61</v>
      </c>
      <c r="F1668" s="0" t="n">
        <v>-68353</v>
      </c>
      <c r="G1668" s="0" t="s">
        <v>3101</v>
      </c>
      <c r="H1668" s="0" t="s">
        <v>3068</v>
      </c>
      <c r="I1668" s="0" t="n">
        <v>68353</v>
      </c>
      <c r="J1668" s="0" t="s">
        <v>6100</v>
      </c>
      <c r="K1668" s="0" t="s">
        <v>2680</v>
      </c>
      <c r="L1668" s="0" t="n">
        <v>2015</v>
      </c>
      <c r="M1668" s="0" t="s">
        <v>2248</v>
      </c>
      <c r="N1668" s="0" t="s">
        <v>106</v>
      </c>
      <c r="O1668" s="0" t="s">
        <v>6183</v>
      </c>
      <c r="P1668" s="0" t="s">
        <v>6184</v>
      </c>
      <c r="Q1668" s="0" t="n">
        <v>76</v>
      </c>
      <c r="R1668" s="0" t="n">
        <v>74</v>
      </c>
      <c r="S1668" s="0" t="n">
        <v>18</v>
      </c>
      <c r="T1668" s="0" t="s">
        <v>4866</v>
      </c>
      <c r="U1668" s="0" t="s">
        <v>4808</v>
      </c>
      <c r="V1668" s="0" t="s">
        <v>84</v>
      </c>
      <c r="W1668" s="0" t="s">
        <v>6208</v>
      </c>
      <c r="X1668" s="0" t="s">
        <v>6209</v>
      </c>
      <c r="Y1668" s="0" t="s">
        <v>4159</v>
      </c>
      <c r="Z1668" s="0" t="s">
        <v>4160</v>
      </c>
      <c r="AA1668" s="0" t="s">
        <v>6211</v>
      </c>
      <c r="AB1668" s="0" t="s">
        <v>6188</v>
      </c>
      <c r="AC1668" s="0" t="s">
        <v>4162</v>
      </c>
      <c r="AD1668" s="0" t="s">
        <v>4637</v>
      </c>
      <c r="AE1668" s="0" t="s">
        <v>1892</v>
      </c>
      <c r="AF1668" s="0" t="s">
        <v>6189</v>
      </c>
      <c r="AH1668" s="0" t="s">
        <v>4174</v>
      </c>
      <c r="AI1668" s="0" t="s">
        <v>4781</v>
      </c>
      <c r="AL1668" s="0" t="s">
        <v>523</v>
      </c>
    </row>
    <row r="1669" customFormat="false" ht="15" hidden="false" customHeight="false" outlineLevel="0" collapsed="false">
      <c r="A1669" s="0" t="s">
        <v>691</v>
      </c>
      <c r="B1669" s="0" t="s">
        <v>100</v>
      </c>
      <c r="C1669" s="0" t="s">
        <v>6099</v>
      </c>
      <c r="D1669" s="0" t="n">
        <v>2015</v>
      </c>
      <c r="E1669" s="0" t="s">
        <v>62</v>
      </c>
      <c r="F1669" s="0" t="n">
        <v>817348</v>
      </c>
      <c r="G1669" s="0" t="s">
        <v>3101</v>
      </c>
      <c r="H1669" s="0" t="s">
        <v>3068</v>
      </c>
      <c r="I1669" s="0" t="n">
        <v>817348</v>
      </c>
      <c r="J1669" s="0" t="s">
        <v>6100</v>
      </c>
      <c r="K1669" s="0" t="s">
        <v>2680</v>
      </c>
      <c r="L1669" s="0" t="n">
        <v>2015</v>
      </c>
      <c r="M1669" s="0" t="s">
        <v>2248</v>
      </c>
      <c r="N1669" s="0" t="s">
        <v>106</v>
      </c>
      <c r="O1669" s="0" t="s">
        <v>6183</v>
      </c>
      <c r="P1669" s="0" t="s">
        <v>6184</v>
      </c>
      <c r="Q1669" s="0" t="n">
        <v>49</v>
      </c>
      <c r="R1669" s="0" t="n">
        <v>47</v>
      </c>
      <c r="S1669" s="0" t="n">
        <v>18</v>
      </c>
      <c r="T1669" s="0" t="s">
        <v>4866</v>
      </c>
      <c r="U1669" s="0" t="s">
        <v>4808</v>
      </c>
      <c r="V1669" s="0" t="s">
        <v>84</v>
      </c>
      <c r="W1669" s="0" t="s">
        <v>6212</v>
      </c>
      <c r="X1669" s="0" t="s">
        <v>6186</v>
      </c>
      <c r="Y1669" s="0" t="s">
        <v>4159</v>
      </c>
      <c r="Z1669" s="0" t="s">
        <v>4160</v>
      </c>
      <c r="AA1669" s="0" t="s">
        <v>6213</v>
      </c>
      <c r="AB1669" s="0" t="s">
        <v>6188</v>
      </c>
      <c r="AC1669" s="0" t="s">
        <v>4162</v>
      </c>
      <c r="AD1669" s="0" t="s">
        <v>4637</v>
      </c>
      <c r="AE1669" s="0" t="s">
        <v>1892</v>
      </c>
      <c r="AF1669" s="0" t="s">
        <v>6189</v>
      </c>
      <c r="AH1669" s="0" t="s">
        <v>2239</v>
      </c>
      <c r="AL1669" s="0" t="s">
        <v>523</v>
      </c>
    </row>
    <row r="1670" customFormat="false" ht="15" hidden="false" customHeight="false" outlineLevel="0" collapsed="false">
      <c r="A1670" s="0" t="s">
        <v>694</v>
      </c>
      <c r="B1670" s="0" t="s">
        <v>100</v>
      </c>
      <c r="C1670" s="0" t="s">
        <v>6099</v>
      </c>
      <c r="D1670" s="0" t="n">
        <v>2015</v>
      </c>
      <c r="E1670" s="0" t="s">
        <v>65</v>
      </c>
      <c r="F1670" s="0" t="n">
        <v>254109</v>
      </c>
      <c r="G1670" s="0" t="s">
        <v>3101</v>
      </c>
      <c r="H1670" s="0" t="s">
        <v>3068</v>
      </c>
      <c r="I1670" s="0" t="n">
        <v>254109</v>
      </c>
      <c r="J1670" s="0" t="s">
        <v>6100</v>
      </c>
      <c r="K1670" s="0" t="s">
        <v>2680</v>
      </c>
      <c r="L1670" s="0" t="n">
        <v>2015</v>
      </c>
      <c r="M1670" s="0" t="s">
        <v>2248</v>
      </c>
      <c r="N1670" s="0" t="s">
        <v>106</v>
      </c>
      <c r="O1670" s="0" t="s">
        <v>6183</v>
      </c>
      <c r="P1670" s="0" t="s">
        <v>6184</v>
      </c>
      <c r="Q1670" s="0" t="n">
        <v>120</v>
      </c>
      <c r="R1670" s="0" t="n">
        <v>118</v>
      </c>
      <c r="T1670" s="0" t="s">
        <v>4866</v>
      </c>
      <c r="U1670" s="0" t="s">
        <v>4808</v>
      </c>
      <c r="V1670" s="0" t="s">
        <v>84</v>
      </c>
      <c r="W1670" s="0" t="s">
        <v>6214</v>
      </c>
      <c r="X1670" s="0" t="s">
        <v>6215</v>
      </c>
      <c r="Y1670" s="0" t="s">
        <v>4159</v>
      </c>
      <c r="Z1670" s="0" t="s">
        <v>4160</v>
      </c>
      <c r="AA1670" s="0" t="s">
        <v>6216</v>
      </c>
      <c r="AB1670" s="0" t="s">
        <v>6188</v>
      </c>
      <c r="AC1670" s="0" t="s">
        <v>4162</v>
      </c>
      <c r="AD1670" s="0" t="s">
        <v>4637</v>
      </c>
      <c r="AE1670" s="0" t="s">
        <v>1892</v>
      </c>
      <c r="AF1670" s="0" t="s">
        <v>6189</v>
      </c>
      <c r="AH1670" s="0" t="s">
        <v>2239</v>
      </c>
      <c r="AL1670" s="0" t="s">
        <v>523</v>
      </c>
    </row>
    <row r="1671" customFormat="false" ht="15" hidden="false" customHeight="false" outlineLevel="0" collapsed="false">
      <c r="A1671" s="0" t="s">
        <v>695</v>
      </c>
      <c r="B1671" s="0" t="s">
        <v>100</v>
      </c>
      <c r="C1671" s="0" t="s">
        <v>6099</v>
      </c>
      <c r="D1671" s="0" t="n">
        <v>2015</v>
      </c>
      <c r="E1671" s="0" t="s">
        <v>66</v>
      </c>
      <c r="F1671" s="0" t="n">
        <v>1357098</v>
      </c>
      <c r="G1671" s="0" t="s">
        <v>3101</v>
      </c>
      <c r="H1671" s="0" t="s">
        <v>3068</v>
      </c>
      <c r="I1671" s="0" t="n">
        <v>1357098</v>
      </c>
      <c r="J1671" s="0" t="s">
        <v>6100</v>
      </c>
      <c r="K1671" s="0" t="s">
        <v>2680</v>
      </c>
      <c r="L1671" s="0" t="n">
        <v>2015</v>
      </c>
      <c r="M1671" s="0" t="s">
        <v>2248</v>
      </c>
      <c r="N1671" s="0" t="s">
        <v>106</v>
      </c>
      <c r="O1671" s="0" t="s">
        <v>6183</v>
      </c>
      <c r="P1671" s="0" t="s">
        <v>6184</v>
      </c>
      <c r="Q1671" s="0" t="n">
        <v>120</v>
      </c>
      <c r="R1671" s="0" t="n">
        <v>118</v>
      </c>
      <c r="T1671" s="0" t="s">
        <v>4866</v>
      </c>
      <c r="U1671" s="0" t="s">
        <v>4808</v>
      </c>
      <c r="V1671" s="0" t="s">
        <v>84</v>
      </c>
      <c r="W1671" s="0" t="s">
        <v>6217</v>
      </c>
      <c r="X1671" s="0" t="s">
        <v>6215</v>
      </c>
      <c r="Y1671" s="0" t="s">
        <v>4159</v>
      </c>
      <c r="Z1671" s="0" t="s">
        <v>4160</v>
      </c>
      <c r="AA1671" s="0" t="s">
        <v>6218</v>
      </c>
      <c r="AB1671" s="0" t="s">
        <v>6188</v>
      </c>
      <c r="AC1671" s="0" t="s">
        <v>4162</v>
      </c>
      <c r="AD1671" s="0" t="s">
        <v>4637</v>
      </c>
      <c r="AE1671" s="0" t="s">
        <v>1892</v>
      </c>
      <c r="AF1671" s="0" t="s">
        <v>6189</v>
      </c>
      <c r="AH1671" s="0" t="s">
        <v>2239</v>
      </c>
      <c r="AL1671" s="0" t="s">
        <v>523</v>
      </c>
    </row>
    <row r="1672" customFormat="false" ht="15" hidden="false" customHeight="false" outlineLevel="0" collapsed="false">
      <c r="A1672" s="0" t="s">
        <v>693</v>
      </c>
      <c r="B1672" s="0" t="s">
        <v>100</v>
      </c>
      <c r="C1672" s="0" t="s">
        <v>6099</v>
      </c>
      <c r="D1672" s="0" t="n">
        <v>2015</v>
      </c>
      <c r="E1672" s="0" t="s">
        <v>69</v>
      </c>
      <c r="F1672" s="0" t="s">
        <v>4849</v>
      </c>
      <c r="G1672" s="0" t="s">
        <v>3143</v>
      </c>
      <c r="I1672" s="0" t="n">
        <v>19</v>
      </c>
      <c r="J1672" s="0" t="s">
        <v>6100</v>
      </c>
      <c r="K1672" s="0" t="s">
        <v>2680</v>
      </c>
      <c r="L1672" s="0" t="n">
        <v>2015</v>
      </c>
      <c r="M1672" s="0" t="s">
        <v>2248</v>
      </c>
      <c r="N1672" s="0" t="s">
        <v>106</v>
      </c>
      <c r="O1672" s="0" t="s">
        <v>6183</v>
      </c>
      <c r="P1672" s="0" t="s">
        <v>6184</v>
      </c>
      <c r="Q1672" s="0" t="n">
        <v>120</v>
      </c>
      <c r="R1672" s="0" t="n">
        <v>118</v>
      </c>
      <c r="T1672" s="0" t="s">
        <v>4866</v>
      </c>
      <c r="U1672" s="0" t="s">
        <v>4808</v>
      </c>
      <c r="V1672" s="0" t="s">
        <v>84</v>
      </c>
      <c r="W1672" s="0" t="s">
        <v>6219</v>
      </c>
      <c r="X1672" s="0" t="s">
        <v>6215</v>
      </c>
      <c r="Y1672" s="0" t="s">
        <v>4159</v>
      </c>
      <c r="Z1672" s="0" t="s">
        <v>4160</v>
      </c>
      <c r="AA1672" s="0" t="s">
        <v>6220</v>
      </c>
      <c r="AB1672" s="0" t="s">
        <v>6188</v>
      </c>
      <c r="AC1672" s="0" t="s">
        <v>4162</v>
      </c>
      <c r="AD1672" s="0" t="s">
        <v>4637</v>
      </c>
      <c r="AE1672" s="0" t="s">
        <v>1892</v>
      </c>
      <c r="AF1672" s="0" t="s">
        <v>6189</v>
      </c>
      <c r="AH1672" s="0" t="s">
        <v>2239</v>
      </c>
      <c r="AL1672" s="0" t="s">
        <v>523</v>
      </c>
    </row>
    <row r="1673" customFormat="false" ht="15" hidden="false" customHeight="false" outlineLevel="0" collapsed="false">
      <c r="A1673" s="0" t="s">
        <v>696</v>
      </c>
      <c r="B1673" s="0" t="s">
        <v>100</v>
      </c>
      <c r="C1673" s="0" t="s">
        <v>6099</v>
      </c>
      <c r="D1673" s="0" t="n">
        <v>2015</v>
      </c>
      <c r="E1673" s="0" t="s">
        <v>73</v>
      </c>
      <c r="F1673" s="0" t="n">
        <v>0</v>
      </c>
      <c r="G1673" s="0" t="s">
        <v>4257</v>
      </c>
      <c r="I1673" s="0" t="n">
        <v>0</v>
      </c>
      <c r="J1673" s="0" t="s">
        <v>6100</v>
      </c>
      <c r="K1673" s="0" t="s">
        <v>2680</v>
      </c>
      <c r="L1673" s="0" t="n">
        <v>2015</v>
      </c>
      <c r="M1673" s="0" t="s">
        <v>2248</v>
      </c>
      <c r="N1673" s="0" t="s">
        <v>106</v>
      </c>
      <c r="O1673" s="0" t="s">
        <v>6183</v>
      </c>
      <c r="P1673" s="0" t="s">
        <v>6184</v>
      </c>
      <c r="Q1673" s="0" t="n">
        <v>46</v>
      </c>
      <c r="R1673" s="0" t="n">
        <v>44</v>
      </c>
      <c r="T1673" s="0" t="s">
        <v>6139</v>
      </c>
      <c r="U1673" s="0" t="s">
        <v>4808</v>
      </c>
      <c r="V1673" s="0" t="s">
        <v>84</v>
      </c>
      <c r="W1673" s="0" t="s">
        <v>6140</v>
      </c>
      <c r="X1673" s="0" t="s">
        <v>6221</v>
      </c>
      <c r="Y1673" s="0" t="s">
        <v>4212</v>
      </c>
      <c r="Z1673" s="0" t="s">
        <v>4160</v>
      </c>
      <c r="AA1673" s="0" t="s">
        <v>6222</v>
      </c>
      <c r="AB1673" s="0" t="s">
        <v>6188</v>
      </c>
      <c r="AC1673" s="0" t="s">
        <v>4162</v>
      </c>
      <c r="AD1673" s="0" t="s">
        <v>4637</v>
      </c>
      <c r="AE1673" s="0" t="s">
        <v>1892</v>
      </c>
      <c r="AF1673" s="0" t="s">
        <v>6189</v>
      </c>
      <c r="AG1673" s="0" t="s">
        <v>1892</v>
      </c>
      <c r="AH1673" s="0" t="s">
        <v>2239</v>
      </c>
      <c r="AL1673" s="0" t="s">
        <v>539</v>
      </c>
    </row>
    <row r="1674" customFormat="false" ht="15" hidden="false" customHeight="false" outlineLevel="0" collapsed="false">
      <c r="A1674" s="0" t="s">
        <v>700</v>
      </c>
      <c r="B1674" s="0" t="s">
        <v>100</v>
      </c>
      <c r="C1674" s="0" t="s">
        <v>6099</v>
      </c>
      <c r="D1674" s="0" t="n">
        <v>2018</v>
      </c>
      <c r="E1674" s="0" t="s">
        <v>55</v>
      </c>
      <c r="F1674" s="0" t="n">
        <v>1956830</v>
      </c>
      <c r="G1674" s="0" t="s">
        <v>3101</v>
      </c>
      <c r="H1674" s="0" t="s">
        <v>3068</v>
      </c>
      <c r="I1674" s="0" t="n">
        <v>1956830</v>
      </c>
      <c r="J1674" s="0" t="s">
        <v>6100</v>
      </c>
      <c r="K1674" s="0" t="s">
        <v>2682</v>
      </c>
      <c r="L1674" s="0" t="n">
        <v>2018</v>
      </c>
      <c r="M1674" s="0" t="s">
        <v>2253</v>
      </c>
      <c r="N1674" s="0" t="s">
        <v>108</v>
      </c>
      <c r="O1674" s="0" t="s">
        <v>6223</v>
      </c>
      <c r="P1674" s="0" t="s">
        <v>6224</v>
      </c>
      <c r="Q1674" s="0" t="n">
        <v>65</v>
      </c>
      <c r="R1674" s="0" t="n">
        <v>65</v>
      </c>
      <c r="T1674" s="0" t="s">
        <v>6225</v>
      </c>
      <c r="U1674" s="0" t="s">
        <v>4425</v>
      </c>
      <c r="V1674" s="0" t="s">
        <v>109</v>
      </c>
      <c r="W1674" s="0" t="s">
        <v>6226</v>
      </c>
      <c r="X1674" s="0" t="s">
        <v>6227</v>
      </c>
      <c r="Y1674" s="0" t="s">
        <v>4159</v>
      </c>
      <c r="Z1674" s="0" t="s">
        <v>4160</v>
      </c>
      <c r="AA1674" s="0" t="s">
        <v>6228</v>
      </c>
      <c r="AB1674" s="0" t="s">
        <v>6229</v>
      </c>
      <c r="AC1674" s="0" t="s">
        <v>4162</v>
      </c>
      <c r="AD1674" s="0" t="s">
        <v>4637</v>
      </c>
      <c r="AE1674" s="0" t="s">
        <v>1892</v>
      </c>
      <c r="AF1674" s="0" t="s">
        <v>6230</v>
      </c>
      <c r="AH1674" s="0" t="s">
        <v>2239</v>
      </c>
      <c r="AL1674" s="0" t="s">
        <v>523</v>
      </c>
    </row>
    <row r="1675" customFormat="false" ht="15" hidden="false" customHeight="false" outlineLevel="0" collapsed="false">
      <c r="A1675" s="0" t="s">
        <v>701</v>
      </c>
      <c r="B1675" s="0" t="s">
        <v>100</v>
      </c>
      <c r="C1675" s="0" t="s">
        <v>6099</v>
      </c>
      <c r="D1675" s="0" t="n">
        <v>2018</v>
      </c>
      <c r="E1675" s="0" t="s">
        <v>56</v>
      </c>
      <c r="F1675" s="0" t="n">
        <v>1709348</v>
      </c>
      <c r="G1675" s="0" t="s">
        <v>3101</v>
      </c>
      <c r="H1675" s="0" t="s">
        <v>3068</v>
      </c>
      <c r="I1675" s="0" t="n">
        <v>1709348</v>
      </c>
      <c r="J1675" s="0" t="s">
        <v>6100</v>
      </c>
      <c r="K1675" s="0" t="s">
        <v>2682</v>
      </c>
      <c r="L1675" s="0" t="n">
        <v>2018</v>
      </c>
      <c r="M1675" s="0" t="s">
        <v>2253</v>
      </c>
      <c r="N1675" s="0" t="s">
        <v>108</v>
      </c>
      <c r="O1675" s="0" t="s">
        <v>6223</v>
      </c>
      <c r="P1675" s="0" t="s">
        <v>6224</v>
      </c>
      <c r="Q1675" s="0" t="n">
        <v>65</v>
      </c>
      <c r="R1675" s="0" t="n">
        <v>65</v>
      </c>
      <c r="T1675" s="0" t="s">
        <v>6225</v>
      </c>
      <c r="U1675" s="0" t="s">
        <v>4425</v>
      </c>
      <c r="V1675" s="0" t="s">
        <v>109</v>
      </c>
      <c r="W1675" s="0" t="s">
        <v>6231</v>
      </c>
      <c r="X1675" s="0" t="s">
        <v>6227</v>
      </c>
      <c r="Y1675" s="0" t="s">
        <v>4159</v>
      </c>
      <c r="Z1675" s="0" t="s">
        <v>4160</v>
      </c>
      <c r="AA1675" s="0" t="s">
        <v>6232</v>
      </c>
      <c r="AB1675" s="0" t="s">
        <v>6229</v>
      </c>
      <c r="AC1675" s="0" t="s">
        <v>4162</v>
      </c>
      <c r="AD1675" s="0" t="s">
        <v>4637</v>
      </c>
      <c r="AE1675" s="0" t="s">
        <v>1892</v>
      </c>
      <c r="AF1675" s="0" t="s">
        <v>6230</v>
      </c>
      <c r="AH1675" s="0" t="s">
        <v>2239</v>
      </c>
      <c r="AL1675" s="0" t="s">
        <v>523</v>
      </c>
    </row>
    <row r="1676" customFormat="false" ht="15" hidden="false" customHeight="false" outlineLevel="0" collapsed="false">
      <c r="A1676" s="0" t="s">
        <v>702</v>
      </c>
      <c r="B1676" s="0" t="s">
        <v>100</v>
      </c>
      <c r="C1676" s="0" t="s">
        <v>6099</v>
      </c>
      <c r="D1676" s="0" t="n">
        <v>2018</v>
      </c>
      <c r="E1676" s="0" t="s">
        <v>57</v>
      </c>
      <c r="F1676" s="0" t="n">
        <v>247482</v>
      </c>
      <c r="G1676" s="0" t="s">
        <v>3101</v>
      </c>
      <c r="H1676" s="0" t="s">
        <v>3068</v>
      </c>
      <c r="I1676" s="0" t="n">
        <v>247482</v>
      </c>
      <c r="J1676" s="0" t="s">
        <v>6100</v>
      </c>
      <c r="K1676" s="0" t="s">
        <v>2682</v>
      </c>
      <c r="L1676" s="0" t="n">
        <v>2018</v>
      </c>
      <c r="M1676" s="0" t="s">
        <v>2253</v>
      </c>
      <c r="N1676" s="0" t="s">
        <v>108</v>
      </c>
      <c r="O1676" s="0" t="s">
        <v>6223</v>
      </c>
      <c r="P1676" s="0" t="s">
        <v>6224</v>
      </c>
      <c r="Q1676" s="0" t="n">
        <v>65</v>
      </c>
      <c r="R1676" s="0" t="n">
        <v>65</v>
      </c>
      <c r="T1676" s="0" t="s">
        <v>6225</v>
      </c>
      <c r="U1676" s="0" t="s">
        <v>4425</v>
      </c>
      <c r="V1676" s="0" t="s">
        <v>109</v>
      </c>
      <c r="W1676" s="0" t="s">
        <v>6233</v>
      </c>
      <c r="X1676" s="0" t="s">
        <v>6227</v>
      </c>
      <c r="Y1676" s="0" t="s">
        <v>4159</v>
      </c>
      <c r="Z1676" s="0" t="s">
        <v>4160</v>
      </c>
      <c r="AA1676" s="0" t="s">
        <v>6234</v>
      </c>
      <c r="AB1676" s="0" t="s">
        <v>6229</v>
      </c>
      <c r="AC1676" s="0" t="s">
        <v>4162</v>
      </c>
      <c r="AD1676" s="0" t="s">
        <v>4637</v>
      </c>
      <c r="AE1676" s="0" t="s">
        <v>1892</v>
      </c>
      <c r="AF1676" s="0" t="s">
        <v>6230</v>
      </c>
      <c r="AH1676" s="0" t="s">
        <v>2239</v>
      </c>
      <c r="AL1676" s="0" t="s">
        <v>523</v>
      </c>
    </row>
    <row r="1677" customFormat="false" ht="15" hidden="false" customHeight="false" outlineLevel="0" collapsed="false">
      <c r="A1677" s="0" t="s">
        <v>698</v>
      </c>
      <c r="B1677" s="0" t="s">
        <v>100</v>
      </c>
      <c r="C1677" s="0" t="s">
        <v>6099</v>
      </c>
      <c r="D1677" s="0" t="n">
        <v>2018</v>
      </c>
      <c r="E1677" s="0" t="s">
        <v>54</v>
      </c>
      <c r="F1677" s="0" t="n">
        <v>27155</v>
      </c>
      <c r="G1677" s="0" t="s">
        <v>3101</v>
      </c>
      <c r="H1677" s="0" t="s">
        <v>3068</v>
      </c>
      <c r="I1677" s="0" t="n">
        <v>27155</v>
      </c>
      <c r="J1677" s="0" t="s">
        <v>6100</v>
      </c>
      <c r="K1677" s="0" t="s">
        <v>2682</v>
      </c>
      <c r="L1677" s="0" t="n">
        <v>2018</v>
      </c>
      <c r="M1677" s="0" t="s">
        <v>2253</v>
      </c>
      <c r="N1677" s="0" t="s">
        <v>108</v>
      </c>
      <c r="O1677" s="0" t="s">
        <v>6223</v>
      </c>
      <c r="P1677" s="0" t="s">
        <v>6224</v>
      </c>
      <c r="Q1677" s="0" t="n">
        <v>64</v>
      </c>
      <c r="R1677" s="0" t="n">
        <v>64</v>
      </c>
      <c r="T1677" s="0" t="s">
        <v>6225</v>
      </c>
      <c r="U1677" s="0" t="s">
        <v>4425</v>
      </c>
      <c r="V1677" s="0" t="s">
        <v>109</v>
      </c>
      <c r="W1677" s="0" t="s">
        <v>6235</v>
      </c>
      <c r="X1677" s="0" t="s">
        <v>6236</v>
      </c>
      <c r="Y1677" s="0" t="s">
        <v>4159</v>
      </c>
      <c r="Z1677" s="0" t="s">
        <v>4160</v>
      </c>
      <c r="AA1677" s="0" t="s">
        <v>6237</v>
      </c>
      <c r="AB1677" s="0" t="s">
        <v>6229</v>
      </c>
      <c r="AC1677" s="0" t="s">
        <v>4162</v>
      </c>
      <c r="AD1677" s="0" t="s">
        <v>4637</v>
      </c>
      <c r="AE1677" s="0" t="s">
        <v>1892</v>
      </c>
      <c r="AF1677" s="0" t="s">
        <v>6230</v>
      </c>
      <c r="AH1677" s="0" t="s">
        <v>2239</v>
      </c>
      <c r="AL1677" s="0" t="s">
        <v>523</v>
      </c>
    </row>
    <row r="1678" customFormat="false" ht="15" hidden="false" customHeight="false" outlineLevel="0" collapsed="false">
      <c r="A1678" s="0" t="s">
        <v>715</v>
      </c>
      <c r="B1678" s="0" t="s">
        <v>100</v>
      </c>
      <c r="C1678" s="0" t="s">
        <v>6099</v>
      </c>
      <c r="D1678" s="0" t="n">
        <v>2018</v>
      </c>
      <c r="E1678" s="0" t="s">
        <v>541</v>
      </c>
      <c r="F1678" s="0" t="n">
        <v>27521</v>
      </c>
      <c r="G1678" s="0" t="s">
        <v>3101</v>
      </c>
      <c r="H1678" s="0" t="s">
        <v>3068</v>
      </c>
      <c r="I1678" s="0" t="n">
        <v>27521</v>
      </c>
      <c r="J1678" s="0" t="s">
        <v>6100</v>
      </c>
      <c r="K1678" s="0" t="s">
        <v>2682</v>
      </c>
      <c r="L1678" s="0" t="n">
        <v>2018</v>
      </c>
      <c r="M1678" s="0" t="s">
        <v>2253</v>
      </c>
      <c r="N1678" s="0" t="s">
        <v>108</v>
      </c>
      <c r="O1678" s="0" t="s">
        <v>6223</v>
      </c>
      <c r="P1678" s="0" t="s">
        <v>6224</v>
      </c>
      <c r="Q1678" s="0" t="n">
        <v>64</v>
      </c>
      <c r="R1678" s="0" t="n">
        <v>64</v>
      </c>
      <c r="T1678" s="0" t="s">
        <v>6225</v>
      </c>
      <c r="U1678" s="0" t="s">
        <v>4425</v>
      </c>
      <c r="V1678" s="0" t="s">
        <v>109</v>
      </c>
      <c r="W1678" s="0" t="s">
        <v>6238</v>
      </c>
      <c r="X1678" s="0" t="s">
        <v>6236</v>
      </c>
      <c r="Y1678" s="0" t="s">
        <v>4159</v>
      </c>
      <c r="Z1678" s="0" t="s">
        <v>4160</v>
      </c>
      <c r="AA1678" s="0" t="s">
        <v>6239</v>
      </c>
      <c r="AB1678" s="0" t="s">
        <v>6229</v>
      </c>
      <c r="AC1678" s="0" t="s">
        <v>4162</v>
      </c>
      <c r="AD1678" s="0" t="s">
        <v>4637</v>
      </c>
      <c r="AE1678" s="0" t="s">
        <v>1892</v>
      </c>
      <c r="AF1678" s="0" t="s">
        <v>6230</v>
      </c>
      <c r="AH1678" s="0" t="s">
        <v>2239</v>
      </c>
      <c r="AL1678" s="0" t="s">
        <v>523</v>
      </c>
    </row>
    <row r="1679" customFormat="false" ht="15" hidden="false" customHeight="false" outlineLevel="0" collapsed="false">
      <c r="A1679" s="0" t="s">
        <v>703</v>
      </c>
      <c r="B1679" s="0" t="s">
        <v>100</v>
      </c>
      <c r="C1679" s="0" t="s">
        <v>6099</v>
      </c>
      <c r="D1679" s="0" t="n">
        <v>2018</v>
      </c>
      <c r="E1679" s="0" t="s">
        <v>58</v>
      </c>
      <c r="F1679" s="0" t="n">
        <v>31236</v>
      </c>
      <c r="G1679" s="0" t="s">
        <v>3101</v>
      </c>
      <c r="H1679" s="0" t="s">
        <v>3068</v>
      </c>
      <c r="I1679" s="0" t="n">
        <v>31236</v>
      </c>
      <c r="J1679" s="0" t="s">
        <v>6100</v>
      </c>
      <c r="K1679" s="0" t="s">
        <v>2682</v>
      </c>
      <c r="L1679" s="0" t="n">
        <v>2018</v>
      </c>
      <c r="M1679" s="0" t="s">
        <v>2253</v>
      </c>
      <c r="N1679" s="0" t="s">
        <v>108</v>
      </c>
      <c r="O1679" s="0" t="s">
        <v>6223</v>
      </c>
      <c r="P1679" s="0" t="s">
        <v>6224</v>
      </c>
      <c r="Q1679" s="0" t="n">
        <v>67</v>
      </c>
      <c r="R1679" s="0" t="n">
        <v>67</v>
      </c>
      <c r="T1679" s="0" t="s">
        <v>6225</v>
      </c>
      <c r="U1679" s="0" t="s">
        <v>4425</v>
      </c>
      <c r="V1679" s="0" t="s">
        <v>109</v>
      </c>
      <c r="W1679" s="0" t="s">
        <v>6240</v>
      </c>
      <c r="X1679" s="0" t="s">
        <v>6241</v>
      </c>
      <c r="Y1679" s="0" t="s">
        <v>4159</v>
      </c>
      <c r="Z1679" s="0" t="s">
        <v>4160</v>
      </c>
      <c r="AA1679" s="0" t="s">
        <v>6242</v>
      </c>
      <c r="AB1679" s="0" t="s">
        <v>6229</v>
      </c>
      <c r="AC1679" s="0" t="s">
        <v>4162</v>
      </c>
      <c r="AD1679" s="0" t="s">
        <v>4637</v>
      </c>
      <c r="AE1679" s="0" t="s">
        <v>1892</v>
      </c>
      <c r="AF1679" s="0" t="s">
        <v>6230</v>
      </c>
      <c r="AH1679" s="0" t="s">
        <v>2239</v>
      </c>
      <c r="AL1679" s="0" t="s">
        <v>523</v>
      </c>
    </row>
    <row r="1680" customFormat="false" ht="15" hidden="false" customHeight="false" outlineLevel="0" collapsed="false">
      <c r="A1680" s="0" t="s">
        <v>704</v>
      </c>
      <c r="B1680" s="0" t="s">
        <v>100</v>
      </c>
      <c r="C1680" s="0" t="s">
        <v>6099</v>
      </c>
      <c r="D1680" s="0" t="n">
        <v>2018</v>
      </c>
      <c r="E1680" s="0" t="s">
        <v>59</v>
      </c>
      <c r="F1680" s="0" t="n">
        <v>1829761</v>
      </c>
      <c r="G1680" s="0" t="s">
        <v>3101</v>
      </c>
      <c r="H1680" s="0" t="s">
        <v>3068</v>
      </c>
      <c r="I1680" s="0" t="n">
        <v>1829761</v>
      </c>
      <c r="J1680" s="0" t="s">
        <v>6100</v>
      </c>
      <c r="K1680" s="0" t="s">
        <v>2682</v>
      </c>
      <c r="L1680" s="0" t="n">
        <v>2018</v>
      </c>
      <c r="M1680" s="0" t="s">
        <v>2253</v>
      </c>
      <c r="N1680" s="0" t="s">
        <v>108</v>
      </c>
      <c r="O1680" s="0" t="s">
        <v>6223</v>
      </c>
      <c r="P1680" s="0" t="s">
        <v>6224</v>
      </c>
      <c r="Q1680" s="0" t="n">
        <v>65</v>
      </c>
      <c r="R1680" s="0" t="n">
        <v>65</v>
      </c>
      <c r="T1680" s="0" t="s">
        <v>6243</v>
      </c>
      <c r="U1680" s="0" t="s">
        <v>6244</v>
      </c>
      <c r="V1680" s="0" t="s">
        <v>109</v>
      </c>
      <c r="W1680" s="0" t="s">
        <v>6226</v>
      </c>
      <c r="X1680" s="0" t="s">
        <v>6227</v>
      </c>
      <c r="Y1680" s="0" t="s">
        <v>4159</v>
      </c>
      <c r="Z1680" s="0" t="s">
        <v>4160</v>
      </c>
      <c r="AA1680" s="0" t="s">
        <v>6245</v>
      </c>
      <c r="AB1680" s="0" t="s">
        <v>6229</v>
      </c>
      <c r="AC1680" s="0" t="s">
        <v>4162</v>
      </c>
      <c r="AD1680" s="0" t="s">
        <v>4637</v>
      </c>
      <c r="AE1680" s="0" t="s">
        <v>1892</v>
      </c>
      <c r="AF1680" s="0" t="s">
        <v>6246</v>
      </c>
      <c r="AH1680" s="0" t="s">
        <v>2239</v>
      </c>
      <c r="AL1680" s="0" t="s">
        <v>523</v>
      </c>
    </row>
    <row r="1681" customFormat="false" ht="15" hidden="false" customHeight="false" outlineLevel="0" collapsed="false">
      <c r="A1681" s="0" t="s">
        <v>708</v>
      </c>
      <c r="B1681" s="0" t="s">
        <v>100</v>
      </c>
      <c r="C1681" s="0" t="s">
        <v>6099</v>
      </c>
      <c r="D1681" s="0" t="n">
        <v>2018</v>
      </c>
      <c r="E1681" s="0" t="s">
        <v>63</v>
      </c>
      <c r="F1681" s="0" t="n">
        <v>-27360</v>
      </c>
      <c r="G1681" s="0" t="s">
        <v>3101</v>
      </c>
      <c r="H1681" s="0" t="s">
        <v>3068</v>
      </c>
      <c r="I1681" s="0" t="n">
        <v>27360</v>
      </c>
      <c r="J1681" s="0" t="s">
        <v>6100</v>
      </c>
      <c r="K1681" s="0" t="s">
        <v>2682</v>
      </c>
      <c r="L1681" s="0" t="n">
        <v>2018</v>
      </c>
      <c r="M1681" s="0" t="s">
        <v>2253</v>
      </c>
      <c r="N1681" s="0" t="s">
        <v>108</v>
      </c>
      <c r="O1681" s="0" t="s">
        <v>6223</v>
      </c>
      <c r="P1681" s="0" t="s">
        <v>6224</v>
      </c>
      <c r="Q1681" s="0" t="n">
        <v>64</v>
      </c>
      <c r="R1681" s="0" t="n">
        <v>64</v>
      </c>
      <c r="S1681" s="0" t="n">
        <v>9</v>
      </c>
      <c r="T1681" s="0" t="s">
        <v>6225</v>
      </c>
      <c r="U1681" s="0" t="s">
        <v>4425</v>
      </c>
      <c r="V1681" s="0" t="s">
        <v>109</v>
      </c>
      <c r="W1681" s="0" t="s">
        <v>6247</v>
      </c>
      <c r="X1681" s="0" t="s">
        <v>6236</v>
      </c>
      <c r="Y1681" s="0" t="s">
        <v>4159</v>
      </c>
      <c r="Z1681" s="0" t="s">
        <v>4160</v>
      </c>
      <c r="AA1681" s="0" t="s">
        <v>6248</v>
      </c>
      <c r="AB1681" s="0" t="s">
        <v>6229</v>
      </c>
      <c r="AC1681" s="0" t="s">
        <v>4162</v>
      </c>
      <c r="AD1681" s="0" t="s">
        <v>4637</v>
      </c>
      <c r="AE1681" s="0" t="s">
        <v>1892</v>
      </c>
      <c r="AF1681" s="0" t="s">
        <v>6230</v>
      </c>
      <c r="AH1681" s="0" t="s">
        <v>4174</v>
      </c>
      <c r="AI1681" s="0" t="s">
        <v>4974</v>
      </c>
      <c r="AL1681" s="0" t="s">
        <v>523</v>
      </c>
    </row>
    <row r="1682" customFormat="false" ht="15" hidden="false" customHeight="false" outlineLevel="0" collapsed="false">
      <c r="A1682" s="0" t="s">
        <v>705</v>
      </c>
      <c r="B1682" s="0" t="s">
        <v>100</v>
      </c>
      <c r="C1682" s="0" t="s">
        <v>6099</v>
      </c>
      <c r="D1682" s="0" t="n">
        <v>2018</v>
      </c>
      <c r="E1682" s="0" t="s">
        <v>60</v>
      </c>
      <c r="F1682" s="0" t="n">
        <v>926546</v>
      </c>
      <c r="G1682" s="0" t="s">
        <v>3101</v>
      </c>
      <c r="H1682" s="0" t="s">
        <v>3068</v>
      </c>
      <c r="I1682" s="0" t="n">
        <v>926546</v>
      </c>
      <c r="J1682" s="0" t="s">
        <v>6100</v>
      </c>
      <c r="K1682" s="0" t="s">
        <v>2682</v>
      </c>
      <c r="L1682" s="0" t="n">
        <v>2018</v>
      </c>
      <c r="M1682" s="0" t="s">
        <v>2253</v>
      </c>
      <c r="N1682" s="0" t="s">
        <v>108</v>
      </c>
      <c r="O1682" s="0" t="s">
        <v>6223</v>
      </c>
      <c r="P1682" s="0" t="s">
        <v>6224</v>
      </c>
      <c r="Q1682" s="0" t="n">
        <v>110</v>
      </c>
      <c r="R1682" s="0" t="n">
        <v>110</v>
      </c>
      <c r="S1682" s="0" t="n">
        <v>19.1</v>
      </c>
      <c r="T1682" s="0" t="s">
        <v>6225</v>
      </c>
      <c r="U1682" s="0" t="s">
        <v>4425</v>
      </c>
      <c r="V1682" s="0" t="s">
        <v>109</v>
      </c>
      <c r="W1682" s="0" t="s">
        <v>6249</v>
      </c>
      <c r="X1682" s="0" t="s">
        <v>6250</v>
      </c>
      <c r="Y1682" s="0" t="s">
        <v>4159</v>
      </c>
      <c r="Z1682" s="0" t="s">
        <v>4160</v>
      </c>
      <c r="AA1682" s="0" t="s">
        <v>6251</v>
      </c>
      <c r="AB1682" s="0" t="s">
        <v>6229</v>
      </c>
      <c r="AC1682" s="0" t="s">
        <v>4162</v>
      </c>
      <c r="AD1682" s="0" t="s">
        <v>4637</v>
      </c>
      <c r="AE1682" s="0" t="s">
        <v>1892</v>
      </c>
      <c r="AF1682" s="0" t="s">
        <v>6230</v>
      </c>
      <c r="AH1682" s="0" t="s">
        <v>2239</v>
      </c>
      <c r="AL1682" s="0" t="s">
        <v>523</v>
      </c>
    </row>
    <row r="1683" customFormat="false" ht="15" hidden="false" customHeight="false" outlineLevel="0" collapsed="false">
      <c r="A1683" s="0" t="s">
        <v>706</v>
      </c>
      <c r="B1683" s="0" t="s">
        <v>100</v>
      </c>
      <c r="C1683" s="0" t="s">
        <v>6099</v>
      </c>
      <c r="D1683" s="0" t="n">
        <v>2018</v>
      </c>
      <c r="E1683" s="0" t="s">
        <v>61</v>
      </c>
      <c r="F1683" s="0" t="n">
        <v>-84071</v>
      </c>
      <c r="G1683" s="0" t="s">
        <v>3101</v>
      </c>
      <c r="H1683" s="0" t="s">
        <v>3068</v>
      </c>
      <c r="I1683" s="0" t="n">
        <v>84071</v>
      </c>
      <c r="J1683" s="0" t="s">
        <v>6100</v>
      </c>
      <c r="K1683" s="0" t="s">
        <v>2682</v>
      </c>
      <c r="L1683" s="0" t="n">
        <v>2018</v>
      </c>
      <c r="M1683" s="0" t="s">
        <v>2253</v>
      </c>
      <c r="N1683" s="0" t="s">
        <v>108</v>
      </c>
      <c r="O1683" s="0" t="s">
        <v>6223</v>
      </c>
      <c r="P1683" s="0" t="s">
        <v>6224</v>
      </c>
      <c r="Q1683" s="0" t="n">
        <v>110</v>
      </c>
      <c r="R1683" s="0" t="n">
        <v>110</v>
      </c>
      <c r="S1683" s="0" t="n">
        <v>19.1</v>
      </c>
      <c r="T1683" s="0" t="s">
        <v>6225</v>
      </c>
      <c r="U1683" s="0" t="s">
        <v>4425</v>
      </c>
      <c r="V1683" s="0" t="s">
        <v>109</v>
      </c>
      <c r="W1683" s="0" t="s">
        <v>6252</v>
      </c>
      <c r="X1683" s="0" t="s">
        <v>6250</v>
      </c>
      <c r="Y1683" s="0" t="s">
        <v>4159</v>
      </c>
      <c r="Z1683" s="0" t="s">
        <v>4160</v>
      </c>
      <c r="AA1683" s="0" t="s">
        <v>6253</v>
      </c>
      <c r="AB1683" s="0" t="s">
        <v>6229</v>
      </c>
      <c r="AC1683" s="0" t="s">
        <v>4162</v>
      </c>
      <c r="AD1683" s="0" t="s">
        <v>4637</v>
      </c>
      <c r="AE1683" s="0" t="s">
        <v>1892</v>
      </c>
      <c r="AF1683" s="0" t="s">
        <v>6230</v>
      </c>
      <c r="AH1683" s="0" t="s">
        <v>4174</v>
      </c>
      <c r="AI1683" s="0" t="s">
        <v>4781</v>
      </c>
      <c r="AL1683" s="0" t="s">
        <v>523</v>
      </c>
    </row>
    <row r="1684" customFormat="false" ht="15" hidden="false" customHeight="false" outlineLevel="0" collapsed="false">
      <c r="A1684" s="0" t="s">
        <v>707</v>
      </c>
      <c r="B1684" s="0" t="s">
        <v>100</v>
      </c>
      <c r="C1684" s="0" t="s">
        <v>6099</v>
      </c>
      <c r="D1684" s="0" t="n">
        <v>2018</v>
      </c>
      <c r="E1684" s="0" t="s">
        <v>62</v>
      </c>
      <c r="F1684" s="0" t="n">
        <v>842475</v>
      </c>
      <c r="G1684" s="0" t="s">
        <v>3101</v>
      </c>
      <c r="H1684" s="0" t="s">
        <v>3068</v>
      </c>
      <c r="I1684" s="0" t="n">
        <v>842475</v>
      </c>
      <c r="J1684" s="0" t="s">
        <v>6100</v>
      </c>
      <c r="K1684" s="0" t="s">
        <v>2682</v>
      </c>
      <c r="L1684" s="0" t="n">
        <v>2018</v>
      </c>
      <c r="M1684" s="0" t="s">
        <v>2253</v>
      </c>
      <c r="N1684" s="0" t="s">
        <v>108</v>
      </c>
      <c r="O1684" s="0" t="s">
        <v>6223</v>
      </c>
      <c r="P1684" s="0" t="s">
        <v>6224</v>
      </c>
      <c r="Q1684" s="0" t="n">
        <v>65</v>
      </c>
      <c r="R1684" s="0" t="n">
        <v>65</v>
      </c>
      <c r="S1684" s="0" t="n">
        <v>19</v>
      </c>
      <c r="T1684" s="0" t="s">
        <v>6225</v>
      </c>
      <c r="U1684" s="0" t="s">
        <v>4425</v>
      </c>
      <c r="V1684" s="0" t="s">
        <v>109</v>
      </c>
      <c r="W1684" s="0" t="s">
        <v>6254</v>
      </c>
      <c r="X1684" s="0" t="s">
        <v>6227</v>
      </c>
      <c r="Y1684" s="0" t="s">
        <v>4159</v>
      </c>
      <c r="Z1684" s="0" t="s">
        <v>4160</v>
      </c>
      <c r="AA1684" s="0" t="s">
        <v>6255</v>
      </c>
      <c r="AB1684" s="0" t="s">
        <v>6229</v>
      </c>
      <c r="AC1684" s="0" t="s">
        <v>4162</v>
      </c>
      <c r="AD1684" s="0" t="s">
        <v>4637</v>
      </c>
      <c r="AE1684" s="0" t="s">
        <v>1892</v>
      </c>
      <c r="AF1684" s="0" t="s">
        <v>6230</v>
      </c>
      <c r="AH1684" s="0" t="s">
        <v>2239</v>
      </c>
      <c r="AL1684" s="0" t="s">
        <v>523</v>
      </c>
    </row>
    <row r="1685" customFormat="false" ht="15" hidden="false" customHeight="false" outlineLevel="0" collapsed="false">
      <c r="A1685" s="0" t="s">
        <v>709</v>
      </c>
      <c r="B1685" s="0" t="s">
        <v>100</v>
      </c>
      <c r="C1685" s="0" t="s">
        <v>6099</v>
      </c>
      <c r="D1685" s="0" t="n">
        <v>2018</v>
      </c>
      <c r="E1685" s="0" t="s">
        <v>64</v>
      </c>
      <c r="F1685" s="0" t="n">
        <v>126844</v>
      </c>
      <c r="G1685" s="0" t="s">
        <v>3101</v>
      </c>
      <c r="H1685" s="0" t="s">
        <v>3068</v>
      </c>
      <c r="I1685" s="0" t="n">
        <v>126844</v>
      </c>
      <c r="J1685" s="0" t="s">
        <v>6100</v>
      </c>
      <c r="K1685" s="0" t="s">
        <v>2682</v>
      </c>
      <c r="L1685" s="0" t="n">
        <v>2018</v>
      </c>
      <c r="M1685" s="0" t="s">
        <v>2253</v>
      </c>
      <c r="N1685" s="0" t="s">
        <v>108</v>
      </c>
      <c r="O1685" s="0" t="s">
        <v>6223</v>
      </c>
      <c r="P1685" s="0" t="s">
        <v>6224</v>
      </c>
      <c r="Q1685" s="0" t="n">
        <v>110</v>
      </c>
      <c r="R1685" s="0" t="n">
        <v>110</v>
      </c>
      <c r="S1685" s="0" t="n">
        <v>19.1</v>
      </c>
      <c r="T1685" s="0" t="s">
        <v>6225</v>
      </c>
      <c r="U1685" s="0" t="s">
        <v>4425</v>
      </c>
      <c r="V1685" s="0" t="s">
        <v>109</v>
      </c>
      <c r="W1685" s="0" t="s">
        <v>6256</v>
      </c>
      <c r="X1685" s="0" t="s">
        <v>6250</v>
      </c>
      <c r="Y1685" s="0" t="s">
        <v>4159</v>
      </c>
      <c r="Z1685" s="0" t="s">
        <v>4160</v>
      </c>
      <c r="AA1685" s="0" t="s">
        <v>6257</v>
      </c>
      <c r="AB1685" s="0" t="s">
        <v>6229</v>
      </c>
      <c r="AC1685" s="0" t="s">
        <v>4162</v>
      </c>
      <c r="AD1685" s="0" t="s">
        <v>4637</v>
      </c>
      <c r="AE1685" s="0" t="s">
        <v>1892</v>
      </c>
      <c r="AF1685" s="0" t="s">
        <v>6230</v>
      </c>
      <c r="AH1685" s="0" t="s">
        <v>2239</v>
      </c>
      <c r="AL1685" s="0" t="s">
        <v>523</v>
      </c>
    </row>
    <row r="1686" customFormat="false" ht="15" hidden="false" customHeight="false" outlineLevel="0" collapsed="false">
      <c r="A1686" s="0" t="s">
        <v>712</v>
      </c>
      <c r="B1686" s="0" t="s">
        <v>100</v>
      </c>
      <c r="C1686" s="0" t="s">
        <v>6099</v>
      </c>
      <c r="D1686" s="0" t="n">
        <v>2018</v>
      </c>
      <c r="E1686" s="0" t="s">
        <v>65</v>
      </c>
      <c r="F1686" s="0" t="n">
        <v>205312</v>
      </c>
      <c r="G1686" s="0" t="s">
        <v>3101</v>
      </c>
      <c r="H1686" s="0" t="s">
        <v>3068</v>
      </c>
      <c r="I1686" s="0" t="n">
        <v>205312</v>
      </c>
      <c r="J1686" s="0" t="s">
        <v>6100</v>
      </c>
      <c r="K1686" s="0" t="s">
        <v>2682</v>
      </c>
      <c r="L1686" s="0" t="n">
        <v>2018</v>
      </c>
      <c r="M1686" s="0" t="s">
        <v>2253</v>
      </c>
      <c r="N1686" s="0" t="s">
        <v>108</v>
      </c>
      <c r="O1686" s="0" t="s">
        <v>6223</v>
      </c>
      <c r="P1686" s="0" t="s">
        <v>6224</v>
      </c>
      <c r="Q1686" s="0" t="n">
        <v>170</v>
      </c>
      <c r="R1686" s="0" t="n">
        <v>170</v>
      </c>
      <c r="T1686" s="0" t="s">
        <v>6225</v>
      </c>
      <c r="U1686" s="0" t="s">
        <v>4425</v>
      </c>
      <c r="V1686" s="0" t="s">
        <v>109</v>
      </c>
      <c r="W1686" s="0" t="s">
        <v>6258</v>
      </c>
      <c r="X1686" s="0" t="s">
        <v>6259</v>
      </c>
      <c r="Y1686" s="0" t="s">
        <v>4159</v>
      </c>
      <c r="Z1686" s="0" t="s">
        <v>4160</v>
      </c>
      <c r="AA1686" s="0" t="s">
        <v>6260</v>
      </c>
      <c r="AB1686" s="0" t="s">
        <v>6229</v>
      </c>
      <c r="AC1686" s="0" t="s">
        <v>4162</v>
      </c>
      <c r="AD1686" s="0" t="s">
        <v>4637</v>
      </c>
      <c r="AE1686" s="0" t="s">
        <v>1892</v>
      </c>
      <c r="AF1686" s="0" t="s">
        <v>6230</v>
      </c>
      <c r="AH1686" s="0" t="s">
        <v>2239</v>
      </c>
      <c r="AL1686" s="0" t="s">
        <v>523</v>
      </c>
    </row>
    <row r="1687" customFormat="false" ht="15" hidden="false" customHeight="false" outlineLevel="0" collapsed="false">
      <c r="A1687" s="0" t="s">
        <v>713</v>
      </c>
      <c r="B1687" s="0" t="s">
        <v>100</v>
      </c>
      <c r="C1687" s="0" t="s">
        <v>6099</v>
      </c>
      <c r="D1687" s="0" t="n">
        <v>2018</v>
      </c>
      <c r="E1687" s="0" t="s">
        <v>66</v>
      </c>
      <c r="F1687" s="0" t="n">
        <v>1433545</v>
      </c>
      <c r="G1687" s="0" t="s">
        <v>3101</v>
      </c>
      <c r="H1687" s="0" t="s">
        <v>3068</v>
      </c>
      <c r="I1687" s="0" t="n">
        <v>1433545</v>
      </c>
      <c r="J1687" s="0" t="s">
        <v>6100</v>
      </c>
      <c r="K1687" s="0" t="s">
        <v>2682</v>
      </c>
      <c r="L1687" s="0" t="n">
        <v>2018</v>
      </c>
      <c r="M1687" s="0" t="s">
        <v>2253</v>
      </c>
      <c r="N1687" s="0" t="s">
        <v>108</v>
      </c>
      <c r="O1687" s="0" t="s">
        <v>6223</v>
      </c>
      <c r="P1687" s="0" t="s">
        <v>6224</v>
      </c>
      <c r="Q1687" s="0" t="n">
        <v>170</v>
      </c>
      <c r="R1687" s="0" t="n">
        <v>170</v>
      </c>
      <c r="T1687" s="0" t="s">
        <v>6225</v>
      </c>
      <c r="U1687" s="0" t="s">
        <v>4425</v>
      </c>
      <c r="V1687" s="0" t="s">
        <v>109</v>
      </c>
      <c r="W1687" s="0" t="s">
        <v>6261</v>
      </c>
      <c r="X1687" s="0" t="s">
        <v>6259</v>
      </c>
      <c r="Y1687" s="0" t="s">
        <v>4159</v>
      </c>
      <c r="Z1687" s="0" t="s">
        <v>4160</v>
      </c>
      <c r="AA1687" s="0" t="s">
        <v>6262</v>
      </c>
      <c r="AB1687" s="0" t="s">
        <v>6229</v>
      </c>
      <c r="AC1687" s="0" t="s">
        <v>4162</v>
      </c>
      <c r="AD1687" s="0" t="s">
        <v>4637</v>
      </c>
      <c r="AE1687" s="0" t="s">
        <v>1892</v>
      </c>
      <c r="AF1687" s="0" t="s">
        <v>6230</v>
      </c>
      <c r="AH1687" s="0" t="s">
        <v>2239</v>
      </c>
      <c r="AL1687" s="0" t="s">
        <v>523</v>
      </c>
    </row>
    <row r="1688" customFormat="false" ht="15" hidden="false" customHeight="false" outlineLevel="0" collapsed="false">
      <c r="A1688" s="0" t="s">
        <v>710</v>
      </c>
      <c r="B1688" s="0" t="s">
        <v>100</v>
      </c>
      <c r="C1688" s="0" t="s">
        <v>6099</v>
      </c>
      <c r="D1688" s="0" t="n">
        <v>2018</v>
      </c>
      <c r="E1688" s="0" t="s">
        <v>69</v>
      </c>
      <c r="F1688" s="0" t="s">
        <v>6263</v>
      </c>
      <c r="G1688" s="0" t="s">
        <v>3143</v>
      </c>
      <c r="I1688" s="0" t="n">
        <v>14.3</v>
      </c>
      <c r="J1688" s="0" t="s">
        <v>6100</v>
      </c>
      <c r="K1688" s="0" t="s">
        <v>2682</v>
      </c>
      <c r="L1688" s="0" t="n">
        <v>2018</v>
      </c>
      <c r="M1688" s="0" t="s">
        <v>2253</v>
      </c>
      <c r="N1688" s="0" t="s">
        <v>108</v>
      </c>
      <c r="O1688" s="0" t="s">
        <v>6223</v>
      </c>
      <c r="P1688" s="0" t="s">
        <v>6224</v>
      </c>
      <c r="Q1688" s="0" t="n">
        <v>170</v>
      </c>
      <c r="R1688" s="0" t="n">
        <v>170</v>
      </c>
      <c r="T1688" s="0" t="s">
        <v>6225</v>
      </c>
      <c r="U1688" s="0" t="s">
        <v>4425</v>
      </c>
      <c r="V1688" s="0" t="s">
        <v>109</v>
      </c>
      <c r="W1688" s="0" t="s">
        <v>6264</v>
      </c>
      <c r="X1688" s="0" t="s">
        <v>6259</v>
      </c>
      <c r="Y1688" s="0" t="s">
        <v>4159</v>
      </c>
      <c r="Z1688" s="0" t="s">
        <v>4160</v>
      </c>
      <c r="AA1688" s="0" t="s">
        <v>6265</v>
      </c>
      <c r="AB1688" s="0" t="s">
        <v>6229</v>
      </c>
      <c r="AC1688" s="0" t="s">
        <v>4162</v>
      </c>
      <c r="AD1688" s="0" t="s">
        <v>4637</v>
      </c>
      <c r="AE1688" s="0" t="s">
        <v>1892</v>
      </c>
      <c r="AF1688" s="0" t="s">
        <v>6230</v>
      </c>
      <c r="AH1688" s="0" t="s">
        <v>2239</v>
      </c>
      <c r="AL1688" s="0" t="s">
        <v>523</v>
      </c>
    </row>
    <row r="1689" customFormat="false" ht="15" hidden="false" customHeight="false" outlineLevel="0" collapsed="false">
      <c r="A1689" s="0" t="s">
        <v>711</v>
      </c>
      <c r="B1689" s="0" t="s">
        <v>100</v>
      </c>
      <c r="C1689" s="0" t="s">
        <v>6099</v>
      </c>
      <c r="D1689" s="0" t="n">
        <v>2018</v>
      </c>
      <c r="E1689" s="0" t="s">
        <v>614</v>
      </c>
      <c r="F1689" s="0" t="s">
        <v>6263</v>
      </c>
      <c r="G1689" s="0" t="s">
        <v>3143</v>
      </c>
      <c r="I1689" s="0" t="n">
        <v>14.3</v>
      </c>
      <c r="J1689" s="0" t="s">
        <v>6100</v>
      </c>
      <c r="K1689" s="0" t="s">
        <v>2682</v>
      </c>
      <c r="L1689" s="0" t="n">
        <v>2018</v>
      </c>
      <c r="M1689" s="0" t="s">
        <v>2253</v>
      </c>
      <c r="N1689" s="0" t="s">
        <v>108</v>
      </c>
      <c r="O1689" s="0" t="s">
        <v>6223</v>
      </c>
      <c r="P1689" s="0" t="s">
        <v>6224</v>
      </c>
      <c r="Q1689" s="0" t="n">
        <v>170</v>
      </c>
      <c r="R1689" s="0" t="n">
        <v>170</v>
      </c>
      <c r="T1689" s="0" t="s">
        <v>6225</v>
      </c>
      <c r="U1689" s="0" t="s">
        <v>4425</v>
      </c>
      <c r="V1689" s="0" t="s">
        <v>109</v>
      </c>
      <c r="W1689" s="0" t="s">
        <v>6264</v>
      </c>
      <c r="X1689" s="0" t="s">
        <v>6259</v>
      </c>
      <c r="Y1689" s="0" t="s">
        <v>4159</v>
      </c>
      <c r="Z1689" s="0" t="s">
        <v>4160</v>
      </c>
      <c r="AA1689" s="0" t="s">
        <v>6266</v>
      </c>
      <c r="AB1689" s="0" t="s">
        <v>6229</v>
      </c>
      <c r="AC1689" s="0" t="s">
        <v>4162</v>
      </c>
      <c r="AD1689" s="0" t="s">
        <v>4637</v>
      </c>
      <c r="AE1689" s="0" t="s">
        <v>1892</v>
      </c>
      <c r="AF1689" s="0" t="s">
        <v>6230</v>
      </c>
      <c r="AH1689" s="0" t="s">
        <v>2239</v>
      </c>
      <c r="AL1689" s="0" t="s">
        <v>523</v>
      </c>
    </row>
    <row r="1690" customFormat="false" ht="15" hidden="false" customHeight="false" outlineLevel="0" collapsed="false">
      <c r="A1690" s="0" t="s">
        <v>714</v>
      </c>
      <c r="B1690" s="0" t="s">
        <v>100</v>
      </c>
      <c r="C1690" s="0" t="s">
        <v>6099</v>
      </c>
      <c r="D1690" s="0" t="n">
        <v>2018</v>
      </c>
      <c r="E1690" s="0" t="s">
        <v>73</v>
      </c>
      <c r="F1690" s="0" t="n">
        <v>0</v>
      </c>
      <c r="G1690" s="0" t="s">
        <v>4257</v>
      </c>
      <c r="I1690" s="0" t="n">
        <v>0</v>
      </c>
      <c r="J1690" s="0" t="s">
        <v>6100</v>
      </c>
      <c r="K1690" s="0" t="s">
        <v>2682</v>
      </c>
      <c r="L1690" s="0" t="n">
        <v>2018</v>
      </c>
      <c r="M1690" s="0" t="s">
        <v>2253</v>
      </c>
      <c r="N1690" s="0" t="s">
        <v>108</v>
      </c>
      <c r="O1690" s="0" t="s">
        <v>6223</v>
      </c>
      <c r="P1690" s="0" t="s">
        <v>6224</v>
      </c>
      <c r="Q1690" s="0" t="n">
        <v>58</v>
      </c>
      <c r="R1690" s="0" t="n">
        <v>58</v>
      </c>
      <c r="T1690" s="0" t="s">
        <v>6139</v>
      </c>
      <c r="U1690" s="0" t="s">
        <v>4425</v>
      </c>
      <c r="V1690" s="0" t="s">
        <v>109</v>
      </c>
      <c r="W1690" s="0" t="s">
        <v>6267</v>
      </c>
      <c r="X1690" s="0" t="s">
        <v>6268</v>
      </c>
      <c r="Y1690" s="0" t="s">
        <v>4212</v>
      </c>
      <c r="Z1690" s="0" t="s">
        <v>4160</v>
      </c>
      <c r="AA1690" s="0" t="s">
        <v>6269</v>
      </c>
      <c r="AB1690" s="0" t="s">
        <v>6229</v>
      </c>
      <c r="AC1690" s="0" t="s">
        <v>4162</v>
      </c>
      <c r="AD1690" s="0" t="s">
        <v>4637</v>
      </c>
      <c r="AE1690" s="0" t="s">
        <v>1892</v>
      </c>
      <c r="AF1690" s="0" t="s">
        <v>6230</v>
      </c>
      <c r="AG1690" s="0" t="s">
        <v>1892</v>
      </c>
      <c r="AH1690" s="0" t="s">
        <v>2239</v>
      </c>
      <c r="AL1690" s="0" t="s">
        <v>539</v>
      </c>
    </row>
    <row r="1691" customFormat="false" ht="15" hidden="false" customHeight="false" outlineLevel="0" collapsed="false">
      <c r="A1691" s="0" t="s">
        <v>717</v>
      </c>
      <c r="B1691" s="0" t="s">
        <v>100</v>
      </c>
      <c r="C1691" s="0" t="s">
        <v>6099</v>
      </c>
      <c r="D1691" s="0" t="n">
        <v>2019</v>
      </c>
      <c r="E1691" s="0" t="s">
        <v>55</v>
      </c>
      <c r="F1691" s="0" t="n">
        <v>1991040</v>
      </c>
      <c r="G1691" s="0" t="s">
        <v>3101</v>
      </c>
      <c r="H1691" s="0" t="s">
        <v>3068</v>
      </c>
      <c r="I1691" s="0" t="n">
        <v>1991040</v>
      </c>
      <c r="J1691" s="0" t="s">
        <v>6100</v>
      </c>
      <c r="K1691" s="0" t="s">
        <v>2684</v>
      </c>
      <c r="L1691" s="0" t="n">
        <v>2019</v>
      </c>
      <c r="M1691" s="0" t="s">
        <v>2258</v>
      </c>
      <c r="N1691" s="0" t="s">
        <v>110</v>
      </c>
      <c r="O1691" s="0" t="s">
        <v>6270</v>
      </c>
      <c r="P1691" s="0" t="s">
        <v>6271</v>
      </c>
      <c r="Q1691" s="0" t="n">
        <v>71</v>
      </c>
      <c r="R1691" s="0" t="n">
        <v>71</v>
      </c>
      <c r="T1691" s="0" t="s">
        <v>6272</v>
      </c>
      <c r="U1691" s="0" t="s">
        <v>4461</v>
      </c>
      <c r="V1691" s="0" t="s">
        <v>93</v>
      </c>
      <c r="W1691" s="0" t="s">
        <v>6273</v>
      </c>
      <c r="X1691" s="0" t="s">
        <v>6274</v>
      </c>
      <c r="Y1691" s="0" t="s">
        <v>4159</v>
      </c>
      <c r="Z1691" s="0" t="s">
        <v>4160</v>
      </c>
      <c r="AA1691" s="0" t="s">
        <v>6275</v>
      </c>
      <c r="AB1691" s="0" t="s">
        <v>6276</v>
      </c>
      <c r="AC1691" s="0" t="s">
        <v>4162</v>
      </c>
      <c r="AD1691" s="0" t="s">
        <v>4637</v>
      </c>
      <c r="AE1691" s="0" t="s">
        <v>1892</v>
      </c>
      <c r="AF1691" s="0" t="s">
        <v>6277</v>
      </c>
      <c r="AH1691" s="0" t="s">
        <v>2239</v>
      </c>
      <c r="AL1691" s="0" t="s">
        <v>523</v>
      </c>
    </row>
    <row r="1692" customFormat="false" ht="15" hidden="false" customHeight="false" outlineLevel="0" collapsed="false">
      <c r="A1692" s="0" t="s">
        <v>718</v>
      </c>
      <c r="B1692" s="0" t="s">
        <v>100</v>
      </c>
      <c r="C1692" s="0" t="s">
        <v>6099</v>
      </c>
      <c r="D1692" s="0" t="n">
        <v>2019</v>
      </c>
      <c r="E1692" s="0" t="s">
        <v>56</v>
      </c>
      <c r="F1692" s="0" t="n">
        <v>1726770</v>
      </c>
      <c r="G1692" s="0" t="s">
        <v>3101</v>
      </c>
      <c r="H1692" s="0" t="s">
        <v>3068</v>
      </c>
      <c r="I1692" s="0" t="n">
        <v>1726770</v>
      </c>
      <c r="J1692" s="0" t="s">
        <v>6100</v>
      </c>
      <c r="K1692" s="0" t="s">
        <v>2684</v>
      </c>
      <c r="L1692" s="0" t="n">
        <v>2019</v>
      </c>
      <c r="M1692" s="0" t="s">
        <v>2258</v>
      </c>
      <c r="N1692" s="0" t="s">
        <v>110</v>
      </c>
      <c r="O1692" s="0" t="s">
        <v>6270</v>
      </c>
      <c r="P1692" s="0" t="s">
        <v>6271</v>
      </c>
      <c r="Q1692" s="0" t="n">
        <v>71</v>
      </c>
      <c r="R1692" s="0" t="n">
        <v>71</v>
      </c>
      <c r="T1692" s="0" t="s">
        <v>6272</v>
      </c>
      <c r="U1692" s="0" t="s">
        <v>4461</v>
      </c>
      <c r="V1692" s="0" t="s">
        <v>93</v>
      </c>
      <c r="W1692" s="0" t="s">
        <v>6278</v>
      </c>
      <c r="X1692" s="0" t="s">
        <v>6274</v>
      </c>
      <c r="Y1692" s="0" t="s">
        <v>4159</v>
      </c>
      <c r="Z1692" s="0" t="s">
        <v>4160</v>
      </c>
      <c r="AA1692" s="0" t="s">
        <v>6279</v>
      </c>
      <c r="AB1692" s="0" t="s">
        <v>6276</v>
      </c>
      <c r="AC1692" s="0" t="s">
        <v>4162</v>
      </c>
      <c r="AD1692" s="0" t="s">
        <v>4637</v>
      </c>
      <c r="AE1692" s="0" t="s">
        <v>1892</v>
      </c>
      <c r="AF1692" s="0" t="s">
        <v>6277</v>
      </c>
      <c r="AH1692" s="0" t="s">
        <v>2239</v>
      </c>
      <c r="AL1692" s="0" t="s">
        <v>523</v>
      </c>
    </row>
    <row r="1693" customFormat="false" ht="15" hidden="false" customHeight="false" outlineLevel="0" collapsed="false">
      <c r="A1693" s="0" t="s">
        <v>719</v>
      </c>
      <c r="B1693" s="0" t="s">
        <v>100</v>
      </c>
      <c r="C1693" s="0" t="s">
        <v>6099</v>
      </c>
      <c r="D1693" s="0" t="n">
        <v>2019</v>
      </c>
      <c r="E1693" s="0" t="s">
        <v>57</v>
      </c>
      <c r="F1693" s="0" t="n">
        <v>264270</v>
      </c>
      <c r="G1693" s="0" t="s">
        <v>3101</v>
      </c>
      <c r="H1693" s="0" t="s">
        <v>3068</v>
      </c>
      <c r="I1693" s="0" t="n">
        <v>264270</v>
      </c>
      <c r="J1693" s="0" t="s">
        <v>6100</v>
      </c>
      <c r="K1693" s="0" t="s">
        <v>2684</v>
      </c>
      <c r="L1693" s="0" t="n">
        <v>2019</v>
      </c>
      <c r="M1693" s="0" t="s">
        <v>2258</v>
      </c>
      <c r="N1693" s="0" t="s">
        <v>110</v>
      </c>
      <c r="O1693" s="0" t="s">
        <v>6270</v>
      </c>
      <c r="P1693" s="0" t="s">
        <v>6271</v>
      </c>
      <c r="Q1693" s="0" t="n">
        <v>71</v>
      </c>
      <c r="R1693" s="0" t="n">
        <v>71</v>
      </c>
      <c r="T1693" s="0" t="s">
        <v>6272</v>
      </c>
      <c r="U1693" s="0" t="s">
        <v>4461</v>
      </c>
      <c r="V1693" s="0" t="s">
        <v>93</v>
      </c>
      <c r="W1693" s="0" t="s">
        <v>6280</v>
      </c>
      <c r="X1693" s="0" t="s">
        <v>6274</v>
      </c>
      <c r="Y1693" s="0" t="s">
        <v>4159</v>
      </c>
      <c r="Z1693" s="0" t="s">
        <v>4160</v>
      </c>
      <c r="AA1693" s="0" t="s">
        <v>6281</v>
      </c>
      <c r="AB1693" s="0" t="s">
        <v>6276</v>
      </c>
      <c r="AC1693" s="0" t="s">
        <v>4162</v>
      </c>
      <c r="AD1693" s="0" t="s">
        <v>4637</v>
      </c>
      <c r="AE1693" s="0" t="s">
        <v>1892</v>
      </c>
      <c r="AF1693" s="0" t="s">
        <v>6277</v>
      </c>
      <c r="AH1693" s="0" t="s">
        <v>2239</v>
      </c>
      <c r="AL1693" s="0" t="s">
        <v>523</v>
      </c>
    </row>
    <row r="1694" customFormat="false" ht="15" hidden="false" customHeight="false" outlineLevel="0" collapsed="false">
      <c r="A1694" s="0" t="s">
        <v>716</v>
      </c>
      <c r="B1694" s="0" t="s">
        <v>100</v>
      </c>
      <c r="C1694" s="0" t="s">
        <v>6099</v>
      </c>
      <c r="D1694" s="0" t="n">
        <v>2019</v>
      </c>
      <c r="E1694" s="0" t="s">
        <v>54</v>
      </c>
      <c r="F1694" s="0" t="n">
        <v>1256</v>
      </c>
      <c r="G1694" s="0" t="s">
        <v>3101</v>
      </c>
      <c r="H1694" s="0" t="s">
        <v>3068</v>
      </c>
      <c r="I1694" s="0" t="n">
        <v>1256</v>
      </c>
      <c r="J1694" s="0" t="s">
        <v>6100</v>
      </c>
      <c r="K1694" s="0" t="s">
        <v>2684</v>
      </c>
      <c r="L1694" s="0" t="n">
        <v>2019</v>
      </c>
      <c r="M1694" s="0" t="s">
        <v>2258</v>
      </c>
      <c r="N1694" s="0" t="s">
        <v>110</v>
      </c>
      <c r="O1694" s="0" t="s">
        <v>6270</v>
      </c>
      <c r="P1694" s="0" t="s">
        <v>6271</v>
      </c>
      <c r="Q1694" s="0" t="n">
        <v>70</v>
      </c>
      <c r="R1694" s="0" t="n">
        <v>70</v>
      </c>
      <c r="T1694" s="0" t="s">
        <v>6272</v>
      </c>
      <c r="U1694" s="0" t="s">
        <v>4461</v>
      </c>
      <c r="V1694" s="0" t="s">
        <v>93</v>
      </c>
      <c r="W1694" s="0" t="s">
        <v>6282</v>
      </c>
      <c r="X1694" s="0" t="s">
        <v>6283</v>
      </c>
      <c r="Y1694" s="0" t="s">
        <v>4159</v>
      </c>
      <c r="Z1694" s="0" t="s">
        <v>4160</v>
      </c>
      <c r="AA1694" s="0" t="s">
        <v>6284</v>
      </c>
      <c r="AB1694" s="0" t="s">
        <v>6276</v>
      </c>
      <c r="AC1694" s="0" t="s">
        <v>4162</v>
      </c>
      <c r="AD1694" s="0" t="s">
        <v>4637</v>
      </c>
      <c r="AE1694" s="0" t="s">
        <v>1892</v>
      </c>
      <c r="AF1694" s="0" t="s">
        <v>6277</v>
      </c>
      <c r="AH1694" s="0" t="s">
        <v>2239</v>
      </c>
      <c r="AL1694" s="0" t="s">
        <v>523</v>
      </c>
    </row>
    <row r="1695" customFormat="false" ht="15" hidden="false" customHeight="false" outlineLevel="0" collapsed="false">
      <c r="A1695" s="0" t="s">
        <v>732</v>
      </c>
      <c r="B1695" s="0" t="s">
        <v>100</v>
      </c>
      <c r="C1695" s="0" t="s">
        <v>6099</v>
      </c>
      <c r="D1695" s="0" t="n">
        <v>2019</v>
      </c>
      <c r="E1695" s="0" t="s">
        <v>541</v>
      </c>
      <c r="F1695" s="0" t="n">
        <v>2238</v>
      </c>
      <c r="G1695" s="0" t="s">
        <v>3101</v>
      </c>
      <c r="H1695" s="0" t="s">
        <v>3068</v>
      </c>
      <c r="I1695" s="0" t="n">
        <v>2238</v>
      </c>
      <c r="J1695" s="0" t="s">
        <v>6100</v>
      </c>
      <c r="K1695" s="0" t="s">
        <v>2684</v>
      </c>
      <c r="L1695" s="0" t="n">
        <v>2019</v>
      </c>
      <c r="M1695" s="0" t="s">
        <v>2258</v>
      </c>
      <c r="N1695" s="0" t="s">
        <v>110</v>
      </c>
      <c r="O1695" s="0" t="s">
        <v>6270</v>
      </c>
      <c r="P1695" s="0" t="s">
        <v>6271</v>
      </c>
      <c r="Q1695" s="0" t="n">
        <v>70</v>
      </c>
      <c r="R1695" s="0" t="n">
        <v>70</v>
      </c>
      <c r="T1695" s="0" t="s">
        <v>6272</v>
      </c>
      <c r="U1695" s="0" t="s">
        <v>4461</v>
      </c>
      <c r="V1695" s="0" t="s">
        <v>93</v>
      </c>
      <c r="W1695" s="0" t="s">
        <v>6285</v>
      </c>
      <c r="X1695" s="0" t="s">
        <v>6283</v>
      </c>
      <c r="Y1695" s="0" t="s">
        <v>4159</v>
      </c>
      <c r="Z1695" s="0" t="s">
        <v>4160</v>
      </c>
      <c r="AA1695" s="0" t="s">
        <v>6286</v>
      </c>
      <c r="AB1695" s="0" t="s">
        <v>6276</v>
      </c>
      <c r="AC1695" s="0" t="s">
        <v>4162</v>
      </c>
      <c r="AD1695" s="0" t="s">
        <v>4637</v>
      </c>
      <c r="AE1695" s="0" t="s">
        <v>1892</v>
      </c>
      <c r="AF1695" s="0" t="s">
        <v>6277</v>
      </c>
      <c r="AH1695" s="0" t="s">
        <v>2239</v>
      </c>
      <c r="AL1695" s="0" t="s">
        <v>523</v>
      </c>
    </row>
    <row r="1696" customFormat="false" ht="15" hidden="false" customHeight="false" outlineLevel="0" collapsed="false">
      <c r="A1696" s="0" t="s">
        <v>720</v>
      </c>
      <c r="B1696" s="0" t="s">
        <v>100</v>
      </c>
      <c r="C1696" s="0" t="s">
        <v>6099</v>
      </c>
      <c r="D1696" s="0" t="n">
        <v>2019</v>
      </c>
      <c r="E1696" s="0" t="s">
        <v>58</v>
      </c>
      <c r="F1696" s="0" t="n">
        <v>49052</v>
      </c>
      <c r="G1696" s="0" t="s">
        <v>3101</v>
      </c>
      <c r="H1696" s="0" t="s">
        <v>3068</v>
      </c>
      <c r="I1696" s="0" t="n">
        <v>49052</v>
      </c>
      <c r="J1696" s="0" t="s">
        <v>6100</v>
      </c>
      <c r="K1696" s="0" t="s">
        <v>2684</v>
      </c>
      <c r="L1696" s="0" t="n">
        <v>2019</v>
      </c>
      <c r="M1696" s="0" t="s">
        <v>2258</v>
      </c>
      <c r="N1696" s="0" t="s">
        <v>110</v>
      </c>
      <c r="O1696" s="0" t="s">
        <v>6270</v>
      </c>
      <c r="P1696" s="0" t="s">
        <v>6271</v>
      </c>
      <c r="Q1696" s="0" t="n">
        <v>74</v>
      </c>
      <c r="R1696" s="0" t="n">
        <v>74</v>
      </c>
      <c r="T1696" s="0" t="s">
        <v>6272</v>
      </c>
      <c r="U1696" s="0" t="s">
        <v>4461</v>
      </c>
      <c r="V1696" s="0" t="s">
        <v>93</v>
      </c>
      <c r="W1696" s="0" t="s">
        <v>6287</v>
      </c>
      <c r="X1696" s="0" t="s">
        <v>6288</v>
      </c>
      <c r="Y1696" s="0" t="s">
        <v>4159</v>
      </c>
      <c r="Z1696" s="0" t="s">
        <v>4160</v>
      </c>
      <c r="AA1696" s="0" t="s">
        <v>6289</v>
      </c>
      <c r="AB1696" s="0" t="s">
        <v>6276</v>
      </c>
      <c r="AC1696" s="0" t="s">
        <v>4162</v>
      </c>
      <c r="AD1696" s="0" t="s">
        <v>4637</v>
      </c>
      <c r="AE1696" s="0" t="s">
        <v>1892</v>
      </c>
      <c r="AF1696" s="0" t="s">
        <v>6277</v>
      </c>
      <c r="AH1696" s="0" t="s">
        <v>2239</v>
      </c>
      <c r="AL1696" s="0" t="s">
        <v>523</v>
      </c>
    </row>
    <row r="1697" customFormat="false" ht="15" hidden="false" customHeight="false" outlineLevel="0" collapsed="false">
      <c r="A1697" s="0" t="s">
        <v>721</v>
      </c>
      <c r="B1697" s="0" t="s">
        <v>100</v>
      </c>
      <c r="C1697" s="0" t="s">
        <v>6099</v>
      </c>
      <c r="D1697" s="0" t="n">
        <v>2019</v>
      </c>
      <c r="E1697" s="0" t="s">
        <v>59</v>
      </c>
      <c r="F1697" s="0" t="n">
        <v>1927889</v>
      </c>
      <c r="G1697" s="0" t="s">
        <v>3101</v>
      </c>
      <c r="H1697" s="0" t="s">
        <v>3068</v>
      </c>
      <c r="I1697" s="0" t="n">
        <v>1927889</v>
      </c>
      <c r="J1697" s="0" t="s">
        <v>6100</v>
      </c>
      <c r="K1697" s="0" t="s">
        <v>2684</v>
      </c>
      <c r="L1697" s="0" t="n">
        <v>2019</v>
      </c>
      <c r="M1697" s="0" t="s">
        <v>2258</v>
      </c>
      <c r="N1697" s="0" t="s">
        <v>110</v>
      </c>
      <c r="O1697" s="0" t="s">
        <v>6270</v>
      </c>
      <c r="P1697" s="0" t="s">
        <v>6271</v>
      </c>
      <c r="Q1697" s="0" t="n">
        <v>71</v>
      </c>
      <c r="R1697" s="0" t="n">
        <v>71</v>
      </c>
      <c r="T1697" s="0" t="s">
        <v>6290</v>
      </c>
      <c r="U1697" s="0" t="s">
        <v>6291</v>
      </c>
      <c r="V1697" s="0" t="s">
        <v>93</v>
      </c>
      <c r="W1697" s="0" t="s">
        <v>6273</v>
      </c>
      <c r="X1697" s="0" t="s">
        <v>6274</v>
      </c>
      <c r="Y1697" s="0" t="s">
        <v>4159</v>
      </c>
      <c r="Z1697" s="0" t="s">
        <v>4160</v>
      </c>
      <c r="AA1697" s="0" t="s">
        <v>6292</v>
      </c>
      <c r="AB1697" s="0" t="s">
        <v>6276</v>
      </c>
      <c r="AC1697" s="0" t="s">
        <v>4162</v>
      </c>
      <c r="AD1697" s="0" t="s">
        <v>4637</v>
      </c>
      <c r="AE1697" s="0" t="s">
        <v>1892</v>
      </c>
      <c r="AF1697" s="0" t="s">
        <v>6293</v>
      </c>
      <c r="AH1697" s="0" t="s">
        <v>2239</v>
      </c>
      <c r="AL1697" s="0" t="s">
        <v>523</v>
      </c>
    </row>
    <row r="1698" customFormat="false" ht="15" hidden="false" customHeight="false" outlineLevel="0" collapsed="false">
      <c r="A1698" s="0" t="s">
        <v>725</v>
      </c>
      <c r="B1698" s="0" t="s">
        <v>100</v>
      </c>
      <c r="C1698" s="0" t="s">
        <v>6099</v>
      </c>
      <c r="D1698" s="0" t="n">
        <v>2019</v>
      </c>
      <c r="E1698" s="0" t="s">
        <v>63</v>
      </c>
      <c r="F1698" s="0" t="n">
        <v>-2704</v>
      </c>
      <c r="G1698" s="0" t="s">
        <v>3101</v>
      </c>
      <c r="H1698" s="0" t="s">
        <v>3068</v>
      </c>
      <c r="I1698" s="0" t="n">
        <v>2704</v>
      </c>
      <c r="J1698" s="0" t="s">
        <v>6100</v>
      </c>
      <c r="K1698" s="0" t="s">
        <v>2684</v>
      </c>
      <c r="L1698" s="0" t="n">
        <v>2019</v>
      </c>
      <c r="M1698" s="0" t="s">
        <v>2258</v>
      </c>
      <c r="N1698" s="0" t="s">
        <v>110</v>
      </c>
      <c r="O1698" s="0" t="s">
        <v>6270</v>
      </c>
      <c r="P1698" s="0" t="s">
        <v>6271</v>
      </c>
      <c r="Q1698" s="0" t="n">
        <v>70</v>
      </c>
      <c r="R1698" s="0" t="n">
        <v>70</v>
      </c>
      <c r="S1698" s="0" t="n">
        <v>9</v>
      </c>
      <c r="T1698" s="0" t="s">
        <v>6272</v>
      </c>
      <c r="U1698" s="0" t="s">
        <v>4461</v>
      </c>
      <c r="V1698" s="0" t="s">
        <v>93</v>
      </c>
      <c r="W1698" s="0" t="s">
        <v>6294</v>
      </c>
      <c r="X1698" s="0" t="s">
        <v>6283</v>
      </c>
      <c r="Y1698" s="0" t="s">
        <v>4159</v>
      </c>
      <c r="Z1698" s="0" t="s">
        <v>4160</v>
      </c>
      <c r="AA1698" s="0" t="s">
        <v>6295</v>
      </c>
      <c r="AB1698" s="0" t="s">
        <v>6276</v>
      </c>
      <c r="AC1698" s="0" t="s">
        <v>4162</v>
      </c>
      <c r="AD1698" s="0" t="s">
        <v>4637</v>
      </c>
      <c r="AE1698" s="0" t="s">
        <v>1892</v>
      </c>
      <c r="AF1698" s="0" t="s">
        <v>6277</v>
      </c>
      <c r="AH1698" s="0" t="s">
        <v>4174</v>
      </c>
      <c r="AI1698" s="0" t="s">
        <v>4974</v>
      </c>
      <c r="AL1698" s="0" t="s">
        <v>523</v>
      </c>
    </row>
    <row r="1699" customFormat="false" ht="15" hidden="false" customHeight="false" outlineLevel="0" collapsed="false">
      <c r="A1699" s="0" t="s">
        <v>722</v>
      </c>
      <c r="B1699" s="0" t="s">
        <v>100</v>
      </c>
      <c r="C1699" s="0" t="s">
        <v>6099</v>
      </c>
      <c r="D1699" s="0" t="n">
        <v>2019</v>
      </c>
      <c r="E1699" s="0" t="s">
        <v>60</v>
      </c>
      <c r="F1699" s="0" t="n">
        <v>913082</v>
      </c>
      <c r="G1699" s="0" t="s">
        <v>3101</v>
      </c>
      <c r="H1699" s="0" t="s">
        <v>3068</v>
      </c>
      <c r="I1699" s="0" t="n">
        <v>913082</v>
      </c>
      <c r="J1699" s="0" t="s">
        <v>6100</v>
      </c>
      <c r="K1699" s="0" t="s">
        <v>2684</v>
      </c>
      <c r="L1699" s="0" t="n">
        <v>2019</v>
      </c>
      <c r="M1699" s="0" t="s">
        <v>2258</v>
      </c>
      <c r="N1699" s="0" t="s">
        <v>110</v>
      </c>
      <c r="O1699" s="0" t="s">
        <v>6270</v>
      </c>
      <c r="P1699" s="0" t="s">
        <v>6271</v>
      </c>
      <c r="Q1699" s="0" t="n">
        <v>111</v>
      </c>
      <c r="R1699" s="0" t="n">
        <v>111</v>
      </c>
      <c r="S1699" s="0" t="n">
        <v>19.1</v>
      </c>
      <c r="T1699" s="0" t="s">
        <v>6272</v>
      </c>
      <c r="U1699" s="0" t="s">
        <v>4461</v>
      </c>
      <c r="V1699" s="0" t="s">
        <v>93</v>
      </c>
      <c r="W1699" s="0" t="s">
        <v>6296</v>
      </c>
      <c r="X1699" s="0" t="s">
        <v>6297</v>
      </c>
      <c r="Y1699" s="0" t="s">
        <v>4159</v>
      </c>
      <c r="Z1699" s="0" t="s">
        <v>4160</v>
      </c>
      <c r="AA1699" s="0" t="s">
        <v>6298</v>
      </c>
      <c r="AB1699" s="0" t="s">
        <v>6276</v>
      </c>
      <c r="AC1699" s="0" t="s">
        <v>4162</v>
      </c>
      <c r="AD1699" s="0" t="s">
        <v>4637</v>
      </c>
      <c r="AE1699" s="0" t="s">
        <v>1892</v>
      </c>
      <c r="AF1699" s="0" t="s">
        <v>6277</v>
      </c>
      <c r="AH1699" s="0" t="s">
        <v>2239</v>
      </c>
      <c r="AL1699" s="0" t="s">
        <v>523</v>
      </c>
    </row>
    <row r="1700" customFormat="false" ht="15" hidden="false" customHeight="false" outlineLevel="0" collapsed="false">
      <c r="A1700" s="0" t="s">
        <v>723</v>
      </c>
      <c r="B1700" s="0" t="s">
        <v>100</v>
      </c>
      <c r="C1700" s="0" t="s">
        <v>6099</v>
      </c>
      <c r="D1700" s="0" t="n">
        <v>2019</v>
      </c>
      <c r="E1700" s="0" t="s">
        <v>61</v>
      </c>
      <c r="F1700" s="0" t="n">
        <v>-101476</v>
      </c>
      <c r="G1700" s="0" t="s">
        <v>3101</v>
      </c>
      <c r="H1700" s="0" t="s">
        <v>3068</v>
      </c>
      <c r="I1700" s="0" t="n">
        <v>101476</v>
      </c>
      <c r="J1700" s="0" t="s">
        <v>6100</v>
      </c>
      <c r="K1700" s="0" t="s">
        <v>2684</v>
      </c>
      <c r="L1700" s="0" t="n">
        <v>2019</v>
      </c>
      <c r="M1700" s="0" t="s">
        <v>2258</v>
      </c>
      <c r="N1700" s="0" t="s">
        <v>110</v>
      </c>
      <c r="O1700" s="0" t="s">
        <v>6270</v>
      </c>
      <c r="P1700" s="0" t="s">
        <v>6271</v>
      </c>
      <c r="Q1700" s="0" t="n">
        <v>111</v>
      </c>
      <c r="R1700" s="0" t="n">
        <v>111</v>
      </c>
      <c r="S1700" s="0" t="n">
        <v>19.1</v>
      </c>
      <c r="T1700" s="0" t="s">
        <v>6272</v>
      </c>
      <c r="U1700" s="0" t="s">
        <v>4461</v>
      </c>
      <c r="V1700" s="0" t="s">
        <v>93</v>
      </c>
      <c r="W1700" s="0" t="s">
        <v>6299</v>
      </c>
      <c r="X1700" s="0" t="s">
        <v>6297</v>
      </c>
      <c r="Y1700" s="0" t="s">
        <v>4159</v>
      </c>
      <c r="Z1700" s="0" t="s">
        <v>4160</v>
      </c>
      <c r="AA1700" s="0" t="s">
        <v>6300</v>
      </c>
      <c r="AB1700" s="0" t="s">
        <v>6276</v>
      </c>
      <c r="AC1700" s="0" t="s">
        <v>4162</v>
      </c>
      <c r="AD1700" s="0" t="s">
        <v>4637</v>
      </c>
      <c r="AE1700" s="0" t="s">
        <v>1892</v>
      </c>
      <c r="AF1700" s="0" t="s">
        <v>6277</v>
      </c>
      <c r="AH1700" s="0" t="s">
        <v>4174</v>
      </c>
      <c r="AI1700" s="0" t="s">
        <v>4781</v>
      </c>
      <c r="AL1700" s="0" t="s">
        <v>523</v>
      </c>
    </row>
    <row r="1701" customFormat="false" ht="15" hidden="false" customHeight="false" outlineLevel="0" collapsed="false">
      <c r="A1701" s="0" t="s">
        <v>724</v>
      </c>
      <c r="B1701" s="0" t="s">
        <v>100</v>
      </c>
      <c r="C1701" s="0" t="s">
        <v>6099</v>
      </c>
      <c r="D1701" s="0" t="n">
        <v>2019</v>
      </c>
      <c r="E1701" s="0" t="s">
        <v>62</v>
      </c>
      <c r="F1701" s="0" t="n">
        <v>811606</v>
      </c>
      <c r="G1701" s="0" t="s">
        <v>3101</v>
      </c>
      <c r="H1701" s="0" t="s">
        <v>3068</v>
      </c>
      <c r="I1701" s="0" t="n">
        <v>811606</v>
      </c>
      <c r="J1701" s="0" t="s">
        <v>6100</v>
      </c>
      <c r="K1701" s="0" t="s">
        <v>2684</v>
      </c>
      <c r="L1701" s="0" t="n">
        <v>2019</v>
      </c>
      <c r="M1701" s="0" t="s">
        <v>2258</v>
      </c>
      <c r="N1701" s="0" t="s">
        <v>110</v>
      </c>
      <c r="O1701" s="0" t="s">
        <v>6270</v>
      </c>
      <c r="P1701" s="0" t="s">
        <v>6271</v>
      </c>
      <c r="Q1701" s="0" t="n">
        <v>71</v>
      </c>
      <c r="R1701" s="0" t="n">
        <v>71</v>
      </c>
      <c r="S1701" s="0" t="n">
        <v>19</v>
      </c>
      <c r="T1701" s="0" t="s">
        <v>6272</v>
      </c>
      <c r="U1701" s="0" t="s">
        <v>4461</v>
      </c>
      <c r="V1701" s="0" t="s">
        <v>93</v>
      </c>
      <c r="W1701" s="0" t="s">
        <v>6301</v>
      </c>
      <c r="X1701" s="0" t="s">
        <v>6274</v>
      </c>
      <c r="Y1701" s="0" t="s">
        <v>4159</v>
      </c>
      <c r="Z1701" s="0" t="s">
        <v>4160</v>
      </c>
      <c r="AA1701" s="0" t="s">
        <v>6302</v>
      </c>
      <c r="AB1701" s="0" t="s">
        <v>6276</v>
      </c>
      <c r="AC1701" s="0" t="s">
        <v>4162</v>
      </c>
      <c r="AD1701" s="0" t="s">
        <v>4637</v>
      </c>
      <c r="AE1701" s="0" t="s">
        <v>1892</v>
      </c>
      <c r="AF1701" s="0" t="s">
        <v>6277</v>
      </c>
      <c r="AH1701" s="0" t="s">
        <v>2239</v>
      </c>
      <c r="AL1701" s="0" t="s">
        <v>523</v>
      </c>
    </row>
    <row r="1702" customFormat="false" ht="15" hidden="false" customHeight="false" outlineLevel="0" collapsed="false">
      <c r="A1702" s="0" t="s">
        <v>726</v>
      </c>
      <c r="B1702" s="0" t="s">
        <v>100</v>
      </c>
      <c r="C1702" s="0" t="s">
        <v>6099</v>
      </c>
      <c r="D1702" s="0" t="n">
        <v>2019</v>
      </c>
      <c r="E1702" s="0" t="s">
        <v>64</v>
      </c>
      <c r="F1702" s="0" t="n">
        <v>218515</v>
      </c>
      <c r="G1702" s="0" t="s">
        <v>3101</v>
      </c>
      <c r="H1702" s="0" t="s">
        <v>3068</v>
      </c>
      <c r="I1702" s="0" t="n">
        <v>218515</v>
      </c>
      <c r="J1702" s="0" t="s">
        <v>6100</v>
      </c>
      <c r="K1702" s="0" t="s">
        <v>2684</v>
      </c>
      <c r="L1702" s="0" t="n">
        <v>2019</v>
      </c>
      <c r="M1702" s="0" t="s">
        <v>2258</v>
      </c>
      <c r="N1702" s="0" t="s">
        <v>110</v>
      </c>
      <c r="O1702" s="0" t="s">
        <v>6270</v>
      </c>
      <c r="P1702" s="0" t="s">
        <v>6271</v>
      </c>
      <c r="Q1702" s="0" t="n">
        <v>111</v>
      </c>
      <c r="R1702" s="0" t="n">
        <v>111</v>
      </c>
      <c r="S1702" s="0" t="n">
        <v>19.1</v>
      </c>
      <c r="T1702" s="0" t="s">
        <v>6272</v>
      </c>
      <c r="U1702" s="0" t="s">
        <v>4461</v>
      </c>
      <c r="V1702" s="0" t="s">
        <v>93</v>
      </c>
      <c r="W1702" s="0" t="s">
        <v>6303</v>
      </c>
      <c r="X1702" s="0" t="s">
        <v>6297</v>
      </c>
      <c r="Y1702" s="0" t="s">
        <v>4159</v>
      </c>
      <c r="Z1702" s="0" t="s">
        <v>4160</v>
      </c>
      <c r="AA1702" s="0" t="s">
        <v>6304</v>
      </c>
      <c r="AB1702" s="0" t="s">
        <v>6276</v>
      </c>
      <c r="AC1702" s="0" t="s">
        <v>4162</v>
      </c>
      <c r="AD1702" s="0" t="s">
        <v>4637</v>
      </c>
      <c r="AE1702" s="0" t="s">
        <v>1892</v>
      </c>
      <c r="AF1702" s="0" t="s">
        <v>6277</v>
      </c>
      <c r="AH1702" s="0" t="s">
        <v>2239</v>
      </c>
      <c r="AL1702" s="0" t="s">
        <v>523</v>
      </c>
    </row>
    <row r="1703" customFormat="false" ht="15" hidden="false" customHeight="false" outlineLevel="0" collapsed="false">
      <c r="A1703" s="0" t="s">
        <v>729</v>
      </c>
      <c r="B1703" s="0" t="s">
        <v>100</v>
      </c>
      <c r="C1703" s="0" t="s">
        <v>6099</v>
      </c>
      <c r="D1703" s="0" t="n">
        <v>2019</v>
      </c>
      <c r="E1703" s="0" t="s">
        <v>65</v>
      </c>
      <c r="F1703" s="0" t="n">
        <v>236196</v>
      </c>
      <c r="G1703" s="0" t="s">
        <v>3101</v>
      </c>
      <c r="H1703" s="0" t="s">
        <v>3068</v>
      </c>
      <c r="I1703" s="0" t="n">
        <v>236196</v>
      </c>
      <c r="J1703" s="0" t="s">
        <v>6100</v>
      </c>
      <c r="K1703" s="0" t="s">
        <v>2684</v>
      </c>
      <c r="L1703" s="0" t="n">
        <v>2019</v>
      </c>
      <c r="M1703" s="0" t="s">
        <v>2258</v>
      </c>
      <c r="N1703" s="0" t="s">
        <v>110</v>
      </c>
      <c r="O1703" s="0" t="s">
        <v>6270</v>
      </c>
      <c r="P1703" s="0" t="s">
        <v>6271</v>
      </c>
      <c r="Q1703" s="0" t="n">
        <v>170</v>
      </c>
      <c r="R1703" s="0" t="n">
        <v>170</v>
      </c>
      <c r="T1703" s="0" t="s">
        <v>6272</v>
      </c>
      <c r="U1703" s="0" t="s">
        <v>4461</v>
      </c>
      <c r="V1703" s="0" t="s">
        <v>93</v>
      </c>
      <c r="W1703" s="0" t="s">
        <v>6305</v>
      </c>
      <c r="X1703" s="0" t="s">
        <v>6306</v>
      </c>
      <c r="Y1703" s="0" t="s">
        <v>4159</v>
      </c>
      <c r="Z1703" s="0" t="s">
        <v>4160</v>
      </c>
      <c r="AA1703" s="0" t="s">
        <v>6307</v>
      </c>
      <c r="AB1703" s="0" t="s">
        <v>6276</v>
      </c>
      <c r="AC1703" s="0" t="s">
        <v>4162</v>
      </c>
      <c r="AD1703" s="0" t="s">
        <v>4637</v>
      </c>
      <c r="AE1703" s="0" t="s">
        <v>1892</v>
      </c>
      <c r="AF1703" s="0" t="s">
        <v>6277</v>
      </c>
      <c r="AH1703" s="0" t="s">
        <v>2239</v>
      </c>
      <c r="AL1703" s="0" t="s">
        <v>523</v>
      </c>
    </row>
    <row r="1704" customFormat="false" ht="15" hidden="false" customHeight="false" outlineLevel="0" collapsed="false">
      <c r="A1704" s="0" t="s">
        <v>730</v>
      </c>
      <c r="B1704" s="0" t="s">
        <v>100</v>
      </c>
      <c r="C1704" s="0" t="s">
        <v>6099</v>
      </c>
      <c r="D1704" s="0" t="n">
        <v>2019</v>
      </c>
      <c r="E1704" s="0" t="s">
        <v>66</v>
      </c>
      <c r="F1704" s="0" t="n">
        <v>1447830</v>
      </c>
      <c r="G1704" s="0" t="s">
        <v>3101</v>
      </c>
      <c r="H1704" s="0" t="s">
        <v>3068</v>
      </c>
      <c r="I1704" s="0" t="n">
        <v>1447830</v>
      </c>
      <c r="J1704" s="0" t="s">
        <v>6100</v>
      </c>
      <c r="K1704" s="0" t="s">
        <v>2684</v>
      </c>
      <c r="L1704" s="0" t="n">
        <v>2019</v>
      </c>
      <c r="M1704" s="0" t="s">
        <v>2258</v>
      </c>
      <c r="N1704" s="0" t="s">
        <v>110</v>
      </c>
      <c r="O1704" s="0" t="s">
        <v>6270</v>
      </c>
      <c r="P1704" s="0" t="s">
        <v>6271</v>
      </c>
      <c r="Q1704" s="0" t="n">
        <v>170</v>
      </c>
      <c r="R1704" s="0" t="n">
        <v>170</v>
      </c>
      <c r="T1704" s="0" t="s">
        <v>6272</v>
      </c>
      <c r="U1704" s="0" t="s">
        <v>4461</v>
      </c>
      <c r="V1704" s="0" t="s">
        <v>93</v>
      </c>
      <c r="W1704" s="0" t="s">
        <v>6308</v>
      </c>
      <c r="X1704" s="0" t="s">
        <v>6306</v>
      </c>
      <c r="Y1704" s="0" t="s">
        <v>4159</v>
      </c>
      <c r="Z1704" s="0" t="s">
        <v>4160</v>
      </c>
      <c r="AA1704" s="0" t="s">
        <v>6309</v>
      </c>
      <c r="AB1704" s="0" t="s">
        <v>6276</v>
      </c>
      <c r="AC1704" s="0" t="s">
        <v>4162</v>
      </c>
      <c r="AD1704" s="0" t="s">
        <v>4637</v>
      </c>
      <c r="AE1704" s="0" t="s">
        <v>1892</v>
      </c>
      <c r="AF1704" s="0" t="s">
        <v>6277</v>
      </c>
      <c r="AH1704" s="0" t="s">
        <v>2239</v>
      </c>
      <c r="AL1704" s="0" t="s">
        <v>523</v>
      </c>
    </row>
    <row r="1705" customFormat="false" ht="15" hidden="false" customHeight="false" outlineLevel="0" collapsed="false">
      <c r="A1705" s="0" t="s">
        <v>727</v>
      </c>
      <c r="B1705" s="0" t="s">
        <v>100</v>
      </c>
      <c r="C1705" s="0" t="s">
        <v>6099</v>
      </c>
      <c r="D1705" s="0" t="n">
        <v>2019</v>
      </c>
      <c r="E1705" s="0" t="s">
        <v>69</v>
      </c>
      <c r="F1705" s="0" t="s">
        <v>6310</v>
      </c>
      <c r="G1705" s="0" t="s">
        <v>3143</v>
      </c>
      <c r="I1705" s="0" t="n">
        <v>16.31</v>
      </c>
      <c r="J1705" s="0" t="s">
        <v>6100</v>
      </c>
      <c r="K1705" s="0" t="s">
        <v>2684</v>
      </c>
      <c r="L1705" s="0" t="n">
        <v>2019</v>
      </c>
      <c r="M1705" s="0" t="s">
        <v>2258</v>
      </c>
      <c r="N1705" s="0" t="s">
        <v>110</v>
      </c>
      <c r="O1705" s="0" t="s">
        <v>6270</v>
      </c>
      <c r="P1705" s="0" t="s">
        <v>6271</v>
      </c>
      <c r="Q1705" s="0" t="n">
        <v>170</v>
      </c>
      <c r="R1705" s="0" t="n">
        <v>170</v>
      </c>
      <c r="T1705" s="0" t="s">
        <v>6272</v>
      </c>
      <c r="U1705" s="0" t="s">
        <v>4461</v>
      </c>
      <c r="V1705" s="0" t="s">
        <v>93</v>
      </c>
      <c r="W1705" s="0" t="s">
        <v>6311</v>
      </c>
      <c r="X1705" s="0" t="s">
        <v>6306</v>
      </c>
      <c r="Y1705" s="0" t="s">
        <v>4159</v>
      </c>
      <c r="Z1705" s="0" t="s">
        <v>4160</v>
      </c>
      <c r="AA1705" s="0" t="s">
        <v>6312</v>
      </c>
      <c r="AB1705" s="0" t="s">
        <v>6276</v>
      </c>
      <c r="AC1705" s="0" t="s">
        <v>4162</v>
      </c>
      <c r="AD1705" s="0" t="s">
        <v>4637</v>
      </c>
      <c r="AE1705" s="0" t="s">
        <v>1892</v>
      </c>
      <c r="AF1705" s="0" t="s">
        <v>6277</v>
      </c>
      <c r="AH1705" s="0" t="s">
        <v>2239</v>
      </c>
      <c r="AL1705" s="0" t="s">
        <v>523</v>
      </c>
    </row>
    <row r="1706" customFormat="false" ht="15" hidden="false" customHeight="false" outlineLevel="0" collapsed="false">
      <c r="A1706" s="0" t="s">
        <v>728</v>
      </c>
      <c r="B1706" s="0" t="s">
        <v>100</v>
      </c>
      <c r="C1706" s="0" t="s">
        <v>6099</v>
      </c>
      <c r="D1706" s="0" t="n">
        <v>2019</v>
      </c>
      <c r="E1706" s="0" t="s">
        <v>614</v>
      </c>
      <c r="F1706" s="0" t="s">
        <v>6310</v>
      </c>
      <c r="G1706" s="0" t="s">
        <v>3143</v>
      </c>
      <c r="I1706" s="0" t="n">
        <v>16.31</v>
      </c>
      <c r="J1706" s="0" t="s">
        <v>6100</v>
      </c>
      <c r="K1706" s="0" t="s">
        <v>2684</v>
      </c>
      <c r="L1706" s="0" t="n">
        <v>2019</v>
      </c>
      <c r="M1706" s="0" t="s">
        <v>2258</v>
      </c>
      <c r="N1706" s="0" t="s">
        <v>110</v>
      </c>
      <c r="O1706" s="0" t="s">
        <v>6270</v>
      </c>
      <c r="P1706" s="0" t="s">
        <v>6271</v>
      </c>
      <c r="Q1706" s="0" t="n">
        <v>170</v>
      </c>
      <c r="R1706" s="0" t="n">
        <v>170</v>
      </c>
      <c r="T1706" s="0" t="s">
        <v>6272</v>
      </c>
      <c r="U1706" s="0" t="s">
        <v>4461</v>
      </c>
      <c r="V1706" s="0" t="s">
        <v>93</v>
      </c>
      <c r="W1706" s="0" t="s">
        <v>6311</v>
      </c>
      <c r="X1706" s="0" t="s">
        <v>6306</v>
      </c>
      <c r="Y1706" s="0" t="s">
        <v>4159</v>
      </c>
      <c r="Z1706" s="0" t="s">
        <v>4160</v>
      </c>
      <c r="AA1706" s="0" t="s">
        <v>6313</v>
      </c>
      <c r="AB1706" s="0" t="s">
        <v>6276</v>
      </c>
      <c r="AC1706" s="0" t="s">
        <v>4162</v>
      </c>
      <c r="AD1706" s="0" t="s">
        <v>4637</v>
      </c>
      <c r="AE1706" s="0" t="s">
        <v>1892</v>
      </c>
      <c r="AF1706" s="0" t="s">
        <v>6277</v>
      </c>
      <c r="AH1706" s="0" t="s">
        <v>2239</v>
      </c>
      <c r="AL1706" s="0" t="s">
        <v>523</v>
      </c>
    </row>
    <row r="1707" customFormat="false" ht="15" hidden="false" customHeight="false" outlineLevel="0" collapsed="false">
      <c r="A1707" s="0" t="s">
        <v>731</v>
      </c>
      <c r="B1707" s="0" t="s">
        <v>100</v>
      </c>
      <c r="C1707" s="0" t="s">
        <v>6099</v>
      </c>
      <c r="D1707" s="0" t="n">
        <v>2019</v>
      </c>
      <c r="E1707" s="0" t="s">
        <v>73</v>
      </c>
      <c r="F1707" s="0" t="n">
        <v>0</v>
      </c>
      <c r="G1707" s="0" t="s">
        <v>4257</v>
      </c>
      <c r="I1707" s="0" t="n">
        <v>0</v>
      </c>
      <c r="J1707" s="0" t="s">
        <v>6100</v>
      </c>
      <c r="K1707" s="0" t="s">
        <v>2684</v>
      </c>
      <c r="L1707" s="0" t="n">
        <v>2019</v>
      </c>
      <c r="M1707" s="0" t="s">
        <v>2258</v>
      </c>
      <c r="N1707" s="0" t="s">
        <v>110</v>
      </c>
      <c r="O1707" s="0" t="s">
        <v>6270</v>
      </c>
      <c r="P1707" s="0" t="s">
        <v>6271</v>
      </c>
      <c r="Q1707" s="0" t="n">
        <v>64</v>
      </c>
      <c r="R1707" s="0" t="n">
        <v>64</v>
      </c>
      <c r="T1707" s="0" t="s">
        <v>6139</v>
      </c>
      <c r="U1707" s="0" t="s">
        <v>4461</v>
      </c>
      <c r="V1707" s="0" t="s">
        <v>93</v>
      </c>
      <c r="W1707" s="0" t="s">
        <v>6267</v>
      </c>
      <c r="X1707" s="0" t="s">
        <v>6314</v>
      </c>
      <c r="Y1707" s="0" t="s">
        <v>4212</v>
      </c>
      <c r="Z1707" s="0" t="s">
        <v>4160</v>
      </c>
      <c r="AA1707" s="0" t="s">
        <v>6315</v>
      </c>
      <c r="AB1707" s="0" t="s">
        <v>6276</v>
      </c>
      <c r="AC1707" s="0" t="s">
        <v>4162</v>
      </c>
      <c r="AD1707" s="0" t="s">
        <v>4637</v>
      </c>
      <c r="AE1707" s="0" t="s">
        <v>1892</v>
      </c>
      <c r="AF1707" s="0" t="s">
        <v>6277</v>
      </c>
      <c r="AG1707" s="0" t="s">
        <v>1892</v>
      </c>
      <c r="AH1707" s="0" t="s">
        <v>2239</v>
      </c>
      <c r="AL1707" s="0" t="s">
        <v>539</v>
      </c>
    </row>
    <row r="1708" customFormat="false" ht="15" hidden="false" customHeight="false" outlineLevel="0" collapsed="false">
      <c r="A1708" s="0" t="s">
        <v>734</v>
      </c>
      <c r="B1708" s="0" t="s">
        <v>100</v>
      </c>
      <c r="C1708" s="0" t="s">
        <v>6099</v>
      </c>
      <c r="D1708" s="0" t="n">
        <v>2020</v>
      </c>
      <c r="E1708" s="0" t="s">
        <v>55</v>
      </c>
      <c r="F1708" s="0" t="n">
        <v>2186712</v>
      </c>
      <c r="G1708" s="0" t="s">
        <v>3101</v>
      </c>
      <c r="H1708" s="0" t="s">
        <v>3068</v>
      </c>
      <c r="I1708" s="0" t="n">
        <v>2186712</v>
      </c>
      <c r="J1708" s="0" t="s">
        <v>6100</v>
      </c>
      <c r="K1708" s="0" t="s">
        <v>2685</v>
      </c>
      <c r="L1708" s="0" t="n">
        <v>2020</v>
      </c>
      <c r="M1708" s="0" t="s">
        <v>2263</v>
      </c>
      <c r="N1708" s="0" t="s">
        <v>111</v>
      </c>
      <c r="O1708" s="0" t="s">
        <v>6316</v>
      </c>
      <c r="P1708" s="0" t="s">
        <v>6317</v>
      </c>
      <c r="Q1708" s="0" t="n">
        <v>81</v>
      </c>
      <c r="R1708" s="0" t="n">
        <v>81</v>
      </c>
      <c r="T1708" s="0" t="s">
        <v>4983</v>
      </c>
      <c r="U1708" s="0" t="s">
        <v>4201</v>
      </c>
      <c r="V1708" s="0" t="s">
        <v>95</v>
      </c>
      <c r="W1708" s="0" t="s">
        <v>6318</v>
      </c>
      <c r="X1708" s="0" t="s">
        <v>6319</v>
      </c>
      <c r="Y1708" s="0" t="s">
        <v>4159</v>
      </c>
      <c r="Z1708" s="0" t="s">
        <v>4160</v>
      </c>
      <c r="AA1708" s="0" t="s">
        <v>6320</v>
      </c>
      <c r="AB1708" s="0" t="s">
        <v>6321</v>
      </c>
      <c r="AC1708" s="0" t="s">
        <v>4162</v>
      </c>
      <c r="AD1708" s="0" t="s">
        <v>4637</v>
      </c>
      <c r="AE1708" s="0" t="s">
        <v>1892</v>
      </c>
      <c r="AF1708" s="0" t="s">
        <v>6322</v>
      </c>
      <c r="AH1708" s="0" t="s">
        <v>2239</v>
      </c>
      <c r="AL1708" s="0" t="s">
        <v>523</v>
      </c>
    </row>
    <row r="1709" customFormat="false" ht="15" hidden="false" customHeight="false" outlineLevel="0" collapsed="false">
      <c r="A1709" s="0" t="s">
        <v>735</v>
      </c>
      <c r="B1709" s="0" t="s">
        <v>100</v>
      </c>
      <c r="C1709" s="0" t="s">
        <v>6099</v>
      </c>
      <c r="D1709" s="0" t="n">
        <v>2020</v>
      </c>
      <c r="E1709" s="0" t="s">
        <v>56</v>
      </c>
      <c r="F1709" s="0" t="n">
        <v>1887991</v>
      </c>
      <c r="G1709" s="0" t="s">
        <v>3101</v>
      </c>
      <c r="H1709" s="0" t="s">
        <v>3068</v>
      </c>
      <c r="I1709" s="0" t="n">
        <v>1887991</v>
      </c>
      <c r="J1709" s="0" t="s">
        <v>6100</v>
      </c>
      <c r="K1709" s="0" t="s">
        <v>2685</v>
      </c>
      <c r="L1709" s="0" t="n">
        <v>2020</v>
      </c>
      <c r="M1709" s="0" t="s">
        <v>2263</v>
      </c>
      <c r="N1709" s="0" t="s">
        <v>111</v>
      </c>
      <c r="O1709" s="0" t="s">
        <v>6316</v>
      </c>
      <c r="P1709" s="0" t="s">
        <v>6317</v>
      </c>
      <c r="Q1709" s="0" t="n">
        <v>81</v>
      </c>
      <c r="R1709" s="0" t="n">
        <v>81</v>
      </c>
      <c r="T1709" s="0" t="s">
        <v>4983</v>
      </c>
      <c r="U1709" s="0" t="s">
        <v>4201</v>
      </c>
      <c r="V1709" s="0" t="s">
        <v>95</v>
      </c>
      <c r="W1709" s="0" t="s">
        <v>6323</v>
      </c>
      <c r="X1709" s="0" t="s">
        <v>6319</v>
      </c>
      <c r="Y1709" s="0" t="s">
        <v>4159</v>
      </c>
      <c r="Z1709" s="0" t="s">
        <v>4160</v>
      </c>
      <c r="AA1709" s="0" t="s">
        <v>6324</v>
      </c>
      <c r="AB1709" s="0" t="s">
        <v>6321</v>
      </c>
      <c r="AC1709" s="0" t="s">
        <v>4162</v>
      </c>
      <c r="AD1709" s="0" t="s">
        <v>4637</v>
      </c>
      <c r="AE1709" s="0" t="s">
        <v>1892</v>
      </c>
      <c r="AF1709" s="0" t="s">
        <v>6322</v>
      </c>
      <c r="AH1709" s="0" t="s">
        <v>2239</v>
      </c>
      <c r="AL1709" s="0" t="s">
        <v>523</v>
      </c>
    </row>
    <row r="1710" customFormat="false" ht="15" hidden="false" customHeight="false" outlineLevel="0" collapsed="false">
      <c r="A1710" s="0" t="s">
        <v>736</v>
      </c>
      <c r="B1710" s="0" t="s">
        <v>100</v>
      </c>
      <c r="C1710" s="0" t="s">
        <v>6099</v>
      </c>
      <c r="D1710" s="0" t="n">
        <v>2020</v>
      </c>
      <c r="E1710" s="0" t="s">
        <v>57</v>
      </c>
      <c r="F1710" s="0" t="n">
        <v>298721</v>
      </c>
      <c r="G1710" s="0" t="s">
        <v>3101</v>
      </c>
      <c r="H1710" s="0" t="s">
        <v>3068</v>
      </c>
      <c r="I1710" s="0" t="n">
        <v>298721</v>
      </c>
      <c r="J1710" s="0" t="s">
        <v>6100</v>
      </c>
      <c r="K1710" s="0" t="s">
        <v>2685</v>
      </c>
      <c r="L1710" s="0" t="n">
        <v>2020</v>
      </c>
      <c r="M1710" s="0" t="s">
        <v>2263</v>
      </c>
      <c r="N1710" s="0" t="s">
        <v>111</v>
      </c>
      <c r="O1710" s="0" t="s">
        <v>6316</v>
      </c>
      <c r="P1710" s="0" t="s">
        <v>6317</v>
      </c>
      <c r="Q1710" s="0" t="n">
        <v>81</v>
      </c>
      <c r="R1710" s="0" t="n">
        <v>81</v>
      </c>
      <c r="T1710" s="0" t="s">
        <v>4983</v>
      </c>
      <c r="U1710" s="0" t="s">
        <v>4201</v>
      </c>
      <c r="V1710" s="0" t="s">
        <v>95</v>
      </c>
      <c r="W1710" s="0" t="s">
        <v>6325</v>
      </c>
      <c r="X1710" s="0" t="s">
        <v>6319</v>
      </c>
      <c r="Y1710" s="0" t="s">
        <v>4159</v>
      </c>
      <c r="Z1710" s="0" t="s">
        <v>4160</v>
      </c>
      <c r="AA1710" s="0" t="s">
        <v>6326</v>
      </c>
      <c r="AB1710" s="0" t="s">
        <v>6321</v>
      </c>
      <c r="AC1710" s="0" t="s">
        <v>4162</v>
      </c>
      <c r="AD1710" s="0" t="s">
        <v>4637</v>
      </c>
      <c r="AE1710" s="0" t="s">
        <v>1892</v>
      </c>
      <c r="AF1710" s="0" t="s">
        <v>6322</v>
      </c>
      <c r="AH1710" s="0" t="s">
        <v>2239</v>
      </c>
      <c r="AL1710" s="0" t="s">
        <v>523</v>
      </c>
    </row>
    <row r="1711" customFormat="false" ht="15" hidden="false" customHeight="false" outlineLevel="0" collapsed="false">
      <c r="A1711" s="0" t="s">
        <v>733</v>
      </c>
      <c r="B1711" s="0" t="s">
        <v>100</v>
      </c>
      <c r="C1711" s="0" t="s">
        <v>6099</v>
      </c>
      <c r="D1711" s="0" t="n">
        <v>2020</v>
      </c>
      <c r="E1711" s="0" t="s">
        <v>54</v>
      </c>
      <c r="F1711" s="0" t="n">
        <v>8087</v>
      </c>
      <c r="G1711" s="0" t="s">
        <v>3101</v>
      </c>
      <c r="H1711" s="0" t="s">
        <v>3068</v>
      </c>
      <c r="I1711" s="0" t="n">
        <v>8087</v>
      </c>
      <c r="J1711" s="0" t="s">
        <v>6100</v>
      </c>
      <c r="K1711" s="0" t="s">
        <v>2685</v>
      </c>
      <c r="L1711" s="0" t="n">
        <v>2020</v>
      </c>
      <c r="M1711" s="0" t="s">
        <v>2263</v>
      </c>
      <c r="N1711" s="0" t="s">
        <v>111</v>
      </c>
      <c r="O1711" s="0" t="s">
        <v>6316</v>
      </c>
      <c r="P1711" s="0" t="s">
        <v>6317</v>
      </c>
      <c r="Q1711" s="0" t="n">
        <v>80</v>
      </c>
      <c r="R1711" s="0" t="n">
        <v>80</v>
      </c>
      <c r="T1711" s="0" t="s">
        <v>4983</v>
      </c>
      <c r="U1711" s="0" t="s">
        <v>4201</v>
      </c>
      <c r="V1711" s="0" t="s">
        <v>95</v>
      </c>
      <c r="W1711" s="0" t="s">
        <v>6327</v>
      </c>
      <c r="X1711" s="0" t="s">
        <v>6328</v>
      </c>
      <c r="Y1711" s="0" t="s">
        <v>4159</v>
      </c>
      <c r="Z1711" s="0" t="s">
        <v>4160</v>
      </c>
      <c r="AA1711" s="0" t="s">
        <v>6329</v>
      </c>
      <c r="AB1711" s="0" t="s">
        <v>6321</v>
      </c>
      <c r="AC1711" s="0" t="s">
        <v>4162</v>
      </c>
      <c r="AD1711" s="0" t="s">
        <v>4637</v>
      </c>
      <c r="AE1711" s="0" t="s">
        <v>1892</v>
      </c>
      <c r="AF1711" s="0" t="s">
        <v>6322</v>
      </c>
      <c r="AH1711" s="0" t="s">
        <v>2239</v>
      </c>
      <c r="AL1711" s="0" t="s">
        <v>523</v>
      </c>
    </row>
    <row r="1712" customFormat="false" ht="15" hidden="false" customHeight="false" outlineLevel="0" collapsed="false">
      <c r="A1712" s="0" t="s">
        <v>750</v>
      </c>
      <c r="B1712" s="0" t="s">
        <v>100</v>
      </c>
      <c r="C1712" s="0" t="s">
        <v>6099</v>
      </c>
      <c r="D1712" s="0" t="n">
        <v>2020</v>
      </c>
      <c r="E1712" s="0" t="s">
        <v>541</v>
      </c>
      <c r="F1712" s="0" t="n">
        <v>8639</v>
      </c>
      <c r="G1712" s="0" t="s">
        <v>3101</v>
      </c>
      <c r="H1712" s="0" t="s">
        <v>3068</v>
      </c>
      <c r="I1712" s="0" t="n">
        <v>8639</v>
      </c>
      <c r="J1712" s="0" t="s">
        <v>6100</v>
      </c>
      <c r="K1712" s="0" t="s">
        <v>2685</v>
      </c>
      <c r="L1712" s="0" t="n">
        <v>2020</v>
      </c>
      <c r="M1712" s="0" t="s">
        <v>2263</v>
      </c>
      <c r="N1712" s="0" t="s">
        <v>111</v>
      </c>
      <c r="O1712" s="0" t="s">
        <v>6316</v>
      </c>
      <c r="P1712" s="0" t="s">
        <v>6317</v>
      </c>
      <c r="Q1712" s="0" t="n">
        <v>80</v>
      </c>
      <c r="R1712" s="0" t="n">
        <v>80</v>
      </c>
      <c r="T1712" s="0" t="s">
        <v>4983</v>
      </c>
      <c r="U1712" s="0" t="s">
        <v>4201</v>
      </c>
      <c r="V1712" s="0" t="s">
        <v>95</v>
      </c>
      <c r="W1712" s="0" t="s">
        <v>6330</v>
      </c>
      <c r="X1712" s="0" t="s">
        <v>6328</v>
      </c>
      <c r="Y1712" s="0" t="s">
        <v>4159</v>
      </c>
      <c r="Z1712" s="0" t="s">
        <v>4160</v>
      </c>
      <c r="AA1712" s="0" t="s">
        <v>6331</v>
      </c>
      <c r="AB1712" s="0" t="s">
        <v>6321</v>
      </c>
      <c r="AC1712" s="0" t="s">
        <v>4162</v>
      </c>
      <c r="AD1712" s="0" t="s">
        <v>4637</v>
      </c>
      <c r="AE1712" s="0" t="s">
        <v>1892</v>
      </c>
      <c r="AF1712" s="0" t="s">
        <v>6322</v>
      </c>
      <c r="AH1712" s="0" t="s">
        <v>2239</v>
      </c>
      <c r="AL1712" s="0" t="s">
        <v>523</v>
      </c>
    </row>
    <row r="1713" customFormat="false" ht="15" hidden="false" customHeight="false" outlineLevel="0" collapsed="false">
      <c r="A1713" s="0" t="s">
        <v>737</v>
      </c>
      <c r="B1713" s="0" t="s">
        <v>100</v>
      </c>
      <c r="C1713" s="0" t="s">
        <v>6099</v>
      </c>
      <c r="D1713" s="0" t="n">
        <v>2020</v>
      </c>
      <c r="E1713" s="0" t="s">
        <v>58</v>
      </c>
      <c r="F1713" s="0" t="n">
        <v>-13271</v>
      </c>
      <c r="G1713" s="0" t="s">
        <v>3101</v>
      </c>
      <c r="H1713" s="0" t="s">
        <v>3068</v>
      </c>
      <c r="I1713" s="0" t="n">
        <v>-13271</v>
      </c>
      <c r="J1713" s="0" t="s">
        <v>6100</v>
      </c>
      <c r="K1713" s="0" t="s">
        <v>2685</v>
      </c>
      <c r="L1713" s="0" t="n">
        <v>2020</v>
      </c>
      <c r="M1713" s="0" t="s">
        <v>2263</v>
      </c>
      <c r="N1713" s="0" t="s">
        <v>111</v>
      </c>
      <c r="O1713" s="0" t="s">
        <v>6316</v>
      </c>
      <c r="P1713" s="0" t="s">
        <v>6317</v>
      </c>
      <c r="Q1713" s="0" t="n">
        <v>84</v>
      </c>
      <c r="R1713" s="0" t="n">
        <v>84</v>
      </c>
      <c r="T1713" s="0" t="s">
        <v>4983</v>
      </c>
      <c r="U1713" s="0" t="s">
        <v>4201</v>
      </c>
      <c r="V1713" s="0" t="s">
        <v>95</v>
      </c>
      <c r="W1713" s="0" t="s">
        <v>6332</v>
      </c>
      <c r="X1713" s="0" t="s">
        <v>6333</v>
      </c>
      <c r="Y1713" s="0" t="s">
        <v>4159</v>
      </c>
      <c r="Z1713" s="0" t="s">
        <v>4160</v>
      </c>
      <c r="AA1713" s="0" t="s">
        <v>6334</v>
      </c>
      <c r="AB1713" s="0" t="s">
        <v>6321</v>
      </c>
      <c r="AC1713" s="0" t="s">
        <v>4162</v>
      </c>
      <c r="AD1713" s="0" t="s">
        <v>4637</v>
      </c>
      <c r="AE1713" s="0" t="s">
        <v>1892</v>
      </c>
      <c r="AF1713" s="0" t="s">
        <v>6322</v>
      </c>
      <c r="AH1713" s="0" t="s">
        <v>2239</v>
      </c>
      <c r="AL1713" s="0" t="s">
        <v>523</v>
      </c>
    </row>
    <row r="1714" customFormat="false" ht="15" hidden="false" customHeight="false" outlineLevel="0" collapsed="false">
      <c r="A1714" s="0" t="s">
        <v>738</v>
      </c>
      <c r="B1714" s="0" t="s">
        <v>100</v>
      </c>
      <c r="C1714" s="0" t="s">
        <v>6099</v>
      </c>
      <c r="D1714" s="0" t="n">
        <v>2020</v>
      </c>
      <c r="E1714" s="0" t="s">
        <v>59</v>
      </c>
      <c r="F1714" s="0" t="n">
        <v>1991040</v>
      </c>
      <c r="G1714" s="0" t="s">
        <v>3101</v>
      </c>
      <c r="H1714" s="0" t="s">
        <v>3068</v>
      </c>
      <c r="I1714" s="0" t="n">
        <v>1991040</v>
      </c>
      <c r="J1714" s="0" t="s">
        <v>6100</v>
      </c>
      <c r="K1714" s="0" t="s">
        <v>2685</v>
      </c>
      <c r="L1714" s="0" t="n">
        <v>2020</v>
      </c>
      <c r="M1714" s="0" t="s">
        <v>2263</v>
      </c>
      <c r="N1714" s="0" t="s">
        <v>111</v>
      </c>
      <c r="O1714" s="0" t="s">
        <v>6316</v>
      </c>
      <c r="P1714" s="0" t="s">
        <v>6317</v>
      </c>
      <c r="Q1714" s="0" t="n">
        <v>81</v>
      </c>
      <c r="R1714" s="0" t="n">
        <v>81</v>
      </c>
      <c r="T1714" s="0" t="s">
        <v>6335</v>
      </c>
      <c r="U1714" s="0" t="s">
        <v>6336</v>
      </c>
      <c r="V1714" s="0" t="s">
        <v>95</v>
      </c>
      <c r="W1714" s="0" t="s">
        <v>6318</v>
      </c>
      <c r="X1714" s="0" t="s">
        <v>6319</v>
      </c>
      <c r="Y1714" s="0" t="s">
        <v>4159</v>
      </c>
      <c r="Z1714" s="0" t="s">
        <v>4160</v>
      </c>
      <c r="AA1714" s="0" t="s">
        <v>6337</v>
      </c>
      <c r="AB1714" s="0" t="s">
        <v>6321</v>
      </c>
      <c r="AC1714" s="0" t="s">
        <v>4162</v>
      </c>
      <c r="AD1714" s="0" t="s">
        <v>4637</v>
      </c>
      <c r="AE1714" s="0" t="s">
        <v>1892</v>
      </c>
      <c r="AF1714" s="0" t="s">
        <v>6338</v>
      </c>
      <c r="AH1714" s="0" t="s">
        <v>2239</v>
      </c>
      <c r="AL1714" s="0" t="s">
        <v>523</v>
      </c>
    </row>
    <row r="1715" customFormat="false" ht="15" hidden="false" customHeight="false" outlineLevel="0" collapsed="false">
      <c r="A1715" s="0" t="s">
        <v>742</v>
      </c>
      <c r="B1715" s="0" t="s">
        <v>100</v>
      </c>
      <c r="C1715" s="0" t="s">
        <v>6099</v>
      </c>
      <c r="D1715" s="0" t="n">
        <v>2020</v>
      </c>
      <c r="E1715" s="0" t="s">
        <v>63</v>
      </c>
      <c r="F1715" s="0" t="n">
        <v>-9164</v>
      </c>
      <c r="G1715" s="0" t="s">
        <v>3101</v>
      </c>
      <c r="H1715" s="0" t="s">
        <v>3068</v>
      </c>
      <c r="I1715" s="0" t="n">
        <v>9164</v>
      </c>
      <c r="J1715" s="0" t="s">
        <v>6100</v>
      </c>
      <c r="K1715" s="0" t="s">
        <v>2685</v>
      </c>
      <c r="L1715" s="0" t="n">
        <v>2020</v>
      </c>
      <c r="M1715" s="0" t="s">
        <v>2263</v>
      </c>
      <c r="N1715" s="0" t="s">
        <v>111</v>
      </c>
      <c r="O1715" s="0" t="s">
        <v>6316</v>
      </c>
      <c r="P1715" s="0" t="s">
        <v>6317</v>
      </c>
      <c r="Q1715" s="0" t="n">
        <v>80</v>
      </c>
      <c r="R1715" s="0" t="n">
        <v>80</v>
      </c>
      <c r="S1715" s="0" t="n">
        <v>9</v>
      </c>
      <c r="T1715" s="0" t="s">
        <v>4983</v>
      </c>
      <c r="U1715" s="0" t="s">
        <v>4201</v>
      </c>
      <c r="V1715" s="0" t="s">
        <v>95</v>
      </c>
      <c r="W1715" s="0" t="s">
        <v>6339</v>
      </c>
      <c r="X1715" s="0" t="s">
        <v>6328</v>
      </c>
      <c r="Y1715" s="0" t="s">
        <v>4159</v>
      </c>
      <c r="Z1715" s="0" t="s">
        <v>4160</v>
      </c>
      <c r="AA1715" s="0" t="s">
        <v>6340</v>
      </c>
      <c r="AB1715" s="0" t="s">
        <v>6321</v>
      </c>
      <c r="AC1715" s="0" t="s">
        <v>4162</v>
      </c>
      <c r="AD1715" s="0" t="s">
        <v>4637</v>
      </c>
      <c r="AE1715" s="0" t="s">
        <v>1892</v>
      </c>
      <c r="AF1715" s="0" t="s">
        <v>6322</v>
      </c>
      <c r="AH1715" s="0" t="s">
        <v>4174</v>
      </c>
      <c r="AI1715" s="0" t="s">
        <v>4974</v>
      </c>
      <c r="AL1715" s="0" t="s">
        <v>523</v>
      </c>
    </row>
    <row r="1716" customFormat="false" ht="15" hidden="false" customHeight="false" outlineLevel="0" collapsed="false">
      <c r="A1716" s="0" t="s">
        <v>739</v>
      </c>
      <c r="B1716" s="0" t="s">
        <v>100</v>
      </c>
      <c r="C1716" s="0" t="s">
        <v>6099</v>
      </c>
      <c r="D1716" s="0" t="n">
        <v>2020</v>
      </c>
      <c r="E1716" s="0" t="s">
        <v>60</v>
      </c>
      <c r="F1716" s="0" t="n">
        <v>993191</v>
      </c>
      <c r="G1716" s="0" t="s">
        <v>3101</v>
      </c>
      <c r="H1716" s="0" t="s">
        <v>3068</v>
      </c>
      <c r="I1716" s="0" t="n">
        <v>993191</v>
      </c>
      <c r="J1716" s="0" t="s">
        <v>6100</v>
      </c>
      <c r="K1716" s="0" t="s">
        <v>2685</v>
      </c>
      <c r="L1716" s="0" t="n">
        <v>2020</v>
      </c>
      <c r="M1716" s="0" t="s">
        <v>2263</v>
      </c>
      <c r="N1716" s="0" t="s">
        <v>111</v>
      </c>
      <c r="O1716" s="0" t="s">
        <v>6316</v>
      </c>
      <c r="P1716" s="0" t="s">
        <v>6317</v>
      </c>
      <c r="Q1716" s="0" t="n">
        <v>115</v>
      </c>
      <c r="R1716" s="0" t="n">
        <v>115</v>
      </c>
      <c r="S1716" s="0" t="n">
        <v>19.1</v>
      </c>
      <c r="T1716" s="0" t="s">
        <v>4983</v>
      </c>
      <c r="U1716" s="0" t="s">
        <v>4201</v>
      </c>
      <c r="V1716" s="0" t="s">
        <v>95</v>
      </c>
      <c r="W1716" s="0" t="s">
        <v>6341</v>
      </c>
      <c r="X1716" s="0" t="s">
        <v>6342</v>
      </c>
      <c r="Y1716" s="0" t="s">
        <v>4159</v>
      </c>
      <c r="Z1716" s="0" t="s">
        <v>4160</v>
      </c>
      <c r="AA1716" s="0" t="s">
        <v>6343</v>
      </c>
      <c r="AB1716" s="0" t="s">
        <v>6321</v>
      </c>
      <c r="AC1716" s="0" t="s">
        <v>4162</v>
      </c>
      <c r="AD1716" s="0" t="s">
        <v>4637</v>
      </c>
      <c r="AE1716" s="0" t="s">
        <v>1892</v>
      </c>
      <c r="AF1716" s="0" t="s">
        <v>6322</v>
      </c>
      <c r="AH1716" s="0" t="s">
        <v>2239</v>
      </c>
      <c r="AL1716" s="0" t="s">
        <v>523</v>
      </c>
    </row>
    <row r="1717" customFormat="false" ht="15" hidden="false" customHeight="false" outlineLevel="0" collapsed="false">
      <c r="A1717" s="0" t="s">
        <v>740</v>
      </c>
      <c r="B1717" s="0" t="s">
        <v>100</v>
      </c>
      <c r="C1717" s="0" t="s">
        <v>6099</v>
      </c>
      <c r="D1717" s="0" t="n">
        <v>2020</v>
      </c>
      <c r="E1717" s="0" t="s">
        <v>61</v>
      </c>
      <c r="F1717" s="0" t="n">
        <v>-111609</v>
      </c>
      <c r="G1717" s="0" t="s">
        <v>3101</v>
      </c>
      <c r="H1717" s="0" t="s">
        <v>3068</v>
      </c>
      <c r="I1717" s="0" t="n">
        <v>111609</v>
      </c>
      <c r="J1717" s="0" t="s">
        <v>6100</v>
      </c>
      <c r="K1717" s="0" t="s">
        <v>2685</v>
      </c>
      <c r="L1717" s="0" t="n">
        <v>2020</v>
      </c>
      <c r="M1717" s="0" t="s">
        <v>2263</v>
      </c>
      <c r="N1717" s="0" t="s">
        <v>111</v>
      </c>
      <c r="O1717" s="0" t="s">
        <v>6316</v>
      </c>
      <c r="P1717" s="0" t="s">
        <v>6317</v>
      </c>
      <c r="Q1717" s="0" t="n">
        <v>115</v>
      </c>
      <c r="R1717" s="0" t="n">
        <v>115</v>
      </c>
      <c r="S1717" s="0" t="n">
        <v>19.1</v>
      </c>
      <c r="T1717" s="0" t="s">
        <v>4983</v>
      </c>
      <c r="U1717" s="0" t="s">
        <v>4201</v>
      </c>
      <c r="V1717" s="0" t="s">
        <v>95</v>
      </c>
      <c r="W1717" s="0" t="s">
        <v>6344</v>
      </c>
      <c r="X1717" s="0" t="s">
        <v>6342</v>
      </c>
      <c r="Y1717" s="0" t="s">
        <v>4159</v>
      </c>
      <c r="Z1717" s="0" t="s">
        <v>4160</v>
      </c>
      <c r="AA1717" s="0" t="s">
        <v>6345</v>
      </c>
      <c r="AB1717" s="0" t="s">
        <v>6321</v>
      </c>
      <c r="AC1717" s="0" t="s">
        <v>4162</v>
      </c>
      <c r="AD1717" s="0" t="s">
        <v>4637</v>
      </c>
      <c r="AE1717" s="0" t="s">
        <v>1892</v>
      </c>
      <c r="AF1717" s="0" t="s">
        <v>6322</v>
      </c>
      <c r="AH1717" s="0" t="s">
        <v>4174</v>
      </c>
      <c r="AI1717" s="0" t="s">
        <v>4781</v>
      </c>
      <c r="AL1717" s="0" t="s">
        <v>523</v>
      </c>
    </row>
    <row r="1718" customFormat="false" ht="15" hidden="false" customHeight="false" outlineLevel="0" collapsed="false">
      <c r="A1718" s="0" t="s">
        <v>741</v>
      </c>
      <c r="B1718" s="0" t="s">
        <v>100</v>
      </c>
      <c r="C1718" s="0" t="s">
        <v>6099</v>
      </c>
      <c r="D1718" s="0" t="n">
        <v>2020</v>
      </c>
      <c r="E1718" s="0" t="s">
        <v>62</v>
      </c>
      <c r="F1718" s="0" t="n">
        <v>881582</v>
      </c>
      <c r="G1718" s="0" t="s">
        <v>3101</v>
      </c>
      <c r="H1718" s="0" t="s">
        <v>3068</v>
      </c>
      <c r="I1718" s="0" t="n">
        <v>881582</v>
      </c>
      <c r="J1718" s="0" t="s">
        <v>6100</v>
      </c>
      <c r="K1718" s="0" t="s">
        <v>2685</v>
      </c>
      <c r="L1718" s="0" t="n">
        <v>2020</v>
      </c>
      <c r="M1718" s="0" t="s">
        <v>2263</v>
      </c>
      <c r="N1718" s="0" t="s">
        <v>111</v>
      </c>
      <c r="O1718" s="0" t="s">
        <v>6316</v>
      </c>
      <c r="P1718" s="0" t="s">
        <v>6317</v>
      </c>
      <c r="Q1718" s="0" t="n">
        <v>81</v>
      </c>
      <c r="R1718" s="0" t="n">
        <v>81</v>
      </c>
      <c r="S1718" s="0" t="n">
        <v>19</v>
      </c>
      <c r="T1718" s="0" t="s">
        <v>4983</v>
      </c>
      <c r="U1718" s="0" t="s">
        <v>4201</v>
      </c>
      <c r="V1718" s="0" t="s">
        <v>95</v>
      </c>
      <c r="W1718" s="0" t="s">
        <v>6346</v>
      </c>
      <c r="X1718" s="0" t="s">
        <v>6319</v>
      </c>
      <c r="Y1718" s="0" t="s">
        <v>4159</v>
      </c>
      <c r="Z1718" s="0" t="s">
        <v>4160</v>
      </c>
      <c r="AA1718" s="0" t="s">
        <v>6347</v>
      </c>
      <c r="AB1718" s="0" t="s">
        <v>6321</v>
      </c>
      <c r="AC1718" s="0" t="s">
        <v>4162</v>
      </c>
      <c r="AD1718" s="0" t="s">
        <v>4637</v>
      </c>
      <c r="AE1718" s="0" t="s">
        <v>1892</v>
      </c>
      <c r="AF1718" s="0" t="s">
        <v>6322</v>
      </c>
      <c r="AH1718" s="0" t="s">
        <v>2239</v>
      </c>
      <c r="AL1718" s="0" t="s">
        <v>523</v>
      </c>
    </row>
    <row r="1719" customFormat="false" ht="15" hidden="false" customHeight="false" outlineLevel="0" collapsed="false">
      <c r="A1719" s="0" t="s">
        <v>743</v>
      </c>
      <c r="B1719" s="0" t="s">
        <v>100</v>
      </c>
      <c r="C1719" s="0" t="s">
        <v>6099</v>
      </c>
      <c r="D1719" s="0" t="n">
        <v>2020</v>
      </c>
      <c r="E1719" s="0" t="s">
        <v>64</v>
      </c>
      <c r="F1719" s="0" t="n">
        <v>197204</v>
      </c>
      <c r="G1719" s="0" t="s">
        <v>3101</v>
      </c>
      <c r="H1719" s="0" t="s">
        <v>3068</v>
      </c>
      <c r="I1719" s="0" t="n">
        <v>197204</v>
      </c>
      <c r="J1719" s="0" t="s">
        <v>6100</v>
      </c>
      <c r="K1719" s="0" t="s">
        <v>2685</v>
      </c>
      <c r="L1719" s="0" t="n">
        <v>2020</v>
      </c>
      <c r="M1719" s="0" t="s">
        <v>2263</v>
      </c>
      <c r="N1719" s="0" t="s">
        <v>111</v>
      </c>
      <c r="O1719" s="0" t="s">
        <v>6316</v>
      </c>
      <c r="P1719" s="0" t="s">
        <v>6317</v>
      </c>
      <c r="Q1719" s="0" t="n">
        <v>115</v>
      </c>
      <c r="R1719" s="0" t="n">
        <v>115</v>
      </c>
      <c r="S1719" s="0" t="n">
        <v>19.1</v>
      </c>
      <c r="T1719" s="0" t="s">
        <v>4983</v>
      </c>
      <c r="U1719" s="0" t="s">
        <v>4201</v>
      </c>
      <c r="V1719" s="0" t="s">
        <v>95</v>
      </c>
      <c r="W1719" s="0" t="s">
        <v>6348</v>
      </c>
      <c r="X1719" s="0" t="s">
        <v>6342</v>
      </c>
      <c r="Y1719" s="0" t="s">
        <v>4159</v>
      </c>
      <c r="Z1719" s="0" t="s">
        <v>4160</v>
      </c>
      <c r="AA1719" s="0" t="s">
        <v>6349</v>
      </c>
      <c r="AB1719" s="0" t="s">
        <v>6321</v>
      </c>
      <c r="AC1719" s="0" t="s">
        <v>4162</v>
      </c>
      <c r="AD1719" s="0" t="s">
        <v>4637</v>
      </c>
      <c r="AE1719" s="0" t="s">
        <v>1892</v>
      </c>
      <c r="AF1719" s="0" t="s">
        <v>6322</v>
      </c>
      <c r="AH1719" s="0" t="s">
        <v>2239</v>
      </c>
      <c r="AL1719" s="0" t="s">
        <v>523</v>
      </c>
    </row>
    <row r="1720" customFormat="false" ht="15" hidden="false" customHeight="false" outlineLevel="0" collapsed="false">
      <c r="A1720" s="0" t="s">
        <v>747</v>
      </c>
      <c r="B1720" s="0" t="s">
        <v>100</v>
      </c>
      <c r="C1720" s="0" t="s">
        <v>6099</v>
      </c>
      <c r="D1720" s="0" t="n">
        <v>2020</v>
      </c>
      <c r="E1720" s="0" t="s">
        <v>65</v>
      </c>
      <c r="F1720" s="0" t="n">
        <v>301364</v>
      </c>
      <c r="G1720" s="0" t="s">
        <v>3101</v>
      </c>
      <c r="H1720" s="0" t="s">
        <v>3068</v>
      </c>
      <c r="I1720" s="0" t="n">
        <v>301364</v>
      </c>
      <c r="J1720" s="0" t="s">
        <v>6100</v>
      </c>
      <c r="K1720" s="0" t="s">
        <v>2685</v>
      </c>
      <c r="L1720" s="0" t="n">
        <v>2020</v>
      </c>
      <c r="M1720" s="0" t="s">
        <v>2263</v>
      </c>
      <c r="N1720" s="0" t="s">
        <v>111</v>
      </c>
      <c r="O1720" s="0" t="s">
        <v>6316</v>
      </c>
      <c r="P1720" s="0" t="s">
        <v>6317</v>
      </c>
      <c r="Q1720" s="0" t="n">
        <v>177</v>
      </c>
      <c r="R1720" s="0" t="n">
        <v>177</v>
      </c>
      <c r="T1720" s="0" t="s">
        <v>4983</v>
      </c>
      <c r="U1720" s="0" t="s">
        <v>4201</v>
      </c>
      <c r="V1720" s="0" t="s">
        <v>95</v>
      </c>
      <c r="W1720" s="0" t="s">
        <v>6350</v>
      </c>
      <c r="X1720" s="0" t="s">
        <v>6351</v>
      </c>
      <c r="Y1720" s="0" t="s">
        <v>4159</v>
      </c>
      <c r="Z1720" s="0" t="s">
        <v>4160</v>
      </c>
      <c r="AA1720" s="0" t="s">
        <v>6352</v>
      </c>
      <c r="AB1720" s="0" t="s">
        <v>6321</v>
      </c>
      <c r="AC1720" s="0" t="s">
        <v>4162</v>
      </c>
      <c r="AD1720" s="0" t="s">
        <v>4637</v>
      </c>
      <c r="AE1720" s="0" t="s">
        <v>1892</v>
      </c>
      <c r="AF1720" s="0" t="s">
        <v>6322</v>
      </c>
      <c r="AH1720" s="0" t="s">
        <v>2239</v>
      </c>
      <c r="AL1720" s="0" t="s">
        <v>523</v>
      </c>
    </row>
    <row r="1721" customFormat="false" ht="15" hidden="false" customHeight="false" outlineLevel="0" collapsed="false">
      <c r="A1721" s="0" t="s">
        <v>748</v>
      </c>
      <c r="B1721" s="0" t="s">
        <v>100</v>
      </c>
      <c r="C1721" s="0" t="s">
        <v>6099</v>
      </c>
      <c r="D1721" s="0" t="n">
        <v>2020</v>
      </c>
      <c r="E1721" s="0" t="s">
        <v>66</v>
      </c>
      <c r="F1721" s="0" t="n">
        <v>1405676</v>
      </c>
      <c r="G1721" s="0" t="s">
        <v>3101</v>
      </c>
      <c r="H1721" s="0" t="s">
        <v>3068</v>
      </c>
      <c r="I1721" s="0" t="n">
        <v>1405676</v>
      </c>
      <c r="J1721" s="0" t="s">
        <v>6100</v>
      </c>
      <c r="K1721" s="0" t="s">
        <v>2685</v>
      </c>
      <c r="L1721" s="0" t="n">
        <v>2020</v>
      </c>
      <c r="M1721" s="0" t="s">
        <v>2263</v>
      </c>
      <c r="N1721" s="0" t="s">
        <v>111</v>
      </c>
      <c r="O1721" s="0" t="s">
        <v>6316</v>
      </c>
      <c r="P1721" s="0" t="s">
        <v>6317</v>
      </c>
      <c r="Q1721" s="0" t="n">
        <v>177</v>
      </c>
      <c r="R1721" s="0" t="n">
        <v>177</v>
      </c>
      <c r="T1721" s="0" t="s">
        <v>4983</v>
      </c>
      <c r="U1721" s="0" t="s">
        <v>4201</v>
      </c>
      <c r="V1721" s="0" t="s">
        <v>95</v>
      </c>
      <c r="W1721" s="0" t="s">
        <v>6353</v>
      </c>
      <c r="X1721" s="0" t="s">
        <v>6351</v>
      </c>
      <c r="Y1721" s="0" t="s">
        <v>4159</v>
      </c>
      <c r="Z1721" s="0" t="s">
        <v>4160</v>
      </c>
      <c r="AA1721" s="0" t="s">
        <v>6354</v>
      </c>
      <c r="AB1721" s="0" t="s">
        <v>6321</v>
      </c>
      <c r="AC1721" s="0" t="s">
        <v>4162</v>
      </c>
      <c r="AD1721" s="0" t="s">
        <v>4637</v>
      </c>
      <c r="AE1721" s="0" t="s">
        <v>1892</v>
      </c>
      <c r="AF1721" s="0" t="s">
        <v>6322</v>
      </c>
      <c r="AH1721" s="0" t="s">
        <v>2239</v>
      </c>
      <c r="AL1721" s="0" t="s">
        <v>523</v>
      </c>
    </row>
    <row r="1722" customFormat="false" ht="15" hidden="false" customHeight="false" outlineLevel="0" collapsed="false">
      <c r="A1722" s="0" t="s">
        <v>744</v>
      </c>
      <c r="B1722" s="0" t="s">
        <v>100</v>
      </c>
      <c r="C1722" s="0" t="s">
        <v>6099</v>
      </c>
      <c r="D1722" s="0" t="n">
        <v>2020</v>
      </c>
      <c r="E1722" s="0" t="s">
        <v>69</v>
      </c>
      <c r="F1722" s="0" t="s">
        <v>6355</v>
      </c>
      <c r="G1722" s="0" t="s">
        <v>3143</v>
      </c>
      <c r="I1722" s="0" t="n">
        <v>21.44</v>
      </c>
      <c r="J1722" s="0" t="s">
        <v>6100</v>
      </c>
      <c r="K1722" s="0" t="s">
        <v>2685</v>
      </c>
      <c r="L1722" s="0" t="n">
        <v>2020</v>
      </c>
      <c r="M1722" s="0" t="s">
        <v>2263</v>
      </c>
      <c r="N1722" s="0" t="s">
        <v>111</v>
      </c>
      <c r="O1722" s="0" t="s">
        <v>6316</v>
      </c>
      <c r="P1722" s="0" t="s">
        <v>6317</v>
      </c>
      <c r="Q1722" s="0" t="n">
        <v>177</v>
      </c>
      <c r="R1722" s="0" t="n">
        <v>177</v>
      </c>
      <c r="T1722" s="0" t="s">
        <v>4983</v>
      </c>
      <c r="U1722" s="0" t="s">
        <v>4201</v>
      </c>
      <c r="V1722" s="0" t="s">
        <v>95</v>
      </c>
      <c r="W1722" s="0" t="s">
        <v>6356</v>
      </c>
      <c r="X1722" s="0" t="s">
        <v>6351</v>
      </c>
      <c r="Y1722" s="0" t="s">
        <v>4159</v>
      </c>
      <c r="Z1722" s="0" t="s">
        <v>4160</v>
      </c>
      <c r="AA1722" s="0" t="s">
        <v>6357</v>
      </c>
      <c r="AB1722" s="0" t="s">
        <v>6321</v>
      </c>
      <c r="AC1722" s="0" t="s">
        <v>4162</v>
      </c>
      <c r="AD1722" s="0" t="s">
        <v>4637</v>
      </c>
      <c r="AE1722" s="0" t="s">
        <v>1892</v>
      </c>
      <c r="AF1722" s="0" t="s">
        <v>6322</v>
      </c>
      <c r="AH1722" s="0" t="s">
        <v>2239</v>
      </c>
      <c r="AL1722" s="0" t="s">
        <v>523</v>
      </c>
    </row>
    <row r="1723" customFormat="false" ht="15" hidden="false" customHeight="false" outlineLevel="0" collapsed="false">
      <c r="A1723" s="0" t="s">
        <v>746</v>
      </c>
      <c r="B1723" s="0" t="s">
        <v>100</v>
      </c>
      <c r="C1723" s="0" t="s">
        <v>6099</v>
      </c>
      <c r="D1723" s="0" t="n">
        <v>2020</v>
      </c>
      <c r="E1723" s="0" t="s">
        <v>614</v>
      </c>
      <c r="F1723" s="0" t="s">
        <v>6355</v>
      </c>
      <c r="G1723" s="0" t="s">
        <v>3143</v>
      </c>
      <c r="I1723" s="0" t="n">
        <v>21.44</v>
      </c>
      <c r="J1723" s="0" t="s">
        <v>6100</v>
      </c>
      <c r="K1723" s="0" t="s">
        <v>2685</v>
      </c>
      <c r="L1723" s="0" t="n">
        <v>2020</v>
      </c>
      <c r="M1723" s="0" t="s">
        <v>2263</v>
      </c>
      <c r="N1723" s="0" t="s">
        <v>111</v>
      </c>
      <c r="O1723" s="0" t="s">
        <v>6316</v>
      </c>
      <c r="P1723" s="0" t="s">
        <v>6317</v>
      </c>
      <c r="Q1723" s="0" t="n">
        <v>177</v>
      </c>
      <c r="R1723" s="0" t="n">
        <v>177</v>
      </c>
      <c r="T1723" s="0" t="s">
        <v>4983</v>
      </c>
      <c r="U1723" s="0" t="s">
        <v>4201</v>
      </c>
      <c r="V1723" s="0" t="s">
        <v>95</v>
      </c>
      <c r="W1723" s="0" t="s">
        <v>6356</v>
      </c>
      <c r="X1723" s="0" t="s">
        <v>6351</v>
      </c>
      <c r="Y1723" s="0" t="s">
        <v>4159</v>
      </c>
      <c r="Z1723" s="0" t="s">
        <v>4160</v>
      </c>
      <c r="AA1723" s="0" t="s">
        <v>6358</v>
      </c>
      <c r="AB1723" s="0" t="s">
        <v>6321</v>
      </c>
      <c r="AC1723" s="0" t="s">
        <v>4162</v>
      </c>
      <c r="AD1723" s="0" t="s">
        <v>4637</v>
      </c>
      <c r="AE1723" s="0" t="s">
        <v>1892</v>
      </c>
      <c r="AF1723" s="0" t="s">
        <v>6322</v>
      </c>
      <c r="AH1723" s="0" t="s">
        <v>2239</v>
      </c>
      <c r="AL1723" s="0" t="s">
        <v>523</v>
      </c>
    </row>
    <row r="1724" customFormat="false" ht="15" hidden="false" customHeight="false" outlineLevel="0" collapsed="false">
      <c r="A1724" s="0" t="s">
        <v>749</v>
      </c>
      <c r="B1724" s="0" t="s">
        <v>100</v>
      </c>
      <c r="C1724" s="0" t="s">
        <v>6099</v>
      </c>
      <c r="D1724" s="0" t="n">
        <v>2020</v>
      </c>
      <c r="E1724" s="0" t="s">
        <v>73</v>
      </c>
      <c r="F1724" s="0" t="n">
        <v>0</v>
      </c>
      <c r="G1724" s="0" t="s">
        <v>4257</v>
      </c>
      <c r="I1724" s="0" t="n">
        <v>0</v>
      </c>
      <c r="J1724" s="0" t="s">
        <v>6100</v>
      </c>
      <c r="K1724" s="0" t="s">
        <v>2685</v>
      </c>
      <c r="L1724" s="0" t="n">
        <v>2020</v>
      </c>
      <c r="M1724" s="0" t="s">
        <v>2263</v>
      </c>
      <c r="N1724" s="0" t="s">
        <v>111</v>
      </c>
      <c r="O1724" s="0" t="s">
        <v>6316</v>
      </c>
      <c r="P1724" s="0" t="s">
        <v>6317</v>
      </c>
      <c r="Q1724" s="0" t="n">
        <v>72</v>
      </c>
      <c r="R1724" s="0" t="n">
        <v>72</v>
      </c>
      <c r="T1724" s="0" t="s">
        <v>6139</v>
      </c>
      <c r="U1724" s="0" t="s">
        <v>4201</v>
      </c>
      <c r="V1724" s="0" t="s">
        <v>95</v>
      </c>
      <c r="W1724" s="0" t="s">
        <v>6267</v>
      </c>
      <c r="X1724" s="0" t="s">
        <v>6359</v>
      </c>
      <c r="Y1724" s="0" t="s">
        <v>4212</v>
      </c>
      <c r="Z1724" s="0" t="s">
        <v>4160</v>
      </c>
      <c r="AA1724" s="0" t="s">
        <v>6360</v>
      </c>
      <c r="AB1724" s="0" t="s">
        <v>6321</v>
      </c>
      <c r="AC1724" s="0" t="s">
        <v>4162</v>
      </c>
      <c r="AD1724" s="0" t="s">
        <v>4637</v>
      </c>
      <c r="AE1724" s="0" t="s">
        <v>1892</v>
      </c>
      <c r="AF1724" s="0" t="s">
        <v>6322</v>
      </c>
      <c r="AG1724" s="0" t="s">
        <v>1892</v>
      </c>
      <c r="AH1724" s="0" t="s">
        <v>2239</v>
      </c>
      <c r="AL1724" s="0" t="s">
        <v>539</v>
      </c>
    </row>
    <row r="1725" customFormat="false" ht="15" hidden="false" customHeight="false" outlineLevel="0" collapsed="false">
      <c r="A1725" s="0" t="s">
        <v>752</v>
      </c>
      <c r="B1725" s="0" t="s">
        <v>100</v>
      </c>
      <c r="C1725" s="0" t="s">
        <v>6099</v>
      </c>
      <c r="D1725" s="0" t="n">
        <v>2021</v>
      </c>
      <c r="E1725" s="0" t="s">
        <v>55</v>
      </c>
      <c r="F1725" s="0" t="n">
        <v>2475079</v>
      </c>
      <c r="G1725" s="0" t="s">
        <v>3101</v>
      </c>
      <c r="H1725" s="0" t="s">
        <v>3068</v>
      </c>
      <c r="I1725" s="0" t="n">
        <v>2475079</v>
      </c>
      <c r="J1725" s="0" t="s">
        <v>6100</v>
      </c>
      <c r="K1725" s="0" t="s">
        <v>2687</v>
      </c>
      <c r="L1725" s="0" t="n">
        <v>2021</v>
      </c>
      <c r="M1725" s="0" t="s">
        <v>2269</v>
      </c>
      <c r="N1725" s="0" t="s">
        <v>112</v>
      </c>
      <c r="O1725" s="0" t="s">
        <v>6361</v>
      </c>
      <c r="P1725" s="0" t="s">
        <v>6362</v>
      </c>
      <c r="Q1725" s="0" t="n">
        <v>86</v>
      </c>
      <c r="R1725" s="0" t="n">
        <v>86</v>
      </c>
      <c r="T1725" s="0" t="s">
        <v>6363</v>
      </c>
      <c r="U1725" s="0" t="s">
        <v>4303</v>
      </c>
      <c r="V1725" s="0" t="s">
        <v>97</v>
      </c>
      <c r="W1725" s="0" t="s">
        <v>6364</v>
      </c>
      <c r="X1725" s="0" t="s">
        <v>6365</v>
      </c>
      <c r="Y1725" s="0" t="s">
        <v>4159</v>
      </c>
      <c r="Z1725" s="0" t="s">
        <v>4160</v>
      </c>
      <c r="AA1725" s="0" t="s">
        <v>6366</v>
      </c>
      <c r="AB1725" s="0" t="s">
        <v>6367</v>
      </c>
      <c r="AC1725" s="0" t="s">
        <v>4162</v>
      </c>
      <c r="AD1725" s="0" t="s">
        <v>4637</v>
      </c>
      <c r="AE1725" s="0" t="s">
        <v>1892</v>
      </c>
      <c r="AF1725" s="0" t="s">
        <v>6368</v>
      </c>
      <c r="AH1725" s="0" t="s">
        <v>2239</v>
      </c>
      <c r="AL1725" s="0" t="s">
        <v>523</v>
      </c>
    </row>
    <row r="1726" customFormat="false" ht="15" hidden="false" customHeight="false" outlineLevel="0" collapsed="false">
      <c r="A1726" s="0" t="s">
        <v>753</v>
      </c>
      <c r="B1726" s="0" t="s">
        <v>100</v>
      </c>
      <c r="C1726" s="0" t="s">
        <v>6099</v>
      </c>
      <c r="D1726" s="0" t="n">
        <v>2021</v>
      </c>
      <c r="E1726" s="0" t="s">
        <v>56</v>
      </c>
      <c r="F1726" s="0" t="n">
        <v>2196302</v>
      </c>
      <c r="G1726" s="0" t="s">
        <v>3101</v>
      </c>
      <c r="H1726" s="0" t="s">
        <v>3068</v>
      </c>
      <c r="I1726" s="0" t="n">
        <v>2196302</v>
      </c>
      <c r="J1726" s="0" t="s">
        <v>6100</v>
      </c>
      <c r="K1726" s="0" t="s">
        <v>2687</v>
      </c>
      <c r="L1726" s="0" t="n">
        <v>2021</v>
      </c>
      <c r="M1726" s="0" t="s">
        <v>2269</v>
      </c>
      <c r="N1726" s="0" t="s">
        <v>112</v>
      </c>
      <c r="O1726" s="0" t="s">
        <v>6361</v>
      </c>
      <c r="P1726" s="0" t="s">
        <v>6362</v>
      </c>
      <c r="Q1726" s="0" t="n">
        <v>86</v>
      </c>
      <c r="R1726" s="0" t="n">
        <v>86</v>
      </c>
      <c r="T1726" s="0" t="s">
        <v>6363</v>
      </c>
      <c r="U1726" s="0" t="s">
        <v>4303</v>
      </c>
      <c r="V1726" s="0" t="s">
        <v>97</v>
      </c>
      <c r="W1726" s="0" t="s">
        <v>6369</v>
      </c>
      <c r="X1726" s="0" t="s">
        <v>6365</v>
      </c>
      <c r="Y1726" s="0" t="s">
        <v>4159</v>
      </c>
      <c r="Z1726" s="0" t="s">
        <v>4160</v>
      </c>
      <c r="AA1726" s="0" t="s">
        <v>6370</v>
      </c>
      <c r="AB1726" s="0" t="s">
        <v>6367</v>
      </c>
      <c r="AC1726" s="0" t="s">
        <v>4162</v>
      </c>
      <c r="AD1726" s="0" t="s">
        <v>4637</v>
      </c>
      <c r="AE1726" s="0" t="s">
        <v>1892</v>
      </c>
      <c r="AF1726" s="0" t="s">
        <v>6368</v>
      </c>
      <c r="AH1726" s="0" t="s">
        <v>2239</v>
      </c>
      <c r="AL1726" s="0" t="s">
        <v>523</v>
      </c>
    </row>
    <row r="1727" customFormat="false" ht="15" hidden="false" customHeight="false" outlineLevel="0" collapsed="false">
      <c r="A1727" s="0" t="s">
        <v>754</v>
      </c>
      <c r="B1727" s="0" t="s">
        <v>100</v>
      </c>
      <c r="C1727" s="0" t="s">
        <v>6099</v>
      </c>
      <c r="D1727" s="0" t="n">
        <v>2021</v>
      </c>
      <c r="E1727" s="0" t="s">
        <v>57</v>
      </c>
      <c r="F1727" s="0" t="n">
        <v>278777</v>
      </c>
      <c r="G1727" s="0" t="s">
        <v>3101</v>
      </c>
      <c r="H1727" s="0" t="s">
        <v>3068</v>
      </c>
      <c r="I1727" s="0" t="n">
        <v>278777</v>
      </c>
      <c r="J1727" s="0" t="s">
        <v>6100</v>
      </c>
      <c r="K1727" s="0" t="s">
        <v>2687</v>
      </c>
      <c r="L1727" s="0" t="n">
        <v>2021</v>
      </c>
      <c r="M1727" s="0" t="s">
        <v>2269</v>
      </c>
      <c r="N1727" s="0" t="s">
        <v>112</v>
      </c>
      <c r="O1727" s="0" t="s">
        <v>6361</v>
      </c>
      <c r="P1727" s="0" t="s">
        <v>6362</v>
      </c>
      <c r="Q1727" s="0" t="n">
        <v>86</v>
      </c>
      <c r="R1727" s="0" t="n">
        <v>86</v>
      </c>
      <c r="T1727" s="0" t="s">
        <v>6363</v>
      </c>
      <c r="U1727" s="0" t="s">
        <v>4303</v>
      </c>
      <c r="V1727" s="0" t="s">
        <v>97</v>
      </c>
      <c r="W1727" s="0" t="s">
        <v>6371</v>
      </c>
      <c r="X1727" s="0" t="s">
        <v>6365</v>
      </c>
      <c r="Y1727" s="0" t="s">
        <v>4159</v>
      </c>
      <c r="Z1727" s="0" t="s">
        <v>4160</v>
      </c>
      <c r="AA1727" s="0" t="s">
        <v>6372</v>
      </c>
      <c r="AB1727" s="0" t="s">
        <v>6367</v>
      </c>
      <c r="AC1727" s="0" t="s">
        <v>4162</v>
      </c>
      <c r="AD1727" s="0" t="s">
        <v>4637</v>
      </c>
      <c r="AE1727" s="0" t="s">
        <v>1892</v>
      </c>
      <c r="AF1727" s="0" t="s">
        <v>6368</v>
      </c>
      <c r="AH1727" s="0" t="s">
        <v>2239</v>
      </c>
      <c r="AL1727" s="0" t="s">
        <v>523</v>
      </c>
    </row>
    <row r="1728" customFormat="false" ht="15" hidden="false" customHeight="false" outlineLevel="0" collapsed="false">
      <c r="A1728" s="0" t="s">
        <v>751</v>
      </c>
      <c r="B1728" s="0" t="s">
        <v>100</v>
      </c>
      <c r="C1728" s="0" t="s">
        <v>6099</v>
      </c>
      <c r="D1728" s="0" t="n">
        <v>2021</v>
      </c>
      <c r="E1728" s="0" t="s">
        <v>54</v>
      </c>
      <c r="F1728" s="0" t="n">
        <v>9766</v>
      </c>
      <c r="G1728" s="0" t="s">
        <v>3101</v>
      </c>
      <c r="H1728" s="0" t="s">
        <v>3068</v>
      </c>
      <c r="I1728" s="0" t="n">
        <v>9766</v>
      </c>
      <c r="J1728" s="0" t="s">
        <v>6100</v>
      </c>
      <c r="K1728" s="0" t="s">
        <v>2687</v>
      </c>
      <c r="L1728" s="0" t="n">
        <v>2021</v>
      </c>
      <c r="M1728" s="0" t="s">
        <v>2269</v>
      </c>
      <c r="N1728" s="0" t="s">
        <v>112</v>
      </c>
      <c r="O1728" s="0" t="s">
        <v>6361</v>
      </c>
      <c r="P1728" s="0" t="s">
        <v>6362</v>
      </c>
      <c r="Q1728" s="0" t="n">
        <v>84</v>
      </c>
      <c r="R1728" s="0" t="n">
        <v>84</v>
      </c>
      <c r="T1728" s="0" t="s">
        <v>6363</v>
      </c>
      <c r="U1728" s="0" t="s">
        <v>4303</v>
      </c>
      <c r="V1728" s="0" t="s">
        <v>97</v>
      </c>
      <c r="W1728" s="0" t="s">
        <v>6373</v>
      </c>
      <c r="X1728" s="0" t="s">
        <v>6374</v>
      </c>
      <c r="Y1728" s="0" t="s">
        <v>4159</v>
      </c>
      <c r="Z1728" s="0" t="s">
        <v>4160</v>
      </c>
      <c r="AA1728" s="0" t="s">
        <v>6375</v>
      </c>
      <c r="AB1728" s="0" t="s">
        <v>6367</v>
      </c>
      <c r="AC1728" s="0" t="s">
        <v>4162</v>
      </c>
      <c r="AD1728" s="0" t="s">
        <v>4637</v>
      </c>
      <c r="AE1728" s="0" t="s">
        <v>1892</v>
      </c>
      <c r="AF1728" s="0" t="s">
        <v>6368</v>
      </c>
      <c r="AH1728" s="0" t="s">
        <v>2239</v>
      </c>
      <c r="AL1728" s="0" t="s">
        <v>523</v>
      </c>
    </row>
    <row r="1729" customFormat="false" ht="15" hidden="false" customHeight="false" outlineLevel="0" collapsed="false">
      <c r="A1729" s="0" t="s">
        <v>766</v>
      </c>
      <c r="B1729" s="0" t="s">
        <v>100</v>
      </c>
      <c r="C1729" s="0" t="s">
        <v>6099</v>
      </c>
      <c r="D1729" s="0" t="n">
        <v>2021</v>
      </c>
      <c r="E1729" s="0" t="s">
        <v>541</v>
      </c>
      <c r="F1729" s="0" t="n">
        <v>10676</v>
      </c>
      <c r="G1729" s="0" t="s">
        <v>3101</v>
      </c>
      <c r="H1729" s="0" t="s">
        <v>3068</v>
      </c>
      <c r="I1729" s="0" t="n">
        <v>10676</v>
      </c>
      <c r="J1729" s="0" t="s">
        <v>6100</v>
      </c>
      <c r="K1729" s="0" t="s">
        <v>2687</v>
      </c>
      <c r="L1729" s="0" t="n">
        <v>2021</v>
      </c>
      <c r="M1729" s="0" t="s">
        <v>2269</v>
      </c>
      <c r="N1729" s="0" t="s">
        <v>112</v>
      </c>
      <c r="O1729" s="0" t="s">
        <v>6361</v>
      </c>
      <c r="P1729" s="0" t="s">
        <v>6362</v>
      </c>
      <c r="Q1729" s="0" t="n">
        <v>84</v>
      </c>
      <c r="R1729" s="0" t="n">
        <v>84</v>
      </c>
      <c r="T1729" s="0" t="s">
        <v>6363</v>
      </c>
      <c r="U1729" s="0" t="s">
        <v>4303</v>
      </c>
      <c r="V1729" s="0" t="s">
        <v>97</v>
      </c>
      <c r="W1729" s="0" t="s">
        <v>6376</v>
      </c>
      <c r="X1729" s="0" t="s">
        <v>6374</v>
      </c>
      <c r="Y1729" s="0" t="s">
        <v>4159</v>
      </c>
      <c r="Z1729" s="0" t="s">
        <v>4160</v>
      </c>
      <c r="AA1729" s="0" t="s">
        <v>6377</v>
      </c>
      <c r="AB1729" s="0" t="s">
        <v>6367</v>
      </c>
      <c r="AC1729" s="0" t="s">
        <v>4162</v>
      </c>
      <c r="AD1729" s="0" t="s">
        <v>4637</v>
      </c>
      <c r="AE1729" s="0" t="s">
        <v>1892</v>
      </c>
      <c r="AF1729" s="0" t="s">
        <v>6368</v>
      </c>
      <c r="AH1729" s="0" t="s">
        <v>2239</v>
      </c>
      <c r="AL1729" s="0" t="s">
        <v>523</v>
      </c>
    </row>
    <row r="1730" customFormat="false" ht="15" hidden="false" customHeight="false" outlineLevel="0" collapsed="false">
      <c r="A1730" s="0" t="s">
        <v>755</v>
      </c>
      <c r="B1730" s="0" t="s">
        <v>100</v>
      </c>
      <c r="C1730" s="0" t="s">
        <v>6099</v>
      </c>
      <c r="D1730" s="0" t="n">
        <v>2021</v>
      </c>
      <c r="E1730" s="0" t="s">
        <v>58</v>
      </c>
      <c r="F1730" s="0" t="n">
        <v>-86740</v>
      </c>
      <c r="G1730" s="0" t="s">
        <v>3101</v>
      </c>
      <c r="H1730" s="0" t="s">
        <v>3068</v>
      </c>
      <c r="I1730" s="0" t="n">
        <v>-86740</v>
      </c>
      <c r="J1730" s="0" t="s">
        <v>6100</v>
      </c>
      <c r="K1730" s="0" t="s">
        <v>2687</v>
      </c>
      <c r="L1730" s="0" t="n">
        <v>2021</v>
      </c>
      <c r="M1730" s="0" t="s">
        <v>2269</v>
      </c>
      <c r="N1730" s="0" t="s">
        <v>112</v>
      </c>
      <c r="O1730" s="0" t="s">
        <v>6361</v>
      </c>
      <c r="P1730" s="0" t="s">
        <v>6362</v>
      </c>
      <c r="Q1730" s="0" t="n">
        <v>89</v>
      </c>
      <c r="R1730" s="0" t="n">
        <v>89</v>
      </c>
      <c r="T1730" s="0" t="s">
        <v>6363</v>
      </c>
      <c r="U1730" s="0" t="s">
        <v>4303</v>
      </c>
      <c r="V1730" s="0" t="s">
        <v>97</v>
      </c>
      <c r="W1730" s="0" t="s">
        <v>6378</v>
      </c>
      <c r="X1730" s="0" t="s">
        <v>6379</v>
      </c>
      <c r="Y1730" s="0" t="s">
        <v>4159</v>
      </c>
      <c r="Z1730" s="0" t="s">
        <v>4160</v>
      </c>
      <c r="AA1730" s="0" t="s">
        <v>6380</v>
      </c>
      <c r="AB1730" s="0" t="s">
        <v>6367</v>
      </c>
      <c r="AC1730" s="0" t="s">
        <v>4162</v>
      </c>
      <c r="AD1730" s="0" t="s">
        <v>4637</v>
      </c>
      <c r="AE1730" s="0" t="s">
        <v>1892</v>
      </c>
      <c r="AF1730" s="0" t="s">
        <v>6368</v>
      </c>
      <c r="AH1730" s="0" t="s">
        <v>2239</v>
      </c>
      <c r="AL1730" s="0" t="s">
        <v>523</v>
      </c>
    </row>
    <row r="1731" customFormat="false" ht="15" hidden="false" customHeight="false" outlineLevel="0" collapsed="false">
      <c r="A1731" s="0" t="s">
        <v>756</v>
      </c>
      <c r="B1731" s="0" t="s">
        <v>100</v>
      </c>
      <c r="C1731" s="0" t="s">
        <v>6099</v>
      </c>
      <c r="D1731" s="0" t="n">
        <v>2021</v>
      </c>
      <c r="E1731" s="0" t="s">
        <v>59</v>
      </c>
      <c r="F1731" s="0" t="n">
        <v>2186711</v>
      </c>
      <c r="G1731" s="0" t="s">
        <v>3101</v>
      </c>
      <c r="H1731" s="0" t="s">
        <v>3068</v>
      </c>
      <c r="I1731" s="0" t="n">
        <v>2186711</v>
      </c>
      <c r="J1731" s="0" t="s">
        <v>6100</v>
      </c>
      <c r="K1731" s="0" t="s">
        <v>2687</v>
      </c>
      <c r="L1731" s="0" t="n">
        <v>2021</v>
      </c>
      <c r="M1731" s="0" t="s">
        <v>2269</v>
      </c>
      <c r="N1731" s="0" t="s">
        <v>112</v>
      </c>
      <c r="O1731" s="0" t="s">
        <v>6361</v>
      </c>
      <c r="P1731" s="0" t="s">
        <v>6362</v>
      </c>
      <c r="Q1731" s="0" t="n">
        <v>86</v>
      </c>
      <c r="R1731" s="0" t="n">
        <v>86</v>
      </c>
      <c r="T1731" s="0" t="s">
        <v>6381</v>
      </c>
      <c r="U1731" s="0" t="s">
        <v>6382</v>
      </c>
      <c r="V1731" s="0" t="s">
        <v>97</v>
      </c>
      <c r="W1731" s="0" t="s">
        <v>6364</v>
      </c>
      <c r="X1731" s="0" t="s">
        <v>6365</v>
      </c>
      <c r="Y1731" s="0" t="s">
        <v>4159</v>
      </c>
      <c r="Z1731" s="0" t="s">
        <v>4160</v>
      </c>
      <c r="AA1731" s="0" t="s">
        <v>6383</v>
      </c>
      <c r="AB1731" s="0" t="s">
        <v>6367</v>
      </c>
      <c r="AC1731" s="0" t="s">
        <v>4162</v>
      </c>
      <c r="AD1731" s="0" t="s">
        <v>4637</v>
      </c>
      <c r="AE1731" s="0" t="s">
        <v>1892</v>
      </c>
      <c r="AF1731" s="0" t="s">
        <v>6384</v>
      </c>
      <c r="AH1731" s="0" t="s">
        <v>2239</v>
      </c>
      <c r="AL1731" s="0" t="s">
        <v>523</v>
      </c>
    </row>
    <row r="1732" customFormat="false" ht="15" hidden="false" customHeight="false" outlineLevel="0" collapsed="false">
      <c r="A1732" s="0" t="s">
        <v>760</v>
      </c>
      <c r="B1732" s="0" t="s">
        <v>100</v>
      </c>
      <c r="C1732" s="0" t="s">
        <v>6099</v>
      </c>
      <c r="D1732" s="0" t="n">
        <v>2021</v>
      </c>
      <c r="E1732" s="0" t="s">
        <v>63</v>
      </c>
      <c r="F1732" s="0" t="n">
        <v>-7041</v>
      </c>
      <c r="G1732" s="0" t="s">
        <v>3101</v>
      </c>
      <c r="H1732" s="0" t="s">
        <v>3068</v>
      </c>
      <c r="I1732" s="0" t="n">
        <v>7041</v>
      </c>
      <c r="J1732" s="0" t="s">
        <v>6100</v>
      </c>
      <c r="K1732" s="0" t="s">
        <v>2687</v>
      </c>
      <c r="L1732" s="0" t="n">
        <v>2021</v>
      </c>
      <c r="M1732" s="0" t="s">
        <v>2269</v>
      </c>
      <c r="N1732" s="0" t="s">
        <v>112</v>
      </c>
      <c r="O1732" s="0" t="s">
        <v>6361</v>
      </c>
      <c r="P1732" s="0" t="s">
        <v>6362</v>
      </c>
      <c r="Q1732" s="0" t="n">
        <v>84</v>
      </c>
      <c r="R1732" s="0" t="n">
        <v>84</v>
      </c>
      <c r="S1732" s="0" t="n">
        <v>14</v>
      </c>
      <c r="T1732" s="0" t="s">
        <v>6363</v>
      </c>
      <c r="U1732" s="0" t="s">
        <v>4303</v>
      </c>
      <c r="V1732" s="0" t="s">
        <v>97</v>
      </c>
      <c r="W1732" s="0" t="s">
        <v>6385</v>
      </c>
      <c r="X1732" s="0" t="s">
        <v>6374</v>
      </c>
      <c r="Y1732" s="0" t="s">
        <v>4159</v>
      </c>
      <c r="Z1732" s="0" t="s">
        <v>4160</v>
      </c>
      <c r="AA1732" s="0" t="s">
        <v>6386</v>
      </c>
      <c r="AB1732" s="0" t="s">
        <v>6367</v>
      </c>
      <c r="AC1732" s="0" t="s">
        <v>4162</v>
      </c>
      <c r="AD1732" s="0" t="s">
        <v>4637</v>
      </c>
      <c r="AE1732" s="0" t="s">
        <v>1892</v>
      </c>
      <c r="AF1732" s="0" t="s">
        <v>6368</v>
      </c>
      <c r="AH1732" s="0" t="s">
        <v>4174</v>
      </c>
      <c r="AI1732" s="0" t="s">
        <v>4974</v>
      </c>
      <c r="AL1732" s="0" t="s">
        <v>523</v>
      </c>
    </row>
    <row r="1733" customFormat="false" ht="15" hidden="false" customHeight="false" outlineLevel="0" collapsed="false">
      <c r="A1733" s="0" t="s">
        <v>757</v>
      </c>
      <c r="B1733" s="0" t="s">
        <v>100</v>
      </c>
      <c r="C1733" s="0" t="s">
        <v>6099</v>
      </c>
      <c r="D1733" s="0" t="n">
        <v>2021</v>
      </c>
      <c r="E1733" s="0" t="s">
        <v>60</v>
      </c>
      <c r="F1733" s="0" t="n">
        <v>1113022</v>
      </c>
      <c r="G1733" s="0" t="s">
        <v>3101</v>
      </c>
      <c r="H1733" s="0" t="s">
        <v>3068</v>
      </c>
      <c r="I1733" s="0" t="n">
        <v>1113022</v>
      </c>
      <c r="J1733" s="0" t="s">
        <v>6100</v>
      </c>
      <c r="K1733" s="0" t="s">
        <v>2687</v>
      </c>
      <c r="L1733" s="0" t="n">
        <v>2021</v>
      </c>
      <c r="M1733" s="0" t="s">
        <v>2269</v>
      </c>
      <c r="N1733" s="0" t="s">
        <v>112</v>
      </c>
      <c r="O1733" s="0" t="s">
        <v>6361</v>
      </c>
      <c r="P1733" s="0" t="s">
        <v>6362</v>
      </c>
      <c r="Q1733" s="0" t="n">
        <v>124</v>
      </c>
      <c r="R1733" s="0" t="n">
        <v>124</v>
      </c>
      <c r="S1733" s="0" t="n">
        <v>24</v>
      </c>
      <c r="T1733" s="0" t="s">
        <v>6363</v>
      </c>
      <c r="U1733" s="0" t="s">
        <v>4303</v>
      </c>
      <c r="V1733" s="0" t="s">
        <v>97</v>
      </c>
      <c r="W1733" s="0" t="s">
        <v>6387</v>
      </c>
      <c r="X1733" s="0" t="s">
        <v>6388</v>
      </c>
      <c r="Y1733" s="0" t="s">
        <v>4159</v>
      </c>
      <c r="Z1733" s="0" t="s">
        <v>4160</v>
      </c>
      <c r="AA1733" s="0" t="s">
        <v>6389</v>
      </c>
      <c r="AB1733" s="0" t="s">
        <v>6367</v>
      </c>
      <c r="AC1733" s="0" t="s">
        <v>4162</v>
      </c>
      <c r="AD1733" s="0" t="s">
        <v>4637</v>
      </c>
      <c r="AE1733" s="0" t="s">
        <v>1892</v>
      </c>
      <c r="AF1733" s="0" t="s">
        <v>6368</v>
      </c>
      <c r="AH1733" s="0" t="s">
        <v>2239</v>
      </c>
      <c r="AL1733" s="0" t="s">
        <v>523</v>
      </c>
    </row>
    <row r="1734" customFormat="false" ht="15" hidden="false" customHeight="false" outlineLevel="0" collapsed="false">
      <c r="A1734" s="0" t="s">
        <v>758</v>
      </c>
      <c r="B1734" s="0" t="s">
        <v>100</v>
      </c>
      <c r="C1734" s="0" t="s">
        <v>6099</v>
      </c>
      <c r="D1734" s="0" t="n">
        <v>2021</v>
      </c>
      <c r="E1734" s="0" t="s">
        <v>61</v>
      </c>
      <c r="F1734" s="0" t="n">
        <v>-97419</v>
      </c>
      <c r="G1734" s="0" t="s">
        <v>3101</v>
      </c>
      <c r="H1734" s="0" t="s">
        <v>3068</v>
      </c>
      <c r="I1734" s="0" t="n">
        <v>97419</v>
      </c>
      <c r="J1734" s="0" t="s">
        <v>6100</v>
      </c>
      <c r="K1734" s="0" t="s">
        <v>2687</v>
      </c>
      <c r="L1734" s="0" t="n">
        <v>2021</v>
      </c>
      <c r="M1734" s="0" t="s">
        <v>2269</v>
      </c>
      <c r="N1734" s="0" t="s">
        <v>112</v>
      </c>
      <c r="O1734" s="0" t="s">
        <v>6361</v>
      </c>
      <c r="P1734" s="0" t="s">
        <v>6362</v>
      </c>
      <c r="Q1734" s="0" t="n">
        <v>124</v>
      </c>
      <c r="R1734" s="0" t="n">
        <v>124</v>
      </c>
      <c r="S1734" s="0" t="n">
        <v>24</v>
      </c>
      <c r="T1734" s="0" t="s">
        <v>6363</v>
      </c>
      <c r="U1734" s="0" t="s">
        <v>4303</v>
      </c>
      <c r="V1734" s="0" t="s">
        <v>97</v>
      </c>
      <c r="W1734" s="0" t="s">
        <v>6390</v>
      </c>
      <c r="X1734" s="0" t="s">
        <v>6388</v>
      </c>
      <c r="Y1734" s="0" t="s">
        <v>4159</v>
      </c>
      <c r="Z1734" s="0" t="s">
        <v>4160</v>
      </c>
      <c r="AA1734" s="0" t="s">
        <v>6391</v>
      </c>
      <c r="AB1734" s="0" t="s">
        <v>6367</v>
      </c>
      <c r="AC1734" s="0" t="s">
        <v>4162</v>
      </c>
      <c r="AD1734" s="0" t="s">
        <v>4637</v>
      </c>
      <c r="AE1734" s="0" t="s">
        <v>1892</v>
      </c>
      <c r="AF1734" s="0" t="s">
        <v>6368</v>
      </c>
      <c r="AH1734" s="0" t="s">
        <v>4174</v>
      </c>
      <c r="AI1734" s="0" t="s">
        <v>4781</v>
      </c>
      <c r="AL1734" s="0" t="s">
        <v>523</v>
      </c>
    </row>
    <row r="1735" customFormat="false" ht="15" hidden="false" customHeight="false" outlineLevel="0" collapsed="false">
      <c r="A1735" s="0" t="s">
        <v>759</v>
      </c>
      <c r="B1735" s="0" t="s">
        <v>100</v>
      </c>
      <c r="C1735" s="0" t="s">
        <v>6099</v>
      </c>
      <c r="D1735" s="0" t="n">
        <v>2021</v>
      </c>
      <c r="E1735" s="0" t="s">
        <v>62</v>
      </c>
      <c r="F1735" s="0" t="n">
        <v>1015603</v>
      </c>
      <c r="G1735" s="0" t="s">
        <v>3101</v>
      </c>
      <c r="H1735" s="0" t="s">
        <v>3068</v>
      </c>
      <c r="I1735" s="0" t="n">
        <v>1015603</v>
      </c>
      <c r="J1735" s="0" t="s">
        <v>6100</v>
      </c>
      <c r="K1735" s="0" t="s">
        <v>2687</v>
      </c>
      <c r="L1735" s="0" t="n">
        <v>2021</v>
      </c>
      <c r="M1735" s="0" t="s">
        <v>2269</v>
      </c>
      <c r="N1735" s="0" t="s">
        <v>112</v>
      </c>
      <c r="O1735" s="0" t="s">
        <v>6361</v>
      </c>
      <c r="P1735" s="0" t="s">
        <v>6362</v>
      </c>
      <c r="Q1735" s="0" t="n">
        <v>86</v>
      </c>
      <c r="R1735" s="0" t="n">
        <v>86</v>
      </c>
      <c r="S1735" s="0" t="n">
        <v>24</v>
      </c>
      <c r="T1735" s="0" t="s">
        <v>6363</v>
      </c>
      <c r="U1735" s="0" t="s">
        <v>4303</v>
      </c>
      <c r="V1735" s="0" t="s">
        <v>97</v>
      </c>
      <c r="W1735" s="0" t="s">
        <v>6392</v>
      </c>
      <c r="X1735" s="0" t="s">
        <v>6365</v>
      </c>
      <c r="Y1735" s="0" t="s">
        <v>4159</v>
      </c>
      <c r="Z1735" s="0" t="s">
        <v>4160</v>
      </c>
      <c r="AA1735" s="0" t="s">
        <v>6393</v>
      </c>
      <c r="AB1735" s="0" t="s">
        <v>6367</v>
      </c>
      <c r="AC1735" s="0" t="s">
        <v>4162</v>
      </c>
      <c r="AD1735" s="0" t="s">
        <v>4637</v>
      </c>
      <c r="AE1735" s="0" t="s">
        <v>1892</v>
      </c>
      <c r="AF1735" s="0" t="s">
        <v>6368</v>
      </c>
      <c r="AH1735" s="0" t="s">
        <v>2239</v>
      </c>
      <c r="AL1735" s="0" t="s">
        <v>523</v>
      </c>
    </row>
    <row r="1736" customFormat="false" ht="15" hidden="false" customHeight="false" outlineLevel="0" collapsed="false">
      <c r="A1736" s="0" t="s">
        <v>761</v>
      </c>
      <c r="B1736" s="0" t="s">
        <v>100</v>
      </c>
      <c r="C1736" s="0" t="s">
        <v>6099</v>
      </c>
      <c r="D1736" s="0" t="n">
        <v>2021</v>
      </c>
      <c r="E1736" s="0" t="s">
        <v>64</v>
      </c>
      <c r="F1736" s="0" t="n">
        <v>181954</v>
      </c>
      <c r="G1736" s="0" t="s">
        <v>3101</v>
      </c>
      <c r="H1736" s="0" t="s">
        <v>3068</v>
      </c>
      <c r="I1736" s="0" t="n">
        <v>181954</v>
      </c>
      <c r="J1736" s="0" t="s">
        <v>6100</v>
      </c>
      <c r="K1736" s="0" t="s">
        <v>2687</v>
      </c>
      <c r="L1736" s="0" t="n">
        <v>2021</v>
      </c>
      <c r="M1736" s="0" t="s">
        <v>2269</v>
      </c>
      <c r="N1736" s="0" t="s">
        <v>112</v>
      </c>
      <c r="O1736" s="0" t="s">
        <v>6361</v>
      </c>
      <c r="P1736" s="0" t="s">
        <v>6362</v>
      </c>
      <c r="Q1736" s="0" t="n">
        <v>124</v>
      </c>
      <c r="R1736" s="0" t="n">
        <v>124</v>
      </c>
      <c r="S1736" s="0" t="n">
        <v>24</v>
      </c>
      <c r="T1736" s="0" t="s">
        <v>6363</v>
      </c>
      <c r="U1736" s="0" t="s">
        <v>4303</v>
      </c>
      <c r="V1736" s="0" t="s">
        <v>97</v>
      </c>
      <c r="W1736" s="0" t="s">
        <v>6394</v>
      </c>
      <c r="X1736" s="0" t="s">
        <v>6388</v>
      </c>
      <c r="Y1736" s="0" t="s">
        <v>4159</v>
      </c>
      <c r="Z1736" s="0" t="s">
        <v>4160</v>
      </c>
      <c r="AA1736" s="0" t="s">
        <v>6395</v>
      </c>
      <c r="AB1736" s="0" t="s">
        <v>6367</v>
      </c>
      <c r="AC1736" s="0" t="s">
        <v>4162</v>
      </c>
      <c r="AD1736" s="0" t="s">
        <v>4637</v>
      </c>
      <c r="AE1736" s="0" t="s">
        <v>1892</v>
      </c>
      <c r="AF1736" s="0" t="s">
        <v>6368</v>
      </c>
      <c r="AH1736" s="0" t="s">
        <v>2239</v>
      </c>
      <c r="AL1736" s="0" t="s">
        <v>523</v>
      </c>
    </row>
    <row r="1737" customFormat="false" ht="15" hidden="false" customHeight="false" outlineLevel="0" collapsed="false">
      <c r="A1737" s="0" t="s">
        <v>763</v>
      </c>
      <c r="B1737" s="0" t="s">
        <v>100</v>
      </c>
      <c r="C1737" s="0" t="s">
        <v>6099</v>
      </c>
      <c r="D1737" s="0" t="n">
        <v>2021</v>
      </c>
      <c r="E1737" s="0" t="s">
        <v>65</v>
      </c>
      <c r="F1737" s="0" t="n">
        <v>170600</v>
      </c>
      <c r="G1737" s="0" t="s">
        <v>3101</v>
      </c>
      <c r="H1737" s="0" t="s">
        <v>3068</v>
      </c>
      <c r="I1737" s="0" t="n">
        <v>170600</v>
      </c>
      <c r="J1737" s="0" t="s">
        <v>6100</v>
      </c>
      <c r="K1737" s="0" t="s">
        <v>2687</v>
      </c>
      <c r="L1737" s="0" t="n">
        <v>2021</v>
      </c>
      <c r="M1737" s="0" t="s">
        <v>2269</v>
      </c>
      <c r="N1737" s="0" t="s">
        <v>112</v>
      </c>
      <c r="O1737" s="0" t="s">
        <v>6361</v>
      </c>
      <c r="P1737" s="0" t="s">
        <v>6362</v>
      </c>
      <c r="Q1737" s="0" t="n">
        <v>198</v>
      </c>
      <c r="R1737" s="0" t="n">
        <v>198</v>
      </c>
      <c r="T1737" s="0" t="s">
        <v>6363</v>
      </c>
      <c r="U1737" s="0" t="s">
        <v>4303</v>
      </c>
      <c r="V1737" s="0" t="s">
        <v>97</v>
      </c>
      <c r="W1737" s="0" t="s">
        <v>6396</v>
      </c>
      <c r="X1737" s="0" t="s">
        <v>6397</v>
      </c>
      <c r="Y1737" s="0" t="s">
        <v>4159</v>
      </c>
      <c r="Z1737" s="0" t="s">
        <v>4160</v>
      </c>
      <c r="AA1737" s="0" t="s">
        <v>6398</v>
      </c>
      <c r="AB1737" s="0" t="s">
        <v>6367</v>
      </c>
      <c r="AC1737" s="0" t="s">
        <v>4162</v>
      </c>
      <c r="AD1737" s="0" t="s">
        <v>4637</v>
      </c>
      <c r="AE1737" s="0" t="s">
        <v>1892</v>
      </c>
      <c r="AF1737" s="0" t="s">
        <v>6368</v>
      </c>
      <c r="AH1737" s="0" t="s">
        <v>2239</v>
      </c>
      <c r="AL1737" s="0" t="s">
        <v>523</v>
      </c>
    </row>
    <row r="1738" customFormat="false" ht="15" hidden="false" customHeight="false" outlineLevel="0" collapsed="false">
      <c r="A1738" s="0" t="s">
        <v>764</v>
      </c>
      <c r="B1738" s="0" t="s">
        <v>100</v>
      </c>
      <c r="C1738" s="0" t="s">
        <v>6099</v>
      </c>
      <c r="D1738" s="0" t="n">
        <v>2021</v>
      </c>
      <c r="E1738" s="0" t="s">
        <v>66</v>
      </c>
      <c r="F1738" s="0" t="n">
        <v>1486056</v>
      </c>
      <c r="G1738" s="0" t="s">
        <v>3101</v>
      </c>
      <c r="H1738" s="0" t="s">
        <v>3068</v>
      </c>
      <c r="I1738" s="0" t="n">
        <v>1486056</v>
      </c>
      <c r="J1738" s="0" t="s">
        <v>6100</v>
      </c>
      <c r="K1738" s="0" t="s">
        <v>2687</v>
      </c>
      <c r="L1738" s="0" t="n">
        <v>2021</v>
      </c>
      <c r="M1738" s="0" t="s">
        <v>2269</v>
      </c>
      <c r="N1738" s="0" t="s">
        <v>112</v>
      </c>
      <c r="O1738" s="0" t="s">
        <v>6361</v>
      </c>
      <c r="P1738" s="0" t="s">
        <v>6362</v>
      </c>
      <c r="Q1738" s="0" t="n">
        <v>198</v>
      </c>
      <c r="R1738" s="0" t="n">
        <v>198</v>
      </c>
      <c r="T1738" s="0" t="s">
        <v>6363</v>
      </c>
      <c r="U1738" s="0" t="s">
        <v>4303</v>
      </c>
      <c r="V1738" s="0" t="s">
        <v>97</v>
      </c>
      <c r="W1738" s="0" t="s">
        <v>6399</v>
      </c>
      <c r="X1738" s="0" t="s">
        <v>6397</v>
      </c>
      <c r="Y1738" s="0" t="s">
        <v>4159</v>
      </c>
      <c r="Z1738" s="0" t="s">
        <v>4160</v>
      </c>
      <c r="AA1738" s="0" t="s">
        <v>6400</v>
      </c>
      <c r="AB1738" s="0" t="s">
        <v>6367</v>
      </c>
      <c r="AC1738" s="0" t="s">
        <v>4162</v>
      </c>
      <c r="AD1738" s="0" t="s">
        <v>4637</v>
      </c>
      <c r="AE1738" s="0" t="s">
        <v>1892</v>
      </c>
      <c r="AF1738" s="0" t="s">
        <v>6368</v>
      </c>
      <c r="AH1738" s="0" t="s">
        <v>2239</v>
      </c>
      <c r="AL1738" s="0" t="s">
        <v>523</v>
      </c>
    </row>
    <row r="1739" customFormat="false" ht="15" hidden="false" customHeight="false" outlineLevel="0" collapsed="false">
      <c r="A1739" s="0" t="s">
        <v>762</v>
      </c>
      <c r="B1739" s="0" t="s">
        <v>100</v>
      </c>
      <c r="C1739" s="0" t="s">
        <v>6099</v>
      </c>
      <c r="D1739" s="0" t="n">
        <v>2021</v>
      </c>
      <c r="E1739" s="0" t="s">
        <v>69</v>
      </c>
      <c r="F1739" s="0" t="s">
        <v>6401</v>
      </c>
      <c r="G1739" s="0" t="s">
        <v>3143</v>
      </c>
      <c r="I1739" s="0" t="n">
        <v>11.48</v>
      </c>
      <c r="J1739" s="0" t="s">
        <v>6100</v>
      </c>
      <c r="K1739" s="0" t="s">
        <v>2687</v>
      </c>
      <c r="L1739" s="0" t="n">
        <v>2021</v>
      </c>
      <c r="M1739" s="0" t="s">
        <v>2269</v>
      </c>
      <c r="N1739" s="0" t="s">
        <v>112</v>
      </c>
      <c r="O1739" s="0" t="s">
        <v>6361</v>
      </c>
      <c r="P1739" s="0" t="s">
        <v>6362</v>
      </c>
      <c r="Q1739" s="0" t="n">
        <v>198</v>
      </c>
      <c r="R1739" s="0" t="n">
        <v>198</v>
      </c>
      <c r="T1739" s="0" t="s">
        <v>6363</v>
      </c>
      <c r="U1739" s="0" t="s">
        <v>4303</v>
      </c>
      <c r="V1739" s="0" t="s">
        <v>97</v>
      </c>
      <c r="W1739" s="0" t="s">
        <v>6402</v>
      </c>
      <c r="X1739" s="0" t="s">
        <v>6397</v>
      </c>
      <c r="Y1739" s="0" t="s">
        <v>4159</v>
      </c>
      <c r="Z1739" s="0" t="s">
        <v>4160</v>
      </c>
      <c r="AA1739" s="0" t="s">
        <v>6403</v>
      </c>
      <c r="AB1739" s="0" t="s">
        <v>6367</v>
      </c>
      <c r="AC1739" s="0" t="s">
        <v>4162</v>
      </c>
      <c r="AD1739" s="0" t="s">
        <v>4637</v>
      </c>
      <c r="AE1739" s="0" t="s">
        <v>1892</v>
      </c>
      <c r="AF1739" s="0" t="s">
        <v>6368</v>
      </c>
      <c r="AH1739" s="0" t="s">
        <v>2239</v>
      </c>
      <c r="AL1739" s="0" t="s">
        <v>523</v>
      </c>
    </row>
    <row r="1740" customFormat="false" ht="15" hidden="false" customHeight="false" outlineLevel="0" collapsed="false">
      <c r="A1740" s="0" t="s">
        <v>765</v>
      </c>
      <c r="B1740" s="0" t="s">
        <v>100</v>
      </c>
      <c r="C1740" s="0" t="s">
        <v>6099</v>
      </c>
      <c r="D1740" s="0" t="n">
        <v>2021</v>
      </c>
      <c r="E1740" s="0" t="s">
        <v>73</v>
      </c>
      <c r="F1740" s="0" t="n">
        <v>0</v>
      </c>
      <c r="G1740" s="0" t="s">
        <v>4257</v>
      </c>
      <c r="I1740" s="0" t="n">
        <v>0</v>
      </c>
      <c r="J1740" s="0" t="s">
        <v>6100</v>
      </c>
      <c r="K1740" s="0" t="s">
        <v>2687</v>
      </c>
      <c r="L1740" s="0" t="n">
        <v>2021</v>
      </c>
      <c r="M1740" s="0" t="s">
        <v>2269</v>
      </c>
      <c r="N1740" s="0" t="s">
        <v>112</v>
      </c>
      <c r="O1740" s="0" t="s">
        <v>6361</v>
      </c>
      <c r="P1740" s="0" t="s">
        <v>6362</v>
      </c>
      <c r="Q1740" s="0" t="n">
        <v>78</v>
      </c>
      <c r="R1740" s="0" t="n">
        <v>78</v>
      </c>
      <c r="T1740" s="0" t="s">
        <v>6139</v>
      </c>
      <c r="U1740" s="0" t="s">
        <v>4303</v>
      </c>
      <c r="V1740" s="0" t="s">
        <v>97</v>
      </c>
      <c r="W1740" s="0" t="s">
        <v>6267</v>
      </c>
      <c r="X1740" s="0" t="s">
        <v>6404</v>
      </c>
      <c r="Y1740" s="0" t="s">
        <v>4212</v>
      </c>
      <c r="Z1740" s="0" t="s">
        <v>4160</v>
      </c>
      <c r="AA1740" s="0" t="s">
        <v>6405</v>
      </c>
      <c r="AB1740" s="0" t="s">
        <v>6367</v>
      </c>
      <c r="AC1740" s="0" t="s">
        <v>4162</v>
      </c>
      <c r="AD1740" s="0" t="s">
        <v>4637</v>
      </c>
      <c r="AE1740" s="0" t="s">
        <v>1892</v>
      </c>
      <c r="AF1740" s="0" t="s">
        <v>6368</v>
      </c>
      <c r="AG1740" s="0" t="s">
        <v>1892</v>
      </c>
      <c r="AH1740" s="0" t="s">
        <v>2239</v>
      </c>
      <c r="AL1740" s="0" t="s">
        <v>539</v>
      </c>
    </row>
    <row r="1741" customFormat="false" ht="15" hidden="false" customHeight="false" outlineLevel="0" collapsed="false">
      <c r="A1741" s="0" t="s">
        <v>768</v>
      </c>
      <c r="B1741" s="0" t="s">
        <v>100</v>
      </c>
      <c r="C1741" s="0" t="s">
        <v>6099</v>
      </c>
      <c r="D1741" s="0" t="n">
        <v>2022</v>
      </c>
      <c r="E1741" s="0" t="s">
        <v>55</v>
      </c>
      <c r="F1741" s="0" t="n">
        <v>2917689</v>
      </c>
      <c r="G1741" s="0" t="s">
        <v>3101</v>
      </c>
      <c r="H1741" s="0" t="s">
        <v>3068</v>
      </c>
      <c r="I1741" s="0" t="n">
        <v>2917689</v>
      </c>
      <c r="J1741" s="0" t="s">
        <v>6100</v>
      </c>
      <c r="K1741" s="0" t="s">
        <v>2688</v>
      </c>
      <c r="L1741" s="0" t="n">
        <v>2022</v>
      </c>
      <c r="M1741" s="0" t="s">
        <v>2275</v>
      </c>
      <c r="N1741" s="0" t="s">
        <v>113</v>
      </c>
      <c r="O1741" s="0" t="s">
        <v>6406</v>
      </c>
      <c r="P1741" s="0" t="s">
        <v>6407</v>
      </c>
      <c r="Q1741" s="0" t="n">
        <v>76</v>
      </c>
      <c r="R1741" s="0" t="n">
        <v>76</v>
      </c>
      <c r="T1741" s="0" t="s">
        <v>6408</v>
      </c>
      <c r="U1741" s="0" t="s">
        <v>4265</v>
      </c>
      <c r="V1741" s="0" t="s">
        <v>114</v>
      </c>
      <c r="W1741" s="0" t="s">
        <v>6409</v>
      </c>
      <c r="X1741" s="0" t="s">
        <v>6410</v>
      </c>
      <c r="Y1741" s="0" t="s">
        <v>4159</v>
      </c>
      <c r="Z1741" s="0" t="s">
        <v>4160</v>
      </c>
      <c r="AA1741" s="0" t="s">
        <v>6411</v>
      </c>
      <c r="AB1741" s="0" t="s">
        <v>6412</v>
      </c>
      <c r="AC1741" s="0" t="s">
        <v>4162</v>
      </c>
      <c r="AD1741" s="0" t="s">
        <v>4637</v>
      </c>
      <c r="AE1741" s="0" t="s">
        <v>1892</v>
      </c>
      <c r="AF1741" s="0" t="s">
        <v>6413</v>
      </c>
      <c r="AH1741" s="0" t="s">
        <v>2239</v>
      </c>
      <c r="AL1741" s="0" t="s">
        <v>523</v>
      </c>
    </row>
    <row r="1742" customFormat="false" ht="15" hidden="false" customHeight="false" outlineLevel="0" collapsed="false">
      <c r="A1742" s="0" t="s">
        <v>769</v>
      </c>
      <c r="B1742" s="0" t="s">
        <v>100</v>
      </c>
      <c r="C1742" s="0" t="s">
        <v>6099</v>
      </c>
      <c r="D1742" s="0" t="n">
        <v>2022</v>
      </c>
      <c r="E1742" s="0" t="s">
        <v>56</v>
      </c>
      <c r="F1742" s="0" t="n">
        <v>2623076</v>
      </c>
      <c r="G1742" s="0" t="s">
        <v>3101</v>
      </c>
      <c r="H1742" s="0" t="s">
        <v>3068</v>
      </c>
      <c r="I1742" s="0" t="n">
        <v>2623076</v>
      </c>
      <c r="J1742" s="0" t="s">
        <v>6100</v>
      </c>
      <c r="K1742" s="0" t="s">
        <v>2688</v>
      </c>
      <c r="L1742" s="0" t="n">
        <v>2022</v>
      </c>
      <c r="M1742" s="0" t="s">
        <v>2275</v>
      </c>
      <c r="N1742" s="0" t="s">
        <v>113</v>
      </c>
      <c r="O1742" s="0" t="s">
        <v>6406</v>
      </c>
      <c r="P1742" s="0" t="s">
        <v>6407</v>
      </c>
      <c r="Q1742" s="0" t="n">
        <v>76</v>
      </c>
      <c r="R1742" s="0" t="n">
        <v>76</v>
      </c>
      <c r="T1742" s="0" t="s">
        <v>6408</v>
      </c>
      <c r="U1742" s="0" t="s">
        <v>4265</v>
      </c>
      <c r="V1742" s="0" t="s">
        <v>114</v>
      </c>
      <c r="W1742" s="0" t="s">
        <v>6414</v>
      </c>
      <c r="X1742" s="0" t="s">
        <v>6410</v>
      </c>
      <c r="Y1742" s="0" t="s">
        <v>4159</v>
      </c>
      <c r="Z1742" s="0" t="s">
        <v>4160</v>
      </c>
      <c r="AA1742" s="0" t="s">
        <v>6415</v>
      </c>
      <c r="AB1742" s="0" t="s">
        <v>6412</v>
      </c>
      <c r="AC1742" s="0" t="s">
        <v>4162</v>
      </c>
      <c r="AD1742" s="0" t="s">
        <v>4637</v>
      </c>
      <c r="AE1742" s="0" t="s">
        <v>1892</v>
      </c>
      <c r="AF1742" s="0" t="s">
        <v>6413</v>
      </c>
      <c r="AH1742" s="0" t="s">
        <v>2239</v>
      </c>
      <c r="AL1742" s="0" t="s">
        <v>523</v>
      </c>
    </row>
    <row r="1743" customFormat="false" ht="15" hidden="false" customHeight="false" outlineLevel="0" collapsed="false">
      <c r="A1743" s="0" t="s">
        <v>770</v>
      </c>
      <c r="B1743" s="0" t="s">
        <v>100</v>
      </c>
      <c r="C1743" s="0" t="s">
        <v>6099</v>
      </c>
      <c r="D1743" s="0" t="n">
        <v>2022</v>
      </c>
      <c r="E1743" s="0" t="s">
        <v>57</v>
      </c>
      <c r="F1743" s="0" t="n">
        <v>294613</v>
      </c>
      <c r="G1743" s="0" t="s">
        <v>3101</v>
      </c>
      <c r="H1743" s="0" t="s">
        <v>3068</v>
      </c>
      <c r="I1743" s="0" t="n">
        <v>294613</v>
      </c>
      <c r="J1743" s="0" t="s">
        <v>6100</v>
      </c>
      <c r="K1743" s="0" t="s">
        <v>2688</v>
      </c>
      <c r="L1743" s="0" t="n">
        <v>2022</v>
      </c>
      <c r="M1743" s="0" t="s">
        <v>2275</v>
      </c>
      <c r="N1743" s="0" t="s">
        <v>113</v>
      </c>
      <c r="O1743" s="0" t="s">
        <v>6406</v>
      </c>
      <c r="P1743" s="0" t="s">
        <v>6407</v>
      </c>
      <c r="Q1743" s="0" t="n">
        <v>76</v>
      </c>
      <c r="R1743" s="0" t="n">
        <v>76</v>
      </c>
      <c r="T1743" s="0" t="s">
        <v>6408</v>
      </c>
      <c r="U1743" s="0" t="s">
        <v>4265</v>
      </c>
      <c r="V1743" s="0" t="s">
        <v>114</v>
      </c>
      <c r="W1743" s="0" t="s">
        <v>6416</v>
      </c>
      <c r="X1743" s="0" t="s">
        <v>6410</v>
      </c>
      <c r="Y1743" s="0" t="s">
        <v>4159</v>
      </c>
      <c r="Z1743" s="0" t="s">
        <v>4160</v>
      </c>
      <c r="AA1743" s="0" t="s">
        <v>6417</v>
      </c>
      <c r="AB1743" s="0" t="s">
        <v>6412</v>
      </c>
      <c r="AC1743" s="0" t="s">
        <v>4162</v>
      </c>
      <c r="AD1743" s="0" t="s">
        <v>4637</v>
      </c>
      <c r="AE1743" s="0" t="s">
        <v>1892</v>
      </c>
      <c r="AF1743" s="0" t="s">
        <v>6413</v>
      </c>
      <c r="AH1743" s="0" t="s">
        <v>2239</v>
      </c>
      <c r="AL1743" s="0" t="s">
        <v>523</v>
      </c>
    </row>
    <row r="1744" customFormat="false" ht="15" hidden="false" customHeight="false" outlineLevel="0" collapsed="false">
      <c r="A1744" s="0" t="s">
        <v>767</v>
      </c>
      <c r="B1744" s="0" t="s">
        <v>100</v>
      </c>
      <c r="C1744" s="0" t="s">
        <v>6099</v>
      </c>
      <c r="D1744" s="0" t="n">
        <v>2022</v>
      </c>
      <c r="E1744" s="0" t="s">
        <v>54</v>
      </c>
      <c r="F1744" s="0" t="n">
        <v>10396</v>
      </c>
      <c r="G1744" s="0" t="s">
        <v>3101</v>
      </c>
      <c r="H1744" s="0" t="s">
        <v>3068</v>
      </c>
      <c r="I1744" s="0" t="n">
        <v>10396</v>
      </c>
      <c r="J1744" s="0" t="s">
        <v>6100</v>
      </c>
      <c r="K1744" s="0" t="s">
        <v>2688</v>
      </c>
      <c r="L1744" s="0" t="n">
        <v>2022</v>
      </c>
      <c r="M1744" s="0" t="s">
        <v>2275</v>
      </c>
      <c r="N1744" s="0" t="s">
        <v>113</v>
      </c>
      <c r="O1744" s="0" t="s">
        <v>6406</v>
      </c>
      <c r="P1744" s="0" t="s">
        <v>6407</v>
      </c>
      <c r="Q1744" s="0" t="n">
        <v>74</v>
      </c>
      <c r="R1744" s="0" t="n">
        <v>74</v>
      </c>
      <c r="T1744" s="0" t="s">
        <v>6408</v>
      </c>
      <c r="U1744" s="0" t="s">
        <v>4265</v>
      </c>
      <c r="V1744" s="0" t="s">
        <v>114</v>
      </c>
      <c r="W1744" s="0" t="s">
        <v>6418</v>
      </c>
      <c r="X1744" s="0" t="s">
        <v>6419</v>
      </c>
      <c r="Y1744" s="0" t="s">
        <v>4159</v>
      </c>
      <c r="Z1744" s="0" t="s">
        <v>4160</v>
      </c>
      <c r="AA1744" s="0" t="s">
        <v>6420</v>
      </c>
      <c r="AB1744" s="0" t="s">
        <v>6412</v>
      </c>
      <c r="AC1744" s="0" t="s">
        <v>4162</v>
      </c>
      <c r="AD1744" s="0" t="s">
        <v>4637</v>
      </c>
      <c r="AE1744" s="0" t="s">
        <v>1892</v>
      </c>
      <c r="AF1744" s="0" t="s">
        <v>6413</v>
      </c>
      <c r="AH1744" s="0" t="s">
        <v>2239</v>
      </c>
      <c r="AL1744" s="0" t="s">
        <v>523</v>
      </c>
    </row>
    <row r="1745" customFormat="false" ht="15" hidden="false" customHeight="false" outlineLevel="0" collapsed="false">
      <c r="A1745" s="0" t="s">
        <v>782</v>
      </c>
      <c r="B1745" s="0" t="s">
        <v>100</v>
      </c>
      <c r="C1745" s="0" t="s">
        <v>6099</v>
      </c>
      <c r="D1745" s="0" t="n">
        <v>2022</v>
      </c>
      <c r="E1745" s="0" t="s">
        <v>541</v>
      </c>
      <c r="F1745" s="0" t="n">
        <v>12396</v>
      </c>
      <c r="G1745" s="0" t="s">
        <v>3101</v>
      </c>
      <c r="H1745" s="0" t="s">
        <v>3068</v>
      </c>
      <c r="I1745" s="0" t="n">
        <v>12396</v>
      </c>
      <c r="J1745" s="0" t="s">
        <v>6100</v>
      </c>
      <c r="K1745" s="0" t="s">
        <v>2688</v>
      </c>
      <c r="L1745" s="0" t="n">
        <v>2022</v>
      </c>
      <c r="M1745" s="0" t="s">
        <v>2275</v>
      </c>
      <c r="N1745" s="0" t="s">
        <v>113</v>
      </c>
      <c r="O1745" s="0" t="s">
        <v>6406</v>
      </c>
      <c r="P1745" s="0" t="s">
        <v>6407</v>
      </c>
      <c r="Q1745" s="0" t="n">
        <v>74</v>
      </c>
      <c r="R1745" s="0" t="n">
        <v>74</v>
      </c>
      <c r="T1745" s="0" t="s">
        <v>6408</v>
      </c>
      <c r="U1745" s="0" t="s">
        <v>4265</v>
      </c>
      <c r="V1745" s="0" t="s">
        <v>114</v>
      </c>
      <c r="W1745" s="0" t="s">
        <v>6421</v>
      </c>
      <c r="X1745" s="0" t="s">
        <v>6419</v>
      </c>
      <c r="Y1745" s="0" t="s">
        <v>4159</v>
      </c>
      <c r="Z1745" s="0" t="s">
        <v>4160</v>
      </c>
      <c r="AA1745" s="0" t="s">
        <v>6422</v>
      </c>
      <c r="AB1745" s="0" t="s">
        <v>6412</v>
      </c>
      <c r="AC1745" s="0" t="s">
        <v>4162</v>
      </c>
      <c r="AD1745" s="0" t="s">
        <v>4637</v>
      </c>
      <c r="AE1745" s="0" t="s">
        <v>1892</v>
      </c>
      <c r="AF1745" s="0" t="s">
        <v>6413</v>
      </c>
      <c r="AH1745" s="0" t="s">
        <v>2239</v>
      </c>
      <c r="AL1745" s="0" t="s">
        <v>523</v>
      </c>
    </row>
    <row r="1746" customFormat="false" ht="15" hidden="false" customHeight="false" outlineLevel="0" collapsed="false">
      <c r="A1746" s="0" t="s">
        <v>771</v>
      </c>
      <c r="B1746" s="0" t="s">
        <v>100</v>
      </c>
      <c r="C1746" s="0" t="s">
        <v>6099</v>
      </c>
      <c r="D1746" s="0" t="n">
        <v>2022</v>
      </c>
      <c r="E1746" s="0" t="s">
        <v>58</v>
      </c>
      <c r="F1746" s="0" t="n">
        <v>-75642</v>
      </c>
      <c r="G1746" s="0" t="s">
        <v>3101</v>
      </c>
      <c r="H1746" s="0" t="s">
        <v>3068</v>
      </c>
      <c r="I1746" s="0" t="n">
        <v>-75642</v>
      </c>
      <c r="J1746" s="0" t="s">
        <v>6100</v>
      </c>
      <c r="K1746" s="0" t="s">
        <v>2688</v>
      </c>
      <c r="L1746" s="0" t="n">
        <v>2022</v>
      </c>
      <c r="M1746" s="0" t="s">
        <v>2275</v>
      </c>
      <c r="N1746" s="0" t="s">
        <v>113</v>
      </c>
      <c r="O1746" s="0" t="s">
        <v>6406</v>
      </c>
      <c r="P1746" s="0" t="s">
        <v>6407</v>
      </c>
      <c r="Q1746" s="0" t="n">
        <v>80</v>
      </c>
      <c r="R1746" s="0" t="n">
        <v>80</v>
      </c>
      <c r="T1746" s="0" t="s">
        <v>6408</v>
      </c>
      <c r="U1746" s="0" t="s">
        <v>4265</v>
      </c>
      <c r="V1746" s="0" t="s">
        <v>114</v>
      </c>
      <c r="W1746" s="0" t="s">
        <v>6423</v>
      </c>
      <c r="X1746" s="0" t="s">
        <v>6424</v>
      </c>
      <c r="Y1746" s="0" t="s">
        <v>4159</v>
      </c>
      <c r="Z1746" s="0" t="s">
        <v>4160</v>
      </c>
      <c r="AA1746" s="0" t="s">
        <v>6425</v>
      </c>
      <c r="AB1746" s="0" t="s">
        <v>6412</v>
      </c>
      <c r="AC1746" s="0" t="s">
        <v>4162</v>
      </c>
      <c r="AD1746" s="0" t="s">
        <v>4637</v>
      </c>
      <c r="AE1746" s="0" t="s">
        <v>1892</v>
      </c>
      <c r="AF1746" s="0" t="s">
        <v>6413</v>
      </c>
      <c r="AH1746" s="0" t="s">
        <v>2239</v>
      </c>
      <c r="AL1746" s="0" t="s">
        <v>523</v>
      </c>
    </row>
    <row r="1747" customFormat="false" ht="15" hidden="false" customHeight="false" outlineLevel="0" collapsed="false">
      <c r="A1747" s="0" t="s">
        <v>772</v>
      </c>
      <c r="B1747" s="0" t="s">
        <v>100</v>
      </c>
      <c r="C1747" s="0" t="s">
        <v>6099</v>
      </c>
      <c r="D1747" s="0" t="n">
        <v>2022</v>
      </c>
      <c r="E1747" s="0" t="s">
        <v>59</v>
      </c>
      <c r="F1747" s="0" t="n">
        <v>2475079</v>
      </c>
      <c r="G1747" s="0" t="s">
        <v>3101</v>
      </c>
      <c r="H1747" s="0" t="s">
        <v>3068</v>
      </c>
      <c r="I1747" s="0" t="n">
        <v>2475079</v>
      </c>
      <c r="J1747" s="0" t="s">
        <v>6100</v>
      </c>
      <c r="K1747" s="0" t="s">
        <v>2688</v>
      </c>
      <c r="L1747" s="0" t="n">
        <v>2022</v>
      </c>
      <c r="M1747" s="0" t="s">
        <v>2275</v>
      </c>
      <c r="N1747" s="0" t="s">
        <v>113</v>
      </c>
      <c r="O1747" s="0" t="s">
        <v>6406</v>
      </c>
      <c r="P1747" s="0" t="s">
        <v>6407</v>
      </c>
      <c r="Q1747" s="0" t="n">
        <v>76</v>
      </c>
      <c r="R1747" s="0" t="n">
        <v>76</v>
      </c>
      <c r="T1747" s="0" t="s">
        <v>4192</v>
      </c>
      <c r="U1747" s="0" t="s">
        <v>6426</v>
      </c>
      <c r="V1747" s="0" t="s">
        <v>114</v>
      </c>
      <c r="W1747" s="0" t="s">
        <v>6409</v>
      </c>
      <c r="X1747" s="0" t="s">
        <v>6410</v>
      </c>
      <c r="Y1747" s="0" t="s">
        <v>4159</v>
      </c>
      <c r="Z1747" s="0" t="s">
        <v>4160</v>
      </c>
      <c r="AA1747" s="0" t="s">
        <v>6427</v>
      </c>
      <c r="AB1747" s="0" t="s">
        <v>6412</v>
      </c>
      <c r="AC1747" s="0" t="s">
        <v>4162</v>
      </c>
      <c r="AD1747" s="0" t="s">
        <v>4637</v>
      </c>
      <c r="AE1747" s="0" t="s">
        <v>1892</v>
      </c>
      <c r="AF1747" s="0" t="s">
        <v>6428</v>
      </c>
      <c r="AH1747" s="0" t="s">
        <v>2239</v>
      </c>
      <c r="AL1747" s="0" t="s">
        <v>523</v>
      </c>
    </row>
    <row r="1748" customFormat="false" ht="15" hidden="false" customHeight="false" outlineLevel="0" collapsed="false">
      <c r="A1748" s="0" t="s">
        <v>776</v>
      </c>
      <c r="B1748" s="0" t="s">
        <v>100</v>
      </c>
      <c r="C1748" s="0" t="s">
        <v>6099</v>
      </c>
      <c r="D1748" s="0" t="n">
        <v>2022</v>
      </c>
      <c r="E1748" s="0" t="s">
        <v>63</v>
      </c>
      <c r="F1748" s="0" t="n">
        <v>-12377</v>
      </c>
      <c r="G1748" s="0" t="s">
        <v>3101</v>
      </c>
      <c r="H1748" s="0" t="s">
        <v>3068</v>
      </c>
      <c r="I1748" s="0" t="n">
        <v>12377</v>
      </c>
      <c r="J1748" s="0" t="s">
        <v>6100</v>
      </c>
      <c r="K1748" s="0" t="s">
        <v>2688</v>
      </c>
      <c r="L1748" s="0" t="n">
        <v>2022</v>
      </c>
      <c r="M1748" s="0" t="s">
        <v>2275</v>
      </c>
      <c r="N1748" s="0" t="s">
        <v>113</v>
      </c>
      <c r="O1748" s="0" t="s">
        <v>6406</v>
      </c>
      <c r="P1748" s="0" t="s">
        <v>6407</v>
      </c>
      <c r="Q1748" s="0" t="n">
        <v>74</v>
      </c>
      <c r="R1748" s="0" t="n">
        <v>74</v>
      </c>
      <c r="S1748" s="0" t="n">
        <v>14</v>
      </c>
      <c r="T1748" s="0" t="s">
        <v>6408</v>
      </c>
      <c r="U1748" s="0" t="s">
        <v>4265</v>
      </c>
      <c r="V1748" s="0" t="s">
        <v>114</v>
      </c>
      <c r="W1748" s="0" t="s">
        <v>6429</v>
      </c>
      <c r="X1748" s="0" t="s">
        <v>6419</v>
      </c>
      <c r="Y1748" s="0" t="s">
        <v>4159</v>
      </c>
      <c r="Z1748" s="0" t="s">
        <v>4160</v>
      </c>
      <c r="AA1748" s="0" t="s">
        <v>6430</v>
      </c>
      <c r="AB1748" s="0" t="s">
        <v>6412</v>
      </c>
      <c r="AC1748" s="0" t="s">
        <v>4162</v>
      </c>
      <c r="AD1748" s="0" t="s">
        <v>4637</v>
      </c>
      <c r="AE1748" s="0" t="s">
        <v>1892</v>
      </c>
      <c r="AF1748" s="0" t="s">
        <v>6413</v>
      </c>
      <c r="AH1748" s="0" t="s">
        <v>4174</v>
      </c>
      <c r="AI1748" s="0" t="s">
        <v>4974</v>
      </c>
      <c r="AL1748" s="0" t="s">
        <v>523</v>
      </c>
    </row>
    <row r="1749" customFormat="false" ht="15" hidden="false" customHeight="false" outlineLevel="0" collapsed="false">
      <c r="A1749" s="0" t="s">
        <v>773</v>
      </c>
      <c r="B1749" s="0" t="s">
        <v>100</v>
      </c>
      <c r="C1749" s="0" t="s">
        <v>6099</v>
      </c>
      <c r="D1749" s="0" t="n">
        <v>2022</v>
      </c>
      <c r="E1749" s="0" t="s">
        <v>60</v>
      </c>
      <c r="F1749" s="0" t="n">
        <v>1190306</v>
      </c>
      <c r="G1749" s="0" t="s">
        <v>3101</v>
      </c>
      <c r="H1749" s="0" t="s">
        <v>3068</v>
      </c>
      <c r="I1749" s="0" t="n">
        <v>1190306</v>
      </c>
      <c r="J1749" s="0" t="s">
        <v>6100</v>
      </c>
      <c r="K1749" s="0" t="s">
        <v>2688</v>
      </c>
      <c r="L1749" s="0" t="n">
        <v>2022</v>
      </c>
      <c r="M1749" s="0" t="s">
        <v>2275</v>
      </c>
      <c r="N1749" s="0" t="s">
        <v>113</v>
      </c>
      <c r="O1749" s="0" t="s">
        <v>6406</v>
      </c>
      <c r="P1749" s="0" t="s">
        <v>6407</v>
      </c>
      <c r="Q1749" s="0" t="n">
        <v>110</v>
      </c>
      <c r="R1749" s="0" t="n">
        <v>110</v>
      </c>
      <c r="S1749" s="0" t="n">
        <v>24</v>
      </c>
      <c r="T1749" s="0" t="s">
        <v>6408</v>
      </c>
      <c r="U1749" s="0" t="s">
        <v>4265</v>
      </c>
      <c r="V1749" s="0" t="s">
        <v>114</v>
      </c>
      <c r="W1749" s="0" t="s">
        <v>6431</v>
      </c>
      <c r="X1749" s="0" t="s">
        <v>6432</v>
      </c>
      <c r="Y1749" s="0" t="s">
        <v>4159</v>
      </c>
      <c r="Z1749" s="0" t="s">
        <v>4160</v>
      </c>
      <c r="AA1749" s="0" t="s">
        <v>6433</v>
      </c>
      <c r="AB1749" s="0" t="s">
        <v>6412</v>
      </c>
      <c r="AC1749" s="0" t="s">
        <v>4162</v>
      </c>
      <c r="AD1749" s="0" t="s">
        <v>4637</v>
      </c>
      <c r="AE1749" s="0" t="s">
        <v>1892</v>
      </c>
      <c r="AF1749" s="0" t="s">
        <v>6413</v>
      </c>
      <c r="AH1749" s="0" t="s">
        <v>2239</v>
      </c>
      <c r="AL1749" s="0" t="s">
        <v>523</v>
      </c>
    </row>
    <row r="1750" customFormat="false" ht="15" hidden="false" customHeight="false" outlineLevel="0" collapsed="false">
      <c r="A1750" s="0" t="s">
        <v>774</v>
      </c>
      <c r="B1750" s="0" t="s">
        <v>100</v>
      </c>
      <c r="C1750" s="0" t="s">
        <v>6099</v>
      </c>
      <c r="D1750" s="0" t="n">
        <v>2022</v>
      </c>
      <c r="E1750" s="0" t="s">
        <v>61</v>
      </c>
      <c r="F1750" s="0" t="n">
        <v>-62880</v>
      </c>
      <c r="G1750" s="0" t="s">
        <v>3101</v>
      </c>
      <c r="H1750" s="0" t="s">
        <v>3068</v>
      </c>
      <c r="I1750" s="0" t="n">
        <v>62880</v>
      </c>
      <c r="J1750" s="0" t="s">
        <v>6100</v>
      </c>
      <c r="K1750" s="0" t="s">
        <v>2688</v>
      </c>
      <c r="L1750" s="0" t="n">
        <v>2022</v>
      </c>
      <c r="M1750" s="0" t="s">
        <v>2275</v>
      </c>
      <c r="N1750" s="0" t="s">
        <v>113</v>
      </c>
      <c r="O1750" s="0" t="s">
        <v>6406</v>
      </c>
      <c r="P1750" s="0" t="s">
        <v>6407</v>
      </c>
      <c r="Q1750" s="0" t="n">
        <v>110</v>
      </c>
      <c r="R1750" s="0" t="n">
        <v>110</v>
      </c>
      <c r="S1750" s="0" t="n">
        <v>24</v>
      </c>
      <c r="T1750" s="0" t="s">
        <v>6408</v>
      </c>
      <c r="U1750" s="0" t="s">
        <v>4265</v>
      </c>
      <c r="V1750" s="0" t="s">
        <v>114</v>
      </c>
      <c r="W1750" s="0" t="s">
        <v>6434</v>
      </c>
      <c r="X1750" s="0" t="s">
        <v>6432</v>
      </c>
      <c r="Y1750" s="0" t="s">
        <v>4159</v>
      </c>
      <c r="Z1750" s="0" t="s">
        <v>4160</v>
      </c>
      <c r="AA1750" s="0" t="s">
        <v>6435</v>
      </c>
      <c r="AB1750" s="0" t="s">
        <v>6412</v>
      </c>
      <c r="AC1750" s="0" t="s">
        <v>4162</v>
      </c>
      <c r="AD1750" s="0" t="s">
        <v>4637</v>
      </c>
      <c r="AE1750" s="0" t="s">
        <v>1892</v>
      </c>
      <c r="AF1750" s="0" t="s">
        <v>6413</v>
      </c>
      <c r="AH1750" s="0" t="s">
        <v>4174</v>
      </c>
      <c r="AI1750" s="0" t="s">
        <v>4781</v>
      </c>
      <c r="AL1750" s="0" t="s">
        <v>523</v>
      </c>
    </row>
    <row r="1751" customFormat="false" ht="15" hidden="false" customHeight="false" outlineLevel="0" collapsed="false">
      <c r="A1751" s="0" t="s">
        <v>775</v>
      </c>
      <c r="B1751" s="0" t="s">
        <v>100</v>
      </c>
      <c r="C1751" s="0" t="s">
        <v>6099</v>
      </c>
      <c r="D1751" s="0" t="n">
        <v>2022</v>
      </c>
      <c r="E1751" s="0" t="s">
        <v>62</v>
      </c>
      <c r="F1751" s="0" t="n">
        <v>1127426</v>
      </c>
      <c r="G1751" s="0" t="s">
        <v>3101</v>
      </c>
      <c r="H1751" s="0" t="s">
        <v>3068</v>
      </c>
      <c r="I1751" s="0" t="n">
        <v>1127426</v>
      </c>
      <c r="J1751" s="0" t="s">
        <v>6100</v>
      </c>
      <c r="K1751" s="0" t="s">
        <v>2688</v>
      </c>
      <c r="L1751" s="0" t="n">
        <v>2022</v>
      </c>
      <c r="M1751" s="0" t="s">
        <v>2275</v>
      </c>
      <c r="N1751" s="0" t="s">
        <v>113</v>
      </c>
      <c r="O1751" s="0" t="s">
        <v>6406</v>
      </c>
      <c r="P1751" s="0" t="s">
        <v>6407</v>
      </c>
      <c r="Q1751" s="0" t="n">
        <v>76</v>
      </c>
      <c r="R1751" s="0" t="n">
        <v>76</v>
      </c>
      <c r="S1751" s="0" t="n">
        <v>24</v>
      </c>
      <c r="T1751" s="0" t="s">
        <v>6408</v>
      </c>
      <c r="U1751" s="0" t="s">
        <v>4265</v>
      </c>
      <c r="V1751" s="0" t="s">
        <v>114</v>
      </c>
      <c r="W1751" s="0" t="s">
        <v>6436</v>
      </c>
      <c r="X1751" s="0" t="s">
        <v>6410</v>
      </c>
      <c r="Y1751" s="0" t="s">
        <v>4159</v>
      </c>
      <c r="Z1751" s="0" t="s">
        <v>4160</v>
      </c>
      <c r="AA1751" s="0" t="s">
        <v>6437</v>
      </c>
      <c r="AB1751" s="0" t="s">
        <v>6412</v>
      </c>
      <c r="AC1751" s="0" t="s">
        <v>4162</v>
      </c>
      <c r="AD1751" s="0" t="s">
        <v>4637</v>
      </c>
      <c r="AE1751" s="0" t="s">
        <v>1892</v>
      </c>
      <c r="AF1751" s="0" t="s">
        <v>6413</v>
      </c>
      <c r="AH1751" s="0" t="s">
        <v>2239</v>
      </c>
      <c r="AL1751" s="0" t="s">
        <v>523</v>
      </c>
    </row>
    <row r="1752" customFormat="false" ht="15" hidden="false" customHeight="false" outlineLevel="0" collapsed="false">
      <c r="A1752" s="0" t="s">
        <v>777</v>
      </c>
      <c r="B1752" s="0" t="s">
        <v>100</v>
      </c>
      <c r="C1752" s="0" t="s">
        <v>6099</v>
      </c>
      <c r="D1752" s="0" t="n">
        <v>2022</v>
      </c>
      <c r="E1752" s="0" t="s">
        <v>64</v>
      </c>
      <c r="F1752" s="0" t="n">
        <v>82348</v>
      </c>
      <c r="G1752" s="0" t="s">
        <v>3101</v>
      </c>
      <c r="H1752" s="0" t="s">
        <v>3068</v>
      </c>
      <c r="I1752" s="0" t="n">
        <v>82348</v>
      </c>
      <c r="J1752" s="0" t="s">
        <v>6100</v>
      </c>
      <c r="K1752" s="0" t="s">
        <v>2688</v>
      </c>
      <c r="L1752" s="0" t="n">
        <v>2022</v>
      </c>
      <c r="M1752" s="0" t="s">
        <v>2275</v>
      </c>
      <c r="N1752" s="0" t="s">
        <v>113</v>
      </c>
      <c r="O1752" s="0" t="s">
        <v>6406</v>
      </c>
      <c r="P1752" s="0" t="s">
        <v>6407</v>
      </c>
      <c r="Q1752" s="0" t="n">
        <v>110</v>
      </c>
      <c r="R1752" s="0" t="n">
        <v>110</v>
      </c>
      <c r="S1752" s="0" t="n">
        <v>24</v>
      </c>
      <c r="T1752" s="0" t="s">
        <v>6408</v>
      </c>
      <c r="U1752" s="0" t="s">
        <v>4265</v>
      </c>
      <c r="V1752" s="0" t="s">
        <v>114</v>
      </c>
      <c r="W1752" s="0" t="s">
        <v>6438</v>
      </c>
      <c r="X1752" s="0" t="s">
        <v>6432</v>
      </c>
      <c r="Y1752" s="0" t="s">
        <v>4159</v>
      </c>
      <c r="Z1752" s="0" t="s">
        <v>4160</v>
      </c>
      <c r="AA1752" s="0" t="s">
        <v>6439</v>
      </c>
      <c r="AB1752" s="0" t="s">
        <v>6412</v>
      </c>
      <c r="AC1752" s="0" t="s">
        <v>4162</v>
      </c>
      <c r="AD1752" s="0" t="s">
        <v>4637</v>
      </c>
      <c r="AE1752" s="0" t="s">
        <v>1892</v>
      </c>
      <c r="AF1752" s="0" t="s">
        <v>6413</v>
      </c>
      <c r="AH1752" s="0" t="s">
        <v>2239</v>
      </c>
      <c r="AL1752" s="0" t="s">
        <v>523</v>
      </c>
    </row>
    <row r="1753" customFormat="false" ht="15" hidden="false" customHeight="false" outlineLevel="0" collapsed="false">
      <c r="A1753" s="0" t="s">
        <v>779</v>
      </c>
      <c r="B1753" s="0" t="s">
        <v>100</v>
      </c>
      <c r="C1753" s="0" t="s">
        <v>6099</v>
      </c>
      <c r="D1753" s="0" t="n">
        <v>2022</v>
      </c>
      <c r="E1753" s="0" t="s">
        <v>65</v>
      </c>
      <c r="F1753" s="0" t="n">
        <v>232070</v>
      </c>
      <c r="G1753" s="0" t="s">
        <v>3101</v>
      </c>
      <c r="H1753" s="0" t="s">
        <v>3068</v>
      </c>
      <c r="I1753" s="0" t="n">
        <v>232070</v>
      </c>
      <c r="J1753" s="0" t="s">
        <v>6100</v>
      </c>
      <c r="K1753" s="0" t="s">
        <v>2688</v>
      </c>
      <c r="L1753" s="0" t="n">
        <v>2022</v>
      </c>
      <c r="M1753" s="0" t="s">
        <v>2275</v>
      </c>
      <c r="N1753" s="0" t="s">
        <v>113</v>
      </c>
      <c r="O1753" s="0" t="s">
        <v>6406</v>
      </c>
      <c r="P1753" s="0" t="s">
        <v>6407</v>
      </c>
      <c r="Q1753" s="0" t="n">
        <v>184</v>
      </c>
      <c r="R1753" s="0" t="n">
        <v>184</v>
      </c>
      <c r="T1753" s="0" t="s">
        <v>6408</v>
      </c>
      <c r="U1753" s="0" t="s">
        <v>4265</v>
      </c>
      <c r="V1753" s="0" t="s">
        <v>114</v>
      </c>
      <c r="W1753" s="0" t="s">
        <v>6440</v>
      </c>
      <c r="X1753" s="0" t="s">
        <v>6441</v>
      </c>
      <c r="Y1753" s="0" t="s">
        <v>4159</v>
      </c>
      <c r="Z1753" s="0" t="s">
        <v>4160</v>
      </c>
      <c r="AA1753" s="0" t="s">
        <v>6442</v>
      </c>
      <c r="AB1753" s="0" t="s">
        <v>6412</v>
      </c>
      <c r="AC1753" s="0" t="s">
        <v>4162</v>
      </c>
      <c r="AD1753" s="0" t="s">
        <v>4637</v>
      </c>
      <c r="AE1753" s="0" t="s">
        <v>1892</v>
      </c>
      <c r="AF1753" s="0" t="s">
        <v>6413</v>
      </c>
      <c r="AH1753" s="0" t="s">
        <v>2239</v>
      </c>
      <c r="AL1753" s="0" t="s">
        <v>523</v>
      </c>
    </row>
    <row r="1754" customFormat="false" ht="15" hidden="false" customHeight="false" outlineLevel="0" collapsed="false">
      <c r="A1754" s="0" t="s">
        <v>780</v>
      </c>
      <c r="B1754" s="0" t="s">
        <v>100</v>
      </c>
      <c r="C1754" s="0" t="s">
        <v>6099</v>
      </c>
      <c r="D1754" s="0" t="n">
        <v>2022</v>
      </c>
      <c r="E1754" s="0" t="s">
        <v>66</v>
      </c>
      <c r="F1754" s="0" t="n">
        <v>1748560</v>
      </c>
      <c r="G1754" s="0" t="s">
        <v>3101</v>
      </c>
      <c r="H1754" s="0" t="s">
        <v>3068</v>
      </c>
      <c r="I1754" s="0" t="n">
        <v>1748560</v>
      </c>
      <c r="J1754" s="0" t="s">
        <v>6100</v>
      </c>
      <c r="K1754" s="0" t="s">
        <v>2688</v>
      </c>
      <c r="L1754" s="0" t="n">
        <v>2022</v>
      </c>
      <c r="M1754" s="0" t="s">
        <v>2275</v>
      </c>
      <c r="N1754" s="0" t="s">
        <v>113</v>
      </c>
      <c r="O1754" s="0" t="s">
        <v>6406</v>
      </c>
      <c r="P1754" s="0" t="s">
        <v>6407</v>
      </c>
      <c r="Q1754" s="0" t="n">
        <v>184</v>
      </c>
      <c r="R1754" s="0" t="n">
        <v>184</v>
      </c>
      <c r="T1754" s="0" t="s">
        <v>6408</v>
      </c>
      <c r="U1754" s="0" t="s">
        <v>4265</v>
      </c>
      <c r="V1754" s="0" t="s">
        <v>114</v>
      </c>
      <c r="W1754" s="0" t="s">
        <v>6443</v>
      </c>
      <c r="X1754" s="0" t="s">
        <v>6441</v>
      </c>
      <c r="Y1754" s="0" t="s">
        <v>4159</v>
      </c>
      <c r="Z1754" s="0" t="s">
        <v>4160</v>
      </c>
      <c r="AA1754" s="0" t="s">
        <v>6444</v>
      </c>
      <c r="AB1754" s="0" t="s">
        <v>6412</v>
      </c>
      <c r="AC1754" s="0" t="s">
        <v>4162</v>
      </c>
      <c r="AD1754" s="0" t="s">
        <v>4637</v>
      </c>
      <c r="AE1754" s="0" t="s">
        <v>1892</v>
      </c>
      <c r="AF1754" s="0" t="s">
        <v>6413</v>
      </c>
      <c r="AH1754" s="0" t="s">
        <v>2239</v>
      </c>
      <c r="AL1754" s="0" t="s">
        <v>523</v>
      </c>
    </row>
    <row r="1755" customFormat="false" ht="15" hidden="false" customHeight="false" outlineLevel="0" collapsed="false">
      <c r="A1755" s="0" t="s">
        <v>778</v>
      </c>
      <c r="B1755" s="0" t="s">
        <v>100</v>
      </c>
      <c r="C1755" s="0" t="s">
        <v>6099</v>
      </c>
      <c r="D1755" s="0" t="n">
        <v>2022</v>
      </c>
      <c r="E1755" s="0" t="s">
        <v>69</v>
      </c>
      <c r="F1755" s="0" t="s">
        <v>6445</v>
      </c>
      <c r="G1755" s="0" t="s">
        <v>3143</v>
      </c>
      <c r="I1755" s="0" t="n">
        <v>13.27</v>
      </c>
      <c r="J1755" s="0" t="s">
        <v>6100</v>
      </c>
      <c r="K1755" s="0" t="s">
        <v>2688</v>
      </c>
      <c r="L1755" s="0" t="n">
        <v>2022</v>
      </c>
      <c r="M1755" s="0" t="s">
        <v>2275</v>
      </c>
      <c r="N1755" s="0" t="s">
        <v>113</v>
      </c>
      <c r="O1755" s="0" t="s">
        <v>6406</v>
      </c>
      <c r="P1755" s="0" t="s">
        <v>6407</v>
      </c>
      <c r="Q1755" s="0" t="n">
        <v>184</v>
      </c>
      <c r="R1755" s="0" t="n">
        <v>184</v>
      </c>
      <c r="T1755" s="0" t="s">
        <v>6408</v>
      </c>
      <c r="U1755" s="0" t="s">
        <v>4265</v>
      </c>
      <c r="V1755" s="0" t="s">
        <v>114</v>
      </c>
      <c r="W1755" s="0" t="s">
        <v>6446</v>
      </c>
      <c r="X1755" s="0" t="s">
        <v>6441</v>
      </c>
      <c r="Y1755" s="0" t="s">
        <v>4159</v>
      </c>
      <c r="Z1755" s="0" t="s">
        <v>4160</v>
      </c>
      <c r="AA1755" s="0" t="s">
        <v>6447</v>
      </c>
      <c r="AB1755" s="0" t="s">
        <v>6412</v>
      </c>
      <c r="AC1755" s="0" t="s">
        <v>4162</v>
      </c>
      <c r="AD1755" s="0" t="s">
        <v>4637</v>
      </c>
      <c r="AE1755" s="0" t="s">
        <v>1892</v>
      </c>
      <c r="AF1755" s="0" t="s">
        <v>6413</v>
      </c>
      <c r="AH1755" s="0" t="s">
        <v>2239</v>
      </c>
      <c r="AL1755" s="0" t="s">
        <v>523</v>
      </c>
    </row>
    <row r="1756" customFormat="false" ht="15" hidden="false" customHeight="false" outlineLevel="0" collapsed="false">
      <c r="A1756" s="0" t="s">
        <v>781</v>
      </c>
      <c r="B1756" s="0" t="s">
        <v>100</v>
      </c>
      <c r="C1756" s="0" t="s">
        <v>6099</v>
      </c>
      <c r="D1756" s="0" t="n">
        <v>2022</v>
      </c>
      <c r="E1756" s="0" t="s">
        <v>73</v>
      </c>
      <c r="F1756" s="0" t="n">
        <v>0</v>
      </c>
      <c r="G1756" s="0" t="s">
        <v>4257</v>
      </c>
      <c r="I1756" s="0" t="n">
        <v>0</v>
      </c>
      <c r="J1756" s="0" t="s">
        <v>6100</v>
      </c>
      <c r="K1756" s="0" t="s">
        <v>2688</v>
      </c>
      <c r="L1756" s="0" t="n">
        <v>2022</v>
      </c>
      <c r="M1756" s="0" t="s">
        <v>2275</v>
      </c>
      <c r="N1756" s="0" t="s">
        <v>113</v>
      </c>
      <c r="O1756" s="0" t="s">
        <v>6406</v>
      </c>
      <c r="P1756" s="0" t="s">
        <v>6407</v>
      </c>
      <c r="Q1756" s="0" t="n">
        <v>68</v>
      </c>
      <c r="R1756" s="0" t="n">
        <v>68</v>
      </c>
      <c r="T1756" s="0" t="s">
        <v>6139</v>
      </c>
      <c r="U1756" s="0" t="s">
        <v>4265</v>
      </c>
      <c r="V1756" s="0" t="s">
        <v>114</v>
      </c>
      <c r="W1756" s="0" t="s">
        <v>6267</v>
      </c>
      <c r="X1756" s="0" t="s">
        <v>6448</v>
      </c>
      <c r="Y1756" s="0" t="s">
        <v>4212</v>
      </c>
      <c r="Z1756" s="0" t="s">
        <v>4160</v>
      </c>
      <c r="AA1756" s="0" t="s">
        <v>6449</v>
      </c>
      <c r="AB1756" s="0" t="s">
        <v>6412</v>
      </c>
      <c r="AC1756" s="0" t="s">
        <v>4162</v>
      </c>
      <c r="AD1756" s="0" t="s">
        <v>4637</v>
      </c>
      <c r="AE1756" s="0" t="s">
        <v>1892</v>
      </c>
      <c r="AF1756" s="0" t="s">
        <v>6413</v>
      </c>
      <c r="AG1756" s="0" t="s">
        <v>1892</v>
      </c>
      <c r="AH1756" s="0" t="s">
        <v>2239</v>
      </c>
      <c r="AL1756" s="0" t="s">
        <v>539</v>
      </c>
    </row>
    <row r="1757" customFormat="false" ht="15" hidden="false" customHeight="false" outlineLevel="0" collapsed="false">
      <c r="A1757" s="0" t="s">
        <v>998</v>
      </c>
      <c r="B1757" s="0" t="s">
        <v>136</v>
      </c>
      <c r="C1757" s="0" t="s">
        <v>4507</v>
      </c>
      <c r="D1757" s="0" t="n">
        <v>2015</v>
      </c>
      <c r="E1757" s="0" t="s">
        <v>55</v>
      </c>
      <c r="F1757" s="0" t="n">
        <v>2277629224</v>
      </c>
      <c r="G1757" s="0" t="s">
        <v>3067</v>
      </c>
      <c r="H1757" s="0" t="s">
        <v>3068</v>
      </c>
      <c r="I1757" s="0" t="n">
        <v>2277629.224</v>
      </c>
      <c r="J1757" s="0" t="s">
        <v>4508</v>
      </c>
      <c r="K1757" s="0" t="s">
        <v>2705</v>
      </c>
      <c r="L1757" s="0" t="n">
        <v>2015</v>
      </c>
      <c r="M1757" s="0" t="s">
        <v>2279</v>
      </c>
      <c r="N1757" s="0" t="s">
        <v>138</v>
      </c>
      <c r="O1757" s="0" t="s">
        <v>6450</v>
      </c>
      <c r="P1757" s="0" t="s">
        <v>6451</v>
      </c>
      <c r="Q1757" s="0" t="n">
        <v>54</v>
      </c>
      <c r="R1757" s="0" t="n">
        <v>50</v>
      </c>
      <c r="T1757" s="0" t="s">
        <v>6452</v>
      </c>
      <c r="U1757" s="0" t="s">
        <v>4808</v>
      </c>
      <c r="V1757" s="0" t="s">
        <v>84</v>
      </c>
      <c r="W1757" s="0" t="s">
        <v>6453</v>
      </c>
      <c r="X1757" s="0" t="s">
        <v>6454</v>
      </c>
      <c r="Y1757" s="0" t="s">
        <v>4159</v>
      </c>
      <c r="Z1757" s="0" t="s">
        <v>4160</v>
      </c>
      <c r="AA1757" s="0" t="s">
        <v>6455</v>
      </c>
      <c r="AB1757" s="0" t="s">
        <v>6456</v>
      </c>
      <c r="AC1757" s="0" t="s">
        <v>4162</v>
      </c>
      <c r="AD1757" s="0" t="s">
        <v>4163</v>
      </c>
      <c r="AE1757" s="0" t="s">
        <v>4164</v>
      </c>
      <c r="AF1757" s="0" t="s">
        <v>6457</v>
      </c>
      <c r="AH1757" s="0" t="s">
        <v>2239</v>
      </c>
      <c r="AL1757" s="0" t="s">
        <v>523</v>
      </c>
    </row>
    <row r="1758" customFormat="false" ht="15" hidden="false" customHeight="false" outlineLevel="0" collapsed="false">
      <c r="A1758" s="0" t="s">
        <v>999</v>
      </c>
      <c r="B1758" s="0" t="s">
        <v>136</v>
      </c>
      <c r="C1758" s="0" t="s">
        <v>4507</v>
      </c>
      <c r="D1758" s="0" t="n">
        <v>2015</v>
      </c>
      <c r="E1758" s="0" t="s">
        <v>56</v>
      </c>
      <c r="F1758" s="0" t="n">
        <v>1872020876</v>
      </c>
      <c r="G1758" s="0" t="s">
        <v>3067</v>
      </c>
      <c r="H1758" s="0" t="s">
        <v>3068</v>
      </c>
      <c r="I1758" s="0" t="n">
        <v>1872020.876</v>
      </c>
      <c r="J1758" s="0" t="s">
        <v>4508</v>
      </c>
      <c r="K1758" s="0" t="s">
        <v>2705</v>
      </c>
      <c r="L1758" s="0" t="n">
        <v>2015</v>
      </c>
      <c r="M1758" s="0" t="s">
        <v>2279</v>
      </c>
      <c r="N1758" s="0" t="s">
        <v>138</v>
      </c>
      <c r="O1758" s="0" t="s">
        <v>6450</v>
      </c>
      <c r="P1758" s="0" t="s">
        <v>6451</v>
      </c>
      <c r="Q1758" s="0" t="n">
        <v>54</v>
      </c>
      <c r="R1758" s="0" t="n">
        <v>50</v>
      </c>
      <c r="T1758" s="0" t="s">
        <v>6452</v>
      </c>
      <c r="U1758" s="0" t="s">
        <v>4808</v>
      </c>
      <c r="V1758" s="0" t="s">
        <v>84</v>
      </c>
      <c r="W1758" s="0" t="s">
        <v>6458</v>
      </c>
      <c r="X1758" s="0" t="s">
        <v>6454</v>
      </c>
      <c r="Y1758" s="0" t="s">
        <v>4159</v>
      </c>
      <c r="Z1758" s="0" t="s">
        <v>4160</v>
      </c>
      <c r="AA1758" s="0" t="s">
        <v>6459</v>
      </c>
      <c r="AB1758" s="0" t="s">
        <v>6456</v>
      </c>
      <c r="AC1758" s="0" t="s">
        <v>4162</v>
      </c>
      <c r="AD1758" s="0" t="s">
        <v>4163</v>
      </c>
      <c r="AE1758" s="0" t="s">
        <v>4164</v>
      </c>
      <c r="AF1758" s="0" t="s">
        <v>6457</v>
      </c>
      <c r="AH1758" s="0" t="s">
        <v>2239</v>
      </c>
      <c r="AL1758" s="0" t="s">
        <v>523</v>
      </c>
    </row>
    <row r="1759" customFormat="false" ht="15" hidden="false" customHeight="false" outlineLevel="0" collapsed="false">
      <c r="A1759" s="0" t="s">
        <v>1000</v>
      </c>
      <c r="B1759" s="0" t="s">
        <v>136</v>
      </c>
      <c r="C1759" s="0" t="s">
        <v>4507</v>
      </c>
      <c r="D1759" s="0" t="n">
        <v>2015</v>
      </c>
      <c r="E1759" s="0" t="s">
        <v>57</v>
      </c>
      <c r="F1759" s="0" t="n">
        <v>405608348</v>
      </c>
      <c r="G1759" s="0" t="s">
        <v>3067</v>
      </c>
      <c r="H1759" s="0" t="s">
        <v>3068</v>
      </c>
      <c r="I1759" s="0" t="n">
        <v>405608.348</v>
      </c>
      <c r="J1759" s="0" t="s">
        <v>4508</v>
      </c>
      <c r="K1759" s="0" t="s">
        <v>2705</v>
      </c>
      <c r="L1759" s="0" t="n">
        <v>2015</v>
      </c>
      <c r="M1759" s="0" t="s">
        <v>2279</v>
      </c>
      <c r="N1759" s="0" t="s">
        <v>138</v>
      </c>
      <c r="O1759" s="0" t="s">
        <v>6450</v>
      </c>
      <c r="P1759" s="0" t="s">
        <v>6451</v>
      </c>
      <c r="Q1759" s="0" t="n">
        <v>55</v>
      </c>
      <c r="R1759" s="0" t="n">
        <v>51</v>
      </c>
      <c r="T1759" s="0" t="s">
        <v>6452</v>
      </c>
      <c r="U1759" s="0" t="s">
        <v>4808</v>
      </c>
      <c r="V1759" s="0" t="s">
        <v>84</v>
      </c>
      <c r="W1759" s="0" t="s">
        <v>6460</v>
      </c>
      <c r="X1759" s="0" t="s">
        <v>6461</v>
      </c>
      <c r="Y1759" s="0" t="s">
        <v>4159</v>
      </c>
      <c r="Z1759" s="0" t="s">
        <v>4160</v>
      </c>
      <c r="AA1759" s="0" t="s">
        <v>6462</v>
      </c>
      <c r="AB1759" s="0" t="s">
        <v>6456</v>
      </c>
      <c r="AC1759" s="0" t="s">
        <v>4162</v>
      </c>
      <c r="AD1759" s="0" t="s">
        <v>4163</v>
      </c>
      <c r="AE1759" s="0" t="s">
        <v>4164</v>
      </c>
      <c r="AF1759" s="0" t="s">
        <v>6457</v>
      </c>
      <c r="AH1759" s="0" t="s">
        <v>2239</v>
      </c>
      <c r="AL1759" s="0" t="s">
        <v>523</v>
      </c>
    </row>
    <row r="1760" customFormat="false" ht="15" hidden="false" customHeight="false" outlineLevel="0" collapsed="false">
      <c r="A1760" s="0" t="s">
        <v>997</v>
      </c>
      <c r="B1760" s="0" t="s">
        <v>136</v>
      </c>
      <c r="C1760" s="0" t="s">
        <v>4507</v>
      </c>
      <c r="D1760" s="0" t="n">
        <v>2015</v>
      </c>
      <c r="E1760" s="0" t="s">
        <v>54</v>
      </c>
      <c r="F1760" s="0" t="n">
        <v>94308123</v>
      </c>
      <c r="G1760" s="0" t="s">
        <v>3067</v>
      </c>
      <c r="H1760" s="0" t="s">
        <v>3068</v>
      </c>
      <c r="I1760" s="0" t="n">
        <v>94308.123</v>
      </c>
      <c r="J1760" s="0" t="s">
        <v>4508</v>
      </c>
      <c r="K1760" s="0" t="s">
        <v>2705</v>
      </c>
      <c r="L1760" s="0" t="n">
        <v>2015</v>
      </c>
      <c r="M1760" s="0" t="s">
        <v>2279</v>
      </c>
      <c r="N1760" s="0" t="s">
        <v>138</v>
      </c>
      <c r="O1760" s="0" t="s">
        <v>6450</v>
      </c>
      <c r="P1760" s="0" t="s">
        <v>6451</v>
      </c>
      <c r="Q1760" s="0" t="n">
        <v>56</v>
      </c>
      <c r="R1760" s="0" t="n">
        <v>52</v>
      </c>
      <c r="T1760" s="0" t="s">
        <v>6452</v>
      </c>
      <c r="U1760" s="0" t="s">
        <v>4808</v>
      </c>
      <c r="V1760" s="0" t="s">
        <v>84</v>
      </c>
      <c r="W1760" s="0" t="s">
        <v>6463</v>
      </c>
      <c r="X1760" s="0" t="s">
        <v>6464</v>
      </c>
      <c r="Y1760" s="0" t="s">
        <v>4159</v>
      </c>
      <c r="Z1760" s="0" t="s">
        <v>4160</v>
      </c>
      <c r="AA1760" s="0" t="s">
        <v>6465</v>
      </c>
      <c r="AB1760" s="0" t="s">
        <v>6456</v>
      </c>
      <c r="AC1760" s="0" t="s">
        <v>4162</v>
      </c>
      <c r="AD1760" s="0" t="s">
        <v>4163</v>
      </c>
      <c r="AE1760" s="0" t="s">
        <v>4164</v>
      </c>
      <c r="AF1760" s="0" t="s">
        <v>6457</v>
      </c>
      <c r="AH1760" s="0" t="s">
        <v>2239</v>
      </c>
      <c r="AL1760" s="0" t="s">
        <v>523</v>
      </c>
    </row>
    <row r="1761" customFormat="false" ht="15" hidden="false" customHeight="false" outlineLevel="0" collapsed="false">
      <c r="A1761" s="0" t="s">
        <v>1011</v>
      </c>
      <c r="B1761" s="0" t="s">
        <v>136</v>
      </c>
      <c r="C1761" s="0" t="s">
        <v>4507</v>
      </c>
      <c r="D1761" s="0" t="n">
        <v>2015</v>
      </c>
      <c r="E1761" s="0" t="s">
        <v>541</v>
      </c>
      <c r="F1761" s="0" t="n">
        <v>113027057</v>
      </c>
      <c r="G1761" s="0" t="s">
        <v>3067</v>
      </c>
      <c r="H1761" s="0" t="s">
        <v>3068</v>
      </c>
      <c r="I1761" s="0" t="n">
        <v>113027.057</v>
      </c>
      <c r="J1761" s="0" t="s">
        <v>4508</v>
      </c>
      <c r="K1761" s="0" t="s">
        <v>2705</v>
      </c>
      <c r="L1761" s="0" t="n">
        <v>2015</v>
      </c>
      <c r="M1761" s="0" t="s">
        <v>2279</v>
      </c>
      <c r="N1761" s="0" t="s">
        <v>138</v>
      </c>
      <c r="O1761" s="0" t="s">
        <v>6450</v>
      </c>
      <c r="P1761" s="0" t="s">
        <v>6451</v>
      </c>
      <c r="Q1761" s="0" t="n">
        <v>56</v>
      </c>
      <c r="R1761" s="0" t="n">
        <v>52</v>
      </c>
      <c r="T1761" s="0" t="s">
        <v>6452</v>
      </c>
      <c r="U1761" s="0" t="s">
        <v>4808</v>
      </c>
      <c r="V1761" s="0" t="s">
        <v>84</v>
      </c>
      <c r="W1761" s="0" t="s">
        <v>6466</v>
      </c>
      <c r="X1761" s="0" t="s">
        <v>6464</v>
      </c>
      <c r="Y1761" s="0" t="s">
        <v>4159</v>
      </c>
      <c r="Z1761" s="0" t="s">
        <v>4160</v>
      </c>
      <c r="AA1761" s="0" t="s">
        <v>6467</v>
      </c>
      <c r="AB1761" s="0" t="s">
        <v>6456</v>
      </c>
      <c r="AC1761" s="0" t="s">
        <v>4162</v>
      </c>
      <c r="AD1761" s="0" t="s">
        <v>4163</v>
      </c>
      <c r="AE1761" s="0" t="s">
        <v>4164</v>
      </c>
      <c r="AF1761" s="0" t="s">
        <v>6457</v>
      </c>
      <c r="AH1761" s="0" t="s">
        <v>2239</v>
      </c>
      <c r="AL1761" s="0" t="s">
        <v>523</v>
      </c>
    </row>
    <row r="1762" customFormat="false" ht="15" hidden="false" customHeight="false" outlineLevel="0" collapsed="false">
      <c r="A1762" s="0" t="s">
        <v>1001</v>
      </c>
      <c r="B1762" s="0" t="s">
        <v>136</v>
      </c>
      <c r="C1762" s="0" t="s">
        <v>4507</v>
      </c>
      <c r="D1762" s="0" t="n">
        <v>2015</v>
      </c>
      <c r="E1762" s="0" t="s">
        <v>58</v>
      </c>
      <c r="F1762" s="0" t="n">
        <v>10429148</v>
      </c>
      <c r="G1762" s="0" t="s">
        <v>3067</v>
      </c>
      <c r="H1762" s="0" t="s">
        <v>3068</v>
      </c>
      <c r="I1762" s="0" t="n">
        <v>10429.148</v>
      </c>
      <c r="J1762" s="0" t="s">
        <v>4508</v>
      </c>
      <c r="K1762" s="0" t="s">
        <v>2705</v>
      </c>
      <c r="L1762" s="0" t="n">
        <v>2015</v>
      </c>
      <c r="M1762" s="0" t="s">
        <v>2279</v>
      </c>
      <c r="N1762" s="0" t="s">
        <v>138</v>
      </c>
      <c r="O1762" s="0" t="s">
        <v>6450</v>
      </c>
      <c r="P1762" s="0" t="s">
        <v>6451</v>
      </c>
      <c r="Q1762" s="0" t="n">
        <v>62</v>
      </c>
      <c r="R1762" s="0" t="n">
        <v>58</v>
      </c>
      <c r="T1762" s="0" t="s">
        <v>6452</v>
      </c>
      <c r="U1762" s="0" t="s">
        <v>4808</v>
      </c>
      <c r="V1762" s="0" t="s">
        <v>84</v>
      </c>
      <c r="W1762" s="0" t="s">
        <v>6468</v>
      </c>
      <c r="X1762" s="0" t="s">
        <v>6469</v>
      </c>
      <c r="Y1762" s="0" t="s">
        <v>4159</v>
      </c>
      <c r="Z1762" s="0" t="s">
        <v>4160</v>
      </c>
      <c r="AA1762" s="0" t="s">
        <v>6470</v>
      </c>
      <c r="AB1762" s="0" t="s">
        <v>6456</v>
      </c>
      <c r="AC1762" s="0" t="s">
        <v>4162</v>
      </c>
      <c r="AD1762" s="0" t="s">
        <v>4163</v>
      </c>
      <c r="AE1762" s="0" t="s">
        <v>4164</v>
      </c>
      <c r="AF1762" s="0" t="s">
        <v>6457</v>
      </c>
      <c r="AH1762" s="0" t="s">
        <v>2239</v>
      </c>
      <c r="AL1762" s="0" t="s">
        <v>523</v>
      </c>
    </row>
    <row r="1763" customFormat="false" ht="15" hidden="false" customHeight="false" outlineLevel="0" collapsed="false">
      <c r="A1763" s="0" t="s">
        <v>1002</v>
      </c>
      <c r="B1763" s="0" t="s">
        <v>136</v>
      </c>
      <c r="C1763" s="0" t="s">
        <v>4507</v>
      </c>
      <c r="D1763" s="0" t="n">
        <v>2015</v>
      </c>
      <c r="E1763" s="0" t="s">
        <v>59</v>
      </c>
      <c r="F1763" s="0" t="n">
        <v>2126608312</v>
      </c>
      <c r="G1763" s="0" t="s">
        <v>3067</v>
      </c>
      <c r="H1763" s="0" t="s">
        <v>3068</v>
      </c>
      <c r="I1763" s="0" t="n">
        <v>2126608.312</v>
      </c>
      <c r="J1763" s="0" t="s">
        <v>4508</v>
      </c>
      <c r="K1763" s="0" t="s">
        <v>2705</v>
      </c>
      <c r="L1763" s="0" t="n">
        <v>2015</v>
      </c>
      <c r="M1763" s="0" t="s">
        <v>2279</v>
      </c>
      <c r="N1763" s="0" t="s">
        <v>138</v>
      </c>
      <c r="O1763" s="0" t="s">
        <v>6450</v>
      </c>
      <c r="P1763" s="0" t="s">
        <v>6451</v>
      </c>
      <c r="Q1763" s="0" t="n">
        <v>54</v>
      </c>
      <c r="R1763" s="0" t="n">
        <v>50</v>
      </c>
      <c r="T1763" s="0" t="s">
        <v>6471</v>
      </c>
      <c r="U1763" s="0" t="s">
        <v>6472</v>
      </c>
      <c r="V1763" s="0" t="s">
        <v>84</v>
      </c>
      <c r="W1763" s="0" t="s">
        <v>6453</v>
      </c>
      <c r="X1763" s="0" t="s">
        <v>6454</v>
      </c>
      <c r="Y1763" s="0" t="s">
        <v>4159</v>
      </c>
      <c r="Z1763" s="0" t="s">
        <v>4160</v>
      </c>
      <c r="AA1763" s="0" t="s">
        <v>6473</v>
      </c>
      <c r="AB1763" s="0" t="s">
        <v>6456</v>
      </c>
      <c r="AC1763" s="0" t="s">
        <v>4162</v>
      </c>
      <c r="AD1763" s="0" t="s">
        <v>4163</v>
      </c>
      <c r="AE1763" s="0" t="s">
        <v>4164</v>
      </c>
      <c r="AF1763" s="0" t="s">
        <v>6474</v>
      </c>
      <c r="AH1763" s="0" t="s">
        <v>2239</v>
      </c>
      <c r="AL1763" s="0" t="s">
        <v>523</v>
      </c>
    </row>
    <row r="1764" customFormat="false" ht="15" hidden="false" customHeight="false" outlineLevel="0" collapsed="false">
      <c r="A1764" s="0" t="s">
        <v>1006</v>
      </c>
      <c r="B1764" s="0" t="s">
        <v>136</v>
      </c>
      <c r="C1764" s="0" t="s">
        <v>4507</v>
      </c>
      <c r="D1764" s="0" t="n">
        <v>2015</v>
      </c>
      <c r="E1764" s="0" t="s">
        <v>63</v>
      </c>
      <c r="F1764" s="0" t="n">
        <v>-11769374</v>
      </c>
      <c r="G1764" s="0" t="s">
        <v>3067</v>
      </c>
      <c r="H1764" s="0" t="s">
        <v>3068</v>
      </c>
      <c r="I1764" s="0" t="n">
        <v>11769.374</v>
      </c>
      <c r="J1764" s="0" t="s">
        <v>4508</v>
      </c>
      <c r="K1764" s="0" t="s">
        <v>2705</v>
      </c>
      <c r="L1764" s="0" t="n">
        <v>2015</v>
      </c>
      <c r="M1764" s="0" t="s">
        <v>2279</v>
      </c>
      <c r="N1764" s="0" t="s">
        <v>138</v>
      </c>
      <c r="O1764" s="0" t="s">
        <v>6450</v>
      </c>
      <c r="P1764" s="0" t="s">
        <v>6451</v>
      </c>
      <c r="Q1764" s="0" t="n">
        <v>56</v>
      </c>
      <c r="R1764" s="0" t="n">
        <v>52</v>
      </c>
      <c r="S1764" s="0" t="n">
        <v>11</v>
      </c>
      <c r="T1764" s="0" t="s">
        <v>6452</v>
      </c>
      <c r="U1764" s="0" t="s">
        <v>4808</v>
      </c>
      <c r="V1764" s="0" t="s">
        <v>84</v>
      </c>
      <c r="W1764" s="0" t="s">
        <v>6475</v>
      </c>
      <c r="X1764" s="0" t="s">
        <v>6464</v>
      </c>
      <c r="Y1764" s="0" t="s">
        <v>4159</v>
      </c>
      <c r="Z1764" s="0" t="s">
        <v>4160</v>
      </c>
      <c r="AA1764" s="0" t="s">
        <v>6476</v>
      </c>
      <c r="AB1764" s="0" t="s">
        <v>6456</v>
      </c>
      <c r="AC1764" s="0" t="s">
        <v>4162</v>
      </c>
      <c r="AD1764" s="0" t="s">
        <v>4163</v>
      </c>
      <c r="AE1764" s="0" t="s">
        <v>4164</v>
      </c>
      <c r="AF1764" s="0" t="s">
        <v>6457</v>
      </c>
      <c r="AH1764" s="0" t="s">
        <v>4174</v>
      </c>
      <c r="AI1764" s="0" t="s">
        <v>4974</v>
      </c>
      <c r="AL1764" s="0" t="s">
        <v>523</v>
      </c>
    </row>
    <row r="1765" customFormat="false" ht="15" hidden="false" customHeight="false" outlineLevel="0" collapsed="false">
      <c r="A1765" s="0" t="s">
        <v>6477</v>
      </c>
      <c r="B1765" s="0" t="s">
        <v>136</v>
      </c>
      <c r="C1765" s="0" t="s">
        <v>4507</v>
      </c>
      <c r="D1765" s="0" t="n">
        <v>2015</v>
      </c>
      <c r="E1765" s="0" t="s">
        <v>4530</v>
      </c>
      <c r="F1765" s="0" t="n">
        <v>78456917</v>
      </c>
      <c r="G1765" s="0" t="s">
        <v>3067</v>
      </c>
      <c r="H1765" s="0" t="s">
        <v>3068</v>
      </c>
      <c r="I1765" s="0" t="n">
        <v>78456.917</v>
      </c>
      <c r="J1765" s="0" t="s">
        <v>4508</v>
      </c>
      <c r="K1765" s="0" t="s">
        <v>2705</v>
      </c>
      <c r="L1765" s="0" t="n">
        <v>2015</v>
      </c>
      <c r="M1765" s="0" t="s">
        <v>2279</v>
      </c>
      <c r="N1765" s="0" t="s">
        <v>138</v>
      </c>
      <c r="O1765" s="0" t="s">
        <v>6450</v>
      </c>
      <c r="P1765" s="0" t="s">
        <v>6451</v>
      </c>
      <c r="Q1765" s="0" t="n">
        <v>255</v>
      </c>
      <c r="R1765" s="0" t="n">
        <v>251</v>
      </c>
      <c r="S1765" s="0" t="n">
        <v>29</v>
      </c>
      <c r="T1765" s="0" t="s">
        <v>6452</v>
      </c>
      <c r="U1765" s="0" t="s">
        <v>4808</v>
      </c>
      <c r="V1765" s="0" t="s">
        <v>84</v>
      </c>
      <c r="W1765" s="0" t="s">
        <v>6478</v>
      </c>
      <c r="X1765" s="0" t="s">
        <v>6479</v>
      </c>
      <c r="Y1765" s="0" t="s">
        <v>4159</v>
      </c>
      <c r="Z1765" s="0" t="s">
        <v>4160</v>
      </c>
      <c r="AA1765" s="0" t="s">
        <v>6480</v>
      </c>
      <c r="AB1765" s="0" t="s">
        <v>6456</v>
      </c>
      <c r="AC1765" s="0" t="s">
        <v>4162</v>
      </c>
      <c r="AD1765" s="0" t="s">
        <v>4163</v>
      </c>
      <c r="AE1765" s="0" t="s">
        <v>4164</v>
      </c>
      <c r="AF1765" s="0" t="s">
        <v>6457</v>
      </c>
      <c r="AH1765" s="0" t="s">
        <v>2239</v>
      </c>
      <c r="AL1765" s="0" t="s">
        <v>523</v>
      </c>
    </row>
    <row r="1766" customFormat="false" ht="15" hidden="false" customHeight="false" outlineLevel="0" collapsed="false">
      <c r="A1766" s="0" t="s">
        <v>6481</v>
      </c>
      <c r="B1766" s="0" t="s">
        <v>136</v>
      </c>
      <c r="C1766" s="0" t="s">
        <v>4507</v>
      </c>
      <c r="D1766" s="0" t="n">
        <v>2015</v>
      </c>
      <c r="E1766" s="0" t="s">
        <v>4534</v>
      </c>
      <c r="F1766" s="0" t="n">
        <v>-809643</v>
      </c>
      <c r="G1766" s="0" t="s">
        <v>3067</v>
      </c>
      <c r="H1766" s="0" t="s">
        <v>3068</v>
      </c>
      <c r="I1766" s="0" t="n">
        <v>809.643</v>
      </c>
      <c r="J1766" s="0" t="s">
        <v>4508</v>
      </c>
      <c r="K1766" s="0" t="s">
        <v>2705</v>
      </c>
      <c r="L1766" s="0" t="n">
        <v>2015</v>
      </c>
      <c r="M1766" s="0" t="s">
        <v>2279</v>
      </c>
      <c r="N1766" s="0" t="s">
        <v>138</v>
      </c>
      <c r="O1766" s="0" t="s">
        <v>6450</v>
      </c>
      <c r="P1766" s="0" t="s">
        <v>6451</v>
      </c>
      <c r="Q1766" s="0" t="n">
        <v>255</v>
      </c>
      <c r="R1766" s="0" t="n">
        <v>251</v>
      </c>
      <c r="S1766" s="0" t="n">
        <v>29</v>
      </c>
      <c r="T1766" s="0" t="s">
        <v>6452</v>
      </c>
      <c r="U1766" s="0" t="s">
        <v>4808</v>
      </c>
      <c r="V1766" s="0" t="s">
        <v>84</v>
      </c>
      <c r="W1766" s="0" t="s">
        <v>6482</v>
      </c>
      <c r="X1766" s="0" t="s">
        <v>6479</v>
      </c>
      <c r="Y1766" s="0" t="s">
        <v>4159</v>
      </c>
      <c r="Z1766" s="0" t="s">
        <v>4160</v>
      </c>
      <c r="AA1766" s="0" t="s">
        <v>6483</v>
      </c>
      <c r="AB1766" s="0" t="s">
        <v>6456</v>
      </c>
      <c r="AC1766" s="0" t="s">
        <v>4162</v>
      </c>
      <c r="AD1766" s="0" t="s">
        <v>4163</v>
      </c>
      <c r="AE1766" s="0" t="s">
        <v>4164</v>
      </c>
      <c r="AF1766" s="0" t="s">
        <v>6457</v>
      </c>
      <c r="AH1766" s="0" t="s">
        <v>4174</v>
      </c>
      <c r="AI1766" s="0" t="s">
        <v>4781</v>
      </c>
      <c r="AL1766" s="0" t="s">
        <v>523</v>
      </c>
    </row>
    <row r="1767" customFormat="false" ht="15" hidden="false" customHeight="false" outlineLevel="0" collapsed="false">
      <c r="A1767" s="0" t="s">
        <v>6484</v>
      </c>
      <c r="B1767" s="0" t="s">
        <v>136</v>
      </c>
      <c r="C1767" s="0" t="s">
        <v>4507</v>
      </c>
      <c r="D1767" s="0" t="n">
        <v>2015</v>
      </c>
      <c r="E1767" s="0" t="s">
        <v>4537</v>
      </c>
      <c r="F1767" s="0" t="n">
        <v>1213059311</v>
      </c>
      <c r="G1767" s="0" t="s">
        <v>3067</v>
      </c>
      <c r="H1767" s="0" t="s">
        <v>3068</v>
      </c>
      <c r="I1767" s="0" t="n">
        <v>1213059.311</v>
      </c>
      <c r="J1767" s="0" t="s">
        <v>4508</v>
      </c>
      <c r="K1767" s="0" t="s">
        <v>2705</v>
      </c>
      <c r="L1767" s="0" t="n">
        <v>2015</v>
      </c>
      <c r="M1767" s="0" t="s">
        <v>2279</v>
      </c>
      <c r="N1767" s="0" t="s">
        <v>138</v>
      </c>
      <c r="O1767" s="0" t="s">
        <v>6450</v>
      </c>
      <c r="P1767" s="0" t="s">
        <v>6451</v>
      </c>
      <c r="Q1767" s="0" t="n">
        <v>255</v>
      </c>
      <c r="R1767" s="0" t="n">
        <v>251</v>
      </c>
      <c r="S1767" s="0" t="n">
        <v>29</v>
      </c>
      <c r="T1767" s="0" t="s">
        <v>6452</v>
      </c>
      <c r="U1767" s="0" t="s">
        <v>4808</v>
      </c>
      <c r="V1767" s="0" t="s">
        <v>84</v>
      </c>
      <c r="W1767" s="0" t="s">
        <v>6485</v>
      </c>
      <c r="X1767" s="0" t="s">
        <v>6479</v>
      </c>
      <c r="Y1767" s="0" t="s">
        <v>4159</v>
      </c>
      <c r="Z1767" s="0" t="s">
        <v>4160</v>
      </c>
      <c r="AA1767" s="0" t="s">
        <v>6486</v>
      </c>
      <c r="AB1767" s="0" t="s">
        <v>6456</v>
      </c>
      <c r="AC1767" s="0" t="s">
        <v>4162</v>
      </c>
      <c r="AD1767" s="0" t="s">
        <v>4163</v>
      </c>
      <c r="AE1767" s="0" t="s">
        <v>4164</v>
      </c>
      <c r="AF1767" s="0" t="s">
        <v>6457</v>
      </c>
      <c r="AH1767" s="0" t="s">
        <v>2239</v>
      </c>
      <c r="AL1767" s="0" t="s">
        <v>523</v>
      </c>
    </row>
    <row r="1768" customFormat="false" ht="15" hidden="false" customHeight="false" outlineLevel="0" collapsed="false">
      <c r="A1768" s="0" t="s">
        <v>6487</v>
      </c>
      <c r="B1768" s="0" t="s">
        <v>136</v>
      </c>
      <c r="C1768" s="0" t="s">
        <v>4507</v>
      </c>
      <c r="D1768" s="0" t="n">
        <v>2015</v>
      </c>
      <c r="E1768" s="0" t="s">
        <v>4540</v>
      </c>
      <c r="F1768" s="0" t="n">
        <v>-25499142</v>
      </c>
      <c r="G1768" s="0" t="s">
        <v>3067</v>
      </c>
      <c r="H1768" s="0" t="s">
        <v>3068</v>
      </c>
      <c r="I1768" s="0" t="n">
        <v>25499.142</v>
      </c>
      <c r="J1768" s="0" t="s">
        <v>4508</v>
      </c>
      <c r="K1768" s="0" t="s">
        <v>2705</v>
      </c>
      <c r="L1768" s="0" t="n">
        <v>2015</v>
      </c>
      <c r="M1768" s="0" t="s">
        <v>2279</v>
      </c>
      <c r="N1768" s="0" t="s">
        <v>138</v>
      </c>
      <c r="O1768" s="0" t="s">
        <v>6450</v>
      </c>
      <c r="P1768" s="0" t="s">
        <v>6451</v>
      </c>
      <c r="Q1768" s="0" t="n">
        <v>256</v>
      </c>
      <c r="R1768" s="0" t="n">
        <v>252</v>
      </c>
      <c r="S1768" s="0" t="n">
        <v>29</v>
      </c>
      <c r="T1768" s="0" t="s">
        <v>6452</v>
      </c>
      <c r="U1768" s="0" t="s">
        <v>4808</v>
      </c>
      <c r="V1768" s="0" t="s">
        <v>84</v>
      </c>
      <c r="W1768" s="0" t="s">
        <v>6488</v>
      </c>
      <c r="X1768" s="0" t="s">
        <v>6489</v>
      </c>
      <c r="Y1768" s="0" t="s">
        <v>4159</v>
      </c>
      <c r="Z1768" s="0" t="s">
        <v>4160</v>
      </c>
      <c r="AA1768" s="0" t="s">
        <v>6490</v>
      </c>
      <c r="AB1768" s="0" t="s">
        <v>6456</v>
      </c>
      <c r="AC1768" s="0" t="s">
        <v>4162</v>
      </c>
      <c r="AD1768" s="0" t="s">
        <v>4163</v>
      </c>
      <c r="AE1768" s="0" t="s">
        <v>4164</v>
      </c>
      <c r="AF1768" s="0" t="s">
        <v>6457</v>
      </c>
      <c r="AH1768" s="0" t="s">
        <v>4174</v>
      </c>
      <c r="AI1768" s="0" t="s">
        <v>4781</v>
      </c>
      <c r="AL1768" s="0" t="s">
        <v>523</v>
      </c>
    </row>
    <row r="1769" customFormat="false" ht="15" hidden="false" customHeight="false" outlineLevel="0" collapsed="false">
      <c r="A1769" s="0" t="s">
        <v>1005</v>
      </c>
      <c r="B1769" s="0" t="s">
        <v>136</v>
      </c>
      <c r="C1769" s="0" t="s">
        <v>4507</v>
      </c>
      <c r="D1769" s="0" t="n">
        <v>2015</v>
      </c>
      <c r="E1769" s="0" t="s">
        <v>62</v>
      </c>
      <c r="F1769" s="0" t="n">
        <v>1265207443</v>
      </c>
      <c r="G1769" s="0" t="s">
        <v>3067</v>
      </c>
      <c r="H1769" s="0" t="s">
        <v>3068</v>
      </c>
      <c r="I1769" s="0" t="n">
        <v>1265207.443</v>
      </c>
      <c r="J1769" s="0" t="s">
        <v>4508</v>
      </c>
      <c r="K1769" s="0" t="s">
        <v>2705</v>
      </c>
      <c r="L1769" s="0" t="n">
        <v>2015</v>
      </c>
      <c r="M1769" s="0" t="s">
        <v>2279</v>
      </c>
      <c r="N1769" s="0" t="s">
        <v>138</v>
      </c>
      <c r="O1769" s="0" t="s">
        <v>6450</v>
      </c>
      <c r="P1769" s="0" t="s">
        <v>6451</v>
      </c>
      <c r="Q1769" s="0" t="n">
        <v>54</v>
      </c>
      <c r="R1769" s="0" t="n">
        <v>50</v>
      </c>
      <c r="S1769" s="0" t="n">
        <v>29</v>
      </c>
      <c r="T1769" s="0" t="s">
        <v>6452</v>
      </c>
      <c r="U1769" s="0" t="s">
        <v>4808</v>
      </c>
      <c r="V1769" s="0" t="s">
        <v>84</v>
      </c>
      <c r="W1769" s="0" t="s">
        <v>6491</v>
      </c>
      <c r="X1769" s="0" t="s">
        <v>6454</v>
      </c>
      <c r="Y1769" s="0" t="s">
        <v>4159</v>
      </c>
      <c r="Z1769" s="0" t="s">
        <v>4160</v>
      </c>
      <c r="AA1769" s="0" t="s">
        <v>6492</v>
      </c>
      <c r="AB1769" s="0" t="s">
        <v>6456</v>
      </c>
      <c r="AC1769" s="0" t="s">
        <v>4162</v>
      </c>
      <c r="AD1769" s="0" t="s">
        <v>4163</v>
      </c>
      <c r="AE1769" s="0" t="s">
        <v>4164</v>
      </c>
      <c r="AF1769" s="0" t="s">
        <v>6457</v>
      </c>
      <c r="AH1769" s="0" t="s">
        <v>2239</v>
      </c>
      <c r="AL1769" s="0" t="s">
        <v>523</v>
      </c>
    </row>
    <row r="1770" customFormat="false" ht="15" hidden="false" customHeight="false" outlineLevel="0" collapsed="false">
      <c r="A1770" s="0" t="s">
        <v>1008</v>
      </c>
      <c r="B1770" s="0" t="s">
        <v>136</v>
      </c>
      <c r="C1770" s="0" t="s">
        <v>4507</v>
      </c>
      <c r="D1770" s="0" t="n">
        <v>2015</v>
      </c>
      <c r="E1770" s="0" t="s">
        <v>65</v>
      </c>
      <c r="F1770" s="0" t="n">
        <v>333426139</v>
      </c>
      <c r="G1770" s="0" t="s">
        <v>3067</v>
      </c>
      <c r="H1770" s="0" t="s">
        <v>3068</v>
      </c>
      <c r="I1770" s="0" t="n">
        <v>333426.139</v>
      </c>
      <c r="J1770" s="0" t="s">
        <v>4508</v>
      </c>
      <c r="K1770" s="0" t="s">
        <v>2705</v>
      </c>
      <c r="L1770" s="0" t="n">
        <v>2015</v>
      </c>
      <c r="M1770" s="0" t="s">
        <v>2279</v>
      </c>
      <c r="N1770" s="0" t="s">
        <v>138</v>
      </c>
      <c r="O1770" s="0" t="s">
        <v>6450</v>
      </c>
      <c r="P1770" s="0" t="s">
        <v>6451</v>
      </c>
      <c r="Q1770" s="0" t="n">
        <v>201</v>
      </c>
      <c r="R1770" s="0" t="n">
        <v>197</v>
      </c>
      <c r="S1770" s="0" t="n">
        <v>5</v>
      </c>
      <c r="T1770" s="0" t="s">
        <v>6452</v>
      </c>
      <c r="U1770" s="0" t="s">
        <v>4808</v>
      </c>
      <c r="V1770" s="0" t="s">
        <v>84</v>
      </c>
      <c r="W1770" s="0" t="s">
        <v>6493</v>
      </c>
      <c r="X1770" s="0" t="s">
        <v>6494</v>
      </c>
      <c r="Y1770" s="0" t="s">
        <v>4159</v>
      </c>
      <c r="Z1770" s="0" t="s">
        <v>4160</v>
      </c>
      <c r="AA1770" s="0" t="s">
        <v>6495</v>
      </c>
      <c r="AB1770" s="0" t="s">
        <v>6456</v>
      </c>
      <c r="AC1770" s="0" t="s">
        <v>4162</v>
      </c>
      <c r="AD1770" s="0" t="s">
        <v>4163</v>
      </c>
      <c r="AE1770" s="0" t="s">
        <v>4164</v>
      </c>
      <c r="AF1770" s="0" t="s">
        <v>6457</v>
      </c>
      <c r="AH1770" s="0" t="s">
        <v>2239</v>
      </c>
      <c r="AL1770" s="0" t="s">
        <v>523</v>
      </c>
    </row>
    <row r="1771" customFormat="false" ht="15" hidden="false" customHeight="false" outlineLevel="0" collapsed="false">
      <c r="A1771" s="0" t="s">
        <v>1009</v>
      </c>
      <c r="B1771" s="0" t="s">
        <v>136</v>
      </c>
      <c r="C1771" s="0" t="s">
        <v>4507</v>
      </c>
      <c r="D1771" s="0" t="n">
        <v>2015</v>
      </c>
      <c r="E1771" s="0" t="s">
        <v>66</v>
      </c>
      <c r="F1771" s="0" t="n">
        <v>1835072113</v>
      </c>
      <c r="G1771" s="0" t="s">
        <v>3067</v>
      </c>
      <c r="H1771" s="0" t="s">
        <v>3068</v>
      </c>
      <c r="I1771" s="0" t="n">
        <v>1835072.113</v>
      </c>
      <c r="J1771" s="0" t="s">
        <v>4508</v>
      </c>
      <c r="K1771" s="0" t="s">
        <v>2705</v>
      </c>
      <c r="L1771" s="0" t="n">
        <v>2015</v>
      </c>
      <c r="M1771" s="0" t="s">
        <v>2279</v>
      </c>
      <c r="N1771" s="0" t="s">
        <v>138</v>
      </c>
      <c r="O1771" s="0" t="s">
        <v>6450</v>
      </c>
      <c r="P1771" s="0" t="s">
        <v>6451</v>
      </c>
      <c r="Q1771" s="0" t="n">
        <v>201</v>
      </c>
      <c r="R1771" s="0" t="n">
        <v>197</v>
      </c>
      <c r="S1771" s="0" t="n">
        <v>5</v>
      </c>
      <c r="T1771" s="0" t="s">
        <v>6452</v>
      </c>
      <c r="U1771" s="0" t="s">
        <v>4808</v>
      </c>
      <c r="V1771" s="0" t="s">
        <v>84</v>
      </c>
      <c r="W1771" s="0" t="s">
        <v>6496</v>
      </c>
      <c r="X1771" s="0" t="s">
        <v>6494</v>
      </c>
      <c r="Y1771" s="0" t="s">
        <v>4159</v>
      </c>
      <c r="Z1771" s="0" t="s">
        <v>4160</v>
      </c>
      <c r="AA1771" s="0" t="s">
        <v>6497</v>
      </c>
      <c r="AB1771" s="0" t="s">
        <v>6456</v>
      </c>
      <c r="AC1771" s="0" t="s">
        <v>4162</v>
      </c>
      <c r="AD1771" s="0" t="s">
        <v>4163</v>
      </c>
      <c r="AE1771" s="0" t="s">
        <v>4164</v>
      </c>
      <c r="AF1771" s="0" t="s">
        <v>6457</v>
      </c>
      <c r="AH1771" s="0" t="s">
        <v>2239</v>
      </c>
      <c r="AL1771" s="0" t="s">
        <v>523</v>
      </c>
    </row>
    <row r="1772" customFormat="false" ht="15" hidden="false" customHeight="false" outlineLevel="0" collapsed="false">
      <c r="A1772" s="0" t="s">
        <v>1007</v>
      </c>
      <c r="B1772" s="0" t="s">
        <v>136</v>
      </c>
      <c r="C1772" s="0" t="s">
        <v>4507</v>
      </c>
      <c r="D1772" s="0" t="n">
        <v>2015</v>
      </c>
      <c r="E1772" s="0" t="s">
        <v>69</v>
      </c>
      <c r="F1772" s="0" t="s">
        <v>6498</v>
      </c>
      <c r="G1772" s="0" t="s">
        <v>3143</v>
      </c>
      <c r="I1772" s="0" t="n">
        <v>18.17</v>
      </c>
      <c r="J1772" s="0" t="s">
        <v>4508</v>
      </c>
      <c r="K1772" s="0" t="s">
        <v>2705</v>
      </c>
      <c r="L1772" s="0" t="n">
        <v>2015</v>
      </c>
      <c r="M1772" s="0" t="s">
        <v>2279</v>
      </c>
      <c r="N1772" s="0" t="s">
        <v>138</v>
      </c>
      <c r="O1772" s="0" t="s">
        <v>6450</v>
      </c>
      <c r="P1772" s="0" t="s">
        <v>6451</v>
      </c>
      <c r="Q1772" s="0" t="n">
        <v>201</v>
      </c>
      <c r="R1772" s="0" t="n">
        <v>197</v>
      </c>
      <c r="S1772" s="0" t="n">
        <v>5</v>
      </c>
      <c r="T1772" s="0" t="s">
        <v>6452</v>
      </c>
      <c r="U1772" s="0" t="s">
        <v>4808</v>
      </c>
      <c r="V1772" s="0" t="s">
        <v>84</v>
      </c>
      <c r="W1772" s="0" t="s">
        <v>6499</v>
      </c>
      <c r="X1772" s="0" t="s">
        <v>6494</v>
      </c>
      <c r="Y1772" s="0" t="s">
        <v>4159</v>
      </c>
      <c r="Z1772" s="0" t="s">
        <v>4160</v>
      </c>
      <c r="AA1772" s="0" t="s">
        <v>6500</v>
      </c>
      <c r="AB1772" s="0" t="s">
        <v>6456</v>
      </c>
      <c r="AC1772" s="0" t="s">
        <v>4162</v>
      </c>
      <c r="AD1772" s="0" t="s">
        <v>4163</v>
      </c>
      <c r="AE1772" s="0" t="s">
        <v>4164</v>
      </c>
      <c r="AF1772" s="0" t="s">
        <v>6457</v>
      </c>
      <c r="AH1772" s="0" t="s">
        <v>2239</v>
      </c>
      <c r="AL1772" s="0" t="s">
        <v>523</v>
      </c>
    </row>
    <row r="1773" customFormat="false" ht="15" hidden="false" customHeight="false" outlineLevel="0" collapsed="false">
      <c r="A1773" s="0" t="s">
        <v>1010</v>
      </c>
      <c r="B1773" s="0" t="s">
        <v>136</v>
      </c>
      <c r="C1773" s="0" t="s">
        <v>4507</v>
      </c>
      <c r="D1773" s="0" t="n">
        <v>2015</v>
      </c>
      <c r="E1773" s="0" t="s">
        <v>73</v>
      </c>
      <c r="F1773" s="0" t="n">
        <v>0</v>
      </c>
      <c r="G1773" s="0" t="s">
        <v>4257</v>
      </c>
      <c r="I1773" s="0" t="n">
        <v>0</v>
      </c>
      <c r="J1773" s="0" t="s">
        <v>4508</v>
      </c>
      <c r="K1773" s="0" t="s">
        <v>2705</v>
      </c>
      <c r="L1773" s="0" t="n">
        <v>2015</v>
      </c>
      <c r="M1773" s="0" t="s">
        <v>2279</v>
      </c>
      <c r="N1773" s="0" t="s">
        <v>138</v>
      </c>
      <c r="O1773" s="0" t="s">
        <v>6450</v>
      </c>
      <c r="P1773" s="0" t="s">
        <v>6451</v>
      </c>
      <c r="Q1773" s="0" t="n">
        <v>51</v>
      </c>
      <c r="R1773" s="0" t="n">
        <v>47</v>
      </c>
      <c r="T1773" s="0" t="s">
        <v>6501</v>
      </c>
      <c r="U1773" s="0" t="s">
        <v>4808</v>
      </c>
      <c r="V1773" s="0" t="s">
        <v>84</v>
      </c>
      <c r="W1773" s="0" t="s">
        <v>6502</v>
      </c>
      <c r="X1773" s="0" t="s">
        <v>6503</v>
      </c>
      <c r="Y1773" s="0" t="s">
        <v>4212</v>
      </c>
      <c r="Z1773" s="0" t="s">
        <v>4160</v>
      </c>
      <c r="AA1773" s="0" t="s">
        <v>6504</v>
      </c>
      <c r="AB1773" s="0" t="s">
        <v>6456</v>
      </c>
      <c r="AC1773" s="0" t="s">
        <v>4162</v>
      </c>
      <c r="AD1773" s="0" t="s">
        <v>4163</v>
      </c>
      <c r="AE1773" s="0" t="s">
        <v>4164</v>
      </c>
      <c r="AF1773" s="0" t="s">
        <v>6457</v>
      </c>
      <c r="AG1773" s="0" t="s">
        <v>1828</v>
      </c>
      <c r="AH1773" s="0" t="s">
        <v>2239</v>
      </c>
      <c r="AL1773" s="0" t="s">
        <v>539</v>
      </c>
    </row>
    <row r="1774" customFormat="false" ht="15" hidden="false" customHeight="false" outlineLevel="0" collapsed="false">
      <c r="A1774" s="0" t="s">
        <v>1013</v>
      </c>
      <c r="B1774" s="0" t="s">
        <v>136</v>
      </c>
      <c r="C1774" s="0" t="s">
        <v>4507</v>
      </c>
      <c r="D1774" s="0" t="n">
        <v>2016</v>
      </c>
      <c r="E1774" s="0" t="s">
        <v>55</v>
      </c>
      <c r="F1774" s="0" t="n">
        <v>2613340074</v>
      </c>
      <c r="G1774" s="0" t="s">
        <v>3067</v>
      </c>
      <c r="H1774" s="0" t="s">
        <v>3068</v>
      </c>
      <c r="I1774" s="0" t="n">
        <v>2613340.074</v>
      </c>
      <c r="J1774" s="0" t="s">
        <v>4508</v>
      </c>
      <c r="K1774" s="0" t="s">
        <v>2706</v>
      </c>
      <c r="L1774" s="0" t="n">
        <v>2016</v>
      </c>
      <c r="M1774" s="0" t="s">
        <v>2286</v>
      </c>
      <c r="N1774" s="0" t="s">
        <v>139</v>
      </c>
      <c r="O1774" s="0" t="s">
        <v>6505</v>
      </c>
      <c r="P1774" s="0" t="s">
        <v>6506</v>
      </c>
      <c r="Q1774" s="0" t="n">
        <v>78</v>
      </c>
      <c r="R1774" s="0" t="n">
        <v>77</v>
      </c>
      <c r="T1774" s="0" t="s">
        <v>6507</v>
      </c>
      <c r="U1774" s="0" t="s">
        <v>4209</v>
      </c>
      <c r="V1774" s="0" t="s">
        <v>140</v>
      </c>
      <c r="W1774" s="0" t="s">
        <v>6508</v>
      </c>
      <c r="X1774" s="0" t="s">
        <v>6509</v>
      </c>
      <c r="Y1774" s="0" t="s">
        <v>4159</v>
      </c>
      <c r="Z1774" s="0" t="s">
        <v>4160</v>
      </c>
      <c r="AA1774" s="0" t="s">
        <v>6510</v>
      </c>
      <c r="AB1774" s="0" t="s">
        <v>6511</v>
      </c>
      <c r="AC1774" s="0" t="s">
        <v>4162</v>
      </c>
      <c r="AD1774" s="0" t="s">
        <v>4163</v>
      </c>
      <c r="AE1774" s="0" t="s">
        <v>4164</v>
      </c>
      <c r="AF1774" s="0" t="s">
        <v>6512</v>
      </c>
      <c r="AH1774" s="0" t="s">
        <v>2239</v>
      </c>
      <c r="AL1774" s="0" t="s">
        <v>523</v>
      </c>
    </row>
    <row r="1775" customFormat="false" ht="15" hidden="false" customHeight="false" outlineLevel="0" collapsed="false">
      <c r="A1775" s="0" t="s">
        <v>1014</v>
      </c>
      <c r="B1775" s="0" t="s">
        <v>136</v>
      </c>
      <c r="C1775" s="0" t="s">
        <v>4507</v>
      </c>
      <c r="D1775" s="0" t="n">
        <v>2016</v>
      </c>
      <c r="E1775" s="0" t="s">
        <v>56</v>
      </c>
      <c r="F1775" s="0" t="n">
        <v>2136422221</v>
      </c>
      <c r="G1775" s="0" t="s">
        <v>3067</v>
      </c>
      <c r="H1775" s="0" t="s">
        <v>3068</v>
      </c>
      <c r="I1775" s="0" t="n">
        <v>2136422.221</v>
      </c>
      <c r="J1775" s="0" t="s">
        <v>4508</v>
      </c>
      <c r="K1775" s="0" t="s">
        <v>2706</v>
      </c>
      <c r="L1775" s="0" t="n">
        <v>2016</v>
      </c>
      <c r="M1775" s="0" t="s">
        <v>2286</v>
      </c>
      <c r="N1775" s="0" t="s">
        <v>139</v>
      </c>
      <c r="O1775" s="0" t="s">
        <v>6505</v>
      </c>
      <c r="P1775" s="0" t="s">
        <v>6506</v>
      </c>
      <c r="Q1775" s="0" t="n">
        <v>78</v>
      </c>
      <c r="R1775" s="0" t="n">
        <v>77</v>
      </c>
      <c r="T1775" s="0" t="s">
        <v>6507</v>
      </c>
      <c r="U1775" s="0" t="s">
        <v>4209</v>
      </c>
      <c r="V1775" s="0" t="s">
        <v>140</v>
      </c>
      <c r="W1775" s="0" t="s">
        <v>6513</v>
      </c>
      <c r="X1775" s="0" t="s">
        <v>6509</v>
      </c>
      <c r="Y1775" s="0" t="s">
        <v>4159</v>
      </c>
      <c r="Z1775" s="0" t="s">
        <v>4160</v>
      </c>
      <c r="AA1775" s="0" t="s">
        <v>6514</v>
      </c>
      <c r="AB1775" s="0" t="s">
        <v>6511</v>
      </c>
      <c r="AC1775" s="0" t="s">
        <v>4162</v>
      </c>
      <c r="AD1775" s="0" t="s">
        <v>4163</v>
      </c>
      <c r="AE1775" s="0" t="s">
        <v>4164</v>
      </c>
      <c r="AF1775" s="0" t="s">
        <v>6512</v>
      </c>
      <c r="AH1775" s="0" t="s">
        <v>2239</v>
      </c>
      <c r="AL1775" s="0" t="s">
        <v>523</v>
      </c>
    </row>
    <row r="1776" customFormat="false" ht="15" hidden="false" customHeight="false" outlineLevel="0" collapsed="false">
      <c r="A1776" s="0" t="s">
        <v>1015</v>
      </c>
      <c r="B1776" s="0" t="s">
        <v>136</v>
      </c>
      <c r="C1776" s="0" t="s">
        <v>4507</v>
      </c>
      <c r="D1776" s="0" t="n">
        <v>2016</v>
      </c>
      <c r="E1776" s="0" t="s">
        <v>57</v>
      </c>
      <c r="F1776" s="0" t="n">
        <v>476917853</v>
      </c>
      <c r="G1776" s="0" t="s">
        <v>3067</v>
      </c>
      <c r="H1776" s="0" t="s">
        <v>3068</v>
      </c>
      <c r="I1776" s="0" t="n">
        <v>476917.853</v>
      </c>
      <c r="J1776" s="0" t="s">
        <v>4508</v>
      </c>
      <c r="K1776" s="0" t="s">
        <v>2706</v>
      </c>
      <c r="L1776" s="0" t="n">
        <v>2016</v>
      </c>
      <c r="M1776" s="0" t="s">
        <v>2286</v>
      </c>
      <c r="N1776" s="0" t="s">
        <v>139</v>
      </c>
      <c r="O1776" s="0" t="s">
        <v>6505</v>
      </c>
      <c r="P1776" s="0" t="s">
        <v>6506</v>
      </c>
      <c r="Q1776" s="0" t="n">
        <v>79</v>
      </c>
      <c r="R1776" s="0" t="n">
        <v>78</v>
      </c>
      <c r="T1776" s="0" t="s">
        <v>6507</v>
      </c>
      <c r="U1776" s="0" t="s">
        <v>4209</v>
      </c>
      <c r="V1776" s="0" t="s">
        <v>140</v>
      </c>
      <c r="W1776" s="0" t="s">
        <v>6515</v>
      </c>
      <c r="X1776" s="0" t="s">
        <v>6516</v>
      </c>
      <c r="Y1776" s="0" t="s">
        <v>4159</v>
      </c>
      <c r="Z1776" s="0" t="s">
        <v>4160</v>
      </c>
      <c r="AA1776" s="0" t="s">
        <v>6517</v>
      </c>
      <c r="AB1776" s="0" t="s">
        <v>6511</v>
      </c>
      <c r="AC1776" s="0" t="s">
        <v>4162</v>
      </c>
      <c r="AD1776" s="0" t="s">
        <v>4163</v>
      </c>
      <c r="AE1776" s="0" t="s">
        <v>4164</v>
      </c>
      <c r="AF1776" s="0" t="s">
        <v>6512</v>
      </c>
      <c r="AH1776" s="0" t="s">
        <v>2239</v>
      </c>
      <c r="AL1776" s="0" t="s">
        <v>523</v>
      </c>
    </row>
    <row r="1777" customFormat="false" ht="15" hidden="false" customHeight="false" outlineLevel="0" collapsed="false">
      <c r="A1777" s="0" t="s">
        <v>1012</v>
      </c>
      <c r="B1777" s="0" t="s">
        <v>136</v>
      </c>
      <c r="C1777" s="0" t="s">
        <v>4507</v>
      </c>
      <c r="D1777" s="0" t="n">
        <v>2016</v>
      </c>
      <c r="E1777" s="0" t="s">
        <v>54</v>
      </c>
      <c r="F1777" s="0" t="n">
        <v>126836792</v>
      </c>
      <c r="G1777" s="0" t="s">
        <v>3067</v>
      </c>
      <c r="H1777" s="0" t="s">
        <v>3068</v>
      </c>
      <c r="I1777" s="0" t="n">
        <v>126836.792</v>
      </c>
      <c r="J1777" s="0" t="s">
        <v>4508</v>
      </c>
      <c r="K1777" s="0" t="s">
        <v>2706</v>
      </c>
      <c r="L1777" s="0" t="n">
        <v>2016</v>
      </c>
      <c r="M1777" s="0" t="s">
        <v>2286</v>
      </c>
      <c r="N1777" s="0" t="s">
        <v>139</v>
      </c>
      <c r="O1777" s="0" t="s">
        <v>6505</v>
      </c>
      <c r="P1777" s="0" t="s">
        <v>6506</v>
      </c>
      <c r="Q1777" s="0" t="n">
        <v>80</v>
      </c>
      <c r="R1777" s="0" t="n">
        <v>79</v>
      </c>
      <c r="T1777" s="0" t="s">
        <v>6507</v>
      </c>
      <c r="U1777" s="0" t="s">
        <v>4209</v>
      </c>
      <c r="V1777" s="0" t="s">
        <v>140</v>
      </c>
      <c r="W1777" s="0" t="s">
        <v>6518</v>
      </c>
      <c r="X1777" s="0" t="s">
        <v>6519</v>
      </c>
      <c r="Y1777" s="0" t="s">
        <v>4159</v>
      </c>
      <c r="Z1777" s="0" t="s">
        <v>4160</v>
      </c>
      <c r="AA1777" s="0" t="s">
        <v>6520</v>
      </c>
      <c r="AB1777" s="0" t="s">
        <v>6511</v>
      </c>
      <c r="AC1777" s="0" t="s">
        <v>4162</v>
      </c>
      <c r="AD1777" s="0" t="s">
        <v>4163</v>
      </c>
      <c r="AE1777" s="0" t="s">
        <v>4164</v>
      </c>
      <c r="AF1777" s="0" t="s">
        <v>6512</v>
      </c>
      <c r="AH1777" s="0" t="s">
        <v>2239</v>
      </c>
      <c r="AL1777" s="0" t="s">
        <v>523</v>
      </c>
    </row>
    <row r="1778" customFormat="false" ht="15" hidden="false" customHeight="false" outlineLevel="0" collapsed="false">
      <c r="A1778" s="0" t="s">
        <v>1026</v>
      </c>
      <c r="B1778" s="0" t="s">
        <v>136</v>
      </c>
      <c r="C1778" s="0" t="s">
        <v>4507</v>
      </c>
      <c r="D1778" s="0" t="n">
        <v>2016</v>
      </c>
      <c r="E1778" s="0" t="s">
        <v>541</v>
      </c>
      <c r="F1778" s="0" t="n">
        <v>154005487</v>
      </c>
      <c r="G1778" s="0" t="s">
        <v>3067</v>
      </c>
      <c r="H1778" s="0" t="s">
        <v>3068</v>
      </c>
      <c r="I1778" s="0" t="n">
        <v>154005.487</v>
      </c>
      <c r="J1778" s="0" t="s">
        <v>4508</v>
      </c>
      <c r="K1778" s="0" t="s">
        <v>2706</v>
      </c>
      <c r="L1778" s="0" t="n">
        <v>2016</v>
      </c>
      <c r="M1778" s="0" t="s">
        <v>2286</v>
      </c>
      <c r="N1778" s="0" t="s">
        <v>139</v>
      </c>
      <c r="O1778" s="0" t="s">
        <v>6505</v>
      </c>
      <c r="P1778" s="0" t="s">
        <v>6506</v>
      </c>
      <c r="Q1778" s="0" t="n">
        <v>80</v>
      </c>
      <c r="R1778" s="0" t="n">
        <v>79</v>
      </c>
      <c r="T1778" s="0" t="s">
        <v>6507</v>
      </c>
      <c r="U1778" s="0" t="s">
        <v>4209</v>
      </c>
      <c r="V1778" s="0" t="s">
        <v>140</v>
      </c>
      <c r="W1778" s="0" t="s">
        <v>6521</v>
      </c>
      <c r="X1778" s="0" t="s">
        <v>6519</v>
      </c>
      <c r="Y1778" s="0" t="s">
        <v>4159</v>
      </c>
      <c r="Z1778" s="0" t="s">
        <v>4160</v>
      </c>
      <c r="AA1778" s="0" t="s">
        <v>6522</v>
      </c>
      <c r="AB1778" s="0" t="s">
        <v>6511</v>
      </c>
      <c r="AC1778" s="0" t="s">
        <v>4162</v>
      </c>
      <c r="AD1778" s="0" t="s">
        <v>4163</v>
      </c>
      <c r="AE1778" s="0" t="s">
        <v>4164</v>
      </c>
      <c r="AF1778" s="0" t="s">
        <v>6512</v>
      </c>
      <c r="AH1778" s="0" t="s">
        <v>2239</v>
      </c>
      <c r="AL1778" s="0" t="s">
        <v>523</v>
      </c>
    </row>
    <row r="1779" customFormat="false" ht="15" hidden="false" customHeight="false" outlineLevel="0" collapsed="false">
      <c r="A1779" s="0" t="s">
        <v>1016</v>
      </c>
      <c r="B1779" s="0" t="s">
        <v>136</v>
      </c>
      <c r="C1779" s="0" t="s">
        <v>4507</v>
      </c>
      <c r="D1779" s="0" t="n">
        <v>2016</v>
      </c>
      <c r="E1779" s="0" t="s">
        <v>58</v>
      </c>
      <c r="F1779" s="0" t="n">
        <v>286884139</v>
      </c>
      <c r="G1779" s="0" t="s">
        <v>3067</v>
      </c>
      <c r="H1779" s="0" t="s">
        <v>3068</v>
      </c>
      <c r="I1779" s="0" t="n">
        <v>286884.139</v>
      </c>
      <c r="J1779" s="0" t="s">
        <v>4508</v>
      </c>
      <c r="K1779" s="0" t="s">
        <v>2706</v>
      </c>
      <c r="L1779" s="0" t="n">
        <v>2016</v>
      </c>
      <c r="M1779" s="0" t="s">
        <v>2286</v>
      </c>
      <c r="N1779" s="0" t="s">
        <v>139</v>
      </c>
      <c r="O1779" s="0" t="s">
        <v>6505</v>
      </c>
      <c r="P1779" s="0" t="s">
        <v>6506</v>
      </c>
      <c r="Q1779" s="0" t="n">
        <v>86</v>
      </c>
      <c r="R1779" s="0" t="n">
        <v>85</v>
      </c>
      <c r="T1779" s="0" t="s">
        <v>6507</v>
      </c>
      <c r="U1779" s="0" t="s">
        <v>4209</v>
      </c>
      <c r="V1779" s="0" t="s">
        <v>140</v>
      </c>
      <c r="W1779" s="0" t="s">
        <v>6523</v>
      </c>
      <c r="X1779" s="0" t="s">
        <v>6524</v>
      </c>
      <c r="Y1779" s="0" t="s">
        <v>4159</v>
      </c>
      <c r="Z1779" s="0" t="s">
        <v>4160</v>
      </c>
      <c r="AA1779" s="0" t="s">
        <v>6525</v>
      </c>
      <c r="AB1779" s="0" t="s">
        <v>6511</v>
      </c>
      <c r="AC1779" s="0" t="s">
        <v>4162</v>
      </c>
      <c r="AD1779" s="0" t="s">
        <v>4163</v>
      </c>
      <c r="AE1779" s="0" t="s">
        <v>4164</v>
      </c>
      <c r="AF1779" s="0" t="s">
        <v>6512</v>
      </c>
      <c r="AH1779" s="0" t="s">
        <v>2239</v>
      </c>
      <c r="AL1779" s="0" t="s">
        <v>523</v>
      </c>
    </row>
    <row r="1780" customFormat="false" ht="15" hidden="false" customHeight="false" outlineLevel="0" collapsed="false">
      <c r="A1780" s="0" t="s">
        <v>1017</v>
      </c>
      <c r="B1780" s="0" t="s">
        <v>136</v>
      </c>
      <c r="C1780" s="0" t="s">
        <v>4507</v>
      </c>
      <c r="D1780" s="0" t="n">
        <v>2016</v>
      </c>
      <c r="E1780" s="0" t="s">
        <v>59</v>
      </c>
      <c r="F1780" s="0" t="n">
        <v>2277629224</v>
      </c>
      <c r="G1780" s="0" t="s">
        <v>3067</v>
      </c>
      <c r="H1780" s="0" t="s">
        <v>3068</v>
      </c>
      <c r="I1780" s="0" t="n">
        <v>2277629.224</v>
      </c>
      <c r="J1780" s="0" t="s">
        <v>4508</v>
      </c>
      <c r="K1780" s="0" t="s">
        <v>2706</v>
      </c>
      <c r="L1780" s="0" t="n">
        <v>2016</v>
      </c>
      <c r="M1780" s="0" t="s">
        <v>2286</v>
      </c>
      <c r="N1780" s="0" t="s">
        <v>139</v>
      </c>
      <c r="O1780" s="0" t="s">
        <v>6505</v>
      </c>
      <c r="P1780" s="0" t="s">
        <v>6506</v>
      </c>
      <c r="Q1780" s="0" t="n">
        <v>78</v>
      </c>
      <c r="R1780" s="0" t="n">
        <v>77</v>
      </c>
      <c r="T1780" s="0" t="s">
        <v>6452</v>
      </c>
      <c r="U1780" s="0" t="s">
        <v>6526</v>
      </c>
      <c r="V1780" s="0" t="s">
        <v>140</v>
      </c>
      <c r="W1780" s="0" t="s">
        <v>6508</v>
      </c>
      <c r="X1780" s="0" t="s">
        <v>6509</v>
      </c>
      <c r="Y1780" s="0" t="s">
        <v>4159</v>
      </c>
      <c r="Z1780" s="0" t="s">
        <v>4160</v>
      </c>
      <c r="AA1780" s="0" t="s">
        <v>6527</v>
      </c>
      <c r="AB1780" s="0" t="s">
        <v>6511</v>
      </c>
      <c r="AC1780" s="0" t="s">
        <v>4162</v>
      </c>
      <c r="AD1780" s="0" t="s">
        <v>4163</v>
      </c>
      <c r="AE1780" s="0" t="s">
        <v>4164</v>
      </c>
      <c r="AF1780" s="0" t="s">
        <v>6528</v>
      </c>
      <c r="AH1780" s="0" t="s">
        <v>2239</v>
      </c>
      <c r="AL1780" s="0" t="s">
        <v>523</v>
      </c>
    </row>
    <row r="1781" customFormat="false" ht="15" hidden="false" customHeight="false" outlineLevel="0" collapsed="false">
      <c r="A1781" s="0" t="s">
        <v>1021</v>
      </c>
      <c r="B1781" s="0" t="s">
        <v>136</v>
      </c>
      <c r="C1781" s="0" t="s">
        <v>4507</v>
      </c>
      <c r="D1781" s="0" t="n">
        <v>2016</v>
      </c>
      <c r="E1781" s="0" t="s">
        <v>63</v>
      </c>
      <c r="F1781" s="0" t="n">
        <v>-63542640</v>
      </c>
      <c r="G1781" s="0" t="s">
        <v>3067</v>
      </c>
      <c r="H1781" s="0" t="s">
        <v>3068</v>
      </c>
      <c r="I1781" s="0" t="n">
        <v>63542.64</v>
      </c>
      <c r="J1781" s="0" t="s">
        <v>4508</v>
      </c>
      <c r="K1781" s="0" t="s">
        <v>2706</v>
      </c>
      <c r="L1781" s="0" t="n">
        <v>2016</v>
      </c>
      <c r="M1781" s="0" t="s">
        <v>2286</v>
      </c>
      <c r="N1781" s="0" t="s">
        <v>139</v>
      </c>
      <c r="O1781" s="0" t="s">
        <v>6505</v>
      </c>
      <c r="P1781" s="0" t="s">
        <v>6506</v>
      </c>
      <c r="Q1781" s="0" t="n">
        <v>80</v>
      </c>
      <c r="R1781" s="0" t="n">
        <v>79</v>
      </c>
      <c r="S1781" s="0" t="n">
        <v>11</v>
      </c>
      <c r="T1781" s="0" t="s">
        <v>6507</v>
      </c>
      <c r="U1781" s="0" t="s">
        <v>4209</v>
      </c>
      <c r="V1781" s="0" t="s">
        <v>140</v>
      </c>
      <c r="W1781" s="0" t="s">
        <v>6529</v>
      </c>
      <c r="X1781" s="0" t="s">
        <v>6519</v>
      </c>
      <c r="Y1781" s="0" t="s">
        <v>4159</v>
      </c>
      <c r="Z1781" s="0" t="s">
        <v>4160</v>
      </c>
      <c r="AA1781" s="0" t="s">
        <v>6530</v>
      </c>
      <c r="AB1781" s="0" t="s">
        <v>6511</v>
      </c>
      <c r="AC1781" s="0" t="s">
        <v>4162</v>
      </c>
      <c r="AD1781" s="0" t="s">
        <v>4163</v>
      </c>
      <c r="AE1781" s="0" t="s">
        <v>4164</v>
      </c>
      <c r="AF1781" s="0" t="s">
        <v>6512</v>
      </c>
      <c r="AH1781" s="0" t="s">
        <v>4174</v>
      </c>
      <c r="AI1781" s="0" t="s">
        <v>4974</v>
      </c>
      <c r="AL1781" s="0" t="s">
        <v>523</v>
      </c>
    </row>
    <row r="1782" customFormat="false" ht="15" hidden="false" customHeight="false" outlineLevel="0" collapsed="false">
      <c r="A1782" s="0" t="s">
        <v>6531</v>
      </c>
      <c r="B1782" s="0" t="s">
        <v>136</v>
      </c>
      <c r="C1782" s="0" t="s">
        <v>4507</v>
      </c>
      <c r="D1782" s="0" t="n">
        <v>2016</v>
      </c>
      <c r="E1782" s="0" t="s">
        <v>4530</v>
      </c>
      <c r="F1782" s="0" t="n">
        <v>113567868</v>
      </c>
      <c r="G1782" s="0" t="s">
        <v>3067</v>
      </c>
      <c r="H1782" s="0" t="s">
        <v>3068</v>
      </c>
      <c r="I1782" s="0" t="n">
        <v>113567.868</v>
      </c>
      <c r="J1782" s="0" t="s">
        <v>4508</v>
      </c>
      <c r="K1782" s="0" t="s">
        <v>2706</v>
      </c>
      <c r="L1782" s="0" t="n">
        <v>2016</v>
      </c>
      <c r="M1782" s="0" t="s">
        <v>2286</v>
      </c>
      <c r="N1782" s="0" t="s">
        <v>139</v>
      </c>
      <c r="O1782" s="0" t="s">
        <v>6505</v>
      </c>
      <c r="P1782" s="0" t="s">
        <v>6506</v>
      </c>
      <c r="Q1782" s="0" t="n">
        <v>257</v>
      </c>
      <c r="R1782" s="0" t="n">
        <v>256</v>
      </c>
      <c r="S1782" s="0" t="n">
        <v>29</v>
      </c>
      <c r="T1782" s="0" t="s">
        <v>6507</v>
      </c>
      <c r="U1782" s="0" t="s">
        <v>4209</v>
      </c>
      <c r="V1782" s="0" t="s">
        <v>140</v>
      </c>
      <c r="W1782" s="0" t="s">
        <v>6532</v>
      </c>
      <c r="X1782" s="0" t="s">
        <v>6533</v>
      </c>
      <c r="Y1782" s="0" t="s">
        <v>4159</v>
      </c>
      <c r="Z1782" s="0" t="s">
        <v>4160</v>
      </c>
      <c r="AA1782" s="0" t="s">
        <v>6534</v>
      </c>
      <c r="AB1782" s="0" t="s">
        <v>6511</v>
      </c>
      <c r="AC1782" s="0" t="s">
        <v>4162</v>
      </c>
      <c r="AD1782" s="0" t="s">
        <v>4163</v>
      </c>
      <c r="AE1782" s="0" t="s">
        <v>4164</v>
      </c>
      <c r="AF1782" s="0" t="s">
        <v>6512</v>
      </c>
      <c r="AH1782" s="0" t="s">
        <v>2239</v>
      </c>
      <c r="AL1782" s="0" t="s">
        <v>523</v>
      </c>
    </row>
    <row r="1783" customFormat="false" ht="15" hidden="false" customHeight="false" outlineLevel="0" collapsed="false">
      <c r="A1783" s="0" t="s">
        <v>6535</v>
      </c>
      <c r="B1783" s="0" t="s">
        <v>136</v>
      </c>
      <c r="C1783" s="0" t="s">
        <v>4507</v>
      </c>
      <c r="D1783" s="0" t="n">
        <v>2016</v>
      </c>
      <c r="E1783" s="0" t="s">
        <v>4534</v>
      </c>
      <c r="F1783" s="0" t="n">
        <v>-2080890</v>
      </c>
      <c r="G1783" s="0" t="s">
        <v>3067</v>
      </c>
      <c r="H1783" s="0" t="s">
        <v>3068</v>
      </c>
      <c r="I1783" s="0" t="n">
        <v>2080.89</v>
      </c>
      <c r="J1783" s="0" t="s">
        <v>4508</v>
      </c>
      <c r="K1783" s="0" t="s">
        <v>2706</v>
      </c>
      <c r="L1783" s="0" t="n">
        <v>2016</v>
      </c>
      <c r="M1783" s="0" t="s">
        <v>2286</v>
      </c>
      <c r="N1783" s="0" t="s">
        <v>139</v>
      </c>
      <c r="O1783" s="0" t="s">
        <v>6505</v>
      </c>
      <c r="P1783" s="0" t="s">
        <v>6506</v>
      </c>
      <c r="Q1783" s="0" t="n">
        <v>257</v>
      </c>
      <c r="R1783" s="0" t="n">
        <v>256</v>
      </c>
      <c r="S1783" s="0" t="n">
        <v>29</v>
      </c>
      <c r="T1783" s="0" t="s">
        <v>6507</v>
      </c>
      <c r="U1783" s="0" t="s">
        <v>4209</v>
      </c>
      <c r="V1783" s="0" t="s">
        <v>140</v>
      </c>
      <c r="W1783" s="0" t="s">
        <v>6536</v>
      </c>
      <c r="X1783" s="0" t="s">
        <v>6533</v>
      </c>
      <c r="Y1783" s="0" t="s">
        <v>4159</v>
      </c>
      <c r="Z1783" s="0" t="s">
        <v>4160</v>
      </c>
      <c r="AA1783" s="0" t="s">
        <v>6537</v>
      </c>
      <c r="AB1783" s="0" t="s">
        <v>6511</v>
      </c>
      <c r="AC1783" s="0" t="s">
        <v>4162</v>
      </c>
      <c r="AD1783" s="0" t="s">
        <v>4163</v>
      </c>
      <c r="AE1783" s="0" t="s">
        <v>4164</v>
      </c>
      <c r="AF1783" s="0" t="s">
        <v>6512</v>
      </c>
      <c r="AH1783" s="0" t="s">
        <v>4174</v>
      </c>
      <c r="AI1783" s="0" t="s">
        <v>4781</v>
      </c>
      <c r="AL1783" s="0" t="s">
        <v>523</v>
      </c>
    </row>
    <row r="1784" customFormat="false" ht="15" hidden="false" customHeight="false" outlineLevel="0" collapsed="false">
      <c r="A1784" s="0" t="s">
        <v>6538</v>
      </c>
      <c r="B1784" s="0" t="s">
        <v>136</v>
      </c>
      <c r="C1784" s="0" t="s">
        <v>4507</v>
      </c>
      <c r="D1784" s="0" t="n">
        <v>2016</v>
      </c>
      <c r="E1784" s="0" t="s">
        <v>4537</v>
      </c>
      <c r="F1784" s="0" t="n">
        <v>1377549848</v>
      </c>
      <c r="G1784" s="0" t="s">
        <v>3067</v>
      </c>
      <c r="H1784" s="0" t="s">
        <v>3068</v>
      </c>
      <c r="I1784" s="0" t="n">
        <v>1377549.848</v>
      </c>
      <c r="J1784" s="0" t="s">
        <v>4508</v>
      </c>
      <c r="K1784" s="0" t="s">
        <v>2706</v>
      </c>
      <c r="L1784" s="0" t="n">
        <v>2016</v>
      </c>
      <c r="M1784" s="0" t="s">
        <v>2286</v>
      </c>
      <c r="N1784" s="0" t="s">
        <v>139</v>
      </c>
      <c r="O1784" s="0" t="s">
        <v>6505</v>
      </c>
      <c r="P1784" s="0" t="s">
        <v>6506</v>
      </c>
      <c r="Q1784" s="0" t="n">
        <v>257</v>
      </c>
      <c r="R1784" s="0" t="n">
        <v>256</v>
      </c>
      <c r="S1784" s="0" t="n">
        <v>29</v>
      </c>
      <c r="T1784" s="0" t="s">
        <v>6507</v>
      </c>
      <c r="U1784" s="0" t="s">
        <v>4209</v>
      </c>
      <c r="V1784" s="0" t="s">
        <v>140</v>
      </c>
      <c r="W1784" s="0" t="s">
        <v>6539</v>
      </c>
      <c r="X1784" s="0" t="s">
        <v>6533</v>
      </c>
      <c r="Y1784" s="0" t="s">
        <v>4159</v>
      </c>
      <c r="Z1784" s="0" t="s">
        <v>4160</v>
      </c>
      <c r="AA1784" s="0" t="s">
        <v>6540</v>
      </c>
      <c r="AB1784" s="0" t="s">
        <v>6511</v>
      </c>
      <c r="AC1784" s="0" t="s">
        <v>4162</v>
      </c>
      <c r="AD1784" s="0" t="s">
        <v>4163</v>
      </c>
      <c r="AE1784" s="0" t="s">
        <v>4164</v>
      </c>
      <c r="AF1784" s="0" t="s">
        <v>6512</v>
      </c>
      <c r="AH1784" s="0" t="s">
        <v>2239</v>
      </c>
      <c r="AL1784" s="0" t="s">
        <v>523</v>
      </c>
    </row>
    <row r="1785" customFormat="false" ht="15" hidden="false" customHeight="false" outlineLevel="0" collapsed="false">
      <c r="A1785" s="0" t="s">
        <v>6541</v>
      </c>
      <c r="B1785" s="0" t="s">
        <v>136</v>
      </c>
      <c r="C1785" s="0" t="s">
        <v>4507</v>
      </c>
      <c r="D1785" s="0" t="n">
        <v>2016</v>
      </c>
      <c r="E1785" s="0" t="s">
        <v>4540</v>
      </c>
      <c r="F1785" s="0" t="n">
        <v>-71818874</v>
      </c>
      <c r="G1785" s="0" t="s">
        <v>3067</v>
      </c>
      <c r="H1785" s="0" t="s">
        <v>3068</v>
      </c>
      <c r="I1785" s="0" t="n">
        <v>71818.874</v>
      </c>
      <c r="J1785" s="0" t="s">
        <v>4508</v>
      </c>
      <c r="K1785" s="0" t="s">
        <v>2706</v>
      </c>
      <c r="L1785" s="0" t="n">
        <v>2016</v>
      </c>
      <c r="M1785" s="0" t="s">
        <v>2286</v>
      </c>
      <c r="N1785" s="0" t="s">
        <v>139</v>
      </c>
      <c r="O1785" s="0" t="s">
        <v>6505</v>
      </c>
      <c r="P1785" s="0" t="s">
        <v>6506</v>
      </c>
      <c r="Q1785" s="0" t="n">
        <v>257</v>
      </c>
      <c r="R1785" s="0" t="n">
        <v>256</v>
      </c>
      <c r="S1785" s="0" t="n">
        <v>29</v>
      </c>
      <c r="T1785" s="0" t="s">
        <v>6507</v>
      </c>
      <c r="U1785" s="0" t="s">
        <v>4209</v>
      </c>
      <c r="V1785" s="0" t="s">
        <v>140</v>
      </c>
      <c r="W1785" s="0" t="s">
        <v>6542</v>
      </c>
      <c r="X1785" s="0" t="s">
        <v>6533</v>
      </c>
      <c r="Y1785" s="0" t="s">
        <v>4159</v>
      </c>
      <c r="Z1785" s="0" t="s">
        <v>4160</v>
      </c>
      <c r="AA1785" s="0" t="s">
        <v>6543</v>
      </c>
      <c r="AB1785" s="0" t="s">
        <v>6511</v>
      </c>
      <c r="AC1785" s="0" t="s">
        <v>4162</v>
      </c>
      <c r="AD1785" s="0" t="s">
        <v>4163</v>
      </c>
      <c r="AE1785" s="0" t="s">
        <v>4164</v>
      </c>
      <c r="AF1785" s="0" t="s">
        <v>6512</v>
      </c>
      <c r="AH1785" s="0" t="s">
        <v>4174</v>
      </c>
      <c r="AI1785" s="0" t="s">
        <v>4781</v>
      </c>
      <c r="AL1785" s="0" t="s">
        <v>523</v>
      </c>
    </row>
    <row r="1786" customFormat="false" ht="15" hidden="false" customHeight="false" outlineLevel="0" collapsed="false">
      <c r="A1786" s="0" t="s">
        <v>1020</v>
      </c>
      <c r="B1786" s="0" t="s">
        <v>136</v>
      </c>
      <c r="C1786" s="0" t="s">
        <v>4507</v>
      </c>
      <c r="D1786" s="0" t="n">
        <v>2016</v>
      </c>
      <c r="E1786" s="0" t="s">
        <v>62</v>
      </c>
      <c r="F1786" s="0" t="n">
        <v>1417217952</v>
      </c>
      <c r="G1786" s="0" t="s">
        <v>3067</v>
      </c>
      <c r="H1786" s="0" t="s">
        <v>3068</v>
      </c>
      <c r="I1786" s="0" t="n">
        <v>1417217.952</v>
      </c>
      <c r="J1786" s="0" t="s">
        <v>4508</v>
      </c>
      <c r="K1786" s="0" t="s">
        <v>2706</v>
      </c>
      <c r="L1786" s="0" t="n">
        <v>2016</v>
      </c>
      <c r="M1786" s="0" t="s">
        <v>2286</v>
      </c>
      <c r="N1786" s="0" t="s">
        <v>139</v>
      </c>
      <c r="O1786" s="0" t="s">
        <v>6505</v>
      </c>
      <c r="P1786" s="0" t="s">
        <v>6506</v>
      </c>
      <c r="Q1786" s="0" t="n">
        <v>78</v>
      </c>
      <c r="R1786" s="0" t="n">
        <v>77</v>
      </c>
      <c r="S1786" s="0" t="n">
        <v>29</v>
      </c>
      <c r="T1786" s="0" t="s">
        <v>6507</v>
      </c>
      <c r="U1786" s="0" t="s">
        <v>4209</v>
      </c>
      <c r="V1786" s="0" t="s">
        <v>140</v>
      </c>
      <c r="W1786" s="0" t="s">
        <v>6544</v>
      </c>
      <c r="X1786" s="0" t="s">
        <v>6509</v>
      </c>
      <c r="Y1786" s="0" t="s">
        <v>4159</v>
      </c>
      <c r="Z1786" s="0" t="s">
        <v>4160</v>
      </c>
      <c r="AA1786" s="0" t="s">
        <v>6545</v>
      </c>
      <c r="AB1786" s="0" t="s">
        <v>6511</v>
      </c>
      <c r="AC1786" s="0" t="s">
        <v>4162</v>
      </c>
      <c r="AD1786" s="0" t="s">
        <v>4163</v>
      </c>
      <c r="AE1786" s="0" t="s">
        <v>4164</v>
      </c>
      <c r="AF1786" s="0" t="s">
        <v>6512</v>
      </c>
      <c r="AH1786" s="0" t="s">
        <v>2239</v>
      </c>
      <c r="AL1786" s="0" t="s">
        <v>523</v>
      </c>
    </row>
    <row r="1787" customFormat="false" ht="15" hidden="false" customHeight="false" outlineLevel="0" collapsed="false">
      <c r="A1787" s="0" t="s">
        <v>1023</v>
      </c>
      <c r="B1787" s="0" t="s">
        <v>136</v>
      </c>
      <c r="C1787" s="0" t="s">
        <v>4507</v>
      </c>
      <c r="D1787" s="0" t="n">
        <v>2016</v>
      </c>
      <c r="E1787" s="0" t="s">
        <v>65</v>
      </c>
      <c r="F1787" s="0" t="n">
        <v>405526626</v>
      </c>
      <c r="G1787" s="0" t="s">
        <v>3067</v>
      </c>
      <c r="H1787" s="0" t="s">
        <v>3068</v>
      </c>
      <c r="I1787" s="0" t="n">
        <v>405526.626</v>
      </c>
      <c r="J1787" s="0" t="s">
        <v>4508</v>
      </c>
      <c r="K1787" s="0" t="s">
        <v>2706</v>
      </c>
      <c r="L1787" s="0" t="n">
        <v>2016</v>
      </c>
      <c r="M1787" s="0" t="s">
        <v>2286</v>
      </c>
      <c r="N1787" s="0" t="s">
        <v>139</v>
      </c>
      <c r="O1787" s="0" t="s">
        <v>6505</v>
      </c>
      <c r="P1787" s="0" t="s">
        <v>6506</v>
      </c>
      <c r="Q1787" s="0" t="n">
        <v>213</v>
      </c>
      <c r="R1787" s="0" t="n">
        <v>212</v>
      </c>
      <c r="S1787" s="0" t="n">
        <v>5</v>
      </c>
      <c r="T1787" s="0" t="s">
        <v>6507</v>
      </c>
      <c r="U1787" s="0" t="s">
        <v>4209</v>
      </c>
      <c r="V1787" s="0" t="s">
        <v>140</v>
      </c>
      <c r="W1787" s="0" t="s">
        <v>6546</v>
      </c>
      <c r="X1787" s="0" t="s">
        <v>6547</v>
      </c>
      <c r="Y1787" s="0" t="s">
        <v>4159</v>
      </c>
      <c r="Z1787" s="0" t="s">
        <v>4160</v>
      </c>
      <c r="AA1787" s="0" t="s">
        <v>6548</v>
      </c>
      <c r="AB1787" s="0" t="s">
        <v>6511</v>
      </c>
      <c r="AC1787" s="0" t="s">
        <v>4162</v>
      </c>
      <c r="AD1787" s="0" t="s">
        <v>4163</v>
      </c>
      <c r="AE1787" s="0" t="s">
        <v>4164</v>
      </c>
      <c r="AF1787" s="0" t="s">
        <v>6512</v>
      </c>
      <c r="AH1787" s="0" t="s">
        <v>2239</v>
      </c>
      <c r="AL1787" s="0" t="s">
        <v>523</v>
      </c>
    </row>
    <row r="1788" customFormat="false" ht="15" hidden="false" customHeight="false" outlineLevel="0" collapsed="false">
      <c r="A1788" s="0" t="s">
        <v>1024</v>
      </c>
      <c r="B1788" s="0" t="s">
        <v>136</v>
      </c>
      <c r="C1788" s="0" t="s">
        <v>4507</v>
      </c>
      <c r="D1788" s="0" t="n">
        <v>2016</v>
      </c>
      <c r="E1788" s="0" t="s">
        <v>66</v>
      </c>
      <c r="F1788" s="0" t="n">
        <v>2049087592</v>
      </c>
      <c r="G1788" s="0" t="s">
        <v>3067</v>
      </c>
      <c r="H1788" s="0" t="s">
        <v>3068</v>
      </c>
      <c r="I1788" s="0" t="n">
        <v>2049087.592</v>
      </c>
      <c r="J1788" s="0" t="s">
        <v>4508</v>
      </c>
      <c r="K1788" s="0" t="s">
        <v>2706</v>
      </c>
      <c r="L1788" s="0" t="n">
        <v>2016</v>
      </c>
      <c r="M1788" s="0" t="s">
        <v>2286</v>
      </c>
      <c r="N1788" s="0" t="s">
        <v>139</v>
      </c>
      <c r="O1788" s="0" t="s">
        <v>6505</v>
      </c>
      <c r="P1788" s="0" t="s">
        <v>6506</v>
      </c>
      <c r="Q1788" s="0" t="n">
        <v>213</v>
      </c>
      <c r="R1788" s="0" t="n">
        <v>212</v>
      </c>
      <c r="S1788" s="0" t="n">
        <v>5</v>
      </c>
      <c r="T1788" s="0" t="s">
        <v>6507</v>
      </c>
      <c r="U1788" s="0" t="s">
        <v>4209</v>
      </c>
      <c r="V1788" s="0" t="s">
        <v>140</v>
      </c>
      <c r="W1788" s="0" t="s">
        <v>6549</v>
      </c>
      <c r="X1788" s="0" t="s">
        <v>6547</v>
      </c>
      <c r="Y1788" s="0" t="s">
        <v>4159</v>
      </c>
      <c r="Z1788" s="0" t="s">
        <v>4160</v>
      </c>
      <c r="AA1788" s="0" t="s">
        <v>6550</v>
      </c>
      <c r="AB1788" s="0" t="s">
        <v>6511</v>
      </c>
      <c r="AC1788" s="0" t="s">
        <v>4162</v>
      </c>
      <c r="AD1788" s="0" t="s">
        <v>4163</v>
      </c>
      <c r="AE1788" s="0" t="s">
        <v>4164</v>
      </c>
      <c r="AF1788" s="0" t="s">
        <v>6512</v>
      </c>
      <c r="AH1788" s="0" t="s">
        <v>2239</v>
      </c>
      <c r="AL1788" s="0" t="s">
        <v>523</v>
      </c>
    </row>
    <row r="1789" customFormat="false" ht="15" hidden="false" customHeight="false" outlineLevel="0" collapsed="false">
      <c r="A1789" s="0" t="s">
        <v>1022</v>
      </c>
      <c r="B1789" s="0" t="s">
        <v>136</v>
      </c>
      <c r="C1789" s="0" t="s">
        <v>4507</v>
      </c>
      <c r="D1789" s="0" t="n">
        <v>2016</v>
      </c>
      <c r="E1789" s="0" t="s">
        <v>69</v>
      </c>
      <c r="F1789" s="0" t="s">
        <v>6551</v>
      </c>
      <c r="G1789" s="0" t="s">
        <v>3143</v>
      </c>
      <c r="I1789" s="0" t="n">
        <v>19.79</v>
      </c>
      <c r="J1789" s="0" t="s">
        <v>4508</v>
      </c>
      <c r="K1789" s="0" t="s">
        <v>2706</v>
      </c>
      <c r="L1789" s="0" t="n">
        <v>2016</v>
      </c>
      <c r="M1789" s="0" t="s">
        <v>2286</v>
      </c>
      <c r="N1789" s="0" t="s">
        <v>139</v>
      </c>
      <c r="O1789" s="0" t="s">
        <v>6505</v>
      </c>
      <c r="P1789" s="0" t="s">
        <v>6506</v>
      </c>
      <c r="Q1789" s="0" t="n">
        <v>213</v>
      </c>
      <c r="R1789" s="0" t="n">
        <v>212</v>
      </c>
      <c r="S1789" s="0" t="n">
        <v>5</v>
      </c>
      <c r="T1789" s="0" t="s">
        <v>6507</v>
      </c>
      <c r="U1789" s="0" t="s">
        <v>4209</v>
      </c>
      <c r="V1789" s="0" t="s">
        <v>140</v>
      </c>
      <c r="W1789" s="0" t="s">
        <v>6552</v>
      </c>
      <c r="X1789" s="0" t="s">
        <v>6547</v>
      </c>
      <c r="Y1789" s="0" t="s">
        <v>4159</v>
      </c>
      <c r="Z1789" s="0" t="s">
        <v>4160</v>
      </c>
      <c r="AA1789" s="0" t="s">
        <v>6553</v>
      </c>
      <c r="AB1789" s="0" t="s">
        <v>6511</v>
      </c>
      <c r="AC1789" s="0" t="s">
        <v>4162</v>
      </c>
      <c r="AD1789" s="0" t="s">
        <v>4163</v>
      </c>
      <c r="AE1789" s="0" t="s">
        <v>4164</v>
      </c>
      <c r="AF1789" s="0" t="s">
        <v>6512</v>
      </c>
      <c r="AH1789" s="0" t="s">
        <v>2239</v>
      </c>
      <c r="AL1789" s="0" t="s">
        <v>523</v>
      </c>
    </row>
    <row r="1790" customFormat="false" ht="15" hidden="false" customHeight="false" outlineLevel="0" collapsed="false">
      <c r="A1790" s="0" t="s">
        <v>1025</v>
      </c>
      <c r="B1790" s="0" t="s">
        <v>136</v>
      </c>
      <c r="C1790" s="0" t="s">
        <v>4507</v>
      </c>
      <c r="D1790" s="0" t="n">
        <v>2016</v>
      </c>
      <c r="E1790" s="0" t="s">
        <v>73</v>
      </c>
      <c r="F1790" s="0" t="n">
        <v>0</v>
      </c>
      <c r="G1790" s="0" t="s">
        <v>4257</v>
      </c>
      <c r="I1790" s="0" t="n">
        <v>0</v>
      </c>
      <c r="J1790" s="0" t="s">
        <v>4508</v>
      </c>
      <c r="K1790" s="0" t="s">
        <v>2706</v>
      </c>
      <c r="L1790" s="0" t="n">
        <v>2016</v>
      </c>
      <c r="M1790" s="0" t="s">
        <v>2286</v>
      </c>
      <c r="N1790" s="0" t="s">
        <v>139</v>
      </c>
      <c r="O1790" s="0" t="s">
        <v>6505</v>
      </c>
      <c r="P1790" s="0" t="s">
        <v>6506</v>
      </c>
      <c r="Q1790" s="0" t="n">
        <v>71</v>
      </c>
      <c r="R1790" s="0" t="n">
        <v>70</v>
      </c>
      <c r="T1790" s="0" t="s">
        <v>6554</v>
      </c>
      <c r="U1790" s="0" t="s">
        <v>4209</v>
      </c>
      <c r="V1790" s="0" t="s">
        <v>140</v>
      </c>
      <c r="W1790" s="0" t="s">
        <v>6555</v>
      </c>
      <c r="X1790" s="0" t="s">
        <v>6556</v>
      </c>
      <c r="Y1790" s="0" t="s">
        <v>4212</v>
      </c>
      <c r="Z1790" s="0" t="s">
        <v>4160</v>
      </c>
      <c r="AA1790" s="0" t="s">
        <v>6557</v>
      </c>
      <c r="AB1790" s="0" t="s">
        <v>6511</v>
      </c>
      <c r="AC1790" s="0" t="s">
        <v>4162</v>
      </c>
      <c r="AD1790" s="0" t="s">
        <v>4163</v>
      </c>
      <c r="AE1790" s="0" t="s">
        <v>4164</v>
      </c>
      <c r="AF1790" s="0" t="s">
        <v>6512</v>
      </c>
      <c r="AG1790" s="0" t="s">
        <v>1828</v>
      </c>
      <c r="AH1790" s="0" t="s">
        <v>2239</v>
      </c>
      <c r="AL1790" s="0" t="s">
        <v>539</v>
      </c>
    </row>
    <row r="1791" customFormat="false" ht="15" hidden="false" customHeight="false" outlineLevel="0" collapsed="false">
      <c r="A1791" s="0" t="s">
        <v>1097</v>
      </c>
      <c r="B1791" s="0" t="s">
        <v>136</v>
      </c>
      <c r="C1791" s="0" t="s">
        <v>4507</v>
      </c>
      <c r="D1791" s="0" t="n">
        <v>2021</v>
      </c>
      <c r="E1791" s="0" t="s">
        <v>54</v>
      </c>
      <c r="F1791" s="0" t="n">
        <v>146184067</v>
      </c>
      <c r="G1791" s="0" t="s">
        <v>3067</v>
      </c>
      <c r="H1791" s="0" t="s">
        <v>3068</v>
      </c>
      <c r="I1791" s="0" t="n">
        <v>146184.067</v>
      </c>
      <c r="J1791" s="0" t="s">
        <v>6558</v>
      </c>
      <c r="K1791" s="0" t="s">
        <v>2708</v>
      </c>
      <c r="L1791" s="0" t="n">
        <v>2021</v>
      </c>
      <c r="M1791" s="0" t="s">
        <v>2290</v>
      </c>
      <c r="N1791" s="0" t="s">
        <v>145</v>
      </c>
      <c r="O1791" s="0" t="s">
        <v>6559</v>
      </c>
      <c r="P1791" s="0" t="s">
        <v>6560</v>
      </c>
      <c r="Q1791" s="0" t="n">
        <v>244</v>
      </c>
      <c r="R1791" s="0" t="n">
        <v>244</v>
      </c>
      <c r="T1791" s="0" t="s">
        <v>6561</v>
      </c>
      <c r="U1791" s="0" t="s">
        <v>4303</v>
      </c>
      <c r="V1791" s="0" t="s">
        <v>146</v>
      </c>
      <c r="W1791" s="0" t="s">
        <v>6562</v>
      </c>
      <c r="X1791" s="0" t="s">
        <v>6563</v>
      </c>
      <c r="Y1791" s="0" t="s">
        <v>4159</v>
      </c>
      <c r="Z1791" s="0" t="s">
        <v>4160</v>
      </c>
      <c r="AA1791" s="0" t="s">
        <v>6564</v>
      </c>
      <c r="AB1791" s="0" t="s">
        <v>6565</v>
      </c>
      <c r="AC1791" s="0" t="s">
        <v>4162</v>
      </c>
      <c r="AD1791" s="0" t="s">
        <v>6566</v>
      </c>
      <c r="AE1791" s="0" t="s">
        <v>6567</v>
      </c>
      <c r="AF1791" s="0" t="s">
        <v>6568</v>
      </c>
      <c r="AH1791" s="0" t="s">
        <v>2239</v>
      </c>
      <c r="AL1791" s="0" t="s">
        <v>523</v>
      </c>
    </row>
    <row r="1792" customFormat="false" ht="15" hidden="false" customHeight="false" outlineLevel="0" collapsed="false">
      <c r="A1792" s="0" t="s">
        <v>1105</v>
      </c>
      <c r="B1792" s="0" t="s">
        <v>136</v>
      </c>
      <c r="C1792" s="0" t="s">
        <v>4507</v>
      </c>
      <c r="D1792" s="0" t="n">
        <v>2021</v>
      </c>
      <c r="E1792" s="0" t="s">
        <v>541</v>
      </c>
      <c r="F1792" s="0" t="n">
        <v>176121448</v>
      </c>
      <c r="G1792" s="0" t="s">
        <v>3067</v>
      </c>
      <c r="H1792" s="0" t="s">
        <v>3068</v>
      </c>
      <c r="I1792" s="0" t="n">
        <v>176121.448</v>
      </c>
      <c r="J1792" s="0" t="s">
        <v>6558</v>
      </c>
      <c r="K1792" s="0" t="s">
        <v>2708</v>
      </c>
      <c r="L1792" s="0" t="n">
        <v>2021</v>
      </c>
      <c r="M1792" s="0" t="s">
        <v>2290</v>
      </c>
      <c r="N1792" s="0" t="s">
        <v>145</v>
      </c>
      <c r="O1792" s="0" t="s">
        <v>6559</v>
      </c>
      <c r="P1792" s="0" t="s">
        <v>6560</v>
      </c>
      <c r="Q1792" s="0" t="n">
        <v>244</v>
      </c>
      <c r="R1792" s="0" t="n">
        <v>244</v>
      </c>
      <c r="T1792" s="0" t="s">
        <v>6561</v>
      </c>
      <c r="U1792" s="0" t="s">
        <v>4303</v>
      </c>
      <c r="V1792" s="0" t="s">
        <v>146</v>
      </c>
      <c r="W1792" s="0" t="s">
        <v>6562</v>
      </c>
      <c r="X1792" s="0" t="s">
        <v>6563</v>
      </c>
      <c r="Y1792" s="0" t="s">
        <v>4159</v>
      </c>
      <c r="Z1792" s="0" t="s">
        <v>4160</v>
      </c>
      <c r="AA1792" s="0" t="s">
        <v>6569</v>
      </c>
      <c r="AB1792" s="0" t="s">
        <v>6565</v>
      </c>
      <c r="AC1792" s="0" t="s">
        <v>4162</v>
      </c>
      <c r="AD1792" s="0" t="s">
        <v>6566</v>
      </c>
      <c r="AE1792" s="0" t="s">
        <v>6567</v>
      </c>
      <c r="AF1792" s="0" t="s">
        <v>6568</v>
      </c>
      <c r="AH1792" s="0" t="s">
        <v>2239</v>
      </c>
      <c r="AL1792" s="0" t="s">
        <v>523</v>
      </c>
    </row>
    <row r="1793" customFormat="false" ht="15" hidden="false" customHeight="false" outlineLevel="0" collapsed="false">
      <c r="A1793" s="0" t="s">
        <v>1104</v>
      </c>
      <c r="B1793" s="0" t="s">
        <v>136</v>
      </c>
      <c r="C1793" s="0" t="s">
        <v>4507</v>
      </c>
      <c r="D1793" s="0" t="n">
        <v>2021</v>
      </c>
      <c r="E1793" s="0" t="s">
        <v>307</v>
      </c>
      <c r="F1793" s="0" t="n">
        <v>-4088901</v>
      </c>
      <c r="G1793" s="0" t="s">
        <v>3067</v>
      </c>
      <c r="H1793" s="0" t="s">
        <v>3068</v>
      </c>
      <c r="I1793" s="0" t="n">
        <v>4088.901</v>
      </c>
      <c r="J1793" s="0" t="s">
        <v>6558</v>
      </c>
      <c r="K1793" s="0" t="s">
        <v>2708</v>
      </c>
      <c r="L1793" s="0" t="n">
        <v>2021</v>
      </c>
      <c r="M1793" s="0" t="s">
        <v>2290</v>
      </c>
      <c r="N1793" s="0" t="s">
        <v>145</v>
      </c>
      <c r="O1793" s="0" t="s">
        <v>6559</v>
      </c>
      <c r="P1793" s="0" t="s">
        <v>6560</v>
      </c>
      <c r="Q1793" s="0" t="n">
        <v>244</v>
      </c>
      <c r="R1793" s="0" t="n">
        <v>244</v>
      </c>
      <c r="T1793" s="0" t="s">
        <v>6561</v>
      </c>
      <c r="U1793" s="0" t="s">
        <v>4303</v>
      </c>
      <c r="V1793" s="0" t="s">
        <v>146</v>
      </c>
      <c r="W1793" s="0" t="s">
        <v>6562</v>
      </c>
      <c r="X1793" s="0" t="s">
        <v>6563</v>
      </c>
      <c r="Y1793" s="0" t="s">
        <v>4159</v>
      </c>
      <c r="Z1793" s="0" t="s">
        <v>4160</v>
      </c>
      <c r="AA1793" s="0" t="s">
        <v>6570</v>
      </c>
      <c r="AB1793" s="0" t="s">
        <v>6565</v>
      </c>
      <c r="AC1793" s="0" t="s">
        <v>4162</v>
      </c>
      <c r="AD1793" s="0" t="s">
        <v>6566</v>
      </c>
      <c r="AE1793" s="0" t="s">
        <v>6567</v>
      </c>
      <c r="AF1793" s="0" t="s">
        <v>6568</v>
      </c>
      <c r="AH1793" s="0" t="s">
        <v>4174</v>
      </c>
      <c r="AI1793" s="0" t="s">
        <v>4974</v>
      </c>
      <c r="AL1793" s="0" t="s">
        <v>523</v>
      </c>
    </row>
    <row r="1794" customFormat="false" ht="15" hidden="false" customHeight="false" outlineLevel="0" collapsed="false">
      <c r="A1794" s="0" t="s">
        <v>1103</v>
      </c>
      <c r="B1794" s="0" t="s">
        <v>136</v>
      </c>
      <c r="C1794" s="0" t="s">
        <v>4507</v>
      </c>
      <c r="D1794" s="0" t="n">
        <v>2021</v>
      </c>
      <c r="E1794" s="0" t="s">
        <v>62</v>
      </c>
      <c r="F1794" s="0" t="n">
        <v>1475674160</v>
      </c>
      <c r="G1794" s="0" t="s">
        <v>3067</v>
      </c>
      <c r="H1794" s="0" t="s">
        <v>3068</v>
      </c>
      <c r="I1794" s="0" t="n">
        <v>1475674.16</v>
      </c>
      <c r="J1794" s="0" t="s">
        <v>6558</v>
      </c>
      <c r="K1794" s="0" t="s">
        <v>2708</v>
      </c>
      <c r="L1794" s="0" t="n">
        <v>2021</v>
      </c>
      <c r="M1794" s="0" t="s">
        <v>2290</v>
      </c>
      <c r="N1794" s="0" t="s">
        <v>145</v>
      </c>
      <c r="O1794" s="0" t="s">
        <v>6559</v>
      </c>
      <c r="P1794" s="0" t="s">
        <v>6560</v>
      </c>
      <c r="Q1794" s="0" t="n">
        <v>244</v>
      </c>
      <c r="R1794" s="0" t="n">
        <v>244</v>
      </c>
      <c r="T1794" s="0" t="s">
        <v>6561</v>
      </c>
      <c r="U1794" s="0" t="s">
        <v>4303</v>
      </c>
      <c r="V1794" s="0" t="s">
        <v>146</v>
      </c>
      <c r="W1794" s="0" t="s">
        <v>6562</v>
      </c>
      <c r="X1794" s="0" t="s">
        <v>6563</v>
      </c>
      <c r="Y1794" s="0" t="s">
        <v>4159</v>
      </c>
      <c r="Z1794" s="0" t="s">
        <v>4160</v>
      </c>
      <c r="AA1794" s="0" t="s">
        <v>6571</v>
      </c>
      <c r="AB1794" s="0" t="s">
        <v>6565</v>
      </c>
      <c r="AC1794" s="0" t="s">
        <v>4162</v>
      </c>
      <c r="AD1794" s="0" t="s">
        <v>6566</v>
      </c>
      <c r="AE1794" s="0" t="s">
        <v>6567</v>
      </c>
      <c r="AF1794" s="0" t="s">
        <v>6568</v>
      </c>
      <c r="AH1794" s="0" t="s">
        <v>2239</v>
      </c>
      <c r="AL1794" s="0" t="s">
        <v>523</v>
      </c>
    </row>
    <row r="1795" customFormat="false" ht="15" hidden="false" customHeight="false" outlineLevel="0" collapsed="false">
      <c r="A1795" s="0" t="s">
        <v>1098</v>
      </c>
      <c r="B1795" s="0" t="s">
        <v>136</v>
      </c>
      <c r="C1795" s="0" t="s">
        <v>4507</v>
      </c>
      <c r="D1795" s="0" t="n">
        <v>2021</v>
      </c>
      <c r="E1795" s="0" t="s">
        <v>55</v>
      </c>
      <c r="F1795" s="0" t="n">
        <v>4357033134</v>
      </c>
      <c r="G1795" s="0" t="s">
        <v>3067</v>
      </c>
      <c r="H1795" s="0" t="s">
        <v>3068</v>
      </c>
      <c r="I1795" s="0" t="n">
        <v>4357033.134</v>
      </c>
      <c r="J1795" s="0" t="s">
        <v>6558</v>
      </c>
      <c r="K1795" s="0" t="s">
        <v>2708</v>
      </c>
      <c r="L1795" s="0" t="n">
        <v>2021</v>
      </c>
      <c r="M1795" s="0" t="s">
        <v>2290</v>
      </c>
      <c r="N1795" s="0" t="s">
        <v>145</v>
      </c>
      <c r="O1795" s="0" t="s">
        <v>6559</v>
      </c>
      <c r="P1795" s="0" t="s">
        <v>6560</v>
      </c>
      <c r="Q1795" s="0" t="n">
        <v>245</v>
      </c>
      <c r="R1795" s="0" t="n">
        <v>245</v>
      </c>
      <c r="T1795" s="0" t="s">
        <v>6561</v>
      </c>
      <c r="U1795" s="0" t="s">
        <v>4303</v>
      </c>
      <c r="V1795" s="0" t="s">
        <v>146</v>
      </c>
      <c r="W1795" s="0" t="s">
        <v>6572</v>
      </c>
      <c r="X1795" s="0" t="s">
        <v>6573</v>
      </c>
      <c r="Y1795" s="0" t="s">
        <v>4159</v>
      </c>
      <c r="Z1795" s="0" t="s">
        <v>4160</v>
      </c>
      <c r="AA1795" s="0" t="s">
        <v>6574</v>
      </c>
      <c r="AB1795" s="0" t="s">
        <v>6565</v>
      </c>
      <c r="AC1795" s="0" t="s">
        <v>4162</v>
      </c>
      <c r="AD1795" s="0" t="s">
        <v>6566</v>
      </c>
      <c r="AE1795" s="0" t="s">
        <v>6567</v>
      </c>
      <c r="AF1795" s="0" t="s">
        <v>6568</v>
      </c>
      <c r="AH1795" s="0" t="s">
        <v>2239</v>
      </c>
      <c r="AL1795" s="0" t="s">
        <v>523</v>
      </c>
    </row>
    <row r="1796" customFormat="false" ht="15" hidden="false" customHeight="false" outlineLevel="0" collapsed="false">
      <c r="A1796" s="0" t="s">
        <v>1099</v>
      </c>
      <c r="B1796" s="0" t="s">
        <v>136</v>
      </c>
      <c r="C1796" s="0" t="s">
        <v>4507</v>
      </c>
      <c r="D1796" s="0" t="n">
        <v>2021</v>
      </c>
      <c r="E1796" s="0" t="s">
        <v>56</v>
      </c>
      <c r="F1796" s="0" t="n">
        <v>3610197551</v>
      </c>
      <c r="G1796" s="0" t="s">
        <v>3067</v>
      </c>
      <c r="H1796" s="0" t="s">
        <v>3068</v>
      </c>
      <c r="I1796" s="0" t="n">
        <v>3610197.551</v>
      </c>
      <c r="J1796" s="0" t="s">
        <v>6558</v>
      </c>
      <c r="K1796" s="0" t="s">
        <v>2708</v>
      </c>
      <c r="L1796" s="0" t="n">
        <v>2021</v>
      </c>
      <c r="M1796" s="0" t="s">
        <v>2290</v>
      </c>
      <c r="N1796" s="0" t="s">
        <v>145</v>
      </c>
      <c r="O1796" s="0" t="s">
        <v>6559</v>
      </c>
      <c r="P1796" s="0" t="s">
        <v>6560</v>
      </c>
      <c r="Q1796" s="0" t="n">
        <v>245</v>
      </c>
      <c r="R1796" s="0" t="n">
        <v>245</v>
      </c>
      <c r="T1796" s="0" t="s">
        <v>6561</v>
      </c>
      <c r="U1796" s="0" t="s">
        <v>4303</v>
      </c>
      <c r="V1796" s="0" t="s">
        <v>146</v>
      </c>
      <c r="W1796" s="0" t="s">
        <v>6572</v>
      </c>
      <c r="X1796" s="0" t="s">
        <v>6573</v>
      </c>
      <c r="Y1796" s="0" t="s">
        <v>4159</v>
      </c>
      <c r="Z1796" s="0" t="s">
        <v>4160</v>
      </c>
      <c r="AA1796" s="0" t="s">
        <v>6575</v>
      </c>
      <c r="AB1796" s="0" t="s">
        <v>6565</v>
      </c>
      <c r="AC1796" s="0" t="s">
        <v>4162</v>
      </c>
      <c r="AD1796" s="0" t="s">
        <v>6566</v>
      </c>
      <c r="AE1796" s="0" t="s">
        <v>6567</v>
      </c>
      <c r="AF1796" s="0" t="s">
        <v>6568</v>
      </c>
      <c r="AH1796" s="0" t="s">
        <v>2239</v>
      </c>
      <c r="AL1796" s="0" t="s">
        <v>523</v>
      </c>
    </row>
    <row r="1797" customFormat="false" ht="15" hidden="false" customHeight="false" outlineLevel="0" collapsed="false">
      <c r="A1797" s="0" t="s">
        <v>1100</v>
      </c>
      <c r="B1797" s="0" t="s">
        <v>136</v>
      </c>
      <c r="C1797" s="0" t="s">
        <v>4507</v>
      </c>
      <c r="D1797" s="0" t="n">
        <v>2021</v>
      </c>
      <c r="E1797" s="0" t="s">
        <v>57</v>
      </c>
      <c r="F1797" s="0" t="n">
        <v>746835583</v>
      </c>
      <c r="G1797" s="0" t="s">
        <v>3067</v>
      </c>
      <c r="H1797" s="0" t="s">
        <v>3068</v>
      </c>
      <c r="I1797" s="0" t="n">
        <v>746835.583</v>
      </c>
      <c r="J1797" s="0" t="s">
        <v>6558</v>
      </c>
      <c r="K1797" s="0" t="s">
        <v>2708</v>
      </c>
      <c r="L1797" s="0" t="n">
        <v>2021</v>
      </c>
      <c r="M1797" s="0" t="s">
        <v>2290</v>
      </c>
      <c r="N1797" s="0" t="s">
        <v>145</v>
      </c>
      <c r="O1797" s="0" t="s">
        <v>6559</v>
      </c>
      <c r="P1797" s="0" t="s">
        <v>6560</v>
      </c>
      <c r="Q1797" s="0" t="n">
        <v>245</v>
      </c>
      <c r="R1797" s="0" t="n">
        <v>245</v>
      </c>
      <c r="T1797" s="0" t="s">
        <v>6561</v>
      </c>
      <c r="U1797" s="0" t="s">
        <v>4303</v>
      </c>
      <c r="V1797" s="0" t="s">
        <v>146</v>
      </c>
      <c r="W1797" s="0" t="s">
        <v>6572</v>
      </c>
      <c r="X1797" s="0" t="s">
        <v>6573</v>
      </c>
      <c r="Y1797" s="0" t="s">
        <v>4159</v>
      </c>
      <c r="Z1797" s="0" t="s">
        <v>4160</v>
      </c>
      <c r="AA1797" s="0" t="s">
        <v>6576</v>
      </c>
      <c r="AB1797" s="0" t="s">
        <v>6565</v>
      </c>
      <c r="AC1797" s="0" t="s">
        <v>4162</v>
      </c>
      <c r="AD1797" s="0" t="s">
        <v>6566</v>
      </c>
      <c r="AE1797" s="0" t="s">
        <v>6567</v>
      </c>
      <c r="AF1797" s="0" t="s">
        <v>6568</v>
      </c>
      <c r="AH1797" s="0" t="s">
        <v>2239</v>
      </c>
      <c r="AL1797" s="0" t="s">
        <v>523</v>
      </c>
    </row>
    <row r="1798" customFormat="false" ht="15" hidden="false" customHeight="false" outlineLevel="0" collapsed="false">
      <c r="A1798" s="0" t="s">
        <v>1101</v>
      </c>
      <c r="B1798" s="0" t="s">
        <v>136</v>
      </c>
      <c r="C1798" s="0" t="s">
        <v>4507</v>
      </c>
      <c r="D1798" s="0" t="n">
        <v>2021</v>
      </c>
      <c r="E1798" s="0" t="s">
        <v>58</v>
      </c>
      <c r="F1798" s="0" t="n">
        <v>364670769</v>
      </c>
      <c r="G1798" s="0" t="s">
        <v>3067</v>
      </c>
      <c r="H1798" s="0" t="s">
        <v>3068</v>
      </c>
      <c r="I1798" s="0" t="n">
        <v>364670.769</v>
      </c>
      <c r="J1798" s="0" t="s">
        <v>6558</v>
      </c>
      <c r="K1798" s="0" t="s">
        <v>2708</v>
      </c>
      <c r="L1798" s="0" t="n">
        <v>2021</v>
      </c>
      <c r="M1798" s="0" t="s">
        <v>2290</v>
      </c>
      <c r="N1798" s="0" t="s">
        <v>145</v>
      </c>
      <c r="O1798" s="0" t="s">
        <v>6559</v>
      </c>
      <c r="P1798" s="0" t="s">
        <v>6560</v>
      </c>
      <c r="Q1798" s="0" t="n">
        <v>246</v>
      </c>
      <c r="R1798" s="0" t="n">
        <v>246</v>
      </c>
      <c r="T1798" s="0" t="s">
        <v>6561</v>
      </c>
      <c r="U1798" s="0" t="s">
        <v>4303</v>
      </c>
      <c r="V1798" s="0" t="s">
        <v>146</v>
      </c>
      <c r="W1798" s="0" t="s">
        <v>6577</v>
      </c>
      <c r="X1798" s="0" t="s">
        <v>6578</v>
      </c>
      <c r="Y1798" s="0" t="s">
        <v>4159</v>
      </c>
      <c r="Z1798" s="0" t="s">
        <v>4160</v>
      </c>
      <c r="AA1798" s="0" t="s">
        <v>6579</v>
      </c>
      <c r="AB1798" s="0" t="s">
        <v>6565</v>
      </c>
      <c r="AC1798" s="0" t="s">
        <v>4162</v>
      </c>
      <c r="AD1798" s="0" t="s">
        <v>6566</v>
      </c>
      <c r="AE1798" s="0" t="s">
        <v>6567</v>
      </c>
      <c r="AF1798" s="0" t="s">
        <v>6568</v>
      </c>
      <c r="AH1798" s="0" t="s">
        <v>2239</v>
      </c>
      <c r="AL1798" s="0" t="s">
        <v>523</v>
      </c>
    </row>
    <row r="1799" customFormat="false" ht="15" hidden="false" customHeight="false" outlineLevel="0" collapsed="false">
      <c r="A1799" s="0" t="s">
        <v>1102</v>
      </c>
      <c r="B1799" s="0" t="s">
        <v>136</v>
      </c>
      <c r="C1799" s="0" t="s">
        <v>4507</v>
      </c>
      <c r="D1799" s="0" t="n">
        <v>2021</v>
      </c>
      <c r="E1799" s="0" t="s">
        <v>59</v>
      </c>
      <c r="F1799" s="0" t="n">
        <v>4061543605</v>
      </c>
      <c r="G1799" s="0" t="s">
        <v>3067</v>
      </c>
      <c r="H1799" s="0" t="s">
        <v>3068</v>
      </c>
      <c r="I1799" s="0" t="n">
        <v>4061543.605</v>
      </c>
      <c r="J1799" s="0" t="s">
        <v>6558</v>
      </c>
      <c r="K1799" s="0" t="s">
        <v>2708</v>
      </c>
      <c r="L1799" s="0" t="n">
        <v>2021</v>
      </c>
      <c r="M1799" s="0" t="s">
        <v>2290</v>
      </c>
      <c r="N1799" s="0" t="s">
        <v>145</v>
      </c>
      <c r="O1799" s="0" t="s">
        <v>6559</v>
      </c>
      <c r="P1799" s="0" t="s">
        <v>6560</v>
      </c>
      <c r="Q1799" s="0" t="n">
        <v>249</v>
      </c>
      <c r="R1799" s="0" t="n">
        <v>249</v>
      </c>
      <c r="T1799" s="0" t="s">
        <v>6580</v>
      </c>
      <c r="U1799" s="0" t="s">
        <v>6581</v>
      </c>
      <c r="V1799" s="0" t="s">
        <v>146</v>
      </c>
      <c r="W1799" s="0" t="s">
        <v>6582</v>
      </c>
      <c r="X1799" s="0" t="s">
        <v>6583</v>
      </c>
      <c r="Y1799" s="0" t="s">
        <v>4159</v>
      </c>
      <c r="Z1799" s="0" t="s">
        <v>4160</v>
      </c>
      <c r="AA1799" s="0" t="s">
        <v>6584</v>
      </c>
      <c r="AB1799" s="0" t="s">
        <v>6565</v>
      </c>
      <c r="AC1799" s="0" t="s">
        <v>4162</v>
      </c>
      <c r="AD1799" s="0" t="s">
        <v>6566</v>
      </c>
      <c r="AE1799" s="0" t="s">
        <v>6567</v>
      </c>
      <c r="AF1799" s="0" t="s">
        <v>6568</v>
      </c>
      <c r="AH1799" s="0" t="s">
        <v>2239</v>
      </c>
      <c r="AL1799" s="0" t="s">
        <v>523</v>
      </c>
    </row>
    <row r="1800" customFormat="false" ht="15" hidden="false" customHeight="false" outlineLevel="0" collapsed="false">
      <c r="A1800" s="0" t="s">
        <v>1106</v>
      </c>
      <c r="B1800" s="0" t="s">
        <v>136</v>
      </c>
      <c r="C1800" s="0" t="s">
        <v>4507</v>
      </c>
      <c r="D1800" s="0" t="n">
        <v>2022</v>
      </c>
      <c r="E1800" s="0" t="s">
        <v>54</v>
      </c>
      <c r="F1800" s="0" t="n">
        <v>145296211</v>
      </c>
      <c r="G1800" s="0" t="s">
        <v>3067</v>
      </c>
      <c r="H1800" s="0" t="s">
        <v>3068</v>
      </c>
      <c r="I1800" s="0" t="n">
        <v>145296.211</v>
      </c>
      <c r="J1800" s="0" t="s">
        <v>6558</v>
      </c>
      <c r="K1800" s="0" t="s">
        <v>2709</v>
      </c>
      <c r="L1800" s="0" t="n">
        <v>2022</v>
      </c>
      <c r="M1800" s="0" t="s">
        <v>2294</v>
      </c>
      <c r="N1800" s="0" t="s">
        <v>147</v>
      </c>
      <c r="O1800" s="0" t="s">
        <v>6585</v>
      </c>
      <c r="P1800" s="0" t="s">
        <v>6586</v>
      </c>
      <c r="Q1800" s="0" t="n">
        <v>255</v>
      </c>
      <c r="R1800" s="0" t="n">
        <v>255</v>
      </c>
      <c r="T1800" s="0" t="s">
        <v>6587</v>
      </c>
      <c r="U1800" s="0" t="s">
        <v>4265</v>
      </c>
      <c r="V1800" s="0" t="s">
        <v>148</v>
      </c>
      <c r="W1800" s="0" t="s">
        <v>6588</v>
      </c>
      <c r="X1800" s="0" t="s">
        <v>6589</v>
      </c>
      <c r="Y1800" s="0" t="s">
        <v>4159</v>
      </c>
      <c r="Z1800" s="0" t="s">
        <v>4160</v>
      </c>
      <c r="AA1800" s="0" t="s">
        <v>6590</v>
      </c>
      <c r="AB1800" s="0" t="s">
        <v>6591</v>
      </c>
      <c r="AC1800" s="0" t="s">
        <v>4162</v>
      </c>
      <c r="AD1800" s="0" t="s">
        <v>6566</v>
      </c>
      <c r="AE1800" s="0" t="s">
        <v>6567</v>
      </c>
      <c r="AF1800" s="0" t="s">
        <v>6592</v>
      </c>
      <c r="AH1800" s="0" t="s">
        <v>2239</v>
      </c>
      <c r="AL1800" s="0" t="s">
        <v>523</v>
      </c>
    </row>
    <row r="1801" customFormat="false" ht="15" hidden="false" customHeight="false" outlineLevel="0" collapsed="false">
      <c r="A1801" s="0" t="s">
        <v>1114</v>
      </c>
      <c r="B1801" s="0" t="s">
        <v>136</v>
      </c>
      <c r="C1801" s="0" t="s">
        <v>4507</v>
      </c>
      <c r="D1801" s="0" t="n">
        <v>2022</v>
      </c>
      <c r="E1801" s="0" t="s">
        <v>541</v>
      </c>
      <c r="F1801" s="0" t="n">
        <v>180628262</v>
      </c>
      <c r="G1801" s="0" t="s">
        <v>3067</v>
      </c>
      <c r="H1801" s="0" t="s">
        <v>3068</v>
      </c>
      <c r="I1801" s="0" t="n">
        <v>180628.262</v>
      </c>
      <c r="J1801" s="0" t="s">
        <v>6558</v>
      </c>
      <c r="K1801" s="0" t="s">
        <v>2709</v>
      </c>
      <c r="L1801" s="0" t="n">
        <v>2022</v>
      </c>
      <c r="M1801" s="0" t="s">
        <v>2294</v>
      </c>
      <c r="N1801" s="0" t="s">
        <v>147</v>
      </c>
      <c r="O1801" s="0" t="s">
        <v>6585</v>
      </c>
      <c r="P1801" s="0" t="s">
        <v>6586</v>
      </c>
      <c r="Q1801" s="0" t="n">
        <v>255</v>
      </c>
      <c r="R1801" s="0" t="n">
        <v>255</v>
      </c>
      <c r="T1801" s="0" t="s">
        <v>6587</v>
      </c>
      <c r="U1801" s="0" t="s">
        <v>4265</v>
      </c>
      <c r="V1801" s="0" t="s">
        <v>148</v>
      </c>
      <c r="W1801" s="0" t="s">
        <v>6588</v>
      </c>
      <c r="X1801" s="0" t="s">
        <v>6589</v>
      </c>
      <c r="Y1801" s="0" t="s">
        <v>4159</v>
      </c>
      <c r="Z1801" s="0" t="s">
        <v>4160</v>
      </c>
      <c r="AA1801" s="0" t="s">
        <v>6593</v>
      </c>
      <c r="AB1801" s="0" t="s">
        <v>6591</v>
      </c>
      <c r="AC1801" s="0" t="s">
        <v>4162</v>
      </c>
      <c r="AD1801" s="0" t="s">
        <v>6566</v>
      </c>
      <c r="AE1801" s="0" t="s">
        <v>6567</v>
      </c>
      <c r="AF1801" s="0" t="s">
        <v>6592</v>
      </c>
      <c r="AH1801" s="0" t="s">
        <v>2239</v>
      </c>
      <c r="AL1801" s="0" t="s">
        <v>523</v>
      </c>
    </row>
    <row r="1802" customFormat="false" ht="15" hidden="false" customHeight="false" outlineLevel="0" collapsed="false">
      <c r="A1802" s="0" t="s">
        <v>1113</v>
      </c>
      <c r="B1802" s="0" t="s">
        <v>136</v>
      </c>
      <c r="C1802" s="0" t="s">
        <v>4507</v>
      </c>
      <c r="D1802" s="0" t="n">
        <v>2022</v>
      </c>
      <c r="E1802" s="0" t="s">
        <v>307</v>
      </c>
      <c r="F1802" s="0" t="n">
        <v>-8937161</v>
      </c>
      <c r="G1802" s="0" t="s">
        <v>3067</v>
      </c>
      <c r="H1802" s="0" t="s">
        <v>3068</v>
      </c>
      <c r="I1802" s="0" t="n">
        <v>8937.161</v>
      </c>
      <c r="J1802" s="0" t="s">
        <v>6558</v>
      </c>
      <c r="K1802" s="0" t="s">
        <v>2709</v>
      </c>
      <c r="L1802" s="0" t="n">
        <v>2022</v>
      </c>
      <c r="M1802" s="0" t="s">
        <v>2294</v>
      </c>
      <c r="N1802" s="0" t="s">
        <v>147</v>
      </c>
      <c r="O1802" s="0" t="s">
        <v>6585</v>
      </c>
      <c r="P1802" s="0" t="s">
        <v>6586</v>
      </c>
      <c r="Q1802" s="0" t="n">
        <v>255</v>
      </c>
      <c r="R1802" s="0" t="n">
        <v>255</v>
      </c>
      <c r="T1802" s="0" t="s">
        <v>6587</v>
      </c>
      <c r="U1802" s="0" t="s">
        <v>4265</v>
      </c>
      <c r="V1802" s="0" t="s">
        <v>148</v>
      </c>
      <c r="W1802" s="0" t="s">
        <v>6588</v>
      </c>
      <c r="X1802" s="0" t="s">
        <v>6589</v>
      </c>
      <c r="Y1802" s="0" t="s">
        <v>4159</v>
      </c>
      <c r="Z1802" s="0" t="s">
        <v>4160</v>
      </c>
      <c r="AA1802" s="0" t="s">
        <v>6594</v>
      </c>
      <c r="AB1802" s="0" t="s">
        <v>6591</v>
      </c>
      <c r="AC1802" s="0" t="s">
        <v>4162</v>
      </c>
      <c r="AD1802" s="0" t="s">
        <v>6566</v>
      </c>
      <c r="AE1802" s="0" t="s">
        <v>6567</v>
      </c>
      <c r="AF1802" s="0" t="s">
        <v>6592</v>
      </c>
      <c r="AH1802" s="0" t="s">
        <v>4174</v>
      </c>
      <c r="AI1802" s="0" t="s">
        <v>4974</v>
      </c>
      <c r="AL1802" s="0" t="s">
        <v>523</v>
      </c>
    </row>
    <row r="1803" customFormat="false" ht="15" hidden="false" customHeight="false" outlineLevel="0" collapsed="false">
      <c r="A1803" s="0" t="s">
        <v>1112</v>
      </c>
      <c r="B1803" s="0" t="s">
        <v>136</v>
      </c>
      <c r="C1803" s="0" t="s">
        <v>4507</v>
      </c>
      <c r="D1803" s="0" t="n">
        <v>2022</v>
      </c>
      <c r="E1803" s="0" t="s">
        <v>62</v>
      </c>
      <c r="F1803" s="0" t="n">
        <v>1577191692</v>
      </c>
      <c r="G1803" s="0" t="s">
        <v>3067</v>
      </c>
      <c r="H1803" s="0" t="s">
        <v>3068</v>
      </c>
      <c r="I1803" s="0" t="n">
        <v>1577191.692</v>
      </c>
      <c r="J1803" s="0" t="s">
        <v>6558</v>
      </c>
      <c r="K1803" s="0" t="s">
        <v>2709</v>
      </c>
      <c r="L1803" s="0" t="n">
        <v>2022</v>
      </c>
      <c r="M1803" s="0" t="s">
        <v>2294</v>
      </c>
      <c r="N1803" s="0" t="s">
        <v>147</v>
      </c>
      <c r="O1803" s="0" t="s">
        <v>6585</v>
      </c>
      <c r="P1803" s="0" t="s">
        <v>6586</v>
      </c>
      <c r="Q1803" s="0" t="n">
        <v>255</v>
      </c>
      <c r="R1803" s="0" t="n">
        <v>255</v>
      </c>
      <c r="T1803" s="0" t="s">
        <v>6587</v>
      </c>
      <c r="U1803" s="0" t="s">
        <v>4265</v>
      </c>
      <c r="V1803" s="0" t="s">
        <v>148</v>
      </c>
      <c r="W1803" s="0" t="s">
        <v>6588</v>
      </c>
      <c r="X1803" s="0" t="s">
        <v>6589</v>
      </c>
      <c r="Y1803" s="0" t="s">
        <v>4159</v>
      </c>
      <c r="Z1803" s="0" t="s">
        <v>4160</v>
      </c>
      <c r="AA1803" s="0" t="s">
        <v>6595</v>
      </c>
      <c r="AB1803" s="0" t="s">
        <v>6591</v>
      </c>
      <c r="AC1803" s="0" t="s">
        <v>4162</v>
      </c>
      <c r="AD1803" s="0" t="s">
        <v>6566</v>
      </c>
      <c r="AE1803" s="0" t="s">
        <v>6567</v>
      </c>
      <c r="AF1803" s="0" t="s">
        <v>6592</v>
      </c>
      <c r="AH1803" s="0" t="s">
        <v>2239</v>
      </c>
      <c r="AL1803" s="0" t="s">
        <v>523</v>
      </c>
    </row>
    <row r="1804" customFormat="false" ht="15" hidden="false" customHeight="false" outlineLevel="0" collapsed="false">
      <c r="A1804" s="0" t="s">
        <v>1107</v>
      </c>
      <c r="B1804" s="0" t="s">
        <v>136</v>
      </c>
      <c r="C1804" s="0" t="s">
        <v>4507</v>
      </c>
      <c r="D1804" s="0" t="n">
        <v>2022</v>
      </c>
      <c r="E1804" s="0" t="s">
        <v>55</v>
      </c>
      <c r="F1804" s="0" t="n">
        <v>5208576833</v>
      </c>
      <c r="G1804" s="0" t="s">
        <v>3067</v>
      </c>
      <c r="H1804" s="0" t="s">
        <v>3068</v>
      </c>
      <c r="I1804" s="0" t="n">
        <v>5208576.833</v>
      </c>
      <c r="J1804" s="0" t="s">
        <v>6558</v>
      </c>
      <c r="K1804" s="0" t="s">
        <v>2709</v>
      </c>
      <c r="L1804" s="0" t="n">
        <v>2022</v>
      </c>
      <c r="M1804" s="0" t="s">
        <v>2294</v>
      </c>
      <c r="N1804" s="0" t="s">
        <v>147</v>
      </c>
      <c r="O1804" s="0" t="s">
        <v>6585</v>
      </c>
      <c r="P1804" s="0" t="s">
        <v>6586</v>
      </c>
      <c r="Q1804" s="0" t="n">
        <v>256</v>
      </c>
      <c r="R1804" s="0" t="n">
        <v>256</v>
      </c>
      <c r="T1804" s="0" t="s">
        <v>6587</v>
      </c>
      <c r="U1804" s="0" t="s">
        <v>4265</v>
      </c>
      <c r="V1804" s="0" t="s">
        <v>148</v>
      </c>
      <c r="W1804" s="0" t="s">
        <v>6596</v>
      </c>
      <c r="X1804" s="0" t="s">
        <v>6597</v>
      </c>
      <c r="Y1804" s="0" t="s">
        <v>4159</v>
      </c>
      <c r="Z1804" s="0" t="s">
        <v>4160</v>
      </c>
      <c r="AA1804" s="0" t="s">
        <v>6598</v>
      </c>
      <c r="AB1804" s="0" t="s">
        <v>6591</v>
      </c>
      <c r="AC1804" s="0" t="s">
        <v>4162</v>
      </c>
      <c r="AD1804" s="0" t="s">
        <v>6566</v>
      </c>
      <c r="AE1804" s="0" t="s">
        <v>6567</v>
      </c>
      <c r="AF1804" s="0" t="s">
        <v>6592</v>
      </c>
      <c r="AH1804" s="0" t="s">
        <v>2239</v>
      </c>
      <c r="AL1804" s="0" t="s">
        <v>523</v>
      </c>
    </row>
    <row r="1805" customFormat="false" ht="15" hidden="false" customHeight="false" outlineLevel="0" collapsed="false">
      <c r="A1805" s="0" t="s">
        <v>1108</v>
      </c>
      <c r="B1805" s="0" t="s">
        <v>136</v>
      </c>
      <c r="C1805" s="0" t="s">
        <v>4507</v>
      </c>
      <c r="D1805" s="0" t="n">
        <v>2022</v>
      </c>
      <c r="E1805" s="0" t="s">
        <v>56</v>
      </c>
      <c r="F1805" s="0" t="n">
        <v>4412624546</v>
      </c>
      <c r="G1805" s="0" t="s">
        <v>3067</v>
      </c>
      <c r="H1805" s="0" t="s">
        <v>3068</v>
      </c>
      <c r="I1805" s="0" t="n">
        <v>4412624.546</v>
      </c>
      <c r="J1805" s="0" t="s">
        <v>6558</v>
      </c>
      <c r="K1805" s="0" t="s">
        <v>2709</v>
      </c>
      <c r="L1805" s="0" t="n">
        <v>2022</v>
      </c>
      <c r="M1805" s="0" t="s">
        <v>2294</v>
      </c>
      <c r="N1805" s="0" t="s">
        <v>147</v>
      </c>
      <c r="O1805" s="0" t="s">
        <v>6585</v>
      </c>
      <c r="P1805" s="0" t="s">
        <v>6586</v>
      </c>
      <c r="Q1805" s="0" t="n">
        <v>256</v>
      </c>
      <c r="R1805" s="0" t="n">
        <v>256</v>
      </c>
      <c r="T1805" s="0" t="s">
        <v>6587</v>
      </c>
      <c r="U1805" s="0" t="s">
        <v>4265</v>
      </c>
      <c r="V1805" s="0" t="s">
        <v>148</v>
      </c>
      <c r="W1805" s="0" t="s">
        <v>6596</v>
      </c>
      <c r="X1805" s="0" t="s">
        <v>6597</v>
      </c>
      <c r="Y1805" s="0" t="s">
        <v>4159</v>
      </c>
      <c r="Z1805" s="0" t="s">
        <v>4160</v>
      </c>
      <c r="AA1805" s="0" t="s">
        <v>6599</v>
      </c>
      <c r="AB1805" s="0" t="s">
        <v>6591</v>
      </c>
      <c r="AC1805" s="0" t="s">
        <v>4162</v>
      </c>
      <c r="AD1805" s="0" t="s">
        <v>6566</v>
      </c>
      <c r="AE1805" s="0" t="s">
        <v>6567</v>
      </c>
      <c r="AF1805" s="0" t="s">
        <v>6592</v>
      </c>
      <c r="AH1805" s="0" t="s">
        <v>2239</v>
      </c>
      <c r="AL1805" s="0" t="s">
        <v>523</v>
      </c>
    </row>
    <row r="1806" customFormat="false" ht="15" hidden="false" customHeight="false" outlineLevel="0" collapsed="false">
      <c r="A1806" s="0" t="s">
        <v>1109</v>
      </c>
      <c r="B1806" s="0" t="s">
        <v>136</v>
      </c>
      <c r="C1806" s="0" t="s">
        <v>4507</v>
      </c>
      <c r="D1806" s="0" t="n">
        <v>2022</v>
      </c>
      <c r="E1806" s="0" t="s">
        <v>57</v>
      </c>
      <c r="F1806" s="0" t="n">
        <v>795952287</v>
      </c>
      <c r="G1806" s="0" t="s">
        <v>3067</v>
      </c>
      <c r="H1806" s="0" t="s">
        <v>3068</v>
      </c>
      <c r="I1806" s="0" t="n">
        <v>795952.287</v>
      </c>
      <c r="J1806" s="0" t="s">
        <v>6558</v>
      </c>
      <c r="K1806" s="0" t="s">
        <v>2709</v>
      </c>
      <c r="L1806" s="0" t="n">
        <v>2022</v>
      </c>
      <c r="M1806" s="0" t="s">
        <v>2294</v>
      </c>
      <c r="N1806" s="0" t="s">
        <v>147</v>
      </c>
      <c r="O1806" s="0" t="s">
        <v>6585</v>
      </c>
      <c r="P1806" s="0" t="s">
        <v>6586</v>
      </c>
      <c r="Q1806" s="0" t="n">
        <v>256</v>
      </c>
      <c r="R1806" s="0" t="n">
        <v>256</v>
      </c>
      <c r="T1806" s="0" t="s">
        <v>6587</v>
      </c>
      <c r="U1806" s="0" t="s">
        <v>4265</v>
      </c>
      <c r="V1806" s="0" t="s">
        <v>148</v>
      </c>
      <c r="W1806" s="0" t="s">
        <v>6596</v>
      </c>
      <c r="X1806" s="0" t="s">
        <v>6597</v>
      </c>
      <c r="Y1806" s="0" t="s">
        <v>4159</v>
      </c>
      <c r="Z1806" s="0" t="s">
        <v>4160</v>
      </c>
      <c r="AA1806" s="0" t="s">
        <v>6600</v>
      </c>
      <c r="AB1806" s="0" t="s">
        <v>6591</v>
      </c>
      <c r="AC1806" s="0" t="s">
        <v>4162</v>
      </c>
      <c r="AD1806" s="0" t="s">
        <v>6566</v>
      </c>
      <c r="AE1806" s="0" t="s">
        <v>6567</v>
      </c>
      <c r="AF1806" s="0" t="s">
        <v>6592</v>
      </c>
      <c r="AH1806" s="0" t="s">
        <v>2239</v>
      </c>
      <c r="AL1806" s="0" t="s">
        <v>523</v>
      </c>
    </row>
    <row r="1807" customFormat="false" ht="15" hidden="false" customHeight="false" outlineLevel="0" collapsed="false">
      <c r="A1807" s="0" t="s">
        <v>1110</v>
      </c>
      <c r="B1807" s="0" t="s">
        <v>136</v>
      </c>
      <c r="C1807" s="0" t="s">
        <v>4507</v>
      </c>
      <c r="D1807" s="0" t="n">
        <v>2022</v>
      </c>
      <c r="E1807" s="0" t="s">
        <v>58</v>
      </c>
      <c r="F1807" s="0" t="n">
        <v>671361457</v>
      </c>
      <c r="G1807" s="0" t="s">
        <v>3067</v>
      </c>
      <c r="H1807" s="0" t="s">
        <v>3068</v>
      </c>
      <c r="I1807" s="0" t="n">
        <v>671361.457</v>
      </c>
      <c r="J1807" s="0" t="s">
        <v>6558</v>
      </c>
      <c r="K1807" s="0" t="s">
        <v>2709</v>
      </c>
      <c r="L1807" s="0" t="n">
        <v>2022</v>
      </c>
      <c r="M1807" s="0" t="s">
        <v>2294</v>
      </c>
      <c r="N1807" s="0" t="s">
        <v>147</v>
      </c>
      <c r="O1807" s="0" t="s">
        <v>6585</v>
      </c>
      <c r="P1807" s="0" t="s">
        <v>6586</v>
      </c>
      <c r="Q1807" s="0" t="n">
        <v>257</v>
      </c>
      <c r="R1807" s="0" t="n">
        <v>257</v>
      </c>
      <c r="T1807" s="0" t="s">
        <v>6587</v>
      </c>
      <c r="U1807" s="0" t="s">
        <v>4265</v>
      </c>
      <c r="V1807" s="0" t="s">
        <v>148</v>
      </c>
      <c r="W1807" s="0" t="s">
        <v>6601</v>
      </c>
      <c r="X1807" s="0" t="s">
        <v>6602</v>
      </c>
      <c r="Y1807" s="0" t="s">
        <v>4159</v>
      </c>
      <c r="Z1807" s="0" t="s">
        <v>4160</v>
      </c>
      <c r="AA1807" s="0" t="s">
        <v>6603</v>
      </c>
      <c r="AB1807" s="0" t="s">
        <v>6591</v>
      </c>
      <c r="AC1807" s="0" t="s">
        <v>4162</v>
      </c>
      <c r="AD1807" s="0" t="s">
        <v>6566</v>
      </c>
      <c r="AE1807" s="0" t="s">
        <v>6567</v>
      </c>
      <c r="AF1807" s="0" t="s">
        <v>6592</v>
      </c>
      <c r="AH1807" s="0" t="s">
        <v>2239</v>
      </c>
      <c r="AL1807" s="0" t="s">
        <v>523</v>
      </c>
    </row>
    <row r="1808" customFormat="false" ht="15" hidden="false" customHeight="false" outlineLevel="0" collapsed="false">
      <c r="A1808" s="0" t="s">
        <v>1111</v>
      </c>
      <c r="B1808" s="0" t="s">
        <v>136</v>
      </c>
      <c r="C1808" s="0" t="s">
        <v>4507</v>
      </c>
      <c r="D1808" s="0" t="n">
        <v>2022</v>
      </c>
      <c r="E1808" s="0" t="s">
        <v>59</v>
      </c>
      <c r="F1808" s="0" t="n">
        <v>4357033134</v>
      </c>
      <c r="G1808" s="0" t="s">
        <v>3067</v>
      </c>
      <c r="H1808" s="0" t="s">
        <v>3068</v>
      </c>
      <c r="I1808" s="0" t="n">
        <v>4357033.134</v>
      </c>
      <c r="J1808" s="0" t="s">
        <v>6558</v>
      </c>
      <c r="K1808" s="0" t="s">
        <v>2709</v>
      </c>
      <c r="L1808" s="0" t="n">
        <v>2022</v>
      </c>
      <c r="M1808" s="0" t="s">
        <v>2294</v>
      </c>
      <c r="N1808" s="0" t="s">
        <v>147</v>
      </c>
      <c r="O1808" s="0" t="s">
        <v>6585</v>
      </c>
      <c r="P1808" s="0" t="s">
        <v>6586</v>
      </c>
      <c r="Q1808" s="0" t="n">
        <v>260</v>
      </c>
      <c r="R1808" s="0" t="n">
        <v>260</v>
      </c>
      <c r="T1808" s="0" t="s">
        <v>6561</v>
      </c>
      <c r="U1808" s="0" t="s">
        <v>6604</v>
      </c>
      <c r="V1808" s="0" t="s">
        <v>148</v>
      </c>
      <c r="W1808" s="0" t="s">
        <v>6605</v>
      </c>
      <c r="X1808" s="0" t="s">
        <v>6606</v>
      </c>
      <c r="Y1808" s="0" t="s">
        <v>4159</v>
      </c>
      <c r="Z1808" s="0" t="s">
        <v>4160</v>
      </c>
      <c r="AA1808" s="0" t="s">
        <v>6607</v>
      </c>
      <c r="AB1808" s="0" t="s">
        <v>6591</v>
      </c>
      <c r="AC1808" s="0" t="s">
        <v>4162</v>
      </c>
      <c r="AD1808" s="0" t="s">
        <v>6566</v>
      </c>
      <c r="AE1808" s="0" t="s">
        <v>6567</v>
      </c>
      <c r="AF1808" s="0" t="s">
        <v>6592</v>
      </c>
      <c r="AH1808" s="0" t="s">
        <v>2239</v>
      </c>
      <c r="AL1808" s="0" t="s">
        <v>523</v>
      </c>
    </row>
    <row r="1809" customFormat="false" ht="15" hidden="false" customHeight="false" outlineLevel="0" collapsed="false">
      <c r="A1809" s="0" t="s">
        <v>1115</v>
      </c>
      <c r="B1809" s="0" t="s">
        <v>149</v>
      </c>
      <c r="C1809" s="0" t="s">
        <v>4263</v>
      </c>
      <c r="D1809" s="0" t="n">
        <v>2013</v>
      </c>
      <c r="E1809" s="0" t="s">
        <v>54</v>
      </c>
      <c r="F1809" s="0" t="n">
        <v>10129</v>
      </c>
      <c r="G1809" s="0" t="s">
        <v>3101</v>
      </c>
      <c r="H1809" s="0" t="s">
        <v>3068</v>
      </c>
      <c r="I1809" s="0" t="n">
        <v>10129</v>
      </c>
      <c r="J1809" s="0" t="s">
        <v>6608</v>
      </c>
      <c r="K1809" s="0" t="s">
        <v>2710</v>
      </c>
      <c r="L1809" s="0" t="n">
        <v>2013</v>
      </c>
      <c r="M1809" s="0" t="s">
        <v>2297</v>
      </c>
      <c r="N1809" s="0" t="s">
        <v>150</v>
      </c>
      <c r="O1809" s="0" t="s">
        <v>6609</v>
      </c>
      <c r="P1809" s="0" t="s">
        <v>6610</v>
      </c>
      <c r="Q1809" s="0" t="n">
        <v>96</v>
      </c>
      <c r="R1809" s="0" t="n">
        <v>188</v>
      </c>
      <c r="S1809" s="0" t="n">
        <v>13.4</v>
      </c>
      <c r="T1809" s="0" t="s">
        <v>6611</v>
      </c>
      <c r="U1809" s="0" t="s">
        <v>5000</v>
      </c>
      <c r="V1809" s="0" t="s">
        <v>151</v>
      </c>
      <c r="W1809" s="0" t="s">
        <v>6612</v>
      </c>
      <c r="X1809" s="0" t="s">
        <v>6613</v>
      </c>
      <c r="Y1809" s="0" t="s">
        <v>4159</v>
      </c>
      <c r="Z1809" s="0" t="s">
        <v>4160</v>
      </c>
      <c r="AA1809" s="0" t="s">
        <v>6614</v>
      </c>
      <c r="AB1809" s="0" t="s">
        <v>6615</v>
      </c>
      <c r="AC1809" s="0" t="s">
        <v>4162</v>
      </c>
      <c r="AD1809" s="0" t="s">
        <v>6566</v>
      </c>
      <c r="AE1809" s="0" t="s">
        <v>6567</v>
      </c>
      <c r="AF1809" s="0" t="s">
        <v>6616</v>
      </c>
      <c r="AH1809" s="0" t="s">
        <v>2239</v>
      </c>
      <c r="AL1809" s="0" t="s">
        <v>523</v>
      </c>
    </row>
    <row r="1810" customFormat="false" ht="15" hidden="false" customHeight="false" outlineLevel="0" collapsed="false">
      <c r="A1810" s="0" t="s">
        <v>1122</v>
      </c>
      <c r="B1810" s="0" t="s">
        <v>149</v>
      </c>
      <c r="C1810" s="0" t="s">
        <v>4263</v>
      </c>
      <c r="D1810" s="0" t="n">
        <v>2013</v>
      </c>
      <c r="E1810" s="0" t="s">
        <v>541</v>
      </c>
      <c r="F1810" s="0" t="n">
        <v>9474</v>
      </c>
      <c r="G1810" s="0" t="s">
        <v>3101</v>
      </c>
      <c r="H1810" s="0" t="s">
        <v>3068</v>
      </c>
      <c r="I1810" s="0" t="n">
        <v>9474</v>
      </c>
      <c r="J1810" s="0" t="s">
        <v>6608</v>
      </c>
      <c r="K1810" s="0" t="s">
        <v>2710</v>
      </c>
      <c r="L1810" s="0" t="n">
        <v>2013</v>
      </c>
      <c r="M1810" s="0" t="s">
        <v>2297</v>
      </c>
      <c r="N1810" s="0" t="s">
        <v>150</v>
      </c>
      <c r="O1810" s="0" t="s">
        <v>6609</v>
      </c>
      <c r="P1810" s="0" t="s">
        <v>6610</v>
      </c>
      <c r="Q1810" s="0" t="n">
        <v>96</v>
      </c>
      <c r="R1810" s="0" t="n">
        <v>188</v>
      </c>
      <c r="S1810" s="0" t="n">
        <v>13.4</v>
      </c>
      <c r="T1810" s="0" t="s">
        <v>6611</v>
      </c>
      <c r="U1810" s="0" t="s">
        <v>5000</v>
      </c>
      <c r="V1810" s="0" t="s">
        <v>151</v>
      </c>
      <c r="W1810" s="0" t="s">
        <v>6617</v>
      </c>
      <c r="X1810" s="0" t="s">
        <v>6613</v>
      </c>
      <c r="Y1810" s="0" t="s">
        <v>4159</v>
      </c>
      <c r="Z1810" s="0" t="s">
        <v>4160</v>
      </c>
      <c r="AA1810" s="0" t="s">
        <v>6618</v>
      </c>
      <c r="AB1810" s="0" t="s">
        <v>6615</v>
      </c>
      <c r="AC1810" s="0" t="s">
        <v>4162</v>
      </c>
      <c r="AD1810" s="0" t="s">
        <v>6566</v>
      </c>
      <c r="AE1810" s="0" t="s">
        <v>6567</v>
      </c>
      <c r="AF1810" s="0" t="s">
        <v>6616</v>
      </c>
      <c r="AH1810" s="0" t="s">
        <v>2239</v>
      </c>
      <c r="AL1810" s="0" t="s">
        <v>523</v>
      </c>
    </row>
    <row r="1811" customFormat="false" ht="15" hidden="false" customHeight="false" outlineLevel="0" collapsed="false">
      <c r="A1811" s="0" t="s">
        <v>1121</v>
      </c>
      <c r="B1811" s="0" t="s">
        <v>149</v>
      </c>
      <c r="C1811" s="0" t="s">
        <v>4263</v>
      </c>
      <c r="D1811" s="0" t="n">
        <v>2013</v>
      </c>
      <c r="E1811" s="0" t="s">
        <v>63</v>
      </c>
      <c r="F1811" s="0" t="n">
        <v>-2667</v>
      </c>
      <c r="G1811" s="0" t="s">
        <v>3101</v>
      </c>
      <c r="H1811" s="0" t="s">
        <v>3068</v>
      </c>
      <c r="I1811" s="0" t="n">
        <v>2667</v>
      </c>
      <c r="J1811" s="0" t="s">
        <v>6608</v>
      </c>
      <c r="K1811" s="0" t="s">
        <v>2710</v>
      </c>
      <c r="L1811" s="0" t="n">
        <v>2013</v>
      </c>
      <c r="M1811" s="0" t="s">
        <v>2297</v>
      </c>
      <c r="N1811" s="0" t="s">
        <v>150</v>
      </c>
      <c r="O1811" s="0" t="s">
        <v>6609</v>
      </c>
      <c r="P1811" s="0" t="s">
        <v>6610</v>
      </c>
      <c r="Q1811" s="0" t="n">
        <v>96</v>
      </c>
      <c r="R1811" s="0" t="n">
        <v>188</v>
      </c>
      <c r="S1811" s="0" t="n">
        <v>13.4</v>
      </c>
      <c r="T1811" s="0" t="s">
        <v>6611</v>
      </c>
      <c r="U1811" s="0" t="s">
        <v>5000</v>
      </c>
      <c r="V1811" s="0" t="s">
        <v>151</v>
      </c>
      <c r="W1811" s="0" t="s">
        <v>6619</v>
      </c>
      <c r="X1811" s="0" t="s">
        <v>6613</v>
      </c>
      <c r="Y1811" s="0" t="s">
        <v>4159</v>
      </c>
      <c r="Z1811" s="0" t="s">
        <v>4160</v>
      </c>
      <c r="AA1811" s="0" t="s">
        <v>6620</v>
      </c>
      <c r="AB1811" s="0" t="s">
        <v>6615</v>
      </c>
      <c r="AC1811" s="0" t="s">
        <v>4162</v>
      </c>
      <c r="AD1811" s="0" t="s">
        <v>6566</v>
      </c>
      <c r="AE1811" s="0" t="s">
        <v>6567</v>
      </c>
      <c r="AF1811" s="0" t="s">
        <v>6616</v>
      </c>
      <c r="AH1811" s="0" t="s">
        <v>4174</v>
      </c>
      <c r="AI1811" s="0" t="s">
        <v>4974</v>
      </c>
      <c r="AL1811" s="0" t="s">
        <v>523</v>
      </c>
    </row>
    <row r="1812" customFormat="false" ht="15" hidden="false" customHeight="false" outlineLevel="0" collapsed="false">
      <c r="A1812" s="0" t="s">
        <v>1120</v>
      </c>
      <c r="B1812" s="0" t="s">
        <v>149</v>
      </c>
      <c r="C1812" s="0" t="s">
        <v>4263</v>
      </c>
      <c r="D1812" s="0" t="n">
        <v>2013</v>
      </c>
      <c r="E1812" s="0" t="s">
        <v>62</v>
      </c>
      <c r="F1812" s="0" t="n">
        <v>289747</v>
      </c>
      <c r="G1812" s="0" t="s">
        <v>3101</v>
      </c>
      <c r="H1812" s="0" t="s">
        <v>3068</v>
      </c>
      <c r="I1812" s="0" t="n">
        <v>289747</v>
      </c>
      <c r="J1812" s="0" t="s">
        <v>6608</v>
      </c>
      <c r="K1812" s="0" t="s">
        <v>2710</v>
      </c>
      <c r="L1812" s="0" t="n">
        <v>2013</v>
      </c>
      <c r="M1812" s="0" t="s">
        <v>2297</v>
      </c>
      <c r="N1812" s="0" t="s">
        <v>150</v>
      </c>
      <c r="O1812" s="0" t="s">
        <v>6609</v>
      </c>
      <c r="P1812" s="0" t="s">
        <v>6610</v>
      </c>
      <c r="Q1812" s="0" t="n">
        <v>96</v>
      </c>
      <c r="R1812" s="0" t="n">
        <v>188</v>
      </c>
      <c r="S1812" s="0" t="n">
        <v>13.4</v>
      </c>
      <c r="T1812" s="0" t="s">
        <v>6611</v>
      </c>
      <c r="U1812" s="0" t="s">
        <v>5000</v>
      </c>
      <c r="V1812" s="0" t="s">
        <v>151</v>
      </c>
      <c r="W1812" s="0" t="s">
        <v>6621</v>
      </c>
      <c r="X1812" s="0" t="s">
        <v>6613</v>
      </c>
      <c r="Y1812" s="0" t="s">
        <v>4159</v>
      </c>
      <c r="Z1812" s="0" t="s">
        <v>4160</v>
      </c>
      <c r="AA1812" s="0" t="s">
        <v>6622</v>
      </c>
      <c r="AB1812" s="0" t="s">
        <v>6615</v>
      </c>
      <c r="AC1812" s="0" t="s">
        <v>4162</v>
      </c>
      <c r="AD1812" s="0" t="s">
        <v>6566</v>
      </c>
      <c r="AE1812" s="0" t="s">
        <v>6567</v>
      </c>
      <c r="AF1812" s="0" t="s">
        <v>6616</v>
      </c>
      <c r="AH1812" s="0" t="s">
        <v>2239</v>
      </c>
      <c r="AL1812" s="0" t="s">
        <v>523</v>
      </c>
    </row>
    <row r="1813" customFormat="false" ht="15" hidden="false" customHeight="false" outlineLevel="0" collapsed="false">
      <c r="A1813" s="0" t="s">
        <v>1116</v>
      </c>
      <c r="B1813" s="0" t="s">
        <v>149</v>
      </c>
      <c r="C1813" s="0" t="s">
        <v>4263</v>
      </c>
      <c r="D1813" s="0" t="n">
        <v>2013</v>
      </c>
      <c r="E1813" s="0" t="s">
        <v>55</v>
      </c>
      <c r="F1813" s="0" t="n">
        <v>725100</v>
      </c>
      <c r="G1813" s="0" t="s">
        <v>3101</v>
      </c>
      <c r="H1813" s="0" t="s">
        <v>3068</v>
      </c>
      <c r="I1813" s="0" t="n">
        <v>725100</v>
      </c>
      <c r="J1813" s="0" t="s">
        <v>6608</v>
      </c>
      <c r="K1813" s="0" t="s">
        <v>2710</v>
      </c>
      <c r="L1813" s="0" t="n">
        <v>2013</v>
      </c>
      <c r="M1813" s="0" t="s">
        <v>2297</v>
      </c>
      <c r="N1813" s="0" t="s">
        <v>150</v>
      </c>
      <c r="O1813" s="0" t="s">
        <v>6609</v>
      </c>
      <c r="P1813" s="0" t="s">
        <v>6610</v>
      </c>
      <c r="Q1813" s="0" t="n">
        <v>96</v>
      </c>
      <c r="R1813" s="0" t="n">
        <v>188</v>
      </c>
      <c r="S1813" s="0" t="n">
        <v>13.4</v>
      </c>
      <c r="T1813" s="0" t="s">
        <v>6611</v>
      </c>
      <c r="U1813" s="0" t="s">
        <v>5000</v>
      </c>
      <c r="V1813" s="0" t="s">
        <v>151</v>
      </c>
      <c r="W1813" s="0" t="s">
        <v>6623</v>
      </c>
      <c r="X1813" s="0" t="s">
        <v>6613</v>
      </c>
      <c r="Y1813" s="0" t="s">
        <v>4159</v>
      </c>
      <c r="Z1813" s="0" t="s">
        <v>4160</v>
      </c>
      <c r="AA1813" s="0" t="s">
        <v>6624</v>
      </c>
      <c r="AB1813" s="0" t="s">
        <v>6615</v>
      </c>
      <c r="AC1813" s="0" t="s">
        <v>4162</v>
      </c>
      <c r="AD1813" s="0" t="s">
        <v>6566</v>
      </c>
      <c r="AE1813" s="0" t="s">
        <v>6567</v>
      </c>
      <c r="AF1813" s="0" t="s">
        <v>6616</v>
      </c>
      <c r="AH1813" s="0" t="s">
        <v>2239</v>
      </c>
      <c r="AL1813" s="0" t="s">
        <v>523</v>
      </c>
    </row>
    <row r="1814" customFormat="false" ht="15" hidden="false" customHeight="false" outlineLevel="0" collapsed="false">
      <c r="A1814" s="0" t="s">
        <v>1119</v>
      </c>
      <c r="B1814" s="0" t="s">
        <v>149</v>
      </c>
      <c r="C1814" s="0" t="s">
        <v>4263</v>
      </c>
      <c r="D1814" s="0" t="n">
        <v>2013</v>
      </c>
      <c r="E1814" s="0" t="s">
        <v>59</v>
      </c>
      <c r="F1814" s="0" t="n">
        <v>650470</v>
      </c>
      <c r="G1814" s="0" t="s">
        <v>3101</v>
      </c>
      <c r="H1814" s="0" t="s">
        <v>3068</v>
      </c>
      <c r="I1814" s="0" t="n">
        <v>650470</v>
      </c>
      <c r="J1814" s="0" t="s">
        <v>6608</v>
      </c>
      <c r="K1814" s="0" t="s">
        <v>2710</v>
      </c>
      <c r="L1814" s="0" t="n">
        <v>2013</v>
      </c>
      <c r="M1814" s="0" t="s">
        <v>2297</v>
      </c>
      <c r="N1814" s="0" t="s">
        <v>150</v>
      </c>
      <c r="O1814" s="0" t="s">
        <v>6609</v>
      </c>
      <c r="P1814" s="0" t="s">
        <v>6610</v>
      </c>
      <c r="Q1814" s="0" t="n">
        <v>96</v>
      </c>
      <c r="R1814" s="0" t="n">
        <v>188</v>
      </c>
      <c r="S1814" s="0" t="n">
        <v>13.4</v>
      </c>
      <c r="T1814" s="0" t="s">
        <v>6625</v>
      </c>
      <c r="U1814" s="0" t="s">
        <v>6626</v>
      </c>
      <c r="V1814" s="0" t="s">
        <v>151</v>
      </c>
      <c r="W1814" s="0" t="s">
        <v>6627</v>
      </c>
      <c r="X1814" s="0" t="s">
        <v>6613</v>
      </c>
      <c r="Y1814" s="0" t="s">
        <v>4159</v>
      </c>
      <c r="Z1814" s="0" t="s">
        <v>4160</v>
      </c>
      <c r="AA1814" s="0" t="s">
        <v>6628</v>
      </c>
      <c r="AB1814" s="0" t="s">
        <v>6615</v>
      </c>
      <c r="AC1814" s="0" t="s">
        <v>4162</v>
      </c>
      <c r="AD1814" s="0" t="s">
        <v>6566</v>
      </c>
      <c r="AE1814" s="0" t="s">
        <v>6567</v>
      </c>
      <c r="AF1814" s="0" t="s">
        <v>6616</v>
      </c>
      <c r="AH1814" s="0" t="s">
        <v>2239</v>
      </c>
      <c r="AL1814" s="0" t="s">
        <v>523</v>
      </c>
    </row>
    <row r="1815" customFormat="false" ht="15" hidden="false" customHeight="false" outlineLevel="0" collapsed="false">
      <c r="A1815" s="0" t="s">
        <v>1118</v>
      </c>
      <c r="B1815" s="0" t="s">
        <v>149</v>
      </c>
      <c r="C1815" s="0" t="s">
        <v>4263</v>
      </c>
      <c r="D1815" s="0" t="n">
        <v>2013</v>
      </c>
      <c r="E1815" s="0" t="s">
        <v>57</v>
      </c>
      <c r="F1815" s="0" t="n">
        <v>70580</v>
      </c>
      <c r="G1815" s="0" t="s">
        <v>3101</v>
      </c>
      <c r="H1815" s="0" t="s">
        <v>3068</v>
      </c>
      <c r="I1815" s="0" t="n">
        <v>70580</v>
      </c>
      <c r="J1815" s="0" t="s">
        <v>6608</v>
      </c>
      <c r="K1815" s="0" t="s">
        <v>2710</v>
      </c>
      <c r="L1815" s="0" t="n">
        <v>2013</v>
      </c>
      <c r="M1815" s="0" t="s">
        <v>2297</v>
      </c>
      <c r="N1815" s="0" t="s">
        <v>150</v>
      </c>
      <c r="O1815" s="0" t="s">
        <v>6609</v>
      </c>
      <c r="P1815" s="0" t="s">
        <v>6610</v>
      </c>
      <c r="Q1815" s="0" t="n">
        <v>97</v>
      </c>
      <c r="R1815" s="0" t="n">
        <v>190</v>
      </c>
      <c r="S1815" s="0" t="n">
        <v>13.4</v>
      </c>
      <c r="T1815" s="0" t="s">
        <v>6611</v>
      </c>
      <c r="U1815" s="0" t="s">
        <v>5000</v>
      </c>
      <c r="V1815" s="0" t="s">
        <v>151</v>
      </c>
      <c r="W1815" s="0" t="s">
        <v>6629</v>
      </c>
      <c r="X1815" s="0" t="s">
        <v>6630</v>
      </c>
      <c r="Y1815" s="0" t="s">
        <v>4159</v>
      </c>
      <c r="Z1815" s="0" t="s">
        <v>4160</v>
      </c>
      <c r="AA1815" s="0" t="s">
        <v>6631</v>
      </c>
      <c r="AB1815" s="0" t="s">
        <v>6615</v>
      </c>
      <c r="AC1815" s="0" t="s">
        <v>4162</v>
      </c>
      <c r="AD1815" s="0" t="s">
        <v>6566</v>
      </c>
      <c r="AE1815" s="0" t="s">
        <v>6567</v>
      </c>
      <c r="AF1815" s="0" t="s">
        <v>6616</v>
      </c>
      <c r="AH1815" s="0" t="s">
        <v>2239</v>
      </c>
      <c r="AL1815" s="0" t="s">
        <v>523</v>
      </c>
    </row>
    <row r="1816" customFormat="false" ht="15" hidden="false" customHeight="false" outlineLevel="0" collapsed="false">
      <c r="A1816" s="0" t="s">
        <v>1117</v>
      </c>
      <c r="B1816" s="0" t="s">
        <v>149</v>
      </c>
      <c r="C1816" s="0" t="s">
        <v>4263</v>
      </c>
      <c r="D1816" s="0" t="n">
        <v>2013</v>
      </c>
      <c r="E1816" s="0" t="s">
        <v>56</v>
      </c>
      <c r="F1816" s="0" t="n">
        <v>654520</v>
      </c>
      <c r="G1816" s="0" t="s">
        <v>3101</v>
      </c>
      <c r="H1816" s="0" t="s">
        <v>3068</v>
      </c>
      <c r="I1816" s="0" t="n">
        <v>654520</v>
      </c>
      <c r="J1816" s="0" t="s">
        <v>6608</v>
      </c>
      <c r="K1816" s="0" t="s">
        <v>2710</v>
      </c>
      <c r="L1816" s="0" t="n">
        <v>2013</v>
      </c>
      <c r="M1816" s="0" t="s">
        <v>2297</v>
      </c>
      <c r="N1816" s="0" t="s">
        <v>150</v>
      </c>
      <c r="O1816" s="0" t="s">
        <v>6609</v>
      </c>
      <c r="P1816" s="0" t="s">
        <v>6610</v>
      </c>
      <c r="Q1816" s="0" t="n">
        <v>97</v>
      </c>
      <c r="R1816" s="0" t="n">
        <v>190</v>
      </c>
      <c r="S1816" s="0" t="n">
        <v>13.4</v>
      </c>
      <c r="T1816" s="0" t="s">
        <v>6611</v>
      </c>
      <c r="U1816" s="0" t="s">
        <v>5000</v>
      </c>
      <c r="V1816" s="0" t="s">
        <v>151</v>
      </c>
      <c r="W1816" s="0" t="s">
        <v>6632</v>
      </c>
      <c r="X1816" s="0" t="s">
        <v>6630</v>
      </c>
      <c r="Y1816" s="0" t="s">
        <v>4159</v>
      </c>
      <c r="Z1816" s="0" t="s">
        <v>4160</v>
      </c>
      <c r="AA1816" s="0" t="s">
        <v>6633</v>
      </c>
      <c r="AB1816" s="0" t="s">
        <v>6615</v>
      </c>
      <c r="AC1816" s="0" t="s">
        <v>4162</v>
      </c>
      <c r="AD1816" s="0" t="s">
        <v>6566</v>
      </c>
      <c r="AE1816" s="0" t="s">
        <v>6567</v>
      </c>
      <c r="AF1816" s="0" t="s">
        <v>6616</v>
      </c>
      <c r="AH1816" s="0" t="s">
        <v>2239</v>
      </c>
      <c r="AL1816" s="0" t="s">
        <v>523</v>
      </c>
    </row>
    <row r="1817" customFormat="false" ht="15" hidden="false" customHeight="false" outlineLevel="0" collapsed="false">
      <c r="A1817" s="0" t="s">
        <v>1123</v>
      </c>
      <c r="B1817" s="0" t="s">
        <v>149</v>
      </c>
      <c r="C1817" s="0" t="s">
        <v>4263</v>
      </c>
      <c r="D1817" s="0" t="n">
        <v>2014</v>
      </c>
      <c r="E1817" s="0" t="s">
        <v>54</v>
      </c>
      <c r="F1817" s="0" t="n">
        <v>19456</v>
      </c>
      <c r="G1817" s="0" t="s">
        <v>3101</v>
      </c>
      <c r="H1817" s="0" t="s">
        <v>3068</v>
      </c>
      <c r="I1817" s="0" t="n">
        <v>19456</v>
      </c>
      <c r="J1817" s="0" t="s">
        <v>6608</v>
      </c>
      <c r="K1817" s="0" t="s">
        <v>2711</v>
      </c>
      <c r="L1817" s="0" t="n">
        <v>2014</v>
      </c>
      <c r="M1817" s="0" t="s">
        <v>2309</v>
      </c>
      <c r="N1817" s="0" t="s">
        <v>152</v>
      </c>
      <c r="O1817" s="0" t="s">
        <v>6634</v>
      </c>
      <c r="P1817" s="0" t="s">
        <v>6635</v>
      </c>
      <c r="Q1817" s="0" t="n">
        <v>104</v>
      </c>
      <c r="R1817" s="0" t="n">
        <v>204</v>
      </c>
      <c r="S1817" s="0" t="n">
        <v>13.4</v>
      </c>
      <c r="T1817" s="0" t="s">
        <v>6636</v>
      </c>
      <c r="U1817" s="0" t="s">
        <v>4763</v>
      </c>
      <c r="V1817" s="0" t="s">
        <v>153</v>
      </c>
      <c r="W1817" s="0" t="s">
        <v>6637</v>
      </c>
      <c r="X1817" s="0" t="s">
        <v>6638</v>
      </c>
      <c r="Y1817" s="0" t="s">
        <v>4159</v>
      </c>
      <c r="Z1817" s="0" t="s">
        <v>4160</v>
      </c>
      <c r="AA1817" s="0" t="s">
        <v>6639</v>
      </c>
      <c r="AB1817" s="0" t="s">
        <v>6640</v>
      </c>
      <c r="AC1817" s="0" t="s">
        <v>4162</v>
      </c>
      <c r="AD1817" s="0" t="s">
        <v>6566</v>
      </c>
      <c r="AE1817" s="0" t="s">
        <v>6567</v>
      </c>
      <c r="AF1817" s="0" t="s">
        <v>6641</v>
      </c>
      <c r="AH1817" s="0" t="s">
        <v>2239</v>
      </c>
      <c r="AL1817" s="0" t="s">
        <v>523</v>
      </c>
    </row>
    <row r="1818" customFormat="false" ht="15" hidden="false" customHeight="false" outlineLevel="0" collapsed="false">
      <c r="A1818" s="0" t="s">
        <v>1130</v>
      </c>
      <c r="B1818" s="0" t="s">
        <v>149</v>
      </c>
      <c r="C1818" s="0" t="s">
        <v>4263</v>
      </c>
      <c r="D1818" s="0" t="n">
        <v>2014</v>
      </c>
      <c r="E1818" s="0" t="s">
        <v>541</v>
      </c>
      <c r="F1818" s="0" t="n">
        <v>21610</v>
      </c>
      <c r="G1818" s="0" t="s">
        <v>3101</v>
      </c>
      <c r="H1818" s="0" t="s">
        <v>3068</v>
      </c>
      <c r="I1818" s="0" t="n">
        <v>21610</v>
      </c>
      <c r="J1818" s="0" t="s">
        <v>6608</v>
      </c>
      <c r="K1818" s="0" t="s">
        <v>2711</v>
      </c>
      <c r="L1818" s="0" t="n">
        <v>2014</v>
      </c>
      <c r="M1818" s="0" t="s">
        <v>2309</v>
      </c>
      <c r="N1818" s="0" t="s">
        <v>152</v>
      </c>
      <c r="O1818" s="0" t="s">
        <v>6634</v>
      </c>
      <c r="P1818" s="0" t="s">
        <v>6635</v>
      </c>
      <c r="Q1818" s="0" t="n">
        <v>104</v>
      </c>
      <c r="R1818" s="0" t="n">
        <v>204</v>
      </c>
      <c r="S1818" s="0" t="n">
        <v>13.4</v>
      </c>
      <c r="T1818" s="0" t="s">
        <v>6636</v>
      </c>
      <c r="U1818" s="0" t="s">
        <v>4763</v>
      </c>
      <c r="V1818" s="0" t="s">
        <v>153</v>
      </c>
      <c r="W1818" s="0" t="s">
        <v>6642</v>
      </c>
      <c r="X1818" s="0" t="s">
        <v>6638</v>
      </c>
      <c r="Y1818" s="0" t="s">
        <v>4159</v>
      </c>
      <c r="Z1818" s="0" t="s">
        <v>4160</v>
      </c>
      <c r="AA1818" s="0" t="s">
        <v>6643</v>
      </c>
      <c r="AB1818" s="0" t="s">
        <v>6640</v>
      </c>
      <c r="AC1818" s="0" t="s">
        <v>4162</v>
      </c>
      <c r="AD1818" s="0" t="s">
        <v>6566</v>
      </c>
      <c r="AE1818" s="0" t="s">
        <v>6567</v>
      </c>
      <c r="AF1818" s="0" t="s">
        <v>6641</v>
      </c>
      <c r="AH1818" s="0" t="s">
        <v>2239</v>
      </c>
      <c r="AL1818" s="0" t="s">
        <v>523</v>
      </c>
    </row>
    <row r="1819" customFormat="false" ht="15" hidden="false" customHeight="false" outlineLevel="0" collapsed="false">
      <c r="A1819" s="0" t="s">
        <v>1129</v>
      </c>
      <c r="B1819" s="0" t="s">
        <v>149</v>
      </c>
      <c r="C1819" s="0" t="s">
        <v>4263</v>
      </c>
      <c r="D1819" s="0" t="n">
        <v>2014</v>
      </c>
      <c r="E1819" s="0" t="s">
        <v>63</v>
      </c>
      <c r="F1819" s="0" t="n">
        <v>-3217</v>
      </c>
      <c r="G1819" s="0" t="s">
        <v>3101</v>
      </c>
      <c r="H1819" s="0" t="s">
        <v>3068</v>
      </c>
      <c r="I1819" s="0" t="n">
        <v>3217</v>
      </c>
      <c r="J1819" s="0" t="s">
        <v>6608</v>
      </c>
      <c r="K1819" s="0" t="s">
        <v>2711</v>
      </c>
      <c r="L1819" s="0" t="n">
        <v>2014</v>
      </c>
      <c r="M1819" s="0" t="s">
        <v>2309</v>
      </c>
      <c r="N1819" s="0" t="s">
        <v>152</v>
      </c>
      <c r="O1819" s="0" t="s">
        <v>6634</v>
      </c>
      <c r="P1819" s="0" t="s">
        <v>6635</v>
      </c>
      <c r="Q1819" s="0" t="n">
        <v>104</v>
      </c>
      <c r="R1819" s="0" t="n">
        <v>204</v>
      </c>
      <c r="S1819" s="0" t="n">
        <v>13.4</v>
      </c>
      <c r="T1819" s="0" t="s">
        <v>6636</v>
      </c>
      <c r="U1819" s="0" t="s">
        <v>4763</v>
      </c>
      <c r="V1819" s="0" t="s">
        <v>153</v>
      </c>
      <c r="W1819" s="0" t="s">
        <v>6644</v>
      </c>
      <c r="X1819" s="0" t="s">
        <v>6638</v>
      </c>
      <c r="Y1819" s="0" t="s">
        <v>4159</v>
      </c>
      <c r="Z1819" s="0" t="s">
        <v>4160</v>
      </c>
      <c r="AA1819" s="0" t="s">
        <v>6645</v>
      </c>
      <c r="AB1819" s="0" t="s">
        <v>6640</v>
      </c>
      <c r="AC1819" s="0" t="s">
        <v>4162</v>
      </c>
      <c r="AD1819" s="0" t="s">
        <v>6566</v>
      </c>
      <c r="AE1819" s="0" t="s">
        <v>6567</v>
      </c>
      <c r="AF1819" s="0" t="s">
        <v>6641</v>
      </c>
      <c r="AH1819" s="0" t="s">
        <v>4174</v>
      </c>
      <c r="AI1819" s="0" t="s">
        <v>4974</v>
      </c>
      <c r="AL1819" s="0" t="s">
        <v>523</v>
      </c>
    </row>
    <row r="1820" customFormat="false" ht="15" hidden="false" customHeight="false" outlineLevel="0" collapsed="false">
      <c r="A1820" s="0" t="s">
        <v>1128</v>
      </c>
      <c r="B1820" s="0" t="s">
        <v>149</v>
      </c>
      <c r="C1820" s="0" t="s">
        <v>4263</v>
      </c>
      <c r="D1820" s="0" t="n">
        <v>2014</v>
      </c>
      <c r="E1820" s="0" t="s">
        <v>62</v>
      </c>
      <c r="F1820" s="0" t="n">
        <v>398604</v>
      </c>
      <c r="G1820" s="0" t="s">
        <v>3101</v>
      </c>
      <c r="H1820" s="0" t="s">
        <v>3068</v>
      </c>
      <c r="I1820" s="0" t="n">
        <v>398604</v>
      </c>
      <c r="J1820" s="0" t="s">
        <v>6608</v>
      </c>
      <c r="K1820" s="0" t="s">
        <v>2711</v>
      </c>
      <c r="L1820" s="0" t="n">
        <v>2014</v>
      </c>
      <c r="M1820" s="0" t="s">
        <v>2309</v>
      </c>
      <c r="N1820" s="0" t="s">
        <v>152</v>
      </c>
      <c r="O1820" s="0" t="s">
        <v>6634</v>
      </c>
      <c r="P1820" s="0" t="s">
        <v>6635</v>
      </c>
      <c r="Q1820" s="0" t="n">
        <v>104</v>
      </c>
      <c r="R1820" s="0" t="n">
        <v>204</v>
      </c>
      <c r="S1820" s="0" t="n">
        <v>13.4</v>
      </c>
      <c r="T1820" s="0" t="s">
        <v>6636</v>
      </c>
      <c r="U1820" s="0" t="s">
        <v>4763</v>
      </c>
      <c r="V1820" s="0" t="s">
        <v>153</v>
      </c>
      <c r="W1820" s="0" t="s">
        <v>6646</v>
      </c>
      <c r="X1820" s="0" t="s">
        <v>6638</v>
      </c>
      <c r="Y1820" s="0" t="s">
        <v>4159</v>
      </c>
      <c r="Z1820" s="0" t="s">
        <v>4160</v>
      </c>
      <c r="AA1820" s="0" t="s">
        <v>6647</v>
      </c>
      <c r="AB1820" s="0" t="s">
        <v>6640</v>
      </c>
      <c r="AC1820" s="0" t="s">
        <v>4162</v>
      </c>
      <c r="AD1820" s="0" t="s">
        <v>6566</v>
      </c>
      <c r="AE1820" s="0" t="s">
        <v>6567</v>
      </c>
      <c r="AF1820" s="0" t="s">
        <v>6641</v>
      </c>
      <c r="AH1820" s="0" t="s">
        <v>2239</v>
      </c>
      <c r="AL1820" s="0" t="s">
        <v>523</v>
      </c>
    </row>
    <row r="1821" customFormat="false" ht="15" hidden="false" customHeight="false" outlineLevel="0" collapsed="false">
      <c r="A1821" s="0" t="s">
        <v>1124</v>
      </c>
      <c r="B1821" s="0" t="s">
        <v>149</v>
      </c>
      <c r="C1821" s="0" t="s">
        <v>4263</v>
      </c>
      <c r="D1821" s="0" t="n">
        <v>2014</v>
      </c>
      <c r="E1821" s="0" t="s">
        <v>55</v>
      </c>
      <c r="F1821" s="0" t="n">
        <v>911052</v>
      </c>
      <c r="G1821" s="0" t="s">
        <v>3101</v>
      </c>
      <c r="H1821" s="0" t="s">
        <v>3068</v>
      </c>
      <c r="I1821" s="0" t="n">
        <v>911052</v>
      </c>
      <c r="J1821" s="0" t="s">
        <v>6608</v>
      </c>
      <c r="K1821" s="0" t="s">
        <v>2711</v>
      </c>
      <c r="L1821" s="0" t="n">
        <v>2014</v>
      </c>
      <c r="M1821" s="0" t="s">
        <v>2309</v>
      </c>
      <c r="N1821" s="0" t="s">
        <v>152</v>
      </c>
      <c r="O1821" s="0" t="s">
        <v>6634</v>
      </c>
      <c r="P1821" s="0" t="s">
        <v>6635</v>
      </c>
      <c r="Q1821" s="0" t="n">
        <v>104</v>
      </c>
      <c r="R1821" s="0" t="n">
        <v>204</v>
      </c>
      <c r="S1821" s="0" t="n">
        <v>13.4</v>
      </c>
      <c r="T1821" s="0" t="s">
        <v>6636</v>
      </c>
      <c r="U1821" s="0" t="s">
        <v>4763</v>
      </c>
      <c r="V1821" s="0" t="s">
        <v>153</v>
      </c>
      <c r="W1821" s="0" t="s">
        <v>6648</v>
      </c>
      <c r="X1821" s="0" t="s">
        <v>6638</v>
      </c>
      <c r="Y1821" s="0" t="s">
        <v>4159</v>
      </c>
      <c r="Z1821" s="0" t="s">
        <v>4160</v>
      </c>
      <c r="AA1821" s="0" t="s">
        <v>6649</v>
      </c>
      <c r="AB1821" s="0" t="s">
        <v>6640</v>
      </c>
      <c r="AC1821" s="0" t="s">
        <v>4162</v>
      </c>
      <c r="AD1821" s="0" t="s">
        <v>6566</v>
      </c>
      <c r="AE1821" s="0" t="s">
        <v>6567</v>
      </c>
      <c r="AF1821" s="0" t="s">
        <v>6641</v>
      </c>
      <c r="AH1821" s="0" t="s">
        <v>2239</v>
      </c>
      <c r="AL1821" s="0" t="s">
        <v>523</v>
      </c>
    </row>
    <row r="1822" customFormat="false" ht="15" hidden="false" customHeight="false" outlineLevel="0" collapsed="false">
      <c r="A1822" s="0" t="s">
        <v>1127</v>
      </c>
      <c r="B1822" s="0" t="s">
        <v>149</v>
      </c>
      <c r="C1822" s="0" t="s">
        <v>4263</v>
      </c>
      <c r="D1822" s="0" t="n">
        <v>2014</v>
      </c>
      <c r="E1822" s="0" t="s">
        <v>59</v>
      </c>
      <c r="F1822" s="0" t="n">
        <v>725100</v>
      </c>
      <c r="G1822" s="0" t="s">
        <v>3101</v>
      </c>
      <c r="H1822" s="0" t="s">
        <v>3068</v>
      </c>
      <c r="I1822" s="0" t="n">
        <v>725100</v>
      </c>
      <c r="J1822" s="0" t="s">
        <v>6608</v>
      </c>
      <c r="K1822" s="0" t="s">
        <v>2711</v>
      </c>
      <c r="L1822" s="0" t="n">
        <v>2014</v>
      </c>
      <c r="M1822" s="0" t="s">
        <v>2309</v>
      </c>
      <c r="N1822" s="0" t="s">
        <v>152</v>
      </c>
      <c r="O1822" s="0" t="s">
        <v>6634</v>
      </c>
      <c r="P1822" s="0" t="s">
        <v>6635</v>
      </c>
      <c r="Q1822" s="0" t="n">
        <v>104</v>
      </c>
      <c r="R1822" s="0" t="n">
        <v>204</v>
      </c>
      <c r="S1822" s="0" t="n">
        <v>13.4</v>
      </c>
      <c r="T1822" s="0" t="s">
        <v>6650</v>
      </c>
      <c r="U1822" s="0" t="s">
        <v>6651</v>
      </c>
      <c r="V1822" s="0" t="s">
        <v>153</v>
      </c>
      <c r="W1822" s="0" t="s">
        <v>6652</v>
      </c>
      <c r="X1822" s="0" t="s">
        <v>6638</v>
      </c>
      <c r="Y1822" s="0" t="s">
        <v>4159</v>
      </c>
      <c r="Z1822" s="0" t="s">
        <v>4160</v>
      </c>
      <c r="AA1822" s="0" t="s">
        <v>6653</v>
      </c>
      <c r="AB1822" s="0" t="s">
        <v>6640</v>
      </c>
      <c r="AC1822" s="0" t="s">
        <v>4162</v>
      </c>
      <c r="AD1822" s="0" t="s">
        <v>6566</v>
      </c>
      <c r="AE1822" s="0" t="s">
        <v>6567</v>
      </c>
      <c r="AF1822" s="0" t="s">
        <v>6641</v>
      </c>
      <c r="AH1822" s="0" t="s">
        <v>2239</v>
      </c>
      <c r="AL1822" s="0" t="s">
        <v>523</v>
      </c>
    </row>
    <row r="1823" customFormat="false" ht="15" hidden="false" customHeight="false" outlineLevel="0" collapsed="false">
      <c r="A1823" s="0" t="s">
        <v>1126</v>
      </c>
      <c r="B1823" s="0" t="s">
        <v>149</v>
      </c>
      <c r="C1823" s="0" t="s">
        <v>4263</v>
      </c>
      <c r="D1823" s="0" t="n">
        <v>2014</v>
      </c>
      <c r="E1823" s="0" t="s">
        <v>57</v>
      </c>
      <c r="F1823" s="0" t="n">
        <v>81821</v>
      </c>
      <c r="G1823" s="0" t="s">
        <v>3101</v>
      </c>
      <c r="H1823" s="0" t="s">
        <v>3068</v>
      </c>
      <c r="I1823" s="0" t="n">
        <v>81821</v>
      </c>
      <c r="J1823" s="0" t="s">
        <v>6608</v>
      </c>
      <c r="K1823" s="0" t="s">
        <v>2711</v>
      </c>
      <c r="L1823" s="0" t="n">
        <v>2014</v>
      </c>
      <c r="M1823" s="0" t="s">
        <v>2309</v>
      </c>
      <c r="N1823" s="0" t="s">
        <v>152</v>
      </c>
      <c r="O1823" s="0" t="s">
        <v>6634</v>
      </c>
      <c r="P1823" s="0" t="s">
        <v>6635</v>
      </c>
      <c r="Q1823" s="0" t="n">
        <v>105</v>
      </c>
      <c r="R1823" s="0" t="n">
        <v>206</v>
      </c>
      <c r="S1823" s="0" t="n">
        <v>13.4</v>
      </c>
      <c r="T1823" s="0" t="s">
        <v>6636</v>
      </c>
      <c r="U1823" s="0" t="s">
        <v>4763</v>
      </c>
      <c r="V1823" s="0" t="s">
        <v>153</v>
      </c>
      <c r="W1823" s="0" t="s">
        <v>6654</v>
      </c>
      <c r="X1823" s="0" t="s">
        <v>6655</v>
      </c>
      <c r="Y1823" s="0" t="s">
        <v>4159</v>
      </c>
      <c r="Z1823" s="0" t="s">
        <v>4160</v>
      </c>
      <c r="AA1823" s="0" t="s">
        <v>6656</v>
      </c>
      <c r="AB1823" s="0" t="s">
        <v>6640</v>
      </c>
      <c r="AC1823" s="0" t="s">
        <v>4162</v>
      </c>
      <c r="AD1823" s="0" t="s">
        <v>6566</v>
      </c>
      <c r="AE1823" s="0" t="s">
        <v>6567</v>
      </c>
      <c r="AF1823" s="0" t="s">
        <v>6641</v>
      </c>
      <c r="AH1823" s="0" t="s">
        <v>2239</v>
      </c>
      <c r="AL1823" s="0" t="s">
        <v>523</v>
      </c>
    </row>
    <row r="1824" customFormat="false" ht="15" hidden="false" customHeight="false" outlineLevel="0" collapsed="false">
      <c r="A1824" s="0" t="s">
        <v>6657</v>
      </c>
      <c r="B1824" s="0" t="s">
        <v>149</v>
      </c>
      <c r="C1824" s="0" t="s">
        <v>4263</v>
      </c>
      <c r="D1824" s="0" t="n">
        <v>2014</v>
      </c>
      <c r="E1824" s="0" t="s">
        <v>6658</v>
      </c>
      <c r="F1824" s="0" t="n">
        <v>2677</v>
      </c>
      <c r="G1824" s="0" t="s">
        <v>3101</v>
      </c>
      <c r="H1824" s="0" t="s">
        <v>3068</v>
      </c>
      <c r="I1824" s="0" t="n">
        <v>2677</v>
      </c>
      <c r="J1824" s="0" t="s">
        <v>6608</v>
      </c>
      <c r="K1824" s="0" t="s">
        <v>2711</v>
      </c>
      <c r="L1824" s="0" t="n">
        <v>2014</v>
      </c>
      <c r="M1824" s="0" t="s">
        <v>2309</v>
      </c>
      <c r="N1824" s="0" t="s">
        <v>152</v>
      </c>
      <c r="O1824" s="0" t="s">
        <v>6634</v>
      </c>
      <c r="P1824" s="0" t="s">
        <v>6635</v>
      </c>
      <c r="Q1824" s="0" t="n">
        <v>105</v>
      </c>
      <c r="R1824" s="0" t="n">
        <v>206</v>
      </c>
      <c r="S1824" s="0" t="n">
        <v>13.4</v>
      </c>
      <c r="T1824" s="0" t="s">
        <v>6636</v>
      </c>
      <c r="U1824" s="0" t="s">
        <v>4763</v>
      </c>
      <c r="V1824" s="0" t="s">
        <v>153</v>
      </c>
      <c r="W1824" s="0" t="s">
        <v>6659</v>
      </c>
      <c r="X1824" s="0" t="s">
        <v>6655</v>
      </c>
      <c r="Y1824" s="0" t="s">
        <v>4159</v>
      </c>
      <c r="Z1824" s="0" t="s">
        <v>4160</v>
      </c>
      <c r="AA1824" s="0" t="s">
        <v>6660</v>
      </c>
      <c r="AB1824" s="0" t="s">
        <v>6640</v>
      </c>
      <c r="AC1824" s="0" t="s">
        <v>4162</v>
      </c>
      <c r="AD1824" s="0" t="s">
        <v>6566</v>
      </c>
      <c r="AE1824" s="0" t="s">
        <v>6567</v>
      </c>
      <c r="AF1824" s="0" t="s">
        <v>6641</v>
      </c>
      <c r="AH1824" s="0" t="s">
        <v>2239</v>
      </c>
      <c r="AL1824" s="0" t="s">
        <v>523</v>
      </c>
    </row>
    <row r="1825" customFormat="false" ht="15" hidden="false" customHeight="false" outlineLevel="0" collapsed="false">
      <c r="A1825" s="0" t="s">
        <v>6661</v>
      </c>
      <c r="B1825" s="0" t="s">
        <v>149</v>
      </c>
      <c r="C1825" s="0" t="s">
        <v>4263</v>
      </c>
      <c r="D1825" s="0" t="n">
        <v>2014</v>
      </c>
      <c r="E1825" s="0" t="s">
        <v>6662</v>
      </c>
      <c r="F1825" s="0" t="n">
        <v>85283</v>
      </c>
      <c r="G1825" s="0" t="s">
        <v>3101</v>
      </c>
      <c r="H1825" s="0" t="s">
        <v>3068</v>
      </c>
      <c r="I1825" s="0" t="n">
        <v>85283</v>
      </c>
      <c r="J1825" s="0" t="s">
        <v>6608</v>
      </c>
      <c r="K1825" s="0" t="s">
        <v>2711</v>
      </c>
      <c r="L1825" s="0" t="n">
        <v>2014</v>
      </c>
      <c r="M1825" s="0" t="s">
        <v>2309</v>
      </c>
      <c r="N1825" s="0" t="s">
        <v>152</v>
      </c>
      <c r="O1825" s="0" t="s">
        <v>6634</v>
      </c>
      <c r="P1825" s="0" t="s">
        <v>6635</v>
      </c>
      <c r="Q1825" s="0" t="n">
        <v>105</v>
      </c>
      <c r="R1825" s="0" t="n">
        <v>206</v>
      </c>
      <c r="S1825" s="0" t="n">
        <v>13.4</v>
      </c>
      <c r="T1825" s="0" t="s">
        <v>6636</v>
      </c>
      <c r="U1825" s="0" t="s">
        <v>4763</v>
      </c>
      <c r="V1825" s="0" t="s">
        <v>153</v>
      </c>
      <c r="W1825" s="0" t="s">
        <v>6663</v>
      </c>
      <c r="X1825" s="0" t="s">
        <v>6655</v>
      </c>
      <c r="Y1825" s="0" t="s">
        <v>4159</v>
      </c>
      <c r="Z1825" s="0" t="s">
        <v>4160</v>
      </c>
      <c r="AA1825" s="0" t="s">
        <v>6664</v>
      </c>
      <c r="AB1825" s="0" t="s">
        <v>6640</v>
      </c>
      <c r="AC1825" s="0" t="s">
        <v>4162</v>
      </c>
      <c r="AD1825" s="0" t="s">
        <v>6566</v>
      </c>
      <c r="AE1825" s="0" t="s">
        <v>6567</v>
      </c>
      <c r="AF1825" s="0" t="s">
        <v>6641</v>
      </c>
      <c r="AH1825" s="0" t="s">
        <v>2239</v>
      </c>
      <c r="AL1825" s="0" t="s">
        <v>523</v>
      </c>
    </row>
    <row r="1826" customFormat="false" ht="15" hidden="false" customHeight="false" outlineLevel="0" collapsed="false">
      <c r="A1826" s="0" t="s">
        <v>6665</v>
      </c>
      <c r="B1826" s="0" t="s">
        <v>149</v>
      </c>
      <c r="C1826" s="0" t="s">
        <v>4263</v>
      </c>
      <c r="D1826" s="0" t="n">
        <v>2014</v>
      </c>
      <c r="E1826" s="0" t="s">
        <v>6666</v>
      </c>
      <c r="F1826" s="0" t="n">
        <v>59121</v>
      </c>
      <c r="G1826" s="0" t="s">
        <v>3101</v>
      </c>
      <c r="H1826" s="0" t="s">
        <v>3068</v>
      </c>
      <c r="I1826" s="0" t="n">
        <v>59121</v>
      </c>
      <c r="J1826" s="0" t="s">
        <v>6608</v>
      </c>
      <c r="K1826" s="0" t="s">
        <v>2711</v>
      </c>
      <c r="L1826" s="0" t="n">
        <v>2014</v>
      </c>
      <c r="M1826" s="0" t="s">
        <v>2309</v>
      </c>
      <c r="N1826" s="0" t="s">
        <v>152</v>
      </c>
      <c r="O1826" s="0" t="s">
        <v>6634</v>
      </c>
      <c r="P1826" s="0" t="s">
        <v>6635</v>
      </c>
      <c r="Q1826" s="0" t="n">
        <v>105</v>
      </c>
      <c r="R1826" s="0" t="n">
        <v>206</v>
      </c>
      <c r="S1826" s="0" t="n">
        <v>13.4</v>
      </c>
      <c r="T1826" s="0" t="s">
        <v>6636</v>
      </c>
      <c r="U1826" s="0" t="s">
        <v>4763</v>
      </c>
      <c r="V1826" s="0" t="s">
        <v>153</v>
      </c>
      <c r="W1826" s="0" t="s">
        <v>6667</v>
      </c>
      <c r="X1826" s="0" t="s">
        <v>6655</v>
      </c>
      <c r="Y1826" s="0" t="s">
        <v>4159</v>
      </c>
      <c r="Z1826" s="0" t="s">
        <v>4160</v>
      </c>
      <c r="AA1826" s="0" t="s">
        <v>6668</v>
      </c>
      <c r="AB1826" s="0" t="s">
        <v>6640</v>
      </c>
      <c r="AC1826" s="0" t="s">
        <v>4162</v>
      </c>
      <c r="AD1826" s="0" t="s">
        <v>6566</v>
      </c>
      <c r="AE1826" s="0" t="s">
        <v>6567</v>
      </c>
      <c r="AF1826" s="0" t="s">
        <v>6641</v>
      </c>
      <c r="AH1826" s="0" t="s">
        <v>2239</v>
      </c>
      <c r="AL1826" s="0" t="s">
        <v>523</v>
      </c>
    </row>
    <row r="1827" customFormat="false" ht="15" hidden="false" customHeight="false" outlineLevel="0" collapsed="false">
      <c r="A1827" s="0" t="s">
        <v>6669</v>
      </c>
      <c r="B1827" s="0" t="s">
        <v>149</v>
      </c>
      <c r="C1827" s="0" t="s">
        <v>4263</v>
      </c>
      <c r="D1827" s="0" t="n">
        <v>2014</v>
      </c>
      <c r="E1827" s="0" t="s">
        <v>6670</v>
      </c>
      <c r="F1827" s="0" t="n">
        <v>507734</v>
      </c>
      <c r="G1827" s="0" t="s">
        <v>3101</v>
      </c>
      <c r="H1827" s="0" t="s">
        <v>3068</v>
      </c>
      <c r="I1827" s="0" t="n">
        <v>507734</v>
      </c>
      <c r="J1827" s="0" t="s">
        <v>6608</v>
      </c>
      <c r="K1827" s="0" t="s">
        <v>2711</v>
      </c>
      <c r="L1827" s="0" t="n">
        <v>2014</v>
      </c>
      <c r="M1827" s="0" t="s">
        <v>2309</v>
      </c>
      <c r="N1827" s="0" t="s">
        <v>152</v>
      </c>
      <c r="O1827" s="0" t="s">
        <v>6634</v>
      </c>
      <c r="P1827" s="0" t="s">
        <v>6635</v>
      </c>
      <c r="Q1827" s="0" t="n">
        <v>105</v>
      </c>
      <c r="R1827" s="0" t="n">
        <v>206</v>
      </c>
      <c r="S1827" s="0" t="n">
        <v>13.4</v>
      </c>
      <c r="T1827" s="0" t="s">
        <v>6636</v>
      </c>
      <c r="U1827" s="0" t="s">
        <v>4763</v>
      </c>
      <c r="V1827" s="0" t="s">
        <v>153</v>
      </c>
      <c r="W1827" s="0" t="s">
        <v>6671</v>
      </c>
      <c r="X1827" s="0" t="s">
        <v>6655</v>
      </c>
      <c r="Y1827" s="0" t="s">
        <v>4159</v>
      </c>
      <c r="Z1827" s="0" t="s">
        <v>4160</v>
      </c>
      <c r="AA1827" s="0" t="s">
        <v>6672</v>
      </c>
      <c r="AB1827" s="0" t="s">
        <v>6640</v>
      </c>
      <c r="AC1827" s="0" t="s">
        <v>4162</v>
      </c>
      <c r="AD1827" s="0" t="s">
        <v>6566</v>
      </c>
      <c r="AE1827" s="0" t="s">
        <v>6567</v>
      </c>
      <c r="AF1827" s="0" t="s">
        <v>6641</v>
      </c>
      <c r="AH1827" s="0" t="s">
        <v>2239</v>
      </c>
      <c r="AL1827" s="0" t="s">
        <v>523</v>
      </c>
    </row>
    <row r="1828" customFormat="false" ht="15" hidden="false" customHeight="false" outlineLevel="0" collapsed="false">
      <c r="A1828" s="0" t="s">
        <v>6673</v>
      </c>
      <c r="B1828" s="0" t="s">
        <v>149</v>
      </c>
      <c r="C1828" s="0" t="s">
        <v>4263</v>
      </c>
      <c r="D1828" s="0" t="n">
        <v>2014</v>
      </c>
      <c r="E1828" s="0" t="s">
        <v>6674</v>
      </c>
      <c r="F1828" s="0" t="n">
        <v>70151</v>
      </c>
      <c r="G1828" s="0" t="s">
        <v>3101</v>
      </c>
      <c r="H1828" s="0" t="s">
        <v>3068</v>
      </c>
      <c r="I1828" s="0" t="n">
        <v>70151</v>
      </c>
      <c r="J1828" s="0" t="s">
        <v>6608</v>
      </c>
      <c r="K1828" s="0" t="s">
        <v>2711</v>
      </c>
      <c r="L1828" s="0" t="n">
        <v>2014</v>
      </c>
      <c r="M1828" s="0" t="s">
        <v>2309</v>
      </c>
      <c r="N1828" s="0" t="s">
        <v>152</v>
      </c>
      <c r="O1828" s="0" t="s">
        <v>6634</v>
      </c>
      <c r="P1828" s="0" t="s">
        <v>6635</v>
      </c>
      <c r="Q1828" s="0" t="n">
        <v>105</v>
      </c>
      <c r="R1828" s="0" t="n">
        <v>206</v>
      </c>
      <c r="S1828" s="0" t="n">
        <v>13.4</v>
      </c>
      <c r="T1828" s="0" t="s">
        <v>6636</v>
      </c>
      <c r="U1828" s="0" t="s">
        <v>4763</v>
      </c>
      <c r="V1828" s="0" t="s">
        <v>153</v>
      </c>
      <c r="W1828" s="0" t="s">
        <v>6675</v>
      </c>
      <c r="X1828" s="0" t="s">
        <v>6655</v>
      </c>
      <c r="Y1828" s="0" t="s">
        <v>4159</v>
      </c>
      <c r="Z1828" s="0" t="s">
        <v>4160</v>
      </c>
      <c r="AA1828" s="0" t="s">
        <v>6676</v>
      </c>
      <c r="AB1828" s="0" t="s">
        <v>6640</v>
      </c>
      <c r="AC1828" s="0" t="s">
        <v>4162</v>
      </c>
      <c r="AD1828" s="0" t="s">
        <v>6566</v>
      </c>
      <c r="AE1828" s="0" t="s">
        <v>6567</v>
      </c>
      <c r="AF1828" s="0" t="s">
        <v>6641</v>
      </c>
      <c r="AH1828" s="0" t="s">
        <v>2239</v>
      </c>
      <c r="AL1828" s="0" t="s">
        <v>523</v>
      </c>
    </row>
    <row r="1829" customFormat="false" ht="15" hidden="false" customHeight="false" outlineLevel="0" collapsed="false">
      <c r="A1829" s="0" t="s">
        <v>6677</v>
      </c>
      <c r="B1829" s="0" t="s">
        <v>149</v>
      </c>
      <c r="C1829" s="0" t="s">
        <v>4263</v>
      </c>
      <c r="D1829" s="0" t="n">
        <v>2014</v>
      </c>
      <c r="E1829" s="0" t="s">
        <v>6678</v>
      </c>
      <c r="F1829" s="0" t="n">
        <v>22973</v>
      </c>
      <c r="G1829" s="0" t="s">
        <v>3101</v>
      </c>
      <c r="H1829" s="0" t="s">
        <v>3068</v>
      </c>
      <c r="I1829" s="0" t="n">
        <v>22973</v>
      </c>
      <c r="J1829" s="0" t="s">
        <v>6608</v>
      </c>
      <c r="K1829" s="0" t="s">
        <v>2711</v>
      </c>
      <c r="L1829" s="0" t="n">
        <v>2014</v>
      </c>
      <c r="M1829" s="0" t="s">
        <v>2309</v>
      </c>
      <c r="N1829" s="0" t="s">
        <v>152</v>
      </c>
      <c r="O1829" s="0" t="s">
        <v>6634</v>
      </c>
      <c r="P1829" s="0" t="s">
        <v>6635</v>
      </c>
      <c r="Q1829" s="0" t="n">
        <v>105</v>
      </c>
      <c r="R1829" s="0" t="n">
        <v>206</v>
      </c>
      <c r="S1829" s="0" t="n">
        <v>13.4</v>
      </c>
      <c r="T1829" s="0" t="s">
        <v>6636</v>
      </c>
      <c r="U1829" s="0" t="s">
        <v>4763</v>
      </c>
      <c r="V1829" s="0" t="s">
        <v>153</v>
      </c>
      <c r="W1829" s="0" t="s">
        <v>6679</v>
      </c>
      <c r="X1829" s="0" t="s">
        <v>6655</v>
      </c>
      <c r="Y1829" s="0" t="s">
        <v>4159</v>
      </c>
      <c r="Z1829" s="0" t="s">
        <v>4160</v>
      </c>
      <c r="AA1829" s="0" t="s">
        <v>6680</v>
      </c>
      <c r="AB1829" s="0" t="s">
        <v>6640</v>
      </c>
      <c r="AC1829" s="0" t="s">
        <v>4162</v>
      </c>
      <c r="AD1829" s="0" t="s">
        <v>6566</v>
      </c>
      <c r="AE1829" s="0" t="s">
        <v>6567</v>
      </c>
      <c r="AF1829" s="0" t="s">
        <v>6641</v>
      </c>
      <c r="AH1829" s="0" t="s">
        <v>2239</v>
      </c>
      <c r="AL1829" s="0" t="s">
        <v>523</v>
      </c>
    </row>
    <row r="1830" customFormat="false" ht="15" hidden="false" customHeight="false" outlineLevel="0" collapsed="false">
      <c r="A1830" s="0" t="s">
        <v>6681</v>
      </c>
      <c r="B1830" s="0" t="s">
        <v>149</v>
      </c>
      <c r="C1830" s="0" t="s">
        <v>4263</v>
      </c>
      <c r="D1830" s="0" t="n">
        <v>2014</v>
      </c>
      <c r="E1830" s="0" t="s">
        <v>6682</v>
      </c>
      <c r="F1830" s="0" t="n">
        <v>3244</v>
      </c>
      <c r="G1830" s="0" t="s">
        <v>3101</v>
      </c>
      <c r="H1830" s="0" t="s">
        <v>3068</v>
      </c>
      <c r="I1830" s="0" t="n">
        <v>3244</v>
      </c>
      <c r="J1830" s="0" t="s">
        <v>6608</v>
      </c>
      <c r="K1830" s="0" t="s">
        <v>2711</v>
      </c>
      <c r="L1830" s="0" t="n">
        <v>2014</v>
      </c>
      <c r="M1830" s="0" t="s">
        <v>2309</v>
      </c>
      <c r="N1830" s="0" t="s">
        <v>152</v>
      </c>
      <c r="O1830" s="0" t="s">
        <v>6634</v>
      </c>
      <c r="P1830" s="0" t="s">
        <v>6635</v>
      </c>
      <c r="Q1830" s="0" t="n">
        <v>105</v>
      </c>
      <c r="R1830" s="0" t="n">
        <v>206</v>
      </c>
      <c r="S1830" s="0" t="n">
        <v>13.4</v>
      </c>
      <c r="T1830" s="0" t="s">
        <v>6636</v>
      </c>
      <c r="U1830" s="0" t="s">
        <v>4763</v>
      </c>
      <c r="V1830" s="0" t="s">
        <v>153</v>
      </c>
      <c r="W1830" s="0" t="s">
        <v>6683</v>
      </c>
      <c r="X1830" s="0" t="s">
        <v>6655</v>
      </c>
      <c r="Y1830" s="0" t="s">
        <v>4159</v>
      </c>
      <c r="Z1830" s="0" t="s">
        <v>4160</v>
      </c>
      <c r="AA1830" s="0" t="s">
        <v>6684</v>
      </c>
      <c r="AB1830" s="0" t="s">
        <v>6640</v>
      </c>
      <c r="AC1830" s="0" t="s">
        <v>4162</v>
      </c>
      <c r="AD1830" s="0" t="s">
        <v>6566</v>
      </c>
      <c r="AE1830" s="0" t="s">
        <v>6567</v>
      </c>
      <c r="AF1830" s="0" t="s">
        <v>6641</v>
      </c>
      <c r="AH1830" s="0" t="s">
        <v>2239</v>
      </c>
      <c r="AL1830" s="0" t="s">
        <v>523</v>
      </c>
    </row>
    <row r="1831" customFormat="false" ht="15" hidden="false" customHeight="false" outlineLevel="0" collapsed="false">
      <c r="A1831" s="0" t="s">
        <v>6685</v>
      </c>
      <c r="B1831" s="0" t="s">
        <v>149</v>
      </c>
      <c r="C1831" s="0" t="s">
        <v>4263</v>
      </c>
      <c r="D1831" s="0" t="n">
        <v>2014</v>
      </c>
      <c r="E1831" s="0" t="s">
        <v>6686</v>
      </c>
      <c r="F1831" s="0" t="n">
        <v>78048</v>
      </c>
      <c r="G1831" s="0" t="s">
        <v>3101</v>
      </c>
      <c r="H1831" s="0" t="s">
        <v>3068</v>
      </c>
      <c r="I1831" s="0" t="n">
        <v>78048</v>
      </c>
      <c r="J1831" s="0" t="s">
        <v>6608</v>
      </c>
      <c r="K1831" s="0" t="s">
        <v>2711</v>
      </c>
      <c r="L1831" s="0" t="n">
        <v>2014</v>
      </c>
      <c r="M1831" s="0" t="s">
        <v>2309</v>
      </c>
      <c r="N1831" s="0" t="s">
        <v>152</v>
      </c>
      <c r="O1831" s="0" t="s">
        <v>6634</v>
      </c>
      <c r="P1831" s="0" t="s">
        <v>6635</v>
      </c>
      <c r="Q1831" s="0" t="n">
        <v>105</v>
      </c>
      <c r="R1831" s="0" t="n">
        <v>206</v>
      </c>
      <c r="S1831" s="0" t="n">
        <v>13.4</v>
      </c>
      <c r="T1831" s="0" t="s">
        <v>6636</v>
      </c>
      <c r="U1831" s="0" t="s">
        <v>4763</v>
      </c>
      <c r="V1831" s="0" t="s">
        <v>153</v>
      </c>
      <c r="W1831" s="0" t="s">
        <v>6687</v>
      </c>
      <c r="X1831" s="0" t="s">
        <v>6655</v>
      </c>
      <c r="Y1831" s="0" t="s">
        <v>4159</v>
      </c>
      <c r="Z1831" s="0" t="s">
        <v>4160</v>
      </c>
      <c r="AA1831" s="0" t="s">
        <v>6688</v>
      </c>
      <c r="AB1831" s="0" t="s">
        <v>6640</v>
      </c>
      <c r="AC1831" s="0" t="s">
        <v>4162</v>
      </c>
      <c r="AD1831" s="0" t="s">
        <v>6566</v>
      </c>
      <c r="AE1831" s="0" t="s">
        <v>6567</v>
      </c>
      <c r="AF1831" s="0" t="s">
        <v>6641</v>
      </c>
      <c r="AH1831" s="0" t="s">
        <v>2239</v>
      </c>
      <c r="AL1831" s="0" t="s">
        <v>523</v>
      </c>
    </row>
    <row r="1832" customFormat="false" ht="15" hidden="false" customHeight="false" outlineLevel="0" collapsed="false">
      <c r="A1832" s="0" t="s">
        <v>1131</v>
      </c>
      <c r="B1832" s="0" t="s">
        <v>149</v>
      </c>
      <c r="C1832" s="0" t="s">
        <v>4263</v>
      </c>
      <c r="D1832" s="0" t="n">
        <v>2015</v>
      </c>
      <c r="E1832" s="0" t="s">
        <v>54</v>
      </c>
      <c r="F1832" s="0" t="n">
        <v>6232</v>
      </c>
      <c r="G1832" s="0" t="s">
        <v>3101</v>
      </c>
      <c r="H1832" s="0" t="s">
        <v>3068</v>
      </c>
      <c r="I1832" s="0" t="n">
        <v>6232</v>
      </c>
      <c r="J1832" s="0" t="s">
        <v>6608</v>
      </c>
      <c r="K1832" s="0" t="s">
        <v>2712</v>
      </c>
      <c r="L1832" s="0" t="n">
        <v>2015</v>
      </c>
      <c r="M1832" s="0" t="s">
        <v>2300</v>
      </c>
      <c r="N1832" s="0" t="s">
        <v>154</v>
      </c>
      <c r="O1832" s="0" t="s">
        <v>6689</v>
      </c>
      <c r="P1832" s="0" t="s">
        <v>6690</v>
      </c>
      <c r="Q1832" s="0" t="n">
        <v>86</v>
      </c>
      <c r="R1832" s="0" t="n">
        <v>168</v>
      </c>
      <c r="S1832" s="0" t="n">
        <v>13.4</v>
      </c>
      <c r="T1832" s="0" t="s">
        <v>6691</v>
      </c>
      <c r="U1832" s="0" t="s">
        <v>4808</v>
      </c>
      <c r="V1832" s="0" t="s">
        <v>155</v>
      </c>
      <c r="W1832" s="0" t="s">
        <v>6692</v>
      </c>
      <c r="X1832" s="0" t="s">
        <v>6693</v>
      </c>
      <c r="Y1832" s="0" t="s">
        <v>4159</v>
      </c>
      <c r="Z1832" s="0" t="s">
        <v>4160</v>
      </c>
      <c r="AA1832" s="0" t="s">
        <v>6694</v>
      </c>
      <c r="AB1832" s="0" t="s">
        <v>6695</v>
      </c>
      <c r="AC1832" s="0" t="s">
        <v>4162</v>
      </c>
      <c r="AD1832" s="0" t="s">
        <v>6566</v>
      </c>
      <c r="AE1832" s="0" t="s">
        <v>6567</v>
      </c>
      <c r="AF1832" s="0" t="s">
        <v>6696</v>
      </c>
      <c r="AH1832" s="0" t="s">
        <v>2239</v>
      </c>
      <c r="AL1832" s="0" t="s">
        <v>523</v>
      </c>
    </row>
    <row r="1833" customFormat="false" ht="15" hidden="false" customHeight="false" outlineLevel="0" collapsed="false">
      <c r="A1833" s="0" t="s">
        <v>1138</v>
      </c>
      <c r="B1833" s="0" t="s">
        <v>149</v>
      </c>
      <c r="C1833" s="0" t="s">
        <v>4263</v>
      </c>
      <c r="D1833" s="0" t="n">
        <v>2015</v>
      </c>
      <c r="E1833" s="0" t="s">
        <v>541</v>
      </c>
      <c r="F1833" s="0" t="n">
        <v>4479</v>
      </c>
      <c r="G1833" s="0" t="s">
        <v>3101</v>
      </c>
      <c r="H1833" s="0" t="s">
        <v>3068</v>
      </c>
      <c r="I1833" s="0" t="n">
        <v>4479</v>
      </c>
      <c r="J1833" s="0" t="s">
        <v>6608</v>
      </c>
      <c r="K1833" s="0" t="s">
        <v>2712</v>
      </c>
      <c r="L1833" s="0" t="n">
        <v>2015</v>
      </c>
      <c r="M1833" s="0" t="s">
        <v>2300</v>
      </c>
      <c r="N1833" s="0" t="s">
        <v>154</v>
      </c>
      <c r="O1833" s="0" t="s">
        <v>6689</v>
      </c>
      <c r="P1833" s="0" t="s">
        <v>6690</v>
      </c>
      <c r="Q1833" s="0" t="n">
        <v>86</v>
      </c>
      <c r="R1833" s="0" t="n">
        <v>168</v>
      </c>
      <c r="S1833" s="0" t="n">
        <v>13.4</v>
      </c>
      <c r="T1833" s="0" t="s">
        <v>6691</v>
      </c>
      <c r="U1833" s="0" t="s">
        <v>4808</v>
      </c>
      <c r="V1833" s="0" t="s">
        <v>155</v>
      </c>
      <c r="W1833" s="0" t="s">
        <v>6697</v>
      </c>
      <c r="X1833" s="0" t="s">
        <v>6693</v>
      </c>
      <c r="Y1833" s="0" t="s">
        <v>4159</v>
      </c>
      <c r="Z1833" s="0" t="s">
        <v>4160</v>
      </c>
      <c r="AA1833" s="0" t="s">
        <v>6698</v>
      </c>
      <c r="AB1833" s="0" t="s">
        <v>6695</v>
      </c>
      <c r="AC1833" s="0" t="s">
        <v>4162</v>
      </c>
      <c r="AD1833" s="0" t="s">
        <v>6566</v>
      </c>
      <c r="AE1833" s="0" t="s">
        <v>6567</v>
      </c>
      <c r="AF1833" s="0" t="s">
        <v>6696</v>
      </c>
      <c r="AH1833" s="0" t="s">
        <v>2239</v>
      </c>
      <c r="AL1833" s="0" t="s">
        <v>523</v>
      </c>
    </row>
    <row r="1834" customFormat="false" ht="15" hidden="false" customHeight="false" outlineLevel="0" collapsed="false">
      <c r="A1834" s="0" t="s">
        <v>1137</v>
      </c>
      <c r="B1834" s="0" t="s">
        <v>149</v>
      </c>
      <c r="C1834" s="0" t="s">
        <v>4263</v>
      </c>
      <c r="D1834" s="0" t="n">
        <v>2015</v>
      </c>
      <c r="E1834" s="0" t="s">
        <v>63</v>
      </c>
      <c r="F1834" s="0" t="n">
        <v>-14931</v>
      </c>
      <c r="G1834" s="0" t="s">
        <v>3101</v>
      </c>
      <c r="H1834" s="0" t="s">
        <v>3068</v>
      </c>
      <c r="I1834" s="0" t="n">
        <v>14931</v>
      </c>
      <c r="J1834" s="0" t="s">
        <v>6608</v>
      </c>
      <c r="K1834" s="0" t="s">
        <v>2712</v>
      </c>
      <c r="L1834" s="0" t="n">
        <v>2015</v>
      </c>
      <c r="M1834" s="0" t="s">
        <v>2300</v>
      </c>
      <c r="N1834" s="0" t="s">
        <v>154</v>
      </c>
      <c r="O1834" s="0" t="s">
        <v>6689</v>
      </c>
      <c r="P1834" s="0" t="s">
        <v>6690</v>
      </c>
      <c r="Q1834" s="0" t="n">
        <v>86</v>
      </c>
      <c r="R1834" s="0" t="n">
        <v>168</v>
      </c>
      <c r="S1834" s="0" t="n">
        <v>13.4</v>
      </c>
      <c r="T1834" s="0" t="s">
        <v>6691</v>
      </c>
      <c r="U1834" s="0" t="s">
        <v>4808</v>
      </c>
      <c r="V1834" s="0" t="s">
        <v>155</v>
      </c>
      <c r="W1834" s="0" t="s">
        <v>6699</v>
      </c>
      <c r="X1834" s="0" t="s">
        <v>6693</v>
      </c>
      <c r="Y1834" s="0" t="s">
        <v>4159</v>
      </c>
      <c r="Z1834" s="0" t="s">
        <v>4160</v>
      </c>
      <c r="AA1834" s="0" t="s">
        <v>6700</v>
      </c>
      <c r="AB1834" s="0" t="s">
        <v>6695</v>
      </c>
      <c r="AC1834" s="0" t="s">
        <v>4162</v>
      </c>
      <c r="AD1834" s="0" t="s">
        <v>6566</v>
      </c>
      <c r="AE1834" s="0" t="s">
        <v>6567</v>
      </c>
      <c r="AF1834" s="0" t="s">
        <v>6696</v>
      </c>
      <c r="AH1834" s="0" t="s">
        <v>4174</v>
      </c>
      <c r="AI1834" s="0" t="s">
        <v>4974</v>
      </c>
      <c r="AL1834" s="0" t="s">
        <v>523</v>
      </c>
    </row>
    <row r="1835" customFormat="false" ht="15" hidden="false" customHeight="false" outlineLevel="0" collapsed="false">
      <c r="A1835" s="0" t="s">
        <v>1136</v>
      </c>
      <c r="B1835" s="0" t="s">
        <v>149</v>
      </c>
      <c r="C1835" s="0" t="s">
        <v>4263</v>
      </c>
      <c r="D1835" s="0" t="n">
        <v>2015</v>
      </c>
      <c r="E1835" s="0" t="s">
        <v>62</v>
      </c>
      <c r="F1835" s="0" t="n">
        <v>353513</v>
      </c>
      <c r="G1835" s="0" t="s">
        <v>3101</v>
      </c>
      <c r="H1835" s="0" t="s">
        <v>3068</v>
      </c>
      <c r="I1835" s="0" t="n">
        <v>353513</v>
      </c>
      <c r="J1835" s="0" t="s">
        <v>6608</v>
      </c>
      <c r="K1835" s="0" t="s">
        <v>2712</v>
      </c>
      <c r="L1835" s="0" t="n">
        <v>2015</v>
      </c>
      <c r="M1835" s="0" t="s">
        <v>2300</v>
      </c>
      <c r="N1835" s="0" t="s">
        <v>154</v>
      </c>
      <c r="O1835" s="0" t="s">
        <v>6689</v>
      </c>
      <c r="P1835" s="0" t="s">
        <v>6690</v>
      </c>
      <c r="Q1835" s="0" t="n">
        <v>86</v>
      </c>
      <c r="R1835" s="0" t="n">
        <v>168</v>
      </c>
      <c r="S1835" s="0" t="n">
        <v>13.4</v>
      </c>
      <c r="T1835" s="0" t="s">
        <v>6691</v>
      </c>
      <c r="U1835" s="0" t="s">
        <v>4808</v>
      </c>
      <c r="V1835" s="0" t="s">
        <v>155</v>
      </c>
      <c r="W1835" s="0" t="s">
        <v>6701</v>
      </c>
      <c r="X1835" s="0" t="s">
        <v>6693</v>
      </c>
      <c r="Y1835" s="0" t="s">
        <v>4159</v>
      </c>
      <c r="Z1835" s="0" t="s">
        <v>4160</v>
      </c>
      <c r="AA1835" s="0" t="s">
        <v>6702</v>
      </c>
      <c r="AB1835" s="0" t="s">
        <v>6695</v>
      </c>
      <c r="AC1835" s="0" t="s">
        <v>4162</v>
      </c>
      <c r="AD1835" s="0" t="s">
        <v>6566</v>
      </c>
      <c r="AE1835" s="0" t="s">
        <v>6567</v>
      </c>
      <c r="AF1835" s="0" t="s">
        <v>6696</v>
      </c>
      <c r="AH1835" s="0" t="s">
        <v>2239</v>
      </c>
      <c r="AL1835" s="0" t="s">
        <v>523</v>
      </c>
    </row>
    <row r="1836" customFormat="false" ht="15" hidden="false" customHeight="false" outlineLevel="0" collapsed="false">
      <c r="A1836" s="0" t="s">
        <v>1132</v>
      </c>
      <c r="B1836" s="0" t="s">
        <v>149</v>
      </c>
      <c r="C1836" s="0" t="s">
        <v>4263</v>
      </c>
      <c r="D1836" s="0" t="n">
        <v>2015</v>
      </c>
      <c r="E1836" s="0" t="s">
        <v>55</v>
      </c>
      <c r="F1836" s="0" t="n">
        <v>890580</v>
      </c>
      <c r="G1836" s="0" t="s">
        <v>3101</v>
      </c>
      <c r="H1836" s="0" t="s">
        <v>3068</v>
      </c>
      <c r="I1836" s="0" t="n">
        <v>890580</v>
      </c>
      <c r="J1836" s="0" t="s">
        <v>6608</v>
      </c>
      <c r="K1836" s="0" t="s">
        <v>2712</v>
      </c>
      <c r="L1836" s="0" t="n">
        <v>2015</v>
      </c>
      <c r="M1836" s="0" t="s">
        <v>2300</v>
      </c>
      <c r="N1836" s="0" t="s">
        <v>154</v>
      </c>
      <c r="O1836" s="0" t="s">
        <v>6689</v>
      </c>
      <c r="P1836" s="0" t="s">
        <v>6690</v>
      </c>
      <c r="Q1836" s="0" t="n">
        <v>86</v>
      </c>
      <c r="R1836" s="0" t="n">
        <v>168</v>
      </c>
      <c r="S1836" s="0" t="n">
        <v>13.4</v>
      </c>
      <c r="T1836" s="0" t="s">
        <v>6691</v>
      </c>
      <c r="U1836" s="0" t="s">
        <v>4808</v>
      </c>
      <c r="V1836" s="0" t="s">
        <v>155</v>
      </c>
      <c r="W1836" s="0" t="s">
        <v>6703</v>
      </c>
      <c r="X1836" s="0" t="s">
        <v>6693</v>
      </c>
      <c r="Y1836" s="0" t="s">
        <v>4159</v>
      </c>
      <c r="Z1836" s="0" t="s">
        <v>4160</v>
      </c>
      <c r="AA1836" s="0" t="s">
        <v>6704</v>
      </c>
      <c r="AB1836" s="0" t="s">
        <v>6695</v>
      </c>
      <c r="AC1836" s="0" t="s">
        <v>4162</v>
      </c>
      <c r="AD1836" s="0" t="s">
        <v>6566</v>
      </c>
      <c r="AE1836" s="0" t="s">
        <v>6567</v>
      </c>
      <c r="AF1836" s="0" t="s">
        <v>6696</v>
      </c>
      <c r="AH1836" s="0" t="s">
        <v>2239</v>
      </c>
      <c r="AL1836" s="0" t="s">
        <v>523</v>
      </c>
    </row>
    <row r="1837" customFormat="false" ht="15" hidden="false" customHeight="false" outlineLevel="0" collapsed="false">
      <c r="A1837" s="0" t="s">
        <v>1135</v>
      </c>
      <c r="B1837" s="0" t="s">
        <v>149</v>
      </c>
      <c r="C1837" s="0" t="s">
        <v>4263</v>
      </c>
      <c r="D1837" s="0" t="n">
        <v>2015</v>
      </c>
      <c r="E1837" s="0" t="s">
        <v>59</v>
      </c>
      <c r="F1837" s="0" t="n">
        <v>908429</v>
      </c>
      <c r="G1837" s="0" t="s">
        <v>3101</v>
      </c>
      <c r="H1837" s="0" t="s">
        <v>3068</v>
      </c>
      <c r="I1837" s="0" t="n">
        <v>908429</v>
      </c>
      <c r="J1837" s="0" t="s">
        <v>6608</v>
      </c>
      <c r="K1837" s="0" t="s">
        <v>2712</v>
      </c>
      <c r="L1837" s="0" t="n">
        <v>2015</v>
      </c>
      <c r="M1837" s="0" t="s">
        <v>2300</v>
      </c>
      <c r="N1837" s="0" t="s">
        <v>154</v>
      </c>
      <c r="O1837" s="0" t="s">
        <v>6689</v>
      </c>
      <c r="P1837" s="0" t="s">
        <v>6690</v>
      </c>
      <c r="Q1837" s="0" t="n">
        <v>86</v>
      </c>
      <c r="R1837" s="0" t="n">
        <v>168</v>
      </c>
      <c r="S1837" s="0" t="n">
        <v>13.4</v>
      </c>
      <c r="T1837" s="0" t="s">
        <v>6705</v>
      </c>
      <c r="U1837" s="0" t="s">
        <v>6706</v>
      </c>
      <c r="V1837" s="0" t="s">
        <v>155</v>
      </c>
      <c r="W1837" s="0" t="s">
        <v>6707</v>
      </c>
      <c r="X1837" s="0" t="s">
        <v>6693</v>
      </c>
      <c r="Y1837" s="0" t="s">
        <v>4159</v>
      </c>
      <c r="Z1837" s="0" t="s">
        <v>4160</v>
      </c>
      <c r="AA1837" s="0" t="s">
        <v>6708</v>
      </c>
      <c r="AB1837" s="0" t="s">
        <v>6695</v>
      </c>
      <c r="AC1837" s="0" t="s">
        <v>4162</v>
      </c>
      <c r="AD1837" s="0" t="s">
        <v>6566</v>
      </c>
      <c r="AE1837" s="0" t="s">
        <v>6567</v>
      </c>
      <c r="AF1837" s="0" t="s">
        <v>6696</v>
      </c>
      <c r="AH1837" s="0" t="s">
        <v>2239</v>
      </c>
      <c r="AL1837" s="0" t="s">
        <v>523</v>
      </c>
    </row>
    <row r="1838" customFormat="false" ht="15" hidden="false" customHeight="false" outlineLevel="0" collapsed="false">
      <c r="A1838" s="0" t="s">
        <v>1134</v>
      </c>
      <c r="B1838" s="0" t="s">
        <v>149</v>
      </c>
      <c r="C1838" s="0" t="s">
        <v>4263</v>
      </c>
      <c r="D1838" s="0" t="n">
        <v>2015</v>
      </c>
      <c r="E1838" s="0" t="s">
        <v>57</v>
      </c>
      <c r="F1838" s="0" t="n">
        <v>94917</v>
      </c>
      <c r="G1838" s="0" t="s">
        <v>3101</v>
      </c>
      <c r="H1838" s="0" t="s">
        <v>3068</v>
      </c>
      <c r="I1838" s="0" t="n">
        <v>94917</v>
      </c>
      <c r="J1838" s="0" t="s">
        <v>6608</v>
      </c>
      <c r="K1838" s="0" t="s">
        <v>2712</v>
      </c>
      <c r="L1838" s="0" t="n">
        <v>2015</v>
      </c>
      <c r="M1838" s="0" t="s">
        <v>2300</v>
      </c>
      <c r="N1838" s="0" t="s">
        <v>154</v>
      </c>
      <c r="O1838" s="0" t="s">
        <v>6689</v>
      </c>
      <c r="P1838" s="0" t="s">
        <v>6690</v>
      </c>
      <c r="Q1838" s="0" t="n">
        <v>87</v>
      </c>
      <c r="R1838" s="0" t="n">
        <v>170</v>
      </c>
      <c r="S1838" s="0" t="n">
        <v>13.4</v>
      </c>
      <c r="T1838" s="0" t="s">
        <v>6691</v>
      </c>
      <c r="U1838" s="0" t="s">
        <v>4808</v>
      </c>
      <c r="V1838" s="0" t="s">
        <v>155</v>
      </c>
      <c r="W1838" s="0" t="s">
        <v>6709</v>
      </c>
      <c r="X1838" s="0" t="s">
        <v>6710</v>
      </c>
      <c r="Y1838" s="0" t="s">
        <v>4159</v>
      </c>
      <c r="Z1838" s="0" t="s">
        <v>4160</v>
      </c>
      <c r="AA1838" s="0" t="s">
        <v>6711</v>
      </c>
      <c r="AB1838" s="0" t="s">
        <v>6695</v>
      </c>
      <c r="AC1838" s="0" t="s">
        <v>4162</v>
      </c>
      <c r="AD1838" s="0" t="s">
        <v>6566</v>
      </c>
      <c r="AE1838" s="0" t="s">
        <v>6567</v>
      </c>
      <c r="AF1838" s="0" t="s">
        <v>6696</v>
      </c>
      <c r="AH1838" s="0" t="s">
        <v>2239</v>
      </c>
      <c r="AL1838" s="0" t="s">
        <v>523</v>
      </c>
    </row>
    <row r="1839" customFormat="false" ht="15" hidden="false" customHeight="false" outlineLevel="0" collapsed="false">
      <c r="A1839" s="0" t="s">
        <v>6712</v>
      </c>
      <c r="B1839" s="0" t="s">
        <v>149</v>
      </c>
      <c r="C1839" s="0" t="s">
        <v>4263</v>
      </c>
      <c r="D1839" s="0" t="n">
        <v>2015</v>
      </c>
      <c r="E1839" s="0" t="s">
        <v>6658</v>
      </c>
      <c r="F1839" s="0" t="n">
        <v>383</v>
      </c>
      <c r="G1839" s="0" t="s">
        <v>3101</v>
      </c>
      <c r="H1839" s="0" t="s">
        <v>3068</v>
      </c>
      <c r="I1839" s="0" t="n">
        <v>383</v>
      </c>
      <c r="J1839" s="0" t="s">
        <v>6608</v>
      </c>
      <c r="K1839" s="0" t="s">
        <v>2712</v>
      </c>
      <c r="L1839" s="0" t="n">
        <v>2015</v>
      </c>
      <c r="M1839" s="0" t="s">
        <v>2300</v>
      </c>
      <c r="N1839" s="0" t="s">
        <v>154</v>
      </c>
      <c r="O1839" s="0" t="s">
        <v>6689</v>
      </c>
      <c r="P1839" s="0" t="s">
        <v>6690</v>
      </c>
      <c r="Q1839" s="0" t="n">
        <v>87</v>
      </c>
      <c r="R1839" s="0" t="n">
        <v>170</v>
      </c>
      <c r="S1839" s="0" t="n">
        <v>13.4</v>
      </c>
      <c r="T1839" s="0" t="s">
        <v>6691</v>
      </c>
      <c r="U1839" s="0" t="s">
        <v>4808</v>
      </c>
      <c r="V1839" s="0" t="s">
        <v>155</v>
      </c>
      <c r="W1839" s="0" t="s">
        <v>6713</v>
      </c>
      <c r="X1839" s="0" t="s">
        <v>6710</v>
      </c>
      <c r="Y1839" s="0" t="s">
        <v>4159</v>
      </c>
      <c r="Z1839" s="0" t="s">
        <v>4160</v>
      </c>
      <c r="AA1839" s="0" t="s">
        <v>6714</v>
      </c>
      <c r="AB1839" s="0" t="s">
        <v>6695</v>
      </c>
      <c r="AC1839" s="0" t="s">
        <v>4162</v>
      </c>
      <c r="AD1839" s="0" t="s">
        <v>6566</v>
      </c>
      <c r="AE1839" s="0" t="s">
        <v>6567</v>
      </c>
      <c r="AF1839" s="0" t="s">
        <v>6696</v>
      </c>
      <c r="AH1839" s="0" t="s">
        <v>2239</v>
      </c>
      <c r="AL1839" s="0" t="s">
        <v>523</v>
      </c>
    </row>
    <row r="1840" customFormat="false" ht="15" hidden="false" customHeight="false" outlineLevel="0" collapsed="false">
      <c r="A1840" s="0" t="s">
        <v>6715</v>
      </c>
      <c r="B1840" s="0" t="s">
        <v>149</v>
      </c>
      <c r="C1840" s="0" t="s">
        <v>4263</v>
      </c>
      <c r="D1840" s="0" t="n">
        <v>2015</v>
      </c>
      <c r="E1840" s="0" t="s">
        <v>6662</v>
      </c>
      <c r="F1840" s="0" t="n">
        <v>24101</v>
      </c>
      <c r="G1840" s="0" t="s">
        <v>3101</v>
      </c>
      <c r="H1840" s="0" t="s">
        <v>3068</v>
      </c>
      <c r="I1840" s="0" t="n">
        <v>24101</v>
      </c>
      <c r="J1840" s="0" t="s">
        <v>6608</v>
      </c>
      <c r="K1840" s="0" t="s">
        <v>2712</v>
      </c>
      <c r="L1840" s="0" t="n">
        <v>2015</v>
      </c>
      <c r="M1840" s="0" t="s">
        <v>2300</v>
      </c>
      <c r="N1840" s="0" t="s">
        <v>154</v>
      </c>
      <c r="O1840" s="0" t="s">
        <v>6689</v>
      </c>
      <c r="P1840" s="0" t="s">
        <v>6690</v>
      </c>
      <c r="Q1840" s="0" t="n">
        <v>87</v>
      </c>
      <c r="R1840" s="0" t="n">
        <v>170</v>
      </c>
      <c r="S1840" s="0" t="n">
        <v>13.4</v>
      </c>
      <c r="T1840" s="0" t="s">
        <v>6691</v>
      </c>
      <c r="U1840" s="0" t="s">
        <v>4808</v>
      </c>
      <c r="V1840" s="0" t="s">
        <v>155</v>
      </c>
      <c r="W1840" s="0" t="s">
        <v>6716</v>
      </c>
      <c r="X1840" s="0" t="s">
        <v>6710</v>
      </c>
      <c r="Y1840" s="0" t="s">
        <v>4159</v>
      </c>
      <c r="Z1840" s="0" t="s">
        <v>4160</v>
      </c>
      <c r="AA1840" s="0" t="s">
        <v>6717</v>
      </c>
      <c r="AB1840" s="0" t="s">
        <v>6695</v>
      </c>
      <c r="AC1840" s="0" t="s">
        <v>4162</v>
      </c>
      <c r="AD1840" s="0" t="s">
        <v>6566</v>
      </c>
      <c r="AE1840" s="0" t="s">
        <v>6567</v>
      </c>
      <c r="AF1840" s="0" t="s">
        <v>6696</v>
      </c>
      <c r="AH1840" s="0" t="s">
        <v>2239</v>
      </c>
      <c r="AL1840" s="0" t="s">
        <v>523</v>
      </c>
    </row>
    <row r="1841" customFormat="false" ht="15" hidden="false" customHeight="false" outlineLevel="0" collapsed="false">
      <c r="A1841" s="0" t="s">
        <v>6718</v>
      </c>
      <c r="B1841" s="0" t="s">
        <v>149</v>
      </c>
      <c r="C1841" s="0" t="s">
        <v>4263</v>
      </c>
      <c r="D1841" s="0" t="n">
        <v>2015</v>
      </c>
      <c r="E1841" s="0" t="s">
        <v>6666</v>
      </c>
      <c r="F1841" s="0" t="n">
        <v>95446</v>
      </c>
      <c r="G1841" s="0" t="s">
        <v>3101</v>
      </c>
      <c r="H1841" s="0" t="s">
        <v>3068</v>
      </c>
      <c r="I1841" s="0" t="n">
        <v>95446</v>
      </c>
      <c r="J1841" s="0" t="s">
        <v>6608</v>
      </c>
      <c r="K1841" s="0" t="s">
        <v>2712</v>
      </c>
      <c r="L1841" s="0" t="n">
        <v>2015</v>
      </c>
      <c r="M1841" s="0" t="s">
        <v>2300</v>
      </c>
      <c r="N1841" s="0" t="s">
        <v>154</v>
      </c>
      <c r="O1841" s="0" t="s">
        <v>6689</v>
      </c>
      <c r="P1841" s="0" t="s">
        <v>6690</v>
      </c>
      <c r="Q1841" s="0" t="n">
        <v>87</v>
      </c>
      <c r="R1841" s="0" t="n">
        <v>170</v>
      </c>
      <c r="S1841" s="0" t="n">
        <v>13.4</v>
      </c>
      <c r="T1841" s="0" t="s">
        <v>6691</v>
      </c>
      <c r="U1841" s="0" t="s">
        <v>4808</v>
      </c>
      <c r="V1841" s="0" t="s">
        <v>155</v>
      </c>
      <c r="W1841" s="0" t="s">
        <v>6719</v>
      </c>
      <c r="X1841" s="0" t="s">
        <v>6710</v>
      </c>
      <c r="Y1841" s="0" t="s">
        <v>4159</v>
      </c>
      <c r="Z1841" s="0" t="s">
        <v>4160</v>
      </c>
      <c r="AA1841" s="0" t="s">
        <v>6720</v>
      </c>
      <c r="AB1841" s="0" t="s">
        <v>6695</v>
      </c>
      <c r="AC1841" s="0" t="s">
        <v>4162</v>
      </c>
      <c r="AD1841" s="0" t="s">
        <v>6566</v>
      </c>
      <c r="AE1841" s="0" t="s">
        <v>6567</v>
      </c>
      <c r="AF1841" s="0" t="s">
        <v>6696</v>
      </c>
      <c r="AH1841" s="0" t="s">
        <v>2239</v>
      </c>
      <c r="AL1841" s="0" t="s">
        <v>523</v>
      </c>
    </row>
    <row r="1842" customFormat="false" ht="15" hidden="false" customHeight="false" outlineLevel="0" collapsed="false">
      <c r="A1842" s="0" t="s">
        <v>6721</v>
      </c>
      <c r="B1842" s="0" t="s">
        <v>149</v>
      </c>
      <c r="C1842" s="0" t="s">
        <v>4263</v>
      </c>
      <c r="D1842" s="0" t="n">
        <v>2015</v>
      </c>
      <c r="E1842" s="0" t="s">
        <v>6670</v>
      </c>
      <c r="F1842" s="0" t="n">
        <v>497580</v>
      </c>
      <c r="G1842" s="0" t="s">
        <v>3101</v>
      </c>
      <c r="H1842" s="0" t="s">
        <v>3068</v>
      </c>
      <c r="I1842" s="0" t="n">
        <v>497580</v>
      </c>
      <c r="J1842" s="0" t="s">
        <v>6608</v>
      </c>
      <c r="K1842" s="0" t="s">
        <v>2712</v>
      </c>
      <c r="L1842" s="0" t="n">
        <v>2015</v>
      </c>
      <c r="M1842" s="0" t="s">
        <v>2300</v>
      </c>
      <c r="N1842" s="0" t="s">
        <v>154</v>
      </c>
      <c r="O1842" s="0" t="s">
        <v>6689</v>
      </c>
      <c r="P1842" s="0" t="s">
        <v>6690</v>
      </c>
      <c r="Q1842" s="0" t="n">
        <v>87</v>
      </c>
      <c r="R1842" s="0" t="n">
        <v>170</v>
      </c>
      <c r="S1842" s="0" t="n">
        <v>13.4</v>
      </c>
      <c r="T1842" s="0" t="s">
        <v>6691</v>
      </c>
      <c r="U1842" s="0" t="s">
        <v>4808</v>
      </c>
      <c r="V1842" s="0" t="s">
        <v>155</v>
      </c>
      <c r="W1842" s="0" t="s">
        <v>6722</v>
      </c>
      <c r="X1842" s="0" t="s">
        <v>6710</v>
      </c>
      <c r="Y1842" s="0" t="s">
        <v>4159</v>
      </c>
      <c r="Z1842" s="0" t="s">
        <v>4160</v>
      </c>
      <c r="AA1842" s="0" t="s">
        <v>6723</v>
      </c>
      <c r="AB1842" s="0" t="s">
        <v>6695</v>
      </c>
      <c r="AC1842" s="0" t="s">
        <v>4162</v>
      </c>
      <c r="AD1842" s="0" t="s">
        <v>6566</v>
      </c>
      <c r="AE1842" s="0" t="s">
        <v>6567</v>
      </c>
      <c r="AF1842" s="0" t="s">
        <v>6696</v>
      </c>
      <c r="AH1842" s="0" t="s">
        <v>2239</v>
      </c>
      <c r="AL1842" s="0" t="s">
        <v>523</v>
      </c>
    </row>
    <row r="1843" customFormat="false" ht="15" hidden="false" customHeight="false" outlineLevel="0" collapsed="false">
      <c r="A1843" s="0" t="s">
        <v>6724</v>
      </c>
      <c r="B1843" s="0" t="s">
        <v>149</v>
      </c>
      <c r="C1843" s="0" t="s">
        <v>4263</v>
      </c>
      <c r="D1843" s="0" t="n">
        <v>2015</v>
      </c>
      <c r="E1843" s="0" t="s">
        <v>6674</v>
      </c>
      <c r="F1843" s="0" t="n">
        <v>81107</v>
      </c>
      <c r="G1843" s="0" t="s">
        <v>3101</v>
      </c>
      <c r="H1843" s="0" t="s">
        <v>3068</v>
      </c>
      <c r="I1843" s="0" t="n">
        <v>81107</v>
      </c>
      <c r="J1843" s="0" t="s">
        <v>6608</v>
      </c>
      <c r="K1843" s="0" t="s">
        <v>2712</v>
      </c>
      <c r="L1843" s="0" t="n">
        <v>2015</v>
      </c>
      <c r="M1843" s="0" t="s">
        <v>2300</v>
      </c>
      <c r="N1843" s="0" t="s">
        <v>154</v>
      </c>
      <c r="O1843" s="0" t="s">
        <v>6689</v>
      </c>
      <c r="P1843" s="0" t="s">
        <v>6690</v>
      </c>
      <c r="Q1843" s="0" t="n">
        <v>87</v>
      </c>
      <c r="R1843" s="0" t="n">
        <v>170</v>
      </c>
      <c r="S1843" s="0" t="n">
        <v>13.4</v>
      </c>
      <c r="T1843" s="0" t="s">
        <v>6691</v>
      </c>
      <c r="U1843" s="0" t="s">
        <v>4808</v>
      </c>
      <c r="V1843" s="0" t="s">
        <v>155</v>
      </c>
      <c r="W1843" s="0" t="s">
        <v>6725</v>
      </c>
      <c r="X1843" s="0" t="s">
        <v>6710</v>
      </c>
      <c r="Y1843" s="0" t="s">
        <v>4159</v>
      </c>
      <c r="Z1843" s="0" t="s">
        <v>4160</v>
      </c>
      <c r="AA1843" s="0" t="s">
        <v>6726</v>
      </c>
      <c r="AB1843" s="0" t="s">
        <v>6695</v>
      </c>
      <c r="AC1843" s="0" t="s">
        <v>4162</v>
      </c>
      <c r="AD1843" s="0" t="s">
        <v>6566</v>
      </c>
      <c r="AE1843" s="0" t="s">
        <v>6567</v>
      </c>
      <c r="AF1843" s="0" t="s">
        <v>6696</v>
      </c>
      <c r="AH1843" s="0" t="s">
        <v>2239</v>
      </c>
      <c r="AL1843" s="0" t="s">
        <v>523</v>
      </c>
    </row>
    <row r="1844" customFormat="false" ht="15" hidden="false" customHeight="false" outlineLevel="0" collapsed="false">
      <c r="A1844" s="0" t="s">
        <v>6727</v>
      </c>
      <c r="B1844" s="0" t="s">
        <v>149</v>
      </c>
      <c r="C1844" s="0" t="s">
        <v>4263</v>
      </c>
      <c r="D1844" s="0" t="n">
        <v>2015</v>
      </c>
      <c r="E1844" s="0" t="s">
        <v>6678</v>
      </c>
      <c r="F1844" s="0" t="n">
        <v>23699</v>
      </c>
      <c r="G1844" s="0" t="s">
        <v>3101</v>
      </c>
      <c r="H1844" s="0" t="s">
        <v>3068</v>
      </c>
      <c r="I1844" s="0" t="n">
        <v>23699</v>
      </c>
      <c r="J1844" s="0" t="s">
        <v>6608</v>
      </c>
      <c r="K1844" s="0" t="s">
        <v>2712</v>
      </c>
      <c r="L1844" s="0" t="n">
        <v>2015</v>
      </c>
      <c r="M1844" s="0" t="s">
        <v>2300</v>
      </c>
      <c r="N1844" s="0" t="s">
        <v>154</v>
      </c>
      <c r="O1844" s="0" t="s">
        <v>6689</v>
      </c>
      <c r="P1844" s="0" t="s">
        <v>6690</v>
      </c>
      <c r="Q1844" s="0" t="n">
        <v>87</v>
      </c>
      <c r="R1844" s="0" t="n">
        <v>170</v>
      </c>
      <c r="S1844" s="0" t="n">
        <v>13.4</v>
      </c>
      <c r="T1844" s="0" t="s">
        <v>6691</v>
      </c>
      <c r="U1844" s="0" t="s">
        <v>4808</v>
      </c>
      <c r="V1844" s="0" t="s">
        <v>155</v>
      </c>
      <c r="W1844" s="0" t="s">
        <v>6728</v>
      </c>
      <c r="X1844" s="0" t="s">
        <v>6710</v>
      </c>
      <c r="Y1844" s="0" t="s">
        <v>4159</v>
      </c>
      <c r="Z1844" s="0" t="s">
        <v>4160</v>
      </c>
      <c r="AA1844" s="0" t="s">
        <v>6729</v>
      </c>
      <c r="AB1844" s="0" t="s">
        <v>6695</v>
      </c>
      <c r="AC1844" s="0" t="s">
        <v>4162</v>
      </c>
      <c r="AD1844" s="0" t="s">
        <v>6566</v>
      </c>
      <c r="AE1844" s="0" t="s">
        <v>6567</v>
      </c>
      <c r="AF1844" s="0" t="s">
        <v>6696</v>
      </c>
      <c r="AH1844" s="0" t="s">
        <v>2239</v>
      </c>
      <c r="AL1844" s="0" t="s">
        <v>523</v>
      </c>
    </row>
    <row r="1845" customFormat="false" ht="15" hidden="false" customHeight="false" outlineLevel="0" collapsed="false">
      <c r="A1845" s="0" t="s">
        <v>6730</v>
      </c>
      <c r="B1845" s="0" t="s">
        <v>149</v>
      </c>
      <c r="C1845" s="0" t="s">
        <v>4263</v>
      </c>
      <c r="D1845" s="0" t="n">
        <v>2015</v>
      </c>
      <c r="E1845" s="0" t="s">
        <v>6682</v>
      </c>
      <c r="F1845" s="0" t="n">
        <v>1883</v>
      </c>
      <c r="G1845" s="0" t="s">
        <v>3101</v>
      </c>
      <c r="H1845" s="0" t="s">
        <v>3068</v>
      </c>
      <c r="I1845" s="0" t="n">
        <v>1883</v>
      </c>
      <c r="J1845" s="0" t="s">
        <v>6608</v>
      </c>
      <c r="K1845" s="0" t="s">
        <v>2712</v>
      </c>
      <c r="L1845" s="0" t="n">
        <v>2015</v>
      </c>
      <c r="M1845" s="0" t="s">
        <v>2300</v>
      </c>
      <c r="N1845" s="0" t="s">
        <v>154</v>
      </c>
      <c r="O1845" s="0" t="s">
        <v>6689</v>
      </c>
      <c r="P1845" s="0" t="s">
        <v>6690</v>
      </c>
      <c r="Q1845" s="0" t="n">
        <v>87</v>
      </c>
      <c r="R1845" s="0" t="n">
        <v>170</v>
      </c>
      <c r="S1845" s="0" t="n">
        <v>13.4</v>
      </c>
      <c r="T1845" s="0" t="s">
        <v>6691</v>
      </c>
      <c r="U1845" s="0" t="s">
        <v>4808</v>
      </c>
      <c r="V1845" s="0" t="s">
        <v>155</v>
      </c>
      <c r="W1845" s="0" t="s">
        <v>6731</v>
      </c>
      <c r="X1845" s="0" t="s">
        <v>6710</v>
      </c>
      <c r="Y1845" s="0" t="s">
        <v>4159</v>
      </c>
      <c r="Z1845" s="0" t="s">
        <v>4160</v>
      </c>
      <c r="AA1845" s="0" t="s">
        <v>6732</v>
      </c>
      <c r="AB1845" s="0" t="s">
        <v>6695</v>
      </c>
      <c r="AC1845" s="0" t="s">
        <v>4162</v>
      </c>
      <c r="AD1845" s="0" t="s">
        <v>6566</v>
      </c>
      <c r="AE1845" s="0" t="s">
        <v>6567</v>
      </c>
      <c r="AF1845" s="0" t="s">
        <v>6696</v>
      </c>
      <c r="AH1845" s="0" t="s">
        <v>2239</v>
      </c>
      <c r="AL1845" s="0" t="s">
        <v>523</v>
      </c>
    </row>
    <row r="1846" customFormat="false" ht="15" hidden="false" customHeight="false" outlineLevel="0" collapsed="false">
      <c r="A1846" s="0" t="s">
        <v>6733</v>
      </c>
      <c r="B1846" s="0" t="s">
        <v>149</v>
      </c>
      <c r="C1846" s="0" t="s">
        <v>4263</v>
      </c>
      <c r="D1846" s="0" t="n">
        <v>2015</v>
      </c>
      <c r="E1846" s="0" t="s">
        <v>6686</v>
      </c>
      <c r="F1846" s="0" t="n">
        <v>71464</v>
      </c>
      <c r="G1846" s="0" t="s">
        <v>3101</v>
      </c>
      <c r="H1846" s="0" t="s">
        <v>3068</v>
      </c>
      <c r="I1846" s="0" t="n">
        <v>71464</v>
      </c>
      <c r="J1846" s="0" t="s">
        <v>6608</v>
      </c>
      <c r="K1846" s="0" t="s">
        <v>2712</v>
      </c>
      <c r="L1846" s="0" t="n">
        <v>2015</v>
      </c>
      <c r="M1846" s="0" t="s">
        <v>2300</v>
      </c>
      <c r="N1846" s="0" t="s">
        <v>154</v>
      </c>
      <c r="O1846" s="0" t="s">
        <v>6689</v>
      </c>
      <c r="P1846" s="0" t="s">
        <v>6690</v>
      </c>
      <c r="Q1846" s="0" t="n">
        <v>87</v>
      </c>
      <c r="R1846" s="0" t="n">
        <v>170</v>
      </c>
      <c r="S1846" s="0" t="n">
        <v>13.4</v>
      </c>
      <c r="T1846" s="0" t="s">
        <v>6691</v>
      </c>
      <c r="U1846" s="0" t="s">
        <v>4808</v>
      </c>
      <c r="V1846" s="0" t="s">
        <v>155</v>
      </c>
      <c r="W1846" s="0" t="s">
        <v>6734</v>
      </c>
      <c r="X1846" s="0" t="s">
        <v>6710</v>
      </c>
      <c r="Y1846" s="0" t="s">
        <v>4159</v>
      </c>
      <c r="Z1846" s="0" t="s">
        <v>4160</v>
      </c>
      <c r="AA1846" s="0" t="s">
        <v>6735</v>
      </c>
      <c r="AB1846" s="0" t="s">
        <v>6695</v>
      </c>
      <c r="AC1846" s="0" t="s">
        <v>4162</v>
      </c>
      <c r="AD1846" s="0" t="s">
        <v>6566</v>
      </c>
      <c r="AE1846" s="0" t="s">
        <v>6567</v>
      </c>
      <c r="AF1846" s="0" t="s">
        <v>6696</v>
      </c>
      <c r="AH1846" s="0" t="s">
        <v>2239</v>
      </c>
      <c r="AL1846" s="0" t="s">
        <v>523</v>
      </c>
    </row>
    <row r="1847" customFormat="false" ht="15" hidden="false" customHeight="false" outlineLevel="0" collapsed="false">
      <c r="A1847" s="0" t="s">
        <v>1139</v>
      </c>
      <c r="B1847" s="0" t="s">
        <v>149</v>
      </c>
      <c r="C1847" s="0" t="s">
        <v>4263</v>
      </c>
      <c r="D1847" s="0" t="n">
        <v>2016</v>
      </c>
      <c r="E1847" s="0" t="s">
        <v>54</v>
      </c>
      <c r="F1847" s="0" t="n">
        <v>15030</v>
      </c>
      <c r="G1847" s="0" t="s">
        <v>3101</v>
      </c>
      <c r="H1847" s="0" t="s">
        <v>3068</v>
      </c>
      <c r="I1847" s="0" t="n">
        <v>15030</v>
      </c>
      <c r="J1847" s="0" t="s">
        <v>6608</v>
      </c>
      <c r="K1847" s="0" t="s">
        <v>2713</v>
      </c>
      <c r="L1847" s="0" t="n">
        <v>2016</v>
      </c>
      <c r="M1847" s="0" t="s">
        <v>2303</v>
      </c>
      <c r="N1847" s="0" t="s">
        <v>156</v>
      </c>
      <c r="O1847" s="0" t="s">
        <v>6736</v>
      </c>
      <c r="P1847" s="0" t="s">
        <v>6737</v>
      </c>
      <c r="Q1847" s="0" t="n">
        <v>84</v>
      </c>
      <c r="R1847" s="0" t="n">
        <v>164</v>
      </c>
      <c r="S1847" s="0" t="n">
        <v>13.4</v>
      </c>
      <c r="T1847" s="0" t="s">
        <v>6738</v>
      </c>
      <c r="U1847" s="0" t="s">
        <v>4209</v>
      </c>
      <c r="V1847" s="0" t="s">
        <v>157</v>
      </c>
      <c r="W1847" s="0" t="s">
        <v>6739</v>
      </c>
      <c r="X1847" s="0" t="s">
        <v>6740</v>
      </c>
      <c r="Y1847" s="0" t="s">
        <v>4159</v>
      </c>
      <c r="Z1847" s="0" t="s">
        <v>4160</v>
      </c>
      <c r="AA1847" s="0" t="s">
        <v>6741</v>
      </c>
      <c r="AB1847" s="0" t="s">
        <v>6742</v>
      </c>
      <c r="AC1847" s="0" t="s">
        <v>4162</v>
      </c>
      <c r="AD1847" s="0" t="s">
        <v>6566</v>
      </c>
      <c r="AE1847" s="0" t="s">
        <v>6567</v>
      </c>
      <c r="AF1847" s="0" t="s">
        <v>6743</v>
      </c>
      <c r="AH1847" s="0" t="s">
        <v>2239</v>
      </c>
      <c r="AL1847" s="0" t="s">
        <v>523</v>
      </c>
    </row>
    <row r="1848" customFormat="false" ht="15" hidden="false" customHeight="false" outlineLevel="0" collapsed="false">
      <c r="A1848" s="0" t="s">
        <v>1146</v>
      </c>
      <c r="B1848" s="0" t="s">
        <v>149</v>
      </c>
      <c r="C1848" s="0" t="s">
        <v>4263</v>
      </c>
      <c r="D1848" s="0" t="n">
        <v>2016</v>
      </c>
      <c r="E1848" s="0" t="s">
        <v>541</v>
      </c>
      <c r="F1848" s="0" t="n">
        <v>14908</v>
      </c>
      <c r="G1848" s="0" t="s">
        <v>3101</v>
      </c>
      <c r="H1848" s="0" t="s">
        <v>3068</v>
      </c>
      <c r="I1848" s="0" t="n">
        <v>14908</v>
      </c>
      <c r="J1848" s="0" t="s">
        <v>6608</v>
      </c>
      <c r="K1848" s="0" t="s">
        <v>2713</v>
      </c>
      <c r="L1848" s="0" t="n">
        <v>2016</v>
      </c>
      <c r="M1848" s="0" t="s">
        <v>2303</v>
      </c>
      <c r="N1848" s="0" t="s">
        <v>156</v>
      </c>
      <c r="O1848" s="0" t="s">
        <v>6736</v>
      </c>
      <c r="P1848" s="0" t="s">
        <v>6737</v>
      </c>
      <c r="Q1848" s="0" t="n">
        <v>84</v>
      </c>
      <c r="R1848" s="0" t="n">
        <v>164</v>
      </c>
      <c r="S1848" s="0" t="n">
        <v>13.4</v>
      </c>
      <c r="T1848" s="0" t="s">
        <v>6738</v>
      </c>
      <c r="U1848" s="0" t="s">
        <v>4209</v>
      </c>
      <c r="V1848" s="0" t="s">
        <v>157</v>
      </c>
      <c r="W1848" s="0" t="s">
        <v>6744</v>
      </c>
      <c r="X1848" s="0" t="s">
        <v>6740</v>
      </c>
      <c r="Y1848" s="0" t="s">
        <v>4159</v>
      </c>
      <c r="Z1848" s="0" t="s">
        <v>4160</v>
      </c>
      <c r="AA1848" s="0" t="s">
        <v>6745</v>
      </c>
      <c r="AB1848" s="0" t="s">
        <v>6742</v>
      </c>
      <c r="AC1848" s="0" t="s">
        <v>4162</v>
      </c>
      <c r="AD1848" s="0" t="s">
        <v>6566</v>
      </c>
      <c r="AE1848" s="0" t="s">
        <v>6567</v>
      </c>
      <c r="AF1848" s="0" t="s">
        <v>6743</v>
      </c>
      <c r="AH1848" s="0" t="s">
        <v>2239</v>
      </c>
      <c r="AL1848" s="0" t="s">
        <v>523</v>
      </c>
    </row>
    <row r="1849" customFormat="false" ht="15" hidden="false" customHeight="false" outlineLevel="0" collapsed="false">
      <c r="A1849" s="0" t="s">
        <v>1145</v>
      </c>
      <c r="B1849" s="0" t="s">
        <v>149</v>
      </c>
      <c r="C1849" s="0" t="s">
        <v>4263</v>
      </c>
      <c r="D1849" s="0" t="n">
        <v>2016</v>
      </c>
      <c r="E1849" s="0" t="s">
        <v>63</v>
      </c>
      <c r="F1849" s="0" t="n">
        <v>-19803</v>
      </c>
      <c r="G1849" s="0" t="s">
        <v>3101</v>
      </c>
      <c r="H1849" s="0" t="s">
        <v>3068</v>
      </c>
      <c r="I1849" s="0" t="n">
        <v>19803</v>
      </c>
      <c r="J1849" s="0" t="s">
        <v>6608</v>
      </c>
      <c r="K1849" s="0" t="s">
        <v>2713</v>
      </c>
      <c r="L1849" s="0" t="n">
        <v>2016</v>
      </c>
      <c r="M1849" s="0" t="s">
        <v>2303</v>
      </c>
      <c r="N1849" s="0" t="s">
        <v>156</v>
      </c>
      <c r="O1849" s="0" t="s">
        <v>6736</v>
      </c>
      <c r="P1849" s="0" t="s">
        <v>6737</v>
      </c>
      <c r="Q1849" s="0" t="n">
        <v>84</v>
      </c>
      <c r="R1849" s="0" t="n">
        <v>164</v>
      </c>
      <c r="S1849" s="0" t="n">
        <v>13.4</v>
      </c>
      <c r="T1849" s="0" t="s">
        <v>6738</v>
      </c>
      <c r="U1849" s="0" t="s">
        <v>4209</v>
      </c>
      <c r="V1849" s="0" t="s">
        <v>157</v>
      </c>
      <c r="W1849" s="0" t="s">
        <v>6746</v>
      </c>
      <c r="X1849" s="0" t="s">
        <v>6740</v>
      </c>
      <c r="Y1849" s="0" t="s">
        <v>4159</v>
      </c>
      <c r="Z1849" s="0" t="s">
        <v>4160</v>
      </c>
      <c r="AA1849" s="0" t="s">
        <v>6747</v>
      </c>
      <c r="AB1849" s="0" t="s">
        <v>6742</v>
      </c>
      <c r="AC1849" s="0" t="s">
        <v>4162</v>
      </c>
      <c r="AD1849" s="0" t="s">
        <v>6566</v>
      </c>
      <c r="AE1849" s="0" t="s">
        <v>6567</v>
      </c>
      <c r="AF1849" s="0" t="s">
        <v>6743</v>
      </c>
      <c r="AH1849" s="0" t="s">
        <v>4174</v>
      </c>
      <c r="AI1849" s="0" t="s">
        <v>4974</v>
      </c>
      <c r="AL1849" s="0" t="s">
        <v>523</v>
      </c>
    </row>
    <row r="1850" customFormat="false" ht="15" hidden="false" customHeight="false" outlineLevel="0" collapsed="false">
      <c r="A1850" s="0" t="s">
        <v>1144</v>
      </c>
      <c r="B1850" s="0" t="s">
        <v>149</v>
      </c>
      <c r="C1850" s="0" t="s">
        <v>4263</v>
      </c>
      <c r="D1850" s="0" t="n">
        <v>2016</v>
      </c>
      <c r="E1850" s="0" t="s">
        <v>62</v>
      </c>
      <c r="F1850" s="0" t="n">
        <v>352965</v>
      </c>
      <c r="G1850" s="0" t="s">
        <v>3101</v>
      </c>
      <c r="H1850" s="0" t="s">
        <v>3068</v>
      </c>
      <c r="I1850" s="0" t="n">
        <v>352965</v>
      </c>
      <c r="J1850" s="0" t="s">
        <v>6608</v>
      </c>
      <c r="K1850" s="0" t="s">
        <v>2713</v>
      </c>
      <c r="L1850" s="0" t="n">
        <v>2016</v>
      </c>
      <c r="M1850" s="0" t="s">
        <v>2303</v>
      </c>
      <c r="N1850" s="0" t="s">
        <v>156</v>
      </c>
      <c r="O1850" s="0" t="s">
        <v>6736</v>
      </c>
      <c r="P1850" s="0" t="s">
        <v>6737</v>
      </c>
      <c r="Q1850" s="0" t="n">
        <v>84</v>
      </c>
      <c r="R1850" s="0" t="n">
        <v>164</v>
      </c>
      <c r="S1850" s="0" t="n">
        <v>13.4</v>
      </c>
      <c r="T1850" s="0" t="s">
        <v>6738</v>
      </c>
      <c r="U1850" s="0" t="s">
        <v>4209</v>
      </c>
      <c r="V1850" s="0" t="s">
        <v>157</v>
      </c>
      <c r="W1850" s="0" t="s">
        <v>6748</v>
      </c>
      <c r="X1850" s="0" t="s">
        <v>6740</v>
      </c>
      <c r="Y1850" s="0" t="s">
        <v>4159</v>
      </c>
      <c r="Z1850" s="0" t="s">
        <v>4160</v>
      </c>
      <c r="AA1850" s="0" t="s">
        <v>6749</v>
      </c>
      <c r="AB1850" s="0" t="s">
        <v>6742</v>
      </c>
      <c r="AC1850" s="0" t="s">
        <v>4162</v>
      </c>
      <c r="AD1850" s="0" t="s">
        <v>6566</v>
      </c>
      <c r="AE1850" s="0" t="s">
        <v>6567</v>
      </c>
      <c r="AF1850" s="0" t="s">
        <v>6743</v>
      </c>
      <c r="AH1850" s="0" t="s">
        <v>2239</v>
      </c>
      <c r="AL1850" s="0" t="s">
        <v>523</v>
      </c>
    </row>
    <row r="1851" customFormat="false" ht="15" hidden="false" customHeight="false" outlineLevel="0" collapsed="false">
      <c r="A1851" s="0" t="s">
        <v>1140</v>
      </c>
      <c r="B1851" s="0" t="s">
        <v>149</v>
      </c>
      <c r="C1851" s="0" t="s">
        <v>4263</v>
      </c>
      <c r="D1851" s="0" t="n">
        <v>2016</v>
      </c>
      <c r="E1851" s="0" t="s">
        <v>55</v>
      </c>
      <c r="F1851" s="0" t="n">
        <v>993759</v>
      </c>
      <c r="G1851" s="0" t="s">
        <v>3101</v>
      </c>
      <c r="H1851" s="0" t="s">
        <v>3068</v>
      </c>
      <c r="I1851" s="0" t="n">
        <v>993759</v>
      </c>
      <c r="J1851" s="0" t="s">
        <v>6608</v>
      </c>
      <c r="K1851" s="0" t="s">
        <v>2713</v>
      </c>
      <c r="L1851" s="0" t="n">
        <v>2016</v>
      </c>
      <c r="M1851" s="0" t="s">
        <v>2303</v>
      </c>
      <c r="N1851" s="0" t="s">
        <v>156</v>
      </c>
      <c r="O1851" s="0" t="s">
        <v>6736</v>
      </c>
      <c r="P1851" s="0" t="s">
        <v>6737</v>
      </c>
      <c r="Q1851" s="0" t="n">
        <v>84</v>
      </c>
      <c r="R1851" s="0" t="n">
        <v>164</v>
      </c>
      <c r="S1851" s="0" t="n">
        <v>13.4</v>
      </c>
      <c r="T1851" s="0" t="s">
        <v>6738</v>
      </c>
      <c r="U1851" s="0" t="s">
        <v>4209</v>
      </c>
      <c r="V1851" s="0" t="s">
        <v>157</v>
      </c>
      <c r="W1851" s="0" t="s">
        <v>6750</v>
      </c>
      <c r="X1851" s="0" t="s">
        <v>6740</v>
      </c>
      <c r="Y1851" s="0" t="s">
        <v>4159</v>
      </c>
      <c r="Z1851" s="0" t="s">
        <v>4160</v>
      </c>
      <c r="AA1851" s="0" t="s">
        <v>6751</v>
      </c>
      <c r="AB1851" s="0" t="s">
        <v>6742</v>
      </c>
      <c r="AC1851" s="0" t="s">
        <v>4162</v>
      </c>
      <c r="AD1851" s="0" t="s">
        <v>6566</v>
      </c>
      <c r="AE1851" s="0" t="s">
        <v>6567</v>
      </c>
      <c r="AF1851" s="0" t="s">
        <v>6743</v>
      </c>
      <c r="AH1851" s="0" t="s">
        <v>2239</v>
      </c>
      <c r="AL1851" s="0" t="s">
        <v>523</v>
      </c>
    </row>
    <row r="1852" customFormat="false" ht="15" hidden="false" customHeight="false" outlineLevel="0" collapsed="false">
      <c r="A1852" s="0" t="s">
        <v>1143</v>
      </c>
      <c r="B1852" s="0" t="s">
        <v>149</v>
      </c>
      <c r="C1852" s="0" t="s">
        <v>4263</v>
      </c>
      <c r="D1852" s="0" t="n">
        <v>2016</v>
      </c>
      <c r="E1852" s="0" t="s">
        <v>59</v>
      </c>
      <c r="F1852" s="0" t="n">
        <v>890580</v>
      </c>
      <c r="G1852" s="0" t="s">
        <v>3101</v>
      </c>
      <c r="H1852" s="0" t="s">
        <v>3068</v>
      </c>
      <c r="I1852" s="0" t="n">
        <v>890580</v>
      </c>
      <c r="J1852" s="0" t="s">
        <v>6608</v>
      </c>
      <c r="K1852" s="0" t="s">
        <v>2713</v>
      </c>
      <c r="L1852" s="0" t="n">
        <v>2016</v>
      </c>
      <c r="M1852" s="0" t="s">
        <v>2303</v>
      </c>
      <c r="N1852" s="0" t="s">
        <v>156</v>
      </c>
      <c r="O1852" s="0" t="s">
        <v>6736</v>
      </c>
      <c r="P1852" s="0" t="s">
        <v>6737</v>
      </c>
      <c r="Q1852" s="0" t="n">
        <v>84</v>
      </c>
      <c r="R1852" s="0" t="n">
        <v>164</v>
      </c>
      <c r="S1852" s="0" t="n">
        <v>13.4</v>
      </c>
      <c r="T1852" s="0" t="s">
        <v>6752</v>
      </c>
      <c r="U1852" s="0" t="s">
        <v>6753</v>
      </c>
      <c r="V1852" s="0" t="s">
        <v>157</v>
      </c>
      <c r="W1852" s="0" t="s">
        <v>6754</v>
      </c>
      <c r="X1852" s="0" t="s">
        <v>6740</v>
      </c>
      <c r="Y1852" s="0" t="s">
        <v>4159</v>
      </c>
      <c r="Z1852" s="0" t="s">
        <v>4160</v>
      </c>
      <c r="AA1852" s="0" t="s">
        <v>6755</v>
      </c>
      <c r="AB1852" s="0" t="s">
        <v>6742</v>
      </c>
      <c r="AC1852" s="0" t="s">
        <v>4162</v>
      </c>
      <c r="AD1852" s="0" t="s">
        <v>6566</v>
      </c>
      <c r="AE1852" s="0" t="s">
        <v>6567</v>
      </c>
      <c r="AF1852" s="0" t="s">
        <v>6743</v>
      </c>
      <c r="AH1852" s="0" t="s">
        <v>2239</v>
      </c>
      <c r="AL1852" s="0" t="s">
        <v>523</v>
      </c>
    </row>
    <row r="1853" customFormat="false" ht="15" hidden="false" customHeight="false" outlineLevel="0" collapsed="false">
      <c r="A1853" s="0" t="s">
        <v>1142</v>
      </c>
      <c r="B1853" s="0" t="s">
        <v>149</v>
      </c>
      <c r="C1853" s="0" t="s">
        <v>4263</v>
      </c>
      <c r="D1853" s="0" t="n">
        <v>2016</v>
      </c>
      <c r="E1853" s="0" t="s">
        <v>57</v>
      </c>
      <c r="F1853" s="0" t="n">
        <v>109316</v>
      </c>
      <c r="G1853" s="0" t="s">
        <v>3101</v>
      </c>
      <c r="H1853" s="0" t="s">
        <v>3068</v>
      </c>
      <c r="I1853" s="0" t="n">
        <v>109316</v>
      </c>
      <c r="J1853" s="0" t="s">
        <v>6608</v>
      </c>
      <c r="K1853" s="0" t="s">
        <v>2713</v>
      </c>
      <c r="L1853" s="0" t="n">
        <v>2016</v>
      </c>
      <c r="M1853" s="0" t="s">
        <v>2303</v>
      </c>
      <c r="N1853" s="0" t="s">
        <v>156</v>
      </c>
      <c r="O1853" s="0" t="s">
        <v>6736</v>
      </c>
      <c r="P1853" s="0" t="s">
        <v>6737</v>
      </c>
      <c r="Q1853" s="0" t="n">
        <v>85</v>
      </c>
      <c r="R1853" s="0" t="n">
        <v>166</v>
      </c>
      <c r="S1853" s="0" t="n">
        <v>13.4</v>
      </c>
      <c r="T1853" s="0" t="s">
        <v>6738</v>
      </c>
      <c r="U1853" s="0" t="s">
        <v>4209</v>
      </c>
      <c r="V1853" s="0" t="s">
        <v>157</v>
      </c>
      <c r="W1853" s="0" t="s">
        <v>6756</v>
      </c>
      <c r="X1853" s="0" t="s">
        <v>6757</v>
      </c>
      <c r="Y1853" s="0" t="s">
        <v>4159</v>
      </c>
      <c r="Z1853" s="0" t="s">
        <v>4160</v>
      </c>
      <c r="AA1853" s="0" t="s">
        <v>6758</v>
      </c>
      <c r="AB1853" s="0" t="s">
        <v>6742</v>
      </c>
      <c r="AC1853" s="0" t="s">
        <v>4162</v>
      </c>
      <c r="AD1853" s="0" t="s">
        <v>6566</v>
      </c>
      <c r="AE1853" s="0" t="s">
        <v>6567</v>
      </c>
      <c r="AF1853" s="0" t="s">
        <v>6743</v>
      </c>
      <c r="AH1853" s="0" t="s">
        <v>2239</v>
      </c>
      <c r="AL1853" s="0" t="s">
        <v>523</v>
      </c>
    </row>
    <row r="1854" customFormat="false" ht="15" hidden="false" customHeight="false" outlineLevel="0" collapsed="false">
      <c r="A1854" s="0" t="s">
        <v>6759</v>
      </c>
      <c r="B1854" s="0" t="s">
        <v>149</v>
      </c>
      <c r="C1854" s="0" t="s">
        <v>4263</v>
      </c>
      <c r="D1854" s="0" t="n">
        <v>2016</v>
      </c>
      <c r="E1854" s="0" t="s">
        <v>6658</v>
      </c>
      <c r="F1854" s="0" t="n">
        <v>11788</v>
      </c>
      <c r="G1854" s="0" t="s">
        <v>3101</v>
      </c>
      <c r="H1854" s="0" t="s">
        <v>3068</v>
      </c>
      <c r="I1854" s="0" t="n">
        <v>11788</v>
      </c>
      <c r="J1854" s="0" t="s">
        <v>6608</v>
      </c>
      <c r="K1854" s="0" t="s">
        <v>2713</v>
      </c>
      <c r="L1854" s="0" t="n">
        <v>2016</v>
      </c>
      <c r="M1854" s="0" t="s">
        <v>2303</v>
      </c>
      <c r="N1854" s="0" t="s">
        <v>156</v>
      </c>
      <c r="O1854" s="0" t="s">
        <v>6736</v>
      </c>
      <c r="P1854" s="0" t="s">
        <v>6737</v>
      </c>
      <c r="Q1854" s="0" t="n">
        <v>85</v>
      </c>
      <c r="R1854" s="0" t="n">
        <v>166</v>
      </c>
      <c r="S1854" s="0" t="n">
        <v>13.4</v>
      </c>
      <c r="T1854" s="0" t="s">
        <v>6738</v>
      </c>
      <c r="U1854" s="0" t="s">
        <v>4209</v>
      </c>
      <c r="V1854" s="0" t="s">
        <v>157</v>
      </c>
      <c r="W1854" s="0" t="s">
        <v>6760</v>
      </c>
      <c r="X1854" s="0" t="s">
        <v>6757</v>
      </c>
      <c r="Y1854" s="0" t="s">
        <v>4159</v>
      </c>
      <c r="Z1854" s="0" t="s">
        <v>4160</v>
      </c>
      <c r="AA1854" s="0" t="s">
        <v>6761</v>
      </c>
      <c r="AB1854" s="0" t="s">
        <v>6742</v>
      </c>
      <c r="AC1854" s="0" t="s">
        <v>4162</v>
      </c>
      <c r="AD1854" s="0" t="s">
        <v>6566</v>
      </c>
      <c r="AE1854" s="0" t="s">
        <v>6567</v>
      </c>
      <c r="AF1854" s="0" t="s">
        <v>6743</v>
      </c>
      <c r="AH1854" s="0" t="s">
        <v>2239</v>
      </c>
      <c r="AL1854" s="0" t="s">
        <v>523</v>
      </c>
    </row>
    <row r="1855" customFormat="false" ht="15" hidden="false" customHeight="false" outlineLevel="0" collapsed="false">
      <c r="A1855" s="0" t="s">
        <v>6762</v>
      </c>
      <c r="B1855" s="0" t="s">
        <v>149</v>
      </c>
      <c r="C1855" s="0" t="s">
        <v>4263</v>
      </c>
      <c r="D1855" s="0" t="n">
        <v>2016</v>
      </c>
      <c r="E1855" s="0" t="s">
        <v>6662</v>
      </c>
      <c r="F1855" s="0" t="n">
        <v>5325</v>
      </c>
      <c r="G1855" s="0" t="s">
        <v>3101</v>
      </c>
      <c r="H1855" s="0" t="s">
        <v>3068</v>
      </c>
      <c r="I1855" s="0" t="n">
        <v>5325</v>
      </c>
      <c r="J1855" s="0" t="s">
        <v>6608</v>
      </c>
      <c r="K1855" s="0" t="s">
        <v>2713</v>
      </c>
      <c r="L1855" s="0" t="n">
        <v>2016</v>
      </c>
      <c r="M1855" s="0" t="s">
        <v>2303</v>
      </c>
      <c r="N1855" s="0" t="s">
        <v>156</v>
      </c>
      <c r="O1855" s="0" t="s">
        <v>6736</v>
      </c>
      <c r="P1855" s="0" t="s">
        <v>6737</v>
      </c>
      <c r="Q1855" s="0" t="n">
        <v>85</v>
      </c>
      <c r="R1855" s="0" t="n">
        <v>166</v>
      </c>
      <c r="S1855" s="0" t="n">
        <v>13.4</v>
      </c>
      <c r="T1855" s="0" t="s">
        <v>6738</v>
      </c>
      <c r="U1855" s="0" t="s">
        <v>4209</v>
      </c>
      <c r="V1855" s="0" t="s">
        <v>157</v>
      </c>
      <c r="W1855" s="0" t="s">
        <v>6763</v>
      </c>
      <c r="X1855" s="0" t="s">
        <v>6757</v>
      </c>
      <c r="Y1855" s="0" t="s">
        <v>4159</v>
      </c>
      <c r="Z1855" s="0" t="s">
        <v>4160</v>
      </c>
      <c r="AA1855" s="0" t="s">
        <v>6764</v>
      </c>
      <c r="AB1855" s="0" t="s">
        <v>6742</v>
      </c>
      <c r="AC1855" s="0" t="s">
        <v>4162</v>
      </c>
      <c r="AD1855" s="0" t="s">
        <v>6566</v>
      </c>
      <c r="AE1855" s="0" t="s">
        <v>6567</v>
      </c>
      <c r="AF1855" s="0" t="s">
        <v>6743</v>
      </c>
      <c r="AH1855" s="0" t="s">
        <v>2239</v>
      </c>
      <c r="AL1855" s="0" t="s">
        <v>523</v>
      </c>
    </row>
    <row r="1856" customFormat="false" ht="15" hidden="false" customHeight="false" outlineLevel="0" collapsed="false">
      <c r="A1856" s="0" t="s">
        <v>6765</v>
      </c>
      <c r="B1856" s="0" t="s">
        <v>149</v>
      </c>
      <c r="C1856" s="0" t="s">
        <v>4263</v>
      </c>
      <c r="D1856" s="0" t="n">
        <v>2016</v>
      </c>
      <c r="E1856" s="0" t="s">
        <v>6666</v>
      </c>
      <c r="F1856" s="0" t="n">
        <v>53766</v>
      </c>
      <c r="G1856" s="0" t="s">
        <v>3101</v>
      </c>
      <c r="H1856" s="0" t="s">
        <v>3068</v>
      </c>
      <c r="I1856" s="0" t="n">
        <v>53766</v>
      </c>
      <c r="J1856" s="0" t="s">
        <v>6608</v>
      </c>
      <c r="K1856" s="0" t="s">
        <v>2713</v>
      </c>
      <c r="L1856" s="0" t="n">
        <v>2016</v>
      </c>
      <c r="M1856" s="0" t="s">
        <v>2303</v>
      </c>
      <c r="N1856" s="0" t="s">
        <v>156</v>
      </c>
      <c r="O1856" s="0" t="s">
        <v>6736</v>
      </c>
      <c r="P1856" s="0" t="s">
        <v>6737</v>
      </c>
      <c r="Q1856" s="0" t="n">
        <v>85</v>
      </c>
      <c r="R1856" s="0" t="n">
        <v>166</v>
      </c>
      <c r="S1856" s="0" t="n">
        <v>13.4</v>
      </c>
      <c r="T1856" s="0" t="s">
        <v>6738</v>
      </c>
      <c r="U1856" s="0" t="s">
        <v>4209</v>
      </c>
      <c r="V1856" s="0" t="s">
        <v>157</v>
      </c>
      <c r="W1856" s="0" t="s">
        <v>6766</v>
      </c>
      <c r="X1856" s="0" t="s">
        <v>6757</v>
      </c>
      <c r="Y1856" s="0" t="s">
        <v>4159</v>
      </c>
      <c r="Z1856" s="0" t="s">
        <v>4160</v>
      </c>
      <c r="AA1856" s="0" t="s">
        <v>6767</v>
      </c>
      <c r="AB1856" s="0" t="s">
        <v>6742</v>
      </c>
      <c r="AC1856" s="0" t="s">
        <v>4162</v>
      </c>
      <c r="AD1856" s="0" t="s">
        <v>6566</v>
      </c>
      <c r="AE1856" s="0" t="s">
        <v>6567</v>
      </c>
      <c r="AF1856" s="0" t="s">
        <v>6743</v>
      </c>
      <c r="AH1856" s="0" t="s">
        <v>2239</v>
      </c>
      <c r="AL1856" s="0" t="s">
        <v>523</v>
      </c>
    </row>
    <row r="1857" customFormat="false" ht="15" hidden="false" customHeight="false" outlineLevel="0" collapsed="false">
      <c r="A1857" s="0" t="s">
        <v>6768</v>
      </c>
      <c r="B1857" s="0" t="s">
        <v>149</v>
      </c>
      <c r="C1857" s="0" t="s">
        <v>4263</v>
      </c>
      <c r="D1857" s="0" t="n">
        <v>2016</v>
      </c>
      <c r="E1857" s="0" t="s">
        <v>6670</v>
      </c>
      <c r="F1857" s="0" t="n">
        <v>568675</v>
      </c>
      <c r="G1857" s="0" t="s">
        <v>3101</v>
      </c>
      <c r="H1857" s="0" t="s">
        <v>3068</v>
      </c>
      <c r="I1857" s="0" t="n">
        <v>568675</v>
      </c>
      <c r="J1857" s="0" t="s">
        <v>6608</v>
      </c>
      <c r="K1857" s="0" t="s">
        <v>2713</v>
      </c>
      <c r="L1857" s="0" t="n">
        <v>2016</v>
      </c>
      <c r="M1857" s="0" t="s">
        <v>2303</v>
      </c>
      <c r="N1857" s="0" t="s">
        <v>156</v>
      </c>
      <c r="O1857" s="0" t="s">
        <v>6736</v>
      </c>
      <c r="P1857" s="0" t="s">
        <v>6737</v>
      </c>
      <c r="Q1857" s="0" t="n">
        <v>85</v>
      </c>
      <c r="R1857" s="0" t="n">
        <v>166</v>
      </c>
      <c r="S1857" s="0" t="n">
        <v>13.4</v>
      </c>
      <c r="T1857" s="0" t="s">
        <v>6738</v>
      </c>
      <c r="U1857" s="0" t="s">
        <v>4209</v>
      </c>
      <c r="V1857" s="0" t="s">
        <v>157</v>
      </c>
      <c r="W1857" s="0" t="s">
        <v>6769</v>
      </c>
      <c r="X1857" s="0" t="s">
        <v>6757</v>
      </c>
      <c r="Y1857" s="0" t="s">
        <v>4159</v>
      </c>
      <c r="Z1857" s="0" t="s">
        <v>4160</v>
      </c>
      <c r="AA1857" s="0" t="s">
        <v>6770</v>
      </c>
      <c r="AB1857" s="0" t="s">
        <v>6742</v>
      </c>
      <c r="AC1857" s="0" t="s">
        <v>4162</v>
      </c>
      <c r="AD1857" s="0" t="s">
        <v>6566</v>
      </c>
      <c r="AE1857" s="0" t="s">
        <v>6567</v>
      </c>
      <c r="AF1857" s="0" t="s">
        <v>6743</v>
      </c>
      <c r="AH1857" s="0" t="s">
        <v>2239</v>
      </c>
      <c r="AL1857" s="0" t="s">
        <v>523</v>
      </c>
    </row>
    <row r="1858" customFormat="false" ht="15" hidden="false" customHeight="false" outlineLevel="0" collapsed="false">
      <c r="A1858" s="0" t="s">
        <v>6771</v>
      </c>
      <c r="B1858" s="0" t="s">
        <v>149</v>
      </c>
      <c r="C1858" s="0" t="s">
        <v>4263</v>
      </c>
      <c r="D1858" s="0" t="n">
        <v>2016</v>
      </c>
      <c r="E1858" s="0" t="s">
        <v>6674</v>
      </c>
      <c r="F1858" s="0" t="n">
        <v>79633</v>
      </c>
      <c r="G1858" s="0" t="s">
        <v>3101</v>
      </c>
      <c r="H1858" s="0" t="s">
        <v>3068</v>
      </c>
      <c r="I1858" s="0" t="n">
        <v>79633</v>
      </c>
      <c r="J1858" s="0" t="s">
        <v>6608</v>
      </c>
      <c r="K1858" s="0" t="s">
        <v>2713</v>
      </c>
      <c r="L1858" s="0" t="n">
        <v>2016</v>
      </c>
      <c r="M1858" s="0" t="s">
        <v>2303</v>
      </c>
      <c r="N1858" s="0" t="s">
        <v>156</v>
      </c>
      <c r="O1858" s="0" t="s">
        <v>6736</v>
      </c>
      <c r="P1858" s="0" t="s">
        <v>6737</v>
      </c>
      <c r="Q1858" s="0" t="n">
        <v>85</v>
      </c>
      <c r="R1858" s="0" t="n">
        <v>166</v>
      </c>
      <c r="S1858" s="0" t="n">
        <v>13.4</v>
      </c>
      <c r="T1858" s="0" t="s">
        <v>6738</v>
      </c>
      <c r="U1858" s="0" t="s">
        <v>4209</v>
      </c>
      <c r="V1858" s="0" t="s">
        <v>157</v>
      </c>
      <c r="W1858" s="0" t="s">
        <v>6772</v>
      </c>
      <c r="X1858" s="0" t="s">
        <v>6757</v>
      </c>
      <c r="Y1858" s="0" t="s">
        <v>4159</v>
      </c>
      <c r="Z1858" s="0" t="s">
        <v>4160</v>
      </c>
      <c r="AA1858" s="0" t="s">
        <v>6773</v>
      </c>
      <c r="AB1858" s="0" t="s">
        <v>6742</v>
      </c>
      <c r="AC1858" s="0" t="s">
        <v>4162</v>
      </c>
      <c r="AD1858" s="0" t="s">
        <v>6566</v>
      </c>
      <c r="AE1858" s="0" t="s">
        <v>6567</v>
      </c>
      <c r="AF1858" s="0" t="s">
        <v>6743</v>
      </c>
      <c r="AH1858" s="0" t="s">
        <v>2239</v>
      </c>
      <c r="AL1858" s="0" t="s">
        <v>523</v>
      </c>
    </row>
    <row r="1859" customFormat="false" ht="15" hidden="false" customHeight="false" outlineLevel="0" collapsed="false">
      <c r="A1859" s="0" t="s">
        <v>6774</v>
      </c>
      <c r="B1859" s="0" t="s">
        <v>149</v>
      </c>
      <c r="C1859" s="0" t="s">
        <v>4263</v>
      </c>
      <c r="D1859" s="0" t="n">
        <v>2016</v>
      </c>
      <c r="E1859" s="0" t="s">
        <v>6678</v>
      </c>
      <c r="F1859" s="0" t="n">
        <v>27964</v>
      </c>
      <c r="G1859" s="0" t="s">
        <v>3101</v>
      </c>
      <c r="H1859" s="0" t="s">
        <v>3068</v>
      </c>
      <c r="I1859" s="0" t="n">
        <v>27964</v>
      </c>
      <c r="J1859" s="0" t="s">
        <v>6608</v>
      </c>
      <c r="K1859" s="0" t="s">
        <v>2713</v>
      </c>
      <c r="L1859" s="0" t="n">
        <v>2016</v>
      </c>
      <c r="M1859" s="0" t="s">
        <v>2303</v>
      </c>
      <c r="N1859" s="0" t="s">
        <v>156</v>
      </c>
      <c r="O1859" s="0" t="s">
        <v>6736</v>
      </c>
      <c r="P1859" s="0" t="s">
        <v>6737</v>
      </c>
      <c r="Q1859" s="0" t="n">
        <v>85</v>
      </c>
      <c r="R1859" s="0" t="n">
        <v>166</v>
      </c>
      <c r="S1859" s="0" t="n">
        <v>13.4</v>
      </c>
      <c r="T1859" s="0" t="s">
        <v>6738</v>
      </c>
      <c r="U1859" s="0" t="s">
        <v>4209</v>
      </c>
      <c r="V1859" s="0" t="s">
        <v>157</v>
      </c>
      <c r="W1859" s="0" t="s">
        <v>6775</v>
      </c>
      <c r="X1859" s="0" t="s">
        <v>6757</v>
      </c>
      <c r="Y1859" s="0" t="s">
        <v>4159</v>
      </c>
      <c r="Z1859" s="0" t="s">
        <v>4160</v>
      </c>
      <c r="AA1859" s="0" t="s">
        <v>6776</v>
      </c>
      <c r="AB1859" s="0" t="s">
        <v>6742</v>
      </c>
      <c r="AC1859" s="0" t="s">
        <v>4162</v>
      </c>
      <c r="AD1859" s="0" t="s">
        <v>6566</v>
      </c>
      <c r="AE1859" s="0" t="s">
        <v>6567</v>
      </c>
      <c r="AF1859" s="0" t="s">
        <v>6743</v>
      </c>
      <c r="AH1859" s="0" t="s">
        <v>2239</v>
      </c>
      <c r="AL1859" s="0" t="s">
        <v>523</v>
      </c>
    </row>
    <row r="1860" customFormat="false" ht="15" hidden="false" customHeight="false" outlineLevel="0" collapsed="false">
      <c r="A1860" s="0" t="s">
        <v>6777</v>
      </c>
      <c r="B1860" s="0" t="s">
        <v>149</v>
      </c>
      <c r="C1860" s="0" t="s">
        <v>4263</v>
      </c>
      <c r="D1860" s="0" t="n">
        <v>2016</v>
      </c>
      <c r="E1860" s="0" t="s">
        <v>6682</v>
      </c>
      <c r="F1860" s="0" t="n">
        <v>1865</v>
      </c>
      <c r="G1860" s="0" t="s">
        <v>3101</v>
      </c>
      <c r="H1860" s="0" t="s">
        <v>3068</v>
      </c>
      <c r="I1860" s="0" t="n">
        <v>1865</v>
      </c>
      <c r="J1860" s="0" t="s">
        <v>6608</v>
      </c>
      <c r="K1860" s="0" t="s">
        <v>2713</v>
      </c>
      <c r="L1860" s="0" t="n">
        <v>2016</v>
      </c>
      <c r="M1860" s="0" t="s">
        <v>2303</v>
      </c>
      <c r="N1860" s="0" t="s">
        <v>156</v>
      </c>
      <c r="O1860" s="0" t="s">
        <v>6736</v>
      </c>
      <c r="P1860" s="0" t="s">
        <v>6737</v>
      </c>
      <c r="Q1860" s="0" t="n">
        <v>85</v>
      </c>
      <c r="R1860" s="0" t="n">
        <v>166</v>
      </c>
      <c r="S1860" s="0" t="n">
        <v>13.4</v>
      </c>
      <c r="T1860" s="0" t="s">
        <v>6738</v>
      </c>
      <c r="U1860" s="0" t="s">
        <v>4209</v>
      </c>
      <c r="V1860" s="0" t="s">
        <v>157</v>
      </c>
      <c r="W1860" s="0" t="s">
        <v>6778</v>
      </c>
      <c r="X1860" s="0" t="s">
        <v>6757</v>
      </c>
      <c r="Y1860" s="0" t="s">
        <v>4159</v>
      </c>
      <c r="Z1860" s="0" t="s">
        <v>4160</v>
      </c>
      <c r="AA1860" s="0" t="s">
        <v>6779</v>
      </c>
      <c r="AB1860" s="0" t="s">
        <v>6742</v>
      </c>
      <c r="AC1860" s="0" t="s">
        <v>4162</v>
      </c>
      <c r="AD1860" s="0" t="s">
        <v>6566</v>
      </c>
      <c r="AE1860" s="0" t="s">
        <v>6567</v>
      </c>
      <c r="AF1860" s="0" t="s">
        <v>6743</v>
      </c>
      <c r="AH1860" s="0" t="s">
        <v>2239</v>
      </c>
      <c r="AL1860" s="0" t="s">
        <v>523</v>
      </c>
    </row>
    <row r="1861" customFormat="false" ht="15" hidden="false" customHeight="false" outlineLevel="0" collapsed="false">
      <c r="A1861" s="0" t="s">
        <v>6780</v>
      </c>
      <c r="B1861" s="0" t="s">
        <v>149</v>
      </c>
      <c r="C1861" s="0" t="s">
        <v>4263</v>
      </c>
      <c r="D1861" s="0" t="n">
        <v>2016</v>
      </c>
      <c r="E1861" s="0" t="s">
        <v>6686</v>
      </c>
      <c r="F1861" s="0" t="n">
        <v>135427</v>
      </c>
      <c r="G1861" s="0" t="s">
        <v>3101</v>
      </c>
      <c r="H1861" s="0" t="s">
        <v>3068</v>
      </c>
      <c r="I1861" s="0" t="n">
        <v>135427</v>
      </c>
      <c r="J1861" s="0" t="s">
        <v>6608</v>
      </c>
      <c r="K1861" s="0" t="s">
        <v>2713</v>
      </c>
      <c r="L1861" s="0" t="n">
        <v>2016</v>
      </c>
      <c r="M1861" s="0" t="s">
        <v>2303</v>
      </c>
      <c r="N1861" s="0" t="s">
        <v>156</v>
      </c>
      <c r="O1861" s="0" t="s">
        <v>6736</v>
      </c>
      <c r="P1861" s="0" t="s">
        <v>6737</v>
      </c>
      <c r="Q1861" s="0" t="n">
        <v>85</v>
      </c>
      <c r="R1861" s="0" t="n">
        <v>166</v>
      </c>
      <c r="S1861" s="0" t="n">
        <v>13.4</v>
      </c>
      <c r="T1861" s="0" t="s">
        <v>6738</v>
      </c>
      <c r="U1861" s="0" t="s">
        <v>4209</v>
      </c>
      <c r="V1861" s="0" t="s">
        <v>157</v>
      </c>
      <c r="W1861" s="0" t="s">
        <v>6781</v>
      </c>
      <c r="X1861" s="0" t="s">
        <v>6757</v>
      </c>
      <c r="Y1861" s="0" t="s">
        <v>4159</v>
      </c>
      <c r="Z1861" s="0" t="s">
        <v>4160</v>
      </c>
      <c r="AA1861" s="0" t="s">
        <v>6782</v>
      </c>
      <c r="AB1861" s="0" t="s">
        <v>6742</v>
      </c>
      <c r="AC1861" s="0" t="s">
        <v>4162</v>
      </c>
      <c r="AD1861" s="0" t="s">
        <v>6566</v>
      </c>
      <c r="AE1861" s="0" t="s">
        <v>6567</v>
      </c>
      <c r="AF1861" s="0" t="s">
        <v>6743</v>
      </c>
      <c r="AH1861" s="0" t="s">
        <v>2239</v>
      </c>
      <c r="AL1861" s="0" t="s">
        <v>523</v>
      </c>
    </row>
    <row r="1862" customFormat="false" ht="15" hidden="false" customHeight="false" outlineLevel="0" collapsed="false">
      <c r="A1862" s="0" t="s">
        <v>1147</v>
      </c>
      <c r="B1862" s="0" t="s">
        <v>149</v>
      </c>
      <c r="C1862" s="0" t="s">
        <v>4263</v>
      </c>
      <c r="D1862" s="0" t="n">
        <v>2017</v>
      </c>
      <c r="E1862" s="0" t="s">
        <v>54</v>
      </c>
      <c r="F1862" s="0" t="n">
        <v>28842</v>
      </c>
      <c r="G1862" s="0" t="s">
        <v>3101</v>
      </c>
      <c r="H1862" s="0" t="s">
        <v>3068</v>
      </c>
      <c r="I1862" s="0" t="n">
        <v>28842</v>
      </c>
      <c r="J1862" s="0" t="s">
        <v>6608</v>
      </c>
      <c r="K1862" s="0" t="s">
        <v>2714</v>
      </c>
      <c r="L1862" s="0" t="n">
        <v>2017</v>
      </c>
      <c r="M1862" s="0" t="s">
        <v>2306</v>
      </c>
      <c r="N1862" s="0" t="s">
        <v>158</v>
      </c>
      <c r="O1862" s="0" t="s">
        <v>6783</v>
      </c>
      <c r="P1862" s="0" t="s">
        <v>6784</v>
      </c>
      <c r="Q1862" s="0" t="n">
        <v>94</v>
      </c>
      <c r="R1862" s="0" t="n">
        <v>186</v>
      </c>
      <c r="S1862" s="0" t="n">
        <v>13.4</v>
      </c>
      <c r="T1862" s="0" t="s">
        <v>6785</v>
      </c>
      <c r="U1862" s="0" t="s">
        <v>4396</v>
      </c>
      <c r="V1862" s="0" t="s">
        <v>159</v>
      </c>
      <c r="W1862" s="0" t="s">
        <v>6786</v>
      </c>
      <c r="X1862" s="0" t="s">
        <v>6787</v>
      </c>
      <c r="Y1862" s="0" t="s">
        <v>4159</v>
      </c>
      <c r="Z1862" s="0" t="s">
        <v>4160</v>
      </c>
      <c r="AA1862" s="0" t="s">
        <v>6788</v>
      </c>
      <c r="AB1862" s="0" t="s">
        <v>6789</v>
      </c>
      <c r="AC1862" s="0" t="s">
        <v>4162</v>
      </c>
      <c r="AD1862" s="0" t="s">
        <v>6566</v>
      </c>
      <c r="AE1862" s="0" t="s">
        <v>6567</v>
      </c>
      <c r="AF1862" s="0" t="s">
        <v>6790</v>
      </c>
      <c r="AH1862" s="0" t="s">
        <v>2239</v>
      </c>
      <c r="AL1862" s="0" t="s">
        <v>523</v>
      </c>
    </row>
    <row r="1863" customFormat="false" ht="15" hidden="false" customHeight="false" outlineLevel="0" collapsed="false">
      <c r="A1863" s="0" t="s">
        <v>1154</v>
      </c>
      <c r="B1863" s="0" t="s">
        <v>149</v>
      </c>
      <c r="C1863" s="0" t="s">
        <v>4263</v>
      </c>
      <c r="D1863" s="0" t="n">
        <v>2017</v>
      </c>
      <c r="E1863" s="0" t="s">
        <v>541</v>
      </c>
      <c r="F1863" s="0" t="n">
        <v>30345</v>
      </c>
      <c r="G1863" s="0" t="s">
        <v>3101</v>
      </c>
      <c r="H1863" s="0" t="s">
        <v>3068</v>
      </c>
      <c r="I1863" s="0" t="n">
        <v>30345</v>
      </c>
      <c r="J1863" s="0" t="s">
        <v>6608</v>
      </c>
      <c r="K1863" s="0" t="s">
        <v>2714</v>
      </c>
      <c r="L1863" s="0" t="n">
        <v>2017</v>
      </c>
      <c r="M1863" s="0" t="s">
        <v>2306</v>
      </c>
      <c r="N1863" s="0" t="s">
        <v>158</v>
      </c>
      <c r="O1863" s="0" t="s">
        <v>6783</v>
      </c>
      <c r="P1863" s="0" t="s">
        <v>6784</v>
      </c>
      <c r="Q1863" s="0" t="n">
        <v>94</v>
      </c>
      <c r="R1863" s="0" t="n">
        <v>186</v>
      </c>
      <c r="S1863" s="0" t="n">
        <v>13.4</v>
      </c>
      <c r="T1863" s="0" t="s">
        <v>6785</v>
      </c>
      <c r="U1863" s="0" t="s">
        <v>4396</v>
      </c>
      <c r="V1863" s="0" t="s">
        <v>159</v>
      </c>
      <c r="W1863" s="0" t="s">
        <v>6791</v>
      </c>
      <c r="X1863" s="0" t="s">
        <v>6787</v>
      </c>
      <c r="Y1863" s="0" t="s">
        <v>4159</v>
      </c>
      <c r="Z1863" s="0" t="s">
        <v>4160</v>
      </c>
      <c r="AA1863" s="0" t="s">
        <v>6792</v>
      </c>
      <c r="AB1863" s="0" t="s">
        <v>6789</v>
      </c>
      <c r="AC1863" s="0" t="s">
        <v>4162</v>
      </c>
      <c r="AD1863" s="0" t="s">
        <v>6566</v>
      </c>
      <c r="AE1863" s="0" t="s">
        <v>6567</v>
      </c>
      <c r="AF1863" s="0" t="s">
        <v>6790</v>
      </c>
      <c r="AH1863" s="0" t="s">
        <v>2239</v>
      </c>
      <c r="AL1863" s="0" t="s">
        <v>523</v>
      </c>
    </row>
    <row r="1864" customFormat="false" ht="15" hidden="false" customHeight="false" outlineLevel="0" collapsed="false">
      <c r="A1864" s="0" t="s">
        <v>1153</v>
      </c>
      <c r="B1864" s="0" t="s">
        <v>149</v>
      </c>
      <c r="C1864" s="0" t="s">
        <v>4263</v>
      </c>
      <c r="D1864" s="0" t="n">
        <v>2017</v>
      </c>
      <c r="E1864" s="0" t="s">
        <v>63</v>
      </c>
      <c r="F1864" s="0" t="n">
        <v>-25577</v>
      </c>
      <c r="G1864" s="0" t="s">
        <v>3101</v>
      </c>
      <c r="H1864" s="0" t="s">
        <v>3068</v>
      </c>
      <c r="I1864" s="0" t="n">
        <v>25577</v>
      </c>
      <c r="J1864" s="0" t="s">
        <v>6608</v>
      </c>
      <c r="K1864" s="0" t="s">
        <v>2714</v>
      </c>
      <c r="L1864" s="0" t="n">
        <v>2017</v>
      </c>
      <c r="M1864" s="0" t="s">
        <v>2306</v>
      </c>
      <c r="N1864" s="0" t="s">
        <v>158</v>
      </c>
      <c r="O1864" s="0" t="s">
        <v>6783</v>
      </c>
      <c r="P1864" s="0" t="s">
        <v>6784</v>
      </c>
      <c r="Q1864" s="0" t="n">
        <v>94</v>
      </c>
      <c r="R1864" s="0" t="n">
        <v>186</v>
      </c>
      <c r="S1864" s="0" t="n">
        <v>13.4</v>
      </c>
      <c r="T1864" s="0" t="s">
        <v>6785</v>
      </c>
      <c r="U1864" s="0" t="s">
        <v>4396</v>
      </c>
      <c r="V1864" s="0" t="s">
        <v>159</v>
      </c>
      <c r="W1864" s="0" t="s">
        <v>6793</v>
      </c>
      <c r="X1864" s="0" t="s">
        <v>6787</v>
      </c>
      <c r="Y1864" s="0" t="s">
        <v>4159</v>
      </c>
      <c r="Z1864" s="0" t="s">
        <v>4160</v>
      </c>
      <c r="AA1864" s="0" t="s">
        <v>6794</v>
      </c>
      <c r="AB1864" s="0" t="s">
        <v>6789</v>
      </c>
      <c r="AC1864" s="0" t="s">
        <v>4162</v>
      </c>
      <c r="AD1864" s="0" t="s">
        <v>6566</v>
      </c>
      <c r="AE1864" s="0" t="s">
        <v>6567</v>
      </c>
      <c r="AF1864" s="0" t="s">
        <v>6790</v>
      </c>
      <c r="AH1864" s="0" t="s">
        <v>4174</v>
      </c>
      <c r="AI1864" s="0" t="s">
        <v>4974</v>
      </c>
      <c r="AL1864" s="0" t="s">
        <v>523</v>
      </c>
    </row>
    <row r="1865" customFormat="false" ht="15" hidden="false" customHeight="false" outlineLevel="0" collapsed="false">
      <c r="A1865" s="0" t="s">
        <v>1152</v>
      </c>
      <c r="B1865" s="0" t="s">
        <v>149</v>
      </c>
      <c r="C1865" s="0" t="s">
        <v>4263</v>
      </c>
      <c r="D1865" s="0" t="n">
        <v>2017</v>
      </c>
      <c r="E1865" s="0" t="s">
        <v>62</v>
      </c>
      <c r="F1865" s="0" t="n">
        <v>372088</v>
      </c>
      <c r="G1865" s="0" t="s">
        <v>3101</v>
      </c>
      <c r="H1865" s="0" t="s">
        <v>3068</v>
      </c>
      <c r="I1865" s="0" t="n">
        <v>372088</v>
      </c>
      <c r="J1865" s="0" t="s">
        <v>6608</v>
      </c>
      <c r="K1865" s="0" t="s">
        <v>2714</v>
      </c>
      <c r="L1865" s="0" t="n">
        <v>2017</v>
      </c>
      <c r="M1865" s="0" t="s">
        <v>2306</v>
      </c>
      <c r="N1865" s="0" t="s">
        <v>158</v>
      </c>
      <c r="O1865" s="0" t="s">
        <v>6783</v>
      </c>
      <c r="P1865" s="0" t="s">
        <v>6784</v>
      </c>
      <c r="Q1865" s="0" t="n">
        <v>94</v>
      </c>
      <c r="R1865" s="0" t="n">
        <v>186</v>
      </c>
      <c r="S1865" s="0" t="n">
        <v>13.4</v>
      </c>
      <c r="T1865" s="0" t="s">
        <v>6785</v>
      </c>
      <c r="U1865" s="0" t="s">
        <v>4396</v>
      </c>
      <c r="V1865" s="0" t="s">
        <v>159</v>
      </c>
      <c r="W1865" s="0" t="s">
        <v>6795</v>
      </c>
      <c r="X1865" s="0" t="s">
        <v>6787</v>
      </c>
      <c r="Y1865" s="0" t="s">
        <v>4159</v>
      </c>
      <c r="Z1865" s="0" t="s">
        <v>4160</v>
      </c>
      <c r="AA1865" s="0" t="s">
        <v>6796</v>
      </c>
      <c r="AB1865" s="0" t="s">
        <v>6789</v>
      </c>
      <c r="AC1865" s="0" t="s">
        <v>4162</v>
      </c>
      <c r="AD1865" s="0" t="s">
        <v>6566</v>
      </c>
      <c r="AE1865" s="0" t="s">
        <v>6567</v>
      </c>
      <c r="AF1865" s="0" t="s">
        <v>6790</v>
      </c>
      <c r="AH1865" s="0" t="s">
        <v>2239</v>
      </c>
      <c r="AL1865" s="0" t="s">
        <v>523</v>
      </c>
    </row>
    <row r="1866" customFormat="false" ht="15" hidden="false" customHeight="false" outlineLevel="0" collapsed="false">
      <c r="A1866" s="0" t="s">
        <v>1148</v>
      </c>
      <c r="B1866" s="0" t="s">
        <v>149</v>
      </c>
      <c r="C1866" s="0" t="s">
        <v>4263</v>
      </c>
      <c r="D1866" s="0" t="n">
        <v>2017</v>
      </c>
      <c r="E1866" s="0" t="s">
        <v>55</v>
      </c>
      <c r="F1866" s="0" t="n">
        <v>1332669</v>
      </c>
      <c r="G1866" s="0" t="s">
        <v>3101</v>
      </c>
      <c r="H1866" s="0" t="s">
        <v>3068</v>
      </c>
      <c r="I1866" s="0" t="n">
        <v>1332669</v>
      </c>
      <c r="J1866" s="0" t="s">
        <v>6608</v>
      </c>
      <c r="K1866" s="0" t="s">
        <v>2714</v>
      </c>
      <c r="L1866" s="0" t="n">
        <v>2017</v>
      </c>
      <c r="M1866" s="0" t="s">
        <v>2306</v>
      </c>
      <c r="N1866" s="0" t="s">
        <v>158</v>
      </c>
      <c r="O1866" s="0" t="s">
        <v>6783</v>
      </c>
      <c r="P1866" s="0" t="s">
        <v>6784</v>
      </c>
      <c r="Q1866" s="0" t="n">
        <v>94</v>
      </c>
      <c r="R1866" s="0" t="n">
        <v>186</v>
      </c>
      <c r="S1866" s="0" t="n">
        <v>13.4</v>
      </c>
      <c r="T1866" s="0" t="s">
        <v>6785</v>
      </c>
      <c r="U1866" s="0" t="s">
        <v>4396</v>
      </c>
      <c r="V1866" s="0" t="s">
        <v>159</v>
      </c>
      <c r="W1866" s="0" t="s">
        <v>6797</v>
      </c>
      <c r="X1866" s="0" t="s">
        <v>6787</v>
      </c>
      <c r="Y1866" s="0" t="s">
        <v>4159</v>
      </c>
      <c r="Z1866" s="0" t="s">
        <v>4160</v>
      </c>
      <c r="AA1866" s="0" t="s">
        <v>6798</v>
      </c>
      <c r="AB1866" s="0" t="s">
        <v>6789</v>
      </c>
      <c r="AC1866" s="0" t="s">
        <v>4162</v>
      </c>
      <c r="AD1866" s="0" t="s">
        <v>6566</v>
      </c>
      <c r="AE1866" s="0" t="s">
        <v>6567</v>
      </c>
      <c r="AF1866" s="0" t="s">
        <v>6790</v>
      </c>
      <c r="AH1866" s="0" t="s">
        <v>2239</v>
      </c>
      <c r="AL1866" s="0" t="s">
        <v>523</v>
      </c>
    </row>
    <row r="1867" customFormat="false" ht="15" hidden="false" customHeight="false" outlineLevel="0" collapsed="false">
      <c r="A1867" s="0" t="s">
        <v>1151</v>
      </c>
      <c r="B1867" s="0" t="s">
        <v>149</v>
      </c>
      <c r="C1867" s="0" t="s">
        <v>4263</v>
      </c>
      <c r="D1867" s="0" t="n">
        <v>2017</v>
      </c>
      <c r="E1867" s="0" t="s">
        <v>59</v>
      </c>
      <c r="F1867" s="0" t="n">
        <v>993759</v>
      </c>
      <c r="G1867" s="0" t="s">
        <v>3101</v>
      </c>
      <c r="H1867" s="0" t="s">
        <v>3068</v>
      </c>
      <c r="I1867" s="0" t="n">
        <v>993759</v>
      </c>
      <c r="J1867" s="0" t="s">
        <v>6608</v>
      </c>
      <c r="K1867" s="0" t="s">
        <v>2714</v>
      </c>
      <c r="L1867" s="0" t="n">
        <v>2017</v>
      </c>
      <c r="M1867" s="0" t="s">
        <v>2306</v>
      </c>
      <c r="N1867" s="0" t="s">
        <v>158</v>
      </c>
      <c r="O1867" s="0" t="s">
        <v>6783</v>
      </c>
      <c r="P1867" s="0" t="s">
        <v>6784</v>
      </c>
      <c r="Q1867" s="0" t="n">
        <v>94</v>
      </c>
      <c r="R1867" s="0" t="n">
        <v>186</v>
      </c>
      <c r="S1867" s="0" t="n">
        <v>13.4</v>
      </c>
      <c r="T1867" s="0" t="s">
        <v>6799</v>
      </c>
      <c r="U1867" s="0" t="s">
        <v>6800</v>
      </c>
      <c r="V1867" s="0" t="s">
        <v>159</v>
      </c>
      <c r="W1867" s="0" t="s">
        <v>6801</v>
      </c>
      <c r="X1867" s="0" t="s">
        <v>6787</v>
      </c>
      <c r="Y1867" s="0" t="s">
        <v>4159</v>
      </c>
      <c r="Z1867" s="0" t="s">
        <v>4160</v>
      </c>
      <c r="AA1867" s="0" t="s">
        <v>6802</v>
      </c>
      <c r="AB1867" s="0" t="s">
        <v>6789</v>
      </c>
      <c r="AC1867" s="0" t="s">
        <v>4162</v>
      </c>
      <c r="AD1867" s="0" t="s">
        <v>6566</v>
      </c>
      <c r="AE1867" s="0" t="s">
        <v>6567</v>
      </c>
      <c r="AF1867" s="0" t="s">
        <v>6790</v>
      </c>
      <c r="AH1867" s="0" t="s">
        <v>2239</v>
      </c>
      <c r="AL1867" s="0" t="s">
        <v>523</v>
      </c>
    </row>
    <row r="1868" customFormat="false" ht="15" hidden="false" customHeight="false" outlineLevel="0" collapsed="false">
      <c r="A1868" s="0" t="s">
        <v>1150</v>
      </c>
      <c r="B1868" s="0" t="s">
        <v>149</v>
      </c>
      <c r="C1868" s="0" t="s">
        <v>4263</v>
      </c>
      <c r="D1868" s="0" t="n">
        <v>2017</v>
      </c>
      <c r="E1868" s="0" t="s">
        <v>57</v>
      </c>
      <c r="F1868" s="0" t="n">
        <v>138700</v>
      </c>
      <c r="G1868" s="0" t="s">
        <v>3101</v>
      </c>
      <c r="H1868" s="0" t="s">
        <v>3068</v>
      </c>
      <c r="I1868" s="0" t="n">
        <v>138700</v>
      </c>
      <c r="J1868" s="0" t="s">
        <v>6608</v>
      </c>
      <c r="K1868" s="0" t="s">
        <v>2714</v>
      </c>
      <c r="L1868" s="0" t="n">
        <v>2017</v>
      </c>
      <c r="M1868" s="0" t="s">
        <v>2306</v>
      </c>
      <c r="N1868" s="0" t="s">
        <v>158</v>
      </c>
      <c r="O1868" s="0" t="s">
        <v>6783</v>
      </c>
      <c r="P1868" s="0" t="s">
        <v>6784</v>
      </c>
      <c r="Q1868" s="0" t="n">
        <v>95</v>
      </c>
      <c r="R1868" s="0" t="n">
        <v>188</v>
      </c>
      <c r="S1868" s="0" t="n">
        <v>13.4</v>
      </c>
      <c r="T1868" s="0" t="s">
        <v>6785</v>
      </c>
      <c r="U1868" s="0" t="s">
        <v>4396</v>
      </c>
      <c r="V1868" s="0" t="s">
        <v>159</v>
      </c>
      <c r="W1868" s="0" t="s">
        <v>6803</v>
      </c>
      <c r="X1868" s="0" t="s">
        <v>6804</v>
      </c>
      <c r="Y1868" s="0" t="s">
        <v>4159</v>
      </c>
      <c r="Z1868" s="0" t="s">
        <v>4160</v>
      </c>
      <c r="AA1868" s="0" t="s">
        <v>6805</v>
      </c>
      <c r="AB1868" s="0" t="s">
        <v>6789</v>
      </c>
      <c r="AC1868" s="0" t="s">
        <v>4162</v>
      </c>
      <c r="AD1868" s="0" t="s">
        <v>6566</v>
      </c>
      <c r="AE1868" s="0" t="s">
        <v>6567</v>
      </c>
      <c r="AF1868" s="0" t="s">
        <v>6790</v>
      </c>
      <c r="AH1868" s="0" t="s">
        <v>2239</v>
      </c>
      <c r="AL1868" s="0" t="s">
        <v>523</v>
      </c>
    </row>
    <row r="1869" customFormat="false" ht="15" hidden="false" customHeight="false" outlineLevel="0" collapsed="false">
      <c r="A1869" s="0" t="s">
        <v>6806</v>
      </c>
      <c r="B1869" s="0" t="s">
        <v>149</v>
      </c>
      <c r="C1869" s="0" t="s">
        <v>4263</v>
      </c>
      <c r="D1869" s="0" t="n">
        <v>2017</v>
      </c>
      <c r="E1869" s="0" t="s">
        <v>6658</v>
      </c>
      <c r="F1869" s="0" t="n">
        <v>2592</v>
      </c>
      <c r="G1869" s="0" t="s">
        <v>3101</v>
      </c>
      <c r="H1869" s="0" t="s">
        <v>3068</v>
      </c>
      <c r="I1869" s="0" t="n">
        <v>2592</v>
      </c>
      <c r="J1869" s="0" t="s">
        <v>6608</v>
      </c>
      <c r="K1869" s="0" t="s">
        <v>2714</v>
      </c>
      <c r="L1869" s="0" t="n">
        <v>2017</v>
      </c>
      <c r="M1869" s="0" t="s">
        <v>2306</v>
      </c>
      <c r="N1869" s="0" t="s">
        <v>158</v>
      </c>
      <c r="O1869" s="0" t="s">
        <v>6783</v>
      </c>
      <c r="P1869" s="0" t="s">
        <v>6784</v>
      </c>
      <c r="Q1869" s="0" t="n">
        <v>95</v>
      </c>
      <c r="R1869" s="0" t="n">
        <v>188</v>
      </c>
      <c r="S1869" s="0" t="n">
        <v>13.4</v>
      </c>
      <c r="T1869" s="0" t="s">
        <v>6785</v>
      </c>
      <c r="U1869" s="0" t="s">
        <v>4396</v>
      </c>
      <c r="V1869" s="0" t="s">
        <v>159</v>
      </c>
      <c r="W1869" s="0" t="s">
        <v>6807</v>
      </c>
      <c r="X1869" s="0" t="s">
        <v>6804</v>
      </c>
      <c r="Y1869" s="0" t="s">
        <v>4159</v>
      </c>
      <c r="Z1869" s="0" t="s">
        <v>4160</v>
      </c>
      <c r="AA1869" s="0" t="s">
        <v>6808</v>
      </c>
      <c r="AB1869" s="0" t="s">
        <v>6789</v>
      </c>
      <c r="AC1869" s="0" t="s">
        <v>4162</v>
      </c>
      <c r="AD1869" s="0" t="s">
        <v>6566</v>
      </c>
      <c r="AE1869" s="0" t="s">
        <v>6567</v>
      </c>
      <c r="AF1869" s="0" t="s">
        <v>6790</v>
      </c>
      <c r="AH1869" s="0" t="s">
        <v>2239</v>
      </c>
      <c r="AL1869" s="0" t="s">
        <v>523</v>
      </c>
    </row>
    <row r="1870" customFormat="false" ht="15" hidden="false" customHeight="false" outlineLevel="0" collapsed="false">
      <c r="A1870" s="0" t="s">
        <v>6809</v>
      </c>
      <c r="B1870" s="0" t="s">
        <v>149</v>
      </c>
      <c r="C1870" s="0" t="s">
        <v>4263</v>
      </c>
      <c r="D1870" s="0" t="n">
        <v>2017</v>
      </c>
      <c r="E1870" s="0" t="s">
        <v>6662</v>
      </c>
      <c r="F1870" s="0" t="n">
        <v>62449</v>
      </c>
      <c r="G1870" s="0" t="s">
        <v>3101</v>
      </c>
      <c r="H1870" s="0" t="s">
        <v>3068</v>
      </c>
      <c r="I1870" s="0" t="n">
        <v>62449</v>
      </c>
      <c r="J1870" s="0" t="s">
        <v>6608</v>
      </c>
      <c r="K1870" s="0" t="s">
        <v>2714</v>
      </c>
      <c r="L1870" s="0" t="n">
        <v>2017</v>
      </c>
      <c r="M1870" s="0" t="s">
        <v>2306</v>
      </c>
      <c r="N1870" s="0" t="s">
        <v>158</v>
      </c>
      <c r="O1870" s="0" t="s">
        <v>6783</v>
      </c>
      <c r="P1870" s="0" t="s">
        <v>6784</v>
      </c>
      <c r="Q1870" s="0" t="n">
        <v>95</v>
      </c>
      <c r="R1870" s="0" t="n">
        <v>188</v>
      </c>
      <c r="S1870" s="0" t="n">
        <v>13.4</v>
      </c>
      <c r="T1870" s="0" t="s">
        <v>6785</v>
      </c>
      <c r="U1870" s="0" t="s">
        <v>4396</v>
      </c>
      <c r="V1870" s="0" t="s">
        <v>159</v>
      </c>
      <c r="W1870" s="0" t="s">
        <v>6810</v>
      </c>
      <c r="X1870" s="0" t="s">
        <v>6804</v>
      </c>
      <c r="Y1870" s="0" t="s">
        <v>4159</v>
      </c>
      <c r="Z1870" s="0" t="s">
        <v>4160</v>
      </c>
      <c r="AA1870" s="0" t="s">
        <v>6811</v>
      </c>
      <c r="AB1870" s="0" t="s">
        <v>6789</v>
      </c>
      <c r="AC1870" s="0" t="s">
        <v>4162</v>
      </c>
      <c r="AD1870" s="0" t="s">
        <v>6566</v>
      </c>
      <c r="AE1870" s="0" t="s">
        <v>6567</v>
      </c>
      <c r="AF1870" s="0" t="s">
        <v>6790</v>
      </c>
      <c r="AH1870" s="0" t="s">
        <v>2239</v>
      </c>
      <c r="AL1870" s="0" t="s">
        <v>523</v>
      </c>
    </row>
    <row r="1871" customFormat="false" ht="15" hidden="false" customHeight="false" outlineLevel="0" collapsed="false">
      <c r="A1871" s="0" t="s">
        <v>6812</v>
      </c>
      <c r="B1871" s="0" t="s">
        <v>149</v>
      </c>
      <c r="C1871" s="0" t="s">
        <v>4263</v>
      </c>
      <c r="D1871" s="0" t="n">
        <v>2017</v>
      </c>
      <c r="E1871" s="0" t="s">
        <v>6666</v>
      </c>
      <c r="F1871" s="0" t="n">
        <v>61721</v>
      </c>
      <c r="G1871" s="0" t="s">
        <v>3101</v>
      </c>
      <c r="H1871" s="0" t="s">
        <v>3068</v>
      </c>
      <c r="I1871" s="0" t="n">
        <v>61721</v>
      </c>
      <c r="J1871" s="0" t="s">
        <v>6608</v>
      </c>
      <c r="K1871" s="0" t="s">
        <v>2714</v>
      </c>
      <c r="L1871" s="0" t="n">
        <v>2017</v>
      </c>
      <c r="M1871" s="0" t="s">
        <v>2306</v>
      </c>
      <c r="N1871" s="0" t="s">
        <v>158</v>
      </c>
      <c r="O1871" s="0" t="s">
        <v>6783</v>
      </c>
      <c r="P1871" s="0" t="s">
        <v>6784</v>
      </c>
      <c r="Q1871" s="0" t="n">
        <v>95</v>
      </c>
      <c r="R1871" s="0" t="n">
        <v>188</v>
      </c>
      <c r="S1871" s="0" t="n">
        <v>13.4</v>
      </c>
      <c r="T1871" s="0" t="s">
        <v>6785</v>
      </c>
      <c r="U1871" s="0" t="s">
        <v>4396</v>
      </c>
      <c r="V1871" s="0" t="s">
        <v>159</v>
      </c>
      <c r="W1871" s="0" t="s">
        <v>6813</v>
      </c>
      <c r="X1871" s="0" t="s">
        <v>6804</v>
      </c>
      <c r="Y1871" s="0" t="s">
        <v>4159</v>
      </c>
      <c r="Z1871" s="0" t="s">
        <v>4160</v>
      </c>
      <c r="AA1871" s="0" t="s">
        <v>6814</v>
      </c>
      <c r="AB1871" s="0" t="s">
        <v>6789</v>
      </c>
      <c r="AC1871" s="0" t="s">
        <v>4162</v>
      </c>
      <c r="AD1871" s="0" t="s">
        <v>6566</v>
      </c>
      <c r="AE1871" s="0" t="s">
        <v>6567</v>
      </c>
      <c r="AF1871" s="0" t="s">
        <v>6790</v>
      </c>
      <c r="AH1871" s="0" t="s">
        <v>2239</v>
      </c>
      <c r="AL1871" s="0" t="s">
        <v>523</v>
      </c>
    </row>
    <row r="1872" customFormat="false" ht="15" hidden="false" customHeight="false" outlineLevel="0" collapsed="false">
      <c r="A1872" s="0" t="s">
        <v>6815</v>
      </c>
      <c r="B1872" s="0" t="s">
        <v>149</v>
      </c>
      <c r="C1872" s="0" t="s">
        <v>4263</v>
      </c>
      <c r="D1872" s="0" t="n">
        <v>2017</v>
      </c>
      <c r="E1872" s="0" t="s">
        <v>6670</v>
      </c>
      <c r="F1872" s="0" t="n">
        <v>775262</v>
      </c>
      <c r="G1872" s="0" t="s">
        <v>3101</v>
      </c>
      <c r="H1872" s="0" t="s">
        <v>3068</v>
      </c>
      <c r="I1872" s="0" t="n">
        <v>775262</v>
      </c>
      <c r="J1872" s="0" t="s">
        <v>6608</v>
      </c>
      <c r="K1872" s="0" t="s">
        <v>2714</v>
      </c>
      <c r="L1872" s="0" t="n">
        <v>2017</v>
      </c>
      <c r="M1872" s="0" t="s">
        <v>2306</v>
      </c>
      <c r="N1872" s="0" t="s">
        <v>158</v>
      </c>
      <c r="O1872" s="0" t="s">
        <v>6783</v>
      </c>
      <c r="P1872" s="0" t="s">
        <v>6784</v>
      </c>
      <c r="Q1872" s="0" t="n">
        <v>95</v>
      </c>
      <c r="R1872" s="0" t="n">
        <v>188</v>
      </c>
      <c r="S1872" s="0" t="n">
        <v>13.4</v>
      </c>
      <c r="T1872" s="0" t="s">
        <v>6785</v>
      </c>
      <c r="U1872" s="0" t="s">
        <v>4396</v>
      </c>
      <c r="V1872" s="0" t="s">
        <v>159</v>
      </c>
      <c r="W1872" s="0" t="s">
        <v>6816</v>
      </c>
      <c r="X1872" s="0" t="s">
        <v>6804</v>
      </c>
      <c r="Y1872" s="0" t="s">
        <v>4159</v>
      </c>
      <c r="Z1872" s="0" t="s">
        <v>4160</v>
      </c>
      <c r="AA1872" s="0" t="s">
        <v>6817</v>
      </c>
      <c r="AB1872" s="0" t="s">
        <v>6789</v>
      </c>
      <c r="AC1872" s="0" t="s">
        <v>4162</v>
      </c>
      <c r="AD1872" s="0" t="s">
        <v>6566</v>
      </c>
      <c r="AE1872" s="0" t="s">
        <v>6567</v>
      </c>
      <c r="AF1872" s="0" t="s">
        <v>6790</v>
      </c>
      <c r="AH1872" s="0" t="s">
        <v>2239</v>
      </c>
      <c r="AL1872" s="0" t="s">
        <v>523</v>
      </c>
    </row>
    <row r="1873" customFormat="false" ht="15" hidden="false" customHeight="false" outlineLevel="0" collapsed="false">
      <c r="A1873" s="0" t="s">
        <v>6818</v>
      </c>
      <c r="B1873" s="0" t="s">
        <v>149</v>
      </c>
      <c r="C1873" s="0" t="s">
        <v>4263</v>
      </c>
      <c r="D1873" s="0" t="n">
        <v>2017</v>
      </c>
      <c r="E1873" s="0" t="s">
        <v>6674</v>
      </c>
      <c r="F1873" s="0" t="n">
        <v>74892</v>
      </c>
      <c r="G1873" s="0" t="s">
        <v>3101</v>
      </c>
      <c r="H1873" s="0" t="s">
        <v>3068</v>
      </c>
      <c r="I1873" s="0" t="n">
        <v>74892</v>
      </c>
      <c r="J1873" s="0" t="s">
        <v>6608</v>
      </c>
      <c r="K1873" s="0" t="s">
        <v>2714</v>
      </c>
      <c r="L1873" s="0" t="n">
        <v>2017</v>
      </c>
      <c r="M1873" s="0" t="s">
        <v>2306</v>
      </c>
      <c r="N1873" s="0" t="s">
        <v>158</v>
      </c>
      <c r="O1873" s="0" t="s">
        <v>6783</v>
      </c>
      <c r="P1873" s="0" t="s">
        <v>6784</v>
      </c>
      <c r="Q1873" s="0" t="n">
        <v>95</v>
      </c>
      <c r="R1873" s="0" t="n">
        <v>188</v>
      </c>
      <c r="S1873" s="0" t="n">
        <v>13.4</v>
      </c>
      <c r="T1873" s="0" t="s">
        <v>6785</v>
      </c>
      <c r="U1873" s="0" t="s">
        <v>4396</v>
      </c>
      <c r="V1873" s="0" t="s">
        <v>159</v>
      </c>
      <c r="W1873" s="0" t="s">
        <v>6819</v>
      </c>
      <c r="X1873" s="0" t="s">
        <v>6804</v>
      </c>
      <c r="Y1873" s="0" t="s">
        <v>4159</v>
      </c>
      <c r="Z1873" s="0" t="s">
        <v>4160</v>
      </c>
      <c r="AA1873" s="0" t="s">
        <v>6820</v>
      </c>
      <c r="AB1873" s="0" t="s">
        <v>6789</v>
      </c>
      <c r="AC1873" s="0" t="s">
        <v>4162</v>
      </c>
      <c r="AD1873" s="0" t="s">
        <v>6566</v>
      </c>
      <c r="AE1873" s="0" t="s">
        <v>6567</v>
      </c>
      <c r="AF1873" s="0" t="s">
        <v>6790</v>
      </c>
      <c r="AH1873" s="0" t="s">
        <v>2239</v>
      </c>
      <c r="AL1873" s="0" t="s">
        <v>523</v>
      </c>
    </row>
    <row r="1874" customFormat="false" ht="15" hidden="false" customHeight="false" outlineLevel="0" collapsed="false">
      <c r="A1874" s="0" t="s">
        <v>6821</v>
      </c>
      <c r="B1874" s="0" t="s">
        <v>149</v>
      </c>
      <c r="C1874" s="0" t="s">
        <v>4263</v>
      </c>
      <c r="D1874" s="0" t="n">
        <v>2017</v>
      </c>
      <c r="E1874" s="0" t="s">
        <v>6678</v>
      </c>
      <c r="F1874" s="0" t="n">
        <v>29046</v>
      </c>
      <c r="G1874" s="0" t="s">
        <v>3101</v>
      </c>
      <c r="H1874" s="0" t="s">
        <v>3068</v>
      </c>
      <c r="I1874" s="0" t="n">
        <v>29046</v>
      </c>
      <c r="J1874" s="0" t="s">
        <v>6608</v>
      </c>
      <c r="K1874" s="0" t="s">
        <v>2714</v>
      </c>
      <c r="L1874" s="0" t="n">
        <v>2017</v>
      </c>
      <c r="M1874" s="0" t="s">
        <v>2306</v>
      </c>
      <c r="N1874" s="0" t="s">
        <v>158</v>
      </c>
      <c r="O1874" s="0" t="s">
        <v>6783</v>
      </c>
      <c r="P1874" s="0" t="s">
        <v>6784</v>
      </c>
      <c r="Q1874" s="0" t="n">
        <v>95</v>
      </c>
      <c r="R1874" s="0" t="n">
        <v>188</v>
      </c>
      <c r="S1874" s="0" t="n">
        <v>13.4</v>
      </c>
      <c r="T1874" s="0" t="s">
        <v>6785</v>
      </c>
      <c r="U1874" s="0" t="s">
        <v>4396</v>
      </c>
      <c r="V1874" s="0" t="s">
        <v>159</v>
      </c>
      <c r="W1874" s="0" t="s">
        <v>6822</v>
      </c>
      <c r="X1874" s="0" t="s">
        <v>6804</v>
      </c>
      <c r="Y1874" s="0" t="s">
        <v>4159</v>
      </c>
      <c r="Z1874" s="0" t="s">
        <v>4160</v>
      </c>
      <c r="AA1874" s="0" t="s">
        <v>6823</v>
      </c>
      <c r="AB1874" s="0" t="s">
        <v>6789</v>
      </c>
      <c r="AC1874" s="0" t="s">
        <v>4162</v>
      </c>
      <c r="AD1874" s="0" t="s">
        <v>6566</v>
      </c>
      <c r="AE1874" s="0" t="s">
        <v>6567</v>
      </c>
      <c r="AF1874" s="0" t="s">
        <v>6790</v>
      </c>
      <c r="AH1874" s="0" t="s">
        <v>2239</v>
      </c>
      <c r="AL1874" s="0" t="s">
        <v>523</v>
      </c>
    </row>
    <row r="1875" customFormat="false" ht="15" hidden="false" customHeight="false" outlineLevel="0" collapsed="false">
      <c r="A1875" s="0" t="s">
        <v>6824</v>
      </c>
      <c r="B1875" s="0" t="s">
        <v>149</v>
      </c>
      <c r="C1875" s="0" t="s">
        <v>4263</v>
      </c>
      <c r="D1875" s="0" t="n">
        <v>2017</v>
      </c>
      <c r="E1875" s="0" t="s">
        <v>6682</v>
      </c>
      <c r="F1875" s="0" t="n">
        <v>2412</v>
      </c>
      <c r="G1875" s="0" t="s">
        <v>3101</v>
      </c>
      <c r="H1875" s="0" t="s">
        <v>3068</v>
      </c>
      <c r="I1875" s="0" t="n">
        <v>2412</v>
      </c>
      <c r="J1875" s="0" t="s">
        <v>6608</v>
      </c>
      <c r="K1875" s="0" t="s">
        <v>2714</v>
      </c>
      <c r="L1875" s="0" t="n">
        <v>2017</v>
      </c>
      <c r="M1875" s="0" t="s">
        <v>2306</v>
      </c>
      <c r="N1875" s="0" t="s">
        <v>158</v>
      </c>
      <c r="O1875" s="0" t="s">
        <v>6783</v>
      </c>
      <c r="P1875" s="0" t="s">
        <v>6784</v>
      </c>
      <c r="Q1875" s="0" t="n">
        <v>95</v>
      </c>
      <c r="R1875" s="0" t="n">
        <v>188</v>
      </c>
      <c r="S1875" s="0" t="n">
        <v>13.4</v>
      </c>
      <c r="T1875" s="0" t="s">
        <v>6785</v>
      </c>
      <c r="U1875" s="0" t="s">
        <v>4396</v>
      </c>
      <c r="V1875" s="0" t="s">
        <v>159</v>
      </c>
      <c r="W1875" s="0" t="s">
        <v>6825</v>
      </c>
      <c r="X1875" s="0" t="s">
        <v>6804</v>
      </c>
      <c r="Y1875" s="0" t="s">
        <v>4159</v>
      </c>
      <c r="Z1875" s="0" t="s">
        <v>4160</v>
      </c>
      <c r="AA1875" s="0" t="s">
        <v>6826</v>
      </c>
      <c r="AB1875" s="0" t="s">
        <v>6789</v>
      </c>
      <c r="AC1875" s="0" t="s">
        <v>4162</v>
      </c>
      <c r="AD1875" s="0" t="s">
        <v>6566</v>
      </c>
      <c r="AE1875" s="0" t="s">
        <v>6567</v>
      </c>
      <c r="AF1875" s="0" t="s">
        <v>6790</v>
      </c>
      <c r="AH1875" s="0" t="s">
        <v>2239</v>
      </c>
      <c r="AL1875" s="0" t="s">
        <v>523</v>
      </c>
    </row>
    <row r="1876" customFormat="false" ht="15" hidden="false" customHeight="false" outlineLevel="0" collapsed="false">
      <c r="A1876" s="0" t="s">
        <v>6827</v>
      </c>
      <c r="B1876" s="0" t="s">
        <v>149</v>
      </c>
      <c r="C1876" s="0" t="s">
        <v>4263</v>
      </c>
      <c r="D1876" s="0" t="n">
        <v>2017</v>
      </c>
      <c r="E1876" s="0" t="s">
        <v>6686</v>
      </c>
      <c r="F1876" s="0" t="n">
        <v>185595</v>
      </c>
      <c r="G1876" s="0" t="s">
        <v>3101</v>
      </c>
      <c r="H1876" s="0" t="s">
        <v>3068</v>
      </c>
      <c r="I1876" s="0" t="n">
        <v>185595</v>
      </c>
      <c r="J1876" s="0" t="s">
        <v>6608</v>
      </c>
      <c r="K1876" s="0" t="s">
        <v>2714</v>
      </c>
      <c r="L1876" s="0" t="n">
        <v>2017</v>
      </c>
      <c r="M1876" s="0" t="s">
        <v>2306</v>
      </c>
      <c r="N1876" s="0" t="s">
        <v>158</v>
      </c>
      <c r="O1876" s="0" t="s">
        <v>6783</v>
      </c>
      <c r="P1876" s="0" t="s">
        <v>6784</v>
      </c>
      <c r="Q1876" s="0" t="n">
        <v>95</v>
      </c>
      <c r="R1876" s="0" t="n">
        <v>188</v>
      </c>
      <c r="S1876" s="0" t="n">
        <v>13.4</v>
      </c>
      <c r="T1876" s="0" t="s">
        <v>6785</v>
      </c>
      <c r="U1876" s="0" t="s">
        <v>4396</v>
      </c>
      <c r="V1876" s="0" t="s">
        <v>159</v>
      </c>
      <c r="W1876" s="0" t="s">
        <v>6828</v>
      </c>
      <c r="X1876" s="0" t="s">
        <v>6804</v>
      </c>
      <c r="Y1876" s="0" t="s">
        <v>4159</v>
      </c>
      <c r="Z1876" s="0" t="s">
        <v>4160</v>
      </c>
      <c r="AA1876" s="0" t="s">
        <v>6829</v>
      </c>
      <c r="AB1876" s="0" t="s">
        <v>6789</v>
      </c>
      <c r="AC1876" s="0" t="s">
        <v>4162</v>
      </c>
      <c r="AD1876" s="0" t="s">
        <v>6566</v>
      </c>
      <c r="AE1876" s="0" t="s">
        <v>6567</v>
      </c>
      <c r="AF1876" s="0" t="s">
        <v>6790</v>
      </c>
      <c r="AH1876" s="0" t="s">
        <v>2239</v>
      </c>
      <c r="AL1876" s="0" t="s">
        <v>523</v>
      </c>
    </row>
    <row r="1877" customFormat="false" ht="15" hidden="false" customHeight="false" outlineLevel="0" collapsed="false">
      <c r="A1877" s="0" t="s">
        <v>974</v>
      </c>
      <c r="B1877" s="0" t="s">
        <v>125</v>
      </c>
      <c r="C1877" s="0" t="s">
        <v>4590</v>
      </c>
      <c r="D1877" s="0" t="n">
        <v>2019</v>
      </c>
      <c r="E1877" s="0" t="s">
        <v>55</v>
      </c>
      <c r="F1877" s="0" t="n">
        <v>4668279</v>
      </c>
      <c r="G1877" s="0" t="s">
        <v>3101</v>
      </c>
      <c r="H1877" s="0" t="s">
        <v>3068</v>
      </c>
      <c r="I1877" s="0" t="n">
        <v>4668279</v>
      </c>
      <c r="J1877" s="0" t="s">
        <v>4155</v>
      </c>
      <c r="K1877" s="0" t="s">
        <v>2702</v>
      </c>
      <c r="L1877" s="0" t="n">
        <v>2019</v>
      </c>
      <c r="M1877" s="0" t="s">
        <v>2313</v>
      </c>
      <c r="N1877" s="0" t="s">
        <v>131</v>
      </c>
      <c r="O1877" s="0" t="s">
        <v>6830</v>
      </c>
      <c r="P1877" s="0" t="s">
        <v>6831</v>
      </c>
      <c r="Q1877" s="0" t="n">
        <v>393</v>
      </c>
      <c r="R1877" s="0" t="n">
        <v>18</v>
      </c>
      <c r="T1877" s="0" t="s">
        <v>6832</v>
      </c>
      <c r="U1877" s="0" t="s">
        <v>4461</v>
      </c>
      <c r="V1877" s="0" t="s">
        <v>133</v>
      </c>
      <c r="W1877" s="0" t="s">
        <v>4403</v>
      </c>
      <c r="X1877" s="0" t="s">
        <v>6833</v>
      </c>
      <c r="Y1877" s="0" t="s">
        <v>4212</v>
      </c>
      <c r="Z1877" s="0" t="s">
        <v>4160</v>
      </c>
      <c r="AA1877" s="0" t="s">
        <v>6834</v>
      </c>
      <c r="AB1877" s="0" t="s">
        <v>6835</v>
      </c>
      <c r="AC1877" s="0" t="s">
        <v>4162</v>
      </c>
      <c r="AD1877" s="0" t="s">
        <v>4163</v>
      </c>
      <c r="AE1877" s="0" t="s">
        <v>4164</v>
      </c>
      <c r="AF1877" s="0" t="s">
        <v>6836</v>
      </c>
      <c r="AH1877" s="0" t="s">
        <v>2239</v>
      </c>
      <c r="AL1877" s="0" t="s">
        <v>539</v>
      </c>
    </row>
    <row r="1878" customFormat="false" ht="15" hidden="false" customHeight="false" outlineLevel="0" collapsed="false">
      <c r="A1878" s="0" t="s">
        <v>975</v>
      </c>
      <c r="B1878" s="0" t="s">
        <v>125</v>
      </c>
      <c r="C1878" s="0" t="s">
        <v>4590</v>
      </c>
      <c r="D1878" s="0" t="n">
        <v>2019</v>
      </c>
      <c r="E1878" s="0" t="s">
        <v>56</v>
      </c>
      <c r="F1878" s="0" t="n">
        <v>4128814</v>
      </c>
      <c r="G1878" s="0" t="s">
        <v>3101</v>
      </c>
      <c r="H1878" s="0" t="s">
        <v>3068</v>
      </c>
      <c r="I1878" s="0" t="n">
        <v>4128814</v>
      </c>
      <c r="J1878" s="0" t="s">
        <v>4155</v>
      </c>
      <c r="K1878" s="0" t="s">
        <v>2702</v>
      </c>
      <c r="L1878" s="0" t="n">
        <v>2019</v>
      </c>
      <c r="M1878" s="0" t="s">
        <v>2313</v>
      </c>
      <c r="N1878" s="0" t="s">
        <v>131</v>
      </c>
      <c r="O1878" s="0" t="s">
        <v>6830</v>
      </c>
      <c r="P1878" s="0" t="s">
        <v>6831</v>
      </c>
      <c r="Q1878" s="0" t="n">
        <v>393</v>
      </c>
      <c r="R1878" s="0" t="n">
        <v>18</v>
      </c>
      <c r="T1878" s="0" t="s">
        <v>6832</v>
      </c>
      <c r="U1878" s="0" t="s">
        <v>4461</v>
      </c>
      <c r="V1878" s="0" t="s">
        <v>133</v>
      </c>
      <c r="W1878" s="0" t="s">
        <v>4406</v>
      </c>
      <c r="X1878" s="0" t="s">
        <v>6833</v>
      </c>
      <c r="Y1878" s="0" t="s">
        <v>4212</v>
      </c>
      <c r="Z1878" s="0" t="s">
        <v>4160</v>
      </c>
      <c r="AA1878" s="0" t="s">
        <v>6837</v>
      </c>
      <c r="AB1878" s="0" t="s">
        <v>6835</v>
      </c>
      <c r="AC1878" s="0" t="s">
        <v>4162</v>
      </c>
      <c r="AD1878" s="0" t="s">
        <v>4163</v>
      </c>
      <c r="AE1878" s="0" t="s">
        <v>4164</v>
      </c>
      <c r="AF1878" s="0" t="s">
        <v>6836</v>
      </c>
      <c r="AH1878" s="0" t="s">
        <v>2239</v>
      </c>
      <c r="AL1878" s="0" t="s">
        <v>539</v>
      </c>
    </row>
    <row r="1879" customFormat="false" ht="15" hidden="false" customHeight="false" outlineLevel="0" collapsed="false">
      <c r="A1879" s="0" t="s">
        <v>976</v>
      </c>
      <c r="B1879" s="0" t="s">
        <v>125</v>
      </c>
      <c r="C1879" s="0" t="s">
        <v>4590</v>
      </c>
      <c r="D1879" s="0" t="n">
        <v>2019</v>
      </c>
      <c r="E1879" s="0" t="s">
        <v>57</v>
      </c>
      <c r="F1879" s="0" t="n">
        <v>539465</v>
      </c>
      <c r="G1879" s="0" t="s">
        <v>3101</v>
      </c>
      <c r="H1879" s="0" t="s">
        <v>3068</v>
      </c>
      <c r="I1879" s="0" t="n">
        <v>539465</v>
      </c>
      <c r="J1879" s="0" t="s">
        <v>4155</v>
      </c>
      <c r="K1879" s="0" t="s">
        <v>2702</v>
      </c>
      <c r="L1879" s="0" t="n">
        <v>2019</v>
      </c>
      <c r="M1879" s="0" t="s">
        <v>2313</v>
      </c>
      <c r="N1879" s="0" t="s">
        <v>131</v>
      </c>
      <c r="O1879" s="0" t="s">
        <v>6830</v>
      </c>
      <c r="P1879" s="0" t="s">
        <v>6831</v>
      </c>
      <c r="Q1879" s="0" t="n">
        <v>393</v>
      </c>
      <c r="R1879" s="0" t="n">
        <v>18</v>
      </c>
      <c r="T1879" s="0" t="s">
        <v>6832</v>
      </c>
      <c r="U1879" s="0" t="s">
        <v>4461</v>
      </c>
      <c r="V1879" s="0" t="s">
        <v>133</v>
      </c>
      <c r="W1879" s="0" t="s">
        <v>4864</v>
      </c>
      <c r="X1879" s="0" t="s">
        <v>6833</v>
      </c>
      <c r="Y1879" s="0" t="s">
        <v>4212</v>
      </c>
      <c r="Z1879" s="0" t="s">
        <v>4160</v>
      </c>
      <c r="AA1879" s="0" t="s">
        <v>6838</v>
      </c>
      <c r="AB1879" s="0" t="s">
        <v>6835</v>
      </c>
      <c r="AC1879" s="0" t="s">
        <v>4162</v>
      </c>
      <c r="AD1879" s="0" t="s">
        <v>4163</v>
      </c>
      <c r="AE1879" s="0" t="s">
        <v>4164</v>
      </c>
      <c r="AF1879" s="0" t="s">
        <v>6836</v>
      </c>
      <c r="AH1879" s="0" t="s">
        <v>2239</v>
      </c>
      <c r="AL1879" s="0" t="s">
        <v>539</v>
      </c>
    </row>
    <row r="1880" customFormat="false" ht="15" hidden="false" customHeight="false" outlineLevel="0" collapsed="false">
      <c r="A1880" s="0" t="s">
        <v>982</v>
      </c>
      <c r="B1880" s="0" t="s">
        <v>125</v>
      </c>
      <c r="C1880" s="0" t="s">
        <v>4590</v>
      </c>
      <c r="D1880" s="0" t="n">
        <v>2019</v>
      </c>
      <c r="E1880" s="0" t="s">
        <v>62</v>
      </c>
      <c r="F1880" s="0" t="n">
        <v>1559504</v>
      </c>
      <c r="G1880" s="0" t="s">
        <v>3101</v>
      </c>
      <c r="H1880" s="0" t="s">
        <v>3068</v>
      </c>
      <c r="I1880" s="0" t="n">
        <v>1559504</v>
      </c>
      <c r="J1880" s="0" t="s">
        <v>4155</v>
      </c>
      <c r="K1880" s="0" t="s">
        <v>2702</v>
      </c>
      <c r="L1880" s="0" t="n">
        <v>2019</v>
      </c>
      <c r="M1880" s="0" t="s">
        <v>2313</v>
      </c>
      <c r="N1880" s="0" t="s">
        <v>131</v>
      </c>
      <c r="O1880" s="0" t="s">
        <v>6830</v>
      </c>
      <c r="P1880" s="0" t="s">
        <v>6831</v>
      </c>
      <c r="Q1880" s="0" t="n">
        <v>393</v>
      </c>
      <c r="R1880" s="0" t="n">
        <v>18</v>
      </c>
      <c r="S1880" s="0" t="n">
        <v>20</v>
      </c>
      <c r="T1880" s="0" t="s">
        <v>6832</v>
      </c>
      <c r="U1880" s="0" t="s">
        <v>4461</v>
      </c>
      <c r="V1880" s="0" t="s">
        <v>133</v>
      </c>
      <c r="W1880" s="0" t="s">
        <v>4738</v>
      </c>
      <c r="X1880" s="0" t="s">
        <v>6833</v>
      </c>
      <c r="Y1880" s="0" t="s">
        <v>4212</v>
      </c>
      <c r="Z1880" s="0" t="s">
        <v>4160</v>
      </c>
      <c r="AA1880" s="0" t="s">
        <v>6839</v>
      </c>
      <c r="AB1880" s="0" t="s">
        <v>6835</v>
      </c>
      <c r="AC1880" s="0" t="s">
        <v>4162</v>
      </c>
      <c r="AD1880" s="0" t="s">
        <v>4163</v>
      </c>
      <c r="AE1880" s="0" t="s">
        <v>4164</v>
      </c>
      <c r="AF1880" s="0" t="s">
        <v>6836</v>
      </c>
      <c r="AH1880" s="0" t="s">
        <v>2239</v>
      </c>
      <c r="AL1880" s="0" t="s">
        <v>539</v>
      </c>
    </row>
    <row r="1881" customFormat="false" ht="15" hidden="false" customHeight="false" outlineLevel="0" collapsed="false">
      <c r="A1881" s="0" t="s">
        <v>978</v>
      </c>
      <c r="B1881" s="0" t="s">
        <v>125</v>
      </c>
      <c r="C1881" s="0" t="s">
        <v>4590</v>
      </c>
      <c r="D1881" s="0" t="n">
        <v>2019</v>
      </c>
      <c r="E1881" s="0" t="s">
        <v>59</v>
      </c>
      <c r="F1881" s="0" t="n">
        <v>3985907</v>
      </c>
      <c r="G1881" s="0" t="s">
        <v>3101</v>
      </c>
      <c r="H1881" s="0" t="s">
        <v>3068</v>
      </c>
      <c r="I1881" s="0" t="n">
        <v>3985907</v>
      </c>
      <c r="J1881" s="0" t="s">
        <v>4155</v>
      </c>
      <c r="K1881" s="0" t="s">
        <v>2702</v>
      </c>
      <c r="L1881" s="0" t="n">
        <v>2019</v>
      </c>
      <c r="M1881" s="0" t="s">
        <v>2313</v>
      </c>
      <c r="N1881" s="0" t="s">
        <v>131</v>
      </c>
      <c r="O1881" s="0" t="s">
        <v>6830</v>
      </c>
      <c r="P1881" s="0" t="s">
        <v>6831</v>
      </c>
      <c r="Q1881" s="0" t="n">
        <v>393</v>
      </c>
      <c r="R1881" s="0" t="n">
        <v>18</v>
      </c>
      <c r="T1881" s="0" t="s">
        <v>6840</v>
      </c>
      <c r="U1881" s="0" t="s">
        <v>6841</v>
      </c>
      <c r="V1881" s="0" t="s">
        <v>133</v>
      </c>
      <c r="W1881" s="0" t="s">
        <v>4403</v>
      </c>
      <c r="X1881" s="0" t="s">
        <v>6833</v>
      </c>
      <c r="Y1881" s="0" t="s">
        <v>4212</v>
      </c>
      <c r="Z1881" s="0" t="s">
        <v>4160</v>
      </c>
      <c r="AA1881" s="0" t="s">
        <v>6842</v>
      </c>
      <c r="AB1881" s="0" t="s">
        <v>6835</v>
      </c>
      <c r="AC1881" s="0" t="s">
        <v>4162</v>
      </c>
      <c r="AD1881" s="0" t="s">
        <v>4163</v>
      </c>
      <c r="AE1881" s="0" t="s">
        <v>4164</v>
      </c>
      <c r="AF1881" s="0" t="s">
        <v>6843</v>
      </c>
      <c r="AH1881" s="0" t="s">
        <v>2239</v>
      </c>
      <c r="AL1881" s="0" t="s">
        <v>539</v>
      </c>
    </row>
    <row r="1882" customFormat="false" ht="15" hidden="false" customHeight="false" outlineLevel="0" collapsed="false">
      <c r="A1882" s="0" t="s">
        <v>973</v>
      </c>
      <c r="B1882" s="0" t="s">
        <v>125</v>
      </c>
      <c r="C1882" s="0" t="s">
        <v>4590</v>
      </c>
      <c r="D1882" s="0" t="n">
        <v>2019</v>
      </c>
      <c r="E1882" s="0" t="s">
        <v>54</v>
      </c>
      <c r="F1882" s="0" t="n">
        <v>43917</v>
      </c>
      <c r="G1882" s="0" t="s">
        <v>3101</v>
      </c>
      <c r="H1882" s="0" t="s">
        <v>3068</v>
      </c>
      <c r="I1882" s="0" t="n">
        <v>43917</v>
      </c>
      <c r="J1882" s="0" t="s">
        <v>4155</v>
      </c>
      <c r="K1882" s="0" t="s">
        <v>2702</v>
      </c>
      <c r="L1882" s="0" t="n">
        <v>2019</v>
      </c>
      <c r="M1882" s="0" t="s">
        <v>2313</v>
      </c>
      <c r="N1882" s="0" t="s">
        <v>131</v>
      </c>
      <c r="O1882" s="0" t="s">
        <v>6830</v>
      </c>
      <c r="P1882" s="0" t="s">
        <v>6831</v>
      </c>
      <c r="Q1882" s="0" t="n">
        <v>391</v>
      </c>
      <c r="R1882" s="0" t="n">
        <v>16</v>
      </c>
      <c r="T1882" s="0" t="s">
        <v>6832</v>
      </c>
      <c r="U1882" s="0" t="s">
        <v>4461</v>
      </c>
      <c r="V1882" s="0" t="s">
        <v>133</v>
      </c>
      <c r="W1882" s="0" t="s">
        <v>6844</v>
      </c>
      <c r="X1882" s="0" t="s">
        <v>6845</v>
      </c>
      <c r="Y1882" s="0" t="s">
        <v>4212</v>
      </c>
      <c r="Z1882" s="0" t="s">
        <v>4160</v>
      </c>
      <c r="AA1882" s="0" t="s">
        <v>6846</v>
      </c>
      <c r="AB1882" s="0" t="s">
        <v>6835</v>
      </c>
      <c r="AC1882" s="0" t="s">
        <v>4162</v>
      </c>
      <c r="AD1882" s="0" t="s">
        <v>4163</v>
      </c>
      <c r="AE1882" s="0" t="s">
        <v>4164</v>
      </c>
      <c r="AF1882" s="0" t="s">
        <v>6836</v>
      </c>
      <c r="AH1882" s="0" t="s">
        <v>2239</v>
      </c>
      <c r="AL1882" s="0" t="s">
        <v>539</v>
      </c>
    </row>
    <row r="1883" customFormat="false" ht="15" hidden="false" customHeight="false" outlineLevel="0" collapsed="false">
      <c r="A1883" s="0" t="s">
        <v>989</v>
      </c>
      <c r="B1883" s="0" t="s">
        <v>125</v>
      </c>
      <c r="C1883" s="0" t="s">
        <v>4590</v>
      </c>
      <c r="D1883" s="0" t="n">
        <v>2019</v>
      </c>
      <c r="E1883" s="0" t="s">
        <v>541</v>
      </c>
      <c r="F1883" s="0" t="n">
        <v>46770</v>
      </c>
      <c r="G1883" s="0" t="s">
        <v>3101</v>
      </c>
      <c r="H1883" s="0" t="s">
        <v>3068</v>
      </c>
      <c r="I1883" s="0" t="n">
        <v>46770</v>
      </c>
      <c r="J1883" s="0" t="s">
        <v>4155</v>
      </c>
      <c r="K1883" s="0" t="s">
        <v>2702</v>
      </c>
      <c r="L1883" s="0" t="n">
        <v>2019</v>
      </c>
      <c r="M1883" s="0" t="s">
        <v>2313</v>
      </c>
      <c r="N1883" s="0" t="s">
        <v>131</v>
      </c>
      <c r="O1883" s="0" t="s">
        <v>6830</v>
      </c>
      <c r="P1883" s="0" t="s">
        <v>6831</v>
      </c>
      <c r="Q1883" s="0" t="n">
        <v>391</v>
      </c>
      <c r="R1883" s="0" t="n">
        <v>16</v>
      </c>
      <c r="T1883" s="0" t="s">
        <v>6832</v>
      </c>
      <c r="U1883" s="0" t="s">
        <v>4461</v>
      </c>
      <c r="V1883" s="0" t="s">
        <v>133</v>
      </c>
      <c r="W1883" s="0" t="s">
        <v>6847</v>
      </c>
      <c r="X1883" s="0" t="s">
        <v>6845</v>
      </c>
      <c r="Y1883" s="0" t="s">
        <v>4212</v>
      </c>
      <c r="Z1883" s="0" t="s">
        <v>4160</v>
      </c>
      <c r="AA1883" s="0" t="s">
        <v>6848</v>
      </c>
      <c r="AB1883" s="0" t="s">
        <v>6835</v>
      </c>
      <c r="AC1883" s="0" t="s">
        <v>4162</v>
      </c>
      <c r="AD1883" s="0" t="s">
        <v>4163</v>
      </c>
      <c r="AE1883" s="0" t="s">
        <v>4164</v>
      </c>
      <c r="AF1883" s="0" t="s">
        <v>6836</v>
      </c>
      <c r="AH1883" s="0" t="s">
        <v>2239</v>
      </c>
      <c r="AL1883" s="0" t="s">
        <v>539</v>
      </c>
    </row>
    <row r="1884" customFormat="false" ht="15" hidden="false" customHeight="false" outlineLevel="0" collapsed="false">
      <c r="A1884" s="0" t="s">
        <v>983</v>
      </c>
      <c r="B1884" s="0" t="s">
        <v>125</v>
      </c>
      <c r="C1884" s="0" t="s">
        <v>4590</v>
      </c>
      <c r="D1884" s="0" t="n">
        <v>2019</v>
      </c>
      <c r="E1884" s="0" t="s">
        <v>63</v>
      </c>
      <c r="F1884" s="0" t="n">
        <v>-46640</v>
      </c>
      <c r="G1884" s="0" t="s">
        <v>3101</v>
      </c>
      <c r="H1884" s="0" t="s">
        <v>3068</v>
      </c>
      <c r="I1884" s="0" t="n">
        <v>46640</v>
      </c>
      <c r="J1884" s="0" t="s">
        <v>4155</v>
      </c>
      <c r="K1884" s="0" t="s">
        <v>2702</v>
      </c>
      <c r="L1884" s="0" t="n">
        <v>2019</v>
      </c>
      <c r="M1884" s="0" t="s">
        <v>2313</v>
      </c>
      <c r="N1884" s="0" t="s">
        <v>131</v>
      </c>
      <c r="O1884" s="0" t="s">
        <v>6830</v>
      </c>
      <c r="P1884" s="0" t="s">
        <v>6831</v>
      </c>
      <c r="Q1884" s="0" t="n">
        <v>391</v>
      </c>
      <c r="R1884" s="0" t="n">
        <v>16</v>
      </c>
      <c r="S1884" s="0" t="n">
        <v>9</v>
      </c>
      <c r="T1884" s="0" t="s">
        <v>6832</v>
      </c>
      <c r="U1884" s="0" t="s">
        <v>4461</v>
      </c>
      <c r="V1884" s="0" t="s">
        <v>133</v>
      </c>
      <c r="W1884" s="0" t="s">
        <v>6849</v>
      </c>
      <c r="X1884" s="0" t="s">
        <v>6845</v>
      </c>
      <c r="Y1884" s="0" t="s">
        <v>4212</v>
      </c>
      <c r="Z1884" s="0" t="s">
        <v>4160</v>
      </c>
      <c r="AA1884" s="0" t="s">
        <v>6850</v>
      </c>
      <c r="AB1884" s="0" t="s">
        <v>6835</v>
      </c>
      <c r="AC1884" s="0" t="s">
        <v>4162</v>
      </c>
      <c r="AD1884" s="0" t="s">
        <v>4163</v>
      </c>
      <c r="AE1884" s="0" t="s">
        <v>4164</v>
      </c>
      <c r="AF1884" s="0" t="s">
        <v>6836</v>
      </c>
      <c r="AH1884" s="0" t="s">
        <v>4174</v>
      </c>
      <c r="AI1884" s="0" t="s">
        <v>4974</v>
      </c>
      <c r="AL1884" s="0" t="s">
        <v>539</v>
      </c>
    </row>
    <row r="1885" customFormat="false" ht="15" hidden="false" customHeight="false" outlineLevel="0" collapsed="false">
      <c r="A1885" s="0" t="s">
        <v>977</v>
      </c>
      <c r="B1885" s="0" t="s">
        <v>125</v>
      </c>
      <c r="C1885" s="0" t="s">
        <v>4590</v>
      </c>
      <c r="D1885" s="0" t="n">
        <v>2019</v>
      </c>
      <c r="E1885" s="0" t="s">
        <v>58</v>
      </c>
      <c r="F1885" s="0" t="n">
        <v>-218752</v>
      </c>
      <c r="G1885" s="0" t="s">
        <v>3101</v>
      </c>
      <c r="H1885" s="0" t="s">
        <v>3068</v>
      </c>
      <c r="I1885" s="0" t="n">
        <v>-218752</v>
      </c>
      <c r="J1885" s="0" t="s">
        <v>4155</v>
      </c>
      <c r="K1885" s="0" t="s">
        <v>2702</v>
      </c>
      <c r="L1885" s="0" t="n">
        <v>2019</v>
      </c>
      <c r="M1885" s="0" t="s">
        <v>2313</v>
      </c>
      <c r="N1885" s="0" t="s">
        <v>131</v>
      </c>
      <c r="O1885" s="0" t="s">
        <v>6830</v>
      </c>
      <c r="P1885" s="0" t="s">
        <v>6831</v>
      </c>
      <c r="Q1885" s="0" t="n">
        <v>396</v>
      </c>
      <c r="R1885" s="0" t="n">
        <v>21</v>
      </c>
      <c r="T1885" s="0" t="s">
        <v>6832</v>
      </c>
      <c r="U1885" s="0" t="s">
        <v>4461</v>
      </c>
      <c r="V1885" s="0" t="s">
        <v>133</v>
      </c>
      <c r="W1885" s="0" t="s">
        <v>6851</v>
      </c>
      <c r="X1885" s="0" t="s">
        <v>6852</v>
      </c>
      <c r="Y1885" s="0" t="s">
        <v>4212</v>
      </c>
      <c r="Z1885" s="0" t="s">
        <v>4160</v>
      </c>
      <c r="AA1885" s="0" t="s">
        <v>6853</v>
      </c>
      <c r="AB1885" s="0" t="s">
        <v>6835</v>
      </c>
      <c r="AC1885" s="0" t="s">
        <v>4162</v>
      </c>
      <c r="AD1885" s="0" t="s">
        <v>4163</v>
      </c>
      <c r="AE1885" s="0" t="s">
        <v>4164</v>
      </c>
      <c r="AF1885" s="0" t="s">
        <v>6836</v>
      </c>
      <c r="AH1885" s="0" t="s">
        <v>2239</v>
      </c>
      <c r="AL1885" s="0" t="s">
        <v>539</v>
      </c>
    </row>
    <row r="1886" customFormat="false" ht="15" hidden="false" customHeight="false" outlineLevel="0" collapsed="false">
      <c r="A1886" s="0" t="s">
        <v>6854</v>
      </c>
      <c r="B1886" s="0" t="s">
        <v>125</v>
      </c>
      <c r="C1886" s="0" t="s">
        <v>4590</v>
      </c>
      <c r="D1886" s="0" t="n">
        <v>2019</v>
      </c>
      <c r="E1886" s="0" t="s">
        <v>6855</v>
      </c>
      <c r="F1886" s="0" t="n">
        <v>1521178</v>
      </c>
      <c r="G1886" s="0" t="s">
        <v>3101</v>
      </c>
      <c r="H1886" s="0" t="s">
        <v>3068</v>
      </c>
      <c r="I1886" s="0" t="n">
        <v>1521178</v>
      </c>
      <c r="J1886" s="0" t="s">
        <v>4155</v>
      </c>
      <c r="K1886" s="0" t="s">
        <v>2702</v>
      </c>
      <c r="L1886" s="0" t="n">
        <v>2019</v>
      </c>
      <c r="M1886" s="0" t="s">
        <v>2313</v>
      </c>
      <c r="N1886" s="0" t="s">
        <v>131</v>
      </c>
      <c r="O1886" s="0" t="s">
        <v>6830</v>
      </c>
      <c r="P1886" s="0" t="s">
        <v>6831</v>
      </c>
      <c r="Q1886" s="0" t="n">
        <v>473</v>
      </c>
      <c r="R1886" s="0" t="n">
        <v>98</v>
      </c>
      <c r="S1886" s="0" t="n">
        <v>20</v>
      </c>
      <c r="T1886" s="0" t="s">
        <v>6832</v>
      </c>
      <c r="U1886" s="0" t="s">
        <v>4461</v>
      </c>
      <c r="V1886" s="0" t="s">
        <v>133</v>
      </c>
      <c r="W1886" s="0" t="s">
        <v>6856</v>
      </c>
      <c r="X1886" s="0" t="s">
        <v>6857</v>
      </c>
      <c r="Y1886" s="0" t="s">
        <v>4212</v>
      </c>
      <c r="Z1886" s="0" t="s">
        <v>4160</v>
      </c>
      <c r="AA1886" s="0" t="s">
        <v>6858</v>
      </c>
      <c r="AB1886" s="0" t="s">
        <v>6835</v>
      </c>
      <c r="AC1886" s="0" t="s">
        <v>4162</v>
      </c>
      <c r="AD1886" s="0" t="s">
        <v>4163</v>
      </c>
      <c r="AE1886" s="0" t="s">
        <v>4164</v>
      </c>
      <c r="AF1886" s="0" t="s">
        <v>6836</v>
      </c>
      <c r="AH1886" s="0" t="s">
        <v>2239</v>
      </c>
      <c r="AL1886" s="0" t="s">
        <v>539</v>
      </c>
    </row>
    <row r="1887" customFormat="false" ht="15" hidden="false" customHeight="false" outlineLevel="0" collapsed="false">
      <c r="A1887" s="0" t="s">
        <v>6859</v>
      </c>
      <c r="B1887" s="0" t="s">
        <v>125</v>
      </c>
      <c r="C1887" s="0" t="s">
        <v>4590</v>
      </c>
      <c r="D1887" s="0" t="n">
        <v>2019</v>
      </c>
      <c r="E1887" s="0" t="s">
        <v>6860</v>
      </c>
      <c r="F1887" s="0" t="n">
        <v>97639</v>
      </c>
      <c r="G1887" s="0" t="s">
        <v>3101</v>
      </c>
      <c r="H1887" s="0" t="s">
        <v>3068</v>
      </c>
      <c r="I1887" s="0" t="n">
        <v>97639</v>
      </c>
      <c r="J1887" s="0" t="s">
        <v>4155</v>
      </c>
      <c r="K1887" s="0" t="s">
        <v>2702</v>
      </c>
      <c r="L1887" s="0" t="n">
        <v>2019</v>
      </c>
      <c r="M1887" s="0" t="s">
        <v>2313</v>
      </c>
      <c r="N1887" s="0" t="s">
        <v>131</v>
      </c>
      <c r="O1887" s="0" t="s">
        <v>6830</v>
      </c>
      <c r="P1887" s="0" t="s">
        <v>6831</v>
      </c>
      <c r="Q1887" s="0" t="n">
        <v>473</v>
      </c>
      <c r="R1887" s="0" t="n">
        <v>98</v>
      </c>
      <c r="S1887" s="0" t="n">
        <v>20</v>
      </c>
      <c r="T1887" s="0" t="s">
        <v>6832</v>
      </c>
      <c r="U1887" s="0" t="s">
        <v>4461</v>
      </c>
      <c r="V1887" s="0" t="s">
        <v>133</v>
      </c>
      <c r="W1887" s="0" t="s">
        <v>6861</v>
      </c>
      <c r="X1887" s="0" t="s">
        <v>6857</v>
      </c>
      <c r="Y1887" s="0" t="s">
        <v>4212</v>
      </c>
      <c r="Z1887" s="0" t="s">
        <v>4160</v>
      </c>
      <c r="AA1887" s="0" t="s">
        <v>6862</v>
      </c>
      <c r="AB1887" s="0" t="s">
        <v>6835</v>
      </c>
      <c r="AC1887" s="0" t="s">
        <v>4162</v>
      </c>
      <c r="AD1887" s="0" t="s">
        <v>4163</v>
      </c>
      <c r="AE1887" s="0" t="s">
        <v>4164</v>
      </c>
      <c r="AF1887" s="0" t="s">
        <v>6836</v>
      </c>
      <c r="AH1887" s="0" t="s">
        <v>2239</v>
      </c>
      <c r="AL1887" s="0" t="s">
        <v>539</v>
      </c>
    </row>
    <row r="1888" customFormat="false" ht="15" hidden="false" customHeight="false" outlineLevel="0" collapsed="false">
      <c r="A1888" s="0" t="s">
        <v>6863</v>
      </c>
      <c r="B1888" s="0" t="s">
        <v>125</v>
      </c>
      <c r="C1888" s="0" t="s">
        <v>4590</v>
      </c>
      <c r="D1888" s="0" t="n">
        <v>2019</v>
      </c>
      <c r="E1888" s="0" t="s">
        <v>6864</v>
      </c>
      <c r="F1888" s="0" t="n">
        <v>52706</v>
      </c>
      <c r="G1888" s="0" t="s">
        <v>3101</v>
      </c>
      <c r="H1888" s="0" t="s">
        <v>3068</v>
      </c>
      <c r="I1888" s="0" t="n">
        <v>52706</v>
      </c>
      <c r="J1888" s="0" t="s">
        <v>4155</v>
      </c>
      <c r="K1888" s="0" t="s">
        <v>2702</v>
      </c>
      <c r="L1888" s="0" t="n">
        <v>2019</v>
      </c>
      <c r="M1888" s="0" t="s">
        <v>2313</v>
      </c>
      <c r="N1888" s="0" t="s">
        <v>131</v>
      </c>
      <c r="O1888" s="0" t="s">
        <v>6830</v>
      </c>
      <c r="P1888" s="0" t="s">
        <v>6831</v>
      </c>
      <c r="Q1888" s="0" t="n">
        <v>473</v>
      </c>
      <c r="R1888" s="0" t="n">
        <v>98</v>
      </c>
      <c r="S1888" s="0" t="n">
        <v>20</v>
      </c>
      <c r="T1888" s="0" t="s">
        <v>6832</v>
      </c>
      <c r="U1888" s="0" t="s">
        <v>4461</v>
      </c>
      <c r="V1888" s="0" t="s">
        <v>133</v>
      </c>
      <c r="W1888" s="0" t="s">
        <v>6865</v>
      </c>
      <c r="X1888" s="0" t="s">
        <v>6857</v>
      </c>
      <c r="Y1888" s="0" t="s">
        <v>4212</v>
      </c>
      <c r="Z1888" s="0" t="s">
        <v>4160</v>
      </c>
      <c r="AA1888" s="0" t="s">
        <v>6866</v>
      </c>
      <c r="AB1888" s="0" t="s">
        <v>6835</v>
      </c>
      <c r="AC1888" s="0" t="s">
        <v>4162</v>
      </c>
      <c r="AD1888" s="0" t="s">
        <v>4163</v>
      </c>
      <c r="AE1888" s="0" t="s">
        <v>4164</v>
      </c>
      <c r="AF1888" s="0" t="s">
        <v>6836</v>
      </c>
      <c r="AH1888" s="0" t="s">
        <v>2239</v>
      </c>
      <c r="AL1888" s="0" t="s">
        <v>539</v>
      </c>
    </row>
    <row r="1889" customFormat="false" ht="15" hidden="false" customHeight="false" outlineLevel="0" collapsed="false">
      <c r="A1889" s="0" t="s">
        <v>6867</v>
      </c>
      <c r="B1889" s="0" t="s">
        <v>125</v>
      </c>
      <c r="C1889" s="0" t="s">
        <v>4590</v>
      </c>
      <c r="D1889" s="0" t="n">
        <v>2019</v>
      </c>
      <c r="E1889" s="0" t="s">
        <v>6868</v>
      </c>
      <c r="F1889" s="0" t="n">
        <v>6608</v>
      </c>
      <c r="G1889" s="0" t="s">
        <v>3101</v>
      </c>
      <c r="H1889" s="0" t="s">
        <v>3068</v>
      </c>
      <c r="I1889" s="0" t="n">
        <v>6608</v>
      </c>
      <c r="J1889" s="0" t="s">
        <v>4155</v>
      </c>
      <c r="K1889" s="0" t="s">
        <v>2702</v>
      </c>
      <c r="L1889" s="0" t="n">
        <v>2019</v>
      </c>
      <c r="M1889" s="0" t="s">
        <v>2313</v>
      </c>
      <c r="N1889" s="0" t="s">
        <v>131</v>
      </c>
      <c r="O1889" s="0" t="s">
        <v>6830</v>
      </c>
      <c r="P1889" s="0" t="s">
        <v>6831</v>
      </c>
      <c r="Q1889" s="0" t="n">
        <v>473</v>
      </c>
      <c r="R1889" s="0" t="n">
        <v>98</v>
      </c>
      <c r="S1889" s="0" t="n">
        <v>20</v>
      </c>
      <c r="T1889" s="0" t="s">
        <v>6832</v>
      </c>
      <c r="U1889" s="0" t="s">
        <v>4461</v>
      </c>
      <c r="V1889" s="0" t="s">
        <v>133</v>
      </c>
      <c r="W1889" s="0" t="s">
        <v>6869</v>
      </c>
      <c r="X1889" s="0" t="s">
        <v>6857</v>
      </c>
      <c r="Y1889" s="0" t="s">
        <v>4212</v>
      </c>
      <c r="Z1889" s="0" t="s">
        <v>4160</v>
      </c>
      <c r="AA1889" s="0" t="s">
        <v>6870</v>
      </c>
      <c r="AB1889" s="0" t="s">
        <v>6835</v>
      </c>
      <c r="AC1889" s="0" t="s">
        <v>4162</v>
      </c>
      <c r="AD1889" s="0" t="s">
        <v>4163</v>
      </c>
      <c r="AE1889" s="0" t="s">
        <v>4164</v>
      </c>
      <c r="AF1889" s="0" t="s">
        <v>6836</v>
      </c>
      <c r="AH1889" s="0" t="s">
        <v>2239</v>
      </c>
      <c r="AL1889" s="0" t="s">
        <v>539</v>
      </c>
    </row>
    <row r="1890" customFormat="false" ht="15" hidden="false" customHeight="false" outlineLevel="0" collapsed="false">
      <c r="A1890" s="0" t="s">
        <v>986</v>
      </c>
      <c r="B1890" s="0" t="s">
        <v>125</v>
      </c>
      <c r="C1890" s="0" t="s">
        <v>4590</v>
      </c>
      <c r="D1890" s="0" t="n">
        <v>2019</v>
      </c>
      <c r="E1890" s="0" t="s">
        <v>65</v>
      </c>
      <c r="F1890" s="0" t="n">
        <v>332265</v>
      </c>
      <c r="G1890" s="0" t="s">
        <v>3101</v>
      </c>
      <c r="H1890" s="0" t="s">
        <v>3068</v>
      </c>
      <c r="I1890" s="0" t="n">
        <v>332265</v>
      </c>
      <c r="J1890" s="0" t="s">
        <v>4155</v>
      </c>
      <c r="K1890" s="0" t="s">
        <v>2702</v>
      </c>
      <c r="L1890" s="0" t="n">
        <v>2019</v>
      </c>
      <c r="M1890" s="0" t="s">
        <v>2313</v>
      </c>
      <c r="N1890" s="0" t="s">
        <v>131</v>
      </c>
      <c r="O1890" s="0" t="s">
        <v>6830</v>
      </c>
      <c r="P1890" s="0" t="s">
        <v>6831</v>
      </c>
      <c r="Q1890" s="0" t="n">
        <v>463</v>
      </c>
      <c r="R1890" s="0" t="n">
        <v>88</v>
      </c>
      <c r="S1890" s="0" t="n">
        <v>4</v>
      </c>
      <c r="T1890" s="0" t="s">
        <v>6871</v>
      </c>
      <c r="U1890" s="0" t="s">
        <v>4461</v>
      </c>
      <c r="V1890" s="0" t="s">
        <v>133</v>
      </c>
      <c r="W1890" s="0" t="s">
        <v>6872</v>
      </c>
      <c r="X1890" s="0" t="s">
        <v>6873</v>
      </c>
      <c r="Y1890" s="0" t="s">
        <v>4212</v>
      </c>
      <c r="Z1890" s="0" t="s">
        <v>4160</v>
      </c>
      <c r="AA1890" s="0" t="s">
        <v>6874</v>
      </c>
      <c r="AB1890" s="0" t="s">
        <v>6835</v>
      </c>
      <c r="AC1890" s="0" t="s">
        <v>4162</v>
      </c>
      <c r="AD1890" s="0" t="s">
        <v>4163</v>
      </c>
      <c r="AE1890" s="0" t="s">
        <v>4164</v>
      </c>
      <c r="AF1890" s="0" t="s">
        <v>6836</v>
      </c>
      <c r="AH1890" s="0" t="s">
        <v>2239</v>
      </c>
      <c r="AL1890" s="0" t="s">
        <v>539</v>
      </c>
    </row>
    <row r="1891" customFormat="false" ht="15" hidden="false" customHeight="false" outlineLevel="0" collapsed="false">
      <c r="A1891" s="0" t="s">
        <v>987</v>
      </c>
      <c r="B1891" s="0" t="s">
        <v>125</v>
      </c>
      <c r="C1891" s="0" t="s">
        <v>4590</v>
      </c>
      <c r="D1891" s="0" t="n">
        <v>2019</v>
      </c>
      <c r="E1891" s="0" t="s">
        <v>66</v>
      </c>
      <c r="F1891" s="0" t="n">
        <v>2978121</v>
      </c>
      <c r="G1891" s="0" t="s">
        <v>3101</v>
      </c>
      <c r="H1891" s="0" t="s">
        <v>3068</v>
      </c>
      <c r="I1891" s="0" t="n">
        <v>2978121</v>
      </c>
      <c r="J1891" s="0" t="s">
        <v>4155</v>
      </c>
      <c r="K1891" s="0" t="s">
        <v>2702</v>
      </c>
      <c r="L1891" s="0" t="n">
        <v>2019</v>
      </c>
      <c r="M1891" s="0" t="s">
        <v>2313</v>
      </c>
      <c r="N1891" s="0" t="s">
        <v>131</v>
      </c>
      <c r="O1891" s="0" t="s">
        <v>6830</v>
      </c>
      <c r="P1891" s="0" t="s">
        <v>6831</v>
      </c>
      <c r="Q1891" s="0" t="n">
        <v>463</v>
      </c>
      <c r="R1891" s="0" t="n">
        <v>88</v>
      </c>
      <c r="S1891" s="0" t="n">
        <v>4</v>
      </c>
      <c r="T1891" s="0" t="s">
        <v>6871</v>
      </c>
      <c r="U1891" s="0" t="s">
        <v>4461</v>
      </c>
      <c r="V1891" s="0" t="s">
        <v>133</v>
      </c>
      <c r="W1891" s="0" t="s">
        <v>6875</v>
      </c>
      <c r="X1891" s="0" t="s">
        <v>6873</v>
      </c>
      <c r="Y1891" s="0" t="s">
        <v>4212</v>
      </c>
      <c r="Z1891" s="0" t="s">
        <v>4160</v>
      </c>
      <c r="AA1891" s="0" t="s">
        <v>6876</v>
      </c>
      <c r="AB1891" s="0" t="s">
        <v>6835</v>
      </c>
      <c r="AC1891" s="0" t="s">
        <v>4162</v>
      </c>
      <c r="AD1891" s="0" t="s">
        <v>4163</v>
      </c>
      <c r="AE1891" s="0" t="s">
        <v>4164</v>
      </c>
      <c r="AF1891" s="0" t="s">
        <v>6836</v>
      </c>
      <c r="AH1891" s="0" t="s">
        <v>2239</v>
      </c>
      <c r="AL1891" s="0" t="s">
        <v>539</v>
      </c>
    </row>
    <row r="1892" customFormat="false" ht="15" hidden="false" customHeight="false" outlineLevel="0" collapsed="false">
      <c r="A1892" s="0" t="s">
        <v>984</v>
      </c>
      <c r="B1892" s="0" t="s">
        <v>125</v>
      </c>
      <c r="C1892" s="0" t="s">
        <v>4590</v>
      </c>
      <c r="D1892" s="0" t="n">
        <v>2019</v>
      </c>
      <c r="E1892" s="0" t="s">
        <v>69</v>
      </c>
      <c r="F1892" s="0" t="s">
        <v>6877</v>
      </c>
      <c r="G1892" s="0" t="s">
        <v>3143</v>
      </c>
      <c r="I1892" s="0" t="n">
        <v>11.16</v>
      </c>
      <c r="J1892" s="0" t="s">
        <v>4155</v>
      </c>
      <c r="K1892" s="0" t="s">
        <v>2702</v>
      </c>
      <c r="L1892" s="0" t="n">
        <v>2019</v>
      </c>
      <c r="M1892" s="0" t="s">
        <v>2313</v>
      </c>
      <c r="N1892" s="0" t="s">
        <v>131</v>
      </c>
      <c r="O1892" s="0" t="s">
        <v>6830</v>
      </c>
      <c r="P1892" s="0" t="s">
        <v>6831</v>
      </c>
      <c r="Q1892" s="0" t="n">
        <v>463</v>
      </c>
      <c r="R1892" s="0" t="n">
        <v>88</v>
      </c>
      <c r="S1892" s="0" t="n">
        <v>4</v>
      </c>
      <c r="T1892" s="0" t="s">
        <v>6871</v>
      </c>
      <c r="U1892" s="0" t="s">
        <v>4461</v>
      </c>
      <c r="V1892" s="0" t="s">
        <v>133</v>
      </c>
      <c r="W1892" s="0" t="s">
        <v>6878</v>
      </c>
      <c r="X1892" s="0" t="s">
        <v>6873</v>
      </c>
      <c r="Y1892" s="0" t="s">
        <v>4212</v>
      </c>
      <c r="Z1892" s="0" t="s">
        <v>4160</v>
      </c>
      <c r="AA1892" s="0" t="s">
        <v>6879</v>
      </c>
      <c r="AB1892" s="0" t="s">
        <v>6835</v>
      </c>
      <c r="AC1892" s="0" t="s">
        <v>4162</v>
      </c>
      <c r="AD1892" s="0" t="s">
        <v>4163</v>
      </c>
      <c r="AE1892" s="0" t="s">
        <v>4164</v>
      </c>
      <c r="AF1892" s="0" t="s">
        <v>6836</v>
      </c>
      <c r="AH1892" s="0" t="s">
        <v>2239</v>
      </c>
      <c r="AL1892" s="0" t="s">
        <v>539</v>
      </c>
    </row>
    <row r="1893" customFormat="false" ht="15" hidden="false" customHeight="false" outlineLevel="0" collapsed="false">
      <c r="A1893" s="0" t="s">
        <v>985</v>
      </c>
      <c r="B1893" s="0" t="s">
        <v>125</v>
      </c>
      <c r="C1893" s="0" t="s">
        <v>4590</v>
      </c>
      <c r="D1893" s="0" t="n">
        <v>2019</v>
      </c>
      <c r="E1893" s="0" t="s">
        <v>614</v>
      </c>
      <c r="F1893" s="0" t="s">
        <v>6880</v>
      </c>
      <c r="G1893" s="0" t="s">
        <v>3143</v>
      </c>
      <c r="I1893" s="0" t="n">
        <v>15.45</v>
      </c>
      <c r="J1893" s="0" t="s">
        <v>4155</v>
      </c>
      <c r="K1893" s="0" t="s">
        <v>2702</v>
      </c>
      <c r="L1893" s="0" t="n">
        <v>2019</v>
      </c>
      <c r="M1893" s="0" t="s">
        <v>2313</v>
      </c>
      <c r="N1893" s="0" t="s">
        <v>131</v>
      </c>
      <c r="O1893" s="0" t="s">
        <v>6830</v>
      </c>
      <c r="P1893" s="0" t="s">
        <v>6831</v>
      </c>
      <c r="Q1893" s="0" t="n">
        <v>463</v>
      </c>
      <c r="R1893" s="0" t="n">
        <v>88</v>
      </c>
      <c r="S1893" s="0" t="n">
        <v>4</v>
      </c>
      <c r="T1893" s="0" t="s">
        <v>6881</v>
      </c>
      <c r="U1893" s="0" t="s">
        <v>4461</v>
      </c>
      <c r="V1893" s="0" t="s">
        <v>133</v>
      </c>
      <c r="W1893" s="0" t="s">
        <v>6878</v>
      </c>
      <c r="X1893" s="0" t="s">
        <v>6873</v>
      </c>
      <c r="Y1893" s="0" t="s">
        <v>4212</v>
      </c>
      <c r="Z1893" s="0" t="s">
        <v>4160</v>
      </c>
      <c r="AA1893" s="0" t="s">
        <v>6882</v>
      </c>
      <c r="AB1893" s="0" t="s">
        <v>6835</v>
      </c>
      <c r="AC1893" s="0" t="s">
        <v>4162</v>
      </c>
      <c r="AD1893" s="0" t="s">
        <v>4163</v>
      </c>
      <c r="AE1893" s="0" t="s">
        <v>4164</v>
      </c>
      <c r="AF1893" s="0" t="s">
        <v>6836</v>
      </c>
      <c r="AH1893" s="0" t="s">
        <v>2239</v>
      </c>
      <c r="AL1893" s="0" t="s">
        <v>539</v>
      </c>
    </row>
    <row r="1894" customFormat="false" ht="15" hidden="false" customHeight="false" outlineLevel="0" collapsed="false">
      <c r="A1894" s="0" t="s">
        <v>988</v>
      </c>
      <c r="B1894" s="0" t="s">
        <v>125</v>
      </c>
      <c r="C1894" s="0" t="s">
        <v>4590</v>
      </c>
      <c r="D1894" s="0" t="n">
        <v>2019</v>
      </c>
      <c r="E1894" s="0" t="s">
        <v>73</v>
      </c>
      <c r="F1894" s="0" t="n">
        <v>0</v>
      </c>
      <c r="G1894" s="0" t="s">
        <v>4257</v>
      </c>
      <c r="I1894" s="0" t="n">
        <v>0</v>
      </c>
      <c r="J1894" s="0" t="s">
        <v>4155</v>
      </c>
      <c r="K1894" s="0" t="s">
        <v>2702</v>
      </c>
      <c r="L1894" s="0" t="n">
        <v>2019</v>
      </c>
      <c r="M1894" s="0" t="s">
        <v>2313</v>
      </c>
      <c r="N1894" s="0" t="s">
        <v>131</v>
      </c>
      <c r="O1894" s="0" t="s">
        <v>6830</v>
      </c>
      <c r="P1894" s="0" t="s">
        <v>6831</v>
      </c>
      <c r="Q1894" s="0" t="n">
        <v>385</v>
      </c>
      <c r="R1894" s="0" t="n">
        <v>10</v>
      </c>
      <c r="T1894" s="0" t="s">
        <v>6883</v>
      </c>
      <c r="U1894" s="0" t="s">
        <v>4461</v>
      </c>
      <c r="V1894" s="0" t="s">
        <v>133</v>
      </c>
      <c r="W1894" s="0" t="s">
        <v>4351</v>
      </c>
      <c r="X1894" s="0" t="s">
        <v>6884</v>
      </c>
      <c r="Y1894" s="0" t="s">
        <v>4212</v>
      </c>
      <c r="Z1894" s="0" t="s">
        <v>4160</v>
      </c>
      <c r="AA1894" s="0" t="s">
        <v>6885</v>
      </c>
      <c r="AB1894" s="0" t="s">
        <v>6835</v>
      </c>
      <c r="AC1894" s="0" t="s">
        <v>4162</v>
      </c>
      <c r="AD1894" s="0" t="s">
        <v>4163</v>
      </c>
      <c r="AE1894" s="0" t="s">
        <v>4164</v>
      </c>
      <c r="AF1894" s="0" t="s">
        <v>6836</v>
      </c>
      <c r="AG1894" s="0" t="s">
        <v>1828</v>
      </c>
      <c r="AH1894" s="0" t="s">
        <v>2239</v>
      </c>
      <c r="AL1894" s="0" t="s">
        <v>539</v>
      </c>
    </row>
    <row r="1895" customFormat="false" ht="15" hidden="false" customHeight="false" outlineLevel="0" collapsed="false">
      <c r="A1895" s="0" t="s">
        <v>6886</v>
      </c>
      <c r="B1895" s="0" t="s">
        <v>125</v>
      </c>
      <c r="C1895" s="0" t="s">
        <v>4590</v>
      </c>
      <c r="D1895" s="0" t="n">
        <v>2018</v>
      </c>
      <c r="E1895" s="0" t="s">
        <v>6855</v>
      </c>
      <c r="F1895" s="0" t="n">
        <v>1609031</v>
      </c>
      <c r="G1895" s="0" t="s">
        <v>3101</v>
      </c>
      <c r="H1895" s="0" t="s">
        <v>3068</v>
      </c>
      <c r="I1895" s="0" t="n">
        <v>1609031</v>
      </c>
      <c r="J1895" s="0" t="s">
        <v>4155</v>
      </c>
      <c r="K1895" s="0" t="s">
        <v>2702</v>
      </c>
      <c r="L1895" s="0" t="n">
        <v>2019</v>
      </c>
      <c r="M1895" s="0" t="s">
        <v>2313</v>
      </c>
      <c r="N1895" s="0" t="s">
        <v>131</v>
      </c>
      <c r="O1895" s="0" t="s">
        <v>6830</v>
      </c>
      <c r="P1895" s="0" t="s">
        <v>6831</v>
      </c>
      <c r="Q1895" s="0" t="n">
        <v>473</v>
      </c>
      <c r="R1895" s="0" t="n">
        <v>98</v>
      </c>
      <c r="S1895" s="0" t="n">
        <v>20</v>
      </c>
      <c r="T1895" s="0" t="s">
        <v>6840</v>
      </c>
      <c r="U1895" s="0" t="s">
        <v>6841</v>
      </c>
      <c r="V1895" s="0" t="s">
        <v>133</v>
      </c>
      <c r="W1895" s="0" t="s">
        <v>6887</v>
      </c>
      <c r="X1895" s="0" t="s">
        <v>6857</v>
      </c>
      <c r="Y1895" s="0" t="s">
        <v>4212</v>
      </c>
      <c r="Z1895" s="0" t="s">
        <v>4160</v>
      </c>
      <c r="AA1895" s="0" t="s">
        <v>6888</v>
      </c>
      <c r="AB1895" s="0" t="s">
        <v>6835</v>
      </c>
      <c r="AC1895" s="0" t="s">
        <v>4162</v>
      </c>
      <c r="AD1895" s="0" t="s">
        <v>4163</v>
      </c>
      <c r="AE1895" s="0" t="s">
        <v>4164</v>
      </c>
      <c r="AF1895" s="0" t="s">
        <v>6836</v>
      </c>
      <c r="AH1895" s="0" t="s">
        <v>2239</v>
      </c>
      <c r="AL1895" s="0" t="s">
        <v>539</v>
      </c>
    </row>
    <row r="1896" customFormat="false" ht="15" hidden="false" customHeight="false" outlineLevel="0" collapsed="false">
      <c r="A1896" s="0" t="s">
        <v>6889</v>
      </c>
      <c r="B1896" s="0" t="s">
        <v>125</v>
      </c>
      <c r="C1896" s="0" t="s">
        <v>4590</v>
      </c>
      <c r="D1896" s="0" t="n">
        <v>2018</v>
      </c>
      <c r="E1896" s="0" t="s">
        <v>6860</v>
      </c>
      <c r="F1896" s="0" t="n">
        <v>119933</v>
      </c>
      <c r="G1896" s="0" t="s">
        <v>3101</v>
      </c>
      <c r="H1896" s="0" t="s">
        <v>3068</v>
      </c>
      <c r="I1896" s="0" t="n">
        <v>119933</v>
      </c>
      <c r="J1896" s="0" t="s">
        <v>4155</v>
      </c>
      <c r="K1896" s="0" t="s">
        <v>2702</v>
      </c>
      <c r="L1896" s="0" t="n">
        <v>2019</v>
      </c>
      <c r="M1896" s="0" t="s">
        <v>2313</v>
      </c>
      <c r="N1896" s="0" t="s">
        <v>131</v>
      </c>
      <c r="O1896" s="0" t="s">
        <v>6830</v>
      </c>
      <c r="P1896" s="0" t="s">
        <v>6831</v>
      </c>
      <c r="Q1896" s="0" t="n">
        <v>474</v>
      </c>
      <c r="R1896" s="0" t="n">
        <v>99</v>
      </c>
      <c r="S1896" s="0" t="n">
        <v>20</v>
      </c>
      <c r="T1896" s="0" t="s">
        <v>6840</v>
      </c>
      <c r="U1896" s="0" t="s">
        <v>6841</v>
      </c>
      <c r="V1896" s="0" t="s">
        <v>133</v>
      </c>
      <c r="W1896" s="0" t="s">
        <v>6890</v>
      </c>
      <c r="X1896" s="0" t="s">
        <v>6891</v>
      </c>
      <c r="Y1896" s="0" t="s">
        <v>4212</v>
      </c>
      <c r="Z1896" s="0" t="s">
        <v>4160</v>
      </c>
      <c r="AA1896" s="0" t="s">
        <v>6892</v>
      </c>
      <c r="AB1896" s="0" t="s">
        <v>6835</v>
      </c>
      <c r="AC1896" s="0" t="s">
        <v>4162</v>
      </c>
      <c r="AD1896" s="0" t="s">
        <v>4163</v>
      </c>
      <c r="AE1896" s="0" t="s">
        <v>4164</v>
      </c>
      <c r="AF1896" s="0" t="s">
        <v>6836</v>
      </c>
      <c r="AH1896" s="0" t="s">
        <v>2239</v>
      </c>
      <c r="AL1896" s="0" t="s">
        <v>539</v>
      </c>
    </row>
    <row r="1897" customFormat="false" ht="15" hidden="false" customHeight="false" outlineLevel="0" collapsed="false">
      <c r="A1897" s="0" t="s">
        <v>956</v>
      </c>
      <c r="B1897" s="0" t="s">
        <v>125</v>
      </c>
      <c r="C1897" s="0" t="s">
        <v>4590</v>
      </c>
      <c r="D1897" s="0" t="n">
        <v>2018</v>
      </c>
      <c r="E1897" s="0" t="s">
        <v>55</v>
      </c>
      <c r="F1897" s="0" t="n">
        <v>3985907</v>
      </c>
      <c r="G1897" s="0" t="s">
        <v>3101</v>
      </c>
      <c r="H1897" s="0" t="s">
        <v>3068</v>
      </c>
      <c r="I1897" s="0" t="n">
        <v>3985907</v>
      </c>
      <c r="J1897" s="0" t="s">
        <v>4155</v>
      </c>
      <c r="K1897" s="0" t="s">
        <v>2700</v>
      </c>
      <c r="L1897" s="0" t="n">
        <v>2018</v>
      </c>
      <c r="M1897" s="0" t="s">
        <v>2313</v>
      </c>
      <c r="N1897" s="0" t="s">
        <v>131</v>
      </c>
      <c r="O1897" s="0" t="s">
        <v>6830</v>
      </c>
      <c r="P1897" s="0" t="s">
        <v>6831</v>
      </c>
      <c r="Q1897" s="0" t="n">
        <v>517</v>
      </c>
      <c r="R1897" s="0" t="n">
        <v>18</v>
      </c>
      <c r="T1897" s="0" t="s">
        <v>6840</v>
      </c>
      <c r="U1897" s="0" t="s">
        <v>4425</v>
      </c>
      <c r="V1897" s="0" t="s">
        <v>132</v>
      </c>
      <c r="W1897" s="0" t="s">
        <v>4403</v>
      </c>
      <c r="X1897" s="0" t="s">
        <v>6893</v>
      </c>
      <c r="Y1897" s="0" t="s">
        <v>4212</v>
      </c>
      <c r="Z1897" s="0" t="s">
        <v>4160</v>
      </c>
      <c r="AA1897" s="0" t="s">
        <v>6894</v>
      </c>
      <c r="AB1897" s="0" t="s">
        <v>6835</v>
      </c>
      <c r="AC1897" s="0" t="s">
        <v>4162</v>
      </c>
      <c r="AD1897" s="0" t="s">
        <v>4163</v>
      </c>
      <c r="AE1897" s="0" t="s">
        <v>4164</v>
      </c>
      <c r="AF1897" s="0" t="s">
        <v>6895</v>
      </c>
      <c r="AH1897" s="0" t="s">
        <v>2239</v>
      </c>
      <c r="AL1897" s="0" t="s">
        <v>539</v>
      </c>
    </row>
    <row r="1898" customFormat="false" ht="15" hidden="false" customHeight="false" outlineLevel="0" collapsed="false">
      <c r="A1898" s="0" t="s">
        <v>957</v>
      </c>
      <c r="B1898" s="0" t="s">
        <v>125</v>
      </c>
      <c r="C1898" s="0" t="s">
        <v>4590</v>
      </c>
      <c r="D1898" s="0" t="n">
        <v>2018</v>
      </c>
      <c r="E1898" s="0" t="s">
        <v>56</v>
      </c>
      <c r="F1898" s="0" t="n">
        <v>3543223</v>
      </c>
      <c r="G1898" s="0" t="s">
        <v>3101</v>
      </c>
      <c r="H1898" s="0" t="s">
        <v>3068</v>
      </c>
      <c r="I1898" s="0" t="n">
        <v>3543223</v>
      </c>
      <c r="J1898" s="0" t="s">
        <v>4155</v>
      </c>
      <c r="K1898" s="0" t="s">
        <v>2700</v>
      </c>
      <c r="L1898" s="0" t="n">
        <v>2018</v>
      </c>
      <c r="M1898" s="0" t="s">
        <v>2313</v>
      </c>
      <c r="N1898" s="0" t="s">
        <v>131</v>
      </c>
      <c r="O1898" s="0" t="s">
        <v>6830</v>
      </c>
      <c r="P1898" s="0" t="s">
        <v>6831</v>
      </c>
      <c r="Q1898" s="0" t="n">
        <v>517</v>
      </c>
      <c r="R1898" s="0" t="n">
        <v>18</v>
      </c>
      <c r="T1898" s="0" t="s">
        <v>6840</v>
      </c>
      <c r="U1898" s="0" t="s">
        <v>4425</v>
      </c>
      <c r="V1898" s="0" t="s">
        <v>132</v>
      </c>
      <c r="W1898" s="0" t="s">
        <v>4406</v>
      </c>
      <c r="X1898" s="0" t="s">
        <v>6893</v>
      </c>
      <c r="Y1898" s="0" t="s">
        <v>4212</v>
      </c>
      <c r="Z1898" s="0" t="s">
        <v>4160</v>
      </c>
      <c r="AA1898" s="0" t="s">
        <v>6896</v>
      </c>
      <c r="AB1898" s="0" t="s">
        <v>6835</v>
      </c>
      <c r="AC1898" s="0" t="s">
        <v>4162</v>
      </c>
      <c r="AD1898" s="0" t="s">
        <v>4163</v>
      </c>
      <c r="AE1898" s="0" t="s">
        <v>4164</v>
      </c>
      <c r="AF1898" s="0" t="s">
        <v>6895</v>
      </c>
      <c r="AH1898" s="0" t="s">
        <v>2239</v>
      </c>
      <c r="AL1898" s="0" t="s">
        <v>539</v>
      </c>
    </row>
    <row r="1899" customFormat="false" ht="15" hidden="false" customHeight="false" outlineLevel="0" collapsed="false">
      <c r="A1899" s="0" t="s">
        <v>958</v>
      </c>
      <c r="B1899" s="0" t="s">
        <v>125</v>
      </c>
      <c r="C1899" s="0" t="s">
        <v>4590</v>
      </c>
      <c r="D1899" s="0" t="n">
        <v>2018</v>
      </c>
      <c r="E1899" s="0" t="s">
        <v>57</v>
      </c>
      <c r="F1899" s="0" t="n">
        <v>442684</v>
      </c>
      <c r="G1899" s="0" t="s">
        <v>3101</v>
      </c>
      <c r="H1899" s="0" t="s">
        <v>3068</v>
      </c>
      <c r="I1899" s="0" t="n">
        <v>442684</v>
      </c>
      <c r="J1899" s="0" t="s">
        <v>4155</v>
      </c>
      <c r="K1899" s="0" t="s">
        <v>2700</v>
      </c>
      <c r="L1899" s="0" t="n">
        <v>2018</v>
      </c>
      <c r="M1899" s="0" t="s">
        <v>2313</v>
      </c>
      <c r="N1899" s="0" t="s">
        <v>131</v>
      </c>
      <c r="O1899" s="0" t="s">
        <v>6830</v>
      </c>
      <c r="P1899" s="0" t="s">
        <v>6831</v>
      </c>
      <c r="Q1899" s="0" t="n">
        <v>517</v>
      </c>
      <c r="R1899" s="0" t="n">
        <v>18</v>
      </c>
      <c r="T1899" s="0" t="s">
        <v>6840</v>
      </c>
      <c r="U1899" s="0" t="s">
        <v>4425</v>
      </c>
      <c r="V1899" s="0" t="s">
        <v>132</v>
      </c>
      <c r="W1899" s="0" t="s">
        <v>4864</v>
      </c>
      <c r="X1899" s="0" t="s">
        <v>6893</v>
      </c>
      <c r="Y1899" s="0" t="s">
        <v>4212</v>
      </c>
      <c r="Z1899" s="0" t="s">
        <v>4160</v>
      </c>
      <c r="AA1899" s="0" t="s">
        <v>6897</v>
      </c>
      <c r="AB1899" s="0" t="s">
        <v>6835</v>
      </c>
      <c r="AC1899" s="0" t="s">
        <v>4162</v>
      </c>
      <c r="AD1899" s="0" t="s">
        <v>4163</v>
      </c>
      <c r="AE1899" s="0" t="s">
        <v>4164</v>
      </c>
      <c r="AF1899" s="0" t="s">
        <v>6895</v>
      </c>
      <c r="AH1899" s="0" t="s">
        <v>2239</v>
      </c>
      <c r="AL1899" s="0" t="s">
        <v>539</v>
      </c>
    </row>
    <row r="1900" customFormat="false" ht="15" hidden="false" customHeight="false" outlineLevel="0" collapsed="false">
      <c r="A1900" s="0" t="s">
        <v>965</v>
      </c>
      <c r="B1900" s="0" t="s">
        <v>125</v>
      </c>
      <c r="C1900" s="0" t="s">
        <v>4590</v>
      </c>
      <c r="D1900" s="0" t="n">
        <v>2018</v>
      </c>
      <c r="E1900" s="0" t="s">
        <v>62</v>
      </c>
      <c r="F1900" s="0" t="n">
        <v>1451415</v>
      </c>
      <c r="G1900" s="0" t="s">
        <v>3101</v>
      </c>
      <c r="H1900" s="0" t="s">
        <v>3068</v>
      </c>
      <c r="I1900" s="0" t="n">
        <v>1451415</v>
      </c>
      <c r="J1900" s="0" t="s">
        <v>4155</v>
      </c>
      <c r="K1900" s="0" t="s">
        <v>2700</v>
      </c>
      <c r="L1900" s="0" t="n">
        <v>2018</v>
      </c>
      <c r="M1900" s="0" t="s">
        <v>2313</v>
      </c>
      <c r="N1900" s="0" t="s">
        <v>131</v>
      </c>
      <c r="O1900" s="0" t="s">
        <v>6830</v>
      </c>
      <c r="P1900" s="0" t="s">
        <v>6831</v>
      </c>
      <c r="Q1900" s="0" t="n">
        <v>517</v>
      </c>
      <c r="R1900" s="0" t="n">
        <v>18</v>
      </c>
      <c r="S1900" s="0" t="n">
        <v>20</v>
      </c>
      <c r="T1900" s="0" t="s">
        <v>6840</v>
      </c>
      <c r="U1900" s="0" t="s">
        <v>4425</v>
      </c>
      <c r="V1900" s="0" t="s">
        <v>132</v>
      </c>
      <c r="W1900" s="0" t="s">
        <v>4738</v>
      </c>
      <c r="X1900" s="0" t="s">
        <v>6893</v>
      </c>
      <c r="Y1900" s="0" t="s">
        <v>4212</v>
      </c>
      <c r="Z1900" s="0" t="s">
        <v>4160</v>
      </c>
      <c r="AA1900" s="0" t="s">
        <v>6898</v>
      </c>
      <c r="AB1900" s="0" t="s">
        <v>6835</v>
      </c>
      <c r="AC1900" s="0" t="s">
        <v>4162</v>
      </c>
      <c r="AD1900" s="0" t="s">
        <v>4163</v>
      </c>
      <c r="AE1900" s="0" t="s">
        <v>4164</v>
      </c>
      <c r="AF1900" s="0" t="s">
        <v>6895</v>
      </c>
      <c r="AH1900" s="0" t="s">
        <v>2239</v>
      </c>
      <c r="AL1900" s="0" t="s">
        <v>539</v>
      </c>
    </row>
    <row r="1901" customFormat="false" ht="15" hidden="false" customHeight="false" outlineLevel="0" collapsed="false">
      <c r="A1901" s="0" t="s">
        <v>961</v>
      </c>
      <c r="B1901" s="0" t="s">
        <v>125</v>
      </c>
      <c r="C1901" s="0" t="s">
        <v>4590</v>
      </c>
      <c r="D1901" s="0" t="n">
        <v>2018</v>
      </c>
      <c r="E1901" s="0" t="s">
        <v>59</v>
      </c>
      <c r="F1901" s="0" t="n">
        <v>3777039</v>
      </c>
      <c r="G1901" s="0" t="s">
        <v>3101</v>
      </c>
      <c r="H1901" s="0" t="s">
        <v>3068</v>
      </c>
      <c r="I1901" s="0" t="n">
        <v>3777039</v>
      </c>
      <c r="J1901" s="0" t="s">
        <v>4155</v>
      </c>
      <c r="K1901" s="0" t="s">
        <v>2700</v>
      </c>
      <c r="L1901" s="0" t="n">
        <v>2018</v>
      </c>
      <c r="M1901" s="0" t="s">
        <v>2313</v>
      </c>
      <c r="N1901" s="0" t="s">
        <v>131</v>
      </c>
      <c r="O1901" s="0" t="s">
        <v>6830</v>
      </c>
      <c r="P1901" s="0" t="s">
        <v>6831</v>
      </c>
      <c r="Q1901" s="0" t="n">
        <v>517</v>
      </c>
      <c r="R1901" s="0" t="n">
        <v>18</v>
      </c>
      <c r="T1901" s="0" t="s">
        <v>6899</v>
      </c>
      <c r="U1901" s="0" t="s">
        <v>6900</v>
      </c>
      <c r="V1901" s="0" t="s">
        <v>132</v>
      </c>
      <c r="W1901" s="0" t="s">
        <v>4403</v>
      </c>
      <c r="X1901" s="0" t="s">
        <v>6893</v>
      </c>
      <c r="Y1901" s="0" t="s">
        <v>4212</v>
      </c>
      <c r="Z1901" s="0" t="s">
        <v>4160</v>
      </c>
      <c r="AA1901" s="0" t="s">
        <v>6901</v>
      </c>
      <c r="AB1901" s="0" t="s">
        <v>6835</v>
      </c>
      <c r="AC1901" s="0" t="s">
        <v>4162</v>
      </c>
      <c r="AD1901" s="0" t="s">
        <v>4163</v>
      </c>
      <c r="AE1901" s="0" t="s">
        <v>4164</v>
      </c>
      <c r="AF1901" s="0" t="s">
        <v>6902</v>
      </c>
      <c r="AH1901" s="0" t="s">
        <v>2239</v>
      </c>
      <c r="AL1901" s="0" t="s">
        <v>539</v>
      </c>
    </row>
    <row r="1902" customFormat="false" ht="15" hidden="false" customHeight="false" outlineLevel="0" collapsed="false">
      <c r="A1902" s="0" t="s">
        <v>955</v>
      </c>
      <c r="B1902" s="0" t="s">
        <v>125</v>
      </c>
      <c r="C1902" s="0" t="s">
        <v>4590</v>
      </c>
      <c r="D1902" s="0" t="n">
        <v>2018</v>
      </c>
      <c r="E1902" s="0" t="s">
        <v>54</v>
      </c>
      <c r="F1902" s="0" t="n">
        <v>56952</v>
      </c>
      <c r="G1902" s="0" t="s">
        <v>3101</v>
      </c>
      <c r="H1902" s="0" t="s">
        <v>3068</v>
      </c>
      <c r="I1902" s="0" t="n">
        <v>56952</v>
      </c>
      <c r="J1902" s="0" t="s">
        <v>4155</v>
      </c>
      <c r="K1902" s="0" t="s">
        <v>2700</v>
      </c>
      <c r="L1902" s="0" t="n">
        <v>2018</v>
      </c>
      <c r="M1902" s="0" t="s">
        <v>2313</v>
      </c>
      <c r="N1902" s="0" t="s">
        <v>131</v>
      </c>
      <c r="O1902" s="0" t="s">
        <v>6830</v>
      </c>
      <c r="P1902" s="0" t="s">
        <v>6831</v>
      </c>
      <c r="Q1902" s="0" t="n">
        <v>515</v>
      </c>
      <c r="R1902" s="0" t="n">
        <v>16</v>
      </c>
      <c r="T1902" s="0" t="s">
        <v>6840</v>
      </c>
      <c r="U1902" s="0" t="s">
        <v>4425</v>
      </c>
      <c r="V1902" s="0" t="s">
        <v>132</v>
      </c>
      <c r="W1902" s="0" t="s">
        <v>6844</v>
      </c>
      <c r="X1902" s="0" t="s">
        <v>6903</v>
      </c>
      <c r="Y1902" s="0" t="s">
        <v>4212</v>
      </c>
      <c r="Z1902" s="0" t="s">
        <v>4160</v>
      </c>
      <c r="AA1902" s="0" t="s">
        <v>6904</v>
      </c>
      <c r="AB1902" s="0" t="s">
        <v>6835</v>
      </c>
      <c r="AC1902" s="0" t="s">
        <v>4162</v>
      </c>
      <c r="AD1902" s="0" t="s">
        <v>4163</v>
      </c>
      <c r="AE1902" s="0" t="s">
        <v>4164</v>
      </c>
      <c r="AF1902" s="0" t="s">
        <v>6895</v>
      </c>
      <c r="AH1902" s="0" t="s">
        <v>2239</v>
      </c>
      <c r="AL1902" s="0" t="s">
        <v>539</v>
      </c>
    </row>
    <row r="1903" customFormat="false" ht="15" hidden="false" customHeight="false" outlineLevel="0" collapsed="false">
      <c r="A1903" s="0" t="s">
        <v>972</v>
      </c>
      <c r="B1903" s="0" t="s">
        <v>125</v>
      </c>
      <c r="C1903" s="0" t="s">
        <v>4590</v>
      </c>
      <c r="D1903" s="0" t="n">
        <v>2018</v>
      </c>
      <c r="E1903" s="0" t="s">
        <v>541</v>
      </c>
      <c r="F1903" s="0" t="n">
        <v>58194</v>
      </c>
      <c r="G1903" s="0" t="s">
        <v>3101</v>
      </c>
      <c r="H1903" s="0" t="s">
        <v>3068</v>
      </c>
      <c r="I1903" s="0" t="n">
        <v>58194</v>
      </c>
      <c r="J1903" s="0" t="s">
        <v>4155</v>
      </c>
      <c r="K1903" s="0" t="s">
        <v>2700</v>
      </c>
      <c r="L1903" s="0" t="n">
        <v>2018</v>
      </c>
      <c r="M1903" s="0" t="s">
        <v>2313</v>
      </c>
      <c r="N1903" s="0" t="s">
        <v>131</v>
      </c>
      <c r="O1903" s="0" t="s">
        <v>6830</v>
      </c>
      <c r="P1903" s="0" t="s">
        <v>6831</v>
      </c>
      <c r="Q1903" s="0" t="n">
        <v>515</v>
      </c>
      <c r="R1903" s="0" t="n">
        <v>16</v>
      </c>
      <c r="T1903" s="0" t="s">
        <v>6840</v>
      </c>
      <c r="U1903" s="0" t="s">
        <v>4425</v>
      </c>
      <c r="V1903" s="0" t="s">
        <v>132</v>
      </c>
      <c r="W1903" s="0" t="s">
        <v>6847</v>
      </c>
      <c r="X1903" s="0" t="s">
        <v>6903</v>
      </c>
      <c r="Y1903" s="0" t="s">
        <v>4212</v>
      </c>
      <c r="Z1903" s="0" t="s">
        <v>4160</v>
      </c>
      <c r="AA1903" s="0" t="s">
        <v>6905</v>
      </c>
      <c r="AB1903" s="0" t="s">
        <v>6835</v>
      </c>
      <c r="AC1903" s="0" t="s">
        <v>4162</v>
      </c>
      <c r="AD1903" s="0" t="s">
        <v>4163</v>
      </c>
      <c r="AE1903" s="0" t="s">
        <v>4164</v>
      </c>
      <c r="AF1903" s="0" t="s">
        <v>6895</v>
      </c>
      <c r="AH1903" s="0" t="s">
        <v>2239</v>
      </c>
      <c r="AL1903" s="0" t="s">
        <v>539</v>
      </c>
    </row>
    <row r="1904" customFormat="false" ht="15" hidden="false" customHeight="false" outlineLevel="0" collapsed="false">
      <c r="A1904" s="0" t="s">
        <v>966</v>
      </c>
      <c r="B1904" s="0" t="s">
        <v>125</v>
      </c>
      <c r="C1904" s="0" t="s">
        <v>4590</v>
      </c>
      <c r="D1904" s="0" t="n">
        <v>2018</v>
      </c>
      <c r="E1904" s="0" t="s">
        <v>63</v>
      </c>
      <c r="F1904" s="0" t="n">
        <v>-61865</v>
      </c>
      <c r="G1904" s="0" t="s">
        <v>3101</v>
      </c>
      <c r="H1904" s="0" t="s">
        <v>3068</v>
      </c>
      <c r="I1904" s="0" t="n">
        <v>61865</v>
      </c>
      <c r="J1904" s="0" t="s">
        <v>4155</v>
      </c>
      <c r="K1904" s="0" t="s">
        <v>2700</v>
      </c>
      <c r="L1904" s="0" t="n">
        <v>2018</v>
      </c>
      <c r="M1904" s="0" t="s">
        <v>2313</v>
      </c>
      <c r="N1904" s="0" t="s">
        <v>131</v>
      </c>
      <c r="O1904" s="0" t="s">
        <v>6830</v>
      </c>
      <c r="P1904" s="0" t="s">
        <v>6831</v>
      </c>
      <c r="Q1904" s="0" t="n">
        <v>515</v>
      </c>
      <c r="R1904" s="0" t="n">
        <v>16</v>
      </c>
      <c r="S1904" s="0" t="n">
        <v>9</v>
      </c>
      <c r="T1904" s="0" t="s">
        <v>6840</v>
      </c>
      <c r="U1904" s="0" t="s">
        <v>4425</v>
      </c>
      <c r="V1904" s="0" t="s">
        <v>132</v>
      </c>
      <c r="W1904" s="0" t="s">
        <v>6849</v>
      </c>
      <c r="X1904" s="0" t="s">
        <v>6903</v>
      </c>
      <c r="Y1904" s="0" t="s">
        <v>4212</v>
      </c>
      <c r="Z1904" s="0" t="s">
        <v>4160</v>
      </c>
      <c r="AA1904" s="0" t="s">
        <v>6906</v>
      </c>
      <c r="AB1904" s="0" t="s">
        <v>6835</v>
      </c>
      <c r="AC1904" s="0" t="s">
        <v>4162</v>
      </c>
      <c r="AD1904" s="0" t="s">
        <v>4163</v>
      </c>
      <c r="AE1904" s="0" t="s">
        <v>4164</v>
      </c>
      <c r="AF1904" s="0" t="s">
        <v>6895</v>
      </c>
      <c r="AH1904" s="0" t="s">
        <v>4174</v>
      </c>
      <c r="AI1904" s="0" t="s">
        <v>4974</v>
      </c>
      <c r="AL1904" s="0" t="s">
        <v>539</v>
      </c>
    </row>
    <row r="1905" customFormat="false" ht="15" hidden="false" customHeight="false" outlineLevel="0" collapsed="false">
      <c r="A1905" s="0" t="s">
        <v>959</v>
      </c>
      <c r="B1905" s="0" t="s">
        <v>125</v>
      </c>
      <c r="C1905" s="0" t="s">
        <v>4590</v>
      </c>
      <c r="D1905" s="0" t="n">
        <v>2018</v>
      </c>
      <c r="E1905" s="0" t="s">
        <v>58</v>
      </c>
      <c r="F1905" s="0" t="n">
        <v>327497</v>
      </c>
      <c r="G1905" s="0" t="s">
        <v>3101</v>
      </c>
      <c r="H1905" s="0" t="s">
        <v>3068</v>
      </c>
      <c r="I1905" s="0" t="n">
        <v>327497</v>
      </c>
      <c r="J1905" s="0" t="s">
        <v>4155</v>
      </c>
      <c r="K1905" s="0" t="s">
        <v>2700</v>
      </c>
      <c r="L1905" s="0" t="n">
        <v>2018</v>
      </c>
      <c r="M1905" s="0" t="s">
        <v>2313</v>
      </c>
      <c r="N1905" s="0" t="s">
        <v>131</v>
      </c>
      <c r="O1905" s="0" t="s">
        <v>6830</v>
      </c>
      <c r="P1905" s="0" t="s">
        <v>6831</v>
      </c>
      <c r="Q1905" s="0" t="n">
        <v>520</v>
      </c>
      <c r="R1905" s="0" t="n">
        <v>21</v>
      </c>
      <c r="T1905" s="0" t="s">
        <v>6840</v>
      </c>
      <c r="U1905" s="0" t="s">
        <v>4425</v>
      </c>
      <c r="V1905" s="0" t="s">
        <v>132</v>
      </c>
      <c r="W1905" s="0" t="s">
        <v>6851</v>
      </c>
      <c r="X1905" s="0" t="s">
        <v>6907</v>
      </c>
      <c r="Y1905" s="0" t="s">
        <v>4212</v>
      </c>
      <c r="Z1905" s="0" t="s">
        <v>4160</v>
      </c>
      <c r="AA1905" s="0" t="s">
        <v>6908</v>
      </c>
      <c r="AB1905" s="0" t="s">
        <v>6835</v>
      </c>
      <c r="AC1905" s="0" t="s">
        <v>4162</v>
      </c>
      <c r="AD1905" s="0" t="s">
        <v>4163</v>
      </c>
      <c r="AE1905" s="0" t="s">
        <v>4164</v>
      </c>
      <c r="AF1905" s="0" t="s">
        <v>6895</v>
      </c>
      <c r="AH1905" s="0" t="s">
        <v>2239</v>
      </c>
      <c r="AL1905" s="0" t="s">
        <v>539</v>
      </c>
    </row>
    <row r="1906" customFormat="false" ht="15" hidden="false" customHeight="false" outlineLevel="0" collapsed="false">
      <c r="A1906" s="0" t="s">
        <v>964</v>
      </c>
      <c r="B1906" s="0" t="s">
        <v>125</v>
      </c>
      <c r="C1906" s="0" t="s">
        <v>4590</v>
      </c>
      <c r="D1906" s="0" t="n">
        <v>2018</v>
      </c>
      <c r="E1906" s="0" t="s">
        <v>61</v>
      </c>
      <c r="F1906" s="0" t="n">
        <v>277549</v>
      </c>
      <c r="G1906" s="0" t="s">
        <v>3101</v>
      </c>
      <c r="H1906" s="0" t="s">
        <v>3068</v>
      </c>
      <c r="I1906" s="0" t="n">
        <v>277549</v>
      </c>
      <c r="J1906" s="0" t="s">
        <v>4155</v>
      </c>
      <c r="K1906" s="0" t="s">
        <v>2700</v>
      </c>
      <c r="L1906" s="0" t="n">
        <v>2018</v>
      </c>
      <c r="M1906" s="0" t="s">
        <v>2313</v>
      </c>
      <c r="N1906" s="0" t="s">
        <v>131</v>
      </c>
      <c r="O1906" s="0" t="s">
        <v>6830</v>
      </c>
      <c r="P1906" s="0" t="s">
        <v>6831</v>
      </c>
      <c r="Q1906" s="0" t="n">
        <v>581</v>
      </c>
      <c r="R1906" s="0" t="n">
        <v>82</v>
      </c>
      <c r="S1906" s="0" t="n">
        <v>20</v>
      </c>
      <c r="T1906" s="0" t="s">
        <v>6840</v>
      </c>
      <c r="U1906" s="0" t="s">
        <v>4425</v>
      </c>
      <c r="V1906" s="0" t="s">
        <v>132</v>
      </c>
      <c r="W1906" s="0" t="s">
        <v>6909</v>
      </c>
      <c r="X1906" s="0" t="s">
        <v>6910</v>
      </c>
      <c r="Y1906" s="0" t="s">
        <v>4212</v>
      </c>
      <c r="Z1906" s="0" t="s">
        <v>4160</v>
      </c>
      <c r="AA1906" s="0" t="s">
        <v>6911</v>
      </c>
      <c r="AB1906" s="0" t="s">
        <v>6835</v>
      </c>
      <c r="AC1906" s="0" t="s">
        <v>4162</v>
      </c>
      <c r="AD1906" s="0" t="s">
        <v>4163</v>
      </c>
      <c r="AE1906" s="0" t="s">
        <v>4164</v>
      </c>
      <c r="AF1906" s="0" t="s">
        <v>6895</v>
      </c>
      <c r="AH1906" s="0" t="s">
        <v>2239</v>
      </c>
      <c r="AL1906" s="0" t="s">
        <v>539</v>
      </c>
    </row>
    <row r="1907" customFormat="false" ht="15" hidden="false" customHeight="false" outlineLevel="0" collapsed="false">
      <c r="A1907" s="0" t="s">
        <v>969</v>
      </c>
      <c r="B1907" s="0" t="s">
        <v>125</v>
      </c>
      <c r="C1907" s="0" t="s">
        <v>4590</v>
      </c>
      <c r="D1907" s="0" t="n">
        <v>2018</v>
      </c>
      <c r="E1907" s="0" t="s">
        <v>65</v>
      </c>
      <c r="F1907" s="0" t="n">
        <v>269341</v>
      </c>
      <c r="G1907" s="0" t="s">
        <v>3101</v>
      </c>
      <c r="H1907" s="0" t="s">
        <v>3068</v>
      </c>
      <c r="I1907" s="0" t="n">
        <v>269341</v>
      </c>
      <c r="J1907" s="0" t="s">
        <v>4155</v>
      </c>
      <c r="K1907" s="0" t="s">
        <v>2700</v>
      </c>
      <c r="L1907" s="0" t="n">
        <v>2018</v>
      </c>
      <c r="M1907" s="0" t="s">
        <v>2313</v>
      </c>
      <c r="N1907" s="0" t="s">
        <v>131</v>
      </c>
      <c r="O1907" s="0" t="s">
        <v>6830</v>
      </c>
      <c r="P1907" s="0" t="s">
        <v>6831</v>
      </c>
      <c r="Q1907" s="0" t="n">
        <v>570</v>
      </c>
      <c r="R1907" s="0" t="n">
        <v>71</v>
      </c>
      <c r="S1907" s="0" t="n">
        <v>4</v>
      </c>
      <c r="T1907" s="0" t="s">
        <v>6912</v>
      </c>
      <c r="U1907" s="0" t="s">
        <v>4425</v>
      </c>
      <c r="V1907" s="0" t="s">
        <v>132</v>
      </c>
      <c r="W1907" s="0" t="s">
        <v>6872</v>
      </c>
      <c r="X1907" s="0" t="s">
        <v>6913</v>
      </c>
      <c r="Y1907" s="0" t="s">
        <v>4212</v>
      </c>
      <c r="Z1907" s="0" t="s">
        <v>4160</v>
      </c>
      <c r="AA1907" s="0" t="s">
        <v>6914</v>
      </c>
      <c r="AB1907" s="0" t="s">
        <v>6835</v>
      </c>
      <c r="AC1907" s="0" t="s">
        <v>4162</v>
      </c>
      <c r="AD1907" s="0" t="s">
        <v>4163</v>
      </c>
      <c r="AE1907" s="0" t="s">
        <v>4164</v>
      </c>
      <c r="AF1907" s="0" t="s">
        <v>6895</v>
      </c>
      <c r="AH1907" s="0" t="s">
        <v>2239</v>
      </c>
      <c r="AL1907" s="0" t="s">
        <v>539</v>
      </c>
    </row>
    <row r="1908" customFormat="false" ht="15" hidden="false" customHeight="false" outlineLevel="0" collapsed="false">
      <c r="A1908" s="0" t="s">
        <v>970</v>
      </c>
      <c r="B1908" s="0" t="s">
        <v>125</v>
      </c>
      <c r="C1908" s="0" t="s">
        <v>4590</v>
      </c>
      <c r="D1908" s="0" t="n">
        <v>2018</v>
      </c>
      <c r="E1908" s="0" t="s">
        <v>66</v>
      </c>
      <c r="F1908" s="0" t="n">
        <v>2527208</v>
      </c>
      <c r="G1908" s="0" t="s">
        <v>3101</v>
      </c>
      <c r="H1908" s="0" t="s">
        <v>3068</v>
      </c>
      <c r="I1908" s="0" t="n">
        <v>2527208</v>
      </c>
      <c r="J1908" s="0" t="s">
        <v>4155</v>
      </c>
      <c r="K1908" s="0" t="s">
        <v>2700</v>
      </c>
      <c r="L1908" s="0" t="n">
        <v>2018</v>
      </c>
      <c r="M1908" s="0" t="s">
        <v>2313</v>
      </c>
      <c r="N1908" s="0" t="s">
        <v>131</v>
      </c>
      <c r="O1908" s="0" t="s">
        <v>6830</v>
      </c>
      <c r="P1908" s="0" t="s">
        <v>6831</v>
      </c>
      <c r="Q1908" s="0" t="n">
        <v>570</v>
      </c>
      <c r="R1908" s="0" t="n">
        <v>71</v>
      </c>
      <c r="S1908" s="0" t="n">
        <v>4</v>
      </c>
      <c r="T1908" s="0" t="s">
        <v>6912</v>
      </c>
      <c r="U1908" s="0" t="s">
        <v>4425</v>
      </c>
      <c r="V1908" s="0" t="s">
        <v>132</v>
      </c>
      <c r="W1908" s="0" t="s">
        <v>6875</v>
      </c>
      <c r="X1908" s="0" t="s">
        <v>6913</v>
      </c>
      <c r="Y1908" s="0" t="s">
        <v>4212</v>
      </c>
      <c r="Z1908" s="0" t="s">
        <v>4160</v>
      </c>
      <c r="AA1908" s="0" t="s">
        <v>6915</v>
      </c>
      <c r="AB1908" s="0" t="s">
        <v>6835</v>
      </c>
      <c r="AC1908" s="0" t="s">
        <v>4162</v>
      </c>
      <c r="AD1908" s="0" t="s">
        <v>4163</v>
      </c>
      <c r="AE1908" s="0" t="s">
        <v>4164</v>
      </c>
      <c r="AF1908" s="0" t="s">
        <v>6895</v>
      </c>
      <c r="AH1908" s="0" t="s">
        <v>2239</v>
      </c>
      <c r="AL1908" s="0" t="s">
        <v>539</v>
      </c>
    </row>
    <row r="1909" customFormat="false" ht="15" hidden="false" customHeight="false" outlineLevel="0" collapsed="false">
      <c r="A1909" s="0" t="s">
        <v>967</v>
      </c>
      <c r="B1909" s="0" t="s">
        <v>125</v>
      </c>
      <c r="C1909" s="0" t="s">
        <v>4590</v>
      </c>
      <c r="D1909" s="0" t="n">
        <v>2018</v>
      </c>
      <c r="E1909" s="0" t="s">
        <v>69</v>
      </c>
      <c r="F1909" s="0" t="s">
        <v>5809</v>
      </c>
      <c r="G1909" s="0" t="s">
        <v>3143</v>
      </c>
      <c r="I1909" s="0" t="n">
        <v>10.66</v>
      </c>
      <c r="J1909" s="0" t="s">
        <v>4155</v>
      </c>
      <c r="K1909" s="0" t="s">
        <v>2700</v>
      </c>
      <c r="L1909" s="0" t="n">
        <v>2018</v>
      </c>
      <c r="M1909" s="0" t="s">
        <v>2313</v>
      </c>
      <c r="N1909" s="0" t="s">
        <v>131</v>
      </c>
      <c r="O1909" s="0" t="s">
        <v>6830</v>
      </c>
      <c r="P1909" s="0" t="s">
        <v>6831</v>
      </c>
      <c r="Q1909" s="0" t="n">
        <v>570</v>
      </c>
      <c r="R1909" s="0" t="n">
        <v>71</v>
      </c>
      <c r="S1909" s="0" t="n">
        <v>4</v>
      </c>
      <c r="T1909" s="0" t="s">
        <v>6912</v>
      </c>
      <c r="U1909" s="0" t="s">
        <v>4425</v>
      </c>
      <c r="V1909" s="0" t="s">
        <v>132</v>
      </c>
      <c r="W1909" s="0" t="s">
        <v>6878</v>
      </c>
      <c r="X1909" s="0" t="s">
        <v>6913</v>
      </c>
      <c r="Y1909" s="0" t="s">
        <v>4212</v>
      </c>
      <c r="Z1909" s="0" t="s">
        <v>4160</v>
      </c>
      <c r="AA1909" s="0" t="s">
        <v>6916</v>
      </c>
      <c r="AB1909" s="0" t="s">
        <v>6835</v>
      </c>
      <c r="AC1909" s="0" t="s">
        <v>4162</v>
      </c>
      <c r="AD1909" s="0" t="s">
        <v>4163</v>
      </c>
      <c r="AE1909" s="0" t="s">
        <v>4164</v>
      </c>
      <c r="AF1909" s="0" t="s">
        <v>6895</v>
      </c>
      <c r="AH1909" s="0" t="s">
        <v>2239</v>
      </c>
      <c r="AL1909" s="0" t="s">
        <v>539</v>
      </c>
    </row>
    <row r="1910" customFormat="false" ht="15" hidden="false" customHeight="false" outlineLevel="0" collapsed="false">
      <c r="A1910" s="0" t="s">
        <v>968</v>
      </c>
      <c r="B1910" s="0" t="s">
        <v>125</v>
      </c>
      <c r="C1910" s="0" t="s">
        <v>4590</v>
      </c>
      <c r="D1910" s="0" t="n">
        <v>2018</v>
      </c>
      <c r="E1910" s="0" t="s">
        <v>614</v>
      </c>
      <c r="F1910" s="0" t="s">
        <v>6917</v>
      </c>
      <c r="G1910" s="0" t="s">
        <v>3143</v>
      </c>
      <c r="I1910" s="0" t="n">
        <v>17.26</v>
      </c>
      <c r="J1910" s="0" t="s">
        <v>4155</v>
      </c>
      <c r="K1910" s="0" t="s">
        <v>2700</v>
      </c>
      <c r="L1910" s="0" t="n">
        <v>2018</v>
      </c>
      <c r="M1910" s="0" t="s">
        <v>2313</v>
      </c>
      <c r="N1910" s="0" t="s">
        <v>131</v>
      </c>
      <c r="O1910" s="0" t="s">
        <v>6830</v>
      </c>
      <c r="P1910" s="0" t="s">
        <v>6831</v>
      </c>
      <c r="Q1910" s="0" t="n">
        <v>570</v>
      </c>
      <c r="R1910" s="0" t="n">
        <v>71</v>
      </c>
      <c r="S1910" s="0" t="n">
        <v>4</v>
      </c>
      <c r="T1910" s="0" t="s">
        <v>6918</v>
      </c>
      <c r="U1910" s="0" t="s">
        <v>4425</v>
      </c>
      <c r="V1910" s="0" t="s">
        <v>132</v>
      </c>
      <c r="W1910" s="0" t="s">
        <v>6878</v>
      </c>
      <c r="X1910" s="0" t="s">
        <v>6913</v>
      </c>
      <c r="Y1910" s="0" t="s">
        <v>4212</v>
      </c>
      <c r="Z1910" s="0" t="s">
        <v>4160</v>
      </c>
      <c r="AA1910" s="0" t="s">
        <v>6919</v>
      </c>
      <c r="AB1910" s="0" t="s">
        <v>6835</v>
      </c>
      <c r="AC1910" s="0" t="s">
        <v>4162</v>
      </c>
      <c r="AD1910" s="0" t="s">
        <v>4163</v>
      </c>
      <c r="AE1910" s="0" t="s">
        <v>4164</v>
      </c>
      <c r="AF1910" s="0" t="s">
        <v>6895</v>
      </c>
      <c r="AH1910" s="0" t="s">
        <v>2239</v>
      </c>
      <c r="AL1910" s="0" t="s">
        <v>539</v>
      </c>
    </row>
    <row r="1911" customFormat="false" ht="15" hidden="false" customHeight="false" outlineLevel="0" collapsed="false">
      <c r="A1911" s="0" t="s">
        <v>971</v>
      </c>
      <c r="B1911" s="0" t="s">
        <v>125</v>
      </c>
      <c r="C1911" s="0" t="s">
        <v>4590</v>
      </c>
      <c r="D1911" s="0" t="n">
        <v>2018</v>
      </c>
      <c r="E1911" s="0" t="s">
        <v>73</v>
      </c>
      <c r="F1911" s="0" t="n">
        <v>0</v>
      </c>
      <c r="G1911" s="0" t="s">
        <v>4257</v>
      </c>
      <c r="I1911" s="0" t="n">
        <v>0</v>
      </c>
      <c r="J1911" s="0" t="s">
        <v>4155</v>
      </c>
      <c r="K1911" s="0" t="s">
        <v>2700</v>
      </c>
      <c r="L1911" s="0" t="n">
        <v>2018</v>
      </c>
      <c r="M1911" s="0" t="s">
        <v>2313</v>
      </c>
      <c r="N1911" s="0" t="s">
        <v>131</v>
      </c>
      <c r="O1911" s="0" t="s">
        <v>6830</v>
      </c>
      <c r="P1911" s="0" t="s">
        <v>6831</v>
      </c>
      <c r="Q1911" s="0" t="n">
        <v>510</v>
      </c>
      <c r="R1911" s="0" t="n">
        <v>11</v>
      </c>
      <c r="T1911" s="0" t="s">
        <v>6883</v>
      </c>
      <c r="U1911" s="0" t="s">
        <v>4425</v>
      </c>
      <c r="V1911" s="0" t="s">
        <v>132</v>
      </c>
      <c r="W1911" s="0" t="s">
        <v>4351</v>
      </c>
      <c r="X1911" s="0" t="s">
        <v>6920</v>
      </c>
      <c r="Y1911" s="0" t="s">
        <v>4212</v>
      </c>
      <c r="Z1911" s="0" t="s">
        <v>4160</v>
      </c>
      <c r="AA1911" s="0" t="s">
        <v>6921</v>
      </c>
      <c r="AB1911" s="0" t="s">
        <v>6835</v>
      </c>
      <c r="AC1911" s="0" t="s">
        <v>4162</v>
      </c>
      <c r="AD1911" s="0" t="s">
        <v>4163</v>
      </c>
      <c r="AE1911" s="0" t="s">
        <v>4164</v>
      </c>
      <c r="AF1911" s="0" t="s">
        <v>6895</v>
      </c>
      <c r="AG1911" s="0" t="s">
        <v>1828</v>
      </c>
      <c r="AH1911" s="0" t="s">
        <v>2239</v>
      </c>
      <c r="AL1911" s="0" t="s">
        <v>539</v>
      </c>
    </row>
    <row r="1912" customFormat="false" ht="15" hidden="false" customHeight="false" outlineLevel="0" collapsed="false">
      <c r="A1912" s="0" t="s">
        <v>991</v>
      </c>
      <c r="B1912" s="0" t="s">
        <v>125</v>
      </c>
      <c r="C1912" s="0" t="s">
        <v>4590</v>
      </c>
      <c r="D1912" s="0" t="n">
        <v>2022</v>
      </c>
      <c r="E1912" s="0" t="s">
        <v>55</v>
      </c>
      <c r="F1912" s="0" t="n">
        <v>8125060</v>
      </c>
      <c r="G1912" s="0" t="s">
        <v>3101</v>
      </c>
      <c r="H1912" s="0" t="s">
        <v>3068</v>
      </c>
      <c r="I1912" s="0" t="n">
        <v>8125060</v>
      </c>
      <c r="J1912" s="0" t="s">
        <v>4155</v>
      </c>
      <c r="K1912" s="0" t="s">
        <v>2703</v>
      </c>
      <c r="L1912" s="0" t="n">
        <v>2022</v>
      </c>
      <c r="M1912" s="0" t="s">
        <v>2327</v>
      </c>
      <c r="N1912" s="0" t="s">
        <v>134</v>
      </c>
      <c r="O1912" s="0" t="s">
        <v>6922</v>
      </c>
      <c r="P1912" s="0" t="s">
        <v>6923</v>
      </c>
      <c r="Q1912" s="0" t="n">
        <v>4</v>
      </c>
      <c r="R1912" s="0" t="n">
        <v>4</v>
      </c>
      <c r="T1912" s="0" t="s">
        <v>6924</v>
      </c>
      <c r="U1912" s="0" t="s">
        <v>6925</v>
      </c>
      <c r="V1912" s="0" t="s">
        <v>135</v>
      </c>
      <c r="W1912" s="0" t="s">
        <v>4403</v>
      </c>
      <c r="X1912" s="0" t="s">
        <v>6926</v>
      </c>
      <c r="Y1912" s="0" t="s">
        <v>4212</v>
      </c>
      <c r="Z1912" s="0" t="s">
        <v>4160</v>
      </c>
      <c r="AA1912" s="0" t="s">
        <v>6927</v>
      </c>
      <c r="AB1912" s="0" t="s">
        <v>6928</v>
      </c>
      <c r="AC1912" s="0" t="s">
        <v>4162</v>
      </c>
      <c r="AD1912" s="0" t="s">
        <v>4163</v>
      </c>
      <c r="AE1912" s="0" t="s">
        <v>4164</v>
      </c>
      <c r="AF1912" s="0" t="s">
        <v>6929</v>
      </c>
      <c r="AH1912" s="0" t="s">
        <v>2239</v>
      </c>
      <c r="AL1912" s="0" t="s">
        <v>539</v>
      </c>
    </row>
    <row r="1913" customFormat="false" ht="15" hidden="false" customHeight="false" outlineLevel="0" collapsed="false">
      <c r="A1913" s="0" t="s">
        <v>992</v>
      </c>
      <c r="B1913" s="0" t="s">
        <v>125</v>
      </c>
      <c r="C1913" s="0" t="s">
        <v>4590</v>
      </c>
      <c r="D1913" s="0" t="n">
        <v>2022</v>
      </c>
      <c r="E1913" s="0" t="s">
        <v>56</v>
      </c>
      <c r="F1913" s="0" t="n">
        <v>7372174</v>
      </c>
      <c r="G1913" s="0" t="s">
        <v>3101</v>
      </c>
      <c r="H1913" s="0" t="s">
        <v>3068</v>
      </c>
      <c r="I1913" s="0" t="n">
        <v>7372174</v>
      </c>
      <c r="J1913" s="0" t="s">
        <v>4155</v>
      </c>
      <c r="K1913" s="0" t="s">
        <v>2703</v>
      </c>
      <c r="L1913" s="0" t="n">
        <v>2022</v>
      </c>
      <c r="M1913" s="0" t="s">
        <v>2327</v>
      </c>
      <c r="N1913" s="0" t="s">
        <v>134</v>
      </c>
      <c r="O1913" s="0" t="s">
        <v>6922</v>
      </c>
      <c r="P1913" s="0" t="s">
        <v>6923</v>
      </c>
      <c r="Q1913" s="0" t="n">
        <v>4</v>
      </c>
      <c r="R1913" s="0" t="n">
        <v>4</v>
      </c>
      <c r="T1913" s="0" t="s">
        <v>6924</v>
      </c>
      <c r="U1913" s="0" t="s">
        <v>6925</v>
      </c>
      <c r="V1913" s="0" t="s">
        <v>135</v>
      </c>
      <c r="W1913" s="0" t="s">
        <v>4406</v>
      </c>
      <c r="X1913" s="0" t="s">
        <v>6926</v>
      </c>
      <c r="Y1913" s="0" t="s">
        <v>4212</v>
      </c>
      <c r="Z1913" s="0" t="s">
        <v>4160</v>
      </c>
      <c r="AA1913" s="0" t="s">
        <v>6930</v>
      </c>
      <c r="AB1913" s="0" t="s">
        <v>6928</v>
      </c>
      <c r="AC1913" s="0" t="s">
        <v>4162</v>
      </c>
      <c r="AD1913" s="0" t="s">
        <v>4163</v>
      </c>
      <c r="AE1913" s="0" t="s">
        <v>4164</v>
      </c>
      <c r="AF1913" s="0" t="s">
        <v>6929</v>
      </c>
      <c r="AH1913" s="0" t="s">
        <v>2239</v>
      </c>
      <c r="AL1913" s="0" t="s">
        <v>539</v>
      </c>
    </row>
    <row r="1914" customFormat="false" ht="15" hidden="false" customHeight="false" outlineLevel="0" collapsed="false">
      <c r="A1914" s="0" t="s">
        <v>993</v>
      </c>
      <c r="B1914" s="0" t="s">
        <v>125</v>
      </c>
      <c r="C1914" s="0" t="s">
        <v>4590</v>
      </c>
      <c r="D1914" s="0" t="n">
        <v>2022</v>
      </c>
      <c r="E1914" s="0" t="s">
        <v>57</v>
      </c>
      <c r="F1914" s="0" t="n">
        <v>752886</v>
      </c>
      <c r="G1914" s="0" t="s">
        <v>3101</v>
      </c>
      <c r="H1914" s="0" t="s">
        <v>3068</v>
      </c>
      <c r="I1914" s="0" t="n">
        <v>752886</v>
      </c>
      <c r="J1914" s="0" t="s">
        <v>4155</v>
      </c>
      <c r="K1914" s="0" t="s">
        <v>2703</v>
      </c>
      <c r="L1914" s="0" t="n">
        <v>2022</v>
      </c>
      <c r="M1914" s="0" t="s">
        <v>2327</v>
      </c>
      <c r="N1914" s="0" t="s">
        <v>134</v>
      </c>
      <c r="O1914" s="0" t="s">
        <v>6922</v>
      </c>
      <c r="P1914" s="0" t="s">
        <v>6923</v>
      </c>
      <c r="Q1914" s="0" t="n">
        <v>4</v>
      </c>
      <c r="R1914" s="0" t="n">
        <v>4</v>
      </c>
      <c r="T1914" s="0" t="s">
        <v>6924</v>
      </c>
      <c r="U1914" s="0" t="s">
        <v>6925</v>
      </c>
      <c r="V1914" s="0" t="s">
        <v>135</v>
      </c>
      <c r="W1914" s="0" t="s">
        <v>4864</v>
      </c>
      <c r="X1914" s="0" t="s">
        <v>6926</v>
      </c>
      <c r="Y1914" s="0" t="s">
        <v>4212</v>
      </c>
      <c r="Z1914" s="0" t="s">
        <v>4160</v>
      </c>
      <c r="AA1914" s="0" t="s">
        <v>6931</v>
      </c>
      <c r="AB1914" s="0" t="s">
        <v>6928</v>
      </c>
      <c r="AC1914" s="0" t="s">
        <v>4162</v>
      </c>
      <c r="AD1914" s="0" t="s">
        <v>4163</v>
      </c>
      <c r="AE1914" s="0" t="s">
        <v>4164</v>
      </c>
      <c r="AF1914" s="0" t="s">
        <v>6929</v>
      </c>
      <c r="AH1914" s="0" t="s">
        <v>2239</v>
      </c>
      <c r="AL1914" s="0" t="s">
        <v>539</v>
      </c>
    </row>
    <row r="1915" customFormat="false" ht="15" hidden="false" customHeight="false" outlineLevel="0" collapsed="false">
      <c r="A1915" s="0" t="s">
        <v>994</v>
      </c>
      <c r="B1915" s="0" t="s">
        <v>125</v>
      </c>
      <c r="C1915" s="0" t="s">
        <v>4590</v>
      </c>
      <c r="D1915" s="0" t="n">
        <v>2022</v>
      </c>
      <c r="E1915" s="0" t="s">
        <v>62</v>
      </c>
      <c r="F1915" s="0" t="n">
        <v>3301779</v>
      </c>
      <c r="G1915" s="0" t="s">
        <v>3101</v>
      </c>
      <c r="H1915" s="0" t="s">
        <v>3068</v>
      </c>
      <c r="I1915" s="0" t="n">
        <v>3301779</v>
      </c>
      <c r="J1915" s="0" t="s">
        <v>4155</v>
      </c>
      <c r="K1915" s="0" t="s">
        <v>2703</v>
      </c>
      <c r="L1915" s="0" t="n">
        <v>2022</v>
      </c>
      <c r="M1915" s="0" t="s">
        <v>2327</v>
      </c>
      <c r="N1915" s="0" t="s">
        <v>134</v>
      </c>
      <c r="O1915" s="0" t="s">
        <v>6922</v>
      </c>
      <c r="P1915" s="0" t="s">
        <v>6923</v>
      </c>
      <c r="Q1915" s="0" t="n">
        <v>4</v>
      </c>
      <c r="R1915" s="0" t="n">
        <v>4</v>
      </c>
      <c r="T1915" s="0" t="s">
        <v>6924</v>
      </c>
      <c r="U1915" s="0" t="s">
        <v>6925</v>
      </c>
      <c r="V1915" s="0" t="s">
        <v>135</v>
      </c>
      <c r="W1915" s="0" t="s">
        <v>4738</v>
      </c>
      <c r="X1915" s="0" t="s">
        <v>6926</v>
      </c>
      <c r="Y1915" s="0" t="s">
        <v>4212</v>
      </c>
      <c r="Z1915" s="0" t="s">
        <v>4160</v>
      </c>
      <c r="AA1915" s="0" t="s">
        <v>6932</v>
      </c>
      <c r="AB1915" s="0" t="s">
        <v>6928</v>
      </c>
      <c r="AC1915" s="0" t="s">
        <v>4162</v>
      </c>
      <c r="AD1915" s="0" t="s">
        <v>4163</v>
      </c>
      <c r="AE1915" s="0" t="s">
        <v>4164</v>
      </c>
      <c r="AF1915" s="0" t="s">
        <v>6929</v>
      </c>
      <c r="AH1915" s="0" t="s">
        <v>2239</v>
      </c>
      <c r="AL1915" s="0" t="s">
        <v>539</v>
      </c>
    </row>
    <row r="1916" customFormat="false" ht="15" hidden="false" customHeight="false" outlineLevel="0" collapsed="false">
      <c r="A1916" s="0" t="s">
        <v>990</v>
      </c>
      <c r="B1916" s="0" t="s">
        <v>125</v>
      </c>
      <c r="C1916" s="0" t="s">
        <v>4590</v>
      </c>
      <c r="D1916" s="0" t="n">
        <v>2022</v>
      </c>
      <c r="E1916" s="0" t="s">
        <v>54</v>
      </c>
      <c r="F1916" s="0" t="n">
        <v>91415</v>
      </c>
      <c r="G1916" s="0" t="s">
        <v>3101</v>
      </c>
      <c r="H1916" s="0" t="s">
        <v>3068</v>
      </c>
      <c r="I1916" s="0" t="n">
        <v>91415</v>
      </c>
      <c r="J1916" s="0" t="s">
        <v>4155</v>
      </c>
      <c r="K1916" s="0" t="s">
        <v>2703</v>
      </c>
      <c r="L1916" s="0" t="n">
        <v>2022</v>
      </c>
      <c r="M1916" s="0" t="s">
        <v>2327</v>
      </c>
      <c r="N1916" s="0" t="s">
        <v>134</v>
      </c>
      <c r="O1916" s="0" t="s">
        <v>6922</v>
      </c>
      <c r="P1916" s="0" t="s">
        <v>6923</v>
      </c>
      <c r="Q1916" s="0" t="n">
        <v>4</v>
      </c>
      <c r="R1916" s="0" t="n">
        <v>4</v>
      </c>
      <c r="T1916" s="0" t="s">
        <v>6924</v>
      </c>
      <c r="U1916" s="0" t="s">
        <v>6925</v>
      </c>
      <c r="V1916" s="0" t="s">
        <v>135</v>
      </c>
      <c r="W1916" s="0" t="s">
        <v>6844</v>
      </c>
      <c r="X1916" s="0" t="s">
        <v>6926</v>
      </c>
      <c r="Y1916" s="0" t="s">
        <v>4212</v>
      </c>
      <c r="Z1916" s="0" t="s">
        <v>4160</v>
      </c>
      <c r="AA1916" s="0" t="s">
        <v>6933</v>
      </c>
      <c r="AB1916" s="0" t="s">
        <v>6928</v>
      </c>
      <c r="AC1916" s="0" t="s">
        <v>4162</v>
      </c>
      <c r="AD1916" s="0" t="s">
        <v>4163</v>
      </c>
      <c r="AE1916" s="0" t="s">
        <v>4164</v>
      </c>
      <c r="AF1916" s="0" t="s">
        <v>6929</v>
      </c>
      <c r="AH1916" s="0" t="s">
        <v>2239</v>
      </c>
      <c r="AL1916" s="0" t="s">
        <v>539</v>
      </c>
    </row>
    <row r="1917" customFormat="false" ht="15" hidden="false" customHeight="false" outlineLevel="0" collapsed="false">
      <c r="A1917" s="0" t="s">
        <v>996</v>
      </c>
      <c r="B1917" s="0" t="s">
        <v>125</v>
      </c>
      <c r="C1917" s="0" t="s">
        <v>4590</v>
      </c>
      <c r="D1917" s="0" t="n">
        <v>2022</v>
      </c>
      <c r="E1917" s="0" t="s">
        <v>541</v>
      </c>
      <c r="F1917" s="0" t="n">
        <v>94592</v>
      </c>
      <c r="G1917" s="0" t="s">
        <v>3101</v>
      </c>
      <c r="H1917" s="0" t="s">
        <v>3068</v>
      </c>
      <c r="I1917" s="0" t="n">
        <v>94592</v>
      </c>
      <c r="J1917" s="0" t="s">
        <v>4155</v>
      </c>
      <c r="K1917" s="0" t="s">
        <v>2703</v>
      </c>
      <c r="L1917" s="0" t="n">
        <v>2022</v>
      </c>
      <c r="M1917" s="0" t="s">
        <v>2327</v>
      </c>
      <c r="N1917" s="0" t="s">
        <v>134</v>
      </c>
      <c r="O1917" s="0" t="s">
        <v>6922</v>
      </c>
      <c r="P1917" s="0" t="s">
        <v>6923</v>
      </c>
      <c r="Q1917" s="0" t="n">
        <v>4</v>
      </c>
      <c r="R1917" s="0" t="n">
        <v>4</v>
      </c>
      <c r="T1917" s="0" t="s">
        <v>6924</v>
      </c>
      <c r="U1917" s="0" t="s">
        <v>6925</v>
      </c>
      <c r="V1917" s="0" t="s">
        <v>135</v>
      </c>
      <c r="W1917" s="0" t="s">
        <v>6847</v>
      </c>
      <c r="X1917" s="0" t="s">
        <v>6926</v>
      </c>
      <c r="Y1917" s="0" t="s">
        <v>4212</v>
      </c>
      <c r="Z1917" s="0" t="s">
        <v>4160</v>
      </c>
      <c r="AA1917" s="0" t="s">
        <v>6934</v>
      </c>
      <c r="AB1917" s="0" t="s">
        <v>6928</v>
      </c>
      <c r="AC1917" s="0" t="s">
        <v>4162</v>
      </c>
      <c r="AD1917" s="0" t="s">
        <v>4163</v>
      </c>
      <c r="AE1917" s="0" t="s">
        <v>4164</v>
      </c>
      <c r="AF1917" s="0" t="s">
        <v>6929</v>
      </c>
      <c r="AH1917" s="0" t="s">
        <v>2239</v>
      </c>
      <c r="AL1917" s="0" t="s">
        <v>539</v>
      </c>
    </row>
    <row r="1918" customFormat="false" ht="15" hidden="false" customHeight="false" outlineLevel="0" collapsed="false">
      <c r="A1918" s="0" t="s">
        <v>995</v>
      </c>
      <c r="B1918" s="0" t="s">
        <v>125</v>
      </c>
      <c r="C1918" s="0" t="s">
        <v>4590</v>
      </c>
      <c r="D1918" s="0" t="n">
        <v>2022</v>
      </c>
      <c r="E1918" s="0" t="s">
        <v>63</v>
      </c>
      <c r="F1918" s="0" t="n">
        <v>-49773</v>
      </c>
      <c r="G1918" s="0" t="s">
        <v>3101</v>
      </c>
      <c r="H1918" s="0" t="s">
        <v>3068</v>
      </c>
      <c r="I1918" s="0" t="n">
        <v>49773</v>
      </c>
      <c r="J1918" s="0" t="s">
        <v>4155</v>
      </c>
      <c r="K1918" s="0" t="s">
        <v>2703</v>
      </c>
      <c r="L1918" s="0" t="n">
        <v>2022</v>
      </c>
      <c r="M1918" s="0" t="s">
        <v>2327</v>
      </c>
      <c r="N1918" s="0" t="s">
        <v>134</v>
      </c>
      <c r="O1918" s="0" t="s">
        <v>6922</v>
      </c>
      <c r="P1918" s="0" t="s">
        <v>6923</v>
      </c>
      <c r="Q1918" s="0" t="n">
        <v>4</v>
      </c>
      <c r="R1918" s="0" t="n">
        <v>4</v>
      </c>
      <c r="T1918" s="0" t="s">
        <v>6924</v>
      </c>
      <c r="U1918" s="0" t="s">
        <v>6925</v>
      </c>
      <c r="V1918" s="0" t="s">
        <v>135</v>
      </c>
      <c r="W1918" s="0" t="s">
        <v>6849</v>
      </c>
      <c r="X1918" s="0" t="s">
        <v>6926</v>
      </c>
      <c r="Y1918" s="0" t="s">
        <v>4212</v>
      </c>
      <c r="Z1918" s="0" t="s">
        <v>4160</v>
      </c>
      <c r="AA1918" s="0" t="s">
        <v>6935</v>
      </c>
      <c r="AB1918" s="0" t="s">
        <v>6928</v>
      </c>
      <c r="AC1918" s="0" t="s">
        <v>4162</v>
      </c>
      <c r="AD1918" s="0" t="s">
        <v>4163</v>
      </c>
      <c r="AE1918" s="0" t="s">
        <v>4164</v>
      </c>
      <c r="AF1918" s="0" t="s">
        <v>6929</v>
      </c>
      <c r="AH1918" s="0" t="s">
        <v>4174</v>
      </c>
      <c r="AI1918" s="0" t="s">
        <v>4974</v>
      </c>
      <c r="AL1918" s="0" t="s">
        <v>539</v>
      </c>
    </row>
    <row r="1919" customFormat="false" ht="15" hidden="false" customHeight="false" outlineLevel="0" collapsed="false">
      <c r="A1919" s="0" t="s">
        <v>1355</v>
      </c>
      <c r="B1919" s="0" t="s">
        <v>187</v>
      </c>
      <c r="C1919" s="0" t="s">
        <v>4206</v>
      </c>
      <c r="D1919" s="0" t="n">
        <v>2016</v>
      </c>
      <c r="E1919" s="0" t="s">
        <v>63</v>
      </c>
      <c r="F1919" s="0" t="s">
        <v>6936</v>
      </c>
      <c r="G1919" s="0" t="s">
        <v>3101</v>
      </c>
      <c r="H1919" s="0" t="s">
        <v>3068</v>
      </c>
      <c r="I1919" s="0" t="n">
        <v>15769</v>
      </c>
      <c r="J1919" s="0" t="s">
        <v>4155</v>
      </c>
      <c r="K1919" s="0" t="s">
        <v>2733</v>
      </c>
      <c r="L1919" s="0" t="n">
        <v>2016</v>
      </c>
      <c r="M1919" s="0" t="s">
        <v>1822</v>
      </c>
      <c r="N1919" s="0" t="s">
        <v>189</v>
      </c>
      <c r="O1919" s="0" t="s">
        <v>2416</v>
      </c>
      <c r="P1919" s="0" t="s">
        <v>4207</v>
      </c>
      <c r="Q1919" s="0" t="n">
        <v>40</v>
      </c>
      <c r="R1919" s="0" t="n">
        <v>39</v>
      </c>
      <c r="T1919" s="0" t="s">
        <v>4208</v>
      </c>
      <c r="U1919" s="0" t="s">
        <v>4209</v>
      </c>
      <c r="V1919" s="0" t="s">
        <v>87</v>
      </c>
      <c r="W1919" s="0" t="s">
        <v>6937</v>
      </c>
      <c r="X1919" s="0" t="s">
        <v>4223</v>
      </c>
      <c r="Y1919" s="0" t="s">
        <v>6938</v>
      </c>
      <c r="Z1919" s="0" t="s">
        <v>979</v>
      </c>
      <c r="AA1919" s="0" t="s">
        <v>6939</v>
      </c>
      <c r="AB1919" s="0" t="s">
        <v>4214</v>
      </c>
      <c r="AC1919" s="0" t="s">
        <v>4162</v>
      </c>
      <c r="AD1919" s="0" t="s">
        <v>4163</v>
      </c>
      <c r="AE1919" s="0" t="s">
        <v>4164</v>
      </c>
      <c r="AF1919" s="0" t="s">
        <v>4215</v>
      </c>
      <c r="AH1919" s="0" t="s">
        <v>2239</v>
      </c>
      <c r="AJ1919" s="0" t="s">
        <v>6940</v>
      </c>
      <c r="AK1919" s="0" t="s">
        <v>6941</v>
      </c>
      <c r="AL1919" s="0" t="s">
        <v>979</v>
      </c>
    </row>
    <row r="1920" customFormat="false" ht="15" hidden="false" customHeight="false" outlineLevel="0" collapsed="false">
      <c r="A1920" s="0" t="s">
        <v>1337</v>
      </c>
      <c r="B1920" s="0" t="s">
        <v>187</v>
      </c>
      <c r="C1920" s="0" t="s">
        <v>4206</v>
      </c>
      <c r="D1920" s="0" t="n">
        <v>2015</v>
      </c>
      <c r="E1920" s="0" t="s">
        <v>63</v>
      </c>
      <c r="F1920" s="0" t="s">
        <v>6936</v>
      </c>
      <c r="G1920" s="0" t="s">
        <v>3101</v>
      </c>
      <c r="H1920" s="0" t="s">
        <v>3068</v>
      </c>
      <c r="I1920" s="0" t="n">
        <v>9177</v>
      </c>
      <c r="J1920" s="0" t="s">
        <v>4155</v>
      </c>
      <c r="K1920" s="0" t="s">
        <v>2733</v>
      </c>
      <c r="L1920" s="0" t="n">
        <v>2016</v>
      </c>
      <c r="M1920" s="0" t="s">
        <v>1822</v>
      </c>
      <c r="N1920" s="0" t="s">
        <v>189</v>
      </c>
      <c r="O1920" s="0" t="s">
        <v>2416</v>
      </c>
      <c r="P1920" s="0" t="s">
        <v>4207</v>
      </c>
      <c r="Q1920" s="0" t="n">
        <v>40</v>
      </c>
      <c r="R1920" s="0" t="n">
        <v>39</v>
      </c>
      <c r="T1920" s="0" t="s">
        <v>4218</v>
      </c>
      <c r="U1920" s="0" t="s">
        <v>4220</v>
      </c>
      <c r="V1920" s="0" t="s">
        <v>190</v>
      </c>
      <c r="W1920" s="0" t="s">
        <v>6942</v>
      </c>
      <c r="X1920" s="0" t="s">
        <v>4223</v>
      </c>
      <c r="Y1920" s="0" t="s">
        <v>6938</v>
      </c>
      <c r="Z1920" s="0" t="s">
        <v>979</v>
      </c>
      <c r="AA1920" s="0" t="s">
        <v>6939</v>
      </c>
      <c r="AB1920" s="0" t="s">
        <v>4214</v>
      </c>
      <c r="AC1920" s="0" t="s">
        <v>4162</v>
      </c>
      <c r="AD1920" s="0" t="s">
        <v>4163</v>
      </c>
      <c r="AE1920" s="0" t="s">
        <v>4164</v>
      </c>
      <c r="AF1920" s="0" t="s">
        <v>4215</v>
      </c>
      <c r="AH1920" s="0" t="s">
        <v>2239</v>
      </c>
      <c r="AJ1920" s="0" t="s">
        <v>6940</v>
      </c>
      <c r="AK1920" s="0" t="s">
        <v>6943</v>
      </c>
      <c r="AL1920" s="0" t="s">
        <v>979</v>
      </c>
    </row>
    <row r="1921" customFormat="false" ht="15" hidden="false" customHeight="false" outlineLevel="0" collapsed="false">
      <c r="A1921" s="0" t="s">
        <v>1184</v>
      </c>
      <c r="B1921" s="0" t="s">
        <v>149</v>
      </c>
      <c r="C1921" s="0" t="s">
        <v>4263</v>
      </c>
      <c r="D1921" s="0" t="n">
        <v>2020</v>
      </c>
      <c r="E1921" s="0" t="s">
        <v>65</v>
      </c>
      <c r="F1921" s="0" t="s">
        <v>6936</v>
      </c>
      <c r="G1921" s="0" t="s">
        <v>3101</v>
      </c>
      <c r="H1921" s="0" t="s">
        <v>3068</v>
      </c>
      <c r="I1921" s="0" t="n">
        <v>221408</v>
      </c>
      <c r="J1921" s="0" t="s">
        <v>4155</v>
      </c>
      <c r="K1921" s="0" t="s">
        <v>1836</v>
      </c>
      <c r="L1921" s="0" t="n">
        <v>2021</v>
      </c>
      <c r="M1921" s="0" t="s">
        <v>1837</v>
      </c>
      <c r="N1921" s="0" t="s">
        <v>164</v>
      </c>
      <c r="O1921" s="0" t="s">
        <v>2359</v>
      </c>
      <c r="P1921" s="0" t="s">
        <v>3013</v>
      </c>
      <c r="Q1921" s="0" t="n">
        <v>144</v>
      </c>
      <c r="R1921" s="0" t="n">
        <v>113</v>
      </c>
      <c r="T1921" s="0" t="s">
        <v>4333</v>
      </c>
      <c r="U1921" s="0" t="s">
        <v>2673</v>
      </c>
      <c r="V1921" s="0" t="s">
        <v>165</v>
      </c>
      <c r="W1921" s="0" t="s">
        <v>6944</v>
      </c>
      <c r="X1921" s="0" t="s">
        <v>4324</v>
      </c>
      <c r="Y1921" s="0" t="s">
        <v>6938</v>
      </c>
      <c r="Z1921" s="0" t="s">
        <v>979</v>
      </c>
      <c r="AA1921" s="0" t="s">
        <v>6945</v>
      </c>
      <c r="AB1921" s="0" t="s">
        <v>3014</v>
      </c>
      <c r="AC1921" s="0" t="s">
        <v>4162</v>
      </c>
      <c r="AD1921" s="0" t="s">
        <v>4163</v>
      </c>
      <c r="AE1921" s="0" t="s">
        <v>4164</v>
      </c>
      <c r="AF1921" s="0" t="s">
        <v>4269</v>
      </c>
      <c r="AH1921" s="0" t="s">
        <v>2239</v>
      </c>
      <c r="AJ1921" s="0" t="s">
        <v>6940</v>
      </c>
      <c r="AK1921" s="0" t="s">
        <v>6946</v>
      </c>
      <c r="AL1921" s="0" t="s">
        <v>979</v>
      </c>
    </row>
    <row r="1922" customFormat="false" ht="15" hidden="false" customHeight="false" outlineLevel="0" collapsed="false">
      <c r="A1922" s="0" t="s">
        <v>1186</v>
      </c>
      <c r="B1922" s="0" t="s">
        <v>149</v>
      </c>
      <c r="C1922" s="0" t="s">
        <v>4263</v>
      </c>
      <c r="D1922" s="0" t="n">
        <v>2020</v>
      </c>
      <c r="E1922" s="0" t="s">
        <v>619</v>
      </c>
      <c r="F1922" s="0" t="s">
        <v>6936</v>
      </c>
      <c r="G1922" s="0" t="s">
        <v>3101</v>
      </c>
      <c r="H1922" s="0" t="s">
        <v>3068</v>
      </c>
      <c r="I1922" s="0" t="n">
        <v>223468</v>
      </c>
      <c r="J1922" s="0" t="s">
        <v>4155</v>
      </c>
      <c r="K1922" s="0" t="s">
        <v>1836</v>
      </c>
      <c r="L1922" s="0" t="n">
        <v>2021</v>
      </c>
      <c r="M1922" s="0" t="s">
        <v>1837</v>
      </c>
      <c r="N1922" s="0" t="s">
        <v>164</v>
      </c>
      <c r="O1922" s="0" t="s">
        <v>2359</v>
      </c>
      <c r="P1922" s="0" t="s">
        <v>3013</v>
      </c>
      <c r="Q1922" s="0" t="n">
        <v>144</v>
      </c>
      <c r="R1922" s="0" t="n">
        <v>113</v>
      </c>
      <c r="T1922" s="0" t="s">
        <v>4342</v>
      </c>
      <c r="U1922" s="0" t="s">
        <v>2673</v>
      </c>
      <c r="V1922" s="0" t="s">
        <v>165</v>
      </c>
      <c r="W1922" s="0" t="s">
        <v>6947</v>
      </c>
      <c r="X1922" s="0" t="s">
        <v>4324</v>
      </c>
      <c r="Y1922" s="0" t="s">
        <v>6938</v>
      </c>
      <c r="Z1922" s="0" t="s">
        <v>979</v>
      </c>
      <c r="AA1922" s="0" t="s">
        <v>6945</v>
      </c>
      <c r="AB1922" s="0" t="s">
        <v>3014</v>
      </c>
      <c r="AC1922" s="0" t="s">
        <v>4162</v>
      </c>
      <c r="AD1922" s="0" t="s">
        <v>4163</v>
      </c>
      <c r="AE1922" s="0" t="s">
        <v>4164</v>
      </c>
      <c r="AF1922" s="0" t="s">
        <v>4269</v>
      </c>
      <c r="AH1922" s="0" t="s">
        <v>2239</v>
      </c>
      <c r="AJ1922" s="0" t="s">
        <v>6940</v>
      </c>
      <c r="AK1922" s="0" t="s">
        <v>6948</v>
      </c>
      <c r="AL1922" s="0" t="s">
        <v>979</v>
      </c>
    </row>
    <row r="1923" customFormat="false" ht="15" hidden="false" customHeight="false" outlineLevel="0" collapsed="false">
      <c r="A1923" s="0" t="s">
        <v>1533</v>
      </c>
      <c r="B1923" s="0" t="s">
        <v>222</v>
      </c>
      <c r="C1923" s="0" t="s">
        <v>4357</v>
      </c>
      <c r="D1923" s="0" t="n">
        <v>2016</v>
      </c>
      <c r="E1923" s="0" t="s">
        <v>61</v>
      </c>
      <c r="F1923" s="0" t="s">
        <v>6936</v>
      </c>
      <c r="G1923" s="0" t="s">
        <v>3101</v>
      </c>
      <c r="H1923" s="0" t="s">
        <v>3068</v>
      </c>
      <c r="I1923" s="0" t="n">
        <v>55092</v>
      </c>
      <c r="J1923" s="0" t="s">
        <v>4155</v>
      </c>
      <c r="K1923" s="0" t="s">
        <v>2758</v>
      </c>
      <c r="L1923" s="0" t="n">
        <v>2016</v>
      </c>
      <c r="M1923" s="0" t="s">
        <v>2422</v>
      </c>
      <c r="N1923" s="0" t="s">
        <v>225</v>
      </c>
      <c r="O1923" s="0" t="s">
        <v>2423</v>
      </c>
      <c r="P1923" s="0" t="s">
        <v>4358</v>
      </c>
      <c r="Q1923" s="0" t="n">
        <v>65</v>
      </c>
      <c r="R1923" s="0" t="n">
        <v>64</v>
      </c>
      <c r="S1923" s="0" t="s">
        <v>4378</v>
      </c>
      <c r="T1923" s="0" t="s">
        <v>6949</v>
      </c>
      <c r="U1923" s="0" t="s">
        <v>4209</v>
      </c>
      <c r="V1923" s="0" t="s">
        <v>226</v>
      </c>
      <c r="W1923" s="0" t="s">
        <v>6950</v>
      </c>
      <c r="X1923" s="0" t="s">
        <v>4381</v>
      </c>
      <c r="Y1923" s="0" t="s">
        <v>6938</v>
      </c>
      <c r="Z1923" s="0" t="s">
        <v>979</v>
      </c>
      <c r="AA1923" s="0" t="s">
        <v>6951</v>
      </c>
      <c r="AB1923" s="0" t="s">
        <v>4362</v>
      </c>
      <c r="AC1923" s="0" t="s">
        <v>4162</v>
      </c>
      <c r="AD1923" s="0" t="s">
        <v>4163</v>
      </c>
      <c r="AE1923" s="0" t="s">
        <v>4164</v>
      </c>
      <c r="AF1923" s="0" t="s">
        <v>4363</v>
      </c>
      <c r="AH1923" s="0" t="s">
        <v>2239</v>
      </c>
      <c r="AJ1923" s="0" t="s">
        <v>6940</v>
      </c>
      <c r="AK1923" s="0" t="s">
        <v>6952</v>
      </c>
      <c r="AL1923" s="0" t="s">
        <v>979</v>
      </c>
    </row>
    <row r="1924" customFormat="false" ht="15" hidden="false" customHeight="false" outlineLevel="0" collapsed="false">
      <c r="A1924" s="0" t="s">
        <v>1550</v>
      </c>
      <c r="B1924" s="0" t="s">
        <v>222</v>
      </c>
      <c r="C1924" s="0" t="s">
        <v>4357</v>
      </c>
      <c r="D1924" s="0" t="n">
        <v>2017</v>
      </c>
      <c r="E1924" s="0" t="s">
        <v>61</v>
      </c>
      <c r="F1924" s="0" t="s">
        <v>6936</v>
      </c>
      <c r="G1924" s="0" t="s">
        <v>3101</v>
      </c>
      <c r="H1924" s="0" t="s">
        <v>3068</v>
      </c>
      <c r="I1924" s="0" t="n">
        <v>136605</v>
      </c>
      <c r="J1924" s="0" t="s">
        <v>4155</v>
      </c>
      <c r="K1924" s="0" t="s">
        <v>2759</v>
      </c>
      <c r="L1924" s="0" t="n">
        <v>2017</v>
      </c>
      <c r="M1924" s="0" t="s">
        <v>2418</v>
      </c>
      <c r="N1924" s="0" t="s">
        <v>227</v>
      </c>
      <c r="O1924" s="0" t="s">
        <v>2419</v>
      </c>
      <c r="P1924" s="0" t="s">
        <v>4394</v>
      </c>
      <c r="Q1924" s="0" t="n">
        <v>67</v>
      </c>
      <c r="R1924" s="0" t="n">
        <v>66</v>
      </c>
      <c r="S1924" s="0" t="s">
        <v>4378</v>
      </c>
      <c r="T1924" s="0" t="s">
        <v>6949</v>
      </c>
      <c r="U1924" s="0" t="s">
        <v>4396</v>
      </c>
      <c r="V1924" s="0" t="s">
        <v>228</v>
      </c>
      <c r="W1924" s="0" t="s">
        <v>6953</v>
      </c>
      <c r="X1924" s="0" t="s">
        <v>4416</v>
      </c>
      <c r="Y1924" s="0" t="s">
        <v>6938</v>
      </c>
      <c r="Z1924" s="0" t="s">
        <v>979</v>
      </c>
      <c r="AA1924" s="0" t="s">
        <v>6954</v>
      </c>
      <c r="AB1924" s="0" t="s">
        <v>4399</v>
      </c>
      <c r="AC1924" s="0" t="s">
        <v>4162</v>
      </c>
      <c r="AD1924" s="0" t="s">
        <v>4163</v>
      </c>
      <c r="AE1924" s="0" t="s">
        <v>4164</v>
      </c>
      <c r="AF1924" s="0" t="s">
        <v>4363</v>
      </c>
      <c r="AH1924" s="0" t="s">
        <v>2239</v>
      </c>
      <c r="AJ1924" s="0" t="s">
        <v>6940</v>
      </c>
      <c r="AK1924" s="0" t="s">
        <v>6955</v>
      </c>
      <c r="AL1924" s="0" t="s">
        <v>979</v>
      </c>
    </row>
    <row r="1925" customFormat="false" ht="15" hidden="false" customHeight="false" outlineLevel="0" collapsed="false">
      <c r="A1925" s="0" t="s">
        <v>1066</v>
      </c>
      <c r="B1925" s="0" t="s">
        <v>136</v>
      </c>
      <c r="C1925" s="0" t="s">
        <v>4507</v>
      </c>
      <c r="D1925" s="0" t="n">
        <v>2019</v>
      </c>
      <c r="E1925" s="0" t="s">
        <v>63</v>
      </c>
      <c r="F1925" s="0" t="s">
        <v>6936</v>
      </c>
      <c r="G1925" s="0" t="s">
        <v>3067</v>
      </c>
      <c r="H1925" s="0" t="s">
        <v>3068</v>
      </c>
      <c r="I1925" s="0" t="n">
        <v>1859.247</v>
      </c>
      <c r="J1925" s="0" t="s">
        <v>4508</v>
      </c>
      <c r="K1925" s="0" t="s">
        <v>1919</v>
      </c>
      <c r="L1925" s="0" t="n">
        <v>2019</v>
      </c>
      <c r="M1925" s="0" t="s">
        <v>1920</v>
      </c>
      <c r="N1925" s="0" t="s">
        <v>143</v>
      </c>
      <c r="O1925" s="0" t="s">
        <v>2438</v>
      </c>
      <c r="P1925" s="0" t="s">
        <v>4509</v>
      </c>
      <c r="Q1925" s="0" t="n">
        <v>81</v>
      </c>
      <c r="R1925" s="0" t="n">
        <v>79</v>
      </c>
      <c r="T1925" s="0" t="s">
        <v>4510</v>
      </c>
      <c r="U1925" s="0" t="s">
        <v>4461</v>
      </c>
      <c r="V1925" s="0" t="s">
        <v>93</v>
      </c>
      <c r="W1925" s="0" t="s">
        <v>6956</v>
      </c>
      <c r="X1925" s="0" t="s">
        <v>4521</v>
      </c>
      <c r="Y1925" s="0" t="s">
        <v>6938</v>
      </c>
      <c r="Z1925" s="0" t="s">
        <v>979</v>
      </c>
      <c r="AA1925" s="0" t="s">
        <v>6957</v>
      </c>
      <c r="AB1925" s="0" t="s">
        <v>4513</v>
      </c>
      <c r="AC1925" s="0" t="s">
        <v>4162</v>
      </c>
      <c r="AD1925" s="0" t="s">
        <v>4163</v>
      </c>
      <c r="AE1925" s="0" t="s">
        <v>4164</v>
      </c>
      <c r="AF1925" s="0" t="s">
        <v>4514</v>
      </c>
      <c r="AH1925" s="0" t="s">
        <v>2239</v>
      </c>
      <c r="AJ1925" s="0" t="s">
        <v>6940</v>
      </c>
      <c r="AK1925" s="0" t="s">
        <v>6958</v>
      </c>
      <c r="AL1925" s="0" t="s">
        <v>979</v>
      </c>
    </row>
    <row r="1926" customFormat="false" ht="15" hidden="false" customHeight="false" outlineLevel="0" collapsed="false">
      <c r="A1926" s="0" t="s">
        <v>1063</v>
      </c>
      <c r="B1926" s="0" t="s">
        <v>136</v>
      </c>
      <c r="C1926" s="0" t="s">
        <v>4507</v>
      </c>
      <c r="D1926" s="0" t="n">
        <v>2019</v>
      </c>
      <c r="E1926" s="0" t="s">
        <v>60</v>
      </c>
      <c r="F1926" s="0" t="s">
        <v>6936</v>
      </c>
      <c r="G1926" s="0" t="s">
        <v>3067</v>
      </c>
      <c r="H1926" s="0" t="s">
        <v>3068</v>
      </c>
      <c r="I1926" s="0" t="n">
        <v>1357066.246</v>
      </c>
      <c r="J1926" s="0" t="s">
        <v>4508</v>
      </c>
      <c r="K1926" s="0" t="s">
        <v>1919</v>
      </c>
      <c r="L1926" s="0" t="n">
        <v>2019</v>
      </c>
      <c r="M1926" s="0" t="s">
        <v>1920</v>
      </c>
      <c r="N1926" s="0" t="s">
        <v>143</v>
      </c>
      <c r="O1926" s="0" t="s">
        <v>2438</v>
      </c>
      <c r="P1926" s="0" t="s">
        <v>4509</v>
      </c>
      <c r="Q1926" s="0" t="n">
        <v>256</v>
      </c>
      <c r="R1926" s="0" t="n">
        <v>254</v>
      </c>
      <c r="S1926" s="0" t="n">
        <v>29</v>
      </c>
      <c r="T1926" s="0" t="s">
        <v>4510</v>
      </c>
      <c r="U1926" s="0" t="s">
        <v>4461</v>
      </c>
      <c r="V1926" s="0" t="s">
        <v>93</v>
      </c>
      <c r="W1926" s="0" t="s">
        <v>6959</v>
      </c>
      <c r="X1926" s="0" t="s">
        <v>4532</v>
      </c>
      <c r="Y1926" s="0" t="s">
        <v>6938</v>
      </c>
      <c r="Z1926" s="0" t="s">
        <v>979</v>
      </c>
      <c r="AA1926" s="0" t="s">
        <v>6960</v>
      </c>
      <c r="AB1926" s="0" t="s">
        <v>4513</v>
      </c>
      <c r="AC1926" s="0" t="s">
        <v>4162</v>
      </c>
      <c r="AD1926" s="0" t="s">
        <v>4163</v>
      </c>
      <c r="AE1926" s="0" t="s">
        <v>4164</v>
      </c>
      <c r="AF1926" s="0" t="s">
        <v>4514</v>
      </c>
      <c r="AH1926" s="0" t="s">
        <v>2239</v>
      </c>
      <c r="AJ1926" s="0" t="s">
        <v>6940</v>
      </c>
      <c r="AK1926" s="0" t="s">
        <v>6961</v>
      </c>
      <c r="AL1926" s="0" t="s">
        <v>979</v>
      </c>
    </row>
    <row r="1927" customFormat="false" ht="15" hidden="false" customHeight="false" outlineLevel="0" collapsed="false">
      <c r="A1927" s="0" t="s">
        <v>1064</v>
      </c>
      <c r="B1927" s="0" t="s">
        <v>136</v>
      </c>
      <c r="C1927" s="0" t="s">
        <v>4507</v>
      </c>
      <c r="D1927" s="0" t="n">
        <v>2019</v>
      </c>
      <c r="E1927" s="0" t="s">
        <v>61</v>
      </c>
      <c r="F1927" s="0" t="s">
        <v>6936</v>
      </c>
      <c r="G1927" s="0" t="s">
        <v>3067</v>
      </c>
      <c r="H1927" s="0" t="s">
        <v>3068</v>
      </c>
      <c r="I1927" s="0" t="n">
        <v>56245.599</v>
      </c>
      <c r="J1927" s="0" t="s">
        <v>4508</v>
      </c>
      <c r="K1927" s="0" t="s">
        <v>1919</v>
      </c>
      <c r="L1927" s="0" t="n">
        <v>2019</v>
      </c>
      <c r="M1927" s="0" t="s">
        <v>1920</v>
      </c>
      <c r="N1927" s="0" t="s">
        <v>143</v>
      </c>
      <c r="O1927" s="0" t="s">
        <v>2438</v>
      </c>
      <c r="P1927" s="0" t="s">
        <v>4509</v>
      </c>
      <c r="Q1927" s="0" t="n">
        <v>256</v>
      </c>
      <c r="R1927" s="0" t="n">
        <v>254</v>
      </c>
      <c r="S1927" s="0" t="n">
        <v>29</v>
      </c>
      <c r="T1927" s="0" t="s">
        <v>4510</v>
      </c>
      <c r="U1927" s="0" t="s">
        <v>4461</v>
      </c>
      <c r="V1927" s="0" t="s">
        <v>93</v>
      </c>
      <c r="W1927" s="0" t="s">
        <v>6962</v>
      </c>
      <c r="X1927" s="0" t="s">
        <v>4532</v>
      </c>
      <c r="Y1927" s="0" t="s">
        <v>6938</v>
      </c>
      <c r="Z1927" s="0" t="s">
        <v>979</v>
      </c>
      <c r="AA1927" s="0" t="s">
        <v>6963</v>
      </c>
      <c r="AB1927" s="0" t="s">
        <v>4513</v>
      </c>
      <c r="AC1927" s="0" t="s">
        <v>4162</v>
      </c>
      <c r="AD1927" s="0" t="s">
        <v>4163</v>
      </c>
      <c r="AE1927" s="0" t="s">
        <v>4164</v>
      </c>
      <c r="AF1927" s="0" t="s">
        <v>4514</v>
      </c>
      <c r="AH1927" s="0" t="s">
        <v>2239</v>
      </c>
      <c r="AJ1927" s="0" t="s">
        <v>6940</v>
      </c>
      <c r="AK1927" s="0" t="s">
        <v>6964</v>
      </c>
      <c r="AL1927" s="0" t="s">
        <v>979</v>
      </c>
    </row>
    <row r="1928" customFormat="false" ht="15" hidden="false" customHeight="false" outlineLevel="0" collapsed="false">
      <c r="A1928" s="0" t="s">
        <v>1075</v>
      </c>
      <c r="B1928" s="0" t="s">
        <v>136</v>
      </c>
      <c r="C1928" s="0" t="s">
        <v>4507</v>
      </c>
      <c r="D1928" s="0" t="n">
        <v>2019</v>
      </c>
      <c r="E1928" s="0" t="s">
        <v>68</v>
      </c>
      <c r="F1928" s="0" t="s">
        <v>6936</v>
      </c>
      <c r="G1928" s="0" t="s">
        <v>3067</v>
      </c>
      <c r="H1928" s="0" t="s">
        <v>3068</v>
      </c>
      <c r="I1928" s="0" t="n">
        <v>45503.961</v>
      </c>
      <c r="J1928" s="0" t="s">
        <v>4508</v>
      </c>
      <c r="K1928" s="0" t="s">
        <v>1919</v>
      </c>
      <c r="L1928" s="0" t="n">
        <v>2019</v>
      </c>
      <c r="M1928" s="0" t="s">
        <v>1920</v>
      </c>
      <c r="N1928" s="0" t="s">
        <v>143</v>
      </c>
      <c r="O1928" s="0" t="s">
        <v>2438</v>
      </c>
      <c r="P1928" s="0" t="s">
        <v>4509</v>
      </c>
      <c r="Q1928" s="0" t="n">
        <v>256</v>
      </c>
      <c r="R1928" s="0" t="n">
        <v>254</v>
      </c>
      <c r="S1928" s="0" t="n">
        <v>29</v>
      </c>
      <c r="T1928" s="0" t="s">
        <v>4510</v>
      </c>
      <c r="U1928" s="0" t="s">
        <v>4461</v>
      </c>
      <c r="V1928" s="0" t="s">
        <v>93</v>
      </c>
      <c r="W1928" s="0" t="s">
        <v>6965</v>
      </c>
      <c r="X1928" s="0" t="s">
        <v>4532</v>
      </c>
      <c r="Y1928" s="0" t="s">
        <v>6938</v>
      </c>
      <c r="Z1928" s="0" t="s">
        <v>979</v>
      </c>
      <c r="AB1928" s="0" t="s">
        <v>4513</v>
      </c>
      <c r="AC1928" s="0" t="s">
        <v>4162</v>
      </c>
      <c r="AD1928" s="0" t="s">
        <v>4163</v>
      </c>
      <c r="AE1928" s="0" t="s">
        <v>4164</v>
      </c>
      <c r="AF1928" s="0" t="s">
        <v>4514</v>
      </c>
      <c r="AH1928" s="0" t="s">
        <v>2239</v>
      </c>
      <c r="AJ1928" s="0" t="s">
        <v>6940</v>
      </c>
      <c r="AK1928" s="0" t="s">
        <v>6966</v>
      </c>
      <c r="AL1928" s="0" t="s">
        <v>979</v>
      </c>
    </row>
    <row r="1929" customFormat="false" ht="15" hidden="false" customHeight="false" outlineLevel="0" collapsed="false">
      <c r="A1929" s="0" t="s">
        <v>1050</v>
      </c>
      <c r="B1929" s="0" t="s">
        <v>136</v>
      </c>
      <c r="C1929" s="0" t="s">
        <v>4507</v>
      </c>
      <c r="D1929" s="0" t="n">
        <v>2018</v>
      </c>
      <c r="E1929" s="0" t="s">
        <v>63</v>
      </c>
      <c r="F1929" s="0" t="s">
        <v>6936</v>
      </c>
      <c r="G1929" s="0" t="s">
        <v>3067</v>
      </c>
      <c r="H1929" s="0" t="s">
        <v>3068</v>
      </c>
      <c r="I1929" s="0" t="n">
        <v>1384.004</v>
      </c>
      <c r="J1929" s="0" t="s">
        <v>4508</v>
      </c>
      <c r="K1929" s="0" t="s">
        <v>1914</v>
      </c>
      <c r="L1929" s="0" t="n">
        <v>2018</v>
      </c>
      <c r="M1929" s="0" t="s">
        <v>1915</v>
      </c>
      <c r="N1929" s="0" t="s">
        <v>141</v>
      </c>
      <c r="O1929" s="0" t="s">
        <v>2417</v>
      </c>
      <c r="P1929" s="0" t="s">
        <v>4549</v>
      </c>
      <c r="Q1929" s="0" t="n">
        <v>84</v>
      </c>
      <c r="R1929" s="0" t="n">
        <v>83</v>
      </c>
      <c r="T1929" s="0" t="s">
        <v>4518</v>
      </c>
      <c r="U1929" s="0" t="s">
        <v>4425</v>
      </c>
      <c r="V1929" s="0" t="s">
        <v>109</v>
      </c>
      <c r="W1929" s="0" t="s">
        <v>6967</v>
      </c>
      <c r="X1929" s="0" t="s">
        <v>4558</v>
      </c>
      <c r="Y1929" s="0" t="s">
        <v>6938</v>
      </c>
      <c r="Z1929" s="0" t="s">
        <v>979</v>
      </c>
      <c r="AA1929" s="0" t="s">
        <v>6957</v>
      </c>
      <c r="AB1929" s="0" t="s">
        <v>4513</v>
      </c>
      <c r="AC1929" s="0" t="s">
        <v>4162</v>
      </c>
      <c r="AD1929" s="0" t="s">
        <v>4163</v>
      </c>
      <c r="AE1929" s="0" t="s">
        <v>4164</v>
      </c>
      <c r="AF1929" s="0" t="s">
        <v>4552</v>
      </c>
      <c r="AH1929" s="0" t="s">
        <v>2239</v>
      </c>
      <c r="AJ1929" s="0" t="s">
        <v>6940</v>
      </c>
      <c r="AK1929" s="0" t="s">
        <v>6968</v>
      </c>
      <c r="AL1929" s="0" t="s">
        <v>979</v>
      </c>
    </row>
    <row r="1930" customFormat="false" ht="15" hidden="false" customHeight="false" outlineLevel="0" collapsed="false">
      <c r="A1930" s="0" t="s">
        <v>1047</v>
      </c>
      <c r="B1930" s="0" t="s">
        <v>136</v>
      </c>
      <c r="C1930" s="0" t="s">
        <v>4507</v>
      </c>
      <c r="D1930" s="0" t="n">
        <v>2018</v>
      </c>
      <c r="E1930" s="0" t="s">
        <v>60</v>
      </c>
      <c r="F1930" s="0" t="s">
        <v>6936</v>
      </c>
      <c r="G1930" s="0" t="s">
        <v>3067</v>
      </c>
      <c r="H1930" s="0" t="s">
        <v>3068</v>
      </c>
      <c r="I1930" s="0" t="n">
        <v>1158980.803</v>
      </c>
      <c r="J1930" s="0" t="s">
        <v>4508</v>
      </c>
      <c r="K1930" s="0" t="s">
        <v>1914</v>
      </c>
      <c r="L1930" s="0" t="n">
        <v>2018</v>
      </c>
      <c r="M1930" s="0" t="s">
        <v>1915</v>
      </c>
      <c r="N1930" s="0" t="s">
        <v>141</v>
      </c>
      <c r="O1930" s="0" t="s">
        <v>2417</v>
      </c>
      <c r="P1930" s="0" t="s">
        <v>4549</v>
      </c>
      <c r="Q1930" s="0" t="n">
        <v>266</v>
      </c>
      <c r="R1930" s="0" t="n">
        <v>265</v>
      </c>
      <c r="S1930" s="0" t="n">
        <v>29</v>
      </c>
      <c r="T1930" s="0" t="s">
        <v>4518</v>
      </c>
      <c r="U1930" s="0" t="s">
        <v>4425</v>
      </c>
      <c r="V1930" s="0" t="s">
        <v>109</v>
      </c>
      <c r="W1930" s="0" t="s">
        <v>6969</v>
      </c>
      <c r="X1930" s="0" t="s">
        <v>4566</v>
      </c>
      <c r="Y1930" s="0" t="s">
        <v>6938</v>
      </c>
      <c r="Z1930" s="0" t="s">
        <v>979</v>
      </c>
      <c r="AA1930" s="0" t="s">
        <v>6960</v>
      </c>
      <c r="AB1930" s="0" t="s">
        <v>4513</v>
      </c>
      <c r="AC1930" s="0" t="s">
        <v>4162</v>
      </c>
      <c r="AD1930" s="0" t="s">
        <v>4163</v>
      </c>
      <c r="AE1930" s="0" t="s">
        <v>4164</v>
      </c>
      <c r="AF1930" s="0" t="s">
        <v>4552</v>
      </c>
      <c r="AH1930" s="0" t="s">
        <v>2239</v>
      </c>
      <c r="AJ1930" s="0" t="s">
        <v>6940</v>
      </c>
      <c r="AK1930" s="0" t="s">
        <v>6970</v>
      </c>
      <c r="AL1930" s="0" t="s">
        <v>979</v>
      </c>
    </row>
    <row r="1931" customFormat="false" ht="15" hidden="false" customHeight="false" outlineLevel="0" collapsed="false">
      <c r="A1931" s="0" t="s">
        <v>1048</v>
      </c>
      <c r="B1931" s="0" t="s">
        <v>136</v>
      </c>
      <c r="C1931" s="0" t="s">
        <v>4507</v>
      </c>
      <c r="D1931" s="0" t="n">
        <v>2018</v>
      </c>
      <c r="E1931" s="0" t="s">
        <v>61</v>
      </c>
      <c r="F1931" s="0" t="s">
        <v>6936</v>
      </c>
      <c r="G1931" s="0" t="s">
        <v>3067</v>
      </c>
      <c r="H1931" s="0" t="s">
        <v>3068</v>
      </c>
      <c r="I1931" s="0" t="n">
        <v>90981.784</v>
      </c>
      <c r="J1931" s="0" t="s">
        <v>4508</v>
      </c>
      <c r="K1931" s="0" t="s">
        <v>1914</v>
      </c>
      <c r="L1931" s="0" t="n">
        <v>2018</v>
      </c>
      <c r="M1931" s="0" t="s">
        <v>1915</v>
      </c>
      <c r="N1931" s="0" t="s">
        <v>141</v>
      </c>
      <c r="O1931" s="0" t="s">
        <v>2417</v>
      </c>
      <c r="P1931" s="0" t="s">
        <v>4549</v>
      </c>
      <c r="Q1931" s="0" t="n">
        <v>266</v>
      </c>
      <c r="R1931" s="0" t="n">
        <v>265</v>
      </c>
      <c r="S1931" s="0" t="n">
        <v>29</v>
      </c>
      <c r="T1931" s="0" t="s">
        <v>4518</v>
      </c>
      <c r="U1931" s="0" t="s">
        <v>4425</v>
      </c>
      <c r="V1931" s="0" t="s">
        <v>109</v>
      </c>
      <c r="W1931" s="0" t="s">
        <v>6971</v>
      </c>
      <c r="X1931" s="0" t="s">
        <v>4566</v>
      </c>
      <c r="Y1931" s="0" t="s">
        <v>6938</v>
      </c>
      <c r="Z1931" s="0" t="s">
        <v>979</v>
      </c>
      <c r="AA1931" s="0" t="s">
        <v>6963</v>
      </c>
      <c r="AB1931" s="0" t="s">
        <v>4513</v>
      </c>
      <c r="AC1931" s="0" t="s">
        <v>4162</v>
      </c>
      <c r="AD1931" s="0" t="s">
        <v>4163</v>
      </c>
      <c r="AE1931" s="0" t="s">
        <v>4164</v>
      </c>
      <c r="AF1931" s="0" t="s">
        <v>4552</v>
      </c>
      <c r="AH1931" s="0" t="s">
        <v>2239</v>
      </c>
      <c r="AJ1931" s="0" t="s">
        <v>6940</v>
      </c>
      <c r="AK1931" s="0" t="s">
        <v>6972</v>
      </c>
      <c r="AL1931" s="0" t="s">
        <v>979</v>
      </c>
    </row>
    <row r="1932" customFormat="false" ht="15" hidden="false" customHeight="false" outlineLevel="0" collapsed="false">
      <c r="A1932" s="0" t="s">
        <v>1055</v>
      </c>
      <c r="B1932" s="0" t="s">
        <v>136</v>
      </c>
      <c r="C1932" s="0" t="s">
        <v>4507</v>
      </c>
      <c r="D1932" s="0" t="n">
        <v>2018</v>
      </c>
      <c r="E1932" s="0" t="s">
        <v>68</v>
      </c>
      <c r="F1932" s="0" t="s">
        <v>6936</v>
      </c>
      <c r="G1932" s="0" t="s">
        <v>3067</v>
      </c>
      <c r="H1932" s="0" t="s">
        <v>3068</v>
      </c>
      <c r="I1932" s="0" t="n">
        <v>74667.995</v>
      </c>
      <c r="J1932" s="0" t="s">
        <v>4508</v>
      </c>
      <c r="K1932" s="0" t="s">
        <v>1914</v>
      </c>
      <c r="L1932" s="0" t="n">
        <v>2018</v>
      </c>
      <c r="M1932" s="0" t="s">
        <v>1915</v>
      </c>
      <c r="N1932" s="0" t="s">
        <v>141</v>
      </c>
      <c r="O1932" s="0" t="s">
        <v>2417</v>
      </c>
      <c r="P1932" s="0" t="s">
        <v>4549</v>
      </c>
      <c r="Q1932" s="0" t="n">
        <v>266</v>
      </c>
      <c r="R1932" s="0" t="n">
        <v>265</v>
      </c>
      <c r="S1932" s="0" t="n">
        <v>29</v>
      </c>
      <c r="T1932" s="0" t="s">
        <v>4518</v>
      </c>
      <c r="U1932" s="0" t="s">
        <v>4425</v>
      </c>
      <c r="V1932" s="0" t="s">
        <v>109</v>
      </c>
      <c r="W1932" s="0" t="s">
        <v>6973</v>
      </c>
      <c r="X1932" s="0" t="s">
        <v>4566</v>
      </c>
      <c r="Y1932" s="0" t="s">
        <v>6938</v>
      </c>
      <c r="Z1932" s="0" t="s">
        <v>979</v>
      </c>
      <c r="AB1932" s="0" t="s">
        <v>4513</v>
      </c>
      <c r="AC1932" s="0" t="s">
        <v>4162</v>
      </c>
      <c r="AD1932" s="0" t="s">
        <v>4163</v>
      </c>
      <c r="AE1932" s="0" t="s">
        <v>4164</v>
      </c>
      <c r="AF1932" s="0" t="s">
        <v>4552</v>
      </c>
      <c r="AH1932" s="0" t="s">
        <v>2239</v>
      </c>
      <c r="AJ1932" s="0" t="s">
        <v>6940</v>
      </c>
      <c r="AK1932" s="0" t="s">
        <v>6974</v>
      </c>
      <c r="AL1932" s="0" t="s">
        <v>979</v>
      </c>
    </row>
    <row r="1933" customFormat="false" ht="15" hidden="false" customHeight="false" outlineLevel="0" collapsed="false">
      <c r="A1933" s="0" t="s">
        <v>1036</v>
      </c>
      <c r="B1933" s="0" t="s">
        <v>136</v>
      </c>
      <c r="C1933" s="0" t="s">
        <v>4507</v>
      </c>
      <c r="D1933" s="0" t="n">
        <v>2017</v>
      </c>
      <c r="E1933" s="0" t="s">
        <v>63</v>
      </c>
      <c r="F1933" s="0" t="s">
        <v>6936</v>
      </c>
      <c r="G1933" s="0" t="s">
        <v>3067</v>
      </c>
      <c r="H1933" s="0" t="s">
        <v>3068</v>
      </c>
      <c r="I1933" s="0" t="n">
        <v>11531.292</v>
      </c>
      <c r="J1933" s="0" t="s">
        <v>4508</v>
      </c>
      <c r="K1933" s="0" t="s">
        <v>1914</v>
      </c>
      <c r="L1933" s="0" t="n">
        <v>2018</v>
      </c>
      <c r="M1933" s="0" t="s">
        <v>1915</v>
      </c>
      <c r="N1933" s="0" t="s">
        <v>141</v>
      </c>
      <c r="O1933" s="0" t="s">
        <v>2417</v>
      </c>
      <c r="P1933" s="0" t="s">
        <v>4549</v>
      </c>
      <c r="Q1933" s="0" t="n">
        <v>84</v>
      </c>
      <c r="R1933" s="0" t="n">
        <v>83</v>
      </c>
      <c r="T1933" s="0" t="s">
        <v>4578</v>
      </c>
      <c r="U1933" s="0" t="s">
        <v>4220</v>
      </c>
      <c r="V1933" s="0" t="s">
        <v>142</v>
      </c>
      <c r="W1933" s="0" t="s">
        <v>6975</v>
      </c>
      <c r="X1933" s="0" t="s">
        <v>4558</v>
      </c>
      <c r="Y1933" s="0" t="s">
        <v>6938</v>
      </c>
      <c r="Z1933" s="0" t="s">
        <v>979</v>
      </c>
      <c r="AA1933" s="0" t="s">
        <v>6957</v>
      </c>
      <c r="AB1933" s="0" t="s">
        <v>4513</v>
      </c>
      <c r="AC1933" s="0" t="s">
        <v>4162</v>
      </c>
      <c r="AD1933" s="0" t="s">
        <v>4163</v>
      </c>
      <c r="AE1933" s="0" t="s">
        <v>4164</v>
      </c>
      <c r="AF1933" s="0" t="s">
        <v>4552</v>
      </c>
      <c r="AH1933" s="0" t="s">
        <v>2239</v>
      </c>
      <c r="AJ1933" s="0" t="s">
        <v>6940</v>
      </c>
      <c r="AK1933" s="0" t="s">
        <v>6976</v>
      </c>
      <c r="AL1933" s="0" t="s">
        <v>979</v>
      </c>
    </row>
    <row r="1934" customFormat="false" ht="15" hidden="false" customHeight="false" outlineLevel="0" collapsed="false">
      <c r="A1934" s="0" t="s">
        <v>1033</v>
      </c>
      <c r="B1934" s="0" t="s">
        <v>136</v>
      </c>
      <c r="C1934" s="0" t="s">
        <v>4507</v>
      </c>
      <c r="D1934" s="0" t="n">
        <v>2017</v>
      </c>
      <c r="E1934" s="0" t="s">
        <v>60</v>
      </c>
      <c r="F1934" s="0" t="s">
        <v>6936</v>
      </c>
      <c r="G1934" s="0" t="s">
        <v>3067</v>
      </c>
      <c r="H1934" s="0" t="s">
        <v>3068</v>
      </c>
      <c r="I1934" s="0" t="n">
        <v>1326250.395</v>
      </c>
      <c r="J1934" s="0" t="s">
        <v>4508</v>
      </c>
      <c r="K1934" s="0" t="s">
        <v>1914</v>
      </c>
      <c r="L1934" s="0" t="n">
        <v>2018</v>
      </c>
      <c r="M1934" s="0" t="s">
        <v>1915</v>
      </c>
      <c r="N1934" s="0" t="s">
        <v>141</v>
      </c>
      <c r="O1934" s="0" t="s">
        <v>2417</v>
      </c>
      <c r="P1934" s="0" t="s">
        <v>4549</v>
      </c>
      <c r="Q1934" s="0" t="n">
        <v>267</v>
      </c>
      <c r="R1934" s="0" t="n">
        <v>266</v>
      </c>
      <c r="S1934" s="0" t="n">
        <v>29</v>
      </c>
      <c r="T1934" s="0" t="s">
        <v>4578</v>
      </c>
      <c r="U1934" s="0" t="s">
        <v>4220</v>
      </c>
      <c r="V1934" s="0" t="s">
        <v>142</v>
      </c>
      <c r="W1934" s="0" t="s">
        <v>6977</v>
      </c>
      <c r="X1934" s="0" t="s">
        <v>4582</v>
      </c>
      <c r="Y1934" s="0" t="s">
        <v>6938</v>
      </c>
      <c r="Z1934" s="0" t="s">
        <v>979</v>
      </c>
      <c r="AA1934" s="0" t="s">
        <v>6960</v>
      </c>
      <c r="AB1934" s="0" t="s">
        <v>4513</v>
      </c>
      <c r="AC1934" s="0" t="s">
        <v>4162</v>
      </c>
      <c r="AD1934" s="0" t="s">
        <v>4163</v>
      </c>
      <c r="AE1934" s="0" t="s">
        <v>4164</v>
      </c>
      <c r="AF1934" s="0" t="s">
        <v>4552</v>
      </c>
      <c r="AH1934" s="0" t="s">
        <v>2239</v>
      </c>
      <c r="AJ1934" s="0" t="s">
        <v>6940</v>
      </c>
      <c r="AK1934" s="0" t="s">
        <v>6978</v>
      </c>
      <c r="AL1934" s="0" t="s">
        <v>979</v>
      </c>
    </row>
    <row r="1935" customFormat="false" ht="15" hidden="false" customHeight="false" outlineLevel="0" collapsed="false">
      <c r="A1935" s="0" t="s">
        <v>1034</v>
      </c>
      <c r="B1935" s="0" t="s">
        <v>136</v>
      </c>
      <c r="C1935" s="0" t="s">
        <v>4507</v>
      </c>
      <c r="D1935" s="0" t="n">
        <v>2017</v>
      </c>
      <c r="E1935" s="0" t="s">
        <v>61</v>
      </c>
      <c r="F1935" s="0" t="s">
        <v>6936</v>
      </c>
      <c r="G1935" s="0" t="s">
        <v>3067</v>
      </c>
      <c r="H1935" s="0" t="s">
        <v>3068</v>
      </c>
      <c r="I1935" s="0" t="n">
        <v>60278.707</v>
      </c>
      <c r="J1935" s="0" t="s">
        <v>4508</v>
      </c>
      <c r="K1935" s="0" t="s">
        <v>1914</v>
      </c>
      <c r="L1935" s="0" t="n">
        <v>2018</v>
      </c>
      <c r="M1935" s="0" t="s">
        <v>1915</v>
      </c>
      <c r="N1935" s="0" t="s">
        <v>141</v>
      </c>
      <c r="O1935" s="0" t="s">
        <v>2417</v>
      </c>
      <c r="P1935" s="0" t="s">
        <v>4549</v>
      </c>
      <c r="Q1935" s="0" t="n">
        <v>267</v>
      </c>
      <c r="R1935" s="0" t="n">
        <v>266</v>
      </c>
      <c r="S1935" s="0" t="n">
        <v>29</v>
      </c>
      <c r="T1935" s="0" t="s">
        <v>4578</v>
      </c>
      <c r="U1935" s="0" t="s">
        <v>4220</v>
      </c>
      <c r="V1935" s="0" t="s">
        <v>142</v>
      </c>
      <c r="W1935" s="0" t="s">
        <v>6979</v>
      </c>
      <c r="X1935" s="0" t="s">
        <v>4582</v>
      </c>
      <c r="Y1935" s="0" t="s">
        <v>6938</v>
      </c>
      <c r="Z1935" s="0" t="s">
        <v>979</v>
      </c>
      <c r="AA1935" s="0" t="s">
        <v>6963</v>
      </c>
      <c r="AB1935" s="0" t="s">
        <v>4513</v>
      </c>
      <c r="AC1935" s="0" t="s">
        <v>4162</v>
      </c>
      <c r="AD1935" s="0" t="s">
        <v>4163</v>
      </c>
      <c r="AE1935" s="0" t="s">
        <v>4164</v>
      </c>
      <c r="AF1935" s="0" t="s">
        <v>4552</v>
      </c>
      <c r="AH1935" s="0" t="s">
        <v>2239</v>
      </c>
      <c r="AJ1935" s="0" t="s">
        <v>6940</v>
      </c>
      <c r="AK1935" s="0" t="s">
        <v>6980</v>
      </c>
      <c r="AL1935" s="0" t="s">
        <v>979</v>
      </c>
    </row>
    <row r="1936" customFormat="false" ht="15" hidden="false" customHeight="false" outlineLevel="0" collapsed="false">
      <c r="A1936" s="0" t="s">
        <v>1232</v>
      </c>
      <c r="B1936" s="0" t="s">
        <v>169</v>
      </c>
      <c r="C1936" s="0" t="s">
        <v>4695</v>
      </c>
      <c r="D1936" s="0" t="n">
        <v>2015</v>
      </c>
      <c r="E1936" s="0" t="s">
        <v>61</v>
      </c>
      <c r="F1936" s="0" t="s">
        <v>6936</v>
      </c>
      <c r="G1936" s="0" t="s">
        <v>3067</v>
      </c>
      <c r="H1936" s="0" t="s">
        <v>3068</v>
      </c>
      <c r="I1936" s="0" t="n">
        <v>15748.585</v>
      </c>
      <c r="J1936" s="0" t="s">
        <v>4634</v>
      </c>
      <c r="K1936" s="0" t="s">
        <v>2719</v>
      </c>
      <c r="L1936" s="0" t="n">
        <v>2015</v>
      </c>
      <c r="M1936" s="0" t="s">
        <v>2120</v>
      </c>
      <c r="N1936" s="0" t="s">
        <v>171</v>
      </c>
      <c r="O1936" s="0" t="s">
        <v>2515</v>
      </c>
      <c r="P1936" s="0" t="s">
        <v>5508</v>
      </c>
      <c r="Q1936" s="0" t="n">
        <v>64</v>
      </c>
      <c r="R1936" s="0" t="n">
        <v>64</v>
      </c>
      <c r="S1936" s="0" t="n">
        <v>19</v>
      </c>
      <c r="T1936" s="0" t="s">
        <v>4866</v>
      </c>
      <c r="U1936" s="0" t="s">
        <v>4808</v>
      </c>
      <c r="V1936" s="0" t="s">
        <v>84</v>
      </c>
      <c r="W1936" s="0" t="s">
        <v>6981</v>
      </c>
      <c r="X1936" s="0" t="s">
        <v>5528</v>
      </c>
      <c r="Y1936" s="0" t="s">
        <v>6938</v>
      </c>
      <c r="Z1936" s="0" t="s">
        <v>979</v>
      </c>
      <c r="AA1936" s="0" t="s">
        <v>6982</v>
      </c>
      <c r="AB1936" s="0" t="s">
        <v>5511</v>
      </c>
      <c r="AC1936" s="0" t="s">
        <v>4162</v>
      </c>
      <c r="AD1936" s="0" t="s">
        <v>4637</v>
      </c>
      <c r="AE1936" s="0" t="s">
        <v>1892</v>
      </c>
      <c r="AF1936" s="0" t="s">
        <v>5530</v>
      </c>
      <c r="AH1936" s="0" t="s">
        <v>4174</v>
      </c>
      <c r="AI1936" s="0" t="s">
        <v>6983</v>
      </c>
      <c r="AJ1936" s="0" t="s">
        <v>6940</v>
      </c>
      <c r="AK1936" s="0" t="s">
        <v>6984</v>
      </c>
      <c r="AL1936" s="0" t="s">
        <v>979</v>
      </c>
    </row>
    <row r="1937" customFormat="false" ht="15" hidden="false" customHeight="false" outlineLevel="0" collapsed="false">
      <c r="A1937" s="0" t="s">
        <v>1286</v>
      </c>
      <c r="B1937" s="0" t="s">
        <v>169</v>
      </c>
      <c r="C1937" s="0" t="s">
        <v>4695</v>
      </c>
      <c r="D1937" s="0" t="n">
        <v>2020</v>
      </c>
      <c r="E1937" s="0" t="s">
        <v>61</v>
      </c>
      <c r="F1937" s="0" t="s">
        <v>6936</v>
      </c>
      <c r="G1937" s="0" t="s">
        <v>3101</v>
      </c>
      <c r="H1937" s="0" t="s">
        <v>3068</v>
      </c>
      <c r="I1937" s="0" t="n">
        <v>16532</v>
      </c>
      <c r="J1937" s="0" t="s">
        <v>5555</v>
      </c>
      <c r="K1937" s="0" t="s">
        <v>2723</v>
      </c>
      <c r="L1937" s="0" t="n">
        <v>2020</v>
      </c>
      <c r="M1937" s="0" t="s">
        <v>2129</v>
      </c>
      <c r="N1937" s="0" t="s">
        <v>175</v>
      </c>
      <c r="O1937" s="0" t="s">
        <v>2517</v>
      </c>
      <c r="P1937" s="0" t="s">
        <v>5556</v>
      </c>
      <c r="Q1937" s="0" t="n">
        <v>82</v>
      </c>
      <c r="R1937" s="0" t="n">
        <v>80</v>
      </c>
      <c r="S1937" s="0" t="n">
        <v>19</v>
      </c>
      <c r="T1937" s="0" t="s">
        <v>5557</v>
      </c>
      <c r="U1937" s="0" t="s">
        <v>4201</v>
      </c>
      <c r="V1937" s="0" t="s">
        <v>95</v>
      </c>
      <c r="W1937" s="0" t="s">
        <v>6985</v>
      </c>
      <c r="X1937" s="0" t="s">
        <v>5579</v>
      </c>
      <c r="Y1937" s="0" t="s">
        <v>6938</v>
      </c>
      <c r="Z1937" s="0" t="s">
        <v>979</v>
      </c>
      <c r="AA1937" s="0" t="s">
        <v>6986</v>
      </c>
      <c r="AB1937" s="0" t="s">
        <v>5560</v>
      </c>
      <c r="AC1937" s="0" t="s">
        <v>4162</v>
      </c>
      <c r="AD1937" s="0" t="s">
        <v>4163</v>
      </c>
      <c r="AE1937" s="0" t="s">
        <v>4164</v>
      </c>
      <c r="AF1937" s="0" t="s">
        <v>5561</v>
      </c>
      <c r="AH1937" s="0" t="s">
        <v>2239</v>
      </c>
      <c r="AJ1937" s="0" t="s">
        <v>6940</v>
      </c>
      <c r="AK1937" s="0" t="s">
        <v>6987</v>
      </c>
      <c r="AL1937" s="0" t="s">
        <v>979</v>
      </c>
    </row>
    <row r="1938" customFormat="false" ht="15" hidden="false" customHeight="false" outlineLevel="0" collapsed="false">
      <c r="A1938" s="0" t="s">
        <v>1250</v>
      </c>
      <c r="B1938" s="0" t="s">
        <v>169</v>
      </c>
      <c r="C1938" s="0" t="s">
        <v>4695</v>
      </c>
      <c r="D1938" s="0" t="n">
        <v>2016</v>
      </c>
      <c r="E1938" s="0" t="s">
        <v>61</v>
      </c>
      <c r="F1938" s="0" t="s">
        <v>6936</v>
      </c>
      <c r="G1938" s="0" t="s">
        <v>3067</v>
      </c>
      <c r="H1938" s="0" t="s">
        <v>3068</v>
      </c>
      <c r="I1938" s="0" t="n">
        <v>8463.293</v>
      </c>
      <c r="J1938" s="0" t="s">
        <v>4155</v>
      </c>
      <c r="K1938" s="0" t="s">
        <v>2720</v>
      </c>
      <c r="L1938" s="0" t="n">
        <v>2016</v>
      </c>
      <c r="M1938" s="0" t="s">
        <v>2166</v>
      </c>
      <c r="N1938" s="0" t="s">
        <v>172</v>
      </c>
      <c r="O1938" s="0" t="s">
        <v>2527</v>
      </c>
      <c r="P1938" s="0" t="s">
        <v>5770</v>
      </c>
      <c r="Q1938" s="0" t="n">
        <v>68</v>
      </c>
      <c r="R1938" s="0" t="n">
        <v>68</v>
      </c>
      <c r="S1938" s="0" t="n">
        <v>20</v>
      </c>
      <c r="T1938" s="0" t="s">
        <v>4859</v>
      </c>
      <c r="U1938" s="0" t="s">
        <v>4209</v>
      </c>
      <c r="V1938" s="0" t="s">
        <v>87</v>
      </c>
      <c r="W1938" s="0" t="s">
        <v>6988</v>
      </c>
      <c r="X1938" s="0" t="s">
        <v>5793</v>
      </c>
      <c r="Y1938" s="0" t="s">
        <v>6938</v>
      </c>
      <c r="Z1938" s="0" t="s">
        <v>979</v>
      </c>
      <c r="AA1938" s="0" t="s">
        <v>6989</v>
      </c>
      <c r="AB1938" s="0" t="s">
        <v>5774</v>
      </c>
      <c r="AC1938" s="0" t="s">
        <v>4162</v>
      </c>
      <c r="AD1938" s="0" t="s">
        <v>4163</v>
      </c>
      <c r="AE1938" s="0" t="s">
        <v>4164</v>
      </c>
      <c r="AF1938" s="0" t="s">
        <v>5795</v>
      </c>
      <c r="AH1938" s="0" t="s">
        <v>4174</v>
      </c>
      <c r="AI1938" s="0" t="s">
        <v>6983</v>
      </c>
      <c r="AJ1938" s="0" t="s">
        <v>6940</v>
      </c>
      <c r="AK1938" s="0" t="s">
        <v>6990</v>
      </c>
      <c r="AL1938" s="0" t="s">
        <v>979</v>
      </c>
    </row>
    <row r="1939" customFormat="false" ht="15" hidden="false" customHeight="false" outlineLevel="0" collapsed="false">
      <c r="A1939" s="0" t="s">
        <v>1086</v>
      </c>
      <c r="B1939" s="0" t="s">
        <v>136</v>
      </c>
      <c r="C1939" s="0" t="s">
        <v>4507</v>
      </c>
      <c r="D1939" s="0" t="n">
        <v>2020</v>
      </c>
      <c r="E1939" s="0" t="s">
        <v>63</v>
      </c>
      <c r="F1939" s="0" t="s">
        <v>6936</v>
      </c>
      <c r="G1939" s="0" t="s">
        <v>3067</v>
      </c>
      <c r="H1939" s="0" t="s">
        <v>3068</v>
      </c>
      <c r="I1939" s="0" t="n">
        <v>10555.467</v>
      </c>
      <c r="J1939" s="0" t="s">
        <v>5987</v>
      </c>
      <c r="K1939" s="0" t="s">
        <v>2707</v>
      </c>
      <c r="L1939" s="0" t="n">
        <v>2020</v>
      </c>
      <c r="M1939" s="0" t="s">
        <v>2201</v>
      </c>
      <c r="N1939" s="0" t="s">
        <v>144</v>
      </c>
      <c r="O1939" s="0" t="s">
        <v>2542</v>
      </c>
      <c r="P1939" s="0" t="s">
        <v>5988</v>
      </c>
      <c r="Q1939" s="0" t="n">
        <v>71</v>
      </c>
      <c r="R1939" s="0" t="n">
        <v>67</v>
      </c>
      <c r="S1939" s="0" t="n">
        <v>1116</v>
      </c>
      <c r="T1939" s="0" t="s">
        <v>5989</v>
      </c>
      <c r="U1939" s="0" t="s">
        <v>4201</v>
      </c>
      <c r="V1939" s="0" t="s">
        <v>95</v>
      </c>
      <c r="W1939" s="0" t="s">
        <v>6991</v>
      </c>
      <c r="X1939" s="0" t="s">
        <v>6003</v>
      </c>
      <c r="Y1939" s="0" t="s">
        <v>6938</v>
      </c>
      <c r="Z1939" s="0" t="s">
        <v>979</v>
      </c>
      <c r="AA1939" s="0" t="s">
        <v>6992</v>
      </c>
      <c r="AB1939" s="0" t="s">
        <v>5993</v>
      </c>
      <c r="AC1939" s="0" t="s">
        <v>4162</v>
      </c>
      <c r="AD1939" s="0" t="s">
        <v>4163</v>
      </c>
      <c r="AE1939" s="0" t="s">
        <v>4164</v>
      </c>
      <c r="AF1939" s="0" t="s">
        <v>6005</v>
      </c>
      <c r="AH1939" s="0" t="s">
        <v>2239</v>
      </c>
      <c r="AJ1939" s="0" t="s">
        <v>6940</v>
      </c>
      <c r="AK1939" s="0" t="s">
        <v>6993</v>
      </c>
      <c r="AL1939" s="0" t="s">
        <v>979</v>
      </c>
    </row>
    <row r="1940" customFormat="false" ht="15" hidden="false" customHeight="false" outlineLevel="0" collapsed="false">
      <c r="A1940" s="0" t="s">
        <v>1084</v>
      </c>
      <c r="B1940" s="0" t="s">
        <v>136</v>
      </c>
      <c r="C1940" s="0" t="s">
        <v>4507</v>
      </c>
      <c r="D1940" s="0" t="n">
        <v>2020</v>
      </c>
      <c r="E1940" s="0" t="s">
        <v>61</v>
      </c>
      <c r="F1940" s="0" t="s">
        <v>6936</v>
      </c>
      <c r="G1940" s="0" t="s">
        <v>3067</v>
      </c>
      <c r="H1940" s="0" t="s">
        <v>3068</v>
      </c>
      <c r="I1940" s="0" t="n">
        <v>62920.622</v>
      </c>
      <c r="J1940" s="0" t="s">
        <v>5987</v>
      </c>
      <c r="K1940" s="0" t="s">
        <v>2707</v>
      </c>
      <c r="L1940" s="0" t="n">
        <v>2020</v>
      </c>
      <c r="M1940" s="0" t="s">
        <v>2201</v>
      </c>
      <c r="N1940" s="0" t="s">
        <v>144</v>
      </c>
      <c r="O1940" s="0" t="s">
        <v>2542</v>
      </c>
      <c r="P1940" s="0" t="s">
        <v>5988</v>
      </c>
      <c r="Q1940" s="0" t="n">
        <v>273</v>
      </c>
      <c r="R1940" s="0" t="n">
        <v>269</v>
      </c>
      <c r="S1940" s="0" t="n">
        <v>29</v>
      </c>
      <c r="T1940" s="0" t="s">
        <v>5989</v>
      </c>
      <c r="U1940" s="0" t="s">
        <v>4201</v>
      </c>
      <c r="V1940" s="0" t="s">
        <v>95</v>
      </c>
      <c r="W1940" s="0" t="s">
        <v>6994</v>
      </c>
      <c r="X1940" s="0" t="s">
        <v>6025</v>
      </c>
      <c r="Y1940" s="0" t="s">
        <v>6938</v>
      </c>
      <c r="Z1940" s="0" t="s">
        <v>979</v>
      </c>
      <c r="AA1940" s="0" t="s">
        <v>6995</v>
      </c>
      <c r="AB1940" s="0" t="s">
        <v>5993</v>
      </c>
      <c r="AC1940" s="0" t="s">
        <v>4162</v>
      </c>
      <c r="AD1940" s="0" t="s">
        <v>4163</v>
      </c>
      <c r="AE1940" s="0" t="s">
        <v>4164</v>
      </c>
      <c r="AF1940" s="0" t="s">
        <v>6027</v>
      </c>
      <c r="AH1940" s="0" t="s">
        <v>2239</v>
      </c>
      <c r="AJ1940" s="0" t="s">
        <v>6940</v>
      </c>
      <c r="AK1940" s="0" t="s">
        <v>6996</v>
      </c>
      <c r="AL1940" s="0" t="s">
        <v>979</v>
      </c>
    </row>
    <row r="1941" customFormat="false" ht="15" hidden="false" customHeight="false" outlineLevel="0" collapsed="false">
      <c r="A1941" s="0" t="s">
        <v>1003</v>
      </c>
      <c r="B1941" s="0" t="s">
        <v>136</v>
      </c>
      <c r="C1941" s="0" t="s">
        <v>4507</v>
      </c>
      <c r="D1941" s="0" t="n">
        <v>2015</v>
      </c>
      <c r="E1941" s="0" t="s">
        <v>60</v>
      </c>
      <c r="F1941" s="0" t="s">
        <v>6936</v>
      </c>
      <c r="G1941" s="0" t="s">
        <v>3067</v>
      </c>
      <c r="H1941" s="0" t="s">
        <v>3068</v>
      </c>
      <c r="I1941" s="0" t="n">
        <v>1291516.228</v>
      </c>
      <c r="J1941" s="0" t="s">
        <v>4508</v>
      </c>
      <c r="K1941" s="0" t="s">
        <v>2705</v>
      </c>
      <c r="L1941" s="0" t="n">
        <v>2015</v>
      </c>
      <c r="M1941" s="0" t="s">
        <v>2279</v>
      </c>
      <c r="N1941" s="0" t="s">
        <v>138</v>
      </c>
      <c r="O1941" s="0" t="s">
        <v>6450</v>
      </c>
      <c r="P1941" s="0" t="s">
        <v>6451</v>
      </c>
      <c r="Q1941" s="0" t="n">
        <v>255</v>
      </c>
      <c r="R1941" s="0" t="n">
        <v>251</v>
      </c>
      <c r="S1941" s="0" t="n">
        <v>29</v>
      </c>
      <c r="T1941" s="0" t="s">
        <v>6452</v>
      </c>
      <c r="U1941" s="0" t="s">
        <v>4808</v>
      </c>
      <c r="V1941" s="0" t="s">
        <v>84</v>
      </c>
      <c r="W1941" s="0" t="s">
        <v>6997</v>
      </c>
      <c r="X1941" s="0" t="s">
        <v>6479</v>
      </c>
      <c r="Y1941" s="0" t="s">
        <v>6938</v>
      </c>
      <c r="Z1941" s="0" t="s">
        <v>979</v>
      </c>
      <c r="AA1941" s="0" t="s">
        <v>6998</v>
      </c>
      <c r="AB1941" s="0" t="s">
        <v>6456</v>
      </c>
      <c r="AC1941" s="0" t="s">
        <v>4162</v>
      </c>
      <c r="AD1941" s="0" t="s">
        <v>4163</v>
      </c>
      <c r="AE1941" s="0" t="s">
        <v>4164</v>
      </c>
      <c r="AF1941" s="0" t="s">
        <v>6457</v>
      </c>
      <c r="AH1941" s="0" t="s">
        <v>2239</v>
      </c>
      <c r="AJ1941" s="0" t="s">
        <v>6940</v>
      </c>
      <c r="AK1941" s="0" t="s">
        <v>6999</v>
      </c>
      <c r="AL1941" s="0" t="s">
        <v>979</v>
      </c>
    </row>
    <row r="1942" customFormat="false" ht="15" hidden="false" customHeight="false" outlineLevel="0" collapsed="false">
      <c r="A1942" s="0" t="s">
        <v>1004</v>
      </c>
      <c r="B1942" s="0" t="s">
        <v>136</v>
      </c>
      <c r="C1942" s="0" t="s">
        <v>4507</v>
      </c>
      <c r="D1942" s="0" t="n">
        <v>2015</v>
      </c>
      <c r="E1942" s="0" t="s">
        <v>61</v>
      </c>
      <c r="F1942" s="0" t="s">
        <v>6936</v>
      </c>
      <c r="G1942" s="0" t="s">
        <v>3067</v>
      </c>
      <c r="H1942" s="0" t="s">
        <v>3068</v>
      </c>
      <c r="I1942" s="0" t="n">
        <v>26308.785</v>
      </c>
      <c r="J1942" s="0" t="s">
        <v>4508</v>
      </c>
      <c r="K1942" s="0" t="s">
        <v>2705</v>
      </c>
      <c r="L1942" s="0" t="n">
        <v>2015</v>
      </c>
      <c r="M1942" s="0" t="s">
        <v>2279</v>
      </c>
      <c r="N1942" s="0" t="s">
        <v>138</v>
      </c>
      <c r="O1942" s="0" t="s">
        <v>6450</v>
      </c>
      <c r="P1942" s="0" t="s">
        <v>6451</v>
      </c>
      <c r="Q1942" s="0" t="n">
        <v>256</v>
      </c>
      <c r="R1942" s="0" t="n">
        <v>252</v>
      </c>
      <c r="S1942" s="0" t="n">
        <v>29</v>
      </c>
      <c r="T1942" s="0" t="s">
        <v>6452</v>
      </c>
      <c r="U1942" s="0" t="s">
        <v>4808</v>
      </c>
      <c r="V1942" s="0" t="s">
        <v>84</v>
      </c>
      <c r="W1942" s="0" t="s">
        <v>7000</v>
      </c>
      <c r="X1942" s="0" t="s">
        <v>6489</v>
      </c>
      <c r="Y1942" s="0" t="s">
        <v>6938</v>
      </c>
      <c r="Z1942" s="0" t="s">
        <v>979</v>
      </c>
      <c r="AA1942" s="0" t="s">
        <v>7001</v>
      </c>
      <c r="AB1942" s="0" t="s">
        <v>6456</v>
      </c>
      <c r="AC1942" s="0" t="s">
        <v>4162</v>
      </c>
      <c r="AD1942" s="0" t="s">
        <v>4163</v>
      </c>
      <c r="AE1942" s="0" t="s">
        <v>4164</v>
      </c>
      <c r="AF1942" s="0" t="s">
        <v>6457</v>
      </c>
      <c r="AH1942" s="0" t="s">
        <v>2239</v>
      </c>
      <c r="AJ1942" s="0" t="s">
        <v>6940</v>
      </c>
      <c r="AK1942" s="0" t="s">
        <v>7002</v>
      </c>
      <c r="AL1942" s="0" t="s">
        <v>979</v>
      </c>
    </row>
    <row r="1943" customFormat="false" ht="15" hidden="false" customHeight="false" outlineLevel="0" collapsed="false">
      <c r="A1943" s="0" t="s">
        <v>1018</v>
      </c>
      <c r="B1943" s="0" t="s">
        <v>136</v>
      </c>
      <c r="C1943" s="0" t="s">
        <v>4507</v>
      </c>
      <c r="D1943" s="0" t="n">
        <v>2016</v>
      </c>
      <c r="E1943" s="0" t="s">
        <v>60</v>
      </c>
      <c r="F1943" s="0" t="s">
        <v>6936</v>
      </c>
      <c r="G1943" s="0" t="s">
        <v>3067</v>
      </c>
      <c r="H1943" s="0" t="s">
        <v>3068</v>
      </c>
      <c r="I1943" s="0" t="n">
        <v>1491117.716</v>
      </c>
      <c r="J1943" s="0" t="s">
        <v>4508</v>
      </c>
      <c r="K1943" s="0" t="s">
        <v>2706</v>
      </c>
      <c r="L1943" s="0" t="n">
        <v>2016</v>
      </c>
      <c r="M1943" s="0" t="s">
        <v>2286</v>
      </c>
      <c r="N1943" s="0" t="s">
        <v>139</v>
      </c>
      <c r="O1943" s="0" t="s">
        <v>6505</v>
      </c>
      <c r="P1943" s="0" t="s">
        <v>6506</v>
      </c>
      <c r="Q1943" s="0" t="n">
        <v>257</v>
      </c>
      <c r="R1943" s="0" t="n">
        <v>256</v>
      </c>
      <c r="S1943" s="0" t="n">
        <v>29</v>
      </c>
      <c r="T1943" s="0" t="s">
        <v>6507</v>
      </c>
      <c r="U1943" s="0" t="s">
        <v>4209</v>
      </c>
      <c r="V1943" s="0" t="s">
        <v>140</v>
      </c>
      <c r="W1943" s="0" t="s">
        <v>7003</v>
      </c>
      <c r="X1943" s="0" t="s">
        <v>6533</v>
      </c>
      <c r="Y1943" s="0" t="s">
        <v>6938</v>
      </c>
      <c r="Z1943" s="0" t="s">
        <v>979</v>
      </c>
      <c r="AA1943" s="0" t="s">
        <v>7004</v>
      </c>
      <c r="AB1943" s="0" t="s">
        <v>6511</v>
      </c>
      <c r="AC1943" s="0" t="s">
        <v>4162</v>
      </c>
      <c r="AD1943" s="0" t="s">
        <v>4163</v>
      </c>
      <c r="AE1943" s="0" t="s">
        <v>4164</v>
      </c>
      <c r="AF1943" s="0" t="s">
        <v>6512</v>
      </c>
      <c r="AH1943" s="0" t="s">
        <v>2239</v>
      </c>
      <c r="AJ1943" s="0" t="s">
        <v>6940</v>
      </c>
      <c r="AK1943" s="0" t="s">
        <v>7005</v>
      </c>
      <c r="AL1943" s="0" t="s">
        <v>979</v>
      </c>
    </row>
    <row r="1944" customFormat="false" ht="15" hidden="false" customHeight="false" outlineLevel="0" collapsed="false">
      <c r="A1944" s="0" t="s">
        <v>1019</v>
      </c>
      <c r="B1944" s="0" t="s">
        <v>136</v>
      </c>
      <c r="C1944" s="0" t="s">
        <v>4507</v>
      </c>
      <c r="D1944" s="0" t="n">
        <v>2016</v>
      </c>
      <c r="E1944" s="0" t="s">
        <v>61</v>
      </c>
      <c r="F1944" s="0" t="s">
        <v>6936</v>
      </c>
      <c r="G1944" s="0" t="s">
        <v>3067</v>
      </c>
      <c r="H1944" s="0" t="s">
        <v>3068</v>
      </c>
      <c r="I1944" s="0" t="n">
        <v>73899.764</v>
      </c>
      <c r="J1944" s="0" t="s">
        <v>4508</v>
      </c>
      <c r="K1944" s="0" t="s">
        <v>2706</v>
      </c>
      <c r="L1944" s="0" t="n">
        <v>2016</v>
      </c>
      <c r="M1944" s="0" t="s">
        <v>2286</v>
      </c>
      <c r="N1944" s="0" t="s">
        <v>139</v>
      </c>
      <c r="O1944" s="0" t="s">
        <v>6505</v>
      </c>
      <c r="P1944" s="0" t="s">
        <v>6506</v>
      </c>
      <c r="Q1944" s="0" t="n">
        <v>257</v>
      </c>
      <c r="R1944" s="0" t="n">
        <v>256</v>
      </c>
      <c r="S1944" s="0" t="n">
        <v>29</v>
      </c>
      <c r="T1944" s="0" t="s">
        <v>6507</v>
      </c>
      <c r="U1944" s="0" t="s">
        <v>4209</v>
      </c>
      <c r="V1944" s="0" t="s">
        <v>140</v>
      </c>
      <c r="W1944" s="0" t="s">
        <v>7006</v>
      </c>
      <c r="X1944" s="0" t="s">
        <v>6533</v>
      </c>
      <c r="Y1944" s="0" t="s">
        <v>6938</v>
      </c>
      <c r="Z1944" s="0" t="s">
        <v>979</v>
      </c>
      <c r="AA1944" s="0" t="s">
        <v>7007</v>
      </c>
      <c r="AB1944" s="0" t="s">
        <v>6511</v>
      </c>
      <c r="AC1944" s="0" t="s">
        <v>4162</v>
      </c>
      <c r="AD1944" s="0" t="s">
        <v>4163</v>
      </c>
      <c r="AE1944" s="0" t="s">
        <v>4164</v>
      </c>
      <c r="AF1944" s="0" t="s">
        <v>6512</v>
      </c>
      <c r="AH1944" s="0" t="s">
        <v>2239</v>
      </c>
      <c r="AJ1944" s="0" t="s">
        <v>6940</v>
      </c>
      <c r="AK1944" s="0" t="s">
        <v>7008</v>
      </c>
      <c r="AL1944" s="0" t="s">
        <v>979</v>
      </c>
    </row>
    <row r="1945" customFormat="false" ht="15" hidden="false" customHeight="false" outlineLevel="0" collapsed="false">
      <c r="A1945" s="0" t="s">
        <v>1125</v>
      </c>
      <c r="B1945" s="0" t="s">
        <v>149</v>
      </c>
      <c r="C1945" s="0" t="s">
        <v>4263</v>
      </c>
      <c r="D1945" s="0" t="n">
        <v>2014</v>
      </c>
      <c r="E1945" s="0" t="s">
        <v>56</v>
      </c>
      <c r="F1945" s="0" t="s">
        <v>6936</v>
      </c>
      <c r="G1945" s="0" t="s">
        <v>3101</v>
      </c>
      <c r="H1945" s="0" t="s">
        <v>3068</v>
      </c>
      <c r="I1945" s="0" t="n">
        <v>829231</v>
      </c>
      <c r="J1945" s="0" t="s">
        <v>6608</v>
      </c>
      <c r="K1945" s="0" t="s">
        <v>2711</v>
      </c>
      <c r="L1945" s="0" t="n">
        <v>2014</v>
      </c>
      <c r="M1945" s="0" t="s">
        <v>2309</v>
      </c>
      <c r="N1945" s="0" t="s">
        <v>152</v>
      </c>
      <c r="O1945" s="0" t="s">
        <v>6634</v>
      </c>
      <c r="P1945" s="0" t="s">
        <v>6635</v>
      </c>
      <c r="Q1945" s="0" t="n">
        <v>105</v>
      </c>
      <c r="R1945" s="0" t="n">
        <v>206</v>
      </c>
      <c r="S1945" s="0" t="n">
        <v>13.4</v>
      </c>
      <c r="T1945" s="0" t="s">
        <v>6636</v>
      </c>
      <c r="U1945" s="0" t="s">
        <v>4763</v>
      </c>
      <c r="V1945" s="0" t="s">
        <v>153</v>
      </c>
      <c r="W1945" s="0" t="s">
        <v>7009</v>
      </c>
      <c r="X1945" s="0" t="s">
        <v>6655</v>
      </c>
      <c r="Y1945" s="0" t="s">
        <v>6938</v>
      </c>
      <c r="Z1945" s="0" t="s">
        <v>979</v>
      </c>
      <c r="AA1945" s="0" t="s">
        <v>7010</v>
      </c>
      <c r="AB1945" s="0" t="s">
        <v>6640</v>
      </c>
      <c r="AC1945" s="0" t="s">
        <v>4162</v>
      </c>
      <c r="AD1945" s="0" t="s">
        <v>6566</v>
      </c>
      <c r="AE1945" s="0" t="s">
        <v>6567</v>
      </c>
      <c r="AF1945" s="0" t="s">
        <v>6641</v>
      </c>
      <c r="AH1945" s="0" t="s">
        <v>2239</v>
      </c>
      <c r="AJ1945" s="0" t="s">
        <v>6940</v>
      </c>
      <c r="AK1945" s="0" t="s">
        <v>7011</v>
      </c>
      <c r="AL1945" s="0" t="s">
        <v>979</v>
      </c>
    </row>
    <row r="1946" customFormat="false" ht="15" hidden="false" customHeight="false" outlineLevel="0" collapsed="false">
      <c r="A1946" s="0" t="s">
        <v>1133</v>
      </c>
      <c r="B1946" s="0" t="s">
        <v>149</v>
      </c>
      <c r="C1946" s="0" t="s">
        <v>4263</v>
      </c>
      <c r="D1946" s="0" t="n">
        <v>2015</v>
      </c>
      <c r="E1946" s="0" t="s">
        <v>56</v>
      </c>
      <c r="F1946" s="0" t="s">
        <v>6936</v>
      </c>
      <c r="G1946" s="0" t="s">
        <v>3101</v>
      </c>
      <c r="H1946" s="0" t="s">
        <v>3068</v>
      </c>
      <c r="I1946" s="0" t="n">
        <v>795663</v>
      </c>
      <c r="J1946" s="0" t="s">
        <v>6608</v>
      </c>
      <c r="K1946" s="0" t="s">
        <v>2712</v>
      </c>
      <c r="L1946" s="0" t="n">
        <v>2015</v>
      </c>
      <c r="M1946" s="0" t="s">
        <v>2300</v>
      </c>
      <c r="N1946" s="0" t="s">
        <v>154</v>
      </c>
      <c r="O1946" s="0" t="s">
        <v>6689</v>
      </c>
      <c r="P1946" s="0" t="s">
        <v>6690</v>
      </c>
      <c r="Q1946" s="0" t="n">
        <v>87</v>
      </c>
      <c r="R1946" s="0" t="n">
        <v>170</v>
      </c>
      <c r="S1946" s="0" t="n">
        <v>13.4</v>
      </c>
      <c r="T1946" s="0" t="s">
        <v>6691</v>
      </c>
      <c r="U1946" s="0" t="s">
        <v>4808</v>
      </c>
      <c r="V1946" s="0" t="s">
        <v>155</v>
      </c>
      <c r="W1946" s="0" t="s">
        <v>7012</v>
      </c>
      <c r="X1946" s="0" t="s">
        <v>6710</v>
      </c>
      <c r="Y1946" s="0" t="s">
        <v>6938</v>
      </c>
      <c r="Z1946" s="0" t="s">
        <v>979</v>
      </c>
      <c r="AA1946" s="0" t="s">
        <v>7013</v>
      </c>
      <c r="AB1946" s="0" t="s">
        <v>6695</v>
      </c>
      <c r="AC1946" s="0" t="s">
        <v>4162</v>
      </c>
      <c r="AD1946" s="0" t="s">
        <v>6566</v>
      </c>
      <c r="AE1946" s="0" t="s">
        <v>6567</v>
      </c>
      <c r="AF1946" s="0" t="s">
        <v>6696</v>
      </c>
      <c r="AH1946" s="0" t="s">
        <v>2239</v>
      </c>
      <c r="AJ1946" s="0" t="s">
        <v>6940</v>
      </c>
      <c r="AK1946" s="0" t="s">
        <v>7014</v>
      </c>
      <c r="AL1946" s="0" t="s">
        <v>979</v>
      </c>
    </row>
    <row r="1947" customFormat="false" ht="15" hidden="false" customHeight="false" outlineLevel="0" collapsed="false">
      <c r="A1947" s="0" t="s">
        <v>1141</v>
      </c>
      <c r="B1947" s="0" t="s">
        <v>149</v>
      </c>
      <c r="C1947" s="0" t="s">
        <v>4263</v>
      </c>
      <c r="D1947" s="0" t="n">
        <v>2016</v>
      </c>
      <c r="E1947" s="0" t="s">
        <v>56</v>
      </c>
      <c r="F1947" s="0" t="s">
        <v>6936</v>
      </c>
      <c r="G1947" s="0" t="s">
        <v>3101</v>
      </c>
      <c r="H1947" s="0" t="s">
        <v>3068</v>
      </c>
      <c r="I1947" s="0" t="n">
        <v>884443</v>
      </c>
      <c r="J1947" s="0" t="s">
        <v>6608</v>
      </c>
      <c r="K1947" s="0" t="s">
        <v>2713</v>
      </c>
      <c r="L1947" s="0" t="n">
        <v>2016</v>
      </c>
      <c r="M1947" s="0" t="s">
        <v>2303</v>
      </c>
      <c r="N1947" s="0" t="s">
        <v>156</v>
      </c>
      <c r="O1947" s="0" t="s">
        <v>6736</v>
      </c>
      <c r="P1947" s="0" t="s">
        <v>6737</v>
      </c>
      <c r="Q1947" s="0" t="n">
        <v>85</v>
      </c>
      <c r="R1947" s="0" t="n">
        <v>166</v>
      </c>
      <c r="S1947" s="0" t="n">
        <v>13.4</v>
      </c>
      <c r="T1947" s="0" t="s">
        <v>6738</v>
      </c>
      <c r="U1947" s="0" t="s">
        <v>4209</v>
      </c>
      <c r="V1947" s="0" t="s">
        <v>157</v>
      </c>
      <c r="W1947" s="0" t="s">
        <v>7015</v>
      </c>
      <c r="X1947" s="0" t="s">
        <v>6757</v>
      </c>
      <c r="Y1947" s="0" t="s">
        <v>6938</v>
      </c>
      <c r="Z1947" s="0" t="s">
        <v>979</v>
      </c>
      <c r="AA1947" s="0" t="s">
        <v>7016</v>
      </c>
      <c r="AB1947" s="0" t="s">
        <v>6742</v>
      </c>
      <c r="AC1947" s="0" t="s">
        <v>4162</v>
      </c>
      <c r="AD1947" s="0" t="s">
        <v>6566</v>
      </c>
      <c r="AE1947" s="0" t="s">
        <v>6567</v>
      </c>
      <c r="AF1947" s="0" t="s">
        <v>6743</v>
      </c>
      <c r="AH1947" s="0" t="s">
        <v>2239</v>
      </c>
      <c r="AJ1947" s="0" t="s">
        <v>6940</v>
      </c>
      <c r="AK1947" s="0" t="s">
        <v>7017</v>
      </c>
      <c r="AL1947" s="0" t="s">
        <v>979</v>
      </c>
    </row>
    <row r="1948" customFormat="false" ht="15" hidden="false" customHeight="false" outlineLevel="0" collapsed="false">
      <c r="A1948" s="0" t="s">
        <v>1149</v>
      </c>
      <c r="B1948" s="0" t="s">
        <v>149</v>
      </c>
      <c r="C1948" s="0" t="s">
        <v>4263</v>
      </c>
      <c r="D1948" s="0" t="n">
        <v>2017</v>
      </c>
      <c r="E1948" s="0" t="s">
        <v>56</v>
      </c>
      <c r="F1948" s="0" t="s">
        <v>6936</v>
      </c>
      <c r="G1948" s="0" t="s">
        <v>3101</v>
      </c>
      <c r="H1948" s="0" t="s">
        <v>3068</v>
      </c>
      <c r="I1948" s="0" t="n">
        <v>1193969</v>
      </c>
      <c r="J1948" s="0" t="s">
        <v>6608</v>
      </c>
      <c r="K1948" s="0" t="s">
        <v>2714</v>
      </c>
      <c r="L1948" s="0" t="n">
        <v>2017</v>
      </c>
      <c r="M1948" s="0" t="s">
        <v>2306</v>
      </c>
      <c r="N1948" s="0" t="s">
        <v>158</v>
      </c>
      <c r="O1948" s="0" t="s">
        <v>6783</v>
      </c>
      <c r="P1948" s="0" t="s">
        <v>6784</v>
      </c>
      <c r="Q1948" s="0" t="n">
        <v>95</v>
      </c>
      <c r="R1948" s="0" t="n">
        <v>188</v>
      </c>
      <c r="S1948" s="0" t="n">
        <v>13.4</v>
      </c>
      <c r="T1948" s="0" t="s">
        <v>6785</v>
      </c>
      <c r="U1948" s="0" t="s">
        <v>4396</v>
      </c>
      <c r="V1948" s="0" t="s">
        <v>159</v>
      </c>
      <c r="W1948" s="0" t="s">
        <v>7018</v>
      </c>
      <c r="X1948" s="0" t="s">
        <v>6804</v>
      </c>
      <c r="Y1948" s="0" t="s">
        <v>6938</v>
      </c>
      <c r="Z1948" s="0" t="s">
        <v>979</v>
      </c>
      <c r="AA1948" s="0" t="s">
        <v>7019</v>
      </c>
      <c r="AB1948" s="0" t="s">
        <v>6789</v>
      </c>
      <c r="AC1948" s="0" t="s">
        <v>4162</v>
      </c>
      <c r="AD1948" s="0" t="s">
        <v>6566</v>
      </c>
      <c r="AE1948" s="0" t="s">
        <v>6567</v>
      </c>
      <c r="AF1948" s="0" t="s">
        <v>6790</v>
      </c>
      <c r="AH1948" s="0" t="s">
        <v>2239</v>
      </c>
      <c r="AJ1948" s="0" t="s">
        <v>6940</v>
      </c>
      <c r="AK1948" s="0" t="s">
        <v>7020</v>
      </c>
      <c r="AL1948" s="0" t="s">
        <v>979</v>
      </c>
    </row>
    <row r="1949" customFormat="false" ht="15" hidden="false" customHeight="false" outlineLevel="0" collapsed="false">
      <c r="A1949" s="0" t="s">
        <v>980</v>
      </c>
      <c r="B1949" s="0" t="s">
        <v>125</v>
      </c>
      <c r="C1949" s="0" t="s">
        <v>4590</v>
      </c>
      <c r="D1949" s="0" t="n">
        <v>2019</v>
      </c>
      <c r="E1949" s="0" t="s">
        <v>60</v>
      </c>
      <c r="F1949" s="0" t="s">
        <v>6936</v>
      </c>
      <c r="G1949" s="0" t="s">
        <v>3101</v>
      </c>
      <c r="H1949" s="0" t="s">
        <v>3068</v>
      </c>
      <c r="I1949" s="0" t="n">
        <v>1618817</v>
      </c>
      <c r="J1949" s="0" t="s">
        <v>4155</v>
      </c>
      <c r="K1949" s="0" t="s">
        <v>2702</v>
      </c>
      <c r="L1949" s="0" t="n">
        <v>2019</v>
      </c>
      <c r="M1949" s="0" t="s">
        <v>2313</v>
      </c>
      <c r="N1949" s="0" t="s">
        <v>131</v>
      </c>
      <c r="O1949" s="0" t="s">
        <v>6830</v>
      </c>
      <c r="P1949" s="0" t="s">
        <v>6831</v>
      </c>
      <c r="Q1949" s="0" t="n">
        <v>473</v>
      </c>
      <c r="R1949" s="0" t="n">
        <v>98</v>
      </c>
      <c r="S1949" s="0" t="n">
        <v>20</v>
      </c>
      <c r="T1949" s="0" t="s">
        <v>6832</v>
      </c>
      <c r="U1949" s="0" t="s">
        <v>4461</v>
      </c>
      <c r="V1949" s="0" t="s">
        <v>133</v>
      </c>
      <c r="W1949" s="0" t="s">
        <v>7021</v>
      </c>
      <c r="X1949" s="0" t="s">
        <v>6857</v>
      </c>
      <c r="Y1949" s="0" t="s">
        <v>6938</v>
      </c>
      <c r="Z1949" s="0" t="s">
        <v>979</v>
      </c>
      <c r="AA1949" s="0" t="s">
        <v>7022</v>
      </c>
      <c r="AB1949" s="0" t="s">
        <v>6835</v>
      </c>
      <c r="AC1949" s="0" t="s">
        <v>4162</v>
      </c>
      <c r="AD1949" s="0" t="s">
        <v>4163</v>
      </c>
      <c r="AE1949" s="0" t="s">
        <v>4164</v>
      </c>
      <c r="AF1949" s="0" t="s">
        <v>6836</v>
      </c>
      <c r="AH1949" s="0" t="s">
        <v>2239</v>
      </c>
      <c r="AJ1949" s="0" t="s">
        <v>6940</v>
      </c>
      <c r="AK1949" s="0" t="s">
        <v>7023</v>
      </c>
      <c r="AL1949" s="0" t="s">
        <v>979</v>
      </c>
    </row>
    <row r="1950" customFormat="false" ht="15" hidden="false" customHeight="false" outlineLevel="0" collapsed="false">
      <c r="A1950" s="0" t="s">
        <v>981</v>
      </c>
      <c r="B1950" s="0" t="s">
        <v>125</v>
      </c>
      <c r="C1950" s="0" t="s">
        <v>4590</v>
      </c>
      <c r="D1950" s="0" t="n">
        <v>2019</v>
      </c>
      <c r="E1950" s="0" t="s">
        <v>61</v>
      </c>
      <c r="F1950" s="0" t="s">
        <v>6936</v>
      </c>
      <c r="G1950" s="0" t="s">
        <v>3101</v>
      </c>
      <c r="H1950" s="0" t="s">
        <v>3068</v>
      </c>
      <c r="I1950" s="0" t="n">
        <v>59314</v>
      </c>
      <c r="J1950" s="0" t="s">
        <v>4155</v>
      </c>
      <c r="K1950" s="0" t="s">
        <v>2702</v>
      </c>
      <c r="L1950" s="0" t="n">
        <v>2019</v>
      </c>
      <c r="M1950" s="0" t="s">
        <v>2313</v>
      </c>
      <c r="N1950" s="0" t="s">
        <v>131</v>
      </c>
      <c r="O1950" s="0" t="s">
        <v>6830</v>
      </c>
      <c r="P1950" s="0" t="s">
        <v>6831</v>
      </c>
      <c r="Q1950" s="0" t="n">
        <v>473</v>
      </c>
      <c r="R1950" s="0" t="n">
        <v>98</v>
      </c>
      <c r="S1950" s="0" t="n">
        <v>20</v>
      </c>
      <c r="T1950" s="0" t="s">
        <v>6832</v>
      </c>
      <c r="U1950" s="0" t="s">
        <v>4461</v>
      </c>
      <c r="V1950" s="0" t="s">
        <v>133</v>
      </c>
      <c r="W1950" s="0" t="s">
        <v>7024</v>
      </c>
      <c r="X1950" s="0" t="s">
        <v>6857</v>
      </c>
      <c r="Y1950" s="0" t="s">
        <v>6938</v>
      </c>
      <c r="Z1950" s="0" t="s">
        <v>979</v>
      </c>
      <c r="AA1950" s="0" t="s">
        <v>7025</v>
      </c>
      <c r="AB1950" s="0" t="s">
        <v>6835</v>
      </c>
      <c r="AC1950" s="0" t="s">
        <v>4162</v>
      </c>
      <c r="AD1950" s="0" t="s">
        <v>4163</v>
      </c>
      <c r="AE1950" s="0" t="s">
        <v>4164</v>
      </c>
      <c r="AF1950" s="0" t="s">
        <v>6836</v>
      </c>
      <c r="AH1950" s="0" t="s">
        <v>2239</v>
      </c>
      <c r="AJ1950" s="0" t="s">
        <v>6940</v>
      </c>
      <c r="AK1950" s="0" t="s">
        <v>7026</v>
      </c>
      <c r="AL1950" s="0" t="s">
        <v>979</v>
      </c>
    </row>
    <row r="1951" customFormat="false" ht="15" hidden="false" customHeight="false" outlineLevel="0" collapsed="false">
      <c r="A1951" s="0" t="s">
        <v>963</v>
      </c>
      <c r="B1951" s="0" t="s">
        <v>125</v>
      </c>
      <c r="C1951" s="0" t="s">
        <v>4590</v>
      </c>
      <c r="D1951" s="0" t="n">
        <v>2018</v>
      </c>
      <c r="E1951" s="0" t="s">
        <v>60</v>
      </c>
      <c r="F1951" s="0" t="s">
        <v>6936</v>
      </c>
      <c r="G1951" s="0" t="s">
        <v>3101</v>
      </c>
      <c r="H1951" s="0" t="s">
        <v>3068</v>
      </c>
      <c r="I1951" s="0" t="n">
        <v>1728964</v>
      </c>
      <c r="J1951" s="0" t="s">
        <v>4155</v>
      </c>
      <c r="K1951" s="0" t="s">
        <v>2702</v>
      </c>
      <c r="L1951" s="0" t="n">
        <v>2019</v>
      </c>
      <c r="M1951" s="0" t="s">
        <v>2313</v>
      </c>
      <c r="N1951" s="0" t="s">
        <v>131</v>
      </c>
      <c r="O1951" s="0" t="s">
        <v>6830</v>
      </c>
      <c r="P1951" s="0" t="s">
        <v>6831</v>
      </c>
      <c r="Q1951" s="0" t="n">
        <v>474</v>
      </c>
      <c r="R1951" s="0" t="n">
        <v>99</v>
      </c>
      <c r="S1951" s="0" t="n">
        <v>20</v>
      </c>
      <c r="T1951" s="0" t="s">
        <v>6840</v>
      </c>
      <c r="U1951" s="0" t="s">
        <v>6841</v>
      </c>
      <c r="V1951" s="0" t="s">
        <v>133</v>
      </c>
      <c r="W1951" s="0" t="s">
        <v>7027</v>
      </c>
      <c r="X1951" s="0" t="s">
        <v>6891</v>
      </c>
      <c r="Y1951" s="0" t="s">
        <v>6938</v>
      </c>
      <c r="Z1951" s="0" t="s">
        <v>979</v>
      </c>
      <c r="AA1951" s="0" t="s">
        <v>7028</v>
      </c>
      <c r="AB1951" s="0" t="s">
        <v>6835</v>
      </c>
      <c r="AC1951" s="0" t="s">
        <v>4162</v>
      </c>
      <c r="AD1951" s="0" t="s">
        <v>4163</v>
      </c>
      <c r="AE1951" s="0" t="s">
        <v>4164</v>
      </c>
      <c r="AF1951" s="0" t="s">
        <v>6836</v>
      </c>
      <c r="AH1951" s="0" t="s">
        <v>2239</v>
      </c>
      <c r="AJ1951" s="0" t="s">
        <v>6940</v>
      </c>
      <c r="AK1951" s="0" t="s">
        <v>7029</v>
      </c>
      <c r="AL1951" s="0" t="s">
        <v>979</v>
      </c>
    </row>
    <row r="1952" customFormat="false" ht="15" hidden="false" customHeight="false" outlineLevel="0" collapsed="false">
      <c r="A1952" s="0" t="s">
        <v>1790</v>
      </c>
      <c r="B1952" s="0" t="s">
        <v>149</v>
      </c>
      <c r="D1952" s="0" t="n">
        <v>2020</v>
      </c>
      <c r="E1952" s="0" t="s">
        <v>65</v>
      </c>
      <c r="F1952" s="0" t="n">
        <v>176542</v>
      </c>
      <c r="G1952" s="0" t="s">
        <v>3101</v>
      </c>
      <c r="H1952" s="0" t="s">
        <v>3068</v>
      </c>
      <c r="I1952" s="0" t="n">
        <v>176542</v>
      </c>
      <c r="M1952" s="0" t="s">
        <v>1837</v>
      </c>
      <c r="N1952" s="0" t="s">
        <v>164</v>
      </c>
      <c r="O1952" s="0" t="s">
        <v>2359</v>
      </c>
      <c r="P1952" s="0" t="s">
        <v>3013</v>
      </c>
      <c r="Q1952" s="0" t="n">
        <v>144</v>
      </c>
      <c r="R1952" s="0" t="n">
        <v>113</v>
      </c>
      <c r="T1952" s="0" t="s">
        <v>4333</v>
      </c>
      <c r="U1952" s="0" t="s">
        <v>2673</v>
      </c>
      <c r="V1952" s="0" t="s">
        <v>7030</v>
      </c>
      <c r="Y1952" s="0" t="s">
        <v>7031</v>
      </c>
      <c r="Z1952" s="0" t="s">
        <v>1791</v>
      </c>
      <c r="AA1952" s="0" t="s">
        <v>1792</v>
      </c>
      <c r="AB1952" s="0" t="s">
        <v>3014</v>
      </c>
      <c r="AC1952" s="0" t="s">
        <v>7032</v>
      </c>
      <c r="AL1952" s="0" t="s">
        <v>523</v>
      </c>
    </row>
    <row r="1953" customFormat="false" ht="15" hidden="false" customHeight="false" outlineLevel="0" collapsed="false">
      <c r="A1953" s="0" t="s">
        <v>1793</v>
      </c>
      <c r="B1953" s="0" t="s">
        <v>149</v>
      </c>
      <c r="D1953" s="0" t="n">
        <v>2020</v>
      </c>
      <c r="E1953" s="0" t="s">
        <v>619</v>
      </c>
      <c r="F1953" s="0" t="n">
        <v>182720</v>
      </c>
      <c r="G1953" s="0" t="s">
        <v>3101</v>
      </c>
      <c r="H1953" s="0" t="s">
        <v>3068</v>
      </c>
      <c r="I1953" s="0" t="n">
        <v>182720</v>
      </c>
      <c r="M1953" s="0" t="s">
        <v>1837</v>
      </c>
      <c r="N1953" s="0" t="s">
        <v>164</v>
      </c>
      <c r="O1953" s="0" t="s">
        <v>2359</v>
      </c>
      <c r="P1953" s="0" t="s">
        <v>3013</v>
      </c>
      <c r="Q1953" s="0" t="n">
        <v>144</v>
      </c>
      <c r="R1953" s="0" t="n">
        <v>113</v>
      </c>
      <c r="T1953" s="0" t="s">
        <v>4342</v>
      </c>
      <c r="U1953" s="0" t="s">
        <v>2673</v>
      </c>
      <c r="V1953" s="0" t="s">
        <v>7030</v>
      </c>
      <c r="Y1953" s="0" t="s">
        <v>7031</v>
      </c>
      <c r="Z1953" s="0" t="s">
        <v>1791</v>
      </c>
      <c r="AA1953" s="0" t="s">
        <v>1794</v>
      </c>
      <c r="AB1953" s="0" t="s">
        <v>3014</v>
      </c>
      <c r="AC1953" s="0" t="s">
        <v>7032</v>
      </c>
      <c r="AL1953" s="0" t="s">
        <v>523</v>
      </c>
    </row>
    <row r="1954" customFormat="false" ht="15" hidden="false" customHeight="false" outlineLevel="0" collapsed="false">
      <c r="A1954" s="0" t="s">
        <v>1795</v>
      </c>
      <c r="B1954" s="0" t="s">
        <v>149</v>
      </c>
      <c r="D1954" s="0" t="n">
        <v>2021</v>
      </c>
      <c r="E1954" s="0" t="s">
        <v>65</v>
      </c>
      <c r="F1954" s="0" t="n">
        <v>228300</v>
      </c>
      <c r="G1954" s="0" t="s">
        <v>3101</v>
      </c>
      <c r="H1954" s="0" t="s">
        <v>3068</v>
      </c>
      <c r="I1954" s="0" t="n">
        <v>228300</v>
      </c>
      <c r="M1954" s="0" t="s">
        <v>1846</v>
      </c>
      <c r="N1954" s="0" t="s">
        <v>167</v>
      </c>
      <c r="O1954" s="0" t="s">
        <v>2409</v>
      </c>
      <c r="P1954" s="0" t="s">
        <v>3009</v>
      </c>
      <c r="Q1954" s="0" t="n">
        <v>143</v>
      </c>
      <c r="R1954" s="0" t="n">
        <v>113</v>
      </c>
      <c r="T1954" s="0" t="s">
        <v>4322</v>
      </c>
      <c r="U1954" s="0" t="s">
        <v>2673</v>
      </c>
      <c r="V1954" s="0" t="s">
        <v>7033</v>
      </c>
      <c r="Y1954" s="0" t="s">
        <v>7031</v>
      </c>
      <c r="Z1954" s="0" t="s">
        <v>1796</v>
      </c>
      <c r="AA1954" s="0" t="s">
        <v>1797</v>
      </c>
      <c r="AB1954" s="0" t="s">
        <v>3010</v>
      </c>
      <c r="AC1954" s="0" t="s">
        <v>7032</v>
      </c>
      <c r="AL1954" s="0" t="s">
        <v>523</v>
      </c>
    </row>
    <row r="1955" customFormat="false" ht="15" hidden="false" customHeight="false" outlineLevel="0" collapsed="false">
      <c r="A1955" s="0" t="s">
        <v>1798</v>
      </c>
      <c r="B1955" s="0" t="s">
        <v>211</v>
      </c>
      <c r="D1955" s="0" t="n">
        <v>2022</v>
      </c>
      <c r="E1955" s="0" t="s">
        <v>63</v>
      </c>
      <c r="F1955" s="0" t="n">
        <v>-4808387</v>
      </c>
      <c r="G1955" s="0" t="s">
        <v>3067</v>
      </c>
      <c r="H1955" s="0" t="s">
        <v>3068</v>
      </c>
      <c r="I1955" s="0" t="n">
        <v>4808.387</v>
      </c>
      <c r="M1955" s="0" t="s">
        <v>1884</v>
      </c>
      <c r="N1955" s="0" t="s">
        <v>219</v>
      </c>
      <c r="O1955" s="0" t="s">
        <v>2352</v>
      </c>
      <c r="P1955" s="0" t="s">
        <v>3028</v>
      </c>
      <c r="Q1955" s="0" t="n">
        <v>114</v>
      </c>
      <c r="R1955" s="0" t="n">
        <v>109</v>
      </c>
      <c r="T1955" s="0" t="s">
        <v>4275</v>
      </c>
      <c r="U1955" s="0" t="s">
        <v>2665</v>
      </c>
      <c r="V1955" s="0" t="s">
        <v>114</v>
      </c>
      <c r="Y1955" s="0" t="s">
        <v>7031</v>
      </c>
      <c r="Z1955" s="0" t="s">
        <v>1799</v>
      </c>
      <c r="AA1955" s="0" t="s">
        <v>1800</v>
      </c>
      <c r="AB1955" s="0" t="s">
        <v>3029</v>
      </c>
      <c r="AC1955" s="0" t="s">
        <v>7032</v>
      </c>
      <c r="AL1955" s="0" t="s">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6" min="6" style="0" width="24"/>
    <col collapsed="false" customWidth="true" hidden="false" outlineLevel="0" max="7" min="7" style="0" width="13"/>
    <col collapsed="false" customWidth="true" hidden="false" outlineLevel="0" max="8" min="8" style="0" width="15"/>
    <col collapsed="false" customWidth="true" hidden="false" outlineLevel="0" max="9" min="9" style="0" width="14"/>
  </cols>
  <sheetData>
    <row r="1" customFormat="false" ht="15" hidden="false" customHeight="false" outlineLevel="0" collapsed="false">
      <c r="A1" s="2" t="s">
        <v>7034</v>
      </c>
    </row>
    <row r="3" customFormat="false" ht="15" hidden="false" customHeight="false" outlineLevel="0" collapsed="false">
      <c r="A3" s="3" t="s">
        <v>50</v>
      </c>
      <c r="B3" s="3" t="s">
        <v>51</v>
      </c>
      <c r="C3" s="3" t="s">
        <v>301</v>
      </c>
      <c r="D3" s="3" t="s">
        <v>276</v>
      </c>
      <c r="E3" s="3" t="s">
        <v>7035</v>
      </c>
      <c r="F3" s="3" t="s">
        <v>7036</v>
      </c>
      <c r="G3" s="3" t="s">
        <v>7037</v>
      </c>
      <c r="H3" s="3" t="s">
        <v>7038</v>
      </c>
      <c r="I3" s="3" t="s">
        <v>7039</v>
      </c>
    </row>
    <row r="4" customFormat="false" ht="15" hidden="false" customHeight="false" outlineLevel="0" collapsed="false">
      <c r="A4" s="0" t="s">
        <v>77</v>
      </c>
      <c r="B4" s="0" t="n">
        <v>2013</v>
      </c>
      <c r="C4" s="0" t="s">
        <v>54</v>
      </c>
      <c r="D4" s="0" t="n">
        <v>26211.844</v>
      </c>
      <c r="E4" s="0" t="n">
        <v>1</v>
      </c>
      <c r="F4" s="0" t="s">
        <v>437</v>
      </c>
      <c r="G4" s="0" t="s">
        <v>7040</v>
      </c>
      <c r="I4" s="0" t="s">
        <v>3082</v>
      </c>
    </row>
    <row r="5" customFormat="false" ht="15" hidden="false" customHeight="false" outlineLevel="0" collapsed="false">
      <c r="A5" s="0" t="s">
        <v>77</v>
      </c>
      <c r="B5" s="0" t="n">
        <v>2013</v>
      </c>
      <c r="C5" s="0" t="s">
        <v>55</v>
      </c>
      <c r="D5" s="0" t="n">
        <v>1704094.012</v>
      </c>
      <c r="E5" s="0" t="n">
        <v>1</v>
      </c>
      <c r="F5" s="0" t="s">
        <v>437</v>
      </c>
      <c r="G5" s="0" t="s">
        <v>7040</v>
      </c>
      <c r="I5" s="0" t="s">
        <v>3083</v>
      </c>
    </row>
    <row r="6" customFormat="false" ht="15" hidden="false" customHeight="false" outlineLevel="0" collapsed="false">
      <c r="A6" s="0" t="s">
        <v>77</v>
      </c>
      <c r="B6" s="0" t="n">
        <v>2013</v>
      </c>
      <c r="C6" s="0" t="s">
        <v>56</v>
      </c>
      <c r="D6" s="0" t="n">
        <v>1458912.014</v>
      </c>
      <c r="E6" s="0" t="n">
        <v>1</v>
      </c>
      <c r="F6" s="0" t="s">
        <v>437</v>
      </c>
      <c r="G6" s="0" t="s">
        <v>7040</v>
      </c>
      <c r="I6" s="0" t="s">
        <v>3085</v>
      </c>
    </row>
    <row r="7" customFormat="false" ht="15" hidden="false" customHeight="false" outlineLevel="0" collapsed="false">
      <c r="A7" s="0" t="s">
        <v>77</v>
      </c>
      <c r="B7" s="0" t="n">
        <v>2013</v>
      </c>
      <c r="C7" s="0" t="s">
        <v>57</v>
      </c>
      <c r="D7" s="0" t="n">
        <v>245181.998</v>
      </c>
      <c r="E7" s="0" t="n">
        <v>1</v>
      </c>
      <c r="F7" s="0" t="s">
        <v>437</v>
      </c>
      <c r="G7" s="0" t="s">
        <v>7040</v>
      </c>
      <c r="I7" s="0" t="s">
        <v>3084</v>
      </c>
    </row>
    <row r="8" customFormat="false" ht="15" hidden="false" customHeight="false" outlineLevel="0" collapsed="false">
      <c r="A8" s="0" t="s">
        <v>77</v>
      </c>
      <c r="B8" s="0" t="n">
        <v>2013</v>
      </c>
      <c r="C8" s="0" t="s">
        <v>63</v>
      </c>
      <c r="D8" s="0" t="n">
        <v>-7508.216</v>
      </c>
      <c r="E8" s="0" t="n">
        <v>1</v>
      </c>
      <c r="F8" s="0" t="s">
        <v>437</v>
      </c>
      <c r="G8" s="0" t="s">
        <v>7040</v>
      </c>
      <c r="I8" s="0" t="s">
        <v>3076</v>
      </c>
    </row>
    <row r="9" customFormat="false" ht="15" hidden="false" customHeight="false" outlineLevel="0" collapsed="false">
      <c r="A9" s="0" t="s">
        <v>77</v>
      </c>
      <c r="B9" s="0" t="n">
        <v>2013</v>
      </c>
      <c r="C9" s="0" t="s">
        <v>64</v>
      </c>
      <c r="D9" s="0" t="n">
        <v>17924.178</v>
      </c>
      <c r="E9" s="0" t="n">
        <v>1</v>
      </c>
      <c r="F9" s="0" t="s">
        <v>437</v>
      </c>
      <c r="G9" s="0" t="s">
        <v>7040</v>
      </c>
      <c r="I9" s="0" t="s">
        <v>3077</v>
      </c>
    </row>
    <row r="10" customFormat="false" ht="15" hidden="false" customHeight="false" outlineLevel="0" collapsed="false">
      <c r="A10" s="0" t="s">
        <v>77</v>
      </c>
      <c r="B10" s="0" t="n">
        <v>2013</v>
      </c>
      <c r="C10" s="0" t="s">
        <v>327</v>
      </c>
      <c r="D10" s="0" t="n">
        <v>2.35</v>
      </c>
      <c r="E10" s="0" t="n">
        <v>1</v>
      </c>
      <c r="F10" s="0" t="s">
        <v>437</v>
      </c>
      <c r="G10" s="0" t="s">
        <v>7040</v>
      </c>
      <c r="I10" s="0" t="s">
        <v>3078</v>
      </c>
    </row>
    <row r="11" customFormat="false" ht="15" hidden="false" customHeight="false" outlineLevel="0" collapsed="false">
      <c r="A11" s="0" t="s">
        <v>77</v>
      </c>
      <c r="B11" s="0" t="n">
        <v>2014</v>
      </c>
      <c r="C11" s="0" t="s">
        <v>54</v>
      </c>
      <c r="D11" s="0" t="n">
        <v>39941.126</v>
      </c>
      <c r="E11" s="0" t="n">
        <v>1</v>
      </c>
      <c r="F11" s="0" t="s">
        <v>437</v>
      </c>
      <c r="G11" s="0" t="s">
        <v>7040</v>
      </c>
      <c r="I11" s="0" t="s">
        <v>3093</v>
      </c>
    </row>
    <row r="12" customFormat="false" ht="15" hidden="false" customHeight="false" outlineLevel="0" collapsed="false">
      <c r="A12" s="0" t="s">
        <v>77</v>
      </c>
      <c r="B12" s="0" t="n">
        <v>2014</v>
      </c>
      <c r="C12" s="0" t="s">
        <v>55</v>
      </c>
      <c r="D12" s="0" t="n">
        <v>1981955.73</v>
      </c>
      <c r="E12" s="0" t="n">
        <v>1</v>
      </c>
      <c r="F12" s="0" t="s">
        <v>437</v>
      </c>
      <c r="G12" s="0" t="s">
        <v>7040</v>
      </c>
      <c r="I12" s="0" t="s">
        <v>3094</v>
      </c>
    </row>
    <row r="13" customFormat="false" ht="15" hidden="false" customHeight="false" outlineLevel="0" collapsed="false">
      <c r="A13" s="0" t="s">
        <v>77</v>
      </c>
      <c r="B13" s="0" t="n">
        <v>2014</v>
      </c>
      <c r="C13" s="0" t="s">
        <v>56</v>
      </c>
      <c r="D13" s="0" t="n">
        <v>1707799.944</v>
      </c>
      <c r="E13" s="0" t="n">
        <v>1</v>
      </c>
      <c r="F13" s="0" t="s">
        <v>437</v>
      </c>
      <c r="G13" s="0" t="s">
        <v>7040</v>
      </c>
      <c r="I13" s="0" t="s">
        <v>3096</v>
      </c>
    </row>
    <row r="14" customFormat="false" ht="15" hidden="false" customHeight="false" outlineLevel="0" collapsed="false">
      <c r="A14" s="0" t="s">
        <v>77</v>
      </c>
      <c r="B14" s="0" t="n">
        <v>2014</v>
      </c>
      <c r="C14" s="0" t="s">
        <v>57</v>
      </c>
      <c r="D14" s="0" t="n">
        <v>274155.785</v>
      </c>
      <c r="E14" s="0" t="n">
        <v>1</v>
      </c>
      <c r="F14" s="0" t="s">
        <v>437</v>
      </c>
      <c r="G14" s="0" t="s">
        <v>7040</v>
      </c>
      <c r="I14" s="0" t="s">
        <v>3095</v>
      </c>
    </row>
    <row r="15" customFormat="false" ht="15" hidden="false" customHeight="false" outlineLevel="0" collapsed="false">
      <c r="A15" s="0" t="s">
        <v>77</v>
      </c>
      <c r="B15" s="0" t="n">
        <v>2014</v>
      </c>
      <c r="C15" s="0" t="s">
        <v>59</v>
      </c>
      <c r="D15" s="0" t="n">
        <v>1704094.012</v>
      </c>
      <c r="E15" s="0" t="n">
        <v>1</v>
      </c>
      <c r="F15" s="0" t="s">
        <v>437</v>
      </c>
      <c r="G15" s="0" t="s">
        <v>7041</v>
      </c>
      <c r="I15" s="0" t="s">
        <v>3083</v>
      </c>
    </row>
    <row r="16" customFormat="false" ht="15" hidden="false" customHeight="false" outlineLevel="0" collapsed="false">
      <c r="A16" s="0" t="s">
        <v>77</v>
      </c>
      <c r="B16" s="0" t="n">
        <v>2014</v>
      </c>
      <c r="C16" s="0" t="s">
        <v>63</v>
      </c>
      <c r="D16" s="0" t="n">
        <v>10609.3</v>
      </c>
      <c r="E16" s="0" t="n">
        <v>1</v>
      </c>
      <c r="F16" s="0" t="s">
        <v>437</v>
      </c>
      <c r="G16" s="0" t="s">
        <v>7040</v>
      </c>
      <c r="I16" s="0" t="s">
        <v>3089</v>
      </c>
    </row>
    <row r="17" customFormat="false" ht="15" hidden="false" customHeight="false" outlineLevel="0" collapsed="false">
      <c r="A17" s="0" t="s">
        <v>77</v>
      </c>
      <c r="B17" s="0" t="n">
        <v>2014</v>
      </c>
      <c r="C17" s="0" t="s">
        <v>64</v>
      </c>
      <c r="D17" s="0" t="n">
        <v>19966.521</v>
      </c>
      <c r="E17" s="0" t="n">
        <v>1</v>
      </c>
      <c r="F17" s="0" t="s">
        <v>437</v>
      </c>
      <c r="G17" s="0" t="s">
        <v>7040</v>
      </c>
      <c r="I17" s="0" t="s">
        <v>3090</v>
      </c>
    </row>
    <row r="18" customFormat="false" ht="15" hidden="false" customHeight="false" outlineLevel="0" collapsed="false">
      <c r="A18" s="0" t="s">
        <v>77</v>
      </c>
      <c r="B18" s="0" t="n">
        <v>2014</v>
      </c>
      <c r="C18" s="0" t="s">
        <v>327</v>
      </c>
      <c r="D18" s="0" t="n">
        <v>1.83</v>
      </c>
      <c r="E18" s="0" t="n">
        <v>1</v>
      </c>
      <c r="F18" s="0" t="s">
        <v>437</v>
      </c>
      <c r="G18" s="0" t="s">
        <v>7040</v>
      </c>
      <c r="I18" s="0" t="s">
        <v>3091</v>
      </c>
    </row>
    <row r="19" customFormat="false" ht="15" hidden="false" customHeight="false" outlineLevel="0" collapsed="false">
      <c r="A19" s="0" t="s">
        <v>77</v>
      </c>
      <c r="B19" s="0" t="n">
        <v>2015</v>
      </c>
      <c r="C19" s="0" t="s">
        <v>54</v>
      </c>
      <c r="D19" s="0" t="n">
        <v>58924.745</v>
      </c>
      <c r="E19" s="0" t="n">
        <v>1</v>
      </c>
      <c r="F19" s="0" t="s">
        <v>437</v>
      </c>
      <c r="G19" s="0" t="s">
        <v>7040</v>
      </c>
      <c r="I19" s="0" t="s">
        <v>525</v>
      </c>
    </row>
    <row r="20" customFormat="false" ht="15" hidden="false" customHeight="false" outlineLevel="0" collapsed="false">
      <c r="A20" s="0" t="s">
        <v>77</v>
      </c>
      <c r="B20" s="0" t="n">
        <v>2015</v>
      </c>
      <c r="C20" s="0" t="s">
        <v>55</v>
      </c>
      <c r="D20" s="0" t="n">
        <v>2411944.061</v>
      </c>
      <c r="E20" s="0" t="n">
        <v>1</v>
      </c>
      <c r="F20" s="0" t="s">
        <v>437</v>
      </c>
      <c r="G20" s="0" t="s">
        <v>7040</v>
      </c>
      <c r="I20" s="0" t="s">
        <v>526</v>
      </c>
    </row>
    <row r="21" customFormat="false" ht="15" hidden="false" customHeight="false" outlineLevel="0" collapsed="false">
      <c r="A21" s="0" t="s">
        <v>77</v>
      </c>
      <c r="B21" s="0" t="n">
        <v>2015</v>
      </c>
      <c r="C21" s="0" t="s">
        <v>56</v>
      </c>
      <c r="D21" s="0" t="n">
        <v>2051515.157</v>
      </c>
      <c r="E21" s="0" t="n">
        <v>1</v>
      </c>
      <c r="F21" s="0" t="s">
        <v>437</v>
      </c>
      <c r="G21" s="0" t="s">
        <v>7040</v>
      </c>
      <c r="I21" s="0" t="s">
        <v>527</v>
      </c>
    </row>
    <row r="22" customFormat="false" ht="15" hidden="false" customHeight="false" outlineLevel="0" collapsed="false">
      <c r="A22" s="0" t="s">
        <v>77</v>
      </c>
      <c r="B22" s="0" t="n">
        <v>2015</v>
      </c>
      <c r="C22" s="0" t="s">
        <v>57</v>
      </c>
      <c r="D22" s="0" t="n">
        <v>360428.904</v>
      </c>
      <c r="E22" s="0" t="n">
        <v>1</v>
      </c>
      <c r="F22" s="0" t="s">
        <v>437</v>
      </c>
      <c r="G22" s="0" t="s">
        <v>7040</v>
      </c>
      <c r="I22" s="0" t="s">
        <v>528</v>
      </c>
    </row>
    <row r="23" customFormat="false" ht="15" hidden="false" customHeight="false" outlineLevel="0" collapsed="false">
      <c r="A23" s="0" t="s">
        <v>77</v>
      </c>
      <c r="B23" s="0" t="n">
        <v>2015</v>
      </c>
      <c r="C23" s="0" t="s">
        <v>58</v>
      </c>
      <c r="D23" s="0" t="n">
        <v>-181246.613</v>
      </c>
      <c r="E23" s="0" t="n">
        <v>1</v>
      </c>
      <c r="F23" s="0" t="s">
        <v>437</v>
      </c>
      <c r="G23" s="0" t="s">
        <v>7040</v>
      </c>
      <c r="I23" s="0" t="s">
        <v>529</v>
      </c>
    </row>
    <row r="24" customFormat="false" ht="15" hidden="false" customHeight="false" outlineLevel="0" collapsed="false">
      <c r="A24" s="0" t="s">
        <v>77</v>
      </c>
      <c r="B24" s="0" t="n">
        <v>2015</v>
      </c>
      <c r="C24" s="0" t="s">
        <v>59</v>
      </c>
      <c r="D24" s="0" t="n">
        <v>1981955.73</v>
      </c>
      <c r="E24" s="0" t="n">
        <v>1</v>
      </c>
      <c r="F24" s="0" t="s">
        <v>437</v>
      </c>
      <c r="G24" s="0" t="s">
        <v>7040</v>
      </c>
      <c r="I24" s="0" t="s">
        <v>530</v>
      </c>
    </row>
    <row r="25" customFormat="false" ht="15" hidden="false" customHeight="false" outlineLevel="0" collapsed="false">
      <c r="A25" s="0" t="s">
        <v>77</v>
      </c>
      <c r="B25" s="0" t="n">
        <v>2015</v>
      </c>
      <c r="C25" s="0" t="s">
        <v>60</v>
      </c>
      <c r="D25" s="0" t="n">
        <v>1270121.392</v>
      </c>
      <c r="E25" s="0" t="n">
        <v>1</v>
      </c>
      <c r="F25" s="0" t="s">
        <v>437</v>
      </c>
      <c r="G25" s="0" t="s">
        <v>7040</v>
      </c>
      <c r="I25" s="0" t="s">
        <v>531</v>
      </c>
    </row>
    <row r="26" customFormat="false" ht="15" hidden="false" customHeight="false" outlineLevel="0" collapsed="false">
      <c r="A26" s="0" t="s">
        <v>77</v>
      </c>
      <c r="B26" s="0" t="n">
        <v>2015</v>
      </c>
      <c r="C26" s="0" t="s">
        <v>61</v>
      </c>
      <c r="D26" s="0" t="n">
        <v>26906.083</v>
      </c>
      <c r="E26" s="0" t="n">
        <v>1</v>
      </c>
      <c r="F26" s="0" t="s">
        <v>437</v>
      </c>
      <c r="G26" s="0" t="s">
        <v>7040</v>
      </c>
      <c r="I26" s="0" t="s">
        <v>532</v>
      </c>
    </row>
    <row r="27" customFormat="false" ht="15" hidden="false" customHeight="false" outlineLevel="0" collapsed="false">
      <c r="A27" s="0" t="s">
        <v>77</v>
      </c>
      <c r="B27" s="0" t="n">
        <v>2015</v>
      </c>
      <c r="C27" s="0" t="s">
        <v>62</v>
      </c>
      <c r="D27" s="0" t="n">
        <v>1243215.309</v>
      </c>
      <c r="E27" s="0" t="n">
        <v>1</v>
      </c>
      <c r="F27" s="0" t="s">
        <v>437</v>
      </c>
      <c r="G27" s="0" t="s">
        <v>7040</v>
      </c>
      <c r="I27" s="0" t="s">
        <v>533</v>
      </c>
    </row>
    <row r="28" customFormat="false" ht="15" hidden="false" customHeight="false" outlineLevel="0" collapsed="false">
      <c r="A28" s="0" t="s">
        <v>77</v>
      </c>
      <c r="B28" s="0" t="n">
        <v>2015</v>
      </c>
      <c r="C28" s="0" t="s">
        <v>63</v>
      </c>
      <c r="D28" s="0" t="n">
        <v>13287.613</v>
      </c>
      <c r="E28" s="0" t="n">
        <v>1</v>
      </c>
      <c r="F28" s="0" t="s">
        <v>437</v>
      </c>
      <c r="G28" s="0" t="s">
        <v>7040</v>
      </c>
      <c r="I28" s="0" t="s">
        <v>534</v>
      </c>
    </row>
    <row r="29" customFormat="false" ht="15" hidden="false" customHeight="false" outlineLevel="0" collapsed="false">
      <c r="A29" s="0" t="s">
        <v>77</v>
      </c>
      <c r="B29" s="0" t="n">
        <v>2015</v>
      </c>
      <c r="C29" s="0" t="s">
        <v>69</v>
      </c>
      <c r="D29" s="0" t="n">
        <v>18</v>
      </c>
      <c r="E29" s="0" t="n">
        <v>1</v>
      </c>
      <c r="F29" s="0" t="s">
        <v>437</v>
      </c>
      <c r="G29" s="0" t="s">
        <v>7040</v>
      </c>
      <c r="I29" s="0" t="s">
        <v>535</v>
      </c>
    </row>
    <row r="30" customFormat="false" ht="15" hidden="false" customHeight="false" outlineLevel="0" collapsed="false">
      <c r="A30" s="0" t="s">
        <v>77</v>
      </c>
      <c r="B30" s="0" t="n">
        <v>2015</v>
      </c>
      <c r="C30" s="0" t="s">
        <v>70</v>
      </c>
      <c r="D30" s="0" t="n">
        <v>16</v>
      </c>
      <c r="E30" s="0" t="n">
        <v>1</v>
      </c>
      <c r="F30" s="0" t="s">
        <v>437</v>
      </c>
      <c r="G30" s="0" t="s">
        <v>7040</v>
      </c>
      <c r="I30" s="0" t="s">
        <v>536</v>
      </c>
    </row>
    <row r="31" customFormat="false" ht="15" hidden="false" customHeight="false" outlineLevel="0" collapsed="false">
      <c r="A31" s="0" t="s">
        <v>77</v>
      </c>
      <c r="B31" s="0" t="n">
        <v>2015</v>
      </c>
      <c r="C31" s="0" t="s">
        <v>65</v>
      </c>
      <c r="D31" s="0" t="n">
        <v>340521.191</v>
      </c>
      <c r="E31" s="0" t="n">
        <v>1</v>
      </c>
      <c r="F31" s="0" t="s">
        <v>437</v>
      </c>
      <c r="G31" s="0" t="s">
        <v>7040</v>
      </c>
      <c r="I31" s="0" t="s">
        <v>537</v>
      </c>
    </row>
    <row r="32" customFormat="false" ht="15" hidden="false" customHeight="false" outlineLevel="0" collapsed="false">
      <c r="A32" s="0" t="s">
        <v>77</v>
      </c>
      <c r="B32" s="0" t="n">
        <v>2015</v>
      </c>
      <c r="C32" s="0" t="s">
        <v>66</v>
      </c>
      <c r="D32" s="0" t="n">
        <v>1887612.134</v>
      </c>
      <c r="E32" s="0" t="n">
        <v>1</v>
      </c>
      <c r="F32" s="0" t="s">
        <v>437</v>
      </c>
      <c r="G32" s="0" t="s">
        <v>7040</v>
      </c>
      <c r="I32" s="0" t="s">
        <v>538</v>
      </c>
    </row>
    <row r="33" customFormat="false" ht="15" hidden="false" customHeight="false" outlineLevel="0" collapsed="false">
      <c r="A33" s="0" t="s">
        <v>77</v>
      </c>
      <c r="B33" s="0" t="n">
        <v>2015</v>
      </c>
      <c r="C33" s="0" t="s">
        <v>73</v>
      </c>
      <c r="D33" s="0" t="n">
        <v>0</v>
      </c>
      <c r="E33" s="0" t="n">
        <v>1</v>
      </c>
      <c r="F33" s="0" t="s">
        <v>437</v>
      </c>
      <c r="G33" s="0" t="s">
        <v>7040</v>
      </c>
      <c r="I33" s="0" t="s">
        <v>540</v>
      </c>
    </row>
    <row r="34" customFormat="false" ht="15" hidden="false" customHeight="false" outlineLevel="0" collapsed="false">
      <c r="A34" s="0" t="s">
        <v>77</v>
      </c>
      <c r="B34" s="0" t="n">
        <v>2015</v>
      </c>
      <c r="C34" s="0" t="s">
        <v>541</v>
      </c>
      <c r="D34" s="0" t="n">
        <v>65177.914</v>
      </c>
      <c r="E34" s="0" t="n">
        <v>1</v>
      </c>
      <c r="F34" s="0" t="s">
        <v>437</v>
      </c>
      <c r="G34" s="0" t="s">
        <v>7040</v>
      </c>
      <c r="I34" s="0" t="s">
        <v>542</v>
      </c>
    </row>
    <row r="35" customFormat="false" ht="15" hidden="false" customHeight="false" outlineLevel="0" collapsed="false">
      <c r="A35" s="0" t="s">
        <v>77</v>
      </c>
      <c r="B35" s="0" t="n">
        <v>2015</v>
      </c>
      <c r="C35" s="0" t="s">
        <v>543</v>
      </c>
      <c r="D35" s="0" t="n">
        <v>9173.223</v>
      </c>
      <c r="E35" s="0" t="n">
        <v>1</v>
      </c>
      <c r="F35" s="0" t="s">
        <v>437</v>
      </c>
      <c r="G35" s="0" t="s">
        <v>7040</v>
      </c>
      <c r="I35" s="0" t="s">
        <v>544</v>
      </c>
    </row>
    <row r="36" customFormat="false" ht="15" hidden="false" customHeight="false" outlineLevel="0" collapsed="false">
      <c r="A36" s="0" t="s">
        <v>77</v>
      </c>
      <c r="B36" s="0" t="n">
        <v>2015</v>
      </c>
      <c r="C36" s="0" t="s">
        <v>545</v>
      </c>
      <c r="D36" s="0" t="n">
        <v>17732.86</v>
      </c>
      <c r="E36" s="0" t="n">
        <v>1</v>
      </c>
      <c r="F36" s="0" t="s">
        <v>437</v>
      </c>
      <c r="G36" s="0" t="s">
        <v>7040</v>
      </c>
      <c r="I36" s="0" t="s">
        <v>546</v>
      </c>
    </row>
    <row r="37" customFormat="false" ht="15" hidden="false" customHeight="false" outlineLevel="0" collapsed="false">
      <c r="A37" s="0" t="s">
        <v>77</v>
      </c>
      <c r="B37" s="0" t="n">
        <v>2016</v>
      </c>
      <c r="C37" s="0" t="s">
        <v>54</v>
      </c>
      <c r="D37" s="0" t="n">
        <v>64026.135</v>
      </c>
      <c r="E37" s="0" t="n">
        <v>1</v>
      </c>
      <c r="F37" s="0" t="s">
        <v>437</v>
      </c>
      <c r="G37" s="0" t="s">
        <v>7040</v>
      </c>
      <c r="I37" s="0" t="s">
        <v>547</v>
      </c>
    </row>
    <row r="38" customFormat="false" ht="15" hidden="false" customHeight="false" outlineLevel="0" collapsed="false">
      <c r="A38" s="0" t="s">
        <v>77</v>
      </c>
      <c r="B38" s="0" t="n">
        <v>2016</v>
      </c>
      <c r="C38" s="0" t="s">
        <v>55</v>
      </c>
      <c r="D38" s="0" t="n">
        <v>3094960.515</v>
      </c>
      <c r="E38" s="0" t="n">
        <v>1</v>
      </c>
      <c r="F38" s="0" t="s">
        <v>437</v>
      </c>
      <c r="G38" s="0" t="s">
        <v>7040</v>
      </c>
      <c r="I38" s="0" t="s">
        <v>548</v>
      </c>
    </row>
    <row r="39" customFormat="false" ht="15" hidden="false" customHeight="false" outlineLevel="0" collapsed="false">
      <c r="A39" s="0" t="s">
        <v>77</v>
      </c>
      <c r="B39" s="0" t="n">
        <v>2016</v>
      </c>
      <c r="C39" s="0" t="s">
        <v>56</v>
      </c>
      <c r="D39" s="0" t="n">
        <v>2673281.895</v>
      </c>
      <c r="E39" s="0" t="n">
        <v>1</v>
      </c>
      <c r="F39" s="0" t="s">
        <v>437</v>
      </c>
      <c r="G39" s="0" t="s">
        <v>7040</v>
      </c>
      <c r="I39" s="0" t="s">
        <v>549</v>
      </c>
    </row>
    <row r="40" customFormat="false" ht="15" hidden="false" customHeight="false" outlineLevel="0" collapsed="false">
      <c r="A40" s="0" t="s">
        <v>77</v>
      </c>
      <c r="B40" s="0" t="n">
        <v>2016</v>
      </c>
      <c r="C40" s="0" t="s">
        <v>57</v>
      </c>
      <c r="D40" s="0" t="n">
        <v>421678.62</v>
      </c>
      <c r="E40" s="0" t="n">
        <v>1</v>
      </c>
      <c r="F40" s="0" t="s">
        <v>437</v>
      </c>
      <c r="G40" s="0" t="s">
        <v>7040</v>
      </c>
      <c r="I40" s="0" t="s">
        <v>550</v>
      </c>
    </row>
    <row r="41" customFormat="false" ht="15" hidden="false" customHeight="false" outlineLevel="0" collapsed="false">
      <c r="A41" s="0" t="s">
        <v>77</v>
      </c>
      <c r="B41" s="0" t="n">
        <v>2016</v>
      </c>
      <c r="C41" s="0" t="s">
        <v>58</v>
      </c>
      <c r="D41" s="0" t="n">
        <v>-124135.579</v>
      </c>
      <c r="E41" s="0" t="n">
        <v>1</v>
      </c>
      <c r="F41" s="0" t="s">
        <v>437</v>
      </c>
      <c r="G41" s="0" t="s">
        <v>7040</v>
      </c>
      <c r="I41" s="0" t="s">
        <v>551</v>
      </c>
    </row>
    <row r="42" customFormat="false" ht="15" hidden="false" customHeight="false" outlineLevel="0" collapsed="false">
      <c r="A42" s="0" t="s">
        <v>77</v>
      </c>
      <c r="B42" s="0" t="n">
        <v>2016</v>
      </c>
      <c r="C42" s="0" t="s">
        <v>59</v>
      </c>
      <c r="D42" s="0" t="n">
        <v>2411944.061</v>
      </c>
      <c r="E42" s="0" t="n">
        <v>1</v>
      </c>
      <c r="F42" s="0" t="s">
        <v>437</v>
      </c>
      <c r="G42" s="0" t="s">
        <v>7040</v>
      </c>
      <c r="I42" s="0" t="s">
        <v>552</v>
      </c>
    </row>
    <row r="43" customFormat="false" ht="15" hidden="false" customHeight="false" outlineLevel="0" collapsed="false">
      <c r="A43" s="0" t="s">
        <v>77</v>
      </c>
      <c r="B43" s="0" t="n">
        <v>2016</v>
      </c>
      <c r="C43" s="0" t="s">
        <v>60</v>
      </c>
      <c r="D43" s="0" t="n">
        <v>1624837.859</v>
      </c>
      <c r="E43" s="0" t="n">
        <v>1</v>
      </c>
      <c r="F43" s="0" t="s">
        <v>437</v>
      </c>
      <c r="G43" s="0" t="s">
        <v>7040</v>
      </c>
      <c r="I43" s="0" t="s">
        <v>553</v>
      </c>
    </row>
    <row r="44" customFormat="false" ht="15" hidden="false" customHeight="false" outlineLevel="0" collapsed="false">
      <c r="A44" s="0" t="s">
        <v>77</v>
      </c>
      <c r="B44" s="0" t="n">
        <v>2016</v>
      </c>
      <c r="C44" s="0" t="s">
        <v>61</v>
      </c>
      <c r="D44" s="0" t="n">
        <v>30275.514</v>
      </c>
      <c r="E44" s="0" t="n">
        <v>1</v>
      </c>
      <c r="F44" s="0" t="s">
        <v>437</v>
      </c>
      <c r="G44" s="0" t="s">
        <v>7040</v>
      </c>
      <c r="I44" s="0" t="s">
        <v>554</v>
      </c>
    </row>
    <row r="45" customFormat="false" ht="15" hidden="false" customHeight="false" outlineLevel="0" collapsed="false">
      <c r="A45" s="0" t="s">
        <v>77</v>
      </c>
      <c r="B45" s="0" t="n">
        <v>2016</v>
      </c>
      <c r="C45" s="0" t="s">
        <v>62</v>
      </c>
      <c r="D45" s="0" t="n">
        <v>1594562.345</v>
      </c>
      <c r="E45" s="0" t="n">
        <v>1</v>
      </c>
      <c r="F45" s="0" t="s">
        <v>437</v>
      </c>
      <c r="G45" s="0" t="s">
        <v>7040</v>
      </c>
      <c r="I45" s="0" t="s">
        <v>555</v>
      </c>
    </row>
    <row r="46" customFormat="false" ht="15" hidden="false" customHeight="false" outlineLevel="0" collapsed="false">
      <c r="A46" s="0" t="s">
        <v>77</v>
      </c>
      <c r="B46" s="0" t="n">
        <v>2016</v>
      </c>
      <c r="C46" s="0" t="s">
        <v>63</v>
      </c>
      <c r="D46" s="0" t="n">
        <v>17641.127</v>
      </c>
      <c r="E46" s="0" t="n">
        <v>1</v>
      </c>
      <c r="F46" s="0" t="s">
        <v>437</v>
      </c>
      <c r="G46" s="0" t="s">
        <v>7040</v>
      </c>
      <c r="I46" s="0" t="s">
        <v>556</v>
      </c>
    </row>
    <row r="47" customFormat="false" ht="15" hidden="false" customHeight="false" outlineLevel="0" collapsed="false">
      <c r="A47" s="0" t="s">
        <v>77</v>
      </c>
      <c r="B47" s="0" t="n">
        <v>2016</v>
      </c>
      <c r="C47" s="0" t="s">
        <v>69</v>
      </c>
      <c r="D47" s="0" t="n">
        <v>19.55</v>
      </c>
      <c r="E47" s="0" t="n">
        <v>1</v>
      </c>
      <c r="F47" s="0" t="s">
        <v>437</v>
      </c>
      <c r="G47" s="0" t="s">
        <v>7040</v>
      </c>
      <c r="I47" s="0" t="s">
        <v>557</v>
      </c>
    </row>
    <row r="48" customFormat="false" ht="15" hidden="false" customHeight="false" outlineLevel="0" collapsed="false">
      <c r="A48" s="0" t="s">
        <v>77</v>
      </c>
      <c r="B48" s="0" t="n">
        <v>2016</v>
      </c>
      <c r="C48" s="0" t="s">
        <v>70</v>
      </c>
      <c r="D48" s="0" t="n">
        <v>16</v>
      </c>
      <c r="E48" s="0" t="n">
        <v>1</v>
      </c>
      <c r="F48" s="0" t="s">
        <v>437</v>
      </c>
      <c r="G48" s="0" t="s">
        <v>7040</v>
      </c>
      <c r="I48" s="0" t="s">
        <v>558</v>
      </c>
    </row>
    <row r="49" customFormat="false" ht="15" hidden="false" customHeight="false" outlineLevel="0" collapsed="false">
      <c r="A49" s="0" t="s">
        <v>77</v>
      </c>
      <c r="B49" s="0" t="n">
        <v>2016</v>
      </c>
      <c r="C49" s="0" t="s">
        <v>65</v>
      </c>
      <c r="D49" s="0" t="n">
        <v>419807.319</v>
      </c>
      <c r="E49" s="0" t="n">
        <v>1</v>
      </c>
      <c r="F49" s="0" t="s">
        <v>437</v>
      </c>
      <c r="G49" s="0" t="s">
        <v>7040</v>
      </c>
      <c r="I49" s="0" t="s">
        <v>559</v>
      </c>
    </row>
    <row r="50" customFormat="false" ht="15" hidden="false" customHeight="false" outlineLevel="0" collapsed="false">
      <c r="A50" s="0" t="s">
        <v>77</v>
      </c>
      <c r="B50" s="0" t="n">
        <v>2016</v>
      </c>
      <c r="C50" s="0" t="s">
        <v>66</v>
      </c>
      <c r="D50" s="0" t="n">
        <v>2146850.027</v>
      </c>
      <c r="E50" s="0" t="n">
        <v>1</v>
      </c>
      <c r="F50" s="0" t="s">
        <v>437</v>
      </c>
      <c r="G50" s="0" t="s">
        <v>7040</v>
      </c>
      <c r="I50" s="0" t="s">
        <v>560</v>
      </c>
    </row>
    <row r="51" customFormat="false" ht="15" hidden="false" customHeight="false" outlineLevel="0" collapsed="false">
      <c r="A51" s="0" t="s">
        <v>77</v>
      </c>
      <c r="B51" s="0" t="n">
        <v>2016</v>
      </c>
      <c r="C51" s="0" t="s">
        <v>73</v>
      </c>
      <c r="D51" s="0" t="n">
        <v>0</v>
      </c>
      <c r="E51" s="0" t="n">
        <v>1</v>
      </c>
      <c r="F51" s="0" t="s">
        <v>437</v>
      </c>
      <c r="G51" s="0" t="s">
        <v>7040</v>
      </c>
      <c r="I51" s="0" t="s">
        <v>561</v>
      </c>
    </row>
    <row r="52" customFormat="false" ht="15" hidden="false" customHeight="false" outlineLevel="0" collapsed="false">
      <c r="A52" s="0" t="s">
        <v>77</v>
      </c>
      <c r="B52" s="0" t="n">
        <v>2016</v>
      </c>
      <c r="C52" s="0" t="s">
        <v>541</v>
      </c>
      <c r="D52" s="0" t="n">
        <v>80579.576</v>
      </c>
      <c r="E52" s="0" t="n">
        <v>1</v>
      </c>
      <c r="F52" s="0" t="s">
        <v>437</v>
      </c>
      <c r="G52" s="0" t="s">
        <v>7040</v>
      </c>
      <c r="I52" s="0" t="s">
        <v>562</v>
      </c>
    </row>
    <row r="53" customFormat="false" ht="15" hidden="false" customHeight="false" outlineLevel="0" collapsed="false">
      <c r="A53" s="0" t="s">
        <v>77</v>
      </c>
      <c r="B53" s="0" t="n">
        <v>2016</v>
      </c>
      <c r="C53" s="0" t="s">
        <v>543</v>
      </c>
      <c r="D53" s="0" t="n">
        <v>10084.316</v>
      </c>
      <c r="E53" s="0" t="n">
        <v>1</v>
      </c>
      <c r="F53" s="0" t="s">
        <v>437</v>
      </c>
      <c r="G53" s="0" t="s">
        <v>7040</v>
      </c>
      <c r="I53" s="0" t="s">
        <v>563</v>
      </c>
    </row>
    <row r="54" customFormat="false" ht="15" hidden="false" customHeight="false" outlineLevel="0" collapsed="false">
      <c r="A54" s="0" t="s">
        <v>77</v>
      </c>
      <c r="B54" s="0" t="n">
        <v>2016</v>
      </c>
      <c r="C54" s="0" t="s">
        <v>545</v>
      </c>
      <c r="D54" s="0" t="n">
        <v>20191.198</v>
      </c>
      <c r="E54" s="0" t="n">
        <v>1</v>
      </c>
      <c r="F54" s="0" t="s">
        <v>437</v>
      </c>
      <c r="G54" s="0" t="s">
        <v>7040</v>
      </c>
      <c r="I54" s="0" t="s">
        <v>564</v>
      </c>
    </row>
    <row r="55" customFormat="false" ht="15" hidden="false" customHeight="false" outlineLevel="0" collapsed="false">
      <c r="A55" s="0" t="s">
        <v>77</v>
      </c>
      <c r="B55" s="0" t="n">
        <v>2017</v>
      </c>
      <c r="C55" s="0" t="s">
        <v>54</v>
      </c>
      <c r="D55" s="0" t="n">
        <v>53238.822</v>
      </c>
      <c r="E55" s="0" t="n">
        <v>1</v>
      </c>
      <c r="F55" s="0" t="s">
        <v>437</v>
      </c>
      <c r="G55" s="0" t="s">
        <v>7040</v>
      </c>
      <c r="I55" s="0" t="s">
        <v>565</v>
      </c>
    </row>
    <row r="56" customFormat="false" ht="15" hidden="false" customHeight="false" outlineLevel="0" collapsed="false">
      <c r="A56" s="0" t="s">
        <v>77</v>
      </c>
      <c r="B56" s="0" t="n">
        <v>2017</v>
      </c>
      <c r="C56" s="0" t="s">
        <v>55</v>
      </c>
      <c r="D56" s="0" t="n">
        <v>3499683.979</v>
      </c>
      <c r="E56" s="0" t="n">
        <v>1</v>
      </c>
      <c r="F56" s="0" t="s">
        <v>437</v>
      </c>
      <c r="G56" s="0" t="s">
        <v>7040</v>
      </c>
      <c r="I56" s="0" t="s">
        <v>566</v>
      </c>
    </row>
    <row r="57" customFormat="false" ht="15" hidden="false" customHeight="false" outlineLevel="0" collapsed="false">
      <c r="A57" s="0" t="s">
        <v>77</v>
      </c>
      <c r="B57" s="0" t="n">
        <v>2017</v>
      </c>
      <c r="C57" s="0" t="s">
        <v>56</v>
      </c>
      <c r="D57" s="0" t="n">
        <v>3030192.882</v>
      </c>
      <c r="E57" s="0" t="n">
        <v>1</v>
      </c>
      <c r="F57" s="0" t="s">
        <v>437</v>
      </c>
      <c r="G57" s="0" t="s">
        <v>7040</v>
      </c>
      <c r="I57" s="0" t="s">
        <v>567</v>
      </c>
    </row>
    <row r="58" customFormat="false" ht="15" hidden="false" customHeight="false" outlineLevel="0" collapsed="false">
      <c r="A58" s="0" t="s">
        <v>77</v>
      </c>
      <c r="B58" s="0" t="n">
        <v>2017</v>
      </c>
      <c r="C58" s="0" t="s">
        <v>57</v>
      </c>
      <c r="D58" s="0" t="n">
        <v>469491.097</v>
      </c>
      <c r="E58" s="0" t="n">
        <v>1</v>
      </c>
      <c r="F58" s="0" t="s">
        <v>437</v>
      </c>
      <c r="G58" s="0" t="s">
        <v>7040</v>
      </c>
      <c r="I58" s="0" t="s">
        <v>568</v>
      </c>
    </row>
    <row r="59" customFormat="false" ht="15" hidden="false" customHeight="false" outlineLevel="0" collapsed="false">
      <c r="A59" s="0" t="s">
        <v>77</v>
      </c>
      <c r="B59" s="0" t="n">
        <v>2017</v>
      </c>
      <c r="C59" s="0" t="s">
        <v>58</v>
      </c>
      <c r="D59" s="0" t="n">
        <v>104360.682</v>
      </c>
      <c r="E59" s="0" t="n">
        <v>1</v>
      </c>
      <c r="F59" s="0" t="s">
        <v>437</v>
      </c>
      <c r="G59" s="0" t="s">
        <v>7040</v>
      </c>
      <c r="I59" s="0" t="s">
        <v>569</v>
      </c>
    </row>
    <row r="60" customFormat="false" ht="15" hidden="false" customHeight="false" outlineLevel="0" collapsed="false">
      <c r="A60" s="0" t="s">
        <v>77</v>
      </c>
      <c r="B60" s="0" t="n">
        <v>2017</v>
      </c>
      <c r="C60" s="0" t="s">
        <v>59</v>
      </c>
      <c r="D60" s="0" t="n">
        <v>3094960.515</v>
      </c>
      <c r="E60" s="0" t="n">
        <v>1</v>
      </c>
      <c r="F60" s="0" t="s">
        <v>437</v>
      </c>
      <c r="G60" s="0" t="s">
        <v>7040</v>
      </c>
      <c r="I60" s="0" t="s">
        <v>570</v>
      </c>
    </row>
    <row r="61" customFormat="false" ht="15" hidden="false" customHeight="false" outlineLevel="0" collapsed="false">
      <c r="A61" s="0" t="s">
        <v>77</v>
      </c>
      <c r="B61" s="0" t="n">
        <v>2017</v>
      </c>
      <c r="C61" s="0" t="s">
        <v>60</v>
      </c>
      <c r="D61" s="0" t="n">
        <v>1827572.14</v>
      </c>
      <c r="E61" s="0" t="n">
        <v>1</v>
      </c>
      <c r="F61" s="0" t="s">
        <v>437</v>
      </c>
      <c r="G61" s="0" t="s">
        <v>7040</v>
      </c>
      <c r="I61" s="0" t="s">
        <v>571</v>
      </c>
    </row>
    <row r="62" customFormat="false" ht="15" hidden="false" customHeight="false" outlineLevel="0" collapsed="false">
      <c r="A62" s="0" t="s">
        <v>77</v>
      </c>
      <c r="B62" s="0" t="n">
        <v>2017</v>
      </c>
      <c r="C62" s="0" t="s">
        <v>61</v>
      </c>
      <c r="D62" s="0" t="n">
        <v>56289.402</v>
      </c>
      <c r="E62" s="0" t="n">
        <v>1</v>
      </c>
      <c r="F62" s="0" t="s">
        <v>437</v>
      </c>
      <c r="G62" s="0" t="s">
        <v>7040</v>
      </c>
      <c r="I62" s="0" t="s">
        <v>572</v>
      </c>
    </row>
    <row r="63" customFormat="false" ht="15" hidden="false" customHeight="false" outlineLevel="0" collapsed="false">
      <c r="A63" s="0" t="s">
        <v>77</v>
      </c>
      <c r="B63" s="0" t="n">
        <v>2017</v>
      </c>
      <c r="C63" s="0" t="s">
        <v>62</v>
      </c>
      <c r="D63" s="0" t="n">
        <v>1771282.739</v>
      </c>
      <c r="E63" s="0" t="n">
        <v>1</v>
      </c>
      <c r="F63" s="0" t="s">
        <v>437</v>
      </c>
      <c r="G63" s="0" t="s">
        <v>7040</v>
      </c>
      <c r="I63" s="0" t="s">
        <v>573</v>
      </c>
    </row>
    <row r="64" customFormat="false" ht="15" hidden="false" customHeight="false" outlineLevel="0" collapsed="false">
      <c r="A64" s="0" t="s">
        <v>77</v>
      </c>
      <c r="B64" s="0" t="n">
        <v>2017</v>
      </c>
      <c r="C64" s="0" t="s">
        <v>63</v>
      </c>
      <c r="D64" s="0" t="n">
        <v>29149.849</v>
      </c>
      <c r="E64" s="0" t="n">
        <v>1</v>
      </c>
      <c r="F64" s="0" t="s">
        <v>437</v>
      </c>
      <c r="G64" s="0" t="s">
        <v>7040</v>
      </c>
      <c r="I64" s="0" t="s">
        <v>574</v>
      </c>
    </row>
    <row r="65" customFormat="false" ht="15" hidden="false" customHeight="false" outlineLevel="0" collapsed="false">
      <c r="A65" s="0" t="s">
        <v>77</v>
      </c>
      <c r="B65" s="0" t="n">
        <v>2017</v>
      </c>
      <c r="C65" s="0" t="s">
        <v>69</v>
      </c>
      <c r="D65" s="0" t="n">
        <v>18.18</v>
      </c>
      <c r="E65" s="0" t="n">
        <v>1</v>
      </c>
      <c r="F65" s="0" t="s">
        <v>437</v>
      </c>
      <c r="G65" s="0" t="s">
        <v>7040</v>
      </c>
      <c r="I65" s="0" t="s">
        <v>575</v>
      </c>
    </row>
    <row r="66" customFormat="false" ht="15" hidden="false" customHeight="false" outlineLevel="0" collapsed="false">
      <c r="A66" s="0" t="s">
        <v>77</v>
      </c>
      <c r="B66" s="0" t="n">
        <v>2017</v>
      </c>
      <c r="C66" s="0" t="s">
        <v>70</v>
      </c>
      <c r="D66" s="0" t="n">
        <v>16</v>
      </c>
      <c r="E66" s="0" t="n">
        <v>1</v>
      </c>
      <c r="F66" s="0" t="s">
        <v>437</v>
      </c>
      <c r="G66" s="0" t="s">
        <v>7040</v>
      </c>
      <c r="I66" s="0" t="s">
        <v>576</v>
      </c>
    </row>
    <row r="67" customFormat="false" ht="15" hidden="false" customHeight="false" outlineLevel="0" collapsed="false">
      <c r="A67" s="0" t="s">
        <v>77</v>
      </c>
      <c r="B67" s="0" t="n">
        <v>2017</v>
      </c>
      <c r="C67" s="0" t="s">
        <v>65</v>
      </c>
      <c r="D67" s="0" t="n">
        <v>420096.297</v>
      </c>
      <c r="E67" s="0" t="n">
        <v>1</v>
      </c>
      <c r="F67" s="0" t="s">
        <v>437</v>
      </c>
      <c r="G67" s="0" t="s">
        <v>7040</v>
      </c>
      <c r="I67" s="0" t="s">
        <v>577</v>
      </c>
    </row>
    <row r="68" customFormat="false" ht="15" hidden="false" customHeight="false" outlineLevel="0" collapsed="false">
      <c r="A68" s="0" t="s">
        <v>77</v>
      </c>
      <c r="B68" s="0" t="n">
        <v>2017</v>
      </c>
      <c r="C68" s="0" t="s">
        <v>66</v>
      </c>
      <c r="D68" s="0" t="n">
        <v>2311370.698</v>
      </c>
      <c r="E68" s="0" t="n">
        <v>1</v>
      </c>
      <c r="F68" s="0" t="s">
        <v>437</v>
      </c>
      <c r="G68" s="0" t="s">
        <v>7040</v>
      </c>
      <c r="I68" s="0" t="s">
        <v>578</v>
      </c>
    </row>
    <row r="69" customFormat="false" ht="15" hidden="false" customHeight="false" outlineLevel="0" collapsed="false">
      <c r="A69" s="0" t="s">
        <v>77</v>
      </c>
      <c r="B69" s="0" t="n">
        <v>2017</v>
      </c>
      <c r="C69" s="0" t="s">
        <v>73</v>
      </c>
      <c r="D69" s="0" t="n">
        <v>0</v>
      </c>
      <c r="E69" s="0" t="n">
        <v>1</v>
      </c>
      <c r="F69" s="0" t="s">
        <v>437</v>
      </c>
      <c r="G69" s="0" t="s">
        <v>7040</v>
      </c>
      <c r="I69" s="0" t="s">
        <v>579</v>
      </c>
    </row>
    <row r="70" customFormat="false" ht="15" hidden="false" customHeight="false" outlineLevel="0" collapsed="false">
      <c r="A70" s="0" t="s">
        <v>77</v>
      </c>
      <c r="B70" s="0" t="n">
        <v>2017</v>
      </c>
      <c r="C70" s="0" t="s">
        <v>541</v>
      </c>
      <c r="D70" s="0" t="n">
        <v>67043.501</v>
      </c>
      <c r="E70" s="0" t="n">
        <v>1</v>
      </c>
      <c r="F70" s="0" t="s">
        <v>437</v>
      </c>
      <c r="G70" s="0" t="s">
        <v>7040</v>
      </c>
      <c r="I70" s="0" t="s">
        <v>580</v>
      </c>
    </row>
    <row r="71" customFormat="false" ht="15" hidden="false" customHeight="false" outlineLevel="0" collapsed="false">
      <c r="A71" s="0" t="s">
        <v>77</v>
      </c>
      <c r="B71" s="0" t="n">
        <v>2017</v>
      </c>
      <c r="C71" s="0" t="s">
        <v>543</v>
      </c>
      <c r="D71" s="0" t="n">
        <v>36016.759</v>
      </c>
      <c r="E71" s="0" t="n">
        <v>1</v>
      </c>
      <c r="F71" s="0" t="s">
        <v>437</v>
      </c>
      <c r="G71" s="0" t="s">
        <v>7040</v>
      </c>
      <c r="I71" s="0" t="s">
        <v>581</v>
      </c>
    </row>
    <row r="72" customFormat="false" ht="15" hidden="false" customHeight="false" outlineLevel="0" collapsed="false">
      <c r="A72" s="0" t="s">
        <v>77</v>
      </c>
      <c r="B72" s="0" t="n">
        <v>2017</v>
      </c>
      <c r="C72" s="0" t="s">
        <v>545</v>
      </c>
      <c r="D72" s="0" t="n">
        <v>20272.643</v>
      </c>
      <c r="E72" s="0" t="n">
        <v>1</v>
      </c>
      <c r="F72" s="0" t="s">
        <v>437</v>
      </c>
      <c r="G72" s="0" t="s">
        <v>7040</v>
      </c>
      <c r="I72" s="0" t="s">
        <v>582</v>
      </c>
    </row>
    <row r="73" customFormat="false" ht="15" hidden="false" customHeight="false" outlineLevel="0" collapsed="false">
      <c r="A73" s="0" t="s">
        <v>77</v>
      </c>
      <c r="B73" s="0" t="n">
        <v>2018</v>
      </c>
      <c r="C73" s="0" t="s">
        <v>54</v>
      </c>
      <c r="D73" s="0" t="n">
        <v>73596.295</v>
      </c>
      <c r="E73" s="0" t="n">
        <v>1</v>
      </c>
      <c r="F73" s="0" t="s">
        <v>437</v>
      </c>
      <c r="G73" s="0" t="s">
        <v>7040</v>
      </c>
      <c r="I73" s="0" t="s">
        <v>583</v>
      </c>
    </row>
    <row r="74" customFormat="false" ht="15" hidden="false" customHeight="false" outlineLevel="0" collapsed="false">
      <c r="A74" s="0" t="s">
        <v>77</v>
      </c>
      <c r="B74" s="0" t="n">
        <v>2018</v>
      </c>
      <c r="C74" s="0" t="s">
        <v>55</v>
      </c>
      <c r="D74" s="0" t="n">
        <v>3968114.609</v>
      </c>
      <c r="E74" s="0" t="n">
        <v>1</v>
      </c>
      <c r="F74" s="0" t="s">
        <v>437</v>
      </c>
      <c r="G74" s="0" t="s">
        <v>7040</v>
      </c>
      <c r="I74" s="0" t="s">
        <v>584</v>
      </c>
    </row>
    <row r="75" customFormat="false" ht="15" hidden="false" customHeight="false" outlineLevel="0" collapsed="false">
      <c r="A75" s="0" t="s">
        <v>77</v>
      </c>
      <c r="B75" s="0" t="n">
        <v>2018</v>
      </c>
      <c r="C75" s="0" t="s">
        <v>56</v>
      </c>
      <c r="D75" s="0" t="n">
        <v>3527314.852</v>
      </c>
      <c r="E75" s="0" t="n">
        <v>1</v>
      </c>
      <c r="F75" s="0" t="s">
        <v>437</v>
      </c>
      <c r="G75" s="0" t="s">
        <v>7040</v>
      </c>
      <c r="I75" s="0" t="s">
        <v>585</v>
      </c>
    </row>
    <row r="76" customFormat="false" ht="15" hidden="false" customHeight="false" outlineLevel="0" collapsed="false">
      <c r="A76" s="0" t="s">
        <v>77</v>
      </c>
      <c r="B76" s="0" t="n">
        <v>2018</v>
      </c>
      <c r="C76" s="0" t="s">
        <v>57</v>
      </c>
      <c r="D76" s="0" t="n">
        <v>440799.757</v>
      </c>
      <c r="E76" s="0" t="n">
        <v>1</v>
      </c>
      <c r="F76" s="0" t="s">
        <v>437</v>
      </c>
      <c r="G76" s="0" t="s">
        <v>7040</v>
      </c>
      <c r="I76" s="0" t="s">
        <v>586</v>
      </c>
    </row>
    <row r="77" customFormat="false" ht="15" hidden="false" customHeight="false" outlineLevel="0" collapsed="false">
      <c r="A77" s="0" t="s">
        <v>77</v>
      </c>
      <c r="B77" s="0" t="n">
        <v>2018</v>
      </c>
      <c r="C77" s="0" t="s">
        <v>58</v>
      </c>
      <c r="D77" s="0" t="n">
        <v>366002.39</v>
      </c>
      <c r="E77" s="0" t="n">
        <v>1</v>
      </c>
      <c r="F77" s="0" t="s">
        <v>437</v>
      </c>
      <c r="G77" s="0" t="s">
        <v>7040</v>
      </c>
      <c r="I77" s="0" t="s">
        <v>587</v>
      </c>
    </row>
    <row r="78" customFormat="false" ht="15" hidden="false" customHeight="false" outlineLevel="0" collapsed="false">
      <c r="A78" s="0" t="s">
        <v>77</v>
      </c>
      <c r="B78" s="0" t="n">
        <v>2018</v>
      </c>
      <c r="C78" s="0" t="s">
        <v>62</v>
      </c>
      <c r="D78" s="0" t="n">
        <v>1681761.862</v>
      </c>
      <c r="E78" s="0" t="n">
        <v>1</v>
      </c>
      <c r="F78" s="0" t="s">
        <v>437</v>
      </c>
      <c r="G78" s="0" t="s">
        <v>7040</v>
      </c>
      <c r="I78" s="0" t="s">
        <v>588</v>
      </c>
    </row>
    <row r="79" customFormat="false" ht="15" hidden="false" customHeight="false" outlineLevel="0" collapsed="false">
      <c r="A79" s="0" t="s">
        <v>77</v>
      </c>
      <c r="B79" s="0" t="n">
        <v>2018</v>
      </c>
      <c r="C79" s="0" t="s">
        <v>63</v>
      </c>
      <c r="D79" s="0" t="n">
        <v>10702.144</v>
      </c>
      <c r="E79" s="0" t="n">
        <v>1</v>
      </c>
      <c r="F79" s="0" t="s">
        <v>437</v>
      </c>
      <c r="G79" s="0" t="s">
        <v>7040</v>
      </c>
      <c r="I79" s="0" t="s">
        <v>589</v>
      </c>
    </row>
    <row r="80" customFormat="false" ht="15" hidden="false" customHeight="false" outlineLevel="0" collapsed="false">
      <c r="A80" s="0" t="s">
        <v>77</v>
      </c>
      <c r="B80" s="0" t="n">
        <v>2018</v>
      </c>
      <c r="C80" s="0" t="s">
        <v>541</v>
      </c>
      <c r="D80" s="0" t="n">
        <v>75248.146</v>
      </c>
      <c r="E80" s="0" t="n">
        <v>1</v>
      </c>
      <c r="F80" s="0" t="s">
        <v>437</v>
      </c>
      <c r="G80" s="0" t="s">
        <v>7040</v>
      </c>
      <c r="I80" s="0" t="s">
        <v>590</v>
      </c>
    </row>
    <row r="81" customFormat="false" ht="15" hidden="false" customHeight="false" outlineLevel="0" collapsed="false">
      <c r="A81" s="0" t="s">
        <v>77</v>
      </c>
      <c r="B81" s="0" t="n">
        <v>2019</v>
      </c>
      <c r="C81" s="0" t="s">
        <v>54</v>
      </c>
      <c r="D81" s="0" t="n">
        <v>73569.054</v>
      </c>
      <c r="E81" s="0" t="n">
        <v>1</v>
      </c>
      <c r="F81" s="0" t="s">
        <v>437</v>
      </c>
      <c r="G81" s="0" t="s">
        <v>7040</v>
      </c>
      <c r="I81" s="0" t="s">
        <v>591</v>
      </c>
    </row>
    <row r="82" customFormat="false" ht="15" hidden="false" customHeight="false" outlineLevel="0" collapsed="false">
      <c r="A82" s="0" t="s">
        <v>77</v>
      </c>
      <c r="B82" s="0" t="n">
        <v>2019</v>
      </c>
      <c r="C82" s="0" t="s">
        <v>55</v>
      </c>
      <c r="D82" s="0" t="n">
        <v>6311041.282</v>
      </c>
      <c r="E82" s="0" t="n">
        <v>1</v>
      </c>
      <c r="F82" s="0" t="s">
        <v>437</v>
      </c>
      <c r="G82" s="0" t="s">
        <v>7040</v>
      </c>
      <c r="I82" s="0" t="s">
        <v>592</v>
      </c>
    </row>
    <row r="83" customFormat="false" ht="15" hidden="false" customHeight="false" outlineLevel="0" collapsed="false">
      <c r="A83" s="0" t="s">
        <v>77</v>
      </c>
      <c r="B83" s="0" t="n">
        <v>2019</v>
      </c>
      <c r="C83" s="0" t="s">
        <v>56</v>
      </c>
      <c r="D83" s="0" t="n">
        <v>5768100.182</v>
      </c>
      <c r="E83" s="0" t="n">
        <v>1</v>
      </c>
      <c r="F83" s="0" t="s">
        <v>437</v>
      </c>
      <c r="G83" s="0" t="s">
        <v>7040</v>
      </c>
      <c r="I83" s="0" t="s">
        <v>593</v>
      </c>
    </row>
    <row r="84" customFormat="false" ht="15" hidden="false" customHeight="false" outlineLevel="0" collapsed="false">
      <c r="A84" s="0" t="s">
        <v>77</v>
      </c>
      <c r="B84" s="0" t="n">
        <v>2019</v>
      </c>
      <c r="C84" s="0" t="s">
        <v>57</v>
      </c>
      <c r="D84" s="0" t="n">
        <v>542941.1</v>
      </c>
      <c r="E84" s="0" t="n">
        <v>1</v>
      </c>
      <c r="F84" s="0" t="s">
        <v>437</v>
      </c>
      <c r="G84" s="0" t="s">
        <v>7040</v>
      </c>
      <c r="I84" s="0" t="s">
        <v>594</v>
      </c>
    </row>
    <row r="85" customFormat="false" ht="15" hidden="false" customHeight="false" outlineLevel="0" collapsed="false">
      <c r="A85" s="0" t="s">
        <v>77</v>
      </c>
      <c r="B85" s="0" t="n">
        <v>2019</v>
      </c>
      <c r="C85" s="0" t="s">
        <v>58</v>
      </c>
      <c r="D85" s="0" t="n">
        <v>1094573.265</v>
      </c>
      <c r="E85" s="0" t="n">
        <v>1</v>
      </c>
      <c r="F85" s="0" t="s">
        <v>437</v>
      </c>
      <c r="G85" s="0" t="s">
        <v>7040</v>
      </c>
      <c r="I85" s="0" t="s">
        <v>595</v>
      </c>
    </row>
    <row r="86" customFormat="false" ht="15" hidden="false" customHeight="false" outlineLevel="0" collapsed="false">
      <c r="A86" s="0" t="s">
        <v>77</v>
      </c>
      <c r="B86" s="0" t="n">
        <v>2019</v>
      </c>
      <c r="C86" s="0" t="s">
        <v>59</v>
      </c>
      <c r="D86" s="0" t="n">
        <v>3968114.609</v>
      </c>
      <c r="E86" s="0" t="n">
        <v>1</v>
      </c>
      <c r="F86" s="0" t="s">
        <v>437</v>
      </c>
      <c r="G86" s="0" t="s">
        <v>7040</v>
      </c>
      <c r="I86" s="0" t="s">
        <v>596</v>
      </c>
    </row>
    <row r="87" customFormat="false" ht="15" hidden="false" customHeight="false" outlineLevel="0" collapsed="false">
      <c r="A87" s="0" t="s">
        <v>77</v>
      </c>
      <c r="B87" s="0" t="n">
        <v>2019</v>
      </c>
      <c r="C87" s="0" t="s">
        <v>60</v>
      </c>
      <c r="D87" s="0" t="n">
        <v>2662623.089</v>
      </c>
      <c r="E87" s="0" t="n">
        <v>1</v>
      </c>
      <c r="F87" s="0" t="s">
        <v>437</v>
      </c>
      <c r="G87" s="0" t="s">
        <v>7040</v>
      </c>
      <c r="I87" s="0" t="s">
        <v>597</v>
      </c>
    </row>
    <row r="88" customFormat="false" ht="15" hidden="false" customHeight="false" outlineLevel="0" collapsed="false">
      <c r="A88" s="0" t="s">
        <v>77</v>
      </c>
      <c r="B88" s="0" t="n">
        <v>2019</v>
      </c>
      <c r="C88" s="0" t="s">
        <v>61</v>
      </c>
      <c r="D88" s="0" t="n">
        <v>180999.419</v>
      </c>
      <c r="E88" s="0" t="n">
        <v>1</v>
      </c>
      <c r="F88" s="0" t="s">
        <v>437</v>
      </c>
      <c r="G88" s="0" t="s">
        <v>7040</v>
      </c>
      <c r="I88" s="0" t="s">
        <v>598</v>
      </c>
    </row>
    <row r="89" customFormat="false" ht="15" hidden="false" customHeight="false" outlineLevel="0" collapsed="false">
      <c r="A89" s="0" t="s">
        <v>77</v>
      </c>
      <c r="B89" s="0" t="n">
        <v>2019</v>
      </c>
      <c r="C89" s="0" t="s">
        <v>62</v>
      </c>
      <c r="D89" s="0" t="n">
        <v>2481623.671</v>
      </c>
      <c r="E89" s="0" t="n">
        <v>1</v>
      </c>
      <c r="F89" s="0" t="s">
        <v>437</v>
      </c>
      <c r="G89" s="0" t="s">
        <v>7040</v>
      </c>
      <c r="I89" s="0" t="s">
        <v>599</v>
      </c>
    </row>
    <row r="90" customFormat="false" ht="15" hidden="false" customHeight="false" outlineLevel="0" collapsed="false">
      <c r="A90" s="0" t="s">
        <v>77</v>
      </c>
      <c r="B90" s="0" t="n">
        <v>2019</v>
      </c>
      <c r="C90" s="0" t="s">
        <v>63</v>
      </c>
      <c r="D90" s="0" t="n">
        <v>21055.479</v>
      </c>
      <c r="E90" s="0" t="n">
        <v>1</v>
      </c>
      <c r="F90" s="0" t="s">
        <v>437</v>
      </c>
      <c r="G90" s="0" t="s">
        <v>7040</v>
      </c>
      <c r="I90" s="0" t="s">
        <v>600</v>
      </c>
    </row>
    <row r="91" customFormat="false" ht="15" hidden="false" customHeight="false" outlineLevel="0" collapsed="false">
      <c r="A91" s="0" t="s">
        <v>77</v>
      </c>
      <c r="B91" s="0" t="n">
        <v>2019</v>
      </c>
      <c r="C91" s="0" t="s">
        <v>73</v>
      </c>
      <c r="D91" s="0" t="n">
        <v>0</v>
      </c>
      <c r="E91" s="0" t="n">
        <v>1</v>
      </c>
      <c r="F91" s="0" t="s">
        <v>437</v>
      </c>
      <c r="G91" s="0" t="s">
        <v>7040</v>
      </c>
      <c r="I91" s="0" t="s">
        <v>601</v>
      </c>
    </row>
    <row r="92" customFormat="false" ht="15" hidden="false" customHeight="false" outlineLevel="0" collapsed="false">
      <c r="A92" s="0" t="s">
        <v>77</v>
      </c>
      <c r="B92" s="0" t="n">
        <v>2019</v>
      </c>
      <c r="C92" s="0" t="s">
        <v>541</v>
      </c>
      <c r="D92" s="0" t="n">
        <v>82666.776</v>
      </c>
      <c r="E92" s="0" t="n">
        <v>1</v>
      </c>
      <c r="F92" s="0" t="s">
        <v>437</v>
      </c>
      <c r="G92" s="0" t="s">
        <v>7040</v>
      </c>
      <c r="I92" s="0" t="s">
        <v>602</v>
      </c>
    </row>
    <row r="93" customFormat="false" ht="15" hidden="false" customHeight="false" outlineLevel="0" collapsed="false">
      <c r="A93" s="0" t="s">
        <v>77</v>
      </c>
      <c r="B93" s="0" t="n">
        <v>2020</v>
      </c>
      <c r="C93" s="0" t="s">
        <v>54</v>
      </c>
      <c r="D93" s="0" t="n">
        <v>80039.328</v>
      </c>
      <c r="E93" s="0" t="n">
        <v>1</v>
      </c>
      <c r="F93" s="0" t="s">
        <v>437</v>
      </c>
      <c r="G93" s="0" t="s">
        <v>7040</v>
      </c>
      <c r="I93" s="0" t="s">
        <v>603</v>
      </c>
    </row>
    <row r="94" customFormat="false" ht="15" hidden="false" customHeight="false" outlineLevel="0" collapsed="false">
      <c r="A94" s="0" t="s">
        <v>77</v>
      </c>
      <c r="B94" s="0" t="n">
        <v>2020</v>
      </c>
      <c r="C94" s="0" t="s">
        <v>55</v>
      </c>
      <c r="D94" s="0" t="n">
        <v>7624979.724</v>
      </c>
      <c r="E94" s="0" t="n">
        <v>1</v>
      </c>
      <c r="F94" s="0" t="s">
        <v>437</v>
      </c>
      <c r="G94" s="0" t="s">
        <v>7040</v>
      </c>
      <c r="I94" s="0" t="s">
        <v>604</v>
      </c>
    </row>
    <row r="95" customFormat="false" ht="15" hidden="false" customHeight="false" outlineLevel="0" collapsed="false">
      <c r="A95" s="0" t="s">
        <v>77</v>
      </c>
      <c r="B95" s="0" t="n">
        <v>2020</v>
      </c>
      <c r="C95" s="0" t="s">
        <v>56</v>
      </c>
      <c r="D95" s="0" t="n">
        <v>6971084.063</v>
      </c>
      <c r="E95" s="0" t="n">
        <v>1</v>
      </c>
      <c r="F95" s="0" t="s">
        <v>437</v>
      </c>
      <c r="G95" s="0" t="s">
        <v>7040</v>
      </c>
      <c r="I95" s="0" t="s">
        <v>605</v>
      </c>
    </row>
    <row r="96" customFormat="false" ht="15" hidden="false" customHeight="false" outlineLevel="0" collapsed="false">
      <c r="A96" s="0" t="s">
        <v>77</v>
      </c>
      <c r="B96" s="0" t="n">
        <v>2020</v>
      </c>
      <c r="C96" s="0" t="s">
        <v>57</v>
      </c>
      <c r="D96" s="0" t="n">
        <v>653895.661</v>
      </c>
      <c r="E96" s="0" t="n">
        <v>1</v>
      </c>
      <c r="F96" s="0" t="s">
        <v>437</v>
      </c>
      <c r="G96" s="0" t="s">
        <v>7040</v>
      </c>
      <c r="I96" s="0" t="s">
        <v>606</v>
      </c>
    </row>
    <row r="97" customFormat="false" ht="15" hidden="false" customHeight="false" outlineLevel="0" collapsed="false">
      <c r="A97" s="0" t="s">
        <v>77</v>
      </c>
      <c r="B97" s="0" t="n">
        <v>2020</v>
      </c>
      <c r="C97" s="0" t="s">
        <v>58</v>
      </c>
      <c r="D97" s="0" t="n">
        <v>-65407.286</v>
      </c>
      <c r="E97" s="0" t="n">
        <v>1</v>
      </c>
      <c r="F97" s="0" t="s">
        <v>437</v>
      </c>
      <c r="G97" s="0" t="s">
        <v>7040</v>
      </c>
      <c r="I97" s="0" t="s">
        <v>607</v>
      </c>
    </row>
    <row r="98" customFormat="false" ht="15" hidden="false" customHeight="false" outlineLevel="0" collapsed="false">
      <c r="A98" s="0" t="s">
        <v>77</v>
      </c>
      <c r="B98" s="0" t="n">
        <v>2020</v>
      </c>
      <c r="C98" s="0" t="s">
        <v>59</v>
      </c>
      <c r="D98" s="0" t="n">
        <v>6307588.216</v>
      </c>
      <c r="E98" s="0" t="n">
        <v>1</v>
      </c>
      <c r="F98" s="0" t="s">
        <v>437</v>
      </c>
      <c r="G98" s="0" t="s">
        <v>7040</v>
      </c>
      <c r="I98" s="0" t="s">
        <v>608</v>
      </c>
    </row>
    <row r="99" customFormat="false" ht="15" hidden="false" customHeight="false" outlineLevel="0" collapsed="false">
      <c r="A99" s="0" t="s">
        <v>77</v>
      </c>
      <c r="B99" s="0" t="n">
        <v>2020</v>
      </c>
      <c r="C99" s="0" t="s">
        <v>60</v>
      </c>
      <c r="D99" s="0" t="n">
        <v>2937918.27</v>
      </c>
      <c r="E99" s="0" t="n">
        <v>1</v>
      </c>
      <c r="F99" s="0" t="s">
        <v>437</v>
      </c>
      <c r="G99" s="0" t="s">
        <v>7040</v>
      </c>
      <c r="I99" s="0" t="s">
        <v>609</v>
      </c>
    </row>
    <row r="100" customFormat="false" ht="15" hidden="false" customHeight="false" outlineLevel="0" collapsed="false">
      <c r="A100" s="0" t="s">
        <v>77</v>
      </c>
      <c r="B100" s="0" t="n">
        <v>2020</v>
      </c>
      <c r="C100" s="0" t="s">
        <v>61</v>
      </c>
      <c r="D100" s="0" t="n">
        <v>119042.539</v>
      </c>
      <c r="E100" s="0" t="n">
        <v>1</v>
      </c>
      <c r="F100" s="0" t="s">
        <v>437</v>
      </c>
      <c r="G100" s="0" t="s">
        <v>7040</v>
      </c>
      <c r="I100" s="0" t="s">
        <v>610</v>
      </c>
    </row>
    <row r="101" customFormat="false" ht="15" hidden="false" customHeight="false" outlineLevel="0" collapsed="false">
      <c r="A101" s="0" t="s">
        <v>77</v>
      </c>
      <c r="B101" s="0" t="n">
        <v>2020</v>
      </c>
      <c r="C101" s="0" t="s">
        <v>62</v>
      </c>
      <c r="D101" s="0" t="n">
        <v>2818875.731</v>
      </c>
      <c r="E101" s="0" t="n">
        <v>1</v>
      </c>
      <c r="F101" s="0" t="s">
        <v>437</v>
      </c>
      <c r="G101" s="0" t="s">
        <v>7040</v>
      </c>
      <c r="I101" s="0" t="s">
        <v>611</v>
      </c>
    </row>
    <row r="102" customFormat="false" ht="15" hidden="false" customHeight="false" outlineLevel="0" collapsed="false">
      <c r="A102" s="0" t="s">
        <v>77</v>
      </c>
      <c r="B102" s="0" t="n">
        <v>2020</v>
      </c>
      <c r="C102" s="0" t="s">
        <v>63</v>
      </c>
      <c r="D102" s="0" t="n">
        <v>39650.58</v>
      </c>
      <c r="E102" s="0" t="n">
        <v>1</v>
      </c>
      <c r="F102" s="0" t="s">
        <v>437</v>
      </c>
      <c r="G102" s="0" t="s">
        <v>7040</v>
      </c>
      <c r="I102" s="0" t="s">
        <v>612</v>
      </c>
    </row>
    <row r="103" customFormat="false" ht="15" hidden="false" customHeight="false" outlineLevel="0" collapsed="false">
      <c r="A103" s="0" t="s">
        <v>77</v>
      </c>
      <c r="B103" s="0" t="n">
        <v>2020</v>
      </c>
      <c r="C103" s="0" t="s">
        <v>69</v>
      </c>
      <c r="D103" s="0" t="n">
        <v>15.87</v>
      </c>
      <c r="E103" s="0" t="n">
        <v>1</v>
      </c>
      <c r="F103" s="0" t="s">
        <v>437</v>
      </c>
      <c r="G103" s="0" t="s">
        <v>7040</v>
      </c>
      <c r="I103" s="0" t="s">
        <v>613</v>
      </c>
    </row>
    <row r="104" customFormat="false" ht="15" hidden="false" customHeight="false" outlineLevel="0" collapsed="false">
      <c r="A104" s="0" t="s">
        <v>77</v>
      </c>
      <c r="B104" s="0" t="n">
        <v>2020</v>
      </c>
      <c r="C104" s="0" t="s">
        <v>614</v>
      </c>
      <c r="D104" s="0" t="n">
        <v>17.22</v>
      </c>
      <c r="E104" s="0" t="n">
        <v>1</v>
      </c>
      <c r="F104" s="0" t="s">
        <v>437</v>
      </c>
      <c r="G104" s="0" t="s">
        <v>7040</v>
      </c>
      <c r="I104" s="0" t="s">
        <v>615</v>
      </c>
    </row>
    <row r="105" customFormat="false" ht="15" hidden="false" customHeight="false" outlineLevel="0" collapsed="false">
      <c r="A105" s="0" t="s">
        <v>77</v>
      </c>
      <c r="B105" s="0" t="n">
        <v>2020</v>
      </c>
      <c r="C105" s="0" t="s">
        <v>70</v>
      </c>
      <c r="D105" s="0" t="n">
        <v>16</v>
      </c>
      <c r="E105" s="0" t="n">
        <v>1</v>
      </c>
      <c r="F105" s="0" t="s">
        <v>437</v>
      </c>
      <c r="G105" s="0" t="s">
        <v>7040</v>
      </c>
      <c r="I105" s="0" t="s">
        <v>616</v>
      </c>
    </row>
    <row r="106" customFormat="false" ht="15" hidden="false" customHeight="false" outlineLevel="0" collapsed="false">
      <c r="A106" s="0" t="s">
        <v>77</v>
      </c>
      <c r="B106" s="0" t="n">
        <v>2020</v>
      </c>
      <c r="C106" s="0" t="s">
        <v>65</v>
      </c>
      <c r="D106" s="0" t="n">
        <v>488756.274</v>
      </c>
      <c r="E106" s="0" t="n">
        <v>1</v>
      </c>
      <c r="F106" s="0" t="s">
        <v>437</v>
      </c>
      <c r="G106" s="0" t="s">
        <v>7040</v>
      </c>
      <c r="I106" s="0" t="s">
        <v>617</v>
      </c>
    </row>
    <row r="107" customFormat="false" ht="15" hidden="false" customHeight="false" outlineLevel="0" collapsed="false">
      <c r="A107" s="0" t="s">
        <v>77</v>
      </c>
      <c r="B107" s="0" t="n">
        <v>2020</v>
      </c>
      <c r="C107" s="0" t="s">
        <v>66</v>
      </c>
      <c r="D107" s="0" t="n">
        <v>3078989.123</v>
      </c>
      <c r="E107" s="0" t="n">
        <v>1</v>
      </c>
      <c r="F107" s="0" t="s">
        <v>437</v>
      </c>
      <c r="G107" s="0" t="s">
        <v>7040</v>
      </c>
      <c r="I107" s="0" t="s">
        <v>618</v>
      </c>
    </row>
    <row r="108" customFormat="false" ht="15" hidden="false" customHeight="false" outlineLevel="0" collapsed="false">
      <c r="A108" s="0" t="s">
        <v>77</v>
      </c>
      <c r="B108" s="0" t="n">
        <v>2020</v>
      </c>
      <c r="C108" s="0" t="s">
        <v>619</v>
      </c>
      <c r="D108" s="0" t="n">
        <v>541590.876</v>
      </c>
      <c r="E108" s="0" t="n">
        <v>1</v>
      </c>
      <c r="F108" s="0" t="s">
        <v>437</v>
      </c>
      <c r="G108" s="0" t="s">
        <v>7040</v>
      </c>
      <c r="I108" s="0" t="s">
        <v>620</v>
      </c>
    </row>
    <row r="109" customFormat="false" ht="15" hidden="false" customHeight="false" outlineLevel="0" collapsed="false">
      <c r="A109" s="0" t="s">
        <v>77</v>
      </c>
      <c r="B109" s="0" t="n">
        <v>2020</v>
      </c>
      <c r="C109" s="0" t="s">
        <v>73</v>
      </c>
      <c r="D109" s="0" t="n">
        <v>0</v>
      </c>
      <c r="E109" s="0" t="n">
        <v>1</v>
      </c>
      <c r="F109" s="0" t="s">
        <v>437</v>
      </c>
      <c r="G109" s="0" t="s">
        <v>7040</v>
      </c>
      <c r="I109" s="0" t="s">
        <v>621</v>
      </c>
    </row>
    <row r="110" customFormat="false" ht="15" hidden="false" customHeight="false" outlineLevel="0" collapsed="false">
      <c r="A110" s="0" t="s">
        <v>77</v>
      </c>
      <c r="B110" s="0" t="n">
        <v>2020</v>
      </c>
      <c r="C110" s="0" t="s">
        <v>541</v>
      </c>
      <c r="D110" s="0" t="n">
        <v>90195.877</v>
      </c>
      <c r="E110" s="0" t="n">
        <v>1</v>
      </c>
      <c r="F110" s="0" t="s">
        <v>437</v>
      </c>
      <c r="G110" s="0" t="s">
        <v>7040</v>
      </c>
      <c r="I110" s="0" t="s">
        <v>622</v>
      </c>
    </row>
    <row r="111" customFormat="false" ht="15" hidden="false" customHeight="false" outlineLevel="0" collapsed="false">
      <c r="A111" s="0" t="s">
        <v>77</v>
      </c>
      <c r="B111" s="0" t="n">
        <v>2021</v>
      </c>
      <c r="C111" s="0" t="s">
        <v>54</v>
      </c>
      <c r="D111" s="0" t="n">
        <v>111326.487</v>
      </c>
      <c r="E111" s="0" t="n">
        <v>1</v>
      </c>
      <c r="F111" s="0" t="s">
        <v>437</v>
      </c>
      <c r="G111" s="0" t="s">
        <v>7040</v>
      </c>
      <c r="I111" s="0" t="s">
        <v>623</v>
      </c>
    </row>
    <row r="112" customFormat="false" ht="15" hidden="false" customHeight="false" outlineLevel="0" collapsed="false">
      <c r="A112" s="0" t="s">
        <v>77</v>
      </c>
      <c r="B112" s="0" t="n">
        <v>2021</v>
      </c>
      <c r="C112" s="0" t="s">
        <v>55</v>
      </c>
      <c r="D112" s="0" t="n">
        <v>9660760.556</v>
      </c>
      <c r="E112" s="0" t="n">
        <v>1</v>
      </c>
      <c r="F112" s="0" t="s">
        <v>437</v>
      </c>
      <c r="G112" s="0" t="s">
        <v>7040</v>
      </c>
      <c r="I112" s="0" t="s">
        <v>624</v>
      </c>
    </row>
    <row r="113" customFormat="false" ht="15" hidden="false" customHeight="false" outlineLevel="0" collapsed="false">
      <c r="A113" s="0" t="s">
        <v>77</v>
      </c>
      <c r="B113" s="0" t="n">
        <v>2021</v>
      </c>
      <c r="C113" s="0" t="s">
        <v>56</v>
      </c>
      <c r="D113" s="0" t="n">
        <v>8789310.442</v>
      </c>
      <c r="E113" s="0" t="n">
        <v>1</v>
      </c>
      <c r="F113" s="0" t="s">
        <v>437</v>
      </c>
      <c r="G113" s="0" t="s">
        <v>7040</v>
      </c>
      <c r="I113" s="0" t="s">
        <v>625</v>
      </c>
    </row>
    <row r="114" customFormat="false" ht="15" hidden="false" customHeight="false" outlineLevel="0" collapsed="false">
      <c r="A114" s="0" t="s">
        <v>77</v>
      </c>
      <c r="B114" s="0" t="n">
        <v>2021</v>
      </c>
      <c r="C114" s="0" t="s">
        <v>57</v>
      </c>
      <c r="D114" s="0" t="n">
        <v>871450.114</v>
      </c>
      <c r="E114" s="0" t="n">
        <v>1</v>
      </c>
      <c r="F114" s="0" t="s">
        <v>437</v>
      </c>
      <c r="G114" s="0" t="s">
        <v>7040</v>
      </c>
      <c r="I114" s="0" t="s">
        <v>626</v>
      </c>
    </row>
    <row r="115" customFormat="false" ht="15" hidden="false" customHeight="false" outlineLevel="0" collapsed="false">
      <c r="A115" s="0" t="s">
        <v>77</v>
      </c>
      <c r="B115" s="0" t="n">
        <v>2021</v>
      </c>
      <c r="C115" s="0" t="s">
        <v>58</v>
      </c>
      <c r="D115" s="0" t="n">
        <v>500834.811</v>
      </c>
      <c r="E115" s="0" t="n">
        <v>1</v>
      </c>
      <c r="F115" s="0" t="s">
        <v>437</v>
      </c>
      <c r="G115" s="0" t="s">
        <v>7040</v>
      </c>
      <c r="I115" s="0" t="s">
        <v>627</v>
      </c>
    </row>
    <row r="116" customFormat="false" ht="15" hidden="false" customHeight="false" outlineLevel="0" collapsed="false">
      <c r="A116" s="0" t="s">
        <v>77</v>
      </c>
      <c r="B116" s="0" t="n">
        <v>2021</v>
      </c>
      <c r="C116" s="0" t="s">
        <v>59</v>
      </c>
      <c r="D116" s="0" t="n">
        <v>7624979.724</v>
      </c>
      <c r="E116" s="0" t="n">
        <v>1</v>
      </c>
      <c r="F116" s="0" t="s">
        <v>437</v>
      </c>
      <c r="G116" s="0" t="s">
        <v>7040</v>
      </c>
      <c r="I116" s="0" t="s">
        <v>628</v>
      </c>
    </row>
    <row r="117" customFormat="false" ht="15" hidden="false" customHeight="false" outlineLevel="0" collapsed="false">
      <c r="A117" s="0" t="s">
        <v>77</v>
      </c>
      <c r="B117" s="0" t="n">
        <v>2021</v>
      </c>
      <c r="C117" s="0" t="s">
        <v>60</v>
      </c>
      <c r="D117" s="0" t="n">
        <v>3343722.232</v>
      </c>
      <c r="E117" s="0" t="n">
        <v>1</v>
      </c>
      <c r="F117" s="0" t="s">
        <v>437</v>
      </c>
      <c r="G117" s="0" t="s">
        <v>7040</v>
      </c>
      <c r="I117" s="0" t="s">
        <v>629</v>
      </c>
    </row>
    <row r="118" customFormat="false" ht="15" hidden="false" customHeight="false" outlineLevel="0" collapsed="false">
      <c r="A118" s="0" t="s">
        <v>77</v>
      </c>
      <c r="B118" s="0" t="n">
        <v>2021</v>
      </c>
      <c r="C118" s="0" t="s">
        <v>61</v>
      </c>
      <c r="D118" s="0" t="n">
        <v>87649.564</v>
      </c>
      <c r="E118" s="0" t="n">
        <v>1</v>
      </c>
      <c r="F118" s="0" t="s">
        <v>437</v>
      </c>
      <c r="G118" s="0" t="s">
        <v>7040</v>
      </c>
      <c r="I118" s="0" t="s">
        <v>630</v>
      </c>
    </row>
    <row r="119" customFormat="false" ht="15" hidden="false" customHeight="false" outlineLevel="0" collapsed="false">
      <c r="A119" s="0" t="s">
        <v>77</v>
      </c>
      <c r="B119" s="0" t="n">
        <v>2021</v>
      </c>
      <c r="C119" s="0" t="s">
        <v>62</v>
      </c>
      <c r="D119" s="0" t="n">
        <v>3256072.669</v>
      </c>
      <c r="E119" s="0" t="n">
        <v>1</v>
      </c>
      <c r="F119" s="0" t="s">
        <v>437</v>
      </c>
      <c r="G119" s="0" t="s">
        <v>7040</v>
      </c>
      <c r="I119" s="0" t="s">
        <v>631</v>
      </c>
    </row>
    <row r="120" customFormat="false" ht="15" hidden="false" customHeight="false" outlineLevel="0" collapsed="false">
      <c r="A120" s="0" t="s">
        <v>77</v>
      </c>
      <c r="B120" s="0" t="n">
        <v>2021</v>
      </c>
      <c r="C120" s="0" t="s">
        <v>63</v>
      </c>
      <c r="D120" s="0" t="n">
        <v>53800.935</v>
      </c>
      <c r="E120" s="0" t="n">
        <v>1</v>
      </c>
      <c r="F120" s="0" t="s">
        <v>437</v>
      </c>
      <c r="G120" s="0" t="s">
        <v>7040</v>
      </c>
      <c r="I120" s="0" t="s">
        <v>632</v>
      </c>
    </row>
    <row r="121" customFormat="false" ht="15" hidden="false" customHeight="false" outlineLevel="0" collapsed="false">
      <c r="A121" s="0" t="s">
        <v>77</v>
      </c>
      <c r="B121" s="0" t="n">
        <v>2021</v>
      </c>
      <c r="C121" s="0" t="s">
        <v>69</v>
      </c>
      <c r="D121" s="0" t="n">
        <v>20.93</v>
      </c>
      <c r="E121" s="0" t="n">
        <v>1</v>
      </c>
      <c r="F121" s="0" t="s">
        <v>437</v>
      </c>
      <c r="G121" s="0" t="s">
        <v>7040</v>
      </c>
      <c r="I121" s="0" t="s">
        <v>633</v>
      </c>
    </row>
    <row r="122" customFormat="false" ht="15" hidden="false" customHeight="false" outlineLevel="0" collapsed="false">
      <c r="A122" s="0" t="s">
        <v>77</v>
      </c>
      <c r="B122" s="0" t="n">
        <v>2021</v>
      </c>
      <c r="C122" s="0" t="s">
        <v>65</v>
      </c>
      <c r="D122" s="0" t="n">
        <v>835939.161</v>
      </c>
      <c r="E122" s="0" t="n">
        <v>1</v>
      </c>
      <c r="F122" s="0" t="s">
        <v>437</v>
      </c>
      <c r="G122" s="0" t="s">
        <v>7040</v>
      </c>
      <c r="I122" s="0" t="s">
        <v>634</v>
      </c>
    </row>
    <row r="123" customFormat="false" ht="15" hidden="false" customHeight="false" outlineLevel="0" collapsed="false">
      <c r="A123" s="0" t="s">
        <v>77</v>
      </c>
      <c r="B123" s="0" t="n">
        <v>2021</v>
      </c>
      <c r="C123" s="0" t="s">
        <v>66</v>
      </c>
      <c r="D123" s="0" t="n">
        <v>3993848.672</v>
      </c>
      <c r="E123" s="0" t="n">
        <v>1</v>
      </c>
      <c r="F123" s="0" t="s">
        <v>437</v>
      </c>
      <c r="G123" s="0" t="s">
        <v>7040</v>
      </c>
      <c r="I123" s="0" t="s">
        <v>635</v>
      </c>
    </row>
    <row r="124" customFormat="false" ht="15" hidden="false" customHeight="false" outlineLevel="0" collapsed="false">
      <c r="A124" s="0" t="s">
        <v>77</v>
      </c>
      <c r="B124" s="0" t="n">
        <v>2021</v>
      </c>
      <c r="C124" s="0" t="s">
        <v>73</v>
      </c>
      <c r="D124" s="0" t="n">
        <v>0</v>
      </c>
      <c r="E124" s="0" t="n">
        <v>1</v>
      </c>
      <c r="F124" s="0" t="s">
        <v>437</v>
      </c>
      <c r="G124" s="0" t="s">
        <v>7040</v>
      </c>
      <c r="I124" s="0" t="s">
        <v>636</v>
      </c>
    </row>
    <row r="125" customFormat="false" ht="15" hidden="false" customHeight="false" outlineLevel="0" collapsed="false">
      <c r="A125" s="0" t="s">
        <v>77</v>
      </c>
      <c r="B125" s="0" t="n">
        <v>2021</v>
      </c>
      <c r="C125" s="0" t="s">
        <v>541</v>
      </c>
      <c r="D125" s="0" t="n">
        <v>106483</v>
      </c>
      <c r="E125" s="0" t="n">
        <v>1</v>
      </c>
      <c r="F125" s="0" t="s">
        <v>437</v>
      </c>
      <c r="G125" s="0" t="s">
        <v>7040</v>
      </c>
      <c r="I125" s="0" t="s">
        <v>637</v>
      </c>
    </row>
    <row r="126" customFormat="false" ht="15" hidden="false" customHeight="false" outlineLevel="0" collapsed="false">
      <c r="A126" s="0" t="s">
        <v>77</v>
      </c>
      <c r="B126" s="0" t="n">
        <v>2022</v>
      </c>
      <c r="C126" s="0" t="s">
        <v>54</v>
      </c>
      <c r="D126" s="0" t="n">
        <v>166660</v>
      </c>
      <c r="E126" s="0" t="n">
        <v>1</v>
      </c>
      <c r="F126" s="0" t="s">
        <v>437</v>
      </c>
      <c r="G126" s="0" t="s">
        <v>7040</v>
      </c>
      <c r="I126" s="0" t="s">
        <v>638</v>
      </c>
    </row>
    <row r="127" customFormat="false" ht="15" hidden="false" customHeight="false" outlineLevel="0" collapsed="false">
      <c r="A127" s="0" t="s">
        <v>77</v>
      </c>
      <c r="B127" s="0" t="n">
        <v>2022</v>
      </c>
      <c r="C127" s="0" t="s">
        <v>55</v>
      </c>
      <c r="D127" s="0" t="n">
        <v>12535280</v>
      </c>
      <c r="E127" s="0" t="n">
        <v>1</v>
      </c>
      <c r="F127" s="0" t="s">
        <v>437</v>
      </c>
      <c r="G127" s="0" t="s">
        <v>7040</v>
      </c>
      <c r="I127" s="0" t="s">
        <v>639</v>
      </c>
    </row>
    <row r="128" customFormat="false" ht="15" hidden="false" customHeight="false" outlineLevel="0" collapsed="false">
      <c r="A128" s="0" t="s">
        <v>77</v>
      </c>
      <c r="B128" s="0" t="n">
        <v>2022</v>
      </c>
      <c r="C128" s="0" t="s">
        <v>56</v>
      </c>
      <c r="D128" s="0" t="n">
        <v>11466613</v>
      </c>
      <c r="E128" s="0" t="n">
        <v>1</v>
      </c>
      <c r="F128" s="0" t="s">
        <v>437</v>
      </c>
      <c r="G128" s="0" t="s">
        <v>7040</v>
      </c>
      <c r="I128" s="0" t="s">
        <v>640</v>
      </c>
    </row>
    <row r="129" customFormat="false" ht="15" hidden="false" customHeight="false" outlineLevel="0" collapsed="false">
      <c r="A129" s="0" t="s">
        <v>77</v>
      </c>
      <c r="B129" s="0" t="n">
        <v>2022</v>
      </c>
      <c r="C129" s="0" t="s">
        <v>57</v>
      </c>
      <c r="D129" s="0" t="n">
        <v>1068667</v>
      </c>
      <c r="E129" s="0" t="n">
        <v>1</v>
      </c>
      <c r="F129" s="0" t="s">
        <v>437</v>
      </c>
      <c r="G129" s="0" t="s">
        <v>7040</v>
      </c>
      <c r="I129" s="0" t="s">
        <v>641</v>
      </c>
    </row>
    <row r="130" customFormat="false" ht="15" hidden="false" customHeight="false" outlineLevel="0" collapsed="false">
      <c r="A130" s="0" t="s">
        <v>77</v>
      </c>
      <c r="B130" s="0" t="n">
        <v>2022</v>
      </c>
      <c r="C130" s="0" t="s">
        <v>58</v>
      </c>
      <c r="D130" s="0" t="n">
        <v>698528</v>
      </c>
      <c r="E130" s="0" t="n">
        <v>1</v>
      </c>
      <c r="F130" s="0" t="s">
        <v>437</v>
      </c>
      <c r="G130" s="0" t="s">
        <v>7040</v>
      </c>
      <c r="I130" s="0" t="s">
        <v>642</v>
      </c>
    </row>
    <row r="131" customFormat="false" ht="15" hidden="false" customHeight="false" outlineLevel="0" collapsed="false">
      <c r="A131" s="0" t="s">
        <v>77</v>
      </c>
      <c r="B131" s="0" t="n">
        <v>2022</v>
      </c>
      <c r="C131" s="0" t="s">
        <v>59</v>
      </c>
      <c r="D131" s="0" t="n">
        <v>9660761</v>
      </c>
      <c r="E131" s="0" t="n">
        <v>1</v>
      </c>
      <c r="F131" s="0" t="s">
        <v>437</v>
      </c>
      <c r="G131" s="0" t="s">
        <v>7040</v>
      </c>
      <c r="I131" s="0" t="s">
        <v>644</v>
      </c>
    </row>
    <row r="132" customFormat="false" ht="15" hidden="false" customHeight="false" outlineLevel="0" collapsed="false">
      <c r="A132" s="0" t="s">
        <v>77</v>
      </c>
      <c r="B132" s="0" t="n">
        <v>2022</v>
      </c>
      <c r="C132" s="0" t="s">
        <v>60</v>
      </c>
      <c r="D132" s="0" t="n">
        <v>4149413</v>
      </c>
      <c r="E132" s="0" t="n">
        <v>1</v>
      </c>
      <c r="F132" s="0" t="s">
        <v>437</v>
      </c>
      <c r="G132" s="0" t="s">
        <v>7040</v>
      </c>
      <c r="I132" s="0" t="s">
        <v>645</v>
      </c>
    </row>
    <row r="133" customFormat="false" ht="15" hidden="false" customHeight="false" outlineLevel="0" collapsed="false">
      <c r="A133" s="0" t="s">
        <v>77</v>
      </c>
      <c r="B133" s="0" t="n">
        <v>2022</v>
      </c>
      <c r="C133" s="0" t="s">
        <v>61</v>
      </c>
      <c r="D133" s="0" t="n">
        <v>65061</v>
      </c>
      <c r="E133" s="0" t="n">
        <v>1</v>
      </c>
      <c r="F133" s="0" t="s">
        <v>437</v>
      </c>
      <c r="G133" s="0" t="s">
        <v>7040</v>
      </c>
      <c r="I133" s="0" t="s">
        <v>646</v>
      </c>
    </row>
    <row r="134" customFormat="false" ht="15" hidden="false" customHeight="false" outlineLevel="0" collapsed="false">
      <c r="A134" s="0" t="s">
        <v>77</v>
      </c>
      <c r="B134" s="0" t="n">
        <v>2022</v>
      </c>
      <c r="C134" s="0" t="s">
        <v>62</v>
      </c>
      <c r="D134" s="0" t="n">
        <v>4084352</v>
      </c>
      <c r="E134" s="0" t="n">
        <v>1</v>
      </c>
      <c r="F134" s="0" t="s">
        <v>437</v>
      </c>
      <c r="G134" s="0" t="s">
        <v>7040</v>
      </c>
      <c r="I134" s="0" t="s">
        <v>647</v>
      </c>
    </row>
    <row r="135" customFormat="false" ht="15" hidden="false" customHeight="false" outlineLevel="0" collapsed="false">
      <c r="A135" s="0" t="s">
        <v>77</v>
      </c>
      <c r="B135" s="0" t="n">
        <v>2022</v>
      </c>
      <c r="C135" s="0" t="s">
        <v>63</v>
      </c>
      <c r="D135" s="0" t="n">
        <v>118681</v>
      </c>
      <c r="E135" s="0" t="n">
        <v>1</v>
      </c>
      <c r="F135" s="0" t="s">
        <v>437</v>
      </c>
      <c r="G135" s="0" t="s">
        <v>7040</v>
      </c>
      <c r="I135" s="0" t="s">
        <v>648</v>
      </c>
    </row>
    <row r="136" customFormat="false" ht="15" hidden="false" customHeight="false" outlineLevel="0" collapsed="false">
      <c r="A136" s="0" t="s">
        <v>77</v>
      </c>
      <c r="B136" s="0" t="n">
        <v>2022</v>
      </c>
      <c r="C136" s="0" t="s">
        <v>69</v>
      </c>
      <c r="D136" s="0" t="n">
        <v>17.85</v>
      </c>
      <c r="E136" s="0" t="n">
        <v>1</v>
      </c>
      <c r="F136" s="0" t="s">
        <v>437</v>
      </c>
      <c r="G136" s="0" t="s">
        <v>7040</v>
      </c>
      <c r="I136" s="0" t="s">
        <v>649</v>
      </c>
    </row>
    <row r="137" customFormat="false" ht="15" hidden="false" customHeight="false" outlineLevel="0" collapsed="false">
      <c r="A137" s="0" t="s">
        <v>77</v>
      </c>
      <c r="B137" s="0" t="n">
        <v>2022</v>
      </c>
      <c r="C137" s="0" t="s">
        <v>65</v>
      </c>
      <c r="D137" s="0" t="n">
        <v>863711</v>
      </c>
      <c r="E137" s="0" t="n">
        <v>1</v>
      </c>
      <c r="F137" s="0" t="s">
        <v>437</v>
      </c>
      <c r="G137" s="0" t="s">
        <v>7040</v>
      </c>
      <c r="I137" s="0" t="s">
        <v>650</v>
      </c>
    </row>
    <row r="138" customFormat="false" ht="15" hidden="false" customHeight="false" outlineLevel="0" collapsed="false">
      <c r="A138" s="0" t="s">
        <v>77</v>
      </c>
      <c r="B138" s="0" t="n">
        <v>2022</v>
      </c>
      <c r="C138" s="0" t="s">
        <v>66</v>
      </c>
      <c r="D138" s="0" t="n">
        <v>4839820</v>
      </c>
      <c r="E138" s="0" t="n">
        <v>1</v>
      </c>
      <c r="F138" s="0" t="s">
        <v>437</v>
      </c>
      <c r="G138" s="0" t="s">
        <v>7040</v>
      </c>
      <c r="I138" s="0" t="s">
        <v>651</v>
      </c>
    </row>
    <row r="139" customFormat="false" ht="15" hidden="false" customHeight="false" outlineLevel="0" collapsed="false">
      <c r="A139" s="0" t="s">
        <v>77</v>
      </c>
      <c r="B139" s="0" t="n">
        <v>2022</v>
      </c>
      <c r="C139" s="0" t="s">
        <v>541</v>
      </c>
      <c r="D139" s="0" t="n">
        <v>162709</v>
      </c>
      <c r="E139" s="0" t="n">
        <v>1</v>
      </c>
      <c r="F139" s="0" t="s">
        <v>437</v>
      </c>
      <c r="G139" s="0" t="s">
        <v>7040</v>
      </c>
      <c r="I139" s="0" t="s">
        <v>652</v>
      </c>
    </row>
    <row r="140" customFormat="false" ht="15" hidden="false" customHeight="false" outlineLevel="0" collapsed="false">
      <c r="A140" s="0" t="s">
        <v>100</v>
      </c>
      <c r="B140" s="0" t="n">
        <v>2013</v>
      </c>
      <c r="C140" s="0" t="s">
        <v>54</v>
      </c>
      <c r="D140" s="0" t="n">
        <v>11658</v>
      </c>
      <c r="E140" s="0" t="n">
        <v>1</v>
      </c>
      <c r="F140" s="0" t="s">
        <v>437</v>
      </c>
      <c r="G140" s="0" t="s">
        <v>7040</v>
      </c>
      <c r="I140" s="0" t="s">
        <v>653</v>
      </c>
    </row>
    <row r="141" customFormat="false" ht="15" hidden="false" customHeight="false" outlineLevel="0" collapsed="false">
      <c r="A141" s="0" t="s">
        <v>100</v>
      </c>
      <c r="B141" s="0" t="n">
        <v>2013</v>
      </c>
      <c r="C141" s="0" t="s">
        <v>55</v>
      </c>
      <c r="D141" s="0" t="n">
        <v>1460811</v>
      </c>
      <c r="E141" s="0" t="n">
        <v>1</v>
      </c>
      <c r="F141" s="0" t="s">
        <v>437</v>
      </c>
      <c r="G141" s="0" t="s">
        <v>7040</v>
      </c>
      <c r="I141" s="0" t="s">
        <v>654</v>
      </c>
    </row>
    <row r="142" customFormat="false" ht="15" hidden="false" customHeight="false" outlineLevel="0" collapsed="false">
      <c r="A142" s="0" t="s">
        <v>100</v>
      </c>
      <c r="B142" s="0" t="n">
        <v>2013</v>
      </c>
      <c r="C142" s="0" t="s">
        <v>56</v>
      </c>
      <c r="D142" s="0" t="n">
        <v>1304183</v>
      </c>
      <c r="E142" s="0" t="n">
        <v>1</v>
      </c>
      <c r="F142" s="0" t="s">
        <v>437</v>
      </c>
      <c r="G142" s="0" t="s">
        <v>7040</v>
      </c>
      <c r="I142" s="0" t="s">
        <v>655</v>
      </c>
    </row>
    <row r="143" customFormat="false" ht="15" hidden="false" customHeight="false" outlineLevel="0" collapsed="false">
      <c r="A143" s="0" t="s">
        <v>100</v>
      </c>
      <c r="B143" s="0" t="n">
        <v>2013</v>
      </c>
      <c r="C143" s="0" t="s">
        <v>57</v>
      </c>
      <c r="D143" s="0" t="n">
        <v>156628</v>
      </c>
      <c r="E143" s="0" t="n">
        <v>1</v>
      </c>
      <c r="F143" s="0" t="s">
        <v>437</v>
      </c>
      <c r="G143" s="0" t="s">
        <v>7040</v>
      </c>
      <c r="I143" s="0" t="s">
        <v>656</v>
      </c>
    </row>
    <row r="144" customFormat="false" ht="15" hidden="false" customHeight="false" outlineLevel="0" collapsed="false">
      <c r="A144" s="0" t="s">
        <v>100</v>
      </c>
      <c r="B144" s="0" t="n">
        <v>2013</v>
      </c>
      <c r="C144" s="0" t="s">
        <v>58</v>
      </c>
      <c r="D144" s="0" t="n">
        <v>4606</v>
      </c>
      <c r="E144" s="0" t="n">
        <v>1</v>
      </c>
      <c r="F144" s="0" t="s">
        <v>437</v>
      </c>
      <c r="G144" s="0" t="s">
        <v>7040</v>
      </c>
      <c r="I144" s="0" t="s">
        <v>657</v>
      </c>
    </row>
    <row r="145" customFormat="false" ht="15" hidden="false" customHeight="false" outlineLevel="0" collapsed="false">
      <c r="A145" s="0" t="s">
        <v>100</v>
      </c>
      <c r="B145" s="0" t="n">
        <v>2013</v>
      </c>
      <c r="C145" s="0" t="s">
        <v>59</v>
      </c>
      <c r="D145" s="0" t="n">
        <v>1325315</v>
      </c>
      <c r="E145" s="0" t="n">
        <v>1</v>
      </c>
      <c r="F145" s="0" t="s">
        <v>437</v>
      </c>
      <c r="G145" s="0" t="s">
        <v>7040</v>
      </c>
      <c r="I145" s="0" t="s">
        <v>658</v>
      </c>
    </row>
    <row r="146" customFormat="false" ht="15" hidden="false" customHeight="false" outlineLevel="0" collapsed="false">
      <c r="A146" s="0" t="s">
        <v>100</v>
      </c>
      <c r="B146" s="0" t="n">
        <v>2013</v>
      </c>
      <c r="C146" s="0" t="s">
        <v>60</v>
      </c>
      <c r="D146" s="0" t="n">
        <v>660730</v>
      </c>
      <c r="E146" s="0" t="n">
        <v>1</v>
      </c>
      <c r="F146" s="0" t="s">
        <v>437</v>
      </c>
      <c r="G146" s="0" t="s">
        <v>7040</v>
      </c>
      <c r="I146" s="0" t="s">
        <v>659</v>
      </c>
    </row>
    <row r="147" customFormat="false" ht="15" hidden="false" customHeight="false" outlineLevel="0" collapsed="false">
      <c r="A147" s="0" t="s">
        <v>100</v>
      </c>
      <c r="B147" s="0" t="n">
        <v>2013</v>
      </c>
      <c r="C147" s="0" t="s">
        <v>61</v>
      </c>
      <c r="D147" s="0" t="n">
        <v>34823</v>
      </c>
      <c r="E147" s="0" t="n">
        <v>1</v>
      </c>
      <c r="F147" s="0" t="s">
        <v>437</v>
      </c>
      <c r="G147" s="0" t="s">
        <v>7040</v>
      </c>
      <c r="I147" s="0" t="s">
        <v>660</v>
      </c>
    </row>
    <row r="148" customFormat="false" ht="15" hidden="false" customHeight="false" outlineLevel="0" collapsed="false">
      <c r="A148" s="0" t="s">
        <v>100</v>
      </c>
      <c r="B148" s="0" t="n">
        <v>2013</v>
      </c>
      <c r="C148" s="0" t="s">
        <v>62</v>
      </c>
      <c r="D148" s="0" t="n">
        <v>625907</v>
      </c>
      <c r="E148" s="0" t="n">
        <v>1</v>
      </c>
      <c r="F148" s="0" t="s">
        <v>437</v>
      </c>
      <c r="G148" s="0" t="s">
        <v>7040</v>
      </c>
      <c r="I148" s="0" t="s">
        <v>661</v>
      </c>
    </row>
    <row r="149" customFormat="false" ht="15" hidden="false" customHeight="false" outlineLevel="0" collapsed="false">
      <c r="A149" s="0" t="s">
        <v>100</v>
      </c>
      <c r="B149" s="0" t="n">
        <v>2013</v>
      </c>
      <c r="C149" s="0" t="s">
        <v>63</v>
      </c>
      <c r="D149" s="0" t="n">
        <v>32606</v>
      </c>
      <c r="E149" s="0" t="n">
        <v>1</v>
      </c>
      <c r="F149" s="0" t="s">
        <v>437</v>
      </c>
      <c r="G149" s="0" t="s">
        <v>7040</v>
      </c>
      <c r="I149" s="0" t="s">
        <v>662</v>
      </c>
    </row>
    <row r="150" customFormat="false" ht="15" hidden="false" customHeight="false" outlineLevel="0" collapsed="false">
      <c r="A150" s="0" t="s">
        <v>100</v>
      </c>
      <c r="B150" s="0" t="n">
        <v>2013</v>
      </c>
      <c r="C150" s="0" t="s">
        <v>69</v>
      </c>
      <c r="D150" s="0" t="n">
        <v>17</v>
      </c>
      <c r="E150" s="0" t="n">
        <v>1</v>
      </c>
      <c r="F150" s="0" t="s">
        <v>437</v>
      </c>
      <c r="G150" s="0" t="s">
        <v>7040</v>
      </c>
      <c r="I150" s="0" t="s">
        <v>663</v>
      </c>
    </row>
    <row r="151" customFormat="false" ht="15" hidden="false" customHeight="false" outlineLevel="0" collapsed="false">
      <c r="A151" s="0" t="s">
        <v>100</v>
      </c>
      <c r="B151" s="0" t="n">
        <v>2013</v>
      </c>
      <c r="C151" s="0" t="s">
        <v>65</v>
      </c>
      <c r="D151" s="0" t="n">
        <v>165746</v>
      </c>
      <c r="E151" s="0" t="n">
        <v>1</v>
      </c>
      <c r="F151" s="0" t="s">
        <v>437</v>
      </c>
      <c r="G151" s="0" t="s">
        <v>7040</v>
      </c>
      <c r="I151" s="0" t="s">
        <v>664</v>
      </c>
    </row>
    <row r="152" customFormat="false" ht="15" hidden="false" customHeight="false" outlineLevel="0" collapsed="false">
      <c r="A152" s="0" t="s">
        <v>100</v>
      </c>
      <c r="B152" s="0" t="n">
        <v>2013</v>
      </c>
      <c r="C152" s="0" t="s">
        <v>66</v>
      </c>
      <c r="D152" s="0" t="n">
        <v>953338</v>
      </c>
      <c r="E152" s="0" t="n">
        <v>1</v>
      </c>
      <c r="F152" s="0" t="s">
        <v>437</v>
      </c>
      <c r="G152" s="0" t="s">
        <v>7040</v>
      </c>
      <c r="I152" s="0" t="s">
        <v>665</v>
      </c>
    </row>
    <row r="153" customFormat="false" ht="15" hidden="false" customHeight="false" outlineLevel="0" collapsed="false">
      <c r="A153" s="0" t="s">
        <v>100</v>
      </c>
      <c r="B153" s="0" t="n">
        <v>2013</v>
      </c>
      <c r="C153" s="0" t="s">
        <v>73</v>
      </c>
      <c r="D153" s="0" t="n">
        <v>0</v>
      </c>
      <c r="E153" s="0" t="n">
        <v>1</v>
      </c>
      <c r="F153" s="0" t="s">
        <v>437</v>
      </c>
      <c r="G153" s="0" t="s">
        <v>7040</v>
      </c>
      <c r="I153" s="0" t="s">
        <v>666</v>
      </c>
    </row>
    <row r="154" customFormat="false" ht="15" hidden="false" customHeight="false" outlineLevel="0" collapsed="false">
      <c r="A154" s="0" t="s">
        <v>100</v>
      </c>
      <c r="B154" s="0" t="n">
        <v>2013</v>
      </c>
      <c r="C154" s="0" t="s">
        <v>541</v>
      </c>
      <c r="D154" s="0" t="n">
        <v>10533</v>
      </c>
      <c r="E154" s="0" t="n">
        <v>1</v>
      </c>
      <c r="F154" s="0" t="s">
        <v>437</v>
      </c>
      <c r="G154" s="0" t="s">
        <v>7040</v>
      </c>
      <c r="I154" s="0" t="s">
        <v>667</v>
      </c>
    </row>
    <row r="155" customFormat="false" ht="15" hidden="false" customHeight="false" outlineLevel="0" collapsed="false">
      <c r="A155" s="0" t="s">
        <v>100</v>
      </c>
      <c r="B155" s="0" t="n">
        <v>2014</v>
      </c>
      <c r="C155" s="0" t="s">
        <v>54</v>
      </c>
      <c r="D155" s="0" t="n">
        <v>29733</v>
      </c>
      <c r="E155" s="0" t="n">
        <v>1</v>
      </c>
      <c r="F155" s="0" t="s">
        <v>437</v>
      </c>
      <c r="G155" s="0" t="s">
        <v>7040</v>
      </c>
      <c r="I155" s="0" t="s">
        <v>668</v>
      </c>
    </row>
    <row r="156" customFormat="false" ht="15" hidden="false" customHeight="false" outlineLevel="0" collapsed="false">
      <c r="A156" s="0" t="s">
        <v>100</v>
      </c>
      <c r="B156" s="0" t="n">
        <v>2014</v>
      </c>
      <c r="C156" s="0" t="s">
        <v>55</v>
      </c>
      <c r="D156" s="0" t="n">
        <v>1772922</v>
      </c>
      <c r="E156" s="0" t="n">
        <v>1</v>
      </c>
      <c r="F156" s="0" t="s">
        <v>437</v>
      </c>
      <c r="G156" s="0" t="s">
        <v>7040</v>
      </c>
      <c r="I156" s="0" t="s">
        <v>669</v>
      </c>
    </row>
    <row r="157" customFormat="false" ht="15" hidden="false" customHeight="false" outlineLevel="0" collapsed="false">
      <c r="A157" s="0" t="s">
        <v>100</v>
      </c>
      <c r="B157" s="0" t="n">
        <v>2014</v>
      </c>
      <c r="C157" s="0" t="s">
        <v>56</v>
      </c>
      <c r="D157" s="0" t="n">
        <v>1574528</v>
      </c>
      <c r="E157" s="0" t="n">
        <v>1</v>
      </c>
      <c r="F157" s="0" t="s">
        <v>437</v>
      </c>
      <c r="G157" s="0" t="s">
        <v>7040</v>
      </c>
      <c r="I157" s="0" t="s">
        <v>670</v>
      </c>
    </row>
    <row r="158" customFormat="false" ht="15" hidden="false" customHeight="false" outlineLevel="0" collapsed="false">
      <c r="A158" s="0" t="s">
        <v>100</v>
      </c>
      <c r="B158" s="0" t="n">
        <v>2014</v>
      </c>
      <c r="C158" s="0" t="s">
        <v>57</v>
      </c>
      <c r="D158" s="0" t="n">
        <v>198394</v>
      </c>
      <c r="E158" s="0" t="n">
        <v>1</v>
      </c>
      <c r="F158" s="0" t="s">
        <v>437</v>
      </c>
      <c r="G158" s="0" t="s">
        <v>7040</v>
      </c>
      <c r="I158" s="0" t="s">
        <v>671</v>
      </c>
    </row>
    <row r="159" customFormat="false" ht="15" hidden="false" customHeight="false" outlineLevel="0" collapsed="false">
      <c r="A159" s="0" t="s">
        <v>100</v>
      </c>
      <c r="B159" s="0" t="n">
        <v>2014</v>
      </c>
      <c r="C159" s="0" t="s">
        <v>58</v>
      </c>
      <c r="D159" s="0" t="n">
        <v>-110701</v>
      </c>
      <c r="E159" s="0" t="n">
        <v>1</v>
      </c>
      <c r="F159" s="0" t="s">
        <v>437</v>
      </c>
      <c r="G159" s="0" t="s">
        <v>7040</v>
      </c>
      <c r="I159" s="0" t="s">
        <v>672</v>
      </c>
    </row>
    <row r="160" customFormat="false" ht="15" hidden="false" customHeight="false" outlineLevel="0" collapsed="false">
      <c r="A160" s="0" t="s">
        <v>100</v>
      </c>
      <c r="B160" s="0" t="n">
        <v>2014</v>
      </c>
      <c r="C160" s="0" t="s">
        <v>59</v>
      </c>
      <c r="D160" s="0" t="n">
        <v>1460811</v>
      </c>
      <c r="E160" s="0" t="n">
        <v>1</v>
      </c>
      <c r="F160" s="0" t="s">
        <v>437</v>
      </c>
      <c r="G160" s="0" t="s">
        <v>7040</v>
      </c>
      <c r="I160" s="0" t="s">
        <v>673</v>
      </c>
    </row>
    <row r="161" customFormat="false" ht="15" hidden="false" customHeight="false" outlineLevel="0" collapsed="false">
      <c r="A161" s="0" t="s">
        <v>100</v>
      </c>
      <c r="B161" s="0" t="n">
        <v>2014</v>
      </c>
      <c r="C161" s="0" t="s">
        <v>60</v>
      </c>
      <c r="D161" s="0" t="n">
        <v>930956</v>
      </c>
      <c r="E161" s="0" t="n">
        <v>1</v>
      </c>
      <c r="F161" s="0" t="s">
        <v>437</v>
      </c>
      <c r="G161" s="0" t="s">
        <v>7040</v>
      </c>
      <c r="I161" s="0" t="s">
        <v>674</v>
      </c>
    </row>
    <row r="162" customFormat="false" ht="15" hidden="false" customHeight="false" outlineLevel="0" collapsed="false">
      <c r="A162" s="0" t="s">
        <v>100</v>
      </c>
      <c r="B162" s="0" t="n">
        <v>2014</v>
      </c>
      <c r="C162" s="0" t="s">
        <v>61</v>
      </c>
      <c r="D162" s="0" t="n">
        <v>38235</v>
      </c>
      <c r="E162" s="0" t="n">
        <v>1</v>
      </c>
      <c r="F162" s="0" t="s">
        <v>437</v>
      </c>
      <c r="G162" s="0" t="s">
        <v>7040</v>
      </c>
      <c r="I162" s="0" t="s">
        <v>675</v>
      </c>
    </row>
    <row r="163" customFormat="false" ht="15" hidden="false" customHeight="false" outlineLevel="0" collapsed="false">
      <c r="A163" s="0" t="s">
        <v>100</v>
      </c>
      <c r="B163" s="0" t="n">
        <v>2014</v>
      </c>
      <c r="C163" s="0" t="s">
        <v>62</v>
      </c>
      <c r="D163" s="0" t="n">
        <v>892721</v>
      </c>
      <c r="E163" s="0" t="n">
        <v>1</v>
      </c>
      <c r="F163" s="0" t="s">
        <v>437</v>
      </c>
      <c r="G163" s="0" t="s">
        <v>7040</v>
      </c>
      <c r="I163" s="0" t="s">
        <v>676</v>
      </c>
    </row>
    <row r="164" customFormat="false" ht="15" hidden="false" customHeight="false" outlineLevel="0" collapsed="false">
      <c r="A164" s="0" t="s">
        <v>100</v>
      </c>
      <c r="B164" s="0" t="n">
        <v>2014</v>
      </c>
      <c r="C164" s="0" t="s">
        <v>63</v>
      </c>
      <c r="D164" s="0" t="n">
        <v>32994</v>
      </c>
      <c r="E164" s="0" t="n">
        <v>1</v>
      </c>
      <c r="F164" s="0" t="s">
        <v>437</v>
      </c>
      <c r="G164" s="0" t="s">
        <v>7040</v>
      </c>
      <c r="I164" s="0" t="s">
        <v>677</v>
      </c>
    </row>
    <row r="165" customFormat="false" ht="15" hidden="false" customHeight="false" outlineLevel="0" collapsed="false">
      <c r="A165" s="0" t="s">
        <v>100</v>
      </c>
      <c r="B165" s="0" t="n">
        <v>2014</v>
      </c>
      <c r="C165" s="0" t="s">
        <v>69</v>
      </c>
      <c r="D165" s="0" t="n">
        <v>16</v>
      </c>
      <c r="E165" s="0" t="n">
        <v>1</v>
      </c>
      <c r="F165" s="0" t="s">
        <v>437</v>
      </c>
      <c r="G165" s="0" t="s">
        <v>7040</v>
      </c>
      <c r="I165" s="0" t="s">
        <v>678</v>
      </c>
    </row>
    <row r="166" customFormat="false" ht="15" hidden="false" customHeight="false" outlineLevel="0" collapsed="false">
      <c r="A166" s="0" t="s">
        <v>100</v>
      </c>
      <c r="B166" s="0" t="n">
        <v>2014</v>
      </c>
      <c r="C166" s="0" t="s">
        <v>65</v>
      </c>
      <c r="D166" s="0" t="n">
        <v>239281</v>
      </c>
      <c r="E166" s="0" t="n">
        <v>1</v>
      </c>
      <c r="F166" s="0" t="s">
        <v>437</v>
      </c>
      <c r="G166" s="0" t="s">
        <v>7040</v>
      </c>
      <c r="I166" s="0" t="s">
        <v>679</v>
      </c>
    </row>
    <row r="167" customFormat="false" ht="15" hidden="false" customHeight="false" outlineLevel="0" collapsed="false">
      <c r="A167" s="0" t="s">
        <v>100</v>
      </c>
      <c r="B167" s="0" t="n">
        <v>2014</v>
      </c>
      <c r="C167" s="0" t="s">
        <v>66</v>
      </c>
      <c r="D167" s="0" t="n">
        <v>1492373</v>
      </c>
      <c r="E167" s="0" t="n">
        <v>1</v>
      </c>
      <c r="F167" s="0" t="s">
        <v>437</v>
      </c>
      <c r="G167" s="0" t="s">
        <v>7040</v>
      </c>
      <c r="I167" s="0" t="s">
        <v>680</v>
      </c>
    </row>
    <row r="168" customFormat="false" ht="15" hidden="false" customHeight="false" outlineLevel="0" collapsed="false">
      <c r="A168" s="0" t="s">
        <v>100</v>
      </c>
      <c r="B168" s="0" t="n">
        <v>2014</v>
      </c>
      <c r="C168" s="0" t="s">
        <v>73</v>
      </c>
      <c r="D168" s="0" t="n">
        <v>0</v>
      </c>
      <c r="E168" s="0" t="n">
        <v>1</v>
      </c>
      <c r="F168" s="0" t="s">
        <v>437</v>
      </c>
      <c r="G168" s="0" t="s">
        <v>7040</v>
      </c>
      <c r="I168" s="0" t="s">
        <v>681</v>
      </c>
    </row>
    <row r="169" customFormat="false" ht="15" hidden="false" customHeight="false" outlineLevel="0" collapsed="false">
      <c r="A169" s="0" t="s">
        <v>100</v>
      </c>
      <c r="B169" s="0" t="n">
        <v>2014</v>
      </c>
      <c r="C169" s="0" t="s">
        <v>541</v>
      </c>
      <c r="D169" s="0" t="n">
        <v>28663</v>
      </c>
      <c r="E169" s="0" t="n">
        <v>1</v>
      </c>
      <c r="F169" s="0" t="s">
        <v>437</v>
      </c>
      <c r="G169" s="0" t="s">
        <v>7040</v>
      </c>
      <c r="I169" s="0" t="s">
        <v>682</v>
      </c>
    </row>
    <row r="170" customFormat="false" ht="15" hidden="false" customHeight="false" outlineLevel="0" collapsed="false">
      <c r="A170" s="0" t="s">
        <v>100</v>
      </c>
      <c r="B170" s="0" t="n">
        <v>2015</v>
      </c>
      <c r="C170" s="0" t="s">
        <v>54</v>
      </c>
      <c r="D170" s="0" t="n">
        <v>11304</v>
      </c>
      <c r="E170" s="0" t="n">
        <v>1</v>
      </c>
      <c r="F170" s="0" t="s">
        <v>437</v>
      </c>
      <c r="G170" s="0" t="s">
        <v>7040</v>
      </c>
      <c r="I170" s="0" t="s">
        <v>683</v>
      </c>
    </row>
    <row r="171" customFormat="false" ht="15" hidden="false" customHeight="false" outlineLevel="0" collapsed="false">
      <c r="A171" s="0" t="s">
        <v>100</v>
      </c>
      <c r="B171" s="0" t="n">
        <v>2015</v>
      </c>
      <c r="C171" s="0" t="s">
        <v>55</v>
      </c>
      <c r="D171" s="0" t="n">
        <v>1794348</v>
      </c>
      <c r="E171" s="0" t="n">
        <v>1</v>
      </c>
      <c r="F171" s="0" t="s">
        <v>437</v>
      </c>
      <c r="G171" s="0" t="s">
        <v>7040</v>
      </c>
      <c r="I171" s="0" t="s">
        <v>684</v>
      </c>
    </row>
    <row r="172" customFormat="false" ht="15" hidden="false" customHeight="false" outlineLevel="0" collapsed="false">
      <c r="A172" s="0" t="s">
        <v>100</v>
      </c>
      <c r="B172" s="0" t="n">
        <v>2015</v>
      </c>
      <c r="C172" s="0" t="s">
        <v>56</v>
      </c>
      <c r="D172" s="0" t="n">
        <v>1566561</v>
      </c>
      <c r="E172" s="0" t="n">
        <v>1</v>
      </c>
      <c r="F172" s="0" t="s">
        <v>437</v>
      </c>
      <c r="G172" s="0" t="s">
        <v>7040</v>
      </c>
      <c r="I172" s="0" t="s">
        <v>685</v>
      </c>
    </row>
    <row r="173" customFormat="false" ht="15" hidden="false" customHeight="false" outlineLevel="0" collapsed="false">
      <c r="A173" s="0" t="s">
        <v>100</v>
      </c>
      <c r="B173" s="0" t="n">
        <v>2015</v>
      </c>
      <c r="C173" s="0" t="s">
        <v>57</v>
      </c>
      <c r="D173" s="0" t="n">
        <v>227787</v>
      </c>
      <c r="E173" s="0" t="n">
        <v>1</v>
      </c>
      <c r="F173" s="0" t="s">
        <v>437</v>
      </c>
      <c r="G173" s="0" t="s">
        <v>7040</v>
      </c>
      <c r="I173" s="0" t="s">
        <v>686</v>
      </c>
    </row>
    <row r="174" customFormat="false" ht="15" hidden="false" customHeight="false" outlineLevel="0" collapsed="false">
      <c r="A174" s="0" t="s">
        <v>100</v>
      </c>
      <c r="B174" s="0" t="n">
        <v>2015</v>
      </c>
      <c r="C174" s="0" t="s">
        <v>58</v>
      </c>
      <c r="D174" s="0" t="n">
        <v>24229</v>
      </c>
      <c r="E174" s="0" t="n">
        <v>1</v>
      </c>
      <c r="F174" s="0" t="s">
        <v>437</v>
      </c>
      <c r="G174" s="0" t="s">
        <v>7040</v>
      </c>
      <c r="I174" s="0" t="s">
        <v>687</v>
      </c>
    </row>
    <row r="175" customFormat="false" ht="15" hidden="false" customHeight="false" outlineLevel="0" collapsed="false">
      <c r="A175" s="0" t="s">
        <v>100</v>
      </c>
      <c r="B175" s="0" t="n">
        <v>2015</v>
      </c>
      <c r="C175" s="0" t="s">
        <v>59</v>
      </c>
      <c r="D175" s="0" t="n">
        <v>1772922</v>
      </c>
      <c r="E175" s="0" t="n">
        <v>1</v>
      </c>
      <c r="F175" s="0" t="s">
        <v>437</v>
      </c>
      <c r="G175" s="0" t="s">
        <v>7040</v>
      </c>
      <c r="I175" s="0" t="s">
        <v>688</v>
      </c>
    </row>
    <row r="176" customFormat="false" ht="15" hidden="false" customHeight="false" outlineLevel="0" collapsed="false">
      <c r="A176" s="0" t="s">
        <v>100</v>
      </c>
      <c r="B176" s="0" t="n">
        <v>2015</v>
      </c>
      <c r="C176" s="0" t="s">
        <v>60</v>
      </c>
      <c r="D176" s="0" t="n">
        <v>885701</v>
      </c>
      <c r="E176" s="0" t="n">
        <v>1</v>
      </c>
      <c r="F176" s="0" t="s">
        <v>437</v>
      </c>
      <c r="G176" s="0" t="s">
        <v>7040</v>
      </c>
      <c r="I176" s="0" t="s">
        <v>689</v>
      </c>
    </row>
    <row r="177" customFormat="false" ht="15" hidden="false" customHeight="false" outlineLevel="0" collapsed="false">
      <c r="A177" s="0" t="s">
        <v>100</v>
      </c>
      <c r="B177" s="0" t="n">
        <v>2015</v>
      </c>
      <c r="C177" s="0" t="s">
        <v>61</v>
      </c>
      <c r="D177" s="0" t="n">
        <v>68353</v>
      </c>
      <c r="E177" s="0" t="n">
        <v>1</v>
      </c>
      <c r="F177" s="0" t="s">
        <v>437</v>
      </c>
      <c r="G177" s="0" t="s">
        <v>7040</v>
      </c>
      <c r="I177" s="0" t="s">
        <v>690</v>
      </c>
    </row>
    <row r="178" customFormat="false" ht="15" hidden="false" customHeight="false" outlineLevel="0" collapsed="false">
      <c r="A178" s="0" t="s">
        <v>100</v>
      </c>
      <c r="B178" s="0" t="n">
        <v>2015</v>
      </c>
      <c r="C178" s="0" t="s">
        <v>62</v>
      </c>
      <c r="D178" s="0" t="n">
        <v>817348</v>
      </c>
      <c r="E178" s="0" t="n">
        <v>1</v>
      </c>
      <c r="F178" s="0" t="s">
        <v>437</v>
      </c>
      <c r="G178" s="0" t="s">
        <v>7040</v>
      </c>
      <c r="I178" s="0" t="s">
        <v>691</v>
      </c>
    </row>
    <row r="179" customFormat="false" ht="15" hidden="false" customHeight="false" outlineLevel="0" collapsed="false">
      <c r="A179" s="0" t="s">
        <v>100</v>
      </c>
      <c r="B179" s="0" t="n">
        <v>2015</v>
      </c>
      <c r="C179" s="0" t="s">
        <v>63</v>
      </c>
      <c r="D179" s="0" t="n">
        <v>55740</v>
      </c>
      <c r="E179" s="0" t="n">
        <v>1</v>
      </c>
      <c r="F179" s="0" t="s">
        <v>437</v>
      </c>
      <c r="G179" s="0" t="s">
        <v>7040</v>
      </c>
      <c r="I179" s="0" t="s">
        <v>692</v>
      </c>
    </row>
    <row r="180" customFormat="false" ht="15" hidden="false" customHeight="false" outlineLevel="0" collapsed="false">
      <c r="A180" s="0" t="s">
        <v>100</v>
      </c>
      <c r="B180" s="0" t="n">
        <v>2015</v>
      </c>
      <c r="C180" s="0" t="s">
        <v>69</v>
      </c>
      <c r="D180" s="0" t="n">
        <v>19</v>
      </c>
      <c r="E180" s="0" t="n">
        <v>1</v>
      </c>
      <c r="F180" s="0" t="s">
        <v>437</v>
      </c>
      <c r="G180" s="0" t="s">
        <v>7040</v>
      </c>
      <c r="I180" s="0" t="s">
        <v>693</v>
      </c>
    </row>
    <row r="181" customFormat="false" ht="15" hidden="false" customHeight="false" outlineLevel="0" collapsed="false">
      <c r="A181" s="0" t="s">
        <v>100</v>
      </c>
      <c r="B181" s="0" t="n">
        <v>2015</v>
      </c>
      <c r="C181" s="0" t="s">
        <v>65</v>
      </c>
      <c r="D181" s="0" t="n">
        <v>254109</v>
      </c>
      <c r="E181" s="0" t="n">
        <v>1</v>
      </c>
      <c r="F181" s="0" t="s">
        <v>437</v>
      </c>
      <c r="G181" s="0" t="s">
        <v>7040</v>
      </c>
      <c r="I181" s="0" t="s">
        <v>694</v>
      </c>
    </row>
    <row r="182" customFormat="false" ht="15" hidden="false" customHeight="false" outlineLevel="0" collapsed="false">
      <c r="A182" s="0" t="s">
        <v>100</v>
      </c>
      <c r="B182" s="0" t="n">
        <v>2015</v>
      </c>
      <c r="C182" s="0" t="s">
        <v>66</v>
      </c>
      <c r="D182" s="0" t="n">
        <v>1357098</v>
      </c>
      <c r="E182" s="0" t="n">
        <v>1</v>
      </c>
      <c r="F182" s="0" t="s">
        <v>437</v>
      </c>
      <c r="G182" s="0" t="s">
        <v>7040</v>
      </c>
      <c r="I182" s="0" t="s">
        <v>695</v>
      </c>
    </row>
    <row r="183" customFormat="false" ht="15" hidden="false" customHeight="false" outlineLevel="0" collapsed="false">
      <c r="A183" s="0" t="s">
        <v>100</v>
      </c>
      <c r="B183" s="0" t="n">
        <v>2015</v>
      </c>
      <c r="C183" s="0" t="s">
        <v>73</v>
      </c>
      <c r="D183" s="0" t="n">
        <v>0</v>
      </c>
      <c r="E183" s="0" t="n">
        <v>1</v>
      </c>
      <c r="F183" s="0" t="s">
        <v>437</v>
      </c>
      <c r="G183" s="0" t="s">
        <v>7040</v>
      </c>
      <c r="I183" s="0" t="s">
        <v>696</v>
      </c>
    </row>
    <row r="184" customFormat="false" ht="15" hidden="false" customHeight="false" outlineLevel="0" collapsed="false">
      <c r="A184" s="0" t="s">
        <v>100</v>
      </c>
      <c r="B184" s="0" t="n">
        <v>2015</v>
      </c>
      <c r="C184" s="0" t="s">
        <v>541</v>
      </c>
      <c r="D184" s="0" t="n">
        <v>11380</v>
      </c>
      <c r="E184" s="0" t="n">
        <v>1</v>
      </c>
      <c r="F184" s="0" t="s">
        <v>437</v>
      </c>
      <c r="G184" s="0" t="s">
        <v>7040</v>
      </c>
      <c r="I184" s="0" t="s">
        <v>697</v>
      </c>
    </row>
    <row r="185" customFormat="false" ht="15" hidden="false" customHeight="false" outlineLevel="0" collapsed="false">
      <c r="A185" s="0" t="s">
        <v>100</v>
      </c>
      <c r="B185" s="0" t="n">
        <v>2016</v>
      </c>
      <c r="C185" s="0" t="s">
        <v>54</v>
      </c>
      <c r="D185" s="0" t="n">
        <v>5780</v>
      </c>
      <c r="E185" s="0" t="n">
        <v>1</v>
      </c>
      <c r="F185" s="0" t="s">
        <v>437</v>
      </c>
      <c r="G185" s="0" t="s">
        <v>7040</v>
      </c>
      <c r="I185" s="0" t="s">
        <v>3598</v>
      </c>
    </row>
    <row r="186" customFormat="false" ht="15" hidden="false" customHeight="false" outlineLevel="0" collapsed="false">
      <c r="A186" s="0" t="s">
        <v>100</v>
      </c>
      <c r="B186" s="0" t="n">
        <v>2016</v>
      </c>
      <c r="C186" s="0" t="s">
        <v>55</v>
      </c>
      <c r="D186" s="0" t="n">
        <v>1808503</v>
      </c>
      <c r="E186" s="0" t="n">
        <v>1</v>
      </c>
      <c r="F186" s="0" t="s">
        <v>437</v>
      </c>
      <c r="G186" s="0" t="s">
        <v>7040</v>
      </c>
      <c r="I186" s="0" t="s">
        <v>3601</v>
      </c>
    </row>
    <row r="187" customFormat="false" ht="15" hidden="false" customHeight="false" outlineLevel="0" collapsed="false">
      <c r="A187" s="0" t="s">
        <v>100</v>
      </c>
      <c r="B187" s="0" t="n">
        <v>2016</v>
      </c>
      <c r="C187" s="0" t="s">
        <v>56</v>
      </c>
      <c r="D187" s="0" t="n">
        <v>1587728</v>
      </c>
      <c r="E187" s="0" t="n">
        <v>1</v>
      </c>
      <c r="F187" s="0" t="s">
        <v>437</v>
      </c>
      <c r="G187" s="0" t="s">
        <v>7040</v>
      </c>
      <c r="I187" s="0" t="s">
        <v>3602</v>
      </c>
    </row>
    <row r="188" customFormat="false" ht="15" hidden="false" customHeight="false" outlineLevel="0" collapsed="false">
      <c r="A188" s="0" t="s">
        <v>100</v>
      </c>
      <c r="B188" s="0" t="n">
        <v>2016</v>
      </c>
      <c r="C188" s="0" t="s">
        <v>57</v>
      </c>
      <c r="D188" s="0" t="n">
        <v>220775</v>
      </c>
      <c r="E188" s="0" t="n">
        <v>1</v>
      </c>
      <c r="F188" s="0" t="s">
        <v>437</v>
      </c>
      <c r="G188" s="0" t="s">
        <v>7040</v>
      </c>
      <c r="I188" s="0" t="s">
        <v>3603</v>
      </c>
    </row>
    <row r="189" customFormat="false" ht="15" hidden="false" customHeight="false" outlineLevel="0" collapsed="false">
      <c r="A189" s="0" t="s">
        <v>100</v>
      </c>
      <c r="B189" s="0" t="n">
        <v>2016</v>
      </c>
      <c r="C189" s="0" t="s">
        <v>63</v>
      </c>
      <c r="D189" s="0" t="n">
        <v>82783</v>
      </c>
      <c r="E189" s="0" t="n">
        <v>1</v>
      </c>
      <c r="F189" s="0" t="s">
        <v>437</v>
      </c>
      <c r="G189" s="0" t="s">
        <v>7040</v>
      </c>
      <c r="I189" s="0" t="s">
        <v>3600</v>
      </c>
    </row>
    <row r="190" customFormat="false" ht="15" hidden="false" customHeight="false" outlineLevel="0" collapsed="false">
      <c r="A190" s="0" t="s">
        <v>100</v>
      </c>
      <c r="B190" s="0" t="n">
        <v>2016</v>
      </c>
      <c r="C190" s="0" t="s">
        <v>327</v>
      </c>
      <c r="D190" s="0" t="n">
        <v>9.1</v>
      </c>
      <c r="E190" s="0" t="n">
        <v>1</v>
      </c>
      <c r="F190" s="0" t="s">
        <v>437</v>
      </c>
      <c r="G190" s="0" t="s">
        <v>7040</v>
      </c>
      <c r="I190" s="0" t="s">
        <v>3606</v>
      </c>
    </row>
    <row r="191" customFormat="false" ht="15" hidden="false" customHeight="false" outlineLevel="0" collapsed="false">
      <c r="A191" s="0" t="s">
        <v>100</v>
      </c>
      <c r="B191" s="0" t="n">
        <v>2017</v>
      </c>
      <c r="C191" s="0" t="s">
        <v>54</v>
      </c>
      <c r="D191" s="0" t="n">
        <v>20204</v>
      </c>
      <c r="E191" s="0" t="n">
        <v>1</v>
      </c>
      <c r="F191" s="0" t="s">
        <v>437</v>
      </c>
      <c r="G191" s="0" t="s">
        <v>7040</v>
      </c>
      <c r="I191" s="0" t="s">
        <v>3586</v>
      </c>
    </row>
    <row r="192" customFormat="false" ht="15" hidden="false" customHeight="false" outlineLevel="0" collapsed="false">
      <c r="A192" s="0" t="s">
        <v>100</v>
      </c>
      <c r="B192" s="0" t="n">
        <v>2017</v>
      </c>
      <c r="C192" s="0" t="s">
        <v>55</v>
      </c>
      <c r="D192" s="0" t="n">
        <v>1829761</v>
      </c>
      <c r="E192" s="0" t="n">
        <v>1</v>
      </c>
      <c r="F192" s="0" t="s">
        <v>437</v>
      </c>
      <c r="G192" s="0" t="s">
        <v>7040</v>
      </c>
      <c r="I192" s="0" t="s">
        <v>3592</v>
      </c>
    </row>
    <row r="193" customFormat="false" ht="15" hidden="false" customHeight="false" outlineLevel="0" collapsed="false">
      <c r="A193" s="0" t="s">
        <v>100</v>
      </c>
      <c r="B193" s="0" t="n">
        <v>2017</v>
      </c>
      <c r="C193" s="0" t="s">
        <v>56</v>
      </c>
      <c r="D193" s="0" t="n">
        <v>1562432</v>
      </c>
      <c r="E193" s="0" t="n">
        <v>1</v>
      </c>
      <c r="F193" s="0" t="s">
        <v>437</v>
      </c>
      <c r="G193" s="0" t="s">
        <v>7040</v>
      </c>
      <c r="I193" s="0" t="s">
        <v>3593</v>
      </c>
    </row>
    <row r="194" customFormat="false" ht="15" hidden="false" customHeight="false" outlineLevel="0" collapsed="false">
      <c r="A194" s="0" t="s">
        <v>100</v>
      </c>
      <c r="B194" s="0" t="n">
        <v>2017</v>
      </c>
      <c r="C194" s="0" t="s">
        <v>57</v>
      </c>
      <c r="D194" s="0" t="n">
        <v>267329</v>
      </c>
      <c r="E194" s="0" t="n">
        <v>1</v>
      </c>
      <c r="F194" s="0" t="s">
        <v>437</v>
      </c>
      <c r="G194" s="0" t="s">
        <v>7040</v>
      </c>
      <c r="I194" s="0" t="s">
        <v>3594</v>
      </c>
    </row>
    <row r="195" customFormat="false" ht="15" hidden="false" customHeight="false" outlineLevel="0" collapsed="false">
      <c r="A195" s="0" t="s">
        <v>100</v>
      </c>
      <c r="B195" s="0" t="n">
        <v>2017</v>
      </c>
      <c r="C195" s="0" t="s">
        <v>59</v>
      </c>
      <c r="D195" s="0" t="n">
        <v>1808503</v>
      </c>
      <c r="E195" s="0" t="n">
        <v>1</v>
      </c>
      <c r="F195" s="0" t="s">
        <v>437</v>
      </c>
      <c r="G195" s="0" t="s">
        <v>7041</v>
      </c>
      <c r="I195" s="0" t="s">
        <v>3601</v>
      </c>
    </row>
    <row r="196" customFormat="false" ht="15" hidden="false" customHeight="false" outlineLevel="0" collapsed="false">
      <c r="A196" s="0" t="s">
        <v>100</v>
      </c>
      <c r="B196" s="0" t="n">
        <v>2017</v>
      </c>
      <c r="C196" s="0" t="s">
        <v>63</v>
      </c>
      <c r="D196" s="0" t="n">
        <v>59901</v>
      </c>
      <c r="E196" s="0" t="n">
        <v>1</v>
      </c>
      <c r="F196" s="0" t="s">
        <v>437</v>
      </c>
      <c r="G196" s="0" t="s">
        <v>7040</v>
      </c>
      <c r="I196" s="0" t="s">
        <v>3591</v>
      </c>
    </row>
    <row r="197" customFormat="false" ht="15" hidden="false" customHeight="false" outlineLevel="0" collapsed="false">
      <c r="A197" s="0" t="s">
        <v>100</v>
      </c>
      <c r="B197" s="0" t="n">
        <v>2017</v>
      </c>
      <c r="C197" s="0" t="s">
        <v>327</v>
      </c>
      <c r="D197" s="0" t="n">
        <v>14.5</v>
      </c>
      <c r="E197" s="0" t="n">
        <v>1</v>
      </c>
      <c r="F197" s="0" t="s">
        <v>437</v>
      </c>
      <c r="G197" s="0" t="s">
        <v>7040</v>
      </c>
      <c r="I197" s="0" t="s">
        <v>3597</v>
      </c>
    </row>
    <row r="198" customFormat="false" ht="15" hidden="false" customHeight="false" outlineLevel="0" collapsed="false">
      <c r="A198" s="0" t="s">
        <v>100</v>
      </c>
      <c r="B198" s="0" t="n">
        <v>2018</v>
      </c>
      <c r="C198" s="0" t="s">
        <v>54</v>
      </c>
      <c r="D198" s="0" t="n">
        <v>27155</v>
      </c>
      <c r="E198" s="0" t="n">
        <v>1</v>
      </c>
      <c r="F198" s="0" t="s">
        <v>437</v>
      </c>
      <c r="G198" s="0" t="s">
        <v>7040</v>
      </c>
      <c r="I198" s="0" t="s">
        <v>698</v>
      </c>
    </row>
    <row r="199" customFormat="false" ht="15" hidden="false" customHeight="false" outlineLevel="0" collapsed="false">
      <c r="A199" s="0" t="s">
        <v>100</v>
      </c>
      <c r="B199" s="0" t="n">
        <v>2018</v>
      </c>
      <c r="C199" s="0" t="s">
        <v>55</v>
      </c>
      <c r="D199" s="0" t="n">
        <v>1956830</v>
      </c>
      <c r="E199" s="0" t="n">
        <v>1</v>
      </c>
      <c r="F199" s="0" t="s">
        <v>437</v>
      </c>
      <c r="G199" s="0" t="s">
        <v>7040</v>
      </c>
      <c r="I199" s="0" t="s">
        <v>700</v>
      </c>
    </row>
    <row r="200" customFormat="false" ht="15" hidden="false" customHeight="false" outlineLevel="0" collapsed="false">
      <c r="A200" s="0" t="s">
        <v>100</v>
      </c>
      <c r="B200" s="0" t="n">
        <v>2018</v>
      </c>
      <c r="C200" s="0" t="s">
        <v>56</v>
      </c>
      <c r="D200" s="0" t="n">
        <v>1709348</v>
      </c>
      <c r="E200" s="0" t="n">
        <v>1</v>
      </c>
      <c r="F200" s="0" t="s">
        <v>437</v>
      </c>
      <c r="G200" s="0" t="s">
        <v>7040</v>
      </c>
      <c r="I200" s="0" t="s">
        <v>701</v>
      </c>
    </row>
    <row r="201" customFormat="false" ht="15" hidden="false" customHeight="false" outlineLevel="0" collapsed="false">
      <c r="A201" s="0" t="s">
        <v>100</v>
      </c>
      <c r="B201" s="0" t="n">
        <v>2018</v>
      </c>
      <c r="C201" s="0" t="s">
        <v>57</v>
      </c>
      <c r="D201" s="0" t="n">
        <v>247482</v>
      </c>
      <c r="E201" s="0" t="n">
        <v>1</v>
      </c>
      <c r="F201" s="0" t="s">
        <v>437</v>
      </c>
      <c r="G201" s="0" t="s">
        <v>7040</v>
      </c>
      <c r="I201" s="0" t="s">
        <v>702</v>
      </c>
    </row>
    <row r="202" customFormat="false" ht="15" hidden="false" customHeight="false" outlineLevel="0" collapsed="false">
      <c r="A202" s="0" t="s">
        <v>100</v>
      </c>
      <c r="B202" s="0" t="n">
        <v>2018</v>
      </c>
      <c r="C202" s="0" t="s">
        <v>58</v>
      </c>
      <c r="D202" s="0" t="n">
        <v>31236</v>
      </c>
      <c r="E202" s="0" t="n">
        <v>1</v>
      </c>
      <c r="F202" s="0" t="s">
        <v>437</v>
      </c>
      <c r="G202" s="0" t="s">
        <v>7040</v>
      </c>
      <c r="I202" s="0" t="s">
        <v>703</v>
      </c>
    </row>
    <row r="203" customFormat="false" ht="15" hidden="false" customHeight="false" outlineLevel="0" collapsed="false">
      <c r="A203" s="0" t="s">
        <v>100</v>
      </c>
      <c r="B203" s="0" t="n">
        <v>2018</v>
      </c>
      <c r="C203" s="0" t="s">
        <v>59</v>
      </c>
      <c r="D203" s="0" t="n">
        <v>1829761</v>
      </c>
      <c r="E203" s="0" t="n">
        <v>1</v>
      </c>
      <c r="F203" s="0" t="s">
        <v>437</v>
      </c>
      <c r="G203" s="0" t="s">
        <v>7040</v>
      </c>
      <c r="I203" s="0" t="s">
        <v>704</v>
      </c>
    </row>
    <row r="204" customFormat="false" ht="15" hidden="false" customHeight="false" outlineLevel="0" collapsed="false">
      <c r="A204" s="0" t="s">
        <v>100</v>
      </c>
      <c r="B204" s="0" t="n">
        <v>2018</v>
      </c>
      <c r="C204" s="0" t="s">
        <v>60</v>
      </c>
      <c r="D204" s="0" t="n">
        <v>926546</v>
      </c>
      <c r="E204" s="0" t="n">
        <v>1</v>
      </c>
      <c r="F204" s="0" t="s">
        <v>437</v>
      </c>
      <c r="G204" s="0" t="s">
        <v>7040</v>
      </c>
      <c r="I204" s="0" t="s">
        <v>705</v>
      </c>
    </row>
    <row r="205" customFormat="false" ht="15" hidden="false" customHeight="false" outlineLevel="0" collapsed="false">
      <c r="A205" s="0" t="s">
        <v>100</v>
      </c>
      <c r="B205" s="0" t="n">
        <v>2018</v>
      </c>
      <c r="C205" s="0" t="s">
        <v>61</v>
      </c>
      <c r="D205" s="0" t="n">
        <v>84071</v>
      </c>
      <c r="E205" s="0" t="n">
        <v>1</v>
      </c>
      <c r="F205" s="0" t="s">
        <v>437</v>
      </c>
      <c r="G205" s="0" t="s">
        <v>7040</v>
      </c>
      <c r="I205" s="0" t="s">
        <v>706</v>
      </c>
    </row>
    <row r="206" customFormat="false" ht="15" hidden="false" customHeight="false" outlineLevel="0" collapsed="false">
      <c r="A206" s="0" t="s">
        <v>100</v>
      </c>
      <c r="B206" s="0" t="n">
        <v>2018</v>
      </c>
      <c r="C206" s="0" t="s">
        <v>62</v>
      </c>
      <c r="D206" s="0" t="n">
        <v>842475</v>
      </c>
      <c r="E206" s="0" t="n">
        <v>1</v>
      </c>
      <c r="F206" s="0" t="s">
        <v>437</v>
      </c>
      <c r="G206" s="0" t="s">
        <v>7040</v>
      </c>
      <c r="I206" s="0" t="s">
        <v>707</v>
      </c>
    </row>
    <row r="207" customFormat="false" ht="15" hidden="false" customHeight="false" outlineLevel="0" collapsed="false">
      <c r="A207" s="0" t="s">
        <v>100</v>
      </c>
      <c r="B207" s="0" t="n">
        <v>2018</v>
      </c>
      <c r="C207" s="0" t="s">
        <v>63</v>
      </c>
      <c r="D207" s="0" t="n">
        <v>27360</v>
      </c>
      <c r="E207" s="0" t="n">
        <v>1</v>
      </c>
      <c r="F207" s="0" t="s">
        <v>437</v>
      </c>
      <c r="G207" s="0" t="s">
        <v>7040</v>
      </c>
      <c r="I207" s="0" t="s">
        <v>708</v>
      </c>
    </row>
    <row r="208" customFormat="false" ht="15" hidden="false" customHeight="false" outlineLevel="0" collapsed="false">
      <c r="A208" s="0" t="s">
        <v>100</v>
      </c>
      <c r="B208" s="0" t="n">
        <v>2018</v>
      </c>
      <c r="C208" s="0" t="s">
        <v>64</v>
      </c>
      <c r="D208" s="0" t="n">
        <v>126844</v>
      </c>
      <c r="E208" s="0" t="n">
        <v>1</v>
      </c>
      <c r="F208" s="0" t="s">
        <v>437</v>
      </c>
      <c r="G208" s="0" t="s">
        <v>7040</v>
      </c>
      <c r="I208" s="0" t="s">
        <v>709</v>
      </c>
    </row>
    <row r="209" customFormat="false" ht="15" hidden="false" customHeight="false" outlineLevel="0" collapsed="false">
      <c r="A209" s="0" t="s">
        <v>100</v>
      </c>
      <c r="B209" s="0" t="n">
        <v>2018</v>
      </c>
      <c r="C209" s="0" t="s">
        <v>69</v>
      </c>
      <c r="D209" s="0" t="n">
        <v>14.3</v>
      </c>
      <c r="E209" s="0" t="n">
        <v>1</v>
      </c>
      <c r="F209" s="0" t="s">
        <v>437</v>
      </c>
      <c r="G209" s="0" t="s">
        <v>7040</v>
      </c>
      <c r="I209" s="0" t="s">
        <v>710</v>
      </c>
    </row>
    <row r="210" customFormat="false" ht="15" hidden="false" customHeight="false" outlineLevel="0" collapsed="false">
      <c r="A210" s="0" t="s">
        <v>100</v>
      </c>
      <c r="B210" s="0" t="n">
        <v>2018</v>
      </c>
      <c r="C210" s="0" t="s">
        <v>614</v>
      </c>
      <c r="D210" s="0" t="n">
        <v>14.3</v>
      </c>
      <c r="E210" s="0" t="n">
        <v>1</v>
      </c>
      <c r="F210" s="0" t="s">
        <v>437</v>
      </c>
      <c r="G210" s="0" t="s">
        <v>7040</v>
      </c>
      <c r="I210" s="0" t="s">
        <v>711</v>
      </c>
    </row>
    <row r="211" customFormat="false" ht="15" hidden="false" customHeight="false" outlineLevel="0" collapsed="false">
      <c r="A211" s="0" t="s">
        <v>100</v>
      </c>
      <c r="B211" s="0" t="n">
        <v>2018</v>
      </c>
      <c r="C211" s="0" t="s">
        <v>65</v>
      </c>
      <c r="D211" s="0" t="n">
        <v>205312</v>
      </c>
      <c r="E211" s="0" t="n">
        <v>1</v>
      </c>
      <c r="F211" s="0" t="s">
        <v>437</v>
      </c>
      <c r="G211" s="0" t="s">
        <v>7040</v>
      </c>
      <c r="I211" s="0" t="s">
        <v>712</v>
      </c>
    </row>
    <row r="212" customFormat="false" ht="15" hidden="false" customHeight="false" outlineLevel="0" collapsed="false">
      <c r="A212" s="0" t="s">
        <v>100</v>
      </c>
      <c r="B212" s="0" t="n">
        <v>2018</v>
      </c>
      <c r="C212" s="0" t="s">
        <v>66</v>
      </c>
      <c r="D212" s="0" t="n">
        <v>1433545</v>
      </c>
      <c r="E212" s="0" t="n">
        <v>1</v>
      </c>
      <c r="F212" s="0" t="s">
        <v>437</v>
      </c>
      <c r="G212" s="0" t="s">
        <v>7040</v>
      </c>
      <c r="I212" s="0" t="s">
        <v>713</v>
      </c>
    </row>
    <row r="213" customFormat="false" ht="15" hidden="false" customHeight="false" outlineLevel="0" collapsed="false">
      <c r="A213" s="0" t="s">
        <v>100</v>
      </c>
      <c r="B213" s="0" t="n">
        <v>2018</v>
      </c>
      <c r="C213" s="0" t="s">
        <v>73</v>
      </c>
      <c r="D213" s="0" t="n">
        <v>0</v>
      </c>
      <c r="E213" s="0" t="n">
        <v>1</v>
      </c>
      <c r="F213" s="0" t="s">
        <v>437</v>
      </c>
      <c r="G213" s="0" t="s">
        <v>7040</v>
      </c>
      <c r="I213" s="0" t="s">
        <v>714</v>
      </c>
    </row>
    <row r="214" customFormat="false" ht="15" hidden="false" customHeight="false" outlineLevel="0" collapsed="false">
      <c r="A214" s="0" t="s">
        <v>100</v>
      </c>
      <c r="B214" s="0" t="n">
        <v>2018</v>
      </c>
      <c r="C214" s="0" t="s">
        <v>541</v>
      </c>
      <c r="D214" s="0" t="n">
        <v>27521</v>
      </c>
      <c r="E214" s="0" t="n">
        <v>1</v>
      </c>
      <c r="F214" s="0" t="s">
        <v>437</v>
      </c>
      <c r="G214" s="0" t="s">
        <v>7040</v>
      </c>
      <c r="I214" s="0" t="s">
        <v>715</v>
      </c>
    </row>
    <row r="215" customFormat="false" ht="15" hidden="false" customHeight="false" outlineLevel="0" collapsed="false">
      <c r="A215" s="0" t="s">
        <v>100</v>
      </c>
      <c r="B215" s="0" t="n">
        <v>2019</v>
      </c>
      <c r="C215" s="0" t="s">
        <v>54</v>
      </c>
      <c r="D215" s="0" t="n">
        <v>1256</v>
      </c>
      <c r="E215" s="0" t="n">
        <v>1</v>
      </c>
      <c r="F215" s="0" t="s">
        <v>437</v>
      </c>
      <c r="G215" s="0" t="s">
        <v>7040</v>
      </c>
      <c r="I215" s="0" t="s">
        <v>716</v>
      </c>
    </row>
    <row r="216" customFormat="false" ht="15" hidden="false" customHeight="false" outlineLevel="0" collapsed="false">
      <c r="A216" s="0" t="s">
        <v>100</v>
      </c>
      <c r="B216" s="0" t="n">
        <v>2019</v>
      </c>
      <c r="C216" s="0" t="s">
        <v>55</v>
      </c>
      <c r="D216" s="0" t="n">
        <v>1991040</v>
      </c>
      <c r="E216" s="0" t="n">
        <v>1</v>
      </c>
      <c r="F216" s="0" t="s">
        <v>437</v>
      </c>
      <c r="G216" s="0" t="s">
        <v>7040</v>
      </c>
      <c r="I216" s="0" t="s">
        <v>717</v>
      </c>
    </row>
    <row r="217" customFormat="false" ht="15" hidden="false" customHeight="false" outlineLevel="0" collapsed="false">
      <c r="A217" s="0" t="s">
        <v>100</v>
      </c>
      <c r="B217" s="0" t="n">
        <v>2019</v>
      </c>
      <c r="C217" s="0" t="s">
        <v>56</v>
      </c>
      <c r="D217" s="0" t="n">
        <v>1726770</v>
      </c>
      <c r="E217" s="0" t="n">
        <v>1</v>
      </c>
      <c r="F217" s="0" t="s">
        <v>437</v>
      </c>
      <c r="G217" s="0" t="s">
        <v>7040</v>
      </c>
      <c r="I217" s="0" t="s">
        <v>718</v>
      </c>
    </row>
    <row r="218" customFormat="false" ht="15" hidden="false" customHeight="false" outlineLevel="0" collapsed="false">
      <c r="A218" s="0" t="s">
        <v>100</v>
      </c>
      <c r="B218" s="0" t="n">
        <v>2019</v>
      </c>
      <c r="C218" s="0" t="s">
        <v>57</v>
      </c>
      <c r="D218" s="0" t="n">
        <v>264270</v>
      </c>
      <c r="E218" s="0" t="n">
        <v>1</v>
      </c>
      <c r="F218" s="0" t="s">
        <v>437</v>
      </c>
      <c r="G218" s="0" t="s">
        <v>7040</v>
      </c>
      <c r="I218" s="0" t="s">
        <v>719</v>
      </c>
    </row>
    <row r="219" customFormat="false" ht="15" hidden="false" customHeight="false" outlineLevel="0" collapsed="false">
      <c r="A219" s="0" t="s">
        <v>100</v>
      </c>
      <c r="B219" s="0" t="n">
        <v>2019</v>
      </c>
      <c r="C219" s="0" t="s">
        <v>58</v>
      </c>
      <c r="D219" s="0" t="n">
        <v>49052</v>
      </c>
      <c r="E219" s="0" t="n">
        <v>1</v>
      </c>
      <c r="F219" s="0" t="s">
        <v>437</v>
      </c>
      <c r="G219" s="0" t="s">
        <v>7040</v>
      </c>
      <c r="I219" s="0" t="s">
        <v>720</v>
      </c>
    </row>
    <row r="220" customFormat="false" ht="15" hidden="false" customHeight="false" outlineLevel="0" collapsed="false">
      <c r="A220" s="0" t="s">
        <v>100</v>
      </c>
      <c r="B220" s="0" t="n">
        <v>2019</v>
      </c>
      <c r="C220" s="0" t="s">
        <v>59</v>
      </c>
      <c r="D220" s="0" t="n">
        <v>1927889</v>
      </c>
      <c r="E220" s="0" t="n">
        <v>1</v>
      </c>
      <c r="F220" s="0" t="s">
        <v>437</v>
      </c>
      <c r="G220" s="0" t="s">
        <v>7040</v>
      </c>
      <c r="I220" s="0" t="s">
        <v>721</v>
      </c>
    </row>
    <row r="221" customFormat="false" ht="15" hidden="false" customHeight="false" outlineLevel="0" collapsed="false">
      <c r="A221" s="0" t="s">
        <v>100</v>
      </c>
      <c r="B221" s="0" t="n">
        <v>2019</v>
      </c>
      <c r="C221" s="0" t="s">
        <v>60</v>
      </c>
      <c r="D221" s="0" t="n">
        <v>913082</v>
      </c>
      <c r="E221" s="0" t="n">
        <v>1</v>
      </c>
      <c r="F221" s="0" t="s">
        <v>437</v>
      </c>
      <c r="G221" s="0" t="s">
        <v>7040</v>
      </c>
      <c r="I221" s="0" t="s">
        <v>722</v>
      </c>
    </row>
    <row r="222" customFormat="false" ht="15" hidden="false" customHeight="false" outlineLevel="0" collapsed="false">
      <c r="A222" s="0" t="s">
        <v>100</v>
      </c>
      <c r="B222" s="0" t="n">
        <v>2019</v>
      </c>
      <c r="C222" s="0" t="s">
        <v>61</v>
      </c>
      <c r="D222" s="0" t="n">
        <v>101476</v>
      </c>
      <c r="E222" s="0" t="n">
        <v>1</v>
      </c>
      <c r="F222" s="0" t="s">
        <v>437</v>
      </c>
      <c r="G222" s="0" t="s">
        <v>7040</v>
      </c>
      <c r="I222" s="0" t="s">
        <v>723</v>
      </c>
    </row>
    <row r="223" customFormat="false" ht="15" hidden="false" customHeight="false" outlineLevel="0" collapsed="false">
      <c r="A223" s="0" t="s">
        <v>100</v>
      </c>
      <c r="B223" s="0" t="n">
        <v>2019</v>
      </c>
      <c r="C223" s="0" t="s">
        <v>62</v>
      </c>
      <c r="D223" s="0" t="n">
        <v>811606</v>
      </c>
      <c r="E223" s="0" t="n">
        <v>1</v>
      </c>
      <c r="F223" s="0" t="s">
        <v>437</v>
      </c>
      <c r="G223" s="0" t="s">
        <v>7040</v>
      </c>
      <c r="I223" s="0" t="s">
        <v>724</v>
      </c>
    </row>
    <row r="224" customFormat="false" ht="15" hidden="false" customHeight="false" outlineLevel="0" collapsed="false">
      <c r="A224" s="0" t="s">
        <v>100</v>
      </c>
      <c r="B224" s="0" t="n">
        <v>2019</v>
      </c>
      <c r="C224" s="0" t="s">
        <v>63</v>
      </c>
      <c r="D224" s="0" t="n">
        <v>2704</v>
      </c>
      <c r="E224" s="0" t="n">
        <v>1</v>
      </c>
      <c r="F224" s="0" t="s">
        <v>437</v>
      </c>
      <c r="G224" s="0" t="s">
        <v>7040</v>
      </c>
      <c r="I224" s="0" t="s">
        <v>725</v>
      </c>
    </row>
    <row r="225" customFormat="false" ht="15" hidden="false" customHeight="false" outlineLevel="0" collapsed="false">
      <c r="A225" s="0" t="s">
        <v>100</v>
      </c>
      <c r="B225" s="0" t="n">
        <v>2019</v>
      </c>
      <c r="C225" s="0" t="s">
        <v>64</v>
      </c>
      <c r="D225" s="0" t="n">
        <v>218515</v>
      </c>
      <c r="E225" s="0" t="n">
        <v>1</v>
      </c>
      <c r="F225" s="0" t="s">
        <v>437</v>
      </c>
      <c r="G225" s="0" t="s">
        <v>7040</v>
      </c>
      <c r="I225" s="0" t="s">
        <v>726</v>
      </c>
    </row>
    <row r="226" customFormat="false" ht="15" hidden="false" customHeight="false" outlineLevel="0" collapsed="false">
      <c r="A226" s="0" t="s">
        <v>100</v>
      </c>
      <c r="B226" s="0" t="n">
        <v>2019</v>
      </c>
      <c r="C226" s="0" t="s">
        <v>69</v>
      </c>
      <c r="D226" s="0" t="n">
        <v>16.31</v>
      </c>
      <c r="E226" s="0" t="n">
        <v>1</v>
      </c>
      <c r="F226" s="0" t="s">
        <v>437</v>
      </c>
      <c r="G226" s="0" t="s">
        <v>7040</v>
      </c>
      <c r="I226" s="0" t="s">
        <v>727</v>
      </c>
    </row>
    <row r="227" customFormat="false" ht="15" hidden="false" customHeight="false" outlineLevel="0" collapsed="false">
      <c r="A227" s="0" t="s">
        <v>100</v>
      </c>
      <c r="B227" s="0" t="n">
        <v>2019</v>
      </c>
      <c r="C227" s="0" t="s">
        <v>614</v>
      </c>
      <c r="D227" s="0" t="n">
        <v>16.31</v>
      </c>
      <c r="E227" s="0" t="n">
        <v>1</v>
      </c>
      <c r="F227" s="0" t="s">
        <v>437</v>
      </c>
      <c r="G227" s="0" t="s">
        <v>7040</v>
      </c>
      <c r="I227" s="0" t="s">
        <v>728</v>
      </c>
    </row>
    <row r="228" customFormat="false" ht="15" hidden="false" customHeight="false" outlineLevel="0" collapsed="false">
      <c r="A228" s="0" t="s">
        <v>100</v>
      </c>
      <c r="B228" s="0" t="n">
        <v>2019</v>
      </c>
      <c r="C228" s="0" t="s">
        <v>65</v>
      </c>
      <c r="D228" s="0" t="n">
        <v>236196</v>
      </c>
      <c r="E228" s="0" t="n">
        <v>1</v>
      </c>
      <c r="F228" s="0" t="s">
        <v>437</v>
      </c>
      <c r="G228" s="0" t="s">
        <v>7040</v>
      </c>
      <c r="I228" s="0" t="s">
        <v>729</v>
      </c>
    </row>
    <row r="229" customFormat="false" ht="15" hidden="false" customHeight="false" outlineLevel="0" collapsed="false">
      <c r="A229" s="0" t="s">
        <v>100</v>
      </c>
      <c r="B229" s="0" t="n">
        <v>2019</v>
      </c>
      <c r="C229" s="0" t="s">
        <v>66</v>
      </c>
      <c r="D229" s="0" t="n">
        <v>1447830</v>
      </c>
      <c r="E229" s="0" t="n">
        <v>1</v>
      </c>
      <c r="F229" s="0" t="s">
        <v>437</v>
      </c>
      <c r="G229" s="0" t="s">
        <v>7040</v>
      </c>
      <c r="I229" s="0" t="s">
        <v>730</v>
      </c>
    </row>
    <row r="230" customFormat="false" ht="15" hidden="false" customHeight="false" outlineLevel="0" collapsed="false">
      <c r="A230" s="0" t="s">
        <v>100</v>
      </c>
      <c r="B230" s="0" t="n">
        <v>2019</v>
      </c>
      <c r="C230" s="0" t="s">
        <v>73</v>
      </c>
      <c r="D230" s="0" t="n">
        <v>0</v>
      </c>
      <c r="E230" s="0" t="n">
        <v>1</v>
      </c>
      <c r="F230" s="0" t="s">
        <v>437</v>
      </c>
      <c r="G230" s="0" t="s">
        <v>7040</v>
      </c>
      <c r="I230" s="0" t="s">
        <v>731</v>
      </c>
    </row>
    <row r="231" customFormat="false" ht="15" hidden="false" customHeight="false" outlineLevel="0" collapsed="false">
      <c r="A231" s="0" t="s">
        <v>100</v>
      </c>
      <c r="B231" s="0" t="n">
        <v>2019</v>
      </c>
      <c r="C231" s="0" t="s">
        <v>541</v>
      </c>
      <c r="D231" s="0" t="n">
        <v>2238</v>
      </c>
      <c r="E231" s="0" t="n">
        <v>1</v>
      </c>
      <c r="F231" s="0" t="s">
        <v>437</v>
      </c>
      <c r="G231" s="0" t="s">
        <v>7040</v>
      </c>
      <c r="I231" s="0" t="s">
        <v>732</v>
      </c>
    </row>
    <row r="232" customFormat="false" ht="15" hidden="false" customHeight="false" outlineLevel="0" collapsed="false">
      <c r="A232" s="0" t="s">
        <v>100</v>
      </c>
      <c r="B232" s="0" t="n">
        <v>2020</v>
      </c>
      <c r="C232" s="0" t="s">
        <v>54</v>
      </c>
      <c r="D232" s="0" t="n">
        <v>8087</v>
      </c>
      <c r="E232" s="0" t="n">
        <v>1</v>
      </c>
      <c r="F232" s="0" t="s">
        <v>437</v>
      </c>
      <c r="G232" s="0" t="s">
        <v>7040</v>
      </c>
      <c r="I232" s="0" t="s">
        <v>733</v>
      </c>
    </row>
    <row r="233" customFormat="false" ht="15" hidden="false" customHeight="false" outlineLevel="0" collapsed="false">
      <c r="A233" s="0" t="s">
        <v>100</v>
      </c>
      <c r="B233" s="0" t="n">
        <v>2020</v>
      </c>
      <c r="C233" s="0" t="s">
        <v>55</v>
      </c>
      <c r="D233" s="0" t="n">
        <v>2186712</v>
      </c>
      <c r="E233" s="0" t="n">
        <v>1</v>
      </c>
      <c r="F233" s="0" t="s">
        <v>437</v>
      </c>
      <c r="G233" s="0" t="s">
        <v>7040</v>
      </c>
      <c r="I233" s="0" t="s">
        <v>734</v>
      </c>
    </row>
    <row r="234" customFormat="false" ht="15" hidden="false" customHeight="false" outlineLevel="0" collapsed="false">
      <c r="A234" s="0" t="s">
        <v>100</v>
      </c>
      <c r="B234" s="0" t="n">
        <v>2020</v>
      </c>
      <c r="C234" s="0" t="s">
        <v>56</v>
      </c>
      <c r="D234" s="0" t="n">
        <v>1887991</v>
      </c>
      <c r="E234" s="0" t="n">
        <v>1</v>
      </c>
      <c r="F234" s="0" t="s">
        <v>437</v>
      </c>
      <c r="G234" s="0" t="s">
        <v>7040</v>
      </c>
      <c r="I234" s="0" t="s">
        <v>735</v>
      </c>
    </row>
    <row r="235" customFormat="false" ht="15" hidden="false" customHeight="false" outlineLevel="0" collapsed="false">
      <c r="A235" s="0" t="s">
        <v>100</v>
      </c>
      <c r="B235" s="0" t="n">
        <v>2020</v>
      </c>
      <c r="C235" s="0" t="s">
        <v>57</v>
      </c>
      <c r="D235" s="0" t="n">
        <v>298721</v>
      </c>
      <c r="E235" s="0" t="n">
        <v>1</v>
      </c>
      <c r="F235" s="0" t="s">
        <v>437</v>
      </c>
      <c r="G235" s="0" t="s">
        <v>7040</v>
      </c>
      <c r="I235" s="0" t="s">
        <v>736</v>
      </c>
    </row>
    <row r="236" customFormat="false" ht="15" hidden="false" customHeight="false" outlineLevel="0" collapsed="false">
      <c r="A236" s="0" t="s">
        <v>100</v>
      </c>
      <c r="B236" s="0" t="n">
        <v>2020</v>
      </c>
      <c r="C236" s="0" t="s">
        <v>58</v>
      </c>
      <c r="D236" s="0" t="n">
        <v>-13271</v>
      </c>
      <c r="E236" s="0" t="n">
        <v>1</v>
      </c>
      <c r="F236" s="0" t="s">
        <v>437</v>
      </c>
      <c r="G236" s="0" t="s">
        <v>7040</v>
      </c>
      <c r="I236" s="0" t="s">
        <v>737</v>
      </c>
    </row>
    <row r="237" customFormat="false" ht="15" hidden="false" customHeight="false" outlineLevel="0" collapsed="false">
      <c r="A237" s="0" t="s">
        <v>100</v>
      </c>
      <c r="B237" s="0" t="n">
        <v>2020</v>
      </c>
      <c r="C237" s="0" t="s">
        <v>59</v>
      </c>
      <c r="D237" s="0" t="n">
        <v>1991040</v>
      </c>
      <c r="E237" s="0" t="n">
        <v>1</v>
      </c>
      <c r="F237" s="0" t="s">
        <v>437</v>
      </c>
      <c r="G237" s="0" t="s">
        <v>7040</v>
      </c>
      <c r="I237" s="0" t="s">
        <v>738</v>
      </c>
    </row>
    <row r="238" customFormat="false" ht="15" hidden="false" customHeight="false" outlineLevel="0" collapsed="false">
      <c r="A238" s="0" t="s">
        <v>100</v>
      </c>
      <c r="B238" s="0" t="n">
        <v>2020</v>
      </c>
      <c r="C238" s="0" t="s">
        <v>60</v>
      </c>
      <c r="D238" s="0" t="n">
        <v>993191</v>
      </c>
      <c r="E238" s="0" t="n">
        <v>1</v>
      </c>
      <c r="F238" s="0" t="s">
        <v>437</v>
      </c>
      <c r="G238" s="0" t="s">
        <v>7040</v>
      </c>
      <c r="I238" s="0" t="s">
        <v>739</v>
      </c>
    </row>
    <row r="239" customFormat="false" ht="15" hidden="false" customHeight="false" outlineLevel="0" collapsed="false">
      <c r="A239" s="0" t="s">
        <v>100</v>
      </c>
      <c r="B239" s="0" t="n">
        <v>2020</v>
      </c>
      <c r="C239" s="0" t="s">
        <v>61</v>
      </c>
      <c r="D239" s="0" t="n">
        <v>111609</v>
      </c>
      <c r="E239" s="0" t="n">
        <v>1</v>
      </c>
      <c r="F239" s="0" t="s">
        <v>437</v>
      </c>
      <c r="G239" s="0" t="s">
        <v>7040</v>
      </c>
      <c r="I239" s="0" t="s">
        <v>740</v>
      </c>
    </row>
    <row r="240" customFormat="false" ht="15" hidden="false" customHeight="false" outlineLevel="0" collapsed="false">
      <c r="A240" s="0" t="s">
        <v>100</v>
      </c>
      <c r="B240" s="0" t="n">
        <v>2020</v>
      </c>
      <c r="C240" s="0" t="s">
        <v>62</v>
      </c>
      <c r="D240" s="0" t="n">
        <v>881582</v>
      </c>
      <c r="E240" s="0" t="n">
        <v>1</v>
      </c>
      <c r="F240" s="0" t="s">
        <v>437</v>
      </c>
      <c r="G240" s="0" t="s">
        <v>7040</v>
      </c>
      <c r="I240" s="0" t="s">
        <v>741</v>
      </c>
    </row>
    <row r="241" customFormat="false" ht="15" hidden="false" customHeight="false" outlineLevel="0" collapsed="false">
      <c r="A241" s="0" t="s">
        <v>100</v>
      </c>
      <c r="B241" s="0" t="n">
        <v>2020</v>
      </c>
      <c r="C241" s="0" t="s">
        <v>63</v>
      </c>
      <c r="D241" s="0" t="n">
        <v>9164</v>
      </c>
      <c r="E241" s="0" t="n">
        <v>1</v>
      </c>
      <c r="F241" s="0" t="s">
        <v>437</v>
      </c>
      <c r="G241" s="0" t="s">
        <v>7040</v>
      </c>
      <c r="I241" s="0" t="s">
        <v>742</v>
      </c>
    </row>
    <row r="242" customFormat="false" ht="15" hidden="false" customHeight="false" outlineLevel="0" collapsed="false">
      <c r="A242" s="0" t="s">
        <v>100</v>
      </c>
      <c r="B242" s="0" t="n">
        <v>2020</v>
      </c>
      <c r="C242" s="0" t="s">
        <v>64</v>
      </c>
      <c r="D242" s="0" t="n">
        <v>197204</v>
      </c>
      <c r="E242" s="0" t="n">
        <v>1</v>
      </c>
      <c r="F242" s="0" t="s">
        <v>437</v>
      </c>
      <c r="G242" s="0" t="s">
        <v>7040</v>
      </c>
      <c r="I242" s="0" t="s">
        <v>743</v>
      </c>
    </row>
    <row r="243" customFormat="false" ht="15" hidden="false" customHeight="false" outlineLevel="0" collapsed="false">
      <c r="A243" s="0" t="s">
        <v>100</v>
      </c>
      <c r="B243" s="0" t="n">
        <v>2020</v>
      </c>
      <c r="C243" s="0" t="s">
        <v>69</v>
      </c>
      <c r="D243" s="0" t="n">
        <v>21.44</v>
      </c>
      <c r="E243" s="0" t="n">
        <v>1</v>
      </c>
      <c r="F243" s="0" t="s">
        <v>437</v>
      </c>
      <c r="G243" s="0" t="s">
        <v>7040</v>
      </c>
      <c r="I243" s="0" t="s">
        <v>744</v>
      </c>
    </row>
    <row r="244" customFormat="false" ht="15" hidden="false" customHeight="false" outlineLevel="0" collapsed="false">
      <c r="A244" s="0" t="s">
        <v>100</v>
      </c>
      <c r="B244" s="0" t="n">
        <v>2020</v>
      </c>
      <c r="C244" s="0" t="s">
        <v>614</v>
      </c>
      <c r="D244" s="0" t="n">
        <v>21.44</v>
      </c>
      <c r="E244" s="0" t="n">
        <v>1</v>
      </c>
      <c r="F244" s="0" t="s">
        <v>437</v>
      </c>
      <c r="G244" s="0" t="s">
        <v>7040</v>
      </c>
      <c r="I244" s="0" t="s">
        <v>746</v>
      </c>
    </row>
    <row r="245" customFormat="false" ht="15" hidden="false" customHeight="false" outlineLevel="0" collapsed="false">
      <c r="A245" s="0" t="s">
        <v>100</v>
      </c>
      <c r="B245" s="0" t="n">
        <v>2020</v>
      </c>
      <c r="C245" s="0" t="s">
        <v>65</v>
      </c>
      <c r="D245" s="0" t="n">
        <v>301364</v>
      </c>
      <c r="E245" s="0" t="n">
        <v>1</v>
      </c>
      <c r="F245" s="0" t="s">
        <v>437</v>
      </c>
      <c r="G245" s="0" t="s">
        <v>7040</v>
      </c>
      <c r="I245" s="0" t="s">
        <v>747</v>
      </c>
    </row>
    <row r="246" customFormat="false" ht="15" hidden="false" customHeight="false" outlineLevel="0" collapsed="false">
      <c r="A246" s="0" t="s">
        <v>100</v>
      </c>
      <c r="B246" s="0" t="n">
        <v>2020</v>
      </c>
      <c r="C246" s="0" t="s">
        <v>66</v>
      </c>
      <c r="D246" s="0" t="n">
        <v>1405676</v>
      </c>
      <c r="E246" s="0" t="n">
        <v>1</v>
      </c>
      <c r="F246" s="0" t="s">
        <v>437</v>
      </c>
      <c r="G246" s="0" t="s">
        <v>7040</v>
      </c>
      <c r="I246" s="0" t="s">
        <v>748</v>
      </c>
    </row>
    <row r="247" customFormat="false" ht="15" hidden="false" customHeight="false" outlineLevel="0" collapsed="false">
      <c r="A247" s="0" t="s">
        <v>100</v>
      </c>
      <c r="B247" s="0" t="n">
        <v>2020</v>
      </c>
      <c r="C247" s="0" t="s">
        <v>73</v>
      </c>
      <c r="D247" s="0" t="n">
        <v>0</v>
      </c>
      <c r="E247" s="0" t="n">
        <v>1</v>
      </c>
      <c r="F247" s="0" t="s">
        <v>437</v>
      </c>
      <c r="G247" s="0" t="s">
        <v>7040</v>
      </c>
      <c r="I247" s="0" t="s">
        <v>749</v>
      </c>
    </row>
    <row r="248" customFormat="false" ht="15" hidden="false" customHeight="false" outlineLevel="0" collapsed="false">
      <c r="A248" s="0" t="s">
        <v>100</v>
      </c>
      <c r="B248" s="0" t="n">
        <v>2020</v>
      </c>
      <c r="C248" s="0" t="s">
        <v>541</v>
      </c>
      <c r="D248" s="0" t="n">
        <v>8639</v>
      </c>
      <c r="E248" s="0" t="n">
        <v>1</v>
      </c>
      <c r="F248" s="0" t="s">
        <v>437</v>
      </c>
      <c r="G248" s="0" t="s">
        <v>7040</v>
      </c>
      <c r="I248" s="0" t="s">
        <v>750</v>
      </c>
    </row>
    <row r="249" customFormat="false" ht="15" hidden="false" customHeight="false" outlineLevel="0" collapsed="false">
      <c r="A249" s="0" t="s">
        <v>100</v>
      </c>
      <c r="B249" s="0" t="n">
        <v>2021</v>
      </c>
      <c r="C249" s="0" t="s">
        <v>54</v>
      </c>
      <c r="D249" s="0" t="n">
        <v>9766</v>
      </c>
      <c r="E249" s="0" t="n">
        <v>1</v>
      </c>
      <c r="F249" s="0" t="s">
        <v>437</v>
      </c>
      <c r="G249" s="0" t="s">
        <v>7040</v>
      </c>
      <c r="I249" s="0" t="s">
        <v>751</v>
      </c>
    </row>
    <row r="250" customFormat="false" ht="15" hidden="false" customHeight="false" outlineLevel="0" collapsed="false">
      <c r="A250" s="0" t="s">
        <v>100</v>
      </c>
      <c r="B250" s="0" t="n">
        <v>2021</v>
      </c>
      <c r="C250" s="0" t="s">
        <v>55</v>
      </c>
      <c r="D250" s="0" t="n">
        <v>2475079</v>
      </c>
      <c r="E250" s="0" t="n">
        <v>1</v>
      </c>
      <c r="F250" s="0" t="s">
        <v>437</v>
      </c>
      <c r="G250" s="0" t="s">
        <v>7040</v>
      </c>
      <c r="I250" s="0" t="s">
        <v>752</v>
      </c>
    </row>
    <row r="251" customFormat="false" ht="15" hidden="false" customHeight="false" outlineLevel="0" collapsed="false">
      <c r="A251" s="0" t="s">
        <v>100</v>
      </c>
      <c r="B251" s="0" t="n">
        <v>2021</v>
      </c>
      <c r="C251" s="0" t="s">
        <v>56</v>
      </c>
      <c r="D251" s="0" t="n">
        <v>2196302</v>
      </c>
      <c r="E251" s="0" t="n">
        <v>1</v>
      </c>
      <c r="F251" s="0" t="s">
        <v>437</v>
      </c>
      <c r="G251" s="0" t="s">
        <v>7040</v>
      </c>
      <c r="I251" s="0" t="s">
        <v>753</v>
      </c>
    </row>
    <row r="252" customFormat="false" ht="15" hidden="false" customHeight="false" outlineLevel="0" collapsed="false">
      <c r="A252" s="0" t="s">
        <v>100</v>
      </c>
      <c r="B252" s="0" t="n">
        <v>2021</v>
      </c>
      <c r="C252" s="0" t="s">
        <v>57</v>
      </c>
      <c r="D252" s="0" t="n">
        <v>278777</v>
      </c>
      <c r="E252" s="0" t="n">
        <v>1</v>
      </c>
      <c r="F252" s="0" t="s">
        <v>437</v>
      </c>
      <c r="G252" s="0" t="s">
        <v>7040</v>
      </c>
      <c r="I252" s="0" t="s">
        <v>754</v>
      </c>
    </row>
    <row r="253" customFormat="false" ht="15" hidden="false" customHeight="false" outlineLevel="0" collapsed="false">
      <c r="A253" s="0" t="s">
        <v>100</v>
      </c>
      <c r="B253" s="0" t="n">
        <v>2021</v>
      </c>
      <c r="C253" s="0" t="s">
        <v>58</v>
      </c>
      <c r="D253" s="0" t="n">
        <v>-86740</v>
      </c>
      <c r="E253" s="0" t="n">
        <v>1</v>
      </c>
      <c r="F253" s="0" t="s">
        <v>437</v>
      </c>
      <c r="G253" s="0" t="s">
        <v>7040</v>
      </c>
      <c r="I253" s="0" t="s">
        <v>755</v>
      </c>
    </row>
    <row r="254" customFormat="false" ht="15" hidden="false" customHeight="false" outlineLevel="0" collapsed="false">
      <c r="A254" s="0" t="s">
        <v>100</v>
      </c>
      <c r="B254" s="0" t="n">
        <v>2021</v>
      </c>
      <c r="C254" s="0" t="s">
        <v>59</v>
      </c>
      <c r="D254" s="0" t="n">
        <v>2186711</v>
      </c>
      <c r="E254" s="0" t="n">
        <v>1</v>
      </c>
      <c r="F254" s="0" t="s">
        <v>437</v>
      </c>
      <c r="G254" s="0" t="s">
        <v>7040</v>
      </c>
      <c r="I254" s="0" t="s">
        <v>756</v>
      </c>
    </row>
    <row r="255" customFormat="false" ht="15" hidden="false" customHeight="false" outlineLevel="0" collapsed="false">
      <c r="A255" s="0" t="s">
        <v>100</v>
      </c>
      <c r="B255" s="0" t="n">
        <v>2021</v>
      </c>
      <c r="C255" s="0" t="s">
        <v>60</v>
      </c>
      <c r="D255" s="0" t="n">
        <v>1113022</v>
      </c>
      <c r="E255" s="0" t="n">
        <v>1</v>
      </c>
      <c r="F255" s="0" t="s">
        <v>437</v>
      </c>
      <c r="G255" s="0" t="s">
        <v>7040</v>
      </c>
      <c r="I255" s="0" t="s">
        <v>757</v>
      </c>
    </row>
    <row r="256" customFormat="false" ht="15" hidden="false" customHeight="false" outlineLevel="0" collapsed="false">
      <c r="A256" s="0" t="s">
        <v>100</v>
      </c>
      <c r="B256" s="0" t="n">
        <v>2021</v>
      </c>
      <c r="C256" s="0" t="s">
        <v>61</v>
      </c>
      <c r="D256" s="0" t="n">
        <v>97419</v>
      </c>
      <c r="E256" s="0" t="n">
        <v>1</v>
      </c>
      <c r="F256" s="0" t="s">
        <v>437</v>
      </c>
      <c r="G256" s="0" t="s">
        <v>7040</v>
      </c>
      <c r="I256" s="0" t="s">
        <v>758</v>
      </c>
    </row>
    <row r="257" customFormat="false" ht="15" hidden="false" customHeight="false" outlineLevel="0" collapsed="false">
      <c r="A257" s="0" t="s">
        <v>100</v>
      </c>
      <c r="B257" s="0" t="n">
        <v>2021</v>
      </c>
      <c r="C257" s="0" t="s">
        <v>62</v>
      </c>
      <c r="D257" s="0" t="n">
        <v>1015603</v>
      </c>
      <c r="E257" s="0" t="n">
        <v>1</v>
      </c>
      <c r="F257" s="0" t="s">
        <v>437</v>
      </c>
      <c r="G257" s="0" t="s">
        <v>7040</v>
      </c>
      <c r="I257" s="0" t="s">
        <v>759</v>
      </c>
    </row>
    <row r="258" customFormat="false" ht="15" hidden="false" customHeight="false" outlineLevel="0" collapsed="false">
      <c r="A258" s="0" t="s">
        <v>100</v>
      </c>
      <c r="B258" s="0" t="n">
        <v>2021</v>
      </c>
      <c r="C258" s="0" t="s">
        <v>63</v>
      </c>
      <c r="D258" s="0" t="n">
        <v>7041</v>
      </c>
      <c r="E258" s="0" t="n">
        <v>1</v>
      </c>
      <c r="F258" s="0" t="s">
        <v>437</v>
      </c>
      <c r="G258" s="0" t="s">
        <v>7040</v>
      </c>
      <c r="I258" s="0" t="s">
        <v>760</v>
      </c>
    </row>
    <row r="259" customFormat="false" ht="15" hidden="false" customHeight="false" outlineLevel="0" collapsed="false">
      <c r="A259" s="0" t="s">
        <v>100</v>
      </c>
      <c r="B259" s="0" t="n">
        <v>2021</v>
      </c>
      <c r="C259" s="0" t="s">
        <v>64</v>
      </c>
      <c r="D259" s="0" t="n">
        <v>181954</v>
      </c>
      <c r="E259" s="0" t="n">
        <v>1</v>
      </c>
      <c r="F259" s="0" t="s">
        <v>437</v>
      </c>
      <c r="G259" s="0" t="s">
        <v>7040</v>
      </c>
      <c r="I259" s="0" t="s">
        <v>761</v>
      </c>
    </row>
    <row r="260" customFormat="false" ht="15" hidden="false" customHeight="false" outlineLevel="0" collapsed="false">
      <c r="A260" s="0" t="s">
        <v>100</v>
      </c>
      <c r="B260" s="0" t="n">
        <v>2021</v>
      </c>
      <c r="C260" s="0" t="s">
        <v>69</v>
      </c>
      <c r="D260" s="0" t="n">
        <v>11.48</v>
      </c>
      <c r="E260" s="0" t="n">
        <v>1</v>
      </c>
      <c r="F260" s="0" t="s">
        <v>437</v>
      </c>
      <c r="G260" s="0" t="s">
        <v>7040</v>
      </c>
      <c r="I260" s="0" t="s">
        <v>762</v>
      </c>
    </row>
    <row r="261" customFormat="false" ht="15" hidden="false" customHeight="false" outlineLevel="0" collapsed="false">
      <c r="A261" s="0" t="s">
        <v>100</v>
      </c>
      <c r="B261" s="0" t="n">
        <v>2021</v>
      </c>
      <c r="C261" s="0" t="s">
        <v>65</v>
      </c>
      <c r="D261" s="0" t="n">
        <v>170600</v>
      </c>
      <c r="E261" s="0" t="n">
        <v>1</v>
      </c>
      <c r="F261" s="0" t="s">
        <v>437</v>
      </c>
      <c r="G261" s="0" t="s">
        <v>7040</v>
      </c>
      <c r="I261" s="0" t="s">
        <v>763</v>
      </c>
    </row>
    <row r="262" customFormat="false" ht="15" hidden="false" customHeight="false" outlineLevel="0" collapsed="false">
      <c r="A262" s="0" t="s">
        <v>100</v>
      </c>
      <c r="B262" s="0" t="n">
        <v>2021</v>
      </c>
      <c r="C262" s="0" t="s">
        <v>66</v>
      </c>
      <c r="D262" s="0" t="n">
        <v>1486056</v>
      </c>
      <c r="E262" s="0" t="n">
        <v>1</v>
      </c>
      <c r="F262" s="0" t="s">
        <v>437</v>
      </c>
      <c r="G262" s="0" t="s">
        <v>7040</v>
      </c>
      <c r="I262" s="0" t="s">
        <v>764</v>
      </c>
    </row>
    <row r="263" customFormat="false" ht="15" hidden="false" customHeight="false" outlineLevel="0" collapsed="false">
      <c r="A263" s="0" t="s">
        <v>100</v>
      </c>
      <c r="B263" s="0" t="n">
        <v>2021</v>
      </c>
      <c r="C263" s="0" t="s">
        <v>73</v>
      </c>
      <c r="D263" s="0" t="n">
        <v>0</v>
      </c>
      <c r="E263" s="0" t="n">
        <v>1</v>
      </c>
      <c r="F263" s="0" t="s">
        <v>437</v>
      </c>
      <c r="G263" s="0" t="s">
        <v>7040</v>
      </c>
      <c r="I263" s="0" t="s">
        <v>765</v>
      </c>
    </row>
    <row r="264" customFormat="false" ht="15" hidden="false" customHeight="false" outlineLevel="0" collapsed="false">
      <c r="A264" s="0" t="s">
        <v>100</v>
      </c>
      <c r="B264" s="0" t="n">
        <v>2021</v>
      </c>
      <c r="C264" s="0" t="s">
        <v>541</v>
      </c>
      <c r="D264" s="0" t="n">
        <v>10676</v>
      </c>
      <c r="E264" s="0" t="n">
        <v>1</v>
      </c>
      <c r="F264" s="0" t="s">
        <v>437</v>
      </c>
      <c r="G264" s="0" t="s">
        <v>7040</v>
      </c>
      <c r="I264" s="0" t="s">
        <v>766</v>
      </c>
    </row>
    <row r="265" customFormat="false" ht="15" hidden="false" customHeight="false" outlineLevel="0" collapsed="false">
      <c r="A265" s="0" t="s">
        <v>100</v>
      </c>
      <c r="B265" s="0" t="n">
        <v>2022</v>
      </c>
      <c r="C265" s="0" t="s">
        <v>54</v>
      </c>
      <c r="D265" s="0" t="n">
        <v>10396</v>
      </c>
      <c r="E265" s="0" t="n">
        <v>1</v>
      </c>
      <c r="F265" s="0" t="s">
        <v>437</v>
      </c>
      <c r="G265" s="0" t="s">
        <v>7040</v>
      </c>
      <c r="I265" s="0" t="s">
        <v>767</v>
      </c>
    </row>
    <row r="266" customFormat="false" ht="15" hidden="false" customHeight="false" outlineLevel="0" collapsed="false">
      <c r="A266" s="0" t="s">
        <v>100</v>
      </c>
      <c r="B266" s="0" t="n">
        <v>2022</v>
      </c>
      <c r="C266" s="0" t="s">
        <v>55</v>
      </c>
      <c r="D266" s="0" t="n">
        <v>2917689</v>
      </c>
      <c r="E266" s="0" t="n">
        <v>1</v>
      </c>
      <c r="F266" s="0" t="s">
        <v>437</v>
      </c>
      <c r="G266" s="0" t="s">
        <v>7040</v>
      </c>
      <c r="I266" s="0" t="s">
        <v>768</v>
      </c>
    </row>
    <row r="267" customFormat="false" ht="15" hidden="false" customHeight="false" outlineLevel="0" collapsed="false">
      <c r="A267" s="0" t="s">
        <v>100</v>
      </c>
      <c r="B267" s="0" t="n">
        <v>2022</v>
      </c>
      <c r="C267" s="0" t="s">
        <v>56</v>
      </c>
      <c r="D267" s="0" t="n">
        <v>2623076</v>
      </c>
      <c r="E267" s="0" t="n">
        <v>1</v>
      </c>
      <c r="F267" s="0" t="s">
        <v>437</v>
      </c>
      <c r="G267" s="0" t="s">
        <v>7040</v>
      </c>
      <c r="I267" s="0" t="s">
        <v>769</v>
      </c>
    </row>
    <row r="268" customFormat="false" ht="15" hidden="false" customHeight="false" outlineLevel="0" collapsed="false">
      <c r="A268" s="0" t="s">
        <v>100</v>
      </c>
      <c r="B268" s="0" t="n">
        <v>2022</v>
      </c>
      <c r="C268" s="0" t="s">
        <v>57</v>
      </c>
      <c r="D268" s="0" t="n">
        <v>294613</v>
      </c>
      <c r="E268" s="0" t="n">
        <v>1</v>
      </c>
      <c r="F268" s="0" t="s">
        <v>437</v>
      </c>
      <c r="G268" s="0" t="s">
        <v>7040</v>
      </c>
      <c r="I268" s="0" t="s">
        <v>770</v>
      </c>
    </row>
    <row r="269" customFormat="false" ht="15" hidden="false" customHeight="false" outlineLevel="0" collapsed="false">
      <c r="A269" s="0" t="s">
        <v>100</v>
      </c>
      <c r="B269" s="0" t="n">
        <v>2022</v>
      </c>
      <c r="C269" s="0" t="s">
        <v>58</v>
      </c>
      <c r="D269" s="0" t="n">
        <v>-75642</v>
      </c>
      <c r="E269" s="0" t="n">
        <v>1</v>
      </c>
      <c r="F269" s="0" t="s">
        <v>437</v>
      </c>
      <c r="G269" s="0" t="s">
        <v>7040</v>
      </c>
      <c r="I269" s="0" t="s">
        <v>771</v>
      </c>
    </row>
    <row r="270" customFormat="false" ht="15" hidden="false" customHeight="false" outlineLevel="0" collapsed="false">
      <c r="A270" s="0" t="s">
        <v>100</v>
      </c>
      <c r="B270" s="0" t="n">
        <v>2022</v>
      </c>
      <c r="C270" s="0" t="s">
        <v>59</v>
      </c>
      <c r="D270" s="0" t="n">
        <v>2475079</v>
      </c>
      <c r="E270" s="0" t="n">
        <v>1</v>
      </c>
      <c r="F270" s="0" t="s">
        <v>437</v>
      </c>
      <c r="G270" s="0" t="s">
        <v>7040</v>
      </c>
      <c r="I270" s="0" t="s">
        <v>772</v>
      </c>
    </row>
    <row r="271" customFormat="false" ht="15" hidden="false" customHeight="false" outlineLevel="0" collapsed="false">
      <c r="A271" s="0" t="s">
        <v>100</v>
      </c>
      <c r="B271" s="0" t="n">
        <v>2022</v>
      </c>
      <c r="C271" s="0" t="s">
        <v>60</v>
      </c>
      <c r="D271" s="0" t="n">
        <v>1190306</v>
      </c>
      <c r="E271" s="0" t="n">
        <v>1</v>
      </c>
      <c r="F271" s="0" t="s">
        <v>437</v>
      </c>
      <c r="G271" s="0" t="s">
        <v>7040</v>
      </c>
      <c r="I271" s="0" t="s">
        <v>773</v>
      </c>
    </row>
    <row r="272" customFormat="false" ht="15" hidden="false" customHeight="false" outlineLevel="0" collapsed="false">
      <c r="A272" s="0" t="s">
        <v>100</v>
      </c>
      <c r="B272" s="0" t="n">
        <v>2022</v>
      </c>
      <c r="C272" s="0" t="s">
        <v>61</v>
      </c>
      <c r="D272" s="0" t="n">
        <v>62880</v>
      </c>
      <c r="E272" s="0" t="n">
        <v>1</v>
      </c>
      <c r="F272" s="0" t="s">
        <v>437</v>
      </c>
      <c r="G272" s="0" t="s">
        <v>7040</v>
      </c>
      <c r="I272" s="0" t="s">
        <v>774</v>
      </c>
    </row>
    <row r="273" customFormat="false" ht="15" hidden="false" customHeight="false" outlineLevel="0" collapsed="false">
      <c r="A273" s="0" t="s">
        <v>100</v>
      </c>
      <c r="B273" s="0" t="n">
        <v>2022</v>
      </c>
      <c r="C273" s="0" t="s">
        <v>62</v>
      </c>
      <c r="D273" s="0" t="n">
        <v>1127426</v>
      </c>
      <c r="E273" s="0" t="n">
        <v>1</v>
      </c>
      <c r="F273" s="0" t="s">
        <v>437</v>
      </c>
      <c r="G273" s="0" t="s">
        <v>7040</v>
      </c>
      <c r="I273" s="0" t="s">
        <v>775</v>
      </c>
    </row>
    <row r="274" customFormat="false" ht="15" hidden="false" customHeight="false" outlineLevel="0" collapsed="false">
      <c r="A274" s="0" t="s">
        <v>100</v>
      </c>
      <c r="B274" s="0" t="n">
        <v>2022</v>
      </c>
      <c r="C274" s="0" t="s">
        <v>63</v>
      </c>
      <c r="D274" s="0" t="n">
        <v>12377</v>
      </c>
      <c r="E274" s="0" t="n">
        <v>1</v>
      </c>
      <c r="F274" s="0" t="s">
        <v>437</v>
      </c>
      <c r="G274" s="0" t="s">
        <v>7040</v>
      </c>
      <c r="I274" s="0" t="s">
        <v>776</v>
      </c>
    </row>
    <row r="275" customFormat="false" ht="15" hidden="false" customHeight="false" outlineLevel="0" collapsed="false">
      <c r="A275" s="0" t="s">
        <v>100</v>
      </c>
      <c r="B275" s="0" t="n">
        <v>2022</v>
      </c>
      <c r="C275" s="0" t="s">
        <v>64</v>
      </c>
      <c r="D275" s="0" t="n">
        <v>82348</v>
      </c>
      <c r="E275" s="0" t="n">
        <v>1</v>
      </c>
      <c r="F275" s="0" t="s">
        <v>437</v>
      </c>
      <c r="G275" s="0" t="s">
        <v>7040</v>
      </c>
      <c r="I275" s="0" t="s">
        <v>777</v>
      </c>
    </row>
    <row r="276" customFormat="false" ht="15" hidden="false" customHeight="false" outlineLevel="0" collapsed="false">
      <c r="A276" s="0" t="s">
        <v>100</v>
      </c>
      <c r="B276" s="0" t="n">
        <v>2022</v>
      </c>
      <c r="C276" s="0" t="s">
        <v>69</v>
      </c>
      <c r="D276" s="0" t="n">
        <v>13.27</v>
      </c>
      <c r="E276" s="0" t="n">
        <v>1</v>
      </c>
      <c r="F276" s="0" t="s">
        <v>437</v>
      </c>
      <c r="G276" s="0" t="s">
        <v>7040</v>
      </c>
      <c r="I276" s="0" t="s">
        <v>778</v>
      </c>
    </row>
    <row r="277" customFormat="false" ht="15" hidden="false" customHeight="false" outlineLevel="0" collapsed="false">
      <c r="A277" s="0" t="s">
        <v>100</v>
      </c>
      <c r="B277" s="0" t="n">
        <v>2022</v>
      </c>
      <c r="C277" s="0" t="s">
        <v>65</v>
      </c>
      <c r="D277" s="0" t="n">
        <v>232070</v>
      </c>
      <c r="E277" s="0" t="n">
        <v>1</v>
      </c>
      <c r="F277" s="0" t="s">
        <v>437</v>
      </c>
      <c r="G277" s="0" t="s">
        <v>7040</v>
      </c>
      <c r="I277" s="0" t="s">
        <v>779</v>
      </c>
    </row>
    <row r="278" customFormat="false" ht="15" hidden="false" customHeight="false" outlineLevel="0" collapsed="false">
      <c r="A278" s="0" t="s">
        <v>100</v>
      </c>
      <c r="B278" s="0" t="n">
        <v>2022</v>
      </c>
      <c r="C278" s="0" t="s">
        <v>66</v>
      </c>
      <c r="D278" s="0" t="n">
        <v>1748560</v>
      </c>
      <c r="E278" s="0" t="n">
        <v>1</v>
      </c>
      <c r="F278" s="0" t="s">
        <v>437</v>
      </c>
      <c r="G278" s="0" t="s">
        <v>7040</v>
      </c>
      <c r="I278" s="0" t="s">
        <v>780</v>
      </c>
    </row>
    <row r="279" customFormat="false" ht="15" hidden="false" customHeight="false" outlineLevel="0" collapsed="false">
      <c r="A279" s="0" t="s">
        <v>100</v>
      </c>
      <c r="B279" s="0" t="n">
        <v>2022</v>
      </c>
      <c r="C279" s="0" t="s">
        <v>73</v>
      </c>
      <c r="D279" s="0" t="n">
        <v>0</v>
      </c>
      <c r="E279" s="0" t="n">
        <v>1</v>
      </c>
      <c r="F279" s="0" t="s">
        <v>437</v>
      </c>
      <c r="G279" s="0" t="s">
        <v>7040</v>
      </c>
      <c r="I279" s="0" t="s">
        <v>781</v>
      </c>
    </row>
    <row r="280" customFormat="false" ht="15" hidden="false" customHeight="false" outlineLevel="0" collapsed="false">
      <c r="A280" s="0" t="s">
        <v>100</v>
      </c>
      <c r="B280" s="0" t="n">
        <v>2022</v>
      </c>
      <c r="C280" s="0" t="s">
        <v>541</v>
      </c>
      <c r="D280" s="0" t="n">
        <v>12396</v>
      </c>
      <c r="E280" s="0" t="n">
        <v>1</v>
      </c>
      <c r="F280" s="0" t="s">
        <v>437</v>
      </c>
      <c r="G280" s="0" t="s">
        <v>7040</v>
      </c>
      <c r="I280" s="0" t="s">
        <v>782</v>
      </c>
    </row>
    <row r="281" customFormat="false" ht="15" hidden="false" customHeight="false" outlineLevel="0" collapsed="false">
      <c r="A281" s="0" t="s">
        <v>115</v>
      </c>
      <c r="B281" s="0" t="n">
        <v>2013</v>
      </c>
      <c r="C281" s="0" t="s">
        <v>54</v>
      </c>
      <c r="D281" s="0" t="n">
        <v>7721</v>
      </c>
      <c r="E281" s="0" t="n">
        <v>1</v>
      </c>
      <c r="F281" s="0" t="s">
        <v>437</v>
      </c>
      <c r="G281" s="0" t="s">
        <v>7040</v>
      </c>
      <c r="I281" s="0" t="s">
        <v>3179</v>
      </c>
    </row>
    <row r="282" customFormat="false" ht="15" hidden="false" customHeight="false" outlineLevel="0" collapsed="false">
      <c r="A282" s="0" t="s">
        <v>115</v>
      </c>
      <c r="B282" s="0" t="n">
        <v>2013</v>
      </c>
      <c r="C282" s="0" t="s">
        <v>55</v>
      </c>
      <c r="D282" s="0" t="n">
        <v>1081217</v>
      </c>
      <c r="E282" s="0" t="n">
        <v>1</v>
      </c>
      <c r="F282" s="0" t="s">
        <v>437</v>
      </c>
      <c r="G282" s="0" t="s">
        <v>7040</v>
      </c>
      <c r="I282" s="0" t="s">
        <v>3182</v>
      </c>
    </row>
    <row r="283" customFormat="false" ht="15" hidden="false" customHeight="false" outlineLevel="0" collapsed="false">
      <c r="A283" s="0" t="s">
        <v>115</v>
      </c>
      <c r="B283" s="0" t="n">
        <v>2013</v>
      </c>
      <c r="C283" s="0" t="s">
        <v>56</v>
      </c>
      <c r="D283" s="0" t="n">
        <v>917762</v>
      </c>
      <c r="E283" s="0" t="n">
        <v>1</v>
      </c>
      <c r="F283" s="0" t="s">
        <v>437</v>
      </c>
      <c r="G283" s="0" t="s">
        <v>7040</v>
      </c>
      <c r="I283" s="0" t="s">
        <v>3184</v>
      </c>
    </row>
    <row r="284" customFormat="false" ht="15" hidden="false" customHeight="false" outlineLevel="0" collapsed="false">
      <c r="A284" s="0" t="s">
        <v>115</v>
      </c>
      <c r="B284" s="0" t="n">
        <v>2013</v>
      </c>
      <c r="C284" s="0" t="s">
        <v>57</v>
      </c>
      <c r="D284" s="0" t="n">
        <v>163455</v>
      </c>
      <c r="E284" s="0" t="n">
        <v>1</v>
      </c>
      <c r="F284" s="0" t="s">
        <v>437</v>
      </c>
      <c r="G284" s="0" t="s">
        <v>7040</v>
      </c>
      <c r="I284" s="0" t="s">
        <v>3183</v>
      </c>
    </row>
    <row r="285" customFormat="false" ht="15" hidden="false" customHeight="false" outlineLevel="0" collapsed="false">
      <c r="A285" s="0" t="s">
        <v>115</v>
      </c>
      <c r="B285" s="0" t="n">
        <v>2013</v>
      </c>
      <c r="C285" s="0" t="s">
        <v>58</v>
      </c>
      <c r="D285" s="0" t="n">
        <v>15048</v>
      </c>
      <c r="E285" s="0" t="n">
        <v>1</v>
      </c>
      <c r="F285" s="0" t="s">
        <v>437</v>
      </c>
      <c r="G285" s="0" t="s">
        <v>7040</v>
      </c>
      <c r="I285" s="0" t="s">
        <v>3178</v>
      </c>
    </row>
    <row r="286" customFormat="false" ht="15" hidden="false" customHeight="false" outlineLevel="0" collapsed="false">
      <c r="A286" s="0" t="s">
        <v>115</v>
      </c>
      <c r="B286" s="0" t="n">
        <v>2013</v>
      </c>
      <c r="C286" s="0" t="s">
        <v>59</v>
      </c>
      <c r="D286" s="0" t="n">
        <v>914360</v>
      </c>
      <c r="E286" s="0" t="n">
        <v>1</v>
      </c>
      <c r="F286" s="0" t="s">
        <v>437</v>
      </c>
      <c r="G286" s="0" t="s">
        <v>7040</v>
      </c>
      <c r="I286" s="0" t="s">
        <v>3177</v>
      </c>
    </row>
    <row r="287" customFormat="false" ht="15" hidden="false" customHeight="false" outlineLevel="0" collapsed="false">
      <c r="A287" s="0" t="s">
        <v>115</v>
      </c>
      <c r="B287" s="0" t="n">
        <v>2013</v>
      </c>
      <c r="C287" s="0" t="s">
        <v>60</v>
      </c>
      <c r="D287" s="0" t="n">
        <v>442649</v>
      </c>
      <c r="E287" s="0" t="n">
        <v>1</v>
      </c>
      <c r="F287" s="0" t="s">
        <v>437</v>
      </c>
      <c r="G287" s="0" t="s">
        <v>7040</v>
      </c>
      <c r="I287" s="0" t="s">
        <v>3169</v>
      </c>
    </row>
    <row r="288" customFormat="false" ht="15" hidden="false" customHeight="false" outlineLevel="0" collapsed="false">
      <c r="A288" s="0" t="s">
        <v>115</v>
      </c>
      <c r="B288" s="0" t="n">
        <v>2013</v>
      </c>
      <c r="C288" s="0" t="s">
        <v>61</v>
      </c>
      <c r="D288" s="0" t="n">
        <v>16573</v>
      </c>
      <c r="E288" s="0" t="n">
        <v>1</v>
      </c>
      <c r="F288" s="0" t="s">
        <v>437</v>
      </c>
      <c r="G288" s="0" t="s">
        <v>7040</v>
      </c>
      <c r="I288" s="0" t="s">
        <v>3175</v>
      </c>
    </row>
    <row r="289" customFormat="false" ht="15" hidden="false" customHeight="false" outlineLevel="0" collapsed="false">
      <c r="A289" s="0" t="s">
        <v>115</v>
      </c>
      <c r="B289" s="0" t="n">
        <v>2013</v>
      </c>
      <c r="C289" s="0" t="s">
        <v>63</v>
      </c>
      <c r="D289" s="0" t="n">
        <v>7630</v>
      </c>
      <c r="E289" s="0" t="n">
        <v>1</v>
      </c>
      <c r="F289" s="0" t="s">
        <v>437</v>
      </c>
      <c r="G289" s="0" t="s">
        <v>7040</v>
      </c>
      <c r="I289" s="0" t="s">
        <v>3173</v>
      </c>
    </row>
    <row r="290" customFormat="false" ht="15" hidden="false" customHeight="false" outlineLevel="0" collapsed="false">
      <c r="A290" s="0" t="s">
        <v>115</v>
      </c>
      <c r="B290" s="0" t="n">
        <v>2013</v>
      </c>
      <c r="C290" s="0" t="s">
        <v>307</v>
      </c>
      <c r="D290" s="0" t="n">
        <v>3190</v>
      </c>
      <c r="E290" s="0" t="n">
        <v>1</v>
      </c>
      <c r="F290" s="0" t="s">
        <v>437</v>
      </c>
      <c r="G290" s="0" t="s">
        <v>7040</v>
      </c>
      <c r="I290" s="0" t="s">
        <v>3171</v>
      </c>
    </row>
    <row r="291" customFormat="false" ht="15" hidden="false" customHeight="false" outlineLevel="0" collapsed="false">
      <c r="A291" s="0" t="s">
        <v>115</v>
      </c>
      <c r="B291" s="0" t="n">
        <v>2013</v>
      </c>
      <c r="C291" s="0" t="s">
        <v>69</v>
      </c>
      <c r="D291" s="0" t="n">
        <v>26</v>
      </c>
      <c r="E291" s="0" t="n">
        <v>1</v>
      </c>
      <c r="F291" s="0" t="s">
        <v>437</v>
      </c>
      <c r="G291" s="0" t="s">
        <v>7040</v>
      </c>
      <c r="I291" s="0" t="s">
        <v>3161</v>
      </c>
    </row>
    <row r="292" customFormat="false" ht="15" hidden="false" customHeight="false" outlineLevel="0" collapsed="false">
      <c r="A292" s="0" t="s">
        <v>115</v>
      </c>
      <c r="B292" s="0" t="n">
        <v>2014</v>
      </c>
      <c r="C292" s="0" t="s">
        <v>54</v>
      </c>
      <c r="D292" s="0" t="n">
        <v>13796</v>
      </c>
      <c r="E292" s="0" t="n">
        <v>1</v>
      </c>
      <c r="F292" s="0" t="s">
        <v>437</v>
      </c>
      <c r="G292" s="0" t="s">
        <v>7040</v>
      </c>
      <c r="I292" s="0" t="s">
        <v>783</v>
      </c>
    </row>
    <row r="293" customFormat="false" ht="15" hidden="false" customHeight="false" outlineLevel="0" collapsed="false">
      <c r="A293" s="0" t="s">
        <v>115</v>
      </c>
      <c r="B293" s="0" t="n">
        <v>2014</v>
      </c>
      <c r="C293" s="0" t="s">
        <v>55</v>
      </c>
      <c r="D293" s="0" t="n">
        <v>1187025</v>
      </c>
      <c r="E293" s="0" t="n">
        <v>1</v>
      </c>
      <c r="F293" s="0" t="s">
        <v>437</v>
      </c>
      <c r="G293" s="0" t="s">
        <v>7040</v>
      </c>
      <c r="I293" s="0" t="s">
        <v>784</v>
      </c>
    </row>
    <row r="294" customFormat="false" ht="15" hidden="false" customHeight="false" outlineLevel="0" collapsed="false">
      <c r="A294" s="0" t="s">
        <v>115</v>
      </c>
      <c r="B294" s="0" t="n">
        <v>2014</v>
      </c>
      <c r="C294" s="0" t="s">
        <v>56</v>
      </c>
      <c r="D294" s="0" t="n">
        <v>1013914</v>
      </c>
      <c r="E294" s="0" t="n">
        <v>1</v>
      </c>
      <c r="F294" s="0" t="s">
        <v>437</v>
      </c>
      <c r="G294" s="0" t="s">
        <v>7040</v>
      </c>
      <c r="I294" s="0" t="s">
        <v>785</v>
      </c>
    </row>
    <row r="295" customFormat="false" ht="15" hidden="false" customHeight="false" outlineLevel="0" collapsed="false">
      <c r="A295" s="0" t="s">
        <v>115</v>
      </c>
      <c r="B295" s="0" t="n">
        <v>2014</v>
      </c>
      <c r="C295" s="0" t="s">
        <v>57</v>
      </c>
      <c r="D295" s="0" t="n">
        <v>173111</v>
      </c>
      <c r="E295" s="0" t="n">
        <v>1</v>
      </c>
      <c r="F295" s="0" t="s">
        <v>437</v>
      </c>
      <c r="G295" s="0" t="s">
        <v>7040</v>
      </c>
      <c r="I295" s="0" t="s">
        <v>786</v>
      </c>
    </row>
    <row r="296" customFormat="false" ht="15" hidden="false" customHeight="false" outlineLevel="0" collapsed="false">
      <c r="A296" s="0" t="s">
        <v>115</v>
      </c>
      <c r="B296" s="0" t="n">
        <v>2014</v>
      </c>
      <c r="C296" s="0" t="s">
        <v>58</v>
      </c>
      <c r="D296" s="0" t="n">
        <v>53565</v>
      </c>
      <c r="E296" s="0" t="n">
        <v>1</v>
      </c>
      <c r="F296" s="0" t="s">
        <v>437</v>
      </c>
      <c r="G296" s="0" t="s">
        <v>7040</v>
      </c>
      <c r="I296" s="0" t="s">
        <v>787</v>
      </c>
    </row>
    <row r="297" customFormat="false" ht="15" hidden="false" customHeight="false" outlineLevel="0" collapsed="false">
      <c r="A297" s="0" t="s">
        <v>115</v>
      </c>
      <c r="B297" s="0" t="n">
        <v>2014</v>
      </c>
      <c r="C297" s="0" t="s">
        <v>59</v>
      </c>
      <c r="D297" s="0" t="n">
        <v>1081217</v>
      </c>
      <c r="E297" s="0" t="n">
        <v>1</v>
      </c>
      <c r="F297" s="0" t="s">
        <v>437</v>
      </c>
      <c r="G297" s="0" t="s">
        <v>7040</v>
      </c>
      <c r="I297" s="0" t="s">
        <v>788</v>
      </c>
    </row>
    <row r="298" customFormat="false" ht="15" hidden="false" customHeight="false" outlineLevel="0" collapsed="false">
      <c r="A298" s="0" t="s">
        <v>115</v>
      </c>
      <c r="B298" s="0" t="n">
        <v>2014</v>
      </c>
      <c r="C298" s="0" t="s">
        <v>60</v>
      </c>
      <c r="D298" s="0" t="n">
        <v>559137</v>
      </c>
      <c r="E298" s="0" t="n">
        <v>1</v>
      </c>
      <c r="F298" s="0" t="s">
        <v>437</v>
      </c>
      <c r="G298" s="0" t="s">
        <v>7040</v>
      </c>
      <c r="I298" s="0" t="s">
        <v>789</v>
      </c>
    </row>
    <row r="299" customFormat="false" ht="15" hidden="false" customHeight="false" outlineLevel="0" collapsed="false">
      <c r="A299" s="0" t="s">
        <v>115</v>
      </c>
      <c r="B299" s="0" t="n">
        <v>2014</v>
      </c>
      <c r="C299" s="0" t="s">
        <v>61</v>
      </c>
      <c r="D299" s="0" t="n">
        <v>17451</v>
      </c>
      <c r="E299" s="0" t="n">
        <v>1</v>
      </c>
      <c r="F299" s="0" t="s">
        <v>437</v>
      </c>
      <c r="G299" s="0" t="s">
        <v>7040</v>
      </c>
      <c r="I299" s="0" t="s">
        <v>790</v>
      </c>
    </row>
    <row r="300" customFormat="false" ht="15" hidden="false" customHeight="false" outlineLevel="0" collapsed="false">
      <c r="A300" s="0" t="s">
        <v>115</v>
      </c>
      <c r="B300" s="0" t="n">
        <v>2014</v>
      </c>
      <c r="C300" s="0" t="s">
        <v>62</v>
      </c>
      <c r="D300" s="0" t="n">
        <v>541686</v>
      </c>
      <c r="E300" s="0" t="n">
        <v>1</v>
      </c>
      <c r="F300" s="0" t="s">
        <v>437</v>
      </c>
      <c r="G300" s="0" t="s">
        <v>7040</v>
      </c>
      <c r="I300" s="0" t="s">
        <v>791</v>
      </c>
    </row>
    <row r="301" customFormat="false" ht="15" hidden="false" customHeight="false" outlineLevel="0" collapsed="false">
      <c r="A301" s="0" t="s">
        <v>115</v>
      </c>
      <c r="B301" s="0" t="n">
        <v>2014</v>
      </c>
      <c r="C301" s="0" t="s">
        <v>63</v>
      </c>
      <c r="D301" s="0" t="n">
        <v>4306</v>
      </c>
      <c r="E301" s="0" t="n">
        <v>1</v>
      </c>
      <c r="F301" s="0" t="s">
        <v>437</v>
      </c>
      <c r="G301" s="0" t="s">
        <v>7040</v>
      </c>
      <c r="I301" s="0" t="s">
        <v>792</v>
      </c>
    </row>
    <row r="302" customFormat="false" ht="15" hidden="false" customHeight="false" outlineLevel="0" collapsed="false">
      <c r="A302" s="0" t="s">
        <v>115</v>
      </c>
      <c r="B302" s="0" t="n">
        <v>2014</v>
      </c>
      <c r="C302" s="0" t="s">
        <v>69</v>
      </c>
      <c r="D302" s="0" t="n">
        <v>24.21</v>
      </c>
      <c r="E302" s="0" t="n">
        <v>1</v>
      </c>
      <c r="F302" s="0" t="s">
        <v>437</v>
      </c>
      <c r="G302" s="0" t="s">
        <v>7040</v>
      </c>
      <c r="I302" s="0" t="s">
        <v>793</v>
      </c>
    </row>
    <row r="303" customFormat="false" ht="15" hidden="false" customHeight="false" outlineLevel="0" collapsed="false">
      <c r="A303" s="0" t="s">
        <v>115</v>
      </c>
      <c r="B303" s="0" t="n">
        <v>2014</v>
      </c>
      <c r="C303" s="0" t="s">
        <v>70</v>
      </c>
      <c r="D303" s="0" t="n">
        <v>15</v>
      </c>
      <c r="E303" s="0" t="n">
        <v>1</v>
      </c>
      <c r="F303" s="0" t="s">
        <v>437</v>
      </c>
      <c r="G303" s="0" t="s">
        <v>7040</v>
      </c>
      <c r="I303" s="0" t="s">
        <v>794</v>
      </c>
    </row>
    <row r="304" customFormat="false" ht="15" hidden="false" customHeight="false" outlineLevel="0" collapsed="false">
      <c r="A304" s="0" t="s">
        <v>115</v>
      </c>
      <c r="B304" s="0" t="n">
        <v>2014</v>
      </c>
      <c r="C304" s="0" t="s">
        <v>65</v>
      </c>
      <c r="D304" s="0" t="n">
        <v>198886</v>
      </c>
      <c r="E304" s="0" t="n">
        <v>1</v>
      </c>
      <c r="F304" s="0" t="s">
        <v>437</v>
      </c>
      <c r="G304" s="0" t="s">
        <v>7040</v>
      </c>
      <c r="I304" s="0" t="s">
        <v>795</v>
      </c>
    </row>
    <row r="305" customFormat="false" ht="15" hidden="false" customHeight="false" outlineLevel="0" collapsed="false">
      <c r="A305" s="0" t="s">
        <v>115</v>
      </c>
      <c r="B305" s="0" t="n">
        <v>2014</v>
      </c>
      <c r="C305" s="0" t="s">
        <v>66</v>
      </c>
      <c r="D305" s="0" t="n">
        <v>821527</v>
      </c>
      <c r="E305" s="0" t="n">
        <v>1</v>
      </c>
      <c r="F305" s="0" t="s">
        <v>437</v>
      </c>
      <c r="G305" s="0" t="s">
        <v>7040</v>
      </c>
      <c r="I305" s="0" t="s">
        <v>796</v>
      </c>
    </row>
    <row r="306" customFormat="false" ht="15" hidden="false" customHeight="false" outlineLevel="0" collapsed="false">
      <c r="A306" s="0" t="s">
        <v>115</v>
      </c>
      <c r="B306" s="0" t="n">
        <v>2014</v>
      </c>
      <c r="C306" s="0" t="s">
        <v>73</v>
      </c>
      <c r="D306" s="0" t="n">
        <v>0</v>
      </c>
      <c r="E306" s="0" t="n">
        <v>1</v>
      </c>
      <c r="F306" s="0" t="s">
        <v>437</v>
      </c>
      <c r="G306" s="0" t="s">
        <v>7040</v>
      </c>
      <c r="I306" s="0" t="s">
        <v>797</v>
      </c>
    </row>
    <row r="307" customFormat="false" ht="15" hidden="false" customHeight="false" outlineLevel="0" collapsed="false">
      <c r="A307" s="0" t="s">
        <v>115</v>
      </c>
      <c r="B307" s="0" t="n">
        <v>2014</v>
      </c>
      <c r="C307" s="0" t="s">
        <v>541</v>
      </c>
      <c r="D307" s="0" t="n">
        <v>15515</v>
      </c>
      <c r="E307" s="0" t="n">
        <v>1</v>
      </c>
      <c r="F307" s="0" t="s">
        <v>437</v>
      </c>
      <c r="G307" s="0" t="s">
        <v>7040</v>
      </c>
      <c r="I307" s="0" t="s">
        <v>798</v>
      </c>
    </row>
    <row r="308" customFormat="false" ht="15" hidden="false" customHeight="false" outlineLevel="0" collapsed="false">
      <c r="A308" s="0" t="s">
        <v>115</v>
      </c>
      <c r="B308" s="0" t="n">
        <v>2014</v>
      </c>
      <c r="C308" s="0" t="s">
        <v>543</v>
      </c>
      <c r="D308" s="0" t="n">
        <v>10848</v>
      </c>
      <c r="E308" s="0" t="n">
        <v>1</v>
      </c>
      <c r="F308" s="0" t="s">
        <v>437</v>
      </c>
      <c r="G308" s="0" t="s">
        <v>7040</v>
      </c>
      <c r="I308" s="0" t="s">
        <v>799</v>
      </c>
    </row>
    <row r="309" customFormat="false" ht="15" hidden="false" customHeight="false" outlineLevel="0" collapsed="false">
      <c r="A309" s="0" t="s">
        <v>115</v>
      </c>
      <c r="B309" s="0" t="n">
        <v>2014</v>
      </c>
      <c r="C309" s="0" t="s">
        <v>545</v>
      </c>
      <c r="D309" s="0" t="n">
        <v>6603</v>
      </c>
      <c r="E309" s="0" t="n">
        <v>1</v>
      </c>
      <c r="F309" s="0" t="s">
        <v>437</v>
      </c>
      <c r="G309" s="0" t="s">
        <v>7040</v>
      </c>
      <c r="I309" s="0" t="s">
        <v>800</v>
      </c>
    </row>
    <row r="310" customFormat="false" ht="15" hidden="false" customHeight="false" outlineLevel="0" collapsed="false">
      <c r="A310" s="0" t="s">
        <v>115</v>
      </c>
      <c r="B310" s="0" t="n">
        <v>2015</v>
      </c>
      <c r="C310" s="0" t="s">
        <v>54</v>
      </c>
      <c r="D310" s="0" t="n">
        <v>13904</v>
      </c>
      <c r="E310" s="0" t="n">
        <v>1</v>
      </c>
      <c r="F310" s="0" t="s">
        <v>437</v>
      </c>
      <c r="G310" s="0" t="s">
        <v>7040</v>
      </c>
      <c r="I310" s="0" t="s">
        <v>801</v>
      </c>
    </row>
    <row r="311" customFormat="false" ht="15" hidden="false" customHeight="false" outlineLevel="0" collapsed="false">
      <c r="A311" s="0" t="s">
        <v>115</v>
      </c>
      <c r="B311" s="0" t="n">
        <v>2015</v>
      </c>
      <c r="C311" s="0" t="s">
        <v>55</v>
      </c>
      <c r="D311" s="0" t="n">
        <v>1231722</v>
      </c>
      <c r="E311" s="0" t="n">
        <v>1</v>
      </c>
      <c r="F311" s="0" t="s">
        <v>437</v>
      </c>
      <c r="G311" s="0" t="s">
        <v>7040</v>
      </c>
      <c r="I311" s="0" t="s">
        <v>802</v>
      </c>
    </row>
    <row r="312" customFormat="false" ht="15" hidden="false" customHeight="false" outlineLevel="0" collapsed="false">
      <c r="A312" s="0" t="s">
        <v>115</v>
      </c>
      <c r="B312" s="0" t="n">
        <v>2015</v>
      </c>
      <c r="C312" s="0" t="s">
        <v>56</v>
      </c>
      <c r="D312" s="0" t="n">
        <v>1048206</v>
      </c>
      <c r="E312" s="0" t="n">
        <v>1</v>
      </c>
      <c r="F312" s="0" t="s">
        <v>437</v>
      </c>
      <c r="G312" s="0" t="s">
        <v>7040</v>
      </c>
      <c r="I312" s="0" t="s">
        <v>803</v>
      </c>
    </row>
    <row r="313" customFormat="false" ht="15" hidden="false" customHeight="false" outlineLevel="0" collapsed="false">
      <c r="A313" s="0" t="s">
        <v>115</v>
      </c>
      <c r="B313" s="0" t="n">
        <v>2015</v>
      </c>
      <c r="C313" s="0" t="s">
        <v>57</v>
      </c>
      <c r="D313" s="0" t="n">
        <v>183516</v>
      </c>
      <c r="E313" s="0" t="n">
        <v>1</v>
      </c>
      <c r="F313" s="0" t="s">
        <v>437</v>
      </c>
      <c r="G313" s="0" t="s">
        <v>7040</v>
      </c>
      <c r="I313" s="0" t="s">
        <v>804</v>
      </c>
    </row>
    <row r="314" customFormat="false" ht="15" hidden="false" customHeight="false" outlineLevel="0" collapsed="false">
      <c r="A314" s="0" t="s">
        <v>115</v>
      </c>
      <c r="B314" s="0" t="n">
        <v>2015</v>
      </c>
      <c r="C314" s="0" t="s">
        <v>58</v>
      </c>
      <c r="D314" s="0" t="n">
        <v>107132</v>
      </c>
      <c r="E314" s="0" t="n">
        <v>1</v>
      </c>
      <c r="F314" s="0" t="s">
        <v>437</v>
      </c>
      <c r="G314" s="0" t="s">
        <v>7040</v>
      </c>
      <c r="I314" s="0" t="s">
        <v>805</v>
      </c>
    </row>
    <row r="315" customFormat="false" ht="15" hidden="false" customHeight="false" outlineLevel="0" collapsed="false">
      <c r="A315" s="0" t="s">
        <v>115</v>
      </c>
      <c r="B315" s="0" t="n">
        <v>2015</v>
      </c>
      <c r="C315" s="0" t="s">
        <v>59</v>
      </c>
      <c r="D315" s="0" t="n">
        <v>1187025</v>
      </c>
      <c r="E315" s="0" t="n">
        <v>1</v>
      </c>
      <c r="F315" s="0" t="s">
        <v>437</v>
      </c>
      <c r="G315" s="0" t="s">
        <v>7040</v>
      </c>
      <c r="I315" s="0" t="s">
        <v>806</v>
      </c>
    </row>
    <row r="316" customFormat="false" ht="15" hidden="false" customHeight="false" outlineLevel="0" collapsed="false">
      <c r="A316" s="0" t="s">
        <v>115</v>
      </c>
      <c r="B316" s="0" t="n">
        <v>2015</v>
      </c>
      <c r="C316" s="0" t="s">
        <v>60</v>
      </c>
      <c r="D316" s="0" t="n">
        <v>598978</v>
      </c>
      <c r="E316" s="0" t="n">
        <v>1</v>
      </c>
      <c r="F316" s="0" t="s">
        <v>437</v>
      </c>
      <c r="G316" s="0" t="s">
        <v>7040</v>
      </c>
      <c r="I316" s="0" t="s">
        <v>807</v>
      </c>
    </row>
    <row r="317" customFormat="false" ht="15" hidden="false" customHeight="false" outlineLevel="0" collapsed="false">
      <c r="A317" s="0" t="s">
        <v>115</v>
      </c>
      <c r="B317" s="0" t="n">
        <v>2015</v>
      </c>
      <c r="C317" s="0" t="s">
        <v>61</v>
      </c>
      <c r="D317" s="0" t="n">
        <v>20776</v>
      </c>
      <c r="E317" s="0" t="n">
        <v>1</v>
      </c>
      <c r="F317" s="0" t="s">
        <v>437</v>
      </c>
      <c r="G317" s="0" t="s">
        <v>7040</v>
      </c>
      <c r="I317" s="0" t="s">
        <v>808</v>
      </c>
    </row>
    <row r="318" customFormat="false" ht="15" hidden="false" customHeight="false" outlineLevel="0" collapsed="false">
      <c r="A318" s="0" t="s">
        <v>115</v>
      </c>
      <c r="B318" s="0" t="n">
        <v>2015</v>
      </c>
      <c r="C318" s="0" t="s">
        <v>62</v>
      </c>
      <c r="D318" s="0" t="n">
        <v>578203</v>
      </c>
      <c r="E318" s="0" t="n">
        <v>1</v>
      </c>
      <c r="F318" s="0" t="s">
        <v>437</v>
      </c>
      <c r="G318" s="0" t="s">
        <v>7040</v>
      </c>
      <c r="I318" s="0" t="s">
        <v>809</v>
      </c>
    </row>
    <row r="319" customFormat="false" ht="15" hidden="false" customHeight="false" outlineLevel="0" collapsed="false">
      <c r="A319" s="0" t="s">
        <v>115</v>
      </c>
      <c r="B319" s="0" t="n">
        <v>2015</v>
      </c>
      <c r="C319" s="0" t="s">
        <v>63</v>
      </c>
      <c r="D319" s="0" t="n">
        <v>5764</v>
      </c>
      <c r="E319" s="0" t="n">
        <v>1</v>
      </c>
      <c r="F319" s="0" t="s">
        <v>437</v>
      </c>
      <c r="G319" s="0" t="s">
        <v>7040</v>
      </c>
      <c r="I319" s="0" t="s">
        <v>810</v>
      </c>
    </row>
    <row r="320" customFormat="false" ht="15" hidden="false" customHeight="false" outlineLevel="0" collapsed="false">
      <c r="A320" s="0" t="s">
        <v>115</v>
      </c>
      <c r="B320" s="0" t="n">
        <v>2015</v>
      </c>
      <c r="C320" s="0" t="s">
        <v>69</v>
      </c>
      <c r="D320" s="0" t="n">
        <v>19</v>
      </c>
      <c r="E320" s="0" t="n">
        <v>1</v>
      </c>
      <c r="F320" s="0" t="s">
        <v>437</v>
      </c>
      <c r="G320" s="0" t="s">
        <v>7040</v>
      </c>
      <c r="I320" s="0" t="s">
        <v>811</v>
      </c>
    </row>
    <row r="321" customFormat="false" ht="15" hidden="false" customHeight="false" outlineLevel="0" collapsed="false">
      <c r="A321" s="0" t="s">
        <v>115</v>
      </c>
      <c r="B321" s="0" t="n">
        <v>2015</v>
      </c>
      <c r="C321" s="0" t="s">
        <v>70</v>
      </c>
      <c r="D321" s="0" t="n">
        <v>15</v>
      </c>
      <c r="E321" s="0" t="n">
        <v>1</v>
      </c>
      <c r="F321" s="0" t="s">
        <v>437</v>
      </c>
      <c r="G321" s="0" t="s">
        <v>7040</v>
      </c>
      <c r="I321" s="0" t="s">
        <v>812</v>
      </c>
    </row>
    <row r="322" customFormat="false" ht="15" hidden="false" customHeight="false" outlineLevel="0" collapsed="false">
      <c r="A322" s="0" t="s">
        <v>115</v>
      </c>
      <c r="B322" s="0" t="n">
        <v>2015</v>
      </c>
      <c r="C322" s="0" t="s">
        <v>65</v>
      </c>
      <c r="D322" s="0" t="n">
        <v>191595</v>
      </c>
      <c r="E322" s="0" t="n">
        <v>1</v>
      </c>
      <c r="F322" s="0" t="s">
        <v>437</v>
      </c>
      <c r="G322" s="0" t="s">
        <v>7040</v>
      </c>
      <c r="I322" s="0" t="s">
        <v>813</v>
      </c>
    </row>
    <row r="323" customFormat="false" ht="15" hidden="false" customHeight="false" outlineLevel="0" collapsed="false">
      <c r="A323" s="0" t="s">
        <v>115</v>
      </c>
      <c r="B323" s="0" t="n">
        <v>2015</v>
      </c>
      <c r="C323" s="0" t="s">
        <v>66</v>
      </c>
      <c r="D323" s="0" t="n">
        <v>1012062</v>
      </c>
      <c r="E323" s="0" t="n">
        <v>1</v>
      </c>
      <c r="F323" s="0" t="s">
        <v>437</v>
      </c>
      <c r="G323" s="0" t="s">
        <v>7040</v>
      </c>
      <c r="I323" s="0" t="s">
        <v>814</v>
      </c>
    </row>
    <row r="324" customFormat="false" ht="15" hidden="false" customHeight="false" outlineLevel="0" collapsed="false">
      <c r="A324" s="0" t="s">
        <v>115</v>
      </c>
      <c r="B324" s="0" t="n">
        <v>2015</v>
      </c>
      <c r="C324" s="0" t="s">
        <v>73</v>
      </c>
      <c r="D324" s="0" t="n">
        <v>0</v>
      </c>
      <c r="E324" s="0" t="n">
        <v>1</v>
      </c>
      <c r="F324" s="0" t="s">
        <v>437</v>
      </c>
      <c r="G324" s="0" t="s">
        <v>7040</v>
      </c>
      <c r="I324" s="0" t="s">
        <v>815</v>
      </c>
    </row>
    <row r="325" customFormat="false" ht="15" hidden="false" customHeight="false" outlineLevel="0" collapsed="false">
      <c r="A325" s="0" t="s">
        <v>115</v>
      </c>
      <c r="B325" s="0" t="n">
        <v>2015</v>
      </c>
      <c r="C325" s="0" t="s">
        <v>541</v>
      </c>
      <c r="D325" s="0" t="n">
        <v>14024</v>
      </c>
      <c r="E325" s="0" t="n">
        <v>1</v>
      </c>
      <c r="F325" s="0" t="s">
        <v>437</v>
      </c>
      <c r="G325" s="0" t="s">
        <v>7040</v>
      </c>
      <c r="I325" s="0" t="s">
        <v>816</v>
      </c>
    </row>
    <row r="326" customFormat="false" ht="15" hidden="false" customHeight="false" outlineLevel="0" collapsed="false">
      <c r="A326" s="0" t="s">
        <v>115</v>
      </c>
      <c r="B326" s="0" t="n">
        <v>2015</v>
      </c>
      <c r="C326" s="0" t="s">
        <v>543</v>
      </c>
      <c r="D326" s="0" t="n">
        <v>13440</v>
      </c>
      <c r="E326" s="0" t="n">
        <v>1</v>
      </c>
      <c r="F326" s="0" t="s">
        <v>437</v>
      </c>
      <c r="G326" s="0" t="s">
        <v>7040</v>
      </c>
      <c r="I326" s="0" t="s">
        <v>817</v>
      </c>
    </row>
    <row r="327" customFormat="false" ht="15" hidden="false" customHeight="false" outlineLevel="0" collapsed="false">
      <c r="A327" s="0" t="s">
        <v>115</v>
      </c>
      <c r="B327" s="0" t="n">
        <v>2015</v>
      </c>
      <c r="C327" s="0" t="s">
        <v>545</v>
      </c>
      <c r="D327" s="0" t="n">
        <v>7336</v>
      </c>
      <c r="E327" s="0" t="n">
        <v>1</v>
      </c>
      <c r="F327" s="0" t="s">
        <v>437</v>
      </c>
      <c r="G327" s="0" t="s">
        <v>7040</v>
      </c>
      <c r="I327" s="0" t="s">
        <v>818</v>
      </c>
    </row>
    <row r="328" customFormat="false" ht="15" hidden="false" customHeight="false" outlineLevel="0" collapsed="false">
      <c r="A328" s="0" t="s">
        <v>115</v>
      </c>
      <c r="B328" s="0" t="n">
        <v>2016</v>
      </c>
      <c r="C328" s="0" t="s">
        <v>54</v>
      </c>
      <c r="D328" s="0" t="n">
        <v>9734</v>
      </c>
      <c r="E328" s="0" t="n">
        <v>1</v>
      </c>
      <c r="F328" s="0" t="s">
        <v>437</v>
      </c>
      <c r="G328" s="0" t="s">
        <v>7040</v>
      </c>
      <c r="I328" s="0" t="s">
        <v>819</v>
      </c>
    </row>
    <row r="329" customFormat="false" ht="15" hidden="false" customHeight="false" outlineLevel="0" collapsed="false">
      <c r="A329" s="0" t="s">
        <v>115</v>
      </c>
      <c r="B329" s="0" t="n">
        <v>2016</v>
      </c>
      <c r="C329" s="0" t="s">
        <v>55</v>
      </c>
      <c r="D329" s="0" t="n">
        <v>1298141</v>
      </c>
      <c r="E329" s="0" t="n">
        <v>1</v>
      </c>
      <c r="F329" s="0" t="s">
        <v>437</v>
      </c>
      <c r="G329" s="0" t="s">
        <v>7040</v>
      </c>
      <c r="I329" s="0" t="s">
        <v>820</v>
      </c>
    </row>
    <row r="330" customFormat="false" ht="15" hidden="false" customHeight="false" outlineLevel="0" collapsed="false">
      <c r="A330" s="0" t="s">
        <v>115</v>
      </c>
      <c r="B330" s="0" t="n">
        <v>2016</v>
      </c>
      <c r="C330" s="0" t="s">
        <v>56</v>
      </c>
      <c r="D330" s="0" t="n">
        <v>1112739</v>
      </c>
      <c r="E330" s="0" t="n">
        <v>1</v>
      </c>
      <c r="F330" s="0" t="s">
        <v>437</v>
      </c>
      <c r="G330" s="0" t="s">
        <v>7040</v>
      </c>
      <c r="I330" s="0" t="s">
        <v>821</v>
      </c>
    </row>
    <row r="331" customFormat="false" ht="15" hidden="false" customHeight="false" outlineLevel="0" collapsed="false">
      <c r="A331" s="0" t="s">
        <v>115</v>
      </c>
      <c r="B331" s="0" t="n">
        <v>2016</v>
      </c>
      <c r="C331" s="0" t="s">
        <v>57</v>
      </c>
      <c r="D331" s="0" t="n">
        <v>185402</v>
      </c>
      <c r="E331" s="0" t="n">
        <v>1</v>
      </c>
      <c r="F331" s="0" t="s">
        <v>437</v>
      </c>
      <c r="G331" s="0" t="s">
        <v>7040</v>
      </c>
      <c r="I331" s="0" t="s">
        <v>822</v>
      </c>
    </row>
    <row r="332" customFormat="false" ht="15" hidden="false" customHeight="false" outlineLevel="0" collapsed="false">
      <c r="A332" s="0" t="s">
        <v>115</v>
      </c>
      <c r="B332" s="0" t="n">
        <v>2016</v>
      </c>
      <c r="C332" s="0" t="s">
        <v>58</v>
      </c>
      <c r="D332" s="0" t="n">
        <v>-56907</v>
      </c>
      <c r="E332" s="0" t="n">
        <v>1</v>
      </c>
      <c r="F332" s="0" t="s">
        <v>437</v>
      </c>
      <c r="G332" s="0" t="s">
        <v>7040</v>
      </c>
      <c r="I332" s="0" t="s">
        <v>823</v>
      </c>
    </row>
    <row r="333" customFormat="false" ht="15" hidden="false" customHeight="false" outlineLevel="0" collapsed="false">
      <c r="A333" s="0" t="s">
        <v>115</v>
      </c>
      <c r="B333" s="0" t="n">
        <v>2016</v>
      </c>
      <c r="C333" s="0" t="s">
        <v>59</v>
      </c>
      <c r="D333" s="0" t="n">
        <v>1231722</v>
      </c>
      <c r="E333" s="0" t="n">
        <v>1</v>
      </c>
      <c r="F333" s="0" t="s">
        <v>437</v>
      </c>
      <c r="G333" s="0" t="s">
        <v>7040</v>
      </c>
      <c r="I333" s="0" t="s">
        <v>824</v>
      </c>
    </row>
    <row r="334" customFormat="false" ht="15" hidden="false" customHeight="false" outlineLevel="0" collapsed="false">
      <c r="A334" s="0" t="s">
        <v>115</v>
      </c>
      <c r="B334" s="0" t="n">
        <v>2016</v>
      </c>
      <c r="C334" s="0" t="s">
        <v>60</v>
      </c>
      <c r="D334" s="0" t="n">
        <v>743120</v>
      </c>
      <c r="E334" s="0" t="n">
        <v>1</v>
      </c>
      <c r="F334" s="0" t="s">
        <v>437</v>
      </c>
      <c r="G334" s="0" t="s">
        <v>7040</v>
      </c>
      <c r="I334" s="0" t="s">
        <v>825</v>
      </c>
    </row>
    <row r="335" customFormat="false" ht="15" hidden="false" customHeight="false" outlineLevel="0" collapsed="false">
      <c r="A335" s="0" t="s">
        <v>115</v>
      </c>
      <c r="B335" s="0" t="n">
        <v>2016</v>
      </c>
      <c r="C335" s="0" t="s">
        <v>61</v>
      </c>
      <c r="D335" s="0" t="n">
        <v>24719</v>
      </c>
      <c r="E335" s="0" t="n">
        <v>1</v>
      </c>
      <c r="F335" s="0" t="s">
        <v>437</v>
      </c>
      <c r="G335" s="0" t="s">
        <v>7040</v>
      </c>
      <c r="I335" s="0" t="s">
        <v>826</v>
      </c>
    </row>
    <row r="336" customFormat="false" ht="15" hidden="false" customHeight="false" outlineLevel="0" collapsed="false">
      <c r="A336" s="0" t="s">
        <v>115</v>
      </c>
      <c r="B336" s="0" t="n">
        <v>2016</v>
      </c>
      <c r="C336" s="0" t="s">
        <v>62</v>
      </c>
      <c r="D336" s="0" t="n">
        <v>718401</v>
      </c>
      <c r="E336" s="0" t="n">
        <v>1</v>
      </c>
      <c r="F336" s="0" t="s">
        <v>437</v>
      </c>
      <c r="G336" s="0" t="s">
        <v>7040</v>
      </c>
      <c r="I336" s="0" t="s">
        <v>827</v>
      </c>
    </row>
    <row r="337" customFormat="false" ht="15" hidden="false" customHeight="false" outlineLevel="0" collapsed="false">
      <c r="A337" s="0" t="s">
        <v>115</v>
      </c>
      <c r="B337" s="0" t="n">
        <v>2016</v>
      </c>
      <c r="C337" s="0" t="s">
        <v>63</v>
      </c>
      <c r="D337" s="0" t="n">
        <v>8671</v>
      </c>
      <c r="E337" s="0" t="n">
        <v>1</v>
      </c>
      <c r="F337" s="0" t="s">
        <v>437</v>
      </c>
      <c r="G337" s="0" t="s">
        <v>7040</v>
      </c>
      <c r="I337" s="0" t="s">
        <v>828</v>
      </c>
    </row>
    <row r="338" customFormat="false" ht="15" hidden="false" customHeight="false" outlineLevel="0" collapsed="false">
      <c r="A338" s="0" t="s">
        <v>115</v>
      </c>
      <c r="B338" s="0" t="n">
        <v>2016</v>
      </c>
      <c r="C338" s="0" t="s">
        <v>69</v>
      </c>
      <c r="D338" s="0" t="n">
        <v>17.22</v>
      </c>
      <c r="E338" s="0" t="n">
        <v>1</v>
      </c>
      <c r="F338" s="0" t="s">
        <v>437</v>
      </c>
      <c r="G338" s="0" t="s">
        <v>7040</v>
      </c>
      <c r="I338" s="0" t="s">
        <v>829</v>
      </c>
    </row>
    <row r="339" customFormat="false" ht="15" hidden="false" customHeight="false" outlineLevel="0" collapsed="false">
      <c r="A339" s="0" t="s">
        <v>115</v>
      </c>
      <c r="B339" s="0" t="n">
        <v>2016</v>
      </c>
      <c r="C339" s="0" t="s">
        <v>70</v>
      </c>
      <c r="D339" s="0" t="n">
        <v>15</v>
      </c>
      <c r="E339" s="0" t="n">
        <v>1</v>
      </c>
      <c r="F339" s="0" t="s">
        <v>437</v>
      </c>
      <c r="G339" s="0" t="s">
        <v>7040</v>
      </c>
      <c r="I339" s="0" t="s">
        <v>831</v>
      </c>
    </row>
    <row r="340" customFormat="false" ht="15" hidden="false" customHeight="false" outlineLevel="0" collapsed="false">
      <c r="A340" s="0" t="s">
        <v>115</v>
      </c>
      <c r="B340" s="0" t="n">
        <v>2016</v>
      </c>
      <c r="C340" s="0" t="s">
        <v>65</v>
      </c>
      <c r="D340" s="0" t="n">
        <v>196913</v>
      </c>
      <c r="E340" s="0" t="n">
        <v>1</v>
      </c>
      <c r="F340" s="0" t="s">
        <v>437</v>
      </c>
      <c r="G340" s="0" t="s">
        <v>7040</v>
      </c>
      <c r="I340" s="0" t="s">
        <v>832</v>
      </c>
    </row>
    <row r="341" customFormat="false" ht="15" hidden="false" customHeight="false" outlineLevel="0" collapsed="false">
      <c r="A341" s="0" t="s">
        <v>115</v>
      </c>
      <c r="B341" s="0" t="n">
        <v>2016</v>
      </c>
      <c r="C341" s="0" t="s">
        <v>66</v>
      </c>
      <c r="D341" s="0" t="n">
        <v>1138258</v>
      </c>
      <c r="E341" s="0" t="n">
        <v>1</v>
      </c>
      <c r="F341" s="0" t="s">
        <v>437</v>
      </c>
      <c r="G341" s="0" t="s">
        <v>7040</v>
      </c>
      <c r="I341" s="0" t="s">
        <v>833</v>
      </c>
    </row>
    <row r="342" customFormat="false" ht="15" hidden="false" customHeight="false" outlineLevel="0" collapsed="false">
      <c r="A342" s="0" t="s">
        <v>115</v>
      </c>
      <c r="B342" s="0" t="n">
        <v>2016</v>
      </c>
      <c r="C342" s="0" t="s">
        <v>73</v>
      </c>
      <c r="D342" s="0" t="n">
        <v>0</v>
      </c>
      <c r="E342" s="0" t="n">
        <v>1</v>
      </c>
      <c r="F342" s="0" t="s">
        <v>437</v>
      </c>
      <c r="G342" s="0" t="s">
        <v>7040</v>
      </c>
      <c r="I342" s="0" t="s">
        <v>834</v>
      </c>
    </row>
    <row r="343" customFormat="false" ht="15" hidden="false" customHeight="false" outlineLevel="0" collapsed="false">
      <c r="A343" s="0" t="s">
        <v>115</v>
      </c>
      <c r="B343" s="0" t="n">
        <v>2016</v>
      </c>
      <c r="C343" s="0" t="s">
        <v>541</v>
      </c>
      <c r="D343" s="0" t="n">
        <v>11061</v>
      </c>
      <c r="E343" s="0" t="n">
        <v>1</v>
      </c>
      <c r="F343" s="0" t="s">
        <v>437</v>
      </c>
      <c r="G343" s="0" t="s">
        <v>7040</v>
      </c>
      <c r="I343" s="0" t="s">
        <v>835</v>
      </c>
    </row>
    <row r="344" customFormat="false" ht="15" hidden="false" customHeight="false" outlineLevel="0" collapsed="false">
      <c r="A344" s="0" t="s">
        <v>115</v>
      </c>
      <c r="B344" s="0" t="n">
        <v>2016</v>
      </c>
      <c r="C344" s="0" t="s">
        <v>543</v>
      </c>
      <c r="D344" s="0" t="n">
        <v>15027</v>
      </c>
      <c r="E344" s="0" t="n">
        <v>1</v>
      </c>
      <c r="F344" s="0" t="s">
        <v>437</v>
      </c>
      <c r="G344" s="0" t="s">
        <v>7040</v>
      </c>
      <c r="I344" s="0" t="s">
        <v>836</v>
      </c>
    </row>
    <row r="345" customFormat="false" ht="15" hidden="false" customHeight="false" outlineLevel="0" collapsed="false">
      <c r="A345" s="0" t="s">
        <v>115</v>
      </c>
      <c r="B345" s="0" t="n">
        <v>2016</v>
      </c>
      <c r="C345" s="0" t="s">
        <v>545</v>
      </c>
      <c r="D345" s="0" t="n">
        <v>9692</v>
      </c>
      <c r="E345" s="0" t="n">
        <v>1</v>
      </c>
      <c r="F345" s="0" t="s">
        <v>437</v>
      </c>
      <c r="G345" s="0" t="s">
        <v>7040</v>
      </c>
      <c r="I345" s="0" t="s">
        <v>837</v>
      </c>
    </row>
    <row r="346" customFormat="false" ht="15" hidden="false" customHeight="false" outlineLevel="0" collapsed="false">
      <c r="A346" s="0" t="s">
        <v>115</v>
      </c>
      <c r="B346" s="0" t="n">
        <v>2017</v>
      </c>
      <c r="C346" s="0" t="s">
        <v>54</v>
      </c>
      <c r="D346" s="0" t="n">
        <v>18857</v>
      </c>
      <c r="E346" s="0" t="n">
        <v>1</v>
      </c>
      <c r="F346" s="0" t="s">
        <v>437</v>
      </c>
      <c r="G346" s="0" t="s">
        <v>7040</v>
      </c>
      <c r="I346" s="0" t="s">
        <v>838</v>
      </c>
    </row>
    <row r="347" customFormat="false" ht="15" hidden="false" customHeight="false" outlineLevel="0" collapsed="false">
      <c r="A347" s="0" t="s">
        <v>115</v>
      </c>
      <c r="B347" s="0" t="n">
        <v>2017</v>
      </c>
      <c r="C347" s="0" t="s">
        <v>55</v>
      </c>
      <c r="D347" s="0" t="n">
        <v>1379214</v>
      </c>
      <c r="E347" s="0" t="n">
        <v>1</v>
      </c>
      <c r="F347" s="0" t="s">
        <v>437</v>
      </c>
      <c r="G347" s="0" t="s">
        <v>7040</v>
      </c>
      <c r="I347" s="0" t="s">
        <v>839</v>
      </c>
    </row>
    <row r="348" customFormat="false" ht="15" hidden="false" customHeight="false" outlineLevel="0" collapsed="false">
      <c r="A348" s="0" t="s">
        <v>115</v>
      </c>
      <c r="B348" s="0" t="n">
        <v>2017</v>
      </c>
      <c r="C348" s="0" t="s">
        <v>56</v>
      </c>
      <c r="D348" s="0" t="n">
        <v>1175899</v>
      </c>
      <c r="E348" s="0" t="n">
        <v>1</v>
      </c>
      <c r="F348" s="0" t="s">
        <v>437</v>
      </c>
      <c r="G348" s="0" t="s">
        <v>7040</v>
      </c>
      <c r="I348" s="0" t="s">
        <v>840</v>
      </c>
    </row>
    <row r="349" customFormat="false" ht="15" hidden="false" customHeight="false" outlineLevel="0" collapsed="false">
      <c r="A349" s="0" t="s">
        <v>115</v>
      </c>
      <c r="B349" s="0" t="n">
        <v>2017</v>
      </c>
      <c r="C349" s="0" t="s">
        <v>57</v>
      </c>
      <c r="D349" s="0" t="n">
        <v>203315</v>
      </c>
      <c r="E349" s="0" t="n">
        <v>1</v>
      </c>
      <c r="F349" s="0" t="s">
        <v>437</v>
      </c>
      <c r="G349" s="0" t="s">
        <v>7040</v>
      </c>
      <c r="I349" s="0" t="s">
        <v>841</v>
      </c>
    </row>
    <row r="350" customFormat="false" ht="15" hidden="false" customHeight="false" outlineLevel="0" collapsed="false">
      <c r="A350" s="0" t="s">
        <v>115</v>
      </c>
      <c r="B350" s="0" t="n">
        <v>2017</v>
      </c>
      <c r="C350" s="0" t="s">
        <v>58</v>
      </c>
      <c r="D350" s="0" t="n">
        <v>-38026</v>
      </c>
      <c r="E350" s="0" t="n">
        <v>1</v>
      </c>
      <c r="F350" s="0" t="s">
        <v>437</v>
      </c>
      <c r="G350" s="0" t="s">
        <v>7040</v>
      </c>
      <c r="I350" s="0" t="s">
        <v>842</v>
      </c>
    </row>
    <row r="351" customFormat="false" ht="15" hidden="false" customHeight="false" outlineLevel="0" collapsed="false">
      <c r="A351" s="0" t="s">
        <v>115</v>
      </c>
      <c r="B351" s="0" t="n">
        <v>2017</v>
      </c>
      <c r="C351" s="0" t="s">
        <v>59</v>
      </c>
      <c r="D351" s="0" t="n">
        <v>1298141</v>
      </c>
      <c r="E351" s="0" t="n">
        <v>1</v>
      </c>
      <c r="F351" s="0" t="s">
        <v>437</v>
      </c>
      <c r="G351" s="0" t="s">
        <v>7040</v>
      </c>
      <c r="I351" s="0" t="s">
        <v>843</v>
      </c>
    </row>
    <row r="352" customFormat="false" ht="15" hidden="false" customHeight="false" outlineLevel="0" collapsed="false">
      <c r="A352" s="0" t="s">
        <v>115</v>
      </c>
      <c r="B352" s="0" t="n">
        <v>2017</v>
      </c>
      <c r="C352" s="0" t="s">
        <v>60</v>
      </c>
      <c r="D352" s="0" t="n">
        <v>795315</v>
      </c>
      <c r="E352" s="0" t="n">
        <v>1</v>
      </c>
      <c r="F352" s="0" t="s">
        <v>437</v>
      </c>
      <c r="G352" s="0" t="s">
        <v>7040</v>
      </c>
      <c r="I352" s="0" t="s">
        <v>844</v>
      </c>
    </row>
    <row r="353" customFormat="false" ht="15" hidden="false" customHeight="false" outlineLevel="0" collapsed="false">
      <c r="A353" s="0" t="s">
        <v>115</v>
      </c>
      <c r="B353" s="0" t="n">
        <v>2017</v>
      </c>
      <c r="C353" s="0" t="s">
        <v>61</v>
      </c>
      <c r="D353" s="0" t="n">
        <v>26578</v>
      </c>
      <c r="E353" s="0" t="n">
        <v>1</v>
      </c>
      <c r="F353" s="0" t="s">
        <v>437</v>
      </c>
      <c r="G353" s="0" t="s">
        <v>7040</v>
      </c>
      <c r="I353" s="0" t="s">
        <v>845</v>
      </c>
    </row>
    <row r="354" customFormat="false" ht="15" hidden="false" customHeight="false" outlineLevel="0" collapsed="false">
      <c r="A354" s="0" t="s">
        <v>115</v>
      </c>
      <c r="B354" s="0" t="n">
        <v>2017</v>
      </c>
      <c r="C354" s="0" t="s">
        <v>62</v>
      </c>
      <c r="D354" s="0" t="n">
        <v>768737</v>
      </c>
      <c r="E354" s="0" t="n">
        <v>1</v>
      </c>
      <c r="F354" s="0" t="s">
        <v>437</v>
      </c>
      <c r="G354" s="0" t="s">
        <v>7040</v>
      </c>
      <c r="I354" s="0" t="s">
        <v>846</v>
      </c>
    </row>
    <row r="355" customFormat="false" ht="15" hidden="false" customHeight="false" outlineLevel="0" collapsed="false">
      <c r="A355" s="0" t="s">
        <v>115</v>
      </c>
      <c r="B355" s="0" t="n">
        <v>2017</v>
      </c>
      <c r="C355" s="0" t="s">
        <v>63</v>
      </c>
      <c r="D355" s="0" t="n">
        <v>11315</v>
      </c>
      <c r="E355" s="0" t="n">
        <v>1</v>
      </c>
      <c r="F355" s="0" t="s">
        <v>437</v>
      </c>
      <c r="G355" s="0" t="s">
        <v>7040</v>
      </c>
      <c r="I355" s="0" t="s">
        <v>847</v>
      </c>
    </row>
    <row r="356" customFormat="false" ht="15" hidden="false" customHeight="false" outlineLevel="0" collapsed="false">
      <c r="A356" s="0" t="s">
        <v>115</v>
      </c>
      <c r="B356" s="0" t="n">
        <v>2017</v>
      </c>
      <c r="C356" s="0" t="s">
        <v>69</v>
      </c>
      <c r="D356" s="0" t="n">
        <v>16.03</v>
      </c>
      <c r="E356" s="0" t="n">
        <v>1</v>
      </c>
      <c r="F356" s="0" t="s">
        <v>437</v>
      </c>
      <c r="G356" s="0" t="s">
        <v>7040</v>
      </c>
      <c r="I356" s="0" t="s">
        <v>848</v>
      </c>
    </row>
    <row r="357" customFormat="false" ht="15" hidden="false" customHeight="false" outlineLevel="0" collapsed="false">
      <c r="A357" s="0" t="s">
        <v>115</v>
      </c>
      <c r="B357" s="0" t="n">
        <v>2017</v>
      </c>
      <c r="C357" s="0" t="s">
        <v>70</v>
      </c>
      <c r="D357" s="0" t="n">
        <v>15</v>
      </c>
      <c r="E357" s="0" t="n">
        <v>1</v>
      </c>
      <c r="F357" s="0" t="s">
        <v>437</v>
      </c>
      <c r="G357" s="0" t="s">
        <v>7040</v>
      </c>
      <c r="I357" s="0" t="s">
        <v>849</v>
      </c>
    </row>
    <row r="358" customFormat="false" ht="15" hidden="false" customHeight="false" outlineLevel="0" collapsed="false">
      <c r="A358" s="0" t="s">
        <v>115</v>
      </c>
      <c r="B358" s="0" t="n">
        <v>2017</v>
      </c>
      <c r="C358" s="0" t="s">
        <v>65</v>
      </c>
      <c r="D358" s="0" t="n">
        <v>179341</v>
      </c>
      <c r="E358" s="0" t="n">
        <v>1</v>
      </c>
      <c r="F358" s="0" t="s">
        <v>437</v>
      </c>
      <c r="G358" s="0" t="s">
        <v>7040</v>
      </c>
      <c r="I358" s="0" t="s">
        <v>850</v>
      </c>
    </row>
    <row r="359" customFormat="false" ht="15" hidden="false" customHeight="false" outlineLevel="0" collapsed="false">
      <c r="A359" s="0" t="s">
        <v>115</v>
      </c>
      <c r="B359" s="0" t="n">
        <v>2017</v>
      </c>
      <c r="C359" s="0" t="s">
        <v>66</v>
      </c>
      <c r="D359" s="0" t="n">
        <v>1118786</v>
      </c>
      <c r="E359" s="0" t="n">
        <v>1</v>
      </c>
      <c r="F359" s="0" t="s">
        <v>437</v>
      </c>
      <c r="G359" s="0" t="s">
        <v>7040</v>
      </c>
      <c r="I359" s="0" t="s">
        <v>851</v>
      </c>
    </row>
    <row r="360" customFormat="false" ht="15" hidden="false" customHeight="false" outlineLevel="0" collapsed="false">
      <c r="A360" s="0" t="s">
        <v>115</v>
      </c>
      <c r="B360" s="0" t="n">
        <v>2017</v>
      </c>
      <c r="C360" s="0" t="s">
        <v>73</v>
      </c>
      <c r="D360" s="0" t="n">
        <v>0</v>
      </c>
      <c r="E360" s="0" t="n">
        <v>1</v>
      </c>
      <c r="F360" s="0" t="s">
        <v>437</v>
      </c>
      <c r="G360" s="0" t="s">
        <v>7040</v>
      </c>
      <c r="I360" s="0" t="s">
        <v>852</v>
      </c>
    </row>
    <row r="361" customFormat="false" ht="15" hidden="false" customHeight="false" outlineLevel="0" collapsed="false">
      <c r="A361" s="0" t="s">
        <v>115</v>
      </c>
      <c r="B361" s="0" t="n">
        <v>2017</v>
      </c>
      <c r="C361" s="0" t="s">
        <v>541</v>
      </c>
      <c r="D361" s="0" t="n">
        <v>20302</v>
      </c>
      <c r="E361" s="0" t="n">
        <v>1</v>
      </c>
      <c r="F361" s="0" t="s">
        <v>437</v>
      </c>
      <c r="G361" s="0" t="s">
        <v>7040</v>
      </c>
      <c r="I361" s="0" t="s">
        <v>853</v>
      </c>
    </row>
    <row r="362" customFormat="false" ht="15" hidden="false" customHeight="false" outlineLevel="0" collapsed="false">
      <c r="A362" s="0" t="s">
        <v>115</v>
      </c>
      <c r="B362" s="0" t="n">
        <v>2017</v>
      </c>
      <c r="C362" s="0" t="s">
        <v>543</v>
      </c>
      <c r="D362" s="0" t="n">
        <v>16077</v>
      </c>
      <c r="E362" s="0" t="n">
        <v>1</v>
      </c>
      <c r="F362" s="0" t="s">
        <v>437</v>
      </c>
      <c r="G362" s="0" t="s">
        <v>7040</v>
      </c>
      <c r="I362" s="0" t="s">
        <v>854</v>
      </c>
    </row>
    <row r="363" customFormat="false" ht="15" hidden="false" customHeight="false" outlineLevel="0" collapsed="false">
      <c r="A363" s="0" t="s">
        <v>115</v>
      </c>
      <c r="B363" s="0" t="n">
        <v>2017</v>
      </c>
      <c r="C363" s="0" t="s">
        <v>545</v>
      </c>
      <c r="D363" s="0" t="n">
        <v>10501</v>
      </c>
      <c r="E363" s="0" t="n">
        <v>1</v>
      </c>
      <c r="F363" s="0" t="s">
        <v>437</v>
      </c>
      <c r="G363" s="0" t="s">
        <v>7040</v>
      </c>
      <c r="I363" s="0" t="s">
        <v>855</v>
      </c>
    </row>
    <row r="364" customFormat="false" ht="15" hidden="false" customHeight="false" outlineLevel="0" collapsed="false">
      <c r="A364" s="0" t="s">
        <v>115</v>
      </c>
      <c r="B364" s="0" t="n">
        <v>2018</v>
      </c>
      <c r="C364" s="0" t="s">
        <v>54</v>
      </c>
      <c r="D364" s="0" t="n">
        <v>22926</v>
      </c>
      <c r="E364" s="0" t="n">
        <v>1</v>
      </c>
      <c r="F364" s="0" t="s">
        <v>437</v>
      </c>
      <c r="G364" s="0" t="s">
        <v>7040</v>
      </c>
      <c r="I364" s="0" t="s">
        <v>3191</v>
      </c>
    </row>
    <row r="365" customFormat="false" ht="15" hidden="false" customHeight="false" outlineLevel="0" collapsed="false">
      <c r="A365" s="0" t="s">
        <v>115</v>
      </c>
      <c r="B365" s="0" t="n">
        <v>2018</v>
      </c>
      <c r="C365" s="0" t="s">
        <v>55</v>
      </c>
      <c r="D365" s="0" t="n">
        <v>1719883</v>
      </c>
      <c r="E365" s="0" t="n">
        <v>1</v>
      </c>
      <c r="F365" s="0" t="s">
        <v>437</v>
      </c>
      <c r="G365" s="0" t="s">
        <v>7040</v>
      </c>
      <c r="I365" s="0" t="s">
        <v>3192</v>
      </c>
    </row>
    <row r="366" customFormat="false" ht="15" hidden="false" customHeight="false" outlineLevel="0" collapsed="false">
      <c r="A366" s="0" t="s">
        <v>115</v>
      </c>
      <c r="B366" s="0" t="n">
        <v>2018</v>
      </c>
      <c r="C366" s="0" t="s">
        <v>56</v>
      </c>
      <c r="D366" s="0" t="n">
        <v>1525467</v>
      </c>
      <c r="E366" s="0" t="n">
        <v>1</v>
      </c>
      <c r="F366" s="0" t="s">
        <v>437</v>
      </c>
      <c r="G366" s="0" t="s">
        <v>7040</v>
      </c>
      <c r="I366" s="0" t="s">
        <v>3194</v>
      </c>
    </row>
    <row r="367" customFormat="false" ht="15" hidden="false" customHeight="false" outlineLevel="0" collapsed="false">
      <c r="A367" s="0" t="s">
        <v>115</v>
      </c>
      <c r="B367" s="0" t="n">
        <v>2018</v>
      </c>
      <c r="C367" s="0" t="s">
        <v>57</v>
      </c>
      <c r="D367" s="0" t="n">
        <v>194416</v>
      </c>
      <c r="E367" s="0" t="n">
        <v>1</v>
      </c>
      <c r="F367" s="0" t="s">
        <v>437</v>
      </c>
      <c r="G367" s="0" t="s">
        <v>7040</v>
      </c>
      <c r="I367" s="0" t="s">
        <v>3193</v>
      </c>
    </row>
    <row r="368" customFormat="false" ht="15" hidden="false" customHeight="false" outlineLevel="0" collapsed="false">
      <c r="A368" s="0" t="s">
        <v>115</v>
      </c>
      <c r="B368" s="0" t="n">
        <v>2018</v>
      </c>
      <c r="C368" s="0" t="s">
        <v>63</v>
      </c>
      <c r="D368" s="0" t="n">
        <v>4215</v>
      </c>
      <c r="E368" s="0" t="n">
        <v>1</v>
      </c>
      <c r="F368" s="0" t="s">
        <v>437</v>
      </c>
      <c r="G368" s="0" t="s">
        <v>7040</v>
      </c>
      <c r="I368" s="0" t="s">
        <v>3189</v>
      </c>
    </row>
    <row r="369" customFormat="false" ht="15" hidden="false" customHeight="false" outlineLevel="0" collapsed="false">
      <c r="A369" s="0" t="s">
        <v>115</v>
      </c>
      <c r="B369" s="0" t="n">
        <v>2019</v>
      </c>
      <c r="C369" s="0" t="s">
        <v>54</v>
      </c>
      <c r="D369" s="0" t="n">
        <v>28425</v>
      </c>
      <c r="E369" s="0" t="n">
        <v>1</v>
      </c>
      <c r="F369" s="0" t="s">
        <v>437</v>
      </c>
      <c r="G369" s="0" t="s">
        <v>7040</v>
      </c>
      <c r="I369" s="0" t="s">
        <v>3200</v>
      </c>
    </row>
    <row r="370" customFormat="false" ht="15" hidden="false" customHeight="false" outlineLevel="0" collapsed="false">
      <c r="A370" s="0" t="s">
        <v>115</v>
      </c>
      <c r="B370" s="0" t="n">
        <v>2019</v>
      </c>
      <c r="C370" s="0" t="s">
        <v>55</v>
      </c>
      <c r="D370" s="0" t="n">
        <v>2114037</v>
      </c>
      <c r="E370" s="0" t="n">
        <v>1</v>
      </c>
      <c r="F370" s="0" t="s">
        <v>437</v>
      </c>
      <c r="G370" s="0" t="s">
        <v>7040</v>
      </c>
      <c r="I370" s="0" t="s">
        <v>3201</v>
      </c>
    </row>
    <row r="371" customFormat="false" ht="15" hidden="false" customHeight="false" outlineLevel="0" collapsed="false">
      <c r="A371" s="0" t="s">
        <v>115</v>
      </c>
      <c r="B371" s="0" t="n">
        <v>2019</v>
      </c>
      <c r="C371" s="0" t="s">
        <v>56</v>
      </c>
      <c r="D371" s="0" t="n">
        <v>1880007</v>
      </c>
      <c r="E371" s="0" t="n">
        <v>1</v>
      </c>
      <c r="F371" s="0" t="s">
        <v>437</v>
      </c>
      <c r="G371" s="0" t="s">
        <v>7040</v>
      </c>
      <c r="I371" s="0" t="s">
        <v>3203</v>
      </c>
    </row>
    <row r="372" customFormat="false" ht="15" hidden="false" customHeight="false" outlineLevel="0" collapsed="false">
      <c r="A372" s="0" t="s">
        <v>115</v>
      </c>
      <c r="B372" s="0" t="n">
        <v>2019</v>
      </c>
      <c r="C372" s="0" t="s">
        <v>57</v>
      </c>
      <c r="D372" s="0" t="n">
        <v>234030</v>
      </c>
      <c r="E372" s="0" t="n">
        <v>1</v>
      </c>
      <c r="F372" s="0" t="s">
        <v>437</v>
      </c>
      <c r="G372" s="0" t="s">
        <v>7040</v>
      </c>
      <c r="I372" s="0" t="s">
        <v>3202</v>
      </c>
    </row>
    <row r="373" customFormat="false" ht="15" hidden="false" customHeight="false" outlineLevel="0" collapsed="false">
      <c r="A373" s="0" t="s">
        <v>115</v>
      </c>
      <c r="B373" s="0" t="n">
        <v>2019</v>
      </c>
      <c r="C373" s="0" t="s">
        <v>59</v>
      </c>
      <c r="D373" s="0" t="n">
        <v>1719883</v>
      </c>
      <c r="E373" s="0" t="n">
        <v>1</v>
      </c>
      <c r="F373" s="0" t="s">
        <v>437</v>
      </c>
      <c r="G373" s="0" t="s">
        <v>7041</v>
      </c>
      <c r="I373" s="0" t="s">
        <v>3192</v>
      </c>
    </row>
    <row r="374" customFormat="false" ht="15" hidden="false" customHeight="false" outlineLevel="0" collapsed="false">
      <c r="A374" s="0" t="s">
        <v>115</v>
      </c>
      <c r="B374" s="0" t="n">
        <v>2019</v>
      </c>
      <c r="C374" s="0" t="s">
        <v>63</v>
      </c>
      <c r="D374" s="0" t="n">
        <v>-5292</v>
      </c>
      <c r="E374" s="0" t="n">
        <v>1</v>
      </c>
      <c r="F374" s="0" t="s">
        <v>437</v>
      </c>
      <c r="G374" s="0" t="s">
        <v>7040</v>
      </c>
      <c r="I374" s="0" t="s">
        <v>3198</v>
      </c>
    </row>
    <row r="375" customFormat="false" ht="15" hidden="false" customHeight="false" outlineLevel="0" collapsed="false">
      <c r="A375" s="0" t="s">
        <v>115</v>
      </c>
      <c r="B375" s="0" t="n">
        <v>2019</v>
      </c>
      <c r="C375" s="0" t="s">
        <v>73</v>
      </c>
      <c r="D375" s="0" t="n">
        <v>0</v>
      </c>
      <c r="E375" s="0" t="n">
        <v>1</v>
      </c>
      <c r="F375" s="0" t="s">
        <v>437</v>
      </c>
      <c r="G375" s="0" t="s">
        <v>7040</v>
      </c>
      <c r="I375" s="0" t="s">
        <v>371</v>
      </c>
    </row>
    <row r="376" customFormat="false" ht="15" hidden="false" customHeight="false" outlineLevel="0" collapsed="false">
      <c r="A376" s="0" t="s">
        <v>115</v>
      </c>
      <c r="B376" s="0" t="n">
        <v>2020</v>
      </c>
      <c r="C376" s="0" t="s">
        <v>54</v>
      </c>
      <c r="D376" s="0" t="n">
        <v>26650</v>
      </c>
      <c r="E376" s="0" t="n">
        <v>1</v>
      </c>
      <c r="F376" s="0" t="s">
        <v>437</v>
      </c>
      <c r="G376" s="0" t="s">
        <v>7040</v>
      </c>
      <c r="I376" s="0" t="s">
        <v>857</v>
      </c>
    </row>
    <row r="377" customFormat="false" ht="15" hidden="false" customHeight="false" outlineLevel="0" collapsed="false">
      <c r="A377" s="0" t="s">
        <v>115</v>
      </c>
      <c r="B377" s="0" t="n">
        <v>2020</v>
      </c>
      <c r="C377" s="0" t="s">
        <v>55</v>
      </c>
      <c r="D377" s="0" t="n">
        <v>2758148</v>
      </c>
      <c r="E377" s="0" t="n">
        <v>1</v>
      </c>
      <c r="F377" s="0" t="s">
        <v>437</v>
      </c>
      <c r="G377" s="0" t="s">
        <v>7040</v>
      </c>
      <c r="I377" s="0" t="s">
        <v>858</v>
      </c>
    </row>
    <row r="378" customFormat="false" ht="15" hidden="false" customHeight="false" outlineLevel="0" collapsed="false">
      <c r="A378" s="0" t="s">
        <v>115</v>
      </c>
      <c r="B378" s="0" t="n">
        <v>2020</v>
      </c>
      <c r="C378" s="0" t="s">
        <v>56</v>
      </c>
      <c r="D378" s="0" t="n">
        <v>2484615</v>
      </c>
      <c r="E378" s="0" t="n">
        <v>1</v>
      </c>
      <c r="F378" s="0" t="s">
        <v>437</v>
      </c>
      <c r="G378" s="0" t="s">
        <v>7040</v>
      </c>
      <c r="I378" s="0" t="s">
        <v>859</v>
      </c>
    </row>
    <row r="379" customFormat="false" ht="15" hidden="false" customHeight="false" outlineLevel="0" collapsed="false">
      <c r="A379" s="0" t="s">
        <v>115</v>
      </c>
      <c r="B379" s="0" t="n">
        <v>2020</v>
      </c>
      <c r="C379" s="0" t="s">
        <v>57</v>
      </c>
      <c r="D379" s="0" t="n">
        <v>273533</v>
      </c>
      <c r="E379" s="0" t="n">
        <v>1</v>
      </c>
      <c r="F379" s="0" t="s">
        <v>437</v>
      </c>
      <c r="G379" s="0" t="s">
        <v>7040</v>
      </c>
      <c r="I379" s="0" t="s">
        <v>860</v>
      </c>
    </row>
    <row r="380" customFormat="false" ht="15" hidden="false" customHeight="false" outlineLevel="0" collapsed="false">
      <c r="A380" s="0" t="s">
        <v>115</v>
      </c>
      <c r="B380" s="0" t="n">
        <v>2020</v>
      </c>
      <c r="C380" s="0" t="s">
        <v>58</v>
      </c>
      <c r="D380" s="0" t="n">
        <v>242619</v>
      </c>
      <c r="E380" s="0" t="n">
        <v>1</v>
      </c>
      <c r="F380" s="0" t="s">
        <v>437</v>
      </c>
      <c r="G380" s="0" t="s">
        <v>7040</v>
      </c>
      <c r="I380" s="0" t="s">
        <v>861</v>
      </c>
    </row>
    <row r="381" customFormat="false" ht="15" hidden="false" customHeight="false" outlineLevel="0" collapsed="false">
      <c r="A381" s="0" t="s">
        <v>115</v>
      </c>
      <c r="B381" s="0" t="n">
        <v>2020</v>
      </c>
      <c r="C381" s="0" t="s">
        <v>59</v>
      </c>
      <c r="D381" s="0" t="n">
        <v>2114037</v>
      </c>
      <c r="E381" s="0" t="n">
        <v>1</v>
      </c>
      <c r="F381" s="0" t="s">
        <v>437</v>
      </c>
      <c r="G381" s="0" t="s">
        <v>7040</v>
      </c>
      <c r="I381" s="0" t="s">
        <v>862</v>
      </c>
    </row>
    <row r="382" customFormat="false" ht="15" hidden="false" customHeight="false" outlineLevel="0" collapsed="false">
      <c r="A382" s="0" t="s">
        <v>115</v>
      </c>
      <c r="B382" s="0" t="n">
        <v>2020</v>
      </c>
      <c r="C382" s="0" t="s">
        <v>60</v>
      </c>
      <c r="D382" s="0" t="n">
        <v>1393624</v>
      </c>
      <c r="E382" s="0" t="n">
        <v>1</v>
      </c>
      <c r="F382" s="0" t="s">
        <v>437</v>
      </c>
      <c r="G382" s="0" t="s">
        <v>7040</v>
      </c>
      <c r="I382" s="0" t="s">
        <v>863</v>
      </c>
    </row>
    <row r="383" customFormat="false" ht="15" hidden="false" customHeight="false" outlineLevel="0" collapsed="false">
      <c r="A383" s="0" t="s">
        <v>115</v>
      </c>
      <c r="B383" s="0" t="n">
        <v>2020</v>
      </c>
      <c r="C383" s="0" t="s">
        <v>61</v>
      </c>
      <c r="D383" s="0" t="n">
        <v>67518</v>
      </c>
      <c r="E383" s="0" t="n">
        <v>1</v>
      </c>
      <c r="F383" s="0" t="s">
        <v>437</v>
      </c>
      <c r="G383" s="0" t="s">
        <v>7040</v>
      </c>
      <c r="I383" s="0" t="s">
        <v>864</v>
      </c>
    </row>
    <row r="384" customFormat="false" ht="15" hidden="false" customHeight="false" outlineLevel="0" collapsed="false">
      <c r="A384" s="0" t="s">
        <v>115</v>
      </c>
      <c r="B384" s="0" t="n">
        <v>2020</v>
      </c>
      <c r="C384" s="0" t="s">
        <v>62</v>
      </c>
      <c r="D384" s="0" t="n">
        <v>1326106</v>
      </c>
      <c r="E384" s="0" t="n">
        <v>1</v>
      </c>
      <c r="F384" s="0" t="s">
        <v>437</v>
      </c>
      <c r="G384" s="0" t="s">
        <v>7040</v>
      </c>
      <c r="I384" s="0" t="s">
        <v>865</v>
      </c>
    </row>
    <row r="385" customFormat="false" ht="15" hidden="false" customHeight="false" outlineLevel="0" collapsed="false">
      <c r="A385" s="0" t="s">
        <v>115</v>
      </c>
      <c r="B385" s="0" t="n">
        <v>2020</v>
      </c>
      <c r="C385" s="0" t="s">
        <v>63</v>
      </c>
      <c r="D385" s="0" t="n">
        <v>16858</v>
      </c>
      <c r="E385" s="0" t="n">
        <v>1</v>
      </c>
      <c r="F385" s="0" t="s">
        <v>437</v>
      </c>
      <c r="G385" s="0" t="s">
        <v>7040</v>
      </c>
      <c r="I385" s="0" t="s">
        <v>866</v>
      </c>
    </row>
    <row r="386" customFormat="false" ht="15" hidden="false" customHeight="false" outlineLevel="0" collapsed="false">
      <c r="A386" s="0" t="s">
        <v>115</v>
      </c>
      <c r="B386" s="0" t="n">
        <v>2020</v>
      </c>
      <c r="C386" s="0" t="s">
        <v>69</v>
      </c>
      <c r="D386" s="0" t="n">
        <v>18.18</v>
      </c>
      <c r="E386" s="0" t="n">
        <v>1</v>
      </c>
      <c r="F386" s="0" t="s">
        <v>437</v>
      </c>
      <c r="G386" s="0" t="s">
        <v>7040</v>
      </c>
      <c r="I386" s="0" t="s">
        <v>867</v>
      </c>
    </row>
    <row r="387" customFormat="false" ht="15" hidden="false" customHeight="false" outlineLevel="0" collapsed="false">
      <c r="A387" s="0" t="s">
        <v>115</v>
      </c>
      <c r="B387" s="0" t="n">
        <v>2020</v>
      </c>
      <c r="C387" s="0" t="s">
        <v>70</v>
      </c>
      <c r="D387" s="0" t="n">
        <v>15</v>
      </c>
      <c r="E387" s="0" t="n">
        <v>1</v>
      </c>
      <c r="F387" s="0" t="s">
        <v>437</v>
      </c>
      <c r="G387" s="0" t="s">
        <v>7040</v>
      </c>
      <c r="I387" s="0" t="s">
        <v>868</v>
      </c>
    </row>
    <row r="388" customFormat="false" ht="15" hidden="false" customHeight="false" outlineLevel="0" collapsed="false">
      <c r="A388" s="0" t="s">
        <v>115</v>
      </c>
      <c r="B388" s="0" t="n">
        <v>2020</v>
      </c>
      <c r="C388" s="0" t="s">
        <v>65</v>
      </c>
      <c r="D388" s="0" t="n">
        <v>243690</v>
      </c>
      <c r="E388" s="0" t="n">
        <v>1</v>
      </c>
      <c r="F388" s="0" t="s">
        <v>437</v>
      </c>
      <c r="G388" s="0" t="s">
        <v>7040</v>
      </c>
      <c r="I388" s="0" t="s">
        <v>869</v>
      </c>
    </row>
    <row r="389" customFormat="false" ht="15" hidden="false" customHeight="false" outlineLevel="0" collapsed="false">
      <c r="A389" s="0" t="s">
        <v>115</v>
      </c>
      <c r="B389" s="0" t="n">
        <v>2020</v>
      </c>
      <c r="C389" s="0" t="s">
        <v>66</v>
      </c>
      <c r="D389" s="0" t="n">
        <v>1340211</v>
      </c>
      <c r="E389" s="0" t="n">
        <v>1</v>
      </c>
      <c r="F389" s="0" t="s">
        <v>437</v>
      </c>
      <c r="G389" s="0" t="s">
        <v>7040</v>
      </c>
      <c r="I389" s="0" t="s">
        <v>870</v>
      </c>
    </row>
    <row r="390" customFormat="false" ht="15" hidden="false" customHeight="false" outlineLevel="0" collapsed="false">
      <c r="A390" s="0" t="s">
        <v>115</v>
      </c>
      <c r="B390" s="0" t="n">
        <v>2020</v>
      </c>
      <c r="C390" s="0" t="s">
        <v>73</v>
      </c>
      <c r="D390" s="0" t="n">
        <v>0</v>
      </c>
      <c r="E390" s="0" t="n">
        <v>1</v>
      </c>
      <c r="F390" s="0" t="s">
        <v>437</v>
      </c>
      <c r="G390" s="0" t="s">
        <v>7040</v>
      </c>
      <c r="I390" s="0" t="s">
        <v>871</v>
      </c>
    </row>
    <row r="391" customFormat="false" ht="15" hidden="false" customHeight="false" outlineLevel="0" collapsed="false">
      <c r="A391" s="0" t="s">
        <v>115</v>
      </c>
      <c r="B391" s="0" t="n">
        <v>2020</v>
      </c>
      <c r="C391" s="0" t="s">
        <v>541</v>
      </c>
      <c r="D391" s="0" t="n">
        <v>28054</v>
      </c>
      <c r="E391" s="0" t="n">
        <v>1</v>
      </c>
      <c r="F391" s="0" t="s">
        <v>437</v>
      </c>
      <c r="G391" s="0" t="s">
        <v>7040</v>
      </c>
      <c r="I391" s="0" t="s">
        <v>872</v>
      </c>
    </row>
    <row r="392" customFormat="false" ht="15" hidden="false" customHeight="false" outlineLevel="0" collapsed="false">
      <c r="A392" s="0" t="s">
        <v>115</v>
      </c>
      <c r="B392" s="0" t="n">
        <v>2021</v>
      </c>
      <c r="C392" s="0" t="s">
        <v>54</v>
      </c>
      <c r="D392" s="0" t="n">
        <v>23104</v>
      </c>
      <c r="E392" s="0" t="n">
        <v>1</v>
      </c>
      <c r="F392" s="0" t="s">
        <v>437</v>
      </c>
      <c r="G392" s="0" t="s">
        <v>7040</v>
      </c>
      <c r="I392" s="0" t="s">
        <v>873</v>
      </c>
    </row>
    <row r="393" customFormat="false" ht="15" hidden="false" customHeight="false" outlineLevel="0" collapsed="false">
      <c r="A393" s="0" t="s">
        <v>115</v>
      </c>
      <c r="B393" s="0" t="n">
        <v>2021</v>
      </c>
      <c r="C393" s="0" t="s">
        <v>55</v>
      </c>
      <c r="D393" s="0" t="n">
        <v>3280454</v>
      </c>
      <c r="E393" s="0" t="n">
        <v>1</v>
      </c>
      <c r="F393" s="0" t="s">
        <v>437</v>
      </c>
      <c r="G393" s="0" t="s">
        <v>7040</v>
      </c>
      <c r="I393" s="0" t="s">
        <v>874</v>
      </c>
    </row>
    <row r="394" customFormat="false" ht="15" hidden="false" customHeight="false" outlineLevel="0" collapsed="false">
      <c r="A394" s="0" t="s">
        <v>115</v>
      </c>
      <c r="B394" s="0" t="n">
        <v>2021</v>
      </c>
      <c r="C394" s="0" t="s">
        <v>56</v>
      </c>
      <c r="D394" s="0" t="n">
        <v>2995160</v>
      </c>
      <c r="E394" s="0" t="n">
        <v>1</v>
      </c>
      <c r="F394" s="0" t="s">
        <v>437</v>
      </c>
      <c r="G394" s="0" t="s">
        <v>7040</v>
      </c>
      <c r="I394" s="0" t="s">
        <v>875</v>
      </c>
    </row>
    <row r="395" customFormat="false" ht="15" hidden="false" customHeight="false" outlineLevel="0" collapsed="false">
      <c r="A395" s="0" t="s">
        <v>115</v>
      </c>
      <c r="B395" s="0" t="n">
        <v>2021</v>
      </c>
      <c r="C395" s="0" t="s">
        <v>57</v>
      </c>
      <c r="D395" s="0" t="n">
        <v>285294</v>
      </c>
      <c r="E395" s="0" t="n">
        <v>1</v>
      </c>
      <c r="F395" s="0" t="s">
        <v>437</v>
      </c>
      <c r="G395" s="0" t="s">
        <v>7040</v>
      </c>
      <c r="I395" s="0" t="s">
        <v>876</v>
      </c>
    </row>
    <row r="396" customFormat="false" ht="15" hidden="false" customHeight="false" outlineLevel="0" collapsed="false">
      <c r="A396" s="0" t="s">
        <v>115</v>
      </c>
      <c r="B396" s="0" t="n">
        <v>2021</v>
      </c>
      <c r="C396" s="0" t="s">
        <v>58</v>
      </c>
      <c r="D396" s="0" t="n">
        <v>-107190</v>
      </c>
      <c r="E396" s="0" t="n">
        <v>1</v>
      </c>
      <c r="F396" s="0" t="s">
        <v>437</v>
      </c>
      <c r="G396" s="0" t="s">
        <v>7040</v>
      </c>
      <c r="I396" s="0" t="s">
        <v>877</v>
      </c>
    </row>
    <row r="397" customFormat="false" ht="15" hidden="false" customHeight="false" outlineLevel="0" collapsed="false">
      <c r="A397" s="0" t="s">
        <v>115</v>
      </c>
      <c r="B397" s="0" t="n">
        <v>2021</v>
      </c>
      <c r="C397" s="0" t="s">
        <v>60</v>
      </c>
      <c r="D397" s="0" t="n">
        <v>1732543</v>
      </c>
      <c r="E397" s="0" t="n">
        <v>1</v>
      </c>
      <c r="F397" s="0" t="s">
        <v>437</v>
      </c>
      <c r="G397" s="0" t="s">
        <v>7040</v>
      </c>
      <c r="I397" s="0" t="s">
        <v>878</v>
      </c>
    </row>
    <row r="398" customFormat="false" ht="15" hidden="false" customHeight="false" outlineLevel="0" collapsed="false">
      <c r="A398" s="0" t="s">
        <v>115</v>
      </c>
      <c r="B398" s="0" t="n">
        <v>2021</v>
      </c>
      <c r="C398" s="0" t="s">
        <v>61</v>
      </c>
      <c r="D398" s="0" t="n">
        <v>74131</v>
      </c>
      <c r="E398" s="0" t="n">
        <v>1</v>
      </c>
      <c r="F398" s="0" t="s">
        <v>437</v>
      </c>
      <c r="G398" s="0" t="s">
        <v>7040</v>
      </c>
      <c r="I398" s="0" t="s">
        <v>879</v>
      </c>
    </row>
    <row r="399" customFormat="false" ht="15" hidden="false" customHeight="false" outlineLevel="0" collapsed="false">
      <c r="A399" s="0" t="s">
        <v>115</v>
      </c>
      <c r="B399" s="0" t="n">
        <v>2021</v>
      </c>
      <c r="C399" s="0" t="s">
        <v>62</v>
      </c>
      <c r="D399" s="0" t="n">
        <v>1658412</v>
      </c>
      <c r="E399" s="0" t="n">
        <v>1</v>
      </c>
      <c r="F399" s="0" t="s">
        <v>437</v>
      </c>
      <c r="G399" s="0" t="s">
        <v>7040</v>
      </c>
      <c r="I399" s="0" t="s">
        <v>880</v>
      </c>
    </row>
    <row r="400" customFormat="false" ht="15" hidden="false" customHeight="false" outlineLevel="0" collapsed="false">
      <c r="A400" s="0" t="s">
        <v>115</v>
      </c>
      <c r="B400" s="0" t="n">
        <v>2021</v>
      </c>
      <c r="C400" s="0" t="s">
        <v>63</v>
      </c>
      <c r="D400" s="0" t="n">
        <v>7034</v>
      </c>
      <c r="E400" s="0" t="n">
        <v>1</v>
      </c>
      <c r="F400" s="0" t="s">
        <v>437</v>
      </c>
      <c r="G400" s="0" t="s">
        <v>7040</v>
      </c>
      <c r="I400" s="0" t="s">
        <v>881</v>
      </c>
    </row>
    <row r="401" customFormat="false" ht="15" hidden="false" customHeight="false" outlineLevel="0" collapsed="false">
      <c r="A401" s="0" t="s">
        <v>115</v>
      </c>
      <c r="B401" s="0" t="n">
        <v>2021</v>
      </c>
      <c r="C401" s="0" t="s">
        <v>69</v>
      </c>
      <c r="D401" s="0" t="n">
        <v>19.15</v>
      </c>
      <c r="E401" s="0" t="n">
        <v>1</v>
      </c>
      <c r="F401" s="0" t="s">
        <v>437</v>
      </c>
      <c r="G401" s="0" t="s">
        <v>7040</v>
      </c>
      <c r="I401" s="0" t="s">
        <v>882</v>
      </c>
    </row>
    <row r="402" customFormat="false" ht="15" hidden="false" customHeight="false" outlineLevel="0" collapsed="false">
      <c r="A402" s="0" t="s">
        <v>115</v>
      </c>
      <c r="B402" s="0" t="n">
        <v>2021</v>
      </c>
      <c r="C402" s="0" t="s">
        <v>70</v>
      </c>
      <c r="D402" s="0" t="n">
        <v>15</v>
      </c>
      <c r="E402" s="0" t="n">
        <v>1</v>
      </c>
      <c r="F402" s="0" t="s">
        <v>437</v>
      </c>
      <c r="G402" s="0" t="s">
        <v>7040</v>
      </c>
      <c r="I402" s="0" t="s">
        <v>883</v>
      </c>
    </row>
    <row r="403" customFormat="false" ht="15" hidden="false" customHeight="false" outlineLevel="0" collapsed="false">
      <c r="A403" s="0" t="s">
        <v>115</v>
      </c>
      <c r="B403" s="0" t="n">
        <v>2021</v>
      </c>
      <c r="C403" s="0" t="s">
        <v>65</v>
      </c>
      <c r="D403" s="0" t="n">
        <v>292323</v>
      </c>
      <c r="E403" s="0" t="n">
        <v>1</v>
      </c>
      <c r="F403" s="0" t="s">
        <v>437</v>
      </c>
      <c r="G403" s="0" t="s">
        <v>7040</v>
      </c>
      <c r="I403" s="0" t="s">
        <v>884</v>
      </c>
    </row>
    <row r="404" customFormat="false" ht="15" hidden="false" customHeight="false" outlineLevel="0" collapsed="false">
      <c r="A404" s="0" t="s">
        <v>115</v>
      </c>
      <c r="B404" s="0" t="n">
        <v>2021</v>
      </c>
      <c r="C404" s="0" t="s">
        <v>66</v>
      </c>
      <c r="D404" s="0" t="n">
        <v>1526722</v>
      </c>
      <c r="E404" s="0" t="n">
        <v>1</v>
      </c>
      <c r="F404" s="0" t="s">
        <v>437</v>
      </c>
      <c r="G404" s="0" t="s">
        <v>7040</v>
      </c>
      <c r="I404" s="0" t="s">
        <v>885</v>
      </c>
    </row>
    <row r="405" customFormat="false" ht="15" hidden="false" customHeight="false" outlineLevel="0" collapsed="false">
      <c r="A405" s="0" t="s">
        <v>115</v>
      </c>
      <c r="B405" s="0" t="n">
        <v>2021</v>
      </c>
      <c r="C405" s="0" t="s">
        <v>541</v>
      </c>
      <c r="D405" s="0" t="n">
        <v>25215</v>
      </c>
      <c r="E405" s="0" t="n">
        <v>1</v>
      </c>
      <c r="F405" s="0" t="s">
        <v>437</v>
      </c>
      <c r="G405" s="0" t="s">
        <v>7040</v>
      </c>
      <c r="I405" s="0" t="s">
        <v>886</v>
      </c>
    </row>
    <row r="406" customFormat="false" ht="15" hidden="false" customHeight="false" outlineLevel="0" collapsed="false">
      <c r="A406" s="0" t="s">
        <v>115</v>
      </c>
      <c r="B406" s="0" t="n">
        <v>2022</v>
      </c>
      <c r="C406" s="0" t="s">
        <v>54</v>
      </c>
      <c r="D406" s="0" t="n">
        <v>46724</v>
      </c>
      <c r="E406" s="0" t="n">
        <v>1</v>
      </c>
      <c r="F406" s="0" t="s">
        <v>437</v>
      </c>
      <c r="G406" s="0" t="s">
        <v>7040</v>
      </c>
      <c r="I406" s="0" t="s">
        <v>887</v>
      </c>
    </row>
    <row r="407" customFormat="false" ht="15" hidden="false" customHeight="false" outlineLevel="0" collapsed="false">
      <c r="A407" s="0" t="s">
        <v>115</v>
      </c>
      <c r="B407" s="0" t="n">
        <v>2022</v>
      </c>
      <c r="C407" s="0" t="s">
        <v>55</v>
      </c>
      <c r="D407" s="0" t="n">
        <v>3989009</v>
      </c>
      <c r="E407" s="0" t="n">
        <v>1</v>
      </c>
      <c r="F407" s="0" t="s">
        <v>437</v>
      </c>
      <c r="G407" s="0" t="s">
        <v>7040</v>
      </c>
      <c r="I407" s="0" t="s">
        <v>888</v>
      </c>
    </row>
    <row r="408" customFormat="false" ht="15" hidden="false" customHeight="false" outlineLevel="0" collapsed="false">
      <c r="A408" s="0" t="s">
        <v>115</v>
      </c>
      <c r="B408" s="0" t="n">
        <v>2022</v>
      </c>
      <c r="C408" s="0" t="s">
        <v>56</v>
      </c>
      <c r="D408" s="0" t="n">
        <v>3674649</v>
      </c>
      <c r="E408" s="0" t="n">
        <v>1</v>
      </c>
      <c r="F408" s="0" t="s">
        <v>437</v>
      </c>
      <c r="G408" s="0" t="s">
        <v>7040</v>
      </c>
      <c r="I408" s="0" t="s">
        <v>889</v>
      </c>
    </row>
    <row r="409" customFormat="false" ht="15" hidden="false" customHeight="false" outlineLevel="0" collapsed="false">
      <c r="A409" s="0" t="s">
        <v>115</v>
      </c>
      <c r="B409" s="0" t="n">
        <v>2022</v>
      </c>
      <c r="C409" s="0" t="s">
        <v>57</v>
      </c>
      <c r="D409" s="0" t="n">
        <v>314360</v>
      </c>
      <c r="E409" s="0" t="n">
        <v>1</v>
      </c>
      <c r="F409" s="0" t="s">
        <v>437</v>
      </c>
      <c r="G409" s="0" t="s">
        <v>7040</v>
      </c>
      <c r="I409" s="0" t="s">
        <v>890</v>
      </c>
    </row>
    <row r="410" customFormat="false" ht="15" hidden="false" customHeight="false" outlineLevel="0" collapsed="false">
      <c r="A410" s="0" t="s">
        <v>115</v>
      </c>
      <c r="B410" s="0" t="n">
        <v>2022</v>
      </c>
      <c r="C410" s="0" t="s">
        <v>58</v>
      </c>
      <c r="D410" s="0" t="n">
        <v>297592</v>
      </c>
      <c r="E410" s="0" t="n">
        <v>1</v>
      </c>
      <c r="F410" s="0" t="s">
        <v>437</v>
      </c>
      <c r="G410" s="0" t="s">
        <v>7040</v>
      </c>
      <c r="I410" s="0" t="s">
        <v>891</v>
      </c>
    </row>
    <row r="411" customFormat="false" ht="15" hidden="false" customHeight="false" outlineLevel="0" collapsed="false">
      <c r="A411" s="0" t="s">
        <v>115</v>
      </c>
      <c r="B411" s="0" t="n">
        <v>2022</v>
      </c>
      <c r="C411" s="0" t="s">
        <v>59</v>
      </c>
      <c r="D411" s="0" t="n">
        <v>3280454</v>
      </c>
      <c r="E411" s="0" t="n">
        <v>1</v>
      </c>
      <c r="F411" s="0" t="s">
        <v>437</v>
      </c>
      <c r="G411" s="0" t="s">
        <v>7040</v>
      </c>
      <c r="I411" s="0" t="s">
        <v>892</v>
      </c>
    </row>
    <row r="412" customFormat="false" ht="15" hidden="false" customHeight="false" outlineLevel="0" collapsed="false">
      <c r="A412" s="0" t="s">
        <v>115</v>
      </c>
      <c r="B412" s="0" t="n">
        <v>2022</v>
      </c>
      <c r="C412" s="0" t="s">
        <v>60</v>
      </c>
      <c r="D412" s="0" t="n">
        <v>2196760</v>
      </c>
      <c r="E412" s="0" t="n">
        <v>1</v>
      </c>
      <c r="F412" s="0" t="s">
        <v>437</v>
      </c>
      <c r="G412" s="0" t="s">
        <v>7040</v>
      </c>
      <c r="I412" s="0" t="s">
        <v>893</v>
      </c>
    </row>
    <row r="413" customFormat="false" ht="15" hidden="false" customHeight="false" outlineLevel="0" collapsed="false">
      <c r="A413" s="0" t="s">
        <v>115</v>
      </c>
      <c r="B413" s="0" t="n">
        <v>2022</v>
      </c>
      <c r="C413" s="0" t="s">
        <v>61</v>
      </c>
      <c r="D413" s="0" t="n">
        <v>80548</v>
      </c>
      <c r="E413" s="0" t="n">
        <v>1</v>
      </c>
      <c r="F413" s="0" t="s">
        <v>437</v>
      </c>
      <c r="G413" s="0" t="s">
        <v>7040</v>
      </c>
      <c r="I413" s="0" t="s">
        <v>894</v>
      </c>
    </row>
    <row r="414" customFormat="false" ht="15" hidden="false" customHeight="false" outlineLevel="0" collapsed="false">
      <c r="A414" s="0" t="s">
        <v>115</v>
      </c>
      <c r="B414" s="0" t="n">
        <v>2022</v>
      </c>
      <c r="C414" s="0" t="s">
        <v>62</v>
      </c>
      <c r="D414" s="0" t="n">
        <v>2116212</v>
      </c>
      <c r="E414" s="0" t="n">
        <v>1</v>
      </c>
      <c r="F414" s="0" t="s">
        <v>437</v>
      </c>
      <c r="G414" s="0" t="s">
        <v>7040</v>
      </c>
      <c r="I414" s="0" t="s">
        <v>895</v>
      </c>
    </row>
    <row r="415" customFormat="false" ht="15" hidden="false" customHeight="false" outlineLevel="0" collapsed="false">
      <c r="A415" s="0" t="s">
        <v>115</v>
      </c>
      <c r="B415" s="0" t="n">
        <v>2022</v>
      </c>
      <c r="C415" s="0" t="s">
        <v>63</v>
      </c>
      <c r="D415" s="0" t="n">
        <v>5443</v>
      </c>
      <c r="E415" s="0" t="n">
        <v>1</v>
      </c>
      <c r="F415" s="0" t="s">
        <v>437</v>
      </c>
      <c r="G415" s="0" t="s">
        <v>7040</v>
      </c>
      <c r="I415" s="0" t="s">
        <v>896</v>
      </c>
    </row>
    <row r="416" customFormat="false" ht="15" hidden="false" customHeight="false" outlineLevel="0" collapsed="false">
      <c r="A416" s="0" t="s">
        <v>115</v>
      </c>
      <c r="B416" s="0" t="n">
        <v>2022</v>
      </c>
      <c r="C416" s="0" t="s">
        <v>69</v>
      </c>
      <c r="D416" s="0" t="n">
        <v>18.14</v>
      </c>
      <c r="E416" s="0" t="n">
        <v>1</v>
      </c>
      <c r="F416" s="0" t="s">
        <v>437</v>
      </c>
      <c r="G416" s="0" t="s">
        <v>7040</v>
      </c>
      <c r="I416" s="0" t="s">
        <v>897</v>
      </c>
    </row>
    <row r="417" customFormat="false" ht="15" hidden="false" customHeight="false" outlineLevel="0" collapsed="false">
      <c r="A417" s="0" t="s">
        <v>115</v>
      </c>
      <c r="B417" s="0" t="n">
        <v>2022</v>
      </c>
      <c r="C417" s="0" t="s">
        <v>70</v>
      </c>
      <c r="D417" s="0" t="n">
        <v>15</v>
      </c>
      <c r="E417" s="0" t="n">
        <v>1</v>
      </c>
      <c r="F417" s="0" t="s">
        <v>437</v>
      </c>
      <c r="G417" s="0" t="s">
        <v>7040</v>
      </c>
      <c r="I417" s="0" t="s">
        <v>898</v>
      </c>
    </row>
    <row r="418" customFormat="false" ht="15" hidden="false" customHeight="false" outlineLevel="0" collapsed="false">
      <c r="A418" s="0" t="s">
        <v>115</v>
      </c>
      <c r="B418" s="0" t="n">
        <v>2022</v>
      </c>
      <c r="C418" s="0" t="s">
        <v>65</v>
      </c>
      <c r="D418" s="0" t="n">
        <v>289500</v>
      </c>
      <c r="E418" s="0" t="n">
        <v>1</v>
      </c>
      <c r="F418" s="0" t="s">
        <v>437</v>
      </c>
      <c r="G418" s="0" t="s">
        <v>7040</v>
      </c>
      <c r="I418" s="0" t="s">
        <v>899</v>
      </c>
    </row>
    <row r="419" customFormat="false" ht="15" hidden="false" customHeight="false" outlineLevel="0" collapsed="false">
      <c r="A419" s="0" t="s">
        <v>115</v>
      </c>
      <c r="B419" s="0" t="n">
        <v>2022</v>
      </c>
      <c r="C419" s="0" t="s">
        <v>66</v>
      </c>
      <c r="D419" s="0" t="n">
        <v>1595729</v>
      </c>
      <c r="E419" s="0" t="n">
        <v>1</v>
      </c>
      <c r="F419" s="0" t="s">
        <v>437</v>
      </c>
      <c r="G419" s="0" t="s">
        <v>7040</v>
      </c>
      <c r="I419" s="0" t="s">
        <v>900</v>
      </c>
    </row>
    <row r="420" customFormat="false" ht="15" hidden="false" customHeight="false" outlineLevel="0" collapsed="false">
      <c r="A420" s="0" t="s">
        <v>115</v>
      </c>
      <c r="B420" s="0" t="n">
        <v>2022</v>
      </c>
      <c r="C420" s="0" t="s">
        <v>73</v>
      </c>
      <c r="D420" s="0" t="n">
        <v>0</v>
      </c>
      <c r="E420" s="0" t="n">
        <v>1</v>
      </c>
      <c r="F420" s="0" t="s">
        <v>437</v>
      </c>
      <c r="G420" s="0" t="s">
        <v>7040</v>
      </c>
      <c r="I420" s="0" t="s">
        <v>902</v>
      </c>
    </row>
    <row r="421" customFormat="false" ht="15" hidden="false" customHeight="false" outlineLevel="0" collapsed="false">
      <c r="A421" s="0" t="s">
        <v>115</v>
      </c>
      <c r="B421" s="0" t="n">
        <v>2022</v>
      </c>
      <c r="C421" s="0" t="s">
        <v>541</v>
      </c>
      <c r="D421" s="0" t="n">
        <v>53677</v>
      </c>
      <c r="E421" s="0" t="n">
        <v>1</v>
      </c>
      <c r="F421" s="0" t="s">
        <v>437</v>
      </c>
      <c r="G421" s="0" t="s">
        <v>7040</v>
      </c>
      <c r="I421" s="0" t="s">
        <v>903</v>
      </c>
    </row>
    <row r="422" customFormat="false" ht="15" hidden="false" customHeight="false" outlineLevel="0" collapsed="false">
      <c r="A422" s="0" t="s">
        <v>125</v>
      </c>
      <c r="B422" s="0" t="n">
        <v>2013</v>
      </c>
      <c r="C422" s="0" t="s">
        <v>54</v>
      </c>
      <c r="D422" s="0" t="n">
        <v>59365</v>
      </c>
      <c r="E422" s="0" t="n">
        <v>1</v>
      </c>
      <c r="F422" s="0" t="s">
        <v>437</v>
      </c>
      <c r="G422" s="0" t="s">
        <v>7040</v>
      </c>
      <c r="I422" s="0" t="s">
        <v>3440</v>
      </c>
    </row>
    <row r="423" customFormat="false" ht="15" hidden="false" customHeight="false" outlineLevel="0" collapsed="false">
      <c r="A423" s="0" t="s">
        <v>125</v>
      </c>
      <c r="B423" s="0" t="n">
        <v>2013</v>
      </c>
      <c r="C423" s="0" t="s">
        <v>55</v>
      </c>
      <c r="D423" s="0" t="n">
        <v>3246579</v>
      </c>
      <c r="E423" s="0" t="n">
        <v>1</v>
      </c>
      <c r="F423" s="0" t="s">
        <v>437</v>
      </c>
      <c r="G423" s="0" t="s">
        <v>7040</v>
      </c>
      <c r="I423" s="0" t="s">
        <v>3444</v>
      </c>
    </row>
    <row r="424" customFormat="false" ht="15" hidden="false" customHeight="false" outlineLevel="0" collapsed="false">
      <c r="A424" s="0" t="s">
        <v>125</v>
      </c>
      <c r="B424" s="0" t="n">
        <v>2013</v>
      </c>
      <c r="C424" s="0" t="s">
        <v>56</v>
      </c>
      <c r="D424" s="0" t="n">
        <v>2895870</v>
      </c>
      <c r="E424" s="0" t="n">
        <v>1</v>
      </c>
      <c r="F424" s="0" t="s">
        <v>437</v>
      </c>
      <c r="G424" s="0" t="s">
        <v>7040</v>
      </c>
      <c r="I424" s="0" t="s">
        <v>3445</v>
      </c>
    </row>
    <row r="425" customFormat="false" ht="15" hidden="false" customHeight="false" outlineLevel="0" collapsed="false">
      <c r="A425" s="0" t="s">
        <v>125</v>
      </c>
      <c r="B425" s="0" t="n">
        <v>2013</v>
      </c>
      <c r="C425" s="0" t="s">
        <v>57</v>
      </c>
      <c r="D425" s="0" t="n">
        <v>350709</v>
      </c>
      <c r="E425" s="0" t="n">
        <v>1</v>
      </c>
      <c r="F425" s="0" t="s">
        <v>437</v>
      </c>
      <c r="G425" s="0" t="s">
        <v>7040</v>
      </c>
      <c r="I425" s="0" t="s">
        <v>3446</v>
      </c>
    </row>
    <row r="426" customFormat="false" ht="15" hidden="false" customHeight="false" outlineLevel="0" collapsed="false">
      <c r="A426" s="0" t="s">
        <v>125</v>
      </c>
      <c r="B426" s="0" t="n">
        <v>2013</v>
      </c>
      <c r="C426" s="0" t="s">
        <v>58</v>
      </c>
      <c r="D426" s="0" t="n">
        <v>179950</v>
      </c>
      <c r="E426" s="0" t="n">
        <v>1</v>
      </c>
      <c r="F426" s="0" t="s">
        <v>437</v>
      </c>
      <c r="G426" s="0" t="s">
        <v>7040</v>
      </c>
      <c r="I426" s="0" t="s">
        <v>3448</v>
      </c>
    </row>
    <row r="427" customFormat="false" ht="15" hidden="false" customHeight="false" outlineLevel="0" collapsed="false">
      <c r="A427" s="0" t="s">
        <v>125</v>
      </c>
      <c r="B427" s="0" t="n">
        <v>2013</v>
      </c>
      <c r="C427" s="0" t="s">
        <v>60</v>
      </c>
      <c r="D427" s="0" t="n">
        <v>1515288</v>
      </c>
      <c r="E427" s="0" t="n">
        <v>1</v>
      </c>
      <c r="F427" s="0" t="s">
        <v>437</v>
      </c>
      <c r="G427" s="0" t="s">
        <v>7040</v>
      </c>
      <c r="I427" s="0" t="s">
        <v>3519</v>
      </c>
    </row>
    <row r="428" customFormat="false" ht="15" hidden="false" customHeight="false" outlineLevel="0" collapsed="false">
      <c r="A428" s="0" t="s">
        <v>125</v>
      </c>
      <c r="B428" s="0" t="n">
        <v>2013</v>
      </c>
      <c r="C428" s="0" t="s">
        <v>61</v>
      </c>
      <c r="D428" s="0" t="n">
        <v>41449</v>
      </c>
      <c r="E428" s="0" t="n">
        <v>1</v>
      </c>
      <c r="F428" s="0" t="s">
        <v>437</v>
      </c>
      <c r="G428" s="0" t="s">
        <v>7040</v>
      </c>
      <c r="I428" s="0" t="s">
        <v>3520</v>
      </c>
    </row>
    <row r="429" customFormat="false" ht="15" hidden="false" customHeight="false" outlineLevel="0" collapsed="false">
      <c r="A429" s="0" t="s">
        <v>125</v>
      </c>
      <c r="B429" s="0" t="n">
        <v>2013</v>
      </c>
      <c r="C429" s="0" t="s">
        <v>63</v>
      </c>
      <c r="D429" s="0" t="n">
        <v>19838</v>
      </c>
      <c r="E429" s="0" t="n">
        <v>1</v>
      </c>
      <c r="F429" s="0" t="s">
        <v>437</v>
      </c>
      <c r="G429" s="0" t="s">
        <v>7040</v>
      </c>
      <c r="I429" s="0" t="s">
        <v>3443</v>
      </c>
    </row>
    <row r="430" customFormat="false" ht="15" hidden="false" customHeight="false" outlineLevel="0" collapsed="false">
      <c r="A430" s="0" t="s">
        <v>125</v>
      </c>
      <c r="B430" s="0" t="n">
        <v>2013</v>
      </c>
      <c r="C430" s="0" t="s">
        <v>69</v>
      </c>
      <c r="D430" s="0" t="n">
        <v>13.54</v>
      </c>
      <c r="E430" s="0" t="n">
        <v>1</v>
      </c>
      <c r="F430" s="0" t="s">
        <v>437</v>
      </c>
      <c r="G430" s="0" t="s">
        <v>7042</v>
      </c>
      <c r="H430" s="0" t="s">
        <v>7043</v>
      </c>
      <c r="I430" s="0" t="s">
        <v>3471</v>
      </c>
    </row>
    <row r="431" customFormat="false" ht="15" hidden="false" customHeight="false" outlineLevel="0" collapsed="false">
      <c r="A431" s="0" t="s">
        <v>125</v>
      </c>
      <c r="B431" s="0" t="n">
        <v>2014</v>
      </c>
      <c r="C431" s="0" t="s">
        <v>54</v>
      </c>
      <c r="D431" s="0" t="n">
        <v>79351</v>
      </c>
      <c r="E431" s="0" t="n">
        <v>1</v>
      </c>
      <c r="F431" s="0" t="s">
        <v>437</v>
      </c>
      <c r="G431" s="0" t="s">
        <v>7040</v>
      </c>
      <c r="I431" s="0" t="s">
        <v>3422</v>
      </c>
    </row>
    <row r="432" customFormat="false" ht="15" hidden="false" customHeight="false" outlineLevel="0" collapsed="false">
      <c r="A432" s="0" t="s">
        <v>125</v>
      </c>
      <c r="B432" s="0" t="n">
        <v>2014</v>
      </c>
      <c r="C432" s="0" t="s">
        <v>55</v>
      </c>
      <c r="D432" s="0" t="n">
        <v>3490871</v>
      </c>
      <c r="E432" s="0" t="n">
        <v>1</v>
      </c>
      <c r="F432" s="0" t="s">
        <v>437</v>
      </c>
      <c r="G432" s="0" t="s">
        <v>7040</v>
      </c>
      <c r="I432" s="0" t="s">
        <v>3432</v>
      </c>
    </row>
    <row r="433" customFormat="false" ht="15" hidden="false" customHeight="false" outlineLevel="0" collapsed="false">
      <c r="A433" s="0" t="s">
        <v>125</v>
      </c>
      <c r="B433" s="0" t="n">
        <v>2014</v>
      </c>
      <c r="C433" s="0" t="s">
        <v>56</v>
      </c>
      <c r="D433" s="0" t="n">
        <v>3067824</v>
      </c>
      <c r="E433" s="0" t="n">
        <v>1</v>
      </c>
      <c r="F433" s="0" t="s">
        <v>437</v>
      </c>
      <c r="G433" s="0" t="s">
        <v>7040</v>
      </c>
      <c r="I433" s="0" t="s">
        <v>3434</v>
      </c>
    </row>
    <row r="434" customFormat="false" ht="15" hidden="false" customHeight="false" outlineLevel="0" collapsed="false">
      <c r="A434" s="0" t="s">
        <v>125</v>
      </c>
      <c r="B434" s="0" t="n">
        <v>2014</v>
      </c>
      <c r="C434" s="0" t="s">
        <v>57</v>
      </c>
      <c r="D434" s="0" t="n">
        <v>423047</v>
      </c>
      <c r="E434" s="0" t="n">
        <v>1</v>
      </c>
      <c r="F434" s="0" t="s">
        <v>437</v>
      </c>
      <c r="G434" s="0" t="s">
        <v>7040</v>
      </c>
      <c r="I434" s="0" t="s">
        <v>3435</v>
      </c>
    </row>
    <row r="435" customFormat="false" ht="15" hidden="false" customHeight="false" outlineLevel="0" collapsed="false">
      <c r="A435" s="0" t="s">
        <v>125</v>
      </c>
      <c r="B435" s="0" t="n">
        <v>2014</v>
      </c>
      <c r="C435" s="0" t="s">
        <v>58</v>
      </c>
      <c r="D435" s="0" t="n">
        <v>-506665</v>
      </c>
      <c r="E435" s="0" t="n">
        <v>1</v>
      </c>
      <c r="F435" s="0" t="s">
        <v>437</v>
      </c>
      <c r="G435" s="0" t="s">
        <v>7040</v>
      </c>
      <c r="I435" s="0" t="s">
        <v>3438</v>
      </c>
    </row>
    <row r="436" customFormat="false" ht="15" hidden="false" customHeight="false" outlineLevel="0" collapsed="false">
      <c r="A436" s="0" t="s">
        <v>125</v>
      </c>
      <c r="B436" s="0" t="n">
        <v>2014</v>
      </c>
      <c r="C436" s="0" t="s">
        <v>59</v>
      </c>
      <c r="D436" s="0" t="n">
        <v>3246579</v>
      </c>
      <c r="E436" s="0" t="n">
        <v>1</v>
      </c>
      <c r="F436" s="0" t="s">
        <v>437</v>
      </c>
      <c r="G436" s="0" t="s">
        <v>7041</v>
      </c>
      <c r="I436" s="0" t="s">
        <v>3444</v>
      </c>
    </row>
    <row r="437" customFormat="false" ht="15" hidden="false" customHeight="false" outlineLevel="0" collapsed="false">
      <c r="A437" s="0" t="s">
        <v>125</v>
      </c>
      <c r="B437" s="0" t="n">
        <v>2014</v>
      </c>
      <c r="C437" s="0" t="s">
        <v>60</v>
      </c>
      <c r="D437" s="0" t="n">
        <v>1832107</v>
      </c>
      <c r="E437" s="0" t="n">
        <v>1</v>
      </c>
      <c r="F437" s="0" t="s">
        <v>437</v>
      </c>
      <c r="G437" s="0" t="s">
        <v>7040</v>
      </c>
      <c r="I437" s="0" t="s">
        <v>3514</v>
      </c>
    </row>
    <row r="438" customFormat="false" ht="15" hidden="false" customHeight="false" outlineLevel="0" collapsed="false">
      <c r="A438" s="0" t="s">
        <v>125</v>
      </c>
      <c r="B438" s="0" t="n">
        <v>2014</v>
      </c>
      <c r="C438" s="0" t="s">
        <v>61</v>
      </c>
      <c r="D438" s="0" t="n">
        <v>38070</v>
      </c>
      <c r="E438" s="0" t="n">
        <v>1</v>
      </c>
      <c r="F438" s="0" t="s">
        <v>437</v>
      </c>
      <c r="G438" s="0" t="s">
        <v>7040</v>
      </c>
      <c r="I438" s="0" t="s">
        <v>3516</v>
      </c>
    </row>
    <row r="439" customFormat="false" ht="15" hidden="false" customHeight="false" outlineLevel="0" collapsed="false">
      <c r="A439" s="0" t="s">
        <v>125</v>
      </c>
      <c r="B439" s="0" t="n">
        <v>2014</v>
      </c>
      <c r="C439" s="0" t="s">
        <v>63</v>
      </c>
      <c r="D439" s="0" t="n">
        <v>20924</v>
      </c>
      <c r="E439" s="0" t="n">
        <v>1</v>
      </c>
      <c r="F439" s="0" t="s">
        <v>437</v>
      </c>
      <c r="G439" s="0" t="s">
        <v>7040</v>
      </c>
      <c r="I439" s="0" t="s">
        <v>3430</v>
      </c>
    </row>
    <row r="440" customFormat="false" ht="15" hidden="false" customHeight="false" outlineLevel="0" collapsed="false">
      <c r="A440" s="0" t="s">
        <v>125</v>
      </c>
      <c r="B440" s="0" t="n">
        <v>2014</v>
      </c>
      <c r="C440" s="0" t="s">
        <v>69</v>
      </c>
      <c r="D440" s="0" t="n">
        <v>15.78</v>
      </c>
      <c r="E440" s="0" t="n">
        <v>1</v>
      </c>
      <c r="F440" s="0" t="s">
        <v>437</v>
      </c>
      <c r="G440" s="0" t="s">
        <v>7042</v>
      </c>
      <c r="H440" s="0" t="s">
        <v>7044</v>
      </c>
      <c r="I440" s="0" t="s">
        <v>3465</v>
      </c>
    </row>
    <row r="441" customFormat="false" ht="15" hidden="false" customHeight="false" outlineLevel="0" collapsed="false">
      <c r="A441" s="0" t="s">
        <v>125</v>
      </c>
      <c r="B441" s="0" t="n">
        <v>2015</v>
      </c>
      <c r="C441" s="0" t="s">
        <v>54</v>
      </c>
      <c r="D441" s="0" t="n">
        <v>37</v>
      </c>
      <c r="E441" s="0" t="n">
        <v>1</v>
      </c>
      <c r="F441" s="0" t="s">
        <v>437</v>
      </c>
      <c r="G441" s="0" t="s">
        <v>7040</v>
      </c>
      <c r="I441" s="0" t="s">
        <v>904</v>
      </c>
    </row>
    <row r="442" customFormat="false" ht="15" hidden="false" customHeight="false" outlineLevel="0" collapsed="false">
      <c r="A442" s="0" t="s">
        <v>125</v>
      </c>
      <c r="B442" s="0" t="n">
        <v>2015</v>
      </c>
      <c r="C442" s="0" t="s">
        <v>55</v>
      </c>
      <c r="D442" s="0" t="n">
        <v>3332375</v>
      </c>
      <c r="E442" s="0" t="n">
        <v>1</v>
      </c>
      <c r="F442" s="0" t="s">
        <v>437</v>
      </c>
      <c r="G442" s="0" t="s">
        <v>7040</v>
      </c>
      <c r="I442" s="0" t="s">
        <v>905</v>
      </c>
    </row>
    <row r="443" customFormat="false" ht="15" hidden="false" customHeight="false" outlineLevel="0" collapsed="false">
      <c r="A443" s="0" t="s">
        <v>125</v>
      </c>
      <c r="B443" s="0" t="n">
        <v>2015</v>
      </c>
      <c r="C443" s="0" t="s">
        <v>56</v>
      </c>
      <c r="D443" s="0" t="n">
        <v>2872628</v>
      </c>
      <c r="E443" s="0" t="n">
        <v>1</v>
      </c>
      <c r="F443" s="0" t="s">
        <v>437</v>
      </c>
      <c r="G443" s="0" t="s">
        <v>7040</v>
      </c>
      <c r="I443" s="0" t="s">
        <v>906</v>
      </c>
    </row>
    <row r="444" customFormat="false" ht="15" hidden="false" customHeight="false" outlineLevel="0" collapsed="false">
      <c r="A444" s="0" t="s">
        <v>125</v>
      </c>
      <c r="B444" s="0" t="n">
        <v>2015</v>
      </c>
      <c r="C444" s="0" t="s">
        <v>57</v>
      </c>
      <c r="D444" s="0" t="n">
        <v>459747</v>
      </c>
      <c r="E444" s="0" t="n">
        <v>1</v>
      </c>
      <c r="F444" s="0" t="s">
        <v>437</v>
      </c>
      <c r="G444" s="0" t="s">
        <v>7040</v>
      </c>
      <c r="I444" s="0" t="s">
        <v>907</v>
      </c>
    </row>
    <row r="445" customFormat="false" ht="15" hidden="false" customHeight="false" outlineLevel="0" collapsed="false">
      <c r="A445" s="0" t="s">
        <v>125</v>
      </c>
      <c r="B445" s="0" t="n">
        <v>2015</v>
      </c>
      <c r="C445" s="0" t="s">
        <v>58</v>
      </c>
      <c r="D445" s="0" t="n">
        <v>305952</v>
      </c>
      <c r="E445" s="0" t="n">
        <v>1</v>
      </c>
      <c r="F445" s="0" t="s">
        <v>437</v>
      </c>
      <c r="G445" s="0" t="s">
        <v>7040</v>
      </c>
      <c r="I445" s="0" t="s">
        <v>908</v>
      </c>
    </row>
    <row r="446" customFormat="false" ht="15" hidden="false" customHeight="false" outlineLevel="0" collapsed="false">
      <c r="A446" s="0" t="s">
        <v>125</v>
      </c>
      <c r="B446" s="0" t="n">
        <v>2015</v>
      </c>
      <c r="C446" s="0" t="s">
        <v>59</v>
      </c>
      <c r="D446" s="0" t="n">
        <v>3490871</v>
      </c>
      <c r="E446" s="0" t="n">
        <v>1</v>
      </c>
      <c r="F446" s="0" t="s">
        <v>437</v>
      </c>
      <c r="G446" s="0" t="s">
        <v>7040</v>
      </c>
      <c r="I446" s="0" t="s">
        <v>909</v>
      </c>
    </row>
    <row r="447" customFormat="false" ht="15" hidden="false" customHeight="false" outlineLevel="0" collapsed="false">
      <c r="A447" s="0" t="s">
        <v>125</v>
      </c>
      <c r="B447" s="0" t="n">
        <v>2015</v>
      </c>
      <c r="C447" s="0" t="s">
        <v>60</v>
      </c>
      <c r="D447" s="0" t="n">
        <v>1594936</v>
      </c>
      <c r="E447" s="0" t="n">
        <v>1</v>
      </c>
      <c r="F447" s="0" t="s">
        <v>437</v>
      </c>
      <c r="G447" s="0" t="s">
        <v>7040</v>
      </c>
      <c r="I447" s="0" t="s">
        <v>910</v>
      </c>
    </row>
    <row r="448" customFormat="false" ht="15" hidden="false" customHeight="false" outlineLevel="0" collapsed="false">
      <c r="A448" s="0" t="s">
        <v>125</v>
      </c>
      <c r="B448" s="0" t="n">
        <v>2015</v>
      </c>
      <c r="C448" s="0" t="s">
        <v>61</v>
      </c>
      <c r="D448" s="0" t="n">
        <v>137651</v>
      </c>
      <c r="E448" s="0" t="n">
        <v>1</v>
      </c>
      <c r="F448" s="0" t="s">
        <v>437</v>
      </c>
      <c r="G448" s="0" t="s">
        <v>7040</v>
      </c>
      <c r="I448" s="0" t="s">
        <v>911</v>
      </c>
    </row>
    <row r="449" customFormat="false" ht="15" hidden="false" customHeight="false" outlineLevel="0" collapsed="false">
      <c r="A449" s="0" t="s">
        <v>125</v>
      </c>
      <c r="B449" s="0" t="n">
        <v>2015</v>
      </c>
      <c r="C449" s="0" t="s">
        <v>62</v>
      </c>
      <c r="D449" s="0" t="n">
        <v>1457285</v>
      </c>
      <c r="E449" s="0" t="n">
        <v>1</v>
      </c>
      <c r="F449" s="0" t="s">
        <v>437</v>
      </c>
      <c r="G449" s="0" t="s">
        <v>7040</v>
      </c>
      <c r="I449" s="0" t="s">
        <v>912</v>
      </c>
    </row>
    <row r="450" customFormat="false" ht="15" hidden="false" customHeight="false" outlineLevel="0" collapsed="false">
      <c r="A450" s="0" t="s">
        <v>125</v>
      </c>
      <c r="B450" s="0" t="n">
        <v>2015</v>
      </c>
      <c r="C450" s="0" t="s">
        <v>63</v>
      </c>
      <c r="D450" s="0" t="n">
        <v>120046</v>
      </c>
      <c r="E450" s="0" t="n">
        <v>1</v>
      </c>
      <c r="F450" s="0" t="s">
        <v>437</v>
      </c>
      <c r="G450" s="0" t="s">
        <v>7040</v>
      </c>
      <c r="I450" s="0" t="s">
        <v>913</v>
      </c>
    </row>
    <row r="451" customFormat="false" ht="15" hidden="false" customHeight="false" outlineLevel="0" collapsed="false">
      <c r="A451" s="0" t="s">
        <v>125</v>
      </c>
      <c r="B451" s="0" t="n">
        <v>2015</v>
      </c>
      <c r="C451" s="0" t="s">
        <v>69</v>
      </c>
      <c r="D451" s="0" t="n">
        <v>17.08</v>
      </c>
      <c r="E451" s="0" t="n">
        <v>1</v>
      </c>
      <c r="F451" s="0" t="s">
        <v>437</v>
      </c>
      <c r="G451" s="0" t="s">
        <v>7040</v>
      </c>
      <c r="I451" s="0" t="s">
        <v>914</v>
      </c>
    </row>
    <row r="452" customFormat="false" ht="15" hidden="false" customHeight="false" outlineLevel="0" collapsed="false">
      <c r="A452" s="0" t="s">
        <v>125</v>
      </c>
      <c r="B452" s="0" t="n">
        <v>2015</v>
      </c>
      <c r="C452" s="0" t="s">
        <v>70</v>
      </c>
      <c r="D452" s="0" t="n">
        <v>15</v>
      </c>
      <c r="E452" s="0" t="n">
        <v>1</v>
      </c>
      <c r="F452" s="0" t="s">
        <v>437</v>
      </c>
      <c r="G452" s="0" t="s">
        <v>7040</v>
      </c>
      <c r="I452" s="0" t="s">
        <v>915</v>
      </c>
    </row>
    <row r="453" customFormat="false" ht="15" hidden="false" customHeight="false" outlineLevel="0" collapsed="false">
      <c r="A453" s="0" t="s">
        <v>125</v>
      </c>
      <c r="B453" s="0" t="n">
        <v>2015</v>
      </c>
      <c r="C453" s="0" t="s">
        <v>65</v>
      </c>
      <c r="D453" s="0" t="n">
        <v>430099</v>
      </c>
      <c r="E453" s="0" t="n">
        <v>1</v>
      </c>
      <c r="F453" s="0" t="s">
        <v>437</v>
      </c>
      <c r="G453" s="0" t="s">
        <v>7040</v>
      </c>
      <c r="I453" s="0" t="s">
        <v>916</v>
      </c>
    </row>
    <row r="454" customFormat="false" ht="15" hidden="false" customHeight="false" outlineLevel="0" collapsed="false">
      <c r="A454" s="0" t="s">
        <v>125</v>
      </c>
      <c r="B454" s="0" t="n">
        <v>2015</v>
      </c>
      <c r="C454" s="0" t="s">
        <v>66</v>
      </c>
      <c r="D454" s="0" t="n">
        <v>2518285</v>
      </c>
      <c r="E454" s="0" t="n">
        <v>1</v>
      </c>
      <c r="F454" s="0" t="s">
        <v>437</v>
      </c>
      <c r="G454" s="0" t="s">
        <v>7040</v>
      </c>
      <c r="I454" s="0" t="s">
        <v>917</v>
      </c>
    </row>
    <row r="455" customFormat="false" ht="15" hidden="false" customHeight="false" outlineLevel="0" collapsed="false">
      <c r="A455" s="0" t="s">
        <v>125</v>
      </c>
      <c r="B455" s="0" t="n">
        <v>2015</v>
      </c>
      <c r="C455" s="0" t="s">
        <v>541</v>
      </c>
      <c r="D455" s="0" t="n">
        <v>2816</v>
      </c>
      <c r="E455" s="0" t="n">
        <v>1</v>
      </c>
      <c r="F455" s="0" t="s">
        <v>437</v>
      </c>
      <c r="G455" s="0" t="s">
        <v>7040</v>
      </c>
      <c r="I455" s="0" t="s">
        <v>918</v>
      </c>
    </row>
    <row r="456" customFormat="false" ht="15" hidden="false" customHeight="false" outlineLevel="0" collapsed="false">
      <c r="A456" s="0" t="s">
        <v>125</v>
      </c>
      <c r="B456" s="0" t="n">
        <v>2015</v>
      </c>
      <c r="C456" s="0" t="s">
        <v>543</v>
      </c>
      <c r="D456" s="0" t="n">
        <v>111378</v>
      </c>
      <c r="E456" s="0" t="n">
        <v>1</v>
      </c>
      <c r="F456" s="0" t="s">
        <v>437</v>
      </c>
      <c r="G456" s="0" t="s">
        <v>7040</v>
      </c>
      <c r="I456" s="0" t="s">
        <v>919</v>
      </c>
    </row>
    <row r="457" customFormat="false" ht="15" hidden="false" customHeight="false" outlineLevel="0" collapsed="false">
      <c r="A457" s="0" t="s">
        <v>125</v>
      </c>
      <c r="B457" s="0" t="n">
        <v>2015</v>
      </c>
      <c r="C457" s="0" t="s">
        <v>545</v>
      </c>
      <c r="D457" s="0" t="n">
        <v>26273</v>
      </c>
      <c r="E457" s="0" t="n">
        <v>1</v>
      </c>
      <c r="F457" s="0" t="s">
        <v>437</v>
      </c>
      <c r="G457" s="0" t="s">
        <v>7040</v>
      </c>
      <c r="I457" s="0" t="s">
        <v>920</v>
      </c>
    </row>
    <row r="458" customFormat="false" ht="15" hidden="false" customHeight="false" outlineLevel="0" collapsed="false">
      <c r="A458" s="0" t="s">
        <v>125</v>
      </c>
      <c r="B458" s="0" t="n">
        <v>2016</v>
      </c>
      <c r="C458" s="0" t="s">
        <v>54</v>
      </c>
      <c r="D458" s="0" t="n">
        <v>50072</v>
      </c>
      <c r="E458" s="0" t="n">
        <v>1</v>
      </c>
      <c r="F458" s="0" t="s">
        <v>437</v>
      </c>
      <c r="G458" s="0" t="s">
        <v>7040</v>
      </c>
      <c r="I458" s="0" t="s">
        <v>921</v>
      </c>
    </row>
    <row r="459" customFormat="false" ht="15" hidden="false" customHeight="false" outlineLevel="0" collapsed="false">
      <c r="A459" s="0" t="s">
        <v>125</v>
      </c>
      <c r="B459" s="0" t="n">
        <v>2016</v>
      </c>
      <c r="C459" s="0" t="s">
        <v>55</v>
      </c>
      <c r="D459" s="0" t="n">
        <v>3557782</v>
      </c>
      <c r="E459" s="0" t="n">
        <v>1</v>
      </c>
      <c r="F459" s="0" t="s">
        <v>437</v>
      </c>
      <c r="G459" s="0" t="s">
        <v>7040</v>
      </c>
      <c r="I459" s="0" t="s">
        <v>922</v>
      </c>
    </row>
    <row r="460" customFormat="false" ht="15" hidden="false" customHeight="false" outlineLevel="0" collapsed="false">
      <c r="A460" s="0" t="s">
        <v>125</v>
      </c>
      <c r="B460" s="0" t="n">
        <v>2016</v>
      </c>
      <c r="C460" s="0" t="s">
        <v>56</v>
      </c>
      <c r="D460" s="0" t="n">
        <v>3071695</v>
      </c>
      <c r="E460" s="0" t="n">
        <v>1</v>
      </c>
      <c r="F460" s="0" t="s">
        <v>437</v>
      </c>
      <c r="G460" s="0" t="s">
        <v>7040</v>
      </c>
      <c r="I460" s="0" t="s">
        <v>923</v>
      </c>
    </row>
    <row r="461" customFormat="false" ht="15" hidden="false" customHeight="false" outlineLevel="0" collapsed="false">
      <c r="A461" s="0" t="s">
        <v>125</v>
      </c>
      <c r="B461" s="0" t="n">
        <v>2016</v>
      </c>
      <c r="C461" s="0" t="s">
        <v>57</v>
      </c>
      <c r="D461" s="0" t="n">
        <v>486087</v>
      </c>
      <c r="E461" s="0" t="n">
        <v>1</v>
      </c>
      <c r="F461" s="0" t="s">
        <v>437</v>
      </c>
      <c r="G461" s="0" t="s">
        <v>7040</v>
      </c>
      <c r="I461" s="0" t="s">
        <v>924</v>
      </c>
    </row>
    <row r="462" customFormat="false" ht="15" hidden="false" customHeight="false" outlineLevel="0" collapsed="false">
      <c r="A462" s="0" t="s">
        <v>125</v>
      </c>
      <c r="B462" s="0" t="n">
        <v>2016</v>
      </c>
      <c r="C462" s="0" t="s">
        <v>58</v>
      </c>
      <c r="D462" s="0" t="n">
        <v>-171230</v>
      </c>
      <c r="E462" s="0" t="n">
        <v>1</v>
      </c>
      <c r="F462" s="0" t="s">
        <v>437</v>
      </c>
      <c r="G462" s="0" t="s">
        <v>7040</v>
      </c>
      <c r="I462" s="0" t="s">
        <v>925</v>
      </c>
    </row>
    <row r="463" customFormat="false" ht="15" hidden="false" customHeight="false" outlineLevel="0" collapsed="false">
      <c r="A463" s="0" t="s">
        <v>125</v>
      </c>
      <c r="B463" s="0" t="n">
        <v>2016</v>
      </c>
      <c r="C463" s="0" t="s">
        <v>60</v>
      </c>
      <c r="D463" s="0" t="n">
        <v>1933407</v>
      </c>
      <c r="E463" s="0" t="n">
        <v>1</v>
      </c>
      <c r="F463" s="0" t="s">
        <v>437</v>
      </c>
      <c r="G463" s="0" t="s">
        <v>7040</v>
      </c>
      <c r="I463" s="0" t="s">
        <v>926</v>
      </c>
    </row>
    <row r="464" customFormat="false" ht="15" hidden="false" customHeight="false" outlineLevel="0" collapsed="false">
      <c r="A464" s="0" t="s">
        <v>125</v>
      </c>
      <c r="B464" s="0" t="n">
        <v>2016</v>
      </c>
      <c r="C464" s="0" t="s">
        <v>61</v>
      </c>
      <c r="D464" s="0" t="n">
        <v>240695</v>
      </c>
      <c r="E464" s="0" t="n">
        <v>1</v>
      </c>
      <c r="F464" s="0" t="s">
        <v>437</v>
      </c>
      <c r="G464" s="0" t="s">
        <v>7040</v>
      </c>
      <c r="I464" s="0" t="s">
        <v>927</v>
      </c>
    </row>
    <row r="465" customFormat="false" ht="15" hidden="false" customHeight="false" outlineLevel="0" collapsed="false">
      <c r="A465" s="0" t="s">
        <v>125</v>
      </c>
      <c r="B465" s="0" t="n">
        <v>2016</v>
      </c>
      <c r="C465" s="0" t="s">
        <v>62</v>
      </c>
      <c r="D465" s="0" t="n">
        <v>1692712</v>
      </c>
      <c r="E465" s="0" t="n">
        <v>1</v>
      </c>
      <c r="F465" s="0" t="s">
        <v>437</v>
      </c>
      <c r="G465" s="0" t="s">
        <v>7040</v>
      </c>
      <c r="I465" s="0" t="s">
        <v>928</v>
      </c>
    </row>
    <row r="466" customFormat="false" ht="15" hidden="false" customHeight="false" outlineLevel="0" collapsed="false">
      <c r="A466" s="0" t="s">
        <v>125</v>
      </c>
      <c r="B466" s="0" t="n">
        <v>2016</v>
      </c>
      <c r="C466" s="0" t="s">
        <v>307</v>
      </c>
      <c r="D466" s="0" t="n">
        <v>159841</v>
      </c>
      <c r="E466" s="0" t="n">
        <v>1</v>
      </c>
      <c r="F466" s="0" t="s">
        <v>437</v>
      </c>
      <c r="G466" s="0" t="s">
        <v>7040</v>
      </c>
      <c r="I466" s="0" t="s">
        <v>929</v>
      </c>
    </row>
    <row r="467" customFormat="false" ht="15" hidden="false" customHeight="false" outlineLevel="0" collapsed="false">
      <c r="A467" s="0" t="s">
        <v>125</v>
      </c>
      <c r="B467" s="0" t="n">
        <v>2016</v>
      </c>
      <c r="C467" s="0" t="s">
        <v>69</v>
      </c>
      <c r="D467" s="0" t="n">
        <v>17.79</v>
      </c>
      <c r="E467" s="0" t="n">
        <v>1</v>
      </c>
      <c r="F467" s="0" t="s">
        <v>437</v>
      </c>
      <c r="G467" s="0" t="s">
        <v>7040</v>
      </c>
      <c r="I467" s="0" t="s">
        <v>930</v>
      </c>
    </row>
    <row r="468" customFormat="false" ht="15" hidden="false" customHeight="false" outlineLevel="0" collapsed="false">
      <c r="A468" s="0" t="s">
        <v>125</v>
      </c>
      <c r="B468" s="0" t="n">
        <v>2016</v>
      </c>
      <c r="C468" s="0" t="s">
        <v>70</v>
      </c>
      <c r="D468" s="0" t="n">
        <v>15</v>
      </c>
      <c r="E468" s="0" t="n">
        <v>1</v>
      </c>
      <c r="F468" s="0" t="s">
        <v>437</v>
      </c>
      <c r="G468" s="0" t="s">
        <v>7040</v>
      </c>
      <c r="I468" s="0" t="s">
        <v>931</v>
      </c>
    </row>
    <row r="469" customFormat="false" ht="15" hidden="false" customHeight="false" outlineLevel="0" collapsed="false">
      <c r="A469" s="0" t="s">
        <v>125</v>
      </c>
      <c r="B469" s="0" t="n">
        <v>2016</v>
      </c>
      <c r="C469" s="0" t="s">
        <v>65</v>
      </c>
      <c r="D469" s="0" t="n">
        <v>501256</v>
      </c>
      <c r="E469" s="0" t="n">
        <v>1</v>
      </c>
      <c r="F469" s="0" t="s">
        <v>437</v>
      </c>
      <c r="G469" s="0" t="s">
        <v>7040</v>
      </c>
      <c r="I469" s="0" t="s">
        <v>932</v>
      </c>
    </row>
    <row r="470" customFormat="false" ht="15" hidden="false" customHeight="false" outlineLevel="0" collapsed="false">
      <c r="A470" s="0" t="s">
        <v>125</v>
      </c>
      <c r="B470" s="0" t="n">
        <v>2016</v>
      </c>
      <c r="C470" s="0" t="s">
        <v>66</v>
      </c>
      <c r="D470" s="0" t="n">
        <v>2818158</v>
      </c>
      <c r="E470" s="0" t="n">
        <v>1</v>
      </c>
      <c r="F470" s="0" t="s">
        <v>437</v>
      </c>
      <c r="G470" s="0" t="s">
        <v>7040</v>
      </c>
      <c r="I470" s="0" t="s">
        <v>933</v>
      </c>
    </row>
    <row r="471" customFormat="false" ht="15" hidden="false" customHeight="false" outlineLevel="0" collapsed="false">
      <c r="A471" s="0" t="s">
        <v>125</v>
      </c>
      <c r="B471" s="0" t="n">
        <v>2016</v>
      </c>
      <c r="C471" s="0" t="s">
        <v>73</v>
      </c>
      <c r="D471" s="0" t="n">
        <v>0</v>
      </c>
      <c r="E471" s="0" t="n">
        <v>1</v>
      </c>
      <c r="F471" s="0" t="s">
        <v>437</v>
      </c>
      <c r="G471" s="0" t="s">
        <v>7040</v>
      </c>
      <c r="I471" s="0" t="s">
        <v>934</v>
      </c>
    </row>
    <row r="472" customFormat="false" ht="15" hidden="false" customHeight="false" outlineLevel="0" collapsed="false">
      <c r="A472" s="0" t="s">
        <v>125</v>
      </c>
      <c r="B472" s="0" t="n">
        <v>2016</v>
      </c>
      <c r="C472" s="0" t="s">
        <v>541</v>
      </c>
      <c r="D472" s="0" t="n">
        <v>54733</v>
      </c>
      <c r="E472" s="0" t="n">
        <v>1</v>
      </c>
      <c r="F472" s="0" t="s">
        <v>437</v>
      </c>
      <c r="G472" s="0" t="s">
        <v>7040</v>
      </c>
      <c r="I472" s="0" t="s">
        <v>935</v>
      </c>
    </row>
    <row r="473" customFormat="false" ht="15" hidden="false" customHeight="false" outlineLevel="0" collapsed="false">
      <c r="A473" s="0" t="s">
        <v>125</v>
      </c>
      <c r="B473" s="0" t="n">
        <v>2016</v>
      </c>
      <c r="C473" s="0" t="s">
        <v>543</v>
      </c>
      <c r="D473" s="0" t="n">
        <v>210105</v>
      </c>
      <c r="E473" s="0" t="n">
        <v>1</v>
      </c>
      <c r="F473" s="0" t="s">
        <v>437</v>
      </c>
      <c r="G473" s="0" t="s">
        <v>7040</v>
      </c>
      <c r="I473" s="0" t="s">
        <v>936</v>
      </c>
    </row>
    <row r="474" customFormat="false" ht="15" hidden="false" customHeight="false" outlineLevel="0" collapsed="false">
      <c r="A474" s="0" t="s">
        <v>125</v>
      </c>
      <c r="B474" s="0" t="n">
        <v>2016</v>
      </c>
      <c r="C474" s="0" t="s">
        <v>545</v>
      </c>
      <c r="D474" s="0" t="n">
        <v>30590</v>
      </c>
      <c r="E474" s="0" t="n">
        <v>1</v>
      </c>
      <c r="F474" s="0" t="s">
        <v>437</v>
      </c>
      <c r="G474" s="0" t="s">
        <v>7040</v>
      </c>
      <c r="I474" s="0" t="s">
        <v>937</v>
      </c>
    </row>
    <row r="475" customFormat="false" ht="15" hidden="false" customHeight="false" outlineLevel="0" collapsed="false">
      <c r="A475" s="0" t="s">
        <v>125</v>
      </c>
      <c r="B475" s="0" t="n">
        <v>2017</v>
      </c>
      <c r="C475" s="0" t="s">
        <v>54</v>
      </c>
      <c r="D475" s="0" t="n">
        <v>46918</v>
      </c>
      <c r="E475" s="0" t="n">
        <v>1</v>
      </c>
      <c r="F475" s="0" t="s">
        <v>437</v>
      </c>
      <c r="G475" s="0" t="s">
        <v>7040</v>
      </c>
      <c r="I475" s="0" t="s">
        <v>938</v>
      </c>
    </row>
    <row r="476" customFormat="false" ht="15" hidden="false" customHeight="false" outlineLevel="0" collapsed="false">
      <c r="A476" s="0" t="s">
        <v>125</v>
      </c>
      <c r="B476" s="0" t="n">
        <v>2017</v>
      </c>
      <c r="C476" s="0" t="s">
        <v>55</v>
      </c>
      <c r="D476" s="0" t="n">
        <v>3777039</v>
      </c>
      <c r="E476" s="0" t="n">
        <v>1</v>
      </c>
      <c r="F476" s="0" t="s">
        <v>437</v>
      </c>
      <c r="G476" s="0" t="s">
        <v>7040</v>
      </c>
      <c r="I476" s="0" t="s">
        <v>939</v>
      </c>
    </row>
    <row r="477" customFormat="false" ht="15" hidden="false" customHeight="false" outlineLevel="0" collapsed="false">
      <c r="A477" s="0" t="s">
        <v>125</v>
      </c>
      <c r="B477" s="0" t="n">
        <v>2017</v>
      </c>
      <c r="C477" s="0" t="s">
        <v>56</v>
      </c>
      <c r="D477" s="0" t="n">
        <v>3197196</v>
      </c>
      <c r="E477" s="0" t="n">
        <v>1</v>
      </c>
      <c r="F477" s="0" t="s">
        <v>437</v>
      </c>
      <c r="G477" s="0" t="s">
        <v>7040</v>
      </c>
      <c r="I477" s="0" t="s">
        <v>940</v>
      </c>
    </row>
    <row r="478" customFormat="false" ht="15" hidden="false" customHeight="false" outlineLevel="0" collapsed="false">
      <c r="A478" s="0" t="s">
        <v>125</v>
      </c>
      <c r="B478" s="0" t="n">
        <v>2017</v>
      </c>
      <c r="C478" s="0" t="s">
        <v>57</v>
      </c>
      <c r="D478" s="0" t="n">
        <v>579843</v>
      </c>
      <c r="E478" s="0" t="n">
        <v>1</v>
      </c>
      <c r="F478" s="0" t="s">
        <v>437</v>
      </c>
      <c r="G478" s="0" t="s">
        <v>7040</v>
      </c>
      <c r="I478" s="0" t="s">
        <v>941</v>
      </c>
    </row>
    <row r="479" customFormat="false" ht="15" hidden="false" customHeight="false" outlineLevel="0" collapsed="false">
      <c r="A479" s="0" t="s">
        <v>125</v>
      </c>
      <c r="B479" s="0" t="n">
        <v>2017</v>
      </c>
      <c r="C479" s="0" t="s">
        <v>58</v>
      </c>
      <c r="D479" s="0" t="n">
        <v>113212</v>
      </c>
      <c r="E479" s="0" t="n">
        <v>1</v>
      </c>
      <c r="F479" s="0" t="s">
        <v>437</v>
      </c>
      <c r="G479" s="0" t="s">
        <v>7040</v>
      </c>
      <c r="I479" s="0" t="s">
        <v>942</v>
      </c>
    </row>
    <row r="480" customFormat="false" ht="15" hidden="false" customHeight="false" outlineLevel="0" collapsed="false">
      <c r="A480" s="0" t="s">
        <v>125</v>
      </c>
      <c r="B480" s="0" t="n">
        <v>2017</v>
      </c>
      <c r="C480" s="0" t="s">
        <v>59</v>
      </c>
      <c r="D480" s="0" t="n">
        <v>3557782</v>
      </c>
      <c r="E480" s="0" t="n">
        <v>1</v>
      </c>
      <c r="F480" s="0" t="s">
        <v>437</v>
      </c>
      <c r="G480" s="0" t="s">
        <v>7040</v>
      </c>
      <c r="I480" s="0" t="s">
        <v>943</v>
      </c>
    </row>
    <row r="481" customFormat="false" ht="15" hidden="false" customHeight="false" outlineLevel="0" collapsed="false">
      <c r="A481" s="0" t="s">
        <v>125</v>
      </c>
      <c r="B481" s="0" t="n">
        <v>2017</v>
      </c>
      <c r="C481" s="0" t="s">
        <v>60</v>
      </c>
      <c r="D481" s="0" t="n">
        <v>1837515</v>
      </c>
      <c r="E481" s="0" t="n">
        <v>1</v>
      </c>
      <c r="F481" s="0" t="s">
        <v>437</v>
      </c>
      <c r="G481" s="0" t="s">
        <v>7040</v>
      </c>
      <c r="I481" s="0" t="s">
        <v>944</v>
      </c>
    </row>
    <row r="482" customFormat="false" ht="15" hidden="false" customHeight="false" outlineLevel="0" collapsed="false">
      <c r="A482" s="0" t="s">
        <v>125</v>
      </c>
      <c r="B482" s="0" t="n">
        <v>2017</v>
      </c>
      <c r="C482" s="0" t="s">
        <v>61</v>
      </c>
      <c r="D482" s="0" t="n">
        <v>178719</v>
      </c>
      <c r="E482" s="0" t="n">
        <v>1</v>
      </c>
      <c r="F482" s="0" t="s">
        <v>437</v>
      </c>
      <c r="G482" s="0" t="s">
        <v>7040</v>
      </c>
      <c r="I482" s="0" t="s">
        <v>945</v>
      </c>
    </row>
    <row r="483" customFormat="false" ht="15" hidden="false" customHeight="false" outlineLevel="0" collapsed="false">
      <c r="A483" s="0" t="s">
        <v>125</v>
      </c>
      <c r="B483" s="0" t="n">
        <v>2017</v>
      </c>
      <c r="C483" s="0" t="s">
        <v>62</v>
      </c>
      <c r="D483" s="0" t="n">
        <v>1658796</v>
      </c>
      <c r="E483" s="0" t="n">
        <v>1</v>
      </c>
      <c r="F483" s="0" t="s">
        <v>437</v>
      </c>
      <c r="G483" s="0" t="s">
        <v>7040</v>
      </c>
      <c r="I483" s="0" t="s">
        <v>946</v>
      </c>
    </row>
    <row r="484" customFormat="false" ht="15" hidden="false" customHeight="false" outlineLevel="0" collapsed="false">
      <c r="A484" s="0" t="s">
        <v>125</v>
      </c>
      <c r="B484" s="0" t="n">
        <v>2017</v>
      </c>
      <c r="C484" s="0" t="s">
        <v>307</v>
      </c>
      <c r="D484" s="0" t="n">
        <v>126190</v>
      </c>
      <c r="E484" s="0" t="n">
        <v>1</v>
      </c>
      <c r="F484" s="0" t="s">
        <v>437</v>
      </c>
      <c r="G484" s="0" t="s">
        <v>7040</v>
      </c>
      <c r="I484" s="0" t="s">
        <v>947</v>
      </c>
    </row>
    <row r="485" customFormat="false" ht="15" hidden="false" customHeight="false" outlineLevel="0" collapsed="false">
      <c r="A485" s="0" t="s">
        <v>125</v>
      </c>
      <c r="B485" s="0" t="n">
        <v>2017</v>
      </c>
      <c r="C485" s="0" t="s">
        <v>69</v>
      </c>
      <c r="D485" s="0" t="n">
        <v>17.74</v>
      </c>
      <c r="E485" s="0" t="n">
        <v>1</v>
      </c>
      <c r="F485" s="0" t="s">
        <v>437</v>
      </c>
      <c r="G485" s="0" t="s">
        <v>7040</v>
      </c>
      <c r="I485" s="0" t="s">
        <v>948</v>
      </c>
    </row>
    <row r="486" customFormat="false" ht="15" hidden="false" customHeight="false" outlineLevel="0" collapsed="false">
      <c r="A486" s="0" t="s">
        <v>125</v>
      </c>
      <c r="B486" s="0" t="n">
        <v>2017</v>
      </c>
      <c r="C486" s="0" t="s">
        <v>70</v>
      </c>
      <c r="D486" s="0" t="n">
        <v>15</v>
      </c>
      <c r="E486" s="0" t="n">
        <v>1</v>
      </c>
      <c r="F486" s="0" t="s">
        <v>437</v>
      </c>
      <c r="G486" s="0" t="s">
        <v>7040</v>
      </c>
      <c r="I486" s="0" t="s">
        <v>949</v>
      </c>
    </row>
    <row r="487" customFormat="false" ht="15" hidden="false" customHeight="false" outlineLevel="0" collapsed="false">
      <c r="A487" s="0" t="s">
        <v>125</v>
      </c>
      <c r="B487" s="0" t="n">
        <v>2017</v>
      </c>
      <c r="C487" s="0" t="s">
        <v>65</v>
      </c>
      <c r="D487" s="0" t="n">
        <v>535692</v>
      </c>
      <c r="E487" s="0" t="n">
        <v>1</v>
      </c>
      <c r="F487" s="0" t="s">
        <v>437</v>
      </c>
      <c r="G487" s="0" t="s">
        <v>7040</v>
      </c>
      <c r="I487" s="0" t="s">
        <v>950</v>
      </c>
    </row>
    <row r="488" customFormat="false" ht="15" hidden="false" customHeight="false" outlineLevel="0" collapsed="false">
      <c r="A488" s="0" t="s">
        <v>125</v>
      </c>
      <c r="B488" s="0" t="n">
        <v>2017</v>
      </c>
      <c r="C488" s="0" t="s">
        <v>66</v>
      </c>
      <c r="D488" s="0" t="n">
        <v>3019880</v>
      </c>
      <c r="E488" s="0" t="n">
        <v>1</v>
      </c>
      <c r="F488" s="0" t="s">
        <v>437</v>
      </c>
      <c r="G488" s="0" t="s">
        <v>7040</v>
      </c>
      <c r="I488" s="0" t="s">
        <v>951</v>
      </c>
    </row>
    <row r="489" customFormat="false" ht="15" hidden="false" customHeight="false" outlineLevel="0" collapsed="false">
      <c r="A489" s="0" t="s">
        <v>125</v>
      </c>
      <c r="B489" s="0" t="n">
        <v>2017</v>
      </c>
      <c r="C489" s="0" t="s">
        <v>541</v>
      </c>
      <c r="D489" s="0" t="n">
        <v>52263</v>
      </c>
      <c r="E489" s="0" t="n">
        <v>1</v>
      </c>
      <c r="F489" s="0" t="s">
        <v>437</v>
      </c>
      <c r="G489" s="0" t="s">
        <v>7040</v>
      </c>
      <c r="I489" s="0" t="s">
        <v>952</v>
      </c>
    </row>
    <row r="490" customFormat="false" ht="15" hidden="false" customHeight="false" outlineLevel="0" collapsed="false">
      <c r="A490" s="0" t="s">
        <v>125</v>
      </c>
      <c r="B490" s="0" t="n">
        <v>2017</v>
      </c>
      <c r="C490" s="0" t="s">
        <v>543</v>
      </c>
      <c r="D490" s="0" t="n">
        <v>133484</v>
      </c>
      <c r="E490" s="0" t="n">
        <v>1</v>
      </c>
      <c r="F490" s="0" t="s">
        <v>437</v>
      </c>
      <c r="G490" s="0" t="s">
        <v>7040</v>
      </c>
      <c r="I490" s="0" t="s">
        <v>953</v>
      </c>
    </row>
    <row r="491" customFormat="false" ht="15" hidden="false" customHeight="false" outlineLevel="0" collapsed="false">
      <c r="A491" s="0" t="s">
        <v>125</v>
      </c>
      <c r="B491" s="0" t="n">
        <v>2017</v>
      </c>
      <c r="C491" s="0" t="s">
        <v>545</v>
      </c>
      <c r="D491" s="0" t="n">
        <v>45235</v>
      </c>
      <c r="E491" s="0" t="n">
        <v>1</v>
      </c>
      <c r="F491" s="0" t="s">
        <v>437</v>
      </c>
      <c r="G491" s="0" t="s">
        <v>7040</v>
      </c>
      <c r="I491" s="0" t="s">
        <v>954</v>
      </c>
    </row>
    <row r="492" customFormat="false" ht="15" hidden="false" customHeight="false" outlineLevel="0" collapsed="false">
      <c r="A492" s="0" t="s">
        <v>125</v>
      </c>
      <c r="B492" s="0" t="n">
        <v>2018</v>
      </c>
      <c r="C492" s="0" t="s">
        <v>54</v>
      </c>
      <c r="D492" s="0" t="n">
        <v>56952</v>
      </c>
      <c r="E492" s="0" t="n">
        <v>1</v>
      </c>
      <c r="F492" s="0" t="s">
        <v>437</v>
      </c>
      <c r="G492" s="0" t="s">
        <v>7040</v>
      </c>
      <c r="I492" s="0" t="s">
        <v>955</v>
      </c>
    </row>
    <row r="493" customFormat="false" ht="15" hidden="false" customHeight="false" outlineLevel="0" collapsed="false">
      <c r="A493" s="0" t="s">
        <v>125</v>
      </c>
      <c r="B493" s="0" t="n">
        <v>2018</v>
      </c>
      <c r="C493" s="0" t="s">
        <v>55</v>
      </c>
      <c r="D493" s="0" t="n">
        <v>3985907</v>
      </c>
      <c r="E493" s="0" t="n">
        <v>1</v>
      </c>
      <c r="F493" s="0" t="s">
        <v>437</v>
      </c>
      <c r="G493" s="0" t="s">
        <v>7040</v>
      </c>
      <c r="I493" s="0" t="s">
        <v>956</v>
      </c>
    </row>
    <row r="494" customFormat="false" ht="15" hidden="false" customHeight="false" outlineLevel="0" collapsed="false">
      <c r="A494" s="0" t="s">
        <v>125</v>
      </c>
      <c r="B494" s="0" t="n">
        <v>2018</v>
      </c>
      <c r="C494" s="0" t="s">
        <v>56</v>
      </c>
      <c r="D494" s="0" t="n">
        <v>3543223</v>
      </c>
      <c r="E494" s="0" t="n">
        <v>1</v>
      </c>
      <c r="F494" s="0" t="s">
        <v>437</v>
      </c>
      <c r="G494" s="0" t="s">
        <v>7040</v>
      </c>
      <c r="I494" s="0" t="s">
        <v>957</v>
      </c>
    </row>
    <row r="495" customFormat="false" ht="15" hidden="false" customHeight="false" outlineLevel="0" collapsed="false">
      <c r="A495" s="0" t="s">
        <v>125</v>
      </c>
      <c r="B495" s="0" t="n">
        <v>2018</v>
      </c>
      <c r="C495" s="0" t="s">
        <v>57</v>
      </c>
      <c r="D495" s="0" t="n">
        <v>442684</v>
      </c>
      <c r="E495" s="0" t="n">
        <v>1</v>
      </c>
      <c r="F495" s="0" t="s">
        <v>437</v>
      </c>
      <c r="G495" s="0" t="s">
        <v>7040</v>
      </c>
      <c r="I495" s="0" t="s">
        <v>958</v>
      </c>
    </row>
    <row r="496" customFormat="false" ht="15" hidden="false" customHeight="false" outlineLevel="0" collapsed="false">
      <c r="A496" s="0" t="s">
        <v>125</v>
      </c>
      <c r="B496" s="0" t="n">
        <v>2018</v>
      </c>
      <c r="C496" s="0" t="s">
        <v>58</v>
      </c>
      <c r="D496" s="0" t="n">
        <v>327497</v>
      </c>
      <c r="E496" s="0" t="n">
        <v>1</v>
      </c>
      <c r="F496" s="0" t="s">
        <v>437</v>
      </c>
      <c r="G496" s="0" t="s">
        <v>7040</v>
      </c>
      <c r="I496" s="0" t="s">
        <v>959</v>
      </c>
    </row>
    <row r="497" customFormat="false" ht="15" hidden="false" customHeight="false" outlineLevel="0" collapsed="false">
      <c r="A497" s="0" t="s">
        <v>125</v>
      </c>
      <c r="B497" s="0" t="n">
        <v>2018</v>
      </c>
      <c r="C497" s="0" t="s">
        <v>59</v>
      </c>
      <c r="D497" s="0" t="n">
        <v>3777039</v>
      </c>
      <c r="E497" s="0" t="n">
        <v>1</v>
      </c>
      <c r="F497" s="0" t="s">
        <v>437</v>
      </c>
      <c r="G497" s="0" t="s">
        <v>7040</v>
      </c>
      <c r="I497" s="0" t="s">
        <v>961</v>
      </c>
    </row>
    <row r="498" customFormat="false" ht="15" hidden="false" customHeight="false" outlineLevel="0" collapsed="false">
      <c r="A498" s="0" t="s">
        <v>125</v>
      </c>
      <c r="B498" s="0" t="n">
        <v>2018</v>
      </c>
      <c r="C498" s="0" t="s">
        <v>60</v>
      </c>
      <c r="D498" s="0" t="n">
        <v>1728964</v>
      </c>
      <c r="E498" s="0" t="n">
        <v>1</v>
      </c>
      <c r="F498" s="0" t="s">
        <v>437</v>
      </c>
      <c r="G498" s="0" t="s">
        <v>7040</v>
      </c>
      <c r="I498" s="0" t="s">
        <v>963</v>
      </c>
    </row>
    <row r="499" customFormat="false" ht="15" hidden="false" customHeight="false" outlineLevel="0" collapsed="false">
      <c r="A499" s="0" t="s">
        <v>125</v>
      </c>
      <c r="B499" s="0" t="n">
        <v>2018</v>
      </c>
      <c r="C499" s="0" t="s">
        <v>61</v>
      </c>
      <c r="D499" s="0" t="n">
        <v>277549</v>
      </c>
      <c r="E499" s="0" t="n">
        <v>1</v>
      </c>
      <c r="F499" s="0" t="s">
        <v>437</v>
      </c>
      <c r="G499" s="0" t="s">
        <v>7040</v>
      </c>
      <c r="I499" s="0" t="s">
        <v>964</v>
      </c>
    </row>
    <row r="500" customFormat="false" ht="15" hidden="false" customHeight="false" outlineLevel="0" collapsed="false">
      <c r="A500" s="0" t="s">
        <v>125</v>
      </c>
      <c r="B500" s="0" t="n">
        <v>2018</v>
      </c>
      <c r="C500" s="0" t="s">
        <v>62</v>
      </c>
      <c r="D500" s="0" t="n">
        <v>1451415</v>
      </c>
      <c r="E500" s="0" t="n">
        <v>1</v>
      </c>
      <c r="F500" s="0" t="s">
        <v>437</v>
      </c>
      <c r="G500" s="0" t="s">
        <v>7040</v>
      </c>
      <c r="I500" s="0" t="s">
        <v>965</v>
      </c>
    </row>
    <row r="501" customFormat="false" ht="15" hidden="false" customHeight="false" outlineLevel="0" collapsed="false">
      <c r="A501" s="0" t="s">
        <v>125</v>
      </c>
      <c r="B501" s="0" t="n">
        <v>2018</v>
      </c>
      <c r="C501" s="0" t="s">
        <v>63</v>
      </c>
      <c r="D501" s="0" t="n">
        <v>61865</v>
      </c>
      <c r="E501" s="0" t="n">
        <v>1</v>
      </c>
      <c r="F501" s="0" t="s">
        <v>437</v>
      </c>
      <c r="G501" s="0" t="s">
        <v>7040</v>
      </c>
      <c r="I501" s="0" t="s">
        <v>966</v>
      </c>
    </row>
    <row r="502" customFormat="false" ht="15" hidden="false" customHeight="false" outlineLevel="0" collapsed="false">
      <c r="A502" s="0" t="s">
        <v>125</v>
      </c>
      <c r="B502" s="0" t="n">
        <v>2018</v>
      </c>
      <c r="C502" s="0" t="s">
        <v>69</v>
      </c>
      <c r="D502" s="0" t="n">
        <v>10.66</v>
      </c>
      <c r="E502" s="0" t="n">
        <v>1</v>
      </c>
      <c r="F502" s="0" t="s">
        <v>437</v>
      </c>
      <c r="G502" s="0" t="s">
        <v>7040</v>
      </c>
      <c r="I502" s="0" t="s">
        <v>967</v>
      </c>
    </row>
    <row r="503" customFormat="false" ht="15" hidden="false" customHeight="false" outlineLevel="0" collapsed="false">
      <c r="A503" s="0" t="s">
        <v>125</v>
      </c>
      <c r="B503" s="0" t="n">
        <v>2018</v>
      </c>
      <c r="C503" s="0" t="s">
        <v>614</v>
      </c>
      <c r="D503" s="0" t="n">
        <v>17.26</v>
      </c>
      <c r="E503" s="0" t="n">
        <v>1</v>
      </c>
      <c r="F503" s="0" t="s">
        <v>437</v>
      </c>
      <c r="G503" s="0" t="s">
        <v>7040</v>
      </c>
      <c r="I503" s="0" t="s">
        <v>968</v>
      </c>
    </row>
    <row r="504" customFormat="false" ht="15" hidden="false" customHeight="false" outlineLevel="0" collapsed="false">
      <c r="A504" s="0" t="s">
        <v>125</v>
      </c>
      <c r="B504" s="0" t="n">
        <v>2018</v>
      </c>
      <c r="C504" s="0" t="s">
        <v>65</v>
      </c>
      <c r="D504" s="0" t="n">
        <v>269341</v>
      </c>
      <c r="E504" s="0" t="n">
        <v>1</v>
      </c>
      <c r="F504" s="0" t="s">
        <v>437</v>
      </c>
      <c r="G504" s="0" t="s">
        <v>7040</v>
      </c>
      <c r="I504" s="0" t="s">
        <v>969</v>
      </c>
    </row>
    <row r="505" customFormat="false" ht="15" hidden="false" customHeight="false" outlineLevel="0" collapsed="false">
      <c r="A505" s="0" t="s">
        <v>125</v>
      </c>
      <c r="B505" s="0" t="n">
        <v>2018</v>
      </c>
      <c r="C505" s="0" t="s">
        <v>66</v>
      </c>
      <c r="D505" s="0" t="n">
        <v>2527208</v>
      </c>
      <c r="E505" s="0" t="n">
        <v>1</v>
      </c>
      <c r="F505" s="0" t="s">
        <v>437</v>
      </c>
      <c r="G505" s="0" t="s">
        <v>7040</v>
      </c>
      <c r="I505" s="0" t="s">
        <v>970</v>
      </c>
    </row>
    <row r="506" customFormat="false" ht="15" hidden="false" customHeight="false" outlineLevel="0" collapsed="false">
      <c r="A506" s="0" t="s">
        <v>125</v>
      </c>
      <c r="B506" s="0" t="n">
        <v>2018</v>
      </c>
      <c r="C506" s="0" t="s">
        <v>73</v>
      </c>
      <c r="D506" s="0" t="n">
        <v>0</v>
      </c>
      <c r="E506" s="0" t="n">
        <v>1</v>
      </c>
      <c r="F506" s="0" t="s">
        <v>437</v>
      </c>
      <c r="G506" s="0" t="s">
        <v>7040</v>
      </c>
      <c r="I506" s="0" t="s">
        <v>971</v>
      </c>
    </row>
    <row r="507" customFormat="false" ht="15" hidden="false" customHeight="false" outlineLevel="0" collapsed="false">
      <c r="A507" s="0" t="s">
        <v>125</v>
      </c>
      <c r="B507" s="0" t="n">
        <v>2018</v>
      </c>
      <c r="C507" s="0" t="s">
        <v>541</v>
      </c>
      <c r="D507" s="0" t="n">
        <v>58194</v>
      </c>
      <c r="E507" s="0" t="n">
        <v>1</v>
      </c>
      <c r="F507" s="0" t="s">
        <v>437</v>
      </c>
      <c r="G507" s="0" t="s">
        <v>7040</v>
      </c>
      <c r="I507" s="0" t="s">
        <v>972</v>
      </c>
    </row>
    <row r="508" customFormat="false" ht="15" hidden="false" customHeight="false" outlineLevel="0" collapsed="false">
      <c r="A508" s="0" t="s">
        <v>125</v>
      </c>
      <c r="B508" s="0" t="n">
        <v>2019</v>
      </c>
      <c r="C508" s="0" t="s">
        <v>54</v>
      </c>
      <c r="D508" s="0" t="n">
        <v>43917</v>
      </c>
      <c r="E508" s="0" t="n">
        <v>1</v>
      </c>
      <c r="F508" s="0" t="s">
        <v>437</v>
      </c>
      <c r="G508" s="0" t="s">
        <v>7040</v>
      </c>
      <c r="I508" s="0" t="s">
        <v>973</v>
      </c>
    </row>
    <row r="509" customFormat="false" ht="15" hidden="false" customHeight="false" outlineLevel="0" collapsed="false">
      <c r="A509" s="0" t="s">
        <v>125</v>
      </c>
      <c r="B509" s="0" t="n">
        <v>2019</v>
      </c>
      <c r="C509" s="0" t="s">
        <v>55</v>
      </c>
      <c r="D509" s="0" t="n">
        <v>4668279</v>
      </c>
      <c r="E509" s="0" t="n">
        <v>1</v>
      </c>
      <c r="F509" s="0" t="s">
        <v>437</v>
      </c>
      <c r="G509" s="0" t="s">
        <v>7040</v>
      </c>
      <c r="I509" s="0" t="s">
        <v>974</v>
      </c>
    </row>
    <row r="510" customFormat="false" ht="15" hidden="false" customHeight="false" outlineLevel="0" collapsed="false">
      <c r="A510" s="0" t="s">
        <v>125</v>
      </c>
      <c r="B510" s="0" t="n">
        <v>2019</v>
      </c>
      <c r="C510" s="0" t="s">
        <v>56</v>
      </c>
      <c r="D510" s="0" t="n">
        <v>4128814</v>
      </c>
      <c r="E510" s="0" t="n">
        <v>1</v>
      </c>
      <c r="F510" s="0" t="s">
        <v>437</v>
      </c>
      <c r="G510" s="0" t="s">
        <v>7040</v>
      </c>
      <c r="I510" s="0" t="s">
        <v>975</v>
      </c>
    </row>
    <row r="511" customFormat="false" ht="15" hidden="false" customHeight="false" outlineLevel="0" collapsed="false">
      <c r="A511" s="0" t="s">
        <v>125</v>
      </c>
      <c r="B511" s="0" t="n">
        <v>2019</v>
      </c>
      <c r="C511" s="0" t="s">
        <v>57</v>
      </c>
      <c r="D511" s="0" t="n">
        <v>539465</v>
      </c>
      <c r="E511" s="0" t="n">
        <v>1</v>
      </c>
      <c r="F511" s="0" t="s">
        <v>437</v>
      </c>
      <c r="G511" s="0" t="s">
        <v>7040</v>
      </c>
      <c r="I511" s="0" t="s">
        <v>976</v>
      </c>
    </row>
    <row r="512" customFormat="false" ht="15" hidden="false" customHeight="false" outlineLevel="0" collapsed="false">
      <c r="A512" s="0" t="s">
        <v>125</v>
      </c>
      <c r="B512" s="0" t="n">
        <v>2019</v>
      </c>
      <c r="C512" s="0" t="s">
        <v>58</v>
      </c>
      <c r="D512" s="0" t="n">
        <v>-218752</v>
      </c>
      <c r="E512" s="0" t="n">
        <v>1</v>
      </c>
      <c r="F512" s="0" t="s">
        <v>437</v>
      </c>
      <c r="G512" s="0" t="s">
        <v>7040</v>
      </c>
      <c r="I512" s="0" t="s">
        <v>977</v>
      </c>
    </row>
    <row r="513" customFormat="false" ht="15" hidden="false" customHeight="false" outlineLevel="0" collapsed="false">
      <c r="A513" s="0" t="s">
        <v>125</v>
      </c>
      <c r="B513" s="0" t="n">
        <v>2019</v>
      </c>
      <c r="C513" s="0" t="s">
        <v>59</v>
      </c>
      <c r="D513" s="0" t="n">
        <v>3985907</v>
      </c>
      <c r="E513" s="0" t="n">
        <v>1</v>
      </c>
      <c r="F513" s="0" t="s">
        <v>437</v>
      </c>
      <c r="G513" s="0" t="s">
        <v>7040</v>
      </c>
      <c r="I513" s="0" t="s">
        <v>978</v>
      </c>
    </row>
    <row r="514" customFormat="false" ht="15" hidden="false" customHeight="false" outlineLevel="0" collapsed="false">
      <c r="A514" s="0" t="s">
        <v>125</v>
      </c>
      <c r="B514" s="0" t="n">
        <v>2019</v>
      </c>
      <c r="C514" s="0" t="s">
        <v>60</v>
      </c>
      <c r="D514" s="0" t="n">
        <v>1618817</v>
      </c>
      <c r="E514" s="0" t="n">
        <v>1</v>
      </c>
      <c r="F514" s="0" t="s">
        <v>437</v>
      </c>
      <c r="G514" s="0" t="s">
        <v>7040</v>
      </c>
      <c r="I514" s="0" t="s">
        <v>980</v>
      </c>
    </row>
    <row r="515" customFormat="false" ht="15" hidden="false" customHeight="false" outlineLevel="0" collapsed="false">
      <c r="A515" s="0" t="s">
        <v>125</v>
      </c>
      <c r="B515" s="0" t="n">
        <v>2019</v>
      </c>
      <c r="C515" s="0" t="s">
        <v>61</v>
      </c>
      <c r="D515" s="0" t="n">
        <v>59314</v>
      </c>
      <c r="E515" s="0" t="n">
        <v>1</v>
      </c>
      <c r="F515" s="0" t="s">
        <v>437</v>
      </c>
      <c r="G515" s="0" t="s">
        <v>7040</v>
      </c>
      <c r="I515" s="0" t="s">
        <v>981</v>
      </c>
    </row>
    <row r="516" customFormat="false" ht="15" hidden="false" customHeight="false" outlineLevel="0" collapsed="false">
      <c r="A516" s="0" t="s">
        <v>125</v>
      </c>
      <c r="B516" s="0" t="n">
        <v>2019</v>
      </c>
      <c r="C516" s="0" t="s">
        <v>62</v>
      </c>
      <c r="D516" s="0" t="n">
        <v>1559504</v>
      </c>
      <c r="E516" s="0" t="n">
        <v>1</v>
      </c>
      <c r="F516" s="0" t="s">
        <v>437</v>
      </c>
      <c r="G516" s="0" t="s">
        <v>7040</v>
      </c>
      <c r="I516" s="0" t="s">
        <v>982</v>
      </c>
    </row>
    <row r="517" customFormat="false" ht="15" hidden="false" customHeight="false" outlineLevel="0" collapsed="false">
      <c r="A517" s="0" t="s">
        <v>125</v>
      </c>
      <c r="B517" s="0" t="n">
        <v>2019</v>
      </c>
      <c r="C517" s="0" t="s">
        <v>63</v>
      </c>
      <c r="D517" s="0" t="n">
        <v>46640</v>
      </c>
      <c r="E517" s="0" t="n">
        <v>1</v>
      </c>
      <c r="F517" s="0" t="s">
        <v>437</v>
      </c>
      <c r="G517" s="0" t="s">
        <v>7040</v>
      </c>
      <c r="I517" s="0" t="s">
        <v>983</v>
      </c>
    </row>
    <row r="518" customFormat="false" ht="15" hidden="false" customHeight="false" outlineLevel="0" collapsed="false">
      <c r="A518" s="0" t="s">
        <v>125</v>
      </c>
      <c r="B518" s="0" t="n">
        <v>2019</v>
      </c>
      <c r="C518" s="0" t="s">
        <v>69</v>
      </c>
      <c r="D518" s="0" t="n">
        <v>11.16</v>
      </c>
      <c r="E518" s="0" t="n">
        <v>1</v>
      </c>
      <c r="F518" s="0" t="s">
        <v>437</v>
      </c>
      <c r="G518" s="0" t="s">
        <v>7040</v>
      </c>
      <c r="I518" s="0" t="s">
        <v>984</v>
      </c>
    </row>
    <row r="519" customFormat="false" ht="15" hidden="false" customHeight="false" outlineLevel="0" collapsed="false">
      <c r="A519" s="0" t="s">
        <v>125</v>
      </c>
      <c r="B519" s="0" t="n">
        <v>2019</v>
      </c>
      <c r="C519" s="0" t="s">
        <v>614</v>
      </c>
      <c r="D519" s="0" t="n">
        <v>15.45</v>
      </c>
      <c r="E519" s="0" t="n">
        <v>1</v>
      </c>
      <c r="F519" s="0" t="s">
        <v>437</v>
      </c>
      <c r="G519" s="0" t="s">
        <v>7040</v>
      </c>
      <c r="I519" s="0" t="s">
        <v>985</v>
      </c>
    </row>
    <row r="520" customFormat="false" ht="15" hidden="false" customHeight="false" outlineLevel="0" collapsed="false">
      <c r="A520" s="0" t="s">
        <v>125</v>
      </c>
      <c r="B520" s="0" t="n">
        <v>2019</v>
      </c>
      <c r="C520" s="0" t="s">
        <v>65</v>
      </c>
      <c r="D520" s="0" t="n">
        <v>332265</v>
      </c>
      <c r="E520" s="0" t="n">
        <v>1</v>
      </c>
      <c r="F520" s="0" t="s">
        <v>437</v>
      </c>
      <c r="G520" s="0" t="s">
        <v>7040</v>
      </c>
      <c r="I520" s="0" t="s">
        <v>986</v>
      </c>
    </row>
    <row r="521" customFormat="false" ht="15" hidden="false" customHeight="false" outlineLevel="0" collapsed="false">
      <c r="A521" s="0" t="s">
        <v>125</v>
      </c>
      <c r="B521" s="0" t="n">
        <v>2019</v>
      </c>
      <c r="C521" s="0" t="s">
        <v>66</v>
      </c>
      <c r="D521" s="0" t="n">
        <v>2978121</v>
      </c>
      <c r="E521" s="0" t="n">
        <v>1</v>
      </c>
      <c r="F521" s="0" t="s">
        <v>437</v>
      </c>
      <c r="G521" s="0" t="s">
        <v>7040</v>
      </c>
      <c r="I521" s="0" t="s">
        <v>987</v>
      </c>
    </row>
    <row r="522" customFormat="false" ht="15" hidden="false" customHeight="false" outlineLevel="0" collapsed="false">
      <c r="A522" s="0" t="s">
        <v>125</v>
      </c>
      <c r="B522" s="0" t="n">
        <v>2019</v>
      </c>
      <c r="C522" s="0" t="s">
        <v>73</v>
      </c>
      <c r="D522" s="0" t="n">
        <v>0</v>
      </c>
      <c r="E522" s="0" t="n">
        <v>1</v>
      </c>
      <c r="F522" s="0" t="s">
        <v>437</v>
      </c>
      <c r="G522" s="0" t="s">
        <v>7040</v>
      </c>
      <c r="I522" s="0" t="s">
        <v>988</v>
      </c>
    </row>
    <row r="523" customFormat="false" ht="15" hidden="false" customHeight="false" outlineLevel="0" collapsed="false">
      <c r="A523" s="0" t="s">
        <v>125</v>
      </c>
      <c r="B523" s="0" t="n">
        <v>2019</v>
      </c>
      <c r="C523" s="0" t="s">
        <v>541</v>
      </c>
      <c r="D523" s="0" t="n">
        <v>46770</v>
      </c>
      <c r="E523" s="0" t="n">
        <v>1</v>
      </c>
      <c r="F523" s="0" t="s">
        <v>437</v>
      </c>
      <c r="G523" s="0" t="s">
        <v>7040</v>
      </c>
      <c r="I523" s="0" t="s">
        <v>989</v>
      </c>
    </row>
    <row r="524" customFormat="false" ht="15" hidden="false" customHeight="false" outlineLevel="0" collapsed="false">
      <c r="A524" s="0" t="s">
        <v>125</v>
      </c>
      <c r="B524" s="0" t="n">
        <v>2022</v>
      </c>
      <c r="C524" s="0" t="s">
        <v>54</v>
      </c>
      <c r="D524" s="0" t="n">
        <v>91415</v>
      </c>
      <c r="E524" s="0" t="n">
        <v>1</v>
      </c>
      <c r="F524" s="0" t="s">
        <v>437</v>
      </c>
      <c r="G524" s="0" t="s">
        <v>7040</v>
      </c>
      <c r="I524" s="0" t="s">
        <v>990</v>
      </c>
    </row>
    <row r="525" customFormat="false" ht="15" hidden="false" customHeight="false" outlineLevel="0" collapsed="false">
      <c r="A525" s="0" t="s">
        <v>125</v>
      </c>
      <c r="B525" s="0" t="n">
        <v>2022</v>
      </c>
      <c r="C525" s="0" t="s">
        <v>55</v>
      </c>
      <c r="D525" s="0" t="n">
        <v>8125060</v>
      </c>
      <c r="E525" s="0" t="n">
        <v>1</v>
      </c>
      <c r="F525" s="0" t="s">
        <v>437</v>
      </c>
      <c r="G525" s="0" t="s">
        <v>7040</v>
      </c>
      <c r="I525" s="0" t="s">
        <v>991</v>
      </c>
    </row>
    <row r="526" customFormat="false" ht="15" hidden="false" customHeight="false" outlineLevel="0" collapsed="false">
      <c r="A526" s="0" t="s">
        <v>125</v>
      </c>
      <c r="B526" s="0" t="n">
        <v>2022</v>
      </c>
      <c r="C526" s="0" t="s">
        <v>56</v>
      </c>
      <c r="D526" s="0" t="n">
        <v>7372174</v>
      </c>
      <c r="E526" s="0" t="n">
        <v>1</v>
      </c>
      <c r="F526" s="0" t="s">
        <v>437</v>
      </c>
      <c r="G526" s="0" t="s">
        <v>7040</v>
      </c>
      <c r="I526" s="0" t="s">
        <v>992</v>
      </c>
    </row>
    <row r="527" customFormat="false" ht="15" hidden="false" customHeight="false" outlineLevel="0" collapsed="false">
      <c r="A527" s="0" t="s">
        <v>125</v>
      </c>
      <c r="B527" s="0" t="n">
        <v>2022</v>
      </c>
      <c r="C527" s="0" t="s">
        <v>57</v>
      </c>
      <c r="D527" s="0" t="n">
        <v>752886</v>
      </c>
      <c r="E527" s="0" t="n">
        <v>1</v>
      </c>
      <c r="F527" s="0" t="s">
        <v>437</v>
      </c>
      <c r="G527" s="0" t="s">
        <v>7040</v>
      </c>
      <c r="I527" s="0" t="s">
        <v>993</v>
      </c>
    </row>
    <row r="528" customFormat="false" ht="15" hidden="false" customHeight="false" outlineLevel="0" collapsed="false">
      <c r="A528" s="0" t="s">
        <v>125</v>
      </c>
      <c r="B528" s="0" t="n">
        <v>2022</v>
      </c>
      <c r="C528" s="0" t="s">
        <v>62</v>
      </c>
      <c r="D528" s="0" t="n">
        <v>3301779</v>
      </c>
      <c r="E528" s="0" t="n">
        <v>1</v>
      </c>
      <c r="F528" s="0" t="s">
        <v>437</v>
      </c>
      <c r="G528" s="0" t="s">
        <v>7040</v>
      </c>
      <c r="I528" s="0" t="s">
        <v>994</v>
      </c>
    </row>
    <row r="529" customFormat="false" ht="15" hidden="false" customHeight="false" outlineLevel="0" collapsed="false">
      <c r="A529" s="0" t="s">
        <v>125</v>
      </c>
      <c r="B529" s="0" t="n">
        <v>2022</v>
      </c>
      <c r="C529" s="0" t="s">
        <v>63</v>
      </c>
      <c r="D529" s="0" t="n">
        <v>49773</v>
      </c>
      <c r="E529" s="0" t="n">
        <v>1</v>
      </c>
      <c r="F529" s="0" t="s">
        <v>437</v>
      </c>
      <c r="G529" s="0" t="s">
        <v>7040</v>
      </c>
      <c r="I529" s="0" t="s">
        <v>995</v>
      </c>
    </row>
    <row r="530" customFormat="false" ht="15" hidden="false" customHeight="false" outlineLevel="0" collapsed="false">
      <c r="A530" s="0" t="s">
        <v>125</v>
      </c>
      <c r="B530" s="0" t="n">
        <v>2022</v>
      </c>
      <c r="C530" s="0" t="s">
        <v>541</v>
      </c>
      <c r="D530" s="0" t="n">
        <v>94592</v>
      </c>
      <c r="E530" s="0" t="n">
        <v>1</v>
      </c>
      <c r="F530" s="0" t="s">
        <v>437</v>
      </c>
      <c r="G530" s="0" t="s">
        <v>7040</v>
      </c>
      <c r="I530" s="0" t="s">
        <v>996</v>
      </c>
    </row>
    <row r="531" customFormat="false" ht="15" hidden="false" customHeight="false" outlineLevel="0" collapsed="false">
      <c r="A531" s="0" t="s">
        <v>136</v>
      </c>
      <c r="B531" s="0" t="n">
        <v>2013</v>
      </c>
      <c r="C531" s="0" t="s">
        <v>54</v>
      </c>
      <c r="D531" s="0" t="n">
        <v>85546</v>
      </c>
      <c r="E531" s="0" t="n">
        <v>1</v>
      </c>
      <c r="F531" s="0" t="s">
        <v>437</v>
      </c>
      <c r="G531" s="0" t="s">
        <v>7040</v>
      </c>
      <c r="I531" s="0" t="s">
        <v>3146</v>
      </c>
    </row>
    <row r="532" customFormat="false" ht="15" hidden="false" customHeight="false" outlineLevel="0" collapsed="false">
      <c r="A532" s="0" t="s">
        <v>136</v>
      </c>
      <c r="B532" s="0" t="n">
        <v>2013</v>
      </c>
      <c r="C532" s="0" t="s">
        <v>55</v>
      </c>
      <c r="D532" s="0" t="n">
        <v>1904366</v>
      </c>
      <c r="E532" s="0" t="n">
        <v>1</v>
      </c>
      <c r="F532" s="0" t="s">
        <v>437</v>
      </c>
      <c r="G532" s="0" t="s">
        <v>7040</v>
      </c>
      <c r="I532" s="0" t="s">
        <v>3147</v>
      </c>
    </row>
    <row r="533" customFormat="false" ht="15" hidden="false" customHeight="false" outlineLevel="0" collapsed="false">
      <c r="A533" s="0" t="s">
        <v>136</v>
      </c>
      <c r="B533" s="0" t="n">
        <v>2013</v>
      </c>
      <c r="C533" s="0" t="s">
        <v>56</v>
      </c>
      <c r="D533" s="0" t="n">
        <v>1574719</v>
      </c>
      <c r="E533" s="0" t="n">
        <v>1</v>
      </c>
      <c r="F533" s="0" t="s">
        <v>437</v>
      </c>
      <c r="G533" s="0" t="s">
        <v>7040</v>
      </c>
      <c r="I533" s="0" t="s">
        <v>3149</v>
      </c>
    </row>
    <row r="534" customFormat="false" ht="15" hidden="false" customHeight="false" outlineLevel="0" collapsed="false">
      <c r="A534" s="0" t="s">
        <v>136</v>
      </c>
      <c r="B534" s="0" t="n">
        <v>2013</v>
      </c>
      <c r="C534" s="0" t="s">
        <v>57</v>
      </c>
      <c r="D534" s="0" t="n">
        <v>329647</v>
      </c>
      <c r="E534" s="0" t="n">
        <v>1</v>
      </c>
      <c r="F534" s="0" t="s">
        <v>437</v>
      </c>
      <c r="G534" s="0" t="s">
        <v>7040</v>
      </c>
      <c r="I534" s="0" t="s">
        <v>3148</v>
      </c>
    </row>
    <row r="535" customFormat="false" ht="15" hidden="false" customHeight="false" outlineLevel="0" collapsed="false">
      <c r="A535" s="0" t="s">
        <v>136</v>
      </c>
      <c r="B535" s="0" t="n">
        <v>2013</v>
      </c>
      <c r="C535" s="0" t="s">
        <v>307</v>
      </c>
      <c r="D535" s="0" t="n">
        <v>2913</v>
      </c>
      <c r="E535" s="0" t="n">
        <v>1</v>
      </c>
      <c r="F535" s="0" t="s">
        <v>437</v>
      </c>
      <c r="G535" s="0" t="s">
        <v>7040</v>
      </c>
      <c r="I535" s="0" t="s">
        <v>3139</v>
      </c>
    </row>
    <row r="536" customFormat="false" ht="15" hidden="false" customHeight="false" outlineLevel="0" collapsed="false">
      <c r="A536" s="0" t="s">
        <v>136</v>
      </c>
      <c r="B536" s="0" t="n">
        <v>2013</v>
      </c>
      <c r="C536" s="0" t="s">
        <v>64</v>
      </c>
      <c r="D536" s="0" t="n">
        <v>27707</v>
      </c>
      <c r="E536" s="0" t="n">
        <v>1</v>
      </c>
      <c r="F536" s="0" t="s">
        <v>437</v>
      </c>
      <c r="G536" s="0" t="s">
        <v>7040</v>
      </c>
      <c r="I536" s="0" t="s">
        <v>3141</v>
      </c>
    </row>
    <row r="537" customFormat="false" ht="15" hidden="false" customHeight="false" outlineLevel="0" collapsed="false">
      <c r="A537" s="0" t="s">
        <v>136</v>
      </c>
      <c r="B537" s="0" t="n">
        <v>2013</v>
      </c>
      <c r="C537" s="0" t="s">
        <v>327</v>
      </c>
      <c r="D537" s="0" t="n">
        <v>2.93</v>
      </c>
      <c r="E537" s="0" t="n">
        <v>1</v>
      </c>
      <c r="F537" s="0" t="s">
        <v>437</v>
      </c>
      <c r="G537" s="0" t="s">
        <v>7040</v>
      </c>
      <c r="I537" s="0" t="s">
        <v>3142</v>
      </c>
    </row>
    <row r="538" customFormat="false" ht="15" hidden="false" customHeight="false" outlineLevel="0" collapsed="false">
      <c r="A538" s="0" t="s">
        <v>136</v>
      </c>
      <c r="B538" s="0" t="n">
        <v>2014</v>
      </c>
      <c r="C538" s="0" t="s">
        <v>54</v>
      </c>
      <c r="D538" s="0" t="n">
        <v>93432</v>
      </c>
      <c r="E538" s="0" t="n">
        <v>1</v>
      </c>
      <c r="F538" s="0" t="s">
        <v>437</v>
      </c>
      <c r="G538" s="0" t="s">
        <v>7040</v>
      </c>
      <c r="I538" s="0" t="s">
        <v>3157</v>
      </c>
    </row>
    <row r="539" customFormat="false" ht="15" hidden="false" customHeight="false" outlineLevel="0" collapsed="false">
      <c r="A539" s="0" t="s">
        <v>136</v>
      </c>
      <c r="B539" s="0" t="n">
        <v>2014</v>
      </c>
      <c r="C539" s="0" t="s">
        <v>55</v>
      </c>
      <c r="D539" s="0" t="n">
        <v>2126608</v>
      </c>
      <c r="E539" s="0" t="n">
        <v>1</v>
      </c>
      <c r="F539" s="0" t="s">
        <v>437</v>
      </c>
      <c r="G539" s="0" t="s">
        <v>7040</v>
      </c>
      <c r="I539" s="0" t="s">
        <v>3158</v>
      </c>
    </row>
    <row r="540" customFormat="false" ht="15" hidden="false" customHeight="false" outlineLevel="0" collapsed="false">
      <c r="A540" s="0" t="s">
        <v>136</v>
      </c>
      <c r="B540" s="0" t="n">
        <v>2014</v>
      </c>
      <c r="C540" s="0" t="s">
        <v>56</v>
      </c>
      <c r="D540" s="0" t="n">
        <v>1757078</v>
      </c>
      <c r="E540" s="0" t="n">
        <v>1</v>
      </c>
      <c r="F540" s="0" t="s">
        <v>437</v>
      </c>
      <c r="G540" s="0" t="s">
        <v>7040</v>
      </c>
      <c r="I540" s="0" t="s">
        <v>3160</v>
      </c>
    </row>
    <row r="541" customFormat="false" ht="15" hidden="false" customHeight="false" outlineLevel="0" collapsed="false">
      <c r="A541" s="0" t="s">
        <v>136</v>
      </c>
      <c r="B541" s="0" t="n">
        <v>2014</v>
      </c>
      <c r="C541" s="0" t="s">
        <v>57</v>
      </c>
      <c r="D541" s="0" t="n">
        <v>369530</v>
      </c>
      <c r="E541" s="0" t="n">
        <v>1</v>
      </c>
      <c r="F541" s="0" t="s">
        <v>437</v>
      </c>
      <c r="G541" s="0" t="s">
        <v>7040</v>
      </c>
      <c r="I541" s="0" t="s">
        <v>3159</v>
      </c>
    </row>
    <row r="542" customFormat="false" ht="15" hidden="false" customHeight="false" outlineLevel="0" collapsed="false">
      <c r="A542" s="0" t="s">
        <v>136</v>
      </c>
      <c r="B542" s="0" t="n">
        <v>2014</v>
      </c>
      <c r="C542" s="0" t="s">
        <v>59</v>
      </c>
      <c r="D542" s="0" t="n">
        <v>1904366</v>
      </c>
      <c r="E542" s="0" t="n">
        <v>1</v>
      </c>
      <c r="F542" s="0" t="s">
        <v>437</v>
      </c>
      <c r="G542" s="0" t="s">
        <v>7041</v>
      </c>
      <c r="I542" s="0" t="s">
        <v>3147</v>
      </c>
    </row>
    <row r="543" customFormat="false" ht="15" hidden="false" customHeight="false" outlineLevel="0" collapsed="false">
      <c r="A543" s="0" t="s">
        <v>136</v>
      </c>
      <c r="B543" s="0" t="n">
        <v>2014</v>
      </c>
      <c r="C543" s="0" t="s">
        <v>307</v>
      </c>
      <c r="D543" s="0" t="n">
        <v>6184</v>
      </c>
      <c r="E543" s="0" t="n">
        <v>1</v>
      </c>
      <c r="F543" s="0" t="s">
        <v>437</v>
      </c>
      <c r="G543" s="0" t="s">
        <v>7040</v>
      </c>
      <c r="I543" s="0" t="s">
        <v>3152</v>
      </c>
    </row>
    <row r="544" customFormat="false" ht="15" hidden="false" customHeight="false" outlineLevel="0" collapsed="false">
      <c r="A544" s="0" t="s">
        <v>136</v>
      </c>
      <c r="B544" s="0" t="n">
        <v>2014</v>
      </c>
      <c r="C544" s="0" t="s">
        <v>64</v>
      </c>
      <c r="D544" s="0" t="n">
        <v>32616</v>
      </c>
      <c r="E544" s="0" t="n">
        <v>1</v>
      </c>
      <c r="F544" s="0" t="s">
        <v>437</v>
      </c>
      <c r="G544" s="0" t="s">
        <v>7040</v>
      </c>
      <c r="I544" s="0" t="s">
        <v>3154</v>
      </c>
    </row>
    <row r="545" customFormat="false" ht="15" hidden="false" customHeight="false" outlineLevel="0" collapsed="false">
      <c r="A545" s="0" t="s">
        <v>136</v>
      </c>
      <c r="B545" s="0" t="n">
        <v>2014</v>
      </c>
      <c r="C545" s="0" t="s">
        <v>327</v>
      </c>
      <c r="D545" s="0" t="n">
        <v>2.7</v>
      </c>
      <c r="E545" s="0" t="n">
        <v>1</v>
      </c>
      <c r="F545" s="0" t="s">
        <v>437</v>
      </c>
      <c r="G545" s="0" t="s">
        <v>7040</v>
      </c>
      <c r="I545" s="0" t="s">
        <v>3155</v>
      </c>
    </row>
    <row r="546" customFormat="false" ht="15" hidden="false" customHeight="false" outlineLevel="0" collapsed="false">
      <c r="A546" s="0" t="s">
        <v>136</v>
      </c>
      <c r="B546" s="0" t="n">
        <v>2015</v>
      </c>
      <c r="C546" s="0" t="s">
        <v>54</v>
      </c>
      <c r="D546" s="0" t="n">
        <v>94308.123</v>
      </c>
      <c r="E546" s="0" t="n">
        <v>1</v>
      </c>
      <c r="F546" s="0" t="s">
        <v>437</v>
      </c>
      <c r="G546" s="0" t="s">
        <v>7040</v>
      </c>
      <c r="I546" s="0" t="s">
        <v>997</v>
      </c>
    </row>
    <row r="547" customFormat="false" ht="15" hidden="false" customHeight="false" outlineLevel="0" collapsed="false">
      <c r="A547" s="0" t="s">
        <v>136</v>
      </c>
      <c r="B547" s="0" t="n">
        <v>2015</v>
      </c>
      <c r="C547" s="0" t="s">
        <v>55</v>
      </c>
      <c r="D547" s="0" t="n">
        <v>2277629.224</v>
      </c>
      <c r="E547" s="0" t="n">
        <v>1</v>
      </c>
      <c r="F547" s="0" t="s">
        <v>437</v>
      </c>
      <c r="G547" s="0" t="s">
        <v>7040</v>
      </c>
      <c r="I547" s="0" t="s">
        <v>998</v>
      </c>
    </row>
    <row r="548" customFormat="false" ht="15" hidden="false" customHeight="false" outlineLevel="0" collapsed="false">
      <c r="A548" s="0" t="s">
        <v>136</v>
      </c>
      <c r="B548" s="0" t="n">
        <v>2015</v>
      </c>
      <c r="C548" s="0" t="s">
        <v>56</v>
      </c>
      <c r="D548" s="0" t="n">
        <v>1872020.876</v>
      </c>
      <c r="E548" s="0" t="n">
        <v>1</v>
      </c>
      <c r="F548" s="0" t="s">
        <v>437</v>
      </c>
      <c r="G548" s="0" t="s">
        <v>7040</v>
      </c>
      <c r="I548" s="0" t="s">
        <v>999</v>
      </c>
    </row>
    <row r="549" customFormat="false" ht="15" hidden="false" customHeight="false" outlineLevel="0" collapsed="false">
      <c r="A549" s="0" t="s">
        <v>136</v>
      </c>
      <c r="B549" s="0" t="n">
        <v>2015</v>
      </c>
      <c r="C549" s="0" t="s">
        <v>57</v>
      </c>
      <c r="D549" s="0" t="n">
        <v>405608.348</v>
      </c>
      <c r="E549" s="0" t="n">
        <v>1</v>
      </c>
      <c r="F549" s="0" t="s">
        <v>437</v>
      </c>
      <c r="G549" s="0" t="s">
        <v>7040</v>
      </c>
      <c r="I549" s="0" t="s">
        <v>1000</v>
      </c>
    </row>
    <row r="550" customFormat="false" ht="15" hidden="false" customHeight="false" outlineLevel="0" collapsed="false">
      <c r="A550" s="0" t="s">
        <v>136</v>
      </c>
      <c r="B550" s="0" t="n">
        <v>2015</v>
      </c>
      <c r="C550" s="0" t="s">
        <v>58</v>
      </c>
      <c r="D550" s="0" t="n">
        <v>10429.148</v>
      </c>
      <c r="E550" s="0" t="n">
        <v>1</v>
      </c>
      <c r="F550" s="0" t="s">
        <v>437</v>
      </c>
      <c r="G550" s="0" t="s">
        <v>7040</v>
      </c>
      <c r="I550" s="0" t="s">
        <v>1001</v>
      </c>
    </row>
    <row r="551" customFormat="false" ht="15" hidden="false" customHeight="false" outlineLevel="0" collapsed="false">
      <c r="A551" s="0" t="s">
        <v>136</v>
      </c>
      <c r="B551" s="0" t="n">
        <v>2015</v>
      </c>
      <c r="C551" s="0" t="s">
        <v>59</v>
      </c>
      <c r="D551" s="0" t="n">
        <v>2126608.312</v>
      </c>
      <c r="E551" s="0" t="n">
        <v>1</v>
      </c>
      <c r="F551" s="0" t="s">
        <v>437</v>
      </c>
      <c r="G551" s="0" t="s">
        <v>7040</v>
      </c>
      <c r="I551" s="0" t="s">
        <v>1002</v>
      </c>
    </row>
    <row r="552" customFormat="false" ht="15" hidden="false" customHeight="false" outlineLevel="0" collapsed="false">
      <c r="A552" s="0" t="s">
        <v>136</v>
      </c>
      <c r="B552" s="0" t="n">
        <v>2015</v>
      </c>
      <c r="C552" s="0" t="s">
        <v>60</v>
      </c>
      <c r="D552" s="0" t="n">
        <v>1291516.228</v>
      </c>
      <c r="E552" s="0" t="n">
        <v>1</v>
      </c>
      <c r="F552" s="0" t="s">
        <v>437</v>
      </c>
      <c r="G552" s="0" t="s">
        <v>7040</v>
      </c>
      <c r="I552" s="0" t="s">
        <v>1003</v>
      </c>
    </row>
    <row r="553" customFormat="false" ht="15" hidden="false" customHeight="false" outlineLevel="0" collapsed="false">
      <c r="A553" s="0" t="s">
        <v>136</v>
      </c>
      <c r="B553" s="0" t="n">
        <v>2015</v>
      </c>
      <c r="C553" s="0" t="s">
        <v>61</v>
      </c>
      <c r="D553" s="0" t="n">
        <v>26308.785</v>
      </c>
      <c r="E553" s="0" t="n">
        <v>1</v>
      </c>
      <c r="F553" s="0" t="s">
        <v>437</v>
      </c>
      <c r="G553" s="0" t="s">
        <v>7040</v>
      </c>
      <c r="I553" s="0" t="s">
        <v>1004</v>
      </c>
    </row>
    <row r="554" customFormat="false" ht="15" hidden="false" customHeight="false" outlineLevel="0" collapsed="false">
      <c r="A554" s="0" t="s">
        <v>136</v>
      </c>
      <c r="B554" s="0" t="n">
        <v>2015</v>
      </c>
      <c r="C554" s="0" t="s">
        <v>62</v>
      </c>
      <c r="D554" s="0" t="n">
        <v>1265207.443</v>
      </c>
      <c r="E554" s="0" t="n">
        <v>1</v>
      </c>
      <c r="F554" s="0" t="s">
        <v>437</v>
      </c>
      <c r="G554" s="0" t="s">
        <v>7040</v>
      </c>
      <c r="I554" s="0" t="s">
        <v>1005</v>
      </c>
    </row>
    <row r="555" customFormat="false" ht="15" hidden="false" customHeight="false" outlineLevel="0" collapsed="false">
      <c r="A555" s="0" t="s">
        <v>136</v>
      </c>
      <c r="B555" s="0" t="n">
        <v>2015</v>
      </c>
      <c r="C555" s="0" t="s">
        <v>63</v>
      </c>
      <c r="D555" s="0" t="n">
        <v>11769.374</v>
      </c>
      <c r="E555" s="0" t="n">
        <v>1</v>
      </c>
      <c r="F555" s="0" t="s">
        <v>437</v>
      </c>
      <c r="G555" s="0" t="s">
        <v>7040</v>
      </c>
      <c r="I555" s="0" t="s">
        <v>1006</v>
      </c>
    </row>
    <row r="556" customFormat="false" ht="15" hidden="false" customHeight="false" outlineLevel="0" collapsed="false">
      <c r="A556" s="0" t="s">
        <v>136</v>
      </c>
      <c r="B556" s="0" t="n">
        <v>2015</v>
      </c>
      <c r="C556" s="0" t="s">
        <v>69</v>
      </c>
      <c r="D556" s="0" t="n">
        <v>18.17</v>
      </c>
      <c r="E556" s="0" t="n">
        <v>1</v>
      </c>
      <c r="F556" s="0" t="s">
        <v>437</v>
      </c>
      <c r="G556" s="0" t="s">
        <v>7040</v>
      </c>
      <c r="I556" s="0" t="s">
        <v>1007</v>
      </c>
    </row>
    <row r="557" customFormat="false" ht="15" hidden="false" customHeight="false" outlineLevel="0" collapsed="false">
      <c r="A557" s="0" t="s">
        <v>136</v>
      </c>
      <c r="B557" s="0" t="n">
        <v>2015</v>
      </c>
      <c r="C557" s="0" t="s">
        <v>65</v>
      </c>
      <c r="D557" s="0" t="n">
        <v>333426.139</v>
      </c>
      <c r="E557" s="0" t="n">
        <v>1</v>
      </c>
      <c r="F557" s="0" t="s">
        <v>437</v>
      </c>
      <c r="G557" s="0" t="s">
        <v>7040</v>
      </c>
      <c r="I557" s="0" t="s">
        <v>1008</v>
      </c>
    </row>
    <row r="558" customFormat="false" ht="15" hidden="false" customHeight="false" outlineLevel="0" collapsed="false">
      <c r="A558" s="0" t="s">
        <v>136</v>
      </c>
      <c r="B558" s="0" t="n">
        <v>2015</v>
      </c>
      <c r="C558" s="0" t="s">
        <v>66</v>
      </c>
      <c r="D558" s="0" t="n">
        <v>1835072.113</v>
      </c>
      <c r="E558" s="0" t="n">
        <v>1</v>
      </c>
      <c r="F558" s="0" t="s">
        <v>437</v>
      </c>
      <c r="G558" s="0" t="s">
        <v>7040</v>
      </c>
      <c r="I558" s="0" t="s">
        <v>1009</v>
      </c>
    </row>
    <row r="559" customFormat="false" ht="15" hidden="false" customHeight="false" outlineLevel="0" collapsed="false">
      <c r="A559" s="0" t="s">
        <v>136</v>
      </c>
      <c r="B559" s="0" t="n">
        <v>2015</v>
      </c>
      <c r="C559" s="0" t="s">
        <v>73</v>
      </c>
      <c r="D559" s="0" t="n">
        <v>0</v>
      </c>
      <c r="E559" s="0" t="n">
        <v>1</v>
      </c>
      <c r="F559" s="0" t="s">
        <v>437</v>
      </c>
      <c r="G559" s="0" t="s">
        <v>7040</v>
      </c>
      <c r="I559" s="0" t="s">
        <v>1010</v>
      </c>
    </row>
    <row r="560" customFormat="false" ht="15" hidden="false" customHeight="false" outlineLevel="0" collapsed="false">
      <c r="A560" s="0" t="s">
        <v>136</v>
      </c>
      <c r="B560" s="0" t="n">
        <v>2015</v>
      </c>
      <c r="C560" s="0" t="s">
        <v>541</v>
      </c>
      <c r="D560" s="0" t="n">
        <v>113027.057</v>
      </c>
      <c r="E560" s="0" t="n">
        <v>1</v>
      </c>
      <c r="F560" s="0" t="s">
        <v>437</v>
      </c>
      <c r="G560" s="0" t="s">
        <v>7040</v>
      </c>
      <c r="I560" s="0" t="s">
        <v>1011</v>
      </c>
    </row>
    <row r="561" customFormat="false" ht="15" hidden="false" customHeight="false" outlineLevel="0" collapsed="false">
      <c r="A561" s="0" t="s">
        <v>136</v>
      </c>
      <c r="B561" s="0" t="n">
        <v>2016</v>
      </c>
      <c r="C561" s="0" t="s">
        <v>54</v>
      </c>
      <c r="D561" s="0" t="n">
        <v>126836.792</v>
      </c>
      <c r="E561" s="0" t="n">
        <v>1</v>
      </c>
      <c r="F561" s="0" t="s">
        <v>437</v>
      </c>
      <c r="G561" s="0" t="s">
        <v>7040</v>
      </c>
      <c r="I561" s="0" t="s">
        <v>1012</v>
      </c>
    </row>
    <row r="562" customFormat="false" ht="15" hidden="false" customHeight="false" outlineLevel="0" collapsed="false">
      <c r="A562" s="0" t="s">
        <v>136</v>
      </c>
      <c r="B562" s="0" t="n">
        <v>2016</v>
      </c>
      <c r="C562" s="0" t="s">
        <v>55</v>
      </c>
      <c r="D562" s="0" t="n">
        <v>2613340.074</v>
      </c>
      <c r="E562" s="0" t="n">
        <v>1</v>
      </c>
      <c r="F562" s="0" t="s">
        <v>437</v>
      </c>
      <c r="G562" s="0" t="s">
        <v>7040</v>
      </c>
      <c r="I562" s="0" t="s">
        <v>1013</v>
      </c>
    </row>
    <row r="563" customFormat="false" ht="15" hidden="false" customHeight="false" outlineLevel="0" collapsed="false">
      <c r="A563" s="0" t="s">
        <v>136</v>
      </c>
      <c r="B563" s="0" t="n">
        <v>2016</v>
      </c>
      <c r="C563" s="0" t="s">
        <v>56</v>
      </c>
      <c r="D563" s="0" t="n">
        <v>2136422.221</v>
      </c>
      <c r="E563" s="0" t="n">
        <v>1</v>
      </c>
      <c r="F563" s="0" t="s">
        <v>437</v>
      </c>
      <c r="G563" s="0" t="s">
        <v>7040</v>
      </c>
      <c r="I563" s="0" t="s">
        <v>1014</v>
      </c>
    </row>
    <row r="564" customFormat="false" ht="15" hidden="false" customHeight="false" outlineLevel="0" collapsed="false">
      <c r="A564" s="0" t="s">
        <v>136</v>
      </c>
      <c r="B564" s="0" t="n">
        <v>2016</v>
      </c>
      <c r="C564" s="0" t="s">
        <v>57</v>
      </c>
      <c r="D564" s="0" t="n">
        <v>476917.853</v>
      </c>
      <c r="E564" s="0" t="n">
        <v>1</v>
      </c>
      <c r="F564" s="0" t="s">
        <v>437</v>
      </c>
      <c r="G564" s="0" t="s">
        <v>7040</v>
      </c>
      <c r="I564" s="0" t="s">
        <v>1015</v>
      </c>
    </row>
    <row r="565" customFormat="false" ht="15" hidden="false" customHeight="false" outlineLevel="0" collapsed="false">
      <c r="A565" s="0" t="s">
        <v>136</v>
      </c>
      <c r="B565" s="0" t="n">
        <v>2016</v>
      </c>
      <c r="C565" s="0" t="s">
        <v>58</v>
      </c>
      <c r="D565" s="0" t="n">
        <v>286884.139</v>
      </c>
      <c r="E565" s="0" t="n">
        <v>1</v>
      </c>
      <c r="F565" s="0" t="s">
        <v>437</v>
      </c>
      <c r="G565" s="0" t="s">
        <v>7040</v>
      </c>
      <c r="I565" s="0" t="s">
        <v>1016</v>
      </c>
    </row>
    <row r="566" customFormat="false" ht="15" hidden="false" customHeight="false" outlineLevel="0" collapsed="false">
      <c r="A566" s="0" t="s">
        <v>136</v>
      </c>
      <c r="B566" s="0" t="n">
        <v>2016</v>
      </c>
      <c r="C566" s="0" t="s">
        <v>59</v>
      </c>
      <c r="D566" s="0" t="n">
        <v>2277629.224</v>
      </c>
      <c r="E566" s="0" t="n">
        <v>1</v>
      </c>
      <c r="F566" s="0" t="s">
        <v>437</v>
      </c>
      <c r="G566" s="0" t="s">
        <v>7040</v>
      </c>
      <c r="I566" s="0" t="s">
        <v>1017</v>
      </c>
    </row>
    <row r="567" customFormat="false" ht="15" hidden="false" customHeight="false" outlineLevel="0" collapsed="false">
      <c r="A567" s="0" t="s">
        <v>136</v>
      </c>
      <c r="B567" s="0" t="n">
        <v>2016</v>
      </c>
      <c r="C567" s="0" t="s">
        <v>60</v>
      </c>
      <c r="D567" s="0" t="n">
        <v>1491117.716</v>
      </c>
      <c r="E567" s="0" t="n">
        <v>1</v>
      </c>
      <c r="F567" s="0" t="s">
        <v>437</v>
      </c>
      <c r="G567" s="0" t="s">
        <v>7040</v>
      </c>
      <c r="I567" s="0" t="s">
        <v>1018</v>
      </c>
    </row>
    <row r="568" customFormat="false" ht="15" hidden="false" customHeight="false" outlineLevel="0" collapsed="false">
      <c r="A568" s="0" t="s">
        <v>136</v>
      </c>
      <c r="B568" s="0" t="n">
        <v>2016</v>
      </c>
      <c r="C568" s="0" t="s">
        <v>61</v>
      </c>
      <c r="D568" s="0" t="n">
        <v>73899.764</v>
      </c>
      <c r="E568" s="0" t="n">
        <v>1</v>
      </c>
      <c r="F568" s="0" t="s">
        <v>437</v>
      </c>
      <c r="G568" s="0" t="s">
        <v>7040</v>
      </c>
      <c r="I568" s="0" t="s">
        <v>1019</v>
      </c>
    </row>
    <row r="569" customFormat="false" ht="15" hidden="false" customHeight="false" outlineLevel="0" collapsed="false">
      <c r="A569" s="0" t="s">
        <v>136</v>
      </c>
      <c r="B569" s="0" t="n">
        <v>2016</v>
      </c>
      <c r="C569" s="0" t="s">
        <v>62</v>
      </c>
      <c r="D569" s="0" t="n">
        <v>1417217.952</v>
      </c>
      <c r="E569" s="0" t="n">
        <v>1</v>
      </c>
      <c r="F569" s="0" t="s">
        <v>437</v>
      </c>
      <c r="G569" s="0" t="s">
        <v>7040</v>
      </c>
      <c r="I569" s="0" t="s">
        <v>1020</v>
      </c>
    </row>
    <row r="570" customFormat="false" ht="15" hidden="false" customHeight="false" outlineLevel="0" collapsed="false">
      <c r="A570" s="0" t="s">
        <v>136</v>
      </c>
      <c r="B570" s="0" t="n">
        <v>2016</v>
      </c>
      <c r="C570" s="0" t="s">
        <v>63</v>
      </c>
      <c r="D570" s="0" t="n">
        <v>63542.64</v>
      </c>
      <c r="E570" s="0" t="n">
        <v>1</v>
      </c>
      <c r="F570" s="0" t="s">
        <v>437</v>
      </c>
      <c r="G570" s="0" t="s">
        <v>7040</v>
      </c>
      <c r="I570" s="0" t="s">
        <v>1021</v>
      </c>
    </row>
    <row r="571" customFormat="false" ht="15" hidden="false" customHeight="false" outlineLevel="0" collapsed="false">
      <c r="A571" s="0" t="s">
        <v>136</v>
      </c>
      <c r="B571" s="0" t="n">
        <v>2016</v>
      </c>
      <c r="C571" s="0" t="s">
        <v>69</v>
      </c>
      <c r="D571" s="0" t="n">
        <v>19.79</v>
      </c>
      <c r="E571" s="0" t="n">
        <v>1</v>
      </c>
      <c r="F571" s="0" t="s">
        <v>437</v>
      </c>
      <c r="G571" s="0" t="s">
        <v>7040</v>
      </c>
      <c r="I571" s="0" t="s">
        <v>1022</v>
      </c>
    </row>
    <row r="572" customFormat="false" ht="15" hidden="false" customHeight="false" outlineLevel="0" collapsed="false">
      <c r="A572" s="0" t="s">
        <v>136</v>
      </c>
      <c r="B572" s="0" t="n">
        <v>2016</v>
      </c>
      <c r="C572" s="0" t="s">
        <v>65</v>
      </c>
      <c r="D572" s="0" t="n">
        <v>405526.626</v>
      </c>
      <c r="E572" s="0" t="n">
        <v>1</v>
      </c>
      <c r="F572" s="0" t="s">
        <v>437</v>
      </c>
      <c r="G572" s="0" t="s">
        <v>7040</v>
      </c>
      <c r="I572" s="0" t="s">
        <v>1023</v>
      </c>
    </row>
    <row r="573" customFormat="false" ht="15" hidden="false" customHeight="false" outlineLevel="0" collapsed="false">
      <c r="A573" s="0" t="s">
        <v>136</v>
      </c>
      <c r="B573" s="0" t="n">
        <v>2016</v>
      </c>
      <c r="C573" s="0" t="s">
        <v>66</v>
      </c>
      <c r="D573" s="0" t="n">
        <v>2049087.592</v>
      </c>
      <c r="E573" s="0" t="n">
        <v>1</v>
      </c>
      <c r="F573" s="0" t="s">
        <v>437</v>
      </c>
      <c r="G573" s="0" t="s">
        <v>7040</v>
      </c>
      <c r="I573" s="0" t="s">
        <v>1024</v>
      </c>
    </row>
    <row r="574" customFormat="false" ht="15" hidden="false" customHeight="false" outlineLevel="0" collapsed="false">
      <c r="A574" s="0" t="s">
        <v>136</v>
      </c>
      <c r="B574" s="0" t="n">
        <v>2016</v>
      </c>
      <c r="C574" s="0" t="s">
        <v>73</v>
      </c>
      <c r="D574" s="0" t="n">
        <v>0</v>
      </c>
      <c r="E574" s="0" t="n">
        <v>1</v>
      </c>
      <c r="F574" s="0" t="s">
        <v>437</v>
      </c>
      <c r="G574" s="0" t="s">
        <v>7040</v>
      </c>
      <c r="I574" s="0" t="s">
        <v>1025</v>
      </c>
    </row>
    <row r="575" customFormat="false" ht="15" hidden="false" customHeight="false" outlineLevel="0" collapsed="false">
      <c r="A575" s="0" t="s">
        <v>136</v>
      </c>
      <c r="B575" s="0" t="n">
        <v>2016</v>
      </c>
      <c r="C575" s="0" t="s">
        <v>541</v>
      </c>
      <c r="D575" s="0" t="n">
        <v>154005.487</v>
      </c>
      <c r="E575" s="0" t="n">
        <v>1</v>
      </c>
      <c r="F575" s="0" t="s">
        <v>437</v>
      </c>
      <c r="G575" s="0" t="s">
        <v>7040</v>
      </c>
      <c r="I575" s="0" t="s">
        <v>1026</v>
      </c>
    </row>
    <row r="576" customFormat="false" ht="15" hidden="false" customHeight="false" outlineLevel="0" collapsed="false">
      <c r="A576" s="0" t="s">
        <v>136</v>
      </c>
      <c r="B576" s="0" t="n">
        <v>2017</v>
      </c>
      <c r="C576" s="0" t="s">
        <v>54</v>
      </c>
      <c r="D576" s="0" t="n">
        <v>158727.705</v>
      </c>
      <c r="E576" s="0" t="n">
        <v>1</v>
      </c>
      <c r="F576" s="0" t="s">
        <v>437</v>
      </c>
      <c r="G576" s="0" t="s">
        <v>7040</v>
      </c>
      <c r="I576" s="0" t="s">
        <v>1027</v>
      </c>
    </row>
    <row r="577" customFormat="false" ht="15" hidden="false" customHeight="false" outlineLevel="0" collapsed="false">
      <c r="A577" s="0" t="s">
        <v>136</v>
      </c>
      <c r="B577" s="0" t="n">
        <v>2017</v>
      </c>
      <c r="C577" s="0" t="s">
        <v>55</v>
      </c>
      <c r="D577" s="0" t="n">
        <v>2824928.985</v>
      </c>
      <c r="E577" s="0" t="n">
        <v>1</v>
      </c>
      <c r="F577" s="0" t="s">
        <v>437</v>
      </c>
      <c r="G577" s="0" t="s">
        <v>7040</v>
      </c>
      <c r="I577" s="0" t="s">
        <v>1028</v>
      </c>
    </row>
    <row r="578" customFormat="false" ht="15" hidden="false" customHeight="false" outlineLevel="0" collapsed="false">
      <c r="A578" s="0" t="s">
        <v>136</v>
      </c>
      <c r="B578" s="0" t="n">
        <v>2017</v>
      </c>
      <c r="C578" s="0" t="s">
        <v>56</v>
      </c>
      <c r="D578" s="0" t="n">
        <v>2246352.209</v>
      </c>
      <c r="E578" s="0" t="n">
        <v>1</v>
      </c>
      <c r="F578" s="0" t="s">
        <v>437</v>
      </c>
      <c r="G578" s="0" t="s">
        <v>7040</v>
      </c>
      <c r="I578" s="0" t="s">
        <v>1029</v>
      </c>
    </row>
    <row r="579" customFormat="false" ht="15" hidden="false" customHeight="false" outlineLevel="0" collapsed="false">
      <c r="A579" s="0" t="s">
        <v>136</v>
      </c>
      <c r="B579" s="0" t="n">
        <v>2017</v>
      </c>
      <c r="C579" s="0" t="s">
        <v>57</v>
      </c>
      <c r="D579" s="0" t="n">
        <v>578576.776</v>
      </c>
      <c r="E579" s="0" t="n">
        <v>1</v>
      </c>
      <c r="F579" s="0" t="s">
        <v>437</v>
      </c>
      <c r="G579" s="0" t="s">
        <v>7040</v>
      </c>
      <c r="I579" s="0" t="s">
        <v>1030</v>
      </c>
    </row>
    <row r="580" customFormat="false" ht="15" hidden="false" customHeight="false" outlineLevel="0" collapsed="false">
      <c r="A580" s="0" t="s">
        <v>136</v>
      </c>
      <c r="B580" s="0" t="n">
        <v>2017</v>
      </c>
      <c r="C580" s="0" t="s">
        <v>58</v>
      </c>
      <c r="D580" s="0" t="n">
        <v>353397.327</v>
      </c>
      <c r="E580" s="0" t="n">
        <v>1</v>
      </c>
      <c r="F580" s="0" t="s">
        <v>437</v>
      </c>
      <c r="G580" s="0" t="s">
        <v>7040</v>
      </c>
      <c r="I580" s="0" t="s">
        <v>1031</v>
      </c>
    </row>
    <row r="581" customFormat="false" ht="15" hidden="false" customHeight="false" outlineLevel="0" collapsed="false">
      <c r="A581" s="0" t="s">
        <v>136</v>
      </c>
      <c r="B581" s="0" t="n">
        <v>2017</v>
      </c>
      <c r="C581" s="0" t="s">
        <v>59</v>
      </c>
      <c r="D581" s="0" t="n">
        <v>2613340.074</v>
      </c>
      <c r="E581" s="0" t="n">
        <v>1</v>
      </c>
      <c r="F581" s="0" t="s">
        <v>437</v>
      </c>
      <c r="G581" s="0" t="s">
        <v>7040</v>
      </c>
      <c r="I581" s="0" t="s">
        <v>1032</v>
      </c>
    </row>
    <row r="582" customFormat="false" ht="15" hidden="false" customHeight="false" outlineLevel="0" collapsed="false">
      <c r="A582" s="0" t="s">
        <v>136</v>
      </c>
      <c r="B582" s="0" t="n">
        <v>2017</v>
      </c>
      <c r="C582" s="0" t="s">
        <v>60</v>
      </c>
      <c r="D582" s="0" t="n">
        <v>1326250.395</v>
      </c>
      <c r="E582" s="0" t="n">
        <v>1</v>
      </c>
      <c r="F582" s="0" t="s">
        <v>437</v>
      </c>
      <c r="G582" s="0" t="s">
        <v>7040</v>
      </c>
      <c r="I582" s="0" t="s">
        <v>1033</v>
      </c>
    </row>
    <row r="583" customFormat="false" ht="15" hidden="false" customHeight="false" outlineLevel="0" collapsed="false">
      <c r="A583" s="0" t="s">
        <v>136</v>
      </c>
      <c r="B583" s="0" t="n">
        <v>2017</v>
      </c>
      <c r="C583" s="0" t="s">
        <v>61</v>
      </c>
      <c r="D583" s="0" t="n">
        <v>60278.707</v>
      </c>
      <c r="E583" s="0" t="n">
        <v>1</v>
      </c>
      <c r="F583" s="0" t="s">
        <v>437</v>
      </c>
      <c r="G583" s="0" t="s">
        <v>7040</v>
      </c>
      <c r="I583" s="0" t="s">
        <v>1034</v>
      </c>
    </row>
    <row r="584" customFormat="false" ht="15" hidden="false" customHeight="false" outlineLevel="0" collapsed="false">
      <c r="A584" s="0" t="s">
        <v>136</v>
      </c>
      <c r="B584" s="0" t="n">
        <v>2017</v>
      </c>
      <c r="C584" s="0" t="s">
        <v>62</v>
      </c>
      <c r="D584" s="0" t="n">
        <v>1265971.688</v>
      </c>
      <c r="E584" s="0" t="n">
        <v>1</v>
      </c>
      <c r="F584" s="0" t="s">
        <v>437</v>
      </c>
      <c r="G584" s="0" t="s">
        <v>7040</v>
      </c>
      <c r="I584" s="0" t="s">
        <v>1035</v>
      </c>
    </row>
    <row r="585" customFormat="false" ht="15" hidden="false" customHeight="false" outlineLevel="0" collapsed="false">
      <c r="A585" s="0" t="s">
        <v>136</v>
      </c>
      <c r="B585" s="0" t="n">
        <v>2017</v>
      </c>
      <c r="C585" s="0" t="s">
        <v>63</v>
      </c>
      <c r="D585" s="0" t="n">
        <v>11531.292</v>
      </c>
      <c r="E585" s="0" t="n">
        <v>1</v>
      </c>
      <c r="F585" s="0" t="s">
        <v>437</v>
      </c>
      <c r="G585" s="0" t="s">
        <v>7040</v>
      </c>
      <c r="I585" s="0" t="s">
        <v>1036</v>
      </c>
    </row>
    <row r="586" customFormat="false" ht="15" hidden="false" customHeight="false" outlineLevel="0" collapsed="false">
      <c r="A586" s="0" t="s">
        <v>136</v>
      </c>
      <c r="B586" s="0" t="n">
        <v>2017</v>
      </c>
      <c r="C586" s="0" t="s">
        <v>307</v>
      </c>
      <c r="D586" s="0" t="n">
        <v>10834.612</v>
      </c>
      <c r="E586" s="0" t="n">
        <v>1</v>
      </c>
      <c r="F586" s="0" t="s">
        <v>437</v>
      </c>
      <c r="G586" s="0" t="s">
        <v>7040</v>
      </c>
      <c r="I586" s="0" t="s">
        <v>1037</v>
      </c>
    </row>
    <row r="587" customFormat="false" ht="15" hidden="false" customHeight="false" outlineLevel="0" collapsed="false">
      <c r="A587" s="0" t="s">
        <v>136</v>
      </c>
      <c r="B587" s="0" t="n">
        <v>2017</v>
      </c>
      <c r="C587" s="0" t="s">
        <v>1038</v>
      </c>
      <c r="D587" s="0" t="n">
        <v>696.68</v>
      </c>
      <c r="E587" s="0" t="n">
        <v>1</v>
      </c>
      <c r="F587" s="0" t="s">
        <v>437</v>
      </c>
      <c r="G587" s="0" t="s">
        <v>7040</v>
      </c>
      <c r="I587" s="0" t="s">
        <v>1039</v>
      </c>
    </row>
    <row r="588" customFormat="false" ht="15" hidden="false" customHeight="false" outlineLevel="0" collapsed="false">
      <c r="A588" s="0" t="s">
        <v>136</v>
      </c>
      <c r="B588" s="0" t="n">
        <v>2017</v>
      </c>
      <c r="C588" s="0" t="s">
        <v>541</v>
      </c>
      <c r="D588" s="0" t="n">
        <v>183647.629</v>
      </c>
      <c r="E588" s="0" t="n">
        <v>1</v>
      </c>
      <c r="F588" s="0" t="s">
        <v>437</v>
      </c>
      <c r="G588" s="0" t="s">
        <v>7040</v>
      </c>
      <c r="I588" s="0" t="s">
        <v>1040</v>
      </c>
    </row>
    <row r="589" customFormat="false" ht="15" hidden="false" customHeight="false" outlineLevel="0" collapsed="false">
      <c r="A589" s="0" t="s">
        <v>136</v>
      </c>
      <c r="B589" s="0" t="n">
        <v>2018</v>
      </c>
      <c r="C589" s="0" t="s">
        <v>54</v>
      </c>
      <c r="D589" s="0" t="n">
        <v>166919.765</v>
      </c>
      <c r="E589" s="0" t="n">
        <v>1</v>
      </c>
      <c r="F589" s="0" t="s">
        <v>437</v>
      </c>
      <c r="G589" s="0" t="s">
        <v>7040</v>
      </c>
      <c r="I589" s="0" t="s">
        <v>1041</v>
      </c>
    </row>
    <row r="590" customFormat="false" ht="15" hidden="false" customHeight="false" outlineLevel="0" collapsed="false">
      <c r="A590" s="0" t="s">
        <v>136</v>
      </c>
      <c r="B590" s="0" t="n">
        <v>2018</v>
      </c>
      <c r="C590" s="0" t="s">
        <v>55</v>
      </c>
      <c r="D590" s="0" t="n">
        <v>2712521.494</v>
      </c>
      <c r="E590" s="0" t="n">
        <v>1</v>
      </c>
      <c r="F590" s="0" t="s">
        <v>437</v>
      </c>
      <c r="G590" s="0" t="s">
        <v>7040</v>
      </c>
      <c r="I590" s="0" t="s">
        <v>1042</v>
      </c>
    </row>
    <row r="591" customFormat="false" ht="15" hidden="false" customHeight="false" outlineLevel="0" collapsed="false">
      <c r="A591" s="0" t="s">
        <v>136</v>
      </c>
      <c r="B591" s="0" t="n">
        <v>2018</v>
      </c>
      <c r="C591" s="0" t="s">
        <v>56</v>
      </c>
      <c r="D591" s="0" t="n">
        <v>2200679.235</v>
      </c>
      <c r="E591" s="0" t="n">
        <v>1</v>
      </c>
      <c r="F591" s="0" t="s">
        <v>437</v>
      </c>
      <c r="G591" s="0" t="s">
        <v>7040</v>
      </c>
      <c r="I591" s="0" t="s">
        <v>1043</v>
      </c>
    </row>
    <row r="592" customFormat="false" ht="15" hidden="false" customHeight="false" outlineLevel="0" collapsed="false">
      <c r="A592" s="0" t="s">
        <v>136</v>
      </c>
      <c r="B592" s="0" t="n">
        <v>2018</v>
      </c>
      <c r="C592" s="0" t="s">
        <v>57</v>
      </c>
      <c r="D592" s="0" t="n">
        <v>511842.259</v>
      </c>
      <c r="E592" s="0" t="n">
        <v>1</v>
      </c>
      <c r="F592" s="0" t="s">
        <v>437</v>
      </c>
      <c r="G592" s="0" t="s">
        <v>7040</v>
      </c>
      <c r="I592" s="0" t="s">
        <v>1044</v>
      </c>
    </row>
    <row r="593" customFormat="false" ht="15" hidden="false" customHeight="false" outlineLevel="0" collapsed="false">
      <c r="A593" s="0" t="s">
        <v>136</v>
      </c>
      <c r="B593" s="0" t="n">
        <v>2018</v>
      </c>
      <c r="C593" s="0" t="s">
        <v>58</v>
      </c>
      <c r="D593" s="0" t="n">
        <v>224625.664</v>
      </c>
      <c r="E593" s="0" t="n">
        <v>1</v>
      </c>
      <c r="F593" s="0" t="s">
        <v>437</v>
      </c>
      <c r="G593" s="0" t="s">
        <v>7040</v>
      </c>
      <c r="I593" s="0" t="s">
        <v>1045</v>
      </c>
    </row>
    <row r="594" customFormat="false" ht="15" hidden="false" customHeight="false" outlineLevel="0" collapsed="false">
      <c r="A594" s="0" t="s">
        <v>136</v>
      </c>
      <c r="B594" s="0" t="n">
        <v>2018</v>
      </c>
      <c r="C594" s="0" t="s">
        <v>59</v>
      </c>
      <c r="D594" s="0" t="n">
        <v>2824928.985</v>
      </c>
      <c r="E594" s="0" t="n">
        <v>1</v>
      </c>
      <c r="F594" s="0" t="s">
        <v>437</v>
      </c>
      <c r="G594" s="0" t="s">
        <v>7040</v>
      </c>
      <c r="I594" s="0" t="s">
        <v>1046</v>
      </c>
    </row>
    <row r="595" customFormat="false" ht="15" hidden="false" customHeight="false" outlineLevel="0" collapsed="false">
      <c r="A595" s="0" t="s">
        <v>136</v>
      </c>
      <c r="B595" s="0" t="n">
        <v>2018</v>
      </c>
      <c r="C595" s="0" t="s">
        <v>60</v>
      </c>
      <c r="D595" s="0" t="n">
        <v>1158980.803</v>
      </c>
      <c r="E595" s="0" t="n">
        <v>1</v>
      </c>
      <c r="F595" s="0" t="s">
        <v>437</v>
      </c>
      <c r="G595" s="0" t="s">
        <v>7040</v>
      </c>
      <c r="I595" s="0" t="s">
        <v>1047</v>
      </c>
    </row>
    <row r="596" customFormat="false" ht="15" hidden="false" customHeight="false" outlineLevel="0" collapsed="false">
      <c r="A596" s="0" t="s">
        <v>136</v>
      </c>
      <c r="B596" s="0" t="n">
        <v>2018</v>
      </c>
      <c r="C596" s="0" t="s">
        <v>61</v>
      </c>
      <c r="D596" s="0" t="n">
        <v>90981.784</v>
      </c>
      <c r="E596" s="0" t="n">
        <v>1</v>
      </c>
      <c r="F596" s="0" t="s">
        <v>437</v>
      </c>
      <c r="G596" s="0" t="s">
        <v>7040</v>
      </c>
      <c r="I596" s="0" t="s">
        <v>1048</v>
      </c>
    </row>
    <row r="597" customFormat="false" ht="15" hidden="false" customHeight="false" outlineLevel="0" collapsed="false">
      <c r="A597" s="0" t="s">
        <v>136</v>
      </c>
      <c r="B597" s="0" t="n">
        <v>2018</v>
      </c>
      <c r="C597" s="0" t="s">
        <v>62</v>
      </c>
      <c r="D597" s="0" t="n">
        <v>1067999.019</v>
      </c>
      <c r="E597" s="0" t="n">
        <v>1</v>
      </c>
      <c r="F597" s="0" t="s">
        <v>437</v>
      </c>
      <c r="G597" s="0" t="s">
        <v>7040</v>
      </c>
      <c r="I597" s="0" t="s">
        <v>1049</v>
      </c>
    </row>
    <row r="598" customFormat="false" ht="15" hidden="false" customHeight="false" outlineLevel="0" collapsed="false">
      <c r="A598" s="0" t="s">
        <v>136</v>
      </c>
      <c r="B598" s="0" t="n">
        <v>2018</v>
      </c>
      <c r="C598" s="0" t="s">
        <v>63</v>
      </c>
      <c r="D598" s="0" t="n">
        <v>1384.004</v>
      </c>
      <c r="E598" s="0" t="n">
        <v>1</v>
      </c>
      <c r="F598" s="0" t="s">
        <v>437</v>
      </c>
      <c r="G598" s="0" t="s">
        <v>7040</v>
      </c>
      <c r="I598" s="0" t="s">
        <v>1050</v>
      </c>
    </row>
    <row r="599" customFormat="false" ht="15" hidden="false" customHeight="false" outlineLevel="0" collapsed="false">
      <c r="A599" s="0" t="s">
        <v>136</v>
      </c>
      <c r="B599" s="0" t="n">
        <v>2018</v>
      </c>
      <c r="C599" s="0" t="s">
        <v>307</v>
      </c>
      <c r="D599" s="0" t="n">
        <v>1504.303</v>
      </c>
      <c r="E599" s="0" t="n">
        <v>1</v>
      </c>
      <c r="F599" s="0" t="s">
        <v>437</v>
      </c>
      <c r="G599" s="0" t="s">
        <v>7040</v>
      </c>
      <c r="I599" s="0" t="s">
        <v>1051</v>
      </c>
    </row>
    <row r="600" customFormat="false" ht="15" hidden="false" customHeight="false" outlineLevel="0" collapsed="false">
      <c r="A600" s="0" t="s">
        <v>136</v>
      </c>
      <c r="B600" s="0" t="n">
        <v>2018</v>
      </c>
      <c r="C600" s="0" t="s">
        <v>1038</v>
      </c>
      <c r="D600" s="0" t="n">
        <v>-120.299</v>
      </c>
      <c r="E600" s="0" t="n">
        <v>1</v>
      </c>
      <c r="F600" s="0" t="s">
        <v>437</v>
      </c>
      <c r="G600" s="0" t="s">
        <v>7040</v>
      </c>
      <c r="I600" s="0" t="s">
        <v>1052</v>
      </c>
    </row>
    <row r="601" customFormat="false" ht="15" hidden="false" customHeight="false" outlineLevel="0" collapsed="false">
      <c r="A601" s="0" t="s">
        <v>136</v>
      </c>
      <c r="B601" s="0" t="n">
        <v>2018</v>
      </c>
      <c r="C601" s="0" t="s">
        <v>73</v>
      </c>
      <c r="D601" s="0" t="n">
        <v>0</v>
      </c>
      <c r="E601" s="0" t="n">
        <v>1</v>
      </c>
      <c r="F601" s="0" t="s">
        <v>437</v>
      </c>
      <c r="G601" s="0" t="s">
        <v>7040</v>
      </c>
      <c r="I601" s="0" t="s">
        <v>1054</v>
      </c>
    </row>
    <row r="602" customFormat="false" ht="15" hidden="false" customHeight="false" outlineLevel="0" collapsed="false">
      <c r="A602" s="0" t="s">
        <v>136</v>
      </c>
      <c r="B602" s="0" t="n">
        <v>2018</v>
      </c>
      <c r="C602" s="0" t="s">
        <v>68</v>
      </c>
      <c r="D602" s="0" t="n">
        <v>74667.995</v>
      </c>
      <c r="E602" s="0" t="n">
        <v>1</v>
      </c>
      <c r="F602" s="0" t="s">
        <v>437</v>
      </c>
      <c r="G602" s="0" t="s">
        <v>7040</v>
      </c>
      <c r="I602" s="0" t="s">
        <v>1055</v>
      </c>
    </row>
    <row r="603" customFormat="false" ht="15" hidden="false" customHeight="false" outlineLevel="0" collapsed="false">
      <c r="A603" s="0" t="s">
        <v>136</v>
      </c>
      <c r="B603" s="0" t="n">
        <v>2018</v>
      </c>
      <c r="C603" s="0" t="s">
        <v>541</v>
      </c>
      <c r="D603" s="0" t="n">
        <v>190209.286</v>
      </c>
      <c r="E603" s="0" t="n">
        <v>1</v>
      </c>
      <c r="F603" s="0" t="s">
        <v>437</v>
      </c>
      <c r="G603" s="0" t="s">
        <v>7040</v>
      </c>
      <c r="I603" s="0" t="s">
        <v>1056</v>
      </c>
    </row>
    <row r="604" customFormat="false" ht="15" hidden="false" customHeight="false" outlineLevel="0" collapsed="false">
      <c r="A604" s="0" t="s">
        <v>136</v>
      </c>
      <c r="B604" s="0" t="n">
        <v>2019</v>
      </c>
      <c r="C604" s="0" t="s">
        <v>54</v>
      </c>
      <c r="D604" s="0" t="n">
        <v>175125.281</v>
      </c>
      <c r="E604" s="0" t="n">
        <v>1</v>
      </c>
      <c r="F604" s="0" t="s">
        <v>437</v>
      </c>
      <c r="G604" s="0" t="s">
        <v>7040</v>
      </c>
      <c r="I604" s="0" t="s">
        <v>1057</v>
      </c>
    </row>
    <row r="605" customFormat="false" ht="15" hidden="false" customHeight="false" outlineLevel="0" collapsed="false">
      <c r="A605" s="0" t="s">
        <v>136</v>
      </c>
      <c r="B605" s="0" t="n">
        <v>2019</v>
      </c>
      <c r="C605" s="0" t="s">
        <v>55</v>
      </c>
      <c r="D605" s="0" t="n">
        <v>3097248.495</v>
      </c>
      <c r="E605" s="0" t="n">
        <v>1</v>
      </c>
      <c r="F605" s="0" t="s">
        <v>437</v>
      </c>
      <c r="G605" s="0" t="s">
        <v>7040</v>
      </c>
      <c r="I605" s="0" t="s">
        <v>1058</v>
      </c>
    </row>
    <row r="606" customFormat="false" ht="15" hidden="false" customHeight="false" outlineLevel="0" collapsed="false">
      <c r="A606" s="0" t="s">
        <v>136</v>
      </c>
      <c r="B606" s="0" t="n">
        <v>2019</v>
      </c>
      <c r="C606" s="0" t="s">
        <v>56</v>
      </c>
      <c r="D606" s="0" t="n">
        <v>2491358.899</v>
      </c>
      <c r="E606" s="0" t="n">
        <v>1</v>
      </c>
      <c r="F606" s="0" t="s">
        <v>437</v>
      </c>
      <c r="G606" s="0" t="s">
        <v>7040</v>
      </c>
      <c r="I606" s="0" t="s">
        <v>1059</v>
      </c>
    </row>
    <row r="607" customFormat="false" ht="15" hidden="false" customHeight="false" outlineLevel="0" collapsed="false">
      <c r="A607" s="0" t="s">
        <v>136</v>
      </c>
      <c r="B607" s="0" t="n">
        <v>2019</v>
      </c>
      <c r="C607" s="0" t="s">
        <v>57</v>
      </c>
      <c r="D607" s="0" t="n">
        <v>605889.596</v>
      </c>
      <c r="E607" s="0" t="n">
        <v>1</v>
      </c>
      <c r="F607" s="0" t="s">
        <v>437</v>
      </c>
      <c r="G607" s="0" t="s">
        <v>7040</v>
      </c>
      <c r="I607" s="0" t="s">
        <v>1060</v>
      </c>
    </row>
    <row r="608" customFormat="false" ht="15" hidden="false" customHeight="false" outlineLevel="0" collapsed="false">
      <c r="A608" s="0" t="s">
        <v>136</v>
      </c>
      <c r="B608" s="0" t="n">
        <v>2019</v>
      </c>
      <c r="C608" s="0" t="s">
        <v>58</v>
      </c>
      <c r="D608" s="0" t="n">
        <v>197853.667</v>
      </c>
      <c r="E608" s="0" t="n">
        <v>1</v>
      </c>
      <c r="F608" s="0" t="s">
        <v>437</v>
      </c>
      <c r="G608" s="0" t="s">
        <v>7040</v>
      </c>
      <c r="I608" s="0" t="s">
        <v>1061</v>
      </c>
    </row>
    <row r="609" customFormat="false" ht="15" hidden="false" customHeight="false" outlineLevel="0" collapsed="false">
      <c r="A609" s="0" t="s">
        <v>136</v>
      </c>
      <c r="B609" s="0" t="n">
        <v>2019</v>
      </c>
      <c r="C609" s="0" t="s">
        <v>59</v>
      </c>
      <c r="D609" s="0" t="n">
        <v>2712521.494</v>
      </c>
      <c r="E609" s="0" t="n">
        <v>1</v>
      </c>
      <c r="F609" s="0" t="s">
        <v>437</v>
      </c>
      <c r="G609" s="0" t="s">
        <v>7040</v>
      </c>
      <c r="I609" s="0" t="s">
        <v>1062</v>
      </c>
    </row>
    <row r="610" customFormat="false" ht="15" hidden="false" customHeight="false" outlineLevel="0" collapsed="false">
      <c r="A610" s="0" t="s">
        <v>136</v>
      </c>
      <c r="B610" s="0" t="n">
        <v>2019</v>
      </c>
      <c r="C610" s="0" t="s">
        <v>60</v>
      </c>
      <c r="D610" s="0" t="n">
        <v>1357066.246</v>
      </c>
      <c r="E610" s="0" t="n">
        <v>1</v>
      </c>
      <c r="F610" s="0" t="s">
        <v>437</v>
      </c>
      <c r="G610" s="0" t="s">
        <v>7040</v>
      </c>
      <c r="I610" s="0" t="s">
        <v>1063</v>
      </c>
    </row>
    <row r="611" customFormat="false" ht="15" hidden="false" customHeight="false" outlineLevel="0" collapsed="false">
      <c r="A611" s="0" t="s">
        <v>136</v>
      </c>
      <c r="B611" s="0" t="n">
        <v>2019</v>
      </c>
      <c r="C611" s="0" t="s">
        <v>61</v>
      </c>
      <c r="D611" s="0" t="n">
        <v>56245.599</v>
      </c>
      <c r="E611" s="0" t="n">
        <v>1</v>
      </c>
      <c r="F611" s="0" t="s">
        <v>437</v>
      </c>
      <c r="G611" s="0" t="s">
        <v>7040</v>
      </c>
      <c r="I611" s="0" t="s">
        <v>1064</v>
      </c>
    </row>
    <row r="612" customFormat="false" ht="15" hidden="false" customHeight="false" outlineLevel="0" collapsed="false">
      <c r="A612" s="0" t="s">
        <v>136</v>
      </c>
      <c r="B612" s="0" t="n">
        <v>2019</v>
      </c>
      <c r="C612" s="0" t="s">
        <v>62</v>
      </c>
      <c r="D612" s="0" t="n">
        <v>1300820.647</v>
      </c>
      <c r="E612" s="0" t="n">
        <v>1</v>
      </c>
      <c r="F612" s="0" t="s">
        <v>437</v>
      </c>
      <c r="G612" s="0" t="s">
        <v>7040</v>
      </c>
      <c r="I612" s="0" t="s">
        <v>1065</v>
      </c>
    </row>
    <row r="613" customFormat="false" ht="15" hidden="false" customHeight="false" outlineLevel="0" collapsed="false">
      <c r="A613" s="0" t="s">
        <v>136</v>
      </c>
      <c r="B613" s="0" t="n">
        <v>2019</v>
      </c>
      <c r="C613" s="0" t="s">
        <v>63</v>
      </c>
      <c r="D613" s="0" t="n">
        <v>1859.247</v>
      </c>
      <c r="E613" s="0" t="n">
        <v>1</v>
      </c>
      <c r="F613" s="0" t="s">
        <v>437</v>
      </c>
      <c r="G613" s="0" t="s">
        <v>7040</v>
      </c>
      <c r="I613" s="0" t="s">
        <v>1066</v>
      </c>
    </row>
    <row r="614" customFormat="false" ht="15" hidden="false" customHeight="false" outlineLevel="0" collapsed="false">
      <c r="A614" s="0" t="s">
        <v>136</v>
      </c>
      <c r="B614" s="0" t="n">
        <v>2019</v>
      </c>
      <c r="C614" s="0" t="s">
        <v>307</v>
      </c>
      <c r="D614" s="0" t="n">
        <v>2221.501</v>
      </c>
      <c r="E614" s="0" t="n">
        <v>1</v>
      </c>
      <c r="F614" s="0" t="s">
        <v>437</v>
      </c>
      <c r="G614" s="0" t="s">
        <v>7040</v>
      </c>
      <c r="I614" s="0" t="s">
        <v>1067</v>
      </c>
    </row>
    <row r="615" customFormat="false" ht="15" hidden="false" customHeight="false" outlineLevel="0" collapsed="false">
      <c r="A615" s="0" t="s">
        <v>136</v>
      </c>
      <c r="B615" s="0" t="n">
        <v>2019</v>
      </c>
      <c r="C615" s="0" t="s">
        <v>1038</v>
      </c>
      <c r="D615" s="0" t="n">
        <v>-362.254</v>
      </c>
      <c r="E615" s="0" t="n">
        <v>1</v>
      </c>
      <c r="F615" s="0" t="s">
        <v>437</v>
      </c>
      <c r="G615" s="0" t="s">
        <v>7040</v>
      </c>
      <c r="I615" s="0" t="s">
        <v>1068</v>
      </c>
    </row>
    <row r="616" customFormat="false" ht="15" hidden="false" customHeight="false" outlineLevel="0" collapsed="false">
      <c r="A616" s="0" t="s">
        <v>136</v>
      </c>
      <c r="B616" s="0" t="n">
        <v>2019</v>
      </c>
      <c r="C616" s="0" t="s">
        <v>69</v>
      </c>
      <c r="D616" s="0" t="n">
        <v>20.66</v>
      </c>
      <c r="E616" s="0" t="n">
        <v>1</v>
      </c>
      <c r="F616" s="0" t="s">
        <v>437</v>
      </c>
      <c r="G616" s="0" t="s">
        <v>7040</v>
      </c>
      <c r="I616" s="0" t="s">
        <v>1069</v>
      </c>
    </row>
    <row r="617" customFormat="false" ht="15" hidden="false" customHeight="false" outlineLevel="0" collapsed="false">
      <c r="A617" s="0" t="s">
        <v>136</v>
      </c>
      <c r="B617" s="0" t="n">
        <v>2019</v>
      </c>
      <c r="C617" s="0" t="s">
        <v>614</v>
      </c>
      <c r="D617" s="0" t="n">
        <v>24.74</v>
      </c>
      <c r="E617" s="0" t="n">
        <v>1</v>
      </c>
      <c r="F617" s="0" t="s">
        <v>437</v>
      </c>
      <c r="G617" s="0" t="s">
        <v>7040</v>
      </c>
      <c r="I617" s="0" t="s">
        <v>1070</v>
      </c>
    </row>
    <row r="618" customFormat="false" ht="15" hidden="false" customHeight="false" outlineLevel="0" collapsed="false">
      <c r="A618" s="0" t="s">
        <v>136</v>
      </c>
      <c r="B618" s="0" t="n">
        <v>2019</v>
      </c>
      <c r="C618" s="0" t="s">
        <v>65</v>
      </c>
      <c r="D618" s="0" t="n">
        <v>418652.17</v>
      </c>
      <c r="E618" s="0" t="n">
        <v>1</v>
      </c>
      <c r="F618" s="0" t="s">
        <v>437</v>
      </c>
      <c r="G618" s="0" t="s">
        <v>7040</v>
      </c>
      <c r="I618" s="0" t="s">
        <v>1071</v>
      </c>
    </row>
    <row r="619" customFormat="false" ht="15" hidden="false" customHeight="false" outlineLevel="0" collapsed="false">
      <c r="A619" s="0" t="s">
        <v>136</v>
      </c>
      <c r="B619" s="0" t="n">
        <v>2019</v>
      </c>
      <c r="C619" s="0" t="s">
        <v>66</v>
      </c>
      <c r="D619" s="0" t="n">
        <v>2026402.562</v>
      </c>
      <c r="E619" s="0" t="n">
        <v>1</v>
      </c>
      <c r="F619" s="0" t="s">
        <v>437</v>
      </c>
      <c r="G619" s="0" t="s">
        <v>7040</v>
      </c>
      <c r="I619" s="0" t="s">
        <v>1072</v>
      </c>
    </row>
    <row r="620" customFormat="false" ht="15" hidden="false" customHeight="false" outlineLevel="0" collapsed="false">
      <c r="A620" s="0" t="s">
        <v>136</v>
      </c>
      <c r="B620" s="0" t="n">
        <v>2019</v>
      </c>
      <c r="C620" s="0" t="s">
        <v>619</v>
      </c>
      <c r="D620" s="0" t="n">
        <v>517502.852</v>
      </c>
      <c r="E620" s="0" t="n">
        <v>1</v>
      </c>
      <c r="F620" s="0" t="s">
        <v>437</v>
      </c>
      <c r="G620" s="0" t="s">
        <v>7040</v>
      </c>
      <c r="I620" s="0" t="s">
        <v>1073</v>
      </c>
    </row>
    <row r="621" customFormat="false" ht="15" hidden="false" customHeight="false" outlineLevel="0" collapsed="false">
      <c r="A621" s="0" t="s">
        <v>136</v>
      </c>
      <c r="B621" s="0" t="n">
        <v>2019</v>
      </c>
      <c r="C621" s="0" t="s">
        <v>73</v>
      </c>
      <c r="D621" s="0" t="n">
        <v>0</v>
      </c>
      <c r="E621" s="0" t="n">
        <v>1</v>
      </c>
      <c r="F621" s="0" t="s">
        <v>437</v>
      </c>
      <c r="G621" s="0" t="s">
        <v>7040</v>
      </c>
      <c r="I621" s="0" t="s">
        <v>1074</v>
      </c>
    </row>
    <row r="622" customFormat="false" ht="15" hidden="false" customHeight="false" outlineLevel="0" collapsed="false">
      <c r="A622" s="0" t="s">
        <v>136</v>
      </c>
      <c r="B622" s="0" t="n">
        <v>2019</v>
      </c>
      <c r="C622" s="0" t="s">
        <v>68</v>
      </c>
      <c r="D622" s="0" t="n">
        <v>45503.961</v>
      </c>
      <c r="E622" s="0" t="n">
        <v>1</v>
      </c>
      <c r="F622" s="0" t="s">
        <v>437</v>
      </c>
      <c r="G622" s="0" t="s">
        <v>7040</v>
      </c>
      <c r="I622" s="0" t="s">
        <v>1075</v>
      </c>
    </row>
    <row r="623" customFormat="false" ht="15" hidden="false" customHeight="false" outlineLevel="0" collapsed="false">
      <c r="A623" s="0" t="s">
        <v>136</v>
      </c>
      <c r="B623" s="0" t="n">
        <v>2019</v>
      </c>
      <c r="C623" s="0" t="s">
        <v>541</v>
      </c>
      <c r="D623" s="0" t="n">
        <v>200177.89</v>
      </c>
      <c r="E623" s="0" t="n">
        <v>1</v>
      </c>
      <c r="F623" s="0" t="s">
        <v>437</v>
      </c>
      <c r="G623" s="0" t="s">
        <v>7040</v>
      </c>
      <c r="I623" s="0" t="s">
        <v>1076</v>
      </c>
    </row>
    <row r="624" customFormat="false" ht="15" hidden="false" customHeight="false" outlineLevel="0" collapsed="false">
      <c r="A624" s="0" t="s">
        <v>136</v>
      </c>
      <c r="B624" s="0" t="n">
        <v>2020</v>
      </c>
      <c r="C624" s="0" t="s">
        <v>54</v>
      </c>
      <c r="D624" s="0" t="n">
        <v>178188.398</v>
      </c>
      <c r="E624" s="0" t="n">
        <v>1</v>
      </c>
      <c r="F624" s="0" t="s">
        <v>437</v>
      </c>
      <c r="G624" s="0" t="s">
        <v>7040</v>
      </c>
      <c r="I624" s="0" t="s">
        <v>1077</v>
      </c>
    </row>
    <row r="625" customFormat="false" ht="15" hidden="false" customHeight="false" outlineLevel="0" collapsed="false">
      <c r="A625" s="0" t="s">
        <v>136</v>
      </c>
      <c r="B625" s="0" t="n">
        <v>2020</v>
      </c>
      <c r="C625" s="0" t="s">
        <v>55</v>
      </c>
      <c r="D625" s="0" t="n">
        <v>4061543.605</v>
      </c>
      <c r="E625" s="0" t="n">
        <v>1</v>
      </c>
      <c r="F625" s="0" t="s">
        <v>437</v>
      </c>
      <c r="G625" s="0" t="s">
        <v>7040</v>
      </c>
      <c r="I625" s="0" t="s">
        <v>1078</v>
      </c>
    </row>
    <row r="626" customFormat="false" ht="15" hidden="false" customHeight="false" outlineLevel="0" collapsed="false">
      <c r="A626" s="0" t="s">
        <v>136</v>
      </c>
      <c r="B626" s="0" t="n">
        <v>2020</v>
      </c>
      <c r="C626" s="0" t="s">
        <v>56</v>
      </c>
      <c r="D626" s="0" t="n">
        <v>3359144.08</v>
      </c>
      <c r="E626" s="0" t="n">
        <v>1</v>
      </c>
      <c r="F626" s="0" t="s">
        <v>437</v>
      </c>
      <c r="G626" s="0" t="s">
        <v>7040</v>
      </c>
      <c r="I626" s="0" t="s">
        <v>1079</v>
      </c>
    </row>
    <row r="627" customFormat="false" ht="15" hidden="false" customHeight="false" outlineLevel="0" collapsed="false">
      <c r="A627" s="0" t="s">
        <v>136</v>
      </c>
      <c r="B627" s="0" t="n">
        <v>2020</v>
      </c>
      <c r="C627" s="0" t="s">
        <v>57</v>
      </c>
      <c r="D627" s="0" t="n">
        <v>702399.525</v>
      </c>
      <c r="E627" s="0" t="n">
        <v>1</v>
      </c>
      <c r="F627" s="0" t="s">
        <v>437</v>
      </c>
      <c r="G627" s="0" t="s">
        <v>7040</v>
      </c>
      <c r="I627" s="0" t="s">
        <v>1080</v>
      </c>
    </row>
    <row r="628" customFormat="false" ht="15" hidden="false" customHeight="false" outlineLevel="0" collapsed="false">
      <c r="A628" s="0" t="s">
        <v>136</v>
      </c>
      <c r="B628" s="0" t="n">
        <v>2020</v>
      </c>
      <c r="C628" s="0" t="s">
        <v>58</v>
      </c>
      <c r="D628" s="0" t="n">
        <v>327793.446</v>
      </c>
      <c r="E628" s="0" t="n">
        <v>1</v>
      </c>
      <c r="F628" s="0" t="s">
        <v>437</v>
      </c>
      <c r="G628" s="0" t="s">
        <v>7040</v>
      </c>
      <c r="I628" s="0" t="s">
        <v>1081</v>
      </c>
    </row>
    <row r="629" customFormat="false" ht="15" hidden="false" customHeight="false" outlineLevel="0" collapsed="false">
      <c r="A629" s="0" t="s">
        <v>136</v>
      </c>
      <c r="B629" s="0" t="n">
        <v>2020</v>
      </c>
      <c r="C629" s="0" t="s">
        <v>59</v>
      </c>
      <c r="D629" s="0" t="n">
        <v>3097248.495</v>
      </c>
      <c r="E629" s="0" t="n">
        <v>1</v>
      </c>
      <c r="F629" s="0" t="s">
        <v>437</v>
      </c>
      <c r="G629" s="0" t="s">
        <v>7040</v>
      </c>
      <c r="I629" s="0" t="s">
        <v>1082</v>
      </c>
    </row>
    <row r="630" customFormat="false" ht="15" hidden="false" customHeight="false" outlineLevel="0" collapsed="false">
      <c r="A630" s="0" t="s">
        <v>136</v>
      </c>
      <c r="B630" s="0" t="n">
        <v>2020</v>
      </c>
      <c r="C630" s="0" t="s">
        <v>60</v>
      </c>
      <c r="D630" s="0" t="n">
        <v>1473498.356</v>
      </c>
      <c r="E630" s="0" t="n">
        <v>1</v>
      </c>
      <c r="F630" s="0" t="s">
        <v>437</v>
      </c>
      <c r="G630" s="0" t="s">
        <v>7040</v>
      </c>
      <c r="I630" s="0" t="s">
        <v>1083</v>
      </c>
    </row>
    <row r="631" customFormat="false" ht="15" hidden="false" customHeight="false" outlineLevel="0" collapsed="false">
      <c r="A631" s="0" t="s">
        <v>136</v>
      </c>
      <c r="B631" s="0" t="n">
        <v>2020</v>
      </c>
      <c r="C631" s="0" t="s">
        <v>61</v>
      </c>
      <c r="D631" s="0" t="n">
        <v>62920.622</v>
      </c>
      <c r="E631" s="0" t="n">
        <v>1</v>
      </c>
      <c r="F631" s="0" t="s">
        <v>437</v>
      </c>
      <c r="G631" s="0" t="s">
        <v>7040</v>
      </c>
      <c r="I631" s="0" t="s">
        <v>1084</v>
      </c>
    </row>
    <row r="632" customFormat="false" ht="15" hidden="false" customHeight="false" outlineLevel="0" collapsed="false">
      <c r="A632" s="0" t="s">
        <v>136</v>
      </c>
      <c r="B632" s="0" t="n">
        <v>2020</v>
      </c>
      <c r="C632" s="0" t="s">
        <v>62</v>
      </c>
      <c r="D632" s="0" t="n">
        <v>1410577.734</v>
      </c>
      <c r="E632" s="0" t="n">
        <v>1</v>
      </c>
      <c r="F632" s="0" t="s">
        <v>437</v>
      </c>
      <c r="G632" s="0" t="s">
        <v>7040</v>
      </c>
      <c r="I632" s="0" t="s">
        <v>1085</v>
      </c>
    </row>
    <row r="633" customFormat="false" ht="15" hidden="false" customHeight="false" outlineLevel="0" collapsed="false">
      <c r="A633" s="0" t="s">
        <v>136</v>
      </c>
      <c r="B633" s="0" t="n">
        <v>2020</v>
      </c>
      <c r="C633" s="0" t="s">
        <v>63</v>
      </c>
      <c r="D633" s="0" t="n">
        <v>10555.467</v>
      </c>
      <c r="E633" s="0" t="n">
        <v>1</v>
      </c>
      <c r="F633" s="0" t="s">
        <v>437</v>
      </c>
      <c r="G633" s="0" t="s">
        <v>7040</v>
      </c>
      <c r="I633" s="0" t="s">
        <v>1086</v>
      </c>
    </row>
    <row r="634" customFormat="false" ht="15" hidden="false" customHeight="false" outlineLevel="0" collapsed="false">
      <c r="A634" s="0" t="s">
        <v>136</v>
      </c>
      <c r="B634" s="0" t="n">
        <v>2020</v>
      </c>
      <c r="C634" s="0" t="s">
        <v>307</v>
      </c>
      <c r="D634" s="0" t="n">
        <v>13667.341</v>
      </c>
      <c r="E634" s="0" t="n">
        <v>1</v>
      </c>
      <c r="F634" s="0" t="s">
        <v>437</v>
      </c>
      <c r="G634" s="0" t="s">
        <v>7040</v>
      </c>
      <c r="I634" s="0" t="s">
        <v>1087</v>
      </c>
    </row>
    <row r="635" customFormat="false" ht="15" hidden="false" customHeight="false" outlineLevel="0" collapsed="false">
      <c r="A635" s="0" t="s">
        <v>136</v>
      </c>
      <c r="B635" s="0" t="n">
        <v>2020</v>
      </c>
      <c r="C635" s="0" t="s">
        <v>1038</v>
      </c>
      <c r="D635" s="0" t="n">
        <v>-3111.874</v>
      </c>
      <c r="E635" s="0" t="n">
        <v>1</v>
      </c>
      <c r="F635" s="0" t="s">
        <v>437</v>
      </c>
      <c r="G635" s="0" t="s">
        <v>7040</v>
      </c>
      <c r="I635" s="0" t="s">
        <v>1088</v>
      </c>
    </row>
    <row r="636" customFormat="false" ht="15" hidden="false" customHeight="false" outlineLevel="0" collapsed="false">
      <c r="A636" s="0" t="s">
        <v>136</v>
      </c>
      <c r="B636" s="0" t="n">
        <v>2020</v>
      </c>
      <c r="C636" s="0" t="s">
        <v>69</v>
      </c>
      <c r="D636" s="0" t="n">
        <v>19.55</v>
      </c>
      <c r="E636" s="0" t="n">
        <v>1</v>
      </c>
      <c r="F636" s="0" t="s">
        <v>437</v>
      </c>
      <c r="G636" s="0" t="s">
        <v>7040</v>
      </c>
      <c r="I636" s="0" t="s">
        <v>1089</v>
      </c>
    </row>
    <row r="637" customFormat="false" ht="15" hidden="false" customHeight="false" outlineLevel="0" collapsed="false">
      <c r="A637" s="0" t="s">
        <v>136</v>
      </c>
      <c r="B637" s="0" t="n">
        <v>2020</v>
      </c>
      <c r="C637" s="0" t="s">
        <v>614</v>
      </c>
      <c r="D637" s="0" t="n">
        <v>23.05</v>
      </c>
      <c r="E637" s="0" t="n">
        <v>1</v>
      </c>
      <c r="F637" s="0" t="s">
        <v>437</v>
      </c>
      <c r="G637" s="0" t="s">
        <v>7040</v>
      </c>
      <c r="I637" s="0" t="s">
        <v>1090</v>
      </c>
    </row>
    <row r="638" customFormat="false" ht="15" hidden="false" customHeight="false" outlineLevel="0" collapsed="false">
      <c r="A638" s="0" t="s">
        <v>136</v>
      </c>
      <c r="B638" s="0" t="n">
        <v>2020</v>
      </c>
      <c r="C638" s="0" t="s">
        <v>70</v>
      </c>
      <c r="D638" s="0" t="n">
        <v>16</v>
      </c>
      <c r="E638" s="0" t="n">
        <v>1</v>
      </c>
      <c r="F638" s="0" t="s">
        <v>437</v>
      </c>
      <c r="G638" s="0" t="s">
        <v>7040</v>
      </c>
      <c r="I638" s="0" t="s">
        <v>1091</v>
      </c>
    </row>
    <row r="639" customFormat="false" ht="15" hidden="false" customHeight="false" outlineLevel="0" collapsed="false">
      <c r="A639" s="0" t="s">
        <v>136</v>
      </c>
      <c r="B639" s="0" t="n">
        <v>2020</v>
      </c>
      <c r="C639" s="0" t="s">
        <v>65</v>
      </c>
      <c r="D639" s="0" t="n">
        <v>467871.04</v>
      </c>
      <c r="E639" s="0" t="n">
        <v>1</v>
      </c>
      <c r="F639" s="0" t="s">
        <v>437</v>
      </c>
      <c r="G639" s="0" t="s">
        <v>7040</v>
      </c>
      <c r="I639" s="0" t="s">
        <v>1092</v>
      </c>
    </row>
    <row r="640" customFormat="false" ht="15" hidden="false" customHeight="false" outlineLevel="0" collapsed="false">
      <c r="A640" s="0" t="s">
        <v>136</v>
      </c>
      <c r="B640" s="0" t="n">
        <v>2020</v>
      </c>
      <c r="C640" s="0" t="s">
        <v>66</v>
      </c>
      <c r="D640" s="0" t="n">
        <v>2393202.25</v>
      </c>
      <c r="E640" s="0" t="n">
        <v>1</v>
      </c>
      <c r="F640" s="0" t="s">
        <v>437</v>
      </c>
      <c r="G640" s="0" t="s">
        <v>7040</v>
      </c>
      <c r="I640" s="0" t="s">
        <v>1093</v>
      </c>
    </row>
    <row r="641" customFormat="false" ht="15" hidden="false" customHeight="false" outlineLevel="0" collapsed="false">
      <c r="A641" s="0" t="s">
        <v>136</v>
      </c>
      <c r="B641" s="0" t="n">
        <v>2020</v>
      </c>
      <c r="C641" s="0" t="s">
        <v>619</v>
      </c>
      <c r="D641" s="0" t="n">
        <v>566721.721</v>
      </c>
      <c r="E641" s="0" t="n">
        <v>1</v>
      </c>
      <c r="F641" s="0" t="s">
        <v>437</v>
      </c>
      <c r="G641" s="0" t="s">
        <v>7040</v>
      </c>
      <c r="I641" s="0" t="s">
        <v>1094</v>
      </c>
    </row>
    <row r="642" customFormat="false" ht="15" hidden="false" customHeight="false" outlineLevel="0" collapsed="false">
      <c r="A642" s="0" t="s">
        <v>136</v>
      </c>
      <c r="B642" s="0" t="n">
        <v>2020</v>
      </c>
      <c r="C642" s="0" t="s">
        <v>73</v>
      </c>
      <c r="D642" s="0" t="n">
        <v>0</v>
      </c>
      <c r="E642" s="0" t="n">
        <v>1</v>
      </c>
      <c r="F642" s="0" t="s">
        <v>437</v>
      </c>
      <c r="G642" s="0" t="s">
        <v>7040</v>
      </c>
      <c r="I642" s="0" t="s">
        <v>1095</v>
      </c>
    </row>
    <row r="643" customFormat="false" ht="15" hidden="false" customHeight="false" outlineLevel="0" collapsed="false">
      <c r="A643" s="0" t="s">
        <v>136</v>
      </c>
      <c r="B643" s="0" t="n">
        <v>2020</v>
      </c>
      <c r="C643" s="0" t="s">
        <v>541</v>
      </c>
      <c r="D643" s="0" t="n">
        <v>205130.559</v>
      </c>
      <c r="E643" s="0" t="n">
        <v>1</v>
      </c>
      <c r="F643" s="0" t="s">
        <v>437</v>
      </c>
      <c r="G643" s="0" t="s">
        <v>7040</v>
      </c>
      <c r="I643" s="0" t="s">
        <v>1096</v>
      </c>
    </row>
    <row r="644" customFormat="false" ht="15" hidden="false" customHeight="false" outlineLevel="0" collapsed="false">
      <c r="A644" s="0" t="s">
        <v>136</v>
      </c>
      <c r="B644" s="0" t="n">
        <v>2021</v>
      </c>
      <c r="C644" s="0" t="s">
        <v>54</v>
      </c>
      <c r="D644" s="0" t="n">
        <v>146184.067</v>
      </c>
      <c r="E644" s="0" t="n">
        <v>1</v>
      </c>
      <c r="F644" s="0" t="s">
        <v>437</v>
      </c>
      <c r="G644" s="0" t="s">
        <v>7040</v>
      </c>
      <c r="I644" s="0" t="s">
        <v>1097</v>
      </c>
    </row>
    <row r="645" customFormat="false" ht="15" hidden="false" customHeight="false" outlineLevel="0" collapsed="false">
      <c r="A645" s="0" t="s">
        <v>136</v>
      </c>
      <c r="B645" s="0" t="n">
        <v>2021</v>
      </c>
      <c r="C645" s="0" t="s">
        <v>55</v>
      </c>
      <c r="D645" s="0" t="n">
        <v>4357033.134</v>
      </c>
      <c r="E645" s="0" t="n">
        <v>1</v>
      </c>
      <c r="F645" s="0" t="s">
        <v>437</v>
      </c>
      <c r="G645" s="0" t="s">
        <v>7040</v>
      </c>
      <c r="I645" s="0" t="s">
        <v>1098</v>
      </c>
    </row>
    <row r="646" customFormat="false" ht="15" hidden="false" customHeight="false" outlineLevel="0" collapsed="false">
      <c r="A646" s="0" t="s">
        <v>136</v>
      </c>
      <c r="B646" s="0" t="n">
        <v>2021</v>
      </c>
      <c r="C646" s="0" t="s">
        <v>56</v>
      </c>
      <c r="D646" s="0" t="n">
        <v>3610197.551</v>
      </c>
      <c r="E646" s="0" t="n">
        <v>1</v>
      </c>
      <c r="F646" s="0" t="s">
        <v>437</v>
      </c>
      <c r="G646" s="0" t="s">
        <v>7040</v>
      </c>
      <c r="I646" s="0" t="s">
        <v>1099</v>
      </c>
    </row>
    <row r="647" customFormat="false" ht="15" hidden="false" customHeight="false" outlineLevel="0" collapsed="false">
      <c r="A647" s="0" t="s">
        <v>136</v>
      </c>
      <c r="B647" s="0" t="n">
        <v>2021</v>
      </c>
      <c r="C647" s="0" t="s">
        <v>57</v>
      </c>
      <c r="D647" s="0" t="n">
        <v>746835.583</v>
      </c>
      <c r="E647" s="0" t="n">
        <v>1</v>
      </c>
      <c r="F647" s="0" t="s">
        <v>437</v>
      </c>
      <c r="G647" s="0" t="s">
        <v>7040</v>
      </c>
      <c r="I647" s="0" t="s">
        <v>1100</v>
      </c>
    </row>
    <row r="648" customFormat="false" ht="15" hidden="false" customHeight="false" outlineLevel="0" collapsed="false">
      <c r="A648" s="0" t="s">
        <v>136</v>
      </c>
      <c r="B648" s="0" t="n">
        <v>2021</v>
      </c>
      <c r="C648" s="0" t="s">
        <v>58</v>
      </c>
      <c r="D648" s="0" t="n">
        <v>364670.769</v>
      </c>
      <c r="E648" s="0" t="n">
        <v>1</v>
      </c>
      <c r="F648" s="0" t="s">
        <v>437</v>
      </c>
      <c r="G648" s="0" t="s">
        <v>7040</v>
      </c>
      <c r="I648" s="0" t="s">
        <v>1101</v>
      </c>
    </row>
    <row r="649" customFormat="false" ht="15" hidden="false" customHeight="false" outlineLevel="0" collapsed="false">
      <c r="A649" s="0" t="s">
        <v>136</v>
      </c>
      <c r="B649" s="0" t="n">
        <v>2021</v>
      </c>
      <c r="C649" s="0" t="s">
        <v>59</v>
      </c>
      <c r="D649" s="0" t="n">
        <v>4061543.605</v>
      </c>
      <c r="E649" s="0" t="n">
        <v>1</v>
      </c>
      <c r="F649" s="0" t="s">
        <v>437</v>
      </c>
      <c r="G649" s="0" t="s">
        <v>7040</v>
      </c>
      <c r="I649" s="0" t="s">
        <v>1102</v>
      </c>
    </row>
    <row r="650" customFormat="false" ht="15" hidden="false" customHeight="false" outlineLevel="0" collapsed="false">
      <c r="A650" s="0" t="s">
        <v>136</v>
      </c>
      <c r="B650" s="0" t="n">
        <v>2021</v>
      </c>
      <c r="C650" s="0" t="s">
        <v>62</v>
      </c>
      <c r="D650" s="0" t="n">
        <v>1475674.16</v>
      </c>
      <c r="E650" s="0" t="n">
        <v>1</v>
      </c>
      <c r="F650" s="0" t="s">
        <v>437</v>
      </c>
      <c r="G650" s="0" t="s">
        <v>7040</v>
      </c>
      <c r="I650" s="0" t="s">
        <v>1103</v>
      </c>
    </row>
    <row r="651" customFormat="false" ht="15" hidden="false" customHeight="false" outlineLevel="0" collapsed="false">
      <c r="A651" s="0" t="s">
        <v>136</v>
      </c>
      <c r="B651" s="0" t="n">
        <v>2021</v>
      </c>
      <c r="C651" s="0" t="s">
        <v>307</v>
      </c>
      <c r="D651" s="0" t="n">
        <v>4088.901</v>
      </c>
      <c r="E651" s="0" t="n">
        <v>1</v>
      </c>
      <c r="F651" s="0" t="s">
        <v>437</v>
      </c>
      <c r="G651" s="0" t="s">
        <v>7040</v>
      </c>
      <c r="I651" s="0" t="s">
        <v>1104</v>
      </c>
    </row>
    <row r="652" customFormat="false" ht="15" hidden="false" customHeight="false" outlineLevel="0" collapsed="false">
      <c r="A652" s="0" t="s">
        <v>136</v>
      </c>
      <c r="B652" s="0" t="n">
        <v>2021</v>
      </c>
      <c r="C652" s="0" t="s">
        <v>541</v>
      </c>
      <c r="D652" s="0" t="n">
        <v>176121.448</v>
      </c>
      <c r="E652" s="0" t="n">
        <v>1</v>
      </c>
      <c r="F652" s="0" t="s">
        <v>437</v>
      </c>
      <c r="G652" s="0" t="s">
        <v>7040</v>
      </c>
      <c r="I652" s="0" t="s">
        <v>1105</v>
      </c>
    </row>
    <row r="653" customFormat="false" ht="15" hidden="false" customHeight="false" outlineLevel="0" collapsed="false">
      <c r="A653" s="0" t="s">
        <v>136</v>
      </c>
      <c r="B653" s="0" t="n">
        <v>2022</v>
      </c>
      <c r="C653" s="0" t="s">
        <v>54</v>
      </c>
      <c r="D653" s="0" t="n">
        <v>145296.211</v>
      </c>
      <c r="E653" s="0" t="n">
        <v>1</v>
      </c>
      <c r="F653" s="0" t="s">
        <v>437</v>
      </c>
      <c r="G653" s="0" t="s">
        <v>7040</v>
      </c>
      <c r="I653" s="0" t="s">
        <v>1106</v>
      </c>
    </row>
    <row r="654" customFormat="false" ht="15" hidden="false" customHeight="false" outlineLevel="0" collapsed="false">
      <c r="A654" s="0" t="s">
        <v>136</v>
      </c>
      <c r="B654" s="0" t="n">
        <v>2022</v>
      </c>
      <c r="C654" s="0" t="s">
        <v>55</v>
      </c>
      <c r="D654" s="0" t="n">
        <v>5208576.833</v>
      </c>
      <c r="E654" s="0" t="n">
        <v>1</v>
      </c>
      <c r="F654" s="0" t="s">
        <v>437</v>
      </c>
      <c r="G654" s="0" t="s">
        <v>7040</v>
      </c>
      <c r="I654" s="0" t="s">
        <v>1107</v>
      </c>
    </row>
    <row r="655" customFormat="false" ht="15" hidden="false" customHeight="false" outlineLevel="0" collapsed="false">
      <c r="A655" s="0" t="s">
        <v>136</v>
      </c>
      <c r="B655" s="0" t="n">
        <v>2022</v>
      </c>
      <c r="C655" s="0" t="s">
        <v>56</v>
      </c>
      <c r="D655" s="0" t="n">
        <v>4412624.546</v>
      </c>
      <c r="E655" s="0" t="n">
        <v>1</v>
      </c>
      <c r="F655" s="0" t="s">
        <v>437</v>
      </c>
      <c r="G655" s="0" t="s">
        <v>7040</v>
      </c>
      <c r="I655" s="0" t="s">
        <v>1108</v>
      </c>
    </row>
    <row r="656" customFormat="false" ht="15" hidden="false" customHeight="false" outlineLevel="0" collapsed="false">
      <c r="A656" s="0" t="s">
        <v>136</v>
      </c>
      <c r="B656" s="0" t="n">
        <v>2022</v>
      </c>
      <c r="C656" s="0" t="s">
        <v>57</v>
      </c>
      <c r="D656" s="0" t="n">
        <v>795952.287</v>
      </c>
      <c r="E656" s="0" t="n">
        <v>1</v>
      </c>
      <c r="F656" s="0" t="s">
        <v>437</v>
      </c>
      <c r="G656" s="0" t="s">
        <v>7040</v>
      </c>
      <c r="I656" s="0" t="s">
        <v>1109</v>
      </c>
    </row>
    <row r="657" customFormat="false" ht="15" hidden="false" customHeight="false" outlineLevel="0" collapsed="false">
      <c r="A657" s="0" t="s">
        <v>136</v>
      </c>
      <c r="B657" s="0" t="n">
        <v>2022</v>
      </c>
      <c r="C657" s="0" t="s">
        <v>58</v>
      </c>
      <c r="D657" s="0" t="n">
        <v>671361.457</v>
      </c>
      <c r="E657" s="0" t="n">
        <v>1</v>
      </c>
      <c r="F657" s="0" t="s">
        <v>437</v>
      </c>
      <c r="G657" s="0" t="s">
        <v>7040</v>
      </c>
      <c r="I657" s="0" t="s">
        <v>1110</v>
      </c>
    </row>
    <row r="658" customFormat="false" ht="15" hidden="false" customHeight="false" outlineLevel="0" collapsed="false">
      <c r="A658" s="0" t="s">
        <v>136</v>
      </c>
      <c r="B658" s="0" t="n">
        <v>2022</v>
      </c>
      <c r="C658" s="0" t="s">
        <v>59</v>
      </c>
      <c r="D658" s="0" t="n">
        <v>4357033.134</v>
      </c>
      <c r="E658" s="0" t="n">
        <v>1</v>
      </c>
      <c r="F658" s="0" t="s">
        <v>437</v>
      </c>
      <c r="G658" s="0" t="s">
        <v>7040</v>
      </c>
      <c r="I658" s="0" t="s">
        <v>1111</v>
      </c>
    </row>
    <row r="659" customFormat="false" ht="15" hidden="false" customHeight="false" outlineLevel="0" collapsed="false">
      <c r="A659" s="0" t="s">
        <v>136</v>
      </c>
      <c r="B659" s="0" t="n">
        <v>2022</v>
      </c>
      <c r="C659" s="0" t="s">
        <v>62</v>
      </c>
      <c r="D659" s="0" t="n">
        <v>1577191.692</v>
      </c>
      <c r="E659" s="0" t="n">
        <v>1</v>
      </c>
      <c r="F659" s="0" t="s">
        <v>437</v>
      </c>
      <c r="G659" s="0" t="s">
        <v>7040</v>
      </c>
      <c r="I659" s="0" t="s">
        <v>1112</v>
      </c>
    </row>
    <row r="660" customFormat="false" ht="15" hidden="false" customHeight="false" outlineLevel="0" collapsed="false">
      <c r="A660" s="0" t="s">
        <v>136</v>
      </c>
      <c r="B660" s="0" t="n">
        <v>2022</v>
      </c>
      <c r="C660" s="0" t="s">
        <v>307</v>
      </c>
      <c r="D660" s="0" t="n">
        <v>8937.161</v>
      </c>
      <c r="E660" s="0" t="n">
        <v>1</v>
      </c>
      <c r="F660" s="0" t="s">
        <v>437</v>
      </c>
      <c r="G660" s="0" t="s">
        <v>7040</v>
      </c>
      <c r="I660" s="0" t="s">
        <v>1113</v>
      </c>
    </row>
    <row r="661" customFormat="false" ht="15" hidden="false" customHeight="false" outlineLevel="0" collapsed="false">
      <c r="A661" s="0" t="s">
        <v>136</v>
      </c>
      <c r="B661" s="0" t="n">
        <v>2022</v>
      </c>
      <c r="C661" s="0" t="s">
        <v>541</v>
      </c>
      <c r="D661" s="0" t="n">
        <v>180628.262</v>
      </c>
      <c r="E661" s="0" t="n">
        <v>1</v>
      </c>
      <c r="F661" s="0" t="s">
        <v>437</v>
      </c>
      <c r="G661" s="0" t="s">
        <v>7040</v>
      </c>
      <c r="I661" s="0" t="s">
        <v>1114</v>
      </c>
    </row>
    <row r="662" customFormat="false" ht="15" hidden="false" customHeight="false" outlineLevel="0" collapsed="false">
      <c r="A662" s="0" t="s">
        <v>149</v>
      </c>
      <c r="B662" s="0" t="n">
        <v>2013</v>
      </c>
      <c r="C662" s="0" t="s">
        <v>54</v>
      </c>
      <c r="D662" s="0" t="n">
        <v>10129</v>
      </c>
      <c r="E662" s="0" t="n">
        <v>1</v>
      </c>
      <c r="F662" s="0" t="s">
        <v>437</v>
      </c>
      <c r="G662" s="0" t="s">
        <v>7040</v>
      </c>
      <c r="I662" s="0" t="s">
        <v>1115</v>
      </c>
    </row>
    <row r="663" customFormat="false" ht="15" hidden="false" customHeight="false" outlineLevel="0" collapsed="false">
      <c r="A663" s="0" t="s">
        <v>149</v>
      </c>
      <c r="B663" s="0" t="n">
        <v>2013</v>
      </c>
      <c r="C663" s="0" t="s">
        <v>55</v>
      </c>
      <c r="D663" s="0" t="n">
        <v>725100</v>
      </c>
      <c r="E663" s="0" t="n">
        <v>1</v>
      </c>
      <c r="F663" s="0" t="s">
        <v>437</v>
      </c>
      <c r="G663" s="0" t="s">
        <v>7040</v>
      </c>
      <c r="I663" s="0" t="s">
        <v>1116</v>
      </c>
    </row>
    <row r="664" customFormat="false" ht="15" hidden="false" customHeight="false" outlineLevel="0" collapsed="false">
      <c r="A664" s="0" t="s">
        <v>149</v>
      </c>
      <c r="B664" s="0" t="n">
        <v>2013</v>
      </c>
      <c r="C664" s="0" t="s">
        <v>56</v>
      </c>
      <c r="D664" s="0" t="n">
        <v>654520</v>
      </c>
      <c r="E664" s="0" t="n">
        <v>1</v>
      </c>
      <c r="F664" s="0" t="s">
        <v>437</v>
      </c>
      <c r="G664" s="0" t="s">
        <v>7040</v>
      </c>
      <c r="I664" s="0" t="s">
        <v>1117</v>
      </c>
    </row>
    <row r="665" customFormat="false" ht="15" hidden="false" customHeight="false" outlineLevel="0" collapsed="false">
      <c r="A665" s="0" t="s">
        <v>149</v>
      </c>
      <c r="B665" s="0" t="n">
        <v>2013</v>
      </c>
      <c r="C665" s="0" t="s">
        <v>57</v>
      </c>
      <c r="D665" s="0" t="n">
        <v>70580</v>
      </c>
      <c r="E665" s="0" t="n">
        <v>1</v>
      </c>
      <c r="F665" s="0" t="s">
        <v>437</v>
      </c>
      <c r="G665" s="0" t="s">
        <v>7040</v>
      </c>
      <c r="I665" s="0" t="s">
        <v>1118</v>
      </c>
    </row>
    <row r="666" customFormat="false" ht="15" hidden="false" customHeight="false" outlineLevel="0" collapsed="false">
      <c r="A666" s="0" t="s">
        <v>149</v>
      </c>
      <c r="B666" s="0" t="n">
        <v>2013</v>
      </c>
      <c r="C666" s="0" t="s">
        <v>59</v>
      </c>
      <c r="D666" s="0" t="n">
        <v>650470</v>
      </c>
      <c r="E666" s="0" t="n">
        <v>1</v>
      </c>
      <c r="F666" s="0" t="s">
        <v>437</v>
      </c>
      <c r="G666" s="0" t="s">
        <v>7040</v>
      </c>
      <c r="I666" s="0" t="s">
        <v>1119</v>
      </c>
    </row>
    <row r="667" customFormat="false" ht="15" hidden="false" customHeight="false" outlineLevel="0" collapsed="false">
      <c r="A667" s="0" t="s">
        <v>149</v>
      </c>
      <c r="B667" s="0" t="n">
        <v>2013</v>
      </c>
      <c r="C667" s="0" t="s">
        <v>62</v>
      </c>
      <c r="D667" s="0" t="n">
        <v>289747</v>
      </c>
      <c r="E667" s="0" t="n">
        <v>1</v>
      </c>
      <c r="F667" s="0" t="s">
        <v>437</v>
      </c>
      <c r="G667" s="0" t="s">
        <v>7040</v>
      </c>
      <c r="I667" s="0" t="s">
        <v>1120</v>
      </c>
    </row>
    <row r="668" customFormat="false" ht="15" hidden="false" customHeight="false" outlineLevel="0" collapsed="false">
      <c r="A668" s="0" t="s">
        <v>149</v>
      </c>
      <c r="B668" s="0" t="n">
        <v>2013</v>
      </c>
      <c r="C668" s="0" t="s">
        <v>63</v>
      </c>
      <c r="D668" s="0" t="n">
        <v>2667</v>
      </c>
      <c r="E668" s="0" t="n">
        <v>1</v>
      </c>
      <c r="F668" s="0" t="s">
        <v>437</v>
      </c>
      <c r="G668" s="0" t="s">
        <v>7040</v>
      </c>
      <c r="I668" s="0" t="s">
        <v>1121</v>
      </c>
    </row>
    <row r="669" customFormat="false" ht="15" hidden="false" customHeight="false" outlineLevel="0" collapsed="false">
      <c r="A669" s="0" t="s">
        <v>149</v>
      </c>
      <c r="B669" s="0" t="n">
        <v>2013</v>
      </c>
      <c r="C669" s="0" t="s">
        <v>541</v>
      </c>
      <c r="D669" s="0" t="n">
        <v>9474</v>
      </c>
      <c r="E669" s="0" t="n">
        <v>1</v>
      </c>
      <c r="F669" s="0" t="s">
        <v>437</v>
      </c>
      <c r="G669" s="0" t="s">
        <v>7040</v>
      </c>
      <c r="I669" s="0" t="s">
        <v>1122</v>
      </c>
    </row>
    <row r="670" customFormat="false" ht="15" hidden="false" customHeight="false" outlineLevel="0" collapsed="false">
      <c r="A670" s="0" t="s">
        <v>149</v>
      </c>
      <c r="B670" s="0" t="n">
        <v>2014</v>
      </c>
      <c r="C670" s="0" t="s">
        <v>54</v>
      </c>
      <c r="D670" s="0" t="n">
        <v>19456</v>
      </c>
      <c r="E670" s="0" t="n">
        <v>1</v>
      </c>
      <c r="F670" s="0" t="s">
        <v>437</v>
      </c>
      <c r="G670" s="0" t="s">
        <v>7040</v>
      </c>
      <c r="I670" s="0" t="s">
        <v>1123</v>
      </c>
    </row>
    <row r="671" customFormat="false" ht="15" hidden="false" customHeight="false" outlineLevel="0" collapsed="false">
      <c r="A671" s="0" t="s">
        <v>149</v>
      </c>
      <c r="B671" s="0" t="n">
        <v>2014</v>
      </c>
      <c r="C671" s="0" t="s">
        <v>55</v>
      </c>
      <c r="D671" s="0" t="n">
        <v>911052</v>
      </c>
      <c r="E671" s="0" t="n">
        <v>1</v>
      </c>
      <c r="F671" s="0" t="s">
        <v>437</v>
      </c>
      <c r="G671" s="0" t="s">
        <v>7040</v>
      </c>
      <c r="I671" s="0" t="s">
        <v>1124</v>
      </c>
    </row>
    <row r="672" customFormat="false" ht="15" hidden="false" customHeight="false" outlineLevel="0" collapsed="false">
      <c r="A672" s="0" t="s">
        <v>149</v>
      </c>
      <c r="B672" s="0" t="n">
        <v>2014</v>
      </c>
      <c r="C672" s="0" t="s">
        <v>56</v>
      </c>
      <c r="D672" s="0" t="n">
        <v>829231</v>
      </c>
      <c r="E672" s="0" t="n">
        <v>1</v>
      </c>
      <c r="F672" s="0" t="s">
        <v>437</v>
      </c>
      <c r="G672" s="0" t="s">
        <v>7040</v>
      </c>
      <c r="I672" s="0" t="s">
        <v>1125</v>
      </c>
    </row>
    <row r="673" customFormat="false" ht="15" hidden="false" customHeight="false" outlineLevel="0" collapsed="false">
      <c r="A673" s="0" t="s">
        <v>149</v>
      </c>
      <c r="B673" s="0" t="n">
        <v>2014</v>
      </c>
      <c r="C673" s="0" t="s">
        <v>57</v>
      </c>
      <c r="D673" s="0" t="n">
        <v>81821</v>
      </c>
      <c r="E673" s="0" t="n">
        <v>1</v>
      </c>
      <c r="F673" s="0" t="s">
        <v>437</v>
      </c>
      <c r="G673" s="0" t="s">
        <v>7040</v>
      </c>
      <c r="I673" s="0" t="s">
        <v>1126</v>
      </c>
    </row>
    <row r="674" customFormat="false" ht="15" hidden="false" customHeight="false" outlineLevel="0" collapsed="false">
      <c r="A674" s="0" t="s">
        <v>149</v>
      </c>
      <c r="B674" s="0" t="n">
        <v>2014</v>
      </c>
      <c r="C674" s="0" t="s">
        <v>59</v>
      </c>
      <c r="D674" s="0" t="n">
        <v>725100</v>
      </c>
      <c r="E674" s="0" t="n">
        <v>1</v>
      </c>
      <c r="F674" s="0" t="s">
        <v>437</v>
      </c>
      <c r="G674" s="0" t="s">
        <v>7040</v>
      </c>
      <c r="I674" s="0" t="s">
        <v>1127</v>
      </c>
    </row>
    <row r="675" customFormat="false" ht="15" hidden="false" customHeight="false" outlineLevel="0" collapsed="false">
      <c r="A675" s="0" t="s">
        <v>149</v>
      </c>
      <c r="B675" s="0" t="n">
        <v>2014</v>
      </c>
      <c r="C675" s="0" t="s">
        <v>62</v>
      </c>
      <c r="D675" s="0" t="n">
        <v>398604</v>
      </c>
      <c r="E675" s="0" t="n">
        <v>1</v>
      </c>
      <c r="F675" s="0" t="s">
        <v>437</v>
      </c>
      <c r="G675" s="0" t="s">
        <v>7040</v>
      </c>
      <c r="I675" s="0" t="s">
        <v>1128</v>
      </c>
    </row>
    <row r="676" customFormat="false" ht="15" hidden="false" customHeight="false" outlineLevel="0" collapsed="false">
      <c r="A676" s="0" t="s">
        <v>149</v>
      </c>
      <c r="B676" s="0" t="n">
        <v>2014</v>
      </c>
      <c r="C676" s="0" t="s">
        <v>63</v>
      </c>
      <c r="D676" s="0" t="n">
        <v>3217</v>
      </c>
      <c r="E676" s="0" t="n">
        <v>1</v>
      </c>
      <c r="F676" s="0" t="s">
        <v>437</v>
      </c>
      <c r="G676" s="0" t="s">
        <v>7040</v>
      </c>
      <c r="I676" s="0" t="s">
        <v>1129</v>
      </c>
    </row>
    <row r="677" customFormat="false" ht="15" hidden="false" customHeight="false" outlineLevel="0" collapsed="false">
      <c r="A677" s="0" t="s">
        <v>149</v>
      </c>
      <c r="B677" s="0" t="n">
        <v>2014</v>
      </c>
      <c r="C677" s="0" t="s">
        <v>541</v>
      </c>
      <c r="D677" s="0" t="n">
        <v>21610</v>
      </c>
      <c r="E677" s="0" t="n">
        <v>1</v>
      </c>
      <c r="F677" s="0" t="s">
        <v>437</v>
      </c>
      <c r="G677" s="0" t="s">
        <v>7040</v>
      </c>
      <c r="I677" s="0" t="s">
        <v>1130</v>
      </c>
    </row>
    <row r="678" customFormat="false" ht="15" hidden="false" customHeight="false" outlineLevel="0" collapsed="false">
      <c r="A678" s="0" t="s">
        <v>149</v>
      </c>
      <c r="B678" s="0" t="n">
        <v>2015</v>
      </c>
      <c r="C678" s="0" t="s">
        <v>54</v>
      </c>
      <c r="D678" s="0" t="n">
        <v>6232</v>
      </c>
      <c r="E678" s="0" t="n">
        <v>1</v>
      </c>
      <c r="F678" s="0" t="s">
        <v>437</v>
      </c>
      <c r="G678" s="0" t="s">
        <v>7040</v>
      </c>
      <c r="I678" s="0" t="s">
        <v>1131</v>
      </c>
    </row>
    <row r="679" customFormat="false" ht="15" hidden="false" customHeight="false" outlineLevel="0" collapsed="false">
      <c r="A679" s="0" t="s">
        <v>149</v>
      </c>
      <c r="B679" s="0" t="n">
        <v>2015</v>
      </c>
      <c r="C679" s="0" t="s">
        <v>55</v>
      </c>
      <c r="D679" s="0" t="n">
        <v>890580</v>
      </c>
      <c r="E679" s="0" t="n">
        <v>1</v>
      </c>
      <c r="F679" s="0" t="s">
        <v>437</v>
      </c>
      <c r="G679" s="0" t="s">
        <v>7040</v>
      </c>
      <c r="I679" s="0" t="s">
        <v>1132</v>
      </c>
    </row>
    <row r="680" customFormat="false" ht="15" hidden="false" customHeight="false" outlineLevel="0" collapsed="false">
      <c r="A680" s="0" t="s">
        <v>149</v>
      </c>
      <c r="B680" s="0" t="n">
        <v>2015</v>
      </c>
      <c r="C680" s="0" t="s">
        <v>56</v>
      </c>
      <c r="D680" s="0" t="n">
        <v>795663</v>
      </c>
      <c r="E680" s="0" t="n">
        <v>1</v>
      </c>
      <c r="F680" s="0" t="s">
        <v>437</v>
      </c>
      <c r="G680" s="0" t="s">
        <v>7040</v>
      </c>
      <c r="I680" s="0" t="s">
        <v>1133</v>
      </c>
    </row>
    <row r="681" customFormat="false" ht="15" hidden="false" customHeight="false" outlineLevel="0" collapsed="false">
      <c r="A681" s="0" t="s">
        <v>149</v>
      </c>
      <c r="B681" s="0" t="n">
        <v>2015</v>
      </c>
      <c r="C681" s="0" t="s">
        <v>57</v>
      </c>
      <c r="D681" s="0" t="n">
        <v>94917</v>
      </c>
      <c r="E681" s="0" t="n">
        <v>1</v>
      </c>
      <c r="F681" s="0" t="s">
        <v>437</v>
      </c>
      <c r="G681" s="0" t="s">
        <v>7040</v>
      </c>
      <c r="I681" s="0" t="s">
        <v>1134</v>
      </c>
    </row>
    <row r="682" customFormat="false" ht="15" hidden="false" customHeight="false" outlineLevel="0" collapsed="false">
      <c r="A682" s="0" t="s">
        <v>149</v>
      </c>
      <c r="B682" s="0" t="n">
        <v>2015</v>
      </c>
      <c r="C682" s="0" t="s">
        <v>59</v>
      </c>
      <c r="D682" s="0" t="n">
        <v>908429</v>
      </c>
      <c r="E682" s="0" t="n">
        <v>1</v>
      </c>
      <c r="F682" s="0" t="s">
        <v>437</v>
      </c>
      <c r="G682" s="0" t="s">
        <v>7040</v>
      </c>
      <c r="I682" s="0" t="s">
        <v>1135</v>
      </c>
    </row>
    <row r="683" customFormat="false" ht="15" hidden="false" customHeight="false" outlineLevel="0" collapsed="false">
      <c r="A683" s="0" t="s">
        <v>149</v>
      </c>
      <c r="B683" s="0" t="n">
        <v>2015</v>
      </c>
      <c r="C683" s="0" t="s">
        <v>62</v>
      </c>
      <c r="D683" s="0" t="n">
        <v>353513</v>
      </c>
      <c r="E683" s="0" t="n">
        <v>1</v>
      </c>
      <c r="F683" s="0" t="s">
        <v>437</v>
      </c>
      <c r="G683" s="0" t="s">
        <v>7040</v>
      </c>
      <c r="I683" s="0" t="s">
        <v>1136</v>
      </c>
    </row>
    <row r="684" customFormat="false" ht="15" hidden="false" customHeight="false" outlineLevel="0" collapsed="false">
      <c r="A684" s="0" t="s">
        <v>149</v>
      </c>
      <c r="B684" s="0" t="n">
        <v>2015</v>
      </c>
      <c r="C684" s="0" t="s">
        <v>63</v>
      </c>
      <c r="D684" s="0" t="n">
        <v>14931</v>
      </c>
      <c r="E684" s="0" t="n">
        <v>1</v>
      </c>
      <c r="F684" s="0" t="s">
        <v>437</v>
      </c>
      <c r="G684" s="0" t="s">
        <v>7040</v>
      </c>
      <c r="I684" s="0" t="s">
        <v>1137</v>
      </c>
    </row>
    <row r="685" customFormat="false" ht="15" hidden="false" customHeight="false" outlineLevel="0" collapsed="false">
      <c r="A685" s="0" t="s">
        <v>149</v>
      </c>
      <c r="B685" s="0" t="n">
        <v>2015</v>
      </c>
      <c r="C685" s="0" t="s">
        <v>541</v>
      </c>
      <c r="D685" s="0" t="n">
        <v>4479</v>
      </c>
      <c r="E685" s="0" t="n">
        <v>1</v>
      </c>
      <c r="F685" s="0" t="s">
        <v>437</v>
      </c>
      <c r="G685" s="0" t="s">
        <v>7040</v>
      </c>
      <c r="I685" s="0" t="s">
        <v>1138</v>
      </c>
    </row>
    <row r="686" customFormat="false" ht="15" hidden="false" customHeight="false" outlineLevel="0" collapsed="false">
      <c r="A686" s="0" t="s">
        <v>149</v>
      </c>
      <c r="B686" s="0" t="n">
        <v>2016</v>
      </c>
      <c r="C686" s="0" t="s">
        <v>54</v>
      </c>
      <c r="D686" s="0" t="n">
        <v>15030</v>
      </c>
      <c r="E686" s="0" t="n">
        <v>1</v>
      </c>
      <c r="F686" s="0" t="s">
        <v>437</v>
      </c>
      <c r="G686" s="0" t="s">
        <v>7040</v>
      </c>
      <c r="I686" s="0" t="s">
        <v>1139</v>
      </c>
    </row>
    <row r="687" customFormat="false" ht="15" hidden="false" customHeight="false" outlineLevel="0" collapsed="false">
      <c r="A687" s="0" t="s">
        <v>149</v>
      </c>
      <c r="B687" s="0" t="n">
        <v>2016</v>
      </c>
      <c r="C687" s="0" t="s">
        <v>55</v>
      </c>
      <c r="D687" s="0" t="n">
        <v>993759</v>
      </c>
      <c r="E687" s="0" t="n">
        <v>1</v>
      </c>
      <c r="F687" s="0" t="s">
        <v>437</v>
      </c>
      <c r="G687" s="0" t="s">
        <v>7040</v>
      </c>
      <c r="I687" s="0" t="s">
        <v>1140</v>
      </c>
    </row>
    <row r="688" customFormat="false" ht="15" hidden="false" customHeight="false" outlineLevel="0" collapsed="false">
      <c r="A688" s="0" t="s">
        <v>149</v>
      </c>
      <c r="B688" s="0" t="n">
        <v>2016</v>
      </c>
      <c r="C688" s="0" t="s">
        <v>56</v>
      </c>
      <c r="D688" s="0" t="n">
        <v>884443</v>
      </c>
      <c r="E688" s="0" t="n">
        <v>1</v>
      </c>
      <c r="F688" s="0" t="s">
        <v>437</v>
      </c>
      <c r="G688" s="0" t="s">
        <v>7040</v>
      </c>
      <c r="I688" s="0" t="s">
        <v>1141</v>
      </c>
    </row>
    <row r="689" customFormat="false" ht="15" hidden="false" customHeight="false" outlineLevel="0" collapsed="false">
      <c r="A689" s="0" t="s">
        <v>149</v>
      </c>
      <c r="B689" s="0" t="n">
        <v>2016</v>
      </c>
      <c r="C689" s="0" t="s">
        <v>57</v>
      </c>
      <c r="D689" s="0" t="n">
        <v>109316</v>
      </c>
      <c r="E689" s="0" t="n">
        <v>1</v>
      </c>
      <c r="F689" s="0" t="s">
        <v>437</v>
      </c>
      <c r="G689" s="0" t="s">
        <v>7040</v>
      </c>
      <c r="I689" s="0" t="s">
        <v>1142</v>
      </c>
    </row>
    <row r="690" customFormat="false" ht="15" hidden="false" customHeight="false" outlineLevel="0" collapsed="false">
      <c r="A690" s="0" t="s">
        <v>149</v>
      </c>
      <c r="B690" s="0" t="n">
        <v>2016</v>
      </c>
      <c r="C690" s="0" t="s">
        <v>59</v>
      </c>
      <c r="D690" s="0" t="n">
        <v>890580</v>
      </c>
      <c r="E690" s="0" t="n">
        <v>1</v>
      </c>
      <c r="F690" s="0" t="s">
        <v>437</v>
      </c>
      <c r="G690" s="0" t="s">
        <v>7040</v>
      </c>
      <c r="I690" s="0" t="s">
        <v>1143</v>
      </c>
    </row>
    <row r="691" customFormat="false" ht="15" hidden="false" customHeight="false" outlineLevel="0" collapsed="false">
      <c r="A691" s="0" t="s">
        <v>149</v>
      </c>
      <c r="B691" s="0" t="n">
        <v>2016</v>
      </c>
      <c r="C691" s="0" t="s">
        <v>62</v>
      </c>
      <c r="D691" s="0" t="n">
        <v>352965</v>
      </c>
      <c r="E691" s="0" t="n">
        <v>1</v>
      </c>
      <c r="F691" s="0" t="s">
        <v>437</v>
      </c>
      <c r="G691" s="0" t="s">
        <v>7040</v>
      </c>
      <c r="I691" s="0" t="s">
        <v>1144</v>
      </c>
    </row>
    <row r="692" customFormat="false" ht="15" hidden="false" customHeight="false" outlineLevel="0" collapsed="false">
      <c r="A692" s="0" t="s">
        <v>149</v>
      </c>
      <c r="B692" s="0" t="n">
        <v>2016</v>
      </c>
      <c r="C692" s="0" t="s">
        <v>63</v>
      </c>
      <c r="D692" s="0" t="n">
        <v>19803</v>
      </c>
      <c r="E692" s="0" t="n">
        <v>1</v>
      </c>
      <c r="F692" s="0" t="s">
        <v>437</v>
      </c>
      <c r="G692" s="0" t="s">
        <v>7040</v>
      </c>
      <c r="I692" s="0" t="s">
        <v>1145</v>
      </c>
    </row>
    <row r="693" customFormat="false" ht="15" hidden="false" customHeight="false" outlineLevel="0" collapsed="false">
      <c r="A693" s="0" t="s">
        <v>149</v>
      </c>
      <c r="B693" s="0" t="n">
        <v>2016</v>
      </c>
      <c r="C693" s="0" t="s">
        <v>541</v>
      </c>
      <c r="D693" s="0" t="n">
        <v>14908</v>
      </c>
      <c r="E693" s="0" t="n">
        <v>1</v>
      </c>
      <c r="F693" s="0" t="s">
        <v>437</v>
      </c>
      <c r="G693" s="0" t="s">
        <v>7040</v>
      </c>
      <c r="I693" s="0" t="s">
        <v>1146</v>
      </c>
    </row>
    <row r="694" customFormat="false" ht="15" hidden="false" customHeight="false" outlineLevel="0" collapsed="false">
      <c r="A694" s="0" t="s">
        <v>149</v>
      </c>
      <c r="B694" s="0" t="n">
        <v>2017</v>
      </c>
      <c r="C694" s="0" t="s">
        <v>54</v>
      </c>
      <c r="D694" s="0" t="n">
        <v>28842</v>
      </c>
      <c r="E694" s="0" t="n">
        <v>1</v>
      </c>
      <c r="F694" s="0" t="s">
        <v>437</v>
      </c>
      <c r="G694" s="0" t="s">
        <v>7040</v>
      </c>
      <c r="I694" s="0" t="s">
        <v>1147</v>
      </c>
    </row>
    <row r="695" customFormat="false" ht="15" hidden="false" customHeight="false" outlineLevel="0" collapsed="false">
      <c r="A695" s="0" t="s">
        <v>149</v>
      </c>
      <c r="B695" s="0" t="n">
        <v>2017</v>
      </c>
      <c r="C695" s="0" t="s">
        <v>55</v>
      </c>
      <c r="D695" s="0" t="n">
        <v>1332669</v>
      </c>
      <c r="E695" s="0" t="n">
        <v>1</v>
      </c>
      <c r="F695" s="0" t="s">
        <v>437</v>
      </c>
      <c r="G695" s="0" t="s">
        <v>7040</v>
      </c>
      <c r="I695" s="0" t="s">
        <v>1148</v>
      </c>
    </row>
    <row r="696" customFormat="false" ht="15" hidden="false" customHeight="false" outlineLevel="0" collapsed="false">
      <c r="A696" s="0" t="s">
        <v>149</v>
      </c>
      <c r="B696" s="0" t="n">
        <v>2017</v>
      </c>
      <c r="C696" s="0" t="s">
        <v>56</v>
      </c>
      <c r="D696" s="0" t="n">
        <v>1193969</v>
      </c>
      <c r="E696" s="0" t="n">
        <v>1</v>
      </c>
      <c r="F696" s="0" t="s">
        <v>437</v>
      </c>
      <c r="G696" s="0" t="s">
        <v>7040</v>
      </c>
      <c r="I696" s="0" t="s">
        <v>1149</v>
      </c>
    </row>
    <row r="697" customFormat="false" ht="15" hidden="false" customHeight="false" outlineLevel="0" collapsed="false">
      <c r="A697" s="0" t="s">
        <v>149</v>
      </c>
      <c r="B697" s="0" t="n">
        <v>2017</v>
      </c>
      <c r="C697" s="0" t="s">
        <v>57</v>
      </c>
      <c r="D697" s="0" t="n">
        <v>138700</v>
      </c>
      <c r="E697" s="0" t="n">
        <v>1</v>
      </c>
      <c r="F697" s="0" t="s">
        <v>437</v>
      </c>
      <c r="G697" s="0" t="s">
        <v>7040</v>
      </c>
      <c r="I697" s="0" t="s">
        <v>1150</v>
      </c>
    </row>
    <row r="698" customFormat="false" ht="15" hidden="false" customHeight="false" outlineLevel="0" collapsed="false">
      <c r="A698" s="0" t="s">
        <v>149</v>
      </c>
      <c r="B698" s="0" t="n">
        <v>2017</v>
      </c>
      <c r="C698" s="0" t="s">
        <v>59</v>
      </c>
      <c r="D698" s="0" t="n">
        <v>993759</v>
      </c>
      <c r="E698" s="0" t="n">
        <v>1</v>
      </c>
      <c r="F698" s="0" t="s">
        <v>437</v>
      </c>
      <c r="G698" s="0" t="s">
        <v>7040</v>
      </c>
      <c r="I698" s="0" t="s">
        <v>1151</v>
      </c>
    </row>
    <row r="699" customFormat="false" ht="15" hidden="false" customHeight="false" outlineLevel="0" collapsed="false">
      <c r="A699" s="0" t="s">
        <v>149</v>
      </c>
      <c r="B699" s="0" t="n">
        <v>2017</v>
      </c>
      <c r="C699" s="0" t="s">
        <v>62</v>
      </c>
      <c r="D699" s="0" t="n">
        <v>372088</v>
      </c>
      <c r="E699" s="0" t="n">
        <v>1</v>
      </c>
      <c r="F699" s="0" t="s">
        <v>437</v>
      </c>
      <c r="G699" s="0" t="s">
        <v>7040</v>
      </c>
      <c r="I699" s="0" t="s">
        <v>1152</v>
      </c>
    </row>
    <row r="700" customFormat="false" ht="15" hidden="false" customHeight="false" outlineLevel="0" collapsed="false">
      <c r="A700" s="0" t="s">
        <v>149</v>
      </c>
      <c r="B700" s="0" t="n">
        <v>2017</v>
      </c>
      <c r="C700" s="0" t="s">
        <v>63</v>
      </c>
      <c r="D700" s="0" t="n">
        <v>25577</v>
      </c>
      <c r="E700" s="0" t="n">
        <v>1</v>
      </c>
      <c r="F700" s="0" t="s">
        <v>437</v>
      </c>
      <c r="G700" s="0" t="s">
        <v>7040</v>
      </c>
      <c r="I700" s="0" t="s">
        <v>1153</v>
      </c>
    </row>
    <row r="701" customFormat="false" ht="15" hidden="false" customHeight="false" outlineLevel="0" collapsed="false">
      <c r="A701" s="0" t="s">
        <v>149</v>
      </c>
      <c r="B701" s="0" t="n">
        <v>2017</v>
      </c>
      <c r="C701" s="0" t="s">
        <v>541</v>
      </c>
      <c r="D701" s="0" t="n">
        <v>30345</v>
      </c>
      <c r="E701" s="0" t="n">
        <v>1</v>
      </c>
      <c r="F701" s="0" t="s">
        <v>437</v>
      </c>
      <c r="G701" s="0" t="s">
        <v>7040</v>
      </c>
      <c r="I701" s="0" t="s">
        <v>1154</v>
      </c>
    </row>
    <row r="702" customFormat="false" ht="15" hidden="false" customHeight="false" outlineLevel="0" collapsed="false">
      <c r="A702" s="0" t="s">
        <v>149</v>
      </c>
      <c r="B702" s="0" t="n">
        <v>2018</v>
      </c>
      <c r="C702" s="0" t="s">
        <v>54</v>
      </c>
      <c r="D702" s="0" t="n">
        <v>49912</v>
      </c>
      <c r="E702" s="0" t="n">
        <v>1</v>
      </c>
      <c r="F702" s="0" t="s">
        <v>437</v>
      </c>
      <c r="G702" s="0" t="s">
        <v>7040</v>
      </c>
      <c r="I702" s="0" t="s">
        <v>1155</v>
      </c>
    </row>
    <row r="703" customFormat="false" ht="15" hidden="false" customHeight="false" outlineLevel="0" collapsed="false">
      <c r="A703" s="0" t="s">
        <v>149</v>
      </c>
      <c r="B703" s="0" t="n">
        <v>2018</v>
      </c>
      <c r="C703" s="0" t="s">
        <v>55</v>
      </c>
      <c r="D703" s="0" t="n">
        <v>1599245</v>
      </c>
      <c r="E703" s="0" t="n">
        <v>1</v>
      </c>
      <c r="F703" s="0" t="s">
        <v>437</v>
      </c>
      <c r="G703" s="0" t="s">
        <v>7040</v>
      </c>
      <c r="I703" s="0" t="s">
        <v>1156</v>
      </c>
    </row>
    <row r="704" customFormat="false" ht="15" hidden="false" customHeight="false" outlineLevel="0" collapsed="false">
      <c r="A704" s="0" t="s">
        <v>149</v>
      </c>
      <c r="B704" s="0" t="n">
        <v>2018</v>
      </c>
      <c r="C704" s="0" t="s">
        <v>56</v>
      </c>
      <c r="D704" s="0" t="n">
        <v>1428904</v>
      </c>
      <c r="E704" s="0" t="n">
        <v>1</v>
      </c>
      <c r="F704" s="0" t="s">
        <v>437</v>
      </c>
      <c r="G704" s="0" t="s">
        <v>7040</v>
      </c>
      <c r="I704" s="0" t="s">
        <v>1157</v>
      </c>
    </row>
    <row r="705" customFormat="false" ht="15" hidden="false" customHeight="false" outlineLevel="0" collapsed="false">
      <c r="A705" s="0" t="s">
        <v>149</v>
      </c>
      <c r="B705" s="0" t="n">
        <v>2018</v>
      </c>
      <c r="C705" s="0" t="s">
        <v>57</v>
      </c>
      <c r="D705" s="0" t="n">
        <v>170341</v>
      </c>
      <c r="E705" s="0" t="n">
        <v>1</v>
      </c>
      <c r="F705" s="0" t="s">
        <v>437</v>
      </c>
      <c r="G705" s="0" t="s">
        <v>7040</v>
      </c>
      <c r="I705" s="0" t="s">
        <v>1158</v>
      </c>
    </row>
    <row r="706" customFormat="false" ht="15" hidden="false" customHeight="false" outlineLevel="0" collapsed="false">
      <c r="A706" s="0" t="s">
        <v>149</v>
      </c>
      <c r="B706" s="0" t="n">
        <v>2018</v>
      </c>
      <c r="C706" s="0" t="s">
        <v>59</v>
      </c>
      <c r="D706" s="0" t="n">
        <v>1332723</v>
      </c>
      <c r="E706" s="0" t="n">
        <v>1</v>
      </c>
      <c r="F706" s="0" t="s">
        <v>437</v>
      </c>
      <c r="G706" s="0" t="s">
        <v>7040</v>
      </c>
      <c r="I706" s="0" t="s">
        <v>1159</v>
      </c>
    </row>
    <row r="707" customFormat="false" ht="15" hidden="false" customHeight="false" outlineLevel="0" collapsed="false">
      <c r="A707" s="0" t="s">
        <v>149</v>
      </c>
      <c r="B707" s="0" t="n">
        <v>2018</v>
      </c>
      <c r="C707" s="0" t="s">
        <v>62</v>
      </c>
      <c r="D707" s="0" t="n">
        <v>432713</v>
      </c>
      <c r="E707" s="0" t="n">
        <v>1</v>
      </c>
      <c r="F707" s="0" t="s">
        <v>437</v>
      </c>
      <c r="G707" s="0" t="s">
        <v>7040</v>
      </c>
      <c r="I707" s="0" t="s">
        <v>1160</v>
      </c>
    </row>
    <row r="708" customFormat="false" ht="15" hidden="false" customHeight="false" outlineLevel="0" collapsed="false">
      <c r="A708" s="0" t="s">
        <v>149</v>
      </c>
      <c r="B708" s="0" t="n">
        <v>2018</v>
      </c>
      <c r="C708" s="0" t="s">
        <v>63</v>
      </c>
      <c r="D708" s="0" t="n">
        <v>-2988</v>
      </c>
      <c r="E708" s="0" t="n">
        <v>1</v>
      </c>
      <c r="F708" s="0" t="s">
        <v>437</v>
      </c>
      <c r="G708" s="0" t="s">
        <v>7040</v>
      </c>
      <c r="I708" s="0" t="s">
        <v>1161</v>
      </c>
    </row>
    <row r="709" customFormat="false" ht="15" hidden="false" customHeight="false" outlineLevel="0" collapsed="false">
      <c r="A709" s="0" t="s">
        <v>149</v>
      </c>
      <c r="B709" s="0" t="n">
        <v>2018</v>
      </c>
      <c r="C709" s="0" t="s">
        <v>73</v>
      </c>
      <c r="D709" s="0" t="n">
        <v>0</v>
      </c>
      <c r="E709" s="0" t="n">
        <v>1</v>
      </c>
      <c r="F709" s="0" t="s">
        <v>437</v>
      </c>
      <c r="G709" s="0" t="s">
        <v>7040</v>
      </c>
      <c r="I709" s="0" t="s">
        <v>1162</v>
      </c>
    </row>
    <row r="710" customFormat="false" ht="15" hidden="false" customHeight="false" outlineLevel="0" collapsed="false">
      <c r="A710" s="0" t="s">
        <v>149</v>
      </c>
      <c r="B710" s="0" t="n">
        <v>2018</v>
      </c>
      <c r="C710" s="0" t="s">
        <v>541</v>
      </c>
      <c r="D710" s="0" t="n">
        <v>52058</v>
      </c>
      <c r="E710" s="0" t="n">
        <v>1</v>
      </c>
      <c r="F710" s="0" t="s">
        <v>437</v>
      </c>
      <c r="G710" s="0" t="s">
        <v>7040</v>
      </c>
      <c r="I710" s="0" t="s">
        <v>1163</v>
      </c>
    </row>
    <row r="711" customFormat="false" ht="15" hidden="false" customHeight="false" outlineLevel="0" collapsed="false">
      <c r="A711" s="0" t="s">
        <v>149</v>
      </c>
      <c r="B711" s="0" t="n">
        <v>2019</v>
      </c>
      <c r="C711" s="0" t="s">
        <v>54</v>
      </c>
      <c r="D711" s="0" t="n">
        <v>52287</v>
      </c>
      <c r="E711" s="0" t="n">
        <v>1</v>
      </c>
      <c r="F711" s="0" t="s">
        <v>437</v>
      </c>
      <c r="G711" s="0" t="s">
        <v>7040</v>
      </c>
      <c r="I711" s="0" t="s">
        <v>1164</v>
      </c>
    </row>
    <row r="712" customFormat="false" ht="15" hidden="false" customHeight="false" outlineLevel="0" collapsed="false">
      <c r="A712" s="0" t="s">
        <v>149</v>
      </c>
      <c r="B712" s="0" t="n">
        <v>2019</v>
      </c>
      <c r="C712" s="0" t="s">
        <v>55</v>
      </c>
      <c r="D712" s="0" t="n">
        <v>1792320</v>
      </c>
      <c r="E712" s="0" t="n">
        <v>1</v>
      </c>
      <c r="F712" s="0" t="s">
        <v>437</v>
      </c>
      <c r="G712" s="0" t="s">
        <v>7040</v>
      </c>
      <c r="I712" s="0" t="s">
        <v>1165</v>
      </c>
    </row>
    <row r="713" customFormat="false" ht="15" hidden="false" customHeight="false" outlineLevel="0" collapsed="false">
      <c r="A713" s="0" t="s">
        <v>149</v>
      </c>
      <c r="B713" s="0" t="n">
        <v>2019</v>
      </c>
      <c r="C713" s="0" t="s">
        <v>56</v>
      </c>
      <c r="D713" s="0" t="n">
        <v>1590980</v>
      </c>
      <c r="E713" s="0" t="n">
        <v>1</v>
      </c>
      <c r="F713" s="0" t="s">
        <v>437</v>
      </c>
      <c r="G713" s="0" t="s">
        <v>7040</v>
      </c>
      <c r="I713" s="0" t="s">
        <v>1166</v>
      </c>
    </row>
    <row r="714" customFormat="false" ht="15" hidden="false" customHeight="false" outlineLevel="0" collapsed="false">
      <c r="A714" s="0" t="s">
        <v>149</v>
      </c>
      <c r="B714" s="0" t="n">
        <v>2019</v>
      </c>
      <c r="C714" s="0" t="s">
        <v>57</v>
      </c>
      <c r="D714" s="0" t="n">
        <v>201340</v>
      </c>
      <c r="E714" s="0" t="n">
        <v>1</v>
      </c>
      <c r="F714" s="0" t="s">
        <v>437</v>
      </c>
      <c r="G714" s="0" t="s">
        <v>7040</v>
      </c>
      <c r="I714" s="0" t="s">
        <v>1167</v>
      </c>
    </row>
    <row r="715" customFormat="false" ht="15" hidden="false" customHeight="false" outlineLevel="0" collapsed="false">
      <c r="A715" s="0" t="s">
        <v>149</v>
      </c>
      <c r="B715" s="0" t="n">
        <v>2019</v>
      </c>
      <c r="C715" s="0" t="s">
        <v>59</v>
      </c>
      <c r="D715" s="0" t="n">
        <v>1599245</v>
      </c>
      <c r="E715" s="0" t="n">
        <v>1</v>
      </c>
      <c r="F715" s="0" t="s">
        <v>437</v>
      </c>
      <c r="G715" s="0" t="s">
        <v>7040</v>
      </c>
      <c r="I715" s="0" t="s">
        <v>1168</v>
      </c>
    </row>
    <row r="716" customFormat="false" ht="15" hidden="false" customHeight="false" outlineLevel="0" collapsed="false">
      <c r="A716" s="0" t="s">
        <v>149</v>
      </c>
      <c r="B716" s="0" t="n">
        <v>2019</v>
      </c>
      <c r="C716" s="0" t="s">
        <v>62</v>
      </c>
      <c r="D716" s="0" t="n">
        <v>532124</v>
      </c>
      <c r="E716" s="0" t="n">
        <v>1</v>
      </c>
      <c r="F716" s="0" t="s">
        <v>437</v>
      </c>
      <c r="G716" s="0" t="s">
        <v>7040</v>
      </c>
      <c r="I716" s="0" t="s">
        <v>1169</v>
      </c>
    </row>
    <row r="717" customFormat="false" ht="15" hidden="false" customHeight="false" outlineLevel="0" collapsed="false">
      <c r="A717" s="0" t="s">
        <v>149</v>
      </c>
      <c r="B717" s="0" t="n">
        <v>2019</v>
      </c>
      <c r="C717" s="0" t="s">
        <v>63</v>
      </c>
      <c r="D717" s="0" t="n">
        <v>1664</v>
      </c>
      <c r="E717" s="0" t="n">
        <v>1</v>
      </c>
      <c r="F717" s="0" t="s">
        <v>437</v>
      </c>
      <c r="G717" s="0" t="s">
        <v>7040</v>
      </c>
      <c r="I717" s="0" t="s">
        <v>1170</v>
      </c>
    </row>
    <row r="718" customFormat="false" ht="15" hidden="false" customHeight="false" outlineLevel="0" collapsed="false">
      <c r="A718" s="0" t="s">
        <v>149</v>
      </c>
      <c r="B718" s="0" t="n">
        <v>2019</v>
      </c>
      <c r="C718" s="0" t="s">
        <v>73</v>
      </c>
      <c r="D718" s="0" t="n">
        <v>0</v>
      </c>
      <c r="E718" s="0" t="n">
        <v>1</v>
      </c>
      <c r="F718" s="0" t="s">
        <v>437</v>
      </c>
      <c r="G718" s="0" t="s">
        <v>7040</v>
      </c>
      <c r="I718" s="0" t="s">
        <v>1171</v>
      </c>
    </row>
    <row r="719" customFormat="false" ht="15" hidden="false" customHeight="false" outlineLevel="0" collapsed="false">
      <c r="A719" s="0" t="s">
        <v>149</v>
      </c>
      <c r="B719" s="0" t="n">
        <v>2019</v>
      </c>
      <c r="C719" s="0" t="s">
        <v>541</v>
      </c>
      <c r="D719" s="0" t="n">
        <v>56983</v>
      </c>
      <c r="E719" s="0" t="n">
        <v>1</v>
      </c>
      <c r="F719" s="0" t="s">
        <v>437</v>
      </c>
      <c r="G719" s="0" t="s">
        <v>7040</v>
      </c>
      <c r="I719" s="0" t="s">
        <v>1172</v>
      </c>
    </row>
    <row r="720" customFormat="false" ht="15" hidden="false" customHeight="false" outlineLevel="0" collapsed="false">
      <c r="A720" s="0" t="s">
        <v>149</v>
      </c>
      <c r="B720" s="0" t="n">
        <v>2020</v>
      </c>
      <c r="C720" s="0" t="s">
        <v>54</v>
      </c>
      <c r="D720" s="0" t="n">
        <v>59489</v>
      </c>
      <c r="E720" s="0" t="n">
        <v>1</v>
      </c>
      <c r="F720" s="0" t="s">
        <v>437</v>
      </c>
      <c r="G720" s="0" t="s">
        <v>7040</v>
      </c>
      <c r="I720" s="0" t="s">
        <v>1173</v>
      </c>
    </row>
    <row r="721" customFormat="false" ht="15" hidden="false" customHeight="false" outlineLevel="0" collapsed="false">
      <c r="A721" s="0" t="s">
        <v>149</v>
      </c>
      <c r="B721" s="0" t="n">
        <v>2020</v>
      </c>
      <c r="C721" s="0" t="s">
        <v>55</v>
      </c>
      <c r="D721" s="0" t="n">
        <v>2370347</v>
      </c>
      <c r="E721" s="0" t="n">
        <v>1</v>
      </c>
      <c r="F721" s="0" t="s">
        <v>437</v>
      </c>
      <c r="G721" s="0" t="s">
        <v>7040</v>
      </c>
      <c r="I721" s="0" t="s">
        <v>1174</v>
      </c>
    </row>
    <row r="722" customFormat="false" ht="15" hidden="false" customHeight="false" outlineLevel="0" collapsed="false">
      <c r="A722" s="0" t="s">
        <v>149</v>
      </c>
      <c r="B722" s="0" t="n">
        <v>2020</v>
      </c>
      <c r="C722" s="0" t="s">
        <v>56</v>
      </c>
      <c r="D722" s="0" t="n">
        <v>2128226</v>
      </c>
      <c r="E722" s="0" t="n">
        <v>1</v>
      </c>
      <c r="F722" s="0" t="s">
        <v>437</v>
      </c>
      <c r="G722" s="0" t="s">
        <v>7040</v>
      </c>
      <c r="I722" s="0" t="s">
        <v>1175</v>
      </c>
    </row>
    <row r="723" customFormat="false" ht="15" hidden="false" customHeight="false" outlineLevel="0" collapsed="false">
      <c r="A723" s="0" t="s">
        <v>149</v>
      </c>
      <c r="B723" s="0" t="n">
        <v>2020</v>
      </c>
      <c r="C723" s="0" t="s">
        <v>57</v>
      </c>
      <c r="D723" s="0" t="n">
        <v>242121</v>
      </c>
      <c r="E723" s="0" t="n">
        <v>1</v>
      </c>
      <c r="F723" s="0" t="s">
        <v>437</v>
      </c>
      <c r="G723" s="0" t="s">
        <v>7040</v>
      </c>
      <c r="I723" s="0" t="s">
        <v>1176</v>
      </c>
    </row>
    <row r="724" customFormat="false" ht="15" hidden="false" customHeight="false" outlineLevel="0" collapsed="false">
      <c r="A724" s="0" t="s">
        <v>149</v>
      </c>
      <c r="B724" s="0" t="n">
        <v>2020</v>
      </c>
      <c r="C724" s="0" t="s">
        <v>58</v>
      </c>
      <c r="D724" s="0" t="n">
        <v>465539</v>
      </c>
      <c r="E724" s="0" t="n">
        <v>1</v>
      </c>
      <c r="F724" s="0" t="s">
        <v>437</v>
      </c>
      <c r="G724" s="0" t="s">
        <v>7040</v>
      </c>
      <c r="I724" s="0" t="s">
        <v>1177</v>
      </c>
    </row>
    <row r="725" customFormat="false" ht="15" hidden="false" customHeight="false" outlineLevel="0" collapsed="false">
      <c r="A725" s="0" t="s">
        <v>149</v>
      </c>
      <c r="B725" s="0" t="n">
        <v>2020</v>
      </c>
      <c r="C725" s="0" t="s">
        <v>60</v>
      </c>
      <c r="D725" s="0" t="n">
        <v>655292</v>
      </c>
      <c r="E725" s="0" t="n">
        <v>1</v>
      </c>
      <c r="F725" s="0" t="s">
        <v>437</v>
      </c>
      <c r="G725" s="0" t="s">
        <v>7040</v>
      </c>
      <c r="I725" s="0" t="s">
        <v>1178</v>
      </c>
    </row>
    <row r="726" customFormat="false" ht="15" hidden="false" customHeight="false" outlineLevel="0" collapsed="false">
      <c r="A726" s="0" t="s">
        <v>149</v>
      </c>
      <c r="B726" s="0" t="n">
        <v>2020</v>
      </c>
      <c r="C726" s="0" t="s">
        <v>61</v>
      </c>
      <c r="D726" s="0" t="n">
        <v>30153</v>
      </c>
      <c r="E726" s="0" t="n">
        <v>1</v>
      </c>
      <c r="F726" s="0" t="s">
        <v>437</v>
      </c>
      <c r="G726" s="0" t="s">
        <v>7040</v>
      </c>
      <c r="I726" s="0" t="s">
        <v>1179</v>
      </c>
    </row>
    <row r="727" customFormat="false" ht="15" hidden="false" customHeight="false" outlineLevel="0" collapsed="false">
      <c r="A727" s="0" t="s">
        <v>149</v>
      </c>
      <c r="B727" s="0" t="n">
        <v>2020</v>
      </c>
      <c r="C727" s="0" t="s">
        <v>62</v>
      </c>
      <c r="D727" s="0" t="n">
        <v>625139</v>
      </c>
      <c r="E727" s="0" t="n">
        <v>1</v>
      </c>
      <c r="F727" s="0" t="s">
        <v>437</v>
      </c>
      <c r="G727" s="0" t="s">
        <v>7040</v>
      </c>
      <c r="I727" s="0" t="s">
        <v>1180</v>
      </c>
    </row>
    <row r="728" customFormat="false" ht="15" hidden="false" customHeight="false" outlineLevel="0" collapsed="false">
      <c r="A728" s="0" t="s">
        <v>149</v>
      </c>
      <c r="B728" s="0" t="n">
        <v>2020</v>
      </c>
      <c r="C728" s="0" t="s">
        <v>63</v>
      </c>
      <c r="D728" s="0" t="n">
        <v>10170</v>
      </c>
      <c r="E728" s="0" t="n">
        <v>1</v>
      </c>
      <c r="F728" s="0" t="s">
        <v>437</v>
      </c>
      <c r="G728" s="0" t="s">
        <v>7040</v>
      </c>
      <c r="I728" s="0" t="s">
        <v>1181</v>
      </c>
    </row>
    <row r="729" customFormat="false" ht="15" hidden="false" customHeight="false" outlineLevel="0" collapsed="false">
      <c r="A729" s="0" t="s">
        <v>149</v>
      </c>
      <c r="B729" s="0" t="n">
        <v>2020</v>
      </c>
      <c r="C729" s="0" t="s">
        <v>69</v>
      </c>
      <c r="D729" s="0" t="n">
        <v>19.4</v>
      </c>
      <c r="E729" s="0" t="n">
        <v>1</v>
      </c>
      <c r="F729" s="0" t="s">
        <v>437</v>
      </c>
      <c r="G729" s="0" t="s">
        <v>7040</v>
      </c>
      <c r="I729" s="0" t="s">
        <v>1182</v>
      </c>
    </row>
    <row r="730" customFormat="false" ht="15" hidden="false" customHeight="false" outlineLevel="0" collapsed="false">
      <c r="A730" s="0" t="s">
        <v>149</v>
      </c>
      <c r="B730" s="0" t="n">
        <v>2020</v>
      </c>
      <c r="C730" s="0" t="s">
        <v>614</v>
      </c>
      <c r="D730" s="0" t="n">
        <v>19.6</v>
      </c>
      <c r="E730" s="0" t="n">
        <v>1</v>
      </c>
      <c r="F730" s="0" t="s">
        <v>437</v>
      </c>
      <c r="G730" s="0" t="s">
        <v>7040</v>
      </c>
      <c r="I730" s="0" t="s">
        <v>1183</v>
      </c>
    </row>
    <row r="731" customFormat="false" ht="15" hidden="false" customHeight="false" outlineLevel="0" collapsed="false">
      <c r="A731" s="0" t="s">
        <v>149</v>
      </c>
      <c r="B731" s="0" t="n">
        <v>2020</v>
      </c>
      <c r="C731" s="0" t="s">
        <v>65</v>
      </c>
      <c r="D731" s="0" t="n">
        <v>221408</v>
      </c>
      <c r="E731" s="0" t="n">
        <v>1</v>
      </c>
      <c r="F731" s="0" t="s">
        <v>437</v>
      </c>
      <c r="G731" s="0" t="s">
        <v>7040</v>
      </c>
      <c r="H731" s="0" t="s">
        <v>7045</v>
      </c>
      <c r="I731" s="0" t="s">
        <v>1184</v>
      </c>
    </row>
    <row r="732" customFormat="false" ht="15" hidden="false" customHeight="false" outlineLevel="0" collapsed="false">
      <c r="A732" s="0" t="s">
        <v>149</v>
      </c>
      <c r="B732" s="0" t="n">
        <v>2020</v>
      </c>
      <c r="C732" s="0" t="s">
        <v>66</v>
      </c>
      <c r="D732" s="0" t="n">
        <v>1140396</v>
      </c>
      <c r="E732" s="0" t="n">
        <v>1</v>
      </c>
      <c r="F732" s="0" t="s">
        <v>437</v>
      </c>
      <c r="G732" s="0" t="s">
        <v>7040</v>
      </c>
      <c r="I732" s="0" t="s">
        <v>1185</v>
      </c>
    </row>
    <row r="733" customFormat="false" ht="15" hidden="false" customHeight="false" outlineLevel="0" collapsed="false">
      <c r="A733" s="0" t="s">
        <v>149</v>
      </c>
      <c r="B733" s="0" t="n">
        <v>2020</v>
      </c>
      <c r="C733" s="0" t="s">
        <v>619</v>
      </c>
      <c r="D733" s="0" t="n">
        <v>223468</v>
      </c>
      <c r="E733" s="0" t="n">
        <v>1</v>
      </c>
      <c r="F733" s="0" t="s">
        <v>437</v>
      </c>
      <c r="G733" s="0" t="s">
        <v>7040</v>
      </c>
      <c r="I733" s="0" t="s">
        <v>1186</v>
      </c>
    </row>
    <row r="734" customFormat="false" ht="15" hidden="false" customHeight="false" outlineLevel="0" collapsed="false">
      <c r="A734" s="0" t="s">
        <v>149</v>
      </c>
      <c r="B734" s="0" t="n">
        <v>2020</v>
      </c>
      <c r="C734" s="0" t="s">
        <v>68</v>
      </c>
      <c r="D734" s="0" t="n">
        <v>21963</v>
      </c>
      <c r="E734" s="0" t="n">
        <v>1</v>
      </c>
      <c r="F734" s="0" t="s">
        <v>437</v>
      </c>
      <c r="G734" s="0" t="s">
        <v>7040</v>
      </c>
      <c r="I734" s="0" t="s">
        <v>1187</v>
      </c>
    </row>
    <row r="735" customFormat="false" ht="15" hidden="false" customHeight="false" outlineLevel="0" collapsed="false">
      <c r="A735" s="0" t="s">
        <v>149</v>
      </c>
      <c r="B735" s="0" t="n">
        <v>2020</v>
      </c>
      <c r="C735" s="0" t="s">
        <v>541</v>
      </c>
      <c r="D735" s="0" t="n">
        <v>58306</v>
      </c>
      <c r="E735" s="0" t="n">
        <v>1</v>
      </c>
      <c r="F735" s="0" t="s">
        <v>437</v>
      </c>
      <c r="G735" s="0" t="s">
        <v>7040</v>
      </c>
      <c r="I735" s="0" t="s">
        <v>1188</v>
      </c>
    </row>
    <row r="736" customFormat="false" ht="15" hidden="false" customHeight="false" outlineLevel="0" collapsed="false">
      <c r="A736" s="0" t="s">
        <v>149</v>
      </c>
      <c r="B736" s="0" t="n">
        <v>2021</v>
      </c>
      <c r="C736" s="0" t="s">
        <v>54</v>
      </c>
      <c r="D736" s="0" t="n">
        <v>29570</v>
      </c>
      <c r="E736" s="0" t="n">
        <v>1</v>
      </c>
      <c r="F736" s="0" t="s">
        <v>437</v>
      </c>
      <c r="G736" s="0" t="s">
        <v>7040</v>
      </c>
      <c r="I736" s="0" t="s">
        <v>1189</v>
      </c>
    </row>
    <row r="737" customFormat="false" ht="15" hidden="false" customHeight="false" outlineLevel="0" collapsed="false">
      <c r="A737" s="0" t="s">
        <v>149</v>
      </c>
      <c r="B737" s="0" t="n">
        <v>2021</v>
      </c>
      <c r="C737" s="0" t="s">
        <v>55</v>
      </c>
      <c r="D737" s="0" t="n">
        <v>2614087</v>
      </c>
      <c r="E737" s="0" t="n">
        <v>1</v>
      </c>
      <c r="F737" s="0" t="s">
        <v>437</v>
      </c>
      <c r="G737" s="0" t="s">
        <v>7040</v>
      </c>
      <c r="I737" s="0" t="s">
        <v>1190</v>
      </c>
    </row>
    <row r="738" customFormat="false" ht="15" hidden="false" customHeight="false" outlineLevel="0" collapsed="false">
      <c r="A738" s="0" t="s">
        <v>149</v>
      </c>
      <c r="B738" s="0" t="n">
        <v>2021</v>
      </c>
      <c r="C738" s="0" t="s">
        <v>56</v>
      </c>
      <c r="D738" s="0" t="n">
        <v>2362312</v>
      </c>
      <c r="E738" s="0" t="n">
        <v>1</v>
      </c>
      <c r="F738" s="0" t="s">
        <v>437</v>
      </c>
      <c r="G738" s="0" t="s">
        <v>7040</v>
      </c>
      <c r="I738" s="0" t="s">
        <v>1191</v>
      </c>
    </row>
    <row r="739" customFormat="false" ht="15" hidden="false" customHeight="false" outlineLevel="0" collapsed="false">
      <c r="A739" s="0" t="s">
        <v>149</v>
      </c>
      <c r="B739" s="0" t="n">
        <v>2021</v>
      </c>
      <c r="C739" s="0" t="s">
        <v>57</v>
      </c>
      <c r="D739" s="0" t="n">
        <v>251775</v>
      </c>
      <c r="E739" s="0" t="n">
        <v>1</v>
      </c>
      <c r="F739" s="0" t="s">
        <v>437</v>
      </c>
      <c r="G739" s="0" t="s">
        <v>7040</v>
      </c>
      <c r="I739" s="0" t="s">
        <v>1192</v>
      </c>
    </row>
    <row r="740" customFormat="false" ht="15" hidden="false" customHeight="false" outlineLevel="0" collapsed="false">
      <c r="A740" s="0" t="s">
        <v>149</v>
      </c>
      <c r="B740" s="0" t="n">
        <v>2021</v>
      </c>
      <c r="C740" s="0" t="s">
        <v>58</v>
      </c>
      <c r="D740" s="0" t="n">
        <v>55771</v>
      </c>
      <c r="E740" s="0" t="n">
        <v>1</v>
      </c>
      <c r="F740" s="0" t="s">
        <v>437</v>
      </c>
      <c r="G740" s="0" t="s">
        <v>7040</v>
      </c>
      <c r="I740" s="0" t="s">
        <v>1193</v>
      </c>
    </row>
    <row r="741" customFormat="false" ht="15" hidden="false" customHeight="false" outlineLevel="0" collapsed="false">
      <c r="A741" s="0" t="s">
        <v>149</v>
      </c>
      <c r="B741" s="0" t="n">
        <v>2021</v>
      </c>
      <c r="C741" s="0" t="s">
        <v>59</v>
      </c>
      <c r="D741" s="0" t="n">
        <v>2370347</v>
      </c>
      <c r="E741" s="0" t="n">
        <v>1</v>
      </c>
      <c r="F741" s="0" t="s">
        <v>437</v>
      </c>
      <c r="G741" s="0" t="s">
        <v>7040</v>
      </c>
      <c r="I741" s="0" t="s">
        <v>1194</v>
      </c>
    </row>
    <row r="742" customFormat="false" ht="15" hidden="false" customHeight="false" outlineLevel="0" collapsed="false">
      <c r="A742" s="0" t="s">
        <v>149</v>
      </c>
      <c r="B742" s="0" t="n">
        <v>2021</v>
      </c>
      <c r="C742" s="0" t="s">
        <v>60</v>
      </c>
      <c r="D742" s="0" t="n">
        <v>946259</v>
      </c>
      <c r="E742" s="0" t="n">
        <v>1</v>
      </c>
      <c r="F742" s="0" t="s">
        <v>437</v>
      </c>
      <c r="G742" s="0" t="s">
        <v>7040</v>
      </c>
      <c r="I742" s="0" t="s">
        <v>1195</v>
      </c>
    </row>
    <row r="743" customFormat="false" ht="15" hidden="false" customHeight="false" outlineLevel="0" collapsed="false">
      <c r="A743" s="0" t="s">
        <v>149</v>
      </c>
      <c r="B743" s="0" t="n">
        <v>2021</v>
      </c>
      <c r="C743" s="0" t="s">
        <v>61</v>
      </c>
      <c r="D743" s="0" t="n">
        <v>25215</v>
      </c>
      <c r="E743" s="0" t="n">
        <v>1</v>
      </c>
      <c r="F743" s="0" t="s">
        <v>437</v>
      </c>
      <c r="G743" s="0" t="s">
        <v>7040</v>
      </c>
      <c r="I743" s="0" t="s">
        <v>1196</v>
      </c>
    </row>
    <row r="744" customFormat="false" ht="15" hidden="false" customHeight="false" outlineLevel="0" collapsed="false">
      <c r="A744" s="0" t="s">
        <v>149</v>
      </c>
      <c r="B744" s="0" t="n">
        <v>2021</v>
      </c>
      <c r="C744" s="0" t="s">
        <v>62</v>
      </c>
      <c r="D744" s="0" t="n">
        <v>921044</v>
      </c>
      <c r="E744" s="0" t="n">
        <v>1</v>
      </c>
      <c r="F744" s="0" t="s">
        <v>437</v>
      </c>
      <c r="G744" s="0" t="s">
        <v>7040</v>
      </c>
      <c r="I744" s="0" t="s">
        <v>1197</v>
      </c>
    </row>
    <row r="745" customFormat="false" ht="15" hidden="false" customHeight="false" outlineLevel="0" collapsed="false">
      <c r="A745" s="0" t="s">
        <v>149</v>
      </c>
      <c r="B745" s="0" t="n">
        <v>2021</v>
      </c>
      <c r="C745" s="0" t="s">
        <v>63</v>
      </c>
      <c r="D745" s="0" t="n">
        <v>-1208</v>
      </c>
      <c r="E745" s="0" t="n">
        <v>1</v>
      </c>
      <c r="F745" s="0" t="s">
        <v>437</v>
      </c>
      <c r="G745" s="0" t="s">
        <v>7040</v>
      </c>
      <c r="I745" s="0" t="s">
        <v>1198</v>
      </c>
    </row>
    <row r="746" customFormat="false" ht="15" hidden="false" customHeight="false" outlineLevel="0" collapsed="false">
      <c r="A746" s="0" t="s">
        <v>149</v>
      </c>
      <c r="B746" s="0" t="n">
        <v>2021</v>
      </c>
      <c r="C746" s="0" t="s">
        <v>69</v>
      </c>
      <c r="D746" s="0" t="n">
        <v>16.1</v>
      </c>
      <c r="E746" s="0" t="n">
        <v>1</v>
      </c>
      <c r="F746" s="0" t="s">
        <v>437</v>
      </c>
      <c r="G746" s="0" t="s">
        <v>7040</v>
      </c>
      <c r="I746" s="0" t="s">
        <v>1199</v>
      </c>
    </row>
    <row r="747" customFormat="false" ht="15" hidden="false" customHeight="false" outlineLevel="0" collapsed="false">
      <c r="A747" s="0" t="s">
        <v>149</v>
      </c>
      <c r="B747" s="0" t="n">
        <v>2021</v>
      </c>
      <c r="C747" s="0" t="s">
        <v>614</v>
      </c>
      <c r="D747" s="0" t="n">
        <v>16.1</v>
      </c>
      <c r="E747" s="0" t="n">
        <v>1</v>
      </c>
      <c r="F747" s="0" t="s">
        <v>437</v>
      </c>
      <c r="G747" s="0" t="s">
        <v>7040</v>
      </c>
      <c r="I747" s="0" t="s">
        <v>1200</v>
      </c>
    </row>
    <row r="748" customFormat="false" ht="15" hidden="false" customHeight="false" outlineLevel="0" collapsed="false">
      <c r="A748" s="0" t="s">
        <v>149</v>
      </c>
      <c r="B748" s="0" t="n">
        <v>2021</v>
      </c>
      <c r="C748" s="0" t="s">
        <v>65</v>
      </c>
      <c r="D748" s="0" t="n">
        <v>226940</v>
      </c>
      <c r="E748" s="0" t="n">
        <v>1</v>
      </c>
      <c r="F748" s="0" t="s">
        <v>437</v>
      </c>
      <c r="G748" s="0" t="s">
        <v>7040</v>
      </c>
      <c r="I748" s="0" t="s">
        <v>1201</v>
      </c>
    </row>
    <row r="749" customFormat="false" ht="15" hidden="false" customHeight="false" outlineLevel="0" collapsed="false">
      <c r="A749" s="0" t="s">
        <v>149</v>
      </c>
      <c r="B749" s="0" t="n">
        <v>2021</v>
      </c>
      <c r="C749" s="0" t="s">
        <v>66</v>
      </c>
      <c r="D749" s="0" t="n">
        <v>1405941</v>
      </c>
      <c r="E749" s="0" t="n">
        <v>1</v>
      </c>
      <c r="F749" s="0" t="s">
        <v>437</v>
      </c>
      <c r="G749" s="0" t="s">
        <v>7040</v>
      </c>
      <c r="I749" s="0" t="s">
        <v>1202</v>
      </c>
    </row>
    <row r="750" customFormat="false" ht="15" hidden="false" customHeight="false" outlineLevel="0" collapsed="false">
      <c r="A750" s="0" t="s">
        <v>149</v>
      </c>
      <c r="B750" s="0" t="n">
        <v>2021</v>
      </c>
      <c r="C750" s="0" t="s">
        <v>73</v>
      </c>
      <c r="D750" s="0" t="n">
        <v>0</v>
      </c>
      <c r="E750" s="0" t="n">
        <v>1</v>
      </c>
      <c r="F750" s="0" t="s">
        <v>437</v>
      </c>
      <c r="G750" s="0" t="s">
        <v>7040</v>
      </c>
      <c r="I750" s="0" t="s">
        <v>1203</v>
      </c>
    </row>
    <row r="751" customFormat="false" ht="15" hidden="false" customHeight="false" outlineLevel="0" collapsed="false">
      <c r="A751" s="0" t="s">
        <v>149</v>
      </c>
      <c r="B751" s="0" t="n">
        <v>2021</v>
      </c>
      <c r="C751" s="0" t="s">
        <v>68</v>
      </c>
      <c r="D751" s="0" t="n">
        <v>15907</v>
      </c>
      <c r="E751" s="0" t="n">
        <v>1</v>
      </c>
      <c r="F751" s="0" t="s">
        <v>437</v>
      </c>
      <c r="G751" s="0" t="s">
        <v>7040</v>
      </c>
      <c r="I751" s="0" t="s">
        <v>1204</v>
      </c>
    </row>
    <row r="752" customFormat="false" ht="15" hidden="false" customHeight="false" outlineLevel="0" collapsed="false">
      <c r="A752" s="0" t="s">
        <v>149</v>
      </c>
      <c r="B752" s="0" t="n">
        <v>2021</v>
      </c>
      <c r="C752" s="0" t="s">
        <v>541</v>
      </c>
      <c r="D752" s="0" t="n">
        <v>23433</v>
      </c>
      <c r="E752" s="0" t="n">
        <v>1</v>
      </c>
      <c r="F752" s="0" t="s">
        <v>437</v>
      </c>
      <c r="G752" s="0" t="s">
        <v>7040</v>
      </c>
      <c r="I752" s="0" t="s">
        <v>1205</v>
      </c>
    </row>
    <row r="753" customFormat="false" ht="15" hidden="false" customHeight="false" outlineLevel="0" collapsed="false">
      <c r="A753" s="0" t="s">
        <v>149</v>
      </c>
      <c r="B753" s="0" t="n">
        <v>2022</v>
      </c>
      <c r="C753" s="0" t="s">
        <v>54</v>
      </c>
      <c r="D753" s="0" t="n">
        <v>55150</v>
      </c>
      <c r="E753" s="0" t="n">
        <v>1</v>
      </c>
      <c r="F753" s="0" t="s">
        <v>437</v>
      </c>
      <c r="G753" s="0" t="s">
        <v>7040</v>
      </c>
      <c r="I753" s="0" t="s">
        <v>1206</v>
      </c>
    </row>
    <row r="754" customFormat="false" ht="15" hidden="false" customHeight="false" outlineLevel="0" collapsed="false">
      <c r="A754" s="0" t="s">
        <v>149</v>
      </c>
      <c r="B754" s="0" t="n">
        <v>2022</v>
      </c>
      <c r="C754" s="0" t="s">
        <v>55</v>
      </c>
      <c r="D754" s="0" t="n">
        <v>2854509</v>
      </c>
      <c r="E754" s="0" t="n">
        <v>1</v>
      </c>
      <c r="F754" s="0" t="s">
        <v>437</v>
      </c>
      <c r="G754" s="0" t="s">
        <v>7040</v>
      </c>
      <c r="I754" s="0" t="s">
        <v>1207</v>
      </c>
    </row>
    <row r="755" customFormat="false" ht="15" hidden="false" customHeight="false" outlineLevel="0" collapsed="false">
      <c r="A755" s="0" t="s">
        <v>149</v>
      </c>
      <c r="B755" s="0" t="n">
        <v>2022</v>
      </c>
      <c r="C755" s="0" t="s">
        <v>56</v>
      </c>
      <c r="D755" s="0" t="n">
        <v>2575402</v>
      </c>
      <c r="E755" s="0" t="n">
        <v>1</v>
      </c>
      <c r="F755" s="0" t="s">
        <v>437</v>
      </c>
      <c r="G755" s="0" t="s">
        <v>7040</v>
      </c>
      <c r="I755" s="0" t="s">
        <v>1208</v>
      </c>
    </row>
    <row r="756" customFormat="false" ht="15" hidden="false" customHeight="false" outlineLevel="0" collapsed="false">
      <c r="A756" s="0" t="s">
        <v>149</v>
      </c>
      <c r="B756" s="0" t="n">
        <v>2022</v>
      </c>
      <c r="C756" s="0" t="s">
        <v>57</v>
      </c>
      <c r="D756" s="0" t="n">
        <v>279107</v>
      </c>
      <c r="E756" s="0" t="n">
        <v>1</v>
      </c>
      <c r="F756" s="0" t="s">
        <v>437</v>
      </c>
      <c r="G756" s="0" t="s">
        <v>7040</v>
      </c>
      <c r="I756" s="0" t="s">
        <v>1209</v>
      </c>
    </row>
    <row r="757" customFormat="false" ht="15" hidden="false" customHeight="false" outlineLevel="0" collapsed="false">
      <c r="A757" s="0" t="s">
        <v>149</v>
      </c>
      <c r="B757" s="0" t="n">
        <v>2022</v>
      </c>
      <c r="C757" s="0" t="s">
        <v>58</v>
      </c>
      <c r="D757" s="0" t="n">
        <v>-144391</v>
      </c>
      <c r="E757" s="0" t="n">
        <v>1</v>
      </c>
      <c r="F757" s="0" t="s">
        <v>437</v>
      </c>
      <c r="G757" s="0" t="s">
        <v>7040</v>
      </c>
      <c r="I757" s="0" t="s">
        <v>1210</v>
      </c>
    </row>
    <row r="758" customFormat="false" ht="15" hidden="false" customHeight="false" outlineLevel="0" collapsed="false">
      <c r="A758" s="0" t="s">
        <v>149</v>
      </c>
      <c r="B758" s="0" t="n">
        <v>2022</v>
      </c>
      <c r="C758" s="0" t="s">
        <v>59</v>
      </c>
      <c r="D758" s="0" t="n">
        <v>2614087</v>
      </c>
      <c r="E758" s="0" t="n">
        <v>1</v>
      </c>
      <c r="F758" s="0" t="s">
        <v>437</v>
      </c>
      <c r="G758" s="0" t="s">
        <v>7040</v>
      </c>
      <c r="I758" s="0" t="s">
        <v>1211</v>
      </c>
    </row>
    <row r="759" customFormat="false" ht="15" hidden="false" customHeight="false" outlineLevel="0" collapsed="false">
      <c r="A759" s="0" t="s">
        <v>149</v>
      </c>
      <c r="B759" s="0" t="n">
        <v>2022</v>
      </c>
      <c r="C759" s="0" t="s">
        <v>60</v>
      </c>
      <c r="D759" s="0" t="n">
        <v>1238195</v>
      </c>
      <c r="E759" s="0" t="n">
        <v>1</v>
      </c>
      <c r="F759" s="0" t="s">
        <v>437</v>
      </c>
      <c r="G759" s="0" t="s">
        <v>7040</v>
      </c>
      <c r="I759" s="0" t="s">
        <v>1212</v>
      </c>
    </row>
    <row r="760" customFormat="false" ht="15" hidden="false" customHeight="false" outlineLevel="0" collapsed="false">
      <c r="A760" s="0" t="s">
        <v>149</v>
      </c>
      <c r="B760" s="0" t="n">
        <v>2022</v>
      </c>
      <c r="C760" s="0" t="s">
        <v>61</v>
      </c>
      <c r="D760" s="0" t="n">
        <v>33410</v>
      </c>
      <c r="E760" s="0" t="n">
        <v>1</v>
      </c>
      <c r="F760" s="0" t="s">
        <v>437</v>
      </c>
      <c r="G760" s="0" t="s">
        <v>7040</v>
      </c>
      <c r="I760" s="0" t="s">
        <v>1213</v>
      </c>
    </row>
    <row r="761" customFormat="false" ht="15" hidden="false" customHeight="false" outlineLevel="0" collapsed="false">
      <c r="A761" s="0" t="s">
        <v>149</v>
      </c>
      <c r="B761" s="0" t="n">
        <v>2022</v>
      </c>
      <c r="C761" s="0" t="s">
        <v>62</v>
      </c>
      <c r="D761" s="0" t="n">
        <v>1204785</v>
      </c>
      <c r="E761" s="0" t="n">
        <v>1</v>
      </c>
      <c r="F761" s="0" t="s">
        <v>437</v>
      </c>
      <c r="G761" s="0" t="s">
        <v>7040</v>
      </c>
      <c r="I761" s="0" t="s">
        <v>1214</v>
      </c>
    </row>
    <row r="762" customFormat="false" ht="15" hidden="false" customHeight="false" outlineLevel="0" collapsed="false">
      <c r="A762" s="0" t="s">
        <v>149</v>
      </c>
      <c r="B762" s="0" t="n">
        <v>2022</v>
      </c>
      <c r="C762" s="0" t="s">
        <v>63</v>
      </c>
      <c r="D762" s="0" t="n">
        <v>10147</v>
      </c>
      <c r="E762" s="0" t="n">
        <v>1</v>
      </c>
      <c r="F762" s="0" t="s">
        <v>437</v>
      </c>
      <c r="G762" s="0" t="s">
        <v>7040</v>
      </c>
      <c r="I762" s="0" t="s">
        <v>1215</v>
      </c>
    </row>
    <row r="763" customFormat="false" ht="15" hidden="false" customHeight="false" outlineLevel="0" collapsed="false">
      <c r="A763" s="0" t="s">
        <v>149</v>
      </c>
      <c r="B763" s="0" t="n">
        <v>2022</v>
      </c>
      <c r="C763" s="0" t="s">
        <v>69</v>
      </c>
      <c r="D763" s="0" t="n">
        <v>18.4</v>
      </c>
      <c r="E763" s="0" t="n">
        <v>1</v>
      </c>
      <c r="F763" s="0" t="s">
        <v>437</v>
      </c>
      <c r="G763" s="0" t="s">
        <v>7040</v>
      </c>
      <c r="I763" s="0" t="s">
        <v>1216</v>
      </c>
    </row>
    <row r="764" customFormat="false" ht="15" hidden="false" customHeight="false" outlineLevel="0" collapsed="false">
      <c r="A764" s="0" t="s">
        <v>149</v>
      </c>
      <c r="B764" s="0" t="n">
        <v>2022</v>
      </c>
      <c r="C764" s="0" t="s">
        <v>614</v>
      </c>
      <c r="D764" s="0" t="n">
        <v>18.4</v>
      </c>
      <c r="E764" s="0" t="n">
        <v>1</v>
      </c>
      <c r="F764" s="0" t="s">
        <v>437</v>
      </c>
      <c r="G764" s="0" t="s">
        <v>7040</v>
      </c>
      <c r="I764" s="0" t="s">
        <v>1217</v>
      </c>
    </row>
    <row r="765" customFormat="false" ht="15" hidden="false" customHeight="false" outlineLevel="0" collapsed="false">
      <c r="A765" s="0" t="s">
        <v>149</v>
      </c>
      <c r="B765" s="0" t="n">
        <v>2022</v>
      </c>
      <c r="C765" s="0" t="s">
        <v>70</v>
      </c>
      <c r="D765" s="0" t="n">
        <v>10</v>
      </c>
      <c r="E765" s="0" t="n">
        <v>1</v>
      </c>
      <c r="F765" s="0" t="s">
        <v>437</v>
      </c>
      <c r="G765" s="0" t="s">
        <v>7040</v>
      </c>
      <c r="I765" s="0" t="s">
        <v>1218</v>
      </c>
    </row>
    <row r="766" customFormat="false" ht="15" hidden="false" customHeight="false" outlineLevel="0" collapsed="false">
      <c r="A766" s="0" t="s">
        <v>149</v>
      </c>
      <c r="B766" s="0" t="n">
        <v>2022</v>
      </c>
      <c r="C766" s="0" t="s">
        <v>65</v>
      </c>
      <c r="D766" s="0" t="n">
        <v>284446</v>
      </c>
      <c r="E766" s="0" t="n">
        <v>1</v>
      </c>
      <c r="F766" s="0" t="s">
        <v>437</v>
      </c>
      <c r="G766" s="0" t="s">
        <v>7040</v>
      </c>
      <c r="I766" s="0" t="s">
        <v>1219</v>
      </c>
    </row>
    <row r="767" customFormat="false" ht="15" hidden="false" customHeight="false" outlineLevel="0" collapsed="false">
      <c r="A767" s="0" t="s">
        <v>149</v>
      </c>
      <c r="B767" s="0" t="n">
        <v>2022</v>
      </c>
      <c r="C767" s="0" t="s">
        <v>66</v>
      </c>
      <c r="D767" s="0" t="n">
        <v>1545117</v>
      </c>
      <c r="E767" s="0" t="n">
        <v>1</v>
      </c>
      <c r="F767" s="0" t="s">
        <v>437</v>
      </c>
      <c r="G767" s="0" t="s">
        <v>7040</v>
      </c>
      <c r="I767" s="0" t="s">
        <v>1220</v>
      </c>
    </row>
    <row r="768" customFormat="false" ht="15" hidden="false" customHeight="false" outlineLevel="0" collapsed="false">
      <c r="A768" s="0" t="s">
        <v>149</v>
      </c>
      <c r="B768" s="0" t="n">
        <v>2022</v>
      </c>
      <c r="C768" s="0" t="s">
        <v>73</v>
      </c>
      <c r="D768" s="0" t="n">
        <v>0</v>
      </c>
      <c r="E768" s="0" t="n">
        <v>1</v>
      </c>
      <c r="F768" s="0" t="s">
        <v>437</v>
      </c>
      <c r="G768" s="0" t="s">
        <v>7040</v>
      </c>
      <c r="I768" s="0" t="s">
        <v>1221</v>
      </c>
    </row>
    <row r="769" customFormat="false" ht="15" hidden="false" customHeight="false" outlineLevel="0" collapsed="false">
      <c r="A769" s="0" t="s">
        <v>149</v>
      </c>
      <c r="B769" s="0" t="n">
        <v>2022</v>
      </c>
      <c r="C769" s="0" t="s">
        <v>68</v>
      </c>
      <c r="D769" s="0" t="n">
        <v>20616</v>
      </c>
      <c r="E769" s="0" t="n">
        <v>1</v>
      </c>
      <c r="F769" s="0" t="s">
        <v>437</v>
      </c>
      <c r="G769" s="0" t="s">
        <v>7040</v>
      </c>
      <c r="I769" s="0" t="s">
        <v>1222</v>
      </c>
    </row>
    <row r="770" customFormat="false" ht="15" hidden="false" customHeight="false" outlineLevel="0" collapsed="false">
      <c r="A770" s="0" t="s">
        <v>149</v>
      </c>
      <c r="B770" s="0" t="n">
        <v>2022</v>
      </c>
      <c r="C770" s="0" t="s">
        <v>541</v>
      </c>
      <c r="D770" s="0" t="n">
        <v>59732</v>
      </c>
      <c r="E770" s="0" t="n">
        <v>1</v>
      </c>
      <c r="F770" s="0" t="s">
        <v>437</v>
      </c>
      <c r="G770" s="0" t="s">
        <v>7040</v>
      </c>
      <c r="I770" s="0" t="s">
        <v>1223</v>
      </c>
    </row>
    <row r="771" customFormat="false" ht="15" hidden="false" customHeight="false" outlineLevel="0" collapsed="false">
      <c r="A771" s="0" t="s">
        <v>169</v>
      </c>
      <c r="B771" s="0" t="n">
        <v>2013</v>
      </c>
      <c r="C771" s="0" t="s">
        <v>54</v>
      </c>
      <c r="D771" s="0" t="n">
        <v>8274.864</v>
      </c>
      <c r="E771" s="0" t="n">
        <v>1</v>
      </c>
      <c r="F771" s="0" t="s">
        <v>437</v>
      </c>
      <c r="G771" s="0" t="s">
        <v>7040</v>
      </c>
      <c r="I771" s="0" t="s">
        <v>3220</v>
      </c>
    </row>
    <row r="772" customFormat="false" ht="15" hidden="false" customHeight="false" outlineLevel="0" collapsed="false">
      <c r="A772" s="0" t="s">
        <v>169</v>
      </c>
      <c r="B772" s="0" t="n">
        <v>2013</v>
      </c>
      <c r="C772" s="0" t="s">
        <v>55</v>
      </c>
      <c r="D772" s="0" t="n">
        <v>707797.181</v>
      </c>
      <c r="E772" s="0" t="n">
        <v>1</v>
      </c>
      <c r="F772" s="0" t="s">
        <v>437</v>
      </c>
      <c r="G772" s="0" t="s">
        <v>7040</v>
      </c>
      <c r="I772" s="0" t="s">
        <v>3223</v>
      </c>
    </row>
    <row r="773" customFormat="false" ht="15" hidden="false" customHeight="false" outlineLevel="0" collapsed="false">
      <c r="A773" s="0" t="s">
        <v>169</v>
      </c>
      <c r="B773" s="0" t="n">
        <v>2013</v>
      </c>
      <c r="C773" s="0" t="s">
        <v>56</v>
      </c>
      <c r="D773" s="0" t="n">
        <v>644339.285</v>
      </c>
      <c r="E773" s="0" t="n">
        <v>1</v>
      </c>
      <c r="F773" s="0" t="s">
        <v>437</v>
      </c>
      <c r="G773" s="0" t="s">
        <v>7040</v>
      </c>
      <c r="I773" s="0" t="s">
        <v>3225</v>
      </c>
    </row>
    <row r="774" customFormat="false" ht="15" hidden="false" customHeight="false" outlineLevel="0" collapsed="false">
      <c r="A774" s="0" t="s">
        <v>169</v>
      </c>
      <c r="B774" s="0" t="n">
        <v>2013</v>
      </c>
      <c r="C774" s="0" t="s">
        <v>57</v>
      </c>
      <c r="D774" s="0" t="n">
        <v>63457.896</v>
      </c>
      <c r="E774" s="0" t="n">
        <v>1</v>
      </c>
      <c r="F774" s="0" t="s">
        <v>437</v>
      </c>
      <c r="G774" s="0" t="s">
        <v>7040</v>
      </c>
      <c r="I774" s="0" t="s">
        <v>3224</v>
      </c>
    </row>
    <row r="775" customFormat="false" ht="15" hidden="false" customHeight="false" outlineLevel="0" collapsed="false">
      <c r="A775" s="0" t="s">
        <v>169</v>
      </c>
      <c r="B775" s="0" t="n">
        <v>2013</v>
      </c>
      <c r="C775" s="0" t="s">
        <v>58</v>
      </c>
      <c r="D775" s="0" t="n">
        <v>-41953.972</v>
      </c>
      <c r="E775" s="0" t="n">
        <v>1</v>
      </c>
      <c r="F775" s="0" t="s">
        <v>437</v>
      </c>
      <c r="G775" s="0" t="s">
        <v>7040</v>
      </c>
      <c r="I775" s="0" t="s">
        <v>3219</v>
      </c>
    </row>
    <row r="776" customFormat="false" ht="15" hidden="false" customHeight="false" outlineLevel="0" collapsed="false">
      <c r="A776" s="0" t="s">
        <v>169</v>
      </c>
      <c r="B776" s="0" t="n">
        <v>2013</v>
      </c>
      <c r="C776" s="0" t="s">
        <v>60</v>
      </c>
      <c r="D776" s="0" t="n">
        <v>328664.904</v>
      </c>
      <c r="E776" s="0" t="n">
        <v>1</v>
      </c>
      <c r="F776" s="0" t="s">
        <v>437</v>
      </c>
      <c r="G776" s="0" t="s">
        <v>7040</v>
      </c>
      <c r="I776" s="0" t="s">
        <v>3210</v>
      </c>
    </row>
    <row r="777" customFormat="false" ht="15" hidden="false" customHeight="false" outlineLevel="0" collapsed="false">
      <c r="A777" s="0" t="s">
        <v>169</v>
      </c>
      <c r="B777" s="0" t="n">
        <v>2013</v>
      </c>
      <c r="C777" s="0" t="s">
        <v>61</v>
      </c>
      <c r="D777" s="0" t="n">
        <v>6921.156</v>
      </c>
      <c r="E777" s="0" t="n">
        <v>2</v>
      </c>
      <c r="F777" s="0" t="s">
        <v>437</v>
      </c>
      <c r="G777" s="0" t="s">
        <v>7046</v>
      </c>
      <c r="I777" s="0" t="s">
        <v>7047</v>
      </c>
    </row>
    <row r="778" customFormat="false" ht="15" hidden="false" customHeight="false" outlineLevel="0" collapsed="false">
      <c r="A778" s="0" t="s">
        <v>169</v>
      </c>
      <c r="B778" s="0" t="n">
        <v>2013</v>
      </c>
      <c r="C778" s="0" t="s">
        <v>63</v>
      </c>
      <c r="D778" s="0" t="n">
        <v>8259.094</v>
      </c>
      <c r="E778" s="0" t="n">
        <v>1</v>
      </c>
      <c r="F778" s="0" t="s">
        <v>437</v>
      </c>
      <c r="G778" s="0" t="s">
        <v>7040</v>
      </c>
      <c r="I778" s="0" t="s">
        <v>3212</v>
      </c>
    </row>
    <row r="779" customFormat="false" ht="15" hidden="false" customHeight="false" outlineLevel="0" collapsed="false">
      <c r="A779" s="0" t="s">
        <v>169</v>
      </c>
      <c r="B779" s="0" t="n">
        <v>2013</v>
      </c>
      <c r="C779" s="0" t="s">
        <v>327</v>
      </c>
      <c r="D779" s="0" t="n">
        <v>2.1</v>
      </c>
      <c r="E779" s="0" t="n">
        <v>1</v>
      </c>
      <c r="F779" s="0" t="s">
        <v>437</v>
      </c>
      <c r="G779" s="0" t="s">
        <v>7040</v>
      </c>
      <c r="I779" s="0" t="s">
        <v>3421</v>
      </c>
    </row>
    <row r="780" customFormat="false" ht="15" hidden="false" customHeight="false" outlineLevel="0" collapsed="false">
      <c r="A780" s="0" t="s">
        <v>169</v>
      </c>
      <c r="B780" s="0" t="n">
        <v>2013</v>
      </c>
      <c r="C780" s="0" t="s">
        <v>69</v>
      </c>
      <c r="D780" s="0" t="n">
        <v>14</v>
      </c>
      <c r="E780" s="0" t="n">
        <v>1</v>
      </c>
      <c r="F780" s="0" t="s">
        <v>437</v>
      </c>
      <c r="G780" s="0" t="s">
        <v>7040</v>
      </c>
      <c r="I780" s="0" t="s">
        <v>3204</v>
      </c>
    </row>
    <row r="781" customFormat="false" ht="15" hidden="false" customHeight="false" outlineLevel="0" collapsed="false">
      <c r="A781" s="0" t="s">
        <v>169</v>
      </c>
      <c r="B781" s="0" t="n">
        <v>2014</v>
      </c>
      <c r="C781" s="0" t="s">
        <v>54</v>
      </c>
      <c r="D781" s="0" t="n">
        <v>9004.973</v>
      </c>
      <c r="E781" s="0" t="n">
        <v>1</v>
      </c>
      <c r="F781" s="0" t="s">
        <v>437</v>
      </c>
      <c r="G781" s="0" t="s">
        <v>7040</v>
      </c>
      <c r="I781" s="0" t="s">
        <v>3237</v>
      </c>
    </row>
    <row r="782" customFormat="false" ht="15" hidden="false" customHeight="false" outlineLevel="0" collapsed="false">
      <c r="A782" s="0" t="s">
        <v>169</v>
      </c>
      <c r="B782" s="0" t="n">
        <v>2014</v>
      </c>
      <c r="C782" s="0" t="s">
        <v>55</v>
      </c>
      <c r="D782" s="0" t="n">
        <v>824539.426</v>
      </c>
      <c r="E782" s="0" t="n">
        <v>1</v>
      </c>
      <c r="F782" s="0" t="s">
        <v>437</v>
      </c>
      <c r="G782" s="0" t="s">
        <v>7040</v>
      </c>
      <c r="I782" s="0" t="s">
        <v>3240</v>
      </c>
    </row>
    <row r="783" customFormat="false" ht="15" hidden="false" customHeight="false" outlineLevel="0" collapsed="false">
      <c r="A783" s="0" t="s">
        <v>169</v>
      </c>
      <c r="B783" s="0" t="n">
        <v>2014</v>
      </c>
      <c r="C783" s="0" t="s">
        <v>56</v>
      </c>
      <c r="D783" s="0" t="n">
        <v>739824.141</v>
      </c>
      <c r="E783" s="0" t="n">
        <v>1</v>
      </c>
      <c r="F783" s="0" t="s">
        <v>437</v>
      </c>
      <c r="G783" s="0" t="s">
        <v>7040</v>
      </c>
      <c r="I783" s="0" t="s">
        <v>3242</v>
      </c>
    </row>
    <row r="784" customFormat="false" ht="15" hidden="false" customHeight="false" outlineLevel="0" collapsed="false">
      <c r="A784" s="0" t="s">
        <v>169</v>
      </c>
      <c r="B784" s="0" t="n">
        <v>2014</v>
      </c>
      <c r="C784" s="0" t="s">
        <v>57</v>
      </c>
      <c r="D784" s="0" t="n">
        <v>84715.285</v>
      </c>
      <c r="E784" s="0" t="n">
        <v>1</v>
      </c>
      <c r="F784" s="0" t="s">
        <v>437</v>
      </c>
      <c r="G784" s="0" t="s">
        <v>7040</v>
      </c>
      <c r="I784" s="0" t="s">
        <v>3241</v>
      </c>
    </row>
    <row r="785" customFormat="false" ht="15" hidden="false" customHeight="false" outlineLevel="0" collapsed="false">
      <c r="A785" s="0" t="s">
        <v>169</v>
      </c>
      <c r="B785" s="0" t="n">
        <v>2014</v>
      </c>
      <c r="C785" s="0" t="s">
        <v>58</v>
      </c>
      <c r="D785" s="0" t="n">
        <v>-755.006</v>
      </c>
      <c r="E785" s="0" t="n">
        <v>1</v>
      </c>
      <c r="F785" s="0" t="s">
        <v>437</v>
      </c>
      <c r="G785" s="0" t="s">
        <v>7040</v>
      </c>
      <c r="I785" s="0" t="s">
        <v>3236</v>
      </c>
    </row>
    <row r="786" customFormat="false" ht="15" hidden="false" customHeight="false" outlineLevel="0" collapsed="false">
      <c r="A786" s="0" t="s">
        <v>169</v>
      </c>
      <c r="B786" s="0" t="n">
        <v>2014</v>
      </c>
      <c r="C786" s="0" t="s">
        <v>59</v>
      </c>
      <c r="D786" s="0" t="n">
        <v>707797.181</v>
      </c>
      <c r="E786" s="0" t="n">
        <v>1</v>
      </c>
      <c r="F786" s="0" t="s">
        <v>437</v>
      </c>
      <c r="G786" s="0" t="s">
        <v>7041</v>
      </c>
      <c r="I786" s="0" t="s">
        <v>3223</v>
      </c>
    </row>
    <row r="787" customFormat="false" ht="15" hidden="false" customHeight="false" outlineLevel="0" collapsed="false">
      <c r="A787" s="0" t="s">
        <v>169</v>
      </c>
      <c r="B787" s="0" t="n">
        <v>2014</v>
      </c>
      <c r="C787" s="0" t="s">
        <v>60</v>
      </c>
      <c r="D787" s="0" t="n">
        <v>380924.4</v>
      </c>
      <c r="E787" s="0" t="n">
        <v>1</v>
      </c>
      <c r="F787" s="0" t="s">
        <v>437</v>
      </c>
      <c r="G787" s="0" t="s">
        <v>7040</v>
      </c>
      <c r="I787" s="0" t="s">
        <v>3229</v>
      </c>
    </row>
    <row r="788" customFormat="false" ht="15" hidden="false" customHeight="false" outlineLevel="0" collapsed="false">
      <c r="A788" s="0" t="s">
        <v>169</v>
      </c>
      <c r="B788" s="0" t="n">
        <v>2014</v>
      </c>
      <c r="C788" s="0" t="s">
        <v>61</v>
      </c>
      <c r="D788" s="0" t="n">
        <v>9678.127</v>
      </c>
      <c r="E788" s="0" t="n">
        <v>2</v>
      </c>
      <c r="F788" s="0" t="s">
        <v>437</v>
      </c>
      <c r="G788" s="0" t="s">
        <v>7046</v>
      </c>
      <c r="I788" s="0" t="s">
        <v>7048</v>
      </c>
    </row>
    <row r="789" customFormat="false" ht="15" hidden="false" customHeight="false" outlineLevel="0" collapsed="false">
      <c r="A789" s="0" t="s">
        <v>169</v>
      </c>
      <c r="B789" s="0" t="n">
        <v>2014</v>
      </c>
      <c r="C789" s="0" t="s">
        <v>63</v>
      </c>
      <c r="D789" s="0" t="n">
        <v>7389.159</v>
      </c>
      <c r="E789" s="0" t="n">
        <v>1</v>
      </c>
      <c r="F789" s="0" t="s">
        <v>437</v>
      </c>
      <c r="G789" s="0" t="s">
        <v>7040</v>
      </c>
      <c r="I789" s="0" t="s">
        <v>3230</v>
      </c>
    </row>
    <row r="790" customFormat="false" ht="15" hidden="false" customHeight="false" outlineLevel="0" collapsed="false">
      <c r="A790" s="0" t="s">
        <v>169</v>
      </c>
      <c r="B790" s="0" t="n">
        <v>2014</v>
      </c>
      <c r="C790" s="0" t="s">
        <v>327</v>
      </c>
      <c r="D790" s="0" t="n">
        <v>3.1</v>
      </c>
      <c r="E790" s="0" t="n">
        <v>1</v>
      </c>
      <c r="F790" s="0" t="s">
        <v>437</v>
      </c>
      <c r="G790" s="0" t="s">
        <v>7040</v>
      </c>
      <c r="I790" s="0" t="s">
        <v>3418</v>
      </c>
    </row>
    <row r="791" customFormat="false" ht="15" hidden="false" customHeight="false" outlineLevel="0" collapsed="false">
      <c r="A791" s="0" t="s">
        <v>169</v>
      </c>
      <c r="B791" s="0" t="n">
        <v>2014</v>
      </c>
      <c r="C791" s="0" t="s">
        <v>69</v>
      </c>
      <c r="D791" s="0" t="n">
        <v>14</v>
      </c>
      <c r="E791" s="0" t="n">
        <v>1</v>
      </c>
      <c r="F791" s="0" t="s">
        <v>437</v>
      </c>
      <c r="G791" s="0" t="s">
        <v>7040</v>
      </c>
      <c r="I791" s="0" t="s">
        <v>3226</v>
      </c>
    </row>
    <row r="792" customFormat="false" ht="15" hidden="false" customHeight="false" outlineLevel="0" collapsed="false">
      <c r="A792" s="0" t="s">
        <v>169</v>
      </c>
      <c r="B792" s="0" t="n">
        <v>2014</v>
      </c>
      <c r="C792" s="0" t="s">
        <v>71</v>
      </c>
      <c r="D792" s="0" t="n">
        <v>34</v>
      </c>
      <c r="E792" s="0" t="n">
        <v>1</v>
      </c>
      <c r="F792" s="0" t="s">
        <v>437</v>
      </c>
      <c r="G792" s="0" t="s">
        <v>7040</v>
      </c>
      <c r="I792" s="0" t="s">
        <v>3233</v>
      </c>
    </row>
    <row r="793" customFormat="false" ht="15" hidden="false" customHeight="false" outlineLevel="0" collapsed="false">
      <c r="A793" s="0" t="s">
        <v>169</v>
      </c>
      <c r="B793" s="0" t="n">
        <v>2014</v>
      </c>
      <c r="C793" s="0" t="s">
        <v>73</v>
      </c>
      <c r="D793" s="0" t="n">
        <v>0</v>
      </c>
      <c r="E793" s="0" t="n">
        <v>1</v>
      </c>
      <c r="F793" s="0" t="s">
        <v>437</v>
      </c>
      <c r="G793" s="0" t="s">
        <v>7040</v>
      </c>
      <c r="I793" s="0" t="s">
        <v>372</v>
      </c>
    </row>
    <row r="794" customFormat="false" ht="15" hidden="false" customHeight="false" outlineLevel="0" collapsed="false">
      <c r="A794" s="0" t="s">
        <v>169</v>
      </c>
      <c r="B794" s="0" t="n">
        <v>2015</v>
      </c>
      <c r="C794" s="0" t="s">
        <v>54</v>
      </c>
      <c r="D794" s="0" t="n">
        <v>10292.577</v>
      </c>
      <c r="E794" s="0" t="n">
        <v>1</v>
      </c>
      <c r="F794" s="0" t="s">
        <v>437</v>
      </c>
      <c r="G794" s="0" t="s">
        <v>7040</v>
      </c>
      <c r="I794" s="0" t="s">
        <v>1225</v>
      </c>
    </row>
    <row r="795" customFormat="false" ht="15" hidden="false" customHeight="false" outlineLevel="0" collapsed="false">
      <c r="A795" s="0" t="s">
        <v>169</v>
      </c>
      <c r="B795" s="0" t="n">
        <v>2015</v>
      </c>
      <c r="C795" s="0" t="s">
        <v>55</v>
      </c>
      <c r="D795" s="0" t="n">
        <v>799451.417</v>
      </c>
      <c r="E795" s="0" t="n">
        <v>1</v>
      </c>
      <c r="F795" s="0" t="s">
        <v>437</v>
      </c>
      <c r="G795" s="0" t="s">
        <v>7040</v>
      </c>
      <c r="I795" s="0" t="s">
        <v>1226</v>
      </c>
    </row>
    <row r="796" customFormat="false" ht="15" hidden="false" customHeight="false" outlineLevel="0" collapsed="false">
      <c r="A796" s="0" t="s">
        <v>169</v>
      </c>
      <c r="B796" s="0" t="n">
        <v>2015</v>
      </c>
      <c r="C796" s="0" t="s">
        <v>56</v>
      </c>
      <c r="D796" s="0" t="n">
        <v>703885.67</v>
      </c>
      <c r="E796" s="0" t="n">
        <v>1</v>
      </c>
      <c r="F796" s="0" t="s">
        <v>437</v>
      </c>
      <c r="G796" s="0" t="s">
        <v>7040</v>
      </c>
      <c r="I796" s="0" t="s">
        <v>1227</v>
      </c>
    </row>
    <row r="797" customFormat="false" ht="15" hidden="false" customHeight="false" outlineLevel="0" collapsed="false">
      <c r="A797" s="0" t="s">
        <v>169</v>
      </c>
      <c r="B797" s="0" t="n">
        <v>2015</v>
      </c>
      <c r="C797" s="0" t="s">
        <v>57</v>
      </c>
      <c r="D797" s="0" t="n">
        <v>95565.747</v>
      </c>
      <c r="E797" s="0" t="n">
        <v>1</v>
      </c>
      <c r="F797" s="0" t="s">
        <v>437</v>
      </c>
      <c r="G797" s="0" t="s">
        <v>7040</v>
      </c>
      <c r="I797" s="0" t="s">
        <v>1228</v>
      </c>
    </row>
    <row r="798" customFormat="false" ht="15" hidden="false" customHeight="false" outlineLevel="0" collapsed="false">
      <c r="A798" s="0" t="s">
        <v>169</v>
      </c>
      <c r="B798" s="0" t="n">
        <v>2015</v>
      </c>
      <c r="C798" s="0" t="s">
        <v>58</v>
      </c>
      <c r="D798" s="0" t="n">
        <v>54691.995</v>
      </c>
      <c r="E798" s="0" t="n">
        <v>1</v>
      </c>
      <c r="F798" s="0" t="s">
        <v>437</v>
      </c>
      <c r="G798" s="0" t="s">
        <v>7040</v>
      </c>
      <c r="I798" s="0" t="s">
        <v>1229</v>
      </c>
    </row>
    <row r="799" customFormat="false" ht="15" hidden="false" customHeight="false" outlineLevel="0" collapsed="false">
      <c r="A799" s="0" t="s">
        <v>169</v>
      </c>
      <c r="B799" s="0" t="n">
        <v>2015</v>
      </c>
      <c r="C799" s="0" t="s">
        <v>59</v>
      </c>
      <c r="D799" s="0" t="n">
        <v>824539.426</v>
      </c>
      <c r="E799" s="0" t="n">
        <v>1</v>
      </c>
      <c r="F799" s="0" t="s">
        <v>437</v>
      </c>
      <c r="G799" s="0" t="s">
        <v>7040</v>
      </c>
      <c r="I799" s="0" t="s">
        <v>1230</v>
      </c>
    </row>
    <row r="800" customFormat="false" ht="15" hidden="false" customHeight="false" outlineLevel="0" collapsed="false">
      <c r="A800" s="0" t="s">
        <v>169</v>
      </c>
      <c r="B800" s="0" t="n">
        <v>2015</v>
      </c>
      <c r="C800" s="0" t="s">
        <v>60</v>
      </c>
      <c r="D800" s="0" t="n">
        <v>354474.856</v>
      </c>
      <c r="E800" s="0" t="n">
        <v>1</v>
      </c>
      <c r="F800" s="0" t="s">
        <v>437</v>
      </c>
      <c r="G800" s="0" t="s">
        <v>7040</v>
      </c>
      <c r="I800" s="0" t="s">
        <v>1231</v>
      </c>
    </row>
    <row r="801" customFormat="false" ht="15" hidden="false" customHeight="false" outlineLevel="0" collapsed="false">
      <c r="A801" s="0" t="s">
        <v>169</v>
      </c>
      <c r="B801" s="0" t="n">
        <v>2015</v>
      </c>
      <c r="C801" s="0" t="s">
        <v>61</v>
      </c>
      <c r="D801" s="0" t="n">
        <v>15748.585</v>
      </c>
      <c r="E801" s="0" t="n">
        <v>1</v>
      </c>
      <c r="F801" s="0" t="s">
        <v>437</v>
      </c>
      <c r="G801" s="0" t="s">
        <v>7040</v>
      </c>
      <c r="I801" s="0" t="s">
        <v>1232</v>
      </c>
    </row>
    <row r="802" customFormat="false" ht="15" hidden="false" customHeight="false" outlineLevel="0" collapsed="false">
      <c r="A802" s="0" t="s">
        <v>169</v>
      </c>
      <c r="B802" s="0" t="n">
        <v>2015</v>
      </c>
      <c r="C802" s="0" t="s">
        <v>62</v>
      </c>
      <c r="D802" s="0" t="n">
        <v>338726.271</v>
      </c>
      <c r="E802" s="0" t="n">
        <v>1</v>
      </c>
      <c r="F802" s="0" t="s">
        <v>437</v>
      </c>
      <c r="G802" s="0" t="s">
        <v>7040</v>
      </c>
      <c r="I802" s="0" t="s">
        <v>1233</v>
      </c>
    </row>
    <row r="803" customFormat="false" ht="15" hidden="false" customHeight="false" outlineLevel="0" collapsed="false">
      <c r="A803" s="0" t="s">
        <v>169</v>
      </c>
      <c r="B803" s="0" t="n">
        <v>2015</v>
      </c>
      <c r="C803" s="0" t="s">
        <v>63</v>
      </c>
      <c r="D803" s="0" t="n">
        <v>8151.338</v>
      </c>
      <c r="E803" s="0" t="n">
        <v>1</v>
      </c>
      <c r="F803" s="0" t="s">
        <v>437</v>
      </c>
      <c r="G803" s="0" t="s">
        <v>7040</v>
      </c>
      <c r="I803" s="0" t="s">
        <v>1234</v>
      </c>
    </row>
    <row r="804" customFormat="false" ht="15" hidden="false" customHeight="false" outlineLevel="0" collapsed="false">
      <c r="A804" s="0" t="s">
        <v>169</v>
      </c>
      <c r="B804" s="0" t="n">
        <v>2015</v>
      </c>
      <c r="C804" s="0" t="s">
        <v>69</v>
      </c>
      <c r="D804" s="0" t="n">
        <v>17.49</v>
      </c>
      <c r="E804" s="0" t="n">
        <v>1</v>
      </c>
      <c r="F804" s="0" t="s">
        <v>437</v>
      </c>
      <c r="G804" s="0" t="s">
        <v>7040</v>
      </c>
      <c r="I804" s="0" t="s">
        <v>1235</v>
      </c>
    </row>
    <row r="805" customFormat="false" ht="15" hidden="false" customHeight="false" outlineLevel="0" collapsed="false">
      <c r="A805" s="0" t="s">
        <v>169</v>
      </c>
      <c r="B805" s="0" t="n">
        <v>2015</v>
      </c>
      <c r="C805" s="0" t="s">
        <v>70</v>
      </c>
      <c r="D805" s="0" t="n">
        <v>10</v>
      </c>
      <c r="E805" s="0" t="n">
        <v>1</v>
      </c>
      <c r="F805" s="0" t="s">
        <v>437</v>
      </c>
      <c r="G805" s="0" t="s">
        <v>7040</v>
      </c>
      <c r="I805" s="0" t="s">
        <v>1236</v>
      </c>
    </row>
    <row r="806" customFormat="false" ht="15" hidden="false" customHeight="false" outlineLevel="0" collapsed="false">
      <c r="A806" s="0" t="s">
        <v>169</v>
      </c>
      <c r="B806" s="0" t="n">
        <v>2015</v>
      </c>
      <c r="C806" s="0" t="s">
        <v>65</v>
      </c>
      <c r="D806" s="0" t="n">
        <v>85262.476</v>
      </c>
      <c r="E806" s="0" t="n">
        <v>1</v>
      </c>
      <c r="F806" s="0" t="s">
        <v>437</v>
      </c>
      <c r="G806" s="0" t="s">
        <v>7040</v>
      </c>
      <c r="I806" s="0" t="s">
        <v>1237</v>
      </c>
    </row>
    <row r="807" customFormat="false" ht="15" hidden="false" customHeight="false" outlineLevel="0" collapsed="false">
      <c r="A807" s="0" t="s">
        <v>169</v>
      </c>
      <c r="B807" s="0" t="n">
        <v>2015</v>
      </c>
      <c r="C807" s="0" t="s">
        <v>66</v>
      </c>
      <c r="D807" s="0" t="n">
        <v>487486.579</v>
      </c>
      <c r="E807" s="0" t="n">
        <v>1</v>
      </c>
      <c r="F807" s="0" t="s">
        <v>437</v>
      </c>
      <c r="G807" s="0" t="s">
        <v>7040</v>
      </c>
      <c r="I807" s="0" t="s">
        <v>1238</v>
      </c>
    </row>
    <row r="808" customFormat="false" ht="15" hidden="false" customHeight="false" outlineLevel="0" collapsed="false">
      <c r="A808" s="0" t="s">
        <v>169</v>
      </c>
      <c r="B808" s="0" t="n">
        <v>2015</v>
      </c>
      <c r="C808" s="0" t="s">
        <v>73</v>
      </c>
      <c r="D808" s="0" t="n">
        <v>0</v>
      </c>
      <c r="E808" s="0" t="n">
        <v>1</v>
      </c>
      <c r="F808" s="0" t="s">
        <v>437</v>
      </c>
      <c r="G808" s="0" t="s">
        <v>7040</v>
      </c>
      <c r="I808" s="0" t="s">
        <v>1239</v>
      </c>
    </row>
    <row r="809" customFormat="false" ht="15" hidden="false" customHeight="false" outlineLevel="0" collapsed="false">
      <c r="A809" s="0" t="s">
        <v>169</v>
      </c>
      <c r="B809" s="0" t="n">
        <v>2015</v>
      </c>
      <c r="C809" s="0" t="s">
        <v>541</v>
      </c>
      <c r="D809" s="0" t="n">
        <v>11016.301</v>
      </c>
      <c r="E809" s="0" t="n">
        <v>1</v>
      </c>
      <c r="F809" s="0" t="s">
        <v>437</v>
      </c>
      <c r="G809" s="0" t="s">
        <v>7040</v>
      </c>
      <c r="I809" s="0" t="s">
        <v>1240</v>
      </c>
    </row>
    <row r="810" customFormat="false" ht="15" hidden="false" customHeight="false" outlineLevel="0" collapsed="false">
      <c r="A810" s="0" t="s">
        <v>169</v>
      </c>
      <c r="B810" s="0" t="n">
        <v>2015</v>
      </c>
      <c r="C810" s="0" t="s">
        <v>543</v>
      </c>
      <c r="D810" s="0" t="n">
        <v>11566.682</v>
      </c>
      <c r="E810" s="0" t="n">
        <v>1</v>
      </c>
      <c r="F810" s="0" t="s">
        <v>437</v>
      </c>
      <c r="G810" s="0" t="s">
        <v>7040</v>
      </c>
      <c r="I810" s="0" t="s">
        <v>1241</v>
      </c>
    </row>
    <row r="811" customFormat="false" ht="15" hidden="false" customHeight="false" outlineLevel="0" collapsed="false">
      <c r="A811" s="0" t="s">
        <v>169</v>
      </c>
      <c r="B811" s="0" t="n">
        <v>2015</v>
      </c>
      <c r="C811" s="0" t="s">
        <v>545</v>
      </c>
      <c r="D811" s="0" t="n">
        <v>4181.903</v>
      </c>
      <c r="E811" s="0" t="n">
        <v>1</v>
      </c>
      <c r="F811" s="0" t="s">
        <v>437</v>
      </c>
      <c r="G811" s="0" t="s">
        <v>7040</v>
      </c>
      <c r="I811" s="0" t="s">
        <v>1242</v>
      </c>
    </row>
    <row r="812" customFormat="false" ht="15" hidden="false" customHeight="false" outlineLevel="0" collapsed="false">
      <c r="A812" s="0" t="s">
        <v>169</v>
      </c>
      <c r="B812" s="0" t="n">
        <v>2016</v>
      </c>
      <c r="C812" s="0" t="s">
        <v>54</v>
      </c>
      <c r="D812" s="0" t="n">
        <v>5180.964</v>
      </c>
      <c r="E812" s="0" t="n">
        <v>1</v>
      </c>
      <c r="F812" s="0" t="s">
        <v>437</v>
      </c>
      <c r="G812" s="0" t="s">
        <v>7040</v>
      </c>
      <c r="I812" s="0" t="s">
        <v>1243</v>
      </c>
    </row>
    <row r="813" customFormat="false" ht="15" hidden="false" customHeight="false" outlineLevel="0" collapsed="false">
      <c r="A813" s="0" t="s">
        <v>169</v>
      </c>
      <c r="B813" s="0" t="n">
        <v>2016</v>
      </c>
      <c r="C813" s="0" t="s">
        <v>55</v>
      </c>
      <c r="D813" s="0" t="n">
        <v>830802.224</v>
      </c>
      <c r="E813" s="0" t="n">
        <v>1</v>
      </c>
      <c r="F813" s="0" t="s">
        <v>437</v>
      </c>
      <c r="G813" s="0" t="s">
        <v>7040</v>
      </c>
      <c r="I813" s="0" t="s">
        <v>1244</v>
      </c>
    </row>
    <row r="814" customFormat="false" ht="15" hidden="false" customHeight="false" outlineLevel="0" collapsed="false">
      <c r="A814" s="0" t="s">
        <v>169</v>
      </c>
      <c r="B814" s="0" t="n">
        <v>2016</v>
      </c>
      <c r="C814" s="0" t="s">
        <v>56</v>
      </c>
      <c r="D814" s="0" t="n">
        <v>745123.602</v>
      </c>
      <c r="E814" s="0" t="n">
        <v>1</v>
      </c>
      <c r="F814" s="0" t="s">
        <v>437</v>
      </c>
      <c r="G814" s="0" t="s">
        <v>7040</v>
      </c>
      <c r="I814" s="0" t="s">
        <v>1245</v>
      </c>
    </row>
    <row r="815" customFormat="false" ht="15" hidden="false" customHeight="false" outlineLevel="0" collapsed="false">
      <c r="A815" s="0" t="s">
        <v>169</v>
      </c>
      <c r="B815" s="0" t="n">
        <v>2016</v>
      </c>
      <c r="C815" s="0" t="s">
        <v>57</v>
      </c>
      <c r="D815" s="0" t="n">
        <v>85678.622</v>
      </c>
      <c r="E815" s="0" t="n">
        <v>1</v>
      </c>
      <c r="F815" s="0" t="s">
        <v>437</v>
      </c>
      <c r="G815" s="0" t="s">
        <v>7040</v>
      </c>
      <c r="I815" s="0" t="s">
        <v>1246</v>
      </c>
    </row>
    <row r="816" customFormat="false" ht="15" hidden="false" customHeight="false" outlineLevel="0" collapsed="false">
      <c r="A816" s="0" t="s">
        <v>169</v>
      </c>
      <c r="B816" s="0" t="n">
        <v>2016</v>
      </c>
      <c r="C816" s="0" t="s">
        <v>58</v>
      </c>
      <c r="D816" s="0" t="n">
        <v>-124892.482</v>
      </c>
      <c r="E816" s="0" t="n">
        <v>1</v>
      </c>
      <c r="F816" s="0" t="s">
        <v>437</v>
      </c>
      <c r="G816" s="0" t="s">
        <v>7040</v>
      </c>
      <c r="I816" s="0" t="s">
        <v>1247</v>
      </c>
    </row>
    <row r="817" customFormat="false" ht="15" hidden="false" customHeight="false" outlineLevel="0" collapsed="false">
      <c r="A817" s="0" t="s">
        <v>169</v>
      </c>
      <c r="B817" s="0" t="n">
        <v>2016</v>
      </c>
      <c r="C817" s="0" t="s">
        <v>59</v>
      </c>
      <c r="D817" s="0" t="n">
        <v>799451.417</v>
      </c>
      <c r="E817" s="0" t="n">
        <v>1</v>
      </c>
      <c r="F817" s="0" t="s">
        <v>437</v>
      </c>
      <c r="G817" s="0" t="s">
        <v>7040</v>
      </c>
      <c r="I817" s="0" t="s">
        <v>1248</v>
      </c>
    </row>
    <row r="818" customFormat="false" ht="15" hidden="false" customHeight="false" outlineLevel="0" collapsed="false">
      <c r="A818" s="0" t="s">
        <v>169</v>
      </c>
      <c r="B818" s="0" t="n">
        <v>2016</v>
      </c>
      <c r="C818" s="0" t="s">
        <v>60</v>
      </c>
      <c r="D818" s="0" t="n">
        <v>476713.163</v>
      </c>
      <c r="E818" s="0" t="n">
        <v>1</v>
      </c>
      <c r="F818" s="0" t="s">
        <v>437</v>
      </c>
      <c r="G818" s="0" t="s">
        <v>7040</v>
      </c>
      <c r="I818" s="0" t="s">
        <v>1249</v>
      </c>
    </row>
    <row r="819" customFormat="false" ht="15" hidden="false" customHeight="false" outlineLevel="0" collapsed="false">
      <c r="A819" s="0" t="s">
        <v>169</v>
      </c>
      <c r="B819" s="0" t="n">
        <v>2016</v>
      </c>
      <c r="C819" s="0" t="s">
        <v>61</v>
      </c>
      <c r="D819" s="0" t="n">
        <v>8463.293</v>
      </c>
      <c r="E819" s="0" t="n">
        <v>1</v>
      </c>
      <c r="F819" s="0" t="s">
        <v>437</v>
      </c>
      <c r="G819" s="0" t="s">
        <v>7040</v>
      </c>
      <c r="I819" s="0" t="s">
        <v>1250</v>
      </c>
    </row>
    <row r="820" customFormat="false" ht="15" hidden="false" customHeight="false" outlineLevel="0" collapsed="false">
      <c r="A820" s="0" t="s">
        <v>169</v>
      </c>
      <c r="B820" s="0" t="n">
        <v>2016</v>
      </c>
      <c r="C820" s="0" t="s">
        <v>62</v>
      </c>
      <c r="D820" s="0" t="n">
        <v>468249.87</v>
      </c>
      <c r="E820" s="0" t="n">
        <v>1</v>
      </c>
      <c r="F820" s="0" t="s">
        <v>437</v>
      </c>
      <c r="G820" s="0" t="s">
        <v>7040</v>
      </c>
      <c r="I820" s="0" t="s">
        <v>1251</v>
      </c>
    </row>
    <row r="821" customFormat="false" ht="15" hidden="false" customHeight="false" outlineLevel="0" collapsed="false">
      <c r="A821" s="0" t="s">
        <v>169</v>
      </c>
      <c r="B821" s="0" t="n">
        <v>2016</v>
      </c>
      <c r="C821" s="0" t="s">
        <v>63</v>
      </c>
      <c r="D821" s="0" t="n">
        <v>11713.968</v>
      </c>
      <c r="E821" s="0" t="n">
        <v>1</v>
      </c>
      <c r="F821" s="0" t="s">
        <v>437</v>
      </c>
      <c r="G821" s="0" t="s">
        <v>7040</v>
      </c>
      <c r="I821" s="0" t="s">
        <v>1252</v>
      </c>
    </row>
    <row r="822" customFormat="false" ht="15" hidden="false" customHeight="false" outlineLevel="0" collapsed="false">
      <c r="A822" s="0" t="s">
        <v>169</v>
      </c>
      <c r="B822" s="0" t="n">
        <v>2016</v>
      </c>
      <c r="C822" s="0" t="s">
        <v>69</v>
      </c>
      <c r="D822" s="0" t="n">
        <v>10.66</v>
      </c>
      <c r="E822" s="0" t="n">
        <v>1</v>
      </c>
      <c r="F822" s="0" t="s">
        <v>437</v>
      </c>
      <c r="G822" s="0" t="s">
        <v>7040</v>
      </c>
      <c r="I822" s="0" t="s">
        <v>1253</v>
      </c>
    </row>
    <row r="823" customFormat="false" ht="15" hidden="false" customHeight="false" outlineLevel="0" collapsed="false">
      <c r="A823" s="0" t="s">
        <v>169</v>
      </c>
      <c r="B823" s="0" t="n">
        <v>2016</v>
      </c>
      <c r="C823" s="0" t="s">
        <v>70</v>
      </c>
      <c r="D823" s="0" t="n">
        <v>10</v>
      </c>
      <c r="E823" s="0" t="n">
        <v>1</v>
      </c>
      <c r="F823" s="0" t="s">
        <v>437</v>
      </c>
      <c r="G823" s="0" t="s">
        <v>7040</v>
      </c>
      <c r="I823" s="0" t="s">
        <v>1254</v>
      </c>
    </row>
    <row r="824" customFormat="false" ht="15" hidden="false" customHeight="false" outlineLevel="0" collapsed="false">
      <c r="A824" s="0" t="s">
        <v>169</v>
      </c>
      <c r="B824" s="0" t="n">
        <v>2016</v>
      </c>
      <c r="C824" s="0" t="s">
        <v>65</v>
      </c>
      <c r="D824" s="0" t="n">
        <v>72046.139</v>
      </c>
      <c r="E824" s="0" t="n">
        <v>1</v>
      </c>
      <c r="F824" s="0" t="s">
        <v>437</v>
      </c>
      <c r="G824" s="0" t="s">
        <v>7040</v>
      </c>
      <c r="I824" s="0" t="s">
        <v>1255</v>
      </c>
    </row>
    <row r="825" customFormat="false" ht="15" hidden="false" customHeight="false" outlineLevel="0" collapsed="false">
      <c r="A825" s="0" t="s">
        <v>169</v>
      </c>
      <c r="B825" s="0" t="n">
        <v>2016</v>
      </c>
      <c r="C825" s="0" t="s">
        <v>66</v>
      </c>
      <c r="D825" s="0" t="n">
        <v>675917.677</v>
      </c>
      <c r="E825" s="0" t="n">
        <v>1</v>
      </c>
      <c r="F825" s="0" t="s">
        <v>437</v>
      </c>
      <c r="G825" s="0" t="s">
        <v>7040</v>
      </c>
      <c r="I825" s="0" t="s">
        <v>1256</v>
      </c>
    </row>
    <row r="826" customFormat="false" ht="15" hidden="false" customHeight="false" outlineLevel="0" collapsed="false">
      <c r="A826" s="0" t="s">
        <v>169</v>
      </c>
      <c r="B826" s="0" t="n">
        <v>2016</v>
      </c>
      <c r="C826" s="0" t="s">
        <v>73</v>
      </c>
      <c r="D826" s="0" t="n">
        <v>0</v>
      </c>
      <c r="E826" s="0" t="n">
        <v>1</v>
      </c>
      <c r="F826" s="0" t="s">
        <v>437</v>
      </c>
      <c r="G826" s="0" t="s">
        <v>7040</v>
      </c>
      <c r="I826" s="0" t="s">
        <v>1257</v>
      </c>
    </row>
    <row r="827" customFormat="false" ht="15" hidden="false" customHeight="false" outlineLevel="0" collapsed="false">
      <c r="A827" s="0" t="s">
        <v>169</v>
      </c>
      <c r="B827" s="0" t="n">
        <v>2016</v>
      </c>
      <c r="C827" s="0" t="s">
        <v>541</v>
      </c>
      <c r="D827" s="0" t="n">
        <v>6018.479</v>
      </c>
      <c r="E827" s="0" t="n">
        <v>1</v>
      </c>
      <c r="F827" s="0" t="s">
        <v>437</v>
      </c>
      <c r="G827" s="0" t="s">
        <v>7040</v>
      </c>
      <c r="I827" s="0" t="s">
        <v>1258</v>
      </c>
    </row>
    <row r="828" customFormat="false" ht="15" hidden="false" customHeight="false" outlineLevel="0" collapsed="false">
      <c r="A828" s="0" t="s">
        <v>169</v>
      </c>
      <c r="B828" s="0" t="n">
        <v>2016</v>
      </c>
      <c r="C828" s="0" t="s">
        <v>543</v>
      </c>
      <c r="D828" s="0" t="n">
        <v>4187.291</v>
      </c>
      <c r="E828" s="0" t="n">
        <v>1</v>
      </c>
      <c r="F828" s="0" t="s">
        <v>437</v>
      </c>
      <c r="G828" s="0" t="s">
        <v>7040</v>
      </c>
      <c r="I828" s="0" t="s">
        <v>1259</v>
      </c>
    </row>
    <row r="829" customFormat="false" ht="15" hidden="false" customHeight="false" outlineLevel="0" collapsed="false">
      <c r="A829" s="0" t="s">
        <v>169</v>
      </c>
      <c r="B829" s="0" t="n">
        <v>2016</v>
      </c>
      <c r="C829" s="0" t="s">
        <v>545</v>
      </c>
      <c r="D829" s="0" t="n">
        <v>4276.002</v>
      </c>
      <c r="E829" s="0" t="n">
        <v>1</v>
      </c>
      <c r="F829" s="0" t="s">
        <v>437</v>
      </c>
      <c r="G829" s="0" t="s">
        <v>7040</v>
      </c>
      <c r="I829" s="0" t="s">
        <v>1260</v>
      </c>
    </row>
    <row r="830" customFormat="false" ht="15" hidden="false" customHeight="false" outlineLevel="0" collapsed="false">
      <c r="A830" s="0" t="s">
        <v>169</v>
      </c>
      <c r="B830" s="0" t="n">
        <v>2017</v>
      </c>
      <c r="C830" s="0" t="s">
        <v>54</v>
      </c>
      <c r="D830" s="0" t="n">
        <v>8455</v>
      </c>
      <c r="E830" s="0" t="n">
        <v>1</v>
      </c>
      <c r="F830" s="0" t="s">
        <v>437</v>
      </c>
      <c r="G830" s="0" t="s">
        <v>7040</v>
      </c>
      <c r="I830" s="0" t="s">
        <v>1261</v>
      </c>
    </row>
    <row r="831" customFormat="false" ht="15" hidden="false" customHeight="false" outlineLevel="0" collapsed="false">
      <c r="A831" s="0" t="s">
        <v>169</v>
      </c>
      <c r="B831" s="0" t="n">
        <v>2017</v>
      </c>
      <c r="C831" s="0" t="s">
        <v>55</v>
      </c>
      <c r="D831" s="0" t="n">
        <v>1068798</v>
      </c>
      <c r="E831" s="0" t="n">
        <v>1</v>
      </c>
      <c r="F831" s="0" t="s">
        <v>437</v>
      </c>
      <c r="G831" s="0" t="s">
        <v>7040</v>
      </c>
      <c r="I831" s="0" t="s">
        <v>1262</v>
      </c>
    </row>
    <row r="832" customFormat="false" ht="15" hidden="false" customHeight="false" outlineLevel="0" collapsed="false">
      <c r="A832" s="0" t="s">
        <v>169</v>
      </c>
      <c r="B832" s="0" t="n">
        <v>2017</v>
      </c>
      <c r="C832" s="0" t="s">
        <v>56</v>
      </c>
      <c r="D832" s="0" t="n">
        <v>965905</v>
      </c>
      <c r="E832" s="0" t="n">
        <v>1</v>
      </c>
      <c r="F832" s="0" t="s">
        <v>437</v>
      </c>
      <c r="G832" s="0" t="s">
        <v>7040</v>
      </c>
      <c r="I832" s="0" t="s">
        <v>1263</v>
      </c>
    </row>
    <row r="833" customFormat="false" ht="15" hidden="false" customHeight="false" outlineLevel="0" collapsed="false">
      <c r="A833" s="0" t="s">
        <v>169</v>
      </c>
      <c r="B833" s="0" t="n">
        <v>2017</v>
      </c>
      <c r="C833" s="0" t="s">
        <v>57</v>
      </c>
      <c r="D833" s="0" t="n">
        <v>102893</v>
      </c>
      <c r="E833" s="0" t="n">
        <v>1</v>
      </c>
      <c r="F833" s="0" t="s">
        <v>437</v>
      </c>
      <c r="G833" s="0" t="s">
        <v>7040</v>
      </c>
      <c r="I833" s="0" t="s">
        <v>1264</v>
      </c>
    </row>
    <row r="834" customFormat="false" ht="15" hidden="false" customHeight="false" outlineLevel="0" collapsed="false">
      <c r="A834" s="0" t="s">
        <v>169</v>
      </c>
      <c r="B834" s="0" t="n">
        <v>2017</v>
      </c>
      <c r="C834" s="0" t="s">
        <v>58</v>
      </c>
      <c r="D834" s="0" t="n">
        <v>-46542</v>
      </c>
      <c r="E834" s="0" t="n">
        <v>1</v>
      </c>
      <c r="F834" s="0" t="s">
        <v>437</v>
      </c>
      <c r="G834" s="0" t="s">
        <v>7040</v>
      </c>
      <c r="I834" s="0" t="s">
        <v>1265</v>
      </c>
    </row>
    <row r="835" customFormat="false" ht="15" hidden="false" customHeight="false" outlineLevel="0" collapsed="false">
      <c r="A835" s="0" t="s">
        <v>169</v>
      </c>
      <c r="B835" s="0" t="n">
        <v>2017</v>
      </c>
      <c r="C835" s="0" t="s">
        <v>59</v>
      </c>
      <c r="D835" s="0" t="n">
        <v>830805</v>
      </c>
      <c r="E835" s="0" t="n">
        <v>1</v>
      </c>
      <c r="F835" s="0" t="s">
        <v>437</v>
      </c>
      <c r="G835" s="0" t="s">
        <v>7040</v>
      </c>
      <c r="I835" s="0" t="s">
        <v>1266</v>
      </c>
    </row>
    <row r="836" customFormat="false" ht="15" hidden="false" customHeight="false" outlineLevel="0" collapsed="false">
      <c r="A836" s="0" t="s">
        <v>169</v>
      </c>
      <c r="B836" s="0" t="n">
        <v>2017</v>
      </c>
      <c r="C836" s="0" t="s">
        <v>60</v>
      </c>
      <c r="D836" s="0" t="n">
        <v>617577</v>
      </c>
      <c r="E836" s="0" t="n">
        <v>1</v>
      </c>
      <c r="F836" s="0" t="s">
        <v>437</v>
      </c>
      <c r="G836" s="0" t="s">
        <v>7040</v>
      </c>
      <c r="I836" s="0" t="s">
        <v>1267</v>
      </c>
    </row>
    <row r="837" customFormat="false" ht="15" hidden="false" customHeight="false" outlineLevel="0" collapsed="false">
      <c r="A837" s="0" t="s">
        <v>169</v>
      </c>
      <c r="B837" s="0" t="n">
        <v>2017</v>
      </c>
      <c r="C837" s="0" t="s">
        <v>61</v>
      </c>
      <c r="D837" s="0" t="n">
        <v>19504</v>
      </c>
      <c r="E837" s="0" t="n">
        <v>1</v>
      </c>
      <c r="F837" s="0" t="s">
        <v>437</v>
      </c>
      <c r="G837" s="0" t="s">
        <v>7040</v>
      </c>
      <c r="I837" s="0" t="s">
        <v>1268</v>
      </c>
    </row>
    <row r="838" customFormat="false" ht="15" hidden="false" customHeight="false" outlineLevel="0" collapsed="false">
      <c r="A838" s="0" t="s">
        <v>169</v>
      </c>
      <c r="B838" s="0" t="n">
        <v>2017</v>
      </c>
      <c r="C838" s="0" t="s">
        <v>62</v>
      </c>
      <c r="D838" s="0" t="n">
        <v>598073</v>
      </c>
      <c r="E838" s="0" t="n">
        <v>1</v>
      </c>
      <c r="F838" s="0" t="s">
        <v>437</v>
      </c>
      <c r="G838" s="0" t="s">
        <v>7040</v>
      </c>
      <c r="I838" s="0" t="s">
        <v>1269</v>
      </c>
    </row>
    <row r="839" customFormat="false" ht="15" hidden="false" customHeight="false" outlineLevel="0" collapsed="false">
      <c r="A839" s="0" t="s">
        <v>169</v>
      </c>
      <c r="B839" s="0" t="n">
        <v>2017</v>
      </c>
      <c r="C839" s="0" t="s">
        <v>63</v>
      </c>
      <c r="D839" s="0" t="n">
        <v>12267</v>
      </c>
      <c r="E839" s="0" t="n">
        <v>1</v>
      </c>
      <c r="F839" s="0" t="s">
        <v>437</v>
      </c>
      <c r="G839" s="0" t="s">
        <v>7040</v>
      </c>
      <c r="I839" s="0" t="s">
        <v>1270</v>
      </c>
    </row>
    <row r="840" customFormat="false" ht="15" hidden="false" customHeight="false" outlineLevel="0" collapsed="false">
      <c r="A840" s="0" t="s">
        <v>169</v>
      </c>
      <c r="B840" s="0" t="n">
        <v>2017</v>
      </c>
      <c r="C840" s="0" t="s">
        <v>69</v>
      </c>
      <c r="D840" s="0" t="n">
        <v>11.73</v>
      </c>
      <c r="E840" s="0" t="n">
        <v>1</v>
      </c>
      <c r="F840" s="0" t="s">
        <v>437</v>
      </c>
      <c r="G840" s="0" t="s">
        <v>7040</v>
      </c>
      <c r="I840" s="0" t="s">
        <v>1271</v>
      </c>
    </row>
    <row r="841" customFormat="false" ht="15" hidden="false" customHeight="false" outlineLevel="0" collapsed="false">
      <c r="A841" s="0" t="s">
        <v>169</v>
      </c>
      <c r="B841" s="0" t="n">
        <v>2017</v>
      </c>
      <c r="C841" s="0" t="s">
        <v>70</v>
      </c>
      <c r="D841" s="0" t="n">
        <v>10</v>
      </c>
      <c r="E841" s="0" t="n">
        <v>1</v>
      </c>
      <c r="F841" s="0" t="s">
        <v>437</v>
      </c>
      <c r="G841" s="0" t="s">
        <v>7040</v>
      </c>
      <c r="I841" s="0" t="s">
        <v>1272</v>
      </c>
    </row>
    <row r="842" customFormat="false" ht="15" hidden="false" customHeight="false" outlineLevel="0" collapsed="false">
      <c r="A842" s="0" t="s">
        <v>169</v>
      </c>
      <c r="B842" s="0" t="n">
        <v>2017</v>
      </c>
      <c r="C842" s="0" t="s">
        <v>65</v>
      </c>
      <c r="D842" s="0" t="n">
        <v>83076</v>
      </c>
      <c r="E842" s="0" t="n">
        <v>1</v>
      </c>
      <c r="F842" s="0" t="s">
        <v>437</v>
      </c>
      <c r="G842" s="0" t="s">
        <v>7040</v>
      </c>
      <c r="I842" s="0" t="s">
        <v>1273</v>
      </c>
    </row>
    <row r="843" customFormat="false" ht="15" hidden="false" customHeight="false" outlineLevel="0" collapsed="false">
      <c r="A843" s="0" t="s">
        <v>169</v>
      </c>
      <c r="B843" s="0" t="n">
        <v>2017</v>
      </c>
      <c r="C843" s="0" t="s">
        <v>66</v>
      </c>
      <c r="D843" s="0" t="n">
        <v>708114</v>
      </c>
      <c r="E843" s="0" t="n">
        <v>1</v>
      </c>
      <c r="F843" s="0" t="s">
        <v>437</v>
      </c>
      <c r="G843" s="0" t="s">
        <v>7040</v>
      </c>
      <c r="I843" s="0" t="s">
        <v>1274</v>
      </c>
    </row>
    <row r="844" customFormat="false" ht="15" hidden="false" customHeight="false" outlineLevel="0" collapsed="false">
      <c r="A844" s="0" t="s">
        <v>169</v>
      </c>
      <c r="B844" s="0" t="n">
        <v>2017</v>
      </c>
      <c r="C844" s="0" t="s">
        <v>73</v>
      </c>
      <c r="D844" s="0" t="n">
        <v>0</v>
      </c>
      <c r="E844" s="0" t="n">
        <v>1</v>
      </c>
      <c r="F844" s="0" t="s">
        <v>437</v>
      </c>
      <c r="G844" s="0" t="s">
        <v>7040</v>
      </c>
      <c r="I844" s="0" t="s">
        <v>1275</v>
      </c>
    </row>
    <row r="845" customFormat="false" ht="15" hidden="false" customHeight="false" outlineLevel="0" collapsed="false">
      <c r="A845" s="0" t="s">
        <v>169</v>
      </c>
      <c r="B845" s="0" t="n">
        <v>2017</v>
      </c>
      <c r="C845" s="0" t="s">
        <v>541</v>
      </c>
      <c r="D845" s="0" t="n">
        <v>8540</v>
      </c>
      <c r="E845" s="0" t="n">
        <v>1</v>
      </c>
      <c r="F845" s="0" t="s">
        <v>437</v>
      </c>
      <c r="G845" s="0" t="s">
        <v>7040</v>
      </c>
      <c r="I845" s="0" t="s">
        <v>1276</v>
      </c>
    </row>
    <row r="846" customFormat="false" ht="15" hidden="false" customHeight="false" outlineLevel="0" collapsed="false">
      <c r="A846" s="0" t="s">
        <v>169</v>
      </c>
      <c r="B846" s="0" t="n">
        <v>2017</v>
      </c>
      <c r="C846" s="0" t="s">
        <v>543</v>
      </c>
      <c r="D846" s="0" t="n">
        <v>13810</v>
      </c>
      <c r="E846" s="0" t="n">
        <v>1</v>
      </c>
      <c r="F846" s="0" t="s">
        <v>437</v>
      </c>
      <c r="G846" s="0" t="s">
        <v>7040</v>
      </c>
      <c r="I846" s="0" t="s">
        <v>1277</v>
      </c>
    </row>
    <row r="847" customFormat="false" ht="15" hidden="false" customHeight="false" outlineLevel="0" collapsed="false">
      <c r="A847" s="0" t="s">
        <v>169</v>
      </c>
      <c r="B847" s="0" t="n">
        <v>2017</v>
      </c>
      <c r="C847" s="0" t="s">
        <v>545</v>
      </c>
      <c r="D847" s="0" t="n">
        <v>5694</v>
      </c>
      <c r="E847" s="0" t="n">
        <v>1</v>
      </c>
      <c r="F847" s="0" t="s">
        <v>437</v>
      </c>
      <c r="G847" s="0" t="s">
        <v>7040</v>
      </c>
      <c r="I847" s="0" t="s">
        <v>1278</v>
      </c>
    </row>
    <row r="848" customFormat="false" ht="15" hidden="false" customHeight="false" outlineLevel="0" collapsed="false">
      <c r="A848" s="0" t="s">
        <v>169</v>
      </c>
      <c r="B848" s="0" t="n">
        <v>2018</v>
      </c>
      <c r="C848" s="0" t="s">
        <v>54</v>
      </c>
      <c r="D848" s="0" t="n">
        <v>9468</v>
      </c>
      <c r="E848" s="0" t="n">
        <v>1</v>
      </c>
      <c r="F848" s="0" t="s">
        <v>437</v>
      </c>
      <c r="G848" s="0" t="s">
        <v>7040</v>
      </c>
      <c r="I848" s="0" t="s">
        <v>3257</v>
      </c>
    </row>
    <row r="849" customFormat="false" ht="15" hidden="false" customHeight="false" outlineLevel="0" collapsed="false">
      <c r="A849" s="0" t="s">
        <v>169</v>
      </c>
      <c r="B849" s="0" t="n">
        <v>2018</v>
      </c>
      <c r="C849" s="0" t="s">
        <v>55</v>
      </c>
      <c r="D849" s="0" t="n">
        <v>1085876</v>
      </c>
      <c r="E849" s="0" t="n">
        <v>1</v>
      </c>
      <c r="F849" s="0" t="s">
        <v>437</v>
      </c>
      <c r="G849" s="0" t="s">
        <v>7040</v>
      </c>
      <c r="I849" s="0" t="s">
        <v>3262</v>
      </c>
    </row>
    <row r="850" customFormat="false" ht="15" hidden="false" customHeight="false" outlineLevel="0" collapsed="false">
      <c r="A850" s="0" t="s">
        <v>169</v>
      </c>
      <c r="B850" s="0" t="n">
        <v>2018</v>
      </c>
      <c r="C850" s="0" t="s">
        <v>56</v>
      </c>
      <c r="D850" s="0" t="n">
        <v>987867</v>
      </c>
      <c r="E850" s="0" t="n">
        <v>1</v>
      </c>
      <c r="F850" s="0" t="s">
        <v>437</v>
      </c>
      <c r="G850" s="0" t="s">
        <v>7040</v>
      </c>
      <c r="I850" s="0" t="s">
        <v>3264</v>
      </c>
    </row>
    <row r="851" customFormat="false" ht="15" hidden="false" customHeight="false" outlineLevel="0" collapsed="false">
      <c r="A851" s="0" t="s">
        <v>169</v>
      </c>
      <c r="B851" s="0" t="n">
        <v>2018</v>
      </c>
      <c r="C851" s="0" t="s">
        <v>57</v>
      </c>
      <c r="D851" s="0" t="n">
        <v>98009</v>
      </c>
      <c r="E851" s="0" t="n">
        <v>1</v>
      </c>
      <c r="F851" s="0" t="s">
        <v>437</v>
      </c>
      <c r="G851" s="0" t="s">
        <v>7040</v>
      </c>
      <c r="I851" s="0" t="s">
        <v>3263</v>
      </c>
    </row>
    <row r="852" customFormat="false" ht="15" hidden="false" customHeight="false" outlineLevel="0" collapsed="false">
      <c r="A852" s="0" t="s">
        <v>169</v>
      </c>
      <c r="B852" s="0" t="n">
        <v>2018</v>
      </c>
      <c r="C852" s="0" t="s">
        <v>58</v>
      </c>
      <c r="D852" s="0" t="n">
        <v>35086</v>
      </c>
      <c r="E852" s="0" t="n">
        <v>1</v>
      </c>
      <c r="F852" s="0" t="s">
        <v>437</v>
      </c>
      <c r="G852" s="0" t="s">
        <v>7040</v>
      </c>
      <c r="I852" s="0" t="s">
        <v>3256</v>
      </c>
    </row>
    <row r="853" customFormat="false" ht="15" hidden="false" customHeight="false" outlineLevel="0" collapsed="false">
      <c r="A853" s="0" t="s">
        <v>169</v>
      </c>
      <c r="B853" s="0" t="n">
        <v>2018</v>
      </c>
      <c r="C853" s="0" t="s">
        <v>60</v>
      </c>
      <c r="D853" s="0" t="n">
        <v>640678</v>
      </c>
      <c r="E853" s="0" t="n">
        <v>1</v>
      </c>
      <c r="F853" s="0" t="s">
        <v>437</v>
      </c>
      <c r="G853" s="0" t="s">
        <v>7040</v>
      </c>
      <c r="I853" s="0" t="s">
        <v>3252</v>
      </c>
    </row>
    <row r="854" customFormat="false" ht="15" hidden="false" customHeight="false" outlineLevel="0" collapsed="false">
      <c r="A854" s="0" t="s">
        <v>169</v>
      </c>
      <c r="B854" s="0" t="n">
        <v>2018</v>
      </c>
      <c r="C854" s="0" t="s">
        <v>61</v>
      </c>
      <c r="D854" s="0" t="n">
        <v>19661</v>
      </c>
      <c r="E854" s="0" t="n">
        <v>2</v>
      </c>
      <c r="F854" s="0" t="s">
        <v>437</v>
      </c>
      <c r="G854" s="0" t="s">
        <v>7049</v>
      </c>
      <c r="I854" s="0" t="s">
        <v>7050</v>
      </c>
    </row>
    <row r="855" customFormat="false" ht="15" hidden="false" customHeight="false" outlineLevel="0" collapsed="false">
      <c r="A855" s="0" t="s">
        <v>169</v>
      </c>
      <c r="B855" s="0" t="n">
        <v>2018</v>
      </c>
      <c r="C855" s="0" t="s">
        <v>63</v>
      </c>
      <c r="D855" s="0" t="n">
        <v>5832</v>
      </c>
      <c r="E855" s="0" t="n">
        <v>1</v>
      </c>
      <c r="F855" s="0" t="s">
        <v>437</v>
      </c>
      <c r="G855" s="0" t="s">
        <v>7040</v>
      </c>
      <c r="I855" s="0" t="s">
        <v>3254</v>
      </c>
    </row>
    <row r="856" customFormat="false" ht="15" hidden="false" customHeight="false" outlineLevel="0" collapsed="false">
      <c r="A856" s="0" t="s">
        <v>169</v>
      </c>
      <c r="B856" s="0" t="n">
        <v>2018</v>
      </c>
      <c r="C856" s="0" t="s">
        <v>69</v>
      </c>
      <c r="D856" s="0" t="n">
        <v>12.86</v>
      </c>
      <c r="E856" s="0" t="n">
        <v>1</v>
      </c>
      <c r="F856" s="0" t="s">
        <v>437</v>
      </c>
      <c r="G856" s="0" t="s">
        <v>7040</v>
      </c>
      <c r="I856" s="0" t="s">
        <v>3246</v>
      </c>
    </row>
    <row r="857" customFormat="false" ht="15" hidden="false" customHeight="false" outlineLevel="0" collapsed="false">
      <c r="A857" s="0" t="s">
        <v>169</v>
      </c>
      <c r="B857" s="0" t="n">
        <v>2018</v>
      </c>
      <c r="C857" s="0" t="s">
        <v>70</v>
      </c>
      <c r="D857" s="0" t="n">
        <v>10</v>
      </c>
      <c r="E857" s="0" t="n">
        <v>1</v>
      </c>
      <c r="F857" s="0" t="s">
        <v>437</v>
      </c>
      <c r="G857" s="0" t="s">
        <v>7040</v>
      </c>
      <c r="I857" s="0" t="s">
        <v>3243</v>
      </c>
    </row>
    <row r="858" customFormat="false" ht="15" hidden="false" customHeight="false" outlineLevel="0" collapsed="false">
      <c r="A858" s="0" t="s">
        <v>169</v>
      </c>
      <c r="B858" s="0" t="n">
        <v>2019</v>
      </c>
      <c r="C858" s="0" t="s">
        <v>54</v>
      </c>
      <c r="D858" s="0" t="n">
        <v>10163</v>
      </c>
      <c r="E858" s="0" t="n">
        <v>1</v>
      </c>
      <c r="F858" s="0" t="s">
        <v>437</v>
      </c>
      <c r="G858" s="0" t="s">
        <v>7040</v>
      </c>
      <c r="I858" s="0" t="s">
        <v>3274</v>
      </c>
    </row>
    <row r="859" customFormat="false" ht="15" hidden="false" customHeight="false" outlineLevel="0" collapsed="false">
      <c r="A859" s="0" t="s">
        <v>169</v>
      </c>
      <c r="B859" s="0" t="n">
        <v>2019</v>
      </c>
      <c r="C859" s="0" t="s">
        <v>55</v>
      </c>
      <c r="D859" s="0" t="n">
        <v>1165509</v>
      </c>
      <c r="E859" s="0" t="n">
        <v>1</v>
      </c>
      <c r="F859" s="0" t="s">
        <v>437</v>
      </c>
      <c r="G859" s="0" t="s">
        <v>7040</v>
      </c>
      <c r="I859" s="0" t="s">
        <v>3278</v>
      </c>
    </row>
    <row r="860" customFormat="false" ht="15" hidden="false" customHeight="false" outlineLevel="0" collapsed="false">
      <c r="A860" s="0" t="s">
        <v>169</v>
      </c>
      <c r="B860" s="0" t="n">
        <v>2019</v>
      </c>
      <c r="C860" s="0" t="s">
        <v>56</v>
      </c>
      <c r="D860" s="0" t="n">
        <v>1046181</v>
      </c>
      <c r="E860" s="0" t="n">
        <v>1</v>
      </c>
      <c r="F860" s="0" t="s">
        <v>437</v>
      </c>
      <c r="G860" s="0" t="s">
        <v>7040</v>
      </c>
      <c r="I860" s="0" t="s">
        <v>3280</v>
      </c>
    </row>
    <row r="861" customFormat="false" ht="15" hidden="false" customHeight="false" outlineLevel="0" collapsed="false">
      <c r="A861" s="0" t="s">
        <v>169</v>
      </c>
      <c r="B861" s="0" t="n">
        <v>2019</v>
      </c>
      <c r="C861" s="0" t="s">
        <v>57</v>
      </c>
      <c r="D861" s="0" t="n">
        <v>119328</v>
      </c>
      <c r="E861" s="0" t="n">
        <v>1</v>
      </c>
      <c r="F861" s="0" t="s">
        <v>437</v>
      </c>
      <c r="G861" s="0" t="s">
        <v>7040</v>
      </c>
      <c r="I861" s="0" t="s">
        <v>3279</v>
      </c>
    </row>
    <row r="862" customFormat="false" ht="15" hidden="false" customHeight="false" outlineLevel="0" collapsed="false">
      <c r="A862" s="0" t="s">
        <v>169</v>
      </c>
      <c r="B862" s="0" t="n">
        <v>2019</v>
      </c>
      <c r="C862" s="0" t="s">
        <v>58</v>
      </c>
      <c r="D862" s="0" t="n">
        <v>114414</v>
      </c>
      <c r="E862" s="0" t="n">
        <v>1</v>
      </c>
      <c r="F862" s="0" t="s">
        <v>437</v>
      </c>
      <c r="G862" s="0" t="s">
        <v>7040</v>
      </c>
      <c r="I862" s="0" t="s">
        <v>3273</v>
      </c>
    </row>
    <row r="863" customFormat="false" ht="15" hidden="false" customHeight="false" outlineLevel="0" collapsed="false">
      <c r="A863" s="0" t="s">
        <v>169</v>
      </c>
      <c r="B863" s="0" t="n">
        <v>2019</v>
      </c>
      <c r="C863" s="0" t="s">
        <v>59</v>
      </c>
      <c r="D863" s="0" t="n">
        <v>1085876</v>
      </c>
      <c r="E863" s="0" t="n">
        <v>1</v>
      </c>
      <c r="F863" s="0" t="s">
        <v>437</v>
      </c>
      <c r="G863" s="0" t="s">
        <v>7041</v>
      </c>
      <c r="I863" s="0" t="s">
        <v>3262</v>
      </c>
    </row>
    <row r="864" customFormat="false" ht="15" hidden="false" customHeight="false" outlineLevel="0" collapsed="false">
      <c r="A864" s="0" t="s">
        <v>169</v>
      </c>
      <c r="B864" s="0" t="n">
        <v>2019</v>
      </c>
      <c r="C864" s="0" t="s">
        <v>60</v>
      </c>
      <c r="D864" s="0" t="n">
        <v>631698</v>
      </c>
      <c r="E864" s="0" t="n">
        <v>1</v>
      </c>
      <c r="F864" s="0" t="s">
        <v>437</v>
      </c>
      <c r="G864" s="0" t="s">
        <v>7040</v>
      </c>
      <c r="I864" s="0" t="s">
        <v>3269</v>
      </c>
    </row>
    <row r="865" customFormat="false" ht="15" hidden="false" customHeight="false" outlineLevel="0" collapsed="false">
      <c r="A865" s="0" t="s">
        <v>169</v>
      </c>
      <c r="B865" s="0" t="n">
        <v>2019</v>
      </c>
      <c r="C865" s="0" t="s">
        <v>61</v>
      </c>
      <c r="D865" s="0" t="n">
        <v>12966</v>
      </c>
      <c r="E865" s="0" t="n">
        <v>2</v>
      </c>
      <c r="F865" s="0" t="s">
        <v>437</v>
      </c>
      <c r="G865" s="0" t="s">
        <v>7049</v>
      </c>
      <c r="I865" s="0" t="s">
        <v>7051</v>
      </c>
    </row>
    <row r="866" customFormat="false" ht="15" hidden="false" customHeight="false" outlineLevel="0" collapsed="false">
      <c r="A866" s="0" t="s">
        <v>169</v>
      </c>
      <c r="B866" s="0" t="n">
        <v>2019</v>
      </c>
      <c r="C866" s="0" t="s">
        <v>63</v>
      </c>
      <c r="D866" s="0" t="n">
        <v>5842</v>
      </c>
      <c r="E866" s="0" t="n">
        <v>1</v>
      </c>
      <c r="F866" s="0" t="s">
        <v>437</v>
      </c>
      <c r="G866" s="0" t="s">
        <v>7040</v>
      </c>
      <c r="I866" s="0" t="s">
        <v>3271</v>
      </c>
    </row>
    <row r="867" customFormat="false" ht="15" hidden="false" customHeight="false" outlineLevel="0" collapsed="false">
      <c r="A867" s="0" t="s">
        <v>169</v>
      </c>
      <c r="B867" s="0" t="n">
        <v>2019</v>
      </c>
      <c r="C867" s="0" t="s">
        <v>69</v>
      </c>
      <c r="D867" s="0" t="n">
        <v>14.7</v>
      </c>
      <c r="E867" s="0" t="n">
        <v>1</v>
      </c>
      <c r="F867" s="0" t="s">
        <v>437</v>
      </c>
      <c r="G867" s="0" t="s">
        <v>7040</v>
      </c>
      <c r="I867" s="0" t="s">
        <v>3266</v>
      </c>
    </row>
    <row r="868" customFormat="false" ht="15" hidden="false" customHeight="false" outlineLevel="0" collapsed="false">
      <c r="A868" s="0" t="s">
        <v>169</v>
      </c>
      <c r="B868" s="0" t="n">
        <v>2019</v>
      </c>
      <c r="C868" s="0" t="s">
        <v>70</v>
      </c>
      <c r="D868" s="0" t="n">
        <v>10</v>
      </c>
      <c r="E868" s="0" t="n">
        <v>1</v>
      </c>
      <c r="F868" s="0" t="s">
        <v>437</v>
      </c>
      <c r="G868" s="0" t="s">
        <v>7040</v>
      </c>
      <c r="I868" s="0" t="s">
        <v>3265</v>
      </c>
    </row>
    <row r="869" customFormat="false" ht="15" hidden="false" customHeight="false" outlineLevel="0" collapsed="false">
      <c r="A869" s="0" t="s">
        <v>169</v>
      </c>
      <c r="B869" s="0" t="n">
        <v>2019</v>
      </c>
      <c r="C869" s="0" t="s">
        <v>73</v>
      </c>
      <c r="D869" s="0" t="n">
        <v>0</v>
      </c>
      <c r="E869" s="0" t="n">
        <v>1</v>
      </c>
      <c r="F869" s="0" t="s">
        <v>437</v>
      </c>
      <c r="G869" s="0" t="s">
        <v>7040</v>
      </c>
      <c r="I869" s="0" t="s">
        <v>373</v>
      </c>
    </row>
    <row r="870" customFormat="false" ht="15" hidden="false" customHeight="false" outlineLevel="0" collapsed="false">
      <c r="A870" s="0" t="s">
        <v>169</v>
      </c>
      <c r="B870" s="0" t="n">
        <v>2020</v>
      </c>
      <c r="C870" s="0" t="s">
        <v>54</v>
      </c>
      <c r="D870" s="0" t="n">
        <v>11110</v>
      </c>
      <c r="E870" s="0" t="n">
        <v>1</v>
      </c>
      <c r="F870" s="0" t="s">
        <v>437</v>
      </c>
      <c r="G870" s="0" t="s">
        <v>7040</v>
      </c>
      <c r="I870" s="0" t="s">
        <v>1279</v>
      </c>
    </row>
    <row r="871" customFormat="false" ht="15" hidden="false" customHeight="false" outlineLevel="0" collapsed="false">
      <c r="A871" s="0" t="s">
        <v>169</v>
      </c>
      <c r="B871" s="0" t="n">
        <v>2020</v>
      </c>
      <c r="C871" s="0" t="s">
        <v>55</v>
      </c>
      <c r="D871" s="0" t="n">
        <v>1281830</v>
      </c>
      <c r="E871" s="0" t="n">
        <v>1</v>
      </c>
      <c r="F871" s="0" t="s">
        <v>437</v>
      </c>
      <c r="G871" s="0" t="s">
        <v>7040</v>
      </c>
      <c r="I871" s="0" t="s">
        <v>1280</v>
      </c>
    </row>
    <row r="872" customFormat="false" ht="15" hidden="false" customHeight="false" outlineLevel="0" collapsed="false">
      <c r="A872" s="0" t="s">
        <v>169</v>
      </c>
      <c r="B872" s="0" t="n">
        <v>2020</v>
      </c>
      <c r="C872" s="0" t="s">
        <v>56</v>
      </c>
      <c r="D872" s="0" t="n">
        <v>1146440</v>
      </c>
      <c r="E872" s="0" t="n">
        <v>1</v>
      </c>
      <c r="F872" s="0" t="s">
        <v>437</v>
      </c>
      <c r="G872" s="0" t="s">
        <v>7040</v>
      </c>
      <c r="I872" s="0" t="s">
        <v>1281</v>
      </c>
    </row>
    <row r="873" customFormat="false" ht="15" hidden="false" customHeight="false" outlineLevel="0" collapsed="false">
      <c r="A873" s="0" t="s">
        <v>169</v>
      </c>
      <c r="B873" s="0" t="n">
        <v>2020</v>
      </c>
      <c r="C873" s="0" t="s">
        <v>57</v>
      </c>
      <c r="D873" s="0" t="n">
        <v>135390</v>
      </c>
      <c r="E873" s="0" t="n">
        <v>1</v>
      </c>
      <c r="F873" s="0" t="s">
        <v>437</v>
      </c>
      <c r="G873" s="0" t="s">
        <v>7040</v>
      </c>
      <c r="I873" s="0" t="s">
        <v>1282</v>
      </c>
    </row>
    <row r="874" customFormat="false" ht="15" hidden="false" customHeight="false" outlineLevel="0" collapsed="false">
      <c r="A874" s="0" t="s">
        <v>169</v>
      </c>
      <c r="B874" s="0" t="n">
        <v>2020</v>
      </c>
      <c r="C874" s="0" t="s">
        <v>58</v>
      </c>
      <c r="D874" s="0" t="n">
        <v>4406</v>
      </c>
      <c r="E874" s="0" t="n">
        <v>1</v>
      </c>
      <c r="F874" s="0" t="s">
        <v>437</v>
      </c>
      <c r="G874" s="0" t="s">
        <v>7040</v>
      </c>
      <c r="I874" s="0" t="s">
        <v>1283</v>
      </c>
    </row>
    <row r="875" customFormat="false" ht="15" hidden="false" customHeight="false" outlineLevel="0" collapsed="false">
      <c r="A875" s="0" t="s">
        <v>169</v>
      </c>
      <c r="B875" s="0" t="n">
        <v>2020</v>
      </c>
      <c r="C875" s="0" t="s">
        <v>59</v>
      </c>
      <c r="D875" s="0" t="n">
        <v>1165509</v>
      </c>
      <c r="E875" s="0" t="n">
        <v>1</v>
      </c>
      <c r="F875" s="0" t="s">
        <v>437</v>
      </c>
      <c r="G875" s="0" t="s">
        <v>7040</v>
      </c>
      <c r="I875" s="0" t="s">
        <v>1284</v>
      </c>
    </row>
    <row r="876" customFormat="false" ht="15" hidden="false" customHeight="false" outlineLevel="0" collapsed="false">
      <c r="A876" s="0" t="s">
        <v>169</v>
      </c>
      <c r="B876" s="0" t="n">
        <v>2020</v>
      </c>
      <c r="C876" s="0" t="s">
        <v>60</v>
      </c>
      <c r="D876" s="0" t="n">
        <v>613359</v>
      </c>
      <c r="E876" s="0" t="n">
        <v>1</v>
      </c>
      <c r="F876" s="0" t="s">
        <v>437</v>
      </c>
      <c r="G876" s="0" t="s">
        <v>7040</v>
      </c>
      <c r="I876" s="0" t="s">
        <v>1285</v>
      </c>
    </row>
    <row r="877" customFormat="false" ht="15" hidden="false" customHeight="false" outlineLevel="0" collapsed="false">
      <c r="A877" s="0" t="s">
        <v>169</v>
      </c>
      <c r="B877" s="0" t="n">
        <v>2020</v>
      </c>
      <c r="C877" s="0" t="s">
        <v>61</v>
      </c>
      <c r="D877" s="0" t="n">
        <v>16532</v>
      </c>
      <c r="E877" s="0" t="n">
        <v>1</v>
      </c>
      <c r="F877" s="0" t="s">
        <v>437</v>
      </c>
      <c r="G877" s="0" t="s">
        <v>7040</v>
      </c>
      <c r="I877" s="0" t="s">
        <v>1286</v>
      </c>
    </row>
    <row r="878" customFormat="false" ht="15" hidden="false" customHeight="false" outlineLevel="0" collapsed="false">
      <c r="A878" s="0" t="s">
        <v>169</v>
      </c>
      <c r="B878" s="0" t="n">
        <v>2020</v>
      </c>
      <c r="C878" s="0" t="s">
        <v>62</v>
      </c>
      <c r="D878" s="0" t="n">
        <v>596827</v>
      </c>
      <c r="E878" s="0" t="n">
        <v>1</v>
      </c>
      <c r="F878" s="0" t="s">
        <v>437</v>
      </c>
      <c r="G878" s="0" t="s">
        <v>7040</v>
      </c>
      <c r="I878" s="0" t="s">
        <v>1287</v>
      </c>
    </row>
    <row r="879" customFormat="false" ht="15" hidden="false" customHeight="false" outlineLevel="0" collapsed="false">
      <c r="A879" s="0" t="s">
        <v>169</v>
      </c>
      <c r="B879" s="0" t="n">
        <v>2020</v>
      </c>
      <c r="C879" s="0" t="s">
        <v>63</v>
      </c>
      <c r="D879" s="0" t="n">
        <v>7913</v>
      </c>
      <c r="E879" s="0" t="n">
        <v>1</v>
      </c>
      <c r="F879" s="0" t="s">
        <v>437</v>
      </c>
      <c r="G879" s="0" t="s">
        <v>7040</v>
      </c>
      <c r="I879" s="0" t="s">
        <v>1288</v>
      </c>
    </row>
    <row r="880" customFormat="false" ht="15" hidden="false" customHeight="false" outlineLevel="0" collapsed="false">
      <c r="A880" s="0" t="s">
        <v>169</v>
      </c>
      <c r="B880" s="0" t="n">
        <v>2020</v>
      </c>
      <c r="C880" s="0" t="s">
        <v>69</v>
      </c>
      <c r="D880" s="0" t="n">
        <v>17.98</v>
      </c>
      <c r="E880" s="0" t="n">
        <v>1</v>
      </c>
      <c r="F880" s="0" t="s">
        <v>437</v>
      </c>
      <c r="G880" s="0" t="s">
        <v>7040</v>
      </c>
      <c r="I880" s="0" t="s">
        <v>1289</v>
      </c>
    </row>
    <row r="881" customFormat="false" ht="15" hidden="false" customHeight="false" outlineLevel="0" collapsed="false">
      <c r="A881" s="0" t="s">
        <v>169</v>
      </c>
      <c r="B881" s="0" t="n">
        <v>2020</v>
      </c>
      <c r="C881" s="0" t="s">
        <v>70</v>
      </c>
      <c r="D881" s="0" t="n">
        <v>10</v>
      </c>
      <c r="E881" s="0" t="n">
        <v>1</v>
      </c>
      <c r="F881" s="0" t="s">
        <v>437</v>
      </c>
      <c r="G881" s="0" t="s">
        <v>7040</v>
      </c>
      <c r="I881" s="0" t="s">
        <v>1290</v>
      </c>
    </row>
    <row r="882" customFormat="false" ht="15" hidden="false" customHeight="false" outlineLevel="0" collapsed="false">
      <c r="A882" s="0" t="s">
        <v>169</v>
      </c>
      <c r="B882" s="0" t="n">
        <v>2020</v>
      </c>
      <c r="C882" s="0" t="s">
        <v>65</v>
      </c>
      <c r="D882" s="0" t="n">
        <v>138703</v>
      </c>
      <c r="E882" s="0" t="n">
        <v>1</v>
      </c>
      <c r="F882" s="0" t="s">
        <v>437</v>
      </c>
      <c r="G882" s="0" t="s">
        <v>7040</v>
      </c>
      <c r="I882" s="0" t="s">
        <v>1291</v>
      </c>
    </row>
    <row r="883" customFormat="false" ht="15" hidden="false" customHeight="false" outlineLevel="0" collapsed="false">
      <c r="A883" s="0" t="s">
        <v>169</v>
      </c>
      <c r="B883" s="0" t="n">
        <v>2020</v>
      </c>
      <c r="C883" s="0" t="s">
        <v>66</v>
      </c>
      <c r="D883" s="0" t="n">
        <v>771587</v>
      </c>
      <c r="E883" s="0" t="n">
        <v>1</v>
      </c>
      <c r="F883" s="0" t="s">
        <v>437</v>
      </c>
      <c r="G883" s="0" t="s">
        <v>7040</v>
      </c>
      <c r="I883" s="0" t="s">
        <v>1292</v>
      </c>
    </row>
    <row r="884" customFormat="false" ht="15" hidden="false" customHeight="false" outlineLevel="0" collapsed="false">
      <c r="A884" s="0" t="s">
        <v>169</v>
      </c>
      <c r="B884" s="0" t="n">
        <v>2020</v>
      </c>
      <c r="C884" s="0" t="s">
        <v>73</v>
      </c>
      <c r="D884" s="0" t="n">
        <v>0</v>
      </c>
      <c r="E884" s="0" t="n">
        <v>1</v>
      </c>
      <c r="F884" s="0" t="s">
        <v>437</v>
      </c>
      <c r="G884" s="0" t="s">
        <v>7040</v>
      </c>
      <c r="I884" s="0" t="s">
        <v>1293</v>
      </c>
    </row>
    <row r="885" customFormat="false" ht="15" hidden="false" customHeight="false" outlineLevel="0" collapsed="false">
      <c r="A885" s="0" t="s">
        <v>169</v>
      </c>
      <c r="B885" s="0" t="n">
        <v>2020</v>
      </c>
      <c r="C885" s="0" t="s">
        <v>541</v>
      </c>
      <c r="D885" s="0" t="n">
        <v>12240</v>
      </c>
      <c r="E885" s="0" t="n">
        <v>1</v>
      </c>
      <c r="F885" s="0" t="s">
        <v>437</v>
      </c>
      <c r="G885" s="0" t="s">
        <v>7040</v>
      </c>
      <c r="I885" s="0" t="s">
        <v>1294</v>
      </c>
    </row>
    <row r="886" customFormat="false" ht="15" hidden="false" customHeight="false" outlineLevel="0" collapsed="false">
      <c r="A886" s="0" t="s">
        <v>169</v>
      </c>
      <c r="B886" s="0" t="n">
        <v>2021</v>
      </c>
      <c r="C886" s="0" t="s">
        <v>54</v>
      </c>
      <c r="D886" s="0" t="n">
        <v>13403</v>
      </c>
      <c r="E886" s="0" t="n">
        <v>1</v>
      </c>
      <c r="F886" s="0" t="s">
        <v>437</v>
      </c>
      <c r="G886" s="0" t="s">
        <v>7040</v>
      </c>
      <c r="I886" s="0" t="s">
        <v>1295</v>
      </c>
    </row>
    <row r="887" customFormat="false" ht="15" hidden="false" customHeight="false" outlineLevel="0" collapsed="false">
      <c r="A887" s="0" t="s">
        <v>169</v>
      </c>
      <c r="B887" s="0" t="n">
        <v>2021</v>
      </c>
      <c r="C887" s="0" t="s">
        <v>55</v>
      </c>
      <c r="D887" s="0" t="n">
        <v>1611749</v>
      </c>
      <c r="E887" s="0" t="n">
        <v>1</v>
      </c>
      <c r="F887" s="0" t="s">
        <v>437</v>
      </c>
      <c r="G887" s="0" t="s">
        <v>7040</v>
      </c>
      <c r="I887" s="0" t="s">
        <v>1296</v>
      </c>
    </row>
    <row r="888" customFormat="false" ht="15" hidden="false" customHeight="false" outlineLevel="0" collapsed="false">
      <c r="A888" s="0" t="s">
        <v>169</v>
      </c>
      <c r="B888" s="0" t="n">
        <v>2021</v>
      </c>
      <c r="C888" s="0" t="s">
        <v>56</v>
      </c>
      <c r="D888" s="0" t="n">
        <v>1470733</v>
      </c>
      <c r="E888" s="0" t="n">
        <v>1</v>
      </c>
      <c r="F888" s="0" t="s">
        <v>437</v>
      </c>
      <c r="G888" s="0" t="s">
        <v>7040</v>
      </c>
      <c r="I888" s="0" t="s">
        <v>1297</v>
      </c>
    </row>
    <row r="889" customFormat="false" ht="15" hidden="false" customHeight="false" outlineLevel="0" collapsed="false">
      <c r="A889" s="0" t="s">
        <v>169</v>
      </c>
      <c r="B889" s="0" t="n">
        <v>2021</v>
      </c>
      <c r="C889" s="0" t="s">
        <v>57</v>
      </c>
      <c r="D889" s="0" t="n">
        <v>141016</v>
      </c>
      <c r="E889" s="0" t="n">
        <v>1</v>
      </c>
      <c r="F889" s="0" t="s">
        <v>437</v>
      </c>
      <c r="G889" s="0" t="s">
        <v>7040</v>
      </c>
      <c r="I889" s="0" t="s">
        <v>1298</v>
      </c>
    </row>
    <row r="890" customFormat="false" ht="15" hidden="false" customHeight="false" outlineLevel="0" collapsed="false">
      <c r="A890" s="0" t="s">
        <v>169</v>
      </c>
      <c r="B890" s="0" t="n">
        <v>2021</v>
      </c>
      <c r="C890" s="0" t="s">
        <v>58</v>
      </c>
      <c r="D890" s="0" t="n">
        <v>145027</v>
      </c>
      <c r="E890" s="0" t="n">
        <v>1</v>
      </c>
      <c r="F890" s="0" t="s">
        <v>437</v>
      </c>
      <c r="G890" s="0" t="s">
        <v>7040</v>
      </c>
      <c r="I890" s="0" t="s">
        <v>1299</v>
      </c>
    </row>
    <row r="891" customFormat="false" ht="15" hidden="false" customHeight="false" outlineLevel="0" collapsed="false">
      <c r="A891" s="0" t="s">
        <v>169</v>
      </c>
      <c r="B891" s="0" t="n">
        <v>2021</v>
      </c>
      <c r="C891" s="0" t="s">
        <v>59</v>
      </c>
      <c r="D891" s="0" t="n">
        <v>1281830</v>
      </c>
      <c r="E891" s="0" t="n">
        <v>1</v>
      </c>
      <c r="F891" s="0" t="s">
        <v>437</v>
      </c>
      <c r="G891" s="0" t="s">
        <v>7040</v>
      </c>
      <c r="I891" s="0" t="s">
        <v>1300</v>
      </c>
    </row>
    <row r="892" customFormat="false" ht="15" hidden="false" customHeight="false" outlineLevel="0" collapsed="false">
      <c r="A892" s="0" t="s">
        <v>169</v>
      </c>
      <c r="B892" s="0" t="n">
        <v>2021</v>
      </c>
      <c r="C892" s="0" t="s">
        <v>60</v>
      </c>
      <c r="D892" s="0" t="n">
        <v>726080</v>
      </c>
      <c r="E892" s="0" t="n">
        <v>1</v>
      </c>
      <c r="F892" s="0" t="s">
        <v>437</v>
      </c>
      <c r="G892" s="0" t="s">
        <v>7040</v>
      </c>
      <c r="I892" s="0" t="s">
        <v>1301</v>
      </c>
    </row>
    <row r="893" customFormat="false" ht="15" hidden="false" customHeight="false" outlineLevel="0" collapsed="false">
      <c r="A893" s="0" t="s">
        <v>169</v>
      </c>
      <c r="B893" s="0" t="n">
        <v>2021</v>
      </c>
      <c r="C893" s="0" t="s">
        <v>61</v>
      </c>
      <c r="D893" s="0" t="n">
        <v>14180</v>
      </c>
      <c r="E893" s="0" t="n">
        <v>1</v>
      </c>
      <c r="F893" s="0" t="s">
        <v>437</v>
      </c>
      <c r="G893" s="0" t="s">
        <v>7040</v>
      </c>
      <c r="I893" s="0" t="s">
        <v>1302</v>
      </c>
    </row>
    <row r="894" customFormat="false" ht="15" hidden="false" customHeight="false" outlineLevel="0" collapsed="false">
      <c r="A894" s="0" t="s">
        <v>169</v>
      </c>
      <c r="B894" s="0" t="n">
        <v>2021</v>
      </c>
      <c r="C894" s="0" t="s">
        <v>62</v>
      </c>
      <c r="D894" s="0" t="n">
        <v>711900</v>
      </c>
      <c r="E894" s="0" t="n">
        <v>1</v>
      </c>
      <c r="F894" s="0" t="s">
        <v>437</v>
      </c>
      <c r="G894" s="0" t="s">
        <v>7040</v>
      </c>
      <c r="I894" s="0" t="s">
        <v>1303</v>
      </c>
    </row>
    <row r="895" customFormat="false" ht="15" hidden="false" customHeight="false" outlineLevel="0" collapsed="false">
      <c r="A895" s="0" t="s">
        <v>169</v>
      </c>
      <c r="B895" s="0" t="n">
        <v>2021</v>
      </c>
      <c r="C895" s="0" t="s">
        <v>63</v>
      </c>
      <c r="D895" s="0" t="n">
        <v>9822</v>
      </c>
      <c r="E895" s="0" t="n">
        <v>1</v>
      </c>
      <c r="F895" s="0" t="s">
        <v>437</v>
      </c>
      <c r="G895" s="0" t="s">
        <v>7040</v>
      </c>
      <c r="I895" s="0" t="s">
        <v>1304</v>
      </c>
    </row>
    <row r="896" customFormat="false" ht="15" hidden="false" customHeight="false" outlineLevel="0" collapsed="false">
      <c r="A896" s="0" t="s">
        <v>169</v>
      </c>
      <c r="B896" s="0" t="n">
        <v>2021</v>
      </c>
      <c r="C896" s="0" t="s">
        <v>69</v>
      </c>
      <c r="D896" s="0" t="n">
        <v>14.82</v>
      </c>
      <c r="E896" s="0" t="n">
        <v>1</v>
      </c>
      <c r="F896" s="0" t="s">
        <v>437</v>
      </c>
      <c r="G896" s="0" t="s">
        <v>7040</v>
      </c>
      <c r="I896" s="0" t="s">
        <v>1305</v>
      </c>
    </row>
    <row r="897" customFormat="false" ht="15" hidden="false" customHeight="false" outlineLevel="0" collapsed="false">
      <c r="A897" s="0" t="s">
        <v>169</v>
      </c>
      <c r="B897" s="0" t="n">
        <v>2021</v>
      </c>
      <c r="C897" s="0" t="s">
        <v>70</v>
      </c>
      <c r="D897" s="0" t="n">
        <v>10</v>
      </c>
      <c r="E897" s="0" t="n">
        <v>1</v>
      </c>
      <c r="F897" s="0" t="s">
        <v>437</v>
      </c>
      <c r="G897" s="0" t="s">
        <v>7040</v>
      </c>
      <c r="I897" s="0" t="s">
        <v>1306</v>
      </c>
    </row>
    <row r="898" customFormat="false" ht="15" hidden="false" customHeight="false" outlineLevel="0" collapsed="false">
      <c r="A898" s="0" t="s">
        <v>169</v>
      </c>
      <c r="B898" s="0" t="n">
        <v>2021</v>
      </c>
      <c r="C898" s="0" t="s">
        <v>65</v>
      </c>
      <c r="D898" s="0" t="n">
        <v>140952</v>
      </c>
      <c r="E898" s="0" t="n">
        <v>1</v>
      </c>
      <c r="F898" s="0" t="s">
        <v>437</v>
      </c>
      <c r="G898" s="0" t="s">
        <v>7040</v>
      </c>
      <c r="I898" s="0" t="s">
        <v>1307</v>
      </c>
    </row>
    <row r="899" customFormat="false" ht="15" hidden="false" customHeight="false" outlineLevel="0" collapsed="false">
      <c r="A899" s="0" t="s">
        <v>169</v>
      </c>
      <c r="B899" s="0" t="n">
        <v>2021</v>
      </c>
      <c r="C899" s="0" t="s">
        <v>66</v>
      </c>
      <c r="D899" s="0" t="n">
        <v>951379</v>
      </c>
      <c r="E899" s="0" t="n">
        <v>1</v>
      </c>
      <c r="F899" s="0" t="s">
        <v>437</v>
      </c>
      <c r="G899" s="0" t="s">
        <v>7040</v>
      </c>
      <c r="I899" s="0" t="s">
        <v>1308</v>
      </c>
    </row>
    <row r="900" customFormat="false" ht="15" hidden="false" customHeight="false" outlineLevel="0" collapsed="false">
      <c r="A900" s="0" t="s">
        <v>169</v>
      </c>
      <c r="B900" s="0" t="n">
        <v>2021</v>
      </c>
      <c r="C900" s="0" t="s">
        <v>73</v>
      </c>
      <c r="D900" s="0" t="n">
        <v>0</v>
      </c>
      <c r="E900" s="0" t="n">
        <v>1</v>
      </c>
      <c r="F900" s="0" t="s">
        <v>437</v>
      </c>
      <c r="G900" s="0" t="s">
        <v>7040</v>
      </c>
      <c r="I900" s="0" t="s">
        <v>1309</v>
      </c>
    </row>
    <row r="901" customFormat="false" ht="15" hidden="false" customHeight="false" outlineLevel="0" collapsed="false">
      <c r="A901" s="0" t="s">
        <v>169</v>
      </c>
      <c r="B901" s="0" t="n">
        <v>2021</v>
      </c>
      <c r="C901" s="0" t="s">
        <v>541</v>
      </c>
      <c r="D901" s="0" t="n">
        <v>14343</v>
      </c>
      <c r="E901" s="0" t="n">
        <v>1</v>
      </c>
      <c r="F901" s="0" t="s">
        <v>437</v>
      </c>
      <c r="G901" s="0" t="s">
        <v>7040</v>
      </c>
      <c r="I901" s="0" t="s">
        <v>1310</v>
      </c>
    </row>
    <row r="902" customFormat="false" ht="15" hidden="false" customHeight="false" outlineLevel="0" collapsed="false">
      <c r="A902" s="0" t="s">
        <v>169</v>
      </c>
      <c r="B902" s="0" t="n">
        <v>2022</v>
      </c>
      <c r="C902" s="0" t="s">
        <v>54</v>
      </c>
      <c r="D902" s="0" t="n">
        <v>19327</v>
      </c>
      <c r="E902" s="0" t="n">
        <v>1</v>
      </c>
      <c r="F902" s="0" t="s">
        <v>437</v>
      </c>
      <c r="G902" s="0" t="s">
        <v>7040</v>
      </c>
      <c r="I902" s="0" t="s">
        <v>1311</v>
      </c>
    </row>
    <row r="903" customFormat="false" ht="15" hidden="false" customHeight="false" outlineLevel="0" collapsed="false">
      <c r="A903" s="0" t="s">
        <v>169</v>
      </c>
      <c r="B903" s="0" t="n">
        <v>2022</v>
      </c>
      <c r="C903" s="0" t="s">
        <v>55</v>
      </c>
      <c r="D903" s="0" t="n">
        <v>1840622</v>
      </c>
      <c r="E903" s="0" t="n">
        <v>1</v>
      </c>
      <c r="F903" s="0" t="s">
        <v>437</v>
      </c>
      <c r="G903" s="0" t="s">
        <v>7040</v>
      </c>
      <c r="I903" s="0" t="s">
        <v>1312</v>
      </c>
    </row>
    <row r="904" customFormat="false" ht="15" hidden="false" customHeight="false" outlineLevel="0" collapsed="false">
      <c r="A904" s="0" t="s">
        <v>169</v>
      </c>
      <c r="B904" s="0" t="n">
        <v>2022</v>
      </c>
      <c r="C904" s="0" t="s">
        <v>56</v>
      </c>
      <c r="D904" s="0" t="n">
        <v>1687070</v>
      </c>
      <c r="E904" s="0" t="n">
        <v>1</v>
      </c>
      <c r="F904" s="0" t="s">
        <v>437</v>
      </c>
      <c r="G904" s="0" t="s">
        <v>7040</v>
      </c>
      <c r="I904" s="0" t="s">
        <v>1313</v>
      </c>
    </row>
    <row r="905" customFormat="false" ht="15" hidden="false" customHeight="false" outlineLevel="0" collapsed="false">
      <c r="A905" s="0" t="s">
        <v>169</v>
      </c>
      <c r="B905" s="0" t="n">
        <v>2022</v>
      </c>
      <c r="C905" s="0" t="s">
        <v>57</v>
      </c>
      <c r="D905" s="0" t="n">
        <v>153552</v>
      </c>
      <c r="E905" s="0" t="n">
        <v>1</v>
      </c>
      <c r="F905" s="0" t="s">
        <v>437</v>
      </c>
      <c r="G905" s="0" t="s">
        <v>7040</v>
      </c>
      <c r="I905" s="0" t="s">
        <v>1314</v>
      </c>
    </row>
    <row r="906" customFormat="false" ht="15" hidden="false" customHeight="false" outlineLevel="0" collapsed="false">
      <c r="A906" s="0" t="s">
        <v>169</v>
      </c>
      <c r="B906" s="0" t="n">
        <v>2022</v>
      </c>
      <c r="C906" s="0" t="s">
        <v>58</v>
      </c>
      <c r="D906" s="0" t="n">
        <v>70837</v>
      </c>
      <c r="E906" s="0" t="n">
        <v>1</v>
      </c>
      <c r="F906" s="0" t="s">
        <v>437</v>
      </c>
      <c r="G906" s="0" t="s">
        <v>7040</v>
      </c>
      <c r="I906" s="0" t="s">
        <v>1315</v>
      </c>
    </row>
    <row r="907" customFormat="false" ht="15" hidden="false" customHeight="false" outlineLevel="0" collapsed="false">
      <c r="A907" s="0" t="s">
        <v>169</v>
      </c>
      <c r="B907" s="0" t="n">
        <v>2022</v>
      </c>
      <c r="C907" s="0" t="s">
        <v>59</v>
      </c>
      <c r="D907" s="0" t="n">
        <v>1606898</v>
      </c>
      <c r="E907" s="0" t="n">
        <v>1</v>
      </c>
      <c r="F907" s="0" t="s">
        <v>437</v>
      </c>
      <c r="G907" s="0" t="s">
        <v>7040</v>
      </c>
      <c r="I907" s="0" t="s">
        <v>1316</v>
      </c>
    </row>
    <row r="908" customFormat="false" ht="15" hidden="false" customHeight="false" outlineLevel="0" collapsed="false">
      <c r="A908" s="0" t="s">
        <v>169</v>
      </c>
      <c r="B908" s="0" t="n">
        <v>2022</v>
      </c>
      <c r="C908" s="0" t="s">
        <v>60</v>
      </c>
      <c r="D908" s="0" t="n">
        <v>758183</v>
      </c>
      <c r="E908" s="0" t="n">
        <v>1</v>
      </c>
      <c r="F908" s="0" t="s">
        <v>437</v>
      </c>
      <c r="G908" s="0" t="s">
        <v>7040</v>
      </c>
      <c r="I908" s="0" t="s">
        <v>1317</v>
      </c>
    </row>
    <row r="909" customFormat="false" ht="15" hidden="false" customHeight="false" outlineLevel="0" collapsed="false">
      <c r="A909" s="0" t="s">
        <v>169</v>
      </c>
      <c r="B909" s="0" t="n">
        <v>2022</v>
      </c>
      <c r="C909" s="0" t="s">
        <v>61</v>
      </c>
      <c r="D909" s="0" t="n">
        <v>20448</v>
      </c>
      <c r="E909" s="0" t="n">
        <v>1</v>
      </c>
      <c r="F909" s="0" t="s">
        <v>437</v>
      </c>
      <c r="G909" s="0" t="s">
        <v>7040</v>
      </c>
      <c r="I909" s="0" t="s">
        <v>1318</v>
      </c>
    </row>
    <row r="910" customFormat="false" ht="15" hidden="false" customHeight="false" outlineLevel="0" collapsed="false">
      <c r="A910" s="0" t="s">
        <v>169</v>
      </c>
      <c r="B910" s="0" t="n">
        <v>2022</v>
      </c>
      <c r="C910" s="0" t="s">
        <v>62</v>
      </c>
      <c r="D910" s="0" t="n">
        <v>737735</v>
      </c>
      <c r="E910" s="0" t="n">
        <v>1</v>
      </c>
      <c r="F910" s="0" t="s">
        <v>437</v>
      </c>
      <c r="G910" s="0" t="s">
        <v>7040</v>
      </c>
      <c r="I910" s="0" t="s">
        <v>1319</v>
      </c>
    </row>
    <row r="911" customFormat="false" ht="15" hidden="false" customHeight="false" outlineLevel="0" collapsed="false">
      <c r="A911" s="0" t="s">
        <v>169</v>
      </c>
      <c r="B911" s="0" t="n">
        <v>2022</v>
      </c>
      <c r="C911" s="0" t="s">
        <v>63</v>
      </c>
      <c r="D911" s="0" t="n">
        <v>9084</v>
      </c>
      <c r="E911" s="0" t="n">
        <v>1</v>
      </c>
      <c r="F911" s="0" t="s">
        <v>437</v>
      </c>
      <c r="G911" s="0" t="s">
        <v>7040</v>
      </c>
      <c r="I911" s="0" t="s">
        <v>1320</v>
      </c>
    </row>
    <row r="912" customFormat="false" ht="15" hidden="false" customHeight="false" outlineLevel="0" collapsed="false">
      <c r="A912" s="0" t="s">
        <v>169</v>
      </c>
      <c r="B912" s="0" t="n">
        <v>2022</v>
      </c>
      <c r="C912" s="0" t="s">
        <v>69</v>
      </c>
      <c r="D912" s="0" t="n">
        <v>14.67</v>
      </c>
      <c r="E912" s="0" t="n">
        <v>1</v>
      </c>
      <c r="F912" s="0" t="s">
        <v>437</v>
      </c>
      <c r="G912" s="0" t="s">
        <v>7040</v>
      </c>
      <c r="I912" s="0" t="s">
        <v>1321</v>
      </c>
    </row>
    <row r="913" customFormat="false" ht="15" hidden="false" customHeight="false" outlineLevel="0" collapsed="false">
      <c r="A913" s="0" t="s">
        <v>169</v>
      </c>
      <c r="B913" s="0" t="n">
        <v>2022</v>
      </c>
      <c r="C913" s="0" t="s">
        <v>70</v>
      </c>
      <c r="D913" s="0" t="n">
        <v>10</v>
      </c>
      <c r="E913" s="0" t="n">
        <v>1</v>
      </c>
      <c r="F913" s="0" t="s">
        <v>437</v>
      </c>
      <c r="G913" s="0" t="s">
        <v>7040</v>
      </c>
      <c r="I913" s="0" t="s">
        <v>1322</v>
      </c>
    </row>
    <row r="914" customFormat="false" ht="15" hidden="false" customHeight="false" outlineLevel="0" collapsed="false">
      <c r="A914" s="0" t="s">
        <v>169</v>
      </c>
      <c r="B914" s="0" t="n">
        <v>2022</v>
      </c>
      <c r="C914" s="0" t="s">
        <v>65</v>
      </c>
      <c r="D914" s="0" t="n">
        <v>148600</v>
      </c>
      <c r="E914" s="0" t="n">
        <v>1</v>
      </c>
      <c r="F914" s="0" t="s">
        <v>437</v>
      </c>
      <c r="G914" s="0" t="s">
        <v>7040</v>
      </c>
      <c r="I914" s="0" t="s">
        <v>1323</v>
      </c>
    </row>
    <row r="915" customFormat="false" ht="15" hidden="false" customHeight="false" outlineLevel="0" collapsed="false">
      <c r="A915" s="0" t="s">
        <v>169</v>
      </c>
      <c r="B915" s="0" t="n">
        <v>2022</v>
      </c>
      <c r="C915" s="0" t="s">
        <v>66</v>
      </c>
      <c r="D915" s="0" t="n">
        <v>1012661</v>
      </c>
      <c r="E915" s="0" t="n">
        <v>1</v>
      </c>
      <c r="F915" s="0" t="s">
        <v>437</v>
      </c>
      <c r="G915" s="0" t="s">
        <v>7040</v>
      </c>
      <c r="I915" s="0" t="s">
        <v>1324</v>
      </c>
    </row>
    <row r="916" customFormat="false" ht="15" hidden="false" customHeight="false" outlineLevel="0" collapsed="false">
      <c r="A916" s="0" t="s">
        <v>169</v>
      </c>
      <c r="B916" s="0" t="n">
        <v>2022</v>
      </c>
      <c r="C916" s="0" t="s">
        <v>73</v>
      </c>
      <c r="D916" s="0" t="n">
        <v>0</v>
      </c>
      <c r="E916" s="0" t="n">
        <v>1</v>
      </c>
      <c r="F916" s="0" t="s">
        <v>437</v>
      </c>
      <c r="G916" s="0" t="s">
        <v>7040</v>
      </c>
      <c r="I916" s="0" t="s">
        <v>1325</v>
      </c>
    </row>
    <row r="917" customFormat="false" ht="15" hidden="false" customHeight="false" outlineLevel="0" collapsed="false">
      <c r="A917" s="0" t="s">
        <v>169</v>
      </c>
      <c r="B917" s="0" t="n">
        <v>2022</v>
      </c>
      <c r="C917" s="0" t="s">
        <v>541</v>
      </c>
      <c r="D917" s="0" t="n">
        <v>20769</v>
      </c>
      <c r="E917" s="0" t="n">
        <v>1</v>
      </c>
      <c r="F917" s="0" t="s">
        <v>437</v>
      </c>
      <c r="G917" s="0" t="s">
        <v>7040</v>
      </c>
      <c r="I917" s="0" t="s">
        <v>1326</v>
      </c>
    </row>
    <row r="918" customFormat="false" ht="15" hidden="false" customHeight="false" outlineLevel="0" collapsed="false">
      <c r="A918" s="0" t="s">
        <v>178</v>
      </c>
      <c r="B918" s="0" t="n">
        <v>2013</v>
      </c>
      <c r="C918" s="0" t="s">
        <v>54</v>
      </c>
      <c r="D918" s="0" t="n">
        <v>46483</v>
      </c>
      <c r="E918" s="0" t="n">
        <v>1</v>
      </c>
      <c r="F918" s="0" t="s">
        <v>437</v>
      </c>
      <c r="G918" s="0" t="s">
        <v>7040</v>
      </c>
      <c r="I918" s="0" t="s">
        <v>3112</v>
      </c>
    </row>
    <row r="919" customFormat="false" ht="15" hidden="false" customHeight="false" outlineLevel="0" collapsed="false">
      <c r="A919" s="0" t="s">
        <v>178</v>
      </c>
      <c r="B919" s="0" t="n">
        <v>2013</v>
      </c>
      <c r="C919" s="0" t="s">
        <v>55</v>
      </c>
      <c r="D919" s="0" t="n">
        <v>2217417</v>
      </c>
      <c r="E919" s="0" t="n">
        <v>1</v>
      </c>
      <c r="F919" s="0" t="s">
        <v>437</v>
      </c>
      <c r="G919" s="0" t="s">
        <v>7040</v>
      </c>
      <c r="I919" s="0" t="s">
        <v>3116</v>
      </c>
    </row>
    <row r="920" customFormat="false" ht="15" hidden="false" customHeight="false" outlineLevel="0" collapsed="false">
      <c r="A920" s="0" t="s">
        <v>178</v>
      </c>
      <c r="B920" s="0" t="n">
        <v>2013</v>
      </c>
      <c r="C920" s="0" t="s">
        <v>56</v>
      </c>
      <c r="D920" s="0" t="n">
        <v>1957879</v>
      </c>
      <c r="E920" s="0" t="n">
        <v>1</v>
      </c>
      <c r="F920" s="0" t="s">
        <v>437</v>
      </c>
      <c r="G920" s="0" t="s">
        <v>7040</v>
      </c>
      <c r="I920" s="0" t="s">
        <v>3118</v>
      </c>
    </row>
    <row r="921" customFormat="false" ht="15" hidden="false" customHeight="false" outlineLevel="0" collapsed="false">
      <c r="A921" s="0" t="s">
        <v>178</v>
      </c>
      <c r="B921" s="0" t="n">
        <v>2013</v>
      </c>
      <c r="C921" s="0" t="s">
        <v>57</v>
      </c>
      <c r="D921" s="0" t="n">
        <v>259538</v>
      </c>
      <c r="E921" s="0" t="n">
        <v>1</v>
      </c>
      <c r="F921" s="0" t="s">
        <v>437</v>
      </c>
      <c r="G921" s="0" t="s">
        <v>7040</v>
      </c>
      <c r="I921" s="0" t="s">
        <v>3117</v>
      </c>
    </row>
    <row r="922" customFormat="false" ht="15" hidden="false" customHeight="false" outlineLevel="0" collapsed="false">
      <c r="A922" s="0" t="s">
        <v>178</v>
      </c>
      <c r="B922" s="0" t="n">
        <v>2013</v>
      </c>
      <c r="C922" s="0" t="s">
        <v>58</v>
      </c>
      <c r="D922" s="0" t="n">
        <v>-136104</v>
      </c>
      <c r="E922" s="0" t="n">
        <v>1</v>
      </c>
      <c r="F922" s="0" t="s">
        <v>437</v>
      </c>
      <c r="G922" s="0" t="s">
        <v>7040</v>
      </c>
      <c r="I922" s="0" t="s">
        <v>3111</v>
      </c>
    </row>
    <row r="923" customFormat="false" ht="15" hidden="false" customHeight="false" outlineLevel="0" collapsed="false">
      <c r="A923" s="0" t="s">
        <v>178</v>
      </c>
      <c r="B923" s="0" t="n">
        <v>2013</v>
      </c>
      <c r="C923" s="0" t="s">
        <v>60</v>
      </c>
      <c r="D923" s="0" t="n">
        <v>805259</v>
      </c>
      <c r="E923" s="0" t="n">
        <v>1</v>
      </c>
      <c r="F923" s="0" t="s">
        <v>437</v>
      </c>
      <c r="G923" s="0" t="s">
        <v>7040</v>
      </c>
      <c r="I923" s="0" t="s">
        <v>3105</v>
      </c>
    </row>
    <row r="924" customFormat="false" ht="15" hidden="false" customHeight="false" outlineLevel="0" collapsed="false">
      <c r="A924" s="0" t="s">
        <v>178</v>
      </c>
      <c r="B924" s="0" t="n">
        <v>2013</v>
      </c>
      <c r="C924" s="0" t="s">
        <v>61</v>
      </c>
      <c r="D924" s="0" t="n">
        <v>8317</v>
      </c>
      <c r="E924" s="0" t="n">
        <v>1</v>
      </c>
      <c r="F924" s="0" t="s">
        <v>437</v>
      </c>
      <c r="G924" s="0" t="s">
        <v>7040</v>
      </c>
      <c r="I924" s="0" t="s">
        <v>3109</v>
      </c>
    </row>
    <row r="925" customFormat="false" ht="15" hidden="false" customHeight="false" outlineLevel="0" collapsed="false">
      <c r="A925" s="0" t="s">
        <v>178</v>
      </c>
      <c r="B925" s="0" t="n">
        <v>2013</v>
      </c>
      <c r="C925" s="0" t="s">
        <v>63</v>
      </c>
      <c r="D925" s="0" t="n">
        <v>181</v>
      </c>
      <c r="E925" s="0" t="n">
        <v>1</v>
      </c>
      <c r="F925" s="0" t="s">
        <v>437</v>
      </c>
      <c r="G925" s="0" t="s">
        <v>7040</v>
      </c>
      <c r="I925" s="0" t="s">
        <v>3107</v>
      </c>
    </row>
    <row r="926" customFormat="false" ht="15" hidden="false" customHeight="false" outlineLevel="0" collapsed="false">
      <c r="A926" s="0" t="s">
        <v>178</v>
      </c>
      <c r="B926" s="0" t="n">
        <v>2013</v>
      </c>
      <c r="C926" s="0" t="s">
        <v>69</v>
      </c>
      <c r="D926" s="0" t="n">
        <v>20</v>
      </c>
      <c r="E926" s="0" t="n">
        <v>1</v>
      </c>
      <c r="F926" s="0" t="s">
        <v>437</v>
      </c>
      <c r="G926" s="0" t="s">
        <v>7040</v>
      </c>
      <c r="I926" s="0" t="s">
        <v>3097</v>
      </c>
    </row>
    <row r="927" customFormat="false" ht="15" hidden="false" customHeight="false" outlineLevel="0" collapsed="false">
      <c r="A927" s="0" t="s">
        <v>178</v>
      </c>
      <c r="B927" s="0" t="n">
        <v>2014</v>
      </c>
      <c r="C927" s="0" t="s">
        <v>54</v>
      </c>
      <c r="D927" s="0" t="n">
        <v>40083</v>
      </c>
      <c r="E927" s="0" t="n">
        <v>1</v>
      </c>
      <c r="F927" s="0" t="s">
        <v>437</v>
      </c>
      <c r="G927" s="0" t="s">
        <v>7040</v>
      </c>
      <c r="I927" s="0" t="s">
        <v>3129</v>
      </c>
    </row>
    <row r="928" customFormat="false" ht="15" hidden="false" customHeight="false" outlineLevel="0" collapsed="false">
      <c r="A928" s="0" t="s">
        <v>178</v>
      </c>
      <c r="B928" s="0" t="n">
        <v>2014</v>
      </c>
      <c r="C928" s="0" t="s">
        <v>55</v>
      </c>
      <c r="D928" s="0" t="n">
        <v>2338858</v>
      </c>
      <c r="E928" s="0" t="n">
        <v>1</v>
      </c>
      <c r="F928" s="0" t="s">
        <v>437</v>
      </c>
      <c r="G928" s="0" t="s">
        <v>7040</v>
      </c>
      <c r="I928" s="0" t="s">
        <v>3132</v>
      </c>
    </row>
    <row r="929" customFormat="false" ht="15" hidden="false" customHeight="false" outlineLevel="0" collapsed="false">
      <c r="A929" s="0" t="s">
        <v>178</v>
      </c>
      <c r="B929" s="0" t="n">
        <v>2014</v>
      </c>
      <c r="C929" s="0" t="s">
        <v>56</v>
      </c>
      <c r="D929" s="0" t="n">
        <v>2056925</v>
      </c>
      <c r="E929" s="0" t="n">
        <v>1</v>
      </c>
      <c r="F929" s="0" t="s">
        <v>437</v>
      </c>
      <c r="G929" s="0" t="s">
        <v>7040</v>
      </c>
      <c r="I929" s="0" t="s">
        <v>3134</v>
      </c>
    </row>
    <row r="930" customFormat="false" ht="15" hidden="false" customHeight="false" outlineLevel="0" collapsed="false">
      <c r="A930" s="0" t="s">
        <v>178</v>
      </c>
      <c r="B930" s="0" t="n">
        <v>2014</v>
      </c>
      <c r="C930" s="0" t="s">
        <v>57</v>
      </c>
      <c r="D930" s="0" t="n">
        <v>281933</v>
      </c>
      <c r="E930" s="0" t="n">
        <v>1</v>
      </c>
      <c r="F930" s="0" t="s">
        <v>437</v>
      </c>
      <c r="G930" s="0" t="s">
        <v>7040</v>
      </c>
      <c r="I930" s="0" t="s">
        <v>3133</v>
      </c>
    </row>
    <row r="931" customFormat="false" ht="15" hidden="false" customHeight="false" outlineLevel="0" collapsed="false">
      <c r="A931" s="0" t="s">
        <v>178</v>
      </c>
      <c r="B931" s="0" t="n">
        <v>2014</v>
      </c>
      <c r="C931" s="0" t="s">
        <v>58</v>
      </c>
      <c r="D931" s="0" t="n">
        <v>-92619</v>
      </c>
      <c r="E931" s="0" t="n">
        <v>1</v>
      </c>
      <c r="F931" s="0" t="s">
        <v>437</v>
      </c>
      <c r="G931" s="0" t="s">
        <v>7040</v>
      </c>
      <c r="I931" s="0" t="s">
        <v>3128</v>
      </c>
    </row>
    <row r="932" customFormat="false" ht="15" hidden="false" customHeight="false" outlineLevel="0" collapsed="false">
      <c r="A932" s="0" t="s">
        <v>178</v>
      </c>
      <c r="B932" s="0" t="n">
        <v>2014</v>
      </c>
      <c r="C932" s="0" t="s">
        <v>59</v>
      </c>
      <c r="D932" s="0" t="n">
        <v>2217417</v>
      </c>
      <c r="E932" s="0" t="n">
        <v>1</v>
      </c>
      <c r="F932" s="0" t="s">
        <v>437</v>
      </c>
      <c r="G932" s="0" t="s">
        <v>7041</v>
      </c>
      <c r="I932" s="0" t="s">
        <v>3116</v>
      </c>
    </row>
    <row r="933" customFormat="false" ht="15" hidden="false" customHeight="false" outlineLevel="0" collapsed="false">
      <c r="A933" s="0" t="s">
        <v>178</v>
      </c>
      <c r="B933" s="0" t="n">
        <v>2014</v>
      </c>
      <c r="C933" s="0" t="s">
        <v>60</v>
      </c>
      <c r="D933" s="0" t="n">
        <v>895109</v>
      </c>
      <c r="E933" s="0" t="n">
        <v>1</v>
      </c>
      <c r="F933" s="0" t="s">
        <v>437</v>
      </c>
      <c r="G933" s="0" t="s">
        <v>7040</v>
      </c>
      <c r="I933" s="0" t="s">
        <v>3122</v>
      </c>
    </row>
    <row r="934" customFormat="false" ht="15" hidden="false" customHeight="false" outlineLevel="0" collapsed="false">
      <c r="A934" s="0" t="s">
        <v>178</v>
      </c>
      <c r="B934" s="0" t="n">
        <v>2014</v>
      </c>
      <c r="C934" s="0" t="s">
        <v>61</v>
      </c>
      <c r="D934" s="0" t="n">
        <v>10522</v>
      </c>
      <c r="E934" s="0" t="n">
        <v>1</v>
      </c>
      <c r="F934" s="0" t="s">
        <v>437</v>
      </c>
      <c r="G934" s="0" t="s">
        <v>7040</v>
      </c>
      <c r="I934" s="0" t="s">
        <v>3126</v>
      </c>
    </row>
    <row r="935" customFormat="false" ht="15" hidden="false" customHeight="false" outlineLevel="0" collapsed="false">
      <c r="A935" s="0" t="s">
        <v>178</v>
      </c>
      <c r="B935" s="0" t="n">
        <v>2014</v>
      </c>
      <c r="C935" s="0" t="s">
        <v>63</v>
      </c>
      <c r="D935" s="0" t="n">
        <v>3073</v>
      </c>
      <c r="E935" s="0" t="n">
        <v>1</v>
      </c>
      <c r="F935" s="0" t="s">
        <v>437</v>
      </c>
      <c r="G935" s="0" t="s">
        <v>7040</v>
      </c>
      <c r="I935" s="0" t="s">
        <v>3124</v>
      </c>
    </row>
    <row r="936" customFormat="false" ht="15" hidden="false" customHeight="false" outlineLevel="0" collapsed="false">
      <c r="A936" s="0" t="s">
        <v>178</v>
      </c>
      <c r="B936" s="0" t="n">
        <v>2014</v>
      </c>
      <c r="C936" s="0" t="s">
        <v>69</v>
      </c>
      <c r="D936" s="0" t="n">
        <v>17</v>
      </c>
      <c r="E936" s="0" t="n">
        <v>1</v>
      </c>
      <c r="F936" s="0" t="s">
        <v>437</v>
      </c>
      <c r="G936" s="0" t="s">
        <v>7040</v>
      </c>
      <c r="I936" s="0" t="s">
        <v>3119</v>
      </c>
    </row>
    <row r="937" customFormat="false" ht="15" hidden="false" customHeight="false" outlineLevel="0" collapsed="false">
      <c r="A937" s="0" t="s">
        <v>178</v>
      </c>
      <c r="B937" s="0" t="n">
        <v>2015</v>
      </c>
      <c r="C937" s="0" t="s">
        <v>54</v>
      </c>
      <c r="D937" s="0" t="n">
        <v>47642</v>
      </c>
      <c r="E937" s="0" t="n">
        <v>1</v>
      </c>
      <c r="F937" s="0" t="s">
        <v>437</v>
      </c>
      <c r="G937" s="0" t="s">
        <v>7040</v>
      </c>
      <c r="I937" s="0" t="s">
        <v>4101</v>
      </c>
    </row>
    <row r="938" customFormat="false" ht="15" hidden="false" customHeight="false" outlineLevel="0" collapsed="false">
      <c r="A938" s="0" t="s">
        <v>178</v>
      </c>
      <c r="B938" s="0" t="n">
        <v>2015</v>
      </c>
      <c r="C938" s="0" t="s">
        <v>55</v>
      </c>
      <c r="D938" s="0" t="n">
        <v>2216337</v>
      </c>
      <c r="E938" s="0" t="n">
        <v>1</v>
      </c>
      <c r="F938" s="0" t="s">
        <v>437</v>
      </c>
      <c r="G938" s="0" t="s">
        <v>7040</v>
      </c>
      <c r="I938" s="0" t="s">
        <v>4110</v>
      </c>
    </row>
    <row r="939" customFormat="false" ht="15" hidden="false" customHeight="false" outlineLevel="0" collapsed="false">
      <c r="A939" s="0" t="s">
        <v>178</v>
      </c>
      <c r="B939" s="0" t="n">
        <v>2015</v>
      </c>
      <c r="C939" s="0" t="s">
        <v>56</v>
      </c>
      <c r="D939" s="0" t="n">
        <v>1878106</v>
      </c>
      <c r="E939" s="0" t="n">
        <v>1</v>
      </c>
      <c r="F939" s="0" t="s">
        <v>437</v>
      </c>
      <c r="G939" s="0" t="s">
        <v>7040</v>
      </c>
      <c r="I939" s="0" t="s">
        <v>4112</v>
      </c>
    </row>
    <row r="940" customFormat="false" ht="15" hidden="false" customHeight="false" outlineLevel="0" collapsed="false">
      <c r="A940" s="0" t="s">
        <v>178</v>
      </c>
      <c r="B940" s="0" t="n">
        <v>2015</v>
      </c>
      <c r="C940" s="0" t="s">
        <v>57</v>
      </c>
      <c r="D940" s="0" t="n">
        <v>338231</v>
      </c>
      <c r="E940" s="0" t="n">
        <v>1</v>
      </c>
      <c r="F940" s="0" t="s">
        <v>437</v>
      </c>
      <c r="G940" s="0" t="s">
        <v>7040</v>
      </c>
      <c r="I940" s="0" t="s">
        <v>4113</v>
      </c>
    </row>
    <row r="941" customFormat="false" ht="15" hidden="false" customHeight="false" outlineLevel="0" collapsed="false">
      <c r="A941" s="0" t="s">
        <v>178</v>
      </c>
      <c r="B941" s="0" t="n">
        <v>2015</v>
      </c>
      <c r="C941" s="0" t="s">
        <v>58</v>
      </c>
      <c r="D941" s="0" t="n">
        <v>58408</v>
      </c>
      <c r="E941" s="0" t="n">
        <v>1</v>
      </c>
      <c r="F941" s="0" t="s">
        <v>437</v>
      </c>
      <c r="G941" s="0" t="s">
        <v>7040</v>
      </c>
      <c r="I941" s="0" t="s">
        <v>4114</v>
      </c>
    </row>
    <row r="942" customFormat="false" ht="15" hidden="false" customHeight="false" outlineLevel="0" collapsed="false">
      <c r="A942" s="0" t="s">
        <v>178</v>
      </c>
      <c r="B942" s="0" t="n">
        <v>2015</v>
      </c>
      <c r="C942" s="0" t="s">
        <v>59</v>
      </c>
      <c r="D942" s="0" t="n">
        <v>2338858</v>
      </c>
      <c r="E942" s="0" t="n">
        <v>1</v>
      </c>
      <c r="F942" s="0" t="s">
        <v>437</v>
      </c>
      <c r="G942" s="0" t="s">
        <v>7041</v>
      </c>
      <c r="I942" s="0" t="s">
        <v>3132</v>
      </c>
    </row>
    <row r="943" customFormat="false" ht="15" hidden="false" customHeight="false" outlineLevel="0" collapsed="false">
      <c r="A943" s="0" t="s">
        <v>178</v>
      </c>
      <c r="B943" s="0" t="n">
        <v>2015</v>
      </c>
      <c r="C943" s="0" t="s">
        <v>60</v>
      </c>
      <c r="D943" s="0" t="n">
        <v>835737</v>
      </c>
      <c r="E943" s="0" t="n">
        <v>1</v>
      </c>
      <c r="F943" s="0" t="s">
        <v>437</v>
      </c>
      <c r="G943" s="0" t="s">
        <v>7040</v>
      </c>
      <c r="I943" s="0" t="s">
        <v>4125</v>
      </c>
    </row>
    <row r="944" customFormat="false" ht="15" hidden="false" customHeight="false" outlineLevel="0" collapsed="false">
      <c r="A944" s="0" t="s">
        <v>178</v>
      </c>
      <c r="B944" s="0" t="n">
        <v>2015</v>
      </c>
      <c r="C944" s="0" t="s">
        <v>61</v>
      </c>
      <c r="D944" s="0" t="n">
        <v>13043</v>
      </c>
      <c r="E944" s="0" t="n">
        <v>1</v>
      </c>
      <c r="F944" s="0" t="s">
        <v>437</v>
      </c>
      <c r="G944" s="0" t="s">
        <v>7040</v>
      </c>
      <c r="I944" s="0" t="s">
        <v>4127</v>
      </c>
    </row>
    <row r="945" customFormat="false" ht="15" hidden="false" customHeight="false" outlineLevel="0" collapsed="false">
      <c r="A945" s="0" t="s">
        <v>178</v>
      </c>
      <c r="B945" s="0" t="n">
        <v>2015</v>
      </c>
      <c r="C945" s="0" t="s">
        <v>62</v>
      </c>
      <c r="D945" s="0" t="n">
        <v>822694</v>
      </c>
      <c r="E945" s="0" t="n">
        <v>1</v>
      </c>
      <c r="F945" s="0" t="s">
        <v>437</v>
      </c>
      <c r="G945" s="0" t="s">
        <v>7040</v>
      </c>
      <c r="I945" s="0" t="s">
        <v>4130</v>
      </c>
    </row>
    <row r="946" customFormat="false" ht="15" hidden="false" customHeight="false" outlineLevel="0" collapsed="false">
      <c r="A946" s="0" t="s">
        <v>178</v>
      </c>
      <c r="B946" s="0" t="n">
        <v>2015</v>
      </c>
      <c r="C946" s="0" t="s">
        <v>63</v>
      </c>
      <c r="D946" s="0" t="n">
        <v>3491</v>
      </c>
      <c r="E946" s="0" t="n">
        <v>1</v>
      </c>
      <c r="F946" s="0" t="s">
        <v>437</v>
      </c>
      <c r="G946" s="0" t="s">
        <v>7040</v>
      </c>
      <c r="I946" s="0" t="s">
        <v>4108</v>
      </c>
    </row>
    <row r="947" customFormat="false" ht="15" hidden="false" customHeight="false" outlineLevel="0" collapsed="false">
      <c r="A947" s="0" t="s">
        <v>178</v>
      </c>
      <c r="B947" s="0" t="n">
        <v>2015</v>
      </c>
      <c r="C947" s="0" t="s">
        <v>69</v>
      </c>
      <c r="D947" s="0" t="n">
        <v>20</v>
      </c>
      <c r="E947" s="0" t="n">
        <v>1</v>
      </c>
      <c r="F947" s="0" t="s">
        <v>437</v>
      </c>
      <c r="G947" s="0" t="s">
        <v>7040</v>
      </c>
      <c r="I947" s="0" t="s">
        <v>4119</v>
      </c>
    </row>
    <row r="948" customFormat="false" ht="15" hidden="false" customHeight="false" outlineLevel="0" collapsed="false">
      <c r="A948" s="0" t="s">
        <v>178</v>
      </c>
      <c r="B948" s="0" t="n">
        <v>2015</v>
      </c>
      <c r="C948" s="0" t="s">
        <v>65</v>
      </c>
      <c r="D948" s="0" t="n">
        <v>241091</v>
      </c>
      <c r="E948" s="0" t="n">
        <v>1</v>
      </c>
      <c r="F948" s="0" t="s">
        <v>437</v>
      </c>
      <c r="G948" s="0" t="s">
        <v>7040</v>
      </c>
      <c r="I948" s="0" t="s">
        <v>4116</v>
      </c>
    </row>
    <row r="949" customFormat="false" ht="15" hidden="false" customHeight="false" outlineLevel="0" collapsed="false">
      <c r="A949" s="0" t="s">
        <v>178</v>
      </c>
      <c r="B949" s="0" t="n">
        <v>2015</v>
      </c>
      <c r="C949" s="0" t="s">
        <v>66</v>
      </c>
      <c r="D949" s="0" t="n">
        <v>1208372</v>
      </c>
      <c r="E949" s="0" t="n">
        <v>1</v>
      </c>
      <c r="F949" s="0" t="s">
        <v>437</v>
      </c>
      <c r="G949" s="0" t="s">
        <v>7040</v>
      </c>
      <c r="I949" s="0" t="s">
        <v>4118</v>
      </c>
    </row>
    <row r="950" customFormat="false" ht="15" hidden="false" customHeight="false" outlineLevel="0" collapsed="false">
      <c r="A950" s="0" t="s">
        <v>178</v>
      </c>
      <c r="B950" s="0" t="n">
        <v>2015</v>
      </c>
      <c r="C950" s="0" t="s">
        <v>71</v>
      </c>
      <c r="D950" s="0" t="n">
        <v>52.57</v>
      </c>
      <c r="E950" s="0" t="n">
        <v>1</v>
      </c>
      <c r="F950" s="0" t="s">
        <v>437</v>
      </c>
      <c r="G950" s="0" t="s">
        <v>7040</v>
      </c>
      <c r="I950" s="0" t="s">
        <v>4120</v>
      </c>
    </row>
    <row r="951" customFormat="false" ht="15" hidden="false" customHeight="false" outlineLevel="0" collapsed="false">
      <c r="A951" s="0" t="s">
        <v>178</v>
      </c>
      <c r="B951" s="0" t="n">
        <v>2015</v>
      </c>
      <c r="C951" s="0" t="s">
        <v>541</v>
      </c>
      <c r="D951" s="0" t="n">
        <v>50735</v>
      </c>
      <c r="E951" s="0" t="n">
        <v>1</v>
      </c>
      <c r="F951" s="0" t="s">
        <v>437</v>
      </c>
      <c r="G951" s="0" t="s">
        <v>7040</v>
      </c>
      <c r="I951" s="0" t="s">
        <v>4107</v>
      </c>
    </row>
    <row r="952" customFormat="false" ht="15" hidden="false" customHeight="false" outlineLevel="0" collapsed="false">
      <c r="A952" s="0" t="s">
        <v>178</v>
      </c>
      <c r="B952" s="0" t="n">
        <v>2015</v>
      </c>
      <c r="C952" s="0" t="s">
        <v>1327</v>
      </c>
      <c r="D952" s="0" t="n">
        <v>247378</v>
      </c>
      <c r="E952" s="0" t="n">
        <v>1</v>
      </c>
      <c r="F952" s="0" t="s">
        <v>437</v>
      </c>
      <c r="G952" s="0" t="s">
        <v>7040</v>
      </c>
      <c r="I952" s="0" t="s">
        <v>4106</v>
      </c>
    </row>
    <row r="953" customFormat="false" ht="15" hidden="false" customHeight="false" outlineLevel="0" collapsed="false">
      <c r="A953" s="0" t="s">
        <v>178</v>
      </c>
      <c r="B953" s="0" t="n">
        <v>2015</v>
      </c>
      <c r="C953" s="0" t="s">
        <v>543</v>
      </c>
      <c r="D953" s="0" t="n">
        <v>6031</v>
      </c>
      <c r="E953" s="0" t="n">
        <v>1</v>
      </c>
      <c r="F953" s="0" t="s">
        <v>437</v>
      </c>
      <c r="G953" s="0" t="s">
        <v>7040</v>
      </c>
      <c r="I953" s="0" t="s">
        <v>4128</v>
      </c>
    </row>
    <row r="954" customFormat="false" ht="15" hidden="false" customHeight="false" outlineLevel="0" collapsed="false">
      <c r="A954" s="0" t="s">
        <v>178</v>
      </c>
      <c r="B954" s="0" t="n">
        <v>2015</v>
      </c>
      <c r="C954" s="0" t="s">
        <v>545</v>
      </c>
      <c r="D954" s="0" t="n">
        <v>7012</v>
      </c>
      <c r="E954" s="0" t="n">
        <v>1</v>
      </c>
      <c r="F954" s="0" t="s">
        <v>437</v>
      </c>
      <c r="G954" s="0" t="s">
        <v>7040</v>
      </c>
      <c r="I954" s="0" t="s">
        <v>4129</v>
      </c>
    </row>
    <row r="955" customFormat="false" ht="15" hidden="false" customHeight="false" outlineLevel="0" collapsed="false">
      <c r="A955" s="0" t="s">
        <v>178</v>
      </c>
      <c r="B955" s="0" t="n">
        <v>2016</v>
      </c>
      <c r="C955" s="0" t="s">
        <v>54</v>
      </c>
      <c r="D955" s="0" t="n">
        <v>47541</v>
      </c>
      <c r="E955" s="0" t="n">
        <v>1</v>
      </c>
      <c r="F955" s="0" t="s">
        <v>437</v>
      </c>
      <c r="G955" s="0" t="s">
        <v>7040</v>
      </c>
      <c r="I955" s="0" t="s">
        <v>4131</v>
      </c>
    </row>
    <row r="956" customFormat="false" ht="15" hidden="false" customHeight="false" outlineLevel="0" collapsed="false">
      <c r="A956" s="0" t="s">
        <v>178</v>
      </c>
      <c r="B956" s="0" t="n">
        <v>2016</v>
      </c>
      <c r="C956" s="0" t="s">
        <v>55</v>
      </c>
      <c r="D956" s="0" t="n">
        <v>2539585</v>
      </c>
      <c r="E956" s="0" t="n">
        <v>1</v>
      </c>
      <c r="F956" s="0" t="s">
        <v>437</v>
      </c>
      <c r="G956" s="0" t="s">
        <v>7040</v>
      </c>
      <c r="I956" s="0" t="s">
        <v>4136</v>
      </c>
    </row>
    <row r="957" customFormat="false" ht="15" hidden="false" customHeight="false" outlineLevel="0" collapsed="false">
      <c r="A957" s="0" t="s">
        <v>178</v>
      </c>
      <c r="B957" s="0" t="n">
        <v>2016</v>
      </c>
      <c r="C957" s="0" t="s">
        <v>56</v>
      </c>
      <c r="D957" s="0" t="n">
        <v>2148685</v>
      </c>
      <c r="E957" s="0" t="n">
        <v>1</v>
      </c>
      <c r="F957" s="0" t="s">
        <v>437</v>
      </c>
      <c r="G957" s="0" t="s">
        <v>7040</v>
      </c>
      <c r="I957" s="0" t="s">
        <v>4137</v>
      </c>
    </row>
    <row r="958" customFormat="false" ht="15" hidden="false" customHeight="false" outlineLevel="0" collapsed="false">
      <c r="A958" s="0" t="s">
        <v>178</v>
      </c>
      <c r="B958" s="0" t="n">
        <v>2016</v>
      </c>
      <c r="C958" s="0" t="s">
        <v>57</v>
      </c>
      <c r="D958" s="0" t="n">
        <v>390900</v>
      </c>
      <c r="E958" s="0" t="n">
        <v>1</v>
      </c>
      <c r="F958" s="0" t="s">
        <v>437</v>
      </c>
      <c r="G958" s="0" t="s">
        <v>7040</v>
      </c>
      <c r="I958" s="0" t="s">
        <v>4138</v>
      </c>
    </row>
    <row r="959" customFormat="false" ht="15" hidden="false" customHeight="false" outlineLevel="0" collapsed="false">
      <c r="A959" s="0" t="s">
        <v>178</v>
      </c>
      <c r="B959" s="0" t="n">
        <v>2016</v>
      </c>
      <c r="C959" s="0" t="s">
        <v>58</v>
      </c>
      <c r="D959" s="0" t="n">
        <v>-213392</v>
      </c>
      <c r="E959" s="0" t="n">
        <v>1</v>
      </c>
      <c r="F959" s="0" t="s">
        <v>437</v>
      </c>
      <c r="G959" s="0" t="s">
        <v>7040</v>
      </c>
      <c r="I959" s="0" t="s">
        <v>4139</v>
      </c>
    </row>
    <row r="960" customFormat="false" ht="15" hidden="false" customHeight="false" outlineLevel="0" collapsed="false">
      <c r="A960" s="0" t="s">
        <v>178</v>
      </c>
      <c r="B960" s="0" t="n">
        <v>2016</v>
      </c>
      <c r="C960" s="0" t="s">
        <v>59</v>
      </c>
      <c r="D960" s="0" t="n">
        <v>2216337</v>
      </c>
      <c r="E960" s="0" t="n">
        <v>1</v>
      </c>
      <c r="F960" s="0" t="s">
        <v>437</v>
      </c>
      <c r="G960" s="0" t="s">
        <v>7041</v>
      </c>
      <c r="I960" s="0" t="s">
        <v>4110</v>
      </c>
    </row>
    <row r="961" customFormat="false" ht="15" hidden="false" customHeight="false" outlineLevel="0" collapsed="false">
      <c r="A961" s="0" t="s">
        <v>178</v>
      </c>
      <c r="B961" s="0" t="n">
        <v>2016</v>
      </c>
      <c r="C961" s="0" t="s">
        <v>60</v>
      </c>
      <c r="D961" s="0" t="n">
        <v>1120096</v>
      </c>
      <c r="E961" s="0" t="n">
        <v>1</v>
      </c>
      <c r="F961" s="0" t="s">
        <v>437</v>
      </c>
      <c r="G961" s="0" t="s">
        <v>7040</v>
      </c>
      <c r="I961" s="0" t="s">
        <v>4148</v>
      </c>
    </row>
    <row r="962" customFormat="false" ht="15" hidden="false" customHeight="false" outlineLevel="0" collapsed="false">
      <c r="A962" s="0" t="s">
        <v>178</v>
      </c>
      <c r="B962" s="0" t="n">
        <v>2016</v>
      </c>
      <c r="C962" s="0" t="s">
        <v>61</v>
      </c>
      <c r="D962" s="0" t="n">
        <v>29741</v>
      </c>
      <c r="E962" s="0" t="n">
        <v>1</v>
      </c>
      <c r="F962" s="0" t="s">
        <v>437</v>
      </c>
      <c r="G962" s="0" t="s">
        <v>7040</v>
      </c>
      <c r="I962" s="0" t="s">
        <v>4150</v>
      </c>
    </row>
    <row r="963" customFormat="false" ht="15" hidden="false" customHeight="false" outlineLevel="0" collapsed="false">
      <c r="A963" s="0" t="s">
        <v>178</v>
      </c>
      <c r="B963" s="0" t="n">
        <v>2016</v>
      </c>
      <c r="C963" s="0" t="s">
        <v>62</v>
      </c>
      <c r="D963" s="0" t="n">
        <v>1090355</v>
      </c>
      <c r="E963" s="0" t="n">
        <v>1</v>
      </c>
      <c r="F963" s="0" t="s">
        <v>437</v>
      </c>
      <c r="G963" s="0" t="s">
        <v>7040</v>
      </c>
      <c r="I963" s="0" t="s">
        <v>4153</v>
      </c>
    </row>
    <row r="964" customFormat="false" ht="15" hidden="false" customHeight="false" outlineLevel="0" collapsed="false">
      <c r="A964" s="0" t="s">
        <v>178</v>
      </c>
      <c r="B964" s="0" t="n">
        <v>2016</v>
      </c>
      <c r="C964" s="0" t="s">
        <v>63</v>
      </c>
      <c r="D964" s="0" t="n">
        <v>25521</v>
      </c>
      <c r="E964" s="0" t="n">
        <v>1</v>
      </c>
      <c r="F964" s="0" t="s">
        <v>437</v>
      </c>
      <c r="G964" s="0" t="s">
        <v>7040</v>
      </c>
      <c r="I964" s="0" t="s">
        <v>4135</v>
      </c>
    </row>
    <row r="965" customFormat="false" ht="15" hidden="false" customHeight="false" outlineLevel="0" collapsed="false">
      <c r="A965" s="0" t="s">
        <v>178</v>
      </c>
      <c r="B965" s="0" t="n">
        <v>2016</v>
      </c>
      <c r="C965" s="0" t="s">
        <v>69</v>
      </c>
      <c r="D965" s="0" t="n">
        <v>20</v>
      </c>
      <c r="E965" s="0" t="n">
        <v>1</v>
      </c>
      <c r="F965" s="0" t="s">
        <v>437</v>
      </c>
      <c r="G965" s="0" t="s">
        <v>7040</v>
      </c>
      <c r="I965" s="0" t="s">
        <v>4142</v>
      </c>
    </row>
    <row r="966" customFormat="false" ht="15" hidden="false" customHeight="false" outlineLevel="0" collapsed="false">
      <c r="A966" s="0" t="s">
        <v>178</v>
      </c>
      <c r="B966" s="0" t="n">
        <v>2016</v>
      </c>
      <c r="C966" s="0" t="s">
        <v>70</v>
      </c>
      <c r="D966" s="0" t="n">
        <v>15</v>
      </c>
      <c r="E966" s="0" t="n">
        <v>1</v>
      </c>
      <c r="F966" s="0" t="s">
        <v>437</v>
      </c>
      <c r="G966" s="0" t="s">
        <v>7040</v>
      </c>
      <c r="I966" s="0" t="s">
        <v>4143</v>
      </c>
    </row>
    <row r="967" customFormat="false" ht="15" hidden="false" customHeight="false" outlineLevel="0" collapsed="false">
      <c r="A967" s="0" t="s">
        <v>178</v>
      </c>
      <c r="B967" s="0" t="n">
        <v>2016</v>
      </c>
      <c r="C967" s="0" t="s">
        <v>65</v>
      </c>
      <c r="D967" s="0" t="n">
        <v>262423</v>
      </c>
      <c r="E967" s="0" t="n">
        <v>1</v>
      </c>
      <c r="F967" s="0" t="s">
        <v>437</v>
      </c>
      <c r="G967" s="0" t="s">
        <v>7040</v>
      </c>
      <c r="I967" s="0" t="s">
        <v>4140</v>
      </c>
    </row>
    <row r="968" customFormat="false" ht="15" hidden="false" customHeight="false" outlineLevel="0" collapsed="false">
      <c r="A968" s="0" t="s">
        <v>178</v>
      </c>
      <c r="B968" s="0" t="n">
        <v>2016</v>
      </c>
      <c r="C968" s="0" t="s">
        <v>66</v>
      </c>
      <c r="D968" s="0" t="n">
        <v>1331901</v>
      </c>
      <c r="E968" s="0" t="n">
        <v>1</v>
      </c>
      <c r="F968" s="0" t="s">
        <v>437</v>
      </c>
      <c r="G968" s="0" t="s">
        <v>7040</v>
      </c>
      <c r="I968" s="0" t="s">
        <v>4141</v>
      </c>
    </row>
    <row r="969" customFormat="false" ht="15" hidden="false" customHeight="false" outlineLevel="0" collapsed="false">
      <c r="A969" s="0" t="s">
        <v>178</v>
      </c>
      <c r="B969" s="0" t="n">
        <v>2016</v>
      </c>
      <c r="C969" s="0" t="s">
        <v>71</v>
      </c>
      <c r="D969" s="0" t="n">
        <v>38.57</v>
      </c>
      <c r="E969" s="0" t="n">
        <v>1</v>
      </c>
      <c r="F969" s="0" t="s">
        <v>437</v>
      </c>
      <c r="G969" s="0" t="s">
        <v>7040</v>
      </c>
      <c r="I969" s="0" t="s">
        <v>4144</v>
      </c>
    </row>
    <row r="970" customFormat="false" ht="15" hidden="false" customHeight="false" outlineLevel="0" collapsed="false">
      <c r="A970" s="0" t="s">
        <v>178</v>
      </c>
      <c r="B970" s="0" t="n">
        <v>2016</v>
      </c>
      <c r="C970" s="0" t="s">
        <v>541</v>
      </c>
      <c r="D970" s="0" t="n">
        <v>57649</v>
      </c>
      <c r="E970" s="0" t="n">
        <v>1</v>
      </c>
      <c r="F970" s="0" t="s">
        <v>437</v>
      </c>
      <c r="G970" s="0" t="s">
        <v>7040</v>
      </c>
      <c r="I970" s="0" t="s">
        <v>4134</v>
      </c>
    </row>
    <row r="971" customFormat="false" ht="15" hidden="false" customHeight="false" outlineLevel="0" collapsed="false">
      <c r="A971" s="0" t="s">
        <v>178</v>
      </c>
      <c r="B971" s="0" t="n">
        <v>2016</v>
      </c>
      <c r="C971" s="0" t="s">
        <v>1327</v>
      </c>
      <c r="D971" s="0" t="n">
        <v>269895</v>
      </c>
      <c r="E971" s="0" t="n">
        <v>1</v>
      </c>
      <c r="F971" s="0" t="s">
        <v>437</v>
      </c>
      <c r="G971" s="0" t="s">
        <v>7040</v>
      </c>
      <c r="I971" s="0" t="s">
        <v>4133</v>
      </c>
    </row>
    <row r="972" customFormat="false" ht="15" hidden="false" customHeight="false" outlineLevel="0" collapsed="false">
      <c r="A972" s="0" t="s">
        <v>178</v>
      </c>
      <c r="B972" s="0" t="n">
        <v>2016</v>
      </c>
      <c r="C972" s="0" t="s">
        <v>543</v>
      </c>
      <c r="D972" s="0" t="n">
        <v>17107</v>
      </c>
      <c r="E972" s="0" t="n">
        <v>1</v>
      </c>
      <c r="F972" s="0" t="s">
        <v>437</v>
      </c>
      <c r="G972" s="0" t="s">
        <v>7040</v>
      </c>
      <c r="I972" s="0" t="s">
        <v>4151</v>
      </c>
    </row>
    <row r="973" customFormat="false" ht="15" hidden="false" customHeight="false" outlineLevel="0" collapsed="false">
      <c r="A973" s="0" t="s">
        <v>178</v>
      </c>
      <c r="B973" s="0" t="n">
        <v>2016</v>
      </c>
      <c r="C973" s="0" t="s">
        <v>545</v>
      </c>
      <c r="D973" s="0" t="n">
        <v>12634</v>
      </c>
      <c r="E973" s="0" t="n">
        <v>1</v>
      </c>
      <c r="F973" s="0" t="s">
        <v>437</v>
      </c>
      <c r="G973" s="0" t="s">
        <v>7040</v>
      </c>
      <c r="I973" s="0" t="s">
        <v>4152</v>
      </c>
    </row>
    <row r="974" customFormat="false" ht="15" hidden="false" customHeight="false" outlineLevel="0" collapsed="false">
      <c r="A974" s="0" t="s">
        <v>178</v>
      </c>
      <c r="B974" s="0" t="n">
        <v>2017</v>
      </c>
      <c r="C974" s="0" t="s">
        <v>54</v>
      </c>
      <c r="D974" s="0" t="n">
        <v>41396</v>
      </c>
      <c r="E974" s="0" t="n">
        <v>1</v>
      </c>
      <c r="F974" s="0" t="s">
        <v>437</v>
      </c>
      <c r="G974" s="0" t="s">
        <v>7040</v>
      </c>
      <c r="I974" s="0" t="s">
        <v>3646</v>
      </c>
    </row>
    <row r="975" customFormat="false" ht="15" hidden="false" customHeight="false" outlineLevel="0" collapsed="false">
      <c r="A975" s="0" t="s">
        <v>178</v>
      </c>
      <c r="B975" s="0" t="n">
        <v>2017</v>
      </c>
      <c r="C975" s="0" t="s">
        <v>55</v>
      </c>
      <c r="D975" s="0" t="n">
        <v>2931826</v>
      </c>
      <c r="E975" s="0" t="n">
        <v>1</v>
      </c>
      <c r="F975" s="0" t="s">
        <v>437</v>
      </c>
      <c r="G975" s="0" t="s">
        <v>7040</v>
      </c>
      <c r="I975" s="0" t="s">
        <v>3656</v>
      </c>
    </row>
    <row r="976" customFormat="false" ht="15" hidden="false" customHeight="false" outlineLevel="0" collapsed="false">
      <c r="A976" s="0" t="s">
        <v>178</v>
      </c>
      <c r="B976" s="0" t="n">
        <v>2017</v>
      </c>
      <c r="C976" s="0" t="s">
        <v>56</v>
      </c>
      <c r="D976" s="0" t="n">
        <v>2530966</v>
      </c>
      <c r="E976" s="0" t="n">
        <v>1</v>
      </c>
      <c r="F976" s="0" t="s">
        <v>437</v>
      </c>
      <c r="G976" s="0" t="s">
        <v>7040</v>
      </c>
      <c r="I976" s="0" t="s">
        <v>3658</v>
      </c>
    </row>
    <row r="977" customFormat="false" ht="15" hidden="false" customHeight="false" outlineLevel="0" collapsed="false">
      <c r="A977" s="0" t="s">
        <v>178</v>
      </c>
      <c r="B977" s="0" t="n">
        <v>2017</v>
      </c>
      <c r="C977" s="0" t="s">
        <v>57</v>
      </c>
      <c r="D977" s="0" t="n">
        <v>400860</v>
      </c>
      <c r="E977" s="0" t="n">
        <v>1</v>
      </c>
      <c r="F977" s="0" t="s">
        <v>437</v>
      </c>
      <c r="G977" s="0" t="s">
        <v>7040</v>
      </c>
      <c r="I977" s="0" t="s">
        <v>3659</v>
      </c>
    </row>
    <row r="978" customFormat="false" ht="15" hidden="false" customHeight="false" outlineLevel="0" collapsed="false">
      <c r="A978" s="0" t="s">
        <v>178</v>
      </c>
      <c r="B978" s="0" t="n">
        <v>2017</v>
      </c>
      <c r="C978" s="0" t="s">
        <v>58</v>
      </c>
      <c r="D978" s="0" t="n">
        <v>59151</v>
      </c>
      <c r="E978" s="0" t="n">
        <v>1</v>
      </c>
      <c r="F978" s="0" t="s">
        <v>437</v>
      </c>
      <c r="G978" s="0" t="s">
        <v>7040</v>
      </c>
      <c r="I978" s="0" t="s">
        <v>3663</v>
      </c>
    </row>
    <row r="979" customFormat="false" ht="15" hidden="false" customHeight="false" outlineLevel="0" collapsed="false">
      <c r="A979" s="0" t="s">
        <v>178</v>
      </c>
      <c r="B979" s="0" t="n">
        <v>2017</v>
      </c>
      <c r="C979" s="0" t="s">
        <v>59</v>
      </c>
      <c r="D979" s="0" t="n">
        <v>2539585</v>
      </c>
      <c r="E979" s="0" t="n">
        <v>1</v>
      </c>
      <c r="F979" s="0" t="s">
        <v>437</v>
      </c>
      <c r="G979" s="0" t="s">
        <v>7040</v>
      </c>
      <c r="I979" s="0" t="s">
        <v>3661</v>
      </c>
    </row>
    <row r="980" customFormat="false" ht="15" hidden="false" customHeight="false" outlineLevel="0" collapsed="false">
      <c r="A980" s="0" t="s">
        <v>178</v>
      </c>
      <c r="B980" s="0" t="n">
        <v>2017</v>
      </c>
      <c r="C980" s="0" t="s">
        <v>60</v>
      </c>
      <c r="D980" s="0" t="n">
        <v>1204426</v>
      </c>
      <c r="E980" s="0" t="n">
        <v>1</v>
      </c>
      <c r="F980" s="0" t="s">
        <v>437</v>
      </c>
      <c r="G980" s="0" t="s">
        <v>7040</v>
      </c>
      <c r="I980" s="0" t="s">
        <v>3708</v>
      </c>
    </row>
    <row r="981" customFormat="false" ht="15" hidden="false" customHeight="false" outlineLevel="0" collapsed="false">
      <c r="A981" s="0" t="s">
        <v>178</v>
      </c>
      <c r="B981" s="0" t="n">
        <v>2017</v>
      </c>
      <c r="C981" s="0" t="s">
        <v>61</v>
      </c>
      <c r="D981" s="0" t="n">
        <v>31212</v>
      </c>
      <c r="E981" s="0" t="n">
        <v>2</v>
      </c>
      <c r="F981" s="0" t="s">
        <v>437</v>
      </c>
      <c r="G981" s="0" t="s">
        <v>7046</v>
      </c>
      <c r="I981" s="0" t="s">
        <v>7052</v>
      </c>
    </row>
    <row r="982" customFormat="false" ht="15" hidden="false" customHeight="false" outlineLevel="0" collapsed="false">
      <c r="A982" s="0" t="s">
        <v>178</v>
      </c>
      <c r="B982" s="0" t="n">
        <v>2017</v>
      </c>
      <c r="C982" s="0" t="s">
        <v>62</v>
      </c>
      <c r="D982" s="0" t="n">
        <v>1173214</v>
      </c>
      <c r="E982" s="0" t="n">
        <v>1</v>
      </c>
      <c r="F982" s="0" t="s">
        <v>437</v>
      </c>
      <c r="G982" s="0" t="s">
        <v>7040</v>
      </c>
      <c r="I982" s="0" t="s">
        <v>3660</v>
      </c>
    </row>
    <row r="983" customFormat="false" ht="15" hidden="false" customHeight="false" outlineLevel="0" collapsed="false">
      <c r="A983" s="0" t="s">
        <v>178</v>
      </c>
      <c r="B983" s="0" t="n">
        <v>2017</v>
      </c>
      <c r="C983" s="0" t="s">
        <v>63</v>
      </c>
      <c r="D983" s="0" t="n">
        <v>30433</v>
      </c>
      <c r="E983" s="0" t="n">
        <v>1</v>
      </c>
      <c r="F983" s="0" t="s">
        <v>437</v>
      </c>
      <c r="G983" s="0" t="s">
        <v>7040</v>
      </c>
      <c r="I983" s="0" t="s">
        <v>3650</v>
      </c>
    </row>
    <row r="984" customFormat="false" ht="15" hidden="false" customHeight="false" outlineLevel="0" collapsed="false">
      <c r="A984" s="0" t="s">
        <v>178</v>
      </c>
      <c r="B984" s="0" t="n">
        <v>2017</v>
      </c>
      <c r="C984" s="0" t="s">
        <v>69</v>
      </c>
      <c r="D984" s="0" t="n">
        <v>20</v>
      </c>
      <c r="E984" s="0" t="n">
        <v>1</v>
      </c>
      <c r="F984" s="0" t="s">
        <v>437</v>
      </c>
      <c r="G984" s="0" t="s">
        <v>7040</v>
      </c>
      <c r="I984" s="0" t="s">
        <v>3731</v>
      </c>
    </row>
    <row r="985" customFormat="false" ht="15" hidden="false" customHeight="false" outlineLevel="0" collapsed="false">
      <c r="A985" s="0" t="s">
        <v>178</v>
      </c>
      <c r="B985" s="0" t="n">
        <v>2017</v>
      </c>
      <c r="C985" s="0" t="s">
        <v>65</v>
      </c>
      <c r="D985" s="0" t="n">
        <v>255027</v>
      </c>
      <c r="E985" s="0" t="n">
        <v>1</v>
      </c>
      <c r="F985" s="0" t="s">
        <v>437</v>
      </c>
      <c r="G985" s="0" t="s">
        <v>7040</v>
      </c>
      <c r="I985" s="0" t="s">
        <v>3728</v>
      </c>
    </row>
    <row r="986" customFormat="false" ht="15" hidden="false" customHeight="false" outlineLevel="0" collapsed="false">
      <c r="A986" s="0" t="s">
        <v>178</v>
      </c>
      <c r="B986" s="0" t="n">
        <v>2017</v>
      </c>
      <c r="C986" s="0" t="s">
        <v>66</v>
      </c>
      <c r="D986" s="0" t="n">
        <v>1265087</v>
      </c>
      <c r="E986" s="0" t="n">
        <v>1</v>
      </c>
      <c r="F986" s="0" t="s">
        <v>437</v>
      </c>
      <c r="G986" s="0" t="s">
        <v>7040</v>
      </c>
      <c r="I986" s="0" t="s">
        <v>3730</v>
      </c>
    </row>
    <row r="987" customFormat="false" ht="15" hidden="false" customHeight="false" outlineLevel="0" collapsed="false">
      <c r="A987" s="0" t="s">
        <v>178</v>
      </c>
      <c r="B987" s="0" t="n">
        <v>2017</v>
      </c>
      <c r="C987" s="0" t="s">
        <v>71</v>
      </c>
      <c r="D987" s="0" t="n">
        <v>49.69</v>
      </c>
      <c r="E987" s="0" t="n">
        <v>1</v>
      </c>
      <c r="F987" s="0" t="s">
        <v>437</v>
      </c>
      <c r="G987" s="0" t="s">
        <v>7040</v>
      </c>
      <c r="I987" s="0" t="s">
        <v>3826</v>
      </c>
    </row>
    <row r="988" customFormat="false" ht="15" hidden="false" customHeight="false" outlineLevel="0" collapsed="false">
      <c r="A988" s="0" t="s">
        <v>178</v>
      </c>
      <c r="B988" s="0" t="n">
        <v>2017</v>
      </c>
      <c r="C988" s="0" t="s">
        <v>541</v>
      </c>
      <c r="D988" s="0" t="n">
        <v>52795</v>
      </c>
      <c r="E988" s="0" t="n">
        <v>1</v>
      </c>
      <c r="F988" s="0" t="s">
        <v>437</v>
      </c>
      <c r="G988" s="0" t="s">
        <v>7040</v>
      </c>
      <c r="I988" s="0" t="s">
        <v>3649</v>
      </c>
    </row>
    <row r="989" customFormat="false" ht="15" hidden="false" customHeight="false" outlineLevel="0" collapsed="false">
      <c r="A989" s="0" t="s">
        <v>178</v>
      </c>
      <c r="B989" s="0" t="n">
        <v>2017</v>
      </c>
      <c r="C989" s="0" t="s">
        <v>543</v>
      </c>
      <c r="D989" s="0" t="n">
        <v>18658</v>
      </c>
      <c r="E989" s="0" t="n">
        <v>1</v>
      </c>
      <c r="F989" s="0" t="s">
        <v>437</v>
      </c>
      <c r="G989" s="0" t="s">
        <v>7040</v>
      </c>
      <c r="I989" s="0" t="s">
        <v>3710</v>
      </c>
    </row>
    <row r="990" customFormat="false" ht="15" hidden="false" customHeight="false" outlineLevel="0" collapsed="false">
      <c r="A990" s="0" t="s">
        <v>178</v>
      </c>
      <c r="B990" s="0" t="n">
        <v>2017</v>
      </c>
      <c r="C990" s="0" t="s">
        <v>545</v>
      </c>
      <c r="D990" s="0" t="n">
        <v>12554</v>
      </c>
      <c r="E990" s="0" t="n">
        <v>1</v>
      </c>
      <c r="F990" s="0" t="s">
        <v>437</v>
      </c>
      <c r="G990" s="0" t="s">
        <v>7040</v>
      </c>
      <c r="I990" s="0" t="s">
        <v>3711</v>
      </c>
    </row>
    <row r="991" customFormat="false" ht="15" hidden="false" customHeight="false" outlineLevel="0" collapsed="false">
      <c r="A991" s="0" t="s">
        <v>178</v>
      </c>
      <c r="B991" s="0" t="n">
        <v>2018</v>
      </c>
      <c r="C991" s="0" t="s">
        <v>54</v>
      </c>
      <c r="D991" s="0" t="n">
        <v>41047</v>
      </c>
      <c r="E991" s="0" t="n">
        <v>1</v>
      </c>
      <c r="F991" s="0" t="s">
        <v>437</v>
      </c>
      <c r="G991" s="0" t="s">
        <v>7040</v>
      </c>
      <c r="I991" s="0" t="s">
        <v>3639</v>
      </c>
    </row>
    <row r="992" customFormat="false" ht="15" hidden="false" customHeight="false" outlineLevel="0" collapsed="false">
      <c r="A992" s="0" t="s">
        <v>178</v>
      </c>
      <c r="B992" s="0" t="n">
        <v>2018</v>
      </c>
      <c r="C992" s="0" t="s">
        <v>55</v>
      </c>
      <c r="D992" s="0" t="n">
        <v>3591305</v>
      </c>
      <c r="E992" s="0" t="n">
        <v>1</v>
      </c>
      <c r="F992" s="0" t="s">
        <v>437</v>
      </c>
      <c r="G992" s="0" t="s">
        <v>7040</v>
      </c>
      <c r="I992" s="0" t="s">
        <v>3651</v>
      </c>
    </row>
    <row r="993" customFormat="false" ht="15" hidden="false" customHeight="false" outlineLevel="0" collapsed="false">
      <c r="A993" s="0" t="s">
        <v>178</v>
      </c>
      <c r="B993" s="0" t="n">
        <v>2018</v>
      </c>
      <c r="C993" s="0" t="s">
        <v>56</v>
      </c>
      <c r="D993" s="0" t="n">
        <v>3226707</v>
      </c>
      <c r="E993" s="0" t="n">
        <v>1</v>
      </c>
      <c r="F993" s="0" t="s">
        <v>437</v>
      </c>
      <c r="G993" s="0" t="s">
        <v>7040</v>
      </c>
      <c r="I993" s="0" t="s">
        <v>3653</v>
      </c>
    </row>
    <row r="994" customFormat="false" ht="15" hidden="false" customHeight="false" outlineLevel="0" collapsed="false">
      <c r="A994" s="0" t="s">
        <v>178</v>
      </c>
      <c r="B994" s="0" t="n">
        <v>2018</v>
      </c>
      <c r="C994" s="0" t="s">
        <v>57</v>
      </c>
      <c r="D994" s="0" t="n">
        <v>364598</v>
      </c>
      <c r="E994" s="0" t="n">
        <v>1</v>
      </c>
      <c r="F994" s="0" t="s">
        <v>437</v>
      </c>
      <c r="G994" s="0" t="s">
        <v>7040</v>
      </c>
      <c r="I994" s="0" t="s">
        <v>3654</v>
      </c>
    </row>
    <row r="995" customFormat="false" ht="15" hidden="false" customHeight="false" outlineLevel="0" collapsed="false">
      <c r="A995" s="0" t="s">
        <v>178</v>
      </c>
      <c r="B995" s="0" t="n">
        <v>2018</v>
      </c>
      <c r="C995" s="0" t="s">
        <v>58</v>
      </c>
      <c r="D995" s="0" t="n">
        <v>488626</v>
      </c>
      <c r="E995" s="0" t="n">
        <v>1</v>
      </c>
      <c r="F995" s="0" t="s">
        <v>437</v>
      </c>
      <c r="G995" s="0" t="s">
        <v>7040</v>
      </c>
      <c r="I995" s="0" t="s">
        <v>3662</v>
      </c>
    </row>
    <row r="996" customFormat="false" ht="15" hidden="false" customHeight="false" outlineLevel="0" collapsed="false">
      <c r="A996" s="0" t="s">
        <v>178</v>
      </c>
      <c r="B996" s="0" t="n">
        <v>2018</v>
      </c>
      <c r="C996" s="0" t="s">
        <v>59</v>
      </c>
      <c r="D996" s="0" t="n">
        <v>2931826</v>
      </c>
      <c r="E996" s="0" t="n">
        <v>1</v>
      </c>
      <c r="F996" s="0" t="s">
        <v>437</v>
      </c>
      <c r="G996" s="0" t="s">
        <v>7041</v>
      </c>
      <c r="I996" s="0" t="s">
        <v>3656</v>
      </c>
    </row>
    <row r="997" customFormat="false" ht="15" hidden="false" customHeight="false" outlineLevel="0" collapsed="false">
      <c r="A997" s="0" t="s">
        <v>178</v>
      </c>
      <c r="B997" s="0" t="n">
        <v>2018</v>
      </c>
      <c r="C997" s="0" t="s">
        <v>60</v>
      </c>
      <c r="D997" s="0" t="n">
        <v>1274112</v>
      </c>
      <c r="E997" s="0" t="n">
        <v>1</v>
      </c>
      <c r="F997" s="0" t="s">
        <v>437</v>
      </c>
      <c r="G997" s="0" t="s">
        <v>7040</v>
      </c>
      <c r="I997" s="0" t="s">
        <v>3705</v>
      </c>
    </row>
    <row r="998" customFormat="false" ht="15" hidden="false" customHeight="false" outlineLevel="0" collapsed="false">
      <c r="A998" s="0" t="s">
        <v>178</v>
      </c>
      <c r="B998" s="0" t="n">
        <v>2018</v>
      </c>
      <c r="C998" s="0" t="s">
        <v>61</v>
      </c>
      <c r="D998" s="0" t="n">
        <v>60311</v>
      </c>
      <c r="E998" s="0" t="n">
        <v>1</v>
      </c>
      <c r="F998" s="0" t="s">
        <v>437</v>
      </c>
      <c r="G998" s="0" t="s">
        <v>7040</v>
      </c>
      <c r="I998" s="0" t="s">
        <v>3706</v>
      </c>
    </row>
    <row r="999" customFormat="false" ht="15" hidden="false" customHeight="false" outlineLevel="0" collapsed="false">
      <c r="A999" s="0" t="s">
        <v>178</v>
      </c>
      <c r="B999" s="0" t="n">
        <v>2018</v>
      </c>
      <c r="C999" s="0" t="s">
        <v>62</v>
      </c>
      <c r="D999" s="0" t="n">
        <v>1213801</v>
      </c>
      <c r="E999" s="0" t="n">
        <v>1</v>
      </c>
      <c r="F999" s="0" t="s">
        <v>437</v>
      </c>
      <c r="G999" s="0" t="s">
        <v>7040</v>
      </c>
      <c r="I999" s="0" t="s">
        <v>3655</v>
      </c>
    </row>
    <row r="1000" customFormat="false" ht="15" hidden="false" customHeight="false" outlineLevel="0" collapsed="false">
      <c r="A1000" s="0" t="s">
        <v>178</v>
      </c>
      <c r="B1000" s="0" t="n">
        <v>2018</v>
      </c>
      <c r="C1000" s="0" t="s">
        <v>63</v>
      </c>
      <c r="D1000" s="0" t="n">
        <v>4257</v>
      </c>
      <c r="E1000" s="0" t="n">
        <v>1</v>
      </c>
      <c r="F1000" s="0" t="s">
        <v>437</v>
      </c>
      <c r="G1000" s="0" t="s">
        <v>7040</v>
      </c>
      <c r="I1000" s="0" t="s">
        <v>3645</v>
      </c>
    </row>
    <row r="1001" customFormat="false" ht="15" hidden="false" customHeight="false" outlineLevel="0" collapsed="false">
      <c r="A1001" s="0" t="s">
        <v>178</v>
      </c>
      <c r="B1001" s="0" t="n">
        <v>2018</v>
      </c>
      <c r="C1001" s="0" t="s">
        <v>69</v>
      </c>
      <c r="D1001" s="0" t="n">
        <v>20</v>
      </c>
      <c r="E1001" s="0" t="n">
        <v>1</v>
      </c>
      <c r="F1001" s="0" t="s">
        <v>437</v>
      </c>
      <c r="G1001" s="0" t="s">
        <v>7040</v>
      </c>
      <c r="I1001" s="0" t="s">
        <v>3725</v>
      </c>
    </row>
    <row r="1002" customFormat="false" ht="15" hidden="false" customHeight="false" outlineLevel="0" collapsed="false">
      <c r="A1002" s="0" t="s">
        <v>178</v>
      </c>
      <c r="B1002" s="0" t="n">
        <v>2018</v>
      </c>
      <c r="C1002" s="0" t="s">
        <v>614</v>
      </c>
      <c r="D1002" s="0" t="n">
        <v>22.08</v>
      </c>
      <c r="E1002" s="0" t="n">
        <v>1</v>
      </c>
      <c r="F1002" s="0" t="s">
        <v>437</v>
      </c>
      <c r="G1002" s="0" t="s">
        <v>7040</v>
      </c>
      <c r="I1002" s="0" t="s">
        <v>3726</v>
      </c>
    </row>
    <row r="1003" customFormat="false" ht="15" hidden="false" customHeight="false" outlineLevel="0" collapsed="false">
      <c r="A1003" s="0" t="s">
        <v>178</v>
      </c>
      <c r="B1003" s="0" t="n">
        <v>2018</v>
      </c>
      <c r="C1003" s="0" t="s">
        <v>70</v>
      </c>
      <c r="D1003" s="0" t="n">
        <v>16</v>
      </c>
      <c r="E1003" s="0" t="n">
        <v>1</v>
      </c>
      <c r="F1003" s="0" t="s">
        <v>437</v>
      </c>
      <c r="G1003" s="0" t="s">
        <v>7040</v>
      </c>
      <c r="I1003" s="0" t="s">
        <v>3727</v>
      </c>
    </row>
    <row r="1004" customFormat="false" ht="15" hidden="false" customHeight="false" outlineLevel="0" collapsed="false">
      <c r="A1004" s="0" t="s">
        <v>178</v>
      </c>
      <c r="B1004" s="0" t="n">
        <v>2018</v>
      </c>
      <c r="C1004" s="0" t="s">
        <v>65</v>
      </c>
      <c r="D1004" s="0" t="n">
        <v>245482</v>
      </c>
      <c r="E1004" s="0" t="n">
        <v>1</v>
      </c>
      <c r="F1004" s="0" t="s">
        <v>437</v>
      </c>
      <c r="G1004" s="0" t="s">
        <v>7040</v>
      </c>
      <c r="I1004" s="0" t="s">
        <v>3722</v>
      </c>
    </row>
    <row r="1005" customFormat="false" ht="15" hidden="false" customHeight="false" outlineLevel="0" collapsed="false">
      <c r="A1005" s="0" t="s">
        <v>178</v>
      </c>
      <c r="B1005" s="0" t="n">
        <v>2018</v>
      </c>
      <c r="C1005" s="0" t="s">
        <v>66</v>
      </c>
      <c r="D1005" s="0" t="n">
        <v>1248509</v>
      </c>
      <c r="E1005" s="0" t="n">
        <v>1</v>
      </c>
      <c r="F1005" s="0" t="s">
        <v>437</v>
      </c>
      <c r="G1005" s="0" t="s">
        <v>7040</v>
      </c>
      <c r="I1005" s="0" t="s">
        <v>3724</v>
      </c>
    </row>
    <row r="1006" customFormat="false" ht="15" hidden="false" customHeight="false" outlineLevel="0" collapsed="false">
      <c r="A1006" s="0" t="s">
        <v>178</v>
      </c>
      <c r="B1006" s="0" t="n">
        <v>2018</v>
      </c>
      <c r="C1006" s="0" t="s">
        <v>71</v>
      </c>
      <c r="D1006" s="0" t="n">
        <v>55.84</v>
      </c>
      <c r="E1006" s="0" t="n">
        <v>1</v>
      </c>
      <c r="F1006" s="0" t="s">
        <v>437</v>
      </c>
      <c r="G1006" s="0" t="s">
        <v>7040</v>
      </c>
      <c r="I1006" s="0" t="s">
        <v>3824</v>
      </c>
    </row>
    <row r="1007" customFormat="false" ht="15" hidden="false" customHeight="false" outlineLevel="0" collapsed="false">
      <c r="A1007" s="0" t="s">
        <v>178</v>
      </c>
      <c r="B1007" s="0" t="n">
        <v>2018</v>
      </c>
      <c r="C1007" s="0" t="s">
        <v>68</v>
      </c>
      <c r="D1007" s="0" t="n">
        <v>36951</v>
      </c>
      <c r="E1007" s="0" t="n">
        <v>1</v>
      </c>
      <c r="F1007" s="0" t="s">
        <v>437</v>
      </c>
      <c r="G1007" s="0" t="s">
        <v>7040</v>
      </c>
      <c r="I1007" s="0" t="s">
        <v>3707</v>
      </c>
    </row>
    <row r="1008" customFormat="false" ht="15" hidden="false" customHeight="false" outlineLevel="0" collapsed="false">
      <c r="A1008" s="0" t="s">
        <v>178</v>
      </c>
      <c r="B1008" s="0" t="n">
        <v>2018</v>
      </c>
      <c r="C1008" s="0" t="s">
        <v>541</v>
      </c>
      <c r="D1008" s="0" t="n">
        <v>55350</v>
      </c>
      <c r="E1008" s="0" t="n">
        <v>1</v>
      </c>
      <c r="F1008" s="0" t="s">
        <v>437</v>
      </c>
      <c r="G1008" s="0" t="s">
        <v>7040</v>
      </c>
      <c r="I1008" s="0" t="s">
        <v>3644</v>
      </c>
    </row>
    <row r="1009" customFormat="false" ht="15" hidden="false" customHeight="false" outlineLevel="0" collapsed="false">
      <c r="A1009" s="0" t="s">
        <v>178</v>
      </c>
      <c r="B1009" s="0" t="n">
        <v>2019</v>
      </c>
      <c r="C1009" s="0" t="s">
        <v>54</v>
      </c>
      <c r="D1009" s="0" t="n">
        <v>62750</v>
      </c>
      <c r="E1009" s="0" t="n">
        <v>1</v>
      </c>
      <c r="F1009" s="0" t="s">
        <v>437</v>
      </c>
      <c r="G1009" s="0" t="s">
        <v>7040</v>
      </c>
      <c r="I1009" s="0" t="s">
        <v>3670</v>
      </c>
    </row>
    <row r="1010" customFormat="false" ht="15" hidden="false" customHeight="false" outlineLevel="0" collapsed="false">
      <c r="A1010" s="0" t="s">
        <v>178</v>
      </c>
      <c r="B1010" s="0" t="n">
        <v>2019</v>
      </c>
      <c r="C1010" s="0" t="s">
        <v>55</v>
      </c>
      <c r="D1010" s="0" t="n">
        <v>4136493</v>
      </c>
      <c r="E1010" s="0" t="n">
        <v>1</v>
      </c>
      <c r="F1010" s="0" t="s">
        <v>437</v>
      </c>
      <c r="G1010" s="0" t="s">
        <v>7040</v>
      </c>
      <c r="I1010" s="0" t="s">
        <v>3679</v>
      </c>
    </row>
    <row r="1011" customFormat="false" ht="15" hidden="false" customHeight="false" outlineLevel="0" collapsed="false">
      <c r="A1011" s="0" t="s">
        <v>178</v>
      </c>
      <c r="B1011" s="0" t="n">
        <v>2019</v>
      </c>
      <c r="C1011" s="0" t="s">
        <v>56</v>
      </c>
      <c r="D1011" s="0" t="n">
        <v>3689971</v>
      </c>
      <c r="E1011" s="0" t="n">
        <v>1</v>
      </c>
      <c r="F1011" s="0" t="s">
        <v>437</v>
      </c>
      <c r="G1011" s="0" t="s">
        <v>7040</v>
      </c>
      <c r="I1011" s="0" t="s">
        <v>3680</v>
      </c>
    </row>
    <row r="1012" customFormat="false" ht="15" hidden="false" customHeight="false" outlineLevel="0" collapsed="false">
      <c r="A1012" s="0" t="s">
        <v>178</v>
      </c>
      <c r="B1012" s="0" t="n">
        <v>2019</v>
      </c>
      <c r="C1012" s="0" t="s">
        <v>57</v>
      </c>
      <c r="D1012" s="0" t="n">
        <v>446522</v>
      </c>
      <c r="E1012" s="0" t="n">
        <v>1</v>
      </c>
      <c r="F1012" s="0" t="s">
        <v>437</v>
      </c>
      <c r="G1012" s="0" t="s">
        <v>7040</v>
      </c>
      <c r="I1012" s="0" t="s">
        <v>3681</v>
      </c>
    </row>
    <row r="1013" customFormat="false" ht="15" hidden="false" customHeight="false" outlineLevel="0" collapsed="false">
      <c r="A1013" s="0" t="s">
        <v>178</v>
      </c>
      <c r="B1013" s="0" t="n">
        <v>2019</v>
      </c>
      <c r="C1013" s="0" t="s">
        <v>58</v>
      </c>
      <c r="D1013" s="0" t="n">
        <v>-317453</v>
      </c>
      <c r="E1013" s="0" t="n">
        <v>1</v>
      </c>
      <c r="F1013" s="0" t="s">
        <v>437</v>
      </c>
      <c r="G1013" s="0" t="s">
        <v>7040</v>
      </c>
      <c r="I1013" s="0" t="s">
        <v>3684</v>
      </c>
    </row>
    <row r="1014" customFormat="false" ht="15" hidden="false" customHeight="false" outlineLevel="0" collapsed="false">
      <c r="A1014" s="0" t="s">
        <v>178</v>
      </c>
      <c r="B1014" s="0" t="n">
        <v>2019</v>
      </c>
      <c r="C1014" s="0" t="s">
        <v>59</v>
      </c>
      <c r="D1014" s="0" t="n">
        <v>3591305</v>
      </c>
      <c r="E1014" s="0" t="n">
        <v>1</v>
      </c>
      <c r="F1014" s="0" t="s">
        <v>437</v>
      </c>
      <c r="G1014" s="0" t="s">
        <v>7041</v>
      </c>
      <c r="I1014" s="0" t="s">
        <v>3651</v>
      </c>
    </row>
    <row r="1015" customFormat="false" ht="15" hidden="false" customHeight="false" outlineLevel="0" collapsed="false">
      <c r="A1015" s="0" t="s">
        <v>178</v>
      </c>
      <c r="B1015" s="0" t="n">
        <v>2019</v>
      </c>
      <c r="C1015" s="0" t="s">
        <v>60</v>
      </c>
      <c r="D1015" s="0" t="n">
        <v>1557358</v>
      </c>
      <c r="E1015" s="0" t="n">
        <v>1</v>
      </c>
      <c r="F1015" s="0" t="s">
        <v>437</v>
      </c>
      <c r="G1015" s="0" t="s">
        <v>7040</v>
      </c>
      <c r="I1015" s="0" t="s">
        <v>3715</v>
      </c>
    </row>
    <row r="1016" customFormat="false" ht="15" hidden="false" customHeight="false" outlineLevel="0" collapsed="false">
      <c r="A1016" s="0" t="s">
        <v>178</v>
      </c>
      <c r="B1016" s="0" t="n">
        <v>2019</v>
      </c>
      <c r="C1016" s="0" t="s">
        <v>61</v>
      </c>
      <c r="D1016" s="0" t="n">
        <v>53978</v>
      </c>
      <c r="E1016" s="0" t="n">
        <v>1</v>
      </c>
      <c r="F1016" s="0" t="s">
        <v>437</v>
      </c>
      <c r="G1016" s="0" t="s">
        <v>7040</v>
      </c>
      <c r="I1016" s="0" t="s">
        <v>3716</v>
      </c>
    </row>
    <row r="1017" customFormat="false" ht="15" hidden="false" customHeight="false" outlineLevel="0" collapsed="false">
      <c r="A1017" s="0" t="s">
        <v>178</v>
      </c>
      <c r="B1017" s="0" t="n">
        <v>2019</v>
      </c>
      <c r="C1017" s="0" t="s">
        <v>62</v>
      </c>
      <c r="D1017" s="0" t="n">
        <v>1503380</v>
      </c>
      <c r="E1017" s="0" t="n">
        <v>1</v>
      </c>
      <c r="F1017" s="0" t="s">
        <v>437</v>
      </c>
      <c r="G1017" s="0" t="s">
        <v>7040</v>
      </c>
      <c r="I1017" s="0" t="s">
        <v>3682</v>
      </c>
    </row>
    <row r="1018" customFormat="false" ht="15" hidden="false" customHeight="false" outlineLevel="0" collapsed="false">
      <c r="A1018" s="0" t="s">
        <v>178</v>
      </c>
      <c r="B1018" s="0" t="n">
        <v>2019</v>
      </c>
      <c r="C1018" s="0" t="s">
        <v>63</v>
      </c>
      <c r="D1018" s="0" t="n">
        <v>16369</v>
      </c>
      <c r="E1018" s="0" t="n">
        <v>2</v>
      </c>
      <c r="F1018" s="0" t="s">
        <v>437</v>
      </c>
      <c r="G1018" s="0" t="s">
        <v>7053</v>
      </c>
      <c r="I1018" s="0" t="s">
        <v>7054</v>
      </c>
    </row>
    <row r="1019" customFormat="false" ht="15" hidden="false" customHeight="false" outlineLevel="0" collapsed="false">
      <c r="A1019" s="0" t="s">
        <v>178</v>
      </c>
      <c r="B1019" s="0" t="n">
        <v>2019</v>
      </c>
      <c r="C1019" s="0" t="s">
        <v>307</v>
      </c>
      <c r="D1019" s="0" t="n">
        <v>14695</v>
      </c>
      <c r="E1019" s="0" t="n">
        <v>1</v>
      </c>
      <c r="F1019" s="0" t="s">
        <v>437</v>
      </c>
      <c r="G1019" s="0" t="s">
        <v>7040</v>
      </c>
      <c r="I1019" s="0" t="s">
        <v>3673</v>
      </c>
    </row>
    <row r="1020" customFormat="false" ht="15" hidden="false" customHeight="false" outlineLevel="0" collapsed="false">
      <c r="A1020" s="0" t="s">
        <v>178</v>
      </c>
      <c r="B1020" s="0" t="n">
        <v>2019</v>
      </c>
      <c r="C1020" s="0" t="s">
        <v>1038</v>
      </c>
      <c r="D1020" s="0" t="n">
        <v>1674</v>
      </c>
      <c r="E1020" s="0" t="n">
        <v>1</v>
      </c>
      <c r="F1020" s="0" t="s">
        <v>437</v>
      </c>
      <c r="G1020" s="0" t="s">
        <v>7040</v>
      </c>
      <c r="I1020" s="0" t="s">
        <v>3674</v>
      </c>
    </row>
    <row r="1021" customFormat="false" ht="15" hidden="false" customHeight="false" outlineLevel="0" collapsed="false">
      <c r="A1021" s="0" t="s">
        <v>178</v>
      </c>
      <c r="B1021" s="0" t="n">
        <v>2019</v>
      </c>
      <c r="C1021" s="0" t="s">
        <v>69</v>
      </c>
      <c r="D1021" s="0" t="n">
        <v>22</v>
      </c>
      <c r="E1021" s="0" t="n">
        <v>1</v>
      </c>
      <c r="F1021" s="0" t="s">
        <v>437</v>
      </c>
      <c r="G1021" s="0" t="s">
        <v>7040</v>
      </c>
      <c r="I1021" s="0" t="s">
        <v>3740</v>
      </c>
    </row>
    <row r="1022" customFormat="false" ht="15" hidden="false" customHeight="false" outlineLevel="0" collapsed="false">
      <c r="A1022" s="0" t="s">
        <v>178</v>
      </c>
      <c r="B1022" s="0" t="n">
        <v>2019</v>
      </c>
      <c r="C1022" s="0" t="s">
        <v>65</v>
      </c>
      <c r="D1022" s="0" t="n">
        <v>285664</v>
      </c>
      <c r="E1022" s="0" t="n">
        <v>1</v>
      </c>
      <c r="F1022" s="0" t="s">
        <v>437</v>
      </c>
      <c r="G1022" s="0" t="s">
        <v>7040</v>
      </c>
      <c r="I1022" s="0" t="s">
        <v>3737</v>
      </c>
    </row>
    <row r="1023" customFormat="false" ht="15" hidden="false" customHeight="false" outlineLevel="0" collapsed="false">
      <c r="A1023" s="0" t="s">
        <v>178</v>
      </c>
      <c r="B1023" s="0" t="n">
        <v>2019</v>
      </c>
      <c r="C1023" s="0" t="s">
        <v>66</v>
      </c>
      <c r="D1023" s="0" t="n">
        <v>1328231</v>
      </c>
      <c r="E1023" s="0" t="n">
        <v>1</v>
      </c>
      <c r="F1023" s="0" t="s">
        <v>437</v>
      </c>
      <c r="G1023" s="0" t="s">
        <v>7040</v>
      </c>
      <c r="I1023" s="0" t="s">
        <v>3739</v>
      </c>
    </row>
    <row r="1024" customFormat="false" ht="15" hidden="false" customHeight="false" outlineLevel="0" collapsed="false">
      <c r="A1024" s="0" t="s">
        <v>178</v>
      </c>
      <c r="B1024" s="0" t="n">
        <v>2019</v>
      </c>
      <c r="C1024" s="0" t="s">
        <v>71</v>
      </c>
      <c r="D1024" s="0" t="n">
        <v>43.99</v>
      </c>
      <c r="E1024" s="0" t="n">
        <v>1</v>
      </c>
      <c r="F1024" s="0" t="s">
        <v>437</v>
      </c>
      <c r="G1024" s="0" t="s">
        <v>7040</v>
      </c>
      <c r="I1024" s="0" t="s">
        <v>3828</v>
      </c>
    </row>
    <row r="1025" customFormat="false" ht="15" hidden="false" customHeight="false" outlineLevel="0" collapsed="false">
      <c r="A1025" s="0" t="s">
        <v>178</v>
      </c>
      <c r="B1025" s="0" t="n">
        <v>2019</v>
      </c>
      <c r="C1025" s="0" t="s">
        <v>68</v>
      </c>
      <c r="D1025" s="0" t="n">
        <v>21215</v>
      </c>
      <c r="E1025" s="0" t="n">
        <v>1</v>
      </c>
      <c r="F1025" s="0" t="s">
        <v>437</v>
      </c>
      <c r="G1025" s="0" t="s">
        <v>7040</v>
      </c>
      <c r="I1025" s="0" t="s">
        <v>3717</v>
      </c>
    </row>
    <row r="1026" customFormat="false" ht="15" hidden="false" customHeight="false" outlineLevel="0" collapsed="false">
      <c r="A1026" s="0" t="s">
        <v>178</v>
      </c>
      <c r="B1026" s="0" t="n">
        <v>2019</v>
      </c>
      <c r="C1026" s="0" t="s">
        <v>541</v>
      </c>
      <c r="D1026" s="0" t="n">
        <v>70063</v>
      </c>
      <c r="E1026" s="0" t="n">
        <v>1</v>
      </c>
      <c r="F1026" s="0" t="s">
        <v>437</v>
      </c>
      <c r="G1026" s="0" t="s">
        <v>7040</v>
      </c>
      <c r="I1026" s="0" t="s">
        <v>3672</v>
      </c>
    </row>
    <row r="1027" customFormat="false" ht="15" hidden="false" customHeight="false" outlineLevel="0" collapsed="false">
      <c r="A1027" s="0" t="s">
        <v>178</v>
      </c>
      <c r="B1027" s="0" t="n">
        <v>2020</v>
      </c>
      <c r="C1027" s="0" t="s">
        <v>54</v>
      </c>
      <c r="D1027" s="0" t="n">
        <v>56911</v>
      </c>
      <c r="E1027" s="0" t="n">
        <v>1</v>
      </c>
      <c r="F1027" s="0" t="s">
        <v>437</v>
      </c>
      <c r="G1027" s="0" t="s">
        <v>7040</v>
      </c>
      <c r="I1027" s="0" t="s">
        <v>3664</v>
      </c>
    </row>
    <row r="1028" customFormat="false" ht="15" hidden="false" customHeight="false" outlineLevel="0" collapsed="false">
      <c r="A1028" s="0" t="s">
        <v>178</v>
      </c>
      <c r="B1028" s="0" t="n">
        <v>2020</v>
      </c>
      <c r="C1028" s="0" t="s">
        <v>55</v>
      </c>
      <c r="D1028" s="0" t="n">
        <v>5207833</v>
      </c>
      <c r="E1028" s="0" t="n">
        <v>1</v>
      </c>
      <c r="F1028" s="0" t="s">
        <v>437</v>
      </c>
      <c r="G1028" s="0" t="s">
        <v>7040</v>
      </c>
      <c r="I1028" s="0" t="s">
        <v>3675</v>
      </c>
    </row>
    <row r="1029" customFormat="false" ht="15" hidden="false" customHeight="false" outlineLevel="0" collapsed="false">
      <c r="A1029" s="0" t="s">
        <v>178</v>
      </c>
      <c r="B1029" s="0" t="n">
        <v>2020</v>
      </c>
      <c r="C1029" s="0" t="s">
        <v>56</v>
      </c>
      <c r="D1029" s="0" t="n">
        <v>4729893</v>
      </c>
      <c r="E1029" s="0" t="n">
        <v>1</v>
      </c>
      <c r="F1029" s="0" t="s">
        <v>437</v>
      </c>
      <c r="G1029" s="0" t="s">
        <v>7040</v>
      </c>
      <c r="I1029" s="0" t="s">
        <v>3676</v>
      </c>
    </row>
    <row r="1030" customFormat="false" ht="15" hidden="false" customHeight="false" outlineLevel="0" collapsed="false">
      <c r="A1030" s="0" t="s">
        <v>178</v>
      </c>
      <c r="B1030" s="0" t="n">
        <v>2020</v>
      </c>
      <c r="C1030" s="0" t="s">
        <v>57</v>
      </c>
      <c r="D1030" s="0" t="n">
        <v>477940</v>
      </c>
      <c r="E1030" s="0" t="n">
        <v>1</v>
      </c>
      <c r="F1030" s="0" t="s">
        <v>437</v>
      </c>
      <c r="G1030" s="0" t="s">
        <v>7040</v>
      </c>
      <c r="I1030" s="0" t="s">
        <v>3677</v>
      </c>
    </row>
    <row r="1031" customFormat="false" ht="15" hidden="false" customHeight="false" outlineLevel="0" collapsed="false">
      <c r="A1031" s="0" t="s">
        <v>178</v>
      </c>
      <c r="B1031" s="0" t="n">
        <v>2020</v>
      </c>
      <c r="C1031" s="0" t="s">
        <v>58</v>
      </c>
      <c r="D1031" s="0" t="n">
        <v>735114</v>
      </c>
      <c r="E1031" s="0" t="n">
        <v>1</v>
      </c>
      <c r="F1031" s="0" t="s">
        <v>437</v>
      </c>
      <c r="G1031" s="0" t="s">
        <v>7040</v>
      </c>
      <c r="I1031" s="0" t="s">
        <v>3683</v>
      </c>
    </row>
    <row r="1032" customFormat="false" ht="15" hidden="false" customHeight="false" outlineLevel="0" collapsed="false">
      <c r="A1032" s="0" t="s">
        <v>178</v>
      </c>
      <c r="B1032" s="0" t="n">
        <v>2020</v>
      </c>
      <c r="C1032" s="0" t="s">
        <v>59</v>
      </c>
      <c r="D1032" s="0" t="n">
        <v>4136493</v>
      </c>
      <c r="E1032" s="0" t="n">
        <v>1</v>
      </c>
      <c r="F1032" s="0" t="s">
        <v>437</v>
      </c>
      <c r="G1032" s="0" t="s">
        <v>7041</v>
      </c>
      <c r="I1032" s="0" t="s">
        <v>3679</v>
      </c>
    </row>
    <row r="1033" customFormat="false" ht="15" hidden="false" customHeight="false" outlineLevel="0" collapsed="false">
      <c r="A1033" s="0" t="s">
        <v>178</v>
      </c>
      <c r="B1033" s="0" t="n">
        <v>2020</v>
      </c>
      <c r="C1033" s="0" t="s">
        <v>60</v>
      </c>
      <c r="D1033" s="0" t="n">
        <v>1874858</v>
      </c>
      <c r="E1033" s="0" t="n">
        <v>1</v>
      </c>
      <c r="F1033" s="0" t="s">
        <v>437</v>
      </c>
      <c r="G1033" s="0" t="s">
        <v>7040</v>
      </c>
      <c r="I1033" s="0" t="s">
        <v>3712</v>
      </c>
    </row>
    <row r="1034" customFormat="false" ht="15" hidden="false" customHeight="false" outlineLevel="0" collapsed="false">
      <c r="A1034" s="0" t="s">
        <v>178</v>
      </c>
      <c r="B1034" s="0" t="n">
        <v>2020</v>
      </c>
      <c r="C1034" s="0" t="s">
        <v>61</v>
      </c>
      <c r="D1034" s="0" t="n">
        <v>62322</v>
      </c>
      <c r="E1034" s="0" t="n">
        <v>1</v>
      </c>
      <c r="F1034" s="0" t="s">
        <v>437</v>
      </c>
      <c r="G1034" s="0" t="s">
        <v>7040</v>
      </c>
      <c r="I1034" s="0" t="s">
        <v>3713</v>
      </c>
    </row>
    <row r="1035" customFormat="false" ht="15" hidden="false" customHeight="false" outlineLevel="0" collapsed="false">
      <c r="A1035" s="0" t="s">
        <v>178</v>
      </c>
      <c r="B1035" s="0" t="n">
        <v>2020</v>
      </c>
      <c r="C1035" s="0" t="s">
        <v>62</v>
      </c>
      <c r="D1035" s="0" t="n">
        <v>1812536</v>
      </c>
      <c r="E1035" s="0" t="n">
        <v>1</v>
      </c>
      <c r="F1035" s="0" t="s">
        <v>437</v>
      </c>
      <c r="G1035" s="0" t="s">
        <v>7040</v>
      </c>
      <c r="I1035" s="0" t="s">
        <v>3678</v>
      </c>
    </row>
    <row r="1036" customFormat="false" ht="15" hidden="false" customHeight="false" outlineLevel="0" collapsed="false">
      <c r="A1036" s="0" t="s">
        <v>178</v>
      </c>
      <c r="B1036" s="0" t="n">
        <v>2020</v>
      </c>
      <c r="C1036" s="0" t="s">
        <v>63</v>
      </c>
      <c r="D1036" s="0" t="n">
        <v>21864</v>
      </c>
      <c r="E1036" s="0" t="n">
        <v>2</v>
      </c>
      <c r="F1036" s="0" t="s">
        <v>437</v>
      </c>
      <c r="G1036" s="0" t="s">
        <v>7053</v>
      </c>
      <c r="I1036" s="0" t="s">
        <v>7055</v>
      </c>
    </row>
    <row r="1037" customFormat="false" ht="15" hidden="false" customHeight="false" outlineLevel="0" collapsed="false">
      <c r="A1037" s="0" t="s">
        <v>178</v>
      </c>
      <c r="B1037" s="0" t="n">
        <v>2020</v>
      </c>
      <c r="C1037" s="0" t="s">
        <v>307</v>
      </c>
      <c r="D1037" s="0" t="n">
        <v>14146</v>
      </c>
      <c r="E1037" s="0" t="n">
        <v>1</v>
      </c>
      <c r="F1037" s="0" t="s">
        <v>437</v>
      </c>
      <c r="G1037" s="0" t="s">
        <v>7040</v>
      </c>
      <c r="I1037" s="0" t="s">
        <v>3668</v>
      </c>
    </row>
    <row r="1038" customFormat="false" ht="15" hidden="false" customHeight="false" outlineLevel="0" collapsed="false">
      <c r="A1038" s="0" t="s">
        <v>178</v>
      </c>
      <c r="B1038" s="0" t="n">
        <v>2020</v>
      </c>
      <c r="C1038" s="0" t="s">
        <v>1038</v>
      </c>
      <c r="D1038" s="0" t="n">
        <v>7718</v>
      </c>
      <c r="E1038" s="0" t="n">
        <v>1</v>
      </c>
      <c r="F1038" s="0" t="s">
        <v>437</v>
      </c>
      <c r="G1038" s="0" t="s">
        <v>7040</v>
      </c>
      <c r="I1038" s="0" t="s">
        <v>3669</v>
      </c>
    </row>
    <row r="1039" customFormat="false" ht="15" hidden="false" customHeight="false" outlineLevel="0" collapsed="false">
      <c r="A1039" s="0" t="s">
        <v>178</v>
      </c>
      <c r="B1039" s="0" t="n">
        <v>2020</v>
      </c>
      <c r="C1039" s="0" t="s">
        <v>69</v>
      </c>
      <c r="D1039" s="0" t="n">
        <v>20</v>
      </c>
      <c r="E1039" s="0" t="n">
        <v>1</v>
      </c>
      <c r="F1039" s="0" t="s">
        <v>437</v>
      </c>
      <c r="G1039" s="0" t="s">
        <v>7040</v>
      </c>
      <c r="I1039" s="0" t="s">
        <v>3735</v>
      </c>
    </row>
    <row r="1040" customFormat="false" ht="15" hidden="false" customHeight="false" outlineLevel="0" collapsed="false">
      <c r="A1040" s="0" t="s">
        <v>178</v>
      </c>
      <c r="B1040" s="0" t="n">
        <v>2020</v>
      </c>
      <c r="C1040" s="0" t="s">
        <v>70</v>
      </c>
      <c r="D1040" s="0" t="n">
        <v>15</v>
      </c>
      <c r="E1040" s="0" t="n">
        <v>1</v>
      </c>
      <c r="F1040" s="0" t="s">
        <v>437</v>
      </c>
      <c r="G1040" s="0" t="s">
        <v>7040</v>
      </c>
      <c r="I1040" s="0" t="s">
        <v>3736</v>
      </c>
    </row>
    <row r="1041" customFormat="false" ht="15" hidden="false" customHeight="false" outlineLevel="0" collapsed="false">
      <c r="A1041" s="0" t="s">
        <v>178</v>
      </c>
      <c r="B1041" s="0" t="n">
        <v>2020</v>
      </c>
      <c r="C1041" s="0" t="s">
        <v>65</v>
      </c>
      <c r="D1041" s="0" t="n">
        <v>276315</v>
      </c>
      <c r="E1041" s="0" t="n">
        <v>1</v>
      </c>
      <c r="F1041" s="0" t="s">
        <v>437</v>
      </c>
      <c r="G1041" s="0" t="s">
        <v>7040</v>
      </c>
      <c r="I1041" s="0" t="s">
        <v>3732</v>
      </c>
    </row>
    <row r="1042" customFormat="false" ht="15" hidden="false" customHeight="false" outlineLevel="0" collapsed="false">
      <c r="A1042" s="0" t="s">
        <v>178</v>
      </c>
      <c r="B1042" s="0" t="n">
        <v>2020</v>
      </c>
      <c r="C1042" s="0" t="s">
        <v>66</v>
      </c>
      <c r="D1042" s="0" t="n">
        <v>1402955</v>
      </c>
      <c r="E1042" s="0" t="n">
        <v>1</v>
      </c>
      <c r="F1042" s="0" t="s">
        <v>437</v>
      </c>
      <c r="G1042" s="0" t="s">
        <v>7040</v>
      </c>
      <c r="I1042" s="0" t="s">
        <v>3734</v>
      </c>
    </row>
    <row r="1043" customFormat="false" ht="15" hidden="false" customHeight="false" outlineLevel="0" collapsed="false">
      <c r="A1043" s="0" t="s">
        <v>178</v>
      </c>
      <c r="B1043" s="0" t="n">
        <v>2020</v>
      </c>
      <c r="C1043" s="0" t="s">
        <v>71</v>
      </c>
      <c r="D1043" s="0" t="n">
        <v>44.3</v>
      </c>
      <c r="E1043" s="0" t="n">
        <v>1</v>
      </c>
      <c r="F1043" s="0" t="s">
        <v>437</v>
      </c>
      <c r="G1043" s="0" t="s">
        <v>7040</v>
      </c>
      <c r="I1043" s="0" t="s">
        <v>3827</v>
      </c>
    </row>
    <row r="1044" customFormat="false" ht="15" hidden="false" customHeight="false" outlineLevel="0" collapsed="false">
      <c r="A1044" s="0" t="s">
        <v>178</v>
      </c>
      <c r="B1044" s="0" t="n">
        <v>2020</v>
      </c>
      <c r="C1044" s="0" t="s">
        <v>68</v>
      </c>
      <c r="D1044" s="0" t="n">
        <v>21933</v>
      </c>
      <c r="E1044" s="0" t="n">
        <v>1</v>
      </c>
      <c r="F1044" s="0" t="s">
        <v>437</v>
      </c>
      <c r="G1044" s="0" t="s">
        <v>7040</v>
      </c>
      <c r="I1044" s="0" t="s">
        <v>3714</v>
      </c>
    </row>
    <row r="1045" customFormat="false" ht="15" hidden="false" customHeight="false" outlineLevel="0" collapsed="false">
      <c r="A1045" s="0" t="s">
        <v>178</v>
      </c>
      <c r="B1045" s="0" t="n">
        <v>2020</v>
      </c>
      <c r="C1045" s="0" t="s">
        <v>541</v>
      </c>
      <c r="D1045" s="0" t="n">
        <v>58360</v>
      </c>
      <c r="E1045" s="0" t="n">
        <v>1</v>
      </c>
      <c r="F1045" s="0" t="s">
        <v>437</v>
      </c>
      <c r="G1045" s="0" t="s">
        <v>7040</v>
      </c>
      <c r="I1045" s="0" t="s">
        <v>3667</v>
      </c>
    </row>
    <row r="1046" customFormat="false" ht="15" hidden="false" customHeight="false" outlineLevel="0" collapsed="false">
      <c r="A1046" s="0" t="s">
        <v>178</v>
      </c>
      <c r="B1046" s="0" t="n">
        <v>2021</v>
      </c>
      <c r="C1046" s="0" t="s">
        <v>54</v>
      </c>
      <c r="D1046" s="0" t="n">
        <v>58669</v>
      </c>
      <c r="E1046" s="0" t="n">
        <v>1</v>
      </c>
      <c r="F1046" s="0" t="s">
        <v>437</v>
      </c>
      <c r="G1046" s="0" t="s">
        <v>7040</v>
      </c>
      <c r="I1046" s="0" t="s">
        <v>3690</v>
      </c>
    </row>
    <row r="1047" customFormat="false" ht="15" hidden="false" customHeight="false" outlineLevel="0" collapsed="false">
      <c r="A1047" s="0" t="s">
        <v>178</v>
      </c>
      <c r="B1047" s="0" t="n">
        <v>2021</v>
      </c>
      <c r="C1047" s="0" t="s">
        <v>55</v>
      </c>
      <c r="D1047" s="0" t="n">
        <v>5574976</v>
      </c>
      <c r="E1047" s="0" t="n">
        <v>1</v>
      </c>
      <c r="F1047" s="0" t="s">
        <v>437</v>
      </c>
      <c r="G1047" s="0" t="s">
        <v>7040</v>
      </c>
      <c r="I1047" s="0" t="s">
        <v>3699</v>
      </c>
    </row>
    <row r="1048" customFormat="false" ht="15" hidden="false" customHeight="false" outlineLevel="0" collapsed="false">
      <c r="A1048" s="0" t="s">
        <v>178</v>
      </c>
      <c r="B1048" s="0" t="n">
        <v>2021</v>
      </c>
      <c r="C1048" s="0" t="s">
        <v>56</v>
      </c>
      <c r="D1048" s="0" t="n">
        <v>5073375</v>
      </c>
      <c r="E1048" s="0" t="n">
        <v>1</v>
      </c>
      <c r="F1048" s="0" t="s">
        <v>437</v>
      </c>
      <c r="G1048" s="0" t="s">
        <v>7040</v>
      </c>
      <c r="I1048" s="0" t="s">
        <v>3700</v>
      </c>
    </row>
    <row r="1049" customFormat="false" ht="15" hidden="false" customHeight="false" outlineLevel="0" collapsed="false">
      <c r="A1049" s="0" t="s">
        <v>178</v>
      </c>
      <c r="B1049" s="0" t="n">
        <v>2021</v>
      </c>
      <c r="C1049" s="0" t="s">
        <v>57</v>
      </c>
      <c r="D1049" s="0" t="n">
        <v>501601</v>
      </c>
      <c r="E1049" s="0" t="n">
        <v>1</v>
      </c>
      <c r="F1049" s="0" t="s">
        <v>437</v>
      </c>
      <c r="G1049" s="0" t="s">
        <v>7040</v>
      </c>
      <c r="I1049" s="0" t="s">
        <v>3701</v>
      </c>
    </row>
    <row r="1050" customFormat="false" ht="15" hidden="false" customHeight="false" outlineLevel="0" collapsed="false">
      <c r="A1050" s="0" t="s">
        <v>178</v>
      </c>
      <c r="B1050" s="0" t="n">
        <v>2021</v>
      </c>
      <c r="C1050" s="0" t="s">
        <v>58</v>
      </c>
      <c r="D1050" s="0" t="n">
        <v>671619</v>
      </c>
      <c r="E1050" s="0" t="n">
        <v>1</v>
      </c>
      <c r="F1050" s="0" t="s">
        <v>437</v>
      </c>
      <c r="G1050" s="0" t="s">
        <v>7040</v>
      </c>
      <c r="I1050" s="0" t="s">
        <v>3704</v>
      </c>
    </row>
    <row r="1051" customFormat="false" ht="15" hidden="false" customHeight="false" outlineLevel="0" collapsed="false">
      <c r="A1051" s="0" t="s">
        <v>178</v>
      </c>
      <c r="B1051" s="0" t="n">
        <v>2021</v>
      </c>
      <c r="C1051" s="0" t="s">
        <v>59</v>
      </c>
      <c r="D1051" s="0" t="n">
        <v>5207833</v>
      </c>
      <c r="E1051" s="0" t="n">
        <v>1</v>
      </c>
      <c r="F1051" s="0" t="s">
        <v>437</v>
      </c>
      <c r="G1051" s="0" t="s">
        <v>7041</v>
      </c>
      <c r="I1051" s="0" t="s">
        <v>3675</v>
      </c>
    </row>
    <row r="1052" customFormat="false" ht="15" hidden="false" customHeight="false" outlineLevel="0" collapsed="false">
      <c r="A1052" s="0" t="s">
        <v>178</v>
      </c>
      <c r="B1052" s="0" t="n">
        <v>2021</v>
      </c>
      <c r="C1052" s="0" t="s">
        <v>60</v>
      </c>
      <c r="D1052" s="0" t="n">
        <v>1913403</v>
      </c>
      <c r="E1052" s="0" t="n">
        <v>1</v>
      </c>
      <c r="F1052" s="0" t="s">
        <v>437</v>
      </c>
      <c r="G1052" s="0" t="s">
        <v>7040</v>
      </c>
      <c r="I1052" s="0" t="s">
        <v>3720</v>
      </c>
    </row>
    <row r="1053" customFormat="false" ht="15" hidden="false" customHeight="false" outlineLevel="0" collapsed="false">
      <c r="A1053" s="0" t="s">
        <v>178</v>
      </c>
      <c r="B1053" s="0" t="n">
        <v>2021</v>
      </c>
      <c r="C1053" s="0" t="s">
        <v>61</v>
      </c>
      <c r="D1053" s="0" t="n">
        <v>65301</v>
      </c>
      <c r="E1053" s="0" t="n">
        <v>1</v>
      </c>
      <c r="F1053" s="0" t="s">
        <v>437</v>
      </c>
      <c r="G1053" s="0" t="s">
        <v>7040</v>
      </c>
      <c r="I1053" s="0" t="s">
        <v>3721</v>
      </c>
    </row>
    <row r="1054" customFormat="false" ht="15" hidden="false" customHeight="false" outlineLevel="0" collapsed="false">
      <c r="A1054" s="0" t="s">
        <v>178</v>
      </c>
      <c r="B1054" s="0" t="n">
        <v>2021</v>
      </c>
      <c r="C1054" s="0" t="s">
        <v>62</v>
      </c>
      <c r="D1054" s="0" t="n">
        <v>1848102</v>
      </c>
      <c r="E1054" s="0" t="n">
        <v>1</v>
      </c>
      <c r="F1054" s="0" t="s">
        <v>437</v>
      </c>
      <c r="G1054" s="0" t="s">
        <v>7040</v>
      </c>
      <c r="I1054" s="0" t="s">
        <v>3702</v>
      </c>
    </row>
    <row r="1055" customFormat="false" ht="15" hidden="false" customHeight="false" outlineLevel="0" collapsed="false">
      <c r="A1055" s="0" t="s">
        <v>178</v>
      </c>
      <c r="B1055" s="0" t="n">
        <v>2021</v>
      </c>
      <c r="C1055" s="0" t="s">
        <v>63</v>
      </c>
      <c r="D1055" s="0" t="n">
        <v>9749</v>
      </c>
      <c r="E1055" s="0" t="n">
        <v>2</v>
      </c>
      <c r="F1055" s="0" t="s">
        <v>437</v>
      </c>
      <c r="G1055" s="0" t="s">
        <v>7053</v>
      </c>
      <c r="I1055" s="0" t="s">
        <v>7056</v>
      </c>
    </row>
    <row r="1056" customFormat="false" ht="15" hidden="false" customHeight="false" outlineLevel="0" collapsed="false">
      <c r="A1056" s="0" t="s">
        <v>178</v>
      </c>
      <c r="B1056" s="0" t="n">
        <v>2021</v>
      </c>
      <c r="C1056" s="0" t="s">
        <v>307</v>
      </c>
      <c r="D1056" s="0" t="n">
        <v>9049</v>
      </c>
      <c r="E1056" s="0" t="n">
        <v>1</v>
      </c>
      <c r="F1056" s="0" t="s">
        <v>437</v>
      </c>
      <c r="G1056" s="0" t="s">
        <v>7040</v>
      </c>
      <c r="I1056" s="0" t="s">
        <v>3693</v>
      </c>
    </row>
    <row r="1057" customFormat="false" ht="15" hidden="false" customHeight="false" outlineLevel="0" collapsed="false">
      <c r="A1057" s="0" t="s">
        <v>178</v>
      </c>
      <c r="B1057" s="0" t="n">
        <v>2021</v>
      </c>
      <c r="C1057" s="0" t="s">
        <v>1038</v>
      </c>
      <c r="D1057" s="0" t="n">
        <v>700</v>
      </c>
      <c r="E1057" s="0" t="n">
        <v>1</v>
      </c>
      <c r="F1057" s="0" t="s">
        <v>437</v>
      </c>
      <c r="G1057" s="0" t="s">
        <v>7040</v>
      </c>
      <c r="I1057" s="0" t="s">
        <v>3694</v>
      </c>
    </row>
    <row r="1058" customFormat="false" ht="15" hidden="false" customHeight="false" outlineLevel="0" collapsed="false">
      <c r="A1058" s="0" t="s">
        <v>178</v>
      </c>
      <c r="B1058" s="0" t="n">
        <v>2021</v>
      </c>
      <c r="C1058" s="0" t="s">
        <v>69</v>
      </c>
      <c r="D1058" s="0" t="n">
        <v>21.8</v>
      </c>
      <c r="E1058" s="0" t="n">
        <v>1</v>
      </c>
      <c r="F1058" s="0" t="s">
        <v>437</v>
      </c>
      <c r="G1058" s="0" t="s">
        <v>7040</v>
      </c>
      <c r="I1058" s="0" t="s">
        <v>3746</v>
      </c>
    </row>
    <row r="1059" customFormat="false" ht="15" hidden="false" customHeight="false" outlineLevel="0" collapsed="false">
      <c r="A1059" s="0" t="s">
        <v>178</v>
      </c>
      <c r="B1059" s="0" t="n">
        <v>2021</v>
      </c>
      <c r="C1059" s="0" t="s">
        <v>65</v>
      </c>
      <c r="D1059" s="0" t="n">
        <v>336784</v>
      </c>
      <c r="E1059" s="0" t="n">
        <v>1</v>
      </c>
      <c r="F1059" s="0" t="s">
        <v>437</v>
      </c>
      <c r="G1059" s="0" t="s">
        <v>7040</v>
      </c>
      <c r="I1059" s="0" t="s">
        <v>3744</v>
      </c>
    </row>
    <row r="1060" customFormat="false" ht="15" hidden="false" customHeight="false" outlineLevel="0" collapsed="false">
      <c r="A1060" s="0" t="s">
        <v>178</v>
      </c>
      <c r="B1060" s="0" t="n">
        <v>2021</v>
      </c>
      <c r="C1060" s="0" t="s">
        <v>66</v>
      </c>
      <c r="D1060" s="0" t="n">
        <v>1543338</v>
      </c>
      <c r="E1060" s="0" t="n">
        <v>1</v>
      </c>
      <c r="F1060" s="0" t="s">
        <v>437</v>
      </c>
      <c r="G1060" s="0" t="s">
        <v>7040</v>
      </c>
      <c r="I1060" s="0" t="s">
        <v>3745</v>
      </c>
    </row>
    <row r="1061" customFormat="false" ht="15" hidden="false" customHeight="false" outlineLevel="0" collapsed="false">
      <c r="A1061" s="0" t="s">
        <v>178</v>
      </c>
      <c r="B1061" s="0" t="n">
        <v>2021</v>
      </c>
      <c r="C1061" s="0" t="s">
        <v>71</v>
      </c>
      <c r="D1061" s="0" t="n">
        <v>47.56</v>
      </c>
      <c r="E1061" s="0" t="n">
        <v>1</v>
      </c>
      <c r="F1061" s="0" t="s">
        <v>437</v>
      </c>
      <c r="G1061" s="0" t="s">
        <v>7040</v>
      </c>
      <c r="I1061" s="0" t="s">
        <v>3757</v>
      </c>
    </row>
    <row r="1062" customFormat="false" ht="15" hidden="false" customHeight="false" outlineLevel="0" collapsed="false">
      <c r="A1062" s="0" t="s">
        <v>178</v>
      </c>
      <c r="B1062" s="0" t="n">
        <v>2021</v>
      </c>
      <c r="C1062" s="0" t="s">
        <v>541</v>
      </c>
      <c r="D1062" s="0" t="n">
        <v>60519</v>
      </c>
      <c r="E1062" s="0" t="n">
        <v>1</v>
      </c>
      <c r="F1062" s="0" t="s">
        <v>437</v>
      </c>
      <c r="G1062" s="0" t="s">
        <v>7040</v>
      </c>
      <c r="I1062" s="0" t="s">
        <v>3692</v>
      </c>
    </row>
    <row r="1063" customFormat="false" ht="15" hidden="false" customHeight="false" outlineLevel="0" collapsed="false">
      <c r="A1063" s="0" t="s">
        <v>178</v>
      </c>
      <c r="B1063" s="0" t="n">
        <v>2022</v>
      </c>
      <c r="C1063" s="0" t="s">
        <v>54</v>
      </c>
      <c r="D1063" s="0" t="n">
        <v>133696</v>
      </c>
      <c r="E1063" s="0" t="n">
        <v>1</v>
      </c>
      <c r="F1063" s="0" t="s">
        <v>437</v>
      </c>
      <c r="G1063" s="0" t="s">
        <v>7040</v>
      </c>
      <c r="I1063" s="0" t="s">
        <v>3685</v>
      </c>
    </row>
    <row r="1064" customFormat="false" ht="15" hidden="false" customHeight="false" outlineLevel="0" collapsed="false">
      <c r="A1064" s="0" t="s">
        <v>178</v>
      </c>
      <c r="B1064" s="0" t="n">
        <v>2022</v>
      </c>
      <c r="C1064" s="0" t="s">
        <v>55</v>
      </c>
      <c r="D1064" s="0" t="n">
        <v>7361044</v>
      </c>
      <c r="E1064" s="0" t="n">
        <v>1</v>
      </c>
      <c r="F1064" s="0" t="s">
        <v>437</v>
      </c>
      <c r="G1064" s="0" t="s">
        <v>7040</v>
      </c>
      <c r="I1064" s="0" t="s">
        <v>3695</v>
      </c>
    </row>
    <row r="1065" customFormat="false" ht="15" hidden="false" customHeight="false" outlineLevel="0" collapsed="false">
      <c r="A1065" s="0" t="s">
        <v>178</v>
      </c>
      <c r="B1065" s="0" t="n">
        <v>2022</v>
      </c>
      <c r="C1065" s="0" t="s">
        <v>56</v>
      </c>
      <c r="D1065" s="0" t="n">
        <v>6775851</v>
      </c>
      <c r="E1065" s="0" t="n">
        <v>1</v>
      </c>
      <c r="F1065" s="0" t="s">
        <v>437</v>
      </c>
      <c r="G1065" s="0" t="s">
        <v>7040</v>
      </c>
      <c r="I1065" s="0" t="s">
        <v>3696</v>
      </c>
    </row>
    <row r="1066" customFormat="false" ht="15" hidden="false" customHeight="false" outlineLevel="0" collapsed="false">
      <c r="A1066" s="0" t="s">
        <v>178</v>
      </c>
      <c r="B1066" s="0" t="n">
        <v>2022</v>
      </c>
      <c r="C1066" s="0" t="s">
        <v>57</v>
      </c>
      <c r="D1066" s="0" t="n">
        <v>585193</v>
      </c>
      <c r="E1066" s="0" t="n">
        <v>1</v>
      </c>
      <c r="F1066" s="0" t="s">
        <v>437</v>
      </c>
      <c r="G1066" s="0" t="s">
        <v>7040</v>
      </c>
      <c r="I1066" s="0" t="s">
        <v>3697</v>
      </c>
    </row>
    <row r="1067" customFormat="false" ht="15" hidden="false" customHeight="false" outlineLevel="0" collapsed="false">
      <c r="A1067" s="0" t="s">
        <v>178</v>
      </c>
      <c r="B1067" s="0" t="n">
        <v>2022</v>
      </c>
      <c r="C1067" s="0" t="s">
        <v>58</v>
      </c>
      <c r="D1067" s="0" t="n">
        <v>1063228</v>
      </c>
      <c r="E1067" s="0" t="n">
        <v>1</v>
      </c>
      <c r="F1067" s="0" t="s">
        <v>437</v>
      </c>
      <c r="G1067" s="0" t="s">
        <v>7040</v>
      </c>
      <c r="I1067" s="0" t="s">
        <v>3703</v>
      </c>
    </row>
    <row r="1068" customFormat="false" ht="15" hidden="false" customHeight="false" outlineLevel="0" collapsed="false">
      <c r="A1068" s="0" t="s">
        <v>178</v>
      </c>
      <c r="B1068" s="0" t="n">
        <v>2022</v>
      </c>
      <c r="C1068" s="0" t="s">
        <v>59</v>
      </c>
      <c r="D1068" s="0" t="n">
        <v>5574976</v>
      </c>
      <c r="E1068" s="0" t="n">
        <v>1</v>
      </c>
      <c r="F1068" s="0" t="s">
        <v>437</v>
      </c>
      <c r="G1068" s="0" t="s">
        <v>7041</v>
      </c>
      <c r="I1068" s="0" t="s">
        <v>3699</v>
      </c>
    </row>
    <row r="1069" customFormat="false" ht="15" hidden="false" customHeight="false" outlineLevel="0" collapsed="false">
      <c r="A1069" s="0" t="s">
        <v>178</v>
      </c>
      <c r="B1069" s="0" t="n">
        <v>2022</v>
      </c>
      <c r="C1069" s="0" t="s">
        <v>60</v>
      </c>
      <c r="D1069" s="0" t="n">
        <v>2174779</v>
      </c>
      <c r="E1069" s="0" t="n">
        <v>1</v>
      </c>
      <c r="F1069" s="0" t="s">
        <v>437</v>
      </c>
      <c r="G1069" s="0" t="s">
        <v>7040</v>
      </c>
      <c r="I1069" s="0" t="s">
        <v>3718</v>
      </c>
    </row>
    <row r="1070" customFormat="false" ht="15" hidden="false" customHeight="false" outlineLevel="0" collapsed="false">
      <c r="A1070" s="0" t="s">
        <v>178</v>
      </c>
      <c r="B1070" s="0" t="n">
        <v>2022</v>
      </c>
      <c r="C1070" s="0" t="s">
        <v>61</v>
      </c>
      <c r="D1070" s="0" t="n">
        <v>51682</v>
      </c>
      <c r="E1070" s="0" t="n">
        <v>1</v>
      </c>
      <c r="F1070" s="0" t="s">
        <v>437</v>
      </c>
      <c r="G1070" s="0" t="s">
        <v>7040</v>
      </c>
      <c r="I1070" s="0" t="s">
        <v>3719</v>
      </c>
    </row>
    <row r="1071" customFormat="false" ht="15" hidden="false" customHeight="false" outlineLevel="0" collapsed="false">
      <c r="A1071" s="0" t="s">
        <v>178</v>
      </c>
      <c r="B1071" s="0" t="n">
        <v>2022</v>
      </c>
      <c r="C1071" s="0" t="s">
        <v>62</v>
      </c>
      <c r="D1071" s="0" t="n">
        <v>2123097</v>
      </c>
      <c r="E1071" s="0" t="n">
        <v>1</v>
      </c>
      <c r="F1071" s="0" t="s">
        <v>437</v>
      </c>
      <c r="G1071" s="0" t="s">
        <v>7040</v>
      </c>
      <c r="I1071" s="0" t="s">
        <v>3698</v>
      </c>
    </row>
    <row r="1072" customFormat="false" ht="15" hidden="false" customHeight="false" outlineLevel="0" collapsed="false">
      <c r="A1072" s="0" t="s">
        <v>178</v>
      </c>
      <c r="B1072" s="0" t="n">
        <v>2022</v>
      </c>
      <c r="C1072" s="0" t="s">
        <v>63</v>
      </c>
      <c r="D1072" s="0" t="n">
        <v>10565</v>
      </c>
      <c r="E1072" s="0" t="n">
        <v>2</v>
      </c>
      <c r="F1072" s="0" t="s">
        <v>437</v>
      </c>
      <c r="G1072" s="0" t="s">
        <v>7053</v>
      </c>
      <c r="I1072" s="0" t="s">
        <v>7057</v>
      </c>
    </row>
    <row r="1073" customFormat="false" ht="15" hidden="false" customHeight="false" outlineLevel="0" collapsed="false">
      <c r="A1073" s="0" t="s">
        <v>178</v>
      </c>
      <c r="B1073" s="0" t="n">
        <v>2022</v>
      </c>
      <c r="C1073" s="0" t="s">
        <v>307</v>
      </c>
      <c r="D1073" s="0" t="n">
        <v>5669</v>
      </c>
      <c r="E1073" s="0" t="n">
        <v>1</v>
      </c>
      <c r="F1073" s="0" t="s">
        <v>437</v>
      </c>
      <c r="G1073" s="0" t="s">
        <v>7040</v>
      </c>
      <c r="I1073" s="0" t="s">
        <v>3688</v>
      </c>
    </row>
    <row r="1074" customFormat="false" ht="15" hidden="false" customHeight="false" outlineLevel="0" collapsed="false">
      <c r="A1074" s="0" t="s">
        <v>178</v>
      </c>
      <c r="B1074" s="0" t="n">
        <v>2022</v>
      </c>
      <c r="C1074" s="0" t="s">
        <v>1038</v>
      </c>
      <c r="D1074" s="0" t="n">
        <v>4896</v>
      </c>
      <c r="E1074" s="0" t="n">
        <v>1</v>
      </c>
      <c r="F1074" s="0" t="s">
        <v>437</v>
      </c>
      <c r="G1074" s="0" t="s">
        <v>7040</v>
      </c>
      <c r="I1074" s="0" t="s">
        <v>3689</v>
      </c>
    </row>
    <row r="1075" customFormat="false" ht="15" hidden="false" customHeight="false" outlineLevel="0" collapsed="false">
      <c r="A1075" s="0" t="s">
        <v>178</v>
      </c>
      <c r="B1075" s="0" t="n">
        <v>2022</v>
      </c>
      <c r="C1075" s="0" t="s">
        <v>69</v>
      </c>
      <c r="D1075" s="0" t="n">
        <v>21.9</v>
      </c>
      <c r="E1075" s="0" t="n">
        <v>1</v>
      </c>
      <c r="F1075" s="0" t="s">
        <v>437</v>
      </c>
      <c r="G1075" s="0" t="s">
        <v>7040</v>
      </c>
      <c r="I1075" s="0" t="s">
        <v>3743</v>
      </c>
    </row>
    <row r="1076" customFormat="false" ht="15" hidden="false" customHeight="false" outlineLevel="0" collapsed="false">
      <c r="A1076" s="0" t="s">
        <v>178</v>
      </c>
      <c r="B1076" s="0" t="n">
        <v>2022</v>
      </c>
      <c r="C1076" s="0" t="s">
        <v>70</v>
      </c>
      <c r="D1076" s="0" t="n">
        <v>17</v>
      </c>
      <c r="E1076" s="0" t="n">
        <v>1</v>
      </c>
      <c r="F1076" s="0" t="s">
        <v>437</v>
      </c>
      <c r="G1076" s="0" t="s">
        <v>7040</v>
      </c>
      <c r="I1076" s="0" t="s">
        <v>3747</v>
      </c>
    </row>
    <row r="1077" customFormat="false" ht="15" hidden="false" customHeight="false" outlineLevel="0" collapsed="false">
      <c r="A1077" s="0" t="s">
        <v>178</v>
      </c>
      <c r="B1077" s="0" t="n">
        <v>2022</v>
      </c>
      <c r="C1077" s="0" t="s">
        <v>65</v>
      </c>
      <c r="D1077" s="0" t="n">
        <v>369520</v>
      </c>
      <c r="E1077" s="0" t="n">
        <v>1</v>
      </c>
      <c r="F1077" s="0" t="s">
        <v>437</v>
      </c>
      <c r="G1077" s="0" t="s">
        <v>7040</v>
      </c>
      <c r="I1077" s="0" t="s">
        <v>3741</v>
      </c>
    </row>
    <row r="1078" customFormat="false" ht="15" hidden="false" customHeight="false" outlineLevel="0" collapsed="false">
      <c r="A1078" s="0" t="s">
        <v>178</v>
      </c>
      <c r="B1078" s="0" t="n">
        <v>2022</v>
      </c>
      <c r="C1078" s="0" t="s">
        <v>66</v>
      </c>
      <c r="D1078" s="0" t="n">
        <v>1690930</v>
      </c>
      <c r="E1078" s="0" t="n">
        <v>1</v>
      </c>
      <c r="F1078" s="0" t="s">
        <v>437</v>
      </c>
      <c r="G1078" s="0" t="s">
        <v>7040</v>
      </c>
      <c r="I1078" s="0" t="s">
        <v>3742</v>
      </c>
    </row>
    <row r="1079" customFormat="false" ht="15" hidden="false" customHeight="false" outlineLevel="0" collapsed="false">
      <c r="A1079" s="0" t="s">
        <v>178</v>
      </c>
      <c r="B1079" s="0" t="n">
        <v>2022</v>
      </c>
      <c r="C1079" s="0" t="s">
        <v>71</v>
      </c>
      <c r="D1079" s="0" t="n">
        <v>59.03</v>
      </c>
      <c r="E1079" s="0" t="n">
        <v>1</v>
      </c>
      <c r="F1079" s="0" t="s">
        <v>437</v>
      </c>
      <c r="G1079" s="0" t="s">
        <v>7040</v>
      </c>
      <c r="I1079" s="0" t="s">
        <v>3749</v>
      </c>
    </row>
    <row r="1080" customFormat="false" ht="15" hidden="false" customHeight="false" outlineLevel="0" collapsed="false">
      <c r="A1080" s="0" t="s">
        <v>178</v>
      </c>
      <c r="B1080" s="0" t="n">
        <v>2022</v>
      </c>
      <c r="C1080" s="0" t="s">
        <v>541</v>
      </c>
      <c r="D1080" s="0" t="n">
        <v>141317</v>
      </c>
      <c r="E1080" s="0" t="n">
        <v>1</v>
      </c>
      <c r="F1080" s="0" t="s">
        <v>437</v>
      </c>
      <c r="G1080" s="0" t="s">
        <v>7040</v>
      </c>
      <c r="I1080" s="0" t="s">
        <v>3687</v>
      </c>
    </row>
    <row r="1081" customFormat="false" ht="15" hidden="false" customHeight="false" outlineLevel="0" collapsed="false">
      <c r="A1081" s="0" t="s">
        <v>187</v>
      </c>
      <c r="B1081" s="0" t="n">
        <v>2013</v>
      </c>
      <c r="C1081" s="0" t="s">
        <v>54</v>
      </c>
      <c r="D1081" s="0" t="n">
        <v>5121</v>
      </c>
      <c r="E1081" s="0" t="n">
        <v>1</v>
      </c>
      <c r="F1081" s="0" t="s">
        <v>437</v>
      </c>
      <c r="G1081" s="0" t="s">
        <v>7040</v>
      </c>
      <c r="I1081" s="0" t="s">
        <v>3545</v>
      </c>
    </row>
    <row r="1082" customFormat="false" ht="15" hidden="false" customHeight="false" outlineLevel="0" collapsed="false">
      <c r="A1082" s="0" t="s">
        <v>187</v>
      </c>
      <c r="B1082" s="0" t="n">
        <v>2013</v>
      </c>
      <c r="C1082" s="0" t="s">
        <v>55</v>
      </c>
      <c r="D1082" s="0" t="n">
        <v>882097</v>
      </c>
      <c r="E1082" s="0" t="n">
        <v>1</v>
      </c>
      <c r="F1082" s="0" t="s">
        <v>437</v>
      </c>
      <c r="G1082" s="0" t="s">
        <v>7040</v>
      </c>
      <c r="I1082" s="0" t="s">
        <v>3549</v>
      </c>
    </row>
    <row r="1083" customFormat="false" ht="15" hidden="false" customHeight="false" outlineLevel="0" collapsed="false">
      <c r="A1083" s="0" t="s">
        <v>187</v>
      </c>
      <c r="B1083" s="0" t="n">
        <v>2013</v>
      </c>
      <c r="C1083" s="0" t="s">
        <v>56</v>
      </c>
      <c r="D1083" s="0" t="n">
        <v>694313</v>
      </c>
      <c r="E1083" s="0" t="n">
        <v>1</v>
      </c>
      <c r="F1083" s="0" t="s">
        <v>437</v>
      </c>
      <c r="G1083" s="0" t="s">
        <v>7040</v>
      </c>
      <c r="I1083" s="0" t="s">
        <v>3550</v>
      </c>
    </row>
    <row r="1084" customFormat="false" ht="15" hidden="false" customHeight="false" outlineLevel="0" collapsed="false">
      <c r="A1084" s="0" t="s">
        <v>187</v>
      </c>
      <c r="B1084" s="0" t="n">
        <v>2013</v>
      </c>
      <c r="C1084" s="0" t="s">
        <v>57</v>
      </c>
      <c r="D1084" s="0" t="n">
        <v>187784</v>
      </c>
      <c r="E1084" s="0" t="n">
        <v>1</v>
      </c>
      <c r="F1084" s="0" t="s">
        <v>437</v>
      </c>
      <c r="G1084" s="0" t="s">
        <v>7040</v>
      </c>
      <c r="I1084" s="0" t="s">
        <v>3551</v>
      </c>
    </row>
    <row r="1085" customFormat="false" ht="15" hidden="false" customHeight="false" outlineLevel="0" collapsed="false">
      <c r="A1085" s="0" t="s">
        <v>187</v>
      </c>
      <c r="B1085" s="0" t="n">
        <v>2013</v>
      </c>
      <c r="C1085" s="0" t="s">
        <v>58</v>
      </c>
      <c r="D1085" s="0" t="n">
        <v>-93031</v>
      </c>
      <c r="E1085" s="0" t="n">
        <v>1</v>
      </c>
      <c r="F1085" s="0" t="s">
        <v>437</v>
      </c>
      <c r="G1085" s="0" t="s">
        <v>7040</v>
      </c>
      <c r="I1085" s="0" t="s">
        <v>3554</v>
      </c>
    </row>
    <row r="1086" customFormat="false" ht="15" hidden="false" customHeight="false" outlineLevel="0" collapsed="false">
      <c r="A1086" s="0" t="s">
        <v>187</v>
      </c>
      <c r="B1086" s="0" t="n">
        <v>2013</v>
      </c>
      <c r="C1086" s="0" t="s">
        <v>60</v>
      </c>
      <c r="D1086" s="0" t="n">
        <v>230720</v>
      </c>
      <c r="E1086" s="0" t="n">
        <v>1</v>
      </c>
      <c r="F1086" s="0" t="s">
        <v>437</v>
      </c>
      <c r="G1086" s="0" t="s">
        <v>7040</v>
      </c>
      <c r="I1086" s="0" t="s">
        <v>3555</v>
      </c>
    </row>
    <row r="1087" customFormat="false" ht="15" hidden="false" customHeight="false" outlineLevel="0" collapsed="false">
      <c r="A1087" s="0" t="s">
        <v>187</v>
      </c>
      <c r="B1087" s="0" t="n">
        <v>2013</v>
      </c>
      <c r="C1087" s="0" t="s">
        <v>61</v>
      </c>
      <c r="D1087" s="0" t="n">
        <v>20602</v>
      </c>
      <c r="E1087" s="0" t="n">
        <v>1</v>
      </c>
      <c r="F1087" s="0" t="s">
        <v>437</v>
      </c>
      <c r="G1087" s="0" t="s">
        <v>7040</v>
      </c>
      <c r="I1087" s="0" t="s">
        <v>3556</v>
      </c>
    </row>
    <row r="1088" customFormat="false" ht="15" hidden="false" customHeight="false" outlineLevel="0" collapsed="false">
      <c r="A1088" s="0" t="s">
        <v>187</v>
      </c>
      <c r="B1088" s="0" t="n">
        <v>2013</v>
      </c>
      <c r="C1088" s="0" t="s">
        <v>307</v>
      </c>
      <c r="D1088" s="0" t="n">
        <v>13255</v>
      </c>
      <c r="E1088" s="0" t="n">
        <v>1</v>
      </c>
      <c r="F1088" s="0" t="s">
        <v>437</v>
      </c>
      <c r="G1088" s="0" t="s">
        <v>7040</v>
      </c>
      <c r="I1088" s="0" t="s">
        <v>3547</v>
      </c>
    </row>
    <row r="1089" customFormat="false" ht="15" hidden="false" customHeight="false" outlineLevel="0" collapsed="false">
      <c r="A1089" s="0" t="s">
        <v>187</v>
      </c>
      <c r="B1089" s="0" t="n">
        <v>2013</v>
      </c>
      <c r="C1089" s="0" t="s">
        <v>64</v>
      </c>
      <c r="D1089" s="0" t="n">
        <v>13644</v>
      </c>
      <c r="E1089" s="0" t="n">
        <v>1</v>
      </c>
      <c r="F1089" s="0" t="s">
        <v>437</v>
      </c>
      <c r="G1089" s="0" t="s">
        <v>7040</v>
      </c>
      <c r="I1089" s="0" t="s">
        <v>3559</v>
      </c>
    </row>
    <row r="1090" customFormat="false" ht="15" hidden="false" customHeight="false" outlineLevel="0" collapsed="false">
      <c r="A1090" s="0" t="s">
        <v>187</v>
      </c>
      <c r="B1090" s="0" t="n">
        <v>2013</v>
      </c>
      <c r="C1090" s="0" t="s">
        <v>327</v>
      </c>
      <c r="D1090" s="0" t="n">
        <v>5.91</v>
      </c>
      <c r="E1090" s="0" t="n">
        <v>1</v>
      </c>
      <c r="F1090" s="0" t="s">
        <v>437</v>
      </c>
      <c r="G1090" s="0" t="s">
        <v>7040</v>
      </c>
      <c r="I1090" s="0" t="s">
        <v>3560</v>
      </c>
    </row>
    <row r="1091" customFormat="false" ht="15" hidden="false" customHeight="false" outlineLevel="0" collapsed="false">
      <c r="A1091" s="0" t="s">
        <v>187</v>
      </c>
      <c r="B1091" s="0" t="n">
        <v>2013</v>
      </c>
      <c r="C1091" s="0" t="s">
        <v>69</v>
      </c>
      <c r="D1091" s="0" t="n">
        <v>24.8</v>
      </c>
      <c r="E1091" s="0" t="n">
        <v>1</v>
      </c>
      <c r="F1091" s="0" t="s">
        <v>437</v>
      </c>
      <c r="G1091" s="0" t="s">
        <v>7040</v>
      </c>
      <c r="I1091" s="0" t="s">
        <v>3561</v>
      </c>
    </row>
    <row r="1092" customFormat="false" ht="15" hidden="false" customHeight="false" outlineLevel="0" collapsed="false">
      <c r="A1092" s="0" t="s">
        <v>187</v>
      </c>
      <c r="B1092" s="0" t="n">
        <v>2014</v>
      </c>
      <c r="C1092" s="0" t="s">
        <v>54</v>
      </c>
      <c r="D1092" s="0" t="n">
        <v>20486</v>
      </c>
      <c r="E1092" s="0" t="n">
        <v>1</v>
      </c>
      <c r="F1092" s="0" t="s">
        <v>437</v>
      </c>
      <c r="G1092" s="0" t="s">
        <v>7040</v>
      </c>
      <c r="I1092" s="0" t="s">
        <v>3523</v>
      </c>
    </row>
    <row r="1093" customFormat="false" ht="15" hidden="false" customHeight="false" outlineLevel="0" collapsed="false">
      <c r="A1093" s="0" t="s">
        <v>187</v>
      </c>
      <c r="B1093" s="0" t="n">
        <v>2014</v>
      </c>
      <c r="C1093" s="0" t="s">
        <v>55</v>
      </c>
      <c r="D1093" s="0" t="n">
        <v>920936</v>
      </c>
      <c r="E1093" s="0" t="n">
        <v>1</v>
      </c>
      <c r="F1093" s="0" t="s">
        <v>437</v>
      </c>
      <c r="G1093" s="0" t="s">
        <v>7040</v>
      </c>
      <c r="I1093" s="0" t="s">
        <v>3529</v>
      </c>
    </row>
    <row r="1094" customFormat="false" ht="15" hidden="false" customHeight="false" outlineLevel="0" collapsed="false">
      <c r="A1094" s="0" t="s">
        <v>187</v>
      </c>
      <c r="B1094" s="0" t="n">
        <v>2014</v>
      </c>
      <c r="C1094" s="0" t="s">
        <v>56</v>
      </c>
      <c r="D1094" s="0" t="n">
        <v>714962</v>
      </c>
      <c r="E1094" s="0" t="n">
        <v>1</v>
      </c>
      <c r="F1094" s="0" t="s">
        <v>437</v>
      </c>
      <c r="G1094" s="0" t="s">
        <v>7040</v>
      </c>
      <c r="I1094" s="0" t="s">
        <v>3530</v>
      </c>
    </row>
    <row r="1095" customFormat="false" ht="15" hidden="false" customHeight="false" outlineLevel="0" collapsed="false">
      <c r="A1095" s="0" t="s">
        <v>187</v>
      </c>
      <c r="B1095" s="0" t="n">
        <v>2014</v>
      </c>
      <c r="C1095" s="0" t="s">
        <v>57</v>
      </c>
      <c r="D1095" s="0" t="n">
        <v>205974</v>
      </c>
      <c r="E1095" s="0" t="n">
        <v>1</v>
      </c>
      <c r="F1095" s="0" t="s">
        <v>437</v>
      </c>
      <c r="G1095" s="0" t="s">
        <v>7040</v>
      </c>
      <c r="I1095" s="0" t="s">
        <v>3531</v>
      </c>
    </row>
    <row r="1096" customFormat="false" ht="15" hidden="false" customHeight="false" outlineLevel="0" collapsed="false">
      <c r="A1096" s="0" t="s">
        <v>187</v>
      </c>
      <c r="B1096" s="0" t="n">
        <v>2014</v>
      </c>
      <c r="C1096" s="0" t="s">
        <v>58</v>
      </c>
      <c r="D1096" s="0" t="n">
        <v>-121957</v>
      </c>
      <c r="E1096" s="0" t="n">
        <v>1</v>
      </c>
      <c r="F1096" s="0" t="s">
        <v>437</v>
      </c>
      <c r="G1096" s="0" t="s">
        <v>7040</v>
      </c>
      <c r="I1096" s="0" t="s">
        <v>3534</v>
      </c>
    </row>
    <row r="1097" customFormat="false" ht="15" hidden="false" customHeight="false" outlineLevel="0" collapsed="false">
      <c r="A1097" s="0" t="s">
        <v>187</v>
      </c>
      <c r="B1097" s="0" t="n">
        <v>2014</v>
      </c>
      <c r="C1097" s="0" t="s">
        <v>59</v>
      </c>
      <c r="D1097" s="0" t="n">
        <v>882097</v>
      </c>
      <c r="E1097" s="0" t="n">
        <v>1</v>
      </c>
      <c r="F1097" s="0" t="s">
        <v>437</v>
      </c>
      <c r="G1097" s="0" t="s">
        <v>7041</v>
      </c>
      <c r="I1097" s="0" t="s">
        <v>3549</v>
      </c>
    </row>
    <row r="1098" customFormat="false" ht="15" hidden="false" customHeight="false" outlineLevel="0" collapsed="false">
      <c r="A1098" s="0" t="s">
        <v>187</v>
      </c>
      <c r="B1098" s="0" t="n">
        <v>2014</v>
      </c>
      <c r="C1098" s="0" t="s">
        <v>60</v>
      </c>
      <c r="D1098" s="0" t="n">
        <v>325748</v>
      </c>
      <c r="E1098" s="0" t="n">
        <v>1</v>
      </c>
      <c r="F1098" s="0" t="s">
        <v>437</v>
      </c>
      <c r="G1098" s="0" t="s">
        <v>7040</v>
      </c>
      <c r="I1098" s="0" t="s">
        <v>3535</v>
      </c>
    </row>
    <row r="1099" customFormat="false" ht="15" hidden="false" customHeight="false" outlineLevel="0" collapsed="false">
      <c r="A1099" s="0" t="s">
        <v>187</v>
      </c>
      <c r="B1099" s="0" t="n">
        <v>2014</v>
      </c>
      <c r="C1099" s="0" t="s">
        <v>61</v>
      </c>
      <c r="D1099" s="0" t="n">
        <v>23376</v>
      </c>
      <c r="E1099" s="0" t="n">
        <v>1</v>
      </c>
      <c r="F1099" s="0" t="s">
        <v>437</v>
      </c>
      <c r="G1099" s="0" t="s">
        <v>7040</v>
      </c>
      <c r="I1099" s="0" t="s">
        <v>3536</v>
      </c>
    </row>
    <row r="1100" customFormat="false" ht="15" hidden="false" customHeight="false" outlineLevel="0" collapsed="false">
      <c r="A1100" s="0" t="s">
        <v>187</v>
      </c>
      <c r="B1100" s="0" t="n">
        <v>2014</v>
      </c>
      <c r="C1100" s="0" t="s">
        <v>307</v>
      </c>
      <c r="D1100" s="0" t="n">
        <v>3307</v>
      </c>
      <c r="E1100" s="0" t="n">
        <v>1</v>
      </c>
      <c r="F1100" s="0" t="s">
        <v>437</v>
      </c>
      <c r="G1100" s="0" t="s">
        <v>7040</v>
      </c>
      <c r="I1100" s="0" t="s">
        <v>3526</v>
      </c>
    </row>
    <row r="1101" customFormat="false" ht="15" hidden="false" customHeight="false" outlineLevel="0" collapsed="false">
      <c r="A1101" s="0" t="s">
        <v>187</v>
      </c>
      <c r="B1101" s="0" t="n">
        <v>2014</v>
      </c>
      <c r="C1101" s="0" t="s">
        <v>64</v>
      </c>
      <c r="D1101" s="0" t="n">
        <v>16756</v>
      </c>
      <c r="E1101" s="0" t="n">
        <v>1</v>
      </c>
      <c r="F1101" s="0" t="s">
        <v>437</v>
      </c>
      <c r="G1101" s="0" t="s">
        <v>7040</v>
      </c>
      <c r="I1101" s="0" t="s">
        <v>3539</v>
      </c>
    </row>
    <row r="1102" customFormat="false" ht="15" hidden="false" customHeight="false" outlineLevel="0" collapsed="false">
      <c r="A1102" s="0" t="s">
        <v>187</v>
      </c>
      <c r="B1102" s="0" t="n">
        <v>2014</v>
      </c>
      <c r="C1102" s="0" t="s">
        <v>327</v>
      </c>
      <c r="D1102" s="0" t="n">
        <v>5.14</v>
      </c>
      <c r="E1102" s="0" t="n">
        <v>1</v>
      </c>
      <c r="F1102" s="0" t="s">
        <v>437</v>
      </c>
      <c r="G1102" s="0" t="s">
        <v>7040</v>
      </c>
      <c r="I1102" s="0" t="s">
        <v>3540</v>
      </c>
    </row>
    <row r="1103" customFormat="false" ht="15" hidden="false" customHeight="false" outlineLevel="0" collapsed="false">
      <c r="A1103" s="0" t="s">
        <v>187</v>
      </c>
      <c r="B1103" s="0" t="n">
        <v>2014</v>
      </c>
      <c r="C1103" s="0" t="s">
        <v>69</v>
      </c>
      <c r="D1103" s="0" t="n">
        <v>16.39</v>
      </c>
      <c r="E1103" s="0" t="n">
        <v>1</v>
      </c>
      <c r="F1103" s="0" t="s">
        <v>437</v>
      </c>
      <c r="G1103" s="0" t="s">
        <v>7040</v>
      </c>
      <c r="I1103" s="0" t="s">
        <v>3541</v>
      </c>
    </row>
    <row r="1104" customFormat="false" ht="15" hidden="false" customHeight="false" outlineLevel="0" collapsed="false">
      <c r="A1104" s="0" t="s">
        <v>187</v>
      </c>
      <c r="B1104" s="0" t="n">
        <v>2015</v>
      </c>
      <c r="C1104" s="0" t="s">
        <v>54</v>
      </c>
      <c r="D1104" s="0" t="n">
        <v>18035</v>
      </c>
      <c r="E1104" s="0" t="n">
        <v>1</v>
      </c>
      <c r="F1104" s="0" t="s">
        <v>437</v>
      </c>
      <c r="G1104" s="0" t="s">
        <v>7040</v>
      </c>
      <c r="I1104" s="0" t="s">
        <v>1328</v>
      </c>
    </row>
    <row r="1105" customFormat="false" ht="15" hidden="false" customHeight="false" outlineLevel="0" collapsed="false">
      <c r="A1105" s="0" t="s">
        <v>187</v>
      </c>
      <c r="B1105" s="0" t="n">
        <v>2015</v>
      </c>
      <c r="C1105" s="0" t="s">
        <v>55</v>
      </c>
      <c r="D1105" s="0" t="n">
        <v>1000976</v>
      </c>
      <c r="E1105" s="0" t="n">
        <v>1</v>
      </c>
      <c r="F1105" s="0" t="s">
        <v>437</v>
      </c>
      <c r="G1105" s="0" t="s">
        <v>7040</v>
      </c>
      <c r="I1105" s="0" t="s">
        <v>1329</v>
      </c>
    </row>
    <row r="1106" customFormat="false" ht="15" hidden="false" customHeight="false" outlineLevel="0" collapsed="false">
      <c r="A1106" s="0" t="s">
        <v>187</v>
      </c>
      <c r="B1106" s="0" t="n">
        <v>2015</v>
      </c>
      <c r="C1106" s="0" t="s">
        <v>56</v>
      </c>
      <c r="D1106" s="0" t="n">
        <v>767469</v>
      </c>
      <c r="E1106" s="0" t="n">
        <v>1</v>
      </c>
      <c r="F1106" s="0" t="s">
        <v>437</v>
      </c>
      <c r="G1106" s="0" t="s">
        <v>7040</v>
      </c>
      <c r="I1106" s="0" t="s">
        <v>1330</v>
      </c>
    </row>
    <row r="1107" customFormat="false" ht="15" hidden="false" customHeight="false" outlineLevel="0" collapsed="false">
      <c r="A1107" s="0" t="s">
        <v>187</v>
      </c>
      <c r="B1107" s="0" t="n">
        <v>2015</v>
      </c>
      <c r="C1107" s="0" t="s">
        <v>57</v>
      </c>
      <c r="D1107" s="0" t="n">
        <v>233507</v>
      </c>
      <c r="E1107" s="0" t="n">
        <v>1</v>
      </c>
      <c r="F1107" s="0" t="s">
        <v>437</v>
      </c>
      <c r="G1107" s="0" t="s">
        <v>7040</v>
      </c>
      <c r="I1107" s="0" t="s">
        <v>1331</v>
      </c>
    </row>
    <row r="1108" customFormat="false" ht="15" hidden="false" customHeight="false" outlineLevel="0" collapsed="false">
      <c r="A1108" s="0" t="s">
        <v>187</v>
      </c>
      <c r="B1108" s="0" t="n">
        <v>2015</v>
      </c>
      <c r="C1108" s="0" t="s">
        <v>58</v>
      </c>
      <c r="D1108" s="0" t="n">
        <v>10975</v>
      </c>
      <c r="E1108" s="0" t="n">
        <v>1</v>
      </c>
      <c r="F1108" s="0" t="s">
        <v>437</v>
      </c>
      <c r="G1108" s="0" t="s">
        <v>7040</v>
      </c>
      <c r="I1108" s="0" t="s">
        <v>1332</v>
      </c>
    </row>
    <row r="1109" customFormat="false" ht="15" hidden="false" customHeight="false" outlineLevel="0" collapsed="false">
      <c r="A1109" s="0" t="s">
        <v>187</v>
      </c>
      <c r="B1109" s="0" t="n">
        <v>2015</v>
      </c>
      <c r="C1109" s="0" t="s">
        <v>59</v>
      </c>
      <c r="D1109" s="0" t="n">
        <v>922755</v>
      </c>
      <c r="E1109" s="0" t="n">
        <v>1</v>
      </c>
      <c r="F1109" s="0" t="s">
        <v>437</v>
      </c>
      <c r="G1109" s="0" t="s">
        <v>7040</v>
      </c>
      <c r="I1109" s="0" t="s">
        <v>1333</v>
      </c>
    </row>
    <row r="1110" customFormat="false" ht="15" hidden="false" customHeight="false" outlineLevel="0" collapsed="false">
      <c r="A1110" s="0" t="s">
        <v>187</v>
      </c>
      <c r="B1110" s="0" t="n">
        <v>2015</v>
      </c>
      <c r="C1110" s="0" t="s">
        <v>60</v>
      </c>
      <c r="D1110" s="0" t="n">
        <v>370949</v>
      </c>
      <c r="E1110" s="0" t="n">
        <v>1</v>
      </c>
      <c r="F1110" s="0" t="s">
        <v>437</v>
      </c>
      <c r="G1110" s="0" t="s">
        <v>7040</v>
      </c>
      <c r="I1110" s="0" t="s">
        <v>1334</v>
      </c>
    </row>
    <row r="1111" customFormat="false" ht="15" hidden="false" customHeight="false" outlineLevel="0" collapsed="false">
      <c r="A1111" s="0" t="s">
        <v>187</v>
      </c>
      <c r="B1111" s="0" t="n">
        <v>2015</v>
      </c>
      <c r="C1111" s="0" t="s">
        <v>61</v>
      </c>
      <c r="D1111" s="0" t="n">
        <v>21965</v>
      </c>
      <c r="E1111" s="0" t="n">
        <v>1</v>
      </c>
      <c r="F1111" s="0" t="s">
        <v>437</v>
      </c>
      <c r="G1111" s="0" t="s">
        <v>7040</v>
      </c>
      <c r="I1111" s="0" t="s">
        <v>1335</v>
      </c>
    </row>
    <row r="1112" customFormat="false" ht="15" hidden="false" customHeight="false" outlineLevel="0" collapsed="false">
      <c r="A1112" s="0" t="s">
        <v>187</v>
      </c>
      <c r="B1112" s="0" t="n">
        <v>2015</v>
      </c>
      <c r="C1112" s="0" t="s">
        <v>62</v>
      </c>
      <c r="D1112" s="0" t="n">
        <v>348984</v>
      </c>
      <c r="E1112" s="0" t="n">
        <v>1</v>
      </c>
      <c r="F1112" s="0" t="s">
        <v>437</v>
      </c>
      <c r="G1112" s="0" t="s">
        <v>7040</v>
      </c>
      <c r="I1112" s="0" t="s">
        <v>1336</v>
      </c>
    </row>
    <row r="1113" customFormat="false" ht="15" hidden="false" customHeight="false" outlineLevel="0" collapsed="false">
      <c r="A1113" s="0" t="s">
        <v>187</v>
      </c>
      <c r="B1113" s="0" t="n">
        <v>2015</v>
      </c>
      <c r="C1113" s="0" t="s">
        <v>63</v>
      </c>
      <c r="D1113" s="0" t="n">
        <v>9177</v>
      </c>
      <c r="E1113" s="0" t="n">
        <v>1</v>
      </c>
      <c r="F1113" s="0" t="s">
        <v>437</v>
      </c>
      <c r="G1113" s="0" t="s">
        <v>7040</v>
      </c>
      <c r="I1113" s="0" t="s">
        <v>1337</v>
      </c>
    </row>
    <row r="1114" customFormat="false" ht="15" hidden="false" customHeight="false" outlineLevel="0" collapsed="false">
      <c r="A1114" s="0" t="s">
        <v>187</v>
      </c>
      <c r="B1114" s="0" t="n">
        <v>2015</v>
      </c>
      <c r="C1114" s="0" t="s">
        <v>307</v>
      </c>
      <c r="D1114" s="0" t="n">
        <v>9881</v>
      </c>
      <c r="E1114" s="0" t="n">
        <v>1</v>
      </c>
      <c r="F1114" s="0" t="s">
        <v>437</v>
      </c>
      <c r="G1114" s="0" t="s">
        <v>7040</v>
      </c>
      <c r="I1114" s="0" t="s">
        <v>1338</v>
      </c>
    </row>
    <row r="1115" customFormat="false" ht="15" hidden="false" customHeight="false" outlineLevel="0" collapsed="false">
      <c r="A1115" s="0" t="s">
        <v>187</v>
      </c>
      <c r="B1115" s="0" t="n">
        <v>2015</v>
      </c>
      <c r="C1115" s="0" t="s">
        <v>1038</v>
      </c>
      <c r="D1115" s="0" t="n">
        <v>-704</v>
      </c>
      <c r="E1115" s="0" t="n">
        <v>1</v>
      </c>
      <c r="F1115" s="0" t="s">
        <v>437</v>
      </c>
      <c r="G1115" s="0" t="s">
        <v>7040</v>
      </c>
      <c r="I1115" s="0" t="s">
        <v>1339</v>
      </c>
    </row>
    <row r="1116" customFormat="false" ht="15" hidden="false" customHeight="false" outlineLevel="0" collapsed="false">
      <c r="A1116" s="0" t="s">
        <v>187</v>
      </c>
      <c r="B1116" s="0" t="n">
        <v>2015</v>
      </c>
      <c r="C1116" s="0" t="s">
        <v>69</v>
      </c>
      <c r="D1116" s="0" t="n">
        <v>15.9</v>
      </c>
      <c r="E1116" s="0" t="n">
        <v>1</v>
      </c>
      <c r="F1116" s="0" t="s">
        <v>437</v>
      </c>
      <c r="G1116" s="0" t="s">
        <v>7040</v>
      </c>
      <c r="I1116" s="0" t="s">
        <v>1340</v>
      </c>
    </row>
    <row r="1117" customFormat="false" ht="15" hidden="false" customHeight="false" outlineLevel="0" collapsed="false">
      <c r="A1117" s="0" t="s">
        <v>187</v>
      </c>
      <c r="B1117" s="0" t="n">
        <v>2015</v>
      </c>
      <c r="C1117" s="0" t="s">
        <v>65</v>
      </c>
      <c r="D1117" s="0" t="n">
        <v>93697</v>
      </c>
      <c r="E1117" s="0" t="n">
        <v>1</v>
      </c>
      <c r="F1117" s="0" t="s">
        <v>437</v>
      </c>
      <c r="G1117" s="0" t="s">
        <v>7040</v>
      </c>
      <c r="I1117" s="0" t="s">
        <v>1341</v>
      </c>
    </row>
    <row r="1118" customFormat="false" ht="15" hidden="false" customHeight="false" outlineLevel="0" collapsed="false">
      <c r="A1118" s="0" t="s">
        <v>187</v>
      </c>
      <c r="B1118" s="0" t="n">
        <v>2015</v>
      </c>
      <c r="C1118" s="0" t="s">
        <v>66</v>
      </c>
      <c r="D1118" s="0" t="n">
        <v>587515</v>
      </c>
      <c r="E1118" s="0" t="n">
        <v>1</v>
      </c>
      <c r="F1118" s="0" t="s">
        <v>437</v>
      </c>
      <c r="G1118" s="0" t="s">
        <v>7040</v>
      </c>
      <c r="I1118" s="0" t="s">
        <v>1342</v>
      </c>
    </row>
    <row r="1119" customFormat="false" ht="15" hidden="false" customHeight="false" outlineLevel="0" collapsed="false">
      <c r="A1119" s="0" t="s">
        <v>187</v>
      </c>
      <c r="B1119" s="0" t="n">
        <v>2015</v>
      </c>
      <c r="C1119" s="0" t="s">
        <v>541</v>
      </c>
      <c r="D1119" s="0" t="n">
        <v>18455</v>
      </c>
      <c r="E1119" s="0" t="n">
        <v>1</v>
      </c>
      <c r="F1119" s="0" t="s">
        <v>437</v>
      </c>
      <c r="G1119" s="0" t="s">
        <v>7040</v>
      </c>
      <c r="I1119" s="0" t="s">
        <v>1343</v>
      </c>
    </row>
    <row r="1120" customFormat="false" ht="15" hidden="false" customHeight="false" outlineLevel="0" collapsed="false">
      <c r="A1120" s="0" t="s">
        <v>187</v>
      </c>
      <c r="B1120" s="0" t="n">
        <v>2015</v>
      </c>
      <c r="C1120" s="0" t="s">
        <v>543</v>
      </c>
      <c r="D1120" s="0" t="n">
        <v>11565</v>
      </c>
      <c r="E1120" s="0" t="n">
        <v>1</v>
      </c>
      <c r="F1120" s="0" t="s">
        <v>437</v>
      </c>
      <c r="G1120" s="0" t="s">
        <v>7040</v>
      </c>
      <c r="I1120" s="0" t="s">
        <v>1344</v>
      </c>
    </row>
    <row r="1121" customFormat="false" ht="15" hidden="false" customHeight="false" outlineLevel="0" collapsed="false">
      <c r="A1121" s="0" t="s">
        <v>187</v>
      </c>
      <c r="B1121" s="0" t="n">
        <v>2015</v>
      </c>
      <c r="C1121" s="0" t="s">
        <v>545</v>
      </c>
      <c r="D1121" s="0" t="n">
        <v>10400</v>
      </c>
      <c r="E1121" s="0" t="n">
        <v>1</v>
      </c>
      <c r="F1121" s="0" t="s">
        <v>437</v>
      </c>
      <c r="G1121" s="0" t="s">
        <v>7040</v>
      </c>
      <c r="I1121" s="0" t="s">
        <v>1345</v>
      </c>
    </row>
    <row r="1122" customFormat="false" ht="15" hidden="false" customHeight="false" outlineLevel="0" collapsed="false">
      <c r="A1122" s="0" t="s">
        <v>187</v>
      </c>
      <c r="B1122" s="0" t="n">
        <v>2016</v>
      </c>
      <c r="C1122" s="0" t="s">
        <v>54</v>
      </c>
      <c r="D1122" s="0" t="n">
        <v>15885</v>
      </c>
      <c r="E1122" s="0" t="n">
        <v>1</v>
      </c>
      <c r="F1122" s="0" t="s">
        <v>437</v>
      </c>
      <c r="G1122" s="0" t="s">
        <v>7040</v>
      </c>
      <c r="I1122" s="0" t="s">
        <v>1346</v>
      </c>
    </row>
    <row r="1123" customFormat="false" ht="15" hidden="false" customHeight="false" outlineLevel="0" collapsed="false">
      <c r="A1123" s="0" t="s">
        <v>187</v>
      </c>
      <c r="B1123" s="0" t="n">
        <v>2016</v>
      </c>
      <c r="C1123" s="0" t="s">
        <v>55</v>
      </c>
      <c r="D1123" s="0" t="n">
        <v>1123483</v>
      </c>
      <c r="E1123" s="0" t="n">
        <v>1</v>
      </c>
      <c r="F1123" s="0" t="s">
        <v>437</v>
      </c>
      <c r="G1123" s="0" t="s">
        <v>7040</v>
      </c>
      <c r="I1123" s="0" t="s">
        <v>1347</v>
      </c>
    </row>
    <row r="1124" customFormat="false" ht="15" hidden="false" customHeight="false" outlineLevel="0" collapsed="false">
      <c r="A1124" s="0" t="s">
        <v>187</v>
      </c>
      <c r="B1124" s="0" t="n">
        <v>2016</v>
      </c>
      <c r="C1124" s="0" t="s">
        <v>56</v>
      </c>
      <c r="D1124" s="0" t="n">
        <v>872144</v>
      </c>
      <c r="E1124" s="0" t="n">
        <v>1</v>
      </c>
      <c r="F1124" s="0" t="s">
        <v>437</v>
      </c>
      <c r="G1124" s="0" t="s">
        <v>7040</v>
      </c>
      <c r="I1124" s="0" t="s">
        <v>1348</v>
      </c>
    </row>
    <row r="1125" customFormat="false" ht="15" hidden="false" customHeight="false" outlineLevel="0" collapsed="false">
      <c r="A1125" s="0" t="s">
        <v>187</v>
      </c>
      <c r="B1125" s="0" t="n">
        <v>2016</v>
      </c>
      <c r="C1125" s="0" t="s">
        <v>57</v>
      </c>
      <c r="D1125" s="0" t="n">
        <v>251339</v>
      </c>
      <c r="E1125" s="0" t="n">
        <v>1</v>
      </c>
      <c r="F1125" s="0" t="s">
        <v>437</v>
      </c>
      <c r="G1125" s="0" t="s">
        <v>7040</v>
      </c>
      <c r="I1125" s="0" t="s">
        <v>1349</v>
      </c>
    </row>
    <row r="1126" customFormat="false" ht="15" hidden="false" customHeight="false" outlineLevel="0" collapsed="false">
      <c r="A1126" s="0" t="s">
        <v>187</v>
      </c>
      <c r="B1126" s="0" t="n">
        <v>2016</v>
      </c>
      <c r="C1126" s="0" t="s">
        <v>58</v>
      </c>
      <c r="D1126" s="0" t="n">
        <v>-70133</v>
      </c>
      <c r="E1126" s="0" t="n">
        <v>1</v>
      </c>
      <c r="F1126" s="0" t="s">
        <v>437</v>
      </c>
      <c r="G1126" s="0" t="s">
        <v>7040</v>
      </c>
      <c r="I1126" s="0" t="s">
        <v>1350</v>
      </c>
    </row>
    <row r="1127" customFormat="false" ht="15" hidden="false" customHeight="false" outlineLevel="0" collapsed="false">
      <c r="A1127" s="0" t="s">
        <v>187</v>
      </c>
      <c r="B1127" s="0" t="n">
        <v>2016</v>
      </c>
      <c r="C1127" s="0" t="s">
        <v>59</v>
      </c>
      <c r="D1127" s="0" t="n">
        <v>1000976</v>
      </c>
      <c r="E1127" s="0" t="n">
        <v>1</v>
      </c>
      <c r="F1127" s="0" t="s">
        <v>437</v>
      </c>
      <c r="G1127" s="0" t="s">
        <v>7040</v>
      </c>
      <c r="I1127" s="0" t="s">
        <v>1351</v>
      </c>
    </row>
    <row r="1128" customFormat="false" ht="15" hidden="false" customHeight="false" outlineLevel="0" collapsed="false">
      <c r="A1128" s="0" t="s">
        <v>187</v>
      </c>
      <c r="B1128" s="0" t="n">
        <v>2016</v>
      </c>
      <c r="C1128" s="0" t="s">
        <v>60</v>
      </c>
      <c r="D1128" s="0" t="n">
        <v>518349</v>
      </c>
      <c r="E1128" s="0" t="n">
        <v>1</v>
      </c>
      <c r="F1128" s="0" t="s">
        <v>437</v>
      </c>
      <c r="G1128" s="0" t="s">
        <v>7040</v>
      </c>
      <c r="I1128" s="0" t="s">
        <v>1352</v>
      </c>
    </row>
    <row r="1129" customFormat="false" ht="15" hidden="false" customHeight="false" outlineLevel="0" collapsed="false">
      <c r="A1129" s="0" t="s">
        <v>187</v>
      </c>
      <c r="B1129" s="0" t="n">
        <v>2016</v>
      </c>
      <c r="C1129" s="0" t="s">
        <v>61</v>
      </c>
      <c r="D1129" s="0" t="n">
        <v>28459</v>
      </c>
      <c r="E1129" s="0" t="n">
        <v>1</v>
      </c>
      <c r="F1129" s="0" t="s">
        <v>437</v>
      </c>
      <c r="G1129" s="0" t="s">
        <v>7040</v>
      </c>
      <c r="I1129" s="0" t="s">
        <v>1353</v>
      </c>
    </row>
    <row r="1130" customFormat="false" ht="15" hidden="false" customHeight="false" outlineLevel="0" collapsed="false">
      <c r="A1130" s="0" t="s">
        <v>187</v>
      </c>
      <c r="B1130" s="0" t="n">
        <v>2016</v>
      </c>
      <c r="C1130" s="0" t="s">
        <v>62</v>
      </c>
      <c r="D1130" s="0" t="n">
        <v>489890</v>
      </c>
      <c r="E1130" s="0" t="n">
        <v>1</v>
      </c>
      <c r="F1130" s="0" t="s">
        <v>437</v>
      </c>
      <c r="G1130" s="0" t="s">
        <v>7040</v>
      </c>
      <c r="I1130" s="0" t="s">
        <v>1354</v>
      </c>
    </row>
    <row r="1131" customFormat="false" ht="15" hidden="false" customHeight="false" outlineLevel="0" collapsed="false">
      <c r="A1131" s="0" t="s">
        <v>187</v>
      </c>
      <c r="B1131" s="0" t="n">
        <v>2016</v>
      </c>
      <c r="C1131" s="0" t="s">
        <v>63</v>
      </c>
      <c r="D1131" s="0" t="n">
        <v>15769</v>
      </c>
      <c r="E1131" s="0" t="n">
        <v>1</v>
      </c>
      <c r="F1131" s="0" t="s">
        <v>437</v>
      </c>
      <c r="G1131" s="0" t="s">
        <v>7040</v>
      </c>
      <c r="I1131" s="0" t="s">
        <v>1355</v>
      </c>
    </row>
    <row r="1132" customFormat="false" ht="15" hidden="false" customHeight="false" outlineLevel="0" collapsed="false">
      <c r="A1132" s="0" t="s">
        <v>187</v>
      </c>
      <c r="B1132" s="0" t="n">
        <v>2016</v>
      </c>
      <c r="C1132" s="0" t="s">
        <v>307</v>
      </c>
      <c r="D1132" s="0" t="n">
        <v>16486</v>
      </c>
      <c r="E1132" s="0" t="n">
        <v>1</v>
      </c>
      <c r="F1132" s="0" t="s">
        <v>437</v>
      </c>
      <c r="G1132" s="0" t="s">
        <v>7040</v>
      </c>
      <c r="I1132" s="0" t="s">
        <v>1356</v>
      </c>
    </row>
    <row r="1133" customFormat="false" ht="15" hidden="false" customHeight="false" outlineLevel="0" collapsed="false">
      <c r="A1133" s="0" t="s">
        <v>187</v>
      </c>
      <c r="B1133" s="0" t="n">
        <v>2016</v>
      </c>
      <c r="C1133" s="0" t="s">
        <v>1038</v>
      </c>
      <c r="D1133" s="0" t="n">
        <v>-717</v>
      </c>
      <c r="E1133" s="0" t="n">
        <v>1</v>
      </c>
      <c r="F1133" s="0" t="s">
        <v>437</v>
      </c>
      <c r="G1133" s="0" t="s">
        <v>7040</v>
      </c>
      <c r="I1133" s="0" t="s">
        <v>1357</v>
      </c>
    </row>
    <row r="1134" customFormat="false" ht="15" hidden="false" customHeight="false" outlineLevel="0" collapsed="false">
      <c r="A1134" s="0" t="s">
        <v>187</v>
      </c>
      <c r="B1134" s="0" t="n">
        <v>2016</v>
      </c>
      <c r="C1134" s="0" t="s">
        <v>69</v>
      </c>
      <c r="D1134" s="0" t="n">
        <v>13.3</v>
      </c>
      <c r="E1134" s="0" t="n">
        <v>1</v>
      </c>
      <c r="F1134" s="0" t="s">
        <v>437</v>
      </c>
      <c r="G1134" s="0" t="s">
        <v>7040</v>
      </c>
      <c r="I1134" s="0" t="s">
        <v>1358</v>
      </c>
    </row>
    <row r="1135" customFormat="false" ht="15" hidden="false" customHeight="false" outlineLevel="0" collapsed="false">
      <c r="A1135" s="0" t="s">
        <v>187</v>
      </c>
      <c r="B1135" s="0" t="n">
        <v>2016</v>
      </c>
      <c r="C1135" s="0" t="s">
        <v>70</v>
      </c>
      <c r="D1135" s="0" t="n">
        <v>15</v>
      </c>
      <c r="E1135" s="0" t="n">
        <v>1</v>
      </c>
      <c r="F1135" s="0" t="s">
        <v>437</v>
      </c>
      <c r="G1135" s="0" t="s">
        <v>7040</v>
      </c>
      <c r="I1135" s="0" t="s">
        <v>1359</v>
      </c>
    </row>
    <row r="1136" customFormat="false" ht="15" hidden="false" customHeight="false" outlineLevel="0" collapsed="false">
      <c r="A1136" s="0" t="s">
        <v>187</v>
      </c>
      <c r="B1136" s="0" t="n">
        <v>2016</v>
      </c>
      <c r="C1136" s="0" t="s">
        <v>65</v>
      </c>
      <c r="D1136" s="0" t="n">
        <v>96309</v>
      </c>
      <c r="E1136" s="0" t="n">
        <v>1</v>
      </c>
      <c r="F1136" s="0" t="s">
        <v>437</v>
      </c>
      <c r="G1136" s="0" t="s">
        <v>7040</v>
      </c>
      <c r="I1136" s="0" t="s">
        <v>1360</v>
      </c>
    </row>
    <row r="1137" customFormat="false" ht="15" hidden="false" customHeight="false" outlineLevel="0" collapsed="false">
      <c r="A1137" s="0" t="s">
        <v>187</v>
      </c>
      <c r="B1137" s="0" t="n">
        <v>2016</v>
      </c>
      <c r="C1137" s="0" t="s">
        <v>66</v>
      </c>
      <c r="D1137" s="0" t="n">
        <v>724660</v>
      </c>
      <c r="E1137" s="0" t="n">
        <v>1</v>
      </c>
      <c r="F1137" s="0" t="s">
        <v>437</v>
      </c>
      <c r="G1137" s="0" t="s">
        <v>7040</v>
      </c>
      <c r="I1137" s="0" t="s">
        <v>1361</v>
      </c>
    </row>
    <row r="1138" customFormat="false" ht="15" hidden="false" customHeight="false" outlineLevel="0" collapsed="false">
      <c r="A1138" s="0" t="s">
        <v>187</v>
      </c>
      <c r="B1138" s="0" t="n">
        <v>2016</v>
      </c>
      <c r="C1138" s="0" t="s">
        <v>73</v>
      </c>
      <c r="D1138" s="0" t="n">
        <v>0</v>
      </c>
      <c r="E1138" s="0" t="n">
        <v>1</v>
      </c>
      <c r="F1138" s="0" t="s">
        <v>437</v>
      </c>
      <c r="G1138" s="0" t="s">
        <v>7040</v>
      </c>
      <c r="I1138" s="0" t="s">
        <v>1362</v>
      </c>
    </row>
    <row r="1139" customFormat="false" ht="15" hidden="false" customHeight="false" outlineLevel="0" collapsed="false">
      <c r="A1139" s="0" t="s">
        <v>187</v>
      </c>
      <c r="B1139" s="0" t="n">
        <v>2016</v>
      </c>
      <c r="C1139" s="0" t="s">
        <v>541</v>
      </c>
      <c r="D1139" s="0" t="n">
        <v>16053</v>
      </c>
      <c r="E1139" s="0" t="n">
        <v>1</v>
      </c>
      <c r="F1139" s="0" t="s">
        <v>437</v>
      </c>
      <c r="G1139" s="0" t="s">
        <v>7040</v>
      </c>
      <c r="I1139" s="0" t="s">
        <v>1363</v>
      </c>
    </row>
    <row r="1140" customFormat="false" ht="15" hidden="false" customHeight="false" outlineLevel="0" collapsed="false">
      <c r="A1140" s="0" t="s">
        <v>187</v>
      </c>
      <c r="B1140" s="0" t="n">
        <v>2016</v>
      </c>
      <c r="C1140" s="0" t="s">
        <v>543</v>
      </c>
      <c r="D1140" s="0" t="n">
        <v>14887</v>
      </c>
      <c r="E1140" s="0" t="n">
        <v>1</v>
      </c>
      <c r="F1140" s="0" t="s">
        <v>437</v>
      </c>
      <c r="G1140" s="0" t="s">
        <v>7040</v>
      </c>
      <c r="I1140" s="0" t="s">
        <v>1364</v>
      </c>
    </row>
    <row r="1141" customFormat="false" ht="15" hidden="false" customHeight="false" outlineLevel="0" collapsed="false">
      <c r="A1141" s="0" t="s">
        <v>187</v>
      </c>
      <c r="B1141" s="0" t="n">
        <v>2016</v>
      </c>
      <c r="C1141" s="0" t="s">
        <v>545</v>
      </c>
      <c r="D1141" s="0" t="n">
        <v>13572</v>
      </c>
      <c r="E1141" s="0" t="n">
        <v>1</v>
      </c>
      <c r="F1141" s="0" t="s">
        <v>437</v>
      </c>
      <c r="G1141" s="0" t="s">
        <v>7040</v>
      </c>
      <c r="I1141" s="0" t="s">
        <v>1365</v>
      </c>
    </row>
    <row r="1142" customFormat="false" ht="15" hidden="false" customHeight="false" outlineLevel="0" collapsed="false">
      <c r="A1142" s="0" t="s">
        <v>187</v>
      </c>
      <c r="B1142" s="0" t="n">
        <v>2017</v>
      </c>
      <c r="C1142" s="0" t="s">
        <v>54</v>
      </c>
      <c r="D1142" s="0" t="n">
        <v>11239</v>
      </c>
      <c r="E1142" s="0" t="n">
        <v>1</v>
      </c>
      <c r="F1142" s="0" t="s">
        <v>437</v>
      </c>
      <c r="G1142" s="0" t="s">
        <v>7040</v>
      </c>
      <c r="I1142" s="0" t="s">
        <v>3857</v>
      </c>
    </row>
    <row r="1143" customFormat="false" ht="15" hidden="false" customHeight="false" outlineLevel="0" collapsed="false">
      <c r="A1143" s="0" t="s">
        <v>187</v>
      </c>
      <c r="B1143" s="0" t="n">
        <v>2017</v>
      </c>
      <c r="C1143" s="0" t="s">
        <v>55</v>
      </c>
      <c r="D1143" s="0" t="n">
        <v>1334921</v>
      </c>
      <c r="E1143" s="0" t="n">
        <v>1</v>
      </c>
      <c r="F1143" s="0" t="s">
        <v>437</v>
      </c>
      <c r="G1143" s="0" t="s">
        <v>7040</v>
      </c>
      <c r="I1143" s="0" t="s">
        <v>3863</v>
      </c>
    </row>
    <row r="1144" customFormat="false" ht="15" hidden="false" customHeight="false" outlineLevel="0" collapsed="false">
      <c r="A1144" s="0" t="s">
        <v>187</v>
      </c>
      <c r="B1144" s="0" t="n">
        <v>2017</v>
      </c>
      <c r="C1144" s="0" t="s">
        <v>56</v>
      </c>
      <c r="D1144" s="0" t="n">
        <v>1015802</v>
      </c>
      <c r="E1144" s="0" t="n">
        <v>1</v>
      </c>
      <c r="F1144" s="0" t="s">
        <v>437</v>
      </c>
      <c r="G1144" s="0" t="s">
        <v>7040</v>
      </c>
      <c r="I1144" s="0" t="s">
        <v>3864</v>
      </c>
    </row>
    <row r="1145" customFormat="false" ht="15" hidden="false" customHeight="false" outlineLevel="0" collapsed="false">
      <c r="A1145" s="0" t="s">
        <v>187</v>
      </c>
      <c r="B1145" s="0" t="n">
        <v>2017</v>
      </c>
      <c r="C1145" s="0" t="s">
        <v>57</v>
      </c>
      <c r="D1145" s="0" t="n">
        <v>319119</v>
      </c>
      <c r="E1145" s="0" t="n">
        <v>1</v>
      </c>
      <c r="F1145" s="0" t="s">
        <v>437</v>
      </c>
      <c r="G1145" s="0" t="s">
        <v>7040</v>
      </c>
      <c r="I1145" s="0" t="s">
        <v>3865</v>
      </c>
    </row>
    <row r="1146" customFormat="false" ht="15" hidden="false" customHeight="false" outlineLevel="0" collapsed="false">
      <c r="A1146" s="0" t="s">
        <v>187</v>
      </c>
      <c r="B1146" s="0" t="n">
        <v>2017</v>
      </c>
      <c r="C1146" s="0" t="s">
        <v>58</v>
      </c>
      <c r="D1146" s="0" t="n">
        <v>68160</v>
      </c>
      <c r="E1146" s="0" t="n">
        <v>1</v>
      </c>
      <c r="F1146" s="0" t="s">
        <v>437</v>
      </c>
      <c r="G1146" s="0" t="s">
        <v>7040</v>
      </c>
      <c r="I1146" s="0" t="s">
        <v>3866</v>
      </c>
    </row>
    <row r="1147" customFormat="false" ht="15" hidden="false" customHeight="false" outlineLevel="0" collapsed="false">
      <c r="A1147" s="0" t="s">
        <v>187</v>
      </c>
      <c r="B1147" s="0" t="n">
        <v>2017</v>
      </c>
      <c r="C1147" s="0" t="s">
        <v>59</v>
      </c>
      <c r="D1147" s="0" t="n">
        <v>1123483</v>
      </c>
      <c r="E1147" s="0" t="n">
        <v>1</v>
      </c>
      <c r="F1147" s="0" t="s">
        <v>437</v>
      </c>
      <c r="G1147" s="0" t="s">
        <v>7040</v>
      </c>
      <c r="I1147" s="0" t="s">
        <v>3867</v>
      </c>
    </row>
    <row r="1148" customFormat="false" ht="15" hidden="false" customHeight="false" outlineLevel="0" collapsed="false">
      <c r="A1148" s="0" t="s">
        <v>187</v>
      </c>
      <c r="B1148" s="0" t="n">
        <v>2017</v>
      </c>
      <c r="C1148" s="0" t="s">
        <v>60</v>
      </c>
      <c r="D1148" s="0" t="n">
        <v>531807</v>
      </c>
      <c r="E1148" s="0" t="n">
        <v>1</v>
      </c>
      <c r="F1148" s="0" t="s">
        <v>437</v>
      </c>
      <c r="G1148" s="0" t="s">
        <v>7040</v>
      </c>
      <c r="I1148" s="0" t="s">
        <v>3869</v>
      </c>
    </row>
    <row r="1149" customFormat="false" ht="15" hidden="false" customHeight="false" outlineLevel="0" collapsed="false">
      <c r="A1149" s="0" t="s">
        <v>187</v>
      </c>
      <c r="B1149" s="0" t="n">
        <v>2017</v>
      </c>
      <c r="C1149" s="0" t="s">
        <v>61</v>
      </c>
      <c r="D1149" s="0" t="n">
        <v>43252</v>
      </c>
      <c r="E1149" s="0" t="n">
        <v>1</v>
      </c>
      <c r="F1149" s="0" t="s">
        <v>437</v>
      </c>
      <c r="G1149" s="0" t="s">
        <v>7040</v>
      </c>
      <c r="I1149" s="0" t="s">
        <v>3870</v>
      </c>
    </row>
    <row r="1150" customFormat="false" ht="15" hidden="false" customHeight="false" outlineLevel="0" collapsed="false">
      <c r="A1150" s="0" t="s">
        <v>187</v>
      </c>
      <c r="B1150" s="0" t="n">
        <v>2017</v>
      </c>
      <c r="C1150" s="0" t="s">
        <v>62</v>
      </c>
      <c r="D1150" s="0" t="n">
        <v>488555</v>
      </c>
      <c r="E1150" s="0" t="n">
        <v>1</v>
      </c>
      <c r="F1150" s="0" t="s">
        <v>437</v>
      </c>
      <c r="G1150" s="0" t="s">
        <v>7040</v>
      </c>
      <c r="I1150" s="0" t="s">
        <v>3871</v>
      </c>
    </row>
    <row r="1151" customFormat="false" ht="15" hidden="false" customHeight="false" outlineLevel="0" collapsed="false">
      <c r="A1151" s="0" t="s">
        <v>187</v>
      </c>
      <c r="B1151" s="0" t="n">
        <v>2017</v>
      </c>
      <c r="C1151" s="0" t="s">
        <v>63</v>
      </c>
      <c r="D1151" s="0" t="n">
        <v>25478</v>
      </c>
      <c r="E1151" s="0" t="n">
        <v>1</v>
      </c>
      <c r="F1151" s="0" t="s">
        <v>437</v>
      </c>
      <c r="G1151" s="0" t="s">
        <v>7040</v>
      </c>
      <c r="I1151" s="0" t="s">
        <v>3874</v>
      </c>
    </row>
    <row r="1152" customFormat="false" ht="15" hidden="false" customHeight="false" outlineLevel="0" collapsed="false">
      <c r="A1152" s="0" t="s">
        <v>187</v>
      </c>
      <c r="B1152" s="0" t="n">
        <v>2017</v>
      </c>
      <c r="C1152" s="0" t="s">
        <v>1038</v>
      </c>
      <c r="D1152" s="0" t="n">
        <v>-32</v>
      </c>
      <c r="E1152" s="0" t="n">
        <v>1</v>
      </c>
      <c r="F1152" s="0" t="s">
        <v>437</v>
      </c>
      <c r="G1152" s="0" t="s">
        <v>7040</v>
      </c>
      <c r="I1152" s="0" t="s">
        <v>3877</v>
      </c>
    </row>
    <row r="1153" customFormat="false" ht="15" hidden="false" customHeight="false" outlineLevel="0" collapsed="false">
      <c r="A1153" s="0" t="s">
        <v>187</v>
      </c>
      <c r="B1153" s="0" t="n">
        <v>2017</v>
      </c>
      <c r="C1153" s="0" t="s">
        <v>1366</v>
      </c>
      <c r="D1153" s="0" t="n">
        <v>25510</v>
      </c>
      <c r="E1153" s="0" t="n">
        <v>1</v>
      </c>
      <c r="F1153" s="0" t="s">
        <v>437</v>
      </c>
      <c r="G1153" s="0" t="s">
        <v>7040</v>
      </c>
      <c r="I1153" s="0" t="s">
        <v>3876</v>
      </c>
    </row>
    <row r="1154" customFormat="false" ht="15" hidden="false" customHeight="false" outlineLevel="0" collapsed="false">
      <c r="A1154" s="0" t="s">
        <v>187</v>
      </c>
      <c r="B1154" s="0" t="n">
        <v>2017</v>
      </c>
      <c r="C1154" s="0" t="s">
        <v>64</v>
      </c>
      <c r="D1154" s="0" t="n">
        <v>110685</v>
      </c>
      <c r="E1154" s="0" t="n">
        <v>1</v>
      </c>
      <c r="F1154" s="0" t="s">
        <v>437</v>
      </c>
      <c r="G1154" s="0" t="s">
        <v>7040</v>
      </c>
      <c r="I1154" s="0" t="s">
        <v>3882</v>
      </c>
    </row>
    <row r="1155" customFormat="false" ht="15" hidden="false" customHeight="false" outlineLevel="0" collapsed="false">
      <c r="A1155" s="0" t="s">
        <v>187</v>
      </c>
      <c r="B1155" s="0" t="n">
        <v>2017</v>
      </c>
      <c r="C1155" s="0" t="s">
        <v>69</v>
      </c>
      <c r="D1155" s="0" t="n">
        <v>17.8</v>
      </c>
      <c r="E1155" s="0" t="n">
        <v>1</v>
      </c>
      <c r="F1155" s="0" t="s">
        <v>437</v>
      </c>
      <c r="G1155" s="0" t="s">
        <v>7040</v>
      </c>
      <c r="I1155" s="0" t="s">
        <v>3878</v>
      </c>
    </row>
    <row r="1156" customFormat="false" ht="15" hidden="false" customHeight="false" outlineLevel="0" collapsed="false">
      <c r="A1156" s="0" t="s">
        <v>187</v>
      </c>
      <c r="B1156" s="0" t="n">
        <v>2017</v>
      </c>
      <c r="C1156" s="0" t="s">
        <v>70</v>
      </c>
      <c r="D1156" s="0" t="n">
        <v>15</v>
      </c>
      <c r="E1156" s="0" t="n">
        <v>1</v>
      </c>
      <c r="F1156" s="0" t="s">
        <v>437</v>
      </c>
      <c r="G1156" s="0" t="s">
        <v>7040</v>
      </c>
      <c r="I1156" s="0" t="s">
        <v>3881</v>
      </c>
    </row>
    <row r="1157" customFormat="false" ht="15" hidden="false" customHeight="false" outlineLevel="0" collapsed="false">
      <c r="A1157" s="0" t="s">
        <v>187</v>
      </c>
      <c r="B1157" s="0" t="n">
        <v>2017</v>
      </c>
      <c r="C1157" s="0" t="s">
        <v>65</v>
      </c>
      <c r="D1157" s="0" t="n">
        <v>137875</v>
      </c>
      <c r="E1157" s="0" t="n">
        <v>1</v>
      </c>
      <c r="F1157" s="0" t="s">
        <v>437</v>
      </c>
      <c r="G1157" s="0" t="s">
        <v>7040</v>
      </c>
      <c r="I1157" s="0" t="s">
        <v>3879</v>
      </c>
    </row>
    <row r="1158" customFormat="false" ht="15" hidden="false" customHeight="false" outlineLevel="0" collapsed="false">
      <c r="A1158" s="0" t="s">
        <v>187</v>
      </c>
      <c r="B1158" s="0" t="n">
        <v>2017</v>
      </c>
      <c r="C1158" s="0" t="s">
        <v>66</v>
      </c>
      <c r="D1158" s="0" t="n">
        <v>774497</v>
      </c>
      <c r="E1158" s="0" t="n">
        <v>1</v>
      </c>
      <c r="F1158" s="0" t="s">
        <v>437</v>
      </c>
      <c r="G1158" s="0" t="s">
        <v>7040</v>
      </c>
      <c r="I1158" s="0" t="s">
        <v>3880</v>
      </c>
    </row>
    <row r="1159" customFormat="false" ht="15" hidden="false" customHeight="false" outlineLevel="0" collapsed="false">
      <c r="A1159" s="0" t="s">
        <v>187</v>
      </c>
      <c r="B1159" s="0" t="n">
        <v>2017</v>
      </c>
      <c r="C1159" s="0" t="s">
        <v>541</v>
      </c>
      <c r="D1159" s="0" t="n">
        <v>11576</v>
      </c>
      <c r="E1159" s="0" t="n">
        <v>1</v>
      </c>
      <c r="F1159" s="0" t="s">
        <v>437</v>
      </c>
      <c r="G1159" s="0" t="s">
        <v>7040</v>
      </c>
      <c r="I1159" s="0" t="s">
        <v>3872</v>
      </c>
    </row>
    <row r="1160" customFormat="false" ht="15" hidden="false" customHeight="false" outlineLevel="0" collapsed="false">
      <c r="A1160" s="0" t="s">
        <v>187</v>
      </c>
      <c r="B1160" s="0" t="n">
        <v>2017</v>
      </c>
      <c r="C1160" s="0" t="s">
        <v>1327</v>
      </c>
      <c r="D1160" s="0" t="n">
        <v>157566</v>
      </c>
      <c r="E1160" s="0" t="n">
        <v>1</v>
      </c>
      <c r="F1160" s="0" t="s">
        <v>437</v>
      </c>
      <c r="G1160" s="0" t="s">
        <v>7040</v>
      </c>
      <c r="I1160" s="0" t="s">
        <v>3873</v>
      </c>
    </row>
    <row r="1161" customFormat="false" ht="15" hidden="false" customHeight="false" outlineLevel="0" collapsed="false">
      <c r="A1161" s="0" t="s">
        <v>187</v>
      </c>
      <c r="B1161" s="0" t="n">
        <v>2017</v>
      </c>
      <c r="C1161" s="0" t="s">
        <v>543</v>
      </c>
      <c r="D1161" s="0" t="n">
        <v>36232</v>
      </c>
      <c r="E1161" s="0" t="n">
        <v>1</v>
      </c>
      <c r="F1161" s="0" t="s">
        <v>437</v>
      </c>
      <c r="G1161" s="0" t="s">
        <v>7040</v>
      </c>
      <c r="I1161" s="0" t="s">
        <v>3883</v>
      </c>
    </row>
    <row r="1162" customFormat="false" ht="15" hidden="false" customHeight="false" outlineLevel="0" collapsed="false">
      <c r="A1162" s="0" t="s">
        <v>187</v>
      </c>
      <c r="B1162" s="0" t="n">
        <v>2017</v>
      </c>
      <c r="C1162" s="0" t="s">
        <v>545</v>
      </c>
      <c r="D1162" s="0" t="n">
        <v>7020</v>
      </c>
      <c r="E1162" s="0" t="n">
        <v>1</v>
      </c>
      <c r="F1162" s="0" t="s">
        <v>437</v>
      </c>
      <c r="G1162" s="0" t="s">
        <v>7040</v>
      </c>
      <c r="I1162" s="0" t="s">
        <v>3884</v>
      </c>
    </row>
    <row r="1163" customFormat="false" ht="15" hidden="false" customHeight="false" outlineLevel="0" collapsed="false">
      <c r="A1163" s="0" t="s">
        <v>187</v>
      </c>
      <c r="B1163" s="0" t="n">
        <v>2018</v>
      </c>
      <c r="C1163" s="0" t="s">
        <v>54</v>
      </c>
      <c r="D1163" s="0" t="n">
        <v>18438</v>
      </c>
      <c r="E1163" s="0" t="n">
        <v>1</v>
      </c>
      <c r="F1163" s="0" t="s">
        <v>437</v>
      </c>
      <c r="G1163" s="0" t="s">
        <v>7040</v>
      </c>
      <c r="I1163" s="0" t="s">
        <v>3885</v>
      </c>
    </row>
    <row r="1164" customFormat="false" ht="15" hidden="false" customHeight="false" outlineLevel="0" collapsed="false">
      <c r="A1164" s="0" t="s">
        <v>187</v>
      </c>
      <c r="B1164" s="0" t="n">
        <v>2018</v>
      </c>
      <c r="C1164" s="0" t="s">
        <v>55</v>
      </c>
      <c r="D1164" s="0" t="n">
        <v>1324297</v>
      </c>
      <c r="E1164" s="0" t="n">
        <v>1</v>
      </c>
      <c r="F1164" s="0" t="s">
        <v>437</v>
      </c>
      <c r="G1164" s="0" t="s">
        <v>7040</v>
      </c>
      <c r="I1164" s="0" t="s">
        <v>3886</v>
      </c>
    </row>
    <row r="1165" customFormat="false" ht="15" hidden="false" customHeight="false" outlineLevel="0" collapsed="false">
      <c r="A1165" s="0" t="s">
        <v>187</v>
      </c>
      <c r="B1165" s="0" t="n">
        <v>2018</v>
      </c>
      <c r="C1165" s="0" t="s">
        <v>56</v>
      </c>
      <c r="D1165" s="0" t="n">
        <v>1124210</v>
      </c>
      <c r="E1165" s="0" t="n">
        <v>1</v>
      </c>
      <c r="F1165" s="0" t="s">
        <v>437</v>
      </c>
      <c r="G1165" s="0" t="s">
        <v>7040</v>
      </c>
      <c r="I1165" s="0" t="s">
        <v>3887</v>
      </c>
    </row>
    <row r="1166" customFormat="false" ht="15" hidden="false" customHeight="false" outlineLevel="0" collapsed="false">
      <c r="A1166" s="0" t="s">
        <v>187</v>
      </c>
      <c r="B1166" s="0" t="n">
        <v>2018</v>
      </c>
      <c r="C1166" s="0" t="s">
        <v>57</v>
      </c>
      <c r="D1166" s="0" t="n">
        <v>200087</v>
      </c>
      <c r="E1166" s="0" t="n">
        <v>1</v>
      </c>
      <c r="F1166" s="0" t="s">
        <v>437</v>
      </c>
      <c r="G1166" s="0" t="s">
        <v>7040</v>
      </c>
      <c r="I1166" s="0" t="s">
        <v>3888</v>
      </c>
    </row>
    <row r="1167" customFormat="false" ht="15" hidden="false" customHeight="false" outlineLevel="0" collapsed="false">
      <c r="A1167" s="0" t="s">
        <v>187</v>
      </c>
      <c r="B1167" s="0" t="n">
        <v>2018</v>
      </c>
      <c r="C1167" s="0" t="s">
        <v>58</v>
      </c>
      <c r="D1167" s="0" t="n">
        <v>37394</v>
      </c>
      <c r="E1167" s="0" t="n">
        <v>1</v>
      </c>
      <c r="F1167" s="0" t="s">
        <v>437</v>
      </c>
      <c r="G1167" s="0" t="s">
        <v>7040</v>
      </c>
      <c r="I1167" s="0" t="s">
        <v>3889</v>
      </c>
    </row>
    <row r="1168" customFormat="false" ht="15" hidden="false" customHeight="false" outlineLevel="0" collapsed="false">
      <c r="A1168" s="0" t="s">
        <v>187</v>
      </c>
      <c r="B1168" s="0" t="n">
        <v>2018</v>
      </c>
      <c r="C1168" s="0" t="s">
        <v>59</v>
      </c>
      <c r="D1168" s="0" t="n">
        <v>1334921</v>
      </c>
      <c r="E1168" s="0" t="n">
        <v>1</v>
      </c>
      <c r="F1168" s="0" t="s">
        <v>437</v>
      </c>
      <c r="G1168" s="0" t="s">
        <v>7040</v>
      </c>
      <c r="I1168" s="0" t="s">
        <v>3890</v>
      </c>
    </row>
    <row r="1169" customFormat="false" ht="15" hidden="false" customHeight="false" outlineLevel="0" collapsed="false">
      <c r="A1169" s="0" t="s">
        <v>187</v>
      </c>
      <c r="B1169" s="0" t="n">
        <v>2018</v>
      </c>
      <c r="C1169" s="0" t="s">
        <v>60</v>
      </c>
      <c r="D1169" s="0" t="n">
        <v>473396</v>
      </c>
      <c r="E1169" s="0" t="n">
        <v>1</v>
      </c>
      <c r="F1169" s="0" t="s">
        <v>437</v>
      </c>
      <c r="G1169" s="0" t="s">
        <v>7040</v>
      </c>
      <c r="I1169" s="0" t="s">
        <v>3891</v>
      </c>
    </row>
    <row r="1170" customFormat="false" ht="15" hidden="false" customHeight="false" outlineLevel="0" collapsed="false">
      <c r="A1170" s="0" t="s">
        <v>187</v>
      </c>
      <c r="B1170" s="0" t="n">
        <v>2018</v>
      </c>
      <c r="C1170" s="0" t="s">
        <v>61</v>
      </c>
      <c r="D1170" s="0" t="n">
        <v>45359</v>
      </c>
      <c r="E1170" s="0" t="n">
        <v>1</v>
      </c>
      <c r="F1170" s="0" t="s">
        <v>437</v>
      </c>
      <c r="G1170" s="0" t="s">
        <v>7040</v>
      </c>
      <c r="I1170" s="0" t="s">
        <v>3893</v>
      </c>
    </row>
    <row r="1171" customFormat="false" ht="15" hidden="false" customHeight="false" outlineLevel="0" collapsed="false">
      <c r="A1171" s="0" t="s">
        <v>187</v>
      </c>
      <c r="B1171" s="0" t="n">
        <v>2018</v>
      </c>
      <c r="C1171" s="0" t="s">
        <v>62</v>
      </c>
      <c r="D1171" s="0" t="n">
        <v>428037</v>
      </c>
      <c r="E1171" s="0" t="n">
        <v>1</v>
      </c>
      <c r="F1171" s="0" t="s">
        <v>437</v>
      </c>
      <c r="G1171" s="0" t="s">
        <v>7040</v>
      </c>
      <c r="I1171" s="0" t="s">
        <v>3894</v>
      </c>
    </row>
    <row r="1172" customFormat="false" ht="15" hidden="false" customHeight="false" outlineLevel="0" collapsed="false">
      <c r="A1172" s="0" t="s">
        <v>187</v>
      </c>
      <c r="B1172" s="0" t="n">
        <v>2018</v>
      </c>
      <c r="C1172" s="0" t="s">
        <v>63</v>
      </c>
      <c r="D1172" s="0" t="n">
        <v>-3515</v>
      </c>
      <c r="E1172" s="0" t="n">
        <v>1</v>
      </c>
      <c r="F1172" s="0" t="s">
        <v>437</v>
      </c>
      <c r="G1172" s="0" t="s">
        <v>7040</v>
      </c>
      <c r="I1172" s="0" t="s">
        <v>3897</v>
      </c>
    </row>
    <row r="1173" customFormat="false" ht="15" hidden="false" customHeight="false" outlineLevel="0" collapsed="false">
      <c r="A1173" s="0" t="s">
        <v>187</v>
      </c>
      <c r="B1173" s="0" t="n">
        <v>2018</v>
      </c>
      <c r="C1173" s="0" t="s">
        <v>307</v>
      </c>
      <c r="D1173" s="0" t="n">
        <v>-3732</v>
      </c>
      <c r="E1173" s="0" t="n">
        <v>1</v>
      </c>
      <c r="F1173" s="0" t="s">
        <v>437</v>
      </c>
      <c r="G1173" s="0" t="s">
        <v>7040</v>
      </c>
      <c r="I1173" s="0" t="s">
        <v>3900</v>
      </c>
    </row>
    <row r="1174" customFormat="false" ht="15" hidden="false" customHeight="false" outlineLevel="0" collapsed="false">
      <c r="A1174" s="0" t="s">
        <v>187</v>
      </c>
      <c r="B1174" s="0" t="n">
        <v>2018</v>
      </c>
      <c r="C1174" s="0" t="s">
        <v>1038</v>
      </c>
      <c r="D1174" s="0" t="n">
        <v>382</v>
      </c>
      <c r="E1174" s="0" t="n">
        <v>1</v>
      </c>
      <c r="F1174" s="0" t="s">
        <v>437</v>
      </c>
      <c r="G1174" s="0" t="s">
        <v>7040</v>
      </c>
      <c r="I1174" s="0" t="s">
        <v>3899</v>
      </c>
    </row>
    <row r="1175" customFormat="false" ht="15" hidden="false" customHeight="false" outlineLevel="0" collapsed="false">
      <c r="A1175" s="0" t="s">
        <v>187</v>
      </c>
      <c r="B1175" s="0" t="n">
        <v>2018</v>
      </c>
      <c r="C1175" s="0" t="s">
        <v>1366</v>
      </c>
      <c r="D1175" s="0" t="n">
        <v>-3897</v>
      </c>
      <c r="E1175" s="0" t="n">
        <v>1</v>
      </c>
      <c r="F1175" s="0" t="s">
        <v>437</v>
      </c>
      <c r="G1175" s="0" t="s">
        <v>7040</v>
      </c>
      <c r="I1175" s="0" t="s">
        <v>3898</v>
      </c>
    </row>
    <row r="1176" customFormat="false" ht="15" hidden="false" customHeight="false" outlineLevel="0" collapsed="false">
      <c r="A1176" s="0" t="s">
        <v>187</v>
      </c>
      <c r="B1176" s="0" t="n">
        <v>2018</v>
      </c>
      <c r="C1176" s="0" t="s">
        <v>64</v>
      </c>
      <c r="D1176" s="0" t="n">
        <v>38496</v>
      </c>
      <c r="E1176" s="0" t="n">
        <v>1</v>
      </c>
      <c r="F1176" s="0" t="s">
        <v>437</v>
      </c>
      <c r="G1176" s="0" t="s">
        <v>7040</v>
      </c>
      <c r="I1176" s="0" t="s">
        <v>3909</v>
      </c>
    </row>
    <row r="1177" customFormat="false" ht="15" hidden="false" customHeight="false" outlineLevel="0" collapsed="false">
      <c r="A1177" s="0" t="s">
        <v>187</v>
      </c>
      <c r="B1177" s="0" t="n">
        <v>2018</v>
      </c>
      <c r="C1177" s="0" t="s">
        <v>69</v>
      </c>
      <c r="D1177" s="0" t="n">
        <v>11.5</v>
      </c>
      <c r="E1177" s="0" t="n">
        <v>1</v>
      </c>
      <c r="F1177" s="0" t="s">
        <v>437</v>
      </c>
      <c r="G1177" s="0" t="s">
        <v>7040</v>
      </c>
      <c r="I1177" s="0" t="s">
        <v>3901</v>
      </c>
    </row>
    <row r="1178" customFormat="false" ht="15" hidden="false" customHeight="false" outlineLevel="0" collapsed="false">
      <c r="A1178" s="0" t="s">
        <v>187</v>
      </c>
      <c r="B1178" s="0" t="n">
        <v>2018</v>
      </c>
      <c r="C1178" s="0" t="s">
        <v>614</v>
      </c>
      <c r="D1178" s="0" t="n">
        <v>16.4</v>
      </c>
      <c r="E1178" s="0" t="n">
        <v>1</v>
      </c>
      <c r="F1178" s="0" t="s">
        <v>437</v>
      </c>
      <c r="G1178" s="0" t="s">
        <v>7040</v>
      </c>
      <c r="I1178" s="0" t="s">
        <v>3905</v>
      </c>
    </row>
    <row r="1179" customFormat="false" ht="15" hidden="false" customHeight="false" outlineLevel="0" collapsed="false">
      <c r="A1179" s="0" t="s">
        <v>187</v>
      </c>
      <c r="B1179" s="0" t="n">
        <v>2018</v>
      </c>
      <c r="C1179" s="0" t="s">
        <v>70</v>
      </c>
      <c r="D1179" s="0" t="n">
        <v>15</v>
      </c>
      <c r="E1179" s="0" t="n">
        <v>1</v>
      </c>
      <c r="F1179" s="0" t="s">
        <v>437</v>
      </c>
      <c r="G1179" s="0" t="s">
        <v>7040</v>
      </c>
      <c r="I1179" s="0" t="s">
        <v>3908</v>
      </c>
    </row>
    <row r="1180" customFormat="false" ht="15" hidden="false" customHeight="false" outlineLevel="0" collapsed="false">
      <c r="A1180" s="0" t="s">
        <v>187</v>
      </c>
      <c r="B1180" s="0" t="n">
        <v>2018</v>
      </c>
      <c r="C1180" s="0" t="s">
        <v>65</v>
      </c>
      <c r="D1180" s="0" t="n">
        <v>88017</v>
      </c>
      <c r="E1180" s="0" t="n">
        <v>1</v>
      </c>
      <c r="F1180" s="0" t="s">
        <v>437</v>
      </c>
      <c r="G1180" s="0" t="s">
        <v>7040</v>
      </c>
      <c r="I1180" s="0" t="s">
        <v>3903</v>
      </c>
    </row>
    <row r="1181" customFormat="false" ht="15" hidden="false" customHeight="false" outlineLevel="0" collapsed="false">
      <c r="A1181" s="0" t="s">
        <v>187</v>
      </c>
      <c r="B1181" s="0" t="n">
        <v>2018</v>
      </c>
      <c r="C1181" s="0" t="s">
        <v>66</v>
      </c>
      <c r="D1181" s="0" t="n">
        <v>767770</v>
      </c>
      <c r="E1181" s="0" t="n">
        <v>1</v>
      </c>
      <c r="F1181" s="0" t="s">
        <v>437</v>
      </c>
      <c r="G1181" s="0" t="s">
        <v>7040</v>
      </c>
      <c r="I1181" s="0" t="s">
        <v>3904</v>
      </c>
    </row>
    <row r="1182" customFormat="false" ht="15" hidden="false" customHeight="false" outlineLevel="0" collapsed="false">
      <c r="A1182" s="0" t="s">
        <v>187</v>
      </c>
      <c r="B1182" s="0" t="n">
        <v>2018</v>
      </c>
      <c r="C1182" s="0" t="s">
        <v>619</v>
      </c>
      <c r="D1182" s="0" t="n">
        <v>125859</v>
      </c>
      <c r="E1182" s="0" t="n">
        <v>1</v>
      </c>
      <c r="F1182" s="0" t="s">
        <v>437</v>
      </c>
      <c r="G1182" s="0" t="s">
        <v>7040</v>
      </c>
      <c r="I1182" s="0" t="s">
        <v>3906</v>
      </c>
    </row>
    <row r="1183" customFormat="false" ht="15" hidden="false" customHeight="false" outlineLevel="0" collapsed="false">
      <c r="A1183" s="0" t="s">
        <v>187</v>
      </c>
      <c r="B1183" s="0" t="n">
        <v>2018</v>
      </c>
      <c r="C1183" s="0" t="s">
        <v>1367</v>
      </c>
      <c r="D1183" s="0" t="n">
        <v>37842</v>
      </c>
      <c r="E1183" s="0" t="n">
        <v>1</v>
      </c>
      <c r="F1183" s="0" t="s">
        <v>437</v>
      </c>
      <c r="G1183" s="0" t="s">
        <v>7040</v>
      </c>
      <c r="I1183" s="0" t="s">
        <v>3907</v>
      </c>
    </row>
    <row r="1184" customFormat="false" ht="15" hidden="false" customHeight="false" outlineLevel="0" collapsed="false">
      <c r="A1184" s="0" t="s">
        <v>187</v>
      </c>
      <c r="B1184" s="0" t="n">
        <v>2018</v>
      </c>
      <c r="C1184" s="0" t="s">
        <v>73</v>
      </c>
      <c r="D1184" s="0" t="n">
        <v>0</v>
      </c>
      <c r="E1184" s="0" t="n">
        <v>1</v>
      </c>
      <c r="F1184" s="0" t="s">
        <v>437</v>
      </c>
      <c r="G1184" s="0" t="s">
        <v>7040</v>
      </c>
      <c r="I1184" s="0" t="s">
        <v>364</v>
      </c>
    </row>
    <row r="1185" customFormat="false" ht="15" hidden="false" customHeight="false" outlineLevel="0" collapsed="false">
      <c r="A1185" s="0" t="s">
        <v>187</v>
      </c>
      <c r="B1185" s="0" t="n">
        <v>2018</v>
      </c>
      <c r="C1185" s="0" t="s">
        <v>67</v>
      </c>
      <c r="D1185" s="0" t="n">
        <v>123328</v>
      </c>
      <c r="E1185" s="0" t="n">
        <v>1</v>
      </c>
      <c r="F1185" s="0" t="s">
        <v>437</v>
      </c>
      <c r="G1185" s="0" t="s">
        <v>7040</v>
      </c>
      <c r="I1185" s="0" t="s">
        <v>3910</v>
      </c>
    </row>
    <row r="1186" customFormat="false" ht="15" hidden="false" customHeight="false" outlineLevel="0" collapsed="false">
      <c r="A1186" s="0" t="s">
        <v>187</v>
      </c>
      <c r="B1186" s="0" t="n">
        <v>2018</v>
      </c>
      <c r="C1186" s="0" t="s">
        <v>68</v>
      </c>
      <c r="D1186" s="0" t="n">
        <v>30149</v>
      </c>
      <c r="E1186" s="0" t="n">
        <v>1</v>
      </c>
      <c r="F1186" s="0" t="s">
        <v>437</v>
      </c>
      <c r="G1186" s="0" t="s">
        <v>7040</v>
      </c>
      <c r="I1186" s="0" t="s">
        <v>3911</v>
      </c>
    </row>
    <row r="1187" customFormat="false" ht="15" hidden="false" customHeight="false" outlineLevel="0" collapsed="false">
      <c r="A1187" s="0" t="s">
        <v>187</v>
      </c>
      <c r="B1187" s="0" t="n">
        <v>2018</v>
      </c>
      <c r="C1187" s="0" t="s">
        <v>541</v>
      </c>
      <c r="D1187" s="0" t="n">
        <v>18660</v>
      </c>
      <c r="E1187" s="0" t="n">
        <v>1</v>
      </c>
      <c r="F1187" s="0" t="s">
        <v>437</v>
      </c>
      <c r="G1187" s="0" t="s">
        <v>7040</v>
      </c>
      <c r="I1187" s="0" t="s">
        <v>3895</v>
      </c>
    </row>
    <row r="1188" customFormat="false" ht="15" hidden="false" customHeight="false" outlineLevel="0" collapsed="false">
      <c r="A1188" s="0" t="s">
        <v>187</v>
      </c>
      <c r="B1188" s="0" t="n">
        <v>2018</v>
      </c>
      <c r="C1188" s="0" t="s">
        <v>1327</v>
      </c>
      <c r="D1188" s="0" t="n">
        <v>140066</v>
      </c>
      <c r="E1188" s="0" t="n">
        <v>1</v>
      </c>
      <c r="F1188" s="0" t="s">
        <v>437</v>
      </c>
      <c r="G1188" s="0" t="s">
        <v>7040</v>
      </c>
      <c r="I1188" s="0" t="s">
        <v>3896</v>
      </c>
    </row>
    <row r="1189" customFormat="false" ht="15" hidden="false" customHeight="false" outlineLevel="0" collapsed="false">
      <c r="A1189" s="0" t="s">
        <v>187</v>
      </c>
      <c r="B1189" s="0" t="n">
        <v>2019</v>
      </c>
      <c r="C1189" s="0" t="s">
        <v>54</v>
      </c>
      <c r="D1189" s="0" t="n">
        <v>24375</v>
      </c>
      <c r="E1189" s="0" t="n">
        <v>1</v>
      </c>
      <c r="F1189" s="0" t="s">
        <v>437</v>
      </c>
      <c r="G1189" s="0" t="s">
        <v>7040</v>
      </c>
      <c r="I1189" s="0" t="s">
        <v>3914</v>
      </c>
    </row>
    <row r="1190" customFormat="false" ht="15" hidden="false" customHeight="false" outlineLevel="0" collapsed="false">
      <c r="A1190" s="0" t="s">
        <v>187</v>
      </c>
      <c r="B1190" s="0" t="n">
        <v>2019</v>
      </c>
      <c r="C1190" s="0" t="s">
        <v>55</v>
      </c>
      <c r="D1190" s="0" t="n">
        <v>1711739</v>
      </c>
      <c r="E1190" s="0" t="n">
        <v>1</v>
      </c>
      <c r="F1190" s="0" t="s">
        <v>437</v>
      </c>
      <c r="G1190" s="0" t="s">
        <v>7040</v>
      </c>
      <c r="I1190" s="0" t="s">
        <v>3915</v>
      </c>
    </row>
    <row r="1191" customFormat="false" ht="15" hidden="false" customHeight="false" outlineLevel="0" collapsed="false">
      <c r="A1191" s="0" t="s">
        <v>187</v>
      </c>
      <c r="B1191" s="0" t="n">
        <v>2019</v>
      </c>
      <c r="C1191" s="0" t="s">
        <v>56</v>
      </c>
      <c r="D1191" s="0" t="n">
        <v>1480547</v>
      </c>
      <c r="E1191" s="0" t="n">
        <v>1</v>
      </c>
      <c r="F1191" s="0" t="s">
        <v>437</v>
      </c>
      <c r="G1191" s="0" t="s">
        <v>7040</v>
      </c>
      <c r="I1191" s="0" t="s">
        <v>3916</v>
      </c>
    </row>
    <row r="1192" customFormat="false" ht="15" hidden="false" customHeight="false" outlineLevel="0" collapsed="false">
      <c r="A1192" s="0" t="s">
        <v>187</v>
      </c>
      <c r="B1192" s="0" t="n">
        <v>2019</v>
      </c>
      <c r="C1192" s="0" t="s">
        <v>57</v>
      </c>
      <c r="D1192" s="0" t="n">
        <v>231192</v>
      </c>
      <c r="E1192" s="0" t="n">
        <v>1</v>
      </c>
      <c r="F1192" s="0" t="s">
        <v>437</v>
      </c>
      <c r="G1192" s="0" t="s">
        <v>7040</v>
      </c>
      <c r="I1192" s="0" t="s">
        <v>3917</v>
      </c>
    </row>
    <row r="1193" customFormat="false" ht="15" hidden="false" customHeight="false" outlineLevel="0" collapsed="false">
      <c r="A1193" s="0" t="s">
        <v>187</v>
      </c>
      <c r="B1193" s="0" t="n">
        <v>2019</v>
      </c>
      <c r="C1193" s="0" t="s">
        <v>58</v>
      </c>
      <c r="D1193" s="0" t="n">
        <v>207318</v>
      </c>
      <c r="E1193" s="0" t="n">
        <v>1</v>
      </c>
      <c r="F1193" s="0" t="s">
        <v>437</v>
      </c>
      <c r="G1193" s="0" t="s">
        <v>7040</v>
      </c>
      <c r="I1193" s="0" t="s">
        <v>3918</v>
      </c>
    </row>
    <row r="1194" customFormat="false" ht="15" hidden="false" customHeight="false" outlineLevel="0" collapsed="false">
      <c r="A1194" s="0" t="s">
        <v>187</v>
      </c>
      <c r="B1194" s="0" t="n">
        <v>2019</v>
      </c>
      <c r="C1194" s="0" t="s">
        <v>59</v>
      </c>
      <c r="D1194" s="0" t="n">
        <v>1324297</v>
      </c>
      <c r="E1194" s="0" t="n">
        <v>1</v>
      </c>
      <c r="F1194" s="0" t="s">
        <v>437</v>
      </c>
      <c r="G1194" s="0" t="s">
        <v>7040</v>
      </c>
      <c r="I1194" s="0" t="s">
        <v>3919</v>
      </c>
    </row>
    <row r="1195" customFormat="false" ht="15" hidden="false" customHeight="false" outlineLevel="0" collapsed="false">
      <c r="A1195" s="0" t="s">
        <v>187</v>
      </c>
      <c r="B1195" s="0" t="n">
        <v>2019</v>
      </c>
      <c r="C1195" s="0" t="s">
        <v>60</v>
      </c>
      <c r="D1195" s="0" t="n">
        <v>595298</v>
      </c>
      <c r="E1195" s="0" t="n">
        <v>1</v>
      </c>
      <c r="F1195" s="0" t="s">
        <v>437</v>
      </c>
      <c r="G1195" s="0" t="s">
        <v>7040</v>
      </c>
      <c r="I1195" s="0" t="s">
        <v>3920</v>
      </c>
    </row>
    <row r="1196" customFormat="false" ht="15" hidden="false" customHeight="false" outlineLevel="0" collapsed="false">
      <c r="A1196" s="0" t="s">
        <v>187</v>
      </c>
      <c r="B1196" s="0" t="n">
        <v>2019</v>
      </c>
      <c r="C1196" s="0" t="s">
        <v>61</v>
      </c>
      <c r="D1196" s="0" t="n">
        <v>44685</v>
      </c>
      <c r="E1196" s="0" t="n">
        <v>1</v>
      </c>
      <c r="F1196" s="0" t="s">
        <v>437</v>
      </c>
      <c r="G1196" s="0" t="s">
        <v>7040</v>
      </c>
      <c r="I1196" s="0" t="s">
        <v>3923</v>
      </c>
    </row>
    <row r="1197" customFormat="false" ht="15" hidden="false" customHeight="false" outlineLevel="0" collapsed="false">
      <c r="A1197" s="0" t="s">
        <v>187</v>
      </c>
      <c r="B1197" s="0" t="n">
        <v>2019</v>
      </c>
      <c r="C1197" s="0" t="s">
        <v>62</v>
      </c>
      <c r="D1197" s="0" t="n">
        <v>550613</v>
      </c>
      <c r="E1197" s="0" t="n">
        <v>1</v>
      </c>
      <c r="F1197" s="0" t="s">
        <v>437</v>
      </c>
      <c r="G1197" s="0" t="s">
        <v>7040</v>
      </c>
      <c r="I1197" s="0" t="s">
        <v>3924</v>
      </c>
    </row>
    <row r="1198" customFormat="false" ht="15" hidden="false" customHeight="false" outlineLevel="0" collapsed="false">
      <c r="A1198" s="0" t="s">
        <v>187</v>
      </c>
      <c r="B1198" s="0" t="n">
        <v>2019</v>
      </c>
      <c r="C1198" s="0" t="s">
        <v>63</v>
      </c>
      <c r="D1198" s="0" t="n">
        <v>-504</v>
      </c>
      <c r="E1198" s="0" t="n">
        <v>1</v>
      </c>
      <c r="F1198" s="0" t="s">
        <v>437</v>
      </c>
      <c r="G1198" s="0" t="s">
        <v>7040</v>
      </c>
      <c r="I1198" s="0" t="s">
        <v>3927</v>
      </c>
    </row>
    <row r="1199" customFormat="false" ht="15" hidden="false" customHeight="false" outlineLevel="0" collapsed="false">
      <c r="A1199" s="0" t="s">
        <v>187</v>
      </c>
      <c r="B1199" s="0" t="n">
        <v>2019</v>
      </c>
      <c r="C1199" s="0" t="s">
        <v>1038</v>
      </c>
      <c r="D1199" s="0" t="n">
        <v>-688</v>
      </c>
      <c r="E1199" s="0" t="n">
        <v>1</v>
      </c>
      <c r="F1199" s="0" t="s">
        <v>437</v>
      </c>
      <c r="G1199" s="0" t="s">
        <v>7040</v>
      </c>
      <c r="I1199" s="0" t="s">
        <v>3929</v>
      </c>
    </row>
    <row r="1200" customFormat="false" ht="15" hidden="false" customHeight="false" outlineLevel="0" collapsed="false">
      <c r="A1200" s="0" t="s">
        <v>187</v>
      </c>
      <c r="B1200" s="0" t="n">
        <v>2019</v>
      </c>
      <c r="C1200" s="0" t="s">
        <v>1366</v>
      </c>
      <c r="D1200" s="0" t="n">
        <v>184</v>
      </c>
      <c r="E1200" s="0" t="n">
        <v>1</v>
      </c>
      <c r="F1200" s="0" t="s">
        <v>437</v>
      </c>
      <c r="G1200" s="0" t="s">
        <v>7040</v>
      </c>
      <c r="I1200" s="0" t="s">
        <v>3928</v>
      </c>
    </row>
    <row r="1201" customFormat="false" ht="15" hidden="false" customHeight="false" outlineLevel="0" collapsed="false">
      <c r="A1201" s="0" t="s">
        <v>187</v>
      </c>
      <c r="B1201" s="0" t="n">
        <v>2019</v>
      </c>
      <c r="C1201" s="0" t="s">
        <v>64</v>
      </c>
      <c r="D1201" s="0" t="n">
        <v>34760</v>
      </c>
      <c r="E1201" s="0" t="n">
        <v>1</v>
      </c>
      <c r="F1201" s="0" t="s">
        <v>437</v>
      </c>
      <c r="G1201" s="0" t="s">
        <v>7040</v>
      </c>
      <c r="I1201" s="0" t="s">
        <v>3939</v>
      </c>
    </row>
    <row r="1202" customFormat="false" ht="15" hidden="false" customHeight="false" outlineLevel="0" collapsed="false">
      <c r="A1202" s="0" t="s">
        <v>187</v>
      </c>
      <c r="B1202" s="0" t="n">
        <v>2019</v>
      </c>
      <c r="C1202" s="0" t="s">
        <v>69</v>
      </c>
      <c r="D1202" s="0" t="n">
        <v>15.91</v>
      </c>
      <c r="E1202" s="0" t="n">
        <v>1</v>
      </c>
      <c r="F1202" s="0" t="s">
        <v>437</v>
      </c>
      <c r="G1202" s="0" t="s">
        <v>7040</v>
      </c>
      <c r="I1202" s="0" t="s">
        <v>3930</v>
      </c>
    </row>
    <row r="1203" customFormat="false" ht="15" hidden="false" customHeight="false" outlineLevel="0" collapsed="false">
      <c r="A1203" s="0" t="s">
        <v>187</v>
      </c>
      <c r="B1203" s="0" t="n">
        <v>2019</v>
      </c>
      <c r="C1203" s="0" t="s">
        <v>614</v>
      </c>
      <c r="D1203" s="0" t="n">
        <v>19.73</v>
      </c>
      <c r="E1203" s="0" t="n">
        <v>1</v>
      </c>
      <c r="F1203" s="0" t="s">
        <v>437</v>
      </c>
      <c r="G1203" s="0" t="s">
        <v>7040</v>
      </c>
      <c r="I1203" s="0" t="s">
        <v>3935</v>
      </c>
    </row>
    <row r="1204" customFormat="false" ht="15" hidden="false" customHeight="false" outlineLevel="0" collapsed="false">
      <c r="A1204" s="0" t="s">
        <v>187</v>
      </c>
      <c r="B1204" s="0" t="n">
        <v>2019</v>
      </c>
      <c r="C1204" s="0" t="s">
        <v>70</v>
      </c>
      <c r="D1204" s="0" t="n">
        <v>15</v>
      </c>
      <c r="E1204" s="0" t="n">
        <v>1</v>
      </c>
      <c r="F1204" s="0" t="s">
        <v>437</v>
      </c>
      <c r="G1204" s="0" t="s">
        <v>7040</v>
      </c>
      <c r="I1204" s="0" t="s">
        <v>3938</v>
      </c>
    </row>
    <row r="1205" customFormat="false" ht="15" hidden="false" customHeight="false" outlineLevel="0" collapsed="false">
      <c r="A1205" s="0" t="s">
        <v>187</v>
      </c>
      <c r="B1205" s="0" t="n">
        <v>2019</v>
      </c>
      <c r="C1205" s="0" t="s">
        <v>65</v>
      </c>
      <c r="D1205" s="0" t="n">
        <v>139997</v>
      </c>
      <c r="E1205" s="0" t="n">
        <v>1</v>
      </c>
      <c r="F1205" s="0" t="s">
        <v>437</v>
      </c>
      <c r="G1205" s="0" t="s">
        <v>7040</v>
      </c>
      <c r="I1205" s="0" t="s">
        <v>3933</v>
      </c>
    </row>
    <row r="1206" customFormat="false" ht="15" hidden="false" customHeight="false" outlineLevel="0" collapsed="false">
      <c r="A1206" s="0" t="s">
        <v>187</v>
      </c>
      <c r="B1206" s="0" t="n">
        <v>2019</v>
      </c>
      <c r="C1206" s="0" t="s">
        <v>66</v>
      </c>
      <c r="D1206" s="0" t="n">
        <v>880146</v>
      </c>
      <c r="E1206" s="0" t="n">
        <v>1</v>
      </c>
      <c r="F1206" s="0" t="s">
        <v>437</v>
      </c>
      <c r="G1206" s="0" t="s">
        <v>7040</v>
      </c>
      <c r="I1206" s="0" t="s">
        <v>3934</v>
      </c>
    </row>
    <row r="1207" customFormat="false" ht="15" hidden="false" customHeight="false" outlineLevel="0" collapsed="false">
      <c r="A1207" s="0" t="s">
        <v>187</v>
      </c>
      <c r="B1207" s="0" t="n">
        <v>2019</v>
      </c>
      <c r="C1207" s="0" t="s">
        <v>619</v>
      </c>
      <c r="D1207" s="0" t="n">
        <v>173634</v>
      </c>
      <c r="E1207" s="0" t="n">
        <v>1</v>
      </c>
      <c r="F1207" s="0" t="s">
        <v>437</v>
      </c>
      <c r="G1207" s="0" t="s">
        <v>7040</v>
      </c>
      <c r="I1207" s="0" t="s">
        <v>3936</v>
      </c>
    </row>
    <row r="1208" customFormat="false" ht="15" hidden="false" customHeight="false" outlineLevel="0" collapsed="false">
      <c r="A1208" s="0" t="s">
        <v>187</v>
      </c>
      <c r="B1208" s="0" t="n">
        <v>2019</v>
      </c>
      <c r="C1208" s="0" t="s">
        <v>1367</v>
      </c>
      <c r="D1208" s="0" t="n">
        <v>33637</v>
      </c>
      <c r="E1208" s="0" t="n">
        <v>1</v>
      </c>
      <c r="F1208" s="0" t="s">
        <v>437</v>
      </c>
      <c r="G1208" s="0" t="s">
        <v>7040</v>
      </c>
      <c r="I1208" s="0" t="s">
        <v>3937</v>
      </c>
    </row>
    <row r="1209" customFormat="false" ht="15" hidden="false" customHeight="false" outlineLevel="0" collapsed="false">
      <c r="A1209" s="0" t="s">
        <v>187</v>
      </c>
      <c r="B1209" s="0" t="n">
        <v>2019</v>
      </c>
      <c r="C1209" s="0" t="s">
        <v>67</v>
      </c>
      <c r="D1209" s="0" t="n">
        <v>58769</v>
      </c>
      <c r="E1209" s="0" t="n">
        <v>1</v>
      </c>
      <c r="F1209" s="0" t="s">
        <v>437</v>
      </c>
      <c r="G1209" s="0" t="s">
        <v>7040</v>
      </c>
      <c r="I1209" s="0" t="s">
        <v>3940</v>
      </c>
    </row>
    <row r="1210" customFormat="false" ht="15" hidden="false" customHeight="false" outlineLevel="0" collapsed="false">
      <c r="A1210" s="0" t="s">
        <v>187</v>
      </c>
      <c r="B1210" s="0" t="n">
        <v>2019</v>
      </c>
      <c r="C1210" s="0" t="s">
        <v>68</v>
      </c>
      <c r="D1210" s="0" t="n">
        <v>16198</v>
      </c>
      <c r="E1210" s="0" t="n">
        <v>1</v>
      </c>
      <c r="F1210" s="0" t="s">
        <v>437</v>
      </c>
      <c r="G1210" s="0" t="s">
        <v>7040</v>
      </c>
      <c r="I1210" s="0" t="s">
        <v>3941</v>
      </c>
    </row>
    <row r="1211" customFormat="false" ht="15" hidden="false" customHeight="false" outlineLevel="0" collapsed="false">
      <c r="A1211" s="0" t="s">
        <v>187</v>
      </c>
      <c r="B1211" s="0" t="n">
        <v>2019</v>
      </c>
      <c r="C1211" s="0" t="s">
        <v>541</v>
      </c>
      <c r="D1211" s="0" t="n">
        <v>24746</v>
      </c>
      <c r="E1211" s="0" t="n">
        <v>1</v>
      </c>
      <c r="F1211" s="0" t="s">
        <v>437</v>
      </c>
      <c r="G1211" s="0" t="s">
        <v>7040</v>
      </c>
      <c r="I1211" s="0" t="s">
        <v>3925</v>
      </c>
    </row>
    <row r="1212" customFormat="false" ht="15" hidden="false" customHeight="false" outlineLevel="0" collapsed="false">
      <c r="A1212" s="0" t="s">
        <v>187</v>
      </c>
      <c r="B1212" s="0" t="n">
        <v>2019</v>
      </c>
      <c r="C1212" s="0" t="s">
        <v>1327</v>
      </c>
      <c r="D1212" s="0" t="n">
        <v>159861</v>
      </c>
      <c r="E1212" s="0" t="n">
        <v>1</v>
      </c>
      <c r="F1212" s="0" t="s">
        <v>437</v>
      </c>
      <c r="G1212" s="0" t="s">
        <v>7040</v>
      </c>
      <c r="I1212" s="0" t="s">
        <v>3926</v>
      </c>
    </row>
    <row r="1213" customFormat="false" ht="15" hidden="false" customHeight="false" outlineLevel="0" collapsed="false">
      <c r="A1213" s="0" t="s">
        <v>187</v>
      </c>
      <c r="B1213" s="0" t="n">
        <v>2020</v>
      </c>
      <c r="C1213" s="0" t="s">
        <v>54</v>
      </c>
      <c r="D1213" s="0" t="n">
        <v>24653</v>
      </c>
      <c r="E1213" s="0" t="n">
        <v>1</v>
      </c>
      <c r="F1213" s="0" t="s">
        <v>437</v>
      </c>
      <c r="G1213" s="0" t="s">
        <v>7040</v>
      </c>
      <c r="I1213" s="0" t="s">
        <v>3943</v>
      </c>
    </row>
    <row r="1214" customFormat="false" ht="15" hidden="false" customHeight="false" outlineLevel="0" collapsed="false">
      <c r="A1214" s="0" t="s">
        <v>187</v>
      </c>
      <c r="B1214" s="0" t="n">
        <v>2020</v>
      </c>
      <c r="C1214" s="0" t="s">
        <v>55</v>
      </c>
      <c r="D1214" s="0" t="n">
        <v>2073758</v>
      </c>
      <c r="E1214" s="0" t="n">
        <v>1</v>
      </c>
      <c r="F1214" s="0" t="s">
        <v>437</v>
      </c>
      <c r="G1214" s="0" t="s">
        <v>7040</v>
      </c>
      <c r="I1214" s="0" t="s">
        <v>3944</v>
      </c>
    </row>
    <row r="1215" customFormat="false" ht="15" hidden="false" customHeight="false" outlineLevel="0" collapsed="false">
      <c r="A1215" s="0" t="s">
        <v>187</v>
      </c>
      <c r="B1215" s="0" t="n">
        <v>2020</v>
      </c>
      <c r="C1215" s="0" t="s">
        <v>56</v>
      </c>
      <c r="D1215" s="0" t="n">
        <v>1826237</v>
      </c>
      <c r="E1215" s="0" t="n">
        <v>1</v>
      </c>
      <c r="F1215" s="0" t="s">
        <v>437</v>
      </c>
      <c r="G1215" s="0" t="s">
        <v>7040</v>
      </c>
      <c r="I1215" s="0" t="s">
        <v>3945</v>
      </c>
    </row>
    <row r="1216" customFormat="false" ht="15" hidden="false" customHeight="false" outlineLevel="0" collapsed="false">
      <c r="A1216" s="0" t="s">
        <v>187</v>
      </c>
      <c r="B1216" s="0" t="n">
        <v>2020</v>
      </c>
      <c r="C1216" s="0" t="s">
        <v>57</v>
      </c>
      <c r="D1216" s="0" t="n">
        <v>247521</v>
      </c>
      <c r="E1216" s="0" t="n">
        <v>1</v>
      </c>
      <c r="F1216" s="0" t="s">
        <v>437</v>
      </c>
      <c r="G1216" s="0" t="s">
        <v>7040</v>
      </c>
      <c r="I1216" s="0" t="s">
        <v>3946</v>
      </c>
    </row>
    <row r="1217" customFormat="false" ht="15" hidden="false" customHeight="false" outlineLevel="0" collapsed="false">
      <c r="A1217" s="0" t="s">
        <v>187</v>
      </c>
      <c r="B1217" s="0" t="n">
        <v>2020</v>
      </c>
      <c r="C1217" s="0" t="s">
        <v>58</v>
      </c>
      <c r="D1217" s="0" t="n">
        <v>-35912</v>
      </c>
      <c r="E1217" s="0" t="n">
        <v>1</v>
      </c>
      <c r="F1217" s="0" t="s">
        <v>437</v>
      </c>
      <c r="G1217" s="0" t="s">
        <v>7040</v>
      </c>
      <c r="I1217" s="0" t="s">
        <v>3947</v>
      </c>
    </row>
    <row r="1218" customFormat="false" ht="15" hidden="false" customHeight="false" outlineLevel="0" collapsed="false">
      <c r="A1218" s="0" t="s">
        <v>187</v>
      </c>
      <c r="B1218" s="0" t="n">
        <v>2020</v>
      </c>
      <c r="C1218" s="0" t="s">
        <v>59</v>
      </c>
      <c r="D1218" s="0" t="n">
        <v>1711739</v>
      </c>
      <c r="E1218" s="0" t="n">
        <v>1</v>
      </c>
      <c r="F1218" s="0" t="s">
        <v>437</v>
      </c>
      <c r="G1218" s="0" t="s">
        <v>7040</v>
      </c>
      <c r="I1218" s="0" t="s">
        <v>3948</v>
      </c>
    </row>
    <row r="1219" customFormat="false" ht="15" hidden="false" customHeight="false" outlineLevel="0" collapsed="false">
      <c r="A1219" s="0" t="s">
        <v>187</v>
      </c>
      <c r="B1219" s="0" t="n">
        <v>2020</v>
      </c>
      <c r="C1219" s="0" t="s">
        <v>60</v>
      </c>
      <c r="D1219" s="0" t="n">
        <v>736712</v>
      </c>
      <c r="E1219" s="0" t="n">
        <v>1</v>
      </c>
      <c r="F1219" s="0" t="s">
        <v>437</v>
      </c>
      <c r="G1219" s="0" t="s">
        <v>7040</v>
      </c>
      <c r="I1219" s="0" t="s">
        <v>3949</v>
      </c>
    </row>
    <row r="1220" customFormat="false" ht="15" hidden="false" customHeight="false" outlineLevel="0" collapsed="false">
      <c r="A1220" s="0" t="s">
        <v>187</v>
      </c>
      <c r="B1220" s="0" t="n">
        <v>2020</v>
      </c>
      <c r="C1220" s="0" t="s">
        <v>61</v>
      </c>
      <c r="D1220" s="0" t="n">
        <v>43909</v>
      </c>
      <c r="E1220" s="0" t="n">
        <v>1</v>
      </c>
      <c r="F1220" s="0" t="s">
        <v>437</v>
      </c>
      <c r="G1220" s="0" t="s">
        <v>7040</v>
      </c>
      <c r="I1220" s="0" t="s">
        <v>3950</v>
      </c>
    </row>
    <row r="1221" customFormat="false" ht="15" hidden="false" customHeight="false" outlineLevel="0" collapsed="false">
      <c r="A1221" s="0" t="s">
        <v>187</v>
      </c>
      <c r="B1221" s="0" t="n">
        <v>2020</v>
      </c>
      <c r="C1221" s="0" t="s">
        <v>62</v>
      </c>
      <c r="D1221" s="0" t="n">
        <v>692803</v>
      </c>
      <c r="E1221" s="0" t="n">
        <v>1</v>
      </c>
      <c r="F1221" s="0" t="s">
        <v>437</v>
      </c>
      <c r="G1221" s="0" t="s">
        <v>7040</v>
      </c>
      <c r="I1221" s="0" t="s">
        <v>3951</v>
      </c>
    </row>
    <row r="1222" customFormat="false" ht="15" hidden="false" customHeight="false" outlineLevel="0" collapsed="false">
      <c r="A1222" s="0" t="s">
        <v>187</v>
      </c>
      <c r="B1222" s="0" t="n">
        <v>2020</v>
      </c>
      <c r="C1222" s="0" t="s">
        <v>63</v>
      </c>
      <c r="D1222" s="0" t="n">
        <v>-2559</v>
      </c>
      <c r="E1222" s="0" t="n">
        <v>1</v>
      </c>
      <c r="F1222" s="0" t="s">
        <v>437</v>
      </c>
      <c r="G1222" s="0" t="s">
        <v>7040</v>
      </c>
      <c r="I1222" s="0" t="s">
        <v>3954</v>
      </c>
    </row>
    <row r="1223" customFormat="false" ht="15" hidden="false" customHeight="false" outlineLevel="0" collapsed="false">
      <c r="A1223" s="0" t="s">
        <v>187</v>
      </c>
      <c r="B1223" s="0" t="n">
        <v>2020</v>
      </c>
      <c r="C1223" s="0" t="s">
        <v>1038</v>
      </c>
      <c r="D1223" s="0" t="n">
        <v>-306</v>
      </c>
      <c r="E1223" s="0" t="n">
        <v>1</v>
      </c>
      <c r="F1223" s="0" t="s">
        <v>437</v>
      </c>
      <c r="G1223" s="0" t="s">
        <v>7040</v>
      </c>
      <c r="I1223" s="0" t="s">
        <v>3956</v>
      </c>
    </row>
    <row r="1224" customFormat="false" ht="15" hidden="false" customHeight="false" outlineLevel="0" collapsed="false">
      <c r="A1224" s="0" t="s">
        <v>187</v>
      </c>
      <c r="B1224" s="0" t="n">
        <v>2020</v>
      </c>
      <c r="C1224" s="0" t="s">
        <v>1366</v>
      </c>
      <c r="D1224" s="0" t="n">
        <v>-2253</v>
      </c>
      <c r="E1224" s="0" t="n">
        <v>1</v>
      </c>
      <c r="F1224" s="0" t="s">
        <v>437</v>
      </c>
      <c r="G1224" s="0" t="s">
        <v>7040</v>
      </c>
      <c r="I1224" s="0" t="s">
        <v>3955</v>
      </c>
    </row>
    <row r="1225" customFormat="false" ht="15" hidden="false" customHeight="false" outlineLevel="0" collapsed="false">
      <c r="A1225" s="0" t="s">
        <v>187</v>
      </c>
      <c r="B1225" s="0" t="n">
        <v>2020</v>
      </c>
      <c r="C1225" s="0" t="s">
        <v>69</v>
      </c>
      <c r="D1225" s="0" t="n">
        <v>15.76</v>
      </c>
      <c r="E1225" s="0" t="n">
        <v>1</v>
      </c>
      <c r="F1225" s="0" t="s">
        <v>437</v>
      </c>
      <c r="G1225" s="0" t="s">
        <v>7040</v>
      </c>
      <c r="I1225" s="0" t="s">
        <v>3957</v>
      </c>
    </row>
    <row r="1226" customFormat="false" ht="15" hidden="false" customHeight="false" outlineLevel="0" collapsed="false">
      <c r="A1226" s="0" t="s">
        <v>187</v>
      </c>
      <c r="B1226" s="0" t="n">
        <v>2020</v>
      </c>
      <c r="C1226" s="0" t="s">
        <v>614</v>
      </c>
      <c r="D1226" s="0" t="n">
        <v>17.46</v>
      </c>
      <c r="E1226" s="0" t="n">
        <v>1</v>
      </c>
      <c r="F1226" s="0" t="s">
        <v>437</v>
      </c>
      <c r="G1226" s="0" t="s">
        <v>7040</v>
      </c>
      <c r="I1226" s="0" t="s">
        <v>3960</v>
      </c>
    </row>
    <row r="1227" customFormat="false" ht="15" hidden="false" customHeight="false" outlineLevel="0" collapsed="false">
      <c r="A1227" s="0" t="s">
        <v>187</v>
      </c>
      <c r="B1227" s="0" t="n">
        <v>2020</v>
      </c>
      <c r="C1227" s="0" t="s">
        <v>70</v>
      </c>
      <c r="D1227" s="0" t="n">
        <v>15</v>
      </c>
      <c r="E1227" s="0" t="n">
        <v>1</v>
      </c>
      <c r="F1227" s="0" t="s">
        <v>437</v>
      </c>
      <c r="G1227" s="0" t="s">
        <v>7040</v>
      </c>
      <c r="I1227" s="0" t="s">
        <v>3963</v>
      </c>
    </row>
    <row r="1228" customFormat="false" ht="15" hidden="false" customHeight="false" outlineLevel="0" collapsed="false">
      <c r="A1228" s="0" t="s">
        <v>187</v>
      </c>
      <c r="B1228" s="0" t="n">
        <v>2020</v>
      </c>
      <c r="C1228" s="0" t="s">
        <v>65</v>
      </c>
      <c r="D1228" s="0" t="n">
        <v>156168</v>
      </c>
      <c r="E1228" s="0" t="n">
        <v>1</v>
      </c>
      <c r="F1228" s="0" t="s">
        <v>437</v>
      </c>
      <c r="G1228" s="0" t="s">
        <v>7040</v>
      </c>
      <c r="I1228" s="0" t="s">
        <v>3958</v>
      </c>
    </row>
    <row r="1229" customFormat="false" ht="15" hidden="false" customHeight="false" outlineLevel="0" collapsed="false">
      <c r="A1229" s="0" t="s">
        <v>187</v>
      </c>
      <c r="B1229" s="0" t="n">
        <v>2020</v>
      </c>
      <c r="C1229" s="0" t="s">
        <v>66</v>
      </c>
      <c r="D1229" s="0" t="n">
        <v>990958</v>
      </c>
      <c r="E1229" s="0" t="n">
        <v>1</v>
      </c>
      <c r="F1229" s="0" t="s">
        <v>437</v>
      </c>
      <c r="G1229" s="0" t="s">
        <v>7040</v>
      </c>
      <c r="I1229" s="0" t="s">
        <v>3959</v>
      </c>
    </row>
    <row r="1230" customFormat="false" ht="15" hidden="false" customHeight="false" outlineLevel="0" collapsed="false">
      <c r="A1230" s="0" t="s">
        <v>187</v>
      </c>
      <c r="B1230" s="0" t="n">
        <v>2020</v>
      </c>
      <c r="C1230" s="0" t="s">
        <v>619</v>
      </c>
      <c r="D1230" s="0" t="n">
        <v>172986</v>
      </c>
      <c r="E1230" s="0" t="n">
        <v>1</v>
      </c>
      <c r="F1230" s="0" t="s">
        <v>437</v>
      </c>
      <c r="G1230" s="0" t="s">
        <v>7040</v>
      </c>
      <c r="I1230" s="0" t="s">
        <v>3961</v>
      </c>
    </row>
    <row r="1231" customFormat="false" ht="15" hidden="false" customHeight="false" outlineLevel="0" collapsed="false">
      <c r="A1231" s="0" t="s">
        <v>187</v>
      </c>
      <c r="B1231" s="0" t="n">
        <v>2020</v>
      </c>
      <c r="C1231" s="0" t="s">
        <v>1367</v>
      </c>
      <c r="D1231" s="0" t="n">
        <v>16818</v>
      </c>
      <c r="E1231" s="0" t="n">
        <v>1</v>
      </c>
      <c r="F1231" s="0" t="s">
        <v>437</v>
      </c>
      <c r="G1231" s="0" t="s">
        <v>7040</v>
      </c>
      <c r="I1231" s="0" t="s">
        <v>3962</v>
      </c>
    </row>
    <row r="1232" customFormat="false" ht="15" hidden="false" customHeight="false" outlineLevel="0" collapsed="false">
      <c r="A1232" s="0" t="s">
        <v>187</v>
      </c>
      <c r="B1232" s="0" t="n">
        <v>2020</v>
      </c>
      <c r="C1232" s="0" t="s">
        <v>73</v>
      </c>
      <c r="D1232" s="0" t="n">
        <v>0</v>
      </c>
      <c r="E1232" s="0" t="n">
        <v>1</v>
      </c>
      <c r="F1232" s="0" t="s">
        <v>437</v>
      </c>
      <c r="G1232" s="0" t="s">
        <v>7040</v>
      </c>
      <c r="I1232" s="0" t="s">
        <v>366</v>
      </c>
    </row>
    <row r="1233" customFormat="false" ht="15" hidden="false" customHeight="false" outlineLevel="0" collapsed="false">
      <c r="A1233" s="0" t="s">
        <v>187</v>
      </c>
      <c r="B1233" s="0" t="n">
        <v>2020</v>
      </c>
      <c r="C1233" s="0" t="s">
        <v>67</v>
      </c>
      <c r="D1233" s="0" t="n">
        <v>61895</v>
      </c>
      <c r="E1233" s="0" t="n">
        <v>1</v>
      </c>
      <c r="F1233" s="0" t="s">
        <v>437</v>
      </c>
      <c r="G1233" s="0" t="s">
        <v>7040</v>
      </c>
      <c r="I1233" s="0" t="s">
        <v>3964</v>
      </c>
    </row>
    <row r="1234" customFormat="false" ht="15" hidden="false" customHeight="false" outlineLevel="0" collapsed="false">
      <c r="A1234" s="0" t="s">
        <v>187</v>
      </c>
      <c r="B1234" s="0" t="n">
        <v>2020</v>
      </c>
      <c r="C1234" s="0" t="s">
        <v>68</v>
      </c>
      <c r="D1234" s="0" t="n">
        <v>22564</v>
      </c>
      <c r="E1234" s="0" t="n">
        <v>1</v>
      </c>
      <c r="F1234" s="0" t="s">
        <v>437</v>
      </c>
      <c r="G1234" s="0" t="s">
        <v>7040</v>
      </c>
      <c r="I1234" s="0" t="s">
        <v>3965</v>
      </c>
    </row>
    <row r="1235" customFormat="false" ht="15" hidden="false" customHeight="false" outlineLevel="0" collapsed="false">
      <c r="A1235" s="0" t="s">
        <v>187</v>
      </c>
      <c r="B1235" s="0" t="n">
        <v>2020</v>
      </c>
      <c r="C1235" s="0" t="s">
        <v>541</v>
      </c>
      <c r="D1235" s="0" t="n">
        <v>25425</v>
      </c>
      <c r="E1235" s="0" t="n">
        <v>1</v>
      </c>
      <c r="F1235" s="0" t="s">
        <v>437</v>
      </c>
      <c r="G1235" s="0" t="s">
        <v>7040</v>
      </c>
      <c r="I1235" s="0" t="s">
        <v>3952</v>
      </c>
    </row>
    <row r="1236" customFormat="false" ht="15" hidden="false" customHeight="false" outlineLevel="0" collapsed="false">
      <c r="A1236" s="0" t="s">
        <v>187</v>
      </c>
      <c r="B1236" s="0" t="n">
        <v>2020</v>
      </c>
      <c r="C1236" s="0" t="s">
        <v>1327</v>
      </c>
      <c r="D1236" s="0" t="n">
        <v>156885</v>
      </c>
      <c r="E1236" s="0" t="n">
        <v>1</v>
      </c>
      <c r="F1236" s="0" t="s">
        <v>437</v>
      </c>
      <c r="G1236" s="0" t="s">
        <v>7040</v>
      </c>
      <c r="I1236" s="0" t="s">
        <v>3953</v>
      </c>
    </row>
    <row r="1237" customFormat="false" ht="15" hidden="false" customHeight="false" outlineLevel="0" collapsed="false">
      <c r="A1237" s="0" t="s">
        <v>187</v>
      </c>
      <c r="B1237" s="0" t="n">
        <v>2021</v>
      </c>
      <c r="C1237" s="0" t="s">
        <v>54</v>
      </c>
      <c r="D1237" s="0" t="n">
        <v>19180</v>
      </c>
      <c r="E1237" s="0" t="n">
        <v>1</v>
      </c>
      <c r="F1237" s="0" t="s">
        <v>437</v>
      </c>
      <c r="G1237" s="0" t="s">
        <v>7040</v>
      </c>
      <c r="I1237" s="0" t="s">
        <v>3966</v>
      </c>
    </row>
    <row r="1238" customFormat="false" ht="15" hidden="false" customHeight="false" outlineLevel="0" collapsed="false">
      <c r="A1238" s="0" t="s">
        <v>187</v>
      </c>
      <c r="B1238" s="0" t="n">
        <v>2021</v>
      </c>
      <c r="C1238" s="0" t="s">
        <v>55</v>
      </c>
      <c r="D1238" s="0" t="n">
        <v>2567441</v>
      </c>
      <c r="E1238" s="0" t="n">
        <v>1</v>
      </c>
      <c r="F1238" s="0" t="s">
        <v>437</v>
      </c>
      <c r="G1238" s="0" t="s">
        <v>7040</v>
      </c>
      <c r="I1238" s="0" t="s">
        <v>3967</v>
      </c>
    </row>
    <row r="1239" customFormat="false" ht="15" hidden="false" customHeight="false" outlineLevel="0" collapsed="false">
      <c r="A1239" s="0" t="s">
        <v>187</v>
      </c>
      <c r="B1239" s="0" t="n">
        <v>2021</v>
      </c>
      <c r="C1239" s="0" t="s">
        <v>56</v>
      </c>
      <c r="D1239" s="0" t="n">
        <v>2315954</v>
      </c>
      <c r="E1239" s="0" t="n">
        <v>1</v>
      </c>
      <c r="F1239" s="0" t="s">
        <v>437</v>
      </c>
      <c r="G1239" s="0" t="s">
        <v>7040</v>
      </c>
      <c r="I1239" s="0" t="s">
        <v>3968</v>
      </c>
    </row>
    <row r="1240" customFormat="false" ht="15" hidden="false" customHeight="false" outlineLevel="0" collapsed="false">
      <c r="A1240" s="0" t="s">
        <v>187</v>
      </c>
      <c r="B1240" s="0" t="n">
        <v>2021</v>
      </c>
      <c r="C1240" s="0" t="s">
        <v>57</v>
      </c>
      <c r="D1240" s="0" t="n">
        <v>251487</v>
      </c>
      <c r="E1240" s="0" t="n">
        <v>1</v>
      </c>
      <c r="F1240" s="0" t="s">
        <v>437</v>
      </c>
      <c r="G1240" s="0" t="s">
        <v>7040</v>
      </c>
      <c r="I1240" s="0" t="s">
        <v>3969</v>
      </c>
    </row>
    <row r="1241" customFormat="false" ht="15" hidden="false" customHeight="false" outlineLevel="0" collapsed="false">
      <c r="A1241" s="0" t="s">
        <v>187</v>
      </c>
      <c r="B1241" s="0" t="n">
        <v>2021</v>
      </c>
      <c r="C1241" s="0" t="s">
        <v>58</v>
      </c>
      <c r="D1241" s="0" t="n">
        <v>252140</v>
      </c>
      <c r="E1241" s="0" t="n">
        <v>1</v>
      </c>
      <c r="F1241" s="0" t="s">
        <v>437</v>
      </c>
      <c r="G1241" s="0" t="s">
        <v>7040</v>
      </c>
      <c r="I1241" s="0" t="s">
        <v>3970</v>
      </c>
    </row>
    <row r="1242" customFormat="false" ht="15" hidden="false" customHeight="false" outlineLevel="0" collapsed="false">
      <c r="A1242" s="0" t="s">
        <v>187</v>
      </c>
      <c r="B1242" s="0" t="n">
        <v>2021</v>
      </c>
      <c r="C1242" s="0" t="s">
        <v>59</v>
      </c>
      <c r="D1242" s="0" t="n">
        <v>2073758</v>
      </c>
      <c r="E1242" s="0" t="n">
        <v>1</v>
      </c>
      <c r="F1242" s="0" t="s">
        <v>437</v>
      </c>
      <c r="G1242" s="0" t="s">
        <v>7040</v>
      </c>
      <c r="I1242" s="0" t="s">
        <v>3971</v>
      </c>
    </row>
    <row r="1243" customFormat="false" ht="15" hidden="false" customHeight="false" outlineLevel="0" collapsed="false">
      <c r="A1243" s="0" t="s">
        <v>187</v>
      </c>
      <c r="B1243" s="0" t="n">
        <v>2021</v>
      </c>
      <c r="C1243" s="0" t="s">
        <v>60</v>
      </c>
      <c r="D1243" s="0" t="n">
        <v>899106</v>
      </c>
      <c r="E1243" s="0" t="n">
        <v>1</v>
      </c>
      <c r="F1243" s="0" t="s">
        <v>437</v>
      </c>
      <c r="G1243" s="0" t="s">
        <v>7040</v>
      </c>
      <c r="I1243" s="0" t="s">
        <v>3972</v>
      </c>
    </row>
    <row r="1244" customFormat="false" ht="15" hidden="false" customHeight="false" outlineLevel="0" collapsed="false">
      <c r="A1244" s="0" t="s">
        <v>187</v>
      </c>
      <c r="B1244" s="0" t="n">
        <v>2021</v>
      </c>
      <c r="C1244" s="0" t="s">
        <v>61</v>
      </c>
      <c r="D1244" s="0" t="n">
        <v>30266</v>
      </c>
      <c r="E1244" s="0" t="n">
        <v>1</v>
      </c>
      <c r="F1244" s="0" t="s">
        <v>437</v>
      </c>
      <c r="G1244" s="0" t="s">
        <v>7040</v>
      </c>
      <c r="I1244" s="0" t="s">
        <v>3974</v>
      </c>
    </row>
    <row r="1245" customFormat="false" ht="15" hidden="false" customHeight="false" outlineLevel="0" collapsed="false">
      <c r="A1245" s="0" t="s">
        <v>187</v>
      </c>
      <c r="B1245" s="0" t="n">
        <v>2021</v>
      </c>
      <c r="C1245" s="0" t="s">
        <v>62</v>
      </c>
      <c r="D1245" s="0" t="n">
        <v>868840</v>
      </c>
      <c r="E1245" s="0" t="n">
        <v>1</v>
      </c>
      <c r="F1245" s="0" t="s">
        <v>437</v>
      </c>
      <c r="G1245" s="0" t="s">
        <v>7040</v>
      </c>
      <c r="I1245" s="0" t="s">
        <v>3975</v>
      </c>
    </row>
    <row r="1246" customFormat="false" ht="15" hidden="false" customHeight="false" outlineLevel="0" collapsed="false">
      <c r="A1246" s="0" t="s">
        <v>187</v>
      </c>
      <c r="B1246" s="0" t="n">
        <v>2021</v>
      </c>
      <c r="C1246" s="0" t="s">
        <v>63</v>
      </c>
      <c r="D1246" s="0" t="n">
        <v>286</v>
      </c>
      <c r="E1246" s="0" t="n">
        <v>1</v>
      </c>
      <c r="F1246" s="0" t="s">
        <v>437</v>
      </c>
      <c r="G1246" s="0" t="s">
        <v>7040</v>
      </c>
      <c r="I1246" s="0" t="s">
        <v>3978</v>
      </c>
    </row>
    <row r="1247" customFormat="false" ht="15" hidden="false" customHeight="false" outlineLevel="0" collapsed="false">
      <c r="A1247" s="0" t="s">
        <v>187</v>
      </c>
      <c r="B1247" s="0" t="n">
        <v>2021</v>
      </c>
      <c r="C1247" s="0" t="s">
        <v>1038</v>
      </c>
      <c r="D1247" s="0" t="n">
        <v>320</v>
      </c>
      <c r="E1247" s="0" t="n">
        <v>1</v>
      </c>
      <c r="F1247" s="0" t="s">
        <v>437</v>
      </c>
      <c r="G1247" s="0" t="s">
        <v>7040</v>
      </c>
      <c r="I1247" s="0" t="s">
        <v>3980</v>
      </c>
    </row>
    <row r="1248" customFormat="false" ht="15" hidden="false" customHeight="false" outlineLevel="0" collapsed="false">
      <c r="A1248" s="0" t="s">
        <v>187</v>
      </c>
      <c r="B1248" s="0" t="n">
        <v>2021</v>
      </c>
      <c r="C1248" s="0" t="s">
        <v>1366</v>
      </c>
      <c r="D1248" s="0" t="n">
        <v>-34</v>
      </c>
      <c r="E1248" s="0" t="n">
        <v>1</v>
      </c>
      <c r="F1248" s="0" t="s">
        <v>437</v>
      </c>
      <c r="G1248" s="0" t="s">
        <v>7040</v>
      </c>
      <c r="I1248" s="0" t="s">
        <v>3979</v>
      </c>
    </row>
    <row r="1249" customFormat="false" ht="15" hidden="false" customHeight="false" outlineLevel="0" collapsed="false">
      <c r="A1249" s="0" t="s">
        <v>187</v>
      </c>
      <c r="B1249" s="0" t="n">
        <v>2021</v>
      </c>
      <c r="C1249" s="0" t="s">
        <v>64</v>
      </c>
      <c r="D1249" s="0" t="n">
        <v>38660</v>
      </c>
      <c r="E1249" s="0" t="n">
        <v>1</v>
      </c>
      <c r="F1249" s="0" t="s">
        <v>437</v>
      </c>
      <c r="G1249" s="0" t="s">
        <v>7040</v>
      </c>
      <c r="I1249" s="0" t="s">
        <v>3985</v>
      </c>
    </row>
    <row r="1250" customFormat="false" ht="15" hidden="false" customHeight="false" outlineLevel="0" collapsed="false">
      <c r="A1250" s="0" t="s">
        <v>187</v>
      </c>
      <c r="B1250" s="0" t="n">
        <v>2021</v>
      </c>
      <c r="C1250" s="0" t="s">
        <v>69</v>
      </c>
      <c r="D1250" s="0" t="n">
        <v>14.61</v>
      </c>
      <c r="E1250" s="0" t="n">
        <v>1</v>
      </c>
      <c r="F1250" s="0" t="s">
        <v>437</v>
      </c>
      <c r="G1250" s="0" t="s">
        <v>7040</v>
      </c>
      <c r="I1250" s="0" t="s">
        <v>3981</v>
      </c>
    </row>
    <row r="1251" customFormat="false" ht="15" hidden="false" customHeight="false" outlineLevel="0" collapsed="false">
      <c r="A1251" s="0" t="s">
        <v>187</v>
      </c>
      <c r="B1251" s="0" t="n">
        <v>2021</v>
      </c>
      <c r="C1251" s="0" t="s">
        <v>65</v>
      </c>
      <c r="D1251" s="0" t="n">
        <v>156040</v>
      </c>
      <c r="E1251" s="0" t="n">
        <v>1</v>
      </c>
      <c r="F1251" s="0" t="s">
        <v>437</v>
      </c>
      <c r="G1251" s="0" t="s">
        <v>7040</v>
      </c>
      <c r="I1251" s="0" t="s">
        <v>3983</v>
      </c>
    </row>
    <row r="1252" customFormat="false" ht="15" hidden="false" customHeight="false" outlineLevel="0" collapsed="false">
      <c r="A1252" s="0" t="s">
        <v>187</v>
      </c>
      <c r="B1252" s="0" t="n">
        <v>2021</v>
      </c>
      <c r="C1252" s="0" t="s">
        <v>66</v>
      </c>
      <c r="D1252" s="0" t="n">
        <v>1068135</v>
      </c>
      <c r="E1252" s="0" t="n">
        <v>1</v>
      </c>
      <c r="F1252" s="0" t="s">
        <v>437</v>
      </c>
      <c r="G1252" s="0" t="s">
        <v>7040</v>
      </c>
      <c r="I1252" s="0" t="s">
        <v>3984</v>
      </c>
    </row>
    <row r="1253" customFormat="false" ht="15" hidden="false" customHeight="false" outlineLevel="0" collapsed="false">
      <c r="A1253" s="0" t="s">
        <v>187</v>
      </c>
      <c r="B1253" s="0" t="n">
        <v>2021</v>
      </c>
      <c r="C1253" s="0" t="s">
        <v>67</v>
      </c>
      <c r="D1253" s="0" t="n">
        <v>62064</v>
      </c>
      <c r="E1253" s="0" t="n">
        <v>1</v>
      </c>
      <c r="F1253" s="0" t="s">
        <v>437</v>
      </c>
      <c r="G1253" s="0" t="s">
        <v>7040</v>
      </c>
      <c r="I1253" s="0" t="s">
        <v>3986</v>
      </c>
    </row>
    <row r="1254" customFormat="false" ht="15" hidden="false" customHeight="false" outlineLevel="0" collapsed="false">
      <c r="A1254" s="0" t="s">
        <v>187</v>
      </c>
      <c r="B1254" s="0" t="n">
        <v>2021</v>
      </c>
      <c r="C1254" s="0" t="s">
        <v>68</v>
      </c>
      <c r="D1254" s="0" t="n">
        <v>13274</v>
      </c>
      <c r="E1254" s="0" t="n">
        <v>1</v>
      </c>
      <c r="F1254" s="0" t="s">
        <v>437</v>
      </c>
      <c r="G1254" s="0" t="s">
        <v>7040</v>
      </c>
      <c r="I1254" s="0" t="s">
        <v>3987</v>
      </c>
    </row>
    <row r="1255" customFormat="false" ht="15" hidden="false" customHeight="false" outlineLevel="0" collapsed="false">
      <c r="A1255" s="0" t="s">
        <v>187</v>
      </c>
      <c r="B1255" s="0" t="n">
        <v>2021</v>
      </c>
      <c r="C1255" s="0" t="s">
        <v>541</v>
      </c>
      <c r="D1255" s="0" t="n">
        <v>20532</v>
      </c>
      <c r="E1255" s="0" t="n">
        <v>1</v>
      </c>
      <c r="F1255" s="0" t="s">
        <v>437</v>
      </c>
      <c r="G1255" s="0" t="s">
        <v>7040</v>
      </c>
      <c r="I1255" s="0" t="s">
        <v>3976</v>
      </c>
    </row>
    <row r="1256" customFormat="false" ht="15" hidden="false" customHeight="false" outlineLevel="0" collapsed="false">
      <c r="A1256" s="0" t="s">
        <v>187</v>
      </c>
      <c r="B1256" s="0" t="n">
        <v>2021</v>
      </c>
      <c r="C1256" s="0" t="s">
        <v>1327</v>
      </c>
      <c r="D1256" s="0" t="n">
        <v>175006</v>
      </c>
      <c r="E1256" s="0" t="n">
        <v>1</v>
      </c>
      <c r="F1256" s="0" t="s">
        <v>437</v>
      </c>
      <c r="G1256" s="0" t="s">
        <v>7040</v>
      </c>
      <c r="I1256" s="0" t="s">
        <v>3977</v>
      </c>
    </row>
    <row r="1257" customFormat="false" ht="15" hidden="false" customHeight="false" outlineLevel="0" collapsed="false">
      <c r="A1257" s="0" t="s">
        <v>187</v>
      </c>
      <c r="B1257" s="0" t="n">
        <v>2022</v>
      </c>
      <c r="C1257" s="0" t="s">
        <v>54</v>
      </c>
      <c r="D1257" s="0" t="n">
        <v>29009</v>
      </c>
      <c r="E1257" s="0" t="n">
        <v>1</v>
      </c>
      <c r="F1257" s="0" t="s">
        <v>437</v>
      </c>
      <c r="G1257" s="0" t="s">
        <v>7040</v>
      </c>
      <c r="I1257" s="0" t="s">
        <v>3989</v>
      </c>
    </row>
    <row r="1258" customFormat="false" ht="15" hidden="false" customHeight="false" outlineLevel="0" collapsed="false">
      <c r="A1258" s="0" t="s">
        <v>187</v>
      </c>
      <c r="B1258" s="0" t="n">
        <v>2022</v>
      </c>
      <c r="C1258" s="0" t="s">
        <v>55</v>
      </c>
      <c r="D1258" s="0" t="n">
        <v>2793674</v>
      </c>
      <c r="E1258" s="0" t="n">
        <v>1</v>
      </c>
      <c r="F1258" s="0" t="s">
        <v>437</v>
      </c>
      <c r="G1258" s="0" t="s">
        <v>7040</v>
      </c>
      <c r="I1258" s="0" t="s">
        <v>3990</v>
      </c>
    </row>
    <row r="1259" customFormat="false" ht="15" hidden="false" customHeight="false" outlineLevel="0" collapsed="false">
      <c r="A1259" s="0" t="s">
        <v>187</v>
      </c>
      <c r="B1259" s="0" t="n">
        <v>2022</v>
      </c>
      <c r="C1259" s="0" t="s">
        <v>56</v>
      </c>
      <c r="D1259" s="0" t="n">
        <v>2503824</v>
      </c>
      <c r="E1259" s="0" t="n">
        <v>1</v>
      </c>
      <c r="F1259" s="0" t="s">
        <v>437</v>
      </c>
      <c r="G1259" s="0" t="s">
        <v>7040</v>
      </c>
      <c r="I1259" s="0" t="s">
        <v>3991</v>
      </c>
    </row>
    <row r="1260" customFormat="false" ht="15" hidden="false" customHeight="false" outlineLevel="0" collapsed="false">
      <c r="A1260" s="0" t="s">
        <v>187</v>
      </c>
      <c r="B1260" s="0" t="n">
        <v>2022</v>
      </c>
      <c r="C1260" s="0" t="s">
        <v>57</v>
      </c>
      <c r="D1260" s="0" t="n">
        <v>289850</v>
      </c>
      <c r="E1260" s="0" t="n">
        <v>1</v>
      </c>
      <c r="F1260" s="0" t="s">
        <v>437</v>
      </c>
      <c r="G1260" s="0" t="s">
        <v>7040</v>
      </c>
      <c r="I1260" s="0" t="s">
        <v>3992</v>
      </c>
    </row>
    <row r="1261" customFormat="false" ht="15" hidden="false" customHeight="false" outlineLevel="0" collapsed="false">
      <c r="A1261" s="0" t="s">
        <v>187</v>
      </c>
      <c r="B1261" s="0" t="n">
        <v>2022</v>
      </c>
      <c r="C1261" s="0" t="s">
        <v>58</v>
      </c>
      <c r="D1261" s="0" t="n">
        <v>80277</v>
      </c>
      <c r="E1261" s="0" t="n">
        <v>1</v>
      </c>
      <c r="F1261" s="0" t="s">
        <v>437</v>
      </c>
      <c r="G1261" s="0" t="s">
        <v>7040</v>
      </c>
      <c r="I1261" s="0" t="s">
        <v>3993</v>
      </c>
    </row>
    <row r="1262" customFormat="false" ht="15" hidden="false" customHeight="false" outlineLevel="0" collapsed="false">
      <c r="A1262" s="0" t="s">
        <v>187</v>
      </c>
      <c r="B1262" s="0" t="n">
        <v>2022</v>
      </c>
      <c r="C1262" s="0" t="s">
        <v>59</v>
      </c>
      <c r="D1262" s="0" t="n">
        <v>2567441</v>
      </c>
      <c r="E1262" s="0" t="n">
        <v>1</v>
      </c>
      <c r="F1262" s="0" t="s">
        <v>437</v>
      </c>
      <c r="G1262" s="0" t="s">
        <v>7040</v>
      </c>
      <c r="I1262" s="0" t="s">
        <v>3994</v>
      </c>
    </row>
    <row r="1263" customFormat="false" ht="15" hidden="false" customHeight="false" outlineLevel="0" collapsed="false">
      <c r="A1263" s="0" t="s">
        <v>187</v>
      </c>
      <c r="B1263" s="0" t="n">
        <v>2022</v>
      </c>
      <c r="C1263" s="0" t="s">
        <v>60</v>
      </c>
      <c r="D1263" s="0" t="n">
        <v>1000903</v>
      </c>
      <c r="E1263" s="0" t="n">
        <v>1</v>
      </c>
      <c r="F1263" s="0" t="s">
        <v>437</v>
      </c>
      <c r="G1263" s="0" t="s">
        <v>7040</v>
      </c>
      <c r="I1263" s="0" t="s">
        <v>3995</v>
      </c>
    </row>
    <row r="1264" customFormat="false" ht="15" hidden="false" customHeight="false" outlineLevel="0" collapsed="false">
      <c r="A1264" s="0" t="s">
        <v>187</v>
      </c>
      <c r="B1264" s="0" t="n">
        <v>2022</v>
      </c>
      <c r="C1264" s="0" t="s">
        <v>61</v>
      </c>
      <c r="D1264" s="0" t="n">
        <v>32015</v>
      </c>
      <c r="E1264" s="0" t="n">
        <v>1</v>
      </c>
      <c r="F1264" s="0" t="s">
        <v>437</v>
      </c>
      <c r="G1264" s="0" t="s">
        <v>7040</v>
      </c>
      <c r="I1264" s="0" t="s">
        <v>3996</v>
      </c>
    </row>
    <row r="1265" customFormat="false" ht="15" hidden="false" customHeight="false" outlineLevel="0" collapsed="false">
      <c r="A1265" s="0" t="s">
        <v>187</v>
      </c>
      <c r="B1265" s="0" t="n">
        <v>2022</v>
      </c>
      <c r="C1265" s="0" t="s">
        <v>62</v>
      </c>
      <c r="D1265" s="0" t="n">
        <v>968888</v>
      </c>
      <c r="E1265" s="0" t="n">
        <v>1</v>
      </c>
      <c r="F1265" s="0" t="s">
        <v>437</v>
      </c>
      <c r="G1265" s="0" t="s">
        <v>7040</v>
      </c>
      <c r="I1265" s="0" t="s">
        <v>3997</v>
      </c>
    </row>
    <row r="1266" customFormat="false" ht="15" hidden="false" customHeight="false" outlineLevel="0" collapsed="false">
      <c r="A1266" s="0" t="s">
        <v>187</v>
      </c>
      <c r="B1266" s="0" t="n">
        <v>2022</v>
      </c>
      <c r="C1266" s="0" t="s">
        <v>63</v>
      </c>
      <c r="D1266" s="0" t="n">
        <v>4475</v>
      </c>
      <c r="E1266" s="0" t="n">
        <v>1</v>
      </c>
      <c r="F1266" s="0" t="s">
        <v>437</v>
      </c>
      <c r="G1266" s="0" t="s">
        <v>7040</v>
      </c>
      <c r="I1266" s="0" t="s">
        <v>4000</v>
      </c>
    </row>
    <row r="1267" customFormat="false" ht="15" hidden="false" customHeight="false" outlineLevel="0" collapsed="false">
      <c r="A1267" s="0" t="s">
        <v>187</v>
      </c>
      <c r="B1267" s="0" t="n">
        <v>2022</v>
      </c>
      <c r="C1267" s="0" t="s">
        <v>1038</v>
      </c>
      <c r="D1267" s="0" t="n">
        <v>1266</v>
      </c>
      <c r="E1267" s="0" t="n">
        <v>1</v>
      </c>
      <c r="F1267" s="0" t="s">
        <v>437</v>
      </c>
      <c r="G1267" s="0" t="s">
        <v>7040</v>
      </c>
      <c r="I1267" s="0" t="s">
        <v>4002</v>
      </c>
    </row>
    <row r="1268" customFormat="false" ht="15" hidden="false" customHeight="false" outlineLevel="0" collapsed="false">
      <c r="A1268" s="0" t="s">
        <v>187</v>
      </c>
      <c r="B1268" s="0" t="n">
        <v>2022</v>
      </c>
      <c r="C1268" s="0" t="s">
        <v>1366</v>
      </c>
      <c r="D1268" s="0" t="n">
        <v>3209</v>
      </c>
      <c r="E1268" s="0" t="n">
        <v>1</v>
      </c>
      <c r="F1268" s="0" t="s">
        <v>437</v>
      </c>
      <c r="G1268" s="0" t="s">
        <v>7040</v>
      </c>
      <c r="I1268" s="0" t="s">
        <v>4001</v>
      </c>
    </row>
    <row r="1269" customFormat="false" ht="15" hidden="false" customHeight="false" outlineLevel="0" collapsed="false">
      <c r="A1269" s="0" t="s">
        <v>187</v>
      </c>
      <c r="B1269" s="0" t="n">
        <v>2022</v>
      </c>
      <c r="C1269" s="0" t="s">
        <v>64</v>
      </c>
      <c r="D1269" s="0" t="n">
        <v>40276</v>
      </c>
      <c r="E1269" s="0" t="n">
        <v>1</v>
      </c>
      <c r="F1269" s="0" t="s">
        <v>437</v>
      </c>
      <c r="G1269" s="0" t="s">
        <v>7040</v>
      </c>
      <c r="I1269" s="0" t="s">
        <v>4008</v>
      </c>
    </row>
    <row r="1270" customFormat="false" ht="15" hidden="false" customHeight="false" outlineLevel="0" collapsed="false">
      <c r="A1270" s="0" t="s">
        <v>187</v>
      </c>
      <c r="B1270" s="0" t="n">
        <v>2022</v>
      </c>
      <c r="C1270" s="0" t="s">
        <v>69</v>
      </c>
      <c r="D1270" s="0" t="n">
        <v>14.42</v>
      </c>
      <c r="E1270" s="0" t="n">
        <v>1</v>
      </c>
      <c r="F1270" s="0" t="s">
        <v>437</v>
      </c>
      <c r="G1270" s="0" t="s">
        <v>7040</v>
      </c>
      <c r="I1270" s="0" t="s">
        <v>4003</v>
      </c>
    </row>
    <row r="1271" customFormat="false" ht="15" hidden="false" customHeight="false" outlineLevel="0" collapsed="false">
      <c r="A1271" s="0" t="s">
        <v>187</v>
      </c>
      <c r="B1271" s="0" t="n">
        <v>2022</v>
      </c>
      <c r="C1271" s="0" t="s">
        <v>70</v>
      </c>
      <c r="D1271" s="0" t="n">
        <v>10</v>
      </c>
      <c r="E1271" s="0" t="n">
        <v>1</v>
      </c>
      <c r="F1271" s="0" t="s">
        <v>437</v>
      </c>
      <c r="G1271" s="0" t="s">
        <v>7040</v>
      </c>
      <c r="I1271" s="0" t="s">
        <v>4006</v>
      </c>
    </row>
    <row r="1272" customFormat="false" ht="15" hidden="false" customHeight="false" outlineLevel="0" collapsed="false">
      <c r="A1272" s="0" t="s">
        <v>187</v>
      </c>
      <c r="B1272" s="0" t="n">
        <v>2022</v>
      </c>
      <c r="C1272" s="0" t="s">
        <v>65</v>
      </c>
      <c r="D1272" s="0" t="n">
        <v>180613</v>
      </c>
      <c r="E1272" s="0" t="n">
        <v>1</v>
      </c>
      <c r="F1272" s="0" t="s">
        <v>437</v>
      </c>
      <c r="G1272" s="0" t="s">
        <v>7040</v>
      </c>
      <c r="I1272" s="0" t="s">
        <v>4004</v>
      </c>
    </row>
    <row r="1273" customFormat="false" ht="15" hidden="false" customHeight="false" outlineLevel="0" collapsed="false">
      <c r="A1273" s="0" t="s">
        <v>187</v>
      </c>
      <c r="B1273" s="0" t="n">
        <v>2022</v>
      </c>
      <c r="C1273" s="0" t="s">
        <v>66</v>
      </c>
      <c r="D1273" s="0" t="n">
        <v>1252579</v>
      </c>
      <c r="E1273" s="0" t="n">
        <v>1</v>
      </c>
      <c r="F1273" s="0" t="s">
        <v>437</v>
      </c>
      <c r="G1273" s="0" t="s">
        <v>7040</v>
      </c>
      <c r="I1273" s="0" t="s">
        <v>4005</v>
      </c>
    </row>
    <row r="1274" customFormat="false" ht="15" hidden="false" customHeight="false" outlineLevel="0" collapsed="false">
      <c r="A1274" s="0" t="s">
        <v>187</v>
      </c>
      <c r="B1274" s="0" t="n">
        <v>2022</v>
      </c>
      <c r="C1274" s="0" t="s">
        <v>73</v>
      </c>
      <c r="D1274" s="0" t="n">
        <v>0</v>
      </c>
      <c r="E1274" s="0" t="n">
        <v>1</v>
      </c>
      <c r="F1274" s="0" t="s">
        <v>437</v>
      </c>
      <c r="G1274" s="0" t="s">
        <v>7040</v>
      </c>
      <c r="I1274" s="0" t="s">
        <v>367</v>
      </c>
    </row>
    <row r="1275" customFormat="false" ht="15" hidden="false" customHeight="false" outlineLevel="0" collapsed="false">
      <c r="A1275" s="0" t="s">
        <v>187</v>
      </c>
      <c r="B1275" s="0" t="n">
        <v>2022</v>
      </c>
      <c r="C1275" s="0" t="s">
        <v>67</v>
      </c>
      <c r="D1275" s="0" t="n">
        <v>74070</v>
      </c>
      <c r="E1275" s="0" t="n">
        <v>1</v>
      </c>
      <c r="F1275" s="0" t="s">
        <v>437</v>
      </c>
      <c r="G1275" s="0" t="s">
        <v>7040</v>
      </c>
      <c r="I1275" s="0" t="s">
        <v>4009</v>
      </c>
    </row>
    <row r="1276" customFormat="false" ht="15" hidden="false" customHeight="false" outlineLevel="0" collapsed="false">
      <c r="A1276" s="0" t="s">
        <v>187</v>
      </c>
      <c r="B1276" s="0" t="n">
        <v>2022</v>
      </c>
      <c r="C1276" s="0" t="s">
        <v>541</v>
      </c>
      <c r="D1276" s="0" t="n">
        <v>30206</v>
      </c>
      <c r="E1276" s="0" t="n">
        <v>1</v>
      </c>
      <c r="F1276" s="0" t="s">
        <v>437</v>
      </c>
      <c r="G1276" s="0" t="s">
        <v>7040</v>
      </c>
      <c r="I1276" s="0" t="s">
        <v>3998</v>
      </c>
    </row>
    <row r="1277" customFormat="false" ht="15" hidden="false" customHeight="false" outlineLevel="0" collapsed="false">
      <c r="A1277" s="0" t="s">
        <v>187</v>
      </c>
      <c r="B1277" s="0" t="n">
        <v>2022</v>
      </c>
      <c r="C1277" s="0" t="s">
        <v>1327</v>
      </c>
      <c r="D1277" s="0" t="n">
        <v>208171</v>
      </c>
      <c r="E1277" s="0" t="n">
        <v>1</v>
      </c>
      <c r="F1277" s="0" t="s">
        <v>437</v>
      </c>
      <c r="G1277" s="0" t="s">
        <v>7040</v>
      </c>
      <c r="I1277" s="0" t="s">
        <v>3999</v>
      </c>
    </row>
    <row r="1278" customFormat="false" ht="15" hidden="false" customHeight="false" outlineLevel="0" collapsed="false">
      <c r="A1278" s="0" t="s">
        <v>201</v>
      </c>
      <c r="B1278" s="0" t="n">
        <v>2013</v>
      </c>
      <c r="C1278" s="0" t="s">
        <v>54</v>
      </c>
      <c r="D1278" s="0" t="n">
        <v>-22582.339</v>
      </c>
      <c r="E1278" s="0" t="n">
        <v>1</v>
      </c>
      <c r="F1278" s="0" t="s">
        <v>437</v>
      </c>
      <c r="G1278" s="0" t="s">
        <v>7040</v>
      </c>
      <c r="I1278" s="0" t="s">
        <v>1369</v>
      </c>
    </row>
    <row r="1279" customFormat="false" ht="15" hidden="false" customHeight="false" outlineLevel="0" collapsed="false">
      <c r="A1279" s="0" t="s">
        <v>201</v>
      </c>
      <c r="B1279" s="0" t="n">
        <v>2013</v>
      </c>
      <c r="C1279" s="0" t="s">
        <v>55</v>
      </c>
      <c r="D1279" s="0" t="n">
        <v>403629.29</v>
      </c>
      <c r="E1279" s="0" t="n">
        <v>1</v>
      </c>
      <c r="F1279" s="0" t="s">
        <v>437</v>
      </c>
      <c r="G1279" s="0" t="s">
        <v>7040</v>
      </c>
      <c r="I1279" s="0" t="s">
        <v>1370</v>
      </c>
    </row>
    <row r="1280" customFormat="false" ht="15" hidden="false" customHeight="false" outlineLevel="0" collapsed="false">
      <c r="A1280" s="0" t="s">
        <v>201</v>
      </c>
      <c r="B1280" s="0" t="n">
        <v>2013</v>
      </c>
      <c r="C1280" s="0" t="s">
        <v>56</v>
      </c>
      <c r="D1280" s="0" t="n">
        <v>375416.65</v>
      </c>
      <c r="E1280" s="0" t="n">
        <v>1</v>
      </c>
      <c r="F1280" s="0" t="s">
        <v>437</v>
      </c>
      <c r="G1280" s="0" t="s">
        <v>7040</v>
      </c>
      <c r="I1280" s="0" t="s">
        <v>1371</v>
      </c>
    </row>
    <row r="1281" customFormat="false" ht="15" hidden="false" customHeight="false" outlineLevel="0" collapsed="false">
      <c r="A1281" s="0" t="s">
        <v>201</v>
      </c>
      <c r="B1281" s="0" t="n">
        <v>2013</v>
      </c>
      <c r="C1281" s="0" t="s">
        <v>57</v>
      </c>
      <c r="D1281" s="0" t="n">
        <v>28212.639</v>
      </c>
      <c r="E1281" s="0" t="n">
        <v>1</v>
      </c>
      <c r="F1281" s="0" t="s">
        <v>437</v>
      </c>
      <c r="G1281" s="0" t="s">
        <v>7040</v>
      </c>
      <c r="I1281" s="0" t="s">
        <v>1372</v>
      </c>
    </row>
    <row r="1282" customFormat="false" ht="15" hidden="false" customHeight="false" outlineLevel="0" collapsed="false">
      <c r="A1282" s="0" t="s">
        <v>201</v>
      </c>
      <c r="B1282" s="0" t="n">
        <v>2013</v>
      </c>
      <c r="C1282" s="0" t="s">
        <v>58</v>
      </c>
      <c r="D1282" s="0" t="n">
        <v>23788.331</v>
      </c>
      <c r="E1282" s="0" t="n">
        <v>1</v>
      </c>
      <c r="F1282" s="0" t="s">
        <v>437</v>
      </c>
      <c r="G1282" s="0" t="s">
        <v>7040</v>
      </c>
      <c r="I1282" s="0" t="s">
        <v>1373</v>
      </c>
    </row>
    <row r="1283" customFormat="false" ht="15" hidden="false" customHeight="false" outlineLevel="0" collapsed="false">
      <c r="A1283" s="0" t="s">
        <v>201</v>
      </c>
      <c r="B1283" s="0" t="n">
        <v>2013</v>
      </c>
      <c r="C1283" s="0" t="s">
        <v>62</v>
      </c>
      <c r="D1283" s="0" t="n">
        <v>195229.573</v>
      </c>
      <c r="E1283" s="0" t="n">
        <v>1</v>
      </c>
      <c r="F1283" s="0" t="s">
        <v>437</v>
      </c>
      <c r="G1283" s="0" t="s">
        <v>7040</v>
      </c>
      <c r="I1283" s="0" t="s">
        <v>1374</v>
      </c>
    </row>
    <row r="1284" customFormat="false" ht="15" hidden="false" customHeight="false" outlineLevel="0" collapsed="false">
      <c r="A1284" s="0" t="s">
        <v>201</v>
      </c>
      <c r="B1284" s="0" t="n">
        <v>2013</v>
      </c>
      <c r="C1284" s="0" t="s">
        <v>63</v>
      </c>
      <c r="D1284" s="0" t="n">
        <v>21592.692</v>
      </c>
      <c r="E1284" s="0" t="n">
        <v>1</v>
      </c>
      <c r="F1284" s="0" t="s">
        <v>437</v>
      </c>
      <c r="G1284" s="0" t="s">
        <v>7040</v>
      </c>
      <c r="I1284" s="0" t="s">
        <v>1375</v>
      </c>
    </row>
    <row r="1285" customFormat="false" ht="15" hidden="false" customHeight="false" outlineLevel="0" collapsed="false">
      <c r="A1285" s="0" t="s">
        <v>201</v>
      </c>
      <c r="B1285" s="0" t="n">
        <v>2013</v>
      </c>
      <c r="C1285" s="0" t="s">
        <v>541</v>
      </c>
      <c r="D1285" s="0" t="n">
        <v>-33639.369</v>
      </c>
      <c r="E1285" s="0" t="n">
        <v>1</v>
      </c>
      <c r="F1285" s="0" t="s">
        <v>437</v>
      </c>
      <c r="G1285" s="0" t="s">
        <v>7040</v>
      </c>
      <c r="I1285" s="0" t="s">
        <v>1376</v>
      </c>
    </row>
    <row r="1286" customFormat="false" ht="15" hidden="false" customHeight="false" outlineLevel="0" collapsed="false">
      <c r="A1286" s="0" t="s">
        <v>201</v>
      </c>
      <c r="B1286" s="0" t="n">
        <v>2014</v>
      </c>
      <c r="C1286" s="0" t="s">
        <v>54</v>
      </c>
      <c r="D1286" s="0" t="n">
        <v>10692.476</v>
      </c>
      <c r="E1286" s="0" t="n">
        <v>1</v>
      </c>
      <c r="F1286" s="0" t="s">
        <v>437</v>
      </c>
      <c r="G1286" s="0" t="s">
        <v>7040</v>
      </c>
      <c r="I1286" s="0" t="s">
        <v>1377</v>
      </c>
    </row>
    <row r="1287" customFormat="false" ht="15" hidden="false" customHeight="false" outlineLevel="0" collapsed="false">
      <c r="A1287" s="0" t="s">
        <v>201</v>
      </c>
      <c r="B1287" s="0" t="n">
        <v>2014</v>
      </c>
      <c r="C1287" s="0" t="s">
        <v>55</v>
      </c>
      <c r="D1287" s="0" t="n">
        <v>413305.111</v>
      </c>
      <c r="E1287" s="0" t="n">
        <v>1</v>
      </c>
      <c r="F1287" s="0" t="s">
        <v>437</v>
      </c>
      <c r="G1287" s="0" t="s">
        <v>7040</v>
      </c>
      <c r="I1287" s="0" t="s">
        <v>1378</v>
      </c>
    </row>
    <row r="1288" customFormat="false" ht="15" hidden="false" customHeight="false" outlineLevel="0" collapsed="false">
      <c r="A1288" s="0" t="s">
        <v>201</v>
      </c>
      <c r="B1288" s="0" t="n">
        <v>2014</v>
      </c>
      <c r="C1288" s="0" t="s">
        <v>56</v>
      </c>
      <c r="D1288" s="0" t="n">
        <v>337041.116</v>
      </c>
      <c r="E1288" s="0" t="n">
        <v>1</v>
      </c>
      <c r="F1288" s="0" t="s">
        <v>437</v>
      </c>
      <c r="G1288" s="0" t="s">
        <v>7040</v>
      </c>
      <c r="I1288" s="0" t="s">
        <v>1379</v>
      </c>
    </row>
    <row r="1289" customFormat="false" ht="15" hidden="false" customHeight="false" outlineLevel="0" collapsed="false">
      <c r="A1289" s="0" t="s">
        <v>201</v>
      </c>
      <c r="B1289" s="0" t="n">
        <v>2014</v>
      </c>
      <c r="C1289" s="0" t="s">
        <v>57</v>
      </c>
      <c r="D1289" s="0" t="n">
        <v>76263.995</v>
      </c>
      <c r="E1289" s="0" t="n">
        <v>1</v>
      </c>
      <c r="F1289" s="0" t="s">
        <v>437</v>
      </c>
      <c r="G1289" s="0" t="s">
        <v>7040</v>
      </c>
      <c r="I1289" s="0" t="s">
        <v>1380</v>
      </c>
    </row>
    <row r="1290" customFormat="false" ht="15" hidden="false" customHeight="false" outlineLevel="0" collapsed="false">
      <c r="A1290" s="0" t="s">
        <v>201</v>
      </c>
      <c r="B1290" s="0" t="n">
        <v>2014</v>
      </c>
      <c r="C1290" s="0" t="s">
        <v>58</v>
      </c>
      <c r="D1290" s="0" t="n">
        <v>-32248.858</v>
      </c>
      <c r="E1290" s="0" t="n">
        <v>1</v>
      </c>
      <c r="F1290" s="0" t="s">
        <v>437</v>
      </c>
      <c r="G1290" s="0" t="s">
        <v>7040</v>
      </c>
      <c r="I1290" s="0" t="s">
        <v>1381</v>
      </c>
    </row>
    <row r="1291" customFormat="false" ht="15" hidden="false" customHeight="false" outlineLevel="0" collapsed="false">
      <c r="A1291" s="0" t="s">
        <v>201</v>
      </c>
      <c r="B1291" s="0" t="n">
        <v>2014</v>
      </c>
      <c r="C1291" s="0" t="s">
        <v>59</v>
      </c>
      <c r="D1291" s="0" t="n">
        <v>403629.29</v>
      </c>
      <c r="E1291" s="0" t="n">
        <v>1</v>
      </c>
      <c r="F1291" s="0" t="s">
        <v>437</v>
      </c>
      <c r="G1291" s="0" t="s">
        <v>7040</v>
      </c>
      <c r="I1291" s="0" t="s">
        <v>1382</v>
      </c>
    </row>
    <row r="1292" customFormat="false" ht="15" hidden="false" customHeight="false" outlineLevel="0" collapsed="false">
      <c r="A1292" s="0" t="s">
        <v>201</v>
      </c>
      <c r="B1292" s="0" t="n">
        <v>2014</v>
      </c>
      <c r="C1292" s="0" t="s">
        <v>62</v>
      </c>
      <c r="D1292" s="0" t="n">
        <v>219335.346</v>
      </c>
      <c r="E1292" s="0" t="n">
        <v>1</v>
      </c>
      <c r="F1292" s="0" t="s">
        <v>437</v>
      </c>
      <c r="G1292" s="0" t="s">
        <v>7040</v>
      </c>
      <c r="I1292" s="0" t="s">
        <v>1383</v>
      </c>
    </row>
    <row r="1293" customFormat="false" ht="15" hidden="false" customHeight="false" outlineLevel="0" collapsed="false">
      <c r="A1293" s="0" t="s">
        <v>201</v>
      </c>
      <c r="B1293" s="0" t="n">
        <v>2014</v>
      </c>
      <c r="C1293" s="0" t="s">
        <v>63</v>
      </c>
      <c r="D1293" s="0" t="n">
        <v>15054.246</v>
      </c>
      <c r="E1293" s="0" t="n">
        <v>1</v>
      </c>
      <c r="F1293" s="0" t="s">
        <v>437</v>
      </c>
      <c r="G1293" s="0" t="s">
        <v>7040</v>
      </c>
      <c r="I1293" s="0" t="s">
        <v>1384</v>
      </c>
    </row>
    <row r="1294" customFormat="false" ht="15" hidden="false" customHeight="false" outlineLevel="0" collapsed="false">
      <c r="A1294" s="0" t="s">
        <v>201</v>
      </c>
      <c r="B1294" s="0" t="n">
        <v>2014</v>
      </c>
      <c r="C1294" s="0" t="s">
        <v>541</v>
      </c>
      <c r="D1294" s="0" t="n">
        <v>13639.39</v>
      </c>
      <c r="E1294" s="0" t="n">
        <v>1</v>
      </c>
      <c r="F1294" s="0" t="s">
        <v>437</v>
      </c>
      <c r="G1294" s="0" t="s">
        <v>7040</v>
      </c>
      <c r="I1294" s="0" t="s">
        <v>1385</v>
      </c>
    </row>
    <row r="1295" customFormat="false" ht="15" hidden="false" customHeight="false" outlineLevel="0" collapsed="false">
      <c r="A1295" s="0" t="s">
        <v>201</v>
      </c>
      <c r="B1295" s="0" t="n">
        <v>2015</v>
      </c>
      <c r="C1295" s="0" t="s">
        <v>54</v>
      </c>
      <c r="D1295" s="0" t="n">
        <v>4689.157</v>
      </c>
      <c r="E1295" s="0" t="n">
        <v>1</v>
      </c>
      <c r="F1295" s="0" t="s">
        <v>437</v>
      </c>
      <c r="G1295" s="0" t="s">
        <v>7040</v>
      </c>
      <c r="I1295" s="0" t="s">
        <v>1386</v>
      </c>
    </row>
    <row r="1296" customFormat="false" ht="15" hidden="false" customHeight="false" outlineLevel="0" collapsed="false">
      <c r="A1296" s="0" t="s">
        <v>201</v>
      </c>
      <c r="B1296" s="0" t="n">
        <v>2015</v>
      </c>
      <c r="C1296" s="0" t="s">
        <v>55</v>
      </c>
      <c r="D1296" s="0" t="n">
        <v>443321.012</v>
      </c>
      <c r="E1296" s="0" t="n">
        <v>1</v>
      </c>
      <c r="F1296" s="0" t="s">
        <v>437</v>
      </c>
      <c r="G1296" s="0" t="s">
        <v>7040</v>
      </c>
      <c r="I1296" s="0" t="s">
        <v>1387</v>
      </c>
    </row>
    <row r="1297" customFormat="false" ht="15" hidden="false" customHeight="false" outlineLevel="0" collapsed="false">
      <c r="A1297" s="0" t="s">
        <v>201</v>
      </c>
      <c r="B1297" s="0" t="n">
        <v>2015</v>
      </c>
      <c r="C1297" s="0" t="s">
        <v>56</v>
      </c>
      <c r="D1297" s="0" t="n">
        <v>360746.481</v>
      </c>
      <c r="E1297" s="0" t="n">
        <v>1</v>
      </c>
      <c r="F1297" s="0" t="s">
        <v>437</v>
      </c>
      <c r="G1297" s="0" t="s">
        <v>7040</v>
      </c>
      <c r="I1297" s="0" t="s">
        <v>1388</v>
      </c>
    </row>
    <row r="1298" customFormat="false" ht="15" hidden="false" customHeight="false" outlineLevel="0" collapsed="false">
      <c r="A1298" s="0" t="s">
        <v>201</v>
      </c>
      <c r="B1298" s="0" t="n">
        <v>2015</v>
      </c>
      <c r="C1298" s="0" t="s">
        <v>57</v>
      </c>
      <c r="D1298" s="0" t="n">
        <v>82574.531</v>
      </c>
      <c r="E1298" s="0" t="n">
        <v>1</v>
      </c>
      <c r="F1298" s="0" t="s">
        <v>437</v>
      </c>
      <c r="G1298" s="0" t="s">
        <v>7040</v>
      </c>
      <c r="I1298" s="0" t="s">
        <v>1389</v>
      </c>
    </row>
    <row r="1299" customFormat="false" ht="15" hidden="false" customHeight="false" outlineLevel="0" collapsed="false">
      <c r="A1299" s="0" t="s">
        <v>201</v>
      </c>
      <c r="B1299" s="0" t="n">
        <v>2015</v>
      </c>
      <c r="C1299" s="0" t="s">
        <v>58</v>
      </c>
      <c r="D1299" s="0" t="n">
        <v>-36691.17</v>
      </c>
      <c r="E1299" s="0" t="n">
        <v>1</v>
      </c>
      <c r="F1299" s="0" t="s">
        <v>437</v>
      </c>
      <c r="G1299" s="0" t="s">
        <v>7040</v>
      </c>
      <c r="I1299" s="0" t="s">
        <v>1390</v>
      </c>
    </row>
    <row r="1300" customFormat="false" ht="15" hidden="false" customHeight="false" outlineLevel="0" collapsed="false">
      <c r="A1300" s="0" t="s">
        <v>201</v>
      </c>
      <c r="B1300" s="0" t="n">
        <v>2015</v>
      </c>
      <c r="C1300" s="0" t="s">
        <v>59</v>
      </c>
      <c r="D1300" s="0" t="n">
        <v>413305.111</v>
      </c>
      <c r="E1300" s="0" t="n">
        <v>1</v>
      </c>
      <c r="F1300" s="0" t="s">
        <v>437</v>
      </c>
      <c r="G1300" s="0" t="s">
        <v>7040</v>
      </c>
      <c r="I1300" s="0" t="s">
        <v>1391</v>
      </c>
    </row>
    <row r="1301" customFormat="false" ht="15" hidden="false" customHeight="false" outlineLevel="0" collapsed="false">
      <c r="A1301" s="0" t="s">
        <v>201</v>
      </c>
      <c r="B1301" s="0" t="n">
        <v>2015</v>
      </c>
      <c r="C1301" s="0" t="s">
        <v>60</v>
      </c>
      <c r="D1301" s="0" t="n">
        <v>311897.547</v>
      </c>
      <c r="E1301" s="0" t="n">
        <v>1</v>
      </c>
      <c r="F1301" s="0" t="s">
        <v>437</v>
      </c>
      <c r="G1301" s="0" t="s">
        <v>7040</v>
      </c>
      <c r="I1301" s="0" t="s">
        <v>1392</v>
      </c>
    </row>
    <row r="1302" customFormat="false" ht="15" hidden="false" customHeight="false" outlineLevel="0" collapsed="false">
      <c r="A1302" s="0" t="s">
        <v>201</v>
      </c>
      <c r="B1302" s="0" t="n">
        <v>2015</v>
      </c>
      <c r="C1302" s="0" t="s">
        <v>61</v>
      </c>
      <c r="D1302" s="0" t="n">
        <v>65754.418</v>
      </c>
      <c r="E1302" s="0" t="n">
        <v>1</v>
      </c>
      <c r="F1302" s="0" t="s">
        <v>437</v>
      </c>
      <c r="G1302" s="0" t="s">
        <v>7040</v>
      </c>
      <c r="I1302" s="0" t="s">
        <v>1393</v>
      </c>
    </row>
    <row r="1303" customFormat="false" ht="15" hidden="false" customHeight="false" outlineLevel="0" collapsed="false">
      <c r="A1303" s="0" t="s">
        <v>201</v>
      </c>
      <c r="B1303" s="0" t="n">
        <v>2015</v>
      </c>
      <c r="C1303" s="0" t="s">
        <v>62</v>
      </c>
      <c r="D1303" s="0" t="n">
        <v>246143.129</v>
      </c>
      <c r="E1303" s="0" t="n">
        <v>1</v>
      </c>
      <c r="F1303" s="0" t="s">
        <v>437</v>
      </c>
      <c r="G1303" s="0" t="s">
        <v>7040</v>
      </c>
      <c r="I1303" s="0" t="s">
        <v>1394</v>
      </c>
    </row>
    <row r="1304" customFormat="false" ht="15" hidden="false" customHeight="false" outlineLevel="0" collapsed="false">
      <c r="A1304" s="0" t="s">
        <v>201</v>
      </c>
      <c r="B1304" s="0" t="n">
        <v>2015</v>
      </c>
      <c r="C1304" s="0" t="s">
        <v>63</v>
      </c>
      <c r="D1304" s="0" t="n">
        <v>27122.182</v>
      </c>
      <c r="E1304" s="0" t="n">
        <v>1</v>
      </c>
      <c r="F1304" s="0" t="s">
        <v>437</v>
      </c>
      <c r="G1304" s="0" t="s">
        <v>7040</v>
      </c>
      <c r="I1304" s="0" t="s">
        <v>1395</v>
      </c>
    </row>
    <row r="1305" customFormat="false" ht="15" hidden="false" customHeight="false" outlineLevel="0" collapsed="false">
      <c r="A1305" s="0" t="s">
        <v>201</v>
      </c>
      <c r="B1305" s="0" t="n">
        <v>2015</v>
      </c>
      <c r="C1305" s="0" t="s">
        <v>73</v>
      </c>
      <c r="D1305" s="0" t="n">
        <v>0</v>
      </c>
      <c r="E1305" s="0" t="n">
        <v>1</v>
      </c>
      <c r="F1305" s="0" t="s">
        <v>437</v>
      </c>
      <c r="G1305" s="0" t="s">
        <v>7040</v>
      </c>
      <c r="I1305" s="0" t="s">
        <v>1396</v>
      </c>
    </row>
    <row r="1306" customFormat="false" ht="15" hidden="false" customHeight="false" outlineLevel="0" collapsed="false">
      <c r="A1306" s="0" t="s">
        <v>201</v>
      </c>
      <c r="B1306" s="0" t="n">
        <v>2015</v>
      </c>
      <c r="C1306" s="0" t="s">
        <v>541</v>
      </c>
      <c r="D1306" s="0" t="n">
        <v>2342.667</v>
      </c>
      <c r="E1306" s="0" t="n">
        <v>1</v>
      </c>
      <c r="F1306" s="0" t="s">
        <v>437</v>
      </c>
      <c r="G1306" s="0" t="s">
        <v>7040</v>
      </c>
      <c r="I1306" s="0" t="s">
        <v>1397</v>
      </c>
    </row>
    <row r="1307" customFormat="false" ht="15" hidden="false" customHeight="false" outlineLevel="0" collapsed="false">
      <c r="A1307" s="0" t="s">
        <v>201</v>
      </c>
      <c r="B1307" s="0" t="n">
        <v>2015</v>
      </c>
      <c r="C1307" s="0" t="s">
        <v>543</v>
      </c>
      <c r="D1307" s="0" t="n">
        <v>59878.629</v>
      </c>
      <c r="E1307" s="0" t="n">
        <v>1</v>
      </c>
      <c r="F1307" s="0" t="s">
        <v>437</v>
      </c>
      <c r="G1307" s="0" t="s">
        <v>7040</v>
      </c>
      <c r="I1307" s="0" t="s">
        <v>1398</v>
      </c>
    </row>
    <row r="1308" customFormat="false" ht="15" hidden="false" customHeight="false" outlineLevel="0" collapsed="false">
      <c r="A1308" s="0" t="s">
        <v>201</v>
      </c>
      <c r="B1308" s="0" t="n">
        <v>2015</v>
      </c>
      <c r="C1308" s="0" t="s">
        <v>545</v>
      </c>
      <c r="D1308" s="0" t="n">
        <v>5875.789</v>
      </c>
      <c r="E1308" s="0" t="n">
        <v>1</v>
      </c>
      <c r="F1308" s="0" t="s">
        <v>437</v>
      </c>
      <c r="G1308" s="0" t="s">
        <v>7040</v>
      </c>
      <c r="I1308" s="0" t="s">
        <v>1399</v>
      </c>
    </row>
    <row r="1309" customFormat="false" ht="15" hidden="false" customHeight="false" outlineLevel="0" collapsed="false">
      <c r="A1309" s="0" t="s">
        <v>201</v>
      </c>
      <c r="B1309" s="0" t="n">
        <v>2016</v>
      </c>
      <c r="C1309" s="0" t="s">
        <v>54</v>
      </c>
      <c r="D1309" s="0" t="n">
        <v>2183.798</v>
      </c>
      <c r="E1309" s="0" t="n">
        <v>1</v>
      </c>
      <c r="F1309" s="0" t="s">
        <v>437</v>
      </c>
      <c r="G1309" s="0" t="s">
        <v>7040</v>
      </c>
      <c r="I1309" s="0" t="s">
        <v>1400</v>
      </c>
    </row>
    <row r="1310" customFormat="false" ht="15" hidden="false" customHeight="false" outlineLevel="0" collapsed="false">
      <c r="A1310" s="0" t="s">
        <v>201</v>
      </c>
      <c r="B1310" s="0" t="n">
        <v>2016</v>
      </c>
      <c r="C1310" s="0" t="s">
        <v>55</v>
      </c>
      <c r="D1310" s="0" t="n">
        <v>492681.647</v>
      </c>
      <c r="E1310" s="0" t="n">
        <v>1</v>
      </c>
      <c r="F1310" s="0" t="s">
        <v>437</v>
      </c>
      <c r="G1310" s="0" t="s">
        <v>7040</v>
      </c>
      <c r="I1310" s="0" t="s">
        <v>1401</v>
      </c>
    </row>
    <row r="1311" customFormat="false" ht="15" hidden="false" customHeight="false" outlineLevel="0" collapsed="false">
      <c r="A1311" s="0" t="s">
        <v>201</v>
      </c>
      <c r="B1311" s="0" t="n">
        <v>2016</v>
      </c>
      <c r="C1311" s="0" t="s">
        <v>56</v>
      </c>
      <c r="D1311" s="0" t="n">
        <v>409574.667</v>
      </c>
      <c r="E1311" s="0" t="n">
        <v>1</v>
      </c>
      <c r="F1311" s="0" t="s">
        <v>437</v>
      </c>
      <c r="G1311" s="0" t="s">
        <v>7040</v>
      </c>
      <c r="I1311" s="0" t="s">
        <v>1402</v>
      </c>
    </row>
    <row r="1312" customFormat="false" ht="15" hidden="false" customHeight="false" outlineLevel="0" collapsed="false">
      <c r="A1312" s="0" t="s">
        <v>201</v>
      </c>
      <c r="B1312" s="0" t="n">
        <v>2016</v>
      </c>
      <c r="C1312" s="0" t="s">
        <v>57</v>
      </c>
      <c r="D1312" s="0" t="n">
        <v>83106.98</v>
      </c>
      <c r="E1312" s="0" t="n">
        <v>1</v>
      </c>
      <c r="F1312" s="0" t="s">
        <v>437</v>
      </c>
      <c r="G1312" s="0" t="s">
        <v>7040</v>
      </c>
      <c r="I1312" s="0" t="s">
        <v>1403</v>
      </c>
    </row>
    <row r="1313" customFormat="false" ht="15" hidden="false" customHeight="false" outlineLevel="0" collapsed="false">
      <c r="A1313" s="0" t="s">
        <v>201</v>
      </c>
      <c r="B1313" s="0" t="n">
        <v>2016</v>
      </c>
      <c r="C1313" s="0" t="s">
        <v>58</v>
      </c>
      <c r="D1313" s="0" t="n">
        <v>-23320.526</v>
      </c>
      <c r="E1313" s="0" t="n">
        <v>1</v>
      </c>
      <c r="F1313" s="0" t="s">
        <v>437</v>
      </c>
      <c r="G1313" s="0" t="s">
        <v>7040</v>
      </c>
      <c r="I1313" s="0" t="s">
        <v>1404</v>
      </c>
    </row>
    <row r="1314" customFormat="false" ht="15" hidden="false" customHeight="false" outlineLevel="0" collapsed="false">
      <c r="A1314" s="0" t="s">
        <v>201</v>
      </c>
      <c r="B1314" s="0" t="n">
        <v>2016</v>
      </c>
      <c r="C1314" s="0" t="s">
        <v>59</v>
      </c>
      <c r="D1314" s="0" t="n">
        <v>443321.012</v>
      </c>
      <c r="E1314" s="0" t="n">
        <v>1</v>
      </c>
      <c r="F1314" s="0" t="s">
        <v>437</v>
      </c>
      <c r="G1314" s="0" t="s">
        <v>7040</v>
      </c>
      <c r="I1314" s="0" t="s">
        <v>1405</v>
      </c>
    </row>
    <row r="1315" customFormat="false" ht="15" hidden="false" customHeight="false" outlineLevel="0" collapsed="false">
      <c r="A1315" s="0" t="s">
        <v>201</v>
      </c>
      <c r="B1315" s="0" t="n">
        <v>2016</v>
      </c>
      <c r="C1315" s="0" t="s">
        <v>60</v>
      </c>
      <c r="D1315" s="0" t="n">
        <v>378758.599</v>
      </c>
      <c r="E1315" s="0" t="n">
        <v>1</v>
      </c>
      <c r="F1315" s="0" t="s">
        <v>437</v>
      </c>
      <c r="G1315" s="0" t="s">
        <v>7040</v>
      </c>
      <c r="I1315" s="0" t="s">
        <v>1406</v>
      </c>
    </row>
    <row r="1316" customFormat="false" ht="15" hidden="false" customHeight="false" outlineLevel="0" collapsed="false">
      <c r="A1316" s="0" t="s">
        <v>201</v>
      </c>
      <c r="B1316" s="0" t="n">
        <v>2016</v>
      </c>
      <c r="C1316" s="0" t="s">
        <v>61</v>
      </c>
      <c r="D1316" s="0" t="n">
        <v>101544.079</v>
      </c>
      <c r="E1316" s="0" t="n">
        <v>1</v>
      </c>
      <c r="F1316" s="0" t="s">
        <v>437</v>
      </c>
      <c r="G1316" s="0" t="s">
        <v>7040</v>
      </c>
      <c r="I1316" s="0" t="s">
        <v>1407</v>
      </c>
    </row>
    <row r="1317" customFormat="false" ht="15" hidden="false" customHeight="false" outlineLevel="0" collapsed="false">
      <c r="A1317" s="0" t="s">
        <v>201</v>
      </c>
      <c r="B1317" s="0" t="n">
        <v>2016</v>
      </c>
      <c r="C1317" s="0" t="s">
        <v>62</v>
      </c>
      <c r="D1317" s="0" t="n">
        <v>277214.521</v>
      </c>
      <c r="E1317" s="0" t="n">
        <v>1</v>
      </c>
      <c r="F1317" s="0" t="s">
        <v>437</v>
      </c>
      <c r="G1317" s="0" t="s">
        <v>7040</v>
      </c>
      <c r="I1317" s="0" t="s">
        <v>1408</v>
      </c>
    </row>
    <row r="1318" customFormat="false" ht="15" hidden="false" customHeight="false" outlineLevel="0" collapsed="false">
      <c r="A1318" s="0" t="s">
        <v>201</v>
      </c>
      <c r="B1318" s="0" t="n">
        <v>2016</v>
      </c>
      <c r="C1318" s="0" t="s">
        <v>63</v>
      </c>
      <c r="D1318" s="0" t="n">
        <v>35948.596</v>
      </c>
      <c r="E1318" s="0" t="n">
        <v>1</v>
      </c>
      <c r="F1318" s="0" t="s">
        <v>437</v>
      </c>
      <c r="G1318" s="0" t="s">
        <v>7040</v>
      </c>
      <c r="I1318" s="0" t="s">
        <v>1409</v>
      </c>
    </row>
    <row r="1319" customFormat="false" ht="15" hidden="false" customHeight="false" outlineLevel="0" collapsed="false">
      <c r="A1319" s="0" t="s">
        <v>201</v>
      </c>
      <c r="B1319" s="0" t="n">
        <v>2016</v>
      </c>
      <c r="C1319" s="0" t="s">
        <v>69</v>
      </c>
      <c r="D1319" s="0" t="n">
        <v>-46.98</v>
      </c>
      <c r="E1319" s="0" t="n">
        <v>1</v>
      </c>
      <c r="F1319" s="0" t="s">
        <v>437</v>
      </c>
      <c r="G1319" s="0" t="s">
        <v>7040</v>
      </c>
      <c r="I1319" s="0" t="s">
        <v>1410</v>
      </c>
    </row>
    <row r="1320" customFormat="false" ht="15" hidden="false" customHeight="false" outlineLevel="0" collapsed="false">
      <c r="A1320" s="0" t="s">
        <v>201</v>
      </c>
      <c r="B1320" s="0" t="n">
        <v>2016</v>
      </c>
      <c r="C1320" s="0" t="s">
        <v>65</v>
      </c>
      <c r="D1320" s="0" t="n">
        <v>-217551.64</v>
      </c>
      <c r="E1320" s="0" t="n">
        <v>1</v>
      </c>
      <c r="F1320" s="0" t="s">
        <v>437</v>
      </c>
      <c r="G1320" s="0" t="s">
        <v>7040</v>
      </c>
      <c r="I1320" s="0" t="s">
        <v>1411</v>
      </c>
    </row>
    <row r="1321" customFormat="false" ht="15" hidden="false" customHeight="false" outlineLevel="0" collapsed="false">
      <c r="A1321" s="0" t="s">
        <v>201</v>
      </c>
      <c r="B1321" s="0" t="n">
        <v>2016</v>
      </c>
      <c r="C1321" s="0" t="s">
        <v>66</v>
      </c>
      <c r="D1321" s="0" t="n">
        <v>463106.398</v>
      </c>
      <c r="E1321" s="0" t="n">
        <v>1</v>
      </c>
      <c r="F1321" s="0" t="s">
        <v>437</v>
      </c>
      <c r="G1321" s="0" t="s">
        <v>7040</v>
      </c>
      <c r="I1321" s="0" t="s">
        <v>1412</v>
      </c>
    </row>
    <row r="1322" customFormat="false" ht="15" hidden="false" customHeight="false" outlineLevel="0" collapsed="false">
      <c r="A1322" s="0" t="s">
        <v>201</v>
      </c>
      <c r="B1322" s="0" t="n">
        <v>2016</v>
      </c>
      <c r="C1322" s="0" t="s">
        <v>73</v>
      </c>
      <c r="D1322" s="0" t="n">
        <v>0</v>
      </c>
      <c r="E1322" s="0" t="n">
        <v>1</v>
      </c>
      <c r="F1322" s="0" t="s">
        <v>437</v>
      </c>
      <c r="G1322" s="0" t="s">
        <v>7040</v>
      </c>
      <c r="I1322" s="0" t="s">
        <v>1413</v>
      </c>
    </row>
    <row r="1323" customFormat="false" ht="15" hidden="false" customHeight="false" outlineLevel="0" collapsed="false">
      <c r="A1323" s="0" t="s">
        <v>201</v>
      </c>
      <c r="B1323" s="0" t="n">
        <v>2016</v>
      </c>
      <c r="C1323" s="0" t="s">
        <v>541</v>
      </c>
      <c r="D1323" s="0" t="n">
        <v>1816.431</v>
      </c>
      <c r="E1323" s="0" t="n">
        <v>1</v>
      </c>
      <c r="F1323" s="0" t="s">
        <v>437</v>
      </c>
      <c r="G1323" s="0" t="s">
        <v>7040</v>
      </c>
      <c r="I1323" s="0" t="s">
        <v>1414</v>
      </c>
    </row>
    <row r="1324" customFormat="false" ht="15" hidden="false" customHeight="false" outlineLevel="0" collapsed="false">
      <c r="A1324" s="0" t="s">
        <v>201</v>
      </c>
      <c r="B1324" s="0" t="n">
        <v>2016</v>
      </c>
      <c r="C1324" s="0" t="s">
        <v>543</v>
      </c>
      <c r="D1324" s="0" t="n">
        <v>93090.028</v>
      </c>
      <c r="E1324" s="0" t="n">
        <v>1</v>
      </c>
      <c r="F1324" s="0" t="s">
        <v>437</v>
      </c>
      <c r="G1324" s="0" t="s">
        <v>7040</v>
      </c>
      <c r="I1324" s="0" t="s">
        <v>1415</v>
      </c>
    </row>
    <row r="1325" customFormat="false" ht="15" hidden="false" customHeight="false" outlineLevel="0" collapsed="false">
      <c r="A1325" s="0" t="s">
        <v>201</v>
      </c>
      <c r="B1325" s="0" t="n">
        <v>2016</v>
      </c>
      <c r="C1325" s="0" t="s">
        <v>545</v>
      </c>
      <c r="D1325" s="0" t="n">
        <v>8454.051</v>
      </c>
      <c r="E1325" s="0" t="n">
        <v>1</v>
      </c>
      <c r="F1325" s="0" t="s">
        <v>437</v>
      </c>
      <c r="G1325" s="0" t="s">
        <v>7040</v>
      </c>
      <c r="I1325" s="0" t="s">
        <v>1416</v>
      </c>
    </row>
    <row r="1326" customFormat="false" ht="15" hidden="false" customHeight="false" outlineLevel="0" collapsed="false">
      <c r="A1326" s="0" t="s">
        <v>201</v>
      </c>
      <c r="B1326" s="0" t="n">
        <v>2017</v>
      </c>
      <c r="C1326" s="0" t="s">
        <v>54</v>
      </c>
      <c r="D1326" s="0" t="n">
        <v>-14917.938</v>
      </c>
      <c r="E1326" s="0" t="n">
        <v>1</v>
      </c>
      <c r="F1326" s="0" t="s">
        <v>437</v>
      </c>
      <c r="G1326" s="0" t="s">
        <v>7040</v>
      </c>
      <c r="I1326" s="0" t="s">
        <v>1417</v>
      </c>
    </row>
    <row r="1327" customFormat="false" ht="15" hidden="false" customHeight="false" outlineLevel="0" collapsed="false">
      <c r="A1327" s="0" t="s">
        <v>201</v>
      </c>
      <c r="B1327" s="0" t="n">
        <v>2017</v>
      </c>
      <c r="C1327" s="0" t="s">
        <v>55</v>
      </c>
      <c r="D1327" s="0" t="n">
        <v>156506.504</v>
      </c>
      <c r="E1327" s="0" t="n">
        <v>1</v>
      </c>
      <c r="F1327" s="0" t="s">
        <v>437</v>
      </c>
      <c r="G1327" s="0" t="s">
        <v>7040</v>
      </c>
      <c r="I1327" s="0" t="s">
        <v>1418</v>
      </c>
    </row>
    <row r="1328" customFormat="false" ht="15" hidden="false" customHeight="false" outlineLevel="0" collapsed="false">
      <c r="A1328" s="0" t="s">
        <v>201</v>
      </c>
      <c r="B1328" s="0" t="n">
        <v>2017</v>
      </c>
      <c r="C1328" s="0" t="s">
        <v>56</v>
      </c>
      <c r="D1328" s="0" t="n">
        <v>398699.659</v>
      </c>
      <c r="E1328" s="0" t="n">
        <v>1</v>
      </c>
      <c r="F1328" s="0" t="s">
        <v>437</v>
      </c>
      <c r="G1328" s="0" t="s">
        <v>7040</v>
      </c>
      <c r="I1328" s="0" t="s">
        <v>1419</v>
      </c>
    </row>
    <row r="1329" customFormat="false" ht="15" hidden="false" customHeight="false" outlineLevel="0" collapsed="false">
      <c r="A1329" s="0" t="s">
        <v>201</v>
      </c>
      <c r="B1329" s="0" t="n">
        <v>2017</v>
      </c>
      <c r="C1329" s="0" t="s">
        <v>57</v>
      </c>
      <c r="D1329" s="0" t="n">
        <v>-242193.155</v>
      </c>
      <c r="E1329" s="0" t="n">
        <v>1</v>
      </c>
      <c r="F1329" s="0" t="s">
        <v>437</v>
      </c>
      <c r="G1329" s="0" t="s">
        <v>7040</v>
      </c>
      <c r="I1329" s="0" t="s">
        <v>1420</v>
      </c>
    </row>
    <row r="1330" customFormat="false" ht="15" hidden="false" customHeight="false" outlineLevel="0" collapsed="false">
      <c r="A1330" s="0" t="s">
        <v>201</v>
      </c>
      <c r="B1330" s="0" t="n">
        <v>2017</v>
      </c>
      <c r="C1330" s="0" t="s">
        <v>58</v>
      </c>
      <c r="D1330" s="0" t="n">
        <v>-6744.837</v>
      </c>
      <c r="E1330" s="0" t="n">
        <v>1</v>
      </c>
      <c r="F1330" s="0" t="s">
        <v>437</v>
      </c>
      <c r="G1330" s="0" t="s">
        <v>7040</v>
      </c>
      <c r="I1330" s="0" t="s">
        <v>1421</v>
      </c>
    </row>
    <row r="1331" customFormat="false" ht="15" hidden="false" customHeight="false" outlineLevel="0" collapsed="false">
      <c r="A1331" s="0" t="s">
        <v>201</v>
      </c>
      <c r="B1331" s="0" t="n">
        <v>2017</v>
      </c>
      <c r="C1331" s="0" t="s">
        <v>59</v>
      </c>
      <c r="D1331" s="0" t="n">
        <v>492681.647</v>
      </c>
      <c r="E1331" s="0" t="n">
        <v>1</v>
      </c>
      <c r="F1331" s="0" t="s">
        <v>437</v>
      </c>
      <c r="G1331" s="0" t="s">
        <v>7040</v>
      </c>
      <c r="I1331" s="0" t="s">
        <v>1422</v>
      </c>
    </row>
    <row r="1332" customFormat="false" ht="15" hidden="false" customHeight="false" outlineLevel="0" collapsed="false">
      <c r="A1332" s="0" t="s">
        <v>201</v>
      </c>
      <c r="B1332" s="0" t="n">
        <v>2017</v>
      </c>
      <c r="C1332" s="0" t="s">
        <v>60</v>
      </c>
      <c r="D1332" s="0" t="n">
        <v>9467.163</v>
      </c>
      <c r="E1332" s="0" t="n">
        <v>1</v>
      </c>
      <c r="F1332" s="0" t="s">
        <v>437</v>
      </c>
      <c r="G1332" s="0" t="s">
        <v>7040</v>
      </c>
      <c r="I1332" s="0" t="s">
        <v>1423</v>
      </c>
    </row>
    <row r="1333" customFormat="false" ht="15" hidden="false" customHeight="false" outlineLevel="0" collapsed="false">
      <c r="A1333" s="0" t="s">
        <v>201</v>
      </c>
      <c r="B1333" s="0" t="n">
        <v>2017</v>
      </c>
      <c r="C1333" s="0" t="s">
        <v>61</v>
      </c>
      <c r="D1333" s="0" t="n">
        <v>509.036</v>
      </c>
      <c r="E1333" s="0" t="n">
        <v>1</v>
      </c>
      <c r="F1333" s="0" t="s">
        <v>437</v>
      </c>
      <c r="G1333" s="0" t="s">
        <v>7040</v>
      </c>
      <c r="I1333" s="0" t="s">
        <v>1424</v>
      </c>
    </row>
    <row r="1334" customFormat="false" ht="15" hidden="false" customHeight="false" outlineLevel="0" collapsed="false">
      <c r="A1334" s="0" t="s">
        <v>201</v>
      </c>
      <c r="B1334" s="0" t="n">
        <v>2017</v>
      </c>
      <c r="C1334" s="0" t="s">
        <v>62</v>
      </c>
      <c r="D1334" s="0" t="n">
        <v>8958.127</v>
      </c>
      <c r="E1334" s="0" t="n">
        <v>1</v>
      </c>
      <c r="F1334" s="0" t="s">
        <v>437</v>
      </c>
      <c r="G1334" s="0" t="s">
        <v>7040</v>
      </c>
      <c r="I1334" s="0" t="s">
        <v>1425</v>
      </c>
    </row>
    <row r="1335" customFormat="false" ht="15" hidden="false" customHeight="false" outlineLevel="0" collapsed="false">
      <c r="A1335" s="0" t="s">
        <v>201</v>
      </c>
      <c r="B1335" s="0" t="n">
        <v>2017</v>
      </c>
      <c r="C1335" s="0" t="s">
        <v>63</v>
      </c>
      <c r="D1335" s="0" t="n">
        <v>44254.863</v>
      </c>
      <c r="E1335" s="0" t="n">
        <v>1</v>
      </c>
      <c r="F1335" s="0" t="s">
        <v>437</v>
      </c>
      <c r="G1335" s="0" t="s">
        <v>7040</v>
      </c>
      <c r="I1335" s="0" t="s">
        <v>1426</v>
      </c>
    </row>
    <row r="1336" customFormat="false" ht="15" hidden="false" customHeight="false" outlineLevel="0" collapsed="false">
      <c r="A1336" s="0" t="s">
        <v>201</v>
      </c>
      <c r="B1336" s="0" t="n">
        <v>2017</v>
      </c>
      <c r="C1336" s="0" t="s">
        <v>69</v>
      </c>
      <c r="D1336" s="0" t="n">
        <v>-198.07</v>
      </c>
      <c r="E1336" s="0" t="n">
        <v>1</v>
      </c>
      <c r="F1336" s="0" t="s">
        <v>437</v>
      </c>
      <c r="G1336" s="0" t="s">
        <v>7040</v>
      </c>
      <c r="I1336" s="0" t="s">
        <v>1427</v>
      </c>
    </row>
    <row r="1337" customFormat="false" ht="15" hidden="false" customHeight="false" outlineLevel="0" collapsed="false">
      <c r="A1337" s="0" t="s">
        <v>201</v>
      </c>
      <c r="B1337" s="0" t="n">
        <v>2017</v>
      </c>
      <c r="C1337" s="0" t="s">
        <v>65</v>
      </c>
      <c r="D1337" s="0" t="n">
        <v>-263292.548</v>
      </c>
      <c r="E1337" s="0" t="n">
        <v>1</v>
      </c>
      <c r="F1337" s="0" t="s">
        <v>437</v>
      </c>
      <c r="G1337" s="0" t="s">
        <v>7040</v>
      </c>
      <c r="I1337" s="0" t="s">
        <v>1428</v>
      </c>
    </row>
    <row r="1338" customFormat="false" ht="15" hidden="false" customHeight="false" outlineLevel="0" collapsed="false">
      <c r="A1338" s="0" t="s">
        <v>201</v>
      </c>
      <c r="B1338" s="0" t="n">
        <v>2017</v>
      </c>
      <c r="C1338" s="0" t="s">
        <v>66</v>
      </c>
      <c r="D1338" s="0" t="n">
        <v>132926.38</v>
      </c>
      <c r="E1338" s="0" t="n">
        <v>1</v>
      </c>
      <c r="F1338" s="0" t="s">
        <v>437</v>
      </c>
      <c r="G1338" s="0" t="s">
        <v>7040</v>
      </c>
      <c r="I1338" s="0" t="s">
        <v>1429</v>
      </c>
    </row>
    <row r="1339" customFormat="false" ht="15" hidden="false" customHeight="false" outlineLevel="0" collapsed="false">
      <c r="A1339" s="0" t="s">
        <v>201</v>
      </c>
      <c r="B1339" s="0" t="n">
        <v>2017</v>
      </c>
      <c r="C1339" s="0" t="s">
        <v>73</v>
      </c>
      <c r="D1339" s="0" t="n">
        <v>0</v>
      </c>
      <c r="E1339" s="0" t="n">
        <v>1</v>
      </c>
      <c r="F1339" s="0" t="s">
        <v>437</v>
      </c>
      <c r="G1339" s="0" t="s">
        <v>7040</v>
      </c>
      <c r="I1339" s="0" t="s">
        <v>1430</v>
      </c>
    </row>
    <row r="1340" customFormat="false" ht="15" hidden="false" customHeight="false" outlineLevel="0" collapsed="false">
      <c r="A1340" s="0" t="s">
        <v>201</v>
      </c>
      <c r="B1340" s="0" t="n">
        <v>2017</v>
      </c>
      <c r="C1340" s="0" t="s">
        <v>541</v>
      </c>
      <c r="D1340" s="0" t="n">
        <v>-14242.574</v>
      </c>
      <c r="E1340" s="0" t="n">
        <v>1</v>
      </c>
      <c r="F1340" s="0" t="s">
        <v>437</v>
      </c>
      <c r="G1340" s="0" t="s">
        <v>7040</v>
      </c>
      <c r="I1340" s="0" t="s">
        <v>1431</v>
      </c>
    </row>
    <row r="1341" customFormat="false" ht="15" hidden="false" customHeight="false" outlineLevel="0" collapsed="false">
      <c r="A1341" s="0" t="s">
        <v>201</v>
      </c>
      <c r="B1341" s="0" t="n">
        <v>2017</v>
      </c>
      <c r="C1341" s="0" t="s">
        <v>545</v>
      </c>
      <c r="D1341" s="0" t="n">
        <v>509.036</v>
      </c>
      <c r="E1341" s="0" t="n">
        <v>1</v>
      </c>
      <c r="F1341" s="0" t="s">
        <v>437</v>
      </c>
      <c r="G1341" s="0" t="s">
        <v>7040</v>
      </c>
      <c r="I1341" s="0" t="s">
        <v>1432</v>
      </c>
    </row>
    <row r="1342" customFormat="false" ht="15" hidden="false" customHeight="false" outlineLevel="0" collapsed="false">
      <c r="A1342" s="0" t="s">
        <v>201</v>
      </c>
      <c r="B1342" s="0" t="n">
        <v>2018</v>
      </c>
      <c r="C1342" s="0" t="s">
        <v>54</v>
      </c>
      <c r="D1342" s="0" t="n">
        <v>-7695.32</v>
      </c>
      <c r="E1342" s="0" t="n">
        <v>1</v>
      </c>
      <c r="F1342" s="0" t="s">
        <v>437</v>
      </c>
      <c r="G1342" s="0" t="s">
        <v>7040</v>
      </c>
      <c r="I1342" s="0" t="s">
        <v>3378</v>
      </c>
    </row>
    <row r="1343" customFormat="false" ht="15" hidden="false" customHeight="false" outlineLevel="0" collapsed="false">
      <c r="A1343" s="0" t="s">
        <v>201</v>
      </c>
      <c r="B1343" s="0" t="n">
        <v>2018</v>
      </c>
      <c r="C1343" s="0" t="s">
        <v>55</v>
      </c>
      <c r="D1343" s="0" t="n">
        <v>210800.841</v>
      </c>
      <c r="E1343" s="0" t="n">
        <v>1</v>
      </c>
      <c r="F1343" s="0" t="s">
        <v>437</v>
      </c>
      <c r="G1343" s="0" t="s">
        <v>7040</v>
      </c>
      <c r="I1343" s="0" t="s">
        <v>3388</v>
      </c>
    </row>
    <row r="1344" customFormat="false" ht="15" hidden="false" customHeight="false" outlineLevel="0" collapsed="false">
      <c r="A1344" s="0" t="s">
        <v>201</v>
      </c>
      <c r="B1344" s="0" t="n">
        <v>2018</v>
      </c>
      <c r="C1344" s="0" t="s">
        <v>56</v>
      </c>
      <c r="D1344" s="0" t="n">
        <v>495175.495</v>
      </c>
      <c r="E1344" s="0" t="n">
        <v>1</v>
      </c>
      <c r="F1344" s="0" t="s">
        <v>437</v>
      </c>
      <c r="G1344" s="0" t="s">
        <v>7040</v>
      </c>
      <c r="I1344" s="0" t="s">
        <v>3390</v>
      </c>
    </row>
    <row r="1345" customFormat="false" ht="15" hidden="false" customHeight="false" outlineLevel="0" collapsed="false">
      <c r="A1345" s="0" t="s">
        <v>201</v>
      </c>
      <c r="B1345" s="0" t="n">
        <v>2018</v>
      </c>
      <c r="C1345" s="0" t="s">
        <v>57</v>
      </c>
      <c r="D1345" s="0" t="n">
        <v>-284374.654</v>
      </c>
      <c r="E1345" s="0" t="n">
        <v>1</v>
      </c>
      <c r="F1345" s="0" t="s">
        <v>437</v>
      </c>
      <c r="G1345" s="0" t="s">
        <v>7040</v>
      </c>
      <c r="I1345" s="0" t="s">
        <v>3389</v>
      </c>
    </row>
    <row r="1346" customFormat="false" ht="15" hidden="false" customHeight="false" outlineLevel="0" collapsed="false">
      <c r="A1346" s="0" t="s">
        <v>201</v>
      </c>
      <c r="B1346" s="0" t="n">
        <v>2018</v>
      </c>
      <c r="C1346" s="0" t="s">
        <v>58</v>
      </c>
      <c r="D1346" s="0" t="n">
        <v>-442.603</v>
      </c>
      <c r="E1346" s="0" t="n">
        <v>1</v>
      </c>
      <c r="F1346" s="0" t="s">
        <v>437</v>
      </c>
      <c r="G1346" s="0" t="s">
        <v>7040</v>
      </c>
      <c r="I1346" s="0" t="s">
        <v>3377</v>
      </c>
    </row>
    <row r="1347" customFormat="false" ht="15" hidden="false" customHeight="false" outlineLevel="0" collapsed="false">
      <c r="A1347" s="0" t="s">
        <v>201</v>
      </c>
      <c r="B1347" s="0" t="n">
        <v>2018</v>
      </c>
      <c r="C1347" s="0" t="s">
        <v>60</v>
      </c>
      <c r="D1347" s="0" t="n">
        <v>44841.156</v>
      </c>
      <c r="E1347" s="0" t="n">
        <v>1</v>
      </c>
      <c r="F1347" s="0" t="s">
        <v>437</v>
      </c>
      <c r="G1347" s="0" t="s">
        <v>7040</v>
      </c>
      <c r="I1347" s="0" t="s">
        <v>3364</v>
      </c>
    </row>
    <row r="1348" customFormat="false" ht="15" hidden="false" customHeight="false" outlineLevel="0" collapsed="false">
      <c r="A1348" s="0" t="s">
        <v>201</v>
      </c>
      <c r="B1348" s="0" t="n">
        <v>2018</v>
      </c>
      <c r="C1348" s="0" t="s">
        <v>61</v>
      </c>
      <c r="D1348" s="0" t="n">
        <v>744.197</v>
      </c>
      <c r="E1348" s="0" t="n">
        <v>1</v>
      </c>
      <c r="F1348" s="0" t="s">
        <v>437</v>
      </c>
      <c r="G1348" s="0" t="s">
        <v>7040</v>
      </c>
      <c r="I1348" s="0" t="s">
        <v>3370</v>
      </c>
    </row>
    <row r="1349" customFormat="false" ht="15" hidden="false" customHeight="false" outlineLevel="0" collapsed="false">
      <c r="A1349" s="0" t="s">
        <v>201</v>
      </c>
      <c r="B1349" s="0" t="n">
        <v>2018</v>
      </c>
      <c r="C1349" s="0" t="s">
        <v>63</v>
      </c>
      <c r="D1349" s="0" t="n">
        <v>5958.492</v>
      </c>
      <c r="E1349" s="0" t="n">
        <v>1</v>
      </c>
      <c r="F1349" s="0" t="s">
        <v>437</v>
      </c>
      <c r="G1349" s="0" t="s">
        <v>7040</v>
      </c>
      <c r="I1349" s="0" t="s">
        <v>3369</v>
      </c>
    </row>
    <row r="1350" customFormat="false" ht="15" hidden="false" customHeight="false" outlineLevel="0" collapsed="false">
      <c r="A1350" s="0" t="s">
        <v>201</v>
      </c>
      <c r="B1350" s="0" t="n">
        <v>2018</v>
      </c>
      <c r="C1350" s="0" t="s">
        <v>69</v>
      </c>
      <c r="D1350" s="0" t="n">
        <v>-214.8</v>
      </c>
      <c r="E1350" s="0" t="n">
        <v>1</v>
      </c>
      <c r="F1350" s="0" t="s">
        <v>437</v>
      </c>
      <c r="G1350" s="0" t="s">
        <v>7058</v>
      </c>
      <c r="H1350" s="0" t="s">
        <v>7059</v>
      </c>
      <c r="I1350" s="0" t="s">
        <v>3354</v>
      </c>
    </row>
    <row r="1351" customFormat="false" ht="15" hidden="false" customHeight="false" outlineLevel="0" collapsed="false">
      <c r="A1351" s="0" t="s">
        <v>201</v>
      </c>
      <c r="B1351" s="0" t="n">
        <v>2018</v>
      </c>
      <c r="C1351" s="0" t="s">
        <v>614</v>
      </c>
      <c r="D1351" s="0" t="n">
        <v>-213.68</v>
      </c>
      <c r="E1351" s="0" t="n">
        <v>1</v>
      </c>
      <c r="F1351" s="0" t="s">
        <v>437</v>
      </c>
      <c r="G1351" s="0" t="s">
        <v>7040</v>
      </c>
      <c r="I1351" s="0" t="s">
        <v>3361</v>
      </c>
    </row>
    <row r="1352" customFormat="false" ht="15" hidden="false" customHeight="false" outlineLevel="0" collapsed="false">
      <c r="A1352" s="0" t="s">
        <v>201</v>
      </c>
      <c r="B1352" s="0" t="n">
        <v>2018</v>
      </c>
      <c r="C1352" s="0" t="s">
        <v>70</v>
      </c>
      <c r="D1352" s="0" t="n">
        <v>10</v>
      </c>
      <c r="E1352" s="0" t="n">
        <v>1</v>
      </c>
      <c r="F1352" s="0" t="s">
        <v>437</v>
      </c>
      <c r="G1352" s="0" t="s">
        <v>7040</v>
      </c>
      <c r="I1352" s="0" t="s">
        <v>3359</v>
      </c>
    </row>
    <row r="1353" customFormat="false" ht="15" hidden="false" customHeight="false" outlineLevel="0" collapsed="false">
      <c r="A1353" s="0" t="s">
        <v>201</v>
      </c>
      <c r="B1353" s="0" t="n">
        <v>2019</v>
      </c>
      <c r="C1353" s="0" t="s">
        <v>54</v>
      </c>
      <c r="D1353" s="0" t="n">
        <v>3383.189</v>
      </c>
      <c r="E1353" s="0" t="n">
        <v>1</v>
      </c>
      <c r="F1353" s="0" t="s">
        <v>437</v>
      </c>
      <c r="G1353" s="0" t="s">
        <v>7040</v>
      </c>
      <c r="I1353" s="0" t="s">
        <v>3409</v>
      </c>
    </row>
    <row r="1354" customFormat="false" ht="15" hidden="false" customHeight="false" outlineLevel="0" collapsed="false">
      <c r="A1354" s="0" t="s">
        <v>201</v>
      </c>
      <c r="B1354" s="0" t="n">
        <v>2019</v>
      </c>
      <c r="C1354" s="0" t="s">
        <v>55</v>
      </c>
      <c r="D1354" s="0" t="n">
        <v>293052.07</v>
      </c>
      <c r="E1354" s="0" t="n">
        <v>1</v>
      </c>
      <c r="F1354" s="0" t="s">
        <v>437</v>
      </c>
      <c r="G1354" s="0" t="s">
        <v>7040</v>
      </c>
      <c r="I1354" s="0" t="s">
        <v>3413</v>
      </c>
    </row>
    <row r="1355" customFormat="false" ht="15" hidden="false" customHeight="false" outlineLevel="0" collapsed="false">
      <c r="A1355" s="0" t="s">
        <v>201</v>
      </c>
      <c r="B1355" s="0" t="n">
        <v>2019</v>
      </c>
      <c r="C1355" s="0" t="s">
        <v>56</v>
      </c>
      <c r="D1355" s="0" t="n">
        <v>571907.958</v>
      </c>
      <c r="E1355" s="0" t="n">
        <v>1</v>
      </c>
      <c r="F1355" s="0" t="s">
        <v>437</v>
      </c>
      <c r="G1355" s="0" t="s">
        <v>7040</v>
      </c>
      <c r="I1355" s="0" t="s">
        <v>3415</v>
      </c>
    </row>
    <row r="1356" customFormat="false" ht="15" hidden="false" customHeight="false" outlineLevel="0" collapsed="false">
      <c r="A1356" s="0" t="s">
        <v>201</v>
      </c>
      <c r="B1356" s="0" t="n">
        <v>2019</v>
      </c>
      <c r="C1356" s="0" t="s">
        <v>57</v>
      </c>
      <c r="D1356" s="0" t="n">
        <v>-278855.888</v>
      </c>
      <c r="E1356" s="0" t="n">
        <v>1</v>
      </c>
      <c r="F1356" s="0" t="s">
        <v>437</v>
      </c>
      <c r="G1356" s="0" t="s">
        <v>7040</v>
      </c>
      <c r="I1356" s="0" t="s">
        <v>3414</v>
      </c>
    </row>
    <row r="1357" customFormat="false" ht="15" hidden="false" customHeight="false" outlineLevel="0" collapsed="false">
      <c r="A1357" s="0" t="s">
        <v>201</v>
      </c>
      <c r="B1357" s="0" t="n">
        <v>2019</v>
      </c>
      <c r="C1357" s="0" t="s">
        <v>58</v>
      </c>
      <c r="D1357" s="0" t="n">
        <v>-39427.662</v>
      </c>
      <c r="E1357" s="0" t="n">
        <v>1</v>
      </c>
      <c r="F1357" s="0" t="s">
        <v>437</v>
      </c>
      <c r="G1357" s="0" t="s">
        <v>7040</v>
      </c>
      <c r="I1357" s="0" t="s">
        <v>3408</v>
      </c>
    </row>
    <row r="1358" customFormat="false" ht="15" hidden="false" customHeight="false" outlineLevel="0" collapsed="false">
      <c r="A1358" s="0" t="s">
        <v>201</v>
      </c>
      <c r="B1358" s="0" t="n">
        <v>2019</v>
      </c>
      <c r="C1358" s="0" t="s">
        <v>59</v>
      </c>
      <c r="D1358" s="0" t="n">
        <v>210800.841</v>
      </c>
      <c r="E1358" s="0" t="n">
        <v>1</v>
      </c>
      <c r="F1358" s="0" t="s">
        <v>437</v>
      </c>
      <c r="G1358" s="0" t="s">
        <v>7041</v>
      </c>
      <c r="I1358" s="0" t="s">
        <v>3388</v>
      </c>
    </row>
    <row r="1359" customFormat="false" ht="15" hidden="false" customHeight="false" outlineLevel="0" collapsed="false">
      <c r="A1359" s="0" t="s">
        <v>201</v>
      </c>
      <c r="B1359" s="0" t="n">
        <v>2019</v>
      </c>
      <c r="C1359" s="0" t="s">
        <v>60</v>
      </c>
      <c r="D1359" s="0" t="n">
        <v>106913.813</v>
      </c>
      <c r="E1359" s="0" t="n">
        <v>1</v>
      </c>
      <c r="F1359" s="0" t="s">
        <v>437</v>
      </c>
      <c r="G1359" s="0" t="s">
        <v>7040</v>
      </c>
      <c r="I1359" s="0" t="s">
        <v>3402</v>
      </c>
    </row>
    <row r="1360" customFormat="false" ht="15" hidden="false" customHeight="false" outlineLevel="0" collapsed="false">
      <c r="A1360" s="0" t="s">
        <v>201</v>
      </c>
      <c r="B1360" s="0" t="n">
        <v>2019</v>
      </c>
      <c r="C1360" s="0" t="s">
        <v>61</v>
      </c>
      <c r="D1360" s="0" t="n">
        <v>2896.088</v>
      </c>
      <c r="E1360" s="0" t="n">
        <v>1</v>
      </c>
      <c r="F1360" s="0" t="s">
        <v>437</v>
      </c>
      <c r="G1360" s="0" t="s">
        <v>7040</v>
      </c>
      <c r="I1360" s="0" t="s">
        <v>3406</v>
      </c>
    </row>
    <row r="1361" customFormat="false" ht="15" hidden="false" customHeight="false" outlineLevel="0" collapsed="false">
      <c r="A1361" s="0" t="s">
        <v>201</v>
      </c>
      <c r="B1361" s="0" t="n">
        <v>2019</v>
      </c>
      <c r="C1361" s="0" t="s">
        <v>63</v>
      </c>
      <c r="D1361" s="0" t="n">
        <v>1921.923</v>
      </c>
      <c r="E1361" s="0" t="n">
        <v>1</v>
      </c>
      <c r="F1361" s="0" t="s">
        <v>437</v>
      </c>
      <c r="G1361" s="0" t="s">
        <v>7040</v>
      </c>
      <c r="I1361" s="0" t="s">
        <v>3405</v>
      </c>
    </row>
    <row r="1362" customFormat="false" ht="15" hidden="false" customHeight="false" outlineLevel="0" collapsed="false">
      <c r="A1362" s="0" t="s">
        <v>201</v>
      </c>
      <c r="B1362" s="0" t="n">
        <v>2019</v>
      </c>
      <c r="C1362" s="0" t="s">
        <v>69</v>
      </c>
      <c r="D1362" s="0" t="n">
        <v>-201.59</v>
      </c>
      <c r="E1362" s="0" t="n">
        <v>1</v>
      </c>
      <c r="F1362" s="0" t="s">
        <v>437</v>
      </c>
      <c r="G1362" s="0" t="s">
        <v>7058</v>
      </c>
      <c r="H1362" s="0" t="s">
        <v>7060</v>
      </c>
      <c r="I1362" s="0" t="s">
        <v>3395</v>
      </c>
    </row>
    <row r="1363" customFormat="false" ht="15" hidden="false" customHeight="false" outlineLevel="0" collapsed="false">
      <c r="A1363" s="0" t="s">
        <v>201</v>
      </c>
      <c r="B1363" s="0" t="n">
        <v>2019</v>
      </c>
      <c r="C1363" s="0" t="s">
        <v>614</v>
      </c>
      <c r="D1363" s="0" t="n">
        <v>-200.88</v>
      </c>
      <c r="E1363" s="0" t="n">
        <v>1</v>
      </c>
      <c r="F1363" s="0" t="s">
        <v>437</v>
      </c>
      <c r="G1363" s="0" t="s">
        <v>7040</v>
      </c>
      <c r="I1363" s="0" t="s">
        <v>3397</v>
      </c>
    </row>
    <row r="1364" customFormat="false" ht="15" hidden="false" customHeight="false" outlineLevel="0" collapsed="false">
      <c r="A1364" s="0" t="s">
        <v>201</v>
      </c>
      <c r="B1364" s="0" t="n">
        <v>2019</v>
      </c>
      <c r="C1364" s="0" t="s">
        <v>70</v>
      </c>
      <c r="D1364" s="0" t="n">
        <v>10</v>
      </c>
      <c r="E1364" s="0" t="n">
        <v>1</v>
      </c>
      <c r="F1364" s="0" t="s">
        <v>437</v>
      </c>
      <c r="G1364" s="0" t="s">
        <v>7040</v>
      </c>
      <c r="I1364" s="0" t="s">
        <v>3396</v>
      </c>
    </row>
    <row r="1365" customFormat="false" ht="15" hidden="false" customHeight="false" outlineLevel="0" collapsed="false">
      <c r="A1365" s="0" t="s">
        <v>201</v>
      </c>
      <c r="B1365" s="0" t="n">
        <v>2019</v>
      </c>
      <c r="C1365" s="0" t="s">
        <v>73</v>
      </c>
      <c r="D1365" s="0" t="n">
        <v>1</v>
      </c>
      <c r="E1365" s="0" t="n">
        <v>2</v>
      </c>
      <c r="F1365" s="0" t="s">
        <v>437</v>
      </c>
      <c r="G1365" s="0" t="s">
        <v>7040</v>
      </c>
      <c r="I1365" s="0" t="s">
        <v>7061</v>
      </c>
    </row>
    <row r="1366" customFormat="false" ht="15" hidden="false" customHeight="false" outlineLevel="0" collapsed="false">
      <c r="A1366" s="0" t="s">
        <v>201</v>
      </c>
      <c r="B1366" s="0" t="n">
        <v>2020</v>
      </c>
      <c r="C1366" s="0" t="s">
        <v>54</v>
      </c>
      <c r="D1366" s="0" t="n">
        <v>2086.393</v>
      </c>
      <c r="E1366" s="0" t="n">
        <v>1</v>
      </c>
      <c r="F1366" s="0" t="s">
        <v>437</v>
      </c>
      <c r="G1366" s="0" t="s">
        <v>7040</v>
      </c>
      <c r="I1366" s="0" t="s">
        <v>1434</v>
      </c>
    </row>
    <row r="1367" customFormat="false" ht="15" hidden="false" customHeight="false" outlineLevel="0" collapsed="false">
      <c r="A1367" s="0" t="s">
        <v>201</v>
      </c>
      <c r="B1367" s="0" t="n">
        <v>2020</v>
      </c>
      <c r="C1367" s="0" t="s">
        <v>55</v>
      </c>
      <c r="D1367" s="0" t="n">
        <v>492020.329</v>
      </c>
      <c r="E1367" s="0" t="n">
        <v>1</v>
      </c>
      <c r="F1367" s="0" t="s">
        <v>437</v>
      </c>
      <c r="G1367" s="0" t="s">
        <v>7040</v>
      </c>
      <c r="I1367" s="0" t="s">
        <v>1435</v>
      </c>
    </row>
    <row r="1368" customFormat="false" ht="15" hidden="false" customHeight="false" outlineLevel="0" collapsed="false">
      <c r="A1368" s="0" t="s">
        <v>201</v>
      </c>
      <c r="B1368" s="0" t="n">
        <v>2020</v>
      </c>
      <c r="C1368" s="0" t="s">
        <v>56</v>
      </c>
      <c r="D1368" s="0" t="n">
        <v>767430.125</v>
      </c>
      <c r="E1368" s="0" t="n">
        <v>1</v>
      </c>
      <c r="F1368" s="0" t="s">
        <v>437</v>
      </c>
      <c r="G1368" s="0" t="s">
        <v>7040</v>
      </c>
      <c r="I1368" s="0" t="s">
        <v>1436</v>
      </c>
    </row>
    <row r="1369" customFormat="false" ht="15" hidden="false" customHeight="false" outlineLevel="0" collapsed="false">
      <c r="A1369" s="0" t="s">
        <v>201</v>
      </c>
      <c r="B1369" s="0" t="n">
        <v>2020</v>
      </c>
      <c r="C1369" s="0" t="s">
        <v>57</v>
      </c>
      <c r="D1369" s="0" t="n">
        <v>-275409.796</v>
      </c>
      <c r="E1369" s="0" t="n">
        <v>1</v>
      </c>
      <c r="F1369" s="0" t="s">
        <v>437</v>
      </c>
      <c r="G1369" s="0" t="s">
        <v>7040</v>
      </c>
      <c r="I1369" s="0" t="s">
        <v>1437</v>
      </c>
    </row>
    <row r="1370" customFormat="false" ht="15" hidden="false" customHeight="false" outlineLevel="0" collapsed="false">
      <c r="A1370" s="0" t="s">
        <v>201</v>
      </c>
      <c r="B1370" s="0" t="n">
        <v>2020</v>
      </c>
      <c r="C1370" s="0" t="s">
        <v>58</v>
      </c>
      <c r="D1370" s="0" t="n">
        <v>15353.812</v>
      </c>
      <c r="E1370" s="0" t="n">
        <v>1</v>
      </c>
      <c r="F1370" s="0" t="s">
        <v>437</v>
      </c>
      <c r="G1370" s="0" t="s">
        <v>7040</v>
      </c>
      <c r="I1370" s="0" t="s">
        <v>1438</v>
      </c>
    </row>
    <row r="1371" customFormat="false" ht="15" hidden="false" customHeight="false" outlineLevel="0" collapsed="false">
      <c r="A1371" s="0" t="s">
        <v>201</v>
      </c>
      <c r="B1371" s="0" t="n">
        <v>2020</v>
      </c>
      <c r="C1371" s="0" t="s">
        <v>60</v>
      </c>
      <c r="D1371" s="0" t="n">
        <v>206205.544</v>
      </c>
      <c r="E1371" s="0" t="n">
        <v>1</v>
      </c>
      <c r="F1371" s="0" t="s">
        <v>437</v>
      </c>
      <c r="G1371" s="0" t="s">
        <v>7040</v>
      </c>
      <c r="I1371" s="0" t="s">
        <v>1439</v>
      </c>
    </row>
    <row r="1372" customFormat="false" ht="15" hidden="false" customHeight="false" outlineLevel="0" collapsed="false">
      <c r="A1372" s="0" t="s">
        <v>201</v>
      </c>
      <c r="B1372" s="0" t="n">
        <v>2020</v>
      </c>
      <c r="C1372" s="0" t="s">
        <v>61</v>
      </c>
      <c r="D1372" s="0" t="n">
        <v>4124.689</v>
      </c>
      <c r="E1372" s="0" t="n">
        <v>1</v>
      </c>
      <c r="F1372" s="0" t="s">
        <v>437</v>
      </c>
      <c r="G1372" s="0" t="s">
        <v>7040</v>
      </c>
      <c r="I1372" s="0" t="s">
        <v>1440</v>
      </c>
    </row>
    <row r="1373" customFormat="false" ht="15" hidden="false" customHeight="false" outlineLevel="0" collapsed="false">
      <c r="A1373" s="0" t="s">
        <v>201</v>
      </c>
      <c r="B1373" s="0" t="n">
        <v>2020</v>
      </c>
      <c r="C1373" s="0" t="s">
        <v>62</v>
      </c>
      <c r="D1373" s="0" t="n">
        <v>202080.856</v>
      </c>
      <c r="E1373" s="0" t="n">
        <v>1</v>
      </c>
      <c r="F1373" s="0" t="s">
        <v>437</v>
      </c>
      <c r="G1373" s="0" t="s">
        <v>7040</v>
      </c>
      <c r="I1373" s="0" t="s">
        <v>1441</v>
      </c>
    </row>
    <row r="1374" customFormat="false" ht="15" hidden="false" customHeight="false" outlineLevel="0" collapsed="false">
      <c r="A1374" s="0" t="s">
        <v>201</v>
      </c>
      <c r="B1374" s="0" t="n">
        <v>2020</v>
      </c>
      <c r="C1374" s="0" t="s">
        <v>63</v>
      </c>
      <c r="D1374" s="0" t="n">
        <v>-4127.332</v>
      </c>
      <c r="E1374" s="0" t="n">
        <v>1</v>
      </c>
      <c r="F1374" s="0" t="s">
        <v>437</v>
      </c>
      <c r="G1374" s="0" t="s">
        <v>7040</v>
      </c>
      <c r="I1374" s="0" t="s">
        <v>1442</v>
      </c>
    </row>
    <row r="1375" customFormat="false" ht="15" hidden="false" customHeight="false" outlineLevel="0" collapsed="false">
      <c r="A1375" s="0" t="s">
        <v>201</v>
      </c>
      <c r="B1375" s="0" t="n">
        <v>2020</v>
      </c>
      <c r="C1375" s="0" t="s">
        <v>541</v>
      </c>
      <c r="D1375" s="0" t="n">
        <v>2223.194</v>
      </c>
      <c r="E1375" s="0" t="n">
        <v>1</v>
      </c>
      <c r="F1375" s="0" t="s">
        <v>437</v>
      </c>
      <c r="G1375" s="0" t="s">
        <v>7040</v>
      </c>
      <c r="I1375" s="0" t="s">
        <v>1443</v>
      </c>
    </row>
    <row r="1376" customFormat="false" ht="15" hidden="false" customHeight="false" outlineLevel="0" collapsed="false">
      <c r="A1376" s="0" t="s">
        <v>201</v>
      </c>
      <c r="B1376" s="0" t="n">
        <v>2021</v>
      </c>
      <c r="C1376" s="0" t="s">
        <v>54</v>
      </c>
      <c r="D1376" s="0" t="n">
        <v>3173.254</v>
      </c>
      <c r="E1376" s="0" t="n">
        <v>1</v>
      </c>
      <c r="F1376" s="0" t="s">
        <v>437</v>
      </c>
      <c r="G1376" s="0" t="s">
        <v>7040</v>
      </c>
      <c r="I1376" s="0" t="s">
        <v>1444</v>
      </c>
    </row>
    <row r="1377" customFormat="false" ht="15" hidden="false" customHeight="false" outlineLevel="0" collapsed="false">
      <c r="A1377" s="0" t="s">
        <v>201</v>
      </c>
      <c r="B1377" s="0" t="n">
        <v>2021</v>
      </c>
      <c r="C1377" s="0" t="s">
        <v>55</v>
      </c>
      <c r="D1377" s="0" t="n">
        <v>538868.755</v>
      </c>
      <c r="E1377" s="0" t="n">
        <v>1</v>
      </c>
      <c r="F1377" s="0" t="s">
        <v>437</v>
      </c>
      <c r="G1377" s="0" t="s">
        <v>7040</v>
      </c>
      <c r="I1377" s="0" t="s">
        <v>1445</v>
      </c>
    </row>
    <row r="1378" customFormat="false" ht="15" hidden="false" customHeight="false" outlineLevel="0" collapsed="false">
      <c r="A1378" s="0" t="s">
        <v>201</v>
      </c>
      <c r="B1378" s="0" t="n">
        <v>2021</v>
      </c>
      <c r="C1378" s="0" t="s">
        <v>56</v>
      </c>
      <c r="D1378" s="0" t="n">
        <v>815022.21</v>
      </c>
      <c r="E1378" s="0" t="n">
        <v>1</v>
      </c>
      <c r="F1378" s="0" t="s">
        <v>437</v>
      </c>
      <c r="G1378" s="0" t="s">
        <v>7040</v>
      </c>
      <c r="I1378" s="0" t="s">
        <v>1446</v>
      </c>
    </row>
    <row r="1379" customFormat="false" ht="15" hidden="false" customHeight="false" outlineLevel="0" collapsed="false">
      <c r="A1379" s="0" t="s">
        <v>201</v>
      </c>
      <c r="B1379" s="0" t="n">
        <v>2021</v>
      </c>
      <c r="C1379" s="0" t="s">
        <v>57</v>
      </c>
      <c r="D1379" s="0" t="n">
        <v>-276153.455</v>
      </c>
      <c r="E1379" s="0" t="n">
        <v>1</v>
      </c>
      <c r="F1379" s="0" t="s">
        <v>437</v>
      </c>
      <c r="G1379" s="0" t="s">
        <v>7040</v>
      </c>
      <c r="I1379" s="0" t="s">
        <v>1447</v>
      </c>
    </row>
    <row r="1380" customFormat="false" ht="15" hidden="false" customHeight="false" outlineLevel="0" collapsed="false">
      <c r="A1380" s="0" t="s">
        <v>201</v>
      </c>
      <c r="B1380" s="0" t="n">
        <v>2021</v>
      </c>
      <c r="C1380" s="0" t="s">
        <v>58</v>
      </c>
      <c r="D1380" s="0" t="n">
        <v>-64852.553</v>
      </c>
      <c r="E1380" s="0" t="n">
        <v>1</v>
      </c>
      <c r="F1380" s="0" t="s">
        <v>437</v>
      </c>
      <c r="G1380" s="0" t="s">
        <v>7040</v>
      </c>
      <c r="I1380" s="0" t="s">
        <v>1448</v>
      </c>
    </row>
    <row r="1381" customFormat="false" ht="15" hidden="false" customHeight="false" outlineLevel="0" collapsed="false">
      <c r="A1381" s="0" t="s">
        <v>201</v>
      </c>
      <c r="B1381" s="0" t="n">
        <v>2021</v>
      </c>
      <c r="C1381" s="0" t="s">
        <v>59</v>
      </c>
      <c r="D1381" s="0" t="n">
        <v>492020.329</v>
      </c>
      <c r="E1381" s="0" t="n">
        <v>1</v>
      </c>
      <c r="F1381" s="0" t="s">
        <v>437</v>
      </c>
      <c r="G1381" s="0" t="s">
        <v>7040</v>
      </c>
      <c r="I1381" s="0" t="s">
        <v>1449</v>
      </c>
    </row>
    <row r="1382" customFormat="false" ht="15" hidden="false" customHeight="false" outlineLevel="0" collapsed="false">
      <c r="A1382" s="0" t="s">
        <v>201</v>
      </c>
      <c r="B1382" s="0" t="n">
        <v>2021</v>
      </c>
      <c r="C1382" s="0" t="s">
        <v>60</v>
      </c>
      <c r="D1382" s="0" t="n">
        <v>272468.9</v>
      </c>
      <c r="E1382" s="0" t="n">
        <v>1</v>
      </c>
      <c r="F1382" s="0" t="s">
        <v>437</v>
      </c>
      <c r="G1382" s="0" t="s">
        <v>7040</v>
      </c>
      <c r="I1382" s="0" t="s">
        <v>1450</v>
      </c>
    </row>
    <row r="1383" customFormat="false" ht="15" hidden="false" customHeight="false" outlineLevel="0" collapsed="false">
      <c r="A1383" s="0" t="s">
        <v>201</v>
      </c>
      <c r="B1383" s="0" t="n">
        <v>2021</v>
      </c>
      <c r="C1383" s="0" t="s">
        <v>61</v>
      </c>
      <c r="D1383" s="0" t="n">
        <v>3199.184</v>
      </c>
      <c r="E1383" s="0" t="n">
        <v>1</v>
      </c>
      <c r="F1383" s="0" t="s">
        <v>437</v>
      </c>
      <c r="G1383" s="0" t="s">
        <v>7040</v>
      </c>
      <c r="I1383" s="0" t="s">
        <v>1451</v>
      </c>
    </row>
    <row r="1384" customFormat="false" ht="15" hidden="false" customHeight="false" outlineLevel="0" collapsed="false">
      <c r="A1384" s="0" t="s">
        <v>201</v>
      </c>
      <c r="B1384" s="0" t="n">
        <v>2021</v>
      </c>
      <c r="C1384" s="0" t="s">
        <v>62</v>
      </c>
      <c r="D1384" s="0" t="n">
        <v>269269.716</v>
      </c>
      <c r="E1384" s="0" t="n">
        <v>1</v>
      </c>
      <c r="F1384" s="0" t="s">
        <v>437</v>
      </c>
      <c r="G1384" s="0" t="s">
        <v>7040</v>
      </c>
      <c r="I1384" s="0" t="s">
        <v>1452</v>
      </c>
    </row>
    <row r="1385" customFormat="false" ht="15" hidden="false" customHeight="false" outlineLevel="0" collapsed="false">
      <c r="A1385" s="0" t="s">
        <v>201</v>
      </c>
      <c r="B1385" s="0" t="n">
        <v>2021</v>
      </c>
      <c r="C1385" s="0" t="s">
        <v>63</v>
      </c>
      <c r="D1385" s="0" t="n">
        <v>-2563.927</v>
      </c>
      <c r="E1385" s="0" t="n">
        <v>1</v>
      </c>
      <c r="F1385" s="0" t="s">
        <v>437</v>
      </c>
      <c r="G1385" s="0" t="s">
        <v>7040</v>
      </c>
      <c r="I1385" s="0" t="s">
        <v>1453</v>
      </c>
    </row>
    <row r="1386" customFormat="false" ht="15" hidden="false" customHeight="false" outlineLevel="0" collapsed="false">
      <c r="A1386" s="0" t="s">
        <v>201</v>
      </c>
      <c r="B1386" s="0" t="n">
        <v>2021</v>
      </c>
      <c r="C1386" s="0" t="s">
        <v>69</v>
      </c>
      <c r="D1386" s="0" t="n">
        <v>-86.18</v>
      </c>
      <c r="E1386" s="0" t="n">
        <v>1</v>
      </c>
      <c r="F1386" s="0" t="s">
        <v>437</v>
      </c>
      <c r="G1386" s="0" t="s">
        <v>7040</v>
      </c>
      <c r="I1386" s="0" t="s">
        <v>1454</v>
      </c>
    </row>
    <row r="1387" customFormat="false" ht="15" hidden="false" customHeight="false" outlineLevel="0" collapsed="false">
      <c r="A1387" s="0" t="s">
        <v>201</v>
      </c>
      <c r="B1387" s="0" t="n">
        <v>2021</v>
      </c>
      <c r="C1387" s="0" t="s">
        <v>65</v>
      </c>
      <c r="D1387" s="0" t="n">
        <v>-278060.632</v>
      </c>
      <c r="E1387" s="0" t="n">
        <v>1</v>
      </c>
      <c r="F1387" s="0" t="s">
        <v>437</v>
      </c>
      <c r="G1387" s="0" t="s">
        <v>7040</v>
      </c>
      <c r="I1387" s="0" t="s">
        <v>1455</v>
      </c>
    </row>
    <row r="1388" customFormat="false" ht="15" hidden="false" customHeight="false" outlineLevel="0" collapsed="false">
      <c r="A1388" s="0" t="s">
        <v>201</v>
      </c>
      <c r="B1388" s="0" t="n">
        <v>2021</v>
      </c>
      <c r="C1388" s="0" t="s">
        <v>66</v>
      </c>
      <c r="D1388" s="0" t="n">
        <v>322639.564</v>
      </c>
      <c r="E1388" s="0" t="n">
        <v>1</v>
      </c>
      <c r="F1388" s="0" t="s">
        <v>437</v>
      </c>
      <c r="G1388" s="0" t="s">
        <v>7040</v>
      </c>
      <c r="I1388" s="0" t="s">
        <v>1456</v>
      </c>
    </row>
    <row r="1389" customFormat="false" ht="15" hidden="false" customHeight="false" outlineLevel="0" collapsed="false">
      <c r="A1389" s="0" t="s">
        <v>201</v>
      </c>
      <c r="B1389" s="0" t="n">
        <v>2021</v>
      </c>
      <c r="C1389" s="0" t="s">
        <v>73</v>
      </c>
      <c r="D1389" s="0" t="n">
        <v>1</v>
      </c>
      <c r="E1389" s="0" t="n">
        <v>1</v>
      </c>
      <c r="F1389" s="0" t="s">
        <v>437</v>
      </c>
      <c r="G1389" s="0" t="s">
        <v>7040</v>
      </c>
      <c r="I1389" s="0" t="s">
        <v>1457</v>
      </c>
    </row>
    <row r="1390" customFormat="false" ht="15" hidden="false" customHeight="false" outlineLevel="0" collapsed="false">
      <c r="A1390" s="0" t="s">
        <v>201</v>
      </c>
      <c r="B1390" s="0" t="n">
        <v>2021</v>
      </c>
      <c r="C1390" s="0" t="s">
        <v>67</v>
      </c>
      <c r="D1390" s="0" t="n">
        <v>105.854</v>
      </c>
      <c r="E1390" s="0" t="n">
        <v>1</v>
      </c>
      <c r="F1390" s="0" t="s">
        <v>437</v>
      </c>
      <c r="G1390" s="0" t="s">
        <v>7040</v>
      </c>
      <c r="I1390" s="0" t="s">
        <v>1458</v>
      </c>
    </row>
    <row r="1391" customFormat="false" ht="15" hidden="false" customHeight="false" outlineLevel="0" collapsed="false">
      <c r="A1391" s="0" t="s">
        <v>201</v>
      </c>
      <c r="B1391" s="0" t="n">
        <v>2021</v>
      </c>
      <c r="C1391" s="0" t="s">
        <v>68</v>
      </c>
      <c r="D1391" s="0" t="n">
        <v>1.012</v>
      </c>
      <c r="E1391" s="0" t="n">
        <v>1</v>
      </c>
      <c r="F1391" s="0" t="s">
        <v>437</v>
      </c>
      <c r="G1391" s="0" t="s">
        <v>7040</v>
      </c>
      <c r="I1391" s="0" t="s">
        <v>1460</v>
      </c>
    </row>
    <row r="1392" customFormat="false" ht="15" hidden="false" customHeight="false" outlineLevel="0" collapsed="false">
      <c r="A1392" s="0" t="s">
        <v>201</v>
      </c>
      <c r="B1392" s="0" t="n">
        <v>2021</v>
      </c>
      <c r="C1392" s="0" t="s">
        <v>541</v>
      </c>
      <c r="D1392" s="0" t="n">
        <v>3332.134</v>
      </c>
      <c r="E1392" s="0" t="n">
        <v>1</v>
      </c>
      <c r="F1392" s="0" t="s">
        <v>437</v>
      </c>
      <c r="G1392" s="0" t="s">
        <v>7040</v>
      </c>
      <c r="I1392" s="0" t="s">
        <v>1461</v>
      </c>
    </row>
    <row r="1393" customFormat="false" ht="15" hidden="false" customHeight="false" outlineLevel="0" collapsed="false">
      <c r="A1393" s="0" t="s">
        <v>201</v>
      </c>
      <c r="B1393" s="0" t="n">
        <v>2022</v>
      </c>
      <c r="C1393" s="0" t="s">
        <v>54</v>
      </c>
      <c r="D1393" s="0" t="n">
        <v>941.375</v>
      </c>
      <c r="E1393" s="0" t="n">
        <v>1</v>
      </c>
      <c r="F1393" s="0" t="s">
        <v>437</v>
      </c>
      <c r="G1393" s="0" t="s">
        <v>7040</v>
      </c>
      <c r="I1393" s="0" t="s">
        <v>1462</v>
      </c>
    </row>
    <row r="1394" customFormat="false" ht="15" hidden="false" customHeight="false" outlineLevel="0" collapsed="false">
      <c r="A1394" s="0" t="s">
        <v>201</v>
      </c>
      <c r="B1394" s="0" t="n">
        <v>2022</v>
      </c>
      <c r="C1394" s="0" t="s">
        <v>55</v>
      </c>
      <c r="D1394" s="0" t="n">
        <v>510143.959</v>
      </c>
      <c r="E1394" s="0" t="n">
        <v>1</v>
      </c>
      <c r="F1394" s="0" t="s">
        <v>437</v>
      </c>
      <c r="G1394" s="0" t="s">
        <v>7040</v>
      </c>
      <c r="I1394" s="0" t="s">
        <v>1463</v>
      </c>
    </row>
    <row r="1395" customFormat="false" ht="15" hidden="false" customHeight="false" outlineLevel="0" collapsed="false">
      <c r="A1395" s="0" t="s">
        <v>201</v>
      </c>
      <c r="B1395" s="0" t="n">
        <v>2022</v>
      </c>
      <c r="C1395" s="0" t="s">
        <v>56</v>
      </c>
      <c r="D1395" s="0" t="n">
        <v>785092.126</v>
      </c>
      <c r="E1395" s="0" t="n">
        <v>1</v>
      </c>
      <c r="F1395" s="0" t="s">
        <v>437</v>
      </c>
      <c r="G1395" s="0" t="s">
        <v>7040</v>
      </c>
      <c r="I1395" s="0" t="s">
        <v>1464</v>
      </c>
    </row>
    <row r="1396" customFormat="false" ht="15" hidden="false" customHeight="false" outlineLevel="0" collapsed="false">
      <c r="A1396" s="0" t="s">
        <v>201</v>
      </c>
      <c r="B1396" s="0" t="n">
        <v>2022</v>
      </c>
      <c r="C1396" s="0" t="s">
        <v>57</v>
      </c>
      <c r="D1396" s="0" t="n">
        <v>-274948.167</v>
      </c>
      <c r="E1396" s="0" t="n">
        <v>1</v>
      </c>
      <c r="F1396" s="0" t="s">
        <v>437</v>
      </c>
      <c r="G1396" s="0" t="s">
        <v>7040</v>
      </c>
      <c r="I1396" s="0" t="s">
        <v>1465</v>
      </c>
    </row>
    <row r="1397" customFormat="false" ht="15" hidden="false" customHeight="false" outlineLevel="0" collapsed="false">
      <c r="A1397" s="0" t="s">
        <v>201</v>
      </c>
      <c r="B1397" s="0" t="n">
        <v>2022</v>
      </c>
      <c r="C1397" s="0" t="s">
        <v>58</v>
      </c>
      <c r="D1397" s="0" t="n">
        <v>-26933.973</v>
      </c>
      <c r="E1397" s="0" t="n">
        <v>1</v>
      </c>
      <c r="F1397" s="0" t="s">
        <v>437</v>
      </c>
      <c r="G1397" s="0" t="s">
        <v>7040</v>
      </c>
      <c r="I1397" s="0" t="s">
        <v>1466</v>
      </c>
    </row>
    <row r="1398" customFormat="false" ht="15" hidden="false" customHeight="false" outlineLevel="0" collapsed="false">
      <c r="A1398" s="0" t="s">
        <v>201</v>
      </c>
      <c r="B1398" s="0" t="n">
        <v>2022</v>
      </c>
      <c r="C1398" s="0" t="s">
        <v>59</v>
      </c>
      <c r="D1398" s="0" t="n">
        <v>538868.756</v>
      </c>
      <c r="E1398" s="0" t="n">
        <v>1</v>
      </c>
      <c r="F1398" s="0" t="s">
        <v>437</v>
      </c>
      <c r="G1398" s="0" t="s">
        <v>7040</v>
      </c>
      <c r="I1398" s="0" t="s">
        <v>1467</v>
      </c>
    </row>
    <row r="1399" customFormat="false" ht="15" hidden="false" customHeight="false" outlineLevel="0" collapsed="false">
      <c r="A1399" s="0" t="s">
        <v>201</v>
      </c>
      <c r="B1399" s="0" t="n">
        <v>2022</v>
      </c>
      <c r="C1399" s="0" t="s">
        <v>60</v>
      </c>
      <c r="D1399" s="0" t="n">
        <v>292968.646</v>
      </c>
      <c r="E1399" s="0" t="n">
        <v>1</v>
      </c>
      <c r="F1399" s="0" t="s">
        <v>437</v>
      </c>
      <c r="G1399" s="0" t="s">
        <v>7040</v>
      </c>
      <c r="I1399" s="0" t="s">
        <v>1468</v>
      </c>
    </row>
    <row r="1400" customFormat="false" ht="15" hidden="false" customHeight="false" outlineLevel="0" collapsed="false">
      <c r="A1400" s="0" t="s">
        <v>201</v>
      </c>
      <c r="B1400" s="0" t="n">
        <v>2022</v>
      </c>
      <c r="C1400" s="0" t="s">
        <v>61</v>
      </c>
      <c r="D1400" s="0" t="n">
        <v>3612.947</v>
      </c>
      <c r="E1400" s="0" t="n">
        <v>1</v>
      </c>
      <c r="F1400" s="0" t="s">
        <v>437</v>
      </c>
      <c r="G1400" s="0" t="s">
        <v>7040</v>
      </c>
      <c r="I1400" s="0" t="s">
        <v>1469</v>
      </c>
    </row>
    <row r="1401" customFormat="false" ht="15" hidden="false" customHeight="false" outlineLevel="0" collapsed="false">
      <c r="A1401" s="0" t="s">
        <v>201</v>
      </c>
      <c r="B1401" s="0" t="n">
        <v>2022</v>
      </c>
      <c r="C1401" s="0" t="s">
        <v>62</v>
      </c>
      <c r="D1401" s="0" t="n">
        <v>289355.699</v>
      </c>
      <c r="E1401" s="0" t="n">
        <v>1</v>
      </c>
      <c r="F1401" s="0" t="s">
        <v>437</v>
      </c>
      <c r="G1401" s="0" t="s">
        <v>7040</v>
      </c>
      <c r="I1401" s="0" t="s">
        <v>1470</v>
      </c>
    </row>
    <row r="1402" customFormat="false" ht="15" hidden="false" customHeight="false" outlineLevel="0" collapsed="false">
      <c r="A1402" s="0" t="s">
        <v>201</v>
      </c>
      <c r="B1402" s="0" t="n">
        <v>2022</v>
      </c>
      <c r="C1402" s="0" t="s">
        <v>63</v>
      </c>
      <c r="D1402" s="0" t="n">
        <v>-1203.857</v>
      </c>
      <c r="E1402" s="0" t="n">
        <v>1</v>
      </c>
      <c r="F1402" s="0" t="s">
        <v>437</v>
      </c>
      <c r="G1402" s="0" t="s">
        <v>7040</v>
      </c>
      <c r="I1402" s="0" t="s">
        <v>1471</v>
      </c>
    </row>
    <row r="1403" customFormat="false" ht="15" hidden="false" customHeight="false" outlineLevel="0" collapsed="false">
      <c r="A1403" s="0" t="s">
        <v>201</v>
      </c>
      <c r="B1403" s="0" t="n">
        <v>2022</v>
      </c>
      <c r="C1403" s="0" t="s">
        <v>69</v>
      </c>
      <c r="D1403" s="0" t="n">
        <v>-89.69</v>
      </c>
      <c r="E1403" s="0" t="n">
        <v>1</v>
      </c>
      <c r="F1403" s="0" t="s">
        <v>437</v>
      </c>
      <c r="G1403" s="0" t="s">
        <v>7040</v>
      </c>
      <c r="I1403" s="0" t="s">
        <v>1472</v>
      </c>
    </row>
    <row r="1404" customFormat="false" ht="15" hidden="false" customHeight="false" outlineLevel="0" collapsed="false">
      <c r="A1404" s="0" t="s">
        <v>201</v>
      </c>
      <c r="B1404" s="0" t="n">
        <v>2022</v>
      </c>
      <c r="C1404" s="0" t="s">
        <v>614</v>
      </c>
      <c r="D1404" s="0" t="n">
        <v>-89.69</v>
      </c>
      <c r="E1404" s="0" t="n">
        <v>1</v>
      </c>
      <c r="F1404" s="0" t="s">
        <v>437</v>
      </c>
      <c r="G1404" s="0" t="s">
        <v>7040</v>
      </c>
      <c r="I1404" s="0" t="s">
        <v>1473</v>
      </c>
    </row>
    <row r="1405" customFormat="false" ht="15" hidden="false" customHeight="false" outlineLevel="0" collapsed="false">
      <c r="A1405" s="0" t="s">
        <v>201</v>
      </c>
      <c r="B1405" s="0" t="n">
        <v>2022</v>
      </c>
      <c r="C1405" s="0" t="s">
        <v>65</v>
      </c>
      <c r="D1405" s="0" t="n">
        <v>-288192.175</v>
      </c>
      <c r="E1405" s="0" t="n">
        <v>1</v>
      </c>
      <c r="F1405" s="0" t="s">
        <v>437</v>
      </c>
      <c r="G1405" s="0" t="s">
        <v>7040</v>
      </c>
      <c r="I1405" s="0" t="s">
        <v>1474</v>
      </c>
    </row>
    <row r="1406" customFormat="false" ht="15" hidden="false" customHeight="false" outlineLevel="0" collapsed="false">
      <c r="A1406" s="0" t="s">
        <v>201</v>
      </c>
      <c r="B1406" s="0" t="n">
        <v>2022</v>
      </c>
      <c r="C1406" s="0" t="s">
        <v>66</v>
      </c>
      <c r="D1406" s="0" t="n">
        <v>321334.337</v>
      </c>
      <c r="E1406" s="0" t="n">
        <v>1</v>
      </c>
      <c r="F1406" s="0" t="s">
        <v>437</v>
      </c>
      <c r="G1406" s="0" t="s">
        <v>7040</v>
      </c>
      <c r="I1406" s="0" t="s">
        <v>1475</v>
      </c>
    </row>
    <row r="1407" customFormat="false" ht="15" hidden="false" customHeight="false" outlineLevel="0" collapsed="false">
      <c r="A1407" s="0" t="s">
        <v>201</v>
      </c>
      <c r="B1407" s="0" t="n">
        <v>2022</v>
      </c>
      <c r="C1407" s="0" t="s">
        <v>619</v>
      </c>
      <c r="D1407" s="0" t="n">
        <v>-288192.175</v>
      </c>
      <c r="E1407" s="0" t="n">
        <v>1</v>
      </c>
      <c r="F1407" s="0" t="s">
        <v>437</v>
      </c>
      <c r="G1407" s="0" t="s">
        <v>7040</v>
      </c>
      <c r="I1407" s="0" t="s">
        <v>1476</v>
      </c>
    </row>
    <row r="1408" customFormat="false" ht="15" hidden="false" customHeight="false" outlineLevel="0" collapsed="false">
      <c r="A1408" s="0" t="s">
        <v>201</v>
      </c>
      <c r="B1408" s="0" t="n">
        <v>2022</v>
      </c>
      <c r="C1408" s="0" t="s">
        <v>73</v>
      </c>
      <c r="D1408" s="0" t="n">
        <v>1</v>
      </c>
      <c r="E1408" s="0" t="n">
        <v>1</v>
      </c>
      <c r="F1408" s="0" t="s">
        <v>437</v>
      </c>
      <c r="G1408" s="0" t="s">
        <v>7040</v>
      </c>
      <c r="I1408" s="0" t="s">
        <v>1477</v>
      </c>
    </row>
    <row r="1409" customFormat="false" ht="15" hidden="false" customHeight="false" outlineLevel="0" collapsed="false">
      <c r="A1409" s="0" t="s">
        <v>201</v>
      </c>
      <c r="B1409" s="0" t="n">
        <v>2022</v>
      </c>
      <c r="C1409" s="0" t="s">
        <v>67</v>
      </c>
      <c r="D1409" s="0" t="n">
        <v>472.953</v>
      </c>
      <c r="E1409" s="0" t="n">
        <v>1</v>
      </c>
      <c r="F1409" s="0" t="s">
        <v>437</v>
      </c>
      <c r="G1409" s="0" t="s">
        <v>7040</v>
      </c>
      <c r="I1409" s="0" t="s">
        <v>1478</v>
      </c>
    </row>
    <row r="1410" customFormat="false" ht="15" hidden="false" customHeight="false" outlineLevel="0" collapsed="false">
      <c r="A1410" s="0" t="s">
        <v>201</v>
      </c>
      <c r="B1410" s="0" t="n">
        <v>2022</v>
      </c>
      <c r="C1410" s="0" t="s">
        <v>68</v>
      </c>
      <c r="D1410" s="0" t="n">
        <v>121.67</v>
      </c>
      <c r="E1410" s="0" t="n">
        <v>1</v>
      </c>
      <c r="F1410" s="0" t="s">
        <v>437</v>
      </c>
      <c r="G1410" s="0" t="s">
        <v>7040</v>
      </c>
      <c r="I1410" s="0" t="s">
        <v>1479</v>
      </c>
    </row>
    <row r="1411" customFormat="false" ht="15" hidden="false" customHeight="false" outlineLevel="0" collapsed="false">
      <c r="A1411" s="0" t="s">
        <v>201</v>
      </c>
      <c r="B1411" s="0" t="n">
        <v>2022</v>
      </c>
      <c r="C1411" s="0" t="s">
        <v>541</v>
      </c>
      <c r="D1411" s="0" t="n">
        <v>1386.125</v>
      </c>
      <c r="E1411" s="0" t="n">
        <v>1</v>
      </c>
      <c r="F1411" s="0" t="s">
        <v>437</v>
      </c>
      <c r="G1411" s="0" t="s">
        <v>7040</v>
      </c>
      <c r="I1411" s="0" t="s">
        <v>1480</v>
      </c>
    </row>
    <row r="1412" customFormat="false" ht="15" hidden="false" customHeight="false" outlineLevel="0" collapsed="false">
      <c r="A1412" s="0" t="s">
        <v>211</v>
      </c>
      <c r="B1412" s="0" t="n">
        <v>2013</v>
      </c>
      <c r="C1412" s="0" t="s">
        <v>54</v>
      </c>
      <c r="D1412" s="0" t="n">
        <v>1596.531</v>
      </c>
      <c r="E1412" s="0" t="n">
        <v>1</v>
      </c>
      <c r="F1412" s="0" t="s">
        <v>437</v>
      </c>
      <c r="G1412" s="0" t="s">
        <v>7040</v>
      </c>
      <c r="I1412" s="0" t="s">
        <v>1481</v>
      </c>
    </row>
    <row r="1413" customFormat="false" ht="15" hidden="false" customHeight="false" outlineLevel="0" collapsed="false">
      <c r="A1413" s="0" t="s">
        <v>211</v>
      </c>
      <c r="B1413" s="0" t="n">
        <v>2013</v>
      </c>
      <c r="C1413" s="0" t="s">
        <v>55</v>
      </c>
      <c r="D1413" s="0" t="n">
        <v>330872.475</v>
      </c>
      <c r="E1413" s="0" t="n">
        <v>1</v>
      </c>
      <c r="F1413" s="0" t="s">
        <v>437</v>
      </c>
      <c r="G1413" s="0" t="s">
        <v>7040</v>
      </c>
      <c r="I1413" s="0" t="s">
        <v>1482</v>
      </c>
    </row>
    <row r="1414" customFormat="false" ht="15" hidden="false" customHeight="false" outlineLevel="0" collapsed="false">
      <c r="A1414" s="0" t="s">
        <v>211</v>
      </c>
      <c r="B1414" s="0" t="n">
        <v>2013</v>
      </c>
      <c r="C1414" s="0" t="s">
        <v>56</v>
      </c>
      <c r="D1414" s="0" t="n">
        <v>289477.324</v>
      </c>
      <c r="E1414" s="0" t="n">
        <v>1</v>
      </c>
      <c r="F1414" s="0" t="s">
        <v>437</v>
      </c>
      <c r="G1414" s="0" t="s">
        <v>7040</v>
      </c>
      <c r="I1414" s="0" t="s">
        <v>1483</v>
      </c>
    </row>
    <row r="1415" customFormat="false" ht="15" hidden="false" customHeight="false" outlineLevel="0" collapsed="false">
      <c r="A1415" s="0" t="s">
        <v>211</v>
      </c>
      <c r="B1415" s="0" t="n">
        <v>2013</v>
      </c>
      <c r="C1415" s="0" t="s">
        <v>57</v>
      </c>
      <c r="D1415" s="0" t="n">
        <v>41395.151</v>
      </c>
      <c r="E1415" s="0" t="n">
        <v>1</v>
      </c>
      <c r="F1415" s="0" t="s">
        <v>437</v>
      </c>
      <c r="G1415" s="0" t="s">
        <v>7040</v>
      </c>
      <c r="I1415" s="0" t="s">
        <v>1484</v>
      </c>
    </row>
    <row r="1416" customFormat="false" ht="15" hidden="false" customHeight="false" outlineLevel="0" collapsed="false">
      <c r="A1416" s="0" t="s">
        <v>211</v>
      </c>
      <c r="B1416" s="0" t="n">
        <v>2013</v>
      </c>
      <c r="C1416" s="0" t="s">
        <v>58</v>
      </c>
      <c r="D1416" s="0" t="n">
        <v>14012.504</v>
      </c>
      <c r="E1416" s="0" t="n">
        <v>1</v>
      </c>
      <c r="F1416" s="0" t="s">
        <v>437</v>
      </c>
      <c r="G1416" s="0" t="s">
        <v>7040</v>
      </c>
      <c r="I1416" s="0" t="s">
        <v>1485</v>
      </c>
    </row>
    <row r="1417" customFormat="false" ht="15" hidden="false" customHeight="false" outlineLevel="0" collapsed="false">
      <c r="A1417" s="0" t="s">
        <v>211</v>
      </c>
      <c r="B1417" s="0" t="n">
        <v>2013</v>
      </c>
      <c r="C1417" s="0" t="s">
        <v>59</v>
      </c>
      <c r="D1417" s="0" t="n">
        <v>245704.597</v>
      </c>
      <c r="E1417" s="0" t="n">
        <v>1</v>
      </c>
      <c r="F1417" s="0" t="s">
        <v>437</v>
      </c>
      <c r="G1417" s="0" t="s">
        <v>7040</v>
      </c>
      <c r="I1417" s="0" t="s">
        <v>1486</v>
      </c>
    </row>
    <row r="1418" customFormat="false" ht="15" hidden="false" customHeight="false" outlineLevel="0" collapsed="false">
      <c r="A1418" s="0" t="s">
        <v>211</v>
      </c>
      <c r="B1418" s="0" t="n">
        <v>2013</v>
      </c>
      <c r="C1418" s="0" t="s">
        <v>62</v>
      </c>
      <c r="D1418" s="0" t="n">
        <v>98631.825</v>
      </c>
      <c r="E1418" s="0" t="n">
        <v>1</v>
      </c>
      <c r="F1418" s="0" t="s">
        <v>437</v>
      </c>
      <c r="G1418" s="0" t="s">
        <v>7040</v>
      </c>
      <c r="I1418" s="0" t="s">
        <v>1487</v>
      </c>
    </row>
    <row r="1419" customFormat="false" ht="15" hidden="false" customHeight="false" outlineLevel="0" collapsed="false">
      <c r="A1419" s="0" t="s">
        <v>211</v>
      </c>
      <c r="B1419" s="0" t="n">
        <v>2013</v>
      </c>
      <c r="C1419" s="0" t="s">
        <v>63</v>
      </c>
      <c r="D1419" s="0" t="n">
        <v>-1329.627</v>
      </c>
      <c r="E1419" s="0" t="n">
        <v>1</v>
      </c>
      <c r="F1419" s="0" t="s">
        <v>437</v>
      </c>
      <c r="G1419" s="0" t="s">
        <v>7040</v>
      </c>
      <c r="I1419" s="0" t="s">
        <v>1488</v>
      </c>
    </row>
    <row r="1420" customFormat="false" ht="15" hidden="false" customHeight="false" outlineLevel="0" collapsed="false">
      <c r="A1420" s="0" t="s">
        <v>211</v>
      </c>
      <c r="B1420" s="0" t="n">
        <v>2013</v>
      </c>
      <c r="C1420" s="0" t="s">
        <v>541</v>
      </c>
      <c r="D1420" s="0" t="n">
        <v>1947.308</v>
      </c>
      <c r="E1420" s="0" t="n">
        <v>1</v>
      </c>
      <c r="F1420" s="0" t="s">
        <v>437</v>
      </c>
      <c r="G1420" s="0" t="s">
        <v>7040</v>
      </c>
      <c r="I1420" s="0" t="s">
        <v>1489</v>
      </c>
    </row>
    <row r="1421" customFormat="false" ht="15" hidden="false" customHeight="false" outlineLevel="0" collapsed="false">
      <c r="A1421" s="0" t="s">
        <v>211</v>
      </c>
      <c r="B1421" s="0" t="n">
        <v>2014</v>
      </c>
      <c r="C1421" s="0" t="s">
        <v>54</v>
      </c>
      <c r="D1421" s="0" t="n">
        <v>2372.445</v>
      </c>
      <c r="E1421" s="0" t="n">
        <v>1</v>
      </c>
      <c r="F1421" s="0" t="s">
        <v>437</v>
      </c>
      <c r="G1421" s="0" t="s">
        <v>7040</v>
      </c>
      <c r="I1421" s="0" t="s">
        <v>3449</v>
      </c>
    </row>
    <row r="1422" customFormat="false" ht="15" hidden="false" customHeight="false" outlineLevel="0" collapsed="false">
      <c r="A1422" s="0" t="s">
        <v>211</v>
      </c>
      <c r="B1422" s="0" t="n">
        <v>2014</v>
      </c>
      <c r="C1422" s="0" t="s">
        <v>55</v>
      </c>
      <c r="D1422" s="0" t="n">
        <v>382562.312</v>
      </c>
      <c r="E1422" s="0" t="n">
        <v>1</v>
      </c>
      <c r="F1422" s="0" t="s">
        <v>437</v>
      </c>
      <c r="G1422" s="0" t="s">
        <v>7040</v>
      </c>
      <c r="I1422" s="0" t="s">
        <v>3453</v>
      </c>
    </row>
    <row r="1423" customFormat="false" ht="15" hidden="false" customHeight="false" outlineLevel="0" collapsed="false">
      <c r="A1423" s="0" t="s">
        <v>211</v>
      </c>
      <c r="B1423" s="0" t="n">
        <v>2014</v>
      </c>
      <c r="C1423" s="0" t="s">
        <v>56</v>
      </c>
      <c r="D1423" s="0" t="n">
        <v>338793.663</v>
      </c>
      <c r="E1423" s="0" t="n">
        <v>1</v>
      </c>
      <c r="F1423" s="0" t="s">
        <v>437</v>
      </c>
      <c r="G1423" s="0" t="s">
        <v>7040</v>
      </c>
      <c r="I1423" s="0" t="s">
        <v>3454</v>
      </c>
    </row>
    <row r="1424" customFormat="false" ht="15" hidden="false" customHeight="false" outlineLevel="0" collapsed="false">
      <c r="A1424" s="0" t="s">
        <v>211</v>
      </c>
      <c r="B1424" s="0" t="n">
        <v>2014</v>
      </c>
      <c r="C1424" s="0" t="s">
        <v>57</v>
      </c>
      <c r="D1424" s="0" t="n">
        <v>43768.649</v>
      </c>
      <c r="E1424" s="0" t="n">
        <v>1</v>
      </c>
      <c r="F1424" s="0" t="s">
        <v>437</v>
      </c>
      <c r="G1424" s="0" t="s">
        <v>7040</v>
      </c>
      <c r="I1424" s="0" t="s">
        <v>3455</v>
      </c>
    </row>
    <row r="1425" customFormat="false" ht="15" hidden="false" customHeight="false" outlineLevel="0" collapsed="false">
      <c r="A1425" s="0" t="s">
        <v>211</v>
      </c>
      <c r="B1425" s="0" t="n">
        <v>2014</v>
      </c>
      <c r="C1425" s="0" t="s">
        <v>58</v>
      </c>
      <c r="D1425" s="0" t="n">
        <v>-40148.459</v>
      </c>
      <c r="E1425" s="0" t="n">
        <v>1</v>
      </c>
      <c r="F1425" s="0" t="s">
        <v>437</v>
      </c>
      <c r="G1425" s="0" t="s">
        <v>7040</v>
      </c>
      <c r="I1425" s="0" t="s">
        <v>3458</v>
      </c>
    </row>
    <row r="1426" customFormat="false" ht="15" hidden="false" customHeight="false" outlineLevel="0" collapsed="false">
      <c r="A1426" s="0" t="s">
        <v>211</v>
      </c>
      <c r="B1426" s="0" t="n">
        <v>2014</v>
      </c>
      <c r="C1426" s="0" t="s">
        <v>60</v>
      </c>
      <c r="D1426" s="0" t="n">
        <v>152292.015</v>
      </c>
      <c r="E1426" s="0" t="n">
        <v>1</v>
      </c>
      <c r="F1426" s="0" t="s">
        <v>437</v>
      </c>
      <c r="G1426" s="0" t="s">
        <v>7040</v>
      </c>
      <c r="I1426" s="0" t="s">
        <v>3564</v>
      </c>
    </row>
    <row r="1427" customFormat="false" ht="15" hidden="false" customHeight="false" outlineLevel="0" collapsed="false">
      <c r="A1427" s="0" t="s">
        <v>211</v>
      </c>
      <c r="B1427" s="0" t="n">
        <v>2014</v>
      </c>
      <c r="C1427" s="0" t="s">
        <v>61</v>
      </c>
      <c r="D1427" s="0" t="n">
        <v>2998.166</v>
      </c>
      <c r="E1427" s="0" t="n">
        <v>1</v>
      </c>
      <c r="F1427" s="0" t="s">
        <v>437</v>
      </c>
      <c r="G1427" s="0" t="s">
        <v>7040</v>
      </c>
      <c r="I1427" s="0" t="s">
        <v>3566</v>
      </c>
    </row>
    <row r="1428" customFormat="false" ht="15" hidden="false" customHeight="false" outlineLevel="0" collapsed="false">
      <c r="A1428" s="0" t="s">
        <v>211</v>
      </c>
      <c r="B1428" s="0" t="n">
        <v>2014</v>
      </c>
      <c r="C1428" s="0" t="s">
        <v>63</v>
      </c>
      <c r="D1428" s="0" t="n">
        <v>88.173</v>
      </c>
      <c r="E1428" s="0" t="n">
        <v>1</v>
      </c>
      <c r="F1428" s="0" t="s">
        <v>437</v>
      </c>
      <c r="G1428" s="0" t="s">
        <v>7040</v>
      </c>
      <c r="I1428" s="0" t="s">
        <v>3451</v>
      </c>
    </row>
    <row r="1429" customFormat="false" ht="15" hidden="false" customHeight="false" outlineLevel="0" collapsed="false">
      <c r="A1429" s="0" t="s">
        <v>211</v>
      </c>
      <c r="B1429" s="0" t="n">
        <v>2014</v>
      </c>
      <c r="C1429" s="0" t="s">
        <v>327</v>
      </c>
      <c r="D1429" s="0" t="n">
        <v>2.49</v>
      </c>
      <c r="E1429" s="0" t="n">
        <v>1</v>
      </c>
      <c r="F1429" s="0" t="s">
        <v>437</v>
      </c>
      <c r="G1429" s="0" t="s">
        <v>7040</v>
      </c>
      <c r="I1429" s="0" t="s">
        <v>3581</v>
      </c>
    </row>
    <row r="1430" customFormat="false" ht="15" hidden="false" customHeight="false" outlineLevel="0" collapsed="false">
      <c r="A1430" s="0" t="s">
        <v>211</v>
      </c>
      <c r="B1430" s="0" t="n">
        <v>2014</v>
      </c>
      <c r="C1430" s="0" t="s">
        <v>69</v>
      </c>
      <c r="D1430" s="0" t="n">
        <v>18.22</v>
      </c>
      <c r="E1430" s="0" t="n">
        <v>1</v>
      </c>
      <c r="F1430" s="0" t="s">
        <v>437</v>
      </c>
      <c r="G1430" s="0" t="s">
        <v>7040</v>
      </c>
      <c r="I1430" s="0" t="s">
        <v>3577</v>
      </c>
    </row>
    <row r="1431" customFormat="false" ht="15" hidden="false" customHeight="false" outlineLevel="0" collapsed="false">
      <c r="A1431" s="0" t="s">
        <v>211</v>
      </c>
      <c r="B1431" s="0" t="n">
        <v>2015</v>
      </c>
      <c r="C1431" s="0" t="s">
        <v>54</v>
      </c>
      <c r="D1431" s="0" t="n">
        <v>2273.205</v>
      </c>
      <c r="E1431" s="0" t="n">
        <v>1</v>
      </c>
      <c r="F1431" s="0" t="s">
        <v>437</v>
      </c>
      <c r="G1431" s="0" t="s">
        <v>7040</v>
      </c>
      <c r="I1431" s="0" t="s">
        <v>3289</v>
      </c>
    </row>
    <row r="1432" customFormat="false" ht="15" hidden="false" customHeight="false" outlineLevel="0" collapsed="false">
      <c r="A1432" s="0" t="s">
        <v>211</v>
      </c>
      <c r="B1432" s="0" t="n">
        <v>2015</v>
      </c>
      <c r="C1432" s="0" t="s">
        <v>55</v>
      </c>
      <c r="D1432" s="0" t="n">
        <v>396743.314</v>
      </c>
      <c r="E1432" s="0" t="n">
        <v>1</v>
      </c>
      <c r="F1432" s="0" t="s">
        <v>437</v>
      </c>
      <c r="G1432" s="0" t="s">
        <v>7040</v>
      </c>
      <c r="I1432" s="0" t="s">
        <v>3290</v>
      </c>
    </row>
    <row r="1433" customFormat="false" ht="15" hidden="false" customHeight="false" outlineLevel="0" collapsed="false">
      <c r="A1433" s="0" t="s">
        <v>211</v>
      </c>
      <c r="B1433" s="0" t="n">
        <v>2015</v>
      </c>
      <c r="C1433" s="0" t="s">
        <v>56</v>
      </c>
      <c r="D1433" s="0" t="n">
        <v>350679.204</v>
      </c>
      <c r="E1433" s="0" t="n">
        <v>1</v>
      </c>
      <c r="F1433" s="0" t="s">
        <v>437</v>
      </c>
      <c r="G1433" s="0" t="s">
        <v>7040</v>
      </c>
      <c r="I1433" s="0" t="s">
        <v>3292</v>
      </c>
    </row>
    <row r="1434" customFormat="false" ht="15" hidden="false" customHeight="false" outlineLevel="0" collapsed="false">
      <c r="A1434" s="0" t="s">
        <v>211</v>
      </c>
      <c r="B1434" s="0" t="n">
        <v>2015</v>
      </c>
      <c r="C1434" s="0" t="s">
        <v>57</v>
      </c>
      <c r="D1434" s="0" t="n">
        <v>46064.11</v>
      </c>
      <c r="E1434" s="0" t="n">
        <v>1</v>
      </c>
      <c r="F1434" s="0" t="s">
        <v>437</v>
      </c>
      <c r="G1434" s="0" t="s">
        <v>7040</v>
      </c>
      <c r="I1434" s="0" t="s">
        <v>3291</v>
      </c>
    </row>
    <row r="1435" customFormat="false" ht="15" hidden="false" customHeight="false" outlineLevel="0" collapsed="false">
      <c r="A1435" s="0" t="s">
        <v>211</v>
      </c>
      <c r="B1435" s="0" t="n">
        <v>2015</v>
      </c>
      <c r="C1435" s="0" t="s">
        <v>58</v>
      </c>
      <c r="D1435" s="0" t="n">
        <v>14676.273</v>
      </c>
      <c r="E1435" s="0" t="n">
        <v>1</v>
      </c>
      <c r="F1435" s="0" t="s">
        <v>437</v>
      </c>
      <c r="G1435" s="0" t="s">
        <v>7040</v>
      </c>
      <c r="I1435" s="0" t="s">
        <v>3288</v>
      </c>
    </row>
    <row r="1436" customFormat="false" ht="15" hidden="false" customHeight="false" outlineLevel="0" collapsed="false">
      <c r="A1436" s="0" t="s">
        <v>211</v>
      </c>
      <c r="B1436" s="0" t="n">
        <v>2015</v>
      </c>
      <c r="C1436" s="0" t="s">
        <v>59</v>
      </c>
      <c r="D1436" s="0" t="n">
        <v>382562.312</v>
      </c>
      <c r="E1436" s="0" t="n">
        <v>1</v>
      </c>
      <c r="F1436" s="0" t="s">
        <v>437</v>
      </c>
      <c r="G1436" s="0" t="s">
        <v>7041</v>
      </c>
      <c r="I1436" s="0" t="s">
        <v>3453</v>
      </c>
    </row>
    <row r="1437" customFormat="false" ht="15" hidden="false" customHeight="false" outlineLevel="0" collapsed="false">
      <c r="A1437" s="0" t="s">
        <v>211</v>
      </c>
      <c r="B1437" s="0" t="n">
        <v>2015</v>
      </c>
      <c r="C1437" s="0" t="s">
        <v>60</v>
      </c>
      <c r="D1437" s="0" t="n">
        <v>188022.922</v>
      </c>
      <c r="E1437" s="0" t="n">
        <v>1</v>
      </c>
      <c r="F1437" s="0" t="s">
        <v>437</v>
      </c>
      <c r="G1437" s="0" t="s">
        <v>7040</v>
      </c>
      <c r="I1437" s="0" t="s">
        <v>3572</v>
      </c>
    </row>
    <row r="1438" customFormat="false" ht="15" hidden="false" customHeight="false" outlineLevel="0" collapsed="false">
      <c r="A1438" s="0" t="s">
        <v>211</v>
      </c>
      <c r="B1438" s="0" t="n">
        <v>2015</v>
      </c>
      <c r="C1438" s="0" t="s">
        <v>61</v>
      </c>
      <c r="D1438" s="0" t="n">
        <v>2426.332</v>
      </c>
      <c r="E1438" s="0" t="n">
        <v>1</v>
      </c>
      <c r="F1438" s="0" t="s">
        <v>437</v>
      </c>
      <c r="G1438" s="0" t="s">
        <v>7040</v>
      </c>
      <c r="I1438" s="0" t="s">
        <v>3573</v>
      </c>
    </row>
    <row r="1439" customFormat="false" ht="15" hidden="false" customHeight="false" outlineLevel="0" collapsed="false">
      <c r="A1439" s="0" t="s">
        <v>211</v>
      </c>
      <c r="B1439" s="0" t="n">
        <v>2015</v>
      </c>
      <c r="C1439" s="0" t="s">
        <v>63</v>
      </c>
      <c r="D1439" s="0" t="n">
        <v>-77.64</v>
      </c>
      <c r="E1439" s="0" t="n">
        <v>1</v>
      </c>
      <c r="F1439" s="0" t="s">
        <v>437</v>
      </c>
      <c r="G1439" s="0" t="s">
        <v>7040</v>
      </c>
      <c r="I1439" s="0" t="s">
        <v>3285</v>
      </c>
    </row>
    <row r="1440" customFormat="false" ht="15" hidden="false" customHeight="false" outlineLevel="0" collapsed="false">
      <c r="A1440" s="0" t="s">
        <v>211</v>
      </c>
      <c r="B1440" s="0" t="n">
        <v>2015</v>
      </c>
      <c r="C1440" s="0" t="s">
        <v>327</v>
      </c>
      <c r="D1440" s="0" t="n">
        <v>2.67</v>
      </c>
      <c r="E1440" s="0" t="n">
        <v>1</v>
      </c>
      <c r="F1440" s="0" t="s">
        <v>437</v>
      </c>
      <c r="G1440" s="0" t="s">
        <v>7040</v>
      </c>
      <c r="I1440" s="0" t="s">
        <v>3585</v>
      </c>
    </row>
    <row r="1441" customFormat="false" ht="15" hidden="false" customHeight="false" outlineLevel="0" collapsed="false">
      <c r="A1441" s="0" t="s">
        <v>211</v>
      </c>
      <c r="B1441" s="0" t="n">
        <v>2015</v>
      </c>
      <c r="C1441" s="0" t="s">
        <v>69</v>
      </c>
      <c r="D1441" s="0" t="n">
        <v>15.09</v>
      </c>
      <c r="E1441" s="0" t="n">
        <v>1</v>
      </c>
      <c r="F1441" s="0" t="s">
        <v>437</v>
      </c>
      <c r="G1441" s="0" t="s">
        <v>7040</v>
      </c>
      <c r="I1441" s="0" t="s">
        <v>3583</v>
      </c>
    </row>
    <row r="1442" customFormat="false" ht="15" hidden="false" customHeight="false" outlineLevel="0" collapsed="false">
      <c r="A1442" s="0" t="s">
        <v>211</v>
      </c>
      <c r="B1442" s="0" t="n">
        <v>2016</v>
      </c>
      <c r="C1442" s="0" t="s">
        <v>54</v>
      </c>
      <c r="D1442" s="0" t="n">
        <v>2591.8</v>
      </c>
      <c r="E1442" s="0" t="n">
        <v>1</v>
      </c>
      <c r="F1442" s="0" t="s">
        <v>437</v>
      </c>
      <c r="G1442" s="0" t="s">
        <v>7040</v>
      </c>
      <c r="I1442" s="0" t="s">
        <v>3298</v>
      </c>
    </row>
    <row r="1443" customFormat="false" ht="15" hidden="false" customHeight="false" outlineLevel="0" collapsed="false">
      <c r="A1443" s="0" t="s">
        <v>211</v>
      </c>
      <c r="B1443" s="0" t="n">
        <v>2016</v>
      </c>
      <c r="C1443" s="0" t="s">
        <v>55</v>
      </c>
      <c r="D1443" s="0" t="n">
        <v>421221.036</v>
      </c>
      <c r="E1443" s="0" t="n">
        <v>1</v>
      </c>
      <c r="F1443" s="0" t="s">
        <v>437</v>
      </c>
      <c r="G1443" s="0" t="s">
        <v>7040</v>
      </c>
      <c r="I1443" s="0" t="s">
        <v>3299</v>
      </c>
    </row>
    <row r="1444" customFormat="false" ht="15" hidden="false" customHeight="false" outlineLevel="0" collapsed="false">
      <c r="A1444" s="0" t="s">
        <v>211</v>
      </c>
      <c r="B1444" s="0" t="n">
        <v>2016</v>
      </c>
      <c r="C1444" s="0" t="s">
        <v>56</v>
      </c>
      <c r="D1444" s="0" t="n">
        <v>372719.082</v>
      </c>
      <c r="E1444" s="0" t="n">
        <v>1</v>
      </c>
      <c r="F1444" s="0" t="s">
        <v>437</v>
      </c>
      <c r="G1444" s="0" t="s">
        <v>7040</v>
      </c>
      <c r="I1444" s="0" t="s">
        <v>3301</v>
      </c>
    </row>
    <row r="1445" customFormat="false" ht="15" hidden="false" customHeight="false" outlineLevel="0" collapsed="false">
      <c r="A1445" s="0" t="s">
        <v>211</v>
      </c>
      <c r="B1445" s="0" t="n">
        <v>2016</v>
      </c>
      <c r="C1445" s="0" t="s">
        <v>57</v>
      </c>
      <c r="D1445" s="0" t="n">
        <v>48501.954</v>
      </c>
      <c r="E1445" s="0" t="n">
        <v>1</v>
      </c>
      <c r="F1445" s="0" t="s">
        <v>437</v>
      </c>
      <c r="G1445" s="0" t="s">
        <v>7040</v>
      </c>
      <c r="I1445" s="0" t="s">
        <v>3300</v>
      </c>
    </row>
    <row r="1446" customFormat="false" ht="15" hidden="false" customHeight="false" outlineLevel="0" collapsed="false">
      <c r="A1446" s="0" t="s">
        <v>211</v>
      </c>
      <c r="B1446" s="0" t="n">
        <v>2016</v>
      </c>
      <c r="C1446" s="0" t="s">
        <v>58</v>
      </c>
      <c r="D1446" s="0" t="n">
        <v>15892.427</v>
      </c>
      <c r="E1446" s="0" t="n">
        <v>1</v>
      </c>
      <c r="F1446" s="0" t="s">
        <v>437</v>
      </c>
      <c r="G1446" s="0" t="s">
        <v>7040</v>
      </c>
      <c r="I1446" s="0" t="s">
        <v>3297</v>
      </c>
    </row>
    <row r="1447" customFormat="false" ht="15" hidden="false" customHeight="false" outlineLevel="0" collapsed="false">
      <c r="A1447" s="0" t="s">
        <v>211</v>
      </c>
      <c r="B1447" s="0" t="n">
        <v>2016</v>
      </c>
      <c r="C1447" s="0" t="s">
        <v>59</v>
      </c>
      <c r="D1447" s="0" t="n">
        <v>396743.314</v>
      </c>
      <c r="E1447" s="0" t="n">
        <v>1</v>
      </c>
      <c r="F1447" s="0" t="s">
        <v>437</v>
      </c>
      <c r="G1447" s="0" t="s">
        <v>7041</v>
      </c>
      <c r="I1447" s="0" t="s">
        <v>3290</v>
      </c>
    </row>
    <row r="1448" customFormat="false" ht="15" hidden="false" customHeight="false" outlineLevel="0" collapsed="false">
      <c r="A1448" s="0" t="s">
        <v>211</v>
      </c>
      <c r="B1448" s="0" t="n">
        <v>2016</v>
      </c>
      <c r="C1448" s="0" t="s">
        <v>63</v>
      </c>
      <c r="D1448" s="0" t="n">
        <v>412.401</v>
      </c>
      <c r="E1448" s="0" t="n">
        <v>1</v>
      </c>
      <c r="F1448" s="0" t="s">
        <v>437</v>
      </c>
      <c r="G1448" s="0" t="s">
        <v>7040</v>
      </c>
      <c r="I1448" s="0" t="s">
        <v>3295</v>
      </c>
    </row>
    <row r="1449" customFormat="false" ht="15" hidden="false" customHeight="false" outlineLevel="0" collapsed="false">
      <c r="A1449" s="0" t="s">
        <v>211</v>
      </c>
      <c r="B1449" s="0" t="n">
        <v>2016</v>
      </c>
      <c r="C1449" s="0" t="s">
        <v>73</v>
      </c>
      <c r="D1449" s="0" t="n">
        <v>0</v>
      </c>
      <c r="E1449" s="0" t="n">
        <v>1</v>
      </c>
      <c r="F1449" s="0" t="s">
        <v>437</v>
      </c>
      <c r="G1449" s="0" t="s">
        <v>7040</v>
      </c>
      <c r="I1449" s="0" t="s">
        <v>368</v>
      </c>
    </row>
    <row r="1450" customFormat="false" ht="15" hidden="false" customHeight="false" outlineLevel="0" collapsed="false">
      <c r="A1450" s="0" t="s">
        <v>211</v>
      </c>
      <c r="B1450" s="0" t="n">
        <v>2017</v>
      </c>
      <c r="C1450" s="0" t="s">
        <v>54</v>
      </c>
      <c r="D1450" s="0" t="n">
        <v>2301.158</v>
      </c>
      <c r="E1450" s="0" t="n">
        <v>1</v>
      </c>
      <c r="F1450" s="0" t="s">
        <v>437</v>
      </c>
      <c r="G1450" s="0" t="s">
        <v>7040</v>
      </c>
      <c r="I1450" s="0" t="s">
        <v>3318</v>
      </c>
    </row>
    <row r="1451" customFormat="false" ht="15" hidden="false" customHeight="false" outlineLevel="0" collapsed="false">
      <c r="A1451" s="0" t="s">
        <v>211</v>
      </c>
      <c r="B1451" s="0" t="n">
        <v>2017</v>
      </c>
      <c r="C1451" s="0" t="s">
        <v>55</v>
      </c>
      <c r="D1451" s="0" t="n">
        <v>384779.809</v>
      </c>
      <c r="E1451" s="0" t="n">
        <v>1</v>
      </c>
      <c r="F1451" s="0" t="s">
        <v>437</v>
      </c>
      <c r="G1451" s="0" t="s">
        <v>7040</v>
      </c>
      <c r="I1451" s="0" t="s">
        <v>3321</v>
      </c>
    </row>
    <row r="1452" customFormat="false" ht="15" hidden="false" customHeight="false" outlineLevel="0" collapsed="false">
      <c r="A1452" s="0" t="s">
        <v>211</v>
      </c>
      <c r="B1452" s="0" t="n">
        <v>2017</v>
      </c>
      <c r="C1452" s="0" t="s">
        <v>56</v>
      </c>
      <c r="D1452" s="0" t="n">
        <v>335087.669</v>
      </c>
      <c r="E1452" s="0" t="n">
        <v>1</v>
      </c>
      <c r="F1452" s="0" t="s">
        <v>437</v>
      </c>
      <c r="G1452" s="0" t="s">
        <v>7040</v>
      </c>
      <c r="I1452" s="0" t="s">
        <v>3323</v>
      </c>
    </row>
    <row r="1453" customFormat="false" ht="15" hidden="false" customHeight="false" outlineLevel="0" collapsed="false">
      <c r="A1453" s="0" t="s">
        <v>211</v>
      </c>
      <c r="B1453" s="0" t="n">
        <v>2017</v>
      </c>
      <c r="C1453" s="0" t="s">
        <v>57</v>
      </c>
      <c r="D1453" s="0" t="n">
        <v>49692.14</v>
      </c>
      <c r="E1453" s="0" t="n">
        <v>1</v>
      </c>
      <c r="F1453" s="0" t="s">
        <v>437</v>
      </c>
      <c r="G1453" s="0" t="s">
        <v>7040</v>
      </c>
      <c r="I1453" s="0" t="s">
        <v>3322</v>
      </c>
    </row>
    <row r="1454" customFormat="false" ht="15" hidden="false" customHeight="false" outlineLevel="0" collapsed="false">
      <c r="A1454" s="0" t="s">
        <v>211</v>
      </c>
      <c r="B1454" s="0" t="n">
        <v>2017</v>
      </c>
      <c r="C1454" s="0" t="s">
        <v>58</v>
      </c>
      <c r="D1454" s="0" t="n">
        <v>-25950.964</v>
      </c>
      <c r="E1454" s="0" t="n">
        <v>1</v>
      </c>
      <c r="F1454" s="0" t="s">
        <v>437</v>
      </c>
      <c r="G1454" s="0" t="s">
        <v>7040</v>
      </c>
      <c r="I1454" s="0" t="s">
        <v>3317</v>
      </c>
    </row>
    <row r="1455" customFormat="false" ht="15" hidden="false" customHeight="false" outlineLevel="0" collapsed="false">
      <c r="A1455" s="0" t="s">
        <v>211</v>
      </c>
      <c r="B1455" s="0" t="n">
        <v>2017</v>
      </c>
      <c r="C1455" s="0" t="s">
        <v>59</v>
      </c>
      <c r="D1455" s="0" t="n">
        <v>421221.036</v>
      </c>
      <c r="E1455" s="0" t="n">
        <v>1</v>
      </c>
      <c r="F1455" s="0" t="s">
        <v>437</v>
      </c>
      <c r="G1455" s="0" t="s">
        <v>7041</v>
      </c>
      <c r="I1455" s="0" t="s">
        <v>3299</v>
      </c>
    </row>
    <row r="1456" customFormat="false" ht="15" hidden="false" customHeight="false" outlineLevel="0" collapsed="false">
      <c r="A1456" s="0" t="s">
        <v>211</v>
      </c>
      <c r="B1456" s="0" t="n">
        <v>2017</v>
      </c>
      <c r="C1456" s="0" t="s">
        <v>60</v>
      </c>
      <c r="D1456" s="0" t="n">
        <v>220076.031</v>
      </c>
      <c r="E1456" s="0" t="n">
        <v>1</v>
      </c>
      <c r="F1456" s="0" t="s">
        <v>437</v>
      </c>
      <c r="G1456" s="0" t="s">
        <v>7040</v>
      </c>
      <c r="I1456" s="0" t="s">
        <v>3307</v>
      </c>
    </row>
    <row r="1457" customFormat="false" ht="15" hidden="false" customHeight="false" outlineLevel="0" collapsed="false">
      <c r="A1457" s="0" t="s">
        <v>211</v>
      </c>
      <c r="B1457" s="0" t="n">
        <v>2017</v>
      </c>
      <c r="C1457" s="0" t="s">
        <v>61</v>
      </c>
      <c r="D1457" s="0" t="n">
        <v>4236.001</v>
      </c>
      <c r="E1457" s="0" t="n">
        <v>1</v>
      </c>
      <c r="F1457" s="0" t="s">
        <v>437</v>
      </c>
      <c r="G1457" s="0" t="s">
        <v>7040</v>
      </c>
      <c r="I1457" s="0" t="s">
        <v>3313</v>
      </c>
    </row>
    <row r="1458" customFormat="false" ht="15" hidden="false" customHeight="false" outlineLevel="0" collapsed="false">
      <c r="A1458" s="0" t="s">
        <v>211</v>
      </c>
      <c r="B1458" s="0" t="n">
        <v>2017</v>
      </c>
      <c r="C1458" s="0" t="s">
        <v>63</v>
      </c>
      <c r="D1458" s="0" t="n">
        <v>2179.798</v>
      </c>
      <c r="E1458" s="0" t="n">
        <v>1</v>
      </c>
      <c r="F1458" s="0" t="s">
        <v>437</v>
      </c>
      <c r="G1458" s="0" t="s">
        <v>7040</v>
      </c>
      <c r="I1458" s="0" t="s">
        <v>3310</v>
      </c>
    </row>
    <row r="1459" customFormat="false" ht="15" hidden="false" customHeight="false" outlineLevel="0" collapsed="false">
      <c r="A1459" s="0" t="s">
        <v>211</v>
      </c>
      <c r="B1459" s="0" t="n">
        <v>2017</v>
      </c>
      <c r="C1459" s="0" t="s">
        <v>327</v>
      </c>
      <c r="D1459" s="0" t="n">
        <v>3.52</v>
      </c>
      <c r="E1459" s="0" t="n">
        <v>1</v>
      </c>
      <c r="F1459" s="0" t="s">
        <v>437</v>
      </c>
      <c r="G1459" s="0" t="s">
        <v>7040</v>
      </c>
      <c r="I1459" s="0" t="s">
        <v>3314</v>
      </c>
    </row>
    <row r="1460" customFormat="false" ht="15" hidden="false" customHeight="false" outlineLevel="0" collapsed="false">
      <c r="A1460" s="0" t="s">
        <v>211</v>
      </c>
      <c r="B1460" s="0" t="n">
        <v>2017</v>
      </c>
      <c r="C1460" s="0" t="s">
        <v>69</v>
      </c>
      <c r="D1460" s="0" t="n">
        <v>14.32</v>
      </c>
      <c r="E1460" s="0" t="n">
        <v>1</v>
      </c>
      <c r="F1460" s="0" t="s">
        <v>437</v>
      </c>
      <c r="G1460" s="0" t="s">
        <v>7040</v>
      </c>
      <c r="I1460" s="0" t="s">
        <v>3302</v>
      </c>
    </row>
    <row r="1461" customFormat="false" ht="15" hidden="false" customHeight="false" outlineLevel="0" collapsed="false">
      <c r="A1461" s="0" t="s">
        <v>211</v>
      </c>
      <c r="B1461" s="0" t="n">
        <v>2017</v>
      </c>
      <c r="C1461" s="0" t="s">
        <v>71</v>
      </c>
      <c r="D1461" s="0" t="n">
        <v>26.25</v>
      </c>
      <c r="E1461" s="0" t="n">
        <v>1</v>
      </c>
      <c r="F1461" s="0" t="s">
        <v>437</v>
      </c>
      <c r="G1461" s="0" t="s">
        <v>7040</v>
      </c>
      <c r="I1461" s="0" t="s">
        <v>3311</v>
      </c>
    </row>
    <row r="1462" customFormat="false" ht="15" hidden="false" customHeight="false" outlineLevel="0" collapsed="false">
      <c r="A1462" s="0" t="s">
        <v>211</v>
      </c>
      <c r="B1462" s="0" t="n">
        <v>2018</v>
      </c>
      <c r="C1462" s="0" t="s">
        <v>54</v>
      </c>
      <c r="D1462" s="0" t="n">
        <v>3359.259</v>
      </c>
      <c r="E1462" s="0" t="n">
        <v>1</v>
      </c>
      <c r="F1462" s="0" t="s">
        <v>437</v>
      </c>
      <c r="G1462" s="0" t="s">
        <v>7040</v>
      </c>
      <c r="I1462" s="0" t="s">
        <v>3344</v>
      </c>
    </row>
    <row r="1463" customFormat="false" ht="15" hidden="false" customHeight="false" outlineLevel="0" collapsed="false">
      <c r="A1463" s="0" t="s">
        <v>211</v>
      </c>
      <c r="B1463" s="0" t="n">
        <v>2018</v>
      </c>
      <c r="C1463" s="0" t="s">
        <v>55</v>
      </c>
      <c r="D1463" s="0" t="n">
        <v>477915.742</v>
      </c>
      <c r="E1463" s="0" t="n">
        <v>1</v>
      </c>
      <c r="F1463" s="0" t="s">
        <v>437</v>
      </c>
      <c r="G1463" s="0" t="s">
        <v>7040</v>
      </c>
      <c r="I1463" s="0" t="s">
        <v>3351</v>
      </c>
    </row>
    <row r="1464" customFormat="false" ht="15" hidden="false" customHeight="false" outlineLevel="0" collapsed="false">
      <c r="A1464" s="0" t="s">
        <v>211</v>
      </c>
      <c r="B1464" s="0" t="n">
        <v>2018</v>
      </c>
      <c r="C1464" s="0" t="s">
        <v>56</v>
      </c>
      <c r="D1464" s="0" t="n">
        <v>426916.863</v>
      </c>
      <c r="E1464" s="0" t="n">
        <v>1</v>
      </c>
      <c r="F1464" s="0" t="s">
        <v>437</v>
      </c>
      <c r="G1464" s="0" t="s">
        <v>7040</v>
      </c>
      <c r="I1464" s="0" t="s">
        <v>3353</v>
      </c>
    </row>
    <row r="1465" customFormat="false" ht="15" hidden="false" customHeight="false" outlineLevel="0" collapsed="false">
      <c r="A1465" s="0" t="s">
        <v>211</v>
      </c>
      <c r="B1465" s="0" t="n">
        <v>2018</v>
      </c>
      <c r="C1465" s="0" t="s">
        <v>57</v>
      </c>
      <c r="D1465" s="0" t="n">
        <v>50998.879</v>
      </c>
      <c r="E1465" s="0" t="n">
        <v>1</v>
      </c>
      <c r="F1465" s="0" t="s">
        <v>437</v>
      </c>
      <c r="G1465" s="0" t="s">
        <v>7040</v>
      </c>
      <c r="I1465" s="0" t="s">
        <v>3352</v>
      </c>
    </row>
    <row r="1466" customFormat="false" ht="15" hidden="false" customHeight="false" outlineLevel="0" collapsed="false">
      <c r="A1466" s="0" t="s">
        <v>211</v>
      </c>
      <c r="B1466" s="0" t="n">
        <v>2018</v>
      </c>
      <c r="C1466" s="0" t="s">
        <v>58</v>
      </c>
      <c r="D1466" s="0" t="n">
        <v>49309.182</v>
      </c>
      <c r="E1466" s="0" t="n">
        <v>1</v>
      </c>
      <c r="F1466" s="0" t="s">
        <v>437</v>
      </c>
      <c r="G1466" s="0" t="s">
        <v>7040</v>
      </c>
      <c r="I1466" s="0" t="s">
        <v>3343</v>
      </c>
    </row>
    <row r="1467" customFormat="false" ht="15" hidden="false" customHeight="false" outlineLevel="0" collapsed="false">
      <c r="A1467" s="0" t="s">
        <v>211</v>
      </c>
      <c r="B1467" s="0" t="n">
        <v>2018</v>
      </c>
      <c r="C1467" s="0" t="s">
        <v>59</v>
      </c>
      <c r="D1467" s="0" t="n">
        <v>384779.809</v>
      </c>
      <c r="E1467" s="0" t="n">
        <v>1</v>
      </c>
      <c r="F1467" s="0" t="s">
        <v>437</v>
      </c>
      <c r="G1467" s="0" t="s">
        <v>7041</v>
      </c>
      <c r="I1467" s="0" t="s">
        <v>3321</v>
      </c>
    </row>
    <row r="1468" customFormat="false" ht="15" hidden="false" customHeight="false" outlineLevel="0" collapsed="false">
      <c r="A1468" s="0" t="s">
        <v>211</v>
      </c>
      <c r="B1468" s="0" t="n">
        <v>2018</v>
      </c>
      <c r="C1468" s="0" t="s">
        <v>60</v>
      </c>
      <c r="D1468" s="0" t="n">
        <v>261583.723</v>
      </c>
      <c r="E1468" s="0" t="n">
        <v>1</v>
      </c>
      <c r="F1468" s="0" t="s">
        <v>437</v>
      </c>
      <c r="G1468" s="0" t="s">
        <v>7040</v>
      </c>
      <c r="I1468" s="0" t="s">
        <v>3335</v>
      </c>
    </row>
    <row r="1469" customFormat="false" ht="15" hidden="false" customHeight="false" outlineLevel="0" collapsed="false">
      <c r="A1469" s="0" t="s">
        <v>211</v>
      </c>
      <c r="B1469" s="0" t="n">
        <v>2018</v>
      </c>
      <c r="C1469" s="0" t="s">
        <v>61</v>
      </c>
      <c r="D1469" s="0" t="n">
        <v>9394.11</v>
      </c>
      <c r="E1469" s="0" t="n">
        <v>1</v>
      </c>
      <c r="F1469" s="0" t="s">
        <v>437</v>
      </c>
      <c r="G1469" s="0" t="s">
        <v>7040</v>
      </c>
      <c r="I1469" s="0" t="s">
        <v>3340</v>
      </c>
    </row>
    <row r="1470" customFormat="false" ht="15" hidden="false" customHeight="false" outlineLevel="0" collapsed="false">
      <c r="A1470" s="0" t="s">
        <v>211</v>
      </c>
      <c r="B1470" s="0" t="n">
        <v>2018</v>
      </c>
      <c r="C1470" s="0" t="s">
        <v>63</v>
      </c>
      <c r="D1470" s="0" t="n">
        <v>3510.537</v>
      </c>
      <c r="E1470" s="0" t="n">
        <v>1</v>
      </c>
      <c r="F1470" s="0" t="s">
        <v>437</v>
      </c>
      <c r="G1470" s="0" t="s">
        <v>7040</v>
      </c>
      <c r="I1470" s="0" t="s">
        <v>3338</v>
      </c>
    </row>
    <row r="1471" customFormat="false" ht="15" hidden="false" customHeight="false" outlineLevel="0" collapsed="false">
      <c r="A1471" s="0" t="s">
        <v>211</v>
      </c>
      <c r="B1471" s="0" t="n">
        <v>2018</v>
      </c>
      <c r="C1471" s="0" t="s">
        <v>327</v>
      </c>
      <c r="D1471" s="0" t="n">
        <v>4.98</v>
      </c>
      <c r="E1471" s="0" t="n">
        <v>1</v>
      </c>
      <c r="F1471" s="0" t="s">
        <v>437</v>
      </c>
      <c r="G1471" s="0" t="s">
        <v>7040</v>
      </c>
      <c r="I1471" s="0" t="s">
        <v>3341</v>
      </c>
    </row>
    <row r="1472" customFormat="false" ht="15" hidden="false" customHeight="false" outlineLevel="0" collapsed="false">
      <c r="A1472" s="0" t="s">
        <v>211</v>
      </c>
      <c r="B1472" s="0" t="n">
        <v>2018</v>
      </c>
      <c r="C1472" s="0" t="s">
        <v>69</v>
      </c>
      <c r="D1472" s="0" t="n">
        <v>18.01</v>
      </c>
      <c r="E1472" s="0" t="n">
        <v>1</v>
      </c>
      <c r="F1472" s="0" t="s">
        <v>437</v>
      </c>
      <c r="G1472" s="0" t="s">
        <v>7040</v>
      </c>
      <c r="I1472" s="0" t="s">
        <v>3329</v>
      </c>
    </row>
    <row r="1473" customFormat="false" ht="15" hidden="false" customHeight="false" outlineLevel="0" collapsed="false">
      <c r="A1473" s="0" t="s">
        <v>211</v>
      </c>
      <c r="B1473" s="0" t="n">
        <v>2018</v>
      </c>
      <c r="C1473" s="0" t="s">
        <v>71</v>
      </c>
      <c r="D1473" s="0" t="n">
        <v>34.64</v>
      </c>
      <c r="E1473" s="0" t="n">
        <v>1</v>
      </c>
      <c r="F1473" s="0" t="s">
        <v>437</v>
      </c>
      <c r="G1473" s="0" t="s">
        <v>7040</v>
      </c>
      <c r="I1473" s="0" t="s">
        <v>3339</v>
      </c>
    </row>
    <row r="1474" customFormat="false" ht="15" hidden="false" customHeight="false" outlineLevel="0" collapsed="false">
      <c r="A1474" s="0" t="s">
        <v>211</v>
      </c>
      <c r="B1474" s="0" t="n">
        <v>2018</v>
      </c>
      <c r="C1474" s="0" t="s">
        <v>73</v>
      </c>
      <c r="D1474" s="0" t="n">
        <v>0</v>
      </c>
      <c r="E1474" s="0" t="n">
        <v>1</v>
      </c>
      <c r="F1474" s="0" t="s">
        <v>437</v>
      </c>
      <c r="G1474" s="0" t="s">
        <v>7040</v>
      </c>
      <c r="I1474" s="0" t="s">
        <v>3331</v>
      </c>
    </row>
    <row r="1475" customFormat="false" ht="15" hidden="false" customHeight="false" outlineLevel="0" collapsed="false">
      <c r="A1475" s="0" t="s">
        <v>211</v>
      </c>
      <c r="B1475" s="0" t="n">
        <v>2019</v>
      </c>
      <c r="C1475" s="0" t="s">
        <v>54</v>
      </c>
      <c r="D1475" s="0" t="n">
        <v>5210.748</v>
      </c>
      <c r="E1475" s="0" t="n">
        <v>1</v>
      </c>
      <c r="F1475" s="0" t="s">
        <v>437</v>
      </c>
      <c r="G1475" s="0" t="s">
        <v>7040</v>
      </c>
      <c r="I1475" s="0" t="s">
        <v>3801</v>
      </c>
    </row>
    <row r="1476" customFormat="false" ht="15" hidden="false" customHeight="false" outlineLevel="0" collapsed="false">
      <c r="A1476" s="0" t="s">
        <v>211</v>
      </c>
      <c r="B1476" s="0" t="n">
        <v>2019</v>
      </c>
      <c r="C1476" s="0" t="s">
        <v>55</v>
      </c>
      <c r="D1476" s="0" t="n">
        <v>704955.604</v>
      </c>
      <c r="E1476" s="0" t="n">
        <v>1</v>
      </c>
      <c r="F1476" s="0" t="s">
        <v>437</v>
      </c>
      <c r="G1476" s="0" t="s">
        <v>7040</v>
      </c>
      <c r="I1476" s="0" t="s">
        <v>3808</v>
      </c>
    </row>
    <row r="1477" customFormat="false" ht="15" hidden="false" customHeight="false" outlineLevel="0" collapsed="false">
      <c r="A1477" s="0" t="s">
        <v>211</v>
      </c>
      <c r="B1477" s="0" t="n">
        <v>2019</v>
      </c>
      <c r="C1477" s="0" t="s">
        <v>56</v>
      </c>
      <c r="D1477" s="0" t="n">
        <v>649598.753</v>
      </c>
      <c r="E1477" s="0" t="n">
        <v>1</v>
      </c>
      <c r="F1477" s="0" t="s">
        <v>437</v>
      </c>
      <c r="G1477" s="0" t="s">
        <v>7040</v>
      </c>
      <c r="I1477" s="0" t="s">
        <v>3809</v>
      </c>
    </row>
    <row r="1478" customFormat="false" ht="15" hidden="false" customHeight="false" outlineLevel="0" collapsed="false">
      <c r="A1478" s="0" t="s">
        <v>211</v>
      </c>
      <c r="B1478" s="0" t="n">
        <v>2019</v>
      </c>
      <c r="C1478" s="0" t="s">
        <v>57</v>
      </c>
      <c r="D1478" s="0" t="n">
        <v>55356.851</v>
      </c>
      <c r="E1478" s="0" t="n">
        <v>1</v>
      </c>
      <c r="F1478" s="0" t="s">
        <v>437</v>
      </c>
      <c r="G1478" s="0" t="s">
        <v>7040</v>
      </c>
      <c r="I1478" s="0" t="s">
        <v>3810</v>
      </c>
    </row>
    <row r="1479" customFormat="false" ht="15" hidden="false" customHeight="false" outlineLevel="0" collapsed="false">
      <c r="A1479" s="0" t="s">
        <v>211</v>
      </c>
      <c r="B1479" s="0" t="n">
        <v>2019</v>
      </c>
      <c r="C1479" s="0" t="s">
        <v>58</v>
      </c>
      <c r="D1479" s="0" t="n">
        <v>107380.822</v>
      </c>
      <c r="E1479" s="0" t="n">
        <v>1</v>
      </c>
      <c r="F1479" s="0" t="s">
        <v>437</v>
      </c>
      <c r="G1479" s="0" t="s">
        <v>7040</v>
      </c>
      <c r="I1479" s="0" t="s">
        <v>3813</v>
      </c>
    </row>
    <row r="1480" customFormat="false" ht="15" hidden="false" customHeight="false" outlineLevel="0" collapsed="false">
      <c r="A1480" s="0" t="s">
        <v>211</v>
      </c>
      <c r="B1480" s="0" t="n">
        <v>2019</v>
      </c>
      <c r="C1480" s="0" t="s">
        <v>59</v>
      </c>
      <c r="D1480" s="0" t="n">
        <v>477915.742</v>
      </c>
      <c r="E1480" s="0" t="n">
        <v>1</v>
      </c>
      <c r="F1480" s="0" t="s">
        <v>437</v>
      </c>
      <c r="G1480" s="0" t="s">
        <v>7041</v>
      </c>
      <c r="I1480" s="0" t="s">
        <v>3351</v>
      </c>
    </row>
    <row r="1481" customFormat="false" ht="15" hidden="false" customHeight="false" outlineLevel="0" collapsed="false">
      <c r="A1481" s="0" t="s">
        <v>211</v>
      </c>
      <c r="B1481" s="0" t="n">
        <v>2019</v>
      </c>
      <c r="C1481" s="0" t="s">
        <v>60</v>
      </c>
      <c r="D1481" s="0" t="n">
        <v>301368.302</v>
      </c>
      <c r="E1481" s="0" t="n">
        <v>1</v>
      </c>
      <c r="F1481" s="0" t="s">
        <v>437</v>
      </c>
      <c r="G1481" s="0" t="s">
        <v>7040</v>
      </c>
      <c r="I1481" s="0" t="s">
        <v>3840</v>
      </c>
    </row>
    <row r="1482" customFormat="false" ht="15" hidden="false" customHeight="false" outlineLevel="0" collapsed="false">
      <c r="A1482" s="0" t="s">
        <v>211</v>
      </c>
      <c r="B1482" s="0" t="n">
        <v>2019</v>
      </c>
      <c r="C1482" s="0" t="s">
        <v>61</v>
      </c>
      <c r="D1482" s="0" t="n">
        <v>12128.432</v>
      </c>
      <c r="E1482" s="0" t="n">
        <v>1</v>
      </c>
      <c r="F1482" s="0" t="s">
        <v>437</v>
      </c>
      <c r="G1482" s="0" t="s">
        <v>7040</v>
      </c>
      <c r="I1482" s="0" t="s">
        <v>3841</v>
      </c>
    </row>
    <row r="1483" customFormat="false" ht="15" hidden="false" customHeight="false" outlineLevel="0" collapsed="false">
      <c r="A1483" s="0" t="s">
        <v>211</v>
      </c>
      <c r="B1483" s="0" t="n">
        <v>2019</v>
      </c>
      <c r="C1483" s="0" t="s">
        <v>62</v>
      </c>
      <c r="D1483" s="0" t="n">
        <v>289239.87</v>
      </c>
      <c r="E1483" s="0" t="n">
        <v>1</v>
      </c>
      <c r="F1483" s="0" t="s">
        <v>437</v>
      </c>
      <c r="G1483" s="0" t="s">
        <v>7040</v>
      </c>
      <c r="I1483" s="0" t="s">
        <v>3811</v>
      </c>
    </row>
    <row r="1484" customFormat="false" ht="15" hidden="false" customHeight="false" outlineLevel="0" collapsed="false">
      <c r="A1484" s="0" t="s">
        <v>211</v>
      </c>
      <c r="B1484" s="0" t="n">
        <v>2019</v>
      </c>
      <c r="C1484" s="0" t="s">
        <v>63</v>
      </c>
      <c r="D1484" s="0" t="n">
        <v>6130.6</v>
      </c>
      <c r="E1484" s="0" t="n">
        <v>1</v>
      </c>
      <c r="F1484" s="0" t="s">
        <v>437</v>
      </c>
      <c r="G1484" s="0" t="s">
        <v>7040</v>
      </c>
      <c r="I1484" s="0" t="s">
        <v>3803</v>
      </c>
    </row>
    <row r="1485" customFormat="false" ht="15" hidden="false" customHeight="false" outlineLevel="0" collapsed="false">
      <c r="A1485" s="0" t="s">
        <v>211</v>
      </c>
      <c r="B1485" s="0" t="n">
        <v>2019</v>
      </c>
      <c r="C1485" s="0" t="s">
        <v>69</v>
      </c>
      <c r="D1485" s="0" t="n">
        <v>13.6</v>
      </c>
      <c r="E1485" s="0" t="n">
        <v>1</v>
      </c>
      <c r="F1485" s="0" t="s">
        <v>437</v>
      </c>
      <c r="G1485" s="0" t="s">
        <v>7040</v>
      </c>
      <c r="I1485" s="0" t="s">
        <v>3852</v>
      </c>
    </row>
    <row r="1486" customFormat="false" ht="15" hidden="false" customHeight="false" outlineLevel="0" collapsed="false">
      <c r="A1486" s="0" t="s">
        <v>211</v>
      </c>
      <c r="B1486" s="0" t="n">
        <v>2019</v>
      </c>
      <c r="C1486" s="0" t="s">
        <v>65</v>
      </c>
      <c r="D1486" s="0" t="n">
        <v>33853.301</v>
      </c>
      <c r="E1486" s="0" t="n">
        <v>1</v>
      </c>
      <c r="F1486" s="0" t="s">
        <v>437</v>
      </c>
      <c r="G1486" s="0" t="s">
        <v>7040</v>
      </c>
      <c r="I1486" s="0" t="s">
        <v>3850</v>
      </c>
    </row>
    <row r="1487" customFormat="false" ht="15" hidden="false" customHeight="false" outlineLevel="0" collapsed="false">
      <c r="A1487" s="0" t="s">
        <v>211</v>
      </c>
      <c r="B1487" s="0" t="n">
        <v>2019</v>
      </c>
      <c r="C1487" s="0" t="s">
        <v>66</v>
      </c>
      <c r="D1487" s="0" t="n">
        <v>248951.162</v>
      </c>
      <c r="E1487" s="0" t="n">
        <v>1</v>
      </c>
      <c r="F1487" s="0" t="s">
        <v>437</v>
      </c>
      <c r="G1487" s="0" t="s">
        <v>7040</v>
      </c>
      <c r="I1487" s="0" t="s">
        <v>3851</v>
      </c>
    </row>
    <row r="1488" customFormat="false" ht="15" hidden="false" customHeight="false" outlineLevel="0" collapsed="false">
      <c r="A1488" s="0" t="s">
        <v>211</v>
      </c>
      <c r="B1488" s="0" t="n">
        <v>2019</v>
      </c>
      <c r="C1488" s="0" t="s">
        <v>68</v>
      </c>
      <c r="D1488" s="0" t="n">
        <v>4646.11</v>
      </c>
      <c r="E1488" s="0" t="n">
        <v>1</v>
      </c>
      <c r="F1488" s="0" t="s">
        <v>437</v>
      </c>
      <c r="G1488" s="0" t="s">
        <v>7040</v>
      </c>
      <c r="I1488" s="0" t="s">
        <v>3842</v>
      </c>
    </row>
    <row r="1489" customFormat="false" ht="15" hidden="false" customHeight="false" outlineLevel="0" collapsed="false">
      <c r="A1489" s="0" t="s">
        <v>211</v>
      </c>
      <c r="B1489" s="0" t="n">
        <v>2019</v>
      </c>
      <c r="C1489" s="0" t="s">
        <v>541</v>
      </c>
      <c r="D1489" s="0" t="n">
        <v>6770.828</v>
      </c>
      <c r="E1489" s="0" t="n">
        <v>1</v>
      </c>
      <c r="F1489" s="0" t="s">
        <v>437</v>
      </c>
      <c r="G1489" s="0" t="s">
        <v>7040</v>
      </c>
      <c r="I1489" s="0" t="s">
        <v>3802</v>
      </c>
    </row>
    <row r="1490" customFormat="false" ht="15" hidden="false" customHeight="false" outlineLevel="0" collapsed="false">
      <c r="A1490" s="0" t="s">
        <v>211</v>
      </c>
      <c r="B1490" s="0" t="n">
        <v>2020</v>
      </c>
      <c r="C1490" s="0" t="s">
        <v>54</v>
      </c>
      <c r="D1490" s="0" t="n">
        <v>4592.217</v>
      </c>
      <c r="E1490" s="0" t="n">
        <v>1</v>
      </c>
      <c r="F1490" s="0" t="s">
        <v>437</v>
      </c>
      <c r="G1490" s="0" t="s">
        <v>7040</v>
      </c>
      <c r="I1490" s="0" t="s">
        <v>3798</v>
      </c>
    </row>
    <row r="1491" customFormat="false" ht="15" hidden="false" customHeight="false" outlineLevel="0" collapsed="false">
      <c r="A1491" s="0" t="s">
        <v>211</v>
      </c>
      <c r="B1491" s="0" t="n">
        <v>2020</v>
      </c>
      <c r="C1491" s="0" t="s">
        <v>55</v>
      </c>
      <c r="D1491" s="0" t="n">
        <v>968582.084</v>
      </c>
      <c r="E1491" s="0" t="n">
        <v>1</v>
      </c>
      <c r="F1491" s="0" t="s">
        <v>437</v>
      </c>
      <c r="G1491" s="0" t="s">
        <v>7040</v>
      </c>
      <c r="I1491" s="0" t="s">
        <v>3804</v>
      </c>
    </row>
    <row r="1492" customFormat="false" ht="15" hidden="false" customHeight="false" outlineLevel="0" collapsed="false">
      <c r="A1492" s="0" t="s">
        <v>211</v>
      </c>
      <c r="B1492" s="0" t="n">
        <v>2020</v>
      </c>
      <c r="C1492" s="0" t="s">
        <v>56</v>
      </c>
      <c r="D1492" s="0" t="n">
        <v>909229.251</v>
      </c>
      <c r="E1492" s="0" t="n">
        <v>1</v>
      </c>
      <c r="F1492" s="0" t="s">
        <v>437</v>
      </c>
      <c r="G1492" s="0" t="s">
        <v>7040</v>
      </c>
      <c r="I1492" s="0" t="s">
        <v>3805</v>
      </c>
    </row>
    <row r="1493" customFormat="false" ht="15" hidden="false" customHeight="false" outlineLevel="0" collapsed="false">
      <c r="A1493" s="0" t="s">
        <v>211</v>
      </c>
      <c r="B1493" s="0" t="n">
        <v>2020</v>
      </c>
      <c r="C1493" s="0" t="s">
        <v>57</v>
      </c>
      <c r="D1493" s="0" t="n">
        <v>59352.833</v>
      </c>
      <c r="E1493" s="0" t="n">
        <v>1</v>
      </c>
      <c r="F1493" s="0" t="s">
        <v>437</v>
      </c>
      <c r="G1493" s="0" t="s">
        <v>7040</v>
      </c>
      <c r="I1493" s="0" t="s">
        <v>3806</v>
      </c>
    </row>
    <row r="1494" customFormat="false" ht="15" hidden="false" customHeight="false" outlineLevel="0" collapsed="false">
      <c r="A1494" s="0" t="s">
        <v>211</v>
      </c>
      <c r="B1494" s="0" t="n">
        <v>2020</v>
      </c>
      <c r="C1494" s="0" t="s">
        <v>58</v>
      </c>
      <c r="D1494" s="0" t="n">
        <v>46804.348</v>
      </c>
      <c r="E1494" s="0" t="n">
        <v>1</v>
      </c>
      <c r="F1494" s="0" t="s">
        <v>437</v>
      </c>
      <c r="G1494" s="0" t="s">
        <v>7040</v>
      </c>
      <c r="I1494" s="0" t="s">
        <v>3812</v>
      </c>
    </row>
    <row r="1495" customFormat="false" ht="15" hidden="false" customHeight="false" outlineLevel="0" collapsed="false">
      <c r="A1495" s="0" t="s">
        <v>211</v>
      </c>
      <c r="B1495" s="0" t="n">
        <v>2020</v>
      </c>
      <c r="C1495" s="0" t="s">
        <v>59</v>
      </c>
      <c r="D1495" s="0" t="n">
        <v>704955.604</v>
      </c>
      <c r="E1495" s="0" t="n">
        <v>1</v>
      </c>
      <c r="F1495" s="0" t="s">
        <v>437</v>
      </c>
      <c r="G1495" s="0" t="s">
        <v>7041</v>
      </c>
      <c r="I1495" s="0" t="s">
        <v>3808</v>
      </c>
    </row>
    <row r="1496" customFormat="false" ht="15" hidden="false" customHeight="false" outlineLevel="0" collapsed="false">
      <c r="A1496" s="0" t="s">
        <v>211</v>
      </c>
      <c r="B1496" s="0" t="n">
        <v>2020</v>
      </c>
      <c r="C1496" s="0" t="s">
        <v>60</v>
      </c>
      <c r="D1496" s="0" t="n">
        <v>375039.658</v>
      </c>
      <c r="E1496" s="0" t="n">
        <v>1</v>
      </c>
      <c r="F1496" s="0" t="s">
        <v>437</v>
      </c>
      <c r="G1496" s="0" t="s">
        <v>7040</v>
      </c>
      <c r="I1496" s="0" t="s">
        <v>3836</v>
      </c>
    </row>
    <row r="1497" customFormat="false" ht="15" hidden="false" customHeight="false" outlineLevel="0" collapsed="false">
      <c r="A1497" s="0" t="s">
        <v>211</v>
      </c>
      <c r="B1497" s="0" t="n">
        <v>2020</v>
      </c>
      <c r="C1497" s="0" t="s">
        <v>61</v>
      </c>
      <c r="D1497" s="0" t="n">
        <v>14963.578</v>
      </c>
      <c r="E1497" s="0" t="n">
        <v>1</v>
      </c>
      <c r="F1497" s="0" t="s">
        <v>437</v>
      </c>
      <c r="G1497" s="0" t="s">
        <v>7040</v>
      </c>
      <c r="I1497" s="0" t="s">
        <v>3838</v>
      </c>
    </row>
    <row r="1498" customFormat="false" ht="15" hidden="false" customHeight="false" outlineLevel="0" collapsed="false">
      <c r="A1498" s="0" t="s">
        <v>211</v>
      </c>
      <c r="B1498" s="0" t="n">
        <v>2020</v>
      </c>
      <c r="C1498" s="0" t="s">
        <v>62</v>
      </c>
      <c r="D1498" s="0" t="n">
        <v>360076.079</v>
      </c>
      <c r="E1498" s="0" t="n">
        <v>1</v>
      </c>
      <c r="F1498" s="0" t="s">
        <v>437</v>
      </c>
      <c r="G1498" s="0" t="s">
        <v>7040</v>
      </c>
      <c r="I1498" s="0" t="s">
        <v>3807</v>
      </c>
    </row>
    <row r="1499" customFormat="false" ht="15" hidden="false" customHeight="false" outlineLevel="0" collapsed="false">
      <c r="A1499" s="0" t="s">
        <v>211</v>
      </c>
      <c r="B1499" s="0" t="n">
        <v>2020</v>
      </c>
      <c r="C1499" s="0" t="s">
        <v>63</v>
      </c>
      <c r="D1499" s="0" t="n">
        <v>5635.165</v>
      </c>
      <c r="E1499" s="0" t="n">
        <v>1</v>
      </c>
      <c r="F1499" s="0" t="s">
        <v>437</v>
      </c>
      <c r="G1499" s="0" t="s">
        <v>7040</v>
      </c>
      <c r="I1499" s="0" t="s">
        <v>3800</v>
      </c>
    </row>
    <row r="1500" customFormat="false" ht="15" hidden="false" customHeight="false" outlineLevel="0" collapsed="false">
      <c r="A1500" s="0" t="s">
        <v>211</v>
      </c>
      <c r="B1500" s="0" t="n">
        <v>2020</v>
      </c>
      <c r="C1500" s="0" t="s">
        <v>69</v>
      </c>
      <c r="D1500" s="0" t="n">
        <v>15.01</v>
      </c>
      <c r="E1500" s="0" t="n">
        <v>1</v>
      </c>
      <c r="F1500" s="0" t="s">
        <v>437</v>
      </c>
      <c r="G1500" s="0" t="s">
        <v>7040</v>
      </c>
      <c r="I1500" s="0" t="s">
        <v>3849</v>
      </c>
    </row>
    <row r="1501" customFormat="false" ht="15" hidden="false" customHeight="false" outlineLevel="0" collapsed="false">
      <c r="A1501" s="0" t="s">
        <v>211</v>
      </c>
      <c r="B1501" s="0" t="n">
        <v>2020</v>
      </c>
      <c r="C1501" s="0" t="s">
        <v>65</v>
      </c>
      <c r="D1501" s="0" t="n">
        <v>41760.881</v>
      </c>
      <c r="E1501" s="0" t="n">
        <v>1</v>
      </c>
      <c r="F1501" s="0" t="s">
        <v>437</v>
      </c>
      <c r="G1501" s="0" t="s">
        <v>7040</v>
      </c>
      <c r="I1501" s="0" t="s">
        <v>3846</v>
      </c>
    </row>
    <row r="1502" customFormat="false" ht="15" hidden="false" customHeight="false" outlineLevel="0" collapsed="false">
      <c r="A1502" s="0" t="s">
        <v>211</v>
      </c>
      <c r="B1502" s="0" t="n">
        <v>2020</v>
      </c>
      <c r="C1502" s="0" t="s">
        <v>66</v>
      </c>
      <c r="D1502" s="0" t="n">
        <v>278133.743</v>
      </c>
      <c r="E1502" s="0" t="n">
        <v>1</v>
      </c>
      <c r="F1502" s="0" t="s">
        <v>437</v>
      </c>
      <c r="G1502" s="0" t="s">
        <v>7040</v>
      </c>
      <c r="I1502" s="0" t="s">
        <v>3848</v>
      </c>
    </row>
    <row r="1503" customFormat="false" ht="15" hidden="false" customHeight="false" outlineLevel="0" collapsed="false">
      <c r="A1503" s="0" t="s">
        <v>211</v>
      </c>
      <c r="B1503" s="0" t="n">
        <v>2020</v>
      </c>
      <c r="C1503" s="0" t="s">
        <v>73</v>
      </c>
      <c r="D1503" s="0" t="n">
        <v>0</v>
      </c>
      <c r="E1503" s="0" t="n">
        <v>1</v>
      </c>
      <c r="F1503" s="0" t="s">
        <v>437</v>
      </c>
      <c r="G1503" s="0" t="s">
        <v>7040</v>
      </c>
      <c r="I1503" s="0" t="s">
        <v>369</v>
      </c>
    </row>
    <row r="1504" customFormat="false" ht="15" hidden="false" customHeight="false" outlineLevel="0" collapsed="false">
      <c r="A1504" s="0" t="s">
        <v>211</v>
      </c>
      <c r="B1504" s="0" t="n">
        <v>2020</v>
      </c>
      <c r="C1504" s="0" t="s">
        <v>68</v>
      </c>
      <c r="D1504" s="0" t="n">
        <v>5411.37</v>
      </c>
      <c r="E1504" s="0" t="n">
        <v>1</v>
      </c>
      <c r="F1504" s="0" t="s">
        <v>437</v>
      </c>
      <c r="G1504" s="0" t="s">
        <v>7040</v>
      </c>
      <c r="I1504" s="0" t="s">
        <v>3839</v>
      </c>
    </row>
    <row r="1505" customFormat="false" ht="15" hidden="false" customHeight="false" outlineLevel="0" collapsed="false">
      <c r="A1505" s="0" t="s">
        <v>211</v>
      </c>
      <c r="B1505" s="0" t="n">
        <v>2020</v>
      </c>
      <c r="C1505" s="0" t="s">
        <v>541</v>
      </c>
      <c r="D1505" s="0" t="n">
        <v>5946.523</v>
      </c>
      <c r="E1505" s="0" t="n">
        <v>1</v>
      </c>
      <c r="F1505" s="0" t="s">
        <v>437</v>
      </c>
      <c r="G1505" s="0" t="s">
        <v>7040</v>
      </c>
      <c r="I1505" s="0" t="s">
        <v>3799</v>
      </c>
    </row>
    <row r="1506" customFormat="false" ht="15" hidden="false" customHeight="false" outlineLevel="0" collapsed="false">
      <c r="A1506" s="0" t="s">
        <v>211</v>
      </c>
      <c r="B1506" s="0" t="n">
        <v>2021</v>
      </c>
      <c r="C1506" s="0" t="s">
        <v>54</v>
      </c>
      <c r="D1506" s="0" t="n">
        <v>8933.202</v>
      </c>
      <c r="E1506" s="0" t="n">
        <v>1</v>
      </c>
      <c r="F1506" s="0" t="s">
        <v>437</v>
      </c>
      <c r="G1506" s="0" t="s">
        <v>7040</v>
      </c>
      <c r="I1506" s="0" t="s">
        <v>1491</v>
      </c>
    </row>
    <row r="1507" customFormat="false" ht="15" hidden="false" customHeight="false" outlineLevel="0" collapsed="false">
      <c r="A1507" s="0" t="s">
        <v>211</v>
      </c>
      <c r="B1507" s="0" t="n">
        <v>2021</v>
      </c>
      <c r="C1507" s="0" t="s">
        <v>55</v>
      </c>
      <c r="D1507" s="0" t="n">
        <v>1164517.865</v>
      </c>
      <c r="E1507" s="0" t="n">
        <v>1</v>
      </c>
      <c r="F1507" s="0" t="s">
        <v>437</v>
      </c>
      <c r="G1507" s="0" t="s">
        <v>7040</v>
      </c>
      <c r="I1507" s="0" t="s">
        <v>1492</v>
      </c>
    </row>
    <row r="1508" customFormat="false" ht="15" hidden="false" customHeight="false" outlineLevel="0" collapsed="false">
      <c r="A1508" s="0" t="s">
        <v>211</v>
      </c>
      <c r="B1508" s="0" t="n">
        <v>2021</v>
      </c>
      <c r="C1508" s="0" t="s">
        <v>56</v>
      </c>
      <c r="D1508" s="0" t="n">
        <v>1094153.52</v>
      </c>
      <c r="E1508" s="0" t="n">
        <v>1</v>
      </c>
      <c r="F1508" s="0" t="s">
        <v>437</v>
      </c>
      <c r="G1508" s="0" t="s">
        <v>7040</v>
      </c>
      <c r="I1508" s="0" t="s">
        <v>1493</v>
      </c>
    </row>
    <row r="1509" customFormat="false" ht="15" hidden="false" customHeight="false" outlineLevel="0" collapsed="false">
      <c r="A1509" s="0" t="s">
        <v>211</v>
      </c>
      <c r="B1509" s="0" t="n">
        <v>2021</v>
      </c>
      <c r="C1509" s="0" t="s">
        <v>57</v>
      </c>
      <c r="D1509" s="0" t="n">
        <v>70364.344</v>
      </c>
      <c r="E1509" s="0" t="n">
        <v>1</v>
      </c>
      <c r="F1509" s="0" t="s">
        <v>437</v>
      </c>
      <c r="G1509" s="0" t="s">
        <v>7040</v>
      </c>
      <c r="I1509" s="0" t="s">
        <v>1494</v>
      </c>
    </row>
    <row r="1510" customFormat="false" ht="15" hidden="false" customHeight="false" outlineLevel="0" collapsed="false">
      <c r="A1510" s="0" t="s">
        <v>211</v>
      </c>
      <c r="B1510" s="0" t="n">
        <v>2021</v>
      </c>
      <c r="C1510" s="0" t="s">
        <v>58</v>
      </c>
      <c r="D1510" s="0" t="n">
        <v>9851.888</v>
      </c>
      <c r="E1510" s="0" t="n">
        <v>1</v>
      </c>
      <c r="F1510" s="0" t="s">
        <v>437</v>
      </c>
      <c r="G1510" s="0" t="s">
        <v>7040</v>
      </c>
      <c r="I1510" s="0" t="s">
        <v>1495</v>
      </c>
    </row>
    <row r="1511" customFormat="false" ht="15" hidden="false" customHeight="false" outlineLevel="0" collapsed="false">
      <c r="A1511" s="0" t="s">
        <v>211</v>
      </c>
      <c r="B1511" s="0" t="n">
        <v>2021</v>
      </c>
      <c r="C1511" s="0" t="s">
        <v>59</v>
      </c>
      <c r="D1511" s="0" t="n">
        <v>968582.084</v>
      </c>
      <c r="E1511" s="0" t="n">
        <v>1</v>
      </c>
      <c r="F1511" s="0" t="s">
        <v>437</v>
      </c>
      <c r="G1511" s="0" t="s">
        <v>7040</v>
      </c>
      <c r="I1511" s="0" t="s">
        <v>1496</v>
      </c>
    </row>
    <row r="1512" customFormat="false" ht="15" hidden="false" customHeight="false" outlineLevel="0" collapsed="false">
      <c r="A1512" s="0" t="s">
        <v>211</v>
      </c>
      <c r="B1512" s="0" t="n">
        <v>2021</v>
      </c>
      <c r="C1512" s="0" t="s">
        <v>60</v>
      </c>
      <c r="D1512" s="0" t="n">
        <v>435551.971</v>
      </c>
      <c r="E1512" s="0" t="n">
        <v>1</v>
      </c>
      <c r="F1512" s="0" t="s">
        <v>437</v>
      </c>
      <c r="G1512" s="0" t="s">
        <v>7040</v>
      </c>
      <c r="I1512" s="0" t="s">
        <v>1497</v>
      </c>
    </row>
    <row r="1513" customFormat="false" ht="15" hidden="false" customHeight="false" outlineLevel="0" collapsed="false">
      <c r="A1513" s="0" t="s">
        <v>211</v>
      </c>
      <c r="B1513" s="0" t="n">
        <v>2021</v>
      </c>
      <c r="C1513" s="0" t="s">
        <v>61</v>
      </c>
      <c r="D1513" s="0" t="n">
        <v>16687.668</v>
      </c>
      <c r="E1513" s="0" t="n">
        <v>1</v>
      </c>
      <c r="F1513" s="0" t="s">
        <v>437</v>
      </c>
      <c r="G1513" s="0" t="s">
        <v>7040</v>
      </c>
      <c r="I1513" s="0" t="s">
        <v>1498</v>
      </c>
    </row>
    <row r="1514" customFormat="false" ht="15" hidden="false" customHeight="false" outlineLevel="0" collapsed="false">
      <c r="A1514" s="0" t="s">
        <v>211</v>
      </c>
      <c r="B1514" s="0" t="n">
        <v>2021</v>
      </c>
      <c r="C1514" s="0" t="s">
        <v>62</v>
      </c>
      <c r="D1514" s="0" t="n">
        <v>418864.303</v>
      </c>
      <c r="E1514" s="0" t="n">
        <v>1</v>
      </c>
      <c r="F1514" s="0" t="s">
        <v>437</v>
      </c>
      <c r="G1514" s="0" t="s">
        <v>7040</v>
      </c>
      <c r="I1514" s="0" t="s">
        <v>1499</v>
      </c>
    </row>
    <row r="1515" customFormat="false" ht="15" hidden="false" customHeight="false" outlineLevel="0" collapsed="false">
      <c r="A1515" s="0" t="s">
        <v>211</v>
      </c>
      <c r="B1515" s="0" t="n">
        <v>2021</v>
      </c>
      <c r="C1515" s="0" t="s">
        <v>63</v>
      </c>
      <c r="D1515" s="0" t="n">
        <v>2104.393</v>
      </c>
      <c r="E1515" s="0" t="n">
        <v>1</v>
      </c>
      <c r="F1515" s="0" t="s">
        <v>437</v>
      </c>
      <c r="G1515" s="0" t="s">
        <v>7040</v>
      </c>
      <c r="I1515" s="0" t="s">
        <v>1500</v>
      </c>
    </row>
    <row r="1516" customFormat="false" ht="15" hidden="false" customHeight="false" outlineLevel="0" collapsed="false">
      <c r="A1516" s="0" t="s">
        <v>211</v>
      </c>
      <c r="B1516" s="0" t="n">
        <v>2021</v>
      </c>
      <c r="C1516" s="0" t="s">
        <v>64</v>
      </c>
      <c r="D1516" s="0" t="n">
        <v>21263.336</v>
      </c>
      <c r="E1516" s="0" t="n">
        <v>1</v>
      </c>
      <c r="F1516" s="0" t="s">
        <v>437</v>
      </c>
      <c r="G1516" s="0" t="s">
        <v>7040</v>
      </c>
      <c r="I1516" s="0" t="s">
        <v>1501</v>
      </c>
    </row>
    <row r="1517" customFormat="false" ht="15" hidden="false" customHeight="false" outlineLevel="0" collapsed="false">
      <c r="A1517" s="0" t="s">
        <v>211</v>
      </c>
      <c r="B1517" s="0" t="n">
        <v>2021</v>
      </c>
      <c r="C1517" s="0" t="s">
        <v>69</v>
      </c>
      <c r="D1517" s="0" t="n">
        <v>11.71</v>
      </c>
      <c r="E1517" s="0" t="n">
        <v>1</v>
      </c>
      <c r="F1517" s="0" t="s">
        <v>437</v>
      </c>
      <c r="G1517" s="0" t="s">
        <v>7040</v>
      </c>
      <c r="I1517" s="0" t="s">
        <v>1503</v>
      </c>
    </row>
    <row r="1518" customFormat="false" ht="15" hidden="false" customHeight="false" outlineLevel="0" collapsed="false">
      <c r="A1518" s="0" t="s">
        <v>211</v>
      </c>
      <c r="B1518" s="0" t="n">
        <v>2021</v>
      </c>
      <c r="C1518" s="0" t="s">
        <v>65</v>
      </c>
      <c r="D1518" s="0" t="n">
        <v>40009.725</v>
      </c>
      <c r="E1518" s="0" t="n">
        <v>1</v>
      </c>
      <c r="F1518" s="0" t="s">
        <v>437</v>
      </c>
      <c r="G1518" s="0" t="s">
        <v>7040</v>
      </c>
      <c r="I1518" s="0" t="s">
        <v>1504</v>
      </c>
    </row>
    <row r="1519" customFormat="false" ht="15" hidden="false" customHeight="false" outlineLevel="0" collapsed="false">
      <c r="A1519" s="0" t="s">
        <v>211</v>
      </c>
      <c r="B1519" s="0" t="n">
        <v>2021</v>
      </c>
      <c r="C1519" s="0" t="s">
        <v>66</v>
      </c>
      <c r="D1519" s="0" t="n">
        <v>346012.969</v>
      </c>
      <c r="E1519" s="0" t="n">
        <v>1</v>
      </c>
      <c r="F1519" s="0" t="s">
        <v>437</v>
      </c>
      <c r="G1519" s="0" t="s">
        <v>7040</v>
      </c>
      <c r="I1519" s="0" t="s">
        <v>1505</v>
      </c>
    </row>
    <row r="1520" customFormat="false" ht="15" hidden="false" customHeight="false" outlineLevel="0" collapsed="false">
      <c r="A1520" s="0" t="s">
        <v>211</v>
      </c>
      <c r="B1520" s="0" t="n">
        <v>2021</v>
      </c>
      <c r="C1520" s="0" t="s">
        <v>68</v>
      </c>
      <c r="D1520" s="0" t="n">
        <v>11225.979</v>
      </c>
      <c r="E1520" s="0" t="n">
        <v>1</v>
      </c>
      <c r="F1520" s="0" t="s">
        <v>437</v>
      </c>
      <c r="G1520" s="0" t="s">
        <v>7040</v>
      </c>
      <c r="I1520" s="0" t="s">
        <v>1506</v>
      </c>
    </row>
    <row r="1521" customFormat="false" ht="15" hidden="false" customHeight="false" outlineLevel="0" collapsed="false">
      <c r="A1521" s="0" t="s">
        <v>211</v>
      </c>
      <c r="B1521" s="0" t="n">
        <v>2021</v>
      </c>
      <c r="C1521" s="0" t="s">
        <v>541</v>
      </c>
      <c r="D1521" s="0" t="n">
        <v>12384.142</v>
      </c>
      <c r="E1521" s="0" t="n">
        <v>1</v>
      </c>
      <c r="F1521" s="0" t="s">
        <v>437</v>
      </c>
      <c r="G1521" s="0" t="s">
        <v>7040</v>
      </c>
      <c r="I1521" s="0" t="s">
        <v>1507</v>
      </c>
    </row>
    <row r="1522" customFormat="false" ht="15" hidden="false" customHeight="false" outlineLevel="0" collapsed="false">
      <c r="A1522" s="0" t="s">
        <v>211</v>
      </c>
      <c r="B1522" s="0" t="n">
        <v>2022</v>
      </c>
      <c r="C1522" s="0" t="s">
        <v>54</v>
      </c>
      <c r="D1522" s="0" t="n">
        <v>11214.027</v>
      </c>
      <c r="E1522" s="0" t="n">
        <v>1</v>
      </c>
      <c r="F1522" s="0" t="s">
        <v>437</v>
      </c>
      <c r="G1522" s="0" t="s">
        <v>7040</v>
      </c>
      <c r="I1522" s="0" t="s">
        <v>3814</v>
      </c>
    </row>
    <row r="1523" customFormat="false" ht="15" hidden="false" customHeight="false" outlineLevel="0" collapsed="false">
      <c r="A1523" s="0" t="s">
        <v>211</v>
      </c>
      <c r="B1523" s="0" t="n">
        <v>2022</v>
      </c>
      <c r="C1523" s="0" t="s">
        <v>55</v>
      </c>
      <c r="D1523" s="0" t="n">
        <v>1433703.656</v>
      </c>
      <c r="E1523" s="0" t="n">
        <v>1</v>
      </c>
      <c r="F1523" s="0" t="s">
        <v>437</v>
      </c>
      <c r="G1523" s="0" t="s">
        <v>7040</v>
      </c>
      <c r="I1523" s="0" t="s">
        <v>3819</v>
      </c>
    </row>
    <row r="1524" customFormat="false" ht="15" hidden="false" customHeight="false" outlineLevel="0" collapsed="false">
      <c r="A1524" s="0" t="s">
        <v>211</v>
      </c>
      <c r="B1524" s="0" t="n">
        <v>2022</v>
      </c>
      <c r="C1524" s="0" t="s">
        <v>56</v>
      </c>
      <c r="D1524" s="0" t="n">
        <v>1351080.98</v>
      </c>
      <c r="E1524" s="0" t="n">
        <v>1</v>
      </c>
      <c r="F1524" s="0" t="s">
        <v>437</v>
      </c>
      <c r="G1524" s="0" t="s">
        <v>7040</v>
      </c>
      <c r="I1524" s="0" t="s">
        <v>3820</v>
      </c>
    </row>
    <row r="1525" customFormat="false" ht="15" hidden="false" customHeight="false" outlineLevel="0" collapsed="false">
      <c r="A1525" s="0" t="s">
        <v>211</v>
      </c>
      <c r="B1525" s="0" t="n">
        <v>2022</v>
      </c>
      <c r="C1525" s="0" t="s">
        <v>57</v>
      </c>
      <c r="D1525" s="0" t="n">
        <v>82622.676</v>
      </c>
      <c r="E1525" s="0" t="n">
        <v>1</v>
      </c>
      <c r="F1525" s="0" t="s">
        <v>437</v>
      </c>
      <c r="G1525" s="0" t="s">
        <v>7040</v>
      </c>
      <c r="I1525" s="0" t="s">
        <v>3821</v>
      </c>
    </row>
    <row r="1526" customFormat="false" ht="15" hidden="false" customHeight="false" outlineLevel="0" collapsed="false">
      <c r="A1526" s="0" t="s">
        <v>211</v>
      </c>
      <c r="B1526" s="0" t="n">
        <v>2022</v>
      </c>
      <c r="C1526" s="0" t="s">
        <v>58</v>
      </c>
      <c r="D1526" s="0" t="n">
        <v>179324.77</v>
      </c>
      <c r="E1526" s="0" t="n">
        <v>1</v>
      </c>
      <c r="F1526" s="0" t="s">
        <v>437</v>
      </c>
      <c r="G1526" s="0" t="s">
        <v>7040</v>
      </c>
      <c r="I1526" s="0" t="s">
        <v>3823</v>
      </c>
    </row>
    <row r="1527" customFormat="false" ht="15" hidden="false" customHeight="false" outlineLevel="0" collapsed="false">
      <c r="A1527" s="0" t="s">
        <v>211</v>
      </c>
      <c r="B1527" s="0" t="n">
        <v>2022</v>
      </c>
      <c r="C1527" s="0" t="s">
        <v>60</v>
      </c>
      <c r="D1527" s="0" t="n">
        <v>539372.013</v>
      </c>
      <c r="E1527" s="0" t="n">
        <v>1</v>
      </c>
      <c r="F1527" s="0" t="s">
        <v>437</v>
      </c>
      <c r="G1527" s="0" t="s">
        <v>7040</v>
      </c>
      <c r="I1527" s="0" t="s">
        <v>3843</v>
      </c>
    </row>
    <row r="1528" customFormat="false" ht="15" hidden="false" customHeight="false" outlineLevel="0" collapsed="false">
      <c r="A1528" s="0" t="s">
        <v>211</v>
      </c>
      <c r="B1528" s="0" t="n">
        <v>2022</v>
      </c>
      <c r="C1528" s="0" t="s">
        <v>61</v>
      </c>
      <c r="D1528" s="0" t="n">
        <v>17941.317</v>
      </c>
      <c r="E1528" s="0" t="n">
        <v>1</v>
      </c>
      <c r="F1528" s="0" t="s">
        <v>437</v>
      </c>
      <c r="G1528" s="0" t="s">
        <v>7040</v>
      </c>
      <c r="I1528" s="0" t="s">
        <v>3844</v>
      </c>
    </row>
    <row r="1529" customFormat="false" ht="15" hidden="false" customHeight="false" outlineLevel="0" collapsed="false">
      <c r="A1529" s="0" t="s">
        <v>211</v>
      </c>
      <c r="B1529" s="0" t="n">
        <v>2022</v>
      </c>
      <c r="C1529" s="0" t="s">
        <v>62</v>
      </c>
      <c r="D1529" s="0" t="n">
        <v>521430.696</v>
      </c>
      <c r="E1529" s="0" t="n">
        <v>1</v>
      </c>
      <c r="F1529" s="0" t="s">
        <v>437</v>
      </c>
      <c r="G1529" s="0" t="s">
        <v>7040</v>
      </c>
      <c r="I1529" s="0" t="s">
        <v>3822</v>
      </c>
    </row>
    <row r="1530" customFormat="false" ht="15" hidden="false" customHeight="false" outlineLevel="0" collapsed="false">
      <c r="A1530" s="0" t="s">
        <v>211</v>
      </c>
      <c r="B1530" s="0" t="n">
        <v>2022</v>
      </c>
      <c r="C1530" s="0" t="s">
        <v>63</v>
      </c>
      <c r="D1530" s="0" t="n">
        <v>4762.274</v>
      </c>
      <c r="E1530" s="0" t="n">
        <v>1</v>
      </c>
      <c r="F1530" s="0" t="s">
        <v>437</v>
      </c>
      <c r="G1530" s="0" t="s">
        <v>7040</v>
      </c>
      <c r="H1530" s="0" t="s">
        <v>7062</v>
      </c>
      <c r="I1530" s="0" t="s">
        <v>3818</v>
      </c>
    </row>
    <row r="1531" customFormat="false" ht="15" hidden="false" customHeight="false" outlineLevel="0" collapsed="false">
      <c r="A1531" s="0" t="s">
        <v>211</v>
      </c>
      <c r="B1531" s="0" t="n">
        <v>2022</v>
      </c>
      <c r="C1531" s="0" t="s">
        <v>69</v>
      </c>
      <c r="D1531" s="0" t="n">
        <v>12.74</v>
      </c>
      <c r="E1531" s="0" t="n">
        <v>1</v>
      </c>
      <c r="F1531" s="0" t="s">
        <v>437</v>
      </c>
      <c r="G1531" s="0" t="s">
        <v>7040</v>
      </c>
      <c r="I1531" s="0" t="s">
        <v>3856</v>
      </c>
    </row>
    <row r="1532" customFormat="false" ht="15" hidden="false" customHeight="false" outlineLevel="0" collapsed="false">
      <c r="A1532" s="0" t="s">
        <v>211</v>
      </c>
      <c r="B1532" s="0" t="n">
        <v>2022</v>
      </c>
      <c r="C1532" s="0" t="s">
        <v>65</v>
      </c>
      <c r="D1532" s="0" t="n">
        <v>59144.646</v>
      </c>
      <c r="E1532" s="0" t="n">
        <v>1</v>
      </c>
      <c r="F1532" s="0" t="s">
        <v>437</v>
      </c>
      <c r="G1532" s="0" t="s">
        <v>7040</v>
      </c>
      <c r="I1532" s="0" t="s">
        <v>3853</v>
      </c>
    </row>
    <row r="1533" customFormat="false" ht="15" hidden="false" customHeight="false" outlineLevel="0" collapsed="false">
      <c r="A1533" s="0" t="s">
        <v>211</v>
      </c>
      <c r="B1533" s="0" t="n">
        <v>2022</v>
      </c>
      <c r="C1533" s="0" t="s">
        <v>66</v>
      </c>
      <c r="D1533" s="0" t="n">
        <v>464338.153</v>
      </c>
      <c r="E1533" s="0" t="n">
        <v>1</v>
      </c>
      <c r="F1533" s="0" t="s">
        <v>437</v>
      </c>
      <c r="G1533" s="0" t="s">
        <v>7040</v>
      </c>
      <c r="I1533" s="0" t="s">
        <v>3855</v>
      </c>
    </row>
    <row r="1534" customFormat="false" ht="15" hidden="false" customHeight="false" outlineLevel="0" collapsed="false">
      <c r="A1534" s="0" t="s">
        <v>211</v>
      </c>
      <c r="B1534" s="0" t="n">
        <v>2022</v>
      </c>
      <c r="C1534" s="0" t="s">
        <v>73</v>
      </c>
      <c r="D1534" s="0" t="n">
        <v>0</v>
      </c>
      <c r="E1534" s="0" t="n">
        <v>1</v>
      </c>
      <c r="F1534" s="0" t="s">
        <v>437</v>
      </c>
      <c r="G1534" s="0" t="s">
        <v>7040</v>
      </c>
      <c r="I1534" s="0" t="s">
        <v>370</v>
      </c>
    </row>
    <row r="1535" customFormat="false" ht="15" hidden="false" customHeight="false" outlineLevel="0" collapsed="false">
      <c r="A1535" s="0" t="s">
        <v>211</v>
      </c>
      <c r="B1535" s="0" t="n">
        <v>2022</v>
      </c>
      <c r="C1535" s="0" t="s">
        <v>68</v>
      </c>
      <c r="D1535" s="0" t="n">
        <v>12600.451</v>
      </c>
      <c r="E1535" s="0" t="n">
        <v>1</v>
      </c>
      <c r="F1535" s="0" t="s">
        <v>437</v>
      </c>
      <c r="G1535" s="0" t="s">
        <v>7040</v>
      </c>
      <c r="I1535" s="0" t="s">
        <v>3845</v>
      </c>
    </row>
    <row r="1536" customFormat="false" ht="15" hidden="false" customHeight="false" outlineLevel="0" collapsed="false">
      <c r="A1536" s="0" t="s">
        <v>211</v>
      </c>
      <c r="B1536" s="0" t="n">
        <v>2022</v>
      </c>
      <c r="C1536" s="0" t="s">
        <v>541</v>
      </c>
      <c r="D1536" s="0" t="n">
        <v>14746.008</v>
      </c>
      <c r="E1536" s="0" t="n">
        <v>1</v>
      </c>
      <c r="F1536" s="0" t="s">
        <v>437</v>
      </c>
      <c r="G1536" s="0" t="s">
        <v>7040</v>
      </c>
      <c r="I1536" s="0" t="s">
        <v>3817</v>
      </c>
    </row>
    <row r="1537" customFormat="false" ht="15" hidden="false" customHeight="false" outlineLevel="0" collapsed="false">
      <c r="A1537" s="0" t="s">
        <v>222</v>
      </c>
      <c r="B1537" s="0" t="n">
        <v>2013</v>
      </c>
      <c r="C1537" s="0" t="s">
        <v>54</v>
      </c>
      <c r="D1537" s="0" t="n">
        <v>83414</v>
      </c>
      <c r="E1537" s="0" t="n">
        <v>1</v>
      </c>
      <c r="F1537" s="0" t="s">
        <v>437</v>
      </c>
      <c r="G1537" s="0" t="s">
        <v>7040</v>
      </c>
      <c r="I1537" s="0" t="s">
        <v>1509</v>
      </c>
    </row>
    <row r="1538" customFormat="false" ht="15" hidden="false" customHeight="false" outlineLevel="0" collapsed="false">
      <c r="A1538" s="0" t="s">
        <v>222</v>
      </c>
      <c r="B1538" s="0" t="n">
        <v>2013</v>
      </c>
      <c r="C1538" s="0" t="s">
        <v>55</v>
      </c>
      <c r="D1538" s="0" t="n">
        <v>2878693</v>
      </c>
      <c r="E1538" s="0" t="n">
        <v>1</v>
      </c>
      <c r="F1538" s="0" t="s">
        <v>437</v>
      </c>
      <c r="G1538" s="0" t="s">
        <v>7040</v>
      </c>
      <c r="I1538" s="0" t="s">
        <v>1510</v>
      </c>
    </row>
    <row r="1539" customFormat="false" ht="15" hidden="false" customHeight="false" outlineLevel="0" collapsed="false">
      <c r="A1539" s="0" t="s">
        <v>222</v>
      </c>
      <c r="B1539" s="0" t="n">
        <v>2013</v>
      </c>
      <c r="C1539" s="0" t="s">
        <v>56</v>
      </c>
      <c r="D1539" s="0" t="n">
        <v>2406071</v>
      </c>
      <c r="E1539" s="0" t="n">
        <v>1</v>
      </c>
      <c r="F1539" s="0" t="s">
        <v>437</v>
      </c>
      <c r="G1539" s="0" t="s">
        <v>7040</v>
      </c>
      <c r="I1539" s="0" t="s">
        <v>1511</v>
      </c>
    </row>
    <row r="1540" customFormat="false" ht="15" hidden="false" customHeight="false" outlineLevel="0" collapsed="false">
      <c r="A1540" s="0" t="s">
        <v>222</v>
      </c>
      <c r="B1540" s="0" t="n">
        <v>2013</v>
      </c>
      <c r="C1540" s="0" t="s">
        <v>57</v>
      </c>
      <c r="D1540" s="0" t="n">
        <v>472622</v>
      </c>
      <c r="E1540" s="0" t="n">
        <v>1</v>
      </c>
      <c r="F1540" s="0" t="s">
        <v>437</v>
      </c>
      <c r="G1540" s="0" t="s">
        <v>7040</v>
      </c>
      <c r="I1540" s="0" t="s">
        <v>1512</v>
      </c>
    </row>
    <row r="1541" customFormat="false" ht="15" hidden="false" customHeight="false" outlineLevel="0" collapsed="false">
      <c r="A1541" s="0" t="s">
        <v>222</v>
      </c>
      <c r="B1541" s="0" t="n">
        <v>2013</v>
      </c>
      <c r="C1541" s="0" t="s">
        <v>58</v>
      </c>
      <c r="D1541" s="0" t="n">
        <v>235619</v>
      </c>
      <c r="E1541" s="0" t="n">
        <v>1</v>
      </c>
      <c r="F1541" s="0" t="s">
        <v>437</v>
      </c>
      <c r="G1541" s="0" t="s">
        <v>7040</v>
      </c>
      <c r="I1541" s="0" t="s">
        <v>1513</v>
      </c>
    </row>
    <row r="1542" customFormat="false" ht="15" hidden="false" customHeight="false" outlineLevel="0" collapsed="false">
      <c r="A1542" s="0" t="s">
        <v>222</v>
      </c>
      <c r="B1542" s="0" t="n">
        <v>2013</v>
      </c>
      <c r="C1542" s="0" t="s">
        <v>59</v>
      </c>
      <c r="D1542" s="0" t="n">
        <v>2436886</v>
      </c>
      <c r="E1542" s="0" t="n">
        <v>1</v>
      </c>
      <c r="F1542" s="0" t="s">
        <v>437</v>
      </c>
      <c r="G1542" s="0" t="s">
        <v>7040</v>
      </c>
      <c r="I1542" s="0" t="s">
        <v>1514</v>
      </c>
    </row>
    <row r="1543" customFormat="false" ht="15" hidden="false" customHeight="false" outlineLevel="0" collapsed="false">
      <c r="A1543" s="0" t="s">
        <v>222</v>
      </c>
      <c r="B1543" s="0" t="n">
        <v>2013</v>
      </c>
      <c r="C1543" s="0" t="s">
        <v>60</v>
      </c>
      <c r="D1543" s="0" t="n">
        <v>1148378</v>
      </c>
      <c r="E1543" s="0" t="n">
        <v>1</v>
      </c>
      <c r="F1543" s="0" t="s">
        <v>437</v>
      </c>
      <c r="G1543" s="0" t="s">
        <v>7040</v>
      </c>
      <c r="I1543" s="0" t="s">
        <v>1515</v>
      </c>
    </row>
    <row r="1544" customFormat="false" ht="15" hidden="false" customHeight="false" outlineLevel="0" collapsed="false">
      <c r="A1544" s="0" t="s">
        <v>222</v>
      </c>
      <c r="B1544" s="0" t="n">
        <v>2013</v>
      </c>
      <c r="C1544" s="0" t="s">
        <v>61</v>
      </c>
      <c r="D1544" s="0" t="n">
        <v>21819</v>
      </c>
      <c r="E1544" s="0" t="n">
        <v>1</v>
      </c>
      <c r="F1544" s="0" t="s">
        <v>437</v>
      </c>
      <c r="G1544" s="0" t="s">
        <v>7040</v>
      </c>
      <c r="I1544" s="0" t="s">
        <v>1516</v>
      </c>
    </row>
    <row r="1545" customFormat="false" ht="15" hidden="false" customHeight="false" outlineLevel="0" collapsed="false">
      <c r="A1545" s="0" t="s">
        <v>222</v>
      </c>
      <c r="B1545" s="0" t="n">
        <v>2013</v>
      </c>
      <c r="C1545" s="0" t="s">
        <v>62</v>
      </c>
      <c r="D1545" s="0" t="n">
        <v>1126559</v>
      </c>
      <c r="E1545" s="0" t="n">
        <v>1</v>
      </c>
      <c r="F1545" s="0" t="s">
        <v>437</v>
      </c>
      <c r="G1545" s="0" t="s">
        <v>7040</v>
      </c>
      <c r="I1545" s="0" t="s">
        <v>1517</v>
      </c>
    </row>
    <row r="1546" customFormat="false" ht="15" hidden="false" customHeight="false" outlineLevel="0" collapsed="false">
      <c r="A1546" s="0" t="s">
        <v>222</v>
      </c>
      <c r="B1546" s="0" t="n">
        <v>2013</v>
      </c>
      <c r="C1546" s="0" t="s">
        <v>63</v>
      </c>
      <c r="D1546" s="0" t="n">
        <v>9907</v>
      </c>
      <c r="E1546" s="0" t="n">
        <v>1</v>
      </c>
      <c r="F1546" s="0" t="s">
        <v>437</v>
      </c>
      <c r="G1546" s="0" t="s">
        <v>7040</v>
      </c>
      <c r="I1546" s="0" t="s">
        <v>1518</v>
      </c>
    </row>
    <row r="1547" customFormat="false" ht="15" hidden="false" customHeight="false" outlineLevel="0" collapsed="false">
      <c r="A1547" s="0" t="s">
        <v>222</v>
      </c>
      <c r="B1547" s="0" t="n">
        <v>2013</v>
      </c>
      <c r="C1547" s="0" t="s">
        <v>69</v>
      </c>
      <c r="D1547" s="0" t="n">
        <v>26</v>
      </c>
      <c r="E1547" s="0" t="n">
        <v>1</v>
      </c>
      <c r="F1547" s="0" t="s">
        <v>437</v>
      </c>
      <c r="G1547" s="0" t="s">
        <v>7040</v>
      </c>
      <c r="I1547" s="0" t="s">
        <v>1519</v>
      </c>
    </row>
    <row r="1548" customFormat="false" ht="15" hidden="false" customHeight="false" outlineLevel="0" collapsed="false">
      <c r="A1548" s="0" t="s">
        <v>222</v>
      </c>
      <c r="B1548" s="0" t="n">
        <v>2013</v>
      </c>
      <c r="C1548" s="0" t="s">
        <v>65</v>
      </c>
      <c r="D1548" s="0" t="n">
        <v>470919</v>
      </c>
      <c r="E1548" s="0" t="n">
        <v>1</v>
      </c>
      <c r="F1548" s="0" t="s">
        <v>437</v>
      </c>
      <c r="G1548" s="0" t="s">
        <v>7040</v>
      </c>
      <c r="I1548" s="0" t="s">
        <v>1520</v>
      </c>
    </row>
    <row r="1549" customFormat="false" ht="15" hidden="false" customHeight="false" outlineLevel="0" collapsed="false">
      <c r="A1549" s="0" t="s">
        <v>222</v>
      </c>
      <c r="B1549" s="0" t="n">
        <v>2013</v>
      </c>
      <c r="C1549" s="0" t="s">
        <v>66</v>
      </c>
      <c r="D1549" s="0" t="n">
        <v>1796099</v>
      </c>
      <c r="E1549" s="0" t="n">
        <v>1</v>
      </c>
      <c r="F1549" s="0" t="s">
        <v>437</v>
      </c>
      <c r="G1549" s="0" t="s">
        <v>7040</v>
      </c>
      <c r="I1549" s="0" t="s">
        <v>1521</v>
      </c>
    </row>
    <row r="1550" customFormat="false" ht="15" hidden="false" customHeight="false" outlineLevel="0" collapsed="false">
      <c r="A1550" s="0" t="s">
        <v>222</v>
      </c>
      <c r="B1550" s="0" t="n">
        <v>2013</v>
      </c>
      <c r="C1550" s="0" t="s">
        <v>73</v>
      </c>
      <c r="D1550" s="0" t="n">
        <v>0</v>
      </c>
      <c r="E1550" s="0" t="n">
        <v>1</v>
      </c>
      <c r="F1550" s="0" t="s">
        <v>437</v>
      </c>
      <c r="G1550" s="0" t="s">
        <v>7040</v>
      </c>
      <c r="I1550" s="0" t="s">
        <v>1522</v>
      </c>
    </row>
    <row r="1551" customFormat="false" ht="15" hidden="false" customHeight="false" outlineLevel="0" collapsed="false">
      <c r="A1551" s="0" t="s">
        <v>222</v>
      </c>
      <c r="B1551" s="0" t="n">
        <v>2013</v>
      </c>
      <c r="C1551" s="0" t="s">
        <v>541</v>
      </c>
      <c r="D1551" s="0" t="n">
        <v>94108</v>
      </c>
      <c r="E1551" s="0" t="n">
        <v>1</v>
      </c>
      <c r="F1551" s="0" t="s">
        <v>437</v>
      </c>
      <c r="G1551" s="0" t="s">
        <v>7040</v>
      </c>
      <c r="I1551" s="0" t="s">
        <v>1523</v>
      </c>
    </row>
    <row r="1552" customFormat="false" ht="15" hidden="false" customHeight="false" outlineLevel="0" collapsed="false">
      <c r="A1552" s="0" t="s">
        <v>222</v>
      </c>
      <c r="B1552" s="0" t="n">
        <v>2013</v>
      </c>
      <c r="C1552" s="0" t="s">
        <v>543</v>
      </c>
      <c r="D1552" s="0" t="n">
        <v>5600</v>
      </c>
      <c r="E1552" s="0" t="n">
        <v>1</v>
      </c>
      <c r="F1552" s="0" t="s">
        <v>437</v>
      </c>
      <c r="G1552" s="0" t="s">
        <v>7040</v>
      </c>
      <c r="I1552" s="0" t="s">
        <v>1524</v>
      </c>
    </row>
    <row r="1553" customFormat="false" ht="15" hidden="false" customHeight="false" outlineLevel="0" collapsed="false">
      <c r="A1553" s="0" t="s">
        <v>222</v>
      </c>
      <c r="B1553" s="0" t="n">
        <v>2013</v>
      </c>
      <c r="C1553" s="0" t="s">
        <v>545</v>
      </c>
      <c r="D1553" s="0" t="n">
        <v>16219</v>
      </c>
      <c r="E1553" s="0" t="n">
        <v>1</v>
      </c>
      <c r="F1553" s="0" t="s">
        <v>437</v>
      </c>
      <c r="G1553" s="0" t="s">
        <v>7040</v>
      </c>
      <c r="I1553" s="0" t="s">
        <v>1525</v>
      </c>
    </row>
    <row r="1554" customFormat="false" ht="15" hidden="false" customHeight="false" outlineLevel="0" collapsed="false">
      <c r="A1554" s="0" t="s">
        <v>222</v>
      </c>
      <c r="B1554" s="0" t="n">
        <v>2014</v>
      </c>
      <c r="C1554" s="0" t="s">
        <v>54</v>
      </c>
      <c r="D1554" s="0" t="n">
        <v>92479</v>
      </c>
      <c r="E1554" s="0" t="n">
        <v>1</v>
      </c>
      <c r="F1554" s="0" t="s">
        <v>437</v>
      </c>
      <c r="G1554" s="0" t="s">
        <v>7040</v>
      </c>
      <c r="I1554" s="0" t="s">
        <v>3476</v>
      </c>
    </row>
    <row r="1555" customFormat="false" ht="15" hidden="false" customHeight="false" outlineLevel="0" collapsed="false">
      <c r="A1555" s="0" t="s">
        <v>222</v>
      </c>
      <c r="B1555" s="0" t="n">
        <v>2014</v>
      </c>
      <c r="C1555" s="0" t="s">
        <v>55</v>
      </c>
      <c r="D1555" s="0" t="n">
        <v>3423819</v>
      </c>
      <c r="E1555" s="0" t="n">
        <v>1</v>
      </c>
      <c r="F1555" s="0" t="s">
        <v>437</v>
      </c>
      <c r="G1555" s="0" t="s">
        <v>7040</v>
      </c>
      <c r="I1555" s="0" t="s">
        <v>3481</v>
      </c>
    </row>
    <row r="1556" customFormat="false" ht="15" hidden="false" customHeight="false" outlineLevel="0" collapsed="false">
      <c r="A1556" s="0" t="s">
        <v>222</v>
      </c>
      <c r="B1556" s="0" t="n">
        <v>2014</v>
      </c>
      <c r="C1556" s="0" t="s">
        <v>56</v>
      </c>
      <c r="D1556" s="0" t="n">
        <v>2911112</v>
      </c>
      <c r="E1556" s="0" t="n">
        <v>1</v>
      </c>
      <c r="F1556" s="0" t="s">
        <v>437</v>
      </c>
      <c r="G1556" s="0" t="s">
        <v>7040</v>
      </c>
      <c r="I1556" s="0" t="s">
        <v>3482</v>
      </c>
    </row>
    <row r="1557" customFormat="false" ht="15" hidden="false" customHeight="false" outlineLevel="0" collapsed="false">
      <c r="A1557" s="0" t="s">
        <v>222</v>
      </c>
      <c r="B1557" s="0" t="n">
        <v>2014</v>
      </c>
      <c r="C1557" s="0" t="s">
        <v>57</v>
      </c>
      <c r="D1557" s="0" t="n">
        <v>512707</v>
      </c>
      <c r="E1557" s="0" t="n">
        <v>1</v>
      </c>
      <c r="F1557" s="0" t="s">
        <v>437</v>
      </c>
      <c r="G1557" s="0" t="s">
        <v>7040</v>
      </c>
      <c r="I1557" s="0" t="s">
        <v>3483</v>
      </c>
    </row>
    <row r="1558" customFormat="false" ht="15" hidden="false" customHeight="false" outlineLevel="0" collapsed="false">
      <c r="A1558" s="0" t="s">
        <v>222</v>
      </c>
      <c r="B1558" s="0" t="n">
        <v>2014</v>
      </c>
      <c r="C1558" s="0" t="s">
        <v>58</v>
      </c>
      <c r="D1558" s="0" t="n">
        <v>-145986</v>
      </c>
      <c r="E1558" s="0" t="n">
        <v>1</v>
      </c>
      <c r="F1558" s="0" t="s">
        <v>437</v>
      </c>
      <c r="G1558" s="0" t="s">
        <v>7040</v>
      </c>
      <c r="I1558" s="0" t="s">
        <v>3486</v>
      </c>
    </row>
    <row r="1559" customFormat="false" ht="15" hidden="false" customHeight="false" outlineLevel="0" collapsed="false">
      <c r="A1559" s="0" t="s">
        <v>222</v>
      </c>
      <c r="B1559" s="0" t="n">
        <v>2014</v>
      </c>
      <c r="C1559" s="0" t="s">
        <v>60</v>
      </c>
      <c r="D1559" s="0" t="n">
        <v>1605581</v>
      </c>
      <c r="E1559" s="0" t="n">
        <v>1</v>
      </c>
      <c r="F1559" s="0" t="s">
        <v>437</v>
      </c>
      <c r="G1559" s="0" t="s">
        <v>7040</v>
      </c>
      <c r="I1559" s="0" t="s">
        <v>3487</v>
      </c>
    </row>
    <row r="1560" customFormat="false" ht="15" hidden="false" customHeight="false" outlineLevel="0" collapsed="false">
      <c r="A1560" s="0" t="s">
        <v>222</v>
      </c>
      <c r="B1560" s="0" t="n">
        <v>2014</v>
      </c>
      <c r="C1560" s="0" t="s">
        <v>61</v>
      </c>
      <c r="D1560" s="0" t="n">
        <v>25331</v>
      </c>
      <c r="E1560" s="0" t="n">
        <v>1</v>
      </c>
      <c r="F1560" s="0" t="s">
        <v>437</v>
      </c>
      <c r="G1560" s="0" t="s">
        <v>7040</v>
      </c>
      <c r="I1560" s="0" t="s">
        <v>3489</v>
      </c>
    </row>
    <row r="1561" customFormat="false" ht="15" hidden="false" customHeight="false" outlineLevel="0" collapsed="false">
      <c r="A1561" s="0" t="s">
        <v>222</v>
      </c>
      <c r="B1561" s="0" t="n">
        <v>2014</v>
      </c>
      <c r="C1561" s="0" t="s">
        <v>63</v>
      </c>
      <c r="D1561" s="0" t="n">
        <v>12392</v>
      </c>
      <c r="E1561" s="0" t="n">
        <v>1</v>
      </c>
      <c r="F1561" s="0" t="s">
        <v>437</v>
      </c>
      <c r="G1561" s="0" t="s">
        <v>7040</v>
      </c>
      <c r="I1561" s="0" t="s">
        <v>3479</v>
      </c>
    </row>
    <row r="1562" customFormat="false" ht="15" hidden="false" customHeight="false" outlineLevel="0" collapsed="false">
      <c r="A1562" s="0" t="s">
        <v>222</v>
      </c>
      <c r="B1562" s="0" t="n">
        <v>2014</v>
      </c>
      <c r="C1562" s="0" t="s">
        <v>64</v>
      </c>
      <c r="D1562" s="0" t="n">
        <v>26407</v>
      </c>
      <c r="E1562" s="0" t="n">
        <v>1</v>
      </c>
      <c r="F1562" s="0" t="s">
        <v>437</v>
      </c>
      <c r="G1562" s="0" t="s">
        <v>7040</v>
      </c>
      <c r="I1562" s="0" t="s">
        <v>3492</v>
      </c>
    </row>
    <row r="1563" customFormat="false" ht="15" hidden="false" customHeight="false" outlineLevel="0" collapsed="false">
      <c r="A1563" s="0" t="s">
        <v>222</v>
      </c>
      <c r="B1563" s="0" t="n">
        <v>2014</v>
      </c>
      <c r="C1563" s="0" t="s">
        <v>69</v>
      </c>
      <c r="D1563" s="0" t="n">
        <v>19</v>
      </c>
      <c r="E1563" s="0" t="n">
        <v>1</v>
      </c>
      <c r="F1563" s="0" t="s">
        <v>437</v>
      </c>
      <c r="G1563" s="0" t="s">
        <v>7040</v>
      </c>
      <c r="I1563" s="0" t="s">
        <v>3493</v>
      </c>
    </row>
    <row r="1564" customFormat="false" ht="15" hidden="false" customHeight="false" outlineLevel="0" collapsed="false">
      <c r="A1564" s="0" t="s">
        <v>222</v>
      </c>
      <c r="B1564" s="0" t="n">
        <v>2015</v>
      </c>
      <c r="C1564" s="0" t="s">
        <v>54</v>
      </c>
      <c r="D1564" s="0" t="n">
        <v>98784</v>
      </c>
      <c r="E1564" s="0" t="n">
        <v>1</v>
      </c>
      <c r="F1564" s="0" t="s">
        <v>437</v>
      </c>
      <c r="G1564" s="0" t="s">
        <v>7040</v>
      </c>
      <c r="I1564" s="0" t="s">
        <v>3497</v>
      </c>
    </row>
    <row r="1565" customFormat="false" ht="15" hidden="false" customHeight="false" outlineLevel="0" collapsed="false">
      <c r="A1565" s="0" t="s">
        <v>222</v>
      </c>
      <c r="B1565" s="0" t="n">
        <v>2015</v>
      </c>
      <c r="C1565" s="0" t="s">
        <v>55</v>
      </c>
      <c r="D1565" s="0" t="n">
        <v>3750327</v>
      </c>
      <c r="E1565" s="0" t="n">
        <v>1</v>
      </c>
      <c r="F1565" s="0" t="s">
        <v>437</v>
      </c>
      <c r="G1565" s="0" t="s">
        <v>7040</v>
      </c>
      <c r="I1565" s="0" t="s">
        <v>3500</v>
      </c>
    </row>
    <row r="1566" customFormat="false" ht="15" hidden="false" customHeight="false" outlineLevel="0" collapsed="false">
      <c r="A1566" s="0" t="s">
        <v>222</v>
      </c>
      <c r="B1566" s="0" t="n">
        <v>2015</v>
      </c>
      <c r="C1566" s="0" t="s">
        <v>56</v>
      </c>
      <c r="D1566" s="0" t="n">
        <v>3203381</v>
      </c>
      <c r="E1566" s="0" t="n">
        <v>1</v>
      </c>
      <c r="F1566" s="0" t="s">
        <v>437</v>
      </c>
      <c r="G1566" s="0" t="s">
        <v>7040</v>
      </c>
      <c r="I1566" s="0" t="s">
        <v>3501</v>
      </c>
    </row>
    <row r="1567" customFormat="false" ht="15" hidden="false" customHeight="false" outlineLevel="0" collapsed="false">
      <c r="A1567" s="0" t="s">
        <v>222</v>
      </c>
      <c r="B1567" s="0" t="n">
        <v>2015</v>
      </c>
      <c r="C1567" s="0" t="s">
        <v>57</v>
      </c>
      <c r="D1567" s="0" t="n">
        <v>546946</v>
      </c>
      <c r="E1567" s="0" t="n">
        <v>1</v>
      </c>
      <c r="F1567" s="0" t="s">
        <v>437</v>
      </c>
      <c r="G1567" s="0" t="s">
        <v>7040</v>
      </c>
      <c r="I1567" s="0" t="s">
        <v>3502</v>
      </c>
    </row>
    <row r="1568" customFormat="false" ht="15" hidden="false" customHeight="false" outlineLevel="0" collapsed="false">
      <c r="A1568" s="0" t="s">
        <v>222</v>
      </c>
      <c r="B1568" s="0" t="n">
        <v>2015</v>
      </c>
      <c r="C1568" s="0" t="s">
        <v>58</v>
      </c>
      <c r="D1568" s="0" t="n">
        <v>-415396</v>
      </c>
      <c r="E1568" s="0" t="n">
        <v>1</v>
      </c>
      <c r="F1568" s="0" t="s">
        <v>437</v>
      </c>
      <c r="G1568" s="0" t="s">
        <v>7040</v>
      </c>
      <c r="I1568" s="0" t="s">
        <v>3505</v>
      </c>
    </row>
    <row r="1569" customFormat="false" ht="15" hidden="false" customHeight="false" outlineLevel="0" collapsed="false">
      <c r="A1569" s="0" t="s">
        <v>222</v>
      </c>
      <c r="B1569" s="0" t="n">
        <v>2015</v>
      </c>
      <c r="C1569" s="0" t="s">
        <v>59</v>
      </c>
      <c r="D1569" s="0" t="n">
        <v>3423819</v>
      </c>
      <c r="E1569" s="0" t="n">
        <v>1</v>
      </c>
      <c r="F1569" s="0" t="s">
        <v>437</v>
      </c>
      <c r="G1569" s="0" t="s">
        <v>7041</v>
      </c>
      <c r="I1569" s="0" t="s">
        <v>3481</v>
      </c>
    </row>
    <row r="1570" customFormat="false" ht="15" hidden="false" customHeight="false" outlineLevel="0" collapsed="false">
      <c r="A1570" s="0" t="s">
        <v>222</v>
      </c>
      <c r="B1570" s="0" t="n">
        <v>2015</v>
      </c>
      <c r="C1570" s="0" t="s">
        <v>60</v>
      </c>
      <c r="D1570" s="0" t="n">
        <v>1884941</v>
      </c>
      <c r="E1570" s="0" t="n">
        <v>1</v>
      </c>
      <c r="F1570" s="0" t="s">
        <v>437</v>
      </c>
      <c r="G1570" s="0" t="s">
        <v>7040</v>
      </c>
      <c r="I1570" s="0" t="s">
        <v>3506</v>
      </c>
    </row>
    <row r="1571" customFormat="false" ht="15" hidden="false" customHeight="false" outlineLevel="0" collapsed="false">
      <c r="A1571" s="0" t="s">
        <v>222</v>
      </c>
      <c r="B1571" s="0" t="n">
        <v>2015</v>
      </c>
      <c r="C1571" s="0" t="s">
        <v>61</v>
      </c>
      <c r="D1571" s="0" t="n">
        <v>35716</v>
      </c>
      <c r="E1571" s="0" t="n">
        <v>1</v>
      </c>
      <c r="F1571" s="0" t="s">
        <v>437</v>
      </c>
      <c r="G1571" s="0" t="s">
        <v>7040</v>
      </c>
      <c r="I1571" s="0" t="s">
        <v>3507</v>
      </c>
    </row>
    <row r="1572" customFormat="false" ht="15" hidden="false" customHeight="false" outlineLevel="0" collapsed="false">
      <c r="A1572" s="0" t="s">
        <v>222</v>
      </c>
      <c r="B1572" s="0" t="n">
        <v>2015</v>
      </c>
      <c r="C1572" s="0" t="s">
        <v>63</v>
      </c>
      <c r="D1572" s="0" t="n">
        <v>11091</v>
      </c>
      <c r="E1572" s="0" t="n">
        <v>1</v>
      </c>
      <c r="F1572" s="0" t="s">
        <v>437</v>
      </c>
      <c r="G1572" s="0" t="s">
        <v>7040</v>
      </c>
      <c r="I1572" s="0" t="s">
        <v>3499</v>
      </c>
    </row>
    <row r="1573" customFormat="false" ht="15" hidden="false" customHeight="false" outlineLevel="0" collapsed="false">
      <c r="A1573" s="0" t="s">
        <v>222</v>
      </c>
      <c r="B1573" s="0" t="n">
        <v>2015</v>
      </c>
      <c r="C1573" s="0" t="s">
        <v>64</v>
      </c>
      <c r="D1573" s="0" t="n">
        <v>30871</v>
      </c>
      <c r="E1573" s="0" t="n">
        <v>1</v>
      </c>
      <c r="F1573" s="0" t="s">
        <v>437</v>
      </c>
      <c r="G1573" s="0" t="s">
        <v>7040</v>
      </c>
      <c r="I1573" s="0" t="s">
        <v>3510</v>
      </c>
    </row>
    <row r="1574" customFormat="false" ht="15" hidden="false" customHeight="false" outlineLevel="0" collapsed="false">
      <c r="A1574" s="0" t="s">
        <v>222</v>
      </c>
      <c r="B1574" s="0" t="n">
        <v>2015</v>
      </c>
      <c r="C1574" s="0" t="s">
        <v>69</v>
      </c>
      <c r="D1574" s="0" t="n">
        <v>20</v>
      </c>
      <c r="E1574" s="0" t="n">
        <v>1</v>
      </c>
      <c r="F1574" s="0" t="s">
        <v>437</v>
      </c>
      <c r="G1574" s="0" t="s">
        <v>7040</v>
      </c>
      <c r="I1574" s="0" t="s">
        <v>3511</v>
      </c>
    </row>
    <row r="1575" customFormat="false" ht="15" hidden="false" customHeight="false" outlineLevel="0" collapsed="false">
      <c r="A1575" s="0" t="s">
        <v>222</v>
      </c>
      <c r="B1575" s="0" t="n">
        <v>2016</v>
      </c>
      <c r="C1575" s="0" t="s">
        <v>54</v>
      </c>
      <c r="D1575" s="0" t="n">
        <v>119285</v>
      </c>
      <c r="E1575" s="0" t="n">
        <v>1</v>
      </c>
      <c r="F1575" s="0" t="s">
        <v>437</v>
      </c>
      <c r="G1575" s="0" t="s">
        <v>7040</v>
      </c>
      <c r="I1575" s="0" t="s">
        <v>1526</v>
      </c>
    </row>
    <row r="1576" customFormat="false" ht="15" hidden="false" customHeight="false" outlineLevel="0" collapsed="false">
      <c r="A1576" s="0" t="s">
        <v>222</v>
      </c>
      <c r="B1576" s="0" t="n">
        <v>2016</v>
      </c>
      <c r="C1576" s="0" t="s">
        <v>55</v>
      </c>
      <c r="D1576" s="0" t="n">
        <v>4283736</v>
      </c>
      <c r="E1576" s="0" t="n">
        <v>1</v>
      </c>
      <c r="F1576" s="0" t="s">
        <v>437</v>
      </c>
      <c r="G1576" s="0" t="s">
        <v>7040</v>
      </c>
      <c r="I1576" s="0" t="s">
        <v>1527</v>
      </c>
    </row>
    <row r="1577" customFormat="false" ht="15" hidden="false" customHeight="false" outlineLevel="0" collapsed="false">
      <c r="A1577" s="0" t="s">
        <v>222</v>
      </c>
      <c r="B1577" s="0" t="n">
        <v>2016</v>
      </c>
      <c r="C1577" s="0" t="s">
        <v>56</v>
      </c>
      <c r="D1577" s="0" t="n">
        <v>3667383</v>
      </c>
      <c r="E1577" s="0" t="n">
        <v>1</v>
      </c>
      <c r="F1577" s="0" t="s">
        <v>437</v>
      </c>
      <c r="G1577" s="0" t="s">
        <v>7040</v>
      </c>
      <c r="I1577" s="0" t="s">
        <v>1528</v>
      </c>
    </row>
    <row r="1578" customFormat="false" ht="15" hidden="false" customHeight="false" outlineLevel="0" collapsed="false">
      <c r="A1578" s="0" t="s">
        <v>222</v>
      </c>
      <c r="B1578" s="0" t="n">
        <v>2016</v>
      </c>
      <c r="C1578" s="0" t="s">
        <v>57</v>
      </c>
      <c r="D1578" s="0" t="n">
        <v>616353</v>
      </c>
      <c r="E1578" s="0" t="n">
        <v>1</v>
      </c>
      <c r="F1578" s="0" t="s">
        <v>437</v>
      </c>
      <c r="G1578" s="0" t="s">
        <v>7040</v>
      </c>
      <c r="I1578" s="0" t="s">
        <v>1529</v>
      </c>
    </row>
    <row r="1579" customFormat="false" ht="15" hidden="false" customHeight="false" outlineLevel="0" collapsed="false">
      <c r="A1579" s="0" t="s">
        <v>222</v>
      </c>
      <c r="B1579" s="0" t="n">
        <v>2016</v>
      </c>
      <c r="C1579" s="0" t="s">
        <v>58</v>
      </c>
      <c r="D1579" s="0" t="n">
        <v>-104917</v>
      </c>
      <c r="E1579" s="0" t="n">
        <v>1</v>
      </c>
      <c r="F1579" s="0" t="s">
        <v>437</v>
      </c>
      <c r="G1579" s="0" t="s">
        <v>7040</v>
      </c>
      <c r="I1579" s="0" t="s">
        <v>1530</v>
      </c>
    </row>
    <row r="1580" customFormat="false" ht="15" hidden="false" customHeight="false" outlineLevel="0" collapsed="false">
      <c r="A1580" s="0" t="s">
        <v>222</v>
      </c>
      <c r="B1580" s="0" t="n">
        <v>2016</v>
      </c>
      <c r="C1580" s="0" t="s">
        <v>59</v>
      </c>
      <c r="D1580" s="0" t="n">
        <v>3750327</v>
      </c>
      <c r="E1580" s="0" t="n">
        <v>1</v>
      </c>
      <c r="F1580" s="0" t="s">
        <v>437</v>
      </c>
      <c r="G1580" s="0" t="s">
        <v>7040</v>
      </c>
      <c r="I1580" s="0" t="s">
        <v>1531</v>
      </c>
    </row>
    <row r="1581" customFormat="false" ht="15" hidden="false" customHeight="false" outlineLevel="0" collapsed="false">
      <c r="A1581" s="0" t="s">
        <v>222</v>
      </c>
      <c r="B1581" s="0" t="n">
        <v>2016</v>
      </c>
      <c r="C1581" s="0" t="s">
        <v>60</v>
      </c>
      <c r="D1581" s="0" t="n">
        <v>2193224</v>
      </c>
      <c r="E1581" s="0" t="n">
        <v>1</v>
      </c>
      <c r="F1581" s="0" t="s">
        <v>437</v>
      </c>
      <c r="G1581" s="0" t="s">
        <v>7040</v>
      </c>
      <c r="I1581" s="0" t="s">
        <v>1532</v>
      </c>
    </row>
    <row r="1582" customFormat="false" ht="15" hidden="false" customHeight="false" outlineLevel="0" collapsed="false">
      <c r="A1582" s="0" t="s">
        <v>222</v>
      </c>
      <c r="B1582" s="0" t="n">
        <v>2016</v>
      </c>
      <c r="C1582" s="0" t="s">
        <v>61</v>
      </c>
      <c r="D1582" s="0" t="n">
        <v>55092</v>
      </c>
      <c r="E1582" s="0" t="n">
        <v>1</v>
      </c>
      <c r="F1582" s="0" t="s">
        <v>437</v>
      </c>
      <c r="G1582" s="0" t="s">
        <v>7040</v>
      </c>
      <c r="I1582" s="0" t="s">
        <v>1533</v>
      </c>
    </row>
    <row r="1583" customFormat="false" ht="15" hidden="false" customHeight="false" outlineLevel="0" collapsed="false">
      <c r="A1583" s="0" t="s">
        <v>222</v>
      </c>
      <c r="B1583" s="0" t="n">
        <v>2016</v>
      </c>
      <c r="C1583" s="0" t="s">
        <v>62</v>
      </c>
      <c r="D1583" s="0" t="n">
        <v>2138132</v>
      </c>
      <c r="E1583" s="0" t="n">
        <v>1</v>
      </c>
      <c r="F1583" s="0" t="s">
        <v>437</v>
      </c>
      <c r="G1583" s="0" t="s">
        <v>7040</v>
      </c>
      <c r="I1583" s="0" t="s">
        <v>1534</v>
      </c>
    </row>
    <row r="1584" customFormat="false" ht="15" hidden="false" customHeight="false" outlineLevel="0" collapsed="false">
      <c r="A1584" s="0" t="s">
        <v>222</v>
      </c>
      <c r="B1584" s="0" t="n">
        <v>2016</v>
      </c>
      <c r="C1584" s="0" t="s">
        <v>63</v>
      </c>
      <c r="D1584" s="0" t="n">
        <v>26295</v>
      </c>
      <c r="E1584" s="0" t="n">
        <v>1</v>
      </c>
      <c r="F1584" s="0" t="s">
        <v>437</v>
      </c>
      <c r="G1584" s="0" t="s">
        <v>7040</v>
      </c>
      <c r="I1584" s="0" t="s">
        <v>1535</v>
      </c>
    </row>
    <row r="1585" customFormat="false" ht="15" hidden="false" customHeight="false" outlineLevel="0" collapsed="false">
      <c r="A1585" s="0" t="s">
        <v>222</v>
      </c>
      <c r="B1585" s="0" t="n">
        <v>2016</v>
      </c>
      <c r="C1585" s="0" t="s">
        <v>64</v>
      </c>
      <c r="D1585" s="0" t="n">
        <v>57577</v>
      </c>
      <c r="E1585" s="0" t="n">
        <v>1</v>
      </c>
      <c r="F1585" s="0" t="s">
        <v>437</v>
      </c>
      <c r="G1585" s="0" t="s">
        <v>7040</v>
      </c>
      <c r="I1585" s="0" t="s">
        <v>1536</v>
      </c>
    </row>
    <row r="1586" customFormat="false" ht="15" hidden="false" customHeight="false" outlineLevel="0" collapsed="false">
      <c r="A1586" s="0" t="s">
        <v>222</v>
      </c>
      <c r="B1586" s="0" t="n">
        <v>2016</v>
      </c>
      <c r="C1586" s="0" t="s">
        <v>69</v>
      </c>
      <c r="D1586" s="0" t="n">
        <v>22</v>
      </c>
      <c r="E1586" s="0" t="n">
        <v>1</v>
      </c>
      <c r="F1586" s="0" t="s">
        <v>437</v>
      </c>
      <c r="G1586" s="0" t="s">
        <v>7040</v>
      </c>
      <c r="I1586" s="0" t="s">
        <v>1537</v>
      </c>
    </row>
    <row r="1587" customFormat="false" ht="15" hidden="false" customHeight="false" outlineLevel="0" collapsed="false">
      <c r="A1587" s="0" t="s">
        <v>222</v>
      </c>
      <c r="B1587" s="0" t="n">
        <v>2016</v>
      </c>
      <c r="C1587" s="0" t="s">
        <v>65</v>
      </c>
      <c r="D1587" s="0" t="n">
        <v>565277</v>
      </c>
      <c r="E1587" s="0" t="n">
        <v>1</v>
      </c>
      <c r="F1587" s="0" t="s">
        <v>437</v>
      </c>
      <c r="G1587" s="0" t="s">
        <v>7040</v>
      </c>
      <c r="I1587" s="0" t="s">
        <v>1538</v>
      </c>
    </row>
    <row r="1588" customFormat="false" ht="15" hidden="false" customHeight="false" outlineLevel="0" collapsed="false">
      <c r="A1588" s="0" t="s">
        <v>222</v>
      </c>
      <c r="B1588" s="0" t="n">
        <v>2016</v>
      </c>
      <c r="C1588" s="0" t="s">
        <v>66</v>
      </c>
      <c r="D1588" s="0" t="n">
        <v>2624643</v>
      </c>
      <c r="E1588" s="0" t="n">
        <v>1</v>
      </c>
      <c r="F1588" s="0" t="s">
        <v>437</v>
      </c>
      <c r="G1588" s="0" t="s">
        <v>7040</v>
      </c>
      <c r="I1588" s="0" t="s">
        <v>1539</v>
      </c>
    </row>
    <row r="1589" customFormat="false" ht="15" hidden="false" customHeight="false" outlineLevel="0" collapsed="false">
      <c r="A1589" s="0" t="s">
        <v>222</v>
      </c>
      <c r="B1589" s="0" t="n">
        <v>2016</v>
      </c>
      <c r="C1589" s="0" t="s">
        <v>541</v>
      </c>
      <c r="D1589" s="0" t="n">
        <v>139927</v>
      </c>
      <c r="E1589" s="0" t="n">
        <v>1</v>
      </c>
      <c r="F1589" s="0" t="s">
        <v>437</v>
      </c>
      <c r="G1589" s="0" t="s">
        <v>7040</v>
      </c>
      <c r="I1589" s="0" t="s">
        <v>1540</v>
      </c>
    </row>
    <row r="1590" customFormat="false" ht="15" hidden="false" customHeight="false" outlineLevel="0" collapsed="false">
      <c r="A1590" s="0" t="s">
        <v>222</v>
      </c>
      <c r="B1590" s="0" t="n">
        <v>2016</v>
      </c>
      <c r="C1590" s="0" t="s">
        <v>543</v>
      </c>
      <c r="D1590" s="0" t="n">
        <v>17607</v>
      </c>
      <c r="E1590" s="0" t="n">
        <v>1</v>
      </c>
      <c r="F1590" s="0" t="s">
        <v>437</v>
      </c>
      <c r="G1590" s="0" t="s">
        <v>7040</v>
      </c>
      <c r="I1590" s="0" t="s">
        <v>1541</v>
      </c>
    </row>
    <row r="1591" customFormat="false" ht="15" hidden="false" customHeight="false" outlineLevel="0" collapsed="false">
      <c r="A1591" s="0" t="s">
        <v>222</v>
      </c>
      <c r="B1591" s="0" t="n">
        <v>2016</v>
      </c>
      <c r="C1591" s="0" t="s">
        <v>545</v>
      </c>
      <c r="D1591" s="0" t="n">
        <v>37485</v>
      </c>
      <c r="E1591" s="0" t="n">
        <v>1</v>
      </c>
      <c r="F1591" s="0" t="s">
        <v>437</v>
      </c>
      <c r="G1591" s="0" t="s">
        <v>7040</v>
      </c>
      <c r="I1591" s="0" t="s">
        <v>1542</v>
      </c>
    </row>
    <row r="1592" customFormat="false" ht="15" hidden="false" customHeight="false" outlineLevel="0" collapsed="false">
      <c r="A1592" s="0" t="s">
        <v>222</v>
      </c>
      <c r="B1592" s="0" t="n">
        <v>2017</v>
      </c>
      <c r="C1592" s="0" t="s">
        <v>54</v>
      </c>
      <c r="D1592" s="0" t="n">
        <v>157145</v>
      </c>
      <c r="E1592" s="0" t="n">
        <v>1</v>
      </c>
      <c r="F1592" s="0" t="s">
        <v>437</v>
      </c>
      <c r="G1592" s="0" t="s">
        <v>7040</v>
      </c>
      <c r="I1592" s="0" t="s">
        <v>1543</v>
      </c>
    </row>
    <row r="1593" customFormat="false" ht="15" hidden="false" customHeight="false" outlineLevel="0" collapsed="false">
      <c r="A1593" s="0" t="s">
        <v>222</v>
      </c>
      <c r="B1593" s="0" t="n">
        <v>2017</v>
      </c>
      <c r="C1593" s="0" t="s">
        <v>55</v>
      </c>
      <c r="D1593" s="0" t="n">
        <v>4833658</v>
      </c>
      <c r="E1593" s="0" t="n">
        <v>1</v>
      </c>
      <c r="F1593" s="0" t="s">
        <v>437</v>
      </c>
      <c r="G1593" s="0" t="s">
        <v>7040</v>
      </c>
      <c r="I1593" s="0" t="s">
        <v>1544</v>
      </c>
    </row>
    <row r="1594" customFormat="false" ht="15" hidden="false" customHeight="false" outlineLevel="0" collapsed="false">
      <c r="A1594" s="0" t="s">
        <v>222</v>
      </c>
      <c r="B1594" s="0" t="n">
        <v>2017</v>
      </c>
      <c r="C1594" s="0" t="s">
        <v>56</v>
      </c>
      <c r="D1594" s="0" t="n">
        <v>4126133</v>
      </c>
      <c r="E1594" s="0" t="n">
        <v>1</v>
      </c>
      <c r="F1594" s="0" t="s">
        <v>437</v>
      </c>
      <c r="G1594" s="0" t="s">
        <v>7040</v>
      </c>
      <c r="I1594" s="0" t="s">
        <v>1545</v>
      </c>
    </row>
    <row r="1595" customFormat="false" ht="15" hidden="false" customHeight="false" outlineLevel="0" collapsed="false">
      <c r="A1595" s="0" t="s">
        <v>222</v>
      </c>
      <c r="B1595" s="0" t="n">
        <v>2017</v>
      </c>
      <c r="C1595" s="0" t="s">
        <v>57</v>
      </c>
      <c r="D1595" s="0" t="n">
        <v>707525</v>
      </c>
      <c r="E1595" s="0" t="n">
        <v>1</v>
      </c>
      <c r="F1595" s="0" t="s">
        <v>437</v>
      </c>
      <c r="G1595" s="0" t="s">
        <v>7040</v>
      </c>
      <c r="I1595" s="0" t="s">
        <v>1546</v>
      </c>
    </row>
    <row r="1596" customFormat="false" ht="15" hidden="false" customHeight="false" outlineLevel="0" collapsed="false">
      <c r="A1596" s="0" t="s">
        <v>222</v>
      </c>
      <c r="B1596" s="0" t="n">
        <v>2017</v>
      </c>
      <c r="C1596" s="0" t="s">
        <v>58</v>
      </c>
      <c r="D1596" s="0" t="n">
        <v>-255750</v>
      </c>
      <c r="E1596" s="0" t="n">
        <v>1</v>
      </c>
      <c r="F1596" s="0" t="s">
        <v>437</v>
      </c>
      <c r="G1596" s="0" t="s">
        <v>7040</v>
      </c>
      <c r="I1596" s="0" t="s">
        <v>1547</v>
      </c>
    </row>
    <row r="1597" customFormat="false" ht="15" hidden="false" customHeight="false" outlineLevel="0" collapsed="false">
      <c r="A1597" s="0" t="s">
        <v>222</v>
      </c>
      <c r="B1597" s="0" t="n">
        <v>2017</v>
      </c>
      <c r="C1597" s="0" t="s">
        <v>59</v>
      </c>
      <c r="D1597" s="0" t="n">
        <v>4283736</v>
      </c>
      <c r="E1597" s="0" t="n">
        <v>1</v>
      </c>
      <c r="F1597" s="0" t="s">
        <v>437</v>
      </c>
      <c r="G1597" s="0" t="s">
        <v>7040</v>
      </c>
      <c r="I1597" s="0" t="s">
        <v>1548</v>
      </c>
    </row>
    <row r="1598" customFormat="false" ht="15" hidden="false" customHeight="false" outlineLevel="0" collapsed="false">
      <c r="A1598" s="0" t="s">
        <v>222</v>
      </c>
      <c r="B1598" s="0" t="n">
        <v>2017</v>
      </c>
      <c r="C1598" s="0" t="s">
        <v>60</v>
      </c>
      <c r="D1598" s="0" t="n">
        <v>2117069</v>
      </c>
      <c r="E1598" s="0" t="n">
        <v>1</v>
      </c>
      <c r="F1598" s="0" t="s">
        <v>437</v>
      </c>
      <c r="G1598" s="0" t="s">
        <v>7040</v>
      </c>
      <c r="I1598" s="0" t="s">
        <v>1549</v>
      </c>
    </row>
    <row r="1599" customFormat="false" ht="15" hidden="false" customHeight="false" outlineLevel="0" collapsed="false">
      <c r="A1599" s="0" t="s">
        <v>222</v>
      </c>
      <c r="B1599" s="0" t="n">
        <v>2017</v>
      </c>
      <c r="C1599" s="0" t="s">
        <v>61</v>
      </c>
      <c r="D1599" s="0" t="n">
        <v>136605</v>
      </c>
      <c r="E1599" s="0" t="n">
        <v>1</v>
      </c>
      <c r="F1599" s="0" t="s">
        <v>437</v>
      </c>
      <c r="G1599" s="0" t="s">
        <v>7040</v>
      </c>
      <c r="I1599" s="0" t="s">
        <v>1550</v>
      </c>
    </row>
    <row r="1600" customFormat="false" ht="15" hidden="false" customHeight="false" outlineLevel="0" collapsed="false">
      <c r="A1600" s="0" t="s">
        <v>222</v>
      </c>
      <c r="B1600" s="0" t="n">
        <v>2017</v>
      </c>
      <c r="C1600" s="0" t="s">
        <v>62</v>
      </c>
      <c r="D1600" s="0" t="n">
        <v>1980464</v>
      </c>
      <c r="E1600" s="0" t="n">
        <v>1</v>
      </c>
      <c r="F1600" s="0" t="s">
        <v>437</v>
      </c>
      <c r="G1600" s="0" t="s">
        <v>7040</v>
      </c>
      <c r="I1600" s="0" t="s">
        <v>1551</v>
      </c>
    </row>
    <row r="1601" customFormat="false" ht="15" hidden="false" customHeight="false" outlineLevel="0" collapsed="false">
      <c r="A1601" s="0" t="s">
        <v>222</v>
      </c>
      <c r="B1601" s="0" t="n">
        <v>2017</v>
      </c>
      <c r="C1601" s="0" t="s">
        <v>63</v>
      </c>
      <c r="D1601" s="0" t="n">
        <v>95244</v>
      </c>
      <c r="E1601" s="0" t="n">
        <v>1</v>
      </c>
      <c r="F1601" s="0" t="s">
        <v>437</v>
      </c>
      <c r="G1601" s="0" t="s">
        <v>7040</v>
      </c>
      <c r="I1601" s="0" t="s">
        <v>1552</v>
      </c>
    </row>
    <row r="1602" customFormat="false" ht="15" hidden="false" customHeight="false" outlineLevel="0" collapsed="false">
      <c r="A1602" s="0" t="s">
        <v>222</v>
      </c>
      <c r="B1602" s="0" t="n">
        <v>2017</v>
      </c>
      <c r="C1602" s="0" t="s">
        <v>64</v>
      </c>
      <c r="D1602" s="0" t="n">
        <v>91738</v>
      </c>
      <c r="E1602" s="0" t="n">
        <v>1</v>
      </c>
      <c r="F1602" s="0" t="s">
        <v>437</v>
      </c>
      <c r="G1602" s="0" t="s">
        <v>7040</v>
      </c>
      <c r="I1602" s="0" t="s">
        <v>1553</v>
      </c>
    </row>
    <row r="1603" customFormat="false" ht="15" hidden="false" customHeight="false" outlineLevel="0" collapsed="false">
      <c r="A1603" s="0" t="s">
        <v>222</v>
      </c>
      <c r="B1603" s="0" t="n">
        <v>2017</v>
      </c>
      <c r="C1603" s="0" t="s">
        <v>69</v>
      </c>
      <c r="D1603" s="0" t="n">
        <v>24</v>
      </c>
      <c r="E1603" s="0" t="n">
        <v>1</v>
      </c>
      <c r="F1603" s="0" t="s">
        <v>437</v>
      </c>
      <c r="G1603" s="0" t="s">
        <v>7040</v>
      </c>
      <c r="I1603" s="0" t="s">
        <v>1554</v>
      </c>
    </row>
    <row r="1604" customFormat="false" ht="15" hidden="false" customHeight="false" outlineLevel="0" collapsed="false">
      <c r="A1604" s="0" t="s">
        <v>222</v>
      </c>
      <c r="B1604" s="0" t="n">
        <v>2017</v>
      </c>
      <c r="C1604" s="0" t="s">
        <v>65</v>
      </c>
      <c r="D1604" s="0" t="n">
        <v>652237</v>
      </c>
      <c r="E1604" s="0" t="n">
        <v>1</v>
      </c>
      <c r="F1604" s="0" t="s">
        <v>437</v>
      </c>
      <c r="G1604" s="0" t="s">
        <v>7040</v>
      </c>
      <c r="I1604" s="0" t="s">
        <v>1555</v>
      </c>
    </row>
    <row r="1605" customFormat="false" ht="15" hidden="false" customHeight="false" outlineLevel="0" collapsed="false">
      <c r="A1605" s="0" t="s">
        <v>222</v>
      </c>
      <c r="B1605" s="0" t="n">
        <v>2017</v>
      </c>
      <c r="C1605" s="0" t="s">
        <v>66</v>
      </c>
      <c r="D1605" s="0" t="n">
        <v>2670248</v>
      </c>
      <c r="E1605" s="0" t="n">
        <v>1</v>
      </c>
      <c r="F1605" s="0" t="s">
        <v>437</v>
      </c>
      <c r="G1605" s="0" t="s">
        <v>7040</v>
      </c>
      <c r="I1605" s="0" t="s">
        <v>1556</v>
      </c>
    </row>
    <row r="1606" customFormat="false" ht="15" hidden="false" customHeight="false" outlineLevel="0" collapsed="false">
      <c r="A1606" s="0" t="s">
        <v>222</v>
      </c>
      <c r="B1606" s="0" t="n">
        <v>2017</v>
      </c>
      <c r="C1606" s="0" t="s">
        <v>541</v>
      </c>
      <c r="D1606" s="0" t="n">
        <v>173563</v>
      </c>
      <c r="E1606" s="0" t="n">
        <v>1</v>
      </c>
      <c r="F1606" s="0" t="s">
        <v>437</v>
      </c>
      <c r="G1606" s="0" t="s">
        <v>7040</v>
      </c>
      <c r="I1606" s="0" t="s">
        <v>1557</v>
      </c>
    </row>
    <row r="1607" customFormat="false" ht="15" hidden="false" customHeight="false" outlineLevel="0" collapsed="false">
      <c r="A1607" s="0" t="s">
        <v>222</v>
      </c>
      <c r="B1607" s="0" t="n">
        <v>2017</v>
      </c>
      <c r="C1607" s="0" t="s">
        <v>543</v>
      </c>
      <c r="D1607" s="0" t="n">
        <v>68443</v>
      </c>
      <c r="E1607" s="0" t="n">
        <v>1</v>
      </c>
      <c r="F1607" s="0" t="s">
        <v>437</v>
      </c>
      <c r="G1607" s="0" t="s">
        <v>7040</v>
      </c>
      <c r="I1607" s="0" t="s">
        <v>1558</v>
      </c>
    </row>
    <row r="1608" customFormat="false" ht="15" hidden="false" customHeight="false" outlineLevel="0" collapsed="false">
      <c r="A1608" s="0" t="s">
        <v>222</v>
      </c>
      <c r="B1608" s="0" t="n">
        <v>2017</v>
      </c>
      <c r="C1608" s="0" t="s">
        <v>545</v>
      </c>
      <c r="D1608" s="0" t="n">
        <v>68162</v>
      </c>
      <c r="E1608" s="0" t="n">
        <v>1</v>
      </c>
      <c r="F1608" s="0" t="s">
        <v>437</v>
      </c>
      <c r="G1608" s="0" t="s">
        <v>7040</v>
      </c>
      <c r="I1608" s="0" t="s">
        <v>1559</v>
      </c>
    </row>
    <row r="1609" customFormat="false" ht="15" hidden="false" customHeight="false" outlineLevel="0" collapsed="false">
      <c r="A1609" s="0" t="s">
        <v>222</v>
      </c>
      <c r="B1609" s="0" t="n">
        <v>2018</v>
      </c>
      <c r="C1609" s="0" t="s">
        <v>54</v>
      </c>
      <c r="D1609" s="0" t="n">
        <v>165480</v>
      </c>
      <c r="E1609" s="0" t="n">
        <v>1</v>
      </c>
      <c r="F1609" s="0" t="s">
        <v>437</v>
      </c>
      <c r="G1609" s="0" t="s">
        <v>7040</v>
      </c>
      <c r="I1609" s="0" t="s">
        <v>1560</v>
      </c>
    </row>
    <row r="1610" customFormat="false" ht="15" hidden="false" customHeight="false" outlineLevel="0" collapsed="false">
      <c r="A1610" s="0" t="s">
        <v>222</v>
      </c>
      <c r="B1610" s="0" t="n">
        <v>2018</v>
      </c>
      <c r="C1610" s="0" t="s">
        <v>55</v>
      </c>
      <c r="D1610" s="0" t="n">
        <v>4955445</v>
      </c>
      <c r="E1610" s="0" t="n">
        <v>1</v>
      </c>
      <c r="F1610" s="0" t="s">
        <v>437</v>
      </c>
      <c r="G1610" s="0" t="s">
        <v>7040</v>
      </c>
      <c r="I1610" s="0" t="s">
        <v>1561</v>
      </c>
    </row>
    <row r="1611" customFormat="false" ht="15" hidden="false" customHeight="false" outlineLevel="0" collapsed="false">
      <c r="A1611" s="0" t="s">
        <v>222</v>
      </c>
      <c r="B1611" s="0" t="n">
        <v>2018</v>
      </c>
      <c r="C1611" s="0" t="s">
        <v>56</v>
      </c>
      <c r="D1611" s="0" t="n">
        <v>4280413</v>
      </c>
      <c r="E1611" s="0" t="n">
        <v>1</v>
      </c>
      <c r="F1611" s="0" t="s">
        <v>437</v>
      </c>
      <c r="G1611" s="0" t="s">
        <v>7040</v>
      </c>
      <c r="I1611" s="0" t="s">
        <v>1562</v>
      </c>
    </row>
    <row r="1612" customFormat="false" ht="15" hidden="false" customHeight="false" outlineLevel="0" collapsed="false">
      <c r="A1612" s="0" t="s">
        <v>222</v>
      </c>
      <c r="B1612" s="0" t="n">
        <v>2018</v>
      </c>
      <c r="C1612" s="0" t="s">
        <v>57</v>
      </c>
      <c r="D1612" s="0" t="n">
        <v>675032</v>
      </c>
      <c r="E1612" s="0" t="n">
        <v>1</v>
      </c>
      <c r="F1612" s="0" t="s">
        <v>437</v>
      </c>
      <c r="G1612" s="0" t="s">
        <v>7040</v>
      </c>
      <c r="I1612" s="0" t="s">
        <v>1563</v>
      </c>
    </row>
    <row r="1613" customFormat="false" ht="15" hidden="false" customHeight="false" outlineLevel="0" collapsed="false">
      <c r="A1613" s="0" t="s">
        <v>222</v>
      </c>
      <c r="B1613" s="0" t="n">
        <v>2018</v>
      </c>
      <c r="C1613" s="0" t="s">
        <v>58</v>
      </c>
      <c r="D1613" s="0" t="n">
        <v>184314</v>
      </c>
      <c r="E1613" s="0" t="n">
        <v>1</v>
      </c>
      <c r="F1613" s="0" t="s">
        <v>437</v>
      </c>
      <c r="G1613" s="0" t="s">
        <v>7040</v>
      </c>
      <c r="I1613" s="0" t="s">
        <v>1564</v>
      </c>
    </row>
    <row r="1614" customFormat="false" ht="15" hidden="false" customHeight="false" outlineLevel="0" collapsed="false">
      <c r="A1614" s="0" t="s">
        <v>222</v>
      </c>
      <c r="B1614" s="0" t="n">
        <v>2018</v>
      </c>
      <c r="C1614" s="0" t="s">
        <v>59</v>
      </c>
      <c r="D1614" s="0" t="n">
        <v>4833658</v>
      </c>
      <c r="E1614" s="0" t="n">
        <v>1</v>
      </c>
      <c r="F1614" s="0" t="s">
        <v>437</v>
      </c>
      <c r="G1614" s="0" t="s">
        <v>7040</v>
      </c>
      <c r="I1614" s="0" t="s">
        <v>1565</v>
      </c>
    </row>
    <row r="1615" customFormat="false" ht="15" hidden="false" customHeight="false" outlineLevel="0" collapsed="false">
      <c r="A1615" s="0" t="s">
        <v>222</v>
      </c>
      <c r="B1615" s="0" t="n">
        <v>2018</v>
      </c>
      <c r="C1615" s="0" t="s">
        <v>60</v>
      </c>
      <c r="D1615" s="0" t="n">
        <v>1921064</v>
      </c>
      <c r="E1615" s="0" t="n">
        <v>1</v>
      </c>
      <c r="F1615" s="0" t="s">
        <v>437</v>
      </c>
      <c r="G1615" s="0" t="s">
        <v>7040</v>
      </c>
      <c r="I1615" s="0" t="s">
        <v>1566</v>
      </c>
    </row>
    <row r="1616" customFormat="false" ht="15" hidden="false" customHeight="false" outlineLevel="0" collapsed="false">
      <c r="A1616" s="0" t="s">
        <v>222</v>
      </c>
      <c r="B1616" s="0" t="n">
        <v>2018</v>
      </c>
      <c r="C1616" s="0" t="s">
        <v>61</v>
      </c>
      <c r="D1616" s="0" t="n">
        <v>184998</v>
      </c>
      <c r="E1616" s="0" t="n">
        <v>1</v>
      </c>
      <c r="F1616" s="0" t="s">
        <v>437</v>
      </c>
      <c r="G1616" s="0" t="s">
        <v>7040</v>
      </c>
      <c r="I1616" s="0" t="s">
        <v>1567</v>
      </c>
    </row>
    <row r="1617" customFormat="false" ht="15" hidden="false" customHeight="false" outlineLevel="0" collapsed="false">
      <c r="A1617" s="0" t="s">
        <v>222</v>
      </c>
      <c r="B1617" s="0" t="n">
        <v>2018</v>
      </c>
      <c r="C1617" s="0" t="s">
        <v>62</v>
      </c>
      <c r="D1617" s="0" t="n">
        <v>1736066</v>
      </c>
      <c r="E1617" s="0" t="n">
        <v>1</v>
      </c>
      <c r="F1617" s="0" t="s">
        <v>437</v>
      </c>
      <c r="G1617" s="0" t="s">
        <v>7040</v>
      </c>
      <c r="I1617" s="0" t="s">
        <v>1568</v>
      </c>
    </row>
    <row r="1618" customFormat="false" ht="15" hidden="false" customHeight="false" outlineLevel="0" collapsed="false">
      <c r="A1618" s="0" t="s">
        <v>222</v>
      </c>
      <c r="B1618" s="0" t="n">
        <v>2018</v>
      </c>
      <c r="C1618" s="0" t="s">
        <v>63</v>
      </c>
      <c r="D1618" s="0" t="n">
        <v>15313</v>
      </c>
      <c r="E1618" s="0" t="n">
        <v>1</v>
      </c>
      <c r="F1618" s="0" t="s">
        <v>437</v>
      </c>
      <c r="G1618" s="0" t="s">
        <v>7040</v>
      </c>
      <c r="I1618" s="0" t="s">
        <v>1569</v>
      </c>
    </row>
    <row r="1619" customFormat="false" ht="15" hidden="false" customHeight="false" outlineLevel="0" collapsed="false">
      <c r="A1619" s="0" t="s">
        <v>222</v>
      </c>
      <c r="B1619" s="0" t="n">
        <v>2018</v>
      </c>
      <c r="C1619" s="0" t="s">
        <v>64</v>
      </c>
      <c r="D1619" s="0" t="n">
        <v>92630</v>
      </c>
      <c r="E1619" s="0" t="n">
        <v>1</v>
      </c>
      <c r="F1619" s="0" t="s">
        <v>437</v>
      </c>
      <c r="G1619" s="0" t="s">
        <v>7040</v>
      </c>
      <c r="I1619" s="0" t="s">
        <v>1570</v>
      </c>
    </row>
    <row r="1620" customFormat="false" ht="15" hidden="false" customHeight="false" outlineLevel="0" collapsed="false">
      <c r="A1620" s="0" t="s">
        <v>222</v>
      </c>
      <c r="B1620" s="0" t="n">
        <v>2018</v>
      </c>
      <c r="C1620" s="0" t="s">
        <v>69</v>
      </c>
      <c r="D1620" s="0" t="n">
        <v>24</v>
      </c>
      <c r="E1620" s="0" t="n">
        <v>1</v>
      </c>
      <c r="F1620" s="0" t="s">
        <v>437</v>
      </c>
      <c r="G1620" s="0" t="s">
        <v>7040</v>
      </c>
      <c r="I1620" s="0" t="s">
        <v>1571</v>
      </c>
    </row>
    <row r="1621" customFormat="false" ht="15" hidden="false" customHeight="false" outlineLevel="0" collapsed="false">
      <c r="A1621" s="0" t="s">
        <v>222</v>
      </c>
      <c r="B1621" s="0" t="n">
        <v>2018</v>
      </c>
      <c r="C1621" s="0" t="s">
        <v>614</v>
      </c>
      <c r="D1621" s="0" t="n">
        <v>26</v>
      </c>
      <c r="E1621" s="0" t="n">
        <v>1</v>
      </c>
      <c r="F1621" s="0" t="s">
        <v>437</v>
      </c>
      <c r="G1621" s="0" t="s">
        <v>7040</v>
      </c>
      <c r="I1621" s="0" t="s">
        <v>1572</v>
      </c>
    </row>
    <row r="1622" customFormat="false" ht="15" hidden="false" customHeight="false" outlineLevel="0" collapsed="false">
      <c r="A1622" s="0" t="s">
        <v>222</v>
      </c>
      <c r="B1622" s="0" t="n">
        <v>2018</v>
      </c>
      <c r="C1622" s="0" t="s">
        <v>65</v>
      </c>
      <c r="D1622" s="0" t="n">
        <v>641524</v>
      </c>
      <c r="E1622" s="0" t="n">
        <v>1</v>
      </c>
      <c r="F1622" s="0" t="s">
        <v>437</v>
      </c>
      <c r="G1622" s="0" t="s">
        <v>7040</v>
      </c>
      <c r="I1622" s="0" t="s">
        <v>1573</v>
      </c>
    </row>
    <row r="1623" customFormat="false" ht="15" hidden="false" customHeight="false" outlineLevel="0" collapsed="false">
      <c r="A1623" s="0" t="s">
        <v>222</v>
      </c>
      <c r="B1623" s="0" t="n">
        <v>2018</v>
      </c>
      <c r="C1623" s="0" t="s">
        <v>66</v>
      </c>
      <c r="D1623" s="0" t="n">
        <v>2690329</v>
      </c>
      <c r="E1623" s="0" t="n">
        <v>1</v>
      </c>
      <c r="F1623" s="0" t="s">
        <v>437</v>
      </c>
      <c r="G1623" s="0" t="s">
        <v>7040</v>
      </c>
      <c r="I1623" s="0" t="s">
        <v>1574</v>
      </c>
    </row>
    <row r="1624" customFormat="false" ht="15" hidden="false" customHeight="false" outlineLevel="0" collapsed="false">
      <c r="A1624" s="0" t="s">
        <v>222</v>
      </c>
      <c r="B1624" s="0" t="n">
        <v>2018</v>
      </c>
      <c r="C1624" s="0" t="s">
        <v>619</v>
      </c>
      <c r="D1624" s="0" t="n">
        <v>703653</v>
      </c>
      <c r="E1624" s="0" t="n">
        <v>1</v>
      </c>
      <c r="F1624" s="0" t="s">
        <v>437</v>
      </c>
      <c r="G1624" s="0" t="s">
        <v>7040</v>
      </c>
      <c r="I1624" s="0" t="s">
        <v>1575</v>
      </c>
    </row>
    <row r="1625" customFormat="false" ht="15" hidden="false" customHeight="false" outlineLevel="0" collapsed="false">
      <c r="A1625" s="0" t="s">
        <v>222</v>
      </c>
      <c r="B1625" s="0" t="n">
        <v>2018</v>
      </c>
      <c r="C1625" s="0" t="s">
        <v>541</v>
      </c>
      <c r="D1625" s="0" t="n">
        <v>192107</v>
      </c>
      <c r="E1625" s="0" t="n">
        <v>1</v>
      </c>
      <c r="F1625" s="0" t="s">
        <v>437</v>
      </c>
      <c r="G1625" s="0" t="s">
        <v>7040</v>
      </c>
      <c r="I1625" s="0" t="s">
        <v>1576</v>
      </c>
    </row>
    <row r="1626" customFormat="false" ht="15" hidden="false" customHeight="false" outlineLevel="0" collapsed="false">
      <c r="A1626" s="0" t="s">
        <v>222</v>
      </c>
      <c r="B1626" s="0" t="n">
        <v>2019</v>
      </c>
      <c r="C1626" s="0" t="s">
        <v>54</v>
      </c>
      <c r="D1626" s="0" t="n">
        <v>178003</v>
      </c>
      <c r="E1626" s="0" t="n">
        <v>1</v>
      </c>
      <c r="F1626" s="0" t="s">
        <v>437</v>
      </c>
      <c r="G1626" s="0" t="s">
        <v>7040</v>
      </c>
      <c r="I1626" s="0" t="s">
        <v>1577</v>
      </c>
    </row>
    <row r="1627" customFormat="false" ht="15" hidden="false" customHeight="false" outlineLevel="0" collapsed="false">
      <c r="A1627" s="0" t="s">
        <v>222</v>
      </c>
      <c r="B1627" s="0" t="n">
        <v>2019</v>
      </c>
      <c r="C1627" s="0" t="s">
        <v>55</v>
      </c>
      <c r="D1627" s="0" t="n">
        <v>5435073</v>
      </c>
      <c r="E1627" s="0" t="n">
        <v>1</v>
      </c>
      <c r="F1627" s="0" t="s">
        <v>437</v>
      </c>
      <c r="G1627" s="0" t="s">
        <v>7040</v>
      </c>
      <c r="I1627" s="0" t="s">
        <v>1578</v>
      </c>
    </row>
    <row r="1628" customFormat="false" ht="15" hidden="false" customHeight="false" outlineLevel="0" collapsed="false">
      <c r="A1628" s="0" t="s">
        <v>222</v>
      </c>
      <c r="B1628" s="0" t="n">
        <v>2019</v>
      </c>
      <c r="C1628" s="0" t="s">
        <v>56</v>
      </c>
      <c r="D1628" s="0" t="n">
        <v>4656078</v>
      </c>
      <c r="E1628" s="0" t="n">
        <v>1</v>
      </c>
      <c r="F1628" s="0" t="s">
        <v>437</v>
      </c>
      <c r="G1628" s="0" t="s">
        <v>7040</v>
      </c>
      <c r="I1628" s="0" t="s">
        <v>1579</v>
      </c>
    </row>
    <row r="1629" customFormat="false" ht="15" hidden="false" customHeight="false" outlineLevel="0" collapsed="false">
      <c r="A1629" s="0" t="s">
        <v>222</v>
      </c>
      <c r="B1629" s="0" t="n">
        <v>2019</v>
      </c>
      <c r="C1629" s="0" t="s">
        <v>57</v>
      </c>
      <c r="D1629" s="0" t="n">
        <v>778995</v>
      </c>
      <c r="E1629" s="0" t="n">
        <v>1</v>
      </c>
      <c r="F1629" s="0" t="s">
        <v>437</v>
      </c>
      <c r="G1629" s="0" t="s">
        <v>7040</v>
      </c>
      <c r="I1629" s="0" t="s">
        <v>1580</v>
      </c>
    </row>
    <row r="1630" customFormat="false" ht="15" hidden="false" customHeight="false" outlineLevel="0" collapsed="false">
      <c r="A1630" s="0" t="s">
        <v>222</v>
      </c>
      <c r="B1630" s="0" t="n">
        <v>2019</v>
      </c>
      <c r="C1630" s="0" t="s">
        <v>58</v>
      </c>
      <c r="D1630" s="0" t="n">
        <v>390093</v>
      </c>
      <c r="E1630" s="0" t="n">
        <v>1</v>
      </c>
      <c r="F1630" s="0" t="s">
        <v>437</v>
      </c>
      <c r="G1630" s="0" t="s">
        <v>7040</v>
      </c>
      <c r="I1630" s="0" t="s">
        <v>1581</v>
      </c>
    </row>
    <row r="1631" customFormat="false" ht="15" hidden="false" customHeight="false" outlineLevel="0" collapsed="false">
      <c r="A1631" s="0" t="s">
        <v>222</v>
      </c>
      <c r="B1631" s="0" t="n">
        <v>2019</v>
      </c>
      <c r="C1631" s="0" t="s">
        <v>59</v>
      </c>
      <c r="D1631" s="0" t="n">
        <v>4955445</v>
      </c>
      <c r="E1631" s="0" t="n">
        <v>1</v>
      </c>
      <c r="F1631" s="0" t="s">
        <v>437</v>
      </c>
      <c r="G1631" s="0" t="s">
        <v>7040</v>
      </c>
      <c r="I1631" s="0" t="s">
        <v>1582</v>
      </c>
    </row>
    <row r="1632" customFormat="false" ht="15" hidden="false" customHeight="false" outlineLevel="0" collapsed="false">
      <c r="A1632" s="0" t="s">
        <v>222</v>
      </c>
      <c r="B1632" s="0" t="n">
        <v>2019</v>
      </c>
      <c r="C1632" s="0" t="s">
        <v>60</v>
      </c>
      <c r="D1632" s="0" t="n">
        <v>2390651</v>
      </c>
      <c r="E1632" s="0" t="n">
        <v>1</v>
      </c>
      <c r="F1632" s="0" t="s">
        <v>437</v>
      </c>
      <c r="G1632" s="0" t="s">
        <v>7040</v>
      </c>
      <c r="I1632" s="0" t="s">
        <v>1583</v>
      </c>
    </row>
    <row r="1633" customFormat="false" ht="15" hidden="false" customHeight="false" outlineLevel="0" collapsed="false">
      <c r="A1633" s="0" t="s">
        <v>222</v>
      </c>
      <c r="B1633" s="0" t="n">
        <v>2019</v>
      </c>
      <c r="C1633" s="0" t="s">
        <v>61</v>
      </c>
      <c r="D1633" s="0" t="n">
        <v>151179</v>
      </c>
      <c r="E1633" s="0" t="n">
        <v>1</v>
      </c>
      <c r="F1633" s="0" t="s">
        <v>437</v>
      </c>
      <c r="G1633" s="0" t="s">
        <v>7040</v>
      </c>
      <c r="I1633" s="0" t="s">
        <v>1584</v>
      </c>
    </row>
    <row r="1634" customFormat="false" ht="15" hidden="false" customHeight="false" outlineLevel="0" collapsed="false">
      <c r="A1634" s="0" t="s">
        <v>222</v>
      </c>
      <c r="B1634" s="0" t="n">
        <v>2019</v>
      </c>
      <c r="C1634" s="0" t="s">
        <v>62</v>
      </c>
      <c r="D1634" s="0" t="n">
        <v>2239472</v>
      </c>
      <c r="E1634" s="0" t="n">
        <v>1</v>
      </c>
      <c r="F1634" s="0" t="s">
        <v>437</v>
      </c>
      <c r="G1634" s="0" t="s">
        <v>7040</v>
      </c>
      <c r="I1634" s="0" t="s">
        <v>1585</v>
      </c>
    </row>
    <row r="1635" customFormat="false" ht="15" hidden="false" customHeight="false" outlineLevel="0" collapsed="false">
      <c r="A1635" s="0" t="s">
        <v>222</v>
      </c>
      <c r="B1635" s="0" t="n">
        <v>2019</v>
      </c>
      <c r="C1635" s="0" t="s">
        <v>63</v>
      </c>
      <c r="D1635" s="0" t="n">
        <v>23393</v>
      </c>
      <c r="E1635" s="0" t="n">
        <v>1</v>
      </c>
      <c r="F1635" s="0" t="s">
        <v>437</v>
      </c>
      <c r="G1635" s="0" t="s">
        <v>7040</v>
      </c>
      <c r="I1635" s="0" t="s">
        <v>1586</v>
      </c>
    </row>
    <row r="1636" customFormat="false" ht="15" hidden="false" customHeight="false" outlineLevel="0" collapsed="false">
      <c r="A1636" s="0" t="s">
        <v>222</v>
      </c>
      <c r="B1636" s="0" t="n">
        <v>2019</v>
      </c>
      <c r="C1636" s="0" t="s">
        <v>64</v>
      </c>
      <c r="D1636" s="0" t="n">
        <v>99457</v>
      </c>
      <c r="E1636" s="0" t="n">
        <v>1</v>
      </c>
      <c r="F1636" s="0" t="s">
        <v>437</v>
      </c>
      <c r="G1636" s="0" t="s">
        <v>7040</v>
      </c>
      <c r="I1636" s="0" t="s">
        <v>1587</v>
      </c>
    </row>
    <row r="1637" customFormat="false" ht="15" hidden="false" customHeight="false" outlineLevel="0" collapsed="false">
      <c r="A1637" s="0" t="s">
        <v>222</v>
      </c>
      <c r="B1637" s="0" t="n">
        <v>2019</v>
      </c>
      <c r="C1637" s="0" t="s">
        <v>69</v>
      </c>
      <c r="D1637" s="0" t="n">
        <v>20</v>
      </c>
      <c r="E1637" s="0" t="n">
        <v>1</v>
      </c>
      <c r="F1637" s="0" t="s">
        <v>437</v>
      </c>
      <c r="G1637" s="0" t="s">
        <v>7040</v>
      </c>
      <c r="I1637" s="0" t="s">
        <v>1588</v>
      </c>
    </row>
    <row r="1638" customFormat="false" ht="15" hidden="false" customHeight="false" outlineLevel="0" collapsed="false">
      <c r="A1638" s="0" t="s">
        <v>222</v>
      </c>
      <c r="B1638" s="0" t="n">
        <v>2019</v>
      </c>
      <c r="C1638" s="0" t="s">
        <v>614</v>
      </c>
      <c r="D1638" s="0" t="n">
        <v>21</v>
      </c>
      <c r="E1638" s="0" t="n">
        <v>1</v>
      </c>
      <c r="F1638" s="0" t="s">
        <v>437</v>
      </c>
      <c r="G1638" s="0" t="s">
        <v>7040</v>
      </c>
      <c r="I1638" s="0" t="s">
        <v>1589</v>
      </c>
    </row>
    <row r="1639" customFormat="false" ht="15" hidden="false" customHeight="false" outlineLevel="0" collapsed="false">
      <c r="A1639" s="0" t="s">
        <v>222</v>
      </c>
      <c r="B1639" s="0" t="n">
        <v>2019</v>
      </c>
      <c r="C1639" s="0" t="s">
        <v>65</v>
      </c>
      <c r="D1639" s="0" t="n">
        <v>717901</v>
      </c>
      <c r="E1639" s="0" t="n">
        <v>1</v>
      </c>
      <c r="F1639" s="0" t="s">
        <v>437</v>
      </c>
      <c r="G1639" s="0" t="s">
        <v>7040</v>
      </c>
      <c r="I1639" s="0" t="s">
        <v>1590</v>
      </c>
    </row>
    <row r="1640" customFormat="false" ht="15" hidden="false" customHeight="false" outlineLevel="0" collapsed="false">
      <c r="A1640" s="0" t="s">
        <v>222</v>
      </c>
      <c r="B1640" s="0" t="n">
        <v>2019</v>
      </c>
      <c r="C1640" s="0" t="s">
        <v>66</v>
      </c>
      <c r="D1640" s="0" t="n">
        <v>3669402</v>
      </c>
      <c r="E1640" s="0" t="n">
        <v>1</v>
      </c>
      <c r="F1640" s="0" t="s">
        <v>437</v>
      </c>
      <c r="G1640" s="0" t="s">
        <v>7040</v>
      </c>
      <c r="I1640" s="0" t="s">
        <v>1591</v>
      </c>
    </row>
    <row r="1641" customFormat="false" ht="15" hidden="false" customHeight="false" outlineLevel="0" collapsed="false">
      <c r="A1641" s="0" t="s">
        <v>222</v>
      </c>
      <c r="B1641" s="0" t="n">
        <v>2019</v>
      </c>
      <c r="C1641" s="0" t="s">
        <v>619</v>
      </c>
      <c r="D1641" s="0" t="n">
        <v>759321</v>
      </c>
      <c r="E1641" s="0" t="n">
        <v>1</v>
      </c>
      <c r="F1641" s="0" t="s">
        <v>437</v>
      </c>
      <c r="G1641" s="0" t="s">
        <v>7040</v>
      </c>
      <c r="I1641" s="0" t="s">
        <v>1592</v>
      </c>
    </row>
    <row r="1642" customFormat="false" ht="15" hidden="false" customHeight="false" outlineLevel="0" collapsed="false">
      <c r="A1642" s="0" t="s">
        <v>222</v>
      </c>
      <c r="B1642" s="0" t="n">
        <v>2019</v>
      </c>
      <c r="C1642" s="0" t="s">
        <v>73</v>
      </c>
      <c r="D1642" s="0" t="n">
        <v>0</v>
      </c>
      <c r="E1642" s="0" t="n">
        <v>1</v>
      </c>
      <c r="F1642" s="0" t="s">
        <v>437</v>
      </c>
      <c r="G1642" s="0" t="s">
        <v>7040</v>
      </c>
      <c r="I1642" s="0" t="s">
        <v>1593</v>
      </c>
    </row>
    <row r="1643" customFormat="false" ht="15" hidden="false" customHeight="false" outlineLevel="0" collapsed="false">
      <c r="A1643" s="0" t="s">
        <v>222</v>
      </c>
      <c r="B1643" s="0" t="n">
        <v>2019</v>
      </c>
      <c r="C1643" s="0" t="s">
        <v>541</v>
      </c>
      <c r="D1643" s="0" t="n">
        <v>200020</v>
      </c>
      <c r="E1643" s="0" t="n">
        <v>1</v>
      </c>
      <c r="F1643" s="0" t="s">
        <v>437</v>
      </c>
      <c r="G1643" s="0" t="s">
        <v>7040</v>
      </c>
      <c r="I1643" s="0" t="s">
        <v>1594</v>
      </c>
    </row>
    <row r="1644" customFormat="false" ht="15" hidden="false" customHeight="false" outlineLevel="0" collapsed="false">
      <c r="A1644" s="0" t="s">
        <v>222</v>
      </c>
      <c r="B1644" s="0" t="n">
        <v>2020</v>
      </c>
      <c r="C1644" s="0" t="s">
        <v>54</v>
      </c>
      <c r="D1644" s="0" t="n">
        <v>197852</v>
      </c>
      <c r="E1644" s="0" t="n">
        <v>1</v>
      </c>
      <c r="F1644" s="0" t="s">
        <v>437</v>
      </c>
      <c r="G1644" s="0" t="s">
        <v>7040</v>
      </c>
      <c r="I1644" s="0" t="s">
        <v>1595</v>
      </c>
    </row>
    <row r="1645" customFormat="false" ht="15" hidden="false" customHeight="false" outlineLevel="0" collapsed="false">
      <c r="A1645" s="0" t="s">
        <v>222</v>
      </c>
      <c r="B1645" s="0" t="n">
        <v>2020</v>
      </c>
      <c r="C1645" s="0" t="s">
        <v>55</v>
      </c>
      <c r="D1645" s="0" t="n">
        <v>7124987</v>
      </c>
      <c r="E1645" s="0" t="n">
        <v>1</v>
      </c>
      <c r="F1645" s="0" t="s">
        <v>437</v>
      </c>
      <c r="G1645" s="0" t="s">
        <v>7040</v>
      </c>
      <c r="I1645" s="0" t="s">
        <v>1596</v>
      </c>
    </row>
    <row r="1646" customFormat="false" ht="15" hidden="false" customHeight="false" outlineLevel="0" collapsed="false">
      <c r="A1646" s="0" t="s">
        <v>222</v>
      </c>
      <c r="B1646" s="0" t="n">
        <v>2020</v>
      </c>
      <c r="C1646" s="0" t="s">
        <v>56</v>
      </c>
      <c r="D1646" s="0" t="n">
        <v>6219755</v>
      </c>
      <c r="E1646" s="0" t="n">
        <v>1</v>
      </c>
      <c r="F1646" s="0" t="s">
        <v>437</v>
      </c>
      <c r="G1646" s="0" t="s">
        <v>7040</v>
      </c>
      <c r="I1646" s="0" t="s">
        <v>1597</v>
      </c>
    </row>
    <row r="1647" customFormat="false" ht="15" hidden="false" customHeight="false" outlineLevel="0" collapsed="false">
      <c r="A1647" s="0" t="s">
        <v>222</v>
      </c>
      <c r="B1647" s="0" t="n">
        <v>2020</v>
      </c>
      <c r="C1647" s="0" t="s">
        <v>57</v>
      </c>
      <c r="D1647" s="0" t="n">
        <v>905232</v>
      </c>
      <c r="E1647" s="0" t="n">
        <v>1</v>
      </c>
      <c r="F1647" s="0" t="s">
        <v>437</v>
      </c>
      <c r="G1647" s="0" t="s">
        <v>7040</v>
      </c>
      <c r="I1647" s="0" t="s">
        <v>1598</v>
      </c>
    </row>
    <row r="1648" customFormat="false" ht="15" hidden="false" customHeight="false" outlineLevel="0" collapsed="false">
      <c r="A1648" s="0" t="s">
        <v>222</v>
      </c>
      <c r="B1648" s="0" t="n">
        <v>2020</v>
      </c>
      <c r="C1648" s="0" t="s">
        <v>58</v>
      </c>
      <c r="D1648" s="0" t="n">
        <v>65920</v>
      </c>
      <c r="E1648" s="0" t="n">
        <v>1</v>
      </c>
      <c r="F1648" s="0" t="s">
        <v>437</v>
      </c>
      <c r="G1648" s="0" t="s">
        <v>7040</v>
      </c>
      <c r="I1648" s="0" t="s">
        <v>1599</v>
      </c>
    </row>
    <row r="1649" customFormat="false" ht="15" hidden="false" customHeight="false" outlineLevel="0" collapsed="false">
      <c r="A1649" s="0" t="s">
        <v>222</v>
      </c>
      <c r="B1649" s="0" t="n">
        <v>2020</v>
      </c>
      <c r="C1649" s="0" t="s">
        <v>59</v>
      </c>
      <c r="D1649" s="0" t="n">
        <v>5435073</v>
      </c>
      <c r="E1649" s="0" t="n">
        <v>1</v>
      </c>
      <c r="F1649" s="0" t="s">
        <v>437</v>
      </c>
      <c r="G1649" s="0" t="s">
        <v>7040</v>
      </c>
      <c r="I1649" s="0" t="s">
        <v>1600</v>
      </c>
    </row>
    <row r="1650" customFormat="false" ht="15" hidden="false" customHeight="false" outlineLevel="0" collapsed="false">
      <c r="A1650" s="0" t="s">
        <v>222</v>
      </c>
      <c r="B1650" s="0" t="n">
        <v>2020</v>
      </c>
      <c r="C1650" s="0" t="s">
        <v>60</v>
      </c>
      <c r="D1650" s="0" t="n">
        <v>2772663</v>
      </c>
      <c r="E1650" s="0" t="n">
        <v>1</v>
      </c>
      <c r="F1650" s="0" t="s">
        <v>437</v>
      </c>
      <c r="G1650" s="0" t="s">
        <v>7040</v>
      </c>
      <c r="I1650" s="0" t="s">
        <v>1601</v>
      </c>
    </row>
    <row r="1651" customFormat="false" ht="15" hidden="false" customHeight="false" outlineLevel="0" collapsed="false">
      <c r="A1651" s="0" t="s">
        <v>222</v>
      </c>
      <c r="B1651" s="0" t="n">
        <v>2020</v>
      </c>
      <c r="C1651" s="0" t="s">
        <v>61</v>
      </c>
      <c r="D1651" s="0" t="n">
        <v>132866</v>
      </c>
      <c r="E1651" s="0" t="n">
        <v>1</v>
      </c>
      <c r="F1651" s="0" t="s">
        <v>437</v>
      </c>
      <c r="G1651" s="0" t="s">
        <v>7040</v>
      </c>
      <c r="I1651" s="0" t="s">
        <v>1602</v>
      </c>
    </row>
    <row r="1652" customFormat="false" ht="15" hidden="false" customHeight="false" outlineLevel="0" collapsed="false">
      <c r="A1652" s="0" t="s">
        <v>222</v>
      </c>
      <c r="B1652" s="0" t="n">
        <v>2020</v>
      </c>
      <c r="C1652" s="0" t="s">
        <v>62</v>
      </c>
      <c r="D1652" s="0" t="n">
        <v>2639797</v>
      </c>
      <c r="E1652" s="0" t="n">
        <v>1</v>
      </c>
      <c r="F1652" s="0" t="s">
        <v>437</v>
      </c>
      <c r="G1652" s="0" t="s">
        <v>7040</v>
      </c>
      <c r="I1652" s="0" t="s">
        <v>1603</v>
      </c>
    </row>
    <row r="1653" customFormat="false" ht="15" hidden="false" customHeight="false" outlineLevel="0" collapsed="false">
      <c r="A1653" s="0" t="s">
        <v>222</v>
      </c>
      <c r="B1653" s="0" t="n">
        <v>2020</v>
      </c>
      <c r="C1653" s="0" t="s">
        <v>63</v>
      </c>
      <c r="D1653" s="0" t="n">
        <v>37237</v>
      </c>
      <c r="E1653" s="0" t="n">
        <v>1</v>
      </c>
      <c r="F1653" s="0" t="s">
        <v>437</v>
      </c>
      <c r="G1653" s="0" t="s">
        <v>7040</v>
      </c>
      <c r="I1653" s="0" t="s">
        <v>1604</v>
      </c>
    </row>
    <row r="1654" customFormat="false" ht="15" hidden="false" customHeight="false" outlineLevel="0" collapsed="false">
      <c r="A1654" s="0" t="s">
        <v>222</v>
      </c>
      <c r="B1654" s="0" t="n">
        <v>2020</v>
      </c>
      <c r="C1654" s="0" t="s">
        <v>73</v>
      </c>
      <c r="D1654" s="0" t="n">
        <v>0</v>
      </c>
      <c r="E1654" s="0" t="n">
        <v>1</v>
      </c>
      <c r="F1654" s="0" t="s">
        <v>437</v>
      </c>
      <c r="G1654" s="0" t="s">
        <v>7040</v>
      </c>
      <c r="I1654" s="0" t="s">
        <v>1605</v>
      </c>
    </row>
    <row r="1655" customFormat="false" ht="15" hidden="false" customHeight="false" outlineLevel="0" collapsed="false">
      <c r="A1655" s="0" t="s">
        <v>222</v>
      </c>
      <c r="B1655" s="0" t="n">
        <v>2020</v>
      </c>
      <c r="C1655" s="0" t="s">
        <v>541</v>
      </c>
      <c r="D1655" s="0" t="n">
        <v>210007</v>
      </c>
      <c r="E1655" s="0" t="n">
        <v>1</v>
      </c>
      <c r="F1655" s="0" t="s">
        <v>437</v>
      </c>
      <c r="G1655" s="0" t="s">
        <v>7040</v>
      </c>
      <c r="I1655" s="0" t="s">
        <v>1606</v>
      </c>
    </row>
    <row r="1656" customFormat="false" ht="15" hidden="false" customHeight="false" outlineLevel="0" collapsed="false">
      <c r="A1656" s="0" t="s">
        <v>222</v>
      </c>
      <c r="B1656" s="0" t="n">
        <v>2021</v>
      </c>
      <c r="C1656" s="0" t="s">
        <v>54</v>
      </c>
      <c r="D1656" s="0" t="n">
        <v>233133</v>
      </c>
      <c r="E1656" s="0" t="n">
        <v>1</v>
      </c>
      <c r="F1656" s="0" t="s">
        <v>437</v>
      </c>
      <c r="G1656" s="0" t="s">
        <v>7040</v>
      </c>
      <c r="I1656" s="0" t="s">
        <v>3781</v>
      </c>
    </row>
    <row r="1657" customFormat="false" ht="15" hidden="false" customHeight="false" outlineLevel="0" collapsed="false">
      <c r="A1657" s="0" t="s">
        <v>222</v>
      </c>
      <c r="B1657" s="0" t="n">
        <v>2021</v>
      </c>
      <c r="C1657" s="0" t="s">
        <v>55</v>
      </c>
      <c r="D1657" s="0" t="n">
        <v>7872292</v>
      </c>
      <c r="E1657" s="0" t="n">
        <v>1</v>
      </c>
      <c r="F1657" s="0" t="s">
        <v>437</v>
      </c>
      <c r="G1657" s="0" t="s">
        <v>7040</v>
      </c>
      <c r="I1657" s="0" t="s">
        <v>3788</v>
      </c>
    </row>
    <row r="1658" customFormat="false" ht="15" hidden="false" customHeight="false" outlineLevel="0" collapsed="false">
      <c r="A1658" s="0" t="s">
        <v>222</v>
      </c>
      <c r="B1658" s="0" t="n">
        <v>2021</v>
      </c>
      <c r="C1658" s="0" t="s">
        <v>56</v>
      </c>
      <c r="D1658" s="0" t="n">
        <v>6822517</v>
      </c>
      <c r="E1658" s="0" t="n">
        <v>1</v>
      </c>
      <c r="F1658" s="0" t="s">
        <v>437</v>
      </c>
      <c r="G1658" s="0" t="s">
        <v>7040</v>
      </c>
      <c r="I1658" s="0" t="s">
        <v>3789</v>
      </c>
    </row>
    <row r="1659" customFormat="false" ht="15" hidden="false" customHeight="false" outlineLevel="0" collapsed="false">
      <c r="A1659" s="0" t="s">
        <v>222</v>
      </c>
      <c r="B1659" s="0" t="n">
        <v>2021</v>
      </c>
      <c r="C1659" s="0" t="s">
        <v>57</v>
      </c>
      <c r="D1659" s="0" t="n">
        <v>1049775</v>
      </c>
      <c r="E1659" s="0" t="n">
        <v>1</v>
      </c>
      <c r="F1659" s="0" t="s">
        <v>437</v>
      </c>
      <c r="G1659" s="0" t="s">
        <v>7040</v>
      </c>
      <c r="I1659" s="0" t="s">
        <v>3790</v>
      </c>
    </row>
    <row r="1660" customFormat="false" ht="15" hidden="false" customHeight="false" outlineLevel="0" collapsed="false">
      <c r="A1660" s="0" t="s">
        <v>222</v>
      </c>
      <c r="B1660" s="0" t="n">
        <v>2021</v>
      </c>
      <c r="C1660" s="0" t="s">
        <v>58</v>
      </c>
      <c r="D1660" s="0" t="n">
        <v>457857</v>
      </c>
      <c r="E1660" s="0" t="n">
        <v>1</v>
      </c>
      <c r="F1660" s="0" t="s">
        <v>437</v>
      </c>
      <c r="G1660" s="0" t="s">
        <v>7040</v>
      </c>
      <c r="I1660" s="0" t="s">
        <v>3793</v>
      </c>
    </row>
    <row r="1661" customFormat="false" ht="15" hidden="false" customHeight="false" outlineLevel="0" collapsed="false">
      <c r="A1661" s="0" t="s">
        <v>222</v>
      </c>
      <c r="B1661" s="0" t="n">
        <v>2021</v>
      </c>
      <c r="C1661" s="0" t="s">
        <v>60</v>
      </c>
      <c r="D1661" s="0" t="n">
        <v>3237973</v>
      </c>
      <c r="E1661" s="0" t="n">
        <v>1</v>
      </c>
      <c r="F1661" s="0" t="s">
        <v>437</v>
      </c>
      <c r="G1661" s="0" t="s">
        <v>7040</v>
      </c>
      <c r="I1661" s="0" t="s">
        <v>3796</v>
      </c>
    </row>
    <row r="1662" customFormat="false" ht="15" hidden="false" customHeight="false" outlineLevel="0" collapsed="false">
      <c r="A1662" s="0" t="s">
        <v>222</v>
      </c>
      <c r="B1662" s="0" t="n">
        <v>2021</v>
      </c>
      <c r="C1662" s="0" t="s">
        <v>61</v>
      </c>
      <c r="D1662" s="0" t="n">
        <v>138521</v>
      </c>
      <c r="E1662" s="0" t="n">
        <v>1</v>
      </c>
      <c r="F1662" s="0" t="s">
        <v>437</v>
      </c>
      <c r="G1662" s="0" t="s">
        <v>7040</v>
      </c>
      <c r="I1662" s="0" t="s">
        <v>3797</v>
      </c>
    </row>
    <row r="1663" customFormat="false" ht="15" hidden="false" customHeight="false" outlineLevel="0" collapsed="false">
      <c r="A1663" s="0" t="s">
        <v>222</v>
      </c>
      <c r="B1663" s="0" t="n">
        <v>2021</v>
      </c>
      <c r="C1663" s="0" t="s">
        <v>62</v>
      </c>
      <c r="D1663" s="0" t="n">
        <v>3099452</v>
      </c>
      <c r="E1663" s="0" t="n">
        <v>1</v>
      </c>
      <c r="F1663" s="0" t="s">
        <v>437</v>
      </c>
      <c r="G1663" s="0" t="s">
        <v>7040</v>
      </c>
      <c r="I1663" s="0" t="s">
        <v>3791</v>
      </c>
    </row>
    <row r="1664" customFormat="false" ht="15" hidden="false" customHeight="false" outlineLevel="0" collapsed="false">
      <c r="A1664" s="0" t="s">
        <v>222</v>
      </c>
      <c r="B1664" s="0" t="n">
        <v>2021</v>
      </c>
      <c r="C1664" s="0" t="s">
        <v>63</v>
      </c>
      <c r="D1664" s="0" t="n">
        <v>56175</v>
      </c>
      <c r="E1664" s="0" t="n">
        <v>1</v>
      </c>
      <c r="F1664" s="0" t="s">
        <v>437</v>
      </c>
      <c r="G1664" s="0" t="s">
        <v>7040</v>
      </c>
      <c r="I1664" s="0" t="s">
        <v>3783</v>
      </c>
    </row>
    <row r="1665" customFormat="false" ht="15" hidden="false" customHeight="false" outlineLevel="0" collapsed="false">
      <c r="A1665" s="0" t="s">
        <v>222</v>
      </c>
      <c r="B1665" s="0" t="n">
        <v>2021</v>
      </c>
      <c r="C1665" s="0" t="s">
        <v>69</v>
      </c>
      <c r="D1665" s="0" t="n">
        <v>20</v>
      </c>
      <c r="E1665" s="0" t="n">
        <v>1</v>
      </c>
      <c r="F1665" s="0" t="s">
        <v>437</v>
      </c>
      <c r="G1665" s="0" t="s">
        <v>7040</v>
      </c>
      <c r="I1665" s="0" t="s">
        <v>3835</v>
      </c>
    </row>
    <row r="1666" customFormat="false" ht="15" hidden="false" customHeight="false" outlineLevel="0" collapsed="false">
      <c r="A1666" s="0" t="s">
        <v>222</v>
      </c>
      <c r="B1666" s="0" t="n">
        <v>2021</v>
      </c>
      <c r="C1666" s="0" t="s">
        <v>65</v>
      </c>
      <c r="D1666" s="0" t="n">
        <v>985934</v>
      </c>
      <c r="E1666" s="0" t="n">
        <v>1</v>
      </c>
      <c r="F1666" s="0" t="s">
        <v>437</v>
      </c>
      <c r="G1666" s="0" t="s">
        <v>7040</v>
      </c>
      <c r="I1666" s="0" t="s">
        <v>3833</v>
      </c>
    </row>
    <row r="1667" customFormat="false" ht="15" hidden="false" customHeight="false" outlineLevel="0" collapsed="false">
      <c r="A1667" s="0" t="s">
        <v>222</v>
      </c>
      <c r="B1667" s="0" t="n">
        <v>2021</v>
      </c>
      <c r="C1667" s="0" t="s">
        <v>66</v>
      </c>
      <c r="D1667" s="0" t="n">
        <v>5032121</v>
      </c>
      <c r="E1667" s="0" t="n">
        <v>1</v>
      </c>
      <c r="F1667" s="0" t="s">
        <v>437</v>
      </c>
      <c r="G1667" s="0" t="s">
        <v>7040</v>
      </c>
      <c r="I1667" s="0" t="s">
        <v>3834</v>
      </c>
    </row>
    <row r="1668" customFormat="false" ht="15" hidden="false" customHeight="false" outlineLevel="0" collapsed="false">
      <c r="A1668" s="0" t="s">
        <v>222</v>
      </c>
      <c r="B1668" s="0" t="n">
        <v>2021</v>
      </c>
      <c r="C1668" s="0" t="s">
        <v>541</v>
      </c>
      <c r="D1668" s="0" t="n">
        <v>257167</v>
      </c>
      <c r="E1668" s="0" t="n">
        <v>1</v>
      </c>
      <c r="F1668" s="0" t="s">
        <v>437</v>
      </c>
      <c r="G1668" s="0" t="s">
        <v>7040</v>
      </c>
      <c r="I1668" s="0" t="s">
        <v>3782</v>
      </c>
    </row>
    <row r="1669" customFormat="false" ht="15" hidden="false" customHeight="false" outlineLevel="0" collapsed="false">
      <c r="A1669" s="0" t="s">
        <v>222</v>
      </c>
      <c r="B1669" s="0" t="n">
        <v>2022</v>
      </c>
      <c r="C1669" s="0" t="s">
        <v>54</v>
      </c>
      <c r="D1669" s="0" t="n">
        <v>234593</v>
      </c>
      <c r="E1669" s="0" t="n">
        <v>1</v>
      </c>
      <c r="F1669" s="0" t="s">
        <v>437</v>
      </c>
      <c r="G1669" s="0" t="s">
        <v>7040</v>
      </c>
      <c r="I1669" s="0" t="s">
        <v>3778</v>
      </c>
    </row>
    <row r="1670" customFormat="false" ht="15" hidden="false" customHeight="false" outlineLevel="0" collapsed="false">
      <c r="A1670" s="0" t="s">
        <v>222</v>
      </c>
      <c r="B1670" s="0" t="n">
        <v>2022</v>
      </c>
      <c r="C1670" s="0" t="s">
        <v>55</v>
      </c>
      <c r="D1670" s="0" t="n">
        <v>10570678</v>
      </c>
      <c r="E1670" s="0" t="n">
        <v>1</v>
      </c>
      <c r="F1670" s="0" t="s">
        <v>437</v>
      </c>
      <c r="G1670" s="0" t="s">
        <v>7040</v>
      </c>
      <c r="I1670" s="0" t="s">
        <v>3784</v>
      </c>
    </row>
    <row r="1671" customFormat="false" ht="15" hidden="false" customHeight="false" outlineLevel="0" collapsed="false">
      <c r="A1671" s="0" t="s">
        <v>222</v>
      </c>
      <c r="B1671" s="0" t="n">
        <v>2022</v>
      </c>
      <c r="C1671" s="0" t="s">
        <v>56</v>
      </c>
      <c r="D1671" s="0" t="n">
        <v>9375531</v>
      </c>
      <c r="E1671" s="0" t="n">
        <v>1</v>
      </c>
      <c r="F1671" s="0" t="s">
        <v>437</v>
      </c>
      <c r="G1671" s="0" t="s">
        <v>7040</v>
      </c>
      <c r="I1671" s="0" t="s">
        <v>3785</v>
      </c>
    </row>
    <row r="1672" customFormat="false" ht="15" hidden="false" customHeight="false" outlineLevel="0" collapsed="false">
      <c r="A1672" s="0" t="s">
        <v>222</v>
      </c>
      <c r="B1672" s="0" t="n">
        <v>2022</v>
      </c>
      <c r="C1672" s="0" t="s">
        <v>57</v>
      </c>
      <c r="D1672" s="0" t="n">
        <v>1195147</v>
      </c>
      <c r="E1672" s="0" t="n">
        <v>1</v>
      </c>
      <c r="F1672" s="0" t="s">
        <v>437</v>
      </c>
      <c r="G1672" s="0" t="s">
        <v>7040</v>
      </c>
      <c r="I1672" s="0" t="s">
        <v>3786</v>
      </c>
    </row>
    <row r="1673" customFormat="false" ht="15" hidden="false" customHeight="false" outlineLevel="0" collapsed="false">
      <c r="A1673" s="0" t="s">
        <v>222</v>
      </c>
      <c r="B1673" s="0" t="n">
        <v>2022</v>
      </c>
      <c r="C1673" s="0" t="s">
        <v>58</v>
      </c>
      <c r="D1673" s="0" t="n">
        <v>1279758</v>
      </c>
      <c r="E1673" s="0" t="n">
        <v>1</v>
      </c>
      <c r="F1673" s="0" t="s">
        <v>437</v>
      </c>
      <c r="G1673" s="0" t="s">
        <v>7040</v>
      </c>
      <c r="I1673" s="0" t="s">
        <v>3792</v>
      </c>
    </row>
    <row r="1674" customFormat="false" ht="15" hidden="false" customHeight="false" outlineLevel="0" collapsed="false">
      <c r="A1674" s="0" t="s">
        <v>222</v>
      </c>
      <c r="B1674" s="0" t="n">
        <v>2022</v>
      </c>
      <c r="C1674" s="0" t="s">
        <v>59</v>
      </c>
      <c r="D1674" s="0" t="n">
        <v>7872292</v>
      </c>
      <c r="E1674" s="0" t="n">
        <v>1</v>
      </c>
      <c r="F1674" s="0" t="s">
        <v>437</v>
      </c>
      <c r="G1674" s="0" t="s">
        <v>7041</v>
      </c>
      <c r="I1674" s="0" t="s">
        <v>3788</v>
      </c>
    </row>
    <row r="1675" customFormat="false" ht="15" hidden="false" customHeight="false" outlineLevel="0" collapsed="false">
      <c r="A1675" s="0" t="s">
        <v>222</v>
      </c>
      <c r="B1675" s="0" t="n">
        <v>2022</v>
      </c>
      <c r="C1675" s="0" t="s">
        <v>60</v>
      </c>
      <c r="D1675" s="0" t="n">
        <v>3838805</v>
      </c>
      <c r="E1675" s="0" t="n">
        <v>1</v>
      </c>
      <c r="F1675" s="0" t="s">
        <v>437</v>
      </c>
      <c r="G1675" s="0" t="s">
        <v>7040</v>
      </c>
      <c r="I1675" s="0" t="s">
        <v>3794</v>
      </c>
    </row>
    <row r="1676" customFormat="false" ht="15" hidden="false" customHeight="false" outlineLevel="0" collapsed="false">
      <c r="A1676" s="0" t="s">
        <v>222</v>
      </c>
      <c r="B1676" s="0" t="n">
        <v>2022</v>
      </c>
      <c r="C1676" s="0" t="s">
        <v>61</v>
      </c>
      <c r="D1676" s="0" t="n">
        <v>103129</v>
      </c>
      <c r="E1676" s="0" t="n">
        <v>1</v>
      </c>
      <c r="F1676" s="0" t="s">
        <v>437</v>
      </c>
      <c r="G1676" s="0" t="s">
        <v>7040</v>
      </c>
      <c r="I1676" s="0" t="s">
        <v>3795</v>
      </c>
    </row>
    <row r="1677" customFormat="false" ht="15" hidden="false" customHeight="false" outlineLevel="0" collapsed="false">
      <c r="A1677" s="0" t="s">
        <v>222</v>
      </c>
      <c r="B1677" s="0" t="n">
        <v>2022</v>
      </c>
      <c r="C1677" s="0" t="s">
        <v>62</v>
      </c>
      <c r="D1677" s="0" t="n">
        <v>3735676</v>
      </c>
      <c r="E1677" s="0" t="n">
        <v>1</v>
      </c>
      <c r="F1677" s="0" t="s">
        <v>437</v>
      </c>
      <c r="G1677" s="0" t="s">
        <v>7040</v>
      </c>
      <c r="I1677" s="0" t="s">
        <v>3787</v>
      </c>
    </row>
    <row r="1678" customFormat="false" ht="15" hidden="false" customHeight="false" outlineLevel="0" collapsed="false">
      <c r="A1678" s="0" t="s">
        <v>222</v>
      </c>
      <c r="B1678" s="0" t="n">
        <v>2022</v>
      </c>
      <c r="C1678" s="0" t="s">
        <v>63</v>
      </c>
      <c r="D1678" s="0" t="n">
        <v>61896</v>
      </c>
      <c r="E1678" s="0" t="n">
        <v>1</v>
      </c>
      <c r="F1678" s="0" t="s">
        <v>437</v>
      </c>
      <c r="G1678" s="0" t="s">
        <v>7040</v>
      </c>
      <c r="I1678" s="0" t="s">
        <v>3780</v>
      </c>
    </row>
    <row r="1679" customFormat="false" ht="15" hidden="false" customHeight="false" outlineLevel="0" collapsed="false">
      <c r="A1679" s="0" t="s">
        <v>222</v>
      </c>
      <c r="B1679" s="0" t="n">
        <v>2022</v>
      </c>
      <c r="C1679" s="0" t="s">
        <v>69</v>
      </c>
      <c r="D1679" s="0" t="n">
        <v>19</v>
      </c>
      <c r="E1679" s="0" t="n">
        <v>1</v>
      </c>
      <c r="F1679" s="0" t="s">
        <v>437</v>
      </c>
      <c r="G1679" s="0" t="s">
        <v>7040</v>
      </c>
      <c r="I1679" s="0" t="s">
        <v>3832</v>
      </c>
    </row>
    <row r="1680" customFormat="false" ht="15" hidden="false" customHeight="false" outlineLevel="0" collapsed="false">
      <c r="A1680" s="0" t="s">
        <v>222</v>
      </c>
      <c r="B1680" s="0" t="n">
        <v>2022</v>
      </c>
      <c r="C1680" s="0" t="s">
        <v>65</v>
      </c>
      <c r="D1680" s="0" t="n">
        <v>1042652</v>
      </c>
      <c r="E1680" s="0" t="n">
        <v>1</v>
      </c>
      <c r="F1680" s="0" t="s">
        <v>437</v>
      </c>
      <c r="G1680" s="0" t="s">
        <v>7040</v>
      </c>
      <c r="I1680" s="0" t="s">
        <v>3829</v>
      </c>
    </row>
    <row r="1681" customFormat="false" ht="15" hidden="false" customHeight="false" outlineLevel="0" collapsed="false">
      <c r="A1681" s="0" t="s">
        <v>222</v>
      </c>
      <c r="B1681" s="0" t="n">
        <v>2022</v>
      </c>
      <c r="C1681" s="0" t="s">
        <v>66</v>
      </c>
      <c r="D1681" s="0" t="n">
        <v>5488669</v>
      </c>
      <c r="E1681" s="0" t="n">
        <v>1</v>
      </c>
      <c r="F1681" s="0" t="s">
        <v>437</v>
      </c>
      <c r="G1681" s="0" t="s">
        <v>7040</v>
      </c>
      <c r="I1681" s="0" t="s">
        <v>3831</v>
      </c>
    </row>
    <row r="1682" customFormat="false" ht="15" hidden="false" customHeight="false" outlineLevel="0" collapsed="false">
      <c r="A1682" s="0" t="s">
        <v>222</v>
      </c>
      <c r="B1682" s="0" t="n">
        <v>2022</v>
      </c>
      <c r="C1682" s="0" t="s">
        <v>541</v>
      </c>
      <c r="D1682" s="0" t="n">
        <v>294050</v>
      </c>
      <c r="E1682" s="0" t="n">
        <v>1</v>
      </c>
      <c r="F1682" s="0" t="s">
        <v>437</v>
      </c>
      <c r="G1682" s="0" t="s">
        <v>7040</v>
      </c>
      <c r="I1682" s="0" t="s">
        <v>3779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4"/>
    <col collapsed="false" customWidth="true" hidden="false" outlineLevel="0" max="7" min="7" style="0" width="12"/>
    <col collapsed="false" customWidth="true" hidden="false" outlineLevel="0" max="10" min="8" style="0" width="10"/>
    <col collapsed="false" customWidth="true" hidden="false" outlineLevel="0" max="11" min="11" style="0" width="23"/>
    <col collapsed="false" customWidth="true" hidden="false" outlineLevel="0" max="12" min="12" style="0" width="10"/>
  </cols>
  <sheetData>
    <row r="1" customFormat="false" ht="15" hidden="false" customHeight="false" outlineLevel="0" collapsed="false">
      <c r="A1" s="2" t="s">
        <v>7063</v>
      </c>
    </row>
    <row r="3" customFormat="false" ht="15" hidden="false" customHeight="false" outlineLevel="0" collapsed="false">
      <c r="A3" s="3" t="s">
        <v>7064</v>
      </c>
      <c r="B3" s="3" t="s">
        <v>1803</v>
      </c>
      <c r="C3" s="3" t="s">
        <v>339</v>
      </c>
      <c r="D3" s="3" t="s">
        <v>2881</v>
      </c>
      <c r="E3" s="3" t="s">
        <v>50</v>
      </c>
      <c r="F3" s="3" t="s">
        <v>7065</v>
      </c>
      <c r="G3" s="3" t="s">
        <v>2944</v>
      </c>
      <c r="H3" s="3" t="s">
        <v>2943</v>
      </c>
      <c r="I3" s="3" t="s">
        <v>7066</v>
      </c>
      <c r="J3" s="3" t="s">
        <v>76</v>
      </c>
      <c r="K3" s="3" t="s">
        <v>7067</v>
      </c>
      <c r="L3" s="3" t="s">
        <v>7068</v>
      </c>
    </row>
    <row r="4" customFormat="false" ht="15" hidden="false" customHeight="false" outlineLevel="0" collapsed="false">
      <c r="A4" s="0" t="n">
        <v>1</v>
      </c>
      <c r="B4" s="0" t="s">
        <v>2381</v>
      </c>
      <c r="C4" s="0" t="s">
        <v>7069</v>
      </c>
      <c r="D4" s="0" t="n">
        <v>1</v>
      </c>
      <c r="E4" s="0" t="s">
        <v>187</v>
      </c>
      <c r="F4" s="0" t="s">
        <v>7070</v>
      </c>
      <c r="G4" s="0" t="s">
        <v>2732</v>
      </c>
      <c r="H4" s="0" t="s">
        <v>188</v>
      </c>
      <c r="J4" s="0" t="s">
        <v>2955</v>
      </c>
      <c r="K4" s="0" t="n">
        <v>0</v>
      </c>
      <c r="L4" s="0" t="s">
        <v>7071</v>
      </c>
    </row>
    <row r="5" customFormat="false" ht="15" hidden="false" customHeight="false" outlineLevel="0" collapsed="false">
      <c r="A5" s="0" t="n">
        <v>2</v>
      </c>
      <c r="B5" s="0" t="s">
        <v>1851</v>
      </c>
      <c r="C5" s="0" t="s">
        <v>7069</v>
      </c>
      <c r="D5" s="0" t="n">
        <v>1</v>
      </c>
      <c r="E5" s="0" t="s">
        <v>187</v>
      </c>
      <c r="F5" s="0" t="s">
        <v>7072</v>
      </c>
      <c r="G5" s="0" t="s">
        <v>2734</v>
      </c>
      <c r="H5" s="0" t="s">
        <v>191</v>
      </c>
      <c r="J5" s="0" t="s">
        <v>2955</v>
      </c>
      <c r="K5" s="0" t="n">
        <v>0</v>
      </c>
      <c r="L5" s="0" t="s">
        <v>7071</v>
      </c>
    </row>
    <row r="6" customFormat="false" ht="15" hidden="false" customHeight="false" outlineLevel="0" collapsed="false">
      <c r="A6" s="0" t="n">
        <v>3</v>
      </c>
      <c r="B6" s="0" t="s">
        <v>1859</v>
      </c>
      <c r="C6" s="0" t="s">
        <v>7069</v>
      </c>
      <c r="D6" s="0" t="n">
        <v>1</v>
      </c>
      <c r="E6" s="0" t="s">
        <v>187</v>
      </c>
      <c r="F6" s="0" t="s">
        <v>7073</v>
      </c>
      <c r="G6" s="0" t="s">
        <v>2736</v>
      </c>
      <c r="H6" s="0" t="s">
        <v>195</v>
      </c>
      <c r="J6" s="0" t="s">
        <v>2955</v>
      </c>
      <c r="K6" s="0" t="n">
        <v>0</v>
      </c>
      <c r="L6" s="0" t="s">
        <v>7071</v>
      </c>
    </row>
    <row r="7" customFormat="false" ht="15" hidden="false" customHeight="false" outlineLevel="0" collapsed="false">
      <c r="A7" s="0" t="n">
        <v>4</v>
      </c>
      <c r="B7" s="0" t="s">
        <v>1866</v>
      </c>
      <c r="C7" s="0" t="s">
        <v>7069</v>
      </c>
      <c r="D7" s="0" t="n">
        <v>1</v>
      </c>
      <c r="E7" s="0" t="s">
        <v>187</v>
      </c>
      <c r="F7" s="0" t="s">
        <v>7074</v>
      </c>
      <c r="G7" s="0" t="s">
        <v>2738</v>
      </c>
      <c r="H7" s="0" t="s">
        <v>198</v>
      </c>
      <c r="J7" s="0" t="s">
        <v>2955</v>
      </c>
      <c r="K7" s="0" t="n">
        <v>0</v>
      </c>
      <c r="L7" s="0" t="s">
        <v>7071</v>
      </c>
    </row>
    <row r="8" customFormat="false" ht="15" hidden="false" customHeight="false" outlineLevel="0" collapsed="false">
      <c r="A8" s="0" t="n">
        <v>5</v>
      </c>
      <c r="B8" s="0" t="s">
        <v>2346</v>
      </c>
      <c r="C8" s="0" t="s">
        <v>7069</v>
      </c>
      <c r="D8" s="0" t="n">
        <v>1</v>
      </c>
      <c r="E8" s="0" t="s">
        <v>211</v>
      </c>
      <c r="F8" s="0" t="s">
        <v>7075</v>
      </c>
      <c r="G8" s="0" t="s">
        <v>2747</v>
      </c>
      <c r="H8" s="0" t="s">
        <v>214</v>
      </c>
      <c r="J8" s="0" t="s">
        <v>2955</v>
      </c>
      <c r="K8" s="0" t="n">
        <v>0</v>
      </c>
      <c r="L8" s="0" t="s">
        <v>7071</v>
      </c>
    </row>
    <row r="9" customFormat="false" ht="15" hidden="false" customHeight="false" outlineLevel="0" collapsed="false">
      <c r="A9" s="0" t="n">
        <v>6</v>
      </c>
      <c r="B9" s="0" t="s">
        <v>1871</v>
      </c>
      <c r="C9" s="0" t="s">
        <v>7069</v>
      </c>
      <c r="D9" s="0" t="n">
        <v>1</v>
      </c>
      <c r="E9" s="0" t="s">
        <v>211</v>
      </c>
      <c r="F9" s="0" t="s">
        <v>7076</v>
      </c>
      <c r="G9" s="0" t="s">
        <v>2748</v>
      </c>
      <c r="H9" s="0" t="s">
        <v>216</v>
      </c>
      <c r="J9" s="0" t="s">
        <v>2955</v>
      </c>
      <c r="K9" s="0" t="n">
        <v>0</v>
      </c>
      <c r="L9" s="0" t="s">
        <v>7071</v>
      </c>
    </row>
    <row r="10" customFormat="false" ht="15" hidden="false" customHeight="false" outlineLevel="0" collapsed="false">
      <c r="A10" s="0" t="n">
        <v>7</v>
      </c>
      <c r="B10" s="0" t="s">
        <v>2365</v>
      </c>
      <c r="C10" s="0" t="s">
        <v>7069</v>
      </c>
      <c r="D10" s="0" t="n">
        <v>1</v>
      </c>
      <c r="E10" s="0" t="s">
        <v>211</v>
      </c>
      <c r="F10" s="0" t="s">
        <v>7072</v>
      </c>
      <c r="G10" s="0" t="s">
        <v>2750</v>
      </c>
      <c r="H10" s="0" t="s">
        <v>217</v>
      </c>
      <c r="J10" s="0" t="s">
        <v>2955</v>
      </c>
      <c r="K10" s="0" t="n">
        <v>0</v>
      </c>
      <c r="L10" s="0" t="s">
        <v>7071</v>
      </c>
    </row>
    <row r="11" customFormat="false" ht="15" hidden="false" customHeight="false" outlineLevel="0" collapsed="false">
      <c r="A11" s="0" t="n">
        <v>8</v>
      </c>
      <c r="B11" s="0" t="s">
        <v>1877</v>
      </c>
      <c r="C11" s="0" t="s">
        <v>7069</v>
      </c>
      <c r="D11" s="0" t="n">
        <v>1</v>
      </c>
      <c r="E11" s="0" t="s">
        <v>211</v>
      </c>
      <c r="F11" s="0" t="s">
        <v>7073</v>
      </c>
      <c r="G11" s="0" t="s">
        <v>2751</v>
      </c>
      <c r="H11" s="0" t="s">
        <v>218</v>
      </c>
      <c r="J11" s="0" t="s">
        <v>2955</v>
      </c>
      <c r="K11" s="0" t="n">
        <v>0</v>
      </c>
      <c r="L11" s="0" t="s">
        <v>7071</v>
      </c>
    </row>
    <row r="12" customFormat="false" ht="15" hidden="false" customHeight="false" outlineLevel="0" collapsed="false">
      <c r="A12" s="0" t="n">
        <v>9</v>
      </c>
      <c r="B12" s="0" t="s">
        <v>2401</v>
      </c>
      <c r="C12" s="0" t="s">
        <v>7069</v>
      </c>
      <c r="D12" s="0" t="n">
        <v>1</v>
      </c>
      <c r="E12" s="0" t="s">
        <v>211</v>
      </c>
      <c r="F12" s="0" t="n">
        <v>2022</v>
      </c>
      <c r="G12" s="0" t="s">
        <v>2755</v>
      </c>
      <c r="H12" s="0" t="s">
        <v>221</v>
      </c>
      <c r="J12" s="0" t="s">
        <v>2955</v>
      </c>
      <c r="K12" s="0" t="n">
        <v>0</v>
      </c>
      <c r="L12" s="0" t="s">
        <v>7071</v>
      </c>
    </row>
    <row r="13" customFormat="false" ht="15" hidden="false" customHeight="false" outlineLevel="0" collapsed="false">
      <c r="A13" s="0" t="n">
        <v>10</v>
      </c>
      <c r="B13" s="0" t="s">
        <v>1884</v>
      </c>
      <c r="C13" s="0" t="s">
        <v>7069</v>
      </c>
      <c r="D13" s="0" t="n">
        <v>1</v>
      </c>
      <c r="E13" s="0" t="s">
        <v>211</v>
      </c>
      <c r="F13" s="0" t="s">
        <v>7077</v>
      </c>
      <c r="G13" s="0" t="s">
        <v>3026</v>
      </c>
      <c r="H13" s="0" t="s">
        <v>219</v>
      </c>
      <c r="J13" s="0" t="s">
        <v>2955</v>
      </c>
      <c r="K13" s="0" t="n">
        <v>0</v>
      </c>
      <c r="L13" s="0" t="s">
        <v>7078</v>
      </c>
    </row>
    <row r="14" customFormat="false" ht="15" hidden="false" customHeight="false" outlineLevel="0" collapsed="false">
      <c r="A14" s="0" t="n">
        <v>11</v>
      </c>
      <c r="B14" s="0" t="s">
        <v>7079</v>
      </c>
      <c r="C14" s="0" t="s">
        <v>7080</v>
      </c>
      <c r="D14" s="0" t="n">
        <v>1</v>
      </c>
      <c r="E14" s="0" t="s">
        <v>187</v>
      </c>
      <c r="F14" s="0" t="n">
        <v>2015</v>
      </c>
      <c r="I14" s="0" t="s">
        <v>7081</v>
      </c>
      <c r="J14" s="0" t="s">
        <v>7082</v>
      </c>
      <c r="K14" s="0" t="n">
        <v>1</v>
      </c>
      <c r="L14" s="0" t="s">
        <v>7083</v>
      </c>
    </row>
    <row r="15" customFormat="false" ht="15" hidden="false" customHeight="false" outlineLevel="0" collapsed="false">
      <c r="A15" s="0" t="n">
        <v>12</v>
      </c>
      <c r="B15" s="0" t="s">
        <v>7084</v>
      </c>
      <c r="C15" s="0" t="s">
        <v>7080</v>
      </c>
      <c r="D15" s="0" t="n">
        <v>1</v>
      </c>
      <c r="E15" s="0" t="s">
        <v>187</v>
      </c>
      <c r="F15" s="0" t="n">
        <v>2016</v>
      </c>
      <c r="I15" s="0" t="s">
        <v>7085</v>
      </c>
      <c r="J15" s="0" t="s">
        <v>7082</v>
      </c>
      <c r="K15" s="0" t="n">
        <v>1</v>
      </c>
      <c r="L15" s="0" t="s">
        <v>7083</v>
      </c>
    </row>
    <row r="16" customFormat="false" ht="15" hidden="false" customHeight="false" outlineLevel="0" collapsed="false">
      <c r="A16" s="0" t="n">
        <v>13</v>
      </c>
      <c r="B16" s="0" t="s">
        <v>7086</v>
      </c>
      <c r="C16" s="0" t="s">
        <v>7080</v>
      </c>
      <c r="D16" s="0" t="n">
        <v>1</v>
      </c>
      <c r="E16" s="0" t="s">
        <v>211</v>
      </c>
      <c r="F16" s="0" t="n">
        <v>2013</v>
      </c>
      <c r="I16" s="0" t="s">
        <v>7087</v>
      </c>
      <c r="J16" s="0" t="s">
        <v>7082</v>
      </c>
      <c r="K16" s="0" t="n">
        <v>1</v>
      </c>
      <c r="L16" s="0" t="s">
        <v>7088</v>
      </c>
    </row>
    <row r="17" customFormat="false" ht="15" hidden="false" customHeight="false" outlineLevel="0" collapsed="false">
      <c r="A17" s="0" t="n">
        <v>14</v>
      </c>
      <c r="B17" s="0" t="s">
        <v>1837</v>
      </c>
      <c r="C17" s="0" t="s">
        <v>7069</v>
      </c>
      <c r="D17" s="0" t="n">
        <v>2</v>
      </c>
      <c r="E17" s="0" t="s">
        <v>149</v>
      </c>
      <c r="F17" s="0" t="s">
        <v>7089</v>
      </c>
      <c r="G17" s="0" t="s">
        <v>3011</v>
      </c>
      <c r="H17" s="0" t="s">
        <v>164</v>
      </c>
      <c r="J17" s="0" t="s">
        <v>2955</v>
      </c>
      <c r="K17" s="0" t="n">
        <v>0</v>
      </c>
      <c r="L17" s="0" t="s">
        <v>7090</v>
      </c>
    </row>
    <row r="18" customFormat="false" ht="15" hidden="false" customHeight="false" outlineLevel="0" collapsed="false">
      <c r="A18" s="0" t="n">
        <v>15</v>
      </c>
      <c r="B18" s="0" t="s">
        <v>1846</v>
      </c>
      <c r="C18" s="0" t="s">
        <v>7069</v>
      </c>
      <c r="D18" s="0" t="n">
        <v>2</v>
      </c>
      <c r="E18" s="0" t="s">
        <v>149</v>
      </c>
      <c r="F18" s="0" t="s">
        <v>7077</v>
      </c>
      <c r="G18" s="0" t="s">
        <v>3006</v>
      </c>
      <c r="H18" s="0" t="s">
        <v>167</v>
      </c>
      <c r="J18" s="0" t="s">
        <v>2955</v>
      </c>
      <c r="K18" s="0" t="n">
        <v>0</v>
      </c>
      <c r="L18" s="0" t="s">
        <v>7091</v>
      </c>
    </row>
    <row r="19" customFormat="false" ht="15" hidden="false" customHeight="false" outlineLevel="0" collapsed="false">
      <c r="A19" s="0" t="n">
        <v>16</v>
      </c>
      <c r="B19" s="0" t="s">
        <v>3004</v>
      </c>
      <c r="C19" s="0" t="s">
        <v>7092</v>
      </c>
      <c r="D19" s="0" t="n">
        <v>2</v>
      </c>
      <c r="E19" s="0" t="s">
        <v>149</v>
      </c>
      <c r="G19" s="0" t="s">
        <v>3002</v>
      </c>
      <c r="H19" s="0" t="s">
        <v>3001</v>
      </c>
      <c r="J19" s="0" t="s">
        <v>2955</v>
      </c>
      <c r="K19" s="0" t="n">
        <v>1</v>
      </c>
      <c r="L19" s="0" t="s">
        <v>7093</v>
      </c>
    </row>
    <row r="20" customFormat="false" ht="15" hidden="false" customHeight="false" outlineLevel="0" collapsed="false">
      <c r="A20" s="0" t="n">
        <v>17</v>
      </c>
      <c r="B20" s="0" t="s">
        <v>2375</v>
      </c>
      <c r="C20" s="0" t="s">
        <v>7069</v>
      </c>
      <c r="D20" s="0" t="n">
        <v>3</v>
      </c>
      <c r="E20" s="0" t="s">
        <v>77</v>
      </c>
      <c r="F20" s="0" t="s">
        <v>7070</v>
      </c>
      <c r="G20" s="0" t="s">
        <v>2664</v>
      </c>
      <c r="H20" s="0" t="s">
        <v>80</v>
      </c>
      <c r="J20" s="0" t="s">
        <v>2955</v>
      </c>
      <c r="K20" s="0" t="n">
        <v>0</v>
      </c>
      <c r="L20" s="0" t="s">
        <v>7071</v>
      </c>
    </row>
    <row r="21" customFormat="false" ht="15" hidden="false" customHeight="false" outlineLevel="0" collapsed="false">
      <c r="A21" s="0" t="n">
        <v>18</v>
      </c>
      <c r="B21" s="0" t="s">
        <v>2393</v>
      </c>
      <c r="C21" s="0" t="s">
        <v>7069</v>
      </c>
      <c r="D21" s="0" t="n">
        <v>3</v>
      </c>
      <c r="E21" s="0" t="s">
        <v>125</v>
      </c>
      <c r="F21" s="0" t="s">
        <v>7070</v>
      </c>
      <c r="G21" s="0" t="s">
        <v>2696</v>
      </c>
      <c r="H21" s="0" t="s">
        <v>126</v>
      </c>
      <c r="J21" s="0" t="s">
        <v>2955</v>
      </c>
      <c r="K21" s="0" t="n">
        <v>0</v>
      </c>
      <c r="L21" s="0" t="s">
        <v>7071</v>
      </c>
    </row>
    <row r="22" customFormat="false" ht="15" hidden="false" customHeight="false" outlineLevel="0" collapsed="false">
      <c r="A22" s="0" t="n">
        <v>19</v>
      </c>
      <c r="B22" s="0" t="s">
        <v>2360</v>
      </c>
      <c r="C22" s="0" t="s">
        <v>7069</v>
      </c>
      <c r="D22" s="0" t="n">
        <v>3</v>
      </c>
      <c r="E22" s="0" t="s">
        <v>136</v>
      </c>
      <c r="F22" s="0" t="s">
        <v>7070</v>
      </c>
      <c r="G22" s="0" t="s">
        <v>2704</v>
      </c>
      <c r="H22" s="0" t="s">
        <v>137</v>
      </c>
      <c r="J22" s="0" t="s">
        <v>2955</v>
      </c>
      <c r="K22" s="0" t="n">
        <v>0</v>
      </c>
      <c r="L22" s="0" t="s">
        <v>7071</v>
      </c>
    </row>
    <row r="23" customFormat="false" ht="15" hidden="false" customHeight="false" outlineLevel="0" collapsed="false">
      <c r="A23" s="0" t="n">
        <v>20</v>
      </c>
      <c r="B23" s="0" t="s">
        <v>2383</v>
      </c>
      <c r="C23" s="0" t="s">
        <v>7069</v>
      </c>
      <c r="D23" s="0" t="n">
        <v>3</v>
      </c>
      <c r="E23" s="0" t="s">
        <v>222</v>
      </c>
      <c r="F23" s="0" t="s">
        <v>7075</v>
      </c>
      <c r="G23" s="0" t="s">
        <v>2757</v>
      </c>
      <c r="H23" s="0" t="s">
        <v>224</v>
      </c>
      <c r="J23" s="0" t="s">
        <v>2955</v>
      </c>
      <c r="K23" s="0" t="n">
        <v>0</v>
      </c>
      <c r="L23" s="0" t="s">
        <v>7071</v>
      </c>
    </row>
    <row r="24" customFormat="false" ht="15" hidden="false" customHeight="false" outlineLevel="0" collapsed="false">
      <c r="A24" s="0" t="n">
        <v>21</v>
      </c>
      <c r="B24" s="0" t="s">
        <v>2403</v>
      </c>
      <c r="C24" s="0" t="s">
        <v>7069</v>
      </c>
      <c r="D24" s="0" t="n">
        <v>3</v>
      </c>
      <c r="E24" s="0" t="s">
        <v>222</v>
      </c>
      <c r="F24" s="0" t="s">
        <v>7074</v>
      </c>
      <c r="G24" s="0" t="s">
        <v>2761</v>
      </c>
      <c r="H24" s="0" t="s">
        <v>235</v>
      </c>
      <c r="J24" s="0" t="s">
        <v>2955</v>
      </c>
      <c r="K24" s="0" t="n">
        <v>0</v>
      </c>
      <c r="L24" s="0" t="s">
        <v>7071</v>
      </c>
    </row>
    <row r="25" customFormat="false" ht="15" hidden="false" customHeight="false" outlineLevel="0" collapsed="false">
      <c r="A25" s="0" t="n">
        <v>22</v>
      </c>
      <c r="B25" s="0" t="s">
        <v>7094</v>
      </c>
      <c r="C25" s="0" t="s">
        <v>7080</v>
      </c>
      <c r="D25" s="0" t="n">
        <v>3</v>
      </c>
      <c r="E25" s="0" t="s">
        <v>77</v>
      </c>
      <c r="F25" s="0" t="n">
        <v>2017</v>
      </c>
      <c r="I25" s="0" t="s">
        <v>7095</v>
      </c>
      <c r="J25" s="0" t="s">
        <v>7082</v>
      </c>
      <c r="K25" s="0" t="n">
        <v>1</v>
      </c>
      <c r="L25" s="0" t="s">
        <v>7096</v>
      </c>
    </row>
    <row r="26" customFormat="false" ht="15" hidden="false" customHeight="false" outlineLevel="0" collapsed="false">
      <c r="A26" s="0" t="n">
        <v>23</v>
      </c>
      <c r="B26" s="0" t="s">
        <v>7097</v>
      </c>
      <c r="C26" s="0" t="s">
        <v>7080</v>
      </c>
      <c r="D26" s="0" t="n">
        <v>3</v>
      </c>
      <c r="E26" s="0" t="s">
        <v>77</v>
      </c>
      <c r="F26" s="0" t="n">
        <v>2018</v>
      </c>
      <c r="I26" s="0" t="s">
        <v>7098</v>
      </c>
      <c r="J26" s="0" t="s">
        <v>7082</v>
      </c>
      <c r="K26" s="0" t="n">
        <v>1</v>
      </c>
      <c r="L26" s="0" t="s">
        <v>7096</v>
      </c>
    </row>
    <row r="27" customFormat="false" ht="15" hidden="false" customHeight="false" outlineLevel="0" collapsed="false">
      <c r="A27" s="0" t="n">
        <v>24</v>
      </c>
      <c r="B27" s="0" t="s">
        <v>7099</v>
      </c>
      <c r="C27" s="0" t="s">
        <v>7080</v>
      </c>
      <c r="D27" s="0" t="n">
        <v>3</v>
      </c>
      <c r="E27" s="0" t="s">
        <v>77</v>
      </c>
      <c r="F27" s="0" t="n">
        <v>2019</v>
      </c>
      <c r="I27" s="0" t="s">
        <v>7100</v>
      </c>
      <c r="J27" s="0" t="s">
        <v>7082</v>
      </c>
      <c r="K27" s="0" t="n">
        <v>1</v>
      </c>
      <c r="L27" s="0" t="s">
        <v>7096</v>
      </c>
    </row>
    <row r="28" customFormat="false" ht="15" hidden="false" customHeight="false" outlineLevel="0" collapsed="false">
      <c r="A28" s="0" t="n">
        <v>25</v>
      </c>
      <c r="B28" s="0" t="s">
        <v>7101</v>
      </c>
      <c r="C28" s="0" t="s">
        <v>7080</v>
      </c>
      <c r="D28" s="0" t="n">
        <v>3</v>
      </c>
      <c r="E28" s="0" t="s">
        <v>125</v>
      </c>
      <c r="F28" s="0" t="n">
        <v>2017</v>
      </c>
      <c r="I28" s="0" t="s">
        <v>7102</v>
      </c>
      <c r="J28" s="0" t="s">
        <v>7082</v>
      </c>
      <c r="K28" s="0" t="n">
        <v>1</v>
      </c>
      <c r="L28" s="0" t="s">
        <v>7103</v>
      </c>
    </row>
    <row r="29" customFormat="false" ht="15" hidden="false" customHeight="false" outlineLevel="0" collapsed="false">
      <c r="A29" s="0" t="n">
        <v>26</v>
      </c>
      <c r="B29" s="0" t="s">
        <v>7104</v>
      </c>
      <c r="C29" s="0" t="s">
        <v>7080</v>
      </c>
      <c r="D29" s="0" t="n">
        <v>3</v>
      </c>
      <c r="E29" s="0" t="s">
        <v>125</v>
      </c>
      <c r="F29" s="0" t="n">
        <v>2018</v>
      </c>
      <c r="I29" s="0" t="s">
        <v>7105</v>
      </c>
      <c r="J29" s="0" t="s">
        <v>7082</v>
      </c>
      <c r="K29" s="0" t="n">
        <v>1</v>
      </c>
      <c r="L29" s="0" t="s">
        <v>7103</v>
      </c>
    </row>
    <row r="30" customFormat="false" ht="15" hidden="false" customHeight="false" outlineLevel="0" collapsed="false">
      <c r="A30" s="0" t="n">
        <v>27</v>
      </c>
      <c r="B30" s="0" t="s">
        <v>7106</v>
      </c>
      <c r="C30" s="0" t="s">
        <v>7080</v>
      </c>
      <c r="D30" s="0" t="n">
        <v>3</v>
      </c>
      <c r="E30" s="0" t="s">
        <v>125</v>
      </c>
      <c r="F30" s="0" t="n">
        <v>2019</v>
      </c>
      <c r="I30" s="0" t="s">
        <v>7107</v>
      </c>
      <c r="J30" s="0" t="s">
        <v>7082</v>
      </c>
      <c r="K30" s="0" t="n">
        <v>1</v>
      </c>
      <c r="L30" s="0" t="s">
        <v>7103</v>
      </c>
    </row>
    <row r="31" customFormat="false" ht="15" hidden="false" customHeight="false" outlineLevel="0" collapsed="false">
      <c r="A31" s="0" t="n">
        <v>28</v>
      </c>
      <c r="B31" s="0" t="s">
        <v>7108</v>
      </c>
      <c r="C31" s="0" t="s">
        <v>7080</v>
      </c>
      <c r="D31" s="0" t="n">
        <v>3</v>
      </c>
      <c r="E31" s="0" t="s">
        <v>136</v>
      </c>
      <c r="F31" s="0" t="n">
        <v>2017</v>
      </c>
      <c r="I31" s="0" t="s">
        <v>7109</v>
      </c>
      <c r="J31" s="0" t="s">
        <v>7082</v>
      </c>
      <c r="K31" s="0" t="n">
        <v>1</v>
      </c>
      <c r="L31" s="0" t="s">
        <v>7110</v>
      </c>
    </row>
    <row r="32" customFormat="false" ht="15" hidden="false" customHeight="false" outlineLevel="0" collapsed="false">
      <c r="A32" s="0" t="n">
        <v>29</v>
      </c>
      <c r="B32" s="0" t="s">
        <v>7111</v>
      </c>
      <c r="C32" s="0" t="s">
        <v>7080</v>
      </c>
      <c r="D32" s="0" t="n">
        <v>3</v>
      </c>
      <c r="E32" s="0" t="s">
        <v>136</v>
      </c>
      <c r="F32" s="0" t="n">
        <v>2018</v>
      </c>
      <c r="I32" s="0" t="s">
        <v>7112</v>
      </c>
      <c r="J32" s="0" t="s">
        <v>7082</v>
      </c>
      <c r="K32" s="0" t="n">
        <v>1</v>
      </c>
      <c r="L32" s="0" t="s">
        <v>7110</v>
      </c>
    </row>
    <row r="33" customFormat="false" ht="15" hidden="false" customHeight="false" outlineLevel="0" collapsed="false">
      <c r="A33" s="0" t="n">
        <v>30</v>
      </c>
      <c r="B33" s="0" t="s">
        <v>7113</v>
      </c>
      <c r="C33" s="0" t="s">
        <v>7080</v>
      </c>
      <c r="D33" s="0" t="n">
        <v>3</v>
      </c>
      <c r="E33" s="0" t="s">
        <v>136</v>
      </c>
      <c r="F33" s="0" t="n">
        <v>2019</v>
      </c>
      <c r="I33" s="0" t="s">
        <v>7114</v>
      </c>
      <c r="J33" s="0" t="s">
        <v>7082</v>
      </c>
      <c r="K33" s="0" t="n">
        <v>1</v>
      </c>
      <c r="L33" s="0" t="s">
        <v>7110</v>
      </c>
    </row>
    <row r="34" customFormat="false" ht="15" hidden="false" customHeight="false" outlineLevel="0" collapsed="false">
      <c r="A34" s="0" t="n">
        <v>31</v>
      </c>
      <c r="B34" s="0" t="s">
        <v>7115</v>
      </c>
      <c r="C34" s="0" t="s">
        <v>7080</v>
      </c>
      <c r="D34" s="0" t="n">
        <v>3</v>
      </c>
      <c r="E34" s="0" t="s">
        <v>222</v>
      </c>
      <c r="F34" s="0" t="n">
        <v>2017</v>
      </c>
      <c r="I34" s="0" t="s">
        <v>7116</v>
      </c>
      <c r="J34" s="0" t="s">
        <v>7082</v>
      </c>
      <c r="K34" s="0" t="n">
        <v>1</v>
      </c>
      <c r="L34" s="0" t="s">
        <v>7117</v>
      </c>
    </row>
    <row r="35" customFormat="false" ht="15" hidden="false" customHeight="false" outlineLevel="0" collapsed="false">
      <c r="A35" s="0" t="n">
        <v>32</v>
      </c>
      <c r="B35" s="0" t="s">
        <v>7118</v>
      </c>
      <c r="C35" s="0" t="s">
        <v>7080</v>
      </c>
      <c r="D35" s="0" t="n">
        <v>3</v>
      </c>
      <c r="E35" s="0" t="s">
        <v>222</v>
      </c>
      <c r="F35" s="0" t="n">
        <v>2018</v>
      </c>
      <c r="I35" s="0" t="s">
        <v>7119</v>
      </c>
      <c r="J35" s="0" t="s">
        <v>7082</v>
      </c>
      <c r="K35" s="0" t="n">
        <v>1</v>
      </c>
      <c r="L35" s="0" t="s">
        <v>7117</v>
      </c>
    </row>
    <row r="36" customFormat="false" ht="15" hidden="false" customHeight="false" outlineLevel="0" collapsed="false">
      <c r="A36" s="0" t="n">
        <v>33</v>
      </c>
      <c r="B36" s="0" t="s">
        <v>7120</v>
      </c>
      <c r="C36" s="0" t="s">
        <v>7080</v>
      </c>
      <c r="D36" s="0" t="n">
        <v>3</v>
      </c>
      <c r="E36" s="0" t="s">
        <v>222</v>
      </c>
      <c r="F36" s="0" t="n">
        <v>2019</v>
      </c>
      <c r="I36" s="0" t="s">
        <v>7121</v>
      </c>
      <c r="J36" s="0" t="s">
        <v>7082</v>
      </c>
      <c r="K36" s="0" t="n">
        <v>1</v>
      </c>
      <c r="L36" s="0" t="s">
        <v>7117</v>
      </c>
    </row>
    <row r="37" customFormat="false" ht="15" hidden="false" customHeight="false" outlineLevel="0" collapsed="false">
      <c r="A37" s="0" t="n">
        <v>34</v>
      </c>
      <c r="B37" s="0" t="s">
        <v>2001</v>
      </c>
      <c r="C37" s="0" t="s">
        <v>7069</v>
      </c>
      <c r="D37" s="0" t="n">
        <v>4</v>
      </c>
      <c r="E37" s="0" t="s">
        <v>149</v>
      </c>
      <c r="F37" s="0" t="n">
        <v>2018</v>
      </c>
      <c r="G37" s="0" t="s">
        <v>3015</v>
      </c>
      <c r="H37" s="0" t="s">
        <v>160</v>
      </c>
      <c r="J37" s="0" t="s">
        <v>2955</v>
      </c>
      <c r="K37" s="0" t="n">
        <v>0</v>
      </c>
      <c r="L37" s="0" t="s">
        <v>7122</v>
      </c>
    </row>
    <row r="38" customFormat="false" ht="15" hidden="false" customHeight="false" outlineLevel="0" collapsed="false">
      <c r="A38" s="0" t="n">
        <v>35</v>
      </c>
      <c r="B38" s="0" t="s">
        <v>2011</v>
      </c>
      <c r="C38" s="0" t="s">
        <v>7069</v>
      </c>
      <c r="D38" s="0" t="n">
        <v>4</v>
      </c>
      <c r="E38" s="0" t="s">
        <v>149</v>
      </c>
      <c r="F38" s="0" t="n">
        <v>2019</v>
      </c>
      <c r="G38" s="0" t="s">
        <v>3019</v>
      </c>
      <c r="H38" s="0" t="s">
        <v>162</v>
      </c>
      <c r="J38" s="0" t="s">
        <v>2955</v>
      </c>
      <c r="K38" s="0" t="n">
        <v>0</v>
      </c>
      <c r="L38" s="0" t="s">
        <v>7123</v>
      </c>
    </row>
    <row r="39" customFormat="false" ht="15" hidden="false" customHeight="false" outlineLevel="0" collapsed="false">
      <c r="A39" s="0" t="n">
        <v>36</v>
      </c>
      <c r="B39" s="0" t="s">
        <v>7124</v>
      </c>
      <c r="C39" s="0" t="s">
        <v>7080</v>
      </c>
      <c r="D39" s="0" t="n">
        <v>4</v>
      </c>
      <c r="E39" s="0" t="s">
        <v>2440</v>
      </c>
      <c r="F39" s="0" t="n">
        <v>2013</v>
      </c>
      <c r="I39" s="0" t="s">
        <v>7125</v>
      </c>
      <c r="J39" s="0" t="s">
        <v>7082</v>
      </c>
      <c r="K39" s="0" t="n">
        <v>1</v>
      </c>
      <c r="L39" s="0" t="s">
        <v>7126</v>
      </c>
    </row>
    <row r="40" customFormat="false" ht="15" hidden="false" customHeight="false" outlineLevel="0" collapsed="false">
      <c r="A40" s="0" t="n">
        <v>37</v>
      </c>
      <c r="B40" s="0" t="s">
        <v>7127</v>
      </c>
      <c r="C40" s="0" t="s">
        <v>7080</v>
      </c>
      <c r="D40" s="0" t="n">
        <v>4</v>
      </c>
      <c r="E40" s="0" t="s">
        <v>2440</v>
      </c>
      <c r="F40" s="0" t="n">
        <v>2014</v>
      </c>
      <c r="I40" s="0" t="s">
        <v>7128</v>
      </c>
      <c r="J40" s="0" t="s">
        <v>7082</v>
      </c>
      <c r="K40" s="0" t="n">
        <v>1</v>
      </c>
      <c r="L40" s="0" t="s">
        <v>7126</v>
      </c>
    </row>
    <row r="41" customFormat="false" ht="15" hidden="false" customHeight="false" outlineLevel="0" collapsed="false">
      <c r="A41" s="0" t="n">
        <v>38</v>
      </c>
      <c r="B41" s="0" t="s">
        <v>7129</v>
      </c>
      <c r="C41" s="0" t="s">
        <v>7080</v>
      </c>
      <c r="D41" s="0" t="n">
        <v>4</v>
      </c>
      <c r="E41" s="0" t="s">
        <v>2440</v>
      </c>
      <c r="F41" s="0" t="n">
        <v>2015</v>
      </c>
      <c r="I41" s="0" t="s">
        <v>7130</v>
      </c>
      <c r="J41" s="0" t="s">
        <v>7082</v>
      </c>
      <c r="K41" s="0" t="n">
        <v>1</v>
      </c>
      <c r="L41" s="0" t="s">
        <v>7131</v>
      </c>
    </row>
    <row r="42" customFormat="false" ht="15" hidden="false" customHeight="false" outlineLevel="0" collapsed="false">
      <c r="A42" s="0" t="n">
        <v>39</v>
      </c>
      <c r="B42" s="0" t="s">
        <v>7132</v>
      </c>
      <c r="C42" s="0" t="s">
        <v>7080</v>
      </c>
      <c r="D42" s="0" t="n">
        <v>4</v>
      </c>
      <c r="E42" s="0" t="s">
        <v>2440</v>
      </c>
      <c r="F42" s="0" t="n">
        <v>2016</v>
      </c>
      <c r="I42" s="0" t="s">
        <v>7133</v>
      </c>
      <c r="J42" s="0" t="s">
        <v>7082</v>
      </c>
      <c r="K42" s="0" t="n">
        <v>1</v>
      </c>
      <c r="L42" s="0" t="s">
        <v>7131</v>
      </c>
    </row>
    <row r="43" customFormat="false" ht="15" hidden="false" customHeight="false" outlineLevel="0" collapsed="false">
      <c r="A43" s="0" t="n">
        <v>40</v>
      </c>
      <c r="B43" s="0" t="s">
        <v>7134</v>
      </c>
      <c r="C43" s="0" t="s">
        <v>7080</v>
      </c>
      <c r="D43" s="0" t="n">
        <v>4</v>
      </c>
      <c r="E43" s="0" t="s">
        <v>2440</v>
      </c>
      <c r="F43" s="0" t="n">
        <v>2017</v>
      </c>
      <c r="I43" s="0" t="s">
        <v>7135</v>
      </c>
      <c r="J43" s="0" t="s">
        <v>7082</v>
      </c>
      <c r="K43" s="0" t="n">
        <v>1</v>
      </c>
      <c r="L43" s="0" t="s">
        <v>7131</v>
      </c>
    </row>
    <row r="44" customFormat="false" ht="15" hidden="false" customHeight="false" outlineLevel="0" collapsed="false">
      <c r="A44" s="0" t="n">
        <v>41</v>
      </c>
      <c r="B44" s="0" t="s">
        <v>7136</v>
      </c>
      <c r="C44" s="0" t="s">
        <v>7080</v>
      </c>
      <c r="D44" s="0" t="n">
        <v>4</v>
      </c>
      <c r="E44" s="0" t="s">
        <v>2440</v>
      </c>
      <c r="F44" s="0" t="n">
        <v>2018</v>
      </c>
      <c r="I44" s="0" t="s">
        <v>7137</v>
      </c>
      <c r="J44" s="0" t="s">
        <v>7082</v>
      </c>
      <c r="K44" s="0" t="n">
        <v>1</v>
      </c>
      <c r="L44" s="0" t="s">
        <v>7131</v>
      </c>
    </row>
    <row r="45" customFormat="false" ht="15" hidden="false" customHeight="false" outlineLevel="0" collapsed="false">
      <c r="A45" s="0" t="n">
        <v>42</v>
      </c>
      <c r="B45" s="0" t="s">
        <v>7138</v>
      </c>
      <c r="C45" s="0" t="s">
        <v>7080</v>
      </c>
      <c r="D45" s="0" t="n">
        <v>4</v>
      </c>
      <c r="E45" s="0" t="s">
        <v>2440</v>
      </c>
      <c r="F45" s="0" t="n">
        <v>2019</v>
      </c>
      <c r="I45" s="0" t="s">
        <v>7139</v>
      </c>
      <c r="J45" s="0" t="s">
        <v>7082</v>
      </c>
      <c r="K45" s="0" t="n">
        <v>1</v>
      </c>
      <c r="L45" s="0" t="s">
        <v>7131</v>
      </c>
    </row>
    <row r="46" customFormat="false" ht="15" hidden="false" customHeight="false" outlineLevel="0" collapsed="false">
      <c r="A46" s="0" t="n">
        <v>43</v>
      </c>
      <c r="B46" s="0" t="s">
        <v>7140</v>
      </c>
      <c r="C46" s="0" t="s">
        <v>7080</v>
      </c>
      <c r="D46" s="0" t="n">
        <v>4</v>
      </c>
      <c r="E46" s="0" t="s">
        <v>2440</v>
      </c>
      <c r="F46" s="0" t="n">
        <v>2020</v>
      </c>
      <c r="I46" s="0" t="s">
        <v>7141</v>
      </c>
      <c r="J46" s="0" t="s">
        <v>7082</v>
      </c>
      <c r="K46" s="0" t="n">
        <v>1</v>
      </c>
      <c r="L46" s="0" t="s">
        <v>7131</v>
      </c>
    </row>
    <row r="47" customFormat="false" ht="15" hidden="false" customHeight="false" outlineLevel="0" collapsed="false">
      <c r="A47" s="0" t="n">
        <v>44</v>
      </c>
      <c r="B47" s="0" t="s">
        <v>7142</v>
      </c>
      <c r="C47" s="0" t="s">
        <v>7080</v>
      </c>
      <c r="D47" s="0" t="n">
        <v>4</v>
      </c>
      <c r="E47" s="0" t="s">
        <v>2440</v>
      </c>
      <c r="F47" s="0" t="n">
        <v>2021</v>
      </c>
      <c r="I47" s="0" t="s">
        <v>7143</v>
      </c>
      <c r="J47" s="0" t="s">
        <v>7082</v>
      </c>
      <c r="K47" s="0" t="n">
        <v>1</v>
      </c>
      <c r="L47" s="0" t="s">
        <v>7131</v>
      </c>
    </row>
    <row r="48" customFormat="false" ht="15" hidden="false" customHeight="false" outlineLevel="0" collapsed="false">
      <c r="A48" s="0" t="n">
        <v>45</v>
      </c>
      <c r="B48" s="0" t="s">
        <v>7144</v>
      </c>
      <c r="C48" s="0" t="s">
        <v>7080</v>
      </c>
      <c r="D48" s="0" t="n">
        <v>4</v>
      </c>
      <c r="E48" s="0" t="s">
        <v>2440</v>
      </c>
      <c r="F48" s="0" t="n">
        <v>2022</v>
      </c>
      <c r="I48" s="0" t="s">
        <v>7145</v>
      </c>
      <c r="J48" s="0" t="s">
        <v>7082</v>
      </c>
      <c r="K48" s="0" t="n">
        <v>1</v>
      </c>
      <c r="L48" s="0" t="s">
        <v>7131</v>
      </c>
    </row>
    <row r="49" customFormat="false" ht="15" hidden="false" customHeight="false" outlineLevel="0" collapsed="false">
      <c r="A49" s="0" t="n">
        <v>46</v>
      </c>
      <c r="B49" s="0" t="s">
        <v>7146</v>
      </c>
      <c r="C49" s="0" t="s">
        <v>7080</v>
      </c>
      <c r="D49" s="0" t="n">
        <v>4</v>
      </c>
      <c r="E49" s="0" t="s">
        <v>149</v>
      </c>
      <c r="F49" s="0" t="n">
        <v>2013</v>
      </c>
      <c r="I49" s="0" t="s">
        <v>7147</v>
      </c>
      <c r="J49" s="0" t="s">
        <v>7082</v>
      </c>
      <c r="K49" s="0" t="n">
        <v>1</v>
      </c>
      <c r="L49" s="0" t="s">
        <v>7148</v>
      </c>
    </row>
    <row r="50" customFormat="false" ht="15" hidden="false" customHeight="false" outlineLevel="0" collapsed="false">
      <c r="A50" s="0" t="n">
        <v>47</v>
      </c>
      <c r="B50" s="0" t="s">
        <v>7149</v>
      </c>
      <c r="C50" s="0" t="s">
        <v>7080</v>
      </c>
      <c r="D50" s="0" t="n">
        <v>4</v>
      </c>
      <c r="E50" s="0" t="s">
        <v>149</v>
      </c>
      <c r="F50" s="0" t="n">
        <v>2014</v>
      </c>
      <c r="I50" s="0" t="s">
        <v>7150</v>
      </c>
      <c r="J50" s="0" t="s">
        <v>7082</v>
      </c>
      <c r="K50" s="0" t="n">
        <v>1</v>
      </c>
      <c r="L50" s="0" t="s">
        <v>7148</v>
      </c>
    </row>
    <row r="51" customFormat="false" ht="15" hidden="false" customHeight="false" outlineLevel="0" collapsed="false">
      <c r="A51" s="0" t="n">
        <v>48</v>
      </c>
      <c r="B51" s="0" t="s">
        <v>7151</v>
      </c>
      <c r="C51" s="0" t="s">
        <v>7080</v>
      </c>
      <c r="D51" s="0" t="n">
        <v>4</v>
      </c>
      <c r="E51" s="0" t="s">
        <v>149</v>
      </c>
      <c r="F51" s="0" t="n">
        <v>2015</v>
      </c>
      <c r="I51" s="0" t="s">
        <v>7152</v>
      </c>
      <c r="J51" s="0" t="s">
        <v>7082</v>
      </c>
      <c r="K51" s="0" t="n">
        <v>1</v>
      </c>
      <c r="L51" s="0" t="s">
        <v>7153</v>
      </c>
    </row>
    <row r="52" customFormat="false" ht="15" hidden="false" customHeight="false" outlineLevel="0" collapsed="false">
      <c r="A52" s="0" t="n">
        <v>49</v>
      </c>
      <c r="B52" s="0" t="s">
        <v>7154</v>
      </c>
      <c r="C52" s="0" t="s">
        <v>7080</v>
      </c>
      <c r="D52" s="0" t="n">
        <v>4</v>
      </c>
      <c r="E52" s="0" t="s">
        <v>149</v>
      </c>
      <c r="F52" s="0" t="n">
        <v>2016</v>
      </c>
      <c r="I52" s="0" t="s">
        <v>7155</v>
      </c>
      <c r="J52" s="0" t="s">
        <v>7082</v>
      </c>
      <c r="K52" s="0" t="n">
        <v>1</v>
      </c>
      <c r="L52" s="0" t="s">
        <v>7153</v>
      </c>
    </row>
    <row r="53" customFormat="false" ht="15" hidden="false" customHeight="false" outlineLevel="0" collapsed="false">
      <c r="A53" s="0" t="n">
        <v>50</v>
      </c>
      <c r="B53" s="0" t="s">
        <v>7156</v>
      </c>
      <c r="C53" s="0" t="s">
        <v>7080</v>
      </c>
      <c r="D53" s="0" t="n">
        <v>4</v>
      </c>
      <c r="E53" s="0" t="s">
        <v>149</v>
      </c>
      <c r="F53" s="0" t="n">
        <v>2017</v>
      </c>
      <c r="I53" s="0" t="s">
        <v>7157</v>
      </c>
      <c r="J53" s="0" t="s">
        <v>7082</v>
      </c>
      <c r="K53" s="0" t="n">
        <v>1</v>
      </c>
      <c r="L53" s="0" t="s">
        <v>7153</v>
      </c>
    </row>
    <row r="54" customFormat="false" ht="15" hidden="false" customHeight="false" outlineLevel="0" collapsed="false">
      <c r="A54" s="0" t="n">
        <v>51</v>
      </c>
      <c r="B54" s="0" t="s">
        <v>7158</v>
      </c>
      <c r="C54" s="0" t="s">
        <v>7080</v>
      </c>
      <c r="D54" s="0" t="n">
        <v>5</v>
      </c>
      <c r="E54" s="0" t="s">
        <v>77</v>
      </c>
      <c r="F54" s="0" t="n">
        <v>2015</v>
      </c>
      <c r="I54" s="0" t="s">
        <v>7159</v>
      </c>
      <c r="J54" s="0" t="s">
        <v>7082</v>
      </c>
      <c r="K54" s="0" t="n">
        <v>1</v>
      </c>
      <c r="L54" s="0" t="s">
        <v>7160</v>
      </c>
    </row>
    <row r="55" customFormat="false" ht="15" hidden="false" customHeight="false" outlineLevel="0" collapsed="false">
      <c r="A55" s="0" t="n">
        <v>52</v>
      </c>
      <c r="B55" s="0" t="s">
        <v>7161</v>
      </c>
      <c r="C55" s="0" t="s">
        <v>7080</v>
      </c>
      <c r="D55" s="0" t="n">
        <v>5</v>
      </c>
      <c r="E55" s="0" t="s">
        <v>77</v>
      </c>
      <c r="F55" s="0" t="n">
        <v>2016</v>
      </c>
      <c r="I55" s="0" t="s">
        <v>7162</v>
      </c>
      <c r="J55" s="0" t="s">
        <v>7082</v>
      </c>
      <c r="K55" s="0" t="n">
        <v>1</v>
      </c>
      <c r="L55" s="0" t="s">
        <v>7160</v>
      </c>
    </row>
    <row r="56" customFormat="false" ht="15" hidden="false" customHeight="false" outlineLevel="0" collapsed="false">
      <c r="A56" s="0" t="n">
        <v>53</v>
      </c>
      <c r="B56" s="0" t="s">
        <v>7163</v>
      </c>
      <c r="C56" s="0" t="s">
        <v>7080</v>
      </c>
      <c r="D56" s="0" t="n">
        <v>5</v>
      </c>
      <c r="E56" s="0" t="s">
        <v>77</v>
      </c>
      <c r="F56" s="0" t="n">
        <v>2020</v>
      </c>
      <c r="I56" s="0" t="s">
        <v>7164</v>
      </c>
      <c r="J56" s="0" t="s">
        <v>7082</v>
      </c>
      <c r="K56" s="0" t="n">
        <v>1</v>
      </c>
      <c r="L56" s="0" t="s">
        <v>7160</v>
      </c>
    </row>
    <row r="57" customFormat="false" ht="15" hidden="false" customHeight="false" outlineLevel="0" collapsed="false">
      <c r="A57" s="0" t="n">
        <v>54</v>
      </c>
      <c r="B57" s="0" t="s">
        <v>7165</v>
      </c>
      <c r="C57" s="0" t="s">
        <v>7080</v>
      </c>
      <c r="D57" s="0" t="n">
        <v>5</v>
      </c>
      <c r="E57" s="0" t="s">
        <v>77</v>
      </c>
      <c r="F57" s="0" t="n">
        <v>2021</v>
      </c>
      <c r="I57" s="0" t="s">
        <v>7166</v>
      </c>
      <c r="J57" s="0" t="s">
        <v>7082</v>
      </c>
      <c r="K57" s="0" t="n">
        <v>1</v>
      </c>
      <c r="L57" s="0" t="s">
        <v>7160</v>
      </c>
    </row>
    <row r="58" customFormat="false" ht="15" hidden="false" customHeight="false" outlineLevel="0" collapsed="false">
      <c r="A58" s="0" t="n">
        <v>55</v>
      </c>
      <c r="B58" s="0" t="s">
        <v>7167</v>
      </c>
      <c r="C58" s="0" t="s">
        <v>7080</v>
      </c>
      <c r="D58" s="0" t="n">
        <v>5</v>
      </c>
      <c r="E58" s="0" t="s">
        <v>77</v>
      </c>
      <c r="F58" s="0" t="n">
        <v>2022</v>
      </c>
      <c r="I58" s="0" t="s">
        <v>7168</v>
      </c>
      <c r="J58" s="0" t="s">
        <v>7082</v>
      </c>
      <c r="K58" s="0" t="n">
        <v>1</v>
      </c>
      <c r="L58" s="0" t="s">
        <v>7160</v>
      </c>
    </row>
    <row r="59" customFormat="false" ht="15" hidden="false" customHeight="false" outlineLevel="0" collapsed="false">
      <c r="A59" s="0" t="n">
        <v>56</v>
      </c>
      <c r="B59" s="0" t="s">
        <v>7169</v>
      </c>
      <c r="C59" s="0" t="s">
        <v>7080</v>
      </c>
      <c r="D59" s="0" t="n">
        <v>5</v>
      </c>
      <c r="E59" s="0" t="s">
        <v>125</v>
      </c>
      <c r="F59" s="0" t="n">
        <v>2015</v>
      </c>
      <c r="I59" s="0" t="s">
        <v>7170</v>
      </c>
      <c r="J59" s="0" t="s">
        <v>7082</v>
      </c>
      <c r="K59" s="0" t="n">
        <v>1</v>
      </c>
      <c r="L59" s="0" t="s">
        <v>7171</v>
      </c>
    </row>
    <row r="60" customFormat="false" ht="15" hidden="false" customHeight="false" outlineLevel="0" collapsed="false">
      <c r="A60" s="0" t="n">
        <v>57</v>
      </c>
      <c r="B60" s="0" t="s">
        <v>7172</v>
      </c>
      <c r="C60" s="0" t="s">
        <v>7080</v>
      </c>
      <c r="D60" s="0" t="n">
        <v>5</v>
      </c>
      <c r="E60" s="0" t="s">
        <v>125</v>
      </c>
      <c r="F60" s="0" t="n">
        <v>2016</v>
      </c>
      <c r="I60" s="0" t="s">
        <v>7173</v>
      </c>
      <c r="J60" s="0" t="s">
        <v>7082</v>
      </c>
      <c r="K60" s="0" t="n">
        <v>1</v>
      </c>
      <c r="L60" s="0" t="s">
        <v>7171</v>
      </c>
    </row>
    <row r="61" customFormat="false" ht="15" hidden="false" customHeight="false" outlineLevel="0" collapsed="false">
      <c r="A61" s="0" t="n">
        <v>58</v>
      </c>
      <c r="B61" s="0" t="s">
        <v>7174</v>
      </c>
      <c r="C61" s="0" t="s">
        <v>7080</v>
      </c>
      <c r="D61" s="0" t="n">
        <v>5</v>
      </c>
      <c r="E61" s="0" t="s">
        <v>125</v>
      </c>
      <c r="F61" s="0" t="n">
        <v>2020</v>
      </c>
      <c r="I61" s="0" t="s">
        <v>7175</v>
      </c>
      <c r="J61" s="0" t="s">
        <v>7082</v>
      </c>
      <c r="K61" s="0" t="n">
        <v>1</v>
      </c>
      <c r="L61" s="0" t="s">
        <v>7171</v>
      </c>
    </row>
    <row r="62" customFormat="false" ht="15" hidden="false" customHeight="false" outlineLevel="0" collapsed="false">
      <c r="A62" s="0" t="n">
        <v>59</v>
      </c>
      <c r="B62" s="0" t="s">
        <v>7176</v>
      </c>
      <c r="C62" s="0" t="s">
        <v>7080</v>
      </c>
      <c r="D62" s="0" t="n">
        <v>5</v>
      </c>
      <c r="E62" s="0" t="s">
        <v>125</v>
      </c>
      <c r="F62" s="0" t="n">
        <v>2021</v>
      </c>
      <c r="I62" s="0" t="s">
        <v>7177</v>
      </c>
      <c r="J62" s="0" t="s">
        <v>7082</v>
      </c>
      <c r="K62" s="0" t="n">
        <v>1</v>
      </c>
      <c r="L62" s="0" t="s">
        <v>7171</v>
      </c>
    </row>
    <row r="63" customFormat="false" ht="15" hidden="false" customHeight="false" outlineLevel="0" collapsed="false">
      <c r="A63" s="0" t="n">
        <v>60</v>
      </c>
      <c r="B63" s="0" t="s">
        <v>7178</v>
      </c>
      <c r="C63" s="0" t="s">
        <v>7080</v>
      </c>
      <c r="D63" s="0" t="n">
        <v>5</v>
      </c>
      <c r="E63" s="0" t="s">
        <v>125</v>
      </c>
      <c r="F63" s="0" t="n">
        <v>2022</v>
      </c>
      <c r="I63" s="0" t="s">
        <v>7179</v>
      </c>
      <c r="J63" s="0" t="s">
        <v>7082</v>
      </c>
      <c r="K63" s="0" t="n">
        <v>1</v>
      </c>
      <c r="L63" s="0" t="s">
        <v>7171</v>
      </c>
    </row>
    <row r="64" customFormat="false" ht="15" hidden="false" customHeight="false" outlineLevel="0" collapsed="false">
      <c r="A64" s="0" t="n">
        <v>61</v>
      </c>
      <c r="B64" s="0" t="s">
        <v>7180</v>
      </c>
      <c r="C64" s="0" t="s">
        <v>7080</v>
      </c>
      <c r="D64" s="0" t="n">
        <v>5</v>
      </c>
      <c r="E64" s="0" t="s">
        <v>136</v>
      </c>
      <c r="F64" s="0" t="n">
        <v>2015</v>
      </c>
      <c r="I64" s="0" t="s">
        <v>7181</v>
      </c>
      <c r="J64" s="0" t="s">
        <v>7082</v>
      </c>
      <c r="K64" s="0" t="n">
        <v>1</v>
      </c>
      <c r="L64" s="0" t="s">
        <v>7182</v>
      </c>
    </row>
    <row r="65" customFormat="false" ht="15" hidden="false" customHeight="false" outlineLevel="0" collapsed="false">
      <c r="A65" s="0" t="n">
        <v>62</v>
      </c>
      <c r="B65" s="0" t="s">
        <v>7183</v>
      </c>
      <c r="C65" s="0" t="s">
        <v>7080</v>
      </c>
      <c r="D65" s="0" t="n">
        <v>5</v>
      </c>
      <c r="E65" s="0" t="s">
        <v>136</v>
      </c>
      <c r="F65" s="0" t="n">
        <v>2016</v>
      </c>
      <c r="I65" s="0" t="s">
        <v>7184</v>
      </c>
      <c r="J65" s="0" t="s">
        <v>7082</v>
      </c>
      <c r="K65" s="0" t="n">
        <v>1</v>
      </c>
      <c r="L65" s="0" t="s">
        <v>7182</v>
      </c>
    </row>
    <row r="66" customFormat="false" ht="15" hidden="false" customHeight="false" outlineLevel="0" collapsed="false">
      <c r="A66" s="0" t="n">
        <v>63</v>
      </c>
      <c r="B66" s="0" t="s">
        <v>7185</v>
      </c>
      <c r="C66" s="0" t="s">
        <v>7080</v>
      </c>
      <c r="D66" s="0" t="n">
        <v>5</v>
      </c>
      <c r="E66" s="0" t="s">
        <v>136</v>
      </c>
      <c r="F66" s="0" t="n">
        <v>2020</v>
      </c>
      <c r="I66" s="0" t="s">
        <v>7186</v>
      </c>
      <c r="J66" s="0" t="s">
        <v>7082</v>
      </c>
      <c r="K66" s="0" t="n">
        <v>1</v>
      </c>
      <c r="L66" s="0" t="s">
        <v>7182</v>
      </c>
    </row>
    <row r="67" customFormat="false" ht="15" hidden="false" customHeight="false" outlineLevel="0" collapsed="false">
      <c r="A67" s="0" t="n">
        <v>64</v>
      </c>
      <c r="B67" s="0" t="s">
        <v>7187</v>
      </c>
      <c r="C67" s="0" t="s">
        <v>7080</v>
      </c>
      <c r="D67" s="0" t="n">
        <v>5</v>
      </c>
      <c r="E67" s="0" t="s">
        <v>136</v>
      </c>
      <c r="F67" s="0" t="n">
        <v>2021</v>
      </c>
      <c r="I67" s="0" t="s">
        <v>7188</v>
      </c>
      <c r="J67" s="0" t="s">
        <v>7082</v>
      </c>
      <c r="K67" s="0" t="n">
        <v>1</v>
      </c>
      <c r="L67" s="0" t="s">
        <v>7182</v>
      </c>
    </row>
    <row r="68" customFormat="false" ht="15" hidden="false" customHeight="false" outlineLevel="0" collapsed="false">
      <c r="A68" s="0" t="n">
        <v>65</v>
      </c>
      <c r="B68" s="0" t="s">
        <v>7189</v>
      </c>
      <c r="C68" s="0" t="s">
        <v>7080</v>
      </c>
      <c r="D68" s="0" t="n">
        <v>5</v>
      </c>
      <c r="E68" s="0" t="s">
        <v>136</v>
      </c>
      <c r="F68" s="0" t="n">
        <v>2022</v>
      </c>
      <c r="I68" s="0" t="s">
        <v>7190</v>
      </c>
      <c r="J68" s="0" t="s">
        <v>7082</v>
      </c>
      <c r="K68" s="0" t="n">
        <v>1</v>
      </c>
      <c r="L68" s="0" t="s">
        <v>7182</v>
      </c>
    </row>
    <row r="69" customFormat="false" ht="15" hidden="false" customHeight="false" outlineLevel="0" collapsed="false">
      <c r="A69" s="0" t="n">
        <v>66</v>
      </c>
      <c r="B69" s="0" t="s">
        <v>7191</v>
      </c>
      <c r="C69" s="0" t="s">
        <v>7080</v>
      </c>
      <c r="D69" s="0" t="n">
        <v>5</v>
      </c>
      <c r="E69" s="0" t="s">
        <v>222</v>
      </c>
      <c r="F69" s="0" t="n">
        <v>2013</v>
      </c>
      <c r="I69" s="0" t="s">
        <v>7192</v>
      </c>
      <c r="J69" s="0" t="s">
        <v>7082</v>
      </c>
      <c r="K69" s="0" t="n">
        <v>1</v>
      </c>
      <c r="L69" s="0" t="s">
        <v>7193</v>
      </c>
    </row>
    <row r="70" customFormat="false" ht="15" hidden="false" customHeight="false" outlineLevel="0" collapsed="false">
      <c r="A70" s="0" t="n">
        <v>67</v>
      </c>
      <c r="B70" s="0" t="s">
        <v>7194</v>
      </c>
      <c r="C70" s="0" t="s">
        <v>7080</v>
      </c>
      <c r="D70" s="0" t="n">
        <v>5</v>
      </c>
      <c r="E70" s="0" t="s">
        <v>222</v>
      </c>
      <c r="F70" s="0" t="n">
        <v>2016</v>
      </c>
      <c r="I70" s="0" t="s">
        <v>7195</v>
      </c>
      <c r="J70" s="0" t="s">
        <v>7082</v>
      </c>
      <c r="K70" s="0" t="n">
        <v>1</v>
      </c>
      <c r="L70" s="0" t="s">
        <v>7196</v>
      </c>
    </row>
    <row r="71" customFormat="false" ht="15" hidden="false" customHeight="false" outlineLevel="0" collapsed="false">
      <c r="A71" s="0" t="n">
        <v>68</v>
      </c>
      <c r="B71" s="0" t="s">
        <v>7197</v>
      </c>
      <c r="C71" s="0" t="s">
        <v>7080</v>
      </c>
      <c r="D71" s="0" t="n">
        <v>5</v>
      </c>
      <c r="E71" s="0" t="s">
        <v>222</v>
      </c>
      <c r="F71" s="0" t="n">
        <v>2020</v>
      </c>
      <c r="I71" s="0" t="s">
        <v>7198</v>
      </c>
      <c r="J71" s="0" t="s">
        <v>7082</v>
      </c>
      <c r="K71" s="0" t="n">
        <v>1</v>
      </c>
      <c r="L71" s="0" t="s">
        <v>7196</v>
      </c>
    </row>
    <row r="72" customFormat="false" ht="15" hidden="false" customHeight="false" outlineLevel="0" collapsed="false">
      <c r="A72" s="0" t="n">
        <v>69</v>
      </c>
      <c r="B72" s="0" t="s">
        <v>2388</v>
      </c>
      <c r="C72" s="0" t="s">
        <v>7069</v>
      </c>
      <c r="D72" s="0" t="n">
        <v>6</v>
      </c>
      <c r="E72" s="0" t="s">
        <v>100</v>
      </c>
      <c r="F72" s="0" t="s">
        <v>7199</v>
      </c>
      <c r="G72" s="0" t="s">
        <v>2681</v>
      </c>
      <c r="H72" s="0" t="s">
        <v>107</v>
      </c>
      <c r="J72" s="0" t="s">
        <v>2955</v>
      </c>
      <c r="K72" s="0" t="n">
        <v>0</v>
      </c>
      <c r="L72" s="0" t="s">
        <v>7071</v>
      </c>
    </row>
    <row r="73" customFormat="false" ht="15" hidden="false" customHeight="false" outlineLevel="0" collapsed="false">
      <c r="A73" s="0" t="n">
        <v>70</v>
      </c>
      <c r="B73" s="0" t="s">
        <v>2353</v>
      </c>
      <c r="C73" s="0" t="s">
        <v>7069</v>
      </c>
      <c r="D73" s="0" t="n">
        <v>6</v>
      </c>
      <c r="E73" s="0" t="s">
        <v>115</v>
      </c>
      <c r="F73" s="0" t="n">
        <v>2013</v>
      </c>
      <c r="G73" s="0" t="s">
        <v>2689</v>
      </c>
      <c r="H73" s="0" t="s">
        <v>116</v>
      </c>
      <c r="J73" s="0" t="s">
        <v>2955</v>
      </c>
      <c r="K73" s="0" t="n">
        <v>0</v>
      </c>
      <c r="L73" s="0" t="s">
        <v>7071</v>
      </c>
    </row>
    <row r="74" customFormat="false" ht="15" hidden="false" customHeight="false" outlineLevel="0" collapsed="false">
      <c r="A74" s="0" t="n">
        <v>71</v>
      </c>
      <c r="B74" s="0" t="s">
        <v>1888</v>
      </c>
      <c r="C74" s="0" t="s">
        <v>7069</v>
      </c>
      <c r="D74" s="0" t="n">
        <v>6</v>
      </c>
      <c r="E74" s="0" t="s">
        <v>115</v>
      </c>
      <c r="F74" s="0" t="s">
        <v>7200</v>
      </c>
      <c r="G74" s="0" t="s">
        <v>2694</v>
      </c>
      <c r="H74" s="0" t="s">
        <v>121</v>
      </c>
      <c r="J74" s="0" t="s">
        <v>2955</v>
      </c>
      <c r="K74" s="0" t="n">
        <v>0</v>
      </c>
      <c r="L74" s="0" t="s">
        <v>7071</v>
      </c>
    </row>
    <row r="75" customFormat="false" ht="15" hidden="false" customHeight="false" outlineLevel="0" collapsed="false">
      <c r="A75" s="0" t="n">
        <v>72</v>
      </c>
      <c r="B75" s="0" t="s">
        <v>1896</v>
      </c>
      <c r="C75" s="0" t="s">
        <v>7069</v>
      </c>
      <c r="D75" s="0" t="n">
        <v>6</v>
      </c>
      <c r="E75" s="0" t="s">
        <v>115</v>
      </c>
      <c r="F75" s="0" t="s">
        <v>7077</v>
      </c>
      <c r="G75" s="0" t="s">
        <v>3022</v>
      </c>
      <c r="H75" s="0" t="s">
        <v>123</v>
      </c>
      <c r="J75" s="0" t="s">
        <v>2955</v>
      </c>
      <c r="K75" s="0" t="n">
        <v>0</v>
      </c>
      <c r="L75" s="0" t="s">
        <v>7201</v>
      </c>
    </row>
    <row r="76" customFormat="false" ht="15" hidden="false" customHeight="false" outlineLevel="0" collapsed="false">
      <c r="A76" s="0" t="n">
        <v>73</v>
      </c>
      <c r="B76" s="0" t="s">
        <v>1903</v>
      </c>
      <c r="C76" s="0" t="s">
        <v>7069</v>
      </c>
      <c r="D76" s="0" t="n">
        <v>6</v>
      </c>
      <c r="E76" s="0" t="s">
        <v>169</v>
      </c>
      <c r="F76" s="0" t="s">
        <v>7070</v>
      </c>
      <c r="G76" s="0" t="s">
        <v>2718</v>
      </c>
      <c r="H76" s="0" t="s">
        <v>170</v>
      </c>
      <c r="J76" s="0" t="s">
        <v>2955</v>
      </c>
      <c r="K76" s="0" t="n">
        <v>0</v>
      </c>
      <c r="L76" s="0" t="s">
        <v>7071</v>
      </c>
    </row>
    <row r="77" customFormat="false" ht="15" hidden="false" customHeight="false" outlineLevel="0" collapsed="false">
      <c r="A77" s="0" t="n">
        <v>74</v>
      </c>
      <c r="B77" s="0" t="s">
        <v>1910</v>
      </c>
      <c r="C77" s="0" t="s">
        <v>7069</v>
      </c>
      <c r="D77" s="0" t="n">
        <v>6</v>
      </c>
      <c r="E77" s="0" t="s">
        <v>169</v>
      </c>
      <c r="F77" s="0" t="s">
        <v>7200</v>
      </c>
      <c r="G77" s="0" t="s">
        <v>2722</v>
      </c>
      <c r="H77" s="0" t="s">
        <v>174</v>
      </c>
      <c r="J77" s="0" t="s">
        <v>2955</v>
      </c>
      <c r="K77" s="0" t="n">
        <v>0</v>
      </c>
      <c r="L77" s="0" t="s">
        <v>7071</v>
      </c>
    </row>
    <row r="78" customFormat="false" ht="15" hidden="false" customHeight="false" outlineLevel="0" collapsed="false">
      <c r="A78" s="0" t="n">
        <v>75</v>
      </c>
      <c r="B78" s="0" t="s">
        <v>2406</v>
      </c>
      <c r="C78" s="0" t="s">
        <v>7069</v>
      </c>
      <c r="D78" s="0" t="n">
        <v>6</v>
      </c>
      <c r="E78" s="0" t="s">
        <v>178</v>
      </c>
      <c r="F78" s="0" t="s">
        <v>7070</v>
      </c>
      <c r="G78" s="0" t="s">
        <v>2726</v>
      </c>
      <c r="H78" s="0" t="s">
        <v>179</v>
      </c>
      <c r="J78" s="0" t="s">
        <v>2955</v>
      </c>
      <c r="K78" s="0" t="n">
        <v>0</v>
      </c>
      <c r="L78" s="0" t="s">
        <v>7071</v>
      </c>
    </row>
    <row r="79" customFormat="false" ht="15" hidden="false" customHeight="false" outlineLevel="0" collapsed="false">
      <c r="A79" s="0" t="n">
        <v>76</v>
      </c>
      <c r="B79" s="0" t="s">
        <v>2399</v>
      </c>
      <c r="C79" s="0" t="s">
        <v>7069</v>
      </c>
      <c r="D79" s="0" t="n">
        <v>6</v>
      </c>
      <c r="E79" s="0" t="s">
        <v>178</v>
      </c>
      <c r="F79" s="0" t="s">
        <v>7076</v>
      </c>
      <c r="G79" s="0" t="s">
        <v>2728</v>
      </c>
      <c r="H79" s="0" t="s">
        <v>180</v>
      </c>
      <c r="J79" s="0" t="s">
        <v>2955</v>
      </c>
      <c r="K79" s="0" t="n">
        <v>0</v>
      </c>
      <c r="L79" s="0" t="s">
        <v>7071</v>
      </c>
    </row>
    <row r="80" customFormat="false" ht="15" hidden="false" customHeight="false" outlineLevel="0" collapsed="false">
      <c r="A80" s="0" t="n">
        <v>77</v>
      </c>
      <c r="B80" s="0" t="s">
        <v>2386</v>
      </c>
      <c r="C80" s="0" t="s">
        <v>7069</v>
      </c>
      <c r="D80" s="0" t="n">
        <v>6</v>
      </c>
      <c r="E80" s="0" t="s">
        <v>178</v>
      </c>
      <c r="F80" s="0" t="s">
        <v>7072</v>
      </c>
      <c r="G80" s="0" t="s">
        <v>2729</v>
      </c>
      <c r="H80" s="0" t="s">
        <v>184</v>
      </c>
      <c r="J80" s="0" t="s">
        <v>2955</v>
      </c>
      <c r="K80" s="0" t="n">
        <v>0</v>
      </c>
      <c r="L80" s="0" t="s">
        <v>7071</v>
      </c>
    </row>
    <row r="81" customFormat="false" ht="15" hidden="false" customHeight="false" outlineLevel="0" collapsed="false">
      <c r="A81" s="0" t="n">
        <v>78</v>
      </c>
      <c r="B81" s="0" t="s">
        <v>2355</v>
      </c>
      <c r="C81" s="0" t="s">
        <v>7069</v>
      </c>
      <c r="D81" s="0" t="n">
        <v>6</v>
      </c>
      <c r="E81" s="0" t="s">
        <v>178</v>
      </c>
      <c r="F81" s="0" t="s">
        <v>7073</v>
      </c>
      <c r="G81" s="0" t="s">
        <v>2730</v>
      </c>
      <c r="H81" s="0" t="s">
        <v>185</v>
      </c>
      <c r="J81" s="0" t="s">
        <v>2955</v>
      </c>
      <c r="K81" s="0" t="n">
        <v>0</v>
      </c>
      <c r="L81" s="0" t="s">
        <v>7071</v>
      </c>
    </row>
    <row r="82" customFormat="false" ht="15" hidden="false" customHeight="false" outlineLevel="0" collapsed="false">
      <c r="A82" s="0" t="n">
        <v>79</v>
      </c>
      <c r="B82" s="0" t="s">
        <v>2379</v>
      </c>
      <c r="C82" s="0" t="s">
        <v>7069</v>
      </c>
      <c r="D82" s="0" t="n">
        <v>6</v>
      </c>
      <c r="E82" s="0" t="s">
        <v>178</v>
      </c>
      <c r="F82" s="0" t="s">
        <v>7074</v>
      </c>
      <c r="G82" s="0" t="s">
        <v>2731</v>
      </c>
      <c r="H82" s="0" t="s">
        <v>186</v>
      </c>
      <c r="J82" s="0" t="s">
        <v>2955</v>
      </c>
      <c r="K82" s="0" t="n">
        <v>0</v>
      </c>
      <c r="L82" s="0" t="s">
        <v>7071</v>
      </c>
    </row>
    <row r="83" customFormat="false" ht="15" hidden="false" customHeight="false" outlineLevel="0" collapsed="false">
      <c r="A83" s="0" t="n">
        <v>80</v>
      </c>
      <c r="B83" s="0" t="s">
        <v>1932</v>
      </c>
      <c r="C83" s="0" t="s">
        <v>7069</v>
      </c>
      <c r="D83" s="0" t="n">
        <v>6</v>
      </c>
      <c r="E83" s="0" t="s">
        <v>201</v>
      </c>
      <c r="F83" s="0" t="s">
        <v>7200</v>
      </c>
      <c r="G83" s="0" t="s">
        <v>2743</v>
      </c>
      <c r="H83" s="0" t="s">
        <v>207</v>
      </c>
      <c r="J83" s="0" t="s">
        <v>2955</v>
      </c>
      <c r="K83" s="0" t="n">
        <v>0</v>
      </c>
      <c r="L83" s="0" t="s">
        <v>7071</v>
      </c>
    </row>
    <row r="84" customFormat="false" ht="15" hidden="false" customHeight="false" outlineLevel="0" collapsed="false">
      <c r="A84" s="0" t="n">
        <v>81</v>
      </c>
      <c r="B84" s="0" t="s">
        <v>7202</v>
      </c>
      <c r="C84" s="0" t="s">
        <v>7080</v>
      </c>
      <c r="D84" s="0" t="n">
        <v>6</v>
      </c>
      <c r="E84" s="0" t="s">
        <v>100</v>
      </c>
      <c r="F84" s="0" t="n">
        <v>2013</v>
      </c>
      <c r="I84" s="0" t="s">
        <v>7203</v>
      </c>
      <c r="J84" s="0" t="s">
        <v>7082</v>
      </c>
      <c r="K84" s="0" t="n">
        <v>1</v>
      </c>
      <c r="L84" s="0" t="s">
        <v>7204</v>
      </c>
    </row>
    <row r="85" customFormat="false" ht="15" hidden="false" customHeight="false" outlineLevel="0" collapsed="false">
      <c r="A85" s="0" t="n">
        <v>82</v>
      </c>
      <c r="B85" s="0" t="s">
        <v>7205</v>
      </c>
      <c r="C85" s="0" t="s">
        <v>7080</v>
      </c>
      <c r="D85" s="0" t="n">
        <v>6</v>
      </c>
      <c r="E85" s="0" t="s">
        <v>100</v>
      </c>
      <c r="F85" s="0" t="n">
        <v>2014</v>
      </c>
      <c r="I85" s="0" t="s">
        <v>7206</v>
      </c>
      <c r="J85" s="0" t="s">
        <v>7082</v>
      </c>
      <c r="K85" s="0" t="n">
        <v>1</v>
      </c>
      <c r="L85" s="0" t="s">
        <v>7204</v>
      </c>
    </row>
    <row r="86" customFormat="false" ht="15" hidden="false" customHeight="false" outlineLevel="0" collapsed="false">
      <c r="A86" s="0" t="n">
        <v>83</v>
      </c>
      <c r="B86" s="0" t="s">
        <v>7207</v>
      </c>
      <c r="C86" s="0" t="s">
        <v>7080</v>
      </c>
      <c r="D86" s="0" t="n">
        <v>6</v>
      </c>
      <c r="E86" s="0" t="s">
        <v>100</v>
      </c>
      <c r="F86" s="0" t="n">
        <v>2015</v>
      </c>
      <c r="I86" s="0" t="s">
        <v>7208</v>
      </c>
      <c r="J86" s="0" t="s">
        <v>7082</v>
      </c>
      <c r="K86" s="0" t="n">
        <v>1</v>
      </c>
      <c r="L86" s="0" t="s">
        <v>7209</v>
      </c>
    </row>
    <row r="87" customFormat="false" ht="15" hidden="false" customHeight="false" outlineLevel="0" collapsed="false">
      <c r="A87" s="0" t="n">
        <v>84</v>
      </c>
      <c r="B87" s="0" t="s">
        <v>7210</v>
      </c>
      <c r="C87" s="0" t="s">
        <v>7080</v>
      </c>
      <c r="D87" s="0" t="n">
        <v>6</v>
      </c>
      <c r="E87" s="0" t="s">
        <v>100</v>
      </c>
      <c r="F87" s="0" t="n">
        <v>2018</v>
      </c>
      <c r="I87" s="0" t="s">
        <v>7211</v>
      </c>
      <c r="J87" s="0" t="s">
        <v>7082</v>
      </c>
      <c r="K87" s="0" t="n">
        <v>1</v>
      </c>
      <c r="L87" s="0" t="s">
        <v>7209</v>
      </c>
    </row>
    <row r="88" customFormat="false" ht="15" hidden="false" customHeight="false" outlineLevel="0" collapsed="false">
      <c r="A88" s="0" t="n">
        <v>85</v>
      </c>
      <c r="B88" s="0" t="s">
        <v>7212</v>
      </c>
      <c r="C88" s="0" t="s">
        <v>7080</v>
      </c>
      <c r="D88" s="0" t="n">
        <v>6</v>
      </c>
      <c r="E88" s="0" t="s">
        <v>100</v>
      </c>
      <c r="F88" s="0" t="n">
        <v>2019</v>
      </c>
      <c r="I88" s="0" t="s">
        <v>7213</v>
      </c>
      <c r="J88" s="0" t="s">
        <v>7082</v>
      </c>
      <c r="K88" s="0" t="n">
        <v>1</v>
      </c>
      <c r="L88" s="0" t="s">
        <v>7209</v>
      </c>
    </row>
    <row r="89" customFormat="false" ht="15" hidden="false" customHeight="false" outlineLevel="0" collapsed="false">
      <c r="A89" s="0" t="n">
        <v>86</v>
      </c>
      <c r="B89" s="0" t="s">
        <v>7214</v>
      </c>
      <c r="C89" s="0" t="s">
        <v>7080</v>
      </c>
      <c r="D89" s="0" t="n">
        <v>6</v>
      </c>
      <c r="E89" s="0" t="s">
        <v>100</v>
      </c>
      <c r="F89" s="0" t="n">
        <v>2020</v>
      </c>
      <c r="I89" s="0" t="s">
        <v>7215</v>
      </c>
      <c r="J89" s="0" t="s">
        <v>7082</v>
      </c>
      <c r="K89" s="0" t="n">
        <v>1</v>
      </c>
      <c r="L89" s="0" t="s">
        <v>7209</v>
      </c>
    </row>
    <row r="90" customFormat="false" ht="15" hidden="false" customHeight="false" outlineLevel="0" collapsed="false">
      <c r="A90" s="0" t="n">
        <v>87</v>
      </c>
      <c r="B90" s="0" t="s">
        <v>7216</v>
      </c>
      <c r="C90" s="0" t="s">
        <v>7080</v>
      </c>
      <c r="D90" s="0" t="n">
        <v>6</v>
      </c>
      <c r="E90" s="0" t="s">
        <v>100</v>
      </c>
      <c r="F90" s="0" t="n">
        <v>2021</v>
      </c>
      <c r="I90" s="0" t="s">
        <v>7217</v>
      </c>
      <c r="J90" s="0" t="s">
        <v>7082</v>
      </c>
      <c r="K90" s="0" t="n">
        <v>1</v>
      </c>
      <c r="L90" s="0" t="s">
        <v>7209</v>
      </c>
    </row>
    <row r="91" customFormat="false" ht="15" hidden="false" customHeight="false" outlineLevel="0" collapsed="false">
      <c r="A91" s="0" t="n">
        <v>88</v>
      </c>
      <c r="B91" s="0" t="s">
        <v>7218</v>
      </c>
      <c r="C91" s="0" t="s">
        <v>7080</v>
      </c>
      <c r="D91" s="0" t="n">
        <v>6</v>
      </c>
      <c r="E91" s="0" t="s">
        <v>100</v>
      </c>
      <c r="F91" s="0" t="n">
        <v>2022</v>
      </c>
      <c r="I91" s="0" t="s">
        <v>7219</v>
      </c>
      <c r="J91" s="0" t="s">
        <v>7082</v>
      </c>
      <c r="K91" s="0" t="n">
        <v>1</v>
      </c>
      <c r="L91" s="0" t="s">
        <v>7209</v>
      </c>
    </row>
    <row r="92" customFormat="false" ht="15" hidden="false" customHeight="false" outlineLevel="0" collapsed="false">
      <c r="A92" s="0" t="n">
        <v>89</v>
      </c>
      <c r="B92" s="0" t="s">
        <v>7220</v>
      </c>
      <c r="C92" s="0" t="s">
        <v>7080</v>
      </c>
      <c r="D92" s="0" t="n">
        <v>6</v>
      </c>
      <c r="E92" s="0" t="s">
        <v>115</v>
      </c>
      <c r="F92" s="0" t="n">
        <v>2014</v>
      </c>
      <c r="I92" s="0" t="s">
        <v>7221</v>
      </c>
      <c r="J92" s="0" t="s">
        <v>7082</v>
      </c>
      <c r="K92" s="0" t="n">
        <v>1</v>
      </c>
      <c r="L92" s="0" t="s">
        <v>7222</v>
      </c>
    </row>
    <row r="93" customFormat="false" ht="15" hidden="false" customHeight="false" outlineLevel="0" collapsed="false">
      <c r="A93" s="0" t="n">
        <v>90</v>
      </c>
      <c r="B93" s="0" t="s">
        <v>7223</v>
      </c>
      <c r="C93" s="0" t="s">
        <v>7080</v>
      </c>
      <c r="D93" s="0" t="n">
        <v>6</v>
      </c>
      <c r="E93" s="0" t="s">
        <v>115</v>
      </c>
      <c r="F93" s="0" t="n">
        <v>2015</v>
      </c>
      <c r="I93" s="0" t="s">
        <v>7224</v>
      </c>
      <c r="J93" s="0" t="s">
        <v>7082</v>
      </c>
      <c r="K93" s="0" t="n">
        <v>1</v>
      </c>
      <c r="L93" s="0" t="s">
        <v>7225</v>
      </c>
    </row>
    <row r="94" customFormat="false" ht="15" hidden="false" customHeight="false" outlineLevel="0" collapsed="false">
      <c r="A94" s="0" t="n">
        <v>91</v>
      </c>
      <c r="B94" s="0" t="s">
        <v>7226</v>
      </c>
      <c r="C94" s="0" t="s">
        <v>7080</v>
      </c>
      <c r="D94" s="0" t="n">
        <v>6</v>
      </c>
      <c r="E94" s="0" t="s">
        <v>115</v>
      </c>
      <c r="F94" s="0" t="n">
        <v>2016</v>
      </c>
      <c r="I94" s="0" t="s">
        <v>7227</v>
      </c>
      <c r="J94" s="0" t="s">
        <v>7082</v>
      </c>
      <c r="K94" s="0" t="n">
        <v>1</v>
      </c>
      <c r="L94" s="0" t="s">
        <v>7225</v>
      </c>
    </row>
    <row r="95" customFormat="false" ht="15" hidden="false" customHeight="false" outlineLevel="0" collapsed="false">
      <c r="A95" s="0" t="n">
        <v>92</v>
      </c>
      <c r="B95" s="0" t="s">
        <v>7228</v>
      </c>
      <c r="C95" s="0" t="s">
        <v>7080</v>
      </c>
      <c r="D95" s="0" t="n">
        <v>6</v>
      </c>
      <c r="E95" s="0" t="s">
        <v>115</v>
      </c>
      <c r="F95" s="0" t="n">
        <v>2017</v>
      </c>
      <c r="I95" s="0" t="s">
        <v>7229</v>
      </c>
      <c r="J95" s="0" t="s">
        <v>7082</v>
      </c>
      <c r="K95" s="0" t="n">
        <v>1</v>
      </c>
      <c r="L95" s="0" t="s">
        <v>7225</v>
      </c>
    </row>
    <row r="96" customFormat="false" ht="15" hidden="false" customHeight="false" outlineLevel="0" collapsed="false">
      <c r="A96" s="0" t="n">
        <v>93</v>
      </c>
      <c r="B96" s="0" t="s">
        <v>7230</v>
      </c>
      <c r="C96" s="0" t="s">
        <v>7080</v>
      </c>
      <c r="D96" s="0" t="n">
        <v>6</v>
      </c>
      <c r="E96" s="0" t="s">
        <v>115</v>
      </c>
      <c r="F96" s="0" t="n">
        <v>2020</v>
      </c>
      <c r="I96" s="0" t="s">
        <v>7231</v>
      </c>
      <c r="J96" s="0" t="s">
        <v>7082</v>
      </c>
      <c r="K96" s="0" t="n">
        <v>1</v>
      </c>
      <c r="L96" s="0" t="s">
        <v>7225</v>
      </c>
    </row>
    <row r="97" customFormat="false" ht="15" hidden="false" customHeight="false" outlineLevel="0" collapsed="false">
      <c r="A97" s="0" t="n">
        <v>94</v>
      </c>
      <c r="B97" s="0" t="s">
        <v>7232</v>
      </c>
      <c r="C97" s="0" t="s">
        <v>7080</v>
      </c>
      <c r="D97" s="0" t="n">
        <v>6</v>
      </c>
      <c r="E97" s="0" t="s">
        <v>169</v>
      </c>
      <c r="F97" s="0" t="n">
        <v>2015</v>
      </c>
      <c r="I97" s="0" t="s">
        <v>7233</v>
      </c>
      <c r="J97" s="0" t="s">
        <v>7082</v>
      </c>
      <c r="K97" s="0" t="n">
        <v>1</v>
      </c>
      <c r="L97" s="0" t="s">
        <v>7234</v>
      </c>
    </row>
    <row r="98" customFormat="false" ht="15" hidden="false" customHeight="false" outlineLevel="0" collapsed="false">
      <c r="A98" s="0" t="n">
        <v>95</v>
      </c>
      <c r="B98" s="0" t="s">
        <v>7235</v>
      </c>
      <c r="C98" s="0" t="s">
        <v>7080</v>
      </c>
      <c r="D98" s="0" t="n">
        <v>6</v>
      </c>
      <c r="E98" s="0" t="s">
        <v>169</v>
      </c>
      <c r="F98" s="0" t="n">
        <v>2016</v>
      </c>
      <c r="I98" s="0" t="s">
        <v>7236</v>
      </c>
      <c r="J98" s="0" t="s">
        <v>7082</v>
      </c>
      <c r="K98" s="0" t="n">
        <v>1</v>
      </c>
      <c r="L98" s="0" t="s">
        <v>7234</v>
      </c>
    </row>
    <row r="99" customFormat="false" ht="15" hidden="false" customHeight="false" outlineLevel="0" collapsed="false">
      <c r="A99" s="0" t="n">
        <v>96</v>
      </c>
      <c r="B99" s="0" t="s">
        <v>7237</v>
      </c>
      <c r="C99" s="0" t="s">
        <v>7080</v>
      </c>
      <c r="D99" s="0" t="n">
        <v>6</v>
      </c>
      <c r="E99" s="0" t="s">
        <v>169</v>
      </c>
      <c r="F99" s="0" t="n">
        <v>2017</v>
      </c>
      <c r="I99" s="0" t="s">
        <v>7238</v>
      </c>
      <c r="J99" s="0" t="s">
        <v>7082</v>
      </c>
      <c r="K99" s="0" t="n">
        <v>1</v>
      </c>
      <c r="L99" s="0" t="s">
        <v>7234</v>
      </c>
    </row>
    <row r="100" customFormat="false" ht="15" hidden="false" customHeight="false" outlineLevel="0" collapsed="false">
      <c r="A100" s="0" t="n">
        <v>97</v>
      </c>
      <c r="B100" s="0" t="s">
        <v>7239</v>
      </c>
      <c r="C100" s="0" t="s">
        <v>7080</v>
      </c>
      <c r="D100" s="0" t="n">
        <v>6</v>
      </c>
      <c r="E100" s="0" t="s">
        <v>169</v>
      </c>
      <c r="F100" s="0" t="n">
        <v>2020</v>
      </c>
      <c r="I100" s="0" t="s">
        <v>7240</v>
      </c>
      <c r="J100" s="0" t="s">
        <v>7082</v>
      </c>
      <c r="K100" s="0" t="n">
        <v>1</v>
      </c>
      <c r="L100" s="0" t="s">
        <v>7234</v>
      </c>
    </row>
    <row r="101" customFormat="false" ht="15" hidden="false" customHeight="false" outlineLevel="0" collapsed="false">
      <c r="A101" s="0" t="n">
        <v>98</v>
      </c>
      <c r="B101" s="0" t="s">
        <v>7241</v>
      </c>
      <c r="C101" s="0" t="s">
        <v>7080</v>
      </c>
      <c r="D101" s="0" t="n">
        <v>6</v>
      </c>
      <c r="E101" s="0" t="s">
        <v>169</v>
      </c>
      <c r="F101" s="0" t="n">
        <v>2021</v>
      </c>
      <c r="I101" s="0" t="s">
        <v>7242</v>
      </c>
      <c r="J101" s="0" t="s">
        <v>7082</v>
      </c>
      <c r="K101" s="0" t="n">
        <v>1</v>
      </c>
      <c r="L101" s="0" t="s">
        <v>7234</v>
      </c>
    </row>
    <row r="102" customFormat="false" ht="15" hidden="false" customHeight="false" outlineLevel="0" collapsed="false">
      <c r="A102" s="0" t="n">
        <v>99</v>
      </c>
      <c r="B102" s="0" t="s">
        <v>7243</v>
      </c>
      <c r="C102" s="0" t="s">
        <v>7080</v>
      </c>
      <c r="D102" s="0" t="n">
        <v>6</v>
      </c>
      <c r="E102" s="0" t="s">
        <v>169</v>
      </c>
      <c r="F102" s="0" t="n">
        <v>2022</v>
      </c>
      <c r="I102" s="0" t="s">
        <v>7244</v>
      </c>
      <c r="J102" s="0" t="s">
        <v>7082</v>
      </c>
      <c r="K102" s="0" t="n">
        <v>1</v>
      </c>
      <c r="L102" s="0" t="s">
        <v>7234</v>
      </c>
    </row>
    <row r="103" customFormat="false" ht="15" hidden="false" customHeight="false" outlineLevel="0" collapsed="false">
      <c r="A103" s="0" t="n">
        <v>100</v>
      </c>
      <c r="B103" s="0" t="s">
        <v>7245</v>
      </c>
      <c r="C103" s="0" t="s">
        <v>7080</v>
      </c>
      <c r="D103" s="0" t="n">
        <v>6</v>
      </c>
      <c r="E103" s="0" t="s">
        <v>201</v>
      </c>
      <c r="F103" s="0" t="n">
        <v>2013</v>
      </c>
      <c r="I103" s="0" t="s">
        <v>7246</v>
      </c>
      <c r="J103" s="0" t="s">
        <v>7082</v>
      </c>
      <c r="K103" s="0" t="n">
        <v>1</v>
      </c>
      <c r="L103" s="0" t="s">
        <v>7247</v>
      </c>
    </row>
    <row r="104" customFormat="false" ht="15" hidden="false" customHeight="false" outlineLevel="0" collapsed="false">
      <c r="A104" s="0" t="n">
        <v>101</v>
      </c>
      <c r="B104" s="0" t="s">
        <v>7248</v>
      </c>
      <c r="C104" s="0" t="s">
        <v>7080</v>
      </c>
      <c r="D104" s="0" t="n">
        <v>6</v>
      </c>
      <c r="E104" s="0" t="s">
        <v>201</v>
      </c>
      <c r="F104" s="0" t="n">
        <v>2014</v>
      </c>
      <c r="I104" s="0" t="s">
        <v>7249</v>
      </c>
      <c r="J104" s="0" t="s">
        <v>7082</v>
      </c>
      <c r="K104" s="0" t="n">
        <v>1</v>
      </c>
      <c r="L104" s="0" t="s">
        <v>7247</v>
      </c>
    </row>
    <row r="105" customFormat="false" ht="15" hidden="false" customHeight="false" outlineLevel="0" collapsed="false">
      <c r="A105" s="0" t="n">
        <v>102</v>
      </c>
      <c r="B105" s="0" t="s">
        <v>7250</v>
      </c>
      <c r="C105" s="0" t="s">
        <v>7080</v>
      </c>
      <c r="D105" s="0" t="n">
        <v>6</v>
      </c>
      <c r="E105" s="0" t="s">
        <v>201</v>
      </c>
      <c r="F105" s="0" t="n">
        <v>2015</v>
      </c>
      <c r="I105" s="0" t="s">
        <v>7251</v>
      </c>
      <c r="J105" s="0" t="s">
        <v>7082</v>
      </c>
      <c r="K105" s="0" t="n">
        <v>1</v>
      </c>
      <c r="L105" s="0" t="s">
        <v>7252</v>
      </c>
    </row>
    <row r="106" customFormat="false" ht="15" hidden="false" customHeight="false" outlineLevel="0" collapsed="false">
      <c r="A106" s="0" t="n">
        <v>103</v>
      </c>
      <c r="B106" s="0" t="s">
        <v>7253</v>
      </c>
      <c r="C106" s="0" t="s">
        <v>7080</v>
      </c>
      <c r="D106" s="0" t="n">
        <v>6</v>
      </c>
      <c r="E106" s="0" t="s">
        <v>201</v>
      </c>
      <c r="F106" s="0" t="n">
        <v>2016</v>
      </c>
      <c r="I106" s="0" t="s">
        <v>7254</v>
      </c>
      <c r="J106" s="0" t="s">
        <v>7082</v>
      </c>
      <c r="K106" s="0" t="n">
        <v>1</v>
      </c>
      <c r="L106" s="0" t="s">
        <v>7252</v>
      </c>
    </row>
    <row r="107" customFormat="false" ht="15" hidden="false" customHeight="false" outlineLevel="0" collapsed="false">
      <c r="A107" s="0" t="n">
        <v>104</v>
      </c>
      <c r="B107" s="0" t="s">
        <v>7255</v>
      </c>
      <c r="C107" s="0" t="s">
        <v>7080</v>
      </c>
      <c r="D107" s="0" t="n">
        <v>6</v>
      </c>
      <c r="E107" s="0" t="s">
        <v>201</v>
      </c>
      <c r="F107" s="0" t="n">
        <v>2017</v>
      </c>
      <c r="I107" s="0" t="s">
        <v>7256</v>
      </c>
      <c r="J107" s="0" t="s">
        <v>7082</v>
      </c>
      <c r="K107" s="0" t="n">
        <v>1</v>
      </c>
      <c r="L107" s="0" t="s">
        <v>7252</v>
      </c>
    </row>
    <row r="108" customFormat="false" ht="15" hidden="false" customHeight="false" outlineLevel="0" collapsed="false">
      <c r="A108" s="0" t="n">
        <v>105</v>
      </c>
      <c r="B108" s="0" t="s">
        <v>7257</v>
      </c>
      <c r="C108" s="0" t="s">
        <v>7080</v>
      </c>
      <c r="D108" s="0" t="n">
        <v>6</v>
      </c>
      <c r="E108" s="0" t="s">
        <v>201</v>
      </c>
      <c r="F108" s="0" t="n">
        <v>2020</v>
      </c>
      <c r="I108" s="0" t="s">
        <v>7258</v>
      </c>
      <c r="J108" s="0" t="s">
        <v>7082</v>
      </c>
      <c r="K108" s="0" t="n">
        <v>1</v>
      </c>
      <c r="L108" s="0" t="s">
        <v>7252</v>
      </c>
    </row>
    <row r="109" customFormat="false" ht="15" hidden="false" customHeight="false" outlineLevel="0" collapsed="false">
      <c r="A109" s="0" t="n">
        <v>106</v>
      </c>
      <c r="B109" s="0" t="s">
        <v>7259</v>
      </c>
      <c r="C109" s="0" t="s">
        <v>7080</v>
      </c>
      <c r="D109" s="0" t="n">
        <v>6</v>
      </c>
      <c r="E109" s="0" t="s">
        <v>201</v>
      </c>
      <c r="F109" s="0" t="n">
        <v>2021</v>
      </c>
      <c r="I109" s="0" t="s">
        <v>7260</v>
      </c>
      <c r="J109" s="0" t="s">
        <v>7082</v>
      </c>
      <c r="K109" s="0" t="n">
        <v>1</v>
      </c>
      <c r="L109" s="0" t="s">
        <v>7252</v>
      </c>
    </row>
    <row r="110" customFormat="false" ht="15" hidden="false" customHeight="false" outlineLevel="0" collapsed="false">
      <c r="A110" s="0" t="n">
        <v>107</v>
      </c>
      <c r="B110" s="0" t="s">
        <v>7261</v>
      </c>
      <c r="C110" s="0" t="s">
        <v>7080</v>
      </c>
      <c r="D110" s="0" t="n">
        <v>6</v>
      </c>
      <c r="E110" s="0" t="s">
        <v>201</v>
      </c>
      <c r="F110" s="0" t="n">
        <v>2022</v>
      </c>
      <c r="I110" s="0" t="s">
        <v>7262</v>
      </c>
      <c r="J110" s="0" t="s">
        <v>7082</v>
      </c>
      <c r="K110" s="0" t="n">
        <v>1</v>
      </c>
      <c r="L110" s="0" t="s">
        <v>7252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7" min="6" style="0" width="10"/>
  </cols>
  <sheetData>
    <row r="1" customFormat="false" ht="15" hidden="false" customHeight="false" outlineLevel="0" collapsed="false">
      <c r="A1" s="2" t="s">
        <v>7263</v>
      </c>
    </row>
    <row r="3" customFormat="false" ht="15" hidden="false" customHeight="false" outlineLevel="0" collapsed="false">
      <c r="A3" s="3" t="s">
        <v>50</v>
      </c>
      <c r="B3" s="3" t="s">
        <v>51</v>
      </c>
      <c r="C3" s="3" t="s">
        <v>301</v>
      </c>
      <c r="D3" s="3" t="s">
        <v>276</v>
      </c>
      <c r="E3" s="3" t="s">
        <v>7264</v>
      </c>
      <c r="F3" s="3" t="s">
        <v>7265</v>
      </c>
      <c r="G3" s="3" t="s">
        <v>433</v>
      </c>
    </row>
    <row r="4" customFormat="false" ht="15" hidden="false" customHeight="false" outlineLevel="0" collapsed="false">
      <c r="A4" s="0" t="s">
        <v>77</v>
      </c>
      <c r="B4" s="0" t="n">
        <v>2015</v>
      </c>
      <c r="C4" s="0" t="s">
        <v>54</v>
      </c>
      <c r="D4" s="0" t="n">
        <v>58925</v>
      </c>
      <c r="E4" s="0" t="s">
        <v>7266</v>
      </c>
      <c r="G4" s="0" t="s">
        <v>7267</v>
      </c>
    </row>
    <row r="5" customFormat="false" ht="15" hidden="false" customHeight="false" outlineLevel="0" collapsed="false">
      <c r="A5" s="0" t="s">
        <v>77</v>
      </c>
      <c r="B5" s="0" t="n">
        <v>2015</v>
      </c>
      <c r="C5" s="0" t="s">
        <v>1327</v>
      </c>
      <c r="D5" s="0" t="n">
        <v>302062</v>
      </c>
      <c r="E5" s="0" t="s">
        <v>7266</v>
      </c>
      <c r="G5" s="0" t="s">
        <v>7267</v>
      </c>
    </row>
    <row r="6" customFormat="false" ht="15" hidden="false" customHeight="false" outlineLevel="0" collapsed="false">
      <c r="A6" s="0" t="s">
        <v>77</v>
      </c>
      <c r="B6" s="0" t="n">
        <v>2015</v>
      </c>
      <c r="C6" s="0" t="s">
        <v>55</v>
      </c>
      <c r="D6" s="0" t="n">
        <v>2411944</v>
      </c>
      <c r="E6" s="0" t="s">
        <v>7266</v>
      </c>
      <c r="G6" s="0" t="s">
        <v>7267</v>
      </c>
    </row>
    <row r="7" customFormat="false" ht="15" hidden="false" customHeight="false" outlineLevel="0" collapsed="false">
      <c r="A7" s="0" t="s">
        <v>77</v>
      </c>
      <c r="B7" s="0" t="n">
        <v>2015</v>
      </c>
      <c r="C7" s="0" t="s">
        <v>60</v>
      </c>
      <c r="D7" s="0" t="n">
        <v>1243215</v>
      </c>
      <c r="E7" s="0" t="s">
        <v>7266</v>
      </c>
      <c r="G7" s="0" t="s">
        <v>7267</v>
      </c>
    </row>
    <row r="8" customFormat="false" ht="15" hidden="false" customHeight="false" outlineLevel="0" collapsed="false">
      <c r="A8" s="0" t="s">
        <v>77</v>
      </c>
      <c r="B8" s="0" t="n">
        <v>2015</v>
      </c>
      <c r="C8" s="0" t="s">
        <v>61</v>
      </c>
      <c r="D8" s="0" t="n">
        <v>26906</v>
      </c>
      <c r="E8" s="0" t="s">
        <v>7266</v>
      </c>
      <c r="G8" s="0" t="s">
        <v>7267</v>
      </c>
    </row>
    <row r="9" customFormat="false" ht="15" hidden="false" customHeight="false" outlineLevel="0" collapsed="false">
      <c r="A9" s="0" t="s">
        <v>77</v>
      </c>
      <c r="B9" s="0" t="n">
        <v>2015</v>
      </c>
      <c r="C9" s="0" t="s">
        <v>63</v>
      </c>
      <c r="D9" s="0" t="n">
        <v>13288</v>
      </c>
      <c r="E9" s="0" t="s">
        <v>7266</v>
      </c>
      <c r="G9" s="0" t="s">
        <v>7267</v>
      </c>
    </row>
    <row r="10" customFormat="false" ht="15" hidden="false" customHeight="false" outlineLevel="0" collapsed="false">
      <c r="A10" s="0" t="s">
        <v>77</v>
      </c>
      <c r="B10" s="0" t="n">
        <v>2015</v>
      </c>
      <c r="C10" s="0" t="s">
        <v>327</v>
      </c>
      <c r="D10" s="0" t="n">
        <v>1.5</v>
      </c>
      <c r="E10" s="0" t="s">
        <v>7266</v>
      </c>
      <c r="G10" s="0" t="s">
        <v>7267</v>
      </c>
    </row>
    <row r="11" customFormat="false" ht="15" hidden="false" customHeight="false" outlineLevel="0" collapsed="false">
      <c r="A11" s="0" t="s">
        <v>77</v>
      </c>
      <c r="B11" s="0" t="n">
        <v>2015</v>
      </c>
      <c r="C11" s="0" t="s">
        <v>69</v>
      </c>
      <c r="D11" s="0" t="n">
        <v>18</v>
      </c>
      <c r="E11" s="0" t="s">
        <v>7266</v>
      </c>
      <c r="G11" s="0" t="s">
        <v>7267</v>
      </c>
    </row>
    <row r="12" customFormat="false" ht="15" hidden="false" customHeight="false" outlineLevel="0" collapsed="false">
      <c r="A12" s="0" t="s">
        <v>77</v>
      </c>
      <c r="B12" s="0" t="n">
        <v>2015</v>
      </c>
      <c r="C12" s="0" t="s">
        <v>73</v>
      </c>
      <c r="D12" s="0" t="n">
        <v>0</v>
      </c>
      <c r="E12" s="0" t="s">
        <v>7266</v>
      </c>
      <c r="G12" s="0" t="s">
        <v>7267</v>
      </c>
    </row>
    <row r="13" customFormat="false" ht="15" hidden="false" customHeight="false" outlineLevel="0" collapsed="false">
      <c r="A13" s="0" t="s">
        <v>77</v>
      </c>
      <c r="B13" s="0" t="n">
        <v>2015</v>
      </c>
      <c r="C13" s="0" t="s">
        <v>1804</v>
      </c>
      <c r="D13" s="0" t="s">
        <v>7268</v>
      </c>
      <c r="E13" s="0" t="s">
        <v>7266</v>
      </c>
      <c r="G13" s="0" t="s">
        <v>7267</v>
      </c>
    </row>
    <row r="14" customFormat="false" ht="15" hidden="false" customHeight="false" outlineLevel="0" collapsed="false">
      <c r="A14" s="0" t="s">
        <v>77</v>
      </c>
      <c r="B14" s="0" t="n">
        <v>2016</v>
      </c>
      <c r="C14" s="0" t="s">
        <v>54</v>
      </c>
      <c r="D14" s="0" t="n">
        <v>64026</v>
      </c>
      <c r="E14" s="0" t="s">
        <v>7266</v>
      </c>
      <c r="G14" s="0" t="s">
        <v>7267</v>
      </c>
    </row>
    <row r="15" customFormat="false" ht="15" hidden="false" customHeight="false" outlineLevel="0" collapsed="false">
      <c r="A15" s="0" t="s">
        <v>77</v>
      </c>
      <c r="B15" s="0" t="n">
        <v>2016</v>
      </c>
      <c r="C15" s="0" t="s">
        <v>1327</v>
      </c>
      <c r="D15" s="0" t="n">
        <v>331001</v>
      </c>
      <c r="E15" s="0" t="s">
        <v>7266</v>
      </c>
      <c r="G15" s="0" t="s">
        <v>7267</v>
      </c>
    </row>
    <row r="16" customFormat="false" ht="15" hidden="false" customHeight="false" outlineLevel="0" collapsed="false">
      <c r="A16" s="0" t="s">
        <v>77</v>
      </c>
      <c r="B16" s="0" t="n">
        <v>2016</v>
      </c>
      <c r="C16" s="0" t="s">
        <v>55</v>
      </c>
      <c r="D16" s="0" t="n">
        <v>3094961</v>
      </c>
      <c r="E16" s="0" t="s">
        <v>7266</v>
      </c>
      <c r="G16" s="0" t="s">
        <v>7267</v>
      </c>
    </row>
    <row r="17" customFormat="false" ht="15" hidden="false" customHeight="false" outlineLevel="0" collapsed="false">
      <c r="A17" s="0" t="s">
        <v>77</v>
      </c>
      <c r="B17" s="0" t="n">
        <v>2016</v>
      </c>
      <c r="C17" s="0" t="s">
        <v>60</v>
      </c>
      <c r="D17" s="0" t="n">
        <v>1594562</v>
      </c>
      <c r="E17" s="0" t="s">
        <v>7266</v>
      </c>
      <c r="G17" s="0" t="s">
        <v>7267</v>
      </c>
    </row>
    <row r="18" customFormat="false" ht="15" hidden="false" customHeight="false" outlineLevel="0" collapsed="false">
      <c r="A18" s="0" t="s">
        <v>77</v>
      </c>
      <c r="B18" s="0" t="n">
        <v>2016</v>
      </c>
      <c r="C18" s="0" t="s">
        <v>61</v>
      </c>
      <c r="D18" s="0" t="n">
        <v>30276</v>
      </c>
      <c r="E18" s="0" t="s">
        <v>7266</v>
      </c>
      <c r="G18" s="0" t="s">
        <v>7267</v>
      </c>
    </row>
    <row r="19" customFormat="false" ht="15" hidden="false" customHeight="false" outlineLevel="0" collapsed="false">
      <c r="A19" s="0" t="s">
        <v>77</v>
      </c>
      <c r="B19" s="0" t="n">
        <v>2016</v>
      </c>
      <c r="C19" s="0" t="s">
        <v>63</v>
      </c>
      <c r="D19" s="0" t="n">
        <v>17641</v>
      </c>
      <c r="E19" s="0" t="s">
        <v>7266</v>
      </c>
      <c r="G19" s="0" t="s">
        <v>7267</v>
      </c>
    </row>
    <row r="20" customFormat="false" ht="15" hidden="false" customHeight="false" outlineLevel="0" collapsed="false">
      <c r="A20" s="0" t="s">
        <v>77</v>
      </c>
      <c r="B20" s="0" t="n">
        <v>2016</v>
      </c>
      <c r="C20" s="0" t="s">
        <v>327</v>
      </c>
      <c r="D20" s="0" t="n">
        <v>1.8</v>
      </c>
      <c r="E20" s="0" t="s">
        <v>7266</v>
      </c>
      <c r="G20" s="0" t="s">
        <v>7267</v>
      </c>
    </row>
    <row r="21" customFormat="false" ht="15" hidden="false" customHeight="false" outlineLevel="0" collapsed="false">
      <c r="A21" s="0" t="s">
        <v>77</v>
      </c>
      <c r="B21" s="0" t="n">
        <v>2016</v>
      </c>
      <c r="C21" s="0" t="s">
        <v>69</v>
      </c>
      <c r="D21" s="0" t="n">
        <v>19.55</v>
      </c>
      <c r="E21" s="0" t="s">
        <v>7266</v>
      </c>
      <c r="G21" s="0" t="s">
        <v>7267</v>
      </c>
    </row>
    <row r="22" customFormat="false" ht="15" hidden="false" customHeight="false" outlineLevel="0" collapsed="false">
      <c r="A22" s="0" t="s">
        <v>77</v>
      </c>
      <c r="B22" s="0" t="n">
        <v>2016</v>
      </c>
      <c r="C22" s="0" t="s">
        <v>73</v>
      </c>
      <c r="D22" s="0" t="n">
        <v>0</v>
      </c>
      <c r="E22" s="0" t="s">
        <v>7266</v>
      </c>
      <c r="G22" s="0" t="s">
        <v>7267</v>
      </c>
    </row>
    <row r="23" customFormat="false" ht="15" hidden="false" customHeight="false" outlineLevel="0" collapsed="false">
      <c r="A23" s="0" t="s">
        <v>77</v>
      </c>
      <c r="B23" s="0" t="n">
        <v>2016</v>
      </c>
      <c r="C23" s="0" t="s">
        <v>1804</v>
      </c>
      <c r="D23" s="0" t="s">
        <v>7268</v>
      </c>
      <c r="E23" s="0" t="s">
        <v>7266</v>
      </c>
      <c r="G23" s="0" t="s">
        <v>7267</v>
      </c>
    </row>
    <row r="24" customFormat="false" ht="15" hidden="false" customHeight="false" outlineLevel="0" collapsed="false">
      <c r="A24" s="0" t="s">
        <v>77</v>
      </c>
      <c r="B24" s="0" t="n">
        <v>2017</v>
      </c>
      <c r="C24" s="0" t="s">
        <v>54</v>
      </c>
      <c r="D24" s="0" t="n">
        <v>53239</v>
      </c>
      <c r="E24" s="0" t="s">
        <v>7266</v>
      </c>
      <c r="G24" s="0" t="s">
        <v>7267</v>
      </c>
    </row>
    <row r="25" customFormat="false" ht="15" hidden="false" customHeight="false" outlineLevel="0" collapsed="false">
      <c r="A25" s="0" t="s">
        <v>77</v>
      </c>
      <c r="B25" s="0" t="n">
        <v>2017</v>
      </c>
      <c r="C25" s="0" t="s">
        <v>1327</v>
      </c>
      <c r="D25" s="0" t="n">
        <v>398162</v>
      </c>
      <c r="E25" s="0" t="s">
        <v>7266</v>
      </c>
      <c r="G25" s="0" t="s">
        <v>7267</v>
      </c>
    </row>
    <row r="26" customFormat="false" ht="15" hidden="false" customHeight="false" outlineLevel="0" collapsed="false">
      <c r="A26" s="0" t="s">
        <v>77</v>
      </c>
      <c r="B26" s="0" t="n">
        <v>2017</v>
      </c>
      <c r="C26" s="0" t="s">
        <v>55</v>
      </c>
      <c r="D26" s="0" t="n">
        <v>3499684</v>
      </c>
      <c r="E26" s="0" t="s">
        <v>7266</v>
      </c>
      <c r="G26" s="0" t="s">
        <v>7267</v>
      </c>
    </row>
    <row r="27" customFormat="false" ht="15" hidden="false" customHeight="false" outlineLevel="0" collapsed="false">
      <c r="A27" s="0" t="s">
        <v>77</v>
      </c>
      <c r="B27" s="0" t="n">
        <v>2017</v>
      </c>
      <c r="C27" s="0" t="s">
        <v>60</v>
      </c>
      <c r="D27" s="0" t="n">
        <v>1827389</v>
      </c>
      <c r="E27" s="0" t="s">
        <v>7266</v>
      </c>
      <c r="G27" s="0" t="s">
        <v>7267</v>
      </c>
    </row>
    <row r="28" customFormat="false" ht="15" hidden="false" customHeight="false" outlineLevel="0" collapsed="false">
      <c r="A28" s="0" t="s">
        <v>77</v>
      </c>
      <c r="B28" s="0" t="n">
        <v>2017</v>
      </c>
      <c r="C28" s="0" t="s">
        <v>61</v>
      </c>
      <c r="D28" s="0" t="n">
        <v>56331</v>
      </c>
      <c r="E28" s="0" t="s">
        <v>7266</v>
      </c>
      <c r="G28" s="0" t="s">
        <v>7267</v>
      </c>
    </row>
    <row r="29" customFormat="false" ht="15" hidden="false" customHeight="false" outlineLevel="0" collapsed="false">
      <c r="A29" s="0" t="s">
        <v>77</v>
      </c>
      <c r="B29" s="0" t="n">
        <v>2017</v>
      </c>
      <c r="C29" s="0" t="s">
        <v>63</v>
      </c>
      <c r="D29" s="0" t="n">
        <v>29150</v>
      </c>
      <c r="E29" s="0" t="s">
        <v>7266</v>
      </c>
      <c r="G29" s="0" t="s">
        <v>7267</v>
      </c>
    </row>
    <row r="30" customFormat="false" ht="15" hidden="false" customHeight="false" outlineLevel="0" collapsed="false">
      <c r="A30" s="0" t="s">
        <v>77</v>
      </c>
      <c r="B30" s="0" t="n">
        <v>2017</v>
      </c>
      <c r="C30" s="0" t="s">
        <v>327</v>
      </c>
      <c r="D30" s="0" t="n">
        <v>4.28</v>
      </c>
      <c r="E30" s="0" t="s">
        <v>7266</v>
      </c>
      <c r="G30" s="0" t="s">
        <v>7267</v>
      </c>
    </row>
    <row r="31" customFormat="false" ht="15" hidden="false" customHeight="false" outlineLevel="0" collapsed="false">
      <c r="A31" s="0" t="s">
        <v>77</v>
      </c>
      <c r="B31" s="0" t="n">
        <v>2017</v>
      </c>
      <c r="C31" s="0" t="s">
        <v>69</v>
      </c>
      <c r="D31" s="0" t="n">
        <v>18.18</v>
      </c>
      <c r="E31" s="0" t="s">
        <v>7266</v>
      </c>
      <c r="G31" s="0" t="s">
        <v>7267</v>
      </c>
    </row>
    <row r="32" customFormat="false" ht="15" hidden="false" customHeight="false" outlineLevel="0" collapsed="false">
      <c r="A32" s="0" t="s">
        <v>77</v>
      </c>
      <c r="B32" s="0" t="n">
        <v>2017</v>
      </c>
      <c r="C32" s="0" t="s">
        <v>73</v>
      </c>
      <c r="D32" s="0" t="n">
        <v>0</v>
      </c>
      <c r="E32" s="0" t="s">
        <v>7266</v>
      </c>
      <c r="G32" s="0" t="s">
        <v>7267</v>
      </c>
    </row>
    <row r="33" customFormat="false" ht="15" hidden="false" customHeight="false" outlineLevel="0" collapsed="false">
      <c r="A33" s="0" t="s">
        <v>77</v>
      </c>
      <c r="B33" s="0" t="n">
        <v>2017</v>
      </c>
      <c r="C33" s="0" t="s">
        <v>1804</v>
      </c>
      <c r="D33" s="0" t="s">
        <v>7268</v>
      </c>
      <c r="E33" s="0" t="s">
        <v>7266</v>
      </c>
      <c r="G33" s="0" t="s">
        <v>7267</v>
      </c>
    </row>
    <row r="34" customFormat="false" ht="15" hidden="false" customHeight="false" outlineLevel="0" collapsed="false">
      <c r="A34" s="0" t="s">
        <v>77</v>
      </c>
      <c r="B34" s="0" t="n">
        <v>2018</v>
      </c>
      <c r="C34" s="0" t="s">
        <v>54</v>
      </c>
      <c r="D34" s="0" t="n">
        <v>73596</v>
      </c>
      <c r="E34" s="0" t="s">
        <v>7266</v>
      </c>
      <c r="G34" s="0" t="s">
        <v>7267</v>
      </c>
    </row>
    <row r="35" customFormat="false" ht="15" hidden="false" customHeight="false" outlineLevel="0" collapsed="false">
      <c r="A35" s="0" t="s">
        <v>77</v>
      </c>
      <c r="B35" s="0" t="n">
        <v>2018</v>
      </c>
      <c r="C35" s="0" t="s">
        <v>1327</v>
      </c>
      <c r="D35" s="0" t="n">
        <v>435743</v>
      </c>
      <c r="E35" s="0" t="s">
        <v>7266</v>
      </c>
      <c r="G35" s="0" t="s">
        <v>7267</v>
      </c>
    </row>
    <row r="36" customFormat="false" ht="15" hidden="false" customHeight="false" outlineLevel="0" collapsed="false">
      <c r="A36" s="0" t="s">
        <v>77</v>
      </c>
      <c r="B36" s="0" t="n">
        <v>2018</v>
      </c>
      <c r="C36" s="0" t="s">
        <v>55</v>
      </c>
      <c r="D36" s="0" t="n">
        <v>3968115</v>
      </c>
      <c r="E36" s="0" t="s">
        <v>7266</v>
      </c>
      <c r="G36" s="0" t="s">
        <v>7267</v>
      </c>
    </row>
    <row r="37" customFormat="false" ht="15" hidden="false" customHeight="false" outlineLevel="0" collapsed="false">
      <c r="A37" s="0" t="s">
        <v>77</v>
      </c>
      <c r="B37" s="0" t="n">
        <v>2018</v>
      </c>
      <c r="C37" s="0" t="s">
        <v>60</v>
      </c>
      <c r="D37" s="0" t="n">
        <v>1753772</v>
      </c>
      <c r="E37" s="0" t="s">
        <v>7266</v>
      </c>
      <c r="G37" s="0" t="s">
        <v>7267</v>
      </c>
    </row>
    <row r="38" customFormat="false" ht="15" hidden="false" customHeight="false" outlineLevel="0" collapsed="false">
      <c r="A38" s="0" t="s">
        <v>77</v>
      </c>
      <c r="B38" s="0" t="n">
        <v>2018</v>
      </c>
      <c r="C38" s="0" t="s">
        <v>61</v>
      </c>
      <c r="D38" s="0" t="n">
        <v>72010</v>
      </c>
      <c r="E38" s="0" t="s">
        <v>7266</v>
      </c>
      <c r="G38" s="0" t="s">
        <v>7267</v>
      </c>
    </row>
    <row r="39" customFormat="false" ht="15" hidden="false" customHeight="false" outlineLevel="0" collapsed="false">
      <c r="A39" s="0" t="s">
        <v>77</v>
      </c>
      <c r="B39" s="0" t="n">
        <v>2018</v>
      </c>
      <c r="C39" s="0" t="s">
        <v>63</v>
      </c>
      <c r="D39" s="0" t="n">
        <v>10702</v>
      </c>
      <c r="E39" s="0" t="s">
        <v>7266</v>
      </c>
      <c r="G39" s="0" t="s">
        <v>7267</v>
      </c>
    </row>
    <row r="40" customFormat="false" ht="15" hidden="false" customHeight="false" outlineLevel="0" collapsed="false">
      <c r="A40" s="0" t="s">
        <v>77</v>
      </c>
      <c r="B40" s="0" t="n">
        <v>2018</v>
      </c>
      <c r="C40" s="0" t="s">
        <v>327</v>
      </c>
      <c r="D40" s="0" t="n">
        <v>2.38</v>
      </c>
      <c r="E40" s="0" t="s">
        <v>7266</v>
      </c>
      <c r="G40" s="0" t="s">
        <v>7267</v>
      </c>
    </row>
    <row r="41" customFormat="false" ht="15" hidden="false" customHeight="false" outlineLevel="0" collapsed="false">
      <c r="A41" s="0" t="s">
        <v>77</v>
      </c>
      <c r="B41" s="0" t="n">
        <v>2018</v>
      </c>
      <c r="C41" s="0" t="s">
        <v>69</v>
      </c>
      <c r="D41" s="0" t="n">
        <v>16.34</v>
      </c>
      <c r="E41" s="0" t="s">
        <v>7266</v>
      </c>
      <c r="G41" s="0" t="s">
        <v>7267</v>
      </c>
    </row>
    <row r="42" customFormat="false" ht="15" hidden="false" customHeight="false" outlineLevel="0" collapsed="false">
      <c r="A42" s="0" t="s">
        <v>77</v>
      </c>
      <c r="B42" s="0" t="n">
        <v>2018</v>
      </c>
      <c r="C42" s="0" t="s">
        <v>73</v>
      </c>
      <c r="D42" s="0" t="n">
        <v>0</v>
      </c>
      <c r="E42" s="0" t="s">
        <v>7266</v>
      </c>
      <c r="G42" s="0" t="s">
        <v>7267</v>
      </c>
    </row>
    <row r="43" customFormat="false" ht="15" hidden="false" customHeight="false" outlineLevel="0" collapsed="false">
      <c r="A43" s="0" t="s">
        <v>77</v>
      </c>
      <c r="B43" s="0" t="n">
        <v>2018</v>
      </c>
      <c r="C43" s="0" t="s">
        <v>1804</v>
      </c>
      <c r="D43" s="0" t="s">
        <v>7268</v>
      </c>
      <c r="E43" s="0" t="s">
        <v>7266</v>
      </c>
      <c r="G43" s="0" t="s">
        <v>7267</v>
      </c>
    </row>
    <row r="44" customFormat="false" ht="15" hidden="false" customHeight="false" outlineLevel="0" collapsed="false">
      <c r="A44" s="0" t="s">
        <v>77</v>
      </c>
      <c r="B44" s="0" t="n">
        <v>2019</v>
      </c>
      <c r="C44" s="0" t="s">
        <v>54</v>
      </c>
      <c r="D44" s="0" t="n">
        <v>73569</v>
      </c>
      <c r="E44" s="0" t="s">
        <v>7266</v>
      </c>
      <c r="G44" s="0" t="s">
        <v>7267</v>
      </c>
    </row>
    <row r="45" customFormat="false" ht="15" hidden="false" customHeight="false" outlineLevel="0" collapsed="false">
      <c r="A45" s="0" t="s">
        <v>77</v>
      </c>
      <c r="B45" s="0" t="n">
        <v>2019</v>
      </c>
      <c r="C45" s="0" t="s">
        <v>1327</v>
      </c>
      <c r="D45" s="0" t="n">
        <v>576348</v>
      </c>
      <c r="E45" s="0" t="s">
        <v>7266</v>
      </c>
      <c r="G45" s="0" t="s">
        <v>7267</v>
      </c>
    </row>
    <row r="46" customFormat="false" ht="15" hidden="false" customHeight="false" outlineLevel="0" collapsed="false">
      <c r="A46" s="0" t="s">
        <v>77</v>
      </c>
      <c r="B46" s="0" t="n">
        <v>2019</v>
      </c>
      <c r="C46" s="0" t="s">
        <v>55</v>
      </c>
      <c r="D46" s="0" t="n">
        <v>6311041</v>
      </c>
      <c r="E46" s="0" t="s">
        <v>7266</v>
      </c>
      <c r="G46" s="0" t="s">
        <v>7267</v>
      </c>
    </row>
    <row r="47" customFormat="false" ht="15" hidden="false" customHeight="false" outlineLevel="0" collapsed="false">
      <c r="A47" s="0" t="s">
        <v>77</v>
      </c>
      <c r="B47" s="0" t="n">
        <v>2019</v>
      </c>
      <c r="C47" s="0" t="s">
        <v>60</v>
      </c>
      <c r="D47" s="0" t="n">
        <v>2662623</v>
      </c>
      <c r="E47" s="0" t="s">
        <v>7266</v>
      </c>
      <c r="G47" s="0" t="s">
        <v>7267</v>
      </c>
    </row>
    <row r="48" customFormat="false" ht="15" hidden="false" customHeight="false" outlineLevel="0" collapsed="false">
      <c r="A48" s="0" t="s">
        <v>77</v>
      </c>
      <c r="B48" s="0" t="n">
        <v>2019</v>
      </c>
      <c r="C48" s="0" t="s">
        <v>61</v>
      </c>
      <c r="D48" s="0" t="n">
        <v>180999</v>
      </c>
      <c r="E48" s="0" t="s">
        <v>7266</v>
      </c>
      <c r="G48" s="0" t="s">
        <v>7267</v>
      </c>
    </row>
    <row r="49" customFormat="false" ht="15" hidden="false" customHeight="false" outlineLevel="0" collapsed="false">
      <c r="A49" s="0" t="s">
        <v>77</v>
      </c>
      <c r="B49" s="0" t="n">
        <v>2019</v>
      </c>
      <c r="C49" s="0" t="s">
        <v>63</v>
      </c>
      <c r="D49" s="0" t="n">
        <v>21055</v>
      </c>
      <c r="E49" s="0" t="s">
        <v>7266</v>
      </c>
      <c r="G49" s="0" t="s">
        <v>7267</v>
      </c>
    </row>
    <row r="50" customFormat="false" ht="15" hidden="false" customHeight="false" outlineLevel="0" collapsed="false">
      <c r="A50" s="0" t="s">
        <v>77</v>
      </c>
      <c r="B50" s="0" t="n">
        <v>2019</v>
      </c>
      <c r="C50" s="0" t="s">
        <v>327</v>
      </c>
      <c r="D50" s="0" t="n">
        <v>6.1</v>
      </c>
      <c r="E50" s="0" t="s">
        <v>7266</v>
      </c>
      <c r="G50" s="0" t="s">
        <v>7267</v>
      </c>
    </row>
    <row r="51" customFormat="false" ht="15" hidden="false" customHeight="false" outlineLevel="0" collapsed="false">
      <c r="A51" s="0" t="s">
        <v>77</v>
      </c>
      <c r="B51" s="0" t="n">
        <v>2019</v>
      </c>
      <c r="C51" s="0" t="s">
        <v>69</v>
      </c>
      <c r="D51" s="0" t="n">
        <v>17.65</v>
      </c>
      <c r="E51" s="0" t="s">
        <v>7266</v>
      </c>
      <c r="G51" s="0" t="s">
        <v>7267</v>
      </c>
    </row>
    <row r="52" customFormat="false" ht="15" hidden="false" customHeight="false" outlineLevel="0" collapsed="false">
      <c r="A52" s="0" t="s">
        <v>77</v>
      </c>
      <c r="B52" s="0" t="n">
        <v>2019</v>
      </c>
      <c r="C52" s="0" t="s">
        <v>73</v>
      </c>
      <c r="D52" s="0" t="n">
        <v>0</v>
      </c>
      <c r="E52" s="0" t="s">
        <v>7266</v>
      </c>
      <c r="G52" s="0" t="s">
        <v>7267</v>
      </c>
    </row>
    <row r="53" customFormat="false" ht="15" hidden="false" customHeight="false" outlineLevel="0" collapsed="false">
      <c r="A53" s="0" t="s">
        <v>77</v>
      </c>
      <c r="B53" s="0" t="n">
        <v>2019</v>
      </c>
      <c r="C53" s="0" t="s">
        <v>1804</v>
      </c>
      <c r="D53" s="0" t="s">
        <v>7268</v>
      </c>
      <c r="E53" s="0" t="s">
        <v>7266</v>
      </c>
      <c r="G53" s="0" t="s">
        <v>7267</v>
      </c>
    </row>
    <row r="54" customFormat="false" ht="15" hidden="false" customHeight="false" outlineLevel="0" collapsed="false">
      <c r="A54" s="0" t="s">
        <v>77</v>
      </c>
      <c r="B54" s="0" t="n">
        <v>2020</v>
      </c>
      <c r="C54" s="0" t="s">
        <v>54</v>
      </c>
      <c r="D54" s="0" t="n">
        <v>80039</v>
      </c>
      <c r="E54" s="0" t="s">
        <v>7266</v>
      </c>
      <c r="G54" s="0" t="s">
        <v>7267</v>
      </c>
    </row>
    <row r="55" customFormat="false" ht="15" hidden="false" customHeight="false" outlineLevel="0" collapsed="false">
      <c r="A55" s="0" t="s">
        <v>77</v>
      </c>
      <c r="B55" s="0" t="n">
        <v>2020</v>
      </c>
      <c r="C55" s="0" t="s">
        <v>1327</v>
      </c>
      <c r="D55" s="0" t="n">
        <v>634864</v>
      </c>
      <c r="E55" s="0" t="s">
        <v>7266</v>
      </c>
      <c r="G55" s="0" t="s">
        <v>7267</v>
      </c>
    </row>
    <row r="56" customFormat="false" ht="15" hidden="false" customHeight="false" outlineLevel="0" collapsed="false">
      <c r="A56" s="0" t="s">
        <v>77</v>
      </c>
      <c r="B56" s="0" t="n">
        <v>2020</v>
      </c>
      <c r="C56" s="0" t="s">
        <v>55</v>
      </c>
      <c r="D56" s="0" t="n">
        <v>7624980</v>
      </c>
      <c r="E56" s="0" t="s">
        <v>7266</v>
      </c>
      <c r="G56" s="0" t="s">
        <v>7267</v>
      </c>
    </row>
    <row r="57" customFormat="false" ht="15" hidden="false" customHeight="false" outlineLevel="0" collapsed="false">
      <c r="A57" s="0" t="s">
        <v>77</v>
      </c>
      <c r="B57" s="0" t="n">
        <v>2020</v>
      </c>
      <c r="C57" s="0" t="s">
        <v>60</v>
      </c>
      <c r="D57" s="0" t="n">
        <v>2829171</v>
      </c>
      <c r="E57" s="0" t="s">
        <v>7266</v>
      </c>
      <c r="G57" s="0" t="s">
        <v>7267</v>
      </c>
    </row>
    <row r="58" customFormat="false" ht="15" hidden="false" customHeight="false" outlineLevel="0" collapsed="false">
      <c r="A58" s="0" t="s">
        <v>77</v>
      </c>
      <c r="B58" s="0" t="n">
        <v>2020</v>
      </c>
      <c r="C58" s="0" t="s">
        <v>61</v>
      </c>
      <c r="D58" s="0" t="n">
        <v>116211</v>
      </c>
      <c r="E58" s="0" t="s">
        <v>7266</v>
      </c>
      <c r="G58" s="0" t="s">
        <v>7267</v>
      </c>
    </row>
    <row r="59" customFormat="false" ht="15" hidden="false" customHeight="false" outlineLevel="0" collapsed="false">
      <c r="A59" s="0" t="s">
        <v>77</v>
      </c>
      <c r="B59" s="0" t="n">
        <v>2020</v>
      </c>
      <c r="C59" s="0" t="s">
        <v>63</v>
      </c>
      <c r="D59" s="0" t="n">
        <v>39651</v>
      </c>
      <c r="E59" s="0" t="s">
        <v>7266</v>
      </c>
      <c r="G59" s="0" t="s">
        <v>7267</v>
      </c>
    </row>
    <row r="60" customFormat="false" ht="15" hidden="false" customHeight="false" outlineLevel="0" collapsed="false">
      <c r="A60" s="0" t="s">
        <v>77</v>
      </c>
      <c r="B60" s="0" t="n">
        <v>2020</v>
      </c>
      <c r="C60" s="0" t="s">
        <v>327</v>
      </c>
      <c r="D60" s="0" t="n">
        <v>3.65</v>
      </c>
      <c r="E60" s="0" t="s">
        <v>7266</v>
      </c>
      <c r="G60" s="0" t="s">
        <v>7267</v>
      </c>
    </row>
    <row r="61" customFormat="false" ht="15" hidden="false" customHeight="false" outlineLevel="0" collapsed="false">
      <c r="A61" s="0" t="s">
        <v>77</v>
      </c>
      <c r="B61" s="0" t="n">
        <v>2020</v>
      </c>
      <c r="C61" s="0" t="s">
        <v>69</v>
      </c>
      <c r="D61" s="0" t="n">
        <v>16.83</v>
      </c>
      <c r="E61" s="0" t="s">
        <v>7266</v>
      </c>
      <c r="G61" s="0" t="s">
        <v>7267</v>
      </c>
    </row>
    <row r="62" customFormat="false" ht="15" hidden="false" customHeight="false" outlineLevel="0" collapsed="false">
      <c r="A62" s="0" t="s">
        <v>77</v>
      </c>
      <c r="B62" s="0" t="n">
        <v>2020</v>
      </c>
      <c r="C62" s="0" t="s">
        <v>73</v>
      </c>
      <c r="D62" s="0" t="n">
        <v>0</v>
      </c>
      <c r="E62" s="0" t="s">
        <v>7266</v>
      </c>
      <c r="G62" s="0" t="s">
        <v>7267</v>
      </c>
    </row>
    <row r="63" customFormat="false" ht="15" hidden="false" customHeight="false" outlineLevel="0" collapsed="false">
      <c r="A63" s="0" t="s">
        <v>77</v>
      </c>
      <c r="B63" s="0" t="n">
        <v>2020</v>
      </c>
      <c r="C63" s="0" t="s">
        <v>1804</v>
      </c>
      <c r="D63" s="0" t="s">
        <v>7268</v>
      </c>
      <c r="E63" s="0" t="s">
        <v>7266</v>
      </c>
      <c r="G63" s="0" t="s">
        <v>7267</v>
      </c>
    </row>
    <row r="64" customFormat="false" ht="15" hidden="false" customHeight="false" outlineLevel="0" collapsed="false">
      <c r="A64" s="0" t="s">
        <v>77</v>
      </c>
      <c r="B64" s="0" t="n">
        <v>2021</v>
      </c>
      <c r="C64" s="0" t="s">
        <v>54</v>
      </c>
      <c r="D64" s="0" t="n">
        <v>111326</v>
      </c>
      <c r="E64" s="0" t="s">
        <v>7266</v>
      </c>
      <c r="G64" s="0" t="s">
        <v>7267</v>
      </c>
    </row>
    <row r="65" customFormat="false" ht="15" hidden="false" customHeight="false" outlineLevel="0" collapsed="false">
      <c r="A65" s="0" t="s">
        <v>77</v>
      </c>
      <c r="B65" s="0" t="n">
        <v>2021</v>
      </c>
      <c r="C65" s="0" t="s">
        <v>1327</v>
      </c>
      <c r="D65" s="0" t="n">
        <v>734283</v>
      </c>
      <c r="E65" s="0" t="s">
        <v>7266</v>
      </c>
      <c r="G65" s="0" t="s">
        <v>7267</v>
      </c>
    </row>
    <row r="66" customFormat="false" ht="15" hidden="false" customHeight="false" outlineLevel="0" collapsed="false">
      <c r="A66" s="0" t="s">
        <v>77</v>
      </c>
      <c r="B66" s="0" t="n">
        <v>2021</v>
      </c>
      <c r="C66" s="0" t="s">
        <v>55</v>
      </c>
      <c r="D66" s="0" t="n">
        <v>9660761</v>
      </c>
      <c r="E66" s="0" t="s">
        <v>7266</v>
      </c>
      <c r="G66" s="0" t="s">
        <v>7267</v>
      </c>
    </row>
    <row r="67" customFormat="false" ht="15" hidden="false" customHeight="false" outlineLevel="0" collapsed="false">
      <c r="A67" s="0" t="s">
        <v>77</v>
      </c>
      <c r="B67" s="0" t="n">
        <v>2021</v>
      </c>
      <c r="C67" s="0" t="s">
        <v>60</v>
      </c>
      <c r="D67" s="0" t="n">
        <v>3343722</v>
      </c>
      <c r="E67" s="0" t="s">
        <v>7266</v>
      </c>
      <c r="G67" s="0" t="s">
        <v>7267</v>
      </c>
    </row>
    <row r="68" customFormat="false" ht="15" hidden="false" customHeight="false" outlineLevel="0" collapsed="false">
      <c r="A68" s="0" t="s">
        <v>77</v>
      </c>
      <c r="B68" s="0" t="n">
        <v>2021</v>
      </c>
      <c r="C68" s="0" t="s">
        <v>61</v>
      </c>
      <c r="D68" s="0" t="n">
        <v>87650</v>
      </c>
      <c r="E68" s="0" t="s">
        <v>7266</v>
      </c>
      <c r="G68" s="0" t="s">
        <v>7267</v>
      </c>
    </row>
    <row r="69" customFormat="false" ht="15" hidden="false" customHeight="false" outlineLevel="0" collapsed="false">
      <c r="A69" s="0" t="s">
        <v>77</v>
      </c>
      <c r="B69" s="0" t="n">
        <v>2021</v>
      </c>
      <c r="C69" s="0" t="s">
        <v>63</v>
      </c>
      <c r="D69" s="0" t="n">
        <v>53801</v>
      </c>
      <c r="E69" s="0" t="s">
        <v>7266</v>
      </c>
      <c r="G69" s="0" t="s">
        <v>7267</v>
      </c>
    </row>
    <row r="70" customFormat="false" ht="15" hidden="false" customHeight="false" outlineLevel="0" collapsed="false">
      <c r="A70" s="0" t="s">
        <v>77</v>
      </c>
      <c r="B70" s="0" t="n">
        <v>2021</v>
      </c>
      <c r="C70" s="0" t="s">
        <v>327</v>
      </c>
      <c r="D70" s="0" t="n">
        <v>2.03</v>
      </c>
      <c r="E70" s="0" t="s">
        <v>7266</v>
      </c>
      <c r="G70" s="0" t="s">
        <v>7267</v>
      </c>
    </row>
    <row r="71" customFormat="false" ht="15" hidden="false" customHeight="false" outlineLevel="0" collapsed="false">
      <c r="A71" s="0" t="s">
        <v>77</v>
      </c>
      <c r="B71" s="0" t="n">
        <v>2021</v>
      </c>
      <c r="C71" s="0" t="s">
        <v>69</v>
      </c>
      <c r="D71" s="0" t="n">
        <v>20.93</v>
      </c>
      <c r="E71" s="0" t="s">
        <v>7266</v>
      </c>
      <c r="G71" s="0" t="s">
        <v>7267</v>
      </c>
    </row>
    <row r="72" customFormat="false" ht="15" hidden="false" customHeight="false" outlineLevel="0" collapsed="false">
      <c r="A72" s="0" t="s">
        <v>77</v>
      </c>
      <c r="B72" s="0" t="n">
        <v>2021</v>
      </c>
      <c r="C72" s="0" t="s">
        <v>73</v>
      </c>
      <c r="D72" s="0" t="n">
        <v>0</v>
      </c>
      <c r="E72" s="0" t="s">
        <v>7266</v>
      </c>
      <c r="G72" s="0" t="s">
        <v>7267</v>
      </c>
    </row>
    <row r="73" customFormat="false" ht="15" hidden="false" customHeight="false" outlineLevel="0" collapsed="false">
      <c r="A73" s="0" t="s">
        <v>77</v>
      </c>
      <c r="B73" s="0" t="n">
        <v>2021</v>
      </c>
      <c r="C73" s="0" t="s">
        <v>1804</v>
      </c>
      <c r="D73" s="0" t="s">
        <v>7268</v>
      </c>
      <c r="E73" s="0" t="s">
        <v>7266</v>
      </c>
      <c r="G73" s="0" t="s">
        <v>7267</v>
      </c>
    </row>
    <row r="74" customFormat="false" ht="15" hidden="false" customHeight="false" outlineLevel="0" collapsed="false">
      <c r="A74" s="0" t="s">
        <v>77</v>
      </c>
      <c r="B74" s="0" t="n">
        <v>2022</v>
      </c>
      <c r="C74" s="0" t="s">
        <v>54</v>
      </c>
      <c r="D74" s="0" t="n">
        <v>166660</v>
      </c>
      <c r="E74" s="0" t="s">
        <v>7266</v>
      </c>
      <c r="G74" s="0" t="s">
        <v>7267</v>
      </c>
    </row>
    <row r="75" customFormat="false" ht="15" hidden="false" customHeight="false" outlineLevel="0" collapsed="false">
      <c r="A75" s="0" t="s">
        <v>77</v>
      </c>
      <c r="B75" s="0" t="n">
        <v>2022</v>
      </c>
      <c r="C75" s="0" t="s">
        <v>1327</v>
      </c>
      <c r="D75" s="0" t="n">
        <v>1125012</v>
      </c>
      <c r="E75" s="0" t="s">
        <v>7266</v>
      </c>
      <c r="G75" s="0" t="s">
        <v>7267</v>
      </c>
    </row>
    <row r="76" customFormat="false" ht="15" hidden="false" customHeight="false" outlineLevel="0" collapsed="false">
      <c r="A76" s="0" t="s">
        <v>77</v>
      </c>
      <c r="B76" s="0" t="n">
        <v>2022</v>
      </c>
      <c r="C76" s="0" t="s">
        <v>55</v>
      </c>
      <c r="D76" s="0" t="n">
        <v>12535280</v>
      </c>
      <c r="E76" s="0" t="s">
        <v>7266</v>
      </c>
      <c r="G76" s="0" t="s">
        <v>7267</v>
      </c>
    </row>
    <row r="77" customFormat="false" ht="15" hidden="false" customHeight="false" outlineLevel="0" collapsed="false">
      <c r="A77" s="0" t="s">
        <v>77</v>
      </c>
      <c r="B77" s="0" t="n">
        <v>2022</v>
      </c>
      <c r="C77" s="0" t="s">
        <v>60</v>
      </c>
      <c r="D77" s="0" t="n">
        <v>4149413</v>
      </c>
      <c r="E77" s="0" t="s">
        <v>7266</v>
      </c>
      <c r="G77" s="0" t="s">
        <v>7267</v>
      </c>
    </row>
    <row r="78" customFormat="false" ht="15" hidden="false" customHeight="false" outlineLevel="0" collapsed="false">
      <c r="A78" s="0" t="s">
        <v>77</v>
      </c>
      <c r="B78" s="0" t="n">
        <v>2022</v>
      </c>
      <c r="C78" s="0" t="s">
        <v>61</v>
      </c>
      <c r="D78" s="0" t="n">
        <v>65065</v>
      </c>
      <c r="E78" s="0" t="s">
        <v>7266</v>
      </c>
      <c r="G78" s="0" t="s">
        <v>7267</v>
      </c>
    </row>
    <row r="79" customFormat="false" ht="15" hidden="false" customHeight="false" outlineLevel="0" collapsed="false">
      <c r="A79" s="0" t="s">
        <v>77</v>
      </c>
      <c r="B79" s="0" t="n">
        <v>2022</v>
      </c>
      <c r="C79" s="0" t="s">
        <v>63</v>
      </c>
      <c r="D79" s="0" t="n">
        <v>118681</v>
      </c>
      <c r="E79" s="0" t="s">
        <v>7266</v>
      </c>
      <c r="G79" s="0" t="s">
        <v>7267</v>
      </c>
    </row>
    <row r="80" customFormat="false" ht="15" hidden="false" customHeight="false" outlineLevel="0" collapsed="false">
      <c r="A80" s="0" t="s">
        <v>77</v>
      </c>
      <c r="B80" s="0" t="n">
        <v>2022</v>
      </c>
      <c r="C80" s="0" t="s">
        <v>327</v>
      </c>
      <c r="D80" s="0" t="n">
        <v>1.92</v>
      </c>
      <c r="E80" s="0" t="s">
        <v>7266</v>
      </c>
      <c r="G80" s="0" t="s">
        <v>7267</v>
      </c>
    </row>
    <row r="81" customFormat="false" ht="15" hidden="false" customHeight="false" outlineLevel="0" collapsed="false">
      <c r="A81" s="0" t="s">
        <v>77</v>
      </c>
      <c r="B81" s="0" t="n">
        <v>2022</v>
      </c>
      <c r="C81" s="0" t="s">
        <v>69</v>
      </c>
      <c r="D81" s="0" t="n">
        <v>17.85</v>
      </c>
      <c r="E81" s="0" t="s">
        <v>7266</v>
      </c>
      <c r="G81" s="0" t="s">
        <v>7267</v>
      </c>
    </row>
    <row r="82" customFormat="false" ht="15" hidden="false" customHeight="false" outlineLevel="0" collapsed="false">
      <c r="A82" s="0" t="s">
        <v>77</v>
      </c>
      <c r="B82" s="0" t="n">
        <v>2022</v>
      </c>
      <c r="C82" s="0" t="s">
        <v>73</v>
      </c>
      <c r="D82" s="0" t="n">
        <v>0</v>
      </c>
      <c r="E82" s="0" t="s">
        <v>7266</v>
      </c>
      <c r="G82" s="0" t="s">
        <v>7267</v>
      </c>
    </row>
    <row r="83" customFormat="false" ht="15" hidden="false" customHeight="false" outlineLevel="0" collapsed="false">
      <c r="A83" s="0" t="s">
        <v>77</v>
      </c>
      <c r="B83" s="0" t="n">
        <v>2022</v>
      </c>
      <c r="C83" s="0" t="s">
        <v>1804</v>
      </c>
      <c r="D83" s="0" t="s">
        <v>7268</v>
      </c>
      <c r="E83" s="0" t="s">
        <v>7266</v>
      </c>
      <c r="G83" s="0" t="s">
        <v>7267</v>
      </c>
    </row>
    <row r="84" customFormat="false" ht="15" hidden="false" customHeight="false" outlineLevel="0" collapsed="false">
      <c r="A84" s="0" t="s">
        <v>222</v>
      </c>
      <c r="B84" s="0" t="n">
        <v>2015</v>
      </c>
      <c r="C84" s="0" t="s">
        <v>54</v>
      </c>
      <c r="D84" s="0" t="n">
        <v>98784</v>
      </c>
      <c r="E84" s="0" t="s">
        <v>7266</v>
      </c>
      <c r="G84" s="0" t="s">
        <v>7267</v>
      </c>
    </row>
    <row r="85" customFormat="false" ht="15" hidden="false" customHeight="false" outlineLevel="0" collapsed="false">
      <c r="A85" s="0" t="s">
        <v>222</v>
      </c>
      <c r="B85" s="0" t="n">
        <v>2015</v>
      </c>
      <c r="C85" s="0" t="s">
        <v>1327</v>
      </c>
      <c r="D85" s="0" t="n">
        <v>396653</v>
      </c>
      <c r="E85" s="0" t="s">
        <v>7266</v>
      </c>
      <c r="G85" s="0" t="s">
        <v>7267</v>
      </c>
    </row>
    <row r="86" customFormat="false" ht="15" hidden="false" customHeight="false" outlineLevel="0" collapsed="false">
      <c r="A86" s="0" t="s">
        <v>222</v>
      </c>
      <c r="B86" s="0" t="n">
        <v>2015</v>
      </c>
      <c r="C86" s="0" t="s">
        <v>55</v>
      </c>
      <c r="D86" s="0" t="n">
        <v>3750327</v>
      </c>
      <c r="E86" s="0" t="s">
        <v>7266</v>
      </c>
      <c r="G86" s="0" t="s">
        <v>7267</v>
      </c>
    </row>
    <row r="87" customFormat="false" ht="15" hidden="false" customHeight="false" outlineLevel="0" collapsed="false">
      <c r="A87" s="0" t="s">
        <v>222</v>
      </c>
      <c r="B87" s="0" t="n">
        <v>2015</v>
      </c>
      <c r="C87" s="0" t="s">
        <v>60</v>
      </c>
      <c r="D87" s="0" t="n">
        <v>1849225</v>
      </c>
      <c r="E87" s="0" t="s">
        <v>7266</v>
      </c>
      <c r="G87" s="0" t="s">
        <v>7267</v>
      </c>
    </row>
    <row r="88" customFormat="false" ht="15" hidden="false" customHeight="false" outlineLevel="0" collapsed="false">
      <c r="A88" s="0" t="s">
        <v>222</v>
      </c>
      <c r="B88" s="0" t="n">
        <v>2015</v>
      </c>
      <c r="C88" s="0" t="s">
        <v>61</v>
      </c>
      <c r="D88" s="0" t="n">
        <v>49433</v>
      </c>
      <c r="E88" s="0" t="s">
        <v>7266</v>
      </c>
      <c r="G88" s="0" t="s">
        <v>7267</v>
      </c>
    </row>
    <row r="89" customFormat="false" ht="15" hidden="false" customHeight="false" outlineLevel="0" collapsed="false">
      <c r="A89" s="0" t="s">
        <v>222</v>
      </c>
      <c r="B89" s="0" t="n">
        <v>2015</v>
      </c>
      <c r="C89" s="0" t="s">
        <v>63</v>
      </c>
      <c r="D89" s="0" t="n">
        <v>11091</v>
      </c>
      <c r="E89" s="0" t="s">
        <v>7266</v>
      </c>
      <c r="G89" s="0" t="s">
        <v>7267</v>
      </c>
    </row>
    <row r="90" customFormat="false" ht="15" hidden="false" customHeight="false" outlineLevel="0" collapsed="false">
      <c r="A90" s="0" t="s">
        <v>222</v>
      </c>
      <c r="B90" s="0" t="n">
        <v>2015</v>
      </c>
      <c r="C90" s="0" t="s">
        <v>327</v>
      </c>
      <c r="D90" s="0" t="n">
        <v>2.1</v>
      </c>
      <c r="E90" s="0" t="s">
        <v>7266</v>
      </c>
      <c r="G90" s="0" t="s">
        <v>7267</v>
      </c>
    </row>
    <row r="91" customFormat="false" ht="15" hidden="false" customHeight="false" outlineLevel="0" collapsed="false">
      <c r="A91" s="0" t="s">
        <v>222</v>
      </c>
      <c r="B91" s="0" t="n">
        <v>2015</v>
      </c>
      <c r="C91" s="0" t="s">
        <v>69</v>
      </c>
      <c r="D91" s="0" t="n">
        <v>21</v>
      </c>
      <c r="E91" s="0" t="s">
        <v>7266</v>
      </c>
      <c r="G91" s="0" t="s">
        <v>7267</v>
      </c>
    </row>
    <row r="92" customFormat="false" ht="15" hidden="false" customHeight="false" outlineLevel="0" collapsed="false">
      <c r="A92" s="0" t="s">
        <v>222</v>
      </c>
      <c r="B92" s="0" t="n">
        <v>2015</v>
      </c>
      <c r="C92" s="0" t="s">
        <v>73</v>
      </c>
      <c r="D92" s="0" t="n">
        <v>0</v>
      </c>
      <c r="E92" s="0" t="s">
        <v>7266</v>
      </c>
      <c r="G92" s="0" t="s">
        <v>7267</v>
      </c>
    </row>
    <row r="93" customFormat="false" ht="15" hidden="false" customHeight="false" outlineLevel="0" collapsed="false">
      <c r="A93" s="0" t="s">
        <v>222</v>
      </c>
      <c r="B93" s="0" t="n">
        <v>2015</v>
      </c>
      <c r="C93" s="0" t="s">
        <v>1804</v>
      </c>
      <c r="D93" s="0" t="s">
        <v>3392</v>
      </c>
      <c r="E93" s="0" t="s">
        <v>7266</v>
      </c>
      <c r="G93" s="0" t="s">
        <v>7267</v>
      </c>
    </row>
    <row r="94" customFormat="false" ht="15" hidden="false" customHeight="false" outlineLevel="0" collapsed="false">
      <c r="A94" s="0" t="s">
        <v>222</v>
      </c>
      <c r="B94" s="0" t="n">
        <v>2016</v>
      </c>
      <c r="C94" s="0" t="s">
        <v>54</v>
      </c>
      <c r="D94" s="0" t="n">
        <v>119285</v>
      </c>
      <c r="E94" s="0" t="s">
        <v>7266</v>
      </c>
      <c r="G94" s="0" t="s">
        <v>7267</v>
      </c>
    </row>
    <row r="95" customFormat="false" ht="15" hidden="false" customHeight="false" outlineLevel="0" collapsed="false">
      <c r="A95" s="0" t="s">
        <v>222</v>
      </c>
      <c r="B95" s="0" t="n">
        <v>2016</v>
      </c>
      <c r="C95" s="0" t="s">
        <v>1327</v>
      </c>
      <c r="D95" s="0" t="n">
        <v>454808</v>
      </c>
      <c r="E95" s="0" t="s">
        <v>7266</v>
      </c>
      <c r="G95" s="0" t="s">
        <v>7267</v>
      </c>
    </row>
    <row r="96" customFormat="false" ht="15" hidden="false" customHeight="false" outlineLevel="0" collapsed="false">
      <c r="A96" s="0" t="s">
        <v>222</v>
      </c>
      <c r="B96" s="0" t="n">
        <v>2016</v>
      </c>
      <c r="C96" s="0" t="s">
        <v>55</v>
      </c>
      <c r="D96" s="0" t="n">
        <v>4283736</v>
      </c>
      <c r="E96" s="0" t="s">
        <v>7266</v>
      </c>
      <c r="G96" s="0" t="s">
        <v>7267</v>
      </c>
    </row>
    <row r="97" customFormat="false" ht="15" hidden="false" customHeight="false" outlineLevel="0" collapsed="false">
      <c r="A97" s="0" t="s">
        <v>222</v>
      </c>
      <c r="B97" s="0" t="n">
        <v>2016</v>
      </c>
      <c r="C97" s="0" t="s">
        <v>60</v>
      </c>
      <c r="D97" s="0" t="n">
        <v>2193224</v>
      </c>
      <c r="E97" s="0" t="s">
        <v>7266</v>
      </c>
      <c r="G97" s="0" t="s">
        <v>7267</v>
      </c>
    </row>
    <row r="98" customFormat="false" ht="15" hidden="false" customHeight="false" outlineLevel="0" collapsed="false">
      <c r="A98" s="0" t="s">
        <v>222</v>
      </c>
      <c r="B98" s="0" t="n">
        <v>2016</v>
      </c>
      <c r="C98" s="0" t="s">
        <v>61</v>
      </c>
      <c r="D98" s="0" t="n">
        <v>55092</v>
      </c>
      <c r="E98" s="0" t="s">
        <v>7266</v>
      </c>
      <c r="G98" s="0" t="s">
        <v>7267</v>
      </c>
    </row>
    <row r="99" customFormat="false" ht="15" hidden="false" customHeight="false" outlineLevel="0" collapsed="false">
      <c r="A99" s="0" t="s">
        <v>222</v>
      </c>
      <c r="B99" s="0" t="n">
        <v>2016</v>
      </c>
      <c r="C99" s="0" t="s">
        <v>63</v>
      </c>
      <c r="D99" s="0" t="n">
        <v>26295</v>
      </c>
      <c r="E99" s="0" t="s">
        <v>7266</v>
      </c>
      <c r="G99" s="0" t="s">
        <v>7267</v>
      </c>
    </row>
    <row r="100" customFormat="false" ht="15" hidden="false" customHeight="false" outlineLevel="0" collapsed="false">
      <c r="A100" s="0" t="s">
        <v>222</v>
      </c>
      <c r="B100" s="0" t="n">
        <v>2016</v>
      </c>
      <c r="C100" s="0" t="s">
        <v>327</v>
      </c>
      <c r="D100" s="0" t="n">
        <v>2.63</v>
      </c>
      <c r="E100" s="0" t="s">
        <v>7266</v>
      </c>
      <c r="G100" s="0" t="s">
        <v>7267</v>
      </c>
    </row>
    <row r="101" customFormat="false" ht="15" hidden="false" customHeight="false" outlineLevel="0" collapsed="false">
      <c r="A101" s="0" t="s">
        <v>222</v>
      </c>
      <c r="B101" s="0" t="n">
        <v>2016</v>
      </c>
      <c r="C101" s="0" t="s">
        <v>69</v>
      </c>
      <c r="D101" s="0" t="n">
        <v>22</v>
      </c>
      <c r="E101" s="0" t="s">
        <v>7266</v>
      </c>
      <c r="G101" s="0" t="s">
        <v>7267</v>
      </c>
    </row>
    <row r="102" customFormat="false" ht="15" hidden="false" customHeight="false" outlineLevel="0" collapsed="false">
      <c r="A102" s="0" t="s">
        <v>222</v>
      </c>
      <c r="B102" s="0" t="n">
        <v>2016</v>
      </c>
      <c r="C102" s="0" t="s">
        <v>73</v>
      </c>
      <c r="D102" s="0" t="n">
        <v>0</v>
      </c>
      <c r="E102" s="0" t="s">
        <v>7266</v>
      </c>
      <c r="G102" s="0" t="s">
        <v>7267</v>
      </c>
    </row>
    <row r="103" customFormat="false" ht="15" hidden="false" customHeight="false" outlineLevel="0" collapsed="false">
      <c r="A103" s="0" t="s">
        <v>222</v>
      </c>
      <c r="B103" s="0" t="n">
        <v>2016</v>
      </c>
      <c r="C103" s="0" t="s">
        <v>1804</v>
      </c>
      <c r="D103" s="0" t="s">
        <v>3392</v>
      </c>
      <c r="E103" s="0" t="s">
        <v>7266</v>
      </c>
      <c r="G103" s="0" t="s">
        <v>7267</v>
      </c>
    </row>
    <row r="104" customFormat="false" ht="15" hidden="false" customHeight="false" outlineLevel="0" collapsed="false">
      <c r="A104" s="0" t="s">
        <v>222</v>
      </c>
      <c r="B104" s="0" t="n">
        <v>2017</v>
      </c>
      <c r="C104" s="0" t="s">
        <v>54</v>
      </c>
      <c r="D104" s="0" t="n">
        <v>157145</v>
      </c>
      <c r="E104" s="0" t="s">
        <v>7266</v>
      </c>
      <c r="G104" s="0" t="s">
        <v>7267</v>
      </c>
    </row>
    <row r="105" customFormat="false" ht="15" hidden="false" customHeight="false" outlineLevel="0" collapsed="false">
      <c r="A105" s="0" t="s">
        <v>222</v>
      </c>
      <c r="B105" s="0" t="n">
        <v>2017</v>
      </c>
      <c r="C105" s="0" t="s">
        <v>1327</v>
      </c>
      <c r="D105" s="0" t="n">
        <v>673636</v>
      </c>
      <c r="E105" s="0" t="s">
        <v>7266</v>
      </c>
      <c r="G105" s="0" t="s">
        <v>7267</v>
      </c>
    </row>
    <row r="106" customFormat="false" ht="15" hidden="false" customHeight="false" outlineLevel="0" collapsed="false">
      <c r="A106" s="0" t="s">
        <v>222</v>
      </c>
      <c r="B106" s="0" t="n">
        <v>2017</v>
      </c>
      <c r="C106" s="0" t="s">
        <v>55</v>
      </c>
      <c r="D106" s="0" t="n">
        <v>4833658</v>
      </c>
      <c r="E106" s="0" t="s">
        <v>7266</v>
      </c>
      <c r="G106" s="0" t="s">
        <v>7267</v>
      </c>
    </row>
    <row r="107" customFormat="false" ht="15" hidden="false" customHeight="false" outlineLevel="0" collapsed="false">
      <c r="A107" s="0" t="s">
        <v>222</v>
      </c>
      <c r="B107" s="0" t="n">
        <v>2017</v>
      </c>
      <c r="C107" s="0" t="s">
        <v>60</v>
      </c>
      <c r="D107" s="0" t="n">
        <v>2117069</v>
      </c>
      <c r="E107" s="0" t="s">
        <v>7266</v>
      </c>
      <c r="G107" s="0" t="s">
        <v>7267</v>
      </c>
    </row>
    <row r="108" customFormat="false" ht="15" hidden="false" customHeight="false" outlineLevel="0" collapsed="false">
      <c r="A108" s="0" t="s">
        <v>222</v>
      </c>
      <c r="B108" s="0" t="n">
        <v>2017</v>
      </c>
      <c r="C108" s="0" t="s">
        <v>61</v>
      </c>
      <c r="D108" s="0" t="n">
        <v>136605</v>
      </c>
      <c r="E108" s="0" t="s">
        <v>7266</v>
      </c>
      <c r="G108" s="0" t="s">
        <v>7267</v>
      </c>
    </row>
    <row r="109" customFormat="false" ht="15" hidden="false" customHeight="false" outlineLevel="0" collapsed="false">
      <c r="A109" s="0" t="s">
        <v>222</v>
      </c>
      <c r="B109" s="0" t="n">
        <v>2017</v>
      </c>
      <c r="C109" s="0" t="s">
        <v>63</v>
      </c>
      <c r="D109" s="0" t="n">
        <v>95244</v>
      </c>
      <c r="E109" s="0" t="s">
        <v>7266</v>
      </c>
      <c r="G109" s="0" t="s">
        <v>7267</v>
      </c>
    </row>
    <row r="110" customFormat="false" ht="15" hidden="false" customHeight="false" outlineLevel="0" collapsed="false">
      <c r="A110" s="0" t="s">
        <v>222</v>
      </c>
      <c r="B110" s="0" t="n">
        <v>2017</v>
      </c>
      <c r="C110" s="0" t="s">
        <v>327</v>
      </c>
      <c r="D110" s="0" t="n">
        <v>4.33</v>
      </c>
      <c r="E110" s="0" t="s">
        <v>7266</v>
      </c>
      <c r="G110" s="0" t="s">
        <v>7267</v>
      </c>
    </row>
    <row r="111" customFormat="false" ht="15" hidden="false" customHeight="false" outlineLevel="0" collapsed="false">
      <c r="A111" s="0" t="s">
        <v>222</v>
      </c>
      <c r="B111" s="0" t="n">
        <v>2017</v>
      </c>
      <c r="C111" s="0" t="s">
        <v>69</v>
      </c>
      <c r="D111" s="0" t="n">
        <v>24</v>
      </c>
      <c r="E111" s="0" t="s">
        <v>7266</v>
      </c>
      <c r="G111" s="0" t="s">
        <v>7267</v>
      </c>
    </row>
    <row r="112" customFormat="false" ht="15" hidden="false" customHeight="false" outlineLevel="0" collapsed="false">
      <c r="A112" s="0" t="s">
        <v>222</v>
      </c>
      <c r="B112" s="0" t="n">
        <v>2017</v>
      </c>
      <c r="C112" s="0" t="s">
        <v>73</v>
      </c>
      <c r="D112" s="0" t="n">
        <v>0</v>
      </c>
      <c r="E112" s="0" t="s">
        <v>7266</v>
      </c>
      <c r="G112" s="0" t="s">
        <v>7267</v>
      </c>
    </row>
    <row r="113" customFormat="false" ht="15" hidden="false" customHeight="false" outlineLevel="0" collapsed="false">
      <c r="A113" s="0" t="s">
        <v>222</v>
      </c>
      <c r="B113" s="0" t="n">
        <v>2017</v>
      </c>
      <c r="C113" s="0" t="s">
        <v>1804</v>
      </c>
      <c r="D113" s="0" t="s">
        <v>3392</v>
      </c>
      <c r="E113" s="0" t="s">
        <v>7266</v>
      </c>
      <c r="G113" s="0" t="s">
        <v>7267</v>
      </c>
    </row>
    <row r="114" customFormat="false" ht="15" hidden="false" customHeight="false" outlineLevel="0" collapsed="false">
      <c r="A114" s="0" t="s">
        <v>222</v>
      </c>
      <c r="B114" s="0" t="n">
        <v>2018</v>
      </c>
      <c r="C114" s="0" t="s">
        <v>54</v>
      </c>
      <c r="D114" s="0" t="n">
        <v>160454</v>
      </c>
      <c r="E114" s="0" t="s">
        <v>7266</v>
      </c>
      <c r="G114" s="0" t="s">
        <v>7267</v>
      </c>
    </row>
    <row r="115" customFormat="false" ht="15" hidden="false" customHeight="false" outlineLevel="0" collapsed="false">
      <c r="A115" s="0" t="s">
        <v>222</v>
      </c>
      <c r="B115" s="0" t="n">
        <v>2018</v>
      </c>
      <c r="C115" s="0" t="s">
        <v>1327</v>
      </c>
      <c r="D115" s="0" t="n">
        <v>531580</v>
      </c>
      <c r="E115" s="0" t="s">
        <v>7266</v>
      </c>
      <c r="G115" s="0" t="s">
        <v>7267</v>
      </c>
    </row>
    <row r="116" customFormat="false" ht="15" hidden="false" customHeight="false" outlineLevel="0" collapsed="false">
      <c r="A116" s="0" t="s">
        <v>222</v>
      </c>
      <c r="B116" s="0" t="n">
        <v>2018</v>
      </c>
      <c r="C116" s="0" t="s">
        <v>55</v>
      </c>
      <c r="D116" s="0" t="n">
        <v>4981855</v>
      </c>
      <c r="E116" s="0" t="s">
        <v>7266</v>
      </c>
      <c r="G116" s="0" t="s">
        <v>7267</v>
      </c>
    </row>
    <row r="117" customFormat="false" ht="15" hidden="false" customHeight="false" outlineLevel="0" collapsed="false">
      <c r="A117" s="0" t="s">
        <v>222</v>
      </c>
      <c r="B117" s="0" t="n">
        <v>2018</v>
      </c>
      <c r="C117" s="0" t="s">
        <v>60</v>
      </c>
      <c r="D117" s="0" t="n">
        <v>1823126</v>
      </c>
      <c r="E117" s="0" t="s">
        <v>7266</v>
      </c>
      <c r="G117" s="0" t="s">
        <v>7267</v>
      </c>
    </row>
    <row r="118" customFormat="false" ht="15" hidden="false" customHeight="false" outlineLevel="0" collapsed="false">
      <c r="A118" s="0" t="s">
        <v>222</v>
      </c>
      <c r="B118" s="0" t="n">
        <v>2018</v>
      </c>
      <c r="C118" s="0" t="s">
        <v>61</v>
      </c>
      <c r="D118" s="0" t="n">
        <v>144502</v>
      </c>
      <c r="E118" s="0" t="s">
        <v>7266</v>
      </c>
      <c r="G118" s="0" t="s">
        <v>7267</v>
      </c>
    </row>
    <row r="119" customFormat="false" ht="15" hidden="false" customHeight="false" outlineLevel="0" collapsed="false">
      <c r="A119" s="0" t="s">
        <v>222</v>
      </c>
      <c r="B119" s="0" t="n">
        <v>2018</v>
      </c>
      <c r="C119" s="0" t="s">
        <v>63</v>
      </c>
      <c r="D119" s="0" t="n">
        <v>15705</v>
      </c>
      <c r="E119" s="0" t="s">
        <v>7266</v>
      </c>
      <c r="G119" s="0" t="s">
        <v>7267</v>
      </c>
    </row>
    <row r="120" customFormat="false" ht="15" hidden="false" customHeight="false" outlineLevel="0" collapsed="false">
      <c r="A120" s="0" t="s">
        <v>222</v>
      </c>
      <c r="B120" s="0" t="n">
        <v>2018</v>
      </c>
      <c r="C120" s="0" t="s">
        <v>327</v>
      </c>
      <c r="D120" s="0" t="n">
        <v>4.98</v>
      </c>
      <c r="E120" s="0" t="s">
        <v>7266</v>
      </c>
      <c r="G120" s="0" t="s">
        <v>7267</v>
      </c>
    </row>
    <row r="121" customFormat="false" ht="15" hidden="false" customHeight="false" outlineLevel="0" collapsed="false">
      <c r="A121" s="0" t="s">
        <v>222</v>
      </c>
      <c r="B121" s="0" t="n">
        <v>2018</v>
      </c>
      <c r="C121" s="0" t="s">
        <v>69</v>
      </c>
      <c r="D121" s="0" t="n">
        <v>25</v>
      </c>
      <c r="E121" s="0" t="s">
        <v>7266</v>
      </c>
      <c r="G121" s="0" t="s">
        <v>7267</v>
      </c>
    </row>
    <row r="122" customFormat="false" ht="15" hidden="false" customHeight="false" outlineLevel="0" collapsed="false">
      <c r="A122" s="0" t="s">
        <v>222</v>
      </c>
      <c r="B122" s="0" t="n">
        <v>2018</v>
      </c>
      <c r="C122" s="0" t="s">
        <v>73</v>
      </c>
      <c r="D122" s="0" t="n">
        <v>0</v>
      </c>
      <c r="E122" s="0" t="s">
        <v>7266</v>
      </c>
      <c r="G122" s="0" t="s">
        <v>7267</v>
      </c>
    </row>
    <row r="123" customFormat="false" ht="15" hidden="false" customHeight="false" outlineLevel="0" collapsed="false">
      <c r="A123" s="0" t="s">
        <v>222</v>
      </c>
      <c r="B123" s="0" t="n">
        <v>2018</v>
      </c>
      <c r="C123" s="0" t="s">
        <v>1804</v>
      </c>
      <c r="D123" s="0" t="s">
        <v>3392</v>
      </c>
      <c r="E123" s="0" t="s">
        <v>7266</v>
      </c>
      <c r="G123" s="0" t="s">
        <v>7267</v>
      </c>
    </row>
    <row r="124" customFormat="false" ht="15" hidden="false" customHeight="false" outlineLevel="0" collapsed="false">
      <c r="A124" s="0" t="s">
        <v>222</v>
      </c>
      <c r="B124" s="0" t="n">
        <v>2019</v>
      </c>
      <c r="C124" s="0" t="s">
        <v>54</v>
      </c>
      <c r="D124" s="0" t="n">
        <v>178003</v>
      </c>
      <c r="E124" s="0" t="s">
        <v>7266</v>
      </c>
      <c r="G124" s="0" t="s">
        <v>7267</v>
      </c>
    </row>
    <row r="125" customFormat="false" ht="15" hidden="false" customHeight="false" outlineLevel="0" collapsed="false">
      <c r="A125" s="0" t="s">
        <v>222</v>
      </c>
      <c r="B125" s="0" t="n">
        <v>2019</v>
      </c>
      <c r="C125" s="0" t="s">
        <v>1327</v>
      </c>
      <c r="D125" s="0" t="n">
        <v>564687</v>
      </c>
      <c r="E125" s="0" t="s">
        <v>7266</v>
      </c>
      <c r="G125" s="0" t="s">
        <v>7267</v>
      </c>
    </row>
    <row r="126" customFormat="false" ht="15" hidden="false" customHeight="false" outlineLevel="0" collapsed="false">
      <c r="A126" s="0" t="s">
        <v>222</v>
      </c>
      <c r="B126" s="0" t="n">
        <v>2019</v>
      </c>
      <c r="C126" s="0" t="s">
        <v>55</v>
      </c>
      <c r="D126" s="0" t="n">
        <v>5435073</v>
      </c>
      <c r="E126" s="0" t="s">
        <v>7266</v>
      </c>
      <c r="G126" s="0" t="s">
        <v>7267</v>
      </c>
    </row>
    <row r="127" customFormat="false" ht="15" hidden="false" customHeight="false" outlineLevel="0" collapsed="false">
      <c r="A127" s="0" t="s">
        <v>222</v>
      </c>
      <c r="B127" s="0" t="n">
        <v>2019</v>
      </c>
      <c r="C127" s="0" t="s">
        <v>60</v>
      </c>
      <c r="D127" s="0" t="n">
        <v>2239472</v>
      </c>
      <c r="E127" s="0" t="s">
        <v>7266</v>
      </c>
      <c r="G127" s="0" t="s">
        <v>7267</v>
      </c>
    </row>
    <row r="128" customFormat="false" ht="15" hidden="false" customHeight="false" outlineLevel="0" collapsed="false">
      <c r="A128" s="0" t="s">
        <v>222</v>
      </c>
      <c r="B128" s="0" t="n">
        <v>2019</v>
      </c>
      <c r="C128" s="0" t="s">
        <v>61</v>
      </c>
      <c r="D128" s="0" t="n">
        <v>137745</v>
      </c>
      <c r="E128" s="0" t="s">
        <v>7266</v>
      </c>
      <c r="G128" s="0" t="s">
        <v>7267</v>
      </c>
    </row>
    <row r="129" customFormat="false" ht="15" hidden="false" customHeight="false" outlineLevel="0" collapsed="false">
      <c r="A129" s="0" t="s">
        <v>222</v>
      </c>
      <c r="B129" s="0" t="n">
        <v>2019</v>
      </c>
      <c r="C129" s="0" t="s">
        <v>63</v>
      </c>
      <c r="D129" s="0" t="n">
        <v>23393</v>
      </c>
      <c r="E129" s="0" t="s">
        <v>7266</v>
      </c>
      <c r="G129" s="0" t="s">
        <v>7267</v>
      </c>
    </row>
    <row r="130" customFormat="false" ht="15" hidden="false" customHeight="false" outlineLevel="0" collapsed="false">
      <c r="A130" s="0" t="s">
        <v>222</v>
      </c>
      <c r="B130" s="0" t="n">
        <v>2019</v>
      </c>
      <c r="C130" s="0" t="s">
        <v>327</v>
      </c>
      <c r="D130" s="0" t="n">
        <v>4.3</v>
      </c>
      <c r="E130" s="0" t="s">
        <v>7266</v>
      </c>
      <c r="G130" s="0" t="s">
        <v>7267</v>
      </c>
    </row>
    <row r="131" customFormat="false" ht="15" hidden="false" customHeight="false" outlineLevel="0" collapsed="false">
      <c r="A131" s="0" t="s">
        <v>222</v>
      </c>
      <c r="B131" s="0" t="n">
        <v>2019</v>
      </c>
      <c r="C131" s="0" t="s">
        <v>69</v>
      </c>
      <c r="D131" s="0" t="n">
        <v>22</v>
      </c>
      <c r="E131" s="0" t="s">
        <v>7266</v>
      </c>
      <c r="G131" s="0" t="s">
        <v>7267</v>
      </c>
    </row>
    <row r="132" customFormat="false" ht="15" hidden="false" customHeight="false" outlineLevel="0" collapsed="false">
      <c r="A132" s="0" t="s">
        <v>222</v>
      </c>
      <c r="B132" s="0" t="n">
        <v>2019</v>
      </c>
      <c r="C132" s="0" t="s">
        <v>73</v>
      </c>
      <c r="D132" s="0" t="n">
        <v>0</v>
      </c>
      <c r="E132" s="0" t="s">
        <v>7266</v>
      </c>
      <c r="G132" s="0" t="s">
        <v>7267</v>
      </c>
    </row>
    <row r="133" customFormat="false" ht="15" hidden="false" customHeight="false" outlineLevel="0" collapsed="false">
      <c r="A133" s="0" t="s">
        <v>222</v>
      </c>
      <c r="B133" s="0" t="n">
        <v>2019</v>
      </c>
      <c r="C133" s="0" t="s">
        <v>1804</v>
      </c>
      <c r="D133" s="0" t="s">
        <v>3392</v>
      </c>
      <c r="E133" s="0" t="s">
        <v>7266</v>
      </c>
      <c r="G133" s="0" t="s">
        <v>7267</v>
      </c>
    </row>
    <row r="134" customFormat="false" ht="15" hidden="false" customHeight="false" outlineLevel="0" collapsed="false">
      <c r="A134" s="0" t="s">
        <v>222</v>
      </c>
      <c r="B134" s="0" t="n">
        <v>2020</v>
      </c>
      <c r="C134" s="0" t="s">
        <v>54</v>
      </c>
      <c r="D134" s="0" t="n">
        <v>197852</v>
      </c>
      <c r="E134" s="0" t="s">
        <v>7266</v>
      </c>
      <c r="G134" s="0" t="s">
        <v>7267</v>
      </c>
    </row>
    <row r="135" customFormat="false" ht="15" hidden="false" customHeight="false" outlineLevel="0" collapsed="false">
      <c r="A135" s="0" t="s">
        <v>222</v>
      </c>
      <c r="B135" s="0" t="n">
        <v>2020</v>
      </c>
      <c r="C135" s="0" t="s">
        <v>1327</v>
      </c>
      <c r="D135" s="0" t="n">
        <v>595921</v>
      </c>
      <c r="E135" s="0" t="s">
        <v>7266</v>
      </c>
      <c r="G135" s="0" t="s">
        <v>7267</v>
      </c>
    </row>
    <row r="136" customFormat="false" ht="15" hidden="false" customHeight="false" outlineLevel="0" collapsed="false">
      <c r="A136" s="0" t="s">
        <v>222</v>
      </c>
      <c r="B136" s="0" t="n">
        <v>2020</v>
      </c>
      <c r="C136" s="0" t="s">
        <v>55</v>
      </c>
      <c r="D136" s="0" t="n">
        <v>7124987</v>
      </c>
      <c r="E136" s="0" t="s">
        <v>7266</v>
      </c>
      <c r="G136" s="0" t="s">
        <v>7267</v>
      </c>
    </row>
    <row r="137" customFormat="false" ht="15" hidden="false" customHeight="false" outlineLevel="0" collapsed="false">
      <c r="A137" s="0" t="s">
        <v>222</v>
      </c>
      <c r="B137" s="0" t="n">
        <v>2020</v>
      </c>
      <c r="C137" s="0" t="s">
        <v>60</v>
      </c>
      <c r="D137" s="0" t="n">
        <v>2639797</v>
      </c>
      <c r="E137" s="0" t="s">
        <v>7266</v>
      </c>
      <c r="G137" s="0" t="s">
        <v>7267</v>
      </c>
    </row>
    <row r="138" customFormat="false" ht="15" hidden="false" customHeight="false" outlineLevel="0" collapsed="false">
      <c r="A138" s="0" t="s">
        <v>222</v>
      </c>
      <c r="B138" s="0" t="n">
        <v>2020</v>
      </c>
      <c r="C138" s="0" t="s">
        <v>61</v>
      </c>
      <c r="D138" s="0" t="n">
        <v>161585</v>
      </c>
      <c r="E138" s="0" t="s">
        <v>7266</v>
      </c>
      <c r="G138" s="0" t="s">
        <v>7267</v>
      </c>
    </row>
    <row r="139" customFormat="false" ht="15" hidden="false" customHeight="false" outlineLevel="0" collapsed="false">
      <c r="A139" s="0" t="s">
        <v>222</v>
      </c>
      <c r="B139" s="0" t="n">
        <v>2020</v>
      </c>
      <c r="C139" s="0" t="s">
        <v>63</v>
      </c>
      <c r="D139" s="0" t="n">
        <v>37237</v>
      </c>
      <c r="E139" s="0" t="s">
        <v>7266</v>
      </c>
      <c r="G139" s="0" t="s">
        <v>7267</v>
      </c>
    </row>
    <row r="140" customFormat="false" ht="15" hidden="false" customHeight="false" outlineLevel="0" collapsed="false">
      <c r="A140" s="0" t="s">
        <v>222</v>
      </c>
      <c r="B140" s="0" t="n">
        <v>2020</v>
      </c>
      <c r="C140" s="0" t="s">
        <v>327</v>
      </c>
      <c r="D140" s="0" t="n">
        <v>4.29</v>
      </c>
      <c r="E140" s="0" t="s">
        <v>7266</v>
      </c>
      <c r="G140" s="0" t="s">
        <v>7267</v>
      </c>
    </row>
    <row r="141" customFormat="false" ht="15" hidden="false" customHeight="false" outlineLevel="0" collapsed="false">
      <c r="A141" s="0" t="s">
        <v>222</v>
      </c>
      <c r="B141" s="0" t="n">
        <v>2020</v>
      </c>
      <c r="C141" s="0" t="s">
        <v>69</v>
      </c>
      <c r="D141" s="0" t="n">
        <v>21.1</v>
      </c>
      <c r="E141" s="0" t="s">
        <v>7266</v>
      </c>
      <c r="G141" s="0" t="s">
        <v>7267</v>
      </c>
    </row>
    <row r="142" customFormat="false" ht="15" hidden="false" customHeight="false" outlineLevel="0" collapsed="false">
      <c r="A142" s="0" t="s">
        <v>222</v>
      </c>
      <c r="B142" s="0" t="n">
        <v>2020</v>
      </c>
      <c r="C142" s="0" t="s">
        <v>73</v>
      </c>
      <c r="D142" s="0" t="n">
        <v>0</v>
      </c>
      <c r="E142" s="0" t="s">
        <v>7266</v>
      </c>
      <c r="G142" s="0" t="s">
        <v>7267</v>
      </c>
    </row>
    <row r="143" customFormat="false" ht="15" hidden="false" customHeight="false" outlineLevel="0" collapsed="false">
      <c r="A143" s="0" t="s">
        <v>222</v>
      </c>
      <c r="B143" s="0" t="n">
        <v>2020</v>
      </c>
      <c r="C143" s="0" t="s">
        <v>1804</v>
      </c>
      <c r="D143" s="0" t="s">
        <v>7268</v>
      </c>
      <c r="E143" s="0" t="s">
        <v>7266</v>
      </c>
      <c r="G143" s="0" t="s">
        <v>7267</v>
      </c>
    </row>
    <row r="144" customFormat="false" ht="15" hidden="false" customHeight="false" outlineLevel="0" collapsed="false">
      <c r="A144" s="0" t="s">
        <v>222</v>
      </c>
      <c r="B144" s="0" t="n">
        <v>2021</v>
      </c>
      <c r="C144" s="0" t="s">
        <v>54</v>
      </c>
      <c r="D144" s="0" t="n">
        <v>233133</v>
      </c>
      <c r="E144" s="0" t="s">
        <v>7266</v>
      </c>
      <c r="G144" s="0" t="s">
        <v>7267</v>
      </c>
    </row>
    <row r="145" customFormat="false" ht="15" hidden="false" customHeight="false" outlineLevel="0" collapsed="false">
      <c r="A145" s="0" t="s">
        <v>222</v>
      </c>
      <c r="B145" s="0" t="n">
        <v>2021</v>
      </c>
      <c r="C145" s="0" t="s">
        <v>1327</v>
      </c>
      <c r="D145" s="0" t="n">
        <v>677283</v>
      </c>
      <c r="E145" s="0" t="s">
        <v>7266</v>
      </c>
      <c r="G145" s="0" t="s">
        <v>7267</v>
      </c>
    </row>
    <row r="146" customFormat="false" ht="15" hidden="false" customHeight="false" outlineLevel="0" collapsed="false">
      <c r="A146" s="0" t="s">
        <v>222</v>
      </c>
      <c r="B146" s="0" t="n">
        <v>2021</v>
      </c>
      <c r="C146" s="0" t="s">
        <v>55</v>
      </c>
      <c r="D146" s="0" t="n">
        <v>7872292</v>
      </c>
      <c r="E146" s="0" t="s">
        <v>7266</v>
      </c>
      <c r="G146" s="0" t="s">
        <v>7267</v>
      </c>
    </row>
    <row r="147" customFormat="false" ht="15" hidden="false" customHeight="false" outlineLevel="0" collapsed="false">
      <c r="A147" s="0" t="s">
        <v>222</v>
      </c>
      <c r="B147" s="0" t="n">
        <v>2021</v>
      </c>
      <c r="C147" s="0" t="s">
        <v>60</v>
      </c>
      <c r="D147" s="0" t="n">
        <v>3099452</v>
      </c>
      <c r="E147" s="0" t="s">
        <v>7266</v>
      </c>
      <c r="G147" s="0" t="s">
        <v>7267</v>
      </c>
    </row>
    <row r="148" customFormat="false" ht="15" hidden="false" customHeight="false" outlineLevel="0" collapsed="false">
      <c r="A148" s="0" t="s">
        <v>222</v>
      </c>
      <c r="B148" s="0" t="n">
        <v>2021</v>
      </c>
      <c r="C148" s="0" t="s">
        <v>61</v>
      </c>
      <c r="D148" s="0" t="n">
        <v>184456</v>
      </c>
      <c r="E148" s="0" t="s">
        <v>7266</v>
      </c>
      <c r="G148" s="0" t="s">
        <v>7267</v>
      </c>
    </row>
    <row r="149" customFormat="false" ht="15" hidden="false" customHeight="false" outlineLevel="0" collapsed="false">
      <c r="A149" s="0" t="s">
        <v>222</v>
      </c>
      <c r="B149" s="0" t="n">
        <v>2021</v>
      </c>
      <c r="C149" s="0" t="s">
        <v>63</v>
      </c>
      <c r="D149" s="0" t="n">
        <v>56175</v>
      </c>
      <c r="E149" s="0" t="s">
        <v>7266</v>
      </c>
      <c r="G149" s="0" t="s">
        <v>7267</v>
      </c>
    </row>
    <row r="150" customFormat="false" ht="15" hidden="false" customHeight="false" outlineLevel="0" collapsed="false">
      <c r="A150" s="0" t="s">
        <v>222</v>
      </c>
      <c r="B150" s="0" t="n">
        <v>2021</v>
      </c>
      <c r="C150" s="0" t="s">
        <v>327</v>
      </c>
      <c r="D150" s="0" t="n">
        <v>4.19</v>
      </c>
      <c r="E150" s="0" t="s">
        <v>7266</v>
      </c>
      <c r="G150" s="0" t="s">
        <v>7267</v>
      </c>
    </row>
    <row r="151" customFormat="false" ht="15" hidden="false" customHeight="false" outlineLevel="0" collapsed="false">
      <c r="A151" s="0" t="s">
        <v>222</v>
      </c>
      <c r="B151" s="0" t="n">
        <v>2021</v>
      </c>
      <c r="C151" s="0" t="s">
        <v>69</v>
      </c>
      <c r="D151" s="0" t="n">
        <v>19.8</v>
      </c>
      <c r="E151" s="0" t="s">
        <v>7266</v>
      </c>
      <c r="G151" s="0" t="s">
        <v>7267</v>
      </c>
    </row>
    <row r="152" customFormat="false" ht="15" hidden="false" customHeight="false" outlineLevel="0" collapsed="false">
      <c r="A152" s="0" t="s">
        <v>222</v>
      </c>
      <c r="B152" s="0" t="n">
        <v>2021</v>
      </c>
      <c r="C152" s="0" t="s">
        <v>73</v>
      </c>
      <c r="D152" s="0" t="n">
        <v>0</v>
      </c>
      <c r="E152" s="0" t="s">
        <v>7266</v>
      </c>
      <c r="G152" s="0" t="s">
        <v>7267</v>
      </c>
    </row>
    <row r="153" customFormat="false" ht="15" hidden="false" customHeight="false" outlineLevel="0" collapsed="false">
      <c r="A153" s="0" t="s">
        <v>222</v>
      </c>
      <c r="B153" s="0" t="n">
        <v>2021</v>
      </c>
      <c r="C153" s="0" t="s">
        <v>1804</v>
      </c>
      <c r="D153" s="0" t="s">
        <v>7268</v>
      </c>
      <c r="E153" s="0" t="s">
        <v>7266</v>
      </c>
      <c r="G153" s="0" t="s">
        <v>7267</v>
      </c>
    </row>
    <row r="154" customFormat="false" ht="15" hidden="false" customHeight="false" outlineLevel="0" collapsed="false">
      <c r="A154" s="0" t="s">
        <v>222</v>
      </c>
      <c r="B154" s="0" t="n">
        <v>2022</v>
      </c>
      <c r="C154" s="0" t="s">
        <v>54</v>
      </c>
      <c r="D154" s="0" t="n">
        <v>234593</v>
      </c>
      <c r="E154" s="0" t="s">
        <v>7266</v>
      </c>
      <c r="G154" s="0" t="s">
        <v>7267</v>
      </c>
    </row>
    <row r="155" customFormat="false" ht="15" hidden="false" customHeight="false" outlineLevel="0" collapsed="false">
      <c r="A155" s="0" t="s">
        <v>222</v>
      </c>
      <c r="B155" s="0" t="n">
        <v>2022</v>
      </c>
      <c r="C155" s="0" t="s">
        <v>1327</v>
      </c>
      <c r="D155" s="0" t="n">
        <v>833087</v>
      </c>
      <c r="E155" s="0" t="s">
        <v>7266</v>
      </c>
      <c r="G155" s="0" t="s">
        <v>7267</v>
      </c>
    </row>
    <row r="156" customFormat="false" ht="15" hidden="false" customHeight="false" outlineLevel="0" collapsed="false">
      <c r="A156" s="0" t="s">
        <v>222</v>
      </c>
      <c r="B156" s="0" t="n">
        <v>2022</v>
      </c>
      <c r="C156" s="0" t="s">
        <v>55</v>
      </c>
      <c r="D156" s="0" t="n">
        <v>10570678</v>
      </c>
      <c r="E156" s="0" t="s">
        <v>7266</v>
      </c>
      <c r="G156" s="0" t="s">
        <v>7267</v>
      </c>
    </row>
    <row r="157" customFormat="false" ht="15" hidden="false" customHeight="false" outlineLevel="0" collapsed="false">
      <c r="A157" s="0" t="s">
        <v>222</v>
      </c>
      <c r="B157" s="0" t="n">
        <v>2022</v>
      </c>
      <c r="C157" s="0" t="s">
        <v>60</v>
      </c>
      <c r="D157" s="0" t="n">
        <v>3838805</v>
      </c>
      <c r="E157" s="0" t="s">
        <v>7266</v>
      </c>
      <c r="G157" s="0" t="s">
        <v>7267</v>
      </c>
    </row>
    <row r="158" customFormat="false" ht="15" hidden="false" customHeight="false" outlineLevel="0" collapsed="false">
      <c r="A158" s="0" t="s">
        <v>222</v>
      </c>
      <c r="B158" s="0" t="n">
        <v>2022</v>
      </c>
      <c r="C158" s="0" t="s">
        <v>61</v>
      </c>
      <c r="D158" s="0" t="n">
        <v>231245</v>
      </c>
      <c r="E158" s="0" t="s">
        <v>7266</v>
      </c>
      <c r="G158" s="0" t="s">
        <v>7267</v>
      </c>
    </row>
    <row r="159" customFormat="false" ht="15" hidden="false" customHeight="false" outlineLevel="0" collapsed="false">
      <c r="A159" s="0" t="s">
        <v>222</v>
      </c>
      <c r="B159" s="0" t="n">
        <v>2022</v>
      </c>
      <c r="C159" s="0" t="s">
        <v>63</v>
      </c>
      <c r="D159" s="0" t="n">
        <v>61896</v>
      </c>
      <c r="E159" s="0" t="s">
        <v>7266</v>
      </c>
      <c r="G159" s="0" t="s">
        <v>7267</v>
      </c>
    </row>
    <row r="160" customFormat="false" ht="15" hidden="false" customHeight="false" outlineLevel="0" collapsed="false">
      <c r="A160" s="0" t="s">
        <v>222</v>
      </c>
      <c r="B160" s="0" t="n">
        <v>2022</v>
      </c>
      <c r="C160" s="0" t="s">
        <v>327</v>
      </c>
      <c r="D160" s="0" t="n">
        <v>4.3</v>
      </c>
      <c r="E160" s="0" t="s">
        <v>7266</v>
      </c>
      <c r="G160" s="0" t="s">
        <v>7267</v>
      </c>
    </row>
    <row r="161" customFormat="false" ht="15" hidden="false" customHeight="false" outlineLevel="0" collapsed="false">
      <c r="A161" s="0" t="s">
        <v>222</v>
      </c>
      <c r="B161" s="0" t="n">
        <v>2022</v>
      </c>
      <c r="C161" s="0" t="s">
        <v>69</v>
      </c>
      <c r="D161" s="0" t="n">
        <v>19.3</v>
      </c>
      <c r="E161" s="0" t="s">
        <v>7266</v>
      </c>
      <c r="G161" s="0" t="s">
        <v>7267</v>
      </c>
    </row>
    <row r="162" customFormat="false" ht="15" hidden="false" customHeight="false" outlineLevel="0" collapsed="false">
      <c r="A162" s="0" t="s">
        <v>222</v>
      </c>
      <c r="B162" s="0" t="n">
        <v>2022</v>
      </c>
      <c r="C162" s="0" t="s">
        <v>73</v>
      </c>
      <c r="D162" s="0" t="n">
        <v>0</v>
      </c>
      <c r="E162" s="0" t="s">
        <v>7266</v>
      </c>
      <c r="G162" s="0" t="s">
        <v>7267</v>
      </c>
    </row>
    <row r="163" customFormat="false" ht="15" hidden="false" customHeight="false" outlineLevel="0" collapsed="false">
      <c r="A163" s="0" t="s">
        <v>222</v>
      </c>
      <c r="B163" s="0" t="n">
        <v>2022</v>
      </c>
      <c r="C163" s="0" t="s">
        <v>1804</v>
      </c>
      <c r="D163" s="0" t="s">
        <v>7268</v>
      </c>
      <c r="E163" s="0" t="s">
        <v>7266</v>
      </c>
      <c r="G163" s="0" t="s">
        <v>7267</v>
      </c>
    </row>
    <row r="164" customFormat="false" ht="15" hidden="false" customHeight="false" outlineLevel="0" collapsed="false">
      <c r="A164" s="0" t="s">
        <v>125</v>
      </c>
      <c r="B164" s="0" t="n">
        <v>2015</v>
      </c>
      <c r="C164" s="0" t="s">
        <v>54</v>
      </c>
      <c r="D164" s="0" t="n">
        <v>37</v>
      </c>
      <c r="E164" s="0" t="s">
        <v>7266</v>
      </c>
      <c r="G164" s="0" t="s">
        <v>7267</v>
      </c>
    </row>
    <row r="165" customFormat="false" ht="15" hidden="false" customHeight="false" outlineLevel="0" collapsed="false">
      <c r="A165" s="0" t="s">
        <v>125</v>
      </c>
      <c r="B165" s="0" t="n">
        <v>2015</v>
      </c>
      <c r="C165" s="0" t="s">
        <v>1327</v>
      </c>
      <c r="D165" s="0" t="n">
        <v>421227</v>
      </c>
      <c r="E165" s="0" t="s">
        <v>7266</v>
      </c>
      <c r="G165" s="0" t="s">
        <v>7267</v>
      </c>
    </row>
    <row r="166" customFormat="false" ht="15" hidden="false" customHeight="false" outlineLevel="0" collapsed="false">
      <c r="A166" s="0" t="s">
        <v>125</v>
      </c>
      <c r="B166" s="0" t="n">
        <v>2015</v>
      </c>
      <c r="C166" s="0" t="s">
        <v>55</v>
      </c>
      <c r="D166" s="0" t="n">
        <v>3332375</v>
      </c>
      <c r="E166" s="0" t="s">
        <v>7266</v>
      </c>
      <c r="G166" s="0" t="s">
        <v>7267</v>
      </c>
    </row>
    <row r="167" customFormat="false" ht="15" hidden="false" customHeight="false" outlineLevel="0" collapsed="false">
      <c r="A167" s="0" t="s">
        <v>125</v>
      </c>
      <c r="B167" s="0" t="n">
        <v>2015</v>
      </c>
      <c r="C167" s="0" t="s">
        <v>60</v>
      </c>
      <c r="D167" s="0" t="n">
        <v>1457285</v>
      </c>
      <c r="E167" s="0" t="s">
        <v>7266</v>
      </c>
      <c r="G167" s="0" t="s">
        <v>7267</v>
      </c>
    </row>
    <row r="168" customFormat="false" ht="15" hidden="false" customHeight="false" outlineLevel="0" collapsed="false">
      <c r="A168" s="0" t="s">
        <v>125</v>
      </c>
      <c r="B168" s="0" t="n">
        <v>2015</v>
      </c>
      <c r="C168" s="0" t="s">
        <v>61</v>
      </c>
      <c r="D168" s="0" t="n">
        <v>187640</v>
      </c>
      <c r="E168" s="0" t="s">
        <v>7266</v>
      </c>
      <c r="G168" s="0" t="s">
        <v>7267</v>
      </c>
    </row>
    <row r="169" customFormat="false" ht="15" hidden="false" customHeight="false" outlineLevel="0" collapsed="false">
      <c r="A169" s="0" t="s">
        <v>125</v>
      </c>
      <c r="B169" s="0" t="n">
        <v>2015</v>
      </c>
      <c r="C169" s="0" t="s">
        <v>63</v>
      </c>
      <c r="D169" s="0" t="n">
        <v>120046</v>
      </c>
      <c r="E169" s="0" t="s">
        <v>7266</v>
      </c>
      <c r="G169" s="0" t="s">
        <v>7267</v>
      </c>
    </row>
    <row r="170" customFormat="false" ht="15" hidden="false" customHeight="false" outlineLevel="0" collapsed="false">
      <c r="A170" s="0" t="s">
        <v>125</v>
      </c>
      <c r="B170" s="0" t="n">
        <v>2015</v>
      </c>
      <c r="C170" s="0" t="s">
        <v>327</v>
      </c>
      <c r="D170" s="0" t="n">
        <v>45</v>
      </c>
      <c r="E170" s="0" t="s">
        <v>7266</v>
      </c>
      <c r="G170" s="0" t="s">
        <v>7267</v>
      </c>
    </row>
    <row r="171" customFormat="false" ht="15" hidden="false" customHeight="false" outlineLevel="0" collapsed="false">
      <c r="A171" s="0" t="s">
        <v>125</v>
      </c>
      <c r="B171" s="0" t="n">
        <v>2015</v>
      </c>
      <c r="C171" s="0" t="s">
        <v>69</v>
      </c>
      <c r="D171" s="0" t="n">
        <v>17.1</v>
      </c>
      <c r="E171" s="0" t="s">
        <v>7266</v>
      </c>
      <c r="G171" s="0" t="s">
        <v>7267</v>
      </c>
    </row>
    <row r="172" customFormat="false" ht="15" hidden="false" customHeight="false" outlineLevel="0" collapsed="false">
      <c r="A172" s="0" t="s">
        <v>125</v>
      </c>
      <c r="B172" s="0" t="n">
        <v>2015</v>
      </c>
      <c r="C172" s="0" t="s">
        <v>73</v>
      </c>
      <c r="D172" s="0" t="n">
        <v>0</v>
      </c>
      <c r="E172" s="0" t="s">
        <v>7266</v>
      </c>
      <c r="G172" s="0" t="s">
        <v>7267</v>
      </c>
    </row>
    <row r="173" customFormat="false" ht="15" hidden="false" customHeight="false" outlineLevel="0" collapsed="false">
      <c r="A173" s="0" t="s">
        <v>125</v>
      </c>
      <c r="B173" s="0" t="n">
        <v>2015</v>
      </c>
      <c r="C173" s="0" t="s">
        <v>1804</v>
      </c>
      <c r="D173" s="0" t="s">
        <v>7268</v>
      </c>
      <c r="E173" s="0" t="s">
        <v>7266</v>
      </c>
      <c r="G173" s="0" t="s">
        <v>7267</v>
      </c>
    </row>
    <row r="174" customFormat="false" ht="15" hidden="false" customHeight="false" outlineLevel="0" collapsed="false">
      <c r="A174" s="0" t="s">
        <v>125</v>
      </c>
      <c r="B174" s="0" t="n">
        <v>2016</v>
      </c>
      <c r="C174" s="0" t="s">
        <v>54</v>
      </c>
      <c r="D174" s="0" t="n">
        <v>11768</v>
      </c>
      <c r="E174" s="0" t="s">
        <v>7266</v>
      </c>
      <c r="G174" s="0" t="s">
        <v>7267</v>
      </c>
    </row>
    <row r="175" customFormat="false" ht="15" hidden="false" customHeight="false" outlineLevel="0" collapsed="false">
      <c r="A175" s="0" t="s">
        <v>125</v>
      </c>
      <c r="B175" s="0" t="n">
        <v>2016</v>
      </c>
      <c r="C175" s="0" t="s">
        <v>1327</v>
      </c>
      <c r="D175" s="0" t="n">
        <v>434663</v>
      </c>
      <c r="E175" s="0" t="s">
        <v>7266</v>
      </c>
      <c r="G175" s="0" t="s">
        <v>7267</v>
      </c>
    </row>
    <row r="176" customFormat="false" ht="15" hidden="false" customHeight="false" outlineLevel="0" collapsed="false">
      <c r="A176" s="0" t="s">
        <v>125</v>
      </c>
      <c r="B176" s="0" t="n">
        <v>2016</v>
      </c>
      <c r="C176" s="0" t="s">
        <v>55</v>
      </c>
      <c r="D176" s="0" t="n">
        <v>4514792</v>
      </c>
      <c r="E176" s="0" t="s">
        <v>7266</v>
      </c>
      <c r="G176" s="0" t="s">
        <v>7267</v>
      </c>
    </row>
    <row r="177" customFormat="false" ht="15" hidden="false" customHeight="false" outlineLevel="0" collapsed="false">
      <c r="A177" s="0" t="s">
        <v>125</v>
      </c>
      <c r="B177" s="0" t="n">
        <v>2016</v>
      </c>
      <c r="C177" s="0" t="s">
        <v>60</v>
      </c>
      <c r="D177" s="0" t="n">
        <v>2086740</v>
      </c>
      <c r="E177" s="0" t="s">
        <v>7266</v>
      </c>
      <c r="G177" s="0" t="s">
        <v>7267</v>
      </c>
    </row>
    <row r="178" customFormat="false" ht="15" hidden="false" customHeight="false" outlineLevel="0" collapsed="false">
      <c r="A178" s="0" t="s">
        <v>125</v>
      </c>
      <c r="B178" s="0" t="n">
        <v>2016</v>
      </c>
      <c r="C178" s="0" t="s">
        <v>61</v>
      </c>
      <c r="D178" s="0" t="n">
        <v>240695</v>
      </c>
      <c r="E178" s="0" t="s">
        <v>7266</v>
      </c>
      <c r="G178" s="0" t="s">
        <v>7267</v>
      </c>
    </row>
    <row r="179" customFormat="false" ht="15" hidden="false" customHeight="false" outlineLevel="0" collapsed="false">
      <c r="A179" s="0" t="s">
        <v>125</v>
      </c>
      <c r="B179" s="0" t="n">
        <v>2016</v>
      </c>
      <c r="C179" s="0" t="s">
        <v>63</v>
      </c>
      <c r="D179" s="0" t="n">
        <v>224948</v>
      </c>
      <c r="E179" s="0" t="s">
        <v>7266</v>
      </c>
      <c r="G179" s="0" t="s">
        <v>7267</v>
      </c>
    </row>
    <row r="180" customFormat="false" ht="15" hidden="false" customHeight="false" outlineLevel="0" collapsed="false">
      <c r="A180" s="0" t="s">
        <v>125</v>
      </c>
      <c r="B180" s="0" t="n">
        <v>2016</v>
      </c>
      <c r="C180" s="0" t="s">
        <v>327</v>
      </c>
      <c r="D180" s="0" t="n">
        <v>24.4</v>
      </c>
      <c r="E180" s="0" t="s">
        <v>7266</v>
      </c>
      <c r="G180" s="0" t="s">
        <v>7267</v>
      </c>
    </row>
    <row r="181" customFormat="false" ht="15" hidden="false" customHeight="false" outlineLevel="0" collapsed="false">
      <c r="A181" s="0" t="s">
        <v>125</v>
      </c>
      <c r="B181" s="0" t="n">
        <v>2016</v>
      </c>
      <c r="C181" s="0" t="s">
        <v>69</v>
      </c>
      <c r="D181" s="0" t="n">
        <v>17.79</v>
      </c>
      <c r="E181" s="0" t="s">
        <v>7266</v>
      </c>
      <c r="G181" s="0" t="s">
        <v>7267</v>
      </c>
    </row>
    <row r="182" customFormat="false" ht="15" hidden="false" customHeight="false" outlineLevel="0" collapsed="false">
      <c r="A182" s="0" t="s">
        <v>125</v>
      </c>
      <c r="B182" s="0" t="n">
        <v>2016</v>
      </c>
      <c r="C182" s="0" t="s">
        <v>73</v>
      </c>
      <c r="D182" s="0" t="n">
        <v>0</v>
      </c>
      <c r="E182" s="0" t="s">
        <v>7266</v>
      </c>
      <c r="G182" s="0" t="s">
        <v>7267</v>
      </c>
    </row>
    <row r="183" customFormat="false" ht="15" hidden="false" customHeight="false" outlineLevel="0" collapsed="false">
      <c r="A183" s="0" t="s">
        <v>125</v>
      </c>
      <c r="B183" s="0" t="n">
        <v>2016</v>
      </c>
      <c r="C183" s="0" t="s">
        <v>1804</v>
      </c>
      <c r="D183" s="0" t="s">
        <v>7268</v>
      </c>
      <c r="E183" s="0" t="s">
        <v>7266</v>
      </c>
      <c r="G183" s="0" t="s">
        <v>7267</v>
      </c>
    </row>
    <row r="184" customFormat="false" ht="15" hidden="false" customHeight="false" outlineLevel="0" collapsed="false">
      <c r="A184" s="0" t="s">
        <v>125</v>
      </c>
      <c r="B184" s="0" t="n">
        <v>2017</v>
      </c>
      <c r="C184" s="0" t="s">
        <v>54</v>
      </c>
      <c r="D184" s="0" t="n">
        <v>51475</v>
      </c>
      <c r="E184" s="0" t="s">
        <v>7266</v>
      </c>
      <c r="G184" s="0" t="s">
        <v>7267</v>
      </c>
    </row>
    <row r="185" customFormat="false" ht="15" hidden="false" customHeight="false" outlineLevel="0" collapsed="false">
      <c r="A185" s="0" t="s">
        <v>125</v>
      </c>
      <c r="B185" s="0" t="n">
        <v>2017</v>
      </c>
      <c r="C185" s="0" t="s">
        <v>1327</v>
      </c>
      <c r="D185" s="0" t="n">
        <v>474866</v>
      </c>
      <c r="E185" s="0" t="s">
        <v>7266</v>
      </c>
      <c r="G185" s="0" t="s">
        <v>7267</v>
      </c>
    </row>
    <row r="186" customFormat="false" ht="15" hidden="false" customHeight="false" outlineLevel="0" collapsed="false">
      <c r="A186" s="0" t="s">
        <v>125</v>
      </c>
      <c r="B186" s="0" t="n">
        <v>2017</v>
      </c>
      <c r="C186" s="0" t="s">
        <v>55</v>
      </c>
      <c r="D186" s="0" t="n">
        <v>5014248</v>
      </c>
      <c r="E186" s="0" t="s">
        <v>7266</v>
      </c>
      <c r="G186" s="0" t="s">
        <v>7267</v>
      </c>
    </row>
    <row r="187" customFormat="false" ht="15" hidden="false" customHeight="false" outlineLevel="0" collapsed="false">
      <c r="A187" s="0" t="s">
        <v>125</v>
      </c>
      <c r="B187" s="0" t="n">
        <v>2017</v>
      </c>
      <c r="C187" s="0" t="s">
        <v>60</v>
      </c>
      <c r="D187" s="0" t="n">
        <v>2026038</v>
      </c>
      <c r="E187" s="0" t="s">
        <v>7266</v>
      </c>
      <c r="G187" s="0" t="s">
        <v>7267</v>
      </c>
    </row>
    <row r="188" customFormat="false" ht="15" hidden="false" customHeight="false" outlineLevel="0" collapsed="false">
      <c r="A188" s="0" t="s">
        <v>125</v>
      </c>
      <c r="B188" s="0" t="n">
        <v>2017</v>
      </c>
      <c r="C188" s="0" t="s">
        <v>61</v>
      </c>
      <c r="D188" s="0" t="n">
        <v>178719</v>
      </c>
      <c r="E188" s="0" t="s">
        <v>7266</v>
      </c>
      <c r="G188" s="0" t="s">
        <v>7267</v>
      </c>
    </row>
    <row r="189" customFormat="false" ht="15" hidden="false" customHeight="false" outlineLevel="0" collapsed="false">
      <c r="A189" s="0" t="s">
        <v>125</v>
      </c>
      <c r="B189" s="0" t="n">
        <v>2017</v>
      </c>
      <c r="C189" s="0" t="s">
        <v>63</v>
      </c>
      <c r="D189" s="0" t="n">
        <v>141275</v>
      </c>
      <c r="E189" s="0" t="s">
        <v>7266</v>
      </c>
      <c r="G189" s="0" t="s">
        <v>7267</v>
      </c>
    </row>
    <row r="190" customFormat="false" ht="15" hidden="false" customHeight="false" outlineLevel="0" collapsed="false">
      <c r="A190" s="0" t="s">
        <v>125</v>
      </c>
      <c r="B190" s="0" t="n">
        <v>2017</v>
      </c>
      <c r="C190" s="0" t="s">
        <v>327</v>
      </c>
      <c r="D190" s="0" t="n">
        <v>22.8</v>
      </c>
      <c r="E190" s="0" t="s">
        <v>7266</v>
      </c>
      <c r="G190" s="0" t="s">
        <v>7267</v>
      </c>
    </row>
    <row r="191" customFormat="false" ht="15" hidden="false" customHeight="false" outlineLevel="0" collapsed="false">
      <c r="A191" s="0" t="s">
        <v>125</v>
      </c>
      <c r="B191" s="0" t="n">
        <v>2017</v>
      </c>
      <c r="C191" s="0" t="s">
        <v>69</v>
      </c>
      <c r="D191" s="0" t="n">
        <v>17.74</v>
      </c>
      <c r="E191" s="0" t="s">
        <v>7266</v>
      </c>
      <c r="G191" s="0" t="s">
        <v>7267</v>
      </c>
    </row>
    <row r="192" customFormat="false" ht="15" hidden="false" customHeight="false" outlineLevel="0" collapsed="false">
      <c r="A192" s="0" t="s">
        <v>125</v>
      </c>
      <c r="B192" s="0" t="n">
        <v>2017</v>
      </c>
      <c r="C192" s="0" t="s">
        <v>73</v>
      </c>
      <c r="D192" s="0" t="n">
        <v>0</v>
      </c>
      <c r="E192" s="0" t="s">
        <v>7266</v>
      </c>
      <c r="G192" s="0" t="s">
        <v>7267</v>
      </c>
    </row>
    <row r="193" customFormat="false" ht="15" hidden="false" customHeight="false" outlineLevel="0" collapsed="false">
      <c r="A193" s="0" t="s">
        <v>125</v>
      </c>
      <c r="B193" s="0" t="n">
        <v>2017</v>
      </c>
      <c r="C193" s="0" t="s">
        <v>1804</v>
      </c>
      <c r="D193" s="0" t="s">
        <v>7268</v>
      </c>
      <c r="E193" s="0" t="s">
        <v>7266</v>
      </c>
      <c r="G193" s="0" t="s">
        <v>7267</v>
      </c>
    </row>
    <row r="194" customFormat="false" ht="15" hidden="false" customHeight="false" outlineLevel="0" collapsed="false">
      <c r="A194" s="0" t="s">
        <v>125</v>
      </c>
      <c r="B194" s="0" t="n">
        <v>2018</v>
      </c>
      <c r="C194" s="0" t="s">
        <v>54</v>
      </c>
      <c r="D194" s="0" t="n">
        <v>38844</v>
      </c>
      <c r="E194" s="0" t="s">
        <v>7266</v>
      </c>
      <c r="G194" s="0" t="s">
        <v>7267</v>
      </c>
    </row>
    <row r="195" customFormat="false" ht="15" hidden="false" customHeight="false" outlineLevel="0" collapsed="false">
      <c r="A195" s="0" t="s">
        <v>125</v>
      </c>
      <c r="B195" s="0" t="n">
        <v>2018</v>
      </c>
      <c r="C195" s="0" t="s">
        <v>1327</v>
      </c>
      <c r="D195" s="0" t="n">
        <v>363680</v>
      </c>
      <c r="E195" s="0" t="s">
        <v>7266</v>
      </c>
      <c r="G195" s="0" t="s">
        <v>7267</v>
      </c>
    </row>
    <row r="196" customFormat="false" ht="15" hidden="false" customHeight="false" outlineLevel="0" collapsed="false">
      <c r="A196" s="0" t="s">
        <v>125</v>
      </c>
      <c r="B196" s="0" t="n">
        <v>2018</v>
      </c>
      <c r="C196" s="0" t="s">
        <v>55</v>
      </c>
      <c r="D196" s="0" t="n">
        <v>5303327</v>
      </c>
      <c r="E196" s="0" t="s">
        <v>7266</v>
      </c>
      <c r="G196" s="0" t="s">
        <v>7267</v>
      </c>
    </row>
    <row r="197" customFormat="false" ht="15" hidden="false" customHeight="false" outlineLevel="0" collapsed="false">
      <c r="A197" s="0" t="s">
        <v>125</v>
      </c>
      <c r="B197" s="0" t="n">
        <v>2018</v>
      </c>
      <c r="C197" s="0" t="s">
        <v>60</v>
      </c>
      <c r="D197" s="0" t="n">
        <v>1694884</v>
      </c>
      <c r="E197" s="0" t="s">
        <v>7266</v>
      </c>
      <c r="G197" s="0" t="s">
        <v>7267</v>
      </c>
    </row>
    <row r="198" customFormat="false" ht="15" hidden="false" customHeight="false" outlineLevel="0" collapsed="false">
      <c r="A198" s="0" t="s">
        <v>125</v>
      </c>
      <c r="B198" s="0" t="n">
        <v>2018</v>
      </c>
      <c r="C198" s="0" t="s">
        <v>61</v>
      </c>
      <c r="D198" s="0" t="n">
        <v>166250</v>
      </c>
      <c r="E198" s="0" t="s">
        <v>7266</v>
      </c>
      <c r="G198" s="0" t="s">
        <v>7267</v>
      </c>
    </row>
    <row r="199" customFormat="false" ht="15" hidden="false" customHeight="false" outlineLevel="0" collapsed="false">
      <c r="A199" s="0" t="s">
        <v>125</v>
      </c>
      <c r="B199" s="0" t="n">
        <v>2018</v>
      </c>
      <c r="C199" s="0" t="s">
        <v>63</v>
      </c>
      <c r="D199" s="0" t="n">
        <v>92796</v>
      </c>
      <c r="E199" s="0" t="s">
        <v>7266</v>
      </c>
      <c r="G199" s="0" t="s">
        <v>7267</v>
      </c>
    </row>
    <row r="200" customFormat="false" ht="15" hidden="false" customHeight="false" outlineLevel="0" collapsed="false">
      <c r="A200" s="0" t="s">
        <v>125</v>
      </c>
      <c r="B200" s="0" t="n">
        <v>2018</v>
      </c>
      <c r="C200" s="0" t="s">
        <v>327</v>
      </c>
      <c r="D200" s="0" t="n">
        <v>24.7</v>
      </c>
      <c r="E200" s="0" t="s">
        <v>7266</v>
      </c>
      <c r="G200" s="0" t="s">
        <v>7267</v>
      </c>
    </row>
    <row r="201" customFormat="false" ht="15" hidden="false" customHeight="false" outlineLevel="0" collapsed="false">
      <c r="A201" s="0" t="s">
        <v>125</v>
      </c>
      <c r="B201" s="0" t="n">
        <v>2018</v>
      </c>
      <c r="C201" s="0" t="s">
        <v>69</v>
      </c>
      <c r="D201" s="0" t="n">
        <v>17.26</v>
      </c>
      <c r="E201" s="0" t="s">
        <v>7266</v>
      </c>
      <c r="G201" s="0" t="s">
        <v>7267</v>
      </c>
    </row>
    <row r="202" customFormat="false" ht="15" hidden="false" customHeight="false" outlineLevel="0" collapsed="false">
      <c r="A202" s="0" t="s">
        <v>125</v>
      </c>
      <c r="B202" s="0" t="n">
        <v>2018</v>
      </c>
      <c r="C202" s="0" t="s">
        <v>73</v>
      </c>
      <c r="D202" s="0" t="n">
        <v>0</v>
      </c>
      <c r="E202" s="0" t="s">
        <v>7266</v>
      </c>
      <c r="G202" s="0" t="s">
        <v>7267</v>
      </c>
    </row>
    <row r="203" customFormat="false" ht="15" hidden="false" customHeight="false" outlineLevel="0" collapsed="false">
      <c r="A203" s="0" t="s">
        <v>125</v>
      </c>
      <c r="B203" s="0" t="n">
        <v>2018</v>
      </c>
      <c r="C203" s="0" t="s">
        <v>1804</v>
      </c>
      <c r="D203" s="0" t="s">
        <v>7268</v>
      </c>
      <c r="E203" s="0" t="s">
        <v>7266</v>
      </c>
      <c r="G203" s="0" t="s">
        <v>7267</v>
      </c>
    </row>
    <row r="204" customFormat="false" ht="15" hidden="false" customHeight="false" outlineLevel="0" collapsed="false">
      <c r="A204" s="0" t="s">
        <v>125</v>
      </c>
      <c r="B204" s="0" t="n">
        <v>2019</v>
      </c>
      <c r="C204" s="0" t="s">
        <v>54</v>
      </c>
      <c r="D204" s="0" t="n">
        <v>62667</v>
      </c>
      <c r="E204" s="0" t="s">
        <v>7266</v>
      </c>
      <c r="G204" s="0" t="s">
        <v>7267</v>
      </c>
    </row>
    <row r="205" customFormat="false" ht="15" hidden="false" customHeight="false" outlineLevel="0" collapsed="false">
      <c r="A205" s="0" t="s">
        <v>125</v>
      </c>
      <c r="B205" s="0" t="n">
        <v>2019</v>
      </c>
      <c r="C205" s="0" t="s">
        <v>1327</v>
      </c>
      <c r="D205" s="0" t="n">
        <v>395926</v>
      </c>
      <c r="E205" s="0" t="s">
        <v>7266</v>
      </c>
      <c r="G205" s="0" t="s">
        <v>7267</v>
      </c>
    </row>
    <row r="206" customFormat="false" ht="15" hidden="false" customHeight="false" outlineLevel="0" collapsed="false">
      <c r="A206" s="0" t="s">
        <v>125</v>
      </c>
      <c r="B206" s="0" t="n">
        <v>2019</v>
      </c>
      <c r="C206" s="0" t="s">
        <v>55</v>
      </c>
      <c r="D206" s="0" t="n">
        <v>5869219</v>
      </c>
      <c r="E206" s="0" t="s">
        <v>7266</v>
      </c>
      <c r="G206" s="0" t="s">
        <v>7267</v>
      </c>
    </row>
    <row r="207" customFormat="false" ht="15" hidden="false" customHeight="false" outlineLevel="0" collapsed="false">
      <c r="A207" s="0" t="s">
        <v>125</v>
      </c>
      <c r="B207" s="0" t="n">
        <v>2019</v>
      </c>
      <c r="C207" s="0" t="s">
        <v>60</v>
      </c>
      <c r="D207" s="0" t="n">
        <v>1866023</v>
      </c>
      <c r="E207" s="0" t="s">
        <v>7266</v>
      </c>
      <c r="G207" s="0" t="s">
        <v>7267</v>
      </c>
    </row>
    <row r="208" customFormat="false" ht="15" hidden="false" customHeight="false" outlineLevel="0" collapsed="false">
      <c r="A208" s="0" t="s">
        <v>125</v>
      </c>
      <c r="B208" s="0" t="n">
        <v>2019</v>
      </c>
      <c r="C208" s="0" t="s">
        <v>61</v>
      </c>
      <c r="D208" s="0" t="n">
        <v>158400</v>
      </c>
      <c r="E208" s="0" t="s">
        <v>7266</v>
      </c>
      <c r="G208" s="0" t="s">
        <v>7267</v>
      </c>
    </row>
    <row r="209" customFormat="false" ht="15" hidden="false" customHeight="false" outlineLevel="0" collapsed="false">
      <c r="A209" s="0" t="s">
        <v>125</v>
      </c>
      <c r="B209" s="0" t="n">
        <v>2019</v>
      </c>
      <c r="C209" s="0" t="s">
        <v>63</v>
      </c>
      <c r="D209" s="0" t="n">
        <v>50821</v>
      </c>
      <c r="E209" s="0" t="s">
        <v>7266</v>
      </c>
      <c r="G209" s="0" t="s">
        <v>7267</v>
      </c>
    </row>
    <row r="210" customFormat="false" ht="15" hidden="false" customHeight="false" outlineLevel="0" collapsed="false">
      <c r="A210" s="0" t="s">
        <v>125</v>
      </c>
      <c r="B210" s="0" t="n">
        <v>2019</v>
      </c>
      <c r="C210" s="0" t="s">
        <v>327</v>
      </c>
      <c r="D210" s="0" t="n">
        <v>9.9</v>
      </c>
      <c r="E210" s="0" t="s">
        <v>7266</v>
      </c>
      <c r="G210" s="0" t="s">
        <v>7267</v>
      </c>
    </row>
    <row r="211" customFormat="false" ht="15" hidden="false" customHeight="false" outlineLevel="0" collapsed="false">
      <c r="A211" s="0" t="s">
        <v>125</v>
      </c>
      <c r="B211" s="0" t="n">
        <v>2019</v>
      </c>
      <c r="C211" s="0" t="s">
        <v>69</v>
      </c>
      <c r="D211" s="0" t="n">
        <v>15.45</v>
      </c>
      <c r="E211" s="0" t="s">
        <v>7266</v>
      </c>
      <c r="G211" s="0" t="s">
        <v>7267</v>
      </c>
    </row>
    <row r="212" customFormat="false" ht="15" hidden="false" customHeight="false" outlineLevel="0" collapsed="false">
      <c r="A212" s="0" t="s">
        <v>125</v>
      </c>
      <c r="B212" s="0" t="n">
        <v>2019</v>
      </c>
      <c r="C212" s="0" t="s">
        <v>73</v>
      </c>
      <c r="D212" s="0" t="n">
        <v>0</v>
      </c>
      <c r="E212" s="0" t="s">
        <v>7266</v>
      </c>
      <c r="G212" s="0" t="s">
        <v>7267</v>
      </c>
    </row>
    <row r="213" customFormat="false" ht="15" hidden="false" customHeight="false" outlineLevel="0" collapsed="false">
      <c r="A213" s="0" t="s">
        <v>125</v>
      </c>
      <c r="B213" s="0" t="n">
        <v>2019</v>
      </c>
      <c r="C213" s="0" t="s">
        <v>1804</v>
      </c>
      <c r="D213" s="0" t="s">
        <v>7268</v>
      </c>
      <c r="E213" s="0" t="s">
        <v>7266</v>
      </c>
      <c r="G213" s="0" t="s">
        <v>7267</v>
      </c>
    </row>
    <row r="214" customFormat="false" ht="15" hidden="false" customHeight="false" outlineLevel="0" collapsed="false">
      <c r="A214" s="0" t="s">
        <v>125</v>
      </c>
      <c r="B214" s="0" t="n">
        <v>2020</v>
      </c>
      <c r="C214" s="0" t="s">
        <v>54</v>
      </c>
      <c r="D214" s="0" t="n">
        <v>67750</v>
      </c>
      <c r="E214" s="0" t="s">
        <v>7266</v>
      </c>
      <c r="G214" s="0" t="s">
        <v>7267</v>
      </c>
    </row>
    <row r="215" customFormat="false" ht="15" hidden="false" customHeight="false" outlineLevel="0" collapsed="false">
      <c r="A215" s="0" t="s">
        <v>125</v>
      </c>
      <c r="B215" s="0" t="n">
        <v>2020</v>
      </c>
      <c r="C215" s="0" t="s">
        <v>1327</v>
      </c>
      <c r="D215" s="0" t="n">
        <v>399128</v>
      </c>
      <c r="E215" s="0" t="s">
        <v>7266</v>
      </c>
      <c r="G215" s="0" t="s">
        <v>7267</v>
      </c>
    </row>
    <row r="216" customFormat="false" ht="15" hidden="false" customHeight="false" outlineLevel="0" collapsed="false">
      <c r="A216" s="0" t="s">
        <v>125</v>
      </c>
      <c r="B216" s="0" t="n">
        <v>2020</v>
      </c>
      <c r="C216" s="0" t="s">
        <v>55</v>
      </c>
      <c r="D216" s="0" t="n">
        <v>7367465</v>
      </c>
      <c r="E216" s="0" t="s">
        <v>7266</v>
      </c>
      <c r="G216" s="0" t="s">
        <v>7267</v>
      </c>
    </row>
    <row r="217" customFormat="false" ht="15" hidden="false" customHeight="false" outlineLevel="0" collapsed="false">
      <c r="A217" s="0" t="s">
        <v>125</v>
      </c>
      <c r="B217" s="0" t="n">
        <v>2020</v>
      </c>
      <c r="C217" s="0" t="s">
        <v>60</v>
      </c>
      <c r="D217" s="0" t="n">
        <v>2222380</v>
      </c>
      <c r="E217" s="0" t="s">
        <v>7266</v>
      </c>
      <c r="G217" s="0" t="s">
        <v>7267</v>
      </c>
    </row>
    <row r="218" customFormat="false" ht="15" hidden="false" customHeight="false" outlineLevel="0" collapsed="false">
      <c r="A218" s="0" t="s">
        <v>125</v>
      </c>
      <c r="B218" s="0" t="n">
        <v>2020</v>
      </c>
      <c r="C218" s="0" t="s">
        <v>61</v>
      </c>
      <c r="D218" s="0" t="n">
        <v>144500</v>
      </c>
      <c r="E218" s="0" t="s">
        <v>7266</v>
      </c>
      <c r="G218" s="0" t="s">
        <v>7267</v>
      </c>
    </row>
    <row r="219" customFormat="false" ht="15" hidden="false" customHeight="false" outlineLevel="0" collapsed="false">
      <c r="A219" s="0" t="s">
        <v>125</v>
      </c>
      <c r="B219" s="0" t="n">
        <v>2020</v>
      </c>
      <c r="C219" s="0" t="s">
        <v>63</v>
      </c>
      <c r="D219" s="0" t="n">
        <v>64100</v>
      </c>
      <c r="E219" s="0" t="s">
        <v>7266</v>
      </c>
      <c r="G219" s="0" t="s">
        <v>7267</v>
      </c>
    </row>
    <row r="220" customFormat="false" ht="15" hidden="false" customHeight="false" outlineLevel="0" collapsed="false">
      <c r="A220" s="0" t="s">
        <v>125</v>
      </c>
      <c r="B220" s="0" t="n">
        <v>2020</v>
      </c>
      <c r="C220" s="0" t="s">
        <v>327</v>
      </c>
      <c r="D220" s="0" t="n">
        <v>7.7</v>
      </c>
      <c r="E220" s="0" t="s">
        <v>7266</v>
      </c>
      <c r="G220" s="0" t="s">
        <v>7267</v>
      </c>
    </row>
    <row r="221" customFormat="false" ht="15" hidden="false" customHeight="false" outlineLevel="0" collapsed="false">
      <c r="A221" s="0" t="s">
        <v>125</v>
      </c>
      <c r="B221" s="0" t="n">
        <v>2020</v>
      </c>
      <c r="C221" s="0" t="s">
        <v>69</v>
      </c>
      <c r="D221" s="0" t="n">
        <v>17.01</v>
      </c>
      <c r="E221" s="0" t="s">
        <v>7266</v>
      </c>
      <c r="G221" s="0" t="s">
        <v>7267</v>
      </c>
    </row>
    <row r="222" customFormat="false" ht="15" hidden="false" customHeight="false" outlineLevel="0" collapsed="false">
      <c r="A222" s="0" t="s">
        <v>125</v>
      </c>
      <c r="B222" s="0" t="n">
        <v>2020</v>
      </c>
      <c r="C222" s="0" t="s">
        <v>73</v>
      </c>
      <c r="D222" s="0" t="n">
        <v>0</v>
      </c>
      <c r="E222" s="0" t="s">
        <v>7266</v>
      </c>
      <c r="G222" s="0" t="s">
        <v>7267</v>
      </c>
    </row>
    <row r="223" customFormat="false" ht="15" hidden="false" customHeight="false" outlineLevel="0" collapsed="false">
      <c r="A223" s="0" t="s">
        <v>125</v>
      </c>
      <c r="B223" s="0" t="n">
        <v>2020</v>
      </c>
      <c r="C223" s="0" t="s">
        <v>1804</v>
      </c>
      <c r="D223" s="0" t="s">
        <v>3392</v>
      </c>
      <c r="E223" s="0" t="s">
        <v>7266</v>
      </c>
      <c r="G223" s="0" t="s">
        <v>7267</v>
      </c>
    </row>
    <row r="224" customFormat="false" ht="15" hidden="false" customHeight="false" outlineLevel="0" collapsed="false">
      <c r="A224" s="0" t="s">
        <v>125</v>
      </c>
      <c r="B224" s="0" t="n">
        <v>2021</v>
      </c>
      <c r="C224" s="0" t="s">
        <v>54</v>
      </c>
      <c r="D224" s="0" t="n">
        <v>117840</v>
      </c>
      <c r="E224" s="0" t="s">
        <v>7266</v>
      </c>
      <c r="G224" s="0" t="s">
        <v>7267</v>
      </c>
    </row>
    <row r="225" customFormat="false" ht="15" hidden="false" customHeight="false" outlineLevel="0" collapsed="false">
      <c r="A225" s="0" t="s">
        <v>125</v>
      </c>
      <c r="B225" s="0" t="n">
        <v>2021</v>
      </c>
      <c r="C225" s="0" t="s">
        <v>1327</v>
      </c>
      <c r="D225" s="0" t="n">
        <v>567875</v>
      </c>
      <c r="E225" s="0" t="s">
        <v>7266</v>
      </c>
      <c r="G225" s="0" t="s">
        <v>7267</v>
      </c>
    </row>
    <row r="226" customFormat="false" ht="15" hidden="false" customHeight="false" outlineLevel="0" collapsed="false">
      <c r="A226" s="0" t="s">
        <v>125</v>
      </c>
      <c r="B226" s="0" t="n">
        <v>2021</v>
      </c>
      <c r="C226" s="0" t="s">
        <v>55</v>
      </c>
      <c r="D226" s="0" t="n">
        <v>8542372</v>
      </c>
      <c r="E226" s="0" t="s">
        <v>7266</v>
      </c>
      <c r="G226" s="0" t="s">
        <v>7267</v>
      </c>
    </row>
    <row r="227" customFormat="false" ht="15" hidden="false" customHeight="false" outlineLevel="0" collapsed="false">
      <c r="A227" s="0" t="s">
        <v>125</v>
      </c>
      <c r="B227" s="0" t="n">
        <v>2021</v>
      </c>
      <c r="C227" s="0" t="s">
        <v>60</v>
      </c>
      <c r="D227" s="0" t="n">
        <v>2835233</v>
      </c>
      <c r="E227" s="0" t="s">
        <v>7266</v>
      </c>
      <c r="G227" s="0" t="s">
        <v>7267</v>
      </c>
    </row>
    <row r="228" customFormat="false" ht="15" hidden="false" customHeight="false" outlineLevel="0" collapsed="false">
      <c r="A228" s="0" t="s">
        <v>125</v>
      </c>
      <c r="B228" s="0" t="n">
        <v>2021</v>
      </c>
      <c r="C228" s="0" t="s">
        <v>61</v>
      </c>
      <c r="D228" s="0" t="n">
        <v>140200</v>
      </c>
      <c r="E228" s="0" t="s">
        <v>7266</v>
      </c>
      <c r="G228" s="0" t="s">
        <v>7267</v>
      </c>
    </row>
    <row r="229" customFormat="false" ht="15" hidden="false" customHeight="false" outlineLevel="0" collapsed="false">
      <c r="A229" s="0" t="s">
        <v>125</v>
      </c>
      <c r="B229" s="0" t="n">
        <v>2021</v>
      </c>
      <c r="C229" s="0" t="s">
        <v>63</v>
      </c>
      <c r="D229" s="0" t="n">
        <v>123080</v>
      </c>
      <c r="E229" s="0" t="s">
        <v>7266</v>
      </c>
      <c r="G229" s="0" t="s">
        <v>7267</v>
      </c>
    </row>
    <row r="230" customFormat="false" ht="15" hidden="false" customHeight="false" outlineLevel="0" collapsed="false">
      <c r="A230" s="0" t="s">
        <v>125</v>
      </c>
      <c r="B230" s="0" t="n">
        <v>2021</v>
      </c>
      <c r="C230" s="0" t="s">
        <v>327</v>
      </c>
      <c r="D230" s="0" t="n">
        <v>7.2</v>
      </c>
      <c r="E230" s="0" t="s">
        <v>7266</v>
      </c>
      <c r="G230" s="0" t="s">
        <v>7267</v>
      </c>
    </row>
    <row r="231" customFormat="false" ht="15" hidden="false" customHeight="false" outlineLevel="0" collapsed="false">
      <c r="A231" s="0" t="s">
        <v>125</v>
      </c>
      <c r="B231" s="0" t="n">
        <v>2021</v>
      </c>
      <c r="C231" s="0" t="s">
        <v>69</v>
      </c>
      <c r="D231" s="0" t="n">
        <v>17.39</v>
      </c>
      <c r="E231" s="0" t="s">
        <v>7266</v>
      </c>
      <c r="G231" s="0" t="s">
        <v>7267</v>
      </c>
    </row>
    <row r="232" customFormat="false" ht="15" hidden="false" customHeight="false" outlineLevel="0" collapsed="false">
      <c r="A232" s="0" t="s">
        <v>125</v>
      </c>
      <c r="B232" s="0" t="n">
        <v>2021</v>
      </c>
      <c r="C232" s="0" t="s">
        <v>73</v>
      </c>
      <c r="D232" s="0" t="n">
        <v>0</v>
      </c>
      <c r="E232" s="0" t="s">
        <v>7266</v>
      </c>
      <c r="G232" s="0" t="s">
        <v>7267</v>
      </c>
    </row>
    <row r="233" customFormat="false" ht="15" hidden="false" customHeight="false" outlineLevel="0" collapsed="false">
      <c r="A233" s="0" t="s">
        <v>125</v>
      </c>
      <c r="B233" s="0" t="n">
        <v>2021</v>
      </c>
      <c r="C233" s="0" t="s">
        <v>1804</v>
      </c>
      <c r="D233" s="0" t="s">
        <v>3392</v>
      </c>
      <c r="E233" s="0" t="s">
        <v>7266</v>
      </c>
      <c r="G233" s="0" t="s">
        <v>7267</v>
      </c>
    </row>
    <row r="234" customFormat="false" ht="15" hidden="false" customHeight="false" outlineLevel="0" collapsed="false">
      <c r="A234" s="0" t="s">
        <v>125</v>
      </c>
      <c r="B234" s="0" t="n">
        <v>2022</v>
      </c>
      <c r="C234" s="0" t="s">
        <v>54</v>
      </c>
      <c r="D234" s="0" t="n">
        <v>129584</v>
      </c>
      <c r="E234" s="0" t="s">
        <v>7266</v>
      </c>
      <c r="G234" s="0" t="s">
        <v>7267</v>
      </c>
    </row>
    <row r="235" customFormat="false" ht="15" hidden="false" customHeight="false" outlineLevel="0" collapsed="false">
      <c r="A235" s="0" t="s">
        <v>125</v>
      </c>
      <c r="B235" s="0" t="n">
        <v>2022</v>
      </c>
      <c r="C235" s="0" t="s">
        <v>1327</v>
      </c>
      <c r="D235" s="0" t="n">
        <v>555663</v>
      </c>
      <c r="E235" s="0" t="s">
        <v>7266</v>
      </c>
      <c r="G235" s="0" t="s">
        <v>7267</v>
      </c>
    </row>
    <row r="236" customFormat="false" ht="15" hidden="false" customHeight="false" outlineLevel="0" collapsed="false">
      <c r="A236" s="0" t="s">
        <v>125</v>
      </c>
      <c r="B236" s="0" t="n">
        <v>2022</v>
      </c>
      <c r="C236" s="0" t="s">
        <v>55</v>
      </c>
      <c r="D236" s="0" t="n">
        <v>10089910</v>
      </c>
      <c r="E236" s="0" t="s">
        <v>7266</v>
      </c>
      <c r="G236" s="0" t="s">
        <v>7267</v>
      </c>
    </row>
    <row r="237" customFormat="false" ht="15" hidden="false" customHeight="false" outlineLevel="0" collapsed="false">
      <c r="A237" s="0" t="s">
        <v>125</v>
      </c>
      <c r="B237" s="0" t="n">
        <v>2022</v>
      </c>
      <c r="C237" s="0" t="s">
        <v>60</v>
      </c>
      <c r="D237" s="0" t="n">
        <v>3699495</v>
      </c>
      <c r="E237" s="0" t="s">
        <v>7266</v>
      </c>
      <c r="G237" s="0" t="s">
        <v>7267</v>
      </c>
    </row>
    <row r="238" customFormat="false" ht="15" hidden="false" customHeight="false" outlineLevel="0" collapsed="false">
      <c r="A238" s="0" t="s">
        <v>125</v>
      </c>
      <c r="B238" s="0" t="n">
        <v>2022</v>
      </c>
      <c r="C238" s="0" t="s">
        <v>61</v>
      </c>
      <c r="D238" s="0" t="n">
        <v>132100</v>
      </c>
      <c r="E238" s="0" t="s">
        <v>7266</v>
      </c>
      <c r="G238" s="0" t="s">
        <v>7267</v>
      </c>
    </row>
    <row r="239" customFormat="false" ht="15" hidden="false" customHeight="false" outlineLevel="0" collapsed="false">
      <c r="A239" s="0" t="s">
        <v>125</v>
      </c>
      <c r="B239" s="0" t="n">
        <v>2022</v>
      </c>
      <c r="C239" s="0" t="s">
        <v>63</v>
      </c>
      <c r="D239" s="0" t="n">
        <v>66710</v>
      </c>
      <c r="E239" s="0" t="s">
        <v>7266</v>
      </c>
      <c r="G239" s="0" t="s">
        <v>7267</v>
      </c>
    </row>
    <row r="240" customFormat="false" ht="15" hidden="false" customHeight="false" outlineLevel="0" collapsed="false">
      <c r="A240" s="0" t="s">
        <v>125</v>
      </c>
      <c r="B240" s="0" t="n">
        <v>2022</v>
      </c>
      <c r="C240" s="0" t="s">
        <v>327</v>
      </c>
      <c r="D240" s="0" t="n">
        <v>5.4</v>
      </c>
      <c r="E240" s="0" t="s">
        <v>7266</v>
      </c>
      <c r="G240" s="0" t="s">
        <v>7267</v>
      </c>
    </row>
    <row r="241" customFormat="false" ht="15" hidden="false" customHeight="false" outlineLevel="0" collapsed="false">
      <c r="A241" s="0" t="s">
        <v>125</v>
      </c>
      <c r="B241" s="0" t="n">
        <v>2022</v>
      </c>
      <c r="C241" s="0" t="s">
        <v>69</v>
      </c>
      <c r="D241" s="0" t="n">
        <v>16.57</v>
      </c>
      <c r="E241" s="0" t="s">
        <v>7266</v>
      </c>
      <c r="G241" s="0" t="s">
        <v>7267</v>
      </c>
    </row>
    <row r="242" customFormat="false" ht="15" hidden="false" customHeight="false" outlineLevel="0" collapsed="false">
      <c r="A242" s="0" t="s">
        <v>125</v>
      </c>
      <c r="B242" s="0" t="n">
        <v>2022</v>
      </c>
      <c r="C242" s="0" t="s">
        <v>73</v>
      </c>
      <c r="D242" s="0" t="n">
        <v>0</v>
      </c>
      <c r="E242" s="0" t="s">
        <v>7266</v>
      </c>
      <c r="G242" s="0" t="s">
        <v>7267</v>
      </c>
    </row>
    <row r="243" customFormat="false" ht="15" hidden="false" customHeight="false" outlineLevel="0" collapsed="false">
      <c r="A243" s="0" t="s">
        <v>125</v>
      </c>
      <c r="B243" s="0" t="n">
        <v>2022</v>
      </c>
      <c r="C243" s="0" t="s">
        <v>1804</v>
      </c>
      <c r="D243" s="0" t="s">
        <v>3392</v>
      </c>
      <c r="E243" s="0" t="s">
        <v>7266</v>
      </c>
      <c r="G243" s="0" t="s">
        <v>7267</v>
      </c>
    </row>
    <row r="244" customFormat="false" ht="15" hidden="false" customHeight="false" outlineLevel="0" collapsed="false">
      <c r="A244" s="0" t="s">
        <v>178</v>
      </c>
      <c r="B244" s="0" t="n">
        <v>2015</v>
      </c>
      <c r="C244" s="0" t="s">
        <v>54</v>
      </c>
      <c r="D244" s="0" t="n">
        <v>47642</v>
      </c>
      <c r="E244" s="0" t="s">
        <v>7266</v>
      </c>
      <c r="G244" s="0" t="s">
        <v>7267</v>
      </c>
    </row>
    <row r="245" customFormat="false" ht="15" hidden="false" customHeight="false" outlineLevel="0" collapsed="false">
      <c r="A245" s="0" t="s">
        <v>178</v>
      </c>
      <c r="B245" s="0" t="n">
        <v>2015</v>
      </c>
      <c r="C245" s="0" t="s">
        <v>1327</v>
      </c>
      <c r="D245" s="0" t="n">
        <v>247378</v>
      </c>
      <c r="E245" s="0" t="s">
        <v>7266</v>
      </c>
      <c r="G245" s="0" t="s">
        <v>7267</v>
      </c>
    </row>
    <row r="246" customFormat="false" ht="15" hidden="false" customHeight="false" outlineLevel="0" collapsed="false">
      <c r="A246" s="0" t="s">
        <v>178</v>
      </c>
      <c r="B246" s="0" t="n">
        <v>2015</v>
      </c>
      <c r="C246" s="0" t="s">
        <v>55</v>
      </c>
      <c r="D246" s="0" t="n">
        <v>2216337</v>
      </c>
      <c r="E246" s="0" t="s">
        <v>7266</v>
      </c>
      <c r="G246" s="0" t="s">
        <v>7267</v>
      </c>
    </row>
    <row r="247" customFormat="false" ht="15" hidden="false" customHeight="false" outlineLevel="0" collapsed="false">
      <c r="A247" s="0" t="s">
        <v>178</v>
      </c>
      <c r="B247" s="0" t="n">
        <v>2015</v>
      </c>
      <c r="C247" s="0" t="s">
        <v>60</v>
      </c>
      <c r="D247" s="0" t="n">
        <v>835737</v>
      </c>
      <c r="E247" s="0" t="s">
        <v>7266</v>
      </c>
      <c r="G247" s="0" t="s">
        <v>7267</v>
      </c>
    </row>
    <row r="248" customFormat="false" ht="15" hidden="false" customHeight="false" outlineLevel="0" collapsed="false">
      <c r="A248" s="0" t="s">
        <v>178</v>
      </c>
      <c r="B248" s="0" t="n">
        <v>2015</v>
      </c>
      <c r="C248" s="0" t="s">
        <v>61</v>
      </c>
      <c r="D248" s="0" t="n">
        <v>14104</v>
      </c>
      <c r="E248" s="0" t="s">
        <v>7266</v>
      </c>
      <c r="G248" s="0" t="s">
        <v>7267</v>
      </c>
    </row>
    <row r="249" customFormat="false" ht="15" hidden="false" customHeight="false" outlineLevel="0" collapsed="false">
      <c r="A249" s="0" t="s">
        <v>178</v>
      </c>
      <c r="B249" s="0" t="n">
        <v>2015</v>
      </c>
      <c r="C249" s="0" t="s">
        <v>63</v>
      </c>
      <c r="D249" s="0" t="n">
        <v>3491</v>
      </c>
      <c r="E249" s="0" t="s">
        <v>7266</v>
      </c>
      <c r="G249" s="0" t="s">
        <v>7267</v>
      </c>
    </row>
    <row r="250" customFormat="false" ht="15" hidden="false" customHeight="false" outlineLevel="0" collapsed="false">
      <c r="A250" s="0" t="s">
        <v>178</v>
      </c>
      <c r="B250" s="0" t="n">
        <v>2015</v>
      </c>
      <c r="C250" s="0" t="s">
        <v>327</v>
      </c>
      <c r="D250" s="0" t="n">
        <v>0.91</v>
      </c>
      <c r="E250" s="0" t="s">
        <v>7266</v>
      </c>
      <c r="G250" s="0" t="s">
        <v>7267</v>
      </c>
    </row>
    <row r="251" customFormat="false" ht="15" hidden="false" customHeight="false" outlineLevel="0" collapsed="false">
      <c r="A251" s="0" t="s">
        <v>178</v>
      </c>
      <c r="B251" s="0" t="n">
        <v>2015</v>
      </c>
      <c r="C251" s="0" t="s">
        <v>69</v>
      </c>
      <c r="D251" s="0" t="n">
        <v>20</v>
      </c>
      <c r="E251" s="0" t="s">
        <v>7266</v>
      </c>
      <c r="G251" s="0" t="s">
        <v>7267</v>
      </c>
    </row>
    <row r="252" customFormat="false" ht="15" hidden="false" customHeight="false" outlineLevel="0" collapsed="false">
      <c r="A252" s="0" t="s">
        <v>178</v>
      </c>
      <c r="B252" s="0" t="n">
        <v>2015</v>
      </c>
      <c r="C252" s="0" t="s">
        <v>73</v>
      </c>
      <c r="D252" s="0" t="n">
        <v>0</v>
      </c>
      <c r="E252" s="0" t="s">
        <v>7266</v>
      </c>
      <c r="G252" s="0" t="s">
        <v>7267</v>
      </c>
    </row>
    <row r="253" customFormat="false" ht="15" hidden="false" customHeight="false" outlineLevel="0" collapsed="false">
      <c r="A253" s="0" t="s">
        <v>178</v>
      </c>
      <c r="B253" s="0" t="n">
        <v>2015</v>
      </c>
      <c r="C253" s="0" t="s">
        <v>1804</v>
      </c>
      <c r="D253" s="0" t="s">
        <v>1838</v>
      </c>
      <c r="E253" s="0" t="s">
        <v>7266</v>
      </c>
      <c r="G253" s="0" t="s">
        <v>7267</v>
      </c>
    </row>
    <row r="254" customFormat="false" ht="15" hidden="false" customHeight="false" outlineLevel="0" collapsed="false">
      <c r="A254" s="0" t="s">
        <v>178</v>
      </c>
      <c r="B254" s="0" t="n">
        <v>2016</v>
      </c>
      <c r="C254" s="0" t="s">
        <v>54</v>
      </c>
      <c r="D254" s="0" t="n">
        <v>47541</v>
      </c>
      <c r="E254" s="0" t="s">
        <v>7266</v>
      </c>
      <c r="G254" s="0" t="s">
        <v>7267</v>
      </c>
    </row>
    <row r="255" customFormat="false" ht="15" hidden="false" customHeight="false" outlineLevel="0" collapsed="false">
      <c r="A255" s="0" t="s">
        <v>178</v>
      </c>
      <c r="B255" s="0" t="n">
        <v>2016</v>
      </c>
      <c r="C255" s="0" t="s">
        <v>1327</v>
      </c>
      <c r="D255" s="0" t="n">
        <v>269895</v>
      </c>
      <c r="E255" s="0" t="s">
        <v>7266</v>
      </c>
      <c r="G255" s="0" t="s">
        <v>7267</v>
      </c>
    </row>
    <row r="256" customFormat="false" ht="15" hidden="false" customHeight="false" outlineLevel="0" collapsed="false">
      <c r="A256" s="0" t="s">
        <v>178</v>
      </c>
      <c r="B256" s="0" t="n">
        <v>2016</v>
      </c>
      <c r="C256" s="0" t="s">
        <v>55</v>
      </c>
      <c r="D256" s="0" t="n">
        <v>2539585</v>
      </c>
      <c r="E256" s="0" t="s">
        <v>7266</v>
      </c>
      <c r="G256" s="0" t="s">
        <v>7267</v>
      </c>
    </row>
    <row r="257" customFormat="false" ht="15" hidden="false" customHeight="false" outlineLevel="0" collapsed="false">
      <c r="A257" s="0" t="s">
        <v>178</v>
      </c>
      <c r="B257" s="0" t="n">
        <v>2016</v>
      </c>
      <c r="C257" s="0" t="s">
        <v>60</v>
      </c>
      <c r="D257" s="0" t="n">
        <v>1120096</v>
      </c>
      <c r="E257" s="0" t="s">
        <v>7266</v>
      </c>
      <c r="G257" s="0" t="s">
        <v>7267</v>
      </c>
    </row>
    <row r="258" customFormat="false" ht="15" hidden="false" customHeight="false" outlineLevel="0" collapsed="false">
      <c r="A258" s="0" t="s">
        <v>178</v>
      </c>
      <c r="B258" s="0" t="n">
        <v>2016</v>
      </c>
      <c r="C258" s="0" t="s">
        <v>61</v>
      </c>
      <c r="D258" s="0" t="n">
        <v>32295</v>
      </c>
      <c r="E258" s="0" t="s">
        <v>7266</v>
      </c>
      <c r="G258" s="0" t="s">
        <v>7267</v>
      </c>
    </row>
    <row r="259" customFormat="false" ht="15" hidden="false" customHeight="false" outlineLevel="0" collapsed="false">
      <c r="A259" s="0" t="s">
        <v>178</v>
      </c>
      <c r="B259" s="0" t="n">
        <v>2016</v>
      </c>
      <c r="C259" s="0" t="s">
        <v>63</v>
      </c>
      <c r="D259" s="0" t="n">
        <v>25521</v>
      </c>
      <c r="E259" s="0" t="s">
        <v>7266</v>
      </c>
      <c r="G259" s="0" t="s">
        <v>7267</v>
      </c>
    </row>
    <row r="260" customFormat="false" ht="15" hidden="false" customHeight="false" outlineLevel="0" collapsed="false">
      <c r="A260" s="0" t="s">
        <v>178</v>
      </c>
      <c r="B260" s="0" t="n">
        <v>2016</v>
      </c>
      <c r="C260" s="0" t="s">
        <v>327</v>
      </c>
      <c r="D260" s="0" t="n">
        <v>5.1</v>
      </c>
      <c r="E260" s="0" t="s">
        <v>7266</v>
      </c>
      <c r="G260" s="0" t="s">
        <v>7267</v>
      </c>
    </row>
    <row r="261" customFormat="false" ht="15" hidden="false" customHeight="false" outlineLevel="0" collapsed="false">
      <c r="A261" s="0" t="s">
        <v>178</v>
      </c>
      <c r="B261" s="0" t="n">
        <v>2016</v>
      </c>
      <c r="C261" s="0" t="s">
        <v>69</v>
      </c>
      <c r="D261" s="0" t="n">
        <v>20</v>
      </c>
      <c r="E261" s="0" t="s">
        <v>7266</v>
      </c>
      <c r="G261" s="0" t="s">
        <v>7267</v>
      </c>
    </row>
    <row r="262" customFormat="false" ht="15" hidden="false" customHeight="false" outlineLevel="0" collapsed="false">
      <c r="A262" s="0" t="s">
        <v>178</v>
      </c>
      <c r="B262" s="0" t="n">
        <v>2016</v>
      </c>
      <c r="C262" s="0" t="s">
        <v>73</v>
      </c>
      <c r="D262" s="0" t="n">
        <v>0</v>
      </c>
      <c r="E262" s="0" t="s">
        <v>7266</v>
      </c>
      <c r="G262" s="0" t="s">
        <v>7267</v>
      </c>
    </row>
    <row r="263" customFormat="false" ht="15" hidden="false" customHeight="false" outlineLevel="0" collapsed="false">
      <c r="A263" s="0" t="s">
        <v>178</v>
      </c>
      <c r="B263" s="0" t="n">
        <v>2016</v>
      </c>
      <c r="C263" s="0" t="s">
        <v>1804</v>
      </c>
      <c r="D263" s="0" t="s">
        <v>1838</v>
      </c>
      <c r="E263" s="0" t="s">
        <v>7266</v>
      </c>
      <c r="G263" s="0" t="s">
        <v>7267</v>
      </c>
    </row>
    <row r="264" customFormat="false" ht="15" hidden="false" customHeight="false" outlineLevel="0" collapsed="false">
      <c r="A264" s="0" t="s">
        <v>178</v>
      </c>
      <c r="B264" s="0" t="n">
        <v>2017</v>
      </c>
      <c r="C264" s="0" t="s">
        <v>54</v>
      </c>
      <c r="D264" s="0" t="n">
        <v>41396</v>
      </c>
      <c r="E264" s="0" t="s">
        <v>7266</v>
      </c>
      <c r="G264" s="0" t="s">
        <v>7267</v>
      </c>
    </row>
    <row r="265" customFormat="false" ht="15" hidden="false" customHeight="false" outlineLevel="0" collapsed="false">
      <c r="A265" s="0" t="s">
        <v>178</v>
      </c>
      <c r="B265" s="0" t="n">
        <v>2017</v>
      </c>
      <c r="C265" s="0" t="s">
        <v>1327</v>
      </c>
      <c r="D265" s="0" t="n">
        <v>316263</v>
      </c>
      <c r="E265" s="0" t="s">
        <v>7266</v>
      </c>
      <c r="G265" s="0" t="s">
        <v>7267</v>
      </c>
    </row>
    <row r="266" customFormat="false" ht="15" hidden="false" customHeight="false" outlineLevel="0" collapsed="false">
      <c r="A266" s="0" t="s">
        <v>178</v>
      </c>
      <c r="B266" s="0" t="n">
        <v>2017</v>
      </c>
      <c r="C266" s="0" t="s">
        <v>55</v>
      </c>
      <c r="D266" s="0" t="n">
        <v>2931826</v>
      </c>
      <c r="E266" s="0" t="s">
        <v>7266</v>
      </c>
      <c r="G266" s="0" t="s">
        <v>7267</v>
      </c>
    </row>
    <row r="267" customFormat="false" ht="15" hidden="false" customHeight="false" outlineLevel="0" collapsed="false">
      <c r="A267" s="0" t="s">
        <v>178</v>
      </c>
      <c r="B267" s="0" t="n">
        <v>2017</v>
      </c>
      <c r="C267" s="0" t="s">
        <v>60</v>
      </c>
      <c r="D267" s="0" t="n">
        <v>1204426</v>
      </c>
      <c r="E267" s="0" t="s">
        <v>7266</v>
      </c>
      <c r="G267" s="0" t="s">
        <v>7267</v>
      </c>
    </row>
    <row r="268" customFormat="false" ht="15" hidden="false" customHeight="false" outlineLevel="0" collapsed="false">
      <c r="A268" s="0" t="s">
        <v>178</v>
      </c>
      <c r="B268" s="0" t="n">
        <v>2017</v>
      </c>
      <c r="C268" s="0" t="s">
        <v>61</v>
      </c>
      <c r="D268" s="0" t="n">
        <v>31212</v>
      </c>
      <c r="E268" s="0" t="s">
        <v>7266</v>
      </c>
      <c r="G268" s="0" t="s">
        <v>7267</v>
      </c>
    </row>
    <row r="269" customFormat="false" ht="15" hidden="false" customHeight="false" outlineLevel="0" collapsed="false">
      <c r="A269" s="0" t="s">
        <v>178</v>
      </c>
      <c r="B269" s="0" t="n">
        <v>2017</v>
      </c>
      <c r="C269" s="0" t="s">
        <v>63</v>
      </c>
      <c r="D269" s="0" t="n">
        <v>30433</v>
      </c>
      <c r="E269" s="0" t="s">
        <v>7266</v>
      </c>
      <c r="G269" s="0" t="s">
        <v>7267</v>
      </c>
    </row>
    <row r="270" customFormat="false" ht="15" hidden="false" customHeight="false" outlineLevel="0" collapsed="false">
      <c r="A270" s="0" t="s">
        <v>178</v>
      </c>
      <c r="B270" s="0" t="n">
        <v>2017</v>
      </c>
      <c r="C270" s="0" t="s">
        <v>327</v>
      </c>
      <c r="D270" s="0" t="n">
        <v>3.7</v>
      </c>
      <c r="E270" s="0" t="s">
        <v>7266</v>
      </c>
      <c r="G270" s="0" t="s">
        <v>7267</v>
      </c>
    </row>
    <row r="271" customFormat="false" ht="15" hidden="false" customHeight="false" outlineLevel="0" collapsed="false">
      <c r="A271" s="0" t="s">
        <v>178</v>
      </c>
      <c r="B271" s="0" t="n">
        <v>2017</v>
      </c>
      <c r="C271" s="0" t="s">
        <v>69</v>
      </c>
      <c r="D271" s="0" t="n">
        <v>20</v>
      </c>
      <c r="E271" s="0" t="s">
        <v>7266</v>
      </c>
      <c r="G271" s="0" t="s">
        <v>7267</v>
      </c>
    </row>
    <row r="272" customFormat="false" ht="15" hidden="false" customHeight="false" outlineLevel="0" collapsed="false">
      <c r="A272" s="0" t="s">
        <v>178</v>
      </c>
      <c r="B272" s="0" t="n">
        <v>2017</v>
      </c>
      <c r="C272" s="0" t="s">
        <v>73</v>
      </c>
      <c r="D272" s="0" t="n">
        <v>0</v>
      </c>
      <c r="E272" s="0" t="s">
        <v>7266</v>
      </c>
      <c r="G272" s="0" t="s">
        <v>7267</v>
      </c>
    </row>
    <row r="273" customFormat="false" ht="15" hidden="false" customHeight="false" outlineLevel="0" collapsed="false">
      <c r="A273" s="0" t="s">
        <v>178</v>
      </c>
      <c r="B273" s="0" t="n">
        <v>2017</v>
      </c>
      <c r="C273" s="0" t="s">
        <v>1804</v>
      </c>
      <c r="D273" s="0" t="s">
        <v>1838</v>
      </c>
      <c r="E273" s="0" t="s">
        <v>7266</v>
      </c>
      <c r="G273" s="0" t="s">
        <v>7267</v>
      </c>
    </row>
    <row r="274" customFormat="false" ht="15" hidden="false" customHeight="false" outlineLevel="0" collapsed="false">
      <c r="A274" s="0" t="s">
        <v>178</v>
      </c>
      <c r="B274" s="0" t="n">
        <v>2018</v>
      </c>
      <c r="C274" s="0" t="s">
        <v>54</v>
      </c>
      <c r="D274" s="0" t="n">
        <v>41047</v>
      </c>
      <c r="E274" s="0" t="s">
        <v>7266</v>
      </c>
      <c r="G274" s="0" t="s">
        <v>7267</v>
      </c>
    </row>
    <row r="275" customFormat="false" ht="15" hidden="false" customHeight="false" outlineLevel="0" collapsed="false">
      <c r="A275" s="0" t="s">
        <v>178</v>
      </c>
      <c r="B275" s="0" t="n">
        <v>2018</v>
      </c>
      <c r="C275" s="0" t="s">
        <v>1327</v>
      </c>
      <c r="D275" s="0" t="n">
        <v>341504</v>
      </c>
      <c r="E275" s="0" t="s">
        <v>7266</v>
      </c>
      <c r="G275" s="0" t="s">
        <v>7267</v>
      </c>
    </row>
    <row r="276" customFormat="false" ht="15" hidden="false" customHeight="false" outlineLevel="0" collapsed="false">
      <c r="A276" s="0" t="s">
        <v>178</v>
      </c>
      <c r="B276" s="0" t="n">
        <v>2018</v>
      </c>
      <c r="C276" s="0" t="s">
        <v>55</v>
      </c>
      <c r="D276" s="0" t="n">
        <v>3591305</v>
      </c>
      <c r="E276" s="0" t="s">
        <v>7266</v>
      </c>
      <c r="G276" s="0" t="s">
        <v>7267</v>
      </c>
    </row>
    <row r="277" customFormat="false" ht="15" hidden="false" customHeight="false" outlineLevel="0" collapsed="false">
      <c r="A277" s="0" t="s">
        <v>178</v>
      </c>
      <c r="B277" s="0" t="n">
        <v>2018</v>
      </c>
      <c r="C277" s="0" t="s">
        <v>60</v>
      </c>
      <c r="D277" s="0" t="n">
        <v>1274112</v>
      </c>
      <c r="E277" s="0" t="s">
        <v>7266</v>
      </c>
      <c r="G277" s="0" t="s">
        <v>7267</v>
      </c>
    </row>
    <row r="278" customFormat="false" ht="15" hidden="false" customHeight="false" outlineLevel="0" collapsed="false">
      <c r="A278" s="0" t="s">
        <v>178</v>
      </c>
      <c r="B278" s="0" t="n">
        <v>2018</v>
      </c>
      <c r="C278" s="0" t="s">
        <v>61</v>
      </c>
      <c r="D278" s="0" t="n">
        <v>60311</v>
      </c>
      <c r="E278" s="0" t="s">
        <v>7266</v>
      </c>
      <c r="G278" s="0" t="s">
        <v>7267</v>
      </c>
    </row>
    <row r="279" customFormat="false" ht="15" hidden="false" customHeight="false" outlineLevel="0" collapsed="false">
      <c r="A279" s="0" t="s">
        <v>178</v>
      </c>
      <c r="B279" s="0" t="n">
        <v>2018</v>
      </c>
      <c r="C279" s="0" t="s">
        <v>63</v>
      </c>
      <c r="D279" s="0" t="n">
        <v>4257</v>
      </c>
      <c r="E279" s="0" t="s">
        <v>7266</v>
      </c>
      <c r="G279" s="0" t="s">
        <v>7267</v>
      </c>
    </row>
    <row r="280" customFormat="false" ht="15" hidden="false" customHeight="false" outlineLevel="0" collapsed="false">
      <c r="A280" s="0" t="s">
        <v>178</v>
      </c>
      <c r="B280" s="0" t="n">
        <v>2018</v>
      </c>
      <c r="C280" s="0" t="s">
        <v>327</v>
      </c>
      <c r="D280" s="0" t="n">
        <v>4.2</v>
      </c>
      <c r="E280" s="0" t="s">
        <v>7266</v>
      </c>
      <c r="G280" s="0" t="s">
        <v>7267</v>
      </c>
    </row>
    <row r="281" customFormat="false" ht="15" hidden="false" customHeight="false" outlineLevel="0" collapsed="false">
      <c r="A281" s="0" t="s">
        <v>178</v>
      </c>
      <c r="B281" s="0" t="n">
        <v>2018</v>
      </c>
      <c r="C281" s="0" t="s">
        <v>69</v>
      </c>
      <c r="D281" s="0" t="n">
        <v>20</v>
      </c>
      <c r="E281" s="0" t="s">
        <v>7266</v>
      </c>
      <c r="G281" s="0" t="s">
        <v>7267</v>
      </c>
    </row>
    <row r="282" customFormat="false" ht="15" hidden="false" customHeight="false" outlineLevel="0" collapsed="false">
      <c r="A282" s="0" t="s">
        <v>178</v>
      </c>
      <c r="B282" s="0" t="n">
        <v>2018</v>
      </c>
      <c r="C282" s="0" t="s">
        <v>73</v>
      </c>
      <c r="D282" s="0" t="n">
        <v>0</v>
      </c>
      <c r="E282" s="0" t="s">
        <v>7266</v>
      </c>
      <c r="G282" s="0" t="s">
        <v>7267</v>
      </c>
    </row>
    <row r="283" customFormat="false" ht="15" hidden="false" customHeight="false" outlineLevel="0" collapsed="false">
      <c r="A283" s="0" t="s">
        <v>178</v>
      </c>
      <c r="B283" s="0" t="n">
        <v>2018</v>
      </c>
      <c r="C283" s="0" t="s">
        <v>1804</v>
      </c>
      <c r="D283" s="0" t="s">
        <v>1838</v>
      </c>
      <c r="E283" s="0" t="s">
        <v>7266</v>
      </c>
      <c r="G283" s="0" t="s">
        <v>7267</v>
      </c>
    </row>
    <row r="284" customFormat="false" ht="15" hidden="false" customHeight="false" outlineLevel="0" collapsed="false">
      <c r="A284" s="0" t="s">
        <v>178</v>
      </c>
      <c r="B284" s="0" t="n">
        <v>2019</v>
      </c>
      <c r="C284" s="0" t="s">
        <v>54</v>
      </c>
      <c r="D284" s="0" t="n">
        <v>62750</v>
      </c>
      <c r="E284" s="0" t="s">
        <v>7266</v>
      </c>
      <c r="G284" s="0" t="s">
        <v>7267</v>
      </c>
    </row>
    <row r="285" customFormat="false" ht="15" hidden="false" customHeight="false" outlineLevel="0" collapsed="false">
      <c r="A285" s="0" t="s">
        <v>178</v>
      </c>
      <c r="B285" s="0" t="n">
        <v>2019</v>
      </c>
      <c r="C285" s="0" t="s">
        <v>1327</v>
      </c>
      <c r="D285" s="0" t="n">
        <v>412624</v>
      </c>
      <c r="E285" s="0" t="s">
        <v>7266</v>
      </c>
      <c r="G285" s="0" t="s">
        <v>7267</v>
      </c>
    </row>
    <row r="286" customFormat="false" ht="15" hidden="false" customHeight="false" outlineLevel="0" collapsed="false">
      <c r="A286" s="0" t="s">
        <v>178</v>
      </c>
      <c r="B286" s="0" t="n">
        <v>2019</v>
      </c>
      <c r="C286" s="0" t="s">
        <v>55</v>
      </c>
      <c r="D286" s="0" t="n">
        <v>4136493</v>
      </c>
      <c r="E286" s="0" t="s">
        <v>7266</v>
      </c>
      <c r="G286" s="0" t="s">
        <v>7267</v>
      </c>
    </row>
    <row r="287" customFormat="false" ht="15" hidden="false" customHeight="false" outlineLevel="0" collapsed="false">
      <c r="A287" s="0" t="s">
        <v>178</v>
      </c>
      <c r="B287" s="0" t="n">
        <v>2019</v>
      </c>
      <c r="C287" s="0" t="s">
        <v>60</v>
      </c>
      <c r="D287" s="0" t="n">
        <v>1557358</v>
      </c>
      <c r="E287" s="0" t="s">
        <v>7266</v>
      </c>
      <c r="G287" s="0" t="s">
        <v>7267</v>
      </c>
    </row>
    <row r="288" customFormat="false" ht="15" hidden="false" customHeight="false" outlineLevel="0" collapsed="false">
      <c r="A288" s="0" t="s">
        <v>178</v>
      </c>
      <c r="B288" s="0" t="n">
        <v>2019</v>
      </c>
      <c r="C288" s="0" t="s">
        <v>61</v>
      </c>
      <c r="D288" s="0" t="n">
        <v>53978</v>
      </c>
      <c r="E288" s="0" t="s">
        <v>7266</v>
      </c>
      <c r="G288" s="0" t="s">
        <v>7267</v>
      </c>
    </row>
    <row r="289" customFormat="false" ht="15" hidden="false" customHeight="false" outlineLevel="0" collapsed="false">
      <c r="A289" s="0" t="s">
        <v>178</v>
      </c>
      <c r="B289" s="0" t="n">
        <v>2019</v>
      </c>
      <c r="C289" s="0" t="s">
        <v>63</v>
      </c>
      <c r="D289" s="0" t="n">
        <v>16369</v>
      </c>
      <c r="E289" s="0" t="s">
        <v>7266</v>
      </c>
      <c r="G289" s="0" t="s">
        <v>7267</v>
      </c>
    </row>
    <row r="290" customFormat="false" ht="15" hidden="false" customHeight="false" outlineLevel="0" collapsed="false">
      <c r="A290" s="0" t="s">
        <v>178</v>
      </c>
      <c r="B290" s="0" t="n">
        <v>2019</v>
      </c>
      <c r="C290" s="0" t="s">
        <v>327</v>
      </c>
      <c r="D290" s="0" t="n">
        <v>2.87</v>
      </c>
      <c r="E290" s="0" t="s">
        <v>7266</v>
      </c>
      <c r="G290" s="0" t="s">
        <v>7267</v>
      </c>
    </row>
    <row r="291" customFormat="false" ht="15" hidden="false" customHeight="false" outlineLevel="0" collapsed="false">
      <c r="A291" s="0" t="s">
        <v>178</v>
      </c>
      <c r="B291" s="0" t="n">
        <v>2019</v>
      </c>
      <c r="C291" s="0" t="s">
        <v>69</v>
      </c>
      <c r="D291" s="0" t="n">
        <v>20.39</v>
      </c>
      <c r="E291" s="0" t="s">
        <v>7266</v>
      </c>
      <c r="G291" s="0" t="s">
        <v>7267</v>
      </c>
    </row>
    <row r="292" customFormat="false" ht="15" hidden="false" customHeight="false" outlineLevel="0" collapsed="false">
      <c r="A292" s="0" t="s">
        <v>178</v>
      </c>
      <c r="B292" s="0" t="n">
        <v>2019</v>
      </c>
      <c r="C292" s="0" t="s">
        <v>73</v>
      </c>
      <c r="D292" s="0" t="n">
        <v>0</v>
      </c>
      <c r="E292" s="0" t="s">
        <v>7266</v>
      </c>
      <c r="G292" s="0" t="s">
        <v>7267</v>
      </c>
    </row>
    <row r="293" customFormat="false" ht="15" hidden="false" customHeight="false" outlineLevel="0" collapsed="false">
      <c r="A293" s="0" t="s">
        <v>178</v>
      </c>
      <c r="B293" s="0" t="n">
        <v>2019</v>
      </c>
      <c r="C293" s="0" t="s">
        <v>1804</v>
      </c>
      <c r="D293" s="0" t="s">
        <v>1860</v>
      </c>
      <c r="E293" s="0" t="s">
        <v>7266</v>
      </c>
      <c r="G293" s="0" t="s">
        <v>7267</v>
      </c>
    </row>
    <row r="294" customFormat="false" ht="15" hidden="false" customHeight="false" outlineLevel="0" collapsed="false">
      <c r="A294" s="0" t="s">
        <v>178</v>
      </c>
      <c r="B294" s="0" t="n">
        <v>2020</v>
      </c>
      <c r="C294" s="0" t="s">
        <v>54</v>
      </c>
      <c r="D294" s="0" t="n">
        <v>56911</v>
      </c>
      <c r="E294" s="0" t="s">
        <v>7266</v>
      </c>
      <c r="G294" s="0" t="s">
        <v>7267</v>
      </c>
    </row>
    <row r="295" customFormat="false" ht="15" hidden="false" customHeight="false" outlineLevel="0" collapsed="false">
      <c r="A295" s="0" t="s">
        <v>178</v>
      </c>
      <c r="B295" s="0" t="n">
        <v>2020</v>
      </c>
      <c r="C295" s="0" t="s">
        <v>1327</v>
      </c>
      <c r="D295" s="0" t="n">
        <v>381476</v>
      </c>
      <c r="E295" s="0" t="s">
        <v>7266</v>
      </c>
      <c r="G295" s="0" t="s">
        <v>7267</v>
      </c>
    </row>
    <row r="296" customFormat="false" ht="15" hidden="false" customHeight="false" outlineLevel="0" collapsed="false">
      <c r="A296" s="0" t="s">
        <v>178</v>
      </c>
      <c r="B296" s="0" t="n">
        <v>2020</v>
      </c>
      <c r="C296" s="0" t="s">
        <v>55</v>
      </c>
      <c r="D296" s="0" t="n">
        <v>5207833</v>
      </c>
      <c r="E296" s="0" t="s">
        <v>7266</v>
      </c>
      <c r="G296" s="0" t="s">
        <v>7267</v>
      </c>
    </row>
    <row r="297" customFormat="false" ht="15" hidden="false" customHeight="false" outlineLevel="0" collapsed="false">
      <c r="A297" s="0" t="s">
        <v>178</v>
      </c>
      <c r="B297" s="0" t="n">
        <v>2020</v>
      </c>
      <c r="C297" s="0" t="s">
        <v>60</v>
      </c>
      <c r="D297" s="0" t="n">
        <v>1874858</v>
      </c>
      <c r="E297" s="0" t="s">
        <v>7266</v>
      </c>
      <c r="G297" s="0" t="s">
        <v>7267</v>
      </c>
    </row>
    <row r="298" customFormat="false" ht="15" hidden="false" customHeight="false" outlineLevel="0" collapsed="false">
      <c r="A298" s="0" t="s">
        <v>178</v>
      </c>
      <c r="B298" s="0" t="n">
        <v>2020</v>
      </c>
      <c r="C298" s="0" t="s">
        <v>61</v>
      </c>
      <c r="D298" s="0" t="n">
        <v>62322</v>
      </c>
      <c r="E298" s="0" t="s">
        <v>7266</v>
      </c>
      <c r="G298" s="0" t="s">
        <v>7267</v>
      </c>
    </row>
    <row r="299" customFormat="false" ht="15" hidden="false" customHeight="false" outlineLevel="0" collapsed="false">
      <c r="A299" s="0" t="s">
        <v>178</v>
      </c>
      <c r="B299" s="0" t="n">
        <v>2020</v>
      </c>
      <c r="C299" s="0" t="s">
        <v>63</v>
      </c>
      <c r="D299" s="0" t="n">
        <v>21864</v>
      </c>
      <c r="E299" s="0" t="s">
        <v>7266</v>
      </c>
      <c r="G299" s="0" t="s">
        <v>7267</v>
      </c>
    </row>
    <row r="300" customFormat="false" ht="15" hidden="false" customHeight="false" outlineLevel="0" collapsed="false">
      <c r="A300" s="0" t="s">
        <v>178</v>
      </c>
      <c r="B300" s="0" t="n">
        <v>2020</v>
      </c>
      <c r="C300" s="0" t="s">
        <v>327</v>
      </c>
      <c r="D300" s="0" t="n">
        <v>2.2</v>
      </c>
      <c r="E300" s="0" t="s">
        <v>7266</v>
      </c>
      <c r="G300" s="0" t="s">
        <v>7267</v>
      </c>
    </row>
    <row r="301" customFormat="false" ht="15" hidden="false" customHeight="false" outlineLevel="0" collapsed="false">
      <c r="A301" s="0" t="s">
        <v>178</v>
      </c>
      <c r="B301" s="0" t="n">
        <v>2020</v>
      </c>
      <c r="C301" s="0" t="s">
        <v>69</v>
      </c>
      <c r="D301" s="0" t="n">
        <v>19.7</v>
      </c>
      <c r="E301" s="0" t="s">
        <v>7266</v>
      </c>
      <c r="G301" s="0" t="s">
        <v>7267</v>
      </c>
    </row>
    <row r="302" customFormat="false" ht="15" hidden="false" customHeight="false" outlineLevel="0" collapsed="false">
      <c r="A302" s="0" t="s">
        <v>178</v>
      </c>
      <c r="B302" s="0" t="n">
        <v>2020</v>
      </c>
      <c r="C302" s="0" t="s">
        <v>73</v>
      </c>
      <c r="D302" s="0" t="n">
        <v>0</v>
      </c>
      <c r="E302" s="0" t="s">
        <v>7266</v>
      </c>
      <c r="G302" s="0" t="s">
        <v>7267</v>
      </c>
    </row>
    <row r="303" customFormat="false" ht="15" hidden="false" customHeight="false" outlineLevel="0" collapsed="false">
      <c r="A303" s="0" t="s">
        <v>178</v>
      </c>
      <c r="B303" s="0" t="n">
        <v>2020</v>
      </c>
      <c r="C303" s="0" t="s">
        <v>1804</v>
      </c>
      <c r="D303" s="0" t="s">
        <v>1860</v>
      </c>
      <c r="E303" s="0" t="s">
        <v>7266</v>
      </c>
      <c r="G303" s="0" t="s">
        <v>7267</v>
      </c>
    </row>
    <row r="304" customFormat="false" ht="15" hidden="false" customHeight="false" outlineLevel="0" collapsed="false">
      <c r="A304" s="0" t="s">
        <v>178</v>
      </c>
      <c r="B304" s="0" t="n">
        <v>2021</v>
      </c>
      <c r="C304" s="0" t="s">
        <v>54</v>
      </c>
      <c r="D304" s="0" t="n">
        <v>58669</v>
      </c>
      <c r="E304" s="0" t="s">
        <v>7266</v>
      </c>
      <c r="G304" s="0" t="s">
        <v>7267</v>
      </c>
    </row>
    <row r="305" customFormat="false" ht="15" hidden="false" customHeight="false" outlineLevel="0" collapsed="false">
      <c r="A305" s="0" t="s">
        <v>178</v>
      </c>
      <c r="B305" s="0" t="n">
        <v>2021</v>
      </c>
      <c r="C305" s="0" t="s">
        <v>1327</v>
      </c>
      <c r="D305" s="0" t="n">
        <v>381493</v>
      </c>
      <c r="E305" s="0" t="s">
        <v>7266</v>
      </c>
      <c r="G305" s="0" t="s">
        <v>7267</v>
      </c>
    </row>
    <row r="306" customFormat="false" ht="15" hidden="false" customHeight="false" outlineLevel="0" collapsed="false">
      <c r="A306" s="0" t="s">
        <v>178</v>
      </c>
      <c r="B306" s="0" t="n">
        <v>2021</v>
      </c>
      <c r="C306" s="0" t="s">
        <v>55</v>
      </c>
      <c r="D306" s="0" t="n">
        <v>5574976</v>
      </c>
      <c r="E306" s="0" t="s">
        <v>7266</v>
      </c>
      <c r="G306" s="0" t="s">
        <v>7267</v>
      </c>
    </row>
    <row r="307" customFormat="false" ht="15" hidden="false" customHeight="false" outlineLevel="0" collapsed="false">
      <c r="A307" s="0" t="s">
        <v>178</v>
      </c>
      <c r="B307" s="0" t="n">
        <v>2021</v>
      </c>
      <c r="C307" s="0" t="s">
        <v>60</v>
      </c>
      <c r="D307" s="0" t="n">
        <v>1913403</v>
      </c>
      <c r="E307" s="0" t="s">
        <v>7266</v>
      </c>
      <c r="G307" s="0" t="s">
        <v>7267</v>
      </c>
    </row>
    <row r="308" customFormat="false" ht="15" hidden="false" customHeight="false" outlineLevel="0" collapsed="false">
      <c r="A308" s="0" t="s">
        <v>178</v>
      </c>
      <c r="B308" s="0" t="n">
        <v>2021</v>
      </c>
      <c r="C308" s="0" t="s">
        <v>61</v>
      </c>
      <c r="D308" s="0" t="n">
        <v>65301</v>
      </c>
      <c r="E308" s="0" t="s">
        <v>7266</v>
      </c>
      <c r="G308" s="0" t="s">
        <v>7267</v>
      </c>
    </row>
    <row r="309" customFormat="false" ht="15" hidden="false" customHeight="false" outlineLevel="0" collapsed="false">
      <c r="A309" s="0" t="s">
        <v>178</v>
      </c>
      <c r="B309" s="0" t="n">
        <v>2021</v>
      </c>
      <c r="C309" s="0" t="s">
        <v>63</v>
      </c>
      <c r="D309" s="0" t="n">
        <v>9749</v>
      </c>
      <c r="E309" s="0" t="s">
        <v>7266</v>
      </c>
      <c r="G309" s="0" t="s">
        <v>7267</v>
      </c>
    </row>
    <row r="310" customFormat="false" ht="15" hidden="false" customHeight="false" outlineLevel="0" collapsed="false">
      <c r="A310" s="0" t="s">
        <v>178</v>
      </c>
      <c r="B310" s="0" t="n">
        <v>2021</v>
      </c>
      <c r="C310" s="0" t="s">
        <v>327</v>
      </c>
      <c r="D310" s="0" t="n">
        <v>3.2</v>
      </c>
      <c r="E310" s="0" t="s">
        <v>7266</v>
      </c>
      <c r="G310" s="0" t="s">
        <v>7267</v>
      </c>
    </row>
    <row r="311" customFormat="false" ht="15" hidden="false" customHeight="false" outlineLevel="0" collapsed="false">
      <c r="A311" s="0" t="s">
        <v>178</v>
      </c>
      <c r="B311" s="0" t="n">
        <v>2021</v>
      </c>
      <c r="C311" s="0" t="s">
        <v>69</v>
      </c>
      <c r="D311" s="0" t="n">
        <v>21.8</v>
      </c>
      <c r="E311" s="0" t="s">
        <v>7266</v>
      </c>
      <c r="G311" s="0" t="s">
        <v>7267</v>
      </c>
    </row>
    <row r="312" customFormat="false" ht="15" hidden="false" customHeight="false" outlineLevel="0" collapsed="false">
      <c r="A312" s="0" t="s">
        <v>178</v>
      </c>
      <c r="B312" s="0" t="n">
        <v>2021</v>
      </c>
      <c r="C312" s="0" t="s">
        <v>73</v>
      </c>
      <c r="D312" s="0" t="n">
        <v>0</v>
      </c>
      <c r="E312" s="0" t="s">
        <v>7266</v>
      </c>
      <c r="G312" s="0" t="s">
        <v>7267</v>
      </c>
    </row>
    <row r="313" customFormat="false" ht="15" hidden="false" customHeight="false" outlineLevel="0" collapsed="false">
      <c r="A313" s="0" t="s">
        <v>178</v>
      </c>
      <c r="B313" s="0" t="n">
        <v>2021</v>
      </c>
      <c r="C313" s="0" t="s">
        <v>1804</v>
      </c>
      <c r="D313" s="0" t="s">
        <v>1860</v>
      </c>
      <c r="E313" s="0" t="s">
        <v>7266</v>
      </c>
      <c r="G313" s="0" t="s">
        <v>7267</v>
      </c>
    </row>
    <row r="314" customFormat="false" ht="15" hidden="false" customHeight="false" outlineLevel="0" collapsed="false">
      <c r="A314" s="0" t="s">
        <v>178</v>
      </c>
      <c r="B314" s="0" t="n">
        <v>2022</v>
      </c>
      <c r="C314" s="0" t="s">
        <v>54</v>
      </c>
      <c r="D314" s="0" t="n">
        <v>133696</v>
      </c>
      <c r="E314" s="0" t="s">
        <v>7266</v>
      </c>
      <c r="G314" s="0" t="s">
        <v>7267</v>
      </c>
    </row>
    <row r="315" customFormat="false" ht="15" hidden="false" customHeight="false" outlineLevel="0" collapsed="false">
      <c r="A315" s="0" t="s">
        <v>178</v>
      </c>
      <c r="B315" s="0" t="n">
        <v>2022</v>
      </c>
      <c r="C315" s="0" t="s">
        <v>1327</v>
      </c>
      <c r="D315" s="0" t="n">
        <v>564555</v>
      </c>
      <c r="E315" s="0" t="s">
        <v>7266</v>
      </c>
      <c r="G315" s="0" t="s">
        <v>7267</v>
      </c>
    </row>
    <row r="316" customFormat="false" ht="15" hidden="false" customHeight="false" outlineLevel="0" collapsed="false">
      <c r="A316" s="0" t="s">
        <v>178</v>
      </c>
      <c r="B316" s="0" t="n">
        <v>2022</v>
      </c>
      <c r="C316" s="0" t="s">
        <v>55</v>
      </c>
      <c r="D316" s="0" t="n">
        <v>7361044</v>
      </c>
      <c r="E316" s="0" t="s">
        <v>7266</v>
      </c>
      <c r="G316" s="0" t="s">
        <v>7267</v>
      </c>
    </row>
    <row r="317" customFormat="false" ht="15" hidden="false" customHeight="false" outlineLevel="0" collapsed="false">
      <c r="A317" s="0" t="s">
        <v>178</v>
      </c>
      <c r="B317" s="0" t="n">
        <v>2022</v>
      </c>
      <c r="C317" s="0" t="s">
        <v>60</v>
      </c>
      <c r="D317" s="0" t="n">
        <v>2174779</v>
      </c>
      <c r="E317" s="0" t="s">
        <v>7266</v>
      </c>
      <c r="G317" s="0" t="s">
        <v>7267</v>
      </c>
    </row>
    <row r="318" customFormat="false" ht="15" hidden="false" customHeight="false" outlineLevel="0" collapsed="false">
      <c r="A318" s="0" t="s">
        <v>178</v>
      </c>
      <c r="B318" s="0" t="n">
        <v>2022</v>
      </c>
      <c r="C318" s="0" t="s">
        <v>61</v>
      </c>
      <c r="D318" s="0" t="n">
        <v>51682</v>
      </c>
      <c r="E318" s="0" t="s">
        <v>7266</v>
      </c>
      <c r="G318" s="0" t="s">
        <v>7267</v>
      </c>
    </row>
    <row r="319" customFormat="false" ht="15" hidden="false" customHeight="false" outlineLevel="0" collapsed="false">
      <c r="A319" s="0" t="s">
        <v>178</v>
      </c>
      <c r="B319" s="0" t="n">
        <v>2022</v>
      </c>
      <c r="C319" s="0" t="s">
        <v>63</v>
      </c>
      <c r="D319" s="0" t="n">
        <v>10565</v>
      </c>
      <c r="E319" s="0" t="s">
        <v>7266</v>
      </c>
      <c r="G319" s="0" t="s">
        <v>7267</v>
      </c>
    </row>
    <row r="320" customFormat="false" ht="15" hidden="false" customHeight="false" outlineLevel="0" collapsed="false">
      <c r="A320" s="0" t="s">
        <v>178</v>
      </c>
      <c r="B320" s="0" t="n">
        <v>2022</v>
      </c>
      <c r="C320" s="0" t="s">
        <v>327</v>
      </c>
      <c r="D320" s="0" t="n">
        <v>3.1</v>
      </c>
      <c r="E320" s="0" t="s">
        <v>7266</v>
      </c>
      <c r="G320" s="0" t="s">
        <v>7267</v>
      </c>
    </row>
    <row r="321" customFormat="false" ht="15" hidden="false" customHeight="false" outlineLevel="0" collapsed="false">
      <c r="A321" s="0" t="s">
        <v>178</v>
      </c>
      <c r="B321" s="0" t="n">
        <v>2022</v>
      </c>
      <c r="C321" s="0" t="s">
        <v>69</v>
      </c>
      <c r="D321" s="0" t="n">
        <v>21.9</v>
      </c>
      <c r="E321" s="0" t="s">
        <v>7266</v>
      </c>
      <c r="G321" s="0" t="s">
        <v>7267</v>
      </c>
    </row>
    <row r="322" customFormat="false" ht="15" hidden="false" customHeight="false" outlineLevel="0" collapsed="false">
      <c r="A322" s="0" t="s">
        <v>178</v>
      </c>
      <c r="B322" s="0" t="n">
        <v>2022</v>
      </c>
      <c r="C322" s="0" t="s">
        <v>73</v>
      </c>
      <c r="D322" s="0" t="n">
        <v>0</v>
      </c>
      <c r="E322" s="0" t="s">
        <v>7266</v>
      </c>
      <c r="G322" s="0" t="s">
        <v>7267</v>
      </c>
    </row>
    <row r="323" customFormat="false" ht="15" hidden="false" customHeight="false" outlineLevel="0" collapsed="false">
      <c r="A323" s="0" t="s">
        <v>178</v>
      </c>
      <c r="B323" s="0" t="n">
        <v>2022</v>
      </c>
      <c r="C323" s="0" t="s">
        <v>1804</v>
      </c>
      <c r="D323" s="0" t="s">
        <v>1860</v>
      </c>
      <c r="E323" s="0" t="s">
        <v>7266</v>
      </c>
      <c r="G323" s="0" t="s">
        <v>7267</v>
      </c>
    </row>
    <row r="324" customFormat="false" ht="15" hidden="false" customHeight="false" outlineLevel="0" collapsed="false">
      <c r="A324" s="0" t="s">
        <v>136</v>
      </c>
      <c r="B324" s="0" t="n">
        <v>2015</v>
      </c>
      <c r="C324" s="0" t="s">
        <v>54</v>
      </c>
      <c r="D324" s="0" t="n">
        <v>94308</v>
      </c>
      <c r="E324" s="0" t="s">
        <v>7266</v>
      </c>
      <c r="G324" s="0" t="s">
        <v>7267</v>
      </c>
    </row>
    <row r="325" customFormat="false" ht="15" hidden="false" customHeight="false" outlineLevel="0" collapsed="false">
      <c r="A325" s="0" t="s">
        <v>136</v>
      </c>
      <c r="B325" s="0" t="n">
        <v>2015</v>
      </c>
      <c r="C325" s="0" t="s">
        <v>1327</v>
      </c>
      <c r="D325" s="0" t="n">
        <v>268876</v>
      </c>
      <c r="E325" s="0" t="s">
        <v>7266</v>
      </c>
      <c r="G325" s="0" t="s">
        <v>7267</v>
      </c>
    </row>
    <row r="326" customFormat="false" ht="15" hidden="false" customHeight="false" outlineLevel="0" collapsed="false">
      <c r="A326" s="0" t="s">
        <v>136</v>
      </c>
      <c r="B326" s="0" t="n">
        <v>2015</v>
      </c>
      <c r="C326" s="0" t="s">
        <v>55</v>
      </c>
      <c r="D326" s="0" t="n">
        <v>2277629</v>
      </c>
      <c r="E326" s="0" t="s">
        <v>7266</v>
      </c>
      <c r="G326" s="0" t="s">
        <v>7267</v>
      </c>
    </row>
    <row r="327" customFormat="false" ht="15" hidden="false" customHeight="false" outlineLevel="0" collapsed="false">
      <c r="A327" s="0" t="s">
        <v>136</v>
      </c>
      <c r="B327" s="0" t="n">
        <v>2015</v>
      </c>
      <c r="C327" s="0" t="s">
        <v>60</v>
      </c>
      <c r="D327" s="0" t="n">
        <v>1265207</v>
      </c>
      <c r="E327" s="0" t="s">
        <v>7266</v>
      </c>
      <c r="G327" s="0" t="s">
        <v>7267</v>
      </c>
    </row>
    <row r="328" customFormat="false" ht="15" hidden="false" customHeight="false" outlineLevel="0" collapsed="false">
      <c r="A328" s="0" t="s">
        <v>136</v>
      </c>
      <c r="B328" s="0" t="n">
        <v>2015</v>
      </c>
      <c r="C328" s="0" t="s">
        <v>61</v>
      </c>
      <c r="D328" s="0" t="n">
        <v>26309</v>
      </c>
      <c r="E328" s="0" t="s">
        <v>7266</v>
      </c>
      <c r="G328" s="0" t="s">
        <v>7267</v>
      </c>
    </row>
    <row r="329" customFormat="false" ht="15" hidden="false" customHeight="false" outlineLevel="0" collapsed="false">
      <c r="A329" s="0" t="s">
        <v>136</v>
      </c>
      <c r="B329" s="0" t="n">
        <v>2015</v>
      </c>
      <c r="C329" s="0" t="s">
        <v>63</v>
      </c>
      <c r="D329" s="0" t="n">
        <v>11769</v>
      </c>
      <c r="E329" s="0" t="s">
        <v>7266</v>
      </c>
      <c r="G329" s="0" t="s">
        <v>7267</v>
      </c>
    </row>
    <row r="330" customFormat="false" ht="15" hidden="false" customHeight="false" outlineLevel="0" collapsed="false">
      <c r="A330" s="0" t="s">
        <v>136</v>
      </c>
      <c r="B330" s="0" t="n">
        <v>2015</v>
      </c>
      <c r="C330" s="0" t="s">
        <v>327</v>
      </c>
      <c r="D330" s="0" t="n">
        <v>15.72</v>
      </c>
      <c r="E330" s="0" t="s">
        <v>7266</v>
      </c>
      <c r="G330" s="0" t="s">
        <v>7267</v>
      </c>
    </row>
    <row r="331" customFormat="false" ht="15" hidden="false" customHeight="false" outlineLevel="0" collapsed="false">
      <c r="A331" s="0" t="s">
        <v>136</v>
      </c>
      <c r="B331" s="0" t="n">
        <v>2015</v>
      </c>
      <c r="C331" s="0" t="s">
        <v>69</v>
      </c>
      <c r="D331" s="0" t="n">
        <v>18.17</v>
      </c>
      <c r="E331" s="0" t="s">
        <v>7266</v>
      </c>
      <c r="G331" s="0" t="s">
        <v>7267</v>
      </c>
    </row>
    <row r="332" customFormat="false" ht="15" hidden="false" customHeight="false" outlineLevel="0" collapsed="false">
      <c r="A332" s="0" t="s">
        <v>136</v>
      </c>
      <c r="B332" s="0" t="n">
        <v>2015</v>
      </c>
      <c r="C332" s="0" t="s">
        <v>73</v>
      </c>
      <c r="D332" s="0" t="n">
        <v>0</v>
      </c>
      <c r="E332" s="0" t="s">
        <v>7266</v>
      </c>
      <c r="G332" s="0" t="s">
        <v>7267</v>
      </c>
    </row>
    <row r="333" customFormat="false" ht="15" hidden="false" customHeight="false" outlineLevel="0" collapsed="false">
      <c r="A333" s="0" t="s">
        <v>136</v>
      </c>
      <c r="B333" s="0" t="n">
        <v>2015</v>
      </c>
      <c r="C333" s="0" t="s">
        <v>1804</v>
      </c>
      <c r="D333" s="0" t="s">
        <v>7268</v>
      </c>
      <c r="E333" s="0" t="s">
        <v>7266</v>
      </c>
      <c r="G333" s="0" t="s">
        <v>7267</v>
      </c>
    </row>
    <row r="334" customFormat="false" ht="15" hidden="false" customHeight="false" outlineLevel="0" collapsed="false">
      <c r="A334" s="0" t="s">
        <v>136</v>
      </c>
      <c r="B334" s="0" t="n">
        <v>2016</v>
      </c>
      <c r="C334" s="0" t="s">
        <v>54</v>
      </c>
      <c r="D334" s="0" t="n">
        <v>126837</v>
      </c>
      <c r="E334" s="0" t="s">
        <v>7266</v>
      </c>
      <c r="G334" s="0" t="s">
        <v>7267</v>
      </c>
    </row>
    <row r="335" customFormat="false" ht="15" hidden="false" customHeight="false" outlineLevel="0" collapsed="false">
      <c r="A335" s="0" t="s">
        <v>136</v>
      </c>
      <c r="B335" s="0" t="n">
        <v>2016</v>
      </c>
      <c r="C335" s="0" t="s">
        <v>1327</v>
      </c>
      <c r="D335" s="0" t="n">
        <v>365917</v>
      </c>
      <c r="E335" s="0" t="s">
        <v>7266</v>
      </c>
      <c r="G335" s="0" t="s">
        <v>7267</v>
      </c>
    </row>
    <row r="336" customFormat="false" ht="15" hidden="false" customHeight="false" outlineLevel="0" collapsed="false">
      <c r="A336" s="0" t="s">
        <v>136</v>
      </c>
      <c r="B336" s="0" t="n">
        <v>2016</v>
      </c>
      <c r="C336" s="0" t="s">
        <v>55</v>
      </c>
      <c r="D336" s="0" t="n">
        <v>2613340</v>
      </c>
      <c r="E336" s="0" t="s">
        <v>7266</v>
      </c>
      <c r="G336" s="0" t="s">
        <v>7267</v>
      </c>
    </row>
    <row r="337" customFormat="false" ht="15" hidden="false" customHeight="false" outlineLevel="0" collapsed="false">
      <c r="A337" s="0" t="s">
        <v>136</v>
      </c>
      <c r="B337" s="0" t="n">
        <v>2016</v>
      </c>
      <c r="C337" s="0" t="s">
        <v>60</v>
      </c>
      <c r="D337" s="0" t="n">
        <v>1417218</v>
      </c>
      <c r="E337" s="0" t="s">
        <v>7266</v>
      </c>
      <c r="G337" s="0" t="s">
        <v>7267</v>
      </c>
    </row>
    <row r="338" customFormat="false" ht="15" hidden="false" customHeight="false" outlineLevel="0" collapsed="false">
      <c r="A338" s="0" t="s">
        <v>136</v>
      </c>
      <c r="B338" s="0" t="n">
        <v>2016</v>
      </c>
      <c r="C338" s="0" t="s">
        <v>61</v>
      </c>
      <c r="D338" s="0" t="n">
        <v>71819</v>
      </c>
      <c r="E338" s="0" t="s">
        <v>7266</v>
      </c>
      <c r="G338" s="0" t="s">
        <v>7267</v>
      </c>
    </row>
    <row r="339" customFormat="false" ht="15" hidden="false" customHeight="false" outlineLevel="0" collapsed="false">
      <c r="A339" s="0" t="s">
        <v>136</v>
      </c>
      <c r="B339" s="0" t="n">
        <v>2016</v>
      </c>
      <c r="C339" s="0" t="s">
        <v>63</v>
      </c>
      <c r="D339" s="0" t="n">
        <v>63543</v>
      </c>
      <c r="E339" s="0" t="s">
        <v>7266</v>
      </c>
      <c r="G339" s="0" t="s">
        <v>7267</v>
      </c>
    </row>
    <row r="340" customFormat="false" ht="15" hidden="false" customHeight="false" outlineLevel="0" collapsed="false">
      <c r="A340" s="0" t="s">
        <v>136</v>
      </c>
      <c r="B340" s="0" t="n">
        <v>2016</v>
      </c>
      <c r="C340" s="0" t="s">
        <v>327</v>
      </c>
      <c r="D340" s="0" t="n">
        <v>3.4</v>
      </c>
      <c r="E340" s="0" t="s">
        <v>7266</v>
      </c>
      <c r="G340" s="0" t="s">
        <v>7267</v>
      </c>
    </row>
    <row r="341" customFormat="false" ht="15" hidden="false" customHeight="false" outlineLevel="0" collapsed="false">
      <c r="A341" s="0" t="s">
        <v>136</v>
      </c>
      <c r="B341" s="0" t="n">
        <v>2016</v>
      </c>
      <c r="C341" s="0" t="s">
        <v>69</v>
      </c>
      <c r="D341" s="0" t="n">
        <v>19.79</v>
      </c>
      <c r="E341" s="0" t="s">
        <v>7266</v>
      </c>
      <c r="G341" s="0" t="s">
        <v>7267</v>
      </c>
    </row>
    <row r="342" customFormat="false" ht="15" hidden="false" customHeight="false" outlineLevel="0" collapsed="false">
      <c r="A342" s="0" t="s">
        <v>136</v>
      </c>
      <c r="B342" s="0" t="n">
        <v>2016</v>
      </c>
      <c r="C342" s="0" t="s">
        <v>73</v>
      </c>
      <c r="D342" s="0" t="n">
        <v>0</v>
      </c>
      <c r="E342" s="0" t="s">
        <v>7266</v>
      </c>
      <c r="G342" s="0" t="s">
        <v>7267</v>
      </c>
    </row>
    <row r="343" customFormat="false" ht="15" hidden="false" customHeight="false" outlineLevel="0" collapsed="false">
      <c r="A343" s="0" t="s">
        <v>136</v>
      </c>
      <c r="B343" s="0" t="n">
        <v>2016</v>
      </c>
      <c r="C343" s="0" t="s">
        <v>1804</v>
      </c>
      <c r="D343" s="0" t="s">
        <v>7268</v>
      </c>
      <c r="E343" s="0" t="s">
        <v>7266</v>
      </c>
      <c r="G343" s="0" t="s">
        <v>7267</v>
      </c>
    </row>
    <row r="344" customFormat="false" ht="15" hidden="false" customHeight="false" outlineLevel="0" collapsed="false">
      <c r="A344" s="0" t="s">
        <v>136</v>
      </c>
      <c r="B344" s="0" t="n">
        <v>2017</v>
      </c>
      <c r="C344" s="0" t="s">
        <v>54</v>
      </c>
      <c r="D344" s="0" t="n">
        <v>161285</v>
      </c>
      <c r="E344" s="0" t="s">
        <v>7266</v>
      </c>
      <c r="G344" s="0" t="s">
        <v>7267</v>
      </c>
    </row>
    <row r="345" customFormat="false" ht="15" hidden="false" customHeight="false" outlineLevel="0" collapsed="false">
      <c r="A345" s="0" t="s">
        <v>136</v>
      </c>
      <c r="B345" s="0" t="n">
        <v>2017</v>
      </c>
      <c r="C345" s="0" t="s">
        <v>1327</v>
      </c>
      <c r="D345" s="0" t="n">
        <v>360237</v>
      </c>
      <c r="E345" s="0" t="s">
        <v>7266</v>
      </c>
      <c r="G345" s="0" t="s">
        <v>7267</v>
      </c>
    </row>
    <row r="346" customFormat="false" ht="15" hidden="false" customHeight="false" outlineLevel="0" collapsed="false">
      <c r="A346" s="0" t="s">
        <v>136</v>
      </c>
      <c r="B346" s="0" t="n">
        <v>2017</v>
      </c>
      <c r="C346" s="0" t="s">
        <v>55</v>
      </c>
      <c r="D346" s="0" t="n">
        <v>2824929</v>
      </c>
      <c r="E346" s="0" t="s">
        <v>7266</v>
      </c>
      <c r="G346" s="0" t="s">
        <v>7267</v>
      </c>
    </row>
    <row r="347" customFormat="false" ht="15" hidden="false" customHeight="false" outlineLevel="0" collapsed="false">
      <c r="A347" s="0" t="s">
        <v>136</v>
      </c>
      <c r="B347" s="0" t="n">
        <v>2017</v>
      </c>
      <c r="C347" s="0" t="s">
        <v>60</v>
      </c>
      <c r="D347" s="0" t="n">
        <v>1163273</v>
      </c>
      <c r="E347" s="0" t="s">
        <v>7266</v>
      </c>
      <c r="G347" s="0" t="s">
        <v>7267</v>
      </c>
    </row>
    <row r="348" customFormat="false" ht="15" hidden="false" customHeight="false" outlineLevel="0" collapsed="false">
      <c r="A348" s="0" t="s">
        <v>136</v>
      </c>
      <c r="B348" s="0" t="n">
        <v>2017</v>
      </c>
      <c r="C348" s="0" t="s">
        <v>61</v>
      </c>
      <c r="D348" s="0" t="n">
        <v>57658</v>
      </c>
      <c r="E348" s="0" t="s">
        <v>7266</v>
      </c>
      <c r="G348" s="0" t="s">
        <v>7267</v>
      </c>
    </row>
    <row r="349" customFormat="false" ht="15" hidden="false" customHeight="false" outlineLevel="0" collapsed="false">
      <c r="A349" s="0" t="s">
        <v>136</v>
      </c>
      <c r="B349" s="0" t="n">
        <v>2017</v>
      </c>
      <c r="C349" s="0" t="s">
        <v>63</v>
      </c>
      <c r="D349" s="0" t="n">
        <v>10835</v>
      </c>
      <c r="E349" s="0" t="s">
        <v>7266</v>
      </c>
      <c r="G349" s="0" t="s">
        <v>7267</v>
      </c>
    </row>
    <row r="350" customFormat="false" ht="15" hidden="false" customHeight="false" outlineLevel="0" collapsed="false">
      <c r="A350" s="0" t="s">
        <v>136</v>
      </c>
      <c r="B350" s="0" t="n">
        <v>2017</v>
      </c>
      <c r="C350" s="0" t="s">
        <v>327</v>
      </c>
      <c r="D350" s="0" t="n">
        <v>8.83</v>
      </c>
      <c r="E350" s="0" t="s">
        <v>7266</v>
      </c>
      <c r="G350" s="0" t="s">
        <v>7267</v>
      </c>
    </row>
    <row r="351" customFormat="false" ht="15" hidden="false" customHeight="false" outlineLevel="0" collapsed="false">
      <c r="A351" s="0" t="s">
        <v>136</v>
      </c>
      <c r="B351" s="0" t="n">
        <v>2017</v>
      </c>
      <c r="C351" s="0" t="s">
        <v>69</v>
      </c>
      <c r="D351" s="0" t="n">
        <v>25.5</v>
      </c>
      <c r="E351" s="0" t="s">
        <v>7266</v>
      </c>
      <c r="G351" s="0" t="s">
        <v>7267</v>
      </c>
    </row>
    <row r="352" customFormat="false" ht="15" hidden="false" customHeight="false" outlineLevel="0" collapsed="false">
      <c r="A352" s="0" t="s">
        <v>136</v>
      </c>
      <c r="B352" s="0" t="n">
        <v>2017</v>
      </c>
      <c r="C352" s="0" t="s">
        <v>73</v>
      </c>
      <c r="D352" s="0" t="n">
        <v>0</v>
      </c>
      <c r="E352" s="0" t="s">
        <v>7266</v>
      </c>
      <c r="G352" s="0" t="s">
        <v>7267</v>
      </c>
    </row>
    <row r="353" customFormat="false" ht="15" hidden="false" customHeight="false" outlineLevel="0" collapsed="false">
      <c r="A353" s="0" t="s">
        <v>136</v>
      </c>
      <c r="B353" s="0" t="n">
        <v>2017</v>
      </c>
      <c r="C353" s="0" t="s">
        <v>1804</v>
      </c>
      <c r="D353" s="0" t="s">
        <v>7268</v>
      </c>
      <c r="E353" s="0" t="s">
        <v>7266</v>
      </c>
      <c r="G353" s="0" t="s">
        <v>7267</v>
      </c>
    </row>
    <row r="354" customFormat="false" ht="15" hidden="false" customHeight="false" outlineLevel="0" collapsed="false">
      <c r="A354" s="0" t="s">
        <v>136</v>
      </c>
      <c r="B354" s="0" t="n">
        <v>2018</v>
      </c>
      <c r="C354" s="0" t="s">
        <v>54</v>
      </c>
      <c r="D354" s="0" t="n">
        <v>166753</v>
      </c>
      <c r="E354" s="0" t="s">
        <v>7266</v>
      </c>
      <c r="G354" s="0" t="s">
        <v>7267</v>
      </c>
    </row>
    <row r="355" customFormat="false" ht="15" hidden="false" customHeight="false" outlineLevel="0" collapsed="false">
      <c r="A355" s="0" t="s">
        <v>136</v>
      </c>
      <c r="B355" s="0" t="n">
        <v>2018</v>
      </c>
      <c r="C355" s="0" t="s">
        <v>1327</v>
      </c>
      <c r="D355" s="0" t="n">
        <v>356380</v>
      </c>
      <c r="E355" s="0" t="s">
        <v>7266</v>
      </c>
      <c r="G355" s="0" t="s">
        <v>7267</v>
      </c>
    </row>
    <row r="356" customFormat="false" ht="15" hidden="false" customHeight="false" outlineLevel="0" collapsed="false">
      <c r="A356" s="0" t="s">
        <v>136</v>
      </c>
      <c r="B356" s="0" t="n">
        <v>2018</v>
      </c>
      <c r="C356" s="0" t="s">
        <v>55</v>
      </c>
      <c r="D356" s="0" t="n">
        <v>2712521</v>
      </c>
      <c r="E356" s="0" t="s">
        <v>7266</v>
      </c>
      <c r="G356" s="0" t="s">
        <v>7267</v>
      </c>
    </row>
    <row r="357" customFormat="false" ht="15" hidden="false" customHeight="false" outlineLevel="0" collapsed="false">
      <c r="A357" s="0" t="s">
        <v>136</v>
      </c>
      <c r="B357" s="0" t="n">
        <v>2018</v>
      </c>
      <c r="C357" s="0" t="s">
        <v>60</v>
      </c>
      <c r="D357" s="0" t="n">
        <v>1159030</v>
      </c>
      <c r="E357" s="0" t="s">
        <v>7266</v>
      </c>
      <c r="G357" s="0" t="s">
        <v>7267</v>
      </c>
    </row>
    <row r="358" customFormat="false" ht="15" hidden="false" customHeight="false" outlineLevel="0" collapsed="false">
      <c r="A358" s="0" t="s">
        <v>136</v>
      </c>
      <c r="B358" s="0" t="n">
        <v>2018</v>
      </c>
      <c r="C358" s="0" t="s">
        <v>61</v>
      </c>
      <c r="D358" s="0" t="n">
        <v>90984</v>
      </c>
      <c r="E358" s="0" t="s">
        <v>7266</v>
      </c>
      <c r="G358" s="0" t="s">
        <v>7267</v>
      </c>
    </row>
    <row r="359" customFormat="false" ht="15" hidden="false" customHeight="false" outlineLevel="0" collapsed="false">
      <c r="A359" s="0" t="s">
        <v>136</v>
      </c>
      <c r="B359" s="0" t="n">
        <v>2018</v>
      </c>
      <c r="C359" s="0" t="s">
        <v>63</v>
      </c>
      <c r="D359" s="0" t="n">
        <v>1504</v>
      </c>
      <c r="E359" s="0" t="s">
        <v>7266</v>
      </c>
      <c r="G359" s="0" t="s">
        <v>7267</v>
      </c>
    </row>
    <row r="360" customFormat="false" ht="15" hidden="false" customHeight="false" outlineLevel="0" collapsed="false">
      <c r="A360" s="0" t="s">
        <v>136</v>
      </c>
      <c r="B360" s="0" t="n">
        <v>2018</v>
      </c>
      <c r="C360" s="0" t="s">
        <v>327</v>
      </c>
      <c r="D360" s="0" t="n">
        <v>7.3</v>
      </c>
      <c r="E360" s="0" t="s">
        <v>7266</v>
      </c>
      <c r="G360" s="0" t="s">
        <v>7267</v>
      </c>
    </row>
    <row r="361" customFormat="false" ht="15" hidden="false" customHeight="false" outlineLevel="0" collapsed="false">
      <c r="A361" s="0" t="s">
        <v>136</v>
      </c>
      <c r="B361" s="0" t="n">
        <v>2018</v>
      </c>
      <c r="C361" s="0" t="s">
        <v>69</v>
      </c>
      <c r="D361" s="0" t="n">
        <v>20.93</v>
      </c>
      <c r="E361" s="0" t="s">
        <v>7266</v>
      </c>
      <c r="G361" s="0" t="s">
        <v>7267</v>
      </c>
    </row>
    <row r="362" customFormat="false" ht="15" hidden="false" customHeight="false" outlineLevel="0" collapsed="false">
      <c r="A362" s="0" t="s">
        <v>136</v>
      </c>
      <c r="B362" s="0" t="n">
        <v>2018</v>
      </c>
      <c r="C362" s="0" t="s">
        <v>73</v>
      </c>
      <c r="D362" s="0" t="n">
        <v>0</v>
      </c>
      <c r="E362" s="0" t="s">
        <v>7266</v>
      </c>
      <c r="G362" s="0" t="s">
        <v>7267</v>
      </c>
    </row>
    <row r="363" customFormat="false" ht="15" hidden="false" customHeight="false" outlineLevel="0" collapsed="false">
      <c r="A363" s="0" t="s">
        <v>136</v>
      </c>
      <c r="B363" s="0" t="n">
        <v>2018</v>
      </c>
      <c r="C363" s="0" t="s">
        <v>1804</v>
      </c>
      <c r="D363" s="0" t="s">
        <v>7268</v>
      </c>
      <c r="E363" s="0" t="s">
        <v>7266</v>
      </c>
      <c r="G363" s="0" t="s">
        <v>7267</v>
      </c>
    </row>
    <row r="364" customFormat="false" ht="15" hidden="false" customHeight="false" outlineLevel="0" collapsed="false">
      <c r="A364" s="0" t="s">
        <v>136</v>
      </c>
      <c r="B364" s="0" t="n">
        <v>2019</v>
      </c>
      <c r="C364" s="0" t="s">
        <v>54</v>
      </c>
      <c r="D364" s="0" t="n">
        <v>175125</v>
      </c>
      <c r="E364" s="0" t="s">
        <v>7266</v>
      </c>
      <c r="G364" s="0" t="s">
        <v>7267</v>
      </c>
    </row>
    <row r="365" customFormat="false" ht="15" hidden="false" customHeight="false" outlineLevel="0" collapsed="false">
      <c r="A365" s="0" t="s">
        <v>136</v>
      </c>
      <c r="B365" s="0" t="n">
        <v>2019</v>
      </c>
      <c r="C365" s="0" t="s">
        <v>1327</v>
      </c>
      <c r="D365" s="0" t="n">
        <v>350927</v>
      </c>
      <c r="E365" s="0" t="s">
        <v>7266</v>
      </c>
      <c r="G365" s="0" t="s">
        <v>7267</v>
      </c>
    </row>
    <row r="366" customFormat="false" ht="15" hidden="false" customHeight="false" outlineLevel="0" collapsed="false">
      <c r="A366" s="0" t="s">
        <v>136</v>
      </c>
      <c r="B366" s="0" t="n">
        <v>2019</v>
      </c>
      <c r="C366" s="0" t="s">
        <v>55</v>
      </c>
      <c r="D366" s="0" t="n">
        <v>3097248</v>
      </c>
      <c r="E366" s="0" t="s">
        <v>7266</v>
      </c>
      <c r="G366" s="0" t="s">
        <v>7267</v>
      </c>
    </row>
    <row r="367" customFormat="false" ht="15" hidden="false" customHeight="false" outlineLevel="0" collapsed="false">
      <c r="A367" s="0" t="s">
        <v>136</v>
      </c>
      <c r="B367" s="0" t="n">
        <v>2019</v>
      </c>
      <c r="C367" s="0" t="s">
        <v>60</v>
      </c>
      <c r="D367" s="0" t="n">
        <v>1357147</v>
      </c>
      <c r="E367" s="0" t="s">
        <v>7266</v>
      </c>
      <c r="G367" s="0" t="s">
        <v>7267</v>
      </c>
    </row>
    <row r="368" customFormat="false" ht="15" hidden="false" customHeight="false" outlineLevel="0" collapsed="false">
      <c r="A368" s="0" t="s">
        <v>136</v>
      </c>
      <c r="B368" s="0" t="n">
        <v>2019</v>
      </c>
      <c r="C368" s="0" t="s">
        <v>61</v>
      </c>
      <c r="D368" s="0" t="n">
        <v>56254</v>
      </c>
      <c r="E368" s="0" t="s">
        <v>7266</v>
      </c>
      <c r="G368" s="0" t="s">
        <v>7267</v>
      </c>
    </row>
    <row r="369" customFormat="false" ht="15" hidden="false" customHeight="false" outlineLevel="0" collapsed="false">
      <c r="A369" s="0" t="s">
        <v>136</v>
      </c>
      <c r="B369" s="0" t="n">
        <v>2019</v>
      </c>
      <c r="C369" s="0" t="s">
        <v>63</v>
      </c>
      <c r="D369" s="0" t="n">
        <v>2222</v>
      </c>
      <c r="E369" s="0" t="s">
        <v>7266</v>
      </c>
      <c r="G369" s="0" t="s">
        <v>7267</v>
      </c>
    </row>
    <row r="370" customFormat="false" ht="15" hidden="false" customHeight="false" outlineLevel="0" collapsed="false">
      <c r="A370" s="0" t="s">
        <v>136</v>
      </c>
      <c r="B370" s="0" t="n">
        <v>2019</v>
      </c>
      <c r="C370" s="0" t="s">
        <v>327</v>
      </c>
      <c r="D370" s="0" t="n">
        <v>6.5</v>
      </c>
      <c r="E370" s="0" t="s">
        <v>7266</v>
      </c>
      <c r="G370" s="0" t="s">
        <v>7267</v>
      </c>
    </row>
    <row r="371" customFormat="false" ht="15" hidden="false" customHeight="false" outlineLevel="0" collapsed="false">
      <c r="A371" s="0" t="s">
        <v>136</v>
      </c>
      <c r="B371" s="0" t="n">
        <v>2019</v>
      </c>
      <c r="C371" s="0" t="s">
        <v>69</v>
      </c>
      <c r="D371" s="0" t="n">
        <v>20.66</v>
      </c>
      <c r="E371" s="0" t="s">
        <v>7266</v>
      </c>
      <c r="G371" s="0" t="s">
        <v>7267</v>
      </c>
    </row>
    <row r="372" customFormat="false" ht="15" hidden="false" customHeight="false" outlineLevel="0" collapsed="false">
      <c r="A372" s="0" t="s">
        <v>136</v>
      </c>
      <c r="B372" s="0" t="n">
        <v>2019</v>
      </c>
      <c r="C372" s="0" t="s">
        <v>73</v>
      </c>
      <c r="D372" s="0" t="n">
        <v>0</v>
      </c>
      <c r="E372" s="0" t="s">
        <v>7266</v>
      </c>
      <c r="G372" s="0" t="s">
        <v>7267</v>
      </c>
    </row>
    <row r="373" customFormat="false" ht="15" hidden="false" customHeight="false" outlineLevel="0" collapsed="false">
      <c r="A373" s="0" t="s">
        <v>136</v>
      </c>
      <c r="B373" s="0" t="n">
        <v>2019</v>
      </c>
      <c r="C373" s="0" t="s">
        <v>1804</v>
      </c>
      <c r="D373" s="0" t="s">
        <v>7268</v>
      </c>
      <c r="E373" s="0" t="s">
        <v>7266</v>
      </c>
      <c r="G373" s="0" t="s">
        <v>7267</v>
      </c>
    </row>
    <row r="374" customFormat="false" ht="15" hidden="false" customHeight="false" outlineLevel="0" collapsed="false">
      <c r="A374" s="0" t="s">
        <v>136</v>
      </c>
      <c r="B374" s="0" t="n">
        <v>2020</v>
      </c>
      <c r="C374" s="0" t="s">
        <v>54</v>
      </c>
      <c r="D374" s="0" t="n">
        <v>178188</v>
      </c>
      <c r="E374" s="0" t="s">
        <v>7266</v>
      </c>
      <c r="G374" s="0" t="s">
        <v>7267</v>
      </c>
    </row>
    <row r="375" customFormat="false" ht="15" hidden="false" customHeight="false" outlineLevel="0" collapsed="false">
      <c r="A375" s="0" t="s">
        <v>136</v>
      </c>
      <c r="B375" s="0" t="n">
        <v>2020</v>
      </c>
      <c r="C375" s="0" t="s">
        <v>1327</v>
      </c>
      <c r="D375" s="0" t="n">
        <v>367058</v>
      </c>
      <c r="E375" s="0" t="s">
        <v>7266</v>
      </c>
      <c r="G375" s="0" t="s">
        <v>7267</v>
      </c>
    </row>
    <row r="376" customFormat="false" ht="15" hidden="false" customHeight="false" outlineLevel="0" collapsed="false">
      <c r="A376" s="0" t="s">
        <v>136</v>
      </c>
      <c r="B376" s="0" t="n">
        <v>2020</v>
      </c>
      <c r="C376" s="0" t="s">
        <v>55</v>
      </c>
      <c r="D376" s="0" t="n">
        <v>4061544</v>
      </c>
      <c r="E376" s="0" t="s">
        <v>7266</v>
      </c>
      <c r="G376" s="0" t="s">
        <v>7267</v>
      </c>
    </row>
    <row r="377" customFormat="false" ht="15" hidden="false" customHeight="false" outlineLevel="0" collapsed="false">
      <c r="A377" s="0" t="s">
        <v>136</v>
      </c>
      <c r="B377" s="0" t="n">
        <v>2020</v>
      </c>
      <c r="C377" s="0" t="s">
        <v>60</v>
      </c>
      <c r="D377" s="0" t="n">
        <v>1473566</v>
      </c>
      <c r="E377" s="0" t="s">
        <v>7266</v>
      </c>
      <c r="G377" s="0" t="s">
        <v>7267</v>
      </c>
    </row>
    <row r="378" customFormat="false" ht="15" hidden="false" customHeight="false" outlineLevel="0" collapsed="false">
      <c r="A378" s="0" t="s">
        <v>136</v>
      </c>
      <c r="B378" s="0" t="n">
        <v>2020</v>
      </c>
      <c r="C378" s="0" t="s">
        <v>61</v>
      </c>
      <c r="D378" s="0" t="n">
        <v>62948</v>
      </c>
      <c r="E378" s="0" t="s">
        <v>7266</v>
      </c>
      <c r="G378" s="0" t="s">
        <v>7267</v>
      </c>
    </row>
    <row r="379" customFormat="false" ht="15" hidden="false" customHeight="false" outlineLevel="0" collapsed="false">
      <c r="A379" s="0" t="s">
        <v>136</v>
      </c>
      <c r="B379" s="0" t="n">
        <v>2020</v>
      </c>
      <c r="C379" s="0" t="s">
        <v>63</v>
      </c>
      <c r="D379" s="0" t="n">
        <v>13667</v>
      </c>
      <c r="E379" s="0" t="s">
        <v>7266</v>
      </c>
      <c r="G379" s="0" t="s">
        <v>7267</v>
      </c>
    </row>
    <row r="380" customFormat="false" ht="15" hidden="false" customHeight="false" outlineLevel="0" collapsed="false">
      <c r="A380" s="0" t="s">
        <v>136</v>
      </c>
      <c r="B380" s="0" t="n">
        <v>2020</v>
      </c>
      <c r="C380" s="0" t="s">
        <v>327</v>
      </c>
      <c r="D380" s="0" t="n">
        <v>6.4</v>
      </c>
      <c r="E380" s="0" t="s">
        <v>7266</v>
      </c>
      <c r="G380" s="0" t="s">
        <v>7267</v>
      </c>
    </row>
    <row r="381" customFormat="false" ht="15" hidden="false" customHeight="false" outlineLevel="0" collapsed="false">
      <c r="A381" s="0" t="s">
        <v>136</v>
      </c>
      <c r="B381" s="0" t="n">
        <v>2020</v>
      </c>
      <c r="C381" s="0" t="s">
        <v>69</v>
      </c>
      <c r="D381" s="0" t="n">
        <v>19.55</v>
      </c>
      <c r="E381" s="0" t="s">
        <v>7266</v>
      </c>
      <c r="G381" s="0" t="s">
        <v>7267</v>
      </c>
    </row>
    <row r="382" customFormat="false" ht="15" hidden="false" customHeight="false" outlineLevel="0" collapsed="false">
      <c r="A382" s="0" t="s">
        <v>136</v>
      </c>
      <c r="B382" s="0" t="n">
        <v>2020</v>
      </c>
      <c r="C382" s="0" t="s">
        <v>73</v>
      </c>
      <c r="D382" s="0" t="n">
        <v>0</v>
      </c>
      <c r="E382" s="0" t="s">
        <v>7266</v>
      </c>
      <c r="G382" s="0" t="s">
        <v>7267</v>
      </c>
    </row>
    <row r="383" customFormat="false" ht="15" hidden="false" customHeight="false" outlineLevel="0" collapsed="false">
      <c r="A383" s="0" t="s">
        <v>136</v>
      </c>
      <c r="B383" s="0" t="n">
        <v>2020</v>
      </c>
      <c r="C383" s="0" t="s">
        <v>1804</v>
      </c>
      <c r="D383" s="0" t="s">
        <v>7268</v>
      </c>
      <c r="E383" s="0" t="s">
        <v>7266</v>
      </c>
      <c r="G383" s="0" t="s">
        <v>7267</v>
      </c>
    </row>
    <row r="384" customFormat="false" ht="15" hidden="false" customHeight="false" outlineLevel="0" collapsed="false">
      <c r="A384" s="0" t="s">
        <v>136</v>
      </c>
      <c r="B384" s="0" t="n">
        <v>2021</v>
      </c>
      <c r="C384" s="0" t="s">
        <v>54</v>
      </c>
      <c r="D384" s="0" t="n">
        <v>146184</v>
      </c>
      <c r="E384" s="0" t="s">
        <v>7266</v>
      </c>
      <c r="G384" s="0" t="s">
        <v>7267</v>
      </c>
    </row>
    <row r="385" customFormat="false" ht="15" hidden="false" customHeight="false" outlineLevel="0" collapsed="false">
      <c r="A385" s="0" t="s">
        <v>136</v>
      </c>
      <c r="B385" s="0" t="n">
        <v>2021</v>
      </c>
      <c r="C385" s="0" t="s">
        <v>1327</v>
      </c>
      <c r="D385" s="0" t="n">
        <v>303978</v>
      </c>
      <c r="E385" s="0" t="s">
        <v>7266</v>
      </c>
      <c r="G385" s="0" t="s">
        <v>7267</v>
      </c>
    </row>
    <row r="386" customFormat="false" ht="15" hidden="false" customHeight="false" outlineLevel="0" collapsed="false">
      <c r="A386" s="0" t="s">
        <v>136</v>
      </c>
      <c r="B386" s="0" t="n">
        <v>2021</v>
      </c>
      <c r="C386" s="0" t="s">
        <v>55</v>
      </c>
      <c r="D386" s="0" t="n">
        <v>4357033</v>
      </c>
      <c r="E386" s="0" t="s">
        <v>7266</v>
      </c>
      <c r="G386" s="0" t="s">
        <v>7267</v>
      </c>
    </row>
    <row r="387" customFormat="false" ht="15" hidden="false" customHeight="false" outlineLevel="0" collapsed="false">
      <c r="A387" s="0" t="s">
        <v>136</v>
      </c>
      <c r="B387" s="0" t="n">
        <v>2021</v>
      </c>
      <c r="C387" s="0" t="s">
        <v>60</v>
      </c>
      <c r="D387" s="0" t="n">
        <v>1475674</v>
      </c>
      <c r="E387" s="0" t="s">
        <v>7266</v>
      </c>
      <c r="G387" s="0" t="s">
        <v>7267</v>
      </c>
    </row>
    <row r="388" customFormat="false" ht="15" hidden="false" customHeight="false" outlineLevel="0" collapsed="false">
      <c r="A388" s="0" t="s">
        <v>136</v>
      </c>
      <c r="B388" s="0" t="n">
        <v>2021</v>
      </c>
      <c r="C388" s="0" t="s">
        <v>61</v>
      </c>
      <c r="D388" s="0" t="n">
        <v>67041</v>
      </c>
      <c r="E388" s="0" t="s">
        <v>7266</v>
      </c>
      <c r="G388" s="0" t="s">
        <v>7267</v>
      </c>
    </row>
    <row r="389" customFormat="false" ht="15" hidden="false" customHeight="false" outlineLevel="0" collapsed="false">
      <c r="A389" s="0" t="s">
        <v>136</v>
      </c>
      <c r="B389" s="0" t="n">
        <v>2021</v>
      </c>
      <c r="C389" s="0" t="s">
        <v>63</v>
      </c>
      <c r="D389" s="0" t="n">
        <v>4089</v>
      </c>
      <c r="E389" s="0" t="s">
        <v>7266</v>
      </c>
      <c r="G389" s="0" t="s">
        <v>7267</v>
      </c>
    </row>
    <row r="390" customFormat="false" ht="15" hidden="false" customHeight="false" outlineLevel="0" collapsed="false">
      <c r="A390" s="0" t="s">
        <v>136</v>
      </c>
      <c r="B390" s="0" t="n">
        <v>2021</v>
      </c>
      <c r="C390" s="0" t="s">
        <v>327</v>
      </c>
      <c r="D390" s="0" t="n">
        <v>6</v>
      </c>
      <c r="E390" s="0" t="s">
        <v>7266</v>
      </c>
      <c r="G390" s="0" t="s">
        <v>7267</v>
      </c>
    </row>
    <row r="391" customFormat="false" ht="15" hidden="false" customHeight="false" outlineLevel="0" collapsed="false">
      <c r="A391" s="0" t="s">
        <v>136</v>
      </c>
      <c r="B391" s="0" t="n">
        <v>2021</v>
      </c>
      <c r="C391" s="0" t="s">
        <v>69</v>
      </c>
      <c r="D391" s="0" t="n">
        <v>23.83</v>
      </c>
      <c r="E391" s="0" t="s">
        <v>7266</v>
      </c>
      <c r="G391" s="0" t="s">
        <v>7267</v>
      </c>
    </row>
    <row r="392" customFormat="false" ht="15" hidden="false" customHeight="false" outlineLevel="0" collapsed="false">
      <c r="A392" s="0" t="s">
        <v>136</v>
      </c>
      <c r="B392" s="0" t="n">
        <v>2021</v>
      </c>
      <c r="C392" s="0" t="s">
        <v>73</v>
      </c>
      <c r="D392" s="0" t="n">
        <v>0</v>
      </c>
      <c r="E392" s="0" t="s">
        <v>7266</v>
      </c>
      <c r="G392" s="0" t="s">
        <v>7267</v>
      </c>
    </row>
    <row r="393" customFormat="false" ht="15" hidden="false" customHeight="false" outlineLevel="0" collapsed="false">
      <c r="A393" s="0" t="s">
        <v>136</v>
      </c>
      <c r="B393" s="0" t="n">
        <v>2021</v>
      </c>
      <c r="C393" s="0" t="s">
        <v>1804</v>
      </c>
      <c r="D393" s="0" t="s">
        <v>7268</v>
      </c>
      <c r="E393" s="0" t="s">
        <v>7266</v>
      </c>
      <c r="G393" s="0" t="s">
        <v>7267</v>
      </c>
    </row>
    <row r="394" customFormat="false" ht="15" hidden="false" customHeight="false" outlineLevel="0" collapsed="false">
      <c r="A394" s="0" t="s">
        <v>136</v>
      </c>
      <c r="B394" s="0" t="n">
        <v>2022</v>
      </c>
      <c r="C394" s="0" t="s">
        <v>54</v>
      </c>
      <c r="D394" s="0" t="n">
        <v>145296</v>
      </c>
      <c r="E394" s="0" t="s">
        <v>7266</v>
      </c>
      <c r="G394" s="0" t="s">
        <v>7267</v>
      </c>
    </row>
    <row r="395" customFormat="false" ht="15" hidden="false" customHeight="false" outlineLevel="0" collapsed="false">
      <c r="A395" s="0" t="s">
        <v>136</v>
      </c>
      <c r="B395" s="0" t="n">
        <v>2022</v>
      </c>
      <c r="C395" s="0" t="s">
        <v>1327</v>
      </c>
      <c r="D395" s="0" t="n">
        <v>340912</v>
      </c>
      <c r="E395" s="0" t="s">
        <v>7266</v>
      </c>
      <c r="G395" s="0" t="s">
        <v>7267</v>
      </c>
    </row>
    <row r="396" customFormat="false" ht="15" hidden="false" customHeight="false" outlineLevel="0" collapsed="false">
      <c r="A396" s="0" t="s">
        <v>136</v>
      </c>
      <c r="B396" s="0" t="n">
        <v>2022</v>
      </c>
      <c r="C396" s="0" t="s">
        <v>55</v>
      </c>
      <c r="D396" s="0" t="n">
        <v>5208577</v>
      </c>
      <c r="E396" s="0" t="s">
        <v>7266</v>
      </c>
      <c r="G396" s="0" t="s">
        <v>7267</v>
      </c>
    </row>
    <row r="397" customFormat="false" ht="15" hidden="false" customHeight="false" outlineLevel="0" collapsed="false">
      <c r="A397" s="0" t="s">
        <v>136</v>
      </c>
      <c r="B397" s="0" t="n">
        <v>2022</v>
      </c>
      <c r="C397" s="0" t="s">
        <v>60</v>
      </c>
      <c r="D397" s="0" t="n">
        <v>1577192</v>
      </c>
      <c r="E397" s="0" t="s">
        <v>7266</v>
      </c>
      <c r="G397" s="0" t="s">
        <v>7267</v>
      </c>
    </row>
    <row r="398" customFormat="false" ht="15" hidden="false" customHeight="false" outlineLevel="0" collapsed="false">
      <c r="A398" s="0" t="s">
        <v>136</v>
      </c>
      <c r="B398" s="0" t="n">
        <v>2022</v>
      </c>
      <c r="C398" s="0" t="s">
        <v>61</v>
      </c>
      <c r="D398" s="0" t="n">
        <v>75972</v>
      </c>
      <c r="E398" s="0" t="s">
        <v>7266</v>
      </c>
      <c r="G398" s="0" t="s">
        <v>7267</v>
      </c>
    </row>
    <row r="399" customFormat="false" ht="15" hidden="false" customHeight="false" outlineLevel="0" collapsed="false">
      <c r="A399" s="0" t="s">
        <v>136</v>
      </c>
      <c r="B399" s="0" t="n">
        <v>2022</v>
      </c>
      <c r="C399" s="0" t="s">
        <v>63</v>
      </c>
      <c r="D399" s="0" t="n">
        <v>8937</v>
      </c>
      <c r="E399" s="0" t="s">
        <v>7266</v>
      </c>
      <c r="G399" s="0" t="s">
        <v>7267</v>
      </c>
    </row>
    <row r="400" customFormat="false" ht="15" hidden="false" customHeight="false" outlineLevel="0" collapsed="false">
      <c r="A400" s="0" t="s">
        <v>136</v>
      </c>
      <c r="B400" s="0" t="n">
        <v>2022</v>
      </c>
      <c r="C400" s="0" t="s">
        <v>327</v>
      </c>
      <c r="D400" s="0" t="n">
        <v>5.19</v>
      </c>
      <c r="E400" s="0" t="s">
        <v>7266</v>
      </c>
      <c r="G400" s="0" t="s">
        <v>7267</v>
      </c>
    </row>
    <row r="401" customFormat="false" ht="15" hidden="false" customHeight="false" outlineLevel="0" collapsed="false">
      <c r="A401" s="0" t="s">
        <v>136</v>
      </c>
      <c r="B401" s="0" t="n">
        <v>2022</v>
      </c>
      <c r="C401" s="0" t="s">
        <v>69</v>
      </c>
      <c r="D401" s="0" t="n">
        <v>24.08</v>
      </c>
      <c r="E401" s="0" t="s">
        <v>7266</v>
      </c>
      <c r="G401" s="0" t="s">
        <v>7267</v>
      </c>
    </row>
    <row r="402" customFormat="false" ht="15" hidden="false" customHeight="false" outlineLevel="0" collapsed="false">
      <c r="A402" s="0" t="s">
        <v>136</v>
      </c>
      <c r="B402" s="0" t="n">
        <v>2022</v>
      </c>
      <c r="C402" s="0" t="s">
        <v>73</v>
      </c>
      <c r="D402" s="0" t="n">
        <v>0</v>
      </c>
      <c r="E402" s="0" t="s">
        <v>7266</v>
      </c>
      <c r="G402" s="0" t="s">
        <v>7267</v>
      </c>
    </row>
    <row r="403" customFormat="false" ht="15" hidden="false" customHeight="false" outlineLevel="0" collapsed="false">
      <c r="A403" s="0" t="s">
        <v>136</v>
      </c>
      <c r="B403" s="0" t="n">
        <v>2022</v>
      </c>
      <c r="C403" s="0" t="s">
        <v>1804</v>
      </c>
      <c r="D403" s="0" t="s">
        <v>7269</v>
      </c>
      <c r="E403" s="0" t="s">
        <v>7266</v>
      </c>
      <c r="G403" s="0" t="s">
        <v>7267</v>
      </c>
    </row>
    <row r="404" customFormat="false" ht="15" hidden="false" customHeight="false" outlineLevel="0" collapsed="false">
      <c r="A404" s="0" t="s">
        <v>115</v>
      </c>
      <c r="B404" s="0" t="n">
        <v>2015</v>
      </c>
      <c r="C404" s="0" t="s">
        <v>54</v>
      </c>
      <c r="D404" s="0" t="n">
        <v>13904</v>
      </c>
      <c r="E404" s="0" t="s">
        <v>7266</v>
      </c>
      <c r="G404" s="0" t="s">
        <v>7267</v>
      </c>
    </row>
    <row r="405" customFormat="false" ht="15" hidden="false" customHeight="false" outlineLevel="0" collapsed="false">
      <c r="A405" s="0" t="s">
        <v>115</v>
      </c>
      <c r="B405" s="0" t="n">
        <v>2015</v>
      </c>
      <c r="C405" s="0" t="s">
        <v>1327</v>
      </c>
      <c r="D405" s="0" t="n">
        <v>146948</v>
      </c>
      <c r="E405" s="0" t="s">
        <v>7266</v>
      </c>
      <c r="G405" s="0" t="s">
        <v>7267</v>
      </c>
    </row>
    <row r="406" customFormat="false" ht="15" hidden="false" customHeight="false" outlineLevel="0" collapsed="false">
      <c r="A406" s="0" t="s">
        <v>115</v>
      </c>
      <c r="B406" s="0" t="n">
        <v>2015</v>
      </c>
      <c r="C406" s="0" t="s">
        <v>55</v>
      </c>
      <c r="D406" s="0" t="n">
        <v>1231722</v>
      </c>
      <c r="E406" s="0" t="s">
        <v>7266</v>
      </c>
      <c r="G406" s="0" t="s">
        <v>7267</v>
      </c>
    </row>
    <row r="407" customFormat="false" ht="15" hidden="false" customHeight="false" outlineLevel="0" collapsed="false">
      <c r="A407" s="0" t="s">
        <v>115</v>
      </c>
      <c r="B407" s="0" t="n">
        <v>2015</v>
      </c>
      <c r="C407" s="0" t="s">
        <v>60</v>
      </c>
      <c r="D407" s="0" t="n">
        <v>598978</v>
      </c>
      <c r="E407" s="0" t="s">
        <v>7266</v>
      </c>
      <c r="G407" s="0" t="s">
        <v>7267</v>
      </c>
    </row>
    <row r="408" customFormat="false" ht="15" hidden="false" customHeight="false" outlineLevel="0" collapsed="false">
      <c r="A408" s="0" t="s">
        <v>115</v>
      </c>
      <c r="B408" s="0" t="n">
        <v>2015</v>
      </c>
      <c r="C408" s="0" t="s">
        <v>61</v>
      </c>
      <c r="D408" s="0" t="n">
        <v>20776</v>
      </c>
      <c r="E408" s="0" t="s">
        <v>7266</v>
      </c>
      <c r="G408" s="0" t="s">
        <v>7267</v>
      </c>
    </row>
    <row r="409" customFormat="false" ht="15" hidden="false" customHeight="false" outlineLevel="0" collapsed="false">
      <c r="A409" s="0" t="s">
        <v>115</v>
      </c>
      <c r="B409" s="0" t="n">
        <v>2015</v>
      </c>
      <c r="C409" s="0" t="s">
        <v>63</v>
      </c>
      <c r="D409" s="0" t="n">
        <v>5764</v>
      </c>
      <c r="E409" s="0" t="s">
        <v>7266</v>
      </c>
      <c r="G409" s="0" t="s">
        <v>7267</v>
      </c>
    </row>
    <row r="410" customFormat="false" ht="15" hidden="false" customHeight="false" outlineLevel="0" collapsed="false">
      <c r="A410" s="0" t="s">
        <v>115</v>
      </c>
      <c r="B410" s="0" t="n">
        <v>2015</v>
      </c>
      <c r="C410" s="0" t="s">
        <v>327</v>
      </c>
      <c r="D410" s="0" t="n">
        <v>4.4</v>
      </c>
      <c r="E410" s="0" t="s">
        <v>7266</v>
      </c>
      <c r="G410" s="0" t="s">
        <v>7267</v>
      </c>
    </row>
    <row r="411" customFormat="false" ht="15" hidden="false" customHeight="false" outlineLevel="0" collapsed="false">
      <c r="A411" s="0" t="s">
        <v>115</v>
      </c>
      <c r="B411" s="0" t="n">
        <v>2015</v>
      </c>
      <c r="C411" s="0" t="s">
        <v>69</v>
      </c>
      <c r="D411" s="0" t="n">
        <v>19</v>
      </c>
      <c r="E411" s="0" t="s">
        <v>7266</v>
      </c>
      <c r="G411" s="0" t="s">
        <v>7267</v>
      </c>
    </row>
    <row r="412" customFormat="false" ht="15" hidden="false" customHeight="false" outlineLevel="0" collapsed="false">
      <c r="A412" s="0" t="s">
        <v>115</v>
      </c>
      <c r="B412" s="0" t="n">
        <v>2015</v>
      </c>
      <c r="C412" s="0" t="s">
        <v>73</v>
      </c>
      <c r="D412" s="0" t="n">
        <v>0</v>
      </c>
      <c r="E412" s="0" t="s">
        <v>7266</v>
      </c>
      <c r="G412" s="0" t="s">
        <v>7267</v>
      </c>
    </row>
    <row r="413" customFormat="false" ht="15" hidden="false" customHeight="false" outlineLevel="0" collapsed="false">
      <c r="A413" s="0" t="s">
        <v>115</v>
      </c>
      <c r="B413" s="0" t="n">
        <v>2015</v>
      </c>
      <c r="C413" s="0" t="s">
        <v>1804</v>
      </c>
      <c r="D413" s="0" t="s">
        <v>7270</v>
      </c>
      <c r="E413" s="0" t="s">
        <v>7266</v>
      </c>
      <c r="G413" s="0" t="s">
        <v>7267</v>
      </c>
    </row>
    <row r="414" customFormat="false" ht="15" hidden="false" customHeight="false" outlineLevel="0" collapsed="false">
      <c r="A414" s="0" t="s">
        <v>115</v>
      </c>
      <c r="B414" s="0" t="n">
        <v>2016</v>
      </c>
      <c r="C414" s="0" t="s">
        <v>54</v>
      </c>
      <c r="D414" s="0" t="n">
        <v>9734</v>
      </c>
      <c r="E414" s="0" t="s">
        <v>7266</v>
      </c>
      <c r="G414" s="0" t="s">
        <v>7267</v>
      </c>
    </row>
    <row r="415" customFormat="false" ht="15" hidden="false" customHeight="false" outlineLevel="0" collapsed="false">
      <c r="A415" s="0" t="s">
        <v>115</v>
      </c>
      <c r="B415" s="0" t="n">
        <v>2016</v>
      </c>
      <c r="C415" s="0" t="s">
        <v>1327</v>
      </c>
      <c r="D415" s="0" t="n">
        <v>152021</v>
      </c>
      <c r="E415" s="0" t="s">
        <v>7266</v>
      </c>
      <c r="G415" s="0" t="s">
        <v>7267</v>
      </c>
    </row>
    <row r="416" customFormat="false" ht="15" hidden="false" customHeight="false" outlineLevel="0" collapsed="false">
      <c r="A416" s="0" t="s">
        <v>115</v>
      </c>
      <c r="B416" s="0" t="n">
        <v>2016</v>
      </c>
      <c r="C416" s="0" t="s">
        <v>55</v>
      </c>
      <c r="D416" s="0" t="n">
        <v>1298141</v>
      </c>
      <c r="E416" s="0" t="s">
        <v>7266</v>
      </c>
      <c r="G416" s="0" t="s">
        <v>7267</v>
      </c>
    </row>
    <row r="417" customFormat="false" ht="15" hidden="false" customHeight="false" outlineLevel="0" collapsed="false">
      <c r="A417" s="0" t="s">
        <v>115</v>
      </c>
      <c r="B417" s="0" t="n">
        <v>2016</v>
      </c>
      <c r="C417" s="0" t="s">
        <v>60</v>
      </c>
      <c r="D417" s="0" t="n">
        <v>743120</v>
      </c>
      <c r="E417" s="0" t="s">
        <v>7266</v>
      </c>
      <c r="G417" s="0" t="s">
        <v>7267</v>
      </c>
    </row>
    <row r="418" customFormat="false" ht="15" hidden="false" customHeight="false" outlineLevel="0" collapsed="false">
      <c r="A418" s="0" t="s">
        <v>115</v>
      </c>
      <c r="B418" s="0" t="n">
        <v>2016</v>
      </c>
      <c r="C418" s="0" t="s">
        <v>61</v>
      </c>
      <c r="D418" s="0" t="n">
        <v>24719</v>
      </c>
      <c r="E418" s="0" t="s">
        <v>7266</v>
      </c>
      <c r="G418" s="0" t="s">
        <v>7267</v>
      </c>
    </row>
    <row r="419" customFormat="false" ht="15" hidden="false" customHeight="false" outlineLevel="0" collapsed="false">
      <c r="A419" s="0" t="s">
        <v>115</v>
      </c>
      <c r="B419" s="0" t="n">
        <v>2016</v>
      </c>
      <c r="C419" s="0" t="s">
        <v>63</v>
      </c>
      <c r="D419" s="0" t="n">
        <v>8671</v>
      </c>
      <c r="E419" s="0" t="s">
        <v>7266</v>
      </c>
      <c r="G419" s="0" t="s">
        <v>7267</v>
      </c>
    </row>
    <row r="420" customFormat="false" ht="15" hidden="false" customHeight="false" outlineLevel="0" collapsed="false">
      <c r="A420" s="0" t="s">
        <v>115</v>
      </c>
      <c r="B420" s="0" t="n">
        <v>2016</v>
      </c>
      <c r="C420" s="0" t="s">
        <v>327</v>
      </c>
      <c r="D420" s="0" t="n">
        <v>6.6</v>
      </c>
      <c r="E420" s="0" t="s">
        <v>7266</v>
      </c>
      <c r="G420" s="0" t="s">
        <v>7267</v>
      </c>
    </row>
    <row r="421" customFormat="false" ht="15" hidden="false" customHeight="false" outlineLevel="0" collapsed="false">
      <c r="A421" s="0" t="s">
        <v>115</v>
      </c>
      <c r="B421" s="0" t="n">
        <v>2016</v>
      </c>
      <c r="C421" s="0" t="s">
        <v>69</v>
      </c>
      <c r="D421" s="0" t="n">
        <v>17.2</v>
      </c>
      <c r="E421" s="0" t="s">
        <v>7266</v>
      </c>
      <c r="G421" s="0" t="s">
        <v>7267</v>
      </c>
    </row>
    <row r="422" customFormat="false" ht="15" hidden="false" customHeight="false" outlineLevel="0" collapsed="false">
      <c r="A422" s="0" t="s">
        <v>115</v>
      </c>
      <c r="B422" s="0" t="n">
        <v>2016</v>
      </c>
      <c r="C422" s="0" t="s">
        <v>73</v>
      </c>
      <c r="D422" s="0" t="n">
        <v>0</v>
      </c>
      <c r="E422" s="0" t="s">
        <v>7266</v>
      </c>
      <c r="G422" s="0" t="s">
        <v>7267</v>
      </c>
    </row>
    <row r="423" customFormat="false" ht="15" hidden="false" customHeight="false" outlineLevel="0" collapsed="false">
      <c r="A423" s="0" t="s">
        <v>115</v>
      </c>
      <c r="B423" s="0" t="n">
        <v>2016</v>
      </c>
      <c r="C423" s="0" t="s">
        <v>1804</v>
      </c>
      <c r="D423" s="0" t="s">
        <v>7270</v>
      </c>
      <c r="E423" s="0" t="s">
        <v>7266</v>
      </c>
      <c r="G423" s="0" t="s">
        <v>7267</v>
      </c>
    </row>
    <row r="424" customFormat="false" ht="15" hidden="false" customHeight="false" outlineLevel="0" collapsed="false">
      <c r="A424" s="0" t="s">
        <v>115</v>
      </c>
      <c r="B424" s="0" t="n">
        <v>2017</v>
      </c>
      <c r="C424" s="0" t="s">
        <v>54</v>
      </c>
      <c r="D424" s="0" t="n">
        <v>17768</v>
      </c>
      <c r="E424" s="0" t="s">
        <v>7266</v>
      </c>
      <c r="G424" s="0" t="s">
        <v>7267</v>
      </c>
    </row>
    <row r="425" customFormat="false" ht="15" hidden="false" customHeight="false" outlineLevel="0" collapsed="false">
      <c r="A425" s="0" t="s">
        <v>115</v>
      </c>
      <c r="B425" s="0" t="n">
        <v>2017</v>
      </c>
      <c r="C425" s="0" t="s">
        <v>1327</v>
      </c>
      <c r="D425" s="0" t="n">
        <v>180244</v>
      </c>
      <c r="E425" s="0" t="s">
        <v>7266</v>
      </c>
      <c r="G425" s="0" t="s">
        <v>7267</v>
      </c>
    </row>
    <row r="426" customFormat="false" ht="15" hidden="false" customHeight="false" outlineLevel="0" collapsed="false">
      <c r="A426" s="0" t="s">
        <v>115</v>
      </c>
      <c r="B426" s="0" t="n">
        <v>2017</v>
      </c>
      <c r="C426" s="0" t="s">
        <v>55</v>
      </c>
      <c r="D426" s="0" t="n">
        <v>1379214</v>
      </c>
      <c r="E426" s="0" t="s">
        <v>7266</v>
      </c>
      <c r="G426" s="0" t="s">
        <v>7267</v>
      </c>
    </row>
    <row r="427" customFormat="false" ht="15" hidden="false" customHeight="false" outlineLevel="0" collapsed="false">
      <c r="A427" s="0" t="s">
        <v>115</v>
      </c>
      <c r="B427" s="0" t="n">
        <v>2017</v>
      </c>
      <c r="C427" s="0" t="s">
        <v>60</v>
      </c>
      <c r="D427" s="0" t="n">
        <v>795315</v>
      </c>
      <c r="E427" s="0" t="s">
        <v>7266</v>
      </c>
      <c r="G427" s="0" t="s">
        <v>7267</v>
      </c>
    </row>
    <row r="428" customFormat="false" ht="15" hidden="false" customHeight="false" outlineLevel="0" collapsed="false">
      <c r="A428" s="0" t="s">
        <v>115</v>
      </c>
      <c r="B428" s="0" t="n">
        <v>2017</v>
      </c>
      <c r="C428" s="0" t="s">
        <v>61</v>
      </c>
      <c r="D428" s="0" t="n">
        <v>26578</v>
      </c>
      <c r="E428" s="0" t="s">
        <v>7266</v>
      </c>
      <c r="G428" s="0" t="s">
        <v>7267</v>
      </c>
    </row>
    <row r="429" customFormat="false" ht="15" hidden="false" customHeight="false" outlineLevel="0" collapsed="false">
      <c r="A429" s="0" t="s">
        <v>115</v>
      </c>
      <c r="B429" s="0" t="n">
        <v>2017</v>
      </c>
      <c r="C429" s="0" t="s">
        <v>63</v>
      </c>
      <c r="D429" s="0" t="n">
        <v>11315</v>
      </c>
      <c r="E429" s="0" t="s">
        <v>7266</v>
      </c>
      <c r="G429" s="0" t="s">
        <v>7267</v>
      </c>
    </row>
    <row r="430" customFormat="false" ht="15" hidden="false" customHeight="false" outlineLevel="0" collapsed="false">
      <c r="A430" s="0" t="s">
        <v>115</v>
      </c>
      <c r="B430" s="0" t="n">
        <v>2017</v>
      </c>
      <c r="C430" s="0" t="s">
        <v>327</v>
      </c>
      <c r="D430" s="0" t="n">
        <v>6.4</v>
      </c>
      <c r="E430" s="0" t="s">
        <v>7266</v>
      </c>
      <c r="G430" s="0" t="s">
        <v>7267</v>
      </c>
    </row>
    <row r="431" customFormat="false" ht="15" hidden="false" customHeight="false" outlineLevel="0" collapsed="false">
      <c r="A431" s="0" t="s">
        <v>115</v>
      </c>
      <c r="B431" s="0" t="n">
        <v>2017</v>
      </c>
      <c r="C431" s="0" t="s">
        <v>69</v>
      </c>
      <c r="D431" s="0" t="n">
        <v>16.03</v>
      </c>
      <c r="E431" s="0" t="s">
        <v>7266</v>
      </c>
      <c r="G431" s="0" t="s">
        <v>7267</v>
      </c>
    </row>
    <row r="432" customFormat="false" ht="15" hidden="false" customHeight="false" outlineLevel="0" collapsed="false">
      <c r="A432" s="0" t="s">
        <v>115</v>
      </c>
      <c r="B432" s="0" t="n">
        <v>2017</v>
      </c>
      <c r="C432" s="0" t="s">
        <v>73</v>
      </c>
      <c r="D432" s="0" t="n">
        <v>0</v>
      </c>
      <c r="E432" s="0" t="s">
        <v>7266</v>
      </c>
      <c r="G432" s="0" t="s">
        <v>7267</v>
      </c>
    </row>
    <row r="433" customFormat="false" ht="15" hidden="false" customHeight="false" outlineLevel="0" collapsed="false">
      <c r="A433" s="0" t="s">
        <v>115</v>
      </c>
      <c r="B433" s="0" t="n">
        <v>2017</v>
      </c>
      <c r="C433" s="0" t="s">
        <v>1804</v>
      </c>
      <c r="D433" s="0" t="s">
        <v>7271</v>
      </c>
      <c r="E433" s="0" t="s">
        <v>7266</v>
      </c>
      <c r="G433" s="0" t="s">
        <v>7267</v>
      </c>
    </row>
    <row r="434" customFormat="false" ht="15" hidden="false" customHeight="false" outlineLevel="0" collapsed="false">
      <c r="A434" s="0" t="s">
        <v>115</v>
      </c>
      <c r="B434" s="0" t="n">
        <v>2018</v>
      </c>
      <c r="C434" s="0" t="s">
        <v>54</v>
      </c>
      <c r="D434" s="0" t="n">
        <v>22926</v>
      </c>
      <c r="E434" s="0" t="s">
        <v>7266</v>
      </c>
      <c r="G434" s="0" t="s">
        <v>7267</v>
      </c>
    </row>
    <row r="435" customFormat="false" ht="15" hidden="false" customHeight="false" outlineLevel="0" collapsed="false">
      <c r="A435" s="0" t="s">
        <v>115</v>
      </c>
      <c r="B435" s="0" t="n">
        <v>2018</v>
      </c>
      <c r="C435" s="0" t="s">
        <v>1327</v>
      </c>
      <c r="D435" s="0" t="n">
        <v>188873</v>
      </c>
      <c r="E435" s="0" t="s">
        <v>7266</v>
      </c>
      <c r="G435" s="0" t="s">
        <v>7267</v>
      </c>
    </row>
    <row r="436" customFormat="false" ht="15" hidden="false" customHeight="false" outlineLevel="0" collapsed="false">
      <c r="A436" s="0" t="s">
        <v>115</v>
      </c>
      <c r="B436" s="0" t="n">
        <v>2018</v>
      </c>
      <c r="C436" s="0" t="s">
        <v>55</v>
      </c>
      <c r="D436" s="0" t="n">
        <v>1719883</v>
      </c>
      <c r="E436" s="0" t="s">
        <v>7266</v>
      </c>
      <c r="G436" s="0" t="s">
        <v>7267</v>
      </c>
    </row>
    <row r="437" customFormat="false" ht="15" hidden="false" customHeight="false" outlineLevel="0" collapsed="false">
      <c r="A437" s="0" t="s">
        <v>115</v>
      </c>
      <c r="B437" s="0" t="n">
        <v>2018</v>
      </c>
      <c r="C437" s="0" t="s">
        <v>60</v>
      </c>
      <c r="D437" s="0" t="n">
        <v>906623</v>
      </c>
      <c r="E437" s="0" t="s">
        <v>7266</v>
      </c>
      <c r="G437" s="0" t="s">
        <v>7267</v>
      </c>
    </row>
    <row r="438" customFormat="false" ht="15" hidden="false" customHeight="false" outlineLevel="0" collapsed="false">
      <c r="A438" s="0" t="s">
        <v>115</v>
      </c>
      <c r="B438" s="0" t="n">
        <v>2018</v>
      </c>
      <c r="C438" s="0" t="s">
        <v>61</v>
      </c>
      <c r="D438" s="0" t="n">
        <v>56743</v>
      </c>
      <c r="E438" s="0" t="s">
        <v>7266</v>
      </c>
      <c r="G438" s="0" t="s">
        <v>7267</v>
      </c>
    </row>
    <row r="439" customFormat="false" ht="15" hidden="false" customHeight="false" outlineLevel="0" collapsed="false">
      <c r="A439" s="0" t="s">
        <v>115</v>
      </c>
      <c r="B439" s="0" t="n">
        <v>2018</v>
      </c>
      <c r="C439" s="0" t="s">
        <v>63</v>
      </c>
      <c r="D439" s="0" t="n">
        <v>4215</v>
      </c>
      <c r="E439" s="0" t="s">
        <v>7266</v>
      </c>
      <c r="G439" s="0" t="s">
        <v>7267</v>
      </c>
    </row>
    <row r="440" customFormat="false" ht="15" hidden="false" customHeight="false" outlineLevel="0" collapsed="false">
      <c r="A440" s="0" t="s">
        <v>115</v>
      </c>
      <c r="B440" s="0" t="n">
        <v>2018</v>
      </c>
      <c r="C440" s="0" t="s">
        <v>327</v>
      </c>
      <c r="D440" s="0" t="n">
        <v>5.7</v>
      </c>
      <c r="E440" s="0" t="s">
        <v>7266</v>
      </c>
      <c r="G440" s="0" t="s">
        <v>7267</v>
      </c>
    </row>
    <row r="441" customFormat="false" ht="15" hidden="false" customHeight="false" outlineLevel="0" collapsed="false">
      <c r="A441" s="0" t="s">
        <v>115</v>
      </c>
      <c r="B441" s="0" t="n">
        <v>2018</v>
      </c>
      <c r="C441" s="0" t="s">
        <v>69</v>
      </c>
      <c r="D441" s="0" t="n">
        <v>16.7</v>
      </c>
      <c r="E441" s="0" t="s">
        <v>7266</v>
      </c>
      <c r="G441" s="0" t="s">
        <v>7267</v>
      </c>
    </row>
    <row r="442" customFormat="false" ht="15" hidden="false" customHeight="false" outlineLevel="0" collapsed="false">
      <c r="A442" s="0" t="s">
        <v>115</v>
      </c>
      <c r="B442" s="0" t="n">
        <v>2018</v>
      </c>
      <c r="C442" s="0" t="s">
        <v>73</v>
      </c>
      <c r="D442" s="0" t="n">
        <v>0</v>
      </c>
      <c r="E442" s="0" t="s">
        <v>7266</v>
      </c>
      <c r="G442" s="0" t="s">
        <v>7267</v>
      </c>
    </row>
    <row r="443" customFormat="false" ht="15" hidden="false" customHeight="false" outlineLevel="0" collapsed="false">
      <c r="A443" s="0" t="s">
        <v>115</v>
      </c>
      <c r="B443" s="0" t="n">
        <v>2018</v>
      </c>
      <c r="C443" s="0" t="s">
        <v>1804</v>
      </c>
      <c r="D443" s="0" t="s">
        <v>1860</v>
      </c>
      <c r="E443" s="0" t="s">
        <v>7266</v>
      </c>
      <c r="G443" s="0" t="s">
        <v>7267</v>
      </c>
    </row>
    <row r="444" customFormat="false" ht="15" hidden="false" customHeight="false" outlineLevel="0" collapsed="false">
      <c r="A444" s="0" t="s">
        <v>115</v>
      </c>
      <c r="B444" s="0" t="n">
        <v>2019</v>
      </c>
      <c r="C444" s="0" t="s">
        <v>54</v>
      </c>
      <c r="D444" s="0" t="n">
        <v>28425</v>
      </c>
      <c r="E444" s="0" t="s">
        <v>7266</v>
      </c>
      <c r="G444" s="0" t="s">
        <v>7267</v>
      </c>
    </row>
    <row r="445" customFormat="false" ht="15" hidden="false" customHeight="false" outlineLevel="0" collapsed="false">
      <c r="A445" s="0" t="s">
        <v>115</v>
      </c>
      <c r="B445" s="0" t="n">
        <v>2019</v>
      </c>
      <c r="C445" s="0" t="s">
        <v>1327</v>
      </c>
      <c r="D445" s="0" t="n">
        <v>218011</v>
      </c>
      <c r="E445" s="0" t="s">
        <v>7266</v>
      </c>
      <c r="G445" s="0" t="s">
        <v>7267</v>
      </c>
    </row>
    <row r="446" customFormat="false" ht="15" hidden="false" customHeight="false" outlineLevel="0" collapsed="false">
      <c r="A446" s="0" t="s">
        <v>115</v>
      </c>
      <c r="B446" s="0" t="n">
        <v>2019</v>
      </c>
      <c r="C446" s="0" t="s">
        <v>55</v>
      </c>
      <c r="D446" s="0" t="n">
        <v>2114037</v>
      </c>
      <c r="E446" s="0" t="s">
        <v>7266</v>
      </c>
      <c r="G446" s="0" t="s">
        <v>7267</v>
      </c>
    </row>
    <row r="447" customFormat="false" ht="15" hidden="false" customHeight="false" outlineLevel="0" collapsed="false">
      <c r="A447" s="0" t="s">
        <v>115</v>
      </c>
      <c r="B447" s="0" t="n">
        <v>2019</v>
      </c>
      <c r="C447" s="0" t="s">
        <v>60</v>
      </c>
      <c r="D447" s="0" t="n">
        <v>1178389</v>
      </c>
      <c r="E447" s="0" t="s">
        <v>7266</v>
      </c>
      <c r="G447" s="0" t="s">
        <v>7267</v>
      </c>
    </row>
    <row r="448" customFormat="false" ht="15" hidden="false" customHeight="false" outlineLevel="0" collapsed="false">
      <c r="A448" s="0" t="s">
        <v>115</v>
      </c>
      <c r="B448" s="0" t="n">
        <v>2019</v>
      </c>
      <c r="C448" s="0" t="s">
        <v>61</v>
      </c>
      <c r="D448" s="0" t="n">
        <v>51415</v>
      </c>
      <c r="E448" s="0" t="s">
        <v>7266</v>
      </c>
      <c r="G448" s="0" t="s">
        <v>7267</v>
      </c>
    </row>
    <row r="449" customFormat="false" ht="15" hidden="false" customHeight="false" outlineLevel="0" collapsed="false">
      <c r="A449" s="0" t="s">
        <v>115</v>
      </c>
      <c r="B449" s="0" t="n">
        <v>2019</v>
      </c>
      <c r="C449" s="0" t="s">
        <v>63</v>
      </c>
      <c r="D449" s="0" t="n">
        <v>-5292</v>
      </c>
      <c r="E449" s="0" t="s">
        <v>7266</v>
      </c>
      <c r="G449" s="0" t="s">
        <v>7267</v>
      </c>
    </row>
    <row r="450" customFormat="false" ht="15" hidden="false" customHeight="false" outlineLevel="0" collapsed="false">
      <c r="A450" s="0" t="s">
        <v>115</v>
      </c>
      <c r="B450" s="0" t="n">
        <v>2019</v>
      </c>
      <c r="C450" s="0" t="s">
        <v>327</v>
      </c>
      <c r="D450" s="0" t="n">
        <v>3.3</v>
      </c>
      <c r="E450" s="0" t="s">
        <v>7266</v>
      </c>
      <c r="G450" s="0" t="s">
        <v>7267</v>
      </c>
    </row>
    <row r="451" customFormat="false" ht="15" hidden="false" customHeight="false" outlineLevel="0" collapsed="false">
      <c r="A451" s="0" t="s">
        <v>115</v>
      </c>
      <c r="B451" s="0" t="n">
        <v>2019</v>
      </c>
      <c r="C451" s="0" t="s">
        <v>69</v>
      </c>
      <c r="D451" s="0" t="n">
        <v>18.3</v>
      </c>
      <c r="E451" s="0" t="s">
        <v>7266</v>
      </c>
      <c r="G451" s="0" t="s">
        <v>7267</v>
      </c>
    </row>
    <row r="452" customFormat="false" ht="15" hidden="false" customHeight="false" outlineLevel="0" collapsed="false">
      <c r="A452" s="0" t="s">
        <v>115</v>
      </c>
      <c r="B452" s="0" t="n">
        <v>2019</v>
      </c>
      <c r="C452" s="0" t="s">
        <v>73</v>
      </c>
      <c r="D452" s="0" t="n">
        <v>0</v>
      </c>
      <c r="E452" s="0" t="s">
        <v>7266</v>
      </c>
      <c r="G452" s="0" t="s">
        <v>7267</v>
      </c>
    </row>
    <row r="453" customFormat="false" ht="15" hidden="false" customHeight="false" outlineLevel="0" collapsed="false">
      <c r="A453" s="0" t="s">
        <v>115</v>
      </c>
      <c r="B453" s="0" t="n">
        <v>2019</v>
      </c>
      <c r="C453" s="0" t="s">
        <v>1804</v>
      </c>
      <c r="D453" s="0" t="s">
        <v>1860</v>
      </c>
      <c r="E453" s="0" t="s">
        <v>7266</v>
      </c>
      <c r="G453" s="0" t="s">
        <v>7267</v>
      </c>
    </row>
    <row r="454" customFormat="false" ht="15" hidden="false" customHeight="false" outlineLevel="0" collapsed="false">
      <c r="A454" s="0" t="s">
        <v>115</v>
      </c>
      <c r="B454" s="0" t="n">
        <v>2020</v>
      </c>
      <c r="C454" s="0" t="s">
        <v>54</v>
      </c>
      <c r="D454" s="0" t="n">
        <v>26650</v>
      </c>
      <c r="E454" s="0" t="s">
        <v>7266</v>
      </c>
      <c r="G454" s="0" t="s">
        <v>7267</v>
      </c>
    </row>
    <row r="455" customFormat="false" ht="15" hidden="false" customHeight="false" outlineLevel="0" collapsed="false">
      <c r="A455" s="0" t="s">
        <v>115</v>
      </c>
      <c r="B455" s="0" t="n">
        <v>2020</v>
      </c>
      <c r="C455" s="0" t="s">
        <v>1327</v>
      </c>
      <c r="D455" s="0" t="n">
        <v>206204</v>
      </c>
      <c r="E455" s="0" t="s">
        <v>7266</v>
      </c>
      <c r="G455" s="0" t="s">
        <v>7267</v>
      </c>
    </row>
    <row r="456" customFormat="false" ht="15" hidden="false" customHeight="false" outlineLevel="0" collapsed="false">
      <c r="A456" s="0" t="s">
        <v>115</v>
      </c>
      <c r="B456" s="0" t="n">
        <v>2020</v>
      </c>
      <c r="C456" s="0" t="s">
        <v>55</v>
      </c>
      <c r="D456" s="0" t="n">
        <v>2758148</v>
      </c>
      <c r="E456" s="0" t="s">
        <v>7266</v>
      </c>
      <c r="G456" s="0" t="s">
        <v>7267</v>
      </c>
    </row>
    <row r="457" customFormat="false" ht="15" hidden="false" customHeight="false" outlineLevel="0" collapsed="false">
      <c r="A457" s="0" t="s">
        <v>115</v>
      </c>
      <c r="B457" s="0" t="n">
        <v>2020</v>
      </c>
      <c r="C457" s="0" t="s">
        <v>60</v>
      </c>
      <c r="D457" s="0" t="n">
        <v>1393624</v>
      </c>
      <c r="E457" s="0" t="s">
        <v>7266</v>
      </c>
      <c r="G457" s="0" t="s">
        <v>7267</v>
      </c>
    </row>
    <row r="458" customFormat="false" ht="15" hidden="false" customHeight="false" outlineLevel="0" collapsed="false">
      <c r="A458" s="0" t="s">
        <v>115</v>
      </c>
      <c r="B458" s="0" t="n">
        <v>2020</v>
      </c>
      <c r="C458" s="0" t="s">
        <v>61</v>
      </c>
      <c r="D458" s="0" t="n">
        <v>67518</v>
      </c>
      <c r="E458" s="0" t="s">
        <v>7266</v>
      </c>
      <c r="G458" s="0" t="s">
        <v>7267</v>
      </c>
    </row>
    <row r="459" customFormat="false" ht="15" hidden="false" customHeight="false" outlineLevel="0" collapsed="false">
      <c r="A459" s="0" t="s">
        <v>115</v>
      </c>
      <c r="B459" s="0" t="n">
        <v>2020</v>
      </c>
      <c r="C459" s="0" t="s">
        <v>63</v>
      </c>
      <c r="D459" s="0" t="n">
        <v>16858</v>
      </c>
      <c r="E459" s="0" t="s">
        <v>7266</v>
      </c>
      <c r="G459" s="0" t="s">
        <v>7267</v>
      </c>
    </row>
    <row r="460" customFormat="false" ht="15" hidden="false" customHeight="false" outlineLevel="0" collapsed="false">
      <c r="A460" s="0" t="s">
        <v>115</v>
      </c>
      <c r="B460" s="0" t="n">
        <v>2020</v>
      </c>
      <c r="C460" s="0" t="s">
        <v>327</v>
      </c>
      <c r="D460" s="0" t="n">
        <v>3.8</v>
      </c>
      <c r="E460" s="0" t="s">
        <v>7266</v>
      </c>
      <c r="G460" s="0" t="s">
        <v>7267</v>
      </c>
    </row>
    <row r="461" customFormat="false" ht="15" hidden="false" customHeight="false" outlineLevel="0" collapsed="false">
      <c r="A461" s="0" t="s">
        <v>115</v>
      </c>
      <c r="B461" s="0" t="n">
        <v>2020</v>
      </c>
      <c r="C461" s="0" t="s">
        <v>69</v>
      </c>
      <c r="D461" s="0" t="n">
        <v>18.2</v>
      </c>
      <c r="E461" s="0" t="s">
        <v>7266</v>
      </c>
      <c r="G461" s="0" t="s">
        <v>7267</v>
      </c>
    </row>
    <row r="462" customFormat="false" ht="15" hidden="false" customHeight="false" outlineLevel="0" collapsed="false">
      <c r="A462" s="0" t="s">
        <v>115</v>
      </c>
      <c r="B462" s="0" t="n">
        <v>2020</v>
      </c>
      <c r="C462" s="0" t="s">
        <v>73</v>
      </c>
      <c r="D462" s="0" t="n">
        <v>0</v>
      </c>
      <c r="E462" s="0" t="s">
        <v>7266</v>
      </c>
      <c r="G462" s="0" t="s">
        <v>7267</v>
      </c>
    </row>
    <row r="463" customFormat="false" ht="15" hidden="false" customHeight="false" outlineLevel="0" collapsed="false">
      <c r="A463" s="0" t="s">
        <v>115</v>
      </c>
      <c r="B463" s="0" t="n">
        <v>2020</v>
      </c>
      <c r="C463" s="0" t="s">
        <v>1804</v>
      </c>
      <c r="D463" s="0" t="s">
        <v>1860</v>
      </c>
      <c r="E463" s="0" t="s">
        <v>7266</v>
      </c>
      <c r="G463" s="0" t="s">
        <v>7267</v>
      </c>
    </row>
    <row r="464" customFormat="false" ht="15" hidden="false" customHeight="false" outlineLevel="0" collapsed="false">
      <c r="A464" s="0" t="s">
        <v>115</v>
      </c>
      <c r="B464" s="0" t="n">
        <v>2021</v>
      </c>
      <c r="C464" s="0" t="s">
        <v>54</v>
      </c>
      <c r="D464" s="0" t="n">
        <v>23104</v>
      </c>
      <c r="E464" s="0" t="s">
        <v>7266</v>
      </c>
      <c r="G464" s="0" t="s">
        <v>7267</v>
      </c>
    </row>
    <row r="465" customFormat="false" ht="15" hidden="false" customHeight="false" outlineLevel="0" collapsed="false">
      <c r="A465" s="0" t="s">
        <v>115</v>
      </c>
      <c r="B465" s="0" t="n">
        <v>2021</v>
      </c>
      <c r="C465" s="0" t="s">
        <v>1327</v>
      </c>
      <c r="D465" s="0" t="n">
        <v>250776</v>
      </c>
      <c r="E465" s="0" t="s">
        <v>7266</v>
      </c>
      <c r="G465" s="0" t="s">
        <v>7267</v>
      </c>
    </row>
    <row r="466" customFormat="false" ht="15" hidden="false" customHeight="false" outlineLevel="0" collapsed="false">
      <c r="A466" s="0" t="s">
        <v>115</v>
      </c>
      <c r="B466" s="0" t="n">
        <v>2021</v>
      </c>
      <c r="C466" s="0" t="s">
        <v>55</v>
      </c>
      <c r="D466" s="0" t="n">
        <v>3280454</v>
      </c>
      <c r="E466" s="0" t="s">
        <v>7266</v>
      </c>
      <c r="G466" s="0" t="s">
        <v>7267</v>
      </c>
    </row>
    <row r="467" customFormat="false" ht="15" hidden="false" customHeight="false" outlineLevel="0" collapsed="false">
      <c r="A467" s="0" t="s">
        <v>115</v>
      </c>
      <c r="B467" s="0" t="n">
        <v>2021</v>
      </c>
      <c r="C467" s="0" t="s">
        <v>60</v>
      </c>
      <c r="D467" s="0" t="n">
        <v>1732543</v>
      </c>
      <c r="E467" s="0" t="s">
        <v>7266</v>
      </c>
      <c r="G467" s="0" t="s">
        <v>7267</v>
      </c>
    </row>
    <row r="468" customFormat="false" ht="15" hidden="false" customHeight="false" outlineLevel="0" collapsed="false">
      <c r="A468" s="0" t="s">
        <v>115</v>
      </c>
      <c r="B468" s="0" t="n">
        <v>2021</v>
      </c>
      <c r="C468" s="0" t="s">
        <v>61</v>
      </c>
      <c r="D468" s="0" t="n">
        <v>74131</v>
      </c>
      <c r="E468" s="0" t="s">
        <v>7266</v>
      </c>
      <c r="G468" s="0" t="s">
        <v>7267</v>
      </c>
    </row>
    <row r="469" customFormat="false" ht="15" hidden="false" customHeight="false" outlineLevel="0" collapsed="false">
      <c r="A469" s="0" t="s">
        <v>115</v>
      </c>
      <c r="B469" s="0" t="n">
        <v>2021</v>
      </c>
      <c r="C469" s="0" t="s">
        <v>63</v>
      </c>
      <c r="D469" s="0" t="n">
        <v>7034</v>
      </c>
      <c r="E469" s="0" t="s">
        <v>7266</v>
      </c>
      <c r="G469" s="0" t="s">
        <v>7267</v>
      </c>
    </row>
    <row r="470" customFormat="false" ht="15" hidden="false" customHeight="false" outlineLevel="0" collapsed="false">
      <c r="A470" s="0" t="s">
        <v>115</v>
      </c>
      <c r="B470" s="0" t="n">
        <v>2021</v>
      </c>
      <c r="C470" s="0" t="s">
        <v>327</v>
      </c>
      <c r="D470" s="0" t="n">
        <v>2.9</v>
      </c>
      <c r="E470" s="0" t="s">
        <v>7266</v>
      </c>
      <c r="G470" s="0" t="s">
        <v>7267</v>
      </c>
    </row>
    <row r="471" customFormat="false" ht="15" hidden="false" customHeight="false" outlineLevel="0" collapsed="false">
      <c r="A471" s="0" t="s">
        <v>115</v>
      </c>
      <c r="B471" s="0" t="n">
        <v>2021</v>
      </c>
      <c r="C471" s="0" t="s">
        <v>69</v>
      </c>
      <c r="D471" s="0" t="n">
        <v>19.15</v>
      </c>
      <c r="E471" s="0" t="s">
        <v>7266</v>
      </c>
      <c r="G471" s="0" t="s">
        <v>7267</v>
      </c>
    </row>
    <row r="472" customFormat="false" ht="15" hidden="false" customHeight="false" outlineLevel="0" collapsed="false">
      <c r="A472" s="0" t="s">
        <v>115</v>
      </c>
      <c r="B472" s="0" t="n">
        <v>2021</v>
      </c>
      <c r="C472" s="0" t="s">
        <v>73</v>
      </c>
      <c r="D472" s="0" t="n">
        <v>0</v>
      </c>
      <c r="E472" s="0" t="s">
        <v>7266</v>
      </c>
      <c r="G472" s="0" t="s">
        <v>7267</v>
      </c>
    </row>
    <row r="473" customFormat="false" ht="15" hidden="false" customHeight="false" outlineLevel="0" collapsed="false">
      <c r="A473" s="0" t="s">
        <v>115</v>
      </c>
      <c r="B473" s="0" t="n">
        <v>2021</v>
      </c>
      <c r="C473" s="0" t="s">
        <v>1804</v>
      </c>
      <c r="D473" s="0" t="s">
        <v>1878</v>
      </c>
      <c r="E473" s="0" t="s">
        <v>7266</v>
      </c>
      <c r="G473" s="0" t="s">
        <v>7267</v>
      </c>
    </row>
    <row r="474" customFormat="false" ht="15" hidden="false" customHeight="false" outlineLevel="0" collapsed="false">
      <c r="A474" s="0" t="s">
        <v>115</v>
      </c>
      <c r="B474" s="0" t="n">
        <v>2022</v>
      </c>
      <c r="C474" s="0" t="s">
        <v>54</v>
      </c>
      <c r="D474" s="0" t="n">
        <v>46724</v>
      </c>
      <c r="E474" s="0" t="s">
        <v>7266</v>
      </c>
      <c r="G474" s="0" t="s">
        <v>7267</v>
      </c>
    </row>
    <row r="475" customFormat="false" ht="15" hidden="false" customHeight="false" outlineLevel="0" collapsed="false">
      <c r="A475" s="0" t="s">
        <v>115</v>
      </c>
      <c r="B475" s="0" t="n">
        <v>2022</v>
      </c>
      <c r="C475" s="0" t="s">
        <v>1327</v>
      </c>
      <c r="D475" s="0" t="n">
        <v>337050</v>
      </c>
      <c r="E475" s="0" t="s">
        <v>7266</v>
      </c>
      <c r="G475" s="0" t="s">
        <v>7267</v>
      </c>
    </row>
    <row r="476" customFormat="false" ht="15" hidden="false" customHeight="false" outlineLevel="0" collapsed="false">
      <c r="A476" s="0" t="s">
        <v>115</v>
      </c>
      <c r="B476" s="0" t="n">
        <v>2022</v>
      </c>
      <c r="C476" s="0" t="s">
        <v>55</v>
      </c>
      <c r="D476" s="0" t="n">
        <v>3989009</v>
      </c>
      <c r="E476" s="0" t="s">
        <v>7266</v>
      </c>
      <c r="G476" s="0" t="s">
        <v>7267</v>
      </c>
    </row>
    <row r="477" customFormat="false" ht="15" hidden="false" customHeight="false" outlineLevel="0" collapsed="false">
      <c r="A477" s="0" t="s">
        <v>115</v>
      </c>
      <c r="B477" s="0" t="n">
        <v>2022</v>
      </c>
      <c r="C477" s="0" t="s">
        <v>60</v>
      </c>
      <c r="D477" s="0" t="n">
        <v>2196760</v>
      </c>
      <c r="E477" s="0" t="s">
        <v>7266</v>
      </c>
      <c r="G477" s="0" t="s">
        <v>7267</v>
      </c>
    </row>
    <row r="478" customFormat="false" ht="15" hidden="false" customHeight="false" outlineLevel="0" collapsed="false">
      <c r="A478" s="0" t="s">
        <v>115</v>
      </c>
      <c r="B478" s="0" t="n">
        <v>2022</v>
      </c>
      <c r="C478" s="0" t="s">
        <v>61</v>
      </c>
      <c r="D478" s="0" t="n">
        <v>80548</v>
      </c>
      <c r="E478" s="0" t="s">
        <v>7266</v>
      </c>
      <c r="G478" s="0" t="s">
        <v>7267</v>
      </c>
    </row>
    <row r="479" customFormat="false" ht="15" hidden="false" customHeight="false" outlineLevel="0" collapsed="false">
      <c r="A479" s="0" t="s">
        <v>115</v>
      </c>
      <c r="B479" s="0" t="n">
        <v>2022</v>
      </c>
      <c r="C479" s="0" t="s">
        <v>63</v>
      </c>
      <c r="D479" s="0" t="n">
        <v>5443</v>
      </c>
      <c r="E479" s="0" t="s">
        <v>7266</v>
      </c>
      <c r="G479" s="0" t="s">
        <v>7267</v>
      </c>
    </row>
    <row r="480" customFormat="false" ht="15" hidden="false" customHeight="false" outlineLevel="0" collapsed="false">
      <c r="A480" s="0" t="s">
        <v>115</v>
      </c>
      <c r="B480" s="0" t="n">
        <v>2022</v>
      </c>
      <c r="C480" s="0" t="s">
        <v>327</v>
      </c>
      <c r="D480" s="0" t="n">
        <v>2.9</v>
      </c>
      <c r="E480" s="0" t="s">
        <v>7266</v>
      </c>
      <c r="G480" s="0" t="s">
        <v>7267</v>
      </c>
    </row>
    <row r="481" customFormat="false" ht="15" hidden="false" customHeight="false" outlineLevel="0" collapsed="false">
      <c r="A481" s="0" t="s">
        <v>115</v>
      </c>
      <c r="B481" s="0" t="n">
        <v>2022</v>
      </c>
      <c r="C481" s="0" t="s">
        <v>69</v>
      </c>
      <c r="D481" s="0" t="n">
        <v>18.14</v>
      </c>
      <c r="E481" s="0" t="s">
        <v>7266</v>
      </c>
      <c r="G481" s="0" t="s">
        <v>7267</v>
      </c>
    </row>
    <row r="482" customFormat="false" ht="15" hidden="false" customHeight="false" outlineLevel="0" collapsed="false">
      <c r="A482" s="0" t="s">
        <v>115</v>
      </c>
      <c r="B482" s="0" t="n">
        <v>2022</v>
      </c>
      <c r="C482" s="0" t="s">
        <v>73</v>
      </c>
      <c r="D482" s="0" t="n">
        <v>0</v>
      </c>
      <c r="E482" s="0" t="s">
        <v>7266</v>
      </c>
      <c r="G482" s="0" t="s">
        <v>7267</v>
      </c>
    </row>
    <row r="483" customFormat="false" ht="15" hidden="false" customHeight="false" outlineLevel="0" collapsed="false">
      <c r="A483" s="0" t="s">
        <v>115</v>
      </c>
      <c r="B483" s="0" t="n">
        <v>2022</v>
      </c>
      <c r="C483" s="0" t="s">
        <v>1804</v>
      </c>
      <c r="D483" s="0" t="s">
        <v>1878</v>
      </c>
      <c r="E483" s="0" t="s">
        <v>7266</v>
      </c>
      <c r="G483" s="0" t="s">
        <v>7267</v>
      </c>
    </row>
    <row r="484" customFormat="false" ht="15" hidden="false" customHeight="false" outlineLevel="0" collapsed="false">
      <c r="A484" s="0" t="s">
        <v>149</v>
      </c>
      <c r="B484" s="0" t="n">
        <v>2015</v>
      </c>
      <c r="C484" s="0" t="s">
        <v>54</v>
      </c>
      <c r="D484" s="0" t="n">
        <v>6232</v>
      </c>
      <c r="E484" s="0" t="s">
        <v>7266</v>
      </c>
      <c r="G484" s="0" t="s">
        <v>7267</v>
      </c>
    </row>
    <row r="485" customFormat="false" ht="15" hidden="false" customHeight="false" outlineLevel="0" collapsed="false">
      <c r="A485" s="0" t="s">
        <v>149</v>
      </c>
      <c r="B485" s="0" t="n">
        <v>2015</v>
      </c>
      <c r="C485" s="0" t="s">
        <v>1327</v>
      </c>
      <c r="D485" s="0" t="n">
        <v>118400</v>
      </c>
      <c r="E485" s="0" t="s">
        <v>7266</v>
      </c>
      <c r="G485" s="0" t="s">
        <v>7267</v>
      </c>
    </row>
    <row r="486" customFormat="false" ht="15" hidden="false" customHeight="false" outlineLevel="0" collapsed="false">
      <c r="A486" s="0" t="s">
        <v>149</v>
      </c>
      <c r="B486" s="0" t="n">
        <v>2015</v>
      </c>
      <c r="C486" s="0" t="s">
        <v>55</v>
      </c>
      <c r="D486" s="0" t="n">
        <v>890580</v>
      </c>
      <c r="E486" s="0" t="s">
        <v>7266</v>
      </c>
      <c r="G486" s="0" t="s">
        <v>7267</v>
      </c>
    </row>
    <row r="487" customFormat="false" ht="15" hidden="false" customHeight="false" outlineLevel="0" collapsed="false">
      <c r="A487" s="0" t="s">
        <v>149</v>
      </c>
      <c r="B487" s="0" t="n">
        <v>2015</v>
      </c>
      <c r="C487" s="0" t="s">
        <v>60</v>
      </c>
      <c r="D487" s="0" t="n">
        <v>406210</v>
      </c>
      <c r="E487" s="0" t="s">
        <v>7266</v>
      </c>
      <c r="G487" s="0" t="s">
        <v>7267</v>
      </c>
    </row>
    <row r="488" customFormat="false" ht="15" hidden="false" customHeight="false" outlineLevel="0" collapsed="false">
      <c r="A488" s="0" t="s">
        <v>149</v>
      </c>
      <c r="B488" s="0" t="n">
        <v>2015</v>
      </c>
      <c r="C488" s="0" t="s">
        <v>61</v>
      </c>
      <c r="D488" s="0" t="n">
        <v>25915</v>
      </c>
      <c r="E488" s="0" t="s">
        <v>7266</v>
      </c>
      <c r="G488" s="0" t="s">
        <v>7267</v>
      </c>
    </row>
    <row r="489" customFormat="false" ht="15" hidden="false" customHeight="false" outlineLevel="0" collapsed="false">
      <c r="A489" s="0" t="s">
        <v>149</v>
      </c>
      <c r="B489" s="0" t="n">
        <v>2015</v>
      </c>
      <c r="C489" s="0" t="s">
        <v>63</v>
      </c>
      <c r="D489" s="0" t="n">
        <v>15114</v>
      </c>
      <c r="E489" s="0" t="s">
        <v>7266</v>
      </c>
      <c r="G489" s="0" t="s">
        <v>7267</v>
      </c>
    </row>
    <row r="490" customFormat="false" ht="15" hidden="false" customHeight="false" outlineLevel="0" collapsed="false">
      <c r="A490" s="0" t="s">
        <v>149</v>
      </c>
      <c r="B490" s="0" t="n">
        <v>2015</v>
      </c>
      <c r="C490" s="0" t="s">
        <v>327</v>
      </c>
      <c r="D490" s="0" t="n">
        <v>6.65</v>
      </c>
      <c r="E490" s="0" t="s">
        <v>7266</v>
      </c>
      <c r="G490" s="0" t="s">
        <v>7267</v>
      </c>
    </row>
    <row r="491" customFormat="false" ht="15" hidden="false" customHeight="false" outlineLevel="0" collapsed="false">
      <c r="A491" s="0" t="s">
        <v>149</v>
      </c>
      <c r="B491" s="0" t="n">
        <v>2015</v>
      </c>
      <c r="C491" s="0" t="s">
        <v>69</v>
      </c>
      <c r="D491" s="0" t="n">
        <v>18.3</v>
      </c>
      <c r="E491" s="0" t="s">
        <v>7266</v>
      </c>
      <c r="G491" s="0" t="s">
        <v>7267</v>
      </c>
    </row>
    <row r="492" customFormat="false" ht="15" hidden="false" customHeight="false" outlineLevel="0" collapsed="false">
      <c r="A492" s="0" t="s">
        <v>149</v>
      </c>
      <c r="B492" s="0" t="n">
        <v>2015</v>
      </c>
      <c r="C492" s="0" t="s">
        <v>73</v>
      </c>
      <c r="D492" s="0" t="n">
        <v>0</v>
      </c>
      <c r="E492" s="0" t="s">
        <v>7266</v>
      </c>
      <c r="G492" s="0" t="s">
        <v>7267</v>
      </c>
    </row>
    <row r="493" customFormat="false" ht="15" hidden="false" customHeight="false" outlineLevel="0" collapsed="false">
      <c r="A493" s="0" t="s">
        <v>149</v>
      </c>
      <c r="B493" s="0" t="n">
        <v>2015</v>
      </c>
      <c r="C493" s="0" t="s">
        <v>1804</v>
      </c>
      <c r="D493" s="0" t="s">
        <v>7268</v>
      </c>
      <c r="E493" s="0" t="s">
        <v>7266</v>
      </c>
      <c r="G493" s="0" t="s">
        <v>7267</v>
      </c>
    </row>
    <row r="494" customFormat="false" ht="15" hidden="false" customHeight="false" outlineLevel="0" collapsed="false">
      <c r="A494" s="0" t="s">
        <v>149</v>
      </c>
      <c r="B494" s="0" t="n">
        <v>2016</v>
      </c>
      <c r="C494" s="0" t="s">
        <v>54</v>
      </c>
      <c r="D494" s="0" t="n">
        <v>15030</v>
      </c>
      <c r="E494" s="0" t="s">
        <v>7266</v>
      </c>
      <c r="G494" s="0" t="s">
        <v>7267</v>
      </c>
    </row>
    <row r="495" customFormat="false" ht="15" hidden="false" customHeight="false" outlineLevel="0" collapsed="false">
      <c r="A495" s="0" t="s">
        <v>149</v>
      </c>
      <c r="B495" s="0" t="n">
        <v>2016</v>
      </c>
      <c r="C495" s="0" t="s">
        <v>1327</v>
      </c>
      <c r="D495" s="0" t="n">
        <v>142500</v>
      </c>
      <c r="E495" s="0" t="s">
        <v>7266</v>
      </c>
      <c r="G495" s="0" t="s">
        <v>7267</v>
      </c>
    </row>
    <row r="496" customFormat="false" ht="15" hidden="false" customHeight="false" outlineLevel="0" collapsed="false">
      <c r="A496" s="0" t="s">
        <v>149</v>
      </c>
      <c r="B496" s="0" t="n">
        <v>2016</v>
      </c>
      <c r="C496" s="0" t="s">
        <v>55</v>
      </c>
      <c r="D496" s="0" t="n">
        <v>993759</v>
      </c>
      <c r="E496" s="0" t="s">
        <v>7266</v>
      </c>
      <c r="G496" s="0" t="s">
        <v>7267</v>
      </c>
    </row>
    <row r="497" customFormat="false" ht="15" hidden="false" customHeight="false" outlineLevel="0" collapsed="false">
      <c r="A497" s="0" t="s">
        <v>149</v>
      </c>
      <c r="B497" s="0" t="n">
        <v>2016</v>
      </c>
      <c r="C497" s="0" t="s">
        <v>60</v>
      </c>
      <c r="D497" s="0" t="n">
        <v>390580</v>
      </c>
      <c r="E497" s="0" t="s">
        <v>7266</v>
      </c>
      <c r="G497" s="0" t="s">
        <v>7267</v>
      </c>
    </row>
    <row r="498" customFormat="false" ht="15" hidden="false" customHeight="false" outlineLevel="0" collapsed="false">
      <c r="A498" s="0" t="s">
        <v>149</v>
      </c>
      <c r="B498" s="0" t="n">
        <v>2016</v>
      </c>
      <c r="C498" s="0" t="s">
        <v>61</v>
      </c>
      <c r="D498" s="0" t="n">
        <v>22351</v>
      </c>
      <c r="E498" s="0" t="s">
        <v>7266</v>
      </c>
      <c r="G498" s="0" t="s">
        <v>7267</v>
      </c>
    </row>
    <row r="499" customFormat="false" ht="15" hidden="false" customHeight="false" outlineLevel="0" collapsed="false">
      <c r="A499" s="0" t="s">
        <v>149</v>
      </c>
      <c r="B499" s="0" t="n">
        <v>2016</v>
      </c>
      <c r="C499" s="0" t="s">
        <v>63</v>
      </c>
      <c r="D499" s="0" t="n">
        <v>20272</v>
      </c>
      <c r="E499" s="0" t="s">
        <v>7266</v>
      </c>
      <c r="G499" s="0" t="s">
        <v>7267</v>
      </c>
    </row>
    <row r="500" customFormat="false" ht="15" hidden="false" customHeight="false" outlineLevel="0" collapsed="false">
      <c r="A500" s="0" t="s">
        <v>149</v>
      </c>
      <c r="B500" s="0" t="n">
        <v>2016</v>
      </c>
      <c r="C500" s="0" t="s">
        <v>327</v>
      </c>
      <c r="D500" s="0" t="n">
        <v>4.78</v>
      </c>
      <c r="E500" s="0" t="s">
        <v>7266</v>
      </c>
      <c r="G500" s="0" t="s">
        <v>7267</v>
      </c>
    </row>
    <row r="501" customFormat="false" ht="15" hidden="false" customHeight="false" outlineLevel="0" collapsed="false">
      <c r="A501" s="0" t="s">
        <v>149</v>
      </c>
      <c r="B501" s="0" t="n">
        <v>2016</v>
      </c>
      <c r="C501" s="0" t="s">
        <v>69</v>
      </c>
      <c r="D501" s="0" t="n">
        <v>21</v>
      </c>
      <c r="E501" s="0" t="s">
        <v>7266</v>
      </c>
      <c r="G501" s="0" t="s">
        <v>7267</v>
      </c>
    </row>
    <row r="502" customFormat="false" ht="15" hidden="false" customHeight="false" outlineLevel="0" collapsed="false">
      <c r="A502" s="0" t="s">
        <v>149</v>
      </c>
      <c r="B502" s="0" t="n">
        <v>2016</v>
      </c>
      <c r="C502" s="0" t="s">
        <v>73</v>
      </c>
      <c r="D502" s="0" t="n">
        <v>0</v>
      </c>
      <c r="E502" s="0" t="s">
        <v>7266</v>
      </c>
      <c r="G502" s="0" t="s">
        <v>7267</v>
      </c>
    </row>
    <row r="503" customFormat="false" ht="15" hidden="false" customHeight="false" outlineLevel="0" collapsed="false">
      <c r="A503" s="0" t="s">
        <v>149</v>
      </c>
      <c r="B503" s="0" t="n">
        <v>2016</v>
      </c>
      <c r="C503" s="0" t="s">
        <v>1804</v>
      </c>
      <c r="D503" s="0" t="s">
        <v>7268</v>
      </c>
      <c r="E503" s="0" t="s">
        <v>7266</v>
      </c>
      <c r="G503" s="0" t="s">
        <v>7267</v>
      </c>
    </row>
    <row r="504" customFormat="false" ht="15" hidden="false" customHeight="false" outlineLevel="0" collapsed="false">
      <c r="A504" s="0" t="s">
        <v>149</v>
      </c>
      <c r="B504" s="0" t="n">
        <v>2017</v>
      </c>
      <c r="C504" s="0" t="s">
        <v>54</v>
      </c>
      <c r="D504" s="0" t="n">
        <v>28842</v>
      </c>
      <c r="E504" s="0" t="s">
        <v>7266</v>
      </c>
      <c r="G504" s="0" t="s">
        <v>7267</v>
      </c>
    </row>
    <row r="505" customFormat="false" ht="15" hidden="false" customHeight="false" outlineLevel="0" collapsed="false">
      <c r="A505" s="0" t="s">
        <v>149</v>
      </c>
      <c r="B505" s="0" t="n">
        <v>2017</v>
      </c>
      <c r="C505" s="0" t="s">
        <v>1327</v>
      </c>
      <c r="D505" s="0" t="n">
        <v>166302</v>
      </c>
      <c r="E505" s="0" t="s">
        <v>7266</v>
      </c>
      <c r="G505" s="0" t="s">
        <v>7267</v>
      </c>
    </row>
    <row r="506" customFormat="false" ht="15" hidden="false" customHeight="false" outlineLevel="0" collapsed="false">
      <c r="A506" s="0" t="s">
        <v>149</v>
      </c>
      <c r="B506" s="0" t="n">
        <v>2017</v>
      </c>
      <c r="C506" s="0" t="s">
        <v>55</v>
      </c>
      <c r="D506" s="0" t="n">
        <v>1332669</v>
      </c>
      <c r="E506" s="0" t="s">
        <v>7266</v>
      </c>
      <c r="G506" s="0" t="s">
        <v>7267</v>
      </c>
    </row>
    <row r="507" customFormat="false" ht="15" hidden="false" customHeight="false" outlineLevel="0" collapsed="false">
      <c r="A507" s="0" t="s">
        <v>149</v>
      </c>
      <c r="B507" s="0" t="n">
        <v>2017</v>
      </c>
      <c r="C507" s="0" t="s">
        <v>60</v>
      </c>
      <c r="D507" s="0" t="n">
        <v>391000</v>
      </c>
      <c r="E507" s="0" t="s">
        <v>7266</v>
      </c>
      <c r="G507" s="0" t="s">
        <v>7267</v>
      </c>
    </row>
    <row r="508" customFormat="false" ht="15" hidden="false" customHeight="false" outlineLevel="0" collapsed="false">
      <c r="A508" s="0" t="s">
        <v>149</v>
      </c>
      <c r="B508" s="0" t="n">
        <v>2017</v>
      </c>
      <c r="C508" s="0" t="s">
        <v>61</v>
      </c>
      <c r="D508" s="0" t="n">
        <v>26000</v>
      </c>
      <c r="E508" s="0" t="s">
        <v>7266</v>
      </c>
      <c r="G508" s="0" t="s">
        <v>7267</v>
      </c>
    </row>
    <row r="509" customFormat="false" ht="15" hidden="false" customHeight="false" outlineLevel="0" collapsed="false">
      <c r="A509" s="0" t="s">
        <v>149</v>
      </c>
      <c r="B509" s="0" t="n">
        <v>2017</v>
      </c>
      <c r="C509" s="0" t="s">
        <v>63</v>
      </c>
      <c r="D509" s="0" t="n">
        <v>-25577</v>
      </c>
      <c r="E509" s="0" t="s">
        <v>7266</v>
      </c>
      <c r="G509" s="0" t="s">
        <v>7267</v>
      </c>
    </row>
    <row r="510" customFormat="false" ht="15" hidden="false" customHeight="false" outlineLevel="0" collapsed="false">
      <c r="A510" s="0" t="s">
        <v>149</v>
      </c>
      <c r="B510" s="0" t="n">
        <v>2017</v>
      </c>
      <c r="C510" s="0" t="s">
        <v>327</v>
      </c>
      <c r="D510" s="0" t="n">
        <v>4.2</v>
      </c>
      <c r="E510" s="0" t="s">
        <v>7266</v>
      </c>
      <c r="G510" s="0" t="s">
        <v>7267</v>
      </c>
    </row>
    <row r="511" customFormat="false" ht="15" hidden="false" customHeight="false" outlineLevel="0" collapsed="false">
      <c r="A511" s="0" t="s">
        <v>149</v>
      </c>
      <c r="B511" s="0" t="n">
        <v>2017</v>
      </c>
      <c r="C511" s="0" t="s">
        <v>69</v>
      </c>
      <c r="D511" s="0" t="n">
        <v>20.5</v>
      </c>
      <c r="E511" s="0" t="s">
        <v>7266</v>
      </c>
      <c r="G511" s="0" t="s">
        <v>7267</v>
      </c>
    </row>
    <row r="512" customFormat="false" ht="15" hidden="false" customHeight="false" outlineLevel="0" collapsed="false">
      <c r="A512" s="0" t="s">
        <v>149</v>
      </c>
      <c r="B512" s="0" t="n">
        <v>2017</v>
      </c>
      <c r="C512" s="0" t="s">
        <v>73</v>
      </c>
      <c r="D512" s="0" t="n">
        <v>0</v>
      </c>
      <c r="E512" s="0" t="s">
        <v>7266</v>
      </c>
      <c r="G512" s="0" t="s">
        <v>7267</v>
      </c>
    </row>
    <row r="513" customFormat="false" ht="15" hidden="false" customHeight="false" outlineLevel="0" collapsed="false">
      <c r="A513" s="0" t="s">
        <v>149</v>
      </c>
      <c r="B513" s="0" t="n">
        <v>2017</v>
      </c>
      <c r="C513" s="0" t="s">
        <v>1804</v>
      </c>
      <c r="D513" s="0" t="s">
        <v>3392</v>
      </c>
      <c r="E513" s="0" t="s">
        <v>7266</v>
      </c>
      <c r="G513" s="0" t="s">
        <v>7267</v>
      </c>
    </row>
    <row r="514" customFormat="false" ht="15" hidden="false" customHeight="false" outlineLevel="0" collapsed="false">
      <c r="A514" s="0" t="s">
        <v>149</v>
      </c>
      <c r="B514" s="0" t="n">
        <v>2018</v>
      </c>
      <c r="C514" s="0" t="s">
        <v>54</v>
      </c>
      <c r="D514" s="0" t="n">
        <v>49912</v>
      </c>
      <c r="E514" s="0" t="s">
        <v>7266</v>
      </c>
      <c r="G514" s="0" t="s">
        <v>7267</v>
      </c>
    </row>
    <row r="515" customFormat="false" ht="15" hidden="false" customHeight="false" outlineLevel="0" collapsed="false">
      <c r="A515" s="0" t="s">
        <v>149</v>
      </c>
      <c r="B515" s="0" t="n">
        <v>2018</v>
      </c>
      <c r="C515" s="0" t="s">
        <v>1327</v>
      </c>
      <c r="D515" s="0" t="n">
        <v>169207</v>
      </c>
      <c r="E515" s="0" t="s">
        <v>7266</v>
      </c>
      <c r="G515" s="0" t="s">
        <v>7267</v>
      </c>
    </row>
    <row r="516" customFormat="false" ht="15" hidden="false" customHeight="false" outlineLevel="0" collapsed="false">
      <c r="A516" s="0" t="s">
        <v>149</v>
      </c>
      <c r="B516" s="0" t="n">
        <v>2018</v>
      </c>
      <c r="C516" s="0" t="s">
        <v>55</v>
      </c>
      <c r="D516" s="0" t="n">
        <v>1613500</v>
      </c>
      <c r="E516" s="0" t="s">
        <v>7266</v>
      </c>
      <c r="G516" s="0" t="s">
        <v>7267</v>
      </c>
    </row>
    <row r="517" customFormat="false" ht="15" hidden="false" customHeight="false" outlineLevel="0" collapsed="false">
      <c r="A517" s="0" t="s">
        <v>149</v>
      </c>
      <c r="B517" s="0" t="n">
        <v>2018</v>
      </c>
      <c r="C517" s="0" t="s">
        <v>60</v>
      </c>
      <c r="D517" s="0" t="n">
        <v>600000</v>
      </c>
      <c r="E517" s="0" t="s">
        <v>7266</v>
      </c>
      <c r="G517" s="0" t="s">
        <v>7267</v>
      </c>
    </row>
    <row r="518" customFormat="false" ht="15" hidden="false" customHeight="false" outlineLevel="0" collapsed="false">
      <c r="A518" s="0" t="s">
        <v>149</v>
      </c>
      <c r="B518" s="0" t="n">
        <v>2018</v>
      </c>
      <c r="C518" s="0" t="s">
        <v>61</v>
      </c>
      <c r="D518" s="0" t="n">
        <v>28500</v>
      </c>
      <c r="E518" s="0" t="s">
        <v>7266</v>
      </c>
      <c r="G518" s="0" t="s">
        <v>7267</v>
      </c>
    </row>
    <row r="519" customFormat="false" ht="15" hidden="false" customHeight="false" outlineLevel="0" collapsed="false">
      <c r="A519" s="0" t="s">
        <v>149</v>
      </c>
      <c r="B519" s="0" t="n">
        <v>2018</v>
      </c>
      <c r="C519" s="0" t="s">
        <v>63</v>
      </c>
      <c r="D519" s="0" t="n">
        <v>2988</v>
      </c>
      <c r="E519" s="0" t="s">
        <v>7266</v>
      </c>
      <c r="G519" s="0" t="s">
        <v>7267</v>
      </c>
    </row>
    <row r="520" customFormat="false" ht="15" hidden="false" customHeight="false" outlineLevel="0" collapsed="false">
      <c r="A520" s="0" t="s">
        <v>149</v>
      </c>
      <c r="B520" s="0" t="n">
        <v>2018</v>
      </c>
      <c r="C520" s="0" t="s">
        <v>327</v>
      </c>
      <c r="D520" s="0" t="n">
        <v>3.9</v>
      </c>
      <c r="E520" s="0" t="s">
        <v>7266</v>
      </c>
      <c r="G520" s="0" t="s">
        <v>7267</v>
      </c>
    </row>
    <row r="521" customFormat="false" ht="15" hidden="false" customHeight="false" outlineLevel="0" collapsed="false">
      <c r="A521" s="0" t="s">
        <v>149</v>
      </c>
      <c r="B521" s="0" t="n">
        <v>2018</v>
      </c>
      <c r="C521" s="0" t="s">
        <v>69</v>
      </c>
      <c r="D521" s="0" t="n">
        <v>18.5</v>
      </c>
      <c r="E521" s="0" t="s">
        <v>7266</v>
      </c>
      <c r="G521" s="0" t="s">
        <v>7267</v>
      </c>
    </row>
    <row r="522" customFormat="false" ht="15" hidden="false" customHeight="false" outlineLevel="0" collapsed="false">
      <c r="A522" s="0" t="s">
        <v>149</v>
      </c>
      <c r="B522" s="0" t="n">
        <v>2018</v>
      </c>
      <c r="C522" s="0" t="s">
        <v>73</v>
      </c>
      <c r="D522" s="0" t="n">
        <v>0</v>
      </c>
      <c r="E522" s="0" t="s">
        <v>7266</v>
      </c>
      <c r="G522" s="0" t="s">
        <v>7267</v>
      </c>
    </row>
    <row r="523" customFormat="false" ht="15" hidden="false" customHeight="false" outlineLevel="0" collapsed="false">
      <c r="A523" s="0" t="s">
        <v>149</v>
      </c>
      <c r="B523" s="0" t="n">
        <v>2018</v>
      </c>
      <c r="C523" s="0" t="s">
        <v>1804</v>
      </c>
      <c r="D523" s="0" t="s">
        <v>7268</v>
      </c>
      <c r="E523" s="0" t="s">
        <v>7266</v>
      </c>
      <c r="G523" s="0" t="s">
        <v>7267</v>
      </c>
    </row>
    <row r="524" customFormat="false" ht="15" hidden="false" customHeight="false" outlineLevel="0" collapsed="false">
      <c r="A524" s="0" t="s">
        <v>149</v>
      </c>
      <c r="B524" s="0" t="n">
        <v>2019</v>
      </c>
      <c r="C524" s="0" t="s">
        <v>54</v>
      </c>
      <c r="D524" s="0" t="n">
        <v>52287</v>
      </c>
      <c r="E524" s="0" t="s">
        <v>7266</v>
      </c>
      <c r="G524" s="0" t="s">
        <v>7267</v>
      </c>
    </row>
    <row r="525" customFormat="false" ht="15" hidden="false" customHeight="false" outlineLevel="0" collapsed="false">
      <c r="A525" s="0" t="s">
        <v>149</v>
      </c>
      <c r="B525" s="0" t="n">
        <v>2019</v>
      </c>
      <c r="C525" s="0" t="s">
        <v>1327</v>
      </c>
      <c r="D525" s="0" t="n">
        <v>178828</v>
      </c>
      <c r="E525" s="0" t="s">
        <v>7266</v>
      </c>
      <c r="G525" s="0" t="s">
        <v>7267</v>
      </c>
    </row>
    <row r="526" customFormat="false" ht="15" hidden="false" customHeight="false" outlineLevel="0" collapsed="false">
      <c r="A526" s="0" t="s">
        <v>149</v>
      </c>
      <c r="B526" s="0" t="n">
        <v>2019</v>
      </c>
      <c r="C526" s="0" t="s">
        <v>55</v>
      </c>
      <c r="D526" s="0" t="n">
        <v>1850000</v>
      </c>
      <c r="E526" s="0" t="s">
        <v>7266</v>
      </c>
      <c r="G526" s="0" t="s">
        <v>7267</v>
      </c>
    </row>
    <row r="527" customFormat="false" ht="15" hidden="false" customHeight="false" outlineLevel="0" collapsed="false">
      <c r="A527" s="0" t="s">
        <v>149</v>
      </c>
      <c r="B527" s="0" t="n">
        <v>2019</v>
      </c>
      <c r="C527" s="0" t="s">
        <v>60</v>
      </c>
      <c r="D527" s="0" t="n">
        <v>630000</v>
      </c>
      <c r="E527" s="0" t="s">
        <v>7266</v>
      </c>
      <c r="G527" s="0" t="s">
        <v>7267</v>
      </c>
    </row>
    <row r="528" customFormat="false" ht="15" hidden="false" customHeight="false" outlineLevel="0" collapsed="false">
      <c r="A528" s="0" t="s">
        <v>149</v>
      </c>
      <c r="B528" s="0" t="n">
        <v>2019</v>
      </c>
      <c r="C528" s="0" t="s">
        <v>61</v>
      </c>
      <c r="D528" s="0" t="n">
        <v>29000</v>
      </c>
      <c r="E528" s="0" t="s">
        <v>7266</v>
      </c>
      <c r="G528" s="0" t="s">
        <v>7267</v>
      </c>
    </row>
    <row r="529" customFormat="false" ht="15" hidden="false" customHeight="false" outlineLevel="0" collapsed="false">
      <c r="A529" s="0" t="s">
        <v>149</v>
      </c>
      <c r="B529" s="0" t="n">
        <v>2019</v>
      </c>
      <c r="C529" s="0" t="s">
        <v>63</v>
      </c>
      <c r="D529" s="0" t="n">
        <v>-1664</v>
      </c>
      <c r="E529" s="0" t="s">
        <v>7266</v>
      </c>
      <c r="G529" s="0" t="s">
        <v>7267</v>
      </c>
    </row>
    <row r="530" customFormat="false" ht="15" hidden="false" customHeight="false" outlineLevel="0" collapsed="false">
      <c r="A530" s="0" t="s">
        <v>149</v>
      </c>
      <c r="B530" s="0" t="n">
        <v>2019</v>
      </c>
      <c r="C530" s="0" t="s">
        <v>327</v>
      </c>
      <c r="D530" s="0" t="n">
        <v>3.5</v>
      </c>
      <c r="E530" s="0" t="s">
        <v>7266</v>
      </c>
      <c r="G530" s="0" t="s">
        <v>7267</v>
      </c>
    </row>
    <row r="531" customFormat="false" ht="15" hidden="false" customHeight="false" outlineLevel="0" collapsed="false">
      <c r="A531" s="0" t="s">
        <v>149</v>
      </c>
      <c r="B531" s="0" t="n">
        <v>2019</v>
      </c>
      <c r="C531" s="0" t="s">
        <v>69</v>
      </c>
      <c r="D531" s="0" t="n">
        <v>19</v>
      </c>
      <c r="E531" s="0" t="s">
        <v>7266</v>
      </c>
      <c r="G531" s="0" t="s">
        <v>7267</v>
      </c>
    </row>
    <row r="532" customFormat="false" ht="15" hidden="false" customHeight="false" outlineLevel="0" collapsed="false">
      <c r="A532" s="0" t="s">
        <v>149</v>
      </c>
      <c r="B532" s="0" t="n">
        <v>2019</v>
      </c>
      <c r="C532" s="0" t="s">
        <v>73</v>
      </c>
      <c r="D532" s="0" t="n">
        <v>0</v>
      </c>
      <c r="E532" s="0" t="s">
        <v>7266</v>
      </c>
      <c r="G532" s="0" t="s">
        <v>7267</v>
      </c>
    </row>
    <row r="533" customFormat="false" ht="15" hidden="false" customHeight="false" outlineLevel="0" collapsed="false">
      <c r="A533" s="0" t="s">
        <v>149</v>
      </c>
      <c r="B533" s="0" t="n">
        <v>2019</v>
      </c>
      <c r="C533" s="0" t="s">
        <v>1804</v>
      </c>
      <c r="D533" s="0" t="s">
        <v>7268</v>
      </c>
      <c r="E533" s="0" t="s">
        <v>7266</v>
      </c>
      <c r="G533" s="0" t="s">
        <v>7267</v>
      </c>
    </row>
    <row r="534" customFormat="false" ht="15" hidden="false" customHeight="false" outlineLevel="0" collapsed="false">
      <c r="A534" s="0" t="s">
        <v>149</v>
      </c>
      <c r="B534" s="0" t="n">
        <v>2020</v>
      </c>
      <c r="C534" s="0" t="s">
        <v>54</v>
      </c>
      <c r="D534" s="0" t="n">
        <v>59489</v>
      </c>
      <c r="E534" s="0" t="s">
        <v>7266</v>
      </c>
      <c r="G534" s="0" t="s">
        <v>7267</v>
      </c>
    </row>
    <row r="535" customFormat="false" ht="15" hidden="false" customHeight="false" outlineLevel="0" collapsed="false">
      <c r="A535" s="0" t="s">
        <v>149</v>
      </c>
      <c r="B535" s="0" t="n">
        <v>2020</v>
      </c>
      <c r="C535" s="0" t="s">
        <v>1327</v>
      </c>
      <c r="D535" s="0" t="n">
        <v>178308</v>
      </c>
      <c r="E535" s="0" t="s">
        <v>7266</v>
      </c>
      <c r="G535" s="0" t="s">
        <v>7267</v>
      </c>
    </row>
    <row r="536" customFormat="false" ht="15" hidden="false" customHeight="false" outlineLevel="0" collapsed="false">
      <c r="A536" s="0" t="s">
        <v>149</v>
      </c>
      <c r="B536" s="0" t="n">
        <v>2020</v>
      </c>
      <c r="C536" s="0" t="s">
        <v>55</v>
      </c>
      <c r="D536" s="0" t="n">
        <v>2370347</v>
      </c>
      <c r="E536" s="0" t="s">
        <v>7266</v>
      </c>
      <c r="G536" s="0" t="s">
        <v>7267</v>
      </c>
    </row>
    <row r="537" customFormat="false" ht="15" hidden="false" customHeight="false" outlineLevel="0" collapsed="false">
      <c r="A537" s="0" t="s">
        <v>149</v>
      </c>
      <c r="B537" s="0" t="n">
        <v>2020</v>
      </c>
      <c r="C537" s="0" t="s">
        <v>60</v>
      </c>
      <c r="D537" s="0" t="n">
        <v>655292</v>
      </c>
      <c r="E537" s="0" t="s">
        <v>7266</v>
      </c>
      <c r="G537" s="0" t="s">
        <v>7267</v>
      </c>
    </row>
    <row r="538" customFormat="false" ht="15" hidden="false" customHeight="false" outlineLevel="0" collapsed="false">
      <c r="A538" s="0" t="s">
        <v>149</v>
      </c>
      <c r="B538" s="0" t="n">
        <v>2020</v>
      </c>
      <c r="C538" s="0" t="s">
        <v>61</v>
      </c>
      <c r="D538" s="0" t="n">
        <v>30153</v>
      </c>
      <c r="E538" s="0" t="s">
        <v>7266</v>
      </c>
      <c r="G538" s="0" t="s">
        <v>7267</v>
      </c>
    </row>
    <row r="539" customFormat="false" ht="15" hidden="false" customHeight="false" outlineLevel="0" collapsed="false">
      <c r="A539" s="0" t="s">
        <v>149</v>
      </c>
      <c r="B539" s="0" t="n">
        <v>2020</v>
      </c>
      <c r="C539" s="0" t="s">
        <v>63</v>
      </c>
      <c r="D539" s="0" t="n">
        <v>-10170</v>
      </c>
      <c r="E539" s="0" t="s">
        <v>7266</v>
      </c>
      <c r="G539" s="0" t="s">
        <v>7267</v>
      </c>
    </row>
    <row r="540" customFormat="false" ht="15" hidden="false" customHeight="false" outlineLevel="0" collapsed="false">
      <c r="A540" s="0" t="s">
        <v>149</v>
      </c>
      <c r="B540" s="0" t="n">
        <v>2020</v>
      </c>
      <c r="C540" s="0" t="s">
        <v>327</v>
      </c>
      <c r="D540" s="0" t="n">
        <v>4.04</v>
      </c>
      <c r="E540" s="0" t="s">
        <v>7266</v>
      </c>
      <c r="G540" s="0" t="s">
        <v>7267</v>
      </c>
    </row>
    <row r="541" customFormat="false" ht="15" hidden="false" customHeight="false" outlineLevel="0" collapsed="false">
      <c r="A541" s="0" t="s">
        <v>149</v>
      </c>
      <c r="B541" s="0" t="n">
        <v>2020</v>
      </c>
      <c r="C541" s="0" t="s">
        <v>69</v>
      </c>
      <c r="D541" s="0" t="n">
        <v>19.4</v>
      </c>
      <c r="E541" s="0" t="s">
        <v>7266</v>
      </c>
      <c r="G541" s="0" t="s">
        <v>7267</v>
      </c>
    </row>
    <row r="542" customFormat="false" ht="15" hidden="false" customHeight="false" outlineLevel="0" collapsed="false">
      <c r="A542" s="0" t="s">
        <v>149</v>
      </c>
      <c r="B542" s="0" t="n">
        <v>2020</v>
      </c>
      <c r="C542" s="0" t="s">
        <v>73</v>
      </c>
      <c r="D542" s="0" t="n">
        <v>0</v>
      </c>
      <c r="E542" s="0" t="s">
        <v>7266</v>
      </c>
      <c r="G542" s="0" t="s">
        <v>7267</v>
      </c>
    </row>
    <row r="543" customFormat="false" ht="15" hidden="false" customHeight="false" outlineLevel="0" collapsed="false">
      <c r="A543" s="0" t="s">
        <v>149</v>
      </c>
      <c r="B543" s="0" t="n">
        <v>2020</v>
      </c>
      <c r="C543" s="0" t="s">
        <v>1804</v>
      </c>
      <c r="D543" s="0" t="s">
        <v>7268</v>
      </c>
      <c r="E543" s="0" t="s">
        <v>7266</v>
      </c>
      <c r="G543" s="0" t="s">
        <v>7267</v>
      </c>
    </row>
    <row r="544" customFormat="false" ht="15" hidden="false" customHeight="false" outlineLevel="0" collapsed="false">
      <c r="A544" s="0" t="s">
        <v>149</v>
      </c>
      <c r="B544" s="0" t="n">
        <v>2021</v>
      </c>
      <c r="C544" s="0" t="s">
        <v>54</v>
      </c>
      <c r="D544" s="0" t="n">
        <v>29570</v>
      </c>
      <c r="E544" s="0" t="s">
        <v>7266</v>
      </c>
      <c r="G544" s="0" t="s">
        <v>7267</v>
      </c>
    </row>
    <row r="545" customFormat="false" ht="15" hidden="false" customHeight="false" outlineLevel="0" collapsed="false">
      <c r="A545" s="0" t="s">
        <v>149</v>
      </c>
      <c r="B545" s="0" t="n">
        <v>2021</v>
      </c>
      <c r="C545" s="0" t="s">
        <v>1327</v>
      </c>
      <c r="D545" s="0" t="n">
        <v>140036</v>
      </c>
      <c r="E545" s="0" t="s">
        <v>7266</v>
      </c>
      <c r="G545" s="0" t="s">
        <v>7267</v>
      </c>
    </row>
    <row r="546" customFormat="false" ht="15" hidden="false" customHeight="false" outlineLevel="0" collapsed="false">
      <c r="A546" s="0" t="s">
        <v>149</v>
      </c>
      <c r="B546" s="0" t="n">
        <v>2021</v>
      </c>
      <c r="C546" s="0" t="s">
        <v>55</v>
      </c>
      <c r="D546" s="0" t="n">
        <v>2614087</v>
      </c>
      <c r="E546" s="0" t="s">
        <v>7266</v>
      </c>
      <c r="G546" s="0" t="s">
        <v>7267</v>
      </c>
    </row>
    <row r="547" customFormat="false" ht="15" hidden="false" customHeight="false" outlineLevel="0" collapsed="false">
      <c r="A547" s="0" t="s">
        <v>149</v>
      </c>
      <c r="B547" s="0" t="n">
        <v>2021</v>
      </c>
      <c r="C547" s="0" t="s">
        <v>60</v>
      </c>
      <c r="D547" s="0" t="n">
        <v>946259</v>
      </c>
      <c r="E547" s="0" t="s">
        <v>7266</v>
      </c>
      <c r="G547" s="0" t="s">
        <v>7267</v>
      </c>
    </row>
    <row r="548" customFormat="false" ht="15" hidden="false" customHeight="false" outlineLevel="0" collapsed="false">
      <c r="A548" s="0" t="s">
        <v>149</v>
      </c>
      <c r="B548" s="0" t="n">
        <v>2021</v>
      </c>
      <c r="C548" s="0" t="s">
        <v>61</v>
      </c>
      <c r="D548" s="0" t="n">
        <v>25215</v>
      </c>
      <c r="E548" s="0" t="s">
        <v>7266</v>
      </c>
      <c r="G548" s="0" t="s">
        <v>7267</v>
      </c>
    </row>
    <row r="549" customFormat="false" ht="15" hidden="false" customHeight="false" outlineLevel="0" collapsed="false">
      <c r="A549" s="0" t="s">
        <v>149</v>
      </c>
      <c r="B549" s="0" t="n">
        <v>2021</v>
      </c>
      <c r="C549" s="0" t="s">
        <v>63</v>
      </c>
      <c r="D549" s="0" t="n">
        <v>1208</v>
      </c>
      <c r="E549" s="0" t="s">
        <v>7266</v>
      </c>
      <c r="G549" s="0" t="s">
        <v>7267</v>
      </c>
    </row>
    <row r="550" customFormat="false" ht="15" hidden="false" customHeight="false" outlineLevel="0" collapsed="false">
      <c r="A550" s="0" t="s">
        <v>149</v>
      </c>
      <c r="B550" s="0" t="n">
        <v>2021</v>
      </c>
      <c r="C550" s="0" t="s">
        <v>327</v>
      </c>
      <c r="D550" s="0" t="n">
        <v>2.15</v>
      </c>
      <c r="E550" s="0" t="s">
        <v>7266</v>
      </c>
      <c r="G550" s="0" t="s">
        <v>7267</v>
      </c>
    </row>
    <row r="551" customFormat="false" ht="15" hidden="false" customHeight="false" outlineLevel="0" collapsed="false">
      <c r="A551" s="0" t="s">
        <v>149</v>
      </c>
      <c r="B551" s="0" t="n">
        <v>2021</v>
      </c>
      <c r="C551" s="0" t="s">
        <v>69</v>
      </c>
      <c r="D551" s="0" t="n">
        <v>16.1</v>
      </c>
      <c r="E551" s="0" t="s">
        <v>7266</v>
      </c>
      <c r="G551" s="0" t="s">
        <v>7267</v>
      </c>
    </row>
    <row r="552" customFormat="false" ht="15" hidden="false" customHeight="false" outlineLevel="0" collapsed="false">
      <c r="A552" s="0" t="s">
        <v>149</v>
      </c>
      <c r="B552" s="0" t="n">
        <v>2021</v>
      </c>
      <c r="C552" s="0" t="s">
        <v>73</v>
      </c>
      <c r="D552" s="0" t="n">
        <v>0</v>
      </c>
      <c r="E552" s="0" t="s">
        <v>7266</v>
      </c>
      <c r="G552" s="0" t="s">
        <v>7267</v>
      </c>
    </row>
    <row r="553" customFormat="false" ht="15" hidden="false" customHeight="false" outlineLevel="0" collapsed="false">
      <c r="A553" s="0" t="s">
        <v>149</v>
      </c>
      <c r="B553" s="0" t="n">
        <v>2021</v>
      </c>
      <c r="C553" s="0" t="s">
        <v>1804</v>
      </c>
      <c r="D553" s="0" t="s">
        <v>7268</v>
      </c>
      <c r="E553" s="0" t="s">
        <v>7266</v>
      </c>
      <c r="G553" s="0" t="s">
        <v>7267</v>
      </c>
    </row>
    <row r="554" customFormat="false" ht="15" hidden="false" customHeight="false" outlineLevel="0" collapsed="false">
      <c r="A554" s="0" t="s">
        <v>149</v>
      </c>
      <c r="B554" s="0" t="n">
        <v>2022</v>
      </c>
      <c r="C554" s="0" t="s">
        <v>54</v>
      </c>
      <c r="D554" s="0" t="n">
        <v>55150</v>
      </c>
      <c r="E554" s="0" t="s">
        <v>7266</v>
      </c>
      <c r="G554" s="0" t="s">
        <v>7267</v>
      </c>
    </row>
    <row r="555" customFormat="false" ht="15" hidden="false" customHeight="false" outlineLevel="0" collapsed="false">
      <c r="A555" s="0" t="s">
        <v>149</v>
      </c>
      <c r="B555" s="0" t="n">
        <v>2022</v>
      </c>
      <c r="C555" s="0" t="s">
        <v>1327</v>
      </c>
      <c r="D555" s="0" t="n">
        <v>211549</v>
      </c>
      <c r="E555" s="0" t="s">
        <v>7266</v>
      </c>
      <c r="G555" s="0" t="s">
        <v>7267</v>
      </c>
    </row>
    <row r="556" customFormat="false" ht="15" hidden="false" customHeight="false" outlineLevel="0" collapsed="false">
      <c r="A556" s="0" t="s">
        <v>149</v>
      </c>
      <c r="B556" s="0" t="n">
        <v>2022</v>
      </c>
      <c r="C556" s="0" t="s">
        <v>55</v>
      </c>
      <c r="D556" s="0" t="n">
        <v>2854509</v>
      </c>
      <c r="E556" s="0" t="s">
        <v>7266</v>
      </c>
      <c r="G556" s="0" t="s">
        <v>7267</v>
      </c>
    </row>
    <row r="557" customFormat="false" ht="15" hidden="false" customHeight="false" outlineLevel="0" collapsed="false">
      <c r="A557" s="0" t="s">
        <v>149</v>
      </c>
      <c r="B557" s="0" t="n">
        <v>2022</v>
      </c>
      <c r="C557" s="0" t="s">
        <v>60</v>
      </c>
      <c r="D557" s="0" t="n">
        <v>1241603</v>
      </c>
      <c r="E557" s="0" t="s">
        <v>7266</v>
      </c>
      <c r="G557" s="0" t="s">
        <v>7267</v>
      </c>
    </row>
    <row r="558" customFormat="false" ht="15" hidden="false" customHeight="false" outlineLevel="0" collapsed="false">
      <c r="A558" s="0" t="s">
        <v>149</v>
      </c>
      <c r="B558" s="0" t="n">
        <v>2022</v>
      </c>
      <c r="C558" s="0" t="s">
        <v>61</v>
      </c>
      <c r="D558" s="0" t="n">
        <v>33414</v>
      </c>
      <c r="E558" s="0" t="s">
        <v>7266</v>
      </c>
      <c r="G558" s="0" t="s">
        <v>7267</v>
      </c>
    </row>
    <row r="559" customFormat="false" ht="15" hidden="false" customHeight="false" outlineLevel="0" collapsed="false">
      <c r="A559" s="0" t="s">
        <v>149</v>
      </c>
      <c r="B559" s="0" t="n">
        <v>2022</v>
      </c>
      <c r="C559" s="0" t="s">
        <v>63</v>
      </c>
      <c r="D559" s="0" t="n">
        <v>10147</v>
      </c>
      <c r="E559" s="0" t="s">
        <v>7266</v>
      </c>
      <c r="G559" s="0" t="s">
        <v>7267</v>
      </c>
    </row>
    <row r="560" customFormat="false" ht="15" hidden="false" customHeight="false" outlineLevel="0" collapsed="false">
      <c r="A560" s="0" t="s">
        <v>149</v>
      </c>
      <c r="B560" s="0" t="n">
        <v>2022</v>
      </c>
      <c r="C560" s="0" t="s">
        <v>327</v>
      </c>
      <c r="D560" s="0" t="n">
        <v>2.38</v>
      </c>
      <c r="E560" s="0" t="s">
        <v>7266</v>
      </c>
      <c r="G560" s="0" t="s">
        <v>7267</v>
      </c>
    </row>
    <row r="561" customFormat="false" ht="15" hidden="false" customHeight="false" outlineLevel="0" collapsed="false">
      <c r="A561" s="0" t="s">
        <v>149</v>
      </c>
      <c r="B561" s="0" t="n">
        <v>2022</v>
      </c>
      <c r="C561" s="0" t="s">
        <v>69</v>
      </c>
      <c r="D561" s="0" t="n">
        <v>18.4</v>
      </c>
      <c r="E561" s="0" t="s">
        <v>7266</v>
      </c>
      <c r="G561" s="0" t="s">
        <v>7267</v>
      </c>
    </row>
    <row r="562" customFormat="false" ht="15" hidden="false" customHeight="false" outlineLevel="0" collapsed="false">
      <c r="A562" s="0" t="s">
        <v>149</v>
      </c>
      <c r="B562" s="0" t="n">
        <v>2022</v>
      </c>
      <c r="C562" s="0" t="s">
        <v>73</v>
      </c>
      <c r="D562" s="0" t="n">
        <v>0</v>
      </c>
      <c r="E562" s="0" t="s">
        <v>7266</v>
      </c>
      <c r="G562" s="0" t="s">
        <v>7267</v>
      </c>
    </row>
    <row r="563" customFormat="false" ht="15" hidden="false" customHeight="false" outlineLevel="0" collapsed="false">
      <c r="A563" s="0" t="s">
        <v>149</v>
      </c>
      <c r="B563" s="0" t="n">
        <v>2022</v>
      </c>
      <c r="C563" s="0" t="s">
        <v>1804</v>
      </c>
      <c r="D563" s="0" t="s">
        <v>7268</v>
      </c>
      <c r="E563" s="0" t="s">
        <v>7266</v>
      </c>
      <c r="G563" s="0" t="s">
        <v>7267</v>
      </c>
    </row>
    <row r="564" customFormat="false" ht="15" hidden="false" customHeight="false" outlineLevel="0" collapsed="false">
      <c r="A564" s="0" t="s">
        <v>169</v>
      </c>
      <c r="B564" s="0" t="n">
        <v>2015</v>
      </c>
      <c r="C564" s="0" t="s">
        <v>54</v>
      </c>
      <c r="D564" s="0" t="n">
        <v>10293</v>
      </c>
      <c r="E564" s="0" t="s">
        <v>7266</v>
      </c>
      <c r="G564" s="0" t="s">
        <v>7267</v>
      </c>
    </row>
    <row r="565" customFormat="false" ht="15" hidden="false" customHeight="false" outlineLevel="0" collapsed="false">
      <c r="A565" s="0" t="s">
        <v>169</v>
      </c>
      <c r="B565" s="0" t="n">
        <v>2015</v>
      </c>
      <c r="C565" s="0" t="s">
        <v>1327</v>
      </c>
      <c r="D565" s="0" t="n">
        <v>110194</v>
      </c>
      <c r="E565" s="0" t="s">
        <v>7266</v>
      </c>
      <c r="G565" s="0" t="s">
        <v>7267</v>
      </c>
    </row>
    <row r="566" customFormat="false" ht="15" hidden="false" customHeight="false" outlineLevel="0" collapsed="false">
      <c r="A566" s="0" t="s">
        <v>169</v>
      </c>
      <c r="B566" s="0" t="n">
        <v>2015</v>
      </c>
      <c r="C566" s="0" t="s">
        <v>55</v>
      </c>
      <c r="D566" s="0" t="n">
        <v>799451</v>
      </c>
      <c r="E566" s="0" t="s">
        <v>7266</v>
      </c>
      <c r="G566" s="0" t="s">
        <v>7267</v>
      </c>
    </row>
    <row r="567" customFormat="false" ht="15" hidden="false" customHeight="false" outlineLevel="0" collapsed="false">
      <c r="A567" s="0" t="s">
        <v>169</v>
      </c>
      <c r="B567" s="0" t="n">
        <v>2015</v>
      </c>
      <c r="C567" s="0" t="s">
        <v>60</v>
      </c>
      <c r="D567" s="0" t="n">
        <v>354475</v>
      </c>
      <c r="E567" s="0" t="s">
        <v>7266</v>
      </c>
      <c r="G567" s="0" t="s">
        <v>7267</v>
      </c>
    </row>
    <row r="568" customFormat="false" ht="15" hidden="false" customHeight="false" outlineLevel="0" collapsed="false">
      <c r="A568" s="0" t="s">
        <v>169</v>
      </c>
      <c r="B568" s="0" t="n">
        <v>2015</v>
      </c>
      <c r="C568" s="0" t="s">
        <v>61</v>
      </c>
      <c r="D568" s="0" t="n">
        <v>15749</v>
      </c>
      <c r="E568" s="0" t="s">
        <v>7266</v>
      </c>
      <c r="G568" s="0" t="s">
        <v>7267</v>
      </c>
    </row>
    <row r="569" customFormat="false" ht="15" hidden="false" customHeight="false" outlineLevel="0" collapsed="false">
      <c r="A569" s="0" t="s">
        <v>169</v>
      </c>
      <c r="B569" s="0" t="n">
        <v>2015</v>
      </c>
      <c r="C569" s="0" t="s">
        <v>63</v>
      </c>
      <c r="D569" s="0" t="n">
        <v>8151</v>
      </c>
      <c r="E569" s="0" t="s">
        <v>7266</v>
      </c>
      <c r="G569" s="0" t="s">
        <v>7267</v>
      </c>
    </row>
    <row r="570" customFormat="false" ht="15" hidden="false" customHeight="false" outlineLevel="0" collapsed="false">
      <c r="A570" s="0" t="s">
        <v>169</v>
      </c>
      <c r="B570" s="0" t="n">
        <v>2015</v>
      </c>
      <c r="C570" s="0" t="s">
        <v>327</v>
      </c>
      <c r="D570" s="0" t="n">
        <v>4.8</v>
      </c>
      <c r="E570" s="0" t="s">
        <v>7266</v>
      </c>
      <c r="G570" s="0" t="s">
        <v>7267</v>
      </c>
    </row>
    <row r="571" customFormat="false" ht="15" hidden="false" customHeight="false" outlineLevel="0" collapsed="false">
      <c r="A571" s="0" t="s">
        <v>169</v>
      </c>
      <c r="B571" s="0" t="n">
        <v>2015</v>
      </c>
      <c r="C571" s="0" t="s">
        <v>69</v>
      </c>
      <c r="D571" s="0" t="n">
        <v>17.5</v>
      </c>
      <c r="E571" s="0" t="s">
        <v>7266</v>
      </c>
      <c r="G571" s="0" t="s">
        <v>7267</v>
      </c>
    </row>
    <row r="572" customFormat="false" ht="15" hidden="false" customHeight="false" outlineLevel="0" collapsed="false">
      <c r="A572" s="0" t="s">
        <v>169</v>
      </c>
      <c r="B572" s="0" t="n">
        <v>2015</v>
      </c>
      <c r="C572" s="0" t="s">
        <v>73</v>
      </c>
      <c r="D572" s="0" t="n">
        <v>0</v>
      </c>
      <c r="E572" s="0" t="s">
        <v>7266</v>
      </c>
      <c r="G572" s="0" t="s">
        <v>7267</v>
      </c>
    </row>
    <row r="573" customFormat="false" ht="15" hidden="false" customHeight="false" outlineLevel="0" collapsed="false">
      <c r="A573" s="0" t="s">
        <v>169</v>
      </c>
      <c r="B573" s="0" t="n">
        <v>2015</v>
      </c>
      <c r="C573" s="0" t="s">
        <v>1804</v>
      </c>
      <c r="D573" s="0" t="s">
        <v>1860</v>
      </c>
      <c r="E573" s="0" t="s">
        <v>7266</v>
      </c>
      <c r="G573" s="0" t="s">
        <v>7267</v>
      </c>
    </row>
    <row r="574" customFormat="false" ht="15" hidden="false" customHeight="false" outlineLevel="0" collapsed="false">
      <c r="A574" s="0" t="s">
        <v>169</v>
      </c>
      <c r="B574" s="0" t="n">
        <v>2016</v>
      </c>
      <c r="C574" s="0" t="s">
        <v>54</v>
      </c>
      <c r="D574" s="0" t="n">
        <v>5181</v>
      </c>
      <c r="E574" s="0" t="s">
        <v>7266</v>
      </c>
      <c r="G574" s="0" t="s">
        <v>7267</v>
      </c>
    </row>
    <row r="575" customFormat="false" ht="15" hidden="false" customHeight="false" outlineLevel="0" collapsed="false">
      <c r="A575" s="0" t="s">
        <v>169</v>
      </c>
      <c r="B575" s="0" t="n">
        <v>2016</v>
      </c>
      <c r="C575" s="0" t="s">
        <v>1327</v>
      </c>
      <c r="D575" s="0" t="n">
        <v>111238</v>
      </c>
      <c r="E575" s="0" t="s">
        <v>7266</v>
      </c>
      <c r="G575" s="0" t="s">
        <v>7267</v>
      </c>
    </row>
    <row r="576" customFormat="false" ht="15" hidden="false" customHeight="false" outlineLevel="0" collapsed="false">
      <c r="A576" s="0" t="s">
        <v>169</v>
      </c>
      <c r="B576" s="0" t="n">
        <v>2016</v>
      </c>
      <c r="C576" s="0" t="s">
        <v>55</v>
      </c>
      <c r="D576" s="0" t="n">
        <v>834190</v>
      </c>
      <c r="E576" s="0" t="s">
        <v>7266</v>
      </c>
      <c r="G576" s="0" t="s">
        <v>7267</v>
      </c>
    </row>
    <row r="577" customFormat="false" ht="15" hidden="false" customHeight="false" outlineLevel="0" collapsed="false">
      <c r="A577" s="0" t="s">
        <v>169</v>
      </c>
      <c r="B577" s="0" t="n">
        <v>2016</v>
      </c>
      <c r="C577" s="0" t="s">
        <v>60</v>
      </c>
      <c r="D577" s="0" t="n">
        <v>476713</v>
      </c>
      <c r="E577" s="0" t="s">
        <v>7266</v>
      </c>
      <c r="G577" s="0" t="s">
        <v>7267</v>
      </c>
    </row>
    <row r="578" customFormat="false" ht="15" hidden="false" customHeight="false" outlineLevel="0" collapsed="false">
      <c r="A578" s="0" t="s">
        <v>169</v>
      </c>
      <c r="B578" s="0" t="n">
        <v>2016</v>
      </c>
      <c r="C578" s="0" t="s">
        <v>61</v>
      </c>
      <c r="D578" s="0" t="n">
        <v>8463</v>
      </c>
      <c r="E578" s="0" t="s">
        <v>7266</v>
      </c>
      <c r="G578" s="0" t="s">
        <v>7267</v>
      </c>
    </row>
    <row r="579" customFormat="false" ht="15" hidden="false" customHeight="false" outlineLevel="0" collapsed="false">
      <c r="A579" s="0" t="s">
        <v>169</v>
      </c>
      <c r="B579" s="0" t="n">
        <v>2016</v>
      </c>
      <c r="C579" s="0" t="s">
        <v>63</v>
      </c>
      <c r="D579" s="0" t="n">
        <v>11714</v>
      </c>
      <c r="E579" s="0" t="s">
        <v>7266</v>
      </c>
      <c r="G579" s="0" t="s">
        <v>7267</v>
      </c>
    </row>
    <row r="580" customFormat="false" ht="15" hidden="false" customHeight="false" outlineLevel="0" collapsed="false">
      <c r="A580" s="0" t="s">
        <v>169</v>
      </c>
      <c r="B580" s="0" t="n">
        <v>2016</v>
      </c>
      <c r="C580" s="0" t="s">
        <v>327</v>
      </c>
      <c r="D580" s="0" t="n">
        <v>9.9</v>
      </c>
      <c r="E580" s="0" t="s">
        <v>7266</v>
      </c>
      <c r="G580" s="0" t="s">
        <v>7267</v>
      </c>
    </row>
    <row r="581" customFormat="false" ht="15" hidden="false" customHeight="false" outlineLevel="0" collapsed="false">
      <c r="A581" s="0" t="s">
        <v>169</v>
      </c>
      <c r="B581" s="0" t="n">
        <v>2016</v>
      </c>
      <c r="C581" s="0" t="s">
        <v>69</v>
      </c>
      <c r="D581" s="0" t="n">
        <v>11.16</v>
      </c>
      <c r="E581" s="0" t="s">
        <v>7266</v>
      </c>
      <c r="G581" s="0" t="s">
        <v>7267</v>
      </c>
    </row>
    <row r="582" customFormat="false" ht="15" hidden="false" customHeight="false" outlineLevel="0" collapsed="false">
      <c r="A582" s="0" t="s">
        <v>169</v>
      </c>
      <c r="B582" s="0" t="n">
        <v>2016</v>
      </c>
      <c r="C582" s="0" t="s">
        <v>73</v>
      </c>
      <c r="D582" s="0" t="n">
        <v>0</v>
      </c>
      <c r="E582" s="0" t="s">
        <v>7266</v>
      </c>
      <c r="G582" s="0" t="s">
        <v>7267</v>
      </c>
    </row>
    <row r="583" customFormat="false" ht="15" hidden="false" customHeight="false" outlineLevel="0" collapsed="false">
      <c r="A583" s="0" t="s">
        <v>169</v>
      </c>
      <c r="B583" s="0" t="n">
        <v>2016</v>
      </c>
      <c r="C583" s="0" t="s">
        <v>1804</v>
      </c>
      <c r="D583" s="0" t="s">
        <v>3392</v>
      </c>
      <c r="E583" s="0" t="s">
        <v>7266</v>
      </c>
      <c r="G583" s="0" t="s">
        <v>7267</v>
      </c>
    </row>
    <row r="584" customFormat="false" ht="15" hidden="false" customHeight="false" outlineLevel="0" collapsed="false">
      <c r="A584" s="0" t="s">
        <v>169</v>
      </c>
      <c r="B584" s="0" t="n">
        <v>2017</v>
      </c>
      <c r="C584" s="0" t="s">
        <v>54</v>
      </c>
      <c r="D584" s="0" t="n">
        <v>8455</v>
      </c>
      <c r="E584" s="0" t="s">
        <v>7266</v>
      </c>
      <c r="G584" s="0" t="s">
        <v>7267</v>
      </c>
    </row>
    <row r="585" customFormat="false" ht="15" hidden="false" customHeight="false" outlineLevel="0" collapsed="false">
      <c r="A585" s="0" t="s">
        <v>169</v>
      </c>
      <c r="B585" s="0" t="n">
        <v>2017</v>
      </c>
      <c r="C585" s="0" t="s">
        <v>1327</v>
      </c>
      <c r="D585" s="0" t="n">
        <v>133022</v>
      </c>
      <c r="E585" s="0" t="s">
        <v>7266</v>
      </c>
      <c r="G585" s="0" t="s">
        <v>7267</v>
      </c>
    </row>
    <row r="586" customFormat="false" ht="15" hidden="false" customHeight="false" outlineLevel="0" collapsed="false">
      <c r="A586" s="0" t="s">
        <v>169</v>
      </c>
      <c r="B586" s="0" t="n">
        <v>2017</v>
      </c>
      <c r="C586" s="0" t="s">
        <v>55</v>
      </c>
      <c r="D586" s="0" t="n">
        <v>1068798</v>
      </c>
      <c r="E586" s="0" t="s">
        <v>7266</v>
      </c>
      <c r="G586" s="0" t="s">
        <v>7267</v>
      </c>
    </row>
    <row r="587" customFormat="false" ht="15" hidden="false" customHeight="false" outlineLevel="0" collapsed="false">
      <c r="A587" s="0" t="s">
        <v>169</v>
      </c>
      <c r="B587" s="0" t="n">
        <v>2017</v>
      </c>
      <c r="C587" s="0" t="s">
        <v>60</v>
      </c>
      <c r="D587" s="0" t="n">
        <v>617577</v>
      </c>
      <c r="E587" s="0" t="s">
        <v>7266</v>
      </c>
      <c r="G587" s="0" t="s">
        <v>7267</v>
      </c>
    </row>
    <row r="588" customFormat="false" ht="15" hidden="false" customHeight="false" outlineLevel="0" collapsed="false">
      <c r="A588" s="0" t="s">
        <v>169</v>
      </c>
      <c r="B588" s="0" t="n">
        <v>2017</v>
      </c>
      <c r="C588" s="0" t="s">
        <v>61</v>
      </c>
      <c r="D588" s="0" t="n">
        <v>19504</v>
      </c>
      <c r="E588" s="0" t="s">
        <v>7266</v>
      </c>
      <c r="G588" s="0" t="s">
        <v>7267</v>
      </c>
    </row>
    <row r="589" customFormat="false" ht="15" hidden="false" customHeight="false" outlineLevel="0" collapsed="false">
      <c r="A589" s="0" t="s">
        <v>169</v>
      </c>
      <c r="B589" s="0" t="n">
        <v>2017</v>
      </c>
      <c r="C589" s="0" t="s">
        <v>63</v>
      </c>
      <c r="D589" s="0" t="n">
        <v>12267</v>
      </c>
      <c r="E589" s="0" t="s">
        <v>7266</v>
      </c>
      <c r="G589" s="0" t="s">
        <v>7267</v>
      </c>
    </row>
    <row r="590" customFormat="false" ht="15" hidden="false" customHeight="false" outlineLevel="0" collapsed="false">
      <c r="A590" s="0" t="s">
        <v>169</v>
      </c>
      <c r="B590" s="0" t="n">
        <v>2017</v>
      </c>
      <c r="C590" s="0" t="s">
        <v>327</v>
      </c>
      <c r="D590" s="0" t="n">
        <v>6.2</v>
      </c>
      <c r="E590" s="0" t="s">
        <v>7266</v>
      </c>
      <c r="G590" s="0" t="s">
        <v>7267</v>
      </c>
    </row>
    <row r="591" customFormat="false" ht="15" hidden="false" customHeight="false" outlineLevel="0" collapsed="false">
      <c r="A591" s="0" t="s">
        <v>169</v>
      </c>
      <c r="B591" s="0" t="n">
        <v>2017</v>
      </c>
      <c r="C591" s="0" t="s">
        <v>69</v>
      </c>
      <c r="D591" s="0" t="n">
        <v>11.73</v>
      </c>
      <c r="E591" s="0" t="s">
        <v>7266</v>
      </c>
      <c r="G591" s="0" t="s">
        <v>7267</v>
      </c>
    </row>
    <row r="592" customFormat="false" ht="15" hidden="false" customHeight="false" outlineLevel="0" collapsed="false">
      <c r="A592" s="0" t="s">
        <v>169</v>
      </c>
      <c r="B592" s="0" t="n">
        <v>2017</v>
      </c>
      <c r="C592" s="0" t="s">
        <v>73</v>
      </c>
      <c r="D592" s="0" t="n">
        <v>0</v>
      </c>
      <c r="E592" s="0" t="s">
        <v>7266</v>
      </c>
      <c r="G592" s="0" t="s">
        <v>7267</v>
      </c>
    </row>
    <row r="593" customFormat="false" ht="15" hidden="false" customHeight="false" outlineLevel="0" collapsed="false">
      <c r="A593" s="0" t="s">
        <v>169</v>
      </c>
      <c r="B593" s="0" t="n">
        <v>2017</v>
      </c>
      <c r="C593" s="0" t="s">
        <v>1804</v>
      </c>
      <c r="D593" s="0" t="s">
        <v>1860</v>
      </c>
      <c r="E593" s="0" t="s">
        <v>7266</v>
      </c>
      <c r="G593" s="0" t="s">
        <v>7267</v>
      </c>
    </row>
    <row r="594" customFormat="false" ht="15" hidden="false" customHeight="false" outlineLevel="0" collapsed="false">
      <c r="A594" s="0" t="s">
        <v>169</v>
      </c>
      <c r="B594" s="0" t="n">
        <v>2018</v>
      </c>
      <c r="C594" s="0" t="s">
        <v>54</v>
      </c>
      <c r="D594" s="0" t="n">
        <v>9218</v>
      </c>
      <c r="E594" s="0" t="s">
        <v>7266</v>
      </c>
      <c r="G594" s="0" t="s">
        <v>7267</v>
      </c>
    </row>
    <row r="595" customFormat="false" ht="15" hidden="false" customHeight="false" outlineLevel="0" collapsed="false">
      <c r="A595" s="0" t="s">
        <v>169</v>
      </c>
      <c r="B595" s="0" t="n">
        <v>2018</v>
      </c>
      <c r="C595" s="0" t="s">
        <v>1327</v>
      </c>
      <c r="D595" s="0" t="n">
        <v>152164</v>
      </c>
      <c r="E595" s="0" t="s">
        <v>7266</v>
      </c>
      <c r="G595" s="0" t="s">
        <v>7267</v>
      </c>
    </row>
    <row r="596" customFormat="false" ht="15" hidden="false" customHeight="false" outlineLevel="0" collapsed="false">
      <c r="A596" s="0" t="s">
        <v>169</v>
      </c>
      <c r="B596" s="0" t="n">
        <v>2018</v>
      </c>
      <c r="C596" s="0" t="s">
        <v>55</v>
      </c>
      <c r="D596" s="0" t="n">
        <v>1102921</v>
      </c>
      <c r="E596" s="0" t="s">
        <v>7266</v>
      </c>
      <c r="G596" s="0" t="s">
        <v>7267</v>
      </c>
    </row>
    <row r="597" customFormat="false" ht="15" hidden="false" customHeight="false" outlineLevel="0" collapsed="false">
      <c r="A597" s="0" t="s">
        <v>169</v>
      </c>
      <c r="B597" s="0" t="n">
        <v>2018</v>
      </c>
      <c r="C597" s="0" t="s">
        <v>60</v>
      </c>
      <c r="D597" s="0" t="n">
        <v>646734</v>
      </c>
      <c r="E597" s="0" t="s">
        <v>7266</v>
      </c>
      <c r="G597" s="0" t="s">
        <v>7267</v>
      </c>
    </row>
    <row r="598" customFormat="false" ht="15" hidden="false" customHeight="false" outlineLevel="0" collapsed="false">
      <c r="A598" s="0" t="s">
        <v>169</v>
      </c>
      <c r="B598" s="0" t="n">
        <v>2018</v>
      </c>
      <c r="C598" s="0" t="s">
        <v>61</v>
      </c>
      <c r="D598" s="0" t="n">
        <v>25717</v>
      </c>
      <c r="E598" s="0" t="s">
        <v>7266</v>
      </c>
      <c r="G598" s="0" t="s">
        <v>7267</v>
      </c>
    </row>
    <row r="599" customFormat="false" ht="15" hidden="false" customHeight="false" outlineLevel="0" collapsed="false">
      <c r="A599" s="0" t="s">
        <v>169</v>
      </c>
      <c r="B599" s="0" t="n">
        <v>2018</v>
      </c>
      <c r="C599" s="0" t="s">
        <v>63</v>
      </c>
      <c r="D599" s="0" t="n">
        <v>-5843</v>
      </c>
      <c r="E599" s="0" t="s">
        <v>7266</v>
      </c>
      <c r="G599" s="0" t="s">
        <v>7267</v>
      </c>
    </row>
    <row r="600" customFormat="false" ht="15" hidden="false" customHeight="false" outlineLevel="0" collapsed="false">
      <c r="A600" s="0" t="s">
        <v>169</v>
      </c>
      <c r="B600" s="0" t="n">
        <v>2018</v>
      </c>
      <c r="C600" s="0" t="s">
        <v>327</v>
      </c>
      <c r="D600" s="0" t="n">
        <v>8.7</v>
      </c>
      <c r="E600" s="0" t="s">
        <v>7266</v>
      </c>
      <c r="G600" s="0" t="s">
        <v>7267</v>
      </c>
    </row>
    <row r="601" customFormat="false" ht="15" hidden="false" customHeight="false" outlineLevel="0" collapsed="false">
      <c r="A601" s="0" t="s">
        <v>169</v>
      </c>
      <c r="B601" s="0" t="n">
        <v>2018</v>
      </c>
      <c r="C601" s="0" t="s">
        <v>69</v>
      </c>
      <c r="D601" s="0" t="n">
        <v>13.4</v>
      </c>
      <c r="E601" s="0" t="s">
        <v>7266</v>
      </c>
      <c r="G601" s="0" t="s">
        <v>7267</v>
      </c>
    </row>
    <row r="602" customFormat="false" ht="15" hidden="false" customHeight="false" outlineLevel="0" collapsed="false">
      <c r="A602" s="0" t="s">
        <v>169</v>
      </c>
      <c r="B602" s="0" t="n">
        <v>2018</v>
      </c>
      <c r="C602" s="0" t="s">
        <v>73</v>
      </c>
      <c r="D602" s="0" t="n">
        <v>0</v>
      </c>
      <c r="E602" s="0" t="s">
        <v>7266</v>
      </c>
      <c r="G602" s="0" t="s">
        <v>7267</v>
      </c>
    </row>
    <row r="603" customFormat="false" ht="15" hidden="false" customHeight="false" outlineLevel="0" collapsed="false">
      <c r="A603" s="0" t="s">
        <v>169</v>
      </c>
      <c r="B603" s="0" t="n">
        <v>2018</v>
      </c>
      <c r="C603" s="0" t="s">
        <v>1804</v>
      </c>
      <c r="D603" s="0" t="s">
        <v>1860</v>
      </c>
      <c r="E603" s="0" t="s">
        <v>7266</v>
      </c>
      <c r="G603" s="0" t="s">
        <v>7267</v>
      </c>
    </row>
    <row r="604" customFormat="false" ht="15" hidden="false" customHeight="false" outlineLevel="0" collapsed="false">
      <c r="A604" s="0" t="s">
        <v>169</v>
      </c>
      <c r="B604" s="0" t="n">
        <v>2019</v>
      </c>
      <c r="C604" s="0" t="s">
        <v>54</v>
      </c>
      <c r="D604" s="0" t="n">
        <v>10163</v>
      </c>
      <c r="E604" s="0" t="s">
        <v>7266</v>
      </c>
      <c r="G604" s="0" t="s">
        <v>7267</v>
      </c>
    </row>
    <row r="605" customFormat="false" ht="15" hidden="false" customHeight="false" outlineLevel="0" collapsed="false">
      <c r="A605" s="0" t="s">
        <v>169</v>
      </c>
      <c r="B605" s="0" t="n">
        <v>2019</v>
      </c>
      <c r="C605" s="0" t="s">
        <v>1327</v>
      </c>
      <c r="D605" s="0" t="n">
        <v>147439</v>
      </c>
      <c r="E605" s="0" t="s">
        <v>7266</v>
      </c>
      <c r="G605" s="0" t="s">
        <v>7267</v>
      </c>
    </row>
    <row r="606" customFormat="false" ht="15" hidden="false" customHeight="false" outlineLevel="0" collapsed="false">
      <c r="A606" s="0" t="s">
        <v>169</v>
      </c>
      <c r="B606" s="0" t="n">
        <v>2019</v>
      </c>
      <c r="C606" s="0" t="s">
        <v>55</v>
      </c>
      <c r="D606" s="0" t="n">
        <v>1165509</v>
      </c>
      <c r="E606" s="0" t="s">
        <v>7266</v>
      </c>
      <c r="G606" s="0" t="s">
        <v>7267</v>
      </c>
    </row>
    <row r="607" customFormat="false" ht="15" hidden="false" customHeight="false" outlineLevel="0" collapsed="false">
      <c r="A607" s="0" t="s">
        <v>169</v>
      </c>
      <c r="B607" s="0" t="n">
        <v>2019</v>
      </c>
      <c r="C607" s="0" t="s">
        <v>60</v>
      </c>
      <c r="D607" s="0" t="n">
        <v>631698</v>
      </c>
      <c r="E607" s="0" t="s">
        <v>7266</v>
      </c>
      <c r="G607" s="0" t="s">
        <v>7267</v>
      </c>
    </row>
    <row r="608" customFormat="false" ht="15" hidden="false" customHeight="false" outlineLevel="0" collapsed="false">
      <c r="A608" s="0" t="s">
        <v>169</v>
      </c>
      <c r="B608" s="0" t="n">
        <v>2019</v>
      </c>
      <c r="C608" s="0" t="s">
        <v>61</v>
      </c>
      <c r="D608" s="0" t="n">
        <v>12966</v>
      </c>
      <c r="E608" s="0" t="s">
        <v>7266</v>
      </c>
      <c r="G608" s="0" t="s">
        <v>7267</v>
      </c>
    </row>
    <row r="609" customFormat="false" ht="15" hidden="false" customHeight="false" outlineLevel="0" collapsed="false">
      <c r="A609" s="0" t="s">
        <v>169</v>
      </c>
      <c r="B609" s="0" t="n">
        <v>2019</v>
      </c>
      <c r="C609" s="0" t="s">
        <v>63</v>
      </c>
      <c r="D609" s="0" t="n">
        <v>5842</v>
      </c>
      <c r="E609" s="0" t="s">
        <v>7266</v>
      </c>
      <c r="G609" s="0" t="s">
        <v>7267</v>
      </c>
    </row>
    <row r="610" customFormat="false" ht="15" hidden="false" customHeight="false" outlineLevel="0" collapsed="false">
      <c r="A610" s="0" t="s">
        <v>169</v>
      </c>
      <c r="B610" s="0" t="n">
        <v>2019</v>
      </c>
      <c r="C610" s="0" t="s">
        <v>327</v>
      </c>
      <c r="D610" s="0" t="n">
        <v>2.2</v>
      </c>
      <c r="E610" s="0" t="s">
        <v>7266</v>
      </c>
      <c r="G610" s="0" t="s">
        <v>7267</v>
      </c>
    </row>
    <row r="611" customFormat="false" ht="15" hidden="false" customHeight="false" outlineLevel="0" collapsed="false">
      <c r="A611" s="0" t="s">
        <v>169</v>
      </c>
      <c r="B611" s="0" t="n">
        <v>2019</v>
      </c>
      <c r="C611" s="0" t="s">
        <v>69</v>
      </c>
      <c r="D611" s="0" t="n">
        <v>14.7</v>
      </c>
      <c r="E611" s="0" t="s">
        <v>7266</v>
      </c>
      <c r="G611" s="0" t="s">
        <v>7267</v>
      </c>
    </row>
    <row r="612" customFormat="false" ht="15" hidden="false" customHeight="false" outlineLevel="0" collapsed="false">
      <c r="A612" s="0" t="s">
        <v>169</v>
      </c>
      <c r="B612" s="0" t="n">
        <v>2019</v>
      </c>
      <c r="C612" s="0" t="s">
        <v>73</v>
      </c>
      <c r="D612" s="0" t="n">
        <v>0</v>
      </c>
      <c r="E612" s="0" t="s">
        <v>7266</v>
      </c>
      <c r="G612" s="0" t="s">
        <v>7267</v>
      </c>
    </row>
    <row r="613" customFormat="false" ht="15" hidden="false" customHeight="false" outlineLevel="0" collapsed="false">
      <c r="A613" s="0" t="s">
        <v>169</v>
      </c>
      <c r="B613" s="0" t="n">
        <v>2019</v>
      </c>
      <c r="C613" s="0" t="s">
        <v>1804</v>
      </c>
      <c r="D613" s="0" t="s">
        <v>1860</v>
      </c>
      <c r="E613" s="0" t="s">
        <v>7266</v>
      </c>
      <c r="G613" s="0" t="s">
        <v>7267</v>
      </c>
    </row>
    <row r="614" customFormat="false" ht="15" hidden="false" customHeight="false" outlineLevel="0" collapsed="false">
      <c r="A614" s="0" t="s">
        <v>169</v>
      </c>
      <c r="B614" s="0" t="n">
        <v>2020</v>
      </c>
      <c r="C614" s="0" t="s">
        <v>54</v>
      </c>
      <c r="D614" s="0" t="n">
        <v>11110</v>
      </c>
      <c r="E614" s="0" t="s">
        <v>7266</v>
      </c>
      <c r="G614" s="0" t="s">
        <v>7267</v>
      </c>
    </row>
    <row r="615" customFormat="false" ht="15" hidden="false" customHeight="false" outlineLevel="0" collapsed="false">
      <c r="A615" s="0" t="s">
        <v>169</v>
      </c>
      <c r="B615" s="0" t="n">
        <v>2020</v>
      </c>
      <c r="C615" s="0" t="s">
        <v>1327</v>
      </c>
      <c r="D615" s="0" t="n">
        <v>136475</v>
      </c>
      <c r="E615" s="0" t="s">
        <v>7266</v>
      </c>
      <c r="G615" s="0" t="s">
        <v>7267</v>
      </c>
    </row>
    <row r="616" customFormat="false" ht="15" hidden="false" customHeight="false" outlineLevel="0" collapsed="false">
      <c r="A616" s="0" t="s">
        <v>169</v>
      </c>
      <c r="B616" s="0" t="n">
        <v>2020</v>
      </c>
      <c r="C616" s="0" t="s">
        <v>55</v>
      </c>
      <c r="D616" s="0" t="n">
        <v>1281830</v>
      </c>
      <c r="E616" s="0" t="s">
        <v>7266</v>
      </c>
      <c r="G616" s="0" t="s">
        <v>7267</v>
      </c>
    </row>
    <row r="617" customFormat="false" ht="15" hidden="false" customHeight="false" outlineLevel="0" collapsed="false">
      <c r="A617" s="0" t="s">
        <v>169</v>
      </c>
      <c r="B617" s="0" t="n">
        <v>2020</v>
      </c>
      <c r="C617" s="0" t="s">
        <v>60</v>
      </c>
      <c r="D617" s="0" t="n">
        <v>613359</v>
      </c>
      <c r="E617" s="0" t="s">
        <v>7266</v>
      </c>
      <c r="G617" s="0" t="s">
        <v>7267</v>
      </c>
    </row>
    <row r="618" customFormat="false" ht="15" hidden="false" customHeight="false" outlineLevel="0" collapsed="false">
      <c r="A618" s="0" t="s">
        <v>169</v>
      </c>
      <c r="B618" s="0" t="n">
        <v>2020</v>
      </c>
      <c r="C618" s="0" t="s">
        <v>61</v>
      </c>
      <c r="D618" s="0" t="n">
        <v>16532</v>
      </c>
      <c r="E618" s="0" t="s">
        <v>7266</v>
      </c>
      <c r="G618" s="0" t="s">
        <v>7267</v>
      </c>
    </row>
    <row r="619" customFormat="false" ht="15" hidden="false" customHeight="false" outlineLevel="0" collapsed="false">
      <c r="A619" s="0" t="s">
        <v>169</v>
      </c>
      <c r="B619" s="0" t="n">
        <v>2020</v>
      </c>
      <c r="C619" s="0" t="s">
        <v>63</v>
      </c>
      <c r="D619" s="0" t="n">
        <v>7913</v>
      </c>
      <c r="E619" s="0" t="s">
        <v>7266</v>
      </c>
      <c r="G619" s="0" t="s">
        <v>7267</v>
      </c>
    </row>
    <row r="620" customFormat="false" ht="15" hidden="false" customHeight="false" outlineLevel="0" collapsed="false">
      <c r="A620" s="0" t="s">
        <v>169</v>
      </c>
      <c r="B620" s="0" t="n">
        <v>2020</v>
      </c>
      <c r="C620" s="0" t="s">
        <v>327</v>
      </c>
      <c r="D620" s="0" t="n">
        <v>1.9</v>
      </c>
      <c r="E620" s="0" t="s">
        <v>7266</v>
      </c>
      <c r="G620" s="0" t="s">
        <v>7267</v>
      </c>
    </row>
    <row r="621" customFormat="false" ht="15" hidden="false" customHeight="false" outlineLevel="0" collapsed="false">
      <c r="A621" s="0" t="s">
        <v>169</v>
      </c>
      <c r="B621" s="0" t="n">
        <v>2020</v>
      </c>
      <c r="C621" s="0" t="s">
        <v>69</v>
      </c>
      <c r="D621" s="0" t="n">
        <v>17.98</v>
      </c>
      <c r="E621" s="0" t="s">
        <v>7266</v>
      </c>
      <c r="G621" s="0" t="s">
        <v>7267</v>
      </c>
    </row>
    <row r="622" customFormat="false" ht="15" hidden="false" customHeight="false" outlineLevel="0" collapsed="false">
      <c r="A622" s="0" t="s">
        <v>169</v>
      </c>
      <c r="B622" s="0" t="n">
        <v>2020</v>
      </c>
      <c r="C622" s="0" t="s">
        <v>73</v>
      </c>
      <c r="D622" s="0" t="n">
        <v>0</v>
      </c>
      <c r="E622" s="0" t="s">
        <v>7266</v>
      </c>
      <c r="G622" s="0" t="s">
        <v>7267</v>
      </c>
    </row>
    <row r="623" customFormat="false" ht="15" hidden="false" customHeight="false" outlineLevel="0" collapsed="false">
      <c r="A623" s="0" t="s">
        <v>169</v>
      </c>
      <c r="B623" s="0" t="n">
        <v>2020</v>
      </c>
      <c r="C623" s="0" t="s">
        <v>1804</v>
      </c>
      <c r="D623" s="0" t="s">
        <v>1878</v>
      </c>
      <c r="E623" s="0" t="s">
        <v>7266</v>
      </c>
      <c r="G623" s="0" t="s">
        <v>7267</v>
      </c>
    </row>
    <row r="624" customFormat="false" ht="15" hidden="false" customHeight="false" outlineLevel="0" collapsed="false">
      <c r="A624" s="0" t="s">
        <v>169</v>
      </c>
      <c r="B624" s="0" t="n">
        <v>2021</v>
      </c>
      <c r="C624" s="0" t="s">
        <v>54</v>
      </c>
      <c r="D624" s="0" t="n">
        <v>13403</v>
      </c>
      <c r="E624" s="0" t="s">
        <v>7266</v>
      </c>
      <c r="G624" s="0" t="s">
        <v>7267</v>
      </c>
    </row>
    <row r="625" customFormat="false" ht="15" hidden="false" customHeight="false" outlineLevel="0" collapsed="false">
      <c r="A625" s="0" t="s">
        <v>169</v>
      </c>
      <c r="B625" s="0" t="n">
        <v>2021</v>
      </c>
      <c r="C625" s="0" t="s">
        <v>1327</v>
      </c>
      <c r="D625" s="0" t="n">
        <v>139922</v>
      </c>
      <c r="E625" s="0" t="s">
        <v>7266</v>
      </c>
      <c r="G625" s="0" t="s">
        <v>7267</v>
      </c>
    </row>
    <row r="626" customFormat="false" ht="15" hidden="false" customHeight="false" outlineLevel="0" collapsed="false">
      <c r="A626" s="0" t="s">
        <v>169</v>
      </c>
      <c r="B626" s="0" t="n">
        <v>2021</v>
      </c>
      <c r="C626" s="0" t="s">
        <v>55</v>
      </c>
      <c r="D626" s="0" t="n">
        <v>1611749</v>
      </c>
      <c r="E626" s="0" t="s">
        <v>7266</v>
      </c>
      <c r="G626" s="0" t="s">
        <v>7267</v>
      </c>
    </row>
    <row r="627" customFormat="false" ht="15" hidden="false" customHeight="false" outlineLevel="0" collapsed="false">
      <c r="A627" s="0" t="s">
        <v>169</v>
      </c>
      <c r="B627" s="0" t="n">
        <v>2021</v>
      </c>
      <c r="C627" s="0" t="s">
        <v>60</v>
      </c>
      <c r="D627" s="0" t="n">
        <v>726080</v>
      </c>
      <c r="E627" s="0" t="s">
        <v>7266</v>
      </c>
      <c r="G627" s="0" t="s">
        <v>7267</v>
      </c>
    </row>
    <row r="628" customFormat="false" ht="15" hidden="false" customHeight="false" outlineLevel="0" collapsed="false">
      <c r="A628" s="0" t="s">
        <v>169</v>
      </c>
      <c r="B628" s="0" t="n">
        <v>2021</v>
      </c>
      <c r="C628" s="0" t="s">
        <v>61</v>
      </c>
      <c r="D628" s="0" t="n">
        <v>14180</v>
      </c>
      <c r="E628" s="0" t="s">
        <v>7266</v>
      </c>
      <c r="G628" s="0" t="s">
        <v>7267</v>
      </c>
    </row>
    <row r="629" customFormat="false" ht="15" hidden="false" customHeight="false" outlineLevel="0" collapsed="false">
      <c r="A629" s="0" t="s">
        <v>169</v>
      </c>
      <c r="B629" s="0" t="n">
        <v>2021</v>
      </c>
      <c r="C629" s="0" t="s">
        <v>63</v>
      </c>
      <c r="D629" s="0" t="n">
        <v>9822</v>
      </c>
      <c r="E629" s="0" t="s">
        <v>7266</v>
      </c>
      <c r="G629" s="0" t="s">
        <v>7267</v>
      </c>
    </row>
    <row r="630" customFormat="false" ht="15" hidden="false" customHeight="false" outlineLevel="0" collapsed="false">
      <c r="A630" s="0" t="s">
        <v>169</v>
      </c>
      <c r="B630" s="0" t="n">
        <v>2021</v>
      </c>
      <c r="C630" s="0" t="s">
        <v>327</v>
      </c>
      <c r="D630" s="0" t="n">
        <v>1</v>
      </c>
      <c r="E630" s="0" t="s">
        <v>7266</v>
      </c>
      <c r="G630" s="0" t="s">
        <v>7267</v>
      </c>
    </row>
    <row r="631" customFormat="false" ht="15" hidden="false" customHeight="false" outlineLevel="0" collapsed="false">
      <c r="A631" s="0" t="s">
        <v>169</v>
      </c>
      <c r="B631" s="0" t="n">
        <v>2021</v>
      </c>
      <c r="C631" s="0" t="s">
        <v>69</v>
      </c>
      <c r="D631" s="0" t="n">
        <v>14.82</v>
      </c>
      <c r="E631" s="0" t="s">
        <v>7266</v>
      </c>
      <c r="G631" s="0" t="s">
        <v>7267</v>
      </c>
    </row>
    <row r="632" customFormat="false" ht="15" hidden="false" customHeight="false" outlineLevel="0" collapsed="false">
      <c r="A632" s="0" t="s">
        <v>169</v>
      </c>
      <c r="B632" s="0" t="n">
        <v>2021</v>
      </c>
      <c r="C632" s="0" t="s">
        <v>73</v>
      </c>
      <c r="D632" s="0" t="n">
        <v>0</v>
      </c>
      <c r="E632" s="0" t="s">
        <v>7266</v>
      </c>
      <c r="G632" s="0" t="s">
        <v>7267</v>
      </c>
    </row>
    <row r="633" customFormat="false" ht="15" hidden="false" customHeight="false" outlineLevel="0" collapsed="false">
      <c r="A633" s="0" t="s">
        <v>169</v>
      </c>
      <c r="B633" s="0" t="n">
        <v>2021</v>
      </c>
      <c r="C633" s="0" t="s">
        <v>1804</v>
      </c>
      <c r="D633" s="0" t="s">
        <v>1878</v>
      </c>
      <c r="E633" s="0" t="s">
        <v>7266</v>
      </c>
      <c r="G633" s="0" t="s">
        <v>7267</v>
      </c>
    </row>
    <row r="634" customFormat="false" ht="15" hidden="false" customHeight="false" outlineLevel="0" collapsed="false">
      <c r="A634" s="0" t="s">
        <v>169</v>
      </c>
      <c r="B634" s="0" t="n">
        <v>2022</v>
      </c>
      <c r="C634" s="0" t="s">
        <v>54</v>
      </c>
      <c r="D634" s="0" t="n">
        <v>19327</v>
      </c>
      <c r="E634" s="0" t="s">
        <v>7266</v>
      </c>
      <c r="G634" s="0" t="s">
        <v>7267</v>
      </c>
    </row>
    <row r="635" customFormat="false" ht="15" hidden="false" customHeight="false" outlineLevel="0" collapsed="false">
      <c r="A635" s="0" t="s">
        <v>169</v>
      </c>
      <c r="B635" s="0" t="n">
        <v>2022</v>
      </c>
      <c r="C635" s="0" t="s">
        <v>1327</v>
      </c>
      <c r="D635" s="0" t="n">
        <v>172832</v>
      </c>
      <c r="E635" s="0" t="s">
        <v>7266</v>
      </c>
      <c r="G635" s="0" t="s">
        <v>7267</v>
      </c>
    </row>
    <row r="636" customFormat="false" ht="15" hidden="false" customHeight="false" outlineLevel="0" collapsed="false">
      <c r="A636" s="0" t="s">
        <v>169</v>
      </c>
      <c r="B636" s="0" t="n">
        <v>2022</v>
      </c>
      <c r="C636" s="0" t="s">
        <v>55</v>
      </c>
      <c r="D636" s="0" t="n">
        <v>1840622</v>
      </c>
      <c r="E636" s="0" t="s">
        <v>7266</v>
      </c>
      <c r="G636" s="0" t="s">
        <v>7267</v>
      </c>
    </row>
    <row r="637" customFormat="false" ht="15" hidden="false" customHeight="false" outlineLevel="0" collapsed="false">
      <c r="A637" s="0" t="s">
        <v>169</v>
      </c>
      <c r="B637" s="0" t="n">
        <v>2022</v>
      </c>
      <c r="C637" s="0" t="s">
        <v>60</v>
      </c>
      <c r="D637" s="0" t="n">
        <v>758183</v>
      </c>
      <c r="E637" s="0" t="s">
        <v>7266</v>
      </c>
      <c r="G637" s="0" t="s">
        <v>7267</v>
      </c>
    </row>
    <row r="638" customFormat="false" ht="15" hidden="false" customHeight="false" outlineLevel="0" collapsed="false">
      <c r="A638" s="0" t="s">
        <v>169</v>
      </c>
      <c r="B638" s="0" t="n">
        <v>2022</v>
      </c>
      <c r="C638" s="0" t="s">
        <v>61</v>
      </c>
      <c r="D638" s="0" t="n">
        <v>20448</v>
      </c>
      <c r="E638" s="0" t="s">
        <v>7266</v>
      </c>
      <c r="G638" s="0" t="s">
        <v>7267</v>
      </c>
    </row>
    <row r="639" customFormat="false" ht="15" hidden="false" customHeight="false" outlineLevel="0" collapsed="false">
      <c r="A639" s="0" t="s">
        <v>169</v>
      </c>
      <c r="B639" s="0" t="n">
        <v>2022</v>
      </c>
      <c r="C639" s="0" t="s">
        <v>63</v>
      </c>
      <c r="D639" s="0" t="n">
        <v>9084</v>
      </c>
      <c r="E639" s="0" t="s">
        <v>7266</v>
      </c>
      <c r="G639" s="0" t="s">
        <v>7267</v>
      </c>
    </row>
    <row r="640" customFormat="false" ht="15" hidden="false" customHeight="false" outlineLevel="0" collapsed="false">
      <c r="A640" s="0" t="s">
        <v>169</v>
      </c>
      <c r="B640" s="0" t="n">
        <v>2022</v>
      </c>
      <c r="C640" s="0" t="s">
        <v>327</v>
      </c>
      <c r="D640" s="0" t="n">
        <v>4</v>
      </c>
      <c r="E640" s="0" t="s">
        <v>7266</v>
      </c>
      <c r="G640" s="0" t="s">
        <v>7267</v>
      </c>
    </row>
    <row r="641" customFormat="false" ht="15" hidden="false" customHeight="false" outlineLevel="0" collapsed="false">
      <c r="A641" s="0" t="s">
        <v>169</v>
      </c>
      <c r="B641" s="0" t="n">
        <v>2022</v>
      </c>
      <c r="C641" s="0" t="s">
        <v>69</v>
      </c>
      <c r="D641" s="0" t="n">
        <v>14.67</v>
      </c>
      <c r="E641" s="0" t="s">
        <v>7266</v>
      </c>
      <c r="G641" s="0" t="s">
        <v>7267</v>
      </c>
    </row>
    <row r="642" customFormat="false" ht="15" hidden="false" customHeight="false" outlineLevel="0" collapsed="false">
      <c r="A642" s="0" t="s">
        <v>169</v>
      </c>
      <c r="B642" s="0" t="n">
        <v>2022</v>
      </c>
      <c r="C642" s="0" t="s">
        <v>73</v>
      </c>
      <c r="D642" s="0" t="n">
        <v>0</v>
      </c>
      <c r="E642" s="0" t="s">
        <v>7266</v>
      </c>
      <c r="G642" s="0" t="s">
        <v>7267</v>
      </c>
    </row>
    <row r="643" customFormat="false" ht="15" hidden="false" customHeight="false" outlineLevel="0" collapsed="false">
      <c r="A643" s="0" t="s">
        <v>169</v>
      </c>
      <c r="B643" s="0" t="n">
        <v>2022</v>
      </c>
      <c r="C643" s="0" t="s">
        <v>1804</v>
      </c>
      <c r="D643" s="0" t="s">
        <v>1878</v>
      </c>
      <c r="E643" s="0" t="s">
        <v>7266</v>
      </c>
      <c r="G643" s="0" t="s">
        <v>7267</v>
      </c>
    </row>
    <row r="644" customFormat="false" ht="15" hidden="false" customHeight="false" outlineLevel="0" collapsed="false">
      <c r="A644" s="0" t="s">
        <v>211</v>
      </c>
      <c r="B644" s="0" t="n">
        <v>2015</v>
      </c>
      <c r="C644" s="0" t="s">
        <v>54</v>
      </c>
      <c r="D644" s="0" t="n">
        <v>2273.21</v>
      </c>
      <c r="E644" s="0" t="s">
        <v>7266</v>
      </c>
      <c r="G644" s="0" t="s">
        <v>7267</v>
      </c>
    </row>
    <row r="645" customFormat="false" ht="15" hidden="false" customHeight="false" outlineLevel="0" collapsed="false">
      <c r="A645" s="0" t="s">
        <v>211</v>
      </c>
      <c r="B645" s="0" t="n">
        <v>2015</v>
      </c>
      <c r="C645" s="0" t="s">
        <v>1327</v>
      </c>
      <c r="D645" s="0" t="n">
        <v>45869.44</v>
      </c>
      <c r="E645" s="0" t="s">
        <v>7266</v>
      </c>
      <c r="G645" s="0" t="s">
        <v>7267</v>
      </c>
    </row>
    <row r="646" customFormat="false" ht="15" hidden="false" customHeight="false" outlineLevel="0" collapsed="false">
      <c r="A646" s="0" t="s">
        <v>211</v>
      </c>
      <c r="B646" s="0" t="n">
        <v>2015</v>
      </c>
      <c r="C646" s="0" t="s">
        <v>55</v>
      </c>
      <c r="D646" s="0" t="n">
        <v>396743.31</v>
      </c>
      <c r="E646" s="0" t="s">
        <v>7266</v>
      </c>
      <c r="G646" s="0" t="s">
        <v>7267</v>
      </c>
    </row>
    <row r="647" customFormat="false" ht="15" hidden="false" customHeight="false" outlineLevel="0" collapsed="false">
      <c r="A647" s="0" t="s">
        <v>211</v>
      </c>
      <c r="B647" s="0" t="n">
        <v>2015</v>
      </c>
      <c r="C647" s="0" t="s">
        <v>60</v>
      </c>
      <c r="D647" s="0" t="n">
        <v>188022.92</v>
      </c>
      <c r="E647" s="0" t="s">
        <v>7266</v>
      </c>
      <c r="G647" s="0" t="s">
        <v>7267</v>
      </c>
    </row>
    <row r="648" customFormat="false" ht="15" hidden="false" customHeight="false" outlineLevel="0" collapsed="false">
      <c r="A648" s="0" t="s">
        <v>211</v>
      </c>
      <c r="B648" s="0" t="n">
        <v>2015</v>
      </c>
      <c r="C648" s="0" t="s">
        <v>61</v>
      </c>
      <c r="D648" s="0" t="n">
        <v>2426.33</v>
      </c>
      <c r="E648" s="0" t="s">
        <v>7266</v>
      </c>
      <c r="G648" s="0" t="s">
        <v>7267</v>
      </c>
    </row>
    <row r="649" customFormat="false" ht="15" hidden="false" customHeight="false" outlineLevel="0" collapsed="false">
      <c r="A649" s="0" t="s">
        <v>211</v>
      </c>
      <c r="B649" s="0" t="n">
        <v>2015</v>
      </c>
      <c r="C649" s="0" t="s">
        <v>63</v>
      </c>
      <c r="D649" s="0" t="n">
        <v>-77.64</v>
      </c>
      <c r="E649" s="0" t="s">
        <v>7266</v>
      </c>
      <c r="G649" s="0" t="s">
        <v>7267</v>
      </c>
    </row>
    <row r="650" customFormat="false" ht="15" hidden="false" customHeight="false" outlineLevel="0" collapsed="false">
      <c r="A650" s="0" t="s">
        <v>211</v>
      </c>
      <c r="B650" s="0" t="n">
        <v>2015</v>
      </c>
      <c r="C650" s="0" t="s">
        <v>327</v>
      </c>
      <c r="D650" s="0" t="n">
        <v>2.67</v>
      </c>
      <c r="E650" s="0" t="s">
        <v>7266</v>
      </c>
      <c r="G650" s="0" t="s">
        <v>7267</v>
      </c>
    </row>
    <row r="651" customFormat="false" ht="15" hidden="false" customHeight="false" outlineLevel="0" collapsed="false">
      <c r="A651" s="0" t="s">
        <v>211</v>
      </c>
      <c r="B651" s="0" t="n">
        <v>2015</v>
      </c>
      <c r="C651" s="0" t="s">
        <v>69</v>
      </c>
      <c r="D651" s="0" t="n">
        <v>15.1</v>
      </c>
      <c r="E651" s="0" t="s">
        <v>7266</v>
      </c>
      <c r="G651" s="0" t="s">
        <v>7267</v>
      </c>
    </row>
    <row r="652" customFormat="false" ht="15" hidden="false" customHeight="false" outlineLevel="0" collapsed="false">
      <c r="A652" s="0" t="s">
        <v>211</v>
      </c>
      <c r="B652" s="0" t="n">
        <v>2015</v>
      </c>
      <c r="C652" s="0" t="s">
        <v>73</v>
      </c>
      <c r="D652" s="0" t="n">
        <v>0</v>
      </c>
      <c r="E652" s="0" t="s">
        <v>7266</v>
      </c>
      <c r="G652" s="0" t="s">
        <v>7267</v>
      </c>
    </row>
    <row r="653" customFormat="false" ht="15" hidden="false" customHeight="false" outlineLevel="0" collapsed="false">
      <c r="A653" s="0" t="s">
        <v>211</v>
      </c>
      <c r="B653" s="0" t="n">
        <v>2015</v>
      </c>
      <c r="C653" s="0" t="s">
        <v>1804</v>
      </c>
      <c r="D653" s="0" t="s">
        <v>1872</v>
      </c>
      <c r="E653" s="0" t="s">
        <v>7266</v>
      </c>
      <c r="G653" s="0" t="s">
        <v>7267</v>
      </c>
    </row>
    <row r="654" customFormat="false" ht="15" hidden="false" customHeight="false" outlineLevel="0" collapsed="false">
      <c r="A654" s="0" t="s">
        <v>211</v>
      </c>
      <c r="B654" s="0" t="n">
        <v>2016</v>
      </c>
      <c r="C654" s="0" t="s">
        <v>54</v>
      </c>
      <c r="D654" s="0" t="n">
        <v>2591.8</v>
      </c>
      <c r="E654" s="0" t="s">
        <v>7266</v>
      </c>
      <c r="G654" s="0" t="s">
        <v>7267</v>
      </c>
    </row>
    <row r="655" customFormat="false" ht="15" hidden="false" customHeight="false" outlineLevel="0" collapsed="false">
      <c r="A655" s="0" t="s">
        <v>211</v>
      </c>
      <c r="B655" s="0" t="n">
        <v>2016</v>
      </c>
      <c r="C655" s="0" t="s">
        <v>1327</v>
      </c>
      <c r="D655" s="0" t="n">
        <v>53834.41</v>
      </c>
      <c r="E655" s="0" t="s">
        <v>7266</v>
      </c>
      <c r="G655" s="0" t="s">
        <v>7267</v>
      </c>
    </row>
    <row r="656" customFormat="false" ht="15" hidden="false" customHeight="false" outlineLevel="0" collapsed="false">
      <c r="A656" s="0" t="s">
        <v>211</v>
      </c>
      <c r="B656" s="0" t="n">
        <v>2016</v>
      </c>
      <c r="C656" s="0" t="s">
        <v>55</v>
      </c>
      <c r="D656" s="0" t="n">
        <v>421221.04</v>
      </c>
      <c r="E656" s="0" t="s">
        <v>7266</v>
      </c>
      <c r="G656" s="0" t="s">
        <v>7267</v>
      </c>
    </row>
    <row r="657" customFormat="false" ht="15" hidden="false" customHeight="false" outlineLevel="0" collapsed="false">
      <c r="A657" s="0" t="s">
        <v>211</v>
      </c>
      <c r="B657" s="0" t="n">
        <v>2016</v>
      </c>
      <c r="C657" s="0" t="s">
        <v>60</v>
      </c>
      <c r="D657" s="0" t="n">
        <v>229840.98</v>
      </c>
      <c r="E657" s="0" t="s">
        <v>7266</v>
      </c>
      <c r="G657" s="0" t="s">
        <v>7267</v>
      </c>
    </row>
    <row r="658" customFormat="false" ht="15" hidden="false" customHeight="false" outlineLevel="0" collapsed="false">
      <c r="A658" s="0" t="s">
        <v>211</v>
      </c>
      <c r="B658" s="0" t="n">
        <v>2016</v>
      </c>
      <c r="C658" s="0" t="s">
        <v>61</v>
      </c>
      <c r="D658" s="0" t="n">
        <v>2832.43</v>
      </c>
      <c r="E658" s="0" t="s">
        <v>7266</v>
      </c>
      <c r="G658" s="0" t="s">
        <v>7267</v>
      </c>
    </row>
    <row r="659" customFormat="false" ht="15" hidden="false" customHeight="false" outlineLevel="0" collapsed="false">
      <c r="A659" s="0" t="s">
        <v>211</v>
      </c>
      <c r="B659" s="0" t="n">
        <v>2016</v>
      </c>
      <c r="C659" s="0" t="s">
        <v>63</v>
      </c>
      <c r="D659" s="0" t="n">
        <v>412.4</v>
      </c>
      <c r="E659" s="0" t="s">
        <v>7266</v>
      </c>
      <c r="G659" s="0" t="s">
        <v>7267</v>
      </c>
    </row>
    <row r="660" customFormat="false" ht="15" hidden="false" customHeight="false" outlineLevel="0" collapsed="false">
      <c r="A660" s="0" t="s">
        <v>211</v>
      </c>
      <c r="B660" s="0" t="n">
        <v>2016</v>
      </c>
      <c r="C660" s="0" t="s">
        <v>327</v>
      </c>
      <c r="D660" s="0" t="n">
        <v>5.07</v>
      </c>
      <c r="E660" s="0" t="s">
        <v>7266</v>
      </c>
      <c r="G660" s="0" t="s">
        <v>7267</v>
      </c>
    </row>
    <row r="661" customFormat="false" ht="15" hidden="false" customHeight="false" outlineLevel="0" collapsed="false">
      <c r="A661" s="0" t="s">
        <v>211</v>
      </c>
      <c r="B661" s="0" t="n">
        <v>2016</v>
      </c>
      <c r="C661" s="0" t="s">
        <v>69</v>
      </c>
      <c r="D661" s="0" t="n">
        <v>11.07</v>
      </c>
      <c r="E661" s="0" t="s">
        <v>7266</v>
      </c>
      <c r="G661" s="0" t="s">
        <v>7267</v>
      </c>
    </row>
    <row r="662" customFormat="false" ht="15" hidden="false" customHeight="false" outlineLevel="0" collapsed="false">
      <c r="A662" s="0" t="s">
        <v>211</v>
      </c>
      <c r="B662" s="0" t="n">
        <v>2016</v>
      </c>
      <c r="C662" s="0" t="s">
        <v>73</v>
      </c>
      <c r="D662" s="0" t="n">
        <v>0</v>
      </c>
      <c r="E662" s="0" t="s">
        <v>7266</v>
      </c>
      <c r="G662" s="0" t="s">
        <v>7267</v>
      </c>
    </row>
    <row r="663" customFormat="false" ht="15" hidden="false" customHeight="false" outlineLevel="0" collapsed="false">
      <c r="A663" s="0" t="s">
        <v>211</v>
      </c>
      <c r="B663" s="0" t="n">
        <v>2016</v>
      </c>
      <c r="C663" s="0" t="s">
        <v>1804</v>
      </c>
      <c r="D663" s="0" t="s">
        <v>1872</v>
      </c>
      <c r="E663" s="0" t="s">
        <v>7266</v>
      </c>
      <c r="G663" s="0" t="s">
        <v>7267</v>
      </c>
    </row>
    <row r="664" customFormat="false" ht="15" hidden="false" customHeight="false" outlineLevel="0" collapsed="false">
      <c r="A664" s="0" t="s">
        <v>211</v>
      </c>
      <c r="B664" s="0" t="n">
        <v>2017</v>
      </c>
      <c r="C664" s="0" t="s">
        <v>54</v>
      </c>
      <c r="D664" s="0" t="n">
        <v>2301.16</v>
      </c>
      <c r="E664" s="0" t="s">
        <v>7266</v>
      </c>
      <c r="G664" s="0" t="s">
        <v>7267</v>
      </c>
    </row>
    <row r="665" customFormat="false" ht="15" hidden="false" customHeight="false" outlineLevel="0" collapsed="false">
      <c r="A665" s="0" t="s">
        <v>211</v>
      </c>
      <c r="B665" s="0" t="n">
        <v>2017</v>
      </c>
      <c r="C665" s="0" t="s">
        <v>1327</v>
      </c>
      <c r="D665" s="0" t="n">
        <v>64858.37</v>
      </c>
      <c r="E665" s="0" t="s">
        <v>7266</v>
      </c>
      <c r="G665" s="0" t="s">
        <v>7267</v>
      </c>
    </row>
    <row r="666" customFormat="false" ht="15" hidden="false" customHeight="false" outlineLevel="0" collapsed="false">
      <c r="A666" s="0" t="s">
        <v>211</v>
      </c>
      <c r="B666" s="0" t="n">
        <v>2017</v>
      </c>
      <c r="C666" s="0" t="s">
        <v>55</v>
      </c>
      <c r="D666" s="0" t="n">
        <v>385388.3</v>
      </c>
      <c r="E666" s="0" t="s">
        <v>7266</v>
      </c>
      <c r="G666" s="0" t="s">
        <v>7267</v>
      </c>
    </row>
    <row r="667" customFormat="false" ht="15" hidden="false" customHeight="false" outlineLevel="0" collapsed="false">
      <c r="A667" s="0" t="s">
        <v>211</v>
      </c>
      <c r="B667" s="0" t="n">
        <v>2017</v>
      </c>
      <c r="C667" s="0" t="s">
        <v>60</v>
      </c>
      <c r="D667" s="0" t="n">
        <v>220076.03</v>
      </c>
      <c r="E667" s="0" t="s">
        <v>7266</v>
      </c>
      <c r="G667" s="0" t="s">
        <v>7267</v>
      </c>
    </row>
    <row r="668" customFormat="false" ht="15" hidden="false" customHeight="false" outlineLevel="0" collapsed="false">
      <c r="A668" s="0" t="s">
        <v>211</v>
      </c>
      <c r="B668" s="0" t="n">
        <v>2017</v>
      </c>
      <c r="C668" s="0" t="s">
        <v>61</v>
      </c>
      <c r="D668" s="0" t="n">
        <v>4236</v>
      </c>
      <c r="E668" s="0" t="s">
        <v>7266</v>
      </c>
      <c r="G668" s="0" t="s">
        <v>7267</v>
      </c>
    </row>
    <row r="669" customFormat="false" ht="15" hidden="false" customHeight="false" outlineLevel="0" collapsed="false">
      <c r="A669" s="0" t="s">
        <v>211</v>
      </c>
      <c r="B669" s="0" t="n">
        <v>2017</v>
      </c>
      <c r="C669" s="0" t="s">
        <v>63</v>
      </c>
      <c r="D669" s="0" t="n">
        <v>2179.8</v>
      </c>
      <c r="E669" s="0" t="s">
        <v>7266</v>
      </c>
      <c r="G669" s="0" t="s">
        <v>7267</v>
      </c>
    </row>
    <row r="670" customFormat="false" ht="15" hidden="false" customHeight="false" outlineLevel="0" collapsed="false">
      <c r="A670" s="0" t="s">
        <v>211</v>
      </c>
      <c r="B670" s="0" t="n">
        <v>2017</v>
      </c>
      <c r="C670" s="0" t="s">
        <v>327</v>
      </c>
      <c r="D670" s="0" t="n">
        <v>3.52</v>
      </c>
      <c r="E670" s="0" t="s">
        <v>7266</v>
      </c>
      <c r="G670" s="0" t="s">
        <v>7267</v>
      </c>
    </row>
    <row r="671" customFormat="false" ht="15" hidden="false" customHeight="false" outlineLevel="0" collapsed="false">
      <c r="A671" s="0" t="s">
        <v>211</v>
      </c>
      <c r="B671" s="0" t="n">
        <v>2017</v>
      </c>
      <c r="C671" s="0" t="s">
        <v>69</v>
      </c>
      <c r="D671" s="0" t="n">
        <v>14.32</v>
      </c>
      <c r="E671" s="0" t="s">
        <v>7266</v>
      </c>
      <c r="G671" s="0" t="s">
        <v>7267</v>
      </c>
    </row>
    <row r="672" customFormat="false" ht="15" hidden="false" customHeight="false" outlineLevel="0" collapsed="false">
      <c r="A672" s="0" t="s">
        <v>211</v>
      </c>
      <c r="B672" s="0" t="n">
        <v>2017</v>
      </c>
      <c r="C672" s="0" t="s">
        <v>73</v>
      </c>
      <c r="D672" s="0" t="n">
        <v>0</v>
      </c>
      <c r="E672" s="0" t="s">
        <v>7266</v>
      </c>
      <c r="G672" s="0" t="s">
        <v>7267</v>
      </c>
    </row>
    <row r="673" customFormat="false" ht="15" hidden="false" customHeight="false" outlineLevel="0" collapsed="false">
      <c r="A673" s="0" t="s">
        <v>211</v>
      </c>
      <c r="B673" s="0" t="n">
        <v>2017</v>
      </c>
      <c r="C673" s="0" t="s">
        <v>1804</v>
      </c>
      <c r="D673" s="0" t="s">
        <v>1878</v>
      </c>
      <c r="E673" s="0" t="s">
        <v>7266</v>
      </c>
      <c r="G673" s="0" t="s">
        <v>7267</v>
      </c>
    </row>
    <row r="674" customFormat="false" ht="15" hidden="false" customHeight="false" outlineLevel="0" collapsed="false">
      <c r="A674" s="0" t="s">
        <v>211</v>
      </c>
      <c r="B674" s="0" t="n">
        <v>2018</v>
      </c>
      <c r="C674" s="0" t="s">
        <v>1804</v>
      </c>
      <c r="D674" s="0" t="s">
        <v>7272</v>
      </c>
      <c r="E674" s="0" t="s">
        <v>7266</v>
      </c>
      <c r="G674" s="0" t="s">
        <v>7267</v>
      </c>
    </row>
    <row r="675" customFormat="false" ht="15" hidden="false" customHeight="false" outlineLevel="0" collapsed="false">
      <c r="A675" s="0" t="s">
        <v>211</v>
      </c>
      <c r="B675" s="0" t="n">
        <v>2019</v>
      </c>
      <c r="C675" s="0" t="s">
        <v>54</v>
      </c>
      <c r="D675" s="0" t="n">
        <v>5210.75</v>
      </c>
      <c r="E675" s="0" t="s">
        <v>7266</v>
      </c>
      <c r="G675" s="0" t="s">
        <v>7267</v>
      </c>
    </row>
    <row r="676" customFormat="false" ht="15" hidden="false" customHeight="false" outlineLevel="0" collapsed="false">
      <c r="A676" s="0" t="s">
        <v>211</v>
      </c>
      <c r="B676" s="0" t="n">
        <v>2019</v>
      </c>
      <c r="C676" s="0" t="s">
        <v>1327</v>
      </c>
      <c r="D676" s="0" t="n">
        <v>93389.81</v>
      </c>
      <c r="E676" s="0" t="s">
        <v>7266</v>
      </c>
      <c r="G676" s="0" t="s">
        <v>7267</v>
      </c>
    </row>
    <row r="677" customFormat="false" ht="15" hidden="false" customHeight="false" outlineLevel="0" collapsed="false">
      <c r="A677" s="0" t="s">
        <v>211</v>
      </c>
      <c r="B677" s="0" t="n">
        <v>2019</v>
      </c>
      <c r="C677" s="0" t="s">
        <v>55</v>
      </c>
      <c r="D677" s="0" t="n">
        <v>704955.6</v>
      </c>
      <c r="E677" s="0" t="s">
        <v>7266</v>
      </c>
      <c r="G677" s="0" t="s">
        <v>7267</v>
      </c>
    </row>
    <row r="678" customFormat="false" ht="15" hidden="false" customHeight="false" outlineLevel="0" collapsed="false">
      <c r="A678" s="0" t="s">
        <v>211</v>
      </c>
      <c r="B678" s="0" t="n">
        <v>2019</v>
      </c>
      <c r="C678" s="0" t="s">
        <v>60</v>
      </c>
      <c r="D678" s="0" t="n">
        <v>301368.3</v>
      </c>
      <c r="E678" s="0" t="s">
        <v>7266</v>
      </c>
      <c r="G678" s="0" t="s">
        <v>7267</v>
      </c>
    </row>
    <row r="679" customFormat="false" ht="15" hidden="false" customHeight="false" outlineLevel="0" collapsed="false">
      <c r="A679" s="0" t="s">
        <v>211</v>
      </c>
      <c r="B679" s="0" t="n">
        <v>2019</v>
      </c>
      <c r="C679" s="0" t="s">
        <v>61</v>
      </c>
      <c r="D679" s="0" t="n">
        <v>12128.43</v>
      </c>
      <c r="E679" s="0" t="s">
        <v>7266</v>
      </c>
      <c r="G679" s="0" t="s">
        <v>7267</v>
      </c>
    </row>
    <row r="680" customFormat="false" ht="15" hidden="false" customHeight="false" outlineLevel="0" collapsed="false">
      <c r="A680" s="0" t="s">
        <v>211</v>
      </c>
      <c r="B680" s="0" t="n">
        <v>2019</v>
      </c>
      <c r="C680" s="0" t="s">
        <v>63</v>
      </c>
      <c r="D680" s="0" t="n">
        <v>6130.6</v>
      </c>
      <c r="E680" s="0" t="s">
        <v>7266</v>
      </c>
      <c r="G680" s="0" t="s">
        <v>7267</v>
      </c>
    </row>
    <row r="681" customFormat="false" ht="15" hidden="false" customHeight="false" outlineLevel="0" collapsed="false">
      <c r="A681" s="0" t="s">
        <v>211</v>
      </c>
      <c r="B681" s="0" t="n">
        <v>2019</v>
      </c>
      <c r="C681" s="0" t="s">
        <v>327</v>
      </c>
      <c r="D681" s="0" t="n">
        <v>7.38</v>
      </c>
      <c r="E681" s="0" t="s">
        <v>7266</v>
      </c>
      <c r="G681" s="0" t="s">
        <v>7267</v>
      </c>
    </row>
    <row r="682" customFormat="false" ht="15" hidden="false" customHeight="false" outlineLevel="0" collapsed="false">
      <c r="A682" s="0" t="s">
        <v>211</v>
      </c>
      <c r="B682" s="0" t="n">
        <v>2019</v>
      </c>
      <c r="C682" s="0" t="s">
        <v>69</v>
      </c>
      <c r="D682" s="0" t="n">
        <v>13.6</v>
      </c>
      <c r="E682" s="0" t="s">
        <v>7266</v>
      </c>
      <c r="G682" s="0" t="s">
        <v>7267</v>
      </c>
    </row>
    <row r="683" customFormat="false" ht="15" hidden="false" customHeight="false" outlineLevel="0" collapsed="false">
      <c r="A683" s="0" t="s">
        <v>211</v>
      </c>
      <c r="B683" s="0" t="n">
        <v>2019</v>
      </c>
      <c r="C683" s="0" t="s">
        <v>73</v>
      </c>
      <c r="D683" s="0" t="n">
        <v>0</v>
      </c>
      <c r="E683" s="0" t="s">
        <v>7266</v>
      </c>
      <c r="G683" s="0" t="s">
        <v>7267</v>
      </c>
    </row>
    <row r="684" customFormat="false" ht="15" hidden="false" customHeight="false" outlineLevel="0" collapsed="false">
      <c r="A684" s="0" t="s">
        <v>211</v>
      </c>
      <c r="B684" s="0" t="n">
        <v>2019</v>
      </c>
      <c r="C684" s="0" t="s">
        <v>1804</v>
      </c>
      <c r="D684" s="0" t="s">
        <v>1878</v>
      </c>
      <c r="E684" s="0" t="s">
        <v>7266</v>
      </c>
      <c r="G684" s="0" t="s">
        <v>7267</v>
      </c>
    </row>
    <row r="685" customFormat="false" ht="15" hidden="false" customHeight="false" outlineLevel="0" collapsed="false">
      <c r="A685" s="0" t="s">
        <v>211</v>
      </c>
      <c r="B685" s="0" t="n">
        <v>2020</v>
      </c>
      <c r="C685" s="0" t="s">
        <v>54</v>
      </c>
      <c r="D685" s="0" t="n">
        <v>4592.22</v>
      </c>
      <c r="E685" s="0" t="s">
        <v>7266</v>
      </c>
      <c r="G685" s="0" t="s">
        <v>7267</v>
      </c>
    </row>
    <row r="686" customFormat="false" ht="15" hidden="false" customHeight="false" outlineLevel="0" collapsed="false">
      <c r="A686" s="0" t="s">
        <v>211</v>
      </c>
      <c r="B686" s="0" t="n">
        <v>2020</v>
      </c>
      <c r="C686" s="0" t="s">
        <v>1327</v>
      </c>
      <c r="D686" s="0" t="n">
        <v>79876.99</v>
      </c>
      <c r="E686" s="0" t="s">
        <v>7266</v>
      </c>
      <c r="G686" s="0" t="s">
        <v>7267</v>
      </c>
    </row>
    <row r="687" customFormat="false" ht="15" hidden="false" customHeight="false" outlineLevel="0" collapsed="false">
      <c r="A687" s="0" t="s">
        <v>211</v>
      </c>
      <c r="B687" s="0" t="n">
        <v>2020</v>
      </c>
      <c r="C687" s="0" t="s">
        <v>55</v>
      </c>
      <c r="D687" s="0" t="n">
        <v>968582.08</v>
      </c>
      <c r="E687" s="0" t="s">
        <v>7266</v>
      </c>
      <c r="G687" s="0" t="s">
        <v>7267</v>
      </c>
    </row>
    <row r="688" customFormat="false" ht="15" hidden="false" customHeight="false" outlineLevel="0" collapsed="false">
      <c r="A688" s="0" t="s">
        <v>211</v>
      </c>
      <c r="B688" s="0" t="n">
        <v>2020</v>
      </c>
      <c r="C688" s="0" t="s">
        <v>60</v>
      </c>
      <c r="D688" s="0" t="n">
        <v>375039.66</v>
      </c>
      <c r="E688" s="0" t="s">
        <v>7266</v>
      </c>
      <c r="G688" s="0" t="s">
        <v>7267</v>
      </c>
    </row>
    <row r="689" customFormat="false" ht="15" hidden="false" customHeight="false" outlineLevel="0" collapsed="false">
      <c r="A689" s="0" t="s">
        <v>211</v>
      </c>
      <c r="B689" s="0" t="n">
        <v>2020</v>
      </c>
      <c r="C689" s="0" t="s">
        <v>61</v>
      </c>
      <c r="D689" s="0" t="n">
        <v>14963.58</v>
      </c>
      <c r="E689" s="0" t="s">
        <v>7266</v>
      </c>
      <c r="G689" s="0" t="s">
        <v>7267</v>
      </c>
    </row>
    <row r="690" customFormat="false" ht="15" hidden="false" customHeight="false" outlineLevel="0" collapsed="false">
      <c r="A690" s="0" t="s">
        <v>211</v>
      </c>
      <c r="B690" s="0" t="n">
        <v>2020</v>
      </c>
      <c r="C690" s="0" t="s">
        <v>63</v>
      </c>
      <c r="D690" s="0" t="n">
        <v>5635.17</v>
      </c>
      <c r="E690" s="0" t="s">
        <v>7266</v>
      </c>
      <c r="G690" s="0" t="s">
        <v>7267</v>
      </c>
    </row>
    <row r="691" customFormat="false" ht="15" hidden="false" customHeight="false" outlineLevel="0" collapsed="false">
      <c r="A691" s="0" t="s">
        <v>211</v>
      </c>
      <c r="B691" s="0" t="n">
        <v>2020</v>
      </c>
      <c r="C691" s="0" t="s">
        <v>327</v>
      </c>
      <c r="D691" s="0" t="n">
        <v>4.69</v>
      </c>
      <c r="E691" s="0" t="s">
        <v>7266</v>
      </c>
      <c r="G691" s="0" t="s">
        <v>7267</v>
      </c>
    </row>
    <row r="692" customFormat="false" ht="15" hidden="false" customHeight="false" outlineLevel="0" collapsed="false">
      <c r="A692" s="0" t="s">
        <v>211</v>
      </c>
      <c r="B692" s="0" t="n">
        <v>2020</v>
      </c>
      <c r="C692" s="0" t="s">
        <v>69</v>
      </c>
      <c r="D692" s="0" t="n">
        <v>15.01</v>
      </c>
      <c r="E692" s="0" t="s">
        <v>7266</v>
      </c>
      <c r="G692" s="0" t="s">
        <v>7267</v>
      </c>
    </row>
    <row r="693" customFormat="false" ht="15" hidden="false" customHeight="false" outlineLevel="0" collapsed="false">
      <c r="A693" s="0" t="s">
        <v>211</v>
      </c>
      <c r="B693" s="0" t="n">
        <v>2020</v>
      </c>
      <c r="C693" s="0" t="s">
        <v>73</v>
      </c>
      <c r="D693" s="0" t="n">
        <v>0</v>
      </c>
      <c r="E693" s="0" t="s">
        <v>7266</v>
      </c>
      <c r="G693" s="0" t="s">
        <v>7267</v>
      </c>
    </row>
    <row r="694" customFormat="false" ht="15" hidden="false" customHeight="false" outlineLevel="0" collapsed="false">
      <c r="A694" s="0" t="s">
        <v>211</v>
      </c>
      <c r="B694" s="0" t="n">
        <v>2020</v>
      </c>
      <c r="C694" s="0" t="s">
        <v>1804</v>
      </c>
      <c r="D694" s="0" t="s">
        <v>1878</v>
      </c>
      <c r="E694" s="0" t="s">
        <v>7266</v>
      </c>
      <c r="G694" s="0" t="s">
        <v>7267</v>
      </c>
    </row>
    <row r="695" customFormat="false" ht="15" hidden="false" customHeight="false" outlineLevel="0" collapsed="false">
      <c r="A695" s="0" t="s">
        <v>211</v>
      </c>
      <c r="B695" s="0" t="n">
        <v>2021</v>
      </c>
      <c r="C695" s="0" t="s">
        <v>54</v>
      </c>
      <c r="D695" s="0" t="n">
        <v>8933</v>
      </c>
      <c r="E695" s="0" t="s">
        <v>7266</v>
      </c>
      <c r="G695" s="0" t="s">
        <v>7267</v>
      </c>
    </row>
    <row r="696" customFormat="false" ht="15" hidden="false" customHeight="false" outlineLevel="0" collapsed="false">
      <c r="A696" s="0" t="s">
        <v>211</v>
      </c>
      <c r="B696" s="0" t="n">
        <v>2021</v>
      </c>
      <c r="C696" s="0" t="s">
        <v>1327</v>
      </c>
      <c r="D696" s="0" t="n">
        <v>92137</v>
      </c>
      <c r="E696" s="0" t="s">
        <v>7266</v>
      </c>
      <c r="G696" s="0" t="s">
        <v>7267</v>
      </c>
    </row>
    <row r="697" customFormat="false" ht="15" hidden="false" customHeight="false" outlineLevel="0" collapsed="false">
      <c r="A697" s="0" t="s">
        <v>211</v>
      </c>
      <c r="B697" s="0" t="n">
        <v>2021</v>
      </c>
      <c r="C697" s="0" t="s">
        <v>55</v>
      </c>
      <c r="D697" s="0" t="n">
        <v>1164518</v>
      </c>
      <c r="E697" s="0" t="s">
        <v>7266</v>
      </c>
      <c r="G697" s="0" t="s">
        <v>7267</v>
      </c>
    </row>
    <row r="698" customFormat="false" ht="15" hidden="false" customHeight="false" outlineLevel="0" collapsed="false">
      <c r="A698" s="0" t="s">
        <v>211</v>
      </c>
      <c r="B698" s="0" t="n">
        <v>2021</v>
      </c>
      <c r="C698" s="0" t="s">
        <v>60</v>
      </c>
      <c r="D698" s="0" t="n">
        <v>435552</v>
      </c>
      <c r="E698" s="0" t="s">
        <v>7266</v>
      </c>
      <c r="G698" s="0" t="s">
        <v>7267</v>
      </c>
    </row>
    <row r="699" customFormat="false" ht="15" hidden="false" customHeight="false" outlineLevel="0" collapsed="false">
      <c r="A699" s="0" t="s">
        <v>211</v>
      </c>
      <c r="B699" s="0" t="n">
        <v>2021</v>
      </c>
      <c r="C699" s="0" t="s">
        <v>61</v>
      </c>
      <c r="D699" s="0" t="n">
        <v>16688</v>
      </c>
      <c r="E699" s="0" t="s">
        <v>7266</v>
      </c>
      <c r="G699" s="0" t="s">
        <v>7267</v>
      </c>
    </row>
    <row r="700" customFormat="false" ht="15" hidden="false" customHeight="false" outlineLevel="0" collapsed="false">
      <c r="A700" s="0" t="s">
        <v>211</v>
      </c>
      <c r="B700" s="0" t="n">
        <v>2021</v>
      </c>
      <c r="C700" s="0" t="s">
        <v>63</v>
      </c>
      <c r="D700" s="0" t="n">
        <v>2104</v>
      </c>
      <c r="E700" s="0" t="s">
        <v>7266</v>
      </c>
      <c r="G700" s="0" t="s">
        <v>7267</v>
      </c>
    </row>
    <row r="701" customFormat="false" ht="15" hidden="false" customHeight="false" outlineLevel="0" collapsed="false">
      <c r="A701" s="0" t="s">
        <v>211</v>
      </c>
      <c r="B701" s="0" t="n">
        <v>2021</v>
      </c>
      <c r="C701" s="0" t="s">
        <v>327</v>
      </c>
      <c r="D701" s="0" t="n">
        <v>4.88</v>
      </c>
      <c r="E701" s="0" t="s">
        <v>7266</v>
      </c>
      <c r="G701" s="0" t="s">
        <v>7267</v>
      </c>
    </row>
    <row r="702" customFormat="false" ht="15" hidden="false" customHeight="false" outlineLevel="0" collapsed="false">
      <c r="A702" s="0" t="s">
        <v>211</v>
      </c>
      <c r="B702" s="0" t="n">
        <v>2021</v>
      </c>
      <c r="C702" s="0" t="s">
        <v>69</v>
      </c>
      <c r="D702" s="0" t="n">
        <v>11.71</v>
      </c>
      <c r="E702" s="0" t="s">
        <v>7266</v>
      </c>
      <c r="G702" s="0" t="s">
        <v>7267</v>
      </c>
    </row>
    <row r="703" customFormat="false" ht="15" hidden="false" customHeight="false" outlineLevel="0" collapsed="false">
      <c r="A703" s="0" t="s">
        <v>211</v>
      </c>
      <c r="B703" s="0" t="n">
        <v>2021</v>
      </c>
      <c r="C703" s="0" t="s">
        <v>73</v>
      </c>
      <c r="D703" s="0" t="n">
        <v>0</v>
      </c>
      <c r="E703" s="0" t="s">
        <v>7266</v>
      </c>
      <c r="G703" s="0" t="s">
        <v>7267</v>
      </c>
    </row>
    <row r="704" customFormat="false" ht="15" hidden="false" customHeight="false" outlineLevel="0" collapsed="false">
      <c r="A704" s="0" t="s">
        <v>211</v>
      </c>
      <c r="B704" s="0" t="n">
        <v>2021</v>
      </c>
      <c r="C704" s="0" t="s">
        <v>1804</v>
      </c>
      <c r="D704" s="0" t="s">
        <v>3392</v>
      </c>
      <c r="E704" s="0" t="s">
        <v>7266</v>
      </c>
      <c r="G704" s="0" t="s">
        <v>7267</v>
      </c>
    </row>
    <row r="705" customFormat="false" ht="15" hidden="false" customHeight="false" outlineLevel="0" collapsed="false">
      <c r="A705" s="0" t="s">
        <v>211</v>
      </c>
      <c r="B705" s="0" t="n">
        <v>2022</v>
      </c>
      <c r="C705" s="0" t="s">
        <v>54</v>
      </c>
      <c r="D705" s="0" t="n">
        <v>11214</v>
      </c>
      <c r="E705" s="0" t="s">
        <v>7266</v>
      </c>
      <c r="G705" s="0" t="s">
        <v>7267</v>
      </c>
    </row>
    <row r="706" customFormat="false" ht="15" hidden="false" customHeight="false" outlineLevel="0" collapsed="false">
      <c r="A706" s="0" t="s">
        <v>211</v>
      </c>
      <c r="B706" s="0" t="n">
        <v>2022</v>
      </c>
      <c r="C706" s="0" t="s">
        <v>1327</v>
      </c>
      <c r="D706" s="0" t="n">
        <v>131083</v>
      </c>
      <c r="E706" s="0" t="s">
        <v>7266</v>
      </c>
      <c r="G706" s="0" t="s">
        <v>7267</v>
      </c>
    </row>
    <row r="707" customFormat="false" ht="15" hidden="false" customHeight="false" outlineLevel="0" collapsed="false">
      <c r="A707" s="0" t="s">
        <v>211</v>
      </c>
      <c r="B707" s="0" t="n">
        <v>2022</v>
      </c>
      <c r="C707" s="0" t="s">
        <v>55</v>
      </c>
      <c r="D707" s="0" t="n">
        <v>1433704</v>
      </c>
      <c r="E707" s="0" t="s">
        <v>7266</v>
      </c>
      <c r="G707" s="0" t="s">
        <v>7267</v>
      </c>
    </row>
    <row r="708" customFormat="false" ht="15" hidden="false" customHeight="false" outlineLevel="0" collapsed="false">
      <c r="A708" s="0" t="s">
        <v>211</v>
      </c>
      <c r="B708" s="0" t="n">
        <v>2022</v>
      </c>
      <c r="C708" s="0" t="s">
        <v>60</v>
      </c>
      <c r="D708" s="0" t="n">
        <v>539372</v>
      </c>
      <c r="E708" s="0" t="s">
        <v>7266</v>
      </c>
      <c r="G708" s="0" t="s">
        <v>7267</v>
      </c>
    </row>
    <row r="709" customFormat="false" ht="15" hidden="false" customHeight="false" outlineLevel="0" collapsed="false">
      <c r="A709" s="0" t="s">
        <v>211</v>
      </c>
      <c r="B709" s="0" t="n">
        <v>2022</v>
      </c>
      <c r="C709" s="0" t="s">
        <v>61</v>
      </c>
      <c r="D709" s="0" t="n">
        <v>17941</v>
      </c>
      <c r="E709" s="0" t="s">
        <v>7266</v>
      </c>
      <c r="G709" s="0" t="s">
        <v>7267</v>
      </c>
    </row>
    <row r="710" customFormat="false" ht="15" hidden="false" customHeight="false" outlineLevel="0" collapsed="false">
      <c r="A710" s="0" t="s">
        <v>211</v>
      </c>
      <c r="B710" s="0" t="n">
        <v>2022</v>
      </c>
      <c r="C710" s="0" t="s">
        <v>63</v>
      </c>
      <c r="D710" s="0" t="n">
        <v>4808</v>
      </c>
      <c r="E710" s="0" t="s">
        <v>7266</v>
      </c>
      <c r="G710" s="0" t="s">
        <v>7267</v>
      </c>
    </row>
    <row r="711" customFormat="false" ht="15" hidden="false" customHeight="false" outlineLevel="0" collapsed="false">
      <c r="A711" s="0" t="s">
        <v>211</v>
      </c>
      <c r="B711" s="0" t="n">
        <v>2022</v>
      </c>
      <c r="C711" s="0" t="s">
        <v>327</v>
      </c>
      <c r="D711" s="0" t="n">
        <v>6.08</v>
      </c>
      <c r="E711" s="0" t="s">
        <v>7266</v>
      </c>
      <c r="G711" s="0" t="s">
        <v>7267</v>
      </c>
    </row>
    <row r="712" customFormat="false" ht="15" hidden="false" customHeight="false" outlineLevel="0" collapsed="false">
      <c r="A712" s="0" t="s">
        <v>211</v>
      </c>
      <c r="B712" s="0" t="n">
        <v>2022</v>
      </c>
      <c r="C712" s="0" t="s">
        <v>69</v>
      </c>
      <c r="D712" s="0" t="n">
        <v>12.74</v>
      </c>
      <c r="E712" s="0" t="s">
        <v>7266</v>
      </c>
      <c r="G712" s="0" t="s">
        <v>7267</v>
      </c>
    </row>
    <row r="713" customFormat="false" ht="15" hidden="false" customHeight="false" outlineLevel="0" collapsed="false">
      <c r="A713" s="0" t="s">
        <v>211</v>
      </c>
      <c r="B713" s="0" t="n">
        <v>2022</v>
      </c>
      <c r="C713" s="0" t="s">
        <v>73</v>
      </c>
      <c r="D713" s="0" t="n">
        <v>0</v>
      </c>
      <c r="E713" s="0" t="s">
        <v>7266</v>
      </c>
      <c r="G713" s="0" t="s">
        <v>7267</v>
      </c>
    </row>
    <row r="714" customFormat="false" ht="15" hidden="false" customHeight="false" outlineLevel="0" collapsed="false">
      <c r="A714" s="0" t="s">
        <v>211</v>
      </c>
      <c r="B714" s="0" t="n">
        <v>2022</v>
      </c>
      <c r="C714" s="0" t="s">
        <v>1804</v>
      </c>
      <c r="D714" s="0" t="s">
        <v>3392</v>
      </c>
      <c r="E714" s="0" t="s">
        <v>7266</v>
      </c>
      <c r="G714" s="0" t="s">
        <v>7267</v>
      </c>
    </row>
    <row r="715" customFormat="false" ht="15" hidden="false" customHeight="false" outlineLevel="0" collapsed="false">
      <c r="A715" s="0" t="s">
        <v>2440</v>
      </c>
      <c r="B715" s="0" t="n">
        <v>2015</v>
      </c>
      <c r="C715" s="0" t="s">
        <v>54</v>
      </c>
      <c r="D715" s="0" t="n">
        <v>3542</v>
      </c>
      <c r="E715" s="0" t="s">
        <v>7266</v>
      </c>
      <c r="G715" s="0" t="s">
        <v>7267</v>
      </c>
    </row>
    <row r="716" customFormat="false" ht="15" hidden="false" customHeight="false" outlineLevel="0" collapsed="false">
      <c r="A716" s="0" t="s">
        <v>2440</v>
      </c>
      <c r="B716" s="0" t="n">
        <v>2015</v>
      </c>
      <c r="C716" s="0" t="s">
        <v>1327</v>
      </c>
      <c r="D716" s="0" t="n">
        <v>84900</v>
      </c>
      <c r="E716" s="0" t="s">
        <v>7266</v>
      </c>
      <c r="G716" s="0" t="s">
        <v>7267</v>
      </c>
    </row>
    <row r="717" customFormat="false" ht="15" hidden="false" customHeight="false" outlineLevel="0" collapsed="false">
      <c r="A717" s="0" t="s">
        <v>2440</v>
      </c>
      <c r="B717" s="0" t="n">
        <v>2015</v>
      </c>
      <c r="C717" s="0" t="s">
        <v>55</v>
      </c>
      <c r="D717" s="0" t="n">
        <v>1150144</v>
      </c>
      <c r="E717" s="0" t="s">
        <v>7266</v>
      </c>
      <c r="G717" s="0" t="s">
        <v>7267</v>
      </c>
    </row>
    <row r="718" customFormat="false" ht="15" hidden="false" customHeight="false" outlineLevel="0" collapsed="false">
      <c r="A718" s="0" t="s">
        <v>2440</v>
      </c>
      <c r="B718" s="0" t="n">
        <v>2015</v>
      </c>
      <c r="C718" s="0" t="s">
        <v>60</v>
      </c>
      <c r="D718" s="0" t="n">
        <v>592672</v>
      </c>
      <c r="E718" s="0" t="s">
        <v>7266</v>
      </c>
      <c r="G718" s="0" t="s">
        <v>7267</v>
      </c>
    </row>
    <row r="719" customFormat="false" ht="15" hidden="false" customHeight="false" outlineLevel="0" collapsed="false">
      <c r="A719" s="0" t="s">
        <v>2440</v>
      </c>
      <c r="B719" s="0" t="n">
        <v>2015</v>
      </c>
      <c r="C719" s="0" t="s">
        <v>61</v>
      </c>
      <c r="D719" s="0" t="n">
        <v>36587</v>
      </c>
      <c r="E719" s="0" t="s">
        <v>7266</v>
      </c>
      <c r="G719" s="0" t="s">
        <v>7267</v>
      </c>
    </row>
    <row r="720" customFormat="false" ht="15" hidden="false" customHeight="false" outlineLevel="0" collapsed="false">
      <c r="A720" s="0" t="s">
        <v>2440</v>
      </c>
      <c r="B720" s="0" t="n">
        <v>2015</v>
      </c>
      <c r="C720" s="0" t="s">
        <v>63</v>
      </c>
      <c r="D720" s="0" t="n">
        <v>14102</v>
      </c>
      <c r="E720" s="0" t="s">
        <v>7266</v>
      </c>
      <c r="G720" s="0" t="s">
        <v>7267</v>
      </c>
    </row>
    <row r="721" customFormat="false" ht="15" hidden="false" customHeight="false" outlineLevel="0" collapsed="false">
      <c r="A721" s="0" t="s">
        <v>2440</v>
      </c>
      <c r="B721" s="0" t="n">
        <v>2015</v>
      </c>
      <c r="C721" s="0" t="s">
        <v>327</v>
      </c>
      <c r="D721" s="0" t="n">
        <v>4.15</v>
      </c>
      <c r="E721" s="0" t="s">
        <v>7266</v>
      </c>
      <c r="G721" s="0" t="s">
        <v>7267</v>
      </c>
    </row>
    <row r="722" customFormat="false" ht="15" hidden="false" customHeight="false" outlineLevel="0" collapsed="false">
      <c r="A722" s="0" t="s">
        <v>2440</v>
      </c>
      <c r="B722" s="0" t="n">
        <v>2015</v>
      </c>
      <c r="C722" s="0" t="s">
        <v>69</v>
      </c>
      <c r="D722" s="0" t="n">
        <v>16.88</v>
      </c>
      <c r="E722" s="0" t="s">
        <v>7266</v>
      </c>
      <c r="G722" s="0" t="s">
        <v>7267</v>
      </c>
    </row>
    <row r="723" customFormat="false" ht="15" hidden="false" customHeight="false" outlineLevel="0" collapsed="false">
      <c r="A723" s="0" t="s">
        <v>2440</v>
      </c>
      <c r="B723" s="0" t="n">
        <v>2015</v>
      </c>
      <c r="C723" s="0" t="s">
        <v>73</v>
      </c>
      <c r="D723" s="0" t="n">
        <v>0</v>
      </c>
      <c r="E723" s="0" t="s">
        <v>7266</v>
      </c>
      <c r="G723" s="0" t="s">
        <v>7267</v>
      </c>
    </row>
    <row r="724" customFormat="false" ht="15" hidden="false" customHeight="false" outlineLevel="0" collapsed="false">
      <c r="A724" s="0" t="s">
        <v>2440</v>
      </c>
      <c r="B724" s="0" t="n">
        <v>2015</v>
      </c>
      <c r="C724" s="0" t="s">
        <v>1804</v>
      </c>
      <c r="D724" s="0" t="s">
        <v>3392</v>
      </c>
      <c r="E724" s="0" t="s">
        <v>7266</v>
      </c>
      <c r="G724" s="0" t="s">
        <v>7267</v>
      </c>
    </row>
    <row r="725" customFormat="false" ht="15" hidden="false" customHeight="false" outlineLevel="0" collapsed="false">
      <c r="A725" s="0" t="s">
        <v>2440</v>
      </c>
      <c r="B725" s="0" t="n">
        <v>2016</v>
      </c>
      <c r="C725" s="0" t="s">
        <v>54</v>
      </c>
      <c r="D725" s="0" t="n">
        <v>12076</v>
      </c>
      <c r="E725" s="0" t="s">
        <v>7266</v>
      </c>
      <c r="G725" s="0" t="s">
        <v>7267</v>
      </c>
    </row>
    <row r="726" customFormat="false" ht="15" hidden="false" customHeight="false" outlineLevel="0" collapsed="false">
      <c r="A726" s="0" t="s">
        <v>2440</v>
      </c>
      <c r="B726" s="0" t="n">
        <v>2016</v>
      </c>
      <c r="C726" s="0" t="s">
        <v>1327</v>
      </c>
      <c r="D726" s="0" t="n">
        <v>112581</v>
      </c>
      <c r="E726" s="0" t="s">
        <v>7266</v>
      </c>
      <c r="G726" s="0" t="s">
        <v>7267</v>
      </c>
    </row>
    <row r="727" customFormat="false" ht="15" hidden="false" customHeight="false" outlineLevel="0" collapsed="false">
      <c r="A727" s="0" t="s">
        <v>2440</v>
      </c>
      <c r="B727" s="0" t="n">
        <v>2016</v>
      </c>
      <c r="C727" s="0" t="s">
        <v>55</v>
      </c>
      <c r="D727" s="0" t="n">
        <v>1163435</v>
      </c>
      <c r="E727" s="0" t="s">
        <v>7266</v>
      </c>
      <c r="G727" s="0" t="s">
        <v>7267</v>
      </c>
    </row>
    <row r="728" customFormat="false" ht="15" hidden="false" customHeight="false" outlineLevel="0" collapsed="false">
      <c r="A728" s="0" t="s">
        <v>2440</v>
      </c>
      <c r="B728" s="0" t="n">
        <v>2016</v>
      </c>
      <c r="C728" s="0" t="s">
        <v>60</v>
      </c>
      <c r="D728" s="0" t="n">
        <v>659700</v>
      </c>
      <c r="E728" s="0" t="s">
        <v>7266</v>
      </c>
      <c r="G728" s="0" t="s">
        <v>7267</v>
      </c>
    </row>
    <row r="729" customFormat="false" ht="15" hidden="false" customHeight="false" outlineLevel="0" collapsed="false">
      <c r="A729" s="0" t="s">
        <v>2440</v>
      </c>
      <c r="B729" s="0" t="n">
        <v>2016</v>
      </c>
      <c r="C729" s="0" t="s">
        <v>61</v>
      </c>
      <c r="D729" s="0" t="n">
        <v>33247</v>
      </c>
      <c r="E729" s="0" t="s">
        <v>7266</v>
      </c>
      <c r="G729" s="0" t="s">
        <v>7267</v>
      </c>
    </row>
    <row r="730" customFormat="false" ht="15" hidden="false" customHeight="false" outlineLevel="0" collapsed="false">
      <c r="A730" s="0" t="s">
        <v>2440</v>
      </c>
      <c r="B730" s="0" t="n">
        <v>2016</v>
      </c>
      <c r="C730" s="0" t="s">
        <v>63</v>
      </c>
      <c r="D730" s="0" t="n">
        <v>35311</v>
      </c>
      <c r="E730" s="0" t="s">
        <v>7266</v>
      </c>
      <c r="G730" s="0" t="s">
        <v>7267</v>
      </c>
    </row>
    <row r="731" customFormat="false" ht="15" hidden="false" customHeight="false" outlineLevel="0" collapsed="false">
      <c r="A731" s="0" t="s">
        <v>2440</v>
      </c>
      <c r="B731" s="0" t="n">
        <v>2016</v>
      </c>
      <c r="C731" s="0" t="s">
        <v>327</v>
      </c>
      <c r="D731" s="0" t="n">
        <v>3.74</v>
      </c>
      <c r="E731" s="0" t="s">
        <v>7266</v>
      </c>
      <c r="G731" s="0" t="s">
        <v>7267</v>
      </c>
    </row>
    <row r="732" customFormat="false" ht="15" hidden="false" customHeight="false" outlineLevel="0" collapsed="false">
      <c r="A732" s="0" t="s">
        <v>2440</v>
      </c>
      <c r="B732" s="0" t="n">
        <v>2016</v>
      </c>
      <c r="C732" s="0" t="s">
        <v>69</v>
      </c>
      <c r="D732" s="0" t="n">
        <v>16.54</v>
      </c>
      <c r="E732" s="0" t="s">
        <v>7266</v>
      </c>
      <c r="G732" s="0" t="s">
        <v>7267</v>
      </c>
    </row>
    <row r="733" customFormat="false" ht="15" hidden="false" customHeight="false" outlineLevel="0" collapsed="false">
      <c r="A733" s="0" t="s">
        <v>2440</v>
      </c>
      <c r="B733" s="0" t="n">
        <v>2016</v>
      </c>
      <c r="C733" s="0" t="s">
        <v>73</v>
      </c>
      <c r="D733" s="0" t="n">
        <v>0</v>
      </c>
      <c r="E733" s="0" t="s">
        <v>7266</v>
      </c>
      <c r="G733" s="0" t="s">
        <v>7267</v>
      </c>
    </row>
    <row r="734" customFormat="false" ht="15" hidden="false" customHeight="false" outlineLevel="0" collapsed="false">
      <c r="A734" s="0" t="s">
        <v>2440</v>
      </c>
      <c r="B734" s="0" t="n">
        <v>2016</v>
      </c>
      <c r="C734" s="0" t="s">
        <v>1804</v>
      </c>
      <c r="D734" s="0" t="s">
        <v>3392</v>
      </c>
      <c r="E734" s="0" t="s">
        <v>7266</v>
      </c>
      <c r="G734" s="0" t="s">
        <v>7267</v>
      </c>
    </row>
    <row r="735" customFormat="false" ht="15" hidden="false" customHeight="false" outlineLevel="0" collapsed="false">
      <c r="A735" s="0" t="s">
        <v>2440</v>
      </c>
      <c r="B735" s="0" t="n">
        <v>2017</v>
      </c>
      <c r="C735" s="0" t="s">
        <v>54</v>
      </c>
      <c r="D735" s="0" t="n">
        <v>6794</v>
      </c>
      <c r="E735" s="0" t="s">
        <v>7266</v>
      </c>
      <c r="G735" s="0" t="s">
        <v>7267</v>
      </c>
    </row>
    <row r="736" customFormat="false" ht="15" hidden="false" customHeight="false" outlineLevel="0" collapsed="false">
      <c r="A736" s="0" t="s">
        <v>2440</v>
      </c>
      <c r="B736" s="0" t="n">
        <v>2017</v>
      </c>
      <c r="C736" s="0" t="s">
        <v>1327</v>
      </c>
      <c r="D736" s="0" t="n">
        <v>98239</v>
      </c>
      <c r="E736" s="0" t="s">
        <v>7266</v>
      </c>
      <c r="G736" s="0" t="s">
        <v>7267</v>
      </c>
    </row>
    <row r="737" customFormat="false" ht="15" hidden="false" customHeight="false" outlineLevel="0" collapsed="false">
      <c r="A737" s="0" t="s">
        <v>2440</v>
      </c>
      <c r="B737" s="0" t="n">
        <v>2017</v>
      </c>
      <c r="C737" s="0" t="s">
        <v>55</v>
      </c>
      <c r="D737" s="0" t="n">
        <v>1169344</v>
      </c>
      <c r="E737" s="0" t="s">
        <v>7266</v>
      </c>
      <c r="G737" s="0" t="s">
        <v>7267</v>
      </c>
    </row>
    <row r="738" customFormat="false" ht="15" hidden="false" customHeight="false" outlineLevel="0" collapsed="false">
      <c r="A738" s="0" t="s">
        <v>2440</v>
      </c>
      <c r="B738" s="0" t="n">
        <v>2017</v>
      </c>
      <c r="C738" s="0" t="s">
        <v>60</v>
      </c>
      <c r="D738" s="0" t="n">
        <v>649379</v>
      </c>
      <c r="E738" s="0" t="s">
        <v>7266</v>
      </c>
      <c r="G738" s="0" t="s">
        <v>7267</v>
      </c>
    </row>
    <row r="739" customFormat="false" ht="15" hidden="false" customHeight="false" outlineLevel="0" collapsed="false">
      <c r="A739" s="0" t="s">
        <v>2440</v>
      </c>
      <c r="B739" s="0" t="n">
        <v>2017</v>
      </c>
      <c r="C739" s="0" t="s">
        <v>61</v>
      </c>
      <c r="D739" s="0" t="n">
        <v>25305</v>
      </c>
      <c r="E739" s="0" t="s">
        <v>7266</v>
      </c>
      <c r="G739" s="0" t="s">
        <v>7267</v>
      </c>
    </row>
    <row r="740" customFormat="false" ht="15" hidden="false" customHeight="false" outlineLevel="0" collapsed="false">
      <c r="A740" s="0" t="s">
        <v>2440</v>
      </c>
      <c r="B740" s="0" t="n">
        <v>2017</v>
      </c>
      <c r="C740" s="0" t="s">
        <v>63</v>
      </c>
      <c r="D740" s="0" t="n">
        <v>22653</v>
      </c>
      <c r="E740" s="0" t="s">
        <v>7266</v>
      </c>
      <c r="G740" s="0" t="s">
        <v>7267</v>
      </c>
    </row>
    <row r="741" customFormat="false" ht="15" hidden="false" customHeight="false" outlineLevel="0" collapsed="false">
      <c r="A741" s="0" t="s">
        <v>2440</v>
      </c>
      <c r="B741" s="0" t="n">
        <v>2017</v>
      </c>
      <c r="C741" s="0" t="s">
        <v>327</v>
      </c>
      <c r="D741" s="0" t="n">
        <v>4.92</v>
      </c>
      <c r="E741" s="0" t="s">
        <v>7266</v>
      </c>
      <c r="G741" s="0" t="s">
        <v>7267</v>
      </c>
    </row>
    <row r="742" customFormat="false" ht="15" hidden="false" customHeight="false" outlineLevel="0" collapsed="false">
      <c r="A742" s="0" t="s">
        <v>2440</v>
      </c>
      <c r="B742" s="0" t="n">
        <v>2017</v>
      </c>
      <c r="C742" s="0" t="s">
        <v>69</v>
      </c>
      <c r="D742" s="0" t="n">
        <v>17.21</v>
      </c>
      <c r="E742" s="0" t="s">
        <v>7266</v>
      </c>
      <c r="G742" s="0" t="s">
        <v>7267</v>
      </c>
    </row>
    <row r="743" customFormat="false" ht="15" hidden="false" customHeight="false" outlineLevel="0" collapsed="false">
      <c r="A743" s="0" t="s">
        <v>2440</v>
      </c>
      <c r="B743" s="0" t="n">
        <v>2017</v>
      </c>
      <c r="C743" s="0" t="s">
        <v>73</v>
      </c>
      <c r="D743" s="0" t="n">
        <v>0</v>
      </c>
      <c r="E743" s="0" t="s">
        <v>7266</v>
      </c>
      <c r="G743" s="0" t="s">
        <v>7267</v>
      </c>
    </row>
    <row r="744" customFormat="false" ht="15" hidden="false" customHeight="false" outlineLevel="0" collapsed="false">
      <c r="A744" s="0" t="s">
        <v>2440</v>
      </c>
      <c r="B744" s="0" t="n">
        <v>2017</v>
      </c>
      <c r="C744" s="0" t="s">
        <v>1804</v>
      </c>
      <c r="D744" s="0" t="s">
        <v>3392</v>
      </c>
      <c r="E744" s="0" t="s">
        <v>7266</v>
      </c>
      <c r="G744" s="0" t="s">
        <v>7267</v>
      </c>
    </row>
    <row r="745" customFormat="false" ht="15" hidden="false" customHeight="false" outlineLevel="0" collapsed="false">
      <c r="A745" s="0" t="s">
        <v>2440</v>
      </c>
      <c r="B745" s="0" t="n">
        <v>2018</v>
      </c>
      <c r="C745" s="0" t="s">
        <v>54</v>
      </c>
      <c r="D745" s="0" t="n">
        <v>12355</v>
      </c>
      <c r="E745" s="0" t="s">
        <v>7266</v>
      </c>
      <c r="G745" s="0" t="s">
        <v>7267</v>
      </c>
    </row>
    <row r="746" customFormat="false" ht="15" hidden="false" customHeight="false" outlineLevel="0" collapsed="false">
      <c r="A746" s="0" t="s">
        <v>2440</v>
      </c>
      <c r="B746" s="0" t="n">
        <v>2018</v>
      </c>
      <c r="C746" s="0" t="s">
        <v>1327</v>
      </c>
      <c r="D746" s="0" t="n">
        <v>101385</v>
      </c>
      <c r="E746" s="0" t="s">
        <v>7266</v>
      </c>
      <c r="G746" s="0" t="s">
        <v>7267</v>
      </c>
    </row>
    <row r="747" customFormat="false" ht="15" hidden="false" customHeight="false" outlineLevel="0" collapsed="false">
      <c r="A747" s="0" t="s">
        <v>2440</v>
      </c>
      <c r="B747" s="0" t="n">
        <v>2018</v>
      </c>
      <c r="C747" s="0" t="s">
        <v>55</v>
      </c>
      <c r="D747" s="0" t="n">
        <v>1391479</v>
      </c>
      <c r="E747" s="0" t="s">
        <v>7266</v>
      </c>
      <c r="G747" s="0" t="s">
        <v>7267</v>
      </c>
    </row>
    <row r="748" customFormat="false" ht="15" hidden="false" customHeight="false" outlineLevel="0" collapsed="false">
      <c r="A748" s="0" t="s">
        <v>2440</v>
      </c>
      <c r="B748" s="0" t="n">
        <v>2018</v>
      </c>
      <c r="C748" s="0" t="s">
        <v>60</v>
      </c>
      <c r="D748" s="0" t="n">
        <v>616006</v>
      </c>
      <c r="E748" s="0" t="s">
        <v>7266</v>
      </c>
      <c r="G748" s="0" t="s">
        <v>7267</v>
      </c>
    </row>
    <row r="749" customFormat="false" ht="15" hidden="false" customHeight="false" outlineLevel="0" collapsed="false">
      <c r="A749" s="0" t="s">
        <v>2440</v>
      </c>
      <c r="B749" s="0" t="n">
        <v>2018</v>
      </c>
      <c r="C749" s="0" t="s">
        <v>61</v>
      </c>
      <c r="D749" s="0" t="n">
        <v>48291</v>
      </c>
      <c r="E749" s="0" t="s">
        <v>7266</v>
      </c>
      <c r="G749" s="0" t="s">
        <v>7267</v>
      </c>
    </row>
    <row r="750" customFormat="false" ht="15" hidden="false" customHeight="false" outlineLevel="0" collapsed="false">
      <c r="A750" s="0" t="s">
        <v>2440</v>
      </c>
      <c r="B750" s="0" t="n">
        <v>2018</v>
      </c>
      <c r="C750" s="0" t="s">
        <v>63</v>
      </c>
      <c r="D750" s="0" t="n">
        <v>13954</v>
      </c>
      <c r="E750" s="0" t="s">
        <v>7266</v>
      </c>
      <c r="G750" s="0" t="s">
        <v>7267</v>
      </c>
    </row>
    <row r="751" customFormat="false" ht="15" hidden="false" customHeight="false" outlineLevel="0" collapsed="false">
      <c r="A751" s="0" t="s">
        <v>2440</v>
      </c>
      <c r="B751" s="0" t="n">
        <v>2018</v>
      </c>
      <c r="C751" s="0" t="s">
        <v>327</v>
      </c>
      <c r="D751" s="0" t="n">
        <v>5.9</v>
      </c>
      <c r="E751" s="0" t="s">
        <v>7266</v>
      </c>
      <c r="G751" s="0" t="s">
        <v>7267</v>
      </c>
    </row>
    <row r="752" customFormat="false" ht="15" hidden="false" customHeight="false" outlineLevel="0" collapsed="false">
      <c r="A752" s="0" t="s">
        <v>2440</v>
      </c>
      <c r="B752" s="0" t="n">
        <v>2018</v>
      </c>
      <c r="C752" s="0" t="s">
        <v>69</v>
      </c>
      <c r="D752" s="0" t="n">
        <v>15.79</v>
      </c>
      <c r="E752" s="0" t="s">
        <v>7266</v>
      </c>
      <c r="G752" s="0" t="s">
        <v>7267</v>
      </c>
    </row>
    <row r="753" customFormat="false" ht="15" hidden="false" customHeight="false" outlineLevel="0" collapsed="false">
      <c r="A753" s="0" t="s">
        <v>2440</v>
      </c>
      <c r="B753" s="0" t="n">
        <v>2018</v>
      </c>
      <c r="C753" s="0" t="s">
        <v>73</v>
      </c>
      <c r="D753" s="0" t="n">
        <v>0</v>
      </c>
      <c r="E753" s="0" t="s">
        <v>7266</v>
      </c>
      <c r="G753" s="0" t="s">
        <v>7267</v>
      </c>
    </row>
    <row r="754" customFormat="false" ht="15" hidden="false" customHeight="false" outlineLevel="0" collapsed="false">
      <c r="A754" s="0" t="s">
        <v>2440</v>
      </c>
      <c r="B754" s="0" t="n">
        <v>2018</v>
      </c>
      <c r="C754" s="0" t="s">
        <v>1804</v>
      </c>
      <c r="D754" s="0" t="s">
        <v>3392</v>
      </c>
      <c r="E754" s="0" t="s">
        <v>7266</v>
      </c>
      <c r="G754" s="0" t="s">
        <v>7267</v>
      </c>
    </row>
    <row r="755" customFormat="false" ht="15" hidden="false" customHeight="false" outlineLevel="0" collapsed="false">
      <c r="A755" s="0" t="s">
        <v>2440</v>
      </c>
      <c r="B755" s="0" t="n">
        <v>2019</v>
      </c>
      <c r="C755" s="0" t="s">
        <v>54</v>
      </c>
      <c r="D755" s="0" t="n">
        <v>13642</v>
      </c>
      <c r="E755" s="0" t="s">
        <v>7266</v>
      </c>
      <c r="G755" s="0" t="s">
        <v>7267</v>
      </c>
    </row>
    <row r="756" customFormat="false" ht="15" hidden="false" customHeight="false" outlineLevel="0" collapsed="false">
      <c r="A756" s="0" t="s">
        <v>2440</v>
      </c>
      <c r="B756" s="0" t="n">
        <v>2019</v>
      </c>
      <c r="C756" s="0" t="s">
        <v>1327</v>
      </c>
      <c r="D756" s="0" t="n">
        <v>94910</v>
      </c>
      <c r="E756" s="0" t="s">
        <v>7266</v>
      </c>
      <c r="G756" s="0" t="s">
        <v>7267</v>
      </c>
    </row>
    <row r="757" customFormat="false" ht="15" hidden="false" customHeight="false" outlineLevel="0" collapsed="false">
      <c r="A757" s="0" t="s">
        <v>2440</v>
      </c>
      <c r="B757" s="0" t="n">
        <v>2019</v>
      </c>
      <c r="C757" s="0" t="s">
        <v>55</v>
      </c>
      <c r="D757" s="0" t="n">
        <v>1621454</v>
      </c>
      <c r="E757" s="0" t="s">
        <v>7266</v>
      </c>
      <c r="G757" s="0" t="s">
        <v>7267</v>
      </c>
    </row>
    <row r="758" customFormat="false" ht="15" hidden="false" customHeight="false" outlineLevel="0" collapsed="false">
      <c r="A758" s="0" t="s">
        <v>2440</v>
      </c>
      <c r="B758" s="0" t="n">
        <v>2019</v>
      </c>
      <c r="C758" s="0" t="s">
        <v>60</v>
      </c>
      <c r="D758" s="0" t="n">
        <v>692974</v>
      </c>
      <c r="E758" s="0" t="s">
        <v>7266</v>
      </c>
      <c r="G758" s="0" t="s">
        <v>7267</v>
      </c>
    </row>
    <row r="759" customFormat="false" ht="15" hidden="false" customHeight="false" outlineLevel="0" collapsed="false">
      <c r="A759" s="0" t="s">
        <v>2440</v>
      </c>
      <c r="B759" s="0" t="n">
        <v>2019</v>
      </c>
      <c r="C759" s="0" t="s">
        <v>61</v>
      </c>
      <c r="D759" s="0" t="n">
        <v>46747</v>
      </c>
      <c r="E759" s="0" t="s">
        <v>7266</v>
      </c>
      <c r="G759" s="0" t="s">
        <v>7267</v>
      </c>
    </row>
    <row r="760" customFormat="false" ht="15" hidden="false" customHeight="false" outlineLevel="0" collapsed="false">
      <c r="A760" s="0" t="s">
        <v>2440</v>
      </c>
      <c r="B760" s="0" t="n">
        <v>2019</v>
      </c>
      <c r="C760" s="0" t="s">
        <v>63</v>
      </c>
      <c r="D760" s="0" t="n">
        <v>13406</v>
      </c>
      <c r="E760" s="0" t="s">
        <v>7266</v>
      </c>
      <c r="G760" s="0" t="s">
        <v>7267</v>
      </c>
    </row>
    <row r="761" customFormat="false" ht="15" hidden="false" customHeight="false" outlineLevel="0" collapsed="false">
      <c r="A761" s="0" t="s">
        <v>2440</v>
      </c>
      <c r="B761" s="0" t="n">
        <v>2019</v>
      </c>
      <c r="C761" s="0" t="s">
        <v>327</v>
      </c>
      <c r="D761" s="0" t="n">
        <v>3.7</v>
      </c>
      <c r="E761" s="0" t="s">
        <v>7266</v>
      </c>
      <c r="G761" s="0" t="s">
        <v>7267</v>
      </c>
    </row>
    <row r="762" customFormat="false" ht="15" hidden="false" customHeight="false" outlineLevel="0" collapsed="false">
      <c r="A762" s="0" t="s">
        <v>2440</v>
      </c>
      <c r="B762" s="0" t="n">
        <v>2019</v>
      </c>
      <c r="C762" s="0" t="s">
        <v>69</v>
      </c>
      <c r="D762" s="0" t="n">
        <v>17.16</v>
      </c>
      <c r="E762" s="0" t="s">
        <v>7266</v>
      </c>
      <c r="G762" s="0" t="s">
        <v>7267</v>
      </c>
    </row>
    <row r="763" customFormat="false" ht="15" hidden="false" customHeight="false" outlineLevel="0" collapsed="false">
      <c r="A763" s="0" t="s">
        <v>2440</v>
      </c>
      <c r="B763" s="0" t="n">
        <v>2019</v>
      </c>
      <c r="C763" s="0" t="s">
        <v>73</v>
      </c>
      <c r="D763" s="0" t="n">
        <v>0</v>
      </c>
      <c r="E763" s="0" t="s">
        <v>7266</v>
      </c>
      <c r="G763" s="0" t="s">
        <v>7267</v>
      </c>
    </row>
    <row r="764" customFormat="false" ht="15" hidden="false" customHeight="false" outlineLevel="0" collapsed="false">
      <c r="A764" s="0" t="s">
        <v>2440</v>
      </c>
      <c r="B764" s="0" t="n">
        <v>2019</v>
      </c>
      <c r="C764" s="0" t="s">
        <v>1804</v>
      </c>
      <c r="D764" s="0" t="s">
        <v>3392</v>
      </c>
      <c r="E764" s="0" t="s">
        <v>7266</v>
      </c>
      <c r="G764" s="0" t="s">
        <v>7267</v>
      </c>
    </row>
    <row r="765" customFormat="false" ht="15" hidden="false" customHeight="false" outlineLevel="0" collapsed="false">
      <c r="A765" s="0" t="s">
        <v>2440</v>
      </c>
      <c r="B765" s="0" t="n">
        <v>2020</v>
      </c>
      <c r="C765" s="0" t="s">
        <v>54</v>
      </c>
      <c r="D765" s="0" t="n">
        <v>14510</v>
      </c>
      <c r="E765" s="0" t="s">
        <v>7266</v>
      </c>
      <c r="G765" s="0" t="s">
        <v>7267</v>
      </c>
    </row>
    <row r="766" customFormat="false" ht="15" hidden="false" customHeight="false" outlineLevel="0" collapsed="false">
      <c r="A766" s="0" t="s">
        <v>2440</v>
      </c>
      <c r="B766" s="0" t="n">
        <v>2020</v>
      </c>
      <c r="C766" s="0" t="s">
        <v>1327</v>
      </c>
      <c r="D766" s="0" t="n">
        <v>109885</v>
      </c>
      <c r="E766" s="0" t="s">
        <v>7266</v>
      </c>
      <c r="G766" s="0" t="s">
        <v>7267</v>
      </c>
    </row>
    <row r="767" customFormat="false" ht="15" hidden="false" customHeight="false" outlineLevel="0" collapsed="false">
      <c r="A767" s="0" t="s">
        <v>2440</v>
      </c>
      <c r="B767" s="0" t="n">
        <v>2020</v>
      </c>
      <c r="C767" s="0" t="s">
        <v>55</v>
      </c>
      <c r="D767" s="0" t="n">
        <v>2014277</v>
      </c>
      <c r="E767" s="0" t="s">
        <v>7266</v>
      </c>
      <c r="G767" s="0" t="s">
        <v>7267</v>
      </c>
    </row>
    <row r="768" customFormat="false" ht="15" hidden="false" customHeight="false" outlineLevel="0" collapsed="false">
      <c r="A768" s="0" t="s">
        <v>2440</v>
      </c>
      <c r="B768" s="0" t="n">
        <v>2020</v>
      </c>
      <c r="C768" s="0" t="s">
        <v>60</v>
      </c>
      <c r="D768" s="0" t="n">
        <v>801282</v>
      </c>
      <c r="E768" s="0" t="s">
        <v>7266</v>
      </c>
      <c r="G768" s="0" t="s">
        <v>7267</v>
      </c>
    </row>
    <row r="769" customFormat="false" ht="15" hidden="false" customHeight="false" outlineLevel="0" collapsed="false">
      <c r="A769" s="0" t="s">
        <v>2440</v>
      </c>
      <c r="B769" s="0" t="n">
        <v>2020</v>
      </c>
      <c r="C769" s="0" t="s">
        <v>61</v>
      </c>
      <c r="D769" s="0" t="n">
        <v>56248</v>
      </c>
      <c r="E769" s="0" t="s">
        <v>7266</v>
      </c>
      <c r="G769" s="0" t="s">
        <v>7267</v>
      </c>
    </row>
    <row r="770" customFormat="false" ht="15" hidden="false" customHeight="false" outlineLevel="0" collapsed="false">
      <c r="A770" s="0" t="s">
        <v>2440</v>
      </c>
      <c r="B770" s="0" t="n">
        <v>2020</v>
      </c>
      <c r="C770" s="0" t="s">
        <v>63</v>
      </c>
      <c r="D770" s="0" t="n">
        <v>20697</v>
      </c>
      <c r="E770" s="0" t="s">
        <v>7266</v>
      </c>
      <c r="G770" s="0" t="s">
        <v>7267</v>
      </c>
    </row>
    <row r="771" customFormat="false" ht="15" hidden="false" customHeight="false" outlineLevel="0" collapsed="false">
      <c r="A771" s="0" t="s">
        <v>2440</v>
      </c>
      <c r="B771" s="0" t="n">
        <v>2020</v>
      </c>
      <c r="C771" s="0" t="s">
        <v>327</v>
      </c>
      <c r="D771" s="0" t="n">
        <v>3.3</v>
      </c>
      <c r="E771" s="0" t="s">
        <v>7266</v>
      </c>
      <c r="G771" s="0" t="s">
        <v>7267</v>
      </c>
    </row>
    <row r="772" customFormat="false" ht="15" hidden="false" customHeight="false" outlineLevel="0" collapsed="false">
      <c r="A772" s="0" t="s">
        <v>2440</v>
      </c>
      <c r="B772" s="0" t="n">
        <v>2020</v>
      </c>
      <c r="C772" s="0" t="s">
        <v>69</v>
      </c>
      <c r="D772" s="0" t="n">
        <v>17.49</v>
      </c>
      <c r="E772" s="0" t="s">
        <v>7266</v>
      </c>
      <c r="G772" s="0" t="s">
        <v>7267</v>
      </c>
    </row>
    <row r="773" customFormat="false" ht="15" hidden="false" customHeight="false" outlineLevel="0" collapsed="false">
      <c r="A773" s="0" t="s">
        <v>2440</v>
      </c>
      <c r="B773" s="0" t="n">
        <v>2020</v>
      </c>
      <c r="C773" s="0" t="s">
        <v>73</v>
      </c>
      <c r="D773" s="0" t="n">
        <v>0</v>
      </c>
      <c r="E773" s="0" t="s">
        <v>7266</v>
      </c>
      <c r="G773" s="0" t="s">
        <v>7267</v>
      </c>
    </row>
    <row r="774" customFormat="false" ht="15" hidden="false" customHeight="false" outlineLevel="0" collapsed="false">
      <c r="A774" s="0" t="s">
        <v>2440</v>
      </c>
      <c r="B774" s="0" t="n">
        <v>2020</v>
      </c>
      <c r="C774" s="0" t="s">
        <v>1804</v>
      </c>
      <c r="D774" s="0" t="s">
        <v>7273</v>
      </c>
      <c r="E774" s="0" t="s">
        <v>7266</v>
      </c>
      <c r="G774" s="0" t="s">
        <v>7267</v>
      </c>
    </row>
    <row r="775" customFormat="false" ht="15" hidden="false" customHeight="false" outlineLevel="0" collapsed="false">
      <c r="A775" s="0" t="s">
        <v>2440</v>
      </c>
      <c r="B775" s="0" t="n">
        <v>2021</v>
      </c>
      <c r="C775" s="0" t="s">
        <v>54</v>
      </c>
      <c r="D775" s="0" t="n">
        <v>16176</v>
      </c>
      <c r="E775" s="0" t="s">
        <v>7266</v>
      </c>
      <c r="G775" s="0" t="s">
        <v>7267</v>
      </c>
    </row>
    <row r="776" customFormat="false" ht="15" hidden="false" customHeight="false" outlineLevel="0" collapsed="false">
      <c r="A776" s="0" t="s">
        <v>2440</v>
      </c>
      <c r="B776" s="0" t="n">
        <v>2021</v>
      </c>
      <c r="C776" s="0" t="s">
        <v>1327</v>
      </c>
      <c r="D776" s="0" t="n">
        <v>183785</v>
      </c>
      <c r="E776" s="0" t="s">
        <v>7266</v>
      </c>
      <c r="G776" s="0" t="s">
        <v>7267</v>
      </c>
    </row>
    <row r="777" customFormat="false" ht="15" hidden="false" customHeight="false" outlineLevel="0" collapsed="false">
      <c r="A777" s="0" t="s">
        <v>2440</v>
      </c>
      <c r="B777" s="0" t="n">
        <v>2021</v>
      </c>
      <c r="C777" s="0" t="s">
        <v>55</v>
      </c>
      <c r="D777" s="0" t="n">
        <v>2434973</v>
      </c>
      <c r="E777" s="0" t="s">
        <v>7266</v>
      </c>
      <c r="G777" s="0" t="s">
        <v>7267</v>
      </c>
    </row>
    <row r="778" customFormat="false" ht="15" hidden="false" customHeight="false" outlineLevel="0" collapsed="false">
      <c r="A778" s="0" t="s">
        <v>2440</v>
      </c>
      <c r="B778" s="0" t="n">
        <v>2021</v>
      </c>
      <c r="C778" s="0" t="s">
        <v>60</v>
      </c>
      <c r="D778" s="0" t="n">
        <v>1039831</v>
      </c>
      <c r="E778" s="0" t="s">
        <v>7266</v>
      </c>
      <c r="G778" s="0" t="s">
        <v>7267</v>
      </c>
    </row>
    <row r="779" customFormat="false" ht="15" hidden="false" customHeight="false" outlineLevel="0" collapsed="false">
      <c r="A779" s="0" t="s">
        <v>2440</v>
      </c>
      <c r="B779" s="0" t="n">
        <v>2021</v>
      </c>
      <c r="C779" s="0" t="s">
        <v>61</v>
      </c>
      <c r="D779" s="0" t="n">
        <v>77924</v>
      </c>
      <c r="E779" s="0" t="s">
        <v>7266</v>
      </c>
      <c r="G779" s="0" t="s">
        <v>7267</v>
      </c>
    </row>
    <row r="780" customFormat="false" ht="15" hidden="false" customHeight="false" outlineLevel="0" collapsed="false">
      <c r="A780" s="0" t="s">
        <v>2440</v>
      </c>
      <c r="B780" s="0" t="n">
        <v>2021</v>
      </c>
      <c r="C780" s="0" t="s">
        <v>63</v>
      </c>
      <c r="D780" s="0" t="n">
        <v>13870</v>
      </c>
      <c r="E780" s="0" t="s">
        <v>7266</v>
      </c>
      <c r="G780" s="0" t="s">
        <v>7267</v>
      </c>
    </row>
    <row r="781" customFormat="false" ht="15" hidden="false" customHeight="false" outlineLevel="0" collapsed="false">
      <c r="A781" s="0" t="s">
        <v>2440</v>
      </c>
      <c r="B781" s="0" t="n">
        <v>2021</v>
      </c>
      <c r="C781" s="0" t="s">
        <v>327</v>
      </c>
      <c r="D781" s="0" t="n">
        <v>4.1</v>
      </c>
      <c r="E781" s="0" t="s">
        <v>7266</v>
      </c>
      <c r="G781" s="0" t="s">
        <v>7267</v>
      </c>
    </row>
    <row r="782" customFormat="false" ht="15" hidden="false" customHeight="false" outlineLevel="0" collapsed="false">
      <c r="A782" s="0" t="s">
        <v>2440</v>
      </c>
      <c r="B782" s="0" t="n">
        <v>2021</v>
      </c>
      <c r="C782" s="0" t="s">
        <v>69</v>
      </c>
      <c r="D782" s="0" t="n">
        <v>14.89</v>
      </c>
      <c r="E782" s="0" t="s">
        <v>7266</v>
      </c>
      <c r="G782" s="0" t="s">
        <v>7267</v>
      </c>
    </row>
    <row r="783" customFormat="false" ht="15" hidden="false" customHeight="false" outlineLevel="0" collapsed="false">
      <c r="A783" s="0" t="s">
        <v>2440</v>
      </c>
      <c r="B783" s="0" t="n">
        <v>2021</v>
      </c>
      <c r="C783" s="0" t="s">
        <v>73</v>
      </c>
      <c r="D783" s="0" t="n">
        <v>0</v>
      </c>
      <c r="E783" s="0" t="s">
        <v>7266</v>
      </c>
      <c r="G783" s="0" t="s">
        <v>7267</v>
      </c>
    </row>
    <row r="784" customFormat="false" ht="15" hidden="false" customHeight="false" outlineLevel="0" collapsed="false">
      <c r="A784" s="0" t="s">
        <v>2440</v>
      </c>
      <c r="B784" s="0" t="n">
        <v>2021</v>
      </c>
      <c r="C784" s="0" t="s">
        <v>1804</v>
      </c>
      <c r="D784" s="0" t="s">
        <v>7273</v>
      </c>
      <c r="E784" s="0" t="s">
        <v>7266</v>
      </c>
      <c r="G784" s="0" t="s">
        <v>7267</v>
      </c>
    </row>
    <row r="785" customFormat="false" ht="15" hidden="false" customHeight="false" outlineLevel="0" collapsed="false">
      <c r="A785" s="0" t="s">
        <v>2440</v>
      </c>
      <c r="B785" s="0" t="n">
        <v>2022</v>
      </c>
      <c r="C785" s="0" t="s">
        <v>54</v>
      </c>
      <c r="D785" s="0" t="n">
        <v>24557</v>
      </c>
      <c r="E785" s="0" t="s">
        <v>7266</v>
      </c>
      <c r="G785" s="0" t="s">
        <v>7267</v>
      </c>
    </row>
    <row r="786" customFormat="false" ht="15" hidden="false" customHeight="false" outlineLevel="0" collapsed="false">
      <c r="A786" s="0" t="s">
        <v>2440</v>
      </c>
      <c r="B786" s="0" t="n">
        <v>2022</v>
      </c>
      <c r="C786" s="0" t="s">
        <v>1327</v>
      </c>
      <c r="D786" s="0" t="n">
        <v>246936</v>
      </c>
      <c r="E786" s="0" t="s">
        <v>7266</v>
      </c>
      <c r="G786" s="0" t="s">
        <v>7267</v>
      </c>
    </row>
    <row r="787" customFormat="false" ht="15" hidden="false" customHeight="false" outlineLevel="0" collapsed="false">
      <c r="A787" s="0" t="s">
        <v>2440</v>
      </c>
      <c r="B787" s="0" t="n">
        <v>2022</v>
      </c>
      <c r="C787" s="0" t="s">
        <v>55</v>
      </c>
      <c r="D787" s="0" t="n">
        <v>2907400</v>
      </c>
      <c r="E787" s="0" t="s">
        <v>7266</v>
      </c>
      <c r="G787" s="0" t="s">
        <v>7267</v>
      </c>
    </row>
    <row r="788" customFormat="false" ht="15" hidden="false" customHeight="false" outlineLevel="0" collapsed="false">
      <c r="A788" s="0" t="s">
        <v>2440</v>
      </c>
      <c r="B788" s="0" t="n">
        <v>2022</v>
      </c>
      <c r="C788" s="0" t="s">
        <v>60</v>
      </c>
      <c r="D788" s="0" t="n">
        <v>1166622</v>
      </c>
      <c r="E788" s="0" t="s">
        <v>7266</v>
      </c>
      <c r="G788" s="0" t="s">
        <v>7267</v>
      </c>
    </row>
    <row r="789" customFormat="false" ht="15" hidden="false" customHeight="false" outlineLevel="0" collapsed="false">
      <c r="A789" s="0" t="s">
        <v>2440</v>
      </c>
      <c r="B789" s="0" t="n">
        <v>2022</v>
      </c>
      <c r="C789" s="0" t="s">
        <v>61</v>
      </c>
      <c r="D789" s="0" t="n">
        <v>86459</v>
      </c>
      <c r="E789" s="0" t="s">
        <v>7266</v>
      </c>
      <c r="G789" s="0" t="s">
        <v>7267</v>
      </c>
    </row>
    <row r="790" customFormat="false" ht="15" hidden="false" customHeight="false" outlineLevel="0" collapsed="false">
      <c r="A790" s="0" t="s">
        <v>2440</v>
      </c>
      <c r="B790" s="0" t="n">
        <v>2022</v>
      </c>
      <c r="C790" s="0" t="s">
        <v>63</v>
      </c>
      <c r="D790" s="0" t="n">
        <v>23862</v>
      </c>
      <c r="E790" s="0" t="s">
        <v>7266</v>
      </c>
      <c r="G790" s="0" t="s">
        <v>7267</v>
      </c>
    </row>
    <row r="791" customFormat="false" ht="15" hidden="false" customHeight="false" outlineLevel="0" collapsed="false">
      <c r="A791" s="0" t="s">
        <v>2440</v>
      </c>
      <c r="B791" s="0" t="n">
        <v>2022</v>
      </c>
      <c r="C791" s="0" t="s">
        <v>327</v>
      </c>
      <c r="D791" s="0" t="n">
        <v>6.6</v>
      </c>
      <c r="E791" s="0" t="s">
        <v>7266</v>
      </c>
      <c r="G791" s="0" t="s">
        <v>7267</v>
      </c>
    </row>
    <row r="792" customFormat="false" ht="15" hidden="false" customHeight="false" outlineLevel="0" collapsed="false">
      <c r="A792" s="0" t="s">
        <v>2440</v>
      </c>
      <c r="B792" s="0" t="n">
        <v>2022</v>
      </c>
      <c r="C792" s="0" t="s">
        <v>69</v>
      </c>
      <c r="D792" s="0" t="n">
        <v>16.03</v>
      </c>
      <c r="E792" s="0" t="s">
        <v>7266</v>
      </c>
      <c r="G792" s="0" t="s">
        <v>7267</v>
      </c>
    </row>
    <row r="793" customFormat="false" ht="15" hidden="false" customHeight="false" outlineLevel="0" collapsed="false">
      <c r="A793" s="0" t="s">
        <v>2440</v>
      </c>
      <c r="B793" s="0" t="n">
        <v>2022</v>
      </c>
      <c r="C793" s="0" t="s">
        <v>73</v>
      </c>
      <c r="D793" s="0" t="n">
        <v>0</v>
      </c>
      <c r="E793" s="0" t="s">
        <v>7266</v>
      </c>
      <c r="G793" s="0" t="s">
        <v>7267</v>
      </c>
    </row>
    <row r="794" customFormat="false" ht="15" hidden="false" customHeight="false" outlineLevel="0" collapsed="false">
      <c r="A794" s="0" t="s">
        <v>2440</v>
      </c>
      <c r="B794" s="0" t="n">
        <v>2022</v>
      </c>
      <c r="C794" s="0" t="s">
        <v>1804</v>
      </c>
      <c r="D794" s="0" t="s">
        <v>7273</v>
      </c>
      <c r="E794" s="0" t="s">
        <v>7266</v>
      </c>
      <c r="G794" s="0" t="s">
        <v>7267</v>
      </c>
    </row>
    <row r="795" customFormat="false" ht="15" hidden="false" customHeight="false" outlineLevel="0" collapsed="false">
      <c r="A795" s="0" t="s">
        <v>100</v>
      </c>
      <c r="B795" s="0" t="n">
        <v>2015</v>
      </c>
      <c r="C795" s="0" t="s">
        <v>54</v>
      </c>
      <c r="D795" s="0" t="n">
        <v>5756</v>
      </c>
      <c r="E795" s="0" t="s">
        <v>7266</v>
      </c>
      <c r="G795" s="0" t="s">
        <v>7267</v>
      </c>
    </row>
    <row r="796" customFormat="false" ht="15" hidden="false" customHeight="false" outlineLevel="0" collapsed="false">
      <c r="A796" s="0" t="s">
        <v>100</v>
      </c>
      <c r="B796" s="0" t="n">
        <v>2015</v>
      </c>
      <c r="C796" s="0" t="s">
        <v>1327</v>
      </c>
      <c r="D796" s="0" t="n">
        <v>204210</v>
      </c>
      <c r="E796" s="0" t="s">
        <v>7266</v>
      </c>
      <c r="G796" s="0" t="s">
        <v>7267</v>
      </c>
    </row>
    <row r="797" customFormat="false" ht="15" hidden="false" customHeight="false" outlineLevel="0" collapsed="false">
      <c r="A797" s="0" t="s">
        <v>100</v>
      </c>
      <c r="B797" s="0" t="n">
        <v>2015</v>
      </c>
      <c r="C797" s="0" t="s">
        <v>55</v>
      </c>
      <c r="D797" s="0" t="n">
        <v>1160000</v>
      </c>
      <c r="E797" s="0" t="s">
        <v>7266</v>
      </c>
      <c r="G797" s="0" t="s">
        <v>7267</v>
      </c>
    </row>
    <row r="798" customFormat="false" ht="15" hidden="false" customHeight="false" outlineLevel="0" collapsed="false">
      <c r="A798" s="0" t="s">
        <v>100</v>
      </c>
      <c r="B798" s="0" t="n">
        <v>2015</v>
      </c>
      <c r="C798" s="0" t="s">
        <v>60</v>
      </c>
      <c r="D798" s="0" t="n">
        <v>730419</v>
      </c>
      <c r="E798" s="0" t="s">
        <v>7266</v>
      </c>
      <c r="G798" s="0" t="s">
        <v>7267</v>
      </c>
    </row>
    <row r="799" customFormat="false" ht="15" hidden="false" customHeight="false" outlineLevel="0" collapsed="false">
      <c r="A799" s="0" t="s">
        <v>100</v>
      </c>
      <c r="B799" s="0" t="n">
        <v>2015</v>
      </c>
      <c r="C799" s="0" t="s">
        <v>61</v>
      </c>
      <c r="D799" s="0" t="n">
        <v>38910</v>
      </c>
      <c r="E799" s="0" t="s">
        <v>7266</v>
      </c>
      <c r="G799" s="0" t="s">
        <v>7267</v>
      </c>
    </row>
    <row r="800" customFormat="false" ht="15" hidden="false" customHeight="false" outlineLevel="0" collapsed="false">
      <c r="A800" s="0" t="s">
        <v>100</v>
      </c>
      <c r="B800" s="0" t="n">
        <v>2015</v>
      </c>
      <c r="C800" s="0" t="s">
        <v>63</v>
      </c>
      <c r="D800" s="0" t="n">
        <v>45210</v>
      </c>
      <c r="E800" s="0" t="s">
        <v>7266</v>
      </c>
      <c r="G800" s="0" t="s">
        <v>7267</v>
      </c>
    </row>
    <row r="801" customFormat="false" ht="15" hidden="false" customHeight="false" outlineLevel="0" collapsed="false">
      <c r="A801" s="0" t="s">
        <v>100</v>
      </c>
      <c r="B801" s="0" t="n">
        <v>2015</v>
      </c>
      <c r="C801" s="0" t="s">
        <v>327</v>
      </c>
      <c r="D801" s="0" t="n">
        <v>8.2</v>
      </c>
      <c r="E801" s="0" t="s">
        <v>7266</v>
      </c>
      <c r="G801" s="0" t="s">
        <v>7267</v>
      </c>
    </row>
    <row r="802" customFormat="false" ht="15" hidden="false" customHeight="false" outlineLevel="0" collapsed="false">
      <c r="A802" s="0" t="s">
        <v>100</v>
      </c>
      <c r="B802" s="0" t="n">
        <v>2015</v>
      </c>
      <c r="C802" s="0" t="s">
        <v>69</v>
      </c>
      <c r="D802" s="0" t="n">
        <v>15</v>
      </c>
      <c r="E802" s="0" t="s">
        <v>7266</v>
      </c>
      <c r="G802" s="0" t="s">
        <v>7267</v>
      </c>
    </row>
    <row r="803" customFormat="false" ht="15" hidden="false" customHeight="false" outlineLevel="0" collapsed="false">
      <c r="A803" s="0" t="s">
        <v>100</v>
      </c>
      <c r="B803" s="0" t="n">
        <v>2015</v>
      </c>
      <c r="C803" s="0" t="s">
        <v>73</v>
      </c>
      <c r="D803" s="0" t="n">
        <v>0</v>
      </c>
      <c r="E803" s="0" t="s">
        <v>7266</v>
      </c>
      <c r="G803" s="0" t="s">
        <v>7267</v>
      </c>
    </row>
    <row r="804" customFormat="false" ht="15" hidden="false" customHeight="false" outlineLevel="0" collapsed="false">
      <c r="A804" s="0" t="s">
        <v>100</v>
      </c>
      <c r="B804" s="0" t="n">
        <v>2015</v>
      </c>
      <c r="C804" s="0" t="s">
        <v>1804</v>
      </c>
      <c r="D804" s="0" t="s">
        <v>7273</v>
      </c>
      <c r="E804" s="0" t="s">
        <v>7266</v>
      </c>
      <c r="G804" s="0" t="s">
        <v>7267</v>
      </c>
    </row>
    <row r="805" customFormat="false" ht="15" hidden="false" customHeight="false" outlineLevel="0" collapsed="false">
      <c r="A805" s="0" t="s">
        <v>100</v>
      </c>
      <c r="B805" s="0" t="n">
        <v>2016</v>
      </c>
      <c r="C805" s="0" t="s">
        <v>54</v>
      </c>
      <c r="D805" s="0" t="n">
        <v>5780</v>
      </c>
      <c r="E805" s="0" t="s">
        <v>7266</v>
      </c>
      <c r="G805" s="0" t="s">
        <v>7267</v>
      </c>
    </row>
    <row r="806" customFormat="false" ht="15" hidden="false" customHeight="false" outlineLevel="0" collapsed="false">
      <c r="A806" s="0" t="s">
        <v>100</v>
      </c>
      <c r="B806" s="0" t="n">
        <v>2016</v>
      </c>
      <c r="C806" s="0" t="s">
        <v>1327</v>
      </c>
      <c r="D806" s="0" t="n">
        <v>259584</v>
      </c>
      <c r="E806" s="0" t="s">
        <v>7266</v>
      </c>
      <c r="G806" s="0" t="s">
        <v>7267</v>
      </c>
    </row>
    <row r="807" customFormat="false" ht="15" hidden="false" customHeight="false" outlineLevel="0" collapsed="false">
      <c r="A807" s="0" t="s">
        <v>100</v>
      </c>
      <c r="B807" s="0" t="n">
        <v>2016</v>
      </c>
      <c r="C807" s="0" t="s">
        <v>55</v>
      </c>
      <c r="D807" s="0" t="n">
        <v>1808503</v>
      </c>
      <c r="E807" s="0" t="s">
        <v>7266</v>
      </c>
      <c r="G807" s="0" t="s">
        <v>7267</v>
      </c>
    </row>
    <row r="808" customFormat="false" ht="15" hidden="false" customHeight="false" outlineLevel="0" collapsed="false">
      <c r="A808" s="0" t="s">
        <v>100</v>
      </c>
      <c r="B808" s="0" t="n">
        <v>2016</v>
      </c>
      <c r="C808" s="0" t="s">
        <v>60</v>
      </c>
      <c r="D808" s="0" t="n">
        <v>869872</v>
      </c>
      <c r="E808" s="0" t="s">
        <v>7266</v>
      </c>
      <c r="G808" s="0" t="s">
        <v>7267</v>
      </c>
    </row>
    <row r="809" customFormat="false" ht="15" hidden="false" customHeight="false" outlineLevel="0" collapsed="false">
      <c r="A809" s="0" t="s">
        <v>100</v>
      </c>
      <c r="B809" s="0" t="n">
        <v>2016</v>
      </c>
      <c r="C809" s="0" t="s">
        <v>61</v>
      </c>
      <c r="D809" s="0" t="n">
        <v>116480</v>
      </c>
      <c r="E809" s="0" t="s">
        <v>7266</v>
      </c>
      <c r="G809" s="0" t="s">
        <v>7267</v>
      </c>
    </row>
    <row r="810" customFormat="false" ht="15" hidden="false" customHeight="false" outlineLevel="0" collapsed="false">
      <c r="A810" s="0" t="s">
        <v>100</v>
      </c>
      <c r="B810" s="0" t="n">
        <v>2016</v>
      </c>
      <c r="C810" s="0" t="s">
        <v>63</v>
      </c>
      <c r="D810" s="0" t="n">
        <v>82783</v>
      </c>
      <c r="E810" s="0" t="s">
        <v>7266</v>
      </c>
      <c r="G810" s="0" t="s">
        <v>7267</v>
      </c>
    </row>
    <row r="811" customFormat="false" ht="15" hidden="false" customHeight="false" outlineLevel="0" collapsed="false">
      <c r="A811" s="0" t="s">
        <v>100</v>
      </c>
      <c r="B811" s="0" t="n">
        <v>2016</v>
      </c>
      <c r="C811" s="0" t="s">
        <v>327</v>
      </c>
      <c r="D811" s="0" t="n">
        <v>9.1</v>
      </c>
      <c r="E811" s="0" t="s">
        <v>7266</v>
      </c>
      <c r="G811" s="0" t="s">
        <v>7267</v>
      </c>
    </row>
    <row r="812" customFormat="false" ht="15" hidden="false" customHeight="false" outlineLevel="0" collapsed="false">
      <c r="A812" s="0" t="s">
        <v>100</v>
      </c>
      <c r="B812" s="0" t="n">
        <v>2016</v>
      </c>
      <c r="C812" s="0" t="s">
        <v>69</v>
      </c>
      <c r="D812" s="0" t="n">
        <v>15</v>
      </c>
      <c r="E812" s="0" t="s">
        <v>7266</v>
      </c>
      <c r="G812" s="0" t="s">
        <v>7267</v>
      </c>
    </row>
    <row r="813" customFormat="false" ht="15" hidden="false" customHeight="false" outlineLevel="0" collapsed="false">
      <c r="A813" s="0" t="s">
        <v>100</v>
      </c>
      <c r="B813" s="0" t="n">
        <v>2016</v>
      </c>
      <c r="C813" s="0" t="s">
        <v>73</v>
      </c>
      <c r="D813" s="0" t="n">
        <v>0</v>
      </c>
      <c r="E813" s="0" t="s">
        <v>7266</v>
      </c>
      <c r="G813" s="0" t="s">
        <v>7267</v>
      </c>
    </row>
    <row r="814" customFormat="false" ht="15" hidden="false" customHeight="false" outlineLevel="0" collapsed="false">
      <c r="A814" s="0" t="s">
        <v>100</v>
      </c>
      <c r="B814" s="0" t="n">
        <v>2016</v>
      </c>
      <c r="C814" s="0" t="s">
        <v>1804</v>
      </c>
      <c r="D814" s="0" t="s">
        <v>7273</v>
      </c>
      <c r="E814" s="0" t="s">
        <v>7266</v>
      </c>
      <c r="G814" s="0" t="s">
        <v>7267</v>
      </c>
    </row>
    <row r="815" customFormat="false" ht="15" hidden="false" customHeight="false" outlineLevel="0" collapsed="false">
      <c r="A815" s="0" t="s">
        <v>100</v>
      </c>
      <c r="B815" s="0" t="n">
        <v>2017</v>
      </c>
      <c r="C815" s="0" t="s">
        <v>54</v>
      </c>
      <c r="D815" s="0" t="n">
        <v>20204</v>
      </c>
      <c r="E815" s="0" t="s">
        <v>7266</v>
      </c>
      <c r="G815" s="0" t="s">
        <v>7267</v>
      </c>
    </row>
    <row r="816" customFormat="false" ht="15" hidden="false" customHeight="false" outlineLevel="0" collapsed="false">
      <c r="A816" s="0" t="s">
        <v>100</v>
      </c>
      <c r="B816" s="0" t="n">
        <v>2017</v>
      </c>
      <c r="C816" s="0" t="s">
        <v>1327</v>
      </c>
      <c r="D816" s="0" t="n">
        <v>251061</v>
      </c>
      <c r="E816" s="0" t="s">
        <v>7266</v>
      </c>
      <c r="G816" s="0" t="s">
        <v>7267</v>
      </c>
    </row>
    <row r="817" customFormat="false" ht="15" hidden="false" customHeight="false" outlineLevel="0" collapsed="false">
      <c r="A817" s="0" t="s">
        <v>100</v>
      </c>
      <c r="B817" s="0" t="n">
        <v>2017</v>
      </c>
      <c r="C817" s="0" t="s">
        <v>55</v>
      </c>
      <c r="D817" s="0" t="n">
        <v>1829761</v>
      </c>
      <c r="E817" s="0" t="s">
        <v>7266</v>
      </c>
      <c r="G817" s="0" t="s">
        <v>7267</v>
      </c>
    </row>
    <row r="818" customFormat="false" ht="15" hidden="false" customHeight="false" outlineLevel="0" collapsed="false">
      <c r="A818" s="0" t="s">
        <v>100</v>
      </c>
      <c r="B818" s="0" t="n">
        <v>2017</v>
      </c>
      <c r="C818" s="0" t="s">
        <v>60</v>
      </c>
      <c r="D818" s="0" t="n">
        <v>831573</v>
      </c>
      <c r="E818" s="0" t="s">
        <v>7266</v>
      </c>
      <c r="G818" s="0" t="s">
        <v>7267</v>
      </c>
    </row>
    <row r="819" customFormat="false" ht="15" hidden="false" customHeight="false" outlineLevel="0" collapsed="false">
      <c r="A819" s="0" t="s">
        <v>100</v>
      </c>
      <c r="B819" s="0" t="n">
        <v>2017</v>
      </c>
      <c r="C819" s="0" t="s">
        <v>61</v>
      </c>
      <c r="D819" s="0" t="n">
        <v>120510</v>
      </c>
      <c r="E819" s="0" t="s">
        <v>7266</v>
      </c>
      <c r="G819" s="0" t="s">
        <v>7267</v>
      </c>
    </row>
    <row r="820" customFormat="false" ht="15" hidden="false" customHeight="false" outlineLevel="0" collapsed="false">
      <c r="A820" s="0" t="s">
        <v>100</v>
      </c>
      <c r="B820" s="0" t="n">
        <v>2017</v>
      </c>
      <c r="C820" s="0" t="s">
        <v>63</v>
      </c>
      <c r="D820" s="0" t="n">
        <v>59901</v>
      </c>
      <c r="E820" s="0" t="s">
        <v>7266</v>
      </c>
      <c r="G820" s="0" t="s">
        <v>7267</v>
      </c>
    </row>
    <row r="821" customFormat="false" ht="15" hidden="false" customHeight="false" outlineLevel="0" collapsed="false">
      <c r="A821" s="0" t="s">
        <v>100</v>
      </c>
      <c r="B821" s="0" t="n">
        <v>2017</v>
      </c>
      <c r="C821" s="0" t="s">
        <v>327</v>
      </c>
      <c r="D821" s="0" t="n">
        <v>14.5</v>
      </c>
      <c r="E821" s="0" t="s">
        <v>7266</v>
      </c>
      <c r="G821" s="0" t="s">
        <v>7267</v>
      </c>
    </row>
    <row r="822" customFormat="false" ht="15" hidden="false" customHeight="false" outlineLevel="0" collapsed="false">
      <c r="A822" s="0" t="s">
        <v>100</v>
      </c>
      <c r="B822" s="0" t="n">
        <v>2017</v>
      </c>
      <c r="C822" s="0" t="s">
        <v>69</v>
      </c>
      <c r="D822" s="0" t="n">
        <v>13.6</v>
      </c>
      <c r="E822" s="0" t="s">
        <v>7266</v>
      </c>
      <c r="G822" s="0" t="s">
        <v>7267</v>
      </c>
    </row>
    <row r="823" customFormat="false" ht="15" hidden="false" customHeight="false" outlineLevel="0" collapsed="false">
      <c r="A823" s="0" t="s">
        <v>100</v>
      </c>
      <c r="B823" s="0" t="n">
        <v>2017</v>
      </c>
      <c r="C823" s="0" t="s">
        <v>73</v>
      </c>
      <c r="D823" s="0" t="n">
        <v>0</v>
      </c>
      <c r="E823" s="0" t="s">
        <v>7266</v>
      </c>
      <c r="G823" s="0" t="s">
        <v>7267</v>
      </c>
    </row>
    <row r="824" customFormat="false" ht="15" hidden="false" customHeight="false" outlineLevel="0" collapsed="false">
      <c r="A824" s="0" t="s">
        <v>100</v>
      </c>
      <c r="B824" s="0" t="n">
        <v>2017</v>
      </c>
      <c r="C824" s="0" t="s">
        <v>1804</v>
      </c>
      <c r="D824" s="0" t="s">
        <v>7273</v>
      </c>
      <c r="E824" s="0" t="s">
        <v>7266</v>
      </c>
      <c r="G824" s="0" t="s">
        <v>7267</v>
      </c>
    </row>
    <row r="825" customFormat="false" ht="15" hidden="false" customHeight="false" outlineLevel="0" collapsed="false">
      <c r="A825" s="0" t="s">
        <v>100</v>
      </c>
      <c r="B825" s="0" t="n">
        <v>2018</v>
      </c>
      <c r="C825" s="0" t="s">
        <v>54</v>
      </c>
      <c r="D825" s="0" t="n">
        <v>27540</v>
      </c>
      <c r="E825" s="0" t="s">
        <v>7266</v>
      </c>
      <c r="G825" s="0" t="s">
        <v>7267</v>
      </c>
    </row>
    <row r="826" customFormat="false" ht="15" hidden="false" customHeight="false" outlineLevel="0" collapsed="false">
      <c r="A826" s="0" t="s">
        <v>100</v>
      </c>
      <c r="B826" s="0" t="n">
        <v>2018</v>
      </c>
      <c r="C826" s="0" t="s">
        <v>1327</v>
      </c>
      <c r="D826" s="0" t="n">
        <v>179820</v>
      </c>
      <c r="E826" s="0" t="s">
        <v>7266</v>
      </c>
      <c r="G826" s="0" t="s">
        <v>7267</v>
      </c>
    </row>
    <row r="827" customFormat="false" ht="15" hidden="false" customHeight="false" outlineLevel="0" collapsed="false">
      <c r="A827" s="0" t="s">
        <v>100</v>
      </c>
      <c r="B827" s="0" t="n">
        <v>2018</v>
      </c>
      <c r="C827" s="0" t="s">
        <v>55</v>
      </c>
      <c r="D827" s="0" t="n">
        <v>1661886</v>
      </c>
      <c r="E827" s="0" t="s">
        <v>7266</v>
      </c>
      <c r="G827" s="0" t="s">
        <v>7267</v>
      </c>
    </row>
    <row r="828" customFormat="false" ht="15" hidden="false" customHeight="false" outlineLevel="0" collapsed="false">
      <c r="A828" s="0" t="s">
        <v>100</v>
      </c>
      <c r="B828" s="0" t="n">
        <v>2018</v>
      </c>
      <c r="C828" s="0" t="s">
        <v>60</v>
      </c>
      <c r="D828" s="0" t="n">
        <v>691500</v>
      </c>
      <c r="E828" s="0" t="s">
        <v>7266</v>
      </c>
      <c r="G828" s="0" t="s">
        <v>7267</v>
      </c>
    </row>
    <row r="829" customFormat="false" ht="15" hidden="false" customHeight="false" outlineLevel="0" collapsed="false">
      <c r="A829" s="0" t="s">
        <v>100</v>
      </c>
      <c r="B829" s="0" t="n">
        <v>2018</v>
      </c>
      <c r="C829" s="0" t="s">
        <v>61</v>
      </c>
      <c r="D829" s="0" t="n">
        <v>102300</v>
      </c>
      <c r="E829" s="0" t="s">
        <v>7266</v>
      </c>
      <c r="G829" s="0" t="s">
        <v>7267</v>
      </c>
    </row>
    <row r="830" customFormat="false" ht="15" hidden="false" customHeight="false" outlineLevel="0" collapsed="false">
      <c r="A830" s="0" t="s">
        <v>100</v>
      </c>
      <c r="B830" s="0" t="n">
        <v>2018</v>
      </c>
      <c r="C830" s="0" t="s">
        <v>63</v>
      </c>
      <c r="D830" s="0" t="n">
        <v>24510</v>
      </c>
      <c r="E830" s="0" t="s">
        <v>7266</v>
      </c>
      <c r="G830" s="0" t="s">
        <v>7267</v>
      </c>
    </row>
    <row r="831" customFormat="false" ht="15" hidden="false" customHeight="false" outlineLevel="0" collapsed="false">
      <c r="A831" s="0" t="s">
        <v>100</v>
      </c>
      <c r="B831" s="0" t="n">
        <v>2018</v>
      </c>
      <c r="C831" s="0" t="s">
        <v>327</v>
      </c>
      <c r="D831" s="0" t="n">
        <v>13.7</v>
      </c>
      <c r="E831" s="0" t="s">
        <v>7266</v>
      </c>
      <c r="G831" s="0" t="s">
        <v>7267</v>
      </c>
    </row>
    <row r="832" customFormat="false" ht="15" hidden="false" customHeight="false" outlineLevel="0" collapsed="false">
      <c r="A832" s="0" t="s">
        <v>100</v>
      </c>
      <c r="B832" s="0" t="n">
        <v>2018</v>
      </c>
      <c r="C832" s="0" t="s">
        <v>69</v>
      </c>
      <c r="D832" s="0" t="n">
        <v>12.1</v>
      </c>
      <c r="E832" s="0" t="s">
        <v>7266</v>
      </c>
      <c r="G832" s="0" t="s">
        <v>7267</v>
      </c>
    </row>
    <row r="833" customFormat="false" ht="15" hidden="false" customHeight="false" outlineLevel="0" collapsed="false">
      <c r="A833" s="0" t="s">
        <v>100</v>
      </c>
      <c r="B833" s="0" t="n">
        <v>2018</v>
      </c>
      <c r="C833" s="0" t="s">
        <v>73</v>
      </c>
      <c r="D833" s="0" t="n">
        <v>0</v>
      </c>
      <c r="E833" s="0" t="s">
        <v>7266</v>
      </c>
      <c r="G833" s="0" t="s">
        <v>7267</v>
      </c>
    </row>
    <row r="834" customFormat="false" ht="15" hidden="false" customHeight="false" outlineLevel="0" collapsed="false">
      <c r="A834" s="0" t="s">
        <v>100</v>
      </c>
      <c r="B834" s="0" t="n">
        <v>2018</v>
      </c>
      <c r="C834" s="0" t="s">
        <v>1804</v>
      </c>
      <c r="D834" s="0" t="s">
        <v>7273</v>
      </c>
      <c r="E834" s="0" t="s">
        <v>7266</v>
      </c>
      <c r="G834" s="0" t="s">
        <v>7267</v>
      </c>
    </row>
    <row r="835" customFormat="false" ht="15" hidden="false" customHeight="false" outlineLevel="0" collapsed="false">
      <c r="A835" s="0" t="s">
        <v>100</v>
      </c>
      <c r="B835" s="0" t="n">
        <v>2019</v>
      </c>
      <c r="C835" s="0" t="s">
        <v>54</v>
      </c>
      <c r="D835" s="0" t="n">
        <v>32410</v>
      </c>
      <c r="E835" s="0" t="s">
        <v>7266</v>
      </c>
      <c r="G835" s="0" t="s">
        <v>7267</v>
      </c>
    </row>
    <row r="836" customFormat="false" ht="15" hidden="false" customHeight="false" outlineLevel="0" collapsed="false">
      <c r="A836" s="0" t="s">
        <v>100</v>
      </c>
      <c r="B836" s="0" t="n">
        <v>2019</v>
      </c>
      <c r="C836" s="0" t="s">
        <v>1327</v>
      </c>
      <c r="D836" s="0" t="n">
        <v>161550</v>
      </c>
      <c r="E836" s="0" t="s">
        <v>7266</v>
      </c>
      <c r="G836" s="0" t="s">
        <v>7267</v>
      </c>
    </row>
    <row r="837" customFormat="false" ht="15" hidden="false" customHeight="false" outlineLevel="0" collapsed="false">
      <c r="A837" s="0" t="s">
        <v>100</v>
      </c>
      <c r="B837" s="0" t="n">
        <v>2019</v>
      </c>
      <c r="C837" s="0" t="s">
        <v>55</v>
      </c>
      <c r="D837" s="0" t="n">
        <v>1832100</v>
      </c>
      <c r="E837" s="0" t="s">
        <v>7266</v>
      </c>
      <c r="G837" s="0" t="s">
        <v>7267</v>
      </c>
    </row>
    <row r="838" customFormat="false" ht="15" hidden="false" customHeight="false" outlineLevel="0" collapsed="false">
      <c r="A838" s="0" t="s">
        <v>100</v>
      </c>
      <c r="B838" s="0" t="n">
        <v>2019</v>
      </c>
      <c r="C838" s="0" t="s">
        <v>60</v>
      </c>
      <c r="D838" s="0" t="n">
        <v>765400</v>
      </c>
      <c r="E838" s="0" t="s">
        <v>7266</v>
      </c>
      <c r="G838" s="0" t="s">
        <v>7267</v>
      </c>
    </row>
    <row r="839" customFormat="false" ht="15" hidden="false" customHeight="false" outlineLevel="0" collapsed="false">
      <c r="A839" s="0" t="s">
        <v>100</v>
      </c>
      <c r="B839" s="0" t="n">
        <v>2019</v>
      </c>
      <c r="C839" s="0" t="s">
        <v>61</v>
      </c>
      <c r="D839" s="0" t="n">
        <v>115400</v>
      </c>
      <c r="E839" s="0" t="s">
        <v>7266</v>
      </c>
      <c r="G839" s="0" t="s">
        <v>7267</v>
      </c>
    </row>
    <row r="840" customFormat="false" ht="15" hidden="false" customHeight="false" outlineLevel="0" collapsed="false">
      <c r="A840" s="0" t="s">
        <v>100</v>
      </c>
      <c r="B840" s="0" t="n">
        <v>2019</v>
      </c>
      <c r="C840" s="0" t="s">
        <v>63</v>
      </c>
      <c r="D840" s="0" t="n">
        <v>14200</v>
      </c>
      <c r="E840" s="0" t="s">
        <v>7266</v>
      </c>
      <c r="G840" s="0" t="s">
        <v>7267</v>
      </c>
    </row>
    <row r="841" customFormat="false" ht="15" hidden="false" customHeight="false" outlineLevel="0" collapsed="false">
      <c r="A841" s="0" t="s">
        <v>100</v>
      </c>
      <c r="B841" s="0" t="n">
        <v>2019</v>
      </c>
      <c r="C841" s="0" t="s">
        <v>327</v>
      </c>
      <c r="D841" s="0" t="n">
        <v>23.9</v>
      </c>
      <c r="E841" s="0" t="s">
        <v>7266</v>
      </c>
      <c r="G841" s="0" t="s">
        <v>7267</v>
      </c>
    </row>
    <row r="842" customFormat="false" ht="15" hidden="false" customHeight="false" outlineLevel="0" collapsed="false">
      <c r="A842" s="0" t="s">
        <v>100</v>
      </c>
      <c r="B842" s="0" t="n">
        <v>2019</v>
      </c>
      <c r="C842" s="0" t="s">
        <v>69</v>
      </c>
      <c r="D842" s="0" t="n">
        <v>10.6</v>
      </c>
      <c r="E842" s="0" t="s">
        <v>7266</v>
      </c>
      <c r="G842" s="0" t="s">
        <v>7267</v>
      </c>
    </row>
    <row r="843" customFormat="false" ht="15" hidden="false" customHeight="false" outlineLevel="0" collapsed="false">
      <c r="A843" s="0" t="s">
        <v>100</v>
      </c>
      <c r="B843" s="0" t="n">
        <v>2019</v>
      </c>
      <c r="C843" s="0" t="s">
        <v>73</v>
      </c>
      <c r="D843" s="0" t="n">
        <v>0</v>
      </c>
      <c r="E843" s="0" t="s">
        <v>7266</v>
      </c>
      <c r="G843" s="0" t="s">
        <v>7267</v>
      </c>
    </row>
    <row r="844" customFormat="false" ht="15" hidden="false" customHeight="false" outlineLevel="0" collapsed="false">
      <c r="A844" s="0" t="s">
        <v>100</v>
      </c>
      <c r="B844" s="0" t="n">
        <v>2019</v>
      </c>
      <c r="C844" s="0" t="s">
        <v>1804</v>
      </c>
      <c r="D844" s="0" t="s">
        <v>7273</v>
      </c>
      <c r="E844" s="0" t="s">
        <v>7266</v>
      </c>
      <c r="G844" s="0" t="s">
        <v>7267</v>
      </c>
    </row>
    <row r="845" customFormat="false" ht="15" hidden="false" customHeight="false" outlineLevel="0" collapsed="false">
      <c r="A845" s="0" t="s">
        <v>100</v>
      </c>
      <c r="B845" s="0" t="n">
        <v>2020</v>
      </c>
      <c r="C845" s="0" t="s">
        <v>54</v>
      </c>
      <c r="D845" s="0" t="n">
        <v>8087</v>
      </c>
      <c r="E845" s="0" t="s">
        <v>7266</v>
      </c>
      <c r="G845" s="0" t="s">
        <v>7267</v>
      </c>
    </row>
    <row r="846" customFormat="false" ht="15" hidden="false" customHeight="false" outlineLevel="0" collapsed="false">
      <c r="A846" s="0" t="s">
        <v>100</v>
      </c>
      <c r="B846" s="0" t="n">
        <v>2020</v>
      </c>
      <c r="C846" s="0" t="s">
        <v>1327</v>
      </c>
      <c r="D846" s="0" t="n">
        <v>158750</v>
      </c>
      <c r="E846" s="0" t="s">
        <v>7266</v>
      </c>
      <c r="G846" s="0" t="s">
        <v>7267</v>
      </c>
    </row>
    <row r="847" customFormat="false" ht="15" hidden="false" customHeight="false" outlineLevel="0" collapsed="false">
      <c r="A847" s="0" t="s">
        <v>100</v>
      </c>
      <c r="B847" s="0" t="n">
        <v>2020</v>
      </c>
      <c r="C847" s="0" t="s">
        <v>55</v>
      </c>
      <c r="D847" s="0" t="n">
        <v>2186711</v>
      </c>
      <c r="E847" s="0" t="s">
        <v>7266</v>
      </c>
      <c r="G847" s="0" t="s">
        <v>7267</v>
      </c>
    </row>
    <row r="848" customFormat="false" ht="15" hidden="false" customHeight="false" outlineLevel="0" collapsed="false">
      <c r="A848" s="0" t="s">
        <v>100</v>
      </c>
      <c r="B848" s="0" t="n">
        <v>2020</v>
      </c>
      <c r="C848" s="0" t="s">
        <v>60</v>
      </c>
      <c r="D848" s="0" t="n">
        <v>993191</v>
      </c>
      <c r="E848" s="0" t="s">
        <v>7266</v>
      </c>
      <c r="G848" s="0" t="s">
        <v>7267</v>
      </c>
    </row>
    <row r="849" customFormat="false" ht="15" hidden="false" customHeight="false" outlineLevel="0" collapsed="false">
      <c r="A849" s="0" t="s">
        <v>100</v>
      </c>
      <c r="B849" s="0" t="n">
        <v>2020</v>
      </c>
      <c r="C849" s="0" t="s">
        <v>61</v>
      </c>
      <c r="D849" s="0" t="n">
        <v>111609</v>
      </c>
      <c r="E849" s="0" t="s">
        <v>7266</v>
      </c>
      <c r="G849" s="0" t="s">
        <v>7267</v>
      </c>
    </row>
    <row r="850" customFormat="false" ht="15" hidden="false" customHeight="false" outlineLevel="0" collapsed="false">
      <c r="A850" s="0" t="s">
        <v>100</v>
      </c>
      <c r="B850" s="0" t="n">
        <v>2020</v>
      </c>
      <c r="C850" s="0" t="s">
        <v>63</v>
      </c>
      <c r="D850" s="0" t="n">
        <v>9164</v>
      </c>
      <c r="E850" s="0" t="s">
        <v>7266</v>
      </c>
      <c r="G850" s="0" t="s">
        <v>7267</v>
      </c>
    </row>
    <row r="851" customFormat="false" ht="15" hidden="false" customHeight="false" outlineLevel="0" collapsed="false">
      <c r="A851" s="0" t="s">
        <v>100</v>
      </c>
      <c r="B851" s="0" t="n">
        <v>2020</v>
      </c>
      <c r="C851" s="0" t="s">
        <v>327</v>
      </c>
      <c r="D851" s="0" t="n">
        <v>19.86</v>
      </c>
      <c r="E851" s="0" t="s">
        <v>7266</v>
      </c>
      <c r="G851" s="0" t="s">
        <v>7267</v>
      </c>
    </row>
    <row r="852" customFormat="false" ht="15" hidden="false" customHeight="false" outlineLevel="0" collapsed="false">
      <c r="A852" s="0" t="s">
        <v>100</v>
      </c>
      <c r="B852" s="0" t="n">
        <v>2020</v>
      </c>
      <c r="C852" s="0" t="s">
        <v>69</v>
      </c>
      <c r="D852" s="0" t="n">
        <v>23.21</v>
      </c>
      <c r="E852" s="0" t="s">
        <v>7266</v>
      </c>
      <c r="G852" s="0" t="s">
        <v>7267</v>
      </c>
    </row>
    <row r="853" customFormat="false" ht="15" hidden="false" customHeight="false" outlineLevel="0" collapsed="false">
      <c r="A853" s="0" t="s">
        <v>100</v>
      </c>
      <c r="B853" s="0" t="n">
        <v>2020</v>
      </c>
      <c r="C853" s="0" t="s">
        <v>73</v>
      </c>
      <c r="D853" s="0" t="n">
        <v>0</v>
      </c>
      <c r="E853" s="0" t="s">
        <v>7266</v>
      </c>
      <c r="G853" s="0" t="s">
        <v>7267</v>
      </c>
    </row>
    <row r="854" customFormat="false" ht="15" hidden="false" customHeight="false" outlineLevel="0" collapsed="false">
      <c r="A854" s="0" t="s">
        <v>100</v>
      </c>
      <c r="B854" s="0" t="n">
        <v>2020</v>
      </c>
      <c r="C854" s="0" t="s">
        <v>1804</v>
      </c>
      <c r="D854" s="0" t="s">
        <v>1860</v>
      </c>
      <c r="E854" s="0" t="s">
        <v>7266</v>
      </c>
      <c r="G854" s="0" t="s">
        <v>7267</v>
      </c>
    </row>
    <row r="855" customFormat="false" ht="15" hidden="false" customHeight="false" outlineLevel="0" collapsed="false">
      <c r="A855" s="0" t="s">
        <v>100</v>
      </c>
      <c r="B855" s="0" t="n">
        <v>2021</v>
      </c>
      <c r="C855" s="0" t="s">
        <v>54</v>
      </c>
      <c r="D855" s="0" t="n">
        <v>9766</v>
      </c>
      <c r="E855" s="0" t="s">
        <v>7266</v>
      </c>
      <c r="G855" s="0" t="s">
        <v>7267</v>
      </c>
    </row>
    <row r="856" customFormat="false" ht="15" hidden="false" customHeight="false" outlineLevel="0" collapsed="false">
      <c r="A856" s="0" t="s">
        <v>100</v>
      </c>
      <c r="B856" s="0" t="n">
        <v>2021</v>
      </c>
      <c r="C856" s="0" t="s">
        <v>1327</v>
      </c>
      <c r="D856" s="0" t="n">
        <v>164304</v>
      </c>
      <c r="E856" s="0" t="s">
        <v>7266</v>
      </c>
      <c r="G856" s="0" t="s">
        <v>7267</v>
      </c>
    </row>
    <row r="857" customFormat="false" ht="15" hidden="false" customHeight="false" outlineLevel="0" collapsed="false">
      <c r="A857" s="0" t="s">
        <v>100</v>
      </c>
      <c r="B857" s="0" t="n">
        <v>2021</v>
      </c>
      <c r="C857" s="0" t="s">
        <v>55</v>
      </c>
      <c r="D857" s="0" t="n">
        <v>2475079</v>
      </c>
      <c r="E857" s="0" t="s">
        <v>7266</v>
      </c>
      <c r="G857" s="0" t="s">
        <v>7267</v>
      </c>
    </row>
    <row r="858" customFormat="false" ht="15" hidden="false" customHeight="false" outlineLevel="0" collapsed="false">
      <c r="A858" s="0" t="s">
        <v>100</v>
      </c>
      <c r="B858" s="0" t="n">
        <v>2021</v>
      </c>
      <c r="C858" s="0" t="s">
        <v>60</v>
      </c>
      <c r="D858" s="0" t="n">
        <v>1113022</v>
      </c>
      <c r="E858" s="0" t="s">
        <v>7266</v>
      </c>
      <c r="G858" s="0" t="s">
        <v>7267</v>
      </c>
    </row>
    <row r="859" customFormat="false" ht="15" hidden="false" customHeight="false" outlineLevel="0" collapsed="false">
      <c r="A859" s="0" t="s">
        <v>100</v>
      </c>
      <c r="B859" s="0" t="n">
        <v>2021</v>
      </c>
      <c r="C859" s="0" t="s">
        <v>61</v>
      </c>
      <c r="D859" s="0" t="n">
        <v>97419</v>
      </c>
      <c r="E859" s="0" t="s">
        <v>7266</v>
      </c>
      <c r="G859" s="0" t="s">
        <v>7267</v>
      </c>
    </row>
    <row r="860" customFormat="false" ht="15" hidden="false" customHeight="false" outlineLevel="0" collapsed="false">
      <c r="A860" s="0" t="s">
        <v>100</v>
      </c>
      <c r="B860" s="0" t="n">
        <v>2021</v>
      </c>
      <c r="C860" s="0" t="s">
        <v>63</v>
      </c>
      <c r="D860" s="0" t="n">
        <v>7041</v>
      </c>
      <c r="E860" s="0" t="s">
        <v>7266</v>
      </c>
      <c r="G860" s="0" t="s">
        <v>7267</v>
      </c>
    </row>
    <row r="861" customFormat="false" ht="15" hidden="false" customHeight="false" outlineLevel="0" collapsed="false">
      <c r="A861" s="0" t="s">
        <v>100</v>
      </c>
      <c r="B861" s="0" t="n">
        <v>2021</v>
      </c>
      <c r="C861" s="0" t="s">
        <v>327</v>
      </c>
      <c r="D861" s="0" t="n">
        <v>16.35</v>
      </c>
      <c r="E861" s="0" t="s">
        <v>7266</v>
      </c>
      <c r="G861" s="0" t="s">
        <v>7267</v>
      </c>
    </row>
    <row r="862" customFormat="false" ht="15" hidden="false" customHeight="false" outlineLevel="0" collapsed="false">
      <c r="A862" s="0" t="s">
        <v>100</v>
      </c>
      <c r="B862" s="0" t="n">
        <v>2021</v>
      </c>
      <c r="C862" s="0" t="s">
        <v>69</v>
      </c>
      <c r="D862" s="0" t="n">
        <v>11.48</v>
      </c>
      <c r="E862" s="0" t="s">
        <v>7266</v>
      </c>
      <c r="G862" s="0" t="s">
        <v>7267</v>
      </c>
    </row>
    <row r="863" customFormat="false" ht="15" hidden="false" customHeight="false" outlineLevel="0" collapsed="false">
      <c r="A863" s="0" t="s">
        <v>100</v>
      </c>
      <c r="B863" s="0" t="n">
        <v>2021</v>
      </c>
      <c r="C863" s="0" t="s">
        <v>73</v>
      </c>
      <c r="D863" s="0" t="n">
        <v>0</v>
      </c>
      <c r="E863" s="0" t="s">
        <v>7266</v>
      </c>
      <c r="G863" s="0" t="s">
        <v>7267</v>
      </c>
    </row>
    <row r="864" customFormat="false" ht="15" hidden="false" customHeight="false" outlineLevel="0" collapsed="false">
      <c r="A864" s="0" t="s">
        <v>100</v>
      </c>
      <c r="B864" s="0" t="n">
        <v>2021</v>
      </c>
      <c r="C864" s="0" t="s">
        <v>1804</v>
      </c>
      <c r="D864" s="0" t="s">
        <v>1860</v>
      </c>
      <c r="E864" s="0" t="s">
        <v>7266</v>
      </c>
      <c r="G864" s="0" t="s">
        <v>7267</v>
      </c>
    </row>
    <row r="865" customFormat="false" ht="15" hidden="false" customHeight="false" outlineLevel="0" collapsed="false">
      <c r="A865" s="0" t="s">
        <v>100</v>
      </c>
      <c r="B865" s="0" t="n">
        <v>2022</v>
      </c>
      <c r="C865" s="0" t="s">
        <v>54</v>
      </c>
      <c r="D865" s="0" t="n">
        <v>10396</v>
      </c>
      <c r="E865" s="0" t="s">
        <v>7266</v>
      </c>
      <c r="G865" s="0" t="s">
        <v>7267</v>
      </c>
    </row>
    <row r="866" customFormat="false" ht="15" hidden="false" customHeight="false" outlineLevel="0" collapsed="false">
      <c r="A866" s="0" t="s">
        <v>100</v>
      </c>
      <c r="B866" s="0" t="n">
        <v>2022</v>
      </c>
      <c r="C866" s="0" t="s">
        <v>1327</v>
      </c>
      <c r="D866" s="0" t="n">
        <v>211771</v>
      </c>
      <c r="E866" s="0" t="s">
        <v>7266</v>
      </c>
      <c r="G866" s="0" t="s">
        <v>7267</v>
      </c>
    </row>
    <row r="867" customFormat="false" ht="15" hidden="false" customHeight="false" outlineLevel="0" collapsed="false">
      <c r="A867" s="0" t="s">
        <v>100</v>
      </c>
      <c r="B867" s="0" t="n">
        <v>2022</v>
      </c>
      <c r="C867" s="0" t="s">
        <v>55</v>
      </c>
      <c r="D867" s="0" t="n">
        <v>2917689</v>
      </c>
      <c r="E867" s="0" t="s">
        <v>7266</v>
      </c>
      <c r="G867" s="0" t="s">
        <v>7267</v>
      </c>
    </row>
    <row r="868" customFormat="false" ht="15" hidden="false" customHeight="false" outlineLevel="0" collapsed="false">
      <c r="A868" s="0" t="s">
        <v>100</v>
      </c>
      <c r="B868" s="0" t="n">
        <v>2022</v>
      </c>
      <c r="C868" s="0" t="s">
        <v>60</v>
      </c>
      <c r="D868" s="0" t="n">
        <v>1190306</v>
      </c>
      <c r="E868" s="0" t="s">
        <v>7266</v>
      </c>
      <c r="G868" s="0" t="s">
        <v>7267</v>
      </c>
    </row>
    <row r="869" customFormat="false" ht="15" hidden="false" customHeight="false" outlineLevel="0" collapsed="false">
      <c r="A869" s="0" t="s">
        <v>100</v>
      </c>
      <c r="B869" s="0" t="n">
        <v>2022</v>
      </c>
      <c r="C869" s="0" t="s">
        <v>61</v>
      </c>
      <c r="D869" s="0" t="n">
        <v>62880</v>
      </c>
      <c r="E869" s="0" t="s">
        <v>7266</v>
      </c>
      <c r="G869" s="0" t="s">
        <v>7267</v>
      </c>
    </row>
    <row r="870" customFormat="false" ht="15" hidden="false" customHeight="false" outlineLevel="0" collapsed="false">
      <c r="A870" s="0" t="s">
        <v>100</v>
      </c>
      <c r="B870" s="0" t="n">
        <v>2022</v>
      </c>
      <c r="C870" s="0" t="s">
        <v>63</v>
      </c>
      <c r="D870" s="0" t="n">
        <v>12377</v>
      </c>
      <c r="E870" s="0" t="s">
        <v>7266</v>
      </c>
      <c r="G870" s="0" t="s">
        <v>7267</v>
      </c>
    </row>
    <row r="871" customFormat="false" ht="15" hidden="false" customHeight="false" outlineLevel="0" collapsed="false">
      <c r="A871" s="0" t="s">
        <v>100</v>
      </c>
      <c r="B871" s="0" t="n">
        <v>2022</v>
      </c>
      <c r="C871" s="0" t="s">
        <v>327</v>
      </c>
      <c r="D871" s="0" t="n">
        <v>6.9</v>
      </c>
      <c r="E871" s="0" t="s">
        <v>7266</v>
      </c>
      <c r="G871" s="0" t="s">
        <v>7267</v>
      </c>
    </row>
    <row r="872" customFormat="false" ht="15" hidden="false" customHeight="false" outlineLevel="0" collapsed="false">
      <c r="A872" s="0" t="s">
        <v>100</v>
      </c>
      <c r="B872" s="0" t="n">
        <v>2022</v>
      </c>
      <c r="C872" s="0" t="s">
        <v>69</v>
      </c>
      <c r="D872" s="0" t="n">
        <v>13.27</v>
      </c>
      <c r="E872" s="0" t="s">
        <v>7266</v>
      </c>
      <c r="G872" s="0" t="s">
        <v>7267</v>
      </c>
    </row>
    <row r="873" customFormat="false" ht="15" hidden="false" customHeight="false" outlineLevel="0" collapsed="false">
      <c r="A873" s="0" t="s">
        <v>100</v>
      </c>
      <c r="B873" s="0" t="n">
        <v>2022</v>
      </c>
      <c r="C873" s="0" t="s">
        <v>73</v>
      </c>
      <c r="D873" s="0" t="n">
        <v>0</v>
      </c>
      <c r="E873" s="0" t="s">
        <v>7266</v>
      </c>
      <c r="G873" s="0" t="s">
        <v>7267</v>
      </c>
    </row>
    <row r="874" customFormat="false" ht="15" hidden="false" customHeight="false" outlineLevel="0" collapsed="false">
      <c r="A874" s="0" t="s">
        <v>100</v>
      </c>
      <c r="B874" s="0" t="n">
        <v>2022</v>
      </c>
      <c r="C874" s="0" t="s">
        <v>1804</v>
      </c>
      <c r="D874" s="0" t="s">
        <v>1860</v>
      </c>
      <c r="E874" s="0" t="s">
        <v>7266</v>
      </c>
      <c r="G874" s="0" t="s">
        <v>7267</v>
      </c>
    </row>
    <row r="875" customFormat="false" ht="15" hidden="false" customHeight="false" outlineLevel="0" collapsed="false">
      <c r="A875" s="0" t="s">
        <v>201</v>
      </c>
      <c r="B875" s="0" t="n">
        <v>2015</v>
      </c>
      <c r="C875" s="0" t="s">
        <v>54</v>
      </c>
      <c r="D875" s="0" t="n">
        <v>6255</v>
      </c>
      <c r="E875" s="0" t="s">
        <v>7266</v>
      </c>
      <c r="G875" s="0" t="s">
        <v>7267</v>
      </c>
    </row>
    <row r="876" customFormat="false" ht="15" hidden="false" customHeight="false" outlineLevel="0" collapsed="false">
      <c r="A876" s="0" t="s">
        <v>201</v>
      </c>
      <c r="B876" s="0" t="n">
        <v>2015</v>
      </c>
      <c r="C876" s="0" t="s">
        <v>1327</v>
      </c>
      <c r="D876" s="0" t="n">
        <v>69663</v>
      </c>
      <c r="E876" s="0" t="s">
        <v>7266</v>
      </c>
      <c r="G876" s="0" t="s">
        <v>7267</v>
      </c>
    </row>
    <row r="877" customFormat="false" ht="15" hidden="false" customHeight="false" outlineLevel="0" collapsed="false">
      <c r="A877" s="0" t="s">
        <v>201</v>
      </c>
      <c r="B877" s="0" t="n">
        <v>2015</v>
      </c>
      <c r="C877" s="0" t="s">
        <v>55</v>
      </c>
      <c r="D877" s="0" t="n">
        <v>476586</v>
      </c>
      <c r="E877" s="0" t="s">
        <v>7266</v>
      </c>
      <c r="G877" s="0" t="s">
        <v>7267</v>
      </c>
    </row>
    <row r="878" customFormat="false" ht="15" hidden="false" customHeight="false" outlineLevel="0" collapsed="false">
      <c r="A878" s="0" t="s">
        <v>201</v>
      </c>
      <c r="B878" s="0" t="n">
        <v>2015</v>
      </c>
      <c r="C878" s="0" t="s">
        <v>60</v>
      </c>
      <c r="D878" s="0" t="n">
        <v>216221</v>
      </c>
      <c r="E878" s="0" t="s">
        <v>7266</v>
      </c>
      <c r="G878" s="0" t="s">
        <v>7267</v>
      </c>
    </row>
    <row r="879" customFormat="false" ht="15" hidden="false" customHeight="false" outlineLevel="0" collapsed="false">
      <c r="A879" s="0" t="s">
        <v>201</v>
      </c>
      <c r="B879" s="0" t="n">
        <v>2015</v>
      </c>
      <c r="C879" s="0" t="s">
        <v>61</v>
      </c>
      <c r="D879" s="0" t="n">
        <v>13450</v>
      </c>
      <c r="E879" s="0" t="s">
        <v>7266</v>
      </c>
      <c r="G879" s="0" t="s">
        <v>7267</v>
      </c>
    </row>
    <row r="880" customFormat="false" ht="15" hidden="false" customHeight="false" outlineLevel="0" collapsed="false">
      <c r="A880" s="0" t="s">
        <v>201</v>
      </c>
      <c r="B880" s="0" t="n">
        <v>2015</v>
      </c>
      <c r="C880" s="0" t="s">
        <v>63</v>
      </c>
      <c r="D880" s="0" t="n">
        <v>1800</v>
      </c>
      <c r="E880" s="0" t="s">
        <v>7266</v>
      </c>
      <c r="G880" s="0" t="s">
        <v>7267</v>
      </c>
    </row>
    <row r="881" customFormat="false" ht="15" hidden="false" customHeight="false" outlineLevel="0" collapsed="false">
      <c r="A881" s="0" t="s">
        <v>201</v>
      </c>
      <c r="B881" s="0" t="n">
        <v>2015</v>
      </c>
      <c r="C881" s="0" t="s">
        <v>327</v>
      </c>
      <c r="D881" s="0" t="n">
        <v>12</v>
      </c>
      <c r="E881" s="0" t="s">
        <v>7266</v>
      </c>
      <c r="G881" s="0" t="s">
        <v>7267</v>
      </c>
    </row>
    <row r="882" customFormat="false" ht="15" hidden="false" customHeight="false" outlineLevel="0" collapsed="false">
      <c r="A882" s="0" t="s">
        <v>201</v>
      </c>
      <c r="B882" s="0" t="n">
        <v>2015</v>
      </c>
      <c r="C882" s="0" t="s">
        <v>69</v>
      </c>
      <c r="D882" s="0" t="n">
        <v>16</v>
      </c>
      <c r="E882" s="0" t="s">
        <v>7266</v>
      </c>
      <c r="G882" s="0" t="s">
        <v>7267</v>
      </c>
    </row>
    <row r="883" customFormat="false" ht="15" hidden="false" customHeight="false" outlineLevel="0" collapsed="false">
      <c r="A883" s="0" t="s">
        <v>201</v>
      </c>
      <c r="B883" s="0" t="n">
        <v>2015</v>
      </c>
      <c r="C883" s="0" t="s">
        <v>73</v>
      </c>
      <c r="D883" s="0" t="n">
        <v>0</v>
      </c>
      <c r="E883" s="0" t="s">
        <v>7266</v>
      </c>
      <c r="G883" s="0" t="s">
        <v>7267</v>
      </c>
    </row>
    <row r="884" customFormat="false" ht="15" hidden="false" customHeight="false" outlineLevel="0" collapsed="false">
      <c r="A884" s="0" t="s">
        <v>201</v>
      </c>
      <c r="B884" s="0" t="n">
        <v>2015</v>
      </c>
      <c r="C884" s="0" t="s">
        <v>1804</v>
      </c>
      <c r="D884" s="0" t="s">
        <v>7274</v>
      </c>
      <c r="E884" s="0" t="s">
        <v>7266</v>
      </c>
      <c r="G884" s="0" t="s">
        <v>7267</v>
      </c>
    </row>
    <row r="885" customFormat="false" ht="15" hidden="false" customHeight="false" outlineLevel="0" collapsed="false">
      <c r="A885" s="0" t="s">
        <v>201</v>
      </c>
      <c r="B885" s="0" t="n">
        <v>2016</v>
      </c>
      <c r="C885" s="0" t="s">
        <v>54</v>
      </c>
      <c r="D885" s="0" t="n">
        <v>3200</v>
      </c>
      <c r="E885" s="0" t="s">
        <v>7266</v>
      </c>
      <c r="G885" s="0" t="s">
        <v>7267</v>
      </c>
    </row>
    <row r="886" customFormat="false" ht="15" hidden="false" customHeight="false" outlineLevel="0" collapsed="false">
      <c r="A886" s="0" t="s">
        <v>201</v>
      </c>
      <c r="B886" s="0" t="n">
        <v>2016</v>
      </c>
      <c r="C886" s="0" t="s">
        <v>1327</v>
      </c>
      <c r="D886" s="0" t="n">
        <v>82026</v>
      </c>
      <c r="E886" s="0" t="s">
        <v>7266</v>
      </c>
      <c r="G886" s="0" t="s">
        <v>7267</v>
      </c>
    </row>
    <row r="887" customFormat="false" ht="15" hidden="false" customHeight="false" outlineLevel="0" collapsed="false">
      <c r="A887" s="0" t="s">
        <v>201</v>
      </c>
      <c r="B887" s="0" t="n">
        <v>2016</v>
      </c>
      <c r="C887" s="0" t="s">
        <v>55</v>
      </c>
      <c r="D887" s="0" t="n">
        <v>492021</v>
      </c>
      <c r="E887" s="0" t="s">
        <v>7266</v>
      </c>
      <c r="G887" s="0" t="s">
        <v>7267</v>
      </c>
    </row>
    <row r="888" customFormat="false" ht="15" hidden="false" customHeight="false" outlineLevel="0" collapsed="false">
      <c r="A888" s="0" t="s">
        <v>201</v>
      </c>
      <c r="B888" s="0" t="n">
        <v>2016</v>
      </c>
      <c r="C888" s="0" t="s">
        <v>60</v>
      </c>
      <c r="D888" s="0" t="n">
        <v>237996</v>
      </c>
      <c r="E888" s="0" t="s">
        <v>7266</v>
      </c>
      <c r="G888" s="0" t="s">
        <v>7267</v>
      </c>
    </row>
    <row r="889" customFormat="false" ht="15" hidden="false" customHeight="false" outlineLevel="0" collapsed="false">
      <c r="A889" s="0" t="s">
        <v>201</v>
      </c>
      <c r="B889" s="0" t="n">
        <v>2016</v>
      </c>
      <c r="C889" s="0" t="s">
        <v>61</v>
      </c>
      <c r="D889" s="0" t="n">
        <v>14650</v>
      </c>
      <c r="E889" s="0" t="s">
        <v>7266</v>
      </c>
      <c r="G889" s="0" t="s">
        <v>7267</v>
      </c>
    </row>
    <row r="890" customFormat="false" ht="15" hidden="false" customHeight="false" outlineLevel="0" collapsed="false">
      <c r="A890" s="0" t="s">
        <v>201</v>
      </c>
      <c r="B890" s="0" t="n">
        <v>2016</v>
      </c>
      <c r="C890" s="0" t="s">
        <v>63</v>
      </c>
      <c r="D890" s="0" t="n">
        <v>1200</v>
      </c>
      <c r="E890" s="0" t="s">
        <v>7266</v>
      </c>
      <c r="G890" s="0" t="s">
        <v>7267</v>
      </c>
    </row>
    <row r="891" customFormat="false" ht="15" hidden="false" customHeight="false" outlineLevel="0" collapsed="false">
      <c r="A891" s="0" t="s">
        <v>201</v>
      </c>
      <c r="B891" s="0" t="n">
        <v>2016</v>
      </c>
      <c r="C891" s="0" t="s">
        <v>327</v>
      </c>
      <c r="D891" s="0" t="n">
        <v>13</v>
      </c>
      <c r="E891" s="0" t="s">
        <v>7266</v>
      </c>
      <c r="G891" s="0" t="s">
        <v>7267</v>
      </c>
    </row>
    <row r="892" customFormat="false" ht="15" hidden="false" customHeight="false" outlineLevel="0" collapsed="false">
      <c r="A892" s="0" t="s">
        <v>201</v>
      </c>
      <c r="B892" s="0" t="n">
        <v>2016</v>
      </c>
      <c r="C892" s="0" t="s">
        <v>69</v>
      </c>
      <c r="D892" s="0" t="n">
        <v>17</v>
      </c>
      <c r="E892" s="0" t="s">
        <v>7266</v>
      </c>
      <c r="G892" s="0" t="s">
        <v>7267</v>
      </c>
    </row>
    <row r="893" customFormat="false" ht="15" hidden="false" customHeight="false" outlineLevel="0" collapsed="false">
      <c r="A893" s="0" t="s">
        <v>201</v>
      </c>
      <c r="B893" s="0" t="n">
        <v>2016</v>
      </c>
      <c r="C893" s="0" t="s">
        <v>73</v>
      </c>
      <c r="D893" s="0" t="n">
        <v>0</v>
      </c>
      <c r="E893" s="0" t="s">
        <v>7266</v>
      </c>
      <c r="G893" s="0" t="s">
        <v>7267</v>
      </c>
    </row>
    <row r="894" customFormat="false" ht="15" hidden="false" customHeight="false" outlineLevel="0" collapsed="false">
      <c r="A894" s="0" t="s">
        <v>201</v>
      </c>
      <c r="B894" s="0" t="n">
        <v>2016</v>
      </c>
      <c r="C894" s="0" t="s">
        <v>1804</v>
      </c>
      <c r="D894" s="0" t="s">
        <v>7274</v>
      </c>
      <c r="E894" s="0" t="s">
        <v>7266</v>
      </c>
      <c r="G894" s="0" t="s">
        <v>7267</v>
      </c>
    </row>
    <row r="895" customFormat="false" ht="15" hidden="false" customHeight="false" outlineLevel="0" collapsed="false">
      <c r="A895" s="0" t="s">
        <v>201</v>
      </c>
      <c r="B895" s="0" t="n">
        <v>2017</v>
      </c>
      <c r="C895" s="0" t="s">
        <v>54</v>
      </c>
      <c r="D895" s="0" t="n">
        <v>-14918</v>
      </c>
      <c r="E895" s="0" t="s">
        <v>7266</v>
      </c>
      <c r="G895" s="0" t="s">
        <v>7267</v>
      </c>
    </row>
    <row r="896" customFormat="false" ht="15" hidden="false" customHeight="false" outlineLevel="0" collapsed="false">
      <c r="A896" s="0" t="s">
        <v>201</v>
      </c>
      <c r="B896" s="0" t="n">
        <v>2017</v>
      </c>
      <c r="C896" s="0" t="s">
        <v>1327</v>
      </c>
      <c r="D896" s="0" t="n">
        <v>89926</v>
      </c>
      <c r="E896" s="0" t="s">
        <v>7266</v>
      </c>
      <c r="G896" s="0" t="s">
        <v>7267</v>
      </c>
    </row>
    <row r="897" customFormat="false" ht="15" hidden="false" customHeight="false" outlineLevel="0" collapsed="false">
      <c r="A897" s="0" t="s">
        <v>201</v>
      </c>
      <c r="B897" s="0" t="n">
        <v>2017</v>
      </c>
      <c r="C897" s="0" t="s">
        <v>55</v>
      </c>
      <c r="D897" s="0" t="n">
        <v>156507</v>
      </c>
      <c r="E897" s="0" t="s">
        <v>7266</v>
      </c>
      <c r="G897" s="0" t="s">
        <v>7267</v>
      </c>
    </row>
    <row r="898" customFormat="false" ht="15" hidden="false" customHeight="false" outlineLevel="0" collapsed="false">
      <c r="A898" s="0" t="s">
        <v>201</v>
      </c>
      <c r="B898" s="0" t="n">
        <v>2017</v>
      </c>
      <c r="C898" s="0" t="s">
        <v>60</v>
      </c>
      <c r="D898" s="0" t="n">
        <v>9467</v>
      </c>
      <c r="E898" s="0" t="s">
        <v>7266</v>
      </c>
      <c r="G898" s="0" t="s">
        <v>7267</v>
      </c>
    </row>
    <row r="899" customFormat="false" ht="15" hidden="false" customHeight="false" outlineLevel="0" collapsed="false">
      <c r="A899" s="0" t="s">
        <v>201</v>
      </c>
      <c r="B899" s="0" t="n">
        <v>2017</v>
      </c>
      <c r="C899" s="0" t="s">
        <v>61</v>
      </c>
      <c r="D899" s="0" t="n">
        <v>509</v>
      </c>
      <c r="E899" s="0" t="s">
        <v>7266</v>
      </c>
      <c r="G899" s="0" t="s">
        <v>7267</v>
      </c>
    </row>
    <row r="900" customFormat="false" ht="15" hidden="false" customHeight="false" outlineLevel="0" collapsed="false">
      <c r="A900" s="0" t="s">
        <v>201</v>
      </c>
      <c r="B900" s="0" t="n">
        <v>2017</v>
      </c>
      <c r="C900" s="0" t="s">
        <v>63</v>
      </c>
      <c r="D900" s="0" t="n">
        <v>44255</v>
      </c>
      <c r="E900" s="0" t="s">
        <v>7266</v>
      </c>
      <c r="G900" s="0" t="s">
        <v>7267</v>
      </c>
    </row>
    <row r="901" customFormat="false" ht="15" hidden="false" customHeight="false" outlineLevel="0" collapsed="false">
      <c r="A901" s="0" t="s">
        <v>201</v>
      </c>
      <c r="B901" s="0" t="n">
        <v>2017</v>
      </c>
      <c r="C901" s="0" t="s">
        <v>327</v>
      </c>
      <c r="D901" s="0" t="n">
        <v>0</v>
      </c>
      <c r="E901" s="0" t="s">
        <v>7266</v>
      </c>
      <c r="G901" s="0" t="s">
        <v>7267</v>
      </c>
    </row>
    <row r="902" customFormat="false" ht="15" hidden="false" customHeight="false" outlineLevel="0" collapsed="false">
      <c r="A902" s="0" t="s">
        <v>201</v>
      </c>
      <c r="B902" s="0" t="n">
        <v>2017</v>
      </c>
      <c r="C902" s="0" t="s">
        <v>69</v>
      </c>
      <c r="D902" s="0" t="n">
        <v>-198.07</v>
      </c>
      <c r="E902" s="0" t="s">
        <v>7266</v>
      </c>
      <c r="G902" s="0" t="s">
        <v>7267</v>
      </c>
    </row>
    <row r="903" customFormat="false" ht="15" hidden="false" customHeight="false" outlineLevel="0" collapsed="false">
      <c r="A903" s="0" t="s">
        <v>201</v>
      </c>
      <c r="B903" s="0" t="n">
        <v>2017</v>
      </c>
      <c r="C903" s="0" t="s">
        <v>73</v>
      </c>
      <c r="D903" s="0" t="n">
        <v>0</v>
      </c>
      <c r="E903" s="0" t="s">
        <v>7266</v>
      </c>
      <c r="G903" s="0" t="s">
        <v>7267</v>
      </c>
    </row>
    <row r="904" customFormat="false" ht="15" hidden="false" customHeight="false" outlineLevel="0" collapsed="false">
      <c r="A904" s="0" t="s">
        <v>201</v>
      </c>
      <c r="B904" s="0" t="n">
        <v>2017</v>
      </c>
      <c r="C904" s="0" t="s">
        <v>1804</v>
      </c>
      <c r="D904" s="0" t="s">
        <v>7274</v>
      </c>
      <c r="E904" s="0" t="s">
        <v>7266</v>
      </c>
      <c r="G904" s="0" t="s">
        <v>7267</v>
      </c>
    </row>
    <row r="905" customFormat="false" ht="15" hidden="false" customHeight="false" outlineLevel="0" collapsed="false">
      <c r="A905" s="0" t="s">
        <v>201</v>
      </c>
      <c r="B905" s="0" t="n">
        <v>2018</v>
      </c>
      <c r="C905" s="0" t="s">
        <v>54</v>
      </c>
      <c r="D905" s="0" t="n">
        <v>1269</v>
      </c>
      <c r="E905" s="0" t="s">
        <v>7266</v>
      </c>
      <c r="G905" s="0" t="s">
        <v>7267</v>
      </c>
    </row>
    <row r="906" customFormat="false" ht="15" hidden="false" customHeight="false" outlineLevel="0" collapsed="false">
      <c r="A906" s="0" t="s">
        <v>201</v>
      </c>
      <c r="B906" s="0" t="n">
        <v>2018</v>
      </c>
      <c r="C906" s="0" t="s">
        <v>1327</v>
      </c>
      <c r="D906" s="0" t="n">
        <v>37325</v>
      </c>
      <c r="E906" s="0" t="s">
        <v>7266</v>
      </c>
      <c r="G906" s="0" t="s">
        <v>7267</v>
      </c>
    </row>
    <row r="907" customFormat="false" ht="15" hidden="false" customHeight="false" outlineLevel="0" collapsed="false">
      <c r="A907" s="0" t="s">
        <v>201</v>
      </c>
      <c r="B907" s="0" t="n">
        <v>2018</v>
      </c>
      <c r="C907" s="0" t="s">
        <v>55</v>
      </c>
      <c r="D907" s="0" t="n">
        <v>235976</v>
      </c>
      <c r="E907" s="0" t="s">
        <v>7266</v>
      </c>
      <c r="G907" s="0" t="s">
        <v>7267</v>
      </c>
    </row>
    <row r="908" customFormat="false" ht="15" hidden="false" customHeight="false" outlineLevel="0" collapsed="false">
      <c r="A908" s="0" t="s">
        <v>201</v>
      </c>
      <c r="B908" s="0" t="n">
        <v>2018</v>
      </c>
      <c r="C908" s="0" t="s">
        <v>60</v>
      </c>
      <c r="D908" s="0" t="n">
        <v>44402</v>
      </c>
      <c r="E908" s="0" t="s">
        <v>7266</v>
      </c>
      <c r="G908" s="0" t="s">
        <v>7267</v>
      </c>
    </row>
    <row r="909" customFormat="false" ht="15" hidden="false" customHeight="false" outlineLevel="0" collapsed="false">
      <c r="A909" s="0" t="s">
        <v>201</v>
      </c>
      <c r="B909" s="0" t="n">
        <v>2018</v>
      </c>
      <c r="C909" s="0" t="s">
        <v>61</v>
      </c>
      <c r="D909" s="0" t="n">
        <v>744</v>
      </c>
      <c r="E909" s="0" t="s">
        <v>7266</v>
      </c>
      <c r="G909" s="0" t="s">
        <v>7267</v>
      </c>
    </row>
    <row r="910" customFormat="false" ht="15" hidden="false" customHeight="false" outlineLevel="0" collapsed="false">
      <c r="A910" s="0" t="s">
        <v>201</v>
      </c>
      <c r="B910" s="0" t="n">
        <v>2018</v>
      </c>
      <c r="C910" s="0" t="s">
        <v>63</v>
      </c>
      <c r="D910" s="0" t="n">
        <v>161</v>
      </c>
      <c r="E910" s="0" t="s">
        <v>7266</v>
      </c>
      <c r="G910" s="0" t="s">
        <v>7267</v>
      </c>
    </row>
    <row r="911" customFormat="false" ht="15" hidden="false" customHeight="false" outlineLevel="0" collapsed="false">
      <c r="A911" s="0" t="s">
        <v>201</v>
      </c>
      <c r="B911" s="0" t="n">
        <v>2018</v>
      </c>
      <c r="C911" s="0" t="s">
        <v>327</v>
      </c>
      <c r="D911" s="0" t="n">
        <v>0</v>
      </c>
      <c r="E911" s="0" t="s">
        <v>7266</v>
      </c>
      <c r="G911" s="0" t="s">
        <v>7267</v>
      </c>
    </row>
    <row r="912" customFormat="false" ht="15" hidden="false" customHeight="false" outlineLevel="0" collapsed="false">
      <c r="A912" s="0" t="s">
        <v>201</v>
      </c>
      <c r="B912" s="0" t="n">
        <v>2018</v>
      </c>
      <c r="C912" s="0" t="s">
        <v>69</v>
      </c>
      <c r="D912" s="0" t="n">
        <v>-198.56</v>
      </c>
      <c r="E912" s="0" t="s">
        <v>7266</v>
      </c>
      <c r="G912" s="0" t="s">
        <v>7267</v>
      </c>
    </row>
    <row r="913" customFormat="false" ht="15" hidden="false" customHeight="false" outlineLevel="0" collapsed="false">
      <c r="A913" s="0" t="s">
        <v>201</v>
      </c>
      <c r="B913" s="0" t="n">
        <v>2018</v>
      </c>
      <c r="C913" s="0" t="s">
        <v>73</v>
      </c>
      <c r="D913" s="0" t="n">
        <v>0</v>
      </c>
      <c r="E913" s="0" t="s">
        <v>7266</v>
      </c>
      <c r="G913" s="0" t="s">
        <v>7267</v>
      </c>
    </row>
    <row r="914" customFormat="false" ht="15" hidden="false" customHeight="false" outlineLevel="0" collapsed="false">
      <c r="A914" s="0" t="s">
        <v>201</v>
      </c>
      <c r="B914" s="0" t="n">
        <v>2018</v>
      </c>
      <c r="C914" s="0" t="s">
        <v>1804</v>
      </c>
      <c r="D914" s="0" t="s">
        <v>7274</v>
      </c>
      <c r="E914" s="0" t="s">
        <v>7266</v>
      </c>
      <c r="G914" s="0" t="s">
        <v>7267</v>
      </c>
    </row>
    <row r="915" customFormat="false" ht="15" hidden="false" customHeight="false" outlineLevel="0" collapsed="false">
      <c r="A915" s="0" t="s">
        <v>201</v>
      </c>
      <c r="B915" s="0" t="n">
        <v>2019</v>
      </c>
      <c r="C915" s="0" t="s">
        <v>54</v>
      </c>
      <c r="D915" s="0" t="n">
        <v>3383</v>
      </c>
      <c r="E915" s="0" t="s">
        <v>7266</v>
      </c>
      <c r="G915" s="0" t="s">
        <v>7267</v>
      </c>
    </row>
    <row r="916" customFormat="false" ht="15" hidden="false" customHeight="false" outlineLevel="0" collapsed="false">
      <c r="A916" s="0" t="s">
        <v>201</v>
      </c>
      <c r="B916" s="0" t="n">
        <v>2019</v>
      </c>
      <c r="C916" s="0" t="s">
        <v>1327</v>
      </c>
      <c r="D916" s="0" t="n">
        <v>44587</v>
      </c>
      <c r="E916" s="0" t="s">
        <v>7266</v>
      </c>
      <c r="G916" s="0" t="s">
        <v>7267</v>
      </c>
    </row>
    <row r="917" customFormat="false" ht="15" hidden="false" customHeight="false" outlineLevel="0" collapsed="false">
      <c r="A917" s="0" t="s">
        <v>201</v>
      </c>
      <c r="B917" s="0" t="n">
        <v>2019</v>
      </c>
      <c r="C917" s="0" t="s">
        <v>55</v>
      </c>
      <c r="D917" s="0" t="n">
        <v>293052</v>
      </c>
      <c r="E917" s="0" t="s">
        <v>7266</v>
      </c>
      <c r="G917" s="0" t="s">
        <v>7267</v>
      </c>
    </row>
    <row r="918" customFormat="false" ht="15" hidden="false" customHeight="false" outlineLevel="0" collapsed="false">
      <c r="A918" s="0" t="s">
        <v>201</v>
      </c>
      <c r="B918" s="0" t="n">
        <v>2019</v>
      </c>
      <c r="C918" s="0" t="s">
        <v>60</v>
      </c>
      <c r="D918" s="0" t="n">
        <v>106914</v>
      </c>
      <c r="E918" s="0" t="s">
        <v>7266</v>
      </c>
      <c r="G918" s="0" t="s">
        <v>7267</v>
      </c>
    </row>
    <row r="919" customFormat="false" ht="15" hidden="false" customHeight="false" outlineLevel="0" collapsed="false">
      <c r="A919" s="0" t="s">
        <v>201</v>
      </c>
      <c r="B919" s="0" t="n">
        <v>2019</v>
      </c>
      <c r="C919" s="0" t="s">
        <v>61</v>
      </c>
      <c r="D919" s="0" t="n">
        <v>14841</v>
      </c>
      <c r="E919" s="0" t="s">
        <v>7266</v>
      </c>
      <c r="G919" s="0" t="s">
        <v>7267</v>
      </c>
    </row>
    <row r="920" customFormat="false" ht="15" hidden="false" customHeight="false" outlineLevel="0" collapsed="false">
      <c r="A920" s="0" t="s">
        <v>201</v>
      </c>
      <c r="B920" s="0" t="n">
        <v>2019</v>
      </c>
      <c r="C920" s="0" t="s">
        <v>63</v>
      </c>
      <c r="D920" s="0" t="n">
        <v>-1922</v>
      </c>
      <c r="E920" s="0" t="s">
        <v>7266</v>
      </c>
      <c r="G920" s="0" t="s">
        <v>7267</v>
      </c>
    </row>
    <row r="921" customFormat="false" ht="15" hidden="false" customHeight="false" outlineLevel="0" collapsed="false">
      <c r="A921" s="0" t="s">
        <v>201</v>
      </c>
      <c r="B921" s="0" t="n">
        <v>2019</v>
      </c>
      <c r="C921" s="0" t="s">
        <v>327</v>
      </c>
      <c r="D921" s="0" t="n">
        <v>0.9</v>
      </c>
      <c r="E921" s="0" t="s">
        <v>7266</v>
      </c>
      <c r="G921" s="0" t="s">
        <v>7267</v>
      </c>
    </row>
    <row r="922" customFormat="false" ht="15" hidden="false" customHeight="false" outlineLevel="0" collapsed="false">
      <c r="A922" s="0" t="s">
        <v>201</v>
      </c>
      <c r="B922" s="0" t="n">
        <v>2019</v>
      </c>
      <c r="C922" s="0" t="s">
        <v>69</v>
      </c>
      <c r="D922" s="0" t="n">
        <v>-201.59</v>
      </c>
      <c r="E922" s="0" t="s">
        <v>7266</v>
      </c>
      <c r="G922" s="0" t="s">
        <v>7267</v>
      </c>
    </row>
    <row r="923" customFormat="false" ht="15" hidden="false" customHeight="false" outlineLevel="0" collapsed="false">
      <c r="A923" s="0" t="s">
        <v>201</v>
      </c>
      <c r="B923" s="0" t="n">
        <v>2019</v>
      </c>
      <c r="C923" s="0" t="s">
        <v>73</v>
      </c>
      <c r="D923" s="0" t="n">
        <v>1</v>
      </c>
      <c r="E923" s="0" t="s">
        <v>7266</v>
      </c>
      <c r="G923" s="0" t="s">
        <v>7267</v>
      </c>
    </row>
    <row r="924" customFormat="false" ht="15" hidden="false" customHeight="false" outlineLevel="0" collapsed="false">
      <c r="A924" s="0" t="s">
        <v>201</v>
      </c>
      <c r="B924" s="0" t="n">
        <v>2019</v>
      </c>
      <c r="C924" s="0" t="s">
        <v>1804</v>
      </c>
      <c r="D924" s="0" t="s">
        <v>3392</v>
      </c>
      <c r="E924" s="0" t="s">
        <v>7266</v>
      </c>
      <c r="G924" s="0" t="s">
        <v>7267</v>
      </c>
    </row>
    <row r="925" customFormat="false" ht="15" hidden="false" customHeight="false" outlineLevel="0" collapsed="false">
      <c r="A925" s="0" t="s">
        <v>201</v>
      </c>
      <c r="B925" s="0" t="n">
        <v>2020</v>
      </c>
      <c r="C925" s="0" t="s">
        <v>54</v>
      </c>
      <c r="D925" s="0" t="n">
        <v>2086</v>
      </c>
      <c r="E925" s="0" t="s">
        <v>7266</v>
      </c>
      <c r="G925" s="0" t="s">
        <v>7267</v>
      </c>
    </row>
    <row r="926" customFormat="false" ht="15" hidden="false" customHeight="false" outlineLevel="0" collapsed="false">
      <c r="A926" s="0" t="s">
        <v>201</v>
      </c>
      <c r="B926" s="0" t="n">
        <v>2020</v>
      </c>
      <c r="C926" s="0" t="s">
        <v>1327</v>
      </c>
      <c r="D926" s="0" t="n">
        <v>42709</v>
      </c>
      <c r="E926" s="0" t="s">
        <v>7266</v>
      </c>
      <c r="G926" s="0" t="s">
        <v>7267</v>
      </c>
    </row>
    <row r="927" customFormat="false" ht="15" hidden="false" customHeight="false" outlineLevel="0" collapsed="false">
      <c r="A927" s="0" t="s">
        <v>201</v>
      </c>
      <c r="B927" s="0" t="n">
        <v>2020</v>
      </c>
      <c r="C927" s="0" t="s">
        <v>55</v>
      </c>
      <c r="D927" s="0" t="n">
        <v>492020</v>
      </c>
      <c r="E927" s="0" t="s">
        <v>7266</v>
      </c>
      <c r="G927" s="0" t="s">
        <v>7267</v>
      </c>
    </row>
    <row r="928" customFormat="false" ht="15" hidden="false" customHeight="false" outlineLevel="0" collapsed="false">
      <c r="A928" s="0" t="s">
        <v>201</v>
      </c>
      <c r="B928" s="0" t="n">
        <v>2020</v>
      </c>
      <c r="C928" s="0" t="s">
        <v>60</v>
      </c>
      <c r="D928" s="0" t="n">
        <v>206206</v>
      </c>
      <c r="E928" s="0" t="s">
        <v>7266</v>
      </c>
      <c r="G928" s="0" t="s">
        <v>7267</v>
      </c>
    </row>
    <row r="929" customFormat="false" ht="15" hidden="false" customHeight="false" outlineLevel="0" collapsed="false">
      <c r="A929" s="0" t="s">
        <v>201</v>
      </c>
      <c r="B929" s="0" t="n">
        <v>2020</v>
      </c>
      <c r="C929" s="0" t="s">
        <v>61</v>
      </c>
      <c r="D929" s="0" t="n">
        <v>11909</v>
      </c>
      <c r="E929" s="0" t="s">
        <v>7266</v>
      </c>
      <c r="G929" s="0" t="s">
        <v>7267</v>
      </c>
    </row>
    <row r="930" customFormat="false" ht="15" hidden="false" customHeight="false" outlineLevel="0" collapsed="false">
      <c r="A930" s="0" t="s">
        <v>201</v>
      </c>
      <c r="B930" s="0" t="n">
        <v>2020</v>
      </c>
      <c r="C930" s="0" t="s">
        <v>63</v>
      </c>
      <c r="D930" s="0" t="n">
        <v>4127</v>
      </c>
      <c r="E930" s="0" t="s">
        <v>7266</v>
      </c>
      <c r="G930" s="0" t="s">
        <v>7267</v>
      </c>
    </row>
    <row r="931" customFormat="false" ht="15" hidden="false" customHeight="false" outlineLevel="0" collapsed="false">
      <c r="A931" s="0" t="s">
        <v>201</v>
      </c>
      <c r="B931" s="0" t="n">
        <v>2020</v>
      </c>
      <c r="C931" s="0" t="s">
        <v>327</v>
      </c>
      <c r="D931" s="0" t="n">
        <v>0.03</v>
      </c>
      <c r="E931" s="0" t="s">
        <v>7266</v>
      </c>
      <c r="G931" s="0" t="s">
        <v>7267</v>
      </c>
    </row>
    <row r="932" customFormat="false" ht="15" hidden="false" customHeight="false" outlineLevel="0" collapsed="false">
      <c r="A932" s="0" t="s">
        <v>201</v>
      </c>
      <c r="B932" s="0" t="n">
        <v>2020</v>
      </c>
      <c r="C932" s="0" t="s">
        <v>69</v>
      </c>
      <c r="D932" s="0" t="n">
        <v>-101.47</v>
      </c>
      <c r="E932" s="0" t="s">
        <v>7266</v>
      </c>
      <c r="G932" s="0" t="s">
        <v>7267</v>
      </c>
    </row>
    <row r="933" customFormat="false" ht="15" hidden="false" customHeight="false" outlineLevel="0" collapsed="false">
      <c r="A933" s="0" t="s">
        <v>201</v>
      </c>
      <c r="B933" s="0" t="n">
        <v>2020</v>
      </c>
      <c r="C933" s="0" t="s">
        <v>73</v>
      </c>
      <c r="D933" s="0" t="n">
        <v>1</v>
      </c>
      <c r="E933" s="0" t="s">
        <v>7266</v>
      </c>
      <c r="G933" s="0" t="s">
        <v>7267</v>
      </c>
    </row>
    <row r="934" customFormat="false" ht="15" hidden="false" customHeight="false" outlineLevel="0" collapsed="false">
      <c r="A934" s="0" t="s">
        <v>201</v>
      </c>
      <c r="B934" s="0" t="n">
        <v>2020</v>
      </c>
      <c r="C934" s="0" t="s">
        <v>1804</v>
      </c>
      <c r="D934" s="0" t="s">
        <v>3392</v>
      </c>
      <c r="E934" s="0" t="s">
        <v>7266</v>
      </c>
      <c r="G934" s="0" t="s">
        <v>7267</v>
      </c>
    </row>
    <row r="935" customFormat="false" ht="15" hidden="false" customHeight="false" outlineLevel="0" collapsed="false">
      <c r="A935" s="0" t="s">
        <v>201</v>
      </c>
      <c r="B935" s="0" t="n">
        <v>2021</v>
      </c>
      <c r="C935" s="0" t="s">
        <v>54</v>
      </c>
      <c r="D935" s="0" t="n">
        <v>3173</v>
      </c>
      <c r="E935" s="0" t="s">
        <v>7266</v>
      </c>
      <c r="G935" s="0" t="s">
        <v>7267</v>
      </c>
    </row>
    <row r="936" customFormat="false" ht="15" hidden="false" customHeight="false" outlineLevel="0" collapsed="false">
      <c r="A936" s="0" t="s">
        <v>201</v>
      </c>
      <c r="B936" s="0" t="n">
        <v>2021</v>
      </c>
      <c r="C936" s="0" t="s">
        <v>1327</v>
      </c>
      <c r="D936" s="0" t="n">
        <v>50284</v>
      </c>
      <c r="E936" s="0" t="s">
        <v>7266</v>
      </c>
      <c r="G936" s="0" t="s">
        <v>7267</v>
      </c>
    </row>
    <row r="937" customFormat="false" ht="15" hidden="false" customHeight="false" outlineLevel="0" collapsed="false">
      <c r="A937" s="0" t="s">
        <v>201</v>
      </c>
      <c r="B937" s="0" t="n">
        <v>2021</v>
      </c>
      <c r="C937" s="0" t="s">
        <v>55</v>
      </c>
      <c r="D937" s="0" t="n">
        <v>538869</v>
      </c>
      <c r="E937" s="0" t="s">
        <v>7266</v>
      </c>
      <c r="G937" s="0" t="s">
        <v>7267</v>
      </c>
    </row>
    <row r="938" customFormat="false" ht="15" hidden="false" customHeight="false" outlineLevel="0" collapsed="false">
      <c r="A938" s="0" t="s">
        <v>201</v>
      </c>
      <c r="B938" s="0" t="n">
        <v>2021</v>
      </c>
      <c r="C938" s="0" t="s">
        <v>60</v>
      </c>
      <c r="D938" s="0" t="n">
        <v>272469</v>
      </c>
      <c r="E938" s="0" t="s">
        <v>7266</v>
      </c>
      <c r="G938" s="0" t="s">
        <v>7267</v>
      </c>
    </row>
    <row r="939" customFormat="false" ht="15" hidden="false" customHeight="false" outlineLevel="0" collapsed="false">
      <c r="A939" s="0" t="s">
        <v>201</v>
      </c>
      <c r="B939" s="0" t="n">
        <v>2021</v>
      </c>
      <c r="C939" s="0" t="s">
        <v>61</v>
      </c>
      <c r="D939" s="0" t="n">
        <v>3199</v>
      </c>
      <c r="E939" s="0" t="s">
        <v>7266</v>
      </c>
      <c r="G939" s="0" t="s">
        <v>7267</v>
      </c>
    </row>
    <row r="940" customFormat="false" ht="15" hidden="false" customHeight="false" outlineLevel="0" collapsed="false">
      <c r="A940" s="0" t="s">
        <v>201</v>
      </c>
      <c r="B940" s="0" t="n">
        <v>2021</v>
      </c>
      <c r="C940" s="0" t="s">
        <v>63</v>
      </c>
      <c r="D940" s="0" t="n">
        <v>2564</v>
      </c>
      <c r="E940" s="0" t="s">
        <v>7266</v>
      </c>
      <c r="G940" s="0" t="s">
        <v>7267</v>
      </c>
    </row>
    <row r="941" customFormat="false" ht="15" hidden="false" customHeight="false" outlineLevel="0" collapsed="false">
      <c r="A941" s="0" t="s">
        <v>201</v>
      </c>
      <c r="B941" s="0" t="n">
        <v>2021</v>
      </c>
      <c r="C941" s="0" t="s">
        <v>327</v>
      </c>
      <c r="D941" s="0" t="n">
        <v>0.04</v>
      </c>
      <c r="E941" s="0" t="s">
        <v>7266</v>
      </c>
      <c r="G941" s="0" t="s">
        <v>7267</v>
      </c>
    </row>
    <row r="942" customFormat="false" ht="15" hidden="false" customHeight="false" outlineLevel="0" collapsed="false">
      <c r="A942" s="0" t="s">
        <v>201</v>
      </c>
      <c r="B942" s="0" t="n">
        <v>2021</v>
      </c>
      <c r="C942" s="0" t="s">
        <v>69</v>
      </c>
      <c r="D942" s="0" t="n">
        <v>-86.18</v>
      </c>
      <c r="E942" s="0" t="s">
        <v>7266</v>
      </c>
      <c r="G942" s="0" t="s">
        <v>7267</v>
      </c>
    </row>
    <row r="943" customFormat="false" ht="15" hidden="false" customHeight="false" outlineLevel="0" collapsed="false">
      <c r="A943" s="0" t="s">
        <v>201</v>
      </c>
      <c r="B943" s="0" t="n">
        <v>2021</v>
      </c>
      <c r="C943" s="0" t="s">
        <v>73</v>
      </c>
      <c r="D943" s="0" t="n">
        <v>1</v>
      </c>
      <c r="E943" s="0" t="s">
        <v>7266</v>
      </c>
      <c r="G943" s="0" t="s">
        <v>7267</v>
      </c>
    </row>
    <row r="944" customFormat="false" ht="15" hidden="false" customHeight="false" outlineLevel="0" collapsed="false">
      <c r="A944" s="0" t="s">
        <v>201</v>
      </c>
      <c r="B944" s="0" t="n">
        <v>2021</v>
      </c>
      <c r="C944" s="0" t="s">
        <v>1804</v>
      </c>
      <c r="D944" s="0" t="s">
        <v>3392</v>
      </c>
      <c r="E944" s="0" t="s">
        <v>7266</v>
      </c>
      <c r="G944" s="0" t="s">
        <v>7267</v>
      </c>
    </row>
    <row r="945" customFormat="false" ht="15" hidden="false" customHeight="false" outlineLevel="0" collapsed="false">
      <c r="A945" s="0" t="s">
        <v>201</v>
      </c>
      <c r="B945" s="0" t="n">
        <v>2022</v>
      </c>
      <c r="C945" s="0" t="s">
        <v>54</v>
      </c>
      <c r="D945" s="0" t="n">
        <v>941</v>
      </c>
      <c r="E945" s="0" t="s">
        <v>7266</v>
      </c>
      <c r="G945" s="0" t="s">
        <v>7267</v>
      </c>
    </row>
    <row r="946" customFormat="false" ht="15" hidden="false" customHeight="false" outlineLevel="0" collapsed="false">
      <c r="A946" s="0" t="s">
        <v>201</v>
      </c>
      <c r="B946" s="0" t="n">
        <v>2022</v>
      </c>
      <c r="C946" s="0" t="s">
        <v>1327</v>
      </c>
      <c r="D946" s="0" t="n">
        <v>57150</v>
      </c>
      <c r="E946" s="0" t="s">
        <v>7266</v>
      </c>
      <c r="G946" s="0" t="s">
        <v>7267</v>
      </c>
    </row>
    <row r="947" customFormat="false" ht="15" hidden="false" customHeight="false" outlineLevel="0" collapsed="false">
      <c r="A947" s="0" t="s">
        <v>201</v>
      </c>
      <c r="B947" s="0" t="n">
        <v>2022</v>
      </c>
      <c r="C947" s="0" t="s">
        <v>55</v>
      </c>
      <c r="D947" s="0" t="n">
        <v>510144</v>
      </c>
      <c r="E947" s="0" t="s">
        <v>7266</v>
      </c>
      <c r="G947" s="0" t="s">
        <v>7267</v>
      </c>
    </row>
    <row r="948" customFormat="false" ht="15" hidden="false" customHeight="false" outlineLevel="0" collapsed="false">
      <c r="A948" s="0" t="s">
        <v>201</v>
      </c>
      <c r="B948" s="0" t="n">
        <v>2022</v>
      </c>
      <c r="C948" s="0" t="s">
        <v>60</v>
      </c>
      <c r="D948" s="0" t="n">
        <v>292969</v>
      </c>
      <c r="E948" s="0" t="s">
        <v>7266</v>
      </c>
      <c r="G948" s="0" t="s">
        <v>7267</v>
      </c>
    </row>
    <row r="949" customFormat="false" ht="15" hidden="false" customHeight="false" outlineLevel="0" collapsed="false">
      <c r="A949" s="0" t="s">
        <v>201</v>
      </c>
      <c r="B949" s="0" t="n">
        <v>2022</v>
      </c>
      <c r="C949" s="0" t="s">
        <v>61</v>
      </c>
      <c r="D949" s="0" t="n">
        <v>3613</v>
      </c>
      <c r="E949" s="0" t="s">
        <v>7266</v>
      </c>
      <c r="G949" s="0" t="s">
        <v>7267</v>
      </c>
    </row>
    <row r="950" customFormat="false" ht="15" hidden="false" customHeight="false" outlineLevel="0" collapsed="false">
      <c r="A950" s="0" t="s">
        <v>201</v>
      </c>
      <c r="B950" s="0" t="n">
        <v>2022</v>
      </c>
      <c r="C950" s="0" t="s">
        <v>63</v>
      </c>
      <c r="D950" s="0" t="n">
        <v>1204</v>
      </c>
      <c r="E950" s="0" t="s">
        <v>7266</v>
      </c>
      <c r="G950" s="0" t="s">
        <v>7267</v>
      </c>
    </row>
    <row r="951" customFormat="false" ht="15" hidden="false" customHeight="false" outlineLevel="0" collapsed="false">
      <c r="A951" s="0" t="s">
        <v>201</v>
      </c>
      <c r="B951" s="0" t="n">
        <v>2022</v>
      </c>
      <c r="C951" s="0" t="s">
        <v>327</v>
      </c>
      <c r="D951" s="0" t="n">
        <v>3.62</v>
      </c>
      <c r="E951" s="0" t="s">
        <v>7266</v>
      </c>
      <c r="G951" s="0" t="s">
        <v>7267</v>
      </c>
    </row>
    <row r="952" customFormat="false" ht="15" hidden="false" customHeight="false" outlineLevel="0" collapsed="false">
      <c r="A952" s="0" t="s">
        <v>201</v>
      </c>
      <c r="B952" s="0" t="n">
        <v>2022</v>
      </c>
      <c r="C952" s="0" t="s">
        <v>69</v>
      </c>
      <c r="D952" s="0" t="n">
        <v>-89.69</v>
      </c>
      <c r="E952" s="0" t="s">
        <v>7266</v>
      </c>
      <c r="G952" s="0" t="s">
        <v>7267</v>
      </c>
    </row>
    <row r="953" customFormat="false" ht="15" hidden="false" customHeight="false" outlineLevel="0" collapsed="false">
      <c r="A953" s="0" t="s">
        <v>201</v>
      </c>
      <c r="B953" s="0" t="n">
        <v>2022</v>
      </c>
      <c r="C953" s="0" t="s">
        <v>73</v>
      </c>
      <c r="D953" s="0" t="n">
        <v>1</v>
      </c>
      <c r="E953" s="0" t="s">
        <v>7266</v>
      </c>
      <c r="G953" s="0" t="s">
        <v>7267</v>
      </c>
    </row>
    <row r="954" customFormat="false" ht="15" hidden="false" customHeight="false" outlineLevel="0" collapsed="false">
      <c r="A954" s="0" t="s">
        <v>201</v>
      </c>
      <c r="B954" s="0" t="n">
        <v>2022</v>
      </c>
      <c r="C954" s="0" t="s">
        <v>1804</v>
      </c>
      <c r="D954" s="0" t="s">
        <v>3392</v>
      </c>
      <c r="E954" s="0" t="s">
        <v>7266</v>
      </c>
      <c r="G954" s="0" t="s">
        <v>7267</v>
      </c>
    </row>
    <row r="955" customFormat="false" ht="15" hidden="false" customHeight="false" outlineLevel="0" collapsed="false">
      <c r="A955" s="0" t="s">
        <v>77</v>
      </c>
      <c r="B955" s="0" t="n">
        <v>2015</v>
      </c>
      <c r="C955" s="0" t="s">
        <v>54</v>
      </c>
      <c r="D955" s="0" t="n">
        <v>58925</v>
      </c>
      <c r="E955" s="0" t="s">
        <v>7275</v>
      </c>
      <c r="F955" s="0" t="s">
        <v>7276</v>
      </c>
      <c r="G955" s="0" t="s">
        <v>7267</v>
      </c>
    </row>
    <row r="956" customFormat="false" ht="15" hidden="false" customHeight="false" outlineLevel="0" collapsed="false">
      <c r="A956" s="0" t="s">
        <v>77</v>
      </c>
      <c r="B956" s="0" t="n">
        <v>2015</v>
      </c>
      <c r="C956" s="0" t="s">
        <v>1327</v>
      </c>
      <c r="D956" s="0" t="n">
        <v>302062</v>
      </c>
      <c r="E956" s="0" t="s">
        <v>7275</v>
      </c>
      <c r="F956" s="0" t="s">
        <v>7276</v>
      </c>
      <c r="G956" s="0" t="s">
        <v>7267</v>
      </c>
    </row>
    <row r="957" customFormat="false" ht="15" hidden="false" customHeight="false" outlineLevel="0" collapsed="false">
      <c r="A957" s="0" t="s">
        <v>77</v>
      </c>
      <c r="B957" s="0" t="n">
        <v>2015</v>
      </c>
      <c r="C957" s="0" t="s">
        <v>55</v>
      </c>
      <c r="D957" s="0" t="n">
        <v>2411944</v>
      </c>
      <c r="E957" s="0" t="s">
        <v>7275</v>
      </c>
      <c r="F957" s="0" t="s">
        <v>7276</v>
      </c>
      <c r="G957" s="0" t="s">
        <v>7267</v>
      </c>
    </row>
    <row r="958" customFormat="false" ht="15" hidden="false" customHeight="false" outlineLevel="0" collapsed="false">
      <c r="A958" s="0" t="s">
        <v>77</v>
      </c>
      <c r="B958" s="0" t="n">
        <v>2015</v>
      </c>
      <c r="C958" s="0" t="s">
        <v>60</v>
      </c>
      <c r="D958" s="0" t="n">
        <v>1243215</v>
      </c>
      <c r="E958" s="0" t="s">
        <v>7275</v>
      </c>
      <c r="F958" s="0" t="s">
        <v>7276</v>
      </c>
      <c r="G958" s="0" t="s">
        <v>7267</v>
      </c>
    </row>
    <row r="959" customFormat="false" ht="15" hidden="false" customHeight="false" outlineLevel="0" collapsed="false">
      <c r="A959" s="0" t="s">
        <v>77</v>
      </c>
      <c r="B959" s="0" t="n">
        <v>2015</v>
      </c>
      <c r="C959" s="0" t="s">
        <v>61</v>
      </c>
      <c r="D959" s="0" t="n">
        <v>26906</v>
      </c>
      <c r="E959" s="0" t="s">
        <v>7275</v>
      </c>
      <c r="F959" s="0" t="s">
        <v>7276</v>
      </c>
      <c r="G959" s="0" t="s">
        <v>7267</v>
      </c>
    </row>
    <row r="960" customFormat="false" ht="15" hidden="false" customHeight="false" outlineLevel="0" collapsed="false">
      <c r="A960" s="0" t="s">
        <v>77</v>
      </c>
      <c r="B960" s="0" t="n">
        <v>2015</v>
      </c>
      <c r="C960" s="0" t="s">
        <v>63</v>
      </c>
      <c r="D960" s="0" t="n">
        <v>13288</v>
      </c>
      <c r="E960" s="0" t="s">
        <v>7275</v>
      </c>
      <c r="F960" s="0" t="s">
        <v>7276</v>
      </c>
      <c r="G960" s="0" t="s">
        <v>7267</v>
      </c>
    </row>
    <row r="961" customFormat="false" ht="15" hidden="false" customHeight="false" outlineLevel="0" collapsed="false">
      <c r="A961" s="0" t="s">
        <v>77</v>
      </c>
      <c r="B961" s="0" t="n">
        <v>2015</v>
      </c>
      <c r="C961" s="0" t="s">
        <v>327</v>
      </c>
      <c r="D961" s="0" t="n">
        <v>1.5</v>
      </c>
      <c r="E961" s="0" t="s">
        <v>7275</v>
      </c>
      <c r="F961" s="0" t="s">
        <v>7276</v>
      </c>
      <c r="G961" s="0" t="s">
        <v>7267</v>
      </c>
    </row>
    <row r="962" customFormat="false" ht="15" hidden="false" customHeight="false" outlineLevel="0" collapsed="false">
      <c r="A962" s="0" t="s">
        <v>77</v>
      </c>
      <c r="B962" s="0" t="n">
        <v>2015</v>
      </c>
      <c r="C962" s="0" t="s">
        <v>69</v>
      </c>
      <c r="D962" s="0" t="n">
        <v>18</v>
      </c>
      <c r="E962" s="0" t="s">
        <v>7275</v>
      </c>
      <c r="F962" s="0" t="s">
        <v>7276</v>
      </c>
      <c r="G962" s="0" t="s">
        <v>7267</v>
      </c>
    </row>
    <row r="963" customFormat="false" ht="15" hidden="false" customHeight="false" outlineLevel="0" collapsed="false">
      <c r="A963" s="0" t="s">
        <v>77</v>
      </c>
      <c r="B963" s="0" t="n">
        <v>2015</v>
      </c>
      <c r="C963" s="0" t="s">
        <v>73</v>
      </c>
      <c r="D963" s="0" t="n">
        <v>0</v>
      </c>
      <c r="E963" s="0" t="s">
        <v>7275</v>
      </c>
      <c r="F963" s="0" t="s">
        <v>7276</v>
      </c>
      <c r="G963" s="0" t="s">
        <v>7267</v>
      </c>
    </row>
    <row r="964" customFormat="false" ht="15" hidden="false" customHeight="false" outlineLevel="0" collapsed="false">
      <c r="A964" s="0" t="s">
        <v>77</v>
      </c>
      <c r="B964" s="0" t="n">
        <v>2015</v>
      </c>
      <c r="C964" s="0" t="s">
        <v>1804</v>
      </c>
      <c r="D964" s="0" t="s">
        <v>7268</v>
      </c>
      <c r="E964" s="0" t="s">
        <v>7275</v>
      </c>
      <c r="F964" s="0" t="s">
        <v>7276</v>
      </c>
      <c r="G964" s="0" t="s">
        <v>7267</v>
      </c>
    </row>
    <row r="965" customFormat="false" ht="15" hidden="false" customHeight="false" outlineLevel="0" collapsed="false">
      <c r="A965" s="0" t="s">
        <v>77</v>
      </c>
      <c r="B965" s="0" t="n">
        <v>2016</v>
      </c>
      <c r="C965" s="0" t="s">
        <v>54</v>
      </c>
      <c r="D965" s="0" t="n">
        <v>64026</v>
      </c>
      <c r="E965" s="0" t="s">
        <v>7275</v>
      </c>
      <c r="F965" s="0" t="s">
        <v>7276</v>
      </c>
      <c r="G965" s="0" t="s">
        <v>7267</v>
      </c>
    </row>
    <row r="966" customFormat="false" ht="15" hidden="false" customHeight="false" outlineLevel="0" collapsed="false">
      <c r="A966" s="0" t="s">
        <v>77</v>
      </c>
      <c r="B966" s="0" t="n">
        <v>2016</v>
      </c>
      <c r="C966" s="0" t="s">
        <v>1327</v>
      </c>
      <c r="D966" s="0" t="n">
        <v>331001</v>
      </c>
      <c r="E966" s="0" t="s">
        <v>7275</v>
      </c>
      <c r="F966" s="0" t="s">
        <v>7276</v>
      </c>
      <c r="G966" s="0" t="s">
        <v>7267</v>
      </c>
    </row>
    <row r="967" customFormat="false" ht="15" hidden="false" customHeight="false" outlineLevel="0" collapsed="false">
      <c r="A967" s="0" t="s">
        <v>77</v>
      </c>
      <c r="B967" s="0" t="n">
        <v>2016</v>
      </c>
      <c r="C967" s="0" t="s">
        <v>55</v>
      </c>
      <c r="D967" s="0" t="n">
        <v>3094961</v>
      </c>
      <c r="E967" s="0" t="s">
        <v>7275</v>
      </c>
      <c r="F967" s="0" t="s">
        <v>7276</v>
      </c>
      <c r="G967" s="0" t="s">
        <v>7267</v>
      </c>
    </row>
    <row r="968" customFormat="false" ht="15" hidden="false" customHeight="false" outlineLevel="0" collapsed="false">
      <c r="A968" s="0" t="s">
        <v>77</v>
      </c>
      <c r="B968" s="0" t="n">
        <v>2016</v>
      </c>
      <c r="C968" s="0" t="s">
        <v>60</v>
      </c>
      <c r="D968" s="0" t="n">
        <v>1594562</v>
      </c>
      <c r="E968" s="0" t="s">
        <v>7275</v>
      </c>
      <c r="F968" s="0" t="s">
        <v>7276</v>
      </c>
      <c r="G968" s="0" t="s">
        <v>7267</v>
      </c>
    </row>
    <row r="969" customFormat="false" ht="15" hidden="false" customHeight="false" outlineLevel="0" collapsed="false">
      <c r="A969" s="0" t="s">
        <v>77</v>
      </c>
      <c r="B969" s="0" t="n">
        <v>2016</v>
      </c>
      <c r="C969" s="0" t="s">
        <v>61</v>
      </c>
      <c r="D969" s="0" t="n">
        <v>30276</v>
      </c>
      <c r="E969" s="0" t="s">
        <v>7275</v>
      </c>
      <c r="F969" s="0" t="s">
        <v>7276</v>
      </c>
      <c r="G969" s="0" t="s">
        <v>7267</v>
      </c>
    </row>
    <row r="970" customFormat="false" ht="15" hidden="false" customHeight="false" outlineLevel="0" collapsed="false">
      <c r="A970" s="0" t="s">
        <v>77</v>
      </c>
      <c r="B970" s="0" t="n">
        <v>2016</v>
      </c>
      <c r="C970" s="0" t="s">
        <v>63</v>
      </c>
      <c r="D970" s="0" t="n">
        <v>17641</v>
      </c>
      <c r="E970" s="0" t="s">
        <v>7275</v>
      </c>
      <c r="F970" s="0" t="s">
        <v>7276</v>
      </c>
      <c r="G970" s="0" t="s">
        <v>7267</v>
      </c>
    </row>
    <row r="971" customFormat="false" ht="15" hidden="false" customHeight="false" outlineLevel="0" collapsed="false">
      <c r="A971" s="0" t="s">
        <v>77</v>
      </c>
      <c r="B971" s="0" t="n">
        <v>2016</v>
      </c>
      <c r="C971" s="0" t="s">
        <v>327</v>
      </c>
      <c r="D971" s="0" t="n">
        <v>1.8</v>
      </c>
      <c r="E971" s="0" t="s">
        <v>7275</v>
      </c>
      <c r="F971" s="0" t="s">
        <v>7276</v>
      </c>
      <c r="G971" s="0" t="s">
        <v>7267</v>
      </c>
    </row>
    <row r="972" customFormat="false" ht="15" hidden="false" customHeight="false" outlineLevel="0" collapsed="false">
      <c r="A972" s="0" t="s">
        <v>77</v>
      </c>
      <c r="B972" s="0" t="n">
        <v>2016</v>
      </c>
      <c r="C972" s="0" t="s">
        <v>69</v>
      </c>
      <c r="D972" s="0" t="n">
        <v>19.55</v>
      </c>
      <c r="E972" s="0" t="s">
        <v>7275</v>
      </c>
      <c r="F972" s="0" t="s">
        <v>7276</v>
      </c>
      <c r="G972" s="0" t="s">
        <v>7267</v>
      </c>
    </row>
    <row r="973" customFormat="false" ht="15" hidden="false" customHeight="false" outlineLevel="0" collapsed="false">
      <c r="A973" s="0" t="s">
        <v>77</v>
      </c>
      <c r="B973" s="0" t="n">
        <v>2016</v>
      </c>
      <c r="C973" s="0" t="s">
        <v>73</v>
      </c>
      <c r="D973" s="0" t="n">
        <v>0</v>
      </c>
      <c r="E973" s="0" t="s">
        <v>7275</v>
      </c>
      <c r="F973" s="0" t="s">
        <v>7276</v>
      </c>
      <c r="G973" s="0" t="s">
        <v>7267</v>
      </c>
    </row>
    <row r="974" customFormat="false" ht="15" hidden="false" customHeight="false" outlineLevel="0" collapsed="false">
      <c r="A974" s="0" t="s">
        <v>77</v>
      </c>
      <c r="B974" s="0" t="n">
        <v>2016</v>
      </c>
      <c r="C974" s="0" t="s">
        <v>1804</v>
      </c>
      <c r="D974" s="0" t="s">
        <v>7268</v>
      </c>
      <c r="E974" s="0" t="s">
        <v>7275</v>
      </c>
      <c r="F974" s="0" t="s">
        <v>7276</v>
      </c>
      <c r="G974" s="0" t="s">
        <v>7267</v>
      </c>
    </row>
    <row r="975" customFormat="false" ht="15" hidden="false" customHeight="false" outlineLevel="0" collapsed="false">
      <c r="A975" s="0" t="s">
        <v>77</v>
      </c>
      <c r="B975" s="0" t="n">
        <v>2017</v>
      </c>
      <c r="C975" s="0" t="s">
        <v>54</v>
      </c>
      <c r="D975" s="0" t="n">
        <v>53239</v>
      </c>
      <c r="E975" s="0" t="s">
        <v>7275</v>
      </c>
      <c r="F975" s="0" t="s">
        <v>7276</v>
      </c>
      <c r="G975" s="0" t="s">
        <v>7267</v>
      </c>
    </row>
    <row r="976" customFormat="false" ht="15" hidden="false" customHeight="false" outlineLevel="0" collapsed="false">
      <c r="A976" s="0" t="s">
        <v>77</v>
      </c>
      <c r="B976" s="0" t="n">
        <v>2017</v>
      </c>
      <c r="C976" s="0" t="s">
        <v>1327</v>
      </c>
      <c r="D976" s="0" t="n">
        <v>398162</v>
      </c>
      <c r="E976" s="0" t="s">
        <v>7275</v>
      </c>
      <c r="F976" s="0" t="s">
        <v>7276</v>
      </c>
      <c r="G976" s="0" t="s">
        <v>7267</v>
      </c>
    </row>
    <row r="977" customFormat="false" ht="15" hidden="false" customHeight="false" outlineLevel="0" collapsed="false">
      <c r="A977" s="0" t="s">
        <v>77</v>
      </c>
      <c r="B977" s="0" t="n">
        <v>2017</v>
      </c>
      <c r="C977" s="0" t="s">
        <v>55</v>
      </c>
      <c r="D977" s="0" t="n">
        <v>3499684</v>
      </c>
      <c r="E977" s="0" t="s">
        <v>7275</v>
      </c>
      <c r="F977" s="0" t="s">
        <v>7276</v>
      </c>
      <c r="G977" s="0" t="s">
        <v>7267</v>
      </c>
    </row>
    <row r="978" customFormat="false" ht="15" hidden="false" customHeight="false" outlineLevel="0" collapsed="false">
      <c r="A978" s="0" t="s">
        <v>77</v>
      </c>
      <c r="B978" s="0" t="n">
        <v>2017</v>
      </c>
      <c r="C978" s="0" t="s">
        <v>60</v>
      </c>
      <c r="D978" s="0" t="n">
        <v>1827389</v>
      </c>
      <c r="E978" s="0" t="s">
        <v>7275</v>
      </c>
      <c r="F978" s="0" t="s">
        <v>7276</v>
      </c>
      <c r="G978" s="0" t="s">
        <v>7267</v>
      </c>
    </row>
    <row r="979" customFormat="false" ht="15" hidden="false" customHeight="false" outlineLevel="0" collapsed="false">
      <c r="A979" s="0" t="s">
        <v>77</v>
      </c>
      <c r="B979" s="0" t="n">
        <v>2017</v>
      </c>
      <c r="C979" s="0" t="s">
        <v>61</v>
      </c>
      <c r="D979" s="0" t="n">
        <v>56331</v>
      </c>
      <c r="E979" s="0" t="s">
        <v>7275</v>
      </c>
      <c r="F979" s="0" t="s">
        <v>7276</v>
      </c>
      <c r="G979" s="0" t="s">
        <v>7267</v>
      </c>
    </row>
    <row r="980" customFormat="false" ht="15" hidden="false" customHeight="false" outlineLevel="0" collapsed="false">
      <c r="A980" s="0" t="s">
        <v>77</v>
      </c>
      <c r="B980" s="0" t="n">
        <v>2017</v>
      </c>
      <c r="C980" s="0" t="s">
        <v>63</v>
      </c>
      <c r="D980" s="0" t="n">
        <v>29150</v>
      </c>
      <c r="E980" s="0" t="s">
        <v>7275</v>
      </c>
      <c r="F980" s="0" t="s">
        <v>7276</v>
      </c>
      <c r="G980" s="0" t="s">
        <v>7267</v>
      </c>
    </row>
    <row r="981" customFormat="false" ht="15" hidden="false" customHeight="false" outlineLevel="0" collapsed="false">
      <c r="A981" s="0" t="s">
        <v>77</v>
      </c>
      <c r="B981" s="0" t="n">
        <v>2017</v>
      </c>
      <c r="C981" s="0" t="s">
        <v>327</v>
      </c>
      <c r="D981" s="0" t="n">
        <v>4.28</v>
      </c>
      <c r="E981" s="0" t="s">
        <v>7275</v>
      </c>
      <c r="F981" s="0" t="s">
        <v>7276</v>
      </c>
      <c r="G981" s="0" t="s">
        <v>7267</v>
      </c>
    </row>
    <row r="982" customFormat="false" ht="15" hidden="false" customHeight="false" outlineLevel="0" collapsed="false">
      <c r="A982" s="0" t="s">
        <v>77</v>
      </c>
      <c r="B982" s="0" t="n">
        <v>2017</v>
      </c>
      <c r="C982" s="0" t="s">
        <v>69</v>
      </c>
      <c r="D982" s="0" t="n">
        <v>18.18</v>
      </c>
      <c r="E982" s="0" t="s">
        <v>7275</v>
      </c>
      <c r="F982" s="0" t="s">
        <v>7276</v>
      </c>
      <c r="G982" s="0" t="s">
        <v>7267</v>
      </c>
    </row>
    <row r="983" customFormat="false" ht="15" hidden="false" customHeight="false" outlineLevel="0" collapsed="false">
      <c r="A983" s="0" t="s">
        <v>77</v>
      </c>
      <c r="B983" s="0" t="n">
        <v>2017</v>
      </c>
      <c r="C983" s="0" t="s">
        <v>73</v>
      </c>
      <c r="D983" s="0" t="n">
        <v>0</v>
      </c>
      <c r="E983" s="0" t="s">
        <v>7275</v>
      </c>
      <c r="F983" s="0" t="s">
        <v>7276</v>
      </c>
      <c r="G983" s="0" t="s">
        <v>7267</v>
      </c>
    </row>
    <row r="984" customFormat="false" ht="15" hidden="false" customHeight="false" outlineLevel="0" collapsed="false">
      <c r="A984" s="0" t="s">
        <v>77</v>
      </c>
      <c r="B984" s="0" t="n">
        <v>2017</v>
      </c>
      <c r="C984" s="0" t="s">
        <v>1804</v>
      </c>
      <c r="D984" s="0" t="s">
        <v>7268</v>
      </c>
      <c r="E984" s="0" t="s">
        <v>7275</v>
      </c>
      <c r="F984" s="0" t="s">
        <v>7276</v>
      </c>
      <c r="G984" s="0" t="s">
        <v>7267</v>
      </c>
    </row>
    <row r="985" customFormat="false" ht="15" hidden="false" customHeight="false" outlineLevel="0" collapsed="false">
      <c r="A985" s="0" t="s">
        <v>77</v>
      </c>
      <c r="B985" s="0" t="n">
        <v>2018</v>
      </c>
      <c r="C985" s="0" t="s">
        <v>54</v>
      </c>
      <c r="D985" s="0" t="n">
        <v>73596</v>
      </c>
      <c r="E985" s="0" t="s">
        <v>7275</v>
      </c>
      <c r="F985" s="0" t="s">
        <v>7276</v>
      </c>
      <c r="G985" s="0" t="s">
        <v>7267</v>
      </c>
    </row>
    <row r="986" customFormat="false" ht="15" hidden="false" customHeight="false" outlineLevel="0" collapsed="false">
      <c r="A986" s="0" t="s">
        <v>77</v>
      </c>
      <c r="B986" s="0" t="n">
        <v>2018</v>
      </c>
      <c r="C986" s="0" t="s">
        <v>1327</v>
      </c>
      <c r="D986" s="0" t="n">
        <v>435743</v>
      </c>
      <c r="E986" s="0" t="s">
        <v>7275</v>
      </c>
      <c r="F986" s="0" t="s">
        <v>7276</v>
      </c>
      <c r="G986" s="0" t="s">
        <v>7267</v>
      </c>
    </row>
    <row r="987" customFormat="false" ht="15" hidden="false" customHeight="false" outlineLevel="0" collapsed="false">
      <c r="A987" s="0" t="s">
        <v>77</v>
      </c>
      <c r="B987" s="0" t="n">
        <v>2018</v>
      </c>
      <c r="C987" s="0" t="s">
        <v>55</v>
      </c>
      <c r="D987" s="0" t="n">
        <v>3968115</v>
      </c>
      <c r="E987" s="0" t="s">
        <v>7275</v>
      </c>
      <c r="F987" s="0" t="s">
        <v>7276</v>
      </c>
      <c r="G987" s="0" t="s">
        <v>7267</v>
      </c>
    </row>
    <row r="988" customFormat="false" ht="15" hidden="false" customHeight="false" outlineLevel="0" collapsed="false">
      <c r="A988" s="0" t="s">
        <v>77</v>
      </c>
      <c r="B988" s="0" t="n">
        <v>2018</v>
      </c>
      <c r="C988" s="0" t="s">
        <v>60</v>
      </c>
      <c r="D988" s="0" t="n">
        <v>1753772</v>
      </c>
      <c r="E988" s="0" t="s">
        <v>7275</v>
      </c>
      <c r="F988" s="0" t="s">
        <v>7276</v>
      </c>
      <c r="G988" s="0" t="s">
        <v>7267</v>
      </c>
    </row>
    <row r="989" customFormat="false" ht="15" hidden="false" customHeight="false" outlineLevel="0" collapsed="false">
      <c r="A989" s="0" t="s">
        <v>77</v>
      </c>
      <c r="B989" s="0" t="n">
        <v>2018</v>
      </c>
      <c r="C989" s="0" t="s">
        <v>61</v>
      </c>
      <c r="D989" s="0" t="n">
        <v>72010</v>
      </c>
      <c r="E989" s="0" t="s">
        <v>7275</v>
      </c>
      <c r="F989" s="0" t="s">
        <v>7276</v>
      </c>
      <c r="G989" s="0" t="s">
        <v>7267</v>
      </c>
    </row>
    <row r="990" customFormat="false" ht="15" hidden="false" customHeight="false" outlineLevel="0" collapsed="false">
      <c r="A990" s="0" t="s">
        <v>77</v>
      </c>
      <c r="B990" s="0" t="n">
        <v>2018</v>
      </c>
      <c r="C990" s="0" t="s">
        <v>63</v>
      </c>
      <c r="D990" s="0" t="n">
        <v>10702</v>
      </c>
      <c r="E990" s="0" t="s">
        <v>7275</v>
      </c>
      <c r="F990" s="0" t="s">
        <v>7276</v>
      </c>
      <c r="G990" s="0" t="s">
        <v>7267</v>
      </c>
    </row>
    <row r="991" customFormat="false" ht="15" hidden="false" customHeight="false" outlineLevel="0" collapsed="false">
      <c r="A991" s="0" t="s">
        <v>77</v>
      </c>
      <c r="B991" s="0" t="n">
        <v>2018</v>
      </c>
      <c r="C991" s="0" t="s">
        <v>327</v>
      </c>
      <c r="D991" s="0" t="n">
        <v>2.38</v>
      </c>
      <c r="E991" s="0" t="s">
        <v>7275</v>
      </c>
      <c r="F991" s="0" t="s">
        <v>7276</v>
      </c>
      <c r="G991" s="0" t="s">
        <v>7267</v>
      </c>
    </row>
    <row r="992" customFormat="false" ht="15" hidden="false" customHeight="false" outlineLevel="0" collapsed="false">
      <c r="A992" s="0" t="s">
        <v>77</v>
      </c>
      <c r="B992" s="0" t="n">
        <v>2018</v>
      </c>
      <c r="C992" s="0" t="s">
        <v>69</v>
      </c>
      <c r="D992" s="0" t="n">
        <v>16.34</v>
      </c>
      <c r="E992" s="0" t="s">
        <v>7275</v>
      </c>
      <c r="F992" s="0" t="s">
        <v>7276</v>
      </c>
      <c r="G992" s="0" t="s">
        <v>7267</v>
      </c>
    </row>
    <row r="993" customFormat="false" ht="15" hidden="false" customHeight="false" outlineLevel="0" collapsed="false">
      <c r="A993" s="0" t="s">
        <v>77</v>
      </c>
      <c r="B993" s="0" t="n">
        <v>2018</v>
      </c>
      <c r="C993" s="0" t="s">
        <v>73</v>
      </c>
      <c r="D993" s="0" t="n">
        <v>0</v>
      </c>
      <c r="E993" s="0" t="s">
        <v>7275</v>
      </c>
      <c r="F993" s="0" t="s">
        <v>7276</v>
      </c>
      <c r="G993" s="0" t="s">
        <v>7267</v>
      </c>
    </row>
    <row r="994" customFormat="false" ht="15" hidden="false" customHeight="false" outlineLevel="0" collapsed="false">
      <c r="A994" s="0" t="s">
        <v>77</v>
      </c>
      <c r="B994" s="0" t="n">
        <v>2018</v>
      </c>
      <c r="C994" s="0" t="s">
        <v>1804</v>
      </c>
      <c r="D994" s="0" t="s">
        <v>7268</v>
      </c>
      <c r="E994" s="0" t="s">
        <v>7275</v>
      </c>
      <c r="F994" s="0" t="s">
        <v>7276</v>
      </c>
      <c r="G994" s="0" t="s">
        <v>7267</v>
      </c>
    </row>
    <row r="995" customFormat="false" ht="15" hidden="false" customHeight="false" outlineLevel="0" collapsed="false">
      <c r="A995" s="0" t="s">
        <v>77</v>
      </c>
      <c r="B995" s="0" t="n">
        <v>2019</v>
      </c>
      <c r="C995" s="0" t="s">
        <v>54</v>
      </c>
      <c r="D995" s="0" t="n">
        <v>73569</v>
      </c>
      <c r="E995" s="0" t="s">
        <v>7275</v>
      </c>
      <c r="F995" s="0" t="s">
        <v>7276</v>
      </c>
      <c r="G995" s="0" t="s">
        <v>7267</v>
      </c>
    </row>
    <row r="996" customFormat="false" ht="15" hidden="false" customHeight="false" outlineLevel="0" collapsed="false">
      <c r="A996" s="0" t="s">
        <v>77</v>
      </c>
      <c r="B996" s="0" t="n">
        <v>2019</v>
      </c>
      <c r="C996" s="0" t="s">
        <v>1327</v>
      </c>
      <c r="D996" s="0" t="n">
        <v>576348</v>
      </c>
      <c r="E996" s="0" t="s">
        <v>7275</v>
      </c>
      <c r="F996" s="0" t="s">
        <v>7276</v>
      </c>
      <c r="G996" s="0" t="s">
        <v>7267</v>
      </c>
    </row>
    <row r="997" customFormat="false" ht="15" hidden="false" customHeight="false" outlineLevel="0" collapsed="false">
      <c r="A997" s="0" t="s">
        <v>77</v>
      </c>
      <c r="B997" s="0" t="n">
        <v>2019</v>
      </c>
      <c r="C997" s="0" t="s">
        <v>55</v>
      </c>
      <c r="D997" s="0" t="n">
        <v>6311041</v>
      </c>
      <c r="E997" s="0" t="s">
        <v>7275</v>
      </c>
      <c r="F997" s="0" t="s">
        <v>7276</v>
      </c>
      <c r="G997" s="0" t="s">
        <v>7267</v>
      </c>
    </row>
    <row r="998" customFormat="false" ht="15" hidden="false" customHeight="false" outlineLevel="0" collapsed="false">
      <c r="A998" s="0" t="s">
        <v>77</v>
      </c>
      <c r="B998" s="0" t="n">
        <v>2019</v>
      </c>
      <c r="C998" s="0" t="s">
        <v>60</v>
      </c>
      <c r="D998" s="0" t="n">
        <v>2662623</v>
      </c>
      <c r="E998" s="0" t="s">
        <v>7275</v>
      </c>
      <c r="F998" s="0" t="s">
        <v>7276</v>
      </c>
      <c r="G998" s="0" t="s">
        <v>7267</v>
      </c>
    </row>
    <row r="999" customFormat="false" ht="15" hidden="false" customHeight="false" outlineLevel="0" collapsed="false">
      <c r="A999" s="0" t="s">
        <v>77</v>
      </c>
      <c r="B999" s="0" t="n">
        <v>2019</v>
      </c>
      <c r="C999" s="0" t="s">
        <v>61</v>
      </c>
      <c r="D999" s="0" t="n">
        <v>180999</v>
      </c>
      <c r="E999" s="0" t="s">
        <v>7275</v>
      </c>
      <c r="F999" s="0" t="s">
        <v>7276</v>
      </c>
      <c r="G999" s="0" t="s">
        <v>7267</v>
      </c>
    </row>
    <row r="1000" customFormat="false" ht="15" hidden="false" customHeight="false" outlineLevel="0" collapsed="false">
      <c r="A1000" s="0" t="s">
        <v>77</v>
      </c>
      <c r="B1000" s="0" t="n">
        <v>2019</v>
      </c>
      <c r="C1000" s="0" t="s">
        <v>63</v>
      </c>
      <c r="D1000" s="0" t="n">
        <v>21055</v>
      </c>
      <c r="E1000" s="0" t="s">
        <v>7275</v>
      </c>
      <c r="F1000" s="0" t="s">
        <v>7276</v>
      </c>
      <c r="G1000" s="0" t="s">
        <v>7267</v>
      </c>
    </row>
    <row r="1001" customFormat="false" ht="15" hidden="false" customHeight="false" outlineLevel="0" collapsed="false">
      <c r="A1001" s="0" t="s">
        <v>77</v>
      </c>
      <c r="B1001" s="0" t="n">
        <v>2019</v>
      </c>
      <c r="C1001" s="0" t="s">
        <v>327</v>
      </c>
      <c r="D1001" s="0" t="n">
        <v>6.1</v>
      </c>
      <c r="E1001" s="0" t="s">
        <v>7275</v>
      </c>
      <c r="F1001" s="0" t="s">
        <v>7276</v>
      </c>
      <c r="G1001" s="0" t="s">
        <v>7267</v>
      </c>
    </row>
    <row r="1002" customFormat="false" ht="15" hidden="false" customHeight="false" outlineLevel="0" collapsed="false">
      <c r="A1002" s="0" t="s">
        <v>77</v>
      </c>
      <c r="B1002" s="0" t="n">
        <v>2019</v>
      </c>
      <c r="C1002" s="0" t="s">
        <v>69</v>
      </c>
      <c r="D1002" s="0" t="n">
        <v>17.65</v>
      </c>
      <c r="E1002" s="0" t="s">
        <v>7275</v>
      </c>
      <c r="F1002" s="0" t="s">
        <v>7276</v>
      </c>
      <c r="G1002" s="0" t="s">
        <v>7267</v>
      </c>
    </row>
    <row r="1003" customFormat="false" ht="15" hidden="false" customHeight="false" outlineLevel="0" collapsed="false">
      <c r="A1003" s="0" t="s">
        <v>77</v>
      </c>
      <c r="B1003" s="0" t="n">
        <v>2019</v>
      </c>
      <c r="C1003" s="0" t="s">
        <v>73</v>
      </c>
      <c r="D1003" s="0" t="n">
        <v>0</v>
      </c>
      <c r="E1003" s="0" t="s">
        <v>7275</v>
      </c>
      <c r="F1003" s="0" t="s">
        <v>7276</v>
      </c>
      <c r="G1003" s="0" t="s">
        <v>7267</v>
      </c>
    </row>
    <row r="1004" customFormat="false" ht="15" hidden="false" customHeight="false" outlineLevel="0" collapsed="false">
      <c r="A1004" s="0" t="s">
        <v>77</v>
      </c>
      <c r="B1004" s="0" t="n">
        <v>2019</v>
      </c>
      <c r="C1004" s="0" t="s">
        <v>1804</v>
      </c>
      <c r="D1004" s="0" t="s">
        <v>7268</v>
      </c>
      <c r="E1004" s="0" t="s">
        <v>7275</v>
      </c>
      <c r="F1004" s="0" t="s">
        <v>7276</v>
      </c>
      <c r="G1004" s="0" t="s">
        <v>7267</v>
      </c>
    </row>
    <row r="1005" customFormat="false" ht="15" hidden="false" customHeight="false" outlineLevel="0" collapsed="false">
      <c r="A1005" s="0" t="s">
        <v>77</v>
      </c>
      <c r="B1005" s="0" t="n">
        <v>2020</v>
      </c>
      <c r="C1005" s="0" t="s">
        <v>54</v>
      </c>
      <c r="D1005" s="0" t="n">
        <v>80039</v>
      </c>
      <c r="E1005" s="0" t="s">
        <v>7275</v>
      </c>
      <c r="F1005" s="0" t="s">
        <v>7276</v>
      </c>
      <c r="G1005" s="0" t="s">
        <v>7267</v>
      </c>
    </row>
    <row r="1006" customFormat="false" ht="15" hidden="false" customHeight="false" outlineLevel="0" collapsed="false">
      <c r="A1006" s="0" t="s">
        <v>77</v>
      </c>
      <c r="B1006" s="0" t="n">
        <v>2020</v>
      </c>
      <c r="C1006" s="0" t="s">
        <v>1327</v>
      </c>
      <c r="D1006" s="0" t="n">
        <v>634864</v>
      </c>
      <c r="E1006" s="0" t="s">
        <v>7275</v>
      </c>
      <c r="F1006" s="0" t="s">
        <v>7276</v>
      </c>
      <c r="G1006" s="0" t="s">
        <v>7267</v>
      </c>
    </row>
    <row r="1007" customFormat="false" ht="15" hidden="false" customHeight="false" outlineLevel="0" collapsed="false">
      <c r="A1007" s="0" t="s">
        <v>77</v>
      </c>
      <c r="B1007" s="0" t="n">
        <v>2020</v>
      </c>
      <c r="C1007" s="0" t="s">
        <v>55</v>
      </c>
      <c r="D1007" s="0" t="n">
        <v>7624980</v>
      </c>
      <c r="E1007" s="0" t="s">
        <v>7275</v>
      </c>
      <c r="F1007" s="0" t="s">
        <v>7276</v>
      </c>
      <c r="G1007" s="0" t="s">
        <v>7267</v>
      </c>
    </row>
    <row r="1008" customFormat="false" ht="15" hidden="false" customHeight="false" outlineLevel="0" collapsed="false">
      <c r="A1008" s="0" t="s">
        <v>77</v>
      </c>
      <c r="B1008" s="0" t="n">
        <v>2020</v>
      </c>
      <c r="C1008" s="0" t="s">
        <v>60</v>
      </c>
      <c r="D1008" s="0" t="n">
        <v>2829171</v>
      </c>
      <c r="E1008" s="0" t="s">
        <v>7275</v>
      </c>
      <c r="F1008" s="0" t="s">
        <v>7276</v>
      </c>
      <c r="G1008" s="0" t="s">
        <v>7267</v>
      </c>
    </row>
    <row r="1009" customFormat="false" ht="15" hidden="false" customHeight="false" outlineLevel="0" collapsed="false">
      <c r="A1009" s="0" t="s">
        <v>77</v>
      </c>
      <c r="B1009" s="0" t="n">
        <v>2020</v>
      </c>
      <c r="C1009" s="0" t="s">
        <v>61</v>
      </c>
      <c r="D1009" s="0" t="n">
        <v>116211</v>
      </c>
      <c r="E1009" s="0" t="s">
        <v>7275</v>
      </c>
      <c r="F1009" s="0" t="s">
        <v>7276</v>
      </c>
      <c r="G1009" s="0" t="s">
        <v>7267</v>
      </c>
    </row>
    <row r="1010" customFormat="false" ht="15" hidden="false" customHeight="false" outlineLevel="0" collapsed="false">
      <c r="A1010" s="0" t="s">
        <v>77</v>
      </c>
      <c r="B1010" s="0" t="n">
        <v>2020</v>
      </c>
      <c r="C1010" s="0" t="s">
        <v>63</v>
      </c>
      <c r="D1010" s="0" t="n">
        <v>39651</v>
      </c>
      <c r="E1010" s="0" t="s">
        <v>7275</v>
      </c>
      <c r="F1010" s="0" t="s">
        <v>7276</v>
      </c>
      <c r="G1010" s="0" t="s">
        <v>7267</v>
      </c>
    </row>
    <row r="1011" customFormat="false" ht="15" hidden="false" customHeight="false" outlineLevel="0" collapsed="false">
      <c r="A1011" s="0" t="s">
        <v>77</v>
      </c>
      <c r="B1011" s="0" t="n">
        <v>2020</v>
      </c>
      <c r="C1011" s="0" t="s">
        <v>327</v>
      </c>
      <c r="D1011" s="0" t="n">
        <v>3.65</v>
      </c>
      <c r="E1011" s="0" t="s">
        <v>7275</v>
      </c>
      <c r="F1011" s="0" t="s">
        <v>7276</v>
      </c>
      <c r="G1011" s="0" t="s">
        <v>7267</v>
      </c>
    </row>
    <row r="1012" customFormat="false" ht="15" hidden="false" customHeight="false" outlineLevel="0" collapsed="false">
      <c r="A1012" s="0" t="s">
        <v>77</v>
      </c>
      <c r="B1012" s="0" t="n">
        <v>2020</v>
      </c>
      <c r="C1012" s="0" t="s">
        <v>69</v>
      </c>
      <c r="D1012" s="0" t="n">
        <v>16.83</v>
      </c>
      <c r="E1012" s="0" t="s">
        <v>7275</v>
      </c>
      <c r="F1012" s="0" t="s">
        <v>7276</v>
      </c>
      <c r="G1012" s="0" t="s">
        <v>7267</v>
      </c>
    </row>
    <row r="1013" customFormat="false" ht="15" hidden="false" customHeight="false" outlineLevel="0" collapsed="false">
      <c r="A1013" s="0" t="s">
        <v>77</v>
      </c>
      <c r="B1013" s="0" t="n">
        <v>2020</v>
      </c>
      <c r="C1013" s="0" t="s">
        <v>73</v>
      </c>
      <c r="D1013" s="0" t="n">
        <v>0</v>
      </c>
      <c r="E1013" s="0" t="s">
        <v>7275</v>
      </c>
      <c r="F1013" s="0" t="s">
        <v>7276</v>
      </c>
      <c r="G1013" s="0" t="s">
        <v>7267</v>
      </c>
    </row>
    <row r="1014" customFormat="false" ht="15" hidden="false" customHeight="false" outlineLevel="0" collapsed="false">
      <c r="A1014" s="0" t="s">
        <v>77</v>
      </c>
      <c r="B1014" s="0" t="n">
        <v>2020</v>
      </c>
      <c r="C1014" s="0" t="s">
        <v>1804</v>
      </c>
      <c r="D1014" s="0" t="s">
        <v>7268</v>
      </c>
      <c r="E1014" s="0" t="s">
        <v>7275</v>
      </c>
      <c r="F1014" s="0" t="s">
        <v>7276</v>
      </c>
      <c r="G1014" s="0" t="s">
        <v>7267</v>
      </c>
    </row>
    <row r="1015" customFormat="false" ht="15" hidden="false" customHeight="false" outlineLevel="0" collapsed="false">
      <c r="A1015" s="0" t="s">
        <v>77</v>
      </c>
      <c r="B1015" s="0" t="n">
        <v>2021</v>
      </c>
      <c r="C1015" s="0" t="s">
        <v>54</v>
      </c>
      <c r="D1015" s="0" t="n">
        <v>111326</v>
      </c>
      <c r="E1015" s="0" t="s">
        <v>7275</v>
      </c>
      <c r="F1015" s="0" t="s">
        <v>7276</v>
      </c>
      <c r="G1015" s="0" t="s">
        <v>7267</v>
      </c>
    </row>
    <row r="1016" customFormat="false" ht="15" hidden="false" customHeight="false" outlineLevel="0" collapsed="false">
      <c r="A1016" s="0" t="s">
        <v>77</v>
      </c>
      <c r="B1016" s="0" t="n">
        <v>2021</v>
      </c>
      <c r="C1016" s="0" t="s">
        <v>1327</v>
      </c>
      <c r="D1016" s="0" t="n">
        <v>734283</v>
      </c>
      <c r="E1016" s="0" t="s">
        <v>7275</v>
      </c>
      <c r="F1016" s="0" t="s">
        <v>7276</v>
      </c>
      <c r="G1016" s="0" t="s">
        <v>7267</v>
      </c>
    </row>
    <row r="1017" customFormat="false" ht="15" hidden="false" customHeight="false" outlineLevel="0" collapsed="false">
      <c r="A1017" s="0" t="s">
        <v>77</v>
      </c>
      <c r="B1017" s="0" t="n">
        <v>2021</v>
      </c>
      <c r="C1017" s="0" t="s">
        <v>55</v>
      </c>
      <c r="D1017" s="0" t="n">
        <v>9660761</v>
      </c>
      <c r="E1017" s="0" t="s">
        <v>7275</v>
      </c>
      <c r="F1017" s="0" t="s">
        <v>7276</v>
      </c>
      <c r="G1017" s="0" t="s">
        <v>7267</v>
      </c>
    </row>
    <row r="1018" customFormat="false" ht="15" hidden="false" customHeight="false" outlineLevel="0" collapsed="false">
      <c r="A1018" s="0" t="s">
        <v>77</v>
      </c>
      <c r="B1018" s="0" t="n">
        <v>2021</v>
      </c>
      <c r="C1018" s="0" t="s">
        <v>60</v>
      </c>
      <c r="D1018" s="0" t="n">
        <v>3343722</v>
      </c>
      <c r="E1018" s="0" t="s">
        <v>7275</v>
      </c>
      <c r="F1018" s="0" t="s">
        <v>7276</v>
      </c>
      <c r="G1018" s="0" t="s">
        <v>7267</v>
      </c>
    </row>
    <row r="1019" customFormat="false" ht="15" hidden="false" customHeight="false" outlineLevel="0" collapsed="false">
      <c r="A1019" s="0" t="s">
        <v>77</v>
      </c>
      <c r="B1019" s="0" t="n">
        <v>2021</v>
      </c>
      <c r="C1019" s="0" t="s">
        <v>61</v>
      </c>
      <c r="D1019" s="0" t="n">
        <v>87650</v>
      </c>
      <c r="E1019" s="0" t="s">
        <v>7275</v>
      </c>
      <c r="F1019" s="0" t="s">
        <v>7276</v>
      </c>
      <c r="G1019" s="0" t="s">
        <v>7267</v>
      </c>
    </row>
    <row r="1020" customFormat="false" ht="15" hidden="false" customHeight="false" outlineLevel="0" collapsed="false">
      <c r="A1020" s="0" t="s">
        <v>77</v>
      </c>
      <c r="B1020" s="0" t="n">
        <v>2021</v>
      </c>
      <c r="C1020" s="0" t="s">
        <v>63</v>
      </c>
      <c r="D1020" s="0" t="n">
        <v>53801</v>
      </c>
      <c r="E1020" s="0" t="s">
        <v>7275</v>
      </c>
      <c r="F1020" s="0" t="s">
        <v>7276</v>
      </c>
      <c r="G1020" s="0" t="s">
        <v>7267</v>
      </c>
    </row>
    <row r="1021" customFormat="false" ht="15" hidden="false" customHeight="false" outlineLevel="0" collapsed="false">
      <c r="A1021" s="0" t="s">
        <v>77</v>
      </c>
      <c r="B1021" s="0" t="n">
        <v>2021</v>
      </c>
      <c r="C1021" s="0" t="s">
        <v>327</v>
      </c>
      <c r="D1021" s="0" t="n">
        <v>2.03</v>
      </c>
      <c r="E1021" s="0" t="s">
        <v>7275</v>
      </c>
      <c r="F1021" s="0" t="s">
        <v>7276</v>
      </c>
      <c r="G1021" s="0" t="s">
        <v>7267</v>
      </c>
    </row>
    <row r="1022" customFormat="false" ht="15" hidden="false" customHeight="false" outlineLevel="0" collapsed="false">
      <c r="A1022" s="0" t="s">
        <v>77</v>
      </c>
      <c r="B1022" s="0" t="n">
        <v>2021</v>
      </c>
      <c r="C1022" s="0" t="s">
        <v>69</v>
      </c>
      <c r="D1022" s="0" t="n">
        <v>20.93</v>
      </c>
      <c r="E1022" s="0" t="s">
        <v>7275</v>
      </c>
      <c r="F1022" s="0" t="s">
        <v>7276</v>
      </c>
      <c r="G1022" s="0" t="s">
        <v>7267</v>
      </c>
    </row>
    <row r="1023" customFormat="false" ht="15" hidden="false" customHeight="false" outlineLevel="0" collapsed="false">
      <c r="A1023" s="0" t="s">
        <v>77</v>
      </c>
      <c r="B1023" s="0" t="n">
        <v>2021</v>
      </c>
      <c r="C1023" s="0" t="s">
        <v>73</v>
      </c>
      <c r="D1023" s="0" t="n">
        <v>0</v>
      </c>
      <c r="E1023" s="0" t="s">
        <v>7275</v>
      </c>
      <c r="F1023" s="0" t="s">
        <v>7276</v>
      </c>
      <c r="G1023" s="0" t="s">
        <v>7267</v>
      </c>
    </row>
    <row r="1024" customFormat="false" ht="15" hidden="false" customHeight="false" outlineLevel="0" collapsed="false">
      <c r="A1024" s="0" t="s">
        <v>77</v>
      </c>
      <c r="B1024" s="0" t="n">
        <v>2021</v>
      </c>
      <c r="C1024" s="0" t="s">
        <v>1804</v>
      </c>
      <c r="D1024" s="0" t="s">
        <v>7268</v>
      </c>
      <c r="E1024" s="0" t="s">
        <v>7275</v>
      </c>
      <c r="F1024" s="0" t="s">
        <v>7276</v>
      </c>
      <c r="G1024" s="0" t="s">
        <v>7267</v>
      </c>
    </row>
    <row r="1025" customFormat="false" ht="15" hidden="false" customHeight="false" outlineLevel="0" collapsed="false">
      <c r="A1025" s="0" t="s">
        <v>77</v>
      </c>
      <c r="B1025" s="0" t="n">
        <v>2022</v>
      </c>
      <c r="C1025" s="0" t="s">
        <v>54</v>
      </c>
      <c r="D1025" s="0" t="n">
        <v>166660</v>
      </c>
      <c r="E1025" s="0" t="s">
        <v>7275</v>
      </c>
      <c r="F1025" s="0" t="s">
        <v>7276</v>
      </c>
      <c r="G1025" s="0" t="s">
        <v>7267</v>
      </c>
    </row>
    <row r="1026" customFormat="false" ht="15" hidden="false" customHeight="false" outlineLevel="0" collapsed="false">
      <c r="A1026" s="0" t="s">
        <v>77</v>
      </c>
      <c r="B1026" s="0" t="n">
        <v>2022</v>
      </c>
      <c r="C1026" s="0" t="s">
        <v>1327</v>
      </c>
      <c r="D1026" s="0" t="n">
        <v>1125012</v>
      </c>
      <c r="E1026" s="0" t="s">
        <v>7275</v>
      </c>
      <c r="F1026" s="0" t="s">
        <v>7276</v>
      </c>
      <c r="G1026" s="0" t="s">
        <v>7267</v>
      </c>
    </row>
    <row r="1027" customFormat="false" ht="15" hidden="false" customHeight="false" outlineLevel="0" collapsed="false">
      <c r="A1027" s="0" t="s">
        <v>77</v>
      </c>
      <c r="B1027" s="0" t="n">
        <v>2022</v>
      </c>
      <c r="C1027" s="0" t="s">
        <v>55</v>
      </c>
      <c r="D1027" s="0" t="n">
        <v>12535280</v>
      </c>
      <c r="E1027" s="0" t="s">
        <v>7275</v>
      </c>
      <c r="F1027" s="0" t="s">
        <v>7276</v>
      </c>
      <c r="G1027" s="0" t="s">
        <v>7267</v>
      </c>
    </row>
    <row r="1028" customFormat="false" ht="15" hidden="false" customHeight="false" outlineLevel="0" collapsed="false">
      <c r="A1028" s="0" t="s">
        <v>77</v>
      </c>
      <c r="B1028" s="0" t="n">
        <v>2022</v>
      </c>
      <c r="C1028" s="0" t="s">
        <v>60</v>
      </c>
      <c r="D1028" s="0" t="n">
        <v>4149413</v>
      </c>
      <c r="E1028" s="0" t="s">
        <v>7275</v>
      </c>
      <c r="F1028" s="0" t="s">
        <v>7276</v>
      </c>
      <c r="G1028" s="0" t="s">
        <v>7267</v>
      </c>
    </row>
    <row r="1029" customFormat="false" ht="15" hidden="false" customHeight="false" outlineLevel="0" collapsed="false">
      <c r="A1029" s="0" t="s">
        <v>77</v>
      </c>
      <c r="B1029" s="0" t="n">
        <v>2022</v>
      </c>
      <c r="C1029" s="0" t="s">
        <v>61</v>
      </c>
      <c r="D1029" s="0" t="n">
        <v>65065</v>
      </c>
      <c r="E1029" s="0" t="s">
        <v>7275</v>
      </c>
      <c r="F1029" s="0" t="s">
        <v>7276</v>
      </c>
      <c r="G1029" s="0" t="s">
        <v>7267</v>
      </c>
    </row>
    <row r="1030" customFormat="false" ht="15" hidden="false" customHeight="false" outlineLevel="0" collapsed="false">
      <c r="A1030" s="0" t="s">
        <v>77</v>
      </c>
      <c r="B1030" s="0" t="n">
        <v>2022</v>
      </c>
      <c r="C1030" s="0" t="s">
        <v>63</v>
      </c>
      <c r="D1030" s="0" t="n">
        <v>118681</v>
      </c>
      <c r="E1030" s="0" t="s">
        <v>7275</v>
      </c>
      <c r="F1030" s="0" t="s">
        <v>7276</v>
      </c>
      <c r="G1030" s="0" t="s">
        <v>7267</v>
      </c>
    </row>
    <row r="1031" customFormat="false" ht="15" hidden="false" customHeight="false" outlineLevel="0" collapsed="false">
      <c r="A1031" s="0" t="s">
        <v>77</v>
      </c>
      <c r="B1031" s="0" t="n">
        <v>2022</v>
      </c>
      <c r="C1031" s="0" t="s">
        <v>327</v>
      </c>
      <c r="D1031" s="0" t="n">
        <v>1.92</v>
      </c>
      <c r="E1031" s="0" t="s">
        <v>7275</v>
      </c>
      <c r="F1031" s="0" t="s">
        <v>7276</v>
      </c>
      <c r="G1031" s="0" t="s">
        <v>7267</v>
      </c>
    </row>
    <row r="1032" customFormat="false" ht="15" hidden="false" customHeight="false" outlineLevel="0" collapsed="false">
      <c r="A1032" s="0" t="s">
        <v>77</v>
      </c>
      <c r="B1032" s="0" t="n">
        <v>2022</v>
      </c>
      <c r="C1032" s="0" t="s">
        <v>69</v>
      </c>
      <c r="D1032" s="0" t="n">
        <v>17.85</v>
      </c>
      <c r="E1032" s="0" t="s">
        <v>7275</v>
      </c>
      <c r="F1032" s="0" t="s">
        <v>7276</v>
      </c>
      <c r="G1032" s="0" t="s">
        <v>7267</v>
      </c>
    </row>
    <row r="1033" customFormat="false" ht="15" hidden="false" customHeight="false" outlineLevel="0" collapsed="false">
      <c r="A1033" s="0" t="s">
        <v>77</v>
      </c>
      <c r="B1033" s="0" t="n">
        <v>2022</v>
      </c>
      <c r="C1033" s="0" t="s">
        <v>73</v>
      </c>
      <c r="D1033" s="0" t="n">
        <v>0</v>
      </c>
      <c r="E1033" s="0" t="s">
        <v>7275</v>
      </c>
      <c r="F1033" s="0" t="s">
        <v>7276</v>
      </c>
      <c r="G1033" s="0" t="s">
        <v>7267</v>
      </c>
    </row>
    <row r="1034" customFormat="false" ht="15" hidden="false" customHeight="false" outlineLevel="0" collapsed="false">
      <c r="A1034" s="0" t="s">
        <v>77</v>
      </c>
      <c r="B1034" s="0" t="n">
        <v>2022</v>
      </c>
      <c r="C1034" s="0" t="s">
        <v>1804</v>
      </c>
      <c r="D1034" s="0" t="s">
        <v>7268</v>
      </c>
      <c r="E1034" s="0" t="s">
        <v>7275</v>
      </c>
      <c r="F1034" s="0" t="s">
        <v>7276</v>
      </c>
      <c r="G1034" s="0" t="s">
        <v>7267</v>
      </c>
    </row>
    <row r="1035" customFormat="false" ht="15" hidden="false" customHeight="false" outlineLevel="0" collapsed="false">
      <c r="A1035" s="0" t="s">
        <v>222</v>
      </c>
      <c r="B1035" s="0" t="n">
        <v>2015</v>
      </c>
      <c r="C1035" s="0" t="s">
        <v>54</v>
      </c>
      <c r="D1035" s="0" t="n">
        <v>98784</v>
      </c>
      <c r="E1035" s="0" t="s">
        <v>7275</v>
      </c>
      <c r="F1035" s="0" t="s">
        <v>7277</v>
      </c>
      <c r="G1035" s="0" t="s">
        <v>7267</v>
      </c>
    </row>
    <row r="1036" customFormat="false" ht="15" hidden="false" customHeight="false" outlineLevel="0" collapsed="false">
      <c r="A1036" s="0" t="s">
        <v>222</v>
      </c>
      <c r="B1036" s="0" t="n">
        <v>2015</v>
      </c>
      <c r="C1036" s="0" t="s">
        <v>1327</v>
      </c>
      <c r="D1036" s="0" t="n">
        <v>396653</v>
      </c>
      <c r="E1036" s="0" t="s">
        <v>7275</v>
      </c>
      <c r="F1036" s="0" t="s">
        <v>7277</v>
      </c>
      <c r="G1036" s="0" t="s">
        <v>7267</v>
      </c>
    </row>
    <row r="1037" customFormat="false" ht="15" hidden="false" customHeight="false" outlineLevel="0" collapsed="false">
      <c r="A1037" s="0" t="s">
        <v>222</v>
      </c>
      <c r="B1037" s="0" t="n">
        <v>2015</v>
      </c>
      <c r="C1037" s="0" t="s">
        <v>55</v>
      </c>
      <c r="D1037" s="0" t="n">
        <v>3750327</v>
      </c>
      <c r="E1037" s="0" t="s">
        <v>7275</v>
      </c>
      <c r="F1037" s="0" t="s">
        <v>7277</v>
      </c>
      <c r="G1037" s="0" t="s">
        <v>7267</v>
      </c>
    </row>
    <row r="1038" customFormat="false" ht="15" hidden="false" customHeight="false" outlineLevel="0" collapsed="false">
      <c r="A1038" s="0" t="s">
        <v>222</v>
      </c>
      <c r="B1038" s="0" t="n">
        <v>2015</v>
      </c>
      <c r="C1038" s="0" t="s">
        <v>60</v>
      </c>
      <c r="D1038" s="0" t="n">
        <v>1849225</v>
      </c>
      <c r="E1038" s="0" t="s">
        <v>7275</v>
      </c>
      <c r="F1038" s="0" t="s">
        <v>7277</v>
      </c>
      <c r="G1038" s="0" t="s">
        <v>7267</v>
      </c>
    </row>
    <row r="1039" customFormat="false" ht="15" hidden="false" customHeight="false" outlineLevel="0" collapsed="false">
      <c r="A1039" s="0" t="s">
        <v>222</v>
      </c>
      <c r="B1039" s="0" t="n">
        <v>2015</v>
      </c>
      <c r="C1039" s="0" t="s">
        <v>61</v>
      </c>
      <c r="D1039" s="0" t="n">
        <v>49433</v>
      </c>
      <c r="E1039" s="0" t="s">
        <v>7275</v>
      </c>
      <c r="F1039" s="0" t="s">
        <v>7277</v>
      </c>
      <c r="G1039" s="0" t="s">
        <v>7267</v>
      </c>
    </row>
    <row r="1040" customFormat="false" ht="15" hidden="false" customHeight="false" outlineLevel="0" collapsed="false">
      <c r="A1040" s="0" t="s">
        <v>222</v>
      </c>
      <c r="B1040" s="0" t="n">
        <v>2015</v>
      </c>
      <c r="C1040" s="0" t="s">
        <v>63</v>
      </c>
      <c r="D1040" s="0" t="n">
        <v>11091</v>
      </c>
      <c r="E1040" s="0" t="s">
        <v>7275</v>
      </c>
      <c r="F1040" s="0" t="s">
        <v>7277</v>
      </c>
      <c r="G1040" s="0" t="s">
        <v>7267</v>
      </c>
    </row>
    <row r="1041" customFormat="false" ht="15" hidden="false" customHeight="false" outlineLevel="0" collapsed="false">
      <c r="A1041" s="0" t="s">
        <v>222</v>
      </c>
      <c r="B1041" s="0" t="n">
        <v>2015</v>
      </c>
      <c r="C1041" s="0" t="s">
        <v>327</v>
      </c>
      <c r="D1041" s="0" t="n">
        <v>2.1</v>
      </c>
      <c r="E1041" s="0" t="s">
        <v>7275</v>
      </c>
      <c r="F1041" s="0" t="s">
        <v>7277</v>
      </c>
      <c r="G1041" s="0" t="s">
        <v>7267</v>
      </c>
    </row>
    <row r="1042" customFormat="false" ht="15" hidden="false" customHeight="false" outlineLevel="0" collapsed="false">
      <c r="A1042" s="0" t="s">
        <v>222</v>
      </c>
      <c r="B1042" s="0" t="n">
        <v>2015</v>
      </c>
      <c r="C1042" s="0" t="s">
        <v>69</v>
      </c>
      <c r="D1042" s="0" t="n">
        <v>21</v>
      </c>
      <c r="E1042" s="0" t="s">
        <v>7275</v>
      </c>
      <c r="F1042" s="0" t="s">
        <v>7277</v>
      </c>
      <c r="G1042" s="0" t="s">
        <v>7267</v>
      </c>
    </row>
    <row r="1043" customFormat="false" ht="15" hidden="false" customHeight="false" outlineLevel="0" collapsed="false">
      <c r="A1043" s="0" t="s">
        <v>222</v>
      </c>
      <c r="B1043" s="0" t="n">
        <v>2015</v>
      </c>
      <c r="C1043" s="0" t="s">
        <v>73</v>
      </c>
      <c r="D1043" s="0" t="n">
        <v>0</v>
      </c>
      <c r="E1043" s="0" t="s">
        <v>7275</v>
      </c>
      <c r="F1043" s="0" t="s">
        <v>7277</v>
      </c>
      <c r="G1043" s="0" t="s">
        <v>7267</v>
      </c>
    </row>
    <row r="1044" customFormat="false" ht="15" hidden="false" customHeight="false" outlineLevel="0" collapsed="false">
      <c r="A1044" s="0" t="s">
        <v>222</v>
      </c>
      <c r="B1044" s="0" t="n">
        <v>2015</v>
      </c>
      <c r="C1044" s="0" t="s">
        <v>1804</v>
      </c>
      <c r="D1044" s="0" t="s">
        <v>3392</v>
      </c>
      <c r="E1044" s="0" t="s">
        <v>7275</v>
      </c>
      <c r="F1044" s="0" t="s">
        <v>7277</v>
      </c>
      <c r="G1044" s="0" t="s">
        <v>7267</v>
      </c>
    </row>
    <row r="1045" customFormat="false" ht="15" hidden="false" customHeight="false" outlineLevel="0" collapsed="false">
      <c r="A1045" s="0" t="s">
        <v>222</v>
      </c>
      <c r="B1045" s="0" t="n">
        <v>2016</v>
      </c>
      <c r="C1045" s="0" t="s">
        <v>54</v>
      </c>
      <c r="D1045" s="0" t="n">
        <v>119285</v>
      </c>
      <c r="E1045" s="0" t="s">
        <v>7275</v>
      </c>
      <c r="F1045" s="0" t="s">
        <v>7277</v>
      </c>
      <c r="G1045" s="0" t="s">
        <v>7267</v>
      </c>
    </row>
    <row r="1046" customFormat="false" ht="15" hidden="false" customHeight="false" outlineLevel="0" collapsed="false">
      <c r="A1046" s="0" t="s">
        <v>222</v>
      </c>
      <c r="B1046" s="0" t="n">
        <v>2016</v>
      </c>
      <c r="C1046" s="0" t="s">
        <v>1327</v>
      </c>
      <c r="D1046" s="0" t="n">
        <v>454808</v>
      </c>
      <c r="E1046" s="0" t="s">
        <v>7275</v>
      </c>
      <c r="F1046" s="0" t="s">
        <v>7277</v>
      </c>
      <c r="G1046" s="0" t="s">
        <v>7267</v>
      </c>
    </row>
    <row r="1047" customFormat="false" ht="15" hidden="false" customHeight="false" outlineLevel="0" collapsed="false">
      <c r="A1047" s="0" t="s">
        <v>222</v>
      </c>
      <c r="B1047" s="0" t="n">
        <v>2016</v>
      </c>
      <c r="C1047" s="0" t="s">
        <v>55</v>
      </c>
      <c r="D1047" s="0" t="n">
        <v>4283736</v>
      </c>
      <c r="E1047" s="0" t="s">
        <v>7275</v>
      </c>
      <c r="F1047" s="0" t="s">
        <v>7277</v>
      </c>
      <c r="G1047" s="0" t="s">
        <v>7267</v>
      </c>
    </row>
    <row r="1048" customFormat="false" ht="15" hidden="false" customHeight="false" outlineLevel="0" collapsed="false">
      <c r="A1048" s="0" t="s">
        <v>222</v>
      </c>
      <c r="B1048" s="0" t="n">
        <v>2016</v>
      </c>
      <c r="C1048" s="0" t="s">
        <v>60</v>
      </c>
      <c r="D1048" s="0" t="n">
        <v>2193224</v>
      </c>
      <c r="E1048" s="0" t="s">
        <v>7275</v>
      </c>
      <c r="F1048" s="0" t="s">
        <v>7277</v>
      </c>
      <c r="G1048" s="0" t="s">
        <v>7267</v>
      </c>
    </row>
    <row r="1049" customFormat="false" ht="15" hidden="false" customHeight="false" outlineLevel="0" collapsed="false">
      <c r="A1049" s="0" t="s">
        <v>222</v>
      </c>
      <c r="B1049" s="0" t="n">
        <v>2016</v>
      </c>
      <c r="C1049" s="0" t="s">
        <v>61</v>
      </c>
      <c r="D1049" s="0" t="n">
        <v>55092</v>
      </c>
      <c r="E1049" s="0" t="s">
        <v>7275</v>
      </c>
      <c r="F1049" s="0" t="s">
        <v>7277</v>
      </c>
      <c r="G1049" s="0" t="s">
        <v>7267</v>
      </c>
    </row>
    <row r="1050" customFormat="false" ht="15" hidden="false" customHeight="false" outlineLevel="0" collapsed="false">
      <c r="A1050" s="0" t="s">
        <v>222</v>
      </c>
      <c r="B1050" s="0" t="n">
        <v>2016</v>
      </c>
      <c r="C1050" s="0" t="s">
        <v>63</v>
      </c>
      <c r="D1050" s="0" t="n">
        <v>26295</v>
      </c>
      <c r="E1050" s="0" t="s">
        <v>7275</v>
      </c>
      <c r="F1050" s="0" t="s">
        <v>7277</v>
      </c>
      <c r="G1050" s="0" t="s">
        <v>7267</v>
      </c>
    </row>
    <row r="1051" customFormat="false" ht="15" hidden="false" customHeight="false" outlineLevel="0" collapsed="false">
      <c r="A1051" s="0" t="s">
        <v>222</v>
      </c>
      <c r="B1051" s="0" t="n">
        <v>2016</v>
      </c>
      <c r="C1051" s="0" t="s">
        <v>327</v>
      </c>
      <c r="D1051" s="0" t="n">
        <v>2.63</v>
      </c>
      <c r="E1051" s="0" t="s">
        <v>7275</v>
      </c>
      <c r="F1051" s="0" t="s">
        <v>7277</v>
      </c>
      <c r="G1051" s="0" t="s">
        <v>7267</v>
      </c>
    </row>
    <row r="1052" customFormat="false" ht="15" hidden="false" customHeight="false" outlineLevel="0" collapsed="false">
      <c r="A1052" s="0" t="s">
        <v>222</v>
      </c>
      <c r="B1052" s="0" t="n">
        <v>2016</v>
      </c>
      <c r="C1052" s="0" t="s">
        <v>69</v>
      </c>
      <c r="D1052" s="0" t="n">
        <v>22</v>
      </c>
      <c r="E1052" s="0" t="s">
        <v>7275</v>
      </c>
      <c r="F1052" s="0" t="s">
        <v>7277</v>
      </c>
      <c r="G1052" s="0" t="s">
        <v>7267</v>
      </c>
    </row>
    <row r="1053" customFormat="false" ht="15" hidden="false" customHeight="false" outlineLevel="0" collapsed="false">
      <c r="A1053" s="0" t="s">
        <v>222</v>
      </c>
      <c r="B1053" s="0" t="n">
        <v>2016</v>
      </c>
      <c r="C1053" s="0" t="s">
        <v>73</v>
      </c>
      <c r="D1053" s="0" t="n">
        <v>0</v>
      </c>
      <c r="E1053" s="0" t="s">
        <v>7275</v>
      </c>
      <c r="F1053" s="0" t="s">
        <v>7277</v>
      </c>
      <c r="G1053" s="0" t="s">
        <v>7267</v>
      </c>
    </row>
    <row r="1054" customFormat="false" ht="15" hidden="false" customHeight="false" outlineLevel="0" collapsed="false">
      <c r="A1054" s="0" t="s">
        <v>222</v>
      </c>
      <c r="B1054" s="0" t="n">
        <v>2016</v>
      </c>
      <c r="C1054" s="0" t="s">
        <v>1804</v>
      </c>
      <c r="D1054" s="0" t="s">
        <v>3392</v>
      </c>
      <c r="E1054" s="0" t="s">
        <v>7275</v>
      </c>
      <c r="F1054" s="0" t="s">
        <v>7277</v>
      </c>
      <c r="G1054" s="0" t="s">
        <v>7267</v>
      </c>
    </row>
    <row r="1055" customFormat="false" ht="15" hidden="false" customHeight="false" outlineLevel="0" collapsed="false">
      <c r="A1055" s="0" t="s">
        <v>222</v>
      </c>
      <c r="B1055" s="0" t="n">
        <v>2017</v>
      </c>
      <c r="C1055" s="0" t="s">
        <v>54</v>
      </c>
      <c r="D1055" s="0" t="n">
        <v>157145</v>
      </c>
      <c r="E1055" s="0" t="s">
        <v>7275</v>
      </c>
      <c r="F1055" s="0" t="s">
        <v>7277</v>
      </c>
      <c r="G1055" s="0" t="s">
        <v>7267</v>
      </c>
    </row>
    <row r="1056" customFormat="false" ht="15" hidden="false" customHeight="false" outlineLevel="0" collapsed="false">
      <c r="A1056" s="0" t="s">
        <v>222</v>
      </c>
      <c r="B1056" s="0" t="n">
        <v>2017</v>
      </c>
      <c r="C1056" s="0" t="s">
        <v>1327</v>
      </c>
      <c r="D1056" s="0" t="n">
        <v>673636</v>
      </c>
      <c r="E1056" s="0" t="s">
        <v>7275</v>
      </c>
      <c r="F1056" s="0" t="s">
        <v>7277</v>
      </c>
      <c r="G1056" s="0" t="s">
        <v>7267</v>
      </c>
    </row>
    <row r="1057" customFormat="false" ht="15" hidden="false" customHeight="false" outlineLevel="0" collapsed="false">
      <c r="A1057" s="0" t="s">
        <v>222</v>
      </c>
      <c r="B1057" s="0" t="n">
        <v>2017</v>
      </c>
      <c r="C1057" s="0" t="s">
        <v>55</v>
      </c>
      <c r="D1057" s="0" t="n">
        <v>4833658</v>
      </c>
      <c r="E1057" s="0" t="s">
        <v>7275</v>
      </c>
      <c r="F1057" s="0" t="s">
        <v>7277</v>
      </c>
      <c r="G1057" s="0" t="s">
        <v>7267</v>
      </c>
    </row>
    <row r="1058" customFormat="false" ht="15" hidden="false" customHeight="false" outlineLevel="0" collapsed="false">
      <c r="A1058" s="0" t="s">
        <v>222</v>
      </c>
      <c r="B1058" s="0" t="n">
        <v>2017</v>
      </c>
      <c r="C1058" s="0" t="s">
        <v>60</v>
      </c>
      <c r="D1058" s="0" t="n">
        <v>2117069</v>
      </c>
      <c r="E1058" s="0" t="s">
        <v>7275</v>
      </c>
      <c r="F1058" s="0" t="s">
        <v>7277</v>
      </c>
      <c r="G1058" s="0" t="s">
        <v>7267</v>
      </c>
    </row>
    <row r="1059" customFormat="false" ht="15" hidden="false" customHeight="false" outlineLevel="0" collapsed="false">
      <c r="A1059" s="0" t="s">
        <v>222</v>
      </c>
      <c r="B1059" s="0" t="n">
        <v>2017</v>
      </c>
      <c r="C1059" s="0" t="s">
        <v>61</v>
      </c>
      <c r="D1059" s="0" t="n">
        <v>136605</v>
      </c>
      <c r="E1059" s="0" t="s">
        <v>7275</v>
      </c>
      <c r="F1059" s="0" t="s">
        <v>7277</v>
      </c>
      <c r="G1059" s="0" t="s">
        <v>7267</v>
      </c>
    </row>
    <row r="1060" customFormat="false" ht="15" hidden="false" customHeight="false" outlineLevel="0" collapsed="false">
      <c r="A1060" s="0" t="s">
        <v>222</v>
      </c>
      <c r="B1060" s="0" t="n">
        <v>2017</v>
      </c>
      <c r="C1060" s="0" t="s">
        <v>63</v>
      </c>
      <c r="D1060" s="0" t="n">
        <v>95244</v>
      </c>
      <c r="E1060" s="0" t="s">
        <v>7275</v>
      </c>
      <c r="F1060" s="0" t="s">
        <v>7277</v>
      </c>
      <c r="G1060" s="0" t="s">
        <v>7267</v>
      </c>
    </row>
    <row r="1061" customFormat="false" ht="15" hidden="false" customHeight="false" outlineLevel="0" collapsed="false">
      <c r="A1061" s="0" t="s">
        <v>222</v>
      </c>
      <c r="B1061" s="0" t="n">
        <v>2017</v>
      </c>
      <c r="C1061" s="0" t="s">
        <v>327</v>
      </c>
      <c r="D1061" s="0" t="n">
        <v>4.33</v>
      </c>
      <c r="E1061" s="0" t="s">
        <v>7275</v>
      </c>
      <c r="F1061" s="0" t="s">
        <v>7277</v>
      </c>
      <c r="G1061" s="0" t="s">
        <v>7267</v>
      </c>
    </row>
    <row r="1062" customFormat="false" ht="15" hidden="false" customHeight="false" outlineLevel="0" collapsed="false">
      <c r="A1062" s="0" t="s">
        <v>222</v>
      </c>
      <c r="B1062" s="0" t="n">
        <v>2017</v>
      </c>
      <c r="C1062" s="0" t="s">
        <v>69</v>
      </c>
      <c r="D1062" s="0" t="n">
        <v>24</v>
      </c>
      <c r="E1062" s="0" t="s">
        <v>7275</v>
      </c>
      <c r="F1062" s="0" t="s">
        <v>7277</v>
      </c>
      <c r="G1062" s="0" t="s">
        <v>7267</v>
      </c>
    </row>
    <row r="1063" customFormat="false" ht="15" hidden="false" customHeight="false" outlineLevel="0" collapsed="false">
      <c r="A1063" s="0" t="s">
        <v>222</v>
      </c>
      <c r="B1063" s="0" t="n">
        <v>2017</v>
      </c>
      <c r="C1063" s="0" t="s">
        <v>73</v>
      </c>
      <c r="D1063" s="0" t="n">
        <v>0</v>
      </c>
      <c r="E1063" s="0" t="s">
        <v>7275</v>
      </c>
      <c r="F1063" s="0" t="s">
        <v>7277</v>
      </c>
      <c r="G1063" s="0" t="s">
        <v>7267</v>
      </c>
    </row>
    <row r="1064" customFormat="false" ht="15" hidden="false" customHeight="false" outlineLevel="0" collapsed="false">
      <c r="A1064" s="0" t="s">
        <v>222</v>
      </c>
      <c r="B1064" s="0" t="n">
        <v>2017</v>
      </c>
      <c r="C1064" s="0" t="s">
        <v>1804</v>
      </c>
      <c r="D1064" s="0" t="s">
        <v>3392</v>
      </c>
      <c r="E1064" s="0" t="s">
        <v>7275</v>
      </c>
      <c r="F1064" s="0" t="s">
        <v>7277</v>
      </c>
      <c r="G1064" s="0" t="s">
        <v>7267</v>
      </c>
    </row>
    <row r="1065" customFormat="false" ht="15" hidden="false" customHeight="false" outlineLevel="0" collapsed="false">
      <c r="A1065" s="0" t="s">
        <v>222</v>
      </c>
      <c r="B1065" s="0" t="n">
        <v>2018</v>
      </c>
      <c r="C1065" s="0" t="s">
        <v>54</v>
      </c>
      <c r="D1065" s="0" t="n">
        <v>160454</v>
      </c>
      <c r="E1065" s="0" t="s">
        <v>7275</v>
      </c>
      <c r="F1065" s="0" t="s">
        <v>7277</v>
      </c>
      <c r="G1065" s="0" t="s">
        <v>7267</v>
      </c>
    </row>
    <row r="1066" customFormat="false" ht="15" hidden="false" customHeight="false" outlineLevel="0" collapsed="false">
      <c r="A1066" s="0" t="s">
        <v>222</v>
      </c>
      <c r="B1066" s="0" t="n">
        <v>2018</v>
      </c>
      <c r="C1066" s="0" t="s">
        <v>1327</v>
      </c>
      <c r="D1066" s="0" t="n">
        <v>531580</v>
      </c>
      <c r="E1066" s="0" t="s">
        <v>7275</v>
      </c>
      <c r="F1066" s="0" t="s">
        <v>7277</v>
      </c>
      <c r="G1066" s="0" t="s">
        <v>7267</v>
      </c>
    </row>
    <row r="1067" customFormat="false" ht="15" hidden="false" customHeight="false" outlineLevel="0" collapsed="false">
      <c r="A1067" s="0" t="s">
        <v>222</v>
      </c>
      <c r="B1067" s="0" t="n">
        <v>2018</v>
      </c>
      <c r="C1067" s="0" t="s">
        <v>55</v>
      </c>
      <c r="D1067" s="0" t="n">
        <v>4981855</v>
      </c>
      <c r="E1067" s="0" t="s">
        <v>7275</v>
      </c>
      <c r="F1067" s="0" t="s">
        <v>7277</v>
      </c>
      <c r="G1067" s="0" t="s">
        <v>7267</v>
      </c>
    </row>
    <row r="1068" customFormat="false" ht="15" hidden="false" customHeight="false" outlineLevel="0" collapsed="false">
      <c r="A1068" s="0" t="s">
        <v>222</v>
      </c>
      <c r="B1068" s="0" t="n">
        <v>2018</v>
      </c>
      <c r="C1068" s="0" t="s">
        <v>60</v>
      </c>
      <c r="D1068" s="0" t="n">
        <v>1823126</v>
      </c>
      <c r="E1068" s="0" t="s">
        <v>7275</v>
      </c>
      <c r="F1068" s="0" t="s">
        <v>7277</v>
      </c>
      <c r="G1068" s="0" t="s">
        <v>7267</v>
      </c>
    </row>
    <row r="1069" customFormat="false" ht="15" hidden="false" customHeight="false" outlineLevel="0" collapsed="false">
      <c r="A1069" s="0" t="s">
        <v>222</v>
      </c>
      <c r="B1069" s="0" t="n">
        <v>2018</v>
      </c>
      <c r="C1069" s="0" t="s">
        <v>61</v>
      </c>
      <c r="D1069" s="0" t="n">
        <v>144502</v>
      </c>
      <c r="E1069" s="0" t="s">
        <v>7275</v>
      </c>
      <c r="F1069" s="0" t="s">
        <v>7277</v>
      </c>
      <c r="G1069" s="0" t="s">
        <v>7267</v>
      </c>
    </row>
    <row r="1070" customFormat="false" ht="15" hidden="false" customHeight="false" outlineLevel="0" collapsed="false">
      <c r="A1070" s="0" t="s">
        <v>222</v>
      </c>
      <c r="B1070" s="0" t="n">
        <v>2018</v>
      </c>
      <c r="C1070" s="0" t="s">
        <v>63</v>
      </c>
      <c r="D1070" s="0" t="n">
        <v>15705</v>
      </c>
      <c r="E1070" s="0" t="s">
        <v>7275</v>
      </c>
      <c r="F1070" s="0" t="s">
        <v>7277</v>
      </c>
      <c r="G1070" s="0" t="s">
        <v>7267</v>
      </c>
    </row>
    <row r="1071" customFormat="false" ht="15" hidden="false" customHeight="false" outlineLevel="0" collapsed="false">
      <c r="A1071" s="0" t="s">
        <v>222</v>
      </c>
      <c r="B1071" s="0" t="n">
        <v>2018</v>
      </c>
      <c r="C1071" s="0" t="s">
        <v>327</v>
      </c>
      <c r="D1071" s="0" t="n">
        <v>4.98</v>
      </c>
      <c r="E1071" s="0" t="s">
        <v>7275</v>
      </c>
      <c r="F1071" s="0" t="s">
        <v>7277</v>
      </c>
      <c r="G1071" s="0" t="s">
        <v>7267</v>
      </c>
    </row>
    <row r="1072" customFormat="false" ht="15" hidden="false" customHeight="false" outlineLevel="0" collapsed="false">
      <c r="A1072" s="0" t="s">
        <v>222</v>
      </c>
      <c r="B1072" s="0" t="n">
        <v>2018</v>
      </c>
      <c r="C1072" s="0" t="s">
        <v>69</v>
      </c>
      <c r="D1072" s="0" t="n">
        <v>25</v>
      </c>
      <c r="E1072" s="0" t="s">
        <v>7275</v>
      </c>
      <c r="F1072" s="0" t="s">
        <v>7277</v>
      </c>
      <c r="G1072" s="0" t="s">
        <v>7267</v>
      </c>
    </row>
    <row r="1073" customFormat="false" ht="15" hidden="false" customHeight="false" outlineLevel="0" collapsed="false">
      <c r="A1073" s="0" t="s">
        <v>222</v>
      </c>
      <c r="B1073" s="0" t="n">
        <v>2018</v>
      </c>
      <c r="C1073" s="0" t="s">
        <v>73</v>
      </c>
      <c r="D1073" s="0" t="n">
        <v>0</v>
      </c>
      <c r="E1073" s="0" t="s">
        <v>7275</v>
      </c>
      <c r="F1073" s="0" t="s">
        <v>7277</v>
      </c>
      <c r="G1073" s="0" t="s">
        <v>7267</v>
      </c>
    </row>
    <row r="1074" customFormat="false" ht="15" hidden="false" customHeight="false" outlineLevel="0" collapsed="false">
      <c r="A1074" s="0" t="s">
        <v>222</v>
      </c>
      <c r="B1074" s="0" t="n">
        <v>2018</v>
      </c>
      <c r="C1074" s="0" t="s">
        <v>1804</v>
      </c>
      <c r="D1074" s="0" t="s">
        <v>3392</v>
      </c>
      <c r="E1074" s="0" t="s">
        <v>7275</v>
      </c>
      <c r="F1074" s="0" t="s">
        <v>7277</v>
      </c>
      <c r="G1074" s="0" t="s">
        <v>7267</v>
      </c>
    </row>
    <row r="1075" customFormat="false" ht="15" hidden="false" customHeight="false" outlineLevel="0" collapsed="false">
      <c r="A1075" s="0" t="s">
        <v>222</v>
      </c>
      <c r="B1075" s="0" t="n">
        <v>2019</v>
      </c>
      <c r="C1075" s="0" t="s">
        <v>54</v>
      </c>
      <c r="D1075" s="0" t="n">
        <v>178003</v>
      </c>
      <c r="E1075" s="0" t="s">
        <v>7275</v>
      </c>
      <c r="F1075" s="0" t="s">
        <v>7277</v>
      </c>
      <c r="G1075" s="0" t="s">
        <v>7267</v>
      </c>
    </row>
    <row r="1076" customFormat="false" ht="15" hidden="false" customHeight="false" outlineLevel="0" collapsed="false">
      <c r="A1076" s="0" t="s">
        <v>222</v>
      </c>
      <c r="B1076" s="0" t="n">
        <v>2019</v>
      </c>
      <c r="C1076" s="0" t="s">
        <v>1327</v>
      </c>
      <c r="D1076" s="0" t="n">
        <v>564687</v>
      </c>
      <c r="E1076" s="0" t="s">
        <v>7275</v>
      </c>
      <c r="F1076" s="0" t="s">
        <v>7277</v>
      </c>
      <c r="G1076" s="0" t="s">
        <v>7267</v>
      </c>
    </row>
    <row r="1077" customFormat="false" ht="15" hidden="false" customHeight="false" outlineLevel="0" collapsed="false">
      <c r="A1077" s="0" t="s">
        <v>222</v>
      </c>
      <c r="B1077" s="0" t="n">
        <v>2019</v>
      </c>
      <c r="C1077" s="0" t="s">
        <v>55</v>
      </c>
      <c r="D1077" s="0" t="n">
        <v>5435073</v>
      </c>
      <c r="E1077" s="0" t="s">
        <v>7275</v>
      </c>
      <c r="F1077" s="0" t="s">
        <v>7277</v>
      </c>
      <c r="G1077" s="0" t="s">
        <v>7267</v>
      </c>
    </row>
    <row r="1078" customFormat="false" ht="15" hidden="false" customHeight="false" outlineLevel="0" collapsed="false">
      <c r="A1078" s="0" t="s">
        <v>222</v>
      </c>
      <c r="B1078" s="0" t="n">
        <v>2019</v>
      </c>
      <c r="C1078" s="0" t="s">
        <v>60</v>
      </c>
      <c r="D1078" s="0" t="n">
        <v>2239472</v>
      </c>
      <c r="E1078" s="0" t="s">
        <v>7275</v>
      </c>
      <c r="F1078" s="0" t="s">
        <v>7277</v>
      </c>
      <c r="G1078" s="0" t="s">
        <v>7267</v>
      </c>
    </row>
    <row r="1079" customFormat="false" ht="15" hidden="false" customHeight="false" outlineLevel="0" collapsed="false">
      <c r="A1079" s="0" t="s">
        <v>222</v>
      </c>
      <c r="B1079" s="0" t="n">
        <v>2019</v>
      </c>
      <c r="C1079" s="0" t="s">
        <v>61</v>
      </c>
      <c r="D1079" s="0" t="n">
        <v>137745</v>
      </c>
      <c r="E1079" s="0" t="s">
        <v>7275</v>
      </c>
      <c r="F1079" s="0" t="s">
        <v>7277</v>
      </c>
      <c r="G1079" s="0" t="s">
        <v>7267</v>
      </c>
    </row>
    <row r="1080" customFormat="false" ht="15" hidden="false" customHeight="false" outlineLevel="0" collapsed="false">
      <c r="A1080" s="0" t="s">
        <v>222</v>
      </c>
      <c r="B1080" s="0" t="n">
        <v>2019</v>
      </c>
      <c r="C1080" s="0" t="s">
        <v>63</v>
      </c>
      <c r="D1080" s="0" t="n">
        <v>23393</v>
      </c>
      <c r="E1080" s="0" t="s">
        <v>7275</v>
      </c>
      <c r="F1080" s="0" t="s">
        <v>7277</v>
      </c>
      <c r="G1080" s="0" t="s">
        <v>7267</v>
      </c>
    </row>
    <row r="1081" customFormat="false" ht="15" hidden="false" customHeight="false" outlineLevel="0" collapsed="false">
      <c r="A1081" s="0" t="s">
        <v>222</v>
      </c>
      <c r="B1081" s="0" t="n">
        <v>2019</v>
      </c>
      <c r="C1081" s="0" t="s">
        <v>327</v>
      </c>
      <c r="D1081" s="0" t="n">
        <v>4.3</v>
      </c>
      <c r="E1081" s="0" t="s">
        <v>7275</v>
      </c>
      <c r="F1081" s="0" t="s">
        <v>7277</v>
      </c>
      <c r="G1081" s="0" t="s">
        <v>7267</v>
      </c>
    </row>
    <row r="1082" customFormat="false" ht="15" hidden="false" customHeight="false" outlineLevel="0" collapsed="false">
      <c r="A1082" s="0" t="s">
        <v>222</v>
      </c>
      <c r="B1082" s="0" t="n">
        <v>2019</v>
      </c>
      <c r="C1082" s="0" t="s">
        <v>69</v>
      </c>
      <c r="D1082" s="0" t="n">
        <v>22</v>
      </c>
      <c r="E1082" s="0" t="s">
        <v>7275</v>
      </c>
      <c r="F1082" s="0" t="s">
        <v>7277</v>
      </c>
      <c r="G1082" s="0" t="s">
        <v>7267</v>
      </c>
    </row>
    <row r="1083" customFormat="false" ht="15" hidden="false" customHeight="false" outlineLevel="0" collapsed="false">
      <c r="A1083" s="0" t="s">
        <v>222</v>
      </c>
      <c r="B1083" s="0" t="n">
        <v>2019</v>
      </c>
      <c r="C1083" s="0" t="s">
        <v>73</v>
      </c>
      <c r="D1083" s="0" t="n">
        <v>0</v>
      </c>
      <c r="E1083" s="0" t="s">
        <v>7275</v>
      </c>
      <c r="F1083" s="0" t="s">
        <v>7277</v>
      </c>
      <c r="G1083" s="0" t="s">
        <v>7267</v>
      </c>
    </row>
    <row r="1084" customFormat="false" ht="15" hidden="false" customHeight="false" outlineLevel="0" collapsed="false">
      <c r="A1084" s="0" t="s">
        <v>222</v>
      </c>
      <c r="B1084" s="0" t="n">
        <v>2019</v>
      </c>
      <c r="C1084" s="0" t="s">
        <v>1804</v>
      </c>
      <c r="D1084" s="0" t="s">
        <v>3392</v>
      </c>
      <c r="E1084" s="0" t="s">
        <v>7275</v>
      </c>
      <c r="F1084" s="0" t="s">
        <v>7277</v>
      </c>
      <c r="G1084" s="0" t="s">
        <v>7267</v>
      </c>
    </row>
    <row r="1085" customFormat="false" ht="15" hidden="false" customHeight="false" outlineLevel="0" collapsed="false">
      <c r="A1085" s="0" t="s">
        <v>222</v>
      </c>
      <c r="B1085" s="0" t="n">
        <v>2020</v>
      </c>
      <c r="C1085" s="0" t="s">
        <v>54</v>
      </c>
      <c r="D1085" s="0" t="n">
        <v>197852</v>
      </c>
      <c r="E1085" s="0" t="s">
        <v>7275</v>
      </c>
      <c r="F1085" s="0" t="s">
        <v>7277</v>
      </c>
      <c r="G1085" s="0" t="s">
        <v>7267</v>
      </c>
    </row>
    <row r="1086" customFormat="false" ht="15" hidden="false" customHeight="false" outlineLevel="0" collapsed="false">
      <c r="A1086" s="0" t="s">
        <v>222</v>
      </c>
      <c r="B1086" s="0" t="n">
        <v>2020</v>
      </c>
      <c r="C1086" s="0" t="s">
        <v>1327</v>
      </c>
      <c r="D1086" s="0" t="n">
        <v>595921</v>
      </c>
      <c r="E1086" s="0" t="s">
        <v>7275</v>
      </c>
      <c r="F1086" s="0" t="s">
        <v>7277</v>
      </c>
      <c r="G1086" s="0" t="s">
        <v>7267</v>
      </c>
    </row>
    <row r="1087" customFormat="false" ht="15" hidden="false" customHeight="false" outlineLevel="0" collapsed="false">
      <c r="A1087" s="0" t="s">
        <v>222</v>
      </c>
      <c r="B1087" s="0" t="n">
        <v>2020</v>
      </c>
      <c r="C1087" s="0" t="s">
        <v>55</v>
      </c>
      <c r="D1087" s="0" t="n">
        <v>7124987</v>
      </c>
      <c r="E1087" s="0" t="s">
        <v>7275</v>
      </c>
      <c r="F1087" s="0" t="s">
        <v>7277</v>
      </c>
      <c r="G1087" s="0" t="s">
        <v>7267</v>
      </c>
    </row>
    <row r="1088" customFormat="false" ht="15" hidden="false" customHeight="false" outlineLevel="0" collapsed="false">
      <c r="A1088" s="0" t="s">
        <v>222</v>
      </c>
      <c r="B1088" s="0" t="n">
        <v>2020</v>
      </c>
      <c r="C1088" s="0" t="s">
        <v>60</v>
      </c>
      <c r="D1088" s="0" t="n">
        <v>2639797</v>
      </c>
      <c r="E1088" s="0" t="s">
        <v>7275</v>
      </c>
      <c r="F1088" s="0" t="s">
        <v>7277</v>
      </c>
      <c r="G1088" s="0" t="s">
        <v>7267</v>
      </c>
    </row>
    <row r="1089" customFormat="false" ht="15" hidden="false" customHeight="false" outlineLevel="0" collapsed="false">
      <c r="A1089" s="0" t="s">
        <v>222</v>
      </c>
      <c r="B1089" s="0" t="n">
        <v>2020</v>
      </c>
      <c r="C1089" s="0" t="s">
        <v>61</v>
      </c>
      <c r="D1089" s="0" t="n">
        <v>161585</v>
      </c>
      <c r="E1089" s="0" t="s">
        <v>7275</v>
      </c>
      <c r="F1089" s="0" t="s">
        <v>7277</v>
      </c>
      <c r="G1089" s="0" t="s">
        <v>7267</v>
      </c>
    </row>
    <row r="1090" customFormat="false" ht="15" hidden="false" customHeight="false" outlineLevel="0" collapsed="false">
      <c r="A1090" s="0" t="s">
        <v>222</v>
      </c>
      <c r="B1090" s="0" t="n">
        <v>2020</v>
      </c>
      <c r="C1090" s="0" t="s">
        <v>63</v>
      </c>
      <c r="D1090" s="0" t="n">
        <v>37237</v>
      </c>
      <c r="E1090" s="0" t="s">
        <v>7275</v>
      </c>
      <c r="F1090" s="0" t="s">
        <v>7277</v>
      </c>
      <c r="G1090" s="0" t="s">
        <v>7267</v>
      </c>
    </row>
    <row r="1091" customFormat="false" ht="15" hidden="false" customHeight="false" outlineLevel="0" collapsed="false">
      <c r="A1091" s="0" t="s">
        <v>222</v>
      </c>
      <c r="B1091" s="0" t="n">
        <v>2020</v>
      </c>
      <c r="C1091" s="0" t="s">
        <v>327</v>
      </c>
      <c r="D1091" s="0" t="n">
        <v>4.29</v>
      </c>
      <c r="E1091" s="0" t="s">
        <v>7275</v>
      </c>
      <c r="F1091" s="0" t="s">
        <v>7277</v>
      </c>
      <c r="G1091" s="0" t="s">
        <v>7267</v>
      </c>
    </row>
    <row r="1092" customFormat="false" ht="15" hidden="false" customHeight="false" outlineLevel="0" collapsed="false">
      <c r="A1092" s="0" t="s">
        <v>222</v>
      </c>
      <c r="B1092" s="0" t="n">
        <v>2020</v>
      </c>
      <c r="C1092" s="0" t="s">
        <v>69</v>
      </c>
      <c r="D1092" s="0" t="n">
        <v>21.1</v>
      </c>
      <c r="E1092" s="0" t="s">
        <v>7275</v>
      </c>
      <c r="F1092" s="0" t="s">
        <v>7277</v>
      </c>
      <c r="G1092" s="0" t="s">
        <v>7267</v>
      </c>
    </row>
    <row r="1093" customFormat="false" ht="15" hidden="false" customHeight="false" outlineLevel="0" collapsed="false">
      <c r="A1093" s="0" t="s">
        <v>222</v>
      </c>
      <c r="B1093" s="0" t="n">
        <v>2020</v>
      </c>
      <c r="C1093" s="0" t="s">
        <v>73</v>
      </c>
      <c r="D1093" s="0" t="n">
        <v>0</v>
      </c>
      <c r="E1093" s="0" t="s">
        <v>7275</v>
      </c>
      <c r="F1093" s="0" t="s">
        <v>7277</v>
      </c>
      <c r="G1093" s="0" t="s">
        <v>7267</v>
      </c>
    </row>
    <row r="1094" customFormat="false" ht="15" hidden="false" customHeight="false" outlineLevel="0" collapsed="false">
      <c r="A1094" s="0" t="s">
        <v>222</v>
      </c>
      <c r="B1094" s="0" t="n">
        <v>2020</v>
      </c>
      <c r="C1094" s="0" t="s">
        <v>1804</v>
      </c>
      <c r="D1094" s="0" t="s">
        <v>7268</v>
      </c>
      <c r="E1094" s="0" t="s">
        <v>7275</v>
      </c>
      <c r="F1094" s="0" t="s">
        <v>7277</v>
      </c>
      <c r="G1094" s="0" t="s">
        <v>7267</v>
      </c>
    </row>
    <row r="1095" customFormat="false" ht="15" hidden="false" customHeight="false" outlineLevel="0" collapsed="false">
      <c r="A1095" s="0" t="s">
        <v>222</v>
      </c>
      <c r="B1095" s="0" t="n">
        <v>2021</v>
      </c>
      <c r="C1095" s="0" t="s">
        <v>54</v>
      </c>
      <c r="D1095" s="0" t="n">
        <v>233133</v>
      </c>
      <c r="E1095" s="0" t="s">
        <v>7275</v>
      </c>
      <c r="F1095" s="0" t="s">
        <v>7277</v>
      </c>
      <c r="G1095" s="0" t="s">
        <v>7267</v>
      </c>
    </row>
    <row r="1096" customFormat="false" ht="15" hidden="false" customHeight="false" outlineLevel="0" collapsed="false">
      <c r="A1096" s="0" t="s">
        <v>222</v>
      </c>
      <c r="B1096" s="0" t="n">
        <v>2021</v>
      </c>
      <c r="C1096" s="0" t="s">
        <v>1327</v>
      </c>
      <c r="D1096" s="0" t="n">
        <v>677283</v>
      </c>
      <c r="E1096" s="0" t="s">
        <v>7275</v>
      </c>
      <c r="F1096" s="0" t="s">
        <v>7277</v>
      </c>
      <c r="G1096" s="0" t="s">
        <v>7267</v>
      </c>
    </row>
    <row r="1097" customFormat="false" ht="15" hidden="false" customHeight="false" outlineLevel="0" collapsed="false">
      <c r="A1097" s="0" t="s">
        <v>222</v>
      </c>
      <c r="B1097" s="0" t="n">
        <v>2021</v>
      </c>
      <c r="C1097" s="0" t="s">
        <v>55</v>
      </c>
      <c r="D1097" s="0" t="n">
        <v>7872292</v>
      </c>
      <c r="E1097" s="0" t="s">
        <v>7275</v>
      </c>
      <c r="F1097" s="0" t="s">
        <v>7277</v>
      </c>
      <c r="G1097" s="0" t="s">
        <v>7267</v>
      </c>
    </row>
    <row r="1098" customFormat="false" ht="15" hidden="false" customHeight="false" outlineLevel="0" collapsed="false">
      <c r="A1098" s="0" t="s">
        <v>222</v>
      </c>
      <c r="B1098" s="0" t="n">
        <v>2021</v>
      </c>
      <c r="C1098" s="0" t="s">
        <v>60</v>
      </c>
      <c r="D1098" s="0" t="n">
        <v>3099452</v>
      </c>
      <c r="E1098" s="0" t="s">
        <v>7275</v>
      </c>
      <c r="F1098" s="0" t="s">
        <v>7277</v>
      </c>
      <c r="G1098" s="0" t="s">
        <v>7267</v>
      </c>
    </row>
    <row r="1099" customFormat="false" ht="15" hidden="false" customHeight="false" outlineLevel="0" collapsed="false">
      <c r="A1099" s="0" t="s">
        <v>222</v>
      </c>
      <c r="B1099" s="0" t="n">
        <v>2021</v>
      </c>
      <c r="C1099" s="0" t="s">
        <v>61</v>
      </c>
      <c r="D1099" s="0" t="n">
        <v>184456</v>
      </c>
      <c r="E1099" s="0" t="s">
        <v>7275</v>
      </c>
      <c r="F1099" s="0" t="s">
        <v>7277</v>
      </c>
      <c r="G1099" s="0" t="s">
        <v>7267</v>
      </c>
    </row>
    <row r="1100" customFormat="false" ht="15" hidden="false" customHeight="false" outlineLevel="0" collapsed="false">
      <c r="A1100" s="0" t="s">
        <v>222</v>
      </c>
      <c r="B1100" s="0" t="n">
        <v>2021</v>
      </c>
      <c r="C1100" s="0" t="s">
        <v>63</v>
      </c>
      <c r="D1100" s="0" t="n">
        <v>56175</v>
      </c>
      <c r="E1100" s="0" t="s">
        <v>7275</v>
      </c>
      <c r="F1100" s="0" t="s">
        <v>7277</v>
      </c>
      <c r="G1100" s="0" t="s">
        <v>7267</v>
      </c>
    </row>
    <row r="1101" customFormat="false" ht="15" hidden="false" customHeight="false" outlineLevel="0" collapsed="false">
      <c r="A1101" s="0" t="s">
        <v>222</v>
      </c>
      <c r="B1101" s="0" t="n">
        <v>2021</v>
      </c>
      <c r="C1101" s="0" t="s">
        <v>327</v>
      </c>
      <c r="D1101" s="0" t="n">
        <v>4.19</v>
      </c>
      <c r="E1101" s="0" t="s">
        <v>7275</v>
      </c>
      <c r="F1101" s="0" t="s">
        <v>7277</v>
      </c>
      <c r="G1101" s="0" t="s">
        <v>7267</v>
      </c>
    </row>
    <row r="1102" customFormat="false" ht="15" hidden="false" customHeight="false" outlineLevel="0" collapsed="false">
      <c r="A1102" s="0" t="s">
        <v>222</v>
      </c>
      <c r="B1102" s="0" t="n">
        <v>2021</v>
      </c>
      <c r="C1102" s="0" t="s">
        <v>69</v>
      </c>
      <c r="D1102" s="0" t="n">
        <v>19.8</v>
      </c>
      <c r="E1102" s="0" t="s">
        <v>7275</v>
      </c>
      <c r="F1102" s="0" t="s">
        <v>7277</v>
      </c>
      <c r="G1102" s="0" t="s">
        <v>7267</v>
      </c>
    </row>
    <row r="1103" customFormat="false" ht="15" hidden="false" customHeight="false" outlineLevel="0" collapsed="false">
      <c r="A1103" s="0" t="s">
        <v>222</v>
      </c>
      <c r="B1103" s="0" t="n">
        <v>2021</v>
      </c>
      <c r="C1103" s="0" t="s">
        <v>73</v>
      </c>
      <c r="D1103" s="0" t="n">
        <v>0</v>
      </c>
      <c r="E1103" s="0" t="s">
        <v>7275</v>
      </c>
      <c r="F1103" s="0" t="s">
        <v>7277</v>
      </c>
      <c r="G1103" s="0" t="s">
        <v>7267</v>
      </c>
    </row>
    <row r="1104" customFormat="false" ht="15" hidden="false" customHeight="false" outlineLevel="0" collapsed="false">
      <c r="A1104" s="0" t="s">
        <v>222</v>
      </c>
      <c r="B1104" s="0" t="n">
        <v>2021</v>
      </c>
      <c r="C1104" s="0" t="s">
        <v>1804</v>
      </c>
      <c r="D1104" s="0" t="s">
        <v>7268</v>
      </c>
      <c r="E1104" s="0" t="s">
        <v>7275</v>
      </c>
      <c r="F1104" s="0" t="s">
        <v>7277</v>
      </c>
      <c r="G1104" s="0" t="s">
        <v>7267</v>
      </c>
    </row>
    <row r="1105" customFormat="false" ht="15" hidden="false" customHeight="false" outlineLevel="0" collapsed="false">
      <c r="A1105" s="0" t="s">
        <v>222</v>
      </c>
      <c r="B1105" s="0" t="n">
        <v>2022</v>
      </c>
      <c r="C1105" s="0" t="s">
        <v>54</v>
      </c>
      <c r="D1105" s="0" t="n">
        <v>234593</v>
      </c>
      <c r="E1105" s="0" t="s">
        <v>7275</v>
      </c>
      <c r="F1105" s="0" t="s">
        <v>7277</v>
      </c>
      <c r="G1105" s="0" t="s">
        <v>7267</v>
      </c>
    </row>
    <row r="1106" customFormat="false" ht="15" hidden="false" customHeight="false" outlineLevel="0" collapsed="false">
      <c r="A1106" s="0" t="s">
        <v>222</v>
      </c>
      <c r="B1106" s="0" t="n">
        <v>2022</v>
      </c>
      <c r="C1106" s="0" t="s">
        <v>1327</v>
      </c>
      <c r="D1106" s="0" t="n">
        <v>833087</v>
      </c>
      <c r="E1106" s="0" t="s">
        <v>7275</v>
      </c>
      <c r="F1106" s="0" t="s">
        <v>7277</v>
      </c>
      <c r="G1106" s="0" t="s">
        <v>7267</v>
      </c>
    </row>
    <row r="1107" customFormat="false" ht="15" hidden="false" customHeight="false" outlineLevel="0" collapsed="false">
      <c r="A1107" s="0" t="s">
        <v>222</v>
      </c>
      <c r="B1107" s="0" t="n">
        <v>2022</v>
      </c>
      <c r="C1107" s="0" t="s">
        <v>55</v>
      </c>
      <c r="D1107" s="0" t="n">
        <v>10570678</v>
      </c>
      <c r="E1107" s="0" t="s">
        <v>7275</v>
      </c>
      <c r="F1107" s="0" t="s">
        <v>7277</v>
      </c>
      <c r="G1107" s="0" t="s">
        <v>7267</v>
      </c>
    </row>
    <row r="1108" customFormat="false" ht="15" hidden="false" customHeight="false" outlineLevel="0" collapsed="false">
      <c r="A1108" s="0" t="s">
        <v>222</v>
      </c>
      <c r="B1108" s="0" t="n">
        <v>2022</v>
      </c>
      <c r="C1108" s="0" t="s">
        <v>60</v>
      </c>
      <c r="D1108" s="0" t="n">
        <v>3838805</v>
      </c>
      <c r="E1108" s="0" t="s">
        <v>7275</v>
      </c>
      <c r="F1108" s="0" t="s">
        <v>7277</v>
      </c>
      <c r="G1108" s="0" t="s">
        <v>7267</v>
      </c>
    </row>
    <row r="1109" customFormat="false" ht="15" hidden="false" customHeight="false" outlineLevel="0" collapsed="false">
      <c r="A1109" s="0" t="s">
        <v>222</v>
      </c>
      <c r="B1109" s="0" t="n">
        <v>2022</v>
      </c>
      <c r="C1109" s="0" t="s">
        <v>61</v>
      </c>
      <c r="D1109" s="0" t="n">
        <v>231245</v>
      </c>
      <c r="E1109" s="0" t="s">
        <v>7275</v>
      </c>
      <c r="F1109" s="0" t="s">
        <v>7277</v>
      </c>
      <c r="G1109" s="0" t="s">
        <v>7267</v>
      </c>
    </row>
    <row r="1110" customFormat="false" ht="15" hidden="false" customHeight="false" outlineLevel="0" collapsed="false">
      <c r="A1110" s="0" t="s">
        <v>222</v>
      </c>
      <c r="B1110" s="0" t="n">
        <v>2022</v>
      </c>
      <c r="C1110" s="0" t="s">
        <v>63</v>
      </c>
      <c r="D1110" s="0" t="n">
        <v>61896</v>
      </c>
      <c r="E1110" s="0" t="s">
        <v>7275</v>
      </c>
      <c r="F1110" s="0" t="s">
        <v>7277</v>
      </c>
      <c r="G1110" s="0" t="s">
        <v>7267</v>
      </c>
    </row>
    <row r="1111" customFormat="false" ht="15" hidden="false" customHeight="false" outlineLevel="0" collapsed="false">
      <c r="A1111" s="0" t="s">
        <v>222</v>
      </c>
      <c r="B1111" s="0" t="n">
        <v>2022</v>
      </c>
      <c r="C1111" s="0" t="s">
        <v>327</v>
      </c>
      <c r="D1111" s="0" t="n">
        <v>4.3</v>
      </c>
      <c r="E1111" s="0" t="s">
        <v>7275</v>
      </c>
      <c r="F1111" s="0" t="s">
        <v>7277</v>
      </c>
      <c r="G1111" s="0" t="s">
        <v>7267</v>
      </c>
    </row>
    <row r="1112" customFormat="false" ht="15" hidden="false" customHeight="false" outlineLevel="0" collapsed="false">
      <c r="A1112" s="0" t="s">
        <v>222</v>
      </c>
      <c r="B1112" s="0" t="n">
        <v>2022</v>
      </c>
      <c r="C1112" s="0" t="s">
        <v>69</v>
      </c>
      <c r="D1112" s="0" t="n">
        <v>19.3</v>
      </c>
      <c r="E1112" s="0" t="s">
        <v>7275</v>
      </c>
      <c r="F1112" s="0" t="s">
        <v>7277</v>
      </c>
      <c r="G1112" s="0" t="s">
        <v>7267</v>
      </c>
    </row>
    <row r="1113" customFormat="false" ht="15" hidden="false" customHeight="false" outlineLevel="0" collapsed="false">
      <c r="A1113" s="0" t="s">
        <v>222</v>
      </c>
      <c r="B1113" s="0" t="n">
        <v>2022</v>
      </c>
      <c r="C1113" s="0" t="s">
        <v>73</v>
      </c>
      <c r="D1113" s="0" t="n">
        <v>0</v>
      </c>
      <c r="E1113" s="0" t="s">
        <v>7275</v>
      </c>
      <c r="F1113" s="0" t="s">
        <v>7277</v>
      </c>
      <c r="G1113" s="0" t="s">
        <v>7267</v>
      </c>
    </row>
    <row r="1114" customFormat="false" ht="15" hidden="false" customHeight="false" outlineLevel="0" collapsed="false">
      <c r="A1114" s="0" t="s">
        <v>222</v>
      </c>
      <c r="B1114" s="0" t="n">
        <v>2022</v>
      </c>
      <c r="C1114" s="0" t="s">
        <v>1804</v>
      </c>
      <c r="D1114" s="0" t="s">
        <v>7268</v>
      </c>
      <c r="E1114" s="0" t="s">
        <v>7275</v>
      </c>
      <c r="F1114" s="0" t="s">
        <v>7277</v>
      </c>
      <c r="G1114" s="0" t="s">
        <v>7267</v>
      </c>
    </row>
    <row r="1115" customFormat="false" ht="15" hidden="false" customHeight="false" outlineLevel="0" collapsed="false">
      <c r="A1115" s="0" t="s">
        <v>125</v>
      </c>
      <c r="B1115" s="0" t="n">
        <v>2015</v>
      </c>
      <c r="C1115" s="0" t="s">
        <v>54</v>
      </c>
      <c r="D1115" s="0" t="n">
        <v>37</v>
      </c>
      <c r="E1115" s="0" t="s">
        <v>7275</v>
      </c>
      <c r="F1115" s="0" t="s">
        <v>7278</v>
      </c>
      <c r="G1115" s="0" t="s">
        <v>7267</v>
      </c>
    </row>
    <row r="1116" customFormat="false" ht="15" hidden="false" customHeight="false" outlineLevel="0" collapsed="false">
      <c r="A1116" s="0" t="s">
        <v>125</v>
      </c>
      <c r="B1116" s="0" t="n">
        <v>2015</v>
      </c>
      <c r="C1116" s="0" t="s">
        <v>1327</v>
      </c>
      <c r="D1116" s="0" t="n">
        <v>421227</v>
      </c>
      <c r="E1116" s="0" t="s">
        <v>7275</v>
      </c>
      <c r="F1116" s="0" t="s">
        <v>7278</v>
      </c>
      <c r="G1116" s="0" t="s">
        <v>7267</v>
      </c>
    </row>
    <row r="1117" customFormat="false" ht="15" hidden="false" customHeight="false" outlineLevel="0" collapsed="false">
      <c r="A1117" s="0" t="s">
        <v>125</v>
      </c>
      <c r="B1117" s="0" t="n">
        <v>2015</v>
      </c>
      <c r="C1117" s="0" t="s">
        <v>55</v>
      </c>
      <c r="D1117" s="0" t="n">
        <v>3332375</v>
      </c>
      <c r="E1117" s="0" t="s">
        <v>7275</v>
      </c>
      <c r="F1117" s="0" t="s">
        <v>7278</v>
      </c>
      <c r="G1117" s="0" t="s">
        <v>7267</v>
      </c>
    </row>
    <row r="1118" customFormat="false" ht="15" hidden="false" customHeight="false" outlineLevel="0" collapsed="false">
      <c r="A1118" s="0" t="s">
        <v>125</v>
      </c>
      <c r="B1118" s="0" t="n">
        <v>2015</v>
      </c>
      <c r="C1118" s="0" t="s">
        <v>60</v>
      </c>
      <c r="D1118" s="0" t="n">
        <v>1457285</v>
      </c>
      <c r="E1118" s="0" t="s">
        <v>7275</v>
      </c>
      <c r="F1118" s="0" t="s">
        <v>7278</v>
      </c>
      <c r="G1118" s="0" t="s">
        <v>7267</v>
      </c>
    </row>
    <row r="1119" customFormat="false" ht="15" hidden="false" customHeight="false" outlineLevel="0" collapsed="false">
      <c r="A1119" s="0" t="s">
        <v>125</v>
      </c>
      <c r="B1119" s="0" t="n">
        <v>2015</v>
      </c>
      <c r="C1119" s="0" t="s">
        <v>61</v>
      </c>
      <c r="D1119" s="0" t="n">
        <v>187640</v>
      </c>
      <c r="E1119" s="0" t="s">
        <v>7275</v>
      </c>
      <c r="F1119" s="0" t="s">
        <v>7278</v>
      </c>
      <c r="G1119" s="0" t="s">
        <v>7267</v>
      </c>
    </row>
    <row r="1120" customFormat="false" ht="15" hidden="false" customHeight="false" outlineLevel="0" collapsed="false">
      <c r="A1120" s="0" t="s">
        <v>125</v>
      </c>
      <c r="B1120" s="0" t="n">
        <v>2015</v>
      </c>
      <c r="C1120" s="0" t="s">
        <v>63</v>
      </c>
      <c r="D1120" s="0" t="n">
        <v>120046</v>
      </c>
      <c r="E1120" s="0" t="s">
        <v>7275</v>
      </c>
      <c r="F1120" s="0" t="s">
        <v>7278</v>
      </c>
      <c r="G1120" s="0" t="s">
        <v>7267</v>
      </c>
    </row>
    <row r="1121" customFormat="false" ht="15" hidden="false" customHeight="false" outlineLevel="0" collapsed="false">
      <c r="A1121" s="0" t="s">
        <v>125</v>
      </c>
      <c r="B1121" s="0" t="n">
        <v>2015</v>
      </c>
      <c r="C1121" s="0" t="s">
        <v>327</v>
      </c>
      <c r="D1121" s="0" t="n">
        <v>45</v>
      </c>
      <c r="E1121" s="0" t="s">
        <v>7275</v>
      </c>
      <c r="F1121" s="0" t="s">
        <v>7278</v>
      </c>
      <c r="G1121" s="0" t="s">
        <v>7267</v>
      </c>
    </row>
    <row r="1122" customFormat="false" ht="15" hidden="false" customHeight="false" outlineLevel="0" collapsed="false">
      <c r="A1122" s="0" t="s">
        <v>125</v>
      </c>
      <c r="B1122" s="0" t="n">
        <v>2015</v>
      </c>
      <c r="C1122" s="0" t="s">
        <v>69</v>
      </c>
      <c r="D1122" s="0" t="n">
        <v>17.1</v>
      </c>
      <c r="E1122" s="0" t="s">
        <v>7275</v>
      </c>
      <c r="F1122" s="0" t="s">
        <v>7278</v>
      </c>
      <c r="G1122" s="0" t="s">
        <v>7267</v>
      </c>
    </row>
    <row r="1123" customFormat="false" ht="15" hidden="false" customHeight="false" outlineLevel="0" collapsed="false">
      <c r="A1123" s="0" t="s">
        <v>125</v>
      </c>
      <c r="B1123" s="0" t="n">
        <v>2015</v>
      </c>
      <c r="C1123" s="0" t="s">
        <v>73</v>
      </c>
      <c r="D1123" s="0" t="n">
        <v>0</v>
      </c>
      <c r="E1123" s="0" t="s">
        <v>7275</v>
      </c>
      <c r="F1123" s="0" t="s">
        <v>7278</v>
      </c>
      <c r="G1123" s="0" t="s">
        <v>7267</v>
      </c>
    </row>
    <row r="1124" customFormat="false" ht="15" hidden="false" customHeight="false" outlineLevel="0" collapsed="false">
      <c r="A1124" s="0" t="s">
        <v>125</v>
      </c>
      <c r="B1124" s="0" t="n">
        <v>2015</v>
      </c>
      <c r="C1124" s="0" t="s">
        <v>1804</v>
      </c>
      <c r="D1124" s="0" t="s">
        <v>7268</v>
      </c>
      <c r="E1124" s="0" t="s">
        <v>7275</v>
      </c>
      <c r="F1124" s="0" t="s">
        <v>7278</v>
      </c>
      <c r="G1124" s="0" t="s">
        <v>7267</v>
      </c>
    </row>
    <row r="1125" customFormat="false" ht="15" hidden="false" customHeight="false" outlineLevel="0" collapsed="false">
      <c r="A1125" s="0" t="s">
        <v>125</v>
      </c>
      <c r="B1125" s="0" t="n">
        <v>2016</v>
      </c>
      <c r="C1125" s="0" t="s">
        <v>54</v>
      </c>
      <c r="D1125" s="0" t="n">
        <v>11768</v>
      </c>
      <c r="E1125" s="0" t="s">
        <v>7275</v>
      </c>
      <c r="F1125" s="0" t="s">
        <v>7278</v>
      </c>
      <c r="G1125" s="0" t="s">
        <v>7267</v>
      </c>
    </row>
    <row r="1126" customFormat="false" ht="15" hidden="false" customHeight="false" outlineLevel="0" collapsed="false">
      <c r="A1126" s="0" t="s">
        <v>125</v>
      </c>
      <c r="B1126" s="0" t="n">
        <v>2016</v>
      </c>
      <c r="C1126" s="0" t="s">
        <v>1327</v>
      </c>
      <c r="D1126" s="0" t="n">
        <v>434663</v>
      </c>
      <c r="E1126" s="0" t="s">
        <v>7275</v>
      </c>
      <c r="F1126" s="0" t="s">
        <v>7278</v>
      </c>
      <c r="G1126" s="0" t="s">
        <v>7267</v>
      </c>
    </row>
    <row r="1127" customFormat="false" ht="15" hidden="false" customHeight="false" outlineLevel="0" collapsed="false">
      <c r="A1127" s="0" t="s">
        <v>125</v>
      </c>
      <c r="B1127" s="0" t="n">
        <v>2016</v>
      </c>
      <c r="C1127" s="0" t="s">
        <v>55</v>
      </c>
      <c r="D1127" s="0" t="n">
        <v>4514792</v>
      </c>
      <c r="E1127" s="0" t="s">
        <v>7275</v>
      </c>
      <c r="F1127" s="0" t="s">
        <v>7278</v>
      </c>
      <c r="G1127" s="0" t="s">
        <v>7267</v>
      </c>
    </row>
    <row r="1128" customFormat="false" ht="15" hidden="false" customHeight="false" outlineLevel="0" collapsed="false">
      <c r="A1128" s="0" t="s">
        <v>125</v>
      </c>
      <c r="B1128" s="0" t="n">
        <v>2016</v>
      </c>
      <c r="C1128" s="0" t="s">
        <v>60</v>
      </c>
      <c r="D1128" s="0" t="n">
        <v>2086740</v>
      </c>
      <c r="E1128" s="0" t="s">
        <v>7275</v>
      </c>
      <c r="F1128" s="0" t="s">
        <v>7278</v>
      </c>
      <c r="G1128" s="0" t="s">
        <v>7267</v>
      </c>
    </row>
    <row r="1129" customFormat="false" ht="15" hidden="false" customHeight="false" outlineLevel="0" collapsed="false">
      <c r="A1129" s="0" t="s">
        <v>125</v>
      </c>
      <c r="B1129" s="0" t="n">
        <v>2016</v>
      </c>
      <c r="C1129" s="0" t="s">
        <v>61</v>
      </c>
      <c r="D1129" s="0" t="n">
        <v>240695</v>
      </c>
      <c r="E1129" s="0" t="s">
        <v>7275</v>
      </c>
      <c r="F1129" s="0" t="s">
        <v>7278</v>
      </c>
      <c r="G1129" s="0" t="s">
        <v>7267</v>
      </c>
    </row>
    <row r="1130" customFormat="false" ht="15" hidden="false" customHeight="false" outlineLevel="0" collapsed="false">
      <c r="A1130" s="0" t="s">
        <v>125</v>
      </c>
      <c r="B1130" s="0" t="n">
        <v>2016</v>
      </c>
      <c r="C1130" s="0" t="s">
        <v>63</v>
      </c>
      <c r="D1130" s="0" t="n">
        <v>224948</v>
      </c>
      <c r="E1130" s="0" t="s">
        <v>7275</v>
      </c>
      <c r="F1130" s="0" t="s">
        <v>7278</v>
      </c>
      <c r="G1130" s="0" t="s">
        <v>7267</v>
      </c>
    </row>
    <row r="1131" customFormat="false" ht="15" hidden="false" customHeight="false" outlineLevel="0" collapsed="false">
      <c r="A1131" s="0" t="s">
        <v>125</v>
      </c>
      <c r="B1131" s="0" t="n">
        <v>2016</v>
      </c>
      <c r="C1131" s="0" t="s">
        <v>327</v>
      </c>
      <c r="D1131" s="0" t="n">
        <v>24.4</v>
      </c>
      <c r="E1131" s="0" t="s">
        <v>7275</v>
      </c>
      <c r="F1131" s="0" t="s">
        <v>7278</v>
      </c>
      <c r="G1131" s="0" t="s">
        <v>7267</v>
      </c>
    </row>
    <row r="1132" customFormat="false" ht="15" hidden="false" customHeight="false" outlineLevel="0" collapsed="false">
      <c r="A1132" s="0" t="s">
        <v>125</v>
      </c>
      <c r="B1132" s="0" t="n">
        <v>2016</v>
      </c>
      <c r="C1132" s="0" t="s">
        <v>69</v>
      </c>
      <c r="D1132" s="0" t="n">
        <v>17.79</v>
      </c>
      <c r="E1132" s="0" t="s">
        <v>7275</v>
      </c>
      <c r="F1132" s="0" t="s">
        <v>7278</v>
      </c>
      <c r="G1132" s="0" t="s">
        <v>7267</v>
      </c>
    </row>
    <row r="1133" customFormat="false" ht="15" hidden="false" customHeight="false" outlineLevel="0" collapsed="false">
      <c r="A1133" s="0" t="s">
        <v>125</v>
      </c>
      <c r="B1133" s="0" t="n">
        <v>2016</v>
      </c>
      <c r="C1133" s="0" t="s">
        <v>73</v>
      </c>
      <c r="D1133" s="0" t="n">
        <v>0</v>
      </c>
      <c r="E1133" s="0" t="s">
        <v>7275</v>
      </c>
      <c r="F1133" s="0" t="s">
        <v>7278</v>
      </c>
      <c r="G1133" s="0" t="s">
        <v>7267</v>
      </c>
    </row>
    <row r="1134" customFormat="false" ht="15" hidden="false" customHeight="false" outlineLevel="0" collapsed="false">
      <c r="A1134" s="0" t="s">
        <v>125</v>
      </c>
      <c r="B1134" s="0" t="n">
        <v>2016</v>
      </c>
      <c r="C1134" s="0" t="s">
        <v>1804</v>
      </c>
      <c r="D1134" s="0" t="s">
        <v>7268</v>
      </c>
      <c r="E1134" s="0" t="s">
        <v>7275</v>
      </c>
      <c r="F1134" s="0" t="s">
        <v>7278</v>
      </c>
      <c r="G1134" s="0" t="s">
        <v>7267</v>
      </c>
    </row>
    <row r="1135" customFormat="false" ht="15" hidden="false" customHeight="false" outlineLevel="0" collapsed="false">
      <c r="A1135" s="0" t="s">
        <v>125</v>
      </c>
      <c r="B1135" s="0" t="n">
        <v>2017</v>
      </c>
      <c r="C1135" s="0" t="s">
        <v>54</v>
      </c>
      <c r="D1135" s="0" t="n">
        <v>51475</v>
      </c>
      <c r="E1135" s="0" t="s">
        <v>7275</v>
      </c>
      <c r="F1135" s="0" t="s">
        <v>7278</v>
      </c>
      <c r="G1135" s="0" t="s">
        <v>7267</v>
      </c>
    </row>
    <row r="1136" customFormat="false" ht="15" hidden="false" customHeight="false" outlineLevel="0" collapsed="false">
      <c r="A1136" s="0" t="s">
        <v>125</v>
      </c>
      <c r="B1136" s="0" t="n">
        <v>2017</v>
      </c>
      <c r="C1136" s="0" t="s">
        <v>1327</v>
      </c>
      <c r="D1136" s="0" t="n">
        <v>474866</v>
      </c>
      <c r="E1136" s="0" t="s">
        <v>7275</v>
      </c>
      <c r="F1136" s="0" t="s">
        <v>7278</v>
      </c>
      <c r="G1136" s="0" t="s">
        <v>7267</v>
      </c>
    </row>
    <row r="1137" customFormat="false" ht="15" hidden="false" customHeight="false" outlineLevel="0" collapsed="false">
      <c r="A1137" s="0" t="s">
        <v>125</v>
      </c>
      <c r="B1137" s="0" t="n">
        <v>2017</v>
      </c>
      <c r="C1137" s="0" t="s">
        <v>55</v>
      </c>
      <c r="D1137" s="0" t="n">
        <v>5014248</v>
      </c>
      <c r="E1137" s="0" t="s">
        <v>7275</v>
      </c>
      <c r="F1137" s="0" t="s">
        <v>7278</v>
      </c>
      <c r="G1137" s="0" t="s">
        <v>7267</v>
      </c>
    </row>
    <row r="1138" customFormat="false" ht="15" hidden="false" customHeight="false" outlineLevel="0" collapsed="false">
      <c r="A1138" s="0" t="s">
        <v>125</v>
      </c>
      <c r="B1138" s="0" t="n">
        <v>2017</v>
      </c>
      <c r="C1138" s="0" t="s">
        <v>60</v>
      </c>
      <c r="D1138" s="0" t="n">
        <v>2026038</v>
      </c>
      <c r="E1138" s="0" t="s">
        <v>7275</v>
      </c>
      <c r="F1138" s="0" t="s">
        <v>7278</v>
      </c>
      <c r="G1138" s="0" t="s">
        <v>7267</v>
      </c>
    </row>
    <row r="1139" customFormat="false" ht="15" hidden="false" customHeight="false" outlineLevel="0" collapsed="false">
      <c r="A1139" s="0" t="s">
        <v>125</v>
      </c>
      <c r="B1139" s="0" t="n">
        <v>2017</v>
      </c>
      <c r="C1139" s="0" t="s">
        <v>61</v>
      </c>
      <c r="D1139" s="0" t="n">
        <v>178719</v>
      </c>
      <c r="E1139" s="0" t="s">
        <v>7275</v>
      </c>
      <c r="F1139" s="0" t="s">
        <v>7278</v>
      </c>
      <c r="G1139" s="0" t="s">
        <v>7267</v>
      </c>
    </row>
    <row r="1140" customFormat="false" ht="15" hidden="false" customHeight="false" outlineLevel="0" collapsed="false">
      <c r="A1140" s="0" t="s">
        <v>125</v>
      </c>
      <c r="B1140" s="0" t="n">
        <v>2017</v>
      </c>
      <c r="C1140" s="0" t="s">
        <v>63</v>
      </c>
      <c r="D1140" s="0" t="n">
        <v>141275</v>
      </c>
      <c r="E1140" s="0" t="s">
        <v>7275</v>
      </c>
      <c r="F1140" s="0" t="s">
        <v>7278</v>
      </c>
      <c r="G1140" s="0" t="s">
        <v>7267</v>
      </c>
    </row>
    <row r="1141" customFormat="false" ht="15" hidden="false" customHeight="false" outlineLevel="0" collapsed="false">
      <c r="A1141" s="0" t="s">
        <v>125</v>
      </c>
      <c r="B1141" s="0" t="n">
        <v>2017</v>
      </c>
      <c r="C1141" s="0" t="s">
        <v>327</v>
      </c>
      <c r="D1141" s="0" t="n">
        <v>22.8</v>
      </c>
      <c r="E1141" s="0" t="s">
        <v>7275</v>
      </c>
      <c r="F1141" s="0" t="s">
        <v>7278</v>
      </c>
      <c r="G1141" s="0" t="s">
        <v>7267</v>
      </c>
    </row>
    <row r="1142" customFormat="false" ht="15" hidden="false" customHeight="false" outlineLevel="0" collapsed="false">
      <c r="A1142" s="0" t="s">
        <v>125</v>
      </c>
      <c r="B1142" s="0" t="n">
        <v>2017</v>
      </c>
      <c r="C1142" s="0" t="s">
        <v>69</v>
      </c>
      <c r="D1142" s="0" t="n">
        <v>17.74</v>
      </c>
      <c r="E1142" s="0" t="s">
        <v>7275</v>
      </c>
      <c r="F1142" s="0" t="s">
        <v>7278</v>
      </c>
      <c r="G1142" s="0" t="s">
        <v>7267</v>
      </c>
    </row>
    <row r="1143" customFormat="false" ht="15" hidden="false" customHeight="false" outlineLevel="0" collapsed="false">
      <c r="A1143" s="0" t="s">
        <v>125</v>
      </c>
      <c r="B1143" s="0" t="n">
        <v>2017</v>
      </c>
      <c r="C1143" s="0" t="s">
        <v>73</v>
      </c>
      <c r="D1143" s="0" t="n">
        <v>0</v>
      </c>
      <c r="E1143" s="0" t="s">
        <v>7275</v>
      </c>
      <c r="F1143" s="0" t="s">
        <v>7278</v>
      </c>
      <c r="G1143" s="0" t="s">
        <v>7267</v>
      </c>
    </row>
    <row r="1144" customFormat="false" ht="15" hidden="false" customHeight="false" outlineLevel="0" collapsed="false">
      <c r="A1144" s="0" t="s">
        <v>125</v>
      </c>
      <c r="B1144" s="0" t="n">
        <v>2017</v>
      </c>
      <c r="C1144" s="0" t="s">
        <v>1804</v>
      </c>
      <c r="D1144" s="0" t="s">
        <v>7268</v>
      </c>
      <c r="E1144" s="0" t="s">
        <v>7275</v>
      </c>
      <c r="F1144" s="0" t="s">
        <v>7278</v>
      </c>
      <c r="G1144" s="0" t="s">
        <v>7267</v>
      </c>
    </row>
    <row r="1145" customFormat="false" ht="15" hidden="false" customHeight="false" outlineLevel="0" collapsed="false">
      <c r="A1145" s="0" t="s">
        <v>125</v>
      </c>
      <c r="B1145" s="0" t="n">
        <v>2018</v>
      </c>
      <c r="C1145" s="0" t="s">
        <v>54</v>
      </c>
      <c r="D1145" s="0" t="n">
        <v>38844</v>
      </c>
      <c r="E1145" s="0" t="s">
        <v>7275</v>
      </c>
      <c r="F1145" s="0" t="s">
        <v>7278</v>
      </c>
      <c r="G1145" s="0" t="s">
        <v>7267</v>
      </c>
    </row>
    <row r="1146" customFormat="false" ht="15" hidden="false" customHeight="false" outlineLevel="0" collapsed="false">
      <c r="A1146" s="0" t="s">
        <v>125</v>
      </c>
      <c r="B1146" s="0" t="n">
        <v>2018</v>
      </c>
      <c r="C1146" s="0" t="s">
        <v>1327</v>
      </c>
      <c r="D1146" s="0" t="n">
        <v>363680</v>
      </c>
      <c r="E1146" s="0" t="s">
        <v>7275</v>
      </c>
      <c r="F1146" s="0" t="s">
        <v>7278</v>
      </c>
      <c r="G1146" s="0" t="s">
        <v>7267</v>
      </c>
    </row>
    <row r="1147" customFormat="false" ht="15" hidden="false" customHeight="false" outlineLevel="0" collapsed="false">
      <c r="A1147" s="0" t="s">
        <v>125</v>
      </c>
      <c r="B1147" s="0" t="n">
        <v>2018</v>
      </c>
      <c r="C1147" s="0" t="s">
        <v>55</v>
      </c>
      <c r="D1147" s="0" t="n">
        <v>5303327</v>
      </c>
      <c r="E1147" s="0" t="s">
        <v>7275</v>
      </c>
      <c r="F1147" s="0" t="s">
        <v>7278</v>
      </c>
      <c r="G1147" s="0" t="s">
        <v>7267</v>
      </c>
    </row>
    <row r="1148" customFormat="false" ht="15" hidden="false" customHeight="false" outlineLevel="0" collapsed="false">
      <c r="A1148" s="0" t="s">
        <v>125</v>
      </c>
      <c r="B1148" s="0" t="n">
        <v>2018</v>
      </c>
      <c r="C1148" s="0" t="s">
        <v>60</v>
      </c>
      <c r="D1148" s="0" t="n">
        <v>1694884</v>
      </c>
      <c r="E1148" s="0" t="s">
        <v>7275</v>
      </c>
      <c r="F1148" s="0" t="s">
        <v>7278</v>
      </c>
      <c r="G1148" s="0" t="s">
        <v>7267</v>
      </c>
    </row>
    <row r="1149" customFormat="false" ht="15" hidden="false" customHeight="false" outlineLevel="0" collapsed="false">
      <c r="A1149" s="0" t="s">
        <v>125</v>
      </c>
      <c r="B1149" s="0" t="n">
        <v>2018</v>
      </c>
      <c r="C1149" s="0" t="s">
        <v>61</v>
      </c>
      <c r="D1149" s="0" t="n">
        <v>166250</v>
      </c>
      <c r="E1149" s="0" t="s">
        <v>7275</v>
      </c>
      <c r="F1149" s="0" t="s">
        <v>7278</v>
      </c>
      <c r="G1149" s="0" t="s">
        <v>7267</v>
      </c>
    </row>
    <row r="1150" customFormat="false" ht="15" hidden="false" customHeight="false" outlineLevel="0" collapsed="false">
      <c r="A1150" s="0" t="s">
        <v>125</v>
      </c>
      <c r="B1150" s="0" t="n">
        <v>2018</v>
      </c>
      <c r="C1150" s="0" t="s">
        <v>63</v>
      </c>
      <c r="D1150" s="0" t="n">
        <v>92796</v>
      </c>
      <c r="E1150" s="0" t="s">
        <v>7275</v>
      </c>
      <c r="F1150" s="0" t="s">
        <v>7278</v>
      </c>
      <c r="G1150" s="0" t="s">
        <v>7267</v>
      </c>
    </row>
    <row r="1151" customFormat="false" ht="15" hidden="false" customHeight="false" outlineLevel="0" collapsed="false">
      <c r="A1151" s="0" t="s">
        <v>125</v>
      </c>
      <c r="B1151" s="0" t="n">
        <v>2018</v>
      </c>
      <c r="C1151" s="0" t="s">
        <v>327</v>
      </c>
      <c r="D1151" s="0" t="n">
        <v>24.7</v>
      </c>
      <c r="E1151" s="0" t="s">
        <v>7275</v>
      </c>
      <c r="F1151" s="0" t="s">
        <v>7278</v>
      </c>
      <c r="G1151" s="0" t="s">
        <v>7267</v>
      </c>
    </row>
    <row r="1152" customFormat="false" ht="15" hidden="false" customHeight="false" outlineLevel="0" collapsed="false">
      <c r="A1152" s="0" t="s">
        <v>125</v>
      </c>
      <c r="B1152" s="0" t="n">
        <v>2018</v>
      </c>
      <c r="C1152" s="0" t="s">
        <v>69</v>
      </c>
      <c r="D1152" s="0" t="n">
        <v>17.26</v>
      </c>
      <c r="E1152" s="0" t="s">
        <v>7275</v>
      </c>
      <c r="F1152" s="0" t="s">
        <v>7278</v>
      </c>
      <c r="G1152" s="0" t="s">
        <v>7267</v>
      </c>
    </row>
    <row r="1153" customFormat="false" ht="15" hidden="false" customHeight="false" outlineLevel="0" collapsed="false">
      <c r="A1153" s="0" t="s">
        <v>125</v>
      </c>
      <c r="B1153" s="0" t="n">
        <v>2018</v>
      </c>
      <c r="C1153" s="0" t="s">
        <v>73</v>
      </c>
      <c r="D1153" s="0" t="n">
        <v>0</v>
      </c>
      <c r="E1153" s="0" t="s">
        <v>7275</v>
      </c>
      <c r="F1153" s="0" t="s">
        <v>7278</v>
      </c>
      <c r="G1153" s="0" t="s">
        <v>7267</v>
      </c>
    </row>
    <row r="1154" customFormat="false" ht="15" hidden="false" customHeight="false" outlineLevel="0" collapsed="false">
      <c r="A1154" s="0" t="s">
        <v>125</v>
      </c>
      <c r="B1154" s="0" t="n">
        <v>2018</v>
      </c>
      <c r="C1154" s="0" t="s">
        <v>1804</v>
      </c>
      <c r="D1154" s="0" t="s">
        <v>7268</v>
      </c>
      <c r="E1154" s="0" t="s">
        <v>7275</v>
      </c>
      <c r="F1154" s="0" t="s">
        <v>7278</v>
      </c>
      <c r="G1154" s="0" t="s">
        <v>7267</v>
      </c>
    </row>
    <row r="1155" customFormat="false" ht="15" hidden="false" customHeight="false" outlineLevel="0" collapsed="false">
      <c r="A1155" s="0" t="s">
        <v>125</v>
      </c>
      <c r="B1155" s="0" t="n">
        <v>2019</v>
      </c>
      <c r="C1155" s="0" t="s">
        <v>54</v>
      </c>
      <c r="D1155" s="0" t="n">
        <v>62667</v>
      </c>
      <c r="E1155" s="0" t="s">
        <v>7275</v>
      </c>
      <c r="F1155" s="0" t="s">
        <v>7278</v>
      </c>
      <c r="G1155" s="0" t="s">
        <v>7267</v>
      </c>
    </row>
    <row r="1156" customFormat="false" ht="15" hidden="false" customHeight="false" outlineLevel="0" collapsed="false">
      <c r="A1156" s="0" t="s">
        <v>125</v>
      </c>
      <c r="B1156" s="0" t="n">
        <v>2019</v>
      </c>
      <c r="C1156" s="0" t="s">
        <v>1327</v>
      </c>
      <c r="D1156" s="0" t="n">
        <v>395926</v>
      </c>
      <c r="E1156" s="0" t="s">
        <v>7275</v>
      </c>
      <c r="F1156" s="0" t="s">
        <v>7278</v>
      </c>
      <c r="G1156" s="0" t="s">
        <v>7267</v>
      </c>
    </row>
    <row r="1157" customFormat="false" ht="15" hidden="false" customHeight="false" outlineLevel="0" collapsed="false">
      <c r="A1157" s="0" t="s">
        <v>125</v>
      </c>
      <c r="B1157" s="0" t="n">
        <v>2019</v>
      </c>
      <c r="C1157" s="0" t="s">
        <v>55</v>
      </c>
      <c r="D1157" s="0" t="n">
        <v>5869219</v>
      </c>
      <c r="E1157" s="0" t="s">
        <v>7275</v>
      </c>
      <c r="F1157" s="0" t="s">
        <v>7278</v>
      </c>
      <c r="G1157" s="0" t="s">
        <v>7267</v>
      </c>
    </row>
    <row r="1158" customFormat="false" ht="15" hidden="false" customHeight="false" outlineLevel="0" collapsed="false">
      <c r="A1158" s="0" t="s">
        <v>125</v>
      </c>
      <c r="B1158" s="0" t="n">
        <v>2019</v>
      </c>
      <c r="C1158" s="0" t="s">
        <v>60</v>
      </c>
      <c r="D1158" s="0" t="n">
        <v>1866023</v>
      </c>
      <c r="E1158" s="0" t="s">
        <v>7275</v>
      </c>
      <c r="F1158" s="0" t="s">
        <v>7278</v>
      </c>
      <c r="G1158" s="0" t="s">
        <v>7267</v>
      </c>
    </row>
    <row r="1159" customFormat="false" ht="15" hidden="false" customHeight="false" outlineLevel="0" collapsed="false">
      <c r="A1159" s="0" t="s">
        <v>125</v>
      </c>
      <c r="B1159" s="0" t="n">
        <v>2019</v>
      </c>
      <c r="C1159" s="0" t="s">
        <v>61</v>
      </c>
      <c r="D1159" s="0" t="n">
        <v>158400</v>
      </c>
      <c r="E1159" s="0" t="s">
        <v>7275</v>
      </c>
      <c r="F1159" s="0" t="s">
        <v>7278</v>
      </c>
      <c r="G1159" s="0" t="s">
        <v>7267</v>
      </c>
    </row>
    <row r="1160" customFormat="false" ht="15" hidden="false" customHeight="false" outlineLevel="0" collapsed="false">
      <c r="A1160" s="0" t="s">
        <v>125</v>
      </c>
      <c r="B1160" s="0" t="n">
        <v>2019</v>
      </c>
      <c r="C1160" s="0" t="s">
        <v>63</v>
      </c>
      <c r="D1160" s="0" t="n">
        <v>50821</v>
      </c>
      <c r="E1160" s="0" t="s">
        <v>7275</v>
      </c>
      <c r="F1160" s="0" t="s">
        <v>7278</v>
      </c>
      <c r="G1160" s="0" t="s">
        <v>7267</v>
      </c>
    </row>
    <row r="1161" customFormat="false" ht="15" hidden="false" customHeight="false" outlineLevel="0" collapsed="false">
      <c r="A1161" s="0" t="s">
        <v>125</v>
      </c>
      <c r="B1161" s="0" t="n">
        <v>2019</v>
      </c>
      <c r="C1161" s="0" t="s">
        <v>327</v>
      </c>
      <c r="D1161" s="0" t="n">
        <v>9.9</v>
      </c>
      <c r="E1161" s="0" t="s">
        <v>7275</v>
      </c>
      <c r="F1161" s="0" t="s">
        <v>7278</v>
      </c>
      <c r="G1161" s="0" t="s">
        <v>7267</v>
      </c>
    </row>
    <row r="1162" customFormat="false" ht="15" hidden="false" customHeight="false" outlineLevel="0" collapsed="false">
      <c r="A1162" s="0" t="s">
        <v>125</v>
      </c>
      <c r="B1162" s="0" t="n">
        <v>2019</v>
      </c>
      <c r="C1162" s="0" t="s">
        <v>69</v>
      </c>
      <c r="D1162" s="0" t="n">
        <v>15.45</v>
      </c>
      <c r="E1162" s="0" t="s">
        <v>7275</v>
      </c>
      <c r="F1162" s="0" t="s">
        <v>7278</v>
      </c>
      <c r="G1162" s="0" t="s">
        <v>7267</v>
      </c>
    </row>
    <row r="1163" customFormat="false" ht="15" hidden="false" customHeight="false" outlineLevel="0" collapsed="false">
      <c r="A1163" s="0" t="s">
        <v>125</v>
      </c>
      <c r="B1163" s="0" t="n">
        <v>2019</v>
      </c>
      <c r="C1163" s="0" t="s">
        <v>73</v>
      </c>
      <c r="D1163" s="0" t="n">
        <v>0</v>
      </c>
      <c r="E1163" s="0" t="s">
        <v>7275</v>
      </c>
      <c r="F1163" s="0" t="s">
        <v>7278</v>
      </c>
      <c r="G1163" s="0" t="s">
        <v>7267</v>
      </c>
    </row>
    <row r="1164" customFormat="false" ht="15" hidden="false" customHeight="false" outlineLevel="0" collapsed="false">
      <c r="A1164" s="0" t="s">
        <v>125</v>
      </c>
      <c r="B1164" s="0" t="n">
        <v>2019</v>
      </c>
      <c r="C1164" s="0" t="s">
        <v>1804</v>
      </c>
      <c r="D1164" s="0" t="s">
        <v>7268</v>
      </c>
      <c r="E1164" s="0" t="s">
        <v>7275</v>
      </c>
      <c r="F1164" s="0" t="s">
        <v>7278</v>
      </c>
      <c r="G1164" s="0" t="s">
        <v>7267</v>
      </c>
    </row>
    <row r="1165" customFormat="false" ht="15" hidden="false" customHeight="false" outlineLevel="0" collapsed="false">
      <c r="A1165" s="0" t="s">
        <v>125</v>
      </c>
      <c r="B1165" s="0" t="n">
        <v>2020</v>
      </c>
      <c r="C1165" s="0" t="s">
        <v>54</v>
      </c>
      <c r="D1165" s="0" t="n">
        <v>67750</v>
      </c>
      <c r="E1165" s="0" t="s">
        <v>7275</v>
      </c>
      <c r="F1165" s="0" t="s">
        <v>7278</v>
      </c>
      <c r="G1165" s="0" t="s">
        <v>7267</v>
      </c>
    </row>
    <row r="1166" customFormat="false" ht="15" hidden="false" customHeight="false" outlineLevel="0" collapsed="false">
      <c r="A1166" s="0" t="s">
        <v>125</v>
      </c>
      <c r="B1166" s="0" t="n">
        <v>2020</v>
      </c>
      <c r="C1166" s="0" t="s">
        <v>1327</v>
      </c>
      <c r="D1166" s="0" t="n">
        <v>399128</v>
      </c>
      <c r="E1166" s="0" t="s">
        <v>7275</v>
      </c>
      <c r="F1166" s="0" t="s">
        <v>7278</v>
      </c>
      <c r="G1166" s="0" t="s">
        <v>7267</v>
      </c>
    </row>
    <row r="1167" customFormat="false" ht="15" hidden="false" customHeight="false" outlineLevel="0" collapsed="false">
      <c r="A1167" s="0" t="s">
        <v>125</v>
      </c>
      <c r="B1167" s="0" t="n">
        <v>2020</v>
      </c>
      <c r="C1167" s="0" t="s">
        <v>55</v>
      </c>
      <c r="D1167" s="0" t="n">
        <v>7367465</v>
      </c>
      <c r="E1167" s="0" t="s">
        <v>7275</v>
      </c>
      <c r="F1167" s="0" t="s">
        <v>7278</v>
      </c>
      <c r="G1167" s="0" t="s">
        <v>7267</v>
      </c>
    </row>
    <row r="1168" customFormat="false" ht="15" hidden="false" customHeight="false" outlineLevel="0" collapsed="false">
      <c r="A1168" s="0" t="s">
        <v>125</v>
      </c>
      <c r="B1168" s="0" t="n">
        <v>2020</v>
      </c>
      <c r="C1168" s="0" t="s">
        <v>60</v>
      </c>
      <c r="D1168" s="0" t="n">
        <v>2222380</v>
      </c>
      <c r="E1168" s="0" t="s">
        <v>7275</v>
      </c>
      <c r="F1168" s="0" t="s">
        <v>7278</v>
      </c>
      <c r="G1168" s="0" t="s">
        <v>7267</v>
      </c>
    </row>
    <row r="1169" customFormat="false" ht="15" hidden="false" customHeight="false" outlineLevel="0" collapsed="false">
      <c r="A1169" s="0" t="s">
        <v>125</v>
      </c>
      <c r="B1169" s="0" t="n">
        <v>2020</v>
      </c>
      <c r="C1169" s="0" t="s">
        <v>61</v>
      </c>
      <c r="D1169" s="0" t="n">
        <v>144500</v>
      </c>
      <c r="E1169" s="0" t="s">
        <v>7275</v>
      </c>
      <c r="F1169" s="0" t="s">
        <v>7278</v>
      </c>
      <c r="G1169" s="0" t="s">
        <v>7267</v>
      </c>
    </row>
    <row r="1170" customFormat="false" ht="15" hidden="false" customHeight="false" outlineLevel="0" collapsed="false">
      <c r="A1170" s="0" t="s">
        <v>125</v>
      </c>
      <c r="B1170" s="0" t="n">
        <v>2020</v>
      </c>
      <c r="C1170" s="0" t="s">
        <v>63</v>
      </c>
      <c r="D1170" s="0" t="n">
        <v>64100</v>
      </c>
      <c r="E1170" s="0" t="s">
        <v>7275</v>
      </c>
      <c r="F1170" s="0" t="s">
        <v>7278</v>
      </c>
      <c r="G1170" s="0" t="s">
        <v>7267</v>
      </c>
    </row>
    <row r="1171" customFormat="false" ht="15" hidden="false" customHeight="false" outlineLevel="0" collapsed="false">
      <c r="A1171" s="0" t="s">
        <v>125</v>
      </c>
      <c r="B1171" s="0" t="n">
        <v>2020</v>
      </c>
      <c r="C1171" s="0" t="s">
        <v>327</v>
      </c>
      <c r="D1171" s="0" t="n">
        <v>7.7</v>
      </c>
      <c r="E1171" s="0" t="s">
        <v>7275</v>
      </c>
      <c r="F1171" s="0" t="s">
        <v>7278</v>
      </c>
      <c r="G1171" s="0" t="s">
        <v>7267</v>
      </c>
    </row>
    <row r="1172" customFormat="false" ht="15" hidden="false" customHeight="false" outlineLevel="0" collapsed="false">
      <c r="A1172" s="0" t="s">
        <v>125</v>
      </c>
      <c r="B1172" s="0" t="n">
        <v>2020</v>
      </c>
      <c r="C1172" s="0" t="s">
        <v>69</v>
      </c>
      <c r="D1172" s="0" t="n">
        <v>17.01</v>
      </c>
      <c r="E1172" s="0" t="s">
        <v>7275</v>
      </c>
      <c r="F1172" s="0" t="s">
        <v>7278</v>
      </c>
      <c r="G1172" s="0" t="s">
        <v>7267</v>
      </c>
    </row>
    <row r="1173" customFormat="false" ht="15" hidden="false" customHeight="false" outlineLevel="0" collapsed="false">
      <c r="A1173" s="0" t="s">
        <v>125</v>
      </c>
      <c r="B1173" s="0" t="n">
        <v>2020</v>
      </c>
      <c r="C1173" s="0" t="s">
        <v>73</v>
      </c>
      <c r="D1173" s="0" t="n">
        <v>0</v>
      </c>
      <c r="E1173" s="0" t="s">
        <v>7275</v>
      </c>
      <c r="F1173" s="0" t="s">
        <v>7278</v>
      </c>
      <c r="G1173" s="0" t="s">
        <v>7267</v>
      </c>
    </row>
    <row r="1174" customFormat="false" ht="15" hidden="false" customHeight="false" outlineLevel="0" collapsed="false">
      <c r="A1174" s="0" t="s">
        <v>125</v>
      </c>
      <c r="B1174" s="0" t="n">
        <v>2020</v>
      </c>
      <c r="C1174" s="0" t="s">
        <v>1804</v>
      </c>
      <c r="D1174" s="0" t="s">
        <v>3392</v>
      </c>
      <c r="E1174" s="0" t="s">
        <v>7275</v>
      </c>
      <c r="F1174" s="0" t="s">
        <v>7278</v>
      </c>
      <c r="G1174" s="0" t="s">
        <v>7267</v>
      </c>
    </row>
    <row r="1175" customFormat="false" ht="15" hidden="false" customHeight="false" outlineLevel="0" collapsed="false">
      <c r="A1175" s="0" t="s">
        <v>125</v>
      </c>
      <c r="B1175" s="0" t="n">
        <v>2021</v>
      </c>
      <c r="C1175" s="0" t="s">
        <v>54</v>
      </c>
      <c r="D1175" s="0" t="n">
        <v>117840</v>
      </c>
      <c r="E1175" s="0" t="s">
        <v>7275</v>
      </c>
      <c r="F1175" s="0" t="s">
        <v>7278</v>
      </c>
      <c r="G1175" s="0" t="s">
        <v>7267</v>
      </c>
    </row>
    <row r="1176" customFormat="false" ht="15" hidden="false" customHeight="false" outlineLevel="0" collapsed="false">
      <c r="A1176" s="0" t="s">
        <v>125</v>
      </c>
      <c r="B1176" s="0" t="n">
        <v>2021</v>
      </c>
      <c r="C1176" s="0" t="s">
        <v>1327</v>
      </c>
      <c r="D1176" s="0" t="n">
        <v>567875</v>
      </c>
      <c r="E1176" s="0" t="s">
        <v>7275</v>
      </c>
      <c r="F1176" s="0" t="s">
        <v>7278</v>
      </c>
      <c r="G1176" s="0" t="s">
        <v>7267</v>
      </c>
    </row>
    <row r="1177" customFormat="false" ht="15" hidden="false" customHeight="false" outlineLevel="0" collapsed="false">
      <c r="A1177" s="0" t="s">
        <v>125</v>
      </c>
      <c r="B1177" s="0" t="n">
        <v>2021</v>
      </c>
      <c r="C1177" s="0" t="s">
        <v>55</v>
      </c>
      <c r="D1177" s="0" t="n">
        <v>8542372</v>
      </c>
      <c r="E1177" s="0" t="s">
        <v>7275</v>
      </c>
      <c r="F1177" s="0" t="s">
        <v>7278</v>
      </c>
      <c r="G1177" s="0" t="s">
        <v>7267</v>
      </c>
    </row>
    <row r="1178" customFormat="false" ht="15" hidden="false" customHeight="false" outlineLevel="0" collapsed="false">
      <c r="A1178" s="0" t="s">
        <v>125</v>
      </c>
      <c r="B1178" s="0" t="n">
        <v>2021</v>
      </c>
      <c r="C1178" s="0" t="s">
        <v>60</v>
      </c>
      <c r="D1178" s="0" t="n">
        <v>2835233</v>
      </c>
      <c r="E1178" s="0" t="s">
        <v>7275</v>
      </c>
      <c r="F1178" s="0" t="s">
        <v>7278</v>
      </c>
      <c r="G1178" s="0" t="s">
        <v>7267</v>
      </c>
    </row>
    <row r="1179" customFormat="false" ht="15" hidden="false" customHeight="false" outlineLevel="0" collapsed="false">
      <c r="A1179" s="0" t="s">
        <v>125</v>
      </c>
      <c r="B1179" s="0" t="n">
        <v>2021</v>
      </c>
      <c r="C1179" s="0" t="s">
        <v>61</v>
      </c>
      <c r="D1179" s="0" t="n">
        <v>140200</v>
      </c>
      <c r="E1179" s="0" t="s">
        <v>7275</v>
      </c>
      <c r="F1179" s="0" t="s">
        <v>7278</v>
      </c>
      <c r="G1179" s="0" t="s">
        <v>7267</v>
      </c>
    </row>
    <row r="1180" customFormat="false" ht="15" hidden="false" customHeight="false" outlineLevel="0" collapsed="false">
      <c r="A1180" s="0" t="s">
        <v>125</v>
      </c>
      <c r="B1180" s="0" t="n">
        <v>2021</v>
      </c>
      <c r="C1180" s="0" t="s">
        <v>63</v>
      </c>
      <c r="D1180" s="0" t="n">
        <v>123080</v>
      </c>
      <c r="E1180" s="0" t="s">
        <v>7275</v>
      </c>
      <c r="F1180" s="0" t="s">
        <v>7278</v>
      </c>
      <c r="G1180" s="0" t="s">
        <v>7267</v>
      </c>
    </row>
    <row r="1181" customFormat="false" ht="15" hidden="false" customHeight="false" outlineLevel="0" collapsed="false">
      <c r="A1181" s="0" t="s">
        <v>125</v>
      </c>
      <c r="B1181" s="0" t="n">
        <v>2021</v>
      </c>
      <c r="C1181" s="0" t="s">
        <v>327</v>
      </c>
      <c r="D1181" s="0" t="n">
        <v>7.2</v>
      </c>
      <c r="E1181" s="0" t="s">
        <v>7275</v>
      </c>
      <c r="F1181" s="0" t="s">
        <v>7278</v>
      </c>
      <c r="G1181" s="0" t="s">
        <v>7267</v>
      </c>
    </row>
    <row r="1182" customFormat="false" ht="15" hidden="false" customHeight="false" outlineLevel="0" collapsed="false">
      <c r="A1182" s="0" t="s">
        <v>125</v>
      </c>
      <c r="B1182" s="0" t="n">
        <v>2021</v>
      </c>
      <c r="C1182" s="0" t="s">
        <v>69</v>
      </c>
      <c r="D1182" s="0" t="n">
        <v>17.39</v>
      </c>
      <c r="E1182" s="0" t="s">
        <v>7275</v>
      </c>
      <c r="F1182" s="0" t="s">
        <v>7278</v>
      </c>
      <c r="G1182" s="0" t="s">
        <v>7267</v>
      </c>
    </row>
    <row r="1183" customFormat="false" ht="15" hidden="false" customHeight="false" outlineLevel="0" collapsed="false">
      <c r="A1183" s="0" t="s">
        <v>125</v>
      </c>
      <c r="B1183" s="0" t="n">
        <v>2021</v>
      </c>
      <c r="C1183" s="0" t="s">
        <v>73</v>
      </c>
      <c r="D1183" s="0" t="n">
        <v>0</v>
      </c>
      <c r="E1183" s="0" t="s">
        <v>7275</v>
      </c>
      <c r="F1183" s="0" t="s">
        <v>7278</v>
      </c>
      <c r="G1183" s="0" t="s">
        <v>7267</v>
      </c>
    </row>
    <row r="1184" customFormat="false" ht="15" hidden="false" customHeight="false" outlineLevel="0" collapsed="false">
      <c r="A1184" s="0" t="s">
        <v>125</v>
      </c>
      <c r="B1184" s="0" t="n">
        <v>2021</v>
      </c>
      <c r="C1184" s="0" t="s">
        <v>1804</v>
      </c>
      <c r="D1184" s="0" t="s">
        <v>3392</v>
      </c>
      <c r="E1184" s="0" t="s">
        <v>7275</v>
      </c>
      <c r="F1184" s="0" t="s">
        <v>7278</v>
      </c>
      <c r="G1184" s="0" t="s">
        <v>7267</v>
      </c>
    </row>
    <row r="1185" customFormat="false" ht="15" hidden="false" customHeight="false" outlineLevel="0" collapsed="false">
      <c r="A1185" s="0" t="s">
        <v>125</v>
      </c>
      <c r="B1185" s="0" t="n">
        <v>2022</v>
      </c>
      <c r="C1185" s="0" t="s">
        <v>54</v>
      </c>
      <c r="D1185" s="0" t="n">
        <v>129584</v>
      </c>
      <c r="E1185" s="0" t="s">
        <v>7275</v>
      </c>
      <c r="F1185" s="0" t="s">
        <v>7278</v>
      </c>
      <c r="G1185" s="0" t="s">
        <v>7267</v>
      </c>
    </row>
    <row r="1186" customFormat="false" ht="15" hidden="false" customHeight="false" outlineLevel="0" collapsed="false">
      <c r="A1186" s="0" t="s">
        <v>125</v>
      </c>
      <c r="B1186" s="0" t="n">
        <v>2022</v>
      </c>
      <c r="C1186" s="0" t="s">
        <v>1327</v>
      </c>
      <c r="D1186" s="0" t="n">
        <v>555663</v>
      </c>
      <c r="E1186" s="0" t="s">
        <v>7275</v>
      </c>
      <c r="F1186" s="0" t="s">
        <v>7278</v>
      </c>
      <c r="G1186" s="0" t="s">
        <v>7267</v>
      </c>
    </row>
    <row r="1187" customFormat="false" ht="15" hidden="false" customHeight="false" outlineLevel="0" collapsed="false">
      <c r="A1187" s="0" t="s">
        <v>125</v>
      </c>
      <c r="B1187" s="0" t="n">
        <v>2022</v>
      </c>
      <c r="C1187" s="0" t="s">
        <v>55</v>
      </c>
      <c r="D1187" s="0" t="n">
        <v>10089910</v>
      </c>
      <c r="E1187" s="0" t="s">
        <v>7275</v>
      </c>
      <c r="F1187" s="0" t="s">
        <v>7278</v>
      </c>
      <c r="G1187" s="0" t="s">
        <v>7267</v>
      </c>
    </row>
    <row r="1188" customFormat="false" ht="15" hidden="false" customHeight="false" outlineLevel="0" collapsed="false">
      <c r="A1188" s="0" t="s">
        <v>125</v>
      </c>
      <c r="B1188" s="0" t="n">
        <v>2022</v>
      </c>
      <c r="C1188" s="0" t="s">
        <v>60</v>
      </c>
      <c r="D1188" s="0" t="n">
        <v>3699495</v>
      </c>
      <c r="E1188" s="0" t="s">
        <v>7275</v>
      </c>
      <c r="F1188" s="0" t="s">
        <v>7278</v>
      </c>
      <c r="G1188" s="0" t="s">
        <v>7267</v>
      </c>
    </row>
    <row r="1189" customFormat="false" ht="15" hidden="false" customHeight="false" outlineLevel="0" collapsed="false">
      <c r="A1189" s="0" t="s">
        <v>125</v>
      </c>
      <c r="B1189" s="0" t="n">
        <v>2022</v>
      </c>
      <c r="C1189" s="0" t="s">
        <v>61</v>
      </c>
      <c r="D1189" s="0" t="n">
        <v>132100</v>
      </c>
      <c r="E1189" s="0" t="s">
        <v>7275</v>
      </c>
      <c r="F1189" s="0" t="s">
        <v>7278</v>
      </c>
      <c r="G1189" s="0" t="s">
        <v>7267</v>
      </c>
    </row>
    <row r="1190" customFormat="false" ht="15" hidden="false" customHeight="false" outlineLevel="0" collapsed="false">
      <c r="A1190" s="0" t="s">
        <v>125</v>
      </c>
      <c r="B1190" s="0" t="n">
        <v>2022</v>
      </c>
      <c r="C1190" s="0" t="s">
        <v>63</v>
      </c>
      <c r="D1190" s="0" t="n">
        <v>66710</v>
      </c>
      <c r="E1190" s="0" t="s">
        <v>7275</v>
      </c>
      <c r="F1190" s="0" t="s">
        <v>7278</v>
      </c>
      <c r="G1190" s="0" t="s">
        <v>7267</v>
      </c>
    </row>
    <row r="1191" customFormat="false" ht="15" hidden="false" customHeight="false" outlineLevel="0" collapsed="false">
      <c r="A1191" s="0" t="s">
        <v>125</v>
      </c>
      <c r="B1191" s="0" t="n">
        <v>2022</v>
      </c>
      <c r="C1191" s="0" t="s">
        <v>327</v>
      </c>
      <c r="D1191" s="0" t="n">
        <v>5.4</v>
      </c>
      <c r="E1191" s="0" t="s">
        <v>7275</v>
      </c>
      <c r="F1191" s="0" t="s">
        <v>7278</v>
      </c>
      <c r="G1191" s="0" t="s">
        <v>7267</v>
      </c>
    </row>
    <row r="1192" customFormat="false" ht="15" hidden="false" customHeight="false" outlineLevel="0" collapsed="false">
      <c r="A1192" s="0" t="s">
        <v>125</v>
      </c>
      <c r="B1192" s="0" t="n">
        <v>2022</v>
      </c>
      <c r="C1192" s="0" t="s">
        <v>69</v>
      </c>
      <c r="D1192" s="0" t="n">
        <v>16.57</v>
      </c>
      <c r="E1192" s="0" t="s">
        <v>7275</v>
      </c>
      <c r="F1192" s="0" t="s">
        <v>7278</v>
      </c>
      <c r="G1192" s="0" t="s">
        <v>7267</v>
      </c>
    </row>
    <row r="1193" customFormat="false" ht="15" hidden="false" customHeight="false" outlineLevel="0" collapsed="false">
      <c r="A1193" s="0" t="s">
        <v>125</v>
      </c>
      <c r="B1193" s="0" t="n">
        <v>2022</v>
      </c>
      <c r="C1193" s="0" t="s">
        <v>73</v>
      </c>
      <c r="D1193" s="0" t="n">
        <v>0</v>
      </c>
      <c r="E1193" s="0" t="s">
        <v>7275</v>
      </c>
      <c r="F1193" s="0" t="s">
        <v>7278</v>
      </c>
      <c r="G1193" s="0" t="s">
        <v>7267</v>
      </c>
    </row>
    <row r="1194" customFormat="false" ht="15" hidden="false" customHeight="false" outlineLevel="0" collapsed="false">
      <c r="A1194" s="0" t="s">
        <v>125</v>
      </c>
      <c r="B1194" s="0" t="n">
        <v>2022</v>
      </c>
      <c r="C1194" s="0" t="s">
        <v>1804</v>
      </c>
      <c r="D1194" s="0" t="s">
        <v>3392</v>
      </c>
      <c r="E1194" s="0" t="s">
        <v>7275</v>
      </c>
      <c r="F1194" s="0" t="s">
        <v>7278</v>
      </c>
      <c r="G1194" s="0" t="s">
        <v>7267</v>
      </c>
    </row>
    <row r="1195" customFormat="false" ht="15" hidden="false" customHeight="false" outlineLevel="0" collapsed="false">
      <c r="A1195" s="0" t="s">
        <v>178</v>
      </c>
      <c r="B1195" s="0" t="n">
        <v>2015</v>
      </c>
      <c r="C1195" s="0" t="s">
        <v>54</v>
      </c>
      <c r="D1195" s="0" t="n">
        <v>47642</v>
      </c>
      <c r="E1195" s="0" t="s">
        <v>7275</v>
      </c>
      <c r="F1195" s="0" t="s">
        <v>7279</v>
      </c>
      <c r="G1195" s="0" t="s">
        <v>7267</v>
      </c>
    </row>
    <row r="1196" customFormat="false" ht="15" hidden="false" customHeight="false" outlineLevel="0" collapsed="false">
      <c r="A1196" s="0" t="s">
        <v>178</v>
      </c>
      <c r="B1196" s="0" t="n">
        <v>2015</v>
      </c>
      <c r="C1196" s="0" t="s">
        <v>1327</v>
      </c>
      <c r="D1196" s="0" t="n">
        <v>247378</v>
      </c>
      <c r="E1196" s="0" t="s">
        <v>7275</v>
      </c>
      <c r="F1196" s="0" t="s">
        <v>7279</v>
      </c>
      <c r="G1196" s="0" t="s">
        <v>7267</v>
      </c>
    </row>
    <row r="1197" customFormat="false" ht="15" hidden="false" customHeight="false" outlineLevel="0" collapsed="false">
      <c r="A1197" s="0" t="s">
        <v>178</v>
      </c>
      <c r="B1197" s="0" t="n">
        <v>2015</v>
      </c>
      <c r="C1197" s="0" t="s">
        <v>55</v>
      </c>
      <c r="D1197" s="0" t="n">
        <v>2216337</v>
      </c>
      <c r="E1197" s="0" t="s">
        <v>7275</v>
      </c>
      <c r="F1197" s="0" t="s">
        <v>7279</v>
      </c>
      <c r="G1197" s="0" t="s">
        <v>7267</v>
      </c>
    </row>
    <row r="1198" customFormat="false" ht="15" hidden="false" customHeight="false" outlineLevel="0" collapsed="false">
      <c r="A1198" s="0" t="s">
        <v>178</v>
      </c>
      <c r="B1198" s="0" t="n">
        <v>2015</v>
      </c>
      <c r="C1198" s="0" t="s">
        <v>60</v>
      </c>
      <c r="D1198" s="0" t="n">
        <v>835737</v>
      </c>
      <c r="E1198" s="0" t="s">
        <v>7275</v>
      </c>
      <c r="F1198" s="0" t="s">
        <v>7279</v>
      </c>
      <c r="G1198" s="0" t="s">
        <v>7267</v>
      </c>
    </row>
    <row r="1199" customFormat="false" ht="15" hidden="false" customHeight="false" outlineLevel="0" collapsed="false">
      <c r="A1199" s="0" t="s">
        <v>178</v>
      </c>
      <c r="B1199" s="0" t="n">
        <v>2015</v>
      </c>
      <c r="C1199" s="0" t="s">
        <v>61</v>
      </c>
      <c r="D1199" s="0" t="n">
        <v>14104</v>
      </c>
      <c r="E1199" s="0" t="s">
        <v>7275</v>
      </c>
      <c r="F1199" s="0" t="s">
        <v>7279</v>
      </c>
      <c r="G1199" s="0" t="s">
        <v>7267</v>
      </c>
    </row>
    <row r="1200" customFormat="false" ht="15" hidden="false" customHeight="false" outlineLevel="0" collapsed="false">
      <c r="A1200" s="0" t="s">
        <v>178</v>
      </c>
      <c r="B1200" s="0" t="n">
        <v>2015</v>
      </c>
      <c r="C1200" s="0" t="s">
        <v>63</v>
      </c>
      <c r="D1200" s="0" t="n">
        <v>3491</v>
      </c>
      <c r="E1200" s="0" t="s">
        <v>7275</v>
      </c>
      <c r="F1200" s="0" t="s">
        <v>7279</v>
      </c>
      <c r="G1200" s="0" t="s">
        <v>7267</v>
      </c>
    </row>
    <row r="1201" customFormat="false" ht="15" hidden="false" customHeight="false" outlineLevel="0" collapsed="false">
      <c r="A1201" s="0" t="s">
        <v>178</v>
      </c>
      <c r="B1201" s="0" t="n">
        <v>2015</v>
      </c>
      <c r="C1201" s="0" t="s">
        <v>327</v>
      </c>
      <c r="D1201" s="0" t="n">
        <v>0.91</v>
      </c>
      <c r="E1201" s="0" t="s">
        <v>7275</v>
      </c>
      <c r="F1201" s="0" t="s">
        <v>7279</v>
      </c>
      <c r="G1201" s="0" t="s">
        <v>7267</v>
      </c>
    </row>
    <row r="1202" customFormat="false" ht="15" hidden="false" customHeight="false" outlineLevel="0" collapsed="false">
      <c r="A1202" s="0" t="s">
        <v>178</v>
      </c>
      <c r="B1202" s="0" t="n">
        <v>2015</v>
      </c>
      <c r="C1202" s="0" t="s">
        <v>69</v>
      </c>
      <c r="D1202" s="0" t="n">
        <v>20</v>
      </c>
      <c r="E1202" s="0" t="s">
        <v>7275</v>
      </c>
      <c r="F1202" s="0" t="s">
        <v>7279</v>
      </c>
      <c r="G1202" s="0" t="s">
        <v>7267</v>
      </c>
    </row>
    <row r="1203" customFormat="false" ht="15" hidden="false" customHeight="false" outlineLevel="0" collapsed="false">
      <c r="A1203" s="0" t="s">
        <v>178</v>
      </c>
      <c r="B1203" s="0" t="n">
        <v>2015</v>
      </c>
      <c r="C1203" s="0" t="s">
        <v>73</v>
      </c>
      <c r="D1203" s="0" t="n">
        <v>0</v>
      </c>
      <c r="E1203" s="0" t="s">
        <v>7275</v>
      </c>
      <c r="F1203" s="0" t="s">
        <v>7279</v>
      </c>
      <c r="G1203" s="0" t="s">
        <v>7267</v>
      </c>
    </row>
    <row r="1204" customFormat="false" ht="15" hidden="false" customHeight="false" outlineLevel="0" collapsed="false">
      <c r="A1204" s="0" t="s">
        <v>178</v>
      </c>
      <c r="B1204" s="0" t="n">
        <v>2015</v>
      </c>
      <c r="C1204" s="0" t="s">
        <v>1804</v>
      </c>
      <c r="D1204" s="0" t="s">
        <v>1838</v>
      </c>
      <c r="E1204" s="0" t="s">
        <v>7275</v>
      </c>
      <c r="F1204" s="0" t="s">
        <v>7279</v>
      </c>
      <c r="G1204" s="0" t="s">
        <v>7267</v>
      </c>
    </row>
    <row r="1205" customFormat="false" ht="15" hidden="false" customHeight="false" outlineLevel="0" collapsed="false">
      <c r="A1205" s="0" t="s">
        <v>178</v>
      </c>
      <c r="B1205" s="0" t="n">
        <v>2016</v>
      </c>
      <c r="C1205" s="0" t="s">
        <v>54</v>
      </c>
      <c r="D1205" s="0" t="n">
        <v>47541</v>
      </c>
      <c r="E1205" s="0" t="s">
        <v>7275</v>
      </c>
      <c r="F1205" s="0" t="s">
        <v>7279</v>
      </c>
      <c r="G1205" s="0" t="s">
        <v>7267</v>
      </c>
    </row>
    <row r="1206" customFormat="false" ht="15" hidden="false" customHeight="false" outlineLevel="0" collapsed="false">
      <c r="A1206" s="0" t="s">
        <v>178</v>
      </c>
      <c r="B1206" s="0" t="n">
        <v>2016</v>
      </c>
      <c r="C1206" s="0" t="s">
        <v>1327</v>
      </c>
      <c r="D1206" s="0" t="n">
        <v>269895</v>
      </c>
      <c r="E1206" s="0" t="s">
        <v>7275</v>
      </c>
      <c r="F1206" s="0" t="s">
        <v>7279</v>
      </c>
      <c r="G1206" s="0" t="s">
        <v>7267</v>
      </c>
    </row>
    <row r="1207" customFormat="false" ht="15" hidden="false" customHeight="false" outlineLevel="0" collapsed="false">
      <c r="A1207" s="0" t="s">
        <v>178</v>
      </c>
      <c r="B1207" s="0" t="n">
        <v>2016</v>
      </c>
      <c r="C1207" s="0" t="s">
        <v>55</v>
      </c>
      <c r="D1207" s="0" t="n">
        <v>2539585</v>
      </c>
      <c r="E1207" s="0" t="s">
        <v>7275</v>
      </c>
      <c r="F1207" s="0" t="s">
        <v>7279</v>
      </c>
      <c r="G1207" s="0" t="s">
        <v>7267</v>
      </c>
    </row>
    <row r="1208" customFormat="false" ht="15" hidden="false" customHeight="false" outlineLevel="0" collapsed="false">
      <c r="A1208" s="0" t="s">
        <v>178</v>
      </c>
      <c r="B1208" s="0" t="n">
        <v>2016</v>
      </c>
      <c r="C1208" s="0" t="s">
        <v>60</v>
      </c>
      <c r="D1208" s="0" t="n">
        <v>1120096</v>
      </c>
      <c r="E1208" s="0" t="s">
        <v>7275</v>
      </c>
      <c r="F1208" s="0" t="s">
        <v>7279</v>
      </c>
      <c r="G1208" s="0" t="s">
        <v>7267</v>
      </c>
    </row>
    <row r="1209" customFormat="false" ht="15" hidden="false" customHeight="false" outlineLevel="0" collapsed="false">
      <c r="A1209" s="0" t="s">
        <v>178</v>
      </c>
      <c r="B1209" s="0" t="n">
        <v>2016</v>
      </c>
      <c r="C1209" s="0" t="s">
        <v>61</v>
      </c>
      <c r="D1209" s="0" t="n">
        <v>32295</v>
      </c>
      <c r="E1209" s="0" t="s">
        <v>7275</v>
      </c>
      <c r="F1209" s="0" t="s">
        <v>7279</v>
      </c>
      <c r="G1209" s="0" t="s">
        <v>7267</v>
      </c>
    </row>
    <row r="1210" customFormat="false" ht="15" hidden="false" customHeight="false" outlineLevel="0" collapsed="false">
      <c r="A1210" s="0" t="s">
        <v>178</v>
      </c>
      <c r="B1210" s="0" t="n">
        <v>2016</v>
      </c>
      <c r="C1210" s="0" t="s">
        <v>63</v>
      </c>
      <c r="D1210" s="0" t="n">
        <v>25521</v>
      </c>
      <c r="E1210" s="0" t="s">
        <v>7275</v>
      </c>
      <c r="F1210" s="0" t="s">
        <v>7279</v>
      </c>
      <c r="G1210" s="0" t="s">
        <v>7267</v>
      </c>
    </row>
    <row r="1211" customFormat="false" ht="15" hidden="false" customHeight="false" outlineLevel="0" collapsed="false">
      <c r="A1211" s="0" t="s">
        <v>178</v>
      </c>
      <c r="B1211" s="0" t="n">
        <v>2016</v>
      </c>
      <c r="C1211" s="0" t="s">
        <v>327</v>
      </c>
      <c r="D1211" s="0" t="n">
        <v>5.1</v>
      </c>
      <c r="E1211" s="0" t="s">
        <v>7275</v>
      </c>
      <c r="F1211" s="0" t="s">
        <v>7279</v>
      </c>
      <c r="G1211" s="0" t="s">
        <v>7267</v>
      </c>
    </row>
    <row r="1212" customFormat="false" ht="15" hidden="false" customHeight="false" outlineLevel="0" collapsed="false">
      <c r="A1212" s="0" t="s">
        <v>178</v>
      </c>
      <c r="B1212" s="0" t="n">
        <v>2016</v>
      </c>
      <c r="C1212" s="0" t="s">
        <v>69</v>
      </c>
      <c r="D1212" s="0" t="n">
        <v>20</v>
      </c>
      <c r="E1212" s="0" t="s">
        <v>7275</v>
      </c>
      <c r="F1212" s="0" t="s">
        <v>7279</v>
      </c>
      <c r="G1212" s="0" t="s">
        <v>7267</v>
      </c>
    </row>
    <row r="1213" customFormat="false" ht="15" hidden="false" customHeight="false" outlineLevel="0" collapsed="false">
      <c r="A1213" s="0" t="s">
        <v>178</v>
      </c>
      <c r="B1213" s="0" t="n">
        <v>2016</v>
      </c>
      <c r="C1213" s="0" t="s">
        <v>73</v>
      </c>
      <c r="D1213" s="0" t="n">
        <v>0</v>
      </c>
      <c r="E1213" s="0" t="s">
        <v>7275</v>
      </c>
      <c r="F1213" s="0" t="s">
        <v>7279</v>
      </c>
      <c r="G1213" s="0" t="s">
        <v>7267</v>
      </c>
    </row>
    <row r="1214" customFormat="false" ht="15" hidden="false" customHeight="false" outlineLevel="0" collapsed="false">
      <c r="A1214" s="0" t="s">
        <v>178</v>
      </c>
      <c r="B1214" s="0" t="n">
        <v>2016</v>
      </c>
      <c r="C1214" s="0" t="s">
        <v>1804</v>
      </c>
      <c r="D1214" s="0" t="s">
        <v>1838</v>
      </c>
      <c r="E1214" s="0" t="s">
        <v>7275</v>
      </c>
      <c r="F1214" s="0" t="s">
        <v>7279</v>
      </c>
      <c r="G1214" s="0" t="s">
        <v>7267</v>
      </c>
    </row>
    <row r="1215" customFormat="false" ht="15" hidden="false" customHeight="false" outlineLevel="0" collapsed="false">
      <c r="A1215" s="0" t="s">
        <v>178</v>
      </c>
      <c r="B1215" s="0" t="n">
        <v>2017</v>
      </c>
      <c r="C1215" s="0" t="s">
        <v>54</v>
      </c>
      <c r="D1215" s="0" t="n">
        <v>41396</v>
      </c>
      <c r="E1215" s="0" t="s">
        <v>7275</v>
      </c>
      <c r="F1215" s="0" t="s">
        <v>7279</v>
      </c>
      <c r="G1215" s="0" t="s">
        <v>7267</v>
      </c>
    </row>
    <row r="1216" customFormat="false" ht="15" hidden="false" customHeight="false" outlineLevel="0" collapsed="false">
      <c r="A1216" s="0" t="s">
        <v>178</v>
      </c>
      <c r="B1216" s="0" t="n">
        <v>2017</v>
      </c>
      <c r="C1216" s="0" t="s">
        <v>1327</v>
      </c>
      <c r="D1216" s="0" t="n">
        <v>316263</v>
      </c>
      <c r="E1216" s="0" t="s">
        <v>7275</v>
      </c>
      <c r="F1216" s="0" t="s">
        <v>7279</v>
      </c>
      <c r="G1216" s="0" t="s">
        <v>7267</v>
      </c>
    </row>
    <row r="1217" customFormat="false" ht="15" hidden="false" customHeight="false" outlineLevel="0" collapsed="false">
      <c r="A1217" s="0" t="s">
        <v>178</v>
      </c>
      <c r="B1217" s="0" t="n">
        <v>2017</v>
      </c>
      <c r="C1217" s="0" t="s">
        <v>55</v>
      </c>
      <c r="D1217" s="0" t="n">
        <v>2931826</v>
      </c>
      <c r="E1217" s="0" t="s">
        <v>7275</v>
      </c>
      <c r="F1217" s="0" t="s">
        <v>7279</v>
      </c>
      <c r="G1217" s="0" t="s">
        <v>7267</v>
      </c>
    </row>
    <row r="1218" customFormat="false" ht="15" hidden="false" customHeight="false" outlineLevel="0" collapsed="false">
      <c r="A1218" s="0" t="s">
        <v>178</v>
      </c>
      <c r="B1218" s="0" t="n">
        <v>2017</v>
      </c>
      <c r="C1218" s="0" t="s">
        <v>60</v>
      </c>
      <c r="D1218" s="0" t="n">
        <v>1204426</v>
      </c>
      <c r="E1218" s="0" t="s">
        <v>7275</v>
      </c>
      <c r="F1218" s="0" t="s">
        <v>7279</v>
      </c>
      <c r="G1218" s="0" t="s">
        <v>7267</v>
      </c>
    </row>
    <row r="1219" customFormat="false" ht="15" hidden="false" customHeight="false" outlineLevel="0" collapsed="false">
      <c r="A1219" s="0" t="s">
        <v>178</v>
      </c>
      <c r="B1219" s="0" t="n">
        <v>2017</v>
      </c>
      <c r="C1219" s="0" t="s">
        <v>61</v>
      </c>
      <c r="D1219" s="0" t="n">
        <v>31212</v>
      </c>
      <c r="E1219" s="0" t="s">
        <v>7275</v>
      </c>
      <c r="F1219" s="0" t="s">
        <v>7279</v>
      </c>
      <c r="G1219" s="0" t="s">
        <v>7267</v>
      </c>
    </row>
    <row r="1220" customFormat="false" ht="15" hidden="false" customHeight="false" outlineLevel="0" collapsed="false">
      <c r="A1220" s="0" t="s">
        <v>178</v>
      </c>
      <c r="B1220" s="0" t="n">
        <v>2017</v>
      </c>
      <c r="C1220" s="0" t="s">
        <v>63</v>
      </c>
      <c r="D1220" s="0" t="n">
        <v>30433</v>
      </c>
      <c r="E1220" s="0" t="s">
        <v>7275</v>
      </c>
      <c r="F1220" s="0" t="s">
        <v>7279</v>
      </c>
      <c r="G1220" s="0" t="s">
        <v>7267</v>
      </c>
    </row>
    <row r="1221" customFormat="false" ht="15" hidden="false" customHeight="false" outlineLevel="0" collapsed="false">
      <c r="A1221" s="0" t="s">
        <v>178</v>
      </c>
      <c r="B1221" s="0" t="n">
        <v>2017</v>
      </c>
      <c r="C1221" s="0" t="s">
        <v>327</v>
      </c>
      <c r="D1221" s="0" t="n">
        <v>3.7</v>
      </c>
      <c r="E1221" s="0" t="s">
        <v>7275</v>
      </c>
      <c r="F1221" s="0" t="s">
        <v>7279</v>
      </c>
      <c r="G1221" s="0" t="s">
        <v>7267</v>
      </c>
    </row>
    <row r="1222" customFormat="false" ht="15" hidden="false" customHeight="false" outlineLevel="0" collapsed="false">
      <c r="A1222" s="0" t="s">
        <v>178</v>
      </c>
      <c r="B1222" s="0" t="n">
        <v>2017</v>
      </c>
      <c r="C1222" s="0" t="s">
        <v>69</v>
      </c>
      <c r="D1222" s="0" t="n">
        <v>20</v>
      </c>
      <c r="E1222" s="0" t="s">
        <v>7275</v>
      </c>
      <c r="F1222" s="0" t="s">
        <v>7279</v>
      </c>
      <c r="G1222" s="0" t="s">
        <v>7267</v>
      </c>
    </row>
    <row r="1223" customFormat="false" ht="15" hidden="false" customHeight="false" outlineLevel="0" collapsed="false">
      <c r="A1223" s="0" t="s">
        <v>178</v>
      </c>
      <c r="B1223" s="0" t="n">
        <v>2017</v>
      </c>
      <c r="C1223" s="0" t="s">
        <v>73</v>
      </c>
      <c r="D1223" s="0" t="n">
        <v>0</v>
      </c>
      <c r="E1223" s="0" t="s">
        <v>7275</v>
      </c>
      <c r="F1223" s="0" t="s">
        <v>7279</v>
      </c>
      <c r="G1223" s="0" t="s">
        <v>7267</v>
      </c>
    </row>
    <row r="1224" customFormat="false" ht="15" hidden="false" customHeight="false" outlineLevel="0" collapsed="false">
      <c r="A1224" s="0" t="s">
        <v>178</v>
      </c>
      <c r="B1224" s="0" t="n">
        <v>2017</v>
      </c>
      <c r="C1224" s="0" t="s">
        <v>1804</v>
      </c>
      <c r="D1224" s="0" t="s">
        <v>1838</v>
      </c>
      <c r="E1224" s="0" t="s">
        <v>7275</v>
      </c>
      <c r="F1224" s="0" t="s">
        <v>7279</v>
      </c>
      <c r="G1224" s="0" t="s">
        <v>7267</v>
      </c>
    </row>
    <row r="1225" customFormat="false" ht="15" hidden="false" customHeight="false" outlineLevel="0" collapsed="false">
      <c r="A1225" s="0" t="s">
        <v>178</v>
      </c>
      <c r="B1225" s="0" t="n">
        <v>2018</v>
      </c>
      <c r="C1225" s="0" t="s">
        <v>54</v>
      </c>
      <c r="D1225" s="0" t="n">
        <v>41047</v>
      </c>
      <c r="E1225" s="0" t="s">
        <v>7275</v>
      </c>
      <c r="F1225" s="0" t="s">
        <v>7279</v>
      </c>
      <c r="G1225" s="0" t="s">
        <v>7267</v>
      </c>
    </row>
    <row r="1226" customFormat="false" ht="15" hidden="false" customHeight="false" outlineLevel="0" collapsed="false">
      <c r="A1226" s="0" t="s">
        <v>178</v>
      </c>
      <c r="B1226" s="0" t="n">
        <v>2018</v>
      </c>
      <c r="C1226" s="0" t="s">
        <v>1327</v>
      </c>
      <c r="D1226" s="0" t="n">
        <v>341504</v>
      </c>
      <c r="E1226" s="0" t="s">
        <v>7275</v>
      </c>
      <c r="F1226" s="0" t="s">
        <v>7279</v>
      </c>
      <c r="G1226" s="0" t="s">
        <v>7267</v>
      </c>
    </row>
    <row r="1227" customFormat="false" ht="15" hidden="false" customHeight="false" outlineLevel="0" collapsed="false">
      <c r="A1227" s="0" t="s">
        <v>178</v>
      </c>
      <c r="B1227" s="0" t="n">
        <v>2018</v>
      </c>
      <c r="C1227" s="0" t="s">
        <v>55</v>
      </c>
      <c r="D1227" s="0" t="n">
        <v>3591305</v>
      </c>
      <c r="E1227" s="0" t="s">
        <v>7275</v>
      </c>
      <c r="F1227" s="0" t="s">
        <v>7279</v>
      </c>
      <c r="G1227" s="0" t="s">
        <v>7267</v>
      </c>
    </row>
    <row r="1228" customFormat="false" ht="15" hidden="false" customHeight="false" outlineLevel="0" collapsed="false">
      <c r="A1228" s="0" t="s">
        <v>178</v>
      </c>
      <c r="B1228" s="0" t="n">
        <v>2018</v>
      </c>
      <c r="C1228" s="0" t="s">
        <v>60</v>
      </c>
      <c r="D1228" s="0" t="n">
        <v>1274112</v>
      </c>
      <c r="E1228" s="0" t="s">
        <v>7275</v>
      </c>
      <c r="F1228" s="0" t="s">
        <v>7279</v>
      </c>
      <c r="G1228" s="0" t="s">
        <v>7267</v>
      </c>
    </row>
    <row r="1229" customFormat="false" ht="15" hidden="false" customHeight="false" outlineLevel="0" collapsed="false">
      <c r="A1229" s="0" t="s">
        <v>178</v>
      </c>
      <c r="B1229" s="0" t="n">
        <v>2018</v>
      </c>
      <c r="C1229" s="0" t="s">
        <v>61</v>
      </c>
      <c r="D1229" s="0" t="n">
        <v>60311</v>
      </c>
      <c r="E1229" s="0" t="s">
        <v>7275</v>
      </c>
      <c r="F1229" s="0" t="s">
        <v>7279</v>
      </c>
      <c r="G1229" s="0" t="s">
        <v>7267</v>
      </c>
    </row>
    <row r="1230" customFormat="false" ht="15" hidden="false" customHeight="false" outlineLevel="0" collapsed="false">
      <c r="A1230" s="0" t="s">
        <v>178</v>
      </c>
      <c r="B1230" s="0" t="n">
        <v>2018</v>
      </c>
      <c r="C1230" s="0" t="s">
        <v>63</v>
      </c>
      <c r="D1230" s="0" t="n">
        <v>4257</v>
      </c>
      <c r="E1230" s="0" t="s">
        <v>7275</v>
      </c>
      <c r="F1230" s="0" t="s">
        <v>7279</v>
      </c>
      <c r="G1230" s="0" t="s">
        <v>7267</v>
      </c>
    </row>
    <row r="1231" customFormat="false" ht="15" hidden="false" customHeight="false" outlineLevel="0" collapsed="false">
      <c r="A1231" s="0" t="s">
        <v>178</v>
      </c>
      <c r="B1231" s="0" t="n">
        <v>2018</v>
      </c>
      <c r="C1231" s="0" t="s">
        <v>327</v>
      </c>
      <c r="D1231" s="0" t="n">
        <v>4.2</v>
      </c>
      <c r="E1231" s="0" t="s">
        <v>7275</v>
      </c>
      <c r="F1231" s="0" t="s">
        <v>7279</v>
      </c>
      <c r="G1231" s="0" t="s">
        <v>7267</v>
      </c>
    </row>
    <row r="1232" customFormat="false" ht="15" hidden="false" customHeight="false" outlineLevel="0" collapsed="false">
      <c r="A1232" s="0" t="s">
        <v>178</v>
      </c>
      <c r="B1232" s="0" t="n">
        <v>2018</v>
      </c>
      <c r="C1232" s="0" t="s">
        <v>69</v>
      </c>
      <c r="D1232" s="0" t="n">
        <v>20</v>
      </c>
      <c r="E1232" s="0" t="s">
        <v>7275</v>
      </c>
      <c r="F1232" s="0" t="s">
        <v>7279</v>
      </c>
      <c r="G1232" s="0" t="s">
        <v>7267</v>
      </c>
    </row>
    <row r="1233" customFormat="false" ht="15" hidden="false" customHeight="false" outlineLevel="0" collapsed="false">
      <c r="A1233" s="0" t="s">
        <v>178</v>
      </c>
      <c r="B1233" s="0" t="n">
        <v>2018</v>
      </c>
      <c r="C1233" s="0" t="s">
        <v>73</v>
      </c>
      <c r="D1233" s="0" t="n">
        <v>0</v>
      </c>
      <c r="E1233" s="0" t="s">
        <v>7275</v>
      </c>
      <c r="F1233" s="0" t="s">
        <v>7279</v>
      </c>
      <c r="G1233" s="0" t="s">
        <v>7267</v>
      </c>
    </row>
    <row r="1234" customFormat="false" ht="15" hidden="false" customHeight="false" outlineLevel="0" collapsed="false">
      <c r="A1234" s="0" t="s">
        <v>178</v>
      </c>
      <c r="B1234" s="0" t="n">
        <v>2018</v>
      </c>
      <c r="C1234" s="0" t="s">
        <v>1804</v>
      </c>
      <c r="D1234" s="0" t="s">
        <v>1838</v>
      </c>
      <c r="E1234" s="0" t="s">
        <v>7275</v>
      </c>
      <c r="F1234" s="0" t="s">
        <v>7279</v>
      </c>
      <c r="G1234" s="0" t="s">
        <v>7267</v>
      </c>
    </row>
    <row r="1235" customFormat="false" ht="15" hidden="false" customHeight="false" outlineLevel="0" collapsed="false">
      <c r="A1235" s="0" t="s">
        <v>178</v>
      </c>
      <c r="B1235" s="0" t="n">
        <v>2019</v>
      </c>
      <c r="C1235" s="0" t="s">
        <v>54</v>
      </c>
      <c r="D1235" s="0" t="n">
        <v>62750</v>
      </c>
      <c r="E1235" s="0" t="s">
        <v>7275</v>
      </c>
      <c r="F1235" s="0" t="s">
        <v>7279</v>
      </c>
      <c r="G1235" s="0" t="s">
        <v>7267</v>
      </c>
    </row>
    <row r="1236" customFormat="false" ht="15" hidden="false" customHeight="false" outlineLevel="0" collapsed="false">
      <c r="A1236" s="0" t="s">
        <v>178</v>
      </c>
      <c r="B1236" s="0" t="n">
        <v>2019</v>
      </c>
      <c r="C1236" s="0" t="s">
        <v>1327</v>
      </c>
      <c r="D1236" s="0" t="n">
        <v>412624</v>
      </c>
      <c r="E1236" s="0" t="s">
        <v>7275</v>
      </c>
      <c r="F1236" s="0" t="s">
        <v>7279</v>
      </c>
      <c r="G1236" s="0" t="s">
        <v>7267</v>
      </c>
    </row>
    <row r="1237" customFormat="false" ht="15" hidden="false" customHeight="false" outlineLevel="0" collapsed="false">
      <c r="A1237" s="0" t="s">
        <v>178</v>
      </c>
      <c r="B1237" s="0" t="n">
        <v>2019</v>
      </c>
      <c r="C1237" s="0" t="s">
        <v>55</v>
      </c>
      <c r="D1237" s="0" t="n">
        <v>4136493</v>
      </c>
      <c r="E1237" s="0" t="s">
        <v>7275</v>
      </c>
      <c r="F1237" s="0" t="s">
        <v>7279</v>
      </c>
      <c r="G1237" s="0" t="s">
        <v>7267</v>
      </c>
    </row>
    <row r="1238" customFormat="false" ht="15" hidden="false" customHeight="false" outlineLevel="0" collapsed="false">
      <c r="A1238" s="0" t="s">
        <v>178</v>
      </c>
      <c r="B1238" s="0" t="n">
        <v>2019</v>
      </c>
      <c r="C1238" s="0" t="s">
        <v>60</v>
      </c>
      <c r="D1238" s="0" t="n">
        <v>1557358</v>
      </c>
      <c r="E1238" s="0" t="s">
        <v>7275</v>
      </c>
      <c r="F1238" s="0" t="s">
        <v>7279</v>
      </c>
      <c r="G1238" s="0" t="s">
        <v>7267</v>
      </c>
    </row>
    <row r="1239" customFormat="false" ht="15" hidden="false" customHeight="false" outlineLevel="0" collapsed="false">
      <c r="A1239" s="0" t="s">
        <v>178</v>
      </c>
      <c r="B1239" s="0" t="n">
        <v>2019</v>
      </c>
      <c r="C1239" s="0" t="s">
        <v>61</v>
      </c>
      <c r="D1239" s="0" t="n">
        <v>53978</v>
      </c>
      <c r="E1239" s="0" t="s">
        <v>7275</v>
      </c>
      <c r="F1239" s="0" t="s">
        <v>7279</v>
      </c>
      <c r="G1239" s="0" t="s">
        <v>7267</v>
      </c>
    </row>
    <row r="1240" customFormat="false" ht="15" hidden="false" customHeight="false" outlineLevel="0" collapsed="false">
      <c r="A1240" s="0" t="s">
        <v>178</v>
      </c>
      <c r="B1240" s="0" t="n">
        <v>2019</v>
      </c>
      <c r="C1240" s="0" t="s">
        <v>63</v>
      </c>
      <c r="D1240" s="0" t="n">
        <v>16369</v>
      </c>
      <c r="E1240" s="0" t="s">
        <v>7275</v>
      </c>
      <c r="F1240" s="0" t="s">
        <v>7279</v>
      </c>
      <c r="G1240" s="0" t="s">
        <v>7267</v>
      </c>
    </row>
    <row r="1241" customFormat="false" ht="15" hidden="false" customHeight="false" outlineLevel="0" collapsed="false">
      <c r="A1241" s="0" t="s">
        <v>178</v>
      </c>
      <c r="B1241" s="0" t="n">
        <v>2019</v>
      </c>
      <c r="C1241" s="0" t="s">
        <v>327</v>
      </c>
      <c r="D1241" s="0" t="n">
        <v>2.87</v>
      </c>
      <c r="E1241" s="0" t="s">
        <v>7275</v>
      </c>
      <c r="F1241" s="0" t="s">
        <v>7279</v>
      </c>
      <c r="G1241" s="0" t="s">
        <v>7267</v>
      </c>
    </row>
    <row r="1242" customFormat="false" ht="15" hidden="false" customHeight="false" outlineLevel="0" collapsed="false">
      <c r="A1242" s="0" t="s">
        <v>178</v>
      </c>
      <c r="B1242" s="0" t="n">
        <v>2019</v>
      </c>
      <c r="C1242" s="0" t="s">
        <v>69</v>
      </c>
      <c r="D1242" s="0" t="n">
        <v>20.39</v>
      </c>
      <c r="E1242" s="0" t="s">
        <v>7275</v>
      </c>
      <c r="F1242" s="0" t="s">
        <v>7279</v>
      </c>
      <c r="G1242" s="0" t="s">
        <v>7267</v>
      </c>
    </row>
    <row r="1243" customFormat="false" ht="15" hidden="false" customHeight="false" outlineLevel="0" collapsed="false">
      <c r="A1243" s="0" t="s">
        <v>178</v>
      </c>
      <c r="B1243" s="0" t="n">
        <v>2019</v>
      </c>
      <c r="C1243" s="0" t="s">
        <v>73</v>
      </c>
      <c r="D1243" s="0" t="n">
        <v>0</v>
      </c>
      <c r="E1243" s="0" t="s">
        <v>7275</v>
      </c>
      <c r="F1243" s="0" t="s">
        <v>7279</v>
      </c>
      <c r="G1243" s="0" t="s">
        <v>7267</v>
      </c>
    </row>
    <row r="1244" customFormat="false" ht="15" hidden="false" customHeight="false" outlineLevel="0" collapsed="false">
      <c r="A1244" s="0" t="s">
        <v>178</v>
      </c>
      <c r="B1244" s="0" t="n">
        <v>2019</v>
      </c>
      <c r="C1244" s="0" t="s">
        <v>1804</v>
      </c>
      <c r="D1244" s="0" t="s">
        <v>1860</v>
      </c>
      <c r="E1244" s="0" t="s">
        <v>7275</v>
      </c>
      <c r="F1244" s="0" t="s">
        <v>7279</v>
      </c>
      <c r="G1244" s="0" t="s">
        <v>7267</v>
      </c>
    </row>
    <row r="1245" customFormat="false" ht="15" hidden="false" customHeight="false" outlineLevel="0" collapsed="false">
      <c r="A1245" s="0" t="s">
        <v>178</v>
      </c>
      <c r="B1245" s="0" t="n">
        <v>2020</v>
      </c>
      <c r="C1245" s="0" t="s">
        <v>54</v>
      </c>
      <c r="D1245" s="0" t="n">
        <v>56911</v>
      </c>
      <c r="E1245" s="0" t="s">
        <v>7275</v>
      </c>
      <c r="F1245" s="0" t="s">
        <v>7279</v>
      </c>
      <c r="G1245" s="0" t="s">
        <v>7267</v>
      </c>
    </row>
    <row r="1246" customFormat="false" ht="15" hidden="false" customHeight="false" outlineLevel="0" collapsed="false">
      <c r="A1246" s="0" t="s">
        <v>178</v>
      </c>
      <c r="B1246" s="0" t="n">
        <v>2020</v>
      </c>
      <c r="C1246" s="0" t="s">
        <v>1327</v>
      </c>
      <c r="D1246" s="0" t="n">
        <v>381476</v>
      </c>
      <c r="E1246" s="0" t="s">
        <v>7275</v>
      </c>
      <c r="F1246" s="0" t="s">
        <v>7279</v>
      </c>
      <c r="G1246" s="0" t="s">
        <v>7267</v>
      </c>
    </row>
    <row r="1247" customFormat="false" ht="15" hidden="false" customHeight="false" outlineLevel="0" collapsed="false">
      <c r="A1247" s="0" t="s">
        <v>178</v>
      </c>
      <c r="B1247" s="0" t="n">
        <v>2020</v>
      </c>
      <c r="C1247" s="0" t="s">
        <v>55</v>
      </c>
      <c r="D1247" s="0" t="n">
        <v>5207833</v>
      </c>
      <c r="E1247" s="0" t="s">
        <v>7275</v>
      </c>
      <c r="F1247" s="0" t="s">
        <v>7279</v>
      </c>
      <c r="G1247" s="0" t="s">
        <v>7267</v>
      </c>
    </row>
    <row r="1248" customFormat="false" ht="15" hidden="false" customHeight="false" outlineLevel="0" collapsed="false">
      <c r="A1248" s="0" t="s">
        <v>178</v>
      </c>
      <c r="B1248" s="0" t="n">
        <v>2020</v>
      </c>
      <c r="C1248" s="0" t="s">
        <v>60</v>
      </c>
      <c r="D1248" s="0" t="n">
        <v>1874858</v>
      </c>
      <c r="E1248" s="0" t="s">
        <v>7275</v>
      </c>
      <c r="F1248" s="0" t="s">
        <v>7279</v>
      </c>
      <c r="G1248" s="0" t="s">
        <v>7267</v>
      </c>
    </row>
    <row r="1249" customFormat="false" ht="15" hidden="false" customHeight="false" outlineLevel="0" collapsed="false">
      <c r="A1249" s="0" t="s">
        <v>178</v>
      </c>
      <c r="B1249" s="0" t="n">
        <v>2020</v>
      </c>
      <c r="C1249" s="0" t="s">
        <v>61</v>
      </c>
      <c r="D1249" s="0" t="n">
        <v>62322</v>
      </c>
      <c r="E1249" s="0" t="s">
        <v>7275</v>
      </c>
      <c r="F1249" s="0" t="s">
        <v>7279</v>
      </c>
      <c r="G1249" s="0" t="s">
        <v>7267</v>
      </c>
    </row>
    <row r="1250" customFormat="false" ht="15" hidden="false" customHeight="false" outlineLevel="0" collapsed="false">
      <c r="A1250" s="0" t="s">
        <v>178</v>
      </c>
      <c r="B1250" s="0" t="n">
        <v>2020</v>
      </c>
      <c r="C1250" s="0" t="s">
        <v>63</v>
      </c>
      <c r="D1250" s="0" t="n">
        <v>21864</v>
      </c>
      <c r="E1250" s="0" t="s">
        <v>7275</v>
      </c>
      <c r="F1250" s="0" t="s">
        <v>7279</v>
      </c>
      <c r="G1250" s="0" t="s">
        <v>7267</v>
      </c>
    </row>
    <row r="1251" customFormat="false" ht="15" hidden="false" customHeight="false" outlineLevel="0" collapsed="false">
      <c r="A1251" s="0" t="s">
        <v>178</v>
      </c>
      <c r="B1251" s="0" t="n">
        <v>2020</v>
      </c>
      <c r="C1251" s="0" t="s">
        <v>327</v>
      </c>
      <c r="D1251" s="0" t="n">
        <v>2.2</v>
      </c>
      <c r="E1251" s="0" t="s">
        <v>7275</v>
      </c>
      <c r="F1251" s="0" t="s">
        <v>7279</v>
      </c>
      <c r="G1251" s="0" t="s">
        <v>7267</v>
      </c>
    </row>
    <row r="1252" customFormat="false" ht="15" hidden="false" customHeight="false" outlineLevel="0" collapsed="false">
      <c r="A1252" s="0" t="s">
        <v>178</v>
      </c>
      <c r="B1252" s="0" t="n">
        <v>2020</v>
      </c>
      <c r="C1252" s="0" t="s">
        <v>69</v>
      </c>
      <c r="D1252" s="0" t="n">
        <v>19.7</v>
      </c>
      <c r="E1252" s="0" t="s">
        <v>7275</v>
      </c>
      <c r="F1252" s="0" t="s">
        <v>7279</v>
      </c>
      <c r="G1252" s="0" t="s">
        <v>7267</v>
      </c>
    </row>
    <row r="1253" customFormat="false" ht="15" hidden="false" customHeight="false" outlineLevel="0" collapsed="false">
      <c r="A1253" s="0" t="s">
        <v>178</v>
      </c>
      <c r="B1253" s="0" t="n">
        <v>2020</v>
      </c>
      <c r="C1253" s="0" t="s">
        <v>73</v>
      </c>
      <c r="D1253" s="0" t="n">
        <v>0</v>
      </c>
      <c r="E1253" s="0" t="s">
        <v>7275</v>
      </c>
      <c r="F1253" s="0" t="s">
        <v>7279</v>
      </c>
      <c r="G1253" s="0" t="s">
        <v>7267</v>
      </c>
    </row>
    <row r="1254" customFormat="false" ht="15" hidden="false" customHeight="false" outlineLevel="0" collapsed="false">
      <c r="A1254" s="0" t="s">
        <v>178</v>
      </c>
      <c r="B1254" s="0" t="n">
        <v>2020</v>
      </c>
      <c r="C1254" s="0" t="s">
        <v>1804</v>
      </c>
      <c r="D1254" s="0" t="s">
        <v>1860</v>
      </c>
      <c r="E1254" s="0" t="s">
        <v>7275</v>
      </c>
      <c r="F1254" s="0" t="s">
        <v>7279</v>
      </c>
      <c r="G1254" s="0" t="s">
        <v>7267</v>
      </c>
    </row>
    <row r="1255" customFormat="false" ht="15" hidden="false" customHeight="false" outlineLevel="0" collapsed="false">
      <c r="A1255" s="0" t="s">
        <v>178</v>
      </c>
      <c r="B1255" s="0" t="n">
        <v>2021</v>
      </c>
      <c r="C1255" s="0" t="s">
        <v>54</v>
      </c>
      <c r="D1255" s="0" t="n">
        <v>58669</v>
      </c>
      <c r="E1255" s="0" t="s">
        <v>7275</v>
      </c>
      <c r="F1255" s="0" t="s">
        <v>7279</v>
      </c>
      <c r="G1255" s="0" t="s">
        <v>7267</v>
      </c>
    </row>
    <row r="1256" customFormat="false" ht="15" hidden="false" customHeight="false" outlineLevel="0" collapsed="false">
      <c r="A1256" s="0" t="s">
        <v>178</v>
      </c>
      <c r="B1256" s="0" t="n">
        <v>2021</v>
      </c>
      <c r="C1256" s="0" t="s">
        <v>1327</v>
      </c>
      <c r="D1256" s="0" t="n">
        <v>381493</v>
      </c>
      <c r="E1256" s="0" t="s">
        <v>7275</v>
      </c>
      <c r="F1256" s="0" t="s">
        <v>7279</v>
      </c>
      <c r="G1256" s="0" t="s">
        <v>7267</v>
      </c>
    </row>
    <row r="1257" customFormat="false" ht="15" hidden="false" customHeight="false" outlineLevel="0" collapsed="false">
      <c r="A1257" s="0" t="s">
        <v>178</v>
      </c>
      <c r="B1257" s="0" t="n">
        <v>2021</v>
      </c>
      <c r="C1257" s="0" t="s">
        <v>55</v>
      </c>
      <c r="D1257" s="0" t="n">
        <v>5574976</v>
      </c>
      <c r="E1257" s="0" t="s">
        <v>7275</v>
      </c>
      <c r="F1257" s="0" t="s">
        <v>7279</v>
      </c>
      <c r="G1257" s="0" t="s">
        <v>7267</v>
      </c>
    </row>
    <row r="1258" customFormat="false" ht="15" hidden="false" customHeight="false" outlineLevel="0" collapsed="false">
      <c r="A1258" s="0" t="s">
        <v>178</v>
      </c>
      <c r="B1258" s="0" t="n">
        <v>2021</v>
      </c>
      <c r="C1258" s="0" t="s">
        <v>60</v>
      </c>
      <c r="D1258" s="0" t="n">
        <v>1913403</v>
      </c>
      <c r="E1258" s="0" t="s">
        <v>7275</v>
      </c>
      <c r="F1258" s="0" t="s">
        <v>7279</v>
      </c>
      <c r="G1258" s="0" t="s">
        <v>7267</v>
      </c>
    </row>
    <row r="1259" customFormat="false" ht="15" hidden="false" customHeight="false" outlineLevel="0" collapsed="false">
      <c r="A1259" s="0" t="s">
        <v>178</v>
      </c>
      <c r="B1259" s="0" t="n">
        <v>2021</v>
      </c>
      <c r="C1259" s="0" t="s">
        <v>61</v>
      </c>
      <c r="D1259" s="0" t="n">
        <v>65301</v>
      </c>
      <c r="E1259" s="0" t="s">
        <v>7275</v>
      </c>
      <c r="F1259" s="0" t="s">
        <v>7279</v>
      </c>
      <c r="G1259" s="0" t="s">
        <v>7267</v>
      </c>
    </row>
    <row r="1260" customFormat="false" ht="15" hidden="false" customHeight="false" outlineLevel="0" collapsed="false">
      <c r="A1260" s="0" t="s">
        <v>178</v>
      </c>
      <c r="B1260" s="0" t="n">
        <v>2021</v>
      </c>
      <c r="C1260" s="0" t="s">
        <v>63</v>
      </c>
      <c r="D1260" s="0" t="n">
        <v>9749</v>
      </c>
      <c r="E1260" s="0" t="s">
        <v>7275</v>
      </c>
      <c r="F1260" s="0" t="s">
        <v>7279</v>
      </c>
      <c r="G1260" s="0" t="s">
        <v>7267</v>
      </c>
    </row>
    <row r="1261" customFormat="false" ht="15" hidden="false" customHeight="false" outlineLevel="0" collapsed="false">
      <c r="A1261" s="0" t="s">
        <v>178</v>
      </c>
      <c r="B1261" s="0" t="n">
        <v>2021</v>
      </c>
      <c r="C1261" s="0" t="s">
        <v>327</v>
      </c>
      <c r="D1261" s="0" t="n">
        <v>3.2</v>
      </c>
      <c r="E1261" s="0" t="s">
        <v>7275</v>
      </c>
      <c r="F1261" s="0" t="s">
        <v>7279</v>
      </c>
      <c r="G1261" s="0" t="s">
        <v>7267</v>
      </c>
    </row>
    <row r="1262" customFormat="false" ht="15" hidden="false" customHeight="false" outlineLevel="0" collapsed="false">
      <c r="A1262" s="0" t="s">
        <v>178</v>
      </c>
      <c r="B1262" s="0" t="n">
        <v>2021</v>
      </c>
      <c r="C1262" s="0" t="s">
        <v>69</v>
      </c>
      <c r="D1262" s="0" t="n">
        <v>21.8</v>
      </c>
      <c r="E1262" s="0" t="s">
        <v>7275</v>
      </c>
      <c r="F1262" s="0" t="s">
        <v>7279</v>
      </c>
      <c r="G1262" s="0" t="s">
        <v>7267</v>
      </c>
    </row>
    <row r="1263" customFormat="false" ht="15" hidden="false" customHeight="false" outlineLevel="0" collapsed="false">
      <c r="A1263" s="0" t="s">
        <v>178</v>
      </c>
      <c r="B1263" s="0" t="n">
        <v>2021</v>
      </c>
      <c r="C1263" s="0" t="s">
        <v>73</v>
      </c>
      <c r="D1263" s="0" t="n">
        <v>0</v>
      </c>
      <c r="E1263" s="0" t="s">
        <v>7275</v>
      </c>
      <c r="F1263" s="0" t="s">
        <v>7279</v>
      </c>
      <c r="G1263" s="0" t="s">
        <v>7267</v>
      </c>
    </row>
    <row r="1264" customFormat="false" ht="15" hidden="false" customHeight="false" outlineLevel="0" collapsed="false">
      <c r="A1264" s="0" t="s">
        <v>178</v>
      </c>
      <c r="B1264" s="0" t="n">
        <v>2021</v>
      </c>
      <c r="C1264" s="0" t="s">
        <v>1804</v>
      </c>
      <c r="D1264" s="0" t="s">
        <v>1860</v>
      </c>
      <c r="E1264" s="0" t="s">
        <v>7275</v>
      </c>
      <c r="F1264" s="0" t="s">
        <v>7279</v>
      </c>
      <c r="G1264" s="0" t="s">
        <v>7267</v>
      </c>
    </row>
    <row r="1265" customFormat="false" ht="15" hidden="false" customHeight="false" outlineLevel="0" collapsed="false">
      <c r="A1265" s="0" t="s">
        <v>178</v>
      </c>
      <c r="B1265" s="0" t="n">
        <v>2022</v>
      </c>
      <c r="C1265" s="0" t="s">
        <v>54</v>
      </c>
      <c r="D1265" s="0" t="n">
        <v>133696</v>
      </c>
      <c r="E1265" s="0" t="s">
        <v>7275</v>
      </c>
      <c r="F1265" s="0" t="s">
        <v>7279</v>
      </c>
      <c r="G1265" s="0" t="s">
        <v>7267</v>
      </c>
    </row>
    <row r="1266" customFormat="false" ht="15" hidden="false" customHeight="false" outlineLevel="0" collapsed="false">
      <c r="A1266" s="0" t="s">
        <v>178</v>
      </c>
      <c r="B1266" s="0" t="n">
        <v>2022</v>
      </c>
      <c r="C1266" s="0" t="s">
        <v>1327</v>
      </c>
      <c r="D1266" s="0" t="n">
        <v>564555</v>
      </c>
      <c r="E1266" s="0" t="s">
        <v>7275</v>
      </c>
      <c r="F1266" s="0" t="s">
        <v>7279</v>
      </c>
      <c r="G1266" s="0" t="s">
        <v>7267</v>
      </c>
    </row>
    <row r="1267" customFormat="false" ht="15" hidden="false" customHeight="false" outlineLevel="0" collapsed="false">
      <c r="A1267" s="0" t="s">
        <v>178</v>
      </c>
      <c r="B1267" s="0" t="n">
        <v>2022</v>
      </c>
      <c r="C1267" s="0" t="s">
        <v>55</v>
      </c>
      <c r="D1267" s="0" t="n">
        <v>7361044</v>
      </c>
      <c r="E1267" s="0" t="s">
        <v>7275</v>
      </c>
      <c r="F1267" s="0" t="s">
        <v>7279</v>
      </c>
      <c r="G1267" s="0" t="s">
        <v>7267</v>
      </c>
    </row>
    <row r="1268" customFormat="false" ht="15" hidden="false" customHeight="false" outlineLevel="0" collapsed="false">
      <c r="A1268" s="0" t="s">
        <v>178</v>
      </c>
      <c r="B1268" s="0" t="n">
        <v>2022</v>
      </c>
      <c r="C1268" s="0" t="s">
        <v>60</v>
      </c>
      <c r="D1268" s="0" t="n">
        <v>2174779</v>
      </c>
      <c r="E1268" s="0" t="s">
        <v>7275</v>
      </c>
      <c r="F1268" s="0" t="s">
        <v>7279</v>
      </c>
      <c r="G1268" s="0" t="s">
        <v>7267</v>
      </c>
    </row>
    <row r="1269" customFormat="false" ht="15" hidden="false" customHeight="false" outlineLevel="0" collapsed="false">
      <c r="A1269" s="0" t="s">
        <v>178</v>
      </c>
      <c r="B1269" s="0" t="n">
        <v>2022</v>
      </c>
      <c r="C1269" s="0" t="s">
        <v>61</v>
      </c>
      <c r="D1269" s="0" t="n">
        <v>51682</v>
      </c>
      <c r="E1269" s="0" t="s">
        <v>7275</v>
      </c>
      <c r="F1269" s="0" t="s">
        <v>7279</v>
      </c>
      <c r="G1269" s="0" t="s">
        <v>7267</v>
      </c>
    </row>
    <row r="1270" customFormat="false" ht="15" hidden="false" customHeight="false" outlineLevel="0" collapsed="false">
      <c r="A1270" s="0" t="s">
        <v>178</v>
      </c>
      <c r="B1270" s="0" t="n">
        <v>2022</v>
      </c>
      <c r="C1270" s="0" t="s">
        <v>63</v>
      </c>
      <c r="D1270" s="0" t="n">
        <v>10565</v>
      </c>
      <c r="E1270" s="0" t="s">
        <v>7275</v>
      </c>
      <c r="F1270" s="0" t="s">
        <v>7279</v>
      </c>
      <c r="G1270" s="0" t="s">
        <v>7267</v>
      </c>
    </row>
    <row r="1271" customFormat="false" ht="15" hidden="false" customHeight="false" outlineLevel="0" collapsed="false">
      <c r="A1271" s="0" t="s">
        <v>178</v>
      </c>
      <c r="B1271" s="0" t="n">
        <v>2022</v>
      </c>
      <c r="C1271" s="0" t="s">
        <v>327</v>
      </c>
      <c r="D1271" s="0" t="n">
        <v>3.1</v>
      </c>
      <c r="E1271" s="0" t="s">
        <v>7275</v>
      </c>
      <c r="F1271" s="0" t="s">
        <v>7279</v>
      </c>
      <c r="G1271" s="0" t="s">
        <v>7267</v>
      </c>
    </row>
    <row r="1272" customFormat="false" ht="15" hidden="false" customHeight="false" outlineLevel="0" collapsed="false">
      <c r="A1272" s="0" t="s">
        <v>178</v>
      </c>
      <c r="B1272" s="0" t="n">
        <v>2022</v>
      </c>
      <c r="C1272" s="0" t="s">
        <v>69</v>
      </c>
      <c r="D1272" s="0" t="n">
        <v>21.9</v>
      </c>
      <c r="E1272" s="0" t="s">
        <v>7275</v>
      </c>
      <c r="F1272" s="0" t="s">
        <v>7279</v>
      </c>
      <c r="G1272" s="0" t="s">
        <v>7267</v>
      </c>
    </row>
    <row r="1273" customFormat="false" ht="15" hidden="false" customHeight="false" outlineLevel="0" collapsed="false">
      <c r="A1273" s="0" t="s">
        <v>178</v>
      </c>
      <c r="B1273" s="0" t="n">
        <v>2022</v>
      </c>
      <c r="C1273" s="0" t="s">
        <v>73</v>
      </c>
      <c r="D1273" s="0" t="n">
        <v>0</v>
      </c>
      <c r="E1273" s="0" t="s">
        <v>7275</v>
      </c>
      <c r="F1273" s="0" t="s">
        <v>7279</v>
      </c>
      <c r="G1273" s="0" t="s">
        <v>7267</v>
      </c>
    </row>
    <row r="1274" customFormat="false" ht="15" hidden="false" customHeight="false" outlineLevel="0" collapsed="false">
      <c r="A1274" s="0" t="s">
        <v>178</v>
      </c>
      <c r="B1274" s="0" t="n">
        <v>2022</v>
      </c>
      <c r="C1274" s="0" t="s">
        <v>1804</v>
      </c>
      <c r="D1274" s="0" t="s">
        <v>1860</v>
      </c>
      <c r="E1274" s="0" t="s">
        <v>7275</v>
      </c>
      <c r="F1274" s="0" t="s">
        <v>7279</v>
      </c>
      <c r="G1274" s="0" t="s">
        <v>7267</v>
      </c>
    </row>
    <row r="1275" customFormat="false" ht="15" hidden="false" customHeight="false" outlineLevel="0" collapsed="false">
      <c r="A1275" s="0" t="s">
        <v>136</v>
      </c>
      <c r="B1275" s="0" t="n">
        <v>2015</v>
      </c>
      <c r="C1275" s="0" t="s">
        <v>54</v>
      </c>
      <c r="D1275" s="0" t="n">
        <v>94308</v>
      </c>
      <c r="E1275" s="0" t="s">
        <v>7275</v>
      </c>
      <c r="F1275" s="0" t="s">
        <v>7280</v>
      </c>
      <c r="G1275" s="0" t="s">
        <v>7267</v>
      </c>
    </row>
    <row r="1276" customFormat="false" ht="15" hidden="false" customHeight="false" outlineLevel="0" collapsed="false">
      <c r="A1276" s="0" t="s">
        <v>136</v>
      </c>
      <c r="B1276" s="0" t="n">
        <v>2015</v>
      </c>
      <c r="C1276" s="0" t="s">
        <v>1327</v>
      </c>
      <c r="D1276" s="0" t="n">
        <v>268876</v>
      </c>
      <c r="E1276" s="0" t="s">
        <v>7275</v>
      </c>
      <c r="F1276" s="0" t="s">
        <v>7280</v>
      </c>
      <c r="G1276" s="0" t="s">
        <v>7267</v>
      </c>
    </row>
    <row r="1277" customFormat="false" ht="15" hidden="false" customHeight="false" outlineLevel="0" collapsed="false">
      <c r="A1277" s="0" t="s">
        <v>136</v>
      </c>
      <c r="B1277" s="0" t="n">
        <v>2015</v>
      </c>
      <c r="C1277" s="0" t="s">
        <v>55</v>
      </c>
      <c r="D1277" s="0" t="n">
        <v>2277629</v>
      </c>
      <c r="E1277" s="0" t="s">
        <v>7275</v>
      </c>
      <c r="F1277" s="0" t="s">
        <v>7280</v>
      </c>
      <c r="G1277" s="0" t="s">
        <v>7267</v>
      </c>
    </row>
    <row r="1278" customFormat="false" ht="15" hidden="false" customHeight="false" outlineLevel="0" collapsed="false">
      <c r="A1278" s="0" t="s">
        <v>136</v>
      </c>
      <c r="B1278" s="0" t="n">
        <v>2015</v>
      </c>
      <c r="C1278" s="0" t="s">
        <v>60</v>
      </c>
      <c r="D1278" s="0" t="n">
        <v>1265207</v>
      </c>
      <c r="E1278" s="0" t="s">
        <v>7275</v>
      </c>
      <c r="F1278" s="0" t="s">
        <v>7280</v>
      </c>
      <c r="G1278" s="0" t="s">
        <v>7267</v>
      </c>
    </row>
    <row r="1279" customFormat="false" ht="15" hidden="false" customHeight="false" outlineLevel="0" collapsed="false">
      <c r="A1279" s="0" t="s">
        <v>136</v>
      </c>
      <c r="B1279" s="0" t="n">
        <v>2015</v>
      </c>
      <c r="C1279" s="0" t="s">
        <v>61</v>
      </c>
      <c r="D1279" s="0" t="n">
        <v>26309</v>
      </c>
      <c r="E1279" s="0" t="s">
        <v>7275</v>
      </c>
      <c r="F1279" s="0" t="s">
        <v>7280</v>
      </c>
      <c r="G1279" s="0" t="s">
        <v>7267</v>
      </c>
    </row>
    <row r="1280" customFormat="false" ht="15" hidden="false" customHeight="false" outlineLevel="0" collapsed="false">
      <c r="A1280" s="0" t="s">
        <v>136</v>
      </c>
      <c r="B1280" s="0" t="n">
        <v>2015</v>
      </c>
      <c r="C1280" s="0" t="s">
        <v>63</v>
      </c>
      <c r="D1280" s="0" t="n">
        <v>11769</v>
      </c>
      <c r="E1280" s="0" t="s">
        <v>7275</v>
      </c>
      <c r="F1280" s="0" t="s">
        <v>7280</v>
      </c>
      <c r="G1280" s="0" t="s">
        <v>7267</v>
      </c>
    </row>
    <row r="1281" customFormat="false" ht="15" hidden="false" customHeight="false" outlineLevel="0" collapsed="false">
      <c r="A1281" s="0" t="s">
        <v>136</v>
      </c>
      <c r="B1281" s="0" t="n">
        <v>2015</v>
      </c>
      <c r="C1281" s="0" t="s">
        <v>327</v>
      </c>
      <c r="D1281" s="0" t="n">
        <v>15.72</v>
      </c>
      <c r="E1281" s="0" t="s">
        <v>7275</v>
      </c>
      <c r="F1281" s="0" t="s">
        <v>7280</v>
      </c>
      <c r="G1281" s="0" t="s">
        <v>7267</v>
      </c>
    </row>
    <row r="1282" customFormat="false" ht="15" hidden="false" customHeight="false" outlineLevel="0" collapsed="false">
      <c r="A1282" s="0" t="s">
        <v>136</v>
      </c>
      <c r="B1282" s="0" t="n">
        <v>2015</v>
      </c>
      <c r="C1282" s="0" t="s">
        <v>69</v>
      </c>
      <c r="D1282" s="0" t="n">
        <v>18.17</v>
      </c>
      <c r="E1282" s="0" t="s">
        <v>7275</v>
      </c>
      <c r="F1282" s="0" t="s">
        <v>7280</v>
      </c>
      <c r="G1282" s="0" t="s">
        <v>7267</v>
      </c>
    </row>
    <row r="1283" customFormat="false" ht="15" hidden="false" customHeight="false" outlineLevel="0" collapsed="false">
      <c r="A1283" s="0" t="s">
        <v>136</v>
      </c>
      <c r="B1283" s="0" t="n">
        <v>2015</v>
      </c>
      <c r="C1283" s="0" t="s">
        <v>73</v>
      </c>
      <c r="D1283" s="0" t="n">
        <v>0</v>
      </c>
      <c r="E1283" s="0" t="s">
        <v>7275</v>
      </c>
      <c r="F1283" s="0" t="s">
        <v>7280</v>
      </c>
      <c r="G1283" s="0" t="s">
        <v>7267</v>
      </c>
    </row>
    <row r="1284" customFormat="false" ht="15" hidden="false" customHeight="false" outlineLevel="0" collapsed="false">
      <c r="A1284" s="0" t="s">
        <v>136</v>
      </c>
      <c r="B1284" s="0" t="n">
        <v>2015</v>
      </c>
      <c r="C1284" s="0" t="s">
        <v>1804</v>
      </c>
      <c r="D1284" s="0" t="s">
        <v>7268</v>
      </c>
      <c r="E1284" s="0" t="s">
        <v>7275</v>
      </c>
      <c r="F1284" s="0" t="s">
        <v>7280</v>
      </c>
      <c r="G1284" s="0" t="s">
        <v>7267</v>
      </c>
    </row>
    <row r="1285" customFormat="false" ht="15" hidden="false" customHeight="false" outlineLevel="0" collapsed="false">
      <c r="A1285" s="0" t="s">
        <v>136</v>
      </c>
      <c r="B1285" s="0" t="n">
        <v>2016</v>
      </c>
      <c r="C1285" s="0" t="s">
        <v>54</v>
      </c>
      <c r="D1285" s="0" t="n">
        <v>126837</v>
      </c>
      <c r="E1285" s="0" t="s">
        <v>7275</v>
      </c>
      <c r="F1285" s="0" t="s">
        <v>7280</v>
      </c>
      <c r="G1285" s="0" t="s">
        <v>7267</v>
      </c>
    </row>
    <row r="1286" customFormat="false" ht="15" hidden="false" customHeight="false" outlineLevel="0" collapsed="false">
      <c r="A1286" s="0" t="s">
        <v>136</v>
      </c>
      <c r="B1286" s="0" t="n">
        <v>2016</v>
      </c>
      <c r="C1286" s="0" t="s">
        <v>1327</v>
      </c>
      <c r="D1286" s="0" t="n">
        <v>365917</v>
      </c>
      <c r="E1286" s="0" t="s">
        <v>7275</v>
      </c>
      <c r="F1286" s="0" t="s">
        <v>7280</v>
      </c>
      <c r="G1286" s="0" t="s">
        <v>7267</v>
      </c>
    </row>
    <row r="1287" customFormat="false" ht="15" hidden="false" customHeight="false" outlineLevel="0" collapsed="false">
      <c r="A1287" s="0" t="s">
        <v>136</v>
      </c>
      <c r="B1287" s="0" t="n">
        <v>2016</v>
      </c>
      <c r="C1287" s="0" t="s">
        <v>55</v>
      </c>
      <c r="D1287" s="0" t="n">
        <v>2613340</v>
      </c>
      <c r="E1287" s="0" t="s">
        <v>7275</v>
      </c>
      <c r="F1287" s="0" t="s">
        <v>7280</v>
      </c>
      <c r="G1287" s="0" t="s">
        <v>7267</v>
      </c>
    </row>
    <row r="1288" customFormat="false" ht="15" hidden="false" customHeight="false" outlineLevel="0" collapsed="false">
      <c r="A1288" s="0" t="s">
        <v>136</v>
      </c>
      <c r="B1288" s="0" t="n">
        <v>2016</v>
      </c>
      <c r="C1288" s="0" t="s">
        <v>60</v>
      </c>
      <c r="D1288" s="0" t="n">
        <v>1417218</v>
      </c>
      <c r="E1288" s="0" t="s">
        <v>7275</v>
      </c>
      <c r="F1288" s="0" t="s">
        <v>7280</v>
      </c>
      <c r="G1288" s="0" t="s">
        <v>7267</v>
      </c>
    </row>
    <row r="1289" customFormat="false" ht="15" hidden="false" customHeight="false" outlineLevel="0" collapsed="false">
      <c r="A1289" s="0" t="s">
        <v>136</v>
      </c>
      <c r="B1289" s="0" t="n">
        <v>2016</v>
      </c>
      <c r="C1289" s="0" t="s">
        <v>61</v>
      </c>
      <c r="D1289" s="0" t="n">
        <v>71819</v>
      </c>
      <c r="E1289" s="0" t="s">
        <v>7275</v>
      </c>
      <c r="F1289" s="0" t="s">
        <v>7280</v>
      </c>
      <c r="G1289" s="0" t="s">
        <v>7267</v>
      </c>
    </row>
    <row r="1290" customFormat="false" ht="15" hidden="false" customHeight="false" outlineLevel="0" collapsed="false">
      <c r="A1290" s="0" t="s">
        <v>136</v>
      </c>
      <c r="B1290" s="0" t="n">
        <v>2016</v>
      </c>
      <c r="C1290" s="0" t="s">
        <v>63</v>
      </c>
      <c r="D1290" s="0" t="n">
        <v>63543</v>
      </c>
      <c r="E1290" s="0" t="s">
        <v>7275</v>
      </c>
      <c r="F1290" s="0" t="s">
        <v>7280</v>
      </c>
      <c r="G1290" s="0" t="s">
        <v>7267</v>
      </c>
    </row>
    <row r="1291" customFormat="false" ht="15" hidden="false" customHeight="false" outlineLevel="0" collapsed="false">
      <c r="A1291" s="0" t="s">
        <v>136</v>
      </c>
      <c r="B1291" s="0" t="n">
        <v>2016</v>
      </c>
      <c r="C1291" s="0" t="s">
        <v>327</v>
      </c>
      <c r="D1291" s="0" t="n">
        <v>3.4</v>
      </c>
      <c r="E1291" s="0" t="s">
        <v>7275</v>
      </c>
      <c r="F1291" s="0" t="s">
        <v>7280</v>
      </c>
      <c r="G1291" s="0" t="s">
        <v>7267</v>
      </c>
    </row>
    <row r="1292" customFormat="false" ht="15" hidden="false" customHeight="false" outlineLevel="0" collapsed="false">
      <c r="A1292" s="0" t="s">
        <v>136</v>
      </c>
      <c r="B1292" s="0" t="n">
        <v>2016</v>
      </c>
      <c r="C1292" s="0" t="s">
        <v>69</v>
      </c>
      <c r="D1292" s="0" t="n">
        <v>19.79</v>
      </c>
      <c r="E1292" s="0" t="s">
        <v>7275</v>
      </c>
      <c r="F1292" s="0" t="s">
        <v>7280</v>
      </c>
      <c r="G1292" s="0" t="s">
        <v>7267</v>
      </c>
    </row>
    <row r="1293" customFormat="false" ht="15" hidden="false" customHeight="false" outlineLevel="0" collapsed="false">
      <c r="A1293" s="0" t="s">
        <v>136</v>
      </c>
      <c r="B1293" s="0" t="n">
        <v>2016</v>
      </c>
      <c r="C1293" s="0" t="s">
        <v>73</v>
      </c>
      <c r="D1293" s="0" t="n">
        <v>0</v>
      </c>
      <c r="E1293" s="0" t="s">
        <v>7275</v>
      </c>
      <c r="F1293" s="0" t="s">
        <v>7280</v>
      </c>
      <c r="G1293" s="0" t="s">
        <v>7267</v>
      </c>
    </row>
    <row r="1294" customFormat="false" ht="15" hidden="false" customHeight="false" outlineLevel="0" collapsed="false">
      <c r="A1294" s="0" t="s">
        <v>136</v>
      </c>
      <c r="B1294" s="0" t="n">
        <v>2016</v>
      </c>
      <c r="C1294" s="0" t="s">
        <v>1804</v>
      </c>
      <c r="D1294" s="0" t="s">
        <v>7268</v>
      </c>
      <c r="E1294" s="0" t="s">
        <v>7275</v>
      </c>
      <c r="F1294" s="0" t="s">
        <v>7280</v>
      </c>
      <c r="G1294" s="0" t="s">
        <v>7267</v>
      </c>
    </row>
    <row r="1295" customFormat="false" ht="15" hidden="false" customHeight="false" outlineLevel="0" collapsed="false">
      <c r="A1295" s="0" t="s">
        <v>136</v>
      </c>
      <c r="B1295" s="0" t="n">
        <v>2017</v>
      </c>
      <c r="C1295" s="0" t="s">
        <v>54</v>
      </c>
      <c r="D1295" s="0" t="n">
        <v>161285</v>
      </c>
      <c r="E1295" s="0" t="s">
        <v>7275</v>
      </c>
      <c r="F1295" s="0" t="s">
        <v>7280</v>
      </c>
      <c r="G1295" s="0" t="s">
        <v>7267</v>
      </c>
    </row>
    <row r="1296" customFormat="false" ht="15" hidden="false" customHeight="false" outlineLevel="0" collapsed="false">
      <c r="A1296" s="0" t="s">
        <v>136</v>
      </c>
      <c r="B1296" s="0" t="n">
        <v>2017</v>
      </c>
      <c r="C1296" s="0" t="s">
        <v>1327</v>
      </c>
      <c r="D1296" s="0" t="n">
        <v>360237</v>
      </c>
      <c r="E1296" s="0" t="s">
        <v>7275</v>
      </c>
      <c r="F1296" s="0" t="s">
        <v>7280</v>
      </c>
      <c r="G1296" s="0" t="s">
        <v>7267</v>
      </c>
    </row>
    <row r="1297" customFormat="false" ht="15" hidden="false" customHeight="false" outlineLevel="0" collapsed="false">
      <c r="A1297" s="0" t="s">
        <v>136</v>
      </c>
      <c r="B1297" s="0" t="n">
        <v>2017</v>
      </c>
      <c r="C1297" s="0" t="s">
        <v>55</v>
      </c>
      <c r="D1297" s="0" t="n">
        <v>2824929</v>
      </c>
      <c r="E1297" s="0" t="s">
        <v>7275</v>
      </c>
      <c r="F1297" s="0" t="s">
        <v>7280</v>
      </c>
      <c r="G1297" s="0" t="s">
        <v>7267</v>
      </c>
    </row>
    <row r="1298" customFormat="false" ht="15" hidden="false" customHeight="false" outlineLevel="0" collapsed="false">
      <c r="A1298" s="0" t="s">
        <v>136</v>
      </c>
      <c r="B1298" s="0" t="n">
        <v>2017</v>
      </c>
      <c r="C1298" s="0" t="s">
        <v>60</v>
      </c>
      <c r="D1298" s="0" t="n">
        <v>1163273</v>
      </c>
      <c r="E1298" s="0" t="s">
        <v>7275</v>
      </c>
      <c r="F1298" s="0" t="s">
        <v>7280</v>
      </c>
      <c r="G1298" s="0" t="s">
        <v>7267</v>
      </c>
    </row>
    <row r="1299" customFormat="false" ht="15" hidden="false" customHeight="false" outlineLevel="0" collapsed="false">
      <c r="A1299" s="0" t="s">
        <v>136</v>
      </c>
      <c r="B1299" s="0" t="n">
        <v>2017</v>
      </c>
      <c r="C1299" s="0" t="s">
        <v>61</v>
      </c>
      <c r="D1299" s="0" t="n">
        <v>57658</v>
      </c>
      <c r="E1299" s="0" t="s">
        <v>7275</v>
      </c>
      <c r="F1299" s="0" t="s">
        <v>7280</v>
      </c>
      <c r="G1299" s="0" t="s">
        <v>7267</v>
      </c>
    </row>
    <row r="1300" customFormat="false" ht="15" hidden="false" customHeight="false" outlineLevel="0" collapsed="false">
      <c r="A1300" s="0" t="s">
        <v>136</v>
      </c>
      <c r="B1300" s="0" t="n">
        <v>2017</v>
      </c>
      <c r="C1300" s="0" t="s">
        <v>63</v>
      </c>
      <c r="D1300" s="0" t="n">
        <v>10835</v>
      </c>
      <c r="E1300" s="0" t="s">
        <v>7275</v>
      </c>
      <c r="F1300" s="0" t="s">
        <v>7280</v>
      </c>
      <c r="G1300" s="0" t="s">
        <v>7267</v>
      </c>
    </row>
    <row r="1301" customFormat="false" ht="15" hidden="false" customHeight="false" outlineLevel="0" collapsed="false">
      <c r="A1301" s="0" t="s">
        <v>136</v>
      </c>
      <c r="B1301" s="0" t="n">
        <v>2017</v>
      </c>
      <c r="C1301" s="0" t="s">
        <v>327</v>
      </c>
      <c r="D1301" s="0" t="n">
        <v>8.83</v>
      </c>
      <c r="E1301" s="0" t="s">
        <v>7275</v>
      </c>
      <c r="F1301" s="0" t="s">
        <v>7280</v>
      </c>
      <c r="G1301" s="0" t="s">
        <v>7267</v>
      </c>
    </row>
    <row r="1302" customFormat="false" ht="15" hidden="false" customHeight="false" outlineLevel="0" collapsed="false">
      <c r="A1302" s="0" t="s">
        <v>136</v>
      </c>
      <c r="B1302" s="0" t="n">
        <v>2017</v>
      </c>
      <c r="C1302" s="0" t="s">
        <v>69</v>
      </c>
      <c r="D1302" s="0" t="n">
        <v>25.5</v>
      </c>
      <c r="E1302" s="0" t="s">
        <v>7275</v>
      </c>
      <c r="F1302" s="0" t="s">
        <v>7280</v>
      </c>
      <c r="G1302" s="0" t="s">
        <v>7267</v>
      </c>
    </row>
    <row r="1303" customFormat="false" ht="15" hidden="false" customHeight="false" outlineLevel="0" collapsed="false">
      <c r="A1303" s="0" t="s">
        <v>136</v>
      </c>
      <c r="B1303" s="0" t="n">
        <v>2017</v>
      </c>
      <c r="C1303" s="0" t="s">
        <v>73</v>
      </c>
      <c r="D1303" s="0" t="n">
        <v>0</v>
      </c>
      <c r="E1303" s="0" t="s">
        <v>7275</v>
      </c>
      <c r="F1303" s="0" t="s">
        <v>7280</v>
      </c>
      <c r="G1303" s="0" t="s">
        <v>7267</v>
      </c>
    </row>
    <row r="1304" customFormat="false" ht="15" hidden="false" customHeight="false" outlineLevel="0" collapsed="false">
      <c r="A1304" s="0" t="s">
        <v>136</v>
      </c>
      <c r="B1304" s="0" t="n">
        <v>2017</v>
      </c>
      <c r="C1304" s="0" t="s">
        <v>1804</v>
      </c>
      <c r="D1304" s="0" t="s">
        <v>7268</v>
      </c>
      <c r="E1304" s="0" t="s">
        <v>7275</v>
      </c>
      <c r="F1304" s="0" t="s">
        <v>7280</v>
      </c>
      <c r="G1304" s="0" t="s">
        <v>7267</v>
      </c>
    </row>
    <row r="1305" customFormat="false" ht="15" hidden="false" customHeight="false" outlineLevel="0" collapsed="false">
      <c r="A1305" s="0" t="s">
        <v>136</v>
      </c>
      <c r="B1305" s="0" t="n">
        <v>2018</v>
      </c>
      <c r="C1305" s="0" t="s">
        <v>54</v>
      </c>
      <c r="D1305" s="0" t="n">
        <v>166753</v>
      </c>
      <c r="E1305" s="0" t="s">
        <v>7275</v>
      </c>
      <c r="F1305" s="0" t="s">
        <v>7280</v>
      </c>
      <c r="G1305" s="0" t="s">
        <v>7267</v>
      </c>
    </row>
    <row r="1306" customFormat="false" ht="15" hidden="false" customHeight="false" outlineLevel="0" collapsed="false">
      <c r="A1306" s="0" t="s">
        <v>136</v>
      </c>
      <c r="B1306" s="0" t="n">
        <v>2018</v>
      </c>
      <c r="C1306" s="0" t="s">
        <v>1327</v>
      </c>
      <c r="D1306" s="0" t="n">
        <v>356380</v>
      </c>
      <c r="E1306" s="0" t="s">
        <v>7275</v>
      </c>
      <c r="F1306" s="0" t="s">
        <v>7280</v>
      </c>
      <c r="G1306" s="0" t="s">
        <v>7267</v>
      </c>
    </row>
    <row r="1307" customFormat="false" ht="15" hidden="false" customHeight="false" outlineLevel="0" collapsed="false">
      <c r="A1307" s="0" t="s">
        <v>136</v>
      </c>
      <c r="B1307" s="0" t="n">
        <v>2018</v>
      </c>
      <c r="C1307" s="0" t="s">
        <v>55</v>
      </c>
      <c r="D1307" s="0" t="n">
        <v>2712521</v>
      </c>
      <c r="E1307" s="0" t="s">
        <v>7275</v>
      </c>
      <c r="F1307" s="0" t="s">
        <v>7280</v>
      </c>
      <c r="G1307" s="0" t="s">
        <v>7267</v>
      </c>
    </row>
    <row r="1308" customFormat="false" ht="15" hidden="false" customHeight="false" outlineLevel="0" collapsed="false">
      <c r="A1308" s="0" t="s">
        <v>136</v>
      </c>
      <c r="B1308" s="0" t="n">
        <v>2018</v>
      </c>
      <c r="C1308" s="0" t="s">
        <v>60</v>
      </c>
      <c r="D1308" s="0" t="n">
        <v>1159030</v>
      </c>
      <c r="E1308" s="0" t="s">
        <v>7275</v>
      </c>
      <c r="F1308" s="0" t="s">
        <v>7280</v>
      </c>
      <c r="G1308" s="0" t="s">
        <v>7267</v>
      </c>
    </row>
    <row r="1309" customFormat="false" ht="15" hidden="false" customHeight="false" outlineLevel="0" collapsed="false">
      <c r="A1309" s="0" t="s">
        <v>136</v>
      </c>
      <c r="B1309" s="0" t="n">
        <v>2018</v>
      </c>
      <c r="C1309" s="0" t="s">
        <v>61</v>
      </c>
      <c r="D1309" s="0" t="n">
        <v>90984</v>
      </c>
      <c r="E1309" s="0" t="s">
        <v>7275</v>
      </c>
      <c r="F1309" s="0" t="s">
        <v>7280</v>
      </c>
      <c r="G1309" s="0" t="s">
        <v>7267</v>
      </c>
    </row>
    <row r="1310" customFormat="false" ht="15" hidden="false" customHeight="false" outlineLevel="0" collapsed="false">
      <c r="A1310" s="0" t="s">
        <v>136</v>
      </c>
      <c r="B1310" s="0" t="n">
        <v>2018</v>
      </c>
      <c r="C1310" s="0" t="s">
        <v>63</v>
      </c>
      <c r="D1310" s="0" t="n">
        <v>1504</v>
      </c>
      <c r="E1310" s="0" t="s">
        <v>7275</v>
      </c>
      <c r="F1310" s="0" t="s">
        <v>7280</v>
      </c>
      <c r="G1310" s="0" t="s">
        <v>7267</v>
      </c>
    </row>
    <row r="1311" customFormat="false" ht="15" hidden="false" customHeight="false" outlineLevel="0" collapsed="false">
      <c r="A1311" s="0" t="s">
        <v>136</v>
      </c>
      <c r="B1311" s="0" t="n">
        <v>2018</v>
      </c>
      <c r="C1311" s="0" t="s">
        <v>327</v>
      </c>
      <c r="D1311" s="0" t="n">
        <v>7.3</v>
      </c>
      <c r="E1311" s="0" t="s">
        <v>7275</v>
      </c>
      <c r="F1311" s="0" t="s">
        <v>7280</v>
      </c>
      <c r="G1311" s="0" t="s">
        <v>7267</v>
      </c>
    </row>
    <row r="1312" customFormat="false" ht="15" hidden="false" customHeight="false" outlineLevel="0" collapsed="false">
      <c r="A1312" s="0" t="s">
        <v>136</v>
      </c>
      <c r="B1312" s="0" t="n">
        <v>2018</v>
      </c>
      <c r="C1312" s="0" t="s">
        <v>69</v>
      </c>
      <c r="D1312" s="0" t="n">
        <v>20.93</v>
      </c>
      <c r="E1312" s="0" t="s">
        <v>7275</v>
      </c>
      <c r="F1312" s="0" t="s">
        <v>7280</v>
      </c>
      <c r="G1312" s="0" t="s">
        <v>7267</v>
      </c>
    </row>
    <row r="1313" customFormat="false" ht="15" hidden="false" customHeight="false" outlineLevel="0" collapsed="false">
      <c r="A1313" s="0" t="s">
        <v>136</v>
      </c>
      <c r="B1313" s="0" t="n">
        <v>2018</v>
      </c>
      <c r="C1313" s="0" t="s">
        <v>73</v>
      </c>
      <c r="D1313" s="0" t="n">
        <v>0</v>
      </c>
      <c r="E1313" s="0" t="s">
        <v>7275</v>
      </c>
      <c r="F1313" s="0" t="s">
        <v>7280</v>
      </c>
      <c r="G1313" s="0" t="s">
        <v>7267</v>
      </c>
    </row>
    <row r="1314" customFormat="false" ht="15" hidden="false" customHeight="false" outlineLevel="0" collapsed="false">
      <c r="A1314" s="0" t="s">
        <v>136</v>
      </c>
      <c r="B1314" s="0" t="n">
        <v>2018</v>
      </c>
      <c r="C1314" s="0" t="s">
        <v>1804</v>
      </c>
      <c r="D1314" s="0" t="s">
        <v>7268</v>
      </c>
      <c r="E1314" s="0" t="s">
        <v>7275</v>
      </c>
      <c r="F1314" s="0" t="s">
        <v>7280</v>
      </c>
      <c r="G1314" s="0" t="s">
        <v>7267</v>
      </c>
    </row>
    <row r="1315" customFormat="false" ht="15" hidden="false" customHeight="false" outlineLevel="0" collapsed="false">
      <c r="A1315" s="0" t="s">
        <v>136</v>
      </c>
      <c r="B1315" s="0" t="n">
        <v>2019</v>
      </c>
      <c r="C1315" s="0" t="s">
        <v>54</v>
      </c>
      <c r="D1315" s="0" t="n">
        <v>175125</v>
      </c>
      <c r="E1315" s="0" t="s">
        <v>7275</v>
      </c>
      <c r="F1315" s="0" t="s">
        <v>7280</v>
      </c>
      <c r="G1315" s="0" t="s">
        <v>7267</v>
      </c>
    </row>
    <row r="1316" customFormat="false" ht="15" hidden="false" customHeight="false" outlineLevel="0" collapsed="false">
      <c r="A1316" s="0" t="s">
        <v>136</v>
      </c>
      <c r="B1316" s="0" t="n">
        <v>2019</v>
      </c>
      <c r="C1316" s="0" t="s">
        <v>1327</v>
      </c>
      <c r="D1316" s="0" t="n">
        <v>350927</v>
      </c>
      <c r="E1316" s="0" t="s">
        <v>7275</v>
      </c>
      <c r="F1316" s="0" t="s">
        <v>7280</v>
      </c>
      <c r="G1316" s="0" t="s">
        <v>7267</v>
      </c>
    </row>
    <row r="1317" customFormat="false" ht="15" hidden="false" customHeight="false" outlineLevel="0" collapsed="false">
      <c r="A1317" s="0" t="s">
        <v>136</v>
      </c>
      <c r="B1317" s="0" t="n">
        <v>2019</v>
      </c>
      <c r="C1317" s="0" t="s">
        <v>55</v>
      </c>
      <c r="D1317" s="0" t="n">
        <v>3097248</v>
      </c>
      <c r="E1317" s="0" t="s">
        <v>7275</v>
      </c>
      <c r="F1317" s="0" t="s">
        <v>7280</v>
      </c>
      <c r="G1317" s="0" t="s">
        <v>7267</v>
      </c>
    </row>
    <row r="1318" customFormat="false" ht="15" hidden="false" customHeight="false" outlineLevel="0" collapsed="false">
      <c r="A1318" s="0" t="s">
        <v>136</v>
      </c>
      <c r="B1318" s="0" t="n">
        <v>2019</v>
      </c>
      <c r="C1318" s="0" t="s">
        <v>60</v>
      </c>
      <c r="D1318" s="0" t="n">
        <v>1357147</v>
      </c>
      <c r="E1318" s="0" t="s">
        <v>7275</v>
      </c>
      <c r="F1318" s="0" t="s">
        <v>7280</v>
      </c>
      <c r="G1318" s="0" t="s">
        <v>7267</v>
      </c>
    </row>
    <row r="1319" customFormat="false" ht="15" hidden="false" customHeight="false" outlineLevel="0" collapsed="false">
      <c r="A1319" s="0" t="s">
        <v>136</v>
      </c>
      <c r="B1319" s="0" t="n">
        <v>2019</v>
      </c>
      <c r="C1319" s="0" t="s">
        <v>61</v>
      </c>
      <c r="D1319" s="0" t="n">
        <v>56254</v>
      </c>
      <c r="E1319" s="0" t="s">
        <v>7275</v>
      </c>
      <c r="F1319" s="0" t="s">
        <v>7280</v>
      </c>
      <c r="G1319" s="0" t="s">
        <v>7267</v>
      </c>
    </row>
    <row r="1320" customFormat="false" ht="15" hidden="false" customHeight="false" outlineLevel="0" collapsed="false">
      <c r="A1320" s="0" t="s">
        <v>136</v>
      </c>
      <c r="B1320" s="0" t="n">
        <v>2019</v>
      </c>
      <c r="C1320" s="0" t="s">
        <v>63</v>
      </c>
      <c r="D1320" s="0" t="n">
        <v>2222</v>
      </c>
      <c r="E1320" s="0" t="s">
        <v>7275</v>
      </c>
      <c r="F1320" s="0" t="s">
        <v>7280</v>
      </c>
      <c r="G1320" s="0" t="s">
        <v>7267</v>
      </c>
    </row>
    <row r="1321" customFormat="false" ht="15" hidden="false" customHeight="false" outlineLevel="0" collapsed="false">
      <c r="A1321" s="0" t="s">
        <v>136</v>
      </c>
      <c r="B1321" s="0" t="n">
        <v>2019</v>
      </c>
      <c r="C1321" s="0" t="s">
        <v>327</v>
      </c>
      <c r="D1321" s="0" t="n">
        <v>6.5</v>
      </c>
      <c r="E1321" s="0" t="s">
        <v>7275</v>
      </c>
      <c r="F1321" s="0" t="s">
        <v>7280</v>
      </c>
      <c r="G1321" s="0" t="s">
        <v>7267</v>
      </c>
    </row>
    <row r="1322" customFormat="false" ht="15" hidden="false" customHeight="false" outlineLevel="0" collapsed="false">
      <c r="A1322" s="0" t="s">
        <v>136</v>
      </c>
      <c r="B1322" s="0" t="n">
        <v>2019</v>
      </c>
      <c r="C1322" s="0" t="s">
        <v>69</v>
      </c>
      <c r="D1322" s="0" t="n">
        <v>20.66</v>
      </c>
      <c r="E1322" s="0" t="s">
        <v>7275</v>
      </c>
      <c r="F1322" s="0" t="s">
        <v>7280</v>
      </c>
      <c r="G1322" s="0" t="s">
        <v>7267</v>
      </c>
    </row>
    <row r="1323" customFormat="false" ht="15" hidden="false" customHeight="false" outlineLevel="0" collapsed="false">
      <c r="A1323" s="0" t="s">
        <v>136</v>
      </c>
      <c r="B1323" s="0" t="n">
        <v>2019</v>
      </c>
      <c r="C1323" s="0" t="s">
        <v>73</v>
      </c>
      <c r="D1323" s="0" t="n">
        <v>0</v>
      </c>
      <c r="E1323" s="0" t="s">
        <v>7275</v>
      </c>
      <c r="F1323" s="0" t="s">
        <v>7280</v>
      </c>
      <c r="G1323" s="0" t="s">
        <v>7267</v>
      </c>
    </row>
    <row r="1324" customFormat="false" ht="15" hidden="false" customHeight="false" outlineLevel="0" collapsed="false">
      <c r="A1324" s="0" t="s">
        <v>136</v>
      </c>
      <c r="B1324" s="0" t="n">
        <v>2019</v>
      </c>
      <c r="C1324" s="0" t="s">
        <v>1804</v>
      </c>
      <c r="D1324" s="0" t="s">
        <v>7268</v>
      </c>
      <c r="E1324" s="0" t="s">
        <v>7275</v>
      </c>
      <c r="F1324" s="0" t="s">
        <v>7280</v>
      </c>
      <c r="G1324" s="0" t="s">
        <v>7267</v>
      </c>
    </row>
    <row r="1325" customFormat="false" ht="15" hidden="false" customHeight="false" outlineLevel="0" collapsed="false">
      <c r="A1325" s="0" t="s">
        <v>136</v>
      </c>
      <c r="B1325" s="0" t="n">
        <v>2020</v>
      </c>
      <c r="C1325" s="0" t="s">
        <v>54</v>
      </c>
      <c r="D1325" s="0" t="n">
        <v>178188</v>
      </c>
      <c r="E1325" s="0" t="s">
        <v>7275</v>
      </c>
      <c r="F1325" s="0" t="s">
        <v>7280</v>
      </c>
      <c r="G1325" s="0" t="s">
        <v>7267</v>
      </c>
    </row>
    <row r="1326" customFormat="false" ht="15" hidden="false" customHeight="false" outlineLevel="0" collapsed="false">
      <c r="A1326" s="0" t="s">
        <v>136</v>
      </c>
      <c r="B1326" s="0" t="n">
        <v>2020</v>
      </c>
      <c r="C1326" s="0" t="s">
        <v>1327</v>
      </c>
      <c r="D1326" s="0" t="n">
        <v>367058</v>
      </c>
      <c r="E1326" s="0" t="s">
        <v>7275</v>
      </c>
      <c r="F1326" s="0" t="s">
        <v>7280</v>
      </c>
      <c r="G1326" s="0" t="s">
        <v>7267</v>
      </c>
    </row>
    <row r="1327" customFormat="false" ht="15" hidden="false" customHeight="false" outlineLevel="0" collapsed="false">
      <c r="A1327" s="0" t="s">
        <v>136</v>
      </c>
      <c r="B1327" s="0" t="n">
        <v>2020</v>
      </c>
      <c r="C1327" s="0" t="s">
        <v>55</v>
      </c>
      <c r="D1327" s="0" t="n">
        <v>4061544</v>
      </c>
      <c r="E1327" s="0" t="s">
        <v>7275</v>
      </c>
      <c r="F1327" s="0" t="s">
        <v>7280</v>
      </c>
      <c r="G1327" s="0" t="s">
        <v>7267</v>
      </c>
    </row>
    <row r="1328" customFormat="false" ht="15" hidden="false" customHeight="false" outlineLevel="0" collapsed="false">
      <c r="A1328" s="0" t="s">
        <v>136</v>
      </c>
      <c r="B1328" s="0" t="n">
        <v>2020</v>
      </c>
      <c r="C1328" s="0" t="s">
        <v>60</v>
      </c>
      <c r="D1328" s="0" t="n">
        <v>1473566</v>
      </c>
      <c r="E1328" s="0" t="s">
        <v>7275</v>
      </c>
      <c r="F1328" s="0" t="s">
        <v>7280</v>
      </c>
      <c r="G1328" s="0" t="s">
        <v>7267</v>
      </c>
    </row>
    <row r="1329" customFormat="false" ht="15" hidden="false" customHeight="false" outlineLevel="0" collapsed="false">
      <c r="A1329" s="0" t="s">
        <v>136</v>
      </c>
      <c r="B1329" s="0" t="n">
        <v>2020</v>
      </c>
      <c r="C1329" s="0" t="s">
        <v>61</v>
      </c>
      <c r="D1329" s="0" t="n">
        <v>62948</v>
      </c>
      <c r="E1329" s="0" t="s">
        <v>7275</v>
      </c>
      <c r="F1329" s="0" t="s">
        <v>7280</v>
      </c>
      <c r="G1329" s="0" t="s">
        <v>7267</v>
      </c>
    </row>
    <row r="1330" customFormat="false" ht="15" hidden="false" customHeight="false" outlineLevel="0" collapsed="false">
      <c r="A1330" s="0" t="s">
        <v>136</v>
      </c>
      <c r="B1330" s="0" t="n">
        <v>2020</v>
      </c>
      <c r="C1330" s="0" t="s">
        <v>63</v>
      </c>
      <c r="D1330" s="0" t="n">
        <v>13667</v>
      </c>
      <c r="E1330" s="0" t="s">
        <v>7275</v>
      </c>
      <c r="F1330" s="0" t="s">
        <v>7280</v>
      </c>
      <c r="G1330" s="0" t="s">
        <v>7267</v>
      </c>
    </row>
    <row r="1331" customFormat="false" ht="15" hidden="false" customHeight="false" outlineLevel="0" collapsed="false">
      <c r="A1331" s="0" t="s">
        <v>136</v>
      </c>
      <c r="B1331" s="0" t="n">
        <v>2020</v>
      </c>
      <c r="C1331" s="0" t="s">
        <v>327</v>
      </c>
      <c r="D1331" s="0" t="n">
        <v>6.4</v>
      </c>
      <c r="E1331" s="0" t="s">
        <v>7275</v>
      </c>
      <c r="F1331" s="0" t="s">
        <v>7280</v>
      </c>
      <c r="G1331" s="0" t="s">
        <v>7267</v>
      </c>
    </row>
    <row r="1332" customFormat="false" ht="15" hidden="false" customHeight="false" outlineLevel="0" collapsed="false">
      <c r="A1332" s="0" t="s">
        <v>136</v>
      </c>
      <c r="B1332" s="0" t="n">
        <v>2020</v>
      </c>
      <c r="C1332" s="0" t="s">
        <v>69</v>
      </c>
      <c r="D1332" s="0" t="n">
        <v>19.55</v>
      </c>
      <c r="E1332" s="0" t="s">
        <v>7275</v>
      </c>
      <c r="F1332" s="0" t="s">
        <v>7280</v>
      </c>
      <c r="G1332" s="0" t="s">
        <v>7267</v>
      </c>
    </row>
    <row r="1333" customFormat="false" ht="15" hidden="false" customHeight="false" outlineLevel="0" collapsed="false">
      <c r="A1333" s="0" t="s">
        <v>136</v>
      </c>
      <c r="B1333" s="0" t="n">
        <v>2020</v>
      </c>
      <c r="C1333" s="0" t="s">
        <v>73</v>
      </c>
      <c r="D1333" s="0" t="n">
        <v>0</v>
      </c>
      <c r="E1333" s="0" t="s">
        <v>7275</v>
      </c>
      <c r="F1333" s="0" t="s">
        <v>7280</v>
      </c>
      <c r="G1333" s="0" t="s">
        <v>7267</v>
      </c>
    </row>
    <row r="1334" customFormat="false" ht="15" hidden="false" customHeight="false" outlineLevel="0" collapsed="false">
      <c r="A1334" s="0" t="s">
        <v>136</v>
      </c>
      <c r="B1334" s="0" t="n">
        <v>2020</v>
      </c>
      <c r="C1334" s="0" t="s">
        <v>1804</v>
      </c>
      <c r="D1334" s="0" t="s">
        <v>7268</v>
      </c>
      <c r="E1334" s="0" t="s">
        <v>7275</v>
      </c>
      <c r="F1334" s="0" t="s">
        <v>7280</v>
      </c>
      <c r="G1334" s="0" t="s">
        <v>7267</v>
      </c>
    </row>
    <row r="1335" customFormat="false" ht="15" hidden="false" customHeight="false" outlineLevel="0" collapsed="false">
      <c r="A1335" s="0" t="s">
        <v>136</v>
      </c>
      <c r="B1335" s="0" t="n">
        <v>2021</v>
      </c>
      <c r="C1335" s="0" t="s">
        <v>54</v>
      </c>
      <c r="D1335" s="0" t="n">
        <v>146184</v>
      </c>
      <c r="E1335" s="0" t="s">
        <v>7275</v>
      </c>
      <c r="F1335" s="0" t="s">
        <v>7280</v>
      </c>
      <c r="G1335" s="0" t="s">
        <v>7267</v>
      </c>
    </row>
    <row r="1336" customFormat="false" ht="15" hidden="false" customHeight="false" outlineLevel="0" collapsed="false">
      <c r="A1336" s="0" t="s">
        <v>136</v>
      </c>
      <c r="B1336" s="0" t="n">
        <v>2021</v>
      </c>
      <c r="C1336" s="0" t="s">
        <v>1327</v>
      </c>
      <c r="D1336" s="0" t="n">
        <v>303978</v>
      </c>
      <c r="E1336" s="0" t="s">
        <v>7275</v>
      </c>
      <c r="F1336" s="0" t="s">
        <v>7280</v>
      </c>
      <c r="G1336" s="0" t="s">
        <v>7267</v>
      </c>
    </row>
    <row r="1337" customFormat="false" ht="15" hidden="false" customHeight="false" outlineLevel="0" collapsed="false">
      <c r="A1337" s="0" t="s">
        <v>136</v>
      </c>
      <c r="B1337" s="0" t="n">
        <v>2021</v>
      </c>
      <c r="C1337" s="0" t="s">
        <v>55</v>
      </c>
      <c r="D1337" s="0" t="n">
        <v>4357033</v>
      </c>
      <c r="E1337" s="0" t="s">
        <v>7275</v>
      </c>
      <c r="F1337" s="0" t="s">
        <v>7280</v>
      </c>
      <c r="G1337" s="0" t="s">
        <v>7267</v>
      </c>
    </row>
    <row r="1338" customFormat="false" ht="15" hidden="false" customHeight="false" outlineLevel="0" collapsed="false">
      <c r="A1338" s="0" t="s">
        <v>136</v>
      </c>
      <c r="B1338" s="0" t="n">
        <v>2021</v>
      </c>
      <c r="C1338" s="0" t="s">
        <v>60</v>
      </c>
      <c r="D1338" s="0" t="n">
        <v>1475674</v>
      </c>
      <c r="E1338" s="0" t="s">
        <v>7275</v>
      </c>
      <c r="F1338" s="0" t="s">
        <v>7280</v>
      </c>
      <c r="G1338" s="0" t="s">
        <v>7267</v>
      </c>
    </row>
    <row r="1339" customFormat="false" ht="15" hidden="false" customHeight="false" outlineLevel="0" collapsed="false">
      <c r="A1339" s="0" t="s">
        <v>136</v>
      </c>
      <c r="B1339" s="0" t="n">
        <v>2021</v>
      </c>
      <c r="C1339" s="0" t="s">
        <v>61</v>
      </c>
      <c r="D1339" s="0" t="n">
        <v>67041</v>
      </c>
      <c r="E1339" s="0" t="s">
        <v>7275</v>
      </c>
      <c r="F1339" s="0" t="s">
        <v>7280</v>
      </c>
      <c r="G1339" s="0" t="s">
        <v>7267</v>
      </c>
    </row>
    <row r="1340" customFormat="false" ht="15" hidden="false" customHeight="false" outlineLevel="0" collapsed="false">
      <c r="A1340" s="0" t="s">
        <v>136</v>
      </c>
      <c r="B1340" s="0" t="n">
        <v>2021</v>
      </c>
      <c r="C1340" s="0" t="s">
        <v>63</v>
      </c>
      <c r="D1340" s="0" t="n">
        <v>4089</v>
      </c>
      <c r="E1340" s="0" t="s">
        <v>7275</v>
      </c>
      <c r="F1340" s="0" t="s">
        <v>7280</v>
      </c>
      <c r="G1340" s="0" t="s">
        <v>7267</v>
      </c>
    </row>
    <row r="1341" customFormat="false" ht="15" hidden="false" customHeight="false" outlineLevel="0" collapsed="false">
      <c r="A1341" s="0" t="s">
        <v>136</v>
      </c>
      <c r="B1341" s="0" t="n">
        <v>2021</v>
      </c>
      <c r="C1341" s="0" t="s">
        <v>327</v>
      </c>
      <c r="D1341" s="0" t="n">
        <v>6</v>
      </c>
      <c r="E1341" s="0" t="s">
        <v>7275</v>
      </c>
      <c r="F1341" s="0" t="s">
        <v>7280</v>
      </c>
      <c r="G1341" s="0" t="s">
        <v>7267</v>
      </c>
    </row>
    <row r="1342" customFormat="false" ht="15" hidden="false" customHeight="false" outlineLevel="0" collapsed="false">
      <c r="A1342" s="0" t="s">
        <v>136</v>
      </c>
      <c r="B1342" s="0" t="n">
        <v>2021</v>
      </c>
      <c r="C1342" s="0" t="s">
        <v>69</v>
      </c>
      <c r="D1342" s="0" t="n">
        <v>23.83</v>
      </c>
      <c r="E1342" s="0" t="s">
        <v>7275</v>
      </c>
      <c r="F1342" s="0" t="s">
        <v>7280</v>
      </c>
      <c r="G1342" s="0" t="s">
        <v>7267</v>
      </c>
    </row>
    <row r="1343" customFormat="false" ht="15" hidden="false" customHeight="false" outlineLevel="0" collapsed="false">
      <c r="A1343" s="0" t="s">
        <v>136</v>
      </c>
      <c r="B1343" s="0" t="n">
        <v>2021</v>
      </c>
      <c r="C1343" s="0" t="s">
        <v>73</v>
      </c>
      <c r="D1343" s="0" t="n">
        <v>0</v>
      </c>
      <c r="E1343" s="0" t="s">
        <v>7275</v>
      </c>
      <c r="F1343" s="0" t="s">
        <v>7280</v>
      </c>
      <c r="G1343" s="0" t="s">
        <v>7267</v>
      </c>
    </row>
    <row r="1344" customFormat="false" ht="15" hidden="false" customHeight="false" outlineLevel="0" collapsed="false">
      <c r="A1344" s="0" t="s">
        <v>136</v>
      </c>
      <c r="B1344" s="0" t="n">
        <v>2021</v>
      </c>
      <c r="C1344" s="0" t="s">
        <v>1804</v>
      </c>
      <c r="D1344" s="0" t="s">
        <v>7268</v>
      </c>
      <c r="E1344" s="0" t="s">
        <v>7275</v>
      </c>
      <c r="F1344" s="0" t="s">
        <v>7280</v>
      </c>
      <c r="G1344" s="0" t="s">
        <v>7267</v>
      </c>
    </row>
    <row r="1345" customFormat="false" ht="15" hidden="false" customHeight="false" outlineLevel="0" collapsed="false">
      <c r="A1345" s="0" t="s">
        <v>136</v>
      </c>
      <c r="B1345" s="0" t="n">
        <v>2022</v>
      </c>
      <c r="C1345" s="0" t="s">
        <v>54</v>
      </c>
      <c r="D1345" s="0" t="n">
        <v>145296</v>
      </c>
      <c r="E1345" s="0" t="s">
        <v>7275</v>
      </c>
      <c r="F1345" s="0" t="s">
        <v>7280</v>
      </c>
      <c r="G1345" s="0" t="s">
        <v>7267</v>
      </c>
    </row>
    <row r="1346" customFormat="false" ht="15" hidden="false" customHeight="false" outlineLevel="0" collapsed="false">
      <c r="A1346" s="0" t="s">
        <v>136</v>
      </c>
      <c r="B1346" s="0" t="n">
        <v>2022</v>
      </c>
      <c r="C1346" s="0" t="s">
        <v>1327</v>
      </c>
      <c r="D1346" s="0" t="n">
        <v>340912</v>
      </c>
      <c r="E1346" s="0" t="s">
        <v>7275</v>
      </c>
      <c r="F1346" s="0" t="s">
        <v>7280</v>
      </c>
      <c r="G1346" s="0" t="s">
        <v>7267</v>
      </c>
    </row>
    <row r="1347" customFormat="false" ht="15" hidden="false" customHeight="false" outlineLevel="0" collapsed="false">
      <c r="A1347" s="0" t="s">
        <v>136</v>
      </c>
      <c r="B1347" s="0" t="n">
        <v>2022</v>
      </c>
      <c r="C1347" s="0" t="s">
        <v>55</v>
      </c>
      <c r="D1347" s="0" t="n">
        <v>5208577</v>
      </c>
      <c r="E1347" s="0" t="s">
        <v>7275</v>
      </c>
      <c r="F1347" s="0" t="s">
        <v>7280</v>
      </c>
      <c r="G1347" s="0" t="s">
        <v>7267</v>
      </c>
    </row>
    <row r="1348" customFormat="false" ht="15" hidden="false" customHeight="false" outlineLevel="0" collapsed="false">
      <c r="A1348" s="0" t="s">
        <v>136</v>
      </c>
      <c r="B1348" s="0" t="n">
        <v>2022</v>
      </c>
      <c r="C1348" s="0" t="s">
        <v>60</v>
      </c>
      <c r="D1348" s="0" t="n">
        <v>1577192</v>
      </c>
      <c r="E1348" s="0" t="s">
        <v>7275</v>
      </c>
      <c r="F1348" s="0" t="s">
        <v>7280</v>
      </c>
      <c r="G1348" s="0" t="s">
        <v>7267</v>
      </c>
    </row>
    <row r="1349" customFormat="false" ht="15" hidden="false" customHeight="false" outlineLevel="0" collapsed="false">
      <c r="A1349" s="0" t="s">
        <v>136</v>
      </c>
      <c r="B1349" s="0" t="n">
        <v>2022</v>
      </c>
      <c r="C1349" s="0" t="s">
        <v>61</v>
      </c>
      <c r="D1349" s="0" t="n">
        <v>75972</v>
      </c>
      <c r="E1349" s="0" t="s">
        <v>7275</v>
      </c>
      <c r="F1349" s="0" t="s">
        <v>7280</v>
      </c>
      <c r="G1349" s="0" t="s">
        <v>7267</v>
      </c>
    </row>
    <row r="1350" customFormat="false" ht="15" hidden="false" customHeight="false" outlineLevel="0" collapsed="false">
      <c r="A1350" s="0" t="s">
        <v>136</v>
      </c>
      <c r="B1350" s="0" t="n">
        <v>2022</v>
      </c>
      <c r="C1350" s="0" t="s">
        <v>63</v>
      </c>
      <c r="D1350" s="0" t="n">
        <v>8937</v>
      </c>
      <c r="E1350" s="0" t="s">
        <v>7275</v>
      </c>
      <c r="F1350" s="0" t="s">
        <v>7280</v>
      </c>
      <c r="G1350" s="0" t="s">
        <v>7267</v>
      </c>
    </row>
    <row r="1351" customFormat="false" ht="15" hidden="false" customHeight="false" outlineLevel="0" collapsed="false">
      <c r="A1351" s="0" t="s">
        <v>136</v>
      </c>
      <c r="B1351" s="0" t="n">
        <v>2022</v>
      </c>
      <c r="C1351" s="0" t="s">
        <v>327</v>
      </c>
      <c r="D1351" s="0" t="n">
        <v>5.19</v>
      </c>
      <c r="E1351" s="0" t="s">
        <v>7275</v>
      </c>
      <c r="F1351" s="0" t="s">
        <v>7280</v>
      </c>
      <c r="G1351" s="0" t="s">
        <v>7267</v>
      </c>
    </row>
    <row r="1352" customFormat="false" ht="15" hidden="false" customHeight="false" outlineLevel="0" collapsed="false">
      <c r="A1352" s="0" t="s">
        <v>136</v>
      </c>
      <c r="B1352" s="0" t="n">
        <v>2022</v>
      </c>
      <c r="C1352" s="0" t="s">
        <v>69</v>
      </c>
      <c r="D1352" s="0" t="n">
        <v>24.08</v>
      </c>
      <c r="E1352" s="0" t="s">
        <v>7275</v>
      </c>
      <c r="F1352" s="0" t="s">
        <v>7280</v>
      </c>
      <c r="G1352" s="0" t="s">
        <v>7267</v>
      </c>
    </row>
    <row r="1353" customFormat="false" ht="15" hidden="false" customHeight="false" outlineLevel="0" collapsed="false">
      <c r="A1353" s="0" t="s">
        <v>136</v>
      </c>
      <c r="B1353" s="0" t="n">
        <v>2022</v>
      </c>
      <c r="C1353" s="0" t="s">
        <v>73</v>
      </c>
      <c r="D1353" s="0" t="n">
        <v>0</v>
      </c>
      <c r="E1353" s="0" t="s">
        <v>7275</v>
      </c>
      <c r="F1353" s="0" t="s">
        <v>7280</v>
      </c>
      <c r="G1353" s="0" t="s">
        <v>7267</v>
      </c>
    </row>
    <row r="1354" customFormat="false" ht="15" hidden="false" customHeight="false" outlineLevel="0" collapsed="false">
      <c r="A1354" s="0" t="s">
        <v>136</v>
      </c>
      <c r="B1354" s="0" t="n">
        <v>2022</v>
      </c>
      <c r="C1354" s="0" t="s">
        <v>1804</v>
      </c>
      <c r="D1354" s="0" t="s">
        <v>7269</v>
      </c>
      <c r="E1354" s="0" t="s">
        <v>7275</v>
      </c>
      <c r="F1354" s="0" t="s">
        <v>7280</v>
      </c>
      <c r="G1354" s="0" t="s">
        <v>7267</v>
      </c>
    </row>
    <row r="1355" customFormat="false" ht="15" hidden="false" customHeight="false" outlineLevel="0" collapsed="false">
      <c r="A1355" s="0" t="s">
        <v>115</v>
      </c>
      <c r="B1355" s="0" t="n">
        <v>2015</v>
      </c>
      <c r="C1355" s="0" t="s">
        <v>54</v>
      </c>
      <c r="D1355" s="0" t="n">
        <v>13904</v>
      </c>
      <c r="E1355" s="0" t="s">
        <v>7275</v>
      </c>
      <c r="F1355" s="0" t="s">
        <v>7281</v>
      </c>
      <c r="G1355" s="0" t="s">
        <v>7267</v>
      </c>
    </row>
    <row r="1356" customFormat="false" ht="15" hidden="false" customHeight="false" outlineLevel="0" collapsed="false">
      <c r="A1356" s="0" t="s">
        <v>115</v>
      </c>
      <c r="B1356" s="0" t="n">
        <v>2015</v>
      </c>
      <c r="C1356" s="0" t="s">
        <v>1327</v>
      </c>
      <c r="D1356" s="0" t="n">
        <v>146948</v>
      </c>
      <c r="E1356" s="0" t="s">
        <v>7275</v>
      </c>
      <c r="F1356" s="0" t="s">
        <v>7281</v>
      </c>
      <c r="G1356" s="0" t="s">
        <v>7267</v>
      </c>
    </row>
    <row r="1357" customFormat="false" ht="15" hidden="false" customHeight="false" outlineLevel="0" collapsed="false">
      <c r="A1357" s="0" t="s">
        <v>115</v>
      </c>
      <c r="B1357" s="0" t="n">
        <v>2015</v>
      </c>
      <c r="C1357" s="0" t="s">
        <v>55</v>
      </c>
      <c r="D1357" s="0" t="n">
        <v>1231722</v>
      </c>
      <c r="E1357" s="0" t="s">
        <v>7275</v>
      </c>
      <c r="F1357" s="0" t="s">
        <v>7281</v>
      </c>
      <c r="G1357" s="0" t="s">
        <v>7267</v>
      </c>
    </row>
    <row r="1358" customFormat="false" ht="15" hidden="false" customHeight="false" outlineLevel="0" collapsed="false">
      <c r="A1358" s="0" t="s">
        <v>115</v>
      </c>
      <c r="B1358" s="0" t="n">
        <v>2015</v>
      </c>
      <c r="C1358" s="0" t="s">
        <v>60</v>
      </c>
      <c r="D1358" s="0" t="n">
        <v>598978</v>
      </c>
      <c r="E1358" s="0" t="s">
        <v>7275</v>
      </c>
      <c r="F1358" s="0" t="s">
        <v>7281</v>
      </c>
      <c r="G1358" s="0" t="s">
        <v>7267</v>
      </c>
    </row>
    <row r="1359" customFormat="false" ht="15" hidden="false" customHeight="false" outlineLevel="0" collapsed="false">
      <c r="A1359" s="0" t="s">
        <v>115</v>
      </c>
      <c r="B1359" s="0" t="n">
        <v>2015</v>
      </c>
      <c r="C1359" s="0" t="s">
        <v>61</v>
      </c>
      <c r="D1359" s="0" t="n">
        <v>20776</v>
      </c>
      <c r="E1359" s="0" t="s">
        <v>7275</v>
      </c>
      <c r="F1359" s="0" t="s">
        <v>7281</v>
      </c>
      <c r="G1359" s="0" t="s">
        <v>7267</v>
      </c>
    </row>
    <row r="1360" customFormat="false" ht="15" hidden="false" customHeight="false" outlineLevel="0" collapsed="false">
      <c r="A1360" s="0" t="s">
        <v>115</v>
      </c>
      <c r="B1360" s="0" t="n">
        <v>2015</v>
      </c>
      <c r="C1360" s="0" t="s">
        <v>63</v>
      </c>
      <c r="D1360" s="0" t="n">
        <v>5764</v>
      </c>
      <c r="E1360" s="0" t="s">
        <v>7275</v>
      </c>
      <c r="F1360" s="0" t="s">
        <v>7281</v>
      </c>
      <c r="G1360" s="0" t="s">
        <v>7267</v>
      </c>
    </row>
    <row r="1361" customFormat="false" ht="15" hidden="false" customHeight="false" outlineLevel="0" collapsed="false">
      <c r="A1361" s="0" t="s">
        <v>115</v>
      </c>
      <c r="B1361" s="0" t="n">
        <v>2015</v>
      </c>
      <c r="C1361" s="0" t="s">
        <v>327</v>
      </c>
      <c r="D1361" s="0" t="n">
        <v>4.4</v>
      </c>
      <c r="E1361" s="0" t="s">
        <v>7275</v>
      </c>
      <c r="F1361" s="0" t="s">
        <v>7281</v>
      </c>
      <c r="G1361" s="0" t="s">
        <v>7267</v>
      </c>
    </row>
    <row r="1362" customFormat="false" ht="15" hidden="false" customHeight="false" outlineLevel="0" collapsed="false">
      <c r="A1362" s="0" t="s">
        <v>115</v>
      </c>
      <c r="B1362" s="0" t="n">
        <v>2015</v>
      </c>
      <c r="C1362" s="0" t="s">
        <v>69</v>
      </c>
      <c r="D1362" s="0" t="n">
        <v>19</v>
      </c>
      <c r="E1362" s="0" t="s">
        <v>7275</v>
      </c>
      <c r="F1362" s="0" t="s">
        <v>7281</v>
      </c>
      <c r="G1362" s="0" t="s">
        <v>7267</v>
      </c>
    </row>
    <row r="1363" customFormat="false" ht="15" hidden="false" customHeight="false" outlineLevel="0" collapsed="false">
      <c r="A1363" s="0" t="s">
        <v>115</v>
      </c>
      <c r="B1363" s="0" t="n">
        <v>2015</v>
      </c>
      <c r="C1363" s="0" t="s">
        <v>73</v>
      </c>
      <c r="D1363" s="0" t="n">
        <v>0</v>
      </c>
      <c r="E1363" s="0" t="s">
        <v>7275</v>
      </c>
      <c r="F1363" s="0" t="s">
        <v>7281</v>
      </c>
      <c r="G1363" s="0" t="s">
        <v>7267</v>
      </c>
    </row>
    <row r="1364" customFormat="false" ht="15" hidden="false" customHeight="false" outlineLevel="0" collapsed="false">
      <c r="A1364" s="0" t="s">
        <v>115</v>
      </c>
      <c r="B1364" s="0" t="n">
        <v>2015</v>
      </c>
      <c r="C1364" s="0" t="s">
        <v>1804</v>
      </c>
      <c r="D1364" s="0" t="s">
        <v>7270</v>
      </c>
      <c r="E1364" s="0" t="s">
        <v>7275</v>
      </c>
      <c r="F1364" s="0" t="s">
        <v>7281</v>
      </c>
      <c r="G1364" s="0" t="s">
        <v>7267</v>
      </c>
    </row>
    <row r="1365" customFormat="false" ht="15" hidden="false" customHeight="false" outlineLevel="0" collapsed="false">
      <c r="A1365" s="0" t="s">
        <v>115</v>
      </c>
      <c r="B1365" s="0" t="n">
        <v>2016</v>
      </c>
      <c r="C1365" s="0" t="s">
        <v>54</v>
      </c>
      <c r="D1365" s="0" t="n">
        <v>9734</v>
      </c>
      <c r="E1365" s="0" t="s">
        <v>7275</v>
      </c>
      <c r="F1365" s="0" t="s">
        <v>7281</v>
      </c>
      <c r="G1365" s="0" t="s">
        <v>7267</v>
      </c>
    </row>
    <row r="1366" customFormat="false" ht="15" hidden="false" customHeight="false" outlineLevel="0" collapsed="false">
      <c r="A1366" s="0" t="s">
        <v>115</v>
      </c>
      <c r="B1366" s="0" t="n">
        <v>2016</v>
      </c>
      <c r="C1366" s="0" t="s">
        <v>1327</v>
      </c>
      <c r="D1366" s="0" t="n">
        <v>152021</v>
      </c>
      <c r="E1366" s="0" t="s">
        <v>7275</v>
      </c>
      <c r="F1366" s="0" t="s">
        <v>7281</v>
      </c>
      <c r="G1366" s="0" t="s">
        <v>7267</v>
      </c>
    </row>
    <row r="1367" customFormat="false" ht="15" hidden="false" customHeight="false" outlineLevel="0" collapsed="false">
      <c r="A1367" s="0" t="s">
        <v>115</v>
      </c>
      <c r="B1367" s="0" t="n">
        <v>2016</v>
      </c>
      <c r="C1367" s="0" t="s">
        <v>55</v>
      </c>
      <c r="D1367" s="0" t="n">
        <v>1298141</v>
      </c>
      <c r="E1367" s="0" t="s">
        <v>7275</v>
      </c>
      <c r="F1367" s="0" t="s">
        <v>7281</v>
      </c>
      <c r="G1367" s="0" t="s">
        <v>7267</v>
      </c>
    </row>
    <row r="1368" customFormat="false" ht="15" hidden="false" customHeight="false" outlineLevel="0" collapsed="false">
      <c r="A1368" s="0" t="s">
        <v>115</v>
      </c>
      <c r="B1368" s="0" t="n">
        <v>2016</v>
      </c>
      <c r="C1368" s="0" t="s">
        <v>60</v>
      </c>
      <c r="D1368" s="0" t="n">
        <v>743120</v>
      </c>
      <c r="E1368" s="0" t="s">
        <v>7275</v>
      </c>
      <c r="F1368" s="0" t="s">
        <v>7281</v>
      </c>
      <c r="G1368" s="0" t="s">
        <v>7267</v>
      </c>
    </row>
    <row r="1369" customFormat="false" ht="15" hidden="false" customHeight="false" outlineLevel="0" collapsed="false">
      <c r="A1369" s="0" t="s">
        <v>115</v>
      </c>
      <c r="B1369" s="0" t="n">
        <v>2016</v>
      </c>
      <c r="C1369" s="0" t="s">
        <v>61</v>
      </c>
      <c r="D1369" s="0" t="n">
        <v>24719</v>
      </c>
      <c r="E1369" s="0" t="s">
        <v>7275</v>
      </c>
      <c r="F1369" s="0" t="s">
        <v>7281</v>
      </c>
      <c r="G1369" s="0" t="s">
        <v>7267</v>
      </c>
    </row>
    <row r="1370" customFormat="false" ht="15" hidden="false" customHeight="false" outlineLevel="0" collapsed="false">
      <c r="A1370" s="0" t="s">
        <v>115</v>
      </c>
      <c r="B1370" s="0" t="n">
        <v>2016</v>
      </c>
      <c r="C1370" s="0" t="s">
        <v>63</v>
      </c>
      <c r="D1370" s="0" t="n">
        <v>8671</v>
      </c>
      <c r="E1370" s="0" t="s">
        <v>7275</v>
      </c>
      <c r="F1370" s="0" t="s">
        <v>7281</v>
      </c>
      <c r="G1370" s="0" t="s">
        <v>7267</v>
      </c>
    </row>
    <row r="1371" customFormat="false" ht="15" hidden="false" customHeight="false" outlineLevel="0" collapsed="false">
      <c r="A1371" s="0" t="s">
        <v>115</v>
      </c>
      <c r="B1371" s="0" t="n">
        <v>2016</v>
      </c>
      <c r="C1371" s="0" t="s">
        <v>327</v>
      </c>
      <c r="D1371" s="0" t="n">
        <v>6.6</v>
      </c>
      <c r="E1371" s="0" t="s">
        <v>7275</v>
      </c>
      <c r="F1371" s="0" t="s">
        <v>7281</v>
      </c>
      <c r="G1371" s="0" t="s">
        <v>7267</v>
      </c>
    </row>
    <row r="1372" customFormat="false" ht="15" hidden="false" customHeight="false" outlineLevel="0" collapsed="false">
      <c r="A1372" s="0" t="s">
        <v>115</v>
      </c>
      <c r="B1372" s="0" t="n">
        <v>2016</v>
      </c>
      <c r="C1372" s="0" t="s">
        <v>69</v>
      </c>
      <c r="D1372" s="0" t="n">
        <v>17.2</v>
      </c>
      <c r="E1372" s="0" t="s">
        <v>7275</v>
      </c>
      <c r="F1372" s="0" t="s">
        <v>7281</v>
      </c>
      <c r="G1372" s="0" t="s">
        <v>7267</v>
      </c>
    </row>
    <row r="1373" customFormat="false" ht="15" hidden="false" customHeight="false" outlineLevel="0" collapsed="false">
      <c r="A1373" s="0" t="s">
        <v>115</v>
      </c>
      <c r="B1373" s="0" t="n">
        <v>2016</v>
      </c>
      <c r="C1373" s="0" t="s">
        <v>73</v>
      </c>
      <c r="D1373" s="0" t="n">
        <v>0</v>
      </c>
      <c r="E1373" s="0" t="s">
        <v>7275</v>
      </c>
      <c r="F1373" s="0" t="s">
        <v>7281</v>
      </c>
      <c r="G1373" s="0" t="s">
        <v>7267</v>
      </c>
    </row>
    <row r="1374" customFormat="false" ht="15" hidden="false" customHeight="false" outlineLevel="0" collapsed="false">
      <c r="A1374" s="0" t="s">
        <v>115</v>
      </c>
      <c r="B1374" s="0" t="n">
        <v>2016</v>
      </c>
      <c r="C1374" s="0" t="s">
        <v>1804</v>
      </c>
      <c r="D1374" s="0" t="s">
        <v>7270</v>
      </c>
      <c r="E1374" s="0" t="s">
        <v>7275</v>
      </c>
      <c r="F1374" s="0" t="s">
        <v>7281</v>
      </c>
      <c r="G1374" s="0" t="s">
        <v>7267</v>
      </c>
    </row>
    <row r="1375" customFormat="false" ht="15" hidden="false" customHeight="false" outlineLevel="0" collapsed="false">
      <c r="A1375" s="0" t="s">
        <v>115</v>
      </c>
      <c r="B1375" s="0" t="n">
        <v>2017</v>
      </c>
      <c r="C1375" s="0" t="s">
        <v>54</v>
      </c>
      <c r="D1375" s="0" t="n">
        <v>17768</v>
      </c>
      <c r="E1375" s="0" t="s">
        <v>7275</v>
      </c>
      <c r="F1375" s="0" t="s">
        <v>7281</v>
      </c>
      <c r="G1375" s="0" t="s">
        <v>7267</v>
      </c>
    </row>
    <row r="1376" customFormat="false" ht="15" hidden="false" customHeight="false" outlineLevel="0" collapsed="false">
      <c r="A1376" s="0" t="s">
        <v>115</v>
      </c>
      <c r="B1376" s="0" t="n">
        <v>2017</v>
      </c>
      <c r="C1376" s="0" t="s">
        <v>1327</v>
      </c>
      <c r="D1376" s="0" t="n">
        <v>180244</v>
      </c>
      <c r="E1376" s="0" t="s">
        <v>7275</v>
      </c>
      <c r="F1376" s="0" t="s">
        <v>7281</v>
      </c>
      <c r="G1376" s="0" t="s">
        <v>7267</v>
      </c>
    </row>
    <row r="1377" customFormat="false" ht="15" hidden="false" customHeight="false" outlineLevel="0" collapsed="false">
      <c r="A1377" s="0" t="s">
        <v>115</v>
      </c>
      <c r="B1377" s="0" t="n">
        <v>2017</v>
      </c>
      <c r="C1377" s="0" t="s">
        <v>55</v>
      </c>
      <c r="D1377" s="0" t="n">
        <v>1379214</v>
      </c>
      <c r="E1377" s="0" t="s">
        <v>7275</v>
      </c>
      <c r="F1377" s="0" t="s">
        <v>7281</v>
      </c>
      <c r="G1377" s="0" t="s">
        <v>7267</v>
      </c>
    </row>
    <row r="1378" customFormat="false" ht="15" hidden="false" customHeight="false" outlineLevel="0" collapsed="false">
      <c r="A1378" s="0" t="s">
        <v>115</v>
      </c>
      <c r="B1378" s="0" t="n">
        <v>2017</v>
      </c>
      <c r="C1378" s="0" t="s">
        <v>60</v>
      </c>
      <c r="D1378" s="0" t="n">
        <v>795315</v>
      </c>
      <c r="E1378" s="0" t="s">
        <v>7275</v>
      </c>
      <c r="F1378" s="0" t="s">
        <v>7281</v>
      </c>
      <c r="G1378" s="0" t="s">
        <v>7267</v>
      </c>
    </row>
    <row r="1379" customFormat="false" ht="15" hidden="false" customHeight="false" outlineLevel="0" collapsed="false">
      <c r="A1379" s="0" t="s">
        <v>115</v>
      </c>
      <c r="B1379" s="0" t="n">
        <v>2017</v>
      </c>
      <c r="C1379" s="0" t="s">
        <v>61</v>
      </c>
      <c r="D1379" s="0" t="n">
        <v>26578</v>
      </c>
      <c r="E1379" s="0" t="s">
        <v>7275</v>
      </c>
      <c r="F1379" s="0" t="s">
        <v>7281</v>
      </c>
      <c r="G1379" s="0" t="s">
        <v>7267</v>
      </c>
    </row>
    <row r="1380" customFormat="false" ht="15" hidden="false" customHeight="false" outlineLevel="0" collapsed="false">
      <c r="A1380" s="0" t="s">
        <v>115</v>
      </c>
      <c r="B1380" s="0" t="n">
        <v>2017</v>
      </c>
      <c r="C1380" s="0" t="s">
        <v>63</v>
      </c>
      <c r="D1380" s="0" t="n">
        <v>11315</v>
      </c>
      <c r="E1380" s="0" t="s">
        <v>7275</v>
      </c>
      <c r="F1380" s="0" t="s">
        <v>7281</v>
      </c>
      <c r="G1380" s="0" t="s">
        <v>7267</v>
      </c>
    </row>
    <row r="1381" customFormat="false" ht="15" hidden="false" customHeight="false" outlineLevel="0" collapsed="false">
      <c r="A1381" s="0" t="s">
        <v>115</v>
      </c>
      <c r="B1381" s="0" t="n">
        <v>2017</v>
      </c>
      <c r="C1381" s="0" t="s">
        <v>327</v>
      </c>
      <c r="D1381" s="0" t="n">
        <v>6.4</v>
      </c>
      <c r="E1381" s="0" t="s">
        <v>7275</v>
      </c>
      <c r="F1381" s="0" t="s">
        <v>7281</v>
      </c>
      <c r="G1381" s="0" t="s">
        <v>7267</v>
      </c>
    </row>
    <row r="1382" customFormat="false" ht="15" hidden="false" customHeight="false" outlineLevel="0" collapsed="false">
      <c r="A1382" s="0" t="s">
        <v>115</v>
      </c>
      <c r="B1382" s="0" t="n">
        <v>2017</v>
      </c>
      <c r="C1382" s="0" t="s">
        <v>69</v>
      </c>
      <c r="D1382" s="0" t="n">
        <v>16.03</v>
      </c>
      <c r="E1382" s="0" t="s">
        <v>7275</v>
      </c>
      <c r="F1382" s="0" t="s">
        <v>7281</v>
      </c>
      <c r="G1382" s="0" t="s">
        <v>7267</v>
      </c>
    </row>
    <row r="1383" customFormat="false" ht="15" hidden="false" customHeight="false" outlineLevel="0" collapsed="false">
      <c r="A1383" s="0" t="s">
        <v>115</v>
      </c>
      <c r="B1383" s="0" t="n">
        <v>2017</v>
      </c>
      <c r="C1383" s="0" t="s">
        <v>73</v>
      </c>
      <c r="D1383" s="0" t="n">
        <v>0</v>
      </c>
      <c r="E1383" s="0" t="s">
        <v>7275</v>
      </c>
      <c r="F1383" s="0" t="s">
        <v>7281</v>
      </c>
      <c r="G1383" s="0" t="s">
        <v>7267</v>
      </c>
    </row>
    <row r="1384" customFormat="false" ht="15" hidden="false" customHeight="false" outlineLevel="0" collapsed="false">
      <c r="A1384" s="0" t="s">
        <v>115</v>
      </c>
      <c r="B1384" s="0" t="n">
        <v>2017</v>
      </c>
      <c r="C1384" s="0" t="s">
        <v>1804</v>
      </c>
      <c r="D1384" s="0" t="s">
        <v>7271</v>
      </c>
      <c r="E1384" s="0" t="s">
        <v>7275</v>
      </c>
      <c r="F1384" s="0" t="s">
        <v>7281</v>
      </c>
      <c r="G1384" s="0" t="s">
        <v>7267</v>
      </c>
    </row>
    <row r="1385" customFormat="false" ht="15" hidden="false" customHeight="false" outlineLevel="0" collapsed="false">
      <c r="A1385" s="0" t="s">
        <v>115</v>
      </c>
      <c r="B1385" s="0" t="n">
        <v>2018</v>
      </c>
      <c r="C1385" s="0" t="s">
        <v>54</v>
      </c>
      <c r="D1385" s="0" t="n">
        <v>22926</v>
      </c>
      <c r="E1385" s="0" t="s">
        <v>7275</v>
      </c>
      <c r="F1385" s="0" t="s">
        <v>7281</v>
      </c>
      <c r="G1385" s="0" t="s">
        <v>7267</v>
      </c>
    </row>
    <row r="1386" customFormat="false" ht="15" hidden="false" customHeight="false" outlineLevel="0" collapsed="false">
      <c r="A1386" s="0" t="s">
        <v>115</v>
      </c>
      <c r="B1386" s="0" t="n">
        <v>2018</v>
      </c>
      <c r="C1386" s="0" t="s">
        <v>1327</v>
      </c>
      <c r="D1386" s="0" t="n">
        <v>188873</v>
      </c>
      <c r="E1386" s="0" t="s">
        <v>7275</v>
      </c>
      <c r="F1386" s="0" t="s">
        <v>7281</v>
      </c>
      <c r="G1386" s="0" t="s">
        <v>7267</v>
      </c>
    </row>
    <row r="1387" customFormat="false" ht="15" hidden="false" customHeight="false" outlineLevel="0" collapsed="false">
      <c r="A1387" s="0" t="s">
        <v>115</v>
      </c>
      <c r="B1387" s="0" t="n">
        <v>2018</v>
      </c>
      <c r="C1387" s="0" t="s">
        <v>55</v>
      </c>
      <c r="D1387" s="0" t="n">
        <v>1719883</v>
      </c>
      <c r="E1387" s="0" t="s">
        <v>7275</v>
      </c>
      <c r="F1387" s="0" t="s">
        <v>7281</v>
      </c>
      <c r="G1387" s="0" t="s">
        <v>7267</v>
      </c>
    </row>
    <row r="1388" customFormat="false" ht="15" hidden="false" customHeight="false" outlineLevel="0" collapsed="false">
      <c r="A1388" s="0" t="s">
        <v>115</v>
      </c>
      <c r="B1388" s="0" t="n">
        <v>2018</v>
      </c>
      <c r="C1388" s="0" t="s">
        <v>60</v>
      </c>
      <c r="D1388" s="0" t="n">
        <v>906623</v>
      </c>
      <c r="E1388" s="0" t="s">
        <v>7275</v>
      </c>
      <c r="F1388" s="0" t="s">
        <v>7281</v>
      </c>
      <c r="G1388" s="0" t="s">
        <v>7267</v>
      </c>
    </row>
    <row r="1389" customFormat="false" ht="15" hidden="false" customHeight="false" outlineLevel="0" collapsed="false">
      <c r="A1389" s="0" t="s">
        <v>115</v>
      </c>
      <c r="B1389" s="0" t="n">
        <v>2018</v>
      </c>
      <c r="C1389" s="0" t="s">
        <v>61</v>
      </c>
      <c r="D1389" s="0" t="n">
        <v>56743</v>
      </c>
      <c r="E1389" s="0" t="s">
        <v>7275</v>
      </c>
      <c r="F1389" s="0" t="s">
        <v>7281</v>
      </c>
      <c r="G1389" s="0" t="s">
        <v>7267</v>
      </c>
    </row>
    <row r="1390" customFormat="false" ht="15" hidden="false" customHeight="false" outlineLevel="0" collapsed="false">
      <c r="A1390" s="0" t="s">
        <v>115</v>
      </c>
      <c r="B1390" s="0" t="n">
        <v>2018</v>
      </c>
      <c r="C1390" s="0" t="s">
        <v>63</v>
      </c>
      <c r="D1390" s="0" t="n">
        <v>4215</v>
      </c>
      <c r="E1390" s="0" t="s">
        <v>7275</v>
      </c>
      <c r="F1390" s="0" t="s">
        <v>7281</v>
      </c>
      <c r="G1390" s="0" t="s">
        <v>7267</v>
      </c>
    </row>
    <row r="1391" customFormat="false" ht="15" hidden="false" customHeight="false" outlineLevel="0" collapsed="false">
      <c r="A1391" s="0" t="s">
        <v>115</v>
      </c>
      <c r="B1391" s="0" t="n">
        <v>2018</v>
      </c>
      <c r="C1391" s="0" t="s">
        <v>327</v>
      </c>
      <c r="D1391" s="0" t="n">
        <v>5.7</v>
      </c>
      <c r="E1391" s="0" t="s">
        <v>7275</v>
      </c>
      <c r="F1391" s="0" t="s">
        <v>7281</v>
      </c>
      <c r="G1391" s="0" t="s">
        <v>7267</v>
      </c>
    </row>
    <row r="1392" customFormat="false" ht="15" hidden="false" customHeight="false" outlineLevel="0" collapsed="false">
      <c r="A1392" s="0" t="s">
        <v>115</v>
      </c>
      <c r="B1392" s="0" t="n">
        <v>2018</v>
      </c>
      <c r="C1392" s="0" t="s">
        <v>69</v>
      </c>
      <c r="D1392" s="0" t="n">
        <v>16.7</v>
      </c>
      <c r="E1392" s="0" t="s">
        <v>7275</v>
      </c>
      <c r="F1392" s="0" t="s">
        <v>7281</v>
      </c>
      <c r="G1392" s="0" t="s">
        <v>7267</v>
      </c>
    </row>
    <row r="1393" customFormat="false" ht="15" hidden="false" customHeight="false" outlineLevel="0" collapsed="false">
      <c r="A1393" s="0" t="s">
        <v>115</v>
      </c>
      <c r="B1393" s="0" t="n">
        <v>2018</v>
      </c>
      <c r="C1393" s="0" t="s">
        <v>73</v>
      </c>
      <c r="D1393" s="0" t="n">
        <v>0</v>
      </c>
      <c r="E1393" s="0" t="s">
        <v>7275</v>
      </c>
      <c r="F1393" s="0" t="s">
        <v>7281</v>
      </c>
      <c r="G1393" s="0" t="s">
        <v>7267</v>
      </c>
    </row>
    <row r="1394" customFormat="false" ht="15" hidden="false" customHeight="false" outlineLevel="0" collapsed="false">
      <c r="A1394" s="0" t="s">
        <v>115</v>
      </c>
      <c r="B1394" s="0" t="n">
        <v>2018</v>
      </c>
      <c r="C1394" s="0" t="s">
        <v>1804</v>
      </c>
      <c r="D1394" s="0" t="s">
        <v>1860</v>
      </c>
      <c r="E1394" s="0" t="s">
        <v>7275</v>
      </c>
      <c r="F1394" s="0" t="s">
        <v>7281</v>
      </c>
      <c r="G1394" s="0" t="s">
        <v>7267</v>
      </c>
    </row>
    <row r="1395" customFormat="false" ht="15" hidden="false" customHeight="false" outlineLevel="0" collapsed="false">
      <c r="A1395" s="0" t="s">
        <v>115</v>
      </c>
      <c r="B1395" s="0" t="n">
        <v>2019</v>
      </c>
      <c r="C1395" s="0" t="s">
        <v>54</v>
      </c>
      <c r="D1395" s="0" t="n">
        <v>28425</v>
      </c>
      <c r="E1395" s="0" t="s">
        <v>7275</v>
      </c>
      <c r="F1395" s="0" t="s">
        <v>7281</v>
      </c>
      <c r="G1395" s="0" t="s">
        <v>7267</v>
      </c>
    </row>
    <row r="1396" customFormat="false" ht="15" hidden="false" customHeight="false" outlineLevel="0" collapsed="false">
      <c r="A1396" s="0" t="s">
        <v>115</v>
      </c>
      <c r="B1396" s="0" t="n">
        <v>2019</v>
      </c>
      <c r="C1396" s="0" t="s">
        <v>1327</v>
      </c>
      <c r="D1396" s="0" t="n">
        <v>218011</v>
      </c>
      <c r="E1396" s="0" t="s">
        <v>7275</v>
      </c>
      <c r="F1396" s="0" t="s">
        <v>7281</v>
      </c>
      <c r="G1396" s="0" t="s">
        <v>7267</v>
      </c>
    </row>
    <row r="1397" customFormat="false" ht="15" hidden="false" customHeight="false" outlineLevel="0" collapsed="false">
      <c r="A1397" s="0" t="s">
        <v>115</v>
      </c>
      <c r="B1397" s="0" t="n">
        <v>2019</v>
      </c>
      <c r="C1397" s="0" t="s">
        <v>55</v>
      </c>
      <c r="D1397" s="0" t="n">
        <v>2114037</v>
      </c>
      <c r="E1397" s="0" t="s">
        <v>7275</v>
      </c>
      <c r="F1397" s="0" t="s">
        <v>7281</v>
      </c>
      <c r="G1397" s="0" t="s">
        <v>7267</v>
      </c>
    </row>
    <row r="1398" customFormat="false" ht="15" hidden="false" customHeight="false" outlineLevel="0" collapsed="false">
      <c r="A1398" s="0" t="s">
        <v>115</v>
      </c>
      <c r="B1398" s="0" t="n">
        <v>2019</v>
      </c>
      <c r="C1398" s="0" t="s">
        <v>60</v>
      </c>
      <c r="D1398" s="0" t="n">
        <v>1178389</v>
      </c>
      <c r="E1398" s="0" t="s">
        <v>7275</v>
      </c>
      <c r="F1398" s="0" t="s">
        <v>7281</v>
      </c>
      <c r="G1398" s="0" t="s">
        <v>7267</v>
      </c>
    </row>
    <row r="1399" customFormat="false" ht="15" hidden="false" customHeight="false" outlineLevel="0" collapsed="false">
      <c r="A1399" s="0" t="s">
        <v>115</v>
      </c>
      <c r="B1399" s="0" t="n">
        <v>2019</v>
      </c>
      <c r="C1399" s="0" t="s">
        <v>61</v>
      </c>
      <c r="D1399" s="0" t="n">
        <v>51415</v>
      </c>
      <c r="E1399" s="0" t="s">
        <v>7275</v>
      </c>
      <c r="F1399" s="0" t="s">
        <v>7281</v>
      </c>
      <c r="G1399" s="0" t="s">
        <v>7267</v>
      </c>
    </row>
    <row r="1400" customFormat="false" ht="15" hidden="false" customHeight="false" outlineLevel="0" collapsed="false">
      <c r="A1400" s="0" t="s">
        <v>115</v>
      </c>
      <c r="B1400" s="0" t="n">
        <v>2019</v>
      </c>
      <c r="C1400" s="0" t="s">
        <v>327</v>
      </c>
      <c r="D1400" s="0" t="n">
        <v>3.3</v>
      </c>
      <c r="E1400" s="0" t="s">
        <v>7275</v>
      </c>
      <c r="F1400" s="0" t="s">
        <v>7281</v>
      </c>
      <c r="G1400" s="0" t="s">
        <v>7267</v>
      </c>
    </row>
    <row r="1401" customFormat="false" ht="15" hidden="false" customHeight="false" outlineLevel="0" collapsed="false">
      <c r="A1401" s="0" t="s">
        <v>115</v>
      </c>
      <c r="B1401" s="0" t="n">
        <v>2019</v>
      </c>
      <c r="C1401" s="0" t="s">
        <v>69</v>
      </c>
      <c r="D1401" s="0" t="n">
        <v>18.3</v>
      </c>
      <c r="E1401" s="0" t="s">
        <v>7275</v>
      </c>
      <c r="F1401" s="0" t="s">
        <v>7281</v>
      </c>
      <c r="G1401" s="0" t="s">
        <v>7267</v>
      </c>
    </row>
    <row r="1402" customFormat="false" ht="15" hidden="false" customHeight="false" outlineLevel="0" collapsed="false">
      <c r="A1402" s="0" t="s">
        <v>115</v>
      </c>
      <c r="B1402" s="0" t="n">
        <v>2019</v>
      </c>
      <c r="C1402" s="0" t="s">
        <v>73</v>
      </c>
      <c r="D1402" s="0" t="n">
        <v>0</v>
      </c>
      <c r="E1402" s="0" t="s">
        <v>7275</v>
      </c>
      <c r="F1402" s="0" t="s">
        <v>7281</v>
      </c>
      <c r="G1402" s="0" t="s">
        <v>7267</v>
      </c>
    </row>
    <row r="1403" customFormat="false" ht="15" hidden="false" customHeight="false" outlineLevel="0" collapsed="false">
      <c r="A1403" s="0" t="s">
        <v>115</v>
      </c>
      <c r="B1403" s="0" t="n">
        <v>2019</v>
      </c>
      <c r="C1403" s="0" t="s">
        <v>1804</v>
      </c>
      <c r="D1403" s="0" t="s">
        <v>1860</v>
      </c>
      <c r="E1403" s="0" t="s">
        <v>7275</v>
      </c>
      <c r="F1403" s="0" t="s">
        <v>7281</v>
      </c>
      <c r="G1403" s="0" t="s">
        <v>7267</v>
      </c>
    </row>
    <row r="1404" customFormat="false" ht="15" hidden="false" customHeight="false" outlineLevel="0" collapsed="false">
      <c r="A1404" s="0" t="s">
        <v>115</v>
      </c>
      <c r="B1404" s="0" t="n">
        <v>2020</v>
      </c>
      <c r="C1404" s="0" t="s">
        <v>54</v>
      </c>
      <c r="D1404" s="0" t="n">
        <v>26650</v>
      </c>
      <c r="E1404" s="0" t="s">
        <v>7275</v>
      </c>
      <c r="F1404" s="0" t="s">
        <v>7281</v>
      </c>
      <c r="G1404" s="0" t="s">
        <v>7267</v>
      </c>
    </row>
    <row r="1405" customFormat="false" ht="15" hidden="false" customHeight="false" outlineLevel="0" collapsed="false">
      <c r="A1405" s="0" t="s">
        <v>115</v>
      </c>
      <c r="B1405" s="0" t="n">
        <v>2020</v>
      </c>
      <c r="C1405" s="0" t="s">
        <v>1327</v>
      </c>
      <c r="D1405" s="0" t="n">
        <v>206204</v>
      </c>
      <c r="E1405" s="0" t="s">
        <v>7275</v>
      </c>
      <c r="F1405" s="0" t="s">
        <v>7281</v>
      </c>
      <c r="G1405" s="0" t="s">
        <v>7267</v>
      </c>
    </row>
    <row r="1406" customFormat="false" ht="15" hidden="false" customHeight="false" outlineLevel="0" collapsed="false">
      <c r="A1406" s="0" t="s">
        <v>115</v>
      </c>
      <c r="B1406" s="0" t="n">
        <v>2020</v>
      </c>
      <c r="C1406" s="0" t="s">
        <v>55</v>
      </c>
      <c r="D1406" s="0" t="n">
        <v>2758148</v>
      </c>
      <c r="E1406" s="0" t="s">
        <v>7275</v>
      </c>
      <c r="F1406" s="0" t="s">
        <v>7281</v>
      </c>
      <c r="G1406" s="0" t="s">
        <v>7267</v>
      </c>
    </row>
    <row r="1407" customFormat="false" ht="15" hidden="false" customHeight="false" outlineLevel="0" collapsed="false">
      <c r="A1407" s="0" t="s">
        <v>115</v>
      </c>
      <c r="B1407" s="0" t="n">
        <v>2020</v>
      </c>
      <c r="C1407" s="0" t="s">
        <v>60</v>
      </c>
      <c r="D1407" s="0" t="n">
        <v>1393624</v>
      </c>
      <c r="E1407" s="0" t="s">
        <v>7275</v>
      </c>
      <c r="F1407" s="0" t="s">
        <v>7281</v>
      </c>
      <c r="G1407" s="0" t="s">
        <v>7267</v>
      </c>
    </row>
    <row r="1408" customFormat="false" ht="15" hidden="false" customHeight="false" outlineLevel="0" collapsed="false">
      <c r="A1408" s="0" t="s">
        <v>115</v>
      </c>
      <c r="B1408" s="0" t="n">
        <v>2020</v>
      </c>
      <c r="C1408" s="0" t="s">
        <v>61</v>
      </c>
      <c r="D1408" s="0" t="n">
        <v>67518</v>
      </c>
      <c r="E1408" s="0" t="s">
        <v>7275</v>
      </c>
      <c r="F1408" s="0" t="s">
        <v>7281</v>
      </c>
      <c r="G1408" s="0" t="s">
        <v>7267</v>
      </c>
    </row>
    <row r="1409" customFormat="false" ht="15" hidden="false" customHeight="false" outlineLevel="0" collapsed="false">
      <c r="A1409" s="0" t="s">
        <v>115</v>
      </c>
      <c r="B1409" s="0" t="n">
        <v>2020</v>
      </c>
      <c r="C1409" s="0" t="s">
        <v>63</v>
      </c>
      <c r="D1409" s="0" t="n">
        <v>16858</v>
      </c>
      <c r="E1409" s="0" t="s">
        <v>7275</v>
      </c>
      <c r="F1409" s="0" t="s">
        <v>7281</v>
      </c>
      <c r="G1409" s="0" t="s">
        <v>7267</v>
      </c>
    </row>
    <row r="1410" customFormat="false" ht="15" hidden="false" customHeight="false" outlineLevel="0" collapsed="false">
      <c r="A1410" s="0" t="s">
        <v>115</v>
      </c>
      <c r="B1410" s="0" t="n">
        <v>2020</v>
      </c>
      <c r="C1410" s="0" t="s">
        <v>327</v>
      </c>
      <c r="D1410" s="0" t="n">
        <v>3.8</v>
      </c>
      <c r="E1410" s="0" t="s">
        <v>7275</v>
      </c>
      <c r="F1410" s="0" t="s">
        <v>7281</v>
      </c>
      <c r="G1410" s="0" t="s">
        <v>7267</v>
      </c>
    </row>
    <row r="1411" customFormat="false" ht="15" hidden="false" customHeight="false" outlineLevel="0" collapsed="false">
      <c r="A1411" s="0" t="s">
        <v>115</v>
      </c>
      <c r="B1411" s="0" t="n">
        <v>2020</v>
      </c>
      <c r="C1411" s="0" t="s">
        <v>69</v>
      </c>
      <c r="D1411" s="0" t="n">
        <v>18.2</v>
      </c>
      <c r="E1411" s="0" t="s">
        <v>7275</v>
      </c>
      <c r="F1411" s="0" t="s">
        <v>7281</v>
      </c>
      <c r="G1411" s="0" t="s">
        <v>7267</v>
      </c>
    </row>
    <row r="1412" customFormat="false" ht="15" hidden="false" customHeight="false" outlineLevel="0" collapsed="false">
      <c r="A1412" s="0" t="s">
        <v>115</v>
      </c>
      <c r="B1412" s="0" t="n">
        <v>2020</v>
      </c>
      <c r="C1412" s="0" t="s">
        <v>73</v>
      </c>
      <c r="D1412" s="0" t="n">
        <v>0</v>
      </c>
      <c r="E1412" s="0" t="s">
        <v>7275</v>
      </c>
      <c r="F1412" s="0" t="s">
        <v>7281</v>
      </c>
      <c r="G1412" s="0" t="s">
        <v>7267</v>
      </c>
    </row>
    <row r="1413" customFormat="false" ht="15" hidden="false" customHeight="false" outlineLevel="0" collapsed="false">
      <c r="A1413" s="0" t="s">
        <v>115</v>
      </c>
      <c r="B1413" s="0" t="n">
        <v>2020</v>
      </c>
      <c r="C1413" s="0" t="s">
        <v>1804</v>
      </c>
      <c r="D1413" s="0" t="s">
        <v>1860</v>
      </c>
      <c r="E1413" s="0" t="s">
        <v>7275</v>
      </c>
      <c r="F1413" s="0" t="s">
        <v>7281</v>
      </c>
      <c r="G1413" s="0" t="s">
        <v>7267</v>
      </c>
    </row>
    <row r="1414" customFormat="false" ht="15" hidden="false" customHeight="false" outlineLevel="0" collapsed="false">
      <c r="A1414" s="0" t="s">
        <v>115</v>
      </c>
      <c r="B1414" s="0" t="n">
        <v>2021</v>
      </c>
      <c r="C1414" s="0" t="s">
        <v>54</v>
      </c>
      <c r="D1414" s="0" t="n">
        <v>23104</v>
      </c>
      <c r="E1414" s="0" t="s">
        <v>7275</v>
      </c>
      <c r="F1414" s="0" t="s">
        <v>7281</v>
      </c>
      <c r="G1414" s="0" t="s">
        <v>7267</v>
      </c>
    </row>
    <row r="1415" customFormat="false" ht="15" hidden="false" customHeight="false" outlineLevel="0" collapsed="false">
      <c r="A1415" s="0" t="s">
        <v>115</v>
      </c>
      <c r="B1415" s="0" t="n">
        <v>2021</v>
      </c>
      <c r="C1415" s="0" t="s">
        <v>1327</v>
      </c>
      <c r="D1415" s="0" t="n">
        <v>250776</v>
      </c>
      <c r="E1415" s="0" t="s">
        <v>7275</v>
      </c>
      <c r="F1415" s="0" t="s">
        <v>7281</v>
      </c>
      <c r="G1415" s="0" t="s">
        <v>7267</v>
      </c>
    </row>
    <row r="1416" customFormat="false" ht="15" hidden="false" customHeight="false" outlineLevel="0" collapsed="false">
      <c r="A1416" s="0" t="s">
        <v>115</v>
      </c>
      <c r="B1416" s="0" t="n">
        <v>2021</v>
      </c>
      <c r="C1416" s="0" t="s">
        <v>55</v>
      </c>
      <c r="D1416" s="0" t="n">
        <v>3280454</v>
      </c>
      <c r="E1416" s="0" t="s">
        <v>7275</v>
      </c>
      <c r="F1416" s="0" t="s">
        <v>7281</v>
      </c>
      <c r="G1416" s="0" t="s">
        <v>7267</v>
      </c>
    </row>
    <row r="1417" customFormat="false" ht="15" hidden="false" customHeight="false" outlineLevel="0" collapsed="false">
      <c r="A1417" s="0" t="s">
        <v>115</v>
      </c>
      <c r="B1417" s="0" t="n">
        <v>2021</v>
      </c>
      <c r="C1417" s="0" t="s">
        <v>60</v>
      </c>
      <c r="D1417" s="0" t="n">
        <v>1732543</v>
      </c>
      <c r="E1417" s="0" t="s">
        <v>7275</v>
      </c>
      <c r="F1417" s="0" t="s">
        <v>7281</v>
      </c>
      <c r="G1417" s="0" t="s">
        <v>7267</v>
      </c>
    </row>
    <row r="1418" customFormat="false" ht="15" hidden="false" customHeight="false" outlineLevel="0" collapsed="false">
      <c r="A1418" s="0" t="s">
        <v>115</v>
      </c>
      <c r="B1418" s="0" t="n">
        <v>2021</v>
      </c>
      <c r="C1418" s="0" t="s">
        <v>61</v>
      </c>
      <c r="D1418" s="0" t="n">
        <v>74131</v>
      </c>
      <c r="E1418" s="0" t="s">
        <v>7275</v>
      </c>
      <c r="F1418" s="0" t="s">
        <v>7281</v>
      </c>
      <c r="G1418" s="0" t="s">
        <v>7267</v>
      </c>
    </row>
    <row r="1419" customFormat="false" ht="15" hidden="false" customHeight="false" outlineLevel="0" collapsed="false">
      <c r="A1419" s="0" t="s">
        <v>115</v>
      </c>
      <c r="B1419" s="0" t="n">
        <v>2021</v>
      </c>
      <c r="C1419" s="0" t="s">
        <v>63</v>
      </c>
      <c r="D1419" s="0" t="n">
        <v>7034</v>
      </c>
      <c r="E1419" s="0" t="s">
        <v>7275</v>
      </c>
      <c r="F1419" s="0" t="s">
        <v>7281</v>
      </c>
      <c r="G1419" s="0" t="s">
        <v>7267</v>
      </c>
    </row>
    <row r="1420" customFormat="false" ht="15" hidden="false" customHeight="false" outlineLevel="0" collapsed="false">
      <c r="A1420" s="0" t="s">
        <v>115</v>
      </c>
      <c r="B1420" s="0" t="n">
        <v>2021</v>
      </c>
      <c r="C1420" s="0" t="s">
        <v>327</v>
      </c>
      <c r="D1420" s="0" t="n">
        <v>2.9</v>
      </c>
      <c r="E1420" s="0" t="s">
        <v>7275</v>
      </c>
      <c r="F1420" s="0" t="s">
        <v>7281</v>
      </c>
      <c r="G1420" s="0" t="s">
        <v>7267</v>
      </c>
    </row>
    <row r="1421" customFormat="false" ht="15" hidden="false" customHeight="false" outlineLevel="0" collapsed="false">
      <c r="A1421" s="0" t="s">
        <v>115</v>
      </c>
      <c r="B1421" s="0" t="n">
        <v>2021</v>
      </c>
      <c r="C1421" s="0" t="s">
        <v>69</v>
      </c>
      <c r="D1421" s="0" t="n">
        <v>19.15</v>
      </c>
      <c r="E1421" s="0" t="s">
        <v>7275</v>
      </c>
      <c r="F1421" s="0" t="s">
        <v>7281</v>
      </c>
      <c r="G1421" s="0" t="s">
        <v>7267</v>
      </c>
    </row>
    <row r="1422" customFormat="false" ht="15" hidden="false" customHeight="false" outlineLevel="0" collapsed="false">
      <c r="A1422" s="0" t="s">
        <v>115</v>
      </c>
      <c r="B1422" s="0" t="n">
        <v>2021</v>
      </c>
      <c r="C1422" s="0" t="s">
        <v>73</v>
      </c>
      <c r="D1422" s="0" t="n">
        <v>0</v>
      </c>
      <c r="E1422" s="0" t="s">
        <v>7275</v>
      </c>
      <c r="F1422" s="0" t="s">
        <v>7281</v>
      </c>
      <c r="G1422" s="0" t="s">
        <v>7267</v>
      </c>
    </row>
    <row r="1423" customFormat="false" ht="15" hidden="false" customHeight="false" outlineLevel="0" collapsed="false">
      <c r="A1423" s="0" t="s">
        <v>115</v>
      </c>
      <c r="B1423" s="0" t="n">
        <v>2021</v>
      </c>
      <c r="C1423" s="0" t="s">
        <v>1804</v>
      </c>
      <c r="D1423" s="0" t="s">
        <v>1878</v>
      </c>
      <c r="E1423" s="0" t="s">
        <v>7275</v>
      </c>
      <c r="F1423" s="0" t="s">
        <v>7281</v>
      </c>
      <c r="G1423" s="0" t="s">
        <v>7267</v>
      </c>
    </row>
    <row r="1424" customFormat="false" ht="15" hidden="false" customHeight="false" outlineLevel="0" collapsed="false">
      <c r="A1424" s="0" t="s">
        <v>115</v>
      </c>
      <c r="B1424" s="0" t="n">
        <v>2022</v>
      </c>
      <c r="C1424" s="0" t="s">
        <v>54</v>
      </c>
      <c r="D1424" s="0" t="n">
        <v>46724</v>
      </c>
      <c r="E1424" s="0" t="s">
        <v>7275</v>
      </c>
      <c r="F1424" s="0" t="s">
        <v>7281</v>
      </c>
      <c r="G1424" s="0" t="s">
        <v>7267</v>
      </c>
    </row>
    <row r="1425" customFormat="false" ht="15" hidden="false" customHeight="false" outlineLevel="0" collapsed="false">
      <c r="A1425" s="0" t="s">
        <v>115</v>
      </c>
      <c r="B1425" s="0" t="n">
        <v>2022</v>
      </c>
      <c r="C1425" s="0" t="s">
        <v>1327</v>
      </c>
      <c r="D1425" s="0" t="n">
        <v>337050</v>
      </c>
      <c r="E1425" s="0" t="s">
        <v>7275</v>
      </c>
      <c r="F1425" s="0" t="s">
        <v>7281</v>
      </c>
      <c r="G1425" s="0" t="s">
        <v>7267</v>
      </c>
    </row>
    <row r="1426" customFormat="false" ht="15" hidden="false" customHeight="false" outlineLevel="0" collapsed="false">
      <c r="A1426" s="0" t="s">
        <v>115</v>
      </c>
      <c r="B1426" s="0" t="n">
        <v>2022</v>
      </c>
      <c r="C1426" s="0" t="s">
        <v>55</v>
      </c>
      <c r="D1426" s="0" t="n">
        <v>3989009</v>
      </c>
      <c r="E1426" s="0" t="s">
        <v>7275</v>
      </c>
      <c r="F1426" s="0" t="s">
        <v>7281</v>
      </c>
      <c r="G1426" s="0" t="s">
        <v>7267</v>
      </c>
    </row>
    <row r="1427" customFormat="false" ht="15" hidden="false" customHeight="false" outlineLevel="0" collapsed="false">
      <c r="A1427" s="0" t="s">
        <v>115</v>
      </c>
      <c r="B1427" s="0" t="n">
        <v>2022</v>
      </c>
      <c r="C1427" s="0" t="s">
        <v>60</v>
      </c>
      <c r="D1427" s="0" t="n">
        <v>2196760</v>
      </c>
      <c r="E1427" s="0" t="s">
        <v>7275</v>
      </c>
      <c r="F1427" s="0" t="s">
        <v>7281</v>
      </c>
      <c r="G1427" s="0" t="s">
        <v>7267</v>
      </c>
    </row>
    <row r="1428" customFormat="false" ht="15" hidden="false" customHeight="false" outlineLevel="0" collapsed="false">
      <c r="A1428" s="0" t="s">
        <v>115</v>
      </c>
      <c r="B1428" s="0" t="n">
        <v>2022</v>
      </c>
      <c r="C1428" s="0" t="s">
        <v>61</v>
      </c>
      <c r="D1428" s="0" t="n">
        <v>80548</v>
      </c>
      <c r="E1428" s="0" t="s">
        <v>7275</v>
      </c>
      <c r="F1428" s="0" t="s">
        <v>7281</v>
      </c>
      <c r="G1428" s="0" t="s">
        <v>7267</v>
      </c>
    </row>
    <row r="1429" customFormat="false" ht="15" hidden="false" customHeight="false" outlineLevel="0" collapsed="false">
      <c r="A1429" s="0" t="s">
        <v>115</v>
      </c>
      <c r="B1429" s="0" t="n">
        <v>2022</v>
      </c>
      <c r="C1429" s="0" t="s">
        <v>63</v>
      </c>
      <c r="D1429" s="0" t="n">
        <v>5443</v>
      </c>
      <c r="E1429" s="0" t="s">
        <v>7275</v>
      </c>
      <c r="F1429" s="0" t="s">
        <v>7281</v>
      </c>
      <c r="G1429" s="0" t="s">
        <v>7267</v>
      </c>
    </row>
    <row r="1430" customFormat="false" ht="15" hidden="false" customHeight="false" outlineLevel="0" collapsed="false">
      <c r="A1430" s="0" t="s">
        <v>115</v>
      </c>
      <c r="B1430" s="0" t="n">
        <v>2022</v>
      </c>
      <c r="C1430" s="0" t="s">
        <v>327</v>
      </c>
      <c r="D1430" s="0" t="n">
        <v>2.9</v>
      </c>
      <c r="E1430" s="0" t="s">
        <v>7275</v>
      </c>
      <c r="F1430" s="0" t="s">
        <v>7281</v>
      </c>
      <c r="G1430" s="0" t="s">
        <v>7267</v>
      </c>
    </row>
    <row r="1431" customFormat="false" ht="15" hidden="false" customHeight="false" outlineLevel="0" collapsed="false">
      <c r="A1431" s="0" t="s">
        <v>115</v>
      </c>
      <c r="B1431" s="0" t="n">
        <v>2022</v>
      </c>
      <c r="C1431" s="0" t="s">
        <v>69</v>
      </c>
      <c r="D1431" s="0" t="n">
        <v>18.14</v>
      </c>
      <c r="E1431" s="0" t="s">
        <v>7275</v>
      </c>
      <c r="F1431" s="0" t="s">
        <v>7281</v>
      </c>
      <c r="G1431" s="0" t="s">
        <v>7267</v>
      </c>
    </row>
    <row r="1432" customFormat="false" ht="15" hidden="false" customHeight="false" outlineLevel="0" collapsed="false">
      <c r="A1432" s="0" t="s">
        <v>115</v>
      </c>
      <c r="B1432" s="0" t="n">
        <v>2022</v>
      </c>
      <c r="C1432" s="0" t="s">
        <v>73</v>
      </c>
      <c r="D1432" s="0" t="n">
        <v>0</v>
      </c>
      <c r="E1432" s="0" t="s">
        <v>7275</v>
      </c>
      <c r="F1432" s="0" t="s">
        <v>7281</v>
      </c>
      <c r="G1432" s="0" t="s">
        <v>7267</v>
      </c>
    </row>
    <row r="1433" customFormat="false" ht="15" hidden="false" customHeight="false" outlineLevel="0" collapsed="false">
      <c r="A1433" s="0" t="s">
        <v>115</v>
      </c>
      <c r="B1433" s="0" t="n">
        <v>2022</v>
      </c>
      <c r="C1433" s="0" t="s">
        <v>1804</v>
      </c>
      <c r="D1433" s="0" t="s">
        <v>1878</v>
      </c>
      <c r="E1433" s="0" t="s">
        <v>7275</v>
      </c>
      <c r="F1433" s="0" t="s">
        <v>7281</v>
      </c>
      <c r="G1433" s="0" t="s">
        <v>7267</v>
      </c>
    </row>
    <row r="1434" customFormat="false" ht="15" hidden="false" customHeight="false" outlineLevel="0" collapsed="false">
      <c r="A1434" s="0" t="s">
        <v>149</v>
      </c>
      <c r="B1434" s="0" t="n">
        <v>2015</v>
      </c>
      <c r="C1434" s="0" t="s">
        <v>54</v>
      </c>
      <c r="D1434" s="0" t="n">
        <v>6232</v>
      </c>
      <c r="E1434" s="0" t="s">
        <v>7275</v>
      </c>
      <c r="F1434" s="0" t="s">
        <v>7282</v>
      </c>
      <c r="G1434" s="0" t="s">
        <v>7267</v>
      </c>
    </row>
    <row r="1435" customFormat="false" ht="15" hidden="false" customHeight="false" outlineLevel="0" collapsed="false">
      <c r="A1435" s="0" t="s">
        <v>149</v>
      </c>
      <c r="B1435" s="0" t="n">
        <v>2015</v>
      </c>
      <c r="C1435" s="0" t="s">
        <v>1327</v>
      </c>
      <c r="D1435" s="0" t="n">
        <v>118400</v>
      </c>
      <c r="E1435" s="0" t="s">
        <v>7275</v>
      </c>
      <c r="F1435" s="0" t="s">
        <v>7282</v>
      </c>
      <c r="G1435" s="0" t="s">
        <v>7267</v>
      </c>
    </row>
    <row r="1436" customFormat="false" ht="15" hidden="false" customHeight="false" outlineLevel="0" collapsed="false">
      <c r="A1436" s="0" t="s">
        <v>149</v>
      </c>
      <c r="B1436" s="0" t="n">
        <v>2015</v>
      </c>
      <c r="C1436" s="0" t="s">
        <v>55</v>
      </c>
      <c r="D1436" s="0" t="n">
        <v>890580</v>
      </c>
      <c r="E1436" s="0" t="s">
        <v>7275</v>
      </c>
      <c r="F1436" s="0" t="s">
        <v>7282</v>
      </c>
      <c r="G1436" s="0" t="s">
        <v>7267</v>
      </c>
    </row>
    <row r="1437" customFormat="false" ht="15" hidden="false" customHeight="false" outlineLevel="0" collapsed="false">
      <c r="A1437" s="0" t="s">
        <v>149</v>
      </c>
      <c r="B1437" s="0" t="n">
        <v>2015</v>
      </c>
      <c r="C1437" s="0" t="s">
        <v>60</v>
      </c>
      <c r="D1437" s="0" t="n">
        <v>406210</v>
      </c>
      <c r="E1437" s="0" t="s">
        <v>7275</v>
      </c>
      <c r="F1437" s="0" t="s">
        <v>7282</v>
      </c>
      <c r="G1437" s="0" t="s">
        <v>7267</v>
      </c>
    </row>
    <row r="1438" customFormat="false" ht="15" hidden="false" customHeight="false" outlineLevel="0" collapsed="false">
      <c r="A1438" s="0" t="s">
        <v>149</v>
      </c>
      <c r="B1438" s="0" t="n">
        <v>2015</v>
      </c>
      <c r="C1438" s="0" t="s">
        <v>61</v>
      </c>
      <c r="D1438" s="0" t="n">
        <v>25915</v>
      </c>
      <c r="E1438" s="0" t="s">
        <v>7275</v>
      </c>
      <c r="F1438" s="0" t="s">
        <v>7282</v>
      </c>
      <c r="G1438" s="0" t="s">
        <v>7267</v>
      </c>
    </row>
    <row r="1439" customFormat="false" ht="15" hidden="false" customHeight="false" outlineLevel="0" collapsed="false">
      <c r="A1439" s="0" t="s">
        <v>149</v>
      </c>
      <c r="B1439" s="0" t="n">
        <v>2015</v>
      </c>
      <c r="C1439" s="0" t="s">
        <v>63</v>
      </c>
      <c r="D1439" s="0" t="n">
        <v>15114</v>
      </c>
      <c r="E1439" s="0" t="s">
        <v>7275</v>
      </c>
      <c r="F1439" s="0" t="s">
        <v>7282</v>
      </c>
      <c r="G1439" s="0" t="s">
        <v>7267</v>
      </c>
    </row>
    <row r="1440" customFormat="false" ht="15" hidden="false" customHeight="false" outlineLevel="0" collapsed="false">
      <c r="A1440" s="0" t="s">
        <v>149</v>
      </c>
      <c r="B1440" s="0" t="n">
        <v>2015</v>
      </c>
      <c r="C1440" s="0" t="s">
        <v>327</v>
      </c>
      <c r="D1440" s="0" t="n">
        <v>6.65</v>
      </c>
      <c r="E1440" s="0" t="s">
        <v>7275</v>
      </c>
      <c r="F1440" s="0" t="s">
        <v>7282</v>
      </c>
      <c r="G1440" s="0" t="s">
        <v>7267</v>
      </c>
    </row>
    <row r="1441" customFormat="false" ht="15" hidden="false" customHeight="false" outlineLevel="0" collapsed="false">
      <c r="A1441" s="0" t="s">
        <v>149</v>
      </c>
      <c r="B1441" s="0" t="n">
        <v>2015</v>
      </c>
      <c r="C1441" s="0" t="s">
        <v>69</v>
      </c>
      <c r="D1441" s="0" t="n">
        <v>18.3</v>
      </c>
      <c r="E1441" s="0" t="s">
        <v>7275</v>
      </c>
      <c r="F1441" s="0" t="s">
        <v>7282</v>
      </c>
      <c r="G1441" s="0" t="s">
        <v>7267</v>
      </c>
    </row>
    <row r="1442" customFormat="false" ht="15" hidden="false" customHeight="false" outlineLevel="0" collapsed="false">
      <c r="A1442" s="0" t="s">
        <v>149</v>
      </c>
      <c r="B1442" s="0" t="n">
        <v>2015</v>
      </c>
      <c r="C1442" s="0" t="s">
        <v>73</v>
      </c>
      <c r="D1442" s="0" t="n">
        <v>0</v>
      </c>
      <c r="E1442" s="0" t="s">
        <v>7275</v>
      </c>
      <c r="F1442" s="0" t="s">
        <v>7282</v>
      </c>
      <c r="G1442" s="0" t="s">
        <v>7267</v>
      </c>
    </row>
    <row r="1443" customFormat="false" ht="15" hidden="false" customHeight="false" outlineLevel="0" collapsed="false">
      <c r="A1443" s="0" t="s">
        <v>149</v>
      </c>
      <c r="B1443" s="0" t="n">
        <v>2015</v>
      </c>
      <c r="C1443" s="0" t="s">
        <v>1804</v>
      </c>
      <c r="D1443" s="0" t="s">
        <v>7268</v>
      </c>
      <c r="E1443" s="0" t="s">
        <v>7275</v>
      </c>
      <c r="F1443" s="0" t="s">
        <v>7282</v>
      </c>
      <c r="G1443" s="0" t="s">
        <v>7267</v>
      </c>
    </row>
    <row r="1444" customFormat="false" ht="15" hidden="false" customHeight="false" outlineLevel="0" collapsed="false">
      <c r="A1444" s="0" t="s">
        <v>149</v>
      </c>
      <c r="B1444" s="0" t="n">
        <v>2016</v>
      </c>
      <c r="C1444" s="0" t="s">
        <v>54</v>
      </c>
      <c r="D1444" s="0" t="n">
        <v>15030</v>
      </c>
      <c r="E1444" s="0" t="s">
        <v>7275</v>
      </c>
      <c r="F1444" s="0" t="s">
        <v>7282</v>
      </c>
      <c r="G1444" s="0" t="s">
        <v>7267</v>
      </c>
    </row>
    <row r="1445" customFormat="false" ht="15" hidden="false" customHeight="false" outlineLevel="0" collapsed="false">
      <c r="A1445" s="0" t="s">
        <v>149</v>
      </c>
      <c r="B1445" s="0" t="n">
        <v>2016</v>
      </c>
      <c r="C1445" s="0" t="s">
        <v>1327</v>
      </c>
      <c r="D1445" s="0" t="n">
        <v>142500</v>
      </c>
      <c r="E1445" s="0" t="s">
        <v>7275</v>
      </c>
      <c r="F1445" s="0" t="s">
        <v>7282</v>
      </c>
      <c r="G1445" s="0" t="s">
        <v>7267</v>
      </c>
    </row>
    <row r="1446" customFormat="false" ht="15" hidden="false" customHeight="false" outlineLevel="0" collapsed="false">
      <c r="A1446" s="0" t="s">
        <v>149</v>
      </c>
      <c r="B1446" s="0" t="n">
        <v>2016</v>
      </c>
      <c r="C1446" s="0" t="s">
        <v>55</v>
      </c>
      <c r="D1446" s="0" t="n">
        <v>993759</v>
      </c>
      <c r="E1446" s="0" t="s">
        <v>7275</v>
      </c>
      <c r="F1446" s="0" t="s">
        <v>7282</v>
      </c>
      <c r="G1446" s="0" t="s">
        <v>7267</v>
      </c>
    </row>
    <row r="1447" customFormat="false" ht="15" hidden="false" customHeight="false" outlineLevel="0" collapsed="false">
      <c r="A1447" s="0" t="s">
        <v>149</v>
      </c>
      <c r="B1447" s="0" t="n">
        <v>2016</v>
      </c>
      <c r="C1447" s="0" t="s">
        <v>60</v>
      </c>
      <c r="D1447" s="0" t="n">
        <v>390580</v>
      </c>
      <c r="E1447" s="0" t="s">
        <v>7275</v>
      </c>
      <c r="F1447" s="0" t="s">
        <v>7282</v>
      </c>
      <c r="G1447" s="0" t="s">
        <v>7267</v>
      </c>
    </row>
    <row r="1448" customFormat="false" ht="15" hidden="false" customHeight="false" outlineLevel="0" collapsed="false">
      <c r="A1448" s="0" t="s">
        <v>149</v>
      </c>
      <c r="B1448" s="0" t="n">
        <v>2016</v>
      </c>
      <c r="C1448" s="0" t="s">
        <v>61</v>
      </c>
      <c r="D1448" s="0" t="n">
        <v>22351</v>
      </c>
      <c r="E1448" s="0" t="s">
        <v>7275</v>
      </c>
      <c r="F1448" s="0" t="s">
        <v>7282</v>
      </c>
      <c r="G1448" s="0" t="s">
        <v>7267</v>
      </c>
    </row>
    <row r="1449" customFormat="false" ht="15" hidden="false" customHeight="false" outlineLevel="0" collapsed="false">
      <c r="A1449" s="0" t="s">
        <v>149</v>
      </c>
      <c r="B1449" s="0" t="n">
        <v>2016</v>
      </c>
      <c r="C1449" s="0" t="s">
        <v>63</v>
      </c>
      <c r="D1449" s="0" t="n">
        <v>20272</v>
      </c>
      <c r="E1449" s="0" t="s">
        <v>7275</v>
      </c>
      <c r="F1449" s="0" t="s">
        <v>7282</v>
      </c>
      <c r="G1449" s="0" t="s">
        <v>7267</v>
      </c>
    </row>
    <row r="1450" customFormat="false" ht="15" hidden="false" customHeight="false" outlineLevel="0" collapsed="false">
      <c r="A1450" s="0" t="s">
        <v>149</v>
      </c>
      <c r="B1450" s="0" t="n">
        <v>2016</v>
      </c>
      <c r="C1450" s="0" t="s">
        <v>327</v>
      </c>
      <c r="D1450" s="0" t="n">
        <v>4.78</v>
      </c>
      <c r="E1450" s="0" t="s">
        <v>7275</v>
      </c>
      <c r="F1450" s="0" t="s">
        <v>7282</v>
      </c>
      <c r="G1450" s="0" t="s">
        <v>7267</v>
      </c>
    </row>
    <row r="1451" customFormat="false" ht="15" hidden="false" customHeight="false" outlineLevel="0" collapsed="false">
      <c r="A1451" s="0" t="s">
        <v>149</v>
      </c>
      <c r="B1451" s="0" t="n">
        <v>2016</v>
      </c>
      <c r="C1451" s="0" t="s">
        <v>69</v>
      </c>
      <c r="D1451" s="0" t="n">
        <v>21</v>
      </c>
      <c r="E1451" s="0" t="s">
        <v>7275</v>
      </c>
      <c r="F1451" s="0" t="s">
        <v>7282</v>
      </c>
      <c r="G1451" s="0" t="s">
        <v>7267</v>
      </c>
    </row>
    <row r="1452" customFormat="false" ht="15" hidden="false" customHeight="false" outlineLevel="0" collapsed="false">
      <c r="A1452" s="0" t="s">
        <v>149</v>
      </c>
      <c r="B1452" s="0" t="n">
        <v>2016</v>
      </c>
      <c r="C1452" s="0" t="s">
        <v>73</v>
      </c>
      <c r="D1452" s="0" t="n">
        <v>0</v>
      </c>
      <c r="E1452" s="0" t="s">
        <v>7275</v>
      </c>
      <c r="F1452" s="0" t="s">
        <v>7282</v>
      </c>
      <c r="G1452" s="0" t="s">
        <v>7267</v>
      </c>
    </row>
    <row r="1453" customFormat="false" ht="15" hidden="false" customHeight="false" outlineLevel="0" collapsed="false">
      <c r="A1453" s="0" t="s">
        <v>149</v>
      </c>
      <c r="B1453" s="0" t="n">
        <v>2016</v>
      </c>
      <c r="C1453" s="0" t="s">
        <v>1804</v>
      </c>
      <c r="D1453" s="0" t="s">
        <v>7268</v>
      </c>
      <c r="E1453" s="0" t="s">
        <v>7275</v>
      </c>
      <c r="F1453" s="0" t="s">
        <v>7282</v>
      </c>
      <c r="G1453" s="0" t="s">
        <v>7267</v>
      </c>
    </row>
    <row r="1454" customFormat="false" ht="15" hidden="false" customHeight="false" outlineLevel="0" collapsed="false">
      <c r="A1454" s="0" t="s">
        <v>149</v>
      </c>
      <c r="B1454" s="0" t="n">
        <v>2017</v>
      </c>
      <c r="C1454" s="0" t="s">
        <v>54</v>
      </c>
      <c r="D1454" s="0" t="n">
        <v>28842</v>
      </c>
      <c r="E1454" s="0" t="s">
        <v>7275</v>
      </c>
      <c r="F1454" s="0" t="s">
        <v>7282</v>
      </c>
      <c r="G1454" s="0" t="s">
        <v>7267</v>
      </c>
    </row>
    <row r="1455" customFormat="false" ht="15" hidden="false" customHeight="false" outlineLevel="0" collapsed="false">
      <c r="A1455" s="0" t="s">
        <v>149</v>
      </c>
      <c r="B1455" s="0" t="n">
        <v>2017</v>
      </c>
      <c r="C1455" s="0" t="s">
        <v>1327</v>
      </c>
      <c r="D1455" s="0" t="n">
        <v>166302</v>
      </c>
      <c r="E1455" s="0" t="s">
        <v>7275</v>
      </c>
      <c r="F1455" s="0" t="s">
        <v>7282</v>
      </c>
      <c r="G1455" s="0" t="s">
        <v>7267</v>
      </c>
    </row>
    <row r="1456" customFormat="false" ht="15" hidden="false" customHeight="false" outlineLevel="0" collapsed="false">
      <c r="A1456" s="0" t="s">
        <v>149</v>
      </c>
      <c r="B1456" s="0" t="n">
        <v>2017</v>
      </c>
      <c r="C1456" s="0" t="s">
        <v>55</v>
      </c>
      <c r="D1456" s="0" t="n">
        <v>1332669</v>
      </c>
      <c r="E1456" s="0" t="s">
        <v>7275</v>
      </c>
      <c r="F1456" s="0" t="s">
        <v>7282</v>
      </c>
      <c r="G1456" s="0" t="s">
        <v>7267</v>
      </c>
    </row>
    <row r="1457" customFormat="false" ht="15" hidden="false" customHeight="false" outlineLevel="0" collapsed="false">
      <c r="A1457" s="0" t="s">
        <v>149</v>
      </c>
      <c r="B1457" s="0" t="n">
        <v>2017</v>
      </c>
      <c r="C1457" s="0" t="s">
        <v>60</v>
      </c>
      <c r="D1457" s="0" t="n">
        <v>391000</v>
      </c>
      <c r="E1457" s="0" t="s">
        <v>7275</v>
      </c>
      <c r="F1457" s="0" t="s">
        <v>7282</v>
      </c>
      <c r="G1457" s="0" t="s">
        <v>7267</v>
      </c>
    </row>
    <row r="1458" customFormat="false" ht="15" hidden="false" customHeight="false" outlineLevel="0" collapsed="false">
      <c r="A1458" s="0" t="s">
        <v>149</v>
      </c>
      <c r="B1458" s="0" t="n">
        <v>2017</v>
      </c>
      <c r="C1458" s="0" t="s">
        <v>61</v>
      </c>
      <c r="D1458" s="0" t="n">
        <v>26000</v>
      </c>
      <c r="E1458" s="0" t="s">
        <v>7275</v>
      </c>
      <c r="F1458" s="0" t="s">
        <v>7282</v>
      </c>
      <c r="G1458" s="0" t="s">
        <v>7267</v>
      </c>
    </row>
    <row r="1459" customFormat="false" ht="15" hidden="false" customHeight="false" outlineLevel="0" collapsed="false">
      <c r="A1459" s="0" t="s">
        <v>149</v>
      </c>
      <c r="B1459" s="0" t="n">
        <v>2017</v>
      </c>
      <c r="C1459" s="0" t="s">
        <v>63</v>
      </c>
      <c r="D1459" s="0" t="n">
        <v>-25577</v>
      </c>
      <c r="E1459" s="0" t="s">
        <v>7275</v>
      </c>
      <c r="F1459" s="0" t="s">
        <v>7282</v>
      </c>
      <c r="G1459" s="0" t="s">
        <v>7267</v>
      </c>
    </row>
    <row r="1460" customFormat="false" ht="15" hidden="false" customHeight="false" outlineLevel="0" collapsed="false">
      <c r="A1460" s="0" t="s">
        <v>149</v>
      </c>
      <c r="B1460" s="0" t="n">
        <v>2017</v>
      </c>
      <c r="C1460" s="0" t="s">
        <v>327</v>
      </c>
      <c r="D1460" s="0" t="n">
        <v>4.2</v>
      </c>
      <c r="E1460" s="0" t="s">
        <v>7275</v>
      </c>
      <c r="F1460" s="0" t="s">
        <v>7282</v>
      </c>
      <c r="G1460" s="0" t="s">
        <v>7267</v>
      </c>
    </row>
    <row r="1461" customFormat="false" ht="15" hidden="false" customHeight="false" outlineLevel="0" collapsed="false">
      <c r="A1461" s="0" t="s">
        <v>149</v>
      </c>
      <c r="B1461" s="0" t="n">
        <v>2017</v>
      </c>
      <c r="C1461" s="0" t="s">
        <v>69</v>
      </c>
      <c r="D1461" s="0" t="n">
        <v>20.5</v>
      </c>
      <c r="E1461" s="0" t="s">
        <v>7275</v>
      </c>
      <c r="F1461" s="0" t="s">
        <v>7282</v>
      </c>
      <c r="G1461" s="0" t="s">
        <v>7267</v>
      </c>
    </row>
    <row r="1462" customFormat="false" ht="15" hidden="false" customHeight="false" outlineLevel="0" collapsed="false">
      <c r="A1462" s="0" t="s">
        <v>149</v>
      </c>
      <c r="B1462" s="0" t="n">
        <v>2017</v>
      </c>
      <c r="C1462" s="0" t="s">
        <v>73</v>
      </c>
      <c r="D1462" s="0" t="n">
        <v>0</v>
      </c>
      <c r="E1462" s="0" t="s">
        <v>7275</v>
      </c>
      <c r="F1462" s="0" t="s">
        <v>7282</v>
      </c>
      <c r="G1462" s="0" t="s">
        <v>7267</v>
      </c>
    </row>
    <row r="1463" customFormat="false" ht="15" hidden="false" customHeight="false" outlineLevel="0" collapsed="false">
      <c r="A1463" s="0" t="s">
        <v>149</v>
      </c>
      <c r="B1463" s="0" t="n">
        <v>2017</v>
      </c>
      <c r="C1463" s="0" t="s">
        <v>1804</v>
      </c>
      <c r="D1463" s="0" t="s">
        <v>3392</v>
      </c>
      <c r="E1463" s="0" t="s">
        <v>7275</v>
      </c>
      <c r="F1463" s="0" t="s">
        <v>7282</v>
      </c>
      <c r="G1463" s="0" t="s">
        <v>7267</v>
      </c>
    </row>
    <row r="1464" customFormat="false" ht="15" hidden="false" customHeight="false" outlineLevel="0" collapsed="false">
      <c r="A1464" s="0" t="s">
        <v>149</v>
      </c>
      <c r="B1464" s="0" t="n">
        <v>2018</v>
      </c>
      <c r="C1464" s="0" t="s">
        <v>54</v>
      </c>
      <c r="D1464" s="0" t="n">
        <v>49912</v>
      </c>
      <c r="E1464" s="0" t="s">
        <v>7275</v>
      </c>
      <c r="F1464" s="0" t="s">
        <v>7282</v>
      </c>
      <c r="G1464" s="0" t="s">
        <v>7267</v>
      </c>
    </row>
    <row r="1465" customFormat="false" ht="15" hidden="false" customHeight="false" outlineLevel="0" collapsed="false">
      <c r="A1465" s="0" t="s">
        <v>149</v>
      </c>
      <c r="B1465" s="0" t="n">
        <v>2018</v>
      </c>
      <c r="C1465" s="0" t="s">
        <v>1327</v>
      </c>
      <c r="D1465" s="0" t="n">
        <v>169207</v>
      </c>
      <c r="E1465" s="0" t="s">
        <v>7275</v>
      </c>
      <c r="F1465" s="0" t="s">
        <v>7282</v>
      </c>
      <c r="G1465" s="0" t="s">
        <v>7267</v>
      </c>
    </row>
    <row r="1466" customFormat="false" ht="15" hidden="false" customHeight="false" outlineLevel="0" collapsed="false">
      <c r="A1466" s="0" t="s">
        <v>149</v>
      </c>
      <c r="B1466" s="0" t="n">
        <v>2018</v>
      </c>
      <c r="C1466" s="0" t="s">
        <v>55</v>
      </c>
      <c r="D1466" s="0" t="n">
        <v>1613500</v>
      </c>
      <c r="E1466" s="0" t="s">
        <v>7275</v>
      </c>
      <c r="F1466" s="0" t="s">
        <v>7282</v>
      </c>
      <c r="G1466" s="0" t="s">
        <v>7267</v>
      </c>
    </row>
    <row r="1467" customFormat="false" ht="15" hidden="false" customHeight="false" outlineLevel="0" collapsed="false">
      <c r="A1467" s="0" t="s">
        <v>149</v>
      </c>
      <c r="B1467" s="0" t="n">
        <v>2018</v>
      </c>
      <c r="C1467" s="0" t="s">
        <v>60</v>
      </c>
      <c r="D1467" s="0" t="n">
        <v>600000</v>
      </c>
      <c r="E1467" s="0" t="s">
        <v>7275</v>
      </c>
      <c r="F1467" s="0" t="s">
        <v>7282</v>
      </c>
      <c r="G1467" s="0" t="s">
        <v>7267</v>
      </c>
    </row>
    <row r="1468" customFormat="false" ht="15" hidden="false" customHeight="false" outlineLevel="0" collapsed="false">
      <c r="A1468" s="0" t="s">
        <v>149</v>
      </c>
      <c r="B1468" s="0" t="n">
        <v>2018</v>
      </c>
      <c r="C1468" s="0" t="s">
        <v>61</v>
      </c>
      <c r="D1468" s="0" t="n">
        <v>28500</v>
      </c>
      <c r="E1468" s="0" t="s">
        <v>7275</v>
      </c>
      <c r="F1468" s="0" t="s">
        <v>7282</v>
      </c>
      <c r="G1468" s="0" t="s">
        <v>7267</v>
      </c>
    </row>
    <row r="1469" customFormat="false" ht="15" hidden="false" customHeight="false" outlineLevel="0" collapsed="false">
      <c r="A1469" s="0" t="s">
        <v>149</v>
      </c>
      <c r="B1469" s="0" t="n">
        <v>2018</v>
      </c>
      <c r="C1469" s="0" t="s">
        <v>63</v>
      </c>
      <c r="D1469" s="0" t="n">
        <v>2988</v>
      </c>
      <c r="E1469" s="0" t="s">
        <v>7275</v>
      </c>
      <c r="F1469" s="0" t="s">
        <v>7282</v>
      </c>
      <c r="G1469" s="0" t="s">
        <v>7267</v>
      </c>
    </row>
    <row r="1470" customFormat="false" ht="15" hidden="false" customHeight="false" outlineLevel="0" collapsed="false">
      <c r="A1470" s="0" t="s">
        <v>149</v>
      </c>
      <c r="B1470" s="0" t="n">
        <v>2018</v>
      </c>
      <c r="C1470" s="0" t="s">
        <v>327</v>
      </c>
      <c r="D1470" s="0" t="n">
        <v>3.9</v>
      </c>
      <c r="E1470" s="0" t="s">
        <v>7275</v>
      </c>
      <c r="F1470" s="0" t="s">
        <v>7282</v>
      </c>
      <c r="G1470" s="0" t="s">
        <v>7267</v>
      </c>
    </row>
    <row r="1471" customFormat="false" ht="15" hidden="false" customHeight="false" outlineLevel="0" collapsed="false">
      <c r="A1471" s="0" t="s">
        <v>149</v>
      </c>
      <c r="B1471" s="0" t="n">
        <v>2018</v>
      </c>
      <c r="C1471" s="0" t="s">
        <v>69</v>
      </c>
      <c r="D1471" s="0" t="n">
        <v>18.5</v>
      </c>
      <c r="E1471" s="0" t="s">
        <v>7275</v>
      </c>
      <c r="F1471" s="0" t="s">
        <v>7282</v>
      </c>
      <c r="G1471" s="0" t="s">
        <v>7267</v>
      </c>
    </row>
    <row r="1472" customFormat="false" ht="15" hidden="false" customHeight="false" outlineLevel="0" collapsed="false">
      <c r="A1472" s="0" t="s">
        <v>149</v>
      </c>
      <c r="B1472" s="0" t="n">
        <v>2018</v>
      </c>
      <c r="C1472" s="0" t="s">
        <v>73</v>
      </c>
      <c r="D1472" s="0" t="n">
        <v>0</v>
      </c>
      <c r="E1472" s="0" t="s">
        <v>7275</v>
      </c>
      <c r="F1472" s="0" t="s">
        <v>7282</v>
      </c>
      <c r="G1472" s="0" t="s">
        <v>7267</v>
      </c>
    </row>
    <row r="1473" customFormat="false" ht="15" hidden="false" customHeight="false" outlineLevel="0" collapsed="false">
      <c r="A1473" s="0" t="s">
        <v>149</v>
      </c>
      <c r="B1473" s="0" t="n">
        <v>2018</v>
      </c>
      <c r="C1473" s="0" t="s">
        <v>1804</v>
      </c>
      <c r="D1473" s="0" t="s">
        <v>7268</v>
      </c>
      <c r="E1473" s="0" t="s">
        <v>7275</v>
      </c>
      <c r="F1473" s="0" t="s">
        <v>7282</v>
      </c>
      <c r="G1473" s="0" t="s">
        <v>7267</v>
      </c>
    </row>
    <row r="1474" customFormat="false" ht="15" hidden="false" customHeight="false" outlineLevel="0" collapsed="false">
      <c r="A1474" s="0" t="s">
        <v>149</v>
      </c>
      <c r="B1474" s="0" t="n">
        <v>2019</v>
      </c>
      <c r="C1474" s="0" t="s">
        <v>54</v>
      </c>
      <c r="D1474" s="0" t="n">
        <v>52287</v>
      </c>
      <c r="E1474" s="0" t="s">
        <v>7275</v>
      </c>
      <c r="F1474" s="0" t="s">
        <v>7282</v>
      </c>
      <c r="G1474" s="0" t="s">
        <v>7267</v>
      </c>
    </row>
    <row r="1475" customFormat="false" ht="15" hidden="false" customHeight="false" outlineLevel="0" collapsed="false">
      <c r="A1475" s="0" t="s">
        <v>149</v>
      </c>
      <c r="B1475" s="0" t="n">
        <v>2019</v>
      </c>
      <c r="C1475" s="0" t="s">
        <v>1327</v>
      </c>
      <c r="D1475" s="0" t="n">
        <v>178828</v>
      </c>
      <c r="E1475" s="0" t="s">
        <v>7275</v>
      </c>
      <c r="F1475" s="0" t="s">
        <v>7282</v>
      </c>
      <c r="G1475" s="0" t="s">
        <v>7267</v>
      </c>
    </row>
    <row r="1476" customFormat="false" ht="15" hidden="false" customHeight="false" outlineLevel="0" collapsed="false">
      <c r="A1476" s="0" t="s">
        <v>149</v>
      </c>
      <c r="B1476" s="0" t="n">
        <v>2019</v>
      </c>
      <c r="C1476" s="0" t="s">
        <v>55</v>
      </c>
      <c r="D1476" s="0" t="n">
        <v>1850000</v>
      </c>
      <c r="E1476" s="0" t="s">
        <v>7275</v>
      </c>
      <c r="F1476" s="0" t="s">
        <v>7282</v>
      </c>
      <c r="G1476" s="0" t="s">
        <v>7267</v>
      </c>
    </row>
    <row r="1477" customFormat="false" ht="15" hidden="false" customHeight="false" outlineLevel="0" collapsed="false">
      <c r="A1477" s="0" t="s">
        <v>149</v>
      </c>
      <c r="B1477" s="0" t="n">
        <v>2019</v>
      </c>
      <c r="C1477" s="0" t="s">
        <v>60</v>
      </c>
      <c r="D1477" s="0" t="n">
        <v>630000</v>
      </c>
      <c r="E1477" s="0" t="s">
        <v>7275</v>
      </c>
      <c r="F1477" s="0" t="s">
        <v>7282</v>
      </c>
      <c r="G1477" s="0" t="s">
        <v>7267</v>
      </c>
    </row>
    <row r="1478" customFormat="false" ht="15" hidden="false" customHeight="false" outlineLevel="0" collapsed="false">
      <c r="A1478" s="0" t="s">
        <v>149</v>
      </c>
      <c r="B1478" s="0" t="n">
        <v>2019</v>
      </c>
      <c r="C1478" s="0" t="s">
        <v>61</v>
      </c>
      <c r="D1478" s="0" t="n">
        <v>29000</v>
      </c>
      <c r="E1478" s="0" t="s">
        <v>7275</v>
      </c>
      <c r="F1478" s="0" t="s">
        <v>7282</v>
      </c>
      <c r="G1478" s="0" t="s">
        <v>7267</v>
      </c>
    </row>
    <row r="1479" customFormat="false" ht="15" hidden="false" customHeight="false" outlineLevel="0" collapsed="false">
      <c r="A1479" s="0" t="s">
        <v>149</v>
      </c>
      <c r="B1479" s="0" t="n">
        <v>2019</v>
      </c>
      <c r="C1479" s="0" t="s">
        <v>63</v>
      </c>
      <c r="D1479" s="0" t="n">
        <v>-1664</v>
      </c>
      <c r="E1479" s="0" t="s">
        <v>7275</v>
      </c>
      <c r="F1479" s="0" t="s">
        <v>7282</v>
      </c>
      <c r="G1479" s="0" t="s">
        <v>7267</v>
      </c>
    </row>
    <row r="1480" customFormat="false" ht="15" hidden="false" customHeight="false" outlineLevel="0" collapsed="false">
      <c r="A1480" s="0" t="s">
        <v>149</v>
      </c>
      <c r="B1480" s="0" t="n">
        <v>2019</v>
      </c>
      <c r="C1480" s="0" t="s">
        <v>327</v>
      </c>
      <c r="D1480" s="0" t="n">
        <v>3.5</v>
      </c>
      <c r="E1480" s="0" t="s">
        <v>7275</v>
      </c>
      <c r="F1480" s="0" t="s">
        <v>7282</v>
      </c>
      <c r="G1480" s="0" t="s">
        <v>7267</v>
      </c>
    </row>
    <row r="1481" customFormat="false" ht="15" hidden="false" customHeight="false" outlineLevel="0" collapsed="false">
      <c r="A1481" s="0" t="s">
        <v>149</v>
      </c>
      <c r="B1481" s="0" t="n">
        <v>2019</v>
      </c>
      <c r="C1481" s="0" t="s">
        <v>69</v>
      </c>
      <c r="D1481" s="0" t="n">
        <v>19</v>
      </c>
      <c r="E1481" s="0" t="s">
        <v>7275</v>
      </c>
      <c r="F1481" s="0" t="s">
        <v>7282</v>
      </c>
      <c r="G1481" s="0" t="s">
        <v>7267</v>
      </c>
    </row>
    <row r="1482" customFormat="false" ht="15" hidden="false" customHeight="false" outlineLevel="0" collapsed="false">
      <c r="A1482" s="0" t="s">
        <v>149</v>
      </c>
      <c r="B1482" s="0" t="n">
        <v>2019</v>
      </c>
      <c r="C1482" s="0" t="s">
        <v>73</v>
      </c>
      <c r="D1482" s="0" t="n">
        <v>0</v>
      </c>
      <c r="E1482" s="0" t="s">
        <v>7275</v>
      </c>
      <c r="F1482" s="0" t="s">
        <v>7282</v>
      </c>
      <c r="G1482" s="0" t="s">
        <v>7267</v>
      </c>
    </row>
    <row r="1483" customFormat="false" ht="15" hidden="false" customHeight="false" outlineLevel="0" collapsed="false">
      <c r="A1483" s="0" t="s">
        <v>149</v>
      </c>
      <c r="B1483" s="0" t="n">
        <v>2019</v>
      </c>
      <c r="C1483" s="0" t="s">
        <v>1804</v>
      </c>
      <c r="D1483" s="0" t="s">
        <v>7268</v>
      </c>
      <c r="E1483" s="0" t="s">
        <v>7275</v>
      </c>
      <c r="F1483" s="0" t="s">
        <v>7282</v>
      </c>
      <c r="G1483" s="0" t="s">
        <v>7267</v>
      </c>
    </row>
    <row r="1484" customFormat="false" ht="15" hidden="false" customHeight="false" outlineLevel="0" collapsed="false">
      <c r="A1484" s="0" t="s">
        <v>149</v>
      </c>
      <c r="B1484" s="0" t="n">
        <v>2020</v>
      </c>
      <c r="C1484" s="0" t="s">
        <v>54</v>
      </c>
      <c r="D1484" s="0" t="n">
        <v>59489</v>
      </c>
      <c r="E1484" s="0" t="s">
        <v>7275</v>
      </c>
      <c r="F1484" s="0" t="s">
        <v>7282</v>
      </c>
      <c r="G1484" s="0" t="s">
        <v>7267</v>
      </c>
    </row>
    <row r="1485" customFormat="false" ht="15" hidden="false" customHeight="false" outlineLevel="0" collapsed="false">
      <c r="A1485" s="0" t="s">
        <v>149</v>
      </c>
      <c r="B1485" s="0" t="n">
        <v>2020</v>
      </c>
      <c r="C1485" s="0" t="s">
        <v>1327</v>
      </c>
      <c r="D1485" s="0" t="n">
        <v>178308</v>
      </c>
      <c r="E1485" s="0" t="s">
        <v>7275</v>
      </c>
      <c r="F1485" s="0" t="s">
        <v>7282</v>
      </c>
      <c r="G1485" s="0" t="s">
        <v>7267</v>
      </c>
    </row>
    <row r="1486" customFormat="false" ht="15" hidden="false" customHeight="false" outlineLevel="0" collapsed="false">
      <c r="A1486" s="0" t="s">
        <v>149</v>
      </c>
      <c r="B1486" s="0" t="n">
        <v>2020</v>
      </c>
      <c r="C1486" s="0" t="s">
        <v>55</v>
      </c>
      <c r="D1486" s="0" t="n">
        <v>2370347</v>
      </c>
      <c r="E1486" s="0" t="s">
        <v>7275</v>
      </c>
      <c r="F1486" s="0" t="s">
        <v>7282</v>
      </c>
      <c r="G1486" s="0" t="s">
        <v>7267</v>
      </c>
    </row>
    <row r="1487" customFormat="false" ht="15" hidden="false" customHeight="false" outlineLevel="0" collapsed="false">
      <c r="A1487" s="0" t="s">
        <v>149</v>
      </c>
      <c r="B1487" s="0" t="n">
        <v>2020</v>
      </c>
      <c r="C1487" s="0" t="s">
        <v>60</v>
      </c>
      <c r="D1487" s="0" t="n">
        <v>655292</v>
      </c>
      <c r="E1487" s="0" t="s">
        <v>7275</v>
      </c>
      <c r="F1487" s="0" t="s">
        <v>7282</v>
      </c>
      <c r="G1487" s="0" t="s">
        <v>7267</v>
      </c>
    </row>
    <row r="1488" customFormat="false" ht="15" hidden="false" customHeight="false" outlineLevel="0" collapsed="false">
      <c r="A1488" s="0" t="s">
        <v>149</v>
      </c>
      <c r="B1488" s="0" t="n">
        <v>2020</v>
      </c>
      <c r="C1488" s="0" t="s">
        <v>61</v>
      </c>
      <c r="D1488" s="0" t="n">
        <v>30153</v>
      </c>
      <c r="E1488" s="0" t="s">
        <v>7275</v>
      </c>
      <c r="F1488" s="0" t="s">
        <v>7282</v>
      </c>
      <c r="G1488" s="0" t="s">
        <v>7267</v>
      </c>
    </row>
    <row r="1489" customFormat="false" ht="15" hidden="false" customHeight="false" outlineLevel="0" collapsed="false">
      <c r="A1489" s="0" t="s">
        <v>149</v>
      </c>
      <c r="B1489" s="0" t="n">
        <v>2020</v>
      </c>
      <c r="C1489" s="0" t="s">
        <v>63</v>
      </c>
      <c r="D1489" s="0" t="n">
        <v>-10170</v>
      </c>
      <c r="E1489" s="0" t="s">
        <v>7275</v>
      </c>
      <c r="F1489" s="0" t="s">
        <v>7282</v>
      </c>
      <c r="G1489" s="0" t="s">
        <v>7267</v>
      </c>
    </row>
    <row r="1490" customFormat="false" ht="15" hidden="false" customHeight="false" outlineLevel="0" collapsed="false">
      <c r="A1490" s="0" t="s">
        <v>149</v>
      </c>
      <c r="B1490" s="0" t="n">
        <v>2020</v>
      </c>
      <c r="C1490" s="0" t="s">
        <v>327</v>
      </c>
      <c r="D1490" s="0" t="n">
        <v>4.04</v>
      </c>
      <c r="E1490" s="0" t="s">
        <v>7275</v>
      </c>
      <c r="F1490" s="0" t="s">
        <v>7282</v>
      </c>
      <c r="G1490" s="0" t="s">
        <v>7267</v>
      </c>
    </row>
    <row r="1491" customFormat="false" ht="15" hidden="false" customHeight="false" outlineLevel="0" collapsed="false">
      <c r="A1491" s="0" t="s">
        <v>149</v>
      </c>
      <c r="B1491" s="0" t="n">
        <v>2020</v>
      </c>
      <c r="C1491" s="0" t="s">
        <v>69</v>
      </c>
      <c r="D1491" s="0" t="n">
        <v>19.4</v>
      </c>
      <c r="E1491" s="0" t="s">
        <v>7275</v>
      </c>
      <c r="F1491" s="0" t="s">
        <v>7282</v>
      </c>
      <c r="G1491" s="0" t="s">
        <v>7267</v>
      </c>
    </row>
    <row r="1492" customFormat="false" ht="15" hidden="false" customHeight="false" outlineLevel="0" collapsed="false">
      <c r="A1492" s="0" t="s">
        <v>149</v>
      </c>
      <c r="B1492" s="0" t="n">
        <v>2020</v>
      </c>
      <c r="C1492" s="0" t="s">
        <v>73</v>
      </c>
      <c r="D1492" s="0" t="n">
        <v>0</v>
      </c>
      <c r="E1492" s="0" t="s">
        <v>7275</v>
      </c>
      <c r="F1492" s="0" t="s">
        <v>7282</v>
      </c>
      <c r="G1492" s="0" t="s">
        <v>7267</v>
      </c>
    </row>
    <row r="1493" customFormat="false" ht="15" hidden="false" customHeight="false" outlineLevel="0" collapsed="false">
      <c r="A1493" s="0" t="s">
        <v>149</v>
      </c>
      <c r="B1493" s="0" t="n">
        <v>2020</v>
      </c>
      <c r="C1493" s="0" t="s">
        <v>1804</v>
      </c>
      <c r="D1493" s="0" t="s">
        <v>7268</v>
      </c>
      <c r="E1493" s="0" t="s">
        <v>7275</v>
      </c>
      <c r="F1493" s="0" t="s">
        <v>7282</v>
      </c>
      <c r="G1493" s="0" t="s">
        <v>7267</v>
      </c>
    </row>
    <row r="1494" customFormat="false" ht="15" hidden="false" customHeight="false" outlineLevel="0" collapsed="false">
      <c r="A1494" s="0" t="s">
        <v>149</v>
      </c>
      <c r="B1494" s="0" t="n">
        <v>2021</v>
      </c>
      <c r="C1494" s="0" t="s">
        <v>54</v>
      </c>
      <c r="D1494" s="0" t="n">
        <v>29570</v>
      </c>
      <c r="E1494" s="0" t="s">
        <v>7275</v>
      </c>
      <c r="F1494" s="0" t="s">
        <v>7282</v>
      </c>
      <c r="G1494" s="0" t="s">
        <v>7267</v>
      </c>
    </row>
    <row r="1495" customFormat="false" ht="15" hidden="false" customHeight="false" outlineLevel="0" collapsed="false">
      <c r="A1495" s="0" t="s">
        <v>149</v>
      </c>
      <c r="B1495" s="0" t="n">
        <v>2021</v>
      </c>
      <c r="C1495" s="0" t="s">
        <v>1327</v>
      </c>
      <c r="D1495" s="0" t="n">
        <v>140036</v>
      </c>
      <c r="E1495" s="0" t="s">
        <v>7275</v>
      </c>
      <c r="F1495" s="0" t="s">
        <v>7282</v>
      </c>
      <c r="G1495" s="0" t="s">
        <v>7267</v>
      </c>
    </row>
    <row r="1496" customFormat="false" ht="15" hidden="false" customHeight="false" outlineLevel="0" collapsed="false">
      <c r="A1496" s="0" t="s">
        <v>149</v>
      </c>
      <c r="B1496" s="0" t="n">
        <v>2021</v>
      </c>
      <c r="C1496" s="0" t="s">
        <v>55</v>
      </c>
      <c r="D1496" s="0" t="n">
        <v>2614087</v>
      </c>
      <c r="E1496" s="0" t="s">
        <v>7275</v>
      </c>
      <c r="F1496" s="0" t="s">
        <v>7282</v>
      </c>
      <c r="G1496" s="0" t="s">
        <v>7267</v>
      </c>
    </row>
    <row r="1497" customFormat="false" ht="15" hidden="false" customHeight="false" outlineLevel="0" collapsed="false">
      <c r="A1497" s="0" t="s">
        <v>149</v>
      </c>
      <c r="B1497" s="0" t="n">
        <v>2021</v>
      </c>
      <c r="C1497" s="0" t="s">
        <v>60</v>
      </c>
      <c r="D1497" s="0" t="n">
        <v>946259</v>
      </c>
      <c r="E1497" s="0" t="s">
        <v>7275</v>
      </c>
      <c r="F1497" s="0" t="s">
        <v>7282</v>
      </c>
      <c r="G1497" s="0" t="s">
        <v>7267</v>
      </c>
    </row>
    <row r="1498" customFormat="false" ht="15" hidden="false" customHeight="false" outlineLevel="0" collapsed="false">
      <c r="A1498" s="0" t="s">
        <v>149</v>
      </c>
      <c r="B1498" s="0" t="n">
        <v>2021</v>
      </c>
      <c r="C1498" s="0" t="s">
        <v>61</v>
      </c>
      <c r="D1498" s="0" t="n">
        <v>25215</v>
      </c>
      <c r="E1498" s="0" t="s">
        <v>7275</v>
      </c>
      <c r="F1498" s="0" t="s">
        <v>7282</v>
      </c>
      <c r="G1498" s="0" t="s">
        <v>7267</v>
      </c>
    </row>
    <row r="1499" customFormat="false" ht="15" hidden="false" customHeight="false" outlineLevel="0" collapsed="false">
      <c r="A1499" s="0" t="s">
        <v>149</v>
      </c>
      <c r="B1499" s="0" t="n">
        <v>2021</v>
      </c>
      <c r="C1499" s="0" t="s">
        <v>63</v>
      </c>
      <c r="D1499" s="0" t="n">
        <v>1208</v>
      </c>
      <c r="E1499" s="0" t="s">
        <v>7275</v>
      </c>
      <c r="F1499" s="0" t="s">
        <v>7282</v>
      </c>
      <c r="G1499" s="0" t="s">
        <v>7267</v>
      </c>
    </row>
    <row r="1500" customFormat="false" ht="15" hidden="false" customHeight="false" outlineLevel="0" collapsed="false">
      <c r="A1500" s="0" t="s">
        <v>149</v>
      </c>
      <c r="B1500" s="0" t="n">
        <v>2021</v>
      </c>
      <c r="C1500" s="0" t="s">
        <v>327</v>
      </c>
      <c r="D1500" s="0" t="n">
        <v>2.15</v>
      </c>
      <c r="E1500" s="0" t="s">
        <v>7275</v>
      </c>
      <c r="F1500" s="0" t="s">
        <v>7282</v>
      </c>
      <c r="G1500" s="0" t="s">
        <v>7267</v>
      </c>
    </row>
    <row r="1501" customFormat="false" ht="15" hidden="false" customHeight="false" outlineLevel="0" collapsed="false">
      <c r="A1501" s="0" t="s">
        <v>149</v>
      </c>
      <c r="B1501" s="0" t="n">
        <v>2021</v>
      </c>
      <c r="C1501" s="0" t="s">
        <v>69</v>
      </c>
      <c r="D1501" s="0" t="n">
        <v>16.1</v>
      </c>
      <c r="E1501" s="0" t="s">
        <v>7275</v>
      </c>
      <c r="F1501" s="0" t="s">
        <v>7282</v>
      </c>
      <c r="G1501" s="0" t="s">
        <v>7267</v>
      </c>
    </row>
    <row r="1502" customFormat="false" ht="15" hidden="false" customHeight="false" outlineLevel="0" collapsed="false">
      <c r="A1502" s="0" t="s">
        <v>149</v>
      </c>
      <c r="B1502" s="0" t="n">
        <v>2021</v>
      </c>
      <c r="C1502" s="0" t="s">
        <v>73</v>
      </c>
      <c r="D1502" s="0" t="n">
        <v>0</v>
      </c>
      <c r="E1502" s="0" t="s">
        <v>7275</v>
      </c>
      <c r="F1502" s="0" t="s">
        <v>7282</v>
      </c>
      <c r="G1502" s="0" t="s">
        <v>7267</v>
      </c>
    </row>
    <row r="1503" customFormat="false" ht="15" hidden="false" customHeight="false" outlineLevel="0" collapsed="false">
      <c r="A1503" s="0" t="s">
        <v>149</v>
      </c>
      <c r="B1503" s="0" t="n">
        <v>2021</v>
      </c>
      <c r="C1503" s="0" t="s">
        <v>1804</v>
      </c>
      <c r="D1503" s="0" t="s">
        <v>7268</v>
      </c>
      <c r="E1503" s="0" t="s">
        <v>7275</v>
      </c>
      <c r="F1503" s="0" t="s">
        <v>7282</v>
      </c>
      <c r="G1503" s="0" t="s">
        <v>7267</v>
      </c>
    </row>
    <row r="1504" customFormat="false" ht="15" hidden="false" customHeight="false" outlineLevel="0" collapsed="false">
      <c r="A1504" s="0" t="s">
        <v>149</v>
      </c>
      <c r="B1504" s="0" t="n">
        <v>2022</v>
      </c>
      <c r="C1504" s="0" t="s">
        <v>54</v>
      </c>
      <c r="D1504" s="0" t="n">
        <v>55150</v>
      </c>
      <c r="E1504" s="0" t="s">
        <v>7275</v>
      </c>
      <c r="F1504" s="0" t="s">
        <v>7282</v>
      </c>
      <c r="G1504" s="0" t="s">
        <v>7267</v>
      </c>
    </row>
    <row r="1505" customFormat="false" ht="15" hidden="false" customHeight="false" outlineLevel="0" collapsed="false">
      <c r="A1505" s="0" t="s">
        <v>149</v>
      </c>
      <c r="B1505" s="0" t="n">
        <v>2022</v>
      </c>
      <c r="C1505" s="0" t="s">
        <v>1327</v>
      </c>
      <c r="D1505" s="0" t="n">
        <v>211549</v>
      </c>
      <c r="E1505" s="0" t="s">
        <v>7275</v>
      </c>
      <c r="F1505" s="0" t="s">
        <v>7282</v>
      </c>
      <c r="G1505" s="0" t="s">
        <v>7267</v>
      </c>
    </row>
    <row r="1506" customFormat="false" ht="15" hidden="false" customHeight="false" outlineLevel="0" collapsed="false">
      <c r="A1506" s="0" t="s">
        <v>149</v>
      </c>
      <c r="B1506" s="0" t="n">
        <v>2022</v>
      </c>
      <c r="C1506" s="0" t="s">
        <v>55</v>
      </c>
      <c r="D1506" s="0" t="n">
        <v>2854509</v>
      </c>
      <c r="E1506" s="0" t="s">
        <v>7275</v>
      </c>
      <c r="F1506" s="0" t="s">
        <v>7282</v>
      </c>
      <c r="G1506" s="0" t="s">
        <v>7267</v>
      </c>
    </row>
    <row r="1507" customFormat="false" ht="15" hidden="false" customHeight="false" outlineLevel="0" collapsed="false">
      <c r="A1507" s="0" t="s">
        <v>149</v>
      </c>
      <c r="B1507" s="0" t="n">
        <v>2022</v>
      </c>
      <c r="C1507" s="0" t="s">
        <v>60</v>
      </c>
      <c r="D1507" s="0" t="n">
        <v>1241603</v>
      </c>
      <c r="E1507" s="0" t="s">
        <v>7275</v>
      </c>
      <c r="F1507" s="0" t="s">
        <v>7282</v>
      </c>
      <c r="G1507" s="0" t="s">
        <v>7267</v>
      </c>
    </row>
    <row r="1508" customFormat="false" ht="15" hidden="false" customHeight="false" outlineLevel="0" collapsed="false">
      <c r="A1508" s="0" t="s">
        <v>149</v>
      </c>
      <c r="B1508" s="0" t="n">
        <v>2022</v>
      </c>
      <c r="C1508" s="0" t="s">
        <v>61</v>
      </c>
      <c r="D1508" s="0" t="n">
        <v>33414</v>
      </c>
      <c r="E1508" s="0" t="s">
        <v>7275</v>
      </c>
      <c r="F1508" s="0" t="s">
        <v>7282</v>
      </c>
      <c r="G1508" s="0" t="s">
        <v>7267</v>
      </c>
    </row>
    <row r="1509" customFormat="false" ht="15" hidden="false" customHeight="false" outlineLevel="0" collapsed="false">
      <c r="A1509" s="0" t="s">
        <v>149</v>
      </c>
      <c r="B1509" s="0" t="n">
        <v>2022</v>
      </c>
      <c r="C1509" s="0" t="s">
        <v>63</v>
      </c>
      <c r="D1509" s="0" t="n">
        <v>10147</v>
      </c>
      <c r="E1509" s="0" t="s">
        <v>7275</v>
      </c>
      <c r="F1509" s="0" t="s">
        <v>7282</v>
      </c>
      <c r="G1509" s="0" t="s">
        <v>7267</v>
      </c>
    </row>
    <row r="1510" customFormat="false" ht="15" hidden="false" customHeight="false" outlineLevel="0" collapsed="false">
      <c r="A1510" s="0" t="s">
        <v>149</v>
      </c>
      <c r="B1510" s="0" t="n">
        <v>2022</v>
      </c>
      <c r="C1510" s="0" t="s">
        <v>327</v>
      </c>
      <c r="D1510" s="0" t="n">
        <v>2.38</v>
      </c>
      <c r="E1510" s="0" t="s">
        <v>7275</v>
      </c>
      <c r="F1510" s="0" t="s">
        <v>7282</v>
      </c>
      <c r="G1510" s="0" t="s">
        <v>7267</v>
      </c>
    </row>
    <row r="1511" customFormat="false" ht="15" hidden="false" customHeight="false" outlineLevel="0" collapsed="false">
      <c r="A1511" s="0" t="s">
        <v>149</v>
      </c>
      <c r="B1511" s="0" t="n">
        <v>2022</v>
      </c>
      <c r="C1511" s="0" t="s">
        <v>69</v>
      </c>
      <c r="D1511" s="0" t="n">
        <v>18.4</v>
      </c>
      <c r="E1511" s="0" t="s">
        <v>7275</v>
      </c>
      <c r="F1511" s="0" t="s">
        <v>7282</v>
      </c>
      <c r="G1511" s="0" t="s">
        <v>7267</v>
      </c>
    </row>
    <row r="1512" customFormat="false" ht="15" hidden="false" customHeight="false" outlineLevel="0" collapsed="false">
      <c r="A1512" s="0" t="s">
        <v>149</v>
      </c>
      <c r="B1512" s="0" t="n">
        <v>2022</v>
      </c>
      <c r="C1512" s="0" t="s">
        <v>73</v>
      </c>
      <c r="D1512" s="0" t="n">
        <v>0</v>
      </c>
      <c r="E1512" s="0" t="s">
        <v>7275</v>
      </c>
      <c r="F1512" s="0" t="s">
        <v>7282</v>
      </c>
      <c r="G1512" s="0" t="s">
        <v>7267</v>
      </c>
    </row>
    <row r="1513" customFormat="false" ht="15" hidden="false" customHeight="false" outlineLevel="0" collapsed="false">
      <c r="A1513" s="0" t="s">
        <v>149</v>
      </c>
      <c r="B1513" s="0" t="n">
        <v>2022</v>
      </c>
      <c r="C1513" s="0" t="s">
        <v>1804</v>
      </c>
      <c r="D1513" s="0" t="s">
        <v>7268</v>
      </c>
      <c r="E1513" s="0" t="s">
        <v>7275</v>
      </c>
      <c r="F1513" s="0" t="s">
        <v>7282</v>
      </c>
      <c r="G1513" s="0" t="s">
        <v>7267</v>
      </c>
    </row>
    <row r="1514" customFormat="false" ht="15" hidden="false" customHeight="false" outlineLevel="0" collapsed="false">
      <c r="A1514" s="0" t="s">
        <v>169</v>
      </c>
      <c r="B1514" s="0" t="n">
        <v>2015</v>
      </c>
      <c r="C1514" s="0" t="s">
        <v>54</v>
      </c>
      <c r="D1514" s="0" t="n">
        <v>10293</v>
      </c>
      <c r="E1514" s="0" t="s">
        <v>7275</v>
      </c>
      <c r="F1514" s="0" t="s">
        <v>7283</v>
      </c>
      <c r="G1514" s="0" t="s">
        <v>7267</v>
      </c>
    </row>
    <row r="1515" customFormat="false" ht="15" hidden="false" customHeight="false" outlineLevel="0" collapsed="false">
      <c r="A1515" s="0" t="s">
        <v>169</v>
      </c>
      <c r="B1515" s="0" t="n">
        <v>2015</v>
      </c>
      <c r="C1515" s="0" t="s">
        <v>1327</v>
      </c>
      <c r="D1515" s="0" t="n">
        <v>110194</v>
      </c>
      <c r="E1515" s="0" t="s">
        <v>7275</v>
      </c>
      <c r="F1515" s="0" t="s">
        <v>7283</v>
      </c>
      <c r="G1515" s="0" t="s">
        <v>7267</v>
      </c>
    </row>
    <row r="1516" customFormat="false" ht="15" hidden="false" customHeight="false" outlineLevel="0" collapsed="false">
      <c r="A1516" s="0" t="s">
        <v>169</v>
      </c>
      <c r="B1516" s="0" t="n">
        <v>2015</v>
      </c>
      <c r="C1516" s="0" t="s">
        <v>55</v>
      </c>
      <c r="D1516" s="0" t="n">
        <v>799451</v>
      </c>
      <c r="E1516" s="0" t="s">
        <v>7275</v>
      </c>
      <c r="F1516" s="0" t="s">
        <v>7283</v>
      </c>
      <c r="G1516" s="0" t="s">
        <v>7267</v>
      </c>
    </row>
    <row r="1517" customFormat="false" ht="15" hidden="false" customHeight="false" outlineLevel="0" collapsed="false">
      <c r="A1517" s="0" t="s">
        <v>169</v>
      </c>
      <c r="B1517" s="0" t="n">
        <v>2015</v>
      </c>
      <c r="C1517" s="0" t="s">
        <v>60</v>
      </c>
      <c r="D1517" s="0" t="n">
        <v>354475</v>
      </c>
      <c r="E1517" s="0" t="s">
        <v>7275</v>
      </c>
      <c r="F1517" s="0" t="s">
        <v>7283</v>
      </c>
      <c r="G1517" s="0" t="s">
        <v>7267</v>
      </c>
    </row>
    <row r="1518" customFormat="false" ht="15" hidden="false" customHeight="false" outlineLevel="0" collapsed="false">
      <c r="A1518" s="0" t="s">
        <v>169</v>
      </c>
      <c r="B1518" s="0" t="n">
        <v>2015</v>
      </c>
      <c r="C1518" s="0" t="s">
        <v>61</v>
      </c>
      <c r="D1518" s="0" t="n">
        <v>15749</v>
      </c>
      <c r="E1518" s="0" t="s">
        <v>7275</v>
      </c>
      <c r="F1518" s="0" t="s">
        <v>7283</v>
      </c>
      <c r="G1518" s="0" t="s">
        <v>7267</v>
      </c>
    </row>
    <row r="1519" customFormat="false" ht="15" hidden="false" customHeight="false" outlineLevel="0" collapsed="false">
      <c r="A1519" s="0" t="s">
        <v>169</v>
      </c>
      <c r="B1519" s="0" t="n">
        <v>2015</v>
      </c>
      <c r="C1519" s="0" t="s">
        <v>63</v>
      </c>
      <c r="D1519" s="0" t="n">
        <v>8151</v>
      </c>
      <c r="E1519" s="0" t="s">
        <v>7275</v>
      </c>
      <c r="F1519" s="0" t="s">
        <v>7283</v>
      </c>
      <c r="G1519" s="0" t="s">
        <v>7267</v>
      </c>
    </row>
    <row r="1520" customFormat="false" ht="15" hidden="false" customHeight="false" outlineLevel="0" collapsed="false">
      <c r="A1520" s="0" t="s">
        <v>169</v>
      </c>
      <c r="B1520" s="0" t="n">
        <v>2015</v>
      </c>
      <c r="C1520" s="0" t="s">
        <v>327</v>
      </c>
      <c r="D1520" s="0" t="n">
        <v>4.8</v>
      </c>
      <c r="E1520" s="0" t="s">
        <v>7275</v>
      </c>
      <c r="F1520" s="0" t="s">
        <v>7283</v>
      </c>
      <c r="G1520" s="0" t="s">
        <v>7267</v>
      </c>
    </row>
    <row r="1521" customFormat="false" ht="15" hidden="false" customHeight="false" outlineLevel="0" collapsed="false">
      <c r="A1521" s="0" t="s">
        <v>169</v>
      </c>
      <c r="B1521" s="0" t="n">
        <v>2015</v>
      </c>
      <c r="C1521" s="0" t="s">
        <v>69</v>
      </c>
      <c r="D1521" s="0" t="n">
        <v>17.5</v>
      </c>
      <c r="E1521" s="0" t="s">
        <v>7275</v>
      </c>
      <c r="F1521" s="0" t="s">
        <v>7283</v>
      </c>
      <c r="G1521" s="0" t="s">
        <v>7267</v>
      </c>
    </row>
    <row r="1522" customFormat="false" ht="15" hidden="false" customHeight="false" outlineLevel="0" collapsed="false">
      <c r="A1522" s="0" t="s">
        <v>169</v>
      </c>
      <c r="B1522" s="0" t="n">
        <v>2015</v>
      </c>
      <c r="C1522" s="0" t="s">
        <v>73</v>
      </c>
      <c r="D1522" s="0" t="n">
        <v>0</v>
      </c>
      <c r="E1522" s="0" t="s">
        <v>7275</v>
      </c>
      <c r="F1522" s="0" t="s">
        <v>7283</v>
      </c>
      <c r="G1522" s="0" t="s">
        <v>7267</v>
      </c>
    </row>
    <row r="1523" customFormat="false" ht="15" hidden="false" customHeight="false" outlineLevel="0" collapsed="false">
      <c r="A1523" s="0" t="s">
        <v>169</v>
      </c>
      <c r="B1523" s="0" t="n">
        <v>2015</v>
      </c>
      <c r="C1523" s="0" t="s">
        <v>1804</v>
      </c>
      <c r="D1523" s="0" t="s">
        <v>1860</v>
      </c>
      <c r="E1523" s="0" t="s">
        <v>7275</v>
      </c>
      <c r="F1523" s="0" t="s">
        <v>7283</v>
      </c>
      <c r="G1523" s="0" t="s">
        <v>7267</v>
      </c>
    </row>
    <row r="1524" customFormat="false" ht="15" hidden="false" customHeight="false" outlineLevel="0" collapsed="false">
      <c r="A1524" s="0" t="s">
        <v>169</v>
      </c>
      <c r="B1524" s="0" t="n">
        <v>2016</v>
      </c>
      <c r="C1524" s="0" t="s">
        <v>54</v>
      </c>
      <c r="D1524" s="0" t="n">
        <v>5181</v>
      </c>
      <c r="E1524" s="0" t="s">
        <v>7275</v>
      </c>
      <c r="F1524" s="0" t="s">
        <v>7283</v>
      </c>
      <c r="G1524" s="0" t="s">
        <v>7267</v>
      </c>
    </row>
    <row r="1525" customFormat="false" ht="15" hidden="false" customHeight="false" outlineLevel="0" collapsed="false">
      <c r="A1525" s="0" t="s">
        <v>169</v>
      </c>
      <c r="B1525" s="0" t="n">
        <v>2016</v>
      </c>
      <c r="C1525" s="0" t="s">
        <v>1327</v>
      </c>
      <c r="D1525" s="0" t="n">
        <v>111238</v>
      </c>
      <c r="E1525" s="0" t="s">
        <v>7275</v>
      </c>
      <c r="F1525" s="0" t="s">
        <v>7283</v>
      </c>
      <c r="G1525" s="0" t="s">
        <v>7267</v>
      </c>
    </row>
    <row r="1526" customFormat="false" ht="15" hidden="false" customHeight="false" outlineLevel="0" collapsed="false">
      <c r="A1526" s="0" t="s">
        <v>169</v>
      </c>
      <c r="B1526" s="0" t="n">
        <v>2016</v>
      </c>
      <c r="C1526" s="0" t="s">
        <v>55</v>
      </c>
      <c r="D1526" s="0" t="n">
        <v>834190</v>
      </c>
      <c r="E1526" s="0" t="s">
        <v>7275</v>
      </c>
      <c r="F1526" s="0" t="s">
        <v>7283</v>
      </c>
      <c r="G1526" s="0" t="s">
        <v>7267</v>
      </c>
    </row>
    <row r="1527" customFormat="false" ht="15" hidden="false" customHeight="false" outlineLevel="0" collapsed="false">
      <c r="A1527" s="0" t="s">
        <v>169</v>
      </c>
      <c r="B1527" s="0" t="n">
        <v>2016</v>
      </c>
      <c r="C1527" s="0" t="s">
        <v>60</v>
      </c>
      <c r="D1527" s="0" t="n">
        <v>476713</v>
      </c>
      <c r="E1527" s="0" t="s">
        <v>7275</v>
      </c>
      <c r="F1527" s="0" t="s">
        <v>7283</v>
      </c>
      <c r="G1527" s="0" t="s">
        <v>7267</v>
      </c>
    </row>
    <row r="1528" customFormat="false" ht="15" hidden="false" customHeight="false" outlineLevel="0" collapsed="false">
      <c r="A1528" s="0" t="s">
        <v>169</v>
      </c>
      <c r="B1528" s="0" t="n">
        <v>2016</v>
      </c>
      <c r="C1528" s="0" t="s">
        <v>61</v>
      </c>
      <c r="D1528" s="0" t="n">
        <v>8463</v>
      </c>
      <c r="E1528" s="0" t="s">
        <v>7275</v>
      </c>
      <c r="F1528" s="0" t="s">
        <v>7283</v>
      </c>
      <c r="G1528" s="0" t="s">
        <v>7267</v>
      </c>
    </row>
    <row r="1529" customFormat="false" ht="15" hidden="false" customHeight="false" outlineLevel="0" collapsed="false">
      <c r="A1529" s="0" t="s">
        <v>169</v>
      </c>
      <c r="B1529" s="0" t="n">
        <v>2016</v>
      </c>
      <c r="C1529" s="0" t="s">
        <v>63</v>
      </c>
      <c r="D1529" s="0" t="n">
        <v>11714</v>
      </c>
      <c r="E1529" s="0" t="s">
        <v>7275</v>
      </c>
      <c r="F1529" s="0" t="s">
        <v>7283</v>
      </c>
      <c r="G1529" s="0" t="s">
        <v>7267</v>
      </c>
    </row>
    <row r="1530" customFormat="false" ht="15" hidden="false" customHeight="false" outlineLevel="0" collapsed="false">
      <c r="A1530" s="0" t="s">
        <v>169</v>
      </c>
      <c r="B1530" s="0" t="n">
        <v>2016</v>
      </c>
      <c r="C1530" s="0" t="s">
        <v>327</v>
      </c>
      <c r="D1530" s="0" t="n">
        <v>9.9</v>
      </c>
      <c r="E1530" s="0" t="s">
        <v>7275</v>
      </c>
      <c r="F1530" s="0" t="s">
        <v>7283</v>
      </c>
      <c r="G1530" s="0" t="s">
        <v>7267</v>
      </c>
    </row>
    <row r="1531" customFormat="false" ht="15" hidden="false" customHeight="false" outlineLevel="0" collapsed="false">
      <c r="A1531" s="0" t="s">
        <v>169</v>
      </c>
      <c r="B1531" s="0" t="n">
        <v>2016</v>
      </c>
      <c r="C1531" s="0" t="s">
        <v>69</v>
      </c>
      <c r="D1531" s="0" t="n">
        <v>11.16</v>
      </c>
      <c r="E1531" s="0" t="s">
        <v>7275</v>
      </c>
      <c r="F1531" s="0" t="s">
        <v>7283</v>
      </c>
      <c r="G1531" s="0" t="s">
        <v>7267</v>
      </c>
    </row>
    <row r="1532" customFormat="false" ht="15" hidden="false" customHeight="false" outlineLevel="0" collapsed="false">
      <c r="A1532" s="0" t="s">
        <v>169</v>
      </c>
      <c r="B1532" s="0" t="n">
        <v>2016</v>
      </c>
      <c r="C1532" s="0" t="s">
        <v>73</v>
      </c>
      <c r="D1532" s="0" t="n">
        <v>0</v>
      </c>
      <c r="E1532" s="0" t="s">
        <v>7275</v>
      </c>
      <c r="F1532" s="0" t="s">
        <v>7283</v>
      </c>
      <c r="G1532" s="0" t="s">
        <v>7267</v>
      </c>
    </row>
    <row r="1533" customFormat="false" ht="15" hidden="false" customHeight="false" outlineLevel="0" collapsed="false">
      <c r="A1533" s="0" t="s">
        <v>169</v>
      </c>
      <c r="B1533" s="0" t="n">
        <v>2016</v>
      </c>
      <c r="C1533" s="0" t="s">
        <v>1804</v>
      </c>
      <c r="D1533" s="0" t="s">
        <v>3392</v>
      </c>
      <c r="E1533" s="0" t="s">
        <v>7275</v>
      </c>
      <c r="F1533" s="0" t="s">
        <v>7283</v>
      </c>
      <c r="G1533" s="0" t="s">
        <v>7267</v>
      </c>
    </row>
    <row r="1534" customFormat="false" ht="15" hidden="false" customHeight="false" outlineLevel="0" collapsed="false">
      <c r="A1534" s="0" t="s">
        <v>169</v>
      </c>
      <c r="B1534" s="0" t="n">
        <v>2017</v>
      </c>
      <c r="C1534" s="0" t="s">
        <v>54</v>
      </c>
      <c r="D1534" s="0" t="n">
        <v>8455</v>
      </c>
      <c r="E1534" s="0" t="s">
        <v>7275</v>
      </c>
      <c r="F1534" s="0" t="s">
        <v>7283</v>
      </c>
      <c r="G1534" s="0" t="s">
        <v>7267</v>
      </c>
    </row>
    <row r="1535" customFormat="false" ht="15" hidden="false" customHeight="false" outlineLevel="0" collapsed="false">
      <c r="A1535" s="0" t="s">
        <v>169</v>
      </c>
      <c r="B1535" s="0" t="n">
        <v>2017</v>
      </c>
      <c r="C1535" s="0" t="s">
        <v>1327</v>
      </c>
      <c r="D1535" s="0" t="n">
        <v>133022</v>
      </c>
      <c r="E1535" s="0" t="s">
        <v>7275</v>
      </c>
      <c r="F1535" s="0" t="s">
        <v>7283</v>
      </c>
      <c r="G1535" s="0" t="s">
        <v>7267</v>
      </c>
    </row>
    <row r="1536" customFormat="false" ht="15" hidden="false" customHeight="false" outlineLevel="0" collapsed="false">
      <c r="A1536" s="0" t="s">
        <v>169</v>
      </c>
      <c r="B1536" s="0" t="n">
        <v>2017</v>
      </c>
      <c r="C1536" s="0" t="s">
        <v>55</v>
      </c>
      <c r="D1536" s="0" t="n">
        <v>1068798</v>
      </c>
      <c r="E1536" s="0" t="s">
        <v>7275</v>
      </c>
      <c r="F1536" s="0" t="s">
        <v>7283</v>
      </c>
      <c r="G1536" s="0" t="s">
        <v>7267</v>
      </c>
    </row>
    <row r="1537" customFormat="false" ht="15" hidden="false" customHeight="false" outlineLevel="0" collapsed="false">
      <c r="A1537" s="0" t="s">
        <v>169</v>
      </c>
      <c r="B1537" s="0" t="n">
        <v>2017</v>
      </c>
      <c r="C1537" s="0" t="s">
        <v>60</v>
      </c>
      <c r="D1537" s="0" t="n">
        <v>617577</v>
      </c>
      <c r="E1537" s="0" t="s">
        <v>7275</v>
      </c>
      <c r="F1537" s="0" t="s">
        <v>7283</v>
      </c>
      <c r="G1537" s="0" t="s">
        <v>7267</v>
      </c>
    </row>
    <row r="1538" customFormat="false" ht="15" hidden="false" customHeight="false" outlineLevel="0" collapsed="false">
      <c r="A1538" s="0" t="s">
        <v>169</v>
      </c>
      <c r="B1538" s="0" t="n">
        <v>2017</v>
      </c>
      <c r="C1538" s="0" t="s">
        <v>61</v>
      </c>
      <c r="D1538" s="0" t="n">
        <v>19504</v>
      </c>
      <c r="E1538" s="0" t="s">
        <v>7275</v>
      </c>
      <c r="F1538" s="0" t="s">
        <v>7283</v>
      </c>
      <c r="G1538" s="0" t="s">
        <v>7267</v>
      </c>
    </row>
    <row r="1539" customFormat="false" ht="15" hidden="false" customHeight="false" outlineLevel="0" collapsed="false">
      <c r="A1539" s="0" t="s">
        <v>169</v>
      </c>
      <c r="B1539" s="0" t="n">
        <v>2017</v>
      </c>
      <c r="C1539" s="0" t="s">
        <v>63</v>
      </c>
      <c r="D1539" s="0" t="n">
        <v>12267</v>
      </c>
      <c r="E1539" s="0" t="s">
        <v>7275</v>
      </c>
      <c r="F1539" s="0" t="s">
        <v>7283</v>
      </c>
      <c r="G1539" s="0" t="s">
        <v>7267</v>
      </c>
    </row>
    <row r="1540" customFormat="false" ht="15" hidden="false" customHeight="false" outlineLevel="0" collapsed="false">
      <c r="A1540" s="0" t="s">
        <v>169</v>
      </c>
      <c r="B1540" s="0" t="n">
        <v>2017</v>
      </c>
      <c r="C1540" s="0" t="s">
        <v>327</v>
      </c>
      <c r="D1540" s="0" t="n">
        <v>6.2</v>
      </c>
      <c r="E1540" s="0" t="s">
        <v>7275</v>
      </c>
      <c r="F1540" s="0" t="s">
        <v>7283</v>
      </c>
      <c r="G1540" s="0" t="s">
        <v>7267</v>
      </c>
    </row>
    <row r="1541" customFormat="false" ht="15" hidden="false" customHeight="false" outlineLevel="0" collapsed="false">
      <c r="A1541" s="0" t="s">
        <v>169</v>
      </c>
      <c r="B1541" s="0" t="n">
        <v>2017</v>
      </c>
      <c r="C1541" s="0" t="s">
        <v>69</v>
      </c>
      <c r="D1541" s="0" t="n">
        <v>11.73</v>
      </c>
      <c r="E1541" s="0" t="s">
        <v>7275</v>
      </c>
      <c r="F1541" s="0" t="s">
        <v>7283</v>
      </c>
      <c r="G1541" s="0" t="s">
        <v>7267</v>
      </c>
    </row>
    <row r="1542" customFormat="false" ht="15" hidden="false" customHeight="false" outlineLevel="0" collapsed="false">
      <c r="A1542" s="0" t="s">
        <v>169</v>
      </c>
      <c r="B1542" s="0" t="n">
        <v>2017</v>
      </c>
      <c r="C1542" s="0" t="s">
        <v>73</v>
      </c>
      <c r="D1542" s="0" t="n">
        <v>0</v>
      </c>
      <c r="E1542" s="0" t="s">
        <v>7275</v>
      </c>
      <c r="F1542" s="0" t="s">
        <v>7283</v>
      </c>
      <c r="G1542" s="0" t="s">
        <v>7267</v>
      </c>
    </row>
    <row r="1543" customFormat="false" ht="15" hidden="false" customHeight="false" outlineLevel="0" collapsed="false">
      <c r="A1543" s="0" t="s">
        <v>169</v>
      </c>
      <c r="B1543" s="0" t="n">
        <v>2017</v>
      </c>
      <c r="C1543" s="0" t="s">
        <v>1804</v>
      </c>
      <c r="D1543" s="0" t="s">
        <v>1860</v>
      </c>
      <c r="E1543" s="0" t="s">
        <v>7275</v>
      </c>
      <c r="F1543" s="0" t="s">
        <v>7283</v>
      </c>
      <c r="G1543" s="0" t="s">
        <v>7267</v>
      </c>
    </row>
    <row r="1544" customFormat="false" ht="15" hidden="false" customHeight="false" outlineLevel="0" collapsed="false">
      <c r="A1544" s="0" t="s">
        <v>169</v>
      </c>
      <c r="B1544" s="0" t="n">
        <v>2018</v>
      </c>
      <c r="C1544" s="0" t="s">
        <v>54</v>
      </c>
      <c r="D1544" s="0" t="n">
        <v>9218</v>
      </c>
      <c r="E1544" s="0" t="s">
        <v>7275</v>
      </c>
      <c r="F1544" s="0" t="s">
        <v>7283</v>
      </c>
      <c r="G1544" s="0" t="s">
        <v>7267</v>
      </c>
    </row>
    <row r="1545" customFormat="false" ht="15" hidden="false" customHeight="false" outlineLevel="0" collapsed="false">
      <c r="A1545" s="0" t="s">
        <v>169</v>
      </c>
      <c r="B1545" s="0" t="n">
        <v>2018</v>
      </c>
      <c r="C1545" s="0" t="s">
        <v>1327</v>
      </c>
      <c r="D1545" s="0" t="n">
        <v>152164</v>
      </c>
      <c r="E1545" s="0" t="s">
        <v>7275</v>
      </c>
      <c r="F1545" s="0" t="s">
        <v>7283</v>
      </c>
      <c r="G1545" s="0" t="s">
        <v>7267</v>
      </c>
    </row>
    <row r="1546" customFormat="false" ht="15" hidden="false" customHeight="false" outlineLevel="0" collapsed="false">
      <c r="A1546" s="0" t="s">
        <v>169</v>
      </c>
      <c r="B1546" s="0" t="n">
        <v>2018</v>
      </c>
      <c r="C1546" s="0" t="s">
        <v>55</v>
      </c>
      <c r="D1546" s="0" t="n">
        <v>1102921</v>
      </c>
      <c r="E1546" s="0" t="s">
        <v>7275</v>
      </c>
      <c r="F1546" s="0" t="s">
        <v>7283</v>
      </c>
      <c r="G1546" s="0" t="s">
        <v>7267</v>
      </c>
    </row>
    <row r="1547" customFormat="false" ht="15" hidden="false" customHeight="false" outlineLevel="0" collapsed="false">
      <c r="A1547" s="0" t="s">
        <v>169</v>
      </c>
      <c r="B1547" s="0" t="n">
        <v>2018</v>
      </c>
      <c r="C1547" s="0" t="s">
        <v>60</v>
      </c>
      <c r="D1547" s="0" t="n">
        <v>646734</v>
      </c>
      <c r="E1547" s="0" t="s">
        <v>7275</v>
      </c>
      <c r="F1547" s="0" t="s">
        <v>7283</v>
      </c>
      <c r="G1547" s="0" t="s">
        <v>7267</v>
      </c>
    </row>
    <row r="1548" customFormat="false" ht="15" hidden="false" customHeight="false" outlineLevel="0" collapsed="false">
      <c r="A1548" s="0" t="s">
        <v>169</v>
      </c>
      <c r="B1548" s="0" t="n">
        <v>2018</v>
      </c>
      <c r="C1548" s="0" t="s">
        <v>61</v>
      </c>
      <c r="D1548" s="0" t="n">
        <v>25717</v>
      </c>
      <c r="E1548" s="0" t="s">
        <v>7275</v>
      </c>
      <c r="F1548" s="0" t="s">
        <v>7283</v>
      </c>
      <c r="G1548" s="0" t="s">
        <v>7267</v>
      </c>
    </row>
    <row r="1549" customFormat="false" ht="15" hidden="false" customHeight="false" outlineLevel="0" collapsed="false">
      <c r="A1549" s="0" t="s">
        <v>169</v>
      </c>
      <c r="B1549" s="0" t="n">
        <v>2018</v>
      </c>
      <c r="C1549" s="0" t="s">
        <v>327</v>
      </c>
      <c r="D1549" s="0" t="n">
        <v>8.7</v>
      </c>
      <c r="E1549" s="0" t="s">
        <v>7275</v>
      </c>
      <c r="F1549" s="0" t="s">
        <v>7283</v>
      </c>
      <c r="G1549" s="0" t="s">
        <v>7267</v>
      </c>
    </row>
    <row r="1550" customFormat="false" ht="15" hidden="false" customHeight="false" outlineLevel="0" collapsed="false">
      <c r="A1550" s="0" t="s">
        <v>169</v>
      </c>
      <c r="B1550" s="0" t="n">
        <v>2018</v>
      </c>
      <c r="C1550" s="0" t="s">
        <v>69</v>
      </c>
      <c r="D1550" s="0" t="n">
        <v>13.4</v>
      </c>
      <c r="E1550" s="0" t="s">
        <v>7275</v>
      </c>
      <c r="F1550" s="0" t="s">
        <v>7283</v>
      </c>
      <c r="G1550" s="0" t="s">
        <v>7267</v>
      </c>
    </row>
    <row r="1551" customFormat="false" ht="15" hidden="false" customHeight="false" outlineLevel="0" collapsed="false">
      <c r="A1551" s="0" t="s">
        <v>169</v>
      </c>
      <c r="B1551" s="0" t="n">
        <v>2018</v>
      </c>
      <c r="C1551" s="0" t="s">
        <v>73</v>
      </c>
      <c r="D1551" s="0" t="n">
        <v>0</v>
      </c>
      <c r="E1551" s="0" t="s">
        <v>7275</v>
      </c>
      <c r="F1551" s="0" t="s">
        <v>7283</v>
      </c>
      <c r="G1551" s="0" t="s">
        <v>7267</v>
      </c>
    </row>
    <row r="1552" customFormat="false" ht="15" hidden="false" customHeight="false" outlineLevel="0" collapsed="false">
      <c r="A1552" s="0" t="s">
        <v>169</v>
      </c>
      <c r="B1552" s="0" t="n">
        <v>2018</v>
      </c>
      <c r="C1552" s="0" t="s">
        <v>1804</v>
      </c>
      <c r="D1552" s="0" t="s">
        <v>1860</v>
      </c>
      <c r="E1552" s="0" t="s">
        <v>7275</v>
      </c>
      <c r="F1552" s="0" t="s">
        <v>7283</v>
      </c>
      <c r="G1552" s="0" t="s">
        <v>7267</v>
      </c>
    </row>
    <row r="1553" customFormat="false" ht="15" hidden="false" customHeight="false" outlineLevel="0" collapsed="false">
      <c r="A1553" s="0" t="s">
        <v>169</v>
      </c>
      <c r="B1553" s="0" t="n">
        <v>2019</v>
      </c>
      <c r="C1553" s="0" t="s">
        <v>54</v>
      </c>
      <c r="D1553" s="0" t="n">
        <v>10163</v>
      </c>
      <c r="E1553" s="0" t="s">
        <v>7275</v>
      </c>
      <c r="F1553" s="0" t="s">
        <v>7283</v>
      </c>
      <c r="G1553" s="0" t="s">
        <v>7267</v>
      </c>
    </row>
    <row r="1554" customFormat="false" ht="15" hidden="false" customHeight="false" outlineLevel="0" collapsed="false">
      <c r="A1554" s="0" t="s">
        <v>169</v>
      </c>
      <c r="B1554" s="0" t="n">
        <v>2019</v>
      </c>
      <c r="C1554" s="0" t="s">
        <v>1327</v>
      </c>
      <c r="D1554" s="0" t="n">
        <v>147439</v>
      </c>
      <c r="E1554" s="0" t="s">
        <v>7275</v>
      </c>
      <c r="F1554" s="0" t="s">
        <v>7283</v>
      </c>
      <c r="G1554" s="0" t="s">
        <v>7267</v>
      </c>
    </row>
    <row r="1555" customFormat="false" ht="15" hidden="false" customHeight="false" outlineLevel="0" collapsed="false">
      <c r="A1555" s="0" t="s">
        <v>169</v>
      </c>
      <c r="B1555" s="0" t="n">
        <v>2019</v>
      </c>
      <c r="C1555" s="0" t="s">
        <v>55</v>
      </c>
      <c r="D1555" s="0" t="n">
        <v>1165509</v>
      </c>
      <c r="E1555" s="0" t="s">
        <v>7275</v>
      </c>
      <c r="F1555" s="0" t="s">
        <v>7283</v>
      </c>
      <c r="G1555" s="0" t="s">
        <v>7267</v>
      </c>
    </row>
    <row r="1556" customFormat="false" ht="15" hidden="false" customHeight="false" outlineLevel="0" collapsed="false">
      <c r="A1556" s="0" t="s">
        <v>169</v>
      </c>
      <c r="B1556" s="0" t="n">
        <v>2019</v>
      </c>
      <c r="C1556" s="0" t="s">
        <v>60</v>
      </c>
      <c r="D1556" s="0" t="n">
        <v>631698</v>
      </c>
      <c r="E1556" s="0" t="s">
        <v>7275</v>
      </c>
      <c r="F1556" s="0" t="s">
        <v>7283</v>
      </c>
      <c r="G1556" s="0" t="s">
        <v>7267</v>
      </c>
    </row>
    <row r="1557" customFormat="false" ht="15" hidden="false" customHeight="false" outlineLevel="0" collapsed="false">
      <c r="A1557" s="0" t="s">
        <v>169</v>
      </c>
      <c r="B1557" s="0" t="n">
        <v>2019</v>
      </c>
      <c r="C1557" s="0" t="s">
        <v>61</v>
      </c>
      <c r="D1557" s="0" t="n">
        <v>12966</v>
      </c>
      <c r="E1557" s="0" t="s">
        <v>7275</v>
      </c>
      <c r="F1557" s="0" t="s">
        <v>7283</v>
      </c>
      <c r="G1557" s="0" t="s">
        <v>7267</v>
      </c>
    </row>
    <row r="1558" customFormat="false" ht="15" hidden="false" customHeight="false" outlineLevel="0" collapsed="false">
      <c r="A1558" s="0" t="s">
        <v>169</v>
      </c>
      <c r="B1558" s="0" t="n">
        <v>2019</v>
      </c>
      <c r="C1558" s="0" t="s">
        <v>63</v>
      </c>
      <c r="D1558" s="0" t="n">
        <v>5842</v>
      </c>
      <c r="E1558" s="0" t="s">
        <v>7275</v>
      </c>
      <c r="F1558" s="0" t="s">
        <v>7283</v>
      </c>
      <c r="G1558" s="0" t="s">
        <v>7267</v>
      </c>
    </row>
    <row r="1559" customFormat="false" ht="15" hidden="false" customHeight="false" outlineLevel="0" collapsed="false">
      <c r="A1559" s="0" t="s">
        <v>169</v>
      </c>
      <c r="B1559" s="0" t="n">
        <v>2019</v>
      </c>
      <c r="C1559" s="0" t="s">
        <v>327</v>
      </c>
      <c r="D1559" s="0" t="n">
        <v>2.2</v>
      </c>
      <c r="E1559" s="0" t="s">
        <v>7275</v>
      </c>
      <c r="F1559" s="0" t="s">
        <v>7283</v>
      </c>
      <c r="G1559" s="0" t="s">
        <v>7267</v>
      </c>
    </row>
    <row r="1560" customFormat="false" ht="15" hidden="false" customHeight="false" outlineLevel="0" collapsed="false">
      <c r="A1560" s="0" t="s">
        <v>169</v>
      </c>
      <c r="B1560" s="0" t="n">
        <v>2019</v>
      </c>
      <c r="C1560" s="0" t="s">
        <v>69</v>
      </c>
      <c r="D1560" s="0" t="n">
        <v>14.7</v>
      </c>
      <c r="E1560" s="0" t="s">
        <v>7275</v>
      </c>
      <c r="F1560" s="0" t="s">
        <v>7283</v>
      </c>
      <c r="G1560" s="0" t="s">
        <v>7267</v>
      </c>
    </row>
    <row r="1561" customFormat="false" ht="15" hidden="false" customHeight="false" outlineLevel="0" collapsed="false">
      <c r="A1561" s="0" t="s">
        <v>169</v>
      </c>
      <c r="B1561" s="0" t="n">
        <v>2019</v>
      </c>
      <c r="C1561" s="0" t="s">
        <v>73</v>
      </c>
      <c r="D1561" s="0" t="n">
        <v>0</v>
      </c>
      <c r="E1561" s="0" t="s">
        <v>7275</v>
      </c>
      <c r="F1561" s="0" t="s">
        <v>7283</v>
      </c>
      <c r="G1561" s="0" t="s">
        <v>7267</v>
      </c>
    </row>
    <row r="1562" customFormat="false" ht="15" hidden="false" customHeight="false" outlineLevel="0" collapsed="false">
      <c r="A1562" s="0" t="s">
        <v>169</v>
      </c>
      <c r="B1562" s="0" t="n">
        <v>2019</v>
      </c>
      <c r="C1562" s="0" t="s">
        <v>1804</v>
      </c>
      <c r="D1562" s="0" t="s">
        <v>1860</v>
      </c>
      <c r="E1562" s="0" t="s">
        <v>7275</v>
      </c>
      <c r="F1562" s="0" t="s">
        <v>7283</v>
      </c>
      <c r="G1562" s="0" t="s">
        <v>7267</v>
      </c>
    </row>
    <row r="1563" customFormat="false" ht="15" hidden="false" customHeight="false" outlineLevel="0" collapsed="false">
      <c r="A1563" s="0" t="s">
        <v>169</v>
      </c>
      <c r="B1563" s="0" t="n">
        <v>2020</v>
      </c>
      <c r="C1563" s="0" t="s">
        <v>54</v>
      </c>
      <c r="D1563" s="0" t="n">
        <v>11110</v>
      </c>
      <c r="E1563" s="0" t="s">
        <v>7275</v>
      </c>
      <c r="F1563" s="0" t="s">
        <v>7283</v>
      </c>
      <c r="G1563" s="0" t="s">
        <v>7267</v>
      </c>
    </row>
    <row r="1564" customFormat="false" ht="15" hidden="false" customHeight="false" outlineLevel="0" collapsed="false">
      <c r="A1564" s="0" t="s">
        <v>169</v>
      </c>
      <c r="B1564" s="0" t="n">
        <v>2020</v>
      </c>
      <c r="C1564" s="0" t="s">
        <v>1327</v>
      </c>
      <c r="D1564" s="0" t="n">
        <v>136475</v>
      </c>
      <c r="E1564" s="0" t="s">
        <v>7275</v>
      </c>
      <c r="F1564" s="0" t="s">
        <v>7283</v>
      </c>
      <c r="G1564" s="0" t="s">
        <v>7267</v>
      </c>
    </row>
    <row r="1565" customFormat="false" ht="15" hidden="false" customHeight="false" outlineLevel="0" collapsed="false">
      <c r="A1565" s="0" t="s">
        <v>169</v>
      </c>
      <c r="B1565" s="0" t="n">
        <v>2020</v>
      </c>
      <c r="C1565" s="0" t="s">
        <v>55</v>
      </c>
      <c r="D1565" s="0" t="n">
        <v>1281830</v>
      </c>
      <c r="E1565" s="0" t="s">
        <v>7275</v>
      </c>
      <c r="F1565" s="0" t="s">
        <v>7283</v>
      </c>
      <c r="G1565" s="0" t="s">
        <v>7267</v>
      </c>
    </row>
    <row r="1566" customFormat="false" ht="15" hidden="false" customHeight="false" outlineLevel="0" collapsed="false">
      <c r="A1566" s="0" t="s">
        <v>169</v>
      </c>
      <c r="B1566" s="0" t="n">
        <v>2020</v>
      </c>
      <c r="C1566" s="0" t="s">
        <v>60</v>
      </c>
      <c r="D1566" s="0" t="n">
        <v>613359</v>
      </c>
      <c r="E1566" s="0" t="s">
        <v>7275</v>
      </c>
      <c r="F1566" s="0" t="s">
        <v>7283</v>
      </c>
      <c r="G1566" s="0" t="s">
        <v>7267</v>
      </c>
    </row>
    <row r="1567" customFormat="false" ht="15" hidden="false" customHeight="false" outlineLevel="0" collapsed="false">
      <c r="A1567" s="0" t="s">
        <v>169</v>
      </c>
      <c r="B1567" s="0" t="n">
        <v>2020</v>
      </c>
      <c r="C1567" s="0" t="s">
        <v>61</v>
      </c>
      <c r="D1567" s="0" t="n">
        <v>16532</v>
      </c>
      <c r="E1567" s="0" t="s">
        <v>7275</v>
      </c>
      <c r="F1567" s="0" t="s">
        <v>7283</v>
      </c>
      <c r="G1567" s="0" t="s">
        <v>7267</v>
      </c>
    </row>
    <row r="1568" customFormat="false" ht="15" hidden="false" customHeight="false" outlineLevel="0" collapsed="false">
      <c r="A1568" s="0" t="s">
        <v>169</v>
      </c>
      <c r="B1568" s="0" t="n">
        <v>2020</v>
      </c>
      <c r="C1568" s="0" t="s">
        <v>63</v>
      </c>
      <c r="D1568" s="0" t="n">
        <v>7913</v>
      </c>
      <c r="E1568" s="0" t="s">
        <v>7275</v>
      </c>
      <c r="F1568" s="0" t="s">
        <v>7283</v>
      </c>
      <c r="G1568" s="0" t="s">
        <v>7267</v>
      </c>
    </row>
    <row r="1569" customFormat="false" ht="15" hidden="false" customHeight="false" outlineLevel="0" collapsed="false">
      <c r="A1569" s="0" t="s">
        <v>169</v>
      </c>
      <c r="B1569" s="0" t="n">
        <v>2020</v>
      </c>
      <c r="C1569" s="0" t="s">
        <v>327</v>
      </c>
      <c r="D1569" s="0" t="n">
        <v>1.9</v>
      </c>
      <c r="E1569" s="0" t="s">
        <v>7275</v>
      </c>
      <c r="F1569" s="0" t="s">
        <v>7283</v>
      </c>
      <c r="G1569" s="0" t="s">
        <v>7267</v>
      </c>
    </row>
    <row r="1570" customFormat="false" ht="15" hidden="false" customHeight="false" outlineLevel="0" collapsed="false">
      <c r="A1570" s="0" t="s">
        <v>169</v>
      </c>
      <c r="B1570" s="0" t="n">
        <v>2020</v>
      </c>
      <c r="C1570" s="0" t="s">
        <v>69</v>
      </c>
      <c r="D1570" s="0" t="n">
        <v>17.98</v>
      </c>
      <c r="E1570" s="0" t="s">
        <v>7275</v>
      </c>
      <c r="F1570" s="0" t="s">
        <v>7283</v>
      </c>
      <c r="G1570" s="0" t="s">
        <v>7267</v>
      </c>
    </row>
    <row r="1571" customFormat="false" ht="15" hidden="false" customHeight="false" outlineLevel="0" collapsed="false">
      <c r="A1571" s="0" t="s">
        <v>169</v>
      </c>
      <c r="B1571" s="0" t="n">
        <v>2020</v>
      </c>
      <c r="C1571" s="0" t="s">
        <v>73</v>
      </c>
      <c r="D1571" s="0" t="n">
        <v>0</v>
      </c>
      <c r="E1571" s="0" t="s">
        <v>7275</v>
      </c>
      <c r="F1571" s="0" t="s">
        <v>7283</v>
      </c>
      <c r="G1571" s="0" t="s">
        <v>7267</v>
      </c>
    </row>
    <row r="1572" customFormat="false" ht="15" hidden="false" customHeight="false" outlineLevel="0" collapsed="false">
      <c r="A1572" s="0" t="s">
        <v>169</v>
      </c>
      <c r="B1572" s="0" t="n">
        <v>2020</v>
      </c>
      <c r="C1572" s="0" t="s">
        <v>1804</v>
      </c>
      <c r="D1572" s="0" t="s">
        <v>1878</v>
      </c>
      <c r="E1572" s="0" t="s">
        <v>7275</v>
      </c>
      <c r="F1572" s="0" t="s">
        <v>7283</v>
      </c>
      <c r="G1572" s="0" t="s">
        <v>7267</v>
      </c>
    </row>
    <row r="1573" customFormat="false" ht="15" hidden="false" customHeight="false" outlineLevel="0" collapsed="false">
      <c r="A1573" s="0" t="s">
        <v>169</v>
      </c>
      <c r="B1573" s="0" t="n">
        <v>2021</v>
      </c>
      <c r="C1573" s="0" t="s">
        <v>54</v>
      </c>
      <c r="D1573" s="0" t="n">
        <v>13403</v>
      </c>
      <c r="E1573" s="0" t="s">
        <v>7275</v>
      </c>
      <c r="F1573" s="0" t="s">
        <v>7283</v>
      </c>
      <c r="G1573" s="0" t="s">
        <v>7267</v>
      </c>
    </row>
    <row r="1574" customFormat="false" ht="15" hidden="false" customHeight="false" outlineLevel="0" collapsed="false">
      <c r="A1574" s="0" t="s">
        <v>169</v>
      </c>
      <c r="B1574" s="0" t="n">
        <v>2021</v>
      </c>
      <c r="C1574" s="0" t="s">
        <v>1327</v>
      </c>
      <c r="D1574" s="0" t="n">
        <v>139922</v>
      </c>
      <c r="E1574" s="0" t="s">
        <v>7275</v>
      </c>
      <c r="F1574" s="0" t="s">
        <v>7283</v>
      </c>
      <c r="G1574" s="0" t="s">
        <v>7267</v>
      </c>
    </row>
    <row r="1575" customFormat="false" ht="15" hidden="false" customHeight="false" outlineLevel="0" collapsed="false">
      <c r="A1575" s="0" t="s">
        <v>169</v>
      </c>
      <c r="B1575" s="0" t="n">
        <v>2021</v>
      </c>
      <c r="C1575" s="0" t="s">
        <v>55</v>
      </c>
      <c r="D1575" s="0" t="n">
        <v>1611749</v>
      </c>
      <c r="E1575" s="0" t="s">
        <v>7275</v>
      </c>
      <c r="F1575" s="0" t="s">
        <v>7283</v>
      </c>
      <c r="G1575" s="0" t="s">
        <v>7267</v>
      </c>
    </row>
    <row r="1576" customFormat="false" ht="15" hidden="false" customHeight="false" outlineLevel="0" collapsed="false">
      <c r="A1576" s="0" t="s">
        <v>169</v>
      </c>
      <c r="B1576" s="0" t="n">
        <v>2021</v>
      </c>
      <c r="C1576" s="0" t="s">
        <v>60</v>
      </c>
      <c r="D1576" s="0" t="n">
        <v>726080</v>
      </c>
      <c r="E1576" s="0" t="s">
        <v>7275</v>
      </c>
      <c r="F1576" s="0" t="s">
        <v>7283</v>
      </c>
      <c r="G1576" s="0" t="s">
        <v>7267</v>
      </c>
    </row>
    <row r="1577" customFormat="false" ht="15" hidden="false" customHeight="false" outlineLevel="0" collapsed="false">
      <c r="A1577" s="0" t="s">
        <v>169</v>
      </c>
      <c r="B1577" s="0" t="n">
        <v>2021</v>
      </c>
      <c r="C1577" s="0" t="s">
        <v>61</v>
      </c>
      <c r="D1577" s="0" t="n">
        <v>14180</v>
      </c>
      <c r="E1577" s="0" t="s">
        <v>7275</v>
      </c>
      <c r="F1577" s="0" t="s">
        <v>7283</v>
      </c>
      <c r="G1577" s="0" t="s">
        <v>7267</v>
      </c>
    </row>
    <row r="1578" customFormat="false" ht="15" hidden="false" customHeight="false" outlineLevel="0" collapsed="false">
      <c r="A1578" s="0" t="s">
        <v>169</v>
      </c>
      <c r="B1578" s="0" t="n">
        <v>2021</v>
      </c>
      <c r="C1578" s="0" t="s">
        <v>63</v>
      </c>
      <c r="D1578" s="0" t="n">
        <v>9822</v>
      </c>
      <c r="E1578" s="0" t="s">
        <v>7275</v>
      </c>
      <c r="F1578" s="0" t="s">
        <v>7283</v>
      </c>
      <c r="G1578" s="0" t="s">
        <v>7267</v>
      </c>
    </row>
    <row r="1579" customFormat="false" ht="15" hidden="false" customHeight="false" outlineLevel="0" collapsed="false">
      <c r="A1579" s="0" t="s">
        <v>169</v>
      </c>
      <c r="B1579" s="0" t="n">
        <v>2021</v>
      </c>
      <c r="C1579" s="0" t="s">
        <v>327</v>
      </c>
      <c r="D1579" s="0" t="n">
        <v>1</v>
      </c>
      <c r="E1579" s="0" t="s">
        <v>7275</v>
      </c>
      <c r="F1579" s="0" t="s">
        <v>7283</v>
      </c>
      <c r="G1579" s="0" t="s">
        <v>7267</v>
      </c>
    </row>
    <row r="1580" customFormat="false" ht="15" hidden="false" customHeight="false" outlineLevel="0" collapsed="false">
      <c r="A1580" s="0" t="s">
        <v>169</v>
      </c>
      <c r="B1580" s="0" t="n">
        <v>2021</v>
      </c>
      <c r="C1580" s="0" t="s">
        <v>69</v>
      </c>
      <c r="D1580" s="0" t="n">
        <v>14.82</v>
      </c>
      <c r="E1580" s="0" t="s">
        <v>7275</v>
      </c>
      <c r="F1580" s="0" t="s">
        <v>7283</v>
      </c>
      <c r="G1580" s="0" t="s">
        <v>7267</v>
      </c>
    </row>
    <row r="1581" customFormat="false" ht="15" hidden="false" customHeight="false" outlineLevel="0" collapsed="false">
      <c r="A1581" s="0" t="s">
        <v>169</v>
      </c>
      <c r="B1581" s="0" t="n">
        <v>2021</v>
      </c>
      <c r="C1581" s="0" t="s">
        <v>73</v>
      </c>
      <c r="D1581" s="0" t="n">
        <v>0</v>
      </c>
      <c r="E1581" s="0" t="s">
        <v>7275</v>
      </c>
      <c r="F1581" s="0" t="s">
        <v>7283</v>
      </c>
      <c r="G1581" s="0" t="s">
        <v>7267</v>
      </c>
    </row>
    <row r="1582" customFormat="false" ht="15" hidden="false" customHeight="false" outlineLevel="0" collapsed="false">
      <c r="A1582" s="0" t="s">
        <v>169</v>
      </c>
      <c r="B1582" s="0" t="n">
        <v>2021</v>
      </c>
      <c r="C1582" s="0" t="s">
        <v>1804</v>
      </c>
      <c r="D1582" s="0" t="s">
        <v>1878</v>
      </c>
      <c r="E1582" s="0" t="s">
        <v>7275</v>
      </c>
      <c r="F1582" s="0" t="s">
        <v>7283</v>
      </c>
      <c r="G1582" s="0" t="s">
        <v>7267</v>
      </c>
    </row>
    <row r="1583" customFormat="false" ht="15" hidden="false" customHeight="false" outlineLevel="0" collapsed="false">
      <c r="A1583" s="0" t="s">
        <v>169</v>
      </c>
      <c r="B1583" s="0" t="n">
        <v>2022</v>
      </c>
      <c r="C1583" s="0" t="s">
        <v>54</v>
      </c>
      <c r="D1583" s="0" t="n">
        <v>19327</v>
      </c>
      <c r="E1583" s="0" t="s">
        <v>7275</v>
      </c>
      <c r="F1583" s="0" t="s">
        <v>7283</v>
      </c>
      <c r="G1583" s="0" t="s">
        <v>7267</v>
      </c>
    </row>
    <row r="1584" customFormat="false" ht="15" hidden="false" customHeight="false" outlineLevel="0" collapsed="false">
      <c r="A1584" s="0" t="s">
        <v>169</v>
      </c>
      <c r="B1584" s="0" t="n">
        <v>2022</v>
      </c>
      <c r="C1584" s="0" t="s">
        <v>1327</v>
      </c>
      <c r="D1584" s="0" t="n">
        <v>172832</v>
      </c>
      <c r="E1584" s="0" t="s">
        <v>7275</v>
      </c>
      <c r="F1584" s="0" t="s">
        <v>7283</v>
      </c>
      <c r="G1584" s="0" t="s">
        <v>7267</v>
      </c>
    </row>
    <row r="1585" customFormat="false" ht="15" hidden="false" customHeight="false" outlineLevel="0" collapsed="false">
      <c r="A1585" s="0" t="s">
        <v>169</v>
      </c>
      <c r="B1585" s="0" t="n">
        <v>2022</v>
      </c>
      <c r="C1585" s="0" t="s">
        <v>55</v>
      </c>
      <c r="D1585" s="0" t="n">
        <v>1840622</v>
      </c>
      <c r="E1585" s="0" t="s">
        <v>7275</v>
      </c>
      <c r="F1585" s="0" t="s">
        <v>7283</v>
      </c>
      <c r="G1585" s="0" t="s">
        <v>7267</v>
      </c>
    </row>
    <row r="1586" customFormat="false" ht="15" hidden="false" customHeight="false" outlineLevel="0" collapsed="false">
      <c r="A1586" s="0" t="s">
        <v>169</v>
      </c>
      <c r="B1586" s="0" t="n">
        <v>2022</v>
      </c>
      <c r="C1586" s="0" t="s">
        <v>60</v>
      </c>
      <c r="D1586" s="0" t="n">
        <v>758183</v>
      </c>
      <c r="E1586" s="0" t="s">
        <v>7275</v>
      </c>
      <c r="F1586" s="0" t="s">
        <v>7283</v>
      </c>
      <c r="G1586" s="0" t="s">
        <v>7267</v>
      </c>
    </row>
    <row r="1587" customFormat="false" ht="15" hidden="false" customHeight="false" outlineLevel="0" collapsed="false">
      <c r="A1587" s="0" t="s">
        <v>169</v>
      </c>
      <c r="B1587" s="0" t="n">
        <v>2022</v>
      </c>
      <c r="C1587" s="0" t="s">
        <v>61</v>
      </c>
      <c r="D1587" s="0" t="n">
        <v>20448</v>
      </c>
      <c r="E1587" s="0" t="s">
        <v>7275</v>
      </c>
      <c r="F1587" s="0" t="s">
        <v>7283</v>
      </c>
      <c r="G1587" s="0" t="s">
        <v>7267</v>
      </c>
    </row>
    <row r="1588" customFormat="false" ht="15" hidden="false" customHeight="false" outlineLevel="0" collapsed="false">
      <c r="A1588" s="0" t="s">
        <v>169</v>
      </c>
      <c r="B1588" s="0" t="n">
        <v>2022</v>
      </c>
      <c r="C1588" s="0" t="s">
        <v>63</v>
      </c>
      <c r="D1588" s="0" t="n">
        <v>9084</v>
      </c>
      <c r="E1588" s="0" t="s">
        <v>7275</v>
      </c>
      <c r="F1588" s="0" t="s">
        <v>7283</v>
      </c>
      <c r="G1588" s="0" t="s">
        <v>7267</v>
      </c>
    </row>
    <row r="1589" customFormat="false" ht="15" hidden="false" customHeight="false" outlineLevel="0" collapsed="false">
      <c r="A1589" s="0" t="s">
        <v>169</v>
      </c>
      <c r="B1589" s="0" t="n">
        <v>2022</v>
      </c>
      <c r="C1589" s="0" t="s">
        <v>327</v>
      </c>
      <c r="D1589" s="0" t="n">
        <v>4</v>
      </c>
      <c r="E1589" s="0" t="s">
        <v>7275</v>
      </c>
      <c r="F1589" s="0" t="s">
        <v>7283</v>
      </c>
      <c r="G1589" s="0" t="s">
        <v>7267</v>
      </c>
    </row>
    <row r="1590" customFormat="false" ht="15" hidden="false" customHeight="false" outlineLevel="0" collapsed="false">
      <c r="A1590" s="0" t="s">
        <v>169</v>
      </c>
      <c r="B1590" s="0" t="n">
        <v>2022</v>
      </c>
      <c r="C1590" s="0" t="s">
        <v>69</v>
      </c>
      <c r="D1590" s="0" t="n">
        <v>14.67</v>
      </c>
      <c r="E1590" s="0" t="s">
        <v>7275</v>
      </c>
      <c r="F1590" s="0" t="s">
        <v>7283</v>
      </c>
      <c r="G1590" s="0" t="s">
        <v>7267</v>
      </c>
    </row>
    <row r="1591" customFormat="false" ht="15" hidden="false" customHeight="false" outlineLevel="0" collapsed="false">
      <c r="A1591" s="0" t="s">
        <v>169</v>
      </c>
      <c r="B1591" s="0" t="n">
        <v>2022</v>
      </c>
      <c r="C1591" s="0" t="s">
        <v>73</v>
      </c>
      <c r="D1591" s="0" t="n">
        <v>0</v>
      </c>
      <c r="E1591" s="0" t="s">
        <v>7275</v>
      </c>
      <c r="F1591" s="0" t="s">
        <v>7283</v>
      </c>
      <c r="G1591" s="0" t="s">
        <v>7267</v>
      </c>
    </row>
    <row r="1592" customFormat="false" ht="15" hidden="false" customHeight="false" outlineLevel="0" collapsed="false">
      <c r="A1592" s="0" t="s">
        <v>169</v>
      </c>
      <c r="B1592" s="0" t="n">
        <v>2022</v>
      </c>
      <c r="C1592" s="0" t="s">
        <v>1804</v>
      </c>
      <c r="D1592" s="0" t="s">
        <v>1878</v>
      </c>
      <c r="E1592" s="0" t="s">
        <v>7275</v>
      </c>
      <c r="F1592" s="0" t="s">
        <v>7283</v>
      </c>
      <c r="G1592" s="0" t="s">
        <v>7267</v>
      </c>
    </row>
    <row r="1593" customFormat="false" ht="15" hidden="false" customHeight="false" outlineLevel="0" collapsed="false">
      <c r="A1593" s="0" t="s">
        <v>211</v>
      </c>
      <c r="B1593" s="0" t="n">
        <v>2015</v>
      </c>
      <c r="C1593" s="0" t="s">
        <v>54</v>
      </c>
      <c r="D1593" s="0" t="n">
        <v>2273</v>
      </c>
      <c r="E1593" s="0" t="s">
        <v>7275</v>
      </c>
      <c r="F1593" s="0" t="s">
        <v>7284</v>
      </c>
      <c r="G1593" s="0" t="s">
        <v>7267</v>
      </c>
    </row>
    <row r="1594" customFormat="false" ht="15" hidden="false" customHeight="false" outlineLevel="0" collapsed="false">
      <c r="A1594" s="0" t="s">
        <v>211</v>
      </c>
      <c r="B1594" s="0" t="n">
        <v>2015</v>
      </c>
      <c r="C1594" s="0" t="s">
        <v>1327</v>
      </c>
      <c r="D1594" s="0" t="n">
        <v>45869</v>
      </c>
      <c r="E1594" s="0" t="s">
        <v>7275</v>
      </c>
      <c r="F1594" s="0" t="s">
        <v>7284</v>
      </c>
      <c r="G1594" s="0" t="s">
        <v>7267</v>
      </c>
    </row>
    <row r="1595" customFormat="false" ht="15" hidden="false" customHeight="false" outlineLevel="0" collapsed="false">
      <c r="A1595" s="0" t="s">
        <v>211</v>
      </c>
      <c r="B1595" s="0" t="n">
        <v>2015</v>
      </c>
      <c r="C1595" s="0" t="s">
        <v>55</v>
      </c>
      <c r="D1595" s="0" t="n">
        <v>396743</v>
      </c>
      <c r="E1595" s="0" t="s">
        <v>7275</v>
      </c>
      <c r="F1595" s="0" t="s">
        <v>7284</v>
      </c>
      <c r="G1595" s="0" t="s">
        <v>7267</v>
      </c>
    </row>
    <row r="1596" customFormat="false" ht="15" hidden="false" customHeight="false" outlineLevel="0" collapsed="false">
      <c r="A1596" s="0" t="s">
        <v>211</v>
      </c>
      <c r="B1596" s="0" t="n">
        <v>2015</v>
      </c>
      <c r="C1596" s="0" t="s">
        <v>60</v>
      </c>
      <c r="D1596" s="0" t="n">
        <v>188023</v>
      </c>
      <c r="E1596" s="0" t="s">
        <v>7275</v>
      </c>
      <c r="F1596" s="0" t="s">
        <v>7284</v>
      </c>
      <c r="G1596" s="0" t="s">
        <v>7267</v>
      </c>
    </row>
    <row r="1597" customFormat="false" ht="15" hidden="false" customHeight="false" outlineLevel="0" collapsed="false">
      <c r="A1597" s="0" t="s">
        <v>211</v>
      </c>
      <c r="B1597" s="0" t="n">
        <v>2015</v>
      </c>
      <c r="C1597" s="0" t="s">
        <v>61</v>
      </c>
      <c r="D1597" s="0" t="n">
        <v>2426</v>
      </c>
      <c r="E1597" s="0" t="s">
        <v>7275</v>
      </c>
      <c r="F1597" s="0" t="s">
        <v>7284</v>
      </c>
      <c r="G1597" s="0" t="s">
        <v>7267</v>
      </c>
    </row>
    <row r="1598" customFormat="false" ht="15" hidden="false" customHeight="false" outlineLevel="0" collapsed="false">
      <c r="A1598" s="0" t="s">
        <v>211</v>
      </c>
      <c r="B1598" s="0" t="n">
        <v>2015</v>
      </c>
      <c r="C1598" s="0" t="s">
        <v>327</v>
      </c>
      <c r="D1598" s="0" t="n">
        <v>2.67</v>
      </c>
      <c r="E1598" s="0" t="s">
        <v>7275</v>
      </c>
      <c r="F1598" s="0" t="s">
        <v>7284</v>
      </c>
      <c r="G1598" s="0" t="s">
        <v>7267</v>
      </c>
    </row>
    <row r="1599" customFormat="false" ht="15" hidden="false" customHeight="false" outlineLevel="0" collapsed="false">
      <c r="A1599" s="0" t="s">
        <v>211</v>
      </c>
      <c r="B1599" s="0" t="n">
        <v>2015</v>
      </c>
      <c r="C1599" s="0" t="s">
        <v>69</v>
      </c>
      <c r="D1599" s="0" t="n">
        <v>15.1</v>
      </c>
      <c r="E1599" s="0" t="s">
        <v>7275</v>
      </c>
      <c r="F1599" s="0" t="s">
        <v>7284</v>
      </c>
      <c r="G1599" s="0" t="s">
        <v>7267</v>
      </c>
    </row>
    <row r="1600" customFormat="false" ht="15" hidden="false" customHeight="false" outlineLevel="0" collapsed="false">
      <c r="A1600" s="0" t="s">
        <v>211</v>
      </c>
      <c r="B1600" s="0" t="n">
        <v>2015</v>
      </c>
      <c r="C1600" s="0" t="s">
        <v>73</v>
      </c>
      <c r="D1600" s="0" t="n">
        <v>0</v>
      </c>
      <c r="E1600" s="0" t="s">
        <v>7275</v>
      </c>
      <c r="F1600" s="0" t="s">
        <v>7284</v>
      </c>
      <c r="G1600" s="0" t="s">
        <v>7267</v>
      </c>
    </row>
    <row r="1601" customFormat="false" ht="15" hidden="false" customHeight="false" outlineLevel="0" collapsed="false">
      <c r="A1601" s="0" t="s">
        <v>211</v>
      </c>
      <c r="B1601" s="0" t="n">
        <v>2015</v>
      </c>
      <c r="C1601" s="0" t="s">
        <v>1804</v>
      </c>
      <c r="D1601" s="0" t="s">
        <v>1872</v>
      </c>
      <c r="E1601" s="0" t="s">
        <v>7275</v>
      </c>
      <c r="F1601" s="0" t="s">
        <v>7284</v>
      </c>
      <c r="G1601" s="0" t="s">
        <v>7267</v>
      </c>
    </row>
    <row r="1602" customFormat="false" ht="15" hidden="false" customHeight="false" outlineLevel="0" collapsed="false">
      <c r="A1602" s="0" t="s">
        <v>211</v>
      </c>
      <c r="B1602" s="0" t="n">
        <v>2016</v>
      </c>
      <c r="C1602" s="0" t="s">
        <v>54</v>
      </c>
      <c r="D1602" s="0" t="n">
        <v>2592</v>
      </c>
      <c r="E1602" s="0" t="s">
        <v>7275</v>
      </c>
      <c r="F1602" s="0" t="s">
        <v>7284</v>
      </c>
      <c r="G1602" s="0" t="s">
        <v>7267</v>
      </c>
    </row>
    <row r="1603" customFormat="false" ht="15" hidden="false" customHeight="false" outlineLevel="0" collapsed="false">
      <c r="A1603" s="0" t="s">
        <v>211</v>
      </c>
      <c r="B1603" s="0" t="n">
        <v>2016</v>
      </c>
      <c r="C1603" s="0" t="s">
        <v>1327</v>
      </c>
      <c r="D1603" s="0" t="n">
        <v>53834</v>
      </c>
      <c r="E1603" s="0" t="s">
        <v>7275</v>
      </c>
      <c r="F1603" s="0" t="s">
        <v>7284</v>
      </c>
      <c r="G1603" s="0" t="s">
        <v>7267</v>
      </c>
    </row>
    <row r="1604" customFormat="false" ht="15" hidden="false" customHeight="false" outlineLevel="0" collapsed="false">
      <c r="A1604" s="0" t="s">
        <v>211</v>
      </c>
      <c r="B1604" s="0" t="n">
        <v>2016</v>
      </c>
      <c r="C1604" s="0" t="s">
        <v>55</v>
      </c>
      <c r="D1604" s="0" t="n">
        <v>421221</v>
      </c>
      <c r="E1604" s="0" t="s">
        <v>7275</v>
      </c>
      <c r="F1604" s="0" t="s">
        <v>7284</v>
      </c>
      <c r="G1604" s="0" t="s">
        <v>7267</v>
      </c>
    </row>
    <row r="1605" customFormat="false" ht="15" hidden="false" customHeight="false" outlineLevel="0" collapsed="false">
      <c r="A1605" s="0" t="s">
        <v>211</v>
      </c>
      <c r="B1605" s="0" t="n">
        <v>2016</v>
      </c>
      <c r="C1605" s="0" t="s">
        <v>60</v>
      </c>
      <c r="D1605" s="0" t="n">
        <v>229841</v>
      </c>
      <c r="E1605" s="0" t="s">
        <v>7275</v>
      </c>
      <c r="F1605" s="0" t="s">
        <v>7284</v>
      </c>
      <c r="G1605" s="0" t="s">
        <v>7267</v>
      </c>
    </row>
    <row r="1606" customFormat="false" ht="15" hidden="false" customHeight="false" outlineLevel="0" collapsed="false">
      <c r="A1606" s="0" t="s">
        <v>211</v>
      </c>
      <c r="B1606" s="0" t="n">
        <v>2016</v>
      </c>
      <c r="C1606" s="0" t="s">
        <v>61</v>
      </c>
      <c r="D1606" s="0" t="n">
        <v>2832</v>
      </c>
      <c r="E1606" s="0" t="s">
        <v>7275</v>
      </c>
      <c r="F1606" s="0" t="s">
        <v>7284</v>
      </c>
      <c r="G1606" s="0" t="s">
        <v>7267</v>
      </c>
    </row>
    <row r="1607" customFormat="false" ht="15" hidden="false" customHeight="false" outlineLevel="0" collapsed="false">
      <c r="A1607" s="0" t="s">
        <v>211</v>
      </c>
      <c r="B1607" s="0" t="n">
        <v>2016</v>
      </c>
      <c r="C1607" s="0" t="s">
        <v>63</v>
      </c>
      <c r="D1607" s="0" t="n">
        <v>412</v>
      </c>
      <c r="E1607" s="0" t="s">
        <v>7275</v>
      </c>
      <c r="F1607" s="0" t="s">
        <v>7284</v>
      </c>
      <c r="G1607" s="0" t="s">
        <v>7267</v>
      </c>
    </row>
    <row r="1608" customFormat="false" ht="15" hidden="false" customHeight="false" outlineLevel="0" collapsed="false">
      <c r="A1608" s="0" t="s">
        <v>211</v>
      </c>
      <c r="B1608" s="0" t="n">
        <v>2016</v>
      </c>
      <c r="C1608" s="0" t="s">
        <v>327</v>
      </c>
      <c r="D1608" s="0" t="n">
        <v>5.07</v>
      </c>
      <c r="E1608" s="0" t="s">
        <v>7275</v>
      </c>
      <c r="F1608" s="0" t="s">
        <v>7284</v>
      </c>
      <c r="G1608" s="0" t="s">
        <v>7267</v>
      </c>
    </row>
    <row r="1609" customFormat="false" ht="15" hidden="false" customHeight="false" outlineLevel="0" collapsed="false">
      <c r="A1609" s="0" t="s">
        <v>211</v>
      </c>
      <c r="B1609" s="0" t="n">
        <v>2016</v>
      </c>
      <c r="C1609" s="0" t="s">
        <v>69</v>
      </c>
      <c r="D1609" s="0" t="n">
        <v>11.07</v>
      </c>
      <c r="E1609" s="0" t="s">
        <v>7275</v>
      </c>
      <c r="F1609" s="0" t="s">
        <v>7284</v>
      </c>
      <c r="G1609" s="0" t="s">
        <v>7267</v>
      </c>
    </row>
    <row r="1610" customFormat="false" ht="15" hidden="false" customHeight="false" outlineLevel="0" collapsed="false">
      <c r="A1610" s="0" t="s">
        <v>211</v>
      </c>
      <c r="B1610" s="0" t="n">
        <v>2016</v>
      </c>
      <c r="C1610" s="0" t="s">
        <v>73</v>
      </c>
      <c r="D1610" s="0" t="n">
        <v>0</v>
      </c>
      <c r="E1610" s="0" t="s">
        <v>7275</v>
      </c>
      <c r="F1610" s="0" t="s">
        <v>7284</v>
      </c>
      <c r="G1610" s="0" t="s">
        <v>7267</v>
      </c>
    </row>
    <row r="1611" customFormat="false" ht="15" hidden="false" customHeight="false" outlineLevel="0" collapsed="false">
      <c r="A1611" s="0" t="s">
        <v>211</v>
      </c>
      <c r="B1611" s="0" t="n">
        <v>2016</v>
      </c>
      <c r="C1611" s="0" t="s">
        <v>1804</v>
      </c>
      <c r="D1611" s="0" t="s">
        <v>1872</v>
      </c>
      <c r="E1611" s="0" t="s">
        <v>7275</v>
      </c>
      <c r="F1611" s="0" t="s">
        <v>7284</v>
      </c>
      <c r="G1611" s="0" t="s">
        <v>7267</v>
      </c>
    </row>
    <row r="1612" customFormat="false" ht="15" hidden="false" customHeight="false" outlineLevel="0" collapsed="false">
      <c r="A1612" s="0" t="s">
        <v>211</v>
      </c>
      <c r="B1612" s="0" t="n">
        <v>2017</v>
      </c>
      <c r="C1612" s="0" t="s">
        <v>54</v>
      </c>
      <c r="D1612" s="0" t="n">
        <v>2301</v>
      </c>
      <c r="E1612" s="0" t="s">
        <v>7275</v>
      </c>
      <c r="F1612" s="0" t="s">
        <v>7284</v>
      </c>
      <c r="G1612" s="0" t="s">
        <v>7267</v>
      </c>
    </row>
    <row r="1613" customFormat="false" ht="15" hidden="false" customHeight="false" outlineLevel="0" collapsed="false">
      <c r="A1613" s="0" t="s">
        <v>211</v>
      </c>
      <c r="B1613" s="0" t="n">
        <v>2017</v>
      </c>
      <c r="C1613" s="0" t="s">
        <v>1327</v>
      </c>
      <c r="D1613" s="0" t="n">
        <v>64858</v>
      </c>
      <c r="E1613" s="0" t="s">
        <v>7275</v>
      </c>
      <c r="F1613" s="0" t="s">
        <v>7284</v>
      </c>
      <c r="G1613" s="0" t="s">
        <v>7267</v>
      </c>
    </row>
    <row r="1614" customFormat="false" ht="15" hidden="false" customHeight="false" outlineLevel="0" collapsed="false">
      <c r="A1614" s="0" t="s">
        <v>211</v>
      </c>
      <c r="B1614" s="0" t="n">
        <v>2017</v>
      </c>
      <c r="C1614" s="0" t="s">
        <v>55</v>
      </c>
      <c r="D1614" s="0" t="n">
        <v>385388</v>
      </c>
      <c r="E1614" s="0" t="s">
        <v>7275</v>
      </c>
      <c r="F1614" s="0" t="s">
        <v>7284</v>
      </c>
      <c r="G1614" s="0" t="s">
        <v>7267</v>
      </c>
    </row>
    <row r="1615" customFormat="false" ht="15" hidden="false" customHeight="false" outlineLevel="0" collapsed="false">
      <c r="A1615" s="0" t="s">
        <v>211</v>
      </c>
      <c r="B1615" s="0" t="n">
        <v>2017</v>
      </c>
      <c r="C1615" s="0" t="s">
        <v>60</v>
      </c>
      <c r="D1615" s="0" t="n">
        <v>220076</v>
      </c>
      <c r="E1615" s="0" t="s">
        <v>7275</v>
      </c>
      <c r="F1615" s="0" t="s">
        <v>7284</v>
      </c>
      <c r="G1615" s="0" t="s">
        <v>7267</v>
      </c>
    </row>
    <row r="1616" customFormat="false" ht="15" hidden="false" customHeight="false" outlineLevel="0" collapsed="false">
      <c r="A1616" s="0" t="s">
        <v>211</v>
      </c>
      <c r="B1616" s="0" t="n">
        <v>2017</v>
      </c>
      <c r="C1616" s="0" t="s">
        <v>61</v>
      </c>
      <c r="D1616" s="0" t="n">
        <v>4236</v>
      </c>
      <c r="E1616" s="0" t="s">
        <v>7275</v>
      </c>
      <c r="F1616" s="0" t="s">
        <v>7284</v>
      </c>
      <c r="G1616" s="0" t="s">
        <v>7267</v>
      </c>
    </row>
    <row r="1617" customFormat="false" ht="15" hidden="false" customHeight="false" outlineLevel="0" collapsed="false">
      <c r="A1617" s="0" t="s">
        <v>211</v>
      </c>
      <c r="B1617" s="0" t="n">
        <v>2017</v>
      </c>
      <c r="C1617" s="0" t="s">
        <v>63</v>
      </c>
      <c r="D1617" s="0" t="n">
        <v>2180</v>
      </c>
      <c r="E1617" s="0" t="s">
        <v>7275</v>
      </c>
      <c r="F1617" s="0" t="s">
        <v>7284</v>
      </c>
      <c r="G1617" s="0" t="s">
        <v>7267</v>
      </c>
    </row>
    <row r="1618" customFormat="false" ht="15" hidden="false" customHeight="false" outlineLevel="0" collapsed="false">
      <c r="A1618" s="0" t="s">
        <v>211</v>
      </c>
      <c r="B1618" s="0" t="n">
        <v>2017</v>
      </c>
      <c r="C1618" s="0" t="s">
        <v>327</v>
      </c>
      <c r="D1618" s="0" t="n">
        <v>3.52</v>
      </c>
      <c r="E1618" s="0" t="s">
        <v>7275</v>
      </c>
      <c r="F1618" s="0" t="s">
        <v>7284</v>
      </c>
      <c r="G1618" s="0" t="s">
        <v>7267</v>
      </c>
    </row>
    <row r="1619" customFormat="false" ht="15" hidden="false" customHeight="false" outlineLevel="0" collapsed="false">
      <c r="A1619" s="0" t="s">
        <v>211</v>
      </c>
      <c r="B1619" s="0" t="n">
        <v>2017</v>
      </c>
      <c r="C1619" s="0" t="s">
        <v>69</v>
      </c>
      <c r="D1619" s="0" t="n">
        <v>14.32</v>
      </c>
      <c r="E1619" s="0" t="s">
        <v>7275</v>
      </c>
      <c r="F1619" s="0" t="s">
        <v>7284</v>
      </c>
      <c r="G1619" s="0" t="s">
        <v>7267</v>
      </c>
    </row>
    <row r="1620" customFormat="false" ht="15" hidden="false" customHeight="false" outlineLevel="0" collapsed="false">
      <c r="A1620" s="0" t="s">
        <v>211</v>
      </c>
      <c r="B1620" s="0" t="n">
        <v>2017</v>
      </c>
      <c r="C1620" s="0" t="s">
        <v>73</v>
      </c>
      <c r="D1620" s="0" t="n">
        <v>0</v>
      </c>
      <c r="E1620" s="0" t="s">
        <v>7275</v>
      </c>
      <c r="F1620" s="0" t="s">
        <v>7284</v>
      </c>
      <c r="G1620" s="0" t="s">
        <v>7267</v>
      </c>
    </row>
    <row r="1621" customFormat="false" ht="15" hidden="false" customHeight="false" outlineLevel="0" collapsed="false">
      <c r="A1621" s="0" t="s">
        <v>211</v>
      </c>
      <c r="B1621" s="0" t="n">
        <v>2017</v>
      </c>
      <c r="C1621" s="0" t="s">
        <v>1804</v>
      </c>
      <c r="D1621" s="0" t="s">
        <v>1878</v>
      </c>
      <c r="E1621" s="0" t="s">
        <v>7275</v>
      </c>
      <c r="F1621" s="0" t="s">
        <v>7284</v>
      </c>
      <c r="G1621" s="0" t="s">
        <v>7267</v>
      </c>
    </row>
    <row r="1622" customFormat="false" ht="15" hidden="false" customHeight="false" outlineLevel="0" collapsed="false">
      <c r="A1622" s="0" t="s">
        <v>211</v>
      </c>
      <c r="B1622" s="0" t="n">
        <v>2018</v>
      </c>
      <c r="C1622" s="0" t="s">
        <v>73</v>
      </c>
      <c r="D1622" s="0" t="n">
        <v>0</v>
      </c>
      <c r="E1622" s="0" t="s">
        <v>7275</v>
      </c>
      <c r="F1622" s="0" t="s">
        <v>7284</v>
      </c>
      <c r="G1622" s="0" t="s">
        <v>7267</v>
      </c>
    </row>
    <row r="1623" customFormat="false" ht="15" hidden="false" customHeight="false" outlineLevel="0" collapsed="false">
      <c r="A1623" s="0" t="s">
        <v>211</v>
      </c>
      <c r="B1623" s="0" t="n">
        <v>2018</v>
      </c>
      <c r="C1623" s="0" t="s">
        <v>1804</v>
      </c>
      <c r="D1623" s="0" t="s">
        <v>7272</v>
      </c>
      <c r="E1623" s="0" t="s">
        <v>7275</v>
      </c>
      <c r="F1623" s="0" t="s">
        <v>7284</v>
      </c>
      <c r="G1623" s="0" t="s">
        <v>7267</v>
      </c>
    </row>
    <row r="1624" customFormat="false" ht="15" hidden="false" customHeight="false" outlineLevel="0" collapsed="false">
      <c r="A1624" s="0" t="s">
        <v>211</v>
      </c>
      <c r="B1624" s="0" t="n">
        <v>2019</v>
      </c>
      <c r="C1624" s="0" t="s">
        <v>54</v>
      </c>
      <c r="D1624" s="0" t="n">
        <v>5211</v>
      </c>
      <c r="E1624" s="0" t="s">
        <v>7275</v>
      </c>
      <c r="F1624" s="0" t="s">
        <v>7284</v>
      </c>
      <c r="G1624" s="0" t="s">
        <v>7267</v>
      </c>
    </row>
    <row r="1625" customFormat="false" ht="15" hidden="false" customHeight="false" outlineLevel="0" collapsed="false">
      <c r="A1625" s="0" t="s">
        <v>211</v>
      </c>
      <c r="B1625" s="0" t="n">
        <v>2019</v>
      </c>
      <c r="C1625" s="0" t="s">
        <v>1327</v>
      </c>
      <c r="D1625" s="0" t="n">
        <v>93390</v>
      </c>
      <c r="E1625" s="0" t="s">
        <v>7275</v>
      </c>
      <c r="F1625" s="0" t="s">
        <v>7284</v>
      </c>
      <c r="G1625" s="0" t="s">
        <v>7267</v>
      </c>
    </row>
    <row r="1626" customFormat="false" ht="15" hidden="false" customHeight="false" outlineLevel="0" collapsed="false">
      <c r="A1626" s="0" t="s">
        <v>211</v>
      </c>
      <c r="B1626" s="0" t="n">
        <v>2019</v>
      </c>
      <c r="C1626" s="0" t="s">
        <v>55</v>
      </c>
      <c r="D1626" s="0" t="n">
        <v>704956</v>
      </c>
      <c r="E1626" s="0" t="s">
        <v>7275</v>
      </c>
      <c r="F1626" s="0" t="s">
        <v>7284</v>
      </c>
      <c r="G1626" s="0" t="s">
        <v>7267</v>
      </c>
    </row>
    <row r="1627" customFormat="false" ht="15" hidden="false" customHeight="false" outlineLevel="0" collapsed="false">
      <c r="A1627" s="0" t="s">
        <v>211</v>
      </c>
      <c r="B1627" s="0" t="n">
        <v>2019</v>
      </c>
      <c r="C1627" s="0" t="s">
        <v>60</v>
      </c>
      <c r="D1627" s="0" t="n">
        <v>301368</v>
      </c>
      <c r="E1627" s="0" t="s">
        <v>7275</v>
      </c>
      <c r="F1627" s="0" t="s">
        <v>7284</v>
      </c>
      <c r="G1627" s="0" t="s">
        <v>7267</v>
      </c>
    </row>
    <row r="1628" customFormat="false" ht="15" hidden="false" customHeight="false" outlineLevel="0" collapsed="false">
      <c r="A1628" s="0" t="s">
        <v>211</v>
      </c>
      <c r="B1628" s="0" t="n">
        <v>2019</v>
      </c>
      <c r="C1628" s="0" t="s">
        <v>61</v>
      </c>
      <c r="D1628" s="0" t="n">
        <v>12128</v>
      </c>
      <c r="E1628" s="0" t="s">
        <v>7275</v>
      </c>
      <c r="F1628" s="0" t="s">
        <v>7284</v>
      </c>
      <c r="G1628" s="0" t="s">
        <v>7267</v>
      </c>
    </row>
    <row r="1629" customFormat="false" ht="15" hidden="false" customHeight="false" outlineLevel="0" collapsed="false">
      <c r="A1629" s="0" t="s">
        <v>211</v>
      </c>
      <c r="B1629" s="0" t="n">
        <v>2019</v>
      </c>
      <c r="C1629" s="0" t="s">
        <v>63</v>
      </c>
      <c r="D1629" s="0" t="n">
        <v>6131</v>
      </c>
      <c r="E1629" s="0" t="s">
        <v>7275</v>
      </c>
      <c r="F1629" s="0" t="s">
        <v>7284</v>
      </c>
      <c r="G1629" s="0" t="s">
        <v>7267</v>
      </c>
    </row>
    <row r="1630" customFormat="false" ht="15" hidden="false" customHeight="false" outlineLevel="0" collapsed="false">
      <c r="A1630" s="0" t="s">
        <v>211</v>
      </c>
      <c r="B1630" s="0" t="n">
        <v>2019</v>
      </c>
      <c r="C1630" s="0" t="s">
        <v>327</v>
      </c>
      <c r="D1630" s="0" t="n">
        <v>7.38</v>
      </c>
      <c r="E1630" s="0" t="s">
        <v>7275</v>
      </c>
      <c r="F1630" s="0" t="s">
        <v>7284</v>
      </c>
      <c r="G1630" s="0" t="s">
        <v>7267</v>
      </c>
    </row>
    <row r="1631" customFormat="false" ht="15" hidden="false" customHeight="false" outlineLevel="0" collapsed="false">
      <c r="A1631" s="0" t="s">
        <v>211</v>
      </c>
      <c r="B1631" s="0" t="n">
        <v>2019</v>
      </c>
      <c r="C1631" s="0" t="s">
        <v>69</v>
      </c>
      <c r="D1631" s="0" t="n">
        <v>13.6</v>
      </c>
      <c r="E1631" s="0" t="s">
        <v>7275</v>
      </c>
      <c r="F1631" s="0" t="s">
        <v>7284</v>
      </c>
      <c r="G1631" s="0" t="s">
        <v>7267</v>
      </c>
    </row>
    <row r="1632" customFormat="false" ht="15" hidden="false" customHeight="false" outlineLevel="0" collapsed="false">
      <c r="A1632" s="0" t="s">
        <v>211</v>
      </c>
      <c r="B1632" s="0" t="n">
        <v>2019</v>
      </c>
      <c r="C1632" s="0" t="s">
        <v>73</v>
      </c>
      <c r="D1632" s="0" t="n">
        <v>0</v>
      </c>
      <c r="E1632" s="0" t="s">
        <v>7275</v>
      </c>
      <c r="F1632" s="0" t="s">
        <v>7284</v>
      </c>
      <c r="G1632" s="0" t="s">
        <v>7267</v>
      </c>
    </row>
    <row r="1633" customFormat="false" ht="15" hidden="false" customHeight="false" outlineLevel="0" collapsed="false">
      <c r="A1633" s="0" t="s">
        <v>211</v>
      </c>
      <c r="B1633" s="0" t="n">
        <v>2019</v>
      </c>
      <c r="C1633" s="0" t="s">
        <v>1804</v>
      </c>
      <c r="D1633" s="0" t="s">
        <v>1878</v>
      </c>
      <c r="E1633" s="0" t="s">
        <v>7275</v>
      </c>
      <c r="F1633" s="0" t="s">
        <v>7284</v>
      </c>
      <c r="G1633" s="0" t="s">
        <v>7267</v>
      </c>
    </row>
    <row r="1634" customFormat="false" ht="15" hidden="false" customHeight="false" outlineLevel="0" collapsed="false">
      <c r="A1634" s="0" t="s">
        <v>211</v>
      </c>
      <c r="B1634" s="0" t="n">
        <v>2020</v>
      </c>
      <c r="C1634" s="0" t="s">
        <v>54</v>
      </c>
      <c r="D1634" s="0" t="n">
        <v>4592</v>
      </c>
      <c r="E1634" s="0" t="s">
        <v>7275</v>
      </c>
      <c r="F1634" s="0" t="s">
        <v>7284</v>
      </c>
      <c r="G1634" s="0" t="s">
        <v>7267</v>
      </c>
    </row>
    <row r="1635" customFormat="false" ht="15" hidden="false" customHeight="false" outlineLevel="0" collapsed="false">
      <c r="A1635" s="0" t="s">
        <v>211</v>
      </c>
      <c r="B1635" s="0" t="n">
        <v>2020</v>
      </c>
      <c r="C1635" s="0" t="s">
        <v>1327</v>
      </c>
      <c r="D1635" s="0" t="n">
        <v>79877</v>
      </c>
      <c r="E1635" s="0" t="s">
        <v>7275</v>
      </c>
      <c r="F1635" s="0" t="s">
        <v>7284</v>
      </c>
      <c r="G1635" s="0" t="s">
        <v>7267</v>
      </c>
    </row>
    <row r="1636" customFormat="false" ht="15" hidden="false" customHeight="false" outlineLevel="0" collapsed="false">
      <c r="A1636" s="0" t="s">
        <v>211</v>
      </c>
      <c r="B1636" s="0" t="n">
        <v>2020</v>
      </c>
      <c r="C1636" s="0" t="s">
        <v>55</v>
      </c>
      <c r="D1636" s="0" t="n">
        <v>968582</v>
      </c>
      <c r="E1636" s="0" t="s">
        <v>7275</v>
      </c>
      <c r="F1636" s="0" t="s">
        <v>7284</v>
      </c>
      <c r="G1636" s="0" t="s">
        <v>7267</v>
      </c>
    </row>
    <row r="1637" customFormat="false" ht="15" hidden="false" customHeight="false" outlineLevel="0" collapsed="false">
      <c r="A1637" s="0" t="s">
        <v>211</v>
      </c>
      <c r="B1637" s="0" t="n">
        <v>2020</v>
      </c>
      <c r="C1637" s="0" t="s">
        <v>60</v>
      </c>
      <c r="D1637" s="0" t="n">
        <v>375040</v>
      </c>
      <c r="E1637" s="0" t="s">
        <v>7275</v>
      </c>
      <c r="F1637" s="0" t="s">
        <v>7284</v>
      </c>
      <c r="G1637" s="0" t="s">
        <v>7267</v>
      </c>
    </row>
    <row r="1638" customFormat="false" ht="15" hidden="false" customHeight="false" outlineLevel="0" collapsed="false">
      <c r="A1638" s="0" t="s">
        <v>211</v>
      </c>
      <c r="B1638" s="0" t="n">
        <v>2020</v>
      </c>
      <c r="C1638" s="0" t="s">
        <v>61</v>
      </c>
      <c r="D1638" s="0" t="n">
        <v>14964</v>
      </c>
      <c r="E1638" s="0" t="s">
        <v>7275</v>
      </c>
      <c r="F1638" s="0" t="s">
        <v>7284</v>
      </c>
      <c r="G1638" s="0" t="s">
        <v>7267</v>
      </c>
    </row>
    <row r="1639" customFormat="false" ht="15" hidden="false" customHeight="false" outlineLevel="0" collapsed="false">
      <c r="A1639" s="0" t="s">
        <v>211</v>
      </c>
      <c r="B1639" s="0" t="n">
        <v>2020</v>
      </c>
      <c r="C1639" s="0" t="s">
        <v>63</v>
      </c>
      <c r="D1639" s="0" t="n">
        <v>5635</v>
      </c>
      <c r="E1639" s="0" t="s">
        <v>7275</v>
      </c>
      <c r="F1639" s="0" t="s">
        <v>7284</v>
      </c>
      <c r="G1639" s="0" t="s">
        <v>7267</v>
      </c>
    </row>
    <row r="1640" customFormat="false" ht="15" hidden="false" customHeight="false" outlineLevel="0" collapsed="false">
      <c r="A1640" s="0" t="s">
        <v>211</v>
      </c>
      <c r="B1640" s="0" t="n">
        <v>2020</v>
      </c>
      <c r="C1640" s="0" t="s">
        <v>327</v>
      </c>
      <c r="D1640" s="0" t="n">
        <v>4.69</v>
      </c>
      <c r="E1640" s="0" t="s">
        <v>7275</v>
      </c>
      <c r="F1640" s="0" t="s">
        <v>7284</v>
      </c>
      <c r="G1640" s="0" t="s">
        <v>7267</v>
      </c>
    </row>
    <row r="1641" customFormat="false" ht="15" hidden="false" customHeight="false" outlineLevel="0" collapsed="false">
      <c r="A1641" s="0" t="s">
        <v>211</v>
      </c>
      <c r="B1641" s="0" t="n">
        <v>2020</v>
      </c>
      <c r="C1641" s="0" t="s">
        <v>69</v>
      </c>
      <c r="D1641" s="0" t="n">
        <v>15.01</v>
      </c>
      <c r="E1641" s="0" t="s">
        <v>7275</v>
      </c>
      <c r="F1641" s="0" t="s">
        <v>7284</v>
      </c>
      <c r="G1641" s="0" t="s">
        <v>7267</v>
      </c>
    </row>
    <row r="1642" customFormat="false" ht="15" hidden="false" customHeight="false" outlineLevel="0" collapsed="false">
      <c r="A1642" s="0" t="s">
        <v>211</v>
      </c>
      <c r="B1642" s="0" t="n">
        <v>2020</v>
      </c>
      <c r="C1642" s="0" t="s">
        <v>73</v>
      </c>
      <c r="D1642" s="0" t="n">
        <v>0</v>
      </c>
      <c r="E1642" s="0" t="s">
        <v>7275</v>
      </c>
      <c r="F1642" s="0" t="s">
        <v>7284</v>
      </c>
      <c r="G1642" s="0" t="s">
        <v>7267</v>
      </c>
    </row>
    <row r="1643" customFormat="false" ht="15" hidden="false" customHeight="false" outlineLevel="0" collapsed="false">
      <c r="A1643" s="0" t="s">
        <v>211</v>
      </c>
      <c r="B1643" s="0" t="n">
        <v>2020</v>
      </c>
      <c r="C1643" s="0" t="s">
        <v>1804</v>
      </c>
      <c r="D1643" s="0" t="s">
        <v>1878</v>
      </c>
      <c r="E1643" s="0" t="s">
        <v>7275</v>
      </c>
      <c r="F1643" s="0" t="s">
        <v>7284</v>
      </c>
      <c r="G1643" s="0" t="s">
        <v>7267</v>
      </c>
    </row>
    <row r="1644" customFormat="false" ht="15" hidden="false" customHeight="false" outlineLevel="0" collapsed="false">
      <c r="A1644" s="0" t="s">
        <v>211</v>
      </c>
      <c r="B1644" s="0" t="n">
        <v>2021</v>
      </c>
      <c r="C1644" s="0" t="s">
        <v>54</v>
      </c>
      <c r="D1644" s="0" t="n">
        <v>8933</v>
      </c>
      <c r="E1644" s="0" t="s">
        <v>7275</v>
      </c>
      <c r="F1644" s="0" t="s">
        <v>7284</v>
      </c>
      <c r="G1644" s="0" t="s">
        <v>7267</v>
      </c>
    </row>
    <row r="1645" customFormat="false" ht="15" hidden="false" customHeight="false" outlineLevel="0" collapsed="false">
      <c r="A1645" s="0" t="s">
        <v>211</v>
      </c>
      <c r="B1645" s="0" t="n">
        <v>2021</v>
      </c>
      <c r="C1645" s="0" t="s">
        <v>1327</v>
      </c>
      <c r="D1645" s="0" t="n">
        <v>92137</v>
      </c>
      <c r="E1645" s="0" t="s">
        <v>7275</v>
      </c>
      <c r="F1645" s="0" t="s">
        <v>7284</v>
      </c>
      <c r="G1645" s="0" t="s">
        <v>7267</v>
      </c>
    </row>
    <row r="1646" customFormat="false" ht="15" hidden="false" customHeight="false" outlineLevel="0" collapsed="false">
      <c r="A1646" s="0" t="s">
        <v>211</v>
      </c>
      <c r="B1646" s="0" t="n">
        <v>2021</v>
      </c>
      <c r="C1646" s="0" t="s">
        <v>55</v>
      </c>
      <c r="D1646" s="0" t="n">
        <v>1164518</v>
      </c>
      <c r="E1646" s="0" t="s">
        <v>7275</v>
      </c>
      <c r="F1646" s="0" t="s">
        <v>7284</v>
      </c>
      <c r="G1646" s="0" t="s">
        <v>7267</v>
      </c>
    </row>
    <row r="1647" customFormat="false" ht="15" hidden="false" customHeight="false" outlineLevel="0" collapsed="false">
      <c r="A1647" s="0" t="s">
        <v>211</v>
      </c>
      <c r="B1647" s="0" t="n">
        <v>2021</v>
      </c>
      <c r="C1647" s="0" t="s">
        <v>60</v>
      </c>
      <c r="D1647" s="0" t="n">
        <v>435552</v>
      </c>
      <c r="E1647" s="0" t="s">
        <v>7275</v>
      </c>
      <c r="F1647" s="0" t="s">
        <v>7284</v>
      </c>
      <c r="G1647" s="0" t="s">
        <v>7267</v>
      </c>
    </row>
    <row r="1648" customFormat="false" ht="15" hidden="false" customHeight="false" outlineLevel="0" collapsed="false">
      <c r="A1648" s="0" t="s">
        <v>211</v>
      </c>
      <c r="B1648" s="0" t="n">
        <v>2021</v>
      </c>
      <c r="C1648" s="0" t="s">
        <v>61</v>
      </c>
      <c r="D1648" s="0" t="n">
        <v>16688</v>
      </c>
      <c r="E1648" s="0" t="s">
        <v>7275</v>
      </c>
      <c r="F1648" s="0" t="s">
        <v>7284</v>
      </c>
      <c r="G1648" s="0" t="s">
        <v>7267</v>
      </c>
    </row>
    <row r="1649" customFormat="false" ht="15" hidden="false" customHeight="false" outlineLevel="0" collapsed="false">
      <c r="A1649" s="0" t="s">
        <v>211</v>
      </c>
      <c r="B1649" s="0" t="n">
        <v>2021</v>
      </c>
      <c r="C1649" s="0" t="s">
        <v>63</v>
      </c>
      <c r="D1649" s="0" t="n">
        <v>2104</v>
      </c>
      <c r="E1649" s="0" t="s">
        <v>7275</v>
      </c>
      <c r="F1649" s="0" t="s">
        <v>7284</v>
      </c>
      <c r="G1649" s="0" t="s">
        <v>7267</v>
      </c>
    </row>
    <row r="1650" customFormat="false" ht="15" hidden="false" customHeight="false" outlineLevel="0" collapsed="false">
      <c r="A1650" s="0" t="s">
        <v>211</v>
      </c>
      <c r="B1650" s="0" t="n">
        <v>2021</v>
      </c>
      <c r="C1650" s="0" t="s">
        <v>327</v>
      </c>
      <c r="D1650" s="0" t="n">
        <v>4.88</v>
      </c>
      <c r="E1650" s="0" t="s">
        <v>7275</v>
      </c>
      <c r="F1650" s="0" t="s">
        <v>7284</v>
      </c>
      <c r="G1650" s="0" t="s">
        <v>7267</v>
      </c>
    </row>
    <row r="1651" customFormat="false" ht="15" hidden="false" customHeight="false" outlineLevel="0" collapsed="false">
      <c r="A1651" s="0" t="s">
        <v>211</v>
      </c>
      <c r="B1651" s="0" t="n">
        <v>2021</v>
      </c>
      <c r="C1651" s="0" t="s">
        <v>69</v>
      </c>
      <c r="D1651" s="0" t="n">
        <v>11.71</v>
      </c>
      <c r="E1651" s="0" t="s">
        <v>7275</v>
      </c>
      <c r="F1651" s="0" t="s">
        <v>7284</v>
      </c>
      <c r="G1651" s="0" t="s">
        <v>7267</v>
      </c>
    </row>
    <row r="1652" customFormat="false" ht="15" hidden="false" customHeight="false" outlineLevel="0" collapsed="false">
      <c r="A1652" s="0" t="s">
        <v>211</v>
      </c>
      <c r="B1652" s="0" t="n">
        <v>2021</v>
      </c>
      <c r="C1652" s="0" t="s">
        <v>73</v>
      </c>
      <c r="D1652" s="0" t="n">
        <v>0</v>
      </c>
      <c r="E1652" s="0" t="s">
        <v>7275</v>
      </c>
      <c r="F1652" s="0" t="s">
        <v>7284</v>
      </c>
      <c r="G1652" s="0" t="s">
        <v>7267</v>
      </c>
    </row>
    <row r="1653" customFormat="false" ht="15" hidden="false" customHeight="false" outlineLevel="0" collapsed="false">
      <c r="A1653" s="0" t="s">
        <v>211</v>
      </c>
      <c r="B1653" s="0" t="n">
        <v>2021</v>
      </c>
      <c r="C1653" s="0" t="s">
        <v>1804</v>
      </c>
      <c r="D1653" s="0" t="s">
        <v>3392</v>
      </c>
      <c r="E1653" s="0" t="s">
        <v>7275</v>
      </c>
      <c r="F1653" s="0" t="s">
        <v>7284</v>
      </c>
      <c r="G1653" s="0" t="s">
        <v>7267</v>
      </c>
    </row>
    <row r="1654" customFormat="false" ht="15" hidden="false" customHeight="false" outlineLevel="0" collapsed="false">
      <c r="A1654" s="0" t="s">
        <v>211</v>
      </c>
      <c r="B1654" s="0" t="n">
        <v>2022</v>
      </c>
      <c r="C1654" s="0" t="s">
        <v>54</v>
      </c>
      <c r="D1654" s="0" t="n">
        <v>11214</v>
      </c>
      <c r="E1654" s="0" t="s">
        <v>7275</v>
      </c>
      <c r="F1654" s="0" t="s">
        <v>7284</v>
      </c>
      <c r="G1654" s="0" t="s">
        <v>7267</v>
      </c>
    </row>
    <row r="1655" customFormat="false" ht="15" hidden="false" customHeight="false" outlineLevel="0" collapsed="false">
      <c r="A1655" s="0" t="s">
        <v>211</v>
      </c>
      <c r="B1655" s="0" t="n">
        <v>2022</v>
      </c>
      <c r="C1655" s="0" t="s">
        <v>1327</v>
      </c>
      <c r="D1655" s="0" t="n">
        <v>131083</v>
      </c>
      <c r="E1655" s="0" t="s">
        <v>7275</v>
      </c>
      <c r="F1655" s="0" t="s">
        <v>7284</v>
      </c>
      <c r="G1655" s="0" t="s">
        <v>7267</v>
      </c>
    </row>
    <row r="1656" customFormat="false" ht="15" hidden="false" customHeight="false" outlineLevel="0" collapsed="false">
      <c r="A1656" s="0" t="s">
        <v>211</v>
      </c>
      <c r="B1656" s="0" t="n">
        <v>2022</v>
      </c>
      <c r="C1656" s="0" t="s">
        <v>55</v>
      </c>
      <c r="D1656" s="0" t="n">
        <v>1433704</v>
      </c>
      <c r="E1656" s="0" t="s">
        <v>7275</v>
      </c>
      <c r="F1656" s="0" t="s">
        <v>7284</v>
      </c>
      <c r="G1656" s="0" t="s">
        <v>7267</v>
      </c>
    </row>
    <row r="1657" customFormat="false" ht="15" hidden="false" customHeight="false" outlineLevel="0" collapsed="false">
      <c r="A1657" s="0" t="s">
        <v>211</v>
      </c>
      <c r="B1657" s="0" t="n">
        <v>2022</v>
      </c>
      <c r="C1657" s="0" t="s">
        <v>60</v>
      </c>
      <c r="D1657" s="0" t="n">
        <v>539372</v>
      </c>
      <c r="E1657" s="0" t="s">
        <v>7275</v>
      </c>
      <c r="F1657" s="0" t="s">
        <v>7284</v>
      </c>
      <c r="G1657" s="0" t="s">
        <v>7267</v>
      </c>
    </row>
    <row r="1658" customFormat="false" ht="15" hidden="false" customHeight="false" outlineLevel="0" collapsed="false">
      <c r="A1658" s="0" t="s">
        <v>211</v>
      </c>
      <c r="B1658" s="0" t="n">
        <v>2022</v>
      </c>
      <c r="C1658" s="0" t="s">
        <v>61</v>
      </c>
      <c r="D1658" s="0" t="n">
        <v>17941</v>
      </c>
      <c r="E1658" s="0" t="s">
        <v>7275</v>
      </c>
      <c r="F1658" s="0" t="s">
        <v>7284</v>
      </c>
      <c r="G1658" s="0" t="s">
        <v>7267</v>
      </c>
    </row>
    <row r="1659" customFormat="false" ht="15" hidden="false" customHeight="false" outlineLevel="0" collapsed="false">
      <c r="A1659" s="0" t="s">
        <v>211</v>
      </c>
      <c r="B1659" s="0" t="n">
        <v>2022</v>
      </c>
      <c r="C1659" s="0" t="s">
        <v>63</v>
      </c>
      <c r="D1659" s="0" t="n">
        <v>4808</v>
      </c>
      <c r="E1659" s="0" t="s">
        <v>7275</v>
      </c>
      <c r="F1659" s="0" t="s">
        <v>7284</v>
      </c>
      <c r="G1659" s="0" t="s">
        <v>7267</v>
      </c>
    </row>
    <row r="1660" customFormat="false" ht="15" hidden="false" customHeight="false" outlineLevel="0" collapsed="false">
      <c r="A1660" s="0" t="s">
        <v>211</v>
      </c>
      <c r="B1660" s="0" t="n">
        <v>2022</v>
      </c>
      <c r="C1660" s="0" t="s">
        <v>327</v>
      </c>
      <c r="D1660" s="0" t="n">
        <v>6.08</v>
      </c>
      <c r="E1660" s="0" t="s">
        <v>7275</v>
      </c>
      <c r="F1660" s="0" t="s">
        <v>7284</v>
      </c>
      <c r="G1660" s="0" t="s">
        <v>7267</v>
      </c>
    </row>
    <row r="1661" customFormat="false" ht="15" hidden="false" customHeight="false" outlineLevel="0" collapsed="false">
      <c r="A1661" s="0" t="s">
        <v>211</v>
      </c>
      <c r="B1661" s="0" t="n">
        <v>2022</v>
      </c>
      <c r="C1661" s="0" t="s">
        <v>69</v>
      </c>
      <c r="D1661" s="0" t="n">
        <v>12.74</v>
      </c>
      <c r="E1661" s="0" t="s">
        <v>7275</v>
      </c>
      <c r="F1661" s="0" t="s">
        <v>7284</v>
      </c>
      <c r="G1661" s="0" t="s">
        <v>7267</v>
      </c>
    </row>
    <row r="1662" customFormat="false" ht="15" hidden="false" customHeight="false" outlineLevel="0" collapsed="false">
      <c r="A1662" s="0" t="s">
        <v>211</v>
      </c>
      <c r="B1662" s="0" t="n">
        <v>2022</v>
      </c>
      <c r="C1662" s="0" t="s">
        <v>73</v>
      </c>
      <c r="D1662" s="0" t="n">
        <v>0</v>
      </c>
      <c r="E1662" s="0" t="s">
        <v>7275</v>
      </c>
      <c r="F1662" s="0" t="s">
        <v>7284</v>
      </c>
      <c r="G1662" s="0" t="s">
        <v>7267</v>
      </c>
    </row>
    <row r="1663" customFormat="false" ht="15" hidden="false" customHeight="false" outlineLevel="0" collapsed="false">
      <c r="A1663" s="0" t="s">
        <v>211</v>
      </c>
      <c r="B1663" s="0" t="n">
        <v>2022</v>
      </c>
      <c r="C1663" s="0" t="s">
        <v>1804</v>
      </c>
      <c r="D1663" s="0" t="s">
        <v>3392</v>
      </c>
      <c r="E1663" s="0" t="s">
        <v>7275</v>
      </c>
      <c r="F1663" s="0" t="s">
        <v>7284</v>
      </c>
      <c r="G1663" s="0" t="s">
        <v>7267</v>
      </c>
    </row>
    <row r="1664" customFormat="false" ht="15" hidden="false" customHeight="false" outlineLevel="0" collapsed="false">
      <c r="A1664" s="0" t="s">
        <v>2440</v>
      </c>
      <c r="B1664" s="0" t="n">
        <v>2015</v>
      </c>
      <c r="C1664" s="0" t="s">
        <v>54</v>
      </c>
      <c r="D1664" s="0" t="n">
        <v>3542</v>
      </c>
      <c r="E1664" s="0" t="s">
        <v>7275</v>
      </c>
      <c r="F1664" s="0" t="s">
        <v>7285</v>
      </c>
      <c r="G1664" s="0" t="s">
        <v>7267</v>
      </c>
    </row>
    <row r="1665" customFormat="false" ht="15" hidden="false" customHeight="false" outlineLevel="0" collapsed="false">
      <c r="A1665" s="0" t="s">
        <v>2440</v>
      </c>
      <c r="B1665" s="0" t="n">
        <v>2015</v>
      </c>
      <c r="C1665" s="0" t="s">
        <v>1327</v>
      </c>
      <c r="D1665" s="0" t="n">
        <v>84900</v>
      </c>
      <c r="E1665" s="0" t="s">
        <v>7275</v>
      </c>
      <c r="F1665" s="0" t="s">
        <v>7285</v>
      </c>
      <c r="G1665" s="0" t="s">
        <v>7267</v>
      </c>
    </row>
    <row r="1666" customFormat="false" ht="15" hidden="false" customHeight="false" outlineLevel="0" collapsed="false">
      <c r="A1666" s="0" t="s">
        <v>2440</v>
      </c>
      <c r="B1666" s="0" t="n">
        <v>2015</v>
      </c>
      <c r="C1666" s="0" t="s">
        <v>55</v>
      </c>
      <c r="D1666" s="0" t="n">
        <v>1150144</v>
      </c>
      <c r="E1666" s="0" t="s">
        <v>7275</v>
      </c>
      <c r="F1666" s="0" t="s">
        <v>7285</v>
      </c>
      <c r="G1666" s="0" t="s">
        <v>7267</v>
      </c>
    </row>
    <row r="1667" customFormat="false" ht="15" hidden="false" customHeight="false" outlineLevel="0" collapsed="false">
      <c r="A1667" s="0" t="s">
        <v>2440</v>
      </c>
      <c r="B1667" s="0" t="n">
        <v>2015</v>
      </c>
      <c r="C1667" s="0" t="s">
        <v>60</v>
      </c>
      <c r="D1667" s="0" t="n">
        <v>592672</v>
      </c>
      <c r="E1667" s="0" t="s">
        <v>7275</v>
      </c>
      <c r="F1667" s="0" t="s">
        <v>7285</v>
      </c>
      <c r="G1667" s="0" t="s">
        <v>7267</v>
      </c>
    </row>
    <row r="1668" customFormat="false" ht="15" hidden="false" customHeight="false" outlineLevel="0" collapsed="false">
      <c r="A1668" s="0" t="s">
        <v>2440</v>
      </c>
      <c r="B1668" s="0" t="n">
        <v>2015</v>
      </c>
      <c r="C1668" s="0" t="s">
        <v>61</v>
      </c>
      <c r="D1668" s="0" t="n">
        <v>36587</v>
      </c>
      <c r="E1668" s="0" t="s">
        <v>7275</v>
      </c>
      <c r="F1668" s="0" t="s">
        <v>7285</v>
      </c>
      <c r="G1668" s="0" t="s">
        <v>7267</v>
      </c>
    </row>
    <row r="1669" customFormat="false" ht="15" hidden="false" customHeight="false" outlineLevel="0" collapsed="false">
      <c r="A1669" s="0" t="s">
        <v>2440</v>
      </c>
      <c r="B1669" s="0" t="n">
        <v>2015</v>
      </c>
      <c r="C1669" s="0" t="s">
        <v>63</v>
      </c>
      <c r="D1669" s="0" t="n">
        <v>14102</v>
      </c>
      <c r="E1669" s="0" t="s">
        <v>7275</v>
      </c>
      <c r="F1669" s="0" t="s">
        <v>7285</v>
      </c>
      <c r="G1669" s="0" t="s">
        <v>7267</v>
      </c>
    </row>
    <row r="1670" customFormat="false" ht="15" hidden="false" customHeight="false" outlineLevel="0" collapsed="false">
      <c r="A1670" s="0" t="s">
        <v>2440</v>
      </c>
      <c r="B1670" s="0" t="n">
        <v>2015</v>
      </c>
      <c r="C1670" s="0" t="s">
        <v>327</v>
      </c>
      <c r="D1670" s="0" t="n">
        <v>4.15</v>
      </c>
      <c r="E1670" s="0" t="s">
        <v>7275</v>
      </c>
      <c r="F1670" s="0" t="s">
        <v>7285</v>
      </c>
      <c r="G1670" s="0" t="s">
        <v>7267</v>
      </c>
    </row>
    <row r="1671" customFormat="false" ht="15" hidden="false" customHeight="false" outlineLevel="0" collapsed="false">
      <c r="A1671" s="0" t="s">
        <v>2440</v>
      </c>
      <c r="B1671" s="0" t="n">
        <v>2015</v>
      </c>
      <c r="C1671" s="0" t="s">
        <v>69</v>
      </c>
      <c r="D1671" s="0" t="n">
        <v>16.88</v>
      </c>
      <c r="E1671" s="0" t="s">
        <v>7275</v>
      </c>
      <c r="F1671" s="0" t="s">
        <v>7285</v>
      </c>
      <c r="G1671" s="0" t="s">
        <v>7267</v>
      </c>
    </row>
    <row r="1672" customFormat="false" ht="15" hidden="false" customHeight="false" outlineLevel="0" collapsed="false">
      <c r="A1672" s="0" t="s">
        <v>2440</v>
      </c>
      <c r="B1672" s="0" t="n">
        <v>2015</v>
      </c>
      <c r="C1672" s="0" t="s">
        <v>73</v>
      </c>
      <c r="D1672" s="0" t="n">
        <v>0</v>
      </c>
      <c r="E1672" s="0" t="s">
        <v>7275</v>
      </c>
      <c r="F1672" s="0" t="s">
        <v>7285</v>
      </c>
      <c r="G1672" s="0" t="s">
        <v>7267</v>
      </c>
    </row>
    <row r="1673" customFormat="false" ht="15" hidden="false" customHeight="false" outlineLevel="0" collapsed="false">
      <c r="A1673" s="0" t="s">
        <v>2440</v>
      </c>
      <c r="B1673" s="0" t="n">
        <v>2015</v>
      </c>
      <c r="C1673" s="0" t="s">
        <v>1804</v>
      </c>
      <c r="D1673" s="0" t="s">
        <v>3392</v>
      </c>
      <c r="E1673" s="0" t="s">
        <v>7275</v>
      </c>
      <c r="F1673" s="0" t="s">
        <v>7285</v>
      </c>
      <c r="G1673" s="0" t="s">
        <v>7267</v>
      </c>
    </row>
    <row r="1674" customFormat="false" ht="15" hidden="false" customHeight="false" outlineLevel="0" collapsed="false">
      <c r="A1674" s="0" t="s">
        <v>2440</v>
      </c>
      <c r="B1674" s="0" t="n">
        <v>2016</v>
      </c>
      <c r="C1674" s="0" t="s">
        <v>54</v>
      </c>
      <c r="D1674" s="0" t="n">
        <v>12076</v>
      </c>
      <c r="E1674" s="0" t="s">
        <v>7275</v>
      </c>
      <c r="F1674" s="0" t="s">
        <v>7285</v>
      </c>
      <c r="G1674" s="0" t="s">
        <v>7267</v>
      </c>
    </row>
    <row r="1675" customFormat="false" ht="15" hidden="false" customHeight="false" outlineLevel="0" collapsed="false">
      <c r="A1675" s="0" t="s">
        <v>2440</v>
      </c>
      <c r="B1675" s="0" t="n">
        <v>2016</v>
      </c>
      <c r="C1675" s="0" t="s">
        <v>1327</v>
      </c>
      <c r="D1675" s="0" t="n">
        <v>112581</v>
      </c>
      <c r="E1675" s="0" t="s">
        <v>7275</v>
      </c>
      <c r="F1675" s="0" t="s">
        <v>7285</v>
      </c>
      <c r="G1675" s="0" t="s">
        <v>7267</v>
      </c>
    </row>
    <row r="1676" customFormat="false" ht="15" hidden="false" customHeight="false" outlineLevel="0" collapsed="false">
      <c r="A1676" s="0" t="s">
        <v>2440</v>
      </c>
      <c r="B1676" s="0" t="n">
        <v>2016</v>
      </c>
      <c r="C1676" s="0" t="s">
        <v>55</v>
      </c>
      <c r="D1676" s="0" t="n">
        <v>1163435</v>
      </c>
      <c r="E1676" s="0" t="s">
        <v>7275</v>
      </c>
      <c r="F1676" s="0" t="s">
        <v>7285</v>
      </c>
      <c r="G1676" s="0" t="s">
        <v>7267</v>
      </c>
    </row>
    <row r="1677" customFormat="false" ht="15" hidden="false" customHeight="false" outlineLevel="0" collapsed="false">
      <c r="A1677" s="0" t="s">
        <v>2440</v>
      </c>
      <c r="B1677" s="0" t="n">
        <v>2016</v>
      </c>
      <c r="C1677" s="0" t="s">
        <v>60</v>
      </c>
      <c r="D1677" s="0" t="n">
        <v>659700</v>
      </c>
      <c r="E1677" s="0" t="s">
        <v>7275</v>
      </c>
      <c r="F1677" s="0" t="s">
        <v>7285</v>
      </c>
      <c r="G1677" s="0" t="s">
        <v>7267</v>
      </c>
    </row>
    <row r="1678" customFormat="false" ht="15" hidden="false" customHeight="false" outlineLevel="0" collapsed="false">
      <c r="A1678" s="0" t="s">
        <v>2440</v>
      </c>
      <c r="B1678" s="0" t="n">
        <v>2016</v>
      </c>
      <c r="C1678" s="0" t="s">
        <v>61</v>
      </c>
      <c r="D1678" s="0" t="n">
        <v>33247</v>
      </c>
      <c r="E1678" s="0" t="s">
        <v>7275</v>
      </c>
      <c r="F1678" s="0" t="s">
        <v>7285</v>
      </c>
      <c r="G1678" s="0" t="s">
        <v>7267</v>
      </c>
    </row>
    <row r="1679" customFormat="false" ht="15" hidden="false" customHeight="false" outlineLevel="0" collapsed="false">
      <c r="A1679" s="0" t="s">
        <v>2440</v>
      </c>
      <c r="B1679" s="0" t="n">
        <v>2016</v>
      </c>
      <c r="C1679" s="0" t="s">
        <v>63</v>
      </c>
      <c r="D1679" s="0" t="n">
        <v>35311</v>
      </c>
      <c r="E1679" s="0" t="s">
        <v>7275</v>
      </c>
      <c r="F1679" s="0" t="s">
        <v>7285</v>
      </c>
      <c r="G1679" s="0" t="s">
        <v>7267</v>
      </c>
    </row>
    <row r="1680" customFormat="false" ht="15" hidden="false" customHeight="false" outlineLevel="0" collapsed="false">
      <c r="A1680" s="0" t="s">
        <v>2440</v>
      </c>
      <c r="B1680" s="0" t="n">
        <v>2016</v>
      </c>
      <c r="C1680" s="0" t="s">
        <v>327</v>
      </c>
      <c r="D1680" s="0" t="n">
        <v>3.74</v>
      </c>
      <c r="E1680" s="0" t="s">
        <v>7275</v>
      </c>
      <c r="F1680" s="0" t="s">
        <v>7285</v>
      </c>
      <c r="G1680" s="0" t="s">
        <v>7267</v>
      </c>
    </row>
    <row r="1681" customFormat="false" ht="15" hidden="false" customHeight="false" outlineLevel="0" collapsed="false">
      <c r="A1681" s="0" t="s">
        <v>2440</v>
      </c>
      <c r="B1681" s="0" t="n">
        <v>2016</v>
      </c>
      <c r="C1681" s="0" t="s">
        <v>69</v>
      </c>
      <c r="D1681" s="0" t="n">
        <v>16.54</v>
      </c>
      <c r="E1681" s="0" t="s">
        <v>7275</v>
      </c>
      <c r="F1681" s="0" t="s">
        <v>7285</v>
      </c>
      <c r="G1681" s="0" t="s">
        <v>7267</v>
      </c>
    </row>
    <row r="1682" customFormat="false" ht="15" hidden="false" customHeight="false" outlineLevel="0" collapsed="false">
      <c r="A1682" s="0" t="s">
        <v>2440</v>
      </c>
      <c r="B1682" s="0" t="n">
        <v>2016</v>
      </c>
      <c r="C1682" s="0" t="s">
        <v>73</v>
      </c>
      <c r="D1682" s="0" t="n">
        <v>0</v>
      </c>
      <c r="E1682" s="0" t="s">
        <v>7275</v>
      </c>
      <c r="F1682" s="0" t="s">
        <v>7285</v>
      </c>
      <c r="G1682" s="0" t="s">
        <v>7267</v>
      </c>
    </row>
    <row r="1683" customFormat="false" ht="15" hidden="false" customHeight="false" outlineLevel="0" collapsed="false">
      <c r="A1683" s="0" t="s">
        <v>2440</v>
      </c>
      <c r="B1683" s="0" t="n">
        <v>2016</v>
      </c>
      <c r="C1683" s="0" t="s">
        <v>1804</v>
      </c>
      <c r="D1683" s="0" t="s">
        <v>3392</v>
      </c>
      <c r="E1683" s="0" t="s">
        <v>7275</v>
      </c>
      <c r="F1683" s="0" t="s">
        <v>7285</v>
      </c>
      <c r="G1683" s="0" t="s">
        <v>7267</v>
      </c>
    </row>
    <row r="1684" customFormat="false" ht="15" hidden="false" customHeight="false" outlineLevel="0" collapsed="false">
      <c r="A1684" s="0" t="s">
        <v>2440</v>
      </c>
      <c r="B1684" s="0" t="n">
        <v>2017</v>
      </c>
      <c r="C1684" s="0" t="s">
        <v>54</v>
      </c>
      <c r="D1684" s="0" t="n">
        <v>6794</v>
      </c>
      <c r="E1684" s="0" t="s">
        <v>7275</v>
      </c>
      <c r="F1684" s="0" t="s">
        <v>7285</v>
      </c>
      <c r="G1684" s="0" t="s">
        <v>7267</v>
      </c>
    </row>
    <row r="1685" customFormat="false" ht="15" hidden="false" customHeight="false" outlineLevel="0" collapsed="false">
      <c r="A1685" s="0" t="s">
        <v>2440</v>
      </c>
      <c r="B1685" s="0" t="n">
        <v>2017</v>
      </c>
      <c r="C1685" s="0" t="s">
        <v>1327</v>
      </c>
      <c r="D1685" s="0" t="n">
        <v>98239</v>
      </c>
      <c r="E1685" s="0" t="s">
        <v>7275</v>
      </c>
      <c r="F1685" s="0" t="s">
        <v>7285</v>
      </c>
      <c r="G1685" s="0" t="s">
        <v>7267</v>
      </c>
    </row>
    <row r="1686" customFormat="false" ht="15" hidden="false" customHeight="false" outlineLevel="0" collapsed="false">
      <c r="A1686" s="0" t="s">
        <v>2440</v>
      </c>
      <c r="B1686" s="0" t="n">
        <v>2017</v>
      </c>
      <c r="C1686" s="0" t="s">
        <v>55</v>
      </c>
      <c r="D1686" s="0" t="n">
        <v>1169344</v>
      </c>
      <c r="E1686" s="0" t="s">
        <v>7275</v>
      </c>
      <c r="F1686" s="0" t="s">
        <v>7285</v>
      </c>
      <c r="G1686" s="0" t="s">
        <v>7267</v>
      </c>
    </row>
    <row r="1687" customFormat="false" ht="15" hidden="false" customHeight="false" outlineLevel="0" collapsed="false">
      <c r="A1687" s="0" t="s">
        <v>2440</v>
      </c>
      <c r="B1687" s="0" t="n">
        <v>2017</v>
      </c>
      <c r="C1687" s="0" t="s">
        <v>60</v>
      </c>
      <c r="D1687" s="0" t="n">
        <v>649379</v>
      </c>
      <c r="E1687" s="0" t="s">
        <v>7275</v>
      </c>
      <c r="F1687" s="0" t="s">
        <v>7285</v>
      </c>
      <c r="G1687" s="0" t="s">
        <v>7267</v>
      </c>
    </row>
    <row r="1688" customFormat="false" ht="15" hidden="false" customHeight="false" outlineLevel="0" collapsed="false">
      <c r="A1688" s="0" t="s">
        <v>2440</v>
      </c>
      <c r="B1688" s="0" t="n">
        <v>2017</v>
      </c>
      <c r="C1688" s="0" t="s">
        <v>61</v>
      </c>
      <c r="D1688" s="0" t="n">
        <v>25305</v>
      </c>
      <c r="E1688" s="0" t="s">
        <v>7275</v>
      </c>
      <c r="F1688" s="0" t="s">
        <v>7285</v>
      </c>
      <c r="G1688" s="0" t="s">
        <v>7267</v>
      </c>
    </row>
    <row r="1689" customFormat="false" ht="15" hidden="false" customHeight="false" outlineLevel="0" collapsed="false">
      <c r="A1689" s="0" t="s">
        <v>2440</v>
      </c>
      <c r="B1689" s="0" t="n">
        <v>2017</v>
      </c>
      <c r="C1689" s="0" t="s">
        <v>63</v>
      </c>
      <c r="D1689" s="0" t="n">
        <v>22653</v>
      </c>
      <c r="E1689" s="0" t="s">
        <v>7275</v>
      </c>
      <c r="F1689" s="0" t="s">
        <v>7285</v>
      </c>
      <c r="G1689" s="0" t="s">
        <v>7267</v>
      </c>
    </row>
    <row r="1690" customFormat="false" ht="15" hidden="false" customHeight="false" outlineLevel="0" collapsed="false">
      <c r="A1690" s="0" t="s">
        <v>2440</v>
      </c>
      <c r="B1690" s="0" t="n">
        <v>2017</v>
      </c>
      <c r="C1690" s="0" t="s">
        <v>327</v>
      </c>
      <c r="D1690" s="0" t="n">
        <v>4.92</v>
      </c>
      <c r="E1690" s="0" t="s">
        <v>7275</v>
      </c>
      <c r="F1690" s="0" t="s">
        <v>7285</v>
      </c>
      <c r="G1690" s="0" t="s">
        <v>7267</v>
      </c>
    </row>
    <row r="1691" customFormat="false" ht="15" hidden="false" customHeight="false" outlineLevel="0" collapsed="false">
      <c r="A1691" s="0" t="s">
        <v>2440</v>
      </c>
      <c r="B1691" s="0" t="n">
        <v>2017</v>
      </c>
      <c r="C1691" s="0" t="s">
        <v>69</v>
      </c>
      <c r="D1691" s="0" t="n">
        <v>17.21</v>
      </c>
      <c r="E1691" s="0" t="s">
        <v>7275</v>
      </c>
      <c r="F1691" s="0" t="s">
        <v>7285</v>
      </c>
      <c r="G1691" s="0" t="s">
        <v>7267</v>
      </c>
    </row>
    <row r="1692" customFormat="false" ht="15" hidden="false" customHeight="false" outlineLevel="0" collapsed="false">
      <c r="A1692" s="0" t="s">
        <v>2440</v>
      </c>
      <c r="B1692" s="0" t="n">
        <v>2017</v>
      </c>
      <c r="C1692" s="0" t="s">
        <v>73</v>
      </c>
      <c r="D1692" s="0" t="n">
        <v>0</v>
      </c>
      <c r="E1692" s="0" t="s">
        <v>7275</v>
      </c>
      <c r="F1692" s="0" t="s">
        <v>7285</v>
      </c>
      <c r="G1692" s="0" t="s">
        <v>7267</v>
      </c>
    </row>
    <row r="1693" customFormat="false" ht="15" hidden="false" customHeight="false" outlineLevel="0" collapsed="false">
      <c r="A1693" s="0" t="s">
        <v>2440</v>
      </c>
      <c r="B1693" s="0" t="n">
        <v>2017</v>
      </c>
      <c r="C1693" s="0" t="s">
        <v>1804</v>
      </c>
      <c r="D1693" s="0" t="s">
        <v>3392</v>
      </c>
      <c r="E1693" s="0" t="s">
        <v>7275</v>
      </c>
      <c r="F1693" s="0" t="s">
        <v>7285</v>
      </c>
      <c r="G1693" s="0" t="s">
        <v>7267</v>
      </c>
    </row>
    <row r="1694" customFormat="false" ht="15" hidden="false" customHeight="false" outlineLevel="0" collapsed="false">
      <c r="A1694" s="0" t="s">
        <v>2440</v>
      </c>
      <c r="B1694" s="0" t="n">
        <v>2018</v>
      </c>
      <c r="C1694" s="0" t="s">
        <v>54</v>
      </c>
      <c r="D1694" s="0" t="n">
        <v>12355</v>
      </c>
      <c r="E1694" s="0" t="s">
        <v>7275</v>
      </c>
      <c r="F1694" s="0" t="s">
        <v>7285</v>
      </c>
      <c r="G1694" s="0" t="s">
        <v>7267</v>
      </c>
    </row>
    <row r="1695" customFormat="false" ht="15" hidden="false" customHeight="false" outlineLevel="0" collapsed="false">
      <c r="A1695" s="0" t="s">
        <v>2440</v>
      </c>
      <c r="B1695" s="0" t="n">
        <v>2018</v>
      </c>
      <c r="C1695" s="0" t="s">
        <v>1327</v>
      </c>
      <c r="D1695" s="0" t="n">
        <v>101385</v>
      </c>
      <c r="E1695" s="0" t="s">
        <v>7275</v>
      </c>
      <c r="F1695" s="0" t="s">
        <v>7285</v>
      </c>
      <c r="G1695" s="0" t="s">
        <v>7267</v>
      </c>
    </row>
    <row r="1696" customFormat="false" ht="15" hidden="false" customHeight="false" outlineLevel="0" collapsed="false">
      <c r="A1696" s="0" t="s">
        <v>2440</v>
      </c>
      <c r="B1696" s="0" t="n">
        <v>2018</v>
      </c>
      <c r="C1696" s="0" t="s">
        <v>55</v>
      </c>
      <c r="D1696" s="0" t="n">
        <v>1391479</v>
      </c>
      <c r="E1696" s="0" t="s">
        <v>7275</v>
      </c>
      <c r="F1696" s="0" t="s">
        <v>7285</v>
      </c>
      <c r="G1696" s="0" t="s">
        <v>7267</v>
      </c>
    </row>
    <row r="1697" customFormat="false" ht="15" hidden="false" customHeight="false" outlineLevel="0" collapsed="false">
      <c r="A1697" s="0" t="s">
        <v>2440</v>
      </c>
      <c r="B1697" s="0" t="n">
        <v>2018</v>
      </c>
      <c r="C1697" s="0" t="s">
        <v>60</v>
      </c>
      <c r="D1697" s="0" t="n">
        <v>616006</v>
      </c>
      <c r="E1697" s="0" t="s">
        <v>7275</v>
      </c>
      <c r="F1697" s="0" t="s">
        <v>7285</v>
      </c>
      <c r="G1697" s="0" t="s">
        <v>7267</v>
      </c>
    </row>
    <row r="1698" customFormat="false" ht="15" hidden="false" customHeight="false" outlineLevel="0" collapsed="false">
      <c r="A1698" s="0" t="s">
        <v>2440</v>
      </c>
      <c r="B1698" s="0" t="n">
        <v>2018</v>
      </c>
      <c r="C1698" s="0" t="s">
        <v>61</v>
      </c>
      <c r="D1698" s="0" t="n">
        <v>48291</v>
      </c>
      <c r="E1698" s="0" t="s">
        <v>7275</v>
      </c>
      <c r="F1698" s="0" t="s">
        <v>7285</v>
      </c>
      <c r="G1698" s="0" t="s">
        <v>7267</v>
      </c>
    </row>
    <row r="1699" customFormat="false" ht="15" hidden="false" customHeight="false" outlineLevel="0" collapsed="false">
      <c r="A1699" s="0" t="s">
        <v>2440</v>
      </c>
      <c r="B1699" s="0" t="n">
        <v>2018</v>
      </c>
      <c r="C1699" s="0" t="s">
        <v>63</v>
      </c>
      <c r="D1699" s="0" t="n">
        <v>13954</v>
      </c>
      <c r="E1699" s="0" t="s">
        <v>7275</v>
      </c>
      <c r="F1699" s="0" t="s">
        <v>7285</v>
      </c>
      <c r="G1699" s="0" t="s">
        <v>7267</v>
      </c>
    </row>
    <row r="1700" customFormat="false" ht="15" hidden="false" customHeight="false" outlineLevel="0" collapsed="false">
      <c r="A1700" s="0" t="s">
        <v>2440</v>
      </c>
      <c r="B1700" s="0" t="n">
        <v>2018</v>
      </c>
      <c r="C1700" s="0" t="s">
        <v>327</v>
      </c>
      <c r="D1700" s="0" t="n">
        <v>5.9</v>
      </c>
      <c r="E1700" s="0" t="s">
        <v>7275</v>
      </c>
      <c r="F1700" s="0" t="s">
        <v>7285</v>
      </c>
      <c r="G1700" s="0" t="s">
        <v>7267</v>
      </c>
    </row>
    <row r="1701" customFormat="false" ht="15" hidden="false" customHeight="false" outlineLevel="0" collapsed="false">
      <c r="A1701" s="0" t="s">
        <v>2440</v>
      </c>
      <c r="B1701" s="0" t="n">
        <v>2018</v>
      </c>
      <c r="C1701" s="0" t="s">
        <v>69</v>
      </c>
      <c r="D1701" s="0" t="n">
        <v>15.79</v>
      </c>
      <c r="E1701" s="0" t="s">
        <v>7275</v>
      </c>
      <c r="F1701" s="0" t="s">
        <v>7285</v>
      </c>
      <c r="G1701" s="0" t="s">
        <v>7267</v>
      </c>
    </row>
    <row r="1702" customFormat="false" ht="15" hidden="false" customHeight="false" outlineLevel="0" collapsed="false">
      <c r="A1702" s="0" t="s">
        <v>2440</v>
      </c>
      <c r="B1702" s="0" t="n">
        <v>2018</v>
      </c>
      <c r="C1702" s="0" t="s">
        <v>73</v>
      </c>
      <c r="D1702" s="0" t="n">
        <v>0</v>
      </c>
      <c r="E1702" s="0" t="s">
        <v>7275</v>
      </c>
      <c r="F1702" s="0" t="s">
        <v>7285</v>
      </c>
      <c r="G1702" s="0" t="s">
        <v>7267</v>
      </c>
    </row>
    <row r="1703" customFormat="false" ht="15" hidden="false" customHeight="false" outlineLevel="0" collapsed="false">
      <c r="A1703" s="0" t="s">
        <v>2440</v>
      </c>
      <c r="B1703" s="0" t="n">
        <v>2018</v>
      </c>
      <c r="C1703" s="0" t="s">
        <v>1804</v>
      </c>
      <c r="D1703" s="0" t="s">
        <v>3392</v>
      </c>
      <c r="E1703" s="0" t="s">
        <v>7275</v>
      </c>
      <c r="F1703" s="0" t="s">
        <v>7285</v>
      </c>
      <c r="G1703" s="0" t="s">
        <v>7267</v>
      </c>
    </row>
    <row r="1704" customFormat="false" ht="15" hidden="false" customHeight="false" outlineLevel="0" collapsed="false">
      <c r="A1704" s="0" t="s">
        <v>2440</v>
      </c>
      <c r="B1704" s="0" t="n">
        <v>2019</v>
      </c>
      <c r="C1704" s="0" t="s">
        <v>54</v>
      </c>
      <c r="D1704" s="0" t="n">
        <v>13642</v>
      </c>
      <c r="E1704" s="0" t="s">
        <v>7275</v>
      </c>
      <c r="F1704" s="0" t="s">
        <v>7285</v>
      </c>
      <c r="G1704" s="0" t="s">
        <v>7267</v>
      </c>
    </row>
    <row r="1705" customFormat="false" ht="15" hidden="false" customHeight="false" outlineLevel="0" collapsed="false">
      <c r="A1705" s="0" t="s">
        <v>2440</v>
      </c>
      <c r="B1705" s="0" t="n">
        <v>2019</v>
      </c>
      <c r="C1705" s="0" t="s">
        <v>1327</v>
      </c>
      <c r="D1705" s="0" t="n">
        <v>94910</v>
      </c>
      <c r="E1705" s="0" t="s">
        <v>7275</v>
      </c>
      <c r="F1705" s="0" t="s">
        <v>7285</v>
      </c>
      <c r="G1705" s="0" t="s">
        <v>7267</v>
      </c>
    </row>
    <row r="1706" customFormat="false" ht="15" hidden="false" customHeight="false" outlineLevel="0" collapsed="false">
      <c r="A1706" s="0" t="s">
        <v>2440</v>
      </c>
      <c r="B1706" s="0" t="n">
        <v>2019</v>
      </c>
      <c r="C1706" s="0" t="s">
        <v>55</v>
      </c>
      <c r="D1706" s="0" t="n">
        <v>1621454</v>
      </c>
      <c r="E1706" s="0" t="s">
        <v>7275</v>
      </c>
      <c r="F1706" s="0" t="s">
        <v>7285</v>
      </c>
      <c r="G1706" s="0" t="s">
        <v>7267</v>
      </c>
    </row>
    <row r="1707" customFormat="false" ht="15" hidden="false" customHeight="false" outlineLevel="0" collapsed="false">
      <c r="A1707" s="0" t="s">
        <v>2440</v>
      </c>
      <c r="B1707" s="0" t="n">
        <v>2019</v>
      </c>
      <c r="C1707" s="0" t="s">
        <v>60</v>
      </c>
      <c r="D1707" s="0" t="n">
        <v>692974</v>
      </c>
      <c r="E1707" s="0" t="s">
        <v>7275</v>
      </c>
      <c r="F1707" s="0" t="s">
        <v>7285</v>
      </c>
      <c r="G1707" s="0" t="s">
        <v>7267</v>
      </c>
    </row>
    <row r="1708" customFormat="false" ht="15" hidden="false" customHeight="false" outlineLevel="0" collapsed="false">
      <c r="A1708" s="0" t="s">
        <v>2440</v>
      </c>
      <c r="B1708" s="0" t="n">
        <v>2019</v>
      </c>
      <c r="C1708" s="0" t="s">
        <v>61</v>
      </c>
      <c r="D1708" s="0" t="n">
        <v>46747</v>
      </c>
      <c r="E1708" s="0" t="s">
        <v>7275</v>
      </c>
      <c r="F1708" s="0" t="s">
        <v>7285</v>
      </c>
      <c r="G1708" s="0" t="s">
        <v>7267</v>
      </c>
    </row>
    <row r="1709" customFormat="false" ht="15" hidden="false" customHeight="false" outlineLevel="0" collapsed="false">
      <c r="A1709" s="0" t="s">
        <v>2440</v>
      </c>
      <c r="B1709" s="0" t="n">
        <v>2019</v>
      </c>
      <c r="C1709" s="0" t="s">
        <v>63</v>
      </c>
      <c r="D1709" s="0" t="n">
        <v>13406</v>
      </c>
      <c r="E1709" s="0" t="s">
        <v>7275</v>
      </c>
      <c r="F1709" s="0" t="s">
        <v>7285</v>
      </c>
      <c r="G1709" s="0" t="s">
        <v>7267</v>
      </c>
    </row>
    <row r="1710" customFormat="false" ht="15" hidden="false" customHeight="false" outlineLevel="0" collapsed="false">
      <c r="A1710" s="0" t="s">
        <v>2440</v>
      </c>
      <c r="B1710" s="0" t="n">
        <v>2019</v>
      </c>
      <c r="C1710" s="0" t="s">
        <v>327</v>
      </c>
      <c r="D1710" s="0" t="n">
        <v>3.7</v>
      </c>
      <c r="E1710" s="0" t="s">
        <v>7275</v>
      </c>
      <c r="F1710" s="0" t="s">
        <v>7285</v>
      </c>
      <c r="G1710" s="0" t="s">
        <v>7267</v>
      </c>
    </row>
    <row r="1711" customFormat="false" ht="15" hidden="false" customHeight="false" outlineLevel="0" collapsed="false">
      <c r="A1711" s="0" t="s">
        <v>2440</v>
      </c>
      <c r="B1711" s="0" t="n">
        <v>2019</v>
      </c>
      <c r="C1711" s="0" t="s">
        <v>69</v>
      </c>
      <c r="D1711" s="0" t="n">
        <v>17.16</v>
      </c>
      <c r="E1711" s="0" t="s">
        <v>7275</v>
      </c>
      <c r="F1711" s="0" t="s">
        <v>7285</v>
      </c>
      <c r="G1711" s="0" t="s">
        <v>7267</v>
      </c>
    </row>
    <row r="1712" customFormat="false" ht="15" hidden="false" customHeight="false" outlineLevel="0" collapsed="false">
      <c r="A1712" s="0" t="s">
        <v>2440</v>
      </c>
      <c r="B1712" s="0" t="n">
        <v>2019</v>
      </c>
      <c r="C1712" s="0" t="s">
        <v>73</v>
      </c>
      <c r="D1712" s="0" t="n">
        <v>0</v>
      </c>
      <c r="E1712" s="0" t="s">
        <v>7275</v>
      </c>
      <c r="F1712" s="0" t="s">
        <v>7285</v>
      </c>
      <c r="G1712" s="0" t="s">
        <v>7267</v>
      </c>
    </row>
    <row r="1713" customFormat="false" ht="15" hidden="false" customHeight="false" outlineLevel="0" collapsed="false">
      <c r="A1713" s="0" t="s">
        <v>2440</v>
      </c>
      <c r="B1713" s="0" t="n">
        <v>2019</v>
      </c>
      <c r="C1713" s="0" t="s">
        <v>1804</v>
      </c>
      <c r="D1713" s="0" t="s">
        <v>3392</v>
      </c>
      <c r="E1713" s="0" t="s">
        <v>7275</v>
      </c>
      <c r="F1713" s="0" t="s">
        <v>7285</v>
      </c>
      <c r="G1713" s="0" t="s">
        <v>7267</v>
      </c>
    </row>
    <row r="1714" customFormat="false" ht="15" hidden="false" customHeight="false" outlineLevel="0" collapsed="false">
      <c r="A1714" s="0" t="s">
        <v>2440</v>
      </c>
      <c r="B1714" s="0" t="n">
        <v>2020</v>
      </c>
      <c r="C1714" s="0" t="s">
        <v>54</v>
      </c>
      <c r="D1714" s="0" t="n">
        <v>14510</v>
      </c>
      <c r="E1714" s="0" t="s">
        <v>7275</v>
      </c>
      <c r="F1714" s="0" t="s">
        <v>7285</v>
      </c>
      <c r="G1714" s="0" t="s">
        <v>7267</v>
      </c>
    </row>
    <row r="1715" customFormat="false" ht="15" hidden="false" customHeight="false" outlineLevel="0" collapsed="false">
      <c r="A1715" s="0" t="s">
        <v>2440</v>
      </c>
      <c r="B1715" s="0" t="n">
        <v>2020</v>
      </c>
      <c r="C1715" s="0" t="s">
        <v>1327</v>
      </c>
      <c r="D1715" s="0" t="n">
        <v>109885</v>
      </c>
      <c r="E1715" s="0" t="s">
        <v>7275</v>
      </c>
      <c r="F1715" s="0" t="s">
        <v>7285</v>
      </c>
      <c r="G1715" s="0" t="s">
        <v>7267</v>
      </c>
    </row>
    <row r="1716" customFormat="false" ht="15" hidden="false" customHeight="false" outlineLevel="0" collapsed="false">
      <c r="A1716" s="0" t="s">
        <v>2440</v>
      </c>
      <c r="B1716" s="0" t="n">
        <v>2020</v>
      </c>
      <c r="C1716" s="0" t="s">
        <v>55</v>
      </c>
      <c r="D1716" s="0" t="n">
        <v>2014277</v>
      </c>
      <c r="E1716" s="0" t="s">
        <v>7275</v>
      </c>
      <c r="F1716" s="0" t="s">
        <v>7285</v>
      </c>
      <c r="G1716" s="0" t="s">
        <v>7267</v>
      </c>
    </row>
    <row r="1717" customFormat="false" ht="15" hidden="false" customHeight="false" outlineLevel="0" collapsed="false">
      <c r="A1717" s="0" t="s">
        <v>2440</v>
      </c>
      <c r="B1717" s="0" t="n">
        <v>2020</v>
      </c>
      <c r="C1717" s="0" t="s">
        <v>60</v>
      </c>
      <c r="D1717" s="0" t="n">
        <v>801282</v>
      </c>
      <c r="E1717" s="0" t="s">
        <v>7275</v>
      </c>
      <c r="F1717" s="0" t="s">
        <v>7285</v>
      </c>
      <c r="G1717" s="0" t="s">
        <v>7267</v>
      </c>
    </row>
    <row r="1718" customFormat="false" ht="15" hidden="false" customHeight="false" outlineLevel="0" collapsed="false">
      <c r="A1718" s="0" t="s">
        <v>2440</v>
      </c>
      <c r="B1718" s="0" t="n">
        <v>2020</v>
      </c>
      <c r="C1718" s="0" t="s">
        <v>61</v>
      </c>
      <c r="D1718" s="0" t="n">
        <v>56248</v>
      </c>
      <c r="E1718" s="0" t="s">
        <v>7275</v>
      </c>
      <c r="F1718" s="0" t="s">
        <v>7285</v>
      </c>
      <c r="G1718" s="0" t="s">
        <v>7267</v>
      </c>
    </row>
    <row r="1719" customFormat="false" ht="15" hidden="false" customHeight="false" outlineLevel="0" collapsed="false">
      <c r="A1719" s="0" t="s">
        <v>2440</v>
      </c>
      <c r="B1719" s="0" t="n">
        <v>2020</v>
      </c>
      <c r="C1719" s="0" t="s">
        <v>63</v>
      </c>
      <c r="D1719" s="0" t="n">
        <v>20697</v>
      </c>
      <c r="E1719" s="0" t="s">
        <v>7275</v>
      </c>
      <c r="F1719" s="0" t="s">
        <v>7285</v>
      </c>
      <c r="G1719" s="0" t="s">
        <v>7267</v>
      </c>
    </row>
    <row r="1720" customFormat="false" ht="15" hidden="false" customHeight="false" outlineLevel="0" collapsed="false">
      <c r="A1720" s="0" t="s">
        <v>2440</v>
      </c>
      <c r="B1720" s="0" t="n">
        <v>2020</v>
      </c>
      <c r="C1720" s="0" t="s">
        <v>327</v>
      </c>
      <c r="D1720" s="0" t="n">
        <v>3.3</v>
      </c>
      <c r="E1720" s="0" t="s">
        <v>7275</v>
      </c>
      <c r="F1720" s="0" t="s">
        <v>7285</v>
      </c>
      <c r="G1720" s="0" t="s">
        <v>7267</v>
      </c>
    </row>
    <row r="1721" customFormat="false" ht="15" hidden="false" customHeight="false" outlineLevel="0" collapsed="false">
      <c r="A1721" s="0" t="s">
        <v>2440</v>
      </c>
      <c r="B1721" s="0" t="n">
        <v>2020</v>
      </c>
      <c r="C1721" s="0" t="s">
        <v>69</v>
      </c>
      <c r="D1721" s="0" t="n">
        <v>17.49</v>
      </c>
      <c r="E1721" s="0" t="s">
        <v>7275</v>
      </c>
      <c r="F1721" s="0" t="s">
        <v>7285</v>
      </c>
      <c r="G1721" s="0" t="s">
        <v>7267</v>
      </c>
    </row>
    <row r="1722" customFormat="false" ht="15" hidden="false" customHeight="false" outlineLevel="0" collapsed="false">
      <c r="A1722" s="0" t="s">
        <v>2440</v>
      </c>
      <c r="B1722" s="0" t="n">
        <v>2020</v>
      </c>
      <c r="C1722" s="0" t="s">
        <v>73</v>
      </c>
      <c r="D1722" s="0" t="n">
        <v>0</v>
      </c>
      <c r="E1722" s="0" t="s">
        <v>7275</v>
      </c>
      <c r="F1722" s="0" t="s">
        <v>7285</v>
      </c>
      <c r="G1722" s="0" t="s">
        <v>7267</v>
      </c>
    </row>
    <row r="1723" customFormat="false" ht="15" hidden="false" customHeight="false" outlineLevel="0" collapsed="false">
      <c r="A1723" s="0" t="s">
        <v>2440</v>
      </c>
      <c r="B1723" s="0" t="n">
        <v>2020</v>
      </c>
      <c r="C1723" s="0" t="s">
        <v>1804</v>
      </c>
      <c r="D1723" s="0" t="s">
        <v>7273</v>
      </c>
      <c r="E1723" s="0" t="s">
        <v>7275</v>
      </c>
      <c r="F1723" s="0" t="s">
        <v>7285</v>
      </c>
      <c r="G1723" s="0" t="s">
        <v>7267</v>
      </c>
    </row>
    <row r="1724" customFormat="false" ht="15" hidden="false" customHeight="false" outlineLevel="0" collapsed="false">
      <c r="A1724" s="0" t="s">
        <v>2440</v>
      </c>
      <c r="B1724" s="0" t="n">
        <v>2021</v>
      </c>
      <c r="C1724" s="0" t="s">
        <v>54</v>
      </c>
      <c r="D1724" s="0" t="n">
        <v>16176</v>
      </c>
      <c r="E1724" s="0" t="s">
        <v>7275</v>
      </c>
      <c r="F1724" s="0" t="s">
        <v>7285</v>
      </c>
      <c r="G1724" s="0" t="s">
        <v>7267</v>
      </c>
    </row>
    <row r="1725" customFormat="false" ht="15" hidden="false" customHeight="false" outlineLevel="0" collapsed="false">
      <c r="A1725" s="0" t="s">
        <v>2440</v>
      </c>
      <c r="B1725" s="0" t="n">
        <v>2021</v>
      </c>
      <c r="C1725" s="0" t="s">
        <v>1327</v>
      </c>
      <c r="D1725" s="0" t="n">
        <v>183785</v>
      </c>
      <c r="E1725" s="0" t="s">
        <v>7275</v>
      </c>
      <c r="F1725" s="0" t="s">
        <v>7285</v>
      </c>
      <c r="G1725" s="0" t="s">
        <v>7267</v>
      </c>
    </row>
    <row r="1726" customFormat="false" ht="15" hidden="false" customHeight="false" outlineLevel="0" collapsed="false">
      <c r="A1726" s="0" t="s">
        <v>2440</v>
      </c>
      <c r="B1726" s="0" t="n">
        <v>2021</v>
      </c>
      <c r="C1726" s="0" t="s">
        <v>55</v>
      </c>
      <c r="D1726" s="0" t="n">
        <v>2434973</v>
      </c>
      <c r="E1726" s="0" t="s">
        <v>7275</v>
      </c>
      <c r="F1726" s="0" t="s">
        <v>7285</v>
      </c>
      <c r="G1726" s="0" t="s">
        <v>7267</v>
      </c>
    </row>
    <row r="1727" customFormat="false" ht="15" hidden="false" customHeight="false" outlineLevel="0" collapsed="false">
      <c r="A1727" s="0" t="s">
        <v>2440</v>
      </c>
      <c r="B1727" s="0" t="n">
        <v>2021</v>
      </c>
      <c r="C1727" s="0" t="s">
        <v>60</v>
      </c>
      <c r="D1727" s="0" t="n">
        <v>1039831</v>
      </c>
      <c r="E1727" s="0" t="s">
        <v>7275</v>
      </c>
      <c r="F1727" s="0" t="s">
        <v>7285</v>
      </c>
      <c r="G1727" s="0" t="s">
        <v>7267</v>
      </c>
    </row>
    <row r="1728" customFormat="false" ht="15" hidden="false" customHeight="false" outlineLevel="0" collapsed="false">
      <c r="A1728" s="0" t="s">
        <v>2440</v>
      </c>
      <c r="B1728" s="0" t="n">
        <v>2021</v>
      </c>
      <c r="C1728" s="0" t="s">
        <v>61</v>
      </c>
      <c r="D1728" s="0" t="n">
        <v>77924</v>
      </c>
      <c r="E1728" s="0" t="s">
        <v>7275</v>
      </c>
      <c r="F1728" s="0" t="s">
        <v>7285</v>
      </c>
      <c r="G1728" s="0" t="s">
        <v>7267</v>
      </c>
    </row>
    <row r="1729" customFormat="false" ht="15" hidden="false" customHeight="false" outlineLevel="0" collapsed="false">
      <c r="A1729" s="0" t="s">
        <v>2440</v>
      </c>
      <c r="B1729" s="0" t="n">
        <v>2021</v>
      </c>
      <c r="C1729" s="0" t="s">
        <v>63</v>
      </c>
      <c r="D1729" s="0" t="n">
        <v>13870</v>
      </c>
      <c r="E1729" s="0" t="s">
        <v>7275</v>
      </c>
      <c r="F1729" s="0" t="s">
        <v>7285</v>
      </c>
      <c r="G1729" s="0" t="s">
        <v>7267</v>
      </c>
    </row>
    <row r="1730" customFormat="false" ht="15" hidden="false" customHeight="false" outlineLevel="0" collapsed="false">
      <c r="A1730" s="0" t="s">
        <v>2440</v>
      </c>
      <c r="B1730" s="0" t="n">
        <v>2021</v>
      </c>
      <c r="C1730" s="0" t="s">
        <v>327</v>
      </c>
      <c r="D1730" s="0" t="n">
        <v>4.1</v>
      </c>
      <c r="E1730" s="0" t="s">
        <v>7275</v>
      </c>
      <c r="F1730" s="0" t="s">
        <v>7285</v>
      </c>
      <c r="G1730" s="0" t="s">
        <v>7267</v>
      </c>
    </row>
    <row r="1731" customFormat="false" ht="15" hidden="false" customHeight="false" outlineLevel="0" collapsed="false">
      <c r="A1731" s="0" t="s">
        <v>2440</v>
      </c>
      <c r="B1731" s="0" t="n">
        <v>2021</v>
      </c>
      <c r="C1731" s="0" t="s">
        <v>69</v>
      </c>
      <c r="D1731" s="0" t="n">
        <v>14.89</v>
      </c>
      <c r="E1731" s="0" t="s">
        <v>7275</v>
      </c>
      <c r="F1731" s="0" t="s">
        <v>7285</v>
      </c>
      <c r="G1731" s="0" t="s">
        <v>7267</v>
      </c>
    </row>
    <row r="1732" customFormat="false" ht="15" hidden="false" customHeight="false" outlineLevel="0" collapsed="false">
      <c r="A1732" s="0" t="s">
        <v>2440</v>
      </c>
      <c r="B1732" s="0" t="n">
        <v>2021</v>
      </c>
      <c r="C1732" s="0" t="s">
        <v>73</v>
      </c>
      <c r="D1732" s="0" t="n">
        <v>0</v>
      </c>
      <c r="E1732" s="0" t="s">
        <v>7275</v>
      </c>
      <c r="F1732" s="0" t="s">
        <v>7285</v>
      </c>
      <c r="G1732" s="0" t="s">
        <v>7267</v>
      </c>
    </row>
    <row r="1733" customFormat="false" ht="15" hidden="false" customHeight="false" outlineLevel="0" collapsed="false">
      <c r="A1733" s="0" t="s">
        <v>2440</v>
      </c>
      <c r="B1733" s="0" t="n">
        <v>2021</v>
      </c>
      <c r="C1733" s="0" t="s">
        <v>1804</v>
      </c>
      <c r="D1733" s="0" t="s">
        <v>7273</v>
      </c>
      <c r="E1733" s="0" t="s">
        <v>7275</v>
      </c>
      <c r="F1733" s="0" t="s">
        <v>7285</v>
      </c>
      <c r="G1733" s="0" t="s">
        <v>7267</v>
      </c>
    </row>
    <row r="1734" customFormat="false" ht="15" hidden="false" customHeight="false" outlineLevel="0" collapsed="false">
      <c r="A1734" s="0" t="s">
        <v>2440</v>
      </c>
      <c r="B1734" s="0" t="n">
        <v>2022</v>
      </c>
      <c r="C1734" s="0" t="s">
        <v>54</v>
      </c>
      <c r="D1734" s="0" t="n">
        <v>24557</v>
      </c>
      <c r="E1734" s="0" t="s">
        <v>7275</v>
      </c>
      <c r="F1734" s="0" t="s">
        <v>7285</v>
      </c>
      <c r="G1734" s="0" t="s">
        <v>7267</v>
      </c>
    </row>
    <row r="1735" customFormat="false" ht="15" hidden="false" customHeight="false" outlineLevel="0" collapsed="false">
      <c r="A1735" s="0" t="s">
        <v>2440</v>
      </c>
      <c r="B1735" s="0" t="n">
        <v>2022</v>
      </c>
      <c r="C1735" s="0" t="s">
        <v>1327</v>
      </c>
      <c r="D1735" s="0" t="n">
        <v>246936</v>
      </c>
      <c r="E1735" s="0" t="s">
        <v>7275</v>
      </c>
      <c r="F1735" s="0" t="s">
        <v>7285</v>
      </c>
      <c r="G1735" s="0" t="s">
        <v>7267</v>
      </c>
    </row>
    <row r="1736" customFormat="false" ht="15" hidden="false" customHeight="false" outlineLevel="0" collapsed="false">
      <c r="A1736" s="0" t="s">
        <v>2440</v>
      </c>
      <c r="B1736" s="0" t="n">
        <v>2022</v>
      </c>
      <c r="C1736" s="0" t="s">
        <v>55</v>
      </c>
      <c r="D1736" s="0" t="n">
        <v>2907400</v>
      </c>
      <c r="E1736" s="0" t="s">
        <v>7275</v>
      </c>
      <c r="F1736" s="0" t="s">
        <v>7285</v>
      </c>
      <c r="G1736" s="0" t="s">
        <v>7267</v>
      </c>
    </row>
    <row r="1737" customFormat="false" ht="15" hidden="false" customHeight="false" outlineLevel="0" collapsed="false">
      <c r="A1737" s="0" t="s">
        <v>2440</v>
      </c>
      <c r="B1737" s="0" t="n">
        <v>2022</v>
      </c>
      <c r="C1737" s="0" t="s">
        <v>60</v>
      </c>
      <c r="D1737" s="0" t="n">
        <v>1166622</v>
      </c>
      <c r="E1737" s="0" t="s">
        <v>7275</v>
      </c>
      <c r="F1737" s="0" t="s">
        <v>7285</v>
      </c>
      <c r="G1737" s="0" t="s">
        <v>7267</v>
      </c>
    </row>
    <row r="1738" customFormat="false" ht="15" hidden="false" customHeight="false" outlineLevel="0" collapsed="false">
      <c r="A1738" s="0" t="s">
        <v>2440</v>
      </c>
      <c r="B1738" s="0" t="n">
        <v>2022</v>
      </c>
      <c r="C1738" s="0" t="s">
        <v>61</v>
      </c>
      <c r="D1738" s="0" t="n">
        <v>86459</v>
      </c>
      <c r="E1738" s="0" t="s">
        <v>7275</v>
      </c>
      <c r="F1738" s="0" t="s">
        <v>7285</v>
      </c>
      <c r="G1738" s="0" t="s">
        <v>7267</v>
      </c>
    </row>
    <row r="1739" customFormat="false" ht="15" hidden="false" customHeight="false" outlineLevel="0" collapsed="false">
      <c r="A1739" s="0" t="s">
        <v>2440</v>
      </c>
      <c r="B1739" s="0" t="n">
        <v>2022</v>
      </c>
      <c r="C1739" s="0" t="s">
        <v>63</v>
      </c>
      <c r="D1739" s="0" t="n">
        <v>23862</v>
      </c>
      <c r="E1739" s="0" t="s">
        <v>7275</v>
      </c>
      <c r="F1739" s="0" t="s">
        <v>7285</v>
      </c>
      <c r="G1739" s="0" t="s">
        <v>7267</v>
      </c>
    </row>
    <row r="1740" customFormat="false" ht="15" hidden="false" customHeight="false" outlineLevel="0" collapsed="false">
      <c r="A1740" s="0" t="s">
        <v>2440</v>
      </c>
      <c r="B1740" s="0" t="n">
        <v>2022</v>
      </c>
      <c r="C1740" s="0" t="s">
        <v>327</v>
      </c>
      <c r="D1740" s="0" t="n">
        <v>6.6</v>
      </c>
      <c r="E1740" s="0" t="s">
        <v>7275</v>
      </c>
      <c r="F1740" s="0" t="s">
        <v>7285</v>
      </c>
      <c r="G1740" s="0" t="s">
        <v>7267</v>
      </c>
    </row>
    <row r="1741" customFormat="false" ht="15" hidden="false" customHeight="false" outlineLevel="0" collapsed="false">
      <c r="A1741" s="0" t="s">
        <v>2440</v>
      </c>
      <c r="B1741" s="0" t="n">
        <v>2022</v>
      </c>
      <c r="C1741" s="0" t="s">
        <v>69</v>
      </c>
      <c r="D1741" s="0" t="n">
        <v>16.03</v>
      </c>
      <c r="E1741" s="0" t="s">
        <v>7275</v>
      </c>
      <c r="F1741" s="0" t="s">
        <v>7285</v>
      </c>
      <c r="G1741" s="0" t="s">
        <v>7267</v>
      </c>
    </row>
    <row r="1742" customFormat="false" ht="15" hidden="false" customHeight="false" outlineLevel="0" collapsed="false">
      <c r="A1742" s="0" t="s">
        <v>2440</v>
      </c>
      <c r="B1742" s="0" t="n">
        <v>2022</v>
      </c>
      <c r="C1742" s="0" t="s">
        <v>73</v>
      </c>
      <c r="D1742" s="0" t="n">
        <v>0</v>
      </c>
      <c r="E1742" s="0" t="s">
        <v>7275</v>
      </c>
      <c r="F1742" s="0" t="s">
        <v>7285</v>
      </c>
      <c r="G1742" s="0" t="s">
        <v>7267</v>
      </c>
    </row>
    <row r="1743" customFormat="false" ht="15" hidden="false" customHeight="false" outlineLevel="0" collapsed="false">
      <c r="A1743" s="0" t="s">
        <v>2440</v>
      </c>
      <c r="B1743" s="0" t="n">
        <v>2022</v>
      </c>
      <c r="C1743" s="0" t="s">
        <v>1804</v>
      </c>
      <c r="D1743" s="0" t="s">
        <v>7273</v>
      </c>
      <c r="E1743" s="0" t="s">
        <v>7275</v>
      </c>
      <c r="F1743" s="0" t="s">
        <v>7285</v>
      </c>
      <c r="G1743" s="0" t="s">
        <v>7267</v>
      </c>
    </row>
    <row r="1744" customFormat="false" ht="15" hidden="false" customHeight="false" outlineLevel="0" collapsed="false">
      <c r="A1744" s="0" t="s">
        <v>100</v>
      </c>
      <c r="B1744" s="0" t="n">
        <v>2015</v>
      </c>
      <c r="C1744" s="0" t="s">
        <v>54</v>
      </c>
      <c r="D1744" s="0" t="n">
        <v>5756</v>
      </c>
      <c r="E1744" s="0" t="s">
        <v>7275</v>
      </c>
      <c r="F1744" s="0" t="s">
        <v>7286</v>
      </c>
      <c r="G1744" s="0" t="s">
        <v>7267</v>
      </c>
    </row>
    <row r="1745" customFormat="false" ht="15" hidden="false" customHeight="false" outlineLevel="0" collapsed="false">
      <c r="A1745" s="0" t="s">
        <v>100</v>
      </c>
      <c r="B1745" s="0" t="n">
        <v>2015</v>
      </c>
      <c r="C1745" s="0" t="s">
        <v>1327</v>
      </c>
      <c r="D1745" s="0" t="n">
        <v>204210</v>
      </c>
      <c r="E1745" s="0" t="s">
        <v>7275</v>
      </c>
      <c r="F1745" s="0" t="s">
        <v>7286</v>
      </c>
      <c r="G1745" s="0" t="s">
        <v>7267</v>
      </c>
    </row>
    <row r="1746" customFormat="false" ht="15" hidden="false" customHeight="false" outlineLevel="0" collapsed="false">
      <c r="A1746" s="0" t="s">
        <v>100</v>
      </c>
      <c r="B1746" s="0" t="n">
        <v>2015</v>
      </c>
      <c r="C1746" s="0" t="s">
        <v>55</v>
      </c>
      <c r="D1746" s="0" t="n">
        <v>1160000</v>
      </c>
      <c r="E1746" s="0" t="s">
        <v>7275</v>
      </c>
      <c r="F1746" s="0" t="s">
        <v>7286</v>
      </c>
      <c r="G1746" s="0" t="s">
        <v>7267</v>
      </c>
    </row>
    <row r="1747" customFormat="false" ht="15" hidden="false" customHeight="false" outlineLevel="0" collapsed="false">
      <c r="A1747" s="0" t="s">
        <v>100</v>
      </c>
      <c r="B1747" s="0" t="n">
        <v>2015</v>
      </c>
      <c r="C1747" s="0" t="s">
        <v>60</v>
      </c>
      <c r="D1747" s="0" t="n">
        <v>730419</v>
      </c>
      <c r="E1747" s="0" t="s">
        <v>7275</v>
      </c>
      <c r="F1747" s="0" t="s">
        <v>7286</v>
      </c>
      <c r="G1747" s="0" t="s">
        <v>7267</v>
      </c>
    </row>
    <row r="1748" customFormat="false" ht="15" hidden="false" customHeight="false" outlineLevel="0" collapsed="false">
      <c r="A1748" s="0" t="s">
        <v>100</v>
      </c>
      <c r="B1748" s="0" t="n">
        <v>2015</v>
      </c>
      <c r="C1748" s="0" t="s">
        <v>61</v>
      </c>
      <c r="D1748" s="0" t="n">
        <v>38910</v>
      </c>
      <c r="E1748" s="0" t="s">
        <v>7275</v>
      </c>
      <c r="F1748" s="0" t="s">
        <v>7286</v>
      </c>
      <c r="G1748" s="0" t="s">
        <v>7267</v>
      </c>
    </row>
    <row r="1749" customFormat="false" ht="15" hidden="false" customHeight="false" outlineLevel="0" collapsed="false">
      <c r="A1749" s="0" t="s">
        <v>100</v>
      </c>
      <c r="B1749" s="0" t="n">
        <v>2015</v>
      </c>
      <c r="C1749" s="0" t="s">
        <v>63</v>
      </c>
      <c r="D1749" s="0" t="n">
        <v>45210</v>
      </c>
      <c r="E1749" s="0" t="s">
        <v>7275</v>
      </c>
      <c r="F1749" s="0" t="s">
        <v>7286</v>
      </c>
      <c r="G1749" s="0" t="s">
        <v>7267</v>
      </c>
    </row>
    <row r="1750" customFormat="false" ht="15" hidden="false" customHeight="false" outlineLevel="0" collapsed="false">
      <c r="A1750" s="0" t="s">
        <v>100</v>
      </c>
      <c r="B1750" s="0" t="n">
        <v>2015</v>
      </c>
      <c r="C1750" s="0" t="s">
        <v>327</v>
      </c>
      <c r="D1750" s="0" t="n">
        <v>8.2</v>
      </c>
      <c r="E1750" s="0" t="s">
        <v>7275</v>
      </c>
      <c r="F1750" s="0" t="s">
        <v>7286</v>
      </c>
      <c r="G1750" s="0" t="s">
        <v>7267</v>
      </c>
    </row>
    <row r="1751" customFormat="false" ht="15" hidden="false" customHeight="false" outlineLevel="0" collapsed="false">
      <c r="A1751" s="0" t="s">
        <v>100</v>
      </c>
      <c r="B1751" s="0" t="n">
        <v>2015</v>
      </c>
      <c r="C1751" s="0" t="s">
        <v>69</v>
      </c>
      <c r="D1751" s="0" t="n">
        <v>15</v>
      </c>
      <c r="E1751" s="0" t="s">
        <v>7275</v>
      </c>
      <c r="F1751" s="0" t="s">
        <v>7286</v>
      </c>
      <c r="G1751" s="0" t="s">
        <v>7267</v>
      </c>
    </row>
    <row r="1752" customFormat="false" ht="15" hidden="false" customHeight="false" outlineLevel="0" collapsed="false">
      <c r="A1752" s="0" t="s">
        <v>100</v>
      </c>
      <c r="B1752" s="0" t="n">
        <v>2015</v>
      </c>
      <c r="C1752" s="0" t="s">
        <v>73</v>
      </c>
      <c r="D1752" s="0" t="n">
        <v>0</v>
      </c>
      <c r="E1752" s="0" t="s">
        <v>7275</v>
      </c>
      <c r="F1752" s="0" t="s">
        <v>7286</v>
      </c>
      <c r="G1752" s="0" t="s">
        <v>7267</v>
      </c>
    </row>
    <row r="1753" customFormat="false" ht="15" hidden="false" customHeight="false" outlineLevel="0" collapsed="false">
      <c r="A1753" s="0" t="s">
        <v>100</v>
      </c>
      <c r="B1753" s="0" t="n">
        <v>2015</v>
      </c>
      <c r="C1753" s="0" t="s">
        <v>1804</v>
      </c>
      <c r="D1753" s="0" t="s">
        <v>7273</v>
      </c>
      <c r="E1753" s="0" t="s">
        <v>7275</v>
      </c>
      <c r="F1753" s="0" t="s">
        <v>7286</v>
      </c>
      <c r="G1753" s="0" t="s">
        <v>7267</v>
      </c>
    </row>
    <row r="1754" customFormat="false" ht="15" hidden="false" customHeight="false" outlineLevel="0" collapsed="false">
      <c r="A1754" s="0" t="s">
        <v>100</v>
      </c>
      <c r="B1754" s="0" t="n">
        <v>2016</v>
      </c>
      <c r="C1754" s="0" t="s">
        <v>54</v>
      </c>
      <c r="D1754" s="0" t="n">
        <v>5780</v>
      </c>
      <c r="E1754" s="0" t="s">
        <v>7275</v>
      </c>
      <c r="F1754" s="0" t="s">
        <v>7286</v>
      </c>
      <c r="G1754" s="0" t="s">
        <v>7267</v>
      </c>
    </row>
    <row r="1755" customFormat="false" ht="15" hidden="false" customHeight="false" outlineLevel="0" collapsed="false">
      <c r="A1755" s="0" t="s">
        <v>100</v>
      </c>
      <c r="B1755" s="0" t="n">
        <v>2016</v>
      </c>
      <c r="C1755" s="0" t="s">
        <v>1327</v>
      </c>
      <c r="D1755" s="0" t="n">
        <v>259584</v>
      </c>
      <c r="E1755" s="0" t="s">
        <v>7275</v>
      </c>
      <c r="F1755" s="0" t="s">
        <v>7286</v>
      </c>
      <c r="G1755" s="0" t="s">
        <v>7267</v>
      </c>
    </row>
    <row r="1756" customFormat="false" ht="15" hidden="false" customHeight="false" outlineLevel="0" collapsed="false">
      <c r="A1756" s="0" t="s">
        <v>100</v>
      </c>
      <c r="B1756" s="0" t="n">
        <v>2016</v>
      </c>
      <c r="C1756" s="0" t="s">
        <v>55</v>
      </c>
      <c r="D1756" s="0" t="n">
        <v>1808503</v>
      </c>
      <c r="E1756" s="0" t="s">
        <v>7275</v>
      </c>
      <c r="F1756" s="0" t="s">
        <v>7286</v>
      </c>
      <c r="G1756" s="0" t="s">
        <v>7267</v>
      </c>
    </row>
    <row r="1757" customFormat="false" ht="15" hidden="false" customHeight="false" outlineLevel="0" collapsed="false">
      <c r="A1757" s="0" t="s">
        <v>100</v>
      </c>
      <c r="B1757" s="0" t="n">
        <v>2016</v>
      </c>
      <c r="C1757" s="0" t="s">
        <v>60</v>
      </c>
      <c r="D1757" s="0" t="n">
        <v>869872</v>
      </c>
      <c r="E1757" s="0" t="s">
        <v>7275</v>
      </c>
      <c r="F1757" s="0" t="s">
        <v>7286</v>
      </c>
      <c r="G1757" s="0" t="s">
        <v>7267</v>
      </c>
    </row>
    <row r="1758" customFormat="false" ht="15" hidden="false" customHeight="false" outlineLevel="0" collapsed="false">
      <c r="A1758" s="0" t="s">
        <v>100</v>
      </c>
      <c r="B1758" s="0" t="n">
        <v>2016</v>
      </c>
      <c r="C1758" s="0" t="s">
        <v>61</v>
      </c>
      <c r="D1758" s="0" t="n">
        <v>116480</v>
      </c>
      <c r="E1758" s="0" t="s">
        <v>7275</v>
      </c>
      <c r="F1758" s="0" t="s">
        <v>7286</v>
      </c>
      <c r="G1758" s="0" t="s">
        <v>7267</v>
      </c>
    </row>
    <row r="1759" customFormat="false" ht="15" hidden="false" customHeight="false" outlineLevel="0" collapsed="false">
      <c r="A1759" s="0" t="s">
        <v>100</v>
      </c>
      <c r="B1759" s="0" t="n">
        <v>2016</v>
      </c>
      <c r="C1759" s="0" t="s">
        <v>63</v>
      </c>
      <c r="D1759" s="0" t="n">
        <v>82783</v>
      </c>
      <c r="E1759" s="0" t="s">
        <v>7275</v>
      </c>
      <c r="F1759" s="0" t="s">
        <v>7286</v>
      </c>
      <c r="G1759" s="0" t="s">
        <v>7267</v>
      </c>
    </row>
    <row r="1760" customFormat="false" ht="15" hidden="false" customHeight="false" outlineLevel="0" collapsed="false">
      <c r="A1760" s="0" t="s">
        <v>100</v>
      </c>
      <c r="B1760" s="0" t="n">
        <v>2016</v>
      </c>
      <c r="C1760" s="0" t="s">
        <v>327</v>
      </c>
      <c r="D1760" s="0" t="n">
        <v>9.1</v>
      </c>
      <c r="E1760" s="0" t="s">
        <v>7275</v>
      </c>
      <c r="F1760" s="0" t="s">
        <v>7286</v>
      </c>
      <c r="G1760" s="0" t="s">
        <v>7267</v>
      </c>
    </row>
    <row r="1761" customFormat="false" ht="15" hidden="false" customHeight="false" outlineLevel="0" collapsed="false">
      <c r="A1761" s="0" t="s">
        <v>100</v>
      </c>
      <c r="B1761" s="0" t="n">
        <v>2016</v>
      </c>
      <c r="C1761" s="0" t="s">
        <v>69</v>
      </c>
      <c r="D1761" s="0" t="n">
        <v>15</v>
      </c>
      <c r="E1761" s="0" t="s">
        <v>7275</v>
      </c>
      <c r="F1761" s="0" t="s">
        <v>7286</v>
      </c>
      <c r="G1761" s="0" t="s">
        <v>7267</v>
      </c>
    </row>
    <row r="1762" customFormat="false" ht="15" hidden="false" customHeight="false" outlineLevel="0" collapsed="false">
      <c r="A1762" s="0" t="s">
        <v>100</v>
      </c>
      <c r="B1762" s="0" t="n">
        <v>2016</v>
      </c>
      <c r="C1762" s="0" t="s">
        <v>73</v>
      </c>
      <c r="D1762" s="0" t="n">
        <v>0</v>
      </c>
      <c r="E1762" s="0" t="s">
        <v>7275</v>
      </c>
      <c r="F1762" s="0" t="s">
        <v>7286</v>
      </c>
      <c r="G1762" s="0" t="s">
        <v>7267</v>
      </c>
    </row>
    <row r="1763" customFormat="false" ht="15" hidden="false" customHeight="false" outlineLevel="0" collapsed="false">
      <c r="A1763" s="0" t="s">
        <v>100</v>
      </c>
      <c r="B1763" s="0" t="n">
        <v>2016</v>
      </c>
      <c r="C1763" s="0" t="s">
        <v>1804</v>
      </c>
      <c r="D1763" s="0" t="s">
        <v>7273</v>
      </c>
      <c r="E1763" s="0" t="s">
        <v>7275</v>
      </c>
      <c r="F1763" s="0" t="s">
        <v>7286</v>
      </c>
      <c r="G1763" s="0" t="s">
        <v>7267</v>
      </c>
    </row>
    <row r="1764" customFormat="false" ht="15" hidden="false" customHeight="false" outlineLevel="0" collapsed="false">
      <c r="A1764" s="0" t="s">
        <v>100</v>
      </c>
      <c r="B1764" s="0" t="n">
        <v>2017</v>
      </c>
      <c r="C1764" s="0" t="s">
        <v>54</v>
      </c>
      <c r="D1764" s="0" t="n">
        <v>20204</v>
      </c>
      <c r="E1764" s="0" t="s">
        <v>7275</v>
      </c>
      <c r="F1764" s="0" t="s">
        <v>7286</v>
      </c>
      <c r="G1764" s="0" t="s">
        <v>7267</v>
      </c>
    </row>
    <row r="1765" customFormat="false" ht="15" hidden="false" customHeight="false" outlineLevel="0" collapsed="false">
      <c r="A1765" s="0" t="s">
        <v>100</v>
      </c>
      <c r="B1765" s="0" t="n">
        <v>2017</v>
      </c>
      <c r="C1765" s="0" t="s">
        <v>1327</v>
      </c>
      <c r="D1765" s="0" t="n">
        <v>251061</v>
      </c>
      <c r="E1765" s="0" t="s">
        <v>7275</v>
      </c>
      <c r="F1765" s="0" t="s">
        <v>7286</v>
      </c>
      <c r="G1765" s="0" t="s">
        <v>7267</v>
      </c>
    </row>
    <row r="1766" customFormat="false" ht="15" hidden="false" customHeight="false" outlineLevel="0" collapsed="false">
      <c r="A1766" s="0" t="s">
        <v>100</v>
      </c>
      <c r="B1766" s="0" t="n">
        <v>2017</v>
      </c>
      <c r="C1766" s="0" t="s">
        <v>55</v>
      </c>
      <c r="D1766" s="0" t="n">
        <v>1829761</v>
      </c>
      <c r="E1766" s="0" t="s">
        <v>7275</v>
      </c>
      <c r="F1766" s="0" t="s">
        <v>7286</v>
      </c>
      <c r="G1766" s="0" t="s">
        <v>7267</v>
      </c>
    </row>
    <row r="1767" customFormat="false" ht="15" hidden="false" customHeight="false" outlineLevel="0" collapsed="false">
      <c r="A1767" s="0" t="s">
        <v>100</v>
      </c>
      <c r="B1767" s="0" t="n">
        <v>2017</v>
      </c>
      <c r="C1767" s="0" t="s">
        <v>60</v>
      </c>
      <c r="D1767" s="0" t="n">
        <v>831573</v>
      </c>
      <c r="E1767" s="0" t="s">
        <v>7275</v>
      </c>
      <c r="F1767" s="0" t="s">
        <v>7286</v>
      </c>
      <c r="G1767" s="0" t="s">
        <v>7267</v>
      </c>
    </row>
    <row r="1768" customFormat="false" ht="15" hidden="false" customHeight="false" outlineLevel="0" collapsed="false">
      <c r="A1768" s="0" t="s">
        <v>100</v>
      </c>
      <c r="B1768" s="0" t="n">
        <v>2017</v>
      </c>
      <c r="C1768" s="0" t="s">
        <v>61</v>
      </c>
      <c r="D1768" s="0" t="n">
        <v>120510</v>
      </c>
      <c r="E1768" s="0" t="s">
        <v>7275</v>
      </c>
      <c r="F1768" s="0" t="s">
        <v>7286</v>
      </c>
      <c r="G1768" s="0" t="s">
        <v>7267</v>
      </c>
    </row>
    <row r="1769" customFormat="false" ht="15" hidden="false" customHeight="false" outlineLevel="0" collapsed="false">
      <c r="A1769" s="0" t="s">
        <v>100</v>
      </c>
      <c r="B1769" s="0" t="n">
        <v>2017</v>
      </c>
      <c r="C1769" s="0" t="s">
        <v>63</v>
      </c>
      <c r="D1769" s="0" t="n">
        <v>59901</v>
      </c>
      <c r="E1769" s="0" t="s">
        <v>7275</v>
      </c>
      <c r="F1769" s="0" t="s">
        <v>7286</v>
      </c>
      <c r="G1769" s="0" t="s">
        <v>7267</v>
      </c>
    </row>
    <row r="1770" customFormat="false" ht="15" hidden="false" customHeight="false" outlineLevel="0" collapsed="false">
      <c r="A1770" s="0" t="s">
        <v>100</v>
      </c>
      <c r="B1770" s="0" t="n">
        <v>2017</v>
      </c>
      <c r="C1770" s="0" t="s">
        <v>327</v>
      </c>
      <c r="D1770" s="0" t="n">
        <v>14.5</v>
      </c>
      <c r="E1770" s="0" t="s">
        <v>7275</v>
      </c>
      <c r="F1770" s="0" t="s">
        <v>7286</v>
      </c>
      <c r="G1770" s="0" t="s">
        <v>7267</v>
      </c>
    </row>
    <row r="1771" customFormat="false" ht="15" hidden="false" customHeight="false" outlineLevel="0" collapsed="false">
      <c r="A1771" s="0" t="s">
        <v>100</v>
      </c>
      <c r="B1771" s="0" t="n">
        <v>2017</v>
      </c>
      <c r="C1771" s="0" t="s">
        <v>69</v>
      </c>
      <c r="D1771" s="0" t="n">
        <v>13.6</v>
      </c>
      <c r="E1771" s="0" t="s">
        <v>7275</v>
      </c>
      <c r="F1771" s="0" t="s">
        <v>7286</v>
      </c>
      <c r="G1771" s="0" t="s">
        <v>7267</v>
      </c>
    </row>
    <row r="1772" customFormat="false" ht="15" hidden="false" customHeight="false" outlineLevel="0" collapsed="false">
      <c r="A1772" s="0" t="s">
        <v>100</v>
      </c>
      <c r="B1772" s="0" t="n">
        <v>2017</v>
      </c>
      <c r="C1772" s="0" t="s">
        <v>73</v>
      </c>
      <c r="D1772" s="0" t="n">
        <v>0</v>
      </c>
      <c r="E1772" s="0" t="s">
        <v>7275</v>
      </c>
      <c r="F1772" s="0" t="s">
        <v>7286</v>
      </c>
      <c r="G1772" s="0" t="s">
        <v>7267</v>
      </c>
    </row>
    <row r="1773" customFormat="false" ht="15" hidden="false" customHeight="false" outlineLevel="0" collapsed="false">
      <c r="A1773" s="0" t="s">
        <v>100</v>
      </c>
      <c r="B1773" s="0" t="n">
        <v>2017</v>
      </c>
      <c r="C1773" s="0" t="s">
        <v>1804</v>
      </c>
      <c r="D1773" s="0" t="s">
        <v>7273</v>
      </c>
      <c r="E1773" s="0" t="s">
        <v>7275</v>
      </c>
      <c r="F1773" s="0" t="s">
        <v>7286</v>
      </c>
      <c r="G1773" s="0" t="s">
        <v>7267</v>
      </c>
    </row>
    <row r="1774" customFormat="false" ht="15" hidden="false" customHeight="false" outlineLevel="0" collapsed="false">
      <c r="A1774" s="0" t="s">
        <v>100</v>
      </c>
      <c r="B1774" s="0" t="n">
        <v>2018</v>
      </c>
      <c r="C1774" s="0" t="s">
        <v>54</v>
      </c>
      <c r="D1774" s="0" t="n">
        <v>27540</v>
      </c>
      <c r="E1774" s="0" t="s">
        <v>7275</v>
      </c>
      <c r="F1774" s="0" t="s">
        <v>7286</v>
      </c>
      <c r="G1774" s="0" t="s">
        <v>7267</v>
      </c>
    </row>
    <row r="1775" customFormat="false" ht="15" hidden="false" customHeight="false" outlineLevel="0" collapsed="false">
      <c r="A1775" s="0" t="s">
        <v>100</v>
      </c>
      <c r="B1775" s="0" t="n">
        <v>2018</v>
      </c>
      <c r="C1775" s="0" t="s">
        <v>1327</v>
      </c>
      <c r="D1775" s="0" t="n">
        <v>179820</v>
      </c>
      <c r="E1775" s="0" t="s">
        <v>7275</v>
      </c>
      <c r="F1775" s="0" t="s">
        <v>7286</v>
      </c>
      <c r="G1775" s="0" t="s">
        <v>7267</v>
      </c>
    </row>
    <row r="1776" customFormat="false" ht="15" hidden="false" customHeight="false" outlineLevel="0" collapsed="false">
      <c r="A1776" s="0" t="s">
        <v>100</v>
      </c>
      <c r="B1776" s="0" t="n">
        <v>2018</v>
      </c>
      <c r="C1776" s="0" t="s">
        <v>55</v>
      </c>
      <c r="D1776" s="0" t="n">
        <v>1661886</v>
      </c>
      <c r="E1776" s="0" t="s">
        <v>7275</v>
      </c>
      <c r="F1776" s="0" t="s">
        <v>7286</v>
      </c>
      <c r="G1776" s="0" t="s">
        <v>7267</v>
      </c>
    </row>
    <row r="1777" customFormat="false" ht="15" hidden="false" customHeight="false" outlineLevel="0" collapsed="false">
      <c r="A1777" s="0" t="s">
        <v>100</v>
      </c>
      <c r="B1777" s="0" t="n">
        <v>2018</v>
      </c>
      <c r="C1777" s="0" t="s">
        <v>60</v>
      </c>
      <c r="D1777" s="0" t="n">
        <v>691500</v>
      </c>
      <c r="E1777" s="0" t="s">
        <v>7275</v>
      </c>
      <c r="F1777" s="0" t="s">
        <v>7286</v>
      </c>
      <c r="G1777" s="0" t="s">
        <v>7267</v>
      </c>
    </row>
    <row r="1778" customFormat="false" ht="15" hidden="false" customHeight="false" outlineLevel="0" collapsed="false">
      <c r="A1778" s="0" t="s">
        <v>100</v>
      </c>
      <c r="B1778" s="0" t="n">
        <v>2018</v>
      </c>
      <c r="C1778" s="0" t="s">
        <v>61</v>
      </c>
      <c r="D1778" s="0" t="n">
        <v>102300</v>
      </c>
      <c r="E1778" s="0" t="s">
        <v>7275</v>
      </c>
      <c r="F1778" s="0" t="s">
        <v>7286</v>
      </c>
      <c r="G1778" s="0" t="s">
        <v>7267</v>
      </c>
    </row>
    <row r="1779" customFormat="false" ht="15" hidden="false" customHeight="false" outlineLevel="0" collapsed="false">
      <c r="A1779" s="0" t="s">
        <v>100</v>
      </c>
      <c r="B1779" s="0" t="n">
        <v>2018</v>
      </c>
      <c r="C1779" s="0" t="s">
        <v>63</v>
      </c>
      <c r="D1779" s="0" t="n">
        <v>24510</v>
      </c>
      <c r="E1779" s="0" t="s">
        <v>7275</v>
      </c>
      <c r="F1779" s="0" t="s">
        <v>7286</v>
      </c>
      <c r="G1779" s="0" t="s">
        <v>7267</v>
      </c>
    </row>
    <row r="1780" customFormat="false" ht="15" hidden="false" customHeight="false" outlineLevel="0" collapsed="false">
      <c r="A1780" s="0" t="s">
        <v>100</v>
      </c>
      <c r="B1780" s="0" t="n">
        <v>2018</v>
      </c>
      <c r="C1780" s="0" t="s">
        <v>327</v>
      </c>
      <c r="D1780" s="0" t="n">
        <v>13.7</v>
      </c>
      <c r="E1780" s="0" t="s">
        <v>7275</v>
      </c>
      <c r="F1780" s="0" t="s">
        <v>7286</v>
      </c>
      <c r="G1780" s="0" t="s">
        <v>7267</v>
      </c>
    </row>
    <row r="1781" customFormat="false" ht="15" hidden="false" customHeight="false" outlineLevel="0" collapsed="false">
      <c r="A1781" s="0" t="s">
        <v>100</v>
      </c>
      <c r="B1781" s="0" t="n">
        <v>2018</v>
      </c>
      <c r="C1781" s="0" t="s">
        <v>69</v>
      </c>
      <c r="D1781" s="0" t="n">
        <v>12.1</v>
      </c>
      <c r="E1781" s="0" t="s">
        <v>7275</v>
      </c>
      <c r="F1781" s="0" t="s">
        <v>7286</v>
      </c>
      <c r="G1781" s="0" t="s">
        <v>7267</v>
      </c>
    </row>
    <row r="1782" customFormat="false" ht="15" hidden="false" customHeight="false" outlineLevel="0" collapsed="false">
      <c r="A1782" s="0" t="s">
        <v>100</v>
      </c>
      <c r="B1782" s="0" t="n">
        <v>2018</v>
      </c>
      <c r="C1782" s="0" t="s">
        <v>73</v>
      </c>
      <c r="D1782" s="0" t="n">
        <v>0</v>
      </c>
      <c r="E1782" s="0" t="s">
        <v>7275</v>
      </c>
      <c r="F1782" s="0" t="s">
        <v>7286</v>
      </c>
      <c r="G1782" s="0" t="s">
        <v>7267</v>
      </c>
    </row>
    <row r="1783" customFormat="false" ht="15" hidden="false" customHeight="false" outlineLevel="0" collapsed="false">
      <c r="A1783" s="0" t="s">
        <v>100</v>
      </c>
      <c r="B1783" s="0" t="n">
        <v>2018</v>
      </c>
      <c r="C1783" s="0" t="s">
        <v>1804</v>
      </c>
      <c r="D1783" s="0" t="s">
        <v>7273</v>
      </c>
      <c r="E1783" s="0" t="s">
        <v>7275</v>
      </c>
      <c r="F1783" s="0" t="s">
        <v>7286</v>
      </c>
      <c r="G1783" s="0" t="s">
        <v>7267</v>
      </c>
    </row>
    <row r="1784" customFormat="false" ht="15" hidden="false" customHeight="false" outlineLevel="0" collapsed="false">
      <c r="A1784" s="0" t="s">
        <v>100</v>
      </c>
      <c r="B1784" s="0" t="n">
        <v>2019</v>
      </c>
      <c r="C1784" s="0" t="s">
        <v>54</v>
      </c>
      <c r="D1784" s="0" t="n">
        <v>32410</v>
      </c>
      <c r="E1784" s="0" t="s">
        <v>7275</v>
      </c>
      <c r="F1784" s="0" t="s">
        <v>7286</v>
      </c>
      <c r="G1784" s="0" t="s">
        <v>7267</v>
      </c>
    </row>
    <row r="1785" customFormat="false" ht="15" hidden="false" customHeight="false" outlineLevel="0" collapsed="false">
      <c r="A1785" s="0" t="s">
        <v>100</v>
      </c>
      <c r="B1785" s="0" t="n">
        <v>2019</v>
      </c>
      <c r="C1785" s="0" t="s">
        <v>1327</v>
      </c>
      <c r="D1785" s="0" t="n">
        <v>161550</v>
      </c>
      <c r="E1785" s="0" t="s">
        <v>7275</v>
      </c>
      <c r="F1785" s="0" t="s">
        <v>7286</v>
      </c>
      <c r="G1785" s="0" t="s">
        <v>7267</v>
      </c>
    </row>
    <row r="1786" customFormat="false" ht="15" hidden="false" customHeight="false" outlineLevel="0" collapsed="false">
      <c r="A1786" s="0" t="s">
        <v>100</v>
      </c>
      <c r="B1786" s="0" t="n">
        <v>2019</v>
      </c>
      <c r="C1786" s="0" t="s">
        <v>55</v>
      </c>
      <c r="D1786" s="0" t="n">
        <v>1832100</v>
      </c>
      <c r="E1786" s="0" t="s">
        <v>7275</v>
      </c>
      <c r="F1786" s="0" t="s">
        <v>7286</v>
      </c>
      <c r="G1786" s="0" t="s">
        <v>7267</v>
      </c>
    </row>
    <row r="1787" customFormat="false" ht="15" hidden="false" customHeight="false" outlineLevel="0" collapsed="false">
      <c r="A1787" s="0" t="s">
        <v>100</v>
      </c>
      <c r="B1787" s="0" t="n">
        <v>2019</v>
      </c>
      <c r="C1787" s="0" t="s">
        <v>60</v>
      </c>
      <c r="D1787" s="0" t="n">
        <v>765400</v>
      </c>
      <c r="E1787" s="0" t="s">
        <v>7275</v>
      </c>
      <c r="F1787" s="0" t="s">
        <v>7286</v>
      </c>
      <c r="G1787" s="0" t="s">
        <v>7267</v>
      </c>
    </row>
    <row r="1788" customFormat="false" ht="15" hidden="false" customHeight="false" outlineLevel="0" collapsed="false">
      <c r="A1788" s="0" t="s">
        <v>100</v>
      </c>
      <c r="B1788" s="0" t="n">
        <v>2019</v>
      </c>
      <c r="C1788" s="0" t="s">
        <v>61</v>
      </c>
      <c r="D1788" s="0" t="n">
        <v>115400</v>
      </c>
      <c r="E1788" s="0" t="s">
        <v>7275</v>
      </c>
      <c r="F1788" s="0" t="s">
        <v>7286</v>
      </c>
      <c r="G1788" s="0" t="s">
        <v>7267</v>
      </c>
    </row>
    <row r="1789" customFormat="false" ht="15" hidden="false" customHeight="false" outlineLevel="0" collapsed="false">
      <c r="A1789" s="0" t="s">
        <v>100</v>
      </c>
      <c r="B1789" s="0" t="n">
        <v>2019</v>
      </c>
      <c r="C1789" s="0" t="s">
        <v>63</v>
      </c>
      <c r="D1789" s="0" t="n">
        <v>14200</v>
      </c>
      <c r="E1789" s="0" t="s">
        <v>7275</v>
      </c>
      <c r="F1789" s="0" t="s">
        <v>7286</v>
      </c>
      <c r="G1789" s="0" t="s">
        <v>7267</v>
      </c>
    </row>
    <row r="1790" customFormat="false" ht="15" hidden="false" customHeight="false" outlineLevel="0" collapsed="false">
      <c r="A1790" s="0" t="s">
        <v>100</v>
      </c>
      <c r="B1790" s="0" t="n">
        <v>2019</v>
      </c>
      <c r="C1790" s="0" t="s">
        <v>327</v>
      </c>
      <c r="D1790" s="0" t="n">
        <v>23.9</v>
      </c>
      <c r="E1790" s="0" t="s">
        <v>7275</v>
      </c>
      <c r="F1790" s="0" t="s">
        <v>7286</v>
      </c>
      <c r="G1790" s="0" t="s">
        <v>7267</v>
      </c>
    </row>
    <row r="1791" customFormat="false" ht="15" hidden="false" customHeight="false" outlineLevel="0" collapsed="false">
      <c r="A1791" s="0" t="s">
        <v>100</v>
      </c>
      <c r="B1791" s="0" t="n">
        <v>2019</v>
      </c>
      <c r="C1791" s="0" t="s">
        <v>69</v>
      </c>
      <c r="D1791" s="0" t="n">
        <v>10.6</v>
      </c>
      <c r="E1791" s="0" t="s">
        <v>7275</v>
      </c>
      <c r="F1791" s="0" t="s">
        <v>7286</v>
      </c>
      <c r="G1791" s="0" t="s">
        <v>7267</v>
      </c>
    </row>
    <row r="1792" customFormat="false" ht="15" hidden="false" customHeight="false" outlineLevel="0" collapsed="false">
      <c r="A1792" s="0" t="s">
        <v>100</v>
      </c>
      <c r="B1792" s="0" t="n">
        <v>2019</v>
      </c>
      <c r="C1792" s="0" t="s">
        <v>73</v>
      </c>
      <c r="D1792" s="0" t="n">
        <v>0</v>
      </c>
      <c r="E1792" s="0" t="s">
        <v>7275</v>
      </c>
      <c r="F1792" s="0" t="s">
        <v>7286</v>
      </c>
      <c r="G1792" s="0" t="s">
        <v>7267</v>
      </c>
    </row>
    <row r="1793" customFormat="false" ht="15" hidden="false" customHeight="false" outlineLevel="0" collapsed="false">
      <c r="A1793" s="0" t="s">
        <v>100</v>
      </c>
      <c r="B1793" s="0" t="n">
        <v>2019</v>
      </c>
      <c r="C1793" s="0" t="s">
        <v>1804</v>
      </c>
      <c r="D1793" s="0" t="s">
        <v>7273</v>
      </c>
      <c r="E1793" s="0" t="s">
        <v>7275</v>
      </c>
      <c r="F1793" s="0" t="s">
        <v>7286</v>
      </c>
      <c r="G1793" s="0" t="s">
        <v>7267</v>
      </c>
    </row>
    <row r="1794" customFormat="false" ht="15" hidden="false" customHeight="false" outlineLevel="0" collapsed="false">
      <c r="A1794" s="0" t="s">
        <v>100</v>
      </c>
      <c r="B1794" s="0" t="n">
        <v>2020</v>
      </c>
      <c r="C1794" s="0" t="s">
        <v>54</v>
      </c>
      <c r="D1794" s="0" t="n">
        <v>8087</v>
      </c>
      <c r="E1794" s="0" t="s">
        <v>7275</v>
      </c>
      <c r="F1794" s="0" t="s">
        <v>7286</v>
      </c>
      <c r="G1794" s="0" t="s">
        <v>7267</v>
      </c>
    </row>
    <row r="1795" customFormat="false" ht="15" hidden="false" customHeight="false" outlineLevel="0" collapsed="false">
      <c r="A1795" s="0" t="s">
        <v>100</v>
      </c>
      <c r="B1795" s="0" t="n">
        <v>2020</v>
      </c>
      <c r="C1795" s="0" t="s">
        <v>1327</v>
      </c>
      <c r="D1795" s="0" t="n">
        <v>158750</v>
      </c>
      <c r="E1795" s="0" t="s">
        <v>7275</v>
      </c>
      <c r="F1795" s="0" t="s">
        <v>7286</v>
      </c>
      <c r="G1795" s="0" t="s">
        <v>7267</v>
      </c>
    </row>
    <row r="1796" customFormat="false" ht="15" hidden="false" customHeight="false" outlineLevel="0" collapsed="false">
      <c r="A1796" s="0" t="s">
        <v>100</v>
      </c>
      <c r="B1796" s="0" t="n">
        <v>2020</v>
      </c>
      <c r="C1796" s="0" t="s">
        <v>55</v>
      </c>
      <c r="D1796" s="0" t="n">
        <v>2186711</v>
      </c>
      <c r="E1796" s="0" t="s">
        <v>7275</v>
      </c>
      <c r="F1796" s="0" t="s">
        <v>7286</v>
      </c>
      <c r="G1796" s="0" t="s">
        <v>7267</v>
      </c>
    </row>
    <row r="1797" customFormat="false" ht="15" hidden="false" customHeight="false" outlineLevel="0" collapsed="false">
      <c r="A1797" s="0" t="s">
        <v>100</v>
      </c>
      <c r="B1797" s="0" t="n">
        <v>2020</v>
      </c>
      <c r="C1797" s="0" t="s">
        <v>60</v>
      </c>
      <c r="D1797" s="0" t="n">
        <v>993191</v>
      </c>
      <c r="E1797" s="0" t="s">
        <v>7275</v>
      </c>
      <c r="F1797" s="0" t="s">
        <v>7286</v>
      </c>
      <c r="G1797" s="0" t="s">
        <v>7267</v>
      </c>
    </row>
    <row r="1798" customFormat="false" ht="15" hidden="false" customHeight="false" outlineLevel="0" collapsed="false">
      <c r="A1798" s="0" t="s">
        <v>100</v>
      </c>
      <c r="B1798" s="0" t="n">
        <v>2020</v>
      </c>
      <c r="C1798" s="0" t="s">
        <v>61</v>
      </c>
      <c r="D1798" s="0" t="n">
        <v>111609</v>
      </c>
      <c r="E1798" s="0" t="s">
        <v>7275</v>
      </c>
      <c r="F1798" s="0" t="s">
        <v>7286</v>
      </c>
      <c r="G1798" s="0" t="s">
        <v>7267</v>
      </c>
    </row>
    <row r="1799" customFormat="false" ht="15" hidden="false" customHeight="false" outlineLevel="0" collapsed="false">
      <c r="A1799" s="0" t="s">
        <v>100</v>
      </c>
      <c r="B1799" s="0" t="n">
        <v>2020</v>
      </c>
      <c r="C1799" s="0" t="s">
        <v>63</v>
      </c>
      <c r="D1799" s="0" t="n">
        <v>9164</v>
      </c>
      <c r="E1799" s="0" t="s">
        <v>7275</v>
      </c>
      <c r="F1799" s="0" t="s">
        <v>7286</v>
      </c>
      <c r="G1799" s="0" t="s">
        <v>7267</v>
      </c>
    </row>
    <row r="1800" customFormat="false" ht="15" hidden="false" customHeight="false" outlineLevel="0" collapsed="false">
      <c r="A1800" s="0" t="s">
        <v>100</v>
      </c>
      <c r="B1800" s="0" t="n">
        <v>2020</v>
      </c>
      <c r="C1800" s="0" t="s">
        <v>327</v>
      </c>
      <c r="D1800" s="0" t="n">
        <v>19.86</v>
      </c>
      <c r="E1800" s="0" t="s">
        <v>7275</v>
      </c>
      <c r="F1800" s="0" t="s">
        <v>7286</v>
      </c>
      <c r="G1800" s="0" t="s">
        <v>7267</v>
      </c>
    </row>
    <row r="1801" customFormat="false" ht="15" hidden="false" customHeight="false" outlineLevel="0" collapsed="false">
      <c r="A1801" s="0" t="s">
        <v>100</v>
      </c>
      <c r="B1801" s="0" t="n">
        <v>2020</v>
      </c>
      <c r="C1801" s="0" t="s">
        <v>69</v>
      </c>
      <c r="D1801" s="0" t="n">
        <v>23.21</v>
      </c>
      <c r="E1801" s="0" t="s">
        <v>7275</v>
      </c>
      <c r="F1801" s="0" t="s">
        <v>7286</v>
      </c>
      <c r="G1801" s="0" t="s">
        <v>7267</v>
      </c>
    </row>
    <row r="1802" customFormat="false" ht="15" hidden="false" customHeight="false" outlineLevel="0" collapsed="false">
      <c r="A1802" s="0" t="s">
        <v>100</v>
      </c>
      <c r="B1802" s="0" t="n">
        <v>2020</v>
      </c>
      <c r="C1802" s="0" t="s">
        <v>73</v>
      </c>
      <c r="D1802" s="0" t="n">
        <v>0</v>
      </c>
      <c r="E1802" s="0" t="s">
        <v>7275</v>
      </c>
      <c r="F1802" s="0" t="s">
        <v>7286</v>
      </c>
      <c r="G1802" s="0" t="s">
        <v>7267</v>
      </c>
    </row>
    <row r="1803" customFormat="false" ht="15" hidden="false" customHeight="false" outlineLevel="0" collapsed="false">
      <c r="A1803" s="0" t="s">
        <v>100</v>
      </c>
      <c r="B1803" s="0" t="n">
        <v>2020</v>
      </c>
      <c r="C1803" s="0" t="s">
        <v>1804</v>
      </c>
      <c r="D1803" s="0" t="s">
        <v>1860</v>
      </c>
      <c r="E1803" s="0" t="s">
        <v>7275</v>
      </c>
      <c r="F1803" s="0" t="s">
        <v>7286</v>
      </c>
      <c r="G1803" s="0" t="s">
        <v>7267</v>
      </c>
    </row>
    <row r="1804" customFormat="false" ht="15" hidden="false" customHeight="false" outlineLevel="0" collapsed="false">
      <c r="A1804" s="0" t="s">
        <v>100</v>
      </c>
      <c r="B1804" s="0" t="n">
        <v>2021</v>
      </c>
      <c r="C1804" s="0" t="s">
        <v>54</v>
      </c>
      <c r="D1804" s="0" t="n">
        <v>9766</v>
      </c>
      <c r="E1804" s="0" t="s">
        <v>7275</v>
      </c>
      <c r="F1804" s="0" t="s">
        <v>7286</v>
      </c>
      <c r="G1804" s="0" t="s">
        <v>7267</v>
      </c>
    </row>
    <row r="1805" customFormat="false" ht="15" hidden="false" customHeight="false" outlineLevel="0" collapsed="false">
      <c r="A1805" s="0" t="s">
        <v>100</v>
      </c>
      <c r="B1805" s="0" t="n">
        <v>2021</v>
      </c>
      <c r="C1805" s="0" t="s">
        <v>1327</v>
      </c>
      <c r="D1805" s="0" t="n">
        <v>164304</v>
      </c>
      <c r="E1805" s="0" t="s">
        <v>7275</v>
      </c>
      <c r="F1805" s="0" t="s">
        <v>7286</v>
      </c>
      <c r="G1805" s="0" t="s">
        <v>7267</v>
      </c>
    </row>
    <row r="1806" customFormat="false" ht="15" hidden="false" customHeight="false" outlineLevel="0" collapsed="false">
      <c r="A1806" s="0" t="s">
        <v>100</v>
      </c>
      <c r="B1806" s="0" t="n">
        <v>2021</v>
      </c>
      <c r="C1806" s="0" t="s">
        <v>55</v>
      </c>
      <c r="D1806" s="0" t="n">
        <v>2475079</v>
      </c>
      <c r="E1806" s="0" t="s">
        <v>7275</v>
      </c>
      <c r="F1806" s="0" t="s">
        <v>7286</v>
      </c>
      <c r="G1806" s="0" t="s">
        <v>7267</v>
      </c>
    </row>
    <row r="1807" customFormat="false" ht="15" hidden="false" customHeight="false" outlineLevel="0" collapsed="false">
      <c r="A1807" s="0" t="s">
        <v>100</v>
      </c>
      <c r="B1807" s="0" t="n">
        <v>2021</v>
      </c>
      <c r="C1807" s="0" t="s">
        <v>60</v>
      </c>
      <c r="D1807" s="0" t="n">
        <v>1113022</v>
      </c>
      <c r="E1807" s="0" t="s">
        <v>7275</v>
      </c>
      <c r="F1807" s="0" t="s">
        <v>7286</v>
      </c>
      <c r="G1807" s="0" t="s">
        <v>7267</v>
      </c>
    </row>
    <row r="1808" customFormat="false" ht="15" hidden="false" customHeight="false" outlineLevel="0" collapsed="false">
      <c r="A1808" s="0" t="s">
        <v>100</v>
      </c>
      <c r="B1808" s="0" t="n">
        <v>2021</v>
      </c>
      <c r="C1808" s="0" t="s">
        <v>61</v>
      </c>
      <c r="D1808" s="0" t="n">
        <v>97419</v>
      </c>
      <c r="E1808" s="0" t="s">
        <v>7275</v>
      </c>
      <c r="F1808" s="0" t="s">
        <v>7286</v>
      </c>
      <c r="G1808" s="0" t="s">
        <v>7267</v>
      </c>
    </row>
    <row r="1809" customFormat="false" ht="15" hidden="false" customHeight="false" outlineLevel="0" collapsed="false">
      <c r="A1809" s="0" t="s">
        <v>100</v>
      </c>
      <c r="B1809" s="0" t="n">
        <v>2021</v>
      </c>
      <c r="C1809" s="0" t="s">
        <v>63</v>
      </c>
      <c r="D1809" s="0" t="n">
        <v>7041</v>
      </c>
      <c r="E1809" s="0" t="s">
        <v>7275</v>
      </c>
      <c r="F1809" s="0" t="s">
        <v>7286</v>
      </c>
      <c r="G1809" s="0" t="s">
        <v>7267</v>
      </c>
    </row>
    <row r="1810" customFormat="false" ht="15" hidden="false" customHeight="false" outlineLevel="0" collapsed="false">
      <c r="A1810" s="0" t="s">
        <v>100</v>
      </c>
      <c r="B1810" s="0" t="n">
        <v>2021</v>
      </c>
      <c r="C1810" s="0" t="s">
        <v>327</v>
      </c>
      <c r="D1810" s="0" t="n">
        <v>16.35</v>
      </c>
      <c r="E1810" s="0" t="s">
        <v>7275</v>
      </c>
      <c r="F1810" s="0" t="s">
        <v>7286</v>
      </c>
      <c r="G1810" s="0" t="s">
        <v>7267</v>
      </c>
    </row>
    <row r="1811" customFormat="false" ht="15" hidden="false" customHeight="false" outlineLevel="0" collapsed="false">
      <c r="A1811" s="0" t="s">
        <v>100</v>
      </c>
      <c r="B1811" s="0" t="n">
        <v>2021</v>
      </c>
      <c r="C1811" s="0" t="s">
        <v>69</v>
      </c>
      <c r="D1811" s="0" t="n">
        <v>11.48</v>
      </c>
      <c r="E1811" s="0" t="s">
        <v>7275</v>
      </c>
      <c r="F1811" s="0" t="s">
        <v>7286</v>
      </c>
      <c r="G1811" s="0" t="s">
        <v>7267</v>
      </c>
    </row>
    <row r="1812" customFormat="false" ht="15" hidden="false" customHeight="false" outlineLevel="0" collapsed="false">
      <c r="A1812" s="0" t="s">
        <v>100</v>
      </c>
      <c r="B1812" s="0" t="n">
        <v>2021</v>
      </c>
      <c r="C1812" s="0" t="s">
        <v>73</v>
      </c>
      <c r="D1812" s="0" t="n">
        <v>0</v>
      </c>
      <c r="E1812" s="0" t="s">
        <v>7275</v>
      </c>
      <c r="F1812" s="0" t="s">
        <v>7286</v>
      </c>
      <c r="G1812" s="0" t="s">
        <v>7267</v>
      </c>
    </row>
    <row r="1813" customFormat="false" ht="15" hidden="false" customHeight="false" outlineLevel="0" collapsed="false">
      <c r="A1813" s="0" t="s">
        <v>100</v>
      </c>
      <c r="B1813" s="0" t="n">
        <v>2021</v>
      </c>
      <c r="C1813" s="0" t="s">
        <v>1804</v>
      </c>
      <c r="D1813" s="0" t="s">
        <v>1860</v>
      </c>
      <c r="E1813" s="0" t="s">
        <v>7275</v>
      </c>
      <c r="F1813" s="0" t="s">
        <v>7286</v>
      </c>
      <c r="G1813" s="0" t="s">
        <v>7267</v>
      </c>
    </row>
    <row r="1814" customFormat="false" ht="15" hidden="false" customHeight="false" outlineLevel="0" collapsed="false">
      <c r="A1814" s="0" t="s">
        <v>100</v>
      </c>
      <c r="B1814" s="0" t="n">
        <v>2022</v>
      </c>
      <c r="C1814" s="0" t="s">
        <v>54</v>
      </c>
      <c r="D1814" s="0" t="n">
        <v>10396</v>
      </c>
      <c r="E1814" s="0" t="s">
        <v>7275</v>
      </c>
      <c r="F1814" s="0" t="s">
        <v>7286</v>
      </c>
      <c r="G1814" s="0" t="s">
        <v>7267</v>
      </c>
    </row>
    <row r="1815" customFormat="false" ht="15" hidden="false" customHeight="false" outlineLevel="0" collapsed="false">
      <c r="A1815" s="0" t="s">
        <v>100</v>
      </c>
      <c r="B1815" s="0" t="n">
        <v>2022</v>
      </c>
      <c r="C1815" s="0" t="s">
        <v>1327</v>
      </c>
      <c r="D1815" s="0" t="n">
        <v>211771</v>
      </c>
      <c r="E1815" s="0" t="s">
        <v>7275</v>
      </c>
      <c r="F1815" s="0" t="s">
        <v>7286</v>
      </c>
      <c r="G1815" s="0" t="s">
        <v>7267</v>
      </c>
    </row>
    <row r="1816" customFormat="false" ht="15" hidden="false" customHeight="false" outlineLevel="0" collapsed="false">
      <c r="A1816" s="0" t="s">
        <v>100</v>
      </c>
      <c r="B1816" s="0" t="n">
        <v>2022</v>
      </c>
      <c r="C1816" s="0" t="s">
        <v>55</v>
      </c>
      <c r="D1816" s="0" t="n">
        <v>2917689</v>
      </c>
      <c r="E1816" s="0" t="s">
        <v>7275</v>
      </c>
      <c r="F1816" s="0" t="s">
        <v>7286</v>
      </c>
      <c r="G1816" s="0" t="s">
        <v>7267</v>
      </c>
    </row>
    <row r="1817" customFormat="false" ht="15" hidden="false" customHeight="false" outlineLevel="0" collapsed="false">
      <c r="A1817" s="0" t="s">
        <v>100</v>
      </c>
      <c r="B1817" s="0" t="n">
        <v>2022</v>
      </c>
      <c r="C1817" s="0" t="s">
        <v>60</v>
      </c>
      <c r="D1817" s="0" t="n">
        <v>1190306</v>
      </c>
      <c r="E1817" s="0" t="s">
        <v>7275</v>
      </c>
      <c r="F1817" s="0" t="s">
        <v>7286</v>
      </c>
      <c r="G1817" s="0" t="s">
        <v>7267</v>
      </c>
    </row>
    <row r="1818" customFormat="false" ht="15" hidden="false" customHeight="false" outlineLevel="0" collapsed="false">
      <c r="A1818" s="0" t="s">
        <v>100</v>
      </c>
      <c r="B1818" s="0" t="n">
        <v>2022</v>
      </c>
      <c r="C1818" s="0" t="s">
        <v>61</v>
      </c>
      <c r="D1818" s="0" t="n">
        <v>62880</v>
      </c>
      <c r="E1818" s="0" t="s">
        <v>7275</v>
      </c>
      <c r="F1818" s="0" t="s">
        <v>7286</v>
      </c>
      <c r="G1818" s="0" t="s">
        <v>7267</v>
      </c>
    </row>
    <row r="1819" customFormat="false" ht="15" hidden="false" customHeight="false" outlineLevel="0" collapsed="false">
      <c r="A1819" s="0" t="s">
        <v>100</v>
      </c>
      <c r="B1819" s="0" t="n">
        <v>2022</v>
      </c>
      <c r="C1819" s="0" t="s">
        <v>63</v>
      </c>
      <c r="D1819" s="0" t="n">
        <v>12377</v>
      </c>
      <c r="E1819" s="0" t="s">
        <v>7275</v>
      </c>
      <c r="F1819" s="0" t="s">
        <v>7286</v>
      </c>
      <c r="G1819" s="0" t="s">
        <v>7267</v>
      </c>
    </row>
    <row r="1820" customFormat="false" ht="15" hidden="false" customHeight="false" outlineLevel="0" collapsed="false">
      <c r="A1820" s="0" t="s">
        <v>100</v>
      </c>
      <c r="B1820" s="0" t="n">
        <v>2022</v>
      </c>
      <c r="C1820" s="0" t="s">
        <v>327</v>
      </c>
      <c r="D1820" s="0" t="n">
        <v>6.9</v>
      </c>
      <c r="E1820" s="0" t="s">
        <v>7275</v>
      </c>
      <c r="F1820" s="0" t="s">
        <v>7286</v>
      </c>
      <c r="G1820" s="0" t="s">
        <v>7267</v>
      </c>
    </row>
    <row r="1821" customFormat="false" ht="15" hidden="false" customHeight="false" outlineLevel="0" collapsed="false">
      <c r="A1821" s="0" t="s">
        <v>100</v>
      </c>
      <c r="B1821" s="0" t="n">
        <v>2022</v>
      </c>
      <c r="C1821" s="0" t="s">
        <v>69</v>
      </c>
      <c r="D1821" s="0" t="n">
        <v>13.27</v>
      </c>
      <c r="E1821" s="0" t="s">
        <v>7275</v>
      </c>
      <c r="F1821" s="0" t="s">
        <v>7286</v>
      </c>
      <c r="G1821" s="0" t="s">
        <v>7267</v>
      </c>
    </row>
    <row r="1822" customFormat="false" ht="15" hidden="false" customHeight="false" outlineLevel="0" collapsed="false">
      <c r="A1822" s="0" t="s">
        <v>100</v>
      </c>
      <c r="B1822" s="0" t="n">
        <v>2022</v>
      </c>
      <c r="C1822" s="0" t="s">
        <v>73</v>
      </c>
      <c r="D1822" s="0" t="n">
        <v>0</v>
      </c>
      <c r="E1822" s="0" t="s">
        <v>7275</v>
      </c>
      <c r="F1822" s="0" t="s">
        <v>7286</v>
      </c>
      <c r="G1822" s="0" t="s">
        <v>7267</v>
      </c>
    </row>
    <row r="1823" customFormat="false" ht="15" hidden="false" customHeight="false" outlineLevel="0" collapsed="false">
      <c r="A1823" s="0" t="s">
        <v>100</v>
      </c>
      <c r="B1823" s="0" t="n">
        <v>2022</v>
      </c>
      <c r="C1823" s="0" t="s">
        <v>1804</v>
      </c>
      <c r="D1823" s="0" t="s">
        <v>1860</v>
      </c>
      <c r="E1823" s="0" t="s">
        <v>7275</v>
      </c>
      <c r="F1823" s="0" t="s">
        <v>7286</v>
      </c>
      <c r="G1823" s="0" t="s">
        <v>7267</v>
      </c>
    </row>
    <row r="1824" customFormat="false" ht="15" hidden="false" customHeight="false" outlineLevel="0" collapsed="false">
      <c r="A1824" s="0" t="s">
        <v>201</v>
      </c>
      <c r="B1824" s="0" t="n">
        <v>2015</v>
      </c>
      <c r="C1824" s="0" t="s">
        <v>54</v>
      </c>
      <c r="D1824" s="0" t="n">
        <v>6255</v>
      </c>
      <c r="E1824" s="0" t="s">
        <v>7275</v>
      </c>
      <c r="F1824" s="0" t="s">
        <v>7287</v>
      </c>
      <c r="G1824" s="0" t="s">
        <v>7267</v>
      </c>
    </row>
    <row r="1825" customFormat="false" ht="15" hidden="false" customHeight="false" outlineLevel="0" collapsed="false">
      <c r="A1825" s="0" t="s">
        <v>201</v>
      </c>
      <c r="B1825" s="0" t="n">
        <v>2015</v>
      </c>
      <c r="C1825" s="0" t="s">
        <v>1327</v>
      </c>
      <c r="D1825" s="0" t="n">
        <v>69663</v>
      </c>
      <c r="E1825" s="0" t="s">
        <v>7275</v>
      </c>
      <c r="F1825" s="0" t="s">
        <v>7287</v>
      </c>
      <c r="G1825" s="0" t="s">
        <v>7267</v>
      </c>
    </row>
    <row r="1826" customFormat="false" ht="15" hidden="false" customHeight="false" outlineLevel="0" collapsed="false">
      <c r="A1826" s="0" t="s">
        <v>201</v>
      </c>
      <c r="B1826" s="0" t="n">
        <v>2015</v>
      </c>
      <c r="C1826" s="0" t="s">
        <v>55</v>
      </c>
      <c r="D1826" s="0" t="n">
        <v>476586</v>
      </c>
      <c r="E1826" s="0" t="s">
        <v>7275</v>
      </c>
      <c r="F1826" s="0" t="s">
        <v>7287</v>
      </c>
      <c r="G1826" s="0" t="s">
        <v>7267</v>
      </c>
    </row>
    <row r="1827" customFormat="false" ht="15" hidden="false" customHeight="false" outlineLevel="0" collapsed="false">
      <c r="A1827" s="0" t="s">
        <v>201</v>
      </c>
      <c r="B1827" s="0" t="n">
        <v>2015</v>
      </c>
      <c r="C1827" s="0" t="s">
        <v>60</v>
      </c>
      <c r="D1827" s="0" t="n">
        <v>216221</v>
      </c>
      <c r="E1827" s="0" t="s">
        <v>7275</v>
      </c>
      <c r="F1827" s="0" t="s">
        <v>7287</v>
      </c>
      <c r="G1827" s="0" t="s">
        <v>7267</v>
      </c>
    </row>
    <row r="1828" customFormat="false" ht="15" hidden="false" customHeight="false" outlineLevel="0" collapsed="false">
      <c r="A1828" s="0" t="s">
        <v>201</v>
      </c>
      <c r="B1828" s="0" t="n">
        <v>2015</v>
      </c>
      <c r="C1828" s="0" t="s">
        <v>61</v>
      </c>
      <c r="D1828" s="0" t="n">
        <v>13450</v>
      </c>
      <c r="E1828" s="0" t="s">
        <v>7275</v>
      </c>
      <c r="F1828" s="0" t="s">
        <v>7287</v>
      </c>
      <c r="G1828" s="0" t="s">
        <v>7267</v>
      </c>
    </row>
    <row r="1829" customFormat="false" ht="15" hidden="false" customHeight="false" outlineLevel="0" collapsed="false">
      <c r="A1829" s="0" t="s">
        <v>201</v>
      </c>
      <c r="B1829" s="0" t="n">
        <v>2015</v>
      </c>
      <c r="C1829" s="0" t="s">
        <v>63</v>
      </c>
      <c r="D1829" s="0" t="n">
        <v>1800</v>
      </c>
      <c r="E1829" s="0" t="s">
        <v>7275</v>
      </c>
      <c r="F1829" s="0" t="s">
        <v>7287</v>
      </c>
      <c r="G1829" s="0" t="s">
        <v>7267</v>
      </c>
    </row>
    <row r="1830" customFormat="false" ht="15" hidden="false" customHeight="false" outlineLevel="0" collapsed="false">
      <c r="A1830" s="0" t="s">
        <v>201</v>
      </c>
      <c r="B1830" s="0" t="n">
        <v>2015</v>
      </c>
      <c r="C1830" s="0" t="s">
        <v>327</v>
      </c>
      <c r="D1830" s="0" t="n">
        <v>12</v>
      </c>
      <c r="E1830" s="0" t="s">
        <v>7275</v>
      </c>
      <c r="F1830" s="0" t="s">
        <v>7287</v>
      </c>
      <c r="G1830" s="0" t="s">
        <v>7267</v>
      </c>
    </row>
    <row r="1831" customFormat="false" ht="15" hidden="false" customHeight="false" outlineLevel="0" collapsed="false">
      <c r="A1831" s="0" t="s">
        <v>201</v>
      </c>
      <c r="B1831" s="0" t="n">
        <v>2015</v>
      </c>
      <c r="C1831" s="0" t="s">
        <v>69</v>
      </c>
      <c r="D1831" s="0" t="n">
        <v>16</v>
      </c>
      <c r="E1831" s="0" t="s">
        <v>7275</v>
      </c>
      <c r="F1831" s="0" t="s">
        <v>7287</v>
      </c>
      <c r="G1831" s="0" t="s">
        <v>7267</v>
      </c>
    </row>
    <row r="1832" customFormat="false" ht="15" hidden="false" customHeight="false" outlineLevel="0" collapsed="false">
      <c r="A1832" s="0" t="s">
        <v>201</v>
      </c>
      <c r="B1832" s="0" t="n">
        <v>2015</v>
      </c>
      <c r="C1832" s="0" t="s">
        <v>73</v>
      </c>
      <c r="D1832" s="0" t="n">
        <v>0</v>
      </c>
      <c r="E1832" s="0" t="s">
        <v>7275</v>
      </c>
      <c r="F1832" s="0" t="s">
        <v>7287</v>
      </c>
      <c r="G1832" s="0" t="s">
        <v>7267</v>
      </c>
    </row>
    <row r="1833" customFormat="false" ht="15" hidden="false" customHeight="false" outlineLevel="0" collapsed="false">
      <c r="A1833" s="0" t="s">
        <v>201</v>
      </c>
      <c r="B1833" s="0" t="n">
        <v>2015</v>
      </c>
      <c r="C1833" s="0" t="s">
        <v>1804</v>
      </c>
      <c r="D1833" s="0" t="s">
        <v>7274</v>
      </c>
      <c r="E1833" s="0" t="s">
        <v>7275</v>
      </c>
      <c r="F1833" s="0" t="s">
        <v>7287</v>
      </c>
      <c r="G1833" s="0" t="s">
        <v>7267</v>
      </c>
    </row>
    <row r="1834" customFormat="false" ht="15" hidden="false" customHeight="false" outlineLevel="0" collapsed="false">
      <c r="A1834" s="0" t="s">
        <v>201</v>
      </c>
      <c r="B1834" s="0" t="n">
        <v>2016</v>
      </c>
      <c r="C1834" s="0" t="s">
        <v>54</v>
      </c>
      <c r="D1834" s="0" t="n">
        <v>3200</v>
      </c>
      <c r="E1834" s="0" t="s">
        <v>7275</v>
      </c>
      <c r="F1834" s="0" t="s">
        <v>7287</v>
      </c>
      <c r="G1834" s="0" t="s">
        <v>7267</v>
      </c>
    </row>
    <row r="1835" customFormat="false" ht="15" hidden="false" customHeight="false" outlineLevel="0" collapsed="false">
      <c r="A1835" s="0" t="s">
        <v>201</v>
      </c>
      <c r="B1835" s="0" t="n">
        <v>2016</v>
      </c>
      <c r="C1835" s="0" t="s">
        <v>1327</v>
      </c>
      <c r="D1835" s="0" t="n">
        <v>82026</v>
      </c>
      <c r="E1835" s="0" t="s">
        <v>7275</v>
      </c>
      <c r="F1835" s="0" t="s">
        <v>7287</v>
      </c>
      <c r="G1835" s="0" t="s">
        <v>7267</v>
      </c>
    </row>
    <row r="1836" customFormat="false" ht="15" hidden="false" customHeight="false" outlineLevel="0" collapsed="false">
      <c r="A1836" s="0" t="s">
        <v>201</v>
      </c>
      <c r="B1836" s="0" t="n">
        <v>2016</v>
      </c>
      <c r="C1836" s="0" t="s">
        <v>55</v>
      </c>
      <c r="D1836" s="0" t="n">
        <v>492021</v>
      </c>
      <c r="E1836" s="0" t="s">
        <v>7275</v>
      </c>
      <c r="F1836" s="0" t="s">
        <v>7287</v>
      </c>
      <c r="G1836" s="0" t="s">
        <v>7267</v>
      </c>
    </row>
    <row r="1837" customFormat="false" ht="15" hidden="false" customHeight="false" outlineLevel="0" collapsed="false">
      <c r="A1837" s="0" t="s">
        <v>201</v>
      </c>
      <c r="B1837" s="0" t="n">
        <v>2016</v>
      </c>
      <c r="C1837" s="0" t="s">
        <v>60</v>
      </c>
      <c r="D1837" s="0" t="n">
        <v>237996</v>
      </c>
      <c r="E1837" s="0" t="s">
        <v>7275</v>
      </c>
      <c r="F1837" s="0" t="s">
        <v>7287</v>
      </c>
      <c r="G1837" s="0" t="s">
        <v>7267</v>
      </c>
    </row>
    <row r="1838" customFormat="false" ht="15" hidden="false" customHeight="false" outlineLevel="0" collapsed="false">
      <c r="A1838" s="0" t="s">
        <v>201</v>
      </c>
      <c r="B1838" s="0" t="n">
        <v>2016</v>
      </c>
      <c r="C1838" s="0" t="s">
        <v>61</v>
      </c>
      <c r="D1838" s="0" t="n">
        <v>14650</v>
      </c>
      <c r="E1838" s="0" t="s">
        <v>7275</v>
      </c>
      <c r="F1838" s="0" t="s">
        <v>7287</v>
      </c>
      <c r="G1838" s="0" t="s">
        <v>7267</v>
      </c>
    </row>
    <row r="1839" customFormat="false" ht="15" hidden="false" customHeight="false" outlineLevel="0" collapsed="false">
      <c r="A1839" s="0" t="s">
        <v>201</v>
      </c>
      <c r="B1839" s="0" t="n">
        <v>2016</v>
      </c>
      <c r="C1839" s="0" t="s">
        <v>63</v>
      </c>
      <c r="D1839" s="0" t="n">
        <v>1200</v>
      </c>
      <c r="E1839" s="0" t="s">
        <v>7275</v>
      </c>
      <c r="F1839" s="0" t="s">
        <v>7287</v>
      </c>
      <c r="G1839" s="0" t="s">
        <v>7267</v>
      </c>
    </row>
    <row r="1840" customFormat="false" ht="15" hidden="false" customHeight="false" outlineLevel="0" collapsed="false">
      <c r="A1840" s="0" t="s">
        <v>201</v>
      </c>
      <c r="B1840" s="0" t="n">
        <v>2016</v>
      </c>
      <c r="C1840" s="0" t="s">
        <v>327</v>
      </c>
      <c r="D1840" s="0" t="n">
        <v>13</v>
      </c>
      <c r="E1840" s="0" t="s">
        <v>7275</v>
      </c>
      <c r="F1840" s="0" t="s">
        <v>7287</v>
      </c>
      <c r="G1840" s="0" t="s">
        <v>7267</v>
      </c>
    </row>
    <row r="1841" customFormat="false" ht="15" hidden="false" customHeight="false" outlineLevel="0" collapsed="false">
      <c r="A1841" s="0" t="s">
        <v>201</v>
      </c>
      <c r="B1841" s="0" t="n">
        <v>2016</v>
      </c>
      <c r="C1841" s="0" t="s">
        <v>69</v>
      </c>
      <c r="D1841" s="0" t="n">
        <v>17</v>
      </c>
      <c r="E1841" s="0" t="s">
        <v>7275</v>
      </c>
      <c r="F1841" s="0" t="s">
        <v>7287</v>
      </c>
      <c r="G1841" s="0" t="s">
        <v>7267</v>
      </c>
    </row>
    <row r="1842" customFormat="false" ht="15" hidden="false" customHeight="false" outlineLevel="0" collapsed="false">
      <c r="A1842" s="0" t="s">
        <v>201</v>
      </c>
      <c r="B1842" s="0" t="n">
        <v>2016</v>
      </c>
      <c r="C1842" s="0" t="s">
        <v>73</v>
      </c>
      <c r="D1842" s="0" t="n">
        <v>0</v>
      </c>
      <c r="E1842" s="0" t="s">
        <v>7275</v>
      </c>
      <c r="F1842" s="0" t="s">
        <v>7287</v>
      </c>
      <c r="G1842" s="0" t="s">
        <v>7267</v>
      </c>
    </row>
    <row r="1843" customFormat="false" ht="15" hidden="false" customHeight="false" outlineLevel="0" collapsed="false">
      <c r="A1843" s="0" t="s">
        <v>201</v>
      </c>
      <c r="B1843" s="0" t="n">
        <v>2016</v>
      </c>
      <c r="C1843" s="0" t="s">
        <v>1804</v>
      </c>
      <c r="D1843" s="0" t="s">
        <v>7274</v>
      </c>
      <c r="E1843" s="0" t="s">
        <v>7275</v>
      </c>
      <c r="F1843" s="0" t="s">
        <v>7287</v>
      </c>
      <c r="G1843" s="0" t="s">
        <v>7267</v>
      </c>
    </row>
    <row r="1844" customFormat="false" ht="15" hidden="false" customHeight="false" outlineLevel="0" collapsed="false">
      <c r="A1844" s="0" t="s">
        <v>201</v>
      </c>
      <c r="B1844" s="0" t="n">
        <v>2017</v>
      </c>
      <c r="C1844" s="0" t="s">
        <v>54</v>
      </c>
      <c r="D1844" s="0" t="n">
        <v>-14918</v>
      </c>
      <c r="E1844" s="0" t="s">
        <v>7275</v>
      </c>
      <c r="F1844" s="0" t="s">
        <v>7287</v>
      </c>
      <c r="G1844" s="0" t="s">
        <v>7267</v>
      </c>
    </row>
    <row r="1845" customFormat="false" ht="15" hidden="false" customHeight="false" outlineLevel="0" collapsed="false">
      <c r="A1845" s="0" t="s">
        <v>201</v>
      </c>
      <c r="B1845" s="0" t="n">
        <v>2017</v>
      </c>
      <c r="C1845" s="0" t="s">
        <v>1327</v>
      </c>
      <c r="D1845" s="0" t="n">
        <v>89926</v>
      </c>
      <c r="E1845" s="0" t="s">
        <v>7275</v>
      </c>
      <c r="F1845" s="0" t="s">
        <v>7287</v>
      </c>
      <c r="G1845" s="0" t="s">
        <v>7267</v>
      </c>
    </row>
    <row r="1846" customFormat="false" ht="15" hidden="false" customHeight="false" outlineLevel="0" collapsed="false">
      <c r="A1846" s="0" t="s">
        <v>201</v>
      </c>
      <c r="B1846" s="0" t="n">
        <v>2017</v>
      </c>
      <c r="C1846" s="0" t="s">
        <v>55</v>
      </c>
      <c r="D1846" s="0" t="n">
        <v>156507</v>
      </c>
      <c r="E1846" s="0" t="s">
        <v>7275</v>
      </c>
      <c r="F1846" s="0" t="s">
        <v>7287</v>
      </c>
      <c r="G1846" s="0" t="s">
        <v>7267</v>
      </c>
    </row>
    <row r="1847" customFormat="false" ht="15" hidden="false" customHeight="false" outlineLevel="0" collapsed="false">
      <c r="A1847" s="0" t="s">
        <v>201</v>
      </c>
      <c r="B1847" s="0" t="n">
        <v>2017</v>
      </c>
      <c r="C1847" s="0" t="s">
        <v>60</v>
      </c>
      <c r="D1847" s="0" t="n">
        <v>9467</v>
      </c>
      <c r="E1847" s="0" t="s">
        <v>7275</v>
      </c>
      <c r="F1847" s="0" t="s">
        <v>7287</v>
      </c>
      <c r="G1847" s="0" t="s">
        <v>7267</v>
      </c>
    </row>
    <row r="1848" customFormat="false" ht="15" hidden="false" customHeight="false" outlineLevel="0" collapsed="false">
      <c r="A1848" s="0" t="s">
        <v>201</v>
      </c>
      <c r="B1848" s="0" t="n">
        <v>2017</v>
      </c>
      <c r="C1848" s="0" t="s">
        <v>61</v>
      </c>
      <c r="D1848" s="0" t="n">
        <v>509</v>
      </c>
      <c r="E1848" s="0" t="s">
        <v>7275</v>
      </c>
      <c r="F1848" s="0" t="s">
        <v>7287</v>
      </c>
      <c r="G1848" s="0" t="s">
        <v>7267</v>
      </c>
    </row>
    <row r="1849" customFormat="false" ht="15" hidden="false" customHeight="false" outlineLevel="0" collapsed="false">
      <c r="A1849" s="0" t="s">
        <v>201</v>
      </c>
      <c r="B1849" s="0" t="n">
        <v>2017</v>
      </c>
      <c r="C1849" s="0" t="s">
        <v>63</v>
      </c>
      <c r="D1849" s="0" t="n">
        <v>44255</v>
      </c>
      <c r="E1849" s="0" t="s">
        <v>7275</v>
      </c>
      <c r="F1849" s="0" t="s">
        <v>7287</v>
      </c>
      <c r="G1849" s="0" t="s">
        <v>7267</v>
      </c>
    </row>
    <row r="1850" customFormat="false" ht="15" hidden="false" customHeight="false" outlineLevel="0" collapsed="false">
      <c r="A1850" s="0" t="s">
        <v>201</v>
      </c>
      <c r="B1850" s="0" t="n">
        <v>2017</v>
      </c>
      <c r="C1850" s="0" t="s">
        <v>327</v>
      </c>
      <c r="D1850" s="0" t="n">
        <v>0</v>
      </c>
      <c r="E1850" s="0" t="s">
        <v>7275</v>
      </c>
      <c r="F1850" s="0" t="s">
        <v>7287</v>
      </c>
      <c r="G1850" s="0" t="s">
        <v>7267</v>
      </c>
    </row>
    <row r="1851" customFormat="false" ht="15" hidden="false" customHeight="false" outlineLevel="0" collapsed="false">
      <c r="A1851" s="0" t="s">
        <v>201</v>
      </c>
      <c r="B1851" s="0" t="n">
        <v>2017</v>
      </c>
      <c r="C1851" s="0" t="s">
        <v>69</v>
      </c>
      <c r="D1851" s="0" t="n">
        <v>-198.07</v>
      </c>
      <c r="E1851" s="0" t="s">
        <v>7275</v>
      </c>
      <c r="F1851" s="0" t="s">
        <v>7287</v>
      </c>
      <c r="G1851" s="0" t="s">
        <v>7267</v>
      </c>
    </row>
    <row r="1852" customFormat="false" ht="15" hidden="false" customHeight="false" outlineLevel="0" collapsed="false">
      <c r="A1852" s="0" t="s">
        <v>201</v>
      </c>
      <c r="B1852" s="0" t="n">
        <v>2017</v>
      </c>
      <c r="C1852" s="0" t="s">
        <v>73</v>
      </c>
      <c r="D1852" s="0" t="n">
        <v>0</v>
      </c>
      <c r="E1852" s="0" t="s">
        <v>7275</v>
      </c>
      <c r="F1852" s="0" t="s">
        <v>7287</v>
      </c>
      <c r="G1852" s="0" t="s">
        <v>7267</v>
      </c>
    </row>
    <row r="1853" customFormat="false" ht="15" hidden="false" customHeight="false" outlineLevel="0" collapsed="false">
      <c r="A1853" s="0" t="s">
        <v>201</v>
      </c>
      <c r="B1853" s="0" t="n">
        <v>2017</v>
      </c>
      <c r="C1853" s="0" t="s">
        <v>1804</v>
      </c>
      <c r="D1853" s="0" t="s">
        <v>7274</v>
      </c>
      <c r="E1853" s="0" t="s">
        <v>7275</v>
      </c>
      <c r="F1853" s="0" t="s">
        <v>7287</v>
      </c>
      <c r="G1853" s="0" t="s">
        <v>7267</v>
      </c>
    </row>
    <row r="1854" customFormat="false" ht="15" hidden="false" customHeight="false" outlineLevel="0" collapsed="false">
      <c r="A1854" s="0" t="s">
        <v>201</v>
      </c>
      <c r="B1854" s="0" t="n">
        <v>2018</v>
      </c>
      <c r="C1854" s="0" t="s">
        <v>54</v>
      </c>
      <c r="D1854" s="0" t="n">
        <v>1269</v>
      </c>
      <c r="E1854" s="0" t="s">
        <v>7275</v>
      </c>
      <c r="F1854" s="0" t="s">
        <v>7287</v>
      </c>
      <c r="G1854" s="0" t="s">
        <v>7267</v>
      </c>
    </row>
    <row r="1855" customFormat="false" ht="15" hidden="false" customHeight="false" outlineLevel="0" collapsed="false">
      <c r="A1855" s="0" t="s">
        <v>201</v>
      </c>
      <c r="B1855" s="0" t="n">
        <v>2018</v>
      </c>
      <c r="C1855" s="0" t="s">
        <v>1327</v>
      </c>
      <c r="D1855" s="0" t="n">
        <v>37325</v>
      </c>
      <c r="E1855" s="0" t="s">
        <v>7275</v>
      </c>
      <c r="F1855" s="0" t="s">
        <v>7287</v>
      </c>
      <c r="G1855" s="0" t="s">
        <v>7267</v>
      </c>
    </row>
    <row r="1856" customFormat="false" ht="15" hidden="false" customHeight="false" outlineLevel="0" collapsed="false">
      <c r="A1856" s="0" t="s">
        <v>201</v>
      </c>
      <c r="B1856" s="0" t="n">
        <v>2018</v>
      </c>
      <c r="C1856" s="0" t="s">
        <v>55</v>
      </c>
      <c r="D1856" s="0" t="n">
        <v>235976</v>
      </c>
      <c r="E1856" s="0" t="s">
        <v>7275</v>
      </c>
      <c r="F1856" s="0" t="s">
        <v>7287</v>
      </c>
      <c r="G1856" s="0" t="s">
        <v>7267</v>
      </c>
    </row>
    <row r="1857" customFormat="false" ht="15" hidden="false" customHeight="false" outlineLevel="0" collapsed="false">
      <c r="A1857" s="0" t="s">
        <v>201</v>
      </c>
      <c r="B1857" s="0" t="n">
        <v>2018</v>
      </c>
      <c r="C1857" s="0" t="s">
        <v>60</v>
      </c>
      <c r="D1857" s="0" t="n">
        <v>44402</v>
      </c>
      <c r="E1857" s="0" t="s">
        <v>7275</v>
      </c>
      <c r="F1857" s="0" t="s">
        <v>7287</v>
      </c>
      <c r="G1857" s="0" t="s">
        <v>7267</v>
      </c>
    </row>
    <row r="1858" customFormat="false" ht="15" hidden="false" customHeight="false" outlineLevel="0" collapsed="false">
      <c r="A1858" s="0" t="s">
        <v>201</v>
      </c>
      <c r="B1858" s="0" t="n">
        <v>2018</v>
      </c>
      <c r="C1858" s="0" t="s">
        <v>61</v>
      </c>
      <c r="D1858" s="0" t="n">
        <v>744</v>
      </c>
      <c r="E1858" s="0" t="s">
        <v>7275</v>
      </c>
      <c r="F1858" s="0" t="s">
        <v>7287</v>
      </c>
      <c r="G1858" s="0" t="s">
        <v>7267</v>
      </c>
    </row>
    <row r="1859" customFormat="false" ht="15" hidden="false" customHeight="false" outlineLevel="0" collapsed="false">
      <c r="A1859" s="0" t="s">
        <v>201</v>
      </c>
      <c r="B1859" s="0" t="n">
        <v>2018</v>
      </c>
      <c r="C1859" s="0" t="s">
        <v>63</v>
      </c>
      <c r="D1859" s="0" t="n">
        <v>161</v>
      </c>
      <c r="E1859" s="0" t="s">
        <v>7275</v>
      </c>
      <c r="F1859" s="0" t="s">
        <v>7287</v>
      </c>
      <c r="G1859" s="0" t="s">
        <v>7267</v>
      </c>
    </row>
    <row r="1860" customFormat="false" ht="15" hidden="false" customHeight="false" outlineLevel="0" collapsed="false">
      <c r="A1860" s="0" t="s">
        <v>201</v>
      </c>
      <c r="B1860" s="0" t="n">
        <v>2018</v>
      </c>
      <c r="C1860" s="0" t="s">
        <v>327</v>
      </c>
      <c r="D1860" s="0" t="n">
        <v>0</v>
      </c>
      <c r="E1860" s="0" t="s">
        <v>7275</v>
      </c>
      <c r="F1860" s="0" t="s">
        <v>7287</v>
      </c>
      <c r="G1860" s="0" t="s">
        <v>7267</v>
      </c>
    </row>
    <row r="1861" customFormat="false" ht="15" hidden="false" customHeight="false" outlineLevel="0" collapsed="false">
      <c r="A1861" s="0" t="s">
        <v>201</v>
      </c>
      <c r="B1861" s="0" t="n">
        <v>2018</v>
      </c>
      <c r="C1861" s="0" t="s">
        <v>69</v>
      </c>
      <c r="D1861" s="0" t="n">
        <v>-198.56</v>
      </c>
      <c r="E1861" s="0" t="s">
        <v>7275</v>
      </c>
      <c r="F1861" s="0" t="s">
        <v>7287</v>
      </c>
      <c r="G1861" s="0" t="s">
        <v>7267</v>
      </c>
    </row>
    <row r="1862" customFormat="false" ht="15" hidden="false" customHeight="false" outlineLevel="0" collapsed="false">
      <c r="A1862" s="0" t="s">
        <v>201</v>
      </c>
      <c r="B1862" s="0" t="n">
        <v>2018</v>
      </c>
      <c r="C1862" s="0" t="s">
        <v>73</v>
      </c>
      <c r="D1862" s="0" t="n">
        <v>0</v>
      </c>
      <c r="E1862" s="0" t="s">
        <v>7275</v>
      </c>
      <c r="F1862" s="0" t="s">
        <v>7287</v>
      </c>
      <c r="G1862" s="0" t="s">
        <v>7267</v>
      </c>
    </row>
    <row r="1863" customFormat="false" ht="15" hidden="false" customHeight="false" outlineLevel="0" collapsed="false">
      <c r="A1863" s="0" t="s">
        <v>201</v>
      </c>
      <c r="B1863" s="0" t="n">
        <v>2018</v>
      </c>
      <c r="C1863" s="0" t="s">
        <v>1804</v>
      </c>
      <c r="D1863" s="0" t="s">
        <v>7274</v>
      </c>
      <c r="E1863" s="0" t="s">
        <v>7275</v>
      </c>
      <c r="F1863" s="0" t="s">
        <v>7287</v>
      </c>
      <c r="G1863" s="0" t="s">
        <v>7267</v>
      </c>
    </row>
    <row r="1864" customFormat="false" ht="15" hidden="false" customHeight="false" outlineLevel="0" collapsed="false">
      <c r="A1864" s="0" t="s">
        <v>201</v>
      </c>
      <c r="B1864" s="0" t="n">
        <v>2019</v>
      </c>
      <c r="C1864" s="0" t="s">
        <v>54</v>
      </c>
      <c r="D1864" s="0" t="n">
        <v>3383</v>
      </c>
      <c r="E1864" s="0" t="s">
        <v>7275</v>
      </c>
      <c r="F1864" s="0" t="s">
        <v>7287</v>
      </c>
      <c r="G1864" s="0" t="s">
        <v>7267</v>
      </c>
    </row>
    <row r="1865" customFormat="false" ht="15" hidden="false" customHeight="false" outlineLevel="0" collapsed="false">
      <c r="A1865" s="0" t="s">
        <v>201</v>
      </c>
      <c r="B1865" s="0" t="n">
        <v>2019</v>
      </c>
      <c r="C1865" s="0" t="s">
        <v>1327</v>
      </c>
      <c r="D1865" s="0" t="n">
        <v>44587</v>
      </c>
      <c r="E1865" s="0" t="s">
        <v>7275</v>
      </c>
      <c r="F1865" s="0" t="s">
        <v>7287</v>
      </c>
      <c r="G1865" s="0" t="s">
        <v>7267</v>
      </c>
    </row>
    <row r="1866" customFormat="false" ht="15" hidden="false" customHeight="false" outlineLevel="0" collapsed="false">
      <c r="A1866" s="0" t="s">
        <v>201</v>
      </c>
      <c r="B1866" s="0" t="n">
        <v>2019</v>
      </c>
      <c r="C1866" s="0" t="s">
        <v>55</v>
      </c>
      <c r="D1866" s="0" t="n">
        <v>293052</v>
      </c>
      <c r="E1866" s="0" t="s">
        <v>7275</v>
      </c>
      <c r="F1866" s="0" t="s">
        <v>7287</v>
      </c>
      <c r="G1866" s="0" t="s">
        <v>7267</v>
      </c>
    </row>
    <row r="1867" customFormat="false" ht="15" hidden="false" customHeight="false" outlineLevel="0" collapsed="false">
      <c r="A1867" s="0" t="s">
        <v>201</v>
      </c>
      <c r="B1867" s="0" t="n">
        <v>2019</v>
      </c>
      <c r="C1867" s="0" t="s">
        <v>60</v>
      </c>
      <c r="D1867" s="0" t="n">
        <v>106914</v>
      </c>
      <c r="E1867" s="0" t="s">
        <v>7275</v>
      </c>
      <c r="F1867" s="0" t="s">
        <v>7287</v>
      </c>
      <c r="G1867" s="0" t="s">
        <v>7267</v>
      </c>
    </row>
    <row r="1868" customFormat="false" ht="15" hidden="false" customHeight="false" outlineLevel="0" collapsed="false">
      <c r="A1868" s="0" t="s">
        <v>201</v>
      </c>
      <c r="B1868" s="0" t="n">
        <v>2019</v>
      </c>
      <c r="C1868" s="0" t="s">
        <v>61</v>
      </c>
      <c r="D1868" s="0" t="n">
        <v>14841</v>
      </c>
      <c r="E1868" s="0" t="s">
        <v>7275</v>
      </c>
      <c r="F1868" s="0" t="s">
        <v>7287</v>
      </c>
      <c r="G1868" s="0" t="s">
        <v>7267</v>
      </c>
    </row>
    <row r="1869" customFormat="false" ht="15" hidden="false" customHeight="false" outlineLevel="0" collapsed="false">
      <c r="A1869" s="0" t="s">
        <v>201</v>
      </c>
      <c r="B1869" s="0" t="n">
        <v>2019</v>
      </c>
      <c r="C1869" s="0" t="s">
        <v>327</v>
      </c>
      <c r="D1869" s="0" t="n">
        <v>0.9</v>
      </c>
      <c r="E1869" s="0" t="s">
        <v>7275</v>
      </c>
      <c r="F1869" s="0" t="s">
        <v>7287</v>
      </c>
      <c r="G1869" s="0" t="s">
        <v>7267</v>
      </c>
    </row>
    <row r="1870" customFormat="false" ht="15" hidden="false" customHeight="false" outlineLevel="0" collapsed="false">
      <c r="A1870" s="0" t="s">
        <v>201</v>
      </c>
      <c r="B1870" s="0" t="n">
        <v>2019</v>
      </c>
      <c r="C1870" s="0" t="s">
        <v>69</v>
      </c>
      <c r="D1870" s="0" t="n">
        <v>-201.59</v>
      </c>
      <c r="E1870" s="0" t="s">
        <v>7275</v>
      </c>
      <c r="F1870" s="0" t="s">
        <v>7287</v>
      </c>
      <c r="G1870" s="0" t="s">
        <v>7267</v>
      </c>
    </row>
    <row r="1871" customFormat="false" ht="15" hidden="false" customHeight="false" outlineLevel="0" collapsed="false">
      <c r="A1871" s="0" t="s">
        <v>201</v>
      </c>
      <c r="B1871" s="0" t="n">
        <v>2019</v>
      </c>
      <c r="C1871" s="0" t="s">
        <v>73</v>
      </c>
      <c r="D1871" s="0" t="n">
        <v>1</v>
      </c>
      <c r="E1871" s="0" t="s">
        <v>7275</v>
      </c>
      <c r="F1871" s="0" t="s">
        <v>7287</v>
      </c>
      <c r="G1871" s="0" t="s">
        <v>7267</v>
      </c>
    </row>
    <row r="1872" customFormat="false" ht="15" hidden="false" customHeight="false" outlineLevel="0" collapsed="false">
      <c r="A1872" s="0" t="s">
        <v>201</v>
      </c>
      <c r="B1872" s="0" t="n">
        <v>2019</v>
      </c>
      <c r="C1872" s="0" t="s">
        <v>1804</v>
      </c>
      <c r="D1872" s="0" t="s">
        <v>3392</v>
      </c>
      <c r="E1872" s="0" t="s">
        <v>7275</v>
      </c>
      <c r="F1872" s="0" t="s">
        <v>7287</v>
      </c>
      <c r="G1872" s="0" t="s">
        <v>7267</v>
      </c>
    </row>
    <row r="1873" customFormat="false" ht="15" hidden="false" customHeight="false" outlineLevel="0" collapsed="false">
      <c r="A1873" s="0" t="s">
        <v>201</v>
      </c>
      <c r="B1873" s="0" t="n">
        <v>2020</v>
      </c>
      <c r="C1873" s="0" t="s">
        <v>54</v>
      </c>
      <c r="D1873" s="0" t="n">
        <v>2086</v>
      </c>
      <c r="E1873" s="0" t="s">
        <v>7275</v>
      </c>
      <c r="F1873" s="0" t="s">
        <v>7287</v>
      </c>
      <c r="G1873" s="0" t="s">
        <v>7267</v>
      </c>
    </row>
    <row r="1874" customFormat="false" ht="15" hidden="false" customHeight="false" outlineLevel="0" collapsed="false">
      <c r="A1874" s="0" t="s">
        <v>201</v>
      </c>
      <c r="B1874" s="0" t="n">
        <v>2020</v>
      </c>
      <c r="C1874" s="0" t="s">
        <v>1327</v>
      </c>
      <c r="D1874" s="0" t="n">
        <v>42709</v>
      </c>
      <c r="E1874" s="0" t="s">
        <v>7275</v>
      </c>
      <c r="F1874" s="0" t="s">
        <v>7287</v>
      </c>
      <c r="G1874" s="0" t="s">
        <v>7267</v>
      </c>
    </row>
    <row r="1875" customFormat="false" ht="15" hidden="false" customHeight="false" outlineLevel="0" collapsed="false">
      <c r="A1875" s="0" t="s">
        <v>201</v>
      </c>
      <c r="B1875" s="0" t="n">
        <v>2020</v>
      </c>
      <c r="C1875" s="0" t="s">
        <v>55</v>
      </c>
      <c r="D1875" s="0" t="n">
        <v>492020</v>
      </c>
      <c r="E1875" s="0" t="s">
        <v>7275</v>
      </c>
      <c r="F1875" s="0" t="s">
        <v>7287</v>
      </c>
      <c r="G1875" s="0" t="s">
        <v>7267</v>
      </c>
    </row>
    <row r="1876" customFormat="false" ht="15" hidden="false" customHeight="false" outlineLevel="0" collapsed="false">
      <c r="A1876" s="0" t="s">
        <v>201</v>
      </c>
      <c r="B1876" s="0" t="n">
        <v>2020</v>
      </c>
      <c r="C1876" s="0" t="s">
        <v>60</v>
      </c>
      <c r="D1876" s="0" t="n">
        <v>206206</v>
      </c>
      <c r="E1876" s="0" t="s">
        <v>7275</v>
      </c>
      <c r="F1876" s="0" t="s">
        <v>7287</v>
      </c>
      <c r="G1876" s="0" t="s">
        <v>7267</v>
      </c>
    </row>
    <row r="1877" customFormat="false" ht="15" hidden="false" customHeight="false" outlineLevel="0" collapsed="false">
      <c r="A1877" s="0" t="s">
        <v>201</v>
      </c>
      <c r="B1877" s="0" t="n">
        <v>2020</v>
      </c>
      <c r="C1877" s="0" t="s">
        <v>61</v>
      </c>
      <c r="D1877" s="0" t="n">
        <v>11909</v>
      </c>
      <c r="E1877" s="0" t="s">
        <v>7275</v>
      </c>
      <c r="F1877" s="0" t="s">
        <v>7287</v>
      </c>
      <c r="G1877" s="0" t="s">
        <v>7267</v>
      </c>
    </row>
    <row r="1878" customFormat="false" ht="15" hidden="false" customHeight="false" outlineLevel="0" collapsed="false">
      <c r="A1878" s="0" t="s">
        <v>201</v>
      </c>
      <c r="B1878" s="0" t="n">
        <v>2020</v>
      </c>
      <c r="C1878" s="0" t="s">
        <v>63</v>
      </c>
      <c r="D1878" s="0" t="n">
        <v>4127</v>
      </c>
      <c r="E1878" s="0" t="s">
        <v>7275</v>
      </c>
      <c r="F1878" s="0" t="s">
        <v>7287</v>
      </c>
      <c r="G1878" s="0" t="s">
        <v>7267</v>
      </c>
    </row>
    <row r="1879" customFormat="false" ht="15" hidden="false" customHeight="false" outlineLevel="0" collapsed="false">
      <c r="A1879" s="0" t="s">
        <v>201</v>
      </c>
      <c r="B1879" s="0" t="n">
        <v>2020</v>
      </c>
      <c r="C1879" s="0" t="s">
        <v>327</v>
      </c>
      <c r="D1879" s="0" t="n">
        <v>0.03</v>
      </c>
      <c r="E1879" s="0" t="s">
        <v>7275</v>
      </c>
      <c r="F1879" s="0" t="s">
        <v>7287</v>
      </c>
      <c r="G1879" s="0" t="s">
        <v>7267</v>
      </c>
    </row>
    <row r="1880" customFormat="false" ht="15" hidden="false" customHeight="false" outlineLevel="0" collapsed="false">
      <c r="A1880" s="0" t="s">
        <v>201</v>
      </c>
      <c r="B1880" s="0" t="n">
        <v>2020</v>
      </c>
      <c r="C1880" s="0" t="s">
        <v>69</v>
      </c>
      <c r="D1880" s="0" t="n">
        <v>-101.47</v>
      </c>
      <c r="E1880" s="0" t="s">
        <v>7275</v>
      </c>
      <c r="F1880" s="0" t="s">
        <v>7287</v>
      </c>
      <c r="G1880" s="0" t="s">
        <v>7267</v>
      </c>
    </row>
    <row r="1881" customFormat="false" ht="15" hidden="false" customHeight="false" outlineLevel="0" collapsed="false">
      <c r="A1881" s="0" t="s">
        <v>201</v>
      </c>
      <c r="B1881" s="0" t="n">
        <v>2020</v>
      </c>
      <c r="C1881" s="0" t="s">
        <v>73</v>
      </c>
      <c r="D1881" s="0" t="n">
        <v>1</v>
      </c>
      <c r="E1881" s="0" t="s">
        <v>7275</v>
      </c>
      <c r="F1881" s="0" t="s">
        <v>7287</v>
      </c>
      <c r="G1881" s="0" t="s">
        <v>7267</v>
      </c>
    </row>
    <row r="1882" customFormat="false" ht="15" hidden="false" customHeight="false" outlineLevel="0" collapsed="false">
      <c r="A1882" s="0" t="s">
        <v>201</v>
      </c>
      <c r="B1882" s="0" t="n">
        <v>2020</v>
      </c>
      <c r="C1882" s="0" t="s">
        <v>1804</v>
      </c>
      <c r="D1882" s="0" t="s">
        <v>3392</v>
      </c>
      <c r="E1882" s="0" t="s">
        <v>7275</v>
      </c>
      <c r="F1882" s="0" t="s">
        <v>7287</v>
      </c>
      <c r="G1882" s="0" t="s">
        <v>7267</v>
      </c>
    </row>
    <row r="1883" customFormat="false" ht="15" hidden="false" customHeight="false" outlineLevel="0" collapsed="false">
      <c r="A1883" s="0" t="s">
        <v>201</v>
      </c>
      <c r="B1883" s="0" t="n">
        <v>2021</v>
      </c>
      <c r="C1883" s="0" t="s">
        <v>54</v>
      </c>
      <c r="D1883" s="0" t="n">
        <v>3173</v>
      </c>
      <c r="E1883" s="0" t="s">
        <v>7275</v>
      </c>
      <c r="F1883" s="0" t="s">
        <v>7287</v>
      </c>
      <c r="G1883" s="0" t="s">
        <v>7267</v>
      </c>
    </row>
    <row r="1884" customFormat="false" ht="15" hidden="false" customHeight="false" outlineLevel="0" collapsed="false">
      <c r="A1884" s="0" t="s">
        <v>201</v>
      </c>
      <c r="B1884" s="0" t="n">
        <v>2021</v>
      </c>
      <c r="C1884" s="0" t="s">
        <v>1327</v>
      </c>
      <c r="D1884" s="0" t="n">
        <v>50284</v>
      </c>
      <c r="E1884" s="0" t="s">
        <v>7275</v>
      </c>
      <c r="F1884" s="0" t="s">
        <v>7287</v>
      </c>
      <c r="G1884" s="0" t="s">
        <v>7267</v>
      </c>
    </row>
    <row r="1885" customFormat="false" ht="15" hidden="false" customHeight="false" outlineLevel="0" collapsed="false">
      <c r="A1885" s="0" t="s">
        <v>201</v>
      </c>
      <c r="B1885" s="0" t="n">
        <v>2021</v>
      </c>
      <c r="C1885" s="0" t="s">
        <v>55</v>
      </c>
      <c r="D1885" s="0" t="n">
        <v>538869</v>
      </c>
      <c r="E1885" s="0" t="s">
        <v>7275</v>
      </c>
      <c r="F1885" s="0" t="s">
        <v>7287</v>
      </c>
      <c r="G1885" s="0" t="s">
        <v>7267</v>
      </c>
    </row>
    <row r="1886" customFormat="false" ht="15" hidden="false" customHeight="false" outlineLevel="0" collapsed="false">
      <c r="A1886" s="0" t="s">
        <v>201</v>
      </c>
      <c r="B1886" s="0" t="n">
        <v>2021</v>
      </c>
      <c r="C1886" s="0" t="s">
        <v>60</v>
      </c>
      <c r="D1886" s="0" t="n">
        <v>272469</v>
      </c>
      <c r="E1886" s="0" t="s">
        <v>7275</v>
      </c>
      <c r="F1886" s="0" t="s">
        <v>7287</v>
      </c>
      <c r="G1886" s="0" t="s">
        <v>7267</v>
      </c>
    </row>
    <row r="1887" customFormat="false" ht="15" hidden="false" customHeight="false" outlineLevel="0" collapsed="false">
      <c r="A1887" s="0" t="s">
        <v>201</v>
      </c>
      <c r="B1887" s="0" t="n">
        <v>2021</v>
      </c>
      <c r="C1887" s="0" t="s">
        <v>61</v>
      </c>
      <c r="D1887" s="0" t="n">
        <v>3199</v>
      </c>
      <c r="E1887" s="0" t="s">
        <v>7275</v>
      </c>
      <c r="F1887" s="0" t="s">
        <v>7287</v>
      </c>
      <c r="G1887" s="0" t="s">
        <v>7267</v>
      </c>
    </row>
    <row r="1888" customFormat="false" ht="15" hidden="false" customHeight="false" outlineLevel="0" collapsed="false">
      <c r="A1888" s="0" t="s">
        <v>201</v>
      </c>
      <c r="B1888" s="0" t="n">
        <v>2021</v>
      </c>
      <c r="C1888" s="0" t="s">
        <v>63</v>
      </c>
      <c r="D1888" s="0" t="n">
        <v>2564</v>
      </c>
      <c r="E1888" s="0" t="s">
        <v>7275</v>
      </c>
      <c r="F1888" s="0" t="s">
        <v>7287</v>
      </c>
      <c r="G1888" s="0" t="s">
        <v>7267</v>
      </c>
    </row>
    <row r="1889" customFormat="false" ht="15" hidden="false" customHeight="false" outlineLevel="0" collapsed="false">
      <c r="A1889" s="0" t="s">
        <v>201</v>
      </c>
      <c r="B1889" s="0" t="n">
        <v>2021</v>
      </c>
      <c r="C1889" s="0" t="s">
        <v>327</v>
      </c>
      <c r="D1889" s="0" t="n">
        <v>0.04</v>
      </c>
      <c r="E1889" s="0" t="s">
        <v>7275</v>
      </c>
      <c r="F1889" s="0" t="s">
        <v>7287</v>
      </c>
      <c r="G1889" s="0" t="s">
        <v>7267</v>
      </c>
    </row>
    <row r="1890" customFormat="false" ht="15" hidden="false" customHeight="false" outlineLevel="0" collapsed="false">
      <c r="A1890" s="0" t="s">
        <v>201</v>
      </c>
      <c r="B1890" s="0" t="n">
        <v>2021</v>
      </c>
      <c r="C1890" s="0" t="s">
        <v>69</v>
      </c>
      <c r="D1890" s="0" t="n">
        <v>-86.18</v>
      </c>
      <c r="E1890" s="0" t="s">
        <v>7275</v>
      </c>
      <c r="F1890" s="0" t="s">
        <v>7287</v>
      </c>
      <c r="G1890" s="0" t="s">
        <v>7267</v>
      </c>
    </row>
    <row r="1891" customFormat="false" ht="15" hidden="false" customHeight="false" outlineLevel="0" collapsed="false">
      <c r="A1891" s="0" t="s">
        <v>201</v>
      </c>
      <c r="B1891" s="0" t="n">
        <v>2021</v>
      </c>
      <c r="C1891" s="0" t="s">
        <v>73</v>
      </c>
      <c r="D1891" s="0" t="n">
        <v>1</v>
      </c>
      <c r="E1891" s="0" t="s">
        <v>7275</v>
      </c>
      <c r="F1891" s="0" t="s">
        <v>7287</v>
      </c>
      <c r="G1891" s="0" t="s">
        <v>7267</v>
      </c>
    </row>
    <row r="1892" customFormat="false" ht="15" hidden="false" customHeight="false" outlineLevel="0" collapsed="false">
      <c r="A1892" s="0" t="s">
        <v>201</v>
      </c>
      <c r="B1892" s="0" t="n">
        <v>2021</v>
      </c>
      <c r="C1892" s="0" t="s">
        <v>1804</v>
      </c>
      <c r="D1892" s="0" t="s">
        <v>3392</v>
      </c>
      <c r="E1892" s="0" t="s">
        <v>7275</v>
      </c>
      <c r="F1892" s="0" t="s">
        <v>7287</v>
      </c>
      <c r="G1892" s="0" t="s">
        <v>7267</v>
      </c>
    </row>
    <row r="1893" customFormat="false" ht="15" hidden="false" customHeight="false" outlineLevel="0" collapsed="false">
      <c r="A1893" s="0" t="s">
        <v>201</v>
      </c>
      <c r="B1893" s="0" t="n">
        <v>2022</v>
      </c>
      <c r="C1893" s="0" t="s">
        <v>54</v>
      </c>
      <c r="D1893" s="0" t="n">
        <v>941</v>
      </c>
      <c r="E1893" s="0" t="s">
        <v>7275</v>
      </c>
      <c r="F1893" s="0" t="s">
        <v>7287</v>
      </c>
      <c r="G1893" s="0" t="s">
        <v>7267</v>
      </c>
    </row>
    <row r="1894" customFormat="false" ht="15" hidden="false" customHeight="false" outlineLevel="0" collapsed="false">
      <c r="A1894" s="0" t="s">
        <v>201</v>
      </c>
      <c r="B1894" s="0" t="n">
        <v>2022</v>
      </c>
      <c r="C1894" s="0" t="s">
        <v>1327</v>
      </c>
      <c r="D1894" s="0" t="n">
        <v>57150</v>
      </c>
      <c r="E1894" s="0" t="s">
        <v>7275</v>
      </c>
      <c r="F1894" s="0" t="s">
        <v>7287</v>
      </c>
      <c r="G1894" s="0" t="s">
        <v>7267</v>
      </c>
    </row>
    <row r="1895" customFormat="false" ht="15" hidden="false" customHeight="false" outlineLevel="0" collapsed="false">
      <c r="A1895" s="0" t="s">
        <v>201</v>
      </c>
      <c r="B1895" s="0" t="n">
        <v>2022</v>
      </c>
      <c r="C1895" s="0" t="s">
        <v>55</v>
      </c>
      <c r="D1895" s="0" t="n">
        <v>510144</v>
      </c>
      <c r="E1895" s="0" t="s">
        <v>7275</v>
      </c>
      <c r="F1895" s="0" t="s">
        <v>7287</v>
      </c>
      <c r="G1895" s="0" t="s">
        <v>7267</v>
      </c>
    </row>
    <row r="1896" customFormat="false" ht="15" hidden="false" customHeight="false" outlineLevel="0" collapsed="false">
      <c r="A1896" s="0" t="s">
        <v>201</v>
      </c>
      <c r="B1896" s="0" t="n">
        <v>2022</v>
      </c>
      <c r="C1896" s="0" t="s">
        <v>60</v>
      </c>
      <c r="D1896" s="0" t="n">
        <v>292969</v>
      </c>
      <c r="E1896" s="0" t="s">
        <v>7275</v>
      </c>
      <c r="F1896" s="0" t="s">
        <v>7287</v>
      </c>
      <c r="G1896" s="0" t="s">
        <v>7267</v>
      </c>
    </row>
    <row r="1897" customFormat="false" ht="15" hidden="false" customHeight="false" outlineLevel="0" collapsed="false">
      <c r="A1897" s="0" t="s">
        <v>201</v>
      </c>
      <c r="B1897" s="0" t="n">
        <v>2022</v>
      </c>
      <c r="C1897" s="0" t="s">
        <v>61</v>
      </c>
      <c r="D1897" s="0" t="n">
        <v>3613</v>
      </c>
      <c r="E1897" s="0" t="s">
        <v>7275</v>
      </c>
      <c r="F1897" s="0" t="s">
        <v>7287</v>
      </c>
      <c r="G1897" s="0" t="s">
        <v>7267</v>
      </c>
    </row>
    <row r="1898" customFormat="false" ht="15" hidden="false" customHeight="false" outlineLevel="0" collapsed="false">
      <c r="A1898" s="0" t="s">
        <v>201</v>
      </c>
      <c r="B1898" s="0" t="n">
        <v>2022</v>
      </c>
      <c r="C1898" s="0" t="s">
        <v>63</v>
      </c>
      <c r="D1898" s="0" t="n">
        <v>1204</v>
      </c>
      <c r="E1898" s="0" t="s">
        <v>7275</v>
      </c>
      <c r="F1898" s="0" t="s">
        <v>7287</v>
      </c>
      <c r="G1898" s="0" t="s">
        <v>7267</v>
      </c>
    </row>
    <row r="1899" customFormat="false" ht="15" hidden="false" customHeight="false" outlineLevel="0" collapsed="false">
      <c r="A1899" s="0" t="s">
        <v>201</v>
      </c>
      <c r="B1899" s="0" t="n">
        <v>2022</v>
      </c>
      <c r="C1899" s="0" t="s">
        <v>327</v>
      </c>
      <c r="D1899" s="0" t="n">
        <v>3.62</v>
      </c>
      <c r="E1899" s="0" t="s">
        <v>7275</v>
      </c>
      <c r="F1899" s="0" t="s">
        <v>7287</v>
      </c>
      <c r="G1899" s="0" t="s">
        <v>7267</v>
      </c>
    </row>
    <row r="1900" customFormat="false" ht="15" hidden="false" customHeight="false" outlineLevel="0" collapsed="false">
      <c r="A1900" s="0" t="s">
        <v>201</v>
      </c>
      <c r="B1900" s="0" t="n">
        <v>2022</v>
      </c>
      <c r="C1900" s="0" t="s">
        <v>69</v>
      </c>
      <c r="D1900" s="0" t="n">
        <v>-89.69</v>
      </c>
      <c r="E1900" s="0" t="s">
        <v>7275</v>
      </c>
      <c r="F1900" s="0" t="s">
        <v>7287</v>
      </c>
      <c r="G1900" s="0" t="s">
        <v>7267</v>
      </c>
    </row>
    <row r="1901" customFormat="false" ht="15" hidden="false" customHeight="false" outlineLevel="0" collapsed="false">
      <c r="A1901" s="0" t="s">
        <v>201</v>
      </c>
      <c r="B1901" s="0" t="n">
        <v>2022</v>
      </c>
      <c r="C1901" s="0" t="s">
        <v>73</v>
      </c>
      <c r="D1901" s="0" t="n">
        <v>1</v>
      </c>
      <c r="E1901" s="0" t="s">
        <v>7275</v>
      </c>
      <c r="F1901" s="0" t="s">
        <v>7287</v>
      </c>
      <c r="G1901" s="0" t="s">
        <v>7267</v>
      </c>
    </row>
    <row r="1902" customFormat="false" ht="15" hidden="false" customHeight="false" outlineLevel="0" collapsed="false">
      <c r="A1902" s="0" t="s">
        <v>201</v>
      </c>
      <c r="B1902" s="0" t="n">
        <v>2022</v>
      </c>
      <c r="C1902" s="0" t="s">
        <v>1804</v>
      </c>
      <c r="D1902" s="0" t="s">
        <v>3392</v>
      </c>
      <c r="E1902" s="0" t="s">
        <v>7275</v>
      </c>
      <c r="F1902" s="0" t="s">
        <v>7287</v>
      </c>
      <c r="G1902" s="0" t="s">
        <v>7267</v>
      </c>
    </row>
    <row r="1903" customFormat="false" ht="15" hidden="false" customHeight="false" outlineLevel="0" collapsed="false">
      <c r="A1903" s="0" t="s">
        <v>187</v>
      </c>
      <c r="B1903" s="0" t="n">
        <v>2015</v>
      </c>
      <c r="C1903" s="0" t="s">
        <v>54</v>
      </c>
      <c r="D1903" s="0" t="n">
        <v>17721</v>
      </c>
      <c r="E1903" s="0" t="s">
        <v>7275</v>
      </c>
      <c r="F1903" s="0" t="s">
        <v>7288</v>
      </c>
      <c r="G1903" s="0" t="s">
        <v>7267</v>
      </c>
    </row>
    <row r="1904" customFormat="false" ht="15" hidden="false" customHeight="false" outlineLevel="0" collapsed="false">
      <c r="A1904" s="0" t="s">
        <v>187</v>
      </c>
      <c r="B1904" s="0" t="n">
        <v>2015</v>
      </c>
      <c r="C1904" s="0" t="s">
        <v>1327</v>
      </c>
      <c r="D1904" s="0" t="n">
        <v>118366</v>
      </c>
      <c r="E1904" s="0" t="s">
        <v>7275</v>
      </c>
      <c r="F1904" s="0" t="s">
        <v>7288</v>
      </c>
      <c r="G1904" s="0" t="s">
        <v>7267</v>
      </c>
    </row>
    <row r="1905" customFormat="false" ht="15" hidden="false" customHeight="false" outlineLevel="0" collapsed="false">
      <c r="A1905" s="0" t="s">
        <v>187</v>
      </c>
      <c r="B1905" s="0" t="n">
        <v>2015</v>
      </c>
      <c r="C1905" s="0" t="s">
        <v>55</v>
      </c>
      <c r="D1905" s="0" t="n">
        <v>998137</v>
      </c>
      <c r="E1905" s="0" t="s">
        <v>7275</v>
      </c>
      <c r="F1905" s="0" t="s">
        <v>7288</v>
      </c>
      <c r="G1905" s="0" t="s">
        <v>7267</v>
      </c>
    </row>
    <row r="1906" customFormat="false" ht="15" hidden="false" customHeight="false" outlineLevel="0" collapsed="false">
      <c r="A1906" s="0" t="s">
        <v>187</v>
      </c>
      <c r="B1906" s="0" t="n">
        <v>2015</v>
      </c>
      <c r="C1906" s="0" t="s">
        <v>60</v>
      </c>
      <c r="D1906" s="0" t="n">
        <v>370919</v>
      </c>
      <c r="E1906" s="0" t="s">
        <v>7275</v>
      </c>
      <c r="F1906" s="0" t="s">
        <v>7288</v>
      </c>
      <c r="G1906" s="0" t="s">
        <v>7267</v>
      </c>
    </row>
    <row r="1907" customFormat="false" ht="15" hidden="false" customHeight="false" outlineLevel="0" collapsed="false">
      <c r="A1907" s="0" t="s">
        <v>187</v>
      </c>
      <c r="B1907" s="0" t="n">
        <v>2015</v>
      </c>
      <c r="C1907" s="0" t="s">
        <v>61</v>
      </c>
      <c r="D1907" s="0" t="n">
        <v>21965</v>
      </c>
      <c r="E1907" s="0" t="s">
        <v>7275</v>
      </c>
      <c r="F1907" s="0" t="s">
        <v>7288</v>
      </c>
      <c r="G1907" s="0" t="s">
        <v>7267</v>
      </c>
    </row>
    <row r="1908" customFormat="false" ht="15" hidden="false" customHeight="false" outlineLevel="0" collapsed="false">
      <c r="A1908" s="0" t="s">
        <v>187</v>
      </c>
      <c r="B1908" s="0" t="n">
        <v>2015</v>
      </c>
      <c r="C1908" s="0" t="s">
        <v>63</v>
      </c>
      <c r="D1908" s="0" t="n">
        <v>9176</v>
      </c>
      <c r="E1908" s="0" t="s">
        <v>7275</v>
      </c>
      <c r="F1908" s="0" t="s">
        <v>7288</v>
      </c>
      <c r="G1908" s="0" t="s">
        <v>7267</v>
      </c>
    </row>
    <row r="1909" customFormat="false" ht="15" hidden="false" customHeight="false" outlineLevel="0" collapsed="false">
      <c r="A1909" s="0" t="s">
        <v>187</v>
      </c>
      <c r="B1909" s="0" t="n">
        <v>2015</v>
      </c>
      <c r="C1909" s="0" t="s">
        <v>327</v>
      </c>
      <c r="D1909" s="0" t="n">
        <v>6.99</v>
      </c>
      <c r="E1909" s="0" t="s">
        <v>7275</v>
      </c>
      <c r="F1909" s="0" t="s">
        <v>7288</v>
      </c>
      <c r="G1909" s="0" t="s">
        <v>7267</v>
      </c>
    </row>
    <row r="1910" customFormat="false" ht="15" hidden="false" customHeight="false" outlineLevel="0" collapsed="false">
      <c r="A1910" s="0" t="s">
        <v>187</v>
      </c>
      <c r="B1910" s="0" t="n">
        <v>2015</v>
      </c>
      <c r="C1910" s="0" t="s">
        <v>69</v>
      </c>
      <c r="D1910" s="0" t="n">
        <v>15.3</v>
      </c>
      <c r="E1910" s="0" t="s">
        <v>7275</v>
      </c>
      <c r="F1910" s="0" t="s">
        <v>7288</v>
      </c>
      <c r="G1910" s="0" t="s">
        <v>7267</v>
      </c>
    </row>
    <row r="1911" customFormat="false" ht="15" hidden="false" customHeight="false" outlineLevel="0" collapsed="false">
      <c r="A1911" s="0" t="s">
        <v>187</v>
      </c>
      <c r="B1911" s="0" t="n">
        <v>2015</v>
      </c>
      <c r="C1911" s="0" t="s">
        <v>73</v>
      </c>
      <c r="D1911" s="0" t="n">
        <v>0</v>
      </c>
      <c r="E1911" s="0" t="s">
        <v>7275</v>
      </c>
      <c r="F1911" s="0" t="s">
        <v>7288</v>
      </c>
      <c r="G1911" s="0" t="s">
        <v>7267</v>
      </c>
    </row>
    <row r="1912" customFormat="false" ht="15" hidden="false" customHeight="false" outlineLevel="0" collapsed="false">
      <c r="A1912" s="0" t="s">
        <v>187</v>
      </c>
      <c r="B1912" s="0" t="n">
        <v>2015</v>
      </c>
      <c r="C1912" s="0" t="s">
        <v>1804</v>
      </c>
      <c r="D1912" s="0" t="s">
        <v>3392</v>
      </c>
      <c r="E1912" s="0" t="s">
        <v>7275</v>
      </c>
      <c r="F1912" s="0" t="s">
        <v>7288</v>
      </c>
      <c r="G1912" s="0" t="s">
        <v>7267</v>
      </c>
    </row>
    <row r="1913" customFormat="false" ht="15" hidden="false" customHeight="false" outlineLevel="0" collapsed="false">
      <c r="A1913" s="0" t="s">
        <v>187</v>
      </c>
      <c r="B1913" s="0" t="n">
        <v>2016</v>
      </c>
      <c r="C1913" s="0" t="s">
        <v>54</v>
      </c>
      <c r="D1913" s="0" t="n">
        <v>15885</v>
      </c>
      <c r="E1913" s="0" t="s">
        <v>7275</v>
      </c>
      <c r="F1913" s="0" t="s">
        <v>7288</v>
      </c>
      <c r="G1913" s="0" t="s">
        <v>7267</v>
      </c>
    </row>
    <row r="1914" customFormat="false" ht="15" hidden="false" customHeight="false" outlineLevel="0" collapsed="false">
      <c r="A1914" s="0" t="s">
        <v>187</v>
      </c>
      <c r="B1914" s="0" t="n">
        <v>2016</v>
      </c>
      <c r="C1914" s="0" t="s">
        <v>1327</v>
      </c>
      <c r="D1914" s="0" t="n">
        <v>123455</v>
      </c>
      <c r="E1914" s="0" t="s">
        <v>7275</v>
      </c>
      <c r="F1914" s="0" t="s">
        <v>7288</v>
      </c>
      <c r="G1914" s="0" t="s">
        <v>7267</v>
      </c>
    </row>
    <row r="1915" customFormat="false" ht="15" hidden="false" customHeight="false" outlineLevel="0" collapsed="false">
      <c r="A1915" s="0" t="s">
        <v>187</v>
      </c>
      <c r="B1915" s="0" t="n">
        <v>2016</v>
      </c>
      <c r="C1915" s="0" t="s">
        <v>55</v>
      </c>
      <c r="D1915" s="0" t="n">
        <v>1123483</v>
      </c>
      <c r="E1915" s="0" t="s">
        <v>7275</v>
      </c>
      <c r="F1915" s="0" t="s">
        <v>7288</v>
      </c>
      <c r="G1915" s="0" t="s">
        <v>7267</v>
      </c>
    </row>
    <row r="1916" customFormat="false" ht="15" hidden="false" customHeight="false" outlineLevel="0" collapsed="false">
      <c r="A1916" s="0" t="s">
        <v>187</v>
      </c>
      <c r="B1916" s="0" t="n">
        <v>2016</v>
      </c>
      <c r="C1916" s="0" t="s">
        <v>60</v>
      </c>
      <c r="D1916" s="0" t="n">
        <v>518349</v>
      </c>
      <c r="E1916" s="0" t="s">
        <v>7275</v>
      </c>
      <c r="F1916" s="0" t="s">
        <v>7288</v>
      </c>
      <c r="G1916" s="0" t="s">
        <v>7267</v>
      </c>
    </row>
    <row r="1917" customFormat="false" ht="15" hidden="false" customHeight="false" outlineLevel="0" collapsed="false">
      <c r="A1917" s="0" t="s">
        <v>187</v>
      </c>
      <c r="B1917" s="0" t="n">
        <v>2016</v>
      </c>
      <c r="C1917" s="0" t="s">
        <v>61</v>
      </c>
      <c r="D1917" s="0" t="n">
        <v>28459</v>
      </c>
      <c r="E1917" s="0" t="s">
        <v>7275</v>
      </c>
      <c r="F1917" s="0" t="s">
        <v>7288</v>
      </c>
      <c r="G1917" s="0" t="s">
        <v>7267</v>
      </c>
    </row>
    <row r="1918" customFormat="false" ht="15" hidden="false" customHeight="false" outlineLevel="0" collapsed="false">
      <c r="A1918" s="0" t="s">
        <v>187</v>
      </c>
      <c r="B1918" s="0" t="n">
        <v>2016</v>
      </c>
      <c r="C1918" s="0" t="s">
        <v>63</v>
      </c>
      <c r="D1918" s="0" t="n">
        <v>15769</v>
      </c>
      <c r="E1918" s="0" t="s">
        <v>7275</v>
      </c>
      <c r="F1918" s="0" t="s">
        <v>7288</v>
      </c>
      <c r="G1918" s="0" t="s">
        <v>7267</v>
      </c>
    </row>
    <row r="1919" customFormat="false" ht="15" hidden="false" customHeight="false" outlineLevel="0" collapsed="false">
      <c r="A1919" s="0" t="s">
        <v>187</v>
      </c>
      <c r="B1919" s="0" t="n">
        <v>2016</v>
      </c>
      <c r="C1919" s="0" t="s">
        <v>327</v>
      </c>
      <c r="D1919" s="0" t="n">
        <v>7.14</v>
      </c>
      <c r="E1919" s="0" t="s">
        <v>7275</v>
      </c>
      <c r="F1919" s="0" t="s">
        <v>7288</v>
      </c>
      <c r="G1919" s="0" t="s">
        <v>7267</v>
      </c>
    </row>
    <row r="1920" customFormat="false" ht="15" hidden="false" customHeight="false" outlineLevel="0" collapsed="false">
      <c r="A1920" s="0" t="s">
        <v>187</v>
      </c>
      <c r="B1920" s="0" t="n">
        <v>2016</v>
      </c>
      <c r="C1920" s="0" t="s">
        <v>69</v>
      </c>
      <c r="D1920" s="0" t="n">
        <v>13.3</v>
      </c>
      <c r="E1920" s="0" t="s">
        <v>7275</v>
      </c>
      <c r="F1920" s="0" t="s">
        <v>7288</v>
      </c>
      <c r="G1920" s="0" t="s">
        <v>7267</v>
      </c>
    </row>
    <row r="1921" customFormat="false" ht="15" hidden="false" customHeight="false" outlineLevel="0" collapsed="false">
      <c r="A1921" s="0" t="s">
        <v>187</v>
      </c>
      <c r="B1921" s="0" t="n">
        <v>2016</v>
      </c>
      <c r="C1921" s="0" t="s">
        <v>73</v>
      </c>
      <c r="D1921" s="0" t="n">
        <v>0</v>
      </c>
      <c r="E1921" s="0" t="s">
        <v>7275</v>
      </c>
      <c r="F1921" s="0" t="s">
        <v>7288</v>
      </c>
      <c r="G1921" s="0" t="s">
        <v>7267</v>
      </c>
    </row>
    <row r="1922" customFormat="false" ht="15" hidden="false" customHeight="false" outlineLevel="0" collapsed="false">
      <c r="A1922" s="0" t="s">
        <v>187</v>
      </c>
      <c r="B1922" s="0" t="n">
        <v>2016</v>
      </c>
      <c r="C1922" s="0" t="s">
        <v>1804</v>
      </c>
      <c r="D1922" s="0" t="s">
        <v>3392</v>
      </c>
      <c r="E1922" s="0" t="s">
        <v>7275</v>
      </c>
      <c r="F1922" s="0" t="s">
        <v>7288</v>
      </c>
      <c r="G1922" s="0" t="s">
        <v>7267</v>
      </c>
    </row>
    <row r="1923" customFormat="false" ht="15" hidden="false" customHeight="false" outlineLevel="0" collapsed="false">
      <c r="A1923" s="0" t="s">
        <v>187</v>
      </c>
      <c r="B1923" s="0" t="n">
        <v>2017</v>
      </c>
      <c r="C1923" s="0" t="s">
        <v>54</v>
      </c>
      <c r="D1923" s="0" t="n">
        <v>12839</v>
      </c>
      <c r="E1923" s="0" t="s">
        <v>7275</v>
      </c>
      <c r="F1923" s="0" t="s">
        <v>7288</v>
      </c>
      <c r="G1923" s="0" t="s">
        <v>7267</v>
      </c>
    </row>
    <row r="1924" customFormat="false" ht="15" hidden="false" customHeight="false" outlineLevel="0" collapsed="false">
      <c r="A1924" s="0" t="s">
        <v>187</v>
      </c>
      <c r="B1924" s="0" t="n">
        <v>2017</v>
      </c>
      <c r="C1924" s="0" t="s">
        <v>1327</v>
      </c>
      <c r="D1924" s="0" t="n">
        <v>157566</v>
      </c>
      <c r="E1924" s="0" t="s">
        <v>7275</v>
      </c>
      <c r="F1924" s="0" t="s">
        <v>7288</v>
      </c>
      <c r="G1924" s="0" t="s">
        <v>7267</v>
      </c>
    </row>
    <row r="1925" customFormat="false" ht="15" hidden="false" customHeight="false" outlineLevel="0" collapsed="false">
      <c r="A1925" s="0" t="s">
        <v>187</v>
      </c>
      <c r="B1925" s="0" t="n">
        <v>2017</v>
      </c>
      <c r="C1925" s="0" t="s">
        <v>55</v>
      </c>
      <c r="D1925" s="0" t="n">
        <v>1334921</v>
      </c>
      <c r="E1925" s="0" t="s">
        <v>7275</v>
      </c>
      <c r="F1925" s="0" t="s">
        <v>7288</v>
      </c>
      <c r="G1925" s="0" t="s">
        <v>7267</v>
      </c>
    </row>
    <row r="1926" customFormat="false" ht="15" hidden="false" customHeight="false" outlineLevel="0" collapsed="false">
      <c r="A1926" s="0" t="s">
        <v>187</v>
      </c>
      <c r="B1926" s="0" t="n">
        <v>2017</v>
      </c>
      <c r="C1926" s="0" t="s">
        <v>60</v>
      </c>
      <c r="D1926" s="0" t="n">
        <v>531807</v>
      </c>
      <c r="E1926" s="0" t="s">
        <v>7275</v>
      </c>
      <c r="F1926" s="0" t="s">
        <v>7288</v>
      </c>
      <c r="G1926" s="0" t="s">
        <v>7267</v>
      </c>
    </row>
    <row r="1927" customFormat="false" ht="15" hidden="false" customHeight="false" outlineLevel="0" collapsed="false">
      <c r="A1927" s="0" t="s">
        <v>187</v>
      </c>
      <c r="B1927" s="0" t="n">
        <v>2017</v>
      </c>
      <c r="C1927" s="0" t="s">
        <v>61</v>
      </c>
      <c r="D1927" s="0" t="n">
        <v>43252</v>
      </c>
      <c r="E1927" s="0" t="s">
        <v>7275</v>
      </c>
      <c r="F1927" s="0" t="s">
        <v>7288</v>
      </c>
      <c r="G1927" s="0" t="s">
        <v>7267</v>
      </c>
    </row>
    <row r="1928" customFormat="false" ht="15" hidden="false" customHeight="false" outlineLevel="0" collapsed="false">
      <c r="A1928" s="0" t="s">
        <v>187</v>
      </c>
      <c r="B1928" s="0" t="n">
        <v>2017</v>
      </c>
      <c r="C1928" s="0" t="s">
        <v>63</v>
      </c>
      <c r="D1928" s="0" t="n">
        <v>25478</v>
      </c>
      <c r="E1928" s="0" t="s">
        <v>7275</v>
      </c>
      <c r="F1928" s="0" t="s">
        <v>7288</v>
      </c>
      <c r="G1928" s="0" t="s">
        <v>7267</v>
      </c>
    </row>
    <row r="1929" customFormat="false" ht="15" hidden="false" customHeight="false" outlineLevel="0" collapsed="false">
      <c r="A1929" s="0" t="s">
        <v>187</v>
      </c>
      <c r="B1929" s="0" t="n">
        <v>2017</v>
      </c>
      <c r="C1929" s="0" t="s">
        <v>327</v>
      </c>
      <c r="D1929" s="0" t="n">
        <v>20.81</v>
      </c>
      <c r="E1929" s="0" t="s">
        <v>7275</v>
      </c>
      <c r="F1929" s="0" t="s">
        <v>7288</v>
      </c>
      <c r="G1929" s="0" t="s">
        <v>7267</v>
      </c>
    </row>
    <row r="1930" customFormat="false" ht="15" hidden="false" customHeight="false" outlineLevel="0" collapsed="false">
      <c r="A1930" s="0" t="s">
        <v>187</v>
      </c>
      <c r="B1930" s="0" t="n">
        <v>2017</v>
      </c>
      <c r="C1930" s="0" t="s">
        <v>69</v>
      </c>
      <c r="D1930" s="0" t="n">
        <v>17.8</v>
      </c>
      <c r="E1930" s="0" t="s">
        <v>7275</v>
      </c>
      <c r="F1930" s="0" t="s">
        <v>7288</v>
      </c>
      <c r="G1930" s="0" t="s">
        <v>7267</v>
      </c>
    </row>
    <row r="1931" customFormat="false" ht="15" hidden="false" customHeight="false" outlineLevel="0" collapsed="false">
      <c r="A1931" s="0" t="s">
        <v>187</v>
      </c>
      <c r="B1931" s="0" t="n">
        <v>2017</v>
      </c>
      <c r="C1931" s="0" t="s">
        <v>73</v>
      </c>
      <c r="D1931" s="0" t="n">
        <v>0</v>
      </c>
      <c r="E1931" s="0" t="s">
        <v>7275</v>
      </c>
      <c r="F1931" s="0" t="s">
        <v>7288</v>
      </c>
      <c r="G1931" s="0" t="s">
        <v>7267</v>
      </c>
    </row>
    <row r="1932" customFormat="false" ht="15" hidden="false" customHeight="false" outlineLevel="0" collapsed="false">
      <c r="A1932" s="0" t="s">
        <v>187</v>
      </c>
      <c r="B1932" s="0" t="n">
        <v>2017</v>
      </c>
      <c r="C1932" s="0" t="s">
        <v>1804</v>
      </c>
      <c r="D1932" s="0" t="s">
        <v>3392</v>
      </c>
      <c r="E1932" s="0" t="s">
        <v>7275</v>
      </c>
      <c r="F1932" s="0" t="s">
        <v>7288</v>
      </c>
      <c r="G1932" s="0" t="s">
        <v>7267</v>
      </c>
    </row>
    <row r="1933" customFormat="false" ht="15" hidden="false" customHeight="false" outlineLevel="0" collapsed="false">
      <c r="A1933" s="0" t="s">
        <v>187</v>
      </c>
      <c r="B1933" s="0" t="n">
        <v>2018</v>
      </c>
      <c r="C1933" s="0" t="s">
        <v>54</v>
      </c>
      <c r="D1933" s="0" t="n">
        <v>18438</v>
      </c>
      <c r="E1933" s="0" t="s">
        <v>7275</v>
      </c>
      <c r="F1933" s="0" t="s">
        <v>7288</v>
      </c>
      <c r="G1933" s="0" t="s">
        <v>7267</v>
      </c>
    </row>
    <row r="1934" customFormat="false" ht="15" hidden="false" customHeight="false" outlineLevel="0" collapsed="false">
      <c r="A1934" s="0" t="s">
        <v>187</v>
      </c>
      <c r="B1934" s="0" t="n">
        <v>2018</v>
      </c>
      <c r="C1934" s="0" t="s">
        <v>1327</v>
      </c>
      <c r="D1934" s="0" t="n">
        <v>140066</v>
      </c>
      <c r="E1934" s="0" t="s">
        <v>7275</v>
      </c>
      <c r="F1934" s="0" t="s">
        <v>7288</v>
      </c>
      <c r="G1934" s="0" t="s">
        <v>7267</v>
      </c>
    </row>
    <row r="1935" customFormat="false" ht="15" hidden="false" customHeight="false" outlineLevel="0" collapsed="false">
      <c r="A1935" s="0" t="s">
        <v>187</v>
      </c>
      <c r="B1935" s="0" t="n">
        <v>2018</v>
      </c>
      <c r="C1935" s="0" t="s">
        <v>55</v>
      </c>
      <c r="D1935" s="0" t="n">
        <v>1324297</v>
      </c>
      <c r="E1935" s="0" t="s">
        <v>7275</v>
      </c>
      <c r="F1935" s="0" t="s">
        <v>7288</v>
      </c>
      <c r="G1935" s="0" t="s">
        <v>7267</v>
      </c>
    </row>
    <row r="1936" customFormat="false" ht="15" hidden="false" customHeight="false" outlineLevel="0" collapsed="false">
      <c r="A1936" s="0" t="s">
        <v>187</v>
      </c>
      <c r="B1936" s="0" t="n">
        <v>2018</v>
      </c>
      <c r="C1936" s="0" t="s">
        <v>60</v>
      </c>
      <c r="D1936" s="0" t="n">
        <v>473396</v>
      </c>
      <c r="E1936" s="0" t="s">
        <v>7275</v>
      </c>
      <c r="F1936" s="0" t="s">
        <v>7288</v>
      </c>
      <c r="G1936" s="0" t="s">
        <v>7267</v>
      </c>
    </row>
    <row r="1937" customFormat="false" ht="15" hidden="false" customHeight="false" outlineLevel="0" collapsed="false">
      <c r="A1937" s="0" t="s">
        <v>187</v>
      </c>
      <c r="B1937" s="0" t="n">
        <v>2018</v>
      </c>
      <c r="C1937" s="0" t="s">
        <v>61</v>
      </c>
      <c r="D1937" s="0" t="n">
        <v>45359</v>
      </c>
      <c r="E1937" s="0" t="s">
        <v>7275</v>
      </c>
      <c r="F1937" s="0" t="s">
        <v>7288</v>
      </c>
      <c r="G1937" s="0" t="s">
        <v>7267</v>
      </c>
    </row>
    <row r="1938" customFormat="false" ht="15" hidden="false" customHeight="false" outlineLevel="0" collapsed="false">
      <c r="A1938" s="0" t="s">
        <v>187</v>
      </c>
      <c r="B1938" s="0" t="n">
        <v>2018</v>
      </c>
      <c r="C1938" s="0" t="s">
        <v>63</v>
      </c>
      <c r="D1938" s="0" t="n">
        <v>-3515</v>
      </c>
      <c r="E1938" s="0" t="s">
        <v>7275</v>
      </c>
      <c r="F1938" s="0" t="s">
        <v>7288</v>
      </c>
      <c r="G1938" s="0" t="s">
        <v>7267</v>
      </c>
    </row>
    <row r="1939" customFormat="false" ht="15" hidden="false" customHeight="false" outlineLevel="0" collapsed="false">
      <c r="A1939" s="0" t="s">
        <v>187</v>
      </c>
      <c r="B1939" s="0" t="n">
        <v>2018</v>
      </c>
      <c r="C1939" s="0" t="s">
        <v>327</v>
      </c>
      <c r="D1939" s="0" t="n">
        <v>8.13</v>
      </c>
      <c r="E1939" s="0" t="s">
        <v>7275</v>
      </c>
      <c r="F1939" s="0" t="s">
        <v>7288</v>
      </c>
      <c r="G1939" s="0" t="s">
        <v>7267</v>
      </c>
    </row>
    <row r="1940" customFormat="false" ht="15" hidden="false" customHeight="false" outlineLevel="0" collapsed="false">
      <c r="A1940" s="0" t="s">
        <v>187</v>
      </c>
      <c r="B1940" s="0" t="n">
        <v>2018</v>
      </c>
      <c r="C1940" s="0" t="s">
        <v>69</v>
      </c>
      <c r="D1940" s="0" t="n">
        <v>16.4</v>
      </c>
      <c r="E1940" s="0" t="s">
        <v>7275</v>
      </c>
      <c r="F1940" s="0" t="s">
        <v>7288</v>
      </c>
      <c r="G1940" s="0" t="s">
        <v>7267</v>
      </c>
    </row>
    <row r="1941" customFormat="false" ht="15" hidden="false" customHeight="false" outlineLevel="0" collapsed="false">
      <c r="A1941" s="0" t="s">
        <v>187</v>
      </c>
      <c r="B1941" s="0" t="n">
        <v>2018</v>
      </c>
      <c r="C1941" s="0" t="s">
        <v>73</v>
      </c>
      <c r="D1941" s="0" t="n">
        <v>0</v>
      </c>
      <c r="E1941" s="0" t="s">
        <v>7275</v>
      </c>
      <c r="F1941" s="0" t="s">
        <v>7288</v>
      </c>
      <c r="G1941" s="0" t="s">
        <v>7267</v>
      </c>
    </row>
    <row r="1942" customFormat="false" ht="15" hidden="false" customHeight="false" outlineLevel="0" collapsed="false">
      <c r="A1942" s="0" t="s">
        <v>187</v>
      </c>
      <c r="B1942" s="0" t="n">
        <v>2018</v>
      </c>
      <c r="C1942" s="0" t="s">
        <v>1804</v>
      </c>
      <c r="D1942" s="0" t="s">
        <v>3392</v>
      </c>
      <c r="E1942" s="0" t="s">
        <v>7275</v>
      </c>
      <c r="F1942" s="0" t="s">
        <v>7288</v>
      </c>
      <c r="G1942" s="0" t="s">
        <v>7267</v>
      </c>
    </row>
    <row r="1943" customFormat="false" ht="15" hidden="false" customHeight="false" outlineLevel="0" collapsed="false">
      <c r="A1943" s="0" t="s">
        <v>187</v>
      </c>
      <c r="B1943" s="0" t="n">
        <v>2019</v>
      </c>
      <c r="C1943" s="0" t="s">
        <v>54</v>
      </c>
      <c r="D1943" s="0" t="n">
        <v>24375</v>
      </c>
      <c r="E1943" s="0" t="s">
        <v>7275</v>
      </c>
      <c r="F1943" s="0" t="s">
        <v>7288</v>
      </c>
      <c r="G1943" s="0" t="s">
        <v>7267</v>
      </c>
    </row>
    <row r="1944" customFormat="false" ht="15" hidden="false" customHeight="false" outlineLevel="0" collapsed="false">
      <c r="A1944" s="0" t="s">
        <v>187</v>
      </c>
      <c r="B1944" s="0" t="n">
        <v>2019</v>
      </c>
      <c r="C1944" s="0" t="s">
        <v>1327</v>
      </c>
      <c r="D1944" s="0" t="n">
        <v>159861</v>
      </c>
      <c r="E1944" s="0" t="s">
        <v>7275</v>
      </c>
      <c r="F1944" s="0" t="s">
        <v>7288</v>
      </c>
      <c r="G1944" s="0" t="s">
        <v>7267</v>
      </c>
    </row>
    <row r="1945" customFormat="false" ht="15" hidden="false" customHeight="false" outlineLevel="0" collapsed="false">
      <c r="A1945" s="0" t="s">
        <v>187</v>
      </c>
      <c r="B1945" s="0" t="n">
        <v>2019</v>
      </c>
      <c r="C1945" s="0" t="s">
        <v>55</v>
      </c>
      <c r="D1945" s="0" t="n">
        <v>1711739</v>
      </c>
      <c r="E1945" s="0" t="s">
        <v>7275</v>
      </c>
      <c r="F1945" s="0" t="s">
        <v>7288</v>
      </c>
      <c r="G1945" s="0" t="s">
        <v>7267</v>
      </c>
    </row>
    <row r="1946" customFormat="false" ht="15" hidden="false" customHeight="false" outlineLevel="0" collapsed="false">
      <c r="A1946" s="0" t="s">
        <v>187</v>
      </c>
      <c r="B1946" s="0" t="n">
        <v>2019</v>
      </c>
      <c r="C1946" s="0" t="s">
        <v>60</v>
      </c>
      <c r="D1946" s="0" t="n">
        <v>595298</v>
      </c>
      <c r="E1946" s="0" t="s">
        <v>7275</v>
      </c>
      <c r="F1946" s="0" t="s">
        <v>7288</v>
      </c>
      <c r="G1946" s="0" t="s">
        <v>7267</v>
      </c>
    </row>
    <row r="1947" customFormat="false" ht="15" hidden="false" customHeight="false" outlineLevel="0" collapsed="false">
      <c r="A1947" s="0" t="s">
        <v>187</v>
      </c>
      <c r="B1947" s="0" t="n">
        <v>2019</v>
      </c>
      <c r="C1947" s="0" t="s">
        <v>61</v>
      </c>
      <c r="D1947" s="0" t="n">
        <v>44685</v>
      </c>
      <c r="E1947" s="0" t="s">
        <v>7275</v>
      </c>
      <c r="F1947" s="0" t="s">
        <v>7288</v>
      </c>
      <c r="G1947" s="0" t="s">
        <v>7267</v>
      </c>
    </row>
    <row r="1948" customFormat="false" ht="15" hidden="false" customHeight="false" outlineLevel="0" collapsed="false">
      <c r="A1948" s="0" t="s">
        <v>187</v>
      </c>
      <c r="B1948" s="0" t="n">
        <v>2019</v>
      </c>
      <c r="C1948" s="0" t="s">
        <v>63</v>
      </c>
      <c r="D1948" s="0" t="n">
        <v>504</v>
      </c>
      <c r="E1948" s="0" t="s">
        <v>7275</v>
      </c>
      <c r="F1948" s="0" t="s">
        <v>7288</v>
      </c>
      <c r="G1948" s="0" t="s">
        <v>7267</v>
      </c>
    </row>
    <row r="1949" customFormat="false" ht="15" hidden="false" customHeight="false" outlineLevel="0" collapsed="false">
      <c r="A1949" s="0" t="s">
        <v>187</v>
      </c>
      <c r="B1949" s="0" t="n">
        <v>2019</v>
      </c>
      <c r="C1949" s="0" t="s">
        <v>327</v>
      </c>
      <c r="D1949" s="0" t="n">
        <v>5.84</v>
      </c>
      <c r="E1949" s="0" t="s">
        <v>7275</v>
      </c>
      <c r="F1949" s="0" t="s">
        <v>7288</v>
      </c>
      <c r="G1949" s="0" t="s">
        <v>7267</v>
      </c>
    </row>
    <row r="1950" customFormat="false" ht="15" hidden="false" customHeight="false" outlineLevel="0" collapsed="false">
      <c r="A1950" s="0" t="s">
        <v>187</v>
      </c>
      <c r="B1950" s="0" t="n">
        <v>2019</v>
      </c>
      <c r="C1950" s="0" t="s">
        <v>69</v>
      </c>
      <c r="D1950" s="0" t="n">
        <v>19.73</v>
      </c>
      <c r="E1950" s="0" t="s">
        <v>7275</v>
      </c>
      <c r="F1950" s="0" t="s">
        <v>7288</v>
      </c>
      <c r="G1950" s="0" t="s">
        <v>7267</v>
      </c>
    </row>
    <row r="1951" customFormat="false" ht="15" hidden="false" customHeight="false" outlineLevel="0" collapsed="false">
      <c r="A1951" s="0" t="s">
        <v>187</v>
      </c>
      <c r="B1951" s="0" t="n">
        <v>2019</v>
      </c>
      <c r="C1951" s="0" t="s">
        <v>73</v>
      </c>
      <c r="D1951" s="0" t="n">
        <v>0</v>
      </c>
      <c r="E1951" s="0" t="s">
        <v>7275</v>
      </c>
      <c r="F1951" s="0" t="s">
        <v>7288</v>
      </c>
      <c r="G1951" s="0" t="s">
        <v>7267</v>
      </c>
    </row>
    <row r="1952" customFormat="false" ht="15" hidden="false" customHeight="false" outlineLevel="0" collapsed="false">
      <c r="A1952" s="0" t="s">
        <v>187</v>
      </c>
      <c r="B1952" s="0" t="n">
        <v>2019</v>
      </c>
      <c r="C1952" s="0" t="s">
        <v>1804</v>
      </c>
      <c r="D1952" s="0" t="s">
        <v>3392</v>
      </c>
      <c r="E1952" s="0" t="s">
        <v>7275</v>
      </c>
      <c r="F1952" s="0" t="s">
        <v>7288</v>
      </c>
      <c r="G1952" s="0" t="s">
        <v>7267</v>
      </c>
    </row>
    <row r="1953" customFormat="false" ht="15" hidden="false" customHeight="false" outlineLevel="0" collapsed="false">
      <c r="A1953" s="0" t="s">
        <v>187</v>
      </c>
      <c r="B1953" s="0" t="n">
        <v>2020</v>
      </c>
      <c r="C1953" s="0" t="s">
        <v>54</v>
      </c>
      <c r="D1953" s="0" t="n">
        <v>24653</v>
      </c>
      <c r="E1953" s="0" t="s">
        <v>7275</v>
      </c>
      <c r="F1953" s="0" t="s">
        <v>7288</v>
      </c>
      <c r="G1953" s="0" t="s">
        <v>7267</v>
      </c>
    </row>
    <row r="1954" customFormat="false" ht="15" hidden="false" customHeight="false" outlineLevel="0" collapsed="false">
      <c r="A1954" s="0" t="s">
        <v>187</v>
      </c>
      <c r="B1954" s="0" t="n">
        <v>2020</v>
      </c>
      <c r="C1954" s="0" t="s">
        <v>1327</v>
      </c>
      <c r="D1954" s="0" t="n">
        <v>156885</v>
      </c>
      <c r="E1954" s="0" t="s">
        <v>7275</v>
      </c>
      <c r="F1954" s="0" t="s">
        <v>7288</v>
      </c>
      <c r="G1954" s="0" t="s">
        <v>7267</v>
      </c>
    </row>
    <row r="1955" customFormat="false" ht="15" hidden="false" customHeight="false" outlineLevel="0" collapsed="false">
      <c r="A1955" s="0" t="s">
        <v>187</v>
      </c>
      <c r="B1955" s="0" t="n">
        <v>2020</v>
      </c>
      <c r="C1955" s="0" t="s">
        <v>55</v>
      </c>
      <c r="D1955" s="0" t="n">
        <v>2073758</v>
      </c>
      <c r="E1955" s="0" t="s">
        <v>7275</v>
      </c>
      <c r="F1955" s="0" t="s">
        <v>7288</v>
      </c>
      <c r="G1955" s="0" t="s">
        <v>7267</v>
      </c>
    </row>
    <row r="1956" customFormat="false" ht="15" hidden="false" customHeight="false" outlineLevel="0" collapsed="false">
      <c r="A1956" s="0" t="s">
        <v>187</v>
      </c>
      <c r="B1956" s="0" t="n">
        <v>2020</v>
      </c>
      <c r="C1956" s="0" t="s">
        <v>60</v>
      </c>
      <c r="D1956" s="0" t="n">
        <v>736712</v>
      </c>
      <c r="E1956" s="0" t="s">
        <v>7275</v>
      </c>
      <c r="F1956" s="0" t="s">
        <v>7288</v>
      </c>
      <c r="G1956" s="0" t="s">
        <v>7267</v>
      </c>
    </row>
    <row r="1957" customFormat="false" ht="15" hidden="false" customHeight="false" outlineLevel="0" collapsed="false">
      <c r="A1957" s="0" t="s">
        <v>187</v>
      </c>
      <c r="B1957" s="0" t="n">
        <v>2020</v>
      </c>
      <c r="C1957" s="0" t="s">
        <v>61</v>
      </c>
      <c r="D1957" s="0" t="n">
        <v>43909</v>
      </c>
      <c r="E1957" s="0" t="s">
        <v>7275</v>
      </c>
      <c r="F1957" s="0" t="s">
        <v>7288</v>
      </c>
      <c r="G1957" s="0" t="s">
        <v>7267</v>
      </c>
    </row>
    <row r="1958" customFormat="false" ht="15" hidden="false" customHeight="false" outlineLevel="0" collapsed="false">
      <c r="A1958" s="0" t="s">
        <v>187</v>
      </c>
      <c r="B1958" s="0" t="n">
        <v>2020</v>
      </c>
      <c r="C1958" s="0" t="s">
        <v>63</v>
      </c>
      <c r="D1958" s="0" t="n">
        <v>-2559</v>
      </c>
      <c r="E1958" s="0" t="s">
        <v>7275</v>
      </c>
      <c r="F1958" s="0" t="s">
        <v>7288</v>
      </c>
      <c r="G1958" s="0" t="s">
        <v>7267</v>
      </c>
    </row>
    <row r="1959" customFormat="false" ht="15" hidden="false" customHeight="false" outlineLevel="0" collapsed="false">
      <c r="A1959" s="0" t="s">
        <v>187</v>
      </c>
      <c r="B1959" s="0" t="n">
        <v>2020</v>
      </c>
      <c r="C1959" s="0" t="s">
        <v>327</v>
      </c>
      <c r="D1959" s="0" t="n">
        <v>4</v>
      </c>
      <c r="E1959" s="0" t="s">
        <v>7275</v>
      </c>
      <c r="F1959" s="0" t="s">
        <v>7288</v>
      </c>
      <c r="G1959" s="0" t="s">
        <v>7267</v>
      </c>
    </row>
    <row r="1960" customFormat="false" ht="15" hidden="false" customHeight="false" outlineLevel="0" collapsed="false">
      <c r="A1960" s="0" t="s">
        <v>187</v>
      </c>
      <c r="B1960" s="0" t="n">
        <v>2020</v>
      </c>
      <c r="C1960" s="0" t="s">
        <v>69</v>
      </c>
      <c r="D1960" s="0" t="n">
        <v>17.46</v>
      </c>
      <c r="E1960" s="0" t="s">
        <v>7275</v>
      </c>
      <c r="F1960" s="0" t="s">
        <v>7288</v>
      </c>
      <c r="G1960" s="0" t="s">
        <v>7267</v>
      </c>
    </row>
    <row r="1961" customFormat="false" ht="15" hidden="false" customHeight="false" outlineLevel="0" collapsed="false">
      <c r="A1961" s="0" t="s">
        <v>187</v>
      </c>
      <c r="B1961" s="0" t="n">
        <v>2020</v>
      </c>
      <c r="C1961" s="0" t="s">
        <v>73</v>
      </c>
      <c r="D1961" s="0" t="n">
        <v>0</v>
      </c>
      <c r="E1961" s="0" t="s">
        <v>7275</v>
      </c>
      <c r="F1961" s="0" t="s">
        <v>7288</v>
      </c>
      <c r="G1961" s="0" t="s">
        <v>7267</v>
      </c>
    </row>
    <row r="1962" customFormat="false" ht="15" hidden="false" customHeight="false" outlineLevel="0" collapsed="false">
      <c r="A1962" s="0" t="s">
        <v>187</v>
      </c>
      <c r="B1962" s="0" t="n">
        <v>2020</v>
      </c>
      <c r="C1962" s="0" t="s">
        <v>1804</v>
      </c>
      <c r="D1962" s="0" t="s">
        <v>7269</v>
      </c>
      <c r="E1962" s="0" t="s">
        <v>7275</v>
      </c>
      <c r="F1962" s="0" t="s">
        <v>7288</v>
      </c>
      <c r="G1962" s="0" t="s">
        <v>7267</v>
      </c>
    </row>
    <row r="1963" customFormat="false" ht="15" hidden="false" customHeight="false" outlineLevel="0" collapsed="false">
      <c r="A1963" s="0" t="s">
        <v>187</v>
      </c>
      <c r="B1963" s="0" t="n">
        <v>2021</v>
      </c>
      <c r="C1963" s="0" t="s">
        <v>54</v>
      </c>
      <c r="D1963" s="0" t="n">
        <v>19180</v>
      </c>
      <c r="E1963" s="0" t="s">
        <v>7275</v>
      </c>
      <c r="F1963" s="0" t="s">
        <v>7288</v>
      </c>
      <c r="G1963" s="0" t="s">
        <v>7267</v>
      </c>
    </row>
    <row r="1964" customFormat="false" ht="15" hidden="false" customHeight="false" outlineLevel="0" collapsed="false">
      <c r="A1964" s="0" t="s">
        <v>187</v>
      </c>
      <c r="B1964" s="0" t="n">
        <v>2021</v>
      </c>
      <c r="C1964" s="0" t="s">
        <v>1327</v>
      </c>
      <c r="D1964" s="0" t="n">
        <v>175006</v>
      </c>
      <c r="E1964" s="0" t="s">
        <v>7275</v>
      </c>
      <c r="F1964" s="0" t="s">
        <v>7288</v>
      </c>
      <c r="G1964" s="0" t="s">
        <v>7267</v>
      </c>
    </row>
    <row r="1965" customFormat="false" ht="15" hidden="false" customHeight="false" outlineLevel="0" collapsed="false">
      <c r="A1965" s="0" t="s">
        <v>187</v>
      </c>
      <c r="B1965" s="0" t="n">
        <v>2021</v>
      </c>
      <c r="C1965" s="0" t="s">
        <v>55</v>
      </c>
      <c r="D1965" s="0" t="n">
        <v>2567441</v>
      </c>
      <c r="E1965" s="0" t="s">
        <v>7275</v>
      </c>
      <c r="F1965" s="0" t="s">
        <v>7288</v>
      </c>
      <c r="G1965" s="0" t="s">
        <v>7267</v>
      </c>
    </row>
    <row r="1966" customFormat="false" ht="15" hidden="false" customHeight="false" outlineLevel="0" collapsed="false">
      <c r="A1966" s="0" t="s">
        <v>187</v>
      </c>
      <c r="B1966" s="0" t="n">
        <v>2021</v>
      </c>
      <c r="C1966" s="0" t="s">
        <v>60</v>
      </c>
      <c r="D1966" s="0" t="n">
        <v>868840</v>
      </c>
      <c r="E1966" s="0" t="s">
        <v>7275</v>
      </c>
      <c r="F1966" s="0" t="s">
        <v>7288</v>
      </c>
      <c r="G1966" s="0" t="s">
        <v>7267</v>
      </c>
    </row>
    <row r="1967" customFormat="false" ht="15" hidden="false" customHeight="false" outlineLevel="0" collapsed="false">
      <c r="A1967" s="0" t="s">
        <v>187</v>
      </c>
      <c r="B1967" s="0" t="n">
        <v>2021</v>
      </c>
      <c r="C1967" s="0" t="s">
        <v>61</v>
      </c>
      <c r="D1967" s="0" t="n">
        <v>41537</v>
      </c>
      <c r="E1967" s="0" t="s">
        <v>7275</v>
      </c>
      <c r="F1967" s="0" t="s">
        <v>7288</v>
      </c>
      <c r="G1967" s="0" t="s">
        <v>7267</v>
      </c>
    </row>
    <row r="1968" customFormat="false" ht="15" hidden="false" customHeight="false" outlineLevel="0" collapsed="false">
      <c r="A1968" s="0" t="s">
        <v>187</v>
      </c>
      <c r="B1968" s="0" t="n">
        <v>2021</v>
      </c>
      <c r="C1968" s="0" t="s">
        <v>63</v>
      </c>
      <c r="D1968" s="0" t="n">
        <v>34</v>
      </c>
      <c r="E1968" s="0" t="s">
        <v>7275</v>
      </c>
      <c r="F1968" s="0" t="s">
        <v>7288</v>
      </c>
      <c r="G1968" s="0" t="s">
        <v>7267</v>
      </c>
    </row>
    <row r="1969" customFormat="false" ht="15" hidden="false" customHeight="false" outlineLevel="0" collapsed="false">
      <c r="A1969" s="0" t="s">
        <v>187</v>
      </c>
      <c r="B1969" s="0" t="n">
        <v>2021</v>
      </c>
      <c r="C1969" s="0" t="s">
        <v>327</v>
      </c>
      <c r="D1969" s="0" t="n">
        <v>4.3</v>
      </c>
      <c r="E1969" s="0" t="s">
        <v>7275</v>
      </c>
      <c r="F1969" s="0" t="s">
        <v>7288</v>
      </c>
      <c r="G1969" s="0" t="s">
        <v>7267</v>
      </c>
    </row>
    <row r="1970" customFormat="false" ht="15" hidden="false" customHeight="false" outlineLevel="0" collapsed="false">
      <c r="A1970" s="0" t="s">
        <v>187</v>
      </c>
      <c r="B1970" s="0" t="n">
        <v>2021</v>
      </c>
      <c r="C1970" s="0" t="s">
        <v>69</v>
      </c>
      <c r="D1970" s="0" t="n">
        <v>14.61</v>
      </c>
      <c r="E1970" s="0" t="s">
        <v>7275</v>
      </c>
      <c r="F1970" s="0" t="s">
        <v>7288</v>
      </c>
      <c r="G1970" s="0" t="s">
        <v>7267</v>
      </c>
    </row>
    <row r="1971" customFormat="false" ht="15" hidden="false" customHeight="false" outlineLevel="0" collapsed="false">
      <c r="A1971" s="0" t="s">
        <v>187</v>
      </c>
      <c r="B1971" s="0" t="n">
        <v>2021</v>
      </c>
      <c r="C1971" s="0" t="s">
        <v>73</v>
      </c>
      <c r="D1971" s="0" t="n">
        <v>0</v>
      </c>
      <c r="E1971" s="0" t="s">
        <v>7275</v>
      </c>
      <c r="F1971" s="0" t="s">
        <v>7288</v>
      </c>
      <c r="G1971" s="0" t="s">
        <v>7267</v>
      </c>
    </row>
    <row r="1972" customFormat="false" ht="15" hidden="false" customHeight="false" outlineLevel="0" collapsed="false">
      <c r="A1972" s="0" t="s">
        <v>187</v>
      </c>
      <c r="B1972" s="0" t="n">
        <v>2021</v>
      </c>
      <c r="C1972" s="0" t="s">
        <v>1804</v>
      </c>
      <c r="D1972" s="0" t="s">
        <v>7269</v>
      </c>
      <c r="E1972" s="0" t="s">
        <v>7275</v>
      </c>
      <c r="F1972" s="0" t="s">
        <v>7288</v>
      </c>
      <c r="G1972" s="0" t="s">
        <v>7267</v>
      </c>
    </row>
    <row r="1973" customFormat="false" ht="15" hidden="false" customHeight="false" outlineLevel="0" collapsed="false">
      <c r="A1973" s="0" t="s">
        <v>187</v>
      </c>
      <c r="B1973" s="0" t="n">
        <v>2022</v>
      </c>
      <c r="C1973" s="0" t="s">
        <v>54</v>
      </c>
      <c r="D1973" s="0" t="n">
        <v>29009</v>
      </c>
      <c r="E1973" s="0" t="s">
        <v>7275</v>
      </c>
      <c r="F1973" s="0" t="s">
        <v>7288</v>
      </c>
      <c r="G1973" s="0" t="s">
        <v>7267</v>
      </c>
    </row>
    <row r="1974" customFormat="false" ht="15" hidden="false" customHeight="false" outlineLevel="0" collapsed="false">
      <c r="A1974" s="0" t="s">
        <v>187</v>
      </c>
      <c r="B1974" s="0" t="n">
        <v>2022</v>
      </c>
      <c r="C1974" s="0" t="s">
        <v>1327</v>
      </c>
      <c r="D1974" s="0" t="n">
        <v>208171</v>
      </c>
      <c r="E1974" s="0" t="s">
        <v>7275</v>
      </c>
      <c r="F1974" s="0" t="s">
        <v>7288</v>
      </c>
      <c r="G1974" s="0" t="s">
        <v>7267</v>
      </c>
    </row>
    <row r="1975" customFormat="false" ht="15" hidden="false" customHeight="false" outlineLevel="0" collapsed="false">
      <c r="A1975" s="0" t="s">
        <v>187</v>
      </c>
      <c r="B1975" s="0" t="n">
        <v>2022</v>
      </c>
      <c r="C1975" s="0" t="s">
        <v>55</v>
      </c>
      <c r="D1975" s="0" t="n">
        <v>2793674</v>
      </c>
      <c r="E1975" s="0" t="s">
        <v>7275</v>
      </c>
      <c r="F1975" s="0" t="s">
        <v>7288</v>
      </c>
      <c r="G1975" s="0" t="s">
        <v>7267</v>
      </c>
    </row>
    <row r="1976" customFormat="false" ht="15" hidden="false" customHeight="false" outlineLevel="0" collapsed="false">
      <c r="A1976" s="0" t="s">
        <v>187</v>
      </c>
      <c r="B1976" s="0" t="n">
        <v>2022</v>
      </c>
      <c r="C1976" s="0" t="s">
        <v>60</v>
      </c>
      <c r="D1976" s="0" t="n">
        <v>1000903</v>
      </c>
      <c r="E1976" s="0" t="s">
        <v>7275</v>
      </c>
      <c r="F1976" s="0" t="s">
        <v>7288</v>
      </c>
      <c r="G1976" s="0" t="s">
        <v>7267</v>
      </c>
    </row>
    <row r="1977" customFormat="false" ht="15" hidden="false" customHeight="false" outlineLevel="0" collapsed="false">
      <c r="A1977" s="0" t="s">
        <v>187</v>
      </c>
      <c r="B1977" s="0" t="n">
        <v>2022</v>
      </c>
      <c r="C1977" s="0" t="s">
        <v>61</v>
      </c>
      <c r="D1977" s="0" t="n">
        <v>46628</v>
      </c>
      <c r="E1977" s="0" t="s">
        <v>7275</v>
      </c>
      <c r="F1977" s="0" t="s">
        <v>7288</v>
      </c>
      <c r="G1977" s="0" t="s">
        <v>7267</v>
      </c>
    </row>
    <row r="1978" customFormat="false" ht="15" hidden="false" customHeight="false" outlineLevel="0" collapsed="false">
      <c r="A1978" s="0" t="s">
        <v>187</v>
      </c>
      <c r="B1978" s="0" t="n">
        <v>2022</v>
      </c>
      <c r="C1978" s="0" t="s">
        <v>63</v>
      </c>
      <c r="D1978" s="0" t="n">
        <v>1749</v>
      </c>
      <c r="E1978" s="0" t="s">
        <v>7275</v>
      </c>
      <c r="F1978" s="0" t="s">
        <v>7288</v>
      </c>
      <c r="G1978" s="0" t="s">
        <v>7267</v>
      </c>
    </row>
    <row r="1979" customFormat="false" ht="15" hidden="false" customHeight="false" outlineLevel="0" collapsed="false">
      <c r="A1979" s="0" t="s">
        <v>187</v>
      </c>
      <c r="B1979" s="0" t="n">
        <v>2022</v>
      </c>
      <c r="C1979" s="0" t="s">
        <v>327</v>
      </c>
      <c r="D1979" s="0" t="n">
        <v>4.02</v>
      </c>
      <c r="E1979" s="0" t="s">
        <v>7275</v>
      </c>
      <c r="F1979" s="0" t="s">
        <v>7288</v>
      </c>
      <c r="G1979" s="0" t="s">
        <v>7267</v>
      </c>
    </row>
    <row r="1980" customFormat="false" ht="15" hidden="false" customHeight="false" outlineLevel="0" collapsed="false">
      <c r="A1980" s="0" t="s">
        <v>187</v>
      </c>
      <c r="B1980" s="0" t="n">
        <v>2022</v>
      </c>
      <c r="C1980" s="0" t="s">
        <v>69</v>
      </c>
      <c r="D1980" s="0" t="n">
        <v>14.42</v>
      </c>
      <c r="E1980" s="0" t="s">
        <v>7275</v>
      </c>
      <c r="F1980" s="0" t="s">
        <v>7288</v>
      </c>
      <c r="G1980" s="0" t="s">
        <v>7267</v>
      </c>
    </row>
    <row r="1981" customFormat="false" ht="15" hidden="false" customHeight="false" outlineLevel="0" collapsed="false">
      <c r="A1981" s="0" t="s">
        <v>187</v>
      </c>
      <c r="B1981" s="0" t="n">
        <v>2022</v>
      </c>
      <c r="C1981" s="0" t="s">
        <v>73</v>
      </c>
      <c r="D1981" s="0" t="n">
        <v>0</v>
      </c>
      <c r="E1981" s="0" t="s">
        <v>7275</v>
      </c>
      <c r="F1981" s="0" t="s">
        <v>7288</v>
      </c>
      <c r="G1981" s="0" t="s">
        <v>7267</v>
      </c>
    </row>
    <row r="1982" customFormat="false" ht="15" hidden="false" customHeight="false" outlineLevel="0" collapsed="false">
      <c r="A1982" s="0" t="s">
        <v>187</v>
      </c>
      <c r="B1982" s="0" t="n">
        <v>2022</v>
      </c>
      <c r="C1982" s="0" t="s">
        <v>1804</v>
      </c>
      <c r="D1982" s="0" t="s">
        <v>7269</v>
      </c>
      <c r="E1982" s="0" t="s">
        <v>7275</v>
      </c>
      <c r="F1982" s="0" t="s">
        <v>7288</v>
      </c>
      <c r="G1982" s="0" t="s">
        <v>7267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2026-10-11T12:47:05Z</dcterms:created>
  <dc:creator>openpyxl</dc:creator>
  <dc:description/>
  <dc:language>en-US</dc:language>
  <cp:lastModifiedBy/>
  <dcterms:modified xsi:type="dcterms:W3CDTF">2026-10-11T12:47:05Z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